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fdced7d5e359b8/Desktop/"/>
    </mc:Choice>
  </mc:AlternateContent>
  <xr:revisionPtr revIDLastSave="41" documentId="8_{5C25BAD8-91FB-4C46-9024-702AB7E2311E}" xr6:coauthVersionLast="47" xr6:coauthVersionMax="47" xr10:uidLastSave="{6C86CAF1-9EB3-4A97-95A4-20B62CFFFABF}"/>
  <bookViews>
    <workbookView xWindow="-108" yWindow="-108" windowWidth="23256" windowHeight="12456" firstSheet="1" activeTab="6" xr2:uid="{CC2140C4-7025-48B2-87E5-075F94D54312}"/>
  </bookViews>
  <sheets>
    <sheet name="Matches" sheetId="1" r:id="rId1"/>
    <sheet name="Innings" sheetId="2" r:id="rId2"/>
    <sheet name="Rank_players" sheetId="6" r:id="rId3"/>
    <sheet name="Match_Model_Data" sheetId="8" r:id="rId4"/>
    <sheet name="Match_Model_Data_Final" sheetId="9" r:id="rId5"/>
    <sheet name="Players ALL" sheetId="3" r:id="rId6"/>
    <sheet name="Players" sheetId="10" r:id="rId7"/>
    <sheet name="Sheet1" sheetId="4" r:id="rId8"/>
    <sheet name="all players" sheetId="5" r:id="rId9"/>
  </sheet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936" i="10" l="1"/>
  <c r="V1935" i="10"/>
  <c r="V1934" i="10"/>
  <c r="V1933" i="10"/>
  <c r="V1932" i="10"/>
  <c r="V1931" i="10"/>
  <c r="V1930" i="10"/>
  <c r="V1929" i="10"/>
  <c r="V1928" i="10"/>
  <c r="V1927" i="10"/>
  <c r="V1926" i="10"/>
  <c r="V1925" i="10"/>
  <c r="V1924" i="10"/>
  <c r="V1923" i="10"/>
  <c r="V1922" i="10"/>
  <c r="V1921" i="10"/>
  <c r="V1920" i="10"/>
  <c r="V1919" i="10"/>
  <c r="V1918" i="10"/>
  <c r="V1917" i="10"/>
  <c r="V1916" i="10"/>
  <c r="V1915" i="10"/>
  <c r="V1914" i="10"/>
  <c r="V1913" i="10"/>
  <c r="V1912" i="10"/>
  <c r="V1911" i="10"/>
  <c r="V1910" i="10"/>
  <c r="V1909" i="10"/>
  <c r="V1908" i="10"/>
  <c r="V1907" i="10"/>
  <c r="V1906" i="10"/>
  <c r="V1905" i="10"/>
  <c r="V1904" i="10"/>
  <c r="V1903" i="10"/>
  <c r="V1902" i="10"/>
  <c r="V1901" i="10"/>
  <c r="V1900" i="10"/>
  <c r="V1899" i="10"/>
  <c r="V1898" i="10"/>
  <c r="V1897" i="10"/>
  <c r="V1896" i="10"/>
  <c r="V1895" i="10"/>
  <c r="V1894" i="10"/>
  <c r="V1893" i="10"/>
  <c r="V1892" i="10"/>
  <c r="V1891" i="10"/>
  <c r="V1890" i="10"/>
  <c r="V1889" i="10"/>
  <c r="V1888" i="10"/>
  <c r="V1887" i="10"/>
  <c r="V1886" i="10"/>
  <c r="V1885" i="10"/>
  <c r="V1884" i="10"/>
  <c r="V1883" i="10"/>
  <c r="V1882" i="10"/>
  <c r="V1881" i="10"/>
  <c r="V1880" i="10"/>
  <c r="V1879" i="10"/>
  <c r="V1878" i="10"/>
  <c r="V1877" i="10"/>
  <c r="V1876" i="10"/>
  <c r="V1875" i="10"/>
  <c r="V1874" i="10"/>
  <c r="V1873" i="10"/>
  <c r="V1872" i="10"/>
  <c r="V1871" i="10"/>
  <c r="V1870" i="10"/>
  <c r="V1869" i="10"/>
  <c r="V1868" i="10"/>
  <c r="V1867" i="10"/>
  <c r="V1866" i="10"/>
  <c r="V1865" i="10"/>
  <c r="V1864" i="10"/>
  <c r="V1863" i="10"/>
  <c r="V1862" i="10"/>
  <c r="V1861" i="10"/>
  <c r="V1860" i="10"/>
  <c r="V1859" i="10"/>
  <c r="V1858" i="10"/>
  <c r="V1857" i="10"/>
  <c r="V1856" i="10"/>
  <c r="V1855" i="10"/>
  <c r="V1854" i="10"/>
  <c r="V1853" i="10"/>
  <c r="V1852" i="10"/>
  <c r="V1851" i="10"/>
  <c r="V1850" i="10"/>
  <c r="V1849" i="10"/>
  <c r="V1848" i="10"/>
  <c r="V1847" i="10"/>
  <c r="V1846" i="10"/>
  <c r="V1845" i="10"/>
  <c r="V1844" i="10"/>
  <c r="V1843" i="10"/>
  <c r="V1842" i="10"/>
  <c r="V1841" i="10"/>
  <c r="V1840" i="10"/>
  <c r="V1839" i="10"/>
  <c r="V1838" i="10"/>
  <c r="V1837" i="10"/>
  <c r="V1836" i="10"/>
  <c r="V1835" i="10"/>
  <c r="V1834" i="10"/>
  <c r="V1833" i="10"/>
  <c r="V1832" i="10"/>
  <c r="V1831" i="10"/>
  <c r="V1830" i="10"/>
  <c r="V1829" i="10"/>
  <c r="V1828" i="10"/>
  <c r="V1827" i="10"/>
  <c r="V1826" i="10"/>
  <c r="V1825" i="10"/>
  <c r="V1824" i="10"/>
  <c r="V1823" i="10"/>
  <c r="V1822" i="10"/>
  <c r="V1821" i="10"/>
  <c r="V1820" i="10"/>
  <c r="V1819" i="10"/>
  <c r="V1818" i="10"/>
  <c r="V1817" i="10"/>
  <c r="V1816" i="10"/>
  <c r="V1815" i="10"/>
  <c r="V1814" i="10"/>
  <c r="V1813" i="10"/>
  <c r="V1812" i="10"/>
  <c r="V1811" i="10"/>
  <c r="V1810" i="10"/>
  <c r="V1809" i="10"/>
  <c r="V1808" i="10"/>
  <c r="V1807" i="10"/>
  <c r="V1806" i="10"/>
  <c r="V1805" i="10"/>
  <c r="V1804" i="10"/>
  <c r="V1803" i="10"/>
  <c r="V1802" i="10"/>
  <c r="V1801" i="10"/>
  <c r="V1800" i="10"/>
  <c r="V1799" i="10"/>
  <c r="V1798" i="10"/>
  <c r="V1797" i="10"/>
  <c r="V1796" i="10"/>
  <c r="V1795" i="10"/>
  <c r="V1794" i="10"/>
  <c r="V1793" i="10"/>
  <c r="V1792" i="10"/>
  <c r="V1791" i="10"/>
  <c r="V1790" i="10"/>
  <c r="V1789" i="10"/>
  <c r="V1788" i="10"/>
  <c r="V1787" i="10"/>
  <c r="V1786" i="10"/>
  <c r="V1785" i="10"/>
  <c r="V1784" i="10"/>
  <c r="V1783" i="10"/>
  <c r="V1782" i="10"/>
  <c r="V1781" i="10"/>
  <c r="V1780" i="10"/>
  <c r="V1779" i="10"/>
  <c r="V1778" i="10"/>
  <c r="V1777" i="10"/>
  <c r="V1776" i="10"/>
  <c r="V1775" i="10"/>
  <c r="V1774" i="10"/>
  <c r="V1773" i="10"/>
  <c r="V1772" i="10"/>
  <c r="V1771" i="10"/>
  <c r="V1770" i="10"/>
  <c r="V1769" i="10"/>
  <c r="V1768" i="10"/>
  <c r="V1767" i="10"/>
  <c r="V1766" i="10"/>
  <c r="V1765" i="10"/>
  <c r="V1764" i="10"/>
  <c r="V1763" i="10"/>
  <c r="V1762" i="10"/>
  <c r="V1761" i="10"/>
  <c r="V1760" i="10"/>
  <c r="V1759" i="10"/>
  <c r="V1758" i="10"/>
  <c r="V1757" i="10"/>
  <c r="V1756" i="10"/>
  <c r="V1755" i="10"/>
  <c r="V1754" i="10"/>
  <c r="V1753" i="10"/>
  <c r="V1752" i="10"/>
  <c r="V1751" i="10"/>
  <c r="V1750" i="10"/>
  <c r="V1749" i="10"/>
  <c r="V1748" i="10"/>
  <c r="V1747" i="10"/>
  <c r="V1746" i="10"/>
  <c r="V1745" i="10"/>
  <c r="V1744" i="10"/>
  <c r="V1743" i="10"/>
  <c r="V1742" i="10"/>
  <c r="V1741" i="10"/>
  <c r="V1740" i="10"/>
  <c r="V1739" i="10"/>
  <c r="V1738" i="10"/>
  <c r="V1737" i="10"/>
  <c r="V1736" i="10"/>
  <c r="V1735" i="10"/>
  <c r="V1734" i="10"/>
  <c r="V1733" i="10"/>
  <c r="V1732" i="10"/>
  <c r="V1731" i="10"/>
  <c r="V1730" i="10"/>
  <c r="V1729" i="10"/>
  <c r="V1728" i="10"/>
  <c r="V1727" i="10"/>
  <c r="V1726" i="10"/>
  <c r="V1725" i="10"/>
  <c r="V1724" i="10"/>
  <c r="V1723" i="10"/>
  <c r="V1722" i="10"/>
  <c r="V1721" i="10"/>
  <c r="V1720" i="10"/>
  <c r="V1719" i="10"/>
  <c r="V1718" i="10"/>
  <c r="V1717" i="10"/>
  <c r="V1716" i="10"/>
  <c r="V1715" i="10"/>
  <c r="V1714" i="10"/>
  <c r="V1713" i="10"/>
  <c r="V1712" i="10"/>
  <c r="V1711" i="10"/>
  <c r="V1710" i="10"/>
  <c r="V1709" i="10"/>
  <c r="V1708" i="10"/>
  <c r="V1707" i="10"/>
  <c r="V1706" i="10"/>
  <c r="V1705" i="10"/>
  <c r="V1704" i="10"/>
  <c r="V1703" i="10"/>
  <c r="V1702" i="10"/>
  <c r="V1701" i="10"/>
  <c r="V1700" i="10"/>
  <c r="V1699" i="10"/>
  <c r="V1698" i="10"/>
  <c r="V1697" i="10"/>
  <c r="V1696" i="10"/>
  <c r="V1695" i="10"/>
  <c r="V1694" i="10"/>
  <c r="V1693" i="10"/>
  <c r="V1692" i="10"/>
  <c r="V1691" i="10"/>
  <c r="V1690" i="10"/>
  <c r="V1689" i="10"/>
  <c r="V1688" i="10"/>
  <c r="V1687" i="10"/>
  <c r="V1686" i="10"/>
  <c r="V1685" i="10"/>
  <c r="V1684" i="10"/>
  <c r="V1683" i="10"/>
  <c r="V1682" i="10"/>
  <c r="V1681" i="10"/>
  <c r="V1680" i="10"/>
  <c r="V1679" i="10"/>
  <c r="V1678" i="10"/>
  <c r="V1677" i="10"/>
  <c r="V1676" i="10"/>
  <c r="V1675" i="10"/>
  <c r="V1674" i="10"/>
  <c r="V1673" i="10"/>
  <c r="V1672" i="10"/>
  <c r="V1671" i="10"/>
  <c r="V1670" i="10"/>
  <c r="V1669" i="10"/>
  <c r="V1668" i="10"/>
  <c r="V1667" i="10"/>
  <c r="V1666" i="10"/>
  <c r="V1665" i="10"/>
  <c r="V1664" i="10"/>
  <c r="V1663" i="10"/>
  <c r="V1662" i="10"/>
  <c r="V1661" i="10"/>
  <c r="V1660" i="10"/>
  <c r="V1659" i="10"/>
  <c r="V1658" i="10"/>
  <c r="V1657" i="10"/>
  <c r="V1656" i="10"/>
  <c r="V1655" i="10"/>
  <c r="V1654" i="10"/>
  <c r="V1653" i="10"/>
  <c r="V1652" i="10"/>
  <c r="V1651" i="10"/>
  <c r="V1650" i="10"/>
  <c r="V1649" i="10"/>
  <c r="V1648" i="10"/>
  <c r="V1647" i="10"/>
  <c r="V1646" i="10"/>
  <c r="V1645" i="10"/>
  <c r="V1644" i="10"/>
  <c r="V1643" i="10"/>
  <c r="V1642" i="10"/>
  <c r="V1641" i="10"/>
  <c r="V1640" i="10"/>
  <c r="V1639" i="10"/>
  <c r="V1638" i="10"/>
  <c r="V1637" i="10"/>
  <c r="V1636" i="10"/>
  <c r="V1635" i="10"/>
  <c r="V1634" i="10"/>
  <c r="V1633" i="10"/>
  <c r="V1632" i="10"/>
  <c r="V1631" i="10"/>
  <c r="V1630" i="10"/>
  <c r="V1629" i="10"/>
  <c r="V1628" i="10"/>
  <c r="V1627" i="10"/>
  <c r="V1626" i="10"/>
  <c r="V1625" i="10"/>
  <c r="V1624" i="10"/>
  <c r="V1623" i="10"/>
  <c r="V1622" i="10"/>
  <c r="V1621" i="10"/>
  <c r="V1620" i="10"/>
  <c r="V1619" i="10"/>
  <c r="V1618" i="10"/>
  <c r="V1617" i="10"/>
  <c r="V1616" i="10"/>
  <c r="V1615" i="10"/>
  <c r="V1614" i="10"/>
  <c r="V1613" i="10"/>
  <c r="V1612" i="10"/>
  <c r="V1611" i="10"/>
  <c r="V1610" i="10"/>
  <c r="V1609" i="10"/>
  <c r="V1608" i="10"/>
  <c r="V1607" i="10"/>
  <c r="V1606" i="10"/>
  <c r="V1605" i="10"/>
  <c r="V1604" i="10"/>
  <c r="V1603" i="10"/>
  <c r="V1602" i="10"/>
  <c r="V1601" i="10"/>
  <c r="V1600" i="10"/>
  <c r="V1599" i="10"/>
  <c r="V1598" i="10"/>
  <c r="V1597" i="10"/>
  <c r="V1596" i="10"/>
  <c r="V1595" i="10"/>
  <c r="V1594" i="10"/>
  <c r="V1593" i="10"/>
  <c r="V1592" i="10"/>
  <c r="V1591" i="10"/>
  <c r="V1590" i="10"/>
  <c r="V1589" i="10"/>
  <c r="V1588" i="10"/>
  <c r="V1587" i="10"/>
  <c r="V1586" i="10"/>
  <c r="V1585" i="10"/>
  <c r="V1584" i="10"/>
  <c r="V1583" i="10"/>
  <c r="V1582" i="10"/>
  <c r="V1581" i="10"/>
  <c r="V1580" i="10"/>
  <c r="V1579" i="10"/>
  <c r="V1578" i="10"/>
  <c r="V1577" i="10"/>
  <c r="V1576" i="10"/>
  <c r="V1575" i="10"/>
  <c r="V1574" i="10"/>
  <c r="V1573" i="10"/>
  <c r="V1572" i="10"/>
  <c r="V1571" i="10"/>
  <c r="V1570" i="10"/>
  <c r="V1569" i="10"/>
  <c r="V1568" i="10"/>
  <c r="V1567" i="10"/>
  <c r="V1566" i="10"/>
  <c r="V1565" i="10"/>
  <c r="V1564" i="10"/>
  <c r="V1563" i="10"/>
  <c r="V1562" i="10"/>
  <c r="V1561" i="10"/>
  <c r="V1560" i="10"/>
  <c r="V1559" i="10"/>
  <c r="V1558" i="10"/>
  <c r="V1557" i="10"/>
  <c r="V1556" i="10"/>
  <c r="V1555" i="10"/>
  <c r="V1554" i="10"/>
  <c r="V1553" i="10"/>
  <c r="V1552" i="10"/>
  <c r="V1551" i="10"/>
  <c r="V1550" i="10"/>
  <c r="V1549" i="10"/>
  <c r="V1548" i="10"/>
  <c r="V1547" i="10"/>
  <c r="V1546" i="10"/>
  <c r="V1545" i="10"/>
  <c r="V1544" i="10"/>
  <c r="V1543" i="10"/>
  <c r="V1542" i="10"/>
  <c r="V1541" i="10"/>
  <c r="V1540" i="10"/>
  <c r="V1539" i="10"/>
  <c r="V1538" i="10"/>
  <c r="V1537" i="10"/>
  <c r="V1536" i="10"/>
  <c r="V1535" i="10"/>
  <c r="V1534" i="10"/>
  <c r="V1533" i="10"/>
  <c r="V1532" i="10"/>
  <c r="V1531" i="10"/>
  <c r="V1530" i="10"/>
  <c r="V1529" i="10"/>
  <c r="V1528" i="10"/>
  <c r="V1527" i="10"/>
  <c r="V1526" i="10"/>
  <c r="V1525" i="10"/>
  <c r="V1524" i="10"/>
  <c r="V1523" i="10"/>
  <c r="V1522" i="10"/>
  <c r="V1521" i="10"/>
  <c r="V1520" i="10"/>
  <c r="V1519" i="10"/>
  <c r="V1518" i="10"/>
  <c r="V1517" i="10"/>
  <c r="V1516" i="10"/>
  <c r="V1515" i="10"/>
  <c r="V1514" i="10"/>
  <c r="V1513" i="10"/>
  <c r="V1512" i="10"/>
  <c r="V1511" i="10"/>
  <c r="V1510" i="10"/>
  <c r="V1509" i="10"/>
  <c r="V1508" i="10"/>
  <c r="V1507" i="10"/>
  <c r="V1506" i="10"/>
  <c r="V1505" i="10"/>
  <c r="V1504" i="10"/>
  <c r="V1503" i="10"/>
  <c r="V1502" i="10"/>
  <c r="V1501" i="10"/>
  <c r="V1500" i="10"/>
  <c r="V1499" i="10"/>
  <c r="V1498" i="10"/>
  <c r="V1497" i="10"/>
  <c r="V1496" i="10"/>
  <c r="V1495" i="10"/>
  <c r="V1494" i="10"/>
  <c r="V1493" i="10"/>
  <c r="V1492" i="10"/>
  <c r="V1491" i="10"/>
  <c r="V1490" i="10"/>
  <c r="V1489" i="10"/>
  <c r="V1488" i="10"/>
  <c r="V1487" i="10"/>
  <c r="V1486" i="10"/>
  <c r="V1485" i="10"/>
  <c r="V1484" i="10"/>
  <c r="V1483" i="10"/>
  <c r="V1482" i="10"/>
  <c r="V1481" i="10"/>
  <c r="V1480" i="10"/>
  <c r="V1479" i="10"/>
  <c r="V1478" i="10"/>
  <c r="V1477" i="10"/>
  <c r="V1476" i="10"/>
  <c r="V1475" i="10"/>
  <c r="V1474" i="10"/>
  <c r="V1473" i="10"/>
  <c r="V1472" i="10"/>
  <c r="V1471" i="10"/>
  <c r="V1470" i="10"/>
  <c r="V1469" i="10"/>
  <c r="V1468" i="10"/>
  <c r="V1467" i="10"/>
  <c r="V1466" i="10"/>
  <c r="V1465" i="10"/>
  <c r="V1464" i="10"/>
  <c r="V1463" i="10"/>
  <c r="V1462" i="10"/>
  <c r="V1461" i="10"/>
  <c r="V1460" i="10"/>
  <c r="V1459" i="10"/>
  <c r="V1458" i="10"/>
  <c r="V1457" i="10"/>
  <c r="V1456" i="10"/>
  <c r="V1455" i="10"/>
  <c r="V1454" i="10"/>
  <c r="V1453" i="10"/>
  <c r="V1452" i="10"/>
  <c r="V1451" i="10"/>
  <c r="V1450" i="10"/>
  <c r="V1449" i="10"/>
  <c r="V1448" i="10"/>
  <c r="V1447" i="10"/>
  <c r="V1446" i="10"/>
  <c r="V1445" i="10"/>
  <c r="V1444" i="10"/>
  <c r="V1443" i="10"/>
  <c r="V1442" i="10"/>
  <c r="V1441" i="10"/>
  <c r="V1440" i="10"/>
  <c r="V1439" i="10"/>
  <c r="V1438" i="10"/>
  <c r="V1437" i="10"/>
  <c r="V1436" i="10"/>
  <c r="V1435" i="10"/>
  <c r="V1434" i="10"/>
  <c r="V1433" i="10"/>
  <c r="V1432" i="10"/>
  <c r="V1431" i="10"/>
  <c r="V1430" i="10"/>
  <c r="V1429" i="10"/>
  <c r="V1428" i="10"/>
  <c r="V1427" i="10"/>
  <c r="V1426" i="10"/>
  <c r="V1425" i="10"/>
  <c r="V1424" i="10"/>
  <c r="V1423" i="10"/>
  <c r="V1422" i="10"/>
  <c r="V1421" i="10"/>
  <c r="V1420" i="10"/>
  <c r="V1419" i="10"/>
  <c r="V1418" i="10"/>
  <c r="V1417" i="10"/>
  <c r="V1416" i="10"/>
  <c r="V1415" i="10"/>
  <c r="V1414" i="10"/>
  <c r="V1413" i="10"/>
  <c r="V1412" i="10"/>
  <c r="V1411" i="10"/>
  <c r="V1410" i="10"/>
  <c r="V1409" i="10"/>
  <c r="V1408" i="10"/>
  <c r="V1407" i="10"/>
  <c r="V1406" i="10"/>
  <c r="V1405" i="10"/>
  <c r="V1404" i="10"/>
  <c r="V1403" i="10"/>
  <c r="V1402" i="10"/>
  <c r="V1401" i="10"/>
  <c r="V1400" i="10"/>
  <c r="V1399" i="10"/>
  <c r="V1398" i="10"/>
  <c r="V1397" i="10"/>
  <c r="V1396" i="10"/>
  <c r="V1395" i="10"/>
  <c r="V1394" i="10"/>
  <c r="V1393" i="10"/>
  <c r="V1392" i="10"/>
  <c r="V1391" i="10"/>
  <c r="V1390" i="10"/>
  <c r="V1389" i="10"/>
  <c r="V1388" i="10"/>
  <c r="V1387" i="10"/>
  <c r="V1386" i="10"/>
  <c r="V1385" i="10"/>
  <c r="V1384" i="10"/>
  <c r="V1383" i="10"/>
  <c r="V1382" i="10"/>
  <c r="V1381" i="10"/>
  <c r="V1380" i="10"/>
  <c r="V1379" i="10"/>
  <c r="V1378" i="10"/>
  <c r="V1377" i="10"/>
  <c r="V1376" i="10"/>
  <c r="V1375" i="10"/>
  <c r="V1374" i="10"/>
  <c r="V1373" i="10"/>
  <c r="V1372" i="10"/>
  <c r="V1371" i="10"/>
  <c r="V1370" i="10"/>
  <c r="V1369" i="10"/>
  <c r="V1368" i="10"/>
  <c r="V1367" i="10"/>
  <c r="V1366" i="10"/>
  <c r="V1365" i="10"/>
  <c r="V1364" i="10"/>
  <c r="V1363" i="10"/>
  <c r="V1362" i="10"/>
  <c r="V1361" i="10"/>
  <c r="V1360" i="10"/>
  <c r="V1359" i="10"/>
  <c r="V1358" i="10"/>
  <c r="V1357" i="10"/>
  <c r="V1356" i="10"/>
  <c r="V1355" i="10"/>
  <c r="V1354" i="10"/>
  <c r="V1353" i="10"/>
  <c r="V1352" i="10"/>
  <c r="V1351" i="10"/>
  <c r="V1350" i="10"/>
  <c r="V1349" i="10"/>
  <c r="V1348" i="10"/>
  <c r="V1347" i="10"/>
  <c r="V1346" i="10"/>
  <c r="V1345" i="10"/>
  <c r="V1344" i="10"/>
  <c r="V1343" i="10"/>
  <c r="V1342" i="10"/>
  <c r="V1341" i="10"/>
  <c r="V1340" i="10"/>
  <c r="V1339" i="10"/>
  <c r="V1338" i="10"/>
  <c r="V1337" i="10"/>
  <c r="V1336" i="10"/>
  <c r="V1335" i="10"/>
  <c r="V1334" i="10"/>
  <c r="V1333" i="10"/>
  <c r="V1332" i="10"/>
  <c r="V1331" i="10"/>
  <c r="V1330" i="10"/>
  <c r="V1329" i="10"/>
  <c r="V1328" i="10"/>
  <c r="V1327" i="10"/>
  <c r="V1326" i="10"/>
  <c r="V1325" i="10"/>
  <c r="V1324" i="10"/>
  <c r="V1323" i="10"/>
  <c r="V1322" i="10"/>
  <c r="V1321" i="10"/>
  <c r="V1320" i="10"/>
  <c r="V1319" i="10"/>
  <c r="V1318" i="10"/>
  <c r="V1317" i="10"/>
  <c r="V1316" i="10"/>
  <c r="V1315" i="10"/>
  <c r="V1314" i="10"/>
  <c r="V1313" i="10"/>
  <c r="V1312" i="10"/>
  <c r="V1311" i="10"/>
  <c r="V1310" i="10"/>
  <c r="V1309" i="10"/>
  <c r="V1308" i="10"/>
  <c r="V1307" i="10"/>
  <c r="V1306" i="10"/>
  <c r="V1305" i="10"/>
  <c r="V1304" i="10"/>
  <c r="V1303" i="10"/>
  <c r="V1302" i="10"/>
  <c r="V1301" i="10"/>
  <c r="V1300" i="10"/>
  <c r="V1299" i="10"/>
  <c r="V1298" i="10"/>
  <c r="V1297" i="10"/>
  <c r="V1296" i="10"/>
  <c r="V1295" i="10"/>
  <c r="V1294" i="10"/>
  <c r="V1293" i="10"/>
  <c r="V1292" i="10"/>
  <c r="V1291" i="10"/>
  <c r="V1290" i="10"/>
  <c r="V1289" i="10"/>
  <c r="V1288" i="10"/>
  <c r="V1287" i="10"/>
  <c r="V1286" i="10"/>
  <c r="V1285" i="10"/>
  <c r="V1284" i="10"/>
  <c r="V1283" i="10"/>
  <c r="V1282" i="10"/>
  <c r="V1281" i="10"/>
  <c r="V1280" i="10"/>
  <c r="V1279" i="10"/>
  <c r="V1278" i="10"/>
  <c r="V1277" i="10"/>
  <c r="V1276" i="10"/>
  <c r="V1275" i="10"/>
  <c r="V1274" i="10"/>
  <c r="V1273" i="10"/>
  <c r="V1272" i="10"/>
  <c r="V1271" i="10"/>
  <c r="V1270" i="10"/>
  <c r="V1269" i="10"/>
  <c r="V1268" i="10"/>
  <c r="V1267" i="10"/>
  <c r="V1266" i="10"/>
  <c r="V1265" i="10"/>
  <c r="V1264" i="10"/>
  <c r="V1263" i="10"/>
  <c r="V1262" i="10"/>
  <c r="V1261" i="10"/>
  <c r="V1260" i="10"/>
  <c r="V1259" i="10"/>
  <c r="V1258" i="10"/>
  <c r="V1257" i="10"/>
  <c r="V1256" i="10"/>
  <c r="V1255" i="10"/>
  <c r="V1254" i="10"/>
  <c r="V1253" i="10"/>
  <c r="V1252" i="10"/>
  <c r="V1251" i="10"/>
  <c r="V1250" i="10"/>
  <c r="V1249" i="10"/>
  <c r="V1248" i="10"/>
  <c r="V1247" i="10"/>
  <c r="V1246" i="10"/>
  <c r="V1245" i="10"/>
  <c r="V1244" i="10"/>
  <c r="V1243" i="10"/>
  <c r="V1242" i="10"/>
  <c r="V1241" i="10"/>
  <c r="V1240" i="10"/>
  <c r="V1239" i="10"/>
  <c r="V1238" i="10"/>
  <c r="V1237" i="10"/>
  <c r="V1236" i="10"/>
  <c r="V1235" i="10"/>
  <c r="V1234" i="10"/>
  <c r="V1233" i="10"/>
  <c r="V1232" i="10"/>
  <c r="V1231" i="10"/>
  <c r="V1230" i="10"/>
  <c r="V1229" i="10"/>
  <c r="V1228" i="10"/>
  <c r="V1227" i="10"/>
  <c r="V1226" i="10"/>
  <c r="V1225" i="10"/>
  <c r="V1224" i="10"/>
  <c r="V1223" i="10"/>
  <c r="V1222" i="10"/>
  <c r="V1221" i="10"/>
  <c r="V1220" i="10"/>
  <c r="V1219" i="10"/>
  <c r="V1218" i="10"/>
  <c r="V1217" i="10"/>
  <c r="V1216" i="10"/>
  <c r="V1215" i="10"/>
  <c r="V1214" i="10"/>
  <c r="V1213" i="10"/>
  <c r="V1212" i="10"/>
  <c r="V1211" i="10"/>
  <c r="V1210" i="10"/>
  <c r="V1209" i="10"/>
  <c r="V1208" i="10"/>
  <c r="V1207" i="10"/>
  <c r="V1206" i="10"/>
  <c r="V1205" i="10"/>
  <c r="V1204" i="10"/>
  <c r="V1203" i="10"/>
  <c r="V1202" i="10"/>
  <c r="V1201" i="10"/>
  <c r="V1200" i="10"/>
  <c r="V1199" i="10"/>
  <c r="V1198" i="10"/>
  <c r="V1197" i="10"/>
  <c r="V1196" i="10"/>
  <c r="V1195" i="10"/>
  <c r="V1194" i="10"/>
  <c r="V1193" i="10"/>
  <c r="V1192" i="10"/>
  <c r="V1191" i="10"/>
  <c r="V1190" i="10"/>
  <c r="V1189" i="10"/>
  <c r="V1188" i="10"/>
  <c r="V1187" i="10"/>
  <c r="V1186" i="10"/>
  <c r="V1185" i="10"/>
  <c r="V1184" i="10"/>
  <c r="V1183" i="10"/>
  <c r="V1182" i="10"/>
  <c r="V1181" i="10"/>
  <c r="V1180" i="10"/>
  <c r="V1179" i="10"/>
  <c r="V1178" i="10"/>
  <c r="V1177" i="10"/>
  <c r="V1176" i="10"/>
  <c r="V1175" i="10"/>
  <c r="V1174" i="10"/>
  <c r="V1173" i="10"/>
  <c r="V1172" i="10"/>
  <c r="V1171" i="10"/>
  <c r="V1170" i="10"/>
  <c r="V1169" i="10"/>
  <c r="V1168" i="10"/>
  <c r="V1167" i="10"/>
  <c r="V1166" i="10"/>
  <c r="V1165" i="10"/>
  <c r="V1164" i="10"/>
  <c r="V1163" i="10"/>
  <c r="V1162" i="10"/>
  <c r="V1161" i="10"/>
  <c r="V1160" i="10"/>
  <c r="V1159" i="10"/>
  <c r="V1158" i="10"/>
  <c r="V1157" i="10"/>
  <c r="V1156" i="10"/>
  <c r="V1155" i="10"/>
  <c r="V1154" i="10"/>
  <c r="V1153" i="10"/>
  <c r="V1152" i="10"/>
  <c r="V1151" i="10"/>
  <c r="V1150" i="10"/>
  <c r="V1149" i="10"/>
  <c r="V1148" i="10"/>
  <c r="V1147" i="10"/>
  <c r="V1146" i="10"/>
  <c r="V1145" i="10"/>
  <c r="V1144" i="10"/>
  <c r="V1143" i="10"/>
  <c r="V1142" i="10"/>
  <c r="V1141" i="10"/>
  <c r="V1140" i="10"/>
  <c r="V1139" i="10"/>
  <c r="V1138" i="10"/>
  <c r="V1137" i="10"/>
  <c r="V1136" i="10"/>
  <c r="V1135" i="10"/>
  <c r="V1134" i="10"/>
  <c r="V1133" i="10"/>
  <c r="V1132" i="10"/>
  <c r="V1131" i="10"/>
  <c r="V1130" i="10"/>
  <c r="V1129" i="10"/>
  <c r="V1128" i="10"/>
  <c r="V1127" i="10"/>
  <c r="V1126" i="10"/>
  <c r="V1125" i="10"/>
  <c r="V1124" i="10"/>
  <c r="V1123" i="10"/>
  <c r="V1122" i="10"/>
  <c r="V1121" i="10"/>
  <c r="V1120" i="10"/>
  <c r="V1119" i="10"/>
  <c r="V1118" i="10"/>
  <c r="V1117" i="10"/>
  <c r="V1116" i="10"/>
  <c r="V1115" i="10"/>
  <c r="V1114" i="10"/>
  <c r="V1113" i="10"/>
  <c r="V1112" i="10"/>
  <c r="V1111" i="10"/>
  <c r="V1110" i="10"/>
  <c r="V1109" i="10"/>
  <c r="V1108" i="10"/>
  <c r="V1107" i="10"/>
  <c r="V1106" i="10"/>
  <c r="V1105" i="10"/>
  <c r="V1104" i="10"/>
  <c r="V1103" i="10"/>
  <c r="V1102" i="10"/>
  <c r="V1101" i="10"/>
  <c r="V1100" i="10"/>
  <c r="V1099" i="10"/>
  <c r="V1098" i="10"/>
  <c r="V1097" i="10"/>
  <c r="V1096" i="10"/>
  <c r="V1095" i="10"/>
  <c r="V1094" i="10"/>
  <c r="V1093" i="10"/>
  <c r="V1092" i="10"/>
  <c r="V1091" i="10"/>
  <c r="V1090" i="10"/>
  <c r="V1089" i="10"/>
  <c r="V1088" i="10"/>
  <c r="V1087" i="10"/>
  <c r="V1086" i="10"/>
  <c r="V1085" i="10"/>
  <c r="V1084" i="10"/>
  <c r="V1083" i="10"/>
  <c r="V1082" i="10"/>
  <c r="V1081" i="10"/>
  <c r="V1080" i="10"/>
  <c r="V1079" i="10"/>
  <c r="V1078" i="10"/>
  <c r="V1077" i="10"/>
  <c r="V1076" i="10"/>
  <c r="V1075" i="10"/>
  <c r="V1074" i="10"/>
  <c r="V1073" i="10"/>
  <c r="V1072" i="10"/>
  <c r="V1071" i="10"/>
  <c r="V1070" i="10"/>
  <c r="V1069" i="10"/>
  <c r="V1068" i="10"/>
  <c r="V1067" i="10"/>
  <c r="V1066" i="10"/>
  <c r="V1065" i="10"/>
  <c r="V1064" i="10"/>
  <c r="V1063" i="10"/>
  <c r="V1062" i="10"/>
  <c r="V1061" i="10"/>
  <c r="V1060" i="10"/>
  <c r="V1059" i="10"/>
  <c r="V1058" i="10"/>
  <c r="V1057" i="10"/>
  <c r="V1056" i="10"/>
  <c r="V1055" i="10"/>
  <c r="V1054" i="10"/>
  <c r="V1053" i="10"/>
  <c r="V1052" i="10"/>
  <c r="V1051" i="10"/>
  <c r="V1050" i="10"/>
  <c r="V1049" i="10"/>
  <c r="V1048" i="10"/>
  <c r="V1047" i="10"/>
  <c r="V1046" i="10"/>
  <c r="V1045" i="10"/>
  <c r="V1044" i="10"/>
  <c r="V1043" i="10"/>
  <c r="V1042" i="10"/>
  <c r="V1041" i="10"/>
  <c r="V1040" i="10"/>
  <c r="V1039" i="10"/>
  <c r="V1038" i="10"/>
  <c r="V1037" i="10"/>
  <c r="V1036" i="10"/>
  <c r="V1035" i="10"/>
  <c r="V1034" i="10"/>
  <c r="V1033" i="10"/>
  <c r="V1032" i="10"/>
  <c r="V1031" i="10"/>
  <c r="V1030" i="10"/>
  <c r="V1029" i="10"/>
  <c r="V1028" i="10"/>
  <c r="V1027" i="10"/>
  <c r="V1026" i="10"/>
  <c r="V1025" i="10"/>
  <c r="V1024" i="10"/>
  <c r="V1023" i="10"/>
  <c r="V1022" i="10"/>
  <c r="V1021" i="10"/>
  <c r="V1020" i="10"/>
  <c r="V1019" i="10"/>
  <c r="V1018" i="10"/>
  <c r="V1017" i="10"/>
  <c r="V1016" i="10"/>
  <c r="V1015" i="10"/>
  <c r="V1014" i="10"/>
  <c r="V1013" i="10"/>
  <c r="V1012" i="10"/>
  <c r="V1011" i="10"/>
  <c r="V1010" i="10"/>
  <c r="V1009" i="10"/>
  <c r="V1008" i="10"/>
  <c r="V1007" i="10"/>
  <c r="V1006" i="10"/>
  <c r="V1005" i="10"/>
  <c r="V1004" i="10"/>
  <c r="V1003" i="10"/>
  <c r="V1002" i="10"/>
  <c r="V1001" i="10"/>
  <c r="V1000" i="10"/>
  <c r="V999" i="10"/>
  <c r="V998" i="10"/>
  <c r="V997" i="10"/>
  <c r="V996" i="10"/>
  <c r="V995" i="10"/>
  <c r="V994" i="10"/>
  <c r="V993" i="10"/>
  <c r="V992" i="10"/>
  <c r="V991" i="10"/>
  <c r="V990" i="10"/>
  <c r="V989" i="10"/>
  <c r="V988" i="10"/>
  <c r="V987" i="10"/>
  <c r="V986" i="10"/>
  <c r="V985" i="10"/>
  <c r="V984" i="10"/>
  <c r="V983" i="10"/>
  <c r="V982" i="10"/>
  <c r="V981" i="10"/>
  <c r="V980" i="10"/>
  <c r="V979" i="10"/>
  <c r="V978" i="10"/>
  <c r="V977" i="10"/>
  <c r="V976" i="10"/>
  <c r="V975" i="10"/>
  <c r="V974" i="10"/>
  <c r="V973" i="10"/>
  <c r="V972" i="10"/>
  <c r="V971" i="10"/>
  <c r="V970" i="10"/>
  <c r="V969" i="10"/>
  <c r="V968" i="10"/>
  <c r="V967" i="10"/>
  <c r="V966" i="10"/>
  <c r="V965" i="10"/>
  <c r="V964" i="10"/>
  <c r="V963" i="10"/>
  <c r="V962" i="10"/>
  <c r="V961" i="10"/>
  <c r="V960" i="10"/>
  <c r="V959" i="10"/>
  <c r="V958" i="10"/>
  <c r="V957" i="10"/>
  <c r="V956" i="10"/>
  <c r="V955" i="10"/>
  <c r="V954" i="10"/>
  <c r="V953" i="10"/>
  <c r="V952" i="10"/>
  <c r="V951" i="10"/>
  <c r="V950" i="10"/>
  <c r="V949" i="10"/>
  <c r="V948" i="10"/>
  <c r="V947" i="10"/>
  <c r="V946" i="10"/>
  <c r="V945" i="10"/>
  <c r="V944" i="10"/>
  <c r="V943" i="10"/>
  <c r="V942" i="10"/>
  <c r="V941" i="10"/>
  <c r="V940" i="10"/>
  <c r="V939" i="10"/>
  <c r="V938" i="10"/>
  <c r="V937" i="10"/>
  <c r="V936" i="10"/>
  <c r="V935" i="10"/>
  <c r="V934" i="10"/>
  <c r="V933" i="10"/>
  <c r="V932" i="10"/>
  <c r="V931" i="10"/>
  <c r="V930" i="10"/>
  <c r="V929" i="10"/>
  <c r="V928" i="10"/>
  <c r="V927" i="10"/>
  <c r="V926" i="10"/>
  <c r="V925" i="10"/>
  <c r="V924" i="10"/>
  <c r="V923" i="10"/>
  <c r="V922" i="10"/>
  <c r="V921" i="10"/>
  <c r="V920" i="10"/>
  <c r="V919" i="10"/>
  <c r="V918" i="10"/>
  <c r="V917" i="10"/>
  <c r="V916" i="10"/>
  <c r="V915" i="10"/>
  <c r="V914" i="10"/>
  <c r="V913" i="10"/>
  <c r="V912" i="10"/>
  <c r="V911" i="10"/>
  <c r="V910" i="10"/>
  <c r="V909" i="10"/>
  <c r="V908" i="10"/>
  <c r="V907" i="10"/>
  <c r="V906" i="10"/>
  <c r="V905" i="10"/>
  <c r="V904" i="10"/>
  <c r="V903" i="10"/>
  <c r="V902" i="10"/>
  <c r="V901" i="10"/>
  <c r="V900" i="10"/>
  <c r="V899" i="10"/>
  <c r="V898" i="10"/>
  <c r="V897" i="10"/>
  <c r="V896" i="10"/>
  <c r="V895" i="10"/>
  <c r="V894" i="10"/>
  <c r="V893" i="10"/>
  <c r="V892" i="10"/>
  <c r="V891" i="10"/>
  <c r="V890" i="10"/>
  <c r="V889" i="10"/>
  <c r="V888" i="10"/>
  <c r="V887" i="10"/>
  <c r="V886" i="10"/>
  <c r="V885" i="10"/>
  <c r="V884" i="10"/>
  <c r="V883" i="10"/>
  <c r="V882" i="10"/>
  <c r="V881" i="10"/>
  <c r="V880" i="10"/>
  <c r="V879" i="10"/>
  <c r="V878" i="10"/>
  <c r="V877" i="10"/>
  <c r="V876" i="10"/>
  <c r="V875" i="10"/>
  <c r="V874" i="10"/>
  <c r="V873" i="10"/>
  <c r="V872" i="10"/>
  <c r="V871" i="10"/>
  <c r="V870" i="10"/>
  <c r="V869" i="10"/>
  <c r="V868" i="10"/>
  <c r="V867" i="10"/>
  <c r="V866" i="10"/>
  <c r="V865" i="10"/>
  <c r="V864" i="10"/>
  <c r="V863" i="10"/>
  <c r="V862" i="10"/>
  <c r="V861" i="10"/>
  <c r="V860" i="10"/>
  <c r="V859" i="10"/>
  <c r="V858" i="10"/>
  <c r="V857" i="10"/>
  <c r="V856" i="10"/>
  <c r="V855" i="10"/>
  <c r="V854" i="10"/>
  <c r="V853" i="10"/>
  <c r="V852" i="10"/>
  <c r="V851" i="10"/>
  <c r="V850" i="10"/>
  <c r="V849" i="10"/>
  <c r="V848" i="10"/>
  <c r="V847" i="10"/>
  <c r="V846" i="10"/>
  <c r="V845" i="10"/>
  <c r="V844" i="10"/>
  <c r="V843" i="10"/>
  <c r="V842" i="10"/>
  <c r="V841" i="10"/>
  <c r="V840" i="10"/>
  <c r="V839" i="10"/>
  <c r="V838" i="10"/>
  <c r="V837" i="10"/>
  <c r="V836" i="10"/>
  <c r="V835" i="10"/>
  <c r="V834" i="10"/>
  <c r="V833" i="10"/>
  <c r="V832" i="10"/>
  <c r="V831" i="10"/>
  <c r="V830" i="10"/>
  <c r="V829" i="10"/>
  <c r="V828" i="10"/>
  <c r="V827" i="10"/>
  <c r="V826" i="10"/>
  <c r="V825" i="10"/>
  <c r="V824" i="10"/>
  <c r="V823" i="10"/>
  <c r="V822" i="10"/>
  <c r="V821" i="10"/>
  <c r="V820" i="10"/>
  <c r="V819" i="10"/>
  <c r="V818" i="10"/>
  <c r="V817" i="10"/>
  <c r="V816" i="10"/>
  <c r="V815" i="10"/>
  <c r="V814" i="10"/>
  <c r="V813" i="10"/>
  <c r="V812" i="10"/>
  <c r="V811" i="10"/>
  <c r="V810" i="10"/>
  <c r="V809" i="10"/>
  <c r="V808" i="10"/>
  <c r="V807" i="10"/>
  <c r="V806" i="10"/>
  <c r="V805" i="10"/>
  <c r="V804" i="10"/>
  <c r="V803" i="10"/>
  <c r="V802" i="10"/>
  <c r="V801" i="10"/>
  <c r="V800" i="10"/>
  <c r="V799" i="10"/>
  <c r="V798" i="10"/>
  <c r="V797" i="10"/>
  <c r="V796" i="10"/>
  <c r="V795" i="10"/>
  <c r="V794" i="10"/>
  <c r="V793" i="10"/>
  <c r="V792" i="10"/>
  <c r="V791" i="10"/>
  <c r="V790" i="10"/>
  <c r="V789" i="10"/>
  <c r="V788" i="10"/>
  <c r="V787" i="10"/>
  <c r="V786" i="10"/>
  <c r="V785" i="10"/>
  <c r="V784" i="10"/>
  <c r="V783" i="10"/>
  <c r="V782" i="10"/>
  <c r="V781" i="10"/>
  <c r="V780" i="10"/>
  <c r="V779" i="10"/>
  <c r="V778" i="10"/>
  <c r="V777" i="10"/>
  <c r="V776" i="10"/>
  <c r="V775" i="10"/>
  <c r="V774" i="10"/>
  <c r="V773" i="10"/>
  <c r="V772" i="10"/>
  <c r="V771" i="10"/>
  <c r="V770" i="10"/>
  <c r="V769" i="10"/>
  <c r="V768" i="10"/>
  <c r="V767" i="10"/>
  <c r="V766" i="10"/>
  <c r="V765" i="10"/>
  <c r="V764" i="10"/>
  <c r="V763" i="10"/>
  <c r="V762" i="10"/>
  <c r="V761" i="10"/>
  <c r="V760" i="10"/>
  <c r="V759" i="10"/>
  <c r="V758" i="10"/>
  <c r="V757" i="10"/>
  <c r="V756" i="10"/>
  <c r="V755" i="10"/>
  <c r="V754" i="10"/>
  <c r="V753" i="10"/>
  <c r="V752" i="10"/>
  <c r="V751" i="10"/>
  <c r="V750" i="10"/>
  <c r="V749" i="10"/>
  <c r="V748" i="10"/>
  <c r="V747" i="10"/>
  <c r="V746" i="10"/>
  <c r="V745" i="10"/>
  <c r="V744" i="10"/>
  <c r="V743" i="10"/>
  <c r="V742" i="10"/>
  <c r="V741" i="10"/>
  <c r="V740" i="10"/>
  <c r="V739" i="10"/>
  <c r="V738" i="10"/>
  <c r="V737" i="10"/>
  <c r="V736" i="10"/>
  <c r="V735" i="10"/>
  <c r="V734" i="10"/>
  <c r="V733" i="10"/>
  <c r="V732" i="10"/>
  <c r="V731" i="10"/>
  <c r="V730" i="10"/>
  <c r="V729" i="10"/>
  <c r="V728" i="10"/>
  <c r="V727" i="10"/>
  <c r="V726" i="10"/>
  <c r="V725" i="10"/>
  <c r="V724" i="10"/>
  <c r="V723" i="10"/>
  <c r="V722" i="10"/>
  <c r="V721" i="10"/>
  <c r="V720" i="10"/>
  <c r="V719" i="10"/>
  <c r="V718" i="10"/>
  <c r="V717" i="10"/>
  <c r="V716" i="10"/>
  <c r="V715" i="10"/>
  <c r="V714" i="10"/>
  <c r="V713" i="10"/>
  <c r="V712" i="10"/>
  <c r="V711" i="10"/>
  <c r="V710" i="10"/>
  <c r="V709" i="10"/>
  <c r="V708" i="10"/>
  <c r="V707" i="10"/>
  <c r="V706" i="10"/>
  <c r="V705" i="10"/>
  <c r="V704" i="10"/>
  <c r="V703" i="10"/>
  <c r="V702" i="10"/>
  <c r="V701" i="10"/>
  <c r="V700" i="10"/>
  <c r="V699" i="10"/>
  <c r="V698" i="10"/>
  <c r="V697" i="10"/>
  <c r="V696" i="10"/>
  <c r="V695" i="10"/>
  <c r="V694" i="10"/>
  <c r="V693" i="10"/>
  <c r="V692" i="10"/>
  <c r="V691" i="10"/>
  <c r="V690" i="10"/>
  <c r="V689" i="10"/>
  <c r="V688" i="10"/>
  <c r="V687" i="10"/>
  <c r="V686" i="10"/>
  <c r="V685" i="10"/>
  <c r="V684" i="10"/>
  <c r="V683" i="10"/>
  <c r="V682" i="10"/>
  <c r="V681" i="10"/>
  <c r="V680" i="10"/>
  <c r="V679" i="10"/>
  <c r="V678" i="10"/>
  <c r="V677" i="10"/>
  <c r="V676" i="10"/>
  <c r="V675" i="10"/>
  <c r="V674" i="10"/>
  <c r="V673" i="10"/>
  <c r="V672" i="10"/>
  <c r="V671" i="10"/>
  <c r="V670" i="10"/>
  <c r="V669" i="10"/>
  <c r="V668" i="10"/>
  <c r="V667" i="10"/>
  <c r="V666" i="10"/>
  <c r="V665" i="10"/>
  <c r="V664" i="10"/>
  <c r="V663" i="10"/>
  <c r="V662" i="10"/>
  <c r="V661" i="10"/>
  <c r="V660" i="10"/>
  <c r="V659" i="10"/>
  <c r="V658" i="10"/>
  <c r="V657" i="10"/>
  <c r="V656" i="10"/>
  <c r="V655" i="10"/>
  <c r="V654" i="10"/>
  <c r="V653" i="10"/>
  <c r="V652" i="10"/>
  <c r="V651" i="10"/>
  <c r="V650" i="10"/>
  <c r="V649" i="10"/>
  <c r="V648" i="10"/>
  <c r="V647" i="10"/>
  <c r="V646" i="10"/>
  <c r="V645" i="10"/>
  <c r="V644" i="10"/>
  <c r="V643" i="10"/>
  <c r="V642" i="10"/>
  <c r="V641" i="10"/>
  <c r="V640" i="10"/>
  <c r="V639" i="10"/>
  <c r="V638" i="10"/>
  <c r="V637" i="10"/>
  <c r="V636" i="10"/>
  <c r="V635" i="10"/>
  <c r="V634" i="10"/>
  <c r="V633" i="10"/>
  <c r="V632" i="10"/>
  <c r="V631" i="10"/>
  <c r="V630" i="10"/>
  <c r="V629" i="10"/>
  <c r="V628" i="10"/>
  <c r="V627" i="10"/>
  <c r="V626" i="10"/>
  <c r="V625" i="10"/>
  <c r="V624" i="10"/>
  <c r="V623" i="10"/>
  <c r="V622" i="10"/>
  <c r="V621" i="10"/>
  <c r="V620" i="10"/>
  <c r="V619" i="10"/>
  <c r="V618" i="10"/>
  <c r="V617" i="10"/>
  <c r="V616" i="10"/>
  <c r="V615" i="10"/>
  <c r="V614" i="10"/>
  <c r="V613" i="10"/>
  <c r="V612" i="10"/>
  <c r="V611" i="10"/>
  <c r="V610" i="10"/>
  <c r="V609" i="10"/>
  <c r="V608" i="10"/>
  <c r="V607" i="10"/>
  <c r="V606" i="10"/>
  <c r="V605" i="10"/>
  <c r="V604" i="10"/>
  <c r="V603" i="10"/>
  <c r="V602" i="10"/>
  <c r="V601" i="10"/>
  <c r="V600" i="10"/>
  <c r="V599" i="10"/>
  <c r="V598" i="10"/>
  <c r="V597" i="10"/>
  <c r="V596" i="10"/>
  <c r="V595" i="10"/>
  <c r="V594" i="10"/>
  <c r="V593" i="10"/>
  <c r="V592" i="10"/>
  <c r="V591" i="10"/>
  <c r="V590" i="10"/>
  <c r="V589" i="10"/>
  <c r="V588" i="10"/>
  <c r="V587" i="10"/>
  <c r="V586" i="10"/>
  <c r="V585" i="10"/>
  <c r="V584" i="10"/>
  <c r="V583" i="10"/>
  <c r="V582" i="10"/>
  <c r="V581" i="10"/>
  <c r="V580" i="10"/>
  <c r="V579" i="10"/>
  <c r="V578" i="10"/>
  <c r="V577" i="10"/>
  <c r="V576" i="10"/>
  <c r="V575" i="10"/>
  <c r="V574" i="10"/>
  <c r="V573" i="10"/>
  <c r="V572" i="10"/>
  <c r="V571" i="10"/>
  <c r="V570" i="10"/>
  <c r="V569" i="10"/>
  <c r="V568" i="10"/>
  <c r="V567" i="10"/>
  <c r="V566" i="10"/>
  <c r="V565" i="10"/>
  <c r="V564" i="10"/>
  <c r="V563" i="10"/>
  <c r="V562" i="10"/>
  <c r="V561" i="10"/>
  <c r="V560" i="10"/>
  <c r="V559" i="10"/>
  <c r="V558" i="10"/>
  <c r="V557" i="10"/>
  <c r="V556" i="10"/>
  <c r="V555" i="10"/>
  <c r="V554" i="10"/>
  <c r="V553" i="10"/>
  <c r="V552" i="10"/>
  <c r="V551" i="10"/>
  <c r="V550" i="10"/>
  <c r="V549" i="10"/>
  <c r="V548" i="10"/>
  <c r="V547" i="10"/>
  <c r="V546" i="10"/>
  <c r="V545" i="10"/>
  <c r="V544" i="10"/>
  <c r="V543" i="10"/>
  <c r="V542" i="10"/>
  <c r="V541" i="10"/>
  <c r="V540" i="10"/>
  <c r="V539" i="10"/>
  <c r="V538" i="10"/>
  <c r="V537" i="10"/>
  <c r="V536" i="10"/>
  <c r="V535" i="10"/>
  <c r="V534" i="10"/>
  <c r="V533" i="10"/>
  <c r="V532" i="10"/>
  <c r="V531" i="10"/>
  <c r="V530" i="10"/>
  <c r="V529" i="10"/>
  <c r="V528" i="10"/>
  <c r="V527" i="10"/>
  <c r="V526" i="10"/>
  <c r="V525" i="10"/>
  <c r="V524" i="10"/>
  <c r="V523" i="10"/>
  <c r="V522" i="10"/>
  <c r="V521" i="10"/>
  <c r="V520" i="10"/>
  <c r="V519" i="10"/>
  <c r="V518" i="10"/>
  <c r="V517" i="10"/>
  <c r="V516" i="10"/>
  <c r="V515" i="10"/>
  <c r="V514" i="10"/>
  <c r="V513" i="10"/>
  <c r="V512" i="10"/>
  <c r="V511" i="10"/>
  <c r="V510" i="10"/>
  <c r="V509" i="10"/>
  <c r="V508" i="10"/>
  <c r="V507" i="10"/>
  <c r="V506" i="10"/>
  <c r="V505" i="10"/>
  <c r="V504" i="10"/>
  <c r="V503" i="10"/>
  <c r="V502" i="10"/>
  <c r="V501" i="10"/>
  <c r="V500" i="10"/>
  <c r="V499" i="10"/>
  <c r="V498" i="10"/>
  <c r="V497" i="10"/>
  <c r="V496" i="10"/>
  <c r="V495" i="10"/>
  <c r="V494" i="10"/>
  <c r="V493" i="10"/>
  <c r="V492" i="10"/>
  <c r="V491" i="10"/>
  <c r="V490" i="10"/>
  <c r="V489" i="10"/>
  <c r="V488" i="10"/>
  <c r="V487" i="10"/>
  <c r="V486" i="10"/>
  <c r="V485" i="10"/>
  <c r="V484" i="10"/>
  <c r="V483" i="10"/>
  <c r="V482" i="10"/>
  <c r="V481" i="10"/>
  <c r="V480" i="10"/>
  <c r="V479" i="10"/>
  <c r="V478" i="10"/>
  <c r="V477" i="10"/>
  <c r="V476" i="10"/>
  <c r="V475" i="10"/>
  <c r="V474" i="10"/>
  <c r="V473" i="10"/>
  <c r="V472" i="10"/>
  <c r="V471" i="10"/>
  <c r="V470" i="10"/>
  <c r="V469" i="10"/>
  <c r="V468" i="10"/>
  <c r="V467" i="10"/>
  <c r="V466" i="10"/>
  <c r="V465" i="10"/>
  <c r="V464" i="10"/>
  <c r="V463" i="10"/>
  <c r="V462" i="10"/>
  <c r="V461" i="10"/>
  <c r="V460" i="10"/>
  <c r="V459" i="10"/>
  <c r="V458" i="10"/>
  <c r="V457" i="10"/>
  <c r="V456" i="10"/>
  <c r="V455" i="10"/>
  <c r="V454" i="10"/>
  <c r="V453" i="10"/>
  <c r="V452" i="10"/>
  <c r="V451" i="10"/>
  <c r="V450" i="10"/>
  <c r="V449" i="10"/>
  <c r="V448" i="10"/>
  <c r="V447" i="10"/>
  <c r="V446" i="10"/>
  <c r="V445" i="10"/>
  <c r="V444" i="10"/>
  <c r="V443" i="10"/>
  <c r="V442" i="10"/>
  <c r="V441" i="10"/>
  <c r="V440" i="10"/>
  <c r="V439" i="10"/>
  <c r="V438" i="10"/>
  <c r="V437" i="10"/>
  <c r="V436" i="10"/>
  <c r="V435" i="10"/>
  <c r="V434" i="10"/>
  <c r="V433" i="10"/>
  <c r="V432" i="10"/>
  <c r="V431" i="10"/>
  <c r="V430" i="10"/>
  <c r="V429" i="10"/>
  <c r="V428" i="10"/>
  <c r="V427" i="10"/>
  <c r="V426" i="10"/>
  <c r="V425" i="10"/>
  <c r="V424" i="10"/>
  <c r="V423" i="10"/>
  <c r="V422" i="10"/>
  <c r="V421" i="10"/>
  <c r="V420" i="10"/>
  <c r="V419" i="10"/>
  <c r="V418" i="10"/>
  <c r="V417" i="10"/>
  <c r="V416" i="10"/>
  <c r="V415" i="10"/>
  <c r="V414" i="10"/>
  <c r="V413" i="10"/>
  <c r="V412" i="10"/>
  <c r="V411" i="10"/>
  <c r="V410" i="10"/>
  <c r="V409" i="10"/>
  <c r="V408" i="10"/>
  <c r="V407" i="10"/>
  <c r="V406" i="10"/>
  <c r="V405" i="10"/>
  <c r="V404" i="10"/>
  <c r="V403" i="10"/>
  <c r="V402" i="10"/>
  <c r="V401" i="10"/>
  <c r="V400" i="10"/>
  <c r="V399" i="10"/>
  <c r="V398" i="10"/>
  <c r="V397" i="10"/>
  <c r="V396" i="10"/>
  <c r="V395" i="10"/>
  <c r="V394" i="10"/>
  <c r="V393" i="10"/>
  <c r="V392" i="10"/>
  <c r="V391" i="10"/>
  <c r="V390" i="10"/>
  <c r="V389" i="10"/>
  <c r="V388" i="10"/>
  <c r="V387" i="10"/>
  <c r="V386" i="10"/>
  <c r="V385" i="10"/>
  <c r="V384" i="10"/>
  <c r="V383" i="10"/>
  <c r="V382" i="10"/>
  <c r="V381" i="10"/>
  <c r="V380" i="10"/>
  <c r="V379" i="10"/>
  <c r="V378" i="10"/>
  <c r="V377" i="10"/>
  <c r="V376" i="10"/>
  <c r="V375" i="10"/>
  <c r="V374" i="10"/>
  <c r="V373" i="10"/>
  <c r="V372" i="10"/>
  <c r="V371" i="10"/>
  <c r="V370" i="10"/>
  <c r="V369" i="10"/>
  <c r="V368" i="10"/>
  <c r="V367" i="10"/>
  <c r="V366" i="10"/>
  <c r="V365" i="10"/>
  <c r="V364" i="10"/>
  <c r="V363" i="10"/>
  <c r="V362" i="10"/>
  <c r="V361" i="10"/>
  <c r="V360" i="10"/>
  <c r="V359" i="10"/>
  <c r="V358" i="10"/>
  <c r="V357" i="10"/>
  <c r="V356" i="10"/>
  <c r="V355" i="10"/>
  <c r="V354" i="10"/>
  <c r="V353" i="10"/>
  <c r="V352" i="10"/>
  <c r="V351" i="10"/>
  <c r="V350" i="10"/>
  <c r="V349" i="10"/>
  <c r="V348" i="10"/>
  <c r="V347" i="10"/>
  <c r="V346" i="10"/>
  <c r="V345" i="10"/>
  <c r="V344" i="10"/>
  <c r="V343" i="10"/>
  <c r="V342" i="10"/>
  <c r="V341" i="10"/>
  <c r="V340" i="10"/>
  <c r="V339" i="10"/>
  <c r="V338" i="10"/>
  <c r="V337" i="10"/>
  <c r="V336" i="10"/>
  <c r="V335" i="10"/>
  <c r="V334" i="10"/>
  <c r="V333" i="10"/>
  <c r="V332" i="10"/>
  <c r="V331" i="10"/>
  <c r="V330" i="10"/>
  <c r="V329" i="10"/>
  <c r="V328" i="10"/>
  <c r="V327" i="10"/>
  <c r="V326" i="10"/>
  <c r="V325" i="10"/>
  <c r="V324" i="10"/>
  <c r="V323" i="10"/>
  <c r="V322" i="10"/>
  <c r="V321" i="10"/>
  <c r="V320" i="10"/>
  <c r="V319" i="10"/>
  <c r="V318" i="10"/>
  <c r="V317" i="10"/>
  <c r="V316" i="10"/>
  <c r="V315" i="10"/>
  <c r="V314" i="10"/>
  <c r="V313" i="10"/>
  <c r="V312" i="10"/>
  <c r="V311" i="10"/>
  <c r="V310" i="10"/>
  <c r="V309" i="10"/>
  <c r="V308" i="10"/>
  <c r="V307" i="10"/>
  <c r="V306" i="10"/>
  <c r="V305" i="10"/>
  <c r="V304" i="10"/>
  <c r="V303" i="10"/>
  <c r="V302" i="10"/>
  <c r="V301" i="10"/>
  <c r="V300" i="10"/>
  <c r="V299" i="10"/>
  <c r="V298" i="10"/>
  <c r="V297" i="10"/>
  <c r="V296" i="10"/>
  <c r="V295" i="10"/>
  <c r="V294" i="10"/>
  <c r="V293" i="10"/>
  <c r="V292" i="10"/>
  <c r="V291" i="10"/>
  <c r="V290" i="10"/>
  <c r="V289" i="10"/>
  <c r="V288" i="10"/>
  <c r="V287" i="10"/>
  <c r="V286" i="10"/>
  <c r="V285" i="10"/>
  <c r="V284" i="10"/>
  <c r="V283" i="10"/>
  <c r="V282" i="10"/>
  <c r="V281" i="10"/>
  <c r="V280" i="10"/>
  <c r="V279" i="10"/>
  <c r="V278" i="10"/>
  <c r="V277" i="10"/>
  <c r="V276" i="10"/>
  <c r="V275" i="10"/>
  <c r="V274" i="10"/>
  <c r="V273" i="10"/>
  <c r="V272" i="10"/>
  <c r="V271" i="10"/>
  <c r="V270" i="10"/>
  <c r="V269" i="10"/>
  <c r="V268" i="10"/>
  <c r="V267" i="10"/>
  <c r="V266" i="10"/>
  <c r="V265" i="10"/>
  <c r="V264" i="10"/>
  <c r="V263" i="10"/>
  <c r="V262" i="10"/>
  <c r="V261" i="10"/>
  <c r="V260" i="10"/>
  <c r="V259" i="10"/>
  <c r="V258" i="10"/>
  <c r="V257" i="10"/>
  <c r="V256" i="10"/>
  <c r="V255" i="10"/>
  <c r="V254" i="10"/>
  <c r="V253" i="10"/>
  <c r="V252" i="10"/>
  <c r="V251" i="10"/>
  <c r="V250" i="10"/>
  <c r="V249" i="10"/>
  <c r="V248" i="10"/>
  <c r="V247" i="10"/>
  <c r="V246" i="10"/>
  <c r="V245" i="10"/>
  <c r="V244" i="10"/>
  <c r="V243" i="10"/>
  <c r="V242" i="10"/>
  <c r="V241" i="10"/>
  <c r="V240" i="10"/>
  <c r="V239" i="10"/>
  <c r="V238" i="10"/>
  <c r="V237" i="10"/>
  <c r="V236" i="10"/>
  <c r="V235" i="10"/>
  <c r="V234" i="10"/>
  <c r="V233" i="10"/>
  <c r="V232" i="10"/>
  <c r="V231" i="10"/>
  <c r="V230" i="10"/>
  <c r="V229" i="10"/>
  <c r="V228" i="10"/>
  <c r="V227" i="10"/>
  <c r="V226" i="10"/>
  <c r="V225" i="10"/>
  <c r="V224" i="10"/>
  <c r="V223" i="10"/>
  <c r="V222" i="10"/>
  <c r="V221" i="10"/>
  <c r="V220" i="10"/>
  <c r="V219" i="10"/>
  <c r="V218" i="10"/>
  <c r="V217" i="10"/>
  <c r="V216" i="10"/>
  <c r="V215" i="10"/>
  <c r="V214" i="10"/>
  <c r="V213" i="10"/>
  <c r="V212" i="10"/>
  <c r="V211" i="10"/>
  <c r="V210" i="10"/>
  <c r="V209" i="10"/>
  <c r="V208" i="10"/>
  <c r="V207" i="10"/>
  <c r="V206" i="10"/>
  <c r="V205" i="10"/>
  <c r="V204" i="10"/>
  <c r="V203" i="10"/>
  <c r="V202" i="10"/>
  <c r="V201" i="10"/>
  <c r="V200" i="10"/>
  <c r="V199" i="10"/>
  <c r="V198" i="10"/>
  <c r="V197" i="10"/>
  <c r="V196" i="10"/>
  <c r="V195" i="10"/>
  <c r="V194" i="10"/>
  <c r="V193" i="10"/>
  <c r="V192" i="10"/>
  <c r="V191" i="10"/>
  <c r="V190" i="10"/>
  <c r="V189" i="10"/>
  <c r="V188" i="10"/>
  <c r="V187" i="10"/>
  <c r="V186" i="10"/>
  <c r="V185" i="10"/>
  <c r="V184" i="10"/>
  <c r="V183" i="10"/>
  <c r="V182" i="10"/>
  <c r="V181" i="10"/>
  <c r="V180" i="10"/>
  <c r="V179" i="10"/>
  <c r="V178" i="10"/>
  <c r="V177" i="10"/>
  <c r="V176" i="10"/>
  <c r="V175" i="10"/>
  <c r="V174" i="10"/>
  <c r="V173" i="10"/>
  <c r="V172" i="10"/>
  <c r="V171" i="10"/>
  <c r="V170" i="10"/>
  <c r="V169" i="10"/>
  <c r="V168" i="10"/>
  <c r="V167" i="10"/>
  <c r="V166" i="10"/>
  <c r="V165" i="10"/>
  <c r="V164" i="10"/>
  <c r="V163" i="10"/>
  <c r="V162" i="10"/>
  <c r="V161" i="10"/>
  <c r="V160" i="10"/>
  <c r="V159" i="10"/>
  <c r="V158" i="10"/>
  <c r="V157" i="10"/>
  <c r="V156" i="10"/>
  <c r="V155" i="10"/>
  <c r="V154" i="10"/>
  <c r="V153" i="10"/>
  <c r="V152" i="10"/>
  <c r="V151" i="10"/>
  <c r="V150" i="10"/>
  <c r="V149" i="10"/>
  <c r="V148" i="10"/>
  <c r="V147" i="10"/>
  <c r="V146" i="10"/>
  <c r="V145" i="10"/>
  <c r="V144" i="10"/>
  <c r="V143" i="10"/>
  <c r="V142" i="10"/>
  <c r="V141" i="10"/>
  <c r="V140" i="10"/>
  <c r="V139" i="10"/>
  <c r="V138" i="10"/>
  <c r="V137" i="10"/>
  <c r="V136" i="10"/>
  <c r="V135" i="10"/>
  <c r="V134" i="10"/>
  <c r="V133" i="10"/>
  <c r="V132" i="10"/>
  <c r="V131" i="10"/>
  <c r="V130" i="10"/>
  <c r="V129" i="10"/>
  <c r="V128" i="10"/>
  <c r="V127" i="10"/>
  <c r="V126" i="10"/>
  <c r="V125" i="10"/>
  <c r="V124" i="10"/>
  <c r="V123" i="10"/>
  <c r="V122" i="10"/>
  <c r="V121" i="10"/>
  <c r="V120" i="10"/>
  <c r="V119" i="10"/>
  <c r="V118" i="10"/>
  <c r="V117" i="10"/>
  <c r="V116" i="10"/>
  <c r="V115" i="10"/>
  <c r="V114" i="10"/>
  <c r="V113" i="10"/>
  <c r="V112" i="10"/>
  <c r="V111" i="10"/>
  <c r="V110" i="10"/>
  <c r="V109" i="10"/>
  <c r="V108" i="10"/>
  <c r="V107" i="10"/>
  <c r="V106" i="10"/>
  <c r="V105" i="10"/>
  <c r="V104" i="10"/>
  <c r="V103" i="10"/>
  <c r="V102" i="10"/>
  <c r="V101" i="10"/>
  <c r="V100" i="10"/>
  <c r="V99" i="10"/>
  <c r="V98" i="10"/>
  <c r="V97" i="10"/>
  <c r="V96" i="10"/>
  <c r="V95" i="10"/>
  <c r="V94" i="10"/>
  <c r="V93" i="10"/>
  <c r="V92" i="10"/>
  <c r="V91" i="10"/>
  <c r="V90" i="10"/>
  <c r="V89" i="10"/>
  <c r="V88" i="10"/>
  <c r="V87" i="10"/>
  <c r="V86" i="10"/>
  <c r="V85" i="10"/>
  <c r="V84" i="10"/>
  <c r="V83" i="10"/>
  <c r="V82" i="10"/>
  <c r="V81" i="10"/>
  <c r="V80" i="10"/>
  <c r="V79" i="10"/>
  <c r="V78" i="10"/>
  <c r="V77" i="10"/>
  <c r="V76" i="10"/>
  <c r="V75" i="10"/>
  <c r="V74" i="10"/>
  <c r="V73" i="10"/>
  <c r="V72" i="10"/>
  <c r="V71" i="10"/>
  <c r="V70" i="10"/>
  <c r="V69" i="10"/>
  <c r="V68" i="10"/>
  <c r="V67" i="10"/>
  <c r="V66" i="10"/>
  <c r="V65" i="10"/>
  <c r="V64" i="10"/>
  <c r="V63" i="10"/>
  <c r="V62" i="10"/>
  <c r="V61" i="10"/>
  <c r="V60" i="10"/>
  <c r="V59" i="10"/>
  <c r="V58" i="10"/>
  <c r="V57" i="10"/>
  <c r="V56" i="10"/>
  <c r="V55" i="10"/>
  <c r="V54" i="10"/>
  <c r="V53" i="10"/>
  <c r="V52" i="10"/>
  <c r="V51" i="10"/>
  <c r="V50" i="10"/>
  <c r="V49" i="10"/>
  <c r="V48" i="10"/>
  <c r="V47" i="10"/>
  <c r="V46" i="10"/>
  <c r="V45" i="10"/>
  <c r="V44" i="10"/>
  <c r="V43" i="10"/>
  <c r="V42" i="10"/>
  <c r="V41" i="10"/>
  <c r="V40" i="10"/>
  <c r="V39" i="10"/>
  <c r="V38" i="10"/>
  <c r="V37" i="10"/>
  <c r="V36" i="10"/>
  <c r="V35" i="10"/>
  <c r="V34" i="10"/>
  <c r="V33" i="10"/>
  <c r="V32" i="10"/>
  <c r="V31" i="10"/>
  <c r="V30" i="10"/>
  <c r="V29" i="10"/>
  <c r="V28" i="10"/>
  <c r="V27" i="10"/>
  <c r="V26" i="10"/>
  <c r="V25" i="10"/>
  <c r="V24" i="10"/>
  <c r="V23" i="10"/>
  <c r="V22" i="10"/>
  <c r="V21" i="10"/>
  <c r="V20" i="10"/>
  <c r="V19" i="10"/>
  <c r="V18" i="10"/>
  <c r="V17" i="10"/>
  <c r="V16" i="10"/>
  <c r="V15" i="10"/>
  <c r="V14" i="10"/>
  <c r="V13" i="10"/>
  <c r="V12" i="10"/>
  <c r="V11" i="10"/>
  <c r="V10" i="10"/>
  <c r="V9" i="10"/>
  <c r="V8" i="10"/>
  <c r="V7" i="10"/>
  <c r="V6" i="10"/>
  <c r="V5" i="10"/>
  <c r="V4" i="10"/>
  <c r="V3" i="10"/>
  <c r="V2" i="10"/>
  <c r="X1896" i="3"/>
  <c r="V486" i="3"/>
  <c r="W486" i="3"/>
  <c r="X486" i="3"/>
  <c r="Y486" i="3"/>
  <c r="Z486" i="3" a="1"/>
  <c r="Z486" i="3"/>
  <c r="AA486" i="3" a="1"/>
  <c r="AA486" i="3"/>
  <c r="AB486" i="3" a="1"/>
  <c r="AB486" i="3"/>
  <c r="AC486" i="3" a="1"/>
  <c r="AC486" i="3"/>
  <c r="AD486" i="3" a="1"/>
  <c r="AD486" i="3"/>
  <c r="AE486" i="3" a="1"/>
  <c r="AE486" i="3"/>
  <c r="AF486" i="3"/>
  <c r="AG486" i="3"/>
  <c r="V487" i="3"/>
  <c r="W487" i="3"/>
  <c r="X487" i="3"/>
  <c r="Y487" i="3"/>
  <c r="Z487" i="3" a="1"/>
  <c r="Z487" i="3"/>
  <c r="AA487" i="3" a="1"/>
  <c r="AA487" i="3"/>
  <c r="AB487" i="3" a="1"/>
  <c r="AB487" i="3"/>
  <c r="AC487" i="3" a="1"/>
  <c r="AC487" i="3"/>
  <c r="AD487" i="3" a="1"/>
  <c r="AD487" i="3"/>
  <c r="AE487" i="3" a="1"/>
  <c r="AE487" i="3"/>
  <c r="AF487" i="3"/>
  <c r="AG487" i="3"/>
  <c r="V488" i="3"/>
  <c r="W488" i="3"/>
  <c r="X488" i="3"/>
  <c r="Y488" i="3"/>
  <c r="Z488" i="3" a="1"/>
  <c r="Z488" i="3"/>
  <c r="AA488" i="3" a="1"/>
  <c r="AA488" i="3"/>
  <c r="AB488" i="3" a="1"/>
  <c r="AB488" i="3"/>
  <c r="AC488" i="3" a="1"/>
  <c r="AC488" i="3"/>
  <c r="AD488" i="3" a="1"/>
  <c r="AD488" i="3"/>
  <c r="AE488" i="3" a="1"/>
  <c r="AE488" i="3" s="1"/>
  <c r="AF488" i="3"/>
  <c r="AG488" i="3"/>
  <c r="V489" i="3"/>
  <c r="W489" i="3"/>
  <c r="X489" i="3"/>
  <c r="Y489" i="3"/>
  <c r="Z489" i="3" a="1"/>
  <c r="Z489" i="3" s="1"/>
  <c r="AA489" i="3" a="1"/>
  <c r="AA489" i="3"/>
  <c r="AB489" i="3" a="1"/>
  <c r="AB489" i="3" s="1"/>
  <c r="AC489" i="3" a="1"/>
  <c r="AC489" i="3" s="1"/>
  <c r="AD489" i="3" a="1"/>
  <c r="AD489" i="3" s="1"/>
  <c r="AE489" i="3" a="1"/>
  <c r="AE489" i="3"/>
  <c r="AF489" i="3"/>
  <c r="AG489" i="3"/>
  <c r="V490" i="3"/>
  <c r="W490" i="3"/>
  <c r="X490" i="3"/>
  <c r="Y490" i="3"/>
  <c r="Z490" i="3" a="1"/>
  <c r="Z490" i="3" s="1"/>
  <c r="AA490" i="3" a="1"/>
  <c r="AA490" i="3" s="1"/>
  <c r="AB490" i="3" a="1"/>
  <c r="AB490" i="3" s="1"/>
  <c r="AC490" i="3" a="1"/>
  <c r="AC490" i="3" s="1"/>
  <c r="AD490" i="3" a="1"/>
  <c r="AD490" i="3" s="1"/>
  <c r="AE490" i="3" a="1"/>
  <c r="AE490" i="3"/>
  <c r="AF490" i="3"/>
  <c r="AG490" i="3" s="1"/>
  <c r="V491" i="3"/>
  <c r="W491" i="3"/>
  <c r="X491" i="3"/>
  <c r="Y491" i="3"/>
  <c r="Z491" i="3" a="1"/>
  <c r="Z491" i="3" s="1"/>
  <c r="AA491" i="3" a="1"/>
  <c r="AA491" i="3" s="1"/>
  <c r="AB491" i="3" a="1"/>
  <c r="AB491" i="3" s="1"/>
  <c r="AC491" i="3" a="1"/>
  <c r="AC491" i="3" s="1"/>
  <c r="AD491" i="3" a="1"/>
  <c r="AD491" i="3" s="1"/>
  <c r="AE491" i="3" a="1"/>
  <c r="AE491" i="3" s="1"/>
  <c r="AF491" i="3"/>
  <c r="AG491" i="3" s="1"/>
  <c r="H75" i="9"/>
  <c r="H77" i="9"/>
  <c r="H93" i="9"/>
  <c r="G25" i="9"/>
  <c r="H25" i="9" s="1"/>
  <c r="G26" i="9"/>
  <c r="H26" i="9" s="1"/>
  <c r="G27" i="9"/>
  <c r="H27" i="9" s="1"/>
  <c r="G28" i="9"/>
  <c r="H28" i="9" s="1"/>
  <c r="G29" i="9"/>
  <c r="H29" i="9" s="1"/>
  <c r="G30" i="9"/>
  <c r="H30" i="9" s="1"/>
  <c r="G31" i="9"/>
  <c r="H31" i="9" s="1"/>
  <c r="G32" i="9"/>
  <c r="H32" i="9" s="1"/>
  <c r="G33" i="9"/>
  <c r="H33" i="9" s="1"/>
  <c r="G34" i="9"/>
  <c r="H34" i="9" s="1"/>
  <c r="G35" i="9"/>
  <c r="H35" i="9" s="1"/>
  <c r="G36" i="9"/>
  <c r="H36" i="9" s="1"/>
  <c r="G37" i="9"/>
  <c r="H37" i="9" s="1"/>
  <c r="G38" i="9"/>
  <c r="H38" i="9" s="1"/>
  <c r="G39" i="9"/>
  <c r="H39" i="9" s="1"/>
  <c r="G40" i="9"/>
  <c r="H40" i="9" s="1"/>
  <c r="G41" i="9"/>
  <c r="H41" i="9" s="1"/>
  <c r="G42" i="9"/>
  <c r="H42" i="9" s="1"/>
  <c r="G43" i="9"/>
  <c r="H43" i="9" s="1"/>
  <c r="G44" i="9"/>
  <c r="H44" i="9" s="1"/>
  <c r="G45" i="9"/>
  <c r="H45" i="9" s="1"/>
  <c r="G46" i="9"/>
  <c r="H46" i="9" s="1"/>
  <c r="G47" i="9"/>
  <c r="H47" i="9" s="1"/>
  <c r="G48" i="9"/>
  <c r="H48" i="9" s="1"/>
  <c r="G49" i="9"/>
  <c r="H49" i="9" s="1"/>
  <c r="G50" i="9"/>
  <c r="H50" i="9" s="1"/>
  <c r="G51" i="9"/>
  <c r="H51" i="9" s="1"/>
  <c r="G52" i="9"/>
  <c r="H52" i="9" s="1"/>
  <c r="G53" i="9"/>
  <c r="H53" i="9" s="1"/>
  <c r="G54" i="9"/>
  <c r="H54" i="9" s="1"/>
  <c r="G55" i="9"/>
  <c r="H55" i="9" s="1"/>
  <c r="G56" i="9"/>
  <c r="H56" i="9" s="1"/>
  <c r="G57" i="9"/>
  <c r="H57" i="9" s="1"/>
  <c r="G58" i="9"/>
  <c r="H58" i="9" s="1"/>
  <c r="G59" i="9"/>
  <c r="H59" i="9" s="1"/>
  <c r="G60" i="9"/>
  <c r="H60" i="9" s="1"/>
  <c r="G61" i="9"/>
  <c r="H61" i="9" s="1"/>
  <c r="G62" i="9"/>
  <c r="H62" i="9" s="1"/>
  <c r="G63" i="9"/>
  <c r="H63" i="9" s="1"/>
  <c r="G64" i="9"/>
  <c r="H64" i="9" s="1"/>
  <c r="G65" i="9"/>
  <c r="H65" i="9" s="1"/>
  <c r="G66" i="9"/>
  <c r="H66" i="9" s="1"/>
  <c r="G67" i="9"/>
  <c r="H67" i="9" s="1"/>
  <c r="G68" i="9"/>
  <c r="H68" i="9" s="1"/>
  <c r="G69" i="9"/>
  <c r="H69" i="9" s="1"/>
  <c r="G70" i="9"/>
  <c r="H70" i="9" s="1"/>
  <c r="G71" i="9"/>
  <c r="H71" i="9" s="1"/>
  <c r="G72" i="9"/>
  <c r="H72" i="9" s="1"/>
  <c r="G73" i="9"/>
  <c r="H73" i="9" s="1"/>
  <c r="G74" i="9"/>
  <c r="H74" i="9" s="1"/>
  <c r="G75" i="9"/>
  <c r="G76" i="9"/>
  <c r="H76" i="9" s="1"/>
  <c r="G77" i="9"/>
  <c r="G78" i="9"/>
  <c r="H78" i="9" s="1"/>
  <c r="G79" i="9"/>
  <c r="H79" i="9" s="1"/>
  <c r="G80" i="9"/>
  <c r="H80" i="9" s="1"/>
  <c r="G81" i="9"/>
  <c r="H81" i="9" s="1"/>
  <c r="G82" i="9"/>
  <c r="H82" i="9" s="1"/>
  <c r="G83" i="9"/>
  <c r="H83" i="9" s="1"/>
  <c r="G84" i="9"/>
  <c r="H84" i="9" s="1"/>
  <c r="G85" i="9"/>
  <c r="H85" i="9" s="1"/>
  <c r="G86" i="9"/>
  <c r="H86" i="9" s="1"/>
  <c r="G87" i="9"/>
  <c r="H87" i="9" s="1"/>
  <c r="G88" i="9"/>
  <c r="H88" i="9" s="1"/>
  <c r="G89" i="9"/>
  <c r="H89" i="9" s="1"/>
  <c r="G90" i="9"/>
  <c r="H90" i="9" s="1"/>
  <c r="G91" i="9"/>
  <c r="H91" i="9" s="1"/>
  <c r="G92" i="9"/>
  <c r="H92" i="9" s="1"/>
  <c r="G93" i="9"/>
  <c r="G94" i="9"/>
  <c r="H94" i="9" s="1"/>
  <c r="G95" i="9"/>
  <c r="H95" i="9" s="1"/>
  <c r="G96" i="9"/>
  <c r="H96" i="9" s="1"/>
  <c r="G97" i="9"/>
  <c r="H97" i="9" s="1"/>
  <c r="G98" i="9"/>
  <c r="H98" i="9" s="1"/>
  <c r="G99" i="9"/>
  <c r="H99" i="9" s="1"/>
  <c r="G100" i="9"/>
  <c r="H100" i="9" s="1"/>
  <c r="G101" i="9"/>
  <c r="H101" i="9" s="1"/>
  <c r="G102" i="9"/>
  <c r="H102" i="9" s="1"/>
  <c r="G103" i="9"/>
  <c r="H103" i="9" s="1"/>
  <c r="G104" i="9"/>
  <c r="H104" i="9" s="1"/>
  <c r="G105" i="9"/>
  <c r="H105" i="9" s="1"/>
  <c r="G106" i="9"/>
  <c r="H106" i="9" s="1"/>
  <c r="G107" i="9"/>
  <c r="H107" i="9" s="1"/>
  <c r="G108" i="9"/>
  <c r="H108" i="9" s="1"/>
  <c r="G109" i="9"/>
  <c r="H109" i="9" s="1"/>
  <c r="G110" i="9"/>
  <c r="H110" i="9" s="1"/>
  <c r="G111" i="9"/>
  <c r="H111" i="9" s="1"/>
  <c r="G112" i="9"/>
  <c r="H112" i="9" s="1"/>
  <c r="G113" i="9"/>
  <c r="H113" i="9" s="1"/>
  <c r="G114" i="9"/>
  <c r="H114" i="9" s="1"/>
  <c r="G115" i="9"/>
  <c r="H115" i="9" s="1"/>
  <c r="G116" i="9"/>
  <c r="H116" i="9" s="1"/>
  <c r="G117" i="9"/>
  <c r="H117" i="9" s="1"/>
  <c r="G118" i="9"/>
  <c r="H118" i="9" s="1"/>
  <c r="G119" i="9"/>
  <c r="H119" i="9" s="1"/>
  <c r="G120" i="9"/>
  <c r="H120" i="9" s="1"/>
  <c r="G121" i="9"/>
  <c r="H121" i="9" s="1"/>
  <c r="G122" i="9"/>
  <c r="H122" i="9" s="1"/>
  <c r="G123" i="9"/>
  <c r="H123" i="9" s="1"/>
  <c r="G124" i="9"/>
  <c r="H124" i="9" s="1"/>
  <c r="G125" i="9"/>
  <c r="H125" i="9" s="1"/>
  <c r="G126" i="9"/>
  <c r="H126" i="9" s="1"/>
  <c r="G127" i="9"/>
  <c r="H127" i="9" s="1"/>
  <c r="G128" i="9"/>
  <c r="H128" i="9" s="1"/>
  <c r="G129" i="9"/>
  <c r="H129" i="9" s="1"/>
  <c r="G130" i="9"/>
  <c r="H130" i="9" s="1"/>
  <c r="G131" i="9"/>
  <c r="H131" i="9" s="1"/>
  <c r="G132" i="9"/>
  <c r="H132" i="9" s="1"/>
  <c r="G133" i="9"/>
  <c r="H133" i="9" s="1"/>
  <c r="G134" i="9"/>
  <c r="H134" i="9" s="1"/>
  <c r="G135" i="9"/>
  <c r="H135" i="9" s="1"/>
  <c r="G136" i="9"/>
  <c r="H136" i="9" s="1"/>
  <c r="G137" i="9"/>
  <c r="H137" i="9" s="1"/>
  <c r="G138" i="9"/>
  <c r="H138" i="9" s="1"/>
  <c r="G139" i="9"/>
  <c r="H139" i="9" s="1"/>
  <c r="G140" i="9"/>
  <c r="H140" i="9" s="1"/>
  <c r="G141" i="9"/>
  <c r="H141" i="9" s="1"/>
  <c r="G142" i="9"/>
  <c r="H142" i="9" s="1"/>
  <c r="G143" i="9"/>
  <c r="H143" i="9" s="1"/>
  <c r="G144" i="9"/>
  <c r="H144" i="9" s="1"/>
  <c r="G145" i="9"/>
  <c r="H145" i="9" s="1"/>
  <c r="G146" i="9"/>
  <c r="H146" i="9" s="1"/>
  <c r="G147" i="9"/>
  <c r="H147" i="9" s="1"/>
  <c r="G148" i="9"/>
  <c r="H148" i="9" s="1"/>
  <c r="G149" i="9"/>
  <c r="H149" i="9" s="1"/>
  <c r="G150" i="9"/>
  <c r="H150" i="9" s="1"/>
  <c r="G151" i="9"/>
  <c r="H151" i="9" s="1"/>
  <c r="G152" i="9"/>
  <c r="H152" i="9" s="1"/>
  <c r="G153" i="9"/>
  <c r="H153" i="9" s="1"/>
  <c r="G154" i="9"/>
  <c r="H154" i="9" s="1"/>
  <c r="G155" i="9"/>
  <c r="H155" i="9" s="1"/>
  <c r="G156" i="9"/>
  <c r="H156" i="9" s="1"/>
  <c r="G157" i="9"/>
  <c r="H157" i="9" s="1"/>
  <c r="G158" i="9"/>
  <c r="H158" i="9" s="1"/>
  <c r="G159" i="9"/>
  <c r="H159" i="9" s="1"/>
  <c r="G160" i="9"/>
  <c r="H160" i="9" s="1"/>
  <c r="G161" i="9"/>
  <c r="H161" i="9" s="1"/>
  <c r="G162" i="9"/>
  <c r="H162" i="9" s="1"/>
  <c r="G163" i="9"/>
  <c r="H163" i="9" s="1"/>
  <c r="G164" i="9"/>
  <c r="H164" i="9" s="1"/>
  <c r="G165" i="9"/>
  <c r="H165" i="9" s="1"/>
  <c r="G166" i="9"/>
  <c r="H166" i="9" s="1"/>
  <c r="G167" i="9"/>
  <c r="H167" i="9" s="1"/>
  <c r="G168" i="9"/>
  <c r="H168" i="9" s="1"/>
  <c r="G169" i="9"/>
  <c r="H169" i="9" s="1"/>
  <c r="G170" i="9"/>
  <c r="H170" i="9" s="1"/>
  <c r="G171" i="9"/>
  <c r="H171" i="9" s="1"/>
  <c r="G172" i="9"/>
  <c r="H172" i="9" s="1"/>
  <c r="G173" i="9"/>
  <c r="H173" i="9" s="1"/>
  <c r="G174" i="9"/>
  <c r="H174" i="9" s="1"/>
  <c r="G175" i="9"/>
  <c r="H175" i="9" s="1"/>
  <c r="G176" i="9"/>
  <c r="H176" i="9" s="1"/>
  <c r="G177" i="9"/>
  <c r="H177" i="9" s="1"/>
  <c r="G3" i="9"/>
  <c r="H3" i="9" s="1"/>
  <c r="G4" i="9"/>
  <c r="H4" i="9" s="1"/>
  <c r="G5" i="9"/>
  <c r="H5" i="9" s="1"/>
  <c r="G6" i="9"/>
  <c r="H6" i="9" s="1"/>
  <c r="G7" i="9"/>
  <c r="H7" i="9" s="1"/>
  <c r="G8" i="9"/>
  <c r="H8" i="9" s="1"/>
  <c r="G9" i="9"/>
  <c r="H9" i="9" s="1"/>
  <c r="G10" i="9"/>
  <c r="H10" i="9" s="1"/>
  <c r="G11" i="9"/>
  <c r="H11" i="9" s="1"/>
  <c r="G12" i="9"/>
  <c r="H12" i="9" s="1"/>
  <c r="G13" i="9"/>
  <c r="H13" i="9" s="1"/>
  <c r="G14" i="9"/>
  <c r="H14" i="9" s="1"/>
  <c r="G15" i="9"/>
  <c r="H15" i="9" s="1"/>
  <c r="G16" i="9"/>
  <c r="H16" i="9" s="1"/>
  <c r="G17" i="9"/>
  <c r="H17" i="9" s="1"/>
  <c r="G18" i="9"/>
  <c r="H18" i="9" s="1"/>
  <c r="G19" i="9"/>
  <c r="H19" i="9" s="1"/>
  <c r="G20" i="9"/>
  <c r="H20" i="9" s="1"/>
  <c r="G21" i="9"/>
  <c r="H21" i="9" s="1"/>
  <c r="G22" i="9"/>
  <c r="H22" i="9" s="1"/>
  <c r="G23" i="9"/>
  <c r="H23" i="9" s="1"/>
  <c r="G24" i="9"/>
  <c r="H24" i="9" s="1"/>
  <c r="G2" i="9"/>
  <c r="H2" i="9" s="1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4" i="8"/>
  <c r="AF3" i="3"/>
  <c r="AF4" i="3"/>
  <c r="AF2" i="3"/>
  <c r="W2" i="3"/>
  <c r="W3" i="3"/>
  <c r="W4" i="3"/>
  <c r="AE14" i="3" a="1"/>
  <c r="AE14" i="3" s="1"/>
  <c r="AE15" i="3" a="1"/>
  <c r="AE15" i="3" s="1"/>
  <c r="AE16" i="3" a="1"/>
  <c r="AE16" i="3"/>
  <c r="AE17" i="3" a="1"/>
  <c r="AE17" i="3" s="1"/>
  <c r="AE18" i="3" a="1"/>
  <c r="AE18" i="3" s="1"/>
  <c r="AE19" i="3" a="1"/>
  <c r="AE19" i="3" s="1"/>
  <c r="AE20" i="3" a="1"/>
  <c r="AE20" i="3" s="1"/>
  <c r="AE21" i="3" a="1"/>
  <c r="AE21" i="3" s="1"/>
  <c r="AE22" i="3" a="1"/>
  <c r="AE22" i="3" s="1"/>
  <c r="AE23" i="3" a="1"/>
  <c r="AE23" i="3" s="1"/>
  <c r="AE24" i="3" a="1"/>
  <c r="AE24" i="3" s="1"/>
  <c r="AE25" i="3" a="1"/>
  <c r="AE25" i="3" s="1"/>
  <c r="AE26" i="3" a="1"/>
  <c r="AE26" i="3" s="1"/>
  <c r="AE27" i="3" a="1"/>
  <c r="AE27" i="3" s="1"/>
  <c r="AE28" i="3" a="1"/>
  <c r="AE28" i="3" s="1"/>
  <c r="AE29" i="3" a="1"/>
  <c r="AE29" i="3" s="1"/>
  <c r="AE30" i="3" a="1"/>
  <c r="AE30" i="3" s="1"/>
  <c r="AE31" i="3" a="1"/>
  <c r="AE31" i="3" s="1"/>
  <c r="AE32" i="3" a="1"/>
  <c r="AE32" i="3" s="1"/>
  <c r="AE33" i="3" a="1"/>
  <c r="AE33" i="3" s="1"/>
  <c r="AE34" i="3" a="1"/>
  <c r="AE34" i="3" s="1"/>
  <c r="AE35" i="3" a="1"/>
  <c r="AE35" i="3" s="1"/>
  <c r="AE36" i="3" a="1"/>
  <c r="AE36" i="3" s="1"/>
  <c r="AE37" i="3" a="1"/>
  <c r="AE37" i="3" s="1"/>
  <c r="AE38" i="3" a="1"/>
  <c r="AE38" i="3" s="1"/>
  <c r="AE39" i="3" a="1"/>
  <c r="AE39" i="3" s="1"/>
  <c r="AE40" i="3" a="1"/>
  <c r="AE40" i="3" s="1"/>
  <c r="AE41" i="3" a="1"/>
  <c r="AE41" i="3" s="1"/>
  <c r="AE42" i="3" a="1"/>
  <c r="AE42" i="3" s="1"/>
  <c r="AE43" i="3" a="1"/>
  <c r="AE43" i="3" s="1"/>
  <c r="AE44" i="3" a="1"/>
  <c r="AE44" i="3" s="1"/>
  <c r="AE45" i="3" a="1"/>
  <c r="AE45" i="3" s="1"/>
  <c r="AE46" i="3" a="1"/>
  <c r="AE46" i="3" s="1"/>
  <c r="AE47" i="3" a="1"/>
  <c r="AE47" i="3" s="1"/>
  <c r="AE48" i="3" a="1"/>
  <c r="AE48" i="3" s="1"/>
  <c r="AE49" i="3" a="1"/>
  <c r="AE49" i="3" s="1"/>
  <c r="AE50" i="3" a="1"/>
  <c r="AE50" i="3" s="1"/>
  <c r="AE51" i="3" a="1"/>
  <c r="AE51" i="3" s="1"/>
  <c r="AE52" i="3" a="1"/>
  <c r="AE52" i="3" s="1"/>
  <c r="AE53" i="3" a="1"/>
  <c r="AE53" i="3" s="1"/>
  <c r="AE54" i="3" a="1"/>
  <c r="AE54" i="3" s="1"/>
  <c r="AE55" i="3" a="1"/>
  <c r="AE55" i="3" s="1"/>
  <c r="AE56" i="3" a="1"/>
  <c r="AE56" i="3" s="1"/>
  <c r="AE57" i="3" a="1"/>
  <c r="AE57" i="3" s="1"/>
  <c r="AE58" i="3" a="1"/>
  <c r="AE58" i="3" s="1"/>
  <c r="AE59" i="3" a="1"/>
  <c r="AE59" i="3" s="1"/>
  <c r="AE60" i="3" a="1"/>
  <c r="AE60" i="3" s="1"/>
  <c r="AE61" i="3" a="1"/>
  <c r="AE61" i="3" s="1"/>
  <c r="AE62" i="3" a="1"/>
  <c r="AE62" i="3" s="1"/>
  <c r="AE63" i="3" a="1"/>
  <c r="AE63" i="3" s="1"/>
  <c r="AE64" i="3" a="1"/>
  <c r="AE64" i="3" s="1"/>
  <c r="AE65" i="3" a="1"/>
  <c r="AE65" i="3" s="1"/>
  <c r="AE66" i="3" a="1"/>
  <c r="AE66" i="3" s="1"/>
  <c r="AE67" i="3" a="1"/>
  <c r="AE67" i="3" s="1"/>
  <c r="AE68" i="3" a="1"/>
  <c r="AE68" i="3" s="1"/>
  <c r="AE69" i="3" a="1"/>
  <c r="AE69" i="3" s="1"/>
  <c r="AE70" i="3" a="1"/>
  <c r="AE70" i="3" s="1"/>
  <c r="AE71" i="3" a="1"/>
  <c r="AE71" i="3" s="1"/>
  <c r="AE72" i="3" a="1"/>
  <c r="AE72" i="3" s="1"/>
  <c r="AE73" i="3" a="1"/>
  <c r="AE73" i="3" s="1"/>
  <c r="AE74" i="3" a="1"/>
  <c r="AE74" i="3" s="1"/>
  <c r="AE75" i="3" a="1"/>
  <c r="AE75" i="3" s="1"/>
  <c r="AE76" i="3" a="1"/>
  <c r="AE76" i="3" s="1"/>
  <c r="AE77" i="3" a="1"/>
  <c r="AE77" i="3" s="1"/>
  <c r="AE78" i="3" a="1"/>
  <c r="AE78" i="3" s="1"/>
  <c r="AE79" i="3" a="1"/>
  <c r="AE79" i="3" s="1"/>
  <c r="AE80" i="3" a="1"/>
  <c r="AE80" i="3" s="1"/>
  <c r="AE81" i="3" a="1"/>
  <c r="AE81" i="3" s="1"/>
  <c r="AE82" i="3" a="1"/>
  <c r="AE82" i="3" s="1"/>
  <c r="AE83" i="3" a="1"/>
  <c r="AE83" i="3" s="1"/>
  <c r="AE84" i="3" a="1"/>
  <c r="AE84" i="3" s="1"/>
  <c r="AE85" i="3" a="1"/>
  <c r="AE85" i="3" s="1"/>
  <c r="AE86" i="3" a="1"/>
  <c r="AE86" i="3" s="1"/>
  <c r="AE87" i="3" a="1"/>
  <c r="AE87" i="3" s="1"/>
  <c r="AE88" i="3" a="1"/>
  <c r="AE88" i="3" s="1"/>
  <c r="AE89" i="3" a="1"/>
  <c r="AE89" i="3" s="1"/>
  <c r="AE90" i="3" a="1"/>
  <c r="AE90" i="3" s="1"/>
  <c r="AE91" i="3" a="1"/>
  <c r="AE91" i="3" s="1"/>
  <c r="AE92" i="3" a="1"/>
  <c r="AE92" i="3" s="1"/>
  <c r="AE93" i="3" a="1"/>
  <c r="AE93" i="3" s="1"/>
  <c r="AE94" i="3" a="1"/>
  <c r="AE94" i="3" s="1"/>
  <c r="AE95" i="3" a="1"/>
  <c r="AE95" i="3" s="1"/>
  <c r="AE96" i="3" a="1"/>
  <c r="AE96" i="3" s="1"/>
  <c r="AE97" i="3" a="1"/>
  <c r="AE97" i="3" s="1"/>
  <c r="AE98" i="3" a="1"/>
  <c r="AE98" i="3" s="1"/>
  <c r="AE99" i="3" a="1"/>
  <c r="AE99" i="3" s="1"/>
  <c r="AE100" i="3" a="1"/>
  <c r="AE100" i="3" s="1"/>
  <c r="AE101" i="3" a="1"/>
  <c r="AE101" i="3" s="1"/>
  <c r="AE102" i="3" a="1"/>
  <c r="AE102" i="3" s="1"/>
  <c r="AE103" i="3" a="1"/>
  <c r="AE103" i="3" s="1"/>
  <c r="AE104" i="3" a="1"/>
  <c r="AE104" i="3" s="1"/>
  <c r="AE105" i="3" a="1"/>
  <c r="AE105" i="3" s="1"/>
  <c r="AE106" i="3" a="1"/>
  <c r="AE106" i="3" s="1"/>
  <c r="AE107" i="3" a="1"/>
  <c r="AE107" i="3" s="1"/>
  <c r="AE108" i="3" a="1"/>
  <c r="AE108" i="3" s="1"/>
  <c r="AE109" i="3" a="1"/>
  <c r="AE109" i="3" s="1"/>
  <c r="AE110" i="3" a="1"/>
  <c r="AE110" i="3" s="1"/>
  <c r="AE111" i="3" a="1"/>
  <c r="AE111" i="3" s="1"/>
  <c r="AE112" i="3" a="1"/>
  <c r="AE112" i="3" s="1"/>
  <c r="AE113" i="3" a="1"/>
  <c r="AE113" i="3" s="1"/>
  <c r="AE114" i="3" a="1"/>
  <c r="AE114" i="3" s="1"/>
  <c r="AE115" i="3" a="1"/>
  <c r="AE115" i="3" s="1"/>
  <c r="AE116" i="3" a="1"/>
  <c r="AE116" i="3" s="1"/>
  <c r="AE117" i="3" a="1"/>
  <c r="AE117" i="3" s="1"/>
  <c r="AE118" i="3" a="1"/>
  <c r="AE118" i="3" s="1"/>
  <c r="AE119" i="3" a="1"/>
  <c r="AE119" i="3" s="1"/>
  <c r="AE120" i="3" a="1"/>
  <c r="AE120" i="3" s="1"/>
  <c r="AE121" i="3" a="1"/>
  <c r="AE121" i="3" s="1"/>
  <c r="AE122" i="3" a="1"/>
  <c r="AE122" i="3" s="1"/>
  <c r="AE123" i="3" a="1"/>
  <c r="AE123" i="3" s="1"/>
  <c r="AE124" i="3" a="1"/>
  <c r="AE124" i="3" s="1"/>
  <c r="AE125" i="3" a="1"/>
  <c r="AE125" i="3" s="1"/>
  <c r="AE126" i="3" a="1"/>
  <c r="AE126" i="3" s="1"/>
  <c r="AE127" i="3" a="1"/>
  <c r="AE127" i="3" s="1"/>
  <c r="AE128" i="3" a="1"/>
  <c r="AE128" i="3" s="1"/>
  <c r="AE129" i="3" a="1"/>
  <c r="AE129" i="3" s="1"/>
  <c r="AE130" i="3" a="1"/>
  <c r="AE130" i="3" s="1"/>
  <c r="AE131" i="3" a="1"/>
  <c r="AE131" i="3" s="1"/>
  <c r="AE132" i="3" a="1"/>
  <c r="AE132" i="3" s="1"/>
  <c r="AE133" i="3" a="1"/>
  <c r="AE133" i="3" s="1"/>
  <c r="AE134" i="3" a="1"/>
  <c r="AE134" i="3" s="1"/>
  <c r="AE135" i="3" a="1"/>
  <c r="AE135" i="3" s="1"/>
  <c r="AE136" i="3" a="1"/>
  <c r="AE136" i="3" s="1"/>
  <c r="AE137" i="3" a="1"/>
  <c r="AE137" i="3" s="1"/>
  <c r="AE138" i="3" a="1"/>
  <c r="AE138" i="3" s="1"/>
  <c r="AE139" i="3" a="1"/>
  <c r="AE139" i="3" s="1"/>
  <c r="AE140" i="3" a="1"/>
  <c r="AE140" i="3" s="1"/>
  <c r="AE141" i="3" a="1"/>
  <c r="AE141" i="3" s="1"/>
  <c r="AE142" i="3" a="1"/>
  <c r="AE142" i="3" s="1"/>
  <c r="AE143" i="3" a="1"/>
  <c r="AE143" i="3" s="1"/>
  <c r="AE144" i="3" a="1"/>
  <c r="AE144" i="3" s="1"/>
  <c r="AE145" i="3" a="1"/>
  <c r="AE145" i="3" s="1"/>
  <c r="AE146" i="3" a="1"/>
  <c r="AE146" i="3" s="1"/>
  <c r="AE147" i="3" a="1"/>
  <c r="AE147" i="3" s="1"/>
  <c r="AE148" i="3" a="1"/>
  <c r="AE148" i="3" s="1"/>
  <c r="AE149" i="3" a="1"/>
  <c r="AE149" i="3" s="1"/>
  <c r="AE150" i="3" a="1"/>
  <c r="AE150" i="3" s="1"/>
  <c r="AE151" i="3" a="1"/>
  <c r="AE151" i="3" s="1"/>
  <c r="AE152" i="3" a="1"/>
  <c r="AE152" i="3" s="1"/>
  <c r="AE153" i="3" a="1"/>
  <c r="AE153" i="3" s="1"/>
  <c r="AE154" i="3" a="1"/>
  <c r="AE154" i="3" s="1"/>
  <c r="AE155" i="3" a="1"/>
  <c r="AE155" i="3" s="1"/>
  <c r="AE156" i="3" a="1"/>
  <c r="AE156" i="3" s="1"/>
  <c r="AE157" i="3" a="1"/>
  <c r="AE157" i="3" s="1"/>
  <c r="AE158" i="3" a="1"/>
  <c r="AE158" i="3" s="1"/>
  <c r="AE159" i="3" a="1"/>
  <c r="AE159" i="3" s="1"/>
  <c r="AE160" i="3" a="1"/>
  <c r="AE160" i="3" s="1"/>
  <c r="AE161" i="3" a="1"/>
  <c r="AE161" i="3" s="1"/>
  <c r="AE162" i="3" a="1"/>
  <c r="AE162" i="3" s="1"/>
  <c r="AE163" i="3" a="1"/>
  <c r="AE163" i="3" s="1"/>
  <c r="AE164" i="3" a="1"/>
  <c r="AE164" i="3" s="1"/>
  <c r="AE165" i="3" a="1"/>
  <c r="AE165" i="3" s="1"/>
  <c r="AE166" i="3" a="1"/>
  <c r="AE166" i="3" s="1"/>
  <c r="AE167" i="3" a="1"/>
  <c r="AE167" i="3" s="1"/>
  <c r="AE168" i="3" a="1"/>
  <c r="AE168" i="3" s="1"/>
  <c r="AE169" i="3" a="1"/>
  <c r="AE169" i="3" s="1"/>
  <c r="AE170" i="3" a="1"/>
  <c r="AE170" i="3" s="1"/>
  <c r="AE171" i="3" a="1"/>
  <c r="AE171" i="3" s="1"/>
  <c r="AE172" i="3" a="1"/>
  <c r="AE172" i="3" s="1"/>
  <c r="AE173" i="3" a="1"/>
  <c r="AE173" i="3" s="1"/>
  <c r="AE174" i="3" a="1"/>
  <c r="AE174" i="3" s="1"/>
  <c r="AE175" i="3" a="1"/>
  <c r="AE175" i="3" s="1"/>
  <c r="AE176" i="3" a="1"/>
  <c r="AE176" i="3" s="1"/>
  <c r="AE177" i="3" a="1"/>
  <c r="AE177" i="3" s="1"/>
  <c r="AE178" i="3" a="1"/>
  <c r="AE178" i="3" s="1"/>
  <c r="AE179" i="3" a="1"/>
  <c r="AE179" i="3" s="1"/>
  <c r="AE180" i="3" a="1"/>
  <c r="AE180" i="3" s="1"/>
  <c r="AE181" i="3" a="1"/>
  <c r="AE181" i="3" s="1"/>
  <c r="AE182" i="3" a="1"/>
  <c r="AE182" i="3" s="1"/>
  <c r="AE183" i="3" a="1"/>
  <c r="AE183" i="3" s="1"/>
  <c r="AE184" i="3" a="1"/>
  <c r="AE184" i="3" s="1"/>
  <c r="AE185" i="3" a="1"/>
  <c r="AE185" i="3" s="1"/>
  <c r="AE186" i="3" a="1"/>
  <c r="AE186" i="3" s="1"/>
  <c r="AE187" i="3" a="1"/>
  <c r="AE187" i="3" s="1"/>
  <c r="AE188" i="3" a="1"/>
  <c r="AE188" i="3" s="1"/>
  <c r="AE189" i="3" a="1"/>
  <c r="AE189" i="3" s="1"/>
  <c r="AE190" i="3" a="1"/>
  <c r="AE190" i="3" s="1"/>
  <c r="AE191" i="3" a="1"/>
  <c r="AE191" i="3" s="1"/>
  <c r="AE192" i="3" a="1"/>
  <c r="AE192" i="3" s="1"/>
  <c r="AE193" i="3" a="1"/>
  <c r="AE193" i="3" s="1"/>
  <c r="AE194" i="3" a="1"/>
  <c r="AE194" i="3" s="1"/>
  <c r="AE195" i="3" a="1"/>
  <c r="AE195" i="3" s="1"/>
  <c r="AE196" i="3" a="1"/>
  <c r="AE196" i="3" s="1"/>
  <c r="AE197" i="3" a="1"/>
  <c r="AE197" i="3" s="1"/>
  <c r="AE198" i="3" a="1"/>
  <c r="AE198" i="3" s="1"/>
  <c r="AE199" i="3" a="1"/>
  <c r="AE199" i="3" s="1"/>
  <c r="AE200" i="3" a="1"/>
  <c r="AE200" i="3" s="1"/>
  <c r="AE201" i="3" a="1"/>
  <c r="AE201" i="3" s="1"/>
  <c r="AE202" i="3" a="1"/>
  <c r="AE202" i="3" s="1"/>
  <c r="AE203" i="3" a="1"/>
  <c r="AE203" i="3" s="1"/>
  <c r="AE204" i="3" a="1"/>
  <c r="AE204" i="3" s="1"/>
  <c r="AE205" i="3" a="1"/>
  <c r="AE205" i="3" s="1"/>
  <c r="AE206" i="3" a="1"/>
  <c r="AE206" i="3" s="1"/>
  <c r="AE207" i="3" a="1"/>
  <c r="AE207" i="3" s="1"/>
  <c r="AE208" i="3" a="1"/>
  <c r="AE208" i="3" s="1"/>
  <c r="AE209" i="3" a="1"/>
  <c r="AE209" i="3" s="1"/>
  <c r="AE210" i="3" a="1"/>
  <c r="AE210" i="3" s="1"/>
  <c r="AE211" i="3" a="1"/>
  <c r="AE211" i="3" s="1"/>
  <c r="AE212" i="3" a="1"/>
  <c r="AE212" i="3" s="1"/>
  <c r="AE213" i="3" a="1"/>
  <c r="AE213" i="3" s="1"/>
  <c r="AE214" i="3" a="1"/>
  <c r="AE214" i="3" s="1"/>
  <c r="AE215" i="3" a="1"/>
  <c r="AE215" i="3" s="1"/>
  <c r="AE216" i="3" a="1"/>
  <c r="AE216" i="3" s="1"/>
  <c r="AE217" i="3" a="1"/>
  <c r="AE217" i="3" s="1"/>
  <c r="AE218" i="3" a="1"/>
  <c r="AE218" i="3" s="1"/>
  <c r="AE219" i="3" a="1"/>
  <c r="AE219" i="3" s="1"/>
  <c r="AE220" i="3" a="1"/>
  <c r="AE220" i="3" s="1"/>
  <c r="AE221" i="3" a="1"/>
  <c r="AE221" i="3" s="1"/>
  <c r="AE222" i="3" a="1"/>
  <c r="AE222" i="3" s="1"/>
  <c r="AE223" i="3" a="1"/>
  <c r="AE223" i="3" s="1"/>
  <c r="AE224" i="3" a="1"/>
  <c r="AE224" i="3" s="1"/>
  <c r="AE225" i="3" a="1"/>
  <c r="AE225" i="3" s="1"/>
  <c r="AE226" i="3" a="1"/>
  <c r="AE226" i="3" s="1"/>
  <c r="AE227" i="3" a="1"/>
  <c r="AE227" i="3" s="1"/>
  <c r="AE228" i="3" a="1"/>
  <c r="AE228" i="3" s="1"/>
  <c r="AE229" i="3" a="1"/>
  <c r="AE229" i="3" s="1"/>
  <c r="AE230" i="3" a="1"/>
  <c r="AE230" i="3" s="1"/>
  <c r="AE231" i="3" a="1"/>
  <c r="AE231" i="3" s="1"/>
  <c r="AE232" i="3" a="1"/>
  <c r="AE232" i="3" s="1"/>
  <c r="AE233" i="3" a="1"/>
  <c r="AE233" i="3" s="1"/>
  <c r="AE234" i="3" a="1"/>
  <c r="AE234" i="3" s="1"/>
  <c r="AE235" i="3" a="1"/>
  <c r="AE235" i="3" s="1"/>
  <c r="AE236" i="3" a="1"/>
  <c r="AE236" i="3" s="1"/>
  <c r="AE237" i="3" a="1"/>
  <c r="AE237" i="3" s="1"/>
  <c r="AE238" i="3" a="1"/>
  <c r="AE238" i="3" s="1"/>
  <c r="AE239" i="3" a="1"/>
  <c r="AE239" i="3" s="1"/>
  <c r="AE240" i="3" a="1"/>
  <c r="AE240" i="3" s="1"/>
  <c r="AE241" i="3" a="1"/>
  <c r="AE241" i="3" s="1"/>
  <c r="AE242" i="3" a="1"/>
  <c r="AE242" i="3" s="1"/>
  <c r="AE243" i="3" a="1"/>
  <c r="AE243" i="3" s="1"/>
  <c r="AE244" i="3" a="1"/>
  <c r="AE244" i="3" s="1"/>
  <c r="AE245" i="3" a="1"/>
  <c r="AE245" i="3" s="1"/>
  <c r="AE246" i="3" a="1"/>
  <c r="AE246" i="3" s="1"/>
  <c r="AE247" i="3" a="1"/>
  <c r="AE247" i="3" s="1"/>
  <c r="AE248" i="3" a="1"/>
  <c r="AE248" i="3" s="1"/>
  <c r="AE249" i="3" a="1"/>
  <c r="AE249" i="3" s="1"/>
  <c r="AE250" i="3" a="1"/>
  <c r="AE250" i="3" s="1"/>
  <c r="AE251" i="3" a="1"/>
  <c r="AE251" i="3" s="1"/>
  <c r="AE252" i="3" a="1"/>
  <c r="AE252" i="3" s="1"/>
  <c r="AE253" i="3" a="1"/>
  <c r="AE253" i="3" s="1"/>
  <c r="AE254" i="3" a="1"/>
  <c r="AE254" i="3" s="1"/>
  <c r="AE255" i="3" a="1"/>
  <c r="AE255" i="3" s="1"/>
  <c r="AE256" i="3" a="1"/>
  <c r="AE256" i="3" s="1"/>
  <c r="AE257" i="3" a="1"/>
  <c r="AE257" i="3" s="1"/>
  <c r="AE258" i="3" a="1"/>
  <c r="AE258" i="3" s="1"/>
  <c r="AE259" i="3" a="1"/>
  <c r="AE259" i="3" s="1"/>
  <c r="AE260" i="3" a="1"/>
  <c r="AE260" i="3" s="1"/>
  <c r="AE261" i="3" a="1"/>
  <c r="AE261" i="3" s="1"/>
  <c r="AE262" i="3" a="1"/>
  <c r="AE262" i="3" s="1"/>
  <c r="AE263" i="3" a="1"/>
  <c r="AE263" i="3" s="1"/>
  <c r="AE264" i="3" a="1"/>
  <c r="AE264" i="3" s="1"/>
  <c r="AE265" i="3" a="1"/>
  <c r="AE265" i="3" s="1"/>
  <c r="AE266" i="3" a="1"/>
  <c r="AE266" i="3" s="1"/>
  <c r="AE267" i="3" a="1"/>
  <c r="AE267" i="3" s="1"/>
  <c r="AE268" i="3" a="1"/>
  <c r="AE268" i="3" s="1"/>
  <c r="AE269" i="3" a="1"/>
  <c r="AE269" i="3" s="1"/>
  <c r="AE270" i="3" a="1"/>
  <c r="AE270" i="3" s="1"/>
  <c r="AE271" i="3" a="1"/>
  <c r="AE271" i="3" s="1"/>
  <c r="AE272" i="3" a="1"/>
  <c r="AE272" i="3" s="1"/>
  <c r="AE273" i="3" a="1"/>
  <c r="AE273" i="3" s="1"/>
  <c r="AE274" i="3" a="1"/>
  <c r="AE274" i="3" s="1"/>
  <c r="AE275" i="3" a="1"/>
  <c r="AE275" i="3" s="1"/>
  <c r="AE276" i="3" a="1"/>
  <c r="AE276" i="3" s="1"/>
  <c r="AE277" i="3" a="1"/>
  <c r="AE277" i="3" s="1"/>
  <c r="AE278" i="3" a="1"/>
  <c r="AE278" i="3" s="1"/>
  <c r="AE279" i="3" a="1"/>
  <c r="AE279" i="3" s="1"/>
  <c r="AE280" i="3" a="1"/>
  <c r="AE280" i="3" s="1"/>
  <c r="AE281" i="3" a="1"/>
  <c r="AE281" i="3" s="1"/>
  <c r="AE282" i="3" a="1"/>
  <c r="AE282" i="3" s="1"/>
  <c r="AE283" i="3" a="1"/>
  <c r="AE283" i="3" s="1"/>
  <c r="AE284" i="3" a="1"/>
  <c r="AE284" i="3" s="1"/>
  <c r="AE285" i="3" a="1"/>
  <c r="AE285" i="3" s="1"/>
  <c r="AE286" i="3" a="1"/>
  <c r="AE286" i="3" s="1"/>
  <c r="AE287" i="3" a="1"/>
  <c r="AE287" i="3" s="1"/>
  <c r="AE288" i="3" a="1"/>
  <c r="AE288" i="3" s="1"/>
  <c r="AE289" i="3" a="1"/>
  <c r="AE289" i="3" s="1"/>
  <c r="AE290" i="3" a="1"/>
  <c r="AE290" i="3" s="1"/>
  <c r="AE291" i="3" a="1"/>
  <c r="AE291" i="3" s="1"/>
  <c r="AE292" i="3" a="1"/>
  <c r="AE292" i="3" s="1"/>
  <c r="AE293" i="3" a="1"/>
  <c r="AE293" i="3" s="1"/>
  <c r="AE294" i="3" a="1"/>
  <c r="AE294" i="3" s="1"/>
  <c r="AE295" i="3" a="1"/>
  <c r="AE295" i="3" s="1"/>
  <c r="AE296" i="3" a="1"/>
  <c r="AE296" i="3" s="1"/>
  <c r="AE297" i="3" a="1"/>
  <c r="AE297" i="3" s="1"/>
  <c r="AE298" i="3" a="1"/>
  <c r="AE298" i="3" s="1"/>
  <c r="AE299" i="3" a="1"/>
  <c r="AE299" i="3" s="1"/>
  <c r="AE300" i="3" a="1"/>
  <c r="AE300" i="3" s="1"/>
  <c r="AE301" i="3" a="1"/>
  <c r="AE301" i="3" s="1"/>
  <c r="AE302" i="3" a="1"/>
  <c r="AE302" i="3" s="1"/>
  <c r="AE303" i="3" a="1"/>
  <c r="AE303" i="3" s="1"/>
  <c r="AE304" i="3" a="1"/>
  <c r="AE304" i="3" s="1"/>
  <c r="AE305" i="3" a="1"/>
  <c r="AE305" i="3" s="1"/>
  <c r="AE306" i="3" a="1"/>
  <c r="AE306" i="3" s="1"/>
  <c r="AE307" i="3" a="1"/>
  <c r="AE307" i="3" s="1"/>
  <c r="AE308" i="3" a="1"/>
  <c r="AE308" i="3" s="1"/>
  <c r="AE309" i="3" a="1"/>
  <c r="AE309" i="3" s="1"/>
  <c r="AE310" i="3" a="1"/>
  <c r="AE310" i="3" s="1"/>
  <c r="AE311" i="3" a="1"/>
  <c r="AE311" i="3" s="1"/>
  <c r="AE312" i="3" a="1"/>
  <c r="AE312" i="3" s="1"/>
  <c r="AE313" i="3" a="1"/>
  <c r="AE313" i="3" s="1"/>
  <c r="AE314" i="3" a="1"/>
  <c r="AE314" i="3" s="1"/>
  <c r="AE315" i="3" a="1"/>
  <c r="AE315" i="3" s="1"/>
  <c r="AE316" i="3" a="1"/>
  <c r="AE316" i="3" s="1"/>
  <c r="AE317" i="3" a="1"/>
  <c r="AE317" i="3" s="1"/>
  <c r="AE318" i="3" a="1"/>
  <c r="AE318" i="3" s="1"/>
  <c r="AE319" i="3" a="1"/>
  <c r="AE319" i="3" s="1"/>
  <c r="AE320" i="3" a="1"/>
  <c r="AE320" i="3" s="1"/>
  <c r="AE321" i="3" a="1"/>
  <c r="AE321" i="3" s="1"/>
  <c r="AE322" i="3" a="1"/>
  <c r="AE322" i="3" s="1"/>
  <c r="AE323" i="3" a="1"/>
  <c r="AE323" i="3" s="1"/>
  <c r="AE324" i="3" a="1"/>
  <c r="AE324" i="3" s="1"/>
  <c r="AE325" i="3" a="1"/>
  <c r="AE325" i="3" s="1"/>
  <c r="AE326" i="3" a="1"/>
  <c r="AE326" i="3" s="1"/>
  <c r="AE327" i="3" a="1"/>
  <c r="AE327" i="3" s="1"/>
  <c r="AE328" i="3" a="1"/>
  <c r="AE328" i="3" s="1"/>
  <c r="AE329" i="3" a="1"/>
  <c r="AE329" i="3" s="1"/>
  <c r="AE330" i="3" a="1"/>
  <c r="AE330" i="3" s="1"/>
  <c r="AE331" i="3" a="1"/>
  <c r="AE331" i="3" s="1"/>
  <c r="AE332" i="3" a="1"/>
  <c r="AE332" i="3" s="1"/>
  <c r="AE333" i="3" a="1"/>
  <c r="AE333" i="3" s="1"/>
  <c r="AE334" i="3" a="1"/>
  <c r="AE334" i="3" s="1"/>
  <c r="AE335" i="3" a="1"/>
  <c r="AE335" i="3" s="1"/>
  <c r="AE336" i="3" a="1"/>
  <c r="AE336" i="3" s="1"/>
  <c r="AE337" i="3" a="1"/>
  <c r="AE337" i="3" s="1"/>
  <c r="AE338" i="3" a="1"/>
  <c r="AE338" i="3" s="1"/>
  <c r="AE339" i="3" a="1"/>
  <c r="AE339" i="3" s="1"/>
  <c r="AE340" i="3" a="1"/>
  <c r="AE340" i="3" s="1"/>
  <c r="AE341" i="3" a="1"/>
  <c r="AE341" i="3" s="1"/>
  <c r="AE342" i="3" a="1"/>
  <c r="AE342" i="3" s="1"/>
  <c r="AE343" i="3" a="1"/>
  <c r="AE343" i="3" s="1"/>
  <c r="AE344" i="3" a="1"/>
  <c r="AE344" i="3" s="1"/>
  <c r="AE345" i="3" a="1"/>
  <c r="AE345" i="3" s="1"/>
  <c r="AE346" i="3" a="1"/>
  <c r="AE346" i="3" s="1"/>
  <c r="AE347" i="3" a="1"/>
  <c r="AE347" i="3" s="1"/>
  <c r="AE348" i="3" a="1"/>
  <c r="AE348" i="3" s="1"/>
  <c r="AE349" i="3" a="1"/>
  <c r="AE349" i="3" s="1"/>
  <c r="AE350" i="3" a="1"/>
  <c r="AE350" i="3" s="1"/>
  <c r="AE351" i="3" a="1"/>
  <c r="AE351" i="3" s="1"/>
  <c r="AE352" i="3" a="1"/>
  <c r="AE352" i="3" s="1"/>
  <c r="AE353" i="3" a="1"/>
  <c r="AE353" i="3" s="1"/>
  <c r="AE354" i="3" a="1"/>
  <c r="AE354" i="3" s="1"/>
  <c r="AE355" i="3" a="1"/>
  <c r="AE355" i="3" s="1"/>
  <c r="AE356" i="3" a="1"/>
  <c r="AE356" i="3" s="1"/>
  <c r="AE357" i="3" a="1"/>
  <c r="AE357" i="3" s="1"/>
  <c r="AE358" i="3" a="1"/>
  <c r="AE358" i="3" s="1"/>
  <c r="AE359" i="3" a="1"/>
  <c r="AE359" i="3" s="1"/>
  <c r="AE360" i="3" a="1"/>
  <c r="AE360" i="3" s="1"/>
  <c r="AE361" i="3" a="1"/>
  <c r="AE361" i="3" s="1"/>
  <c r="AE362" i="3" a="1"/>
  <c r="AE362" i="3" s="1"/>
  <c r="AE363" i="3" a="1"/>
  <c r="AE363" i="3" s="1"/>
  <c r="AE364" i="3" a="1"/>
  <c r="AE364" i="3" s="1"/>
  <c r="AE365" i="3" a="1"/>
  <c r="AE365" i="3" s="1"/>
  <c r="AE366" i="3" a="1"/>
  <c r="AE366" i="3" s="1"/>
  <c r="AE367" i="3" a="1"/>
  <c r="AE367" i="3" s="1"/>
  <c r="AE368" i="3" a="1"/>
  <c r="AE368" i="3" s="1"/>
  <c r="AE369" i="3" a="1"/>
  <c r="AE369" i="3" s="1"/>
  <c r="AE370" i="3" a="1"/>
  <c r="AE370" i="3" s="1"/>
  <c r="AE371" i="3" a="1"/>
  <c r="AE371" i="3" s="1"/>
  <c r="AE372" i="3" a="1"/>
  <c r="AE372" i="3" s="1"/>
  <c r="AE373" i="3" a="1"/>
  <c r="AE373" i="3" s="1"/>
  <c r="AE374" i="3" a="1"/>
  <c r="AE374" i="3" s="1"/>
  <c r="AE375" i="3" a="1"/>
  <c r="AE375" i="3" s="1"/>
  <c r="AE376" i="3" a="1"/>
  <c r="AE376" i="3" s="1"/>
  <c r="AE377" i="3" a="1"/>
  <c r="AE377" i="3" s="1"/>
  <c r="AE378" i="3" a="1"/>
  <c r="AE378" i="3" s="1"/>
  <c r="AE379" i="3" a="1"/>
  <c r="AE379" i="3" s="1"/>
  <c r="AE380" i="3" a="1"/>
  <c r="AE380" i="3" s="1"/>
  <c r="AE381" i="3" a="1"/>
  <c r="AE381" i="3" s="1"/>
  <c r="AE382" i="3" a="1"/>
  <c r="AE382" i="3" s="1"/>
  <c r="AE383" i="3" a="1"/>
  <c r="AE383" i="3" s="1"/>
  <c r="AE384" i="3" a="1"/>
  <c r="AE384" i="3" s="1"/>
  <c r="AE385" i="3" a="1"/>
  <c r="AE385" i="3" s="1"/>
  <c r="AE386" i="3" a="1"/>
  <c r="AE386" i="3" s="1"/>
  <c r="AE387" i="3" a="1"/>
  <c r="AE387" i="3" s="1"/>
  <c r="AE388" i="3" a="1"/>
  <c r="AE388" i="3" s="1"/>
  <c r="AE389" i="3" a="1"/>
  <c r="AE389" i="3" s="1"/>
  <c r="AE390" i="3" a="1"/>
  <c r="AE390" i="3" s="1"/>
  <c r="AE391" i="3" a="1"/>
  <c r="AE391" i="3" s="1"/>
  <c r="AE392" i="3" a="1"/>
  <c r="AE392" i="3" s="1"/>
  <c r="AE393" i="3" a="1"/>
  <c r="AE393" i="3" s="1"/>
  <c r="AE394" i="3" a="1"/>
  <c r="AE394" i="3" s="1"/>
  <c r="AE395" i="3" a="1"/>
  <c r="AE395" i="3" s="1"/>
  <c r="AE396" i="3" a="1"/>
  <c r="AE396" i="3" s="1"/>
  <c r="AE397" i="3" a="1"/>
  <c r="AE397" i="3" s="1"/>
  <c r="AE398" i="3" a="1"/>
  <c r="AE398" i="3" s="1"/>
  <c r="AE399" i="3" a="1"/>
  <c r="AE399" i="3" s="1"/>
  <c r="AE400" i="3" a="1"/>
  <c r="AE400" i="3" s="1"/>
  <c r="AE401" i="3" a="1"/>
  <c r="AE401" i="3" s="1"/>
  <c r="AE402" i="3" a="1"/>
  <c r="AE402" i="3" s="1"/>
  <c r="AE403" i="3" a="1"/>
  <c r="AE403" i="3" s="1"/>
  <c r="AE404" i="3" a="1"/>
  <c r="AE404" i="3" s="1"/>
  <c r="AE405" i="3" a="1"/>
  <c r="AE405" i="3" s="1"/>
  <c r="AE406" i="3" a="1"/>
  <c r="AE406" i="3" s="1"/>
  <c r="AE407" i="3" a="1"/>
  <c r="AE407" i="3" s="1"/>
  <c r="AE408" i="3" a="1"/>
  <c r="AE408" i="3" s="1"/>
  <c r="AE409" i="3" a="1"/>
  <c r="AE409" i="3" s="1"/>
  <c r="AE410" i="3" a="1"/>
  <c r="AE410" i="3" s="1"/>
  <c r="AE411" i="3" a="1"/>
  <c r="AE411" i="3" s="1"/>
  <c r="AE412" i="3" a="1"/>
  <c r="AE412" i="3" s="1"/>
  <c r="AE413" i="3" a="1"/>
  <c r="AE413" i="3" s="1"/>
  <c r="AE414" i="3" a="1"/>
  <c r="AE414" i="3" s="1"/>
  <c r="AE415" i="3" a="1"/>
  <c r="AE415" i="3" s="1"/>
  <c r="AE416" i="3" a="1"/>
  <c r="AE416" i="3" s="1"/>
  <c r="AE417" i="3" a="1"/>
  <c r="AE417" i="3" s="1"/>
  <c r="AE418" i="3" a="1"/>
  <c r="AE418" i="3" s="1"/>
  <c r="AE419" i="3" a="1"/>
  <c r="AE419" i="3" s="1"/>
  <c r="AE420" i="3" a="1"/>
  <c r="AE420" i="3" s="1"/>
  <c r="AE421" i="3" a="1"/>
  <c r="AE421" i="3" s="1"/>
  <c r="AE422" i="3" a="1"/>
  <c r="AE422" i="3" s="1"/>
  <c r="AE423" i="3" a="1"/>
  <c r="AE423" i="3" s="1"/>
  <c r="AE424" i="3" a="1"/>
  <c r="AE424" i="3" s="1"/>
  <c r="AE425" i="3" a="1"/>
  <c r="AE425" i="3" s="1"/>
  <c r="AE426" i="3" a="1"/>
  <c r="AE426" i="3" s="1"/>
  <c r="AE427" i="3" a="1"/>
  <c r="AE427" i="3" s="1"/>
  <c r="AE428" i="3" a="1"/>
  <c r="AE428" i="3" s="1"/>
  <c r="AE429" i="3" a="1"/>
  <c r="AE429" i="3" s="1"/>
  <c r="AE430" i="3" a="1"/>
  <c r="AE430" i="3" s="1"/>
  <c r="AE431" i="3" a="1"/>
  <c r="AE431" i="3" s="1"/>
  <c r="AE432" i="3" a="1"/>
  <c r="AE432" i="3" s="1"/>
  <c r="AE433" i="3" a="1"/>
  <c r="AE433" i="3" s="1"/>
  <c r="AE434" i="3" a="1"/>
  <c r="AE434" i="3" s="1"/>
  <c r="AE435" i="3" a="1"/>
  <c r="AE435" i="3" s="1"/>
  <c r="AE436" i="3" a="1"/>
  <c r="AE436" i="3" s="1"/>
  <c r="AE437" i="3" a="1"/>
  <c r="AE437" i="3" s="1"/>
  <c r="AE438" i="3" a="1"/>
  <c r="AE438" i="3" s="1"/>
  <c r="AE439" i="3" a="1"/>
  <c r="AE439" i="3" s="1"/>
  <c r="AE440" i="3" a="1"/>
  <c r="AE440" i="3" s="1"/>
  <c r="AE441" i="3" a="1"/>
  <c r="AE441" i="3" s="1"/>
  <c r="AE442" i="3" a="1"/>
  <c r="AE442" i="3" s="1"/>
  <c r="AE443" i="3" a="1"/>
  <c r="AE443" i="3" s="1"/>
  <c r="AE444" i="3" a="1"/>
  <c r="AE444" i="3" s="1"/>
  <c r="AE445" i="3" a="1"/>
  <c r="AE445" i="3" s="1"/>
  <c r="AE446" i="3" a="1"/>
  <c r="AE446" i="3" s="1"/>
  <c r="AE447" i="3" a="1"/>
  <c r="AE447" i="3" s="1"/>
  <c r="AE448" i="3" a="1"/>
  <c r="AE448" i="3" s="1"/>
  <c r="AE449" i="3" a="1"/>
  <c r="AE449" i="3" s="1"/>
  <c r="AE450" i="3" a="1"/>
  <c r="AE450" i="3" s="1"/>
  <c r="AE451" i="3" a="1"/>
  <c r="AE451" i="3" s="1"/>
  <c r="AE452" i="3" a="1"/>
  <c r="AE452" i="3" s="1"/>
  <c r="AE453" i="3" a="1"/>
  <c r="AE453" i="3" s="1"/>
  <c r="AE454" i="3" a="1"/>
  <c r="AE454" i="3" s="1"/>
  <c r="AE455" i="3" a="1"/>
  <c r="AE455" i="3" s="1"/>
  <c r="AE456" i="3" a="1"/>
  <c r="AE456" i="3" s="1"/>
  <c r="AE457" i="3" a="1"/>
  <c r="AE457" i="3" s="1"/>
  <c r="AE458" i="3" a="1"/>
  <c r="AE458" i="3" s="1"/>
  <c r="AE459" i="3" a="1"/>
  <c r="AE459" i="3" s="1"/>
  <c r="AE460" i="3" a="1"/>
  <c r="AE460" i="3" s="1"/>
  <c r="AE461" i="3" a="1"/>
  <c r="AE461" i="3" s="1"/>
  <c r="AE462" i="3" a="1"/>
  <c r="AE462" i="3" s="1"/>
  <c r="AE463" i="3" a="1"/>
  <c r="AE463" i="3" s="1"/>
  <c r="AE464" i="3" a="1"/>
  <c r="AE464" i="3" s="1"/>
  <c r="AE465" i="3" a="1"/>
  <c r="AE465" i="3" s="1"/>
  <c r="AE466" i="3" a="1"/>
  <c r="AE466" i="3" s="1"/>
  <c r="AE467" i="3" a="1"/>
  <c r="AE467" i="3" s="1"/>
  <c r="AE468" i="3" a="1"/>
  <c r="AE468" i="3" s="1"/>
  <c r="AE469" i="3" a="1"/>
  <c r="AE469" i="3" s="1"/>
  <c r="AE470" i="3" a="1"/>
  <c r="AE470" i="3" s="1"/>
  <c r="AE471" i="3" a="1"/>
  <c r="AE471" i="3" s="1"/>
  <c r="AE472" i="3" a="1"/>
  <c r="AE472" i="3" s="1"/>
  <c r="AE473" i="3" a="1"/>
  <c r="AE473" i="3" s="1"/>
  <c r="AE474" i="3" a="1"/>
  <c r="AE474" i="3" s="1"/>
  <c r="AE475" i="3" a="1"/>
  <c r="AE475" i="3" s="1"/>
  <c r="AE476" i="3" a="1"/>
  <c r="AE476" i="3" s="1"/>
  <c r="AE477" i="3" a="1"/>
  <c r="AE477" i="3" s="1"/>
  <c r="AE478" i="3" a="1"/>
  <c r="AE478" i="3" s="1"/>
  <c r="AE479" i="3" a="1"/>
  <c r="AE479" i="3" s="1"/>
  <c r="AE480" i="3" a="1"/>
  <c r="AE480" i="3" s="1"/>
  <c r="AE481" i="3" a="1"/>
  <c r="AE481" i="3" s="1"/>
  <c r="AE482" i="3" a="1"/>
  <c r="AE482" i="3" s="1"/>
  <c r="AE483" i="3" a="1"/>
  <c r="AE483" i="3" s="1"/>
  <c r="AE484" i="3" a="1"/>
  <c r="AE484" i="3" s="1"/>
  <c r="AE485" i="3" a="1"/>
  <c r="AE485" i="3" s="1"/>
  <c r="AE492" i="3" a="1"/>
  <c r="AE492" i="3" s="1"/>
  <c r="AE493" i="3" a="1"/>
  <c r="AE493" i="3" s="1"/>
  <c r="AE494" i="3" a="1"/>
  <c r="AE494" i="3" s="1"/>
  <c r="AE495" i="3" a="1"/>
  <c r="AE495" i="3" s="1"/>
  <c r="AE496" i="3" a="1"/>
  <c r="AE496" i="3" s="1"/>
  <c r="AE497" i="3" a="1"/>
  <c r="AE497" i="3" s="1"/>
  <c r="AE498" i="3" a="1"/>
  <c r="AE498" i="3" s="1"/>
  <c r="AE499" i="3" a="1"/>
  <c r="AE499" i="3" s="1"/>
  <c r="AE500" i="3" a="1"/>
  <c r="AE500" i="3" s="1"/>
  <c r="AE501" i="3" a="1"/>
  <c r="AE501" i="3" s="1"/>
  <c r="AE502" i="3" a="1"/>
  <c r="AE502" i="3" s="1"/>
  <c r="AE503" i="3" a="1"/>
  <c r="AE503" i="3" s="1"/>
  <c r="AE504" i="3" a="1"/>
  <c r="AE504" i="3" s="1"/>
  <c r="AE505" i="3" a="1"/>
  <c r="AE505" i="3" s="1"/>
  <c r="AE506" i="3" a="1"/>
  <c r="AE506" i="3" s="1"/>
  <c r="AE507" i="3" a="1"/>
  <c r="AE507" i="3" s="1"/>
  <c r="AE508" i="3" a="1"/>
  <c r="AE508" i="3" s="1"/>
  <c r="AE509" i="3" a="1"/>
  <c r="AE509" i="3" s="1"/>
  <c r="AE510" i="3" a="1"/>
  <c r="AE510" i="3" s="1"/>
  <c r="AE511" i="3" a="1"/>
  <c r="AE511" i="3" s="1"/>
  <c r="AE512" i="3" a="1"/>
  <c r="AE512" i="3" s="1"/>
  <c r="AE513" i="3" a="1"/>
  <c r="AE513" i="3" s="1"/>
  <c r="AE514" i="3" a="1"/>
  <c r="AE514" i="3" s="1"/>
  <c r="AE515" i="3" a="1"/>
  <c r="AE515" i="3" s="1"/>
  <c r="AE516" i="3" a="1"/>
  <c r="AE516" i="3" s="1"/>
  <c r="AE517" i="3" a="1"/>
  <c r="AE517" i="3" s="1"/>
  <c r="AE518" i="3" a="1"/>
  <c r="AE518" i="3" s="1"/>
  <c r="AE519" i="3" a="1"/>
  <c r="AE519" i="3" s="1"/>
  <c r="AE520" i="3" a="1"/>
  <c r="AE520" i="3" s="1"/>
  <c r="AE521" i="3" a="1"/>
  <c r="AE521" i="3" s="1"/>
  <c r="AE522" i="3" a="1"/>
  <c r="AE522" i="3" s="1"/>
  <c r="AE523" i="3" a="1"/>
  <c r="AE523" i="3" s="1"/>
  <c r="AE524" i="3" a="1"/>
  <c r="AE524" i="3" s="1"/>
  <c r="AE525" i="3" a="1"/>
  <c r="AE525" i="3" s="1"/>
  <c r="AE526" i="3" a="1"/>
  <c r="AE526" i="3" s="1"/>
  <c r="AE527" i="3" a="1"/>
  <c r="AE527" i="3" s="1"/>
  <c r="AE528" i="3" a="1"/>
  <c r="AE528" i="3" s="1"/>
  <c r="AE529" i="3" a="1"/>
  <c r="AE529" i="3" s="1"/>
  <c r="AE530" i="3" a="1"/>
  <c r="AE530" i="3" s="1"/>
  <c r="AE531" i="3" a="1"/>
  <c r="AE531" i="3" s="1"/>
  <c r="AE532" i="3" a="1"/>
  <c r="AE532" i="3" s="1"/>
  <c r="AE533" i="3" a="1"/>
  <c r="AE533" i="3" s="1"/>
  <c r="AE534" i="3" a="1"/>
  <c r="AE534" i="3" s="1"/>
  <c r="AE535" i="3" a="1"/>
  <c r="AE535" i="3" s="1"/>
  <c r="AE536" i="3" a="1"/>
  <c r="AE536" i="3" s="1"/>
  <c r="AE537" i="3" a="1"/>
  <c r="AE537" i="3" s="1"/>
  <c r="AE538" i="3" a="1"/>
  <c r="AE538" i="3" s="1"/>
  <c r="AE539" i="3" a="1"/>
  <c r="AE539" i="3" s="1"/>
  <c r="AE540" i="3" a="1"/>
  <c r="AE540" i="3" s="1"/>
  <c r="AE541" i="3" a="1"/>
  <c r="AE541" i="3" s="1"/>
  <c r="AE542" i="3" a="1"/>
  <c r="AE542" i="3" s="1"/>
  <c r="AE543" i="3" a="1"/>
  <c r="AE543" i="3" s="1"/>
  <c r="AE544" i="3" a="1"/>
  <c r="AE544" i="3" s="1"/>
  <c r="AE545" i="3" a="1"/>
  <c r="AE545" i="3" s="1"/>
  <c r="AE546" i="3" a="1"/>
  <c r="AE546" i="3" s="1"/>
  <c r="AE547" i="3" a="1"/>
  <c r="AE547" i="3" s="1"/>
  <c r="AE548" i="3" a="1"/>
  <c r="AE548" i="3" s="1"/>
  <c r="AE549" i="3" a="1"/>
  <c r="AE549" i="3" s="1"/>
  <c r="AE550" i="3" a="1"/>
  <c r="AE550" i="3" s="1"/>
  <c r="AE551" i="3" a="1"/>
  <c r="AE551" i="3" s="1"/>
  <c r="AE552" i="3" a="1"/>
  <c r="AE552" i="3" s="1"/>
  <c r="AE553" i="3" a="1"/>
  <c r="AE553" i="3" s="1"/>
  <c r="AE554" i="3" a="1"/>
  <c r="AE554" i="3" s="1"/>
  <c r="AE555" i="3" a="1"/>
  <c r="AE555" i="3" s="1"/>
  <c r="AE556" i="3" a="1"/>
  <c r="AE556" i="3" s="1"/>
  <c r="AE557" i="3" a="1"/>
  <c r="AE557" i="3" s="1"/>
  <c r="AE558" i="3" a="1"/>
  <c r="AE558" i="3" s="1"/>
  <c r="AE559" i="3" a="1"/>
  <c r="AE559" i="3" s="1"/>
  <c r="AE560" i="3" a="1"/>
  <c r="AE560" i="3" s="1"/>
  <c r="AE561" i="3" a="1"/>
  <c r="AE561" i="3" s="1"/>
  <c r="AE562" i="3" a="1"/>
  <c r="AE562" i="3" s="1"/>
  <c r="AE563" i="3" a="1"/>
  <c r="AE563" i="3" s="1"/>
  <c r="AE564" i="3" a="1"/>
  <c r="AE564" i="3" s="1"/>
  <c r="AE565" i="3" a="1"/>
  <c r="AE565" i="3" s="1"/>
  <c r="AE566" i="3" a="1"/>
  <c r="AE566" i="3" s="1"/>
  <c r="AE567" i="3" a="1"/>
  <c r="AE567" i="3" s="1"/>
  <c r="AE568" i="3" a="1"/>
  <c r="AE568" i="3" s="1"/>
  <c r="AE569" i="3" a="1"/>
  <c r="AE569" i="3" s="1"/>
  <c r="AE570" i="3" a="1"/>
  <c r="AE570" i="3" s="1"/>
  <c r="AE571" i="3" a="1"/>
  <c r="AE571" i="3" s="1"/>
  <c r="AE572" i="3" a="1"/>
  <c r="AE572" i="3" s="1"/>
  <c r="AE573" i="3" a="1"/>
  <c r="AE573" i="3" s="1"/>
  <c r="AE574" i="3" a="1"/>
  <c r="AE574" i="3" s="1"/>
  <c r="AE575" i="3" a="1"/>
  <c r="AE575" i="3" s="1"/>
  <c r="AE576" i="3" a="1"/>
  <c r="AE576" i="3" s="1"/>
  <c r="AE577" i="3" a="1"/>
  <c r="AE577" i="3" s="1"/>
  <c r="AE578" i="3" a="1"/>
  <c r="AE578" i="3" s="1"/>
  <c r="AE579" i="3" a="1"/>
  <c r="AE579" i="3" s="1"/>
  <c r="AE580" i="3" a="1"/>
  <c r="AE580" i="3" s="1"/>
  <c r="AE581" i="3" a="1"/>
  <c r="AE581" i="3" s="1"/>
  <c r="AE582" i="3" a="1"/>
  <c r="AE582" i="3" s="1"/>
  <c r="AE583" i="3" a="1"/>
  <c r="AE583" i="3" s="1"/>
  <c r="AE584" i="3" a="1"/>
  <c r="AE584" i="3" s="1"/>
  <c r="AE585" i="3" a="1"/>
  <c r="AE585" i="3" s="1"/>
  <c r="AE586" i="3" a="1"/>
  <c r="AE586" i="3" s="1"/>
  <c r="AE587" i="3" a="1"/>
  <c r="AE587" i="3" s="1"/>
  <c r="AE588" i="3" a="1"/>
  <c r="AE588" i="3" s="1"/>
  <c r="AE589" i="3" a="1"/>
  <c r="AE589" i="3" s="1"/>
  <c r="AE590" i="3" a="1"/>
  <c r="AE590" i="3" s="1"/>
  <c r="AE591" i="3" a="1"/>
  <c r="AE591" i="3" s="1"/>
  <c r="AE592" i="3" a="1"/>
  <c r="AE592" i="3" s="1"/>
  <c r="AE593" i="3" a="1"/>
  <c r="AE593" i="3" s="1"/>
  <c r="AE594" i="3" a="1"/>
  <c r="AE594" i="3" s="1"/>
  <c r="AE595" i="3" a="1"/>
  <c r="AE595" i="3" s="1"/>
  <c r="AE596" i="3" a="1"/>
  <c r="AE596" i="3" s="1"/>
  <c r="AE597" i="3" a="1"/>
  <c r="AE597" i="3" s="1"/>
  <c r="AE598" i="3" a="1"/>
  <c r="AE598" i="3" s="1"/>
  <c r="AE599" i="3" a="1"/>
  <c r="AE599" i="3" s="1"/>
  <c r="AE600" i="3" a="1"/>
  <c r="AE600" i="3" s="1"/>
  <c r="AE601" i="3" a="1"/>
  <c r="AE601" i="3" s="1"/>
  <c r="AE602" i="3" a="1"/>
  <c r="AE602" i="3" s="1"/>
  <c r="AE603" i="3" a="1"/>
  <c r="AE603" i="3" s="1"/>
  <c r="AE604" i="3" a="1"/>
  <c r="AE604" i="3" s="1"/>
  <c r="AE605" i="3" a="1"/>
  <c r="AE605" i="3" s="1"/>
  <c r="AE606" i="3" a="1"/>
  <c r="AE606" i="3" s="1"/>
  <c r="AE607" i="3" a="1"/>
  <c r="AE607" i="3" s="1"/>
  <c r="AE608" i="3" a="1"/>
  <c r="AE608" i="3" s="1"/>
  <c r="AE609" i="3" a="1"/>
  <c r="AE609" i="3" s="1"/>
  <c r="AE610" i="3" a="1"/>
  <c r="AE610" i="3" s="1"/>
  <c r="AE611" i="3" a="1"/>
  <c r="AE611" i="3" s="1"/>
  <c r="AE612" i="3" a="1"/>
  <c r="AE612" i="3" s="1"/>
  <c r="AE613" i="3" a="1"/>
  <c r="AE613" i="3" s="1"/>
  <c r="AE614" i="3" a="1"/>
  <c r="AE614" i="3" s="1"/>
  <c r="AE615" i="3" a="1"/>
  <c r="AE615" i="3" s="1"/>
  <c r="AE616" i="3" a="1"/>
  <c r="AE616" i="3" s="1"/>
  <c r="AE617" i="3" a="1"/>
  <c r="AE617" i="3" s="1"/>
  <c r="AE618" i="3" a="1"/>
  <c r="AE618" i="3" s="1"/>
  <c r="AE619" i="3" a="1"/>
  <c r="AE619" i="3" s="1"/>
  <c r="AE620" i="3" a="1"/>
  <c r="AE620" i="3" s="1"/>
  <c r="AE621" i="3" a="1"/>
  <c r="AE621" i="3" s="1"/>
  <c r="AE622" i="3" a="1"/>
  <c r="AE622" i="3" s="1"/>
  <c r="AE623" i="3" a="1"/>
  <c r="AE623" i="3" s="1"/>
  <c r="AE624" i="3" a="1"/>
  <c r="AE624" i="3" s="1"/>
  <c r="AE625" i="3" a="1"/>
  <c r="AE625" i="3"/>
  <c r="AE626" i="3" a="1"/>
  <c r="AE626" i="3" s="1"/>
  <c r="AE627" i="3" a="1"/>
  <c r="AE627" i="3" s="1"/>
  <c r="AE628" i="3" a="1"/>
  <c r="AE628" i="3" s="1"/>
  <c r="AE629" i="3" a="1"/>
  <c r="AE629" i="3" s="1"/>
  <c r="AE630" i="3" a="1"/>
  <c r="AE630" i="3" s="1"/>
  <c r="AE631" i="3" a="1"/>
  <c r="AE631" i="3" s="1"/>
  <c r="AE632" i="3" a="1"/>
  <c r="AE632" i="3" s="1"/>
  <c r="AE633" i="3" a="1"/>
  <c r="AE633" i="3" s="1"/>
  <c r="AE634" i="3" a="1"/>
  <c r="AE634" i="3" s="1"/>
  <c r="AE635" i="3" a="1"/>
  <c r="AE635" i="3" s="1"/>
  <c r="AE636" i="3" a="1"/>
  <c r="AE636" i="3" s="1"/>
  <c r="AE637" i="3" a="1"/>
  <c r="AE637" i="3" s="1"/>
  <c r="AE638" i="3" a="1"/>
  <c r="AE638" i="3" s="1"/>
  <c r="AE639" i="3" a="1"/>
  <c r="AE639" i="3" s="1"/>
  <c r="AE640" i="3" a="1"/>
  <c r="AE640" i="3" s="1"/>
  <c r="AE641" i="3" a="1"/>
  <c r="AE641" i="3" s="1"/>
  <c r="AE642" i="3" a="1"/>
  <c r="AE642" i="3" s="1"/>
  <c r="AE643" i="3" a="1"/>
  <c r="AE643" i="3"/>
  <c r="AE644" i="3" a="1"/>
  <c r="AE644" i="3" s="1"/>
  <c r="AE645" i="3" a="1"/>
  <c r="AE645" i="3" s="1"/>
  <c r="AE646" i="3" a="1"/>
  <c r="AE646" i="3" s="1"/>
  <c r="AE647" i="3" a="1"/>
  <c r="AE647" i="3" s="1"/>
  <c r="AE648" i="3" a="1"/>
  <c r="AE648" i="3" s="1"/>
  <c r="AE649" i="3" a="1"/>
  <c r="AE649" i="3" s="1"/>
  <c r="AE650" i="3" a="1"/>
  <c r="AE650" i="3" s="1"/>
  <c r="AE651" i="3" a="1"/>
  <c r="AE651" i="3" s="1"/>
  <c r="AE652" i="3" a="1"/>
  <c r="AE652" i="3" s="1"/>
  <c r="AE653" i="3" a="1"/>
  <c r="AE653" i="3" s="1"/>
  <c r="AE654" i="3" a="1"/>
  <c r="AE654" i="3" s="1"/>
  <c r="AE655" i="3" a="1"/>
  <c r="AE655" i="3" s="1"/>
  <c r="AE656" i="3" a="1"/>
  <c r="AE656" i="3"/>
  <c r="AE657" i="3" a="1"/>
  <c r="AE657" i="3" s="1"/>
  <c r="AE658" i="3" a="1"/>
  <c r="AE658" i="3" s="1"/>
  <c r="AE659" i="3" a="1"/>
  <c r="AE659" i="3" s="1"/>
  <c r="AE660" i="3" a="1"/>
  <c r="AE660" i="3"/>
  <c r="AE661" i="3" a="1"/>
  <c r="AE661" i="3" s="1"/>
  <c r="AE662" i="3" a="1"/>
  <c r="AE662" i="3" s="1"/>
  <c r="AE663" i="3" a="1"/>
  <c r="AE663" i="3" s="1"/>
  <c r="AE664" i="3" a="1"/>
  <c r="AE664" i="3" s="1"/>
  <c r="AE665" i="3" a="1"/>
  <c r="AE665" i="3" s="1"/>
  <c r="AE666" i="3" a="1"/>
  <c r="AE666" i="3" s="1"/>
  <c r="AE667" i="3" a="1"/>
  <c r="AE667" i="3"/>
  <c r="AE668" i="3" a="1"/>
  <c r="AE668" i="3" s="1"/>
  <c r="AE669" i="3" a="1"/>
  <c r="AE669" i="3" s="1"/>
  <c r="AE670" i="3" a="1"/>
  <c r="AE670" i="3" s="1"/>
  <c r="AE671" i="3" a="1"/>
  <c r="AE671" i="3" s="1"/>
  <c r="AE672" i="3" a="1"/>
  <c r="AE672" i="3" s="1"/>
  <c r="AE673" i="3" a="1"/>
  <c r="AE673" i="3" s="1"/>
  <c r="AE674" i="3" a="1"/>
  <c r="AE674" i="3" s="1"/>
  <c r="AE675" i="3" a="1"/>
  <c r="AE675" i="3" s="1"/>
  <c r="AE676" i="3" a="1"/>
  <c r="AE676" i="3" s="1"/>
  <c r="AE677" i="3" a="1"/>
  <c r="AE677" i="3" s="1"/>
  <c r="AE678" i="3" a="1"/>
  <c r="AE678" i="3" s="1"/>
  <c r="AE679" i="3" a="1"/>
  <c r="AE679" i="3" s="1"/>
  <c r="AE680" i="3" a="1"/>
  <c r="AE680" i="3" s="1"/>
  <c r="AE681" i="3" a="1"/>
  <c r="AE681" i="3" s="1"/>
  <c r="AE682" i="3" a="1"/>
  <c r="AE682" i="3" s="1"/>
  <c r="AE683" i="3" a="1"/>
  <c r="AE683" i="3" s="1"/>
  <c r="AE684" i="3" a="1"/>
  <c r="AE684" i="3" s="1"/>
  <c r="AE685" i="3" a="1"/>
  <c r="AE685" i="3" s="1"/>
  <c r="AE686" i="3" a="1"/>
  <c r="AE686" i="3" s="1"/>
  <c r="AE687" i="3" a="1"/>
  <c r="AE687" i="3" s="1"/>
  <c r="AE688" i="3" a="1"/>
  <c r="AE688" i="3" s="1"/>
  <c r="AE689" i="3" a="1"/>
  <c r="AE689" i="3" s="1"/>
  <c r="AE690" i="3" a="1"/>
  <c r="AE690" i="3" s="1"/>
  <c r="AE691" i="3" a="1"/>
  <c r="AE691" i="3" s="1"/>
  <c r="AE692" i="3" a="1"/>
  <c r="AE692" i="3" s="1"/>
  <c r="AE693" i="3" a="1"/>
  <c r="AE693" i="3"/>
  <c r="AE694" i="3" a="1"/>
  <c r="AE694" i="3" s="1"/>
  <c r="AE695" i="3" a="1"/>
  <c r="AE695" i="3" s="1"/>
  <c r="AE696" i="3" a="1"/>
  <c r="AE696" i="3" s="1"/>
  <c r="AE697" i="3" a="1"/>
  <c r="AE697" i="3"/>
  <c r="AE698" i="3" a="1"/>
  <c r="AE698" i="3" s="1"/>
  <c r="AE699" i="3" a="1"/>
  <c r="AE699" i="3" s="1"/>
  <c r="AE700" i="3" a="1"/>
  <c r="AE700" i="3" s="1"/>
  <c r="AE701" i="3" a="1"/>
  <c r="AE701" i="3" s="1"/>
  <c r="AE702" i="3" a="1"/>
  <c r="AE702" i="3" s="1"/>
  <c r="AE703" i="3" a="1"/>
  <c r="AE703" i="3" s="1"/>
  <c r="AE704" i="3" a="1"/>
  <c r="AE704" i="3" s="1"/>
  <c r="AE705" i="3" a="1"/>
  <c r="AE705" i="3" s="1"/>
  <c r="AE706" i="3" a="1"/>
  <c r="AE706" i="3" s="1"/>
  <c r="AE707" i="3" a="1"/>
  <c r="AE707" i="3" s="1"/>
  <c r="AE708" i="3" a="1"/>
  <c r="AE708" i="3" s="1"/>
  <c r="AE709" i="3" a="1"/>
  <c r="AE709" i="3" s="1"/>
  <c r="AE710" i="3" a="1"/>
  <c r="AE710" i="3"/>
  <c r="AE711" i="3" a="1"/>
  <c r="AE711" i="3" s="1"/>
  <c r="AE712" i="3" a="1"/>
  <c r="AE712" i="3" s="1"/>
  <c r="AE713" i="3" a="1"/>
  <c r="AE713" i="3" s="1"/>
  <c r="AE714" i="3" a="1"/>
  <c r="AE714" i="3" s="1"/>
  <c r="AE715" i="3" a="1"/>
  <c r="AE715" i="3" s="1"/>
  <c r="AE716" i="3" a="1"/>
  <c r="AE716" i="3" s="1"/>
  <c r="AE717" i="3" a="1"/>
  <c r="AE717" i="3" s="1"/>
  <c r="AE718" i="3" a="1"/>
  <c r="AE718" i="3" s="1"/>
  <c r="AE719" i="3" a="1"/>
  <c r="AE719" i="3" s="1"/>
  <c r="AE720" i="3" a="1"/>
  <c r="AE720" i="3" s="1"/>
  <c r="AE721" i="3" a="1"/>
  <c r="AE721" i="3" s="1"/>
  <c r="AE722" i="3" a="1"/>
  <c r="AE722" i="3" s="1"/>
  <c r="AE723" i="3" a="1"/>
  <c r="AE723" i="3" s="1"/>
  <c r="AE724" i="3" a="1"/>
  <c r="AE724" i="3" s="1"/>
  <c r="AE725" i="3" a="1"/>
  <c r="AE725" i="3" s="1"/>
  <c r="AE726" i="3" a="1"/>
  <c r="AE726" i="3" s="1"/>
  <c r="AE727" i="3" a="1"/>
  <c r="AE727" i="3" s="1"/>
  <c r="AE728" i="3" a="1"/>
  <c r="AE728" i="3" s="1"/>
  <c r="AE729" i="3" a="1"/>
  <c r="AE729" i="3" s="1"/>
  <c r="AE730" i="3" a="1"/>
  <c r="AE730" i="3" s="1"/>
  <c r="AE731" i="3" a="1"/>
  <c r="AE731" i="3" s="1"/>
  <c r="AE732" i="3" a="1"/>
  <c r="AE732" i="3" s="1"/>
  <c r="AE733" i="3" a="1"/>
  <c r="AE733" i="3" s="1"/>
  <c r="AE734" i="3" a="1"/>
  <c r="AE734" i="3" s="1"/>
  <c r="AE735" i="3" a="1"/>
  <c r="AE735" i="3" s="1"/>
  <c r="AE736" i="3" a="1"/>
  <c r="AE736" i="3" s="1"/>
  <c r="AE737" i="3" a="1"/>
  <c r="AE737" i="3" s="1"/>
  <c r="AE738" i="3" a="1"/>
  <c r="AE738" i="3" s="1"/>
  <c r="AE739" i="3" a="1"/>
  <c r="AE739" i="3" s="1"/>
  <c r="AE740" i="3" a="1"/>
  <c r="AE740" i="3" s="1"/>
  <c r="AE741" i="3" a="1"/>
  <c r="AE741" i="3"/>
  <c r="AE742" i="3" a="1"/>
  <c r="AE742" i="3"/>
  <c r="AE743" i="3" a="1"/>
  <c r="AE743" i="3" s="1"/>
  <c r="AE744" i="3" a="1"/>
  <c r="AE744" i="3" s="1"/>
  <c r="AE745" i="3" a="1"/>
  <c r="AE745" i="3" s="1"/>
  <c r="AE746" i="3" a="1"/>
  <c r="AE746" i="3" s="1"/>
  <c r="AE747" i="3" a="1"/>
  <c r="AE747" i="3" s="1"/>
  <c r="AE748" i="3" a="1"/>
  <c r="AE748" i="3" s="1"/>
  <c r="AE749" i="3" a="1"/>
  <c r="AE749" i="3" s="1"/>
  <c r="AE750" i="3" a="1"/>
  <c r="AE750" i="3" s="1"/>
  <c r="AE751" i="3" a="1"/>
  <c r="AE751" i="3"/>
  <c r="AE752" i="3" a="1"/>
  <c r="AE752" i="3" s="1"/>
  <c r="AE753" i="3" a="1"/>
  <c r="AE753" i="3" s="1"/>
  <c r="AE754" i="3" a="1"/>
  <c r="AE754" i="3" s="1"/>
  <c r="AE755" i="3" a="1"/>
  <c r="AE755" i="3" s="1"/>
  <c r="AE756" i="3" a="1"/>
  <c r="AE756" i="3" s="1"/>
  <c r="AE757" i="3" a="1"/>
  <c r="AE757" i="3" s="1"/>
  <c r="AE758" i="3" a="1"/>
  <c r="AE758" i="3" s="1"/>
  <c r="AE759" i="3" a="1"/>
  <c r="AE759" i="3" s="1"/>
  <c r="AE760" i="3" a="1"/>
  <c r="AE760" i="3"/>
  <c r="AE761" i="3" a="1"/>
  <c r="AE761" i="3" s="1"/>
  <c r="AE762" i="3" a="1"/>
  <c r="AE762" i="3" s="1"/>
  <c r="AE763" i="3" a="1"/>
  <c r="AE763" i="3"/>
  <c r="AE764" i="3" a="1"/>
  <c r="AE764" i="3" s="1"/>
  <c r="AE765" i="3" a="1"/>
  <c r="AE765" i="3" s="1"/>
  <c r="AE766" i="3" a="1"/>
  <c r="AE766" i="3" s="1"/>
  <c r="AE767" i="3" a="1"/>
  <c r="AE767" i="3" s="1"/>
  <c r="AE768" i="3" a="1"/>
  <c r="AE768" i="3" s="1"/>
  <c r="AE769" i="3" a="1"/>
  <c r="AE769" i="3" s="1"/>
  <c r="AE770" i="3" a="1"/>
  <c r="AE770" i="3" s="1"/>
  <c r="AE771" i="3" a="1"/>
  <c r="AE771" i="3" s="1"/>
  <c r="AE772" i="3" a="1"/>
  <c r="AE772" i="3" s="1"/>
  <c r="AE773" i="3" a="1"/>
  <c r="AE773" i="3" s="1"/>
  <c r="AE774" i="3" a="1"/>
  <c r="AE774" i="3"/>
  <c r="AE775" i="3" a="1"/>
  <c r="AE775" i="3"/>
  <c r="AE776" i="3" a="1"/>
  <c r="AE776" i="3" s="1"/>
  <c r="AE777" i="3" a="1"/>
  <c r="AE777" i="3" s="1"/>
  <c r="AE778" i="3" a="1"/>
  <c r="AE778" i="3" s="1"/>
  <c r="AE779" i="3" a="1"/>
  <c r="AE779" i="3" s="1"/>
  <c r="AE780" i="3" a="1"/>
  <c r="AE780" i="3" s="1"/>
  <c r="AE781" i="3" a="1"/>
  <c r="AE781" i="3"/>
  <c r="AE782" i="3" a="1"/>
  <c r="AE782" i="3" s="1"/>
  <c r="AE783" i="3" a="1"/>
  <c r="AE783" i="3" s="1"/>
  <c r="AE784" i="3" a="1"/>
  <c r="AE784" i="3" s="1"/>
  <c r="AE785" i="3" a="1"/>
  <c r="AE785" i="3" s="1"/>
  <c r="AE786" i="3" a="1"/>
  <c r="AE786" i="3" s="1"/>
  <c r="AE787" i="3" a="1"/>
  <c r="AE787" i="3" s="1"/>
  <c r="AE788" i="3" a="1"/>
  <c r="AE788" i="3"/>
  <c r="AE789" i="3" a="1"/>
  <c r="AE789" i="3"/>
  <c r="AE790" i="3" a="1"/>
  <c r="AE790" i="3" s="1"/>
  <c r="AE791" i="3" a="1"/>
  <c r="AE791" i="3" s="1"/>
  <c r="AE792" i="3" a="1"/>
  <c r="AE792" i="3" s="1"/>
  <c r="AE793" i="3" a="1"/>
  <c r="AE793" i="3" s="1"/>
  <c r="AE794" i="3" a="1"/>
  <c r="AE794" i="3" s="1"/>
  <c r="AE795" i="3" a="1"/>
  <c r="AE795" i="3" s="1"/>
  <c r="AE796" i="3" a="1"/>
  <c r="AE796" i="3" s="1"/>
  <c r="AE797" i="3" a="1"/>
  <c r="AE797" i="3" s="1"/>
  <c r="AE798" i="3" a="1"/>
  <c r="AE798" i="3" s="1"/>
  <c r="AE799" i="3" a="1"/>
  <c r="AE799" i="3" s="1"/>
  <c r="AE800" i="3" a="1"/>
  <c r="AE800" i="3" s="1"/>
  <c r="AE801" i="3" a="1"/>
  <c r="AE801" i="3" s="1"/>
  <c r="AE802" i="3" a="1"/>
  <c r="AE802" i="3" s="1"/>
  <c r="AE803" i="3" a="1"/>
  <c r="AE803" i="3" s="1"/>
  <c r="AE804" i="3" a="1"/>
  <c r="AE804" i="3"/>
  <c r="AE805" i="3" a="1"/>
  <c r="AE805" i="3"/>
  <c r="AE806" i="3" a="1"/>
  <c r="AE806" i="3" s="1"/>
  <c r="AE807" i="3" a="1"/>
  <c r="AE807" i="3"/>
  <c r="AE808" i="3" a="1"/>
  <c r="AE808" i="3"/>
  <c r="AE809" i="3" a="1"/>
  <c r="AE809" i="3"/>
  <c r="AE810" i="3" a="1"/>
  <c r="AE810" i="3" s="1"/>
  <c r="AE811" i="3" a="1"/>
  <c r="AE811" i="3" s="1"/>
  <c r="AE812" i="3" a="1"/>
  <c r="AE812" i="3" s="1"/>
  <c r="AE813" i="3" a="1"/>
  <c r="AE813" i="3" s="1"/>
  <c r="AE814" i="3" a="1"/>
  <c r="AE814" i="3" s="1"/>
  <c r="AE815" i="3" a="1"/>
  <c r="AE815" i="3" s="1"/>
  <c r="AE816" i="3" a="1"/>
  <c r="AE816" i="3" s="1"/>
  <c r="AE817" i="3" a="1"/>
  <c r="AE817" i="3" s="1"/>
  <c r="AE818" i="3" a="1"/>
  <c r="AE818" i="3" s="1"/>
  <c r="AE819" i="3" a="1"/>
  <c r="AE819" i="3" s="1"/>
  <c r="AE820" i="3" a="1"/>
  <c r="AE820" i="3"/>
  <c r="AE821" i="3" a="1"/>
  <c r="AE821" i="3" s="1"/>
  <c r="AE822" i="3" a="1"/>
  <c r="AE822" i="3" s="1"/>
  <c r="AE823" i="3" a="1"/>
  <c r="AE823" i="3" s="1"/>
  <c r="AE824" i="3" a="1"/>
  <c r="AE824" i="3" s="1"/>
  <c r="AE825" i="3" a="1"/>
  <c r="AE825" i="3"/>
  <c r="AE826" i="3" a="1"/>
  <c r="AE826" i="3" s="1"/>
  <c r="AE827" i="3" a="1"/>
  <c r="AE827" i="3" s="1"/>
  <c r="AE828" i="3" a="1"/>
  <c r="AE828" i="3" s="1"/>
  <c r="AE829" i="3" a="1"/>
  <c r="AE829" i="3" s="1"/>
  <c r="AE830" i="3" a="1"/>
  <c r="AE830" i="3" s="1"/>
  <c r="AE831" i="3" a="1"/>
  <c r="AE831" i="3" s="1"/>
  <c r="AE832" i="3" a="1"/>
  <c r="AE832" i="3" s="1"/>
  <c r="AE833" i="3" a="1"/>
  <c r="AE833" i="3" s="1"/>
  <c r="AE834" i="3" a="1"/>
  <c r="AE834" i="3" s="1"/>
  <c r="AE835" i="3" a="1"/>
  <c r="AE835" i="3" s="1"/>
  <c r="AE836" i="3" a="1"/>
  <c r="AE836" i="3" s="1"/>
  <c r="AE837" i="3" a="1"/>
  <c r="AE837" i="3"/>
  <c r="AE838" i="3" a="1"/>
  <c r="AE838" i="3" s="1"/>
  <c r="AE839" i="3" a="1"/>
  <c r="AE839" i="3" s="1"/>
  <c r="AE840" i="3" a="1"/>
  <c r="AE840" i="3" s="1"/>
  <c r="AE841" i="3" a="1"/>
  <c r="AE841" i="3"/>
  <c r="AE842" i="3" a="1"/>
  <c r="AE842" i="3" s="1"/>
  <c r="AE843" i="3" a="1"/>
  <c r="AE843" i="3" s="1"/>
  <c r="AE844" i="3" a="1"/>
  <c r="AE844" i="3" s="1"/>
  <c r="AE845" i="3" a="1"/>
  <c r="AE845" i="3" s="1"/>
  <c r="AE846" i="3" a="1"/>
  <c r="AE846" i="3" s="1"/>
  <c r="AE847" i="3" a="1"/>
  <c r="AE847" i="3" s="1"/>
  <c r="AE848" i="3" a="1"/>
  <c r="AE848" i="3" s="1"/>
  <c r="AE849" i="3" a="1"/>
  <c r="AE849" i="3" s="1"/>
  <c r="AE850" i="3" a="1"/>
  <c r="AE850" i="3" s="1"/>
  <c r="AE851" i="3" a="1"/>
  <c r="AE851" i="3" s="1"/>
  <c r="AE852" i="3" a="1"/>
  <c r="AE852" i="3"/>
  <c r="AE853" i="3" a="1"/>
  <c r="AE853" i="3"/>
  <c r="AE854" i="3" a="1"/>
  <c r="AE854" i="3" s="1"/>
  <c r="AE855" i="3" a="1"/>
  <c r="AE855" i="3" s="1"/>
  <c r="AE856" i="3" a="1"/>
  <c r="AE856" i="3" s="1"/>
  <c r="AE857" i="3" a="1"/>
  <c r="AE857" i="3" s="1"/>
  <c r="AE858" i="3" a="1"/>
  <c r="AE858" i="3" s="1"/>
  <c r="AE859" i="3" a="1"/>
  <c r="AE859" i="3" s="1"/>
  <c r="AE860" i="3" a="1"/>
  <c r="AE860" i="3" s="1"/>
  <c r="AE861" i="3" a="1"/>
  <c r="AE861" i="3" s="1"/>
  <c r="AE862" i="3" a="1"/>
  <c r="AE862" i="3" s="1"/>
  <c r="AE863" i="3" a="1"/>
  <c r="AE863" i="3" s="1"/>
  <c r="AE864" i="3" a="1"/>
  <c r="AE864" i="3"/>
  <c r="AE865" i="3" a="1"/>
  <c r="AE865" i="3" s="1"/>
  <c r="AE866" i="3" a="1"/>
  <c r="AE866" i="3" s="1"/>
  <c r="AE867" i="3" a="1"/>
  <c r="AE867" i="3" s="1"/>
  <c r="AE868" i="3" a="1"/>
  <c r="AE868" i="3" s="1"/>
  <c r="AE869" i="3" a="1"/>
  <c r="AE869" i="3" s="1"/>
  <c r="AE870" i="3" a="1"/>
  <c r="AE870" i="3" s="1"/>
  <c r="AE871" i="3" a="1"/>
  <c r="AE871" i="3" s="1"/>
  <c r="AE872" i="3" a="1"/>
  <c r="AE872" i="3"/>
  <c r="AE873" i="3" a="1"/>
  <c r="AE873" i="3" s="1"/>
  <c r="AE874" i="3" a="1"/>
  <c r="AE874" i="3" s="1"/>
  <c r="AE875" i="3" a="1"/>
  <c r="AE875" i="3" s="1"/>
  <c r="AE876" i="3" a="1"/>
  <c r="AE876" i="3" s="1"/>
  <c r="AE877" i="3" a="1"/>
  <c r="AE877" i="3" s="1"/>
  <c r="AE878" i="3" a="1"/>
  <c r="AE878" i="3" s="1"/>
  <c r="AE879" i="3" a="1"/>
  <c r="AE879" i="3" s="1"/>
  <c r="AE880" i="3" a="1"/>
  <c r="AE880" i="3" s="1"/>
  <c r="AE881" i="3" a="1"/>
  <c r="AE881" i="3" s="1"/>
  <c r="AE882" i="3" a="1"/>
  <c r="AE882" i="3" s="1"/>
  <c r="AE883" i="3" a="1"/>
  <c r="AE883" i="3" s="1"/>
  <c r="AE884" i="3" a="1"/>
  <c r="AE884" i="3" s="1"/>
  <c r="AE885" i="3" a="1"/>
  <c r="AE885" i="3" s="1"/>
  <c r="AE886" i="3" a="1"/>
  <c r="AE886" i="3" s="1"/>
  <c r="AE887" i="3" a="1"/>
  <c r="AE887" i="3" s="1"/>
  <c r="AE888" i="3" a="1"/>
  <c r="AE888" i="3" s="1"/>
  <c r="AE889" i="3" a="1"/>
  <c r="AE889" i="3" s="1"/>
  <c r="AE890" i="3" a="1"/>
  <c r="AE890" i="3" s="1"/>
  <c r="AE891" i="3" a="1"/>
  <c r="AE891" i="3" s="1"/>
  <c r="AE892" i="3" a="1"/>
  <c r="AE892" i="3" s="1"/>
  <c r="AE893" i="3" a="1"/>
  <c r="AE893" i="3" s="1"/>
  <c r="AE894" i="3" a="1"/>
  <c r="AE894" i="3" s="1"/>
  <c r="AE895" i="3" a="1"/>
  <c r="AE895" i="3" s="1"/>
  <c r="AE896" i="3" a="1"/>
  <c r="AE896" i="3"/>
  <c r="AE897" i="3" a="1"/>
  <c r="AE897" i="3" s="1"/>
  <c r="AE898" i="3" a="1"/>
  <c r="AE898" i="3" s="1"/>
  <c r="AE899" i="3" a="1"/>
  <c r="AE899" i="3" s="1"/>
  <c r="AE900" i="3" a="1"/>
  <c r="AE900" i="3" s="1"/>
  <c r="AE901" i="3" a="1"/>
  <c r="AE901" i="3" s="1"/>
  <c r="AE902" i="3" a="1"/>
  <c r="AE902" i="3"/>
  <c r="AE903" i="3" a="1"/>
  <c r="AE903" i="3" s="1"/>
  <c r="AE904" i="3" a="1"/>
  <c r="AE904" i="3" s="1"/>
  <c r="AE905" i="3" a="1"/>
  <c r="AE905" i="3" s="1"/>
  <c r="AE906" i="3" a="1"/>
  <c r="AE906" i="3" s="1"/>
  <c r="AE907" i="3" a="1"/>
  <c r="AE907" i="3" s="1"/>
  <c r="AE908" i="3" a="1"/>
  <c r="AE908" i="3" s="1"/>
  <c r="AE909" i="3" a="1"/>
  <c r="AE909" i="3" s="1"/>
  <c r="AE910" i="3" a="1"/>
  <c r="AE910" i="3" s="1"/>
  <c r="AE911" i="3" a="1"/>
  <c r="AE911" i="3"/>
  <c r="AE912" i="3" a="1"/>
  <c r="AE912" i="3" s="1"/>
  <c r="AE913" i="3" a="1"/>
  <c r="AE913" i="3" s="1"/>
  <c r="AE914" i="3" a="1"/>
  <c r="AE914" i="3" s="1"/>
  <c r="AE915" i="3" a="1"/>
  <c r="AE915" i="3" s="1"/>
  <c r="AE916" i="3" a="1"/>
  <c r="AE916" i="3" s="1"/>
  <c r="AE917" i="3" a="1"/>
  <c r="AE917" i="3" s="1"/>
  <c r="AE918" i="3" a="1"/>
  <c r="AE918" i="3" s="1"/>
  <c r="AE919" i="3" a="1"/>
  <c r="AE919" i="3" s="1"/>
  <c r="AE920" i="3" a="1"/>
  <c r="AE920" i="3" s="1"/>
  <c r="AE921" i="3" a="1"/>
  <c r="AE921" i="3" s="1"/>
  <c r="AE922" i="3" a="1"/>
  <c r="AE922" i="3" s="1"/>
  <c r="AE923" i="3" a="1"/>
  <c r="AE923" i="3"/>
  <c r="AE924" i="3" a="1"/>
  <c r="AE924" i="3" s="1"/>
  <c r="AE925" i="3" a="1"/>
  <c r="AE925" i="3" s="1"/>
  <c r="AE926" i="3" a="1"/>
  <c r="AE926" i="3"/>
  <c r="AE927" i="3" a="1"/>
  <c r="AE927" i="3" s="1"/>
  <c r="AE928" i="3" a="1"/>
  <c r="AE928" i="3"/>
  <c r="AE929" i="3" a="1"/>
  <c r="AE929" i="3" s="1"/>
  <c r="AE930" i="3" a="1"/>
  <c r="AE930" i="3"/>
  <c r="AE931" i="3" a="1"/>
  <c r="AE931" i="3" s="1"/>
  <c r="AE932" i="3" a="1"/>
  <c r="AE932" i="3" s="1"/>
  <c r="AE933" i="3" a="1"/>
  <c r="AE933" i="3" s="1"/>
  <c r="AE934" i="3" a="1"/>
  <c r="AE934" i="3" s="1"/>
  <c r="AE935" i="3" a="1"/>
  <c r="AE935" i="3" s="1"/>
  <c r="AE936" i="3" a="1"/>
  <c r="AE936" i="3" s="1"/>
  <c r="AE937" i="3" a="1"/>
  <c r="AE937" i="3" s="1"/>
  <c r="AE938" i="3" a="1"/>
  <c r="AE938" i="3" s="1"/>
  <c r="AE939" i="3" a="1"/>
  <c r="AE939" i="3" s="1"/>
  <c r="AE940" i="3" a="1"/>
  <c r="AE940" i="3" s="1"/>
  <c r="AE941" i="3" a="1"/>
  <c r="AE941" i="3"/>
  <c r="AE942" i="3" a="1"/>
  <c r="AE942" i="3" s="1"/>
  <c r="AE943" i="3" a="1"/>
  <c r="AE943" i="3"/>
  <c r="AE944" i="3" a="1"/>
  <c r="AE944" i="3" s="1"/>
  <c r="AE945" i="3" a="1"/>
  <c r="AE945" i="3" s="1"/>
  <c r="AE946" i="3" a="1"/>
  <c r="AE946" i="3" s="1"/>
  <c r="AE947" i="3" a="1"/>
  <c r="AE947" i="3"/>
  <c r="AE948" i="3" a="1"/>
  <c r="AE948" i="3" s="1"/>
  <c r="AE949" i="3" a="1"/>
  <c r="AE949" i="3" s="1"/>
  <c r="AE950" i="3" a="1"/>
  <c r="AE950" i="3" s="1"/>
  <c r="AE951" i="3" a="1"/>
  <c r="AE951" i="3" s="1"/>
  <c r="AE952" i="3" a="1"/>
  <c r="AE952" i="3" s="1"/>
  <c r="AE953" i="3" a="1"/>
  <c r="AE953" i="3" s="1"/>
  <c r="AE954" i="3" a="1"/>
  <c r="AE954" i="3" s="1"/>
  <c r="AE955" i="3" a="1"/>
  <c r="AE955" i="3" s="1"/>
  <c r="AE956" i="3" a="1"/>
  <c r="AE956" i="3" s="1"/>
  <c r="AE957" i="3" a="1"/>
  <c r="AE957" i="3" s="1"/>
  <c r="AE958" i="3" a="1"/>
  <c r="AE958" i="3" s="1"/>
  <c r="AE959" i="3" a="1"/>
  <c r="AE959" i="3" s="1"/>
  <c r="AE960" i="3" a="1"/>
  <c r="AE960" i="3" s="1"/>
  <c r="AE961" i="3" a="1"/>
  <c r="AE961" i="3" s="1"/>
  <c r="AE962" i="3" a="1"/>
  <c r="AE962" i="3"/>
  <c r="AE963" i="3" a="1"/>
  <c r="AE963" i="3" s="1"/>
  <c r="AE964" i="3" a="1"/>
  <c r="AE964" i="3" s="1"/>
  <c r="AE965" i="3" a="1"/>
  <c r="AE965" i="3" s="1"/>
  <c r="AE966" i="3" a="1"/>
  <c r="AE966" i="3" s="1"/>
  <c r="AE967" i="3" a="1"/>
  <c r="AE967" i="3" s="1"/>
  <c r="AE968" i="3" a="1"/>
  <c r="AE968" i="3" s="1"/>
  <c r="AE969" i="3" a="1"/>
  <c r="AE969" i="3" s="1"/>
  <c r="AE970" i="3" a="1"/>
  <c r="AE970" i="3" s="1"/>
  <c r="AE971" i="3" a="1"/>
  <c r="AE971" i="3" s="1"/>
  <c r="AE972" i="3" a="1"/>
  <c r="AE972" i="3" s="1"/>
  <c r="AE973" i="3" a="1"/>
  <c r="AE973" i="3" s="1"/>
  <c r="AE974" i="3" a="1"/>
  <c r="AE974" i="3"/>
  <c r="AE975" i="3" a="1"/>
  <c r="AE975" i="3" s="1"/>
  <c r="AE976" i="3" a="1"/>
  <c r="AE976" i="3"/>
  <c r="AE977" i="3" a="1"/>
  <c r="AE977" i="3" s="1"/>
  <c r="AE978" i="3" a="1"/>
  <c r="AE978" i="3"/>
  <c r="AE979" i="3" a="1"/>
  <c r="AE979" i="3" s="1"/>
  <c r="AE980" i="3" a="1"/>
  <c r="AE980" i="3" s="1"/>
  <c r="AE981" i="3" a="1"/>
  <c r="AE981" i="3" s="1"/>
  <c r="AE982" i="3" a="1"/>
  <c r="AE982" i="3" s="1"/>
  <c r="AE983" i="3" a="1"/>
  <c r="AE983" i="3" s="1"/>
  <c r="AE984" i="3" a="1"/>
  <c r="AE984" i="3" s="1"/>
  <c r="AE985" i="3" a="1"/>
  <c r="AE985" i="3" s="1"/>
  <c r="AE986" i="3" a="1"/>
  <c r="AE986" i="3"/>
  <c r="AE987" i="3" a="1"/>
  <c r="AE987" i="3" s="1"/>
  <c r="AE988" i="3" a="1"/>
  <c r="AE988" i="3" s="1"/>
  <c r="AE989" i="3" a="1"/>
  <c r="AE989" i="3" s="1"/>
  <c r="AE990" i="3" a="1"/>
  <c r="AE990" i="3" s="1"/>
  <c r="AE991" i="3" a="1"/>
  <c r="AE991" i="3" s="1"/>
  <c r="AE992" i="3" a="1"/>
  <c r="AE992" i="3" s="1"/>
  <c r="AE993" i="3" a="1"/>
  <c r="AE993" i="3" s="1"/>
  <c r="AE994" i="3" a="1"/>
  <c r="AE994" i="3" s="1"/>
  <c r="AE995" i="3" a="1"/>
  <c r="AE995" i="3" s="1"/>
  <c r="AE996" i="3" a="1"/>
  <c r="AE996" i="3" s="1"/>
  <c r="AE997" i="3" a="1"/>
  <c r="AE997" i="3" s="1"/>
  <c r="AE998" i="3" a="1"/>
  <c r="AE998" i="3" s="1"/>
  <c r="AE999" i="3" a="1"/>
  <c r="AE999" i="3" s="1"/>
  <c r="AE1000" i="3" a="1"/>
  <c r="AE1000" i="3" s="1"/>
  <c r="AE1001" i="3" a="1"/>
  <c r="AE1001" i="3" s="1"/>
  <c r="AE1002" i="3" a="1"/>
  <c r="AE1002" i="3" s="1"/>
  <c r="AE1003" i="3" a="1"/>
  <c r="AE1003" i="3" s="1"/>
  <c r="AE1004" i="3" a="1"/>
  <c r="AE1004" i="3" s="1"/>
  <c r="AE1005" i="3" a="1"/>
  <c r="AE1005" i="3" s="1"/>
  <c r="AE1006" i="3" a="1"/>
  <c r="AE1006" i="3" s="1"/>
  <c r="AE1007" i="3" a="1"/>
  <c r="AE1007" i="3" s="1"/>
  <c r="AE1008" i="3" a="1"/>
  <c r="AE1008" i="3" s="1"/>
  <c r="AE1009" i="3" a="1"/>
  <c r="AE1009" i="3" s="1"/>
  <c r="AE1010" i="3" a="1"/>
  <c r="AE1010" i="3"/>
  <c r="AE1011" i="3" a="1"/>
  <c r="AE1011" i="3" s="1"/>
  <c r="AE1012" i="3" a="1"/>
  <c r="AE1012" i="3"/>
  <c r="AE1013" i="3" a="1"/>
  <c r="AE1013" i="3" s="1"/>
  <c r="AE1014" i="3" a="1"/>
  <c r="AE1014" i="3" s="1"/>
  <c r="AE1015" i="3" a="1"/>
  <c r="AE1015" i="3" s="1"/>
  <c r="AE1016" i="3" a="1"/>
  <c r="AE1016" i="3"/>
  <c r="AE1017" i="3" a="1"/>
  <c r="AE1017" i="3" s="1"/>
  <c r="AE1018" i="3" a="1"/>
  <c r="AE1018" i="3" s="1"/>
  <c r="AE1019" i="3" a="1"/>
  <c r="AE1019" i="3" s="1"/>
  <c r="AE1020" i="3" a="1"/>
  <c r="AE1020" i="3" s="1"/>
  <c r="AE1021" i="3" a="1"/>
  <c r="AE1021" i="3"/>
  <c r="AE1022" i="3" a="1"/>
  <c r="AE1022" i="3" s="1"/>
  <c r="AE1023" i="3" a="1"/>
  <c r="AE1023" i="3" s="1"/>
  <c r="AE1024" i="3" a="1"/>
  <c r="AE1024" i="3" s="1"/>
  <c r="AE1025" i="3" a="1"/>
  <c r="AE1025" i="3" s="1"/>
  <c r="AE1026" i="3" a="1"/>
  <c r="AE1026" i="3" s="1"/>
  <c r="AE1027" i="3" a="1"/>
  <c r="AE1027" i="3" s="1"/>
  <c r="AE1028" i="3" a="1"/>
  <c r="AE1028" i="3" s="1"/>
  <c r="AE1029" i="3" a="1"/>
  <c r="AE1029" i="3" s="1"/>
  <c r="AE1030" i="3" a="1"/>
  <c r="AE1030" i="3" s="1"/>
  <c r="AE1031" i="3" a="1"/>
  <c r="AE1031" i="3" s="1"/>
  <c r="AE1032" i="3" a="1"/>
  <c r="AE1032" i="3" s="1"/>
  <c r="AE1033" i="3" a="1"/>
  <c r="AE1033" i="3"/>
  <c r="AE1034" i="3" a="1"/>
  <c r="AE1034" i="3" s="1"/>
  <c r="AE1035" i="3" a="1"/>
  <c r="AE1035" i="3" s="1"/>
  <c r="AE1036" i="3" a="1"/>
  <c r="AE1036" i="3"/>
  <c r="AE1037" i="3" a="1"/>
  <c r="AE1037" i="3" s="1"/>
  <c r="AE1038" i="3" a="1"/>
  <c r="AE1038" i="3" s="1"/>
  <c r="AE1039" i="3" a="1"/>
  <c r="AE1039" i="3" s="1"/>
  <c r="AE1040" i="3" a="1"/>
  <c r="AE1040" i="3"/>
  <c r="AE1041" i="3" a="1"/>
  <c r="AE1041" i="3" s="1"/>
  <c r="AE1042" i="3" a="1"/>
  <c r="AE1042" i="3" s="1"/>
  <c r="AE1043" i="3" a="1"/>
  <c r="AE1043" i="3" s="1"/>
  <c r="AE1044" i="3" a="1"/>
  <c r="AE1044" i="3" s="1"/>
  <c r="AE1045" i="3" a="1"/>
  <c r="AE1045" i="3" s="1"/>
  <c r="AE1046" i="3" a="1"/>
  <c r="AE1046" i="3"/>
  <c r="AE1047" i="3" a="1"/>
  <c r="AE1047" i="3" s="1"/>
  <c r="AE1048" i="3" a="1"/>
  <c r="AE1048" i="3" s="1"/>
  <c r="AE1049" i="3" a="1"/>
  <c r="AE1049" i="3" s="1"/>
  <c r="AE1050" i="3" a="1"/>
  <c r="AE1050" i="3" s="1"/>
  <c r="AE1051" i="3" a="1"/>
  <c r="AE1051" i="3" s="1"/>
  <c r="AE1052" i="3" a="1"/>
  <c r="AE1052" i="3" s="1"/>
  <c r="AE1053" i="3" a="1"/>
  <c r="AE1053" i="3" s="1"/>
  <c r="AE1054" i="3" a="1"/>
  <c r="AE1054" i="3" s="1"/>
  <c r="AE1055" i="3" a="1"/>
  <c r="AE1055" i="3"/>
  <c r="AE1056" i="3" a="1"/>
  <c r="AE1056" i="3" s="1"/>
  <c r="AE1057" i="3" a="1"/>
  <c r="AE1057" i="3" s="1"/>
  <c r="AE1058" i="3" a="1"/>
  <c r="AE1058" i="3" s="1"/>
  <c r="AE1059" i="3" a="1"/>
  <c r="AE1059" i="3" s="1"/>
  <c r="AE1060" i="3" a="1"/>
  <c r="AE1060" i="3" s="1"/>
  <c r="AE1061" i="3" a="1"/>
  <c r="AE1061" i="3" s="1"/>
  <c r="AE1062" i="3" a="1"/>
  <c r="AE1062" i="3" s="1"/>
  <c r="AE1063" i="3" a="1"/>
  <c r="AE1063" i="3"/>
  <c r="AE1064" i="3" a="1"/>
  <c r="AE1064" i="3" s="1"/>
  <c r="AE1065" i="3" a="1"/>
  <c r="AE1065" i="3" s="1"/>
  <c r="AE1066" i="3" a="1"/>
  <c r="AE1066" i="3" s="1"/>
  <c r="AE1067" i="3" a="1"/>
  <c r="AE1067" i="3" s="1"/>
  <c r="AE1068" i="3" a="1"/>
  <c r="AE1068" i="3"/>
  <c r="AE1069" i="3" a="1"/>
  <c r="AE1069" i="3" s="1"/>
  <c r="AE1070" i="3" a="1"/>
  <c r="AE1070" i="3" s="1"/>
  <c r="AE1071" i="3" a="1"/>
  <c r="AE1071" i="3" s="1"/>
  <c r="AE1072" i="3" a="1"/>
  <c r="AE1072" i="3" s="1"/>
  <c r="AE1073" i="3" a="1"/>
  <c r="AE1073" i="3" s="1"/>
  <c r="AE1074" i="3" a="1"/>
  <c r="AE1074" i="3" s="1"/>
  <c r="AE1075" i="3" a="1"/>
  <c r="AE1075" i="3" s="1"/>
  <c r="AE1076" i="3" a="1"/>
  <c r="AE1076" i="3"/>
  <c r="AE1077" i="3" a="1"/>
  <c r="AE1077" i="3" s="1"/>
  <c r="AE1078" i="3" a="1"/>
  <c r="AE1078" i="3" s="1"/>
  <c r="AE1079" i="3" a="1"/>
  <c r="AE1079" i="3" s="1"/>
  <c r="AE1080" i="3" a="1"/>
  <c r="AE1080" i="3" s="1"/>
  <c r="AE1081" i="3" a="1"/>
  <c r="AE1081" i="3" s="1"/>
  <c r="AE1082" i="3" a="1"/>
  <c r="AE1082" i="3" s="1"/>
  <c r="AE1083" i="3" a="1"/>
  <c r="AE1083" i="3" s="1"/>
  <c r="AE1084" i="3" a="1"/>
  <c r="AE1084" i="3" s="1"/>
  <c r="AE1085" i="3" a="1"/>
  <c r="AE1085" i="3"/>
  <c r="AE1086" i="3" a="1"/>
  <c r="AE1086" i="3" s="1"/>
  <c r="AE1087" i="3" a="1"/>
  <c r="AE1087" i="3"/>
  <c r="AE1088" i="3" a="1"/>
  <c r="AE1088" i="3" s="1"/>
  <c r="AE1089" i="3" a="1"/>
  <c r="AE1089" i="3" s="1"/>
  <c r="AE1090" i="3" a="1"/>
  <c r="AE1090" i="3" s="1"/>
  <c r="AE1091" i="3" a="1"/>
  <c r="AE1091" i="3" s="1"/>
  <c r="AE1092" i="3" a="1"/>
  <c r="AE1092" i="3" s="1"/>
  <c r="AE1093" i="3" a="1"/>
  <c r="AE1093" i="3"/>
  <c r="AE1094" i="3" a="1"/>
  <c r="AE1094" i="3" s="1"/>
  <c r="AE1095" i="3" a="1"/>
  <c r="AE1095" i="3" s="1"/>
  <c r="AE1096" i="3" a="1"/>
  <c r="AE1096" i="3" s="1"/>
  <c r="AE1097" i="3" a="1"/>
  <c r="AE1097" i="3"/>
  <c r="AE1098" i="3" a="1"/>
  <c r="AE1098" i="3" s="1"/>
  <c r="AE1099" i="3" a="1"/>
  <c r="AE1099" i="3" s="1"/>
  <c r="AE1100" i="3" a="1"/>
  <c r="AE1100" i="3" s="1"/>
  <c r="AE1101" i="3" a="1"/>
  <c r="AE1101" i="3" s="1"/>
  <c r="AE1102" i="3" a="1"/>
  <c r="AE1102" i="3" s="1"/>
  <c r="AE1103" i="3" a="1"/>
  <c r="AE1103" i="3" s="1"/>
  <c r="AE1104" i="3" a="1"/>
  <c r="AE1104" i="3" s="1"/>
  <c r="AE1105" i="3" a="1"/>
  <c r="AE1105" i="3" s="1"/>
  <c r="AE1106" i="3" a="1"/>
  <c r="AE1106" i="3"/>
  <c r="AE1107" i="3" a="1"/>
  <c r="AE1107" i="3" s="1"/>
  <c r="AE1108" i="3" a="1"/>
  <c r="AE1108" i="3" s="1"/>
  <c r="AE1109" i="3" a="1"/>
  <c r="AE1109" i="3" s="1"/>
  <c r="AE1110" i="3" a="1"/>
  <c r="AE1110" i="3" s="1"/>
  <c r="AE1111" i="3" a="1"/>
  <c r="AE1111" i="3" s="1"/>
  <c r="AE1112" i="3" a="1"/>
  <c r="AE1112" i="3" s="1"/>
  <c r="AE1113" i="3" a="1"/>
  <c r="AE1113" i="3" s="1"/>
  <c r="AE1114" i="3" a="1"/>
  <c r="AE1114" i="3" s="1"/>
  <c r="AE1115" i="3" a="1"/>
  <c r="AE1115" i="3" s="1"/>
  <c r="AE1116" i="3" a="1"/>
  <c r="AE1116" i="3" s="1"/>
  <c r="AE1117" i="3" a="1"/>
  <c r="AE1117" i="3"/>
  <c r="AE1118" i="3" a="1"/>
  <c r="AE1118" i="3" s="1"/>
  <c r="AE1119" i="3" a="1"/>
  <c r="AE1119" i="3" s="1"/>
  <c r="AE1120" i="3" a="1"/>
  <c r="AE1120" i="3" s="1"/>
  <c r="AE1121" i="3" a="1"/>
  <c r="AE1121" i="3" s="1"/>
  <c r="AE1122" i="3" a="1"/>
  <c r="AE1122" i="3" s="1"/>
  <c r="AE1123" i="3" a="1"/>
  <c r="AE1123" i="3" s="1"/>
  <c r="AE1124" i="3" a="1"/>
  <c r="AE1124" i="3" s="1"/>
  <c r="AE1125" i="3" a="1"/>
  <c r="AE1125" i="3" s="1"/>
  <c r="AE1126" i="3" a="1"/>
  <c r="AE1126" i="3" s="1"/>
  <c r="AE1127" i="3" a="1"/>
  <c r="AE1127" i="3" s="1"/>
  <c r="AE1128" i="3" a="1"/>
  <c r="AE1128" i="3" s="1"/>
  <c r="AE1129" i="3" a="1"/>
  <c r="AE1129" i="3" s="1"/>
  <c r="AE1130" i="3" a="1"/>
  <c r="AE1130" i="3" s="1"/>
  <c r="AE1131" i="3" a="1"/>
  <c r="AE1131" i="3" s="1"/>
  <c r="AE1132" i="3" a="1"/>
  <c r="AE1132" i="3" s="1"/>
  <c r="AE1133" i="3" a="1"/>
  <c r="AE1133" i="3" s="1"/>
  <c r="AE1134" i="3" a="1"/>
  <c r="AE1134" i="3" s="1"/>
  <c r="AE1135" i="3" a="1"/>
  <c r="AE1135" i="3" s="1"/>
  <c r="AE1136" i="3" a="1"/>
  <c r="AE1136" i="3" s="1"/>
  <c r="AE1137" i="3" a="1"/>
  <c r="AE1137" i="3" s="1"/>
  <c r="AE1138" i="3" a="1"/>
  <c r="AE1138" i="3" s="1"/>
  <c r="AE1139" i="3" a="1"/>
  <c r="AE1139" i="3" s="1"/>
  <c r="AE1140" i="3" a="1"/>
  <c r="AE1140" i="3" s="1"/>
  <c r="AE1141" i="3" a="1"/>
  <c r="AE1141" i="3" s="1"/>
  <c r="AE1142" i="3" a="1"/>
  <c r="AE1142" i="3" s="1"/>
  <c r="AE1143" i="3" a="1"/>
  <c r="AE1143" i="3" s="1"/>
  <c r="AE1144" i="3" a="1"/>
  <c r="AE1144" i="3"/>
  <c r="AE1145" i="3" a="1"/>
  <c r="AE1145" i="3" s="1"/>
  <c r="AE1146" i="3" a="1"/>
  <c r="AE1146" i="3" s="1"/>
  <c r="AE1147" i="3" a="1"/>
  <c r="AE1147" i="3" s="1"/>
  <c r="AE1148" i="3" a="1"/>
  <c r="AE1148" i="3" s="1"/>
  <c r="AE1149" i="3" a="1"/>
  <c r="AE1149" i="3"/>
  <c r="AE1150" i="3" a="1"/>
  <c r="AE1150" i="3" s="1"/>
  <c r="AE1151" i="3" a="1"/>
  <c r="AE1151" i="3" s="1"/>
  <c r="AE1152" i="3" a="1"/>
  <c r="AE1152" i="3" s="1"/>
  <c r="AE1153" i="3" a="1"/>
  <c r="AE1153" i="3"/>
  <c r="AE1154" i="3" a="1"/>
  <c r="AE1154" i="3" s="1"/>
  <c r="AE1155" i="3" a="1"/>
  <c r="AE1155" i="3" s="1"/>
  <c r="AE1156" i="3" a="1"/>
  <c r="AE1156" i="3" s="1"/>
  <c r="AE1157" i="3" a="1"/>
  <c r="AE1157" i="3"/>
  <c r="AE1158" i="3" a="1"/>
  <c r="AE1158" i="3" s="1"/>
  <c r="AE1159" i="3" a="1"/>
  <c r="AE1159" i="3" s="1"/>
  <c r="AE1160" i="3" a="1"/>
  <c r="AE1160" i="3" s="1"/>
  <c r="AE1161" i="3" a="1"/>
  <c r="AE1161" i="3"/>
  <c r="AE1162" i="3" a="1"/>
  <c r="AE1162" i="3" s="1"/>
  <c r="AE1163" i="3" a="1"/>
  <c r="AE1163" i="3" s="1"/>
  <c r="AE1164" i="3" a="1"/>
  <c r="AE1164" i="3"/>
  <c r="AE1165" i="3" a="1"/>
  <c r="AE1165" i="3" s="1"/>
  <c r="AE1166" i="3" a="1"/>
  <c r="AE1166" i="3" s="1"/>
  <c r="AE1167" i="3" a="1"/>
  <c r="AE1167" i="3" s="1"/>
  <c r="AE1168" i="3" a="1"/>
  <c r="AE1168" i="3" s="1"/>
  <c r="AE1169" i="3" a="1"/>
  <c r="AE1169" i="3" s="1"/>
  <c r="AE1170" i="3" a="1"/>
  <c r="AE1170" i="3" s="1"/>
  <c r="AE1171" i="3" a="1"/>
  <c r="AE1171" i="3" s="1"/>
  <c r="AE1172" i="3" a="1"/>
  <c r="AE1172" i="3" s="1"/>
  <c r="AE1173" i="3" a="1"/>
  <c r="AE1173" i="3" s="1"/>
  <c r="AE1174" i="3" a="1"/>
  <c r="AE1174" i="3" s="1"/>
  <c r="AE1175" i="3" a="1"/>
  <c r="AE1175" i="3" s="1"/>
  <c r="AE1176" i="3" a="1"/>
  <c r="AE1176" i="3" s="1"/>
  <c r="AE1177" i="3" a="1"/>
  <c r="AE1177" i="3" s="1"/>
  <c r="AE1178" i="3" a="1"/>
  <c r="AE1178" i="3" s="1"/>
  <c r="AE1179" i="3" a="1"/>
  <c r="AE1179" i="3" s="1"/>
  <c r="AE1180" i="3" a="1"/>
  <c r="AE1180" i="3" s="1"/>
  <c r="AE1181" i="3" a="1"/>
  <c r="AE1181" i="3"/>
  <c r="AE1182" i="3" a="1"/>
  <c r="AE1182" i="3" s="1"/>
  <c r="AE1183" i="3" a="1"/>
  <c r="AE1183" i="3"/>
  <c r="AE1184" i="3" a="1"/>
  <c r="AE1184" i="3" s="1"/>
  <c r="AE1185" i="3" a="1"/>
  <c r="AE1185" i="3" s="1"/>
  <c r="AE1186" i="3" a="1"/>
  <c r="AE1186" i="3" s="1"/>
  <c r="AE1187" i="3" a="1"/>
  <c r="AE1187" i="3" s="1"/>
  <c r="AE1188" i="3" a="1"/>
  <c r="AE1188" i="3" s="1"/>
  <c r="AE1189" i="3" a="1"/>
  <c r="AE1189" i="3" s="1"/>
  <c r="AE1190" i="3" a="1"/>
  <c r="AE1190" i="3" s="1"/>
  <c r="AE1191" i="3" a="1"/>
  <c r="AE1191" i="3"/>
  <c r="AE1192" i="3" a="1"/>
  <c r="AE1192" i="3" s="1"/>
  <c r="AE1193" i="3" a="1"/>
  <c r="AE1193" i="3" s="1"/>
  <c r="AE1194" i="3" a="1"/>
  <c r="AE1194" i="3" s="1"/>
  <c r="AE1195" i="3" a="1"/>
  <c r="AE1195" i="3" s="1"/>
  <c r="AE1196" i="3" a="1"/>
  <c r="AE1196" i="3"/>
  <c r="AE1197" i="3" a="1"/>
  <c r="AE1197" i="3" s="1"/>
  <c r="AE1198" i="3" a="1"/>
  <c r="AE1198" i="3" s="1"/>
  <c r="AE1199" i="3" a="1"/>
  <c r="AE1199" i="3" s="1"/>
  <c r="AE1200" i="3" a="1"/>
  <c r="AE1200" i="3"/>
  <c r="AE1201" i="3" a="1"/>
  <c r="AE1201" i="3" s="1"/>
  <c r="AE1202" i="3" a="1"/>
  <c r="AE1202" i="3" s="1"/>
  <c r="AE1203" i="3" a="1"/>
  <c r="AE1203" i="3" s="1"/>
  <c r="AE1204" i="3" a="1"/>
  <c r="AE1204" i="3" s="1"/>
  <c r="AE1205" i="3" a="1"/>
  <c r="AE1205" i="3" s="1"/>
  <c r="AE1206" i="3" a="1"/>
  <c r="AE1206" i="3" s="1"/>
  <c r="AE1207" i="3" a="1"/>
  <c r="AE1207" i="3" s="1"/>
  <c r="AE1208" i="3" a="1"/>
  <c r="AE1208" i="3" s="1"/>
  <c r="AE1209" i="3" a="1"/>
  <c r="AE1209" i="3" s="1"/>
  <c r="AE1210" i="3" a="1"/>
  <c r="AE1210" i="3" s="1"/>
  <c r="AE1211" i="3" a="1"/>
  <c r="AE1211" i="3" s="1"/>
  <c r="AE1212" i="3" a="1"/>
  <c r="AE1212" i="3" s="1"/>
  <c r="AE1213" i="3" a="1"/>
  <c r="AE1213" i="3" s="1"/>
  <c r="AE1214" i="3" a="1"/>
  <c r="AE1214" i="3" s="1"/>
  <c r="AE1215" i="3" a="1"/>
  <c r="AE1215" i="3"/>
  <c r="AE1216" i="3" a="1"/>
  <c r="AE1216" i="3" s="1"/>
  <c r="AE1217" i="3" a="1"/>
  <c r="AE1217" i="3"/>
  <c r="AE1218" i="3" a="1"/>
  <c r="AE1218" i="3" s="1"/>
  <c r="AE1219" i="3" a="1"/>
  <c r="AE1219" i="3" s="1"/>
  <c r="AE1220" i="3" a="1"/>
  <c r="AE1220" i="3" s="1"/>
  <c r="AE1221" i="3" a="1"/>
  <c r="AE1221" i="3"/>
  <c r="AE1222" i="3" a="1"/>
  <c r="AE1222" i="3" s="1"/>
  <c r="AE1223" i="3" a="1"/>
  <c r="AE1223" i="3" s="1"/>
  <c r="AE1224" i="3" a="1"/>
  <c r="AE1224" i="3" s="1"/>
  <c r="AE1225" i="3" a="1"/>
  <c r="AE1225" i="3" s="1"/>
  <c r="AE1226" i="3" a="1"/>
  <c r="AE1226" i="3" s="1"/>
  <c r="AE1227" i="3" a="1"/>
  <c r="AE1227" i="3" s="1"/>
  <c r="AE1228" i="3" a="1"/>
  <c r="AE1228" i="3" s="1"/>
  <c r="AE1229" i="3" a="1"/>
  <c r="AE1229" i="3" s="1"/>
  <c r="AE1230" i="3" a="1"/>
  <c r="AE1230" i="3" s="1"/>
  <c r="AE1231" i="3" a="1"/>
  <c r="AE1231" i="3" s="1"/>
  <c r="AE1232" i="3" a="1"/>
  <c r="AE1232" i="3" s="1"/>
  <c r="AE1233" i="3" a="1"/>
  <c r="AE1233" i="3" s="1"/>
  <c r="AE1234" i="3" a="1"/>
  <c r="AE1234" i="3" s="1"/>
  <c r="AE1235" i="3" a="1"/>
  <c r="AE1235" i="3" s="1"/>
  <c r="AE1236" i="3" a="1"/>
  <c r="AE1236" i="3" s="1"/>
  <c r="AE1237" i="3" a="1"/>
  <c r="AE1237" i="3" s="1"/>
  <c r="AE1238" i="3" a="1"/>
  <c r="AE1238" i="3" s="1"/>
  <c r="AE1239" i="3" a="1"/>
  <c r="AE1239" i="3" s="1"/>
  <c r="AE1240" i="3" a="1"/>
  <c r="AE1240" i="3" s="1"/>
  <c r="AE1241" i="3" a="1"/>
  <c r="AE1241" i="3" s="1"/>
  <c r="AE1242" i="3" a="1"/>
  <c r="AE1242" i="3" s="1"/>
  <c r="AE1243" i="3" a="1"/>
  <c r="AE1243" i="3" s="1"/>
  <c r="AE1244" i="3" a="1"/>
  <c r="AE1244" i="3" s="1"/>
  <c r="AE1245" i="3" a="1"/>
  <c r="AE1245" i="3"/>
  <c r="AE1246" i="3" a="1"/>
  <c r="AE1246" i="3" s="1"/>
  <c r="AE1247" i="3" a="1"/>
  <c r="AE1247" i="3"/>
  <c r="AE1248" i="3" a="1"/>
  <c r="AE1248" i="3" s="1"/>
  <c r="AE1249" i="3" a="1"/>
  <c r="AE1249" i="3"/>
  <c r="AE1250" i="3" a="1"/>
  <c r="AE1250" i="3" s="1"/>
  <c r="AE1251" i="3" a="1"/>
  <c r="AE1251" i="3" s="1"/>
  <c r="AE1252" i="3" a="1"/>
  <c r="AE1252" i="3" s="1"/>
  <c r="AE1253" i="3" a="1"/>
  <c r="AE1253" i="3" s="1"/>
  <c r="AE1254" i="3" a="1"/>
  <c r="AE1254" i="3" s="1"/>
  <c r="AE1255" i="3" a="1"/>
  <c r="AE1255" i="3" s="1"/>
  <c r="AE1256" i="3" a="1"/>
  <c r="AE1256" i="3" s="1"/>
  <c r="AE1257" i="3" a="1"/>
  <c r="AE1257" i="3" s="1"/>
  <c r="AE1258" i="3" a="1"/>
  <c r="AE1258" i="3" s="1"/>
  <c r="AE1259" i="3" a="1"/>
  <c r="AE1259" i="3" s="1"/>
  <c r="AE1260" i="3" a="1"/>
  <c r="AE1260" i="3" s="1"/>
  <c r="AE1261" i="3" a="1"/>
  <c r="AE1261" i="3" s="1"/>
  <c r="AE1262" i="3" a="1"/>
  <c r="AE1262" i="3"/>
  <c r="AE1263" i="3" a="1"/>
  <c r="AE1263" i="3" s="1"/>
  <c r="AE1264" i="3" a="1"/>
  <c r="AE1264" i="3" s="1"/>
  <c r="AE1265" i="3" a="1"/>
  <c r="AE1265" i="3" s="1"/>
  <c r="AE1266" i="3" a="1"/>
  <c r="AE1266" i="3" s="1"/>
  <c r="AE1267" i="3" a="1"/>
  <c r="AE1267" i="3" s="1"/>
  <c r="AE1268" i="3" a="1"/>
  <c r="AE1268" i="3"/>
  <c r="AE1269" i="3" a="1"/>
  <c r="AE1269" i="3" s="1"/>
  <c r="AE1270" i="3" a="1"/>
  <c r="AE1270" i="3" s="1"/>
  <c r="AE1271" i="3" a="1"/>
  <c r="AE1271" i="3" s="1"/>
  <c r="AE1272" i="3" a="1"/>
  <c r="AE1272" i="3" s="1"/>
  <c r="AE1273" i="3" a="1"/>
  <c r="AE1273" i="3" s="1"/>
  <c r="AE1274" i="3" a="1"/>
  <c r="AE1274" i="3" s="1"/>
  <c r="AE1275" i="3" a="1"/>
  <c r="AE1275" i="3" s="1"/>
  <c r="AE1276" i="3" a="1"/>
  <c r="AE1276" i="3" s="1"/>
  <c r="AE1277" i="3" a="1"/>
  <c r="AE1277" i="3" s="1"/>
  <c r="AE1278" i="3" a="1"/>
  <c r="AE1278" i="3" s="1"/>
  <c r="AE1279" i="3" a="1"/>
  <c r="AE1279" i="3"/>
  <c r="AE1280" i="3" a="1"/>
  <c r="AE1280" i="3" s="1"/>
  <c r="AE1281" i="3" a="1"/>
  <c r="AE1281" i="3"/>
  <c r="AE1282" i="3" a="1"/>
  <c r="AE1282" i="3" s="1"/>
  <c r="AE1283" i="3" a="1"/>
  <c r="AE1283" i="3" s="1"/>
  <c r="AE1284" i="3" a="1"/>
  <c r="AE1284" i="3" s="1"/>
  <c r="AE1285" i="3" a="1"/>
  <c r="AE1285" i="3" s="1"/>
  <c r="AE1286" i="3" a="1"/>
  <c r="AE1286" i="3" s="1"/>
  <c r="AE1287" i="3" a="1"/>
  <c r="AE1287" i="3" s="1"/>
  <c r="AE1288" i="3" a="1"/>
  <c r="AE1288" i="3" s="1"/>
  <c r="AE1289" i="3" a="1"/>
  <c r="AE1289" i="3" s="1"/>
  <c r="AE1290" i="3" a="1"/>
  <c r="AE1290" i="3" s="1"/>
  <c r="AE1291" i="3" a="1"/>
  <c r="AE1291" i="3" s="1"/>
  <c r="AE1292" i="3" a="1"/>
  <c r="AE1292" i="3"/>
  <c r="AE1293" i="3" a="1"/>
  <c r="AE1293" i="3" s="1"/>
  <c r="AE1294" i="3" a="1"/>
  <c r="AE1294" i="3"/>
  <c r="AE1295" i="3" a="1"/>
  <c r="AE1295" i="3" s="1"/>
  <c r="AE1296" i="3" a="1"/>
  <c r="AE1296" i="3" s="1"/>
  <c r="AE1297" i="3" a="1"/>
  <c r="AE1297" i="3" s="1"/>
  <c r="AE1298" i="3" a="1"/>
  <c r="AE1298" i="3"/>
  <c r="AE1299" i="3" a="1"/>
  <c r="AE1299" i="3" s="1"/>
  <c r="AE1300" i="3" a="1"/>
  <c r="AE1300" i="3" s="1"/>
  <c r="AE1301" i="3" a="1"/>
  <c r="AE1301" i="3" s="1"/>
  <c r="AE1302" i="3" a="1"/>
  <c r="AE1302" i="3" s="1"/>
  <c r="AE1303" i="3" a="1"/>
  <c r="AE1303" i="3" s="1"/>
  <c r="AE1304" i="3" a="1"/>
  <c r="AE1304" i="3" s="1"/>
  <c r="AE1305" i="3" a="1"/>
  <c r="AE1305" i="3" s="1"/>
  <c r="AE1306" i="3" a="1"/>
  <c r="AE1306" i="3" s="1"/>
  <c r="AE1307" i="3" a="1"/>
  <c r="AE1307" i="3" s="1"/>
  <c r="AE1308" i="3" a="1"/>
  <c r="AE1308" i="3" s="1"/>
  <c r="AE1309" i="3" a="1"/>
  <c r="AE1309" i="3" s="1"/>
  <c r="AE1310" i="3" a="1"/>
  <c r="AE1310" i="3" s="1"/>
  <c r="AE1311" i="3" a="1"/>
  <c r="AE1311" i="3"/>
  <c r="AE1312" i="3" a="1"/>
  <c r="AE1312" i="3" s="1"/>
  <c r="AE1313" i="3" a="1"/>
  <c r="AE1313" i="3" s="1"/>
  <c r="AE1314" i="3" a="1"/>
  <c r="AE1314" i="3" s="1"/>
  <c r="AE1315" i="3" a="1"/>
  <c r="AE1315" i="3" s="1"/>
  <c r="AE1316" i="3" a="1"/>
  <c r="AE1316" i="3" s="1"/>
  <c r="AE1317" i="3" a="1"/>
  <c r="AE1317" i="3" s="1"/>
  <c r="AE1318" i="3" a="1"/>
  <c r="AE1318" i="3" s="1"/>
  <c r="AE1319" i="3" a="1"/>
  <c r="AE1319" i="3" s="1"/>
  <c r="AE1320" i="3" a="1"/>
  <c r="AE1320" i="3" s="1"/>
  <c r="AE1321" i="3" a="1"/>
  <c r="AE1321" i="3" s="1"/>
  <c r="AE1322" i="3" a="1"/>
  <c r="AE1322" i="3" s="1"/>
  <c r="AE1323" i="3" a="1"/>
  <c r="AE1323" i="3" s="1"/>
  <c r="AE1324" i="3" a="1"/>
  <c r="AE1324" i="3" s="1"/>
  <c r="AE1325" i="3" a="1"/>
  <c r="AE1325" i="3" s="1"/>
  <c r="AE1326" i="3" a="1"/>
  <c r="AE1326" i="3"/>
  <c r="AE1327" i="3" a="1"/>
  <c r="AE1327" i="3" s="1"/>
  <c r="AE1328" i="3" a="1"/>
  <c r="AE1328" i="3" s="1"/>
  <c r="AE1329" i="3" a="1"/>
  <c r="AE1329" i="3" s="1"/>
  <c r="AE1330" i="3" a="1"/>
  <c r="AE1330" i="3" s="1"/>
  <c r="AE1331" i="3" a="1"/>
  <c r="AE1331" i="3" s="1"/>
  <c r="AE1332" i="3" a="1"/>
  <c r="AE1332" i="3" s="1"/>
  <c r="AE1333" i="3" a="1"/>
  <c r="AE1333" i="3" s="1"/>
  <c r="AE1334" i="3" a="1"/>
  <c r="AE1334" i="3" s="1"/>
  <c r="AE1335" i="3" a="1"/>
  <c r="AE1335" i="3" s="1"/>
  <c r="AE1336" i="3" a="1"/>
  <c r="AE1336" i="3"/>
  <c r="AE1337" i="3" a="1"/>
  <c r="AE1337" i="3" s="1"/>
  <c r="AE1338" i="3" a="1"/>
  <c r="AE1338" i="3" s="1"/>
  <c r="AE1339" i="3" a="1"/>
  <c r="AE1339" i="3" s="1"/>
  <c r="AE1340" i="3" a="1"/>
  <c r="AE1340" i="3" s="1"/>
  <c r="AE1341" i="3" a="1"/>
  <c r="AE1341" i="3"/>
  <c r="AE1342" i="3" a="1"/>
  <c r="AE1342" i="3" s="1"/>
  <c r="AE1343" i="3" a="1"/>
  <c r="AE1343" i="3" s="1"/>
  <c r="AE1344" i="3" a="1"/>
  <c r="AE1344" i="3" s="1"/>
  <c r="AE1345" i="3" a="1"/>
  <c r="AE1345" i="3" s="1"/>
  <c r="AE1346" i="3" a="1"/>
  <c r="AE1346" i="3" s="1"/>
  <c r="AE1347" i="3" a="1"/>
  <c r="AE1347" i="3" s="1"/>
  <c r="AE1348" i="3" a="1"/>
  <c r="AE1348" i="3" s="1"/>
  <c r="AE1349" i="3" a="1"/>
  <c r="AE1349" i="3" s="1"/>
  <c r="AE1350" i="3" a="1"/>
  <c r="AE1350" i="3" s="1"/>
  <c r="AE1351" i="3" a="1"/>
  <c r="AE1351" i="3" s="1"/>
  <c r="AE1352" i="3" a="1"/>
  <c r="AE1352" i="3" s="1"/>
  <c r="AE1353" i="3" a="1"/>
  <c r="AE1353" i="3"/>
  <c r="AE1354" i="3" a="1"/>
  <c r="AE1354" i="3" s="1"/>
  <c r="AE1355" i="3" a="1"/>
  <c r="AE1355" i="3" s="1"/>
  <c r="AE1356" i="3" a="1"/>
  <c r="AE1356" i="3" s="1"/>
  <c r="AE1357" i="3" a="1"/>
  <c r="AE1357" i="3" s="1"/>
  <c r="AE1358" i="3" a="1"/>
  <c r="AE1358" i="3" s="1"/>
  <c r="AE1359" i="3" a="1"/>
  <c r="AE1359" i="3" s="1"/>
  <c r="AE1360" i="3" a="1"/>
  <c r="AE1360" i="3" s="1"/>
  <c r="AE1361" i="3" a="1"/>
  <c r="AE1361" i="3" s="1"/>
  <c r="AE1362" i="3" a="1"/>
  <c r="AE1362" i="3" s="1"/>
  <c r="AE1363" i="3" a="1"/>
  <c r="AE1363" i="3" s="1"/>
  <c r="AE1364" i="3" a="1"/>
  <c r="AE1364" i="3" s="1"/>
  <c r="AE1365" i="3" a="1"/>
  <c r="AE1365" i="3" s="1"/>
  <c r="AE1366" i="3" a="1"/>
  <c r="AE1366" i="3" s="1"/>
  <c r="AE1367" i="3" a="1"/>
  <c r="AE1367" i="3" s="1"/>
  <c r="AE1368" i="3" a="1"/>
  <c r="AE1368" i="3" s="1"/>
  <c r="AE1369" i="3" a="1"/>
  <c r="AE1369" i="3" s="1"/>
  <c r="AE1370" i="3" a="1"/>
  <c r="AE1370" i="3"/>
  <c r="AE1371" i="3" a="1"/>
  <c r="AE1371" i="3" s="1"/>
  <c r="AE1372" i="3" a="1"/>
  <c r="AE1372" i="3" s="1"/>
  <c r="AE1373" i="3" a="1"/>
  <c r="AE1373" i="3" s="1"/>
  <c r="AE1374" i="3" a="1"/>
  <c r="AE1374" i="3" s="1"/>
  <c r="AE1375" i="3" a="1"/>
  <c r="AE1375" i="3"/>
  <c r="AE1376" i="3" a="1"/>
  <c r="AE1376" i="3" s="1"/>
  <c r="AE1377" i="3" a="1"/>
  <c r="AE1377" i="3" s="1"/>
  <c r="AE1378" i="3" a="1"/>
  <c r="AE1378" i="3" s="1"/>
  <c r="AE1379" i="3" a="1"/>
  <c r="AE1379" i="3" s="1"/>
  <c r="AE1380" i="3" a="1"/>
  <c r="AE1380" i="3" s="1"/>
  <c r="AE1381" i="3" a="1"/>
  <c r="AE1381" i="3" s="1"/>
  <c r="AE1382" i="3" a="1"/>
  <c r="AE1382" i="3" s="1"/>
  <c r="AE1383" i="3" a="1"/>
  <c r="AE1383" i="3"/>
  <c r="AE1384" i="3" a="1"/>
  <c r="AE1384" i="3" s="1"/>
  <c r="AE1385" i="3" a="1"/>
  <c r="AE1385" i="3" s="1"/>
  <c r="AE1386" i="3" a="1"/>
  <c r="AE1386" i="3" s="1"/>
  <c r="AE1387" i="3" a="1"/>
  <c r="AE1387" i="3" s="1"/>
  <c r="AE1388" i="3" a="1"/>
  <c r="AE1388" i="3"/>
  <c r="AE1389" i="3" a="1"/>
  <c r="AE1389" i="3" s="1"/>
  <c r="AE1390" i="3" a="1"/>
  <c r="AE1390" i="3" s="1"/>
  <c r="AE1391" i="3" a="1"/>
  <c r="AE1391" i="3" s="1"/>
  <c r="AE1392" i="3" a="1"/>
  <c r="AE1392" i="3" s="1"/>
  <c r="AE1393" i="3" a="1"/>
  <c r="AE1393" i="3" s="1"/>
  <c r="AE1394" i="3" a="1"/>
  <c r="AE1394" i="3" s="1"/>
  <c r="AE1395" i="3" a="1"/>
  <c r="AE1395" i="3" s="1"/>
  <c r="AE1396" i="3" a="1"/>
  <c r="AE1396" i="3"/>
  <c r="AE1397" i="3" a="1"/>
  <c r="AE1397" i="3" s="1"/>
  <c r="AE1398" i="3" a="1"/>
  <c r="AE1398" i="3" s="1"/>
  <c r="AE1399" i="3" a="1"/>
  <c r="AE1399" i="3" s="1"/>
  <c r="AE1400" i="3" a="1"/>
  <c r="AE1400" i="3" s="1"/>
  <c r="AE1401" i="3" a="1"/>
  <c r="AE1401" i="3" s="1"/>
  <c r="AE1402" i="3" a="1"/>
  <c r="AE1402" i="3" s="1"/>
  <c r="AE1403" i="3" a="1"/>
  <c r="AE1403" i="3" s="1"/>
  <c r="AE1404" i="3" a="1"/>
  <c r="AE1404" i="3" s="1"/>
  <c r="AE1405" i="3" a="1"/>
  <c r="AE1405" i="3" s="1"/>
  <c r="AE1406" i="3" a="1"/>
  <c r="AE1406" i="3" s="1"/>
  <c r="AE1407" i="3" a="1"/>
  <c r="AE1407" i="3" s="1"/>
  <c r="AE1408" i="3" a="1"/>
  <c r="AE1408" i="3" s="1"/>
  <c r="AE1409" i="3" a="1"/>
  <c r="AE1409" i="3" s="1"/>
  <c r="AE1410" i="3" a="1"/>
  <c r="AE1410" i="3" s="1"/>
  <c r="AE1411" i="3" a="1"/>
  <c r="AE1411" i="3" s="1"/>
  <c r="AE1412" i="3" a="1"/>
  <c r="AE1412" i="3" s="1"/>
  <c r="AE1413" i="3" a="1"/>
  <c r="AE1413" i="3" s="1"/>
  <c r="AE1414" i="3" a="1"/>
  <c r="AE1414" i="3" s="1"/>
  <c r="AE1415" i="3" a="1"/>
  <c r="AE1415" i="3" s="1"/>
  <c r="AE1416" i="3" a="1"/>
  <c r="AE1416" i="3"/>
  <c r="AE1417" i="3" a="1"/>
  <c r="AE1417" i="3" s="1"/>
  <c r="AE1418" i="3" a="1"/>
  <c r="AE1418" i="3"/>
  <c r="AE1419" i="3" a="1"/>
  <c r="AE1419" i="3" s="1"/>
  <c r="AE1420" i="3" a="1"/>
  <c r="AE1420" i="3"/>
  <c r="AE1421" i="3" a="1"/>
  <c r="AE1421" i="3" s="1"/>
  <c r="AE1422" i="3" a="1"/>
  <c r="AE1422" i="3" s="1"/>
  <c r="AE1423" i="3" a="1"/>
  <c r="AE1423" i="3" s="1"/>
  <c r="AE1424" i="3" a="1"/>
  <c r="AE1424" i="3" s="1"/>
  <c r="AE1425" i="3" a="1"/>
  <c r="AE1425" i="3" s="1"/>
  <c r="AE1426" i="3" a="1"/>
  <c r="AE1426" i="3"/>
  <c r="AE1427" i="3" a="1"/>
  <c r="AE1427" i="3" s="1"/>
  <c r="AE1428" i="3" a="1"/>
  <c r="AE1428" i="3" s="1"/>
  <c r="AE1429" i="3" a="1"/>
  <c r="AE1429" i="3" s="1"/>
  <c r="AE1430" i="3" a="1"/>
  <c r="AE1430" i="3" s="1"/>
  <c r="AE1431" i="3" a="1"/>
  <c r="AE1431" i="3" s="1"/>
  <c r="AE1432" i="3" a="1"/>
  <c r="AE1432" i="3" s="1"/>
  <c r="AE1433" i="3" a="1"/>
  <c r="AE1433" i="3" s="1"/>
  <c r="AE1434" i="3" a="1"/>
  <c r="AE1434" i="3" s="1"/>
  <c r="AE1435" i="3" a="1"/>
  <c r="AE1435" i="3" s="1"/>
  <c r="AE1436" i="3" a="1"/>
  <c r="AE1436" i="3" s="1"/>
  <c r="AE1437" i="3" a="1"/>
  <c r="AE1437" i="3" s="1"/>
  <c r="AE1438" i="3" a="1"/>
  <c r="AE1438" i="3" s="1"/>
  <c r="AE1439" i="3" a="1"/>
  <c r="AE1439" i="3"/>
  <c r="AE1440" i="3" a="1"/>
  <c r="AE1440" i="3" s="1"/>
  <c r="AE1441" i="3" a="1"/>
  <c r="AE1441" i="3" s="1"/>
  <c r="AE1442" i="3" a="1"/>
  <c r="AE1442" i="3" s="1"/>
  <c r="AE1443" i="3" a="1"/>
  <c r="AE1443" i="3" s="1"/>
  <c r="AE1444" i="3" a="1"/>
  <c r="AE1444" i="3" s="1"/>
  <c r="AE1445" i="3" a="1"/>
  <c r="AE1445" i="3" s="1"/>
  <c r="AE1446" i="3" a="1"/>
  <c r="AE1446" i="3" s="1"/>
  <c r="AE1447" i="3" a="1"/>
  <c r="AE1447" i="3" s="1"/>
  <c r="AE1448" i="3" a="1"/>
  <c r="AE1448" i="3" s="1"/>
  <c r="AE1449" i="3" a="1"/>
  <c r="AE1449" i="3" s="1"/>
  <c r="AE1450" i="3" a="1"/>
  <c r="AE1450" i="3" s="1"/>
  <c r="AE1451" i="3" a="1"/>
  <c r="AE1451" i="3" s="1"/>
  <c r="AE1452" i="3" a="1"/>
  <c r="AE1452" i="3" s="1"/>
  <c r="AE1453" i="3" a="1"/>
  <c r="AE1453" i="3" s="1"/>
  <c r="AE1454" i="3" a="1"/>
  <c r="AE1454" i="3" s="1"/>
  <c r="AE1455" i="3" a="1"/>
  <c r="AE1455" i="3" s="1"/>
  <c r="AE1456" i="3" a="1"/>
  <c r="AE1456" i="3" s="1"/>
  <c r="AE1457" i="3" a="1"/>
  <c r="AE1457" i="3" s="1"/>
  <c r="AE1458" i="3" a="1"/>
  <c r="AE1458" i="3" s="1"/>
  <c r="AE1459" i="3" a="1"/>
  <c r="AE1459" i="3" s="1"/>
  <c r="AE1460" i="3" a="1"/>
  <c r="AE1460" i="3" s="1"/>
  <c r="AE1461" i="3" a="1"/>
  <c r="AE1461" i="3" s="1"/>
  <c r="AE1462" i="3" a="1"/>
  <c r="AE1462" i="3" s="1"/>
  <c r="AE1463" i="3" a="1"/>
  <c r="AE1463" i="3" s="1"/>
  <c r="AE1464" i="3" a="1"/>
  <c r="AE1464" i="3" s="1"/>
  <c r="AE1465" i="3" a="1"/>
  <c r="AE1465" i="3" s="1"/>
  <c r="AE1466" i="3" a="1"/>
  <c r="AE1466" i="3" s="1"/>
  <c r="AE1467" i="3" a="1"/>
  <c r="AE1467" i="3"/>
  <c r="AE1468" i="3" a="1"/>
  <c r="AE1468" i="3" s="1"/>
  <c r="AE1469" i="3" a="1"/>
  <c r="AE1469" i="3" s="1"/>
  <c r="AE1470" i="3" a="1"/>
  <c r="AE1470" i="3" s="1"/>
  <c r="AE1471" i="3" a="1"/>
  <c r="AE1471" i="3" s="1"/>
  <c r="AE1472" i="3" a="1"/>
  <c r="AE1472" i="3" s="1"/>
  <c r="AE1473" i="3" a="1"/>
  <c r="AE1473" i="3" s="1"/>
  <c r="AE1474" i="3" a="1"/>
  <c r="AE1474" i="3" s="1"/>
  <c r="AE1475" i="3" a="1"/>
  <c r="AE1475" i="3" s="1"/>
  <c r="AE1476" i="3" a="1"/>
  <c r="AE1476" i="3" s="1"/>
  <c r="AE1477" i="3" a="1"/>
  <c r="AE1477" i="3" s="1"/>
  <c r="AE1478" i="3" a="1"/>
  <c r="AE1478" i="3"/>
  <c r="AE1479" i="3" a="1"/>
  <c r="AE1479" i="3" s="1"/>
  <c r="AE1480" i="3" a="1"/>
  <c r="AE1480" i="3" s="1"/>
  <c r="AE1481" i="3" a="1"/>
  <c r="AE1481" i="3" s="1"/>
  <c r="AE1482" i="3" a="1"/>
  <c r="AE1482" i="3"/>
  <c r="AE1483" i="3" a="1"/>
  <c r="AE1483" i="3" s="1"/>
  <c r="AE1484" i="3" a="1"/>
  <c r="AE1484" i="3" s="1"/>
  <c r="AE1485" i="3" a="1"/>
  <c r="AE1485" i="3" s="1"/>
  <c r="AE1486" i="3" a="1"/>
  <c r="AE1486" i="3" s="1"/>
  <c r="AE1487" i="3" a="1"/>
  <c r="AE1487" i="3" s="1"/>
  <c r="AE1488" i="3" a="1"/>
  <c r="AE1488" i="3" s="1"/>
  <c r="AE1489" i="3" a="1"/>
  <c r="AE1489" i="3" s="1"/>
  <c r="AE1490" i="3" a="1"/>
  <c r="AE1490" i="3" s="1"/>
  <c r="AE1491" i="3" a="1"/>
  <c r="AE1491" i="3" s="1"/>
  <c r="AE1492" i="3" a="1"/>
  <c r="AE1492" i="3" s="1"/>
  <c r="AE1493" i="3" a="1"/>
  <c r="AE1493" i="3" s="1"/>
  <c r="AE1494" i="3" a="1"/>
  <c r="AE1494" i="3" s="1"/>
  <c r="AE1495" i="3" a="1"/>
  <c r="AE1495" i="3" s="1"/>
  <c r="AE1496" i="3" a="1"/>
  <c r="AE1496" i="3" s="1"/>
  <c r="AE1497" i="3" a="1"/>
  <c r="AE1497" i="3" s="1"/>
  <c r="AE1498" i="3" a="1"/>
  <c r="AE1498" i="3" s="1"/>
  <c r="AE1499" i="3" a="1"/>
  <c r="AE1499" i="3"/>
  <c r="AE1500" i="3" a="1"/>
  <c r="AE1500" i="3" s="1"/>
  <c r="AE1501" i="3" a="1"/>
  <c r="AE1501" i="3" s="1"/>
  <c r="AE1502" i="3" a="1"/>
  <c r="AE1502" i="3" s="1"/>
  <c r="AE1503" i="3" a="1"/>
  <c r="AE1503" i="3" s="1"/>
  <c r="AE1504" i="3" a="1"/>
  <c r="AE1504" i="3" s="1"/>
  <c r="AE1505" i="3" a="1"/>
  <c r="AE1505" i="3"/>
  <c r="AE1506" i="3" a="1"/>
  <c r="AE1506" i="3" s="1"/>
  <c r="AE1507" i="3" a="1"/>
  <c r="AE1507" i="3" s="1"/>
  <c r="AE1508" i="3" a="1"/>
  <c r="AE1508" i="3" s="1"/>
  <c r="AE1509" i="3" a="1"/>
  <c r="AE1509" i="3"/>
  <c r="AE1510" i="3" a="1"/>
  <c r="AE1510" i="3" s="1"/>
  <c r="AE1511" i="3" a="1"/>
  <c r="AE1511" i="3" s="1"/>
  <c r="AE1512" i="3" a="1"/>
  <c r="AE1512" i="3" s="1"/>
  <c r="AE1513" i="3" a="1"/>
  <c r="AE1513" i="3" s="1"/>
  <c r="AE1514" i="3" a="1"/>
  <c r="AE1514" i="3" s="1"/>
  <c r="AE1515" i="3" a="1"/>
  <c r="AE1515" i="3" s="1"/>
  <c r="AE1516" i="3" a="1"/>
  <c r="AE1516" i="3" s="1"/>
  <c r="AE1517" i="3" a="1"/>
  <c r="AE1517" i="3" s="1"/>
  <c r="AE1518" i="3" a="1"/>
  <c r="AE1518" i="3" s="1"/>
  <c r="AE1519" i="3" a="1"/>
  <c r="AE1519" i="3" s="1"/>
  <c r="AE1520" i="3" a="1"/>
  <c r="AE1520" i="3" s="1"/>
  <c r="AE1521" i="3" a="1"/>
  <c r="AE1521" i="3" s="1"/>
  <c r="AE1522" i="3" a="1"/>
  <c r="AE1522" i="3" s="1"/>
  <c r="AE1523" i="3" a="1"/>
  <c r="AE1523" i="3"/>
  <c r="AE1524" i="3" a="1"/>
  <c r="AE1524" i="3" s="1"/>
  <c r="AE1525" i="3" a="1"/>
  <c r="AE1525" i="3" s="1"/>
  <c r="AE1526" i="3" a="1"/>
  <c r="AE1526" i="3" s="1"/>
  <c r="AE1527" i="3" a="1"/>
  <c r="AE1527" i="3" s="1"/>
  <c r="AE1528" i="3" a="1"/>
  <c r="AE1528" i="3" s="1"/>
  <c r="AE1529" i="3" a="1"/>
  <c r="AE1529" i="3" s="1"/>
  <c r="AE1530" i="3" a="1"/>
  <c r="AE1530" i="3" s="1"/>
  <c r="AE1531" i="3" a="1"/>
  <c r="AE1531" i="3" s="1"/>
  <c r="AE1532" i="3" a="1"/>
  <c r="AE1532" i="3" s="1"/>
  <c r="AE1533" i="3" a="1"/>
  <c r="AE1533" i="3" s="1"/>
  <c r="AE1534" i="3" a="1"/>
  <c r="AE1534" i="3" s="1"/>
  <c r="AE1535" i="3" a="1"/>
  <c r="AE1535" i="3" s="1"/>
  <c r="AE1536" i="3" a="1"/>
  <c r="AE1536" i="3" s="1"/>
  <c r="AE1537" i="3" a="1"/>
  <c r="AE1537" i="3" s="1"/>
  <c r="AE1538" i="3" a="1"/>
  <c r="AE1538" i="3" s="1"/>
  <c r="AE1539" i="3" a="1"/>
  <c r="AE1539" i="3" s="1"/>
  <c r="AE1540" i="3" a="1"/>
  <c r="AE1540" i="3" s="1"/>
  <c r="AE1541" i="3" a="1"/>
  <c r="AE1541" i="3" s="1"/>
  <c r="AE1542" i="3" a="1"/>
  <c r="AE1542" i="3" s="1"/>
  <c r="AE1543" i="3" a="1"/>
  <c r="AE1543" i="3" s="1"/>
  <c r="AE1544" i="3" a="1"/>
  <c r="AE1544" i="3" s="1"/>
  <c r="AE1545" i="3" a="1"/>
  <c r="AE1545" i="3" s="1"/>
  <c r="AE1546" i="3" a="1"/>
  <c r="AE1546" i="3" s="1"/>
  <c r="AE1547" i="3" a="1"/>
  <c r="AE1547" i="3" s="1"/>
  <c r="AE1548" i="3" a="1"/>
  <c r="AE1548" i="3" s="1"/>
  <c r="AE1549" i="3" a="1"/>
  <c r="AE1549" i="3" s="1"/>
  <c r="AE1550" i="3" a="1"/>
  <c r="AE1550" i="3" s="1"/>
  <c r="AE1551" i="3" a="1"/>
  <c r="AE1551" i="3" s="1"/>
  <c r="AE1552" i="3" a="1"/>
  <c r="AE1552" i="3" s="1"/>
  <c r="AE1553" i="3" a="1"/>
  <c r="AE1553" i="3" s="1"/>
  <c r="AE1554" i="3" a="1"/>
  <c r="AE1554" i="3" s="1"/>
  <c r="AE1555" i="3" a="1"/>
  <c r="AE1555" i="3" s="1"/>
  <c r="AE1556" i="3" a="1"/>
  <c r="AE1556" i="3" s="1"/>
  <c r="AE1557" i="3" a="1"/>
  <c r="AE1557" i="3" s="1"/>
  <c r="AE1558" i="3" a="1"/>
  <c r="AE1558" i="3" s="1"/>
  <c r="AE1559" i="3" a="1"/>
  <c r="AE1559" i="3" s="1"/>
  <c r="AE1560" i="3" a="1"/>
  <c r="AE1560" i="3" s="1"/>
  <c r="AE1561" i="3" a="1"/>
  <c r="AE1561" i="3" s="1"/>
  <c r="AE1562" i="3" a="1"/>
  <c r="AE1562" i="3" s="1"/>
  <c r="AE1563" i="3" a="1"/>
  <c r="AE1563" i="3" s="1"/>
  <c r="AE1564" i="3" a="1"/>
  <c r="AE1564" i="3" s="1"/>
  <c r="AE1565" i="3" a="1"/>
  <c r="AE1565" i="3" s="1"/>
  <c r="AE1566" i="3" a="1"/>
  <c r="AE1566" i="3" s="1"/>
  <c r="AE1567" i="3" a="1"/>
  <c r="AE1567" i="3" s="1"/>
  <c r="AE1568" i="3" a="1"/>
  <c r="AE1568" i="3" s="1"/>
  <c r="AE1569" i="3" a="1"/>
  <c r="AE1569" i="3" s="1"/>
  <c r="AE1570" i="3" a="1"/>
  <c r="AE1570" i="3" s="1"/>
  <c r="AE1571" i="3" a="1"/>
  <c r="AE1571" i="3" s="1"/>
  <c r="AE1572" i="3" a="1"/>
  <c r="AE1572" i="3" s="1"/>
  <c r="AE1573" i="3" a="1"/>
  <c r="AE1573" i="3" s="1"/>
  <c r="AE1574" i="3" a="1"/>
  <c r="AE1574" i="3" s="1"/>
  <c r="AE1575" i="3" a="1"/>
  <c r="AE1575" i="3" s="1"/>
  <c r="AE1576" i="3" a="1"/>
  <c r="AE1576" i="3" s="1"/>
  <c r="AE1577" i="3" a="1"/>
  <c r="AE1577" i="3" s="1"/>
  <c r="AE1578" i="3" a="1"/>
  <c r="AE1578" i="3" s="1"/>
  <c r="AE1579" i="3" a="1"/>
  <c r="AE1579" i="3" s="1"/>
  <c r="AE1580" i="3" a="1"/>
  <c r="AE1580" i="3"/>
  <c r="AE1581" i="3" a="1"/>
  <c r="AE1581" i="3" s="1"/>
  <c r="AE1582" i="3" a="1"/>
  <c r="AE1582" i="3" s="1"/>
  <c r="AE1583" i="3" a="1"/>
  <c r="AE1583" i="3" s="1"/>
  <c r="AE1584" i="3" a="1"/>
  <c r="AE1584" i="3" s="1"/>
  <c r="AE1585" i="3" a="1"/>
  <c r="AE1585" i="3" s="1"/>
  <c r="AE1586" i="3" a="1"/>
  <c r="AE1586" i="3" s="1"/>
  <c r="AE1587" i="3" a="1"/>
  <c r="AE1587" i="3" s="1"/>
  <c r="AE1588" i="3" a="1"/>
  <c r="AE1588" i="3" s="1"/>
  <c r="AE1589" i="3" a="1"/>
  <c r="AE1589" i="3" s="1"/>
  <c r="AE1590" i="3" a="1"/>
  <c r="AE1590" i="3" s="1"/>
  <c r="AE1591" i="3" a="1"/>
  <c r="AE1591" i="3" s="1"/>
  <c r="AE1592" i="3" a="1"/>
  <c r="AE1592" i="3" s="1"/>
  <c r="AE1593" i="3" a="1"/>
  <c r="AE1593" i="3" s="1"/>
  <c r="AE1594" i="3" a="1"/>
  <c r="AE1594" i="3" s="1"/>
  <c r="AE1595" i="3" a="1"/>
  <c r="AE1595" i="3" s="1"/>
  <c r="AE1596" i="3" a="1"/>
  <c r="AE1596" i="3" s="1"/>
  <c r="AE1597" i="3" a="1"/>
  <c r="AE1597" i="3" s="1"/>
  <c r="AE1598" i="3" a="1"/>
  <c r="AE1598" i="3" s="1"/>
  <c r="AE1599" i="3" a="1"/>
  <c r="AE1599" i="3"/>
  <c r="AE1600" i="3" a="1"/>
  <c r="AE1600" i="3" s="1"/>
  <c r="AE1601" i="3" a="1"/>
  <c r="AE1601" i="3" s="1"/>
  <c r="AE1602" i="3" a="1"/>
  <c r="AE1602" i="3" s="1"/>
  <c r="AE1603" i="3" a="1"/>
  <c r="AE1603" i="3" s="1"/>
  <c r="AE1604" i="3" a="1"/>
  <c r="AE1604" i="3" s="1"/>
  <c r="AE1605" i="3" a="1"/>
  <c r="AE1605" i="3" s="1"/>
  <c r="AE1606" i="3" a="1"/>
  <c r="AE1606" i="3" s="1"/>
  <c r="AE1607" i="3" a="1"/>
  <c r="AE1607" i="3" s="1"/>
  <c r="AE1608" i="3" a="1"/>
  <c r="AE1608" i="3" s="1"/>
  <c r="AE1609" i="3" a="1"/>
  <c r="AE1609" i="3" s="1"/>
  <c r="AE1610" i="3" a="1"/>
  <c r="AE1610" i="3" s="1"/>
  <c r="AE1611" i="3" a="1"/>
  <c r="AE1611" i="3" s="1"/>
  <c r="AE1612" i="3" a="1"/>
  <c r="AE1612" i="3" s="1"/>
  <c r="AE1613" i="3" a="1"/>
  <c r="AE1613" i="3" s="1"/>
  <c r="AE1614" i="3" a="1"/>
  <c r="AE1614" i="3" s="1"/>
  <c r="AE1615" i="3" a="1"/>
  <c r="AE1615" i="3" s="1"/>
  <c r="AE1616" i="3" a="1"/>
  <c r="AE1616" i="3" s="1"/>
  <c r="AE1617" i="3" a="1"/>
  <c r="AE1617" i="3" s="1"/>
  <c r="AE1618" i="3" a="1"/>
  <c r="AE1618" i="3" s="1"/>
  <c r="AE1619" i="3" a="1"/>
  <c r="AE1619" i="3" s="1"/>
  <c r="AE1620" i="3" a="1"/>
  <c r="AE1620" i="3" s="1"/>
  <c r="AE1621" i="3" a="1"/>
  <c r="AE1621" i="3" s="1"/>
  <c r="AE1622" i="3" a="1"/>
  <c r="AE1622" i="3" s="1"/>
  <c r="AE1623" i="3" a="1"/>
  <c r="AE1623" i="3" s="1"/>
  <c r="AE1624" i="3" a="1"/>
  <c r="AE1624" i="3" s="1"/>
  <c r="AE1625" i="3" a="1"/>
  <c r="AE1625" i="3" s="1"/>
  <c r="AE1626" i="3" a="1"/>
  <c r="AE1626" i="3" s="1"/>
  <c r="AE1627" i="3" a="1"/>
  <c r="AE1627" i="3" s="1"/>
  <c r="AE1628" i="3" a="1"/>
  <c r="AE1628" i="3" s="1"/>
  <c r="AE1629" i="3" a="1"/>
  <c r="AE1629" i="3" s="1"/>
  <c r="AE1630" i="3" a="1"/>
  <c r="AE1630" i="3" s="1"/>
  <c r="AE1631" i="3" a="1"/>
  <c r="AE1631" i="3" s="1"/>
  <c r="AE1632" i="3" a="1"/>
  <c r="AE1632" i="3" s="1"/>
  <c r="AE1633" i="3" a="1"/>
  <c r="AE1633" i="3" s="1"/>
  <c r="AE1634" i="3" a="1"/>
  <c r="AE1634" i="3" s="1"/>
  <c r="AE1635" i="3" a="1"/>
  <c r="AE1635" i="3" s="1"/>
  <c r="AE1636" i="3" a="1"/>
  <c r="AE1636" i="3" s="1"/>
  <c r="AE1637" i="3" a="1"/>
  <c r="AE1637" i="3" s="1"/>
  <c r="AE1638" i="3" a="1"/>
  <c r="AE1638" i="3" s="1"/>
  <c r="AE1639" i="3" a="1"/>
  <c r="AE1639" i="3"/>
  <c r="AE1640" i="3" a="1"/>
  <c r="AE1640" i="3" s="1"/>
  <c r="AE1641" i="3" a="1"/>
  <c r="AE1641" i="3" s="1"/>
  <c r="AE1642" i="3" a="1"/>
  <c r="AE1642" i="3" s="1"/>
  <c r="AE1643" i="3" a="1"/>
  <c r="AE1643" i="3" s="1"/>
  <c r="AE1644" i="3" a="1"/>
  <c r="AE1644" i="3" s="1"/>
  <c r="AE1645" i="3" a="1"/>
  <c r="AE1645" i="3" s="1"/>
  <c r="AE1646" i="3" a="1"/>
  <c r="AE1646" i="3" s="1"/>
  <c r="AE1647" i="3" a="1"/>
  <c r="AE1647" i="3" s="1"/>
  <c r="AE1648" i="3" a="1"/>
  <c r="AE1648" i="3" s="1"/>
  <c r="AE1649" i="3" a="1"/>
  <c r="AE1649" i="3" s="1"/>
  <c r="AE1650" i="3" a="1"/>
  <c r="AE1650" i="3" s="1"/>
  <c r="AE1651" i="3" a="1"/>
  <c r="AE1651" i="3" s="1"/>
  <c r="AE1652" i="3" a="1"/>
  <c r="AE1652" i="3" s="1"/>
  <c r="AE1653" i="3" a="1"/>
  <c r="AE1653" i="3" s="1"/>
  <c r="AE1654" i="3" a="1"/>
  <c r="AE1654" i="3" s="1"/>
  <c r="AE1655" i="3" a="1"/>
  <c r="AE1655" i="3"/>
  <c r="AE1656" i="3" a="1"/>
  <c r="AE1656" i="3" s="1"/>
  <c r="AE1657" i="3" a="1"/>
  <c r="AE1657" i="3" s="1"/>
  <c r="AE1658" i="3" a="1"/>
  <c r="AE1658" i="3" s="1"/>
  <c r="AE1659" i="3" a="1"/>
  <c r="AE1659" i="3" s="1"/>
  <c r="AE1660" i="3" a="1"/>
  <c r="AE1660" i="3" s="1"/>
  <c r="AE1661" i="3" a="1"/>
  <c r="AE1661" i="3" s="1"/>
  <c r="AE1662" i="3" a="1"/>
  <c r="AE1662" i="3" s="1"/>
  <c r="AE1663" i="3" a="1"/>
  <c r="AE1663" i="3" s="1"/>
  <c r="AE1664" i="3" a="1"/>
  <c r="AE1664" i="3" s="1"/>
  <c r="AE1665" i="3" a="1"/>
  <c r="AE1665" i="3" s="1"/>
  <c r="AE1666" i="3" a="1"/>
  <c r="AE1666" i="3" s="1"/>
  <c r="AE1667" i="3" a="1"/>
  <c r="AE1667" i="3" s="1"/>
  <c r="AE1668" i="3" a="1"/>
  <c r="AE1668" i="3" s="1"/>
  <c r="AE1669" i="3" a="1"/>
  <c r="AE1669" i="3" s="1"/>
  <c r="AE1670" i="3" a="1"/>
  <c r="AE1670" i="3" s="1"/>
  <c r="AE1671" i="3" a="1"/>
  <c r="AE1671" i="3" s="1"/>
  <c r="AE1672" i="3" a="1"/>
  <c r="AE1672" i="3" s="1"/>
  <c r="AE1673" i="3" a="1"/>
  <c r="AE1673" i="3" s="1"/>
  <c r="AE1674" i="3" a="1"/>
  <c r="AE1674" i="3" s="1"/>
  <c r="AE1675" i="3" a="1"/>
  <c r="AE1675" i="3" s="1"/>
  <c r="AE1676" i="3" a="1"/>
  <c r="AE1676" i="3" s="1"/>
  <c r="AE1677" i="3" a="1"/>
  <c r="AE1677" i="3" s="1"/>
  <c r="AE1678" i="3" a="1"/>
  <c r="AE1678" i="3" s="1"/>
  <c r="AE1679" i="3" a="1"/>
  <c r="AE1679" i="3" s="1"/>
  <c r="AE1680" i="3" a="1"/>
  <c r="AE1680" i="3" s="1"/>
  <c r="AE1681" i="3" a="1"/>
  <c r="AE1681" i="3" s="1"/>
  <c r="AE1682" i="3" a="1"/>
  <c r="AE1682" i="3" s="1"/>
  <c r="AE1683" i="3" a="1"/>
  <c r="AE1683" i="3" s="1"/>
  <c r="AE1684" i="3" a="1"/>
  <c r="AE1684" i="3" s="1"/>
  <c r="AE1685" i="3" a="1"/>
  <c r="AE1685" i="3" s="1"/>
  <c r="AE1686" i="3" a="1"/>
  <c r="AE1686" i="3" s="1"/>
  <c r="AE1687" i="3" a="1"/>
  <c r="AE1687" i="3" s="1"/>
  <c r="AE1688" i="3" a="1"/>
  <c r="AE1688" i="3" s="1"/>
  <c r="AE1689" i="3" a="1"/>
  <c r="AE1689" i="3" s="1"/>
  <c r="AE1690" i="3" a="1"/>
  <c r="AE1690" i="3" s="1"/>
  <c r="AE1691" i="3" a="1"/>
  <c r="AE1691" i="3" s="1"/>
  <c r="AE1692" i="3" a="1"/>
  <c r="AE1692" i="3" s="1"/>
  <c r="AE1693" i="3" a="1"/>
  <c r="AE1693" i="3" s="1"/>
  <c r="AE1694" i="3" a="1"/>
  <c r="AE1694" i="3" s="1"/>
  <c r="AE1695" i="3" a="1"/>
  <c r="AE1695" i="3" s="1"/>
  <c r="AE1696" i="3" a="1"/>
  <c r="AE1696" i="3" s="1"/>
  <c r="AE1697" i="3" a="1"/>
  <c r="AE1697" i="3" s="1"/>
  <c r="AE1698" i="3" a="1"/>
  <c r="AE1698" i="3" s="1"/>
  <c r="AE1699" i="3" a="1"/>
  <c r="AE1699" i="3" s="1"/>
  <c r="AE1700" i="3" a="1"/>
  <c r="AE1700" i="3" s="1"/>
  <c r="AE1701" i="3" a="1"/>
  <c r="AE1701" i="3" s="1"/>
  <c r="AE1702" i="3" a="1"/>
  <c r="AE1702" i="3" s="1"/>
  <c r="AE1703" i="3" a="1"/>
  <c r="AE1703" i="3" s="1"/>
  <c r="AE1704" i="3" a="1"/>
  <c r="AE1704" i="3" s="1"/>
  <c r="AE1705" i="3" a="1"/>
  <c r="AE1705" i="3" s="1"/>
  <c r="AE1706" i="3" a="1"/>
  <c r="AE1706" i="3" s="1"/>
  <c r="AE1707" i="3" a="1"/>
  <c r="AE1707" i="3" s="1"/>
  <c r="AE1708" i="3" a="1"/>
  <c r="AE1708" i="3" s="1"/>
  <c r="AE1709" i="3" a="1"/>
  <c r="AE1709" i="3" s="1"/>
  <c r="AE1710" i="3" a="1"/>
  <c r="AE1710" i="3" s="1"/>
  <c r="AE1711" i="3" a="1"/>
  <c r="AE1711" i="3" s="1"/>
  <c r="AE1712" i="3" a="1"/>
  <c r="AE1712" i="3" s="1"/>
  <c r="AE1713" i="3" a="1"/>
  <c r="AE1713" i="3" s="1"/>
  <c r="AE1714" i="3" a="1"/>
  <c r="AE1714" i="3" s="1"/>
  <c r="AE1715" i="3" a="1"/>
  <c r="AE1715" i="3" s="1"/>
  <c r="AE1716" i="3" a="1"/>
  <c r="AE1716" i="3" s="1"/>
  <c r="AE1717" i="3" a="1"/>
  <c r="AE1717" i="3" s="1"/>
  <c r="AE1718" i="3" a="1"/>
  <c r="AE1718" i="3" s="1"/>
  <c r="AE1719" i="3" a="1"/>
  <c r="AE1719" i="3"/>
  <c r="AE1720" i="3" a="1"/>
  <c r="AE1720" i="3" s="1"/>
  <c r="AE1721" i="3" a="1"/>
  <c r="AE1721" i="3" s="1"/>
  <c r="AE1722" i="3" a="1"/>
  <c r="AE1722" i="3" s="1"/>
  <c r="AE1723" i="3" a="1"/>
  <c r="AE1723" i="3" s="1"/>
  <c r="AE1724" i="3" a="1"/>
  <c r="AE1724" i="3" s="1"/>
  <c r="AE1725" i="3" a="1"/>
  <c r="AE1725" i="3" s="1"/>
  <c r="AE1726" i="3" a="1"/>
  <c r="AE1726" i="3" s="1"/>
  <c r="AE1727" i="3" a="1"/>
  <c r="AE1727" i="3" s="1"/>
  <c r="AE1728" i="3" a="1"/>
  <c r="AE1728" i="3" s="1"/>
  <c r="AE1729" i="3" a="1"/>
  <c r="AE1729" i="3" s="1"/>
  <c r="AE1730" i="3" a="1"/>
  <c r="AE1730" i="3" s="1"/>
  <c r="AE1731" i="3" a="1"/>
  <c r="AE1731" i="3" s="1"/>
  <c r="AE1732" i="3" a="1"/>
  <c r="AE1732" i="3" s="1"/>
  <c r="AE1733" i="3" a="1"/>
  <c r="AE1733" i="3" s="1"/>
  <c r="AE1734" i="3" a="1"/>
  <c r="AE1734" i="3" s="1"/>
  <c r="AE1735" i="3" a="1"/>
  <c r="AE1735" i="3" s="1"/>
  <c r="AE1736" i="3" a="1"/>
  <c r="AE1736" i="3" s="1"/>
  <c r="AE1737" i="3" a="1"/>
  <c r="AE1737" i="3" s="1"/>
  <c r="AE1738" i="3" a="1"/>
  <c r="AE1738" i="3" s="1"/>
  <c r="AE1739" i="3" a="1"/>
  <c r="AE1739" i="3" s="1"/>
  <c r="AE1740" i="3" a="1"/>
  <c r="AE1740" i="3" s="1"/>
  <c r="AE1741" i="3" a="1"/>
  <c r="AE1741" i="3" s="1"/>
  <c r="AE1742" i="3" a="1"/>
  <c r="AE1742" i="3" s="1"/>
  <c r="AE1743" i="3" a="1"/>
  <c r="AE1743" i="3" s="1"/>
  <c r="AE1744" i="3" a="1"/>
  <c r="AE1744" i="3" s="1"/>
  <c r="AE1745" i="3" a="1"/>
  <c r="AE1745" i="3" s="1"/>
  <c r="AE1746" i="3" a="1"/>
  <c r="AE1746" i="3" s="1"/>
  <c r="AE1747" i="3" a="1"/>
  <c r="AE1747" i="3" s="1"/>
  <c r="AE1748" i="3" a="1"/>
  <c r="AE1748" i="3" s="1"/>
  <c r="AE1749" i="3" a="1"/>
  <c r="AE1749" i="3" s="1"/>
  <c r="AE1750" i="3" a="1"/>
  <c r="AE1750" i="3" s="1"/>
  <c r="AE1751" i="3" a="1"/>
  <c r="AE1751" i="3" s="1"/>
  <c r="AE1752" i="3" a="1"/>
  <c r="AE1752" i="3" s="1"/>
  <c r="AE1753" i="3" a="1"/>
  <c r="AE1753" i="3" s="1"/>
  <c r="AE1754" i="3" a="1"/>
  <c r="AE1754" i="3" s="1"/>
  <c r="AE1755" i="3" a="1"/>
  <c r="AE1755" i="3" s="1"/>
  <c r="AE1756" i="3" a="1"/>
  <c r="AE1756" i="3" s="1"/>
  <c r="AE1757" i="3" a="1"/>
  <c r="AE1757" i="3" s="1"/>
  <c r="AE1758" i="3" a="1"/>
  <c r="AE1758" i="3" s="1"/>
  <c r="AE1759" i="3" a="1"/>
  <c r="AE1759" i="3" s="1"/>
  <c r="AE1760" i="3" a="1"/>
  <c r="AE1760" i="3" s="1"/>
  <c r="AE1761" i="3" a="1"/>
  <c r="AE1761" i="3" s="1"/>
  <c r="AE1762" i="3" a="1"/>
  <c r="AE1762" i="3" s="1"/>
  <c r="AE1763" i="3" a="1"/>
  <c r="AE1763" i="3" s="1"/>
  <c r="AE1764" i="3" a="1"/>
  <c r="AE1764" i="3" s="1"/>
  <c r="AE1765" i="3" a="1"/>
  <c r="AE1765" i="3" s="1"/>
  <c r="AE1766" i="3" a="1"/>
  <c r="AE1766" i="3" s="1"/>
  <c r="AE1767" i="3" a="1"/>
  <c r="AE1767" i="3"/>
  <c r="AE1768" i="3" a="1"/>
  <c r="AE1768" i="3" s="1"/>
  <c r="AE1769" i="3" a="1"/>
  <c r="AE1769" i="3" s="1"/>
  <c r="AE1770" i="3" a="1"/>
  <c r="AE1770" i="3" s="1"/>
  <c r="AE1771" i="3" a="1"/>
  <c r="AE1771" i="3" s="1"/>
  <c r="AE1772" i="3" a="1"/>
  <c r="AE1772" i="3" s="1"/>
  <c r="AE1773" i="3" a="1"/>
  <c r="AE1773" i="3" s="1"/>
  <c r="AE1774" i="3" a="1"/>
  <c r="AE1774" i="3" s="1"/>
  <c r="AE1775" i="3" a="1"/>
  <c r="AE1775" i="3" s="1"/>
  <c r="AE1776" i="3" a="1"/>
  <c r="AE1776" i="3" s="1"/>
  <c r="AE1777" i="3" a="1"/>
  <c r="AE1777" i="3" s="1"/>
  <c r="AE1778" i="3" a="1"/>
  <c r="AE1778" i="3" s="1"/>
  <c r="AE1779" i="3" a="1"/>
  <c r="AE1779" i="3" s="1"/>
  <c r="AE1780" i="3" a="1"/>
  <c r="AE1780" i="3" s="1"/>
  <c r="AE1781" i="3" a="1"/>
  <c r="AE1781" i="3" s="1"/>
  <c r="AE1782" i="3" a="1"/>
  <c r="AE1782" i="3" s="1"/>
  <c r="AE1783" i="3" a="1"/>
  <c r="AE1783" i="3" s="1"/>
  <c r="AE1784" i="3" a="1"/>
  <c r="AE1784" i="3" s="1"/>
  <c r="AE1785" i="3" a="1"/>
  <c r="AE1785" i="3" s="1"/>
  <c r="AE1786" i="3" a="1"/>
  <c r="AE1786" i="3" s="1"/>
  <c r="AE1787" i="3" a="1"/>
  <c r="AE1787" i="3" s="1"/>
  <c r="AE1788" i="3" a="1"/>
  <c r="AE1788" i="3" s="1"/>
  <c r="AE1789" i="3" a="1"/>
  <c r="AE1789" i="3" s="1"/>
  <c r="AE1790" i="3" a="1"/>
  <c r="AE1790" i="3" s="1"/>
  <c r="AE1791" i="3" a="1"/>
  <c r="AE1791" i="3" s="1"/>
  <c r="AE1792" i="3" a="1"/>
  <c r="AE1792" i="3" s="1"/>
  <c r="AE1793" i="3" a="1"/>
  <c r="AE1793" i="3" s="1"/>
  <c r="AE1794" i="3" a="1"/>
  <c r="AE1794" i="3" s="1"/>
  <c r="AE1795" i="3" a="1"/>
  <c r="AE1795" i="3" s="1"/>
  <c r="AE1796" i="3" a="1"/>
  <c r="AE1796" i="3" s="1"/>
  <c r="AE1797" i="3" a="1"/>
  <c r="AE1797" i="3" s="1"/>
  <c r="AE1798" i="3" a="1"/>
  <c r="AE1798" i="3" s="1"/>
  <c r="AE1799" i="3" a="1"/>
  <c r="AE1799" i="3" s="1"/>
  <c r="AE1800" i="3" a="1"/>
  <c r="AE1800" i="3" s="1"/>
  <c r="AE1801" i="3" a="1"/>
  <c r="AE1801" i="3" s="1"/>
  <c r="AE1802" i="3" a="1"/>
  <c r="AE1802" i="3" s="1"/>
  <c r="AE1803" i="3" a="1"/>
  <c r="AE1803" i="3" s="1"/>
  <c r="AE1804" i="3" a="1"/>
  <c r="AE1804" i="3" s="1"/>
  <c r="AE1805" i="3" a="1"/>
  <c r="AE1805" i="3" s="1"/>
  <c r="AE1806" i="3" a="1"/>
  <c r="AE1806" i="3" s="1"/>
  <c r="AE1807" i="3" a="1"/>
  <c r="AE1807" i="3"/>
  <c r="AE1808" i="3" a="1"/>
  <c r="AE1808" i="3" s="1"/>
  <c r="AE1809" i="3" a="1"/>
  <c r="AE1809" i="3" s="1"/>
  <c r="AE1810" i="3" a="1"/>
  <c r="AE1810" i="3" s="1"/>
  <c r="AE1811" i="3" a="1"/>
  <c r="AE1811" i="3" s="1"/>
  <c r="AE1812" i="3" a="1"/>
  <c r="AE1812" i="3" s="1"/>
  <c r="AE1813" i="3" a="1"/>
  <c r="AE1813" i="3"/>
  <c r="AE1814" i="3" a="1"/>
  <c r="AE1814" i="3" s="1"/>
  <c r="AE1815" i="3" a="1"/>
  <c r="AE1815" i="3" s="1"/>
  <c r="AE1816" i="3" a="1"/>
  <c r="AE1816" i="3" s="1"/>
  <c r="AE1817" i="3" a="1"/>
  <c r="AE1817" i="3" s="1"/>
  <c r="AE1818" i="3" a="1"/>
  <c r="AE1818" i="3" s="1"/>
  <c r="AE1819" i="3" a="1"/>
  <c r="AE1819" i="3" s="1"/>
  <c r="AE1820" i="3" a="1"/>
  <c r="AE1820" i="3" s="1"/>
  <c r="AE1821" i="3" a="1"/>
  <c r="AE1821" i="3" s="1"/>
  <c r="AE1822" i="3" a="1"/>
  <c r="AE1822" i="3" s="1"/>
  <c r="AE1823" i="3" a="1"/>
  <c r="AE1823" i="3" s="1"/>
  <c r="AE1824" i="3" a="1"/>
  <c r="AE1824" i="3" s="1"/>
  <c r="AE1825" i="3" a="1"/>
  <c r="AE1825" i="3" s="1"/>
  <c r="AE1826" i="3" a="1"/>
  <c r="AE1826" i="3" s="1"/>
  <c r="AE1827" i="3" a="1"/>
  <c r="AE1827" i="3" s="1"/>
  <c r="AE1828" i="3" a="1"/>
  <c r="AE1828" i="3" s="1"/>
  <c r="AE1829" i="3" a="1"/>
  <c r="AE1829" i="3" s="1"/>
  <c r="AE1830" i="3" a="1"/>
  <c r="AE1830" i="3" s="1"/>
  <c r="AE1831" i="3" a="1"/>
  <c r="AE1831" i="3" s="1"/>
  <c r="AE1832" i="3" a="1"/>
  <c r="AE1832" i="3" s="1"/>
  <c r="AE1833" i="3" a="1"/>
  <c r="AE1833" i="3" s="1"/>
  <c r="AE1834" i="3" a="1"/>
  <c r="AE1834" i="3" s="1"/>
  <c r="AE1835" i="3" a="1"/>
  <c r="AE1835" i="3" s="1"/>
  <c r="AE1836" i="3" a="1"/>
  <c r="AE1836" i="3" s="1"/>
  <c r="AE1837" i="3" a="1"/>
  <c r="AE1837" i="3" s="1"/>
  <c r="AE1838" i="3" a="1"/>
  <c r="AE1838" i="3" s="1"/>
  <c r="AE1839" i="3" a="1"/>
  <c r="AE1839" i="3" s="1"/>
  <c r="AE1840" i="3" a="1"/>
  <c r="AE1840" i="3" s="1"/>
  <c r="AE1841" i="3" a="1"/>
  <c r="AE1841" i="3" s="1"/>
  <c r="AE1842" i="3" a="1"/>
  <c r="AE1842" i="3" s="1"/>
  <c r="AE1843" i="3" a="1"/>
  <c r="AE1843" i="3"/>
  <c r="AE1844" i="3" a="1"/>
  <c r="AE1844" i="3"/>
  <c r="AE1845" i="3" a="1"/>
  <c r="AE1845" i="3" s="1"/>
  <c r="AE1846" i="3" a="1"/>
  <c r="AE1846" i="3" s="1"/>
  <c r="AE1847" i="3" a="1"/>
  <c r="AE1847" i="3" s="1"/>
  <c r="AE1848" i="3" a="1"/>
  <c r="AE1848" i="3" s="1"/>
  <c r="AE1849" i="3" a="1"/>
  <c r="AE1849" i="3" s="1"/>
  <c r="AE1850" i="3" a="1"/>
  <c r="AE1850" i="3" s="1"/>
  <c r="AE1851" i="3" a="1"/>
  <c r="AE1851" i="3" s="1"/>
  <c r="AE1852" i="3" a="1"/>
  <c r="AE1852" i="3" s="1"/>
  <c r="AE1853" i="3" a="1"/>
  <c r="AE1853" i="3" s="1"/>
  <c r="AE1854" i="3" a="1"/>
  <c r="AE1854" i="3" s="1"/>
  <c r="AE1855" i="3" a="1"/>
  <c r="AE1855" i="3" s="1"/>
  <c r="AE1856" i="3" a="1"/>
  <c r="AE1856" i="3" s="1"/>
  <c r="AE1857" i="3" a="1"/>
  <c r="AE1857" i="3" s="1"/>
  <c r="AE1858" i="3" a="1"/>
  <c r="AE1858" i="3" s="1"/>
  <c r="AE1859" i="3" a="1"/>
  <c r="AE1859" i="3" s="1"/>
  <c r="AE1860" i="3" a="1"/>
  <c r="AE1860" i="3" s="1"/>
  <c r="AE1861" i="3" a="1"/>
  <c r="AE1861" i="3" s="1"/>
  <c r="AE1862" i="3" a="1"/>
  <c r="AE1862" i="3" s="1"/>
  <c r="AE1863" i="3" a="1"/>
  <c r="AE1863" i="3" s="1"/>
  <c r="AE1864" i="3" a="1"/>
  <c r="AE1864" i="3" s="1"/>
  <c r="AE1865" i="3" a="1"/>
  <c r="AE1865" i="3" s="1"/>
  <c r="AE1866" i="3" a="1"/>
  <c r="AE1866" i="3" s="1"/>
  <c r="AE1867" i="3" a="1"/>
  <c r="AE1867" i="3" s="1"/>
  <c r="AE1868" i="3" a="1"/>
  <c r="AE1868" i="3" s="1"/>
  <c r="AE1869" i="3" a="1"/>
  <c r="AE1869" i="3" s="1"/>
  <c r="AE1870" i="3" a="1"/>
  <c r="AE1870" i="3" s="1"/>
  <c r="AE1871" i="3" a="1"/>
  <c r="AE1871" i="3"/>
  <c r="AE1872" i="3" a="1"/>
  <c r="AE1872" i="3"/>
  <c r="AE1873" i="3" a="1"/>
  <c r="AE1873" i="3"/>
  <c r="AE1874" i="3" a="1"/>
  <c r="AE1874" i="3" s="1"/>
  <c r="AE1875" i="3" a="1"/>
  <c r="AE1875" i="3" s="1"/>
  <c r="AE1876" i="3" a="1"/>
  <c r="AE1876" i="3" s="1"/>
  <c r="AE1877" i="3" a="1"/>
  <c r="AE1877" i="3" s="1"/>
  <c r="AE1878" i="3" a="1"/>
  <c r="AE1878" i="3" s="1"/>
  <c r="AE1879" i="3" a="1"/>
  <c r="AE1879" i="3" s="1"/>
  <c r="AE1880" i="3" a="1"/>
  <c r="AE1880" i="3" s="1"/>
  <c r="AE1881" i="3" a="1"/>
  <c r="AE1881" i="3" s="1"/>
  <c r="AE1882" i="3" a="1"/>
  <c r="AE1882" i="3" s="1"/>
  <c r="AE1883" i="3" a="1"/>
  <c r="AE1883" i="3" s="1"/>
  <c r="AE1884" i="3" a="1"/>
  <c r="AE1884" i="3" s="1"/>
  <c r="AE1885" i="3" a="1"/>
  <c r="AE1885" i="3" s="1"/>
  <c r="AE1886" i="3" a="1"/>
  <c r="AE1886" i="3" s="1"/>
  <c r="AE1887" i="3" a="1"/>
  <c r="AE1887" i="3" s="1"/>
  <c r="AE1888" i="3" a="1"/>
  <c r="AE1888" i="3" s="1"/>
  <c r="AE1889" i="3" a="1"/>
  <c r="AE1889" i="3" s="1"/>
  <c r="AE1890" i="3" a="1"/>
  <c r="AE1890" i="3" s="1"/>
  <c r="AE1891" i="3" a="1"/>
  <c r="AE1891" i="3" s="1"/>
  <c r="AE1892" i="3" a="1"/>
  <c r="AE1892" i="3" s="1"/>
  <c r="AE1893" i="3" a="1"/>
  <c r="AE1893" i="3" s="1"/>
  <c r="AE1894" i="3" a="1"/>
  <c r="AE1894" i="3" s="1"/>
  <c r="AE1895" i="3" a="1"/>
  <c r="AE1895" i="3" s="1"/>
  <c r="AE1896" i="3" a="1"/>
  <c r="AE1896" i="3" s="1"/>
  <c r="AE1897" i="3" a="1"/>
  <c r="AE1897" i="3" s="1"/>
  <c r="AE1898" i="3" a="1"/>
  <c r="AE1898" i="3" s="1"/>
  <c r="AE1899" i="3" a="1"/>
  <c r="AE1899" i="3" s="1"/>
  <c r="AE1900" i="3" a="1"/>
  <c r="AE1900" i="3" s="1"/>
  <c r="AE1901" i="3" a="1"/>
  <c r="AE1901" i="3" s="1"/>
  <c r="AE1902" i="3" a="1"/>
  <c r="AE1902" i="3" s="1"/>
  <c r="AE1903" i="3" a="1"/>
  <c r="AE1903" i="3" s="1"/>
  <c r="AE1904" i="3" a="1"/>
  <c r="AE1904" i="3"/>
  <c r="AE1905" i="3" a="1"/>
  <c r="AE1905" i="3" s="1"/>
  <c r="AE1906" i="3" a="1"/>
  <c r="AE1906" i="3" s="1"/>
  <c r="AE1907" i="3" a="1"/>
  <c r="AE1907" i="3" s="1"/>
  <c r="AE1908" i="3" a="1"/>
  <c r="AE1908" i="3" s="1"/>
  <c r="AE1909" i="3" a="1"/>
  <c r="AE1909" i="3" s="1"/>
  <c r="AE1910" i="3" a="1"/>
  <c r="AE1910" i="3" s="1"/>
  <c r="AE1911" i="3" a="1"/>
  <c r="AE1911" i="3" s="1"/>
  <c r="AE1912" i="3" a="1"/>
  <c r="AE1912" i="3" s="1"/>
  <c r="AE1913" i="3" a="1"/>
  <c r="AE1913" i="3" s="1"/>
  <c r="AE1914" i="3" a="1"/>
  <c r="AE1914" i="3" s="1"/>
  <c r="AE1915" i="3" a="1"/>
  <c r="AE1915" i="3" s="1"/>
  <c r="AE1916" i="3" a="1"/>
  <c r="AE1916" i="3" s="1"/>
  <c r="AE1917" i="3" a="1"/>
  <c r="AE1917" i="3" s="1"/>
  <c r="AE1918" i="3" a="1"/>
  <c r="AE1918" i="3" s="1"/>
  <c r="AE1919" i="3" a="1"/>
  <c r="AE1919" i="3" s="1"/>
  <c r="AE1920" i="3" a="1"/>
  <c r="AE1920" i="3" s="1"/>
  <c r="AE1921" i="3" a="1"/>
  <c r="AE1921" i="3" s="1"/>
  <c r="AE1922" i="3" a="1"/>
  <c r="AE1922" i="3" s="1"/>
  <c r="AE1923" i="3" a="1"/>
  <c r="AE1923" i="3" s="1"/>
  <c r="AE1924" i="3" a="1"/>
  <c r="AE1924" i="3" s="1"/>
  <c r="AE1925" i="3" a="1"/>
  <c r="AE1925" i="3" s="1"/>
  <c r="AE1926" i="3" a="1"/>
  <c r="AE1926" i="3" s="1"/>
  <c r="AE1927" i="3" a="1"/>
  <c r="AE1927" i="3" s="1"/>
  <c r="AE1928" i="3" a="1"/>
  <c r="AE1928" i="3" s="1"/>
  <c r="AE1929" i="3" a="1"/>
  <c r="AE1929" i="3" s="1"/>
  <c r="AE1930" i="3" a="1"/>
  <c r="AE1930" i="3" s="1"/>
  <c r="AE1931" i="3" a="1"/>
  <c r="AE1931" i="3" s="1"/>
  <c r="AE1932" i="3" a="1"/>
  <c r="AE1932" i="3" s="1"/>
  <c r="AE1933" i="3" a="1"/>
  <c r="AE1933" i="3" s="1"/>
  <c r="AE1934" i="3" a="1"/>
  <c r="AE1934" i="3" s="1"/>
  <c r="AE1935" i="3" a="1"/>
  <c r="AE1935" i="3"/>
  <c r="AE1936" i="3" a="1"/>
  <c r="AE1936" i="3" s="1"/>
  <c r="AE3" i="3" a="1"/>
  <c r="AE3" i="3" s="1"/>
  <c r="AE4" i="3" a="1"/>
  <c r="AE4" i="3" s="1"/>
  <c r="AE5" i="3" a="1"/>
  <c r="AE5" i="3" s="1"/>
  <c r="AE6" i="3" a="1"/>
  <c r="AE6" i="3" s="1"/>
  <c r="AE7" i="3" a="1"/>
  <c r="AE7" i="3" s="1"/>
  <c r="AE8" i="3" a="1"/>
  <c r="AE8" i="3" s="1"/>
  <c r="AE9" i="3" a="1"/>
  <c r="AE9" i="3" s="1"/>
  <c r="AE10" i="3" a="1"/>
  <c r="AE10" i="3" s="1"/>
  <c r="AE11" i="3" a="1"/>
  <c r="AE11" i="3" s="1"/>
  <c r="AE12" i="3" a="1"/>
  <c r="AE12" i="3" s="1"/>
  <c r="AE13" i="3" a="1"/>
  <c r="AE13" i="3" s="1"/>
  <c r="AE2" i="3" a="1"/>
  <c r="AE2" i="3" s="1"/>
  <c r="AD3" i="3" a="1"/>
  <c r="AD3" i="3" s="1"/>
  <c r="AD4" i="3" a="1"/>
  <c r="AD4" i="3" s="1"/>
  <c r="AD5" i="3" a="1"/>
  <c r="AD5" i="3" s="1"/>
  <c r="AD6" i="3" a="1"/>
  <c r="AD6" i="3" s="1"/>
  <c r="AD7" i="3" a="1"/>
  <c r="AD7" i="3" s="1"/>
  <c r="AD8" i="3" a="1"/>
  <c r="AD8" i="3" s="1"/>
  <c r="AD9" i="3" a="1"/>
  <c r="AD9" i="3" s="1"/>
  <c r="AD10" i="3" a="1"/>
  <c r="AD10" i="3" s="1"/>
  <c r="AD11" i="3" a="1"/>
  <c r="AD11" i="3" s="1"/>
  <c r="AD12" i="3" a="1"/>
  <c r="AD12" i="3" s="1"/>
  <c r="AD13" i="3" a="1"/>
  <c r="AD13" i="3" s="1"/>
  <c r="AD14" i="3" a="1"/>
  <c r="AD14" i="3" s="1"/>
  <c r="AD15" i="3" a="1"/>
  <c r="AD15" i="3" s="1"/>
  <c r="AD16" i="3" a="1"/>
  <c r="AD16" i="3" s="1"/>
  <c r="AD17" i="3" a="1"/>
  <c r="AD17" i="3" s="1"/>
  <c r="AD18" i="3" a="1"/>
  <c r="AD18" i="3" s="1"/>
  <c r="AD19" i="3" a="1"/>
  <c r="AD19" i="3" s="1"/>
  <c r="AD20" i="3" a="1"/>
  <c r="AD20" i="3" s="1"/>
  <c r="AD21" i="3" a="1"/>
  <c r="AD21" i="3" s="1"/>
  <c r="AD22" i="3" a="1"/>
  <c r="AD22" i="3" s="1"/>
  <c r="AD23" i="3" a="1"/>
  <c r="AD23" i="3" s="1"/>
  <c r="AD24" i="3" a="1"/>
  <c r="AD24" i="3" s="1"/>
  <c r="AD25" i="3" a="1"/>
  <c r="AD25" i="3" s="1"/>
  <c r="AD26" i="3" a="1"/>
  <c r="AD26" i="3" s="1"/>
  <c r="AD27" i="3" a="1"/>
  <c r="AD27" i="3" s="1"/>
  <c r="AD28" i="3" a="1"/>
  <c r="AD28" i="3" s="1"/>
  <c r="AD29" i="3" a="1"/>
  <c r="AD29" i="3" s="1"/>
  <c r="AD30" i="3" a="1"/>
  <c r="AD30" i="3" s="1"/>
  <c r="AD31" i="3" a="1"/>
  <c r="AD31" i="3" s="1"/>
  <c r="AD32" i="3" a="1"/>
  <c r="AD32" i="3" s="1"/>
  <c r="AD33" i="3" a="1"/>
  <c r="AD33" i="3" s="1"/>
  <c r="AD34" i="3" a="1"/>
  <c r="AD34" i="3" s="1"/>
  <c r="AD35" i="3" a="1"/>
  <c r="AD35" i="3" s="1"/>
  <c r="AD36" i="3" a="1"/>
  <c r="AD36" i="3" s="1"/>
  <c r="AD37" i="3" a="1"/>
  <c r="AD37" i="3" s="1"/>
  <c r="AD38" i="3" a="1"/>
  <c r="AD38" i="3" s="1"/>
  <c r="AD39" i="3" a="1"/>
  <c r="AD39" i="3" s="1"/>
  <c r="AD40" i="3" a="1"/>
  <c r="AD40" i="3" s="1"/>
  <c r="AD41" i="3" a="1"/>
  <c r="AD41" i="3" s="1"/>
  <c r="AD42" i="3" a="1"/>
  <c r="AD42" i="3" s="1"/>
  <c r="AD43" i="3" a="1"/>
  <c r="AD43" i="3" s="1"/>
  <c r="AD44" i="3" a="1"/>
  <c r="AD44" i="3" s="1"/>
  <c r="AD45" i="3" a="1"/>
  <c r="AD45" i="3" s="1"/>
  <c r="AD46" i="3" a="1"/>
  <c r="AD46" i="3" s="1"/>
  <c r="AD47" i="3" a="1"/>
  <c r="AD47" i="3" s="1"/>
  <c r="AD48" i="3" a="1"/>
  <c r="AD48" i="3" s="1"/>
  <c r="AD49" i="3" a="1"/>
  <c r="AD49" i="3" s="1"/>
  <c r="AD50" i="3" a="1"/>
  <c r="AD50" i="3" s="1"/>
  <c r="AD51" i="3" a="1"/>
  <c r="AD51" i="3" s="1"/>
  <c r="AD52" i="3" a="1"/>
  <c r="AD52" i="3" s="1"/>
  <c r="AD53" i="3" a="1"/>
  <c r="AD53" i="3" s="1"/>
  <c r="AD54" i="3" a="1"/>
  <c r="AD54" i="3" s="1"/>
  <c r="AD55" i="3" a="1"/>
  <c r="AD55" i="3" s="1"/>
  <c r="AD56" i="3" a="1"/>
  <c r="AD56" i="3" s="1"/>
  <c r="AD57" i="3" a="1"/>
  <c r="AD57" i="3" s="1"/>
  <c r="AD58" i="3" a="1"/>
  <c r="AD58" i="3" s="1"/>
  <c r="AD59" i="3" a="1"/>
  <c r="AD59" i="3" s="1"/>
  <c r="AD60" i="3" a="1"/>
  <c r="AD60" i="3" s="1"/>
  <c r="AD61" i="3" a="1"/>
  <c r="AD61" i="3" s="1"/>
  <c r="AD62" i="3" a="1"/>
  <c r="AD62" i="3" s="1"/>
  <c r="AD63" i="3" a="1"/>
  <c r="AD63" i="3" s="1"/>
  <c r="AD64" i="3" a="1"/>
  <c r="AD64" i="3" s="1"/>
  <c r="AD65" i="3" a="1"/>
  <c r="AD65" i="3" s="1"/>
  <c r="AD66" i="3" a="1"/>
  <c r="AD66" i="3" s="1"/>
  <c r="AD67" i="3" a="1"/>
  <c r="AD67" i="3" s="1"/>
  <c r="AD68" i="3" a="1"/>
  <c r="AD68" i="3" s="1"/>
  <c r="AD69" i="3" a="1"/>
  <c r="AD69" i="3" s="1"/>
  <c r="AD70" i="3" a="1"/>
  <c r="AD70" i="3" s="1"/>
  <c r="AD71" i="3" a="1"/>
  <c r="AD71" i="3" s="1"/>
  <c r="AD72" i="3" a="1"/>
  <c r="AD72" i="3" s="1"/>
  <c r="AD73" i="3" a="1"/>
  <c r="AD73" i="3" s="1"/>
  <c r="AD74" i="3" a="1"/>
  <c r="AD74" i="3" s="1"/>
  <c r="AD75" i="3" a="1"/>
  <c r="AD75" i="3" s="1"/>
  <c r="AD76" i="3" a="1"/>
  <c r="AD76" i="3" s="1"/>
  <c r="AD77" i="3" a="1"/>
  <c r="AD77" i="3" s="1"/>
  <c r="AD78" i="3" a="1"/>
  <c r="AD78" i="3" s="1"/>
  <c r="AD79" i="3" a="1"/>
  <c r="AD79" i="3" s="1"/>
  <c r="AD80" i="3" a="1"/>
  <c r="AD80" i="3" s="1"/>
  <c r="AD81" i="3" a="1"/>
  <c r="AD81" i="3" s="1"/>
  <c r="AD82" i="3" a="1"/>
  <c r="AD82" i="3" s="1"/>
  <c r="AD83" i="3" a="1"/>
  <c r="AD83" i="3" s="1"/>
  <c r="AD84" i="3" a="1"/>
  <c r="AD84" i="3" s="1"/>
  <c r="AD85" i="3" a="1"/>
  <c r="AD85" i="3" s="1"/>
  <c r="AD86" i="3" a="1"/>
  <c r="AD86" i="3" s="1"/>
  <c r="AD87" i="3" a="1"/>
  <c r="AD87" i="3" s="1"/>
  <c r="AD88" i="3" a="1"/>
  <c r="AD88" i="3" s="1"/>
  <c r="AD89" i="3" a="1"/>
  <c r="AD89" i="3" s="1"/>
  <c r="AD90" i="3" a="1"/>
  <c r="AD90" i="3" s="1"/>
  <c r="AD91" i="3" a="1"/>
  <c r="AD91" i="3" s="1"/>
  <c r="AD92" i="3" a="1"/>
  <c r="AD92" i="3" s="1"/>
  <c r="AD93" i="3" a="1"/>
  <c r="AD93" i="3" s="1"/>
  <c r="AD94" i="3" a="1"/>
  <c r="AD94" i="3" s="1"/>
  <c r="AD95" i="3" a="1"/>
  <c r="AD95" i="3" s="1"/>
  <c r="AD96" i="3" a="1"/>
  <c r="AD96" i="3" s="1"/>
  <c r="AD97" i="3" a="1"/>
  <c r="AD97" i="3" s="1"/>
  <c r="AD98" i="3" a="1"/>
  <c r="AD98" i="3" s="1"/>
  <c r="AD99" i="3" a="1"/>
  <c r="AD99" i="3" s="1"/>
  <c r="AD100" i="3" a="1"/>
  <c r="AD100" i="3" s="1"/>
  <c r="AD101" i="3" a="1"/>
  <c r="AD101" i="3" s="1"/>
  <c r="AD102" i="3" a="1"/>
  <c r="AD102" i="3" s="1"/>
  <c r="AD103" i="3" a="1"/>
  <c r="AD103" i="3" s="1"/>
  <c r="AD104" i="3" a="1"/>
  <c r="AD104" i="3" s="1"/>
  <c r="AD105" i="3" a="1"/>
  <c r="AD105" i="3" s="1"/>
  <c r="AD106" i="3" a="1"/>
  <c r="AD106" i="3" s="1"/>
  <c r="AD107" i="3" a="1"/>
  <c r="AD107" i="3" s="1"/>
  <c r="AD108" i="3" a="1"/>
  <c r="AD108" i="3" s="1"/>
  <c r="AD109" i="3" a="1"/>
  <c r="AD109" i="3" s="1"/>
  <c r="AD110" i="3" a="1"/>
  <c r="AD110" i="3" s="1"/>
  <c r="AD111" i="3" a="1"/>
  <c r="AD111" i="3" s="1"/>
  <c r="AD112" i="3" a="1"/>
  <c r="AD112" i="3" s="1"/>
  <c r="AD113" i="3" a="1"/>
  <c r="AD113" i="3" s="1"/>
  <c r="AD114" i="3" a="1"/>
  <c r="AD114" i="3" s="1"/>
  <c r="AD115" i="3" a="1"/>
  <c r="AD115" i="3" s="1"/>
  <c r="AD116" i="3" a="1"/>
  <c r="AD116" i="3" s="1"/>
  <c r="AD117" i="3" a="1"/>
  <c r="AD117" i="3" s="1"/>
  <c r="AD118" i="3" a="1"/>
  <c r="AD118" i="3" s="1"/>
  <c r="AD119" i="3" a="1"/>
  <c r="AD119" i="3" s="1"/>
  <c r="AD120" i="3" a="1"/>
  <c r="AD120" i="3" s="1"/>
  <c r="AD121" i="3" a="1"/>
  <c r="AD121" i="3" s="1"/>
  <c r="AD122" i="3" a="1"/>
  <c r="AD122" i="3" s="1"/>
  <c r="AD123" i="3" a="1"/>
  <c r="AD123" i="3" s="1"/>
  <c r="AD124" i="3" a="1"/>
  <c r="AD124" i="3" s="1"/>
  <c r="AD125" i="3" a="1"/>
  <c r="AD125" i="3" s="1"/>
  <c r="AD126" i="3" a="1"/>
  <c r="AD126" i="3" s="1"/>
  <c r="AD127" i="3" a="1"/>
  <c r="AD127" i="3" s="1"/>
  <c r="AD128" i="3" a="1"/>
  <c r="AD128" i="3" s="1"/>
  <c r="AD129" i="3" a="1"/>
  <c r="AD129" i="3" s="1"/>
  <c r="AD130" i="3" a="1"/>
  <c r="AD130" i="3" s="1"/>
  <c r="AD131" i="3" a="1"/>
  <c r="AD131" i="3" s="1"/>
  <c r="AD132" i="3" a="1"/>
  <c r="AD132" i="3" s="1"/>
  <c r="AD133" i="3" a="1"/>
  <c r="AD133" i="3" s="1"/>
  <c r="AD134" i="3" a="1"/>
  <c r="AD134" i="3" s="1"/>
  <c r="AD135" i="3" a="1"/>
  <c r="AD135" i="3" s="1"/>
  <c r="AD136" i="3" a="1"/>
  <c r="AD136" i="3" s="1"/>
  <c r="AD137" i="3" a="1"/>
  <c r="AD137" i="3" s="1"/>
  <c r="AD138" i="3" a="1"/>
  <c r="AD138" i="3" s="1"/>
  <c r="AD139" i="3" a="1"/>
  <c r="AD139" i="3" s="1"/>
  <c r="AD140" i="3" a="1"/>
  <c r="AD140" i="3" s="1"/>
  <c r="AD141" i="3" a="1"/>
  <c r="AD141" i="3" s="1"/>
  <c r="AD142" i="3" a="1"/>
  <c r="AD142" i="3" s="1"/>
  <c r="AD143" i="3" a="1"/>
  <c r="AD143" i="3" s="1"/>
  <c r="AD144" i="3" a="1"/>
  <c r="AD144" i="3" s="1"/>
  <c r="AD145" i="3" a="1"/>
  <c r="AD145" i="3" s="1"/>
  <c r="AD146" i="3" a="1"/>
  <c r="AD146" i="3" s="1"/>
  <c r="AD147" i="3" a="1"/>
  <c r="AD147" i="3" s="1"/>
  <c r="AD148" i="3" a="1"/>
  <c r="AD148" i="3" s="1"/>
  <c r="AD149" i="3" a="1"/>
  <c r="AD149" i="3" s="1"/>
  <c r="AD150" i="3" a="1"/>
  <c r="AD150" i="3" s="1"/>
  <c r="AD151" i="3" a="1"/>
  <c r="AD151" i="3" s="1"/>
  <c r="AD152" i="3" a="1"/>
  <c r="AD152" i="3" s="1"/>
  <c r="AD153" i="3" a="1"/>
  <c r="AD153" i="3" s="1"/>
  <c r="AD154" i="3" a="1"/>
  <c r="AD154" i="3" s="1"/>
  <c r="AD155" i="3" a="1"/>
  <c r="AD155" i="3" s="1"/>
  <c r="AD156" i="3" a="1"/>
  <c r="AD156" i="3" s="1"/>
  <c r="AD157" i="3" a="1"/>
  <c r="AD157" i="3" s="1"/>
  <c r="AD158" i="3" a="1"/>
  <c r="AD158" i="3" s="1"/>
  <c r="AD159" i="3" a="1"/>
  <c r="AD159" i="3" s="1"/>
  <c r="AD160" i="3" a="1"/>
  <c r="AD160" i="3" s="1"/>
  <c r="AD161" i="3" a="1"/>
  <c r="AD161" i="3" s="1"/>
  <c r="AD162" i="3" a="1"/>
  <c r="AD162" i="3" s="1"/>
  <c r="AD163" i="3" a="1"/>
  <c r="AD163" i="3" s="1"/>
  <c r="AD164" i="3" a="1"/>
  <c r="AD164" i="3" s="1"/>
  <c r="AD165" i="3" a="1"/>
  <c r="AD165" i="3" s="1"/>
  <c r="AD166" i="3" a="1"/>
  <c r="AD166" i="3" s="1"/>
  <c r="AD167" i="3" a="1"/>
  <c r="AD167" i="3" s="1"/>
  <c r="AD168" i="3" a="1"/>
  <c r="AD168" i="3" s="1"/>
  <c r="AD169" i="3" a="1"/>
  <c r="AD169" i="3" s="1"/>
  <c r="AD170" i="3" a="1"/>
  <c r="AD170" i="3" s="1"/>
  <c r="AD171" i="3" a="1"/>
  <c r="AD171" i="3" s="1"/>
  <c r="AD172" i="3" a="1"/>
  <c r="AD172" i="3" s="1"/>
  <c r="AD173" i="3" a="1"/>
  <c r="AD173" i="3" s="1"/>
  <c r="AD174" i="3" a="1"/>
  <c r="AD174" i="3" s="1"/>
  <c r="AD175" i="3" a="1"/>
  <c r="AD175" i="3" s="1"/>
  <c r="AD176" i="3" a="1"/>
  <c r="AD176" i="3" s="1"/>
  <c r="AD177" i="3" a="1"/>
  <c r="AD177" i="3" s="1"/>
  <c r="AD178" i="3" a="1"/>
  <c r="AD178" i="3" s="1"/>
  <c r="AD179" i="3" a="1"/>
  <c r="AD179" i="3" s="1"/>
  <c r="AD180" i="3" a="1"/>
  <c r="AD180" i="3" s="1"/>
  <c r="AD181" i="3" a="1"/>
  <c r="AD181" i="3" s="1"/>
  <c r="AD182" i="3" a="1"/>
  <c r="AD182" i="3" s="1"/>
  <c r="AD183" i="3" a="1"/>
  <c r="AD183" i="3" s="1"/>
  <c r="AD184" i="3" a="1"/>
  <c r="AD184" i="3" s="1"/>
  <c r="AD185" i="3" a="1"/>
  <c r="AD185" i="3" s="1"/>
  <c r="AD186" i="3" a="1"/>
  <c r="AD186" i="3" s="1"/>
  <c r="AD187" i="3" a="1"/>
  <c r="AD187" i="3" s="1"/>
  <c r="AD188" i="3" a="1"/>
  <c r="AD188" i="3" s="1"/>
  <c r="AD189" i="3" a="1"/>
  <c r="AD189" i="3" s="1"/>
  <c r="AD190" i="3" a="1"/>
  <c r="AD190" i="3" s="1"/>
  <c r="AD191" i="3" a="1"/>
  <c r="AD191" i="3" s="1"/>
  <c r="AD192" i="3" a="1"/>
  <c r="AD192" i="3" s="1"/>
  <c r="AD193" i="3" a="1"/>
  <c r="AD193" i="3" s="1"/>
  <c r="AD194" i="3" a="1"/>
  <c r="AD194" i="3" s="1"/>
  <c r="AD195" i="3" a="1"/>
  <c r="AD195" i="3" s="1"/>
  <c r="AD196" i="3" a="1"/>
  <c r="AD196" i="3" s="1"/>
  <c r="AD197" i="3" a="1"/>
  <c r="AD197" i="3" s="1"/>
  <c r="AD198" i="3" a="1"/>
  <c r="AD198" i="3" s="1"/>
  <c r="AD199" i="3" a="1"/>
  <c r="AD199" i="3" s="1"/>
  <c r="AD200" i="3" a="1"/>
  <c r="AD200" i="3" s="1"/>
  <c r="AD201" i="3" a="1"/>
  <c r="AD201" i="3" s="1"/>
  <c r="AD202" i="3" a="1"/>
  <c r="AD202" i="3" s="1"/>
  <c r="AD203" i="3" a="1"/>
  <c r="AD203" i="3" s="1"/>
  <c r="AD204" i="3" a="1"/>
  <c r="AD204" i="3" s="1"/>
  <c r="AD205" i="3" a="1"/>
  <c r="AD205" i="3" s="1"/>
  <c r="AD206" i="3" a="1"/>
  <c r="AD206" i="3" s="1"/>
  <c r="AD207" i="3" a="1"/>
  <c r="AD207" i="3" s="1"/>
  <c r="AD208" i="3" a="1"/>
  <c r="AD208" i="3" s="1"/>
  <c r="AD209" i="3" a="1"/>
  <c r="AD209" i="3" s="1"/>
  <c r="AD210" i="3" a="1"/>
  <c r="AD210" i="3" s="1"/>
  <c r="AD211" i="3" a="1"/>
  <c r="AD211" i="3" s="1"/>
  <c r="AD212" i="3" a="1"/>
  <c r="AD212" i="3" s="1"/>
  <c r="AD213" i="3" a="1"/>
  <c r="AD213" i="3" s="1"/>
  <c r="AD214" i="3" a="1"/>
  <c r="AD214" i="3" s="1"/>
  <c r="AD215" i="3" a="1"/>
  <c r="AD215" i="3" s="1"/>
  <c r="AD216" i="3" a="1"/>
  <c r="AD216" i="3" s="1"/>
  <c r="AD217" i="3" a="1"/>
  <c r="AD217" i="3" s="1"/>
  <c r="AD218" i="3" a="1"/>
  <c r="AD218" i="3" s="1"/>
  <c r="AD219" i="3" a="1"/>
  <c r="AD219" i="3" s="1"/>
  <c r="AD220" i="3" a="1"/>
  <c r="AD220" i="3" s="1"/>
  <c r="AD221" i="3" a="1"/>
  <c r="AD221" i="3" s="1"/>
  <c r="AD222" i="3" a="1"/>
  <c r="AD222" i="3" s="1"/>
  <c r="AD223" i="3" a="1"/>
  <c r="AD223" i="3" s="1"/>
  <c r="AD224" i="3" a="1"/>
  <c r="AD224" i="3" s="1"/>
  <c r="AD225" i="3" a="1"/>
  <c r="AD225" i="3" s="1"/>
  <c r="AD226" i="3" a="1"/>
  <c r="AD226" i="3" s="1"/>
  <c r="AD227" i="3" a="1"/>
  <c r="AD227" i="3" s="1"/>
  <c r="AD228" i="3" a="1"/>
  <c r="AD228" i="3" s="1"/>
  <c r="AD229" i="3" a="1"/>
  <c r="AD229" i="3" s="1"/>
  <c r="AD230" i="3" a="1"/>
  <c r="AD230" i="3" s="1"/>
  <c r="AD231" i="3" a="1"/>
  <c r="AD231" i="3" s="1"/>
  <c r="AD232" i="3" a="1"/>
  <c r="AD232" i="3" s="1"/>
  <c r="AD233" i="3" a="1"/>
  <c r="AD233" i="3" s="1"/>
  <c r="AD234" i="3" a="1"/>
  <c r="AD234" i="3" s="1"/>
  <c r="AD235" i="3" a="1"/>
  <c r="AD235" i="3" s="1"/>
  <c r="AD236" i="3" a="1"/>
  <c r="AD236" i="3" s="1"/>
  <c r="AD237" i="3" a="1"/>
  <c r="AD237" i="3" s="1"/>
  <c r="AD238" i="3" a="1"/>
  <c r="AD238" i="3" s="1"/>
  <c r="AD239" i="3" a="1"/>
  <c r="AD239" i="3" s="1"/>
  <c r="AD240" i="3" a="1"/>
  <c r="AD240" i="3" s="1"/>
  <c r="AD241" i="3" a="1"/>
  <c r="AD241" i="3" s="1"/>
  <c r="AD242" i="3" a="1"/>
  <c r="AD242" i="3" s="1"/>
  <c r="AD243" i="3" a="1"/>
  <c r="AD243" i="3" s="1"/>
  <c r="AD244" i="3" a="1"/>
  <c r="AD244" i="3" s="1"/>
  <c r="AD245" i="3" a="1"/>
  <c r="AD245" i="3" s="1"/>
  <c r="AD246" i="3" a="1"/>
  <c r="AD246" i="3" s="1"/>
  <c r="AD247" i="3" a="1"/>
  <c r="AD247" i="3" s="1"/>
  <c r="AD248" i="3" a="1"/>
  <c r="AD248" i="3" s="1"/>
  <c r="AD249" i="3" a="1"/>
  <c r="AD249" i="3" s="1"/>
  <c r="AD250" i="3" a="1"/>
  <c r="AD250" i="3" s="1"/>
  <c r="AD251" i="3" a="1"/>
  <c r="AD251" i="3" s="1"/>
  <c r="AD252" i="3" a="1"/>
  <c r="AD252" i="3" s="1"/>
  <c r="AD253" i="3" a="1"/>
  <c r="AD253" i="3" s="1"/>
  <c r="AD254" i="3" a="1"/>
  <c r="AD254" i="3" s="1"/>
  <c r="AD255" i="3" a="1"/>
  <c r="AD255" i="3" s="1"/>
  <c r="AD256" i="3" a="1"/>
  <c r="AD256" i="3" s="1"/>
  <c r="AD257" i="3" a="1"/>
  <c r="AD257" i="3" s="1"/>
  <c r="AD258" i="3" a="1"/>
  <c r="AD258" i="3" s="1"/>
  <c r="AD259" i="3" a="1"/>
  <c r="AD259" i="3" s="1"/>
  <c r="AD260" i="3" a="1"/>
  <c r="AD260" i="3" s="1"/>
  <c r="AD261" i="3" a="1"/>
  <c r="AD261" i="3" s="1"/>
  <c r="AD262" i="3" a="1"/>
  <c r="AD262" i="3" s="1"/>
  <c r="AD263" i="3" a="1"/>
  <c r="AD263" i="3" s="1"/>
  <c r="AD264" i="3" a="1"/>
  <c r="AD264" i="3" s="1"/>
  <c r="AD265" i="3" a="1"/>
  <c r="AD265" i="3" s="1"/>
  <c r="AD266" i="3" a="1"/>
  <c r="AD266" i="3" s="1"/>
  <c r="AD267" i="3" a="1"/>
  <c r="AD267" i="3" s="1"/>
  <c r="AD268" i="3" a="1"/>
  <c r="AD268" i="3" s="1"/>
  <c r="AD269" i="3" a="1"/>
  <c r="AD269" i="3" s="1"/>
  <c r="AD270" i="3" a="1"/>
  <c r="AD270" i="3" s="1"/>
  <c r="AD271" i="3" a="1"/>
  <c r="AD271" i="3" s="1"/>
  <c r="AD272" i="3" a="1"/>
  <c r="AD272" i="3" s="1"/>
  <c r="AD273" i="3" a="1"/>
  <c r="AD273" i="3" s="1"/>
  <c r="AD274" i="3" a="1"/>
  <c r="AD274" i="3" s="1"/>
  <c r="AD275" i="3" a="1"/>
  <c r="AD275" i="3" s="1"/>
  <c r="AD276" i="3" a="1"/>
  <c r="AD276" i="3" s="1"/>
  <c r="AD277" i="3" a="1"/>
  <c r="AD277" i="3" s="1"/>
  <c r="AD278" i="3" a="1"/>
  <c r="AD278" i="3" s="1"/>
  <c r="AD279" i="3" a="1"/>
  <c r="AD279" i="3" s="1"/>
  <c r="AD280" i="3" a="1"/>
  <c r="AD280" i="3" s="1"/>
  <c r="AD281" i="3" a="1"/>
  <c r="AD281" i="3" s="1"/>
  <c r="AD282" i="3" a="1"/>
  <c r="AD282" i="3" s="1"/>
  <c r="AD283" i="3" a="1"/>
  <c r="AD283" i="3" s="1"/>
  <c r="AD284" i="3" a="1"/>
  <c r="AD284" i="3" s="1"/>
  <c r="AD285" i="3" a="1"/>
  <c r="AD285" i="3" s="1"/>
  <c r="AD286" i="3" a="1"/>
  <c r="AD286" i="3" s="1"/>
  <c r="AD287" i="3" a="1"/>
  <c r="AD287" i="3" s="1"/>
  <c r="AD288" i="3" a="1"/>
  <c r="AD288" i="3" s="1"/>
  <c r="AD289" i="3" a="1"/>
  <c r="AD289" i="3" s="1"/>
  <c r="AD290" i="3" a="1"/>
  <c r="AD290" i="3" s="1"/>
  <c r="AD291" i="3" a="1"/>
  <c r="AD291" i="3" s="1"/>
  <c r="AD292" i="3" a="1"/>
  <c r="AD292" i="3" s="1"/>
  <c r="AD293" i="3" a="1"/>
  <c r="AD293" i="3" s="1"/>
  <c r="AD294" i="3" a="1"/>
  <c r="AD294" i="3" s="1"/>
  <c r="AD295" i="3" a="1"/>
  <c r="AD295" i="3" s="1"/>
  <c r="AD296" i="3" a="1"/>
  <c r="AD296" i="3" s="1"/>
  <c r="AD297" i="3" a="1"/>
  <c r="AD297" i="3" s="1"/>
  <c r="AD298" i="3" a="1"/>
  <c r="AD298" i="3" s="1"/>
  <c r="AD299" i="3" a="1"/>
  <c r="AD299" i="3" s="1"/>
  <c r="AD300" i="3" a="1"/>
  <c r="AD300" i="3" s="1"/>
  <c r="AD301" i="3" a="1"/>
  <c r="AD301" i="3" s="1"/>
  <c r="AD302" i="3" a="1"/>
  <c r="AD302" i="3" s="1"/>
  <c r="AD303" i="3" a="1"/>
  <c r="AD303" i="3" s="1"/>
  <c r="AD304" i="3" a="1"/>
  <c r="AD304" i="3" s="1"/>
  <c r="AD305" i="3" a="1"/>
  <c r="AD305" i="3" s="1"/>
  <c r="AD306" i="3" a="1"/>
  <c r="AD306" i="3" s="1"/>
  <c r="AD307" i="3" a="1"/>
  <c r="AD307" i="3" s="1"/>
  <c r="AD308" i="3" a="1"/>
  <c r="AD308" i="3" s="1"/>
  <c r="AD309" i="3" a="1"/>
  <c r="AD309" i="3" s="1"/>
  <c r="AD310" i="3" a="1"/>
  <c r="AD310" i="3" s="1"/>
  <c r="AD311" i="3" a="1"/>
  <c r="AD311" i="3" s="1"/>
  <c r="AD312" i="3" a="1"/>
  <c r="AD312" i="3" s="1"/>
  <c r="AD313" i="3" a="1"/>
  <c r="AD313" i="3" s="1"/>
  <c r="AD314" i="3" a="1"/>
  <c r="AD314" i="3" s="1"/>
  <c r="AD315" i="3" a="1"/>
  <c r="AD315" i="3" s="1"/>
  <c r="AD316" i="3" a="1"/>
  <c r="AD316" i="3" s="1"/>
  <c r="AD317" i="3" a="1"/>
  <c r="AD317" i="3" s="1"/>
  <c r="AD318" i="3" a="1"/>
  <c r="AD318" i="3" s="1"/>
  <c r="AD319" i="3" a="1"/>
  <c r="AD319" i="3" s="1"/>
  <c r="AD320" i="3" a="1"/>
  <c r="AD320" i="3" s="1"/>
  <c r="AD321" i="3" a="1"/>
  <c r="AD321" i="3" s="1"/>
  <c r="AD322" i="3" a="1"/>
  <c r="AD322" i="3" s="1"/>
  <c r="AD323" i="3" a="1"/>
  <c r="AD323" i="3" s="1"/>
  <c r="AD324" i="3" a="1"/>
  <c r="AD324" i="3" s="1"/>
  <c r="AD325" i="3" a="1"/>
  <c r="AD325" i="3" s="1"/>
  <c r="AD326" i="3" a="1"/>
  <c r="AD326" i="3" s="1"/>
  <c r="AD327" i="3" a="1"/>
  <c r="AD327" i="3" s="1"/>
  <c r="AD328" i="3" a="1"/>
  <c r="AD328" i="3" s="1"/>
  <c r="AD329" i="3" a="1"/>
  <c r="AD329" i="3" s="1"/>
  <c r="AD330" i="3" a="1"/>
  <c r="AD330" i="3" s="1"/>
  <c r="AD331" i="3" a="1"/>
  <c r="AD331" i="3" s="1"/>
  <c r="AD332" i="3" a="1"/>
  <c r="AD332" i="3" s="1"/>
  <c r="AD333" i="3" a="1"/>
  <c r="AD333" i="3" s="1"/>
  <c r="AD334" i="3" a="1"/>
  <c r="AD334" i="3" s="1"/>
  <c r="AD335" i="3" a="1"/>
  <c r="AD335" i="3" s="1"/>
  <c r="AD336" i="3" a="1"/>
  <c r="AD336" i="3" s="1"/>
  <c r="AD337" i="3" a="1"/>
  <c r="AD337" i="3" s="1"/>
  <c r="AD338" i="3" a="1"/>
  <c r="AD338" i="3" s="1"/>
  <c r="AD339" i="3" a="1"/>
  <c r="AD339" i="3" s="1"/>
  <c r="AD340" i="3" a="1"/>
  <c r="AD340" i="3" s="1"/>
  <c r="AD341" i="3" a="1"/>
  <c r="AD341" i="3" s="1"/>
  <c r="AD342" i="3" a="1"/>
  <c r="AD342" i="3" s="1"/>
  <c r="AD343" i="3" a="1"/>
  <c r="AD343" i="3" s="1"/>
  <c r="AD344" i="3" a="1"/>
  <c r="AD344" i="3" s="1"/>
  <c r="AD345" i="3" a="1"/>
  <c r="AD345" i="3" s="1"/>
  <c r="AD346" i="3" a="1"/>
  <c r="AD346" i="3" s="1"/>
  <c r="AD347" i="3" a="1"/>
  <c r="AD347" i="3" s="1"/>
  <c r="AD348" i="3" a="1"/>
  <c r="AD348" i="3" s="1"/>
  <c r="AD349" i="3" a="1"/>
  <c r="AD349" i="3" s="1"/>
  <c r="AD350" i="3" a="1"/>
  <c r="AD350" i="3" s="1"/>
  <c r="AD351" i="3" a="1"/>
  <c r="AD351" i="3" s="1"/>
  <c r="AD352" i="3" a="1"/>
  <c r="AD352" i="3" s="1"/>
  <c r="AD353" i="3" a="1"/>
  <c r="AD353" i="3" s="1"/>
  <c r="AD354" i="3" a="1"/>
  <c r="AD354" i="3" s="1"/>
  <c r="AD355" i="3" a="1"/>
  <c r="AD355" i="3" s="1"/>
  <c r="AD356" i="3" a="1"/>
  <c r="AD356" i="3" s="1"/>
  <c r="AD357" i="3" a="1"/>
  <c r="AD357" i="3" s="1"/>
  <c r="AD358" i="3" a="1"/>
  <c r="AD358" i="3" s="1"/>
  <c r="AD359" i="3" a="1"/>
  <c r="AD359" i="3" s="1"/>
  <c r="AD360" i="3" a="1"/>
  <c r="AD360" i="3" s="1"/>
  <c r="AD361" i="3" a="1"/>
  <c r="AD361" i="3" s="1"/>
  <c r="AD362" i="3" a="1"/>
  <c r="AD362" i="3" s="1"/>
  <c r="AD363" i="3" a="1"/>
  <c r="AD363" i="3" s="1"/>
  <c r="AD364" i="3" a="1"/>
  <c r="AD364" i="3" s="1"/>
  <c r="AD365" i="3" a="1"/>
  <c r="AD365" i="3" s="1"/>
  <c r="AD366" i="3" a="1"/>
  <c r="AD366" i="3" s="1"/>
  <c r="AD367" i="3" a="1"/>
  <c r="AD367" i="3" s="1"/>
  <c r="AD368" i="3" a="1"/>
  <c r="AD368" i="3" s="1"/>
  <c r="AD369" i="3" a="1"/>
  <c r="AD369" i="3" s="1"/>
  <c r="AD370" i="3" a="1"/>
  <c r="AD370" i="3" s="1"/>
  <c r="AD371" i="3" a="1"/>
  <c r="AD371" i="3" s="1"/>
  <c r="AD372" i="3" a="1"/>
  <c r="AD372" i="3" s="1"/>
  <c r="AD373" i="3" a="1"/>
  <c r="AD373" i="3" s="1"/>
  <c r="AD374" i="3" a="1"/>
  <c r="AD374" i="3" s="1"/>
  <c r="AD375" i="3" a="1"/>
  <c r="AD375" i="3" s="1"/>
  <c r="AD376" i="3" a="1"/>
  <c r="AD376" i="3" s="1"/>
  <c r="AD377" i="3" a="1"/>
  <c r="AD377" i="3" s="1"/>
  <c r="AD378" i="3" a="1"/>
  <c r="AD378" i="3" s="1"/>
  <c r="AD379" i="3" a="1"/>
  <c r="AD379" i="3" s="1"/>
  <c r="AD380" i="3" a="1"/>
  <c r="AD380" i="3" s="1"/>
  <c r="AD381" i="3" a="1"/>
  <c r="AD381" i="3" s="1"/>
  <c r="AD382" i="3" a="1"/>
  <c r="AD382" i="3" s="1"/>
  <c r="AD383" i="3" a="1"/>
  <c r="AD383" i="3" s="1"/>
  <c r="AD384" i="3" a="1"/>
  <c r="AD384" i="3" s="1"/>
  <c r="AD385" i="3" a="1"/>
  <c r="AD385" i="3" s="1"/>
  <c r="AD386" i="3" a="1"/>
  <c r="AD386" i="3" s="1"/>
  <c r="AD387" i="3" a="1"/>
  <c r="AD387" i="3" s="1"/>
  <c r="AD388" i="3" a="1"/>
  <c r="AD388" i="3" s="1"/>
  <c r="AD389" i="3" a="1"/>
  <c r="AD389" i="3" s="1"/>
  <c r="AD390" i="3" a="1"/>
  <c r="AD390" i="3" s="1"/>
  <c r="AD391" i="3" a="1"/>
  <c r="AD391" i="3" s="1"/>
  <c r="AD392" i="3" a="1"/>
  <c r="AD392" i="3" s="1"/>
  <c r="AD393" i="3" a="1"/>
  <c r="AD393" i="3" s="1"/>
  <c r="AD394" i="3" a="1"/>
  <c r="AD394" i="3" s="1"/>
  <c r="AD395" i="3" a="1"/>
  <c r="AD395" i="3" s="1"/>
  <c r="AD396" i="3" a="1"/>
  <c r="AD396" i="3" s="1"/>
  <c r="AD397" i="3" a="1"/>
  <c r="AD397" i="3" s="1"/>
  <c r="AD398" i="3" a="1"/>
  <c r="AD398" i="3" s="1"/>
  <c r="AD399" i="3" a="1"/>
  <c r="AD399" i="3" s="1"/>
  <c r="AD400" i="3" a="1"/>
  <c r="AD400" i="3" s="1"/>
  <c r="AD401" i="3" a="1"/>
  <c r="AD401" i="3" s="1"/>
  <c r="AD402" i="3" a="1"/>
  <c r="AD402" i="3" s="1"/>
  <c r="AD403" i="3" a="1"/>
  <c r="AD403" i="3" s="1"/>
  <c r="AD404" i="3" a="1"/>
  <c r="AD404" i="3" s="1"/>
  <c r="AD405" i="3" a="1"/>
  <c r="AD405" i="3" s="1"/>
  <c r="AD406" i="3" a="1"/>
  <c r="AD406" i="3" s="1"/>
  <c r="AD407" i="3" a="1"/>
  <c r="AD407" i="3" s="1"/>
  <c r="AD408" i="3" a="1"/>
  <c r="AD408" i="3" s="1"/>
  <c r="AD409" i="3" a="1"/>
  <c r="AD409" i="3" s="1"/>
  <c r="AD410" i="3" a="1"/>
  <c r="AD410" i="3" s="1"/>
  <c r="AD411" i="3" a="1"/>
  <c r="AD411" i="3" s="1"/>
  <c r="AD412" i="3" a="1"/>
  <c r="AD412" i="3" s="1"/>
  <c r="AD413" i="3" a="1"/>
  <c r="AD413" i="3" s="1"/>
  <c r="AD414" i="3" a="1"/>
  <c r="AD414" i="3" s="1"/>
  <c r="AD415" i="3" a="1"/>
  <c r="AD415" i="3" s="1"/>
  <c r="AD416" i="3" a="1"/>
  <c r="AD416" i="3" s="1"/>
  <c r="AD417" i="3" a="1"/>
  <c r="AD417" i="3" s="1"/>
  <c r="AD418" i="3" a="1"/>
  <c r="AD418" i="3" s="1"/>
  <c r="AD419" i="3" a="1"/>
  <c r="AD419" i="3" s="1"/>
  <c r="AD420" i="3" a="1"/>
  <c r="AD420" i="3" s="1"/>
  <c r="AD421" i="3" a="1"/>
  <c r="AD421" i="3" s="1"/>
  <c r="AD422" i="3" a="1"/>
  <c r="AD422" i="3" s="1"/>
  <c r="AD423" i="3" a="1"/>
  <c r="AD423" i="3" s="1"/>
  <c r="AD424" i="3" a="1"/>
  <c r="AD424" i="3" s="1"/>
  <c r="AD425" i="3" a="1"/>
  <c r="AD425" i="3" s="1"/>
  <c r="AD426" i="3" a="1"/>
  <c r="AD426" i="3" s="1"/>
  <c r="AD427" i="3" a="1"/>
  <c r="AD427" i="3" s="1"/>
  <c r="AD428" i="3" a="1"/>
  <c r="AD428" i="3" s="1"/>
  <c r="AD429" i="3" a="1"/>
  <c r="AD429" i="3" s="1"/>
  <c r="AD430" i="3" a="1"/>
  <c r="AD430" i="3" s="1"/>
  <c r="AD431" i="3" a="1"/>
  <c r="AD431" i="3" s="1"/>
  <c r="AD432" i="3" a="1"/>
  <c r="AD432" i="3" s="1"/>
  <c r="AD433" i="3" a="1"/>
  <c r="AD433" i="3" s="1"/>
  <c r="AD434" i="3" a="1"/>
  <c r="AD434" i="3" s="1"/>
  <c r="AD435" i="3" a="1"/>
  <c r="AD435" i="3" s="1"/>
  <c r="AD436" i="3" a="1"/>
  <c r="AD436" i="3" s="1"/>
  <c r="AD437" i="3" a="1"/>
  <c r="AD437" i="3" s="1"/>
  <c r="AD438" i="3" a="1"/>
  <c r="AD438" i="3" s="1"/>
  <c r="AD439" i="3" a="1"/>
  <c r="AD439" i="3" s="1"/>
  <c r="AD440" i="3" a="1"/>
  <c r="AD440" i="3" s="1"/>
  <c r="AD441" i="3" a="1"/>
  <c r="AD441" i="3" s="1"/>
  <c r="AD442" i="3" a="1"/>
  <c r="AD442" i="3" s="1"/>
  <c r="AD443" i="3" a="1"/>
  <c r="AD443" i="3" s="1"/>
  <c r="AD444" i="3" a="1"/>
  <c r="AD444" i="3" s="1"/>
  <c r="AD445" i="3" a="1"/>
  <c r="AD445" i="3" s="1"/>
  <c r="AD446" i="3" a="1"/>
  <c r="AD446" i="3" s="1"/>
  <c r="AD447" i="3" a="1"/>
  <c r="AD447" i="3" s="1"/>
  <c r="AD448" i="3" a="1"/>
  <c r="AD448" i="3" s="1"/>
  <c r="AD449" i="3" a="1"/>
  <c r="AD449" i="3" s="1"/>
  <c r="AD450" i="3" a="1"/>
  <c r="AD450" i="3" s="1"/>
  <c r="AD451" i="3" a="1"/>
  <c r="AD451" i="3" s="1"/>
  <c r="AD452" i="3" a="1"/>
  <c r="AD452" i="3" s="1"/>
  <c r="AD453" i="3" a="1"/>
  <c r="AD453" i="3" s="1"/>
  <c r="AD454" i="3" a="1"/>
  <c r="AD454" i="3" s="1"/>
  <c r="AD455" i="3" a="1"/>
  <c r="AD455" i="3" s="1"/>
  <c r="AD456" i="3" a="1"/>
  <c r="AD456" i="3"/>
  <c r="AD457" i="3" a="1"/>
  <c r="AD457" i="3" s="1"/>
  <c r="AD458" i="3" a="1"/>
  <c r="AD458" i="3"/>
  <c r="AD459" i="3" a="1"/>
  <c r="AD459" i="3" s="1"/>
  <c r="AD460" i="3" a="1"/>
  <c r="AD460" i="3" s="1"/>
  <c r="AD461" i="3" a="1"/>
  <c r="AD461" i="3" s="1"/>
  <c r="AD462" i="3" a="1"/>
  <c r="AD462" i="3" s="1"/>
  <c r="AD463" i="3" a="1"/>
  <c r="AD463" i="3" s="1"/>
  <c r="AD464" i="3" a="1"/>
  <c r="AD464" i="3" s="1"/>
  <c r="AD465" i="3" a="1"/>
  <c r="AD465" i="3" s="1"/>
  <c r="AD466" i="3" a="1"/>
  <c r="AD466" i="3" s="1"/>
  <c r="AD467" i="3" a="1"/>
  <c r="AD467" i="3" s="1"/>
  <c r="AD468" i="3" a="1"/>
  <c r="AD468" i="3" s="1"/>
  <c r="AD469" i="3" a="1"/>
  <c r="AD469" i="3" s="1"/>
  <c r="AD470" i="3" a="1"/>
  <c r="AD470" i="3" s="1"/>
  <c r="AD471" i="3" a="1"/>
  <c r="AD471" i="3" s="1"/>
  <c r="AD472" i="3" a="1"/>
  <c r="AD472" i="3" s="1"/>
  <c r="AD473" i="3" a="1"/>
  <c r="AD473" i="3" s="1"/>
  <c r="AD474" i="3" a="1"/>
  <c r="AD474" i="3" s="1"/>
  <c r="AD475" i="3" a="1"/>
  <c r="AD475" i="3" s="1"/>
  <c r="AD476" i="3" a="1"/>
  <c r="AD476" i="3" s="1"/>
  <c r="AD477" i="3" a="1"/>
  <c r="AD477" i="3" s="1"/>
  <c r="AD478" i="3" a="1"/>
  <c r="AD478" i="3" s="1"/>
  <c r="AD479" i="3" a="1"/>
  <c r="AD479" i="3" s="1"/>
  <c r="AD480" i="3" a="1"/>
  <c r="AD480" i="3" s="1"/>
  <c r="AD481" i="3" a="1"/>
  <c r="AD481" i="3" s="1"/>
  <c r="AD482" i="3" a="1"/>
  <c r="AD482" i="3" s="1"/>
  <c r="AD483" i="3" a="1"/>
  <c r="AD483" i="3" s="1"/>
  <c r="AD484" i="3" a="1"/>
  <c r="AD484" i="3"/>
  <c r="AD485" i="3" a="1"/>
  <c r="AD485" i="3" s="1"/>
  <c r="AD492" i="3" a="1"/>
  <c r="AD492" i="3" s="1"/>
  <c r="AD493" i="3" a="1"/>
  <c r="AD493" i="3" s="1"/>
  <c r="AD494" i="3" a="1"/>
  <c r="AD494" i="3" s="1"/>
  <c r="AD495" i="3" a="1"/>
  <c r="AD495" i="3" s="1"/>
  <c r="AD496" i="3" a="1"/>
  <c r="AD496" i="3" s="1"/>
  <c r="AD497" i="3" a="1"/>
  <c r="AD497" i="3" s="1"/>
  <c r="AD498" i="3" a="1"/>
  <c r="AD498" i="3" s="1"/>
  <c r="AD499" i="3" a="1"/>
  <c r="AD499" i="3"/>
  <c r="AD500" i="3" a="1"/>
  <c r="AD500" i="3" s="1"/>
  <c r="AD501" i="3" a="1"/>
  <c r="AD501" i="3" s="1"/>
  <c r="AD502" i="3" a="1"/>
  <c r="AD502" i="3"/>
  <c r="AD503" i="3" a="1"/>
  <c r="AD503" i="3" s="1"/>
  <c r="AD504" i="3" a="1"/>
  <c r="AD504" i="3" s="1"/>
  <c r="AD505" i="3" a="1"/>
  <c r="AD505" i="3" s="1"/>
  <c r="AD506" i="3" a="1"/>
  <c r="AD506" i="3" s="1"/>
  <c r="AD507" i="3" a="1"/>
  <c r="AD507" i="3" s="1"/>
  <c r="AD508" i="3" a="1"/>
  <c r="AD508" i="3" s="1"/>
  <c r="AD509" i="3" a="1"/>
  <c r="AD509" i="3" s="1"/>
  <c r="AD510" i="3" a="1"/>
  <c r="AD510" i="3" s="1"/>
  <c r="AD511" i="3" a="1"/>
  <c r="AD511" i="3" s="1"/>
  <c r="AD512" i="3" a="1"/>
  <c r="AD512" i="3" s="1"/>
  <c r="AD513" i="3" a="1"/>
  <c r="AD513" i="3" s="1"/>
  <c r="AD514" i="3" a="1"/>
  <c r="AD514" i="3" s="1"/>
  <c r="AD515" i="3" a="1"/>
  <c r="AD515" i="3" s="1"/>
  <c r="AD516" i="3" a="1"/>
  <c r="AD516" i="3" s="1"/>
  <c r="AD517" i="3" a="1"/>
  <c r="AD517" i="3" s="1"/>
  <c r="AD518" i="3" a="1"/>
  <c r="AD518" i="3" s="1"/>
  <c r="AD519" i="3" a="1"/>
  <c r="AD519" i="3" s="1"/>
  <c r="AD520" i="3" a="1"/>
  <c r="AD520" i="3"/>
  <c r="AD521" i="3" a="1"/>
  <c r="AD521" i="3" s="1"/>
  <c r="AD522" i="3" a="1"/>
  <c r="AD522" i="3" s="1"/>
  <c r="AD523" i="3" a="1"/>
  <c r="AD523" i="3" s="1"/>
  <c r="AD524" i="3" a="1"/>
  <c r="AD524" i="3" s="1"/>
  <c r="AD525" i="3" a="1"/>
  <c r="AD525" i="3" s="1"/>
  <c r="AD526" i="3" a="1"/>
  <c r="AD526" i="3" s="1"/>
  <c r="AD527" i="3" a="1"/>
  <c r="AD527" i="3" s="1"/>
  <c r="AD528" i="3" a="1"/>
  <c r="AD528" i="3" s="1"/>
  <c r="AD529" i="3" a="1"/>
  <c r="AD529" i="3" s="1"/>
  <c r="AD530" i="3" a="1"/>
  <c r="AD530" i="3" s="1"/>
  <c r="AD531" i="3" a="1"/>
  <c r="AD531" i="3"/>
  <c r="AD532" i="3" a="1"/>
  <c r="AD532" i="3" s="1"/>
  <c r="AD533" i="3" a="1"/>
  <c r="AD533" i="3" s="1"/>
  <c r="AD534" i="3" a="1"/>
  <c r="AD534" i="3" s="1"/>
  <c r="AD535" i="3" a="1"/>
  <c r="AD535" i="3"/>
  <c r="AD536" i="3" a="1"/>
  <c r="AD536" i="3" s="1"/>
  <c r="AD537" i="3" a="1"/>
  <c r="AD537" i="3" s="1"/>
  <c r="AD538" i="3" a="1"/>
  <c r="AD538" i="3" s="1"/>
  <c r="AD539" i="3" a="1"/>
  <c r="AD539" i="3" s="1"/>
  <c r="AD540" i="3" a="1"/>
  <c r="AD540" i="3" s="1"/>
  <c r="AD541" i="3" a="1"/>
  <c r="AD541" i="3" s="1"/>
  <c r="AD542" i="3" a="1"/>
  <c r="AD542" i="3" s="1"/>
  <c r="AD543" i="3" a="1"/>
  <c r="AD543" i="3" s="1"/>
  <c r="AD544" i="3" a="1"/>
  <c r="AD544" i="3" s="1"/>
  <c r="AD545" i="3" a="1"/>
  <c r="AD545" i="3" s="1"/>
  <c r="AD546" i="3" a="1"/>
  <c r="AD546" i="3" s="1"/>
  <c r="AD547" i="3" a="1"/>
  <c r="AD547" i="3"/>
  <c r="AD548" i="3" a="1"/>
  <c r="AD548" i="3" s="1"/>
  <c r="AD549" i="3" a="1"/>
  <c r="AD549" i="3"/>
  <c r="AD550" i="3" a="1"/>
  <c r="AD550" i="3"/>
  <c r="AD551" i="3" a="1"/>
  <c r="AD551" i="3" s="1"/>
  <c r="AD552" i="3" a="1"/>
  <c r="AD552" i="3"/>
  <c r="AD553" i="3" a="1"/>
  <c r="AD553" i="3"/>
  <c r="AD554" i="3" a="1"/>
  <c r="AD554" i="3" s="1"/>
  <c r="AD555" i="3" a="1"/>
  <c r="AD555" i="3" s="1"/>
  <c r="AD556" i="3" a="1"/>
  <c r="AD556" i="3" s="1"/>
  <c r="AD557" i="3" a="1"/>
  <c r="AD557" i="3" s="1"/>
  <c r="AD558" i="3" a="1"/>
  <c r="AD558" i="3" s="1"/>
  <c r="AD559" i="3" a="1"/>
  <c r="AD559" i="3" s="1"/>
  <c r="AD560" i="3" a="1"/>
  <c r="AD560" i="3" s="1"/>
  <c r="AD561" i="3" a="1"/>
  <c r="AD561" i="3" s="1"/>
  <c r="AD562" i="3" a="1"/>
  <c r="AD562" i="3" s="1"/>
  <c r="AD563" i="3" a="1"/>
  <c r="AD563" i="3" s="1"/>
  <c r="AD564" i="3" a="1"/>
  <c r="AD564" i="3" s="1"/>
  <c r="AD565" i="3" a="1"/>
  <c r="AD565" i="3"/>
  <c r="AD566" i="3" a="1"/>
  <c r="AD566" i="3" s="1"/>
  <c r="AD567" i="3" a="1"/>
  <c r="AD567" i="3" s="1"/>
  <c r="AD568" i="3" a="1"/>
  <c r="AD568" i="3"/>
  <c r="AD569" i="3" a="1"/>
  <c r="AD569" i="3" s="1"/>
  <c r="AD570" i="3" a="1"/>
  <c r="AD570" i="3" s="1"/>
  <c r="AD571" i="3" a="1"/>
  <c r="AD571" i="3" s="1"/>
  <c r="AD572" i="3" a="1"/>
  <c r="AD572" i="3" s="1"/>
  <c r="AD573" i="3" a="1"/>
  <c r="AD573" i="3" s="1"/>
  <c r="AD574" i="3" a="1"/>
  <c r="AD574" i="3" s="1"/>
  <c r="AD575" i="3" a="1"/>
  <c r="AD575" i="3" s="1"/>
  <c r="AD576" i="3" a="1"/>
  <c r="AD576" i="3" s="1"/>
  <c r="AD577" i="3" a="1"/>
  <c r="AD577" i="3" s="1"/>
  <c r="AD578" i="3" a="1"/>
  <c r="AD578" i="3" s="1"/>
  <c r="AD579" i="3" a="1"/>
  <c r="AD579" i="3" s="1"/>
  <c r="AD580" i="3" a="1"/>
  <c r="AD580" i="3"/>
  <c r="AD581" i="3" a="1"/>
  <c r="AD581" i="3" s="1"/>
  <c r="AD582" i="3" a="1"/>
  <c r="AD582" i="3" s="1"/>
  <c r="AD583" i="3" a="1"/>
  <c r="AD583" i="3"/>
  <c r="AD584" i="3" a="1"/>
  <c r="AD584" i="3" s="1"/>
  <c r="AD585" i="3" a="1"/>
  <c r="AD585" i="3" s="1"/>
  <c r="AD586" i="3" a="1"/>
  <c r="AD586" i="3" s="1"/>
  <c r="AD587" i="3" a="1"/>
  <c r="AD587" i="3" s="1"/>
  <c r="AD588" i="3" a="1"/>
  <c r="AD588" i="3" s="1"/>
  <c r="AD589" i="3" a="1"/>
  <c r="AD589" i="3" s="1"/>
  <c r="AD590" i="3" a="1"/>
  <c r="AD590" i="3" s="1"/>
  <c r="AD591" i="3" a="1"/>
  <c r="AD591" i="3" s="1"/>
  <c r="AD592" i="3" a="1"/>
  <c r="AD592" i="3" s="1"/>
  <c r="AD593" i="3" a="1"/>
  <c r="AD593" i="3" s="1"/>
  <c r="AD594" i="3" a="1"/>
  <c r="AD594" i="3" s="1"/>
  <c r="AD595" i="3" a="1"/>
  <c r="AD595" i="3" s="1"/>
  <c r="AD596" i="3" a="1"/>
  <c r="AD596" i="3" s="1"/>
  <c r="AD597" i="3" a="1"/>
  <c r="AD597" i="3" s="1"/>
  <c r="AD598" i="3" a="1"/>
  <c r="AD598" i="3"/>
  <c r="AD599" i="3" a="1"/>
  <c r="AD599" i="3" s="1"/>
  <c r="AD600" i="3" a="1"/>
  <c r="AD600" i="3" s="1"/>
  <c r="AD601" i="3" a="1"/>
  <c r="AD601" i="3" s="1"/>
  <c r="AD602" i="3" a="1"/>
  <c r="AD602" i="3" s="1"/>
  <c r="AD603" i="3" a="1"/>
  <c r="AD603" i="3" s="1"/>
  <c r="AD604" i="3" a="1"/>
  <c r="AD604" i="3" s="1"/>
  <c r="AD605" i="3" a="1"/>
  <c r="AD605" i="3" s="1"/>
  <c r="AD606" i="3" a="1"/>
  <c r="AD606" i="3" s="1"/>
  <c r="AD607" i="3" a="1"/>
  <c r="AD607" i="3" s="1"/>
  <c r="AD608" i="3" a="1"/>
  <c r="AD608" i="3" s="1"/>
  <c r="AD609" i="3" a="1"/>
  <c r="AD609" i="3" s="1"/>
  <c r="AD610" i="3" a="1"/>
  <c r="AD610" i="3" s="1"/>
  <c r="AD611" i="3" a="1"/>
  <c r="AD611" i="3" s="1"/>
  <c r="AD612" i="3" a="1"/>
  <c r="AD612" i="3" s="1"/>
  <c r="AD613" i="3" a="1"/>
  <c r="AD613" i="3" s="1"/>
  <c r="AD614" i="3" a="1"/>
  <c r="AD614" i="3" s="1"/>
  <c r="AD615" i="3" a="1"/>
  <c r="AD615" i="3" s="1"/>
  <c r="AD616" i="3" a="1"/>
  <c r="AD616" i="3"/>
  <c r="AD617" i="3" a="1"/>
  <c r="AD617" i="3"/>
  <c r="AD618" i="3" a="1"/>
  <c r="AD618" i="3" s="1"/>
  <c r="AD619" i="3" a="1"/>
  <c r="AD619" i="3" s="1"/>
  <c r="AD620" i="3" a="1"/>
  <c r="AD620" i="3" s="1"/>
  <c r="AD621" i="3" a="1"/>
  <c r="AD621" i="3" s="1"/>
  <c r="AD622" i="3" a="1"/>
  <c r="AD622" i="3" s="1"/>
  <c r="AD623" i="3" a="1"/>
  <c r="AD623" i="3" s="1"/>
  <c r="AD624" i="3" a="1"/>
  <c r="AD624" i="3" s="1"/>
  <c r="AD625" i="3" a="1"/>
  <c r="AD625" i="3" s="1"/>
  <c r="AD626" i="3" a="1"/>
  <c r="AD626" i="3" s="1"/>
  <c r="AD627" i="3" a="1"/>
  <c r="AD627" i="3" s="1"/>
  <c r="AD628" i="3" a="1"/>
  <c r="AD628" i="3" s="1"/>
  <c r="AD629" i="3" a="1"/>
  <c r="AD629" i="3" s="1"/>
  <c r="AD630" i="3" a="1"/>
  <c r="AD630" i="3"/>
  <c r="AD631" i="3" a="1"/>
  <c r="AD631" i="3"/>
  <c r="AD632" i="3" a="1"/>
  <c r="AD632" i="3" s="1"/>
  <c r="AD633" i="3" a="1"/>
  <c r="AD633" i="3" s="1"/>
  <c r="AD634" i="3" a="1"/>
  <c r="AD634" i="3" s="1"/>
  <c r="AD635" i="3" a="1"/>
  <c r="AD635" i="3" s="1"/>
  <c r="AD636" i="3" a="1"/>
  <c r="AD636" i="3" s="1"/>
  <c r="AD637" i="3" a="1"/>
  <c r="AD637" i="3" s="1"/>
  <c r="AD638" i="3" a="1"/>
  <c r="AD638" i="3" s="1"/>
  <c r="AD639" i="3" a="1"/>
  <c r="AD639" i="3" s="1"/>
  <c r="AD640" i="3" a="1"/>
  <c r="AD640" i="3" s="1"/>
  <c r="AD641" i="3" a="1"/>
  <c r="AD641" i="3" s="1"/>
  <c r="AD642" i="3" a="1"/>
  <c r="AD642" i="3" s="1"/>
  <c r="AD643" i="3" a="1"/>
  <c r="AD643" i="3"/>
  <c r="AD644" i="3" a="1"/>
  <c r="AD644" i="3" s="1"/>
  <c r="AD645" i="3" a="1"/>
  <c r="AD645" i="3" s="1"/>
  <c r="AD646" i="3" a="1"/>
  <c r="AD646" i="3"/>
  <c r="AD647" i="3" a="1"/>
  <c r="AD647" i="3" s="1"/>
  <c r="AD648" i="3" a="1"/>
  <c r="AD648" i="3" s="1"/>
  <c r="AD649" i="3" a="1"/>
  <c r="AD649" i="3" s="1"/>
  <c r="AD650" i="3" a="1"/>
  <c r="AD650" i="3" s="1"/>
  <c r="AD651" i="3" a="1"/>
  <c r="AD651" i="3" s="1"/>
  <c r="AD652" i="3" a="1"/>
  <c r="AD652" i="3" s="1"/>
  <c r="AD653" i="3" a="1"/>
  <c r="AD653" i="3" s="1"/>
  <c r="AD654" i="3" a="1"/>
  <c r="AD654" i="3" s="1"/>
  <c r="AD655" i="3" a="1"/>
  <c r="AD655" i="3" s="1"/>
  <c r="AD656" i="3" a="1"/>
  <c r="AD656" i="3" s="1"/>
  <c r="AD657" i="3" a="1"/>
  <c r="AD657" i="3" s="1"/>
  <c r="AD658" i="3" a="1"/>
  <c r="AD658" i="3" s="1"/>
  <c r="AD659" i="3" a="1"/>
  <c r="AD659" i="3" s="1"/>
  <c r="AD660" i="3" a="1"/>
  <c r="AD660" i="3" s="1"/>
  <c r="AD661" i="3" a="1"/>
  <c r="AD661" i="3" s="1"/>
  <c r="AD662" i="3" a="1"/>
  <c r="AD662" i="3" s="1"/>
  <c r="AD663" i="3" a="1"/>
  <c r="AD663" i="3" s="1"/>
  <c r="AD664" i="3" a="1"/>
  <c r="AD664" i="3" s="1"/>
  <c r="AD665" i="3" a="1"/>
  <c r="AD665" i="3" s="1"/>
  <c r="AD666" i="3" a="1"/>
  <c r="AD666" i="3" s="1"/>
  <c r="AD667" i="3" a="1"/>
  <c r="AD667" i="3" s="1"/>
  <c r="AD668" i="3" a="1"/>
  <c r="AD668" i="3" s="1"/>
  <c r="AD669" i="3" a="1"/>
  <c r="AD669" i="3" s="1"/>
  <c r="AD670" i="3" a="1"/>
  <c r="AD670" i="3" s="1"/>
  <c r="AD671" i="3" a="1"/>
  <c r="AD671" i="3" s="1"/>
  <c r="AD672" i="3" a="1"/>
  <c r="AD672" i="3" s="1"/>
  <c r="AD673" i="3" a="1"/>
  <c r="AD673" i="3" s="1"/>
  <c r="AD674" i="3" a="1"/>
  <c r="AD674" i="3" s="1"/>
  <c r="AD675" i="3" a="1"/>
  <c r="AD675" i="3" s="1"/>
  <c r="AD676" i="3" a="1"/>
  <c r="AD676" i="3" s="1"/>
  <c r="AD677" i="3" a="1"/>
  <c r="AD677" i="3" s="1"/>
  <c r="AD678" i="3" a="1"/>
  <c r="AD678" i="3"/>
  <c r="AD679" i="3" a="1"/>
  <c r="AD679" i="3" s="1"/>
  <c r="AD680" i="3" a="1"/>
  <c r="AD680" i="3" s="1"/>
  <c r="AD681" i="3" a="1"/>
  <c r="AD681" i="3"/>
  <c r="AD682" i="3" a="1"/>
  <c r="AD682" i="3" s="1"/>
  <c r="AD683" i="3" a="1"/>
  <c r="AD683" i="3" s="1"/>
  <c r="AD684" i="3" a="1"/>
  <c r="AD684" i="3" s="1"/>
  <c r="AD685" i="3" a="1"/>
  <c r="AD685" i="3" s="1"/>
  <c r="AD686" i="3" a="1"/>
  <c r="AD686" i="3"/>
  <c r="AD687" i="3" a="1"/>
  <c r="AD687" i="3" s="1"/>
  <c r="AD688" i="3" a="1"/>
  <c r="AD688" i="3" s="1"/>
  <c r="AD689" i="3" a="1"/>
  <c r="AD689" i="3"/>
  <c r="AD690" i="3" a="1"/>
  <c r="AD690" i="3" s="1"/>
  <c r="AD691" i="3" a="1"/>
  <c r="AD691" i="3" s="1"/>
  <c r="AD692" i="3" a="1"/>
  <c r="AD692" i="3" s="1"/>
  <c r="AD693" i="3" a="1"/>
  <c r="AD693" i="3" s="1"/>
  <c r="AD694" i="3" a="1"/>
  <c r="AD694" i="3" s="1"/>
  <c r="AD695" i="3" a="1"/>
  <c r="AD695" i="3" s="1"/>
  <c r="AD696" i="3" a="1"/>
  <c r="AD696" i="3" s="1"/>
  <c r="AD697" i="3" a="1"/>
  <c r="AD697" i="3"/>
  <c r="AD698" i="3" a="1"/>
  <c r="AD698" i="3" s="1"/>
  <c r="AD699" i="3" a="1"/>
  <c r="AD699" i="3" s="1"/>
  <c r="AD700" i="3" a="1"/>
  <c r="AD700" i="3" s="1"/>
  <c r="AD701" i="3" a="1"/>
  <c r="AD701" i="3" s="1"/>
  <c r="AD702" i="3" a="1"/>
  <c r="AD702" i="3" s="1"/>
  <c r="AD703" i="3" a="1"/>
  <c r="AD703" i="3" s="1"/>
  <c r="AD704" i="3" a="1"/>
  <c r="AD704" i="3" s="1"/>
  <c r="AD705" i="3" a="1"/>
  <c r="AD705" i="3"/>
  <c r="AD706" i="3" a="1"/>
  <c r="AD706" i="3" s="1"/>
  <c r="AD707" i="3" a="1"/>
  <c r="AD707" i="3" s="1"/>
  <c r="AD708" i="3" a="1"/>
  <c r="AD708" i="3" s="1"/>
  <c r="AD709" i="3" a="1"/>
  <c r="AD709" i="3" s="1"/>
  <c r="AD710" i="3" a="1"/>
  <c r="AD710" i="3" s="1"/>
  <c r="AD711" i="3" a="1"/>
  <c r="AD711" i="3" s="1"/>
  <c r="AD712" i="3" a="1"/>
  <c r="AD712" i="3" s="1"/>
  <c r="AD713" i="3" a="1"/>
  <c r="AD713" i="3"/>
  <c r="AD714" i="3" a="1"/>
  <c r="AD714" i="3" s="1"/>
  <c r="AD715" i="3" a="1"/>
  <c r="AD715" i="3" s="1"/>
  <c r="AD716" i="3" a="1"/>
  <c r="AD716" i="3" s="1"/>
  <c r="AD717" i="3" a="1"/>
  <c r="AD717" i="3" s="1"/>
  <c r="AD718" i="3" a="1"/>
  <c r="AD718" i="3" s="1"/>
  <c r="AD719" i="3" a="1"/>
  <c r="AD719" i="3"/>
  <c r="AD720" i="3" a="1"/>
  <c r="AD720" i="3"/>
  <c r="AD721" i="3" a="1"/>
  <c r="AD721" i="3"/>
  <c r="AD722" i="3" a="1"/>
  <c r="AD722" i="3" s="1"/>
  <c r="AD723" i="3" a="1"/>
  <c r="AD723" i="3"/>
  <c r="AD724" i="3" a="1"/>
  <c r="AD724" i="3"/>
  <c r="AD725" i="3" a="1"/>
  <c r="AD725" i="3" s="1"/>
  <c r="AD726" i="3" a="1"/>
  <c r="AD726" i="3" s="1"/>
  <c r="AD727" i="3" a="1"/>
  <c r="AD727" i="3" s="1"/>
  <c r="AD728" i="3" a="1"/>
  <c r="AD728" i="3" s="1"/>
  <c r="AD729" i="3" a="1"/>
  <c r="AD729" i="3" s="1"/>
  <c r="AD730" i="3" a="1"/>
  <c r="AD730" i="3"/>
  <c r="AD731" i="3" a="1"/>
  <c r="AD731" i="3" s="1"/>
  <c r="AD732" i="3" a="1"/>
  <c r="AD732" i="3" s="1"/>
  <c r="AD733" i="3" a="1"/>
  <c r="AD733" i="3" s="1"/>
  <c r="AD734" i="3" a="1"/>
  <c r="AD734" i="3" s="1"/>
  <c r="AD735" i="3" a="1"/>
  <c r="AD735" i="3"/>
  <c r="AD736" i="3" a="1"/>
  <c r="AD736" i="3"/>
  <c r="AD737" i="3" a="1"/>
  <c r="AD737" i="3"/>
  <c r="AD738" i="3" a="1"/>
  <c r="AD738" i="3"/>
  <c r="AD739" i="3" a="1"/>
  <c r="AD739" i="3" s="1"/>
  <c r="AD740" i="3" a="1"/>
  <c r="AD740" i="3"/>
  <c r="AD741" i="3" a="1"/>
  <c r="AD741" i="3"/>
  <c r="AD742" i="3" a="1"/>
  <c r="AD742" i="3" s="1"/>
  <c r="AD743" i="3" a="1"/>
  <c r="AD743" i="3" s="1"/>
  <c r="AD744" i="3" a="1"/>
  <c r="AD744" i="3" s="1"/>
  <c r="AD745" i="3" a="1"/>
  <c r="AD745" i="3" s="1"/>
  <c r="AD746" i="3" a="1"/>
  <c r="AD746" i="3" s="1"/>
  <c r="AD747" i="3" a="1"/>
  <c r="AD747" i="3"/>
  <c r="AD748" i="3" a="1"/>
  <c r="AD748" i="3" s="1"/>
  <c r="AD749" i="3" a="1"/>
  <c r="AD749" i="3" s="1"/>
  <c r="AD750" i="3" a="1"/>
  <c r="AD750" i="3" s="1"/>
  <c r="AD751" i="3" a="1"/>
  <c r="AD751" i="3" s="1"/>
  <c r="AD752" i="3" a="1"/>
  <c r="AD752" i="3"/>
  <c r="AD753" i="3" a="1"/>
  <c r="AD753" i="3"/>
  <c r="AD754" i="3" a="1"/>
  <c r="AD754" i="3"/>
  <c r="AD755" i="3" a="1"/>
  <c r="AD755" i="3"/>
  <c r="AD756" i="3" a="1"/>
  <c r="AD756" i="3" s="1"/>
  <c r="AD757" i="3" a="1"/>
  <c r="AD757" i="3"/>
  <c r="AD758" i="3" a="1"/>
  <c r="AD758" i="3" s="1"/>
  <c r="AD759" i="3" a="1"/>
  <c r="AD759" i="3" s="1"/>
  <c r="AD760" i="3" a="1"/>
  <c r="AD760" i="3" s="1"/>
  <c r="AD761" i="3" a="1"/>
  <c r="AD761" i="3" s="1"/>
  <c r="AD762" i="3" a="1"/>
  <c r="AD762" i="3" s="1"/>
  <c r="AD763" i="3" a="1"/>
  <c r="AD763" i="3" s="1"/>
  <c r="AD764" i="3" a="1"/>
  <c r="AD764" i="3"/>
  <c r="AD765" i="3" a="1"/>
  <c r="AD765" i="3" s="1"/>
  <c r="AD766" i="3" a="1"/>
  <c r="AD766" i="3" s="1"/>
  <c r="AD767" i="3" a="1"/>
  <c r="AD767" i="3"/>
  <c r="AD768" i="3" a="1"/>
  <c r="AD768" i="3" s="1"/>
  <c r="AD769" i="3" a="1"/>
  <c r="AD769" i="3"/>
  <c r="AD770" i="3" a="1"/>
  <c r="AD770" i="3"/>
  <c r="AD771" i="3" a="1"/>
  <c r="AD771" i="3"/>
  <c r="AD772" i="3" a="1"/>
  <c r="AD772" i="3"/>
  <c r="AD773" i="3" a="1"/>
  <c r="AD773" i="3" s="1"/>
  <c r="AD774" i="3" a="1"/>
  <c r="AD774" i="3" s="1"/>
  <c r="AD775" i="3" a="1"/>
  <c r="AD775" i="3" s="1"/>
  <c r="AD776" i="3" a="1"/>
  <c r="AD776" i="3" s="1"/>
  <c r="AD777" i="3" a="1"/>
  <c r="AD777" i="3" s="1"/>
  <c r="AD778" i="3" a="1"/>
  <c r="AD778" i="3" s="1"/>
  <c r="AD779" i="3" a="1"/>
  <c r="AD779" i="3" s="1"/>
  <c r="AD780" i="3" a="1"/>
  <c r="AD780" i="3" s="1"/>
  <c r="AD781" i="3" a="1"/>
  <c r="AD781" i="3"/>
  <c r="AD782" i="3" a="1"/>
  <c r="AD782" i="3" s="1"/>
  <c r="AD783" i="3" a="1"/>
  <c r="AD783" i="3"/>
  <c r="AD784" i="3" a="1"/>
  <c r="AD784" i="3"/>
  <c r="AD785" i="3" a="1"/>
  <c r="AD785" i="3" s="1"/>
  <c r="AD786" i="3" a="1"/>
  <c r="AD786" i="3"/>
  <c r="AD787" i="3" a="1"/>
  <c r="AD787" i="3"/>
  <c r="AD788" i="3" a="1"/>
  <c r="AD788" i="3"/>
  <c r="AD789" i="3" a="1"/>
  <c r="AD789" i="3"/>
  <c r="AD790" i="3" a="1"/>
  <c r="AD790" i="3" s="1"/>
  <c r="AD791" i="3" a="1"/>
  <c r="AD791" i="3" s="1"/>
  <c r="AD792" i="3" a="1"/>
  <c r="AD792" i="3" s="1"/>
  <c r="AD793" i="3" a="1"/>
  <c r="AD793" i="3" s="1"/>
  <c r="AD794" i="3" a="1"/>
  <c r="AD794" i="3" s="1"/>
  <c r="AD795" i="3" a="1"/>
  <c r="AD795" i="3" s="1"/>
  <c r="AD796" i="3" a="1"/>
  <c r="AD796" i="3" s="1"/>
  <c r="AD797" i="3" a="1"/>
  <c r="AD797" i="3" s="1"/>
  <c r="AD798" i="3" a="1"/>
  <c r="AD798" i="3" s="1"/>
  <c r="AD799" i="3" a="1"/>
  <c r="AD799" i="3" s="1"/>
  <c r="AD800" i="3" a="1"/>
  <c r="AD800" i="3"/>
  <c r="AD801" i="3" a="1"/>
  <c r="AD801" i="3"/>
  <c r="AD802" i="3" a="1"/>
  <c r="AD802" i="3" s="1"/>
  <c r="AD803" i="3" a="1"/>
  <c r="AD803" i="3"/>
  <c r="AD804" i="3" a="1"/>
  <c r="AD804" i="3"/>
  <c r="AD805" i="3" a="1"/>
  <c r="AD805" i="3"/>
  <c r="AD806" i="3" a="1"/>
  <c r="AD806" i="3" s="1"/>
  <c r="AD807" i="3" a="1"/>
  <c r="AD807" i="3"/>
  <c r="AD808" i="3" a="1"/>
  <c r="AD808" i="3" s="1"/>
  <c r="AD809" i="3" a="1"/>
  <c r="AD809" i="3" s="1"/>
  <c r="AD810" i="3" a="1"/>
  <c r="AD810" i="3" s="1"/>
  <c r="AD811" i="3" a="1"/>
  <c r="AD811" i="3" s="1"/>
  <c r="AD812" i="3" a="1"/>
  <c r="AD812" i="3" s="1"/>
  <c r="AD813" i="3" a="1"/>
  <c r="AD813" i="3" s="1"/>
  <c r="AD814" i="3" a="1"/>
  <c r="AD814" i="3" s="1"/>
  <c r="AD815" i="3" a="1"/>
  <c r="AD815" i="3" s="1"/>
  <c r="AD816" i="3" a="1"/>
  <c r="AD816" i="3" s="1"/>
  <c r="AD817" i="3" a="1"/>
  <c r="AD817" i="3"/>
  <c r="AD818" i="3" a="1"/>
  <c r="AD818" i="3"/>
  <c r="AD819" i="3" a="1"/>
  <c r="AD819" i="3" s="1"/>
  <c r="AD820" i="3" a="1"/>
  <c r="AD820" i="3"/>
  <c r="AD821" i="3" a="1"/>
  <c r="AD821" i="3"/>
  <c r="AD822" i="3" a="1"/>
  <c r="AD822" i="3" s="1"/>
  <c r="AD823" i="3" a="1"/>
  <c r="AD823" i="3" s="1"/>
  <c r="AD824" i="3" a="1"/>
  <c r="AD824" i="3"/>
  <c r="AD825" i="3" a="1"/>
  <c r="AD825" i="3" s="1"/>
  <c r="AD826" i="3" a="1"/>
  <c r="AD826" i="3" s="1"/>
  <c r="AD827" i="3" a="1"/>
  <c r="AD827" i="3" s="1"/>
  <c r="AD828" i="3" a="1"/>
  <c r="AD828" i="3" s="1"/>
  <c r="AD829" i="3" a="1"/>
  <c r="AD829" i="3" s="1"/>
  <c r="AD830" i="3" a="1"/>
  <c r="AD830" i="3" s="1"/>
  <c r="AD831" i="3" a="1"/>
  <c r="AD831" i="3"/>
  <c r="AD832" i="3" a="1"/>
  <c r="AD832" i="3" s="1"/>
  <c r="AD833" i="3" a="1"/>
  <c r="AD833" i="3" s="1"/>
  <c r="AD834" i="3" a="1"/>
  <c r="AD834" i="3"/>
  <c r="AD835" i="3" a="1"/>
  <c r="AD835" i="3"/>
  <c r="AD836" i="3" a="1"/>
  <c r="AD836" i="3" s="1"/>
  <c r="AD837" i="3" a="1"/>
  <c r="AD837" i="3"/>
  <c r="AD838" i="3" a="1"/>
  <c r="AD838" i="3" s="1"/>
  <c r="AD839" i="3" a="1"/>
  <c r="AD839" i="3" s="1"/>
  <c r="AD840" i="3" a="1"/>
  <c r="AD840" i="3" s="1"/>
  <c r="AD841" i="3" a="1"/>
  <c r="AD841" i="3"/>
  <c r="AD842" i="3" a="1"/>
  <c r="AD842" i="3" s="1"/>
  <c r="AD843" i="3" a="1"/>
  <c r="AD843" i="3" s="1"/>
  <c r="AD844" i="3" a="1"/>
  <c r="AD844" i="3" s="1"/>
  <c r="AD845" i="3" a="1"/>
  <c r="AD845" i="3" s="1"/>
  <c r="AD846" i="3" a="1"/>
  <c r="AD846" i="3" s="1"/>
  <c r="AD847" i="3" a="1"/>
  <c r="AD847" i="3"/>
  <c r="AD848" i="3" a="1"/>
  <c r="AD848" i="3"/>
  <c r="AD849" i="3" a="1"/>
  <c r="AD849" i="3" s="1"/>
  <c r="AD850" i="3" a="1"/>
  <c r="AD850" i="3" s="1"/>
  <c r="AD851" i="3" a="1"/>
  <c r="AD851" i="3"/>
  <c r="AD852" i="3" a="1"/>
  <c r="AD852" i="3"/>
  <c r="AD853" i="3" a="1"/>
  <c r="AD853" i="3" s="1"/>
  <c r="AD854" i="3" a="1"/>
  <c r="AD854" i="3" s="1"/>
  <c r="AD855" i="3" a="1"/>
  <c r="AD855" i="3" s="1"/>
  <c r="AD856" i="3" a="1"/>
  <c r="AD856" i="3" s="1"/>
  <c r="AD857" i="3" a="1"/>
  <c r="AD857" i="3" s="1"/>
  <c r="AD858" i="3" a="1"/>
  <c r="AD858" i="3"/>
  <c r="AD859" i="3" a="1"/>
  <c r="AD859" i="3" s="1"/>
  <c r="AD860" i="3" a="1"/>
  <c r="AD860" i="3" s="1"/>
  <c r="AD861" i="3" a="1"/>
  <c r="AD861" i="3" s="1"/>
  <c r="AD862" i="3" a="1"/>
  <c r="AD862" i="3" s="1"/>
  <c r="AD863" i="3" a="1"/>
  <c r="AD863" i="3"/>
  <c r="AD864" i="3" a="1"/>
  <c r="AD864" i="3"/>
  <c r="AD865" i="3" a="1"/>
  <c r="AD865" i="3"/>
  <c r="AD866" i="3" a="1"/>
  <c r="AD866" i="3" s="1"/>
  <c r="AD867" i="3" a="1"/>
  <c r="AD867" i="3" s="1"/>
  <c r="AD868" i="3" a="1"/>
  <c r="AD868" i="3"/>
  <c r="AD869" i="3" a="1"/>
  <c r="AD869" i="3"/>
  <c r="AD870" i="3" a="1"/>
  <c r="AD870" i="3" s="1"/>
  <c r="AD871" i="3" a="1"/>
  <c r="AD871" i="3" s="1"/>
  <c r="AD872" i="3" a="1"/>
  <c r="AD872" i="3" s="1"/>
  <c r="AD873" i="3" a="1"/>
  <c r="AD873" i="3" s="1"/>
  <c r="AD874" i="3" a="1"/>
  <c r="AD874" i="3" s="1"/>
  <c r="AD875" i="3" a="1"/>
  <c r="AD875" i="3"/>
  <c r="AD876" i="3" a="1"/>
  <c r="AD876" i="3" s="1"/>
  <c r="AD877" i="3" a="1"/>
  <c r="AD877" i="3" s="1"/>
  <c r="AD878" i="3" a="1"/>
  <c r="AD878" i="3" s="1"/>
  <c r="AD879" i="3" a="1"/>
  <c r="AD879" i="3" s="1"/>
  <c r="AD880" i="3" a="1"/>
  <c r="AD880" i="3"/>
  <c r="AD881" i="3" a="1"/>
  <c r="AD881" i="3"/>
  <c r="AD882" i="3" a="1"/>
  <c r="AD882" i="3"/>
  <c r="AD883" i="3" a="1"/>
  <c r="AD883" i="3" s="1"/>
  <c r="AD884" i="3" a="1"/>
  <c r="AD884" i="3" s="1"/>
  <c r="AD885" i="3" a="1"/>
  <c r="AD885" i="3"/>
  <c r="AD886" i="3" a="1"/>
  <c r="AD886" i="3" s="1"/>
  <c r="AD887" i="3" a="1"/>
  <c r="AD887" i="3" s="1"/>
  <c r="AD888" i="3" a="1"/>
  <c r="AD888" i="3" s="1"/>
  <c r="AD889" i="3" a="1"/>
  <c r="AD889" i="3" s="1"/>
  <c r="AD890" i="3" a="1"/>
  <c r="AD890" i="3" s="1"/>
  <c r="AD891" i="3" a="1"/>
  <c r="AD891" i="3"/>
  <c r="AD892" i="3" a="1"/>
  <c r="AD892" i="3"/>
  <c r="AD893" i="3" a="1"/>
  <c r="AD893" i="3" s="1"/>
  <c r="AD894" i="3" a="1"/>
  <c r="AD894" i="3" s="1"/>
  <c r="AD895" i="3" a="1"/>
  <c r="AD895" i="3"/>
  <c r="AD896" i="3" a="1"/>
  <c r="AD896" i="3" s="1"/>
  <c r="AD897" i="3" a="1"/>
  <c r="AD897" i="3"/>
  <c r="AD898" i="3" a="1"/>
  <c r="AD898" i="3"/>
  <c r="AD899" i="3" a="1"/>
  <c r="AD899" i="3"/>
  <c r="AD900" i="3" a="1"/>
  <c r="AD900" i="3"/>
  <c r="AD901" i="3" a="1"/>
  <c r="AD901" i="3" s="1"/>
  <c r="AD902" i="3" a="1"/>
  <c r="AD902" i="3" s="1"/>
  <c r="AD903" i="3" a="1"/>
  <c r="AD903" i="3" s="1"/>
  <c r="AD904" i="3" a="1"/>
  <c r="AD904" i="3" s="1"/>
  <c r="AD905" i="3" a="1"/>
  <c r="AD905" i="3" s="1"/>
  <c r="AD906" i="3" a="1"/>
  <c r="AD906" i="3" s="1"/>
  <c r="AD907" i="3" a="1"/>
  <c r="AD907" i="3" s="1"/>
  <c r="AD908" i="3" a="1"/>
  <c r="AD908" i="3"/>
  <c r="AD909" i="3" a="1"/>
  <c r="AD909" i="3"/>
  <c r="AD910" i="3" a="1"/>
  <c r="AD910" i="3" s="1"/>
  <c r="AD911" i="3" a="1"/>
  <c r="AD911" i="3"/>
  <c r="AD912" i="3" a="1"/>
  <c r="AD912" i="3"/>
  <c r="AD913" i="3" a="1"/>
  <c r="AD913" i="3" s="1"/>
  <c r="AD914" i="3" a="1"/>
  <c r="AD914" i="3"/>
  <c r="AD915" i="3" a="1"/>
  <c r="AD915" i="3"/>
  <c r="AD916" i="3" a="1"/>
  <c r="AD916" i="3"/>
  <c r="AD917" i="3" a="1"/>
  <c r="AD917" i="3"/>
  <c r="AD918" i="3" a="1"/>
  <c r="AD918" i="3" s="1"/>
  <c r="AD919" i="3" a="1"/>
  <c r="AD919" i="3" s="1"/>
  <c r="AD920" i="3" a="1"/>
  <c r="AD920" i="3" s="1"/>
  <c r="AD921" i="3" a="1"/>
  <c r="AD921" i="3" s="1"/>
  <c r="AD922" i="3" a="1"/>
  <c r="AD922" i="3" s="1"/>
  <c r="AD923" i="3" a="1"/>
  <c r="AD923" i="3" s="1"/>
  <c r="AD924" i="3" a="1"/>
  <c r="AD924" i="3" s="1"/>
  <c r="AD925" i="3" a="1"/>
  <c r="AD925" i="3"/>
  <c r="AD926" i="3" a="1"/>
  <c r="AD926" i="3" s="1"/>
  <c r="AD927" i="3" a="1"/>
  <c r="AD927" i="3"/>
  <c r="AD928" i="3" a="1"/>
  <c r="AD928" i="3"/>
  <c r="AD929" i="3" a="1"/>
  <c r="AD929" i="3"/>
  <c r="AD930" i="3" a="1"/>
  <c r="AD930" i="3" s="1"/>
  <c r="AD931" i="3" a="1"/>
  <c r="AD931" i="3"/>
  <c r="AD932" i="3" a="1"/>
  <c r="AD932" i="3"/>
  <c r="AD933" i="3" a="1"/>
  <c r="AD933" i="3"/>
  <c r="AD934" i="3" a="1"/>
  <c r="AD934" i="3" s="1"/>
  <c r="AD935" i="3" a="1"/>
  <c r="AD935" i="3"/>
  <c r="AD936" i="3" a="1"/>
  <c r="AD936" i="3" s="1"/>
  <c r="AD937" i="3" a="1"/>
  <c r="AD937" i="3" s="1"/>
  <c r="AD938" i="3" a="1"/>
  <c r="AD938" i="3" s="1"/>
  <c r="AD939" i="3" a="1"/>
  <c r="AD939" i="3" s="1"/>
  <c r="AD940" i="3" a="1"/>
  <c r="AD940" i="3" s="1"/>
  <c r="AD941" i="3" a="1"/>
  <c r="AD941" i="3" s="1"/>
  <c r="AD942" i="3" a="1"/>
  <c r="AD942" i="3" s="1"/>
  <c r="AD943" i="3" a="1"/>
  <c r="AD943" i="3"/>
  <c r="AD944" i="3" a="1"/>
  <c r="AD944" i="3"/>
  <c r="AD945" i="3" a="1"/>
  <c r="AD945" i="3"/>
  <c r="AD946" i="3" a="1"/>
  <c r="AD946" i="3"/>
  <c r="AD947" i="3" a="1"/>
  <c r="AD947" i="3" s="1"/>
  <c r="AD948" i="3" a="1"/>
  <c r="AD948" i="3"/>
  <c r="AD949" i="3" a="1"/>
  <c r="AD949" i="3"/>
  <c r="AD950" i="3" a="1"/>
  <c r="AD950" i="3" s="1"/>
  <c r="AD951" i="3" a="1"/>
  <c r="AD951" i="3"/>
  <c r="AD952" i="3" a="1"/>
  <c r="AD952" i="3"/>
  <c r="AD953" i="3" a="1"/>
  <c r="AD953" i="3" s="1"/>
  <c r="AD954" i="3" a="1"/>
  <c r="AD954" i="3" s="1"/>
  <c r="AD955" i="3" a="1"/>
  <c r="AD955" i="3" s="1"/>
  <c r="AD956" i="3" a="1"/>
  <c r="AD956" i="3" s="1"/>
  <c r="AD957" i="3" a="1"/>
  <c r="AD957" i="3" s="1"/>
  <c r="AD958" i="3" a="1"/>
  <c r="AD958" i="3" s="1"/>
  <c r="AD959" i="3" a="1"/>
  <c r="AD959" i="3"/>
  <c r="AD960" i="3" a="1"/>
  <c r="AD960" i="3"/>
  <c r="AD961" i="3" a="1"/>
  <c r="AD961" i="3" s="1"/>
  <c r="AD962" i="3" a="1"/>
  <c r="AD962" i="3" s="1"/>
  <c r="AD963" i="3" a="1"/>
  <c r="AD963" i="3" s="1"/>
  <c r="AD964" i="3" a="1"/>
  <c r="AD964" i="3" s="1"/>
  <c r="AD965" i="3" a="1"/>
  <c r="AD965" i="3" s="1"/>
  <c r="AD966" i="3" a="1"/>
  <c r="AD966" i="3" s="1"/>
  <c r="AD967" i="3" a="1"/>
  <c r="AD967" i="3"/>
  <c r="AD968" i="3" a="1"/>
  <c r="AD968" i="3"/>
  <c r="AD969" i="3" a="1"/>
  <c r="AD969" i="3" s="1"/>
  <c r="AD970" i="3" a="1"/>
  <c r="AD970" i="3" s="1"/>
  <c r="AD971" i="3" a="1"/>
  <c r="AD971" i="3" s="1"/>
  <c r="AD972" i="3" a="1"/>
  <c r="AD972" i="3" s="1"/>
  <c r="AD973" i="3" a="1"/>
  <c r="AD973" i="3" s="1"/>
  <c r="AD974" i="3" a="1"/>
  <c r="AD974" i="3" s="1"/>
  <c r="AD975" i="3" a="1"/>
  <c r="AD975" i="3"/>
  <c r="AD976" i="3" a="1"/>
  <c r="AD976" i="3"/>
  <c r="AD977" i="3" a="1"/>
  <c r="AD977" i="3" s="1"/>
  <c r="AD978" i="3" a="1"/>
  <c r="AD978" i="3" s="1"/>
  <c r="AD979" i="3" a="1"/>
  <c r="AD979" i="3" s="1"/>
  <c r="AD980" i="3" a="1"/>
  <c r="AD980" i="3" s="1"/>
  <c r="AD981" i="3" a="1"/>
  <c r="AD981" i="3" s="1"/>
  <c r="AD982" i="3" a="1"/>
  <c r="AD982" i="3" s="1"/>
  <c r="AD983" i="3" a="1"/>
  <c r="AD983" i="3"/>
  <c r="AD984" i="3" a="1"/>
  <c r="AD984" i="3"/>
  <c r="AD985" i="3" a="1"/>
  <c r="AD985" i="3" s="1"/>
  <c r="AD986" i="3" a="1"/>
  <c r="AD986" i="3" s="1"/>
  <c r="AD987" i="3" a="1"/>
  <c r="AD987" i="3" s="1"/>
  <c r="AD988" i="3" a="1"/>
  <c r="AD988" i="3" s="1"/>
  <c r="AD989" i="3" a="1"/>
  <c r="AD989" i="3" s="1"/>
  <c r="AD990" i="3" a="1"/>
  <c r="AD990" i="3" s="1"/>
  <c r="AD991" i="3" a="1"/>
  <c r="AD991" i="3"/>
  <c r="AD992" i="3" a="1"/>
  <c r="AD992" i="3" s="1"/>
  <c r="AD993" i="3" a="1"/>
  <c r="AD993" i="3"/>
  <c r="AD994" i="3" a="1"/>
  <c r="AD994" i="3"/>
  <c r="AD995" i="3" a="1"/>
  <c r="AD995" i="3"/>
  <c r="AD996" i="3" a="1"/>
  <c r="AD996" i="3" s="1"/>
  <c r="AD997" i="3" a="1"/>
  <c r="AD997" i="3"/>
  <c r="AD998" i="3" a="1"/>
  <c r="AD998" i="3"/>
  <c r="AD999" i="3" a="1"/>
  <c r="AD999" i="3"/>
  <c r="AD1000" i="3" a="1"/>
  <c r="AD1000" i="3" s="1"/>
  <c r="AD1001" i="3" a="1"/>
  <c r="AD1001" i="3"/>
  <c r="AD1002" i="3" a="1"/>
  <c r="AD1002" i="3" s="1"/>
  <c r="AD1003" i="3" a="1"/>
  <c r="AD1003" i="3" s="1"/>
  <c r="AD1004" i="3" a="1"/>
  <c r="AD1004" i="3"/>
  <c r="AD1005" i="3" a="1"/>
  <c r="AD1005" i="3" s="1"/>
  <c r="AD1006" i="3" a="1"/>
  <c r="AD1006" i="3" s="1"/>
  <c r="AD1007" i="3" a="1"/>
  <c r="AD1007" i="3" s="1"/>
  <c r="AD1008" i="3" a="1"/>
  <c r="AD1008" i="3" s="1"/>
  <c r="AD1009" i="3" a="1"/>
  <c r="AD1009" i="3"/>
  <c r="AD1010" i="3" a="1"/>
  <c r="AD1010" i="3"/>
  <c r="AD1011" i="3" a="1"/>
  <c r="AD1011" i="3"/>
  <c r="AD1012" i="3" a="1"/>
  <c r="AD1012" i="3"/>
  <c r="AD1013" i="3" a="1"/>
  <c r="AD1013" i="3" s="1"/>
  <c r="AD1014" i="3" a="1"/>
  <c r="AD1014" i="3"/>
  <c r="AD1015" i="3" a="1"/>
  <c r="AD1015" i="3"/>
  <c r="AD1016" i="3" a="1"/>
  <c r="AD1016" i="3" s="1"/>
  <c r="AD1017" i="3" a="1"/>
  <c r="AD1017" i="3"/>
  <c r="AD1018" i="3" a="1"/>
  <c r="AD1018" i="3"/>
  <c r="AD1019" i="3" a="1"/>
  <c r="AD1019" i="3" s="1"/>
  <c r="AD1020" i="3" a="1"/>
  <c r="AD1020" i="3" s="1"/>
  <c r="AD1021" i="3" a="1"/>
  <c r="AD1021" i="3"/>
  <c r="AD1022" i="3" a="1"/>
  <c r="AD1022" i="3" s="1"/>
  <c r="AD1023" i="3" a="1"/>
  <c r="AD1023" i="3" s="1"/>
  <c r="AD1024" i="3" a="1"/>
  <c r="AD1024" i="3" s="1"/>
  <c r="AD1025" i="3" a="1"/>
  <c r="AD1025" i="3"/>
  <c r="AD1026" i="3" a="1"/>
  <c r="AD1026" i="3"/>
  <c r="AD1027" i="3" a="1"/>
  <c r="AD1027" i="3"/>
  <c r="AD1028" i="3" a="1"/>
  <c r="AD1028" i="3"/>
  <c r="AD1029" i="3" a="1"/>
  <c r="AD1029" i="3"/>
  <c r="AD1030" i="3" a="1"/>
  <c r="AD1030" i="3" s="1"/>
  <c r="AD1031" i="3" a="1"/>
  <c r="AD1031" i="3"/>
  <c r="AD1032" i="3" a="1"/>
  <c r="AD1032" i="3" s="1"/>
  <c r="AD1033" i="3" a="1"/>
  <c r="AD1033" i="3" s="1"/>
  <c r="AD1034" i="3" a="1"/>
  <c r="AD1034" i="3"/>
  <c r="AD1035" i="3" a="1"/>
  <c r="AD1035" i="3"/>
  <c r="AD1036" i="3" a="1"/>
  <c r="AD1036" i="3" s="1"/>
  <c r="AD1037" i="3" a="1"/>
  <c r="AD1037" i="3" s="1"/>
  <c r="AD1038" i="3" a="1"/>
  <c r="AD1038" i="3"/>
  <c r="AD1039" i="3" a="1"/>
  <c r="AD1039" i="3" s="1"/>
  <c r="AD1040" i="3" a="1"/>
  <c r="AD1040" i="3" s="1"/>
  <c r="AD1041" i="3" a="1"/>
  <c r="AD1041" i="3"/>
  <c r="AD1042" i="3" a="1"/>
  <c r="AD1042" i="3"/>
  <c r="AD1043" i="3" a="1"/>
  <c r="AD1043" i="3"/>
  <c r="AD1044" i="3" a="1"/>
  <c r="AD1044" i="3"/>
  <c r="AD1045" i="3" a="1"/>
  <c r="AD1045" i="3"/>
  <c r="AD1046" i="3" a="1"/>
  <c r="AD1046" i="3"/>
  <c r="AD1047" i="3" a="1"/>
  <c r="AD1047" i="3" s="1"/>
  <c r="AD1048" i="3" a="1"/>
  <c r="AD1048" i="3" s="1"/>
  <c r="AD1049" i="3" a="1"/>
  <c r="AD1049" i="3" s="1"/>
  <c r="AD1050" i="3" a="1"/>
  <c r="AD1050" i="3" s="1"/>
  <c r="AD1051" i="3" a="1"/>
  <c r="AD1051" i="3"/>
  <c r="AD1052" i="3" a="1"/>
  <c r="AD1052" i="3"/>
  <c r="AD1053" i="3" a="1"/>
  <c r="AD1053" i="3" s="1"/>
  <c r="AD1054" i="3" a="1"/>
  <c r="AD1054" i="3" s="1"/>
  <c r="AD1055" i="3" a="1"/>
  <c r="AD1055" i="3"/>
  <c r="AD1056" i="3" a="1"/>
  <c r="AD1056" i="3" s="1"/>
  <c r="AD1057" i="3" a="1"/>
  <c r="AD1057" i="3"/>
  <c r="AD1058" i="3" a="1"/>
  <c r="AD1058" i="3"/>
  <c r="AD1059" i="3" a="1"/>
  <c r="AD1059" i="3"/>
  <c r="AD1060" i="3" a="1"/>
  <c r="AD1060" i="3"/>
  <c r="AD1061" i="3" a="1"/>
  <c r="AD1061" i="3"/>
  <c r="AD1062" i="3" a="1"/>
  <c r="AD1062" i="3"/>
  <c r="AD1063" i="3" a="1"/>
  <c r="AD1063" i="3"/>
  <c r="AD1064" i="3" a="1"/>
  <c r="AD1064" i="3" s="1"/>
  <c r="AD1065" i="3" a="1"/>
  <c r="AD1065" i="3" s="1"/>
  <c r="AD1066" i="3" a="1"/>
  <c r="AD1066" i="3" s="1"/>
  <c r="AD1067" i="3" a="1"/>
  <c r="AD1067" i="3" s="1"/>
  <c r="AD1068" i="3" a="1"/>
  <c r="AD1068" i="3"/>
  <c r="AD1069" i="3" a="1"/>
  <c r="AD1069" i="3"/>
  <c r="AD1070" i="3" a="1"/>
  <c r="AD1070" i="3" s="1"/>
  <c r="AD1071" i="3" a="1"/>
  <c r="AD1071" i="3" s="1"/>
  <c r="AD1072" i="3" a="1"/>
  <c r="AD1072" i="3" s="1"/>
  <c r="AD1073" i="3" a="1"/>
  <c r="AD1073" i="3"/>
  <c r="AD1074" i="3" a="1"/>
  <c r="AD1074" i="3"/>
  <c r="AD1075" i="3" a="1"/>
  <c r="AD1075" i="3"/>
  <c r="AD1076" i="3" a="1"/>
  <c r="AD1076" i="3"/>
  <c r="AD1077" i="3" a="1"/>
  <c r="AD1077" i="3"/>
  <c r="AD1078" i="3" a="1"/>
  <c r="AD1078" i="3"/>
  <c r="AD1079" i="3" a="1"/>
  <c r="AD1079" i="3"/>
  <c r="AD1080" i="3" a="1"/>
  <c r="AD1080" i="3" s="1"/>
  <c r="AD1081" i="3" a="1"/>
  <c r="AD1081" i="3"/>
  <c r="AD1082" i="3" a="1"/>
  <c r="AD1082" i="3" s="1"/>
  <c r="AD1083" i="3" a="1"/>
  <c r="AD1083" i="3" s="1"/>
  <c r="AD1084" i="3" a="1"/>
  <c r="AD1084" i="3" s="1"/>
  <c r="AD1085" i="3" a="1"/>
  <c r="AD1085" i="3"/>
  <c r="AD1086" i="3" a="1"/>
  <c r="AD1086" i="3"/>
  <c r="AD1087" i="3" a="1"/>
  <c r="AD1087" i="3" s="1"/>
  <c r="AD1088" i="3" a="1"/>
  <c r="AD1088" i="3" s="1"/>
  <c r="AD1089" i="3" a="1"/>
  <c r="AD1089" i="3"/>
  <c r="AD1090" i="3" a="1"/>
  <c r="AD1090" i="3"/>
  <c r="AD1091" i="3" a="1"/>
  <c r="AD1091" i="3"/>
  <c r="AD1092" i="3" a="1"/>
  <c r="AD1092" i="3"/>
  <c r="AD1093" i="3" a="1"/>
  <c r="AD1093" i="3"/>
  <c r="AD1094" i="3" a="1"/>
  <c r="AD1094" i="3"/>
  <c r="AD1095" i="3" a="1"/>
  <c r="AD1095" i="3"/>
  <c r="AD1096" i="3" a="1"/>
  <c r="AD1096" i="3" s="1"/>
  <c r="AD1097" i="3" a="1"/>
  <c r="AD1097" i="3" s="1"/>
  <c r="AD1098" i="3" a="1"/>
  <c r="AD1098" i="3"/>
  <c r="AD1099" i="3" a="1"/>
  <c r="AD1099" i="3" s="1"/>
  <c r="AD1100" i="3" a="1"/>
  <c r="AD1100" i="3" s="1"/>
  <c r="AD1101" i="3" a="1"/>
  <c r="AD1101" i="3" s="1"/>
  <c r="AD1102" i="3" a="1"/>
  <c r="AD1102" i="3"/>
  <c r="AD1103" i="3" a="1"/>
  <c r="AD1103" i="3"/>
  <c r="AD1104" i="3" a="1"/>
  <c r="AD1104" i="3" s="1"/>
  <c r="AD1105" i="3" a="1"/>
  <c r="AD1105" i="3"/>
  <c r="AD1106" i="3" a="1"/>
  <c r="AD1106" i="3"/>
  <c r="AD1107" i="3" a="1"/>
  <c r="AD1107" i="3"/>
  <c r="AD1108" i="3" a="1"/>
  <c r="AD1108" i="3"/>
  <c r="AD1109" i="3" a="1"/>
  <c r="AD1109" i="3"/>
  <c r="AD1110" i="3" a="1"/>
  <c r="AD1110" i="3"/>
  <c r="AD1111" i="3" a="1"/>
  <c r="AD1111" i="3"/>
  <c r="AD1112" i="3" a="1"/>
  <c r="AD1112" i="3" s="1"/>
  <c r="AD1113" i="3" a="1"/>
  <c r="AD1113" i="3" s="1"/>
  <c r="AD1114" i="3" a="1"/>
  <c r="AD1114" i="3" s="1"/>
  <c r="AD1115" i="3" a="1"/>
  <c r="AD1115" i="3"/>
  <c r="AD1116" i="3" a="1"/>
  <c r="AD1116" i="3" s="1"/>
  <c r="AD1117" i="3" a="1"/>
  <c r="AD1117" i="3" s="1"/>
  <c r="AD1118" i="3" a="1"/>
  <c r="AD1118" i="3" s="1"/>
  <c r="AD1119" i="3" a="1"/>
  <c r="AD1119" i="3"/>
  <c r="AD1120" i="3" a="1"/>
  <c r="AD1120" i="3" s="1"/>
  <c r="AD1121" i="3" a="1"/>
  <c r="AD1121" i="3"/>
  <c r="AD1122" i="3" a="1"/>
  <c r="AD1122" i="3"/>
  <c r="AD1123" i="3" a="1"/>
  <c r="AD1123" i="3"/>
  <c r="AD1124" i="3" a="1"/>
  <c r="AD1124" i="3"/>
  <c r="AD1125" i="3" a="1"/>
  <c r="AD1125" i="3"/>
  <c r="AD1126" i="3" a="1"/>
  <c r="AD1126" i="3"/>
  <c r="AD1127" i="3" a="1"/>
  <c r="AD1127" i="3"/>
  <c r="AD1128" i="3" a="1"/>
  <c r="AD1128" i="3" s="1"/>
  <c r="AD1129" i="3" a="1"/>
  <c r="AD1129" i="3"/>
  <c r="AD1130" i="3" a="1"/>
  <c r="AD1130" i="3" s="1"/>
  <c r="AD1131" i="3" a="1"/>
  <c r="AD1131" i="3" s="1"/>
  <c r="AD1132" i="3" a="1"/>
  <c r="AD1132" i="3"/>
  <c r="AD1133" i="3" a="1"/>
  <c r="AD1133" i="3" s="1"/>
  <c r="AD1134" i="3" a="1"/>
  <c r="AD1134" i="3" s="1"/>
  <c r="AD1135" i="3" a="1"/>
  <c r="AD1135" i="3" s="1"/>
  <c r="AD1136" i="3" a="1"/>
  <c r="AD1136" i="3" s="1"/>
  <c r="AD1137" i="3" a="1"/>
  <c r="AD1137" i="3"/>
  <c r="AD1138" i="3" a="1"/>
  <c r="AD1138" i="3"/>
  <c r="AD1139" i="3" a="1"/>
  <c r="AD1139" i="3"/>
  <c r="AD1140" i="3" a="1"/>
  <c r="AD1140" i="3"/>
  <c r="AD1141" i="3" a="1"/>
  <c r="AD1141" i="3"/>
  <c r="AD1142" i="3" a="1"/>
  <c r="AD1142" i="3"/>
  <c r="AD1143" i="3" a="1"/>
  <c r="AD1143" i="3"/>
  <c r="AD1144" i="3" a="1"/>
  <c r="AD1144" i="3" s="1"/>
  <c r="AD1145" i="3" a="1"/>
  <c r="AD1145" i="3"/>
  <c r="AD1146" i="3" a="1"/>
  <c r="AD1146" i="3"/>
  <c r="AD1147" i="3" a="1"/>
  <c r="AD1147" i="3" s="1"/>
  <c r="AD1148" i="3" a="1"/>
  <c r="AD1148" i="3" s="1"/>
  <c r="AD1149" i="3" a="1"/>
  <c r="AD1149" i="3"/>
  <c r="AD1150" i="3" a="1"/>
  <c r="AD1150" i="3" s="1"/>
  <c r="AD1151" i="3" a="1"/>
  <c r="AD1151" i="3" s="1"/>
  <c r="AD1152" i="3" a="1"/>
  <c r="AD1152" i="3" s="1"/>
  <c r="AD1153" i="3" a="1"/>
  <c r="AD1153" i="3"/>
  <c r="AD1154" i="3" a="1"/>
  <c r="AD1154" i="3"/>
  <c r="AD1155" i="3" a="1"/>
  <c r="AD1155" i="3"/>
  <c r="AD1156" i="3" a="1"/>
  <c r="AD1156" i="3"/>
  <c r="AD1157" i="3" a="1"/>
  <c r="AD1157" i="3"/>
  <c r="AD1158" i="3" a="1"/>
  <c r="AD1158" i="3"/>
  <c r="AD1159" i="3" a="1"/>
  <c r="AD1159" i="3"/>
  <c r="AD1160" i="3" a="1"/>
  <c r="AD1160" i="3" s="1"/>
  <c r="AD1161" i="3" a="1"/>
  <c r="AD1161" i="3" s="1"/>
  <c r="AD1162" i="3" a="1"/>
  <c r="AD1162" i="3"/>
  <c r="AD1163" i="3" a="1"/>
  <c r="AD1163" i="3"/>
  <c r="AD1164" i="3" a="1"/>
  <c r="AD1164" i="3" s="1"/>
  <c r="AD1165" i="3" a="1"/>
  <c r="AD1165" i="3" s="1"/>
  <c r="AD1166" i="3" a="1"/>
  <c r="AD1166" i="3"/>
  <c r="AD1167" i="3" a="1"/>
  <c r="AD1167" i="3" s="1"/>
  <c r="AD1168" i="3" a="1"/>
  <c r="AD1168" i="3" s="1"/>
  <c r="AD1169" i="3" a="1"/>
  <c r="AD1169" i="3"/>
  <c r="AD1170" i="3" a="1"/>
  <c r="AD1170" i="3"/>
  <c r="AD1171" i="3" a="1"/>
  <c r="AD1171" i="3"/>
  <c r="AD1172" i="3" a="1"/>
  <c r="AD1172" i="3"/>
  <c r="AD1173" i="3" a="1"/>
  <c r="AD1173" i="3"/>
  <c r="AD1174" i="3" a="1"/>
  <c r="AD1174" i="3"/>
  <c r="AD1175" i="3" a="1"/>
  <c r="AD1175" i="3"/>
  <c r="AD1176" i="3" a="1"/>
  <c r="AD1176" i="3" s="1"/>
  <c r="AD1177" i="3" a="1"/>
  <c r="AD1177" i="3" s="1"/>
  <c r="AD1178" i="3" a="1"/>
  <c r="AD1178" i="3" s="1"/>
  <c r="AD1179" i="3" a="1"/>
  <c r="AD1179" i="3"/>
  <c r="AD1180" i="3" a="1"/>
  <c r="AD1180" i="3"/>
  <c r="AD1181" i="3" a="1"/>
  <c r="AD1181" i="3" s="1"/>
  <c r="AD1182" i="3" a="1"/>
  <c r="AD1182" i="3" s="1"/>
  <c r="AD1183" i="3" a="1"/>
  <c r="AD1183" i="3"/>
  <c r="AD1184" i="3" a="1"/>
  <c r="AD1184" i="3" s="1"/>
  <c r="AD1185" i="3" a="1"/>
  <c r="AD1185" i="3"/>
  <c r="AD1186" i="3" a="1"/>
  <c r="AD1186" i="3"/>
  <c r="AD1187" i="3" a="1"/>
  <c r="AD1187" i="3"/>
  <c r="AD1188" i="3" a="1"/>
  <c r="AD1188" i="3"/>
  <c r="AD1189" i="3" a="1"/>
  <c r="AD1189" i="3"/>
  <c r="AD1190" i="3" a="1"/>
  <c r="AD1190" i="3"/>
  <c r="AD1191" i="3" a="1"/>
  <c r="AD1191" i="3"/>
  <c r="AD1192" i="3" a="1"/>
  <c r="AD1192" i="3" s="1"/>
  <c r="AD1193" i="3" a="1"/>
  <c r="AD1193" i="3" s="1"/>
  <c r="AD1194" i="3" a="1"/>
  <c r="AD1194" i="3" s="1"/>
  <c r="AD1195" i="3" a="1"/>
  <c r="AD1195" i="3" s="1"/>
  <c r="AD1196" i="3" a="1"/>
  <c r="AD1196" i="3"/>
  <c r="AD1197" i="3" a="1"/>
  <c r="AD1197" i="3"/>
  <c r="AD1198" i="3" a="1"/>
  <c r="AD1198" i="3" s="1"/>
  <c r="AD1199" i="3" a="1"/>
  <c r="AD1199" i="3" s="1"/>
  <c r="AD1200" i="3" a="1"/>
  <c r="AD1200" i="3" s="1"/>
  <c r="AD1201" i="3" a="1"/>
  <c r="AD1201" i="3"/>
  <c r="AD1202" i="3" a="1"/>
  <c r="AD1202" i="3"/>
  <c r="AD1203" i="3" a="1"/>
  <c r="AD1203" i="3"/>
  <c r="AD1204" i="3" a="1"/>
  <c r="AD1204" i="3"/>
  <c r="AD1205" i="3" a="1"/>
  <c r="AD1205" i="3"/>
  <c r="AD1206" i="3" a="1"/>
  <c r="AD1206" i="3"/>
  <c r="AD1207" i="3" a="1"/>
  <c r="AD1207" i="3"/>
  <c r="AD1208" i="3" a="1"/>
  <c r="AD1208" i="3" s="1"/>
  <c r="AD1209" i="3" a="1"/>
  <c r="AD1209" i="3"/>
  <c r="AD1210" i="3" a="1"/>
  <c r="AD1210" i="3" s="1"/>
  <c r="AD1211" i="3" a="1"/>
  <c r="AD1211" i="3" s="1"/>
  <c r="AD1212" i="3" a="1"/>
  <c r="AD1212" i="3" s="1"/>
  <c r="AD1213" i="3" a="1"/>
  <c r="AD1213" i="3"/>
  <c r="AD1214" i="3" a="1"/>
  <c r="AD1214" i="3"/>
  <c r="AD1215" i="3" a="1"/>
  <c r="AD1215" i="3" s="1"/>
  <c r="AD1216" i="3" a="1"/>
  <c r="AD1216" i="3" s="1"/>
  <c r="AD1217" i="3" a="1"/>
  <c r="AD1217" i="3"/>
  <c r="AD1218" i="3" a="1"/>
  <c r="AD1218" i="3"/>
  <c r="AD1219" i="3" a="1"/>
  <c r="AD1219" i="3"/>
  <c r="AD1220" i="3" a="1"/>
  <c r="AD1220" i="3"/>
  <c r="AD1221" i="3" a="1"/>
  <c r="AD1221" i="3"/>
  <c r="AD1222" i="3" a="1"/>
  <c r="AD1222" i="3"/>
  <c r="AD1223" i="3" a="1"/>
  <c r="AD1223" i="3"/>
  <c r="AD1224" i="3" a="1"/>
  <c r="AD1224" i="3" s="1"/>
  <c r="AD1225" i="3" a="1"/>
  <c r="AD1225" i="3" s="1"/>
  <c r="AD1226" i="3" a="1"/>
  <c r="AD1226" i="3"/>
  <c r="AD1227" i="3" a="1"/>
  <c r="AD1227" i="3" s="1"/>
  <c r="AD1228" i="3" a="1"/>
  <c r="AD1228" i="3" s="1"/>
  <c r="AD1229" i="3" a="1"/>
  <c r="AD1229" i="3" s="1"/>
  <c r="AD1230" i="3" a="1"/>
  <c r="AD1230" i="3"/>
  <c r="AD1231" i="3" a="1"/>
  <c r="AD1231" i="3"/>
  <c r="AD1232" i="3" a="1"/>
  <c r="AD1232" i="3" s="1"/>
  <c r="AD1233" i="3" a="1"/>
  <c r="AD1233" i="3"/>
  <c r="AD1234" i="3" a="1"/>
  <c r="AD1234" i="3"/>
  <c r="AD1235" i="3" a="1"/>
  <c r="AD1235" i="3"/>
  <c r="AD1236" i="3" a="1"/>
  <c r="AD1236" i="3"/>
  <c r="AD1237" i="3" a="1"/>
  <c r="AD1237" i="3"/>
  <c r="AD1238" i="3" a="1"/>
  <c r="AD1238" i="3"/>
  <c r="AD1239" i="3" a="1"/>
  <c r="AD1239" i="3"/>
  <c r="AD1240" i="3" a="1"/>
  <c r="AD1240" i="3" s="1"/>
  <c r="AD1241" i="3" a="1"/>
  <c r="AD1241" i="3" s="1"/>
  <c r="AD1242" i="3" a="1"/>
  <c r="AD1242" i="3" s="1"/>
  <c r="AD1243" i="3" a="1"/>
  <c r="AD1243" i="3"/>
  <c r="AD1244" i="3" a="1"/>
  <c r="AD1244" i="3" s="1"/>
  <c r="AD1245" i="3" a="1"/>
  <c r="AD1245" i="3" s="1"/>
  <c r="AD1246" i="3" a="1"/>
  <c r="AD1246" i="3" s="1"/>
  <c r="AD1247" i="3" a="1"/>
  <c r="AD1247" i="3"/>
  <c r="AD1248" i="3" a="1"/>
  <c r="AD1248" i="3" s="1"/>
  <c r="AD1249" i="3" a="1"/>
  <c r="AD1249" i="3"/>
  <c r="AD1250" i="3" a="1"/>
  <c r="AD1250" i="3"/>
  <c r="AD1251" i="3" a="1"/>
  <c r="AD1251" i="3"/>
  <c r="AD1252" i="3" a="1"/>
  <c r="AD1252" i="3"/>
  <c r="AD1253" i="3" a="1"/>
  <c r="AD1253" i="3"/>
  <c r="AD1254" i="3" a="1"/>
  <c r="AD1254" i="3"/>
  <c r="AD1255" i="3" a="1"/>
  <c r="AD1255" i="3"/>
  <c r="AD1256" i="3" a="1"/>
  <c r="AD1256" i="3" s="1"/>
  <c r="AD1257" i="3" a="1"/>
  <c r="AD1257" i="3"/>
  <c r="AD1258" i="3" a="1"/>
  <c r="AD1258" i="3" s="1"/>
  <c r="AD1259" i="3" a="1"/>
  <c r="AD1259" i="3" s="1"/>
  <c r="AD1260" i="3" a="1"/>
  <c r="AD1260" i="3"/>
  <c r="AD1261" i="3" a="1"/>
  <c r="AD1261" i="3" s="1"/>
  <c r="AD1262" i="3" a="1"/>
  <c r="AD1262" i="3" s="1"/>
  <c r="AD1263" i="3" a="1"/>
  <c r="AD1263" i="3" s="1"/>
  <c r="AD1264" i="3" a="1"/>
  <c r="AD1264" i="3" s="1"/>
  <c r="AD1265" i="3" a="1"/>
  <c r="AD1265" i="3"/>
  <c r="AD1266" i="3" a="1"/>
  <c r="AD1266" i="3"/>
  <c r="AD1267" i="3" a="1"/>
  <c r="AD1267" i="3"/>
  <c r="AD1268" i="3" a="1"/>
  <c r="AD1268" i="3"/>
  <c r="AD1269" i="3" a="1"/>
  <c r="AD1269" i="3"/>
  <c r="AD1270" i="3" a="1"/>
  <c r="AD1270" i="3"/>
  <c r="AD1271" i="3" a="1"/>
  <c r="AD1271" i="3"/>
  <c r="AD1272" i="3" a="1"/>
  <c r="AD1272" i="3" s="1"/>
  <c r="AD1273" i="3" a="1"/>
  <c r="AD1273" i="3"/>
  <c r="AD1274" i="3" a="1"/>
  <c r="AD1274" i="3"/>
  <c r="AD1275" i="3" a="1"/>
  <c r="AD1275" i="3" s="1"/>
  <c r="AD1276" i="3" a="1"/>
  <c r="AD1276" i="3" s="1"/>
  <c r="AD1277" i="3" a="1"/>
  <c r="AD1277" i="3"/>
  <c r="AD1278" i="3" a="1"/>
  <c r="AD1278" i="3" s="1"/>
  <c r="AD1279" i="3" a="1"/>
  <c r="AD1279" i="3" s="1"/>
  <c r="AD1280" i="3" a="1"/>
  <c r="AD1280" i="3" s="1"/>
  <c r="AD1281" i="3" a="1"/>
  <c r="AD1281" i="3"/>
  <c r="AD1282" i="3" a="1"/>
  <c r="AD1282" i="3"/>
  <c r="AD1283" i="3" a="1"/>
  <c r="AD1283" i="3"/>
  <c r="AD1284" i="3" a="1"/>
  <c r="AD1284" i="3"/>
  <c r="AD1285" i="3" a="1"/>
  <c r="AD1285" i="3"/>
  <c r="AD1286" i="3" a="1"/>
  <c r="AD1286" i="3"/>
  <c r="AD1287" i="3" a="1"/>
  <c r="AD1287" i="3"/>
  <c r="AD1288" i="3" a="1"/>
  <c r="AD1288" i="3" s="1"/>
  <c r="AD1289" i="3" a="1"/>
  <c r="AD1289" i="3" s="1"/>
  <c r="AD1290" i="3" a="1"/>
  <c r="AD1290" i="3"/>
  <c r="AD1291" i="3" a="1"/>
  <c r="AD1291" i="3"/>
  <c r="AD1292" i="3" a="1"/>
  <c r="AD1292" i="3" s="1"/>
  <c r="AD1293" i="3" a="1"/>
  <c r="AD1293" i="3" s="1"/>
  <c r="AD1294" i="3" a="1"/>
  <c r="AD1294" i="3"/>
  <c r="AD1295" i="3" a="1"/>
  <c r="AD1295" i="3" s="1"/>
  <c r="AD1296" i="3" a="1"/>
  <c r="AD1296" i="3" s="1"/>
  <c r="AD1297" i="3" a="1"/>
  <c r="AD1297" i="3"/>
  <c r="AD1298" i="3" a="1"/>
  <c r="AD1298" i="3"/>
  <c r="AD1299" i="3" a="1"/>
  <c r="AD1299" i="3"/>
  <c r="AD1300" i="3" a="1"/>
  <c r="AD1300" i="3"/>
  <c r="AD1301" i="3" a="1"/>
  <c r="AD1301" i="3"/>
  <c r="AD1302" i="3" a="1"/>
  <c r="AD1302" i="3"/>
  <c r="AD1303" i="3" a="1"/>
  <c r="AD1303" i="3"/>
  <c r="AD1304" i="3" a="1"/>
  <c r="AD1304" i="3" s="1"/>
  <c r="AD1305" i="3" a="1"/>
  <c r="AD1305" i="3" s="1"/>
  <c r="AD1306" i="3" a="1"/>
  <c r="AD1306" i="3"/>
  <c r="AD1307" i="3" a="1"/>
  <c r="AD1307" i="3"/>
  <c r="AD1308" i="3" a="1"/>
  <c r="AD1308" i="3"/>
  <c r="AD1309" i="3" a="1"/>
  <c r="AD1309" i="3" s="1"/>
  <c r="AD1310" i="3" a="1"/>
  <c r="AD1310" i="3" s="1"/>
  <c r="AD1311" i="3" a="1"/>
  <c r="AD1311" i="3"/>
  <c r="AD1312" i="3" a="1"/>
  <c r="AD1312" i="3" s="1"/>
  <c r="AD1313" i="3" a="1"/>
  <c r="AD1313" i="3"/>
  <c r="AD1314" i="3" a="1"/>
  <c r="AD1314" i="3"/>
  <c r="AD1315" i="3" a="1"/>
  <c r="AD1315" i="3"/>
  <c r="AD1316" i="3" a="1"/>
  <c r="AD1316" i="3"/>
  <c r="AD1317" i="3" a="1"/>
  <c r="AD1317" i="3"/>
  <c r="AD1318" i="3" a="1"/>
  <c r="AD1318" i="3"/>
  <c r="AD1319" i="3" a="1"/>
  <c r="AD1319" i="3"/>
  <c r="AD1320" i="3" a="1"/>
  <c r="AD1320" i="3" s="1"/>
  <c r="AD1321" i="3" a="1"/>
  <c r="AD1321" i="3" s="1"/>
  <c r="AD1322" i="3" a="1"/>
  <c r="AD1322" i="3" s="1"/>
  <c r="AD1323" i="3" a="1"/>
  <c r="AD1323" i="3"/>
  <c r="AD1324" i="3" a="1"/>
  <c r="AD1324" i="3"/>
  <c r="AD1325" i="3" a="1"/>
  <c r="AD1325" i="3"/>
  <c r="AD1326" i="3" a="1"/>
  <c r="AD1326" i="3" s="1"/>
  <c r="AD1327" i="3" a="1"/>
  <c r="AD1327" i="3" s="1"/>
  <c r="AD1328" i="3" a="1"/>
  <c r="AD1328" i="3" s="1"/>
  <c r="AD1329" i="3" a="1"/>
  <c r="AD1329" i="3"/>
  <c r="AD1330" i="3" a="1"/>
  <c r="AD1330" i="3"/>
  <c r="AD1331" i="3" a="1"/>
  <c r="AD1331" i="3"/>
  <c r="AD1332" i="3" a="1"/>
  <c r="AD1332" i="3"/>
  <c r="AD1333" i="3" a="1"/>
  <c r="AD1333" i="3"/>
  <c r="AD1334" i="3" a="1"/>
  <c r="AD1334" i="3"/>
  <c r="AD1335" i="3" a="1"/>
  <c r="AD1335" i="3"/>
  <c r="AD1336" i="3" a="1"/>
  <c r="AD1336" i="3" s="1"/>
  <c r="AD1337" i="3" a="1"/>
  <c r="AD1337" i="3"/>
  <c r="AD1338" i="3" a="1"/>
  <c r="AD1338" i="3" s="1"/>
  <c r="AD1339" i="3" a="1"/>
  <c r="AD1339" i="3" s="1"/>
  <c r="AD1340" i="3" a="1"/>
  <c r="AD1340" i="3"/>
  <c r="AD1341" i="3" a="1"/>
  <c r="AD1341" i="3"/>
  <c r="AD1342" i="3" a="1"/>
  <c r="AD1342" i="3"/>
  <c r="AD1343" i="3" a="1"/>
  <c r="AD1343" i="3" s="1"/>
  <c r="AD1344" i="3" a="1"/>
  <c r="AD1344" i="3" s="1"/>
  <c r="AD1345" i="3" a="1"/>
  <c r="AD1345" i="3"/>
  <c r="AD1346" i="3" a="1"/>
  <c r="AD1346" i="3"/>
  <c r="AD1347" i="3" a="1"/>
  <c r="AD1347" i="3"/>
  <c r="AD1348" i="3" a="1"/>
  <c r="AD1348" i="3"/>
  <c r="AD1349" i="3" a="1"/>
  <c r="AD1349" i="3"/>
  <c r="AD1350" i="3" a="1"/>
  <c r="AD1350" i="3"/>
  <c r="AD1351" i="3" a="1"/>
  <c r="AD1351" i="3"/>
  <c r="AD1352" i="3" a="1"/>
  <c r="AD1352" i="3" s="1"/>
  <c r="AD1353" i="3" a="1"/>
  <c r="AD1353" i="3" s="1"/>
  <c r="AD1354" i="3" a="1"/>
  <c r="AD1354" i="3"/>
  <c r="AD1355" i="3" a="1"/>
  <c r="AD1355" i="3"/>
  <c r="AD1356" i="3" a="1"/>
  <c r="AD1356" i="3"/>
  <c r="AD1357" i="3" a="1"/>
  <c r="AD1357" i="3"/>
  <c r="AD1358" i="3" a="1"/>
  <c r="AD1358" i="3"/>
  <c r="AD1359" i="3" a="1"/>
  <c r="AD1359" i="3"/>
  <c r="AD1360" i="3" a="1"/>
  <c r="AD1360" i="3" s="1"/>
  <c r="AD1361" i="3" a="1"/>
  <c r="AD1361" i="3"/>
  <c r="AD1362" i="3" a="1"/>
  <c r="AD1362" i="3"/>
  <c r="AD1363" i="3" a="1"/>
  <c r="AD1363" i="3"/>
  <c r="AD1364" i="3" a="1"/>
  <c r="AD1364" i="3"/>
  <c r="AD1365" i="3" a="1"/>
  <c r="AD1365" i="3"/>
  <c r="AD1366" i="3" a="1"/>
  <c r="AD1366" i="3"/>
  <c r="AD1367" i="3" a="1"/>
  <c r="AD1367" i="3"/>
  <c r="AD1368" i="3" a="1"/>
  <c r="AD1368" i="3" s="1"/>
  <c r="AD1369" i="3" a="1"/>
  <c r="AD1369" i="3" s="1"/>
  <c r="AD1370" i="3" a="1"/>
  <c r="AD1370" i="3" s="1"/>
  <c r="AD1371" i="3" a="1"/>
  <c r="AD1371" i="3"/>
  <c r="AD1372" i="3" a="1"/>
  <c r="AD1372" i="3"/>
  <c r="AD1373" i="3" a="1"/>
  <c r="AD1373" i="3"/>
  <c r="AD1374" i="3" a="1"/>
  <c r="AD1374" i="3"/>
  <c r="AD1375" i="3" a="1"/>
  <c r="AD1375" i="3"/>
  <c r="AD1376" i="3" a="1"/>
  <c r="AD1376" i="3" s="1"/>
  <c r="AD1377" i="3" a="1"/>
  <c r="AD1377" i="3"/>
  <c r="AD1378" i="3" a="1"/>
  <c r="AD1378" i="3"/>
  <c r="AD1379" i="3" a="1"/>
  <c r="AD1379" i="3"/>
  <c r="AD1380" i="3" a="1"/>
  <c r="AD1380" i="3"/>
  <c r="AD1381" i="3" a="1"/>
  <c r="AD1381" i="3"/>
  <c r="AD1382" i="3" a="1"/>
  <c r="AD1382" i="3"/>
  <c r="AD1383" i="3" a="1"/>
  <c r="AD1383" i="3"/>
  <c r="AD1384" i="3" a="1"/>
  <c r="AD1384" i="3" s="1"/>
  <c r="AD1385" i="3" a="1"/>
  <c r="AD1385" i="3"/>
  <c r="AD1386" i="3" a="1"/>
  <c r="AD1386" i="3"/>
  <c r="AD1387" i="3" a="1"/>
  <c r="AD1387" i="3" s="1"/>
  <c r="AD1388" i="3" a="1"/>
  <c r="AD1388" i="3"/>
  <c r="AD1389" i="3" a="1"/>
  <c r="AD1389" i="3"/>
  <c r="AD1390" i="3" a="1"/>
  <c r="AD1390" i="3"/>
  <c r="AD1391" i="3" a="1"/>
  <c r="AD1391" i="3"/>
  <c r="AD1392" i="3" a="1"/>
  <c r="AD1392" i="3" s="1"/>
  <c r="AD1393" i="3" a="1"/>
  <c r="AD1393" i="3"/>
  <c r="AD1394" i="3" a="1"/>
  <c r="AD1394" i="3"/>
  <c r="AD1395" i="3" a="1"/>
  <c r="AD1395" i="3"/>
  <c r="AD1396" i="3" a="1"/>
  <c r="AD1396" i="3"/>
  <c r="AD1397" i="3" a="1"/>
  <c r="AD1397" i="3"/>
  <c r="AD1398" i="3" a="1"/>
  <c r="AD1398" i="3"/>
  <c r="AD1399" i="3" a="1"/>
  <c r="AD1399" i="3"/>
  <c r="AD1400" i="3" a="1"/>
  <c r="AD1400" i="3" s="1"/>
  <c r="AD1401" i="3" a="1"/>
  <c r="AD1401" i="3"/>
  <c r="AD1402" i="3" a="1"/>
  <c r="AD1402" i="3"/>
  <c r="AD1403" i="3" a="1"/>
  <c r="AD1403" i="3"/>
  <c r="AD1404" i="3" a="1"/>
  <c r="AD1404" i="3" s="1"/>
  <c r="AD1405" i="3" a="1"/>
  <c r="AD1405" i="3"/>
  <c r="AD1406" i="3" a="1"/>
  <c r="AD1406" i="3"/>
  <c r="AD1407" i="3" a="1"/>
  <c r="AD1407" i="3"/>
  <c r="AD1408" i="3" a="1"/>
  <c r="AD1408" i="3" s="1"/>
  <c r="AD1409" i="3" a="1"/>
  <c r="AD1409" i="3"/>
  <c r="AD1410" i="3" a="1"/>
  <c r="AD1410" i="3"/>
  <c r="AD1411" i="3" a="1"/>
  <c r="AD1411" i="3"/>
  <c r="AD1412" i="3" a="1"/>
  <c r="AD1412" i="3"/>
  <c r="AD1413" i="3" a="1"/>
  <c r="AD1413" i="3"/>
  <c r="AD1414" i="3" a="1"/>
  <c r="AD1414" i="3"/>
  <c r="AD1415" i="3" a="1"/>
  <c r="AD1415" i="3"/>
  <c r="AD1416" i="3" a="1"/>
  <c r="AD1416" i="3" s="1"/>
  <c r="AD1417" i="3" a="1"/>
  <c r="AD1417" i="3"/>
  <c r="AD1418" i="3" a="1"/>
  <c r="AD1418" i="3"/>
  <c r="AD1419" i="3" a="1"/>
  <c r="AD1419" i="3"/>
  <c r="AD1420" i="3" a="1"/>
  <c r="AD1420" i="3"/>
  <c r="AD1421" i="3" a="1"/>
  <c r="AD1421" i="3" s="1"/>
  <c r="AD1422" i="3" a="1"/>
  <c r="AD1422" i="3"/>
  <c r="AD1423" i="3" a="1"/>
  <c r="AD1423" i="3"/>
  <c r="AD1424" i="3" a="1"/>
  <c r="AD1424" i="3" s="1"/>
  <c r="AD1425" i="3" a="1"/>
  <c r="AD1425" i="3"/>
  <c r="AD1426" i="3" a="1"/>
  <c r="AD1426" i="3"/>
  <c r="AD1427" i="3" a="1"/>
  <c r="AD1427" i="3"/>
  <c r="AD1428" i="3" a="1"/>
  <c r="AD1428" i="3"/>
  <c r="AD1429" i="3" a="1"/>
  <c r="AD1429" i="3"/>
  <c r="AD1430" i="3" a="1"/>
  <c r="AD1430" i="3"/>
  <c r="AD1431" i="3" a="1"/>
  <c r="AD1431" i="3"/>
  <c r="AD1432" i="3" a="1"/>
  <c r="AD1432" i="3" s="1"/>
  <c r="AD1433" i="3" a="1"/>
  <c r="AD1433" i="3"/>
  <c r="AD1434" i="3" a="1"/>
  <c r="AD1434" i="3"/>
  <c r="AD1435" i="3" a="1"/>
  <c r="AD1435" i="3"/>
  <c r="AD1436" i="3" a="1"/>
  <c r="AD1436" i="3"/>
  <c r="AD1437" i="3" a="1"/>
  <c r="AD1437" i="3"/>
  <c r="AD1438" i="3" a="1"/>
  <c r="AD1438" i="3" s="1"/>
  <c r="AD1439" i="3" a="1"/>
  <c r="AD1439" i="3"/>
  <c r="AD1440" i="3" a="1"/>
  <c r="AD1440" i="3" s="1"/>
  <c r="AD1441" i="3" a="1"/>
  <c r="AD1441" i="3"/>
  <c r="AD1442" i="3" a="1"/>
  <c r="AD1442" i="3"/>
  <c r="AD1443" i="3" a="1"/>
  <c r="AD1443" i="3"/>
  <c r="AD1444" i="3" a="1"/>
  <c r="AD1444" i="3"/>
  <c r="AD1445" i="3" a="1"/>
  <c r="AD1445" i="3"/>
  <c r="AD1446" i="3" a="1"/>
  <c r="AD1446" i="3"/>
  <c r="AD1447" i="3" a="1"/>
  <c r="AD1447" i="3"/>
  <c r="AD1448" i="3" a="1"/>
  <c r="AD1448" i="3" s="1"/>
  <c r="AD1449" i="3" a="1"/>
  <c r="AD1449" i="3"/>
  <c r="AD1450" i="3" a="1"/>
  <c r="AD1450" i="3"/>
  <c r="AD1451" i="3" a="1"/>
  <c r="AD1451" i="3"/>
  <c r="AD1452" i="3" a="1"/>
  <c r="AD1452" i="3"/>
  <c r="AD1453" i="3" a="1"/>
  <c r="AD1453" i="3"/>
  <c r="AD1454" i="3" a="1"/>
  <c r="AD1454" i="3"/>
  <c r="AD1455" i="3" a="1"/>
  <c r="AD1455" i="3" s="1"/>
  <c r="AD1456" i="3" a="1"/>
  <c r="AD1456" i="3"/>
  <c r="AD1457" i="3" a="1"/>
  <c r="AD1457" i="3"/>
  <c r="AD1458" i="3" a="1"/>
  <c r="AD1458" i="3"/>
  <c r="AD1459" i="3" a="1"/>
  <c r="AD1459" i="3"/>
  <c r="AD1460" i="3" a="1"/>
  <c r="AD1460" i="3"/>
  <c r="AD1461" i="3" a="1"/>
  <c r="AD1461" i="3"/>
  <c r="AD1462" i="3" a="1"/>
  <c r="AD1462" i="3"/>
  <c r="AD1463" i="3" a="1"/>
  <c r="AD1463" i="3" s="1"/>
  <c r="AD1464" i="3" a="1"/>
  <c r="AD1464" i="3" s="1"/>
  <c r="AD1465" i="3" a="1"/>
  <c r="AD1465" i="3"/>
  <c r="AD1466" i="3" a="1"/>
  <c r="AD1466" i="3"/>
  <c r="AD1467" i="3" a="1"/>
  <c r="AD1467" i="3"/>
  <c r="AD1468" i="3" a="1"/>
  <c r="AD1468" i="3"/>
  <c r="AD1469" i="3" a="1"/>
  <c r="AD1469" i="3"/>
  <c r="AD1470" i="3" a="1"/>
  <c r="AD1470" i="3"/>
  <c r="AD1471" i="3" a="1"/>
  <c r="AD1471" i="3" s="1"/>
  <c r="AD1472" i="3" a="1"/>
  <c r="AD1472" i="3"/>
  <c r="AD1473" i="3" a="1"/>
  <c r="AD1473" i="3"/>
  <c r="AD1474" i="3" a="1"/>
  <c r="AD1474" i="3"/>
  <c r="AD1475" i="3" a="1"/>
  <c r="AD1475" i="3"/>
  <c r="AD1476" i="3" a="1"/>
  <c r="AD1476" i="3"/>
  <c r="AD1477" i="3" a="1"/>
  <c r="AD1477" i="3"/>
  <c r="AD1478" i="3" a="1"/>
  <c r="AD1478" i="3"/>
  <c r="AD1479" i="3" a="1"/>
  <c r="AD1479" i="3" s="1"/>
  <c r="AD1480" i="3" a="1"/>
  <c r="AD1480" i="3"/>
  <c r="AD1481" i="3" a="1"/>
  <c r="AD1481" i="3" s="1"/>
  <c r="AD1482" i="3" a="1"/>
  <c r="AD1482" i="3"/>
  <c r="AD1483" i="3" a="1"/>
  <c r="AD1483" i="3"/>
  <c r="AD1484" i="3" a="1"/>
  <c r="AD1484" i="3"/>
  <c r="AD1485" i="3" a="1"/>
  <c r="AD1485" i="3"/>
  <c r="AD1486" i="3" a="1"/>
  <c r="AD1486" i="3"/>
  <c r="AD1487" i="3" a="1"/>
  <c r="AD1487" i="3" s="1"/>
  <c r="AD1488" i="3" a="1"/>
  <c r="AD1488" i="3"/>
  <c r="AD1489" i="3" a="1"/>
  <c r="AD1489" i="3"/>
  <c r="AD1490" i="3" a="1"/>
  <c r="AD1490" i="3"/>
  <c r="AD1491" i="3" a="1"/>
  <c r="AD1491" i="3"/>
  <c r="AD1492" i="3" a="1"/>
  <c r="AD1492" i="3"/>
  <c r="AD1493" i="3" a="1"/>
  <c r="AD1493" i="3"/>
  <c r="AD1494" i="3" a="1"/>
  <c r="AD1494" i="3"/>
  <c r="AD1495" i="3" a="1"/>
  <c r="AD1495" i="3" s="1"/>
  <c r="AD1496" i="3" a="1"/>
  <c r="AD1496" i="3"/>
  <c r="AD1497" i="3" a="1"/>
  <c r="AD1497" i="3"/>
  <c r="AD1498" i="3" a="1"/>
  <c r="AD1498" i="3" s="1"/>
  <c r="AD1499" i="3" a="1"/>
  <c r="AD1499" i="3"/>
  <c r="AD1500" i="3" a="1"/>
  <c r="AD1500" i="3"/>
  <c r="AD1501" i="3" a="1"/>
  <c r="AD1501" i="3"/>
  <c r="AD1502" i="3" a="1"/>
  <c r="AD1502" i="3"/>
  <c r="AD1503" i="3" a="1"/>
  <c r="AD1503" i="3" s="1"/>
  <c r="AD1504" i="3" a="1"/>
  <c r="AD1504" i="3"/>
  <c r="AD1505" i="3" a="1"/>
  <c r="AD1505" i="3"/>
  <c r="AD1506" i="3" a="1"/>
  <c r="AD1506" i="3"/>
  <c r="AD1507" i="3" a="1"/>
  <c r="AD1507" i="3"/>
  <c r="AD1508" i="3" a="1"/>
  <c r="AD1508" i="3"/>
  <c r="AD1509" i="3" a="1"/>
  <c r="AD1509" i="3"/>
  <c r="AD1510" i="3" a="1"/>
  <c r="AD1510" i="3"/>
  <c r="AD1511" i="3" a="1"/>
  <c r="AD1511" i="3" s="1"/>
  <c r="AD1512" i="3" a="1"/>
  <c r="AD1512" i="3"/>
  <c r="AD1513" i="3" a="1"/>
  <c r="AD1513" i="3"/>
  <c r="AD1514" i="3" a="1"/>
  <c r="AD1514" i="3"/>
  <c r="AD1515" i="3" a="1"/>
  <c r="AD1515" i="3"/>
  <c r="AD1516" i="3" a="1"/>
  <c r="AD1516" i="3"/>
  <c r="AD1517" i="3" a="1"/>
  <c r="AD1517" i="3"/>
  <c r="AD1518" i="3" a="1"/>
  <c r="AD1518" i="3"/>
  <c r="AD1519" i="3" a="1"/>
  <c r="AD1519" i="3" s="1"/>
  <c r="AD1520" i="3" a="1"/>
  <c r="AD1520" i="3"/>
  <c r="AD1521" i="3" a="1"/>
  <c r="AD1521" i="3"/>
  <c r="AD1522" i="3" a="1"/>
  <c r="AD1522" i="3"/>
  <c r="AD1523" i="3" a="1"/>
  <c r="AD1523" i="3"/>
  <c r="AD1524" i="3" a="1"/>
  <c r="AD1524" i="3"/>
  <c r="AD1525" i="3" a="1"/>
  <c r="AD1525" i="3"/>
  <c r="AD1526" i="3" a="1"/>
  <c r="AD1526" i="3"/>
  <c r="AD1527" i="3" a="1"/>
  <c r="AD1527" i="3" s="1"/>
  <c r="AD1528" i="3" a="1"/>
  <c r="AD1528" i="3"/>
  <c r="AD1529" i="3" a="1"/>
  <c r="AD1529" i="3"/>
  <c r="AD1530" i="3" a="1"/>
  <c r="AD1530" i="3"/>
  <c r="AD1531" i="3" a="1"/>
  <c r="AD1531" i="3"/>
  <c r="AD1532" i="3" a="1"/>
  <c r="AD1532" i="3"/>
  <c r="AD1533" i="3" a="1"/>
  <c r="AD1533" i="3"/>
  <c r="AD1534" i="3" a="1"/>
  <c r="AD1534" i="3"/>
  <c r="AD1535" i="3" a="1"/>
  <c r="AD1535" i="3" s="1"/>
  <c r="AD1536" i="3" a="1"/>
  <c r="AD1536" i="3"/>
  <c r="AD1537" i="3" a="1"/>
  <c r="AD1537" i="3"/>
  <c r="AD1538" i="3" a="1"/>
  <c r="AD1538" i="3"/>
  <c r="AD1539" i="3" a="1"/>
  <c r="AD1539" i="3"/>
  <c r="AD1540" i="3" a="1"/>
  <c r="AD1540" i="3"/>
  <c r="AD1541" i="3" a="1"/>
  <c r="AD1541" i="3"/>
  <c r="AD1542" i="3" a="1"/>
  <c r="AD1542" i="3"/>
  <c r="AD1543" i="3" a="1"/>
  <c r="AD1543" i="3" s="1"/>
  <c r="AD1544" i="3" a="1"/>
  <c r="AD1544" i="3"/>
  <c r="AD1545" i="3" a="1"/>
  <c r="AD1545" i="3"/>
  <c r="AD1546" i="3" a="1"/>
  <c r="AD1546" i="3"/>
  <c r="AD1547" i="3" a="1"/>
  <c r="AD1547" i="3"/>
  <c r="AD1548" i="3" a="1"/>
  <c r="AD1548" i="3"/>
  <c r="AD1549" i="3" a="1"/>
  <c r="AD1549" i="3"/>
  <c r="AD1550" i="3" a="1"/>
  <c r="AD1550" i="3"/>
  <c r="AD1551" i="3" a="1"/>
  <c r="AD1551" i="3" s="1"/>
  <c r="AD1552" i="3" a="1"/>
  <c r="AD1552" i="3"/>
  <c r="AD1553" i="3" a="1"/>
  <c r="AD1553" i="3"/>
  <c r="AD1554" i="3" a="1"/>
  <c r="AD1554" i="3"/>
  <c r="AD1555" i="3" a="1"/>
  <c r="AD1555" i="3"/>
  <c r="AD1556" i="3" a="1"/>
  <c r="AD1556" i="3"/>
  <c r="AD1557" i="3" a="1"/>
  <c r="AD1557" i="3"/>
  <c r="AD1558" i="3" a="1"/>
  <c r="AD1558" i="3"/>
  <c r="AD1559" i="3" a="1"/>
  <c r="AD1559" i="3" s="1"/>
  <c r="AD1560" i="3" a="1"/>
  <c r="AD1560" i="3"/>
  <c r="AD1561" i="3" a="1"/>
  <c r="AD1561" i="3"/>
  <c r="AD1562" i="3" a="1"/>
  <c r="AD1562" i="3"/>
  <c r="AD1563" i="3" a="1"/>
  <c r="AD1563" i="3"/>
  <c r="AD1564" i="3" a="1"/>
  <c r="AD1564" i="3"/>
  <c r="AD1565" i="3" a="1"/>
  <c r="AD1565" i="3"/>
  <c r="AD1566" i="3" a="1"/>
  <c r="AD1566" i="3"/>
  <c r="AD1567" i="3" a="1"/>
  <c r="AD1567" i="3" s="1"/>
  <c r="AD1568" i="3" a="1"/>
  <c r="AD1568" i="3"/>
  <c r="AD1569" i="3" a="1"/>
  <c r="AD1569" i="3"/>
  <c r="AD1570" i="3" a="1"/>
  <c r="AD1570" i="3"/>
  <c r="AD1571" i="3" a="1"/>
  <c r="AD1571" i="3"/>
  <c r="AD1572" i="3" a="1"/>
  <c r="AD1572" i="3"/>
  <c r="AD1573" i="3" a="1"/>
  <c r="AD1573" i="3"/>
  <c r="AD1574" i="3" a="1"/>
  <c r="AD1574" i="3"/>
  <c r="AD1575" i="3" a="1"/>
  <c r="AD1575" i="3" s="1"/>
  <c r="AD1576" i="3" a="1"/>
  <c r="AD1576" i="3"/>
  <c r="AD1577" i="3" a="1"/>
  <c r="AD1577" i="3"/>
  <c r="AD1578" i="3" a="1"/>
  <c r="AD1578" i="3"/>
  <c r="AD1579" i="3" a="1"/>
  <c r="AD1579" i="3"/>
  <c r="AD1580" i="3" a="1"/>
  <c r="AD1580" i="3"/>
  <c r="AD1581" i="3" a="1"/>
  <c r="AD1581" i="3"/>
  <c r="AD1582" i="3" a="1"/>
  <c r="AD1582" i="3"/>
  <c r="AD1583" i="3" a="1"/>
  <c r="AD1583" i="3" s="1"/>
  <c r="AD1584" i="3" a="1"/>
  <c r="AD1584" i="3"/>
  <c r="AD1585" i="3" a="1"/>
  <c r="AD1585" i="3"/>
  <c r="AD1586" i="3" a="1"/>
  <c r="AD1586" i="3"/>
  <c r="AD1587" i="3" a="1"/>
  <c r="AD1587" i="3"/>
  <c r="AD1588" i="3" a="1"/>
  <c r="AD1588" i="3"/>
  <c r="AD1589" i="3" a="1"/>
  <c r="AD1589" i="3"/>
  <c r="AD1590" i="3" a="1"/>
  <c r="AD1590" i="3"/>
  <c r="AD1591" i="3" a="1"/>
  <c r="AD1591" i="3" s="1"/>
  <c r="AD1592" i="3" a="1"/>
  <c r="AD1592" i="3"/>
  <c r="AD1593" i="3" a="1"/>
  <c r="AD1593" i="3"/>
  <c r="AD1594" i="3" a="1"/>
  <c r="AD1594" i="3"/>
  <c r="AD1595" i="3" a="1"/>
  <c r="AD1595" i="3"/>
  <c r="AD1596" i="3" a="1"/>
  <c r="AD1596" i="3"/>
  <c r="AD1597" i="3" a="1"/>
  <c r="AD1597" i="3"/>
  <c r="AD1598" i="3" a="1"/>
  <c r="AD1598" i="3"/>
  <c r="AD1599" i="3" a="1"/>
  <c r="AD1599" i="3" s="1"/>
  <c r="AD1600" i="3" a="1"/>
  <c r="AD1600" i="3"/>
  <c r="AD1601" i="3" a="1"/>
  <c r="AD1601" i="3"/>
  <c r="AD1602" i="3" a="1"/>
  <c r="AD1602" i="3"/>
  <c r="AD1603" i="3" a="1"/>
  <c r="AD1603" i="3"/>
  <c r="AD1604" i="3" a="1"/>
  <c r="AD1604" i="3"/>
  <c r="AD1605" i="3" a="1"/>
  <c r="AD1605" i="3"/>
  <c r="AD1606" i="3" a="1"/>
  <c r="AD1606" i="3"/>
  <c r="AD1607" i="3" a="1"/>
  <c r="AD1607" i="3" s="1"/>
  <c r="AD1608" i="3" a="1"/>
  <c r="AD1608" i="3"/>
  <c r="AD1609" i="3" a="1"/>
  <c r="AD1609" i="3"/>
  <c r="AD1610" i="3" a="1"/>
  <c r="AD1610" i="3"/>
  <c r="AD1611" i="3" a="1"/>
  <c r="AD1611" i="3"/>
  <c r="AD1612" i="3" a="1"/>
  <c r="AD1612" i="3"/>
  <c r="AD1613" i="3" a="1"/>
  <c r="AD1613" i="3"/>
  <c r="AD1614" i="3" a="1"/>
  <c r="AD1614" i="3"/>
  <c r="AD1615" i="3" a="1"/>
  <c r="AD1615" i="3" s="1"/>
  <c r="AD1616" i="3" a="1"/>
  <c r="AD1616" i="3"/>
  <c r="AD1617" i="3" a="1"/>
  <c r="AD1617" i="3"/>
  <c r="AD1618" i="3" a="1"/>
  <c r="AD1618" i="3"/>
  <c r="AD1619" i="3" a="1"/>
  <c r="AD1619" i="3"/>
  <c r="AD1620" i="3" a="1"/>
  <c r="AD1620" i="3"/>
  <c r="AD1621" i="3" a="1"/>
  <c r="AD1621" i="3"/>
  <c r="AD1622" i="3" a="1"/>
  <c r="AD1622" i="3"/>
  <c r="AD1623" i="3" a="1"/>
  <c r="AD1623" i="3" s="1"/>
  <c r="AD1624" i="3" a="1"/>
  <c r="AD1624" i="3"/>
  <c r="AD1625" i="3" a="1"/>
  <c r="AD1625" i="3"/>
  <c r="AD1626" i="3" a="1"/>
  <c r="AD1626" i="3"/>
  <c r="AD1627" i="3" a="1"/>
  <c r="AD1627" i="3"/>
  <c r="AD1628" i="3" a="1"/>
  <c r="AD1628" i="3"/>
  <c r="AD1629" i="3" a="1"/>
  <c r="AD1629" i="3"/>
  <c r="AD1630" i="3" a="1"/>
  <c r="AD1630" i="3"/>
  <c r="AD1631" i="3" a="1"/>
  <c r="AD1631" i="3" s="1"/>
  <c r="AD1632" i="3" a="1"/>
  <c r="AD1632" i="3"/>
  <c r="AD1633" i="3" a="1"/>
  <c r="AD1633" i="3"/>
  <c r="AD1634" i="3" a="1"/>
  <c r="AD1634" i="3"/>
  <c r="AD1635" i="3" a="1"/>
  <c r="AD1635" i="3"/>
  <c r="AD1636" i="3" a="1"/>
  <c r="AD1636" i="3"/>
  <c r="AD1637" i="3" a="1"/>
  <c r="AD1637" i="3"/>
  <c r="AD1638" i="3" a="1"/>
  <c r="AD1638" i="3"/>
  <c r="AD1639" i="3" a="1"/>
  <c r="AD1639" i="3" s="1"/>
  <c r="AD1640" i="3" a="1"/>
  <c r="AD1640" i="3"/>
  <c r="AD1641" i="3" a="1"/>
  <c r="AD1641" i="3"/>
  <c r="AD1642" i="3" a="1"/>
  <c r="AD1642" i="3"/>
  <c r="AD1643" i="3" a="1"/>
  <c r="AD1643" i="3"/>
  <c r="AD1644" i="3" a="1"/>
  <c r="AD1644" i="3"/>
  <c r="AD1645" i="3" a="1"/>
  <c r="AD1645" i="3"/>
  <c r="AD1646" i="3" a="1"/>
  <c r="AD1646" i="3"/>
  <c r="AD1647" i="3" a="1"/>
  <c r="AD1647" i="3" s="1"/>
  <c r="AD1648" i="3" a="1"/>
  <c r="AD1648" i="3"/>
  <c r="AD1649" i="3" a="1"/>
  <c r="AD1649" i="3"/>
  <c r="AD1650" i="3" a="1"/>
  <c r="AD1650" i="3"/>
  <c r="AD1651" i="3" a="1"/>
  <c r="AD1651" i="3"/>
  <c r="AD1652" i="3" a="1"/>
  <c r="AD1652" i="3"/>
  <c r="AD1653" i="3" a="1"/>
  <c r="AD1653" i="3"/>
  <c r="AD1654" i="3" a="1"/>
  <c r="AD1654" i="3"/>
  <c r="AD1655" i="3" a="1"/>
  <c r="AD1655" i="3" s="1"/>
  <c r="AD1656" i="3" a="1"/>
  <c r="AD1656" i="3"/>
  <c r="AD1657" i="3" a="1"/>
  <c r="AD1657" i="3"/>
  <c r="AD1658" i="3" a="1"/>
  <c r="AD1658" i="3"/>
  <c r="AD1659" i="3" a="1"/>
  <c r="AD1659" i="3"/>
  <c r="AD1660" i="3" a="1"/>
  <c r="AD1660" i="3"/>
  <c r="AD1661" i="3" a="1"/>
  <c r="AD1661" i="3"/>
  <c r="AD1662" i="3" a="1"/>
  <c r="AD1662" i="3"/>
  <c r="AD1663" i="3" a="1"/>
  <c r="AD1663" i="3" s="1"/>
  <c r="AD1664" i="3" a="1"/>
  <c r="AD1664" i="3"/>
  <c r="AD1665" i="3" a="1"/>
  <c r="AD1665" i="3"/>
  <c r="AD1666" i="3" a="1"/>
  <c r="AD1666" i="3"/>
  <c r="AD1667" i="3" a="1"/>
  <c r="AD1667" i="3"/>
  <c r="AD1668" i="3" a="1"/>
  <c r="AD1668" i="3"/>
  <c r="AD1669" i="3" a="1"/>
  <c r="AD1669" i="3"/>
  <c r="AD1670" i="3" a="1"/>
  <c r="AD1670" i="3"/>
  <c r="AD1671" i="3" a="1"/>
  <c r="AD1671" i="3"/>
  <c r="AD1672" i="3" a="1"/>
  <c r="AD1672" i="3"/>
  <c r="AD1673" i="3" a="1"/>
  <c r="AD1673" i="3"/>
  <c r="AD1674" i="3" a="1"/>
  <c r="AD1674" i="3"/>
  <c r="AD1675" i="3" a="1"/>
  <c r="AD1675" i="3"/>
  <c r="AD1676" i="3" a="1"/>
  <c r="AD1676" i="3"/>
  <c r="AD1677" i="3" a="1"/>
  <c r="AD1677" i="3"/>
  <c r="AD1678" i="3" a="1"/>
  <c r="AD1678" i="3"/>
  <c r="AD1679" i="3" a="1"/>
  <c r="AD1679" i="3"/>
  <c r="AD1680" i="3" a="1"/>
  <c r="AD1680" i="3"/>
  <c r="AD1681" i="3" a="1"/>
  <c r="AD1681" i="3"/>
  <c r="AD1682" i="3" a="1"/>
  <c r="AD1682" i="3"/>
  <c r="AD1683" i="3" a="1"/>
  <c r="AD1683" i="3"/>
  <c r="AD1684" i="3" a="1"/>
  <c r="AD1684" i="3"/>
  <c r="AD1685" i="3" a="1"/>
  <c r="AD1685" i="3"/>
  <c r="AD1686" i="3" a="1"/>
  <c r="AD1686" i="3"/>
  <c r="AD1687" i="3" a="1"/>
  <c r="AD1687" i="3"/>
  <c r="AD1688" i="3" a="1"/>
  <c r="AD1688" i="3"/>
  <c r="AD1689" i="3" a="1"/>
  <c r="AD1689" i="3"/>
  <c r="AD1690" i="3" a="1"/>
  <c r="AD1690" i="3"/>
  <c r="AD1691" i="3" a="1"/>
  <c r="AD1691" i="3"/>
  <c r="AD1692" i="3" a="1"/>
  <c r="AD1692" i="3"/>
  <c r="AD1693" i="3" a="1"/>
  <c r="AD1693" i="3"/>
  <c r="AD1694" i="3" a="1"/>
  <c r="AD1694" i="3"/>
  <c r="AD1695" i="3" a="1"/>
  <c r="AD1695" i="3"/>
  <c r="AD1696" i="3" a="1"/>
  <c r="AD1696" i="3"/>
  <c r="AD1697" i="3" a="1"/>
  <c r="AD1697" i="3"/>
  <c r="AD1698" i="3" a="1"/>
  <c r="AD1698" i="3"/>
  <c r="AD1699" i="3" a="1"/>
  <c r="AD1699" i="3"/>
  <c r="AD1700" i="3" a="1"/>
  <c r="AD1700" i="3"/>
  <c r="AD1701" i="3" a="1"/>
  <c r="AD1701" i="3"/>
  <c r="AD1702" i="3" a="1"/>
  <c r="AD1702" i="3"/>
  <c r="AD1703" i="3" a="1"/>
  <c r="AD1703" i="3"/>
  <c r="AD1704" i="3" a="1"/>
  <c r="AD1704" i="3"/>
  <c r="AD1705" i="3" a="1"/>
  <c r="AD1705" i="3"/>
  <c r="AD1706" i="3" a="1"/>
  <c r="AD1706" i="3"/>
  <c r="AD1707" i="3" a="1"/>
  <c r="AD1707" i="3"/>
  <c r="AD1708" i="3" a="1"/>
  <c r="AD1708" i="3"/>
  <c r="AD1709" i="3" a="1"/>
  <c r="AD1709" i="3"/>
  <c r="AD1710" i="3" a="1"/>
  <c r="AD1710" i="3"/>
  <c r="AD1711" i="3" a="1"/>
  <c r="AD1711" i="3"/>
  <c r="AD1712" i="3" a="1"/>
  <c r="AD1712" i="3"/>
  <c r="AD1713" i="3" a="1"/>
  <c r="AD1713" i="3"/>
  <c r="AD1714" i="3" a="1"/>
  <c r="AD1714" i="3"/>
  <c r="AD1715" i="3" a="1"/>
  <c r="AD1715" i="3"/>
  <c r="AD1716" i="3" a="1"/>
  <c r="AD1716" i="3"/>
  <c r="AD1717" i="3" a="1"/>
  <c r="AD1717" i="3"/>
  <c r="AD1718" i="3" a="1"/>
  <c r="AD1718" i="3"/>
  <c r="AD1719" i="3" a="1"/>
  <c r="AD1719" i="3"/>
  <c r="AD1720" i="3" a="1"/>
  <c r="AD1720" i="3"/>
  <c r="AD1721" i="3" a="1"/>
  <c r="AD1721" i="3"/>
  <c r="AD1722" i="3" a="1"/>
  <c r="AD1722" i="3"/>
  <c r="AD1723" i="3" a="1"/>
  <c r="AD1723" i="3"/>
  <c r="AD1724" i="3" a="1"/>
  <c r="AD1724" i="3"/>
  <c r="AD1725" i="3" a="1"/>
  <c r="AD1725" i="3"/>
  <c r="AD1726" i="3" a="1"/>
  <c r="AD1726" i="3"/>
  <c r="AD1727" i="3" a="1"/>
  <c r="AD1727" i="3"/>
  <c r="AD1728" i="3" a="1"/>
  <c r="AD1728" i="3"/>
  <c r="AD1729" i="3" a="1"/>
  <c r="AD1729" i="3"/>
  <c r="AD1730" i="3" a="1"/>
  <c r="AD1730" i="3"/>
  <c r="AD1731" i="3" a="1"/>
  <c r="AD1731" i="3"/>
  <c r="AD1732" i="3" a="1"/>
  <c r="AD1732" i="3"/>
  <c r="AD1733" i="3" a="1"/>
  <c r="AD1733" i="3"/>
  <c r="AD1734" i="3" a="1"/>
  <c r="AD1734" i="3"/>
  <c r="AD1735" i="3" a="1"/>
  <c r="AD1735" i="3"/>
  <c r="AD1736" i="3" a="1"/>
  <c r="AD1736" i="3"/>
  <c r="AD1737" i="3" a="1"/>
  <c r="AD1737" i="3"/>
  <c r="AD1738" i="3" a="1"/>
  <c r="AD1738" i="3"/>
  <c r="AD1739" i="3" a="1"/>
  <c r="AD1739" i="3"/>
  <c r="AD1740" i="3" a="1"/>
  <c r="AD1740" i="3"/>
  <c r="AD1741" i="3" a="1"/>
  <c r="AD1741" i="3"/>
  <c r="AD1742" i="3" a="1"/>
  <c r="AD1742" i="3"/>
  <c r="AD1743" i="3" a="1"/>
  <c r="AD1743" i="3"/>
  <c r="AD1744" i="3" a="1"/>
  <c r="AD1744" i="3"/>
  <c r="AD1745" i="3" a="1"/>
  <c r="AD1745" i="3"/>
  <c r="AD1746" i="3" a="1"/>
  <c r="AD1746" i="3"/>
  <c r="AD1747" i="3" a="1"/>
  <c r="AD1747" i="3"/>
  <c r="AD1748" i="3" a="1"/>
  <c r="AD1748" i="3"/>
  <c r="AD1749" i="3" a="1"/>
  <c r="AD1749" i="3"/>
  <c r="AD1750" i="3" a="1"/>
  <c r="AD1750" i="3"/>
  <c r="AD1751" i="3" a="1"/>
  <c r="AD1751" i="3"/>
  <c r="AD1752" i="3" a="1"/>
  <c r="AD1752" i="3"/>
  <c r="AD1753" i="3" a="1"/>
  <c r="AD1753" i="3"/>
  <c r="AD1754" i="3" a="1"/>
  <c r="AD1754" i="3"/>
  <c r="AD1755" i="3" a="1"/>
  <c r="AD1755" i="3"/>
  <c r="AD1756" i="3" a="1"/>
  <c r="AD1756" i="3"/>
  <c r="AD1757" i="3" a="1"/>
  <c r="AD1757" i="3"/>
  <c r="AD1758" i="3" a="1"/>
  <c r="AD1758" i="3"/>
  <c r="AD1759" i="3" a="1"/>
  <c r="AD1759" i="3"/>
  <c r="AD1760" i="3" a="1"/>
  <c r="AD1760" i="3"/>
  <c r="AD1761" i="3" a="1"/>
  <c r="AD1761" i="3"/>
  <c r="AD1762" i="3" a="1"/>
  <c r="AD1762" i="3"/>
  <c r="AD1763" i="3" a="1"/>
  <c r="AD1763" i="3"/>
  <c r="AD1764" i="3" a="1"/>
  <c r="AD1764" i="3"/>
  <c r="AD1765" i="3" a="1"/>
  <c r="AD1765" i="3"/>
  <c r="AD1766" i="3" a="1"/>
  <c r="AD1766" i="3"/>
  <c r="AD1767" i="3" a="1"/>
  <c r="AD1767" i="3"/>
  <c r="AD1768" i="3" a="1"/>
  <c r="AD1768" i="3"/>
  <c r="AD1769" i="3" a="1"/>
  <c r="AD1769" i="3"/>
  <c r="AD1770" i="3" a="1"/>
  <c r="AD1770" i="3"/>
  <c r="AD1771" i="3" a="1"/>
  <c r="AD1771" i="3"/>
  <c r="AD1772" i="3" a="1"/>
  <c r="AD1772" i="3"/>
  <c r="AD1773" i="3" a="1"/>
  <c r="AD1773" i="3"/>
  <c r="AD1774" i="3" a="1"/>
  <c r="AD1774" i="3"/>
  <c r="AD1775" i="3" a="1"/>
  <c r="AD1775" i="3"/>
  <c r="AD1776" i="3" a="1"/>
  <c r="AD1776" i="3"/>
  <c r="AD1777" i="3" a="1"/>
  <c r="AD1777" i="3"/>
  <c r="AD1778" i="3" a="1"/>
  <c r="AD1778" i="3"/>
  <c r="AD1779" i="3" a="1"/>
  <c r="AD1779" i="3"/>
  <c r="AD1780" i="3" a="1"/>
  <c r="AD1780" i="3"/>
  <c r="AD1781" i="3" a="1"/>
  <c r="AD1781" i="3"/>
  <c r="AD1782" i="3" a="1"/>
  <c r="AD1782" i="3"/>
  <c r="AD1783" i="3" a="1"/>
  <c r="AD1783" i="3"/>
  <c r="AD1784" i="3" a="1"/>
  <c r="AD1784" i="3"/>
  <c r="AD1785" i="3" a="1"/>
  <c r="AD1785" i="3"/>
  <c r="AD1786" i="3" a="1"/>
  <c r="AD1786" i="3"/>
  <c r="AD1787" i="3" a="1"/>
  <c r="AD1787" i="3"/>
  <c r="AD1788" i="3" a="1"/>
  <c r="AD1788" i="3"/>
  <c r="AD1789" i="3" a="1"/>
  <c r="AD1789" i="3"/>
  <c r="AD1790" i="3" a="1"/>
  <c r="AD1790" i="3"/>
  <c r="AD1791" i="3" a="1"/>
  <c r="AD1791" i="3"/>
  <c r="AD1792" i="3" a="1"/>
  <c r="AD1792" i="3"/>
  <c r="AD1793" i="3" a="1"/>
  <c r="AD1793" i="3"/>
  <c r="AD1794" i="3" a="1"/>
  <c r="AD1794" i="3"/>
  <c r="AD1795" i="3" a="1"/>
  <c r="AD1795" i="3"/>
  <c r="AD1796" i="3" a="1"/>
  <c r="AD1796" i="3"/>
  <c r="AD1797" i="3" a="1"/>
  <c r="AD1797" i="3"/>
  <c r="AD1798" i="3" a="1"/>
  <c r="AD1798" i="3"/>
  <c r="AD1799" i="3" a="1"/>
  <c r="AD1799" i="3"/>
  <c r="AD1800" i="3" a="1"/>
  <c r="AD1800" i="3"/>
  <c r="AD1801" i="3" a="1"/>
  <c r="AD1801" i="3"/>
  <c r="AD1802" i="3" a="1"/>
  <c r="AD1802" i="3"/>
  <c r="AD1803" i="3" a="1"/>
  <c r="AD1803" i="3"/>
  <c r="AD1804" i="3" a="1"/>
  <c r="AD1804" i="3"/>
  <c r="AD1805" i="3" a="1"/>
  <c r="AD1805" i="3"/>
  <c r="AD1806" i="3" a="1"/>
  <c r="AD1806" i="3"/>
  <c r="AD1807" i="3" a="1"/>
  <c r="AD1807" i="3"/>
  <c r="AD1808" i="3" a="1"/>
  <c r="AD1808" i="3"/>
  <c r="AD1809" i="3" a="1"/>
  <c r="AD1809" i="3"/>
  <c r="AD1810" i="3" a="1"/>
  <c r="AD1810" i="3"/>
  <c r="AD1811" i="3" a="1"/>
  <c r="AD1811" i="3"/>
  <c r="AD1812" i="3" a="1"/>
  <c r="AD1812" i="3"/>
  <c r="AD1813" i="3" a="1"/>
  <c r="AD1813" i="3"/>
  <c r="AD1814" i="3" a="1"/>
  <c r="AD1814" i="3"/>
  <c r="AD1815" i="3" a="1"/>
  <c r="AD1815" i="3"/>
  <c r="AD1816" i="3" a="1"/>
  <c r="AD1816" i="3" s="1"/>
  <c r="AD1817" i="3" a="1"/>
  <c r="AD1817" i="3"/>
  <c r="AD1818" i="3" a="1"/>
  <c r="AD1818" i="3"/>
  <c r="AD1819" i="3" a="1"/>
  <c r="AD1819" i="3"/>
  <c r="AD1820" i="3" a="1"/>
  <c r="AD1820" i="3"/>
  <c r="AD1821" i="3" a="1"/>
  <c r="AD1821" i="3"/>
  <c r="AD1822" i="3" a="1"/>
  <c r="AD1822" i="3"/>
  <c r="AD1823" i="3" a="1"/>
  <c r="AD1823" i="3"/>
  <c r="AD1824" i="3" a="1"/>
  <c r="AD1824" i="3" s="1"/>
  <c r="AD1825" i="3" a="1"/>
  <c r="AD1825" i="3"/>
  <c r="AD1826" i="3" a="1"/>
  <c r="AD1826" i="3"/>
  <c r="AD1827" i="3" a="1"/>
  <c r="AD1827" i="3"/>
  <c r="AD1828" i="3" a="1"/>
  <c r="AD1828" i="3" s="1"/>
  <c r="AD1829" i="3" a="1"/>
  <c r="AD1829" i="3"/>
  <c r="AD1830" i="3" a="1"/>
  <c r="AD1830" i="3"/>
  <c r="AD1831" i="3" a="1"/>
  <c r="AD1831" i="3"/>
  <c r="AD1832" i="3" a="1"/>
  <c r="AD1832" i="3" s="1"/>
  <c r="AD1833" i="3" a="1"/>
  <c r="AD1833" i="3"/>
  <c r="AD1834" i="3" a="1"/>
  <c r="AD1834" i="3"/>
  <c r="AD1835" i="3" a="1"/>
  <c r="AD1835" i="3"/>
  <c r="AD1836" i="3" a="1"/>
  <c r="AD1836" i="3" s="1"/>
  <c r="AD1837" i="3" a="1"/>
  <c r="AD1837" i="3"/>
  <c r="AD1838" i="3" a="1"/>
  <c r="AD1838" i="3"/>
  <c r="AD1839" i="3" a="1"/>
  <c r="AD1839" i="3"/>
  <c r="AD1840" i="3" a="1"/>
  <c r="AD1840" i="3" s="1"/>
  <c r="AD1841" i="3" a="1"/>
  <c r="AD1841" i="3"/>
  <c r="AD1842" i="3" a="1"/>
  <c r="AD1842" i="3"/>
  <c r="AD1843" i="3" a="1"/>
  <c r="AD1843" i="3"/>
  <c r="AD1844" i="3" a="1"/>
  <c r="AD1844" i="3" s="1"/>
  <c r="AD1845" i="3" a="1"/>
  <c r="AD1845" i="3"/>
  <c r="AD1846" i="3" a="1"/>
  <c r="AD1846" i="3" s="1"/>
  <c r="AD1847" i="3" a="1"/>
  <c r="AD1847" i="3"/>
  <c r="AD1848" i="3" a="1"/>
  <c r="AD1848" i="3" s="1"/>
  <c r="AD1849" i="3" a="1"/>
  <c r="AD1849" i="3" s="1"/>
  <c r="AD1850" i="3" a="1"/>
  <c r="AD1850" i="3"/>
  <c r="AD1851" i="3" a="1"/>
  <c r="AD1851" i="3"/>
  <c r="AD1852" i="3" a="1"/>
  <c r="AD1852" i="3" s="1"/>
  <c r="AD1853" i="3" a="1"/>
  <c r="AD1853" i="3" s="1"/>
  <c r="AD1854" i="3" a="1"/>
  <c r="AD1854" i="3" s="1"/>
  <c r="AD1855" i="3" a="1"/>
  <c r="AD1855" i="3"/>
  <c r="AD1856" i="3" a="1"/>
  <c r="AD1856" i="3" s="1"/>
  <c r="AD1857" i="3" a="1"/>
  <c r="AD1857" i="3" s="1"/>
  <c r="AD1858" i="3" a="1"/>
  <c r="AD1858" i="3" s="1"/>
  <c r="AD1859" i="3" a="1"/>
  <c r="AD1859" i="3"/>
  <c r="AD1860" i="3" a="1"/>
  <c r="AD1860" i="3" s="1"/>
  <c r="AD1861" i="3" a="1"/>
  <c r="AD1861" i="3" s="1"/>
  <c r="AD1862" i="3" a="1"/>
  <c r="AD1862" i="3" s="1"/>
  <c r="AD1863" i="3" a="1"/>
  <c r="AD1863" i="3"/>
  <c r="AD1864" i="3" a="1"/>
  <c r="AD1864" i="3" s="1"/>
  <c r="AD1865" i="3" a="1"/>
  <c r="AD1865" i="3" s="1"/>
  <c r="AD1866" i="3" a="1"/>
  <c r="AD1866" i="3" s="1"/>
  <c r="AD1867" i="3" a="1"/>
  <c r="AD1867" i="3"/>
  <c r="AD1868" i="3" a="1"/>
  <c r="AD1868" i="3" s="1"/>
  <c r="AD1869" i="3" a="1"/>
  <c r="AD1869" i="3" s="1"/>
  <c r="AD1870" i="3" a="1"/>
  <c r="AD1870" i="3" s="1"/>
  <c r="AD1871" i="3" a="1"/>
  <c r="AD1871" i="3" s="1"/>
  <c r="AD1872" i="3" a="1"/>
  <c r="AD1872" i="3" s="1"/>
  <c r="AD1873" i="3" a="1"/>
  <c r="AD1873" i="3" s="1"/>
  <c r="AD1874" i="3" a="1"/>
  <c r="AD1874" i="3" s="1"/>
  <c r="AD1875" i="3" a="1"/>
  <c r="AD1875" i="3"/>
  <c r="AD1876" i="3" a="1"/>
  <c r="AD1876" i="3" s="1"/>
  <c r="AD1877" i="3" a="1"/>
  <c r="AD1877" i="3" s="1"/>
  <c r="AD1878" i="3" a="1"/>
  <c r="AD1878" i="3" s="1"/>
  <c r="AD1879" i="3" a="1"/>
  <c r="AD1879" i="3" s="1"/>
  <c r="AD1880" i="3" a="1"/>
  <c r="AD1880" i="3" s="1"/>
  <c r="AD1881" i="3" a="1"/>
  <c r="AD1881" i="3" s="1"/>
  <c r="AD1882" i="3" a="1"/>
  <c r="AD1882" i="3" s="1"/>
  <c r="AD1883" i="3" a="1"/>
  <c r="AD1883" i="3"/>
  <c r="AD1884" i="3" a="1"/>
  <c r="AD1884" i="3" s="1"/>
  <c r="AD1885" i="3" a="1"/>
  <c r="AD1885" i="3" s="1"/>
  <c r="AD1886" i="3" a="1"/>
  <c r="AD1886" i="3" s="1"/>
  <c r="AD1887" i="3" a="1"/>
  <c r="AD1887" i="3" s="1"/>
  <c r="AD1888" i="3" a="1"/>
  <c r="AD1888" i="3" s="1"/>
  <c r="AD1889" i="3" a="1"/>
  <c r="AD1889" i="3" s="1"/>
  <c r="AD1890" i="3" a="1"/>
  <c r="AD1890" i="3" s="1"/>
  <c r="AD1891" i="3" a="1"/>
  <c r="AD1891" i="3" s="1"/>
  <c r="AD1892" i="3" a="1"/>
  <c r="AD1892" i="3" s="1"/>
  <c r="AD1893" i="3" a="1"/>
  <c r="AD1893" i="3" s="1"/>
  <c r="AD1894" i="3" a="1"/>
  <c r="AD1894" i="3" s="1"/>
  <c r="AD1895" i="3" a="1"/>
  <c r="AD1895" i="3" s="1"/>
  <c r="AD1896" i="3" a="1"/>
  <c r="AD1896" i="3" s="1"/>
  <c r="AD1897" i="3" a="1"/>
  <c r="AD1897" i="3" s="1"/>
  <c r="AD1898" i="3" a="1"/>
  <c r="AD1898" i="3" s="1"/>
  <c r="AD1899" i="3" a="1"/>
  <c r="AD1899" i="3" s="1"/>
  <c r="AD1900" i="3" a="1"/>
  <c r="AD1900" i="3" s="1"/>
  <c r="AD1901" i="3" a="1"/>
  <c r="AD1901" i="3" s="1"/>
  <c r="AD1902" i="3" a="1"/>
  <c r="AD1902" i="3" s="1"/>
  <c r="AD1903" i="3" a="1"/>
  <c r="AD1903" i="3" s="1"/>
  <c r="AD1904" i="3" a="1"/>
  <c r="AD1904" i="3" s="1"/>
  <c r="AD1905" i="3" a="1"/>
  <c r="AD1905" i="3" s="1"/>
  <c r="AD1906" i="3" a="1"/>
  <c r="AD1906" i="3" s="1"/>
  <c r="AD1907" i="3" a="1"/>
  <c r="AD1907" i="3" s="1"/>
  <c r="AD1908" i="3" a="1"/>
  <c r="AD1908" i="3" s="1"/>
  <c r="AD1909" i="3" a="1"/>
  <c r="AD1909" i="3" s="1"/>
  <c r="AD1910" i="3" a="1"/>
  <c r="AD1910" i="3" s="1"/>
  <c r="AD1911" i="3" a="1"/>
  <c r="AD1911" i="3" s="1"/>
  <c r="AD1912" i="3" a="1"/>
  <c r="AD1912" i="3" s="1"/>
  <c r="AD1913" i="3" a="1"/>
  <c r="AD1913" i="3" s="1"/>
  <c r="AD1914" i="3" a="1"/>
  <c r="AD1914" i="3" s="1"/>
  <c r="AD1915" i="3" a="1"/>
  <c r="AD1915" i="3" s="1"/>
  <c r="AD1916" i="3" a="1"/>
  <c r="AD1916" i="3" s="1"/>
  <c r="AD1917" i="3" a="1"/>
  <c r="AD1917" i="3" s="1"/>
  <c r="AD1918" i="3" a="1"/>
  <c r="AD1918" i="3" s="1"/>
  <c r="AD1919" i="3" a="1"/>
  <c r="AD1919" i="3" s="1"/>
  <c r="AD1920" i="3" a="1"/>
  <c r="AD1920" i="3" s="1"/>
  <c r="AD1921" i="3" a="1"/>
  <c r="AD1921" i="3" s="1"/>
  <c r="AD1922" i="3" a="1"/>
  <c r="AD1922" i="3" s="1"/>
  <c r="AD1923" i="3" a="1"/>
  <c r="AD1923" i="3" s="1"/>
  <c r="AD1924" i="3" a="1"/>
  <c r="AD1924" i="3" s="1"/>
  <c r="AD1925" i="3" a="1"/>
  <c r="AD1925" i="3" s="1"/>
  <c r="AD1926" i="3" a="1"/>
  <c r="AD1926" i="3" s="1"/>
  <c r="AD1927" i="3" a="1"/>
  <c r="AD1927" i="3" s="1"/>
  <c r="AD1928" i="3" a="1"/>
  <c r="AD1928" i="3" s="1"/>
  <c r="AD1929" i="3" a="1"/>
  <c r="AD1929" i="3" s="1"/>
  <c r="AD1930" i="3" a="1"/>
  <c r="AD1930" i="3" s="1"/>
  <c r="AD1931" i="3" a="1"/>
  <c r="AD1931" i="3" s="1"/>
  <c r="AD1932" i="3" a="1"/>
  <c r="AD1932" i="3" s="1"/>
  <c r="AD1933" i="3" a="1"/>
  <c r="AD1933" i="3" s="1"/>
  <c r="AD1934" i="3" a="1"/>
  <c r="AD1934" i="3" s="1"/>
  <c r="AD1935" i="3" a="1"/>
  <c r="AD1935" i="3" s="1"/>
  <c r="AD1936" i="3" a="1"/>
  <c r="AD1936" i="3" s="1"/>
  <c r="AD2" i="3" a="1"/>
  <c r="AD2" i="3" s="1"/>
  <c r="AC18" i="3" a="1"/>
  <c r="AC18" i="3" s="1"/>
  <c r="AC19" i="3" a="1"/>
  <c r="AC19" i="3" s="1"/>
  <c r="AC20" i="3" a="1"/>
  <c r="AC20" i="3" s="1"/>
  <c r="AC21" i="3" a="1"/>
  <c r="AC21" i="3" s="1"/>
  <c r="AC22" i="3" a="1"/>
  <c r="AC22" i="3"/>
  <c r="AC23" i="3" a="1"/>
  <c r="AC23" i="3" s="1"/>
  <c r="AC24" i="3" a="1"/>
  <c r="AC24" i="3" s="1"/>
  <c r="AC25" i="3" a="1"/>
  <c r="AC25" i="3" s="1"/>
  <c r="AC26" i="3" a="1"/>
  <c r="AC26" i="3" s="1"/>
  <c r="AC27" i="3" a="1"/>
  <c r="AC27" i="3" s="1"/>
  <c r="AC28" i="3" a="1"/>
  <c r="AC28" i="3" s="1"/>
  <c r="AC29" i="3" a="1"/>
  <c r="AC29" i="3" s="1"/>
  <c r="AC30" i="3" a="1"/>
  <c r="AC30" i="3" s="1"/>
  <c r="AC31" i="3" a="1"/>
  <c r="AC31" i="3" s="1"/>
  <c r="AC32" i="3" a="1"/>
  <c r="AC32" i="3" s="1"/>
  <c r="AC33" i="3" a="1"/>
  <c r="AC33" i="3" s="1"/>
  <c r="AC34" i="3" a="1"/>
  <c r="AC34" i="3" s="1"/>
  <c r="AC35" i="3" a="1"/>
  <c r="AC35" i="3" s="1"/>
  <c r="AC36" i="3" a="1"/>
  <c r="AC36" i="3" s="1"/>
  <c r="AC37" i="3" a="1"/>
  <c r="AC37" i="3" s="1"/>
  <c r="AC38" i="3" a="1"/>
  <c r="AC38" i="3" s="1"/>
  <c r="AC39" i="3" a="1"/>
  <c r="AC39" i="3" s="1"/>
  <c r="AC40" i="3" a="1"/>
  <c r="AC40" i="3" s="1"/>
  <c r="AC41" i="3" a="1"/>
  <c r="AC41" i="3" s="1"/>
  <c r="AC42" i="3" a="1"/>
  <c r="AC42" i="3" s="1"/>
  <c r="AC43" i="3" a="1"/>
  <c r="AC43" i="3" s="1"/>
  <c r="AC44" i="3" a="1"/>
  <c r="AC44" i="3" s="1"/>
  <c r="AC45" i="3" a="1"/>
  <c r="AC45" i="3" s="1"/>
  <c r="AC46" i="3" a="1"/>
  <c r="AC46" i="3" s="1"/>
  <c r="AC47" i="3" a="1"/>
  <c r="AC47" i="3" s="1"/>
  <c r="AC48" i="3" a="1"/>
  <c r="AC48" i="3" s="1"/>
  <c r="AC49" i="3" a="1"/>
  <c r="AC49" i="3" s="1"/>
  <c r="AC50" i="3" a="1"/>
  <c r="AC50" i="3" s="1"/>
  <c r="AC51" i="3" a="1"/>
  <c r="AC51" i="3" s="1"/>
  <c r="AC52" i="3" a="1"/>
  <c r="AC52" i="3" s="1"/>
  <c r="AC53" i="3" a="1"/>
  <c r="AC53" i="3" s="1"/>
  <c r="AC54" i="3" a="1"/>
  <c r="AC54" i="3" s="1"/>
  <c r="AC55" i="3" a="1"/>
  <c r="AC55" i="3" s="1"/>
  <c r="AC56" i="3" a="1"/>
  <c r="AC56" i="3" s="1"/>
  <c r="AC57" i="3" a="1"/>
  <c r="AC57" i="3" s="1"/>
  <c r="AC58" i="3" a="1"/>
  <c r="AC58" i="3" s="1"/>
  <c r="AC59" i="3" a="1"/>
  <c r="AC59" i="3" s="1"/>
  <c r="AC60" i="3" a="1"/>
  <c r="AC60" i="3" s="1"/>
  <c r="AC61" i="3" a="1"/>
  <c r="AC61" i="3" s="1"/>
  <c r="AC62" i="3" a="1"/>
  <c r="AC62" i="3" s="1"/>
  <c r="AC63" i="3" a="1"/>
  <c r="AC63" i="3" s="1"/>
  <c r="AC64" i="3" a="1"/>
  <c r="AC64" i="3" s="1"/>
  <c r="AC65" i="3" a="1"/>
  <c r="AC65" i="3" s="1"/>
  <c r="AC66" i="3" a="1"/>
  <c r="AC66" i="3" s="1"/>
  <c r="AC67" i="3" a="1"/>
  <c r="AC67" i="3" s="1"/>
  <c r="AC68" i="3" a="1"/>
  <c r="AC68" i="3" s="1"/>
  <c r="AC69" i="3" a="1"/>
  <c r="AC69" i="3" s="1"/>
  <c r="AC70" i="3" a="1"/>
  <c r="AC70" i="3" s="1"/>
  <c r="AC71" i="3" a="1"/>
  <c r="AC71" i="3" s="1"/>
  <c r="AC72" i="3" a="1"/>
  <c r="AC72" i="3" s="1"/>
  <c r="AC73" i="3" a="1"/>
  <c r="AC73" i="3" s="1"/>
  <c r="AC74" i="3" a="1"/>
  <c r="AC74" i="3" s="1"/>
  <c r="AC75" i="3" a="1"/>
  <c r="AC75" i="3" s="1"/>
  <c r="AC76" i="3" a="1"/>
  <c r="AC76" i="3" s="1"/>
  <c r="AC77" i="3" a="1"/>
  <c r="AC77" i="3" s="1"/>
  <c r="AC78" i="3" a="1"/>
  <c r="AC78" i="3" s="1"/>
  <c r="AC79" i="3" a="1"/>
  <c r="AC79" i="3" s="1"/>
  <c r="AC80" i="3" a="1"/>
  <c r="AC80" i="3" s="1"/>
  <c r="AC81" i="3" a="1"/>
  <c r="AC81" i="3" s="1"/>
  <c r="AC82" i="3" a="1"/>
  <c r="AC82" i="3" s="1"/>
  <c r="AC83" i="3" a="1"/>
  <c r="AC83" i="3" s="1"/>
  <c r="AC84" i="3" a="1"/>
  <c r="AC84" i="3" s="1"/>
  <c r="AC85" i="3" a="1"/>
  <c r="AC85" i="3" s="1"/>
  <c r="AC86" i="3" a="1"/>
  <c r="AC86" i="3" s="1"/>
  <c r="AC87" i="3" a="1"/>
  <c r="AC87" i="3" s="1"/>
  <c r="AC88" i="3" a="1"/>
  <c r="AC88" i="3" s="1"/>
  <c r="AC89" i="3" a="1"/>
  <c r="AC89" i="3" s="1"/>
  <c r="AC90" i="3" a="1"/>
  <c r="AC90" i="3" s="1"/>
  <c r="AC91" i="3" a="1"/>
  <c r="AC91" i="3" s="1"/>
  <c r="AC92" i="3" a="1"/>
  <c r="AC92" i="3" s="1"/>
  <c r="AC93" i="3" a="1"/>
  <c r="AC93" i="3" s="1"/>
  <c r="AC94" i="3" a="1"/>
  <c r="AC94" i="3" s="1"/>
  <c r="AC95" i="3" a="1"/>
  <c r="AC95" i="3" s="1"/>
  <c r="AC96" i="3" a="1"/>
  <c r="AC96" i="3" s="1"/>
  <c r="AC97" i="3" a="1"/>
  <c r="AC97" i="3" s="1"/>
  <c r="AC98" i="3" a="1"/>
  <c r="AC98" i="3" s="1"/>
  <c r="AC99" i="3" a="1"/>
  <c r="AC99" i="3" s="1"/>
  <c r="AC100" i="3" a="1"/>
  <c r="AC100" i="3" s="1"/>
  <c r="AC101" i="3" a="1"/>
  <c r="AC101" i="3" s="1"/>
  <c r="AC102" i="3" a="1"/>
  <c r="AC102" i="3" s="1"/>
  <c r="AC103" i="3" a="1"/>
  <c r="AC103" i="3" s="1"/>
  <c r="AC104" i="3" a="1"/>
  <c r="AC104" i="3" s="1"/>
  <c r="AC105" i="3" a="1"/>
  <c r="AC105" i="3" s="1"/>
  <c r="AC106" i="3" a="1"/>
  <c r="AC106" i="3" s="1"/>
  <c r="AC107" i="3" a="1"/>
  <c r="AC107" i="3" s="1"/>
  <c r="AC108" i="3" a="1"/>
  <c r="AC108" i="3" s="1"/>
  <c r="AC109" i="3" a="1"/>
  <c r="AC109" i="3" s="1"/>
  <c r="AC110" i="3" a="1"/>
  <c r="AC110" i="3" s="1"/>
  <c r="AC111" i="3" a="1"/>
  <c r="AC111" i="3" s="1"/>
  <c r="AC112" i="3" a="1"/>
  <c r="AC112" i="3" s="1"/>
  <c r="AC113" i="3" a="1"/>
  <c r="AC113" i="3" s="1"/>
  <c r="AC114" i="3" a="1"/>
  <c r="AC114" i="3" s="1"/>
  <c r="AC115" i="3" a="1"/>
  <c r="AC115" i="3" s="1"/>
  <c r="AC116" i="3" a="1"/>
  <c r="AC116" i="3" s="1"/>
  <c r="AC117" i="3" a="1"/>
  <c r="AC117" i="3" s="1"/>
  <c r="AC118" i="3" a="1"/>
  <c r="AC118" i="3" s="1"/>
  <c r="AC119" i="3" a="1"/>
  <c r="AC119" i="3" s="1"/>
  <c r="AC120" i="3" a="1"/>
  <c r="AC120" i="3" s="1"/>
  <c r="AC121" i="3" a="1"/>
  <c r="AC121" i="3" s="1"/>
  <c r="AC122" i="3" a="1"/>
  <c r="AC122" i="3" s="1"/>
  <c r="AC123" i="3" a="1"/>
  <c r="AC123" i="3" s="1"/>
  <c r="AC124" i="3" a="1"/>
  <c r="AC124" i="3" s="1"/>
  <c r="AC125" i="3" a="1"/>
  <c r="AC125" i="3" s="1"/>
  <c r="AC126" i="3" a="1"/>
  <c r="AC126" i="3" s="1"/>
  <c r="AC127" i="3" a="1"/>
  <c r="AC127" i="3" s="1"/>
  <c r="AC128" i="3" a="1"/>
  <c r="AC128" i="3" s="1"/>
  <c r="AC129" i="3" a="1"/>
  <c r="AC129" i="3" s="1"/>
  <c r="AC130" i="3" a="1"/>
  <c r="AC130" i="3" s="1"/>
  <c r="AC131" i="3" a="1"/>
  <c r="AC131" i="3" s="1"/>
  <c r="AC132" i="3" a="1"/>
  <c r="AC132" i="3" s="1"/>
  <c r="AC133" i="3" a="1"/>
  <c r="AC133" i="3" s="1"/>
  <c r="AC134" i="3" a="1"/>
  <c r="AC134" i="3" s="1"/>
  <c r="AC135" i="3" a="1"/>
  <c r="AC135" i="3" s="1"/>
  <c r="AC136" i="3" a="1"/>
  <c r="AC136" i="3" s="1"/>
  <c r="AC137" i="3" a="1"/>
  <c r="AC137" i="3" s="1"/>
  <c r="AC138" i="3" a="1"/>
  <c r="AC138" i="3" s="1"/>
  <c r="AC139" i="3" a="1"/>
  <c r="AC139" i="3" s="1"/>
  <c r="AC140" i="3" a="1"/>
  <c r="AC140" i="3" s="1"/>
  <c r="AC141" i="3" a="1"/>
  <c r="AC141" i="3" s="1"/>
  <c r="AC142" i="3" a="1"/>
  <c r="AC142" i="3" s="1"/>
  <c r="AC143" i="3" a="1"/>
  <c r="AC143" i="3" s="1"/>
  <c r="AC144" i="3" a="1"/>
  <c r="AC144" i="3" s="1"/>
  <c r="AC145" i="3" a="1"/>
  <c r="AC145" i="3" s="1"/>
  <c r="AC146" i="3" a="1"/>
  <c r="AC146" i="3" s="1"/>
  <c r="AC147" i="3" a="1"/>
  <c r="AC147" i="3" s="1"/>
  <c r="AC148" i="3" a="1"/>
  <c r="AC148" i="3" s="1"/>
  <c r="AC149" i="3" a="1"/>
  <c r="AC149" i="3" s="1"/>
  <c r="AC150" i="3" a="1"/>
  <c r="AC150" i="3" s="1"/>
  <c r="AC151" i="3" a="1"/>
  <c r="AC151" i="3" s="1"/>
  <c r="AC152" i="3" a="1"/>
  <c r="AC152" i="3" s="1"/>
  <c r="AC153" i="3" a="1"/>
  <c r="AC153" i="3" s="1"/>
  <c r="AC154" i="3" a="1"/>
  <c r="AC154" i="3" s="1"/>
  <c r="AC155" i="3" a="1"/>
  <c r="AC155" i="3" s="1"/>
  <c r="AC156" i="3" a="1"/>
  <c r="AC156" i="3" s="1"/>
  <c r="AC157" i="3" a="1"/>
  <c r="AC157" i="3" s="1"/>
  <c r="AC158" i="3" a="1"/>
  <c r="AC158" i="3" s="1"/>
  <c r="AC159" i="3" a="1"/>
  <c r="AC159" i="3" s="1"/>
  <c r="AC160" i="3" a="1"/>
  <c r="AC160" i="3" s="1"/>
  <c r="AC161" i="3" a="1"/>
  <c r="AC161" i="3" s="1"/>
  <c r="AC162" i="3" a="1"/>
  <c r="AC162" i="3" s="1"/>
  <c r="AC163" i="3" a="1"/>
  <c r="AC163" i="3" s="1"/>
  <c r="AC164" i="3" a="1"/>
  <c r="AC164" i="3" s="1"/>
  <c r="AC165" i="3" a="1"/>
  <c r="AC165" i="3" s="1"/>
  <c r="AC166" i="3" a="1"/>
  <c r="AC166" i="3" s="1"/>
  <c r="AC167" i="3" a="1"/>
  <c r="AC167" i="3" s="1"/>
  <c r="AC168" i="3" a="1"/>
  <c r="AC168" i="3" s="1"/>
  <c r="AC169" i="3" a="1"/>
  <c r="AC169" i="3" s="1"/>
  <c r="AC170" i="3" a="1"/>
  <c r="AC170" i="3" s="1"/>
  <c r="AC171" i="3" a="1"/>
  <c r="AC171" i="3" s="1"/>
  <c r="AC172" i="3" a="1"/>
  <c r="AC172" i="3" s="1"/>
  <c r="AC173" i="3" a="1"/>
  <c r="AC173" i="3" s="1"/>
  <c r="AC174" i="3" a="1"/>
  <c r="AC174" i="3" s="1"/>
  <c r="AC175" i="3" a="1"/>
  <c r="AC175" i="3" s="1"/>
  <c r="AC176" i="3" a="1"/>
  <c r="AC176" i="3" s="1"/>
  <c r="AC177" i="3" a="1"/>
  <c r="AC177" i="3" s="1"/>
  <c r="AC178" i="3" a="1"/>
  <c r="AC178" i="3" s="1"/>
  <c r="AC179" i="3" a="1"/>
  <c r="AC179" i="3" s="1"/>
  <c r="AC180" i="3" a="1"/>
  <c r="AC180" i="3" s="1"/>
  <c r="AC181" i="3" a="1"/>
  <c r="AC181" i="3" s="1"/>
  <c r="AC182" i="3" a="1"/>
  <c r="AC182" i="3" s="1"/>
  <c r="AC183" i="3" a="1"/>
  <c r="AC183" i="3" s="1"/>
  <c r="AC184" i="3" a="1"/>
  <c r="AC184" i="3" s="1"/>
  <c r="AC185" i="3" a="1"/>
  <c r="AC185" i="3" s="1"/>
  <c r="AC186" i="3" a="1"/>
  <c r="AC186" i="3" s="1"/>
  <c r="AC187" i="3" a="1"/>
  <c r="AC187" i="3" s="1"/>
  <c r="AC188" i="3" a="1"/>
  <c r="AC188" i="3" s="1"/>
  <c r="AC189" i="3" a="1"/>
  <c r="AC189" i="3" s="1"/>
  <c r="AC190" i="3" a="1"/>
  <c r="AC190" i="3" s="1"/>
  <c r="AC191" i="3" a="1"/>
  <c r="AC191" i="3" s="1"/>
  <c r="AC192" i="3" a="1"/>
  <c r="AC192" i="3" s="1"/>
  <c r="AC193" i="3" a="1"/>
  <c r="AC193" i="3" s="1"/>
  <c r="AC194" i="3" a="1"/>
  <c r="AC194" i="3" s="1"/>
  <c r="AC195" i="3" a="1"/>
  <c r="AC195" i="3" s="1"/>
  <c r="AC196" i="3" a="1"/>
  <c r="AC196" i="3" s="1"/>
  <c r="AC197" i="3" a="1"/>
  <c r="AC197" i="3" s="1"/>
  <c r="AC198" i="3" a="1"/>
  <c r="AC198" i="3" s="1"/>
  <c r="AC199" i="3" a="1"/>
  <c r="AC199" i="3" s="1"/>
  <c r="AC200" i="3" a="1"/>
  <c r="AC200" i="3" s="1"/>
  <c r="AC201" i="3" a="1"/>
  <c r="AC201" i="3" s="1"/>
  <c r="AC202" i="3" a="1"/>
  <c r="AC202" i="3" s="1"/>
  <c r="AC203" i="3" a="1"/>
  <c r="AC203" i="3" s="1"/>
  <c r="AC204" i="3" a="1"/>
  <c r="AC204" i="3" s="1"/>
  <c r="AC205" i="3" a="1"/>
  <c r="AC205" i="3" s="1"/>
  <c r="AC206" i="3" a="1"/>
  <c r="AC206" i="3" s="1"/>
  <c r="AC207" i="3" a="1"/>
  <c r="AC207" i="3" s="1"/>
  <c r="AC208" i="3" a="1"/>
  <c r="AC208" i="3" s="1"/>
  <c r="AC209" i="3" a="1"/>
  <c r="AC209" i="3" s="1"/>
  <c r="AC210" i="3" a="1"/>
  <c r="AC210" i="3" s="1"/>
  <c r="AC211" i="3" a="1"/>
  <c r="AC211" i="3" s="1"/>
  <c r="AC212" i="3" a="1"/>
  <c r="AC212" i="3" s="1"/>
  <c r="AC213" i="3" a="1"/>
  <c r="AC213" i="3" s="1"/>
  <c r="AC214" i="3" a="1"/>
  <c r="AC214" i="3" s="1"/>
  <c r="AC215" i="3" a="1"/>
  <c r="AC215" i="3" s="1"/>
  <c r="AC216" i="3" a="1"/>
  <c r="AC216" i="3" s="1"/>
  <c r="AC217" i="3" a="1"/>
  <c r="AC217" i="3" s="1"/>
  <c r="AC218" i="3" a="1"/>
  <c r="AC218" i="3" s="1"/>
  <c r="AC219" i="3" a="1"/>
  <c r="AC219" i="3" s="1"/>
  <c r="AC220" i="3" a="1"/>
  <c r="AC220" i="3" s="1"/>
  <c r="AC221" i="3" a="1"/>
  <c r="AC221" i="3" s="1"/>
  <c r="AC222" i="3" a="1"/>
  <c r="AC222" i="3" s="1"/>
  <c r="AC223" i="3" a="1"/>
  <c r="AC223" i="3" s="1"/>
  <c r="AC224" i="3" a="1"/>
  <c r="AC224" i="3" s="1"/>
  <c r="AC225" i="3" a="1"/>
  <c r="AC225" i="3" s="1"/>
  <c r="AC226" i="3" a="1"/>
  <c r="AC226" i="3" s="1"/>
  <c r="AC227" i="3" a="1"/>
  <c r="AC227" i="3" s="1"/>
  <c r="AC228" i="3" a="1"/>
  <c r="AC228" i="3" s="1"/>
  <c r="AC229" i="3" a="1"/>
  <c r="AC229" i="3" s="1"/>
  <c r="AC230" i="3" a="1"/>
  <c r="AC230" i="3" s="1"/>
  <c r="AC231" i="3" a="1"/>
  <c r="AC231" i="3" s="1"/>
  <c r="AC232" i="3" a="1"/>
  <c r="AC232" i="3" s="1"/>
  <c r="AC233" i="3" a="1"/>
  <c r="AC233" i="3" s="1"/>
  <c r="AC234" i="3" a="1"/>
  <c r="AC234" i="3" s="1"/>
  <c r="AC235" i="3" a="1"/>
  <c r="AC235" i="3" s="1"/>
  <c r="AC236" i="3" a="1"/>
  <c r="AC236" i="3" s="1"/>
  <c r="AC237" i="3" a="1"/>
  <c r="AC237" i="3" s="1"/>
  <c r="AC238" i="3" a="1"/>
  <c r="AC238" i="3" s="1"/>
  <c r="AC239" i="3" a="1"/>
  <c r="AC239" i="3" s="1"/>
  <c r="AC240" i="3" a="1"/>
  <c r="AC240" i="3" s="1"/>
  <c r="AC241" i="3" a="1"/>
  <c r="AC241" i="3" s="1"/>
  <c r="AC242" i="3" a="1"/>
  <c r="AC242" i="3" s="1"/>
  <c r="AC243" i="3" a="1"/>
  <c r="AC243" i="3" s="1"/>
  <c r="AC244" i="3" a="1"/>
  <c r="AC244" i="3" s="1"/>
  <c r="AC245" i="3" a="1"/>
  <c r="AC245" i="3" s="1"/>
  <c r="AC246" i="3" a="1"/>
  <c r="AC246" i="3" s="1"/>
  <c r="AC247" i="3" a="1"/>
  <c r="AC247" i="3" s="1"/>
  <c r="AC248" i="3" a="1"/>
  <c r="AC248" i="3" s="1"/>
  <c r="AC249" i="3" a="1"/>
  <c r="AC249" i="3" s="1"/>
  <c r="AC250" i="3" a="1"/>
  <c r="AC250" i="3" s="1"/>
  <c r="AC251" i="3" a="1"/>
  <c r="AC251" i="3" s="1"/>
  <c r="AC252" i="3" a="1"/>
  <c r="AC252" i="3" s="1"/>
  <c r="AC253" i="3" a="1"/>
  <c r="AC253" i="3" s="1"/>
  <c r="AC254" i="3" a="1"/>
  <c r="AC254" i="3" s="1"/>
  <c r="AC255" i="3" a="1"/>
  <c r="AC255" i="3" s="1"/>
  <c r="AC256" i="3" a="1"/>
  <c r="AC256" i="3" s="1"/>
  <c r="AC257" i="3" a="1"/>
  <c r="AC257" i="3" s="1"/>
  <c r="AC258" i="3" a="1"/>
  <c r="AC258" i="3" s="1"/>
  <c r="AC259" i="3" a="1"/>
  <c r="AC259" i="3" s="1"/>
  <c r="AC260" i="3" a="1"/>
  <c r="AC260" i="3" s="1"/>
  <c r="AC261" i="3" a="1"/>
  <c r="AC261" i="3" s="1"/>
  <c r="AC262" i="3" a="1"/>
  <c r="AC262" i="3" s="1"/>
  <c r="AC263" i="3" a="1"/>
  <c r="AC263" i="3" s="1"/>
  <c r="AC264" i="3" a="1"/>
  <c r="AC264" i="3" s="1"/>
  <c r="AC265" i="3" a="1"/>
  <c r="AC265" i="3" s="1"/>
  <c r="AC266" i="3" a="1"/>
  <c r="AC266" i="3" s="1"/>
  <c r="AC267" i="3" a="1"/>
  <c r="AC267" i="3" s="1"/>
  <c r="AC268" i="3" a="1"/>
  <c r="AC268" i="3" s="1"/>
  <c r="AC269" i="3" a="1"/>
  <c r="AC269" i="3" s="1"/>
  <c r="AC270" i="3" a="1"/>
  <c r="AC270" i="3" s="1"/>
  <c r="AC271" i="3" a="1"/>
  <c r="AC271" i="3" s="1"/>
  <c r="AC272" i="3" a="1"/>
  <c r="AC272" i="3" s="1"/>
  <c r="AC273" i="3" a="1"/>
  <c r="AC273" i="3" s="1"/>
  <c r="AC274" i="3" a="1"/>
  <c r="AC274" i="3" s="1"/>
  <c r="AC275" i="3" a="1"/>
  <c r="AC275" i="3" s="1"/>
  <c r="AC276" i="3" a="1"/>
  <c r="AC276" i="3" s="1"/>
  <c r="AC277" i="3" a="1"/>
  <c r="AC277" i="3" s="1"/>
  <c r="AC278" i="3" a="1"/>
  <c r="AC278" i="3" s="1"/>
  <c r="AC279" i="3" a="1"/>
  <c r="AC279" i="3" s="1"/>
  <c r="AC280" i="3" a="1"/>
  <c r="AC280" i="3" s="1"/>
  <c r="AC281" i="3" a="1"/>
  <c r="AC281" i="3" s="1"/>
  <c r="AC282" i="3" a="1"/>
  <c r="AC282" i="3" s="1"/>
  <c r="AC283" i="3" a="1"/>
  <c r="AC283" i="3" s="1"/>
  <c r="AC284" i="3" a="1"/>
  <c r="AC284" i="3" s="1"/>
  <c r="AC285" i="3" a="1"/>
  <c r="AC285" i="3" s="1"/>
  <c r="AC286" i="3" a="1"/>
  <c r="AC286" i="3" s="1"/>
  <c r="AC287" i="3" a="1"/>
  <c r="AC287" i="3" s="1"/>
  <c r="AC288" i="3" a="1"/>
  <c r="AC288" i="3" s="1"/>
  <c r="AC289" i="3" a="1"/>
  <c r="AC289" i="3" s="1"/>
  <c r="AC290" i="3" a="1"/>
  <c r="AC290" i="3" s="1"/>
  <c r="AC291" i="3" a="1"/>
  <c r="AC291" i="3" s="1"/>
  <c r="AC292" i="3" a="1"/>
  <c r="AC292" i="3" s="1"/>
  <c r="AC293" i="3" a="1"/>
  <c r="AC293" i="3" s="1"/>
  <c r="AC294" i="3" a="1"/>
  <c r="AC294" i="3" s="1"/>
  <c r="AC295" i="3" a="1"/>
  <c r="AC295" i="3" s="1"/>
  <c r="AC296" i="3" a="1"/>
  <c r="AC296" i="3" s="1"/>
  <c r="AC297" i="3" a="1"/>
  <c r="AC297" i="3" s="1"/>
  <c r="AC298" i="3" a="1"/>
  <c r="AC298" i="3" s="1"/>
  <c r="AC299" i="3" a="1"/>
  <c r="AC299" i="3" s="1"/>
  <c r="AC300" i="3" a="1"/>
  <c r="AC300" i="3" s="1"/>
  <c r="AC301" i="3" a="1"/>
  <c r="AC301" i="3" s="1"/>
  <c r="AC302" i="3" a="1"/>
  <c r="AC302" i="3" s="1"/>
  <c r="AC303" i="3" a="1"/>
  <c r="AC303" i="3" s="1"/>
  <c r="AC304" i="3" a="1"/>
  <c r="AC304" i="3" s="1"/>
  <c r="AC305" i="3" a="1"/>
  <c r="AC305" i="3" s="1"/>
  <c r="AC306" i="3" a="1"/>
  <c r="AC306" i="3" s="1"/>
  <c r="AC307" i="3" a="1"/>
  <c r="AC307" i="3" s="1"/>
  <c r="AC308" i="3" a="1"/>
  <c r="AC308" i="3" s="1"/>
  <c r="AC309" i="3" a="1"/>
  <c r="AC309" i="3" s="1"/>
  <c r="AC310" i="3" a="1"/>
  <c r="AC310" i="3" s="1"/>
  <c r="AC311" i="3" a="1"/>
  <c r="AC311" i="3" s="1"/>
  <c r="AC312" i="3" a="1"/>
  <c r="AC312" i="3" s="1"/>
  <c r="AC313" i="3" a="1"/>
  <c r="AC313" i="3" s="1"/>
  <c r="AC314" i="3" a="1"/>
  <c r="AC314" i="3" s="1"/>
  <c r="AC315" i="3" a="1"/>
  <c r="AC315" i="3" s="1"/>
  <c r="AC316" i="3" a="1"/>
  <c r="AC316" i="3" s="1"/>
  <c r="AC317" i="3" a="1"/>
  <c r="AC317" i="3" s="1"/>
  <c r="AC318" i="3" a="1"/>
  <c r="AC318" i="3" s="1"/>
  <c r="AC319" i="3" a="1"/>
  <c r="AC319" i="3" s="1"/>
  <c r="AC320" i="3" a="1"/>
  <c r="AC320" i="3" s="1"/>
  <c r="AC321" i="3" a="1"/>
  <c r="AC321" i="3" s="1"/>
  <c r="AC322" i="3" a="1"/>
  <c r="AC322" i="3" s="1"/>
  <c r="AC323" i="3" a="1"/>
  <c r="AC323" i="3" s="1"/>
  <c r="AC324" i="3" a="1"/>
  <c r="AC324" i="3" s="1"/>
  <c r="AC325" i="3" a="1"/>
  <c r="AC325" i="3" s="1"/>
  <c r="AC326" i="3" a="1"/>
  <c r="AC326" i="3" s="1"/>
  <c r="AC327" i="3" a="1"/>
  <c r="AC327" i="3" s="1"/>
  <c r="AC328" i="3" a="1"/>
  <c r="AC328" i="3" s="1"/>
  <c r="AC329" i="3" a="1"/>
  <c r="AC329" i="3" s="1"/>
  <c r="AC330" i="3" a="1"/>
  <c r="AC330" i="3" s="1"/>
  <c r="AC331" i="3" a="1"/>
  <c r="AC331" i="3" s="1"/>
  <c r="AC332" i="3" a="1"/>
  <c r="AC332" i="3" s="1"/>
  <c r="AC333" i="3" a="1"/>
  <c r="AC333" i="3" s="1"/>
  <c r="AC334" i="3" a="1"/>
  <c r="AC334" i="3" s="1"/>
  <c r="AC335" i="3" a="1"/>
  <c r="AC335" i="3" s="1"/>
  <c r="AC336" i="3" a="1"/>
  <c r="AC336" i="3" s="1"/>
  <c r="AC337" i="3" a="1"/>
  <c r="AC337" i="3" s="1"/>
  <c r="AC338" i="3" a="1"/>
  <c r="AC338" i="3" s="1"/>
  <c r="AC339" i="3" a="1"/>
  <c r="AC339" i="3" s="1"/>
  <c r="AC340" i="3" a="1"/>
  <c r="AC340" i="3" s="1"/>
  <c r="AC341" i="3" a="1"/>
  <c r="AC341" i="3" s="1"/>
  <c r="AC342" i="3" a="1"/>
  <c r="AC342" i="3" s="1"/>
  <c r="AC343" i="3" a="1"/>
  <c r="AC343" i="3" s="1"/>
  <c r="AC344" i="3" a="1"/>
  <c r="AC344" i="3" s="1"/>
  <c r="AC345" i="3" a="1"/>
  <c r="AC345" i="3" s="1"/>
  <c r="AC346" i="3" a="1"/>
  <c r="AC346" i="3" s="1"/>
  <c r="AC347" i="3" a="1"/>
  <c r="AC347" i="3" s="1"/>
  <c r="AC348" i="3" a="1"/>
  <c r="AC348" i="3" s="1"/>
  <c r="AC349" i="3" a="1"/>
  <c r="AC349" i="3" s="1"/>
  <c r="AC350" i="3" a="1"/>
  <c r="AC350" i="3" s="1"/>
  <c r="AC351" i="3" a="1"/>
  <c r="AC351" i="3" s="1"/>
  <c r="AC352" i="3" a="1"/>
  <c r="AC352" i="3" s="1"/>
  <c r="AC353" i="3" a="1"/>
  <c r="AC353" i="3" s="1"/>
  <c r="AC354" i="3" a="1"/>
  <c r="AC354" i="3" s="1"/>
  <c r="AC355" i="3" a="1"/>
  <c r="AC355" i="3" s="1"/>
  <c r="AC356" i="3" a="1"/>
  <c r="AC356" i="3" s="1"/>
  <c r="AC357" i="3" a="1"/>
  <c r="AC357" i="3" s="1"/>
  <c r="AC358" i="3" a="1"/>
  <c r="AC358" i="3" s="1"/>
  <c r="AC359" i="3" a="1"/>
  <c r="AC359" i="3" s="1"/>
  <c r="AC360" i="3" a="1"/>
  <c r="AC360" i="3" s="1"/>
  <c r="AC361" i="3" a="1"/>
  <c r="AC361" i="3" s="1"/>
  <c r="AC362" i="3" a="1"/>
  <c r="AC362" i="3" s="1"/>
  <c r="AC363" i="3" a="1"/>
  <c r="AC363" i="3" s="1"/>
  <c r="AC364" i="3" a="1"/>
  <c r="AC364" i="3" s="1"/>
  <c r="AC365" i="3" a="1"/>
  <c r="AC365" i="3" s="1"/>
  <c r="AC366" i="3" a="1"/>
  <c r="AC366" i="3" s="1"/>
  <c r="AC367" i="3" a="1"/>
  <c r="AC367" i="3" s="1"/>
  <c r="AC368" i="3" a="1"/>
  <c r="AC368" i="3" s="1"/>
  <c r="AC369" i="3" a="1"/>
  <c r="AC369" i="3" s="1"/>
  <c r="AC370" i="3" a="1"/>
  <c r="AC370" i="3" s="1"/>
  <c r="AC371" i="3" a="1"/>
  <c r="AC371" i="3" s="1"/>
  <c r="AC372" i="3" a="1"/>
  <c r="AC372" i="3" s="1"/>
  <c r="AC373" i="3" a="1"/>
  <c r="AC373" i="3" s="1"/>
  <c r="AC374" i="3" a="1"/>
  <c r="AC374" i="3" s="1"/>
  <c r="AC375" i="3" a="1"/>
  <c r="AC375" i="3" s="1"/>
  <c r="AC376" i="3" a="1"/>
  <c r="AC376" i="3" s="1"/>
  <c r="AC377" i="3" a="1"/>
  <c r="AC377" i="3" s="1"/>
  <c r="AC378" i="3" a="1"/>
  <c r="AC378" i="3" s="1"/>
  <c r="AC379" i="3" a="1"/>
  <c r="AC379" i="3" s="1"/>
  <c r="AC380" i="3" a="1"/>
  <c r="AC380" i="3" s="1"/>
  <c r="AC381" i="3" a="1"/>
  <c r="AC381" i="3" s="1"/>
  <c r="AC382" i="3" a="1"/>
  <c r="AC382" i="3" s="1"/>
  <c r="AC383" i="3" a="1"/>
  <c r="AC383" i="3" s="1"/>
  <c r="AC384" i="3" a="1"/>
  <c r="AC384" i="3" s="1"/>
  <c r="AC385" i="3" a="1"/>
  <c r="AC385" i="3" s="1"/>
  <c r="AC386" i="3" a="1"/>
  <c r="AC386" i="3" s="1"/>
  <c r="AC387" i="3" a="1"/>
  <c r="AC387" i="3" s="1"/>
  <c r="AC388" i="3" a="1"/>
  <c r="AC388" i="3" s="1"/>
  <c r="AC389" i="3" a="1"/>
  <c r="AC389" i="3" s="1"/>
  <c r="AC390" i="3" a="1"/>
  <c r="AC390" i="3" s="1"/>
  <c r="AC391" i="3" a="1"/>
  <c r="AC391" i="3" s="1"/>
  <c r="AC392" i="3" a="1"/>
  <c r="AC392" i="3" s="1"/>
  <c r="AC393" i="3" a="1"/>
  <c r="AC393" i="3" s="1"/>
  <c r="AC394" i="3" a="1"/>
  <c r="AC394" i="3" s="1"/>
  <c r="AC395" i="3" a="1"/>
  <c r="AC395" i="3" s="1"/>
  <c r="AC396" i="3" a="1"/>
  <c r="AC396" i="3" s="1"/>
  <c r="AC397" i="3" a="1"/>
  <c r="AC397" i="3" s="1"/>
  <c r="AC398" i="3" a="1"/>
  <c r="AC398" i="3" s="1"/>
  <c r="AC399" i="3" a="1"/>
  <c r="AC399" i="3" s="1"/>
  <c r="AC400" i="3" a="1"/>
  <c r="AC400" i="3" s="1"/>
  <c r="AC401" i="3" a="1"/>
  <c r="AC401" i="3" s="1"/>
  <c r="AC402" i="3" a="1"/>
  <c r="AC402" i="3" s="1"/>
  <c r="AC403" i="3" a="1"/>
  <c r="AC403" i="3" s="1"/>
  <c r="AC404" i="3" a="1"/>
  <c r="AC404" i="3" s="1"/>
  <c r="AC405" i="3" a="1"/>
  <c r="AC405" i="3" s="1"/>
  <c r="AC406" i="3" a="1"/>
  <c r="AC406" i="3" s="1"/>
  <c r="AC407" i="3" a="1"/>
  <c r="AC407" i="3" s="1"/>
  <c r="AC408" i="3" a="1"/>
  <c r="AC408" i="3" s="1"/>
  <c r="AC409" i="3" a="1"/>
  <c r="AC409" i="3" s="1"/>
  <c r="AC410" i="3" a="1"/>
  <c r="AC410" i="3" s="1"/>
  <c r="AC411" i="3" a="1"/>
  <c r="AC411" i="3" s="1"/>
  <c r="AC412" i="3" a="1"/>
  <c r="AC412" i="3" s="1"/>
  <c r="AC413" i="3" a="1"/>
  <c r="AC413" i="3" s="1"/>
  <c r="AC414" i="3" a="1"/>
  <c r="AC414" i="3" s="1"/>
  <c r="AC415" i="3" a="1"/>
  <c r="AC415" i="3" s="1"/>
  <c r="AC416" i="3" a="1"/>
  <c r="AC416" i="3" s="1"/>
  <c r="AC417" i="3" a="1"/>
  <c r="AC417" i="3" s="1"/>
  <c r="AC418" i="3" a="1"/>
  <c r="AC418" i="3" s="1"/>
  <c r="AC419" i="3" a="1"/>
  <c r="AC419" i="3" s="1"/>
  <c r="AC420" i="3" a="1"/>
  <c r="AC420" i="3" s="1"/>
  <c r="AC421" i="3" a="1"/>
  <c r="AC421" i="3" s="1"/>
  <c r="AC422" i="3" a="1"/>
  <c r="AC422" i="3" s="1"/>
  <c r="AC423" i="3" a="1"/>
  <c r="AC423" i="3" s="1"/>
  <c r="AC424" i="3" a="1"/>
  <c r="AC424" i="3" s="1"/>
  <c r="AC425" i="3" a="1"/>
  <c r="AC425" i="3" s="1"/>
  <c r="AC426" i="3" a="1"/>
  <c r="AC426" i="3" s="1"/>
  <c r="AC427" i="3" a="1"/>
  <c r="AC427" i="3" s="1"/>
  <c r="AC428" i="3" a="1"/>
  <c r="AC428" i="3" s="1"/>
  <c r="AC429" i="3" a="1"/>
  <c r="AC429" i="3" s="1"/>
  <c r="AC430" i="3" a="1"/>
  <c r="AC430" i="3" s="1"/>
  <c r="AC431" i="3" a="1"/>
  <c r="AC431" i="3" s="1"/>
  <c r="AC432" i="3" a="1"/>
  <c r="AC432" i="3" s="1"/>
  <c r="AC433" i="3" a="1"/>
  <c r="AC433" i="3" s="1"/>
  <c r="AC434" i="3" a="1"/>
  <c r="AC434" i="3" s="1"/>
  <c r="AC435" i="3" a="1"/>
  <c r="AC435" i="3" s="1"/>
  <c r="AC436" i="3" a="1"/>
  <c r="AC436" i="3" s="1"/>
  <c r="AC437" i="3" a="1"/>
  <c r="AC437" i="3" s="1"/>
  <c r="AC438" i="3" a="1"/>
  <c r="AC438" i="3" s="1"/>
  <c r="AC439" i="3" a="1"/>
  <c r="AC439" i="3" s="1"/>
  <c r="AC440" i="3" a="1"/>
  <c r="AC440" i="3" s="1"/>
  <c r="AC441" i="3" a="1"/>
  <c r="AC441" i="3" s="1"/>
  <c r="AC442" i="3" a="1"/>
  <c r="AC442" i="3" s="1"/>
  <c r="AC443" i="3" a="1"/>
  <c r="AC443" i="3" s="1"/>
  <c r="AC444" i="3" a="1"/>
  <c r="AC444" i="3" s="1"/>
  <c r="AC445" i="3" a="1"/>
  <c r="AC445" i="3" s="1"/>
  <c r="AC446" i="3" a="1"/>
  <c r="AC446" i="3" s="1"/>
  <c r="AC447" i="3" a="1"/>
  <c r="AC447" i="3" s="1"/>
  <c r="AC448" i="3" a="1"/>
  <c r="AC448" i="3" s="1"/>
  <c r="AC449" i="3" a="1"/>
  <c r="AC449" i="3" s="1"/>
  <c r="AC450" i="3" a="1"/>
  <c r="AC450" i="3" s="1"/>
  <c r="AC451" i="3" a="1"/>
  <c r="AC451" i="3" s="1"/>
  <c r="AC452" i="3" a="1"/>
  <c r="AC452" i="3" s="1"/>
  <c r="AC453" i="3" a="1"/>
  <c r="AC453" i="3" s="1"/>
  <c r="AC454" i="3" a="1"/>
  <c r="AC454" i="3" s="1"/>
  <c r="AC455" i="3" a="1"/>
  <c r="AC455" i="3" s="1"/>
  <c r="AC456" i="3" a="1"/>
  <c r="AC456" i="3" s="1"/>
  <c r="AC457" i="3" a="1"/>
  <c r="AC457" i="3" s="1"/>
  <c r="AC458" i="3" a="1"/>
  <c r="AC458" i="3" s="1"/>
  <c r="AC459" i="3" a="1"/>
  <c r="AC459" i="3" s="1"/>
  <c r="AC460" i="3" a="1"/>
  <c r="AC460" i="3" s="1"/>
  <c r="AC461" i="3" a="1"/>
  <c r="AC461" i="3" s="1"/>
  <c r="AC462" i="3" a="1"/>
  <c r="AC462" i="3" s="1"/>
  <c r="AC463" i="3" a="1"/>
  <c r="AC463" i="3" s="1"/>
  <c r="AC464" i="3" a="1"/>
  <c r="AC464" i="3" s="1"/>
  <c r="AC465" i="3" a="1"/>
  <c r="AC465" i="3" s="1"/>
  <c r="AC466" i="3" a="1"/>
  <c r="AC466" i="3" s="1"/>
  <c r="AC467" i="3" a="1"/>
  <c r="AC467" i="3" s="1"/>
  <c r="AC468" i="3" a="1"/>
  <c r="AC468" i="3" s="1"/>
  <c r="AC469" i="3" a="1"/>
  <c r="AC469" i="3" s="1"/>
  <c r="AC470" i="3" a="1"/>
  <c r="AC470" i="3" s="1"/>
  <c r="AC471" i="3" a="1"/>
  <c r="AC471" i="3" s="1"/>
  <c r="AC472" i="3" a="1"/>
  <c r="AC472" i="3" s="1"/>
  <c r="AC473" i="3" a="1"/>
  <c r="AC473" i="3" s="1"/>
  <c r="AC474" i="3" a="1"/>
  <c r="AC474" i="3" s="1"/>
  <c r="AC475" i="3" a="1"/>
  <c r="AC475" i="3" s="1"/>
  <c r="AC476" i="3" a="1"/>
  <c r="AC476" i="3" s="1"/>
  <c r="AC477" i="3" a="1"/>
  <c r="AC477" i="3" s="1"/>
  <c r="AC478" i="3" a="1"/>
  <c r="AC478" i="3" s="1"/>
  <c r="AC479" i="3" a="1"/>
  <c r="AC479" i="3" s="1"/>
  <c r="AC480" i="3" a="1"/>
  <c r="AC480" i="3" s="1"/>
  <c r="AC481" i="3" a="1"/>
  <c r="AC481" i="3" s="1"/>
  <c r="AC482" i="3" a="1"/>
  <c r="AC482" i="3" s="1"/>
  <c r="AC483" i="3" a="1"/>
  <c r="AC483" i="3" s="1"/>
  <c r="AC484" i="3" a="1"/>
  <c r="AC484" i="3" s="1"/>
  <c r="AC485" i="3" a="1"/>
  <c r="AC485" i="3" s="1"/>
  <c r="AC492" i="3" a="1"/>
  <c r="AC492" i="3" s="1"/>
  <c r="AC493" i="3" a="1"/>
  <c r="AC493" i="3" s="1"/>
  <c r="AC494" i="3" a="1"/>
  <c r="AC494" i="3" s="1"/>
  <c r="AC495" i="3" a="1"/>
  <c r="AC495" i="3" s="1"/>
  <c r="AC496" i="3" a="1"/>
  <c r="AC496" i="3" s="1"/>
  <c r="AC497" i="3" a="1"/>
  <c r="AC497" i="3" s="1"/>
  <c r="AC498" i="3" a="1"/>
  <c r="AC498" i="3" s="1"/>
  <c r="AC499" i="3" a="1"/>
  <c r="AC499" i="3" s="1"/>
  <c r="AC500" i="3" a="1"/>
  <c r="AC500" i="3" s="1"/>
  <c r="AC501" i="3" a="1"/>
  <c r="AC501" i="3" s="1"/>
  <c r="AC502" i="3" a="1"/>
  <c r="AC502" i="3" s="1"/>
  <c r="AC503" i="3" a="1"/>
  <c r="AC503" i="3" s="1"/>
  <c r="AC504" i="3" a="1"/>
  <c r="AC504" i="3" s="1"/>
  <c r="AC505" i="3" a="1"/>
  <c r="AC505" i="3" s="1"/>
  <c r="AC506" i="3" a="1"/>
  <c r="AC506" i="3" s="1"/>
  <c r="AC507" i="3" a="1"/>
  <c r="AC507" i="3" s="1"/>
  <c r="AC508" i="3" a="1"/>
  <c r="AC508" i="3" s="1"/>
  <c r="AC509" i="3" a="1"/>
  <c r="AC509" i="3" s="1"/>
  <c r="AC510" i="3" a="1"/>
  <c r="AC510" i="3" s="1"/>
  <c r="AC511" i="3" a="1"/>
  <c r="AC511" i="3" s="1"/>
  <c r="AC512" i="3" a="1"/>
  <c r="AC512" i="3" s="1"/>
  <c r="AC513" i="3" a="1"/>
  <c r="AC513" i="3" s="1"/>
  <c r="AC514" i="3" a="1"/>
  <c r="AC514" i="3" s="1"/>
  <c r="AC515" i="3" a="1"/>
  <c r="AC515" i="3" s="1"/>
  <c r="AC516" i="3" a="1"/>
  <c r="AC516" i="3" s="1"/>
  <c r="AC517" i="3" a="1"/>
  <c r="AC517" i="3" s="1"/>
  <c r="AC518" i="3" a="1"/>
  <c r="AC518" i="3" s="1"/>
  <c r="AC519" i="3" a="1"/>
  <c r="AC519" i="3" s="1"/>
  <c r="AC520" i="3" a="1"/>
  <c r="AC520" i="3" s="1"/>
  <c r="AC521" i="3" a="1"/>
  <c r="AC521" i="3" s="1"/>
  <c r="AC522" i="3" a="1"/>
  <c r="AC522" i="3" s="1"/>
  <c r="AC523" i="3" a="1"/>
  <c r="AC523" i="3" s="1"/>
  <c r="AC524" i="3" a="1"/>
  <c r="AC524" i="3" s="1"/>
  <c r="AC525" i="3" a="1"/>
  <c r="AC525" i="3" s="1"/>
  <c r="AC526" i="3" a="1"/>
  <c r="AC526" i="3" s="1"/>
  <c r="AC527" i="3" a="1"/>
  <c r="AC527" i="3" s="1"/>
  <c r="AC528" i="3" a="1"/>
  <c r="AC528" i="3" s="1"/>
  <c r="AC529" i="3" a="1"/>
  <c r="AC529" i="3" s="1"/>
  <c r="AC530" i="3" a="1"/>
  <c r="AC530" i="3" s="1"/>
  <c r="AC531" i="3" a="1"/>
  <c r="AC531" i="3" s="1"/>
  <c r="AC532" i="3" a="1"/>
  <c r="AC532" i="3" s="1"/>
  <c r="AC533" i="3" a="1"/>
  <c r="AC533" i="3" s="1"/>
  <c r="AC534" i="3" a="1"/>
  <c r="AC534" i="3" s="1"/>
  <c r="AC535" i="3" a="1"/>
  <c r="AC535" i="3" s="1"/>
  <c r="AC536" i="3" a="1"/>
  <c r="AC536" i="3" s="1"/>
  <c r="AC537" i="3" a="1"/>
  <c r="AC537" i="3" s="1"/>
  <c r="AC538" i="3" a="1"/>
  <c r="AC538" i="3" s="1"/>
  <c r="AC539" i="3" a="1"/>
  <c r="AC539" i="3" s="1"/>
  <c r="AC540" i="3" a="1"/>
  <c r="AC540" i="3" s="1"/>
  <c r="AC541" i="3" a="1"/>
  <c r="AC541" i="3" s="1"/>
  <c r="AC542" i="3" a="1"/>
  <c r="AC542" i="3" s="1"/>
  <c r="AC543" i="3" a="1"/>
  <c r="AC543" i="3" s="1"/>
  <c r="AC544" i="3" a="1"/>
  <c r="AC544" i="3" s="1"/>
  <c r="AC545" i="3" a="1"/>
  <c r="AC545" i="3" s="1"/>
  <c r="AC546" i="3" a="1"/>
  <c r="AC546" i="3" s="1"/>
  <c r="AC547" i="3" a="1"/>
  <c r="AC547" i="3" s="1"/>
  <c r="AC548" i="3" a="1"/>
  <c r="AC548" i="3" s="1"/>
  <c r="AC549" i="3" a="1"/>
  <c r="AC549" i="3" s="1"/>
  <c r="AC550" i="3" a="1"/>
  <c r="AC550" i="3" s="1"/>
  <c r="AC551" i="3" a="1"/>
  <c r="AC551" i="3" s="1"/>
  <c r="AC552" i="3" a="1"/>
  <c r="AC552" i="3" s="1"/>
  <c r="AC553" i="3" a="1"/>
  <c r="AC553" i="3" s="1"/>
  <c r="AC554" i="3" a="1"/>
  <c r="AC554" i="3" s="1"/>
  <c r="AC555" i="3" a="1"/>
  <c r="AC555" i="3" s="1"/>
  <c r="AC556" i="3" a="1"/>
  <c r="AC556" i="3" s="1"/>
  <c r="AC557" i="3" a="1"/>
  <c r="AC557" i="3" s="1"/>
  <c r="AC558" i="3" a="1"/>
  <c r="AC558" i="3" s="1"/>
  <c r="AC559" i="3" a="1"/>
  <c r="AC559" i="3" s="1"/>
  <c r="AC560" i="3" a="1"/>
  <c r="AC560" i="3" s="1"/>
  <c r="AC561" i="3" a="1"/>
  <c r="AC561" i="3" s="1"/>
  <c r="AC562" i="3" a="1"/>
  <c r="AC562" i="3" s="1"/>
  <c r="AC563" i="3" a="1"/>
  <c r="AC563" i="3" s="1"/>
  <c r="AC564" i="3" a="1"/>
  <c r="AC564" i="3" s="1"/>
  <c r="AC565" i="3" a="1"/>
  <c r="AC565" i="3" s="1"/>
  <c r="AC566" i="3" a="1"/>
  <c r="AC566" i="3" s="1"/>
  <c r="AC567" i="3" a="1"/>
  <c r="AC567" i="3" s="1"/>
  <c r="AC568" i="3" a="1"/>
  <c r="AC568" i="3" s="1"/>
  <c r="AC569" i="3" a="1"/>
  <c r="AC569" i="3" s="1"/>
  <c r="AC570" i="3" a="1"/>
  <c r="AC570" i="3" s="1"/>
  <c r="AC571" i="3" a="1"/>
  <c r="AC571" i="3" s="1"/>
  <c r="AC572" i="3" a="1"/>
  <c r="AC572" i="3" s="1"/>
  <c r="AC573" i="3" a="1"/>
  <c r="AC573" i="3" s="1"/>
  <c r="AC574" i="3" a="1"/>
  <c r="AC574" i="3" s="1"/>
  <c r="AC575" i="3" a="1"/>
  <c r="AC575" i="3" s="1"/>
  <c r="AC576" i="3" a="1"/>
  <c r="AC576" i="3" s="1"/>
  <c r="AC577" i="3" a="1"/>
  <c r="AC577" i="3" s="1"/>
  <c r="AC578" i="3" a="1"/>
  <c r="AC578" i="3" s="1"/>
  <c r="AC579" i="3" a="1"/>
  <c r="AC579" i="3" s="1"/>
  <c r="AC580" i="3" a="1"/>
  <c r="AC580" i="3" s="1"/>
  <c r="AC581" i="3" a="1"/>
  <c r="AC581" i="3" s="1"/>
  <c r="AC582" i="3" a="1"/>
  <c r="AC582" i="3" s="1"/>
  <c r="AC583" i="3" a="1"/>
  <c r="AC583" i="3" s="1"/>
  <c r="AC584" i="3" a="1"/>
  <c r="AC584" i="3" s="1"/>
  <c r="AC585" i="3" a="1"/>
  <c r="AC585" i="3" s="1"/>
  <c r="AC586" i="3" a="1"/>
  <c r="AC586" i="3" s="1"/>
  <c r="AC587" i="3" a="1"/>
  <c r="AC587" i="3" s="1"/>
  <c r="AC588" i="3" a="1"/>
  <c r="AC588" i="3" s="1"/>
  <c r="AC589" i="3" a="1"/>
  <c r="AC589" i="3" s="1"/>
  <c r="AC590" i="3" a="1"/>
  <c r="AC590" i="3" s="1"/>
  <c r="AC591" i="3" a="1"/>
  <c r="AC591" i="3" s="1"/>
  <c r="AC592" i="3" a="1"/>
  <c r="AC592" i="3" s="1"/>
  <c r="AC593" i="3" a="1"/>
  <c r="AC593" i="3" s="1"/>
  <c r="AC594" i="3" a="1"/>
  <c r="AC594" i="3" s="1"/>
  <c r="AC595" i="3" a="1"/>
  <c r="AC595" i="3" s="1"/>
  <c r="AC596" i="3" a="1"/>
  <c r="AC596" i="3" s="1"/>
  <c r="AC597" i="3" a="1"/>
  <c r="AC597" i="3" s="1"/>
  <c r="AC598" i="3" a="1"/>
  <c r="AC598" i="3" s="1"/>
  <c r="AC599" i="3" a="1"/>
  <c r="AC599" i="3" s="1"/>
  <c r="AC600" i="3" a="1"/>
  <c r="AC600" i="3" s="1"/>
  <c r="AC601" i="3" a="1"/>
  <c r="AC601" i="3" s="1"/>
  <c r="AC602" i="3" a="1"/>
  <c r="AC602" i="3" s="1"/>
  <c r="AC603" i="3" a="1"/>
  <c r="AC603" i="3" s="1"/>
  <c r="AC604" i="3" a="1"/>
  <c r="AC604" i="3" s="1"/>
  <c r="AC605" i="3" a="1"/>
  <c r="AC605" i="3" s="1"/>
  <c r="AC606" i="3" a="1"/>
  <c r="AC606" i="3" s="1"/>
  <c r="AC607" i="3" a="1"/>
  <c r="AC607" i="3" s="1"/>
  <c r="AC608" i="3" a="1"/>
  <c r="AC608" i="3" s="1"/>
  <c r="AC609" i="3" a="1"/>
  <c r="AC609" i="3" s="1"/>
  <c r="AC610" i="3" a="1"/>
  <c r="AC610" i="3" s="1"/>
  <c r="AC611" i="3" a="1"/>
  <c r="AC611" i="3" s="1"/>
  <c r="AC612" i="3" a="1"/>
  <c r="AC612" i="3" s="1"/>
  <c r="AC613" i="3" a="1"/>
  <c r="AC613" i="3" s="1"/>
  <c r="AC614" i="3" a="1"/>
  <c r="AC614" i="3" s="1"/>
  <c r="AC615" i="3" a="1"/>
  <c r="AC615" i="3" s="1"/>
  <c r="AC616" i="3" a="1"/>
  <c r="AC616" i="3" s="1"/>
  <c r="AC617" i="3" a="1"/>
  <c r="AC617" i="3" s="1"/>
  <c r="AC618" i="3" a="1"/>
  <c r="AC618" i="3" s="1"/>
  <c r="AC619" i="3" a="1"/>
  <c r="AC619" i="3" s="1"/>
  <c r="AC620" i="3" a="1"/>
  <c r="AC620" i="3" s="1"/>
  <c r="AC621" i="3" a="1"/>
  <c r="AC621" i="3" s="1"/>
  <c r="AC622" i="3" a="1"/>
  <c r="AC622" i="3" s="1"/>
  <c r="AC623" i="3" a="1"/>
  <c r="AC623" i="3" s="1"/>
  <c r="AC624" i="3" a="1"/>
  <c r="AC624" i="3" s="1"/>
  <c r="AC625" i="3" a="1"/>
  <c r="AC625" i="3" s="1"/>
  <c r="AC626" i="3" a="1"/>
  <c r="AC626" i="3" s="1"/>
  <c r="AC627" i="3" a="1"/>
  <c r="AC627" i="3" s="1"/>
  <c r="AC628" i="3" a="1"/>
  <c r="AC628" i="3" s="1"/>
  <c r="AC629" i="3" a="1"/>
  <c r="AC629" i="3"/>
  <c r="AC630" i="3" a="1"/>
  <c r="AC630" i="3" s="1"/>
  <c r="AC631" i="3" a="1"/>
  <c r="AC631" i="3" s="1"/>
  <c r="AC632" i="3" a="1"/>
  <c r="AC632" i="3" s="1"/>
  <c r="AC633" i="3" a="1"/>
  <c r="AC633" i="3" s="1"/>
  <c r="AC634" i="3" a="1"/>
  <c r="AC634" i="3" s="1"/>
  <c r="AC635" i="3" a="1"/>
  <c r="AC635" i="3" s="1"/>
  <c r="AC636" i="3" a="1"/>
  <c r="AC636" i="3" s="1"/>
  <c r="AC637" i="3" a="1"/>
  <c r="AC637" i="3" s="1"/>
  <c r="AC638" i="3" a="1"/>
  <c r="AC638" i="3" s="1"/>
  <c r="AC639" i="3" a="1"/>
  <c r="AC639" i="3" s="1"/>
  <c r="AC640" i="3" a="1"/>
  <c r="AC640" i="3" s="1"/>
  <c r="AC641" i="3" a="1"/>
  <c r="AC641" i="3" s="1"/>
  <c r="AC642" i="3" a="1"/>
  <c r="AC642" i="3" s="1"/>
  <c r="AC643" i="3" a="1"/>
  <c r="AC643" i="3" s="1"/>
  <c r="AC644" i="3" a="1"/>
  <c r="AC644" i="3" s="1"/>
  <c r="AC645" i="3" a="1"/>
  <c r="AC645" i="3" s="1"/>
  <c r="AC646" i="3" a="1"/>
  <c r="AC646" i="3" s="1"/>
  <c r="AC647" i="3" a="1"/>
  <c r="AC647" i="3" s="1"/>
  <c r="AC648" i="3" a="1"/>
  <c r="AC648" i="3" s="1"/>
  <c r="AC649" i="3" a="1"/>
  <c r="AC649" i="3" s="1"/>
  <c r="AC650" i="3" a="1"/>
  <c r="AC650" i="3" s="1"/>
  <c r="AC651" i="3" a="1"/>
  <c r="AC651" i="3" s="1"/>
  <c r="AC652" i="3" a="1"/>
  <c r="AC652" i="3" s="1"/>
  <c r="AC653" i="3" a="1"/>
  <c r="AC653" i="3" s="1"/>
  <c r="AC654" i="3" a="1"/>
  <c r="AC654" i="3" s="1"/>
  <c r="AC655" i="3" a="1"/>
  <c r="AC655" i="3"/>
  <c r="AC656" i="3" a="1"/>
  <c r="AC656" i="3"/>
  <c r="AC657" i="3" a="1"/>
  <c r="AC657" i="3" s="1"/>
  <c r="AC658" i="3" a="1"/>
  <c r="AC658" i="3" s="1"/>
  <c r="AC659" i="3" a="1"/>
  <c r="AC659" i="3" s="1"/>
  <c r="AC660" i="3" a="1"/>
  <c r="AC660" i="3" s="1"/>
  <c r="AC661" i="3" a="1"/>
  <c r="AC661" i="3" s="1"/>
  <c r="AC662" i="3" a="1"/>
  <c r="AC662" i="3" s="1"/>
  <c r="AC663" i="3" a="1"/>
  <c r="AC663" i="3"/>
  <c r="AC664" i="3" a="1"/>
  <c r="AC664" i="3" s="1"/>
  <c r="AC665" i="3" a="1"/>
  <c r="AC665" i="3" s="1"/>
  <c r="AC666" i="3" a="1"/>
  <c r="AC666" i="3" s="1"/>
  <c r="AC667" i="3" a="1"/>
  <c r="AC667" i="3" s="1"/>
  <c r="AC668" i="3" a="1"/>
  <c r="AC668" i="3"/>
  <c r="AC669" i="3" a="1"/>
  <c r="AC669" i="3" s="1"/>
  <c r="AC670" i="3" a="1"/>
  <c r="AC670" i="3" s="1"/>
  <c r="AC671" i="3" a="1"/>
  <c r="AC671" i="3"/>
  <c r="AC672" i="3" a="1"/>
  <c r="AC672" i="3"/>
  <c r="AC673" i="3" a="1"/>
  <c r="AC673" i="3" s="1"/>
  <c r="AC674" i="3" a="1"/>
  <c r="AC674" i="3" s="1"/>
  <c r="AC675" i="3" a="1"/>
  <c r="AC675" i="3"/>
  <c r="AC676" i="3" a="1"/>
  <c r="AC676" i="3"/>
  <c r="AC677" i="3" a="1"/>
  <c r="AC677" i="3" s="1"/>
  <c r="AC678" i="3" a="1"/>
  <c r="AC678" i="3" s="1"/>
  <c r="AC679" i="3" a="1"/>
  <c r="AC679" i="3" s="1"/>
  <c r="AC680" i="3" a="1"/>
  <c r="AC680" i="3" s="1"/>
  <c r="AC681" i="3" a="1"/>
  <c r="AC681" i="3" s="1"/>
  <c r="AC682" i="3" a="1"/>
  <c r="AC682" i="3" s="1"/>
  <c r="AC683" i="3" a="1"/>
  <c r="AC683" i="3"/>
  <c r="AC684" i="3" a="1"/>
  <c r="AC684" i="3" s="1"/>
  <c r="AC685" i="3" a="1"/>
  <c r="AC685" i="3" s="1"/>
  <c r="AC686" i="3" a="1"/>
  <c r="AC686" i="3" s="1"/>
  <c r="AC687" i="3" a="1"/>
  <c r="AC687" i="3" s="1"/>
  <c r="AC688" i="3" a="1"/>
  <c r="AC688" i="3" s="1"/>
  <c r="AC689" i="3" a="1"/>
  <c r="AC689" i="3" s="1"/>
  <c r="AC690" i="3" a="1"/>
  <c r="AC690" i="3" s="1"/>
  <c r="AC691" i="3" a="1"/>
  <c r="AC691" i="3"/>
  <c r="AC692" i="3" a="1"/>
  <c r="AC692" i="3"/>
  <c r="AC693" i="3" a="1"/>
  <c r="AC693" i="3" s="1"/>
  <c r="AC694" i="3" a="1"/>
  <c r="AC694" i="3" s="1"/>
  <c r="AC695" i="3" a="1"/>
  <c r="AC695" i="3" s="1"/>
  <c r="AC696" i="3" a="1"/>
  <c r="AC696" i="3" s="1"/>
  <c r="AC697" i="3" a="1"/>
  <c r="AC697" i="3" s="1"/>
  <c r="AC698" i="3" a="1"/>
  <c r="AC698" i="3" s="1"/>
  <c r="AC699" i="3" a="1"/>
  <c r="AC699" i="3" s="1"/>
  <c r="AC700" i="3" a="1"/>
  <c r="AC700" i="3" s="1"/>
  <c r="AC701" i="3" a="1"/>
  <c r="AC701" i="3" s="1"/>
  <c r="AC702" i="3" a="1"/>
  <c r="AC702" i="3" s="1"/>
  <c r="AC703" i="3" a="1"/>
  <c r="AC703" i="3" s="1"/>
  <c r="AC704" i="3" a="1"/>
  <c r="AC704" i="3" s="1"/>
  <c r="AC705" i="3" a="1"/>
  <c r="AC705" i="3" s="1"/>
  <c r="AC706" i="3" a="1"/>
  <c r="AC706" i="3" s="1"/>
  <c r="AC707" i="3" a="1"/>
  <c r="AC707" i="3"/>
  <c r="AC708" i="3" a="1"/>
  <c r="AC708" i="3"/>
  <c r="AC709" i="3" a="1"/>
  <c r="AC709" i="3"/>
  <c r="AC710" i="3" a="1"/>
  <c r="AC710" i="3" s="1"/>
  <c r="AC711" i="3" a="1"/>
  <c r="AC711" i="3" s="1"/>
  <c r="AC712" i="3" a="1"/>
  <c r="AC712" i="3" s="1"/>
  <c r="AC713" i="3" a="1"/>
  <c r="AC713" i="3" s="1"/>
  <c r="AC714" i="3" a="1"/>
  <c r="AC714" i="3"/>
  <c r="AC715" i="3" a="1"/>
  <c r="AC715" i="3" s="1"/>
  <c r="AC716" i="3" a="1"/>
  <c r="AC716" i="3" s="1"/>
  <c r="AC717" i="3" a="1"/>
  <c r="AC717" i="3"/>
  <c r="AC718" i="3" a="1"/>
  <c r="AC718" i="3"/>
  <c r="AC719" i="3" a="1"/>
  <c r="AC719" i="3" s="1"/>
  <c r="AC720" i="3" a="1"/>
  <c r="AC720" i="3" s="1"/>
  <c r="AC721" i="3" a="1"/>
  <c r="AC721" i="3" s="1"/>
  <c r="AC722" i="3" a="1"/>
  <c r="AC722" i="3" s="1"/>
  <c r="AC723" i="3" a="1"/>
  <c r="AC723" i="3" s="1"/>
  <c r="AC724" i="3" a="1"/>
  <c r="AC724" i="3" s="1"/>
  <c r="AC725" i="3" a="1"/>
  <c r="AC725" i="3" s="1"/>
  <c r="AC726" i="3" a="1"/>
  <c r="AC726" i="3" s="1"/>
  <c r="AC727" i="3" a="1"/>
  <c r="AC727" i="3" s="1"/>
  <c r="AC728" i="3" a="1"/>
  <c r="AC728" i="3"/>
  <c r="AC729" i="3" a="1"/>
  <c r="AC729" i="3" s="1"/>
  <c r="AC730" i="3" a="1"/>
  <c r="AC730" i="3" s="1"/>
  <c r="AC731" i="3" a="1"/>
  <c r="AC731" i="3"/>
  <c r="AC732" i="3" a="1"/>
  <c r="AC732" i="3" s="1"/>
  <c r="AC733" i="3" a="1"/>
  <c r="AC733" i="3" s="1"/>
  <c r="AC734" i="3" a="1"/>
  <c r="AC734" i="3"/>
  <c r="AC735" i="3" a="1"/>
  <c r="AC735" i="3"/>
  <c r="AC736" i="3" a="1"/>
  <c r="AC736" i="3" s="1"/>
  <c r="AC737" i="3" a="1"/>
  <c r="AC737" i="3" s="1"/>
  <c r="AC738" i="3" a="1"/>
  <c r="AC738" i="3"/>
  <c r="AC739" i="3" a="1"/>
  <c r="AC739" i="3" s="1"/>
  <c r="AC740" i="3" a="1"/>
  <c r="AC740" i="3" s="1"/>
  <c r="AC741" i="3" a="1"/>
  <c r="AC741" i="3"/>
  <c r="AC742" i="3" a="1"/>
  <c r="AC742" i="3"/>
  <c r="AC743" i="3" a="1"/>
  <c r="AC743" i="3"/>
  <c r="AC744" i="3" a="1"/>
  <c r="AC744" i="3" s="1"/>
  <c r="AC745" i="3" a="1"/>
  <c r="AC745" i="3" s="1"/>
  <c r="AC746" i="3" a="1"/>
  <c r="AC746" i="3" s="1"/>
  <c r="AC747" i="3" a="1"/>
  <c r="AC747" i="3" s="1"/>
  <c r="AC748" i="3" a="1"/>
  <c r="AC748" i="3"/>
  <c r="AC749" i="3" a="1"/>
  <c r="AC749" i="3" s="1"/>
  <c r="AC750" i="3" a="1"/>
  <c r="AC750" i="3" s="1"/>
  <c r="AC751" i="3" a="1"/>
  <c r="AC751" i="3"/>
  <c r="AC752" i="3" a="1"/>
  <c r="AC752" i="3"/>
  <c r="AC753" i="3" a="1"/>
  <c r="AC753" i="3" s="1"/>
  <c r="AC754" i="3" a="1"/>
  <c r="AC754" i="3" s="1"/>
  <c r="AC755" i="3" a="1"/>
  <c r="AC755" i="3" s="1"/>
  <c r="AC756" i="3" a="1"/>
  <c r="AC756" i="3" s="1"/>
  <c r="AC757" i="3" a="1"/>
  <c r="AC757" i="3" s="1"/>
  <c r="AC758" i="3" a="1"/>
  <c r="AC758" i="3" s="1"/>
  <c r="AC759" i="3" a="1"/>
  <c r="AC759" i="3" s="1"/>
  <c r="AC760" i="3" a="1"/>
  <c r="AC760" i="3" s="1"/>
  <c r="AC761" i="3" a="1"/>
  <c r="AC761" i="3" s="1"/>
  <c r="AC762" i="3" a="1"/>
  <c r="AC762" i="3" s="1"/>
  <c r="AC763" i="3" a="1"/>
  <c r="AC763" i="3" s="1"/>
  <c r="AC764" i="3" a="1"/>
  <c r="AC764" i="3" s="1"/>
  <c r="AC765" i="3" a="1"/>
  <c r="AC765" i="3" s="1"/>
  <c r="AC766" i="3" a="1"/>
  <c r="AC766" i="3" s="1"/>
  <c r="AC767" i="3" a="1"/>
  <c r="AC767" i="3" s="1"/>
  <c r="AC768" i="3" a="1"/>
  <c r="AC768" i="3" s="1"/>
  <c r="AC769" i="3" a="1"/>
  <c r="AC769" i="3" s="1"/>
  <c r="AC770" i="3" a="1"/>
  <c r="AC770" i="3" s="1"/>
  <c r="AC771" i="3" a="1"/>
  <c r="AC771" i="3" s="1"/>
  <c r="AC772" i="3" a="1"/>
  <c r="AC772" i="3" s="1"/>
  <c r="AC773" i="3" a="1"/>
  <c r="AC773" i="3" s="1"/>
  <c r="AC774" i="3" a="1"/>
  <c r="AC774" i="3" s="1"/>
  <c r="AC775" i="3" a="1"/>
  <c r="AC775" i="3" s="1"/>
  <c r="AC776" i="3" a="1"/>
  <c r="AC776" i="3" s="1"/>
  <c r="AC777" i="3" a="1"/>
  <c r="AC777" i="3" s="1"/>
  <c r="AC778" i="3" a="1"/>
  <c r="AC778" i="3"/>
  <c r="AC779" i="3" a="1"/>
  <c r="AC779" i="3" s="1"/>
  <c r="AC780" i="3" a="1"/>
  <c r="AC780" i="3" s="1"/>
  <c r="AC781" i="3" a="1"/>
  <c r="AC781" i="3" s="1"/>
  <c r="AC782" i="3" a="1"/>
  <c r="AC782" i="3" s="1"/>
  <c r="AC783" i="3" a="1"/>
  <c r="AC783" i="3" s="1"/>
  <c r="AC784" i="3" a="1"/>
  <c r="AC784" i="3" s="1"/>
  <c r="AC785" i="3" a="1"/>
  <c r="AC785" i="3" s="1"/>
  <c r="AC786" i="3" a="1"/>
  <c r="AC786" i="3"/>
  <c r="AC787" i="3" a="1"/>
  <c r="AC787" i="3" s="1"/>
  <c r="AC788" i="3" a="1"/>
  <c r="AC788" i="3" s="1"/>
  <c r="AC789" i="3" a="1"/>
  <c r="AC789" i="3" s="1"/>
  <c r="AC790" i="3" a="1"/>
  <c r="AC790" i="3" s="1"/>
  <c r="AC791" i="3" a="1"/>
  <c r="AC791" i="3" s="1"/>
  <c r="AC792" i="3" a="1"/>
  <c r="AC792" i="3" s="1"/>
  <c r="AC793" i="3" a="1"/>
  <c r="AC793" i="3" s="1"/>
  <c r="AC794" i="3" a="1"/>
  <c r="AC794" i="3"/>
  <c r="AC795" i="3" a="1"/>
  <c r="AC795" i="3"/>
  <c r="AC796" i="3" a="1"/>
  <c r="AC796" i="3" s="1"/>
  <c r="AC797" i="3" a="1"/>
  <c r="AC797" i="3" s="1"/>
  <c r="AC798" i="3" a="1"/>
  <c r="AC798" i="3"/>
  <c r="AC799" i="3" a="1"/>
  <c r="AC799" i="3"/>
  <c r="AC800" i="3" a="1"/>
  <c r="AC800" i="3" s="1"/>
  <c r="AC801" i="3" a="1"/>
  <c r="AC801" i="3" s="1"/>
  <c r="AC802" i="3" a="1"/>
  <c r="AC802" i="3"/>
  <c r="AC803" i="3" a="1"/>
  <c r="AC803" i="3"/>
  <c r="AC804" i="3" a="1"/>
  <c r="AC804" i="3" s="1"/>
  <c r="AC805" i="3" a="1"/>
  <c r="AC805" i="3" s="1"/>
  <c r="AC806" i="3" a="1"/>
  <c r="AC806" i="3" s="1"/>
  <c r="AC807" i="3" a="1"/>
  <c r="AC807" i="3" s="1"/>
  <c r="AC808" i="3" a="1"/>
  <c r="AC808" i="3" s="1"/>
  <c r="AC809" i="3" a="1"/>
  <c r="AC809" i="3" s="1"/>
  <c r="AC810" i="3" a="1"/>
  <c r="AC810" i="3" s="1"/>
  <c r="AC811" i="3" a="1"/>
  <c r="AC811" i="3" s="1"/>
  <c r="AC812" i="3" a="1"/>
  <c r="AC812" i="3" s="1"/>
  <c r="AC813" i="3" a="1"/>
  <c r="AC813" i="3" s="1"/>
  <c r="AC814" i="3" a="1"/>
  <c r="AC814" i="3" s="1"/>
  <c r="AC815" i="3" a="1"/>
  <c r="AC815" i="3" s="1"/>
  <c r="AC816" i="3" a="1"/>
  <c r="AC816" i="3" s="1"/>
  <c r="AC817" i="3" a="1"/>
  <c r="AC817" i="3" s="1"/>
  <c r="AC818" i="3" a="1"/>
  <c r="AC818" i="3"/>
  <c r="AC819" i="3" a="1"/>
  <c r="AC819" i="3"/>
  <c r="AC820" i="3" a="1"/>
  <c r="AC820" i="3"/>
  <c r="AC821" i="3" a="1"/>
  <c r="AC821" i="3" s="1"/>
  <c r="AC822" i="3" a="1"/>
  <c r="AC822" i="3" s="1"/>
  <c r="AC823" i="3" a="1"/>
  <c r="AC823" i="3" s="1"/>
  <c r="AC824" i="3" a="1"/>
  <c r="AC824" i="3" s="1"/>
  <c r="AC825" i="3" a="1"/>
  <c r="AC825" i="3" s="1"/>
  <c r="AC826" i="3" a="1"/>
  <c r="AC826" i="3" s="1"/>
  <c r="AC827" i="3" a="1"/>
  <c r="AC827" i="3" s="1"/>
  <c r="AC828" i="3" a="1"/>
  <c r="AC828" i="3" s="1"/>
  <c r="AC829" i="3" a="1"/>
  <c r="AC829" i="3" s="1"/>
  <c r="AC830" i="3" a="1"/>
  <c r="AC830" i="3" s="1"/>
  <c r="AC831" i="3" a="1"/>
  <c r="AC831" i="3" s="1"/>
  <c r="AC832" i="3" a="1"/>
  <c r="AC832" i="3" s="1"/>
  <c r="AC833" i="3" a="1"/>
  <c r="AC833" i="3" s="1"/>
  <c r="AC834" i="3" a="1"/>
  <c r="AC834" i="3" s="1"/>
  <c r="AC835" i="3" a="1"/>
  <c r="AC835" i="3" s="1"/>
  <c r="AC836" i="3" a="1"/>
  <c r="AC836" i="3" s="1"/>
  <c r="AC837" i="3" a="1"/>
  <c r="AC837" i="3" s="1"/>
  <c r="AC838" i="3" a="1"/>
  <c r="AC838" i="3" s="1"/>
  <c r="AC839" i="3" a="1"/>
  <c r="AC839" i="3"/>
  <c r="AC840" i="3" a="1"/>
  <c r="AC840" i="3"/>
  <c r="AC841" i="3" a="1"/>
  <c r="AC841" i="3" s="1"/>
  <c r="AC842" i="3" a="1"/>
  <c r="AC842" i="3" s="1"/>
  <c r="AC843" i="3" a="1"/>
  <c r="AC843" i="3" s="1"/>
  <c r="AC844" i="3" a="1"/>
  <c r="AC844" i="3" s="1"/>
  <c r="AC845" i="3" a="1"/>
  <c r="AC845" i="3" s="1"/>
  <c r="AC846" i="3" a="1"/>
  <c r="AC846" i="3" s="1"/>
  <c r="AC847" i="3" a="1"/>
  <c r="AC847" i="3" s="1"/>
  <c r="AC848" i="3" a="1"/>
  <c r="AC848" i="3" s="1"/>
  <c r="AC849" i="3" a="1"/>
  <c r="AC849" i="3" s="1"/>
  <c r="AC850" i="3" a="1"/>
  <c r="AC850" i="3" s="1"/>
  <c r="AC851" i="3" a="1"/>
  <c r="AC851" i="3" s="1"/>
  <c r="AC852" i="3" a="1"/>
  <c r="AC852" i="3" s="1"/>
  <c r="AC853" i="3" a="1"/>
  <c r="AC853" i="3"/>
  <c r="AC854" i="3" a="1"/>
  <c r="AC854" i="3" s="1"/>
  <c r="AC855" i="3" a="1"/>
  <c r="AC855" i="3" s="1"/>
  <c r="AC856" i="3" a="1"/>
  <c r="AC856" i="3"/>
  <c r="AC857" i="3" a="1"/>
  <c r="AC857" i="3" s="1"/>
  <c r="AC858" i="3" a="1"/>
  <c r="AC858" i="3" s="1"/>
  <c r="AC859" i="3" a="1"/>
  <c r="AC859" i="3"/>
  <c r="AC860" i="3" a="1"/>
  <c r="AC860" i="3"/>
  <c r="AC861" i="3" a="1"/>
  <c r="AC861" i="3" s="1"/>
  <c r="AC862" i="3" a="1"/>
  <c r="AC862" i="3" s="1"/>
  <c r="AC863" i="3" a="1"/>
  <c r="AC863" i="3" s="1"/>
  <c r="AC864" i="3" a="1"/>
  <c r="AC864" i="3" s="1"/>
  <c r="AC865" i="3" a="1"/>
  <c r="AC865" i="3" s="1"/>
  <c r="AC866" i="3" a="1"/>
  <c r="AC866" i="3"/>
  <c r="AC867" i="3" a="1"/>
  <c r="AC867" i="3" s="1"/>
  <c r="AC868" i="3" a="1"/>
  <c r="AC868" i="3" s="1"/>
  <c r="AC869" i="3" a="1"/>
  <c r="AC869" i="3" s="1"/>
  <c r="AC870" i="3" a="1"/>
  <c r="AC870" i="3" s="1"/>
  <c r="AC871" i="3" a="1"/>
  <c r="AC871" i="3" s="1"/>
  <c r="AC872" i="3" a="1"/>
  <c r="AC872" i="3" s="1"/>
  <c r="AC873" i="3" a="1"/>
  <c r="AC873" i="3" s="1"/>
  <c r="AC874" i="3" a="1"/>
  <c r="AC874" i="3"/>
  <c r="AC875" i="3" a="1"/>
  <c r="AC875" i="3" s="1"/>
  <c r="AC876" i="3" a="1"/>
  <c r="AC876" i="3" s="1"/>
  <c r="AC877" i="3" a="1"/>
  <c r="AC877" i="3"/>
  <c r="AC878" i="3" a="1"/>
  <c r="AC878" i="3"/>
  <c r="AC879" i="3" a="1"/>
  <c r="AC879" i="3" s="1"/>
  <c r="AC880" i="3" a="1"/>
  <c r="AC880" i="3" s="1"/>
  <c r="AC881" i="3" a="1"/>
  <c r="AC881" i="3" s="1"/>
  <c r="AC882" i="3" a="1"/>
  <c r="AC882" i="3" s="1"/>
  <c r="AC883" i="3" a="1"/>
  <c r="AC883" i="3" s="1"/>
  <c r="AC884" i="3" a="1"/>
  <c r="AC884" i="3" s="1"/>
  <c r="AC885" i="3" a="1"/>
  <c r="AC885" i="3" s="1"/>
  <c r="AC886" i="3" a="1"/>
  <c r="AC886" i="3"/>
  <c r="AC887" i="3" a="1"/>
  <c r="AC887" i="3" s="1"/>
  <c r="AC888" i="3" a="1"/>
  <c r="AC888" i="3" s="1"/>
  <c r="AC889" i="3" a="1"/>
  <c r="AC889" i="3" s="1"/>
  <c r="AC890" i="3" a="1"/>
  <c r="AC890" i="3" s="1"/>
  <c r="AC891" i="3" a="1"/>
  <c r="AC891" i="3" s="1"/>
  <c r="AC892" i="3" a="1"/>
  <c r="AC892" i="3"/>
  <c r="AC893" i="3" a="1"/>
  <c r="AC893" i="3" s="1"/>
  <c r="AC894" i="3" a="1"/>
  <c r="AC894" i="3" s="1"/>
  <c r="AC895" i="3" a="1"/>
  <c r="AC895" i="3" s="1"/>
  <c r="AC896" i="3" a="1"/>
  <c r="AC896" i="3" s="1"/>
  <c r="AC897" i="3" a="1"/>
  <c r="AC897" i="3"/>
  <c r="AC898" i="3" a="1"/>
  <c r="AC898" i="3"/>
  <c r="AC899" i="3" a="1"/>
  <c r="AC899" i="3" s="1"/>
  <c r="AC900" i="3" a="1"/>
  <c r="AC900" i="3" s="1"/>
  <c r="AC901" i="3" a="1"/>
  <c r="AC901" i="3" s="1"/>
  <c r="AC902" i="3" a="1"/>
  <c r="AC902" i="3" s="1"/>
  <c r="AC903" i="3" a="1"/>
  <c r="AC903" i="3" s="1"/>
  <c r="AC904" i="3" a="1"/>
  <c r="AC904" i="3" s="1"/>
  <c r="AC905" i="3" a="1"/>
  <c r="AC905" i="3" s="1"/>
  <c r="AC906" i="3" a="1"/>
  <c r="AC906" i="3"/>
  <c r="AC907" i="3" a="1"/>
  <c r="AC907" i="3" s="1"/>
  <c r="AC908" i="3" a="1"/>
  <c r="AC908" i="3" s="1"/>
  <c r="AC909" i="3" a="1"/>
  <c r="AC909" i="3" s="1"/>
  <c r="AC910" i="3" a="1"/>
  <c r="AC910" i="3" s="1"/>
  <c r="AC911" i="3" a="1"/>
  <c r="AC911" i="3" s="1"/>
  <c r="AC912" i="3" a="1"/>
  <c r="AC912" i="3" s="1"/>
  <c r="AC913" i="3" a="1"/>
  <c r="AC913" i="3" s="1"/>
  <c r="AC914" i="3" a="1"/>
  <c r="AC914" i="3"/>
  <c r="AC915" i="3" a="1"/>
  <c r="AC915" i="3" s="1"/>
  <c r="AC916" i="3" a="1"/>
  <c r="AC916" i="3" s="1"/>
  <c r="AC917" i="3" a="1"/>
  <c r="AC917" i="3" s="1"/>
  <c r="AC918" i="3" a="1"/>
  <c r="AC918" i="3" s="1"/>
  <c r="AC919" i="3" a="1"/>
  <c r="AC919" i="3" s="1"/>
  <c r="AC920" i="3" a="1"/>
  <c r="AC920" i="3" s="1"/>
  <c r="AC921" i="3" a="1"/>
  <c r="AC921" i="3" s="1"/>
  <c r="AC922" i="3" a="1"/>
  <c r="AC922" i="3"/>
  <c r="AC923" i="3" a="1"/>
  <c r="AC923" i="3" s="1"/>
  <c r="AC924" i="3" a="1"/>
  <c r="AC924" i="3" s="1"/>
  <c r="AC925" i="3" a="1"/>
  <c r="AC925" i="3" s="1"/>
  <c r="AC926" i="3" a="1"/>
  <c r="AC926" i="3" s="1"/>
  <c r="AC927" i="3" a="1"/>
  <c r="AC927" i="3" s="1"/>
  <c r="AC928" i="3" a="1"/>
  <c r="AC928" i="3"/>
  <c r="AC929" i="3" a="1"/>
  <c r="AC929" i="3"/>
  <c r="AC930" i="3" a="1"/>
  <c r="AC930" i="3"/>
  <c r="AC931" i="3" a="1"/>
  <c r="AC931" i="3" s="1"/>
  <c r="AC932" i="3" a="1"/>
  <c r="AC932" i="3" s="1"/>
  <c r="AC933" i="3" a="1"/>
  <c r="AC933" i="3" s="1"/>
  <c r="AC934" i="3" a="1"/>
  <c r="AC934" i="3" s="1"/>
  <c r="AC935" i="3" a="1"/>
  <c r="AC935" i="3" s="1"/>
  <c r="AC936" i="3" a="1"/>
  <c r="AC936" i="3" s="1"/>
  <c r="AC937" i="3" a="1"/>
  <c r="AC937" i="3" s="1"/>
  <c r="AC938" i="3" a="1"/>
  <c r="AC938" i="3"/>
  <c r="AC939" i="3" a="1"/>
  <c r="AC939" i="3" s="1"/>
  <c r="AC940" i="3" a="1"/>
  <c r="AC940" i="3" s="1"/>
  <c r="AC941" i="3" a="1"/>
  <c r="AC941" i="3" s="1"/>
  <c r="AC942" i="3" a="1"/>
  <c r="AC942" i="3" s="1"/>
  <c r="AC943" i="3" a="1"/>
  <c r="AC943" i="3" s="1"/>
  <c r="AC944" i="3" a="1"/>
  <c r="AC944" i="3" s="1"/>
  <c r="AC945" i="3" a="1"/>
  <c r="AC945" i="3"/>
  <c r="AC946" i="3" a="1"/>
  <c r="AC946" i="3"/>
  <c r="AC947" i="3" a="1"/>
  <c r="AC947" i="3" s="1"/>
  <c r="AC948" i="3" a="1"/>
  <c r="AC948" i="3" s="1"/>
  <c r="AC949" i="3" a="1"/>
  <c r="AC949" i="3" s="1"/>
  <c r="AC950" i="3" a="1"/>
  <c r="AC950" i="3" s="1"/>
  <c r="AC951" i="3" a="1"/>
  <c r="AC951" i="3" s="1"/>
  <c r="AC952" i="3" a="1"/>
  <c r="AC952" i="3" s="1"/>
  <c r="AC953" i="3" a="1"/>
  <c r="AC953" i="3" s="1"/>
  <c r="AC954" i="3" a="1"/>
  <c r="AC954" i="3"/>
  <c r="AC955" i="3" a="1"/>
  <c r="AC955" i="3" s="1"/>
  <c r="AC956" i="3" a="1"/>
  <c r="AC956" i="3" s="1"/>
  <c r="AC957" i="3" a="1"/>
  <c r="AC957" i="3"/>
  <c r="AC958" i="3" a="1"/>
  <c r="AC958" i="3"/>
  <c r="AC959" i="3" a="1"/>
  <c r="AC959" i="3"/>
  <c r="AC960" i="3" a="1"/>
  <c r="AC960" i="3"/>
  <c r="AC961" i="3" a="1"/>
  <c r="AC961" i="3" s="1"/>
  <c r="AC962" i="3" a="1"/>
  <c r="AC962" i="3" s="1"/>
  <c r="AC963" i="3" a="1"/>
  <c r="AC963" i="3" s="1"/>
  <c r="AC964" i="3" a="1"/>
  <c r="AC964" i="3" s="1"/>
  <c r="AC965" i="3" a="1"/>
  <c r="AC965" i="3" s="1"/>
  <c r="AC966" i="3" a="1"/>
  <c r="AC966" i="3"/>
  <c r="AC967" i="3" a="1"/>
  <c r="AC967" i="3" s="1"/>
  <c r="AC968" i="3" a="1"/>
  <c r="AC968" i="3" s="1"/>
  <c r="AC969" i="3" a="1"/>
  <c r="AC969" i="3"/>
  <c r="AC970" i="3" a="1"/>
  <c r="AC970" i="3" s="1"/>
  <c r="AC971" i="3" a="1"/>
  <c r="AC971" i="3" s="1"/>
  <c r="AC972" i="3" a="1"/>
  <c r="AC972" i="3" s="1"/>
  <c r="AC973" i="3" a="1"/>
  <c r="AC973" i="3"/>
  <c r="AC974" i="3" a="1"/>
  <c r="AC974" i="3"/>
  <c r="AC975" i="3" a="1"/>
  <c r="AC975" i="3"/>
  <c r="AC976" i="3" a="1"/>
  <c r="AC976" i="3"/>
  <c r="AC977" i="3" a="1"/>
  <c r="AC977" i="3"/>
  <c r="AC978" i="3" a="1"/>
  <c r="AC978" i="3" s="1"/>
  <c r="AC979" i="3" a="1"/>
  <c r="AC979" i="3" s="1"/>
  <c r="AC980" i="3" a="1"/>
  <c r="AC980" i="3" s="1"/>
  <c r="AC981" i="3" a="1"/>
  <c r="AC981" i="3" s="1"/>
  <c r="AC982" i="3" a="1"/>
  <c r="AC982" i="3" s="1"/>
  <c r="AC983" i="3" a="1"/>
  <c r="AC983" i="3" s="1"/>
  <c r="AC984" i="3" a="1"/>
  <c r="AC984" i="3" s="1"/>
  <c r="AC985" i="3" a="1"/>
  <c r="AC985" i="3"/>
  <c r="AC986" i="3" a="1"/>
  <c r="AC986" i="3" s="1"/>
  <c r="AC987" i="3" a="1"/>
  <c r="AC987" i="3" s="1"/>
  <c r="AC988" i="3" a="1"/>
  <c r="AC988" i="3" s="1"/>
  <c r="AC989" i="3" a="1"/>
  <c r="AC989" i="3" s="1"/>
  <c r="AC990" i="3" a="1"/>
  <c r="AC990" i="3" s="1"/>
  <c r="AC991" i="3" a="1"/>
  <c r="AC991" i="3" s="1"/>
  <c r="AC992" i="3" a="1"/>
  <c r="AC992" i="3" s="1"/>
  <c r="AC993" i="3" a="1"/>
  <c r="AC993" i="3" s="1"/>
  <c r="AC994" i="3" a="1"/>
  <c r="AC994" i="3" s="1"/>
  <c r="AC995" i="3" a="1"/>
  <c r="AC995" i="3" s="1"/>
  <c r="AC996" i="3" a="1"/>
  <c r="AC996" i="3" s="1"/>
  <c r="AC997" i="3" a="1"/>
  <c r="AC997" i="3"/>
  <c r="AC998" i="3" a="1"/>
  <c r="AC998" i="3" s="1"/>
  <c r="AC999" i="3" a="1"/>
  <c r="AC999" i="3" s="1"/>
  <c r="AC1000" i="3" a="1"/>
  <c r="AC1000" i="3" s="1"/>
  <c r="AC1001" i="3" a="1"/>
  <c r="AC1001" i="3" s="1"/>
  <c r="AC1002" i="3" a="1"/>
  <c r="AC1002" i="3" s="1"/>
  <c r="AC1003" i="3" a="1"/>
  <c r="AC1003" i="3" s="1"/>
  <c r="AC1004" i="3" a="1"/>
  <c r="AC1004" i="3" s="1"/>
  <c r="AC1005" i="3" a="1"/>
  <c r="AC1005" i="3" s="1"/>
  <c r="AC1006" i="3" a="1"/>
  <c r="AC1006" i="3" s="1"/>
  <c r="AC1007" i="3" a="1"/>
  <c r="AC1007" i="3"/>
  <c r="AC1008" i="3" a="1"/>
  <c r="AC1008" i="3"/>
  <c r="AC1009" i="3" a="1"/>
  <c r="AC1009" i="3"/>
  <c r="AC1010" i="3" a="1"/>
  <c r="AC1010" i="3" s="1"/>
  <c r="AC1011" i="3" a="1"/>
  <c r="AC1011" i="3" s="1"/>
  <c r="AC1012" i="3" a="1"/>
  <c r="AC1012" i="3" s="1"/>
  <c r="AC1013" i="3" a="1"/>
  <c r="AC1013" i="3"/>
  <c r="AC1014" i="3" a="1"/>
  <c r="AC1014" i="3" s="1"/>
  <c r="AC1015" i="3" a="1"/>
  <c r="AC1015" i="3" s="1"/>
  <c r="AC1016" i="3" a="1"/>
  <c r="AC1016" i="3" s="1"/>
  <c r="AC1017" i="3" a="1"/>
  <c r="AC1017" i="3" s="1"/>
  <c r="AC1018" i="3" a="1"/>
  <c r="AC1018" i="3" s="1"/>
  <c r="AC1019" i="3" a="1"/>
  <c r="AC1019" i="3"/>
  <c r="AC1020" i="3" a="1"/>
  <c r="AC1020" i="3" s="1"/>
  <c r="AC1021" i="3" a="1"/>
  <c r="AC1021" i="3" s="1"/>
  <c r="AC1022" i="3" a="1"/>
  <c r="AC1022" i="3" s="1"/>
  <c r="AC1023" i="3" a="1"/>
  <c r="AC1023" i="3" s="1"/>
  <c r="AC1024" i="3" a="1"/>
  <c r="AC1024" i="3"/>
  <c r="AC1025" i="3" a="1"/>
  <c r="AC1025" i="3"/>
  <c r="AC1026" i="3" a="1"/>
  <c r="AC1026" i="3" s="1"/>
  <c r="AC1027" i="3" a="1"/>
  <c r="AC1027" i="3" s="1"/>
  <c r="AC1028" i="3" a="1"/>
  <c r="AC1028" i="3" s="1"/>
  <c r="AC1029" i="3" a="1"/>
  <c r="AC1029" i="3" s="1"/>
  <c r="AC1030" i="3" a="1"/>
  <c r="AC1030" i="3" s="1"/>
  <c r="AC1031" i="3" a="1"/>
  <c r="AC1031" i="3" s="1"/>
  <c r="AC1032" i="3" a="1"/>
  <c r="AC1032" i="3" s="1"/>
  <c r="AC1033" i="3" a="1"/>
  <c r="AC1033" i="3"/>
  <c r="AC1034" i="3" a="1"/>
  <c r="AC1034" i="3" s="1"/>
  <c r="AC1035" i="3" a="1"/>
  <c r="AC1035" i="3" s="1"/>
  <c r="AC1036" i="3" a="1"/>
  <c r="AC1036" i="3" s="1"/>
  <c r="AC1037" i="3" a="1"/>
  <c r="AC1037" i="3" s="1"/>
  <c r="AC1038" i="3" a="1"/>
  <c r="AC1038" i="3" s="1"/>
  <c r="AC1039" i="3" a="1"/>
  <c r="AC1039" i="3" s="1"/>
  <c r="AC1040" i="3" a="1"/>
  <c r="AC1040" i="3" s="1"/>
  <c r="AC1041" i="3" a="1"/>
  <c r="AC1041" i="3"/>
  <c r="AC1042" i="3" a="1"/>
  <c r="AC1042" i="3" s="1"/>
  <c r="AC1043" i="3" a="1"/>
  <c r="AC1043" i="3" s="1"/>
  <c r="AC1044" i="3" a="1"/>
  <c r="AC1044" i="3" s="1"/>
  <c r="AC1045" i="3" a="1"/>
  <c r="AC1045" i="3" s="1"/>
  <c r="AC1046" i="3" a="1"/>
  <c r="AC1046" i="3" s="1"/>
  <c r="AC1047" i="3" a="1"/>
  <c r="AC1047" i="3" s="1"/>
  <c r="AC1048" i="3" a="1"/>
  <c r="AC1048" i="3" s="1"/>
  <c r="AC1049" i="3" a="1"/>
  <c r="AC1049" i="3"/>
  <c r="AC1050" i="3" a="1"/>
  <c r="AC1050" i="3" s="1"/>
  <c r="AC1051" i="3" a="1"/>
  <c r="AC1051" i="3" s="1"/>
  <c r="AC1052" i="3" a="1"/>
  <c r="AC1052" i="3" s="1"/>
  <c r="AC1053" i="3" a="1"/>
  <c r="AC1053" i="3" s="1"/>
  <c r="AC1054" i="3" a="1"/>
  <c r="AC1054" i="3" s="1"/>
  <c r="AC1055" i="3" a="1"/>
  <c r="AC1055" i="3"/>
  <c r="AC1056" i="3" a="1"/>
  <c r="AC1056" i="3"/>
  <c r="AC1057" i="3" a="1"/>
  <c r="AC1057" i="3"/>
  <c r="AC1058" i="3" a="1"/>
  <c r="AC1058" i="3" s="1"/>
  <c r="AC1059" i="3" a="1"/>
  <c r="AC1059" i="3" s="1"/>
  <c r="AC1060" i="3" a="1"/>
  <c r="AC1060" i="3" s="1"/>
  <c r="AC1061" i="3" a="1"/>
  <c r="AC1061" i="3" s="1"/>
  <c r="AC1062" i="3" a="1"/>
  <c r="AC1062" i="3" s="1"/>
  <c r="AC1063" i="3" a="1"/>
  <c r="AC1063" i="3" s="1"/>
  <c r="AC1064" i="3" a="1"/>
  <c r="AC1064" i="3" s="1"/>
  <c r="AC1065" i="3" a="1"/>
  <c r="AC1065" i="3"/>
  <c r="AC1066" i="3" a="1"/>
  <c r="AC1066" i="3" s="1"/>
  <c r="AC1067" i="3" a="1"/>
  <c r="AC1067" i="3" s="1"/>
  <c r="AC1068" i="3" a="1"/>
  <c r="AC1068" i="3" s="1"/>
  <c r="AC1069" i="3" a="1"/>
  <c r="AC1069" i="3" s="1"/>
  <c r="AC1070" i="3" a="1"/>
  <c r="AC1070" i="3" s="1"/>
  <c r="AC1071" i="3" a="1"/>
  <c r="AC1071" i="3" s="1"/>
  <c r="AC1072" i="3" a="1"/>
  <c r="AC1072" i="3"/>
  <c r="AC1073" i="3" a="1"/>
  <c r="AC1073" i="3"/>
  <c r="AC1074" i="3" a="1"/>
  <c r="AC1074" i="3" s="1"/>
  <c r="AC1075" i="3" a="1"/>
  <c r="AC1075" i="3" s="1"/>
  <c r="AC1076" i="3" a="1"/>
  <c r="AC1076" i="3" s="1"/>
  <c r="AC1077" i="3" a="1"/>
  <c r="AC1077" i="3" s="1"/>
  <c r="AC1078" i="3" a="1"/>
  <c r="AC1078" i="3" s="1"/>
  <c r="AC1079" i="3" a="1"/>
  <c r="AC1079" i="3" s="1"/>
  <c r="AC1080" i="3" a="1"/>
  <c r="AC1080" i="3" s="1"/>
  <c r="AC1081" i="3" a="1"/>
  <c r="AC1081" i="3"/>
  <c r="AC1082" i="3" a="1"/>
  <c r="AC1082" i="3" s="1"/>
  <c r="AC1083" i="3" a="1"/>
  <c r="AC1083" i="3" s="1"/>
  <c r="AC1084" i="3" a="1"/>
  <c r="AC1084" i="3"/>
  <c r="AC1085" i="3" a="1"/>
  <c r="AC1085" i="3"/>
  <c r="AC1086" i="3" a="1"/>
  <c r="AC1086" i="3"/>
  <c r="AC1087" i="3" a="1"/>
  <c r="AC1087" i="3"/>
  <c r="AC1088" i="3" a="1"/>
  <c r="AC1088" i="3" s="1"/>
  <c r="AC1089" i="3" a="1"/>
  <c r="AC1089" i="3" s="1"/>
  <c r="AC1090" i="3" a="1"/>
  <c r="AC1090" i="3" s="1"/>
  <c r="AC1091" i="3" a="1"/>
  <c r="AC1091" i="3" s="1"/>
  <c r="AC1092" i="3" a="1"/>
  <c r="AC1092" i="3" s="1"/>
  <c r="AC1093" i="3" a="1"/>
  <c r="AC1093" i="3" s="1"/>
  <c r="AC1094" i="3" a="1"/>
  <c r="AC1094" i="3" s="1"/>
  <c r="AC1095" i="3" a="1"/>
  <c r="AC1095" i="3" s="1"/>
  <c r="AC1096" i="3" a="1"/>
  <c r="AC1096" i="3" s="1"/>
  <c r="AC1097" i="3" a="1"/>
  <c r="AC1097" i="3" s="1"/>
  <c r="AC1098" i="3" a="1"/>
  <c r="AC1098" i="3" s="1"/>
  <c r="AC1099" i="3" a="1"/>
  <c r="AC1099" i="3" s="1"/>
  <c r="AC1100" i="3" a="1"/>
  <c r="AC1100" i="3" s="1"/>
  <c r="AC1101" i="3" a="1"/>
  <c r="AC1101" i="3"/>
  <c r="AC1102" i="3" a="1"/>
  <c r="AC1102" i="3"/>
  <c r="AC1103" i="3" a="1"/>
  <c r="AC1103" i="3"/>
  <c r="AC1104" i="3" a="1"/>
  <c r="AC1104" i="3"/>
  <c r="AC1105" i="3" a="1"/>
  <c r="AC1105" i="3" s="1"/>
  <c r="AC1106" i="3" a="1"/>
  <c r="AC1106" i="3" s="1"/>
  <c r="AC1107" i="3" a="1"/>
  <c r="AC1107" i="3" s="1"/>
  <c r="AC1108" i="3" a="1"/>
  <c r="AC1108" i="3" s="1"/>
  <c r="AC1109" i="3" a="1"/>
  <c r="AC1109" i="3" s="1"/>
  <c r="AC1110" i="3" a="1"/>
  <c r="AC1110" i="3" s="1"/>
  <c r="AC1111" i="3" a="1"/>
  <c r="AC1111" i="3" s="1"/>
  <c r="AC1112" i="3" a="1"/>
  <c r="AC1112" i="3" s="1"/>
  <c r="AC1113" i="3" a="1"/>
  <c r="AC1113" i="3"/>
  <c r="AC1114" i="3" a="1"/>
  <c r="AC1114" i="3" s="1"/>
  <c r="AC1115" i="3" a="1"/>
  <c r="AC1115" i="3" s="1"/>
  <c r="AC1116" i="3" a="1"/>
  <c r="AC1116" i="3" s="1"/>
  <c r="AC1117" i="3" a="1"/>
  <c r="AC1117" i="3" s="1"/>
  <c r="AC1118" i="3" a="1"/>
  <c r="AC1118" i="3"/>
  <c r="AC1119" i="3" a="1"/>
  <c r="AC1119" i="3"/>
  <c r="AC1120" i="3" a="1"/>
  <c r="AC1120" i="3"/>
  <c r="AC1121" i="3" a="1"/>
  <c r="AC1121" i="3"/>
  <c r="AC1122" i="3" a="1"/>
  <c r="AC1122" i="3" s="1"/>
  <c r="AC1123" i="3" a="1"/>
  <c r="AC1123" i="3" s="1"/>
  <c r="AC1124" i="3" a="1"/>
  <c r="AC1124" i="3" s="1"/>
  <c r="AC1125" i="3" a="1"/>
  <c r="AC1125" i="3" s="1"/>
  <c r="AC1126" i="3" a="1"/>
  <c r="AC1126" i="3" s="1"/>
  <c r="AC1127" i="3" a="1"/>
  <c r="AC1127" i="3" s="1"/>
  <c r="AC1128" i="3" a="1"/>
  <c r="AC1128" i="3" s="1"/>
  <c r="AC1129" i="3" a="1"/>
  <c r="AC1129" i="3" s="1"/>
  <c r="AC1130" i="3" a="1"/>
  <c r="AC1130" i="3" s="1"/>
  <c r="AC1131" i="3" a="1"/>
  <c r="AC1131" i="3" s="1"/>
  <c r="AC1132" i="3" a="1"/>
  <c r="AC1132" i="3"/>
  <c r="AC1133" i="3" a="1"/>
  <c r="AC1133" i="3"/>
  <c r="AC1134" i="3" a="1"/>
  <c r="AC1134" i="3" s="1"/>
  <c r="AC1135" i="3" a="1"/>
  <c r="AC1135" i="3" s="1"/>
  <c r="AC1136" i="3" a="1"/>
  <c r="AC1136" i="3" s="1"/>
  <c r="AC1137" i="3" a="1"/>
  <c r="AC1137" i="3" s="1"/>
  <c r="AC1138" i="3" a="1"/>
  <c r="AC1138" i="3" s="1"/>
  <c r="AC1139" i="3" a="1"/>
  <c r="AC1139" i="3"/>
  <c r="AC1140" i="3" a="1"/>
  <c r="AC1140" i="3" s="1"/>
  <c r="AC1141" i="3" a="1"/>
  <c r="AC1141" i="3" s="1"/>
  <c r="AC1142" i="3" a="1"/>
  <c r="AC1142" i="3" s="1"/>
  <c r="AC1143" i="3" a="1"/>
  <c r="AC1143" i="3" s="1"/>
  <c r="AC1144" i="3" a="1"/>
  <c r="AC1144" i="3" s="1"/>
  <c r="AC1145" i="3" a="1"/>
  <c r="AC1145" i="3" s="1"/>
  <c r="AC1146" i="3" a="1"/>
  <c r="AC1146" i="3" s="1"/>
  <c r="AC1147" i="3" a="1"/>
  <c r="AC1147" i="3" s="1"/>
  <c r="AC1148" i="3" a="1"/>
  <c r="AC1148" i="3" s="1"/>
  <c r="AC1149" i="3" a="1"/>
  <c r="AC1149" i="3"/>
  <c r="AC1150" i="3" a="1"/>
  <c r="AC1150" i="3"/>
  <c r="AC1151" i="3" a="1"/>
  <c r="AC1151" i="3" s="1"/>
  <c r="AC1152" i="3" a="1"/>
  <c r="AC1152" i="3" s="1"/>
  <c r="AC1153" i="3" a="1"/>
  <c r="AC1153" i="3" s="1"/>
  <c r="AC1154" i="3" a="1"/>
  <c r="AC1154" i="3" s="1"/>
  <c r="AC1155" i="3" a="1"/>
  <c r="AC1155" i="3" s="1"/>
  <c r="AC1156" i="3" a="1"/>
  <c r="AC1156" i="3" s="1"/>
  <c r="AC1157" i="3" a="1"/>
  <c r="AC1157" i="3" s="1"/>
  <c r="AC1158" i="3" a="1"/>
  <c r="AC1158" i="3" s="1"/>
  <c r="AC1159" i="3" a="1"/>
  <c r="AC1159" i="3" s="1"/>
  <c r="AC1160" i="3" a="1"/>
  <c r="AC1160" i="3" s="1"/>
  <c r="AC1161" i="3" a="1"/>
  <c r="AC1161" i="3" s="1"/>
  <c r="AC1162" i="3" a="1"/>
  <c r="AC1162" i="3" s="1"/>
  <c r="AC1163" i="3" a="1"/>
  <c r="AC1163" i="3" s="1"/>
  <c r="AC1164" i="3" a="1"/>
  <c r="AC1164" i="3" s="1"/>
  <c r="AC1165" i="3" a="1"/>
  <c r="AC1165" i="3" s="1"/>
  <c r="AC1166" i="3" a="1"/>
  <c r="AC1166" i="3"/>
  <c r="AC1167" i="3" a="1"/>
  <c r="AC1167" i="3"/>
  <c r="AC1168" i="3" a="1"/>
  <c r="AC1168" i="3" s="1"/>
  <c r="AC1169" i="3" a="1"/>
  <c r="AC1169" i="3" s="1"/>
  <c r="AC1170" i="3" a="1"/>
  <c r="AC1170" i="3" s="1"/>
  <c r="AC1171" i="3" a="1"/>
  <c r="AC1171" i="3" s="1"/>
  <c r="AC1172" i="3" a="1"/>
  <c r="AC1172" i="3" s="1"/>
  <c r="AC1173" i="3" a="1"/>
  <c r="AC1173" i="3"/>
  <c r="AC1174" i="3" a="1"/>
  <c r="AC1174" i="3" s="1"/>
  <c r="AC1175" i="3" a="1"/>
  <c r="AC1175" i="3" s="1"/>
  <c r="AC1176" i="3" a="1"/>
  <c r="AC1176" i="3" s="1"/>
  <c r="AC1177" i="3" a="1"/>
  <c r="AC1177" i="3" s="1"/>
  <c r="AC1178" i="3" a="1"/>
  <c r="AC1178" i="3" s="1"/>
  <c r="AC1179" i="3" a="1"/>
  <c r="AC1179" i="3" s="1"/>
  <c r="AC1180" i="3" a="1"/>
  <c r="AC1180" i="3" s="1"/>
  <c r="AC1181" i="3" a="1"/>
  <c r="AC1181" i="3" s="1"/>
  <c r="AC1182" i="3" a="1"/>
  <c r="AC1182" i="3" s="1"/>
  <c r="AC1183" i="3" a="1"/>
  <c r="AC1183" i="3"/>
  <c r="AC1184" i="3" a="1"/>
  <c r="AC1184" i="3"/>
  <c r="AC1185" i="3" a="1"/>
  <c r="AC1185" i="3" s="1"/>
  <c r="AC1186" i="3" a="1"/>
  <c r="AC1186" i="3" s="1"/>
  <c r="AC1187" i="3" a="1"/>
  <c r="AC1187" i="3" s="1"/>
  <c r="AC1188" i="3" a="1"/>
  <c r="AC1188" i="3" s="1"/>
  <c r="AC1189" i="3" a="1"/>
  <c r="AC1189" i="3" s="1"/>
  <c r="AC1190" i="3" a="1"/>
  <c r="AC1190" i="3" s="1"/>
  <c r="AC1191" i="3" a="1"/>
  <c r="AC1191" i="3" s="1"/>
  <c r="AC1192" i="3" a="1"/>
  <c r="AC1192" i="3" s="1"/>
  <c r="AC1193" i="3" a="1"/>
  <c r="AC1193" i="3" s="1"/>
  <c r="AC1194" i="3" a="1"/>
  <c r="AC1194" i="3" s="1"/>
  <c r="AC1195" i="3" a="1"/>
  <c r="AC1195" i="3" s="1"/>
  <c r="AC1196" i="3" a="1"/>
  <c r="AC1196" i="3" s="1"/>
  <c r="AC1197" i="3" a="1"/>
  <c r="AC1197" i="3" s="1"/>
  <c r="AC1198" i="3" a="1"/>
  <c r="AC1198" i="3" s="1"/>
  <c r="AC1199" i="3" a="1"/>
  <c r="AC1199" i="3" s="1"/>
  <c r="AC1200" i="3" a="1"/>
  <c r="AC1200" i="3"/>
  <c r="AC1201" i="3" a="1"/>
  <c r="AC1201" i="3"/>
  <c r="AC1202" i="3" a="1"/>
  <c r="AC1202" i="3" s="1"/>
  <c r="AC1203" i="3" a="1"/>
  <c r="AC1203" i="3" s="1"/>
  <c r="AC1204" i="3" a="1"/>
  <c r="AC1204" i="3" s="1"/>
  <c r="AC1205" i="3" a="1"/>
  <c r="AC1205" i="3" s="1"/>
  <c r="AC1206" i="3" a="1"/>
  <c r="AC1206" i="3" s="1"/>
  <c r="AC1207" i="3" a="1"/>
  <c r="AC1207" i="3" s="1"/>
  <c r="AC1208" i="3" a="1"/>
  <c r="AC1208" i="3" s="1"/>
  <c r="AC1209" i="3" a="1"/>
  <c r="AC1209" i="3" s="1"/>
  <c r="AC1210" i="3" a="1"/>
  <c r="AC1210" i="3" s="1"/>
  <c r="AC1211" i="3" a="1"/>
  <c r="AC1211" i="3" s="1"/>
  <c r="AC1212" i="3" a="1"/>
  <c r="AC1212" i="3" s="1"/>
  <c r="AC1213" i="3" a="1"/>
  <c r="AC1213" i="3" s="1"/>
  <c r="AC1214" i="3" a="1"/>
  <c r="AC1214" i="3" s="1"/>
  <c r="AC1215" i="3" a="1"/>
  <c r="AC1215" i="3" s="1"/>
  <c r="AC1216" i="3" a="1"/>
  <c r="AC1216" i="3" s="1"/>
  <c r="AC1217" i="3" a="1"/>
  <c r="AC1217" i="3"/>
  <c r="AC1218" i="3" a="1"/>
  <c r="AC1218" i="3" s="1"/>
  <c r="AC1219" i="3" a="1"/>
  <c r="AC1219" i="3" s="1"/>
  <c r="AC1220" i="3" a="1"/>
  <c r="AC1220" i="3" s="1"/>
  <c r="AC1221" i="3" a="1"/>
  <c r="AC1221" i="3" s="1"/>
  <c r="AC1222" i="3" a="1"/>
  <c r="AC1222" i="3" s="1"/>
  <c r="AC1223" i="3" a="1"/>
  <c r="AC1223" i="3" s="1"/>
  <c r="AC1224" i="3" a="1"/>
  <c r="AC1224" i="3"/>
  <c r="AC1225" i="3" a="1"/>
  <c r="AC1225" i="3" s="1"/>
  <c r="AC1226" i="3" a="1"/>
  <c r="AC1226" i="3" s="1"/>
  <c r="AC1227" i="3" a="1"/>
  <c r="AC1227" i="3"/>
  <c r="AC1228" i="3" a="1"/>
  <c r="AC1228" i="3" s="1"/>
  <c r="AC1229" i="3" a="1"/>
  <c r="AC1229" i="3" s="1"/>
  <c r="AC1230" i="3" a="1"/>
  <c r="AC1230" i="3" s="1"/>
  <c r="AC1231" i="3" a="1"/>
  <c r="AC1231" i="3" s="1"/>
  <c r="AC1232" i="3" a="1"/>
  <c r="AC1232" i="3" s="1"/>
  <c r="AC1233" i="3" a="1"/>
  <c r="AC1233" i="3" s="1"/>
  <c r="AC1234" i="3" a="1"/>
  <c r="AC1234" i="3" s="1"/>
  <c r="AC1235" i="3" a="1"/>
  <c r="AC1235" i="3" s="1"/>
  <c r="AC1236" i="3" a="1"/>
  <c r="AC1236" i="3" s="1"/>
  <c r="AC1237" i="3" a="1"/>
  <c r="AC1237" i="3" s="1"/>
  <c r="AC1238" i="3" a="1"/>
  <c r="AC1238" i="3" s="1"/>
  <c r="AC1239" i="3" a="1"/>
  <c r="AC1239" i="3" s="1"/>
  <c r="AC1240" i="3" a="1"/>
  <c r="AC1240" i="3" s="1"/>
  <c r="AC1241" i="3" a="1"/>
  <c r="AC1241" i="3"/>
  <c r="AC1242" i="3" a="1"/>
  <c r="AC1242" i="3" s="1"/>
  <c r="AC1243" i="3" a="1"/>
  <c r="AC1243" i="3" s="1"/>
  <c r="AC1244" i="3" a="1"/>
  <c r="AC1244" i="3" s="1"/>
  <c r="AC1245" i="3" a="1"/>
  <c r="AC1245" i="3" s="1"/>
  <c r="AC1246" i="3" a="1"/>
  <c r="AC1246" i="3" s="1"/>
  <c r="AC1247" i="3" a="1"/>
  <c r="AC1247" i="3" s="1"/>
  <c r="AC1248" i="3" a="1"/>
  <c r="AC1248" i="3" s="1"/>
  <c r="AC1249" i="3" a="1"/>
  <c r="AC1249" i="3" s="1"/>
  <c r="AC1250" i="3" a="1"/>
  <c r="AC1250" i="3" s="1"/>
  <c r="AC1251" i="3" a="1"/>
  <c r="AC1251" i="3" s="1"/>
  <c r="AC1252" i="3" a="1"/>
  <c r="AC1252" i="3" s="1"/>
  <c r="AC1253" i="3" a="1"/>
  <c r="AC1253" i="3" s="1"/>
  <c r="AC1254" i="3" a="1"/>
  <c r="AC1254" i="3" s="1"/>
  <c r="AC1255" i="3" a="1"/>
  <c r="AC1255" i="3" s="1"/>
  <c r="AC1256" i="3" a="1"/>
  <c r="AC1256" i="3" s="1"/>
  <c r="AC1257" i="3" a="1"/>
  <c r="AC1257" i="3" s="1"/>
  <c r="AC1258" i="3" a="1"/>
  <c r="AC1258" i="3" s="1"/>
  <c r="AC1259" i="3" a="1"/>
  <c r="AC1259" i="3" s="1"/>
  <c r="AC1260" i="3" a="1"/>
  <c r="AC1260" i="3"/>
  <c r="AC1261" i="3" a="1"/>
  <c r="AC1261" i="3" s="1"/>
  <c r="AC1262" i="3" a="1"/>
  <c r="AC1262" i="3" s="1"/>
  <c r="AC1263" i="3" a="1"/>
  <c r="AC1263" i="3"/>
  <c r="AC1264" i="3" a="1"/>
  <c r="AC1264" i="3"/>
  <c r="AC1265" i="3" a="1"/>
  <c r="AC1265" i="3"/>
  <c r="AC1266" i="3" a="1"/>
  <c r="AC1266" i="3" s="1"/>
  <c r="AC1267" i="3" a="1"/>
  <c r="AC1267" i="3" s="1"/>
  <c r="AC1268" i="3" a="1"/>
  <c r="AC1268" i="3" s="1"/>
  <c r="AC1269" i="3" a="1"/>
  <c r="AC1269" i="3" s="1"/>
  <c r="AC1270" i="3" a="1"/>
  <c r="AC1270" i="3" s="1"/>
  <c r="AC1271" i="3" a="1"/>
  <c r="AC1271" i="3"/>
  <c r="AC1272" i="3" a="1"/>
  <c r="AC1272" i="3" s="1"/>
  <c r="AC1273" i="3" a="1"/>
  <c r="AC1273" i="3" s="1"/>
  <c r="AC1274" i="3" a="1"/>
  <c r="AC1274" i="3" s="1"/>
  <c r="AC1275" i="3" a="1"/>
  <c r="AC1275" i="3" s="1"/>
  <c r="AC1276" i="3" a="1"/>
  <c r="AC1276" i="3" s="1"/>
  <c r="AC1277" i="3" a="1"/>
  <c r="AC1277" i="3"/>
  <c r="AC1278" i="3" a="1"/>
  <c r="AC1278" i="3" s="1"/>
  <c r="AC1279" i="3" a="1"/>
  <c r="AC1279" i="3" s="1"/>
  <c r="AC1280" i="3" a="1"/>
  <c r="AC1280" i="3"/>
  <c r="AC1281" i="3" a="1"/>
  <c r="AC1281" i="3"/>
  <c r="AC1282" i="3" a="1"/>
  <c r="AC1282" i="3" s="1"/>
  <c r="AC1283" i="3" a="1"/>
  <c r="AC1283" i="3" s="1"/>
  <c r="AC1284" i="3" a="1"/>
  <c r="AC1284" i="3"/>
  <c r="AC1285" i="3" a="1"/>
  <c r="AC1285" i="3" s="1"/>
  <c r="AC1286" i="3" a="1"/>
  <c r="AC1286" i="3" s="1"/>
  <c r="AC1287" i="3" a="1"/>
  <c r="AC1287" i="3" s="1"/>
  <c r="AC1288" i="3" a="1"/>
  <c r="AC1288" i="3" s="1"/>
  <c r="AC1289" i="3" a="1"/>
  <c r="AC1289" i="3" s="1"/>
  <c r="AC1290" i="3" a="1"/>
  <c r="AC1290" i="3" s="1"/>
  <c r="AC1291" i="3" a="1"/>
  <c r="AC1291" i="3" s="1"/>
  <c r="AC1292" i="3" a="1"/>
  <c r="AC1292" i="3" s="1"/>
  <c r="AC1293" i="3" a="1"/>
  <c r="AC1293" i="3" s="1"/>
  <c r="AC1294" i="3" a="1"/>
  <c r="AC1294" i="3"/>
  <c r="AC1295" i="3" a="1"/>
  <c r="AC1295" i="3" s="1"/>
  <c r="AC1296" i="3" a="1"/>
  <c r="AC1296" i="3" s="1"/>
  <c r="AC1297" i="3" a="1"/>
  <c r="AC1297" i="3"/>
  <c r="AC1298" i="3" a="1"/>
  <c r="AC1298" i="3" s="1"/>
  <c r="AC1299" i="3" a="1"/>
  <c r="AC1299" i="3" s="1"/>
  <c r="AC1300" i="3" a="1"/>
  <c r="AC1300" i="3" s="1"/>
  <c r="AC1301" i="3" a="1"/>
  <c r="AC1301" i="3" s="1"/>
  <c r="AC1302" i="3" a="1"/>
  <c r="AC1302" i="3" s="1"/>
  <c r="AC1303" i="3" a="1"/>
  <c r="AC1303" i="3" s="1"/>
  <c r="AC1304" i="3" a="1"/>
  <c r="AC1304" i="3" s="1"/>
  <c r="AC1305" i="3" a="1"/>
  <c r="AC1305" i="3"/>
  <c r="AC1306" i="3" a="1"/>
  <c r="AC1306" i="3" s="1"/>
  <c r="AC1307" i="3" a="1"/>
  <c r="AC1307" i="3" s="1"/>
  <c r="AC1308" i="3" a="1"/>
  <c r="AC1308" i="3" s="1"/>
  <c r="AC1309" i="3" a="1"/>
  <c r="AC1309" i="3" s="1"/>
  <c r="AC1310" i="3" a="1"/>
  <c r="AC1310" i="3" s="1"/>
  <c r="AC1311" i="3" a="1"/>
  <c r="AC1311" i="3"/>
  <c r="AC1312" i="3" a="1"/>
  <c r="AC1312" i="3" s="1"/>
  <c r="AC1313" i="3" a="1"/>
  <c r="AC1313" i="3" s="1"/>
  <c r="AC1314" i="3" a="1"/>
  <c r="AC1314" i="3" s="1"/>
  <c r="AC1315" i="3" a="1"/>
  <c r="AC1315" i="3" s="1"/>
  <c r="AC1316" i="3" a="1"/>
  <c r="AC1316" i="3" s="1"/>
  <c r="AC1317" i="3" a="1"/>
  <c r="AC1317" i="3" s="1"/>
  <c r="AC1318" i="3" a="1"/>
  <c r="AC1318" i="3"/>
  <c r="AC1319" i="3" a="1"/>
  <c r="AC1319" i="3" s="1"/>
  <c r="AC1320" i="3" a="1"/>
  <c r="AC1320" i="3" s="1"/>
  <c r="AC1321" i="3" a="1"/>
  <c r="AC1321" i="3" s="1"/>
  <c r="AC1322" i="3" a="1"/>
  <c r="AC1322" i="3" s="1"/>
  <c r="AC1323" i="3" a="1"/>
  <c r="AC1323" i="3"/>
  <c r="AC1324" i="3" a="1"/>
  <c r="AC1324" i="3"/>
  <c r="AC1325" i="3" a="1"/>
  <c r="AC1325" i="3"/>
  <c r="AC1326" i="3" a="1"/>
  <c r="AC1326" i="3"/>
  <c r="AC1327" i="3" a="1"/>
  <c r="AC1327" i="3" s="1"/>
  <c r="AC1328" i="3" a="1"/>
  <c r="AC1328" i="3" s="1"/>
  <c r="AC1329" i="3" a="1"/>
  <c r="AC1329" i="3" s="1"/>
  <c r="AC1330" i="3" a="1"/>
  <c r="AC1330" i="3" s="1"/>
  <c r="AC1331" i="3" a="1"/>
  <c r="AC1331" i="3" s="1"/>
  <c r="AC1332" i="3" a="1"/>
  <c r="AC1332" i="3" s="1"/>
  <c r="AC1333" i="3" a="1"/>
  <c r="AC1333" i="3" s="1"/>
  <c r="AC1334" i="3" a="1"/>
  <c r="AC1334" i="3" s="1"/>
  <c r="AC1335" i="3" a="1"/>
  <c r="AC1335" i="3"/>
  <c r="AC1336" i="3" a="1"/>
  <c r="AC1336" i="3" s="1"/>
  <c r="AC1337" i="3" a="1"/>
  <c r="AC1337" i="3" s="1"/>
  <c r="AC1338" i="3" a="1"/>
  <c r="AC1338" i="3" s="1"/>
  <c r="AC1339" i="3" a="1"/>
  <c r="AC1339" i="3" s="1"/>
  <c r="AC1340" i="3" a="1"/>
  <c r="AC1340" i="3"/>
  <c r="AC1341" i="3" a="1"/>
  <c r="AC1341" i="3"/>
  <c r="AC1342" i="3" a="1"/>
  <c r="AC1342" i="3"/>
  <c r="AC1343" i="3" a="1"/>
  <c r="AC1343" i="3"/>
  <c r="AC1344" i="3" a="1"/>
  <c r="AC1344" i="3" s="1"/>
  <c r="AC1345" i="3" a="1"/>
  <c r="AC1345" i="3" s="1"/>
  <c r="AC1346" i="3" a="1"/>
  <c r="AC1346" i="3" s="1"/>
  <c r="AC1347" i="3" a="1"/>
  <c r="AC1347" i="3" s="1"/>
  <c r="AC1348" i="3" a="1"/>
  <c r="AC1348" i="3" s="1"/>
  <c r="AC1349" i="3" a="1"/>
  <c r="AC1349" i="3" s="1"/>
  <c r="AC1350" i="3" a="1"/>
  <c r="AC1350" i="3" s="1"/>
  <c r="AC1351" i="3" a="1"/>
  <c r="AC1351" i="3" s="1"/>
  <c r="AC1352" i="3" a="1"/>
  <c r="AC1352" i="3"/>
  <c r="AC1353" i="3" a="1"/>
  <c r="AC1353" i="3" s="1"/>
  <c r="AC1354" i="3" a="1"/>
  <c r="AC1354" i="3" s="1"/>
  <c r="AC1355" i="3" a="1"/>
  <c r="AC1355" i="3" s="1"/>
  <c r="AC1356" i="3" a="1"/>
  <c r="AC1356" i="3" s="1"/>
  <c r="AC1357" i="3" a="1"/>
  <c r="AC1357" i="3"/>
  <c r="AC1358" i="3" a="1"/>
  <c r="AC1358" i="3"/>
  <c r="AC1359" i="3" a="1"/>
  <c r="AC1359" i="3"/>
  <c r="AC1360" i="3" a="1"/>
  <c r="AC1360" i="3"/>
  <c r="AC1361" i="3" a="1"/>
  <c r="AC1361" i="3" s="1"/>
  <c r="AC1362" i="3" a="1"/>
  <c r="AC1362" i="3" s="1"/>
  <c r="AC1363" i="3" a="1"/>
  <c r="AC1363" i="3" s="1"/>
  <c r="AC1364" i="3" a="1"/>
  <c r="AC1364" i="3" s="1"/>
  <c r="AC1365" i="3" a="1"/>
  <c r="AC1365" i="3"/>
  <c r="AC1366" i="3" a="1"/>
  <c r="AC1366" i="3" s="1"/>
  <c r="AC1367" i="3" a="1"/>
  <c r="AC1367" i="3" s="1"/>
  <c r="AC1368" i="3" a="1"/>
  <c r="AC1368" i="3" s="1"/>
  <c r="AC1369" i="3" a="1"/>
  <c r="AC1369" i="3" s="1"/>
  <c r="AC1370" i="3" a="1"/>
  <c r="AC1370" i="3" s="1"/>
  <c r="AC1371" i="3" a="1"/>
  <c r="AC1371" i="3"/>
  <c r="AC1372" i="3" a="1"/>
  <c r="AC1372" i="3" s="1"/>
  <c r="AC1373" i="3" a="1"/>
  <c r="AC1373" i="3" s="1"/>
  <c r="AC1374" i="3" a="1"/>
  <c r="AC1374" i="3" s="1"/>
  <c r="AC1375" i="3" a="1"/>
  <c r="AC1375" i="3" s="1"/>
  <c r="AC1376" i="3" a="1"/>
  <c r="AC1376" i="3" s="1"/>
  <c r="AC1377" i="3" a="1"/>
  <c r="AC1377" i="3" s="1"/>
  <c r="AC1378" i="3" a="1"/>
  <c r="AC1378" i="3" s="1"/>
  <c r="AC1379" i="3" a="1"/>
  <c r="AC1379" i="3" s="1"/>
  <c r="AC1380" i="3" a="1"/>
  <c r="AC1380" i="3" s="1"/>
  <c r="AC1381" i="3" a="1"/>
  <c r="AC1381" i="3" s="1"/>
  <c r="AC1382" i="3" a="1"/>
  <c r="AC1382" i="3" s="1"/>
  <c r="AC1383" i="3" a="1"/>
  <c r="AC1383" i="3" s="1"/>
  <c r="AC1384" i="3" a="1"/>
  <c r="AC1384" i="3" s="1"/>
  <c r="AC1385" i="3" a="1"/>
  <c r="AC1385" i="3" s="1"/>
  <c r="AC1386" i="3" a="1"/>
  <c r="AC1386" i="3" s="1"/>
  <c r="AC1387" i="3" a="1"/>
  <c r="AC1387" i="3" s="1"/>
  <c r="AC1388" i="3" a="1"/>
  <c r="AC1388" i="3"/>
  <c r="AC1389" i="3" a="1"/>
  <c r="AC1389" i="3" s="1"/>
  <c r="AC1390" i="3" a="1"/>
  <c r="AC1390" i="3" s="1"/>
  <c r="AC1391" i="3" a="1"/>
  <c r="AC1391" i="3" s="1"/>
  <c r="AC1392" i="3" a="1"/>
  <c r="AC1392" i="3" s="1"/>
  <c r="AC1393" i="3" a="1"/>
  <c r="AC1393" i="3" s="1"/>
  <c r="AC1394" i="3" a="1"/>
  <c r="AC1394" i="3" s="1"/>
  <c r="AC1395" i="3" a="1"/>
  <c r="AC1395" i="3"/>
  <c r="AC1396" i="3" a="1"/>
  <c r="AC1396" i="3" s="1"/>
  <c r="AC1397" i="3" a="1"/>
  <c r="AC1397" i="3" s="1"/>
  <c r="AC1398" i="3" a="1"/>
  <c r="AC1398" i="3" s="1"/>
  <c r="AC1399" i="3" a="1"/>
  <c r="AC1399" i="3" s="1"/>
  <c r="AC1400" i="3" a="1"/>
  <c r="AC1400" i="3" s="1"/>
  <c r="AC1401" i="3" a="1"/>
  <c r="AC1401" i="3" s="1"/>
  <c r="AC1402" i="3" a="1"/>
  <c r="AC1402" i="3" s="1"/>
  <c r="AC1403" i="3" a="1"/>
  <c r="AC1403" i="3"/>
  <c r="AC1404" i="3" a="1"/>
  <c r="AC1404" i="3" s="1"/>
  <c r="AC1405" i="3" a="1"/>
  <c r="AC1405" i="3" s="1"/>
  <c r="AC1406" i="3" a="1"/>
  <c r="AC1406" i="3" s="1"/>
  <c r="AC1407" i="3" a="1"/>
  <c r="AC1407" i="3"/>
  <c r="AC1408" i="3" a="1"/>
  <c r="AC1408" i="3"/>
  <c r="AC1409" i="3" a="1"/>
  <c r="AC1409" i="3"/>
  <c r="AC1410" i="3" a="1"/>
  <c r="AC1410" i="3" s="1"/>
  <c r="AC1411" i="3" a="1"/>
  <c r="AC1411" i="3" s="1"/>
  <c r="AC1412" i="3" a="1"/>
  <c r="AC1412" i="3"/>
  <c r="AC1413" i="3" a="1"/>
  <c r="AC1413" i="3" s="1"/>
  <c r="AC1414" i="3" a="1"/>
  <c r="AC1414" i="3" s="1"/>
  <c r="AC1415" i="3" a="1"/>
  <c r="AC1415" i="3" s="1"/>
  <c r="AC1416" i="3" a="1"/>
  <c r="AC1416" i="3" s="1"/>
  <c r="AC1417" i="3" a="1"/>
  <c r="AC1417" i="3" s="1"/>
  <c r="AC1418" i="3" a="1"/>
  <c r="AC1418" i="3" s="1"/>
  <c r="AC1419" i="3" a="1"/>
  <c r="AC1419" i="3" s="1"/>
  <c r="AC1420" i="3" a="1"/>
  <c r="AC1420" i="3" s="1"/>
  <c r="AC1421" i="3" a="1"/>
  <c r="AC1421" i="3" s="1"/>
  <c r="AC1422" i="3" a="1"/>
  <c r="AC1422" i="3"/>
  <c r="AC1423" i="3" a="1"/>
  <c r="AC1423" i="3" s="1"/>
  <c r="AC1424" i="3" a="1"/>
  <c r="AC1424" i="3" s="1"/>
  <c r="AC1425" i="3" a="1"/>
  <c r="AC1425" i="3" s="1"/>
  <c r="AC1426" i="3" a="1"/>
  <c r="AC1426" i="3" s="1"/>
  <c r="AC1427" i="3" a="1"/>
  <c r="AC1427" i="3" s="1"/>
  <c r="AC1428" i="3" a="1"/>
  <c r="AC1428" i="3" s="1"/>
  <c r="AC1429" i="3" a="1"/>
  <c r="AC1429" i="3"/>
  <c r="AC1430" i="3" a="1"/>
  <c r="AC1430" i="3" s="1"/>
  <c r="AC1431" i="3" a="1"/>
  <c r="AC1431" i="3" s="1"/>
  <c r="AC1432" i="3" a="1"/>
  <c r="AC1432" i="3" s="1"/>
  <c r="AC1433" i="3" a="1"/>
  <c r="AC1433" i="3" s="1"/>
  <c r="AC1434" i="3" a="1"/>
  <c r="AC1434" i="3" s="1"/>
  <c r="AC1435" i="3" a="1"/>
  <c r="AC1435" i="3"/>
  <c r="AC1436" i="3" a="1"/>
  <c r="AC1436" i="3"/>
  <c r="AC1437" i="3" a="1"/>
  <c r="AC1437" i="3"/>
  <c r="AC1438" i="3" a="1"/>
  <c r="AC1438" i="3" s="1"/>
  <c r="AC1439" i="3" a="1"/>
  <c r="AC1439" i="3" s="1"/>
  <c r="AC1440" i="3" a="1"/>
  <c r="AC1440" i="3" s="1"/>
  <c r="AC1441" i="3" a="1"/>
  <c r="AC1441" i="3"/>
  <c r="AC1442" i="3" a="1"/>
  <c r="AC1442" i="3" s="1"/>
  <c r="AC1443" i="3" a="1"/>
  <c r="AC1443" i="3" s="1"/>
  <c r="AC1444" i="3" a="1"/>
  <c r="AC1444" i="3" s="1"/>
  <c r="AC1445" i="3" a="1"/>
  <c r="AC1445" i="3" s="1"/>
  <c r="AC1446" i="3" a="1"/>
  <c r="AC1446" i="3"/>
  <c r="AC1447" i="3" a="1"/>
  <c r="AC1447" i="3" s="1"/>
  <c r="AC1448" i="3" a="1"/>
  <c r="AC1448" i="3" s="1"/>
  <c r="AC1449" i="3" a="1"/>
  <c r="AC1449" i="3" s="1"/>
  <c r="AC1450" i="3" a="1"/>
  <c r="AC1450" i="3" s="1"/>
  <c r="AC1451" i="3" a="1"/>
  <c r="AC1451" i="3"/>
  <c r="AC1452" i="3" a="1"/>
  <c r="AC1452" i="3"/>
  <c r="AC1453" i="3" a="1"/>
  <c r="AC1453" i="3"/>
  <c r="AC1454" i="3" a="1"/>
  <c r="AC1454" i="3" s="1"/>
  <c r="AC1455" i="3" a="1"/>
  <c r="AC1455" i="3" s="1"/>
  <c r="AC1456" i="3" a="1"/>
  <c r="AC1456" i="3" s="1"/>
  <c r="AC1457" i="3" a="1"/>
  <c r="AC1457" i="3"/>
  <c r="AC1458" i="3" a="1"/>
  <c r="AC1458" i="3"/>
  <c r="AC1459" i="3" a="1"/>
  <c r="AC1459" i="3"/>
  <c r="AC1460" i="3" a="1"/>
  <c r="AC1460" i="3" s="1"/>
  <c r="AC1461" i="3" a="1"/>
  <c r="AC1461" i="3" s="1"/>
  <c r="AC1462" i="3" a="1"/>
  <c r="AC1462" i="3" s="1"/>
  <c r="AC1463" i="3" a="1"/>
  <c r="AC1463" i="3"/>
  <c r="AC1464" i="3" a="1"/>
  <c r="AC1464" i="3" s="1"/>
  <c r="AC1465" i="3" a="1"/>
  <c r="AC1465" i="3" s="1"/>
  <c r="AC1466" i="3" a="1"/>
  <c r="AC1466" i="3"/>
  <c r="AC1467" i="3" a="1"/>
  <c r="AC1467" i="3"/>
  <c r="AC1468" i="3" a="1"/>
  <c r="AC1468" i="3" s="1"/>
  <c r="AC1469" i="3" a="1"/>
  <c r="AC1469" i="3" s="1"/>
  <c r="AC1470" i="3" a="1"/>
  <c r="AC1470" i="3" s="1"/>
  <c r="AC1471" i="3" a="1"/>
  <c r="AC1471" i="3" s="1"/>
  <c r="AC1472" i="3" a="1"/>
  <c r="AC1472" i="3" s="1"/>
  <c r="AC1473" i="3" a="1"/>
  <c r="AC1473" i="3" s="1"/>
  <c r="AC1474" i="3" a="1"/>
  <c r="AC1474" i="3" s="1"/>
  <c r="AC1475" i="3" a="1"/>
  <c r="AC1475" i="3"/>
  <c r="AC1476" i="3" a="1"/>
  <c r="AC1476" i="3" s="1"/>
  <c r="AC1477" i="3" a="1"/>
  <c r="AC1477" i="3" s="1"/>
  <c r="AC1478" i="3" a="1"/>
  <c r="AC1478" i="3" s="1"/>
  <c r="AC1479" i="3" a="1"/>
  <c r="AC1479" i="3" s="1"/>
  <c r="AC1480" i="3" a="1"/>
  <c r="AC1480" i="3" s="1"/>
  <c r="AC1481" i="3" a="1"/>
  <c r="AC1481" i="3" s="1"/>
  <c r="AC1482" i="3" a="1"/>
  <c r="AC1482" i="3" s="1"/>
  <c r="AC1483" i="3" a="1"/>
  <c r="AC1483" i="3" s="1"/>
  <c r="AC1484" i="3" a="1"/>
  <c r="AC1484" i="3" s="1"/>
  <c r="AC1485" i="3" a="1"/>
  <c r="AC1485" i="3" s="1"/>
  <c r="AC1486" i="3" a="1"/>
  <c r="AC1486" i="3" s="1"/>
  <c r="AC1487" i="3" a="1"/>
  <c r="AC1487" i="3" s="1"/>
  <c r="AC1488" i="3" a="1"/>
  <c r="AC1488" i="3" s="1"/>
  <c r="AC1489" i="3" a="1"/>
  <c r="AC1489" i="3" s="1"/>
  <c r="AC1490" i="3" a="1"/>
  <c r="AC1490" i="3" s="1"/>
  <c r="AC1491" i="3" a="1"/>
  <c r="AC1491" i="3" s="1"/>
  <c r="AC1492" i="3" a="1"/>
  <c r="AC1492" i="3" s="1"/>
  <c r="AC1493" i="3" a="1"/>
  <c r="AC1493" i="3" s="1"/>
  <c r="AC1494" i="3" a="1"/>
  <c r="AC1494" i="3" s="1"/>
  <c r="AC1495" i="3" a="1"/>
  <c r="AC1495" i="3" s="1"/>
  <c r="AC1496" i="3" a="1"/>
  <c r="AC1496" i="3" s="1"/>
  <c r="AC1497" i="3" a="1"/>
  <c r="AC1497" i="3" s="1"/>
  <c r="AC1498" i="3" a="1"/>
  <c r="AC1498" i="3" s="1"/>
  <c r="AC1499" i="3" a="1"/>
  <c r="AC1499" i="3" s="1"/>
  <c r="AC1500" i="3" a="1"/>
  <c r="AC1500" i="3" s="1"/>
  <c r="AC1501" i="3" a="1"/>
  <c r="AC1501" i="3" s="1"/>
  <c r="AC1502" i="3" a="1"/>
  <c r="AC1502" i="3" s="1"/>
  <c r="AC1503" i="3" a="1"/>
  <c r="AC1503" i="3" s="1"/>
  <c r="AC1504" i="3" a="1"/>
  <c r="AC1504" i="3" s="1"/>
  <c r="AC1505" i="3" a="1"/>
  <c r="AC1505" i="3" s="1"/>
  <c r="AC1506" i="3" a="1"/>
  <c r="AC1506" i="3"/>
  <c r="AC1507" i="3" a="1"/>
  <c r="AC1507" i="3"/>
  <c r="AC1508" i="3" a="1"/>
  <c r="AC1508" i="3" s="1"/>
  <c r="AC1509" i="3" a="1"/>
  <c r="AC1509" i="3" s="1"/>
  <c r="AC1510" i="3" a="1"/>
  <c r="AC1510" i="3" s="1"/>
  <c r="AC1511" i="3" a="1"/>
  <c r="AC1511" i="3" s="1"/>
  <c r="AC1512" i="3" a="1"/>
  <c r="AC1512" i="3" s="1"/>
  <c r="AC1513" i="3" a="1"/>
  <c r="AC1513" i="3" s="1"/>
  <c r="AC1514" i="3" a="1"/>
  <c r="AC1514" i="3" s="1"/>
  <c r="AC1515" i="3" a="1"/>
  <c r="AC1515" i="3" s="1"/>
  <c r="AC1516" i="3" a="1"/>
  <c r="AC1516" i="3" s="1"/>
  <c r="AC1517" i="3" a="1"/>
  <c r="AC1517" i="3" s="1"/>
  <c r="AC1518" i="3" a="1"/>
  <c r="AC1518" i="3" s="1"/>
  <c r="AC1519" i="3" a="1"/>
  <c r="AC1519" i="3" s="1"/>
  <c r="AC1520" i="3" a="1"/>
  <c r="AC1520" i="3" s="1"/>
  <c r="AC1521" i="3" a="1"/>
  <c r="AC1521" i="3" s="1"/>
  <c r="AC1522" i="3" a="1"/>
  <c r="AC1522" i="3"/>
  <c r="AC1523" i="3" a="1"/>
  <c r="AC1523" i="3" s="1"/>
  <c r="AC1524" i="3" a="1"/>
  <c r="AC1524" i="3" s="1"/>
  <c r="AC1525" i="3" a="1"/>
  <c r="AC1525" i="3" s="1"/>
  <c r="AC1526" i="3" a="1"/>
  <c r="AC1526" i="3" s="1"/>
  <c r="AC1527" i="3" a="1"/>
  <c r="AC1527" i="3" s="1"/>
  <c r="AC1528" i="3" a="1"/>
  <c r="AC1528" i="3" s="1"/>
  <c r="AC1529" i="3" a="1"/>
  <c r="AC1529" i="3" s="1"/>
  <c r="AC1530" i="3" a="1"/>
  <c r="AC1530" i="3" s="1"/>
  <c r="AC1531" i="3" a="1"/>
  <c r="AC1531" i="3"/>
  <c r="AC1532" i="3" a="1"/>
  <c r="AC1532" i="3" s="1"/>
  <c r="AC1533" i="3" a="1"/>
  <c r="AC1533" i="3" s="1"/>
  <c r="AC1534" i="3" a="1"/>
  <c r="AC1534" i="3" s="1"/>
  <c r="AC1535" i="3" a="1"/>
  <c r="AC1535" i="3" s="1"/>
  <c r="AC1536" i="3" a="1"/>
  <c r="AC1536" i="3" s="1"/>
  <c r="AC1537" i="3" a="1"/>
  <c r="AC1537" i="3" s="1"/>
  <c r="AC1538" i="3" a="1"/>
  <c r="AC1538" i="3" s="1"/>
  <c r="AC1539" i="3" a="1"/>
  <c r="AC1539" i="3" s="1"/>
  <c r="AC1540" i="3" a="1"/>
  <c r="AC1540" i="3" s="1"/>
  <c r="AC1541" i="3" a="1"/>
  <c r="AC1541" i="3" s="1"/>
  <c r="AC1542" i="3" a="1"/>
  <c r="AC1542" i="3" s="1"/>
  <c r="AC1543" i="3" a="1"/>
  <c r="AC1543" i="3" s="1"/>
  <c r="AC1544" i="3" a="1"/>
  <c r="AC1544" i="3" s="1"/>
  <c r="AC1545" i="3" a="1"/>
  <c r="AC1545" i="3" s="1"/>
  <c r="AC1546" i="3" a="1"/>
  <c r="AC1546" i="3" s="1"/>
  <c r="AC1547" i="3" a="1"/>
  <c r="AC1547" i="3"/>
  <c r="AC1548" i="3" a="1"/>
  <c r="AC1548" i="3" s="1"/>
  <c r="AC1549" i="3" a="1"/>
  <c r="AC1549" i="3" s="1"/>
  <c r="AC1550" i="3" a="1"/>
  <c r="AC1550" i="3" s="1"/>
  <c r="AC1551" i="3" a="1"/>
  <c r="AC1551" i="3" s="1"/>
  <c r="AC1552" i="3" a="1"/>
  <c r="AC1552" i="3" s="1"/>
  <c r="AC1553" i="3" a="1"/>
  <c r="AC1553" i="3" s="1"/>
  <c r="AC1554" i="3" a="1"/>
  <c r="AC1554" i="3"/>
  <c r="AC1555" i="3" a="1"/>
  <c r="AC1555" i="3" s="1"/>
  <c r="AC1556" i="3" a="1"/>
  <c r="AC1556" i="3" s="1"/>
  <c r="AC1557" i="3" a="1"/>
  <c r="AC1557" i="3" s="1"/>
  <c r="AC1558" i="3" a="1"/>
  <c r="AC1558" i="3" s="1"/>
  <c r="AC1559" i="3" a="1"/>
  <c r="AC1559" i="3" s="1"/>
  <c r="AC1560" i="3" a="1"/>
  <c r="AC1560" i="3" s="1"/>
  <c r="AC1561" i="3" a="1"/>
  <c r="AC1561" i="3" s="1"/>
  <c r="AC1562" i="3" a="1"/>
  <c r="AC1562" i="3" s="1"/>
  <c r="AC1563" i="3" a="1"/>
  <c r="AC1563" i="3" s="1"/>
  <c r="AC1564" i="3" a="1"/>
  <c r="AC1564" i="3" s="1"/>
  <c r="AC1565" i="3" a="1"/>
  <c r="AC1565" i="3" s="1"/>
  <c r="AC1566" i="3" a="1"/>
  <c r="AC1566" i="3" s="1"/>
  <c r="AC1567" i="3" a="1"/>
  <c r="AC1567" i="3" s="1"/>
  <c r="AC1568" i="3" a="1"/>
  <c r="AC1568" i="3" s="1"/>
  <c r="AC1569" i="3" a="1"/>
  <c r="AC1569" i="3" s="1"/>
  <c r="AC1570" i="3" a="1"/>
  <c r="AC1570" i="3" s="1"/>
  <c r="AC1571" i="3" a="1"/>
  <c r="AC1571" i="3" s="1"/>
  <c r="AC1572" i="3" a="1"/>
  <c r="AC1572" i="3" s="1"/>
  <c r="AC1573" i="3" a="1"/>
  <c r="AC1573" i="3" s="1"/>
  <c r="AC1574" i="3" a="1"/>
  <c r="AC1574" i="3" s="1"/>
  <c r="AC1575" i="3" a="1"/>
  <c r="AC1575" i="3" s="1"/>
  <c r="AC1576" i="3" a="1"/>
  <c r="AC1576" i="3" s="1"/>
  <c r="AC1577" i="3" a="1"/>
  <c r="AC1577" i="3" s="1"/>
  <c r="AC1578" i="3" a="1"/>
  <c r="AC1578" i="3" s="1"/>
  <c r="AC1579" i="3" a="1"/>
  <c r="AC1579" i="3" s="1"/>
  <c r="AC1580" i="3" a="1"/>
  <c r="AC1580" i="3" s="1"/>
  <c r="AC1581" i="3" a="1"/>
  <c r="AC1581" i="3" s="1"/>
  <c r="AC1582" i="3" a="1"/>
  <c r="AC1582" i="3" s="1"/>
  <c r="AC1583" i="3" a="1"/>
  <c r="AC1583" i="3" s="1"/>
  <c r="AC1584" i="3" a="1"/>
  <c r="AC1584" i="3" s="1"/>
  <c r="AC1585" i="3" a="1"/>
  <c r="AC1585" i="3" s="1"/>
  <c r="AC1586" i="3" a="1"/>
  <c r="AC1586" i="3" s="1"/>
  <c r="AC1587" i="3" a="1"/>
  <c r="AC1587" i="3" s="1"/>
  <c r="AC1588" i="3" a="1"/>
  <c r="AC1588" i="3" s="1"/>
  <c r="AC1589" i="3" a="1"/>
  <c r="AC1589" i="3" s="1"/>
  <c r="AC1590" i="3" a="1"/>
  <c r="AC1590" i="3" s="1"/>
  <c r="AC1591" i="3" a="1"/>
  <c r="AC1591" i="3" s="1"/>
  <c r="AC1592" i="3" a="1"/>
  <c r="AC1592" i="3" s="1"/>
  <c r="AC1593" i="3" a="1"/>
  <c r="AC1593" i="3" s="1"/>
  <c r="AC1594" i="3" a="1"/>
  <c r="AC1594" i="3" s="1"/>
  <c r="AC1595" i="3" a="1"/>
  <c r="AC1595" i="3" s="1"/>
  <c r="AC1596" i="3" a="1"/>
  <c r="AC1596" i="3" s="1"/>
  <c r="AC1597" i="3" a="1"/>
  <c r="AC1597" i="3" s="1"/>
  <c r="AC1598" i="3" a="1"/>
  <c r="AC1598" i="3" s="1"/>
  <c r="AC1599" i="3" a="1"/>
  <c r="AC1599" i="3" s="1"/>
  <c r="AC1600" i="3" a="1"/>
  <c r="AC1600" i="3" s="1"/>
  <c r="AC1601" i="3" a="1"/>
  <c r="AC1601" i="3" s="1"/>
  <c r="AC1602" i="3" a="1"/>
  <c r="AC1602" i="3" s="1"/>
  <c r="AC1603" i="3" a="1"/>
  <c r="AC1603" i="3" s="1"/>
  <c r="AC1604" i="3" a="1"/>
  <c r="AC1604" i="3" s="1"/>
  <c r="AC1605" i="3" a="1"/>
  <c r="AC1605" i="3"/>
  <c r="AC1606" i="3" a="1"/>
  <c r="AC1606" i="3" s="1"/>
  <c r="AC1607" i="3" a="1"/>
  <c r="AC1607" i="3" s="1"/>
  <c r="AC1608" i="3" a="1"/>
  <c r="AC1608" i="3" s="1"/>
  <c r="AC1609" i="3" a="1"/>
  <c r="AC1609" i="3" s="1"/>
  <c r="AC1610" i="3" a="1"/>
  <c r="AC1610" i="3" s="1"/>
  <c r="AC1611" i="3" a="1"/>
  <c r="AC1611" i="3" s="1"/>
  <c r="AC1612" i="3" a="1"/>
  <c r="AC1612" i="3" s="1"/>
  <c r="AC1613" i="3" a="1"/>
  <c r="AC1613" i="3" s="1"/>
  <c r="AC1614" i="3" a="1"/>
  <c r="AC1614" i="3" s="1"/>
  <c r="AC1615" i="3" a="1"/>
  <c r="AC1615" i="3" s="1"/>
  <c r="AC1616" i="3" a="1"/>
  <c r="AC1616" i="3" s="1"/>
  <c r="AC1617" i="3" a="1"/>
  <c r="AC1617" i="3" s="1"/>
  <c r="AC1618" i="3" a="1"/>
  <c r="AC1618" i="3"/>
  <c r="AC1619" i="3" a="1"/>
  <c r="AC1619" i="3" s="1"/>
  <c r="AC1620" i="3" a="1"/>
  <c r="AC1620" i="3" s="1"/>
  <c r="AC1621" i="3" a="1"/>
  <c r="AC1621" i="3" s="1"/>
  <c r="AC1622" i="3" a="1"/>
  <c r="AC1622" i="3" s="1"/>
  <c r="AC1623" i="3" a="1"/>
  <c r="AC1623" i="3" s="1"/>
  <c r="AC1624" i="3" a="1"/>
  <c r="AC1624" i="3" s="1"/>
  <c r="AC1625" i="3" a="1"/>
  <c r="AC1625" i="3" s="1"/>
  <c r="AC1626" i="3" a="1"/>
  <c r="AC1626" i="3" s="1"/>
  <c r="AC1627" i="3" a="1"/>
  <c r="AC1627" i="3" s="1"/>
  <c r="AC1628" i="3" a="1"/>
  <c r="AC1628" i="3" s="1"/>
  <c r="AC1629" i="3" a="1"/>
  <c r="AC1629" i="3" s="1"/>
  <c r="AC1630" i="3" a="1"/>
  <c r="AC1630" i="3" s="1"/>
  <c r="AC1631" i="3" a="1"/>
  <c r="AC1631" i="3" s="1"/>
  <c r="AC1632" i="3" a="1"/>
  <c r="AC1632" i="3" s="1"/>
  <c r="AC1633" i="3" a="1"/>
  <c r="AC1633" i="3" s="1"/>
  <c r="AC1634" i="3" a="1"/>
  <c r="AC1634" i="3"/>
  <c r="AC1635" i="3" a="1"/>
  <c r="AC1635" i="3" s="1"/>
  <c r="AC1636" i="3" a="1"/>
  <c r="AC1636" i="3" s="1"/>
  <c r="AC1637" i="3" a="1"/>
  <c r="AC1637" i="3"/>
  <c r="AC1638" i="3" a="1"/>
  <c r="AC1638" i="3" s="1"/>
  <c r="AC1639" i="3" a="1"/>
  <c r="AC1639" i="3" s="1"/>
  <c r="AC1640" i="3" a="1"/>
  <c r="AC1640" i="3" s="1"/>
  <c r="AC1641" i="3" a="1"/>
  <c r="AC1641" i="3" s="1"/>
  <c r="AC1642" i="3" a="1"/>
  <c r="AC1642" i="3" s="1"/>
  <c r="AC1643" i="3" a="1"/>
  <c r="AC1643" i="3" s="1"/>
  <c r="AC1644" i="3" a="1"/>
  <c r="AC1644" i="3" s="1"/>
  <c r="AC1645" i="3" a="1"/>
  <c r="AC1645" i="3" s="1"/>
  <c r="AC1646" i="3" a="1"/>
  <c r="AC1646" i="3" s="1"/>
  <c r="AC1647" i="3" a="1"/>
  <c r="AC1647" i="3" s="1"/>
  <c r="AC1648" i="3" a="1"/>
  <c r="AC1648" i="3" s="1"/>
  <c r="AC1649" i="3" a="1"/>
  <c r="AC1649" i="3" s="1"/>
  <c r="AC1650" i="3" a="1"/>
  <c r="AC1650" i="3"/>
  <c r="AC1651" i="3" a="1"/>
  <c r="AC1651" i="3" s="1"/>
  <c r="AC1652" i="3" a="1"/>
  <c r="AC1652" i="3" s="1"/>
  <c r="AC1653" i="3" a="1"/>
  <c r="AC1653" i="3" s="1"/>
  <c r="AC1654" i="3" a="1"/>
  <c r="AC1654" i="3" s="1"/>
  <c r="AC1655" i="3" a="1"/>
  <c r="AC1655" i="3" s="1"/>
  <c r="AC1656" i="3" a="1"/>
  <c r="AC1656" i="3" s="1"/>
  <c r="AC1657" i="3" a="1"/>
  <c r="AC1657" i="3" s="1"/>
  <c r="AC1658" i="3" a="1"/>
  <c r="AC1658" i="3" s="1"/>
  <c r="AC1659" i="3" a="1"/>
  <c r="AC1659" i="3" s="1"/>
  <c r="AC1660" i="3" a="1"/>
  <c r="AC1660" i="3" s="1"/>
  <c r="AC1661" i="3" a="1"/>
  <c r="AC1661" i="3" s="1"/>
  <c r="AC1662" i="3" a="1"/>
  <c r="AC1662" i="3" s="1"/>
  <c r="AC1663" i="3" a="1"/>
  <c r="AC1663" i="3" s="1"/>
  <c r="AC1664" i="3" a="1"/>
  <c r="AC1664" i="3" s="1"/>
  <c r="AC1665" i="3" a="1"/>
  <c r="AC1665" i="3" s="1"/>
  <c r="AC1666" i="3" a="1"/>
  <c r="AC1666" i="3" s="1"/>
  <c r="AC1667" i="3" a="1"/>
  <c r="AC1667" i="3" s="1"/>
  <c r="AC1668" i="3" a="1"/>
  <c r="AC1668" i="3" s="1"/>
  <c r="AC1669" i="3" a="1"/>
  <c r="AC1669" i="3" s="1"/>
  <c r="AC1670" i="3" a="1"/>
  <c r="AC1670" i="3" s="1"/>
  <c r="AC1671" i="3" a="1"/>
  <c r="AC1671" i="3" s="1"/>
  <c r="AC1672" i="3" a="1"/>
  <c r="AC1672" i="3" s="1"/>
  <c r="AC1673" i="3" a="1"/>
  <c r="AC1673" i="3" s="1"/>
  <c r="AC1674" i="3" a="1"/>
  <c r="AC1674" i="3" s="1"/>
  <c r="AC1675" i="3" a="1"/>
  <c r="AC1675" i="3"/>
  <c r="AC1676" i="3" a="1"/>
  <c r="AC1676" i="3" s="1"/>
  <c r="AC1677" i="3" a="1"/>
  <c r="AC1677" i="3" s="1"/>
  <c r="AC1678" i="3" a="1"/>
  <c r="AC1678" i="3" s="1"/>
  <c r="AC1679" i="3" a="1"/>
  <c r="AC1679" i="3" s="1"/>
  <c r="AC1680" i="3" a="1"/>
  <c r="AC1680" i="3" s="1"/>
  <c r="AC1681" i="3" a="1"/>
  <c r="AC1681" i="3" s="1"/>
  <c r="AC1682" i="3" a="1"/>
  <c r="AC1682" i="3"/>
  <c r="AC1683" i="3" a="1"/>
  <c r="AC1683" i="3" s="1"/>
  <c r="AC1684" i="3" a="1"/>
  <c r="AC1684" i="3" s="1"/>
  <c r="AC1685" i="3" a="1"/>
  <c r="AC1685" i="3" s="1"/>
  <c r="AC1686" i="3" a="1"/>
  <c r="AC1686" i="3" s="1"/>
  <c r="AC1687" i="3" a="1"/>
  <c r="AC1687" i="3" s="1"/>
  <c r="AC1688" i="3" a="1"/>
  <c r="AC1688" i="3" s="1"/>
  <c r="AC1689" i="3" a="1"/>
  <c r="AC1689" i="3" s="1"/>
  <c r="AC1690" i="3" a="1"/>
  <c r="AC1690" i="3" s="1"/>
  <c r="AC1691" i="3" a="1"/>
  <c r="AC1691" i="3" s="1"/>
  <c r="AC1692" i="3" a="1"/>
  <c r="AC1692" i="3" s="1"/>
  <c r="AC1693" i="3" a="1"/>
  <c r="AC1693" i="3" s="1"/>
  <c r="AC1694" i="3" a="1"/>
  <c r="AC1694" i="3" s="1"/>
  <c r="AC1695" i="3" a="1"/>
  <c r="AC1695" i="3" s="1"/>
  <c r="AC1696" i="3" a="1"/>
  <c r="AC1696" i="3" s="1"/>
  <c r="AC1697" i="3" a="1"/>
  <c r="AC1697" i="3" s="1"/>
  <c r="AC1698" i="3" a="1"/>
  <c r="AC1698" i="3" s="1"/>
  <c r="AC1699" i="3" a="1"/>
  <c r="AC1699" i="3" s="1"/>
  <c r="AC1700" i="3" a="1"/>
  <c r="AC1700" i="3" s="1"/>
  <c r="AC1701" i="3" a="1"/>
  <c r="AC1701" i="3" s="1"/>
  <c r="AC1702" i="3" a="1"/>
  <c r="AC1702" i="3" s="1"/>
  <c r="AC1703" i="3" a="1"/>
  <c r="AC1703" i="3" s="1"/>
  <c r="AC1704" i="3" a="1"/>
  <c r="AC1704" i="3" s="1"/>
  <c r="AC1705" i="3" a="1"/>
  <c r="AC1705" i="3" s="1"/>
  <c r="AC1706" i="3" a="1"/>
  <c r="AC1706" i="3"/>
  <c r="AC1707" i="3" a="1"/>
  <c r="AC1707" i="3"/>
  <c r="AC1708" i="3" a="1"/>
  <c r="AC1708" i="3" s="1"/>
  <c r="AC1709" i="3" a="1"/>
  <c r="AC1709" i="3" s="1"/>
  <c r="AC1710" i="3" a="1"/>
  <c r="AC1710" i="3" s="1"/>
  <c r="AC1711" i="3" a="1"/>
  <c r="AC1711" i="3" s="1"/>
  <c r="AC1712" i="3" a="1"/>
  <c r="AC1712" i="3" s="1"/>
  <c r="AC1713" i="3" a="1"/>
  <c r="AC1713" i="3" s="1"/>
  <c r="AC1714" i="3" a="1"/>
  <c r="AC1714" i="3"/>
  <c r="AC1715" i="3" a="1"/>
  <c r="AC1715" i="3" s="1"/>
  <c r="AC1716" i="3" a="1"/>
  <c r="AC1716" i="3" s="1"/>
  <c r="AC1717" i="3" a="1"/>
  <c r="AC1717" i="3"/>
  <c r="AC1718" i="3" a="1"/>
  <c r="AC1718" i="3" s="1"/>
  <c r="AC1719" i="3" a="1"/>
  <c r="AC1719" i="3" s="1"/>
  <c r="AC1720" i="3" a="1"/>
  <c r="AC1720" i="3" s="1"/>
  <c r="AC1721" i="3" a="1"/>
  <c r="AC1721" i="3" s="1"/>
  <c r="AC1722" i="3" a="1"/>
  <c r="AC1722" i="3"/>
  <c r="AC1723" i="3" a="1"/>
  <c r="AC1723" i="3" s="1"/>
  <c r="AC1724" i="3" a="1"/>
  <c r="AC1724" i="3" s="1"/>
  <c r="AC1725" i="3" a="1"/>
  <c r="AC1725" i="3"/>
  <c r="AC1726" i="3" a="1"/>
  <c r="AC1726" i="3" s="1"/>
  <c r="AC1727" i="3" a="1"/>
  <c r="AC1727" i="3" s="1"/>
  <c r="AC1728" i="3" a="1"/>
  <c r="AC1728" i="3" s="1"/>
  <c r="AC1729" i="3" a="1"/>
  <c r="AC1729" i="3" s="1"/>
  <c r="AC1730" i="3" a="1"/>
  <c r="AC1730" i="3" s="1"/>
  <c r="AC1731" i="3" a="1"/>
  <c r="AC1731" i="3" s="1"/>
  <c r="AC1732" i="3" a="1"/>
  <c r="AC1732" i="3" s="1"/>
  <c r="AC1733" i="3" a="1"/>
  <c r="AC1733" i="3" s="1"/>
  <c r="AC1734" i="3" a="1"/>
  <c r="AC1734" i="3" s="1"/>
  <c r="AC1735" i="3" a="1"/>
  <c r="AC1735" i="3" s="1"/>
  <c r="AC1736" i="3" a="1"/>
  <c r="AC1736" i="3" s="1"/>
  <c r="AC1737" i="3" a="1"/>
  <c r="AC1737" i="3" s="1"/>
  <c r="AC1738" i="3" a="1"/>
  <c r="AC1738" i="3" s="1"/>
  <c r="AC1739" i="3" a="1"/>
  <c r="AC1739" i="3" s="1"/>
  <c r="AC1740" i="3" a="1"/>
  <c r="AC1740" i="3" s="1"/>
  <c r="AC1741" i="3" a="1"/>
  <c r="AC1741" i="3" s="1"/>
  <c r="AC1742" i="3" a="1"/>
  <c r="AC1742" i="3" s="1"/>
  <c r="AC1743" i="3" a="1"/>
  <c r="AC1743" i="3" s="1"/>
  <c r="AC1744" i="3" a="1"/>
  <c r="AC1744" i="3" s="1"/>
  <c r="AC1745" i="3" a="1"/>
  <c r="AC1745" i="3" s="1"/>
  <c r="AC1746" i="3" a="1"/>
  <c r="AC1746" i="3" s="1"/>
  <c r="AC1747" i="3" a="1"/>
  <c r="AC1747" i="3" s="1"/>
  <c r="AC1748" i="3" a="1"/>
  <c r="AC1748" i="3" s="1"/>
  <c r="AC1749" i="3" a="1"/>
  <c r="AC1749" i="3" s="1"/>
  <c r="AC1750" i="3" a="1"/>
  <c r="AC1750" i="3" s="1"/>
  <c r="AC1751" i="3" a="1"/>
  <c r="AC1751" i="3" s="1"/>
  <c r="AC1752" i="3" a="1"/>
  <c r="AC1752" i="3" s="1"/>
  <c r="AC1753" i="3" a="1"/>
  <c r="AC1753" i="3" s="1"/>
  <c r="AC1754" i="3" a="1"/>
  <c r="AC1754" i="3"/>
  <c r="AC1755" i="3" a="1"/>
  <c r="AC1755" i="3" s="1"/>
  <c r="AC1756" i="3" a="1"/>
  <c r="AC1756" i="3" s="1"/>
  <c r="AC1757" i="3" a="1"/>
  <c r="AC1757" i="3" s="1"/>
  <c r="AC1758" i="3" a="1"/>
  <c r="AC1758" i="3" s="1"/>
  <c r="AC1759" i="3" a="1"/>
  <c r="AC1759" i="3" s="1"/>
  <c r="AC1760" i="3" a="1"/>
  <c r="AC1760" i="3" s="1"/>
  <c r="AC1761" i="3" a="1"/>
  <c r="AC1761" i="3" s="1"/>
  <c r="AC1762" i="3" a="1"/>
  <c r="AC1762" i="3" s="1"/>
  <c r="AC1763" i="3" a="1"/>
  <c r="AC1763" i="3" s="1"/>
  <c r="AC1764" i="3" a="1"/>
  <c r="AC1764" i="3" s="1"/>
  <c r="AC1765" i="3" a="1"/>
  <c r="AC1765" i="3" s="1"/>
  <c r="AC1766" i="3" a="1"/>
  <c r="AC1766" i="3" s="1"/>
  <c r="AC1767" i="3" a="1"/>
  <c r="AC1767" i="3" s="1"/>
  <c r="AC1768" i="3" a="1"/>
  <c r="AC1768" i="3" s="1"/>
  <c r="AC1769" i="3" a="1"/>
  <c r="AC1769" i="3" s="1"/>
  <c r="AC1770" i="3" a="1"/>
  <c r="AC1770" i="3" s="1"/>
  <c r="AC1771" i="3" a="1"/>
  <c r="AC1771" i="3"/>
  <c r="AC1772" i="3" a="1"/>
  <c r="AC1772" i="3" s="1"/>
  <c r="AC1773" i="3" a="1"/>
  <c r="AC1773" i="3" s="1"/>
  <c r="AC1774" i="3" a="1"/>
  <c r="AC1774" i="3" s="1"/>
  <c r="AC1775" i="3" a="1"/>
  <c r="AC1775" i="3" s="1"/>
  <c r="AC1776" i="3" a="1"/>
  <c r="AC1776" i="3" s="1"/>
  <c r="AC1777" i="3" a="1"/>
  <c r="AC1777" i="3" s="1"/>
  <c r="AC1778" i="3" a="1"/>
  <c r="AC1778" i="3"/>
  <c r="AC1779" i="3" a="1"/>
  <c r="AC1779" i="3" s="1"/>
  <c r="AC1780" i="3" a="1"/>
  <c r="AC1780" i="3" s="1"/>
  <c r="AC1781" i="3" a="1"/>
  <c r="AC1781" i="3" s="1"/>
  <c r="AC1782" i="3" a="1"/>
  <c r="AC1782" i="3" s="1"/>
  <c r="AC1783" i="3" a="1"/>
  <c r="AC1783" i="3" s="1"/>
  <c r="AC1784" i="3" a="1"/>
  <c r="AC1784" i="3" s="1"/>
  <c r="AC1785" i="3" a="1"/>
  <c r="AC1785" i="3" s="1"/>
  <c r="AC1786" i="3" a="1"/>
  <c r="AC1786" i="3" s="1"/>
  <c r="AC1787" i="3" a="1"/>
  <c r="AC1787" i="3" s="1"/>
  <c r="AC1788" i="3" a="1"/>
  <c r="AC1788" i="3" s="1"/>
  <c r="AC1789" i="3" a="1"/>
  <c r="AC1789" i="3" s="1"/>
  <c r="AC1790" i="3" a="1"/>
  <c r="AC1790" i="3" s="1"/>
  <c r="AC1791" i="3" a="1"/>
  <c r="AC1791" i="3" s="1"/>
  <c r="AC1792" i="3" a="1"/>
  <c r="AC1792" i="3" s="1"/>
  <c r="AC1793" i="3" a="1"/>
  <c r="AC1793" i="3" s="1"/>
  <c r="AC1794" i="3" a="1"/>
  <c r="AC1794" i="3" s="1"/>
  <c r="AC1795" i="3" a="1"/>
  <c r="AC1795" i="3" s="1"/>
  <c r="AC1796" i="3" a="1"/>
  <c r="AC1796" i="3" s="1"/>
  <c r="AC1797" i="3" a="1"/>
  <c r="AC1797" i="3" s="1"/>
  <c r="AC1798" i="3" a="1"/>
  <c r="AC1798" i="3" s="1"/>
  <c r="AC1799" i="3" a="1"/>
  <c r="AC1799" i="3" s="1"/>
  <c r="AC1800" i="3" a="1"/>
  <c r="AC1800" i="3" s="1"/>
  <c r="AC1801" i="3" a="1"/>
  <c r="AC1801" i="3" s="1"/>
  <c r="AC1802" i="3" a="1"/>
  <c r="AC1802" i="3" s="1"/>
  <c r="AC1803" i="3" a="1"/>
  <c r="AC1803" i="3"/>
  <c r="AC1804" i="3" a="1"/>
  <c r="AC1804" i="3" s="1"/>
  <c r="AC1805" i="3" a="1"/>
  <c r="AC1805" i="3" s="1"/>
  <c r="AC1806" i="3" a="1"/>
  <c r="AC1806" i="3" s="1"/>
  <c r="AC1807" i="3" a="1"/>
  <c r="AC1807" i="3" s="1"/>
  <c r="AC1808" i="3" a="1"/>
  <c r="AC1808" i="3" s="1"/>
  <c r="AC1809" i="3" a="1"/>
  <c r="AC1809" i="3" s="1"/>
  <c r="AC1810" i="3" a="1"/>
  <c r="AC1810" i="3"/>
  <c r="AC1811" i="3" a="1"/>
  <c r="AC1811" i="3" s="1"/>
  <c r="AC1812" i="3" a="1"/>
  <c r="AC1812" i="3" s="1"/>
  <c r="AC1813" i="3" a="1"/>
  <c r="AC1813" i="3" s="1"/>
  <c r="AC1814" i="3" a="1"/>
  <c r="AC1814" i="3" s="1"/>
  <c r="AC1815" i="3" a="1"/>
  <c r="AC1815" i="3" s="1"/>
  <c r="AC1816" i="3" a="1"/>
  <c r="AC1816" i="3" s="1"/>
  <c r="AC1817" i="3" a="1"/>
  <c r="AC1817" i="3" s="1"/>
  <c r="AC1818" i="3" a="1"/>
  <c r="AC1818" i="3" s="1"/>
  <c r="AC1819" i="3" a="1"/>
  <c r="AC1819" i="3" s="1"/>
  <c r="AC1820" i="3" a="1"/>
  <c r="AC1820" i="3" s="1"/>
  <c r="AC1821" i="3" a="1"/>
  <c r="AC1821" i="3" s="1"/>
  <c r="AC1822" i="3" a="1"/>
  <c r="AC1822" i="3" s="1"/>
  <c r="AC1823" i="3" a="1"/>
  <c r="AC1823" i="3" s="1"/>
  <c r="AC1824" i="3" a="1"/>
  <c r="AC1824" i="3" s="1"/>
  <c r="AC1825" i="3" a="1"/>
  <c r="AC1825" i="3" s="1"/>
  <c r="AC1826" i="3" a="1"/>
  <c r="AC1826" i="3" s="1"/>
  <c r="AC1827" i="3" a="1"/>
  <c r="AC1827" i="3" s="1"/>
  <c r="AC1828" i="3" a="1"/>
  <c r="AC1828" i="3" s="1"/>
  <c r="AC1829" i="3" a="1"/>
  <c r="AC1829" i="3" s="1"/>
  <c r="AC1830" i="3" a="1"/>
  <c r="AC1830" i="3" s="1"/>
  <c r="AC1831" i="3" a="1"/>
  <c r="AC1831" i="3" s="1"/>
  <c r="AC1832" i="3" a="1"/>
  <c r="AC1832" i="3" s="1"/>
  <c r="AC1833" i="3" a="1"/>
  <c r="AC1833" i="3" s="1"/>
  <c r="AC1834" i="3" a="1"/>
  <c r="AC1834" i="3"/>
  <c r="AC1835" i="3" a="1"/>
  <c r="AC1835" i="3"/>
  <c r="AC1836" i="3" a="1"/>
  <c r="AC1836" i="3" s="1"/>
  <c r="AC1837" i="3" a="1"/>
  <c r="AC1837" i="3" s="1"/>
  <c r="AC1838" i="3" a="1"/>
  <c r="AC1838" i="3" s="1"/>
  <c r="AC1839" i="3" a="1"/>
  <c r="AC1839" i="3" s="1"/>
  <c r="AC1840" i="3" a="1"/>
  <c r="AC1840" i="3" s="1"/>
  <c r="AC1841" i="3" a="1"/>
  <c r="AC1841" i="3" s="1"/>
  <c r="AC1842" i="3" a="1"/>
  <c r="AC1842" i="3"/>
  <c r="AC1843" i="3" a="1"/>
  <c r="AC1843" i="3" s="1"/>
  <c r="AC1844" i="3" a="1"/>
  <c r="AC1844" i="3" s="1"/>
  <c r="AC1845" i="3" a="1"/>
  <c r="AC1845" i="3"/>
  <c r="AC1846" i="3" a="1"/>
  <c r="AC1846" i="3" s="1"/>
  <c r="AC1847" i="3" a="1"/>
  <c r="AC1847" i="3" s="1"/>
  <c r="AC1848" i="3" a="1"/>
  <c r="AC1848" i="3" s="1"/>
  <c r="AC1849" i="3" a="1"/>
  <c r="AC1849" i="3" s="1"/>
  <c r="AC1850" i="3" a="1"/>
  <c r="AC1850" i="3"/>
  <c r="AC1851" i="3" a="1"/>
  <c r="AC1851" i="3" s="1"/>
  <c r="AC1852" i="3" a="1"/>
  <c r="AC1852" i="3" s="1"/>
  <c r="AC1853" i="3" a="1"/>
  <c r="AC1853" i="3"/>
  <c r="AC1854" i="3" a="1"/>
  <c r="AC1854" i="3" s="1"/>
  <c r="AC1855" i="3" a="1"/>
  <c r="AC1855" i="3" s="1"/>
  <c r="AC1856" i="3" a="1"/>
  <c r="AC1856" i="3" s="1"/>
  <c r="AC1857" i="3" a="1"/>
  <c r="AC1857" i="3" s="1"/>
  <c r="AC1858" i="3" a="1"/>
  <c r="AC1858" i="3" s="1"/>
  <c r="AC1859" i="3" a="1"/>
  <c r="AC1859" i="3" s="1"/>
  <c r="AC1860" i="3" a="1"/>
  <c r="AC1860" i="3" s="1"/>
  <c r="AC1861" i="3" a="1"/>
  <c r="AC1861" i="3" s="1"/>
  <c r="AC1862" i="3" a="1"/>
  <c r="AC1862" i="3" s="1"/>
  <c r="AC1863" i="3" a="1"/>
  <c r="AC1863" i="3" s="1"/>
  <c r="AC1864" i="3" a="1"/>
  <c r="AC1864" i="3" s="1"/>
  <c r="AC1865" i="3" a="1"/>
  <c r="AC1865" i="3" s="1"/>
  <c r="AC1866" i="3" a="1"/>
  <c r="AC1866" i="3" s="1"/>
  <c r="AC1867" i="3" a="1"/>
  <c r="AC1867" i="3" s="1"/>
  <c r="AC1868" i="3" a="1"/>
  <c r="AC1868" i="3" s="1"/>
  <c r="AC1869" i="3" a="1"/>
  <c r="AC1869" i="3" s="1"/>
  <c r="AC1870" i="3" a="1"/>
  <c r="AC1870" i="3" s="1"/>
  <c r="AC1871" i="3" a="1"/>
  <c r="AC1871" i="3" s="1"/>
  <c r="AC1872" i="3" a="1"/>
  <c r="AC1872" i="3" s="1"/>
  <c r="AC1873" i="3" a="1"/>
  <c r="AC1873" i="3" s="1"/>
  <c r="AC1874" i="3" a="1"/>
  <c r="AC1874" i="3" s="1"/>
  <c r="AC1875" i="3" a="1"/>
  <c r="AC1875" i="3" s="1"/>
  <c r="AC1876" i="3" a="1"/>
  <c r="AC1876" i="3" s="1"/>
  <c r="AC1877" i="3" a="1"/>
  <c r="AC1877" i="3" s="1"/>
  <c r="AC1878" i="3" a="1"/>
  <c r="AC1878" i="3" s="1"/>
  <c r="AC1879" i="3" a="1"/>
  <c r="AC1879" i="3" s="1"/>
  <c r="AC1880" i="3" a="1"/>
  <c r="AC1880" i="3" s="1"/>
  <c r="AC1881" i="3" a="1"/>
  <c r="AC1881" i="3" s="1"/>
  <c r="AC1882" i="3" a="1"/>
  <c r="AC1882" i="3"/>
  <c r="AC1883" i="3" a="1"/>
  <c r="AC1883" i="3" s="1"/>
  <c r="AC1884" i="3" a="1"/>
  <c r="AC1884" i="3" s="1"/>
  <c r="AC1885" i="3" a="1"/>
  <c r="AC1885" i="3" s="1"/>
  <c r="AC1886" i="3" a="1"/>
  <c r="AC1886" i="3" s="1"/>
  <c r="AC1887" i="3" a="1"/>
  <c r="AC1887" i="3" s="1"/>
  <c r="AC1888" i="3" a="1"/>
  <c r="AC1888" i="3" s="1"/>
  <c r="AC1889" i="3" a="1"/>
  <c r="AC1889" i="3" s="1"/>
  <c r="AC1890" i="3" a="1"/>
  <c r="AC1890" i="3" s="1"/>
  <c r="AC1891" i="3" a="1"/>
  <c r="AC1891" i="3" s="1"/>
  <c r="AC1892" i="3" a="1"/>
  <c r="AC1892" i="3" s="1"/>
  <c r="AC1893" i="3" a="1"/>
  <c r="AC1893" i="3" s="1"/>
  <c r="AC1894" i="3" a="1"/>
  <c r="AC1894" i="3" s="1"/>
  <c r="AC1895" i="3" a="1"/>
  <c r="AC1895" i="3" s="1"/>
  <c r="AC1896" i="3" a="1"/>
  <c r="AC1896" i="3" s="1"/>
  <c r="AC1897" i="3" a="1"/>
  <c r="AC1897" i="3" s="1"/>
  <c r="AC1898" i="3" a="1"/>
  <c r="AC1898" i="3" s="1"/>
  <c r="AC1899" i="3" a="1"/>
  <c r="AC1899" i="3"/>
  <c r="AC1900" i="3" a="1"/>
  <c r="AC1900" i="3" s="1"/>
  <c r="AC1901" i="3" a="1"/>
  <c r="AC1901" i="3" s="1"/>
  <c r="AC1902" i="3" a="1"/>
  <c r="AC1902" i="3"/>
  <c r="AC1903" i="3" a="1"/>
  <c r="AC1903" i="3" s="1"/>
  <c r="AC1904" i="3" a="1"/>
  <c r="AC1904" i="3" s="1"/>
  <c r="AC1905" i="3" a="1"/>
  <c r="AC1905" i="3" s="1"/>
  <c r="AC1906" i="3" a="1"/>
  <c r="AC1906" i="3" s="1"/>
  <c r="AC1907" i="3" a="1"/>
  <c r="AC1907" i="3" s="1"/>
  <c r="AC1908" i="3" a="1"/>
  <c r="AC1908" i="3" s="1"/>
  <c r="AC1909" i="3" a="1"/>
  <c r="AC1909" i="3"/>
  <c r="AC1910" i="3" a="1"/>
  <c r="AC1910" i="3" s="1"/>
  <c r="AC1911" i="3" a="1"/>
  <c r="AC1911" i="3" s="1"/>
  <c r="AC1912" i="3" a="1"/>
  <c r="AC1912" i="3" s="1"/>
  <c r="AC1913" i="3" a="1"/>
  <c r="AC1913" i="3" s="1"/>
  <c r="AC1914" i="3" a="1"/>
  <c r="AC1914" i="3" s="1"/>
  <c r="AC1915" i="3" a="1"/>
  <c r="AC1915" i="3" s="1"/>
  <c r="AC1916" i="3" a="1"/>
  <c r="AC1916" i="3" s="1"/>
  <c r="AC1917" i="3" a="1"/>
  <c r="AC1917" i="3" s="1"/>
  <c r="AC1918" i="3" a="1"/>
  <c r="AC1918" i="3" s="1"/>
  <c r="AC1919" i="3" a="1"/>
  <c r="AC1919" i="3" s="1"/>
  <c r="AC1920" i="3" a="1"/>
  <c r="AC1920" i="3" s="1"/>
  <c r="AC1921" i="3" a="1"/>
  <c r="AC1921" i="3" s="1"/>
  <c r="AC1922" i="3" a="1"/>
  <c r="AC1922" i="3" s="1"/>
  <c r="AC1923" i="3" a="1"/>
  <c r="AC1923" i="3" s="1"/>
  <c r="AC1924" i="3" a="1"/>
  <c r="AC1924" i="3" s="1"/>
  <c r="AC1925" i="3" a="1"/>
  <c r="AC1925" i="3" s="1"/>
  <c r="AC1926" i="3" a="1"/>
  <c r="AC1926" i="3" s="1"/>
  <c r="AC1927" i="3" a="1"/>
  <c r="AC1927" i="3" s="1"/>
  <c r="AC1928" i="3" a="1"/>
  <c r="AC1928" i="3" s="1"/>
  <c r="AC1929" i="3" a="1"/>
  <c r="AC1929" i="3" s="1"/>
  <c r="AC1930" i="3" a="1"/>
  <c r="AC1930" i="3" s="1"/>
  <c r="AC1931" i="3" a="1"/>
  <c r="AC1931" i="3" s="1"/>
  <c r="AC1932" i="3" a="1"/>
  <c r="AC1932" i="3" s="1"/>
  <c r="AC1933" i="3" a="1"/>
  <c r="AC1933" i="3" s="1"/>
  <c r="AC1934" i="3" a="1"/>
  <c r="AC1934" i="3" s="1"/>
  <c r="AC1935" i="3" a="1"/>
  <c r="AC1935" i="3" s="1"/>
  <c r="AC1936" i="3" a="1"/>
  <c r="AC1936" i="3" s="1"/>
  <c r="AC3" i="3" a="1"/>
  <c r="AC3" i="3" s="1"/>
  <c r="AC4" i="3" a="1"/>
  <c r="AC4" i="3" s="1"/>
  <c r="AC5" i="3" a="1"/>
  <c r="AC5" i="3" s="1"/>
  <c r="AC6" i="3" a="1"/>
  <c r="AC6" i="3" s="1"/>
  <c r="AC7" i="3" a="1"/>
  <c r="AC7" i="3" s="1"/>
  <c r="AC8" i="3" a="1"/>
  <c r="AC8" i="3" s="1"/>
  <c r="AC9" i="3" a="1"/>
  <c r="AC9" i="3" s="1"/>
  <c r="AC10" i="3" a="1"/>
  <c r="AC10" i="3" s="1"/>
  <c r="AC11" i="3" a="1"/>
  <c r="AC11" i="3" s="1"/>
  <c r="AC12" i="3" a="1"/>
  <c r="AC12" i="3" s="1"/>
  <c r="AC13" i="3" a="1"/>
  <c r="AC13" i="3" s="1"/>
  <c r="AC14" i="3" a="1"/>
  <c r="AC14" i="3" s="1"/>
  <c r="AC15" i="3" a="1"/>
  <c r="AC15" i="3" s="1"/>
  <c r="AC16" i="3" a="1"/>
  <c r="AC16" i="3" s="1"/>
  <c r="AC17" i="3" a="1"/>
  <c r="AC17" i="3" s="1"/>
  <c r="AC2" i="3" a="1"/>
  <c r="AC2" i="3" s="1"/>
  <c r="AB3" i="3" a="1"/>
  <c r="AB3" i="3" s="1"/>
  <c r="AB4" i="3" a="1"/>
  <c r="AB4" i="3" s="1"/>
  <c r="AB5" i="3" a="1"/>
  <c r="AB5" i="3" s="1"/>
  <c r="AB6" i="3" a="1"/>
  <c r="AB6" i="3" s="1"/>
  <c r="AB7" i="3" a="1"/>
  <c r="AB7" i="3" s="1"/>
  <c r="AB8" i="3" a="1"/>
  <c r="AB8" i="3" s="1"/>
  <c r="AB9" i="3" a="1"/>
  <c r="AB9" i="3" s="1"/>
  <c r="AB10" i="3" a="1"/>
  <c r="AB10" i="3" s="1"/>
  <c r="AB11" i="3" a="1"/>
  <c r="AB11" i="3" s="1"/>
  <c r="AB12" i="3" a="1"/>
  <c r="AB12" i="3" s="1"/>
  <c r="AB13" i="3" a="1"/>
  <c r="AB13" i="3"/>
  <c r="AB14" i="3" a="1"/>
  <c r="AB14" i="3" s="1"/>
  <c r="AB15" i="3" a="1"/>
  <c r="AB15" i="3" s="1"/>
  <c r="AB16" i="3" a="1"/>
  <c r="AB16" i="3"/>
  <c r="AB17" i="3" a="1"/>
  <c r="AB17" i="3"/>
  <c r="AB18" i="3" a="1"/>
  <c r="AB18" i="3"/>
  <c r="AB19" i="3" a="1"/>
  <c r="AB19" i="3" s="1"/>
  <c r="AB20" i="3" a="1"/>
  <c r="AB20" i="3" s="1"/>
  <c r="AB21" i="3" a="1"/>
  <c r="AB21" i="3" s="1"/>
  <c r="AB22" i="3" a="1"/>
  <c r="AB22" i="3" s="1"/>
  <c r="AB23" i="3" a="1"/>
  <c r="AB23" i="3" s="1"/>
  <c r="AB24" i="3" a="1"/>
  <c r="AB24" i="3" s="1"/>
  <c r="AB25" i="3" a="1"/>
  <c r="AB25" i="3" s="1"/>
  <c r="AB26" i="3" a="1"/>
  <c r="AB26" i="3" s="1"/>
  <c r="AB27" i="3" a="1"/>
  <c r="AB27" i="3" s="1"/>
  <c r="AB28" i="3" a="1"/>
  <c r="AB28" i="3" s="1"/>
  <c r="AB29" i="3" a="1"/>
  <c r="AB29" i="3" s="1"/>
  <c r="AB30" i="3" a="1"/>
  <c r="AB30" i="3"/>
  <c r="AB31" i="3" a="1"/>
  <c r="AB31" i="3" s="1"/>
  <c r="AB32" i="3" a="1"/>
  <c r="AB32" i="3" s="1"/>
  <c r="AB33" i="3" a="1"/>
  <c r="AB33" i="3"/>
  <c r="AB34" i="3" a="1"/>
  <c r="AB34" i="3" s="1"/>
  <c r="AB35" i="3" a="1"/>
  <c r="AB35" i="3" s="1"/>
  <c r="AB36" i="3" a="1"/>
  <c r="AB36" i="3" s="1"/>
  <c r="AB37" i="3" a="1"/>
  <c r="AB37" i="3" s="1"/>
  <c r="AB38" i="3" a="1"/>
  <c r="AB38" i="3" s="1"/>
  <c r="AB39" i="3" a="1"/>
  <c r="AB39" i="3" s="1"/>
  <c r="AB40" i="3" a="1"/>
  <c r="AB40" i="3" s="1"/>
  <c r="AB41" i="3" a="1"/>
  <c r="AB41" i="3" s="1"/>
  <c r="AB42" i="3" a="1"/>
  <c r="AB42" i="3" s="1"/>
  <c r="AB43" i="3" a="1"/>
  <c r="AB43" i="3" s="1"/>
  <c r="AB44" i="3" a="1"/>
  <c r="AB44" i="3"/>
  <c r="AB45" i="3" a="1"/>
  <c r="AB45" i="3"/>
  <c r="AB46" i="3" a="1"/>
  <c r="AB46" i="3" s="1"/>
  <c r="AB47" i="3" a="1"/>
  <c r="AB47" i="3" s="1"/>
  <c r="AB48" i="3" a="1"/>
  <c r="AB48" i="3" s="1"/>
  <c r="AB49" i="3" a="1"/>
  <c r="AB49" i="3" s="1"/>
  <c r="AB50" i="3" a="1"/>
  <c r="AB50" i="3" s="1"/>
  <c r="AB51" i="3" a="1"/>
  <c r="AB51" i="3" s="1"/>
  <c r="AB52" i="3" a="1"/>
  <c r="AB52" i="3" s="1"/>
  <c r="AB53" i="3" a="1"/>
  <c r="AB53" i="3" s="1"/>
  <c r="AB54" i="3" a="1"/>
  <c r="AB54" i="3" s="1"/>
  <c r="AB55" i="3" a="1"/>
  <c r="AB55" i="3" s="1"/>
  <c r="AB56" i="3" a="1"/>
  <c r="AB56" i="3" s="1"/>
  <c r="AB57" i="3" a="1"/>
  <c r="AB57" i="3" s="1"/>
  <c r="AB58" i="3" a="1"/>
  <c r="AB58" i="3" s="1"/>
  <c r="AB59" i="3" a="1"/>
  <c r="AB59" i="3" s="1"/>
  <c r="AB60" i="3" a="1"/>
  <c r="AB60" i="3" s="1"/>
  <c r="AB61" i="3" a="1"/>
  <c r="AB61" i="3" s="1"/>
  <c r="AB62" i="3" a="1"/>
  <c r="AB62" i="3" s="1"/>
  <c r="AB63" i="3" a="1"/>
  <c r="AB63" i="3" s="1"/>
  <c r="AB64" i="3" a="1"/>
  <c r="AB64" i="3"/>
  <c r="AB65" i="3" a="1"/>
  <c r="AB65" i="3" s="1"/>
  <c r="AB66" i="3" a="1"/>
  <c r="AB66" i="3" s="1"/>
  <c r="AB67" i="3" a="1"/>
  <c r="AB67" i="3" s="1"/>
  <c r="AB68" i="3" a="1"/>
  <c r="AB68" i="3" s="1"/>
  <c r="AB69" i="3" a="1"/>
  <c r="AB69" i="3" s="1"/>
  <c r="AB70" i="3" a="1"/>
  <c r="AB70" i="3" s="1"/>
  <c r="AB71" i="3" a="1"/>
  <c r="AB71" i="3" s="1"/>
  <c r="AB72" i="3" a="1"/>
  <c r="AB72" i="3" s="1"/>
  <c r="AB73" i="3" a="1"/>
  <c r="AB73" i="3" s="1"/>
  <c r="AB74" i="3" a="1"/>
  <c r="AB74" i="3" s="1"/>
  <c r="AB75" i="3" a="1"/>
  <c r="AB75" i="3" s="1"/>
  <c r="AB76" i="3" a="1"/>
  <c r="AB76" i="3" s="1"/>
  <c r="AB77" i="3" a="1"/>
  <c r="AB77" i="3" s="1"/>
  <c r="AB78" i="3" a="1"/>
  <c r="AB78" i="3"/>
  <c r="AB79" i="3" a="1"/>
  <c r="AB79" i="3"/>
  <c r="AB80" i="3" a="1"/>
  <c r="AB80" i="3" s="1"/>
  <c r="AB81" i="3" a="1"/>
  <c r="AB81" i="3" s="1"/>
  <c r="AB82" i="3" a="1"/>
  <c r="AB82" i="3" s="1"/>
  <c r="AB83" i="3" a="1"/>
  <c r="AB83" i="3" s="1"/>
  <c r="AB84" i="3" a="1"/>
  <c r="AB84" i="3" s="1"/>
  <c r="AB85" i="3" a="1"/>
  <c r="AB85" i="3" s="1"/>
  <c r="AB86" i="3" a="1"/>
  <c r="AB86" i="3" s="1"/>
  <c r="AB87" i="3" a="1"/>
  <c r="AB87" i="3" s="1"/>
  <c r="AB88" i="3" a="1"/>
  <c r="AB88" i="3" s="1"/>
  <c r="AB89" i="3" a="1"/>
  <c r="AB89" i="3" s="1"/>
  <c r="AB90" i="3" a="1"/>
  <c r="AB90" i="3" s="1"/>
  <c r="AB91" i="3" a="1"/>
  <c r="AB91" i="3" s="1"/>
  <c r="AB92" i="3" a="1"/>
  <c r="AB92" i="3" s="1"/>
  <c r="AB93" i="3" a="1"/>
  <c r="AB93" i="3" s="1"/>
  <c r="AB94" i="3" a="1"/>
  <c r="AB94" i="3" s="1"/>
  <c r="AB95" i="3" a="1"/>
  <c r="AB95" i="3"/>
  <c r="AB96" i="3" a="1"/>
  <c r="AB96" i="3"/>
  <c r="AB97" i="3" a="1"/>
  <c r="AB97" i="3" s="1"/>
  <c r="AB98" i="3" a="1"/>
  <c r="AB98" i="3" s="1"/>
  <c r="AB99" i="3" a="1"/>
  <c r="AB99" i="3" s="1"/>
  <c r="AB100" i="3" a="1"/>
  <c r="AB100" i="3" s="1"/>
  <c r="AB101" i="3" a="1"/>
  <c r="AB101" i="3" s="1"/>
  <c r="AB102" i="3" a="1"/>
  <c r="AB102" i="3" s="1"/>
  <c r="AB103" i="3" a="1"/>
  <c r="AB103" i="3" s="1"/>
  <c r="AB104" i="3" a="1"/>
  <c r="AB104" i="3" s="1"/>
  <c r="AB105" i="3" a="1"/>
  <c r="AB105" i="3" s="1"/>
  <c r="AB106" i="3" a="1"/>
  <c r="AB106" i="3" s="1"/>
  <c r="AB107" i="3" a="1"/>
  <c r="AB107" i="3" s="1"/>
  <c r="AB108" i="3" a="1"/>
  <c r="AB108" i="3" s="1"/>
  <c r="AB109" i="3" a="1"/>
  <c r="AB109" i="3" s="1"/>
  <c r="AB110" i="3" a="1"/>
  <c r="AB110" i="3"/>
  <c r="AB111" i="3" a="1"/>
  <c r="AB111" i="3" s="1"/>
  <c r="AB112" i="3" a="1"/>
  <c r="AB112" i="3" s="1"/>
  <c r="AB113" i="3" a="1"/>
  <c r="AB113" i="3" s="1"/>
  <c r="AB114" i="3" a="1"/>
  <c r="AB114" i="3" s="1"/>
  <c r="AB115" i="3" a="1"/>
  <c r="AB115" i="3" s="1"/>
  <c r="AB116" i="3" a="1"/>
  <c r="AB116" i="3" s="1"/>
  <c r="AB117" i="3" a="1"/>
  <c r="AB117" i="3" s="1"/>
  <c r="AB118" i="3" a="1"/>
  <c r="AB118" i="3" s="1"/>
  <c r="AB119" i="3" a="1"/>
  <c r="AB119" i="3" s="1"/>
  <c r="AB120" i="3" a="1"/>
  <c r="AB120" i="3" s="1"/>
  <c r="AB121" i="3" a="1"/>
  <c r="AB121" i="3" s="1"/>
  <c r="AB122" i="3" a="1"/>
  <c r="AB122" i="3" s="1"/>
  <c r="AB123" i="3" a="1"/>
  <c r="AB123" i="3" s="1"/>
  <c r="AB124" i="3" a="1"/>
  <c r="AB124" i="3"/>
  <c r="AB125" i="3" a="1"/>
  <c r="AB125" i="3"/>
  <c r="AB126" i="3" a="1"/>
  <c r="AB126" i="3" s="1"/>
  <c r="AB127" i="3" a="1"/>
  <c r="AB127" i="3" s="1"/>
  <c r="AB128" i="3" a="1"/>
  <c r="AB128" i="3" s="1"/>
  <c r="AB129" i="3" a="1"/>
  <c r="AB129" i="3"/>
  <c r="AB130" i="3" a="1"/>
  <c r="AB130" i="3"/>
  <c r="AB131" i="3" a="1"/>
  <c r="AB131" i="3" s="1"/>
  <c r="AB132" i="3" a="1"/>
  <c r="AB132" i="3" s="1"/>
  <c r="AB133" i="3" a="1"/>
  <c r="AB133" i="3" s="1"/>
  <c r="AB134" i="3" a="1"/>
  <c r="AB134" i="3" s="1"/>
  <c r="AB135" i="3" a="1"/>
  <c r="AB135" i="3"/>
  <c r="AB136" i="3" a="1"/>
  <c r="AB136" i="3" s="1"/>
  <c r="AB137" i="3" a="1"/>
  <c r="AB137" i="3" s="1"/>
  <c r="AB138" i="3" a="1"/>
  <c r="AB138" i="3" s="1"/>
  <c r="AB139" i="3" a="1"/>
  <c r="AB139" i="3" s="1"/>
  <c r="AB140" i="3" a="1"/>
  <c r="AB140" i="3" s="1"/>
  <c r="AB141" i="3" a="1"/>
  <c r="AB141" i="3" s="1"/>
  <c r="AB142" i="3" a="1"/>
  <c r="AB142" i="3" s="1"/>
  <c r="AB143" i="3" a="1"/>
  <c r="AB143" i="3" s="1"/>
  <c r="AB144" i="3" a="1"/>
  <c r="AB144" i="3"/>
  <c r="AB145" i="3" a="1"/>
  <c r="AB145" i="3" s="1"/>
  <c r="AB146" i="3" a="1"/>
  <c r="AB146" i="3" s="1"/>
  <c r="AB147" i="3" a="1"/>
  <c r="AB147" i="3" s="1"/>
  <c r="AB148" i="3" a="1"/>
  <c r="AB148" i="3" s="1"/>
  <c r="AB149" i="3" a="1"/>
  <c r="AB149" i="3" s="1"/>
  <c r="AB150" i="3" a="1"/>
  <c r="AB150" i="3" s="1"/>
  <c r="AB151" i="3" a="1"/>
  <c r="AB151" i="3" s="1"/>
  <c r="AB152" i="3" a="1"/>
  <c r="AB152" i="3"/>
  <c r="AB153" i="3" a="1"/>
  <c r="AB153" i="3" s="1"/>
  <c r="AB154" i="3" a="1"/>
  <c r="AB154" i="3" s="1"/>
  <c r="AB155" i="3" a="1"/>
  <c r="AB155" i="3" s="1"/>
  <c r="AB156" i="3" a="1"/>
  <c r="AB156" i="3" s="1"/>
  <c r="AB157" i="3" a="1"/>
  <c r="AB157" i="3" s="1"/>
  <c r="AB158" i="3" a="1"/>
  <c r="AB158" i="3"/>
  <c r="AB159" i="3" a="1"/>
  <c r="AB159" i="3"/>
  <c r="AB160" i="3" a="1"/>
  <c r="AB160" i="3" s="1"/>
  <c r="AB161" i="3" a="1"/>
  <c r="AB161" i="3" s="1"/>
  <c r="AB162" i="3" a="1"/>
  <c r="AB162" i="3" s="1"/>
  <c r="AB163" i="3" a="1"/>
  <c r="AB163" i="3" s="1"/>
  <c r="AB164" i="3" a="1"/>
  <c r="AB164" i="3" s="1"/>
  <c r="AB165" i="3" a="1"/>
  <c r="AB165" i="3" s="1"/>
  <c r="AB166" i="3" a="1"/>
  <c r="AB166" i="3" s="1"/>
  <c r="AB167" i="3" a="1"/>
  <c r="AB167" i="3" s="1"/>
  <c r="AB168" i="3" a="1"/>
  <c r="AB168" i="3" s="1"/>
  <c r="AB169" i="3" a="1"/>
  <c r="AB169" i="3"/>
  <c r="AB170" i="3" a="1"/>
  <c r="AB170" i="3" s="1"/>
  <c r="AB171" i="3" a="1"/>
  <c r="AB171" i="3" s="1"/>
  <c r="AB172" i="3" a="1"/>
  <c r="AB172" i="3"/>
  <c r="AB173" i="3" a="1"/>
  <c r="AB173" i="3"/>
  <c r="AB174" i="3" a="1"/>
  <c r="AB174" i="3" s="1"/>
  <c r="AB175" i="3" a="1"/>
  <c r="AB175" i="3" s="1"/>
  <c r="AB176" i="3" a="1"/>
  <c r="AB176" i="3" s="1"/>
  <c r="AB177" i="3" a="1"/>
  <c r="AB177" i="3" s="1"/>
  <c r="AB178" i="3" a="1"/>
  <c r="AB178" i="3"/>
  <c r="AB179" i="3" a="1"/>
  <c r="AB179" i="3" s="1"/>
  <c r="AB180" i="3" a="1"/>
  <c r="AB180" i="3" s="1"/>
  <c r="AB181" i="3" a="1"/>
  <c r="AB181" i="3" s="1"/>
  <c r="AB182" i="3" a="1"/>
  <c r="AB182" i="3" s="1"/>
  <c r="AB183" i="3" a="1"/>
  <c r="AB183" i="3" s="1"/>
  <c r="AB184" i="3" a="1"/>
  <c r="AB184" i="3" s="1"/>
  <c r="AB185" i="3" a="1"/>
  <c r="AB185" i="3" s="1"/>
  <c r="AB186" i="3" a="1"/>
  <c r="AB186" i="3" s="1"/>
  <c r="AB187" i="3" a="1"/>
  <c r="AB187" i="3" s="1"/>
  <c r="AB188" i="3" a="1"/>
  <c r="AB188" i="3" s="1"/>
  <c r="AB189" i="3" a="1"/>
  <c r="AB189" i="3" s="1"/>
  <c r="AB190" i="3" a="1"/>
  <c r="AB190" i="3" s="1"/>
  <c r="AB191" i="3" a="1"/>
  <c r="AB191" i="3" s="1"/>
  <c r="AB192" i="3" a="1"/>
  <c r="AB192" i="3"/>
  <c r="AB193" i="3" a="1"/>
  <c r="AB193" i="3"/>
  <c r="AB194" i="3" a="1"/>
  <c r="AB194" i="3" s="1"/>
  <c r="AB195" i="3" a="1"/>
  <c r="AB195" i="3" s="1"/>
  <c r="AB196" i="3" a="1"/>
  <c r="AB196" i="3" s="1"/>
  <c r="AB197" i="3" a="1"/>
  <c r="AB197" i="3" s="1"/>
  <c r="AB198" i="3" a="1"/>
  <c r="AB198" i="3" s="1"/>
  <c r="AB199" i="3" a="1"/>
  <c r="AB199" i="3" s="1"/>
  <c r="AB200" i="3" a="1"/>
  <c r="AB200" i="3" s="1"/>
  <c r="AB201" i="3" a="1"/>
  <c r="AB201" i="3" s="1"/>
  <c r="AB202" i="3" a="1"/>
  <c r="AB202" i="3" s="1"/>
  <c r="AB203" i="3" a="1"/>
  <c r="AB203" i="3" s="1"/>
  <c r="AB204" i="3" a="1"/>
  <c r="AB204" i="3"/>
  <c r="AB205" i="3" a="1"/>
  <c r="AB205" i="3" s="1"/>
  <c r="AB206" i="3" a="1"/>
  <c r="AB206" i="3" s="1"/>
  <c r="AB207" i="3" a="1"/>
  <c r="AB207" i="3" s="1"/>
  <c r="AB208" i="3" a="1"/>
  <c r="AB208" i="3" s="1"/>
  <c r="AB209" i="3" a="1"/>
  <c r="AB209" i="3"/>
  <c r="AB210" i="3" a="1"/>
  <c r="AB210" i="3"/>
  <c r="AB211" i="3" a="1"/>
  <c r="AB211" i="3" s="1"/>
  <c r="AB212" i="3" a="1"/>
  <c r="AB212" i="3" s="1"/>
  <c r="AB213" i="3" a="1"/>
  <c r="AB213" i="3" s="1"/>
  <c r="AB214" i="3" a="1"/>
  <c r="AB214" i="3" s="1"/>
  <c r="AB215" i="3" a="1"/>
  <c r="AB215" i="3" s="1"/>
  <c r="AB216" i="3" a="1"/>
  <c r="AB216" i="3" s="1"/>
  <c r="AB217" i="3" a="1"/>
  <c r="AB217" i="3" s="1"/>
  <c r="AB218" i="3" a="1"/>
  <c r="AB218" i="3" s="1"/>
  <c r="AB219" i="3" a="1"/>
  <c r="AB219" i="3" s="1"/>
  <c r="AB220" i="3" a="1"/>
  <c r="AB220" i="3" s="1"/>
  <c r="AB221" i="3" a="1"/>
  <c r="AB221" i="3" s="1"/>
  <c r="AB222" i="3" a="1"/>
  <c r="AB222" i="3" s="1"/>
  <c r="AB223" i="3" a="1"/>
  <c r="AB223" i="3"/>
  <c r="AB224" i="3" a="1"/>
  <c r="AB224" i="3"/>
  <c r="AB225" i="3" a="1"/>
  <c r="AB225" i="3" s="1"/>
  <c r="AB226" i="3" a="1"/>
  <c r="AB226" i="3" s="1"/>
  <c r="AB227" i="3" a="1"/>
  <c r="AB227" i="3" s="1"/>
  <c r="AB228" i="3" a="1"/>
  <c r="AB228" i="3" s="1"/>
  <c r="AB229" i="3" a="1"/>
  <c r="AB229" i="3" s="1"/>
  <c r="AB230" i="3" a="1"/>
  <c r="AB230" i="3" s="1"/>
  <c r="AB231" i="3" a="1"/>
  <c r="AB231" i="3" s="1"/>
  <c r="AB232" i="3" a="1"/>
  <c r="AB232" i="3" s="1"/>
  <c r="AB233" i="3" a="1"/>
  <c r="AB233" i="3" s="1"/>
  <c r="AB234" i="3" a="1"/>
  <c r="AB234" i="3" s="1"/>
  <c r="AB235" i="3" a="1"/>
  <c r="AB235" i="3" s="1"/>
  <c r="AB236" i="3" a="1"/>
  <c r="AB236" i="3" s="1"/>
  <c r="AB237" i="3" a="1"/>
  <c r="AB237" i="3" s="1"/>
  <c r="AB238" i="3" a="1"/>
  <c r="AB238" i="3"/>
  <c r="AB239" i="3" a="1"/>
  <c r="AB239" i="3" s="1"/>
  <c r="AB240" i="3" a="1"/>
  <c r="AB240" i="3" s="1"/>
  <c r="AB241" i="3" a="1"/>
  <c r="AB241" i="3" s="1"/>
  <c r="AB242" i="3" a="1"/>
  <c r="AB242" i="3" s="1"/>
  <c r="AB243" i="3" a="1"/>
  <c r="AB243" i="3" s="1"/>
  <c r="AB244" i="3" a="1"/>
  <c r="AB244" i="3" s="1"/>
  <c r="AB245" i="3" a="1"/>
  <c r="AB245" i="3" s="1"/>
  <c r="AB246" i="3" a="1"/>
  <c r="AB246" i="3" s="1"/>
  <c r="AB247" i="3" a="1"/>
  <c r="AB247" i="3" s="1"/>
  <c r="AB248" i="3" a="1"/>
  <c r="AB248" i="3" s="1"/>
  <c r="AB249" i="3" a="1"/>
  <c r="AB249" i="3" s="1"/>
  <c r="AB250" i="3" a="1"/>
  <c r="AB250" i="3" s="1"/>
  <c r="AB251" i="3" a="1"/>
  <c r="AB251" i="3" s="1"/>
  <c r="AB252" i="3" a="1"/>
  <c r="AB252" i="3" s="1"/>
  <c r="AB253" i="3" a="1"/>
  <c r="AB253" i="3" s="1"/>
  <c r="AB254" i="3" a="1"/>
  <c r="AB254" i="3" s="1"/>
  <c r="AB255" i="3" a="1"/>
  <c r="AB255" i="3" s="1"/>
  <c r="AB256" i="3" a="1"/>
  <c r="AB256" i="3" s="1"/>
  <c r="AB257" i="3" a="1"/>
  <c r="AB257" i="3"/>
  <c r="AB258" i="3" a="1"/>
  <c r="AB258" i="3"/>
  <c r="AB259" i="3" a="1"/>
  <c r="AB259" i="3" s="1"/>
  <c r="AB260" i="3" a="1"/>
  <c r="AB260" i="3" s="1"/>
  <c r="AB261" i="3" a="1"/>
  <c r="AB261" i="3" s="1"/>
  <c r="AB262" i="3" a="1"/>
  <c r="AB262" i="3" s="1"/>
  <c r="AB263" i="3" a="1"/>
  <c r="AB263" i="3" s="1"/>
  <c r="AB264" i="3" a="1"/>
  <c r="AB264" i="3" s="1"/>
  <c r="AB265" i="3" a="1"/>
  <c r="AB265" i="3" s="1"/>
  <c r="AB266" i="3" a="1"/>
  <c r="AB266" i="3" s="1"/>
  <c r="AB267" i="3" a="1"/>
  <c r="AB267" i="3" s="1"/>
  <c r="AB268" i="3" a="1"/>
  <c r="AB268" i="3" s="1"/>
  <c r="AB269" i="3" a="1"/>
  <c r="AB269" i="3"/>
  <c r="AB270" i="3" a="1"/>
  <c r="AB270" i="3" s="1"/>
  <c r="AB271" i="3" a="1"/>
  <c r="AB271" i="3" s="1"/>
  <c r="AB272" i="3" a="1"/>
  <c r="AB272" i="3"/>
  <c r="AB273" i="3" a="1"/>
  <c r="AB273" i="3" s="1"/>
  <c r="AB274" i="3" a="1"/>
  <c r="AB274" i="3" s="1"/>
  <c r="AB275" i="3" a="1"/>
  <c r="AB275" i="3" s="1"/>
  <c r="AB276" i="3" a="1"/>
  <c r="AB276" i="3" s="1"/>
  <c r="AB277" i="3" a="1"/>
  <c r="AB277" i="3" s="1"/>
  <c r="AB278" i="3" a="1"/>
  <c r="AB278" i="3" s="1"/>
  <c r="AB279" i="3" a="1"/>
  <c r="AB279" i="3" s="1"/>
  <c r="AB280" i="3" a="1"/>
  <c r="AB280" i="3" s="1"/>
  <c r="AB281" i="3" a="1"/>
  <c r="AB281" i="3" s="1"/>
  <c r="AB282" i="3" a="1"/>
  <c r="AB282" i="3" s="1"/>
  <c r="AB283" i="3" a="1"/>
  <c r="AB283" i="3" s="1"/>
  <c r="AB284" i="3" a="1"/>
  <c r="AB284" i="3"/>
  <c r="AB285" i="3" a="1"/>
  <c r="AB285" i="3" s="1"/>
  <c r="AB286" i="3" a="1"/>
  <c r="AB286" i="3" s="1"/>
  <c r="AB287" i="3" a="1"/>
  <c r="AB287" i="3" s="1"/>
  <c r="AB288" i="3" a="1"/>
  <c r="AB288" i="3" s="1"/>
  <c r="AB289" i="3" a="1"/>
  <c r="AB289" i="3" s="1"/>
  <c r="AB290" i="3" a="1"/>
  <c r="AB290" i="3" s="1"/>
  <c r="AB291" i="3" a="1"/>
  <c r="AB291" i="3" s="1"/>
  <c r="AB292" i="3" a="1"/>
  <c r="AB292" i="3" s="1"/>
  <c r="AB293" i="3" a="1"/>
  <c r="AB293" i="3" s="1"/>
  <c r="AB294" i="3" a="1"/>
  <c r="AB294" i="3" s="1"/>
  <c r="AB295" i="3" a="1"/>
  <c r="AB295" i="3" s="1"/>
  <c r="AB296" i="3" a="1"/>
  <c r="AB296" i="3" s="1"/>
  <c r="AB297" i="3" a="1"/>
  <c r="AB297" i="3" s="1"/>
  <c r="AB298" i="3" a="1"/>
  <c r="AB298" i="3" s="1"/>
  <c r="AB299" i="3" a="1"/>
  <c r="AB299" i="3" s="1"/>
  <c r="AB300" i="3" a="1"/>
  <c r="AB300" i="3"/>
  <c r="AB301" i="3" a="1"/>
  <c r="AB301" i="3"/>
  <c r="AB302" i="3" a="1"/>
  <c r="AB302" i="3" s="1"/>
  <c r="AB303" i="3" a="1"/>
  <c r="AB303" i="3" s="1"/>
  <c r="AB304" i="3" a="1"/>
  <c r="AB304" i="3" s="1"/>
  <c r="AB305" i="3" a="1"/>
  <c r="AB305" i="3" s="1"/>
  <c r="AB306" i="3" a="1"/>
  <c r="AB306" i="3" s="1"/>
  <c r="AB307" i="3" a="1"/>
  <c r="AB307" i="3" s="1"/>
  <c r="AB308" i="3" a="1"/>
  <c r="AB308" i="3" s="1"/>
  <c r="AB309" i="3" a="1"/>
  <c r="AB309" i="3" s="1"/>
  <c r="AB310" i="3" a="1"/>
  <c r="AB310" i="3" s="1"/>
  <c r="AB311" i="3" a="1"/>
  <c r="AB311" i="3" s="1"/>
  <c r="AB312" i="3" a="1"/>
  <c r="AB312" i="3" s="1"/>
  <c r="AB313" i="3" a="1"/>
  <c r="AB313" i="3" s="1"/>
  <c r="AB314" i="3" a="1"/>
  <c r="AB314" i="3" s="1"/>
  <c r="AB315" i="3" a="1"/>
  <c r="AB315" i="3" s="1"/>
  <c r="AB316" i="3" a="1"/>
  <c r="AB316" i="3" s="1"/>
  <c r="AB317" i="3" a="1"/>
  <c r="AB317" i="3"/>
  <c r="AB318" i="3" a="1"/>
  <c r="AB318" i="3"/>
  <c r="AB319" i="3" a="1"/>
  <c r="AB319" i="3" s="1"/>
  <c r="AB320" i="3" a="1"/>
  <c r="AB320" i="3" s="1"/>
  <c r="AB321" i="3" a="1"/>
  <c r="AB321" i="3" s="1"/>
  <c r="AB322" i="3" a="1"/>
  <c r="AB322" i="3" s="1"/>
  <c r="AB323" i="3" a="1"/>
  <c r="AB323" i="3" s="1"/>
  <c r="AB324" i="3" a="1"/>
  <c r="AB324" i="3" s="1"/>
  <c r="AB325" i="3" a="1"/>
  <c r="AB325" i="3" s="1"/>
  <c r="AB326" i="3" a="1"/>
  <c r="AB326" i="3"/>
  <c r="AB327" i="3" a="1"/>
  <c r="AB327" i="3" s="1"/>
  <c r="AB328" i="3" a="1"/>
  <c r="AB328" i="3" s="1"/>
  <c r="AB329" i="3" a="1"/>
  <c r="AB329" i="3"/>
  <c r="AB330" i="3" a="1"/>
  <c r="AB330" i="3"/>
  <c r="AB331" i="3" a="1"/>
  <c r="AB331" i="3" s="1"/>
  <c r="AB332" i="3" a="1"/>
  <c r="AB332" i="3" s="1"/>
  <c r="AB333" i="3" a="1"/>
  <c r="AB333" i="3" s="1"/>
  <c r="AB334" i="3" a="1"/>
  <c r="AB334" i="3"/>
  <c r="AB335" i="3" a="1"/>
  <c r="AB335" i="3"/>
  <c r="AB336" i="3" a="1"/>
  <c r="AB336" i="3" s="1"/>
  <c r="AB337" i="3" a="1"/>
  <c r="AB337" i="3" s="1"/>
  <c r="AB338" i="3" a="1"/>
  <c r="AB338" i="3" s="1"/>
  <c r="AB339" i="3" a="1"/>
  <c r="AB339" i="3" s="1"/>
  <c r="AB340" i="3" a="1"/>
  <c r="AB340" i="3" s="1"/>
  <c r="AB341" i="3" a="1"/>
  <c r="AB341" i="3" s="1"/>
  <c r="AB342" i="3" a="1"/>
  <c r="AB342" i="3" s="1"/>
  <c r="AB343" i="3" a="1"/>
  <c r="AB343" i="3"/>
  <c r="AB344" i="3" a="1"/>
  <c r="AB344" i="3" s="1"/>
  <c r="AB345" i="3" a="1"/>
  <c r="AB345" i="3" s="1"/>
  <c r="AB346" i="3" a="1"/>
  <c r="AB346" i="3"/>
  <c r="AB347" i="3" a="1"/>
  <c r="AB347" i="3" s="1"/>
  <c r="AB348" i="3" a="1"/>
  <c r="AB348" i="3" s="1"/>
  <c r="AB349" i="3" a="1"/>
  <c r="AB349" i="3"/>
  <c r="AB350" i="3" a="1"/>
  <c r="AB350" i="3" s="1"/>
  <c r="AB351" i="3" a="1"/>
  <c r="AB351" i="3" s="1"/>
  <c r="AB352" i="3" a="1"/>
  <c r="AB352" i="3" s="1"/>
  <c r="AB353" i="3" a="1"/>
  <c r="AB353" i="3" s="1"/>
  <c r="AB354" i="3" a="1"/>
  <c r="AB354" i="3"/>
  <c r="AB355" i="3" a="1"/>
  <c r="AB355" i="3" s="1"/>
  <c r="AB356" i="3" a="1"/>
  <c r="AB356" i="3" s="1"/>
  <c r="AB357" i="3" a="1"/>
  <c r="AB357" i="3" s="1"/>
  <c r="AB358" i="3" a="1"/>
  <c r="AB358" i="3" s="1"/>
  <c r="AB359" i="3" a="1"/>
  <c r="AB359" i="3" s="1"/>
  <c r="AB360" i="3" a="1"/>
  <c r="AB360" i="3"/>
  <c r="AB361" i="3" a="1"/>
  <c r="AB361" i="3" s="1"/>
  <c r="AB362" i="3" a="1"/>
  <c r="AB362" i="3" s="1"/>
  <c r="AB363" i="3" a="1"/>
  <c r="AB363" i="3" s="1"/>
  <c r="AB364" i="3" a="1"/>
  <c r="AB364" i="3" s="1"/>
  <c r="AB365" i="3" a="1"/>
  <c r="AB365" i="3" s="1"/>
  <c r="AB366" i="3" a="1"/>
  <c r="AB366" i="3" s="1"/>
  <c r="AB367" i="3" a="1"/>
  <c r="AB367" i="3" s="1"/>
  <c r="AB368" i="3" a="1"/>
  <c r="AB368" i="3" s="1"/>
  <c r="AB369" i="3" a="1"/>
  <c r="AB369" i="3" s="1"/>
  <c r="AB370" i="3" a="1"/>
  <c r="AB370" i="3" s="1"/>
  <c r="AB371" i="3" a="1"/>
  <c r="AB371" i="3" s="1"/>
  <c r="AB372" i="3" a="1"/>
  <c r="AB372" i="3" s="1"/>
  <c r="AB373" i="3" a="1"/>
  <c r="AB373" i="3" s="1"/>
  <c r="AB374" i="3" a="1"/>
  <c r="AB374" i="3" s="1"/>
  <c r="AB375" i="3" a="1"/>
  <c r="AB375" i="3" s="1"/>
  <c r="AB376" i="3" a="1"/>
  <c r="AB376" i="3" s="1"/>
  <c r="AB377" i="3" a="1"/>
  <c r="AB377" i="3"/>
  <c r="AB378" i="3" a="1"/>
  <c r="AB378" i="3" s="1"/>
  <c r="AB379" i="3" a="1"/>
  <c r="AB379" i="3" s="1"/>
  <c r="AB380" i="3" a="1"/>
  <c r="AB380" i="3"/>
  <c r="AB381" i="3" a="1"/>
  <c r="AB381" i="3" s="1"/>
  <c r="AB382" i="3" a="1"/>
  <c r="AB382" i="3" s="1"/>
  <c r="AB383" i="3" a="1"/>
  <c r="AB383" i="3" s="1"/>
  <c r="AB384" i="3" a="1"/>
  <c r="AB384" i="3" s="1"/>
  <c r="AB385" i="3" a="1"/>
  <c r="AB385" i="3"/>
  <c r="AB386" i="3" a="1"/>
  <c r="AB386" i="3"/>
  <c r="AB387" i="3" a="1"/>
  <c r="AB387" i="3" s="1"/>
  <c r="AB388" i="3" a="1"/>
  <c r="AB388" i="3" s="1"/>
  <c r="AB389" i="3" a="1"/>
  <c r="AB389" i="3"/>
  <c r="AB390" i="3" a="1"/>
  <c r="AB390" i="3"/>
  <c r="AB391" i="3" a="1"/>
  <c r="AB391" i="3" s="1"/>
  <c r="AB392" i="3" a="1"/>
  <c r="AB392" i="3" s="1"/>
  <c r="AB393" i="3" a="1"/>
  <c r="AB393" i="3" s="1"/>
  <c r="AB394" i="3" a="1"/>
  <c r="AB394" i="3" s="1"/>
  <c r="AB395" i="3" a="1"/>
  <c r="AB395" i="3" s="1"/>
  <c r="AB396" i="3" a="1"/>
  <c r="AB396" i="3" s="1"/>
  <c r="AB397" i="3" a="1"/>
  <c r="AB397" i="3" s="1"/>
  <c r="AB398" i="3" a="1"/>
  <c r="AB398" i="3" s="1"/>
  <c r="AB399" i="3" a="1"/>
  <c r="AB399" i="3" s="1"/>
  <c r="AB400" i="3" a="1"/>
  <c r="AB400" i="3" s="1"/>
  <c r="AB401" i="3" a="1"/>
  <c r="AB401" i="3" s="1"/>
  <c r="AB402" i="3" a="1"/>
  <c r="AB402" i="3" s="1"/>
  <c r="AB403" i="3" a="1"/>
  <c r="AB403" i="3" s="1"/>
  <c r="AB404" i="3" a="1"/>
  <c r="AB404" i="3" s="1"/>
  <c r="AB405" i="3" a="1"/>
  <c r="AB405" i="3" s="1"/>
  <c r="AB406" i="3" a="1"/>
  <c r="AB406" i="3"/>
  <c r="AB407" i="3" a="1"/>
  <c r="AB407" i="3"/>
  <c r="AB408" i="3" a="1"/>
  <c r="AB408" i="3" s="1"/>
  <c r="AB409" i="3" a="1"/>
  <c r="AB409" i="3" s="1"/>
  <c r="AB410" i="3" a="1"/>
  <c r="AB410" i="3" s="1"/>
  <c r="AB411" i="3" a="1"/>
  <c r="AB411" i="3" s="1"/>
  <c r="AB412" i="3" a="1"/>
  <c r="AB412" i="3"/>
  <c r="AB413" i="3" a="1"/>
  <c r="AB413" i="3" s="1"/>
  <c r="AB414" i="3" a="1"/>
  <c r="AB414" i="3" s="1"/>
  <c r="AB415" i="3" a="1"/>
  <c r="AB415" i="3" s="1"/>
  <c r="AB416" i="3" a="1"/>
  <c r="AB416" i="3" s="1"/>
  <c r="AB417" i="3" a="1"/>
  <c r="AB417" i="3" s="1"/>
  <c r="AB418" i="3" a="1"/>
  <c r="AB418" i="3" s="1"/>
  <c r="AB419" i="3" a="1"/>
  <c r="AB419" i="3" s="1"/>
  <c r="AB420" i="3" a="1"/>
  <c r="AB420" i="3"/>
  <c r="AB421" i="3" a="1"/>
  <c r="AB421" i="3" s="1"/>
  <c r="AB422" i="3" a="1"/>
  <c r="AB422" i="3" s="1"/>
  <c r="AB423" i="3" a="1"/>
  <c r="AB423" i="3"/>
  <c r="AB424" i="3" a="1"/>
  <c r="AB424" i="3"/>
  <c r="AB425" i="3" a="1"/>
  <c r="AB425" i="3" s="1"/>
  <c r="AB426" i="3" a="1"/>
  <c r="AB426" i="3" s="1"/>
  <c r="AB427" i="3" a="1"/>
  <c r="AB427" i="3" s="1"/>
  <c r="AB428" i="3" a="1"/>
  <c r="AB428" i="3" s="1"/>
  <c r="AB429" i="3" a="1"/>
  <c r="AB429" i="3" s="1"/>
  <c r="AB430" i="3" a="1"/>
  <c r="AB430" i="3" s="1"/>
  <c r="AB431" i="3" a="1"/>
  <c r="AB431" i="3"/>
  <c r="AB432" i="3" a="1"/>
  <c r="AB432" i="3" s="1"/>
  <c r="AB433" i="3" a="1"/>
  <c r="AB433" i="3" s="1"/>
  <c r="AB434" i="3" a="1"/>
  <c r="AB434" i="3" s="1"/>
  <c r="AB435" i="3" a="1"/>
  <c r="AB435" i="3" s="1"/>
  <c r="AB436" i="3" a="1"/>
  <c r="AB436" i="3" s="1"/>
  <c r="AB437" i="3" a="1"/>
  <c r="AB437" i="3" s="1"/>
  <c r="AB438" i="3" a="1"/>
  <c r="AB438" i="3" s="1"/>
  <c r="AB439" i="3" a="1"/>
  <c r="AB439" i="3" s="1"/>
  <c r="AB440" i="3" a="1"/>
  <c r="AB440" i="3" s="1"/>
  <c r="AB441" i="3" a="1"/>
  <c r="AB441" i="3" s="1"/>
  <c r="AB442" i="3" a="1"/>
  <c r="AB442" i="3" s="1"/>
  <c r="AB443" i="3" a="1"/>
  <c r="AB443" i="3" s="1"/>
  <c r="AB444" i="3" a="1"/>
  <c r="AB444" i="3" s="1"/>
  <c r="AB445" i="3" a="1"/>
  <c r="AB445" i="3"/>
  <c r="AB446" i="3" a="1"/>
  <c r="AB446" i="3"/>
  <c r="AB447" i="3" a="1"/>
  <c r="AB447" i="3" s="1"/>
  <c r="AB448" i="3" a="1"/>
  <c r="AB448" i="3" s="1"/>
  <c r="AB449" i="3" a="1"/>
  <c r="AB449" i="3" s="1"/>
  <c r="AB450" i="3" a="1"/>
  <c r="AB450" i="3" s="1"/>
  <c r="AB451" i="3" a="1"/>
  <c r="AB451" i="3" s="1"/>
  <c r="AB452" i="3" a="1"/>
  <c r="AB452" i="3" s="1"/>
  <c r="AB453" i="3" a="1"/>
  <c r="AB453" i="3" s="1"/>
  <c r="AB454" i="3" a="1"/>
  <c r="AB454" i="3"/>
  <c r="AB455" i="3" a="1"/>
  <c r="AB455" i="3" s="1"/>
  <c r="AB456" i="3" a="1"/>
  <c r="AB456" i="3" s="1"/>
  <c r="AB457" i="3" a="1"/>
  <c r="AB457" i="3"/>
  <c r="AB458" i="3" a="1"/>
  <c r="AB458" i="3"/>
  <c r="AB459" i="3" a="1"/>
  <c r="AB459" i="3" s="1"/>
  <c r="AB460" i="3" a="1"/>
  <c r="AB460" i="3" s="1"/>
  <c r="AB461" i="3" a="1"/>
  <c r="AB461" i="3" s="1"/>
  <c r="AB462" i="3" a="1"/>
  <c r="AB462" i="3" s="1"/>
  <c r="AB463" i="3" a="1"/>
  <c r="AB463" i="3" s="1"/>
  <c r="AB464" i="3" a="1"/>
  <c r="AB464" i="3" s="1"/>
  <c r="AB465" i="3" a="1"/>
  <c r="AB465" i="3" s="1"/>
  <c r="AB466" i="3" a="1"/>
  <c r="AB466" i="3" s="1"/>
  <c r="AB467" i="3" a="1"/>
  <c r="AB467" i="3" s="1"/>
  <c r="AB468" i="3" a="1"/>
  <c r="AB468" i="3" s="1"/>
  <c r="AB469" i="3" a="1"/>
  <c r="AB469" i="3" s="1"/>
  <c r="AB470" i="3" a="1"/>
  <c r="AB470" i="3" s="1"/>
  <c r="AB471" i="3" a="1"/>
  <c r="AB471" i="3"/>
  <c r="AB472" i="3" a="1"/>
  <c r="AB472" i="3" s="1"/>
  <c r="AB473" i="3" a="1"/>
  <c r="AB473" i="3" s="1"/>
  <c r="AB474" i="3" a="1"/>
  <c r="AB474" i="3"/>
  <c r="AB475" i="3" a="1"/>
  <c r="AB475" i="3" s="1"/>
  <c r="AB476" i="3" a="1"/>
  <c r="AB476" i="3" s="1"/>
  <c r="AB477" i="3" a="1"/>
  <c r="AB477" i="3" s="1"/>
  <c r="AB478" i="3" a="1"/>
  <c r="AB478" i="3" s="1"/>
  <c r="AB479" i="3" a="1"/>
  <c r="AB479" i="3"/>
  <c r="AB480" i="3" a="1"/>
  <c r="AB480" i="3"/>
  <c r="AB481" i="3" a="1"/>
  <c r="AB481" i="3" s="1"/>
  <c r="AB482" i="3" a="1"/>
  <c r="AB482" i="3" s="1"/>
  <c r="AB483" i="3" a="1"/>
  <c r="AB483" i="3" s="1"/>
  <c r="AB484" i="3" a="1"/>
  <c r="AB484" i="3"/>
  <c r="AB485" i="3" a="1"/>
  <c r="AB485" i="3" s="1"/>
  <c r="AB492" i="3" a="1"/>
  <c r="AB492" i="3" s="1"/>
  <c r="AB493" i="3" a="1"/>
  <c r="AB493" i="3"/>
  <c r="AB494" i="3" a="1"/>
  <c r="AB494" i="3" s="1"/>
  <c r="AB495" i="3" a="1"/>
  <c r="AB495" i="3" s="1"/>
  <c r="AB496" i="3" a="1"/>
  <c r="AB496" i="3" s="1"/>
  <c r="AB497" i="3" a="1"/>
  <c r="AB497" i="3" s="1"/>
  <c r="AB498" i="3" a="1"/>
  <c r="AB498" i="3" s="1"/>
  <c r="AB499" i="3" a="1"/>
  <c r="AB499" i="3" s="1"/>
  <c r="AB500" i="3" a="1"/>
  <c r="AB500" i="3" s="1"/>
  <c r="AB501" i="3" a="1"/>
  <c r="AB501" i="3" s="1"/>
  <c r="AB502" i="3" a="1"/>
  <c r="AB502" i="3" s="1"/>
  <c r="AB503" i="3" a="1"/>
  <c r="AB503" i="3" s="1"/>
  <c r="AB504" i="3" a="1"/>
  <c r="AB504" i="3"/>
  <c r="AB505" i="3" a="1"/>
  <c r="AB505" i="3" s="1"/>
  <c r="AB506" i="3" a="1"/>
  <c r="AB506" i="3" s="1"/>
  <c r="AB507" i="3" a="1"/>
  <c r="AB507" i="3"/>
  <c r="AB508" i="3" a="1"/>
  <c r="AB508" i="3" s="1"/>
  <c r="AB509" i="3" a="1"/>
  <c r="AB509" i="3" s="1"/>
  <c r="AB510" i="3" a="1"/>
  <c r="AB510" i="3" s="1"/>
  <c r="AB511" i="3" a="1"/>
  <c r="AB511" i="3" s="1"/>
  <c r="AB512" i="3" a="1"/>
  <c r="AB512" i="3"/>
  <c r="AB513" i="3" a="1"/>
  <c r="AB513" i="3"/>
  <c r="AB514" i="3" a="1"/>
  <c r="AB514" i="3" s="1"/>
  <c r="AB515" i="3" a="1"/>
  <c r="AB515" i="3" s="1"/>
  <c r="AB516" i="3" a="1"/>
  <c r="AB516" i="3"/>
  <c r="AB517" i="3" a="1"/>
  <c r="AB517" i="3"/>
  <c r="AB518" i="3" a="1"/>
  <c r="AB518" i="3" s="1"/>
  <c r="AB519" i="3" a="1"/>
  <c r="AB519" i="3" s="1"/>
  <c r="AB520" i="3" a="1"/>
  <c r="AB520" i="3" s="1"/>
  <c r="AB521" i="3" a="1"/>
  <c r="AB521" i="3" s="1"/>
  <c r="AB522" i="3" a="1"/>
  <c r="AB522" i="3" s="1"/>
  <c r="AB523" i="3" a="1"/>
  <c r="AB523" i="3" s="1"/>
  <c r="AB524" i="3" a="1"/>
  <c r="AB524" i="3" s="1"/>
  <c r="AB525" i="3" a="1"/>
  <c r="AB525" i="3" s="1"/>
  <c r="AB526" i="3" a="1"/>
  <c r="AB526" i="3" s="1"/>
  <c r="AB527" i="3" a="1"/>
  <c r="AB527" i="3" s="1"/>
  <c r="AB528" i="3" a="1"/>
  <c r="AB528" i="3" s="1"/>
  <c r="AB529" i="3" a="1"/>
  <c r="AB529" i="3" s="1"/>
  <c r="AB530" i="3" a="1"/>
  <c r="AB530" i="3" s="1"/>
  <c r="AB531" i="3" a="1"/>
  <c r="AB531" i="3" s="1"/>
  <c r="AB532" i="3" a="1"/>
  <c r="AB532" i="3" s="1"/>
  <c r="AB533" i="3" a="1"/>
  <c r="AB533" i="3"/>
  <c r="AB534" i="3" a="1"/>
  <c r="AB534" i="3"/>
  <c r="AB535" i="3" a="1"/>
  <c r="AB535" i="3" s="1"/>
  <c r="AB536" i="3" a="1"/>
  <c r="AB536" i="3" s="1"/>
  <c r="AB537" i="3" a="1"/>
  <c r="AB537" i="3" s="1"/>
  <c r="AB538" i="3" a="1"/>
  <c r="AB538" i="3" s="1"/>
  <c r="AB539" i="3" a="1"/>
  <c r="AB539" i="3"/>
  <c r="AB540" i="3" a="1"/>
  <c r="AB540" i="3" s="1"/>
  <c r="AB541" i="3" a="1"/>
  <c r="AB541" i="3" s="1"/>
  <c r="AB542" i="3" a="1"/>
  <c r="AB542" i="3" s="1"/>
  <c r="AB543" i="3" a="1"/>
  <c r="AB543" i="3" s="1"/>
  <c r="AB544" i="3" a="1"/>
  <c r="AB544" i="3" s="1"/>
  <c r="AB545" i="3" a="1"/>
  <c r="AB545" i="3" s="1"/>
  <c r="AB546" i="3" a="1"/>
  <c r="AB546" i="3" s="1"/>
  <c r="AB547" i="3" a="1"/>
  <c r="AB547" i="3"/>
  <c r="AB548" i="3" a="1"/>
  <c r="AB548" i="3" s="1"/>
  <c r="AB549" i="3" a="1"/>
  <c r="AB549" i="3" s="1"/>
  <c r="AB550" i="3" a="1"/>
  <c r="AB550" i="3"/>
  <c r="AB551" i="3" a="1"/>
  <c r="AB551" i="3"/>
  <c r="AB552" i="3" a="1"/>
  <c r="AB552" i="3" s="1"/>
  <c r="AB553" i="3" a="1"/>
  <c r="AB553" i="3" s="1"/>
  <c r="AB554" i="3" a="1"/>
  <c r="AB554" i="3" s="1"/>
  <c r="AB555" i="3" a="1"/>
  <c r="AB555" i="3" s="1"/>
  <c r="AB556" i="3" a="1"/>
  <c r="AB556" i="3" s="1"/>
  <c r="AB557" i="3" a="1"/>
  <c r="AB557" i="3" s="1"/>
  <c r="AB558" i="3" a="1"/>
  <c r="AB558" i="3"/>
  <c r="AB559" i="3" a="1"/>
  <c r="AB559" i="3" s="1"/>
  <c r="AB560" i="3" a="1"/>
  <c r="AB560" i="3" s="1"/>
  <c r="AB561" i="3" a="1"/>
  <c r="AB561" i="3" s="1"/>
  <c r="AB562" i="3" a="1"/>
  <c r="AB562" i="3" s="1"/>
  <c r="AB563" i="3" a="1"/>
  <c r="AB563" i="3" s="1"/>
  <c r="AB564" i="3" a="1"/>
  <c r="AB564" i="3" s="1"/>
  <c r="AB565" i="3" a="1"/>
  <c r="AB565" i="3" s="1"/>
  <c r="AB566" i="3" a="1"/>
  <c r="AB566" i="3" s="1"/>
  <c r="AB567" i="3" a="1"/>
  <c r="AB567" i="3" s="1"/>
  <c r="AB568" i="3" a="1"/>
  <c r="AB568" i="3" s="1"/>
  <c r="AB569" i="3" a="1"/>
  <c r="AB569" i="3" s="1"/>
  <c r="AB570" i="3" a="1"/>
  <c r="AB570" i="3" s="1"/>
  <c r="AB571" i="3" a="1"/>
  <c r="AB571" i="3" s="1"/>
  <c r="AB572" i="3" a="1"/>
  <c r="AB572" i="3"/>
  <c r="AB573" i="3" a="1"/>
  <c r="AB573" i="3"/>
  <c r="AB574" i="3" a="1"/>
  <c r="AB574" i="3" s="1"/>
  <c r="AB575" i="3" a="1"/>
  <c r="AB575" i="3" s="1"/>
  <c r="AB576" i="3" a="1"/>
  <c r="AB576" i="3" s="1"/>
  <c r="AB577" i="3" a="1"/>
  <c r="AB577" i="3" s="1"/>
  <c r="AB578" i="3" a="1"/>
  <c r="AB578" i="3" s="1"/>
  <c r="AB579" i="3" a="1"/>
  <c r="AB579" i="3" s="1"/>
  <c r="AB580" i="3" a="1"/>
  <c r="AB580" i="3" s="1"/>
  <c r="AB581" i="3" a="1"/>
  <c r="AB581" i="3"/>
  <c r="AB582" i="3" a="1"/>
  <c r="AB582" i="3" s="1"/>
  <c r="AB583" i="3" a="1"/>
  <c r="AB583" i="3" s="1"/>
  <c r="AB584" i="3" a="1"/>
  <c r="AB584" i="3"/>
  <c r="AB585" i="3" a="1"/>
  <c r="AB585" i="3"/>
  <c r="AB586" i="3" a="1"/>
  <c r="AB586" i="3" s="1"/>
  <c r="AB587" i="3" a="1"/>
  <c r="AB587" i="3" s="1"/>
  <c r="AB588" i="3" a="1"/>
  <c r="AB588" i="3" s="1"/>
  <c r="AB589" i="3" a="1"/>
  <c r="AB589" i="3" s="1"/>
  <c r="AB590" i="3" a="1"/>
  <c r="AB590" i="3" s="1"/>
  <c r="AB591" i="3" a="1"/>
  <c r="AB591" i="3" s="1"/>
  <c r="AB592" i="3" a="1"/>
  <c r="AB592" i="3"/>
  <c r="AB593" i="3" a="1"/>
  <c r="AB593" i="3" s="1"/>
  <c r="AB594" i="3" a="1"/>
  <c r="AB594" i="3" s="1"/>
  <c r="AB595" i="3" a="1"/>
  <c r="AB595" i="3" s="1"/>
  <c r="AB596" i="3" a="1"/>
  <c r="AB596" i="3" s="1"/>
  <c r="AB597" i="3" a="1"/>
  <c r="AB597" i="3" s="1"/>
  <c r="AB598" i="3" a="1"/>
  <c r="AB598" i="3" s="1"/>
  <c r="AB599" i="3" a="1"/>
  <c r="AB599" i="3" s="1"/>
  <c r="AB600" i="3" a="1"/>
  <c r="AB600" i="3" s="1"/>
  <c r="AB601" i="3" a="1"/>
  <c r="AB601" i="3" s="1"/>
  <c r="AB602" i="3" a="1"/>
  <c r="AB602" i="3" s="1"/>
  <c r="AB603" i="3" a="1"/>
  <c r="AB603" i="3" s="1"/>
  <c r="AB604" i="3" a="1"/>
  <c r="AB604" i="3" s="1"/>
  <c r="AB605" i="3" a="1"/>
  <c r="AB605" i="3" s="1"/>
  <c r="AB606" i="3" a="1"/>
  <c r="AB606" i="3" s="1"/>
  <c r="AB607" i="3" a="1"/>
  <c r="AB607" i="3" s="1"/>
  <c r="AB608" i="3" a="1"/>
  <c r="AB608" i="3" s="1"/>
  <c r="AB609" i="3" a="1"/>
  <c r="AB609" i="3"/>
  <c r="AB610" i="3" a="1"/>
  <c r="AB610" i="3" s="1"/>
  <c r="AB611" i="3" a="1"/>
  <c r="AB611" i="3" s="1"/>
  <c r="AB612" i="3" a="1"/>
  <c r="AB612" i="3" s="1"/>
  <c r="AB613" i="3" a="1"/>
  <c r="AB613" i="3" s="1"/>
  <c r="AB614" i="3" a="1"/>
  <c r="AB614" i="3" s="1"/>
  <c r="AB615" i="3" a="1"/>
  <c r="AB615" i="3" s="1"/>
  <c r="AB616" i="3" a="1"/>
  <c r="AB616" i="3" s="1"/>
  <c r="AB617" i="3" a="1"/>
  <c r="AB617" i="3" s="1"/>
  <c r="AB618" i="3" a="1"/>
  <c r="AB618" i="3" s="1"/>
  <c r="AB619" i="3" a="1"/>
  <c r="AB619" i="3" s="1"/>
  <c r="AB620" i="3" a="1"/>
  <c r="AB620" i="3" s="1"/>
  <c r="AB621" i="3" a="1"/>
  <c r="AB621" i="3" s="1"/>
  <c r="AB622" i="3" a="1"/>
  <c r="AB622" i="3" s="1"/>
  <c r="AB623" i="3" a="1"/>
  <c r="AB623" i="3"/>
  <c r="AB624" i="3" a="1"/>
  <c r="AB624" i="3"/>
  <c r="AB625" i="3" a="1"/>
  <c r="AB625" i="3" s="1"/>
  <c r="AB626" i="3" a="1"/>
  <c r="AB626" i="3" s="1"/>
  <c r="AB627" i="3" a="1"/>
  <c r="AB627" i="3"/>
  <c r="AB628" i="3" a="1"/>
  <c r="AB628" i="3"/>
  <c r="AB629" i="3" a="1"/>
  <c r="AB629" i="3" s="1"/>
  <c r="AB630" i="3" a="1"/>
  <c r="AB630" i="3" s="1"/>
  <c r="AB631" i="3" a="1"/>
  <c r="AB631" i="3" s="1"/>
  <c r="AB632" i="3" a="1"/>
  <c r="AB632" i="3" s="1"/>
  <c r="AB633" i="3" a="1"/>
  <c r="AB633" i="3" s="1"/>
  <c r="AB634" i="3" a="1"/>
  <c r="AB634" i="3" s="1"/>
  <c r="AB635" i="3" a="1"/>
  <c r="AB635" i="3"/>
  <c r="AB636" i="3" a="1"/>
  <c r="AB636" i="3" s="1"/>
  <c r="AB637" i="3" a="1"/>
  <c r="AB637" i="3" s="1"/>
  <c r="AB638" i="3" a="1"/>
  <c r="AB638" i="3" s="1"/>
  <c r="AB639" i="3" a="1"/>
  <c r="AB639" i="3" s="1"/>
  <c r="AB640" i="3" a="1"/>
  <c r="AB640" i="3"/>
  <c r="AB641" i="3" a="1"/>
  <c r="AB641" i="3"/>
  <c r="AB642" i="3" a="1"/>
  <c r="AB642" i="3" s="1"/>
  <c r="AB643" i="3" a="1"/>
  <c r="AB643" i="3" s="1"/>
  <c r="AB644" i="3" a="1"/>
  <c r="AB644" i="3"/>
  <c r="AB645" i="3" a="1"/>
  <c r="AB645" i="3"/>
  <c r="AB646" i="3" a="1"/>
  <c r="AB646" i="3" s="1"/>
  <c r="AB647" i="3" a="1"/>
  <c r="AB647" i="3" s="1"/>
  <c r="AB648" i="3" a="1"/>
  <c r="AB648" i="3" s="1"/>
  <c r="AB649" i="3" a="1"/>
  <c r="AB649" i="3" s="1"/>
  <c r="AB650" i="3" a="1"/>
  <c r="AB650" i="3" s="1"/>
  <c r="AB651" i="3" a="1"/>
  <c r="AB651" i="3" s="1"/>
  <c r="AB652" i="3" a="1"/>
  <c r="AB652" i="3" s="1"/>
  <c r="AB653" i="3" a="1"/>
  <c r="AB653" i="3" s="1"/>
  <c r="AB654" i="3" a="1"/>
  <c r="AB654" i="3" s="1"/>
  <c r="AB655" i="3" a="1"/>
  <c r="AB655" i="3" s="1"/>
  <c r="AB656" i="3" a="1"/>
  <c r="AB656" i="3" s="1"/>
  <c r="AB657" i="3" a="1"/>
  <c r="AB657" i="3" s="1"/>
  <c r="AB658" i="3" a="1"/>
  <c r="AB658" i="3" s="1"/>
  <c r="AB659" i="3" a="1"/>
  <c r="AB659" i="3" s="1"/>
  <c r="AB660" i="3" a="1"/>
  <c r="AB660" i="3" s="1"/>
  <c r="AB661" i="3" a="1"/>
  <c r="AB661" i="3"/>
  <c r="AB662" i="3" a="1"/>
  <c r="AB662" i="3"/>
  <c r="AB663" i="3" a="1"/>
  <c r="AB663" i="3" s="1"/>
  <c r="AB664" i="3" a="1"/>
  <c r="AB664" i="3" s="1"/>
  <c r="AB665" i="3" a="1"/>
  <c r="AB665" i="3" s="1"/>
  <c r="AB666" i="3" a="1"/>
  <c r="AB666" i="3" s="1"/>
  <c r="AB667" i="3" a="1"/>
  <c r="AB667" i="3" s="1"/>
  <c r="AB668" i="3" a="1"/>
  <c r="AB668" i="3" s="1"/>
  <c r="AB669" i="3" a="1"/>
  <c r="AB669" i="3"/>
  <c r="AB670" i="3" a="1"/>
  <c r="AB670" i="3" s="1"/>
  <c r="AB671" i="3" a="1"/>
  <c r="AB671" i="3" s="1"/>
  <c r="AB672" i="3" a="1"/>
  <c r="AB672" i="3" s="1"/>
  <c r="AB673" i="3" a="1"/>
  <c r="AB673" i="3" s="1"/>
  <c r="AB674" i="3" a="1"/>
  <c r="AB674" i="3" s="1"/>
  <c r="AB675" i="3" a="1"/>
  <c r="AB675" i="3" s="1"/>
  <c r="AB676" i="3" a="1"/>
  <c r="AB676" i="3" s="1"/>
  <c r="AB677" i="3" a="1"/>
  <c r="AB677" i="3" s="1"/>
  <c r="AB678" i="3" a="1"/>
  <c r="AB678" i="3" s="1"/>
  <c r="AB679" i="3" a="1"/>
  <c r="AB679" i="3" s="1"/>
  <c r="AB680" i="3" a="1"/>
  <c r="AB680" i="3"/>
  <c r="AB681" i="3" a="1"/>
  <c r="AB681" i="3"/>
  <c r="AB682" i="3" a="1"/>
  <c r="AB682" i="3"/>
  <c r="AB683" i="3" a="1"/>
  <c r="AB683" i="3"/>
  <c r="AB684" i="3" a="1"/>
  <c r="AB684" i="3" s="1"/>
  <c r="AB685" i="3" a="1"/>
  <c r="AB685" i="3" s="1"/>
  <c r="AB686" i="3" a="1"/>
  <c r="AB686" i="3"/>
  <c r="AB687" i="3" a="1"/>
  <c r="AB687" i="3"/>
  <c r="AB688" i="3" a="1"/>
  <c r="AB688" i="3" s="1"/>
  <c r="AB689" i="3" a="1"/>
  <c r="AB689" i="3" s="1"/>
  <c r="AB690" i="3" a="1"/>
  <c r="AB690" i="3" s="1"/>
  <c r="AB691" i="3" a="1"/>
  <c r="AB691" i="3" s="1"/>
  <c r="AB692" i="3" a="1"/>
  <c r="AB692" i="3" s="1"/>
  <c r="AB693" i="3" a="1"/>
  <c r="AB693" i="3" s="1"/>
  <c r="AB694" i="3" a="1"/>
  <c r="AB694" i="3" s="1"/>
  <c r="AB695" i="3" a="1"/>
  <c r="AB695" i="3" s="1"/>
  <c r="AB696" i="3" a="1"/>
  <c r="AB696" i="3" s="1"/>
  <c r="AB697" i="3" a="1"/>
  <c r="AB697" i="3" s="1"/>
  <c r="AB698" i="3" a="1"/>
  <c r="AB698" i="3" s="1"/>
  <c r="AB699" i="3" a="1"/>
  <c r="AB699" i="3" s="1"/>
  <c r="AB700" i="3" a="1"/>
  <c r="AB700" i="3" s="1"/>
  <c r="AB701" i="3" a="1"/>
  <c r="AB701" i="3" s="1"/>
  <c r="AB702" i="3" a="1"/>
  <c r="AB702" i="3" s="1"/>
  <c r="AB703" i="3" a="1"/>
  <c r="AB703" i="3" s="1"/>
  <c r="AB704" i="3" a="1"/>
  <c r="AB704" i="3" s="1"/>
  <c r="AB705" i="3" a="1"/>
  <c r="AB705" i="3" s="1"/>
  <c r="AB706" i="3" a="1"/>
  <c r="AB706" i="3" s="1"/>
  <c r="AB707" i="3" a="1"/>
  <c r="AB707" i="3" s="1"/>
  <c r="AB708" i="3" a="1"/>
  <c r="AB708" i="3" s="1"/>
  <c r="AB709" i="3" a="1"/>
  <c r="AB709" i="3" s="1"/>
  <c r="AB710" i="3" a="1"/>
  <c r="AB710" i="3" s="1"/>
  <c r="AB711" i="3" a="1"/>
  <c r="AB711" i="3" s="1"/>
  <c r="AB712" i="3" a="1"/>
  <c r="AB712" i="3" s="1"/>
  <c r="AB713" i="3" a="1"/>
  <c r="AB713" i="3" s="1"/>
  <c r="AB714" i="3" a="1"/>
  <c r="AB714" i="3"/>
  <c r="AB715" i="3" a="1"/>
  <c r="AB715" i="3"/>
  <c r="AB716" i="3" a="1"/>
  <c r="AB716" i="3"/>
  <c r="AB717" i="3" a="1"/>
  <c r="AB717" i="3" s="1"/>
  <c r="AB718" i="3" a="1"/>
  <c r="AB718" i="3" s="1"/>
  <c r="AB719" i="3" a="1"/>
  <c r="AB719" i="3" s="1"/>
  <c r="AB720" i="3" a="1"/>
  <c r="AB720" i="3" s="1"/>
  <c r="AB721" i="3" a="1"/>
  <c r="AB721" i="3" s="1"/>
  <c r="AB722" i="3" a="1"/>
  <c r="AB722" i="3" s="1"/>
  <c r="AB723" i="3" a="1"/>
  <c r="AB723" i="3" s="1"/>
  <c r="AB724" i="3" a="1"/>
  <c r="AB724" i="3" s="1"/>
  <c r="AB725" i="3" a="1"/>
  <c r="AB725" i="3" s="1"/>
  <c r="AB726" i="3" a="1"/>
  <c r="AB726" i="3" s="1"/>
  <c r="AB727" i="3" a="1"/>
  <c r="AB727" i="3" s="1"/>
  <c r="AB728" i="3" a="1"/>
  <c r="AB728" i="3" s="1"/>
  <c r="AB729" i="3" a="1"/>
  <c r="AB729" i="3" s="1"/>
  <c r="AB730" i="3" a="1"/>
  <c r="AB730" i="3" s="1"/>
  <c r="AB731" i="3" a="1"/>
  <c r="AB731" i="3" s="1"/>
  <c r="AB732" i="3" a="1"/>
  <c r="AB732" i="3" s="1"/>
  <c r="AB733" i="3" a="1"/>
  <c r="AB733" i="3" s="1"/>
  <c r="AB734" i="3" a="1"/>
  <c r="AB734" i="3" s="1"/>
  <c r="AB735" i="3" a="1"/>
  <c r="AB735" i="3" s="1"/>
  <c r="AB736" i="3" a="1"/>
  <c r="AB736" i="3" s="1"/>
  <c r="AB737" i="3" a="1"/>
  <c r="AB737" i="3" s="1"/>
  <c r="AB738" i="3" a="1"/>
  <c r="AB738" i="3" s="1"/>
  <c r="AB739" i="3" a="1"/>
  <c r="AB739" i="3" s="1"/>
  <c r="AB740" i="3" a="1"/>
  <c r="AB740" i="3" s="1"/>
  <c r="AB741" i="3" a="1"/>
  <c r="AB741" i="3" s="1"/>
  <c r="AB742" i="3" a="1"/>
  <c r="AB742" i="3"/>
  <c r="AB743" i="3" a="1"/>
  <c r="AB743" i="3"/>
  <c r="AB744" i="3" a="1"/>
  <c r="AB744" i="3"/>
  <c r="AB745" i="3" a="1"/>
  <c r="AB745" i="3" s="1"/>
  <c r="AB746" i="3" a="1"/>
  <c r="AB746" i="3" s="1"/>
  <c r="AB747" i="3" a="1"/>
  <c r="AB747" i="3" s="1"/>
  <c r="AB748" i="3" a="1"/>
  <c r="AB748" i="3" s="1"/>
  <c r="AB749" i="3" a="1"/>
  <c r="AB749" i="3" s="1"/>
  <c r="AB750" i="3" a="1"/>
  <c r="AB750" i="3" s="1"/>
  <c r="AB751" i="3" a="1"/>
  <c r="AB751" i="3" s="1"/>
  <c r="AB752" i="3" a="1"/>
  <c r="AB752" i="3" s="1"/>
  <c r="AB753" i="3" a="1"/>
  <c r="AB753" i="3" s="1"/>
  <c r="AB754" i="3" a="1"/>
  <c r="AB754" i="3"/>
  <c r="AB755" i="3" a="1"/>
  <c r="AB755" i="3"/>
  <c r="AB756" i="3" a="1"/>
  <c r="AB756" i="3" s="1"/>
  <c r="AB757" i="3" a="1"/>
  <c r="AB757" i="3" s="1"/>
  <c r="AB758" i="3" a="1"/>
  <c r="AB758" i="3"/>
  <c r="AB759" i="3" a="1"/>
  <c r="AB759" i="3"/>
  <c r="AB760" i="3" a="1"/>
  <c r="AB760" i="3"/>
  <c r="AB761" i="3" a="1"/>
  <c r="AB761" i="3" s="1"/>
  <c r="AB762" i="3" a="1"/>
  <c r="AB762" i="3" s="1"/>
  <c r="AB763" i="3" a="1"/>
  <c r="AB763" i="3" s="1"/>
  <c r="AB764" i="3" a="1"/>
  <c r="AB764" i="3" s="1"/>
  <c r="AB765" i="3" a="1"/>
  <c r="AB765" i="3" s="1"/>
  <c r="AB766" i="3" a="1"/>
  <c r="AB766" i="3" s="1"/>
  <c r="AB767" i="3" a="1"/>
  <c r="AB767" i="3" s="1"/>
  <c r="AB768" i="3" a="1"/>
  <c r="AB768" i="3" s="1"/>
  <c r="AB769" i="3" a="1"/>
  <c r="AB769" i="3" s="1"/>
  <c r="AB770" i="3" a="1"/>
  <c r="AB770" i="3" s="1"/>
  <c r="AB771" i="3" a="1"/>
  <c r="AB771" i="3"/>
  <c r="AB772" i="3" a="1"/>
  <c r="AB772" i="3"/>
  <c r="AB773" i="3" a="1"/>
  <c r="AB773" i="3" s="1"/>
  <c r="AB774" i="3" a="1"/>
  <c r="AB774" i="3" s="1"/>
  <c r="AB775" i="3" a="1"/>
  <c r="AB775" i="3" s="1"/>
  <c r="AB776" i="3" a="1"/>
  <c r="AB776" i="3" s="1"/>
  <c r="AB777" i="3" a="1"/>
  <c r="AB777" i="3" s="1"/>
  <c r="AB778" i="3" a="1"/>
  <c r="AB778" i="3" s="1"/>
  <c r="AB779" i="3" a="1"/>
  <c r="AB779" i="3" s="1"/>
  <c r="AB780" i="3" a="1"/>
  <c r="AB780" i="3" s="1"/>
  <c r="AB781" i="3" a="1"/>
  <c r="AB781" i="3" s="1"/>
  <c r="AB782" i="3" a="1"/>
  <c r="AB782" i="3" s="1"/>
  <c r="AB783" i="3" a="1"/>
  <c r="AB783" i="3" s="1"/>
  <c r="AB784" i="3" a="1"/>
  <c r="AB784" i="3" s="1"/>
  <c r="AB785" i="3" a="1"/>
  <c r="AB785" i="3" s="1"/>
  <c r="AB786" i="3" a="1"/>
  <c r="AB786" i="3" s="1"/>
  <c r="AB787" i="3" a="1"/>
  <c r="AB787" i="3" s="1"/>
  <c r="AB788" i="3" a="1"/>
  <c r="AB788" i="3" s="1"/>
  <c r="AB789" i="3" a="1"/>
  <c r="AB789" i="3" s="1"/>
  <c r="AB790" i="3" a="1"/>
  <c r="AB790" i="3" s="1"/>
  <c r="AB791" i="3" a="1"/>
  <c r="AB791" i="3" s="1"/>
  <c r="AB792" i="3" a="1"/>
  <c r="AB792" i="3" s="1"/>
  <c r="AB793" i="3" a="1"/>
  <c r="AB793" i="3" s="1"/>
  <c r="AB794" i="3" a="1"/>
  <c r="AB794" i="3" s="1"/>
  <c r="AB795" i="3" a="1"/>
  <c r="AB795" i="3" s="1"/>
  <c r="AB796" i="3" a="1"/>
  <c r="AB796" i="3" s="1"/>
  <c r="AB797" i="3" a="1"/>
  <c r="AB797" i="3" s="1"/>
  <c r="AB798" i="3" a="1"/>
  <c r="AB798" i="3"/>
  <c r="AB799" i="3" a="1"/>
  <c r="AB799" i="3" s="1"/>
  <c r="AB800" i="3" a="1"/>
  <c r="AB800" i="3" s="1"/>
  <c r="AB801" i="3" a="1"/>
  <c r="AB801" i="3" s="1"/>
  <c r="AB802" i="3" a="1"/>
  <c r="AB802" i="3" s="1"/>
  <c r="AB803" i="3" a="1"/>
  <c r="AB803" i="3" s="1"/>
  <c r="AB804" i="3" a="1"/>
  <c r="AB804" i="3" s="1"/>
  <c r="AB805" i="3" a="1"/>
  <c r="AB805" i="3" s="1"/>
  <c r="AB806" i="3" a="1"/>
  <c r="AB806" i="3" s="1"/>
  <c r="AB807" i="3" a="1"/>
  <c r="AB807" i="3" s="1"/>
  <c r="AB808" i="3" a="1"/>
  <c r="AB808" i="3" s="1"/>
  <c r="AB809" i="3" a="1"/>
  <c r="AB809" i="3" s="1"/>
  <c r="AB810" i="3" a="1"/>
  <c r="AB810" i="3" s="1"/>
  <c r="AB811" i="3" a="1"/>
  <c r="AB811" i="3" s="1"/>
  <c r="AB812" i="3" a="1"/>
  <c r="AB812" i="3" s="1"/>
  <c r="AB813" i="3" a="1"/>
  <c r="AB813" i="3" s="1"/>
  <c r="AB814" i="3" a="1"/>
  <c r="AB814" i="3" s="1"/>
  <c r="AB815" i="3" a="1"/>
  <c r="AB815" i="3" s="1"/>
  <c r="AB816" i="3" a="1"/>
  <c r="AB816" i="3" s="1"/>
  <c r="AB817" i="3" a="1"/>
  <c r="AB817" i="3" s="1"/>
  <c r="AB818" i="3" a="1"/>
  <c r="AB818" i="3" s="1"/>
  <c r="AB819" i="3" a="1"/>
  <c r="AB819" i="3" s="1"/>
  <c r="AB820" i="3" a="1"/>
  <c r="AB820" i="3" s="1"/>
  <c r="AB821" i="3" a="1"/>
  <c r="AB821" i="3" s="1"/>
  <c r="AB822" i="3" a="1"/>
  <c r="AB822" i="3" s="1"/>
  <c r="AB823" i="3" a="1"/>
  <c r="AB823" i="3" s="1"/>
  <c r="AB824" i="3" a="1"/>
  <c r="AB824" i="3" s="1"/>
  <c r="AB825" i="3" a="1"/>
  <c r="AB825" i="3"/>
  <c r="AB826" i="3" a="1"/>
  <c r="AB826" i="3"/>
  <c r="AB827" i="3" a="1"/>
  <c r="AB827" i="3"/>
  <c r="AB828" i="3" a="1"/>
  <c r="AB828" i="3"/>
  <c r="AB829" i="3" a="1"/>
  <c r="AB829" i="3" s="1"/>
  <c r="AB830" i="3" a="1"/>
  <c r="AB830" i="3" s="1"/>
  <c r="AB831" i="3" a="1"/>
  <c r="AB831" i="3" s="1"/>
  <c r="AB832" i="3" a="1"/>
  <c r="AB832" i="3" s="1"/>
  <c r="AB833" i="3" a="1"/>
  <c r="AB833" i="3" s="1"/>
  <c r="AB834" i="3" a="1"/>
  <c r="AB834" i="3" s="1"/>
  <c r="AB835" i="3" a="1"/>
  <c r="AB835" i="3" s="1"/>
  <c r="AB836" i="3" a="1"/>
  <c r="AB836" i="3" s="1"/>
  <c r="AB837" i="3" a="1"/>
  <c r="AB837" i="3" s="1"/>
  <c r="AB838" i="3" a="1"/>
  <c r="AB838" i="3"/>
  <c r="AB839" i="3" a="1"/>
  <c r="AB839" i="3" s="1"/>
  <c r="AB840" i="3" a="1"/>
  <c r="AB840" i="3" s="1"/>
  <c r="AB841" i="3" a="1"/>
  <c r="AB841" i="3" s="1"/>
  <c r="AB842" i="3" a="1"/>
  <c r="AB842" i="3" s="1"/>
  <c r="AB843" i="3" a="1"/>
  <c r="AB843" i="3" s="1"/>
  <c r="AB844" i="3" a="1"/>
  <c r="AB844" i="3" s="1"/>
  <c r="AB845" i="3" a="1"/>
  <c r="AB845" i="3" s="1"/>
  <c r="AB846" i="3" a="1"/>
  <c r="AB846" i="3" s="1"/>
  <c r="AB847" i="3" a="1"/>
  <c r="AB847" i="3" s="1"/>
  <c r="AB848" i="3" a="1"/>
  <c r="AB848" i="3" s="1"/>
  <c r="AB849" i="3" a="1"/>
  <c r="AB849" i="3" s="1"/>
  <c r="AB850" i="3" a="1"/>
  <c r="AB850" i="3" s="1"/>
  <c r="AB851" i="3" a="1"/>
  <c r="AB851" i="3" s="1"/>
  <c r="AB852" i="3" a="1"/>
  <c r="AB852" i="3" s="1"/>
  <c r="AB853" i="3" a="1"/>
  <c r="AB853" i="3" s="1"/>
  <c r="AB854" i="3" a="1"/>
  <c r="AB854" i="3" s="1"/>
  <c r="AB855" i="3" a="1"/>
  <c r="AB855" i="3" s="1"/>
  <c r="AB856" i="3" a="1"/>
  <c r="AB856" i="3" s="1"/>
  <c r="AB857" i="3" a="1"/>
  <c r="AB857" i="3" s="1"/>
  <c r="AB858" i="3" a="1"/>
  <c r="AB858" i="3" s="1"/>
  <c r="AB859" i="3" a="1"/>
  <c r="AB859" i="3"/>
  <c r="AB860" i="3" a="1"/>
  <c r="AB860" i="3"/>
  <c r="AB861" i="3" a="1"/>
  <c r="AB861" i="3" s="1"/>
  <c r="AB862" i="3" a="1"/>
  <c r="AB862" i="3" s="1"/>
  <c r="AB863" i="3" a="1"/>
  <c r="AB863" i="3" s="1"/>
  <c r="AB864" i="3" a="1"/>
  <c r="AB864" i="3" s="1"/>
  <c r="AB865" i="3" a="1"/>
  <c r="AB865" i="3" s="1"/>
  <c r="AB866" i="3" a="1"/>
  <c r="AB866" i="3" s="1"/>
  <c r="AB867" i="3" a="1"/>
  <c r="AB867" i="3" s="1"/>
  <c r="AB868" i="3" a="1"/>
  <c r="AB868" i="3" s="1"/>
  <c r="AB869" i="3" a="1"/>
  <c r="AB869" i="3" s="1"/>
  <c r="AB870" i="3" a="1"/>
  <c r="AB870" i="3"/>
  <c r="AB871" i="3" a="1"/>
  <c r="AB871" i="3"/>
  <c r="AB872" i="3" a="1"/>
  <c r="AB872" i="3"/>
  <c r="AB873" i="3" a="1"/>
  <c r="AB873" i="3" s="1"/>
  <c r="AB874" i="3" a="1"/>
  <c r="AB874" i="3" s="1"/>
  <c r="AB875" i="3" a="1"/>
  <c r="AB875" i="3" s="1"/>
  <c r="AB876" i="3" a="1"/>
  <c r="AB876" i="3" s="1"/>
  <c r="AB877" i="3" a="1"/>
  <c r="AB877" i="3" s="1"/>
  <c r="AB878" i="3" a="1"/>
  <c r="AB878" i="3" s="1"/>
  <c r="AB879" i="3" a="1"/>
  <c r="AB879" i="3" s="1"/>
  <c r="AB880" i="3" a="1"/>
  <c r="AB880" i="3" s="1"/>
  <c r="AB881" i="3" a="1"/>
  <c r="AB881" i="3" s="1"/>
  <c r="AB882" i="3" a="1"/>
  <c r="AB882" i="3" s="1"/>
  <c r="AB883" i="3" a="1"/>
  <c r="AB883" i="3" s="1"/>
  <c r="AB884" i="3" a="1"/>
  <c r="AB884" i="3" s="1"/>
  <c r="AB885" i="3" a="1"/>
  <c r="AB885" i="3" s="1"/>
  <c r="AB886" i="3" a="1"/>
  <c r="AB886" i="3" s="1"/>
  <c r="AB887" i="3" a="1"/>
  <c r="AB887" i="3" s="1"/>
  <c r="AB888" i="3" a="1"/>
  <c r="AB888" i="3" s="1"/>
  <c r="AB889" i="3" a="1"/>
  <c r="AB889" i="3" s="1"/>
  <c r="AB890" i="3" a="1"/>
  <c r="AB890" i="3" s="1"/>
  <c r="AB891" i="3" a="1"/>
  <c r="AB891" i="3" s="1"/>
  <c r="AB892" i="3" a="1"/>
  <c r="AB892" i="3" s="1"/>
  <c r="AB893" i="3" a="1"/>
  <c r="AB893" i="3" s="1"/>
  <c r="AB894" i="3" a="1"/>
  <c r="AB894" i="3" s="1"/>
  <c r="AB895" i="3" a="1"/>
  <c r="AB895" i="3" s="1"/>
  <c r="AB896" i="3" a="1"/>
  <c r="AB896" i="3" s="1"/>
  <c r="AB897" i="3" a="1"/>
  <c r="AB897" i="3" s="1"/>
  <c r="AB898" i="3" a="1"/>
  <c r="AB898" i="3" s="1"/>
  <c r="AB899" i="3" a="1"/>
  <c r="AB899" i="3" s="1"/>
  <c r="AB900" i="3" a="1"/>
  <c r="AB900" i="3" s="1"/>
  <c r="AB901" i="3" a="1"/>
  <c r="AB901" i="3" s="1"/>
  <c r="AB902" i="3" a="1"/>
  <c r="AB902" i="3"/>
  <c r="AB903" i="3" a="1"/>
  <c r="AB903" i="3"/>
  <c r="AB904" i="3" a="1"/>
  <c r="AB904" i="3"/>
  <c r="AB905" i="3" a="1"/>
  <c r="AB905" i="3"/>
  <c r="AB906" i="3" a="1"/>
  <c r="AB906" i="3"/>
  <c r="AB907" i="3" a="1"/>
  <c r="AB907" i="3" s="1"/>
  <c r="AB908" i="3" a="1"/>
  <c r="AB908" i="3" s="1"/>
  <c r="AB909" i="3" a="1"/>
  <c r="AB909" i="3" s="1"/>
  <c r="AB910" i="3" a="1"/>
  <c r="AB910" i="3" s="1"/>
  <c r="AB911" i="3" a="1"/>
  <c r="AB911" i="3" s="1"/>
  <c r="AB912" i="3" a="1"/>
  <c r="AB912" i="3" s="1"/>
  <c r="AB913" i="3" a="1"/>
  <c r="AB913" i="3"/>
  <c r="AB914" i="3" a="1"/>
  <c r="AB914" i="3" s="1"/>
  <c r="AB915" i="3" a="1"/>
  <c r="AB915" i="3" s="1"/>
  <c r="AB916" i="3" a="1"/>
  <c r="AB916" i="3" s="1"/>
  <c r="AB917" i="3" a="1"/>
  <c r="AB917" i="3" s="1"/>
  <c r="AB918" i="3" a="1"/>
  <c r="AB918" i="3" s="1"/>
  <c r="AB919" i="3" a="1"/>
  <c r="AB919" i="3" s="1"/>
  <c r="AB920" i="3" a="1"/>
  <c r="AB920" i="3" s="1"/>
  <c r="AB921" i="3" a="1"/>
  <c r="AB921" i="3" s="1"/>
  <c r="AB922" i="3" a="1"/>
  <c r="AB922" i="3" s="1"/>
  <c r="AB923" i="3" a="1"/>
  <c r="AB923" i="3" s="1"/>
  <c r="AB924" i="3" a="1"/>
  <c r="AB924" i="3" s="1"/>
  <c r="AB925" i="3" a="1"/>
  <c r="AB925" i="3" s="1"/>
  <c r="AB926" i="3" a="1"/>
  <c r="AB926" i="3" s="1"/>
  <c r="AB927" i="3" a="1"/>
  <c r="AB927" i="3" s="1"/>
  <c r="AB928" i="3" a="1"/>
  <c r="AB928" i="3" s="1"/>
  <c r="AB929" i="3" a="1"/>
  <c r="AB929" i="3" s="1"/>
  <c r="AB930" i="3" a="1"/>
  <c r="AB930" i="3"/>
  <c r="AB931" i="3" a="1"/>
  <c r="AB931" i="3" s="1"/>
  <c r="AB932" i="3" a="1"/>
  <c r="AB932" i="3" s="1"/>
  <c r="AB933" i="3" a="1"/>
  <c r="AB933" i="3" s="1"/>
  <c r="AB934" i="3" a="1"/>
  <c r="AB934" i="3" s="1"/>
  <c r="AB935" i="3" a="1"/>
  <c r="AB935" i="3" s="1"/>
  <c r="AB936" i="3" a="1"/>
  <c r="AB936" i="3" s="1"/>
  <c r="AB937" i="3" a="1"/>
  <c r="AB937" i="3" s="1"/>
  <c r="AB938" i="3" a="1"/>
  <c r="AB938" i="3" s="1"/>
  <c r="AB939" i="3" a="1"/>
  <c r="AB939" i="3" s="1"/>
  <c r="AB940" i="3" a="1"/>
  <c r="AB940" i="3" s="1"/>
  <c r="AB941" i="3" a="1"/>
  <c r="AB941" i="3" s="1"/>
  <c r="AB942" i="3" a="1"/>
  <c r="AB942" i="3"/>
  <c r="AB943" i="3" a="1"/>
  <c r="AB943" i="3"/>
  <c r="AB944" i="3" a="1"/>
  <c r="AB944" i="3" s="1"/>
  <c r="AB945" i="3" a="1"/>
  <c r="AB945" i="3" s="1"/>
  <c r="AB946" i="3" a="1"/>
  <c r="AB946" i="3" s="1"/>
  <c r="AB947" i="3" a="1"/>
  <c r="AB947" i="3" s="1"/>
  <c r="AB948" i="3" a="1"/>
  <c r="AB948" i="3" s="1"/>
  <c r="AB949" i="3" a="1"/>
  <c r="AB949" i="3" s="1"/>
  <c r="AB950" i="3" a="1"/>
  <c r="AB950" i="3" s="1"/>
  <c r="AB951" i="3" a="1"/>
  <c r="AB951" i="3" s="1"/>
  <c r="AB952" i="3" a="1"/>
  <c r="AB952" i="3" s="1"/>
  <c r="AB953" i="3" a="1"/>
  <c r="AB953" i="3"/>
  <c r="AB954" i="3" a="1"/>
  <c r="AB954" i="3"/>
  <c r="AB955" i="3" a="1"/>
  <c r="AB955" i="3"/>
  <c r="AB956" i="3" a="1"/>
  <c r="AB956" i="3"/>
  <c r="AB957" i="3" a="1"/>
  <c r="AB957" i="3" s="1"/>
  <c r="AB958" i="3" a="1"/>
  <c r="AB958" i="3" s="1"/>
  <c r="AB959" i="3" a="1"/>
  <c r="AB959" i="3"/>
  <c r="AB960" i="3" a="1"/>
  <c r="AB960" i="3"/>
  <c r="AB961" i="3" a="1"/>
  <c r="AB961" i="3" s="1"/>
  <c r="AB962" i="3" a="1"/>
  <c r="AB962" i="3" s="1"/>
  <c r="AB963" i="3" a="1"/>
  <c r="AB963" i="3" s="1"/>
  <c r="AB964" i="3" a="1"/>
  <c r="AB964" i="3" s="1"/>
  <c r="AB965" i="3" a="1"/>
  <c r="AB965" i="3" s="1"/>
  <c r="AB966" i="3" a="1"/>
  <c r="AB966" i="3"/>
  <c r="AB967" i="3" a="1"/>
  <c r="AB967" i="3" s="1"/>
  <c r="AB968" i="3" a="1"/>
  <c r="AB968" i="3" s="1"/>
  <c r="AB969" i="3" a="1"/>
  <c r="AB969" i="3"/>
  <c r="AB970" i="3" a="1"/>
  <c r="AB970" i="3"/>
  <c r="AB971" i="3" a="1"/>
  <c r="AB971" i="3"/>
  <c r="AB972" i="3" a="1"/>
  <c r="AB972" i="3" s="1"/>
  <c r="AB973" i="3" a="1"/>
  <c r="AB973" i="3" s="1"/>
  <c r="AB974" i="3" a="1"/>
  <c r="AB974" i="3" s="1"/>
  <c r="AB975" i="3" a="1"/>
  <c r="AB975" i="3" s="1"/>
  <c r="AB976" i="3" a="1"/>
  <c r="AB976" i="3" s="1"/>
  <c r="AB977" i="3" a="1"/>
  <c r="AB977" i="3" s="1"/>
  <c r="AB978" i="3" a="1"/>
  <c r="AB978" i="3" s="1"/>
  <c r="AB979" i="3" a="1"/>
  <c r="AB979" i="3" s="1"/>
  <c r="AB980" i="3" a="1"/>
  <c r="AB980" i="3" s="1"/>
  <c r="AB981" i="3" a="1"/>
  <c r="AB981" i="3" s="1"/>
  <c r="AB982" i="3" a="1"/>
  <c r="AB982" i="3" s="1"/>
  <c r="AB983" i="3" a="1"/>
  <c r="AB983" i="3" s="1"/>
  <c r="AB984" i="3" a="1"/>
  <c r="AB984" i="3" s="1"/>
  <c r="AB985" i="3" a="1"/>
  <c r="AB985" i="3" s="1"/>
  <c r="AB986" i="3" a="1"/>
  <c r="AB986" i="3"/>
  <c r="AB987" i="3" a="1"/>
  <c r="AB987" i="3"/>
  <c r="AB988" i="3" a="1"/>
  <c r="AB988" i="3" s="1"/>
  <c r="AB989" i="3" a="1"/>
  <c r="AB989" i="3" s="1"/>
  <c r="AB990" i="3" a="1"/>
  <c r="AB990" i="3" s="1"/>
  <c r="AB991" i="3" a="1"/>
  <c r="AB991" i="3" s="1"/>
  <c r="AB992" i="3" a="1"/>
  <c r="AB992" i="3" s="1"/>
  <c r="AB993" i="3" a="1"/>
  <c r="AB993" i="3" s="1"/>
  <c r="AB994" i="3" a="1"/>
  <c r="AB994" i="3" s="1"/>
  <c r="AB995" i="3" a="1"/>
  <c r="AB995" i="3" s="1"/>
  <c r="AB996" i="3" a="1"/>
  <c r="AB996" i="3" s="1"/>
  <c r="AB997" i="3" a="1"/>
  <c r="AB997" i="3"/>
  <c r="AB998" i="3" a="1"/>
  <c r="AB998" i="3"/>
  <c r="AB999" i="3" a="1"/>
  <c r="AB999" i="3"/>
  <c r="AB1000" i="3" a="1"/>
  <c r="AB1000" i="3" s="1"/>
  <c r="AB1001" i="3" a="1"/>
  <c r="AB1001" i="3" s="1"/>
  <c r="AB1002" i="3" a="1"/>
  <c r="AB1002" i="3" s="1"/>
  <c r="AB1003" i="3" a="1"/>
  <c r="AB1003" i="3" s="1"/>
  <c r="AB1004" i="3" a="1"/>
  <c r="AB1004" i="3" s="1"/>
  <c r="AB1005" i="3" a="1"/>
  <c r="AB1005" i="3" s="1"/>
  <c r="AB1006" i="3" a="1"/>
  <c r="AB1006" i="3" s="1"/>
  <c r="AB1007" i="3" a="1"/>
  <c r="AB1007" i="3" s="1"/>
  <c r="AB1008" i="3" a="1"/>
  <c r="AB1008" i="3" s="1"/>
  <c r="AB1009" i="3" a="1"/>
  <c r="AB1009" i="3" s="1"/>
  <c r="AB1010" i="3" a="1"/>
  <c r="AB1010" i="3" s="1"/>
  <c r="AB1011" i="3" a="1"/>
  <c r="AB1011" i="3" s="1"/>
  <c r="AB1012" i="3" a="1"/>
  <c r="AB1012" i="3" s="1"/>
  <c r="AB1013" i="3" a="1"/>
  <c r="AB1013" i="3" s="1"/>
  <c r="AB1014" i="3" a="1"/>
  <c r="AB1014" i="3" s="1"/>
  <c r="AB1015" i="3" a="1"/>
  <c r="AB1015" i="3" s="1"/>
  <c r="AB1016" i="3" a="1"/>
  <c r="AB1016" i="3" s="1"/>
  <c r="AB1017" i="3" a="1"/>
  <c r="AB1017" i="3" s="1"/>
  <c r="AB1018" i="3" a="1"/>
  <c r="AB1018" i="3" s="1"/>
  <c r="AB1019" i="3" a="1"/>
  <c r="AB1019" i="3" s="1"/>
  <c r="AB1020" i="3" a="1"/>
  <c r="AB1020" i="3" s="1"/>
  <c r="AB1021" i="3" a="1"/>
  <c r="AB1021" i="3" s="1"/>
  <c r="AB1022" i="3" a="1"/>
  <c r="AB1022" i="3" s="1"/>
  <c r="AB1023" i="3" a="1"/>
  <c r="AB1023" i="3" s="1"/>
  <c r="AB1024" i="3" a="1"/>
  <c r="AB1024" i="3" s="1"/>
  <c r="AB1025" i="3" a="1"/>
  <c r="AB1025" i="3" s="1"/>
  <c r="AB1026" i="3" a="1"/>
  <c r="AB1026" i="3" s="1"/>
  <c r="AB1027" i="3" a="1"/>
  <c r="AB1027" i="3" s="1"/>
  <c r="AB1028" i="3" a="1"/>
  <c r="AB1028" i="3" s="1"/>
  <c r="AB1029" i="3" a="1"/>
  <c r="AB1029" i="3"/>
  <c r="AB1030" i="3" a="1"/>
  <c r="AB1030" i="3"/>
  <c r="AB1031" i="3" a="1"/>
  <c r="AB1031" i="3"/>
  <c r="AB1032" i="3" a="1"/>
  <c r="AB1032" i="3"/>
  <c r="AB1033" i="3" a="1"/>
  <c r="AB1033" i="3"/>
  <c r="AB1034" i="3" a="1"/>
  <c r="AB1034" i="3" s="1"/>
  <c r="AB1035" i="3" a="1"/>
  <c r="AB1035" i="3" s="1"/>
  <c r="AB1036" i="3" a="1"/>
  <c r="AB1036" i="3" s="1"/>
  <c r="AB1037" i="3" a="1"/>
  <c r="AB1037" i="3" s="1"/>
  <c r="AB1038" i="3" a="1"/>
  <c r="AB1038" i="3" s="1"/>
  <c r="AB1039" i="3" a="1"/>
  <c r="AB1039" i="3" s="1"/>
  <c r="AB1040" i="3" a="1"/>
  <c r="AB1040" i="3"/>
  <c r="AB1041" i="3" a="1"/>
  <c r="AB1041" i="3" s="1"/>
  <c r="AB1042" i="3" a="1"/>
  <c r="AB1042" i="3" s="1"/>
  <c r="AB1043" i="3" a="1"/>
  <c r="AB1043" i="3"/>
  <c r="AB1044" i="3" a="1"/>
  <c r="AB1044" i="3" s="1"/>
  <c r="AB1045" i="3" a="1"/>
  <c r="AB1045" i="3" s="1"/>
  <c r="AB1046" i="3" a="1"/>
  <c r="AB1046" i="3"/>
  <c r="AB1047" i="3" a="1"/>
  <c r="AB1047" i="3"/>
  <c r="AB1048" i="3" a="1"/>
  <c r="AB1048" i="3"/>
  <c r="AB1049" i="3" a="1"/>
  <c r="AB1049" i="3"/>
  <c r="AB1050" i="3" a="1"/>
  <c r="AB1050" i="3" s="1"/>
  <c r="AB1051" i="3" a="1"/>
  <c r="AB1051" i="3" s="1"/>
  <c r="AB1052" i="3" a="1"/>
  <c r="AB1052" i="3" s="1"/>
  <c r="AB1053" i="3" a="1"/>
  <c r="AB1053" i="3" s="1"/>
  <c r="AB1054" i="3" a="1"/>
  <c r="AB1054" i="3" s="1"/>
  <c r="AB1055" i="3" a="1"/>
  <c r="AB1055" i="3" s="1"/>
  <c r="AB1056" i="3" a="1"/>
  <c r="AB1056" i="3" s="1"/>
  <c r="AB1057" i="3" a="1"/>
  <c r="AB1057" i="3"/>
  <c r="AB1058" i="3" a="1"/>
  <c r="AB1058" i="3" s="1"/>
  <c r="AB1059" i="3" a="1"/>
  <c r="AB1059" i="3" s="1"/>
  <c r="AB1060" i="3" a="1"/>
  <c r="AB1060" i="3" s="1"/>
  <c r="AB1061" i="3" a="1"/>
  <c r="AB1061" i="3" s="1"/>
  <c r="AB1062" i="3" a="1"/>
  <c r="AB1062" i="3" s="1"/>
  <c r="AB1063" i="3" a="1"/>
  <c r="AB1063" i="3"/>
  <c r="AB1064" i="3" a="1"/>
  <c r="AB1064" i="3" s="1"/>
  <c r="AB1065" i="3" a="1"/>
  <c r="AB1065" i="3" s="1"/>
  <c r="AB1066" i="3" a="1"/>
  <c r="AB1066" i="3" s="1"/>
  <c r="AB1067" i="3" a="1"/>
  <c r="AB1067" i="3"/>
  <c r="AB1068" i="3" a="1"/>
  <c r="AB1068" i="3" s="1"/>
  <c r="AB1069" i="3" a="1"/>
  <c r="AB1069" i="3" s="1"/>
  <c r="AB1070" i="3" a="1"/>
  <c r="AB1070" i="3" s="1"/>
  <c r="AB1071" i="3" a="1"/>
  <c r="AB1071" i="3" s="1"/>
  <c r="AB1072" i="3" a="1"/>
  <c r="AB1072" i="3" s="1"/>
  <c r="AB1073" i="3" a="1"/>
  <c r="AB1073" i="3" s="1"/>
  <c r="AB1074" i="3" a="1"/>
  <c r="AB1074" i="3" s="1"/>
  <c r="AB1075" i="3" a="1"/>
  <c r="AB1075" i="3" s="1"/>
  <c r="AB1076" i="3" a="1"/>
  <c r="AB1076" i="3" s="1"/>
  <c r="AB1077" i="3" a="1"/>
  <c r="AB1077" i="3" s="1"/>
  <c r="AB1078" i="3" a="1"/>
  <c r="AB1078" i="3" s="1"/>
  <c r="AB1079" i="3" a="1"/>
  <c r="AB1079" i="3" s="1"/>
  <c r="AB1080" i="3" a="1"/>
  <c r="AB1080" i="3"/>
  <c r="AB1081" i="3" a="1"/>
  <c r="AB1081" i="3" s="1"/>
  <c r="AB1082" i="3" a="1"/>
  <c r="AB1082" i="3" s="1"/>
  <c r="AB1083" i="3" a="1"/>
  <c r="AB1083" i="3" s="1"/>
  <c r="AB1084" i="3" a="1"/>
  <c r="AB1084" i="3" s="1"/>
  <c r="AB1085" i="3" a="1"/>
  <c r="AB1085" i="3" s="1"/>
  <c r="AB1086" i="3" a="1"/>
  <c r="AB1086" i="3" s="1"/>
  <c r="AB1087" i="3" a="1"/>
  <c r="AB1087" i="3" s="1"/>
  <c r="AB1088" i="3" a="1"/>
  <c r="AB1088" i="3" s="1"/>
  <c r="AB1089" i="3" a="1"/>
  <c r="AB1089" i="3" s="1"/>
  <c r="AB1090" i="3" a="1"/>
  <c r="AB1090" i="3" s="1"/>
  <c r="AB1091" i="3" a="1"/>
  <c r="AB1091" i="3"/>
  <c r="AB1092" i="3" a="1"/>
  <c r="AB1092" i="3" s="1"/>
  <c r="AB1093" i="3" a="1"/>
  <c r="AB1093" i="3" s="1"/>
  <c r="AB1094" i="3" a="1"/>
  <c r="AB1094" i="3" s="1"/>
  <c r="AB1095" i="3" a="1"/>
  <c r="AB1095" i="3" s="1"/>
  <c r="AB1096" i="3" a="1"/>
  <c r="AB1096" i="3" s="1"/>
  <c r="AB1097" i="3" a="1"/>
  <c r="AB1097" i="3"/>
  <c r="AB1098" i="3" a="1"/>
  <c r="AB1098" i="3" s="1"/>
  <c r="AB1099" i="3" a="1"/>
  <c r="AB1099" i="3" s="1"/>
  <c r="AB1100" i="3" a="1"/>
  <c r="AB1100" i="3" s="1"/>
  <c r="AB1101" i="3" a="1"/>
  <c r="AB1101" i="3" s="1"/>
  <c r="AB1102" i="3" a="1"/>
  <c r="AB1102" i="3" s="1"/>
  <c r="AB1103" i="3" a="1"/>
  <c r="AB1103" i="3" s="1"/>
  <c r="AB1104" i="3" a="1"/>
  <c r="AB1104" i="3" s="1"/>
  <c r="AB1105" i="3" a="1"/>
  <c r="AB1105" i="3" s="1"/>
  <c r="AB1106" i="3" a="1"/>
  <c r="AB1106" i="3" s="1"/>
  <c r="AB1107" i="3" a="1"/>
  <c r="AB1107" i="3" s="1"/>
  <c r="AB1108" i="3" a="1"/>
  <c r="AB1108" i="3" s="1"/>
  <c r="AB1109" i="3" a="1"/>
  <c r="AB1109" i="3" s="1"/>
  <c r="AB1110" i="3" a="1"/>
  <c r="AB1110" i="3"/>
  <c r="AB1111" i="3" a="1"/>
  <c r="AB1111" i="3"/>
  <c r="AB1112" i="3" a="1"/>
  <c r="AB1112" i="3"/>
  <c r="AB1113" i="3" a="1"/>
  <c r="AB1113" i="3" s="1"/>
  <c r="AB1114" i="3" a="1"/>
  <c r="AB1114" i="3" s="1"/>
  <c r="AB1115" i="3" a="1"/>
  <c r="AB1115" i="3" s="1"/>
  <c r="AB1116" i="3" a="1"/>
  <c r="AB1116" i="3" s="1"/>
  <c r="AB1117" i="3" a="1"/>
  <c r="AB1117" i="3" s="1"/>
  <c r="AB1118" i="3" a="1"/>
  <c r="AB1118" i="3" s="1"/>
  <c r="AB1119" i="3" a="1"/>
  <c r="AB1119" i="3" s="1"/>
  <c r="AB1120" i="3" a="1"/>
  <c r="AB1120" i="3" s="1"/>
  <c r="AB1121" i="3" a="1"/>
  <c r="AB1121" i="3" s="1"/>
  <c r="AB1122" i="3" a="1"/>
  <c r="AB1122" i="3" s="1"/>
  <c r="AB1123" i="3" a="1"/>
  <c r="AB1123" i="3" s="1"/>
  <c r="AB1124" i="3" a="1"/>
  <c r="AB1124" i="3" s="1"/>
  <c r="AB1125" i="3" a="1"/>
  <c r="AB1125" i="3" s="1"/>
  <c r="AB1126" i="3" a="1"/>
  <c r="AB1126" i="3" s="1"/>
  <c r="AB1127" i="3" a="1"/>
  <c r="AB1127" i="3"/>
  <c r="AB1128" i="3" a="1"/>
  <c r="AB1128" i="3"/>
  <c r="AB1129" i="3" a="1"/>
  <c r="AB1129" i="3"/>
  <c r="AB1130" i="3" a="1"/>
  <c r="AB1130" i="3" s="1"/>
  <c r="AB1131" i="3" a="1"/>
  <c r="AB1131" i="3" s="1"/>
  <c r="AB1132" i="3" a="1"/>
  <c r="AB1132" i="3" s="1"/>
  <c r="AB1133" i="3" a="1"/>
  <c r="AB1133" i="3" s="1"/>
  <c r="AB1134" i="3" a="1"/>
  <c r="AB1134" i="3" s="1"/>
  <c r="AB1135" i="3" a="1"/>
  <c r="AB1135" i="3" s="1"/>
  <c r="AB1136" i="3" a="1"/>
  <c r="AB1136" i="3" s="1"/>
  <c r="AB1137" i="3" a="1"/>
  <c r="AB1137" i="3" s="1"/>
  <c r="AB1138" i="3" a="1"/>
  <c r="AB1138" i="3" s="1"/>
  <c r="AB1139" i="3" a="1"/>
  <c r="AB1139" i="3" s="1"/>
  <c r="AB1140" i="3" a="1"/>
  <c r="AB1140" i="3" s="1"/>
  <c r="AB1141" i="3" a="1"/>
  <c r="AB1141" i="3" s="1"/>
  <c r="AB1142" i="3" a="1"/>
  <c r="AB1142" i="3" s="1"/>
  <c r="AB1143" i="3" a="1"/>
  <c r="AB1143" i="3" s="1"/>
  <c r="AB1144" i="3" a="1"/>
  <c r="AB1144" i="3"/>
  <c r="AB1145" i="3" a="1"/>
  <c r="AB1145" i="3"/>
  <c r="AB1146" i="3" a="1"/>
  <c r="AB1146" i="3"/>
  <c r="AB1147" i="3" a="1"/>
  <c r="AB1147" i="3" s="1"/>
  <c r="AB1148" i="3" a="1"/>
  <c r="AB1148" i="3" s="1"/>
  <c r="AB1149" i="3" a="1"/>
  <c r="AB1149" i="3" s="1"/>
  <c r="AB1150" i="3" a="1"/>
  <c r="AB1150" i="3" s="1"/>
  <c r="AB1151" i="3" a="1"/>
  <c r="AB1151" i="3"/>
  <c r="AB1152" i="3" a="1"/>
  <c r="AB1152" i="3" s="1"/>
  <c r="AB1153" i="3" a="1"/>
  <c r="AB1153" i="3" s="1"/>
  <c r="AB1154" i="3" a="1"/>
  <c r="AB1154" i="3" s="1"/>
  <c r="AB1155" i="3" a="1"/>
  <c r="AB1155" i="3" s="1"/>
  <c r="AB1156" i="3" a="1"/>
  <c r="AB1156" i="3" s="1"/>
  <c r="AB1157" i="3" a="1"/>
  <c r="AB1157" i="3" s="1"/>
  <c r="AB1158" i="3" a="1"/>
  <c r="AB1158" i="3" s="1"/>
  <c r="AB1159" i="3" a="1"/>
  <c r="AB1159" i="3" s="1"/>
  <c r="AB1160" i="3" a="1"/>
  <c r="AB1160" i="3" s="1"/>
  <c r="AB1161" i="3" a="1"/>
  <c r="AB1161" i="3"/>
  <c r="AB1162" i="3" a="1"/>
  <c r="AB1162" i="3"/>
  <c r="AB1163" i="3" a="1"/>
  <c r="AB1163" i="3"/>
  <c r="AB1164" i="3" a="1"/>
  <c r="AB1164" i="3" s="1"/>
  <c r="AB1165" i="3" a="1"/>
  <c r="AB1165" i="3" s="1"/>
  <c r="AB1166" i="3" a="1"/>
  <c r="AB1166" i="3" s="1"/>
  <c r="AB1167" i="3" a="1"/>
  <c r="AB1167" i="3" s="1"/>
  <c r="AB1168" i="3" a="1"/>
  <c r="AB1168" i="3"/>
  <c r="AB1169" i="3" a="1"/>
  <c r="AB1169" i="3" s="1"/>
  <c r="AB1170" i="3" a="1"/>
  <c r="AB1170" i="3" s="1"/>
  <c r="AB1171" i="3" a="1"/>
  <c r="AB1171" i="3" s="1"/>
  <c r="AB1172" i="3" a="1"/>
  <c r="AB1172" i="3" s="1"/>
  <c r="AB1173" i="3" a="1"/>
  <c r="AB1173" i="3" s="1"/>
  <c r="AB1174" i="3" a="1"/>
  <c r="AB1174" i="3" s="1"/>
  <c r="AB1175" i="3" a="1"/>
  <c r="AB1175" i="3" s="1"/>
  <c r="AB1176" i="3" a="1"/>
  <c r="AB1176" i="3" s="1"/>
  <c r="AB1177" i="3" a="1"/>
  <c r="AB1177" i="3" s="1"/>
  <c r="AB1178" i="3" a="1"/>
  <c r="AB1178" i="3"/>
  <c r="AB1179" i="3" a="1"/>
  <c r="AB1179" i="3"/>
  <c r="AB1180" i="3" a="1"/>
  <c r="AB1180" i="3" s="1"/>
  <c r="AB1181" i="3" a="1"/>
  <c r="AB1181" i="3" s="1"/>
  <c r="AB1182" i="3" a="1"/>
  <c r="AB1182" i="3" s="1"/>
  <c r="AB1183" i="3" a="1"/>
  <c r="AB1183" i="3" s="1"/>
  <c r="AB1184" i="3" a="1"/>
  <c r="AB1184" i="3" s="1"/>
  <c r="AB1185" i="3" a="1"/>
  <c r="AB1185" i="3" s="1"/>
  <c r="AB1186" i="3" a="1"/>
  <c r="AB1186" i="3" s="1"/>
  <c r="AB1187" i="3" a="1"/>
  <c r="AB1187" i="3" s="1"/>
  <c r="AB1188" i="3" a="1"/>
  <c r="AB1188" i="3" s="1"/>
  <c r="AB1189" i="3" a="1"/>
  <c r="AB1189" i="3"/>
  <c r="AB1190" i="3" a="1"/>
  <c r="AB1190" i="3" s="1"/>
  <c r="AB1191" i="3" a="1"/>
  <c r="AB1191" i="3" s="1"/>
  <c r="AB1192" i="3" a="1"/>
  <c r="AB1192" i="3" s="1"/>
  <c r="AB1193" i="3" a="1"/>
  <c r="AB1193" i="3" s="1"/>
  <c r="AB1194" i="3" a="1"/>
  <c r="AB1194" i="3" s="1"/>
  <c r="AB1195" i="3" a="1"/>
  <c r="AB1195" i="3"/>
  <c r="AB1196" i="3" a="1"/>
  <c r="AB1196" i="3" s="1"/>
  <c r="AB1197" i="3" a="1"/>
  <c r="AB1197" i="3" s="1"/>
  <c r="AB1198" i="3" a="1"/>
  <c r="AB1198" i="3" s="1"/>
  <c r="AB1199" i="3" a="1"/>
  <c r="AB1199" i="3" s="1"/>
  <c r="AB1200" i="3" a="1"/>
  <c r="AB1200" i="3" s="1"/>
  <c r="AB1201" i="3" a="1"/>
  <c r="AB1201" i="3" s="1"/>
  <c r="AB1202" i="3" a="1"/>
  <c r="AB1202" i="3"/>
  <c r="AB1203" i="3" a="1"/>
  <c r="AB1203" i="3" s="1"/>
  <c r="AB1204" i="3" a="1"/>
  <c r="AB1204" i="3" s="1"/>
  <c r="AB1205" i="3" a="1"/>
  <c r="AB1205" i="3"/>
  <c r="AB1206" i="3" a="1"/>
  <c r="AB1206" i="3"/>
  <c r="AB1207" i="3" a="1"/>
  <c r="AB1207" i="3" s="1"/>
  <c r="AB1208" i="3" a="1"/>
  <c r="AB1208" i="3" s="1"/>
  <c r="AB1209" i="3" a="1"/>
  <c r="AB1209" i="3" s="1"/>
  <c r="AB1210" i="3" a="1"/>
  <c r="AB1210" i="3" s="1"/>
  <c r="AB1211" i="3" a="1"/>
  <c r="AB1211" i="3" s="1"/>
  <c r="AB1212" i="3" a="1"/>
  <c r="AB1212" i="3" s="1"/>
  <c r="AB1213" i="3" a="1"/>
  <c r="AB1213" i="3" s="1"/>
  <c r="AB1214" i="3" a="1"/>
  <c r="AB1214" i="3" s="1"/>
  <c r="AB1215" i="3" a="1"/>
  <c r="AB1215" i="3" s="1"/>
  <c r="AB1216" i="3" a="1"/>
  <c r="AB1216" i="3" s="1"/>
  <c r="AB1217" i="3" a="1"/>
  <c r="AB1217" i="3" s="1"/>
  <c r="AB1218" i="3" a="1"/>
  <c r="AB1218" i="3" s="1"/>
  <c r="AB1219" i="3" a="1"/>
  <c r="AB1219" i="3" s="1"/>
  <c r="AB1220" i="3" a="1"/>
  <c r="AB1220" i="3" s="1"/>
  <c r="AB1221" i="3" a="1"/>
  <c r="AB1221" i="3"/>
  <c r="AB1222" i="3" a="1"/>
  <c r="AB1222" i="3"/>
  <c r="AB1223" i="3" a="1"/>
  <c r="AB1223" i="3"/>
  <c r="AB1224" i="3" a="1"/>
  <c r="AB1224" i="3" s="1"/>
  <c r="AB1225" i="3" a="1"/>
  <c r="AB1225" i="3" s="1"/>
  <c r="AB1226" i="3" a="1"/>
  <c r="AB1226" i="3" s="1"/>
  <c r="AB1227" i="3" a="1"/>
  <c r="AB1227" i="3" s="1"/>
  <c r="AB1228" i="3" a="1"/>
  <c r="AB1228" i="3" s="1"/>
  <c r="AB1229" i="3" a="1"/>
  <c r="AB1229" i="3" s="1"/>
  <c r="AB1230" i="3" a="1"/>
  <c r="AB1230" i="3" s="1"/>
  <c r="AB1231" i="3" a="1"/>
  <c r="AB1231" i="3" s="1"/>
  <c r="AB1232" i="3" a="1"/>
  <c r="AB1232" i="3" s="1"/>
  <c r="AB1233" i="3" a="1"/>
  <c r="AB1233" i="3" s="1"/>
  <c r="AB1234" i="3" a="1"/>
  <c r="AB1234" i="3" s="1"/>
  <c r="AB1235" i="3" a="1"/>
  <c r="AB1235" i="3" s="1"/>
  <c r="AB1236" i="3" a="1"/>
  <c r="AB1236" i="3" s="1"/>
  <c r="AB1237" i="3" a="1"/>
  <c r="AB1237" i="3" s="1"/>
  <c r="AB1238" i="3" a="1"/>
  <c r="AB1238" i="3" s="1"/>
  <c r="AB1239" i="3" a="1"/>
  <c r="AB1239" i="3" s="1"/>
  <c r="AB1240" i="3" a="1"/>
  <c r="AB1240" i="3" s="1"/>
  <c r="AB1241" i="3" a="1"/>
  <c r="AB1241" i="3" s="1"/>
  <c r="AB1242" i="3" a="1"/>
  <c r="AB1242" i="3"/>
  <c r="AB1243" i="3" a="1"/>
  <c r="AB1243" i="3" s="1"/>
  <c r="AB1244" i="3" a="1"/>
  <c r="AB1244" i="3" s="1"/>
  <c r="AB1245" i="3" a="1"/>
  <c r="AB1245" i="3"/>
  <c r="AB1246" i="3" a="1"/>
  <c r="AB1246" i="3" s="1"/>
  <c r="AB1247" i="3" a="1"/>
  <c r="AB1247" i="3" s="1"/>
  <c r="AB1248" i="3" a="1"/>
  <c r="AB1248" i="3" s="1"/>
  <c r="AB1249" i="3" a="1"/>
  <c r="AB1249" i="3" s="1"/>
  <c r="AB1250" i="3" a="1"/>
  <c r="AB1250" i="3" s="1"/>
  <c r="AB1251" i="3" a="1"/>
  <c r="AB1251" i="3" s="1"/>
  <c r="AB1252" i="3" a="1"/>
  <c r="AB1252" i="3" s="1"/>
  <c r="AB1253" i="3" a="1"/>
  <c r="AB1253" i="3" s="1"/>
  <c r="AB1254" i="3" a="1"/>
  <c r="AB1254" i="3" s="1"/>
  <c r="AB1255" i="3" a="1"/>
  <c r="AB1255" i="3" s="1"/>
  <c r="AB1256" i="3" a="1"/>
  <c r="AB1256" i="3" s="1"/>
  <c r="AB1257" i="3" a="1"/>
  <c r="AB1257" i="3" s="1"/>
  <c r="AB1258" i="3" a="1"/>
  <c r="AB1258" i="3" s="1"/>
  <c r="AB1259" i="3" a="1"/>
  <c r="AB1259" i="3"/>
  <c r="AB1260" i="3" a="1"/>
  <c r="AB1260" i="3" s="1"/>
  <c r="AB1261" i="3" a="1"/>
  <c r="AB1261" i="3" s="1"/>
  <c r="AB1262" i="3" a="1"/>
  <c r="AB1262" i="3"/>
  <c r="AB1263" i="3" a="1"/>
  <c r="AB1263" i="3" s="1"/>
  <c r="AB1264" i="3" a="1"/>
  <c r="AB1264" i="3" s="1"/>
  <c r="AB1265" i="3" a="1"/>
  <c r="AB1265" i="3" s="1"/>
  <c r="AB1266" i="3" a="1"/>
  <c r="AB1266" i="3" s="1"/>
  <c r="AB1267" i="3" a="1"/>
  <c r="AB1267" i="3" s="1"/>
  <c r="AB1268" i="3" a="1"/>
  <c r="AB1268" i="3" s="1"/>
  <c r="AB1269" i="3" a="1"/>
  <c r="AB1269" i="3" s="1"/>
  <c r="AB1270" i="3" a="1"/>
  <c r="AB1270" i="3" s="1"/>
  <c r="AB1271" i="3" a="1"/>
  <c r="AB1271" i="3" s="1"/>
  <c r="AB1272" i="3" a="1"/>
  <c r="AB1272" i="3" s="1"/>
  <c r="AB1273" i="3" a="1"/>
  <c r="AB1273" i="3" s="1"/>
  <c r="AB1274" i="3" a="1"/>
  <c r="AB1274" i="3" s="1"/>
  <c r="AB1275" i="3" a="1"/>
  <c r="AB1275" i="3" s="1"/>
  <c r="AB1276" i="3" a="1"/>
  <c r="AB1276" i="3" s="1"/>
  <c r="AB1277" i="3" a="1"/>
  <c r="AB1277" i="3" s="1"/>
  <c r="AB1278" i="3" a="1"/>
  <c r="AB1278" i="3" s="1"/>
  <c r="AB1279" i="3" a="1"/>
  <c r="AB1279" i="3" s="1"/>
  <c r="AB1280" i="3" a="1"/>
  <c r="AB1280" i="3" s="1"/>
  <c r="AB1281" i="3" a="1"/>
  <c r="AB1281" i="3" s="1"/>
  <c r="AB1282" i="3" a="1"/>
  <c r="AB1282" i="3" s="1"/>
  <c r="AB1283" i="3" a="1"/>
  <c r="AB1283" i="3" s="1"/>
  <c r="AB1284" i="3" a="1"/>
  <c r="AB1284" i="3" s="1"/>
  <c r="AB1285" i="3" a="1"/>
  <c r="AB1285" i="3"/>
  <c r="AB1286" i="3" a="1"/>
  <c r="AB1286" i="3" s="1"/>
  <c r="AB1287" i="3" a="1"/>
  <c r="AB1287" i="3" s="1"/>
  <c r="AB1288" i="3" a="1"/>
  <c r="AB1288" i="3" s="1"/>
  <c r="AB1289" i="3" a="1"/>
  <c r="AB1289" i="3" s="1"/>
  <c r="AB1290" i="3" a="1"/>
  <c r="AB1290" i="3" s="1"/>
  <c r="AB1291" i="3" a="1"/>
  <c r="AB1291" i="3" s="1"/>
  <c r="AB1292" i="3" a="1"/>
  <c r="AB1292" i="3" s="1"/>
  <c r="AB1293" i="3" a="1"/>
  <c r="AB1293" i="3" s="1"/>
  <c r="AB1294" i="3" a="1"/>
  <c r="AB1294" i="3" s="1"/>
  <c r="AB1295" i="3" a="1"/>
  <c r="AB1295" i="3" s="1"/>
  <c r="AB1296" i="3" a="1"/>
  <c r="AB1296" i="3" s="1"/>
  <c r="AB1297" i="3" a="1"/>
  <c r="AB1297" i="3" s="1"/>
  <c r="AB1298" i="3" a="1"/>
  <c r="AB1298" i="3" s="1"/>
  <c r="AB1299" i="3" a="1"/>
  <c r="AB1299" i="3" s="1"/>
  <c r="AB1300" i="3" a="1"/>
  <c r="AB1300" i="3" s="1"/>
  <c r="AB1301" i="3" a="1"/>
  <c r="AB1301" i="3" s="1"/>
  <c r="AB1302" i="3" a="1"/>
  <c r="AB1302" i="3"/>
  <c r="AB1303" i="3" a="1"/>
  <c r="AB1303" i="3" s="1"/>
  <c r="AB1304" i="3" a="1"/>
  <c r="AB1304" i="3" s="1"/>
  <c r="AB1305" i="3" a="1"/>
  <c r="AB1305" i="3" s="1"/>
  <c r="AB1306" i="3" a="1"/>
  <c r="AB1306" i="3" s="1"/>
  <c r="AB1307" i="3" a="1"/>
  <c r="AB1307" i="3" s="1"/>
  <c r="AB1308" i="3" a="1"/>
  <c r="AB1308" i="3" s="1"/>
  <c r="AB1309" i="3" a="1"/>
  <c r="AB1309" i="3" s="1"/>
  <c r="AB1310" i="3" a="1"/>
  <c r="AB1310" i="3" s="1"/>
  <c r="AB1311" i="3" a="1"/>
  <c r="AB1311" i="3" s="1"/>
  <c r="AB1312" i="3" a="1"/>
  <c r="AB1312" i="3" s="1"/>
  <c r="AB1313" i="3" a="1"/>
  <c r="AB1313" i="3"/>
  <c r="AB1314" i="3" a="1"/>
  <c r="AB1314" i="3" s="1"/>
  <c r="AB1315" i="3" a="1"/>
  <c r="AB1315" i="3" s="1"/>
  <c r="AB1316" i="3" a="1"/>
  <c r="AB1316" i="3" s="1"/>
  <c r="AB1317" i="3" a="1"/>
  <c r="AB1317" i="3" s="1"/>
  <c r="AB1318" i="3" a="1"/>
  <c r="AB1318" i="3" s="1"/>
  <c r="AB1319" i="3" a="1"/>
  <c r="AB1319" i="3"/>
  <c r="AB1320" i="3" a="1"/>
  <c r="AB1320" i="3" s="1"/>
  <c r="AB1321" i="3" a="1"/>
  <c r="AB1321" i="3" s="1"/>
  <c r="AB1322" i="3" a="1"/>
  <c r="AB1322" i="3" s="1"/>
  <c r="AB1323" i="3" a="1"/>
  <c r="AB1323" i="3" s="1"/>
  <c r="AB1324" i="3" a="1"/>
  <c r="AB1324" i="3" s="1"/>
  <c r="AB1325" i="3" a="1"/>
  <c r="AB1325" i="3" s="1"/>
  <c r="AB1326" i="3" a="1"/>
  <c r="AB1326" i="3" s="1"/>
  <c r="AB1327" i="3" a="1"/>
  <c r="AB1327" i="3" s="1"/>
  <c r="AB1328" i="3" a="1"/>
  <c r="AB1328" i="3" s="1"/>
  <c r="AB1329" i="3" a="1"/>
  <c r="AB1329" i="3" s="1"/>
  <c r="AB1330" i="3" a="1"/>
  <c r="AB1330" i="3" s="1"/>
  <c r="AB1331" i="3" a="1"/>
  <c r="AB1331" i="3" s="1"/>
  <c r="AB1332" i="3" a="1"/>
  <c r="AB1332" i="3" s="1"/>
  <c r="AB1333" i="3" a="1"/>
  <c r="AB1333" i="3" s="1"/>
  <c r="AB1334" i="3" a="1"/>
  <c r="AB1334" i="3" s="1"/>
  <c r="AB1335" i="3" a="1"/>
  <c r="AB1335" i="3" s="1"/>
  <c r="AB1336" i="3" a="1"/>
  <c r="AB1336" i="3"/>
  <c r="AB1337" i="3" a="1"/>
  <c r="AB1337" i="3" s="1"/>
  <c r="AB1338" i="3" a="1"/>
  <c r="AB1338" i="3" s="1"/>
  <c r="AB1339" i="3" a="1"/>
  <c r="AB1339" i="3" s="1"/>
  <c r="AB1340" i="3" a="1"/>
  <c r="AB1340" i="3" s="1"/>
  <c r="AB1341" i="3" a="1"/>
  <c r="AB1341" i="3" s="1"/>
  <c r="AB1342" i="3" a="1"/>
  <c r="AB1342" i="3" s="1"/>
  <c r="AB1343" i="3" a="1"/>
  <c r="AB1343" i="3" s="1"/>
  <c r="AB1344" i="3" a="1"/>
  <c r="AB1344" i="3" s="1"/>
  <c r="AB1345" i="3" a="1"/>
  <c r="AB1345" i="3" s="1"/>
  <c r="AB1346" i="3" a="1"/>
  <c r="AB1346" i="3" s="1"/>
  <c r="AB1347" i="3" a="1"/>
  <c r="AB1347" i="3"/>
  <c r="AB1348" i="3" a="1"/>
  <c r="AB1348" i="3" s="1"/>
  <c r="AB1349" i="3" a="1"/>
  <c r="AB1349" i="3" s="1"/>
  <c r="AB1350" i="3" a="1"/>
  <c r="AB1350" i="3" s="1"/>
  <c r="AB1351" i="3" a="1"/>
  <c r="AB1351" i="3" s="1"/>
  <c r="AB1352" i="3" a="1"/>
  <c r="AB1352" i="3" s="1"/>
  <c r="AB1353" i="3" a="1"/>
  <c r="AB1353" i="3"/>
  <c r="AB1354" i="3" a="1"/>
  <c r="AB1354" i="3" s="1"/>
  <c r="AB1355" i="3" a="1"/>
  <c r="AB1355" i="3" s="1"/>
  <c r="AB1356" i="3" a="1"/>
  <c r="AB1356" i="3" s="1"/>
  <c r="AB1357" i="3" a="1"/>
  <c r="AB1357" i="3" s="1"/>
  <c r="AB1358" i="3" a="1"/>
  <c r="AB1358" i="3" s="1"/>
  <c r="AB1359" i="3" a="1"/>
  <c r="AB1359" i="3" s="1"/>
  <c r="AB1360" i="3" a="1"/>
  <c r="AB1360" i="3" s="1"/>
  <c r="AB1361" i="3" a="1"/>
  <c r="AB1361" i="3" s="1"/>
  <c r="AB1362" i="3" a="1"/>
  <c r="AB1362" i="3" s="1"/>
  <c r="AB1363" i="3" a="1"/>
  <c r="AB1363" i="3" s="1"/>
  <c r="AB1364" i="3" a="1"/>
  <c r="AB1364" i="3" s="1"/>
  <c r="AB1365" i="3" a="1"/>
  <c r="AB1365" i="3" s="1"/>
  <c r="AB1366" i="3" a="1"/>
  <c r="AB1366" i="3"/>
  <c r="AB1367" i="3" a="1"/>
  <c r="AB1367" i="3"/>
  <c r="AB1368" i="3" a="1"/>
  <c r="AB1368" i="3"/>
  <c r="AB1369" i="3" a="1"/>
  <c r="AB1369" i="3" s="1"/>
  <c r="AB1370" i="3" a="1"/>
  <c r="AB1370" i="3" s="1"/>
  <c r="AB1371" i="3" a="1"/>
  <c r="AB1371" i="3" s="1"/>
  <c r="AB1372" i="3" a="1"/>
  <c r="AB1372" i="3" s="1"/>
  <c r="AB1373" i="3" a="1"/>
  <c r="AB1373" i="3" s="1"/>
  <c r="AB1374" i="3" a="1"/>
  <c r="AB1374" i="3" s="1"/>
  <c r="AB1375" i="3" a="1"/>
  <c r="AB1375" i="3" s="1"/>
  <c r="AB1376" i="3" a="1"/>
  <c r="AB1376" i="3" s="1"/>
  <c r="AB1377" i="3" a="1"/>
  <c r="AB1377" i="3" s="1"/>
  <c r="AB1378" i="3" a="1"/>
  <c r="AB1378" i="3" s="1"/>
  <c r="AB1379" i="3" a="1"/>
  <c r="AB1379" i="3" s="1"/>
  <c r="AB1380" i="3" a="1"/>
  <c r="AB1380" i="3" s="1"/>
  <c r="AB1381" i="3" a="1"/>
  <c r="AB1381" i="3" s="1"/>
  <c r="AB1382" i="3" a="1"/>
  <c r="AB1382" i="3" s="1"/>
  <c r="AB1383" i="3" a="1"/>
  <c r="AB1383" i="3"/>
  <c r="AB1384" i="3" a="1"/>
  <c r="AB1384" i="3"/>
  <c r="AB1385" i="3" a="1"/>
  <c r="AB1385" i="3"/>
  <c r="AB1386" i="3" a="1"/>
  <c r="AB1386" i="3" s="1"/>
  <c r="AB1387" i="3" a="1"/>
  <c r="AB1387" i="3" s="1"/>
  <c r="AB1388" i="3" a="1"/>
  <c r="AB1388" i="3" s="1"/>
  <c r="AB1389" i="3" a="1"/>
  <c r="AB1389" i="3" s="1"/>
  <c r="AB1390" i="3" a="1"/>
  <c r="AB1390" i="3" s="1"/>
  <c r="AB1391" i="3" a="1"/>
  <c r="AB1391" i="3" s="1"/>
  <c r="AB1392" i="3" a="1"/>
  <c r="AB1392" i="3" s="1"/>
  <c r="AB1393" i="3" a="1"/>
  <c r="AB1393" i="3" s="1"/>
  <c r="AB1394" i="3" a="1"/>
  <c r="AB1394" i="3" s="1"/>
  <c r="AB1395" i="3" a="1"/>
  <c r="AB1395" i="3" s="1"/>
  <c r="AB1396" i="3" a="1"/>
  <c r="AB1396" i="3" s="1"/>
  <c r="AB1397" i="3" a="1"/>
  <c r="AB1397" i="3" s="1"/>
  <c r="AB1398" i="3" a="1"/>
  <c r="AB1398" i="3" s="1"/>
  <c r="AB1399" i="3" a="1"/>
  <c r="AB1399" i="3" s="1"/>
  <c r="AB1400" i="3" a="1"/>
  <c r="AB1400" i="3"/>
  <c r="AB1401" i="3" a="1"/>
  <c r="AB1401" i="3"/>
  <c r="AB1402" i="3" a="1"/>
  <c r="AB1402" i="3"/>
  <c r="AB1403" i="3" a="1"/>
  <c r="AB1403" i="3" s="1"/>
  <c r="AB1404" i="3" a="1"/>
  <c r="AB1404" i="3" s="1"/>
  <c r="AB1405" i="3" a="1"/>
  <c r="AB1405" i="3" s="1"/>
  <c r="AB1406" i="3" a="1"/>
  <c r="AB1406" i="3" s="1"/>
  <c r="AB1407" i="3" a="1"/>
  <c r="AB1407" i="3"/>
  <c r="AB1408" i="3" a="1"/>
  <c r="AB1408" i="3" s="1"/>
  <c r="AB1409" i="3" a="1"/>
  <c r="AB1409" i="3" s="1"/>
  <c r="AB1410" i="3" a="1"/>
  <c r="AB1410" i="3" s="1"/>
  <c r="AB1411" i="3" a="1"/>
  <c r="AB1411" i="3" s="1"/>
  <c r="AB1412" i="3" a="1"/>
  <c r="AB1412" i="3" s="1"/>
  <c r="AB1413" i="3" a="1"/>
  <c r="AB1413" i="3" s="1"/>
  <c r="AB1414" i="3" a="1"/>
  <c r="AB1414" i="3" s="1"/>
  <c r="AB1415" i="3" a="1"/>
  <c r="AB1415" i="3" s="1"/>
  <c r="AB1416" i="3" a="1"/>
  <c r="AB1416" i="3" s="1"/>
  <c r="AB1417" i="3" a="1"/>
  <c r="AB1417" i="3"/>
  <c r="AB1418" i="3" a="1"/>
  <c r="AB1418" i="3"/>
  <c r="AB1419" i="3" a="1"/>
  <c r="AB1419" i="3"/>
  <c r="AB1420" i="3" a="1"/>
  <c r="AB1420" i="3" s="1"/>
  <c r="AB1421" i="3" a="1"/>
  <c r="AB1421" i="3" s="1"/>
  <c r="AB1422" i="3" a="1"/>
  <c r="AB1422" i="3" s="1"/>
  <c r="AB1423" i="3" a="1"/>
  <c r="AB1423" i="3" s="1"/>
  <c r="AB1424" i="3" a="1"/>
  <c r="AB1424" i="3"/>
  <c r="AB1425" i="3" a="1"/>
  <c r="AB1425" i="3" s="1"/>
  <c r="AB1426" i="3" a="1"/>
  <c r="AB1426" i="3" s="1"/>
  <c r="AB1427" i="3" a="1"/>
  <c r="AB1427" i="3" s="1"/>
  <c r="AB1428" i="3" a="1"/>
  <c r="AB1428" i="3" s="1"/>
  <c r="AB1429" i="3" a="1"/>
  <c r="AB1429" i="3" s="1"/>
  <c r="AB1430" i="3" a="1"/>
  <c r="AB1430" i="3" s="1"/>
  <c r="AB1431" i="3" a="1"/>
  <c r="AB1431" i="3" s="1"/>
  <c r="AB1432" i="3" a="1"/>
  <c r="AB1432" i="3" s="1"/>
  <c r="AB1433" i="3" a="1"/>
  <c r="AB1433" i="3" s="1"/>
  <c r="AB1434" i="3" a="1"/>
  <c r="AB1434" i="3"/>
  <c r="AB1435" i="3" a="1"/>
  <c r="AB1435" i="3"/>
  <c r="AB1436" i="3" a="1"/>
  <c r="AB1436" i="3" s="1"/>
  <c r="AB1437" i="3" a="1"/>
  <c r="AB1437" i="3" s="1"/>
  <c r="AB1438" i="3" a="1"/>
  <c r="AB1438" i="3" s="1"/>
  <c r="AB1439" i="3" a="1"/>
  <c r="AB1439" i="3" s="1"/>
  <c r="AB1440" i="3" a="1"/>
  <c r="AB1440" i="3" s="1"/>
  <c r="AB1441" i="3" a="1"/>
  <c r="AB1441" i="3" s="1"/>
  <c r="AB1442" i="3" a="1"/>
  <c r="AB1442" i="3" s="1"/>
  <c r="AB1443" i="3" a="1"/>
  <c r="AB1443" i="3" s="1"/>
  <c r="AB1444" i="3" a="1"/>
  <c r="AB1444" i="3" s="1"/>
  <c r="AB1445" i="3" a="1"/>
  <c r="AB1445" i="3"/>
  <c r="AB1446" i="3" a="1"/>
  <c r="AB1446" i="3" s="1"/>
  <c r="AB1447" i="3" a="1"/>
  <c r="AB1447" i="3" s="1"/>
  <c r="AB1448" i="3" a="1"/>
  <c r="AB1448" i="3" s="1"/>
  <c r="AB1449" i="3" a="1"/>
  <c r="AB1449" i="3" s="1"/>
  <c r="AB1450" i="3" a="1"/>
  <c r="AB1450" i="3" s="1"/>
  <c r="AB1451" i="3" a="1"/>
  <c r="AB1451" i="3"/>
  <c r="AB1452" i="3" a="1"/>
  <c r="AB1452" i="3" s="1"/>
  <c r="AB1453" i="3" a="1"/>
  <c r="AB1453" i="3" s="1"/>
  <c r="AB1454" i="3" a="1"/>
  <c r="AB1454" i="3" s="1"/>
  <c r="AB1455" i="3" a="1"/>
  <c r="AB1455" i="3" s="1"/>
  <c r="AB1456" i="3" a="1"/>
  <c r="AB1456" i="3" s="1"/>
  <c r="AB1457" i="3" a="1"/>
  <c r="AB1457" i="3"/>
  <c r="AB1458" i="3" a="1"/>
  <c r="AB1458" i="3" s="1"/>
  <c r="AB1459" i="3" a="1"/>
  <c r="AB1459" i="3" s="1"/>
  <c r="AB1460" i="3" a="1"/>
  <c r="AB1460" i="3"/>
  <c r="AB1461" i="3" a="1"/>
  <c r="AB1461" i="3"/>
  <c r="AB1462" i="3" a="1"/>
  <c r="AB1462" i="3" s="1"/>
  <c r="AB1463" i="3" a="1"/>
  <c r="AB1463" i="3" s="1"/>
  <c r="AB1464" i="3" a="1"/>
  <c r="AB1464" i="3" s="1"/>
  <c r="AB1465" i="3" a="1"/>
  <c r="AB1465" i="3" s="1"/>
  <c r="AB1466" i="3" a="1"/>
  <c r="AB1466" i="3" s="1"/>
  <c r="AB1467" i="3" a="1"/>
  <c r="AB1467" i="3" s="1"/>
  <c r="AB1468" i="3" a="1"/>
  <c r="AB1468" i="3" s="1"/>
  <c r="AB1469" i="3" a="1"/>
  <c r="AB1469" i="3" s="1"/>
  <c r="AB1470" i="3" a="1"/>
  <c r="AB1470" i="3" s="1"/>
  <c r="AB1471" i="3" a="1"/>
  <c r="AB1471" i="3" s="1"/>
  <c r="AB1472" i="3" a="1"/>
  <c r="AB1472" i="3" s="1"/>
  <c r="AB1473" i="3" a="1"/>
  <c r="AB1473" i="3" s="1"/>
  <c r="AB1474" i="3" a="1"/>
  <c r="AB1474" i="3"/>
  <c r="AB1475" i="3" a="1"/>
  <c r="AB1475" i="3" s="1"/>
  <c r="AB1476" i="3" a="1"/>
  <c r="AB1476" i="3" s="1"/>
  <c r="AB1477" i="3" a="1"/>
  <c r="AB1477" i="3" s="1"/>
  <c r="AB1478" i="3" a="1"/>
  <c r="AB1478" i="3" s="1"/>
  <c r="AB1479" i="3" a="1"/>
  <c r="AB1479" i="3" s="1"/>
  <c r="AB1480" i="3" a="1"/>
  <c r="AB1480" i="3"/>
  <c r="AB1481" i="3" a="1"/>
  <c r="AB1481" i="3" s="1"/>
  <c r="AB1482" i="3" a="1"/>
  <c r="AB1482" i="3" s="1"/>
  <c r="AB1483" i="3" a="1"/>
  <c r="AB1483" i="3" s="1"/>
  <c r="AB1484" i="3" a="1"/>
  <c r="AB1484" i="3" s="1"/>
  <c r="AB1485" i="3" a="1"/>
  <c r="AB1485" i="3" s="1"/>
  <c r="AB1486" i="3" a="1"/>
  <c r="AB1486" i="3" s="1"/>
  <c r="AB1487" i="3" a="1"/>
  <c r="AB1487" i="3"/>
  <c r="AB1488" i="3" a="1"/>
  <c r="AB1488" i="3" s="1"/>
  <c r="AB1489" i="3" a="1"/>
  <c r="AB1489" i="3" s="1"/>
  <c r="AB1490" i="3" a="1"/>
  <c r="AB1490" i="3" s="1"/>
  <c r="AB1491" i="3" a="1"/>
  <c r="AB1491" i="3" s="1"/>
  <c r="AB1492" i="3" a="1"/>
  <c r="AB1492" i="3" s="1"/>
  <c r="AB1493" i="3" a="1"/>
  <c r="AB1493" i="3" s="1"/>
  <c r="AB1494" i="3" a="1"/>
  <c r="AB1494" i="3" s="1"/>
  <c r="AB1495" i="3" a="1"/>
  <c r="AB1495" i="3" s="1"/>
  <c r="AB1496" i="3" a="1"/>
  <c r="AB1496" i="3" s="1"/>
  <c r="AB1497" i="3" a="1"/>
  <c r="AB1497" i="3"/>
  <c r="AB1498" i="3" a="1"/>
  <c r="AB1498" i="3" s="1"/>
  <c r="AB1499" i="3" a="1"/>
  <c r="AB1499" i="3" s="1"/>
  <c r="AB1500" i="3" a="1"/>
  <c r="AB1500" i="3"/>
  <c r="AB1501" i="3" a="1"/>
  <c r="AB1501" i="3" s="1"/>
  <c r="AB1502" i="3" a="1"/>
  <c r="AB1502" i="3" s="1"/>
  <c r="AB1503" i="3" a="1"/>
  <c r="AB1503" i="3" s="1"/>
  <c r="AB1504" i="3" a="1"/>
  <c r="AB1504" i="3" s="1"/>
  <c r="AB1505" i="3" a="1"/>
  <c r="AB1505" i="3" s="1"/>
  <c r="AB1506" i="3" a="1"/>
  <c r="AB1506" i="3" s="1"/>
  <c r="AB1507" i="3" a="1"/>
  <c r="AB1507" i="3" s="1"/>
  <c r="AB1508" i="3" a="1"/>
  <c r="AB1508" i="3" s="1"/>
  <c r="AB1509" i="3" a="1"/>
  <c r="AB1509" i="3" s="1"/>
  <c r="AB1510" i="3" a="1"/>
  <c r="AB1510" i="3"/>
  <c r="AB1511" i="3" a="1"/>
  <c r="AB1511" i="3"/>
  <c r="AB1512" i="3" a="1"/>
  <c r="AB1512" i="3"/>
  <c r="AB1513" i="3" a="1"/>
  <c r="AB1513" i="3" s="1"/>
  <c r="AB1514" i="3" a="1"/>
  <c r="AB1514" i="3" s="1"/>
  <c r="AB1515" i="3" a="1"/>
  <c r="AB1515" i="3" s="1"/>
  <c r="AB1516" i="3" a="1"/>
  <c r="AB1516" i="3" s="1"/>
  <c r="AB1517" i="3" a="1"/>
  <c r="AB1517" i="3" s="1"/>
  <c r="AB1518" i="3" a="1"/>
  <c r="AB1518" i="3" s="1"/>
  <c r="AB1519" i="3" a="1"/>
  <c r="AB1519" i="3" s="1"/>
  <c r="AB1520" i="3" a="1"/>
  <c r="AB1520" i="3" s="1"/>
  <c r="AB1521" i="3" a="1"/>
  <c r="AB1521" i="3"/>
  <c r="AB1522" i="3" a="1"/>
  <c r="AB1522" i="3" s="1"/>
  <c r="AB1523" i="3" a="1"/>
  <c r="AB1523" i="3" s="1"/>
  <c r="AB1524" i="3" a="1"/>
  <c r="AB1524" i="3" s="1"/>
  <c r="AB1525" i="3" a="1"/>
  <c r="AB1525" i="3" s="1"/>
  <c r="AB1526" i="3" a="1"/>
  <c r="AB1526" i="3" s="1"/>
  <c r="AB1527" i="3" a="1"/>
  <c r="AB1527" i="3" s="1"/>
  <c r="AB1528" i="3" a="1"/>
  <c r="AB1528" i="3" s="1"/>
  <c r="AB1529" i="3" a="1"/>
  <c r="AB1529" i="3" s="1"/>
  <c r="AB1530" i="3" a="1"/>
  <c r="AB1530" i="3" s="1"/>
  <c r="AB1531" i="3" a="1"/>
  <c r="AB1531" i="3" s="1"/>
  <c r="AB1532" i="3" a="1"/>
  <c r="AB1532" i="3" s="1"/>
  <c r="AB1533" i="3" a="1"/>
  <c r="AB1533" i="3" s="1"/>
  <c r="AB1534" i="3" a="1"/>
  <c r="AB1534" i="3" s="1"/>
  <c r="AB1535" i="3" a="1"/>
  <c r="AB1535" i="3" s="1"/>
  <c r="AB1536" i="3" a="1"/>
  <c r="AB1536" i="3" s="1"/>
  <c r="AB1537" i="3" a="1"/>
  <c r="AB1537" i="3" s="1"/>
  <c r="AB1538" i="3" a="1"/>
  <c r="AB1538" i="3"/>
  <c r="AB1539" i="3" a="1"/>
  <c r="AB1539" i="3" s="1"/>
  <c r="AB1540" i="3" a="1"/>
  <c r="AB1540" i="3" s="1"/>
  <c r="AB1541" i="3" a="1"/>
  <c r="AB1541" i="3" s="1"/>
  <c r="AB1542" i="3" a="1"/>
  <c r="AB1542" i="3" s="1"/>
  <c r="AB1543" i="3" a="1"/>
  <c r="AB1543" i="3" s="1"/>
  <c r="AB1544" i="3" a="1"/>
  <c r="AB1544" i="3"/>
  <c r="AB1545" i="3" a="1"/>
  <c r="AB1545" i="3"/>
  <c r="AB1546" i="3" a="1"/>
  <c r="AB1546" i="3"/>
  <c r="AB1547" i="3" a="1"/>
  <c r="AB1547" i="3" s="1"/>
  <c r="AB1548" i="3" a="1"/>
  <c r="AB1548" i="3" s="1"/>
  <c r="AB1549" i="3" a="1"/>
  <c r="AB1549" i="3" s="1"/>
  <c r="AB1550" i="3" a="1"/>
  <c r="AB1550" i="3" s="1"/>
  <c r="AB1551" i="3" a="1"/>
  <c r="AB1551" i="3"/>
  <c r="AB1552" i="3" a="1"/>
  <c r="AB1552" i="3" s="1"/>
  <c r="AB1553" i="3" a="1"/>
  <c r="AB1553" i="3" s="1"/>
  <c r="AB1554" i="3" a="1"/>
  <c r="AB1554" i="3" s="1"/>
  <c r="AB1555" i="3" a="1"/>
  <c r="AB1555" i="3" s="1"/>
  <c r="AB1556" i="3" a="1"/>
  <c r="AB1556" i="3" s="1"/>
  <c r="AB1557" i="3" a="1"/>
  <c r="AB1557" i="3" s="1"/>
  <c r="AB1558" i="3" a="1"/>
  <c r="AB1558" i="3" s="1"/>
  <c r="AB1559" i="3" a="1"/>
  <c r="AB1559" i="3" s="1"/>
  <c r="AB1560" i="3" a="1"/>
  <c r="AB1560" i="3" s="1"/>
  <c r="AB1561" i="3" a="1"/>
  <c r="AB1561" i="3"/>
  <c r="AB1562" i="3" a="1"/>
  <c r="AB1562" i="3"/>
  <c r="AB1563" i="3" a="1"/>
  <c r="AB1563" i="3" s="1"/>
  <c r="AB1564" i="3" a="1"/>
  <c r="AB1564" i="3" s="1"/>
  <c r="AB1565" i="3" a="1"/>
  <c r="AB1565" i="3" s="1"/>
  <c r="AB1566" i="3" a="1"/>
  <c r="AB1566" i="3" s="1"/>
  <c r="AB1567" i="3" a="1"/>
  <c r="AB1567" i="3" s="1"/>
  <c r="AB1568" i="3" a="1"/>
  <c r="AB1568" i="3"/>
  <c r="AB1569" i="3" a="1"/>
  <c r="AB1569" i="3" s="1"/>
  <c r="AB1570" i="3" a="1"/>
  <c r="AB1570" i="3" s="1"/>
  <c r="AB1571" i="3" a="1"/>
  <c r="AB1571" i="3" s="1"/>
  <c r="AB1572" i="3" a="1"/>
  <c r="AB1572" i="3" s="1"/>
  <c r="AB1573" i="3" a="1"/>
  <c r="AB1573" i="3" s="1"/>
  <c r="AB1574" i="3" a="1"/>
  <c r="AB1574" i="3" s="1"/>
  <c r="AB1575" i="3" a="1"/>
  <c r="AB1575" i="3" s="1"/>
  <c r="AB1576" i="3" a="1"/>
  <c r="AB1576" i="3"/>
  <c r="AB1577" i="3" a="1"/>
  <c r="AB1577" i="3" s="1"/>
  <c r="AB1578" i="3" a="1"/>
  <c r="AB1578" i="3" s="1"/>
  <c r="AB1579" i="3" a="1"/>
  <c r="AB1579" i="3" s="1"/>
  <c r="AB1580" i="3" a="1"/>
  <c r="AB1580" i="3" s="1"/>
  <c r="AB1581" i="3" a="1"/>
  <c r="AB1581" i="3" s="1"/>
  <c r="AB1582" i="3" a="1"/>
  <c r="AB1582" i="3" s="1"/>
  <c r="AB1583" i="3" a="1"/>
  <c r="AB1583" i="3" s="1"/>
  <c r="AB1584" i="3" a="1"/>
  <c r="AB1584" i="3" s="1"/>
  <c r="AB1585" i="3" a="1"/>
  <c r="AB1585" i="3" s="1"/>
  <c r="AB1586" i="3" a="1"/>
  <c r="AB1586" i="3" s="1"/>
  <c r="AB1587" i="3" a="1"/>
  <c r="AB1587" i="3" s="1"/>
  <c r="AB1588" i="3" a="1"/>
  <c r="AB1588" i="3" s="1"/>
  <c r="AB1589" i="3" a="1"/>
  <c r="AB1589" i="3" s="1"/>
  <c r="AB1590" i="3" a="1"/>
  <c r="AB1590" i="3" s="1"/>
  <c r="AB1591" i="3" a="1"/>
  <c r="AB1591" i="3" s="1"/>
  <c r="AB1592" i="3" a="1"/>
  <c r="AB1592" i="3"/>
  <c r="AB1593" i="3" a="1"/>
  <c r="AB1593" i="3" s="1"/>
  <c r="AB1594" i="3" a="1"/>
  <c r="AB1594" i="3" s="1"/>
  <c r="AB1595" i="3" a="1"/>
  <c r="AB1595" i="3" s="1"/>
  <c r="AB1596" i="3" a="1"/>
  <c r="AB1596" i="3" s="1"/>
  <c r="AB1597" i="3" a="1"/>
  <c r="AB1597" i="3" s="1"/>
  <c r="AB1598" i="3" a="1"/>
  <c r="AB1598" i="3" s="1"/>
  <c r="AB1599" i="3" a="1"/>
  <c r="AB1599" i="3" s="1"/>
  <c r="AB1600" i="3" a="1"/>
  <c r="AB1600" i="3" s="1"/>
  <c r="AB1601" i="3" a="1"/>
  <c r="AB1601" i="3" s="1"/>
  <c r="AB1602" i="3" a="1"/>
  <c r="AB1602" i="3" s="1"/>
  <c r="AB1603" i="3" a="1"/>
  <c r="AB1603" i="3" s="1"/>
  <c r="AB1604" i="3" a="1"/>
  <c r="AB1604" i="3" s="1"/>
  <c r="AB1605" i="3" a="1"/>
  <c r="AB1605" i="3" s="1"/>
  <c r="AB1606" i="3" a="1"/>
  <c r="AB1606" i="3" s="1"/>
  <c r="AB1607" i="3" a="1"/>
  <c r="AB1607" i="3" s="1"/>
  <c r="AB1608" i="3" a="1"/>
  <c r="AB1608" i="3" s="1"/>
  <c r="AB1609" i="3" a="1"/>
  <c r="AB1609" i="3" s="1"/>
  <c r="AB1610" i="3" a="1"/>
  <c r="AB1610" i="3" s="1"/>
  <c r="AB1611" i="3" a="1"/>
  <c r="AB1611" i="3" s="1"/>
  <c r="AB1612" i="3" a="1"/>
  <c r="AB1612" i="3" s="1"/>
  <c r="AB1613" i="3" a="1"/>
  <c r="AB1613" i="3" s="1"/>
  <c r="AB1614" i="3" a="1"/>
  <c r="AB1614" i="3" s="1"/>
  <c r="AB1615" i="3" a="1"/>
  <c r="AB1615" i="3" s="1"/>
  <c r="AB1616" i="3" a="1"/>
  <c r="AB1616" i="3" s="1"/>
  <c r="AB1617" i="3" a="1"/>
  <c r="AB1617" i="3" s="1"/>
  <c r="AB1618" i="3" a="1"/>
  <c r="AB1618" i="3" s="1"/>
  <c r="AB1619" i="3" a="1"/>
  <c r="AB1619" i="3" s="1"/>
  <c r="AB1620" i="3" a="1"/>
  <c r="AB1620" i="3" s="1"/>
  <c r="AB1621" i="3" a="1"/>
  <c r="AB1621" i="3" s="1"/>
  <c r="AB1622" i="3" a="1"/>
  <c r="AB1622" i="3" s="1"/>
  <c r="AB1623" i="3" a="1"/>
  <c r="AB1623" i="3" s="1"/>
  <c r="AB1624" i="3" a="1"/>
  <c r="AB1624" i="3" s="1"/>
  <c r="AB1625" i="3" a="1"/>
  <c r="AB1625" i="3" s="1"/>
  <c r="AB1626" i="3" a="1"/>
  <c r="AB1626" i="3" s="1"/>
  <c r="AB1627" i="3" a="1"/>
  <c r="AB1627" i="3" s="1"/>
  <c r="AB1628" i="3" a="1"/>
  <c r="AB1628" i="3" s="1"/>
  <c r="AB1629" i="3" a="1"/>
  <c r="AB1629" i="3" s="1"/>
  <c r="AB1630" i="3" a="1"/>
  <c r="AB1630" i="3" s="1"/>
  <c r="AB1631" i="3" a="1"/>
  <c r="AB1631" i="3" s="1"/>
  <c r="AB1632" i="3" a="1"/>
  <c r="AB1632" i="3" s="1"/>
  <c r="AB1633" i="3" a="1"/>
  <c r="AB1633" i="3" s="1"/>
  <c r="AB1634" i="3" a="1"/>
  <c r="AB1634" i="3" s="1"/>
  <c r="AB1635" i="3" a="1"/>
  <c r="AB1635" i="3" s="1"/>
  <c r="AB1636" i="3" a="1"/>
  <c r="AB1636" i="3" s="1"/>
  <c r="AB1637" i="3" a="1"/>
  <c r="AB1637" i="3" s="1"/>
  <c r="AB1638" i="3" a="1"/>
  <c r="AB1638" i="3" s="1"/>
  <c r="AB1639" i="3" a="1"/>
  <c r="AB1639" i="3" s="1"/>
  <c r="AB1640" i="3" a="1"/>
  <c r="AB1640" i="3" s="1"/>
  <c r="AB1641" i="3" a="1"/>
  <c r="AB1641" i="3" s="1"/>
  <c r="AB1642" i="3" a="1"/>
  <c r="AB1642" i="3" s="1"/>
  <c r="AB1643" i="3" a="1"/>
  <c r="AB1643" i="3" s="1"/>
  <c r="AB1644" i="3" a="1"/>
  <c r="AB1644" i="3" s="1"/>
  <c r="AB1645" i="3" a="1"/>
  <c r="AB1645" i="3" s="1"/>
  <c r="AB1646" i="3" a="1"/>
  <c r="AB1646" i="3" s="1"/>
  <c r="AB1647" i="3" a="1"/>
  <c r="AB1647" i="3" s="1"/>
  <c r="AB1648" i="3" a="1"/>
  <c r="AB1648" i="3" s="1"/>
  <c r="AB1649" i="3" a="1"/>
  <c r="AB1649" i="3" s="1"/>
  <c r="AB1650" i="3" a="1"/>
  <c r="AB1650" i="3" s="1"/>
  <c r="AB1651" i="3" a="1"/>
  <c r="AB1651" i="3" s="1"/>
  <c r="AB1652" i="3" a="1"/>
  <c r="AB1652" i="3" s="1"/>
  <c r="AB1653" i="3" a="1"/>
  <c r="AB1653" i="3" s="1"/>
  <c r="AB1654" i="3" a="1"/>
  <c r="AB1654" i="3" s="1"/>
  <c r="AB1655" i="3" a="1"/>
  <c r="AB1655" i="3" s="1"/>
  <c r="AB1656" i="3" a="1"/>
  <c r="AB1656" i="3" s="1"/>
  <c r="AB1657" i="3" a="1"/>
  <c r="AB1657" i="3" s="1"/>
  <c r="AB1658" i="3" a="1"/>
  <c r="AB1658" i="3" s="1"/>
  <c r="AB1659" i="3" a="1"/>
  <c r="AB1659" i="3" s="1"/>
  <c r="AB1660" i="3" a="1"/>
  <c r="AB1660" i="3" s="1"/>
  <c r="AB1661" i="3" a="1"/>
  <c r="AB1661" i="3" s="1"/>
  <c r="AB1662" i="3" a="1"/>
  <c r="AB1662" i="3" s="1"/>
  <c r="AB1663" i="3" a="1"/>
  <c r="AB1663" i="3" s="1"/>
  <c r="AB1664" i="3" a="1"/>
  <c r="AB1664" i="3" s="1"/>
  <c r="AB1665" i="3" a="1"/>
  <c r="AB1665" i="3" s="1"/>
  <c r="AB1666" i="3" a="1"/>
  <c r="AB1666" i="3" s="1"/>
  <c r="AB1667" i="3" a="1"/>
  <c r="AB1667" i="3" s="1"/>
  <c r="AB1668" i="3" a="1"/>
  <c r="AB1668" i="3" s="1"/>
  <c r="AB1669" i="3" a="1"/>
  <c r="AB1669" i="3" s="1"/>
  <c r="AB1670" i="3" a="1"/>
  <c r="AB1670" i="3" s="1"/>
  <c r="AB1671" i="3" a="1"/>
  <c r="AB1671" i="3" s="1"/>
  <c r="AB1672" i="3" a="1"/>
  <c r="AB1672" i="3" s="1"/>
  <c r="AB1673" i="3" a="1"/>
  <c r="AB1673" i="3" s="1"/>
  <c r="AB1674" i="3" a="1"/>
  <c r="AB1674" i="3" s="1"/>
  <c r="AB1675" i="3" a="1"/>
  <c r="AB1675" i="3" s="1"/>
  <c r="AB1676" i="3" a="1"/>
  <c r="AB1676" i="3" s="1"/>
  <c r="AB1677" i="3" a="1"/>
  <c r="AB1677" i="3" s="1"/>
  <c r="AB1678" i="3" a="1"/>
  <c r="AB1678" i="3" s="1"/>
  <c r="AB1679" i="3" a="1"/>
  <c r="AB1679" i="3" s="1"/>
  <c r="AB1680" i="3" a="1"/>
  <c r="AB1680" i="3" s="1"/>
  <c r="AB1681" i="3" a="1"/>
  <c r="AB1681" i="3" s="1"/>
  <c r="AB1682" i="3" a="1"/>
  <c r="AB1682" i="3" s="1"/>
  <c r="AB1683" i="3" a="1"/>
  <c r="AB1683" i="3" s="1"/>
  <c r="AB1684" i="3" a="1"/>
  <c r="AB1684" i="3" s="1"/>
  <c r="AB1685" i="3" a="1"/>
  <c r="AB1685" i="3" s="1"/>
  <c r="AB1686" i="3" a="1"/>
  <c r="AB1686" i="3" s="1"/>
  <c r="AB1687" i="3" a="1"/>
  <c r="AB1687" i="3" s="1"/>
  <c r="AB1688" i="3" a="1"/>
  <c r="AB1688" i="3" s="1"/>
  <c r="AB1689" i="3" a="1"/>
  <c r="AB1689" i="3" s="1"/>
  <c r="AB1690" i="3" a="1"/>
  <c r="AB1690" i="3" s="1"/>
  <c r="AB1691" i="3" a="1"/>
  <c r="AB1691" i="3" s="1"/>
  <c r="AB1692" i="3" a="1"/>
  <c r="AB1692" i="3" s="1"/>
  <c r="AB1693" i="3" a="1"/>
  <c r="AB1693" i="3" s="1"/>
  <c r="AB1694" i="3" a="1"/>
  <c r="AB1694" i="3" s="1"/>
  <c r="AB1695" i="3" a="1"/>
  <c r="AB1695" i="3" s="1"/>
  <c r="AB1696" i="3" a="1"/>
  <c r="AB1696" i="3" s="1"/>
  <c r="AB1697" i="3" a="1"/>
  <c r="AB1697" i="3" s="1"/>
  <c r="AB1698" i="3" a="1"/>
  <c r="AB1698" i="3" s="1"/>
  <c r="AB1699" i="3" a="1"/>
  <c r="AB1699" i="3" s="1"/>
  <c r="AB1700" i="3" a="1"/>
  <c r="AB1700" i="3" s="1"/>
  <c r="AB1701" i="3" a="1"/>
  <c r="AB1701" i="3" s="1"/>
  <c r="AB1702" i="3" a="1"/>
  <c r="AB1702" i="3" s="1"/>
  <c r="AB1703" i="3" a="1"/>
  <c r="AB1703" i="3" s="1"/>
  <c r="AB1704" i="3" a="1"/>
  <c r="AB1704" i="3" s="1"/>
  <c r="AB1705" i="3" a="1"/>
  <c r="AB1705" i="3" s="1"/>
  <c r="AB1706" i="3" a="1"/>
  <c r="AB1706" i="3" s="1"/>
  <c r="AB1707" i="3" a="1"/>
  <c r="AB1707" i="3" s="1"/>
  <c r="AB1708" i="3" a="1"/>
  <c r="AB1708" i="3" s="1"/>
  <c r="AB1709" i="3" a="1"/>
  <c r="AB1709" i="3" s="1"/>
  <c r="AB1710" i="3" a="1"/>
  <c r="AB1710" i="3" s="1"/>
  <c r="AB1711" i="3" a="1"/>
  <c r="AB1711" i="3" s="1"/>
  <c r="AB1712" i="3" a="1"/>
  <c r="AB1712" i="3" s="1"/>
  <c r="AB1713" i="3" a="1"/>
  <c r="AB1713" i="3" s="1"/>
  <c r="AB1714" i="3" a="1"/>
  <c r="AB1714" i="3" s="1"/>
  <c r="AB1715" i="3" a="1"/>
  <c r="AB1715" i="3" s="1"/>
  <c r="AB1716" i="3" a="1"/>
  <c r="AB1716" i="3" s="1"/>
  <c r="AB1717" i="3" a="1"/>
  <c r="AB1717" i="3" s="1"/>
  <c r="AB1718" i="3" a="1"/>
  <c r="AB1718" i="3" s="1"/>
  <c r="AB1719" i="3" a="1"/>
  <c r="AB1719" i="3" s="1"/>
  <c r="AB1720" i="3" a="1"/>
  <c r="AB1720" i="3" s="1"/>
  <c r="AB1721" i="3" a="1"/>
  <c r="AB1721" i="3" s="1"/>
  <c r="AB1722" i="3" a="1"/>
  <c r="AB1722" i="3" s="1"/>
  <c r="AB1723" i="3" a="1"/>
  <c r="AB1723" i="3" s="1"/>
  <c r="AB1724" i="3" a="1"/>
  <c r="AB1724" i="3" s="1"/>
  <c r="AB1725" i="3" a="1"/>
  <c r="AB1725" i="3" s="1"/>
  <c r="AB1726" i="3" a="1"/>
  <c r="AB1726" i="3" s="1"/>
  <c r="AB1727" i="3" a="1"/>
  <c r="AB1727" i="3" s="1"/>
  <c r="AB1728" i="3" a="1"/>
  <c r="AB1728" i="3" s="1"/>
  <c r="AB1729" i="3" a="1"/>
  <c r="AB1729" i="3" s="1"/>
  <c r="AB1730" i="3" a="1"/>
  <c r="AB1730" i="3" s="1"/>
  <c r="AB1731" i="3" a="1"/>
  <c r="AB1731" i="3" s="1"/>
  <c r="AB1732" i="3" a="1"/>
  <c r="AB1732" i="3" s="1"/>
  <c r="AB1733" i="3" a="1"/>
  <c r="AB1733" i="3" s="1"/>
  <c r="AB1734" i="3" a="1"/>
  <c r="AB1734" i="3" s="1"/>
  <c r="AB1735" i="3" a="1"/>
  <c r="AB1735" i="3" s="1"/>
  <c r="AB1736" i="3" a="1"/>
  <c r="AB1736" i="3" s="1"/>
  <c r="AB1737" i="3" a="1"/>
  <c r="AB1737" i="3" s="1"/>
  <c r="AB1738" i="3" a="1"/>
  <c r="AB1738" i="3" s="1"/>
  <c r="AB1739" i="3" a="1"/>
  <c r="AB1739" i="3" s="1"/>
  <c r="AB1740" i="3" a="1"/>
  <c r="AB1740" i="3" s="1"/>
  <c r="AB1741" i="3" a="1"/>
  <c r="AB1741" i="3" s="1"/>
  <c r="AB1742" i="3" a="1"/>
  <c r="AB1742" i="3" s="1"/>
  <c r="AB1743" i="3" a="1"/>
  <c r="AB1743" i="3" s="1"/>
  <c r="AB1744" i="3" a="1"/>
  <c r="AB1744" i="3" s="1"/>
  <c r="AB1745" i="3" a="1"/>
  <c r="AB1745" i="3" s="1"/>
  <c r="AB1746" i="3" a="1"/>
  <c r="AB1746" i="3" s="1"/>
  <c r="AB1747" i="3" a="1"/>
  <c r="AB1747" i="3" s="1"/>
  <c r="AB1748" i="3" a="1"/>
  <c r="AB1748" i="3" s="1"/>
  <c r="AB1749" i="3" a="1"/>
  <c r="AB1749" i="3" s="1"/>
  <c r="AB1750" i="3" a="1"/>
  <c r="AB1750" i="3" s="1"/>
  <c r="AB1751" i="3" a="1"/>
  <c r="AB1751" i="3" s="1"/>
  <c r="AB1752" i="3" a="1"/>
  <c r="AB1752" i="3" s="1"/>
  <c r="AB1753" i="3" a="1"/>
  <c r="AB1753" i="3" s="1"/>
  <c r="AB1754" i="3" a="1"/>
  <c r="AB1754" i="3" s="1"/>
  <c r="AB1755" i="3" a="1"/>
  <c r="AB1755" i="3" s="1"/>
  <c r="AB1756" i="3" a="1"/>
  <c r="AB1756" i="3" s="1"/>
  <c r="AB1757" i="3" a="1"/>
  <c r="AB1757" i="3" s="1"/>
  <c r="AB1758" i="3" a="1"/>
  <c r="AB1758" i="3" s="1"/>
  <c r="AB1759" i="3" a="1"/>
  <c r="AB1759" i="3" s="1"/>
  <c r="AB1760" i="3" a="1"/>
  <c r="AB1760" i="3" s="1"/>
  <c r="AB1761" i="3" a="1"/>
  <c r="AB1761" i="3" s="1"/>
  <c r="AB1762" i="3" a="1"/>
  <c r="AB1762" i="3" s="1"/>
  <c r="AB1763" i="3" a="1"/>
  <c r="AB1763" i="3" s="1"/>
  <c r="AB1764" i="3" a="1"/>
  <c r="AB1764" i="3" s="1"/>
  <c r="AB1765" i="3" a="1"/>
  <c r="AB1765" i="3" s="1"/>
  <c r="AB1766" i="3" a="1"/>
  <c r="AB1766" i="3" s="1"/>
  <c r="AB1767" i="3" a="1"/>
  <c r="AB1767" i="3" s="1"/>
  <c r="AB1768" i="3" a="1"/>
  <c r="AB1768" i="3" s="1"/>
  <c r="AB1769" i="3" a="1"/>
  <c r="AB1769" i="3" s="1"/>
  <c r="AB1770" i="3" a="1"/>
  <c r="AB1770" i="3" s="1"/>
  <c r="AB1771" i="3" a="1"/>
  <c r="AB1771" i="3" s="1"/>
  <c r="AB1772" i="3" a="1"/>
  <c r="AB1772" i="3" s="1"/>
  <c r="AB1773" i="3" a="1"/>
  <c r="AB1773" i="3" s="1"/>
  <c r="AB1774" i="3" a="1"/>
  <c r="AB1774" i="3" s="1"/>
  <c r="AB1775" i="3" a="1"/>
  <c r="AB1775" i="3" s="1"/>
  <c r="AB1776" i="3" a="1"/>
  <c r="AB1776" i="3" s="1"/>
  <c r="AB1777" i="3" a="1"/>
  <c r="AB1777" i="3" s="1"/>
  <c r="AB1778" i="3" a="1"/>
  <c r="AB1778" i="3" s="1"/>
  <c r="AB1779" i="3" a="1"/>
  <c r="AB1779" i="3" s="1"/>
  <c r="AB1780" i="3" a="1"/>
  <c r="AB1780" i="3" s="1"/>
  <c r="AB1781" i="3" a="1"/>
  <c r="AB1781" i="3" s="1"/>
  <c r="AB1782" i="3" a="1"/>
  <c r="AB1782" i="3" s="1"/>
  <c r="AB1783" i="3" a="1"/>
  <c r="AB1783" i="3" s="1"/>
  <c r="AB1784" i="3" a="1"/>
  <c r="AB1784" i="3" s="1"/>
  <c r="AB1785" i="3" a="1"/>
  <c r="AB1785" i="3" s="1"/>
  <c r="AB1786" i="3" a="1"/>
  <c r="AB1786" i="3" s="1"/>
  <c r="AB1787" i="3" a="1"/>
  <c r="AB1787" i="3" s="1"/>
  <c r="AB1788" i="3" a="1"/>
  <c r="AB1788" i="3" s="1"/>
  <c r="AB1789" i="3" a="1"/>
  <c r="AB1789" i="3" s="1"/>
  <c r="AB1790" i="3" a="1"/>
  <c r="AB1790" i="3" s="1"/>
  <c r="AB1791" i="3" a="1"/>
  <c r="AB1791" i="3" s="1"/>
  <c r="AB1792" i="3" a="1"/>
  <c r="AB1792" i="3" s="1"/>
  <c r="AB1793" i="3" a="1"/>
  <c r="AB1793" i="3" s="1"/>
  <c r="AB1794" i="3" a="1"/>
  <c r="AB1794" i="3" s="1"/>
  <c r="AB1795" i="3" a="1"/>
  <c r="AB1795" i="3" s="1"/>
  <c r="AB1796" i="3" a="1"/>
  <c r="AB1796" i="3" s="1"/>
  <c r="AB1797" i="3" a="1"/>
  <c r="AB1797" i="3" s="1"/>
  <c r="AB1798" i="3" a="1"/>
  <c r="AB1798" i="3" s="1"/>
  <c r="AB1799" i="3" a="1"/>
  <c r="AB1799" i="3" s="1"/>
  <c r="AB1800" i="3" a="1"/>
  <c r="AB1800" i="3" s="1"/>
  <c r="AB1801" i="3" a="1"/>
  <c r="AB1801" i="3" s="1"/>
  <c r="AB1802" i="3" a="1"/>
  <c r="AB1802" i="3" s="1"/>
  <c r="AB1803" i="3" a="1"/>
  <c r="AB1803" i="3" s="1"/>
  <c r="AB1804" i="3" a="1"/>
  <c r="AB1804" i="3" s="1"/>
  <c r="AB1805" i="3" a="1"/>
  <c r="AB1805" i="3" s="1"/>
  <c r="AB1806" i="3" a="1"/>
  <c r="AB1806" i="3" s="1"/>
  <c r="AB1807" i="3" a="1"/>
  <c r="AB1807" i="3" s="1"/>
  <c r="AB1808" i="3" a="1"/>
  <c r="AB1808" i="3" s="1"/>
  <c r="AB1809" i="3" a="1"/>
  <c r="AB1809" i="3" s="1"/>
  <c r="AB1810" i="3" a="1"/>
  <c r="AB1810" i="3" s="1"/>
  <c r="AB1811" i="3" a="1"/>
  <c r="AB1811" i="3" s="1"/>
  <c r="AB1812" i="3" a="1"/>
  <c r="AB1812" i="3" s="1"/>
  <c r="AB1813" i="3" a="1"/>
  <c r="AB1813" i="3" s="1"/>
  <c r="AB1814" i="3" a="1"/>
  <c r="AB1814" i="3" s="1"/>
  <c r="AB1815" i="3" a="1"/>
  <c r="AB1815" i="3" s="1"/>
  <c r="AB1816" i="3" a="1"/>
  <c r="AB1816" i="3" s="1"/>
  <c r="AB1817" i="3" a="1"/>
  <c r="AB1817" i="3" s="1"/>
  <c r="AB1818" i="3" a="1"/>
  <c r="AB1818" i="3" s="1"/>
  <c r="AB1819" i="3" a="1"/>
  <c r="AB1819" i="3" s="1"/>
  <c r="AB1820" i="3" a="1"/>
  <c r="AB1820" i="3" s="1"/>
  <c r="AB1821" i="3" a="1"/>
  <c r="AB1821" i="3" s="1"/>
  <c r="AB1822" i="3" a="1"/>
  <c r="AB1822" i="3" s="1"/>
  <c r="AB1823" i="3" a="1"/>
  <c r="AB1823" i="3" s="1"/>
  <c r="AB1824" i="3" a="1"/>
  <c r="AB1824" i="3" s="1"/>
  <c r="AB1825" i="3" a="1"/>
  <c r="AB1825" i="3" s="1"/>
  <c r="AB1826" i="3" a="1"/>
  <c r="AB1826" i="3" s="1"/>
  <c r="AB1827" i="3" a="1"/>
  <c r="AB1827" i="3" s="1"/>
  <c r="AB1828" i="3" a="1"/>
  <c r="AB1828" i="3" s="1"/>
  <c r="AB1829" i="3" a="1"/>
  <c r="AB1829" i="3" s="1"/>
  <c r="AB1830" i="3" a="1"/>
  <c r="AB1830" i="3" s="1"/>
  <c r="AB1831" i="3" a="1"/>
  <c r="AB1831" i="3" s="1"/>
  <c r="AB1832" i="3" a="1"/>
  <c r="AB1832" i="3" s="1"/>
  <c r="AB1833" i="3" a="1"/>
  <c r="AB1833" i="3" s="1"/>
  <c r="AB1834" i="3" a="1"/>
  <c r="AB1834" i="3" s="1"/>
  <c r="AB1835" i="3" a="1"/>
  <c r="AB1835" i="3" s="1"/>
  <c r="AB1836" i="3" a="1"/>
  <c r="AB1836" i="3" s="1"/>
  <c r="AB1837" i="3" a="1"/>
  <c r="AB1837" i="3" s="1"/>
  <c r="AB1838" i="3" a="1"/>
  <c r="AB1838" i="3" s="1"/>
  <c r="AB1839" i="3" a="1"/>
  <c r="AB1839" i="3" s="1"/>
  <c r="AB1840" i="3" a="1"/>
  <c r="AB1840" i="3" s="1"/>
  <c r="AB1841" i="3" a="1"/>
  <c r="AB1841" i="3" s="1"/>
  <c r="AB1842" i="3" a="1"/>
  <c r="AB1842" i="3" s="1"/>
  <c r="AB1843" i="3" a="1"/>
  <c r="AB1843" i="3" s="1"/>
  <c r="AB1844" i="3" a="1"/>
  <c r="AB1844" i="3" s="1"/>
  <c r="AB1845" i="3" a="1"/>
  <c r="AB1845" i="3" s="1"/>
  <c r="AB1846" i="3" a="1"/>
  <c r="AB1846" i="3" s="1"/>
  <c r="AB1847" i="3" a="1"/>
  <c r="AB1847" i="3" s="1"/>
  <c r="AB1848" i="3" a="1"/>
  <c r="AB1848" i="3" s="1"/>
  <c r="AB1849" i="3" a="1"/>
  <c r="AB1849" i="3" s="1"/>
  <c r="AB1850" i="3" a="1"/>
  <c r="AB1850" i="3" s="1"/>
  <c r="AB1851" i="3" a="1"/>
  <c r="AB1851" i="3" s="1"/>
  <c r="AB1852" i="3" a="1"/>
  <c r="AB1852" i="3" s="1"/>
  <c r="AB1853" i="3" a="1"/>
  <c r="AB1853" i="3" s="1"/>
  <c r="AB1854" i="3" a="1"/>
  <c r="AB1854" i="3" s="1"/>
  <c r="AB1855" i="3" a="1"/>
  <c r="AB1855" i="3" s="1"/>
  <c r="AB1856" i="3" a="1"/>
  <c r="AB1856" i="3" s="1"/>
  <c r="AB1857" i="3" a="1"/>
  <c r="AB1857" i="3" s="1"/>
  <c r="AB1858" i="3" a="1"/>
  <c r="AB1858" i="3" s="1"/>
  <c r="AB1859" i="3" a="1"/>
  <c r="AB1859" i="3" s="1"/>
  <c r="AB1860" i="3" a="1"/>
  <c r="AB1860" i="3" s="1"/>
  <c r="AB1861" i="3" a="1"/>
  <c r="AB1861" i="3" s="1"/>
  <c r="AB1862" i="3" a="1"/>
  <c r="AB1862" i="3" s="1"/>
  <c r="AB1863" i="3" a="1"/>
  <c r="AB1863" i="3" s="1"/>
  <c r="AB1864" i="3" a="1"/>
  <c r="AB1864" i="3" s="1"/>
  <c r="AB1865" i="3" a="1"/>
  <c r="AB1865" i="3" s="1"/>
  <c r="AB1866" i="3" a="1"/>
  <c r="AB1866" i="3" s="1"/>
  <c r="AB1867" i="3" a="1"/>
  <c r="AB1867" i="3" s="1"/>
  <c r="AB1868" i="3" a="1"/>
  <c r="AB1868" i="3" s="1"/>
  <c r="AB1869" i="3" a="1"/>
  <c r="AB1869" i="3" s="1"/>
  <c r="AB1870" i="3" a="1"/>
  <c r="AB1870" i="3" s="1"/>
  <c r="AB1871" i="3" a="1"/>
  <c r="AB1871" i="3" s="1"/>
  <c r="AB1872" i="3" a="1"/>
  <c r="AB1872" i="3" s="1"/>
  <c r="AB1873" i="3" a="1"/>
  <c r="AB1873" i="3" s="1"/>
  <c r="AB1874" i="3" a="1"/>
  <c r="AB1874" i="3" s="1"/>
  <c r="AB1875" i="3" a="1"/>
  <c r="AB1875" i="3" s="1"/>
  <c r="AB1876" i="3" a="1"/>
  <c r="AB1876" i="3" s="1"/>
  <c r="AB1877" i="3" a="1"/>
  <c r="AB1877" i="3" s="1"/>
  <c r="AB1878" i="3" a="1"/>
  <c r="AB1878" i="3" s="1"/>
  <c r="AB1879" i="3" a="1"/>
  <c r="AB1879" i="3" s="1"/>
  <c r="AB1880" i="3" a="1"/>
  <c r="AB1880" i="3" s="1"/>
  <c r="AB1881" i="3" a="1"/>
  <c r="AB1881" i="3" s="1"/>
  <c r="AB1882" i="3" a="1"/>
  <c r="AB1882" i="3" s="1"/>
  <c r="AB1883" i="3" a="1"/>
  <c r="AB1883" i="3" s="1"/>
  <c r="AB1884" i="3" a="1"/>
  <c r="AB1884" i="3" s="1"/>
  <c r="AB1885" i="3" a="1"/>
  <c r="AB1885" i="3" s="1"/>
  <c r="AB1886" i="3" a="1"/>
  <c r="AB1886" i="3" s="1"/>
  <c r="AB1887" i="3" a="1"/>
  <c r="AB1887" i="3" s="1"/>
  <c r="AB1888" i="3" a="1"/>
  <c r="AB1888" i="3" s="1"/>
  <c r="AB1889" i="3" a="1"/>
  <c r="AB1889" i="3" s="1"/>
  <c r="AB1890" i="3" a="1"/>
  <c r="AB1890" i="3" s="1"/>
  <c r="AB1891" i="3" a="1"/>
  <c r="AB1891" i="3" s="1"/>
  <c r="AB1892" i="3" a="1"/>
  <c r="AB1892" i="3" s="1"/>
  <c r="AB1893" i="3" a="1"/>
  <c r="AB1893" i="3" s="1"/>
  <c r="AB1894" i="3" a="1"/>
  <c r="AB1894" i="3" s="1"/>
  <c r="AB1895" i="3" a="1"/>
  <c r="AB1895" i="3" s="1"/>
  <c r="AB1896" i="3" a="1"/>
  <c r="AB1896" i="3" s="1"/>
  <c r="AB1897" i="3" a="1"/>
  <c r="AB1897" i="3" s="1"/>
  <c r="AB1898" i="3" a="1"/>
  <c r="AB1898" i="3" s="1"/>
  <c r="AB1899" i="3" a="1"/>
  <c r="AB1899" i="3" s="1"/>
  <c r="AB1900" i="3" a="1"/>
  <c r="AB1900" i="3" s="1"/>
  <c r="AB1901" i="3" a="1"/>
  <c r="AB1901" i="3" s="1"/>
  <c r="AB1902" i="3" a="1"/>
  <c r="AB1902" i="3" s="1"/>
  <c r="AB1903" i="3" a="1"/>
  <c r="AB1903" i="3" s="1"/>
  <c r="AB1904" i="3" a="1"/>
  <c r="AB1904" i="3" s="1"/>
  <c r="AB1905" i="3" a="1"/>
  <c r="AB1905" i="3" s="1"/>
  <c r="AB1906" i="3" a="1"/>
  <c r="AB1906" i="3" s="1"/>
  <c r="AB1907" i="3" a="1"/>
  <c r="AB1907" i="3" s="1"/>
  <c r="AB1908" i="3" a="1"/>
  <c r="AB1908" i="3" s="1"/>
  <c r="AB1909" i="3" a="1"/>
  <c r="AB1909" i="3" s="1"/>
  <c r="AB1910" i="3" a="1"/>
  <c r="AB1910" i="3" s="1"/>
  <c r="AB1911" i="3" a="1"/>
  <c r="AB1911" i="3" s="1"/>
  <c r="AB1912" i="3" a="1"/>
  <c r="AB1912" i="3" s="1"/>
  <c r="AB1913" i="3" a="1"/>
  <c r="AB1913" i="3" s="1"/>
  <c r="AB1914" i="3" a="1"/>
  <c r="AB1914" i="3" s="1"/>
  <c r="AB1915" i="3" a="1"/>
  <c r="AB1915" i="3" s="1"/>
  <c r="AB1916" i="3" a="1"/>
  <c r="AB1916" i="3" s="1"/>
  <c r="AB1917" i="3" a="1"/>
  <c r="AB1917" i="3" s="1"/>
  <c r="AB1918" i="3" a="1"/>
  <c r="AB1918" i="3" s="1"/>
  <c r="AB1919" i="3" a="1"/>
  <c r="AB1919" i="3" s="1"/>
  <c r="AB1920" i="3" a="1"/>
  <c r="AB1920" i="3" s="1"/>
  <c r="AB1921" i="3" a="1"/>
  <c r="AB1921" i="3" s="1"/>
  <c r="AB1922" i="3" a="1"/>
  <c r="AB1922" i="3" s="1"/>
  <c r="AB1923" i="3" a="1"/>
  <c r="AB1923" i="3" s="1"/>
  <c r="AB1924" i="3" a="1"/>
  <c r="AB1924" i="3" s="1"/>
  <c r="AB1925" i="3" a="1"/>
  <c r="AB1925" i="3" s="1"/>
  <c r="AB1926" i="3" a="1"/>
  <c r="AB1926" i="3" s="1"/>
  <c r="AB1927" i="3" a="1"/>
  <c r="AB1927" i="3" s="1"/>
  <c r="AB1928" i="3" a="1"/>
  <c r="AB1928" i="3" s="1"/>
  <c r="AB1929" i="3" a="1"/>
  <c r="AB1929" i="3" s="1"/>
  <c r="AB1930" i="3" a="1"/>
  <c r="AB1930" i="3" s="1"/>
  <c r="AB1931" i="3" a="1"/>
  <c r="AB1931" i="3" s="1"/>
  <c r="AB1932" i="3" a="1"/>
  <c r="AB1932" i="3" s="1"/>
  <c r="AB1933" i="3" a="1"/>
  <c r="AB1933" i="3" s="1"/>
  <c r="AB1934" i="3" a="1"/>
  <c r="AB1934" i="3" s="1"/>
  <c r="AB1935" i="3" a="1"/>
  <c r="AB1935" i="3" s="1"/>
  <c r="AB1936" i="3" a="1"/>
  <c r="AB1936" i="3" s="1"/>
  <c r="AB2" i="3" a="1"/>
  <c r="AB2" i="3" s="1"/>
  <c r="AA511" i="3" a="1"/>
  <c r="AA511" i="3" s="1"/>
  <c r="AA512" i="3" a="1"/>
  <c r="AA512" i="3" s="1"/>
  <c r="AA513" i="3" a="1"/>
  <c r="AA513" i="3" s="1"/>
  <c r="AA514" i="3" a="1"/>
  <c r="AA514" i="3" s="1"/>
  <c r="AA515" i="3" a="1"/>
  <c r="AA515" i="3" s="1"/>
  <c r="AA516" i="3" a="1"/>
  <c r="AA516" i="3" s="1"/>
  <c r="AA517" i="3" a="1"/>
  <c r="AA517" i="3" s="1"/>
  <c r="AA518" i="3" a="1"/>
  <c r="AA518" i="3" s="1"/>
  <c r="AA519" i="3" a="1"/>
  <c r="AA519" i="3" s="1"/>
  <c r="AA520" i="3" a="1"/>
  <c r="AA520" i="3" s="1"/>
  <c r="AA521" i="3" a="1"/>
  <c r="AA521" i="3" s="1"/>
  <c r="AA522" i="3" a="1"/>
  <c r="AA522" i="3" s="1"/>
  <c r="AA523" i="3" a="1"/>
  <c r="AA523" i="3" s="1"/>
  <c r="AA524" i="3" a="1"/>
  <c r="AA524" i="3" s="1"/>
  <c r="AA525" i="3" a="1"/>
  <c r="AA525" i="3" s="1"/>
  <c r="AA526" i="3" a="1"/>
  <c r="AA526" i="3" s="1"/>
  <c r="AA527" i="3" a="1"/>
  <c r="AA527" i="3" s="1"/>
  <c r="AA528" i="3" a="1"/>
  <c r="AA528" i="3" s="1"/>
  <c r="AA529" i="3" a="1"/>
  <c r="AA529" i="3" s="1"/>
  <c r="AA530" i="3" a="1"/>
  <c r="AA530" i="3" s="1"/>
  <c r="AA531" i="3" a="1"/>
  <c r="AA531" i="3" s="1"/>
  <c r="AA532" i="3" a="1"/>
  <c r="AA532" i="3" s="1"/>
  <c r="AA533" i="3" a="1"/>
  <c r="AA533" i="3" s="1"/>
  <c r="AA534" i="3" a="1"/>
  <c r="AA534" i="3" s="1"/>
  <c r="AA535" i="3" a="1"/>
  <c r="AA535" i="3" s="1"/>
  <c r="AA536" i="3" a="1"/>
  <c r="AA536" i="3" s="1"/>
  <c r="AA537" i="3" a="1"/>
  <c r="AA537" i="3" s="1"/>
  <c r="AA538" i="3" a="1"/>
  <c r="AA538" i="3" s="1"/>
  <c r="AA539" i="3" a="1"/>
  <c r="AA539" i="3" s="1"/>
  <c r="AA540" i="3" a="1"/>
  <c r="AA540" i="3" s="1"/>
  <c r="AA541" i="3" a="1"/>
  <c r="AA541" i="3" s="1"/>
  <c r="AA542" i="3" a="1"/>
  <c r="AA542" i="3" s="1"/>
  <c r="AA543" i="3" a="1"/>
  <c r="AA543" i="3" s="1"/>
  <c r="AA544" i="3" a="1"/>
  <c r="AA544" i="3" s="1"/>
  <c r="AA545" i="3" a="1"/>
  <c r="AA545" i="3" s="1"/>
  <c r="AA546" i="3" a="1"/>
  <c r="AA546" i="3" s="1"/>
  <c r="AA547" i="3" a="1"/>
  <c r="AA547" i="3" s="1"/>
  <c r="AA548" i="3" a="1"/>
  <c r="AA548" i="3" s="1"/>
  <c r="AA549" i="3" a="1"/>
  <c r="AA549" i="3" s="1"/>
  <c r="AA550" i="3" a="1"/>
  <c r="AA550" i="3" s="1"/>
  <c r="AA551" i="3" a="1"/>
  <c r="AA551" i="3" s="1"/>
  <c r="AA552" i="3" a="1"/>
  <c r="AA552" i="3" s="1"/>
  <c r="AA553" i="3" a="1"/>
  <c r="AA553" i="3" s="1"/>
  <c r="AA554" i="3" a="1"/>
  <c r="AA554" i="3" s="1"/>
  <c r="AA555" i="3" a="1"/>
  <c r="AA555" i="3" s="1"/>
  <c r="AA556" i="3" a="1"/>
  <c r="AA556" i="3" s="1"/>
  <c r="AA557" i="3" a="1"/>
  <c r="AA557" i="3" s="1"/>
  <c r="AA558" i="3" a="1"/>
  <c r="AA558" i="3" s="1"/>
  <c r="AA559" i="3" a="1"/>
  <c r="AA559" i="3" s="1"/>
  <c r="AA560" i="3" a="1"/>
  <c r="AA560" i="3" s="1"/>
  <c r="AA561" i="3" a="1"/>
  <c r="AA561" i="3" s="1"/>
  <c r="AA562" i="3" a="1"/>
  <c r="AA562" i="3" s="1"/>
  <c r="AA563" i="3" a="1"/>
  <c r="AA563" i="3" s="1"/>
  <c r="AA564" i="3" a="1"/>
  <c r="AA564" i="3" s="1"/>
  <c r="AA565" i="3" a="1"/>
  <c r="AA565" i="3" s="1"/>
  <c r="AA566" i="3" a="1"/>
  <c r="AA566" i="3" s="1"/>
  <c r="AA567" i="3" a="1"/>
  <c r="AA567" i="3" s="1"/>
  <c r="AA568" i="3" a="1"/>
  <c r="AA568" i="3" s="1"/>
  <c r="AA569" i="3" a="1"/>
  <c r="AA569" i="3" s="1"/>
  <c r="AA570" i="3" a="1"/>
  <c r="AA570" i="3" s="1"/>
  <c r="AA571" i="3" a="1"/>
  <c r="AA571" i="3" s="1"/>
  <c r="AA572" i="3" a="1"/>
  <c r="AA572" i="3" s="1"/>
  <c r="AA573" i="3" a="1"/>
  <c r="AA573" i="3" s="1"/>
  <c r="AA574" i="3" a="1"/>
  <c r="AA574" i="3" s="1"/>
  <c r="AA575" i="3" a="1"/>
  <c r="AA575" i="3" s="1"/>
  <c r="AA576" i="3" a="1"/>
  <c r="AA576" i="3" s="1"/>
  <c r="AA577" i="3" a="1"/>
  <c r="AA577" i="3" s="1"/>
  <c r="AA578" i="3" a="1"/>
  <c r="AA578" i="3" s="1"/>
  <c r="AA579" i="3" a="1"/>
  <c r="AA579" i="3" s="1"/>
  <c r="AA580" i="3" a="1"/>
  <c r="AA580" i="3" s="1"/>
  <c r="AA581" i="3" a="1"/>
  <c r="AA581" i="3" s="1"/>
  <c r="AA582" i="3" a="1"/>
  <c r="AA582" i="3" s="1"/>
  <c r="AA583" i="3" a="1"/>
  <c r="AA583" i="3" s="1"/>
  <c r="AA584" i="3" a="1"/>
  <c r="AA584" i="3" s="1"/>
  <c r="AA585" i="3" a="1"/>
  <c r="AA585" i="3" s="1"/>
  <c r="AA586" i="3" a="1"/>
  <c r="AA586" i="3" s="1"/>
  <c r="AA587" i="3" a="1"/>
  <c r="AA587" i="3" s="1"/>
  <c r="AA588" i="3" a="1"/>
  <c r="AA588" i="3" s="1"/>
  <c r="AA589" i="3" a="1"/>
  <c r="AA589" i="3" s="1"/>
  <c r="AA590" i="3" a="1"/>
  <c r="AA590" i="3" s="1"/>
  <c r="AA591" i="3" a="1"/>
  <c r="AA591" i="3" s="1"/>
  <c r="AA592" i="3" a="1"/>
  <c r="AA592" i="3" s="1"/>
  <c r="AA593" i="3" a="1"/>
  <c r="AA593" i="3" s="1"/>
  <c r="AA594" i="3" a="1"/>
  <c r="AA594" i="3" s="1"/>
  <c r="AA595" i="3" a="1"/>
  <c r="AA595" i="3" s="1"/>
  <c r="AA596" i="3" a="1"/>
  <c r="AA596" i="3" s="1"/>
  <c r="AA597" i="3" a="1"/>
  <c r="AA597" i="3" s="1"/>
  <c r="AA598" i="3" a="1"/>
  <c r="AA598" i="3" s="1"/>
  <c r="AA599" i="3" a="1"/>
  <c r="AA599" i="3" s="1"/>
  <c r="AA600" i="3" a="1"/>
  <c r="AA600" i="3" s="1"/>
  <c r="AA601" i="3" a="1"/>
  <c r="AA601" i="3" s="1"/>
  <c r="AA602" i="3" a="1"/>
  <c r="AA602" i="3" s="1"/>
  <c r="AA603" i="3" a="1"/>
  <c r="AA603" i="3" s="1"/>
  <c r="AA604" i="3" a="1"/>
  <c r="AA604" i="3" s="1"/>
  <c r="AA605" i="3" a="1"/>
  <c r="AA605" i="3" s="1"/>
  <c r="AA606" i="3" a="1"/>
  <c r="AA606" i="3" s="1"/>
  <c r="AA607" i="3" a="1"/>
  <c r="AA607" i="3" s="1"/>
  <c r="AA608" i="3" a="1"/>
  <c r="AA608" i="3" s="1"/>
  <c r="AA609" i="3" a="1"/>
  <c r="AA609" i="3" s="1"/>
  <c r="AA610" i="3" a="1"/>
  <c r="AA610" i="3" s="1"/>
  <c r="AA611" i="3" a="1"/>
  <c r="AA611" i="3" s="1"/>
  <c r="AA612" i="3" a="1"/>
  <c r="AA612" i="3" s="1"/>
  <c r="AA613" i="3" a="1"/>
  <c r="AA613" i="3" s="1"/>
  <c r="AA614" i="3" a="1"/>
  <c r="AA614" i="3" s="1"/>
  <c r="AA615" i="3" a="1"/>
  <c r="AA615" i="3" s="1"/>
  <c r="AA616" i="3" a="1"/>
  <c r="AA616" i="3" s="1"/>
  <c r="AA617" i="3" a="1"/>
  <c r="AA617" i="3" s="1"/>
  <c r="AA618" i="3" a="1"/>
  <c r="AA618" i="3" s="1"/>
  <c r="AA619" i="3" a="1"/>
  <c r="AA619" i="3" s="1"/>
  <c r="AA620" i="3" a="1"/>
  <c r="AA620" i="3" s="1"/>
  <c r="AA621" i="3" a="1"/>
  <c r="AA621" i="3" s="1"/>
  <c r="AA622" i="3" a="1"/>
  <c r="AA622" i="3" s="1"/>
  <c r="AA623" i="3" a="1"/>
  <c r="AA623" i="3" s="1"/>
  <c r="AA624" i="3" a="1"/>
  <c r="AA624" i="3" s="1"/>
  <c r="AA625" i="3" a="1"/>
  <c r="AA625" i="3" s="1"/>
  <c r="AA626" i="3" a="1"/>
  <c r="AA626" i="3" s="1"/>
  <c r="AA627" i="3" a="1"/>
  <c r="AA627" i="3" s="1"/>
  <c r="AA628" i="3" a="1"/>
  <c r="AA628" i="3" s="1"/>
  <c r="AA629" i="3" a="1"/>
  <c r="AA629" i="3" s="1"/>
  <c r="AA630" i="3" a="1"/>
  <c r="AA630" i="3" s="1"/>
  <c r="AA631" i="3" a="1"/>
  <c r="AA631" i="3" s="1"/>
  <c r="AA632" i="3" a="1"/>
  <c r="AA632" i="3" s="1"/>
  <c r="AA633" i="3" a="1"/>
  <c r="AA633" i="3" s="1"/>
  <c r="AA634" i="3" a="1"/>
  <c r="AA634" i="3" s="1"/>
  <c r="AA635" i="3" a="1"/>
  <c r="AA635" i="3" s="1"/>
  <c r="AA636" i="3" a="1"/>
  <c r="AA636" i="3" s="1"/>
  <c r="AA637" i="3" a="1"/>
  <c r="AA637" i="3" s="1"/>
  <c r="AA638" i="3" a="1"/>
  <c r="AA638" i="3" s="1"/>
  <c r="AA639" i="3" a="1"/>
  <c r="AA639" i="3" s="1"/>
  <c r="AA640" i="3" a="1"/>
  <c r="AA640" i="3" s="1"/>
  <c r="AA641" i="3" a="1"/>
  <c r="AA641" i="3" s="1"/>
  <c r="AA642" i="3" a="1"/>
  <c r="AA642" i="3" s="1"/>
  <c r="AA643" i="3" a="1"/>
  <c r="AA643" i="3" s="1"/>
  <c r="AA644" i="3" a="1"/>
  <c r="AA644" i="3" s="1"/>
  <c r="AA645" i="3" a="1"/>
  <c r="AA645" i="3" s="1"/>
  <c r="AA646" i="3" a="1"/>
  <c r="AA646" i="3" s="1"/>
  <c r="AA647" i="3" a="1"/>
  <c r="AA647" i="3" s="1"/>
  <c r="AA648" i="3" a="1"/>
  <c r="AA648" i="3" s="1"/>
  <c r="AA649" i="3" a="1"/>
  <c r="AA649" i="3" s="1"/>
  <c r="AA650" i="3" a="1"/>
  <c r="AA650" i="3" s="1"/>
  <c r="AA651" i="3" a="1"/>
  <c r="AA651" i="3" s="1"/>
  <c r="AA652" i="3" a="1"/>
  <c r="AA652" i="3" s="1"/>
  <c r="AA653" i="3" a="1"/>
  <c r="AA653" i="3" s="1"/>
  <c r="AA654" i="3" a="1"/>
  <c r="AA654" i="3" s="1"/>
  <c r="AA655" i="3" a="1"/>
  <c r="AA655" i="3" s="1"/>
  <c r="AA656" i="3" a="1"/>
  <c r="AA656" i="3" s="1"/>
  <c r="AA657" i="3" a="1"/>
  <c r="AA657" i="3" s="1"/>
  <c r="AA658" i="3" a="1"/>
  <c r="AA658" i="3" s="1"/>
  <c r="AA659" i="3" a="1"/>
  <c r="AA659" i="3" s="1"/>
  <c r="AA660" i="3" a="1"/>
  <c r="AA660" i="3" s="1"/>
  <c r="AA661" i="3" a="1"/>
  <c r="AA661" i="3" s="1"/>
  <c r="AA662" i="3" a="1"/>
  <c r="AA662" i="3" s="1"/>
  <c r="AA663" i="3" a="1"/>
  <c r="AA663" i="3" s="1"/>
  <c r="AA664" i="3" a="1"/>
  <c r="AA664" i="3" s="1"/>
  <c r="AA665" i="3" a="1"/>
  <c r="AA665" i="3" s="1"/>
  <c r="AA666" i="3" a="1"/>
  <c r="AA666" i="3" s="1"/>
  <c r="AA667" i="3" a="1"/>
  <c r="AA667" i="3" s="1"/>
  <c r="AA668" i="3" a="1"/>
  <c r="AA668" i="3" s="1"/>
  <c r="AA669" i="3" a="1"/>
  <c r="AA669" i="3" s="1"/>
  <c r="AA670" i="3" a="1"/>
  <c r="AA670" i="3" s="1"/>
  <c r="AA671" i="3" a="1"/>
  <c r="AA671" i="3" s="1"/>
  <c r="AA672" i="3" a="1"/>
  <c r="AA672" i="3" s="1"/>
  <c r="AA673" i="3" a="1"/>
  <c r="AA673" i="3" s="1"/>
  <c r="AA674" i="3" a="1"/>
  <c r="AA674" i="3" s="1"/>
  <c r="AA675" i="3" a="1"/>
  <c r="AA675" i="3" s="1"/>
  <c r="AA676" i="3" a="1"/>
  <c r="AA676" i="3" s="1"/>
  <c r="AA677" i="3" a="1"/>
  <c r="AA677" i="3" s="1"/>
  <c r="AA678" i="3" a="1"/>
  <c r="AA678" i="3" s="1"/>
  <c r="AA679" i="3" a="1"/>
  <c r="AA679" i="3" s="1"/>
  <c r="AA680" i="3" a="1"/>
  <c r="AA680" i="3" s="1"/>
  <c r="AA681" i="3" a="1"/>
  <c r="AA681" i="3" s="1"/>
  <c r="AA682" i="3" a="1"/>
  <c r="AA682" i="3" s="1"/>
  <c r="AA683" i="3" a="1"/>
  <c r="AA683" i="3" s="1"/>
  <c r="AA684" i="3" a="1"/>
  <c r="AA684" i="3" s="1"/>
  <c r="AA685" i="3" a="1"/>
  <c r="AA685" i="3" s="1"/>
  <c r="AA686" i="3" a="1"/>
  <c r="AA686" i="3" s="1"/>
  <c r="AA687" i="3" a="1"/>
  <c r="AA687" i="3" s="1"/>
  <c r="AA688" i="3" a="1"/>
  <c r="AA688" i="3" s="1"/>
  <c r="AA689" i="3" a="1"/>
  <c r="AA689" i="3" s="1"/>
  <c r="AA690" i="3" a="1"/>
  <c r="AA690" i="3" s="1"/>
  <c r="AA691" i="3" a="1"/>
  <c r="AA691" i="3" s="1"/>
  <c r="AA692" i="3" a="1"/>
  <c r="AA692" i="3" s="1"/>
  <c r="AA693" i="3" a="1"/>
  <c r="AA693" i="3" s="1"/>
  <c r="AA694" i="3" a="1"/>
  <c r="AA694" i="3" s="1"/>
  <c r="AA695" i="3" a="1"/>
  <c r="AA695" i="3" s="1"/>
  <c r="AA696" i="3" a="1"/>
  <c r="AA696" i="3" s="1"/>
  <c r="AA697" i="3" a="1"/>
  <c r="AA697" i="3" s="1"/>
  <c r="AA698" i="3" a="1"/>
  <c r="AA698" i="3" s="1"/>
  <c r="AA699" i="3" a="1"/>
  <c r="AA699" i="3" s="1"/>
  <c r="AA700" i="3" a="1"/>
  <c r="AA700" i="3" s="1"/>
  <c r="AA701" i="3" a="1"/>
  <c r="AA701" i="3" s="1"/>
  <c r="AA702" i="3" a="1"/>
  <c r="AA702" i="3" s="1"/>
  <c r="AA703" i="3" a="1"/>
  <c r="AA703" i="3" s="1"/>
  <c r="AA704" i="3" a="1"/>
  <c r="AA704" i="3" s="1"/>
  <c r="AA705" i="3" a="1"/>
  <c r="AA705" i="3" s="1"/>
  <c r="AA706" i="3" a="1"/>
  <c r="AA706" i="3" s="1"/>
  <c r="AA707" i="3" a="1"/>
  <c r="AA707" i="3" s="1"/>
  <c r="AA708" i="3" a="1"/>
  <c r="AA708" i="3" s="1"/>
  <c r="AA709" i="3" a="1"/>
  <c r="AA709" i="3" s="1"/>
  <c r="AA710" i="3" a="1"/>
  <c r="AA710" i="3" s="1"/>
  <c r="AA711" i="3" a="1"/>
  <c r="AA711" i="3" s="1"/>
  <c r="AA712" i="3" a="1"/>
  <c r="AA712" i="3" s="1"/>
  <c r="AA713" i="3" a="1"/>
  <c r="AA713" i="3" s="1"/>
  <c r="AA714" i="3" a="1"/>
  <c r="AA714" i="3" s="1"/>
  <c r="AA715" i="3" a="1"/>
  <c r="AA715" i="3" s="1"/>
  <c r="AA716" i="3" a="1"/>
  <c r="AA716" i="3" s="1"/>
  <c r="AA717" i="3" a="1"/>
  <c r="AA717" i="3" s="1"/>
  <c r="AA718" i="3" a="1"/>
  <c r="AA718" i="3" s="1"/>
  <c r="AA719" i="3" a="1"/>
  <c r="AA719" i="3" s="1"/>
  <c r="AA720" i="3" a="1"/>
  <c r="AA720" i="3" s="1"/>
  <c r="AA721" i="3" a="1"/>
  <c r="AA721" i="3" s="1"/>
  <c r="AA722" i="3" a="1"/>
  <c r="AA722" i="3" s="1"/>
  <c r="AA723" i="3" a="1"/>
  <c r="AA723" i="3" s="1"/>
  <c r="AA724" i="3" a="1"/>
  <c r="AA724" i="3" s="1"/>
  <c r="AA725" i="3" a="1"/>
  <c r="AA725" i="3" s="1"/>
  <c r="AA726" i="3" a="1"/>
  <c r="AA726" i="3" s="1"/>
  <c r="AA727" i="3" a="1"/>
  <c r="AA727" i="3" s="1"/>
  <c r="AA728" i="3" a="1"/>
  <c r="AA728" i="3" s="1"/>
  <c r="AA729" i="3" a="1"/>
  <c r="AA729" i="3" s="1"/>
  <c r="AA730" i="3" a="1"/>
  <c r="AA730" i="3" s="1"/>
  <c r="AA731" i="3" a="1"/>
  <c r="AA731" i="3" s="1"/>
  <c r="AA732" i="3" a="1"/>
  <c r="AA732" i="3" s="1"/>
  <c r="AA733" i="3" a="1"/>
  <c r="AA733" i="3" s="1"/>
  <c r="AA734" i="3" a="1"/>
  <c r="AA734" i="3" s="1"/>
  <c r="AA735" i="3" a="1"/>
  <c r="AA735" i="3" s="1"/>
  <c r="AA736" i="3" a="1"/>
  <c r="AA736" i="3" s="1"/>
  <c r="AA737" i="3" a="1"/>
  <c r="AA737" i="3" s="1"/>
  <c r="AA738" i="3" a="1"/>
  <c r="AA738" i="3" s="1"/>
  <c r="AA739" i="3" a="1"/>
  <c r="AA739" i="3" s="1"/>
  <c r="AA740" i="3" a="1"/>
  <c r="AA740" i="3" s="1"/>
  <c r="AA741" i="3" a="1"/>
  <c r="AA741" i="3" s="1"/>
  <c r="AA742" i="3" a="1"/>
  <c r="AA742" i="3" s="1"/>
  <c r="AA743" i="3" a="1"/>
  <c r="AA743" i="3" s="1"/>
  <c r="AA744" i="3" a="1"/>
  <c r="AA744" i="3" s="1"/>
  <c r="AA745" i="3" a="1"/>
  <c r="AA745" i="3" s="1"/>
  <c r="AA746" i="3" a="1"/>
  <c r="AA746" i="3" s="1"/>
  <c r="AA747" i="3" a="1"/>
  <c r="AA747" i="3" s="1"/>
  <c r="AA748" i="3" a="1"/>
  <c r="AA748" i="3" s="1"/>
  <c r="AA749" i="3" a="1"/>
  <c r="AA749" i="3" s="1"/>
  <c r="AA750" i="3" a="1"/>
  <c r="AA750" i="3" s="1"/>
  <c r="AA751" i="3" a="1"/>
  <c r="AA751" i="3" s="1"/>
  <c r="AA752" i="3" a="1"/>
  <c r="AA752" i="3" s="1"/>
  <c r="AA753" i="3" a="1"/>
  <c r="AA753" i="3" s="1"/>
  <c r="AA754" i="3" a="1"/>
  <c r="AA754" i="3" s="1"/>
  <c r="AA755" i="3" a="1"/>
  <c r="AA755" i="3" s="1"/>
  <c r="AA756" i="3" a="1"/>
  <c r="AA756" i="3" s="1"/>
  <c r="AA757" i="3" a="1"/>
  <c r="AA757" i="3" s="1"/>
  <c r="AA758" i="3" a="1"/>
  <c r="AA758" i="3" s="1"/>
  <c r="AA759" i="3" a="1"/>
  <c r="AA759" i="3" s="1"/>
  <c r="AA760" i="3" a="1"/>
  <c r="AA760" i="3" s="1"/>
  <c r="AA761" i="3" a="1"/>
  <c r="AA761" i="3" s="1"/>
  <c r="AA762" i="3" a="1"/>
  <c r="AA762" i="3" s="1"/>
  <c r="AA763" i="3" a="1"/>
  <c r="AA763" i="3" s="1"/>
  <c r="AA764" i="3" a="1"/>
  <c r="AA764" i="3" s="1"/>
  <c r="AA765" i="3" a="1"/>
  <c r="AA765" i="3" s="1"/>
  <c r="AA766" i="3" a="1"/>
  <c r="AA766" i="3" s="1"/>
  <c r="AA767" i="3" a="1"/>
  <c r="AA767" i="3" s="1"/>
  <c r="AA768" i="3" a="1"/>
  <c r="AA768" i="3" s="1"/>
  <c r="AA769" i="3" a="1"/>
  <c r="AA769" i="3" s="1"/>
  <c r="AA770" i="3" a="1"/>
  <c r="AA770" i="3" s="1"/>
  <c r="AA771" i="3" a="1"/>
  <c r="AA771" i="3" s="1"/>
  <c r="AA772" i="3" a="1"/>
  <c r="AA772" i="3" s="1"/>
  <c r="AA773" i="3" a="1"/>
  <c r="AA773" i="3" s="1"/>
  <c r="AA774" i="3" a="1"/>
  <c r="AA774" i="3" s="1"/>
  <c r="AA775" i="3" a="1"/>
  <c r="AA775" i="3" s="1"/>
  <c r="AA776" i="3" a="1"/>
  <c r="AA776" i="3" s="1"/>
  <c r="AA777" i="3" a="1"/>
  <c r="AA777" i="3" s="1"/>
  <c r="AA778" i="3" a="1"/>
  <c r="AA778" i="3" s="1"/>
  <c r="AA779" i="3" a="1"/>
  <c r="AA779" i="3" s="1"/>
  <c r="AA780" i="3" a="1"/>
  <c r="AA780" i="3" s="1"/>
  <c r="AA781" i="3" a="1"/>
  <c r="AA781" i="3" s="1"/>
  <c r="AA782" i="3" a="1"/>
  <c r="AA782" i="3" s="1"/>
  <c r="AA783" i="3" a="1"/>
  <c r="AA783" i="3" s="1"/>
  <c r="AA784" i="3" a="1"/>
  <c r="AA784" i="3" s="1"/>
  <c r="AA785" i="3" a="1"/>
  <c r="AA785" i="3" s="1"/>
  <c r="AA786" i="3" a="1"/>
  <c r="AA786" i="3" s="1"/>
  <c r="AA787" i="3" a="1"/>
  <c r="AA787" i="3" s="1"/>
  <c r="AA788" i="3" a="1"/>
  <c r="AA788" i="3" s="1"/>
  <c r="AA789" i="3" a="1"/>
  <c r="AA789" i="3" s="1"/>
  <c r="AA790" i="3" a="1"/>
  <c r="AA790" i="3" s="1"/>
  <c r="AA791" i="3" a="1"/>
  <c r="AA791" i="3" s="1"/>
  <c r="AA792" i="3" a="1"/>
  <c r="AA792" i="3" s="1"/>
  <c r="AA793" i="3" a="1"/>
  <c r="AA793" i="3" s="1"/>
  <c r="AA794" i="3" a="1"/>
  <c r="AA794" i="3" s="1"/>
  <c r="AA795" i="3" a="1"/>
  <c r="AA795" i="3" s="1"/>
  <c r="AA796" i="3" a="1"/>
  <c r="AA796" i="3" s="1"/>
  <c r="AA797" i="3" a="1"/>
  <c r="AA797" i="3" s="1"/>
  <c r="AA798" i="3" a="1"/>
  <c r="AA798" i="3" s="1"/>
  <c r="AA799" i="3" a="1"/>
  <c r="AA799" i="3" s="1"/>
  <c r="AA800" i="3" a="1"/>
  <c r="AA800" i="3" s="1"/>
  <c r="AA801" i="3" a="1"/>
  <c r="AA801" i="3" s="1"/>
  <c r="AA802" i="3" a="1"/>
  <c r="AA802" i="3" s="1"/>
  <c r="AA803" i="3" a="1"/>
  <c r="AA803" i="3" s="1"/>
  <c r="AA804" i="3" a="1"/>
  <c r="AA804" i="3" s="1"/>
  <c r="AA805" i="3" a="1"/>
  <c r="AA805" i="3" s="1"/>
  <c r="AA806" i="3" a="1"/>
  <c r="AA806" i="3" s="1"/>
  <c r="AA807" i="3" a="1"/>
  <c r="AA807" i="3" s="1"/>
  <c r="AA808" i="3" a="1"/>
  <c r="AA808" i="3" s="1"/>
  <c r="AA809" i="3" a="1"/>
  <c r="AA809" i="3" s="1"/>
  <c r="AA810" i="3" a="1"/>
  <c r="AA810" i="3" s="1"/>
  <c r="AA811" i="3" a="1"/>
  <c r="AA811" i="3" s="1"/>
  <c r="AA812" i="3" a="1"/>
  <c r="AA812" i="3" s="1"/>
  <c r="AA813" i="3" a="1"/>
  <c r="AA813" i="3" s="1"/>
  <c r="AA814" i="3" a="1"/>
  <c r="AA814" i="3" s="1"/>
  <c r="AA815" i="3" a="1"/>
  <c r="AA815" i="3" s="1"/>
  <c r="AA816" i="3" a="1"/>
  <c r="AA816" i="3" s="1"/>
  <c r="AA817" i="3" a="1"/>
  <c r="AA817" i="3" s="1"/>
  <c r="AA818" i="3" a="1"/>
  <c r="AA818" i="3" s="1"/>
  <c r="AA819" i="3" a="1"/>
  <c r="AA819" i="3" s="1"/>
  <c r="AA820" i="3" a="1"/>
  <c r="AA820" i="3" s="1"/>
  <c r="AA821" i="3" a="1"/>
  <c r="AA821" i="3" s="1"/>
  <c r="AA822" i="3" a="1"/>
  <c r="AA822" i="3" s="1"/>
  <c r="AA823" i="3" a="1"/>
  <c r="AA823" i="3" s="1"/>
  <c r="AA824" i="3" a="1"/>
  <c r="AA824" i="3" s="1"/>
  <c r="AA825" i="3" a="1"/>
  <c r="AA825" i="3" s="1"/>
  <c r="AA826" i="3" a="1"/>
  <c r="AA826" i="3" s="1"/>
  <c r="AA827" i="3" a="1"/>
  <c r="AA827" i="3" s="1"/>
  <c r="AA828" i="3" a="1"/>
  <c r="AA828" i="3" s="1"/>
  <c r="AA829" i="3" a="1"/>
  <c r="AA829" i="3" s="1"/>
  <c r="AA830" i="3" a="1"/>
  <c r="AA830" i="3" s="1"/>
  <c r="AA831" i="3" a="1"/>
  <c r="AA831" i="3" s="1"/>
  <c r="AA832" i="3" a="1"/>
  <c r="AA832" i="3" s="1"/>
  <c r="AA833" i="3" a="1"/>
  <c r="AA833" i="3" s="1"/>
  <c r="AA834" i="3" a="1"/>
  <c r="AA834" i="3" s="1"/>
  <c r="AA835" i="3" a="1"/>
  <c r="AA835" i="3" s="1"/>
  <c r="AA836" i="3" a="1"/>
  <c r="AA836" i="3" s="1"/>
  <c r="AA837" i="3" a="1"/>
  <c r="AA837" i="3" s="1"/>
  <c r="AA838" i="3" a="1"/>
  <c r="AA838" i="3" s="1"/>
  <c r="AA839" i="3" a="1"/>
  <c r="AA839" i="3" s="1"/>
  <c r="AA840" i="3" a="1"/>
  <c r="AA840" i="3" s="1"/>
  <c r="AA841" i="3" a="1"/>
  <c r="AA841" i="3" s="1"/>
  <c r="AA842" i="3" a="1"/>
  <c r="AA842" i="3" s="1"/>
  <c r="AA843" i="3" a="1"/>
  <c r="AA843" i="3" s="1"/>
  <c r="AA844" i="3" a="1"/>
  <c r="AA844" i="3" s="1"/>
  <c r="AA845" i="3" a="1"/>
  <c r="AA845" i="3" s="1"/>
  <c r="AA846" i="3" a="1"/>
  <c r="AA846" i="3" s="1"/>
  <c r="AA847" i="3" a="1"/>
  <c r="AA847" i="3" s="1"/>
  <c r="AA848" i="3" a="1"/>
  <c r="AA848" i="3" s="1"/>
  <c r="AA849" i="3" a="1"/>
  <c r="AA849" i="3" s="1"/>
  <c r="AA850" i="3" a="1"/>
  <c r="AA850" i="3" s="1"/>
  <c r="AA851" i="3" a="1"/>
  <c r="AA851" i="3" s="1"/>
  <c r="AA852" i="3" a="1"/>
  <c r="AA852" i="3" s="1"/>
  <c r="AA853" i="3" a="1"/>
  <c r="AA853" i="3" s="1"/>
  <c r="AA854" i="3" a="1"/>
  <c r="AA854" i="3" s="1"/>
  <c r="AA855" i="3" a="1"/>
  <c r="AA855" i="3" s="1"/>
  <c r="AA856" i="3" a="1"/>
  <c r="AA856" i="3" s="1"/>
  <c r="AA857" i="3" a="1"/>
  <c r="AA857" i="3" s="1"/>
  <c r="AA858" i="3" a="1"/>
  <c r="AA858" i="3" s="1"/>
  <c r="AA859" i="3" a="1"/>
  <c r="AA859" i="3" s="1"/>
  <c r="AA860" i="3" a="1"/>
  <c r="AA860" i="3" s="1"/>
  <c r="AA861" i="3" a="1"/>
  <c r="AA861" i="3" s="1"/>
  <c r="AA862" i="3" a="1"/>
  <c r="AA862" i="3" s="1"/>
  <c r="AA863" i="3" a="1"/>
  <c r="AA863" i="3" s="1"/>
  <c r="AA864" i="3" a="1"/>
  <c r="AA864" i="3" s="1"/>
  <c r="AA865" i="3" a="1"/>
  <c r="AA865" i="3" s="1"/>
  <c r="AA866" i="3" a="1"/>
  <c r="AA866" i="3" s="1"/>
  <c r="AA867" i="3" a="1"/>
  <c r="AA867" i="3" s="1"/>
  <c r="AA868" i="3" a="1"/>
  <c r="AA868" i="3" s="1"/>
  <c r="AA869" i="3" a="1"/>
  <c r="AA869" i="3" s="1"/>
  <c r="AA870" i="3" a="1"/>
  <c r="AA870" i="3" s="1"/>
  <c r="AA871" i="3" a="1"/>
  <c r="AA871" i="3" s="1"/>
  <c r="AA872" i="3" a="1"/>
  <c r="AA872" i="3" s="1"/>
  <c r="AA873" i="3" a="1"/>
  <c r="AA873" i="3" s="1"/>
  <c r="AA874" i="3" a="1"/>
  <c r="AA874" i="3" s="1"/>
  <c r="AA875" i="3" a="1"/>
  <c r="AA875" i="3" s="1"/>
  <c r="AA876" i="3" a="1"/>
  <c r="AA876" i="3" s="1"/>
  <c r="AA877" i="3" a="1"/>
  <c r="AA877" i="3" s="1"/>
  <c r="AA878" i="3" a="1"/>
  <c r="AA878" i="3" s="1"/>
  <c r="AA879" i="3" a="1"/>
  <c r="AA879" i="3" s="1"/>
  <c r="AA880" i="3" a="1"/>
  <c r="AA880" i="3" s="1"/>
  <c r="AA881" i="3" a="1"/>
  <c r="AA881" i="3" s="1"/>
  <c r="AA882" i="3" a="1"/>
  <c r="AA882" i="3" s="1"/>
  <c r="AA883" i="3" a="1"/>
  <c r="AA883" i="3" s="1"/>
  <c r="AA884" i="3" a="1"/>
  <c r="AA884" i="3" s="1"/>
  <c r="AA885" i="3" a="1"/>
  <c r="AA885" i="3" s="1"/>
  <c r="AA886" i="3" a="1"/>
  <c r="AA886" i="3" s="1"/>
  <c r="AA887" i="3" a="1"/>
  <c r="AA887" i="3" s="1"/>
  <c r="AA888" i="3" a="1"/>
  <c r="AA888" i="3" s="1"/>
  <c r="AA889" i="3" a="1"/>
  <c r="AA889" i="3" s="1"/>
  <c r="AA890" i="3" a="1"/>
  <c r="AA890" i="3" s="1"/>
  <c r="AA891" i="3" a="1"/>
  <c r="AA891" i="3" s="1"/>
  <c r="AA892" i="3" a="1"/>
  <c r="AA892" i="3" s="1"/>
  <c r="AA893" i="3" a="1"/>
  <c r="AA893" i="3" s="1"/>
  <c r="AA894" i="3" a="1"/>
  <c r="AA894" i="3" s="1"/>
  <c r="AA895" i="3" a="1"/>
  <c r="AA895" i="3" s="1"/>
  <c r="AA896" i="3" a="1"/>
  <c r="AA896" i="3" s="1"/>
  <c r="AA897" i="3" a="1"/>
  <c r="AA897" i="3" s="1"/>
  <c r="AA898" i="3" a="1"/>
  <c r="AA898" i="3" s="1"/>
  <c r="AA899" i="3" a="1"/>
  <c r="AA899" i="3" s="1"/>
  <c r="AA900" i="3" a="1"/>
  <c r="AA900" i="3" s="1"/>
  <c r="AA901" i="3" a="1"/>
  <c r="AA901" i="3" s="1"/>
  <c r="AA902" i="3" a="1"/>
  <c r="AA902" i="3" s="1"/>
  <c r="AA903" i="3" a="1"/>
  <c r="AA903" i="3" s="1"/>
  <c r="AA904" i="3" a="1"/>
  <c r="AA904" i="3" s="1"/>
  <c r="AA905" i="3" a="1"/>
  <c r="AA905" i="3" s="1"/>
  <c r="AA906" i="3" a="1"/>
  <c r="AA906" i="3" s="1"/>
  <c r="AA907" i="3" a="1"/>
  <c r="AA907" i="3" s="1"/>
  <c r="AA908" i="3" a="1"/>
  <c r="AA908" i="3" s="1"/>
  <c r="AA909" i="3" a="1"/>
  <c r="AA909" i="3" s="1"/>
  <c r="AA910" i="3" a="1"/>
  <c r="AA910" i="3" s="1"/>
  <c r="AA911" i="3" a="1"/>
  <c r="AA911" i="3" s="1"/>
  <c r="AA912" i="3" a="1"/>
  <c r="AA912" i="3" s="1"/>
  <c r="AA913" i="3" a="1"/>
  <c r="AA913" i="3" s="1"/>
  <c r="AA914" i="3" a="1"/>
  <c r="AA914" i="3" s="1"/>
  <c r="AA915" i="3" a="1"/>
  <c r="AA915" i="3" s="1"/>
  <c r="AA916" i="3" a="1"/>
  <c r="AA916" i="3" s="1"/>
  <c r="AA917" i="3" a="1"/>
  <c r="AA917" i="3" s="1"/>
  <c r="AA918" i="3" a="1"/>
  <c r="AA918" i="3" s="1"/>
  <c r="AA919" i="3" a="1"/>
  <c r="AA919" i="3" s="1"/>
  <c r="AA920" i="3" a="1"/>
  <c r="AA920" i="3" s="1"/>
  <c r="AA921" i="3" a="1"/>
  <c r="AA921" i="3" s="1"/>
  <c r="AA922" i="3" a="1"/>
  <c r="AA922" i="3" s="1"/>
  <c r="AA923" i="3" a="1"/>
  <c r="AA923" i="3" s="1"/>
  <c r="AA924" i="3" a="1"/>
  <c r="AA924" i="3" s="1"/>
  <c r="AA925" i="3" a="1"/>
  <c r="AA925" i="3" s="1"/>
  <c r="AA926" i="3" a="1"/>
  <c r="AA926" i="3" s="1"/>
  <c r="AA927" i="3" a="1"/>
  <c r="AA927" i="3" s="1"/>
  <c r="AA928" i="3" a="1"/>
  <c r="AA928" i="3" s="1"/>
  <c r="AA929" i="3" a="1"/>
  <c r="AA929" i="3" s="1"/>
  <c r="AA930" i="3" a="1"/>
  <c r="AA930" i="3" s="1"/>
  <c r="AA931" i="3" a="1"/>
  <c r="AA931" i="3" s="1"/>
  <c r="AA932" i="3" a="1"/>
  <c r="AA932" i="3" s="1"/>
  <c r="AA933" i="3" a="1"/>
  <c r="AA933" i="3" s="1"/>
  <c r="AA934" i="3" a="1"/>
  <c r="AA934" i="3" s="1"/>
  <c r="AA935" i="3" a="1"/>
  <c r="AA935" i="3" s="1"/>
  <c r="AA936" i="3" a="1"/>
  <c r="AA936" i="3" s="1"/>
  <c r="AA937" i="3" a="1"/>
  <c r="AA937" i="3" s="1"/>
  <c r="AA938" i="3" a="1"/>
  <c r="AA938" i="3" s="1"/>
  <c r="AA939" i="3" a="1"/>
  <c r="AA939" i="3" s="1"/>
  <c r="AA940" i="3" a="1"/>
  <c r="AA940" i="3" s="1"/>
  <c r="AA941" i="3" a="1"/>
  <c r="AA941" i="3" s="1"/>
  <c r="AA942" i="3" a="1"/>
  <c r="AA942" i="3" s="1"/>
  <c r="AA943" i="3" a="1"/>
  <c r="AA943" i="3" s="1"/>
  <c r="AA944" i="3" a="1"/>
  <c r="AA944" i="3" s="1"/>
  <c r="AA945" i="3" a="1"/>
  <c r="AA945" i="3" s="1"/>
  <c r="AA946" i="3" a="1"/>
  <c r="AA946" i="3" s="1"/>
  <c r="AA947" i="3" a="1"/>
  <c r="AA947" i="3" s="1"/>
  <c r="AA948" i="3" a="1"/>
  <c r="AA948" i="3" s="1"/>
  <c r="AA949" i="3" a="1"/>
  <c r="AA949" i="3" s="1"/>
  <c r="AA950" i="3" a="1"/>
  <c r="AA950" i="3" s="1"/>
  <c r="AA951" i="3" a="1"/>
  <c r="AA951" i="3" s="1"/>
  <c r="AA952" i="3" a="1"/>
  <c r="AA952" i="3" s="1"/>
  <c r="AA953" i="3" a="1"/>
  <c r="AA953" i="3" s="1"/>
  <c r="AA954" i="3" a="1"/>
  <c r="AA954" i="3" s="1"/>
  <c r="AA955" i="3" a="1"/>
  <c r="AA955" i="3" s="1"/>
  <c r="AA956" i="3" a="1"/>
  <c r="AA956" i="3" s="1"/>
  <c r="AA957" i="3" a="1"/>
  <c r="AA957" i="3" s="1"/>
  <c r="AA958" i="3" a="1"/>
  <c r="AA958" i="3" s="1"/>
  <c r="AA959" i="3" a="1"/>
  <c r="AA959" i="3" s="1"/>
  <c r="AA960" i="3" a="1"/>
  <c r="AA960" i="3" s="1"/>
  <c r="AA961" i="3" a="1"/>
  <c r="AA961" i="3" s="1"/>
  <c r="AA962" i="3" a="1"/>
  <c r="AA962" i="3" s="1"/>
  <c r="AA963" i="3" a="1"/>
  <c r="AA963" i="3" s="1"/>
  <c r="AA964" i="3" a="1"/>
  <c r="AA964" i="3" s="1"/>
  <c r="AA965" i="3" a="1"/>
  <c r="AA965" i="3" s="1"/>
  <c r="AA966" i="3" a="1"/>
  <c r="AA966" i="3" s="1"/>
  <c r="AA967" i="3" a="1"/>
  <c r="AA967" i="3" s="1"/>
  <c r="AA968" i="3" a="1"/>
  <c r="AA968" i="3" s="1"/>
  <c r="AA969" i="3" a="1"/>
  <c r="AA969" i="3" s="1"/>
  <c r="AA970" i="3" a="1"/>
  <c r="AA970" i="3" s="1"/>
  <c r="AA971" i="3" a="1"/>
  <c r="AA971" i="3" s="1"/>
  <c r="AA972" i="3" a="1"/>
  <c r="AA972" i="3" s="1"/>
  <c r="AA973" i="3" a="1"/>
  <c r="AA973" i="3" s="1"/>
  <c r="AA974" i="3" a="1"/>
  <c r="AA974" i="3" s="1"/>
  <c r="AA975" i="3" a="1"/>
  <c r="AA975" i="3" s="1"/>
  <c r="AA976" i="3" a="1"/>
  <c r="AA976" i="3" s="1"/>
  <c r="AA977" i="3" a="1"/>
  <c r="AA977" i="3" s="1"/>
  <c r="AA978" i="3" a="1"/>
  <c r="AA978" i="3" s="1"/>
  <c r="AA979" i="3" a="1"/>
  <c r="AA979" i="3" s="1"/>
  <c r="AA980" i="3" a="1"/>
  <c r="AA980" i="3" s="1"/>
  <c r="AA981" i="3" a="1"/>
  <c r="AA981" i="3" s="1"/>
  <c r="AA982" i="3" a="1"/>
  <c r="AA982" i="3" s="1"/>
  <c r="AA983" i="3" a="1"/>
  <c r="AA983" i="3" s="1"/>
  <c r="AA984" i="3" a="1"/>
  <c r="AA984" i="3" s="1"/>
  <c r="AA985" i="3" a="1"/>
  <c r="AA985" i="3" s="1"/>
  <c r="AA986" i="3" a="1"/>
  <c r="AA986" i="3" s="1"/>
  <c r="AA987" i="3" a="1"/>
  <c r="AA987" i="3" s="1"/>
  <c r="AA988" i="3" a="1"/>
  <c r="AA988" i="3" s="1"/>
  <c r="AA989" i="3" a="1"/>
  <c r="AA989" i="3" s="1"/>
  <c r="AA990" i="3" a="1"/>
  <c r="AA990" i="3" s="1"/>
  <c r="AA991" i="3" a="1"/>
  <c r="AA991" i="3" s="1"/>
  <c r="AA992" i="3" a="1"/>
  <c r="AA992" i="3" s="1"/>
  <c r="AA993" i="3" a="1"/>
  <c r="AA993" i="3" s="1"/>
  <c r="AA994" i="3" a="1"/>
  <c r="AA994" i="3" s="1"/>
  <c r="AA995" i="3" a="1"/>
  <c r="AA995" i="3" s="1"/>
  <c r="AA996" i="3" a="1"/>
  <c r="AA996" i="3" s="1"/>
  <c r="AA997" i="3" a="1"/>
  <c r="AA997" i="3" s="1"/>
  <c r="AA998" i="3" a="1"/>
  <c r="AA998" i="3" s="1"/>
  <c r="AA999" i="3" a="1"/>
  <c r="AA999" i="3" s="1"/>
  <c r="AA1000" i="3" a="1"/>
  <c r="AA1000" i="3" s="1"/>
  <c r="AA1001" i="3" a="1"/>
  <c r="AA1001" i="3" s="1"/>
  <c r="AA1002" i="3" a="1"/>
  <c r="AA1002" i="3" s="1"/>
  <c r="AA1003" i="3" a="1"/>
  <c r="AA1003" i="3" s="1"/>
  <c r="AA1004" i="3" a="1"/>
  <c r="AA1004" i="3" s="1"/>
  <c r="AA1005" i="3" a="1"/>
  <c r="AA1005" i="3" s="1"/>
  <c r="AA1006" i="3" a="1"/>
  <c r="AA1006" i="3" s="1"/>
  <c r="AA1007" i="3" a="1"/>
  <c r="AA1007" i="3" s="1"/>
  <c r="AA1008" i="3" a="1"/>
  <c r="AA1008" i="3" s="1"/>
  <c r="AA1009" i="3" a="1"/>
  <c r="AA1009" i="3" s="1"/>
  <c r="AA1010" i="3" a="1"/>
  <c r="AA1010" i="3" s="1"/>
  <c r="AA1011" i="3" a="1"/>
  <c r="AA1011" i="3" s="1"/>
  <c r="AA1012" i="3" a="1"/>
  <c r="AA1012" i="3" s="1"/>
  <c r="AA1013" i="3" a="1"/>
  <c r="AA1013" i="3" s="1"/>
  <c r="AA1014" i="3" a="1"/>
  <c r="AA1014" i="3" s="1"/>
  <c r="AA1015" i="3" a="1"/>
  <c r="AA1015" i="3" s="1"/>
  <c r="AA1016" i="3" a="1"/>
  <c r="AA1016" i="3" s="1"/>
  <c r="AA1017" i="3" a="1"/>
  <c r="AA1017" i="3" s="1"/>
  <c r="AA1018" i="3" a="1"/>
  <c r="AA1018" i="3" s="1"/>
  <c r="AA1019" i="3" a="1"/>
  <c r="AA1019" i="3" s="1"/>
  <c r="AA1020" i="3" a="1"/>
  <c r="AA1020" i="3" s="1"/>
  <c r="AA1021" i="3" a="1"/>
  <c r="AA1021" i="3" s="1"/>
  <c r="AA1022" i="3" a="1"/>
  <c r="AA1022" i="3" s="1"/>
  <c r="AA1023" i="3" a="1"/>
  <c r="AA1023" i="3" s="1"/>
  <c r="AA1024" i="3" a="1"/>
  <c r="AA1024" i="3" s="1"/>
  <c r="AA1025" i="3" a="1"/>
  <c r="AA1025" i="3" s="1"/>
  <c r="AA1026" i="3" a="1"/>
  <c r="AA1026" i="3" s="1"/>
  <c r="AA1027" i="3" a="1"/>
  <c r="AA1027" i="3" s="1"/>
  <c r="AA1028" i="3" a="1"/>
  <c r="AA1028" i="3" s="1"/>
  <c r="AA1029" i="3" a="1"/>
  <c r="AA1029" i="3" s="1"/>
  <c r="AA1030" i="3" a="1"/>
  <c r="AA1030" i="3" s="1"/>
  <c r="AA1031" i="3" a="1"/>
  <c r="AA1031" i="3" s="1"/>
  <c r="AA1032" i="3" a="1"/>
  <c r="AA1032" i="3" s="1"/>
  <c r="AA1033" i="3" a="1"/>
  <c r="AA1033" i="3" s="1"/>
  <c r="AA1034" i="3" a="1"/>
  <c r="AA1034" i="3" s="1"/>
  <c r="AA1035" i="3" a="1"/>
  <c r="AA1035" i="3" s="1"/>
  <c r="AA1036" i="3" a="1"/>
  <c r="AA1036" i="3" s="1"/>
  <c r="AA1037" i="3" a="1"/>
  <c r="AA1037" i="3" s="1"/>
  <c r="AA1038" i="3" a="1"/>
  <c r="AA1038" i="3" s="1"/>
  <c r="AA1039" i="3" a="1"/>
  <c r="AA1039" i="3" s="1"/>
  <c r="AA1040" i="3" a="1"/>
  <c r="AA1040" i="3" s="1"/>
  <c r="AA1041" i="3" a="1"/>
  <c r="AA1041" i="3" s="1"/>
  <c r="AA1042" i="3" a="1"/>
  <c r="AA1042" i="3" s="1"/>
  <c r="AA1043" i="3" a="1"/>
  <c r="AA1043" i="3" s="1"/>
  <c r="AA1044" i="3" a="1"/>
  <c r="AA1044" i="3" s="1"/>
  <c r="AA1045" i="3" a="1"/>
  <c r="AA1045" i="3" s="1"/>
  <c r="AA1046" i="3" a="1"/>
  <c r="AA1046" i="3" s="1"/>
  <c r="AA1047" i="3" a="1"/>
  <c r="AA1047" i="3" s="1"/>
  <c r="AA1048" i="3" a="1"/>
  <c r="AA1048" i="3" s="1"/>
  <c r="AA1049" i="3" a="1"/>
  <c r="AA1049" i="3" s="1"/>
  <c r="AA1050" i="3" a="1"/>
  <c r="AA1050" i="3" s="1"/>
  <c r="AA1051" i="3" a="1"/>
  <c r="AA1051" i="3" s="1"/>
  <c r="AA1052" i="3" a="1"/>
  <c r="AA1052" i="3" s="1"/>
  <c r="AA1053" i="3" a="1"/>
  <c r="AA1053" i="3" s="1"/>
  <c r="AA1054" i="3" a="1"/>
  <c r="AA1054" i="3" s="1"/>
  <c r="AA1055" i="3" a="1"/>
  <c r="AA1055" i="3" s="1"/>
  <c r="AA1056" i="3" a="1"/>
  <c r="AA1056" i="3" s="1"/>
  <c r="AA1057" i="3" a="1"/>
  <c r="AA1057" i="3" s="1"/>
  <c r="AA1058" i="3" a="1"/>
  <c r="AA1058" i="3" s="1"/>
  <c r="AA1059" i="3" a="1"/>
  <c r="AA1059" i="3" s="1"/>
  <c r="AA1060" i="3" a="1"/>
  <c r="AA1060" i="3" s="1"/>
  <c r="AA1061" i="3" a="1"/>
  <c r="AA1061" i="3" s="1"/>
  <c r="AA1062" i="3" a="1"/>
  <c r="AA1062" i="3" s="1"/>
  <c r="AA1063" i="3" a="1"/>
  <c r="AA1063" i="3" s="1"/>
  <c r="AA1064" i="3" a="1"/>
  <c r="AA1064" i="3" s="1"/>
  <c r="AA1065" i="3" a="1"/>
  <c r="AA1065" i="3" s="1"/>
  <c r="AA1066" i="3" a="1"/>
  <c r="AA1066" i="3" s="1"/>
  <c r="AA1067" i="3" a="1"/>
  <c r="AA1067" i="3" s="1"/>
  <c r="AA1068" i="3" a="1"/>
  <c r="AA1068" i="3" s="1"/>
  <c r="AA1069" i="3" a="1"/>
  <c r="AA1069" i="3" s="1"/>
  <c r="AA1070" i="3" a="1"/>
  <c r="AA1070" i="3" s="1"/>
  <c r="AA1071" i="3" a="1"/>
  <c r="AA1071" i="3" s="1"/>
  <c r="AA1072" i="3" a="1"/>
  <c r="AA1072" i="3" s="1"/>
  <c r="AA1073" i="3" a="1"/>
  <c r="AA1073" i="3" s="1"/>
  <c r="AA1074" i="3" a="1"/>
  <c r="AA1074" i="3" s="1"/>
  <c r="AA1075" i="3" a="1"/>
  <c r="AA1075" i="3" s="1"/>
  <c r="AA1076" i="3" a="1"/>
  <c r="AA1076" i="3" s="1"/>
  <c r="AA1077" i="3" a="1"/>
  <c r="AA1077" i="3" s="1"/>
  <c r="AA1078" i="3" a="1"/>
  <c r="AA1078" i="3" s="1"/>
  <c r="AA1079" i="3" a="1"/>
  <c r="AA1079" i="3" s="1"/>
  <c r="AA1080" i="3" a="1"/>
  <c r="AA1080" i="3" s="1"/>
  <c r="AA1081" i="3" a="1"/>
  <c r="AA1081" i="3" s="1"/>
  <c r="AA1082" i="3" a="1"/>
  <c r="AA1082" i="3" s="1"/>
  <c r="AA1083" i="3" a="1"/>
  <c r="AA1083" i="3" s="1"/>
  <c r="AA1084" i="3" a="1"/>
  <c r="AA1084" i="3" s="1"/>
  <c r="AA1085" i="3" a="1"/>
  <c r="AA1085" i="3" s="1"/>
  <c r="AA1086" i="3" a="1"/>
  <c r="AA1086" i="3" s="1"/>
  <c r="AA1087" i="3" a="1"/>
  <c r="AA1087" i="3" s="1"/>
  <c r="AA1088" i="3" a="1"/>
  <c r="AA1088" i="3" s="1"/>
  <c r="AA1089" i="3" a="1"/>
  <c r="AA1089" i="3" s="1"/>
  <c r="AA1090" i="3" a="1"/>
  <c r="AA1090" i="3" s="1"/>
  <c r="AA1091" i="3" a="1"/>
  <c r="AA1091" i="3" s="1"/>
  <c r="AA1092" i="3" a="1"/>
  <c r="AA1092" i="3" s="1"/>
  <c r="AA1093" i="3" a="1"/>
  <c r="AA1093" i="3" s="1"/>
  <c r="AA1094" i="3" a="1"/>
  <c r="AA1094" i="3" s="1"/>
  <c r="AA1095" i="3" a="1"/>
  <c r="AA1095" i="3" s="1"/>
  <c r="AA1096" i="3" a="1"/>
  <c r="AA1096" i="3" s="1"/>
  <c r="AA1097" i="3" a="1"/>
  <c r="AA1097" i="3" s="1"/>
  <c r="AA1098" i="3" a="1"/>
  <c r="AA1098" i="3" s="1"/>
  <c r="AA1099" i="3" a="1"/>
  <c r="AA1099" i="3" s="1"/>
  <c r="AA1100" i="3" a="1"/>
  <c r="AA1100" i="3" s="1"/>
  <c r="AA1101" i="3" a="1"/>
  <c r="AA1101" i="3" s="1"/>
  <c r="AA1102" i="3" a="1"/>
  <c r="AA1102" i="3" s="1"/>
  <c r="AA1103" i="3" a="1"/>
  <c r="AA1103" i="3" s="1"/>
  <c r="AA1104" i="3" a="1"/>
  <c r="AA1104" i="3" s="1"/>
  <c r="AA1105" i="3" a="1"/>
  <c r="AA1105" i="3" s="1"/>
  <c r="AA1106" i="3" a="1"/>
  <c r="AA1106" i="3" s="1"/>
  <c r="AA1107" i="3" a="1"/>
  <c r="AA1107" i="3" s="1"/>
  <c r="AA1108" i="3" a="1"/>
  <c r="AA1108" i="3" s="1"/>
  <c r="AA1109" i="3" a="1"/>
  <c r="AA1109" i="3" s="1"/>
  <c r="AA1110" i="3" a="1"/>
  <c r="AA1110" i="3" s="1"/>
  <c r="AA1111" i="3" a="1"/>
  <c r="AA1111" i="3" s="1"/>
  <c r="AA1112" i="3" a="1"/>
  <c r="AA1112" i="3" s="1"/>
  <c r="AA1113" i="3" a="1"/>
  <c r="AA1113" i="3" s="1"/>
  <c r="AA1114" i="3" a="1"/>
  <c r="AA1114" i="3" s="1"/>
  <c r="AA1115" i="3" a="1"/>
  <c r="AA1115" i="3" s="1"/>
  <c r="AA1116" i="3" a="1"/>
  <c r="AA1116" i="3" s="1"/>
  <c r="AA1117" i="3" a="1"/>
  <c r="AA1117" i="3" s="1"/>
  <c r="AA1118" i="3" a="1"/>
  <c r="AA1118" i="3" s="1"/>
  <c r="AA1119" i="3" a="1"/>
  <c r="AA1119" i="3" s="1"/>
  <c r="AA1120" i="3" a="1"/>
  <c r="AA1120" i="3" s="1"/>
  <c r="AA1121" i="3" a="1"/>
  <c r="AA1121" i="3" s="1"/>
  <c r="AA1122" i="3" a="1"/>
  <c r="AA1122" i="3" s="1"/>
  <c r="AA1123" i="3" a="1"/>
  <c r="AA1123" i="3" s="1"/>
  <c r="AA1124" i="3" a="1"/>
  <c r="AA1124" i="3" s="1"/>
  <c r="AA1125" i="3" a="1"/>
  <c r="AA1125" i="3" s="1"/>
  <c r="AA1126" i="3" a="1"/>
  <c r="AA1126" i="3" s="1"/>
  <c r="AA1127" i="3" a="1"/>
  <c r="AA1127" i="3" s="1"/>
  <c r="AA1128" i="3" a="1"/>
  <c r="AA1128" i="3" s="1"/>
  <c r="AA1129" i="3" a="1"/>
  <c r="AA1129" i="3" s="1"/>
  <c r="AA1130" i="3" a="1"/>
  <c r="AA1130" i="3" s="1"/>
  <c r="AA1131" i="3" a="1"/>
  <c r="AA1131" i="3" s="1"/>
  <c r="AA1132" i="3" a="1"/>
  <c r="AA1132" i="3" s="1"/>
  <c r="AA1133" i="3" a="1"/>
  <c r="AA1133" i="3" s="1"/>
  <c r="AA1134" i="3" a="1"/>
  <c r="AA1134" i="3" s="1"/>
  <c r="AA1135" i="3" a="1"/>
  <c r="AA1135" i="3" s="1"/>
  <c r="AA1136" i="3" a="1"/>
  <c r="AA1136" i="3" s="1"/>
  <c r="AA1137" i="3" a="1"/>
  <c r="AA1137" i="3" s="1"/>
  <c r="AA1138" i="3" a="1"/>
  <c r="AA1138" i="3" s="1"/>
  <c r="AA1139" i="3" a="1"/>
  <c r="AA1139" i="3" s="1"/>
  <c r="AA1140" i="3" a="1"/>
  <c r="AA1140" i="3" s="1"/>
  <c r="AA1141" i="3" a="1"/>
  <c r="AA1141" i="3" s="1"/>
  <c r="AA1142" i="3" a="1"/>
  <c r="AA1142" i="3" s="1"/>
  <c r="AA1143" i="3" a="1"/>
  <c r="AA1143" i="3" s="1"/>
  <c r="AA1144" i="3" a="1"/>
  <c r="AA1144" i="3" s="1"/>
  <c r="AA1145" i="3" a="1"/>
  <c r="AA1145" i="3"/>
  <c r="AA1146" i="3" a="1"/>
  <c r="AA1146" i="3" s="1"/>
  <c r="AA1147" i="3" a="1"/>
  <c r="AA1147" i="3" s="1"/>
  <c r="AA1148" i="3" a="1"/>
  <c r="AA1148" i="3"/>
  <c r="AA1149" i="3" a="1"/>
  <c r="AA1149" i="3" s="1"/>
  <c r="AA1150" i="3" a="1"/>
  <c r="AA1150" i="3" s="1"/>
  <c r="AA1151" i="3" a="1"/>
  <c r="AA1151" i="3" s="1"/>
  <c r="AA1152" i="3" a="1"/>
  <c r="AA1152" i="3" s="1"/>
  <c r="AA1153" i="3" a="1"/>
  <c r="AA1153" i="3" s="1"/>
  <c r="AA1154" i="3" a="1"/>
  <c r="AA1154" i="3" s="1"/>
  <c r="AA1155" i="3" a="1"/>
  <c r="AA1155" i="3"/>
  <c r="AA1156" i="3" a="1"/>
  <c r="AA1156" i="3" s="1"/>
  <c r="AA1157" i="3" a="1"/>
  <c r="AA1157" i="3" s="1"/>
  <c r="AA1158" i="3" a="1"/>
  <c r="AA1158" i="3" s="1"/>
  <c r="AA1159" i="3" a="1"/>
  <c r="AA1159" i="3" s="1"/>
  <c r="AA1160" i="3" a="1"/>
  <c r="AA1160" i="3" s="1"/>
  <c r="AA1161" i="3" a="1"/>
  <c r="AA1161" i="3"/>
  <c r="AA1162" i="3" a="1"/>
  <c r="AA1162" i="3" s="1"/>
  <c r="AA1163" i="3" a="1"/>
  <c r="AA1163" i="3" s="1"/>
  <c r="AA1164" i="3" a="1"/>
  <c r="AA1164" i="3" s="1"/>
  <c r="AA1165" i="3" a="1"/>
  <c r="AA1165" i="3" s="1"/>
  <c r="AA1166" i="3" a="1"/>
  <c r="AA1166" i="3" s="1"/>
  <c r="AA1167" i="3" a="1"/>
  <c r="AA1167" i="3" s="1"/>
  <c r="AA1168" i="3" a="1"/>
  <c r="AA1168" i="3" s="1"/>
  <c r="AA1169" i="3" a="1"/>
  <c r="AA1169" i="3" s="1"/>
  <c r="AA1170" i="3" a="1"/>
  <c r="AA1170" i="3" s="1"/>
  <c r="AA1171" i="3" a="1"/>
  <c r="AA1171" i="3" s="1"/>
  <c r="AA1172" i="3" a="1"/>
  <c r="AA1172" i="3" s="1"/>
  <c r="AA1173" i="3" a="1"/>
  <c r="AA1173" i="3" s="1"/>
  <c r="AA1174" i="3" a="1"/>
  <c r="AA1174" i="3" s="1"/>
  <c r="AA1175" i="3" a="1"/>
  <c r="AA1175" i="3" s="1"/>
  <c r="AA1176" i="3" a="1"/>
  <c r="AA1176" i="3" s="1"/>
  <c r="AA1177" i="3" a="1"/>
  <c r="AA1177" i="3"/>
  <c r="AA1178" i="3" a="1"/>
  <c r="AA1178" i="3" s="1"/>
  <c r="AA1179" i="3" a="1"/>
  <c r="AA1179" i="3" s="1"/>
  <c r="AA1180" i="3" a="1"/>
  <c r="AA1180" i="3" s="1"/>
  <c r="AA1181" i="3" a="1"/>
  <c r="AA1181" i="3" s="1"/>
  <c r="AA1182" i="3" a="1"/>
  <c r="AA1182" i="3" s="1"/>
  <c r="AA1183" i="3" a="1"/>
  <c r="AA1183" i="3" s="1"/>
  <c r="AA1184" i="3" a="1"/>
  <c r="AA1184" i="3" s="1"/>
  <c r="AA1185" i="3" a="1"/>
  <c r="AA1185" i="3" s="1"/>
  <c r="AA1186" i="3" a="1"/>
  <c r="AA1186" i="3" s="1"/>
  <c r="AA1187" i="3" a="1"/>
  <c r="AA1187" i="3" s="1"/>
  <c r="AA1188" i="3" a="1"/>
  <c r="AA1188" i="3" s="1"/>
  <c r="AA1189" i="3" a="1"/>
  <c r="AA1189" i="3" s="1"/>
  <c r="AA1190" i="3" a="1"/>
  <c r="AA1190" i="3"/>
  <c r="AA1191" i="3" a="1"/>
  <c r="AA1191" i="3"/>
  <c r="AA1192" i="3" a="1"/>
  <c r="AA1192" i="3"/>
  <c r="AA1193" i="3" a="1"/>
  <c r="AA1193" i="3"/>
  <c r="AA1194" i="3" a="1"/>
  <c r="AA1194" i="3"/>
  <c r="AA1195" i="3" a="1"/>
  <c r="AA1195" i="3" s="1"/>
  <c r="AA1196" i="3" a="1"/>
  <c r="AA1196" i="3" s="1"/>
  <c r="AA1197" i="3" a="1"/>
  <c r="AA1197" i="3" s="1"/>
  <c r="AA1198" i="3" a="1"/>
  <c r="AA1198" i="3" s="1"/>
  <c r="AA1199" i="3" a="1"/>
  <c r="AA1199" i="3"/>
  <c r="AA1200" i="3" a="1"/>
  <c r="AA1200" i="3" s="1"/>
  <c r="AA1201" i="3" a="1"/>
  <c r="AA1201" i="3" s="1"/>
  <c r="AA1202" i="3" a="1"/>
  <c r="AA1202" i="3" s="1"/>
  <c r="AA1203" i="3" a="1"/>
  <c r="AA1203" i="3" s="1"/>
  <c r="AA1204" i="3" a="1"/>
  <c r="AA1204" i="3"/>
  <c r="AA1205" i="3" a="1"/>
  <c r="AA1205" i="3" s="1"/>
  <c r="AA1206" i="3" a="1"/>
  <c r="AA1206" i="3" s="1"/>
  <c r="AA1207" i="3" a="1"/>
  <c r="AA1207" i="3" s="1"/>
  <c r="AA1208" i="3" a="1"/>
  <c r="AA1208" i="3"/>
  <c r="AA1209" i="3" a="1"/>
  <c r="AA1209" i="3" s="1"/>
  <c r="AA1210" i="3" a="1"/>
  <c r="AA1210" i="3" s="1"/>
  <c r="AA1211" i="3" a="1"/>
  <c r="AA1211" i="3" s="1"/>
  <c r="AA1212" i="3" a="1"/>
  <c r="AA1212" i="3" s="1"/>
  <c r="AA1213" i="3" a="1"/>
  <c r="AA1213" i="3" s="1"/>
  <c r="AA1214" i="3" a="1"/>
  <c r="AA1214" i="3" s="1"/>
  <c r="AA1215" i="3" a="1"/>
  <c r="AA1215" i="3" s="1"/>
  <c r="AA1216" i="3" a="1"/>
  <c r="AA1216" i="3" s="1"/>
  <c r="AA1217" i="3" a="1"/>
  <c r="AA1217" i="3"/>
  <c r="AA1218" i="3" a="1"/>
  <c r="AA1218" i="3" s="1"/>
  <c r="AA1219" i="3" a="1"/>
  <c r="AA1219" i="3" s="1"/>
  <c r="AA1220" i="3" a="1"/>
  <c r="AA1220" i="3"/>
  <c r="AA1221" i="3" a="1"/>
  <c r="AA1221" i="3" s="1"/>
  <c r="AA1222" i="3" a="1"/>
  <c r="AA1222" i="3" s="1"/>
  <c r="AA1223" i="3" a="1"/>
  <c r="AA1223" i="3" s="1"/>
  <c r="AA1224" i="3" a="1"/>
  <c r="AA1224" i="3"/>
  <c r="AA1225" i="3" a="1"/>
  <c r="AA1225" i="3" s="1"/>
  <c r="AA1226" i="3" a="1"/>
  <c r="AA1226" i="3" s="1"/>
  <c r="AA1227" i="3" a="1"/>
  <c r="AA1227" i="3" s="1"/>
  <c r="AA1228" i="3" a="1"/>
  <c r="AA1228" i="3" s="1"/>
  <c r="AA1229" i="3" a="1"/>
  <c r="AA1229" i="3" s="1"/>
  <c r="AA1230" i="3" a="1"/>
  <c r="AA1230" i="3" s="1"/>
  <c r="AA1231" i="3" a="1"/>
  <c r="AA1231" i="3"/>
  <c r="AA1232" i="3" a="1"/>
  <c r="AA1232" i="3" s="1"/>
  <c r="AA1233" i="3" a="1"/>
  <c r="AA1233" i="3"/>
  <c r="AA1234" i="3" a="1"/>
  <c r="AA1234" i="3" s="1"/>
  <c r="AA1235" i="3" a="1"/>
  <c r="AA1235" i="3" s="1"/>
  <c r="AA1236" i="3" a="1"/>
  <c r="AA1236" i="3"/>
  <c r="AA1237" i="3" a="1"/>
  <c r="AA1237" i="3" s="1"/>
  <c r="AA1238" i="3" a="1"/>
  <c r="AA1238" i="3" s="1"/>
  <c r="AA1239" i="3" a="1"/>
  <c r="AA1239" i="3" s="1"/>
  <c r="AA1240" i="3" a="1"/>
  <c r="AA1240" i="3" s="1"/>
  <c r="AA1241" i="3" a="1"/>
  <c r="AA1241" i="3" s="1"/>
  <c r="AA1242" i="3" a="1"/>
  <c r="AA1242" i="3"/>
  <c r="AA1243" i="3" a="1"/>
  <c r="AA1243" i="3" s="1"/>
  <c r="AA1244" i="3" a="1"/>
  <c r="AA1244" i="3" s="1"/>
  <c r="AA1245" i="3" a="1"/>
  <c r="AA1245" i="3" s="1"/>
  <c r="AA1246" i="3" a="1"/>
  <c r="AA1246" i="3" s="1"/>
  <c r="AA1247" i="3" a="1"/>
  <c r="AA1247" i="3"/>
  <c r="AA1248" i="3" a="1"/>
  <c r="AA1248" i="3" s="1"/>
  <c r="AA1249" i="3" a="1"/>
  <c r="AA1249" i="3" s="1"/>
  <c r="AA1250" i="3" a="1"/>
  <c r="AA1250" i="3" s="1"/>
  <c r="AA1251" i="3" a="1"/>
  <c r="AA1251" i="3" s="1"/>
  <c r="AA1252" i="3" a="1"/>
  <c r="AA1252" i="3"/>
  <c r="AA1253" i="3" a="1"/>
  <c r="AA1253" i="3" s="1"/>
  <c r="AA1254" i="3" a="1"/>
  <c r="AA1254" i="3" s="1"/>
  <c r="AA1255" i="3" a="1"/>
  <c r="AA1255" i="3" s="1"/>
  <c r="AA1256" i="3" a="1"/>
  <c r="AA1256" i="3"/>
  <c r="AA1257" i="3" a="1"/>
  <c r="AA1257" i="3" s="1"/>
  <c r="AA1258" i="3" a="1"/>
  <c r="AA1258" i="3" s="1"/>
  <c r="AA1259" i="3" a="1"/>
  <c r="AA1259" i="3" s="1"/>
  <c r="AA1260" i="3" a="1"/>
  <c r="AA1260" i="3" s="1"/>
  <c r="AA1261" i="3" a="1"/>
  <c r="AA1261" i="3" s="1"/>
  <c r="AA1262" i="3" a="1"/>
  <c r="AA1262" i="3" s="1"/>
  <c r="AA1263" i="3" a="1"/>
  <c r="AA1263" i="3" s="1"/>
  <c r="AA1264" i="3" a="1"/>
  <c r="AA1264" i="3" s="1"/>
  <c r="AA1265" i="3" a="1"/>
  <c r="AA1265" i="3"/>
  <c r="AA1266" i="3" a="1"/>
  <c r="AA1266" i="3" s="1"/>
  <c r="AA1267" i="3" a="1"/>
  <c r="AA1267" i="3" s="1"/>
  <c r="AA1268" i="3" a="1"/>
  <c r="AA1268" i="3"/>
  <c r="AA1269" i="3" a="1"/>
  <c r="AA1269" i="3" s="1"/>
  <c r="AA1270" i="3" a="1"/>
  <c r="AA1270" i="3" s="1"/>
  <c r="AA1271" i="3" a="1"/>
  <c r="AA1271" i="3" s="1"/>
  <c r="AA1272" i="3" a="1"/>
  <c r="AA1272" i="3" s="1"/>
  <c r="AA1273" i="3" a="1"/>
  <c r="AA1273" i="3" s="1"/>
  <c r="AA1274" i="3" a="1"/>
  <c r="AA1274" i="3"/>
  <c r="AA1275" i="3" a="1"/>
  <c r="AA1275" i="3" s="1"/>
  <c r="AA1276" i="3" a="1"/>
  <c r="AA1276" i="3" s="1"/>
  <c r="AA1277" i="3" a="1"/>
  <c r="AA1277" i="3" s="1"/>
  <c r="AA1278" i="3" a="1"/>
  <c r="AA1278" i="3" s="1"/>
  <c r="AA1279" i="3" a="1"/>
  <c r="AA1279" i="3" s="1"/>
  <c r="AA1280" i="3" a="1"/>
  <c r="AA1280" i="3" s="1"/>
  <c r="AA1281" i="3" a="1"/>
  <c r="AA1281" i="3" s="1"/>
  <c r="AA1282" i="3" a="1"/>
  <c r="AA1282" i="3" s="1"/>
  <c r="AA1283" i="3" a="1"/>
  <c r="AA1283" i="3" s="1"/>
  <c r="AA1284" i="3" a="1"/>
  <c r="AA1284" i="3" s="1"/>
  <c r="AA1285" i="3" a="1"/>
  <c r="AA1285" i="3" s="1"/>
  <c r="AA1286" i="3" a="1"/>
  <c r="AA1286" i="3" s="1"/>
  <c r="AA1287" i="3" a="1"/>
  <c r="AA1287" i="3" s="1"/>
  <c r="AA1288" i="3" a="1"/>
  <c r="AA1288" i="3"/>
  <c r="AA1289" i="3" a="1"/>
  <c r="AA1289" i="3" s="1"/>
  <c r="AA1290" i="3" a="1"/>
  <c r="AA1290" i="3" s="1"/>
  <c r="AA1291" i="3" a="1"/>
  <c r="AA1291" i="3" s="1"/>
  <c r="AA1292" i="3" a="1"/>
  <c r="AA1292" i="3" s="1"/>
  <c r="AA1293" i="3" a="1"/>
  <c r="AA1293" i="3" s="1"/>
  <c r="AA1294" i="3" a="1"/>
  <c r="AA1294" i="3" s="1"/>
  <c r="AA1295" i="3" a="1"/>
  <c r="AA1295" i="3" s="1"/>
  <c r="AA1296" i="3" a="1"/>
  <c r="AA1296" i="3" s="1"/>
  <c r="AA1297" i="3" a="1"/>
  <c r="AA1297" i="3"/>
  <c r="AA1298" i="3" a="1"/>
  <c r="AA1298" i="3" s="1"/>
  <c r="AA1299" i="3" a="1"/>
  <c r="AA1299" i="3" s="1"/>
  <c r="AA1300" i="3" a="1"/>
  <c r="AA1300" i="3"/>
  <c r="AA1301" i="3" a="1"/>
  <c r="AA1301" i="3" s="1"/>
  <c r="AA1302" i="3" a="1"/>
  <c r="AA1302" i="3" s="1"/>
  <c r="AA1303" i="3" a="1"/>
  <c r="AA1303" i="3" s="1"/>
  <c r="AA1304" i="3" a="1"/>
  <c r="AA1304" i="3" s="1"/>
  <c r="AA1305" i="3" a="1"/>
  <c r="AA1305" i="3" s="1"/>
  <c r="AA1306" i="3" a="1"/>
  <c r="AA1306" i="3"/>
  <c r="AA1307" i="3" a="1"/>
  <c r="AA1307" i="3" s="1"/>
  <c r="AA1308" i="3" a="1"/>
  <c r="AA1308" i="3" s="1"/>
  <c r="AA1309" i="3" a="1"/>
  <c r="AA1309" i="3" s="1"/>
  <c r="AA1310" i="3" a="1"/>
  <c r="AA1310" i="3" s="1"/>
  <c r="AA1311" i="3" a="1"/>
  <c r="AA1311" i="3" s="1"/>
  <c r="AA1312" i="3" a="1"/>
  <c r="AA1312" i="3" s="1"/>
  <c r="AA1313" i="3" a="1"/>
  <c r="AA1313" i="3" s="1"/>
  <c r="AA1314" i="3" a="1"/>
  <c r="AA1314" i="3" s="1"/>
  <c r="AA1315" i="3" a="1"/>
  <c r="AA1315" i="3" s="1"/>
  <c r="AA1316" i="3" a="1"/>
  <c r="AA1316" i="3" s="1"/>
  <c r="AA1317" i="3" a="1"/>
  <c r="AA1317" i="3" s="1"/>
  <c r="AA1318" i="3" a="1"/>
  <c r="AA1318" i="3" s="1"/>
  <c r="AA1319" i="3" a="1"/>
  <c r="AA1319" i="3" s="1"/>
  <c r="AA1320" i="3" a="1"/>
  <c r="AA1320" i="3"/>
  <c r="AA1321" i="3" a="1"/>
  <c r="AA1321" i="3" s="1"/>
  <c r="AA1322" i="3" a="1"/>
  <c r="AA1322" i="3" s="1"/>
  <c r="AA1323" i="3" a="1"/>
  <c r="AA1323" i="3" s="1"/>
  <c r="AA1324" i="3" a="1"/>
  <c r="AA1324" i="3" s="1"/>
  <c r="AA1325" i="3" a="1"/>
  <c r="AA1325" i="3" s="1"/>
  <c r="AA1326" i="3" a="1"/>
  <c r="AA1326" i="3" s="1"/>
  <c r="AA1327" i="3" a="1"/>
  <c r="AA1327" i="3" s="1"/>
  <c r="AA1328" i="3" a="1"/>
  <c r="AA1328" i="3" s="1"/>
  <c r="AA1329" i="3" a="1"/>
  <c r="AA1329" i="3"/>
  <c r="AA1330" i="3" a="1"/>
  <c r="AA1330" i="3" s="1"/>
  <c r="AA1331" i="3" a="1"/>
  <c r="AA1331" i="3" s="1"/>
  <c r="AA1332" i="3" a="1"/>
  <c r="AA1332" i="3"/>
  <c r="AA1333" i="3" a="1"/>
  <c r="AA1333" i="3" s="1"/>
  <c r="AA1334" i="3" a="1"/>
  <c r="AA1334" i="3" s="1"/>
  <c r="AA1335" i="3" a="1"/>
  <c r="AA1335" i="3" s="1"/>
  <c r="AA1336" i="3" a="1"/>
  <c r="AA1336" i="3" s="1"/>
  <c r="AA1337" i="3" a="1"/>
  <c r="AA1337" i="3" s="1"/>
  <c r="AA1338" i="3" a="1"/>
  <c r="AA1338" i="3"/>
  <c r="AA1339" i="3" a="1"/>
  <c r="AA1339" i="3" s="1"/>
  <c r="AA1340" i="3" a="1"/>
  <c r="AA1340" i="3" s="1"/>
  <c r="AA1341" i="3" a="1"/>
  <c r="AA1341" i="3" s="1"/>
  <c r="AA1342" i="3" a="1"/>
  <c r="AA1342" i="3" s="1"/>
  <c r="AA1343" i="3" a="1"/>
  <c r="AA1343" i="3" s="1"/>
  <c r="AA1344" i="3" a="1"/>
  <c r="AA1344" i="3" s="1"/>
  <c r="AA1345" i="3" a="1"/>
  <c r="AA1345" i="3" s="1"/>
  <c r="AA1346" i="3" a="1"/>
  <c r="AA1346" i="3" s="1"/>
  <c r="AA1347" i="3" a="1"/>
  <c r="AA1347" i="3" s="1"/>
  <c r="AA1348" i="3" a="1"/>
  <c r="AA1348" i="3" s="1"/>
  <c r="AA1349" i="3" a="1"/>
  <c r="AA1349" i="3" s="1"/>
  <c r="AA1350" i="3" a="1"/>
  <c r="AA1350" i="3" s="1"/>
  <c r="AA1351" i="3" a="1"/>
  <c r="AA1351" i="3" s="1"/>
  <c r="AA1352" i="3" a="1"/>
  <c r="AA1352" i="3"/>
  <c r="AA1353" i="3" a="1"/>
  <c r="AA1353" i="3" s="1"/>
  <c r="AA1354" i="3" a="1"/>
  <c r="AA1354" i="3" s="1"/>
  <c r="AA1355" i="3" a="1"/>
  <c r="AA1355" i="3" s="1"/>
  <c r="AA1356" i="3" a="1"/>
  <c r="AA1356" i="3" s="1"/>
  <c r="AA1357" i="3" a="1"/>
  <c r="AA1357" i="3"/>
  <c r="AA1358" i="3" a="1"/>
  <c r="AA1358" i="3"/>
  <c r="AA1359" i="3" a="1"/>
  <c r="AA1359" i="3"/>
  <c r="AA1360" i="3" a="1"/>
  <c r="AA1360" i="3" s="1"/>
  <c r="AA1361" i="3" a="1"/>
  <c r="AA1361" i="3" s="1"/>
  <c r="AA1362" i="3" a="1"/>
  <c r="AA1362" i="3"/>
  <c r="AA1363" i="3" a="1"/>
  <c r="AA1363" i="3" s="1"/>
  <c r="AA1364" i="3" a="1"/>
  <c r="AA1364" i="3" s="1"/>
  <c r="AA1365" i="3" a="1"/>
  <c r="AA1365" i="3" s="1"/>
  <c r="AA1366" i="3" a="1"/>
  <c r="AA1366" i="3" s="1"/>
  <c r="AA1367" i="3" a="1"/>
  <c r="AA1367" i="3" s="1"/>
  <c r="AA1368" i="3" a="1"/>
  <c r="AA1368" i="3" s="1"/>
  <c r="AA1369" i="3" a="1"/>
  <c r="AA1369" i="3"/>
  <c r="AA1370" i="3" a="1"/>
  <c r="AA1370" i="3" s="1"/>
  <c r="AA1371" i="3" a="1"/>
  <c r="AA1371" i="3" s="1"/>
  <c r="AA1372" i="3" a="1"/>
  <c r="AA1372" i="3"/>
  <c r="AA1373" i="3" a="1"/>
  <c r="AA1373" i="3" s="1"/>
  <c r="AA1374" i="3" a="1"/>
  <c r="AA1374" i="3"/>
  <c r="AA1375" i="3" a="1"/>
  <c r="AA1375" i="3" s="1"/>
  <c r="AA1376" i="3" a="1"/>
  <c r="AA1376" i="3" s="1"/>
  <c r="AA1377" i="3" a="1"/>
  <c r="AA1377" i="3" s="1"/>
  <c r="AA1378" i="3" a="1"/>
  <c r="AA1378" i="3"/>
  <c r="AA1379" i="3" a="1"/>
  <c r="AA1379" i="3" s="1"/>
  <c r="AA1380" i="3" a="1"/>
  <c r="AA1380" i="3" s="1"/>
  <c r="AA1381" i="3" a="1"/>
  <c r="AA1381" i="3" s="1"/>
  <c r="AA1382" i="3" a="1"/>
  <c r="AA1382" i="3" s="1"/>
  <c r="AA1383" i="3" a="1"/>
  <c r="AA1383" i="3" s="1"/>
  <c r="AA1384" i="3" a="1"/>
  <c r="AA1384" i="3" s="1"/>
  <c r="AA1385" i="3" a="1"/>
  <c r="AA1385" i="3" s="1"/>
  <c r="AA1386" i="3" a="1"/>
  <c r="AA1386" i="3"/>
  <c r="AA1387" i="3" a="1"/>
  <c r="AA1387" i="3" s="1"/>
  <c r="AA1388" i="3" a="1"/>
  <c r="AA1388" i="3" s="1"/>
  <c r="AA1389" i="3" a="1"/>
  <c r="AA1389" i="3" s="1"/>
  <c r="AA1390" i="3" a="1"/>
  <c r="AA1390" i="3" s="1"/>
  <c r="AA1391" i="3" a="1"/>
  <c r="AA1391" i="3"/>
  <c r="AA1392" i="3" a="1"/>
  <c r="AA1392" i="3"/>
  <c r="AA1393" i="3" a="1"/>
  <c r="AA1393" i="3"/>
  <c r="AA1394" i="3" a="1"/>
  <c r="AA1394" i="3" s="1"/>
  <c r="AA1395" i="3" a="1"/>
  <c r="AA1395" i="3" s="1"/>
  <c r="AA1396" i="3" a="1"/>
  <c r="AA1396" i="3" s="1"/>
  <c r="AA1397" i="3" a="1"/>
  <c r="AA1397" i="3" s="1"/>
  <c r="AA1398" i="3" a="1"/>
  <c r="AA1398" i="3" s="1"/>
  <c r="AA1399" i="3" a="1"/>
  <c r="AA1399" i="3" s="1"/>
  <c r="AA1400" i="3" a="1"/>
  <c r="AA1400" i="3" s="1"/>
  <c r="AA1401" i="3" a="1"/>
  <c r="AA1401" i="3" s="1"/>
  <c r="AA1402" i="3" a="1"/>
  <c r="AA1402" i="3" s="1"/>
  <c r="AA1403" i="3" a="1"/>
  <c r="AA1403" i="3" s="1"/>
  <c r="AA1404" i="3" a="1"/>
  <c r="AA1404" i="3" s="1"/>
  <c r="AA1405" i="3" a="1"/>
  <c r="AA1405" i="3" s="1"/>
  <c r="AA1406" i="3" a="1"/>
  <c r="AA1406" i="3" s="1"/>
  <c r="AA1407" i="3" a="1"/>
  <c r="AA1407" i="3" s="1"/>
  <c r="AA1408" i="3" a="1"/>
  <c r="AA1408" i="3"/>
  <c r="AA1409" i="3" a="1"/>
  <c r="AA1409" i="3"/>
  <c r="AA1410" i="3" a="1"/>
  <c r="AA1410" i="3"/>
  <c r="AA1411" i="3" a="1"/>
  <c r="AA1411" i="3" s="1"/>
  <c r="AA1412" i="3" a="1"/>
  <c r="AA1412" i="3"/>
  <c r="AA1413" i="3" a="1"/>
  <c r="AA1413" i="3" s="1"/>
  <c r="AA1414" i="3" a="1"/>
  <c r="AA1414" i="3" s="1"/>
  <c r="AA1415" i="3" a="1"/>
  <c r="AA1415" i="3" s="1"/>
  <c r="AA1416" i="3" a="1"/>
  <c r="AA1416" i="3"/>
  <c r="AA1417" i="3" a="1"/>
  <c r="AA1417" i="3" s="1"/>
  <c r="AA1418" i="3" a="1"/>
  <c r="AA1418" i="3" s="1"/>
  <c r="AA1419" i="3" a="1"/>
  <c r="AA1419" i="3" s="1"/>
  <c r="AA1420" i="3" a="1"/>
  <c r="AA1420" i="3" s="1"/>
  <c r="AA1421" i="3" a="1"/>
  <c r="AA1421" i="3"/>
  <c r="AA1422" i="3" a="1"/>
  <c r="AA1422" i="3"/>
  <c r="AA1423" i="3" a="1"/>
  <c r="AA1423" i="3"/>
  <c r="AA1424" i="3" a="1"/>
  <c r="AA1424" i="3" s="1"/>
  <c r="AA1425" i="3" a="1"/>
  <c r="AA1425" i="3" s="1"/>
  <c r="AA1426" i="3" a="1"/>
  <c r="AA1426" i="3" s="1"/>
  <c r="AA1427" i="3" a="1"/>
  <c r="AA1427" i="3" s="1"/>
  <c r="AA1428" i="3" a="1"/>
  <c r="AA1428" i="3" s="1"/>
  <c r="AA1429" i="3" a="1"/>
  <c r="AA1429" i="3"/>
  <c r="AA1430" i="3" a="1"/>
  <c r="AA1430" i="3" s="1"/>
  <c r="AA1431" i="3" a="1"/>
  <c r="AA1431" i="3" s="1"/>
  <c r="AA1432" i="3" a="1"/>
  <c r="AA1432" i="3" s="1"/>
  <c r="AA1433" i="3" a="1"/>
  <c r="AA1433" i="3"/>
  <c r="AA1434" i="3" a="1"/>
  <c r="AA1434" i="3" s="1"/>
  <c r="AA1435" i="3" a="1"/>
  <c r="AA1435" i="3" s="1"/>
  <c r="AA1436" i="3" a="1"/>
  <c r="AA1436" i="3"/>
  <c r="AA1437" i="3" a="1"/>
  <c r="AA1437" i="3" s="1"/>
  <c r="AA1438" i="3" a="1"/>
  <c r="AA1438" i="3" s="1"/>
  <c r="AA1439" i="3" a="1"/>
  <c r="AA1439" i="3" s="1"/>
  <c r="AA1440" i="3" a="1"/>
  <c r="AA1440" i="3"/>
  <c r="AA1441" i="3" a="1"/>
  <c r="AA1441" i="3" s="1"/>
  <c r="AA1442" i="3" a="1"/>
  <c r="AA1442" i="3"/>
  <c r="AA1443" i="3" a="1"/>
  <c r="AA1443" i="3" s="1"/>
  <c r="AA1444" i="3" a="1"/>
  <c r="AA1444" i="3" s="1"/>
  <c r="AA1445" i="3" a="1"/>
  <c r="AA1445" i="3" s="1"/>
  <c r="AA1446" i="3" a="1"/>
  <c r="AA1446" i="3"/>
  <c r="AA1447" i="3" a="1"/>
  <c r="AA1447" i="3" s="1"/>
  <c r="AA1448" i="3" a="1"/>
  <c r="AA1448" i="3" s="1"/>
  <c r="AA1449" i="3" a="1"/>
  <c r="AA1449" i="3" s="1"/>
  <c r="AA1450" i="3" a="1"/>
  <c r="AA1450" i="3"/>
  <c r="AA1451" i="3" a="1"/>
  <c r="AA1451" i="3" s="1"/>
  <c r="AA1452" i="3" a="1"/>
  <c r="AA1452" i="3"/>
  <c r="AA1453" i="3" a="1"/>
  <c r="AA1453" i="3" s="1"/>
  <c r="AA1454" i="3" a="1"/>
  <c r="AA1454" i="3"/>
  <c r="AA1455" i="3" a="1"/>
  <c r="AA1455" i="3"/>
  <c r="AA1456" i="3" a="1"/>
  <c r="AA1456" i="3"/>
  <c r="AA1457" i="3" a="1"/>
  <c r="AA1457" i="3" s="1"/>
  <c r="AA1458" i="3" a="1"/>
  <c r="AA1458" i="3" s="1"/>
  <c r="AA1459" i="3" a="1"/>
  <c r="AA1459" i="3" s="1"/>
  <c r="AA1460" i="3" a="1"/>
  <c r="AA1460" i="3" s="1"/>
  <c r="AA1461" i="3" a="1"/>
  <c r="AA1461" i="3" s="1"/>
  <c r="AA1462" i="3" a="1"/>
  <c r="AA1462" i="3" s="1"/>
  <c r="AA1463" i="3" a="1"/>
  <c r="AA1463" i="3" s="1"/>
  <c r="AA1464" i="3" a="1"/>
  <c r="AA1464" i="3" s="1"/>
  <c r="AA1465" i="3" a="1"/>
  <c r="AA1465" i="3" s="1"/>
  <c r="AA1466" i="3" a="1"/>
  <c r="AA1466" i="3" s="1"/>
  <c r="AA1467" i="3" a="1"/>
  <c r="AA1467" i="3" s="1"/>
  <c r="AA1468" i="3" a="1"/>
  <c r="AA1468" i="3" s="1"/>
  <c r="AA1469" i="3" a="1"/>
  <c r="AA1469" i="3"/>
  <c r="AA1470" i="3" a="1"/>
  <c r="AA1470" i="3" s="1"/>
  <c r="AA1471" i="3" a="1"/>
  <c r="AA1471" i="3"/>
  <c r="AA1472" i="3" a="1"/>
  <c r="AA1472" i="3"/>
  <c r="AA1473" i="3" a="1"/>
  <c r="AA1473" i="3"/>
  <c r="AA1474" i="3" a="1"/>
  <c r="AA1474" i="3" s="1"/>
  <c r="AA1475" i="3" a="1"/>
  <c r="AA1475" i="3" s="1"/>
  <c r="AA1476" i="3" a="1"/>
  <c r="AA1476" i="3" s="1"/>
  <c r="AA1477" i="3" a="1"/>
  <c r="AA1477" i="3" s="1"/>
  <c r="AA1478" i="3" a="1"/>
  <c r="AA1478" i="3" s="1"/>
  <c r="AA1479" i="3" a="1"/>
  <c r="AA1479" i="3"/>
  <c r="AA1480" i="3" a="1"/>
  <c r="AA1480" i="3" s="1"/>
  <c r="AA1481" i="3" a="1"/>
  <c r="AA1481" i="3" s="1"/>
  <c r="AA1482" i="3" a="1"/>
  <c r="AA1482" i="3" s="1"/>
  <c r="AA1483" i="3" a="1"/>
  <c r="AA1483" i="3" s="1"/>
  <c r="AA1484" i="3" a="1"/>
  <c r="AA1484" i="3"/>
  <c r="AA1485" i="3" a="1"/>
  <c r="AA1485" i="3"/>
  <c r="AA1486" i="3" a="1"/>
  <c r="AA1486" i="3"/>
  <c r="AA1487" i="3" a="1"/>
  <c r="AA1487" i="3" s="1"/>
  <c r="AA1488" i="3" a="1"/>
  <c r="AA1488" i="3" s="1"/>
  <c r="AA1489" i="3" a="1"/>
  <c r="AA1489" i="3" s="1"/>
  <c r="AA1490" i="3" a="1"/>
  <c r="AA1490" i="3" s="1"/>
  <c r="AA1491" i="3" a="1"/>
  <c r="AA1491" i="3" s="1"/>
  <c r="AA1492" i="3" a="1"/>
  <c r="AA1492" i="3" s="1"/>
  <c r="AA1493" i="3" a="1"/>
  <c r="AA1493" i="3" s="1"/>
  <c r="AA1494" i="3" a="1"/>
  <c r="AA1494" i="3" s="1"/>
  <c r="AA1495" i="3" a="1"/>
  <c r="AA1495" i="3" s="1"/>
  <c r="AA1496" i="3" a="1"/>
  <c r="AA1496" i="3"/>
  <c r="AA1497" i="3" a="1"/>
  <c r="AA1497" i="3" s="1"/>
  <c r="AA1498" i="3" a="1"/>
  <c r="AA1498" i="3" s="1"/>
  <c r="AA1499" i="3" a="1"/>
  <c r="AA1499" i="3"/>
  <c r="AA1500" i="3" a="1"/>
  <c r="AA1500" i="3" s="1"/>
  <c r="AA1501" i="3" a="1"/>
  <c r="AA1501" i="3" s="1"/>
  <c r="AA1502" i="3" a="1"/>
  <c r="AA1502" i="3"/>
  <c r="AA1503" i="3" a="1"/>
  <c r="AA1503" i="3" s="1"/>
  <c r="AA1504" i="3" a="1"/>
  <c r="AA1504" i="3" s="1"/>
  <c r="AA1505" i="3" a="1"/>
  <c r="AA1505" i="3"/>
  <c r="AA1506" i="3" a="1"/>
  <c r="AA1506" i="3" s="1"/>
  <c r="AA1507" i="3" a="1"/>
  <c r="AA1507" i="3" s="1"/>
  <c r="AA1508" i="3" a="1"/>
  <c r="AA1508" i="3" s="1"/>
  <c r="AA1509" i="3" a="1"/>
  <c r="AA1509" i="3" s="1"/>
  <c r="AA1510" i="3" a="1"/>
  <c r="AA1510" i="3" s="1"/>
  <c r="AA1511" i="3" a="1"/>
  <c r="AA1511" i="3" s="1"/>
  <c r="AA1512" i="3" a="1"/>
  <c r="AA1512" i="3" s="1"/>
  <c r="AA1513" i="3" a="1"/>
  <c r="AA1513" i="3"/>
  <c r="AA1514" i="3" a="1"/>
  <c r="AA1514" i="3" s="1"/>
  <c r="AA1515" i="3" a="1"/>
  <c r="AA1515" i="3" s="1"/>
  <c r="AA1516" i="3" a="1"/>
  <c r="AA1516" i="3" s="1"/>
  <c r="AA1517" i="3" a="1"/>
  <c r="AA1517" i="3" s="1"/>
  <c r="AA1518" i="3" a="1"/>
  <c r="AA1518" i="3"/>
  <c r="AA1519" i="3" a="1"/>
  <c r="AA1519" i="3"/>
  <c r="AA1520" i="3" a="1"/>
  <c r="AA1520" i="3"/>
  <c r="AA1521" i="3" a="1"/>
  <c r="AA1521" i="3" s="1"/>
  <c r="AA1522" i="3" a="1"/>
  <c r="AA1522" i="3" s="1"/>
  <c r="AA1523" i="3" a="1"/>
  <c r="AA1523" i="3" s="1"/>
  <c r="AA1524" i="3" a="1"/>
  <c r="AA1524" i="3" s="1"/>
  <c r="AA1525" i="3" a="1"/>
  <c r="AA1525" i="3" s="1"/>
  <c r="AA1526" i="3" a="1"/>
  <c r="AA1526" i="3" s="1"/>
  <c r="AA1527" i="3" a="1"/>
  <c r="AA1527" i="3" s="1"/>
  <c r="AA1528" i="3" a="1"/>
  <c r="AA1528" i="3" s="1"/>
  <c r="AA1529" i="3" a="1"/>
  <c r="AA1529" i="3" s="1"/>
  <c r="AA1530" i="3" a="1"/>
  <c r="AA1530" i="3" s="1"/>
  <c r="AA1531" i="3" a="1"/>
  <c r="AA1531" i="3"/>
  <c r="AA1532" i="3" a="1"/>
  <c r="AA1532" i="3" s="1"/>
  <c r="AA1533" i="3" a="1"/>
  <c r="AA1533" i="3" s="1"/>
  <c r="AA1534" i="3" a="1"/>
  <c r="AA1534" i="3" s="1"/>
  <c r="AA1535" i="3" a="1"/>
  <c r="AA1535" i="3"/>
  <c r="AA1536" i="3" a="1"/>
  <c r="AA1536" i="3"/>
  <c r="AA1537" i="3" a="1"/>
  <c r="AA1537" i="3"/>
  <c r="AA1538" i="3" a="1"/>
  <c r="AA1538" i="3" s="1"/>
  <c r="AA1539" i="3" a="1"/>
  <c r="AA1539" i="3" s="1"/>
  <c r="AA1540" i="3" a="1"/>
  <c r="AA1540" i="3" s="1"/>
  <c r="AA1541" i="3" a="1"/>
  <c r="AA1541" i="3" s="1"/>
  <c r="AA1542" i="3" a="1"/>
  <c r="AA1542" i="3" s="1"/>
  <c r="AA1543" i="3" a="1"/>
  <c r="AA1543" i="3"/>
  <c r="AA1544" i="3" a="1"/>
  <c r="AA1544" i="3" s="1"/>
  <c r="AA1545" i="3" a="1"/>
  <c r="AA1545" i="3" s="1"/>
  <c r="AA1546" i="3" a="1"/>
  <c r="AA1546" i="3" s="1"/>
  <c r="AA1547" i="3" a="1"/>
  <c r="AA1547" i="3" s="1"/>
  <c r="AA1548" i="3" a="1"/>
  <c r="AA1548" i="3"/>
  <c r="AA1549" i="3" a="1"/>
  <c r="AA1549" i="3"/>
  <c r="AA1550" i="3" a="1"/>
  <c r="AA1550" i="3"/>
  <c r="AA1551" i="3" a="1"/>
  <c r="AA1551" i="3" s="1"/>
  <c r="AA1552" i="3" a="1"/>
  <c r="AA1552" i="3"/>
  <c r="AA1553" i="3" a="1"/>
  <c r="AA1553" i="3" s="1"/>
  <c r="AA1554" i="3" a="1"/>
  <c r="AA1554" i="3" s="1"/>
  <c r="AA1555" i="3" a="1"/>
  <c r="AA1555" i="3" s="1"/>
  <c r="AA1556" i="3" a="1"/>
  <c r="AA1556" i="3" s="1"/>
  <c r="AA1557" i="3" a="1"/>
  <c r="AA1557" i="3" s="1"/>
  <c r="AA1558" i="3" a="1"/>
  <c r="AA1558" i="3" s="1"/>
  <c r="AA1559" i="3" a="1"/>
  <c r="AA1559" i="3" s="1"/>
  <c r="AA1560" i="3" a="1"/>
  <c r="AA1560" i="3"/>
  <c r="AA1561" i="3" a="1"/>
  <c r="AA1561" i="3" s="1"/>
  <c r="AA1562" i="3" a="1"/>
  <c r="AA1562" i="3" s="1"/>
  <c r="AA1563" i="3" a="1"/>
  <c r="AA1563" i="3"/>
  <c r="AA1564" i="3" a="1"/>
  <c r="AA1564" i="3" s="1"/>
  <c r="AA1565" i="3" a="1"/>
  <c r="AA1565" i="3" s="1"/>
  <c r="AA1566" i="3" a="1"/>
  <c r="AA1566" i="3" s="1"/>
  <c r="AA1567" i="3" a="1"/>
  <c r="AA1567" i="3" s="1"/>
  <c r="AA1568" i="3" a="1"/>
  <c r="AA1568" i="3" s="1"/>
  <c r="AA1569" i="3" a="1"/>
  <c r="AA1569" i="3"/>
  <c r="AA1570" i="3" a="1"/>
  <c r="AA1570" i="3" s="1"/>
  <c r="AA1571" i="3" a="1"/>
  <c r="AA1571" i="3" s="1"/>
  <c r="AA1572" i="3" a="1"/>
  <c r="AA1572" i="3" s="1"/>
  <c r="AA1573" i="3" a="1"/>
  <c r="AA1573" i="3" s="1"/>
  <c r="AA1574" i="3" a="1"/>
  <c r="AA1574" i="3" s="1"/>
  <c r="AA1575" i="3" a="1"/>
  <c r="AA1575" i="3" s="1"/>
  <c r="AA1576" i="3" a="1"/>
  <c r="AA1576" i="3" s="1"/>
  <c r="AA1577" i="3" a="1"/>
  <c r="AA1577" i="3"/>
  <c r="AA1578" i="3" a="1"/>
  <c r="AA1578" i="3" s="1"/>
  <c r="AA1579" i="3" a="1"/>
  <c r="AA1579" i="3" s="1"/>
  <c r="AA1580" i="3" a="1"/>
  <c r="AA1580" i="3"/>
  <c r="AA1581" i="3" a="1"/>
  <c r="AA1581" i="3" s="1"/>
  <c r="AA1582" i="3" a="1"/>
  <c r="AA1582" i="3"/>
  <c r="AA1583" i="3" a="1"/>
  <c r="AA1583" i="3"/>
  <c r="AA1584" i="3" a="1"/>
  <c r="AA1584" i="3"/>
  <c r="AA1585" i="3" a="1"/>
  <c r="AA1585" i="3" s="1"/>
  <c r="AA1586" i="3" a="1"/>
  <c r="AA1586" i="3" s="1"/>
  <c r="AA1587" i="3" a="1"/>
  <c r="AA1587" i="3" s="1"/>
  <c r="AA1588" i="3" a="1"/>
  <c r="AA1588" i="3" s="1"/>
  <c r="AA1589" i="3" a="1"/>
  <c r="AA1589" i="3" s="1"/>
  <c r="AA1590" i="3" a="1"/>
  <c r="AA1590" i="3" s="1"/>
  <c r="AA1591" i="3" a="1"/>
  <c r="AA1591" i="3" s="1"/>
  <c r="AA1592" i="3" a="1"/>
  <c r="AA1592" i="3" s="1"/>
  <c r="AA1593" i="3" a="1"/>
  <c r="AA1593" i="3" s="1"/>
  <c r="AA1594" i="3" a="1"/>
  <c r="AA1594" i="3" s="1"/>
  <c r="AA1595" i="3" a="1"/>
  <c r="AA1595" i="3" s="1"/>
  <c r="AA1596" i="3" a="1"/>
  <c r="AA1596" i="3" s="1"/>
  <c r="AA1597" i="3" a="1"/>
  <c r="AA1597" i="3"/>
  <c r="AA1598" i="3" a="1"/>
  <c r="AA1598" i="3" s="1"/>
  <c r="AA1599" i="3" a="1"/>
  <c r="AA1599" i="3"/>
  <c r="AA1600" i="3" a="1"/>
  <c r="AA1600" i="3"/>
  <c r="AA1601" i="3" a="1"/>
  <c r="AA1601" i="3"/>
  <c r="AA1602" i="3" a="1"/>
  <c r="AA1602" i="3" s="1"/>
  <c r="AA1603" i="3" a="1"/>
  <c r="AA1603" i="3" s="1"/>
  <c r="AA1604" i="3" a="1"/>
  <c r="AA1604" i="3" s="1"/>
  <c r="AA1605" i="3" a="1"/>
  <c r="AA1605" i="3" s="1"/>
  <c r="AA1606" i="3" a="1"/>
  <c r="AA1606" i="3" s="1"/>
  <c r="AA1607" i="3" a="1"/>
  <c r="AA1607" i="3"/>
  <c r="AA1608" i="3" a="1"/>
  <c r="AA1608" i="3" s="1"/>
  <c r="AA1609" i="3" a="1"/>
  <c r="AA1609" i="3" s="1"/>
  <c r="AA1610" i="3" a="1"/>
  <c r="AA1610" i="3" s="1"/>
  <c r="AA1611" i="3" a="1"/>
  <c r="AA1611" i="3" s="1"/>
  <c r="AA1612" i="3" a="1"/>
  <c r="AA1612" i="3" s="1"/>
  <c r="AA1613" i="3" a="1"/>
  <c r="AA1613" i="3"/>
  <c r="AA1614" i="3" a="1"/>
  <c r="AA1614" i="3"/>
  <c r="AA1615" i="3" a="1"/>
  <c r="AA1615" i="3" s="1"/>
  <c r="AA1616" i="3" a="1"/>
  <c r="AA1616" i="3" s="1"/>
  <c r="AA1617" i="3" a="1"/>
  <c r="AA1617" i="3" s="1"/>
  <c r="AA1618" i="3" a="1"/>
  <c r="AA1618" i="3" s="1"/>
  <c r="AA1619" i="3" a="1"/>
  <c r="AA1619" i="3" s="1"/>
  <c r="AA1620" i="3" a="1"/>
  <c r="AA1620" i="3" s="1"/>
  <c r="AA1621" i="3" a="1"/>
  <c r="AA1621" i="3" s="1"/>
  <c r="AA1622" i="3" a="1"/>
  <c r="AA1622" i="3" s="1"/>
  <c r="AA1623" i="3" a="1"/>
  <c r="AA1623" i="3" s="1"/>
  <c r="AA1624" i="3" a="1"/>
  <c r="AA1624" i="3"/>
  <c r="AA1625" i="3" a="1"/>
  <c r="AA1625" i="3" s="1"/>
  <c r="AA1626" i="3" a="1"/>
  <c r="AA1626" i="3" s="1"/>
  <c r="AA1627" i="3" a="1"/>
  <c r="AA1627" i="3"/>
  <c r="AA1628" i="3" a="1"/>
  <c r="AA1628" i="3" s="1"/>
  <c r="AA1629" i="3" a="1"/>
  <c r="AA1629" i="3" s="1"/>
  <c r="AA1630" i="3" a="1"/>
  <c r="AA1630" i="3"/>
  <c r="AA1631" i="3" a="1"/>
  <c r="AA1631" i="3" s="1"/>
  <c r="AA1632" i="3" a="1"/>
  <c r="AA1632" i="3" s="1"/>
  <c r="AA1633" i="3" a="1"/>
  <c r="AA1633" i="3" s="1"/>
  <c r="AA1634" i="3" a="1"/>
  <c r="AA1634" i="3" s="1"/>
  <c r="AA1635" i="3" a="1"/>
  <c r="AA1635" i="3" s="1"/>
  <c r="AA1636" i="3" a="1"/>
  <c r="AA1636" i="3" s="1"/>
  <c r="AA1637" i="3" a="1"/>
  <c r="AA1637" i="3" s="1"/>
  <c r="AA1638" i="3" a="1"/>
  <c r="AA1638" i="3" s="1"/>
  <c r="AA1639" i="3" a="1"/>
  <c r="AA1639" i="3" s="1"/>
  <c r="AA1640" i="3" a="1"/>
  <c r="AA1640" i="3" s="1"/>
  <c r="AA1641" i="3" a="1"/>
  <c r="AA1641" i="3"/>
  <c r="AA1642" i="3" a="1"/>
  <c r="AA1642" i="3" s="1"/>
  <c r="AA1643" i="3" a="1"/>
  <c r="AA1643" i="3" s="1"/>
  <c r="AA1644" i="3" a="1"/>
  <c r="AA1644" i="3" s="1"/>
  <c r="AA1645" i="3" a="1"/>
  <c r="AA1645" i="3" s="1"/>
  <c r="AA1646" i="3" a="1"/>
  <c r="AA1646" i="3"/>
  <c r="AA1647" i="3" a="1"/>
  <c r="AA1647" i="3"/>
  <c r="AA1648" i="3" a="1"/>
  <c r="AA1648" i="3"/>
  <c r="AA1649" i="3" a="1"/>
  <c r="AA1649" i="3" s="1"/>
  <c r="AA1650" i="3" a="1"/>
  <c r="AA1650" i="3" s="1"/>
  <c r="AA1651" i="3" a="1"/>
  <c r="AA1651" i="3" s="1"/>
  <c r="AA1652" i="3" a="1"/>
  <c r="AA1652" i="3" s="1"/>
  <c r="AA1653" i="3" a="1"/>
  <c r="AA1653" i="3" s="1"/>
  <c r="AA1654" i="3" a="1"/>
  <c r="AA1654" i="3" s="1"/>
  <c r="AA1655" i="3" a="1"/>
  <c r="AA1655" i="3" s="1"/>
  <c r="AA1656" i="3" a="1"/>
  <c r="AA1656" i="3" s="1"/>
  <c r="AA1657" i="3" a="1"/>
  <c r="AA1657" i="3" s="1"/>
  <c r="AA1658" i="3" a="1"/>
  <c r="AA1658" i="3" s="1"/>
  <c r="AA1659" i="3" a="1"/>
  <c r="AA1659" i="3"/>
  <c r="AA1660" i="3" a="1"/>
  <c r="AA1660" i="3" s="1"/>
  <c r="AA1661" i="3" a="1"/>
  <c r="AA1661" i="3" s="1"/>
  <c r="AA1662" i="3" a="1"/>
  <c r="AA1662" i="3" s="1"/>
  <c r="AA1663" i="3" a="1"/>
  <c r="AA1663" i="3"/>
  <c r="AA1664" i="3" a="1"/>
  <c r="AA1664" i="3"/>
  <c r="AA1665" i="3" a="1"/>
  <c r="AA1665" i="3"/>
  <c r="AA1666" i="3" a="1"/>
  <c r="AA1666" i="3" s="1"/>
  <c r="AA1667" i="3" a="1"/>
  <c r="AA1667" i="3" s="1"/>
  <c r="AA1668" i="3" a="1"/>
  <c r="AA1668" i="3" s="1"/>
  <c r="AA1669" i="3" a="1"/>
  <c r="AA1669" i="3" s="1"/>
  <c r="AA1670" i="3" a="1"/>
  <c r="AA1670" i="3" s="1"/>
  <c r="AA1671" i="3" a="1"/>
  <c r="AA1671" i="3"/>
  <c r="AA1672" i="3" a="1"/>
  <c r="AA1672" i="3" s="1"/>
  <c r="AA1673" i="3" a="1"/>
  <c r="AA1673" i="3" s="1"/>
  <c r="AA1674" i="3" a="1"/>
  <c r="AA1674" i="3" s="1"/>
  <c r="AA1675" i="3" a="1"/>
  <c r="AA1675" i="3" s="1"/>
  <c r="AA1676" i="3" a="1"/>
  <c r="AA1676" i="3"/>
  <c r="AA1677" i="3" a="1"/>
  <c r="AA1677" i="3"/>
  <c r="AA1678" i="3" a="1"/>
  <c r="AA1678" i="3" s="1"/>
  <c r="AA1679" i="3" a="1"/>
  <c r="AA1679" i="3" s="1"/>
  <c r="AA1680" i="3" a="1"/>
  <c r="AA1680" i="3"/>
  <c r="AA1681" i="3" a="1"/>
  <c r="AA1681" i="3" s="1"/>
  <c r="AA1682" i="3" a="1"/>
  <c r="AA1682" i="3" s="1"/>
  <c r="AA1683" i="3" a="1"/>
  <c r="AA1683" i="3" s="1"/>
  <c r="AA1684" i="3" a="1"/>
  <c r="AA1684" i="3" s="1"/>
  <c r="AA1685" i="3" a="1"/>
  <c r="AA1685" i="3" s="1"/>
  <c r="AA1686" i="3" a="1"/>
  <c r="AA1686" i="3" s="1"/>
  <c r="AA1687" i="3" a="1"/>
  <c r="AA1687" i="3" s="1"/>
  <c r="AA1688" i="3" a="1"/>
  <c r="AA1688" i="3"/>
  <c r="AA1689" i="3" a="1"/>
  <c r="AA1689" i="3" s="1"/>
  <c r="AA1690" i="3" a="1"/>
  <c r="AA1690" i="3" s="1"/>
  <c r="AA1691" i="3" a="1"/>
  <c r="AA1691" i="3"/>
  <c r="AA1692" i="3" a="1"/>
  <c r="AA1692" i="3" s="1"/>
  <c r="AA1693" i="3" a="1"/>
  <c r="AA1693" i="3" s="1"/>
  <c r="AA1694" i="3" a="1"/>
  <c r="AA1694" i="3" s="1"/>
  <c r="AA1695" i="3" a="1"/>
  <c r="AA1695" i="3" s="1"/>
  <c r="AA1696" i="3" a="1"/>
  <c r="AA1696" i="3" s="1"/>
  <c r="AA1697" i="3" a="1"/>
  <c r="AA1697" i="3"/>
  <c r="AA1698" i="3" a="1"/>
  <c r="AA1698" i="3" s="1"/>
  <c r="AA1699" i="3" a="1"/>
  <c r="AA1699" i="3" s="1"/>
  <c r="AA1700" i="3" a="1"/>
  <c r="AA1700" i="3" s="1"/>
  <c r="AA1701" i="3" a="1"/>
  <c r="AA1701" i="3" s="1"/>
  <c r="AA1702" i="3" a="1"/>
  <c r="AA1702" i="3" s="1"/>
  <c r="AA1703" i="3" a="1"/>
  <c r="AA1703" i="3" s="1"/>
  <c r="AA1704" i="3" a="1"/>
  <c r="AA1704" i="3" s="1"/>
  <c r="AA1705" i="3" a="1"/>
  <c r="AA1705" i="3"/>
  <c r="AA1706" i="3" a="1"/>
  <c r="AA1706" i="3" s="1"/>
  <c r="AA1707" i="3" a="1"/>
  <c r="AA1707" i="3" s="1"/>
  <c r="AA1708" i="3" a="1"/>
  <c r="AA1708" i="3"/>
  <c r="AA1709" i="3" a="1"/>
  <c r="AA1709" i="3" s="1"/>
  <c r="AA1710" i="3" a="1"/>
  <c r="AA1710" i="3"/>
  <c r="AA1711" i="3" a="1"/>
  <c r="AA1711" i="3" s="1"/>
  <c r="AA1712" i="3" a="1"/>
  <c r="AA1712" i="3"/>
  <c r="AA1713" i="3" a="1"/>
  <c r="AA1713" i="3" s="1"/>
  <c r="AA1714" i="3" a="1"/>
  <c r="AA1714" i="3" s="1"/>
  <c r="AA1715" i="3" a="1"/>
  <c r="AA1715" i="3" s="1"/>
  <c r="AA1716" i="3" a="1"/>
  <c r="AA1716" i="3" s="1"/>
  <c r="AA1717" i="3" a="1"/>
  <c r="AA1717" i="3" s="1"/>
  <c r="AA1718" i="3" a="1"/>
  <c r="AA1718" i="3" s="1"/>
  <c r="AA1719" i="3" a="1"/>
  <c r="AA1719" i="3" s="1"/>
  <c r="AA1720" i="3" a="1"/>
  <c r="AA1720" i="3" s="1"/>
  <c r="AA1721" i="3" a="1"/>
  <c r="AA1721" i="3" s="1"/>
  <c r="AA1722" i="3" a="1"/>
  <c r="AA1722" i="3" s="1"/>
  <c r="AA1723" i="3" a="1"/>
  <c r="AA1723" i="3" s="1"/>
  <c r="AA1724" i="3" a="1"/>
  <c r="AA1724" i="3" s="1"/>
  <c r="AA1725" i="3" a="1"/>
  <c r="AA1725" i="3"/>
  <c r="AA1726" i="3" a="1"/>
  <c r="AA1726" i="3" s="1"/>
  <c r="AA1727" i="3" a="1"/>
  <c r="AA1727" i="3"/>
  <c r="AA1728" i="3" a="1"/>
  <c r="AA1728" i="3"/>
  <c r="AA1729" i="3" a="1"/>
  <c r="AA1729" i="3"/>
  <c r="AA1730" i="3" a="1"/>
  <c r="AA1730" i="3" s="1"/>
  <c r="AA1731" i="3" a="1"/>
  <c r="AA1731" i="3" s="1"/>
  <c r="AA1732" i="3" a="1"/>
  <c r="AA1732" i="3" s="1"/>
  <c r="AA1733" i="3" a="1"/>
  <c r="AA1733" i="3" s="1"/>
  <c r="AA1734" i="3" a="1"/>
  <c r="AA1734" i="3" s="1"/>
  <c r="AA1735" i="3" a="1"/>
  <c r="AA1735" i="3"/>
  <c r="AA1736" i="3" a="1"/>
  <c r="AA1736" i="3" s="1"/>
  <c r="AA1737" i="3" a="1"/>
  <c r="AA1737" i="3" s="1"/>
  <c r="AA1738" i="3" a="1"/>
  <c r="AA1738" i="3" s="1"/>
  <c r="AA1739" i="3" a="1"/>
  <c r="AA1739" i="3" s="1"/>
  <c r="AA1740" i="3" a="1"/>
  <c r="AA1740" i="3"/>
  <c r="AA1741" i="3" a="1"/>
  <c r="AA1741" i="3"/>
  <c r="AA1742" i="3" a="1"/>
  <c r="AA1742" i="3"/>
  <c r="AA1743" i="3" a="1"/>
  <c r="AA1743" i="3" s="1"/>
  <c r="AA1744" i="3" a="1"/>
  <c r="AA1744" i="3" s="1"/>
  <c r="AA1745" i="3" a="1"/>
  <c r="AA1745" i="3" s="1"/>
  <c r="AA1746" i="3" a="1"/>
  <c r="AA1746" i="3" s="1"/>
  <c r="AA1747" i="3" a="1"/>
  <c r="AA1747" i="3" s="1"/>
  <c r="AA1748" i="3" a="1"/>
  <c r="AA1748" i="3" s="1"/>
  <c r="AA1749" i="3" a="1"/>
  <c r="AA1749" i="3" s="1"/>
  <c r="AA1750" i="3" a="1"/>
  <c r="AA1750" i="3" s="1"/>
  <c r="AA1751" i="3" a="1"/>
  <c r="AA1751" i="3" s="1"/>
  <c r="AA1752" i="3" a="1"/>
  <c r="AA1752" i="3"/>
  <c r="AA1753" i="3" a="1"/>
  <c r="AA1753" i="3" s="1"/>
  <c r="AA1754" i="3" a="1"/>
  <c r="AA1754" i="3" s="1"/>
  <c r="AA1755" i="3" a="1"/>
  <c r="AA1755" i="3"/>
  <c r="AA1756" i="3" a="1"/>
  <c r="AA1756" i="3" s="1"/>
  <c r="AA1757" i="3" a="1"/>
  <c r="AA1757" i="3" s="1"/>
  <c r="AA1758" i="3" a="1"/>
  <c r="AA1758" i="3"/>
  <c r="AA1759" i="3" a="1"/>
  <c r="AA1759" i="3" s="1"/>
  <c r="AA1760" i="3" a="1"/>
  <c r="AA1760" i="3" s="1"/>
  <c r="AA1761" i="3" a="1"/>
  <c r="AA1761" i="3"/>
  <c r="AA1762" i="3" a="1"/>
  <c r="AA1762" i="3" s="1"/>
  <c r="AA1763" i="3" a="1"/>
  <c r="AA1763" i="3" s="1"/>
  <c r="AA1764" i="3" a="1"/>
  <c r="AA1764" i="3" s="1"/>
  <c r="AA1765" i="3" a="1"/>
  <c r="AA1765" i="3" s="1"/>
  <c r="AA1766" i="3" a="1"/>
  <c r="AA1766" i="3" s="1"/>
  <c r="AA1767" i="3" a="1"/>
  <c r="AA1767" i="3" s="1"/>
  <c r="AA1768" i="3" a="1"/>
  <c r="AA1768" i="3" s="1"/>
  <c r="AA1769" i="3" a="1"/>
  <c r="AA1769" i="3"/>
  <c r="AA1770" i="3" a="1"/>
  <c r="AA1770" i="3" s="1"/>
  <c r="AA1771" i="3" a="1"/>
  <c r="AA1771" i="3"/>
  <c r="AA1772" i="3" a="1"/>
  <c r="AA1772" i="3"/>
  <c r="AA1773" i="3" a="1"/>
  <c r="AA1773" i="3" s="1"/>
  <c r="AA1774" i="3" a="1"/>
  <c r="AA1774" i="3"/>
  <c r="AA1775" i="3" a="1"/>
  <c r="AA1775" i="3" s="1"/>
  <c r="AA1776" i="3" a="1"/>
  <c r="AA1776" i="3" s="1"/>
  <c r="AA1777" i="3" a="1"/>
  <c r="AA1777" i="3" s="1"/>
  <c r="AA1778" i="3" a="1"/>
  <c r="AA1778" i="3" s="1"/>
  <c r="AA1779" i="3" a="1"/>
  <c r="AA1779" i="3" s="1"/>
  <c r="AA1780" i="3" a="1"/>
  <c r="AA1780" i="3" s="1"/>
  <c r="AA1781" i="3" a="1"/>
  <c r="AA1781" i="3" s="1"/>
  <c r="AA1782" i="3" a="1"/>
  <c r="AA1782" i="3"/>
  <c r="AA1783" i="3" a="1"/>
  <c r="AA1783" i="3"/>
  <c r="AA1784" i="3" a="1"/>
  <c r="AA1784" i="3" s="1"/>
  <c r="AA1785" i="3" a="1"/>
  <c r="AA1785" i="3" s="1"/>
  <c r="AA1786" i="3" a="1"/>
  <c r="AA1786" i="3" s="1"/>
  <c r="AA1787" i="3" a="1"/>
  <c r="AA1787" i="3" s="1"/>
  <c r="AA1788" i="3" a="1"/>
  <c r="AA1788" i="3" s="1"/>
  <c r="AA1789" i="3" a="1"/>
  <c r="AA1789" i="3" s="1"/>
  <c r="AA1790" i="3" a="1"/>
  <c r="AA1790" i="3" s="1"/>
  <c r="AA1791" i="3" a="1"/>
  <c r="AA1791" i="3"/>
  <c r="AA1792" i="3" a="1"/>
  <c r="AA1792" i="3"/>
  <c r="AA1793" i="3" a="1"/>
  <c r="AA1793" i="3"/>
  <c r="AA1794" i="3" a="1"/>
  <c r="AA1794" i="3" s="1"/>
  <c r="AA1795" i="3" a="1"/>
  <c r="AA1795" i="3"/>
  <c r="AA1796" i="3" a="1"/>
  <c r="AA1796" i="3" s="1"/>
  <c r="AA1797" i="3" a="1"/>
  <c r="AA1797" i="3" s="1"/>
  <c r="AA1798" i="3" a="1"/>
  <c r="AA1798" i="3" s="1"/>
  <c r="AA1799" i="3" a="1"/>
  <c r="AA1799" i="3" s="1"/>
  <c r="AA1800" i="3" a="1"/>
  <c r="AA1800" i="3"/>
  <c r="AA1801" i="3" a="1"/>
  <c r="AA1801" i="3" s="1"/>
  <c r="AA1802" i="3" a="1"/>
  <c r="AA1802" i="3" s="1"/>
  <c r="AA1803" i="3" a="1"/>
  <c r="AA1803" i="3" s="1"/>
  <c r="AA1804" i="3" a="1"/>
  <c r="AA1804" i="3" s="1"/>
  <c r="AA1805" i="3" a="1"/>
  <c r="AA1805" i="3" s="1"/>
  <c r="AA1806" i="3" a="1"/>
  <c r="AA1806" i="3"/>
  <c r="AA1807" i="3" a="1"/>
  <c r="AA1807" i="3" s="1"/>
  <c r="AA1808" i="3" a="1"/>
  <c r="AA1808" i="3"/>
  <c r="AA1809" i="3" a="1"/>
  <c r="AA1809" i="3" s="1"/>
  <c r="AA1810" i="3" a="1"/>
  <c r="AA1810" i="3" s="1"/>
  <c r="AA1811" i="3" a="1"/>
  <c r="AA1811" i="3" s="1"/>
  <c r="AA1812" i="3" a="1"/>
  <c r="AA1812" i="3"/>
  <c r="AA1813" i="3" a="1"/>
  <c r="AA1813" i="3" s="1"/>
  <c r="AA1814" i="3" a="1"/>
  <c r="AA1814" i="3" s="1"/>
  <c r="AA1815" i="3" a="1"/>
  <c r="AA1815" i="3" s="1"/>
  <c r="AA1816" i="3" a="1"/>
  <c r="AA1816" i="3" s="1"/>
  <c r="AA1817" i="3" a="1"/>
  <c r="AA1817" i="3"/>
  <c r="AA1818" i="3" a="1"/>
  <c r="AA1818" i="3" s="1"/>
  <c r="AA1819" i="3" a="1"/>
  <c r="AA1819" i="3"/>
  <c r="AA1820" i="3" a="1"/>
  <c r="AA1820" i="3" s="1"/>
  <c r="AA1821" i="3" a="1"/>
  <c r="AA1821" i="3" s="1"/>
  <c r="AA1822" i="3" a="1"/>
  <c r="AA1822" i="3"/>
  <c r="AA1823" i="3" a="1"/>
  <c r="AA1823" i="3" s="1"/>
  <c r="AA1824" i="3" a="1"/>
  <c r="AA1824" i="3" s="1"/>
  <c r="AA1825" i="3" a="1"/>
  <c r="AA1825" i="3"/>
  <c r="AA1826" i="3" a="1"/>
  <c r="AA1826" i="3" s="1"/>
  <c r="AA1827" i="3" a="1"/>
  <c r="AA1827" i="3" s="1"/>
  <c r="AA1828" i="3" a="1"/>
  <c r="AA1828" i="3" s="1"/>
  <c r="AA1829" i="3" a="1"/>
  <c r="AA1829" i="3" s="1"/>
  <c r="AA1830" i="3" a="1"/>
  <c r="AA1830" i="3" s="1"/>
  <c r="AA1831" i="3" a="1"/>
  <c r="AA1831" i="3" s="1"/>
  <c r="AA1832" i="3" a="1"/>
  <c r="AA1832" i="3" s="1"/>
  <c r="AA1833" i="3" a="1"/>
  <c r="AA1833" i="3"/>
  <c r="AA1834" i="3" a="1"/>
  <c r="AA1834" i="3" s="1"/>
  <c r="AA1835" i="3" a="1"/>
  <c r="AA1835" i="3"/>
  <c r="AA1836" i="3" a="1"/>
  <c r="AA1836" i="3"/>
  <c r="AA1837" i="3" a="1"/>
  <c r="AA1837" i="3" s="1"/>
  <c r="AA1838" i="3" a="1"/>
  <c r="AA1838" i="3"/>
  <c r="AA1839" i="3" a="1"/>
  <c r="AA1839" i="3" s="1"/>
  <c r="AA1840" i="3" a="1"/>
  <c r="AA1840" i="3" s="1"/>
  <c r="AA1841" i="3" a="1"/>
  <c r="AA1841" i="3" s="1"/>
  <c r="AA1842" i="3" a="1"/>
  <c r="AA1842" i="3" s="1"/>
  <c r="AA1843" i="3" a="1"/>
  <c r="AA1843" i="3"/>
  <c r="AA1844" i="3" a="1"/>
  <c r="AA1844" i="3" s="1"/>
  <c r="AA1845" i="3" a="1"/>
  <c r="AA1845" i="3" s="1"/>
  <c r="AA1846" i="3" a="1"/>
  <c r="AA1846" i="3" s="1"/>
  <c r="AA1847" i="3" a="1"/>
  <c r="AA1847" i="3" s="1"/>
  <c r="AA1848" i="3" a="1"/>
  <c r="AA1848" i="3" s="1"/>
  <c r="AA1849" i="3" a="1"/>
  <c r="AA1849" i="3" s="1"/>
  <c r="AA1850" i="3" a="1"/>
  <c r="AA1850" i="3" s="1"/>
  <c r="AA1851" i="3" a="1"/>
  <c r="AA1851" i="3"/>
  <c r="AA1852" i="3" a="1"/>
  <c r="AA1852" i="3" s="1"/>
  <c r="AA1853" i="3" a="1"/>
  <c r="AA1853" i="3"/>
  <c r="AA1854" i="3" a="1"/>
  <c r="AA1854" i="3" s="1"/>
  <c r="AA1855" i="3" a="1"/>
  <c r="AA1855" i="3" s="1"/>
  <c r="AA1856" i="3" a="1"/>
  <c r="AA1856" i="3" s="1"/>
  <c r="AA1857" i="3" a="1"/>
  <c r="AA1857" i="3" s="1"/>
  <c r="AA1858" i="3" a="1"/>
  <c r="AA1858" i="3" s="1"/>
  <c r="AA1859" i="3" a="1"/>
  <c r="AA1859" i="3"/>
  <c r="AA1860" i="3" a="1"/>
  <c r="AA1860" i="3"/>
  <c r="AA1861" i="3" a="1"/>
  <c r="AA1861" i="3" s="1"/>
  <c r="AA1862" i="3" a="1"/>
  <c r="AA1862" i="3" s="1"/>
  <c r="AA1863" i="3" a="1"/>
  <c r="AA1863" i="3"/>
  <c r="AA1864" i="3" a="1"/>
  <c r="AA1864" i="3"/>
  <c r="AA1865" i="3" a="1"/>
  <c r="AA1865" i="3" s="1"/>
  <c r="AA1866" i="3" a="1"/>
  <c r="AA1866" i="3" s="1"/>
  <c r="AA1867" i="3" a="1"/>
  <c r="AA1867" i="3" s="1"/>
  <c r="AA1868" i="3" a="1"/>
  <c r="AA1868" i="3" s="1"/>
  <c r="AA1869" i="3" a="1"/>
  <c r="AA1869" i="3"/>
  <c r="AA1870" i="3" a="1"/>
  <c r="AA1870" i="3" s="1"/>
  <c r="AA1871" i="3" a="1"/>
  <c r="AA1871" i="3" s="1"/>
  <c r="AA1872" i="3" a="1"/>
  <c r="AA1872" i="3" s="1"/>
  <c r="AA1873" i="3" a="1"/>
  <c r="AA1873" i="3"/>
  <c r="AA1874" i="3" a="1"/>
  <c r="AA1874" i="3" s="1"/>
  <c r="AA1875" i="3" a="1"/>
  <c r="AA1875" i="3" s="1"/>
  <c r="AA1876" i="3" a="1"/>
  <c r="AA1876" i="3"/>
  <c r="AA1877" i="3" a="1"/>
  <c r="AA1877" i="3"/>
  <c r="AA1878" i="3" a="1"/>
  <c r="AA1878" i="3" s="1"/>
  <c r="AA1879" i="3" a="1"/>
  <c r="AA1879" i="3" s="1"/>
  <c r="AA1880" i="3" a="1"/>
  <c r="AA1880" i="3"/>
  <c r="AA1881" i="3" a="1"/>
  <c r="AA1881" i="3"/>
  <c r="AA1882" i="3" a="1"/>
  <c r="AA1882" i="3" s="1"/>
  <c r="AA1883" i="3" a="1"/>
  <c r="AA1883" i="3" s="1"/>
  <c r="AA1884" i="3" a="1"/>
  <c r="AA1884" i="3" s="1"/>
  <c r="AA1885" i="3" a="1"/>
  <c r="AA1885" i="3"/>
  <c r="AA1886" i="3" a="1"/>
  <c r="AA1886" i="3"/>
  <c r="AA1887" i="3" a="1"/>
  <c r="AA1887" i="3"/>
  <c r="AA1888" i="3" a="1"/>
  <c r="AA1888" i="3" s="1"/>
  <c r="AA1889" i="3" a="1"/>
  <c r="AA1889" i="3"/>
  <c r="AA1890" i="3" a="1"/>
  <c r="AA1890" i="3" s="1"/>
  <c r="AA1891" i="3" a="1"/>
  <c r="AA1891" i="3" s="1"/>
  <c r="AA1892" i="3" a="1"/>
  <c r="AA1892" i="3" s="1"/>
  <c r="AA1893" i="3" a="1"/>
  <c r="AA1893" i="3" s="1"/>
  <c r="AA1894" i="3" a="1"/>
  <c r="AA1894" i="3"/>
  <c r="AA1895" i="3" a="1"/>
  <c r="AA1895" i="3" s="1"/>
  <c r="AA1896" i="3" a="1"/>
  <c r="AA1896" i="3" s="1"/>
  <c r="AA1897" i="3" a="1"/>
  <c r="AA1897" i="3"/>
  <c r="AA1898" i="3" a="1"/>
  <c r="AA1898" i="3" s="1"/>
  <c r="AA1899" i="3" a="1"/>
  <c r="AA1899" i="3" s="1"/>
  <c r="AA1900" i="3" a="1"/>
  <c r="AA1900" i="3"/>
  <c r="AA1901" i="3" a="1"/>
  <c r="AA1901" i="3" s="1"/>
  <c r="AA1902" i="3" a="1"/>
  <c r="AA1902" i="3"/>
  <c r="AA1903" i="3" a="1"/>
  <c r="AA1903" i="3" s="1"/>
  <c r="AA1904" i="3" a="1"/>
  <c r="AA1904" i="3"/>
  <c r="AA1905" i="3" a="1"/>
  <c r="AA1905" i="3" s="1"/>
  <c r="AA1906" i="3" a="1"/>
  <c r="AA1906" i="3" s="1"/>
  <c r="AA1907" i="3" a="1"/>
  <c r="AA1907" i="3"/>
  <c r="AA1908" i="3" a="1"/>
  <c r="AA1908" i="3" s="1"/>
  <c r="AA1909" i="3" a="1"/>
  <c r="AA1909" i="3" s="1"/>
  <c r="AA1910" i="3" a="1"/>
  <c r="AA1910" i="3"/>
  <c r="AA1911" i="3" a="1"/>
  <c r="AA1911" i="3"/>
  <c r="AA1912" i="3" a="1"/>
  <c r="AA1912" i="3" s="1"/>
  <c r="AA1913" i="3" a="1"/>
  <c r="AA1913" i="3" s="1"/>
  <c r="AA1914" i="3" a="1"/>
  <c r="AA1914" i="3" s="1"/>
  <c r="AA1915" i="3" a="1"/>
  <c r="AA1915" i="3" s="1"/>
  <c r="AA1916" i="3" a="1"/>
  <c r="AA1916" i="3"/>
  <c r="AA1917" i="3" a="1"/>
  <c r="AA1917" i="3" s="1"/>
  <c r="AA1918" i="3" a="1"/>
  <c r="AA1918" i="3" s="1"/>
  <c r="AA1919" i="3" a="1"/>
  <c r="AA1919" i="3"/>
  <c r="AA1920" i="3" a="1"/>
  <c r="AA1920" i="3"/>
  <c r="AA1921" i="3" a="1"/>
  <c r="AA1921" i="3"/>
  <c r="AA1922" i="3" a="1"/>
  <c r="AA1922" i="3" s="1"/>
  <c r="AA1923" i="3" a="1"/>
  <c r="AA1923" i="3" s="1"/>
  <c r="AA1924" i="3" a="1"/>
  <c r="AA1924" i="3" s="1"/>
  <c r="AA1925" i="3" a="1"/>
  <c r="AA1925" i="3" s="1"/>
  <c r="AA1926" i="3" a="1"/>
  <c r="AA1926" i="3" s="1"/>
  <c r="AA1927" i="3" a="1"/>
  <c r="AA1927" i="3" s="1"/>
  <c r="AA1928" i="3" a="1"/>
  <c r="AA1928" i="3" s="1"/>
  <c r="AA1929" i="3" a="1"/>
  <c r="AA1929" i="3" s="1"/>
  <c r="AA1930" i="3" a="1"/>
  <c r="AA1930" i="3" s="1"/>
  <c r="AA1931" i="3" a="1"/>
  <c r="AA1931" i="3" s="1"/>
  <c r="AA1932" i="3" a="1"/>
  <c r="AA1932" i="3"/>
  <c r="AA1933" i="3" a="1"/>
  <c r="AA1933" i="3"/>
  <c r="AA1934" i="3" a="1"/>
  <c r="AA1934" i="3" s="1"/>
  <c r="AA1935" i="3" a="1"/>
  <c r="AA1935" i="3" s="1"/>
  <c r="AA1936" i="3" a="1"/>
  <c r="AA1936" i="3"/>
  <c r="AA27" i="3" a="1"/>
  <c r="AA27" i="3" s="1"/>
  <c r="AA28" i="3" a="1"/>
  <c r="AA28" i="3" s="1"/>
  <c r="AA29" i="3" a="1"/>
  <c r="AA29" i="3" s="1"/>
  <c r="AA30" i="3" a="1"/>
  <c r="AA30" i="3" s="1"/>
  <c r="AA31" i="3" a="1"/>
  <c r="AA31" i="3" s="1"/>
  <c r="AA32" i="3" a="1"/>
  <c r="AA32" i="3" s="1"/>
  <c r="AA33" i="3" a="1"/>
  <c r="AA33" i="3" s="1"/>
  <c r="AA34" i="3" a="1"/>
  <c r="AA34" i="3" s="1"/>
  <c r="AA35" i="3" a="1"/>
  <c r="AA35" i="3" s="1"/>
  <c r="AA36" i="3" a="1"/>
  <c r="AA36" i="3" s="1"/>
  <c r="AA37" i="3" a="1"/>
  <c r="AA37" i="3" s="1"/>
  <c r="AA38" i="3" a="1"/>
  <c r="AA38" i="3" s="1"/>
  <c r="AA39" i="3" a="1"/>
  <c r="AA39" i="3" s="1"/>
  <c r="AA40" i="3" a="1"/>
  <c r="AA40" i="3" s="1"/>
  <c r="AA41" i="3" a="1"/>
  <c r="AA41" i="3" s="1"/>
  <c r="AA42" i="3" a="1"/>
  <c r="AA42" i="3" s="1"/>
  <c r="AA43" i="3" a="1"/>
  <c r="AA43" i="3" s="1"/>
  <c r="AA44" i="3" a="1"/>
  <c r="AA44" i="3" s="1"/>
  <c r="AA45" i="3" a="1"/>
  <c r="AA45" i="3" s="1"/>
  <c r="AA46" i="3" a="1"/>
  <c r="AA46" i="3" s="1"/>
  <c r="AA47" i="3" a="1"/>
  <c r="AA47" i="3" s="1"/>
  <c r="AA48" i="3" a="1"/>
  <c r="AA48" i="3" s="1"/>
  <c r="AA49" i="3" a="1"/>
  <c r="AA49" i="3" s="1"/>
  <c r="AA50" i="3" a="1"/>
  <c r="AA50" i="3" s="1"/>
  <c r="AA51" i="3" a="1"/>
  <c r="AA51" i="3" s="1"/>
  <c r="AA52" i="3" a="1"/>
  <c r="AA52" i="3" s="1"/>
  <c r="AA53" i="3" a="1"/>
  <c r="AA53" i="3" s="1"/>
  <c r="AA54" i="3" a="1"/>
  <c r="AA54" i="3" s="1"/>
  <c r="AA55" i="3" a="1"/>
  <c r="AA55" i="3" s="1"/>
  <c r="AA56" i="3" a="1"/>
  <c r="AA56" i="3" s="1"/>
  <c r="AA57" i="3" a="1"/>
  <c r="AA57" i="3" s="1"/>
  <c r="AA58" i="3" a="1"/>
  <c r="AA58" i="3" s="1"/>
  <c r="AA59" i="3" a="1"/>
  <c r="AA59" i="3" s="1"/>
  <c r="AA60" i="3" a="1"/>
  <c r="AA60" i="3" s="1"/>
  <c r="AA61" i="3" a="1"/>
  <c r="AA61" i="3" s="1"/>
  <c r="AA62" i="3" a="1"/>
  <c r="AA62" i="3" s="1"/>
  <c r="AA63" i="3" a="1"/>
  <c r="AA63" i="3" s="1"/>
  <c r="AA64" i="3" a="1"/>
  <c r="AA64" i="3" s="1"/>
  <c r="AA65" i="3" a="1"/>
  <c r="AA65" i="3" s="1"/>
  <c r="AA66" i="3" a="1"/>
  <c r="AA66" i="3" s="1"/>
  <c r="AA67" i="3" a="1"/>
  <c r="AA67" i="3" s="1"/>
  <c r="AA68" i="3" a="1"/>
  <c r="AA68" i="3" s="1"/>
  <c r="AA69" i="3" a="1"/>
  <c r="AA69" i="3" s="1"/>
  <c r="AA70" i="3" a="1"/>
  <c r="AA70" i="3" s="1"/>
  <c r="AA71" i="3" a="1"/>
  <c r="AA71" i="3" s="1"/>
  <c r="AA72" i="3" a="1"/>
  <c r="AA72" i="3" s="1"/>
  <c r="AA73" i="3" a="1"/>
  <c r="AA73" i="3" s="1"/>
  <c r="AA74" i="3" a="1"/>
  <c r="AA74" i="3" s="1"/>
  <c r="AA75" i="3" a="1"/>
  <c r="AA75" i="3" s="1"/>
  <c r="AA76" i="3" a="1"/>
  <c r="AA76" i="3" s="1"/>
  <c r="AA77" i="3" a="1"/>
  <c r="AA77" i="3" s="1"/>
  <c r="AA78" i="3" a="1"/>
  <c r="AA78" i="3" s="1"/>
  <c r="AA79" i="3" a="1"/>
  <c r="AA79" i="3" s="1"/>
  <c r="AA80" i="3" a="1"/>
  <c r="AA80" i="3" s="1"/>
  <c r="AA81" i="3" a="1"/>
  <c r="AA81" i="3" s="1"/>
  <c r="AA82" i="3" a="1"/>
  <c r="AA82" i="3" s="1"/>
  <c r="AA83" i="3" a="1"/>
  <c r="AA83" i="3" s="1"/>
  <c r="AA84" i="3" a="1"/>
  <c r="AA84" i="3" s="1"/>
  <c r="AA85" i="3" a="1"/>
  <c r="AA85" i="3" s="1"/>
  <c r="AA86" i="3" a="1"/>
  <c r="AA86" i="3" s="1"/>
  <c r="AA87" i="3" a="1"/>
  <c r="AA87" i="3" s="1"/>
  <c r="AA88" i="3" a="1"/>
  <c r="AA88" i="3" s="1"/>
  <c r="AA89" i="3" a="1"/>
  <c r="AA89" i="3" s="1"/>
  <c r="AA90" i="3" a="1"/>
  <c r="AA90" i="3" s="1"/>
  <c r="AA91" i="3" a="1"/>
  <c r="AA91" i="3" s="1"/>
  <c r="AA92" i="3" a="1"/>
  <c r="AA92" i="3" s="1"/>
  <c r="AA93" i="3" a="1"/>
  <c r="AA93" i="3" s="1"/>
  <c r="AA94" i="3" a="1"/>
  <c r="AA94" i="3" s="1"/>
  <c r="AA95" i="3" a="1"/>
  <c r="AA95" i="3" s="1"/>
  <c r="AA96" i="3" a="1"/>
  <c r="AA96" i="3" s="1"/>
  <c r="AA97" i="3" a="1"/>
  <c r="AA97" i="3" s="1"/>
  <c r="AA98" i="3" a="1"/>
  <c r="AA98" i="3" s="1"/>
  <c r="AA99" i="3" a="1"/>
  <c r="AA99" i="3" s="1"/>
  <c r="AA100" i="3" a="1"/>
  <c r="AA100" i="3" s="1"/>
  <c r="AA101" i="3" a="1"/>
  <c r="AA101" i="3" s="1"/>
  <c r="AA102" i="3" a="1"/>
  <c r="AA102" i="3" s="1"/>
  <c r="AA103" i="3" a="1"/>
  <c r="AA103" i="3" s="1"/>
  <c r="AA104" i="3" a="1"/>
  <c r="AA104" i="3" s="1"/>
  <c r="AA105" i="3" a="1"/>
  <c r="AA105" i="3" s="1"/>
  <c r="AA106" i="3" a="1"/>
  <c r="AA106" i="3" s="1"/>
  <c r="AA107" i="3" a="1"/>
  <c r="AA107" i="3" s="1"/>
  <c r="AA108" i="3" a="1"/>
  <c r="AA108" i="3" s="1"/>
  <c r="AA109" i="3" a="1"/>
  <c r="AA109" i="3" s="1"/>
  <c r="AA110" i="3" a="1"/>
  <c r="AA110" i="3" s="1"/>
  <c r="AA111" i="3" a="1"/>
  <c r="AA111" i="3" s="1"/>
  <c r="AA112" i="3" a="1"/>
  <c r="AA112" i="3" s="1"/>
  <c r="AA113" i="3" a="1"/>
  <c r="AA113" i="3" s="1"/>
  <c r="AA114" i="3" a="1"/>
  <c r="AA114" i="3" s="1"/>
  <c r="AA115" i="3" a="1"/>
  <c r="AA115" i="3" s="1"/>
  <c r="AA116" i="3" a="1"/>
  <c r="AA116" i="3" s="1"/>
  <c r="AA117" i="3" a="1"/>
  <c r="AA117" i="3" s="1"/>
  <c r="AA118" i="3" a="1"/>
  <c r="AA118" i="3" s="1"/>
  <c r="AA119" i="3" a="1"/>
  <c r="AA119" i="3" s="1"/>
  <c r="AA120" i="3" a="1"/>
  <c r="AA120" i="3" s="1"/>
  <c r="AA121" i="3" a="1"/>
  <c r="AA121" i="3" s="1"/>
  <c r="AA122" i="3" a="1"/>
  <c r="AA122" i="3" s="1"/>
  <c r="AA123" i="3" a="1"/>
  <c r="AA123" i="3" s="1"/>
  <c r="AA124" i="3" a="1"/>
  <c r="AA124" i="3" s="1"/>
  <c r="AA125" i="3" a="1"/>
  <c r="AA125" i="3" s="1"/>
  <c r="AA126" i="3" a="1"/>
  <c r="AA126" i="3" s="1"/>
  <c r="AA127" i="3" a="1"/>
  <c r="AA127" i="3" s="1"/>
  <c r="AA128" i="3" a="1"/>
  <c r="AA128" i="3" s="1"/>
  <c r="AA129" i="3" a="1"/>
  <c r="AA129" i="3" s="1"/>
  <c r="AA130" i="3" a="1"/>
  <c r="AA130" i="3" s="1"/>
  <c r="AA131" i="3" a="1"/>
  <c r="AA131" i="3" s="1"/>
  <c r="AA132" i="3" a="1"/>
  <c r="AA132" i="3" s="1"/>
  <c r="AA133" i="3" a="1"/>
  <c r="AA133" i="3" s="1"/>
  <c r="AA134" i="3" a="1"/>
  <c r="AA134" i="3" s="1"/>
  <c r="AA135" i="3" a="1"/>
  <c r="AA135" i="3" s="1"/>
  <c r="AA136" i="3" a="1"/>
  <c r="AA136" i="3" s="1"/>
  <c r="AA137" i="3" a="1"/>
  <c r="AA137" i="3" s="1"/>
  <c r="AA138" i="3" a="1"/>
  <c r="AA138" i="3" s="1"/>
  <c r="AA139" i="3" a="1"/>
  <c r="AA139" i="3" s="1"/>
  <c r="AA140" i="3" a="1"/>
  <c r="AA140" i="3" s="1"/>
  <c r="AA141" i="3" a="1"/>
  <c r="AA141" i="3" s="1"/>
  <c r="AA142" i="3" a="1"/>
  <c r="AA142" i="3" s="1"/>
  <c r="AA143" i="3" a="1"/>
  <c r="AA143" i="3" s="1"/>
  <c r="AA144" i="3" a="1"/>
  <c r="AA144" i="3" s="1"/>
  <c r="AA145" i="3" a="1"/>
  <c r="AA145" i="3" s="1"/>
  <c r="AA146" i="3" a="1"/>
  <c r="AA146" i="3" s="1"/>
  <c r="AA147" i="3" a="1"/>
  <c r="AA147" i="3" s="1"/>
  <c r="AA148" i="3" a="1"/>
  <c r="AA148" i="3" s="1"/>
  <c r="AA149" i="3" a="1"/>
  <c r="AA149" i="3" s="1"/>
  <c r="AA150" i="3" a="1"/>
  <c r="AA150" i="3" s="1"/>
  <c r="AA151" i="3" a="1"/>
  <c r="AA151" i="3" s="1"/>
  <c r="AA152" i="3" a="1"/>
  <c r="AA152" i="3" s="1"/>
  <c r="AA153" i="3" a="1"/>
  <c r="AA153" i="3" s="1"/>
  <c r="AA154" i="3" a="1"/>
  <c r="AA154" i="3" s="1"/>
  <c r="AA155" i="3" a="1"/>
  <c r="AA155" i="3" s="1"/>
  <c r="AA156" i="3" a="1"/>
  <c r="AA156" i="3" s="1"/>
  <c r="AA157" i="3" a="1"/>
  <c r="AA157" i="3" s="1"/>
  <c r="AA158" i="3" a="1"/>
  <c r="AA158" i="3" s="1"/>
  <c r="AA159" i="3" a="1"/>
  <c r="AA159" i="3" s="1"/>
  <c r="AA160" i="3" a="1"/>
  <c r="AA160" i="3" s="1"/>
  <c r="AA161" i="3" a="1"/>
  <c r="AA161" i="3" s="1"/>
  <c r="AA162" i="3" a="1"/>
  <c r="AA162" i="3" s="1"/>
  <c r="AA163" i="3" a="1"/>
  <c r="AA163" i="3" s="1"/>
  <c r="AA164" i="3" a="1"/>
  <c r="AA164" i="3" s="1"/>
  <c r="AA165" i="3" a="1"/>
  <c r="AA165" i="3" s="1"/>
  <c r="AA166" i="3" a="1"/>
  <c r="AA166" i="3" s="1"/>
  <c r="AA167" i="3" a="1"/>
  <c r="AA167" i="3" s="1"/>
  <c r="AA168" i="3" a="1"/>
  <c r="AA168" i="3" s="1"/>
  <c r="AA169" i="3" a="1"/>
  <c r="AA169" i="3" s="1"/>
  <c r="AA170" i="3" a="1"/>
  <c r="AA170" i="3" s="1"/>
  <c r="AA171" i="3" a="1"/>
  <c r="AA171" i="3" s="1"/>
  <c r="AA172" i="3" a="1"/>
  <c r="AA172" i="3" s="1"/>
  <c r="AA173" i="3" a="1"/>
  <c r="AA173" i="3" s="1"/>
  <c r="AA174" i="3" a="1"/>
  <c r="AA174" i="3" s="1"/>
  <c r="AA175" i="3" a="1"/>
  <c r="AA175" i="3" s="1"/>
  <c r="AA176" i="3" a="1"/>
  <c r="AA176" i="3" s="1"/>
  <c r="AA177" i="3" a="1"/>
  <c r="AA177" i="3" s="1"/>
  <c r="AA178" i="3" a="1"/>
  <c r="AA178" i="3" s="1"/>
  <c r="AA179" i="3" a="1"/>
  <c r="AA179" i="3" s="1"/>
  <c r="AA180" i="3" a="1"/>
  <c r="AA180" i="3" s="1"/>
  <c r="AA181" i="3" a="1"/>
  <c r="AA181" i="3" s="1"/>
  <c r="AA182" i="3" a="1"/>
  <c r="AA182" i="3" s="1"/>
  <c r="AA183" i="3" a="1"/>
  <c r="AA183" i="3" s="1"/>
  <c r="AA184" i="3" a="1"/>
  <c r="AA184" i="3" s="1"/>
  <c r="AA185" i="3" a="1"/>
  <c r="AA185" i="3" s="1"/>
  <c r="AA186" i="3" a="1"/>
  <c r="AA186" i="3" s="1"/>
  <c r="AA187" i="3" a="1"/>
  <c r="AA187" i="3" s="1"/>
  <c r="AA188" i="3" a="1"/>
  <c r="AA188" i="3" s="1"/>
  <c r="AA189" i="3" a="1"/>
  <c r="AA189" i="3" s="1"/>
  <c r="AA190" i="3" a="1"/>
  <c r="AA190" i="3" s="1"/>
  <c r="AA191" i="3" a="1"/>
  <c r="AA191" i="3" s="1"/>
  <c r="AA192" i="3" a="1"/>
  <c r="AA192" i="3" s="1"/>
  <c r="AA193" i="3" a="1"/>
  <c r="AA193" i="3" s="1"/>
  <c r="AA194" i="3" a="1"/>
  <c r="AA194" i="3" s="1"/>
  <c r="AA195" i="3" a="1"/>
  <c r="AA195" i="3" s="1"/>
  <c r="AA196" i="3" a="1"/>
  <c r="AA196" i="3" s="1"/>
  <c r="AA197" i="3" a="1"/>
  <c r="AA197" i="3" s="1"/>
  <c r="AA198" i="3" a="1"/>
  <c r="AA198" i="3" s="1"/>
  <c r="AA199" i="3" a="1"/>
  <c r="AA199" i="3" s="1"/>
  <c r="AA200" i="3" a="1"/>
  <c r="AA200" i="3" s="1"/>
  <c r="AA201" i="3" a="1"/>
  <c r="AA201" i="3" s="1"/>
  <c r="AA202" i="3" a="1"/>
  <c r="AA202" i="3" s="1"/>
  <c r="AA203" i="3" a="1"/>
  <c r="AA203" i="3" s="1"/>
  <c r="AA204" i="3" a="1"/>
  <c r="AA204" i="3" s="1"/>
  <c r="AA205" i="3" a="1"/>
  <c r="AA205" i="3" s="1"/>
  <c r="AA206" i="3" a="1"/>
  <c r="AA206" i="3" s="1"/>
  <c r="AA207" i="3" a="1"/>
  <c r="AA207" i="3" s="1"/>
  <c r="AA208" i="3" a="1"/>
  <c r="AA208" i="3" s="1"/>
  <c r="AA209" i="3" a="1"/>
  <c r="AA209" i="3" s="1"/>
  <c r="AA210" i="3" a="1"/>
  <c r="AA210" i="3" s="1"/>
  <c r="AA211" i="3" a="1"/>
  <c r="AA211" i="3" s="1"/>
  <c r="AA212" i="3" a="1"/>
  <c r="AA212" i="3" s="1"/>
  <c r="AA213" i="3" a="1"/>
  <c r="AA213" i="3" s="1"/>
  <c r="AA214" i="3" a="1"/>
  <c r="AA214" i="3" s="1"/>
  <c r="AA215" i="3" a="1"/>
  <c r="AA215" i="3" s="1"/>
  <c r="AA216" i="3" a="1"/>
  <c r="AA216" i="3" s="1"/>
  <c r="AA217" i="3" a="1"/>
  <c r="AA217" i="3" s="1"/>
  <c r="AA218" i="3" a="1"/>
  <c r="AA218" i="3" s="1"/>
  <c r="AA219" i="3" a="1"/>
  <c r="AA219" i="3" s="1"/>
  <c r="AA220" i="3" a="1"/>
  <c r="AA220" i="3" s="1"/>
  <c r="AA221" i="3" a="1"/>
  <c r="AA221" i="3" s="1"/>
  <c r="AA222" i="3" a="1"/>
  <c r="AA222" i="3" s="1"/>
  <c r="AA223" i="3" a="1"/>
  <c r="AA223" i="3" s="1"/>
  <c r="AA224" i="3" a="1"/>
  <c r="AA224" i="3" s="1"/>
  <c r="AA225" i="3" a="1"/>
  <c r="AA225" i="3" s="1"/>
  <c r="AA226" i="3" a="1"/>
  <c r="AA226" i="3" s="1"/>
  <c r="AA227" i="3" a="1"/>
  <c r="AA227" i="3" s="1"/>
  <c r="AA228" i="3" a="1"/>
  <c r="AA228" i="3" s="1"/>
  <c r="AA229" i="3" a="1"/>
  <c r="AA229" i="3" s="1"/>
  <c r="AA230" i="3" a="1"/>
  <c r="AA230" i="3" s="1"/>
  <c r="AA231" i="3" a="1"/>
  <c r="AA231" i="3" s="1"/>
  <c r="AA232" i="3" a="1"/>
  <c r="AA232" i="3" s="1"/>
  <c r="AA233" i="3" a="1"/>
  <c r="AA233" i="3" s="1"/>
  <c r="AA234" i="3" a="1"/>
  <c r="AA234" i="3" s="1"/>
  <c r="AA235" i="3" a="1"/>
  <c r="AA235" i="3" s="1"/>
  <c r="AA236" i="3" a="1"/>
  <c r="AA236" i="3" s="1"/>
  <c r="AA237" i="3" a="1"/>
  <c r="AA237" i="3" s="1"/>
  <c r="AA238" i="3" a="1"/>
  <c r="AA238" i="3" s="1"/>
  <c r="AA239" i="3" a="1"/>
  <c r="AA239" i="3" s="1"/>
  <c r="AA240" i="3" a="1"/>
  <c r="AA240" i="3" s="1"/>
  <c r="AA241" i="3" a="1"/>
  <c r="AA241" i="3" s="1"/>
  <c r="AA242" i="3" a="1"/>
  <c r="AA242" i="3" s="1"/>
  <c r="AA243" i="3" a="1"/>
  <c r="AA243" i="3" s="1"/>
  <c r="AA244" i="3" a="1"/>
  <c r="AA244" i="3" s="1"/>
  <c r="AA245" i="3" a="1"/>
  <c r="AA245" i="3" s="1"/>
  <c r="AA246" i="3" a="1"/>
  <c r="AA246" i="3" s="1"/>
  <c r="AA247" i="3" a="1"/>
  <c r="AA247" i="3" s="1"/>
  <c r="AA248" i="3" a="1"/>
  <c r="AA248" i="3" s="1"/>
  <c r="AA249" i="3" a="1"/>
  <c r="AA249" i="3" s="1"/>
  <c r="AA250" i="3" a="1"/>
  <c r="AA250" i="3" s="1"/>
  <c r="AA251" i="3" a="1"/>
  <c r="AA251" i="3" s="1"/>
  <c r="AA252" i="3" a="1"/>
  <c r="AA252" i="3" s="1"/>
  <c r="AA253" i="3" a="1"/>
  <c r="AA253" i="3" s="1"/>
  <c r="AA254" i="3" a="1"/>
  <c r="AA254" i="3" s="1"/>
  <c r="AA255" i="3" a="1"/>
  <c r="AA255" i="3" s="1"/>
  <c r="AA256" i="3" a="1"/>
  <c r="AA256" i="3" s="1"/>
  <c r="AA257" i="3" a="1"/>
  <c r="AA257" i="3" s="1"/>
  <c r="AA258" i="3" a="1"/>
  <c r="AA258" i="3" s="1"/>
  <c r="AA259" i="3" a="1"/>
  <c r="AA259" i="3" s="1"/>
  <c r="AA260" i="3" a="1"/>
  <c r="AA260" i="3" s="1"/>
  <c r="AA261" i="3" a="1"/>
  <c r="AA261" i="3" s="1"/>
  <c r="AA262" i="3" a="1"/>
  <c r="AA262" i="3" s="1"/>
  <c r="AA263" i="3" a="1"/>
  <c r="AA263" i="3" s="1"/>
  <c r="AA264" i="3" a="1"/>
  <c r="AA264" i="3" s="1"/>
  <c r="AA265" i="3" a="1"/>
  <c r="AA265" i="3" s="1"/>
  <c r="AA266" i="3" a="1"/>
  <c r="AA266" i="3" s="1"/>
  <c r="AA267" i="3" a="1"/>
  <c r="AA267" i="3" s="1"/>
  <c r="AA268" i="3" a="1"/>
  <c r="AA268" i="3" s="1"/>
  <c r="AA269" i="3" a="1"/>
  <c r="AA269" i="3" s="1"/>
  <c r="AA270" i="3" a="1"/>
  <c r="AA270" i="3" s="1"/>
  <c r="AA271" i="3" a="1"/>
  <c r="AA271" i="3" s="1"/>
  <c r="AA272" i="3" a="1"/>
  <c r="AA272" i="3" s="1"/>
  <c r="AA273" i="3" a="1"/>
  <c r="AA273" i="3" s="1"/>
  <c r="AA274" i="3" a="1"/>
  <c r="AA274" i="3" s="1"/>
  <c r="AA275" i="3" a="1"/>
  <c r="AA275" i="3" s="1"/>
  <c r="AA276" i="3" a="1"/>
  <c r="AA276" i="3" s="1"/>
  <c r="AA277" i="3" a="1"/>
  <c r="AA277" i="3" s="1"/>
  <c r="AA278" i="3" a="1"/>
  <c r="AA278" i="3" s="1"/>
  <c r="AA279" i="3" a="1"/>
  <c r="AA279" i="3" s="1"/>
  <c r="AA280" i="3" a="1"/>
  <c r="AA280" i="3" s="1"/>
  <c r="AA281" i="3" a="1"/>
  <c r="AA281" i="3" s="1"/>
  <c r="AA282" i="3" a="1"/>
  <c r="AA282" i="3" s="1"/>
  <c r="AA283" i="3" a="1"/>
  <c r="AA283" i="3" s="1"/>
  <c r="AA284" i="3" a="1"/>
  <c r="AA284" i="3" s="1"/>
  <c r="AA285" i="3" a="1"/>
  <c r="AA285" i="3" s="1"/>
  <c r="AA286" i="3" a="1"/>
  <c r="AA286" i="3" s="1"/>
  <c r="AA287" i="3" a="1"/>
  <c r="AA287" i="3" s="1"/>
  <c r="AA288" i="3" a="1"/>
  <c r="AA288" i="3" s="1"/>
  <c r="AA289" i="3" a="1"/>
  <c r="AA289" i="3" s="1"/>
  <c r="AA290" i="3" a="1"/>
  <c r="AA290" i="3" s="1"/>
  <c r="AA291" i="3" a="1"/>
  <c r="AA291" i="3" s="1"/>
  <c r="AA292" i="3" a="1"/>
  <c r="AA292" i="3" s="1"/>
  <c r="AA293" i="3" a="1"/>
  <c r="AA293" i="3" s="1"/>
  <c r="AA294" i="3" a="1"/>
  <c r="AA294" i="3" s="1"/>
  <c r="AA295" i="3" a="1"/>
  <c r="AA295" i="3" s="1"/>
  <c r="AA296" i="3" a="1"/>
  <c r="AA296" i="3" s="1"/>
  <c r="AA297" i="3" a="1"/>
  <c r="AA297" i="3" s="1"/>
  <c r="AA298" i="3" a="1"/>
  <c r="AA298" i="3" s="1"/>
  <c r="AA299" i="3" a="1"/>
  <c r="AA299" i="3" s="1"/>
  <c r="AA300" i="3" a="1"/>
  <c r="AA300" i="3" s="1"/>
  <c r="AA301" i="3" a="1"/>
  <c r="AA301" i="3" s="1"/>
  <c r="AA302" i="3" a="1"/>
  <c r="AA302" i="3" s="1"/>
  <c r="AA303" i="3" a="1"/>
  <c r="AA303" i="3" s="1"/>
  <c r="AA304" i="3" a="1"/>
  <c r="AA304" i="3" s="1"/>
  <c r="AA305" i="3" a="1"/>
  <c r="AA305" i="3" s="1"/>
  <c r="AA306" i="3" a="1"/>
  <c r="AA306" i="3" s="1"/>
  <c r="AA307" i="3" a="1"/>
  <c r="AA307" i="3" s="1"/>
  <c r="AA308" i="3" a="1"/>
  <c r="AA308" i="3" s="1"/>
  <c r="AA309" i="3" a="1"/>
  <c r="AA309" i="3" s="1"/>
  <c r="AA310" i="3" a="1"/>
  <c r="AA310" i="3" s="1"/>
  <c r="AA311" i="3" a="1"/>
  <c r="AA311" i="3" s="1"/>
  <c r="AA312" i="3" a="1"/>
  <c r="AA312" i="3" s="1"/>
  <c r="AA313" i="3" a="1"/>
  <c r="AA313" i="3" s="1"/>
  <c r="AA314" i="3" a="1"/>
  <c r="AA314" i="3" s="1"/>
  <c r="AA315" i="3" a="1"/>
  <c r="AA315" i="3" s="1"/>
  <c r="AA316" i="3" a="1"/>
  <c r="AA316" i="3" s="1"/>
  <c r="AA317" i="3" a="1"/>
  <c r="AA317" i="3" s="1"/>
  <c r="AA318" i="3" a="1"/>
  <c r="AA318" i="3" s="1"/>
  <c r="AA319" i="3" a="1"/>
  <c r="AA319" i="3" s="1"/>
  <c r="AA320" i="3" a="1"/>
  <c r="AA320" i="3" s="1"/>
  <c r="AA321" i="3" a="1"/>
  <c r="AA321" i="3" s="1"/>
  <c r="AA322" i="3" a="1"/>
  <c r="AA322" i="3" s="1"/>
  <c r="AA323" i="3" a="1"/>
  <c r="AA323" i="3" s="1"/>
  <c r="AA324" i="3" a="1"/>
  <c r="AA324" i="3" s="1"/>
  <c r="AA325" i="3" a="1"/>
  <c r="AA325" i="3" s="1"/>
  <c r="AA326" i="3" a="1"/>
  <c r="AA326" i="3" s="1"/>
  <c r="AA327" i="3" a="1"/>
  <c r="AA327" i="3" s="1"/>
  <c r="AA328" i="3" a="1"/>
  <c r="AA328" i="3" s="1"/>
  <c r="AA329" i="3" a="1"/>
  <c r="AA329" i="3" s="1"/>
  <c r="AA330" i="3" a="1"/>
  <c r="AA330" i="3" s="1"/>
  <c r="AA331" i="3" a="1"/>
  <c r="AA331" i="3" s="1"/>
  <c r="AA332" i="3" a="1"/>
  <c r="AA332" i="3" s="1"/>
  <c r="AA333" i="3" a="1"/>
  <c r="AA333" i="3" s="1"/>
  <c r="AA334" i="3" a="1"/>
  <c r="AA334" i="3" s="1"/>
  <c r="AA335" i="3" a="1"/>
  <c r="AA335" i="3" s="1"/>
  <c r="AA336" i="3" a="1"/>
  <c r="AA336" i="3" s="1"/>
  <c r="AA337" i="3" a="1"/>
  <c r="AA337" i="3" s="1"/>
  <c r="AA338" i="3" a="1"/>
  <c r="AA338" i="3" s="1"/>
  <c r="AA339" i="3" a="1"/>
  <c r="AA339" i="3" s="1"/>
  <c r="AA340" i="3" a="1"/>
  <c r="AA340" i="3" s="1"/>
  <c r="AA341" i="3" a="1"/>
  <c r="AA341" i="3" s="1"/>
  <c r="AA342" i="3" a="1"/>
  <c r="AA342" i="3" s="1"/>
  <c r="AA343" i="3" a="1"/>
  <c r="AA343" i="3" s="1"/>
  <c r="AA344" i="3" a="1"/>
  <c r="AA344" i="3" s="1"/>
  <c r="AA345" i="3" a="1"/>
  <c r="AA345" i="3" s="1"/>
  <c r="AA346" i="3" a="1"/>
  <c r="AA346" i="3" s="1"/>
  <c r="AA347" i="3" a="1"/>
  <c r="AA347" i="3" s="1"/>
  <c r="AA348" i="3" a="1"/>
  <c r="AA348" i="3" s="1"/>
  <c r="AA349" i="3" a="1"/>
  <c r="AA349" i="3" s="1"/>
  <c r="AA350" i="3" a="1"/>
  <c r="AA350" i="3" s="1"/>
  <c r="AA351" i="3" a="1"/>
  <c r="AA351" i="3" s="1"/>
  <c r="AA352" i="3" a="1"/>
  <c r="AA352" i="3" s="1"/>
  <c r="AA353" i="3" a="1"/>
  <c r="AA353" i="3" s="1"/>
  <c r="AA354" i="3" a="1"/>
  <c r="AA354" i="3" s="1"/>
  <c r="AA355" i="3" a="1"/>
  <c r="AA355" i="3" s="1"/>
  <c r="AA356" i="3" a="1"/>
  <c r="AA356" i="3" s="1"/>
  <c r="AA357" i="3" a="1"/>
  <c r="AA357" i="3" s="1"/>
  <c r="AA358" i="3" a="1"/>
  <c r="AA358" i="3" s="1"/>
  <c r="AA359" i="3" a="1"/>
  <c r="AA359" i="3" s="1"/>
  <c r="AA360" i="3" a="1"/>
  <c r="AA360" i="3" s="1"/>
  <c r="AA361" i="3" a="1"/>
  <c r="AA361" i="3" s="1"/>
  <c r="AA362" i="3" a="1"/>
  <c r="AA362" i="3" s="1"/>
  <c r="AA363" i="3" a="1"/>
  <c r="AA363" i="3" s="1"/>
  <c r="AA364" i="3" a="1"/>
  <c r="AA364" i="3" s="1"/>
  <c r="AA365" i="3" a="1"/>
  <c r="AA365" i="3" s="1"/>
  <c r="AA366" i="3" a="1"/>
  <c r="AA366" i="3" s="1"/>
  <c r="AA367" i="3" a="1"/>
  <c r="AA367" i="3" s="1"/>
  <c r="AA368" i="3" a="1"/>
  <c r="AA368" i="3" s="1"/>
  <c r="AA369" i="3" a="1"/>
  <c r="AA369" i="3" s="1"/>
  <c r="AA370" i="3" a="1"/>
  <c r="AA370" i="3" s="1"/>
  <c r="AA371" i="3" a="1"/>
  <c r="AA371" i="3" s="1"/>
  <c r="AA372" i="3" a="1"/>
  <c r="AA372" i="3" s="1"/>
  <c r="AA373" i="3" a="1"/>
  <c r="AA373" i="3" s="1"/>
  <c r="AA374" i="3" a="1"/>
  <c r="AA374" i="3" s="1"/>
  <c r="AA375" i="3" a="1"/>
  <c r="AA375" i="3" s="1"/>
  <c r="AA376" i="3" a="1"/>
  <c r="AA376" i="3" s="1"/>
  <c r="AA377" i="3" a="1"/>
  <c r="AA377" i="3" s="1"/>
  <c r="AA378" i="3" a="1"/>
  <c r="AA378" i="3" s="1"/>
  <c r="AA379" i="3" a="1"/>
  <c r="AA379" i="3" s="1"/>
  <c r="AA380" i="3" a="1"/>
  <c r="AA380" i="3" s="1"/>
  <c r="AA381" i="3" a="1"/>
  <c r="AA381" i="3" s="1"/>
  <c r="AA382" i="3" a="1"/>
  <c r="AA382" i="3" s="1"/>
  <c r="AA383" i="3" a="1"/>
  <c r="AA383" i="3" s="1"/>
  <c r="AA384" i="3" a="1"/>
  <c r="AA384" i="3" s="1"/>
  <c r="AA385" i="3" a="1"/>
  <c r="AA385" i="3" s="1"/>
  <c r="AA386" i="3" a="1"/>
  <c r="AA386" i="3" s="1"/>
  <c r="AA387" i="3" a="1"/>
  <c r="AA387" i="3" s="1"/>
  <c r="AA388" i="3" a="1"/>
  <c r="AA388" i="3" s="1"/>
  <c r="AA389" i="3" a="1"/>
  <c r="AA389" i="3" s="1"/>
  <c r="AA390" i="3" a="1"/>
  <c r="AA390" i="3" s="1"/>
  <c r="AA391" i="3" a="1"/>
  <c r="AA391" i="3" s="1"/>
  <c r="AA392" i="3" a="1"/>
  <c r="AA392" i="3" s="1"/>
  <c r="AA393" i="3" a="1"/>
  <c r="AA393" i="3" s="1"/>
  <c r="AA394" i="3" a="1"/>
  <c r="AA394" i="3" s="1"/>
  <c r="AA395" i="3" a="1"/>
  <c r="AA395" i="3" s="1"/>
  <c r="AA396" i="3" a="1"/>
  <c r="AA396" i="3" s="1"/>
  <c r="AA397" i="3" a="1"/>
  <c r="AA397" i="3" s="1"/>
  <c r="AA398" i="3" a="1"/>
  <c r="AA398" i="3" s="1"/>
  <c r="AA399" i="3" a="1"/>
  <c r="AA399" i="3" s="1"/>
  <c r="AA400" i="3" a="1"/>
  <c r="AA400" i="3" s="1"/>
  <c r="AA401" i="3" a="1"/>
  <c r="AA401" i="3" s="1"/>
  <c r="AA402" i="3" a="1"/>
  <c r="AA402" i="3" s="1"/>
  <c r="AA403" i="3" a="1"/>
  <c r="AA403" i="3" s="1"/>
  <c r="AA404" i="3" a="1"/>
  <c r="AA404" i="3" s="1"/>
  <c r="AA405" i="3" a="1"/>
  <c r="AA405" i="3" s="1"/>
  <c r="AA406" i="3" a="1"/>
  <c r="AA406" i="3" s="1"/>
  <c r="AA407" i="3" a="1"/>
  <c r="AA407" i="3" s="1"/>
  <c r="AA408" i="3" a="1"/>
  <c r="AA408" i="3" s="1"/>
  <c r="AA409" i="3" a="1"/>
  <c r="AA409" i="3" s="1"/>
  <c r="AA410" i="3" a="1"/>
  <c r="AA410" i="3" s="1"/>
  <c r="AA411" i="3" a="1"/>
  <c r="AA411" i="3" s="1"/>
  <c r="AA412" i="3" a="1"/>
  <c r="AA412" i="3" s="1"/>
  <c r="AA413" i="3" a="1"/>
  <c r="AA413" i="3" s="1"/>
  <c r="AA414" i="3" a="1"/>
  <c r="AA414" i="3" s="1"/>
  <c r="AA415" i="3" a="1"/>
  <c r="AA415" i="3" s="1"/>
  <c r="AA416" i="3" a="1"/>
  <c r="AA416" i="3" s="1"/>
  <c r="AA417" i="3" a="1"/>
  <c r="AA417" i="3" s="1"/>
  <c r="AA418" i="3" a="1"/>
  <c r="AA418" i="3" s="1"/>
  <c r="AA419" i="3" a="1"/>
  <c r="AA419" i="3" s="1"/>
  <c r="AA420" i="3" a="1"/>
  <c r="AA420" i="3" s="1"/>
  <c r="AA421" i="3" a="1"/>
  <c r="AA421" i="3" s="1"/>
  <c r="AA422" i="3" a="1"/>
  <c r="AA422" i="3" s="1"/>
  <c r="AA423" i="3" a="1"/>
  <c r="AA423" i="3" s="1"/>
  <c r="AA424" i="3" a="1"/>
  <c r="AA424" i="3" s="1"/>
  <c r="AA425" i="3" a="1"/>
  <c r="AA425" i="3" s="1"/>
  <c r="AA426" i="3" a="1"/>
  <c r="AA426" i="3" s="1"/>
  <c r="AA427" i="3" a="1"/>
  <c r="AA427" i="3" s="1"/>
  <c r="AA428" i="3" a="1"/>
  <c r="AA428" i="3" s="1"/>
  <c r="AA429" i="3" a="1"/>
  <c r="AA429" i="3" s="1"/>
  <c r="AA430" i="3" a="1"/>
  <c r="AA430" i="3" s="1"/>
  <c r="AA431" i="3" a="1"/>
  <c r="AA431" i="3" s="1"/>
  <c r="AA432" i="3" a="1"/>
  <c r="AA432" i="3" s="1"/>
  <c r="AA433" i="3" a="1"/>
  <c r="AA433" i="3" s="1"/>
  <c r="AA434" i="3" a="1"/>
  <c r="AA434" i="3" s="1"/>
  <c r="AA435" i="3" a="1"/>
  <c r="AA435" i="3" s="1"/>
  <c r="AA436" i="3" a="1"/>
  <c r="AA436" i="3" s="1"/>
  <c r="AA437" i="3" a="1"/>
  <c r="AA437" i="3" s="1"/>
  <c r="AA438" i="3" a="1"/>
  <c r="AA438" i="3" s="1"/>
  <c r="AA439" i="3" a="1"/>
  <c r="AA439" i="3" s="1"/>
  <c r="AA440" i="3" a="1"/>
  <c r="AA440" i="3" s="1"/>
  <c r="AA441" i="3" a="1"/>
  <c r="AA441" i="3" s="1"/>
  <c r="AA442" i="3" a="1"/>
  <c r="AA442" i="3" s="1"/>
  <c r="AA443" i="3" a="1"/>
  <c r="AA443" i="3" s="1"/>
  <c r="AA444" i="3" a="1"/>
  <c r="AA444" i="3" s="1"/>
  <c r="AA445" i="3" a="1"/>
  <c r="AA445" i="3" s="1"/>
  <c r="AA446" i="3" a="1"/>
  <c r="AA446" i="3" s="1"/>
  <c r="AA447" i="3" a="1"/>
  <c r="AA447" i="3" s="1"/>
  <c r="AA448" i="3" a="1"/>
  <c r="AA448" i="3" s="1"/>
  <c r="AA449" i="3" a="1"/>
  <c r="AA449" i="3" s="1"/>
  <c r="AA450" i="3" a="1"/>
  <c r="AA450" i="3" s="1"/>
  <c r="AA451" i="3" a="1"/>
  <c r="AA451" i="3" s="1"/>
  <c r="AA452" i="3" a="1"/>
  <c r="AA452" i="3" s="1"/>
  <c r="AA453" i="3" a="1"/>
  <c r="AA453" i="3" s="1"/>
  <c r="AA454" i="3" a="1"/>
  <c r="AA454" i="3" s="1"/>
  <c r="AA455" i="3" a="1"/>
  <c r="AA455" i="3" s="1"/>
  <c r="AA456" i="3" a="1"/>
  <c r="AA456" i="3" s="1"/>
  <c r="AA457" i="3" a="1"/>
  <c r="AA457" i="3" s="1"/>
  <c r="AA458" i="3" a="1"/>
  <c r="AA458" i="3" s="1"/>
  <c r="AA459" i="3" a="1"/>
  <c r="AA459" i="3" s="1"/>
  <c r="AA460" i="3" a="1"/>
  <c r="AA460" i="3" s="1"/>
  <c r="AA461" i="3" a="1"/>
  <c r="AA461" i="3" s="1"/>
  <c r="AA462" i="3" a="1"/>
  <c r="AA462" i="3" s="1"/>
  <c r="AA463" i="3" a="1"/>
  <c r="AA463" i="3" s="1"/>
  <c r="AA464" i="3" a="1"/>
  <c r="AA464" i="3" s="1"/>
  <c r="AA465" i="3" a="1"/>
  <c r="AA465" i="3" s="1"/>
  <c r="AA466" i="3" a="1"/>
  <c r="AA466" i="3" s="1"/>
  <c r="AA467" i="3" a="1"/>
  <c r="AA467" i="3" s="1"/>
  <c r="AA468" i="3" a="1"/>
  <c r="AA468" i="3" s="1"/>
  <c r="AA469" i="3" a="1"/>
  <c r="AA469" i="3" s="1"/>
  <c r="AA470" i="3" a="1"/>
  <c r="AA470" i="3" s="1"/>
  <c r="AA471" i="3" a="1"/>
  <c r="AA471" i="3" s="1"/>
  <c r="AA472" i="3" a="1"/>
  <c r="AA472" i="3" s="1"/>
  <c r="AA473" i="3" a="1"/>
  <c r="AA473" i="3" s="1"/>
  <c r="AA474" i="3" a="1"/>
  <c r="AA474" i="3" s="1"/>
  <c r="AA475" i="3" a="1"/>
  <c r="AA475" i="3" s="1"/>
  <c r="AA476" i="3" a="1"/>
  <c r="AA476" i="3" s="1"/>
  <c r="AA477" i="3" a="1"/>
  <c r="AA477" i="3" s="1"/>
  <c r="AA478" i="3" a="1"/>
  <c r="AA478" i="3" s="1"/>
  <c r="AA479" i="3" a="1"/>
  <c r="AA479" i="3" s="1"/>
  <c r="AA480" i="3" a="1"/>
  <c r="AA480" i="3" s="1"/>
  <c r="AA481" i="3" a="1"/>
  <c r="AA481" i="3" s="1"/>
  <c r="AA482" i="3" a="1"/>
  <c r="AA482" i="3" s="1"/>
  <c r="AA483" i="3" a="1"/>
  <c r="AA483" i="3" s="1"/>
  <c r="AA484" i="3" a="1"/>
  <c r="AA484" i="3" s="1"/>
  <c r="AA485" i="3" a="1"/>
  <c r="AA485" i="3" s="1"/>
  <c r="AA492" i="3" a="1"/>
  <c r="AA492" i="3" s="1"/>
  <c r="AA493" i="3" a="1"/>
  <c r="AA493" i="3" s="1"/>
  <c r="AA494" i="3" a="1"/>
  <c r="AA494" i="3" s="1"/>
  <c r="AA495" i="3" a="1"/>
  <c r="AA495" i="3" s="1"/>
  <c r="AA496" i="3" a="1"/>
  <c r="AA496" i="3" s="1"/>
  <c r="AA497" i="3" a="1"/>
  <c r="AA497" i="3" s="1"/>
  <c r="AA498" i="3" a="1"/>
  <c r="AA498" i="3" s="1"/>
  <c r="AA499" i="3" a="1"/>
  <c r="AA499" i="3" s="1"/>
  <c r="AA500" i="3" a="1"/>
  <c r="AA500" i="3" s="1"/>
  <c r="AA501" i="3" a="1"/>
  <c r="AA501" i="3" s="1"/>
  <c r="AA502" i="3" a="1"/>
  <c r="AA502" i="3" s="1"/>
  <c r="AA503" i="3" a="1"/>
  <c r="AA503" i="3" s="1"/>
  <c r="AA504" i="3" a="1"/>
  <c r="AA504" i="3" s="1"/>
  <c r="AA505" i="3" a="1"/>
  <c r="AA505" i="3" s="1"/>
  <c r="AA506" i="3" a="1"/>
  <c r="AA506" i="3" s="1"/>
  <c r="AA507" i="3" a="1"/>
  <c r="AA507" i="3" s="1"/>
  <c r="AA508" i="3" a="1"/>
  <c r="AA508" i="3" s="1"/>
  <c r="AA509" i="3" a="1"/>
  <c r="AA509" i="3" s="1"/>
  <c r="AA510" i="3" a="1"/>
  <c r="AA510" i="3" s="1"/>
  <c r="AA3" i="3" a="1"/>
  <c r="AA3" i="3" s="1"/>
  <c r="AA4" i="3" a="1"/>
  <c r="AA4" i="3" s="1"/>
  <c r="AA5" i="3" a="1"/>
  <c r="AA5" i="3" s="1"/>
  <c r="AA6" i="3" a="1"/>
  <c r="AA6" i="3" s="1"/>
  <c r="AA7" i="3" a="1"/>
  <c r="AA7" i="3" s="1"/>
  <c r="AA8" i="3" a="1"/>
  <c r="AA8" i="3" s="1"/>
  <c r="AA9" i="3" a="1"/>
  <c r="AA9" i="3" s="1"/>
  <c r="AA10" i="3" a="1"/>
  <c r="AA10" i="3" s="1"/>
  <c r="AA11" i="3" a="1"/>
  <c r="AA11" i="3" s="1"/>
  <c r="AA12" i="3" a="1"/>
  <c r="AA12" i="3" s="1"/>
  <c r="AA13" i="3" a="1"/>
  <c r="AA13" i="3" s="1"/>
  <c r="AA14" i="3" a="1"/>
  <c r="AA14" i="3" s="1"/>
  <c r="AA15" i="3" a="1"/>
  <c r="AA15" i="3" s="1"/>
  <c r="AA16" i="3" a="1"/>
  <c r="AA16" i="3" s="1"/>
  <c r="AA17" i="3" a="1"/>
  <c r="AA17" i="3" s="1"/>
  <c r="AA18" i="3" a="1"/>
  <c r="AA18" i="3" s="1"/>
  <c r="AA19" i="3" a="1"/>
  <c r="AA19" i="3" s="1"/>
  <c r="AA20" i="3" a="1"/>
  <c r="AA20" i="3" s="1"/>
  <c r="AA21" i="3" a="1"/>
  <c r="AA21" i="3" s="1"/>
  <c r="AA22" i="3" a="1"/>
  <c r="AA22" i="3" s="1"/>
  <c r="AA23" i="3" a="1"/>
  <c r="AA23" i="3" s="1"/>
  <c r="AA24" i="3" a="1"/>
  <c r="AA24" i="3" s="1"/>
  <c r="AA25" i="3" a="1"/>
  <c r="AA25" i="3" s="1"/>
  <c r="AA26" i="3" a="1"/>
  <c r="AA26" i="3" s="1"/>
  <c r="AA2" i="3" a="1"/>
  <c r="AA2" i="3" s="1"/>
  <c r="Z1830" i="3" a="1"/>
  <c r="Z1830" i="3" s="1"/>
  <c r="Z1831" i="3" a="1"/>
  <c r="Z1831" i="3" s="1"/>
  <c r="Z1832" i="3" a="1"/>
  <c r="Z1832" i="3" s="1"/>
  <c r="Z1833" i="3" a="1"/>
  <c r="Z1833" i="3" s="1"/>
  <c r="Z1834" i="3" a="1"/>
  <c r="Z1834" i="3" s="1"/>
  <c r="Z1835" i="3" a="1"/>
  <c r="Z1835" i="3" s="1"/>
  <c r="Z1836" i="3" a="1"/>
  <c r="Z1836" i="3" s="1"/>
  <c r="Z1837" i="3" a="1"/>
  <c r="Z1837" i="3" s="1"/>
  <c r="Z1838" i="3" a="1"/>
  <c r="Z1838" i="3" s="1"/>
  <c r="Z1839" i="3" a="1"/>
  <c r="Z1839" i="3" s="1"/>
  <c r="Z1840" i="3" a="1"/>
  <c r="Z1840" i="3" s="1"/>
  <c r="Z1841" i="3" a="1"/>
  <c r="Z1841" i="3" s="1"/>
  <c r="Z1842" i="3" a="1"/>
  <c r="Z1842" i="3" s="1"/>
  <c r="Z1843" i="3" a="1"/>
  <c r="Z1843" i="3" s="1"/>
  <c r="Z1844" i="3" a="1"/>
  <c r="Z1844" i="3" s="1"/>
  <c r="Z1845" i="3" a="1"/>
  <c r="Z1845" i="3" s="1"/>
  <c r="Z1846" i="3" a="1"/>
  <c r="Z1846" i="3" s="1"/>
  <c r="Z1847" i="3" a="1"/>
  <c r="Z1847" i="3" s="1"/>
  <c r="Z1848" i="3" a="1"/>
  <c r="Z1848" i="3" s="1"/>
  <c r="Z1849" i="3" a="1"/>
  <c r="Z1849" i="3" s="1"/>
  <c r="Z1850" i="3" a="1"/>
  <c r="Z1850" i="3" s="1"/>
  <c r="Z1851" i="3" a="1"/>
  <c r="Z1851" i="3" s="1"/>
  <c r="Z1852" i="3" a="1"/>
  <c r="Z1852" i="3" s="1"/>
  <c r="Z1853" i="3" a="1"/>
  <c r="Z1853" i="3" s="1"/>
  <c r="Z1854" i="3" a="1"/>
  <c r="Z1854" i="3" s="1"/>
  <c r="Z1855" i="3" a="1"/>
  <c r="Z1855" i="3" s="1"/>
  <c r="Z1856" i="3" a="1"/>
  <c r="Z1856" i="3" s="1"/>
  <c r="Z1857" i="3" a="1"/>
  <c r="Z1857" i="3" s="1"/>
  <c r="Z1858" i="3" a="1"/>
  <c r="Z1858" i="3" s="1"/>
  <c r="Z1859" i="3" a="1"/>
  <c r="Z1859" i="3" s="1"/>
  <c r="Z1860" i="3" a="1"/>
  <c r="Z1860" i="3" s="1"/>
  <c r="Z1861" i="3" a="1"/>
  <c r="Z1861" i="3" s="1"/>
  <c r="Z1862" i="3" a="1"/>
  <c r="Z1862" i="3" s="1"/>
  <c r="Z1863" i="3" a="1"/>
  <c r="Z1863" i="3" s="1"/>
  <c r="Z1864" i="3" a="1"/>
  <c r="Z1864" i="3" s="1"/>
  <c r="Z1865" i="3" a="1"/>
  <c r="Z1865" i="3" s="1"/>
  <c r="Z1866" i="3" a="1"/>
  <c r="Z1866" i="3" s="1"/>
  <c r="Z1867" i="3" a="1"/>
  <c r="Z1867" i="3" s="1"/>
  <c r="Z1868" i="3" a="1"/>
  <c r="Z1868" i="3" s="1"/>
  <c r="Z1869" i="3" a="1"/>
  <c r="Z1869" i="3" s="1"/>
  <c r="Z1870" i="3" a="1"/>
  <c r="Z1870" i="3" s="1"/>
  <c r="Z1871" i="3" a="1"/>
  <c r="Z1871" i="3" s="1"/>
  <c r="Z1872" i="3" a="1"/>
  <c r="Z1872" i="3" s="1"/>
  <c r="Z1873" i="3" a="1"/>
  <c r="Z1873" i="3" s="1"/>
  <c r="Z1874" i="3" a="1"/>
  <c r="Z1874" i="3" s="1"/>
  <c r="Z1875" i="3" a="1"/>
  <c r="Z1875" i="3" s="1"/>
  <c r="Z1876" i="3" a="1"/>
  <c r="Z1876" i="3" s="1"/>
  <c r="Z1877" i="3" a="1"/>
  <c r="Z1877" i="3" s="1"/>
  <c r="Z1878" i="3" a="1"/>
  <c r="Z1878" i="3" s="1"/>
  <c r="Z1879" i="3" a="1"/>
  <c r="Z1879" i="3" s="1"/>
  <c r="Z1880" i="3" a="1"/>
  <c r="Z1880" i="3" s="1"/>
  <c r="Z1881" i="3" a="1"/>
  <c r="Z1881" i="3" s="1"/>
  <c r="Z1882" i="3" a="1"/>
  <c r="Z1882" i="3" s="1"/>
  <c r="Z1883" i="3" a="1"/>
  <c r="Z1883" i="3" s="1"/>
  <c r="Z1884" i="3" a="1"/>
  <c r="Z1884" i="3" s="1"/>
  <c r="Z1885" i="3" a="1"/>
  <c r="Z1885" i="3" s="1"/>
  <c r="Z1886" i="3" a="1"/>
  <c r="Z1886" i="3" s="1"/>
  <c r="Z1887" i="3" a="1"/>
  <c r="Z1887" i="3" s="1"/>
  <c r="Z1888" i="3" a="1"/>
  <c r="Z1888" i="3" s="1"/>
  <c r="Z1889" i="3" a="1"/>
  <c r="Z1889" i="3" s="1"/>
  <c r="Z1890" i="3" a="1"/>
  <c r="Z1890" i="3" s="1"/>
  <c r="Z1891" i="3" a="1"/>
  <c r="Z1891" i="3" s="1"/>
  <c r="Z1892" i="3" a="1"/>
  <c r="Z1892" i="3" s="1"/>
  <c r="Z1893" i="3" a="1"/>
  <c r="Z1893" i="3" s="1"/>
  <c r="Z1894" i="3" a="1"/>
  <c r="Z1894" i="3" s="1"/>
  <c r="Z1895" i="3" a="1"/>
  <c r="Z1895" i="3" s="1"/>
  <c r="Z1896" i="3" a="1"/>
  <c r="Z1896" i="3" s="1"/>
  <c r="Z1897" i="3" a="1"/>
  <c r="Z1897" i="3" s="1"/>
  <c r="Z1898" i="3" a="1"/>
  <c r="Z1898" i="3" s="1"/>
  <c r="Z1899" i="3" a="1"/>
  <c r="Z1899" i="3" s="1"/>
  <c r="Z1900" i="3" a="1"/>
  <c r="Z1900" i="3" s="1"/>
  <c r="Z1901" i="3" a="1"/>
  <c r="Z1901" i="3" s="1"/>
  <c r="Z1902" i="3" a="1"/>
  <c r="Z1902" i="3" s="1"/>
  <c r="Z1903" i="3" a="1"/>
  <c r="Z1903" i="3" s="1"/>
  <c r="Z1904" i="3" a="1"/>
  <c r="Z1904" i="3" s="1"/>
  <c r="Z1905" i="3" a="1"/>
  <c r="Z1905" i="3" s="1"/>
  <c r="Z1906" i="3" a="1"/>
  <c r="Z1906" i="3" s="1"/>
  <c r="Z1907" i="3" a="1"/>
  <c r="Z1907" i="3" s="1"/>
  <c r="Z1908" i="3" a="1"/>
  <c r="Z1908" i="3" s="1"/>
  <c r="Z1909" i="3" a="1"/>
  <c r="Z1909" i="3" s="1"/>
  <c r="Z1910" i="3" a="1"/>
  <c r="Z1910" i="3" s="1"/>
  <c r="Z1911" i="3" a="1"/>
  <c r="Z1911" i="3" s="1"/>
  <c r="Z1912" i="3" a="1"/>
  <c r="Z1912" i="3" s="1"/>
  <c r="Z1913" i="3" a="1"/>
  <c r="Z1913" i="3" s="1"/>
  <c r="Z1914" i="3" a="1"/>
  <c r="Z1914" i="3" s="1"/>
  <c r="Z1915" i="3" a="1"/>
  <c r="Z1915" i="3" s="1"/>
  <c r="Z1916" i="3" a="1"/>
  <c r="Z1916" i="3" s="1"/>
  <c r="Z1917" i="3" a="1"/>
  <c r="Z1917" i="3" s="1"/>
  <c r="Z1918" i="3" a="1"/>
  <c r="Z1918" i="3" s="1"/>
  <c r="Z1919" i="3" a="1"/>
  <c r="Z1919" i="3" s="1"/>
  <c r="Z1920" i="3" a="1"/>
  <c r="Z1920" i="3" s="1"/>
  <c r="Z1921" i="3" a="1"/>
  <c r="Z1921" i="3" s="1"/>
  <c r="Z1922" i="3" a="1"/>
  <c r="Z1922" i="3" s="1"/>
  <c r="Z1923" i="3" a="1"/>
  <c r="Z1923" i="3" s="1"/>
  <c r="Z1924" i="3" a="1"/>
  <c r="Z1924" i="3" s="1"/>
  <c r="Z1925" i="3" a="1"/>
  <c r="Z1925" i="3" s="1"/>
  <c r="Z1926" i="3" a="1"/>
  <c r="Z1926" i="3" s="1"/>
  <c r="Z1927" i="3" a="1"/>
  <c r="Z1927" i="3" s="1"/>
  <c r="Z1928" i="3" a="1"/>
  <c r="Z1928" i="3" s="1"/>
  <c r="Z1929" i="3" a="1"/>
  <c r="Z1929" i="3" s="1"/>
  <c r="Z1930" i="3" a="1"/>
  <c r="Z1930" i="3" s="1"/>
  <c r="Z1931" i="3" a="1"/>
  <c r="Z1931" i="3" s="1"/>
  <c r="Z1932" i="3" a="1"/>
  <c r="Z1932" i="3" s="1"/>
  <c r="Z1933" i="3" a="1"/>
  <c r="Z1933" i="3" s="1"/>
  <c r="Z1934" i="3" a="1"/>
  <c r="Z1934" i="3" s="1"/>
  <c r="Z1935" i="3" a="1"/>
  <c r="Z1935" i="3" s="1"/>
  <c r="Z1936" i="3" a="1"/>
  <c r="Z1936" i="3" s="1"/>
  <c r="Z1797" i="3" a="1"/>
  <c r="Z1797" i="3" s="1"/>
  <c r="Z1798" i="3" a="1"/>
  <c r="Z1798" i="3" s="1"/>
  <c r="Z1799" i="3" a="1"/>
  <c r="Z1799" i="3" s="1"/>
  <c r="Z1800" i="3" a="1"/>
  <c r="Z1800" i="3" s="1"/>
  <c r="Z1801" i="3" a="1"/>
  <c r="Z1801" i="3" s="1"/>
  <c r="Z1802" i="3" a="1"/>
  <c r="Z1802" i="3" s="1"/>
  <c r="Z1803" i="3" a="1"/>
  <c r="Z1803" i="3" s="1"/>
  <c r="Z1804" i="3" a="1"/>
  <c r="Z1804" i="3" s="1"/>
  <c r="Z1805" i="3" a="1"/>
  <c r="Z1805" i="3" s="1"/>
  <c r="Z1806" i="3" a="1"/>
  <c r="Z1806" i="3" s="1"/>
  <c r="Z1807" i="3" a="1"/>
  <c r="Z1807" i="3" s="1"/>
  <c r="Z1808" i="3" a="1"/>
  <c r="Z1808" i="3" s="1"/>
  <c r="Z1809" i="3" a="1"/>
  <c r="Z1809" i="3" s="1"/>
  <c r="Z1810" i="3" a="1"/>
  <c r="Z1810" i="3" s="1"/>
  <c r="Z1811" i="3" a="1"/>
  <c r="Z1811" i="3" s="1"/>
  <c r="Z1812" i="3" a="1"/>
  <c r="Z1812" i="3" s="1"/>
  <c r="Z1813" i="3" a="1"/>
  <c r="Z1813" i="3" s="1"/>
  <c r="Z1814" i="3" a="1"/>
  <c r="Z1814" i="3" s="1"/>
  <c r="Z1815" i="3" a="1"/>
  <c r="Z1815" i="3" s="1"/>
  <c r="Z1816" i="3" a="1"/>
  <c r="Z1816" i="3" s="1"/>
  <c r="Z1817" i="3" a="1"/>
  <c r="Z1817" i="3" s="1"/>
  <c r="Z1818" i="3" a="1"/>
  <c r="Z1818" i="3" s="1"/>
  <c r="Z1819" i="3" a="1"/>
  <c r="Z1819" i="3" s="1"/>
  <c r="Z1820" i="3" a="1"/>
  <c r="Z1820" i="3" s="1"/>
  <c r="Z1821" i="3" a="1"/>
  <c r="Z1821" i="3" s="1"/>
  <c r="Z1822" i="3" a="1"/>
  <c r="Z1822" i="3" s="1"/>
  <c r="Z1823" i="3" a="1"/>
  <c r="Z1823" i="3" s="1"/>
  <c r="Z1824" i="3" a="1"/>
  <c r="Z1824" i="3" s="1"/>
  <c r="Z1825" i="3" a="1"/>
  <c r="Z1825" i="3" s="1"/>
  <c r="Z1826" i="3" a="1"/>
  <c r="Z1826" i="3" s="1"/>
  <c r="Z1827" i="3" a="1"/>
  <c r="Z1827" i="3" s="1"/>
  <c r="Z1828" i="3" a="1"/>
  <c r="Z1828" i="3" s="1"/>
  <c r="Z1829" i="3" a="1"/>
  <c r="Z1829" i="3" s="1"/>
  <c r="Z1649" i="3" a="1"/>
  <c r="Z1649" i="3" s="1"/>
  <c r="Z1650" i="3" a="1"/>
  <c r="Z1650" i="3" s="1"/>
  <c r="Z1651" i="3" a="1"/>
  <c r="Z1651" i="3" s="1"/>
  <c r="Z1652" i="3" a="1"/>
  <c r="Z1652" i="3" s="1"/>
  <c r="Z1653" i="3" a="1"/>
  <c r="Z1653" i="3" s="1"/>
  <c r="Z1654" i="3" a="1"/>
  <c r="Z1654" i="3" s="1"/>
  <c r="Z1655" i="3" a="1"/>
  <c r="Z1655" i="3" s="1"/>
  <c r="Z1656" i="3" a="1"/>
  <c r="Z1656" i="3" s="1"/>
  <c r="Z1657" i="3" a="1"/>
  <c r="Z1657" i="3" s="1"/>
  <c r="Z1658" i="3" a="1"/>
  <c r="Z1658" i="3" s="1"/>
  <c r="Z1659" i="3" a="1"/>
  <c r="Z1659" i="3" s="1"/>
  <c r="Z1660" i="3" a="1"/>
  <c r="Z1660" i="3" s="1"/>
  <c r="Z1661" i="3" a="1"/>
  <c r="Z1661" i="3" s="1"/>
  <c r="Z1662" i="3" a="1"/>
  <c r="Z1662" i="3" s="1"/>
  <c r="Z1663" i="3" a="1"/>
  <c r="Z1663" i="3" s="1"/>
  <c r="Z1664" i="3" a="1"/>
  <c r="Z1664" i="3" s="1"/>
  <c r="Z1665" i="3" a="1"/>
  <c r="Z1665" i="3" s="1"/>
  <c r="Z1666" i="3" a="1"/>
  <c r="Z1666" i="3" s="1"/>
  <c r="Z1667" i="3" a="1"/>
  <c r="Z1667" i="3" s="1"/>
  <c r="Z1668" i="3" a="1"/>
  <c r="Z1668" i="3" s="1"/>
  <c r="Z1669" i="3" a="1"/>
  <c r="Z1669" i="3" s="1"/>
  <c r="Z1670" i="3" a="1"/>
  <c r="Z1670" i="3" s="1"/>
  <c r="Z1671" i="3" a="1"/>
  <c r="Z1671" i="3" s="1"/>
  <c r="Z1672" i="3" a="1"/>
  <c r="Z1672" i="3" s="1"/>
  <c r="Z1673" i="3" a="1"/>
  <c r="Z1673" i="3" s="1"/>
  <c r="Z1674" i="3" a="1"/>
  <c r="Z1674" i="3" s="1"/>
  <c r="Z1675" i="3" a="1"/>
  <c r="Z1675" i="3" s="1"/>
  <c r="Z1676" i="3" a="1"/>
  <c r="Z1676" i="3" s="1"/>
  <c r="Z1677" i="3" a="1"/>
  <c r="Z1677" i="3" s="1"/>
  <c r="Z1678" i="3" a="1"/>
  <c r="Z1678" i="3" s="1"/>
  <c r="Z1679" i="3" a="1"/>
  <c r="Z1679" i="3" s="1"/>
  <c r="Z1680" i="3" a="1"/>
  <c r="Z1680" i="3" s="1"/>
  <c r="Z1681" i="3" a="1"/>
  <c r="Z1681" i="3" s="1"/>
  <c r="Z1682" i="3" a="1"/>
  <c r="Z1682" i="3" s="1"/>
  <c r="Z1683" i="3" a="1"/>
  <c r="Z1683" i="3" s="1"/>
  <c r="Z1684" i="3" a="1"/>
  <c r="Z1684" i="3" s="1"/>
  <c r="Z1685" i="3" a="1"/>
  <c r="Z1685" i="3" s="1"/>
  <c r="Z1686" i="3" a="1"/>
  <c r="Z1686" i="3" s="1"/>
  <c r="Z1687" i="3" a="1"/>
  <c r="Z1687" i="3" s="1"/>
  <c r="Z1688" i="3" a="1"/>
  <c r="Z1688" i="3" s="1"/>
  <c r="Z1689" i="3" a="1"/>
  <c r="Z1689" i="3" s="1"/>
  <c r="Z1690" i="3" a="1"/>
  <c r="Z1690" i="3" s="1"/>
  <c r="Z1691" i="3" a="1"/>
  <c r="Z1691" i="3" s="1"/>
  <c r="Z1692" i="3" a="1"/>
  <c r="Z1692" i="3" s="1"/>
  <c r="Z1693" i="3" a="1"/>
  <c r="Z1693" i="3" s="1"/>
  <c r="Z1694" i="3" a="1"/>
  <c r="Z1694" i="3" s="1"/>
  <c r="Z1695" i="3" a="1"/>
  <c r="Z1695" i="3" s="1"/>
  <c r="Z1696" i="3" a="1"/>
  <c r="Z1696" i="3" s="1"/>
  <c r="Z1697" i="3" a="1"/>
  <c r="Z1697" i="3" s="1"/>
  <c r="Z1698" i="3" a="1"/>
  <c r="Z1698" i="3" s="1"/>
  <c r="Z1699" i="3" a="1"/>
  <c r="Z1699" i="3" s="1"/>
  <c r="Z1700" i="3" a="1"/>
  <c r="Z1700" i="3" s="1"/>
  <c r="Z1701" i="3" a="1"/>
  <c r="Z1701" i="3" s="1"/>
  <c r="Z1702" i="3" a="1"/>
  <c r="Z1702" i="3" s="1"/>
  <c r="Z1703" i="3" a="1"/>
  <c r="Z1703" i="3" s="1"/>
  <c r="Z1704" i="3" a="1"/>
  <c r="Z1704" i="3" s="1"/>
  <c r="Z1705" i="3" a="1"/>
  <c r="Z1705" i="3" s="1"/>
  <c r="Z1706" i="3" a="1"/>
  <c r="Z1706" i="3" s="1"/>
  <c r="Z1707" i="3" a="1"/>
  <c r="Z1707" i="3" s="1"/>
  <c r="Z1708" i="3" a="1"/>
  <c r="Z1708" i="3" s="1"/>
  <c r="Z1709" i="3" a="1"/>
  <c r="Z1709" i="3" s="1"/>
  <c r="Z1710" i="3" a="1"/>
  <c r="Z1710" i="3" s="1"/>
  <c r="Z1711" i="3" a="1"/>
  <c r="Z1711" i="3" s="1"/>
  <c r="Z1712" i="3" a="1"/>
  <c r="Z1712" i="3" s="1"/>
  <c r="Z1713" i="3" a="1"/>
  <c r="Z1713" i="3" s="1"/>
  <c r="Z1714" i="3" a="1"/>
  <c r="Z1714" i="3" s="1"/>
  <c r="Z1715" i="3" a="1"/>
  <c r="Z1715" i="3" s="1"/>
  <c r="Z1716" i="3" a="1"/>
  <c r="Z1716" i="3" s="1"/>
  <c r="Z1717" i="3" a="1"/>
  <c r="Z1717" i="3" s="1"/>
  <c r="Z1718" i="3" a="1"/>
  <c r="Z1718" i="3" s="1"/>
  <c r="Z1719" i="3" a="1"/>
  <c r="Z1719" i="3" s="1"/>
  <c r="Z1720" i="3" a="1"/>
  <c r="Z1720" i="3" s="1"/>
  <c r="Z1721" i="3" a="1"/>
  <c r="Z1721" i="3" s="1"/>
  <c r="Z1722" i="3" a="1"/>
  <c r="Z1722" i="3" s="1"/>
  <c r="Z1723" i="3" a="1"/>
  <c r="Z1723" i="3" s="1"/>
  <c r="Z1724" i="3" a="1"/>
  <c r="Z1724" i="3" s="1"/>
  <c r="Z1725" i="3" a="1"/>
  <c r="Z1725" i="3" s="1"/>
  <c r="Z1726" i="3" a="1"/>
  <c r="Z1726" i="3" s="1"/>
  <c r="Z1727" i="3" a="1"/>
  <c r="Z1727" i="3" s="1"/>
  <c r="Z1728" i="3" a="1"/>
  <c r="Z1728" i="3" s="1"/>
  <c r="Z1729" i="3" a="1"/>
  <c r="Z1729" i="3" s="1"/>
  <c r="Z1730" i="3" a="1"/>
  <c r="Z1730" i="3" s="1"/>
  <c r="Z1731" i="3" a="1"/>
  <c r="Z1731" i="3" s="1"/>
  <c r="Z1732" i="3" a="1"/>
  <c r="Z1732" i="3" s="1"/>
  <c r="Z1733" i="3" a="1"/>
  <c r="Z1733" i="3" s="1"/>
  <c r="Z1734" i="3" a="1"/>
  <c r="Z1734" i="3" s="1"/>
  <c r="Z1735" i="3" a="1"/>
  <c r="Z1735" i="3" s="1"/>
  <c r="Z1736" i="3" a="1"/>
  <c r="Z1736" i="3" s="1"/>
  <c r="Z1737" i="3" a="1"/>
  <c r="Z1737" i="3" s="1"/>
  <c r="Z1738" i="3" a="1"/>
  <c r="Z1738" i="3" s="1"/>
  <c r="Z1739" i="3" a="1"/>
  <c r="Z1739" i="3" s="1"/>
  <c r="Z1740" i="3" a="1"/>
  <c r="Z1740" i="3" s="1"/>
  <c r="Z1741" i="3" a="1"/>
  <c r="Z1741" i="3" s="1"/>
  <c r="Z1742" i="3" a="1"/>
  <c r="Z1742" i="3" s="1"/>
  <c r="Z1743" i="3" a="1"/>
  <c r="Z1743" i="3" s="1"/>
  <c r="Z1744" i="3" a="1"/>
  <c r="Z1744" i="3" s="1"/>
  <c r="Z1745" i="3" a="1"/>
  <c r="Z1745" i="3" s="1"/>
  <c r="Z1746" i="3" a="1"/>
  <c r="Z1746" i="3" s="1"/>
  <c r="Z1747" i="3" a="1"/>
  <c r="Z1747" i="3" s="1"/>
  <c r="Z1748" i="3" a="1"/>
  <c r="Z1748" i="3" s="1"/>
  <c r="Z1749" i="3" a="1"/>
  <c r="Z1749" i="3" s="1"/>
  <c r="Z1750" i="3" a="1"/>
  <c r="Z1750" i="3" s="1"/>
  <c r="Z1751" i="3" a="1"/>
  <c r="Z1751" i="3" s="1"/>
  <c r="Z1752" i="3" a="1"/>
  <c r="Z1752" i="3" s="1"/>
  <c r="Z1753" i="3" a="1"/>
  <c r="Z1753" i="3" s="1"/>
  <c r="Z1754" i="3" a="1"/>
  <c r="Z1754" i="3" s="1"/>
  <c r="Z1755" i="3" a="1"/>
  <c r="Z1755" i="3" s="1"/>
  <c r="Z1756" i="3" a="1"/>
  <c r="Z1756" i="3" s="1"/>
  <c r="Z1757" i="3" a="1"/>
  <c r="Z1757" i="3" s="1"/>
  <c r="Z1758" i="3" a="1"/>
  <c r="Z1758" i="3" s="1"/>
  <c r="Z1759" i="3" a="1"/>
  <c r="Z1759" i="3" s="1"/>
  <c r="Z1760" i="3" a="1"/>
  <c r="Z1760" i="3" s="1"/>
  <c r="Z1761" i="3" a="1"/>
  <c r="Z1761" i="3" s="1"/>
  <c r="Z1762" i="3" a="1"/>
  <c r="Z1762" i="3" s="1"/>
  <c r="Z1763" i="3" a="1"/>
  <c r="Z1763" i="3" s="1"/>
  <c r="Z1764" i="3" a="1"/>
  <c r="Z1764" i="3" s="1"/>
  <c r="Z1765" i="3" a="1"/>
  <c r="Z1765" i="3" s="1"/>
  <c r="Z1766" i="3" a="1"/>
  <c r="Z1766" i="3" s="1"/>
  <c r="Z1767" i="3" a="1"/>
  <c r="Z1767" i="3" s="1"/>
  <c r="Z1768" i="3" a="1"/>
  <c r="Z1768" i="3" s="1"/>
  <c r="Z1769" i="3" a="1"/>
  <c r="Z1769" i="3" s="1"/>
  <c r="Z1770" i="3" a="1"/>
  <c r="Z1770" i="3" s="1"/>
  <c r="Z1771" i="3" a="1"/>
  <c r="Z1771" i="3" s="1"/>
  <c r="Z1772" i="3" a="1"/>
  <c r="Z1772" i="3" s="1"/>
  <c r="Z1773" i="3" a="1"/>
  <c r="Z1773" i="3" s="1"/>
  <c r="Z1774" i="3" a="1"/>
  <c r="Z1774" i="3" s="1"/>
  <c r="Z1775" i="3" a="1"/>
  <c r="Z1775" i="3" s="1"/>
  <c r="Z1776" i="3" a="1"/>
  <c r="Z1776" i="3" s="1"/>
  <c r="Z1777" i="3" a="1"/>
  <c r="Z1777" i="3" s="1"/>
  <c r="Z1778" i="3" a="1"/>
  <c r="Z1778" i="3" s="1"/>
  <c r="Z1779" i="3" a="1"/>
  <c r="Z1779" i="3" s="1"/>
  <c r="Z1780" i="3" a="1"/>
  <c r="Z1780" i="3" s="1"/>
  <c r="Z1781" i="3" a="1"/>
  <c r="Z1781" i="3" s="1"/>
  <c r="Z1782" i="3" a="1"/>
  <c r="Z1782" i="3" s="1"/>
  <c r="Z1783" i="3" a="1"/>
  <c r="Z1783" i="3" s="1"/>
  <c r="Z1784" i="3" a="1"/>
  <c r="Z1784" i="3" s="1"/>
  <c r="Z1785" i="3" a="1"/>
  <c r="Z1785" i="3" s="1"/>
  <c r="Z1786" i="3" a="1"/>
  <c r="Z1786" i="3" s="1"/>
  <c r="Z1787" i="3" a="1"/>
  <c r="Z1787" i="3" s="1"/>
  <c r="Z1788" i="3" a="1"/>
  <c r="Z1788" i="3" s="1"/>
  <c r="Z1789" i="3" a="1"/>
  <c r="Z1789" i="3" s="1"/>
  <c r="Z1790" i="3" a="1"/>
  <c r="Z1790" i="3" s="1"/>
  <c r="Z1791" i="3" a="1"/>
  <c r="Z1791" i="3" s="1"/>
  <c r="Z1792" i="3" a="1"/>
  <c r="Z1792" i="3" s="1"/>
  <c r="Z1793" i="3" a="1"/>
  <c r="Z1793" i="3" s="1"/>
  <c r="Z1794" i="3" a="1"/>
  <c r="Z1794" i="3" s="1"/>
  <c r="Z1795" i="3" a="1"/>
  <c r="Z1795" i="3" s="1"/>
  <c r="Z1796" i="3" a="1"/>
  <c r="Z1796" i="3" s="1"/>
  <c r="Z1541" i="3" a="1"/>
  <c r="Z1541" i="3" s="1"/>
  <c r="Z1542" i="3" a="1"/>
  <c r="Z1542" i="3" s="1"/>
  <c r="Z1543" i="3" a="1"/>
  <c r="Z1543" i="3" s="1"/>
  <c r="Z1544" i="3" a="1"/>
  <c r="Z1544" i="3" s="1"/>
  <c r="Z1545" i="3" a="1"/>
  <c r="Z1545" i="3" s="1"/>
  <c r="Z1546" i="3" a="1"/>
  <c r="Z1546" i="3" s="1"/>
  <c r="Z1547" i="3" a="1"/>
  <c r="Z1547" i="3" s="1"/>
  <c r="Z1548" i="3" a="1"/>
  <c r="Z1548" i="3" s="1"/>
  <c r="Z1549" i="3" a="1"/>
  <c r="Z1549" i="3" s="1"/>
  <c r="Z1550" i="3" a="1"/>
  <c r="Z1550" i="3" s="1"/>
  <c r="Z1551" i="3" a="1"/>
  <c r="Z1551" i="3" s="1"/>
  <c r="Z1552" i="3" a="1"/>
  <c r="Z1552" i="3" s="1"/>
  <c r="Z1553" i="3" a="1"/>
  <c r="Z1553" i="3" s="1"/>
  <c r="Z1554" i="3" a="1"/>
  <c r="Z1554" i="3" s="1"/>
  <c r="Z1555" i="3" a="1"/>
  <c r="Z1555" i="3" s="1"/>
  <c r="Z1556" i="3" a="1"/>
  <c r="Z1556" i="3" s="1"/>
  <c r="Z1557" i="3" a="1"/>
  <c r="Z1557" i="3" s="1"/>
  <c r="Z1558" i="3" a="1"/>
  <c r="Z1558" i="3" s="1"/>
  <c r="Z1559" i="3" a="1"/>
  <c r="Z1559" i="3" s="1"/>
  <c r="Z1560" i="3" a="1"/>
  <c r="Z1560" i="3" s="1"/>
  <c r="Z1561" i="3" a="1"/>
  <c r="Z1561" i="3" s="1"/>
  <c r="Z1562" i="3" a="1"/>
  <c r="Z1562" i="3" s="1"/>
  <c r="Z1563" i="3" a="1"/>
  <c r="Z1563" i="3" s="1"/>
  <c r="Z1564" i="3" a="1"/>
  <c r="Z1564" i="3" s="1"/>
  <c r="Z1565" i="3" a="1"/>
  <c r="Z1565" i="3" s="1"/>
  <c r="Z1566" i="3" a="1"/>
  <c r="Z1566" i="3" s="1"/>
  <c r="Z1567" i="3" a="1"/>
  <c r="Z1567" i="3" s="1"/>
  <c r="Z1568" i="3" a="1"/>
  <c r="Z1568" i="3" s="1"/>
  <c r="Z1569" i="3" a="1"/>
  <c r="Z1569" i="3" s="1"/>
  <c r="Z1570" i="3" a="1"/>
  <c r="Z1570" i="3" s="1"/>
  <c r="Z1571" i="3" a="1"/>
  <c r="Z1571" i="3" s="1"/>
  <c r="Z1572" i="3" a="1"/>
  <c r="Z1572" i="3" s="1"/>
  <c r="Z1573" i="3" a="1"/>
  <c r="Z1573" i="3" s="1"/>
  <c r="Z1574" i="3" a="1"/>
  <c r="Z1574" i="3" s="1"/>
  <c r="Z1575" i="3" a="1"/>
  <c r="Z1575" i="3" s="1"/>
  <c r="Z1576" i="3" a="1"/>
  <c r="Z1576" i="3" s="1"/>
  <c r="Z1577" i="3" a="1"/>
  <c r="Z1577" i="3" s="1"/>
  <c r="Z1578" i="3" a="1"/>
  <c r="Z1578" i="3" s="1"/>
  <c r="Z1579" i="3" a="1"/>
  <c r="Z1579" i="3" s="1"/>
  <c r="Z1580" i="3" a="1"/>
  <c r="Z1580" i="3" s="1"/>
  <c r="Z1581" i="3" a="1"/>
  <c r="Z1581" i="3" s="1"/>
  <c r="Z1582" i="3" a="1"/>
  <c r="Z1582" i="3" s="1"/>
  <c r="Z1583" i="3" a="1"/>
  <c r="Z1583" i="3" s="1"/>
  <c r="Z1584" i="3" a="1"/>
  <c r="Z1584" i="3" s="1"/>
  <c r="Z1585" i="3" a="1"/>
  <c r="Z1585" i="3" s="1"/>
  <c r="Z1586" i="3" a="1"/>
  <c r="Z1586" i="3" s="1"/>
  <c r="Z1587" i="3" a="1"/>
  <c r="Z1587" i="3" s="1"/>
  <c r="Z1588" i="3" a="1"/>
  <c r="Z1588" i="3" s="1"/>
  <c r="Z1589" i="3" a="1"/>
  <c r="Z1589" i="3" s="1"/>
  <c r="Z1590" i="3" a="1"/>
  <c r="Z1590" i="3" s="1"/>
  <c r="Z1591" i="3" a="1"/>
  <c r="Z1591" i="3" s="1"/>
  <c r="Z1592" i="3" a="1"/>
  <c r="Z1592" i="3" s="1"/>
  <c r="Z1593" i="3" a="1"/>
  <c r="Z1593" i="3" s="1"/>
  <c r="Z1594" i="3" a="1"/>
  <c r="Z1594" i="3" s="1"/>
  <c r="Z1595" i="3" a="1"/>
  <c r="Z1595" i="3" s="1"/>
  <c r="Z1596" i="3" a="1"/>
  <c r="Z1596" i="3" s="1"/>
  <c r="Z1597" i="3" a="1"/>
  <c r="Z1597" i="3" s="1"/>
  <c r="Z1598" i="3" a="1"/>
  <c r="Z1598" i="3" s="1"/>
  <c r="Z1599" i="3" a="1"/>
  <c r="Z1599" i="3" s="1"/>
  <c r="Z1600" i="3" a="1"/>
  <c r="Z1600" i="3" s="1"/>
  <c r="Z1601" i="3" a="1"/>
  <c r="Z1601" i="3" s="1"/>
  <c r="Z1602" i="3" a="1"/>
  <c r="Z1602" i="3" s="1"/>
  <c r="Z1603" i="3" a="1"/>
  <c r="Z1603" i="3" s="1"/>
  <c r="Z1604" i="3" a="1"/>
  <c r="Z1604" i="3" s="1"/>
  <c r="Z1605" i="3" a="1"/>
  <c r="Z1605" i="3" s="1"/>
  <c r="Z1606" i="3" a="1"/>
  <c r="Z1606" i="3" s="1"/>
  <c r="Z1607" i="3" a="1"/>
  <c r="Z1607" i="3" s="1"/>
  <c r="Z1608" i="3" a="1"/>
  <c r="Z1608" i="3" s="1"/>
  <c r="Z1609" i="3" a="1"/>
  <c r="Z1609" i="3" s="1"/>
  <c r="Z1610" i="3" a="1"/>
  <c r="Z1610" i="3" s="1"/>
  <c r="Z1611" i="3" a="1"/>
  <c r="Z1611" i="3" s="1"/>
  <c r="Z1612" i="3" a="1"/>
  <c r="Z1612" i="3" s="1"/>
  <c r="Z1613" i="3" a="1"/>
  <c r="Z1613" i="3" s="1"/>
  <c r="Z1614" i="3" a="1"/>
  <c r="Z1614" i="3" s="1"/>
  <c r="Z1615" i="3" a="1"/>
  <c r="Z1615" i="3" s="1"/>
  <c r="Z1616" i="3" a="1"/>
  <c r="Z1616" i="3" s="1"/>
  <c r="Z1617" i="3" a="1"/>
  <c r="Z1617" i="3" s="1"/>
  <c r="Z1618" i="3" a="1"/>
  <c r="Z1618" i="3" s="1"/>
  <c r="Z1619" i="3" a="1"/>
  <c r="Z1619" i="3" s="1"/>
  <c r="Z1620" i="3" a="1"/>
  <c r="Z1620" i="3" s="1"/>
  <c r="Z1621" i="3" a="1"/>
  <c r="Z1621" i="3" s="1"/>
  <c r="Z1622" i="3" a="1"/>
  <c r="Z1622" i="3" s="1"/>
  <c r="Z1623" i="3" a="1"/>
  <c r="Z1623" i="3" s="1"/>
  <c r="Z1624" i="3" a="1"/>
  <c r="Z1624" i="3" s="1"/>
  <c r="Z1625" i="3" a="1"/>
  <c r="Z1625" i="3" s="1"/>
  <c r="Z1626" i="3" a="1"/>
  <c r="Z1626" i="3" s="1"/>
  <c r="Z1627" i="3" a="1"/>
  <c r="Z1627" i="3" s="1"/>
  <c r="Z1628" i="3" a="1"/>
  <c r="Z1628" i="3" s="1"/>
  <c r="Z1629" i="3" a="1"/>
  <c r="Z1629" i="3" s="1"/>
  <c r="Z1630" i="3" a="1"/>
  <c r="Z1630" i="3" s="1"/>
  <c r="Z1631" i="3" a="1"/>
  <c r="Z1631" i="3" s="1"/>
  <c r="Z1632" i="3" a="1"/>
  <c r="Z1632" i="3" s="1"/>
  <c r="Z1633" i="3" a="1"/>
  <c r="Z1633" i="3" s="1"/>
  <c r="Z1634" i="3" a="1"/>
  <c r="Z1634" i="3" s="1"/>
  <c r="Z1635" i="3" a="1"/>
  <c r="Z1635" i="3" s="1"/>
  <c r="Z1636" i="3" a="1"/>
  <c r="Z1636" i="3" s="1"/>
  <c r="Z1637" i="3" a="1"/>
  <c r="Z1637" i="3" s="1"/>
  <c r="Z1638" i="3" a="1"/>
  <c r="Z1638" i="3" s="1"/>
  <c r="Z1639" i="3" a="1"/>
  <c r="Z1639" i="3" s="1"/>
  <c r="Z1640" i="3" a="1"/>
  <c r="Z1640" i="3" s="1"/>
  <c r="Z1641" i="3" a="1"/>
  <c r="Z1641" i="3" s="1"/>
  <c r="Z1642" i="3" a="1"/>
  <c r="Z1642" i="3" s="1"/>
  <c r="Z1643" i="3" a="1"/>
  <c r="Z1643" i="3" s="1"/>
  <c r="Z1644" i="3" a="1"/>
  <c r="Z1644" i="3" s="1"/>
  <c r="Z1645" i="3" a="1"/>
  <c r="Z1645" i="3" s="1"/>
  <c r="Z1646" i="3" a="1"/>
  <c r="Z1646" i="3" s="1"/>
  <c r="Z1647" i="3" a="1"/>
  <c r="Z1647" i="3" s="1"/>
  <c r="Z1648" i="3" a="1"/>
  <c r="Z1648" i="3" s="1"/>
  <c r="Z1481" i="3" a="1"/>
  <c r="Z1481" i="3" s="1"/>
  <c r="Z1482" i="3" a="1"/>
  <c r="Z1482" i="3" s="1"/>
  <c r="Z1483" i="3" a="1"/>
  <c r="Z1483" i="3" s="1"/>
  <c r="Z1484" i="3" a="1"/>
  <c r="Z1484" i="3" s="1"/>
  <c r="Z1485" i="3" a="1"/>
  <c r="Z1485" i="3" s="1"/>
  <c r="Z1486" i="3" a="1"/>
  <c r="Z1486" i="3" s="1"/>
  <c r="Z1487" i="3" a="1"/>
  <c r="Z1487" i="3" s="1"/>
  <c r="Z1488" i="3" a="1"/>
  <c r="Z1488" i="3" s="1"/>
  <c r="Z1489" i="3" a="1"/>
  <c r="Z1489" i="3" s="1"/>
  <c r="Z1490" i="3" a="1"/>
  <c r="Z1490" i="3" s="1"/>
  <c r="Z1491" i="3" a="1"/>
  <c r="Z1491" i="3" s="1"/>
  <c r="Z1492" i="3" a="1"/>
  <c r="Z1492" i="3" s="1"/>
  <c r="Z1493" i="3" a="1"/>
  <c r="Z1493" i="3" s="1"/>
  <c r="Z1494" i="3" a="1"/>
  <c r="Z1494" i="3" s="1"/>
  <c r="Z1495" i="3" a="1"/>
  <c r="Z1495" i="3" s="1"/>
  <c r="Z1496" i="3" a="1"/>
  <c r="Z1496" i="3" s="1"/>
  <c r="Z1497" i="3" a="1"/>
  <c r="Z1497" i="3" s="1"/>
  <c r="Z1498" i="3" a="1"/>
  <c r="Z1498" i="3" s="1"/>
  <c r="Z1499" i="3" a="1"/>
  <c r="Z1499" i="3" s="1"/>
  <c r="Z1500" i="3" a="1"/>
  <c r="Z1500" i="3" s="1"/>
  <c r="Z1501" i="3" a="1"/>
  <c r="Z1501" i="3" s="1"/>
  <c r="Z1502" i="3" a="1"/>
  <c r="Z1502" i="3" s="1"/>
  <c r="Z1503" i="3" a="1"/>
  <c r="Z1503" i="3" s="1"/>
  <c r="Z1504" i="3" a="1"/>
  <c r="Z1504" i="3" s="1"/>
  <c r="Z1505" i="3" a="1"/>
  <c r="Z1505" i="3" s="1"/>
  <c r="Z1506" i="3" a="1"/>
  <c r="Z1506" i="3" s="1"/>
  <c r="Z1507" i="3" a="1"/>
  <c r="Z1507" i="3" s="1"/>
  <c r="Z1508" i="3" a="1"/>
  <c r="Z1508" i="3" s="1"/>
  <c r="Z1509" i="3" a="1"/>
  <c r="Z1509" i="3" s="1"/>
  <c r="Z1510" i="3" a="1"/>
  <c r="Z1510" i="3" s="1"/>
  <c r="Z1511" i="3" a="1"/>
  <c r="Z1511" i="3" s="1"/>
  <c r="Z1512" i="3" a="1"/>
  <c r="Z1512" i="3" s="1"/>
  <c r="Z1513" i="3" a="1"/>
  <c r="Z1513" i="3" s="1"/>
  <c r="Z1514" i="3" a="1"/>
  <c r="Z1514" i="3" s="1"/>
  <c r="Z1515" i="3" a="1"/>
  <c r="Z1515" i="3" s="1"/>
  <c r="Z1516" i="3" a="1"/>
  <c r="Z1516" i="3" s="1"/>
  <c r="Z1517" i="3" a="1"/>
  <c r="Z1517" i="3" s="1"/>
  <c r="Z1518" i="3" a="1"/>
  <c r="Z1518" i="3" s="1"/>
  <c r="Z1519" i="3" a="1"/>
  <c r="Z1519" i="3" s="1"/>
  <c r="Z1520" i="3" a="1"/>
  <c r="Z1520" i="3" s="1"/>
  <c r="Z1521" i="3" a="1"/>
  <c r="Z1521" i="3" s="1"/>
  <c r="Z1522" i="3" a="1"/>
  <c r="Z1522" i="3" s="1"/>
  <c r="Z1523" i="3" a="1"/>
  <c r="Z1523" i="3" s="1"/>
  <c r="Z1524" i="3" a="1"/>
  <c r="Z1524" i="3" s="1"/>
  <c r="Z1525" i="3" a="1"/>
  <c r="Z1525" i="3" s="1"/>
  <c r="Z1526" i="3" a="1"/>
  <c r="Z1526" i="3" s="1"/>
  <c r="Z1527" i="3" a="1"/>
  <c r="Z1527" i="3" s="1"/>
  <c r="Z1528" i="3" a="1"/>
  <c r="Z1528" i="3" s="1"/>
  <c r="Z1529" i="3" a="1"/>
  <c r="Z1529" i="3" s="1"/>
  <c r="Z1530" i="3" a="1"/>
  <c r="Z1530" i="3" s="1"/>
  <c r="Z1531" i="3" a="1"/>
  <c r="Z1531" i="3" s="1"/>
  <c r="Z1532" i="3" a="1"/>
  <c r="Z1532" i="3" s="1"/>
  <c r="Z1533" i="3" a="1"/>
  <c r="Z1533" i="3" s="1"/>
  <c r="Z1534" i="3" a="1"/>
  <c r="Z1534" i="3" s="1"/>
  <c r="Z1535" i="3" a="1"/>
  <c r="Z1535" i="3" s="1"/>
  <c r="Z1536" i="3" a="1"/>
  <c r="Z1536" i="3" s="1"/>
  <c r="Z1537" i="3" a="1"/>
  <c r="Z1537" i="3" s="1"/>
  <c r="Z1538" i="3" a="1"/>
  <c r="Z1538" i="3" s="1"/>
  <c r="Z1539" i="3" a="1"/>
  <c r="Z1539" i="3" s="1"/>
  <c r="Z1540" i="3" a="1"/>
  <c r="Z1540" i="3" s="1"/>
  <c r="Z1439" i="3" a="1"/>
  <c r="Z1439" i="3" s="1"/>
  <c r="Z1440" i="3" a="1"/>
  <c r="Z1440" i="3" s="1"/>
  <c r="Z1441" i="3" a="1"/>
  <c r="Z1441" i="3" s="1"/>
  <c r="Z1442" i="3" a="1"/>
  <c r="Z1442" i="3" s="1"/>
  <c r="Z1443" i="3" a="1"/>
  <c r="Z1443" i="3" s="1"/>
  <c r="Z1444" i="3" a="1"/>
  <c r="Z1444" i="3" s="1"/>
  <c r="Z1445" i="3" a="1"/>
  <c r="Z1445" i="3" s="1"/>
  <c r="Z1446" i="3" a="1"/>
  <c r="Z1446" i="3" s="1"/>
  <c r="Z1447" i="3" a="1"/>
  <c r="Z1447" i="3" s="1"/>
  <c r="Z1448" i="3" a="1"/>
  <c r="Z1448" i="3" s="1"/>
  <c r="Z1449" i="3" a="1"/>
  <c r="Z1449" i="3" s="1"/>
  <c r="Z1450" i="3" a="1"/>
  <c r="Z1450" i="3" s="1"/>
  <c r="Z1451" i="3" a="1"/>
  <c r="Z1451" i="3" s="1"/>
  <c r="Z1452" i="3" a="1"/>
  <c r="Z1452" i="3" s="1"/>
  <c r="Z1453" i="3" a="1"/>
  <c r="Z1453" i="3" s="1"/>
  <c r="Z1454" i="3" a="1"/>
  <c r="Z1454" i="3" s="1"/>
  <c r="Z1455" i="3" a="1"/>
  <c r="Z1455" i="3" s="1"/>
  <c r="Z1456" i="3" a="1"/>
  <c r="Z1456" i="3" s="1"/>
  <c r="Z1457" i="3" a="1"/>
  <c r="Z1457" i="3" s="1"/>
  <c r="Z1458" i="3" a="1"/>
  <c r="Z1458" i="3" s="1"/>
  <c r="Z1459" i="3" a="1"/>
  <c r="Z1459" i="3" s="1"/>
  <c r="Z1460" i="3" a="1"/>
  <c r="Z1460" i="3" s="1"/>
  <c r="Z1461" i="3" a="1"/>
  <c r="Z1461" i="3" s="1"/>
  <c r="Z1462" i="3" a="1"/>
  <c r="Z1462" i="3" s="1"/>
  <c r="Z1463" i="3" a="1"/>
  <c r="Z1463" i="3" s="1"/>
  <c r="Z1464" i="3" a="1"/>
  <c r="Z1464" i="3" s="1"/>
  <c r="Z1465" i="3" a="1"/>
  <c r="Z1465" i="3" s="1"/>
  <c r="Z1466" i="3" a="1"/>
  <c r="Z1466" i="3" s="1"/>
  <c r="Z1467" i="3" a="1"/>
  <c r="Z1467" i="3" s="1"/>
  <c r="Z1468" i="3" a="1"/>
  <c r="Z1468" i="3" s="1"/>
  <c r="Z1469" i="3" a="1"/>
  <c r="Z1469" i="3" s="1"/>
  <c r="Z1470" i="3" a="1"/>
  <c r="Z1470" i="3" s="1"/>
  <c r="Z1471" i="3" a="1"/>
  <c r="Z1471" i="3" s="1"/>
  <c r="Z1472" i="3" a="1"/>
  <c r="Z1472" i="3" s="1"/>
  <c r="Z1473" i="3" a="1"/>
  <c r="Z1473" i="3" s="1"/>
  <c r="Z1474" i="3" a="1"/>
  <c r="Z1474" i="3" s="1"/>
  <c r="Z1475" i="3" a="1"/>
  <c r="Z1475" i="3" s="1"/>
  <c r="Z1476" i="3" a="1"/>
  <c r="Z1476" i="3" s="1"/>
  <c r="Z1477" i="3" a="1"/>
  <c r="Z1477" i="3" s="1"/>
  <c r="Z1478" i="3" a="1"/>
  <c r="Z1478" i="3" s="1"/>
  <c r="Z1479" i="3" a="1"/>
  <c r="Z1479" i="3" s="1"/>
  <c r="Z1480" i="3" a="1"/>
  <c r="Z1480" i="3" s="1"/>
  <c r="Z1397" i="3" a="1"/>
  <c r="Z1397" i="3" s="1"/>
  <c r="Z1398" i="3" a="1"/>
  <c r="Z1398" i="3" s="1"/>
  <c r="Z1399" i="3" a="1"/>
  <c r="Z1399" i="3" s="1"/>
  <c r="Z1400" i="3" a="1"/>
  <c r="Z1400" i="3" s="1"/>
  <c r="Z1401" i="3" a="1"/>
  <c r="Z1401" i="3" s="1"/>
  <c r="Z1402" i="3" a="1"/>
  <c r="Z1402" i="3" s="1"/>
  <c r="Z1403" i="3" a="1"/>
  <c r="Z1403" i="3" s="1"/>
  <c r="Z1404" i="3" a="1"/>
  <c r="Z1404" i="3" s="1"/>
  <c r="Z1405" i="3" a="1"/>
  <c r="Z1405" i="3" s="1"/>
  <c r="Z1406" i="3" a="1"/>
  <c r="Z1406" i="3" s="1"/>
  <c r="Z1407" i="3" a="1"/>
  <c r="Z1407" i="3" s="1"/>
  <c r="Z1408" i="3" a="1"/>
  <c r="Z1408" i="3" s="1"/>
  <c r="Z1409" i="3" a="1"/>
  <c r="Z1409" i="3" s="1"/>
  <c r="Z1410" i="3" a="1"/>
  <c r="Z1410" i="3" s="1"/>
  <c r="Z1411" i="3" a="1"/>
  <c r="Z1411" i="3" s="1"/>
  <c r="Z1412" i="3" a="1"/>
  <c r="Z1412" i="3" s="1"/>
  <c r="Z1413" i="3" a="1"/>
  <c r="Z1413" i="3" s="1"/>
  <c r="Z1414" i="3" a="1"/>
  <c r="Z1414" i="3" s="1"/>
  <c r="Z1415" i="3" a="1"/>
  <c r="Z1415" i="3" s="1"/>
  <c r="Z1416" i="3" a="1"/>
  <c r="Z1416" i="3" s="1"/>
  <c r="Z1417" i="3" a="1"/>
  <c r="Z1417" i="3" s="1"/>
  <c r="Z1418" i="3" a="1"/>
  <c r="Z1418" i="3" s="1"/>
  <c r="Z1419" i="3" a="1"/>
  <c r="Z1419" i="3" s="1"/>
  <c r="Z1420" i="3" a="1"/>
  <c r="Z1420" i="3" s="1"/>
  <c r="Z1421" i="3" a="1"/>
  <c r="Z1421" i="3" s="1"/>
  <c r="Z1422" i="3" a="1"/>
  <c r="Z1422" i="3" s="1"/>
  <c r="Z1423" i="3" a="1"/>
  <c r="Z1423" i="3" s="1"/>
  <c r="Z1424" i="3" a="1"/>
  <c r="Z1424" i="3" s="1"/>
  <c r="Z1425" i="3" a="1"/>
  <c r="Z1425" i="3" s="1"/>
  <c r="Z1426" i="3" a="1"/>
  <c r="Z1426" i="3" s="1"/>
  <c r="Z1427" i="3" a="1"/>
  <c r="Z1427" i="3" s="1"/>
  <c r="Z1428" i="3" a="1"/>
  <c r="Z1428" i="3" s="1"/>
  <c r="Z1429" i="3" a="1"/>
  <c r="Z1429" i="3" s="1"/>
  <c r="Z1430" i="3" a="1"/>
  <c r="Z1430" i="3" s="1"/>
  <c r="Z1431" i="3" a="1"/>
  <c r="Z1431" i="3" s="1"/>
  <c r="Z1432" i="3" a="1"/>
  <c r="Z1432" i="3" s="1"/>
  <c r="Z1433" i="3" a="1"/>
  <c r="Z1433" i="3" s="1"/>
  <c r="Z1434" i="3" a="1"/>
  <c r="Z1434" i="3" s="1"/>
  <c r="Z1435" i="3" a="1"/>
  <c r="Z1435" i="3" s="1"/>
  <c r="Z1436" i="3" a="1"/>
  <c r="Z1436" i="3" s="1"/>
  <c r="Z1437" i="3" a="1"/>
  <c r="Z1437" i="3" s="1"/>
  <c r="Z1438" i="3" a="1"/>
  <c r="Z1438" i="3" s="1"/>
  <c r="Z1364" i="3" a="1"/>
  <c r="Z1364" i="3" s="1"/>
  <c r="Z1365" i="3" a="1"/>
  <c r="Z1365" i="3" s="1"/>
  <c r="Z1366" i="3" a="1"/>
  <c r="Z1366" i="3" s="1"/>
  <c r="Z1367" i="3" a="1"/>
  <c r="Z1367" i="3" s="1"/>
  <c r="Z1368" i="3" a="1"/>
  <c r="Z1368" i="3" s="1"/>
  <c r="Z1369" i="3" a="1"/>
  <c r="Z1369" i="3" s="1"/>
  <c r="Z1370" i="3" a="1"/>
  <c r="Z1370" i="3" s="1"/>
  <c r="Z1371" i="3" a="1"/>
  <c r="Z1371" i="3" s="1"/>
  <c r="Z1372" i="3" a="1"/>
  <c r="Z1372" i="3" s="1"/>
  <c r="Z1373" i="3" a="1"/>
  <c r="Z1373" i="3" s="1"/>
  <c r="Z1374" i="3" a="1"/>
  <c r="Z1374" i="3" s="1"/>
  <c r="Z1375" i="3" a="1"/>
  <c r="Z1375" i="3" s="1"/>
  <c r="Z1376" i="3" a="1"/>
  <c r="Z1376" i="3" s="1"/>
  <c r="Z1377" i="3" a="1"/>
  <c r="Z1377" i="3" s="1"/>
  <c r="Z1378" i="3" a="1"/>
  <c r="Z1378" i="3" s="1"/>
  <c r="Z1379" i="3" a="1"/>
  <c r="Z1379" i="3" s="1"/>
  <c r="Z1380" i="3" a="1"/>
  <c r="Z1380" i="3" s="1"/>
  <c r="Z1381" i="3" a="1"/>
  <c r="Z1381" i="3" s="1"/>
  <c r="Z1382" i="3" a="1"/>
  <c r="Z1382" i="3" s="1"/>
  <c r="Z1383" i="3" a="1"/>
  <c r="Z1383" i="3" s="1"/>
  <c r="Z1384" i="3" a="1"/>
  <c r="Z1384" i="3" s="1"/>
  <c r="Z1385" i="3" a="1"/>
  <c r="Z1385" i="3" s="1"/>
  <c r="Z1386" i="3" a="1"/>
  <c r="Z1386" i="3" s="1"/>
  <c r="Z1387" i="3" a="1"/>
  <c r="Z1387" i="3" s="1"/>
  <c r="Z1388" i="3" a="1"/>
  <c r="Z1388" i="3" s="1"/>
  <c r="Z1389" i="3" a="1"/>
  <c r="Z1389" i="3" s="1"/>
  <c r="Z1390" i="3" a="1"/>
  <c r="Z1390" i="3" s="1"/>
  <c r="Z1391" i="3" a="1"/>
  <c r="Z1391" i="3" s="1"/>
  <c r="Z1392" i="3" a="1"/>
  <c r="Z1392" i="3" s="1"/>
  <c r="Z1393" i="3" a="1"/>
  <c r="Z1393" i="3" s="1"/>
  <c r="Z1394" i="3" a="1"/>
  <c r="Z1394" i="3" s="1"/>
  <c r="Z1395" i="3" a="1"/>
  <c r="Z1395" i="3" s="1"/>
  <c r="Z1396" i="3" a="1"/>
  <c r="Z1396" i="3" s="1"/>
  <c r="Z1247" i="3" a="1"/>
  <c r="Z1247" i="3" s="1"/>
  <c r="Z1248" i="3" a="1"/>
  <c r="Z1248" i="3" s="1"/>
  <c r="Z1249" i="3" a="1"/>
  <c r="Z1249" i="3" s="1"/>
  <c r="Z1250" i="3" a="1"/>
  <c r="Z1250" i="3" s="1"/>
  <c r="Z1251" i="3" a="1"/>
  <c r="Z1251" i="3" s="1"/>
  <c r="Z1252" i="3" a="1"/>
  <c r="Z1252" i="3" s="1"/>
  <c r="Z1253" i="3" a="1"/>
  <c r="Z1253" i="3" s="1"/>
  <c r="Z1254" i="3" a="1"/>
  <c r="Z1254" i="3" s="1"/>
  <c r="Z1255" i="3" a="1"/>
  <c r="Z1255" i="3" s="1"/>
  <c r="Z1256" i="3" a="1"/>
  <c r="Z1256" i="3" s="1"/>
  <c r="Z1257" i="3" a="1"/>
  <c r="Z1257" i="3" s="1"/>
  <c r="Z1258" i="3" a="1"/>
  <c r="Z1258" i="3" s="1"/>
  <c r="Z1259" i="3" a="1"/>
  <c r="Z1259" i="3" s="1"/>
  <c r="Z1260" i="3" a="1"/>
  <c r="Z1260" i="3" s="1"/>
  <c r="Z1261" i="3" a="1"/>
  <c r="Z1261" i="3" s="1"/>
  <c r="Z1262" i="3" a="1"/>
  <c r="Z1262" i="3" s="1"/>
  <c r="Z1263" i="3" a="1"/>
  <c r="Z1263" i="3" s="1"/>
  <c r="Z1264" i="3" a="1"/>
  <c r="Z1264" i="3" s="1"/>
  <c r="Z1265" i="3" a="1"/>
  <c r="Z1265" i="3" s="1"/>
  <c r="Z1266" i="3" a="1"/>
  <c r="Z1266" i="3" s="1"/>
  <c r="Z1267" i="3" a="1"/>
  <c r="Z1267" i="3" s="1"/>
  <c r="Z1268" i="3" a="1"/>
  <c r="Z1268" i="3" s="1"/>
  <c r="Z1269" i="3" a="1"/>
  <c r="Z1269" i="3" s="1"/>
  <c r="Z1270" i="3" a="1"/>
  <c r="Z1270" i="3" s="1"/>
  <c r="Z1271" i="3" a="1"/>
  <c r="Z1271" i="3" s="1"/>
  <c r="Z1272" i="3" a="1"/>
  <c r="Z1272" i="3" s="1"/>
  <c r="Z1273" i="3" a="1"/>
  <c r="Z1273" i="3" s="1"/>
  <c r="Z1274" i="3" a="1"/>
  <c r="Z1274" i="3" s="1"/>
  <c r="Z1275" i="3" a="1"/>
  <c r="Z1275" i="3" s="1"/>
  <c r="Z1276" i="3" a="1"/>
  <c r="Z1276" i="3" s="1"/>
  <c r="Z1277" i="3" a="1"/>
  <c r="Z1277" i="3" s="1"/>
  <c r="Z1278" i="3" a="1"/>
  <c r="Z1278" i="3" s="1"/>
  <c r="Z1279" i="3" a="1"/>
  <c r="Z1279" i="3" s="1"/>
  <c r="Z1280" i="3" a="1"/>
  <c r="Z1280" i="3" s="1"/>
  <c r="Z1281" i="3" a="1"/>
  <c r="Z1281" i="3" s="1"/>
  <c r="Z1282" i="3" a="1"/>
  <c r="Z1282" i="3" s="1"/>
  <c r="Z1283" i="3" a="1"/>
  <c r="Z1283" i="3" s="1"/>
  <c r="Z1284" i="3" a="1"/>
  <c r="Z1284" i="3" s="1"/>
  <c r="Z1285" i="3" a="1"/>
  <c r="Z1285" i="3" s="1"/>
  <c r="Z1286" i="3" a="1"/>
  <c r="Z1286" i="3" s="1"/>
  <c r="Z1287" i="3" a="1"/>
  <c r="Z1287" i="3" s="1"/>
  <c r="Z1288" i="3" a="1"/>
  <c r="Z1288" i="3" s="1"/>
  <c r="Z1289" i="3" a="1"/>
  <c r="Z1289" i="3" s="1"/>
  <c r="Z1290" i="3" a="1"/>
  <c r="Z1290" i="3" s="1"/>
  <c r="Z1291" i="3" a="1"/>
  <c r="Z1291" i="3" s="1"/>
  <c r="Z1292" i="3" a="1"/>
  <c r="Z1292" i="3" s="1"/>
  <c r="Z1293" i="3" a="1"/>
  <c r="Z1293" i="3" s="1"/>
  <c r="Z1294" i="3" a="1"/>
  <c r="Z1294" i="3" s="1"/>
  <c r="Z1295" i="3" a="1"/>
  <c r="Z1295" i="3" s="1"/>
  <c r="Z1296" i="3" a="1"/>
  <c r="Z1296" i="3" s="1"/>
  <c r="Z1297" i="3" a="1"/>
  <c r="Z1297" i="3" s="1"/>
  <c r="Z1298" i="3" a="1"/>
  <c r="Z1298" i="3" s="1"/>
  <c r="Z1299" i="3" a="1"/>
  <c r="Z1299" i="3" s="1"/>
  <c r="Z1300" i="3" a="1"/>
  <c r="Z1300" i="3" s="1"/>
  <c r="Z1301" i="3" a="1"/>
  <c r="Z1301" i="3" s="1"/>
  <c r="Z1302" i="3" a="1"/>
  <c r="Z1302" i="3" s="1"/>
  <c r="Z1303" i="3" a="1"/>
  <c r="Z1303" i="3" s="1"/>
  <c r="Z1304" i="3" a="1"/>
  <c r="Z1304" i="3" s="1"/>
  <c r="Z1305" i="3" a="1"/>
  <c r="Z1305" i="3" s="1"/>
  <c r="Z1306" i="3" a="1"/>
  <c r="Z1306" i="3" s="1"/>
  <c r="Z1307" i="3" a="1"/>
  <c r="Z1307" i="3" s="1"/>
  <c r="Z1308" i="3" a="1"/>
  <c r="Z1308" i="3" s="1"/>
  <c r="Z1309" i="3" a="1"/>
  <c r="Z1309" i="3" s="1"/>
  <c r="Z1310" i="3" a="1"/>
  <c r="Z1310" i="3" s="1"/>
  <c r="Z1311" i="3" a="1"/>
  <c r="Z1311" i="3" s="1"/>
  <c r="Z1312" i="3" a="1"/>
  <c r="Z1312" i="3" s="1"/>
  <c r="Z1313" i="3" a="1"/>
  <c r="Z1313" i="3" s="1"/>
  <c r="Z1314" i="3" a="1"/>
  <c r="Z1314" i="3" s="1"/>
  <c r="Z1315" i="3" a="1"/>
  <c r="Z1315" i="3" s="1"/>
  <c r="Z1316" i="3" a="1"/>
  <c r="Z1316" i="3" s="1"/>
  <c r="Z1317" i="3" a="1"/>
  <c r="Z1317" i="3" s="1"/>
  <c r="Z1318" i="3" a="1"/>
  <c r="Z1318" i="3" s="1"/>
  <c r="Z1319" i="3" a="1"/>
  <c r="Z1319" i="3" s="1"/>
  <c r="Z1320" i="3" a="1"/>
  <c r="Z1320" i="3" s="1"/>
  <c r="Z1321" i="3" a="1"/>
  <c r="Z1321" i="3" s="1"/>
  <c r="Z1322" i="3" a="1"/>
  <c r="Z1322" i="3" s="1"/>
  <c r="Z1323" i="3" a="1"/>
  <c r="Z1323" i="3" s="1"/>
  <c r="Z1324" i="3" a="1"/>
  <c r="Z1324" i="3" s="1"/>
  <c r="Z1325" i="3" a="1"/>
  <c r="Z1325" i="3" s="1"/>
  <c r="Z1326" i="3" a="1"/>
  <c r="Z1326" i="3" s="1"/>
  <c r="Z1327" i="3" a="1"/>
  <c r="Z1327" i="3" s="1"/>
  <c r="Z1328" i="3" a="1"/>
  <c r="Z1328" i="3" s="1"/>
  <c r="Z1329" i="3" a="1"/>
  <c r="Z1329" i="3" s="1"/>
  <c r="Z1330" i="3" a="1"/>
  <c r="Z1330" i="3" s="1"/>
  <c r="Z1331" i="3" a="1"/>
  <c r="Z1331" i="3" s="1"/>
  <c r="Z1332" i="3" a="1"/>
  <c r="Z1332" i="3" s="1"/>
  <c r="Z1333" i="3" a="1"/>
  <c r="Z1333" i="3" s="1"/>
  <c r="Z1334" i="3" a="1"/>
  <c r="Z1334" i="3" s="1"/>
  <c r="Z1335" i="3" a="1"/>
  <c r="Z1335" i="3" s="1"/>
  <c r="Z1336" i="3" a="1"/>
  <c r="Z1336" i="3" s="1"/>
  <c r="Z1337" i="3" a="1"/>
  <c r="Z1337" i="3" s="1"/>
  <c r="Z1338" i="3" a="1"/>
  <c r="Z1338" i="3" s="1"/>
  <c r="Z1339" i="3" a="1"/>
  <c r="Z1339" i="3" s="1"/>
  <c r="Z1340" i="3" a="1"/>
  <c r="Z1340" i="3" s="1"/>
  <c r="Z1341" i="3" a="1"/>
  <c r="Z1341" i="3" s="1"/>
  <c r="Z1342" i="3" a="1"/>
  <c r="Z1342" i="3" s="1"/>
  <c r="Z1343" i="3" a="1"/>
  <c r="Z1343" i="3" s="1"/>
  <c r="Z1344" i="3" a="1"/>
  <c r="Z1344" i="3" s="1"/>
  <c r="Z1345" i="3" a="1"/>
  <c r="Z1345" i="3" s="1"/>
  <c r="Z1346" i="3" a="1"/>
  <c r="Z1346" i="3" s="1"/>
  <c r="Z1347" i="3" a="1"/>
  <c r="Z1347" i="3" s="1"/>
  <c r="Z1348" i="3" a="1"/>
  <c r="Z1348" i="3" s="1"/>
  <c r="Z1349" i="3" a="1"/>
  <c r="Z1349" i="3" s="1"/>
  <c r="Z1350" i="3" a="1"/>
  <c r="Z1350" i="3" s="1"/>
  <c r="Z1351" i="3" a="1"/>
  <c r="Z1351" i="3" s="1"/>
  <c r="Z1352" i="3" a="1"/>
  <c r="Z1352" i="3" s="1"/>
  <c r="Z1353" i="3" a="1"/>
  <c r="Z1353" i="3" s="1"/>
  <c r="Z1354" i="3" a="1"/>
  <c r="Z1354" i="3" s="1"/>
  <c r="Z1355" i="3" a="1"/>
  <c r="Z1355" i="3" s="1"/>
  <c r="Z1356" i="3" a="1"/>
  <c r="Z1356" i="3" s="1"/>
  <c r="Z1357" i="3" a="1"/>
  <c r="Z1357" i="3" s="1"/>
  <c r="Z1358" i="3" a="1"/>
  <c r="Z1358" i="3" s="1"/>
  <c r="Z1359" i="3" a="1"/>
  <c r="Z1359" i="3" s="1"/>
  <c r="Z1360" i="3" a="1"/>
  <c r="Z1360" i="3" s="1"/>
  <c r="Z1361" i="3" a="1"/>
  <c r="Z1361" i="3" s="1"/>
  <c r="Z1362" i="3" a="1"/>
  <c r="Z1362" i="3" s="1"/>
  <c r="Z1363" i="3" a="1"/>
  <c r="Z1363" i="3" s="1"/>
  <c r="Z1226" i="3" a="1"/>
  <c r="Z1226" i="3" s="1"/>
  <c r="Z1227" i="3" a="1"/>
  <c r="Z1227" i="3" s="1"/>
  <c r="Z1228" i="3" a="1"/>
  <c r="Z1228" i="3" s="1"/>
  <c r="Z1229" i="3" a="1"/>
  <c r="Z1229" i="3" s="1"/>
  <c r="Z1230" i="3" a="1"/>
  <c r="Z1230" i="3" s="1"/>
  <c r="Z1231" i="3" a="1"/>
  <c r="Z1231" i="3" s="1"/>
  <c r="Z1232" i="3" a="1"/>
  <c r="Z1232" i="3" s="1"/>
  <c r="Z1233" i="3" a="1"/>
  <c r="Z1233" i="3" s="1"/>
  <c r="Z1234" i="3" a="1"/>
  <c r="Z1234" i="3" s="1"/>
  <c r="Z1235" i="3" a="1"/>
  <c r="Z1235" i="3" s="1"/>
  <c r="Z1236" i="3" a="1"/>
  <c r="Z1236" i="3" s="1"/>
  <c r="Z1237" i="3" a="1"/>
  <c r="Z1237" i="3" s="1"/>
  <c r="Z1238" i="3" a="1"/>
  <c r="Z1238" i="3" s="1"/>
  <c r="Z1239" i="3" a="1"/>
  <c r="Z1239" i="3" s="1"/>
  <c r="Z1240" i="3" a="1"/>
  <c r="Z1240" i="3" s="1"/>
  <c r="Z1241" i="3" a="1"/>
  <c r="Z1241" i="3" s="1"/>
  <c r="Z1242" i="3" a="1"/>
  <c r="Z1242" i="3" s="1"/>
  <c r="Z1243" i="3" a="1"/>
  <c r="Z1243" i="3" s="1"/>
  <c r="Z1244" i="3" a="1"/>
  <c r="Z1244" i="3" s="1"/>
  <c r="Z1245" i="3" a="1"/>
  <c r="Z1245" i="3" s="1"/>
  <c r="Z1246" i="3" a="1"/>
  <c r="Z1246" i="3" s="1"/>
  <c r="Z1201" i="3" a="1"/>
  <c r="Z1201" i="3" s="1"/>
  <c r="Z1202" i="3" a="1"/>
  <c r="Z1202" i="3" s="1"/>
  <c r="Z1203" i="3" a="1"/>
  <c r="Z1203" i="3" s="1"/>
  <c r="Z1204" i="3" a="1"/>
  <c r="Z1204" i="3" s="1"/>
  <c r="Z1205" i="3" a="1"/>
  <c r="Z1205" i="3" s="1"/>
  <c r="Z1206" i="3" a="1"/>
  <c r="Z1206" i="3" s="1"/>
  <c r="Z1207" i="3" a="1"/>
  <c r="Z1207" i="3" s="1"/>
  <c r="Z1208" i="3" a="1"/>
  <c r="Z1208" i="3" s="1"/>
  <c r="Z1209" i="3" a="1"/>
  <c r="Z1209" i="3" s="1"/>
  <c r="Z1210" i="3" a="1"/>
  <c r="Z1210" i="3" s="1"/>
  <c r="Z1211" i="3" a="1"/>
  <c r="Z1211" i="3" s="1"/>
  <c r="Z1212" i="3" a="1"/>
  <c r="Z1212" i="3" s="1"/>
  <c r="Z1213" i="3" a="1"/>
  <c r="Z1213" i="3" s="1"/>
  <c r="Z1214" i="3" a="1"/>
  <c r="Z1214" i="3" s="1"/>
  <c r="Z1215" i="3" a="1"/>
  <c r="Z1215" i="3" s="1"/>
  <c r="Z1216" i="3" a="1"/>
  <c r="Z1216" i="3" s="1"/>
  <c r="Z1217" i="3" a="1"/>
  <c r="Z1217" i="3" s="1"/>
  <c r="Z1218" i="3" a="1"/>
  <c r="Z1218" i="3" s="1"/>
  <c r="Z1219" i="3" a="1"/>
  <c r="Z1219" i="3" s="1"/>
  <c r="Z1220" i="3" a="1"/>
  <c r="Z1220" i="3" s="1"/>
  <c r="Z1221" i="3" a="1"/>
  <c r="Z1221" i="3" s="1"/>
  <c r="Z1222" i="3" a="1"/>
  <c r="Z1222" i="3" s="1"/>
  <c r="Z1223" i="3" a="1"/>
  <c r="Z1223" i="3" s="1"/>
  <c r="Z1224" i="3" a="1"/>
  <c r="Z1224" i="3" s="1"/>
  <c r="Z1225" i="3" a="1"/>
  <c r="Z1225" i="3" s="1"/>
  <c r="Z1148" i="3" a="1"/>
  <c r="Z1148" i="3" s="1"/>
  <c r="Z1149" i="3" a="1"/>
  <c r="Z1149" i="3" s="1"/>
  <c r="Z1150" i="3" a="1"/>
  <c r="Z1150" i="3" s="1"/>
  <c r="Z1151" i="3" a="1"/>
  <c r="Z1151" i="3" s="1"/>
  <c r="Z1152" i="3" a="1"/>
  <c r="Z1152" i="3" s="1"/>
  <c r="Z1153" i="3" a="1"/>
  <c r="Z1153" i="3" s="1"/>
  <c r="Z1154" i="3" a="1"/>
  <c r="Z1154" i="3" s="1"/>
  <c r="Z1155" i="3" a="1"/>
  <c r="Z1155" i="3" s="1"/>
  <c r="Z1156" i="3" a="1"/>
  <c r="Z1156" i="3" s="1"/>
  <c r="Z1157" i="3" a="1"/>
  <c r="Z1157" i="3" s="1"/>
  <c r="Z1158" i="3" a="1"/>
  <c r="Z1158" i="3" s="1"/>
  <c r="Z1159" i="3" a="1"/>
  <c r="Z1159" i="3" s="1"/>
  <c r="Z1160" i="3" a="1"/>
  <c r="Z1160" i="3" s="1"/>
  <c r="Z1161" i="3" a="1"/>
  <c r="Z1161" i="3" s="1"/>
  <c r="Z1162" i="3" a="1"/>
  <c r="Z1162" i="3" s="1"/>
  <c r="Z1163" i="3" a="1"/>
  <c r="Z1163" i="3" s="1"/>
  <c r="Z1164" i="3" a="1"/>
  <c r="Z1164" i="3" s="1"/>
  <c r="Z1165" i="3" a="1"/>
  <c r="Z1165" i="3" s="1"/>
  <c r="Z1166" i="3" a="1"/>
  <c r="Z1166" i="3" s="1"/>
  <c r="Z1167" i="3" a="1"/>
  <c r="Z1167" i="3" s="1"/>
  <c r="Z1168" i="3" a="1"/>
  <c r="Z1168" i="3" s="1"/>
  <c r="Z1169" i="3" a="1"/>
  <c r="Z1169" i="3" s="1"/>
  <c r="Z1170" i="3" a="1"/>
  <c r="Z1170" i="3" s="1"/>
  <c r="Z1171" i="3" a="1"/>
  <c r="Z1171" i="3" s="1"/>
  <c r="Z1172" i="3" a="1"/>
  <c r="Z1172" i="3" s="1"/>
  <c r="Z1173" i="3" a="1"/>
  <c r="Z1173" i="3" s="1"/>
  <c r="Z1174" i="3" a="1"/>
  <c r="Z1174" i="3" s="1"/>
  <c r="Z1175" i="3" a="1"/>
  <c r="Z1175" i="3" s="1"/>
  <c r="Z1176" i="3" a="1"/>
  <c r="Z1176" i="3" s="1"/>
  <c r="Z1177" i="3" a="1"/>
  <c r="Z1177" i="3" s="1"/>
  <c r="Z1178" i="3" a="1"/>
  <c r="Z1178" i="3" s="1"/>
  <c r="Z1179" i="3" a="1"/>
  <c r="Z1179" i="3" s="1"/>
  <c r="Z1180" i="3" a="1"/>
  <c r="Z1180" i="3" s="1"/>
  <c r="Z1181" i="3" a="1"/>
  <c r="Z1181" i="3" s="1"/>
  <c r="Z1182" i="3" a="1"/>
  <c r="Z1182" i="3" s="1"/>
  <c r="Z1183" i="3" a="1"/>
  <c r="Z1183" i="3" s="1"/>
  <c r="Z1184" i="3" a="1"/>
  <c r="Z1184" i="3" s="1"/>
  <c r="Z1185" i="3" a="1"/>
  <c r="Z1185" i="3" s="1"/>
  <c r="Z1186" i="3" a="1"/>
  <c r="Z1186" i="3" s="1"/>
  <c r="Z1187" i="3" a="1"/>
  <c r="Z1187" i="3" s="1"/>
  <c r="Z1188" i="3" a="1"/>
  <c r="Z1188" i="3" s="1"/>
  <c r="Z1189" i="3" a="1"/>
  <c r="Z1189" i="3" s="1"/>
  <c r="Z1190" i="3" a="1"/>
  <c r="Z1190" i="3" s="1"/>
  <c r="Z1191" i="3" a="1"/>
  <c r="Z1191" i="3" s="1"/>
  <c r="Z1192" i="3" a="1"/>
  <c r="Z1192" i="3" s="1"/>
  <c r="Z1193" i="3" a="1"/>
  <c r="Z1193" i="3" s="1"/>
  <c r="Z1194" i="3" a="1"/>
  <c r="Z1194" i="3" s="1"/>
  <c r="Z1195" i="3" a="1"/>
  <c r="Z1195" i="3" s="1"/>
  <c r="Z1196" i="3" a="1"/>
  <c r="Z1196" i="3" s="1"/>
  <c r="Z1197" i="3" a="1"/>
  <c r="Z1197" i="3" s="1"/>
  <c r="Z1198" i="3" a="1"/>
  <c r="Z1198" i="3" s="1"/>
  <c r="Z1199" i="3" a="1"/>
  <c r="Z1199" i="3" s="1"/>
  <c r="Z1200" i="3" a="1"/>
  <c r="Z1200" i="3" s="1"/>
  <c r="Z1095" i="3" a="1"/>
  <c r="Z1095" i="3" s="1"/>
  <c r="Z1096" i="3" a="1"/>
  <c r="Z1096" i="3" s="1"/>
  <c r="Z1097" i="3" a="1"/>
  <c r="Z1097" i="3" s="1"/>
  <c r="Z1098" i="3" a="1"/>
  <c r="Z1098" i="3" s="1"/>
  <c r="Z1099" i="3" a="1"/>
  <c r="Z1099" i="3" s="1"/>
  <c r="Z1100" i="3" a="1"/>
  <c r="Z1100" i="3" s="1"/>
  <c r="Z1101" i="3" a="1"/>
  <c r="Z1101" i="3" s="1"/>
  <c r="Z1102" i="3" a="1"/>
  <c r="Z1102" i="3" s="1"/>
  <c r="Z1103" i="3" a="1"/>
  <c r="Z1103" i="3" s="1"/>
  <c r="Z1104" i="3" a="1"/>
  <c r="Z1104" i="3" s="1"/>
  <c r="Z1105" i="3" a="1"/>
  <c r="Z1105" i="3" s="1"/>
  <c r="Z1106" i="3" a="1"/>
  <c r="Z1106" i="3" s="1"/>
  <c r="Z1107" i="3" a="1"/>
  <c r="Z1107" i="3" s="1"/>
  <c r="Z1108" i="3" a="1"/>
  <c r="Z1108" i="3" s="1"/>
  <c r="Z1109" i="3" a="1"/>
  <c r="Z1109" i="3" s="1"/>
  <c r="Z1110" i="3" a="1"/>
  <c r="Z1110" i="3" s="1"/>
  <c r="Z1111" i="3" a="1"/>
  <c r="Z1111" i="3" s="1"/>
  <c r="Z1112" i="3" a="1"/>
  <c r="Z1112" i="3" s="1"/>
  <c r="Z1113" i="3" a="1"/>
  <c r="Z1113" i="3" s="1"/>
  <c r="Z1114" i="3" a="1"/>
  <c r="Z1114" i="3" s="1"/>
  <c r="Z1115" i="3" a="1"/>
  <c r="Z1115" i="3" s="1"/>
  <c r="Z1116" i="3" a="1"/>
  <c r="Z1116" i="3" s="1"/>
  <c r="Z1117" i="3" a="1"/>
  <c r="Z1117" i="3" s="1"/>
  <c r="Z1118" i="3" a="1"/>
  <c r="Z1118" i="3" s="1"/>
  <c r="Z1119" i="3" a="1"/>
  <c r="Z1119" i="3" s="1"/>
  <c r="Z1120" i="3" a="1"/>
  <c r="Z1120" i="3" s="1"/>
  <c r="Z1121" i="3" a="1"/>
  <c r="Z1121" i="3" s="1"/>
  <c r="Z1122" i="3" a="1"/>
  <c r="Z1122" i="3" s="1"/>
  <c r="Z1123" i="3" a="1"/>
  <c r="Z1123" i="3" s="1"/>
  <c r="Z1124" i="3" a="1"/>
  <c r="Z1124" i="3" s="1"/>
  <c r="Z1125" i="3" a="1"/>
  <c r="Z1125" i="3" s="1"/>
  <c r="Z1126" i="3" a="1"/>
  <c r="Z1126" i="3" s="1"/>
  <c r="Z1127" i="3" a="1"/>
  <c r="Z1127" i="3" s="1"/>
  <c r="Z1128" i="3" a="1"/>
  <c r="Z1128" i="3" s="1"/>
  <c r="Z1129" i="3" a="1"/>
  <c r="Z1129" i="3" s="1"/>
  <c r="Z1130" i="3" a="1"/>
  <c r="Z1130" i="3" s="1"/>
  <c r="Z1131" i="3" a="1"/>
  <c r="Z1131" i="3" s="1"/>
  <c r="Z1132" i="3" a="1"/>
  <c r="Z1132" i="3" s="1"/>
  <c r="Z1133" i="3" a="1"/>
  <c r="Z1133" i="3" s="1"/>
  <c r="Z1134" i="3" a="1"/>
  <c r="Z1134" i="3" s="1"/>
  <c r="Z1135" i="3" a="1"/>
  <c r="Z1135" i="3" s="1"/>
  <c r="Z1136" i="3" a="1"/>
  <c r="Z1136" i="3" s="1"/>
  <c r="Z1137" i="3" a="1"/>
  <c r="Z1137" i="3" s="1"/>
  <c r="Z1138" i="3" a="1"/>
  <c r="Z1138" i="3" s="1"/>
  <c r="Z1139" i="3" a="1"/>
  <c r="Z1139" i="3" s="1"/>
  <c r="Z1140" i="3" a="1"/>
  <c r="Z1140" i="3" s="1"/>
  <c r="Z1141" i="3" a="1"/>
  <c r="Z1141" i="3" s="1"/>
  <c r="Z1142" i="3" a="1"/>
  <c r="Z1142" i="3" s="1"/>
  <c r="Z1143" i="3" a="1"/>
  <c r="Z1143" i="3" s="1"/>
  <c r="Z1144" i="3" a="1"/>
  <c r="Z1144" i="3" s="1"/>
  <c r="Z1145" i="3" a="1"/>
  <c r="Z1145" i="3" s="1"/>
  <c r="Z1146" i="3" a="1"/>
  <c r="Z1146" i="3" s="1"/>
  <c r="Z1147" i="3" a="1"/>
  <c r="Z1147" i="3" s="1"/>
  <c r="Z1068" i="3" a="1"/>
  <c r="Z1068" i="3" s="1"/>
  <c r="Z1069" i="3" a="1"/>
  <c r="Z1069" i="3" s="1"/>
  <c r="Z1070" i="3" a="1"/>
  <c r="Z1070" i="3" s="1"/>
  <c r="Z1071" i="3" a="1"/>
  <c r="Z1071" i="3" s="1"/>
  <c r="Z1072" i="3" a="1"/>
  <c r="Z1072" i="3" s="1"/>
  <c r="Z1073" i="3" a="1"/>
  <c r="Z1073" i="3" s="1"/>
  <c r="Z1074" i="3" a="1"/>
  <c r="Z1074" i="3" s="1"/>
  <c r="Z1075" i="3" a="1"/>
  <c r="Z1075" i="3" s="1"/>
  <c r="Z1076" i="3" a="1"/>
  <c r="Z1076" i="3" s="1"/>
  <c r="Z1077" i="3" a="1"/>
  <c r="Z1077" i="3" s="1"/>
  <c r="Z1078" i="3" a="1"/>
  <c r="Z1078" i="3" s="1"/>
  <c r="Z1079" i="3" a="1"/>
  <c r="Z1079" i="3" s="1"/>
  <c r="Z1080" i="3" a="1"/>
  <c r="Z1080" i="3" s="1"/>
  <c r="Z1081" i="3" a="1"/>
  <c r="Z1081" i="3" s="1"/>
  <c r="Z1082" i="3" a="1"/>
  <c r="Z1082" i="3" s="1"/>
  <c r="Z1083" i="3" a="1"/>
  <c r="Z1083" i="3" s="1"/>
  <c r="Z1084" i="3" a="1"/>
  <c r="Z1084" i="3" s="1"/>
  <c r="Z1085" i="3" a="1"/>
  <c r="Z1085" i="3" s="1"/>
  <c r="Z1086" i="3" a="1"/>
  <c r="Z1086" i="3" s="1"/>
  <c r="Z1087" i="3" a="1"/>
  <c r="Z1087" i="3" s="1"/>
  <c r="Z1088" i="3" a="1"/>
  <c r="Z1088" i="3" s="1"/>
  <c r="Z1089" i="3" a="1"/>
  <c r="Z1089" i="3" s="1"/>
  <c r="Z1090" i="3" a="1"/>
  <c r="Z1090" i="3" s="1"/>
  <c r="Z1091" i="3" a="1"/>
  <c r="Z1091" i="3" s="1"/>
  <c r="Z1092" i="3" a="1"/>
  <c r="Z1092" i="3" s="1"/>
  <c r="Z1093" i="3" a="1"/>
  <c r="Z1093" i="3" s="1"/>
  <c r="Z1094" i="3" a="1"/>
  <c r="Z1094" i="3" s="1"/>
  <c r="Z1047" i="3" a="1"/>
  <c r="Z1047" i="3" s="1"/>
  <c r="Z1048" i="3" a="1"/>
  <c r="Z1048" i="3" s="1"/>
  <c r="Z1049" i="3" a="1"/>
  <c r="Z1049" i="3" s="1"/>
  <c r="Z1050" i="3" a="1"/>
  <c r="Z1050" i="3" s="1"/>
  <c r="Z1051" i="3" a="1"/>
  <c r="Z1051" i="3" s="1"/>
  <c r="Z1052" i="3" a="1"/>
  <c r="Z1052" i="3" s="1"/>
  <c r="Z1053" i="3" a="1"/>
  <c r="Z1053" i="3" s="1"/>
  <c r="Z1054" i="3" a="1"/>
  <c r="Z1054" i="3" s="1"/>
  <c r="Z1055" i="3" a="1"/>
  <c r="Z1055" i="3" s="1"/>
  <c r="Z1056" i="3" a="1"/>
  <c r="Z1056" i="3" s="1"/>
  <c r="Z1057" i="3" a="1"/>
  <c r="Z1057" i="3" s="1"/>
  <c r="Z1058" i="3" a="1"/>
  <c r="Z1058" i="3" s="1"/>
  <c r="Z1059" i="3" a="1"/>
  <c r="Z1059" i="3" s="1"/>
  <c r="Z1060" i="3" a="1"/>
  <c r="Z1060" i="3" s="1"/>
  <c r="Z1061" i="3" a="1"/>
  <c r="Z1061" i="3" s="1"/>
  <c r="Z1062" i="3" a="1"/>
  <c r="Z1062" i="3" s="1"/>
  <c r="Z1063" i="3" a="1"/>
  <c r="Z1063" i="3" s="1"/>
  <c r="Z1064" i="3" a="1"/>
  <c r="Z1064" i="3" s="1"/>
  <c r="Z1065" i="3" a="1"/>
  <c r="Z1065" i="3" s="1"/>
  <c r="Z1066" i="3" a="1"/>
  <c r="Z1066" i="3" s="1"/>
  <c r="Z1067" i="3" a="1"/>
  <c r="Z1067" i="3" s="1"/>
  <c r="Z1024" i="3" a="1"/>
  <c r="Z1024" i="3" s="1"/>
  <c r="Z1025" i="3" a="1"/>
  <c r="Z1025" i="3" s="1"/>
  <c r="Z1026" i="3" a="1"/>
  <c r="Z1026" i="3" s="1"/>
  <c r="Z1027" i="3" a="1"/>
  <c r="Z1027" i="3" s="1"/>
  <c r="Z1028" i="3" a="1"/>
  <c r="Z1028" i="3" s="1"/>
  <c r="Z1029" i="3" a="1"/>
  <c r="Z1029" i="3" s="1"/>
  <c r="Z1030" i="3" a="1"/>
  <c r="Z1030" i="3" s="1"/>
  <c r="Z1031" i="3" a="1"/>
  <c r="Z1031" i="3" s="1"/>
  <c r="Z1032" i="3" a="1"/>
  <c r="Z1032" i="3" s="1"/>
  <c r="Z1033" i="3" a="1"/>
  <c r="Z1033" i="3" s="1"/>
  <c r="Z1034" i="3" a="1"/>
  <c r="Z1034" i="3" s="1"/>
  <c r="Z1035" i="3" a="1"/>
  <c r="Z1035" i="3" s="1"/>
  <c r="Z1036" i="3" a="1"/>
  <c r="Z1036" i="3" s="1"/>
  <c r="Z1037" i="3" a="1"/>
  <c r="Z1037" i="3" s="1"/>
  <c r="Z1038" i="3" a="1"/>
  <c r="Z1038" i="3" s="1"/>
  <c r="Z1039" i="3" a="1"/>
  <c r="Z1039" i="3" s="1"/>
  <c r="Z1040" i="3" a="1"/>
  <c r="Z1040" i="3" s="1"/>
  <c r="Z1041" i="3" a="1"/>
  <c r="Z1041" i="3" s="1"/>
  <c r="Z1042" i="3" a="1"/>
  <c r="Z1042" i="3" s="1"/>
  <c r="Z1043" i="3" a="1"/>
  <c r="Z1043" i="3" s="1"/>
  <c r="Z1044" i="3" a="1"/>
  <c r="Z1044" i="3" s="1"/>
  <c r="Z1045" i="3" a="1"/>
  <c r="Z1045" i="3" s="1"/>
  <c r="Z1046" i="3" a="1"/>
  <c r="Z1046" i="3" s="1"/>
  <c r="Z1005" i="3" a="1"/>
  <c r="Z1005" i="3" s="1"/>
  <c r="Z1006" i="3" a="1"/>
  <c r="Z1006" i="3" s="1"/>
  <c r="Z1007" i="3" a="1"/>
  <c r="Z1007" i="3" s="1"/>
  <c r="Z1008" i="3" a="1"/>
  <c r="Z1008" i="3" s="1"/>
  <c r="Z1009" i="3" a="1"/>
  <c r="Z1009" i="3" s="1"/>
  <c r="Z1010" i="3" a="1"/>
  <c r="Z1010" i="3" s="1"/>
  <c r="Z1011" i="3" a="1"/>
  <c r="Z1011" i="3" s="1"/>
  <c r="Z1012" i="3" a="1"/>
  <c r="Z1012" i="3" s="1"/>
  <c r="Z1013" i="3" a="1"/>
  <c r="Z1013" i="3" s="1"/>
  <c r="Z1014" i="3" a="1"/>
  <c r="Z1014" i="3" s="1"/>
  <c r="Z1015" i="3" a="1"/>
  <c r="Z1015" i="3" s="1"/>
  <c r="Z1016" i="3" a="1"/>
  <c r="Z1016" i="3" s="1"/>
  <c r="Z1017" i="3" a="1"/>
  <c r="Z1017" i="3" s="1"/>
  <c r="Z1018" i="3" a="1"/>
  <c r="Z1018" i="3" s="1"/>
  <c r="Z1019" i="3" a="1"/>
  <c r="Z1019" i="3" s="1"/>
  <c r="Z1020" i="3" a="1"/>
  <c r="Z1020" i="3" s="1"/>
  <c r="Z1021" i="3" a="1"/>
  <c r="Z1021" i="3" s="1"/>
  <c r="Z1022" i="3" a="1"/>
  <c r="Z1022" i="3" s="1"/>
  <c r="Z1023" i="3" a="1"/>
  <c r="Z1023" i="3" s="1"/>
  <c r="Z952" i="3" a="1"/>
  <c r="Z952" i="3" s="1"/>
  <c r="Z953" i="3" a="1"/>
  <c r="Z953" i="3" s="1"/>
  <c r="Z954" i="3" a="1"/>
  <c r="Z954" i="3" s="1"/>
  <c r="Z955" i="3" a="1"/>
  <c r="Z955" i="3" s="1"/>
  <c r="Z956" i="3" a="1"/>
  <c r="Z956" i="3" s="1"/>
  <c r="Z957" i="3" a="1"/>
  <c r="Z957" i="3" s="1"/>
  <c r="Z958" i="3" a="1"/>
  <c r="Z958" i="3" s="1"/>
  <c r="Z959" i="3" a="1"/>
  <c r="Z959" i="3" s="1"/>
  <c r="Z960" i="3" a="1"/>
  <c r="Z960" i="3" s="1"/>
  <c r="Z961" i="3" a="1"/>
  <c r="Z961" i="3" s="1"/>
  <c r="Z962" i="3" a="1"/>
  <c r="Z962" i="3" s="1"/>
  <c r="Z963" i="3" a="1"/>
  <c r="Z963" i="3" s="1"/>
  <c r="Z964" i="3" a="1"/>
  <c r="Z964" i="3" s="1"/>
  <c r="Z965" i="3" a="1"/>
  <c r="Z965" i="3" s="1"/>
  <c r="Z966" i="3" a="1"/>
  <c r="Z966" i="3" s="1"/>
  <c r="Z967" i="3" a="1"/>
  <c r="Z967" i="3" s="1"/>
  <c r="Z968" i="3" a="1"/>
  <c r="Z968" i="3" s="1"/>
  <c r="Z969" i="3" a="1"/>
  <c r="Z969" i="3" s="1"/>
  <c r="Z970" i="3" a="1"/>
  <c r="Z970" i="3" s="1"/>
  <c r="Z971" i="3" a="1"/>
  <c r="Z971" i="3" s="1"/>
  <c r="Z972" i="3" a="1"/>
  <c r="Z972" i="3" s="1"/>
  <c r="Z973" i="3" a="1"/>
  <c r="Z973" i="3" s="1"/>
  <c r="Z974" i="3" a="1"/>
  <c r="Z974" i="3" s="1"/>
  <c r="Z975" i="3" a="1"/>
  <c r="Z975" i="3" s="1"/>
  <c r="Z976" i="3" a="1"/>
  <c r="Z976" i="3" s="1"/>
  <c r="Z977" i="3" a="1"/>
  <c r="Z977" i="3" s="1"/>
  <c r="Z978" i="3" a="1"/>
  <c r="Z978" i="3" s="1"/>
  <c r="Z979" i="3" a="1"/>
  <c r="Z979" i="3" s="1"/>
  <c r="Z980" i="3" a="1"/>
  <c r="Z980" i="3" s="1"/>
  <c r="Z981" i="3" a="1"/>
  <c r="Z981" i="3" s="1"/>
  <c r="Z982" i="3" a="1"/>
  <c r="Z982" i="3" s="1"/>
  <c r="Z983" i="3" a="1"/>
  <c r="Z983" i="3" s="1"/>
  <c r="Z984" i="3" a="1"/>
  <c r="Z984" i="3" s="1"/>
  <c r="Z985" i="3" a="1"/>
  <c r="Z985" i="3" s="1"/>
  <c r="Z986" i="3" a="1"/>
  <c r="Z986" i="3" s="1"/>
  <c r="Z987" i="3" a="1"/>
  <c r="Z987" i="3" s="1"/>
  <c r="Z988" i="3" a="1"/>
  <c r="Z988" i="3" s="1"/>
  <c r="Z989" i="3" a="1"/>
  <c r="Z989" i="3" s="1"/>
  <c r="Z990" i="3" a="1"/>
  <c r="Z990" i="3" s="1"/>
  <c r="Z991" i="3" a="1"/>
  <c r="Z991" i="3" s="1"/>
  <c r="Z992" i="3" a="1"/>
  <c r="Z992" i="3" s="1"/>
  <c r="Z993" i="3" a="1"/>
  <c r="Z993" i="3" s="1"/>
  <c r="Z994" i="3" a="1"/>
  <c r="Z994" i="3" s="1"/>
  <c r="Z995" i="3" a="1"/>
  <c r="Z995" i="3" s="1"/>
  <c r="Z996" i="3" a="1"/>
  <c r="Z996" i="3" s="1"/>
  <c r="Z997" i="3" a="1"/>
  <c r="Z997" i="3" s="1"/>
  <c r="Z998" i="3" a="1"/>
  <c r="Z998" i="3" s="1"/>
  <c r="Z999" i="3" a="1"/>
  <c r="Z999" i="3" s="1"/>
  <c r="Z1000" i="3" a="1"/>
  <c r="Z1000" i="3" s="1"/>
  <c r="Z1001" i="3" a="1"/>
  <c r="Z1001" i="3" s="1"/>
  <c r="Z1002" i="3" a="1"/>
  <c r="Z1002" i="3" s="1"/>
  <c r="Z1003" i="3" a="1"/>
  <c r="Z1003" i="3" s="1"/>
  <c r="Z1004" i="3" a="1"/>
  <c r="Z1004" i="3" s="1"/>
  <c r="Z940" i="3" a="1"/>
  <c r="Z940" i="3" s="1"/>
  <c r="Z941" i="3" a="1"/>
  <c r="Z941" i="3" s="1"/>
  <c r="Z942" i="3" a="1"/>
  <c r="Z942" i="3" s="1"/>
  <c r="Z943" i="3" a="1"/>
  <c r="Z943" i="3" s="1"/>
  <c r="Z944" i="3" a="1"/>
  <c r="Z944" i="3" s="1"/>
  <c r="Z945" i="3" a="1"/>
  <c r="Z945" i="3" s="1"/>
  <c r="Z946" i="3" a="1"/>
  <c r="Z946" i="3" s="1"/>
  <c r="Z947" i="3" a="1"/>
  <c r="Z947" i="3" s="1"/>
  <c r="Z948" i="3" a="1"/>
  <c r="Z948" i="3" s="1"/>
  <c r="Z949" i="3" a="1"/>
  <c r="Z949" i="3" s="1"/>
  <c r="Z950" i="3" a="1"/>
  <c r="Z950" i="3" s="1"/>
  <c r="Z951" i="3" a="1"/>
  <c r="Z951" i="3" s="1"/>
  <c r="Z923" i="3" a="1"/>
  <c r="Z923" i="3" s="1"/>
  <c r="Z924" i="3" a="1"/>
  <c r="Z924" i="3" s="1"/>
  <c r="Z925" i="3" a="1"/>
  <c r="Z925" i="3" s="1"/>
  <c r="Z926" i="3" a="1"/>
  <c r="Z926" i="3" s="1"/>
  <c r="Z927" i="3" a="1"/>
  <c r="Z927" i="3" s="1"/>
  <c r="Z928" i="3" a="1"/>
  <c r="Z928" i="3" s="1"/>
  <c r="Z929" i="3" a="1"/>
  <c r="Z929" i="3" s="1"/>
  <c r="Z930" i="3" a="1"/>
  <c r="Z930" i="3" s="1"/>
  <c r="Z931" i="3" a="1"/>
  <c r="Z931" i="3" s="1"/>
  <c r="Z932" i="3" a="1"/>
  <c r="Z932" i="3" s="1"/>
  <c r="Z933" i="3" a="1"/>
  <c r="Z933" i="3" s="1"/>
  <c r="Z934" i="3" a="1"/>
  <c r="Z934" i="3" s="1"/>
  <c r="Z935" i="3" a="1"/>
  <c r="Z935" i="3" s="1"/>
  <c r="Z936" i="3" a="1"/>
  <c r="Z936" i="3" s="1"/>
  <c r="Z937" i="3" a="1"/>
  <c r="Z937" i="3" s="1"/>
  <c r="Z938" i="3" a="1"/>
  <c r="Z938" i="3" s="1"/>
  <c r="Z939" i="3" a="1"/>
  <c r="Z939" i="3" s="1"/>
  <c r="Z905" i="3" a="1"/>
  <c r="Z905" i="3" s="1"/>
  <c r="Z906" i="3" a="1"/>
  <c r="Z906" i="3" s="1"/>
  <c r="Z907" i="3" a="1"/>
  <c r="Z907" i="3" s="1"/>
  <c r="Z908" i="3" a="1"/>
  <c r="Z908" i="3" s="1"/>
  <c r="Z909" i="3" a="1"/>
  <c r="Z909" i="3" s="1"/>
  <c r="Z910" i="3" a="1"/>
  <c r="Z910" i="3" s="1"/>
  <c r="Z911" i="3" a="1"/>
  <c r="Z911" i="3" s="1"/>
  <c r="Z912" i="3" a="1"/>
  <c r="Z912" i="3" s="1"/>
  <c r="Z913" i="3" a="1"/>
  <c r="Z913" i="3" s="1"/>
  <c r="Z914" i="3" a="1"/>
  <c r="Z914" i="3" s="1"/>
  <c r="Z915" i="3" a="1"/>
  <c r="Z915" i="3" s="1"/>
  <c r="Z916" i="3" a="1"/>
  <c r="Z916" i="3" s="1"/>
  <c r="Z917" i="3" a="1"/>
  <c r="Z917" i="3" s="1"/>
  <c r="Z918" i="3" a="1"/>
  <c r="Z918" i="3" s="1"/>
  <c r="Z919" i="3" a="1"/>
  <c r="Z919" i="3" s="1"/>
  <c r="Z920" i="3" a="1"/>
  <c r="Z920" i="3" s="1"/>
  <c r="Z921" i="3" a="1"/>
  <c r="Z921" i="3" s="1"/>
  <c r="Z922" i="3" a="1"/>
  <c r="Z922" i="3" s="1"/>
  <c r="Z879" i="3" a="1"/>
  <c r="Z879" i="3" s="1"/>
  <c r="Z880" i="3" a="1"/>
  <c r="Z880" i="3" s="1"/>
  <c r="Z881" i="3" a="1"/>
  <c r="Z881" i="3" s="1"/>
  <c r="Z882" i="3" a="1"/>
  <c r="Z882" i="3" s="1"/>
  <c r="Z883" i="3" a="1"/>
  <c r="Z883" i="3" s="1"/>
  <c r="Z884" i="3" a="1"/>
  <c r="Z884" i="3" s="1"/>
  <c r="Z885" i="3" a="1"/>
  <c r="Z885" i="3" s="1"/>
  <c r="Z886" i="3" a="1"/>
  <c r="Z886" i="3" s="1"/>
  <c r="Z887" i="3" a="1"/>
  <c r="Z887" i="3" s="1"/>
  <c r="Z888" i="3" a="1"/>
  <c r="Z888" i="3" s="1"/>
  <c r="Z889" i="3" a="1"/>
  <c r="Z889" i="3" s="1"/>
  <c r="Z890" i="3" a="1"/>
  <c r="Z890" i="3" s="1"/>
  <c r="Z891" i="3" a="1"/>
  <c r="Z891" i="3" s="1"/>
  <c r="Z892" i="3" a="1"/>
  <c r="Z892" i="3" s="1"/>
  <c r="Z893" i="3" a="1"/>
  <c r="Z893" i="3" s="1"/>
  <c r="Z894" i="3" a="1"/>
  <c r="Z894" i="3" s="1"/>
  <c r="Z895" i="3" a="1"/>
  <c r="Z895" i="3" s="1"/>
  <c r="Z896" i="3" a="1"/>
  <c r="Z896" i="3" s="1"/>
  <c r="Z897" i="3" a="1"/>
  <c r="Z897" i="3" s="1"/>
  <c r="Z898" i="3" a="1"/>
  <c r="Z898" i="3" s="1"/>
  <c r="Z899" i="3" a="1"/>
  <c r="Z899" i="3" s="1"/>
  <c r="Z900" i="3" a="1"/>
  <c r="Z900" i="3" s="1"/>
  <c r="Z901" i="3" a="1"/>
  <c r="Z901" i="3" s="1"/>
  <c r="Z902" i="3" a="1"/>
  <c r="Z902" i="3" s="1"/>
  <c r="Z903" i="3" a="1"/>
  <c r="Z903" i="3" s="1"/>
  <c r="Z904" i="3" a="1"/>
  <c r="Z904" i="3" s="1"/>
  <c r="Z863" i="3" a="1"/>
  <c r="Z863" i="3" s="1"/>
  <c r="Z864" i="3" a="1"/>
  <c r="Z864" i="3" s="1"/>
  <c r="Z865" i="3" a="1"/>
  <c r="Z865" i="3" s="1"/>
  <c r="Z866" i="3" a="1"/>
  <c r="Z866" i="3" s="1"/>
  <c r="Z867" i="3" a="1"/>
  <c r="Z867" i="3" s="1"/>
  <c r="Z868" i="3" a="1"/>
  <c r="Z868" i="3" s="1"/>
  <c r="Z869" i="3" a="1"/>
  <c r="Z869" i="3" s="1"/>
  <c r="Z870" i="3" a="1"/>
  <c r="Z870" i="3" s="1"/>
  <c r="Z871" i="3" a="1"/>
  <c r="Z871" i="3" s="1"/>
  <c r="Z872" i="3" a="1"/>
  <c r="Z872" i="3" s="1"/>
  <c r="Z873" i="3" a="1"/>
  <c r="Z873" i="3" s="1"/>
  <c r="Z874" i="3" a="1"/>
  <c r="Z874" i="3" s="1"/>
  <c r="Z875" i="3" a="1"/>
  <c r="Z875" i="3" s="1"/>
  <c r="Z876" i="3" a="1"/>
  <c r="Z876" i="3" s="1"/>
  <c r="Z877" i="3" a="1"/>
  <c r="Z877" i="3" s="1"/>
  <c r="Z878" i="3" a="1"/>
  <c r="Z878" i="3" s="1"/>
  <c r="Z838" i="3" a="1"/>
  <c r="Z838" i="3" s="1"/>
  <c r="Z839" i="3" a="1"/>
  <c r="Z839" i="3" s="1"/>
  <c r="Z840" i="3" a="1"/>
  <c r="Z840" i="3" s="1"/>
  <c r="Z841" i="3" a="1"/>
  <c r="Z841" i="3" s="1"/>
  <c r="Z842" i="3" a="1"/>
  <c r="Z842" i="3" s="1"/>
  <c r="Z843" i="3" a="1"/>
  <c r="Z843" i="3" s="1"/>
  <c r="Z844" i="3" a="1"/>
  <c r="Z844" i="3" s="1"/>
  <c r="Z845" i="3" a="1"/>
  <c r="Z845" i="3" s="1"/>
  <c r="Z846" i="3" a="1"/>
  <c r="Z846" i="3" s="1"/>
  <c r="Z847" i="3" a="1"/>
  <c r="Z847" i="3" s="1"/>
  <c r="Z848" i="3" a="1"/>
  <c r="Z848" i="3" s="1"/>
  <c r="Z849" i="3" a="1"/>
  <c r="Z849" i="3" s="1"/>
  <c r="Z850" i="3" a="1"/>
  <c r="Z850" i="3" s="1"/>
  <c r="Z851" i="3" a="1"/>
  <c r="Z851" i="3" s="1"/>
  <c r="Z852" i="3" a="1"/>
  <c r="Z852" i="3" s="1"/>
  <c r="Z853" i="3" a="1"/>
  <c r="Z853" i="3" s="1"/>
  <c r="Z854" i="3" a="1"/>
  <c r="Z854" i="3" s="1"/>
  <c r="Z855" i="3" a="1"/>
  <c r="Z855" i="3" s="1"/>
  <c r="Z856" i="3" a="1"/>
  <c r="Z856" i="3" s="1"/>
  <c r="Z857" i="3" a="1"/>
  <c r="Z857" i="3" s="1"/>
  <c r="Z858" i="3" a="1"/>
  <c r="Z858" i="3" s="1"/>
  <c r="Z859" i="3" a="1"/>
  <c r="Z859" i="3" s="1"/>
  <c r="Z860" i="3" a="1"/>
  <c r="Z860" i="3" s="1"/>
  <c r="Z861" i="3" a="1"/>
  <c r="Z861" i="3" s="1"/>
  <c r="Z862" i="3" a="1"/>
  <c r="Z862" i="3" s="1"/>
  <c r="Z817" i="3" a="1"/>
  <c r="Z817" i="3" s="1"/>
  <c r="Z818" i="3" a="1"/>
  <c r="Z818" i="3" s="1"/>
  <c r="Z819" i="3" a="1"/>
  <c r="Z819" i="3" s="1"/>
  <c r="Z820" i="3" a="1"/>
  <c r="Z820" i="3" s="1"/>
  <c r="Z821" i="3" a="1"/>
  <c r="Z821" i="3" s="1"/>
  <c r="Z822" i="3" a="1"/>
  <c r="Z822" i="3" s="1"/>
  <c r="Z823" i="3" a="1"/>
  <c r="Z823" i="3" s="1"/>
  <c r="Z824" i="3" a="1"/>
  <c r="Z824" i="3" s="1"/>
  <c r="Z825" i="3" a="1"/>
  <c r="Z825" i="3" s="1"/>
  <c r="Z826" i="3" a="1"/>
  <c r="Z826" i="3" s="1"/>
  <c r="Z827" i="3" a="1"/>
  <c r="Z827" i="3" s="1"/>
  <c r="Z828" i="3" a="1"/>
  <c r="Z828" i="3" s="1"/>
  <c r="Z829" i="3" a="1"/>
  <c r="Z829" i="3" s="1"/>
  <c r="Z830" i="3" a="1"/>
  <c r="Z830" i="3" s="1"/>
  <c r="Z831" i="3" a="1"/>
  <c r="Z831" i="3" s="1"/>
  <c r="Z832" i="3" a="1"/>
  <c r="Z832" i="3" s="1"/>
  <c r="Z833" i="3" a="1"/>
  <c r="Z833" i="3" s="1"/>
  <c r="Z834" i="3" a="1"/>
  <c r="Z834" i="3" s="1"/>
  <c r="Z835" i="3" a="1"/>
  <c r="Z835" i="3" s="1"/>
  <c r="Z836" i="3" a="1"/>
  <c r="Z836" i="3" s="1"/>
  <c r="Z837" i="3" a="1"/>
  <c r="Z837" i="3" s="1"/>
  <c r="Z799" i="3" a="1"/>
  <c r="Z799" i="3" s="1"/>
  <c r="Z800" i="3" a="1"/>
  <c r="Z800" i="3" s="1"/>
  <c r="Z801" i="3" a="1"/>
  <c r="Z801" i="3" s="1"/>
  <c r="Z802" i="3" a="1"/>
  <c r="Z802" i="3" s="1"/>
  <c r="Z803" i="3" a="1"/>
  <c r="Z803" i="3" s="1"/>
  <c r="Z804" i="3" a="1"/>
  <c r="Z804" i="3" s="1"/>
  <c r="Z805" i="3" a="1"/>
  <c r="Z805" i="3" s="1"/>
  <c r="Z806" i="3" a="1"/>
  <c r="Z806" i="3" s="1"/>
  <c r="Z807" i="3" a="1"/>
  <c r="Z807" i="3" s="1"/>
  <c r="Z808" i="3" a="1"/>
  <c r="Z808" i="3" s="1"/>
  <c r="Z809" i="3" a="1"/>
  <c r="Z809" i="3" s="1"/>
  <c r="Z810" i="3" a="1"/>
  <c r="Z810" i="3" s="1"/>
  <c r="Z811" i="3" a="1"/>
  <c r="Z811" i="3" s="1"/>
  <c r="Z812" i="3" a="1"/>
  <c r="Z812" i="3" s="1"/>
  <c r="Z813" i="3" a="1"/>
  <c r="Z813" i="3" s="1"/>
  <c r="Z814" i="3" a="1"/>
  <c r="Z814" i="3" s="1"/>
  <c r="Z815" i="3" a="1"/>
  <c r="Z815" i="3" s="1"/>
  <c r="Z816" i="3" a="1"/>
  <c r="Z816" i="3" s="1"/>
  <c r="Z779" i="3" a="1"/>
  <c r="Z779" i="3" s="1"/>
  <c r="Z780" i="3" a="1"/>
  <c r="Z780" i="3" s="1"/>
  <c r="Z781" i="3" a="1"/>
  <c r="Z781" i="3" s="1"/>
  <c r="Z782" i="3" a="1"/>
  <c r="Z782" i="3" s="1"/>
  <c r="Z783" i="3" a="1"/>
  <c r="Z783" i="3" s="1"/>
  <c r="Z784" i="3" a="1"/>
  <c r="Z784" i="3" s="1"/>
  <c r="Z785" i="3" a="1"/>
  <c r="Z785" i="3" s="1"/>
  <c r="Z786" i="3" a="1"/>
  <c r="Z786" i="3" s="1"/>
  <c r="Z787" i="3" a="1"/>
  <c r="Z787" i="3" s="1"/>
  <c r="Z788" i="3" a="1"/>
  <c r="Z788" i="3" s="1"/>
  <c r="Z789" i="3" a="1"/>
  <c r="Z789" i="3" s="1"/>
  <c r="Z790" i="3" a="1"/>
  <c r="Z790" i="3" s="1"/>
  <c r="Z791" i="3" a="1"/>
  <c r="Z791" i="3" s="1"/>
  <c r="Z792" i="3" a="1"/>
  <c r="Z792" i="3" s="1"/>
  <c r="Z793" i="3" a="1"/>
  <c r="Z793" i="3" s="1"/>
  <c r="Z794" i="3" a="1"/>
  <c r="Z794" i="3" s="1"/>
  <c r="Z795" i="3" a="1"/>
  <c r="Z795" i="3" s="1"/>
  <c r="Z796" i="3" a="1"/>
  <c r="Z796" i="3" s="1"/>
  <c r="Z797" i="3" a="1"/>
  <c r="Z797" i="3" s="1"/>
  <c r="Z798" i="3" a="1"/>
  <c r="Z798" i="3" s="1"/>
  <c r="Z759" i="3" a="1"/>
  <c r="Z759" i="3" s="1"/>
  <c r="Z760" i="3" a="1"/>
  <c r="Z760" i="3" s="1"/>
  <c r="Z761" i="3" a="1"/>
  <c r="Z761" i="3" s="1"/>
  <c r="Z762" i="3" a="1"/>
  <c r="Z762" i="3" s="1"/>
  <c r="Z763" i="3" a="1"/>
  <c r="Z763" i="3" s="1"/>
  <c r="Z764" i="3" a="1"/>
  <c r="Z764" i="3" s="1"/>
  <c r="Z765" i="3" a="1"/>
  <c r="Z765" i="3" s="1"/>
  <c r="Z766" i="3" a="1"/>
  <c r="Z766" i="3" s="1"/>
  <c r="Z767" i="3" a="1"/>
  <c r="Z767" i="3" s="1"/>
  <c r="Z768" i="3" a="1"/>
  <c r="Z768" i="3" s="1"/>
  <c r="Z769" i="3" a="1"/>
  <c r="Z769" i="3" s="1"/>
  <c r="Z770" i="3" a="1"/>
  <c r="Z770" i="3" s="1"/>
  <c r="Z771" i="3" a="1"/>
  <c r="Z771" i="3" s="1"/>
  <c r="Z772" i="3" a="1"/>
  <c r="Z772" i="3" s="1"/>
  <c r="Z773" i="3" a="1"/>
  <c r="Z773" i="3" s="1"/>
  <c r="Z774" i="3" a="1"/>
  <c r="Z774" i="3" s="1"/>
  <c r="Z775" i="3" a="1"/>
  <c r="Z775" i="3" s="1"/>
  <c r="Z776" i="3" a="1"/>
  <c r="Z776" i="3" s="1"/>
  <c r="Z777" i="3" a="1"/>
  <c r="Z777" i="3" s="1"/>
  <c r="Z778" i="3" a="1"/>
  <c r="Z778" i="3" s="1"/>
  <c r="Z736" i="3" a="1"/>
  <c r="Z736" i="3" s="1"/>
  <c r="Z737" i="3" a="1"/>
  <c r="Z737" i="3" s="1"/>
  <c r="Z738" i="3" a="1"/>
  <c r="Z738" i="3" s="1"/>
  <c r="Z739" i="3" a="1"/>
  <c r="Z739" i="3" s="1"/>
  <c r="Z740" i="3" a="1"/>
  <c r="Z740" i="3" s="1"/>
  <c r="Z741" i="3" a="1"/>
  <c r="Z741" i="3" s="1"/>
  <c r="Z742" i="3" a="1"/>
  <c r="Z742" i="3" s="1"/>
  <c r="Z743" i="3" a="1"/>
  <c r="Z743" i="3" s="1"/>
  <c r="Z744" i="3" a="1"/>
  <c r="Z744" i="3" s="1"/>
  <c r="Z745" i="3" a="1"/>
  <c r="Z745" i="3" s="1"/>
  <c r="Z746" i="3" a="1"/>
  <c r="Z746" i="3" s="1"/>
  <c r="Z747" i="3" a="1"/>
  <c r="Z747" i="3" s="1"/>
  <c r="Z748" i="3" a="1"/>
  <c r="Z748" i="3" s="1"/>
  <c r="Z749" i="3" a="1"/>
  <c r="Z749" i="3" s="1"/>
  <c r="Z750" i="3" a="1"/>
  <c r="Z750" i="3" s="1"/>
  <c r="Z751" i="3" a="1"/>
  <c r="Z751" i="3" s="1"/>
  <c r="Z752" i="3" a="1"/>
  <c r="Z752" i="3" s="1"/>
  <c r="Z753" i="3" a="1"/>
  <c r="Z753" i="3" s="1"/>
  <c r="Z754" i="3" a="1"/>
  <c r="Z754" i="3" s="1"/>
  <c r="Z755" i="3" a="1"/>
  <c r="Z755" i="3" s="1"/>
  <c r="Z756" i="3" a="1"/>
  <c r="Z756" i="3" s="1"/>
  <c r="Z757" i="3" a="1"/>
  <c r="Z757" i="3" s="1"/>
  <c r="Z758" i="3" a="1"/>
  <c r="Z758" i="3" s="1"/>
  <c r="Z715" i="3" a="1"/>
  <c r="Z715" i="3" s="1"/>
  <c r="Z716" i="3" a="1"/>
  <c r="Z716" i="3" s="1"/>
  <c r="Z717" i="3" a="1"/>
  <c r="Z717" i="3" s="1"/>
  <c r="Z718" i="3" a="1"/>
  <c r="Z718" i="3" s="1"/>
  <c r="Z719" i="3" a="1"/>
  <c r="Z719" i="3" s="1"/>
  <c r="Z720" i="3" a="1"/>
  <c r="Z720" i="3" s="1"/>
  <c r="Z721" i="3" a="1"/>
  <c r="Z721" i="3" s="1"/>
  <c r="Z722" i="3" a="1"/>
  <c r="Z722" i="3" s="1"/>
  <c r="Z723" i="3" a="1"/>
  <c r="Z723" i="3" s="1"/>
  <c r="Z724" i="3" a="1"/>
  <c r="Z724" i="3" s="1"/>
  <c r="Z725" i="3" a="1"/>
  <c r="Z725" i="3" s="1"/>
  <c r="Z726" i="3" a="1"/>
  <c r="Z726" i="3" s="1"/>
  <c r="Z727" i="3" a="1"/>
  <c r="Z727" i="3" s="1"/>
  <c r="Z728" i="3" a="1"/>
  <c r="Z728" i="3" s="1"/>
  <c r="Z729" i="3" a="1"/>
  <c r="Z729" i="3" s="1"/>
  <c r="Z730" i="3" a="1"/>
  <c r="Z730" i="3" s="1"/>
  <c r="Z731" i="3" a="1"/>
  <c r="Z731" i="3" s="1"/>
  <c r="Z732" i="3" a="1"/>
  <c r="Z732" i="3" s="1"/>
  <c r="Z733" i="3" a="1"/>
  <c r="Z733" i="3" s="1"/>
  <c r="Z734" i="3" a="1"/>
  <c r="Z734" i="3" s="1"/>
  <c r="Z735" i="3" a="1"/>
  <c r="Z735" i="3" s="1"/>
  <c r="Z697" i="3" a="1"/>
  <c r="Z697" i="3" s="1"/>
  <c r="Z698" i="3" a="1"/>
  <c r="Z698" i="3" s="1"/>
  <c r="Z699" i="3" a="1"/>
  <c r="Z699" i="3" s="1"/>
  <c r="Z700" i="3" a="1"/>
  <c r="Z700" i="3" s="1"/>
  <c r="Z701" i="3" a="1"/>
  <c r="Z701" i="3" s="1"/>
  <c r="Z702" i="3" a="1"/>
  <c r="Z702" i="3" s="1"/>
  <c r="Z703" i="3" a="1"/>
  <c r="Z703" i="3" s="1"/>
  <c r="Z704" i="3" a="1"/>
  <c r="Z704" i="3" s="1"/>
  <c r="Z705" i="3" a="1"/>
  <c r="Z705" i="3" s="1"/>
  <c r="Z706" i="3" a="1"/>
  <c r="Z706" i="3" s="1"/>
  <c r="Z707" i="3" a="1"/>
  <c r="Z707" i="3" s="1"/>
  <c r="Z708" i="3" a="1"/>
  <c r="Z708" i="3" s="1"/>
  <c r="Z709" i="3" a="1"/>
  <c r="Z709" i="3" s="1"/>
  <c r="Z710" i="3" a="1"/>
  <c r="Z710" i="3" s="1"/>
  <c r="Z711" i="3" a="1"/>
  <c r="Z711" i="3" s="1"/>
  <c r="Z712" i="3" a="1"/>
  <c r="Z712" i="3" s="1"/>
  <c r="Z713" i="3" a="1"/>
  <c r="Z713" i="3" s="1"/>
  <c r="Z714" i="3" a="1"/>
  <c r="Z714" i="3" s="1"/>
  <c r="Z681" i="3" a="1"/>
  <c r="Z681" i="3" s="1"/>
  <c r="Z682" i="3" a="1"/>
  <c r="Z682" i="3" s="1"/>
  <c r="Z683" i="3" a="1"/>
  <c r="Z683" i="3" s="1"/>
  <c r="Z684" i="3" a="1"/>
  <c r="Z684" i="3" s="1"/>
  <c r="Z685" i="3" a="1"/>
  <c r="Z685" i="3" s="1"/>
  <c r="Z686" i="3" a="1"/>
  <c r="Z686" i="3" s="1"/>
  <c r="Z687" i="3" a="1"/>
  <c r="Z687" i="3" s="1"/>
  <c r="Z688" i="3" a="1"/>
  <c r="Z688" i="3" s="1"/>
  <c r="Z689" i="3" a="1"/>
  <c r="Z689" i="3" s="1"/>
  <c r="Z690" i="3" a="1"/>
  <c r="Z690" i="3" s="1"/>
  <c r="Z691" i="3" a="1"/>
  <c r="Z691" i="3" s="1"/>
  <c r="Z692" i="3" a="1"/>
  <c r="Z692" i="3" s="1"/>
  <c r="Z693" i="3" a="1"/>
  <c r="Z693" i="3" s="1"/>
  <c r="Z694" i="3" a="1"/>
  <c r="Z694" i="3" s="1"/>
  <c r="Z695" i="3" a="1"/>
  <c r="Z695" i="3" s="1"/>
  <c r="Z696" i="3" a="1"/>
  <c r="Z696" i="3" s="1"/>
  <c r="Z661" i="3" a="1"/>
  <c r="Z661" i="3" s="1"/>
  <c r="Z662" i="3" a="1"/>
  <c r="Z662" i="3" s="1"/>
  <c r="Z663" i="3" a="1"/>
  <c r="Z663" i="3" s="1"/>
  <c r="Z664" i="3" a="1"/>
  <c r="Z664" i="3" s="1"/>
  <c r="Z665" i="3" a="1"/>
  <c r="Z665" i="3" s="1"/>
  <c r="Z666" i="3" a="1"/>
  <c r="Z666" i="3" s="1"/>
  <c r="Z667" i="3" a="1"/>
  <c r="Z667" i="3" s="1"/>
  <c r="Z668" i="3" a="1"/>
  <c r="Z668" i="3" s="1"/>
  <c r="Z669" i="3" a="1"/>
  <c r="Z669" i="3" s="1"/>
  <c r="Z670" i="3" a="1"/>
  <c r="Z670" i="3" s="1"/>
  <c r="Z671" i="3" a="1"/>
  <c r="Z671" i="3" s="1"/>
  <c r="Z672" i="3" a="1"/>
  <c r="Z672" i="3" s="1"/>
  <c r="Z673" i="3" a="1"/>
  <c r="Z673" i="3" s="1"/>
  <c r="Z674" i="3" a="1"/>
  <c r="Z674" i="3" s="1"/>
  <c r="Z675" i="3" a="1"/>
  <c r="Z675" i="3" s="1"/>
  <c r="Z676" i="3" a="1"/>
  <c r="Z676" i="3" s="1"/>
  <c r="Z677" i="3" a="1"/>
  <c r="Z677" i="3" s="1"/>
  <c r="Z678" i="3" a="1"/>
  <c r="Z678" i="3" s="1"/>
  <c r="Z679" i="3" a="1"/>
  <c r="Z679" i="3" s="1"/>
  <c r="Z680" i="3" a="1"/>
  <c r="Z680" i="3" s="1"/>
  <c r="Z645" i="3" a="1"/>
  <c r="Z645" i="3" s="1"/>
  <c r="Z646" i="3" a="1"/>
  <c r="Z646" i="3" s="1"/>
  <c r="Z647" i="3" a="1"/>
  <c r="Z647" i="3" s="1"/>
  <c r="Z648" i="3" a="1"/>
  <c r="Z648" i="3" s="1"/>
  <c r="Z649" i="3" a="1"/>
  <c r="Z649" i="3" s="1"/>
  <c r="Z650" i="3" a="1"/>
  <c r="Z650" i="3" s="1"/>
  <c r="Z651" i="3" a="1"/>
  <c r="Z651" i="3" s="1"/>
  <c r="Z652" i="3" a="1"/>
  <c r="Z652" i="3" s="1"/>
  <c r="Z653" i="3" a="1"/>
  <c r="Z653" i="3" s="1"/>
  <c r="Z654" i="3" a="1"/>
  <c r="Z654" i="3" s="1"/>
  <c r="Z655" i="3" a="1"/>
  <c r="Z655" i="3" s="1"/>
  <c r="Z656" i="3" a="1"/>
  <c r="Z656" i="3" s="1"/>
  <c r="Z657" i="3" a="1"/>
  <c r="Z657" i="3" s="1"/>
  <c r="Z658" i="3" a="1"/>
  <c r="Z658" i="3" s="1"/>
  <c r="Z659" i="3" a="1"/>
  <c r="Z659" i="3" s="1"/>
  <c r="Z660" i="3" a="1"/>
  <c r="Z660" i="3" s="1"/>
  <c r="Z629" i="3" a="1"/>
  <c r="Z629" i="3" s="1"/>
  <c r="Z630" i="3" a="1"/>
  <c r="Z630" i="3" s="1"/>
  <c r="Z631" i="3" a="1"/>
  <c r="Z631" i="3" s="1"/>
  <c r="Z632" i="3" a="1"/>
  <c r="Z632" i="3" s="1"/>
  <c r="Z633" i="3" a="1"/>
  <c r="Z633" i="3" s="1"/>
  <c r="Z634" i="3" a="1"/>
  <c r="Z634" i="3" s="1"/>
  <c r="Z635" i="3" a="1"/>
  <c r="Z635" i="3" s="1"/>
  <c r="Z636" i="3" a="1"/>
  <c r="Z636" i="3" s="1"/>
  <c r="Z637" i="3" a="1"/>
  <c r="Z637" i="3" s="1"/>
  <c r="Z638" i="3" a="1"/>
  <c r="Z638" i="3" s="1"/>
  <c r="Z639" i="3" a="1"/>
  <c r="Z639" i="3" s="1"/>
  <c r="Z640" i="3" a="1"/>
  <c r="Z640" i="3" s="1"/>
  <c r="Z641" i="3" a="1"/>
  <c r="Z641" i="3" s="1"/>
  <c r="Z642" i="3" a="1"/>
  <c r="Z642" i="3" s="1"/>
  <c r="Z643" i="3" a="1"/>
  <c r="Z643" i="3" s="1"/>
  <c r="Z644" i="3" a="1"/>
  <c r="Z644" i="3" s="1"/>
  <c r="Z603" i="3" a="1"/>
  <c r="Z603" i="3" s="1"/>
  <c r="Z604" i="3" a="1"/>
  <c r="Z604" i="3" s="1"/>
  <c r="Z605" i="3" a="1"/>
  <c r="Z605" i="3" s="1"/>
  <c r="Z606" i="3" a="1"/>
  <c r="Z606" i="3" s="1"/>
  <c r="Z607" i="3" a="1"/>
  <c r="Z607" i="3" s="1"/>
  <c r="Z608" i="3" a="1"/>
  <c r="Z608" i="3" s="1"/>
  <c r="Z609" i="3" a="1"/>
  <c r="Z609" i="3" s="1"/>
  <c r="Z610" i="3" a="1"/>
  <c r="Z610" i="3" s="1"/>
  <c r="Z611" i="3" a="1"/>
  <c r="Z611" i="3" s="1"/>
  <c r="Z612" i="3" a="1"/>
  <c r="Z612" i="3" s="1"/>
  <c r="Z613" i="3" a="1"/>
  <c r="Z613" i="3" s="1"/>
  <c r="Z614" i="3" a="1"/>
  <c r="Z614" i="3" s="1"/>
  <c r="Z615" i="3" a="1"/>
  <c r="Z615" i="3" s="1"/>
  <c r="Z616" i="3" a="1"/>
  <c r="Z616" i="3" s="1"/>
  <c r="Z617" i="3" a="1"/>
  <c r="Z617" i="3" s="1"/>
  <c r="Z618" i="3" a="1"/>
  <c r="Z618" i="3" s="1"/>
  <c r="Z619" i="3" a="1"/>
  <c r="Z619" i="3" s="1"/>
  <c r="Z620" i="3" a="1"/>
  <c r="Z620" i="3" s="1"/>
  <c r="Z621" i="3" a="1"/>
  <c r="Z621" i="3" s="1"/>
  <c r="Z622" i="3" a="1"/>
  <c r="Z622" i="3" s="1"/>
  <c r="Z623" i="3" a="1"/>
  <c r="Z623" i="3" s="1"/>
  <c r="Z624" i="3" a="1"/>
  <c r="Z624" i="3" s="1"/>
  <c r="Z625" i="3" a="1"/>
  <c r="Z625" i="3" s="1"/>
  <c r="Z626" i="3" a="1"/>
  <c r="Z626" i="3" s="1"/>
  <c r="Z627" i="3" a="1"/>
  <c r="Z627" i="3" s="1"/>
  <c r="Z628" i="3" a="1"/>
  <c r="Z628" i="3" s="1"/>
  <c r="Z564" i="3" a="1"/>
  <c r="Z564" i="3" s="1"/>
  <c r="Z565" i="3" a="1"/>
  <c r="Z565" i="3" s="1"/>
  <c r="Z566" i="3" a="1"/>
  <c r="Z566" i="3" s="1"/>
  <c r="Z567" i="3" a="1"/>
  <c r="Z567" i="3" s="1"/>
  <c r="Z568" i="3" a="1"/>
  <c r="Z568" i="3" s="1"/>
  <c r="Z569" i="3" a="1"/>
  <c r="Z569" i="3" s="1"/>
  <c r="Z570" i="3" a="1"/>
  <c r="Z570" i="3" s="1"/>
  <c r="Z571" i="3" a="1"/>
  <c r="Z571" i="3" s="1"/>
  <c r="Z572" i="3" a="1"/>
  <c r="Z572" i="3" s="1"/>
  <c r="Z573" i="3" a="1"/>
  <c r="Z573" i="3" s="1"/>
  <c r="Z574" i="3" a="1"/>
  <c r="Z574" i="3" s="1"/>
  <c r="Z575" i="3" a="1"/>
  <c r="Z575" i="3" s="1"/>
  <c r="Z576" i="3" a="1"/>
  <c r="Z576" i="3" s="1"/>
  <c r="Z577" i="3" a="1"/>
  <c r="Z577" i="3" s="1"/>
  <c r="Z578" i="3" a="1"/>
  <c r="Z578" i="3" s="1"/>
  <c r="Z579" i="3" a="1"/>
  <c r="Z579" i="3" s="1"/>
  <c r="Z580" i="3" a="1"/>
  <c r="Z580" i="3" s="1"/>
  <c r="Z581" i="3" a="1"/>
  <c r="Z581" i="3" s="1"/>
  <c r="Z582" i="3" a="1"/>
  <c r="Z582" i="3" s="1"/>
  <c r="Z583" i="3" a="1"/>
  <c r="Z583" i="3" s="1"/>
  <c r="Z584" i="3" a="1"/>
  <c r="Z584" i="3" s="1"/>
  <c r="Z585" i="3" a="1"/>
  <c r="Z585" i="3" s="1"/>
  <c r="Z586" i="3" a="1"/>
  <c r="Z586" i="3" s="1"/>
  <c r="Z587" i="3" a="1"/>
  <c r="Z587" i="3" s="1"/>
  <c r="Z588" i="3" a="1"/>
  <c r="Z588" i="3" s="1"/>
  <c r="Z589" i="3" a="1"/>
  <c r="Z589" i="3" s="1"/>
  <c r="Z590" i="3" a="1"/>
  <c r="Z590" i="3" s="1"/>
  <c r="Z591" i="3" a="1"/>
  <c r="Z591" i="3" s="1"/>
  <c r="Z592" i="3" a="1"/>
  <c r="Z592" i="3" s="1"/>
  <c r="Z593" i="3" a="1"/>
  <c r="Z593" i="3" s="1"/>
  <c r="Z594" i="3" a="1"/>
  <c r="Z594" i="3" s="1"/>
  <c r="Z595" i="3" a="1"/>
  <c r="Z595" i="3" s="1"/>
  <c r="Z596" i="3" a="1"/>
  <c r="Z596" i="3" s="1"/>
  <c r="Z597" i="3" a="1"/>
  <c r="Z597" i="3" s="1"/>
  <c r="Z598" i="3" a="1"/>
  <c r="Z598" i="3" s="1"/>
  <c r="Z599" i="3" a="1"/>
  <c r="Z599" i="3" s="1"/>
  <c r="Z600" i="3" a="1"/>
  <c r="Z600" i="3" s="1"/>
  <c r="Z601" i="3" a="1"/>
  <c r="Z601" i="3" s="1"/>
  <c r="Z602" i="3" a="1"/>
  <c r="Z602" i="3" s="1"/>
  <c r="Z546" i="3" a="1"/>
  <c r="Z546" i="3" s="1"/>
  <c r="Z547" i="3" a="1"/>
  <c r="Z547" i="3" s="1"/>
  <c r="Z548" i="3" a="1"/>
  <c r="Z548" i="3" s="1"/>
  <c r="Z549" i="3" a="1"/>
  <c r="Z549" i="3" s="1"/>
  <c r="Z550" i="3" a="1"/>
  <c r="Z550" i="3" s="1"/>
  <c r="Z551" i="3" a="1"/>
  <c r="Z551" i="3" s="1"/>
  <c r="Z552" i="3" a="1"/>
  <c r="Z552" i="3" s="1"/>
  <c r="Z553" i="3" a="1"/>
  <c r="Z553" i="3" s="1"/>
  <c r="Z554" i="3" a="1"/>
  <c r="Z554" i="3" s="1"/>
  <c r="Z555" i="3" a="1"/>
  <c r="Z555" i="3" s="1"/>
  <c r="Z556" i="3" a="1"/>
  <c r="Z556" i="3" s="1"/>
  <c r="Z557" i="3" a="1"/>
  <c r="Z557" i="3" s="1"/>
  <c r="Z558" i="3" a="1"/>
  <c r="Z558" i="3" s="1"/>
  <c r="Z559" i="3" a="1"/>
  <c r="Z559" i="3" s="1"/>
  <c r="Z560" i="3" a="1"/>
  <c r="Z560" i="3" s="1"/>
  <c r="Z561" i="3" a="1"/>
  <c r="Z561" i="3" s="1"/>
  <c r="Z562" i="3" a="1"/>
  <c r="Z562" i="3" s="1"/>
  <c r="Z563" i="3" a="1"/>
  <c r="Z563" i="3" s="1"/>
  <c r="Z527" i="3" a="1"/>
  <c r="Z527" i="3"/>
  <c r="Z528" i="3" a="1"/>
  <c r="Z528" i="3" s="1"/>
  <c r="Z529" i="3" a="1"/>
  <c r="Z529" i="3" s="1"/>
  <c r="Z530" i="3" a="1"/>
  <c r="Z530" i="3" s="1"/>
  <c r="Z531" i="3" a="1"/>
  <c r="Z531" i="3" s="1"/>
  <c r="Z532" i="3" a="1"/>
  <c r="Z532" i="3" s="1"/>
  <c r="Z533" i="3" a="1"/>
  <c r="Z533" i="3" s="1"/>
  <c r="Z534" i="3" a="1"/>
  <c r="Z534" i="3" s="1"/>
  <c r="Z535" i="3" a="1"/>
  <c r="Z535" i="3" s="1"/>
  <c r="Z536" i="3" a="1"/>
  <c r="Z536" i="3" s="1"/>
  <c r="Z537" i="3" a="1"/>
  <c r="Z537" i="3" s="1"/>
  <c r="Z538" i="3" a="1"/>
  <c r="Z538" i="3" s="1"/>
  <c r="Z539" i="3" a="1"/>
  <c r="Z539" i="3" s="1"/>
  <c r="Z540" i="3" a="1"/>
  <c r="Z540" i="3" s="1"/>
  <c r="Z541" i="3" a="1"/>
  <c r="Z541" i="3" s="1"/>
  <c r="Z542" i="3" a="1"/>
  <c r="Z542" i="3" s="1"/>
  <c r="Z543" i="3" a="1"/>
  <c r="Z543" i="3" s="1"/>
  <c r="Z544" i="3" a="1"/>
  <c r="Z544" i="3" s="1"/>
  <c r="Z545" i="3" a="1"/>
  <c r="Z545" i="3" s="1"/>
  <c r="Z492" i="3" a="1"/>
  <c r="Z492" i="3" s="1"/>
  <c r="Z493" i="3" a="1"/>
  <c r="Z493" i="3" s="1"/>
  <c r="Z494" i="3" a="1"/>
  <c r="Z494" i="3" s="1"/>
  <c r="Z495" i="3" a="1"/>
  <c r="Z495" i="3" s="1"/>
  <c r="Z496" i="3" a="1"/>
  <c r="Z496" i="3" s="1"/>
  <c r="Z497" i="3" a="1"/>
  <c r="Z497" i="3" s="1"/>
  <c r="Z498" i="3" a="1"/>
  <c r="Z498" i="3" s="1"/>
  <c r="Z499" i="3" a="1"/>
  <c r="Z499" i="3" s="1"/>
  <c r="Z500" i="3" a="1"/>
  <c r="Z500" i="3" s="1"/>
  <c r="Z501" i="3" a="1"/>
  <c r="Z501" i="3" s="1"/>
  <c r="Z502" i="3" a="1"/>
  <c r="Z502" i="3" s="1"/>
  <c r="Z503" i="3" a="1"/>
  <c r="Z503" i="3" s="1"/>
  <c r="Z504" i="3" a="1"/>
  <c r="Z504" i="3" s="1"/>
  <c r="Z505" i="3" a="1"/>
  <c r="Z505" i="3" s="1"/>
  <c r="Z506" i="3" a="1"/>
  <c r="Z506" i="3" s="1"/>
  <c r="Z507" i="3" a="1"/>
  <c r="Z507" i="3" s="1"/>
  <c r="Z508" i="3" a="1"/>
  <c r="Z508" i="3" s="1"/>
  <c r="Z509" i="3" a="1"/>
  <c r="Z509" i="3" s="1"/>
  <c r="Z510" i="3" a="1"/>
  <c r="Z510" i="3" s="1"/>
  <c r="Z511" i="3" a="1"/>
  <c r="Z511" i="3" s="1"/>
  <c r="Z512" i="3" a="1"/>
  <c r="Z512" i="3" s="1"/>
  <c r="Z513" i="3" a="1"/>
  <c r="Z513" i="3" s="1"/>
  <c r="Z514" i="3" a="1"/>
  <c r="Z514" i="3" s="1"/>
  <c r="Z515" i="3" a="1"/>
  <c r="Z515" i="3" s="1"/>
  <c r="Z516" i="3" a="1"/>
  <c r="Z516" i="3" s="1"/>
  <c r="Z517" i="3" a="1"/>
  <c r="Z517" i="3" s="1"/>
  <c r="Z518" i="3" a="1"/>
  <c r="Z518" i="3" s="1"/>
  <c r="Z519" i="3" a="1"/>
  <c r="Z519" i="3" s="1"/>
  <c r="Z520" i="3" a="1"/>
  <c r="Z520" i="3" s="1"/>
  <c r="Z521" i="3" a="1"/>
  <c r="Z521" i="3" s="1"/>
  <c r="Z522" i="3" a="1"/>
  <c r="Z522" i="3" s="1"/>
  <c r="Z523" i="3" a="1"/>
  <c r="Z523" i="3" s="1"/>
  <c r="Z524" i="3" a="1"/>
  <c r="Z524" i="3" s="1"/>
  <c r="Z525" i="3" a="1"/>
  <c r="Z525" i="3" s="1"/>
  <c r="Z526" i="3" a="1"/>
  <c r="Z526" i="3" s="1"/>
  <c r="Z476" i="3" a="1"/>
  <c r="Z476" i="3" s="1"/>
  <c r="Z477" i="3" a="1"/>
  <c r="Z477" i="3" s="1"/>
  <c r="Z478" i="3" a="1"/>
  <c r="Z478" i="3" s="1"/>
  <c r="Z479" i="3" a="1"/>
  <c r="Z479" i="3" s="1"/>
  <c r="Z480" i="3" a="1"/>
  <c r="Z480" i="3" s="1"/>
  <c r="Z481" i="3" a="1"/>
  <c r="Z481" i="3" s="1"/>
  <c r="Z482" i="3" a="1"/>
  <c r="Z482" i="3" s="1"/>
  <c r="Z483" i="3" a="1"/>
  <c r="Z483" i="3" s="1"/>
  <c r="Z484" i="3" a="1"/>
  <c r="Z484" i="3" s="1"/>
  <c r="Z485" i="3" a="1"/>
  <c r="Z485" i="3" s="1"/>
  <c r="Z462" i="3" a="1"/>
  <c r="Z462" i="3" s="1"/>
  <c r="Z463" i="3" a="1"/>
  <c r="Z463" i="3" s="1"/>
  <c r="Z464" i="3" a="1"/>
  <c r="Z464" i="3" s="1"/>
  <c r="Z465" i="3" a="1"/>
  <c r="Z465" i="3" s="1"/>
  <c r="Z466" i="3" a="1"/>
  <c r="Z466" i="3" s="1"/>
  <c r="Z467" i="3" a="1"/>
  <c r="Z467" i="3" s="1"/>
  <c r="Z468" i="3" a="1"/>
  <c r="Z468" i="3" s="1"/>
  <c r="Z469" i="3" a="1"/>
  <c r="Z469" i="3" s="1"/>
  <c r="Z470" i="3" a="1"/>
  <c r="Z470" i="3" s="1"/>
  <c r="Z471" i="3" a="1"/>
  <c r="Z471" i="3" s="1"/>
  <c r="Z472" i="3" a="1"/>
  <c r="Z472" i="3" s="1"/>
  <c r="Z473" i="3" a="1"/>
  <c r="Z473" i="3" s="1"/>
  <c r="Z474" i="3" a="1"/>
  <c r="Z474" i="3" s="1"/>
  <c r="Z475" i="3" a="1"/>
  <c r="Z475" i="3" s="1"/>
  <c r="Z446" i="3" a="1"/>
  <c r="Z446" i="3" s="1"/>
  <c r="Z447" i="3" a="1"/>
  <c r="Z447" i="3" s="1"/>
  <c r="Z448" i="3" a="1"/>
  <c r="Z448" i="3" s="1"/>
  <c r="Z449" i="3" a="1"/>
  <c r="Z449" i="3" s="1"/>
  <c r="Z450" i="3" a="1"/>
  <c r="Z450" i="3" s="1"/>
  <c r="Z451" i="3" a="1"/>
  <c r="Z451" i="3" s="1"/>
  <c r="Z452" i="3" a="1"/>
  <c r="Z452" i="3" s="1"/>
  <c r="Z453" i="3" a="1"/>
  <c r="Z453" i="3" s="1"/>
  <c r="Z454" i="3" a="1"/>
  <c r="Z454" i="3" s="1"/>
  <c r="Z455" i="3" a="1"/>
  <c r="Z455" i="3" s="1"/>
  <c r="Z456" i="3" a="1"/>
  <c r="Z456" i="3" s="1"/>
  <c r="Z457" i="3" a="1"/>
  <c r="Z457" i="3" s="1"/>
  <c r="Z458" i="3" a="1"/>
  <c r="Z458" i="3" s="1"/>
  <c r="Z459" i="3" a="1"/>
  <c r="Z459" i="3" s="1"/>
  <c r="Z460" i="3" a="1"/>
  <c r="Z460" i="3" s="1"/>
  <c r="Z461" i="3" a="1"/>
  <c r="Z461" i="3" s="1"/>
  <c r="Z372" i="3" a="1"/>
  <c r="Z372" i="3" s="1"/>
  <c r="Z373" i="3" a="1"/>
  <c r="Z373" i="3" s="1"/>
  <c r="Z374" i="3" a="1"/>
  <c r="Z374" i="3" s="1"/>
  <c r="Z375" i="3" a="1"/>
  <c r="Z375" i="3" s="1"/>
  <c r="Z376" i="3" a="1"/>
  <c r="Z376" i="3" s="1"/>
  <c r="Z377" i="3" a="1"/>
  <c r="Z377" i="3" s="1"/>
  <c r="Z378" i="3" a="1"/>
  <c r="Z378" i="3" s="1"/>
  <c r="Z379" i="3" a="1"/>
  <c r="Z379" i="3" s="1"/>
  <c r="Z380" i="3" a="1"/>
  <c r="Z380" i="3" s="1"/>
  <c r="Z381" i="3" a="1"/>
  <c r="Z381" i="3" s="1"/>
  <c r="Z382" i="3" a="1"/>
  <c r="Z382" i="3" s="1"/>
  <c r="Z383" i="3" a="1"/>
  <c r="Z383" i="3" s="1"/>
  <c r="Z384" i="3" a="1"/>
  <c r="Z384" i="3" s="1"/>
  <c r="Z385" i="3" a="1"/>
  <c r="Z385" i="3" s="1"/>
  <c r="Z386" i="3" a="1"/>
  <c r="Z386" i="3" s="1"/>
  <c r="Z387" i="3" a="1"/>
  <c r="Z387" i="3" s="1"/>
  <c r="Z388" i="3" a="1"/>
  <c r="Z388" i="3" s="1"/>
  <c r="Z389" i="3" a="1"/>
  <c r="Z389" i="3" s="1"/>
  <c r="Z390" i="3" a="1"/>
  <c r="Z390" i="3" s="1"/>
  <c r="Z391" i="3" a="1"/>
  <c r="Z391" i="3" s="1"/>
  <c r="Z392" i="3" a="1"/>
  <c r="Z392" i="3" s="1"/>
  <c r="Z393" i="3" a="1"/>
  <c r="Z393" i="3" s="1"/>
  <c r="Z394" i="3" a="1"/>
  <c r="Z394" i="3" s="1"/>
  <c r="Z395" i="3" a="1"/>
  <c r="Z395" i="3" s="1"/>
  <c r="Z396" i="3" a="1"/>
  <c r="Z396" i="3" s="1"/>
  <c r="Z397" i="3" a="1"/>
  <c r="Z397" i="3" s="1"/>
  <c r="Z398" i="3" a="1"/>
  <c r="Z398" i="3" s="1"/>
  <c r="Z399" i="3" a="1"/>
  <c r="Z399" i="3" s="1"/>
  <c r="Z400" i="3" a="1"/>
  <c r="Z400" i="3" s="1"/>
  <c r="Z401" i="3" a="1"/>
  <c r="Z401" i="3" s="1"/>
  <c r="Z402" i="3" a="1"/>
  <c r="Z402" i="3" s="1"/>
  <c r="Z403" i="3" a="1"/>
  <c r="Z403" i="3" s="1"/>
  <c r="Z404" i="3" a="1"/>
  <c r="Z404" i="3" s="1"/>
  <c r="Z405" i="3" a="1"/>
  <c r="Z405" i="3" s="1"/>
  <c r="Z406" i="3" a="1"/>
  <c r="Z406" i="3" s="1"/>
  <c r="Z407" i="3" a="1"/>
  <c r="Z407" i="3" s="1"/>
  <c r="Z408" i="3" a="1"/>
  <c r="Z408" i="3" s="1"/>
  <c r="Z409" i="3" a="1"/>
  <c r="Z409" i="3" s="1"/>
  <c r="Z410" i="3" a="1"/>
  <c r="Z410" i="3" s="1"/>
  <c r="Z411" i="3" a="1"/>
  <c r="Z411" i="3" s="1"/>
  <c r="Z412" i="3" a="1"/>
  <c r="Z412" i="3" s="1"/>
  <c r="Z413" i="3" a="1"/>
  <c r="Z413" i="3" s="1"/>
  <c r="Z414" i="3" a="1"/>
  <c r="Z414" i="3" s="1"/>
  <c r="Z415" i="3" a="1"/>
  <c r="Z415" i="3" s="1"/>
  <c r="Z416" i="3" a="1"/>
  <c r="Z416" i="3" s="1"/>
  <c r="Z417" i="3" a="1"/>
  <c r="Z417" i="3" s="1"/>
  <c r="Z418" i="3" a="1"/>
  <c r="Z418" i="3" s="1"/>
  <c r="Z419" i="3" a="1"/>
  <c r="Z419" i="3" s="1"/>
  <c r="Z420" i="3" a="1"/>
  <c r="Z420" i="3" s="1"/>
  <c r="Z421" i="3" a="1"/>
  <c r="Z421" i="3" s="1"/>
  <c r="Z422" i="3" a="1"/>
  <c r="Z422" i="3" s="1"/>
  <c r="Z423" i="3" a="1"/>
  <c r="Z423" i="3" s="1"/>
  <c r="Z424" i="3" a="1"/>
  <c r="Z424" i="3" s="1"/>
  <c r="Z425" i="3" a="1"/>
  <c r="Z425" i="3" s="1"/>
  <c r="Z426" i="3" a="1"/>
  <c r="Z426" i="3" s="1"/>
  <c r="Z427" i="3" a="1"/>
  <c r="Z427" i="3" s="1"/>
  <c r="Z428" i="3" a="1"/>
  <c r="Z428" i="3" s="1"/>
  <c r="Z429" i="3" a="1"/>
  <c r="Z429" i="3" s="1"/>
  <c r="Z430" i="3" a="1"/>
  <c r="Z430" i="3" s="1"/>
  <c r="Z431" i="3" a="1"/>
  <c r="Z431" i="3" s="1"/>
  <c r="Z432" i="3" a="1"/>
  <c r="Z432" i="3" s="1"/>
  <c r="Z433" i="3" a="1"/>
  <c r="Z433" i="3" s="1"/>
  <c r="Z434" i="3" a="1"/>
  <c r="Z434" i="3" s="1"/>
  <c r="Z435" i="3" a="1"/>
  <c r="Z435" i="3" s="1"/>
  <c r="Z436" i="3" a="1"/>
  <c r="Z436" i="3" s="1"/>
  <c r="Z437" i="3" a="1"/>
  <c r="Z437" i="3" s="1"/>
  <c r="Z438" i="3" a="1"/>
  <c r="Z438" i="3" s="1"/>
  <c r="Z439" i="3" a="1"/>
  <c r="Z439" i="3" s="1"/>
  <c r="Z440" i="3" a="1"/>
  <c r="Z440" i="3" s="1"/>
  <c r="Z441" i="3" a="1"/>
  <c r="Z441" i="3" s="1"/>
  <c r="Z442" i="3" a="1"/>
  <c r="Z442" i="3" s="1"/>
  <c r="Z443" i="3" a="1"/>
  <c r="Z443" i="3" s="1"/>
  <c r="Z444" i="3" a="1"/>
  <c r="Z444" i="3" s="1"/>
  <c r="Z445" i="3" a="1"/>
  <c r="Z445" i="3" s="1"/>
  <c r="Z365" i="3" a="1"/>
  <c r="Z365" i="3" s="1"/>
  <c r="Z356" i="3" a="1"/>
  <c r="Z356" i="3" s="1"/>
  <c r="Z357" i="3" a="1"/>
  <c r="Z357" i="3" s="1"/>
  <c r="Z358" i="3" a="1"/>
  <c r="Z358" i="3" s="1"/>
  <c r="Z359" i="3" a="1"/>
  <c r="Z359" i="3" s="1"/>
  <c r="Z360" i="3" a="1"/>
  <c r="Z360" i="3" s="1"/>
  <c r="Z361" i="3" a="1"/>
  <c r="Z361" i="3" s="1"/>
  <c r="Z362" i="3" a="1"/>
  <c r="Z362" i="3" s="1"/>
  <c r="Z363" i="3" a="1"/>
  <c r="Z363" i="3" s="1"/>
  <c r="Z364" i="3" a="1"/>
  <c r="Z364" i="3" s="1"/>
  <c r="Z366" i="3" a="1"/>
  <c r="Z366" i="3" s="1"/>
  <c r="Z367" i="3" a="1"/>
  <c r="Z367" i="3" s="1"/>
  <c r="Z368" i="3" a="1"/>
  <c r="Z368" i="3" s="1"/>
  <c r="Z369" i="3" a="1"/>
  <c r="Z369" i="3" s="1"/>
  <c r="Z370" i="3" a="1"/>
  <c r="Z370" i="3" s="1"/>
  <c r="Z371" i="3" a="1"/>
  <c r="Z371" i="3" s="1"/>
  <c r="Z340" i="3" a="1"/>
  <c r="Z340" i="3" s="1"/>
  <c r="Z341" i="3" a="1"/>
  <c r="Z341" i="3" s="1"/>
  <c r="Z342" i="3" a="1"/>
  <c r="Z342" i="3" s="1"/>
  <c r="Z343" i="3" a="1"/>
  <c r="Z343" i="3" s="1"/>
  <c r="Z344" i="3" a="1"/>
  <c r="Z344" i="3" s="1"/>
  <c r="Z345" i="3" a="1"/>
  <c r="Z345" i="3" s="1"/>
  <c r="Z346" i="3" a="1"/>
  <c r="Z346" i="3" s="1"/>
  <c r="Z347" i="3" a="1"/>
  <c r="Z347" i="3" s="1"/>
  <c r="Z348" i="3" a="1"/>
  <c r="Z348" i="3" s="1"/>
  <c r="Z349" i="3" a="1"/>
  <c r="Z349" i="3" s="1"/>
  <c r="Z350" i="3" a="1"/>
  <c r="Z350" i="3" s="1"/>
  <c r="Z351" i="3" a="1"/>
  <c r="Z351" i="3" s="1"/>
  <c r="Z352" i="3" a="1"/>
  <c r="Z352" i="3" s="1"/>
  <c r="Z353" i="3" a="1"/>
  <c r="Z353" i="3" s="1"/>
  <c r="Z354" i="3" a="1"/>
  <c r="Z354" i="3" s="1"/>
  <c r="Z355" i="3" a="1"/>
  <c r="Z355" i="3" s="1"/>
  <c r="Z170" i="3" a="1"/>
  <c r="Z170" i="3" s="1"/>
  <c r="Z171" i="3" a="1"/>
  <c r="Z171" i="3" s="1"/>
  <c r="Z172" i="3" a="1"/>
  <c r="Z172" i="3" s="1"/>
  <c r="Z173" i="3" a="1"/>
  <c r="Z173" i="3" s="1"/>
  <c r="Z174" i="3" a="1"/>
  <c r="Z174" i="3" s="1"/>
  <c r="Z175" i="3" a="1"/>
  <c r="Z175" i="3" s="1"/>
  <c r="Z176" i="3" a="1"/>
  <c r="Z176" i="3" s="1"/>
  <c r="Z177" i="3" a="1"/>
  <c r="Z177" i="3" s="1"/>
  <c r="Z178" i="3" a="1"/>
  <c r="Z178" i="3" s="1"/>
  <c r="Z179" i="3" a="1"/>
  <c r="Z179" i="3" s="1"/>
  <c r="Z180" i="3" a="1"/>
  <c r="Z180" i="3" s="1"/>
  <c r="Z181" i="3" a="1"/>
  <c r="Z181" i="3" s="1"/>
  <c r="Z182" i="3" a="1"/>
  <c r="Z182" i="3" s="1"/>
  <c r="Z183" i="3" a="1"/>
  <c r="Z183" i="3" s="1"/>
  <c r="Z184" i="3" a="1"/>
  <c r="Z184" i="3" s="1"/>
  <c r="Z185" i="3" a="1"/>
  <c r="Z185" i="3" s="1"/>
  <c r="Z186" i="3" a="1"/>
  <c r="Z186" i="3" s="1"/>
  <c r="Z187" i="3" a="1"/>
  <c r="Z187" i="3" s="1"/>
  <c r="Z188" i="3" a="1"/>
  <c r="Z188" i="3" s="1"/>
  <c r="Z189" i="3" a="1"/>
  <c r="Z189" i="3" s="1"/>
  <c r="Z190" i="3" a="1"/>
  <c r="Z190" i="3" s="1"/>
  <c r="Z191" i="3" a="1"/>
  <c r="Z191" i="3" s="1"/>
  <c r="Z192" i="3" a="1"/>
  <c r="Z192" i="3" s="1"/>
  <c r="Z193" i="3" a="1"/>
  <c r="Z193" i="3" s="1"/>
  <c r="Z194" i="3" a="1"/>
  <c r="Z194" i="3" s="1"/>
  <c r="Z195" i="3" a="1"/>
  <c r="Z195" i="3" s="1"/>
  <c r="Z196" i="3" a="1"/>
  <c r="Z196" i="3" s="1"/>
  <c r="Z197" i="3" a="1"/>
  <c r="Z197" i="3" s="1"/>
  <c r="Z198" i="3" a="1"/>
  <c r="Z198" i="3" s="1"/>
  <c r="Z199" i="3" a="1"/>
  <c r="Z199" i="3" s="1"/>
  <c r="Z200" i="3" a="1"/>
  <c r="Z200" i="3" s="1"/>
  <c r="Z201" i="3" a="1"/>
  <c r="Z201" i="3" s="1"/>
  <c r="Z202" i="3" a="1"/>
  <c r="Z202" i="3" s="1"/>
  <c r="Z203" i="3" a="1"/>
  <c r="Z203" i="3" s="1"/>
  <c r="Z204" i="3" a="1"/>
  <c r="Z204" i="3" s="1"/>
  <c r="Z205" i="3" a="1"/>
  <c r="Z205" i="3" s="1"/>
  <c r="Z206" i="3" a="1"/>
  <c r="Z206" i="3" s="1"/>
  <c r="Z207" i="3" a="1"/>
  <c r="Z207" i="3" s="1"/>
  <c r="Z208" i="3" a="1"/>
  <c r="Z208" i="3" s="1"/>
  <c r="Z209" i="3" a="1"/>
  <c r="Z209" i="3" s="1"/>
  <c r="Z210" i="3" a="1"/>
  <c r="Z210" i="3" s="1"/>
  <c r="Z211" i="3" a="1"/>
  <c r="Z211" i="3" s="1"/>
  <c r="Z212" i="3" a="1"/>
  <c r="Z212" i="3" s="1"/>
  <c r="Z213" i="3" a="1"/>
  <c r="Z213" i="3" s="1"/>
  <c r="Z214" i="3" a="1"/>
  <c r="Z214" i="3" s="1"/>
  <c r="Z215" i="3" a="1"/>
  <c r="Z215" i="3" s="1"/>
  <c r="Z216" i="3" a="1"/>
  <c r="Z216" i="3" s="1"/>
  <c r="Z217" i="3" a="1"/>
  <c r="Z217" i="3" s="1"/>
  <c r="Z218" i="3" a="1"/>
  <c r="Z218" i="3" s="1"/>
  <c r="Z219" i="3" a="1"/>
  <c r="Z219" i="3" s="1"/>
  <c r="Z220" i="3" a="1"/>
  <c r="Z220" i="3" s="1"/>
  <c r="Z221" i="3" a="1"/>
  <c r="Z221" i="3" s="1"/>
  <c r="Z222" i="3" a="1"/>
  <c r="Z222" i="3" s="1"/>
  <c r="Z223" i="3" a="1"/>
  <c r="Z223" i="3" s="1"/>
  <c r="Z224" i="3" a="1"/>
  <c r="Z224" i="3" s="1"/>
  <c r="Z225" i="3" a="1"/>
  <c r="Z225" i="3" s="1"/>
  <c r="Z226" i="3" a="1"/>
  <c r="Z226" i="3" s="1"/>
  <c r="Z227" i="3" a="1"/>
  <c r="Z227" i="3" s="1"/>
  <c r="Z228" i="3" a="1"/>
  <c r="Z228" i="3" s="1"/>
  <c r="Z229" i="3" a="1"/>
  <c r="Z229" i="3" s="1"/>
  <c r="Z230" i="3" a="1"/>
  <c r="Z230" i="3" s="1"/>
  <c r="Z231" i="3" a="1"/>
  <c r="Z231" i="3" s="1"/>
  <c r="Z232" i="3" a="1"/>
  <c r="Z232" i="3" s="1"/>
  <c r="Z233" i="3" a="1"/>
  <c r="Z233" i="3" s="1"/>
  <c r="Z234" i="3" a="1"/>
  <c r="Z234" i="3" s="1"/>
  <c r="Z235" i="3" a="1"/>
  <c r="Z235" i="3" s="1"/>
  <c r="Z236" i="3" a="1"/>
  <c r="Z236" i="3" s="1"/>
  <c r="Z237" i="3" a="1"/>
  <c r="Z237" i="3" s="1"/>
  <c r="Z238" i="3" a="1"/>
  <c r="Z238" i="3" s="1"/>
  <c r="Z239" i="3" a="1"/>
  <c r="Z239" i="3" s="1"/>
  <c r="Z240" i="3" a="1"/>
  <c r="Z240" i="3" s="1"/>
  <c r="Z241" i="3" a="1"/>
  <c r="Z241" i="3" s="1"/>
  <c r="Z242" i="3" a="1"/>
  <c r="Z242" i="3" s="1"/>
  <c r="Z243" i="3" a="1"/>
  <c r="Z243" i="3" s="1"/>
  <c r="Z244" i="3" a="1"/>
  <c r="Z244" i="3" s="1"/>
  <c r="Z245" i="3" a="1"/>
  <c r="Z245" i="3" s="1"/>
  <c r="Z246" i="3" a="1"/>
  <c r="Z246" i="3" s="1"/>
  <c r="Z247" i="3" a="1"/>
  <c r="Z247" i="3" s="1"/>
  <c r="Z248" i="3" a="1"/>
  <c r="Z248" i="3" s="1"/>
  <c r="Z249" i="3" a="1"/>
  <c r="Z249" i="3" s="1"/>
  <c r="Z250" i="3" a="1"/>
  <c r="Z250" i="3" s="1"/>
  <c r="Z251" i="3" a="1"/>
  <c r="Z251" i="3" s="1"/>
  <c r="Z252" i="3" a="1"/>
  <c r="Z252" i="3" s="1"/>
  <c r="Z253" i="3" a="1"/>
  <c r="Z253" i="3" s="1"/>
  <c r="Z254" i="3" a="1"/>
  <c r="Z254" i="3" s="1"/>
  <c r="Z255" i="3" a="1"/>
  <c r="Z255" i="3" s="1"/>
  <c r="Z256" i="3" a="1"/>
  <c r="Z256" i="3" s="1"/>
  <c r="Z257" i="3" a="1"/>
  <c r="Z257" i="3" s="1"/>
  <c r="Z258" i="3" a="1"/>
  <c r="Z258" i="3" s="1"/>
  <c r="Z259" i="3" a="1"/>
  <c r="Z259" i="3" s="1"/>
  <c r="Z260" i="3" a="1"/>
  <c r="Z260" i="3" s="1"/>
  <c r="Z261" i="3" a="1"/>
  <c r="Z261" i="3" s="1"/>
  <c r="Z262" i="3" a="1"/>
  <c r="Z262" i="3" s="1"/>
  <c r="Z263" i="3" a="1"/>
  <c r="Z263" i="3" s="1"/>
  <c r="Z264" i="3" a="1"/>
  <c r="Z264" i="3" s="1"/>
  <c r="Z265" i="3" a="1"/>
  <c r="Z265" i="3" s="1"/>
  <c r="Z266" i="3" a="1"/>
  <c r="Z266" i="3" s="1"/>
  <c r="Z267" i="3" a="1"/>
  <c r="Z267" i="3" s="1"/>
  <c r="Z268" i="3" a="1"/>
  <c r="Z268" i="3" s="1"/>
  <c r="Z269" i="3" a="1"/>
  <c r="Z269" i="3" s="1"/>
  <c r="Z270" i="3" a="1"/>
  <c r="Z270" i="3" s="1"/>
  <c r="Z271" i="3" a="1"/>
  <c r="Z271" i="3" s="1"/>
  <c r="Z272" i="3" a="1"/>
  <c r="Z272" i="3" s="1"/>
  <c r="Z273" i="3" a="1"/>
  <c r="Z273" i="3" s="1"/>
  <c r="Z274" i="3" a="1"/>
  <c r="Z274" i="3" s="1"/>
  <c r="Z275" i="3" a="1"/>
  <c r="Z275" i="3" s="1"/>
  <c r="Z276" i="3" a="1"/>
  <c r="Z276" i="3" s="1"/>
  <c r="Z277" i="3" a="1"/>
  <c r="Z277" i="3" s="1"/>
  <c r="Z278" i="3" a="1"/>
  <c r="Z278" i="3" s="1"/>
  <c r="Z279" i="3" a="1"/>
  <c r="Z279" i="3" s="1"/>
  <c r="Z280" i="3" a="1"/>
  <c r="Z280" i="3" s="1"/>
  <c r="Z281" i="3" a="1"/>
  <c r="Z281" i="3" s="1"/>
  <c r="Z282" i="3" a="1"/>
  <c r="Z282" i="3" s="1"/>
  <c r="Z283" i="3" a="1"/>
  <c r="Z283" i="3" s="1"/>
  <c r="Z284" i="3" a="1"/>
  <c r="Z284" i="3" s="1"/>
  <c r="Z285" i="3" a="1"/>
  <c r="Z285" i="3" s="1"/>
  <c r="Z286" i="3" a="1"/>
  <c r="Z286" i="3" s="1"/>
  <c r="Z287" i="3" a="1"/>
  <c r="Z287" i="3" s="1"/>
  <c r="Z288" i="3" a="1"/>
  <c r="Z288" i="3" s="1"/>
  <c r="Z289" i="3" a="1"/>
  <c r="Z289" i="3" s="1"/>
  <c r="Z290" i="3" a="1"/>
  <c r="Z290" i="3" s="1"/>
  <c r="Z291" i="3" a="1"/>
  <c r="Z291" i="3" s="1"/>
  <c r="Z292" i="3" a="1"/>
  <c r="Z292" i="3" s="1"/>
  <c r="Z293" i="3" a="1"/>
  <c r="Z293" i="3" s="1"/>
  <c r="Z294" i="3" a="1"/>
  <c r="Z294" i="3" s="1"/>
  <c r="Z295" i="3" a="1"/>
  <c r="Z295" i="3" s="1"/>
  <c r="Z296" i="3" a="1"/>
  <c r="Z296" i="3" s="1"/>
  <c r="Z297" i="3" a="1"/>
  <c r="Z297" i="3" s="1"/>
  <c r="Z298" i="3" a="1"/>
  <c r="Z298" i="3" s="1"/>
  <c r="Z299" i="3" a="1"/>
  <c r="Z299" i="3" s="1"/>
  <c r="Z300" i="3" a="1"/>
  <c r="Z300" i="3" s="1"/>
  <c r="Z301" i="3" a="1"/>
  <c r="Z301" i="3" s="1"/>
  <c r="Z302" i="3" a="1"/>
  <c r="Z302" i="3" s="1"/>
  <c r="Z303" i="3" a="1"/>
  <c r="Z303" i="3" s="1"/>
  <c r="Z304" i="3" a="1"/>
  <c r="Z304" i="3" s="1"/>
  <c r="Z305" i="3" a="1"/>
  <c r="Z305" i="3" s="1"/>
  <c r="Z306" i="3" a="1"/>
  <c r="Z306" i="3" s="1"/>
  <c r="Z307" i="3" a="1"/>
  <c r="Z307" i="3" s="1"/>
  <c r="Z308" i="3" a="1"/>
  <c r="Z308" i="3" s="1"/>
  <c r="Z309" i="3" a="1"/>
  <c r="Z309" i="3" s="1"/>
  <c r="Z310" i="3" a="1"/>
  <c r="Z310" i="3" s="1"/>
  <c r="Z311" i="3" a="1"/>
  <c r="Z311" i="3" s="1"/>
  <c r="Z312" i="3" a="1"/>
  <c r="Z312" i="3" s="1"/>
  <c r="Z313" i="3" a="1"/>
  <c r="Z313" i="3" s="1"/>
  <c r="Z314" i="3" a="1"/>
  <c r="Z314" i="3" s="1"/>
  <c r="Z315" i="3" a="1"/>
  <c r="Z315" i="3" s="1"/>
  <c r="Z316" i="3" a="1"/>
  <c r="Z316" i="3" s="1"/>
  <c r="Z317" i="3" a="1"/>
  <c r="Z317" i="3" s="1"/>
  <c r="Z318" i="3" a="1"/>
  <c r="Z318" i="3" s="1"/>
  <c r="Z319" i="3" a="1"/>
  <c r="Z319" i="3" s="1"/>
  <c r="Z320" i="3" a="1"/>
  <c r="Z320" i="3" s="1"/>
  <c r="Z321" i="3" a="1"/>
  <c r="Z321" i="3" s="1"/>
  <c r="Z322" i="3" a="1"/>
  <c r="Z322" i="3" s="1"/>
  <c r="Z323" i="3" a="1"/>
  <c r="Z323" i="3" s="1"/>
  <c r="Z324" i="3" a="1"/>
  <c r="Z324" i="3" s="1"/>
  <c r="Z325" i="3" a="1"/>
  <c r="Z325" i="3" s="1"/>
  <c r="Z326" i="3" a="1"/>
  <c r="Z326" i="3" s="1"/>
  <c r="Z327" i="3" a="1"/>
  <c r="Z327" i="3" s="1"/>
  <c r="Z328" i="3" a="1"/>
  <c r="Z328" i="3" s="1"/>
  <c r="Z329" i="3" a="1"/>
  <c r="Z329" i="3" s="1"/>
  <c r="Z330" i="3" a="1"/>
  <c r="Z330" i="3" s="1"/>
  <c r="Z331" i="3" a="1"/>
  <c r="Z331" i="3" s="1"/>
  <c r="Z332" i="3" a="1"/>
  <c r="Z332" i="3" s="1"/>
  <c r="Z333" i="3" a="1"/>
  <c r="Z333" i="3" s="1"/>
  <c r="Z334" i="3" a="1"/>
  <c r="Z334" i="3" s="1"/>
  <c r="Z335" i="3" a="1"/>
  <c r="Z335" i="3" s="1"/>
  <c r="Z336" i="3" a="1"/>
  <c r="Z336" i="3" s="1"/>
  <c r="Z337" i="3" a="1"/>
  <c r="Z337" i="3" s="1"/>
  <c r="Z338" i="3" a="1"/>
  <c r="Z338" i="3" s="1"/>
  <c r="Z339" i="3" a="1"/>
  <c r="Z339" i="3" s="1"/>
  <c r="Z169" i="3" a="1"/>
  <c r="Z169" i="3"/>
  <c r="Z166" i="3" a="1"/>
  <c r="Z166" i="3" s="1"/>
  <c r="Z167" i="3" a="1"/>
  <c r="Z167" i="3" s="1"/>
  <c r="Z168" i="3" a="1"/>
  <c r="Z168" i="3" s="1"/>
  <c r="Z160" i="3" a="1"/>
  <c r="Z160" i="3" s="1"/>
  <c r="Z161" i="3" a="1"/>
  <c r="Z161" i="3" s="1"/>
  <c r="Z162" i="3" a="1"/>
  <c r="Z162" i="3" s="1"/>
  <c r="Z163" i="3" a="1"/>
  <c r="Z163" i="3" s="1"/>
  <c r="Z164" i="3" a="1"/>
  <c r="Z164" i="3" s="1"/>
  <c r="Z165" i="3" a="1"/>
  <c r="Z165" i="3" s="1"/>
  <c r="Z143" i="3" a="1"/>
  <c r="Z143" i="3" s="1"/>
  <c r="Z144" i="3" a="1"/>
  <c r="Z144" i="3" s="1"/>
  <c r="Z145" i="3" a="1"/>
  <c r="Z145" i="3" s="1"/>
  <c r="Z146" i="3" a="1"/>
  <c r="Z146" i="3" s="1"/>
  <c r="Z147" i="3" a="1"/>
  <c r="Z147" i="3" s="1"/>
  <c r="Z148" i="3" a="1"/>
  <c r="Z148" i="3" s="1"/>
  <c r="Z149" i="3" a="1"/>
  <c r="Z149" i="3" s="1"/>
  <c r="Z150" i="3" a="1"/>
  <c r="Z150" i="3" s="1"/>
  <c r="Z151" i="3" a="1"/>
  <c r="Z151" i="3" s="1"/>
  <c r="Z152" i="3" a="1"/>
  <c r="Z152" i="3" s="1"/>
  <c r="Z153" i="3" a="1"/>
  <c r="Z153" i="3" s="1"/>
  <c r="Z154" i="3" a="1"/>
  <c r="Z154" i="3" s="1"/>
  <c r="Z155" i="3" a="1"/>
  <c r="Z155" i="3" s="1"/>
  <c r="Z156" i="3" a="1"/>
  <c r="Z156" i="3" s="1"/>
  <c r="Z157" i="3" a="1"/>
  <c r="Z157" i="3" s="1"/>
  <c r="Z158" i="3" a="1"/>
  <c r="Z158" i="3" s="1"/>
  <c r="Z159" i="3" a="1"/>
  <c r="Z159" i="3" s="1"/>
  <c r="Z122" i="3" a="1"/>
  <c r="Z122" i="3" s="1"/>
  <c r="Z123" i="3" a="1"/>
  <c r="Z123" i="3" s="1"/>
  <c r="Z124" i="3" a="1"/>
  <c r="Z124" i="3" s="1"/>
  <c r="Z125" i="3" a="1"/>
  <c r="Z125" i="3" s="1"/>
  <c r="Z126" i="3" a="1"/>
  <c r="Z126" i="3" s="1"/>
  <c r="Z127" i="3" a="1"/>
  <c r="Z127" i="3" s="1"/>
  <c r="Z128" i="3" a="1"/>
  <c r="Z128" i="3" s="1"/>
  <c r="Z129" i="3" a="1"/>
  <c r="Z129" i="3" s="1"/>
  <c r="Z130" i="3" a="1"/>
  <c r="Z130" i="3" s="1"/>
  <c r="Z131" i="3" a="1"/>
  <c r="Z131" i="3" s="1"/>
  <c r="Z132" i="3" a="1"/>
  <c r="Z132" i="3" s="1"/>
  <c r="Z133" i="3" a="1"/>
  <c r="Z133" i="3" s="1"/>
  <c r="Z134" i="3" a="1"/>
  <c r="Z134" i="3" s="1"/>
  <c r="Z135" i="3" a="1"/>
  <c r="Z135" i="3" s="1"/>
  <c r="Z136" i="3" a="1"/>
  <c r="Z136" i="3" s="1"/>
  <c r="Z137" i="3" a="1"/>
  <c r="Z137" i="3" s="1"/>
  <c r="Z138" i="3" a="1"/>
  <c r="Z138" i="3" s="1"/>
  <c r="Z139" i="3" a="1"/>
  <c r="Z139" i="3" s="1"/>
  <c r="Z140" i="3" a="1"/>
  <c r="Z140" i="3" s="1"/>
  <c r="Z141" i="3" a="1"/>
  <c r="Z141" i="3" s="1"/>
  <c r="Z142" i="3" a="1"/>
  <c r="Z142" i="3" s="1"/>
  <c r="Z107" i="3" a="1"/>
  <c r="Z107" i="3" s="1"/>
  <c r="Z108" i="3" a="1"/>
  <c r="Z108" i="3" s="1"/>
  <c r="Z109" i="3" a="1"/>
  <c r="Z109" i="3" s="1"/>
  <c r="Z110" i="3" a="1"/>
  <c r="Z110" i="3" s="1"/>
  <c r="Z111" i="3" a="1"/>
  <c r="Z111" i="3" s="1"/>
  <c r="Z112" i="3" a="1"/>
  <c r="Z112" i="3" s="1"/>
  <c r="Z113" i="3" a="1"/>
  <c r="Z113" i="3" s="1"/>
  <c r="Z114" i="3" a="1"/>
  <c r="Z114" i="3" s="1"/>
  <c r="Z115" i="3" a="1"/>
  <c r="Z115" i="3" s="1"/>
  <c r="Z116" i="3" a="1"/>
  <c r="Z116" i="3" s="1"/>
  <c r="Z117" i="3" a="1"/>
  <c r="Z117" i="3" s="1"/>
  <c r="Z118" i="3" a="1"/>
  <c r="Z118" i="3" s="1"/>
  <c r="Z119" i="3" a="1"/>
  <c r="Z119" i="3" s="1"/>
  <c r="Z120" i="3" a="1"/>
  <c r="Z120" i="3" s="1"/>
  <c r="Z121" i="3" a="1"/>
  <c r="Z121" i="3" s="1"/>
  <c r="Z99" i="3" a="1"/>
  <c r="Z99" i="3" s="1"/>
  <c r="Z100" i="3" a="1"/>
  <c r="Z100" i="3" s="1"/>
  <c r="Z101" i="3" a="1"/>
  <c r="Z101" i="3" s="1"/>
  <c r="Z102" i="3" a="1"/>
  <c r="Z102" i="3" s="1"/>
  <c r="Z103" i="3" a="1"/>
  <c r="Z103" i="3" s="1"/>
  <c r="Z104" i="3" a="1"/>
  <c r="Z104" i="3" s="1"/>
  <c r="Z105" i="3" a="1"/>
  <c r="Z105" i="3" s="1"/>
  <c r="Z106" i="3" a="1"/>
  <c r="Z106" i="3" s="1"/>
  <c r="Z74" i="3" a="1"/>
  <c r="Z74" i="3" s="1"/>
  <c r="Z75" i="3" a="1"/>
  <c r="Z75" i="3" s="1"/>
  <c r="Z76" i="3" a="1"/>
  <c r="Z76" i="3" s="1"/>
  <c r="Z77" i="3" a="1"/>
  <c r="Z77" i="3" s="1"/>
  <c r="Z78" i="3" a="1"/>
  <c r="Z78" i="3" s="1"/>
  <c r="Z79" i="3" a="1"/>
  <c r="Z79" i="3" s="1"/>
  <c r="Z80" i="3" a="1"/>
  <c r="Z80" i="3" s="1"/>
  <c r="Z81" i="3" a="1"/>
  <c r="Z81" i="3" s="1"/>
  <c r="Z82" i="3" a="1"/>
  <c r="Z82" i="3" s="1"/>
  <c r="Z83" i="3" a="1"/>
  <c r="Z83" i="3" s="1"/>
  <c r="Z84" i="3" a="1"/>
  <c r="Z84" i="3" s="1"/>
  <c r="Z85" i="3" a="1"/>
  <c r="Z85" i="3" s="1"/>
  <c r="Z86" i="3" a="1"/>
  <c r="Z86" i="3" s="1"/>
  <c r="Z87" i="3" a="1"/>
  <c r="Z87" i="3" s="1"/>
  <c r="Z88" i="3" a="1"/>
  <c r="Z88" i="3" s="1"/>
  <c r="Z89" i="3" a="1"/>
  <c r="Z89" i="3" s="1"/>
  <c r="Z90" i="3" a="1"/>
  <c r="Z90" i="3" s="1"/>
  <c r="Z91" i="3" a="1"/>
  <c r="Z91" i="3" s="1"/>
  <c r="Z92" i="3" a="1"/>
  <c r="Z92" i="3" s="1"/>
  <c r="Z93" i="3" a="1"/>
  <c r="Z93" i="3" s="1"/>
  <c r="Z94" i="3" a="1"/>
  <c r="Z94" i="3" s="1"/>
  <c r="Z95" i="3" a="1"/>
  <c r="Z95" i="3" s="1"/>
  <c r="Z96" i="3" a="1"/>
  <c r="Z96" i="3" s="1"/>
  <c r="Z97" i="3" a="1"/>
  <c r="Z97" i="3" s="1"/>
  <c r="Z98" i="3" a="1"/>
  <c r="Z98" i="3" s="1"/>
  <c r="Z44" i="3" a="1"/>
  <c r="Z44" i="3" s="1"/>
  <c r="Z45" i="3" a="1"/>
  <c r="Z45" i="3" s="1"/>
  <c r="Z46" i="3" a="1"/>
  <c r="Z46" i="3" s="1"/>
  <c r="Z47" i="3" a="1"/>
  <c r="Z47" i="3" s="1"/>
  <c r="Z48" i="3" a="1"/>
  <c r="Z48" i="3" s="1"/>
  <c r="Z49" i="3" a="1"/>
  <c r="Z49" i="3" s="1"/>
  <c r="Z50" i="3" a="1"/>
  <c r="Z50" i="3" s="1"/>
  <c r="Z51" i="3" a="1"/>
  <c r="Z51" i="3" s="1"/>
  <c r="Z52" i="3" a="1"/>
  <c r="Z52" i="3" s="1"/>
  <c r="Z53" i="3" a="1"/>
  <c r="Z53" i="3" s="1"/>
  <c r="Z54" i="3" a="1"/>
  <c r="Z54" i="3" s="1"/>
  <c r="Z55" i="3" a="1"/>
  <c r="Z55" i="3" s="1"/>
  <c r="Z56" i="3" a="1"/>
  <c r="Z56" i="3" s="1"/>
  <c r="Z57" i="3" a="1"/>
  <c r="Z57" i="3" s="1"/>
  <c r="Z58" i="3" a="1"/>
  <c r="Z58" i="3" s="1"/>
  <c r="Z59" i="3" a="1"/>
  <c r="Z59" i="3" s="1"/>
  <c r="Z60" i="3" a="1"/>
  <c r="Z60" i="3" s="1"/>
  <c r="Z61" i="3" a="1"/>
  <c r="Z61" i="3" s="1"/>
  <c r="Z62" i="3" a="1"/>
  <c r="Z62" i="3" s="1"/>
  <c r="Z63" i="3" a="1"/>
  <c r="Z63" i="3" s="1"/>
  <c r="Z64" i="3" a="1"/>
  <c r="Z64" i="3" s="1"/>
  <c r="Z65" i="3" a="1"/>
  <c r="Z65" i="3" s="1"/>
  <c r="Z66" i="3" a="1"/>
  <c r="Z66" i="3" s="1"/>
  <c r="Z67" i="3" a="1"/>
  <c r="Z67" i="3" s="1"/>
  <c r="Z68" i="3" a="1"/>
  <c r="Z68" i="3" s="1"/>
  <c r="Z69" i="3" a="1"/>
  <c r="Z69" i="3" s="1"/>
  <c r="Z70" i="3" a="1"/>
  <c r="Z70" i="3" s="1"/>
  <c r="Z71" i="3" a="1"/>
  <c r="Z71" i="3" s="1"/>
  <c r="Z72" i="3" a="1"/>
  <c r="Z72" i="3" s="1"/>
  <c r="Z73" i="3" a="1"/>
  <c r="Z73" i="3" s="1"/>
  <c r="Z30" i="3" a="1"/>
  <c r="Z30" i="3" s="1"/>
  <c r="Z31" i="3" a="1"/>
  <c r="Z31" i="3" s="1"/>
  <c r="Z32" i="3" a="1"/>
  <c r="Z32" i="3" s="1"/>
  <c r="Z33" i="3" a="1"/>
  <c r="Z33" i="3" s="1"/>
  <c r="Z34" i="3" a="1"/>
  <c r="Z34" i="3" s="1"/>
  <c r="Z35" i="3" a="1"/>
  <c r="Z35" i="3" s="1"/>
  <c r="Z36" i="3" a="1"/>
  <c r="Z36" i="3" s="1"/>
  <c r="Z37" i="3" a="1"/>
  <c r="Z37" i="3" s="1"/>
  <c r="Z38" i="3" a="1"/>
  <c r="Z38" i="3" s="1"/>
  <c r="Z39" i="3" a="1"/>
  <c r="Z39" i="3" s="1"/>
  <c r="Z40" i="3" a="1"/>
  <c r="Z40" i="3" s="1"/>
  <c r="Z41" i="3" a="1"/>
  <c r="Z41" i="3" s="1"/>
  <c r="Z42" i="3" a="1"/>
  <c r="Z42" i="3" s="1"/>
  <c r="Z43" i="3" a="1"/>
  <c r="Z43" i="3" s="1"/>
  <c r="Z24" i="3" a="1"/>
  <c r="Z24" i="3" s="1"/>
  <c r="Z25" i="3" a="1"/>
  <c r="Z25" i="3" s="1"/>
  <c r="Z26" i="3" a="1"/>
  <c r="Z26" i="3" s="1"/>
  <c r="Z27" i="3" a="1"/>
  <c r="Z27" i="3" s="1"/>
  <c r="Z28" i="3" a="1"/>
  <c r="Z28" i="3" s="1"/>
  <c r="Z29" i="3" a="1"/>
  <c r="Z29" i="3" s="1"/>
  <c r="Z3" i="3" a="1"/>
  <c r="Z3" i="3" s="1"/>
  <c r="Z4" i="3" a="1"/>
  <c r="Z4" i="3"/>
  <c r="Z5" i="3" a="1"/>
  <c r="Z5" i="3" s="1"/>
  <c r="Z6" i="3" a="1"/>
  <c r="Z6" i="3" s="1"/>
  <c r="Z7" i="3" a="1"/>
  <c r="Z7" i="3" s="1"/>
  <c r="Z8" i="3" a="1"/>
  <c r="Z8" i="3" s="1"/>
  <c r="Z9" i="3" a="1"/>
  <c r="Z9" i="3" s="1"/>
  <c r="Z10" i="3" a="1"/>
  <c r="Z10" i="3" s="1"/>
  <c r="Z11" i="3" a="1"/>
  <c r="Z11" i="3" s="1"/>
  <c r="Z12" i="3" a="1"/>
  <c r="Z12" i="3"/>
  <c r="Z13" i="3" a="1"/>
  <c r="Z13" i="3"/>
  <c r="Z14" i="3" a="1"/>
  <c r="Z14" i="3" s="1"/>
  <c r="Z15" i="3" a="1"/>
  <c r="Z15" i="3" s="1"/>
  <c r="Z16" i="3" a="1"/>
  <c r="Z16" i="3"/>
  <c r="Z17" i="3" a="1"/>
  <c r="Z17" i="3" s="1"/>
  <c r="Z18" i="3" a="1"/>
  <c r="Z18" i="3" s="1"/>
  <c r="Z19" i="3" a="1"/>
  <c r="Z19" i="3" s="1"/>
  <c r="Z20" i="3" a="1"/>
  <c r="Z20" i="3"/>
  <c r="Z21" i="3" a="1"/>
  <c r="Z21" i="3"/>
  <c r="Z22" i="3" a="1"/>
  <c r="Z22" i="3"/>
  <c r="Z23" i="3" a="1"/>
  <c r="Z23" i="3" s="1"/>
  <c r="Z2" i="3" a="1"/>
  <c r="Z2" i="3" s="1"/>
  <c r="W10" i="3"/>
  <c r="AF10" i="3" s="1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895" i="3"/>
  <c r="V896" i="3"/>
  <c r="V897" i="3"/>
  <c r="V898" i="3"/>
  <c r="V899" i="3"/>
  <c r="V900" i="3"/>
  <c r="V901" i="3"/>
  <c r="V902" i="3"/>
  <c r="V903" i="3"/>
  <c r="V904" i="3"/>
  <c r="V905" i="3"/>
  <c r="V906" i="3"/>
  <c r="V907" i="3"/>
  <c r="V908" i="3"/>
  <c r="V909" i="3"/>
  <c r="V910" i="3"/>
  <c r="V911" i="3"/>
  <c r="V912" i="3"/>
  <c r="V913" i="3"/>
  <c r="V914" i="3"/>
  <c r="V915" i="3"/>
  <c r="V916" i="3"/>
  <c r="V917" i="3"/>
  <c r="V918" i="3"/>
  <c r="V919" i="3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934" i="3"/>
  <c r="V935" i="3"/>
  <c r="V936" i="3"/>
  <c r="V937" i="3"/>
  <c r="V938" i="3"/>
  <c r="V939" i="3"/>
  <c r="V940" i="3"/>
  <c r="V941" i="3"/>
  <c r="V942" i="3"/>
  <c r="V943" i="3"/>
  <c r="V944" i="3"/>
  <c r="V945" i="3"/>
  <c r="V946" i="3"/>
  <c r="V947" i="3"/>
  <c r="V948" i="3"/>
  <c r="V949" i="3"/>
  <c r="V950" i="3"/>
  <c r="V951" i="3"/>
  <c r="V952" i="3"/>
  <c r="V953" i="3"/>
  <c r="V954" i="3"/>
  <c r="V955" i="3"/>
  <c r="V956" i="3"/>
  <c r="V957" i="3"/>
  <c r="V958" i="3"/>
  <c r="V959" i="3"/>
  <c r="V960" i="3"/>
  <c r="V961" i="3"/>
  <c r="V962" i="3"/>
  <c r="V963" i="3"/>
  <c r="V964" i="3"/>
  <c r="V965" i="3"/>
  <c r="V966" i="3"/>
  <c r="V967" i="3"/>
  <c r="V968" i="3"/>
  <c r="V969" i="3"/>
  <c r="V970" i="3"/>
  <c r="V971" i="3"/>
  <c r="V972" i="3"/>
  <c r="V973" i="3"/>
  <c r="V974" i="3"/>
  <c r="V975" i="3"/>
  <c r="V976" i="3"/>
  <c r="V977" i="3"/>
  <c r="V978" i="3"/>
  <c r="V979" i="3"/>
  <c r="V980" i="3"/>
  <c r="V981" i="3"/>
  <c r="V982" i="3"/>
  <c r="V983" i="3"/>
  <c r="V984" i="3"/>
  <c r="V985" i="3"/>
  <c r="V986" i="3"/>
  <c r="V987" i="3"/>
  <c r="V988" i="3"/>
  <c r="V989" i="3"/>
  <c r="V990" i="3"/>
  <c r="V991" i="3"/>
  <c r="V992" i="3"/>
  <c r="V993" i="3"/>
  <c r="V994" i="3"/>
  <c r="V995" i="3"/>
  <c r="V996" i="3"/>
  <c r="V997" i="3"/>
  <c r="V998" i="3"/>
  <c r="V999" i="3"/>
  <c r="V1000" i="3"/>
  <c r="V1001" i="3"/>
  <c r="V1002" i="3"/>
  <c r="V1003" i="3"/>
  <c r="V1004" i="3"/>
  <c r="V1005" i="3"/>
  <c r="V1006" i="3"/>
  <c r="V1007" i="3"/>
  <c r="V1008" i="3"/>
  <c r="V1009" i="3"/>
  <c r="V1010" i="3"/>
  <c r="V1011" i="3"/>
  <c r="V1012" i="3"/>
  <c r="V1013" i="3"/>
  <c r="V1014" i="3"/>
  <c r="V1015" i="3"/>
  <c r="V1016" i="3"/>
  <c r="V1017" i="3"/>
  <c r="V1018" i="3"/>
  <c r="V1019" i="3"/>
  <c r="V1020" i="3"/>
  <c r="V1021" i="3"/>
  <c r="V1022" i="3"/>
  <c r="V1023" i="3"/>
  <c r="V1024" i="3"/>
  <c r="V1025" i="3"/>
  <c r="V1026" i="3"/>
  <c r="V1027" i="3"/>
  <c r="V1028" i="3"/>
  <c r="V1029" i="3"/>
  <c r="V1030" i="3"/>
  <c r="V1031" i="3"/>
  <c r="V1032" i="3"/>
  <c r="V1033" i="3"/>
  <c r="V1034" i="3"/>
  <c r="V1035" i="3"/>
  <c r="V1036" i="3"/>
  <c r="V1037" i="3"/>
  <c r="V1038" i="3"/>
  <c r="V1039" i="3"/>
  <c r="V1040" i="3"/>
  <c r="V1041" i="3"/>
  <c r="V1042" i="3"/>
  <c r="V1043" i="3"/>
  <c r="V1044" i="3"/>
  <c r="V1045" i="3"/>
  <c r="V1046" i="3"/>
  <c r="V1047" i="3"/>
  <c r="V1048" i="3"/>
  <c r="V1049" i="3"/>
  <c r="V1050" i="3"/>
  <c r="V1051" i="3"/>
  <c r="V1052" i="3"/>
  <c r="V1053" i="3"/>
  <c r="V1054" i="3"/>
  <c r="V1055" i="3"/>
  <c r="V1056" i="3"/>
  <c r="V1057" i="3"/>
  <c r="V1058" i="3"/>
  <c r="V1059" i="3"/>
  <c r="V1060" i="3"/>
  <c r="V1061" i="3"/>
  <c r="V1062" i="3"/>
  <c r="V1063" i="3"/>
  <c r="V1064" i="3"/>
  <c r="V1065" i="3"/>
  <c r="V1066" i="3"/>
  <c r="V1067" i="3"/>
  <c r="V1068" i="3"/>
  <c r="V1069" i="3"/>
  <c r="V1070" i="3"/>
  <c r="V1071" i="3"/>
  <c r="V1072" i="3"/>
  <c r="V1073" i="3"/>
  <c r="V1074" i="3"/>
  <c r="V1075" i="3"/>
  <c r="V1076" i="3"/>
  <c r="V1077" i="3"/>
  <c r="V1078" i="3"/>
  <c r="V1079" i="3"/>
  <c r="V1080" i="3"/>
  <c r="V1081" i="3"/>
  <c r="V1082" i="3"/>
  <c r="V1083" i="3"/>
  <c r="V1084" i="3"/>
  <c r="V1085" i="3"/>
  <c r="V1086" i="3"/>
  <c r="V1087" i="3"/>
  <c r="V1088" i="3"/>
  <c r="V1089" i="3"/>
  <c r="V1090" i="3"/>
  <c r="V1091" i="3"/>
  <c r="V1092" i="3"/>
  <c r="V1093" i="3"/>
  <c r="V1094" i="3"/>
  <c r="V1095" i="3"/>
  <c r="V1096" i="3"/>
  <c r="V1097" i="3"/>
  <c r="V1098" i="3"/>
  <c r="V1099" i="3"/>
  <c r="V1100" i="3"/>
  <c r="V1101" i="3"/>
  <c r="V1102" i="3"/>
  <c r="V1103" i="3"/>
  <c r="V1104" i="3"/>
  <c r="V1105" i="3"/>
  <c r="V1106" i="3"/>
  <c r="V1107" i="3"/>
  <c r="V1108" i="3"/>
  <c r="V1109" i="3"/>
  <c r="V1110" i="3"/>
  <c r="V1111" i="3"/>
  <c r="V1112" i="3"/>
  <c r="V1113" i="3"/>
  <c r="V1114" i="3"/>
  <c r="V1115" i="3"/>
  <c r="V1116" i="3"/>
  <c r="V1117" i="3"/>
  <c r="V1118" i="3"/>
  <c r="V1119" i="3"/>
  <c r="V1120" i="3"/>
  <c r="V1121" i="3"/>
  <c r="V1122" i="3"/>
  <c r="V1123" i="3"/>
  <c r="V1124" i="3"/>
  <c r="V1125" i="3"/>
  <c r="V1126" i="3"/>
  <c r="V1127" i="3"/>
  <c r="V1128" i="3"/>
  <c r="V1129" i="3"/>
  <c r="V1130" i="3"/>
  <c r="V1131" i="3"/>
  <c r="V1132" i="3"/>
  <c r="V1133" i="3"/>
  <c r="V1134" i="3"/>
  <c r="V1135" i="3"/>
  <c r="V1136" i="3"/>
  <c r="V1137" i="3"/>
  <c r="V1138" i="3"/>
  <c r="V1139" i="3"/>
  <c r="V1140" i="3"/>
  <c r="V1141" i="3"/>
  <c r="V1142" i="3"/>
  <c r="V1143" i="3"/>
  <c r="V1144" i="3"/>
  <c r="V1145" i="3"/>
  <c r="V1146" i="3"/>
  <c r="V1147" i="3"/>
  <c r="V1148" i="3"/>
  <c r="V1149" i="3"/>
  <c r="V1150" i="3"/>
  <c r="V1151" i="3"/>
  <c r="V1152" i="3"/>
  <c r="V1153" i="3"/>
  <c r="V1154" i="3"/>
  <c r="V1155" i="3"/>
  <c r="V1156" i="3"/>
  <c r="V1157" i="3"/>
  <c r="V1158" i="3"/>
  <c r="V1159" i="3"/>
  <c r="V1160" i="3"/>
  <c r="V1161" i="3"/>
  <c r="V1162" i="3"/>
  <c r="V1163" i="3"/>
  <c r="V1164" i="3"/>
  <c r="V1165" i="3"/>
  <c r="V1166" i="3"/>
  <c r="V1167" i="3"/>
  <c r="V1168" i="3"/>
  <c r="V1169" i="3"/>
  <c r="V1170" i="3"/>
  <c r="V1171" i="3"/>
  <c r="V1172" i="3"/>
  <c r="V1173" i="3"/>
  <c r="V1174" i="3"/>
  <c r="V1175" i="3"/>
  <c r="V1176" i="3"/>
  <c r="V1177" i="3"/>
  <c r="V1178" i="3"/>
  <c r="V1179" i="3"/>
  <c r="V1180" i="3"/>
  <c r="V1181" i="3"/>
  <c r="V1182" i="3"/>
  <c r="V1183" i="3"/>
  <c r="V1184" i="3"/>
  <c r="V1185" i="3"/>
  <c r="V1186" i="3"/>
  <c r="V1187" i="3"/>
  <c r="V1188" i="3"/>
  <c r="V1189" i="3"/>
  <c r="V1190" i="3"/>
  <c r="V1191" i="3"/>
  <c r="V1192" i="3"/>
  <c r="V1193" i="3"/>
  <c r="V1194" i="3"/>
  <c r="V1195" i="3"/>
  <c r="V1196" i="3"/>
  <c r="V1197" i="3"/>
  <c r="V1198" i="3"/>
  <c r="V1199" i="3"/>
  <c r="V1200" i="3"/>
  <c r="V1201" i="3"/>
  <c r="V1202" i="3"/>
  <c r="V1203" i="3"/>
  <c r="V1204" i="3"/>
  <c r="V1205" i="3"/>
  <c r="V1206" i="3"/>
  <c r="V1207" i="3"/>
  <c r="V1208" i="3"/>
  <c r="V1209" i="3"/>
  <c r="V1210" i="3"/>
  <c r="V1211" i="3"/>
  <c r="V1212" i="3"/>
  <c r="V1213" i="3"/>
  <c r="V1214" i="3"/>
  <c r="V1215" i="3"/>
  <c r="V1216" i="3"/>
  <c r="V1217" i="3"/>
  <c r="V1218" i="3"/>
  <c r="V1219" i="3"/>
  <c r="V1220" i="3"/>
  <c r="V1221" i="3"/>
  <c r="V1222" i="3"/>
  <c r="V1223" i="3"/>
  <c r="V1224" i="3"/>
  <c r="V1225" i="3"/>
  <c r="V1226" i="3"/>
  <c r="V1227" i="3"/>
  <c r="V1228" i="3"/>
  <c r="V1229" i="3"/>
  <c r="V1230" i="3"/>
  <c r="V1231" i="3"/>
  <c r="V1232" i="3"/>
  <c r="V1233" i="3"/>
  <c r="V1234" i="3"/>
  <c r="V1235" i="3"/>
  <c r="V1236" i="3"/>
  <c r="V1237" i="3"/>
  <c r="V1238" i="3"/>
  <c r="V1239" i="3"/>
  <c r="V1240" i="3"/>
  <c r="V1241" i="3"/>
  <c r="V1242" i="3"/>
  <c r="V1243" i="3"/>
  <c r="V1244" i="3"/>
  <c r="V1245" i="3"/>
  <c r="V1246" i="3"/>
  <c r="V1247" i="3"/>
  <c r="V1248" i="3"/>
  <c r="V1249" i="3"/>
  <c r="V1250" i="3"/>
  <c r="V1251" i="3"/>
  <c r="V1252" i="3"/>
  <c r="V1253" i="3"/>
  <c r="V1254" i="3"/>
  <c r="V1255" i="3"/>
  <c r="V1256" i="3"/>
  <c r="V1257" i="3"/>
  <c r="V1258" i="3"/>
  <c r="V1259" i="3"/>
  <c r="V1260" i="3"/>
  <c r="V1261" i="3"/>
  <c r="V1262" i="3"/>
  <c r="V1263" i="3"/>
  <c r="V1264" i="3"/>
  <c r="V1265" i="3"/>
  <c r="V1266" i="3"/>
  <c r="V1267" i="3"/>
  <c r="V1268" i="3"/>
  <c r="V1269" i="3"/>
  <c r="V1270" i="3"/>
  <c r="V1271" i="3"/>
  <c r="V1272" i="3"/>
  <c r="V1273" i="3"/>
  <c r="V1274" i="3"/>
  <c r="V1275" i="3"/>
  <c r="V1276" i="3"/>
  <c r="V1277" i="3"/>
  <c r="V1278" i="3"/>
  <c r="V1279" i="3"/>
  <c r="V1280" i="3"/>
  <c r="V1281" i="3"/>
  <c r="V1282" i="3"/>
  <c r="V1283" i="3"/>
  <c r="V1284" i="3"/>
  <c r="V1285" i="3"/>
  <c r="V1286" i="3"/>
  <c r="V1287" i="3"/>
  <c r="V1288" i="3"/>
  <c r="V1289" i="3"/>
  <c r="V1290" i="3"/>
  <c r="V1291" i="3"/>
  <c r="V1292" i="3"/>
  <c r="V1293" i="3"/>
  <c r="V1294" i="3"/>
  <c r="V1295" i="3"/>
  <c r="V1296" i="3"/>
  <c r="V1297" i="3"/>
  <c r="V1298" i="3"/>
  <c r="V1299" i="3"/>
  <c r="V1300" i="3"/>
  <c r="V1301" i="3"/>
  <c r="V1302" i="3"/>
  <c r="V1303" i="3"/>
  <c r="V1304" i="3"/>
  <c r="V1305" i="3"/>
  <c r="V1306" i="3"/>
  <c r="V1307" i="3"/>
  <c r="V1308" i="3"/>
  <c r="V1309" i="3"/>
  <c r="V1310" i="3"/>
  <c r="V1311" i="3"/>
  <c r="V1312" i="3"/>
  <c r="V1313" i="3"/>
  <c r="V1314" i="3"/>
  <c r="V1315" i="3"/>
  <c r="V1316" i="3"/>
  <c r="V1317" i="3"/>
  <c r="V1318" i="3"/>
  <c r="V1319" i="3"/>
  <c r="V1320" i="3"/>
  <c r="V1321" i="3"/>
  <c r="V1322" i="3"/>
  <c r="V1323" i="3"/>
  <c r="V1324" i="3"/>
  <c r="V1325" i="3"/>
  <c r="V1326" i="3"/>
  <c r="V1327" i="3"/>
  <c r="V1328" i="3"/>
  <c r="V1329" i="3"/>
  <c r="V1330" i="3"/>
  <c r="V1331" i="3"/>
  <c r="V1332" i="3"/>
  <c r="V1333" i="3"/>
  <c r="V1334" i="3"/>
  <c r="V1335" i="3"/>
  <c r="V1336" i="3"/>
  <c r="V1337" i="3"/>
  <c r="V1338" i="3"/>
  <c r="V1339" i="3"/>
  <c r="V1340" i="3"/>
  <c r="V1341" i="3"/>
  <c r="V1342" i="3"/>
  <c r="V1343" i="3"/>
  <c r="V1344" i="3"/>
  <c r="V1345" i="3"/>
  <c r="V1346" i="3"/>
  <c r="V1347" i="3"/>
  <c r="V1348" i="3"/>
  <c r="V1349" i="3"/>
  <c r="V1350" i="3"/>
  <c r="V1351" i="3"/>
  <c r="V1352" i="3"/>
  <c r="V1353" i="3"/>
  <c r="V1354" i="3"/>
  <c r="V1355" i="3"/>
  <c r="V1356" i="3"/>
  <c r="V1357" i="3"/>
  <c r="V1358" i="3"/>
  <c r="V1359" i="3"/>
  <c r="V1360" i="3"/>
  <c r="V1361" i="3"/>
  <c r="V1362" i="3"/>
  <c r="V1363" i="3"/>
  <c r="V1364" i="3"/>
  <c r="V1365" i="3"/>
  <c r="V1366" i="3"/>
  <c r="V1367" i="3"/>
  <c r="V1368" i="3"/>
  <c r="V1369" i="3"/>
  <c r="V1370" i="3"/>
  <c r="V1371" i="3"/>
  <c r="V1372" i="3"/>
  <c r="V1373" i="3"/>
  <c r="V1374" i="3"/>
  <c r="V1375" i="3"/>
  <c r="V1376" i="3"/>
  <c r="V1377" i="3"/>
  <c r="V1378" i="3"/>
  <c r="V1379" i="3"/>
  <c r="V1380" i="3"/>
  <c r="V1381" i="3"/>
  <c r="V1382" i="3"/>
  <c r="V1383" i="3"/>
  <c r="V1384" i="3"/>
  <c r="V1385" i="3"/>
  <c r="V1386" i="3"/>
  <c r="V1387" i="3"/>
  <c r="V1388" i="3"/>
  <c r="V1389" i="3"/>
  <c r="V1390" i="3"/>
  <c r="V1391" i="3"/>
  <c r="V1392" i="3"/>
  <c r="V1393" i="3"/>
  <c r="V1394" i="3"/>
  <c r="V1395" i="3"/>
  <c r="V1396" i="3"/>
  <c r="V1397" i="3"/>
  <c r="V1398" i="3"/>
  <c r="V1399" i="3"/>
  <c r="V1400" i="3"/>
  <c r="V1401" i="3"/>
  <c r="V1402" i="3"/>
  <c r="V1403" i="3"/>
  <c r="V1404" i="3"/>
  <c r="V1405" i="3"/>
  <c r="V1406" i="3"/>
  <c r="V1407" i="3"/>
  <c r="V1408" i="3"/>
  <c r="V1409" i="3"/>
  <c r="V1410" i="3"/>
  <c r="V1411" i="3"/>
  <c r="V1412" i="3"/>
  <c r="V1413" i="3"/>
  <c r="V1414" i="3"/>
  <c r="V1415" i="3"/>
  <c r="V1416" i="3"/>
  <c r="V1417" i="3"/>
  <c r="V1418" i="3"/>
  <c r="V1419" i="3"/>
  <c r="V1420" i="3"/>
  <c r="V1421" i="3"/>
  <c r="V1422" i="3"/>
  <c r="V1423" i="3"/>
  <c r="V1424" i="3"/>
  <c r="V1425" i="3"/>
  <c r="V1426" i="3"/>
  <c r="V1427" i="3"/>
  <c r="V1428" i="3"/>
  <c r="V1429" i="3"/>
  <c r="V1430" i="3"/>
  <c r="V1431" i="3"/>
  <c r="V1432" i="3"/>
  <c r="V1433" i="3"/>
  <c r="V1434" i="3"/>
  <c r="V1435" i="3"/>
  <c r="V1436" i="3"/>
  <c r="V1437" i="3"/>
  <c r="V1438" i="3"/>
  <c r="V1439" i="3"/>
  <c r="V1440" i="3"/>
  <c r="V1441" i="3"/>
  <c r="V1442" i="3"/>
  <c r="V1443" i="3"/>
  <c r="V1444" i="3"/>
  <c r="V1445" i="3"/>
  <c r="V1446" i="3"/>
  <c r="V1447" i="3"/>
  <c r="V1448" i="3"/>
  <c r="V1449" i="3"/>
  <c r="V1450" i="3"/>
  <c r="V1451" i="3"/>
  <c r="V1452" i="3"/>
  <c r="V1453" i="3"/>
  <c r="V1454" i="3"/>
  <c r="V1455" i="3"/>
  <c r="V1456" i="3"/>
  <c r="V1457" i="3"/>
  <c r="V1458" i="3"/>
  <c r="V1459" i="3"/>
  <c r="V1460" i="3"/>
  <c r="V1461" i="3"/>
  <c r="V1462" i="3"/>
  <c r="V1463" i="3"/>
  <c r="V1464" i="3"/>
  <c r="V1465" i="3"/>
  <c r="V1466" i="3"/>
  <c r="V1467" i="3"/>
  <c r="V1468" i="3"/>
  <c r="V1469" i="3"/>
  <c r="V1470" i="3"/>
  <c r="V1471" i="3"/>
  <c r="V1472" i="3"/>
  <c r="V1473" i="3"/>
  <c r="V1474" i="3"/>
  <c r="V1475" i="3"/>
  <c r="V1476" i="3"/>
  <c r="V1477" i="3"/>
  <c r="V1478" i="3"/>
  <c r="V1479" i="3"/>
  <c r="V1480" i="3"/>
  <c r="V1481" i="3"/>
  <c r="V1482" i="3"/>
  <c r="V1483" i="3"/>
  <c r="V1484" i="3"/>
  <c r="V1485" i="3"/>
  <c r="V1486" i="3"/>
  <c r="V1487" i="3"/>
  <c r="V1488" i="3"/>
  <c r="V1489" i="3"/>
  <c r="V1490" i="3"/>
  <c r="V1491" i="3"/>
  <c r="V1492" i="3"/>
  <c r="V1493" i="3"/>
  <c r="V1494" i="3"/>
  <c r="V1495" i="3"/>
  <c r="V1496" i="3"/>
  <c r="V1497" i="3"/>
  <c r="V1498" i="3"/>
  <c r="V1499" i="3"/>
  <c r="V1500" i="3"/>
  <c r="V1501" i="3"/>
  <c r="V1502" i="3"/>
  <c r="V1503" i="3"/>
  <c r="V1504" i="3"/>
  <c r="V1505" i="3"/>
  <c r="V1506" i="3"/>
  <c r="V1507" i="3"/>
  <c r="V1508" i="3"/>
  <c r="V1509" i="3"/>
  <c r="V1510" i="3"/>
  <c r="V1511" i="3"/>
  <c r="V1512" i="3"/>
  <c r="V1513" i="3"/>
  <c r="V1514" i="3"/>
  <c r="V1515" i="3"/>
  <c r="V1516" i="3"/>
  <c r="V1517" i="3"/>
  <c r="V1518" i="3"/>
  <c r="V1519" i="3"/>
  <c r="V1520" i="3"/>
  <c r="V1521" i="3"/>
  <c r="V1522" i="3"/>
  <c r="V1523" i="3"/>
  <c r="V1524" i="3"/>
  <c r="V1525" i="3"/>
  <c r="V1526" i="3"/>
  <c r="V1527" i="3"/>
  <c r="V1528" i="3"/>
  <c r="V1529" i="3"/>
  <c r="V1530" i="3"/>
  <c r="V1531" i="3"/>
  <c r="V1532" i="3"/>
  <c r="V1533" i="3"/>
  <c r="V1534" i="3"/>
  <c r="V1535" i="3"/>
  <c r="V1536" i="3"/>
  <c r="V1537" i="3"/>
  <c r="V1538" i="3"/>
  <c r="V1539" i="3"/>
  <c r="V1540" i="3"/>
  <c r="V1541" i="3"/>
  <c r="V1542" i="3"/>
  <c r="V1543" i="3"/>
  <c r="V1544" i="3"/>
  <c r="V1545" i="3"/>
  <c r="V1546" i="3"/>
  <c r="V1547" i="3"/>
  <c r="V1548" i="3"/>
  <c r="V1549" i="3"/>
  <c r="V1550" i="3"/>
  <c r="V1551" i="3"/>
  <c r="V1552" i="3"/>
  <c r="V1553" i="3"/>
  <c r="V1554" i="3"/>
  <c r="V1555" i="3"/>
  <c r="V1556" i="3"/>
  <c r="V1557" i="3"/>
  <c r="V1558" i="3"/>
  <c r="V1559" i="3"/>
  <c r="V1560" i="3"/>
  <c r="V1561" i="3"/>
  <c r="V1562" i="3"/>
  <c r="V1563" i="3"/>
  <c r="V1564" i="3"/>
  <c r="V1565" i="3"/>
  <c r="V1566" i="3"/>
  <c r="V1567" i="3"/>
  <c r="V1568" i="3"/>
  <c r="V1569" i="3"/>
  <c r="V1570" i="3"/>
  <c r="V1571" i="3"/>
  <c r="V1572" i="3"/>
  <c r="V1573" i="3"/>
  <c r="V1574" i="3"/>
  <c r="V1575" i="3"/>
  <c r="V1576" i="3"/>
  <c r="V1577" i="3"/>
  <c r="V1578" i="3"/>
  <c r="V1579" i="3"/>
  <c r="V1580" i="3"/>
  <c r="V1581" i="3"/>
  <c r="V1582" i="3"/>
  <c r="V1583" i="3"/>
  <c r="V1584" i="3"/>
  <c r="V1585" i="3"/>
  <c r="V1586" i="3"/>
  <c r="V1587" i="3"/>
  <c r="V1588" i="3"/>
  <c r="V1589" i="3"/>
  <c r="V1590" i="3"/>
  <c r="V1591" i="3"/>
  <c r="V1592" i="3"/>
  <c r="V1593" i="3"/>
  <c r="V1594" i="3"/>
  <c r="V1595" i="3"/>
  <c r="V1596" i="3"/>
  <c r="V1597" i="3"/>
  <c r="V1598" i="3"/>
  <c r="V1599" i="3"/>
  <c r="V1600" i="3"/>
  <c r="V1601" i="3"/>
  <c r="V1602" i="3"/>
  <c r="V1603" i="3"/>
  <c r="V1604" i="3"/>
  <c r="V1605" i="3"/>
  <c r="V1606" i="3"/>
  <c r="V1607" i="3"/>
  <c r="V1608" i="3"/>
  <c r="V1609" i="3"/>
  <c r="V1610" i="3"/>
  <c r="V1611" i="3"/>
  <c r="V1612" i="3"/>
  <c r="V1613" i="3"/>
  <c r="V1614" i="3"/>
  <c r="V1615" i="3"/>
  <c r="V1616" i="3"/>
  <c r="V1617" i="3"/>
  <c r="V1618" i="3"/>
  <c r="V1619" i="3"/>
  <c r="V1620" i="3"/>
  <c r="V1621" i="3"/>
  <c r="V1622" i="3"/>
  <c r="V1623" i="3"/>
  <c r="V1624" i="3"/>
  <c r="V1625" i="3"/>
  <c r="V1626" i="3"/>
  <c r="V1627" i="3"/>
  <c r="V1628" i="3"/>
  <c r="V1629" i="3"/>
  <c r="V1630" i="3"/>
  <c r="V1631" i="3"/>
  <c r="V1632" i="3"/>
  <c r="V1633" i="3"/>
  <c r="V1634" i="3"/>
  <c r="V1635" i="3"/>
  <c r="V1636" i="3"/>
  <c r="V1637" i="3"/>
  <c r="V1638" i="3"/>
  <c r="V1639" i="3"/>
  <c r="V1640" i="3"/>
  <c r="V1641" i="3"/>
  <c r="V1642" i="3"/>
  <c r="V1643" i="3"/>
  <c r="V1644" i="3"/>
  <c r="V1645" i="3"/>
  <c r="V1646" i="3"/>
  <c r="V1647" i="3"/>
  <c r="V1648" i="3"/>
  <c r="V1649" i="3"/>
  <c r="V1650" i="3"/>
  <c r="V1651" i="3"/>
  <c r="V1652" i="3"/>
  <c r="V1653" i="3"/>
  <c r="V1654" i="3"/>
  <c r="V1655" i="3"/>
  <c r="V1656" i="3"/>
  <c r="V1657" i="3"/>
  <c r="V1658" i="3"/>
  <c r="V1659" i="3"/>
  <c r="V1660" i="3"/>
  <c r="V1661" i="3"/>
  <c r="V1662" i="3"/>
  <c r="V1663" i="3"/>
  <c r="V1664" i="3"/>
  <c r="V1665" i="3"/>
  <c r="V1666" i="3"/>
  <c r="V1667" i="3"/>
  <c r="V1668" i="3"/>
  <c r="V1669" i="3"/>
  <c r="V1670" i="3"/>
  <c r="V1671" i="3"/>
  <c r="V1672" i="3"/>
  <c r="V1673" i="3"/>
  <c r="V1674" i="3"/>
  <c r="V1675" i="3"/>
  <c r="V1676" i="3"/>
  <c r="V1677" i="3"/>
  <c r="V1678" i="3"/>
  <c r="V1679" i="3"/>
  <c r="V1680" i="3"/>
  <c r="V1681" i="3"/>
  <c r="V1682" i="3"/>
  <c r="V1683" i="3"/>
  <c r="V1684" i="3"/>
  <c r="V1685" i="3"/>
  <c r="V1686" i="3"/>
  <c r="V1687" i="3"/>
  <c r="V1688" i="3"/>
  <c r="V1689" i="3"/>
  <c r="V1690" i="3"/>
  <c r="V1691" i="3"/>
  <c r="V1692" i="3"/>
  <c r="V1693" i="3"/>
  <c r="V1694" i="3"/>
  <c r="V1695" i="3"/>
  <c r="V1696" i="3"/>
  <c r="V1697" i="3"/>
  <c r="V1698" i="3"/>
  <c r="V1699" i="3"/>
  <c r="V1700" i="3"/>
  <c r="V1701" i="3"/>
  <c r="V1702" i="3"/>
  <c r="V1703" i="3"/>
  <c r="V1704" i="3"/>
  <c r="V1705" i="3"/>
  <c r="V1706" i="3"/>
  <c r="V1707" i="3"/>
  <c r="V1708" i="3"/>
  <c r="V1709" i="3"/>
  <c r="V1710" i="3"/>
  <c r="V1711" i="3"/>
  <c r="V1712" i="3"/>
  <c r="V1713" i="3"/>
  <c r="V1714" i="3"/>
  <c r="V1715" i="3"/>
  <c r="V1716" i="3"/>
  <c r="V1717" i="3"/>
  <c r="V1718" i="3"/>
  <c r="V1719" i="3"/>
  <c r="V1720" i="3"/>
  <c r="V1721" i="3"/>
  <c r="V1722" i="3"/>
  <c r="V1723" i="3"/>
  <c r="V1724" i="3"/>
  <c r="V1725" i="3"/>
  <c r="V1726" i="3"/>
  <c r="V1727" i="3"/>
  <c r="V1728" i="3"/>
  <c r="V1729" i="3"/>
  <c r="V1730" i="3"/>
  <c r="V1731" i="3"/>
  <c r="V1732" i="3"/>
  <c r="V1733" i="3"/>
  <c r="V1734" i="3"/>
  <c r="V1735" i="3"/>
  <c r="V1736" i="3"/>
  <c r="V1737" i="3"/>
  <c r="V1738" i="3"/>
  <c r="V1739" i="3"/>
  <c r="V1740" i="3"/>
  <c r="V1741" i="3"/>
  <c r="V1742" i="3"/>
  <c r="V1743" i="3"/>
  <c r="V1744" i="3"/>
  <c r="V1745" i="3"/>
  <c r="V1746" i="3"/>
  <c r="V1747" i="3"/>
  <c r="V1748" i="3"/>
  <c r="V1749" i="3"/>
  <c r="V1750" i="3"/>
  <c r="V1751" i="3"/>
  <c r="V1752" i="3"/>
  <c r="V1753" i="3"/>
  <c r="V1754" i="3"/>
  <c r="V1755" i="3"/>
  <c r="V1756" i="3"/>
  <c r="V1757" i="3"/>
  <c r="V1758" i="3"/>
  <c r="V1759" i="3"/>
  <c r="V1760" i="3"/>
  <c r="V1761" i="3"/>
  <c r="V1762" i="3"/>
  <c r="V1763" i="3"/>
  <c r="V1764" i="3"/>
  <c r="V1765" i="3"/>
  <c r="V1766" i="3"/>
  <c r="V1767" i="3"/>
  <c r="V1768" i="3"/>
  <c r="V1769" i="3"/>
  <c r="V1770" i="3"/>
  <c r="V1771" i="3"/>
  <c r="V1772" i="3"/>
  <c r="V1773" i="3"/>
  <c r="V1774" i="3"/>
  <c r="V1775" i="3"/>
  <c r="V1776" i="3"/>
  <c r="V1777" i="3"/>
  <c r="V1778" i="3"/>
  <c r="V1779" i="3"/>
  <c r="V1780" i="3"/>
  <c r="V1781" i="3"/>
  <c r="V1782" i="3"/>
  <c r="V1783" i="3"/>
  <c r="V1784" i="3"/>
  <c r="V1785" i="3"/>
  <c r="V1786" i="3"/>
  <c r="V1787" i="3"/>
  <c r="V1788" i="3"/>
  <c r="V1789" i="3"/>
  <c r="V1790" i="3"/>
  <c r="V1791" i="3"/>
  <c r="V1792" i="3"/>
  <c r="V1793" i="3"/>
  <c r="V1794" i="3"/>
  <c r="V1795" i="3"/>
  <c r="V1796" i="3"/>
  <c r="V1797" i="3"/>
  <c r="V1798" i="3"/>
  <c r="V1799" i="3"/>
  <c r="V1800" i="3"/>
  <c r="V1801" i="3"/>
  <c r="V1802" i="3"/>
  <c r="V1803" i="3"/>
  <c r="V1804" i="3"/>
  <c r="V1805" i="3"/>
  <c r="V1806" i="3"/>
  <c r="V1807" i="3"/>
  <c r="V1808" i="3"/>
  <c r="V1809" i="3"/>
  <c r="V1810" i="3"/>
  <c r="V1811" i="3"/>
  <c r="V1812" i="3"/>
  <c r="V1813" i="3"/>
  <c r="V1814" i="3"/>
  <c r="V1815" i="3"/>
  <c r="V1816" i="3"/>
  <c r="V1817" i="3"/>
  <c r="V1818" i="3"/>
  <c r="V1819" i="3"/>
  <c r="V1820" i="3"/>
  <c r="V1821" i="3"/>
  <c r="V1822" i="3"/>
  <c r="V1823" i="3"/>
  <c r="V1824" i="3"/>
  <c r="V1825" i="3"/>
  <c r="V1826" i="3"/>
  <c r="V1827" i="3"/>
  <c r="V1828" i="3"/>
  <c r="V1829" i="3"/>
  <c r="V1830" i="3"/>
  <c r="V1831" i="3"/>
  <c r="V1832" i="3"/>
  <c r="V1833" i="3"/>
  <c r="V1834" i="3"/>
  <c r="V1835" i="3"/>
  <c r="V1836" i="3"/>
  <c r="V1837" i="3"/>
  <c r="V1838" i="3"/>
  <c r="V1839" i="3"/>
  <c r="V1840" i="3"/>
  <c r="V1841" i="3"/>
  <c r="V1842" i="3"/>
  <c r="V1843" i="3"/>
  <c r="V1844" i="3"/>
  <c r="V1845" i="3"/>
  <c r="V1846" i="3"/>
  <c r="V1847" i="3"/>
  <c r="V1848" i="3"/>
  <c r="V1849" i="3"/>
  <c r="V1850" i="3"/>
  <c r="V1851" i="3"/>
  <c r="V1852" i="3"/>
  <c r="V1853" i="3"/>
  <c r="V1854" i="3"/>
  <c r="V1855" i="3"/>
  <c r="V1856" i="3"/>
  <c r="V1857" i="3"/>
  <c r="V1858" i="3"/>
  <c r="V1859" i="3"/>
  <c r="V1860" i="3"/>
  <c r="V1861" i="3"/>
  <c r="V1862" i="3"/>
  <c r="V1863" i="3"/>
  <c r="V1864" i="3"/>
  <c r="V1865" i="3"/>
  <c r="V1866" i="3"/>
  <c r="V1867" i="3"/>
  <c r="V1868" i="3"/>
  <c r="V1869" i="3"/>
  <c r="V1870" i="3"/>
  <c r="V1871" i="3"/>
  <c r="V1872" i="3"/>
  <c r="V1873" i="3"/>
  <c r="V1874" i="3"/>
  <c r="V1875" i="3"/>
  <c r="V1876" i="3"/>
  <c r="V1877" i="3"/>
  <c r="V1878" i="3"/>
  <c r="V1879" i="3"/>
  <c r="V1880" i="3"/>
  <c r="V1881" i="3"/>
  <c r="V1882" i="3"/>
  <c r="V1883" i="3"/>
  <c r="V1884" i="3"/>
  <c r="V1885" i="3"/>
  <c r="V1886" i="3"/>
  <c r="V1887" i="3"/>
  <c r="V1888" i="3"/>
  <c r="V1889" i="3"/>
  <c r="V1890" i="3"/>
  <c r="V1891" i="3"/>
  <c r="V1892" i="3"/>
  <c r="V1893" i="3"/>
  <c r="V1894" i="3"/>
  <c r="V1895" i="3"/>
  <c r="V1896" i="3"/>
  <c r="V1897" i="3"/>
  <c r="V1898" i="3"/>
  <c r="V1899" i="3"/>
  <c r="V1900" i="3"/>
  <c r="V1901" i="3"/>
  <c r="V1902" i="3"/>
  <c r="V1903" i="3"/>
  <c r="V1904" i="3"/>
  <c r="V1905" i="3"/>
  <c r="V1906" i="3"/>
  <c r="V1907" i="3"/>
  <c r="V1908" i="3"/>
  <c r="V1909" i="3"/>
  <c r="V1910" i="3"/>
  <c r="V1911" i="3"/>
  <c r="V1912" i="3"/>
  <c r="V1913" i="3"/>
  <c r="V1914" i="3"/>
  <c r="V1915" i="3"/>
  <c r="V1916" i="3"/>
  <c r="V1917" i="3"/>
  <c r="V1918" i="3"/>
  <c r="V1919" i="3"/>
  <c r="V1920" i="3"/>
  <c r="V1921" i="3"/>
  <c r="V1922" i="3"/>
  <c r="V1923" i="3"/>
  <c r="V1924" i="3"/>
  <c r="V1925" i="3"/>
  <c r="V1926" i="3"/>
  <c r="V1927" i="3"/>
  <c r="V1928" i="3"/>
  <c r="V1929" i="3"/>
  <c r="V1930" i="3"/>
  <c r="V1931" i="3"/>
  <c r="V1932" i="3"/>
  <c r="V1933" i="3"/>
  <c r="V1934" i="3"/>
  <c r="V1935" i="3"/>
  <c r="V1936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443" i="3"/>
  <c r="Y444" i="3"/>
  <c r="Y445" i="3"/>
  <c r="Y446" i="3"/>
  <c r="Y447" i="3"/>
  <c r="Y448" i="3"/>
  <c r="Y449" i="3"/>
  <c r="Y450" i="3"/>
  <c r="Y451" i="3"/>
  <c r="Y452" i="3"/>
  <c r="Y453" i="3"/>
  <c r="Y454" i="3"/>
  <c r="Y455" i="3"/>
  <c r="Y456" i="3"/>
  <c r="Y457" i="3"/>
  <c r="Y458" i="3"/>
  <c r="Y459" i="3"/>
  <c r="Y460" i="3"/>
  <c r="Y461" i="3"/>
  <c r="Y462" i="3"/>
  <c r="Y463" i="3"/>
  <c r="Y464" i="3"/>
  <c r="Y465" i="3"/>
  <c r="Y466" i="3"/>
  <c r="Y467" i="3"/>
  <c r="Y468" i="3"/>
  <c r="Y469" i="3"/>
  <c r="Y470" i="3"/>
  <c r="Y471" i="3"/>
  <c r="Y472" i="3"/>
  <c r="Y473" i="3"/>
  <c r="Y474" i="3"/>
  <c r="Y475" i="3"/>
  <c r="Y476" i="3"/>
  <c r="Y477" i="3"/>
  <c r="Y478" i="3"/>
  <c r="Y479" i="3"/>
  <c r="Y480" i="3"/>
  <c r="Y481" i="3"/>
  <c r="Y482" i="3"/>
  <c r="Y483" i="3"/>
  <c r="Y484" i="3"/>
  <c r="Y485" i="3"/>
  <c r="Y492" i="3"/>
  <c r="Y493" i="3"/>
  <c r="Y494" i="3"/>
  <c r="Y495" i="3"/>
  <c r="Y496" i="3"/>
  <c r="Y497" i="3"/>
  <c r="Y498" i="3"/>
  <c r="Y499" i="3"/>
  <c r="Y500" i="3"/>
  <c r="Y501" i="3"/>
  <c r="Y502" i="3"/>
  <c r="Y503" i="3"/>
  <c r="Y504" i="3"/>
  <c r="Y505" i="3"/>
  <c r="Y506" i="3"/>
  <c r="Y507" i="3"/>
  <c r="Y508" i="3"/>
  <c r="Y509" i="3"/>
  <c r="Y510" i="3"/>
  <c r="Y511" i="3"/>
  <c r="Y512" i="3"/>
  <c r="Y513" i="3"/>
  <c r="Y514" i="3"/>
  <c r="Y515" i="3"/>
  <c r="Y516" i="3"/>
  <c r="Y517" i="3"/>
  <c r="Y518" i="3"/>
  <c r="Y519" i="3"/>
  <c r="Y520" i="3"/>
  <c r="Y521" i="3"/>
  <c r="Y522" i="3"/>
  <c r="Y523" i="3"/>
  <c r="Y524" i="3"/>
  <c r="Y525" i="3"/>
  <c r="Y526" i="3"/>
  <c r="Y527" i="3"/>
  <c r="Y528" i="3"/>
  <c r="Y529" i="3"/>
  <c r="Y530" i="3"/>
  <c r="Y531" i="3"/>
  <c r="Y532" i="3"/>
  <c r="Y533" i="3"/>
  <c r="Y534" i="3"/>
  <c r="Y535" i="3"/>
  <c r="Y536" i="3"/>
  <c r="Y537" i="3"/>
  <c r="Y538" i="3"/>
  <c r="Y539" i="3"/>
  <c r="Y540" i="3"/>
  <c r="Y541" i="3"/>
  <c r="Y542" i="3"/>
  <c r="Y543" i="3"/>
  <c r="Y544" i="3"/>
  <c r="Y545" i="3"/>
  <c r="Y546" i="3"/>
  <c r="Y547" i="3"/>
  <c r="Y548" i="3"/>
  <c r="Y549" i="3"/>
  <c r="Y550" i="3"/>
  <c r="Y551" i="3"/>
  <c r="Y552" i="3"/>
  <c r="Y553" i="3"/>
  <c r="Y554" i="3"/>
  <c r="Y555" i="3"/>
  <c r="Y556" i="3"/>
  <c r="Y557" i="3"/>
  <c r="Y558" i="3"/>
  <c r="Y559" i="3"/>
  <c r="Y560" i="3"/>
  <c r="Y561" i="3"/>
  <c r="Y562" i="3"/>
  <c r="Y563" i="3"/>
  <c r="Y564" i="3"/>
  <c r="Y565" i="3"/>
  <c r="Y566" i="3"/>
  <c r="Y567" i="3"/>
  <c r="Y568" i="3"/>
  <c r="Y569" i="3"/>
  <c r="Y570" i="3"/>
  <c r="Y571" i="3"/>
  <c r="Y572" i="3"/>
  <c r="Y573" i="3"/>
  <c r="Y574" i="3"/>
  <c r="Y575" i="3"/>
  <c r="Y576" i="3"/>
  <c r="Y577" i="3"/>
  <c r="Y578" i="3"/>
  <c r="Y579" i="3"/>
  <c r="Y580" i="3"/>
  <c r="Y581" i="3"/>
  <c r="Y582" i="3"/>
  <c r="Y583" i="3"/>
  <c r="Y584" i="3"/>
  <c r="Y585" i="3"/>
  <c r="Y586" i="3"/>
  <c r="Y587" i="3"/>
  <c r="Y588" i="3"/>
  <c r="Y589" i="3"/>
  <c r="Y590" i="3"/>
  <c r="Y591" i="3"/>
  <c r="Y592" i="3"/>
  <c r="Y593" i="3"/>
  <c r="Y594" i="3"/>
  <c r="Y595" i="3"/>
  <c r="Y596" i="3"/>
  <c r="Y597" i="3"/>
  <c r="Y598" i="3"/>
  <c r="Y599" i="3"/>
  <c r="Y600" i="3"/>
  <c r="Y601" i="3"/>
  <c r="Y602" i="3"/>
  <c r="Y603" i="3"/>
  <c r="Y604" i="3"/>
  <c r="Y605" i="3"/>
  <c r="Y606" i="3"/>
  <c r="Y607" i="3"/>
  <c r="Y608" i="3"/>
  <c r="Y609" i="3"/>
  <c r="Y610" i="3"/>
  <c r="Y611" i="3"/>
  <c r="Y612" i="3"/>
  <c r="Y613" i="3"/>
  <c r="Y614" i="3"/>
  <c r="Y615" i="3"/>
  <c r="Y616" i="3"/>
  <c r="Y617" i="3"/>
  <c r="Y618" i="3"/>
  <c r="Y619" i="3"/>
  <c r="Y620" i="3"/>
  <c r="Y621" i="3"/>
  <c r="Y622" i="3"/>
  <c r="Y623" i="3"/>
  <c r="Y624" i="3"/>
  <c r="Y625" i="3"/>
  <c r="Y626" i="3"/>
  <c r="Y627" i="3"/>
  <c r="Y628" i="3"/>
  <c r="Y629" i="3"/>
  <c r="Y630" i="3"/>
  <c r="Y631" i="3"/>
  <c r="Y632" i="3"/>
  <c r="Y633" i="3"/>
  <c r="Y634" i="3"/>
  <c r="Y635" i="3"/>
  <c r="Y636" i="3"/>
  <c r="Y637" i="3"/>
  <c r="Y638" i="3"/>
  <c r="Y639" i="3"/>
  <c r="Y640" i="3"/>
  <c r="Y641" i="3"/>
  <c r="Y642" i="3"/>
  <c r="Y643" i="3"/>
  <c r="Y644" i="3"/>
  <c r="Y645" i="3"/>
  <c r="Y646" i="3"/>
  <c r="Y647" i="3"/>
  <c r="Y648" i="3"/>
  <c r="Y649" i="3"/>
  <c r="Y650" i="3"/>
  <c r="Y651" i="3"/>
  <c r="Y652" i="3"/>
  <c r="Y653" i="3"/>
  <c r="Y654" i="3"/>
  <c r="Y655" i="3"/>
  <c r="Y656" i="3"/>
  <c r="Y657" i="3"/>
  <c r="Y658" i="3"/>
  <c r="Y659" i="3"/>
  <c r="Y660" i="3"/>
  <c r="Y661" i="3"/>
  <c r="Y662" i="3"/>
  <c r="Y663" i="3"/>
  <c r="Y664" i="3"/>
  <c r="Y665" i="3"/>
  <c r="Y666" i="3"/>
  <c r="Y667" i="3"/>
  <c r="Y668" i="3"/>
  <c r="Y669" i="3"/>
  <c r="Y670" i="3"/>
  <c r="Y671" i="3"/>
  <c r="Y672" i="3"/>
  <c r="Y673" i="3"/>
  <c r="Y674" i="3"/>
  <c r="Y675" i="3"/>
  <c r="Y676" i="3"/>
  <c r="Y677" i="3"/>
  <c r="Y678" i="3"/>
  <c r="Y679" i="3"/>
  <c r="Y680" i="3"/>
  <c r="Y681" i="3"/>
  <c r="Y682" i="3"/>
  <c r="Y683" i="3"/>
  <c r="Y684" i="3"/>
  <c r="Y685" i="3"/>
  <c r="Y686" i="3"/>
  <c r="Y687" i="3"/>
  <c r="Y688" i="3"/>
  <c r="Y689" i="3"/>
  <c r="Y690" i="3"/>
  <c r="Y691" i="3"/>
  <c r="Y692" i="3"/>
  <c r="Y693" i="3"/>
  <c r="Y694" i="3"/>
  <c r="Y695" i="3"/>
  <c r="Y696" i="3"/>
  <c r="Y697" i="3"/>
  <c r="Y698" i="3"/>
  <c r="Y699" i="3"/>
  <c r="Y700" i="3"/>
  <c r="Y701" i="3"/>
  <c r="Y702" i="3"/>
  <c r="Y703" i="3"/>
  <c r="Y704" i="3"/>
  <c r="Y705" i="3"/>
  <c r="Y706" i="3"/>
  <c r="Y707" i="3"/>
  <c r="Y708" i="3"/>
  <c r="Y709" i="3"/>
  <c r="Y710" i="3"/>
  <c r="Y711" i="3"/>
  <c r="Y712" i="3"/>
  <c r="Y713" i="3"/>
  <c r="Y714" i="3"/>
  <c r="Y715" i="3"/>
  <c r="Y716" i="3"/>
  <c r="Y717" i="3"/>
  <c r="Y718" i="3"/>
  <c r="Y719" i="3"/>
  <c r="Y720" i="3"/>
  <c r="Y721" i="3"/>
  <c r="Y722" i="3"/>
  <c r="Y723" i="3"/>
  <c r="Y724" i="3"/>
  <c r="Y725" i="3"/>
  <c r="Y726" i="3"/>
  <c r="Y727" i="3"/>
  <c r="Y728" i="3"/>
  <c r="Y729" i="3"/>
  <c r="Y730" i="3"/>
  <c r="Y731" i="3"/>
  <c r="Y732" i="3"/>
  <c r="Y733" i="3"/>
  <c r="Y734" i="3"/>
  <c r="Y735" i="3"/>
  <c r="Y736" i="3"/>
  <c r="Y737" i="3"/>
  <c r="Y738" i="3"/>
  <c r="Y739" i="3"/>
  <c r="Y740" i="3"/>
  <c r="Y741" i="3"/>
  <c r="Y742" i="3"/>
  <c r="Y743" i="3"/>
  <c r="Y744" i="3"/>
  <c r="Y745" i="3"/>
  <c r="Y746" i="3"/>
  <c r="Y747" i="3"/>
  <c r="Y748" i="3"/>
  <c r="Y749" i="3"/>
  <c r="Y750" i="3"/>
  <c r="Y751" i="3"/>
  <c r="Y752" i="3"/>
  <c r="Y753" i="3"/>
  <c r="Y754" i="3"/>
  <c r="Y755" i="3"/>
  <c r="Y756" i="3"/>
  <c r="Y757" i="3"/>
  <c r="Y758" i="3"/>
  <c r="Y759" i="3"/>
  <c r="Y760" i="3"/>
  <c r="Y761" i="3"/>
  <c r="Y762" i="3"/>
  <c r="Y763" i="3"/>
  <c r="Y764" i="3"/>
  <c r="Y765" i="3"/>
  <c r="Y766" i="3"/>
  <c r="Y767" i="3"/>
  <c r="Y768" i="3"/>
  <c r="Y769" i="3"/>
  <c r="Y770" i="3"/>
  <c r="Y771" i="3"/>
  <c r="Y772" i="3"/>
  <c r="Y773" i="3"/>
  <c r="Y774" i="3"/>
  <c r="Y775" i="3"/>
  <c r="Y776" i="3"/>
  <c r="Y777" i="3"/>
  <c r="Y778" i="3"/>
  <c r="Y779" i="3"/>
  <c r="Y780" i="3"/>
  <c r="Y781" i="3"/>
  <c r="Y782" i="3"/>
  <c r="Y783" i="3"/>
  <c r="Y784" i="3"/>
  <c r="Y785" i="3"/>
  <c r="Y786" i="3"/>
  <c r="Y787" i="3"/>
  <c r="Y788" i="3"/>
  <c r="Y789" i="3"/>
  <c r="Y790" i="3"/>
  <c r="Y791" i="3"/>
  <c r="Y792" i="3"/>
  <c r="Y793" i="3"/>
  <c r="Y794" i="3"/>
  <c r="Y795" i="3"/>
  <c r="Y796" i="3"/>
  <c r="Y797" i="3"/>
  <c r="Y798" i="3"/>
  <c r="Y799" i="3"/>
  <c r="Y800" i="3"/>
  <c r="Y801" i="3"/>
  <c r="Y802" i="3"/>
  <c r="Y803" i="3"/>
  <c r="Y804" i="3"/>
  <c r="Y805" i="3"/>
  <c r="Y806" i="3"/>
  <c r="Y807" i="3"/>
  <c r="Y808" i="3"/>
  <c r="Y809" i="3"/>
  <c r="Y810" i="3"/>
  <c r="Y811" i="3"/>
  <c r="Y812" i="3"/>
  <c r="Y813" i="3"/>
  <c r="Y814" i="3"/>
  <c r="Y815" i="3"/>
  <c r="Y816" i="3"/>
  <c r="Y817" i="3"/>
  <c r="Y818" i="3"/>
  <c r="Y819" i="3"/>
  <c r="Y820" i="3"/>
  <c r="Y821" i="3"/>
  <c r="Y822" i="3"/>
  <c r="Y823" i="3"/>
  <c r="Y824" i="3"/>
  <c r="Y825" i="3"/>
  <c r="Y826" i="3"/>
  <c r="Y827" i="3"/>
  <c r="Y828" i="3"/>
  <c r="Y829" i="3"/>
  <c r="Y830" i="3"/>
  <c r="Y831" i="3"/>
  <c r="Y832" i="3"/>
  <c r="Y833" i="3"/>
  <c r="Y834" i="3"/>
  <c r="Y835" i="3"/>
  <c r="Y836" i="3"/>
  <c r="Y837" i="3"/>
  <c r="Y838" i="3"/>
  <c r="Y839" i="3"/>
  <c r="Y840" i="3"/>
  <c r="Y841" i="3"/>
  <c r="Y842" i="3"/>
  <c r="Y843" i="3"/>
  <c r="Y844" i="3"/>
  <c r="Y845" i="3"/>
  <c r="Y846" i="3"/>
  <c r="Y847" i="3"/>
  <c r="Y848" i="3"/>
  <c r="Y849" i="3"/>
  <c r="Y850" i="3"/>
  <c r="Y851" i="3"/>
  <c r="Y852" i="3"/>
  <c r="Y853" i="3"/>
  <c r="Y854" i="3"/>
  <c r="Y855" i="3"/>
  <c r="Y856" i="3"/>
  <c r="Y857" i="3"/>
  <c r="Y858" i="3"/>
  <c r="Y859" i="3"/>
  <c r="Y860" i="3"/>
  <c r="Y861" i="3"/>
  <c r="Y862" i="3"/>
  <c r="Y863" i="3"/>
  <c r="Y864" i="3"/>
  <c r="Y865" i="3"/>
  <c r="Y866" i="3"/>
  <c r="Y867" i="3"/>
  <c r="Y868" i="3"/>
  <c r="Y869" i="3"/>
  <c r="Y870" i="3"/>
  <c r="Y871" i="3"/>
  <c r="Y872" i="3"/>
  <c r="Y873" i="3"/>
  <c r="Y874" i="3"/>
  <c r="Y875" i="3"/>
  <c r="Y876" i="3"/>
  <c r="Y877" i="3"/>
  <c r="Y878" i="3"/>
  <c r="Y879" i="3"/>
  <c r="Y880" i="3"/>
  <c r="Y881" i="3"/>
  <c r="Y882" i="3"/>
  <c r="Y883" i="3"/>
  <c r="Y884" i="3"/>
  <c r="Y885" i="3"/>
  <c r="Y886" i="3"/>
  <c r="Y887" i="3"/>
  <c r="Y888" i="3"/>
  <c r="Y889" i="3"/>
  <c r="Y890" i="3"/>
  <c r="Y891" i="3"/>
  <c r="Y892" i="3"/>
  <c r="Y893" i="3"/>
  <c r="Y894" i="3"/>
  <c r="Y895" i="3"/>
  <c r="Y896" i="3"/>
  <c r="Y897" i="3"/>
  <c r="Y898" i="3"/>
  <c r="Y899" i="3"/>
  <c r="Y900" i="3"/>
  <c r="Y901" i="3"/>
  <c r="Y902" i="3"/>
  <c r="Y903" i="3"/>
  <c r="Y904" i="3"/>
  <c r="Y905" i="3"/>
  <c r="Y906" i="3"/>
  <c r="Y907" i="3"/>
  <c r="Y908" i="3"/>
  <c r="Y909" i="3"/>
  <c r="Y910" i="3"/>
  <c r="Y911" i="3"/>
  <c r="Y912" i="3"/>
  <c r="Y913" i="3"/>
  <c r="Y914" i="3"/>
  <c r="Y915" i="3"/>
  <c r="Y916" i="3"/>
  <c r="Y917" i="3"/>
  <c r="Y918" i="3"/>
  <c r="Y919" i="3"/>
  <c r="Y920" i="3"/>
  <c r="Y921" i="3"/>
  <c r="Y922" i="3"/>
  <c r="Y923" i="3"/>
  <c r="Y924" i="3"/>
  <c r="Y925" i="3"/>
  <c r="Y926" i="3"/>
  <c r="Y927" i="3"/>
  <c r="Y928" i="3"/>
  <c r="Y929" i="3"/>
  <c r="Y930" i="3"/>
  <c r="Y931" i="3"/>
  <c r="Y932" i="3"/>
  <c r="Y933" i="3"/>
  <c r="Y934" i="3"/>
  <c r="Y935" i="3"/>
  <c r="Y936" i="3"/>
  <c r="Y937" i="3"/>
  <c r="Y938" i="3"/>
  <c r="Y939" i="3"/>
  <c r="Y940" i="3"/>
  <c r="Y941" i="3"/>
  <c r="Y942" i="3"/>
  <c r="Y943" i="3"/>
  <c r="Y944" i="3"/>
  <c r="Y945" i="3"/>
  <c r="Y946" i="3"/>
  <c r="Y947" i="3"/>
  <c r="Y948" i="3"/>
  <c r="Y949" i="3"/>
  <c r="Y950" i="3"/>
  <c r="Y951" i="3"/>
  <c r="Y952" i="3"/>
  <c r="Y953" i="3"/>
  <c r="Y954" i="3"/>
  <c r="Y955" i="3"/>
  <c r="Y956" i="3"/>
  <c r="Y957" i="3"/>
  <c r="Y958" i="3"/>
  <c r="Y959" i="3"/>
  <c r="Y960" i="3"/>
  <c r="Y961" i="3"/>
  <c r="Y962" i="3"/>
  <c r="Y963" i="3"/>
  <c r="Y964" i="3"/>
  <c r="Y965" i="3"/>
  <c r="Y966" i="3"/>
  <c r="Y967" i="3"/>
  <c r="Y968" i="3"/>
  <c r="Y969" i="3"/>
  <c r="Y970" i="3"/>
  <c r="Y971" i="3"/>
  <c r="Y972" i="3"/>
  <c r="Y973" i="3"/>
  <c r="Y974" i="3"/>
  <c r="Y975" i="3"/>
  <c r="Y976" i="3"/>
  <c r="Y977" i="3"/>
  <c r="Y978" i="3"/>
  <c r="Y979" i="3"/>
  <c r="Y980" i="3"/>
  <c r="Y981" i="3"/>
  <c r="Y982" i="3"/>
  <c r="Y983" i="3"/>
  <c r="Y984" i="3"/>
  <c r="Y985" i="3"/>
  <c r="Y986" i="3"/>
  <c r="Y987" i="3"/>
  <c r="Y988" i="3"/>
  <c r="Y989" i="3"/>
  <c r="Y990" i="3"/>
  <c r="Y991" i="3"/>
  <c r="Y992" i="3"/>
  <c r="Y993" i="3"/>
  <c r="Y994" i="3"/>
  <c r="Y995" i="3"/>
  <c r="Y996" i="3"/>
  <c r="Y997" i="3"/>
  <c r="Y998" i="3"/>
  <c r="Y999" i="3"/>
  <c r="Y1000" i="3"/>
  <c r="Y1001" i="3"/>
  <c r="Y1002" i="3"/>
  <c r="Y1003" i="3"/>
  <c r="Y1004" i="3"/>
  <c r="Y1005" i="3"/>
  <c r="Y1006" i="3"/>
  <c r="Y1007" i="3"/>
  <c r="Y1008" i="3"/>
  <c r="Y1009" i="3"/>
  <c r="Y1010" i="3"/>
  <c r="Y1011" i="3"/>
  <c r="Y1012" i="3"/>
  <c r="Y1013" i="3"/>
  <c r="Y1014" i="3"/>
  <c r="Y1015" i="3"/>
  <c r="Y1016" i="3"/>
  <c r="Y1017" i="3"/>
  <c r="Y1018" i="3"/>
  <c r="Y1019" i="3"/>
  <c r="Y1020" i="3"/>
  <c r="Y1021" i="3"/>
  <c r="Y1022" i="3"/>
  <c r="Y1023" i="3"/>
  <c r="Y1024" i="3"/>
  <c r="Y1025" i="3"/>
  <c r="Y1026" i="3"/>
  <c r="Y1027" i="3"/>
  <c r="Y1028" i="3"/>
  <c r="Y1029" i="3"/>
  <c r="Y1030" i="3"/>
  <c r="Y1031" i="3"/>
  <c r="Y1032" i="3"/>
  <c r="Y1033" i="3"/>
  <c r="Y1034" i="3"/>
  <c r="Y1035" i="3"/>
  <c r="Y1036" i="3"/>
  <c r="Y1037" i="3"/>
  <c r="Y1038" i="3"/>
  <c r="Y1039" i="3"/>
  <c r="Y1040" i="3"/>
  <c r="Y1041" i="3"/>
  <c r="Y1042" i="3"/>
  <c r="Y1043" i="3"/>
  <c r="Y1044" i="3"/>
  <c r="Y1045" i="3"/>
  <c r="Y1046" i="3"/>
  <c r="Y1047" i="3"/>
  <c r="Y1048" i="3"/>
  <c r="Y1049" i="3"/>
  <c r="Y1050" i="3"/>
  <c r="Y1051" i="3"/>
  <c r="Y1052" i="3"/>
  <c r="Y1053" i="3"/>
  <c r="Y1054" i="3"/>
  <c r="Y1055" i="3"/>
  <c r="Y1056" i="3"/>
  <c r="Y1057" i="3"/>
  <c r="Y1058" i="3"/>
  <c r="Y1059" i="3"/>
  <c r="Y1060" i="3"/>
  <c r="Y1061" i="3"/>
  <c r="Y1062" i="3"/>
  <c r="Y1063" i="3"/>
  <c r="Y1064" i="3"/>
  <c r="Y1065" i="3"/>
  <c r="Y1066" i="3"/>
  <c r="Y1067" i="3"/>
  <c r="Y1068" i="3"/>
  <c r="Y1069" i="3"/>
  <c r="Y1070" i="3"/>
  <c r="Y1071" i="3"/>
  <c r="Y1072" i="3"/>
  <c r="Y1073" i="3"/>
  <c r="Y1074" i="3"/>
  <c r="Y1075" i="3"/>
  <c r="Y1076" i="3"/>
  <c r="Y1077" i="3"/>
  <c r="Y1078" i="3"/>
  <c r="Y1079" i="3"/>
  <c r="Y1080" i="3"/>
  <c r="Y1081" i="3"/>
  <c r="Y1082" i="3"/>
  <c r="Y1083" i="3"/>
  <c r="Y1084" i="3"/>
  <c r="Y1085" i="3"/>
  <c r="Y1086" i="3"/>
  <c r="Y1087" i="3"/>
  <c r="Y1088" i="3"/>
  <c r="Y1089" i="3"/>
  <c r="Y1090" i="3"/>
  <c r="Y1091" i="3"/>
  <c r="Y1092" i="3"/>
  <c r="Y1093" i="3"/>
  <c r="Y1094" i="3"/>
  <c r="Y1095" i="3"/>
  <c r="Y1096" i="3"/>
  <c r="Y1097" i="3"/>
  <c r="Y1098" i="3"/>
  <c r="Y1099" i="3"/>
  <c r="Y1100" i="3"/>
  <c r="Y1101" i="3"/>
  <c r="Y1102" i="3"/>
  <c r="Y1103" i="3"/>
  <c r="Y1104" i="3"/>
  <c r="Y1105" i="3"/>
  <c r="Y1106" i="3"/>
  <c r="Y1107" i="3"/>
  <c r="Y1108" i="3"/>
  <c r="Y1109" i="3"/>
  <c r="Y1110" i="3"/>
  <c r="Y1111" i="3"/>
  <c r="Y1112" i="3"/>
  <c r="Y1113" i="3"/>
  <c r="Y1114" i="3"/>
  <c r="Y1115" i="3"/>
  <c r="Y1116" i="3"/>
  <c r="Y1117" i="3"/>
  <c r="Y1118" i="3"/>
  <c r="Y1119" i="3"/>
  <c r="Y1120" i="3"/>
  <c r="Y1121" i="3"/>
  <c r="Y1122" i="3"/>
  <c r="Y1123" i="3"/>
  <c r="Y1124" i="3"/>
  <c r="Y1125" i="3"/>
  <c r="Y1126" i="3"/>
  <c r="Y1127" i="3"/>
  <c r="Y1128" i="3"/>
  <c r="Y1129" i="3"/>
  <c r="Y1130" i="3"/>
  <c r="Y1131" i="3"/>
  <c r="Y1132" i="3"/>
  <c r="Y1133" i="3"/>
  <c r="Y1134" i="3"/>
  <c r="Y1135" i="3"/>
  <c r="Y1136" i="3"/>
  <c r="Y1137" i="3"/>
  <c r="Y1138" i="3"/>
  <c r="Y1139" i="3"/>
  <c r="Y1140" i="3"/>
  <c r="Y1141" i="3"/>
  <c r="Y1142" i="3"/>
  <c r="Y1143" i="3"/>
  <c r="Y1144" i="3"/>
  <c r="Y1145" i="3"/>
  <c r="Y1146" i="3"/>
  <c r="Y1147" i="3"/>
  <c r="Y1148" i="3"/>
  <c r="Y1149" i="3"/>
  <c r="Y1150" i="3"/>
  <c r="Y1151" i="3"/>
  <c r="Y1152" i="3"/>
  <c r="Y1153" i="3"/>
  <c r="Y1154" i="3"/>
  <c r="Y1155" i="3"/>
  <c r="Y1156" i="3"/>
  <c r="Y1157" i="3"/>
  <c r="Y1158" i="3"/>
  <c r="Y1159" i="3"/>
  <c r="Y1160" i="3"/>
  <c r="Y1161" i="3"/>
  <c r="Y1162" i="3"/>
  <c r="Y1163" i="3"/>
  <c r="Y1164" i="3"/>
  <c r="Y1165" i="3"/>
  <c r="Y1166" i="3"/>
  <c r="Y1167" i="3"/>
  <c r="Y1168" i="3"/>
  <c r="Y1169" i="3"/>
  <c r="Y1170" i="3"/>
  <c r="Y1171" i="3"/>
  <c r="Y1172" i="3"/>
  <c r="Y1173" i="3"/>
  <c r="Y1174" i="3"/>
  <c r="Y1175" i="3"/>
  <c r="Y1176" i="3"/>
  <c r="Y1177" i="3"/>
  <c r="Y1178" i="3"/>
  <c r="Y1179" i="3"/>
  <c r="Y1180" i="3"/>
  <c r="Y1181" i="3"/>
  <c r="Y1182" i="3"/>
  <c r="Y1183" i="3"/>
  <c r="Y1184" i="3"/>
  <c r="Y1185" i="3"/>
  <c r="Y1186" i="3"/>
  <c r="Y1187" i="3"/>
  <c r="Y1188" i="3"/>
  <c r="Y1189" i="3"/>
  <c r="Y1190" i="3"/>
  <c r="Y1191" i="3"/>
  <c r="Y1192" i="3"/>
  <c r="Y1193" i="3"/>
  <c r="Y1194" i="3"/>
  <c r="Y1195" i="3"/>
  <c r="Y1196" i="3"/>
  <c r="Y1197" i="3"/>
  <c r="Y1198" i="3"/>
  <c r="Y1199" i="3"/>
  <c r="Y1200" i="3"/>
  <c r="Y1201" i="3"/>
  <c r="Y1202" i="3"/>
  <c r="Y1203" i="3"/>
  <c r="Y1204" i="3"/>
  <c r="Y1205" i="3"/>
  <c r="Y1206" i="3"/>
  <c r="Y1207" i="3"/>
  <c r="Y1208" i="3"/>
  <c r="Y1209" i="3"/>
  <c r="Y1210" i="3"/>
  <c r="Y1211" i="3"/>
  <c r="Y1212" i="3"/>
  <c r="Y1213" i="3"/>
  <c r="Y1214" i="3"/>
  <c r="Y1215" i="3"/>
  <c r="Y1216" i="3"/>
  <c r="Y1217" i="3"/>
  <c r="Y1218" i="3"/>
  <c r="Y1219" i="3"/>
  <c r="Y1220" i="3"/>
  <c r="Y1221" i="3"/>
  <c r="Y1222" i="3"/>
  <c r="Y1223" i="3"/>
  <c r="Y1224" i="3"/>
  <c r="Y1225" i="3"/>
  <c r="Y1226" i="3"/>
  <c r="Y1227" i="3"/>
  <c r="Y1228" i="3"/>
  <c r="Y1229" i="3"/>
  <c r="Y1230" i="3"/>
  <c r="Y1231" i="3"/>
  <c r="Y1232" i="3"/>
  <c r="Y1233" i="3"/>
  <c r="Y1234" i="3"/>
  <c r="Y1235" i="3"/>
  <c r="Y1236" i="3"/>
  <c r="Y1237" i="3"/>
  <c r="Y1238" i="3"/>
  <c r="Y1239" i="3"/>
  <c r="Y1240" i="3"/>
  <c r="Y1241" i="3"/>
  <c r="Y1242" i="3"/>
  <c r="Y1243" i="3"/>
  <c r="Y1244" i="3"/>
  <c r="Y1245" i="3"/>
  <c r="Y1246" i="3"/>
  <c r="Y1247" i="3"/>
  <c r="Y1248" i="3"/>
  <c r="Y1249" i="3"/>
  <c r="Y1250" i="3"/>
  <c r="Y1251" i="3"/>
  <c r="Y1252" i="3"/>
  <c r="Y1253" i="3"/>
  <c r="Y1254" i="3"/>
  <c r="Y1255" i="3"/>
  <c r="Y1256" i="3"/>
  <c r="Y1257" i="3"/>
  <c r="Y1258" i="3"/>
  <c r="Y1259" i="3"/>
  <c r="Y1260" i="3"/>
  <c r="Y1261" i="3"/>
  <c r="Y1262" i="3"/>
  <c r="Y1263" i="3"/>
  <c r="Y1264" i="3"/>
  <c r="Y1265" i="3"/>
  <c r="Y1266" i="3"/>
  <c r="Y1267" i="3"/>
  <c r="Y1268" i="3"/>
  <c r="Y1269" i="3"/>
  <c r="Y1270" i="3"/>
  <c r="Y1271" i="3"/>
  <c r="Y1272" i="3"/>
  <c r="Y1273" i="3"/>
  <c r="Y1274" i="3"/>
  <c r="Y1275" i="3"/>
  <c r="Y1276" i="3"/>
  <c r="Y1277" i="3"/>
  <c r="Y1278" i="3"/>
  <c r="Y1279" i="3"/>
  <c r="Y1280" i="3"/>
  <c r="Y1281" i="3"/>
  <c r="Y1282" i="3"/>
  <c r="Y1283" i="3"/>
  <c r="Y1284" i="3"/>
  <c r="Y1285" i="3"/>
  <c r="Y1286" i="3"/>
  <c r="Y1287" i="3"/>
  <c r="Y1288" i="3"/>
  <c r="Y1289" i="3"/>
  <c r="Y1290" i="3"/>
  <c r="Y1291" i="3"/>
  <c r="Y1292" i="3"/>
  <c r="Y1293" i="3"/>
  <c r="Y1294" i="3"/>
  <c r="Y1295" i="3"/>
  <c r="Y1296" i="3"/>
  <c r="Y1297" i="3"/>
  <c r="Y1298" i="3"/>
  <c r="Y1299" i="3"/>
  <c r="Y1300" i="3"/>
  <c r="Y1301" i="3"/>
  <c r="Y1302" i="3"/>
  <c r="Y1303" i="3"/>
  <c r="Y1304" i="3"/>
  <c r="Y1305" i="3"/>
  <c r="Y1306" i="3"/>
  <c r="Y1307" i="3"/>
  <c r="Y1308" i="3"/>
  <c r="Y1309" i="3"/>
  <c r="Y1310" i="3"/>
  <c r="Y1311" i="3"/>
  <c r="Y1312" i="3"/>
  <c r="Y1313" i="3"/>
  <c r="Y1314" i="3"/>
  <c r="Y1315" i="3"/>
  <c r="Y1316" i="3"/>
  <c r="Y1317" i="3"/>
  <c r="Y1318" i="3"/>
  <c r="Y1319" i="3"/>
  <c r="Y1320" i="3"/>
  <c r="Y1321" i="3"/>
  <c r="Y1322" i="3"/>
  <c r="Y1323" i="3"/>
  <c r="Y1324" i="3"/>
  <c r="Y1325" i="3"/>
  <c r="Y1326" i="3"/>
  <c r="Y1327" i="3"/>
  <c r="Y1328" i="3"/>
  <c r="Y1329" i="3"/>
  <c r="Y1330" i="3"/>
  <c r="Y1331" i="3"/>
  <c r="Y1332" i="3"/>
  <c r="Y1333" i="3"/>
  <c r="Y1334" i="3"/>
  <c r="Y1335" i="3"/>
  <c r="Y1336" i="3"/>
  <c r="Y1337" i="3"/>
  <c r="Y1338" i="3"/>
  <c r="Y1339" i="3"/>
  <c r="Y1340" i="3"/>
  <c r="Y1341" i="3"/>
  <c r="Y1342" i="3"/>
  <c r="Y1343" i="3"/>
  <c r="Y1344" i="3"/>
  <c r="Y1345" i="3"/>
  <c r="Y1346" i="3"/>
  <c r="Y1347" i="3"/>
  <c r="Y1348" i="3"/>
  <c r="Y1349" i="3"/>
  <c r="Y1350" i="3"/>
  <c r="Y1351" i="3"/>
  <c r="Y1352" i="3"/>
  <c r="Y1353" i="3"/>
  <c r="Y1354" i="3"/>
  <c r="Y1355" i="3"/>
  <c r="Y1356" i="3"/>
  <c r="Y1357" i="3"/>
  <c r="Y1358" i="3"/>
  <c r="Y1359" i="3"/>
  <c r="Y1360" i="3"/>
  <c r="Y1361" i="3"/>
  <c r="Y1362" i="3"/>
  <c r="Y1363" i="3"/>
  <c r="Y1364" i="3"/>
  <c r="Y1365" i="3"/>
  <c r="Y1366" i="3"/>
  <c r="Y1367" i="3"/>
  <c r="Y1368" i="3"/>
  <c r="Y1369" i="3"/>
  <c r="Y1370" i="3"/>
  <c r="Y1371" i="3"/>
  <c r="Y1372" i="3"/>
  <c r="Y1373" i="3"/>
  <c r="Y1374" i="3"/>
  <c r="Y1375" i="3"/>
  <c r="Y1376" i="3"/>
  <c r="Y1377" i="3"/>
  <c r="Y1378" i="3"/>
  <c r="Y1379" i="3"/>
  <c r="Y1380" i="3"/>
  <c r="Y1381" i="3"/>
  <c r="Y1382" i="3"/>
  <c r="Y1383" i="3"/>
  <c r="Y1384" i="3"/>
  <c r="Y1385" i="3"/>
  <c r="Y1386" i="3"/>
  <c r="Y1387" i="3"/>
  <c r="Y1388" i="3"/>
  <c r="Y1389" i="3"/>
  <c r="Y1390" i="3"/>
  <c r="Y1391" i="3"/>
  <c r="Y1392" i="3"/>
  <c r="Y1393" i="3"/>
  <c r="Y1394" i="3"/>
  <c r="Y1395" i="3"/>
  <c r="Y1396" i="3"/>
  <c r="Y1397" i="3"/>
  <c r="Y1398" i="3"/>
  <c r="Y1399" i="3"/>
  <c r="Y1400" i="3"/>
  <c r="Y1401" i="3"/>
  <c r="Y1402" i="3"/>
  <c r="Y1403" i="3"/>
  <c r="Y1404" i="3"/>
  <c r="Y1405" i="3"/>
  <c r="Y1406" i="3"/>
  <c r="Y1407" i="3"/>
  <c r="Y1408" i="3"/>
  <c r="Y1409" i="3"/>
  <c r="Y1410" i="3"/>
  <c r="Y1411" i="3"/>
  <c r="Y1412" i="3"/>
  <c r="Y1413" i="3"/>
  <c r="Y1414" i="3"/>
  <c r="Y1415" i="3"/>
  <c r="Y1416" i="3"/>
  <c r="Y1417" i="3"/>
  <c r="Y1418" i="3"/>
  <c r="Y1419" i="3"/>
  <c r="Y1420" i="3"/>
  <c r="Y1421" i="3"/>
  <c r="Y1422" i="3"/>
  <c r="Y1423" i="3"/>
  <c r="Y1424" i="3"/>
  <c r="Y1425" i="3"/>
  <c r="Y1426" i="3"/>
  <c r="Y1427" i="3"/>
  <c r="Y1428" i="3"/>
  <c r="Y1429" i="3"/>
  <c r="Y1430" i="3"/>
  <c r="Y1431" i="3"/>
  <c r="Y1432" i="3"/>
  <c r="Y1433" i="3"/>
  <c r="Y1434" i="3"/>
  <c r="Y1435" i="3"/>
  <c r="Y1436" i="3"/>
  <c r="Y1437" i="3"/>
  <c r="Y1438" i="3"/>
  <c r="Y1439" i="3"/>
  <c r="Y1440" i="3"/>
  <c r="Y1441" i="3"/>
  <c r="Y1442" i="3"/>
  <c r="Y1443" i="3"/>
  <c r="Y1444" i="3"/>
  <c r="Y1445" i="3"/>
  <c r="Y1446" i="3"/>
  <c r="Y1447" i="3"/>
  <c r="Y1448" i="3"/>
  <c r="Y1449" i="3"/>
  <c r="Y1450" i="3"/>
  <c r="Y1451" i="3"/>
  <c r="Y1452" i="3"/>
  <c r="Y1453" i="3"/>
  <c r="Y1454" i="3"/>
  <c r="Y1455" i="3"/>
  <c r="Y1456" i="3"/>
  <c r="Y1457" i="3"/>
  <c r="Y1458" i="3"/>
  <c r="Y1459" i="3"/>
  <c r="Y1460" i="3"/>
  <c r="Y1461" i="3"/>
  <c r="Y1462" i="3"/>
  <c r="Y1463" i="3"/>
  <c r="Y1464" i="3"/>
  <c r="Y1465" i="3"/>
  <c r="Y1466" i="3"/>
  <c r="Y1467" i="3"/>
  <c r="Y1468" i="3"/>
  <c r="Y1469" i="3"/>
  <c r="Y1470" i="3"/>
  <c r="Y1471" i="3"/>
  <c r="Y1472" i="3"/>
  <c r="Y1473" i="3"/>
  <c r="Y1474" i="3"/>
  <c r="Y1475" i="3"/>
  <c r="Y1476" i="3"/>
  <c r="Y1477" i="3"/>
  <c r="Y1478" i="3"/>
  <c r="Y1479" i="3"/>
  <c r="Y1480" i="3"/>
  <c r="Y1481" i="3"/>
  <c r="Y1482" i="3"/>
  <c r="Y1483" i="3"/>
  <c r="Y1484" i="3"/>
  <c r="Y1485" i="3"/>
  <c r="Y1486" i="3"/>
  <c r="Y1487" i="3"/>
  <c r="Y1488" i="3"/>
  <c r="Y1489" i="3"/>
  <c r="Y1490" i="3"/>
  <c r="Y1491" i="3"/>
  <c r="Y1492" i="3"/>
  <c r="Y1493" i="3"/>
  <c r="Y1494" i="3"/>
  <c r="Y1495" i="3"/>
  <c r="Y1496" i="3"/>
  <c r="Y1497" i="3"/>
  <c r="Y1498" i="3"/>
  <c r="Y1499" i="3"/>
  <c r="Y1500" i="3"/>
  <c r="Y1501" i="3"/>
  <c r="Y1502" i="3"/>
  <c r="Y1503" i="3"/>
  <c r="Y1504" i="3"/>
  <c r="Y1505" i="3"/>
  <c r="Y1506" i="3"/>
  <c r="Y1507" i="3"/>
  <c r="Y1508" i="3"/>
  <c r="Y1509" i="3"/>
  <c r="Y1510" i="3"/>
  <c r="Y1511" i="3"/>
  <c r="Y1512" i="3"/>
  <c r="Y1513" i="3"/>
  <c r="Y1514" i="3"/>
  <c r="Y1515" i="3"/>
  <c r="Y1516" i="3"/>
  <c r="Y1517" i="3"/>
  <c r="Y1518" i="3"/>
  <c r="Y1519" i="3"/>
  <c r="Y1520" i="3"/>
  <c r="Y1521" i="3"/>
  <c r="Y1522" i="3"/>
  <c r="Y1523" i="3"/>
  <c r="Y1524" i="3"/>
  <c r="Y1525" i="3"/>
  <c r="Y1526" i="3"/>
  <c r="Y1527" i="3"/>
  <c r="Y1528" i="3"/>
  <c r="Y1529" i="3"/>
  <c r="Y1530" i="3"/>
  <c r="Y1531" i="3"/>
  <c r="Y1532" i="3"/>
  <c r="Y1533" i="3"/>
  <c r="Y1534" i="3"/>
  <c r="Y1535" i="3"/>
  <c r="Y1536" i="3"/>
  <c r="Y1537" i="3"/>
  <c r="Y1538" i="3"/>
  <c r="Y1539" i="3"/>
  <c r="Y1540" i="3"/>
  <c r="Y1541" i="3"/>
  <c r="Y1542" i="3"/>
  <c r="Y1543" i="3"/>
  <c r="Y1544" i="3"/>
  <c r="Y1545" i="3"/>
  <c r="Y1546" i="3"/>
  <c r="Y1547" i="3"/>
  <c r="Y1548" i="3"/>
  <c r="Y1549" i="3"/>
  <c r="Y1550" i="3"/>
  <c r="Y1551" i="3"/>
  <c r="Y1552" i="3"/>
  <c r="Y1553" i="3"/>
  <c r="Y1554" i="3"/>
  <c r="Y1555" i="3"/>
  <c r="Y1556" i="3"/>
  <c r="Y1557" i="3"/>
  <c r="Y1558" i="3"/>
  <c r="Y1559" i="3"/>
  <c r="Y1560" i="3"/>
  <c r="Y1561" i="3"/>
  <c r="Y1562" i="3"/>
  <c r="Y1563" i="3"/>
  <c r="Y1564" i="3"/>
  <c r="Y1565" i="3"/>
  <c r="Y1566" i="3"/>
  <c r="Y1567" i="3"/>
  <c r="Y1568" i="3"/>
  <c r="Y1569" i="3"/>
  <c r="Y1570" i="3"/>
  <c r="Y1571" i="3"/>
  <c r="Y1572" i="3"/>
  <c r="Y1573" i="3"/>
  <c r="Y1574" i="3"/>
  <c r="Y1575" i="3"/>
  <c r="Y1576" i="3"/>
  <c r="Y1577" i="3"/>
  <c r="Y1578" i="3"/>
  <c r="Y1579" i="3"/>
  <c r="Y1580" i="3"/>
  <c r="Y1581" i="3"/>
  <c r="Y1582" i="3"/>
  <c r="Y1583" i="3"/>
  <c r="Y1584" i="3"/>
  <c r="Y1585" i="3"/>
  <c r="Y1586" i="3"/>
  <c r="Y1587" i="3"/>
  <c r="Y1588" i="3"/>
  <c r="Y1589" i="3"/>
  <c r="Y1590" i="3"/>
  <c r="Y1591" i="3"/>
  <c r="Y1592" i="3"/>
  <c r="Y1593" i="3"/>
  <c r="Y1594" i="3"/>
  <c r="Y1595" i="3"/>
  <c r="Y1596" i="3"/>
  <c r="Y1597" i="3"/>
  <c r="Y1598" i="3"/>
  <c r="Y1599" i="3"/>
  <c r="Y1600" i="3"/>
  <c r="Y1601" i="3"/>
  <c r="Y1602" i="3"/>
  <c r="Y1603" i="3"/>
  <c r="Y1604" i="3"/>
  <c r="Y1605" i="3"/>
  <c r="Y1606" i="3"/>
  <c r="Y1607" i="3"/>
  <c r="Y1608" i="3"/>
  <c r="Y1609" i="3"/>
  <c r="Y1610" i="3"/>
  <c r="Y1611" i="3"/>
  <c r="Y1612" i="3"/>
  <c r="Y1613" i="3"/>
  <c r="Y1614" i="3"/>
  <c r="Y1615" i="3"/>
  <c r="Y1616" i="3"/>
  <c r="Y1617" i="3"/>
  <c r="Y1618" i="3"/>
  <c r="Y1619" i="3"/>
  <c r="Y1620" i="3"/>
  <c r="Y1621" i="3"/>
  <c r="Y1622" i="3"/>
  <c r="Y1623" i="3"/>
  <c r="Y1624" i="3"/>
  <c r="Y1625" i="3"/>
  <c r="Y1626" i="3"/>
  <c r="Y1627" i="3"/>
  <c r="Y1628" i="3"/>
  <c r="Y1629" i="3"/>
  <c r="Y1630" i="3"/>
  <c r="Y1631" i="3"/>
  <c r="Y1632" i="3"/>
  <c r="Y1633" i="3"/>
  <c r="Y1634" i="3"/>
  <c r="Y1635" i="3"/>
  <c r="Y1636" i="3"/>
  <c r="Y1637" i="3"/>
  <c r="Y1638" i="3"/>
  <c r="Y1639" i="3"/>
  <c r="Y1640" i="3"/>
  <c r="Y1641" i="3"/>
  <c r="Y1642" i="3"/>
  <c r="Y1643" i="3"/>
  <c r="Y1644" i="3"/>
  <c r="Y1645" i="3"/>
  <c r="Y1646" i="3"/>
  <c r="Y1647" i="3"/>
  <c r="Y1648" i="3"/>
  <c r="Y1649" i="3"/>
  <c r="Y1650" i="3"/>
  <c r="Y1651" i="3"/>
  <c r="Y1652" i="3"/>
  <c r="Y1653" i="3"/>
  <c r="Y1654" i="3"/>
  <c r="Y1655" i="3"/>
  <c r="Y1656" i="3"/>
  <c r="Y1657" i="3"/>
  <c r="Y1658" i="3"/>
  <c r="Y1659" i="3"/>
  <c r="Y1660" i="3"/>
  <c r="Y1661" i="3"/>
  <c r="Y1662" i="3"/>
  <c r="Y1663" i="3"/>
  <c r="Y1664" i="3"/>
  <c r="Y1665" i="3"/>
  <c r="Y1666" i="3"/>
  <c r="Y1667" i="3"/>
  <c r="Y1668" i="3"/>
  <c r="Y1669" i="3"/>
  <c r="Y1670" i="3"/>
  <c r="Y1671" i="3"/>
  <c r="Y1672" i="3"/>
  <c r="Y1673" i="3"/>
  <c r="Y1674" i="3"/>
  <c r="Y1675" i="3"/>
  <c r="Y1676" i="3"/>
  <c r="Y1677" i="3"/>
  <c r="Y1678" i="3"/>
  <c r="Y1679" i="3"/>
  <c r="Y1680" i="3"/>
  <c r="Y1681" i="3"/>
  <c r="Y1682" i="3"/>
  <c r="Y1683" i="3"/>
  <c r="Y1684" i="3"/>
  <c r="Y1685" i="3"/>
  <c r="Y1686" i="3"/>
  <c r="Y1687" i="3"/>
  <c r="Y1688" i="3"/>
  <c r="Y1689" i="3"/>
  <c r="Y1690" i="3"/>
  <c r="Y1691" i="3"/>
  <c r="Y1692" i="3"/>
  <c r="Y1693" i="3"/>
  <c r="Y1694" i="3"/>
  <c r="Y1695" i="3"/>
  <c r="Y1696" i="3"/>
  <c r="Y1697" i="3"/>
  <c r="Y1698" i="3"/>
  <c r="Y1699" i="3"/>
  <c r="Y1700" i="3"/>
  <c r="Y1701" i="3"/>
  <c r="Y1702" i="3"/>
  <c r="Y1703" i="3"/>
  <c r="Y1704" i="3"/>
  <c r="Y1705" i="3"/>
  <c r="Y1706" i="3"/>
  <c r="Y1707" i="3"/>
  <c r="Y1708" i="3"/>
  <c r="Y1709" i="3"/>
  <c r="Y1710" i="3"/>
  <c r="Y1711" i="3"/>
  <c r="Y1712" i="3"/>
  <c r="Y1713" i="3"/>
  <c r="Y1714" i="3"/>
  <c r="Y1715" i="3"/>
  <c r="Y1716" i="3"/>
  <c r="Y1717" i="3"/>
  <c r="Y1718" i="3"/>
  <c r="Y1719" i="3"/>
  <c r="Y1720" i="3"/>
  <c r="Y1721" i="3"/>
  <c r="Y1722" i="3"/>
  <c r="Y1723" i="3"/>
  <c r="Y1724" i="3"/>
  <c r="Y1725" i="3"/>
  <c r="Y1726" i="3"/>
  <c r="Y1727" i="3"/>
  <c r="Y1728" i="3"/>
  <c r="Y1729" i="3"/>
  <c r="Y1730" i="3"/>
  <c r="Y1731" i="3"/>
  <c r="Y1732" i="3"/>
  <c r="Y1733" i="3"/>
  <c r="Y1734" i="3"/>
  <c r="Y1735" i="3"/>
  <c r="Y1736" i="3"/>
  <c r="Y1737" i="3"/>
  <c r="Y1738" i="3"/>
  <c r="Y1739" i="3"/>
  <c r="Y1740" i="3"/>
  <c r="Y1741" i="3"/>
  <c r="Y1742" i="3"/>
  <c r="Y1743" i="3"/>
  <c r="Y1744" i="3"/>
  <c r="Y1745" i="3"/>
  <c r="Y1746" i="3"/>
  <c r="Y1747" i="3"/>
  <c r="Y1748" i="3"/>
  <c r="Y1749" i="3"/>
  <c r="Y1750" i="3"/>
  <c r="Y1751" i="3"/>
  <c r="Y1752" i="3"/>
  <c r="Y1753" i="3"/>
  <c r="Y1754" i="3"/>
  <c r="Y1755" i="3"/>
  <c r="Y1756" i="3"/>
  <c r="Y1757" i="3"/>
  <c r="Y1758" i="3"/>
  <c r="Y1759" i="3"/>
  <c r="Y1760" i="3"/>
  <c r="Y1761" i="3"/>
  <c r="Y1762" i="3"/>
  <c r="Y1763" i="3"/>
  <c r="Y1764" i="3"/>
  <c r="Y1765" i="3"/>
  <c r="Y1766" i="3"/>
  <c r="Y1767" i="3"/>
  <c r="Y1768" i="3"/>
  <c r="Y1769" i="3"/>
  <c r="Y1770" i="3"/>
  <c r="Y1771" i="3"/>
  <c r="Y1772" i="3"/>
  <c r="Y1773" i="3"/>
  <c r="Y1774" i="3"/>
  <c r="Y1775" i="3"/>
  <c r="Y1776" i="3"/>
  <c r="Y1777" i="3"/>
  <c r="Y1778" i="3"/>
  <c r="Y1779" i="3"/>
  <c r="Y1780" i="3"/>
  <c r="Y1781" i="3"/>
  <c r="Y1782" i="3"/>
  <c r="Y1783" i="3"/>
  <c r="Y1784" i="3"/>
  <c r="Y1785" i="3"/>
  <c r="Y1786" i="3"/>
  <c r="Y1787" i="3"/>
  <c r="Y1788" i="3"/>
  <c r="Y1789" i="3"/>
  <c r="Y1790" i="3"/>
  <c r="Y1791" i="3"/>
  <c r="Y1792" i="3"/>
  <c r="Y1793" i="3"/>
  <c r="Y1794" i="3"/>
  <c r="Y1795" i="3"/>
  <c r="Y1796" i="3"/>
  <c r="Y1797" i="3"/>
  <c r="Y1798" i="3"/>
  <c r="Y1799" i="3"/>
  <c r="Y1800" i="3"/>
  <c r="Y1801" i="3"/>
  <c r="Y1802" i="3"/>
  <c r="Y1803" i="3"/>
  <c r="Y1804" i="3"/>
  <c r="Y1805" i="3"/>
  <c r="Y1806" i="3"/>
  <c r="Y1807" i="3"/>
  <c r="Y1808" i="3"/>
  <c r="Y1809" i="3"/>
  <c r="Y1810" i="3"/>
  <c r="Y1811" i="3"/>
  <c r="Y1812" i="3"/>
  <c r="Y1813" i="3"/>
  <c r="Y1814" i="3"/>
  <c r="Y1815" i="3"/>
  <c r="Y1816" i="3"/>
  <c r="Y1817" i="3"/>
  <c r="Y1818" i="3"/>
  <c r="Y1819" i="3"/>
  <c r="Y1820" i="3"/>
  <c r="Y1821" i="3"/>
  <c r="Y1822" i="3"/>
  <c r="Y1823" i="3"/>
  <c r="Y1824" i="3"/>
  <c r="Y1825" i="3"/>
  <c r="Y1826" i="3"/>
  <c r="Y1827" i="3"/>
  <c r="Y1828" i="3"/>
  <c r="Y1829" i="3"/>
  <c r="Y1830" i="3"/>
  <c r="Y1831" i="3"/>
  <c r="Y1832" i="3"/>
  <c r="Y1833" i="3"/>
  <c r="Y1834" i="3"/>
  <c r="Y1835" i="3"/>
  <c r="Y1836" i="3"/>
  <c r="Y1837" i="3"/>
  <c r="Y1838" i="3"/>
  <c r="Y1839" i="3"/>
  <c r="Y1840" i="3"/>
  <c r="Y1841" i="3"/>
  <c r="Y1842" i="3"/>
  <c r="Y1843" i="3"/>
  <c r="Y1844" i="3"/>
  <c r="Y1845" i="3"/>
  <c r="Y1846" i="3"/>
  <c r="Y1847" i="3"/>
  <c r="Y1848" i="3"/>
  <c r="Y1849" i="3"/>
  <c r="Y1850" i="3"/>
  <c r="Y1851" i="3"/>
  <c r="Y1852" i="3"/>
  <c r="Y1853" i="3"/>
  <c r="Y1854" i="3"/>
  <c r="Y1855" i="3"/>
  <c r="Y1856" i="3"/>
  <c r="Y1857" i="3"/>
  <c r="Y1858" i="3"/>
  <c r="Y1859" i="3"/>
  <c r="Y1860" i="3"/>
  <c r="Y1861" i="3"/>
  <c r="Y1862" i="3"/>
  <c r="Y1863" i="3"/>
  <c r="Y1864" i="3"/>
  <c r="Y1865" i="3"/>
  <c r="Y1866" i="3"/>
  <c r="Y1867" i="3"/>
  <c r="Y1868" i="3"/>
  <c r="Y1869" i="3"/>
  <c r="Y1870" i="3"/>
  <c r="Y1871" i="3"/>
  <c r="Y1872" i="3"/>
  <c r="Y1873" i="3"/>
  <c r="Y1874" i="3"/>
  <c r="Y1875" i="3"/>
  <c r="Y1876" i="3"/>
  <c r="Y1877" i="3"/>
  <c r="Y1878" i="3"/>
  <c r="Y1879" i="3"/>
  <c r="Y1880" i="3"/>
  <c r="Y1881" i="3"/>
  <c r="Y1882" i="3"/>
  <c r="Y1883" i="3"/>
  <c r="Y1884" i="3"/>
  <c r="Y1885" i="3"/>
  <c r="Y1886" i="3"/>
  <c r="Y1887" i="3"/>
  <c r="Y1888" i="3"/>
  <c r="Y1889" i="3"/>
  <c r="Y1890" i="3"/>
  <c r="Y1891" i="3"/>
  <c r="Y1892" i="3"/>
  <c r="Y1893" i="3"/>
  <c r="Y1894" i="3"/>
  <c r="Y1895" i="3"/>
  <c r="Y1896" i="3"/>
  <c r="Y1897" i="3"/>
  <c r="Y1898" i="3"/>
  <c r="Y1899" i="3"/>
  <c r="Y1900" i="3"/>
  <c r="Y1901" i="3"/>
  <c r="Y1902" i="3"/>
  <c r="Y1903" i="3"/>
  <c r="Y1904" i="3"/>
  <c r="Y1905" i="3"/>
  <c r="Y1906" i="3"/>
  <c r="Y1907" i="3"/>
  <c r="Y1908" i="3"/>
  <c r="Y1909" i="3"/>
  <c r="Y1910" i="3"/>
  <c r="Y1911" i="3"/>
  <c r="Y1912" i="3"/>
  <c r="Y1913" i="3"/>
  <c r="Y1914" i="3"/>
  <c r="Y1915" i="3"/>
  <c r="Y1916" i="3"/>
  <c r="Y1917" i="3"/>
  <c r="Y1918" i="3"/>
  <c r="Y1919" i="3"/>
  <c r="Y1920" i="3"/>
  <c r="Y1921" i="3"/>
  <c r="Y1922" i="3"/>
  <c r="Y1923" i="3"/>
  <c r="Y1924" i="3"/>
  <c r="Y1925" i="3"/>
  <c r="Y1926" i="3"/>
  <c r="Y1927" i="3"/>
  <c r="Y1928" i="3"/>
  <c r="Y1929" i="3"/>
  <c r="Y1930" i="3"/>
  <c r="Y1931" i="3"/>
  <c r="Y1932" i="3"/>
  <c r="Y1933" i="3"/>
  <c r="Y1934" i="3"/>
  <c r="Y1935" i="3"/>
  <c r="Y1936" i="3"/>
  <c r="Y2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6" i="3"/>
  <c r="X697" i="3"/>
  <c r="X698" i="3"/>
  <c r="X699" i="3"/>
  <c r="X700" i="3"/>
  <c r="X701" i="3"/>
  <c r="X702" i="3"/>
  <c r="X703" i="3"/>
  <c r="X704" i="3"/>
  <c r="X705" i="3"/>
  <c r="X706" i="3"/>
  <c r="X707" i="3"/>
  <c r="X708" i="3"/>
  <c r="X709" i="3"/>
  <c r="X710" i="3"/>
  <c r="X711" i="3"/>
  <c r="X712" i="3"/>
  <c r="X713" i="3"/>
  <c r="X714" i="3"/>
  <c r="X715" i="3"/>
  <c r="X716" i="3"/>
  <c r="X717" i="3"/>
  <c r="X718" i="3"/>
  <c r="X719" i="3"/>
  <c r="X720" i="3"/>
  <c r="X721" i="3"/>
  <c r="X722" i="3"/>
  <c r="X723" i="3"/>
  <c r="X724" i="3"/>
  <c r="X725" i="3"/>
  <c r="X726" i="3"/>
  <c r="X727" i="3"/>
  <c r="X728" i="3"/>
  <c r="X729" i="3"/>
  <c r="X730" i="3"/>
  <c r="X731" i="3"/>
  <c r="X732" i="3"/>
  <c r="X733" i="3"/>
  <c r="X734" i="3"/>
  <c r="X735" i="3"/>
  <c r="X736" i="3"/>
  <c r="X737" i="3"/>
  <c r="X738" i="3"/>
  <c r="X739" i="3"/>
  <c r="X740" i="3"/>
  <c r="X741" i="3"/>
  <c r="X742" i="3"/>
  <c r="X743" i="3"/>
  <c r="X744" i="3"/>
  <c r="X745" i="3"/>
  <c r="X746" i="3"/>
  <c r="X747" i="3"/>
  <c r="X748" i="3"/>
  <c r="X749" i="3"/>
  <c r="X750" i="3"/>
  <c r="X751" i="3"/>
  <c r="X752" i="3"/>
  <c r="X753" i="3"/>
  <c r="X754" i="3"/>
  <c r="X755" i="3"/>
  <c r="X756" i="3"/>
  <c r="X757" i="3"/>
  <c r="X758" i="3"/>
  <c r="X759" i="3"/>
  <c r="X760" i="3"/>
  <c r="X761" i="3"/>
  <c r="X762" i="3"/>
  <c r="X763" i="3"/>
  <c r="X764" i="3"/>
  <c r="X765" i="3"/>
  <c r="X766" i="3"/>
  <c r="X767" i="3"/>
  <c r="X768" i="3"/>
  <c r="X769" i="3"/>
  <c r="X770" i="3"/>
  <c r="X771" i="3"/>
  <c r="X772" i="3"/>
  <c r="X773" i="3"/>
  <c r="X774" i="3"/>
  <c r="X775" i="3"/>
  <c r="X776" i="3"/>
  <c r="X777" i="3"/>
  <c r="X778" i="3"/>
  <c r="X779" i="3"/>
  <c r="X780" i="3"/>
  <c r="X781" i="3"/>
  <c r="X782" i="3"/>
  <c r="X783" i="3"/>
  <c r="X784" i="3"/>
  <c r="X785" i="3"/>
  <c r="X786" i="3"/>
  <c r="X787" i="3"/>
  <c r="X788" i="3"/>
  <c r="X789" i="3"/>
  <c r="X790" i="3"/>
  <c r="X791" i="3"/>
  <c r="X792" i="3"/>
  <c r="X793" i="3"/>
  <c r="X794" i="3"/>
  <c r="X795" i="3"/>
  <c r="X796" i="3"/>
  <c r="X797" i="3"/>
  <c r="X798" i="3"/>
  <c r="X799" i="3"/>
  <c r="X800" i="3"/>
  <c r="X801" i="3"/>
  <c r="X802" i="3"/>
  <c r="X803" i="3"/>
  <c r="X804" i="3"/>
  <c r="X805" i="3"/>
  <c r="X806" i="3"/>
  <c r="X807" i="3"/>
  <c r="X808" i="3"/>
  <c r="X809" i="3"/>
  <c r="X810" i="3"/>
  <c r="X811" i="3"/>
  <c r="X812" i="3"/>
  <c r="X813" i="3"/>
  <c r="X814" i="3"/>
  <c r="X815" i="3"/>
  <c r="X816" i="3"/>
  <c r="X817" i="3"/>
  <c r="X818" i="3"/>
  <c r="X819" i="3"/>
  <c r="X820" i="3"/>
  <c r="X821" i="3"/>
  <c r="X822" i="3"/>
  <c r="X823" i="3"/>
  <c r="X824" i="3"/>
  <c r="X825" i="3"/>
  <c r="X826" i="3"/>
  <c r="X827" i="3"/>
  <c r="X828" i="3"/>
  <c r="X829" i="3"/>
  <c r="X830" i="3"/>
  <c r="X831" i="3"/>
  <c r="X832" i="3"/>
  <c r="X833" i="3"/>
  <c r="X834" i="3"/>
  <c r="X835" i="3"/>
  <c r="X836" i="3"/>
  <c r="X837" i="3"/>
  <c r="X838" i="3"/>
  <c r="X839" i="3"/>
  <c r="X840" i="3"/>
  <c r="X841" i="3"/>
  <c r="X842" i="3"/>
  <c r="X843" i="3"/>
  <c r="X844" i="3"/>
  <c r="X845" i="3"/>
  <c r="X846" i="3"/>
  <c r="X847" i="3"/>
  <c r="X848" i="3"/>
  <c r="X849" i="3"/>
  <c r="X850" i="3"/>
  <c r="X851" i="3"/>
  <c r="X852" i="3"/>
  <c r="X853" i="3"/>
  <c r="X854" i="3"/>
  <c r="X855" i="3"/>
  <c r="X856" i="3"/>
  <c r="X857" i="3"/>
  <c r="X858" i="3"/>
  <c r="X859" i="3"/>
  <c r="X860" i="3"/>
  <c r="X861" i="3"/>
  <c r="X862" i="3"/>
  <c r="X863" i="3"/>
  <c r="X864" i="3"/>
  <c r="X865" i="3"/>
  <c r="X866" i="3"/>
  <c r="X867" i="3"/>
  <c r="X868" i="3"/>
  <c r="X869" i="3"/>
  <c r="X870" i="3"/>
  <c r="X871" i="3"/>
  <c r="X872" i="3"/>
  <c r="X873" i="3"/>
  <c r="X874" i="3"/>
  <c r="X875" i="3"/>
  <c r="X876" i="3"/>
  <c r="X877" i="3"/>
  <c r="X878" i="3"/>
  <c r="X879" i="3"/>
  <c r="X880" i="3"/>
  <c r="X881" i="3"/>
  <c r="X882" i="3"/>
  <c r="X883" i="3"/>
  <c r="X884" i="3"/>
  <c r="X885" i="3"/>
  <c r="X886" i="3"/>
  <c r="X887" i="3"/>
  <c r="X888" i="3"/>
  <c r="X889" i="3"/>
  <c r="X890" i="3"/>
  <c r="X891" i="3"/>
  <c r="X892" i="3"/>
  <c r="X893" i="3"/>
  <c r="X894" i="3"/>
  <c r="X895" i="3"/>
  <c r="X896" i="3"/>
  <c r="X897" i="3"/>
  <c r="X898" i="3"/>
  <c r="X899" i="3"/>
  <c r="X900" i="3"/>
  <c r="X901" i="3"/>
  <c r="X902" i="3"/>
  <c r="X903" i="3"/>
  <c r="X904" i="3"/>
  <c r="X905" i="3"/>
  <c r="X906" i="3"/>
  <c r="X907" i="3"/>
  <c r="X908" i="3"/>
  <c r="X909" i="3"/>
  <c r="X910" i="3"/>
  <c r="X911" i="3"/>
  <c r="X912" i="3"/>
  <c r="X913" i="3"/>
  <c r="X914" i="3"/>
  <c r="X915" i="3"/>
  <c r="X916" i="3"/>
  <c r="X917" i="3"/>
  <c r="X918" i="3"/>
  <c r="X919" i="3"/>
  <c r="X920" i="3"/>
  <c r="X921" i="3"/>
  <c r="X922" i="3"/>
  <c r="X923" i="3"/>
  <c r="X924" i="3"/>
  <c r="X925" i="3"/>
  <c r="X926" i="3"/>
  <c r="X927" i="3"/>
  <c r="X928" i="3"/>
  <c r="X929" i="3"/>
  <c r="X930" i="3"/>
  <c r="X931" i="3"/>
  <c r="X932" i="3"/>
  <c r="X933" i="3"/>
  <c r="X934" i="3"/>
  <c r="X935" i="3"/>
  <c r="X936" i="3"/>
  <c r="X937" i="3"/>
  <c r="X938" i="3"/>
  <c r="X939" i="3"/>
  <c r="X940" i="3"/>
  <c r="X941" i="3"/>
  <c r="X942" i="3"/>
  <c r="X943" i="3"/>
  <c r="X944" i="3"/>
  <c r="X945" i="3"/>
  <c r="X946" i="3"/>
  <c r="X947" i="3"/>
  <c r="X948" i="3"/>
  <c r="X949" i="3"/>
  <c r="X950" i="3"/>
  <c r="X951" i="3"/>
  <c r="X952" i="3"/>
  <c r="X953" i="3"/>
  <c r="X954" i="3"/>
  <c r="X955" i="3"/>
  <c r="X956" i="3"/>
  <c r="X957" i="3"/>
  <c r="X958" i="3"/>
  <c r="X959" i="3"/>
  <c r="X960" i="3"/>
  <c r="X961" i="3"/>
  <c r="X962" i="3"/>
  <c r="X963" i="3"/>
  <c r="X964" i="3"/>
  <c r="X965" i="3"/>
  <c r="X966" i="3"/>
  <c r="X967" i="3"/>
  <c r="X968" i="3"/>
  <c r="X969" i="3"/>
  <c r="X970" i="3"/>
  <c r="X971" i="3"/>
  <c r="X972" i="3"/>
  <c r="X973" i="3"/>
  <c r="X974" i="3"/>
  <c r="X975" i="3"/>
  <c r="X976" i="3"/>
  <c r="X977" i="3"/>
  <c r="X978" i="3"/>
  <c r="X979" i="3"/>
  <c r="X980" i="3"/>
  <c r="X981" i="3"/>
  <c r="X982" i="3"/>
  <c r="X983" i="3"/>
  <c r="X984" i="3"/>
  <c r="X985" i="3"/>
  <c r="X986" i="3"/>
  <c r="X987" i="3"/>
  <c r="X988" i="3"/>
  <c r="X989" i="3"/>
  <c r="X990" i="3"/>
  <c r="X991" i="3"/>
  <c r="X992" i="3"/>
  <c r="X993" i="3"/>
  <c r="X994" i="3"/>
  <c r="X995" i="3"/>
  <c r="X996" i="3"/>
  <c r="X997" i="3"/>
  <c r="X998" i="3"/>
  <c r="X999" i="3"/>
  <c r="X1000" i="3"/>
  <c r="X1001" i="3"/>
  <c r="X1002" i="3"/>
  <c r="X1003" i="3"/>
  <c r="X1004" i="3"/>
  <c r="X1005" i="3"/>
  <c r="X1006" i="3"/>
  <c r="X1007" i="3"/>
  <c r="X1008" i="3"/>
  <c r="X1009" i="3"/>
  <c r="X1010" i="3"/>
  <c r="X1011" i="3"/>
  <c r="X1012" i="3"/>
  <c r="X1013" i="3"/>
  <c r="X1014" i="3"/>
  <c r="X1015" i="3"/>
  <c r="X1016" i="3"/>
  <c r="X1017" i="3"/>
  <c r="X1018" i="3"/>
  <c r="X1019" i="3"/>
  <c r="X1020" i="3"/>
  <c r="X1021" i="3"/>
  <c r="X1022" i="3"/>
  <c r="X1023" i="3"/>
  <c r="X1024" i="3"/>
  <c r="X1025" i="3"/>
  <c r="X1026" i="3"/>
  <c r="X1027" i="3"/>
  <c r="X1028" i="3"/>
  <c r="X1029" i="3"/>
  <c r="X1030" i="3"/>
  <c r="X1031" i="3"/>
  <c r="X1032" i="3"/>
  <c r="X1033" i="3"/>
  <c r="X1034" i="3"/>
  <c r="X1035" i="3"/>
  <c r="X1036" i="3"/>
  <c r="X1037" i="3"/>
  <c r="X1038" i="3"/>
  <c r="X1039" i="3"/>
  <c r="X1040" i="3"/>
  <c r="X1041" i="3"/>
  <c r="X1042" i="3"/>
  <c r="X1043" i="3"/>
  <c r="X1044" i="3"/>
  <c r="X1045" i="3"/>
  <c r="X1046" i="3"/>
  <c r="X1047" i="3"/>
  <c r="X1048" i="3"/>
  <c r="X1049" i="3"/>
  <c r="X1050" i="3"/>
  <c r="X1051" i="3"/>
  <c r="X1052" i="3"/>
  <c r="X1053" i="3"/>
  <c r="X1054" i="3"/>
  <c r="X1055" i="3"/>
  <c r="X1056" i="3"/>
  <c r="X1057" i="3"/>
  <c r="X1058" i="3"/>
  <c r="X1059" i="3"/>
  <c r="X1060" i="3"/>
  <c r="X1061" i="3"/>
  <c r="X1062" i="3"/>
  <c r="X1063" i="3"/>
  <c r="X1064" i="3"/>
  <c r="X1065" i="3"/>
  <c r="X1066" i="3"/>
  <c r="X1067" i="3"/>
  <c r="X1068" i="3"/>
  <c r="X1069" i="3"/>
  <c r="X1070" i="3"/>
  <c r="X1071" i="3"/>
  <c r="X1072" i="3"/>
  <c r="X1073" i="3"/>
  <c r="X1074" i="3"/>
  <c r="X1075" i="3"/>
  <c r="X1076" i="3"/>
  <c r="X1077" i="3"/>
  <c r="X1078" i="3"/>
  <c r="X1079" i="3"/>
  <c r="X1080" i="3"/>
  <c r="X1081" i="3"/>
  <c r="X1082" i="3"/>
  <c r="X1083" i="3"/>
  <c r="X1084" i="3"/>
  <c r="X1085" i="3"/>
  <c r="X1086" i="3"/>
  <c r="X1087" i="3"/>
  <c r="X1088" i="3"/>
  <c r="X1089" i="3"/>
  <c r="X1090" i="3"/>
  <c r="X1091" i="3"/>
  <c r="X1092" i="3"/>
  <c r="X1093" i="3"/>
  <c r="X1094" i="3"/>
  <c r="X1095" i="3"/>
  <c r="X1096" i="3"/>
  <c r="X1097" i="3"/>
  <c r="X1098" i="3"/>
  <c r="X1099" i="3"/>
  <c r="X1100" i="3"/>
  <c r="X1101" i="3"/>
  <c r="X1102" i="3"/>
  <c r="X1103" i="3"/>
  <c r="X1104" i="3"/>
  <c r="X1105" i="3"/>
  <c r="X1106" i="3"/>
  <c r="X1107" i="3"/>
  <c r="X1108" i="3"/>
  <c r="X1109" i="3"/>
  <c r="X1110" i="3"/>
  <c r="X1111" i="3"/>
  <c r="X1112" i="3"/>
  <c r="X1113" i="3"/>
  <c r="X1114" i="3"/>
  <c r="X1115" i="3"/>
  <c r="X1116" i="3"/>
  <c r="X1117" i="3"/>
  <c r="X1118" i="3"/>
  <c r="X1119" i="3"/>
  <c r="X1120" i="3"/>
  <c r="X1121" i="3"/>
  <c r="X1122" i="3"/>
  <c r="X1123" i="3"/>
  <c r="X1124" i="3"/>
  <c r="X1125" i="3"/>
  <c r="X1126" i="3"/>
  <c r="X1127" i="3"/>
  <c r="X1128" i="3"/>
  <c r="X1129" i="3"/>
  <c r="X1130" i="3"/>
  <c r="X1131" i="3"/>
  <c r="X1132" i="3"/>
  <c r="X1133" i="3"/>
  <c r="X1134" i="3"/>
  <c r="X1135" i="3"/>
  <c r="X1136" i="3"/>
  <c r="X1137" i="3"/>
  <c r="X1138" i="3"/>
  <c r="X1139" i="3"/>
  <c r="X1140" i="3"/>
  <c r="X1141" i="3"/>
  <c r="X1142" i="3"/>
  <c r="X1143" i="3"/>
  <c r="X1144" i="3"/>
  <c r="X1145" i="3"/>
  <c r="X1146" i="3"/>
  <c r="X1147" i="3"/>
  <c r="X1148" i="3"/>
  <c r="X1149" i="3"/>
  <c r="X1150" i="3"/>
  <c r="X1151" i="3"/>
  <c r="X1152" i="3"/>
  <c r="X1153" i="3"/>
  <c r="X1154" i="3"/>
  <c r="X1155" i="3"/>
  <c r="X1156" i="3"/>
  <c r="X1157" i="3"/>
  <c r="X1158" i="3"/>
  <c r="X1159" i="3"/>
  <c r="X1160" i="3"/>
  <c r="X1161" i="3"/>
  <c r="X1162" i="3"/>
  <c r="X1163" i="3"/>
  <c r="X1164" i="3"/>
  <c r="X1165" i="3"/>
  <c r="X1166" i="3"/>
  <c r="X1167" i="3"/>
  <c r="X1168" i="3"/>
  <c r="X1169" i="3"/>
  <c r="X1170" i="3"/>
  <c r="X1171" i="3"/>
  <c r="X1172" i="3"/>
  <c r="X1173" i="3"/>
  <c r="X1174" i="3"/>
  <c r="X1175" i="3"/>
  <c r="X1176" i="3"/>
  <c r="X1177" i="3"/>
  <c r="X1178" i="3"/>
  <c r="X1179" i="3"/>
  <c r="X1180" i="3"/>
  <c r="X1181" i="3"/>
  <c r="X1182" i="3"/>
  <c r="X1183" i="3"/>
  <c r="X1184" i="3"/>
  <c r="X1185" i="3"/>
  <c r="X1186" i="3"/>
  <c r="X1187" i="3"/>
  <c r="X1188" i="3"/>
  <c r="X1189" i="3"/>
  <c r="X1190" i="3"/>
  <c r="X1191" i="3"/>
  <c r="X1192" i="3"/>
  <c r="X1193" i="3"/>
  <c r="X1194" i="3"/>
  <c r="X1195" i="3"/>
  <c r="X1196" i="3"/>
  <c r="X1197" i="3"/>
  <c r="X1198" i="3"/>
  <c r="X1199" i="3"/>
  <c r="X1200" i="3"/>
  <c r="X1201" i="3"/>
  <c r="X1202" i="3"/>
  <c r="X1203" i="3"/>
  <c r="X1204" i="3"/>
  <c r="X1205" i="3"/>
  <c r="X1206" i="3"/>
  <c r="X1207" i="3"/>
  <c r="X1208" i="3"/>
  <c r="X1209" i="3"/>
  <c r="X1210" i="3"/>
  <c r="X1211" i="3"/>
  <c r="X1212" i="3"/>
  <c r="X1213" i="3"/>
  <c r="X1214" i="3"/>
  <c r="X1215" i="3"/>
  <c r="X1216" i="3"/>
  <c r="X1217" i="3"/>
  <c r="X1218" i="3"/>
  <c r="X1219" i="3"/>
  <c r="X1220" i="3"/>
  <c r="X1221" i="3"/>
  <c r="X1222" i="3"/>
  <c r="X1223" i="3"/>
  <c r="X1224" i="3"/>
  <c r="X1225" i="3"/>
  <c r="X1226" i="3"/>
  <c r="X1227" i="3"/>
  <c r="X1228" i="3"/>
  <c r="X1229" i="3"/>
  <c r="X1230" i="3"/>
  <c r="X1231" i="3"/>
  <c r="X1232" i="3"/>
  <c r="X1233" i="3"/>
  <c r="X1234" i="3"/>
  <c r="X1235" i="3"/>
  <c r="X1236" i="3"/>
  <c r="X1237" i="3"/>
  <c r="X1238" i="3"/>
  <c r="X1239" i="3"/>
  <c r="X1240" i="3"/>
  <c r="X1241" i="3"/>
  <c r="X1242" i="3"/>
  <c r="X1243" i="3"/>
  <c r="X1244" i="3"/>
  <c r="X1245" i="3"/>
  <c r="X1246" i="3"/>
  <c r="X1247" i="3"/>
  <c r="X1248" i="3"/>
  <c r="X1249" i="3"/>
  <c r="X1250" i="3"/>
  <c r="X1251" i="3"/>
  <c r="X1252" i="3"/>
  <c r="X1253" i="3"/>
  <c r="X1254" i="3"/>
  <c r="X1255" i="3"/>
  <c r="X1256" i="3"/>
  <c r="X1257" i="3"/>
  <c r="X1258" i="3"/>
  <c r="X1259" i="3"/>
  <c r="X1260" i="3"/>
  <c r="X1261" i="3"/>
  <c r="X1262" i="3"/>
  <c r="X1263" i="3"/>
  <c r="X1264" i="3"/>
  <c r="X1265" i="3"/>
  <c r="X1266" i="3"/>
  <c r="X1267" i="3"/>
  <c r="X1268" i="3"/>
  <c r="X1269" i="3"/>
  <c r="X1270" i="3"/>
  <c r="X1271" i="3"/>
  <c r="X1272" i="3"/>
  <c r="X1273" i="3"/>
  <c r="X1274" i="3"/>
  <c r="X1275" i="3"/>
  <c r="X1276" i="3"/>
  <c r="X1277" i="3"/>
  <c r="X1278" i="3"/>
  <c r="X1279" i="3"/>
  <c r="X1280" i="3"/>
  <c r="X1281" i="3"/>
  <c r="X1282" i="3"/>
  <c r="X1283" i="3"/>
  <c r="X1284" i="3"/>
  <c r="X1285" i="3"/>
  <c r="X1286" i="3"/>
  <c r="X1287" i="3"/>
  <c r="X1288" i="3"/>
  <c r="X1289" i="3"/>
  <c r="X1290" i="3"/>
  <c r="X1291" i="3"/>
  <c r="X1292" i="3"/>
  <c r="X1293" i="3"/>
  <c r="X1294" i="3"/>
  <c r="X1295" i="3"/>
  <c r="X1296" i="3"/>
  <c r="X1297" i="3"/>
  <c r="X1298" i="3"/>
  <c r="X1299" i="3"/>
  <c r="X1300" i="3"/>
  <c r="X1301" i="3"/>
  <c r="X1302" i="3"/>
  <c r="X1303" i="3"/>
  <c r="X1304" i="3"/>
  <c r="X1305" i="3"/>
  <c r="X1306" i="3"/>
  <c r="X1307" i="3"/>
  <c r="X1308" i="3"/>
  <c r="X1309" i="3"/>
  <c r="X1310" i="3"/>
  <c r="X1311" i="3"/>
  <c r="X1312" i="3"/>
  <c r="X1313" i="3"/>
  <c r="X1314" i="3"/>
  <c r="X1315" i="3"/>
  <c r="X1316" i="3"/>
  <c r="X1317" i="3"/>
  <c r="X1318" i="3"/>
  <c r="X1319" i="3"/>
  <c r="X1320" i="3"/>
  <c r="X1321" i="3"/>
  <c r="X1322" i="3"/>
  <c r="X1323" i="3"/>
  <c r="X1324" i="3"/>
  <c r="X1325" i="3"/>
  <c r="X1326" i="3"/>
  <c r="X1327" i="3"/>
  <c r="X1328" i="3"/>
  <c r="X1329" i="3"/>
  <c r="X1330" i="3"/>
  <c r="X1331" i="3"/>
  <c r="X1332" i="3"/>
  <c r="X1333" i="3"/>
  <c r="X1334" i="3"/>
  <c r="X1335" i="3"/>
  <c r="X1336" i="3"/>
  <c r="X1337" i="3"/>
  <c r="X1338" i="3"/>
  <c r="X1339" i="3"/>
  <c r="X1340" i="3"/>
  <c r="X1341" i="3"/>
  <c r="X1342" i="3"/>
  <c r="X1343" i="3"/>
  <c r="X1344" i="3"/>
  <c r="X1345" i="3"/>
  <c r="X1346" i="3"/>
  <c r="X1347" i="3"/>
  <c r="X1348" i="3"/>
  <c r="X1349" i="3"/>
  <c r="X1350" i="3"/>
  <c r="X1351" i="3"/>
  <c r="X1352" i="3"/>
  <c r="X1353" i="3"/>
  <c r="X1354" i="3"/>
  <c r="X1355" i="3"/>
  <c r="X1356" i="3"/>
  <c r="X1357" i="3"/>
  <c r="X1358" i="3"/>
  <c r="X1359" i="3"/>
  <c r="X1360" i="3"/>
  <c r="X1361" i="3"/>
  <c r="X1362" i="3"/>
  <c r="X1363" i="3"/>
  <c r="X1364" i="3"/>
  <c r="X1365" i="3"/>
  <c r="X1366" i="3"/>
  <c r="X1367" i="3"/>
  <c r="X1368" i="3"/>
  <c r="X1369" i="3"/>
  <c r="X1370" i="3"/>
  <c r="X1371" i="3"/>
  <c r="X1372" i="3"/>
  <c r="X1373" i="3"/>
  <c r="X1374" i="3"/>
  <c r="X1375" i="3"/>
  <c r="X1376" i="3"/>
  <c r="X1377" i="3"/>
  <c r="X1378" i="3"/>
  <c r="X1379" i="3"/>
  <c r="X1380" i="3"/>
  <c r="X1381" i="3"/>
  <c r="X1382" i="3"/>
  <c r="X1383" i="3"/>
  <c r="X1384" i="3"/>
  <c r="X1385" i="3"/>
  <c r="X1386" i="3"/>
  <c r="X1387" i="3"/>
  <c r="X1388" i="3"/>
  <c r="X1389" i="3"/>
  <c r="X1390" i="3"/>
  <c r="X1391" i="3"/>
  <c r="X1392" i="3"/>
  <c r="X1393" i="3"/>
  <c r="X1394" i="3"/>
  <c r="X1395" i="3"/>
  <c r="X1396" i="3"/>
  <c r="X1397" i="3"/>
  <c r="X1398" i="3"/>
  <c r="X1399" i="3"/>
  <c r="X1400" i="3"/>
  <c r="X1401" i="3"/>
  <c r="X1402" i="3"/>
  <c r="X1403" i="3"/>
  <c r="X1404" i="3"/>
  <c r="X1405" i="3"/>
  <c r="X1406" i="3"/>
  <c r="X1407" i="3"/>
  <c r="X1408" i="3"/>
  <c r="X1409" i="3"/>
  <c r="X1410" i="3"/>
  <c r="X1411" i="3"/>
  <c r="X1412" i="3"/>
  <c r="X1413" i="3"/>
  <c r="X1414" i="3"/>
  <c r="X1415" i="3"/>
  <c r="X1416" i="3"/>
  <c r="X1417" i="3"/>
  <c r="X1418" i="3"/>
  <c r="X1419" i="3"/>
  <c r="X1420" i="3"/>
  <c r="X1421" i="3"/>
  <c r="X1422" i="3"/>
  <c r="X1423" i="3"/>
  <c r="X1424" i="3"/>
  <c r="X1425" i="3"/>
  <c r="X1426" i="3"/>
  <c r="X1427" i="3"/>
  <c r="X1428" i="3"/>
  <c r="X1429" i="3"/>
  <c r="X1430" i="3"/>
  <c r="X1431" i="3"/>
  <c r="X1432" i="3"/>
  <c r="X1433" i="3"/>
  <c r="X1434" i="3"/>
  <c r="X1435" i="3"/>
  <c r="X1436" i="3"/>
  <c r="X1437" i="3"/>
  <c r="X1438" i="3"/>
  <c r="X1439" i="3"/>
  <c r="X1440" i="3"/>
  <c r="X1441" i="3"/>
  <c r="X1442" i="3"/>
  <c r="X1443" i="3"/>
  <c r="X1444" i="3"/>
  <c r="X1445" i="3"/>
  <c r="X1446" i="3"/>
  <c r="X1447" i="3"/>
  <c r="X1448" i="3"/>
  <c r="X1449" i="3"/>
  <c r="X1450" i="3"/>
  <c r="X1451" i="3"/>
  <c r="X1452" i="3"/>
  <c r="X1453" i="3"/>
  <c r="X1454" i="3"/>
  <c r="X1455" i="3"/>
  <c r="X1456" i="3"/>
  <c r="X1457" i="3"/>
  <c r="X1458" i="3"/>
  <c r="X1459" i="3"/>
  <c r="X1460" i="3"/>
  <c r="X1461" i="3"/>
  <c r="X1462" i="3"/>
  <c r="X1463" i="3"/>
  <c r="X1464" i="3"/>
  <c r="X1465" i="3"/>
  <c r="X1466" i="3"/>
  <c r="X1467" i="3"/>
  <c r="X1468" i="3"/>
  <c r="X1469" i="3"/>
  <c r="X1470" i="3"/>
  <c r="X1471" i="3"/>
  <c r="X1472" i="3"/>
  <c r="X1473" i="3"/>
  <c r="X1474" i="3"/>
  <c r="X1475" i="3"/>
  <c r="X1476" i="3"/>
  <c r="X1477" i="3"/>
  <c r="X1478" i="3"/>
  <c r="X1479" i="3"/>
  <c r="X1480" i="3"/>
  <c r="X1481" i="3"/>
  <c r="X1482" i="3"/>
  <c r="X1483" i="3"/>
  <c r="X1484" i="3"/>
  <c r="X1485" i="3"/>
  <c r="X1486" i="3"/>
  <c r="X1487" i="3"/>
  <c r="X1488" i="3"/>
  <c r="X1489" i="3"/>
  <c r="X1490" i="3"/>
  <c r="X1491" i="3"/>
  <c r="X1492" i="3"/>
  <c r="X1493" i="3"/>
  <c r="X1494" i="3"/>
  <c r="X1495" i="3"/>
  <c r="X1496" i="3"/>
  <c r="X1497" i="3"/>
  <c r="X1498" i="3"/>
  <c r="X1499" i="3"/>
  <c r="X1500" i="3"/>
  <c r="X1501" i="3"/>
  <c r="X1502" i="3"/>
  <c r="X1503" i="3"/>
  <c r="X1504" i="3"/>
  <c r="X1505" i="3"/>
  <c r="X1506" i="3"/>
  <c r="X1507" i="3"/>
  <c r="X1508" i="3"/>
  <c r="X1509" i="3"/>
  <c r="X1510" i="3"/>
  <c r="X1511" i="3"/>
  <c r="X1512" i="3"/>
  <c r="X1513" i="3"/>
  <c r="X1514" i="3"/>
  <c r="X1515" i="3"/>
  <c r="X1516" i="3"/>
  <c r="X1517" i="3"/>
  <c r="X1518" i="3"/>
  <c r="X1519" i="3"/>
  <c r="X1520" i="3"/>
  <c r="X1521" i="3"/>
  <c r="X1522" i="3"/>
  <c r="X1523" i="3"/>
  <c r="X1524" i="3"/>
  <c r="X1525" i="3"/>
  <c r="X1526" i="3"/>
  <c r="X1527" i="3"/>
  <c r="X1528" i="3"/>
  <c r="X1529" i="3"/>
  <c r="X1530" i="3"/>
  <c r="X1531" i="3"/>
  <c r="X1532" i="3"/>
  <c r="X1533" i="3"/>
  <c r="X1534" i="3"/>
  <c r="X1535" i="3"/>
  <c r="X1536" i="3"/>
  <c r="X1537" i="3"/>
  <c r="X1538" i="3"/>
  <c r="X1539" i="3"/>
  <c r="X1540" i="3"/>
  <c r="X1541" i="3"/>
  <c r="X1542" i="3"/>
  <c r="X1543" i="3"/>
  <c r="X1544" i="3"/>
  <c r="X1545" i="3"/>
  <c r="X1546" i="3"/>
  <c r="X1547" i="3"/>
  <c r="X1548" i="3"/>
  <c r="X1549" i="3"/>
  <c r="X1550" i="3"/>
  <c r="X1551" i="3"/>
  <c r="X1552" i="3"/>
  <c r="X1553" i="3"/>
  <c r="X1554" i="3"/>
  <c r="X1555" i="3"/>
  <c r="X1556" i="3"/>
  <c r="X1557" i="3"/>
  <c r="X1558" i="3"/>
  <c r="X1559" i="3"/>
  <c r="X1560" i="3"/>
  <c r="X1561" i="3"/>
  <c r="X1562" i="3"/>
  <c r="X1563" i="3"/>
  <c r="X1564" i="3"/>
  <c r="X1565" i="3"/>
  <c r="X1566" i="3"/>
  <c r="X1567" i="3"/>
  <c r="X1568" i="3"/>
  <c r="X1569" i="3"/>
  <c r="X1570" i="3"/>
  <c r="X1571" i="3"/>
  <c r="X1572" i="3"/>
  <c r="X1573" i="3"/>
  <c r="X1574" i="3"/>
  <c r="X1575" i="3"/>
  <c r="X1576" i="3"/>
  <c r="X1577" i="3"/>
  <c r="X1578" i="3"/>
  <c r="X1579" i="3"/>
  <c r="X1580" i="3"/>
  <c r="X1581" i="3"/>
  <c r="X1582" i="3"/>
  <c r="X1583" i="3"/>
  <c r="X1584" i="3"/>
  <c r="X1585" i="3"/>
  <c r="X1586" i="3"/>
  <c r="X1587" i="3"/>
  <c r="X1588" i="3"/>
  <c r="X1589" i="3"/>
  <c r="X1590" i="3"/>
  <c r="X1591" i="3"/>
  <c r="X1592" i="3"/>
  <c r="X1593" i="3"/>
  <c r="X1594" i="3"/>
  <c r="X1595" i="3"/>
  <c r="X1596" i="3"/>
  <c r="X1597" i="3"/>
  <c r="X1598" i="3"/>
  <c r="X1599" i="3"/>
  <c r="X1600" i="3"/>
  <c r="X1601" i="3"/>
  <c r="X1602" i="3"/>
  <c r="X1603" i="3"/>
  <c r="X1604" i="3"/>
  <c r="X1605" i="3"/>
  <c r="X1606" i="3"/>
  <c r="X1607" i="3"/>
  <c r="X1608" i="3"/>
  <c r="X1609" i="3"/>
  <c r="X1610" i="3"/>
  <c r="X1611" i="3"/>
  <c r="X1612" i="3"/>
  <c r="X1613" i="3"/>
  <c r="X1614" i="3"/>
  <c r="X1615" i="3"/>
  <c r="X1616" i="3"/>
  <c r="X1617" i="3"/>
  <c r="X1618" i="3"/>
  <c r="X1619" i="3"/>
  <c r="X1620" i="3"/>
  <c r="X1621" i="3"/>
  <c r="X1622" i="3"/>
  <c r="X1623" i="3"/>
  <c r="X1624" i="3"/>
  <c r="X1625" i="3"/>
  <c r="X1626" i="3"/>
  <c r="X1627" i="3"/>
  <c r="X1628" i="3"/>
  <c r="X1629" i="3"/>
  <c r="X1630" i="3"/>
  <c r="X1631" i="3"/>
  <c r="X1632" i="3"/>
  <c r="X1633" i="3"/>
  <c r="X1634" i="3"/>
  <c r="X1635" i="3"/>
  <c r="X1636" i="3"/>
  <c r="X1637" i="3"/>
  <c r="X1638" i="3"/>
  <c r="X1639" i="3"/>
  <c r="X1640" i="3"/>
  <c r="X1641" i="3"/>
  <c r="X1642" i="3"/>
  <c r="X1643" i="3"/>
  <c r="X1644" i="3"/>
  <c r="X1645" i="3"/>
  <c r="X1646" i="3"/>
  <c r="X1647" i="3"/>
  <c r="X1648" i="3"/>
  <c r="X1649" i="3"/>
  <c r="X1650" i="3"/>
  <c r="X1651" i="3"/>
  <c r="X1652" i="3"/>
  <c r="X1653" i="3"/>
  <c r="X1654" i="3"/>
  <c r="X1655" i="3"/>
  <c r="X1656" i="3"/>
  <c r="X1657" i="3"/>
  <c r="X1658" i="3"/>
  <c r="X1659" i="3"/>
  <c r="X1660" i="3"/>
  <c r="X1661" i="3"/>
  <c r="X1662" i="3"/>
  <c r="X1663" i="3"/>
  <c r="X1664" i="3"/>
  <c r="X1665" i="3"/>
  <c r="X1666" i="3"/>
  <c r="X1667" i="3"/>
  <c r="X1668" i="3"/>
  <c r="X1669" i="3"/>
  <c r="X1670" i="3"/>
  <c r="X1671" i="3"/>
  <c r="X1672" i="3"/>
  <c r="X1673" i="3"/>
  <c r="X1674" i="3"/>
  <c r="X1675" i="3"/>
  <c r="X1676" i="3"/>
  <c r="X1677" i="3"/>
  <c r="X1678" i="3"/>
  <c r="X1679" i="3"/>
  <c r="X1680" i="3"/>
  <c r="X1681" i="3"/>
  <c r="X1682" i="3"/>
  <c r="X1683" i="3"/>
  <c r="X1684" i="3"/>
  <c r="X1685" i="3"/>
  <c r="X1686" i="3"/>
  <c r="X1687" i="3"/>
  <c r="X1688" i="3"/>
  <c r="X1689" i="3"/>
  <c r="X1690" i="3"/>
  <c r="X1691" i="3"/>
  <c r="X1692" i="3"/>
  <c r="X1693" i="3"/>
  <c r="X1694" i="3"/>
  <c r="X1695" i="3"/>
  <c r="X1696" i="3"/>
  <c r="X1697" i="3"/>
  <c r="X1698" i="3"/>
  <c r="X1699" i="3"/>
  <c r="X1700" i="3"/>
  <c r="X1701" i="3"/>
  <c r="X1702" i="3"/>
  <c r="X1703" i="3"/>
  <c r="X1704" i="3"/>
  <c r="X1705" i="3"/>
  <c r="X1706" i="3"/>
  <c r="X1707" i="3"/>
  <c r="X1708" i="3"/>
  <c r="X1709" i="3"/>
  <c r="X1710" i="3"/>
  <c r="X1711" i="3"/>
  <c r="X1712" i="3"/>
  <c r="X1713" i="3"/>
  <c r="X1714" i="3"/>
  <c r="X1715" i="3"/>
  <c r="X1716" i="3"/>
  <c r="X1717" i="3"/>
  <c r="X1718" i="3"/>
  <c r="X1719" i="3"/>
  <c r="X1720" i="3"/>
  <c r="X1721" i="3"/>
  <c r="X1722" i="3"/>
  <c r="X1723" i="3"/>
  <c r="X1724" i="3"/>
  <c r="X1725" i="3"/>
  <c r="X1726" i="3"/>
  <c r="X1727" i="3"/>
  <c r="X1728" i="3"/>
  <c r="X1729" i="3"/>
  <c r="X1730" i="3"/>
  <c r="X1731" i="3"/>
  <c r="X1732" i="3"/>
  <c r="X1733" i="3"/>
  <c r="X1734" i="3"/>
  <c r="X1735" i="3"/>
  <c r="X1736" i="3"/>
  <c r="X1737" i="3"/>
  <c r="X1738" i="3"/>
  <c r="X1739" i="3"/>
  <c r="X1740" i="3"/>
  <c r="X1741" i="3"/>
  <c r="X1742" i="3"/>
  <c r="X1743" i="3"/>
  <c r="X1744" i="3"/>
  <c r="X1745" i="3"/>
  <c r="X1746" i="3"/>
  <c r="X1747" i="3"/>
  <c r="X1748" i="3"/>
  <c r="X1749" i="3"/>
  <c r="X1750" i="3"/>
  <c r="X1751" i="3"/>
  <c r="X1752" i="3"/>
  <c r="X1753" i="3"/>
  <c r="X1754" i="3"/>
  <c r="X1755" i="3"/>
  <c r="X1756" i="3"/>
  <c r="X1757" i="3"/>
  <c r="X1758" i="3"/>
  <c r="X1759" i="3"/>
  <c r="X1760" i="3"/>
  <c r="X1761" i="3"/>
  <c r="X1762" i="3"/>
  <c r="X1763" i="3"/>
  <c r="X1764" i="3"/>
  <c r="X1765" i="3"/>
  <c r="X1766" i="3"/>
  <c r="X1767" i="3"/>
  <c r="X1768" i="3"/>
  <c r="X1769" i="3"/>
  <c r="X1770" i="3"/>
  <c r="X1771" i="3"/>
  <c r="X1772" i="3"/>
  <c r="X1773" i="3"/>
  <c r="X1774" i="3"/>
  <c r="X1775" i="3"/>
  <c r="X1776" i="3"/>
  <c r="X1777" i="3"/>
  <c r="X1778" i="3"/>
  <c r="X1779" i="3"/>
  <c r="X1780" i="3"/>
  <c r="X1781" i="3"/>
  <c r="X1782" i="3"/>
  <c r="X1783" i="3"/>
  <c r="X1784" i="3"/>
  <c r="X1785" i="3"/>
  <c r="X1786" i="3"/>
  <c r="X1787" i="3"/>
  <c r="X1788" i="3"/>
  <c r="X1789" i="3"/>
  <c r="X1790" i="3"/>
  <c r="X1791" i="3"/>
  <c r="X1792" i="3"/>
  <c r="X1793" i="3"/>
  <c r="X1794" i="3"/>
  <c r="X1795" i="3"/>
  <c r="X1796" i="3"/>
  <c r="X1797" i="3"/>
  <c r="X1798" i="3"/>
  <c r="X1799" i="3"/>
  <c r="X1800" i="3"/>
  <c r="X1801" i="3"/>
  <c r="X1802" i="3"/>
  <c r="X1803" i="3"/>
  <c r="X1804" i="3"/>
  <c r="X1805" i="3"/>
  <c r="X1806" i="3"/>
  <c r="X1807" i="3"/>
  <c r="X1808" i="3"/>
  <c r="X1809" i="3"/>
  <c r="X1810" i="3"/>
  <c r="X1811" i="3"/>
  <c r="X1812" i="3"/>
  <c r="X1813" i="3"/>
  <c r="X1814" i="3"/>
  <c r="X1815" i="3"/>
  <c r="X1816" i="3"/>
  <c r="X1817" i="3"/>
  <c r="X1818" i="3"/>
  <c r="X1819" i="3"/>
  <c r="X1820" i="3"/>
  <c r="X1821" i="3"/>
  <c r="X1822" i="3"/>
  <c r="X1823" i="3"/>
  <c r="X1824" i="3"/>
  <c r="X1825" i="3"/>
  <c r="X1826" i="3"/>
  <c r="X1827" i="3"/>
  <c r="X1828" i="3"/>
  <c r="X1829" i="3"/>
  <c r="X1830" i="3"/>
  <c r="X1831" i="3"/>
  <c r="X1832" i="3"/>
  <c r="X1833" i="3"/>
  <c r="X1834" i="3"/>
  <c r="X1835" i="3"/>
  <c r="X1836" i="3"/>
  <c r="X1837" i="3"/>
  <c r="X1838" i="3"/>
  <c r="X1839" i="3"/>
  <c r="X1840" i="3"/>
  <c r="X1841" i="3"/>
  <c r="X1842" i="3"/>
  <c r="X1843" i="3"/>
  <c r="X1844" i="3"/>
  <c r="X1845" i="3"/>
  <c r="X1846" i="3"/>
  <c r="X1847" i="3"/>
  <c r="X1848" i="3"/>
  <c r="X1849" i="3"/>
  <c r="X1850" i="3"/>
  <c r="X1851" i="3"/>
  <c r="X1852" i="3"/>
  <c r="X1853" i="3"/>
  <c r="X1854" i="3"/>
  <c r="X1855" i="3"/>
  <c r="X1856" i="3"/>
  <c r="X1857" i="3"/>
  <c r="X1858" i="3"/>
  <c r="X1859" i="3"/>
  <c r="X1860" i="3"/>
  <c r="X1861" i="3"/>
  <c r="X1862" i="3"/>
  <c r="X1863" i="3"/>
  <c r="X1864" i="3"/>
  <c r="X1865" i="3"/>
  <c r="X1866" i="3"/>
  <c r="X1867" i="3"/>
  <c r="X1868" i="3"/>
  <c r="X1869" i="3"/>
  <c r="X1870" i="3"/>
  <c r="X1871" i="3"/>
  <c r="X1872" i="3"/>
  <c r="X1873" i="3"/>
  <c r="X1874" i="3"/>
  <c r="X1875" i="3"/>
  <c r="X1876" i="3"/>
  <c r="X1877" i="3"/>
  <c r="X1878" i="3"/>
  <c r="X1879" i="3"/>
  <c r="X1880" i="3"/>
  <c r="X1881" i="3"/>
  <c r="X1882" i="3"/>
  <c r="X1883" i="3"/>
  <c r="X1884" i="3"/>
  <c r="X1885" i="3"/>
  <c r="X1886" i="3"/>
  <c r="X1887" i="3"/>
  <c r="X1888" i="3"/>
  <c r="X1889" i="3"/>
  <c r="X1890" i="3"/>
  <c r="X1891" i="3"/>
  <c r="X1892" i="3"/>
  <c r="X1893" i="3"/>
  <c r="X1894" i="3"/>
  <c r="X1895" i="3"/>
  <c r="X1897" i="3"/>
  <c r="X1898" i="3"/>
  <c r="X1899" i="3"/>
  <c r="X1900" i="3"/>
  <c r="X1901" i="3"/>
  <c r="X1902" i="3"/>
  <c r="X1903" i="3"/>
  <c r="X1904" i="3"/>
  <c r="X1905" i="3"/>
  <c r="X1906" i="3"/>
  <c r="X1907" i="3"/>
  <c r="X1908" i="3"/>
  <c r="X1909" i="3"/>
  <c r="X1910" i="3"/>
  <c r="X1911" i="3"/>
  <c r="X1912" i="3"/>
  <c r="X1913" i="3"/>
  <c r="X1914" i="3"/>
  <c r="X1915" i="3"/>
  <c r="X1916" i="3"/>
  <c r="X1917" i="3"/>
  <c r="X1918" i="3"/>
  <c r="X1919" i="3"/>
  <c r="X1920" i="3"/>
  <c r="X1921" i="3"/>
  <c r="X1922" i="3"/>
  <c r="X1923" i="3"/>
  <c r="X1924" i="3"/>
  <c r="X1925" i="3"/>
  <c r="X1926" i="3"/>
  <c r="X1927" i="3"/>
  <c r="X1928" i="3"/>
  <c r="X1929" i="3"/>
  <c r="X1930" i="3"/>
  <c r="X1931" i="3"/>
  <c r="X1932" i="3"/>
  <c r="X1933" i="3"/>
  <c r="X1934" i="3"/>
  <c r="X1935" i="3"/>
  <c r="X1936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" i="3"/>
  <c r="W127" i="3"/>
  <c r="AF127" i="3" s="1"/>
  <c r="W128" i="3"/>
  <c r="AF128" i="3" s="1"/>
  <c r="W129" i="3"/>
  <c r="AF129" i="3" s="1"/>
  <c r="W130" i="3"/>
  <c r="AF130" i="3" s="1"/>
  <c r="W131" i="3"/>
  <c r="AF131" i="3" s="1"/>
  <c r="W132" i="3"/>
  <c r="AF132" i="3" s="1"/>
  <c r="W133" i="3"/>
  <c r="AF133" i="3" s="1"/>
  <c r="W134" i="3"/>
  <c r="AF134" i="3" s="1"/>
  <c r="W135" i="3"/>
  <c r="AF135" i="3" s="1"/>
  <c r="W136" i="3"/>
  <c r="AF136" i="3" s="1"/>
  <c r="W137" i="3"/>
  <c r="AF137" i="3" s="1"/>
  <c r="W138" i="3"/>
  <c r="AF138" i="3" s="1"/>
  <c r="W139" i="3"/>
  <c r="AF139" i="3" s="1"/>
  <c r="W140" i="3"/>
  <c r="AF140" i="3" s="1"/>
  <c r="W141" i="3"/>
  <c r="AF141" i="3" s="1"/>
  <c r="W142" i="3"/>
  <c r="AF142" i="3" s="1"/>
  <c r="W143" i="3"/>
  <c r="AF143" i="3" s="1"/>
  <c r="W144" i="3"/>
  <c r="AF144" i="3" s="1"/>
  <c r="W145" i="3"/>
  <c r="AF145" i="3" s="1"/>
  <c r="W146" i="3"/>
  <c r="AF146" i="3" s="1"/>
  <c r="W147" i="3"/>
  <c r="AF147" i="3" s="1"/>
  <c r="W148" i="3"/>
  <c r="AF148" i="3" s="1"/>
  <c r="W149" i="3"/>
  <c r="AF149" i="3" s="1"/>
  <c r="W150" i="3"/>
  <c r="AF150" i="3" s="1"/>
  <c r="W151" i="3"/>
  <c r="AF151" i="3" s="1"/>
  <c r="W152" i="3"/>
  <c r="AF152" i="3" s="1"/>
  <c r="W153" i="3"/>
  <c r="AF153" i="3" s="1"/>
  <c r="W154" i="3"/>
  <c r="AF154" i="3" s="1"/>
  <c r="W155" i="3"/>
  <c r="AF155" i="3" s="1"/>
  <c r="W156" i="3"/>
  <c r="AF156" i="3" s="1"/>
  <c r="W157" i="3"/>
  <c r="AF157" i="3" s="1"/>
  <c r="W158" i="3"/>
  <c r="AF158" i="3" s="1"/>
  <c r="W159" i="3"/>
  <c r="AF159" i="3" s="1"/>
  <c r="W160" i="3"/>
  <c r="AF160" i="3" s="1"/>
  <c r="W161" i="3"/>
  <c r="AF161" i="3" s="1"/>
  <c r="W162" i="3"/>
  <c r="AF162" i="3" s="1"/>
  <c r="W163" i="3"/>
  <c r="AF163" i="3" s="1"/>
  <c r="W164" i="3"/>
  <c r="AF164" i="3" s="1"/>
  <c r="W165" i="3"/>
  <c r="AF165" i="3" s="1"/>
  <c r="W166" i="3"/>
  <c r="AF166" i="3" s="1"/>
  <c r="W167" i="3"/>
  <c r="AF167" i="3" s="1"/>
  <c r="W168" i="3"/>
  <c r="AF168" i="3" s="1"/>
  <c r="W169" i="3"/>
  <c r="AF169" i="3" s="1"/>
  <c r="W170" i="3"/>
  <c r="AF170" i="3" s="1"/>
  <c r="W171" i="3"/>
  <c r="AF171" i="3" s="1"/>
  <c r="W172" i="3"/>
  <c r="AF172" i="3" s="1"/>
  <c r="W173" i="3"/>
  <c r="AF173" i="3" s="1"/>
  <c r="W174" i="3"/>
  <c r="AF174" i="3" s="1"/>
  <c r="W175" i="3"/>
  <c r="AF175" i="3" s="1"/>
  <c r="W176" i="3"/>
  <c r="AF176" i="3" s="1"/>
  <c r="W177" i="3"/>
  <c r="AF177" i="3" s="1"/>
  <c r="W178" i="3"/>
  <c r="AF178" i="3" s="1"/>
  <c r="W179" i="3"/>
  <c r="AF179" i="3" s="1"/>
  <c r="W180" i="3"/>
  <c r="AF180" i="3" s="1"/>
  <c r="W181" i="3"/>
  <c r="AF181" i="3" s="1"/>
  <c r="W182" i="3"/>
  <c r="AF182" i="3" s="1"/>
  <c r="W183" i="3"/>
  <c r="AF183" i="3" s="1"/>
  <c r="W184" i="3"/>
  <c r="AF184" i="3" s="1"/>
  <c r="W185" i="3"/>
  <c r="AF185" i="3" s="1"/>
  <c r="W186" i="3"/>
  <c r="AF186" i="3" s="1"/>
  <c r="W187" i="3"/>
  <c r="AF187" i="3" s="1"/>
  <c r="W188" i="3"/>
  <c r="AF188" i="3" s="1"/>
  <c r="W189" i="3"/>
  <c r="AF189" i="3" s="1"/>
  <c r="W190" i="3"/>
  <c r="AF190" i="3" s="1"/>
  <c r="W191" i="3"/>
  <c r="AF191" i="3" s="1"/>
  <c r="W192" i="3"/>
  <c r="AF192" i="3" s="1"/>
  <c r="W193" i="3"/>
  <c r="AF193" i="3" s="1"/>
  <c r="W194" i="3"/>
  <c r="AF194" i="3" s="1"/>
  <c r="W195" i="3"/>
  <c r="AF195" i="3" s="1"/>
  <c r="W196" i="3"/>
  <c r="AF196" i="3" s="1"/>
  <c r="W197" i="3"/>
  <c r="AF197" i="3" s="1"/>
  <c r="W198" i="3"/>
  <c r="AF198" i="3" s="1"/>
  <c r="W199" i="3"/>
  <c r="AF199" i="3" s="1"/>
  <c r="W200" i="3"/>
  <c r="AF200" i="3" s="1"/>
  <c r="W201" i="3"/>
  <c r="AF201" i="3" s="1"/>
  <c r="W202" i="3"/>
  <c r="AF202" i="3" s="1"/>
  <c r="W203" i="3"/>
  <c r="AF203" i="3" s="1"/>
  <c r="W204" i="3"/>
  <c r="AF204" i="3" s="1"/>
  <c r="W205" i="3"/>
  <c r="AF205" i="3" s="1"/>
  <c r="W206" i="3"/>
  <c r="AF206" i="3" s="1"/>
  <c r="W207" i="3"/>
  <c r="AF207" i="3" s="1"/>
  <c r="W208" i="3"/>
  <c r="AF208" i="3" s="1"/>
  <c r="W209" i="3"/>
  <c r="AF209" i="3" s="1"/>
  <c r="W210" i="3"/>
  <c r="AF210" i="3" s="1"/>
  <c r="W211" i="3"/>
  <c r="AF211" i="3" s="1"/>
  <c r="W212" i="3"/>
  <c r="AF212" i="3" s="1"/>
  <c r="W213" i="3"/>
  <c r="AF213" i="3" s="1"/>
  <c r="W214" i="3"/>
  <c r="AF214" i="3" s="1"/>
  <c r="W215" i="3"/>
  <c r="AF215" i="3" s="1"/>
  <c r="W216" i="3"/>
  <c r="AF216" i="3" s="1"/>
  <c r="W217" i="3"/>
  <c r="AF217" i="3" s="1"/>
  <c r="W218" i="3"/>
  <c r="AF218" i="3" s="1"/>
  <c r="W219" i="3"/>
  <c r="AF219" i="3" s="1"/>
  <c r="W220" i="3"/>
  <c r="AF220" i="3" s="1"/>
  <c r="W221" i="3"/>
  <c r="AF221" i="3" s="1"/>
  <c r="W222" i="3"/>
  <c r="AF222" i="3" s="1"/>
  <c r="W223" i="3"/>
  <c r="AF223" i="3" s="1"/>
  <c r="W224" i="3"/>
  <c r="AF224" i="3" s="1"/>
  <c r="W225" i="3"/>
  <c r="AF225" i="3" s="1"/>
  <c r="W226" i="3"/>
  <c r="AF226" i="3" s="1"/>
  <c r="W227" i="3"/>
  <c r="AF227" i="3" s="1"/>
  <c r="W228" i="3"/>
  <c r="AF228" i="3" s="1"/>
  <c r="W229" i="3"/>
  <c r="AF229" i="3" s="1"/>
  <c r="W230" i="3"/>
  <c r="AF230" i="3" s="1"/>
  <c r="W231" i="3"/>
  <c r="AF231" i="3" s="1"/>
  <c r="W232" i="3"/>
  <c r="AF232" i="3" s="1"/>
  <c r="W233" i="3"/>
  <c r="AF233" i="3" s="1"/>
  <c r="W234" i="3"/>
  <c r="AF234" i="3" s="1"/>
  <c r="W235" i="3"/>
  <c r="AF235" i="3" s="1"/>
  <c r="W236" i="3"/>
  <c r="AF236" i="3" s="1"/>
  <c r="AG236" i="3" s="1"/>
  <c r="W237" i="3"/>
  <c r="AF237" i="3" s="1"/>
  <c r="W238" i="3"/>
  <c r="AF238" i="3" s="1"/>
  <c r="W239" i="3"/>
  <c r="AF239" i="3" s="1"/>
  <c r="W240" i="3"/>
  <c r="AF240" i="3" s="1"/>
  <c r="W241" i="3"/>
  <c r="AF241" i="3" s="1"/>
  <c r="W242" i="3"/>
  <c r="AF242" i="3" s="1"/>
  <c r="W243" i="3"/>
  <c r="AF243" i="3" s="1"/>
  <c r="W244" i="3"/>
  <c r="AF244" i="3" s="1"/>
  <c r="W245" i="3"/>
  <c r="AF245" i="3" s="1"/>
  <c r="W246" i="3"/>
  <c r="AF246" i="3" s="1"/>
  <c r="W247" i="3"/>
  <c r="AF247" i="3" s="1"/>
  <c r="W248" i="3"/>
  <c r="AF248" i="3" s="1"/>
  <c r="W249" i="3"/>
  <c r="AF249" i="3" s="1"/>
  <c r="W250" i="3"/>
  <c r="AF250" i="3" s="1"/>
  <c r="W251" i="3"/>
  <c r="AF251" i="3" s="1"/>
  <c r="W252" i="3"/>
  <c r="AF252" i="3" s="1"/>
  <c r="AG252" i="3" s="1"/>
  <c r="W253" i="3"/>
  <c r="AF253" i="3" s="1"/>
  <c r="W254" i="3"/>
  <c r="AF254" i="3" s="1"/>
  <c r="W255" i="3"/>
  <c r="AF255" i="3" s="1"/>
  <c r="W256" i="3"/>
  <c r="AF256" i="3" s="1"/>
  <c r="W257" i="3"/>
  <c r="AF257" i="3" s="1"/>
  <c r="W258" i="3"/>
  <c r="AF258" i="3" s="1"/>
  <c r="W259" i="3"/>
  <c r="AF259" i="3" s="1"/>
  <c r="W260" i="3"/>
  <c r="AF260" i="3" s="1"/>
  <c r="W261" i="3"/>
  <c r="AF261" i="3" s="1"/>
  <c r="W262" i="3"/>
  <c r="AF262" i="3" s="1"/>
  <c r="W263" i="3"/>
  <c r="AF263" i="3" s="1"/>
  <c r="W264" i="3"/>
  <c r="AF264" i="3" s="1"/>
  <c r="W265" i="3"/>
  <c r="AF265" i="3" s="1"/>
  <c r="W266" i="3"/>
  <c r="AF266" i="3" s="1"/>
  <c r="W267" i="3"/>
  <c r="AF267" i="3" s="1"/>
  <c r="W268" i="3"/>
  <c r="AF268" i="3" s="1"/>
  <c r="AG268" i="3" s="1"/>
  <c r="W269" i="3"/>
  <c r="AF269" i="3" s="1"/>
  <c r="W270" i="3"/>
  <c r="AF270" i="3" s="1"/>
  <c r="W271" i="3"/>
  <c r="AF271" i="3" s="1"/>
  <c r="W272" i="3"/>
  <c r="AF272" i="3" s="1"/>
  <c r="W273" i="3"/>
  <c r="AF273" i="3" s="1"/>
  <c r="W274" i="3"/>
  <c r="AF274" i="3" s="1"/>
  <c r="W275" i="3"/>
  <c r="AF275" i="3" s="1"/>
  <c r="W276" i="3"/>
  <c r="AF276" i="3" s="1"/>
  <c r="W277" i="3"/>
  <c r="AF277" i="3" s="1"/>
  <c r="W278" i="3"/>
  <c r="AF278" i="3" s="1"/>
  <c r="W279" i="3"/>
  <c r="AF279" i="3" s="1"/>
  <c r="W280" i="3"/>
  <c r="AF280" i="3" s="1"/>
  <c r="W281" i="3"/>
  <c r="AF281" i="3" s="1"/>
  <c r="W282" i="3"/>
  <c r="AF282" i="3" s="1"/>
  <c r="W283" i="3"/>
  <c r="AF283" i="3" s="1"/>
  <c r="W284" i="3"/>
  <c r="AF284" i="3" s="1"/>
  <c r="AG284" i="3" s="1"/>
  <c r="W285" i="3"/>
  <c r="AF285" i="3" s="1"/>
  <c r="W286" i="3"/>
  <c r="AF286" i="3" s="1"/>
  <c r="W287" i="3"/>
  <c r="AF287" i="3" s="1"/>
  <c r="W288" i="3"/>
  <c r="AF288" i="3" s="1"/>
  <c r="W289" i="3"/>
  <c r="AF289" i="3" s="1"/>
  <c r="W290" i="3"/>
  <c r="AF290" i="3" s="1"/>
  <c r="W291" i="3"/>
  <c r="AF291" i="3" s="1"/>
  <c r="W292" i="3"/>
  <c r="AF292" i="3" s="1"/>
  <c r="W293" i="3"/>
  <c r="AF293" i="3" s="1"/>
  <c r="W294" i="3"/>
  <c r="AF294" i="3" s="1"/>
  <c r="W295" i="3"/>
  <c r="AF295" i="3" s="1"/>
  <c r="W296" i="3"/>
  <c r="AF296" i="3" s="1"/>
  <c r="W297" i="3"/>
  <c r="AF297" i="3" s="1"/>
  <c r="W298" i="3"/>
  <c r="AF298" i="3" s="1"/>
  <c r="W299" i="3"/>
  <c r="AF299" i="3" s="1"/>
  <c r="W300" i="3"/>
  <c r="AF300" i="3" s="1"/>
  <c r="AG300" i="3" s="1"/>
  <c r="W301" i="3"/>
  <c r="AF301" i="3" s="1"/>
  <c r="W302" i="3"/>
  <c r="AF302" i="3" s="1"/>
  <c r="W303" i="3"/>
  <c r="AF303" i="3" s="1"/>
  <c r="W304" i="3"/>
  <c r="AF304" i="3" s="1"/>
  <c r="W305" i="3"/>
  <c r="AF305" i="3" s="1"/>
  <c r="W306" i="3"/>
  <c r="AF306" i="3" s="1"/>
  <c r="W307" i="3"/>
  <c r="AF307" i="3" s="1"/>
  <c r="W308" i="3"/>
  <c r="AF308" i="3" s="1"/>
  <c r="W309" i="3"/>
  <c r="AF309" i="3" s="1"/>
  <c r="W310" i="3"/>
  <c r="AF310" i="3" s="1"/>
  <c r="W311" i="3"/>
  <c r="AF311" i="3" s="1"/>
  <c r="W312" i="3"/>
  <c r="AF312" i="3" s="1"/>
  <c r="W313" i="3"/>
  <c r="AF313" i="3" s="1"/>
  <c r="W314" i="3"/>
  <c r="AF314" i="3" s="1"/>
  <c r="W315" i="3"/>
  <c r="AF315" i="3" s="1"/>
  <c r="W316" i="3"/>
  <c r="AF316" i="3" s="1"/>
  <c r="AG316" i="3" s="1"/>
  <c r="W317" i="3"/>
  <c r="AF317" i="3" s="1"/>
  <c r="W318" i="3"/>
  <c r="AF318" i="3" s="1"/>
  <c r="W319" i="3"/>
  <c r="AF319" i="3" s="1"/>
  <c r="W320" i="3"/>
  <c r="AF320" i="3" s="1"/>
  <c r="W321" i="3"/>
  <c r="AF321" i="3" s="1"/>
  <c r="W322" i="3"/>
  <c r="AF322" i="3" s="1"/>
  <c r="W323" i="3"/>
  <c r="AF323" i="3" s="1"/>
  <c r="W324" i="3"/>
  <c r="AF324" i="3" s="1"/>
  <c r="W325" i="3"/>
  <c r="AF325" i="3" s="1"/>
  <c r="W326" i="3"/>
  <c r="AF326" i="3" s="1"/>
  <c r="W327" i="3"/>
  <c r="AF327" i="3" s="1"/>
  <c r="W328" i="3"/>
  <c r="AF328" i="3" s="1"/>
  <c r="W329" i="3"/>
  <c r="AF329" i="3" s="1"/>
  <c r="W330" i="3"/>
  <c r="AF330" i="3" s="1"/>
  <c r="W331" i="3"/>
  <c r="AF331" i="3" s="1"/>
  <c r="W332" i="3"/>
  <c r="AF332" i="3" s="1"/>
  <c r="AG332" i="3" s="1"/>
  <c r="W333" i="3"/>
  <c r="AF333" i="3" s="1"/>
  <c r="W334" i="3"/>
  <c r="AF334" i="3" s="1"/>
  <c r="W335" i="3"/>
  <c r="AF335" i="3" s="1"/>
  <c r="W336" i="3"/>
  <c r="AF336" i="3" s="1"/>
  <c r="W337" i="3"/>
  <c r="AF337" i="3" s="1"/>
  <c r="W338" i="3"/>
  <c r="AF338" i="3" s="1"/>
  <c r="W339" i="3"/>
  <c r="AF339" i="3" s="1"/>
  <c r="W340" i="3"/>
  <c r="AF340" i="3" s="1"/>
  <c r="W341" i="3"/>
  <c r="AF341" i="3" s="1"/>
  <c r="W342" i="3"/>
  <c r="AF342" i="3" s="1"/>
  <c r="W343" i="3"/>
  <c r="AF343" i="3" s="1"/>
  <c r="W344" i="3"/>
  <c r="AF344" i="3" s="1"/>
  <c r="W345" i="3"/>
  <c r="AF345" i="3" s="1"/>
  <c r="W346" i="3"/>
  <c r="AF346" i="3" s="1"/>
  <c r="W347" i="3"/>
  <c r="AF347" i="3" s="1"/>
  <c r="W348" i="3"/>
  <c r="AF348" i="3" s="1"/>
  <c r="AG348" i="3" s="1"/>
  <c r="W349" i="3"/>
  <c r="AF349" i="3" s="1"/>
  <c r="W350" i="3"/>
  <c r="AF350" i="3" s="1"/>
  <c r="W351" i="3"/>
  <c r="AF351" i="3" s="1"/>
  <c r="W352" i="3"/>
  <c r="AF352" i="3" s="1"/>
  <c r="W353" i="3"/>
  <c r="AF353" i="3" s="1"/>
  <c r="W354" i="3"/>
  <c r="AF354" i="3" s="1"/>
  <c r="W355" i="3"/>
  <c r="AF355" i="3" s="1"/>
  <c r="W356" i="3"/>
  <c r="AF356" i="3" s="1"/>
  <c r="W357" i="3"/>
  <c r="AF357" i="3" s="1"/>
  <c r="W358" i="3"/>
  <c r="AF358" i="3" s="1"/>
  <c r="W359" i="3"/>
  <c r="AF359" i="3" s="1"/>
  <c r="W360" i="3"/>
  <c r="AF360" i="3" s="1"/>
  <c r="W361" i="3"/>
  <c r="AF361" i="3" s="1"/>
  <c r="W362" i="3"/>
  <c r="AF362" i="3" s="1"/>
  <c r="W363" i="3"/>
  <c r="AF363" i="3" s="1"/>
  <c r="W364" i="3"/>
  <c r="AF364" i="3" s="1"/>
  <c r="AG364" i="3" s="1"/>
  <c r="W365" i="3"/>
  <c r="AF365" i="3" s="1"/>
  <c r="W366" i="3"/>
  <c r="AF366" i="3" s="1"/>
  <c r="W367" i="3"/>
  <c r="AF367" i="3" s="1"/>
  <c r="W368" i="3"/>
  <c r="AF368" i="3" s="1"/>
  <c r="W369" i="3"/>
  <c r="AF369" i="3" s="1"/>
  <c r="W370" i="3"/>
  <c r="AF370" i="3" s="1"/>
  <c r="W371" i="3"/>
  <c r="AF371" i="3" s="1"/>
  <c r="W372" i="3"/>
  <c r="AF372" i="3" s="1"/>
  <c r="W373" i="3"/>
  <c r="AF373" i="3" s="1"/>
  <c r="W374" i="3"/>
  <c r="AF374" i="3" s="1"/>
  <c r="W375" i="3"/>
  <c r="AF375" i="3" s="1"/>
  <c r="W376" i="3"/>
  <c r="AF376" i="3" s="1"/>
  <c r="W377" i="3"/>
  <c r="AF377" i="3" s="1"/>
  <c r="W378" i="3"/>
  <c r="AF378" i="3" s="1"/>
  <c r="W379" i="3"/>
  <c r="AF379" i="3" s="1"/>
  <c r="W380" i="3"/>
  <c r="AF380" i="3" s="1"/>
  <c r="AG380" i="3" s="1"/>
  <c r="W381" i="3"/>
  <c r="AF381" i="3" s="1"/>
  <c r="W382" i="3"/>
  <c r="AF382" i="3" s="1"/>
  <c r="W383" i="3"/>
  <c r="AF383" i="3" s="1"/>
  <c r="W384" i="3"/>
  <c r="AF384" i="3" s="1"/>
  <c r="W385" i="3"/>
  <c r="AF385" i="3" s="1"/>
  <c r="W386" i="3"/>
  <c r="AF386" i="3" s="1"/>
  <c r="W387" i="3"/>
  <c r="AF387" i="3" s="1"/>
  <c r="W388" i="3"/>
  <c r="AF388" i="3" s="1"/>
  <c r="W389" i="3"/>
  <c r="AF389" i="3" s="1"/>
  <c r="W390" i="3"/>
  <c r="AF390" i="3" s="1"/>
  <c r="W391" i="3"/>
  <c r="AF391" i="3" s="1"/>
  <c r="W392" i="3"/>
  <c r="AF392" i="3" s="1"/>
  <c r="W393" i="3"/>
  <c r="AF393" i="3" s="1"/>
  <c r="W394" i="3"/>
  <c r="AF394" i="3" s="1"/>
  <c r="W395" i="3"/>
  <c r="AF395" i="3" s="1"/>
  <c r="W396" i="3"/>
  <c r="AF396" i="3" s="1"/>
  <c r="AG396" i="3" s="1"/>
  <c r="W397" i="3"/>
  <c r="AF397" i="3" s="1"/>
  <c r="W398" i="3"/>
  <c r="AF398" i="3" s="1"/>
  <c r="W399" i="3"/>
  <c r="AF399" i="3" s="1"/>
  <c r="W400" i="3"/>
  <c r="AF400" i="3" s="1"/>
  <c r="W401" i="3"/>
  <c r="AF401" i="3" s="1"/>
  <c r="W402" i="3"/>
  <c r="AF402" i="3" s="1"/>
  <c r="W403" i="3"/>
  <c r="AF403" i="3" s="1"/>
  <c r="W404" i="3"/>
  <c r="AF404" i="3" s="1"/>
  <c r="W405" i="3"/>
  <c r="AF405" i="3" s="1"/>
  <c r="W406" i="3"/>
  <c r="AF406" i="3" s="1"/>
  <c r="W407" i="3"/>
  <c r="AF407" i="3" s="1"/>
  <c r="W408" i="3"/>
  <c r="AF408" i="3" s="1"/>
  <c r="W409" i="3"/>
  <c r="AF409" i="3" s="1"/>
  <c r="W410" i="3"/>
  <c r="AF410" i="3" s="1"/>
  <c r="W411" i="3"/>
  <c r="AF411" i="3" s="1"/>
  <c r="W412" i="3"/>
  <c r="AF412" i="3" s="1"/>
  <c r="AG412" i="3" s="1"/>
  <c r="W413" i="3"/>
  <c r="AF413" i="3" s="1"/>
  <c r="W414" i="3"/>
  <c r="AF414" i="3" s="1"/>
  <c r="W415" i="3"/>
  <c r="AF415" i="3" s="1"/>
  <c r="W416" i="3"/>
  <c r="AF416" i="3" s="1"/>
  <c r="W417" i="3"/>
  <c r="AF417" i="3" s="1"/>
  <c r="W418" i="3"/>
  <c r="AF418" i="3" s="1"/>
  <c r="W419" i="3"/>
  <c r="AF419" i="3" s="1"/>
  <c r="W420" i="3"/>
  <c r="AF420" i="3" s="1"/>
  <c r="W421" i="3"/>
  <c r="AF421" i="3" s="1"/>
  <c r="W422" i="3"/>
  <c r="AF422" i="3" s="1"/>
  <c r="W423" i="3"/>
  <c r="AF423" i="3" s="1"/>
  <c r="W424" i="3"/>
  <c r="AF424" i="3" s="1"/>
  <c r="W425" i="3"/>
  <c r="AF425" i="3" s="1"/>
  <c r="W426" i="3"/>
  <c r="AF426" i="3" s="1"/>
  <c r="W427" i="3"/>
  <c r="AF427" i="3" s="1"/>
  <c r="W428" i="3"/>
  <c r="AF428" i="3" s="1"/>
  <c r="AG428" i="3" s="1"/>
  <c r="W429" i="3"/>
  <c r="AF429" i="3" s="1"/>
  <c r="W430" i="3"/>
  <c r="AF430" i="3" s="1"/>
  <c r="W431" i="3"/>
  <c r="AF431" i="3" s="1"/>
  <c r="W432" i="3"/>
  <c r="AF432" i="3" s="1"/>
  <c r="W433" i="3"/>
  <c r="AF433" i="3" s="1"/>
  <c r="W434" i="3"/>
  <c r="AF434" i="3" s="1"/>
  <c r="W435" i="3"/>
  <c r="AF435" i="3" s="1"/>
  <c r="W436" i="3"/>
  <c r="AF436" i="3" s="1"/>
  <c r="W437" i="3"/>
  <c r="AF437" i="3" s="1"/>
  <c r="W438" i="3"/>
  <c r="AF438" i="3" s="1"/>
  <c r="W439" i="3"/>
  <c r="AF439" i="3" s="1"/>
  <c r="W440" i="3"/>
  <c r="AF440" i="3" s="1"/>
  <c r="W441" i="3"/>
  <c r="AF441" i="3" s="1"/>
  <c r="W442" i="3"/>
  <c r="AF442" i="3" s="1"/>
  <c r="W443" i="3"/>
  <c r="AF443" i="3" s="1"/>
  <c r="W444" i="3"/>
  <c r="AF444" i="3" s="1"/>
  <c r="AG444" i="3" s="1"/>
  <c r="W445" i="3"/>
  <c r="AF445" i="3" s="1"/>
  <c r="W446" i="3"/>
  <c r="AF446" i="3" s="1"/>
  <c r="W447" i="3"/>
  <c r="AF447" i="3" s="1"/>
  <c r="W448" i="3"/>
  <c r="AF448" i="3" s="1"/>
  <c r="W449" i="3"/>
  <c r="AF449" i="3" s="1"/>
  <c r="W450" i="3"/>
  <c r="AF450" i="3" s="1"/>
  <c r="W451" i="3"/>
  <c r="AF451" i="3" s="1"/>
  <c r="W452" i="3"/>
  <c r="AF452" i="3" s="1"/>
  <c r="W453" i="3"/>
  <c r="AF453" i="3" s="1"/>
  <c r="W454" i="3"/>
  <c r="AF454" i="3" s="1"/>
  <c r="W455" i="3"/>
  <c r="AF455" i="3" s="1"/>
  <c r="W456" i="3"/>
  <c r="AF456" i="3" s="1"/>
  <c r="W457" i="3"/>
  <c r="AF457" i="3" s="1"/>
  <c r="W458" i="3"/>
  <c r="AF458" i="3" s="1"/>
  <c r="W459" i="3"/>
  <c r="AF459" i="3" s="1"/>
  <c r="W460" i="3"/>
  <c r="AF460" i="3" s="1"/>
  <c r="AG460" i="3" s="1"/>
  <c r="W461" i="3"/>
  <c r="AF461" i="3" s="1"/>
  <c r="W462" i="3"/>
  <c r="AF462" i="3" s="1"/>
  <c r="W463" i="3"/>
  <c r="AF463" i="3" s="1"/>
  <c r="W464" i="3"/>
  <c r="AF464" i="3" s="1"/>
  <c r="W465" i="3"/>
  <c r="AF465" i="3" s="1"/>
  <c r="W466" i="3"/>
  <c r="AF466" i="3" s="1"/>
  <c r="W467" i="3"/>
  <c r="AF467" i="3" s="1"/>
  <c r="W468" i="3"/>
  <c r="AF468" i="3" s="1"/>
  <c r="W469" i="3"/>
  <c r="AF469" i="3" s="1"/>
  <c r="W470" i="3"/>
  <c r="AF470" i="3" s="1"/>
  <c r="W471" i="3"/>
  <c r="AF471" i="3" s="1"/>
  <c r="W472" i="3"/>
  <c r="AF472" i="3" s="1"/>
  <c r="W473" i="3"/>
  <c r="AF473" i="3" s="1"/>
  <c r="W474" i="3"/>
  <c r="AF474" i="3" s="1"/>
  <c r="W475" i="3"/>
  <c r="AF475" i="3" s="1"/>
  <c r="W476" i="3"/>
  <c r="AF476" i="3" s="1"/>
  <c r="AG476" i="3" s="1"/>
  <c r="W477" i="3"/>
  <c r="AF477" i="3" s="1"/>
  <c r="W478" i="3"/>
  <c r="AF478" i="3" s="1"/>
  <c r="W479" i="3"/>
  <c r="AF479" i="3" s="1"/>
  <c r="W480" i="3"/>
  <c r="AF480" i="3" s="1"/>
  <c r="W481" i="3"/>
  <c r="AF481" i="3" s="1"/>
  <c r="W482" i="3"/>
  <c r="AF482" i="3" s="1"/>
  <c r="W483" i="3"/>
  <c r="AF483" i="3" s="1"/>
  <c r="W484" i="3"/>
  <c r="AF484" i="3" s="1"/>
  <c r="W485" i="3"/>
  <c r="AF485" i="3" s="1"/>
  <c r="W492" i="3"/>
  <c r="AF492" i="3" s="1"/>
  <c r="W493" i="3"/>
  <c r="AF493" i="3" s="1"/>
  <c r="W494" i="3"/>
  <c r="AF494" i="3" s="1"/>
  <c r="W495" i="3"/>
  <c r="AF495" i="3" s="1"/>
  <c r="W496" i="3"/>
  <c r="AF496" i="3" s="1"/>
  <c r="W497" i="3"/>
  <c r="AF497" i="3" s="1"/>
  <c r="W498" i="3"/>
  <c r="AF498" i="3" s="1"/>
  <c r="AG498" i="3" s="1"/>
  <c r="W499" i="3"/>
  <c r="AF499" i="3" s="1"/>
  <c r="W500" i="3"/>
  <c r="AF500" i="3" s="1"/>
  <c r="W501" i="3"/>
  <c r="AF501" i="3" s="1"/>
  <c r="W502" i="3"/>
  <c r="AF502" i="3" s="1"/>
  <c r="W503" i="3"/>
  <c r="AF503" i="3" s="1"/>
  <c r="W504" i="3"/>
  <c r="AF504" i="3" s="1"/>
  <c r="W505" i="3"/>
  <c r="AF505" i="3" s="1"/>
  <c r="W506" i="3"/>
  <c r="AF506" i="3" s="1"/>
  <c r="W507" i="3"/>
  <c r="AF507" i="3" s="1"/>
  <c r="W508" i="3"/>
  <c r="AF508" i="3" s="1"/>
  <c r="W509" i="3"/>
  <c r="AF509" i="3" s="1"/>
  <c r="W510" i="3"/>
  <c r="AF510" i="3" s="1"/>
  <c r="W511" i="3"/>
  <c r="AF511" i="3" s="1"/>
  <c r="W512" i="3"/>
  <c r="AF512" i="3" s="1"/>
  <c r="W513" i="3"/>
  <c r="AF513" i="3" s="1"/>
  <c r="W514" i="3"/>
  <c r="AF514" i="3" s="1"/>
  <c r="AG514" i="3" s="1"/>
  <c r="W515" i="3"/>
  <c r="AF515" i="3" s="1"/>
  <c r="W516" i="3"/>
  <c r="AF516" i="3" s="1"/>
  <c r="W517" i="3"/>
  <c r="AF517" i="3" s="1"/>
  <c r="W518" i="3"/>
  <c r="AF518" i="3" s="1"/>
  <c r="W519" i="3"/>
  <c r="AF519" i="3" s="1"/>
  <c r="W520" i="3"/>
  <c r="AF520" i="3" s="1"/>
  <c r="W521" i="3"/>
  <c r="AF521" i="3" s="1"/>
  <c r="W522" i="3"/>
  <c r="AF522" i="3" s="1"/>
  <c r="W523" i="3"/>
  <c r="AF523" i="3" s="1"/>
  <c r="W524" i="3"/>
  <c r="AF524" i="3" s="1"/>
  <c r="W525" i="3"/>
  <c r="AF525" i="3" s="1"/>
  <c r="W526" i="3"/>
  <c r="AF526" i="3" s="1"/>
  <c r="W527" i="3"/>
  <c r="AF527" i="3" s="1"/>
  <c r="W528" i="3"/>
  <c r="AF528" i="3" s="1"/>
  <c r="W529" i="3"/>
  <c r="AF529" i="3" s="1"/>
  <c r="W530" i="3"/>
  <c r="AF530" i="3" s="1"/>
  <c r="AG530" i="3" s="1"/>
  <c r="W531" i="3"/>
  <c r="AF531" i="3" s="1"/>
  <c r="W532" i="3"/>
  <c r="AF532" i="3" s="1"/>
  <c r="W533" i="3"/>
  <c r="AF533" i="3" s="1"/>
  <c r="W534" i="3"/>
  <c r="AF534" i="3" s="1"/>
  <c r="W535" i="3"/>
  <c r="AF535" i="3" s="1"/>
  <c r="W536" i="3"/>
  <c r="AF536" i="3" s="1"/>
  <c r="W537" i="3"/>
  <c r="AF537" i="3" s="1"/>
  <c r="W538" i="3"/>
  <c r="AF538" i="3" s="1"/>
  <c r="W539" i="3"/>
  <c r="AF539" i="3" s="1"/>
  <c r="W540" i="3"/>
  <c r="AF540" i="3" s="1"/>
  <c r="W541" i="3"/>
  <c r="AF541" i="3" s="1"/>
  <c r="W542" i="3"/>
  <c r="AF542" i="3" s="1"/>
  <c r="W543" i="3"/>
  <c r="AF543" i="3" s="1"/>
  <c r="W544" i="3"/>
  <c r="AF544" i="3" s="1"/>
  <c r="W545" i="3"/>
  <c r="AF545" i="3" s="1"/>
  <c r="W546" i="3"/>
  <c r="AF546" i="3" s="1"/>
  <c r="AG546" i="3" s="1"/>
  <c r="W547" i="3"/>
  <c r="AF547" i="3" s="1"/>
  <c r="W548" i="3"/>
  <c r="AF548" i="3" s="1"/>
  <c r="W549" i="3"/>
  <c r="AF549" i="3" s="1"/>
  <c r="W550" i="3"/>
  <c r="AF550" i="3" s="1"/>
  <c r="W551" i="3"/>
  <c r="AF551" i="3" s="1"/>
  <c r="W552" i="3"/>
  <c r="AF552" i="3" s="1"/>
  <c r="W553" i="3"/>
  <c r="AF553" i="3" s="1"/>
  <c r="W554" i="3"/>
  <c r="AF554" i="3" s="1"/>
  <c r="W555" i="3"/>
  <c r="AF555" i="3" s="1"/>
  <c r="W556" i="3"/>
  <c r="AF556" i="3" s="1"/>
  <c r="W557" i="3"/>
  <c r="AF557" i="3" s="1"/>
  <c r="W558" i="3"/>
  <c r="AF558" i="3" s="1"/>
  <c r="W559" i="3"/>
  <c r="AF559" i="3" s="1"/>
  <c r="AG559" i="3" s="1"/>
  <c r="W560" i="3"/>
  <c r="AF560" i="3" s="1"/>
  <c r="AG560" i="3" s="1"/>
  <c r="W561" i="3"/>
  <c r="AF561" i="3" s="1"/>
  <c r="AG561" i="3" s="1"/>
  <c r="W562" i="3"/>
  <c r="AF562" i="3" s="1"/>
  <c r="AG562" i="3" s="1"/>
  <c r="W563" i="3"/>
  <c r="AF563" i="3" s="1"/>
  <c r="W564" i="3"/>
  <c r="AF564" i="3" s="1"/>
  <c r="W565" i="3"/>
  <c r="AF565" i="3" s="1"/>
  <c r="W566" i="3"/>
  <c r="AF566" i="3" s="1"/>
  <c r="W567" i="3"/>
  <c r="AF567" i="3" s="1"/>
  <c r="W568" i="3"/>
  <c r="AF568" i="3" s="1"/>
  <c r="W569" i="3"/>
  <c r="AF569" i="3" s="1"/>
  <c r="W570" i="3"/>
  <c r="AF570" i="3" s="1"/>
  <c r="W571" i="3"/>
  <c r="AF571" i="3" s="1"/>
  <c r="W572" i="3"/>
  <c r="AF572" i="3" s="1"/>
  <c r="W573" i="3"/>
  <c r="AF573" i="3" s="1"/>
  <c r="W574" i="3"/>
  <c r="AF574" i="3" s="1"/>
  <c r="W575" i="3"/>
  <c r="AF575" i="3" s="1"/>
  <c r="AG575" i="3" s="1"/>
  <c r="W576" i="3"/>
  <c r="AF576" i="3" s="1"/>
  <c r="AG576" i="3" s="1"/>
  <c r="W577" i="3"/>
  <c r="AF577" i="3" s="1"/>
  <c r="AG577" i="3" s="1"/>
  <c r="W578" i="3"/>
  <c r="AF578" i="3" s="1"/>
  <c r="AG578" i="3" s="1"/>
  <c r="W579" i="3"/>
  <c r="AF579" i="3" s="1"/>
  <c r="W580" i="3"/>
  <c r="AF580" i="3" s="1"/>
  <c r="W581" i="3"/>
  <c r="AF581" i="3" s="1"/>
  <c r="W582" i="3"/>
  <c r="AF582" i="3" s="1"/>
  <c r="W583" i="3"/>
  <c r="AF583" i="3" s="1"/>
  <c r="W584" i="3"/>
  <c r="AF584" i="3" s="1"/>
  <c r="W585" i="3"/>
  <c r="AF585" i="3" s="1"/>
  <c r="W586" i="3"/>
  <c r="AF586" i="3" s="1"/>
  <c r="W587" i="3"/>
  <c r="AF587" i="3" s="1"/>
  <c r="W588" i="3"/>
  <c r="AF588" i="3" s="1"/>
  <c r="W589" i="3"/>
  <c r="AF589" i="3" s="1"/>
  <c r="W590" i="3"/>
  <c r="AF590" i="3" s="1"/>
  <c r="W591" i="3"/>
  <c r="AF591" i="3" s="1"/>
  <c r="AG591" i="3" s="1"/>
  <c r="W592" i="3"/>
  <c r="AF592" i="3" s="1"/>
  <c r="AG592" i="3" s="1"/>
  <c r="W593" i="3"/>
  <c r="AF593" i="3" s="1"/>
  <c r="AG593" i="3" s="1"/>
  <c r="W594" i="3"/>
  <c r="AF594" i="3" s="1"/>
  <c r="AG594" i="3" s="1"/>
  <c r="W595" i="3"/>
  <c r="AF595" i="3" s="1"/>
  <c r="W596" i="3"/>
  <c r="AF596" i="3" s="1"/>
  <c r="W597" i="3"/>
  <c r="AF597" i="3" s="1"/>
  <c r="W598" i="3"/>
  <c r="AF598" i="3" s="1"/>
  <c r="W599" i="3"/>
  <c r="AF599" i="3" s="1"/>
  <c r="W600" i="3"/>
  <c r="AF600" i="3" s="1"/>
  <c r="W601" i="3"/>
  <c r="AF601" i="3" s="1"/>
  <c r="W602" i="3"/>
  <c r="AF602" i="3" s="1"/>
  <c r="W603" i="3"/>
  <c r="AF603" i="3" s="1"/>
  <c r="W604" i="3"/>
  <c r="AF604" i="3" s="1"/>
  <c r="W605" i="3"/>
  <c r="AF605" i="3" s="1"/>
  <c r="W606" i="3"/>
  <c r="AF606" i="3" s="1"/>
  <c r="W607" i="3"/>
  <c r="AF607" i="3" s="1"/>
  <c r="AG607" i="3" s="1"/>
  <c r="W608" i="3"/>
  <c r="AF608" i="3" s="1"/>
  <c r="AG608" i="3" s="1"/>
  <c r="W609" i="3"/>
  <c r="AF609" i="3" s="1"/>
  <c r="AG609" i="3" s="1"/>
  <c r="W610" i="3"/>
  <c r="AF610" i="3" s="1"/>
  <c r="AG610" i="3" s="1"/>
  <c r="W611" i="3"/>
  <c r="AF611" i="3" s="1"/>
  <c r="W612" i="3"/>
  <c r="AF612" i="3" s="1"/>
  <c r="W613" i="3"/>
  <c r="AF613" i="3" s="1"/>
  <c r="W614" i="3"/>
  <c r="AF614" i="3" s="1"/>
  <c r="W615" i="3"/>
  <c r="AF615" i="3" s="1"/>
  <c r="W616" i="3"/>
  <c r="AF616" i="3" s="1"/>
  <c r="W617" i="3"/>
  <c r="AF617" i="3" s="1"/>
  <c r="W618" i="3"/>
  <c r="AF618" i="3" s="1"/>
  <c r="W619" i="3"/>
  <c r="AF619" i="3" s="1"/>
  <c r="W620" i="3"/>
  <c r="AF620" i="3" s="1"/>
  <c r="W621" i="3"/>
  <c r="AF621" i="3" s="1"/>
  <c r="W622" i="3"/>
  <c r="AF622" i="3" s="1"/>
  <c r="W623" i="3"/>
  <c r="AF623" i="3" s="1"/>
  <c r="AG623" i="3" s="1"/>
  <c r="W624" i="3"/>
  <c r="AF624" i="3" s="1"/>
  <c r="AG624" i="3" s="1"/>
  <c r="W625" i="3"/>
  <c r="AF625" i="3" s="1"/>
  <c r="AG625" i="3" s="1"/>
  <c r="W626" i="3"/>
  <c r="AF626" i="3" s="1"/>
  <c r="AG626" i="3" s="1"/>
  <c r="W627" i="3"/>
  <c r="AF627" i="3" s="1"/>
  <c r="W628" i="3"/>
  <c r="AF628" i="3" s="1"/>
  <c r="W629" i="3"/>
  <c r="AF629" i="3" s="1"/>
  <c r="W630" i="3"/>
  <c r="AF630" i="3" s="1"/>
  <c r="W631" i="3"/>
  <c r="AF631" i="3" s="1"/>
  <c r="W632" i="3"/>
  <c r="AF632" i="3" s="1"/>
  <c r="W633" i="3"/>
  <c r="AF633" i="3" s="1"/>
  <c r="W634" i="3"/>
  <c r="AF634" i="3" s="1"/>
  <c r="W635" i="3"/>
  <c r="AF635" i="3" s="1"/>
  <c r="W636" i="3"/>
  <c r="AF636" i="3" s="1"/>
  <c r="W637" i="3"/>
  <c r="AF637" i="3" s="1"/>
  <c r="W638" i="3"/>
  <c r="AF638" i="3" s="1"/>
  <c r="W639" i="3"/>
  <c r="AF639" i="3" s="1"/>
  <c r="AG639" i="3" s="1"/>
  <c r="W640" i="3"/>
  <c r="AF640" i="3" s="1"/>
  <c r="AG640" i="3" s="1"/>
  <c r="W641" i="3"/>
  <c r="AF641" i="3" s="1"/>
  <c r="AG641" i="3" s="1"/>
  <c r="W642" i="3"/>
  <c r="AF642" i="3" s="1"/>
  <c r="AG642" i="3" s="1"/>
  <c r="W643" i="3"/>
  <c r="AF643" i="3" s="1"/>
  <c r="W644" i="3"/>
  <c r="AF644" i="3" s="1"/>
  <c r="W645" i="3"/>
  <c r="AF645" i="3" s="1"/>
  <c r="W646" i="3"/>
  <c r="AF646" i="3" s="1"/>
  <c r="W647" i="3"/>
  <c r="AF647" i="3" s="1"/>
  <c r="W648" i="3"/>
  <c r="AF648" i="3" s="1"/>
  <c r="W649" i="3"/>
  <c r="AF649" i="3" s="1"/>
  <c r="W650" i="3"/>
  <c r="AF650" i="3" s="1"/>
  <c r="W651" i="3"/>
  <c r="AF651" i="3" s="1"/>
  <c r="W652" i="3"/>
  <c r="AF652" i="3" s="1"/>
  <c r="W653" i="3"/>
  <c r="AF653" i="3" s="1"/>
  <c r="W654" i="3"/>
  <c r="AF654" i="3" s="1"/>
  <c r="W655" i="3"/>
  <c r="AF655" i="3" s="1"/>
  <c r="AG655" i="3" s="1"/>
  <c r="W656" i="3"/>
  <c r="AF656" i="3" s="1"/>
  <c r="AG656" i="3" s="1"/>
  <c r="W657" i="3"/>
  <c r="AF657" i="3" s="1"/>
  <c r="AG657" i="3" s="1"/>
  <c r="W658" i="3"/>
  <c r="AF658" i="3" s="1"/>
  <c r="AG658" i="3" s="1"/>
  <c r="W659" i="3"/>
  <c r="AF659" i="3" s="1"/>
  <c r="W660" i="3"/>
  <c r="AF660" i="3" s="1"/>
  <c r="W661" i="3"/>
  <c r="AF661" i="3" s="1"/>
  <c r="W662" i="3"/>
  <c r="AF662" i="3" s="1"/>
  <c r="W663" i="3"/>
  <c r="AF663" i="3" s="1"/>
  <c r="W664" i="3"/>
  <c r="AF664" i="3" s="1"/>
  <c r="W665" i="3"/>
  <c r="AF665" i="3" s="1"/>
  <c r="W666" i="3"/>
  <c r="AF666" i="3" s="1"/>
  <c r="W667" i="3"/>
  <c r="AF667" i="3" s="1"/>
  <c r="W668" i="3"/>
  <c r="AF668" i="3" s="1"/>
  <c r="W669" i="3"/>
  <c r="AF669" i="3" s="1"/>
  <c r="W670" i="3"/>
  <c r="AF670" i="3" s="1"/>
  <c r="W671" i="3"/>
  <c r="AF671" i="3" s="1"/>
  <c r="AG671" i="3" s="1"/>
  <c r="W672" i="3"/>
  <c r="AF672" i="3" s="1"/>
  <c r="AG672" i="3" s="1"/>
  <c r="W673" i="3"/>
  <c r="AF673" i="3" s="1"/>
  <c r="AG673" i="3" s="1"/>
  <c r="W674" i="3"/>
  <c r="AF674" i="3" s="1"/>
  <c r="AG674" i="3" s="1"/>
  <c r="W675" i="3"/>
  <c r="AF675" i="3" s="1"/>
  <c r="W676" i="3"/>
  <c r="AF676" i="3" s="1"/>
  <c r="W677" i="3"/>
  <c r="AF677" i="3" s="1"/>
  <c r="W678" i="3"/>
  <c r="AF678" i="3" s="1"/>
  <c r="W679" i="3"/>
  <c r="AF679" i="3" s="1"/>
  <c r="W680" i="3"/>
  <c r="AF680" i="3" s="1"/>
  <c r="W681" i="3"/>
  <c r="AF681" i="3" s="1"/>
  <c r="W682" i="3"/>
  <c r="AF682" i="3" s="1"/>
  <c r="W683" i="3"/>
  <c r="AF683" i="3" s="1"/>
  <c r="W684" i="3"/>
  <c r="AF684" i="3" s="1"/>
  <c r="W685" i="3"/>
  <c r="AF685" i="3" s="1"/>
  <c r="W686" i="3"/>
  <c r="AF686" i="3" s="1"/>
  <c r="W687" i="3"/>
  <c r="AF687" i="3" s="1"/>
  <c r="AG687" i="3" s="1"/>
  <c r="W688" i="3"/>
  <c r="AF688" i="3" s="1"/>
  <c r="AG688" i="3" s="1"/>
  <c r="W689" i="3"/>
  <c r="AF689" i="3" s="1"/>
  <c r="AG689" i="3" s="1"/>
  <c r="W690" i="3"/>
  <c r="AF690" i="3" s="1"/>
  <c r="AG690" i="3" s="1"/>
  <c r="W691" i="3"/>
  <c r="AF691" i="3" s="1"/>
  <c r="W692" i="3"/>
  <c r="AF692" i="3" s="1"/>
  <c r="W693" i="3"/>
  <c r="AF693" i="3" s="1"/>
  <c r="W694" i="3"/>
  <c r="AF694" i="3" s="1"/>
  <c r="W695" i="3"/>
  <c r="AF695" i="3" s="1"/>
  <c r="W696" i="3"/>
  <c r="AF696" i="3" s="1"/>
  <c r="W697" i="3"/>
  <c r="AF697" i="3" s="1"/>
  <c r="W698" i="3"/>
  <c r="AF698" i="3" s="1"/>
  <c r="W699" i="3"/>
  <c r="AF699" i="3" s="1"/>
  <c r="W700" i="3"/>
  <c r="AF700" i="3" s="1"/>
  <c r="W701" i="3"/>
  <c r="AF701" i="3" s="1"/>
  <c r="W702" i="3"/>
  <c r="AF702" i="3" s="1"/>
  <c r="W703" i="3"/>
  <c r="AF703" i="3" s="1"/>
  <c r="AG703" i="3" s="1"/>
  <c r="W704" i="3"/>
  <c r="AF704" i="3" s="1"/>
  <c r="AG704" i="3" s="1"/>
  <c r="W705" i="3"/>
  <c r="AF705" i="3" s="1"/>
  <c r="AG705" i="3" s="1"/>
  <c r="W706" i="3"/>
  <c r="AF706" i="3" s="1"/>
  <c r="AG706" i="3" s="1"/>
  <c r="W707" i="3"/>
  <c r="AF707" i="3" s="1"/>
  <c r="W708" i="3"/>
  <c r="AF708" i="3" s="1"/>
  <c r="W709" i="3"/>
  <c r="AF709" i="3" s="1"/>
  <c r="W710" i="3"/>
  <c r="AF710" i="3" s="1"/>
  <c r="W711" i="3"/>
  <c r="AF711" i="3" s="1"/>
  <c r="W712" i="3"/>
  <c r="AF712" i="3" s="1"/>
  <c r="W713" i="3"/>
  <c r="AF713" i="3" s="1"/>
  <c r="W714" i="3"/>
  <c r="AF714" i="3" s="1"/>
  <c r="W715" i="3"/>
  <c r="AF715" i="3" s="1"/>
  <c r="W716" i="3"/>
  <c r="AF716" i="3" s="1"/>
  <c r="W717" i="3"/>
  <c r="AF717" i="3" s="1"/>
  <c r="W718" i="3"/>
  <c r="AF718" i="3" s="1"/>
  <c r="W719" i="3"/>
  <c r="AF719" i="3" s="1"/>
  <c r="AG719" i="3" s="1"/>
  <c r="W720" i="3"/>
  <c r="AF720" i="3" s="1"/>
  <c r="AG720" i="3" s="1"/>
  <c r="W721" i="3"/>
  <c r="AF721" i="3" s="1"/>
  <c r="AG721" i="3" s="1"/>
  <c r="W722" i="3"/>
  <c r="AF722" i="3" s="1"/>
  <c r="AG722" i="3" s="1"/>
  <c r="W723" i="3"/>
  <c r="AF723" i="3" s="1"/>
  <c r="W724" i="3"/>
  <c r="AF724" i="3" s="1"/>
  <c r="W725" i="3"/>
  <c r="AF725" i="3" s="1"/>
  <c r="W726" i="3"/>
  <c r="AF726" i="3" s="1"/>
  <c r="W727" i="3"/>
  <c r="AF727" i="3" s="1"/>
  <c r="W728" i="3"/>
  <c r="AF728" i="3" s="1"/>
  <c r="W729" i="3"/>
  <c r="AF729" i="3" s="1"/>
  <c r="W730" i="3"/>
  <c r="AF730" i="3" s="1"/>
  <c r="W731" i="3"/>
  <c r="AF731" i="3" s="1"/>
  <c r="W732" i="3"/>
  <c r="AF732" i="3" s="1"/>
  <c r="W733" i="3"/>
  <c r="AF733" i="3" s="1"/>
  <c r="W734" i="3"/>
  <c r="AF734" i="3" s="1"/>
  <c r="W735" i="3"/>
  <c r="AF735" i="3" s="1"/>
  <c r="AG735" i="3" s="1"/>
  <c r="W736" i="3"/>
  <c r="AF736" i="3" s="1"/>
  <c r="AG736" i="3" s="1"/>
  <c r="W737" i="3"/>
  <c r="AF737" i="3" s="1"/>
  <c r="AG737" i="3" s="1"/>
  <c r="W738" i="3"/>
  <c r="AF738" i="3" s="1"/>
  <c r="AG738" i="3" s="1"/>
  <c r="W739" i="3"/>
  <c r="AF739" i="3" s="1"/>
  <c r="W740" i="3"/>
  <c r="AF740" i="3" s="1"/>
  <c r="W741" i="3"/>
  <c r="AF741" i="3" s="1"/>
  <c r="W742" i="3"/>
  <c r="AF742" i="3" s="1"/>
  <c r="W743" i="3"/>
  <c r="AF743" i="3" s="1"/>
  <c r="W744" i="3"/>
  <c r="AF744" i="3" s="1"/>
  <c r="W745" i="3"/>
  <c r="AF745" i="3" s="1"/>
  <c r="W746" i="3"/>
  <c r="AF746" i="3" s="1"/>
  <c r="W747" i="3"/>
  <c r="AF747" i="3" s="1"/>
  <c r="W748" i="3"/>
  <c r="AF748" i="3" s="1"/>
  <c r="W749" i="3"/>
  <c r="AF749" i="3" s="1"/>
  <c r="W750" i="3"/>
  <c r="AF750" i="3" s="1"/>
  <c r="W751" i="3"/>
  <c r="AF751" i="3" s="1"/>
  <c r="AG751" i="3" s="1"/>
  <c r="W752" i="3"/>
  <c r="AF752" i="3" s="1"/>
  <c r="AG752" i="3" s="1"/>
  <c r="W753" i="3"/>
  <c r="AF753" i="3" s="1"/>
  <c r="AG753" i="3" s="1"/>
  <c r="W754" i="3"/>
  <c r="AF754" i="3" s="1"/>
  <c r="AG754" i="3" s="1"/>
  <c r="W755" i="3"/>
  <c r="AF755" i="3" s="1"/>
  <c r="W756" i="3"/>
  <c r="AF756" i="3" s="1"/>
  <c r="W757" i="3"/>
  <c r="AF757" i="3" s="1"/>
  <c r="W758" i="3"/>
  <c r="AF758" i="3" s="1"/>
  <c r="W759" i="3"/>
  <c r="AF759" i="3" s="1"/>
  <c r="W760" i="3"/>
  <c r="AF760" i="3" s="1"/>
  <c r="W761" i="3"/>
  <c r="AF761" i="3" s="1"/>
  <c r="W762" i="3"/>
  <c r="AF762" i="3" s="1"/>
  <c r="W763" i="3"/>
  <c r="AF763" i="3" s="1"/>
  <c r="W764" i="3"/>
  <c r="AF764" i="3" s="1"/>
  <c r="W765" i="3"/>
  <c r="AF765" i="3" s="1"/>
  <c r="W766" i="3"/>
  <c r="AF766" i="3" s="1"/>
  <c r="W767" i="3"/>
  <c r="AF767" i="3" s="1"/>
  <c r="AG767" i="3" s="1"/>
  <c r="W768" i="3"/>
  <c r="AF768" i="3" s="1"/>
  <c r="AG768" i="3" s="1"/>
  <c r="W769" i="3"/>
  <c r="AF769" i="3" s="1"/>
  <c r="AG769" i="3" s="1"/>
  <c r="W770" i="3"/>
  <c r="AF770" i="3" s="1"/>
  <c r="AG770" i="3" s="1"/>
  <c r="W771" i="3"/>
  <c r="AF771" i="3" s="1"/>
  <c r="W772" i="3"/>
  <c r="AF772" i="3" s="1"/>
  <c r="W773" i="3"/>
  <c r="AF773" i="3" s="1"/>
  <c r="W774" i="3"/>
  <c r="AF774" i="3" s="1"/>
  <c r="W775" i="3"/>
  <c r="AF775" i="3" s="1"/>
  <c r="W776" i="3"/>
  <c r="AF776" i="3" s="1"/>
  <c r="W777" i="3"/>
  <c r="AF777" i="3" s="1"/>
  <c r="W778" i="3"/>
  <c r="AF778" i="3" s="1"/>
  <c r="W779" i="3"/>
  <c r="AF779" i="3" s="1"/>
  <c r="W780" i="3"/>
  <c r="AF780" i="3" s="1"/>
  <c r="W781" i="3"/>
  <c r="AF781" i="3" s="1"/>
  <c r="W782" i="3"/>
  <c r="AF782" i="3" s="1"/>
  <c r="W783" i="3"/>
  <c r="AF783" i="3" s="1"/>
  <c r="AG783" i="3" s="1"/>
  <c r="W784" i="3"/>
  <c r="AF784" i="3" s="1"/>
  <c r="AG784" i="3" s="1"/>
  <c r="W785" i="3"/>
  <c r="AF785" i="3" s="1"/>
  <c r="AG785" i="3" s="1"/>
  <c r="W786" i="3"/>
  <c r="AF786" i="3" s="1"/>
  <c r="AG786" i="3" s="1"/>
  <c r="W787" i="3"/>
  <c r="AF787" i="3" s="1"/>
  <c r="W788" i="3"/>
  <c r="AF788" i="3" s="1"/>
  <c r="W789" i="3"/>
  <c r="AF789" i="3" s="1"/>
  <c r="W790" i="3"/>
  <c r="AF790" i="3" s="1"/>
  <c r="W791" i="3"/>
  <c r="AF791" i="3" s="1"/>
  <c r="W792" i="3"/>
  <c r="AF792" i="3" s="1"/>
  <c r="W793" i="3"/>
  <c r="AF793" i="3" s="1"/>
  <c r="W794" i="3"/>
  <c r="AF794" i="3" s="1"/>
  <c r="W795" i="3"/>
  <c r="AF795" i="3" s="1"/>
  <c r="W796" i="3"/>
  <c r="AF796" i="3" s="1"/>
  <c r="W797" i="3"/>
  <c r="AF797" i="3" s="1"/>
  <c r="W798" i="3"/>
  <c r="AF798" i="3" s="1"/>
  <c r="W799" i="3"/>
  <c r="AF799" i="3" s="1"/>
  <c r="AG799" i="3" s="1"/>
  <c r="W800" i="3"/>
  <c r="AF800" i="3" s="1"/>
  <c r="AG800" i="3" s="1"/>
  <c r="W801" i="3"/>
  <c r="AF801" i="3" s="1"/>
  <c r="AG801" i="3" s="1"/>
  <c r="W802" i="3"/>
  <c r="AF802" i="3" s="1"/>
  <c r="AG802" i="3" s="1"/>
  <c r="W803" i="3"/>
  <c r="AF803" i="3" s="1"/>
  <c r="W804" i="3"/>
  <c r="AF804" i="3" s="1"/>
  <c r="W805" i="3"/>
  <c r="AF805" i="3" s="1"/>
  <c r="W806" i="3"/>
  <c r="AF806" i="3" s="1"/>
  <c r="W807" i="3"/>
  <c r="AF807" i="3" s="1"/>
  <c r="W808" i="3"/>
  <c r="AF808" i="3" s="1"/>
  <c r="W809" i="3"/>
  <c r="AF809" i="3" s="1"/>
  <c r="W810" i="3"/>
  <c r="AF810" i="3" s="1"/>
  <c r="W811" i="3"/>
  <c r="AF811" i="3" s="1"/>
  <c r="W812" i="3"/>
  <c r="AF812" i="3" s="1"/>
  <c r="W813" i="3"/>
  <c r="AF813" i="3" s="1"/>
  <c r="W814" i="3"/>
  <c r="AF814" i="3" s="1"/>
  <c r="W815" i="3"/>
  <c r="AF815" i="3" s="1"/>
  <c r="AG815" i="3" s="1"/>
  <c r="W816" i="3"/>
  <c r="AF816" i="3" s="1"/>
  <c r="AG816" i="3" s="1"/>
  <c r="W817" i="3"/>
  <c r="AF817" i="3" s="1"/>
  <c r="AG817" i="3" s="1"/>
  <c r="W818" i="3"/>
  <c r="AF818" i="3" s="1"/>
  <c r="AG818" i="3" s="1"/>
  <c r="W819" i="3"/>
  <c r="AF819" i="3" s="1"/>
  <c r="W820" i="3"/>
  <c r="AF820" i="3" s="1"/>
  <c r="W821" i="3"/>
  <c r="AF821" i="3" s="1"/>
  <c r="W822" i="3"/>
  <c r="AF822" i="3" s="1"/>
  <c r="W823" i="3"/>
  <c r="AF823" i="3" s="1"/>
  <c r="W824" i="3"/>
  <c r="AF824" i="3" s="1"/>
  <c r="W825" i="3"/>
  <c r="AF825" i="3" s="1"/>
  <c r="W826" i="3"/>
  <c r="AF826" i="3" s="1"/>
  <c r="W827" i="3"/>
  <c r="AF827" i="3" s="1"/>
  <c r="W828" i="3"/>
  <c r="AF828" i="3" s="1"/>
  <c r="W829" i="3"/>
  <c r="AF829" i="3" s="1"/>
  <c r="W830" i="3"/>
  <c r="AF830" i="3" s="1"/>
  <c r="W831" i="3"/>
  <c r="AF831" i="3" s="1"/>
  <c r="AG831" i="3" s="1"/>
  <c r="W832" i="3"/>
  <c r="AF832" i="3" s="1"/>
  <c r="AG832" i="3" s="1"/>
  <c r="W833" i="3"/>
  <c r="AF833" i="3" s="1"/>
  <c r="AG833" i="3" s="1"/>
  <c r="W834" i="3"/>
  <c r="AF834" i="3" s="1"/>
  <c r="AG834" i="3" s="1"/>
  <c r="W835" i="3"/>
  <c r="AF835" i="3" s="1"/>
  <c r="W836" i="3"/>
  <c r="AF836" i="3" s="1"/>
  <c r="W837" i="3"/>
  <c r="AF837" i="3" s="1"/>
  <c r="W838" i="3"/>
  <c r="AF838" i="3" s="1"/>
  <c r="W839" i="3"/>
  <c r="AF839" i="3" s="1"/>
  <c r="W840" i="3"/>
  <c r="AF840" i="3" s="1"/>
  <c r="W841" i="3"/>
  <c r="AF841" i="3" s="1"/>
  <c r="W842" i="3"/>
  <c r="AF842" i="3" s="1"/>
  <c r="W843" i="3"/>
  <c r="AF843" i="3" s="1"/>
  <c r="W844" i="3"/>
  <c r="AF844" i="3" s="1"/>
  <c r="W845" i="3"/>
  <c r="AF845" i="3" s="1"/>
  <c r="W846" i="3"/>
  <c r="AF846" i="3" s="1"/>
  <c r="W847" i="3"/>
  <c r="AF847" i="3" s="1"/>
  <c r="AG847" i="3" s="1"/>
  <c r="W848" i="3"/>
  <c r="AF848" i="3" s="1"/>
  <c r="AG848" i="3" s="1"/>
  <c r="W849" i="3"/>
  <c r="AF849" i="3" s="1"/>
  <c r="AG849" i="3" s="1"/>
  <c r="W850" i="3"/>
  <c r="AF850" i="3" s="1"/>
  <c r="AG850" i="3" s="1"/>
  <c r="W851" i="3"/>
  <c r="AF851" i="3" s="1"/>
  <c r="W852" i="3"/>
  <c r="AF852" i="3" s="1"/>
  <c r="W853" i="3"/>
  <c r="AF853" i="3" s="1"/>
  <c r="W854" i="3"/>
  <c r="AF854" i="3" s="1"/>
  <c r="W855" i="3"/>
  <c r="AF855" i="3" s="1"/>
  <c r="W856" i="3"/>
  <c r="AF856" i="3" s="1"/>
  <c r="W857" i="3"/>
  <c r="AF857" i="3" s="1"/>
  <c r="W858" i="3"/>
  <c r="AF858" i="3" s="1"/>
  <c r="W859" i="3"/>
  <c r="AF859" i="3" s="1"/>
  <c r="W860" i="3"/>
  <c r="AF860" i="3" s="1"/>
  <c r="W861" i="3"/>
  <c r="AF861" i="3" s="1"/>
  <c r="W862" i="3"/>
  <c r="AF862" i="3" s="1"/>
  <c r="W863" i="3"/>
  <c r="AF863" i="3" s="1"/>
  <c r="AG863" i="3" s="1"/>
  <c r="W864" i="3"/>
  <c r="AF864" i="3" s="1"/>
  <c r="AG864" i="3" s="1"/>
  <c r="W865" i="3"/>
  <c r="AF865" i="3" s="1"/>
  <c r="AG865" i="3" s="1"/>
  <c r="W866" i="3"/>
  <c r="AF866" i="3" s="1"/>
  <c r="AG866" i="3" s="1"/>
  <c r="W867" i="3"/>
  <c r="AF867" i="3" s="1"/>
  <c r="W868" i="3"/>
  <c r="AF868" i="3" s="1"/>
  <c r="W869" i="3"/>
  <c r="AF869" i="3" s="1"/>
  <c r="W870" i="3"/>
  <c r="AF870" i="3" s="1"/>
  <c r="W871" i="3"/>
  <c r="AF871" i="3" s="1"/>
  <c r="W872" i="3"/>
  <c r="AF872" i="3" s="1"/>
  <c r="W873" i="3"/>
  <c r="AF873" i="3" s="1"/>
  <c r="W874" i="3"/>
  <c r="AF874" i="3" s="1"/>
  <c r="W875" i="3"/>
  <c r="AF875" i="3" s="1"/>
  <c r="W876" i="3"/>
  <c r="AF876" i="3" s="1"/>
  <c r="W877" i="3"/>
  <c r="AF877" i="3" s="1"/>
  <c r="W878" i="3"/>
  <c r="AF878" i="3" s="1"/>
  <c r="W879" i="3"/>
  <c r="AF879" i="3" s="1"/>
  <c r="AG879" i="3" s="1"/>
  <c r="W880" i="3"/>
  <c r="AF880" i="3" s="1"/>
  <c r="AG880" i="3" s="1"/>
  <c r="W881" i="3"/>
  <c r="AF881" i="3" s="1"/>
  <c r="AG881" i="3" s="1"/>
  <c r="W882" i="3"/>
  <c r="AF882" i="3" s="1"/>
  <c r="AG882" i="3" s="1"/>
  <c r="W883" i="3"/>
  <c r="AF883" i="3" s="1"/>
  <c r="W884" i="3"/>
  <c r="AF884" i="3" s="1"/>
  <c r="W885" i="3"/>
  <c r="AF885" i="3" s="1"/>
  <c r="W886" i="3"/>
  <c r="AF886" i="3" s="1"/>
  <c r="W887" i="3"/>
  <c r="AF887" i="3" s="1"/>
  <c r="W888" i="3"/>
  <c r="AF888" i="3" s="1"/>
  <c r="W889" i="3"/>
  <c r="AF889" i="3" s="1"/>
  <c r="W890" i="3"/>
  <c r="AF890" i="3" s="1"/>
  <c r="W891" i="3"/>
  <c r="AF891" i="3" s="1"/>
  <c r="W892" i="3"/>
  <c r="AF892" i="3" s="1"/>
  <c r="W893" i="3"/>
  <c r="AF893" i="3" s="1"/>
  <c r="W894" i="3"/>
  <c r="AF894" i="3" s="1"/>
  <c r="W895" i="3"/>
  <c r="AF895" i="3" s="1"/>
  <c r="AG895" i="3" s="1"/>
  <c r="W896" i="3"/>
  <c r="AF896" i="3" s="1"/>
  <c r="AG896" i="3" s="1"/>
  <c r="W897" i="3"/>
  <c r="AF897" i="3" s="1"/>
  <c r="AG897" i="3" s="1"/>
  <c r="W898" i="3"/>
  <c r="AF898" i="3" s="1"/>
  <c r="AG898" i="3" s="1"/>
  <c r="W899" i="3"/>
  <c r="AF899" i="3" s="1"/>
  <c r="W900" i="3"/>
  <c r="AF900" i="3" s="1"/>
  <c r="W901" i="3"/>
  <c r="AF901" i="3" s="1"/>
  <c r="W902" i="3"/>
  <c r="AF902" i="3" s="1"/>
  <c r="W903" i="3"/>
  <c r="AF903" i="3" s="1"/>
  <c r="W904" i="3"/>
  <c r="AF904" i="3" s="1"/>
  <c r="W905" i="3"/>
  <c r="AF905" i="3" s="1"/>
  <c r="W906" i="3"/>
  <c r="AF906" i="3" s="1"/>
  <c r="W907" i="3"/>
  <c r="AF907" i="3" s="1"/>
  <c r="W908" i="3"/>
  <c r="AF908" i="3" s="1"/>
  <c r="W909" i="3"/>
  <c r="AF909" i="3" s="1"/>
  <c r="W910" i="3"/>
  <c r="AF910" i="3" s="1"/>
  <c r="W911" i="3"/>
  <c r="AF911" i="3" s="1"/>
  <c r="AG911" i="3" s="1"/>
  <c r="W912" i="3"/>
  <c r="AF912" i="3" s="1"/>
  <c r="AG912" i="3" s="1"/>
  <c r="W913" i="3"/>
  <c r="AF913" i="3" s="1"/>
  <c r="AG913" i="3" s="1"/>
  <c r="W914" i="3"/>
  <c r="AF914" i="3" s="1"/>
  <c r="AG914" i="3" s="1"/>
  <c r="W915" i="3"/>
  <c r="AF915" i="3" s="1"/>
  <c r="W916" i="3"/>
  <c r="AF916" i="3" s="1"/>
  <c r="W917" i="3"/>
  <c r="AF917" i="3" s="1"/>
  <c r="W918" i="3"/>
  <c r="AF918" i="3" s="1"/>
  <c r="W919" i="3"/>
  <c r="AF919" i="3" s="1"/>
  <c r="W920" i="3"/>
  <c r="AF920" i="3" s="1"/>
  <c r="W921" i="3"/>
  <c r="AF921" i="3" s="1"/>
  <c r="W922" i="3"/>
  <c r="AF922" i="3" s="1"/>
  <c r="W923" i="3"/>
  <c r="AF923" i="3" s="1"/>
  <c r="W924" i="3"/>
  <c r="AF924" i="3" s="1"/>
  <c r="W925" i="3"/>
  <c r="AF925" i="3" s="1"/>
  <c r="W926" i="3"/>
  <c r="AF926" i="3" s="1"/>
  <c r="W927" i="3"/>
  <c r="AF927" i="3" s="1"/>
  <c r="AG927" i="3" s="1"/>
  <c r="W928" i="3"/>
  <c r="AF928" i="3" s="1"/>
  <c r="AG928" i="3" s="1"/>
  <c r="W929" i="3"/>
  <c r="AF929" i="3" s="1"/>
  <c r="AG929" i="3" s="1"/>
  <c r="W930" i="3"/>
  <c r="AF930" i="3" s="1"/>
  <c r="AG930" i="3" s="1"/>
  <c r="W931" i="3"/>
  <c r="AF931" i="3" s="1"/>
  <c r="W932" i="3"/>
  <c r="AF932" i="3" s="1"/>
  <c r="W933" i="3"/>
  <c r="AF933" i="3" s="1"/>
  <c r="W934" i="3"/>
  <c r="AF934" i="3" s="1"/>
  <c r="W935" i="3"/>
  <c r="AF935" i="3" s="1"/>
  <c r="W936" i="3"/>
  <c r="AF936" i="3" s="1"/>
  <c r="W937" i="3"/>
  <c r="AF937" i="3" s="1"/>
  <c r="W938" i="3"/>
  <c r="AF938" i="3" s="1"/>
  <c r="W939" i="3"/>
  <c r="AF939" i="3" s="1"/>
  <c r="W940" i="3"/>
  <c r="AF940" i="3" s="1"/>
  <c r="W941" i="3"/>
  <c r="AF941" i="3" s="1"/>
  <c r="W942" i="3"/>
  <c r="AF942" i="3" s="1"/>
  <c r="W943" i="3"/>
  <c r="AF943" i="3" s="1"/>
  <c r="AG943" i="3" s="1"/>
  <c r="W944" i="3"/>
  <c r="AF944" i="3" s="1"/>
  <c r="AG944" i="3" s="1"/>
  <c r="W945" i="3"/>
  <c r="AF945" i="3" s="1"/>
  <c r="AG945" i="3" s="1"/>
  <c r="W946" i="3"/>
  <c r="AF946" i="3" s="1"/>
  <c r="AG946" i="3" s="1"/>
  <c r="W947" i="3"/>
  <c r="AF947" i="3" s="1"/>
  <c r="W948" i="3"/>
  <c r="AF948" i="3" s="1"/>
  <c r="W949" i="3"/>
  <c r="AF949" i="3" s="1"/>
  <c r="W950" i="3"/>
  <c r="AF950" i="3" s="1"/>
  <c r="W951" i="3"/>
  <c r="AF951" i="3" s="1"/>
  <c r="W952" i="3"/>
  <c r="AF952" i="3" s="1"/>
  <c r="W953" i="3"/>
  <c r="AF953" i="3" s="1"/>
  <c r="W954" i="3"/>
  <c r="AF954" i="3" s="1"/>
  <c r="W955" i="3"/>
  <c r="AF955" i="3" s="1"/>
  <c r="W956" i="3"/>
  <c r="AF956" i="3" s="1"/>
  <c r="W957" i="3"/>
  <c r="AF957" i="3" s="1"/>
  <c r="W958" i="3"/>
  <c r="AF958" i="3" s="1"/>
  <c r="W959" i="3"/>
  <c r="AF959" i="3" s="1"/>
  <c r="AG959" i="3" s="1"/>
  <c r="W960" i="3"/>
  <c r="AF960" i="3" s="1"/>
  <c r="AG960" i="3" s="1"/>
  <c r="W961" i="3"/>
  <c r="AF961" i="3" s="1"/>
  <c r="AG961" i="3" s="1"/>
  <c r="W962" i="3"/>
  <c r="AF962" i="3" s="1"/>
  <c r="AG962" i="3" s="1"/>
  <c r="W963" i="3"/>
  <c r="AF963" i="3" s="1"/>
  <c r="W964" i="3"/>
  <c r="AF964" i="3" s="1"/>
  <c r="W965" i="3"/>
  <c r="AF965" i="3" s="1"/>
  <c r="W966" i="3"/>
  <c r="AF966" i="3" s="1"/>
  <c r="W967" i="3"/>
  <c r="AF967" i="3" s="1"/>
  <c r="W968" i="3"/>
  <c r="AF968" i="3" s="1"/>
  <c r="W969" i="3"/>
  <c r="AF969" i="3" s="1"/>
  <c r="W970" i="3"/>
  <c r="AF970" i="3" s="1"/>
  <c r="W971" i="3"/>
  <c r="AF971" i="3" s="1"/>
  <c r="W972" i="3"/>
  <c r="AF972" i="3" s="1"/>
  <c r="W973" i="3"/>
  <c r="AF973" i="3" s="1"/>
  <c r="W974" i="3"/>
  <c r="AF974" i="3" s="1"/>
  <c r="W975" i="3"/>
  <c r="AF975" i="3" s="1"/>
  <c r="AG975" i="3" s="1"/>
  <c r="W976" i="3"/>
  <c r="AF976" i="3" s="1"/>
  <c r="AG976" i="3" s="1"/>
  <c r="W977" i="3"/>
  <c r="AF977" i="3" s="1"/>
  <c r="AG977" i="3" s="1"/>
  <c r="W978" i="3"/>
  <c r="AF978" i="3" s="1"/>
  <c r="AG978" i="3" s="1"/>
  <c r="W979" i="3"/>
  <c r="AF979" i="3" s="1"/>
  <c r="W980" i="3"/>
  <c r="AF980" i="3" s="1"/>
  <c r="W981" i="3"/>
  <c r="AF981" i="3" s="1"/>
  <c r="W982" i="3"/>
  <c r="AF982" i="3" s="1"/>
  <c r="W983" i="3"/>
  <c r="AF983" i="3" s="1"/>
  <c r="W984" i="3"/>
  <c r="AF984" i="3" s="1"/>
  <c r="W985" i="3"/>
  <c r="AF985" i="3" s="1"/>
  <c r="W986" i="3"/>
  <c r="AF986" i="3" s="1"/>
  <c r="W987" i="3"/>
  <c r="AF987" i="3" s="1"/>
  <c r="W988" i="3"/>
  <c r="AF988" i="3" s="1"/>
  <c r="W989" i="3"/>
  <c r="AF989" i="3" s="1"/>
  <c r="W990" i="3"/>
  <c r="AF990" i="3" s="1"/>
  <c r="W991" i="3"/>
  <c r="AF991" i="3" s="1"/>
  <c r="AG991" i="3" s="1"/>
  <c r="W992" i="3"/>
  <c r="AF992" i="3" s="1"/>
  <c r="AG992" i="3" s="1"/>
  <c r="W993" i="3"/>
  <c r="AF993" i="3" s="1"/>
  <c r="AG993" i="3" s="1"/>
  <c r="W994" i="3"/>
  <c r="AF994" i="3" s="1"/>
  <c r="AG994" i="3" s="1"/>
  <c r="W995" i="3"/>
  <c r="AF995" i="3" s="1"/>
  <c r="W996" i="3"/>
  <c r="AF996" i="3" s="1"/>
  <c r="W997" i="3"/>
  <c r="AF997" i="3" s="1"/>
  <c r="W998" i="3"/>
  <c r="AF998" i="3" s="1"/>
  <c r="W999" i="3"/>
  <c r="AF999" i="3" s="1"/>
  <c r="W1000" i="3"/>
  <c r="AF1000" i="3" s="1"/>
  <c r="W1001" i="3"/>
  <c r="AF1001" i="3" s="1"/>
  <c r="W1002" i="3"/>
  <c r="AF1002" i="3" s="1"/>
  <c r="W1003" i="3"/>
  <c r="AF1003" i="3" s="1"/>
  <c r="W1004" i="3"/>
  <c r="AF1004" i="3" s="1"/>
  <c r="W1005" i="3"/>
  <c r="AF1005" i="3" s="1"/>
  <c r="W1006" i="3"/>
  <c r="AF1006" i="3" s="1"/>
  <c r="W1007" i="3"/>
  <c r="AF1007" i="3" s="1"/>
  <c r="AG1007" i="3" s="1"/>
  <c r="W1008" i="3"/>
  <c r="AF1008" i="3" s="1"/>
  <c r="AG1008" i="3" s="1"/>
  <c r="W1009" i="3"/>
  <c r="AF1009" i="3" s="1"/>
  <c r="AG1009" i="3" s="1"/>
  <c r="W1010" i="3"/>
  <c r="AF1010" i="3" s="1"/>
  <c r="AG1010" i="3" s="1"/>
  <c r="W1011" i="3"/>
  <c r="AF1011" i="3" s="1"/>
  <c r="W1012" i="3"/>
  <c r="AF1012" i="3" s="1"/>
  <c r="W1013" i="3"/>
  <c r="AF1013" i="3" s="1"/>
  <c r="W1014" i="3"/>
  <c r="AF1014" i="3" s="1"/>
  <c r="W1015" i="3"/>
  <c r="AF1015" i="3" s="1"/>
  <c r="W1016" i="3"/>
  <c r="AF1016" i="3" s="1"/>
  <c r="W1017" i="3"/>
  <c r="AF1017" i="3" s="1"/>
  <c r="W1018" i="3"/>
  <c r="AF1018" i="3" s="1"/>
  <c r="W1019" i="3"/>
  <c r="AF1019" i="3" s="1"/>
  <c r="W1020" i="3"/>
  <c r="AF1020" i="3" s="1"/>
  <c r="W1021" i="3"/>
  <c r="AF1021" i="3" s="1"/>
  <c r="W1022" i="3"/>
  <c r="AF1022" i="3" s="1"/>
  <c r="W1023" i="3"/>
  <c r="AF1023" i="3" s="1"/>
  <c r="AG1023" i="3" s="1"/>
  <c r="W1024" i="3"/>
  <c r="AF1024" i="3" s="1"/>
  <c r="AG1024" i="3" s="1"/>
  <c r="W1025" i="3"/>
  <c r="AF1025" i="3" s="1"/>
  <c r="AG1025" i="3" s="1"/>
  <c r="W1026" i="3"/>
  <c r="AF1026" i="3" s="1"/>
  <c r="AG1026" i="3" s="1"/>
  <c r="W1027" i="3"/>
  <c r="AF1027" i="3" s="1"/>
  <c r="W1028" i="3"/>
  <c r="AF1028" i="3" s="1"/>
  <c r="W1029" i="3"/>
  <c r="AF1029" i="3" s="1"/>
  <c r="W1030" i="3"/>
  <c r="AF1030" i="3" s="1"/>
  <c r="W1031" i="3"/>
  <c r="AF1031" i="3" s="1"/>
  <c r="W1032" i="3"/>
  <c r="AF1032" i="3" s="1"/>
  <c r="W1033" i="3"/>
  <c r="AF1033" i="3" s="1"/>
  <c r="W1034" i="3"/>
  <c r="AF1034" i="3" s="1"/>
  <c r="W1035" i="3"/>
  <c r="AF1035" i="3" s="1"/>
  <c r="W1036" i="3"/>
  <c r="AF1036" i="3" s="1"/>
  <c r="W1037" i="3"/>
  <c r="AF1037" i="3" s="1"/>
  <c r="W1038" i="3"/>
  <c r="AF1038" i="3" s="1"/>
  <c r="W1039" i="3"/>
  <c r="AF1039" i="3" s="1"/>
  <c r="AG1039" i="3" s="1"/>
  <c r="W1040" i="3"/>
  <c r="AF1040" i="3" s="1"/>
  <c r="AG1040" i="3" s="1"/>
  <c r="W1041" i="3"/>
  <c r="AF1041" i="3" s="1"/>
  <c r="AG1041" i="3" s="1"/>
  <c r="W1042" i="3"/>
  <c r="AF1042" i="3" s="1"/>
  <c r="AG1042" i="3" s="1"/>
  <c r="W1043" i="3"/>
  <c r="AF1043" i="3" s="1"/>
  <c r="W1044" i="3"/>
  <c r="AF1044" i="3" s="1"/>
  <c r="W1045" i="3"/>
  <c r="AF1045" i="3" s="1"/>
  <c r="W1046" i="3"/>
  <c r="AF1046" i="3" s="1"/>
  <c r="W1047" i="3"/>
  <c r="AF1047" i="3" s="1"/>
  <c r="W1048" i="3"/>
  <c r="AF1048" i="3" s="1"/>
  <c r="W1049" i="3"/>
  <c r="AF1049" i="3" s="1"/>
  <c r="W1050" i="3"/>
  <c r="AF1050" i="3" s="1"/>
  <c r="W1051" i="3"/>
  <c r="AF1051" i="3" s="1"/>
  <c r="W1052" i="3"/>
  <c r="AF1052" i="3" s="1"/>
  <c r="W1053" i="3"/>
  <c r="AF1053" i="3" s="1"/>
  <c r="W1054" i="3"/>
  <c r="AF1054" i="3" s="1"/>
  <c r="W1055" i="3"/>
  <c r="AF1055" i="3" s="1"/>
  <c r="AG1055" i="3" s="1"/>
  <c r="W1056" i="3"/>
  <c r="AF1056" i="3" s="1"/>
  <c r="AG1056" i="3" s="1"/>
  <c r="W1057" i="3"/>
  <c r="AF1057" i="3" s="1"/>
  <c r="AG1057" i="3" s="1"/>
  <c r="W1058" i="3"/>
  <c r="AF1058" i="3" s="1"/>
  <c r="AG1058" i="3" s="1"/>
  <c r="W1059" i="3"/>
  <c r="AF1059" i="3" s="1"/>
  <c r="W1060" i="3"/>
  <c r="AF1060" i="3" s="1"/>
  <c r="W1061" i="3"/>
  <c r="AF1061" i="3" s="1"/>
  <c r="W1062" i="3"/>
  <c r="AF1062" i="3" s="1"/>
  <c r="W1063" i="3"/>
  <c r="AF1063" i="3" s="1"/>
  <c r="W1064" i="3"/>
  <c r="AF1064" i="3" s="1"/>
  <c r="W1065" i="3"/>
  <c r="AF1065" i="3" s="1"/>
  <c r="W1066" i="3"/>
  <c r="AF1066" i="3" s="1"/>
  <c r="W1067" i="3"/>
  <c r="AF1067" i="3" s="1"/>
  <c r="W1068" i="3"/>
  <c r="AF1068" i="3" s="1"/>
  <c r="W1069" i="3"/>
  <c r="AF1069" i="3" s="1"/>
  <c r="W1070" i="3"/>
  <c r="AF1070" i="3" s="1"/>
  <c r="W1071" i="3"/>
  <c r="AF1071" i="3" s="1"/>
  <c r="AG1071" i="3" s="1"/>
  <c r="W1072" i="3"/>
  <c r="AF1072" i="3" s="1"/>
  <c r="AG1072" i="3" s="1"/>
  <c r="W1073" i="3"/>
  <c r="AF1073" i="3" s="1"/>
  <c r="AG1073" i="3" s="1"/>
  <c r="W1074" i="3"/>
  <c r="AF1074" i="3" s="1"/>
  <c r="AG1074" i="3" s="1"/>
  <c r="W1075" i="3"/>
  <c r="AF1075" i="3" s="1"/>
  <c r="W1076" i="3"/>
  <c r="AF1076" i="3" s="1"/>
  <c r="W1077" i="3"/>
  <c r="AF1077" i="3" s="1"/>
  <c r="W1078" i="3"/>
  <c r="AF1078" i="3" s="1"/>
  <c r="W1079" i="3"/>
  <c r="AF1079" i="3" s="1"/>
  <c r="W1080" i="3"/>
  <c r="AF1080" i="3" s="1"/>
  <c r="W1081" i="3"/>
  <c r="AF1081" i="3" s="1"/>
  <c r="W1082" i="3"/>
  <c r="AF1082" i="3" s="1"/>
  <c r="W1083" i="3"/>
  <c r="AF1083" i="3" s="1"/>
  <c r="W1084" i="3"/>
  <c r="AF1084" i="3" s="1"/>
  <c r="W1085" i="3"/>
  <c r="AF1085" i="3" s="1"/>
  <c r="W1086" i="3"/>
  <c r="AF1086" i="3" s="1"/>
  <c r="W1087" i="3"/>
  <c r="AF1087" i="3" s="1"/>
  <c r="AG1087" i="3" s="1"/>
  <c r="W1088" i="3"/>
  <c r="AF1088" i="3" s="1"/>
  <c r="AG1088" i="3" s="1"/>
  <c r="W1089" i="3"/>
  <c r="AF1089" i="3" s="1"/>
  <c r="AG1089" i="3" s="1"/>
  <c r="W1090" i="3"/>
  <c r="AF1090" i="3" s="1"/>
  <c r="AG1090" i="3" s="1"/>
  <c r="W1091" i="3"/>
  <c r="AF1091" i="3" s="1"/>
  <c r="W1092" i="3"/>
  <c r="AF1092" i="3" s="1"/>
  <c r="W1093" i="3"/>
  <c r="AF1093" i="3" s="1"/>
  <c r="W1094" i="3"/>
  <c r="AF1094" i="3" s="1"/>
  <c r="W1095" i="3"/>
  <c r="AF1095" i="3" s="1"/>
  <c r="W1096" i="3"/>
  <c r="AF1096" i="3" s="1"/>
  <c r="W1097" i="3"/>
  <c r="AF1097" i="3" s="1"/>
  <c r="W1098" i="3"/>
  <c r="AF1098" i="3" s="1"/>
  <c r="W1099" i="3"/>
  <c r="AF1099" i="3" s="1"/>
  <c r="W1100" i="3"/>
  <c r="AF1100" i="3" s="1"/>
  <c r="W1101" i="3"/>
  <c r="AF1101" i="3" s="1"/>
  <c r="W1102" i="3"/>
  <c r="AF1102" i="3" s="1"/>
  <c r="W1103" i="3"/>
  <c r="AF1103" i="3" s="1"/>
  <c r="AG1103" i="3" s="1"/>
  <c r="W1104" i="3"/>
  <c r="AF1104" i="3" s="1"/>
  <c r="AG1104" i="3" s="1"/>
  <c r="W1105" i="3"/>
  <c r="AF1105" i="3" s="1"/>
  <c r="AG1105" i="3" s="1"/>
  <c r="W1106" i="3"/>
  <c r="AF1106" i="3" s="1"/>
  <c r="AG1106" i="3" s="1"/>
  <c r="W1107" i="3"/>
  <c r="AF1107" i="3" s="1"/>
  <c r="W1108" i="3"/>
  <c r="AF1108" i="3" s="1"/>
  <c r="W1109" i="3"/>
  <c r="AF1109" i="3" s="1"/>
  <c r="W1110" i="3"/>
  <c r="AF1110" i="3" s="1"/>
  <c r="W1111" i="3"/>
  <c r="AF1111" i="3" s="1"/>
  <c r="W1112" i="3"/>
  <c r="AF1112" i="3" s="1"/>
  <c r="W1113" i="3"/>
  <c r="AF1113" i="3" s="1"/>
  <c r="W1114" i="3"/>
  <c r="AF1114" i="3" s="1"/>
  <c r="W1115" i="3"/>
  <c r="AF1115" i="3" s="1"/>
  <c r="W1116" i="3"/>
  <c r="AF1116" i="3" s="1"/>
  <c r="W1117" i="3"/>
  <c r="AF1117" i="3" s="1"/>
  <c r="W1118" i="3"/>
  <c r="AF1118" i="3" s="1"/>
  <c r="W1119" i="3"/>
  <c r="AF1119" i="3" s="1"/>
  <c r="AG1119" i="3" s="1"/>
  <c r="W1120" i="3"/>
  <c r="AF1120" i="3" s="1"/>
  <c r="AG1120" i="3" s="1"/>
  <c r="W1121" i="3"/>
  <c r="AF1121" i="3" s="1"/>
  <c r="AG1121" i="3" s="1"/>
  <c r="W1122" i="3"/>
  <c r="AF1122" i="3" s="1"/>
  <c r="AG1122" i="3" s="1"/>
  <c r="W1123" i="3"/>
  <c r="AF1123" i="3" s="1"/>
  <c r="W1124" i="3"/>
  <c r="AF1124" i="3" s="1"/>
  <c r="W1125" i="3"/>
  <c r="AF1125" i="3" s="1"/>
  <c r="W1126" i="3"/>
  <c r="AF1126" i="3" s="1"/>
  <c r="W1127" i="3"/>
  <c r="AF1127" i="3" s="1"/>
  <c r="W1128" i="3"/>
  <c r="AF1128" i="3" s="1"/>
  <c r="W1129" i="3"/>
  <c r="AF1129" i="3" s="1"/>
  <c r="W1130" i="3"/>
  <c r="AF1130" i="3" s="1"/>
  <c r="W1131" i="3"/>
  <c r="AF1131" i="3" s="1"/>
  <c r="W1132" i="3"/>
  <c r="AF1132" i="3" s="1"/>
  <c r="W1133" i="3"/>
  <c r="AF1133" i="3" s="1"/>
  <c r="W1134" i="3"/>
  <c r="AF1134" i="3" s="1"/>
  <c r="W1135" i="3"/>
  <c r="AF1135" i="3" s="1"/>
  <c r="AG1135" i="3" s="1"/>
  <c r="W1136" i="3"/>
  <c r="AF1136" i="3" s="1"/>
  <c r="AG1136" i="3" s="1"/>
  <c r="W1137" i="3"/>
  <c r="AF1137" i="3" s="1"/>
  <c r="AG1137" i="3" s="1"/>
  <c r="W1138" i="3"/>
  <c r="AF1138" i="3" s="1"/>
  <c r="AG1138" i="3" s="1"/>
  <c r="W1139" i="3"/>
  <c r="AF1139" i="3" s="1"/>
  <c r="W1140" i="3"/>
  <c r="AF1140" i="3" s="1"/>
  <c r="W1141" i="3"/>
  <c r="AF1141" i="3" s="1"/>
  <c r="W1142" i="3"/>
  <c r="AF1142" i="3" s="1"/>
  <c r="W1143" i="3"/>
  <c r="AF1143" i="3" s="1"/>
  <c r="W1144" i="3"/>
  <c r="AF1144" i="3" s="1"/>
  <c r="W1145" i="3"/>
  <c r="AF1145" i="3" s="1"/>
  <c r="W1146" i="3"/>
  <c r="AF1146" i="3" s="1"/>
  <c r="W1147" i="3"/>
  <c r="AF1147" i="3" s="1"/>
  <c r="W1148" i="3"/>
  <c r="AF1148" i="3" s="1"/>
  <c r="W1149" i="3"/>
  <c r="AF1149" i="3" s="1"/>
  <c r="W1150" i="3"/>
  <c r="AF1150" i="3" s="1"/>
  <c r="W1151" i="3"/>
  <c r="AF1151" i="3" s="1"/>
  <c r="AG1151" i="3" s="1"/>
  <c r="W1152" i="3"/>
  <c r="AF1152" i="3" s="1"/>
  <c r="AG1152" i="3" s="1"/>
  <c r="W1153" i="3"/>
  <c r="AF1153" i="3" s="1"/>
  <c r="AG1153" i="3" s="1"/>
  <c r="W1154" i="3"/>
  <c r="AF1154" i="3" s="1"/>
  <c r="AG1154" i="3" s="1"/>
  <c r="W1155" i="3"/>
  <c r="AF1155" i="3" s="1"/>
  <c r="W1156" i="3"/>
  <c r="AF1156" i="3" s="1"/>
  <c r="W1157" i="3"/>
  <c r="AF1157" i="3" s="1"/>
  <c r="W1158" i="3"/>
  <c r="AF1158" i="3" s="1"/>
  <c r="W1159" i="3"/>
  <c r="AF1159" i="3" s="1"/>
  <c r="W1160" i="3"/>
  <c r="AF1160" i="3" s="1"/>
  <c r="W1161" i="3"/>
  <c r="AF1161" i="3" s="1"/>
  <c r="W1162" i="3"/>
  <c r="AF1162" i="3" s="1"/>
  <c r="W1163" i="3"/>
  <c r="AF1163" i="3" s="1"/>
  <c r="W1164" i="3"/>
  <c r="AF1164" i="3" s="1"/>
  <c r="W1165" i="3"/>
  <c r="AF1165" i="3" s="1"/>
  <c r="W1166" i="3"/>
  <c r="AF1166" i="3" s="1"/>
  <c r="W1167" i="3"/>
  <c r="AF1167" i="3" s="1"/>
  <c r="AG1167" i="3" s="1"/>
  <c r="W1168" i="3"/>
  <c r="AF1168" i="3" s="1"/>
  <c r="AG1168" i="3" s="1"/>
  <c r="W1169" i="3"/>
  <c r="AF1169" i="3" s="1"/>
  <c r="AG1169" i="3" s="1"/>
  <c r="W1170" i="3"/>
  <c r="AF1170" i="3" s="1"/>
  <c r="AG1170" i="3" s="1"/>
  <c r="W1171" i="3"/>
  <c r="AF1171" i="3" s="1"/>
  <c r="W1172" i="3"/>
  <c r="AF1172" i="3" s="1"/>
  <c r="W1173" i="3"/>
  <c r="AF1173" i="3" s="1"/>
  <c r="W1174" i="3"/>
  <c r="AF1174" i="3" s="1"/>
  <c r="W1175" i="3"/>
  <c r="AF1175" i="3" s="1"/>
  <c r="W1176" i="3"/>
  <c r="AF1176" i="3" s="1"/>
  <c r="W1177" i="3"/>
  <c r="AF1177" i="3" s="1"/>
  <c r="W1178" i="3"/>
  <c r="AF1178" i="3" s="1"/>
  <c r="W1179" i="3"/>
  <c r="AF1179" i="3" s="1"/>
  <c r="W1180" i="3"/>
  <c r="AF1180" i="3" s="1"/>
  <c r="W1181" i="3"/>
  <c r="AF1181" i="3" s="1"/>
  <c r="W1182" i="3"/>
  <c r="AF1182" i="3" s="1"/>
  <c r="W1183" i="3"/>
  <c r="AF1183" i="3" s="1"/>
  <c r="AG1183" i="3" s="1"/>
  <c r="W1184" i="3"/>
  <c r="AF1184" i="3" s="1"/>
  <c r="AG1184" i="3" s="1"/>
  <c r="W1185" i="3"/>
  <c r="AF1185" i="3" s="1"/>
  <c r="AG1185" i="3" s="1"/>
  <c r="W1186" i="3"/>
  <c r="AF1186" i="3" s="1"/>
  <c r="AG1186" i="3" s="1"/>
  <c r="W1187" i="3"/>
  <c r="AF1187" i="3" s="1"/>
  <c r="W1188" i="3"/>
  <c r="AF1188" i="3" s="1"/>
  <c r="W1189" i="3"/>
  <c r="AF1189" i="3" s="1"/>
  <c r="W1190" i="3"/>
  <c r="AF1190" i="3" s="1"/>
  <c r="W1191" i="3"/>
  <c r="AF1191" i="3" s="1"/>
  <c r="W1192" i="3"/>
  <c r="AF1192" i="3" s="1"/>
  <c r="W1193" i="3"/>
  <c r="AF1193" i="3" s="1"/>
  <c r="W1194" i="3"/>
  <c r="AF1194" i="3" s="1"/>
  <c r="W1195" i="3"/>
  <c r="AF1195" i="3" s="1"/>
  <c r="W1196" i="3"/>
  <c r="AF1196" i="3" s="1"/>
  <c r="W1197" i="3"/>
  <c r="AF1197" i="3" s="1"/>
  <c r="W1198" i="3"/>
  <c r="AF1198" i="3" s="1"/>
  <c r="W1199" i="3"/>
  <c r="AF1199" i="3" s="1"/>
  <c r="AG1199" i="3" s="1"/>
  <c r="W1200" i="3"/>
  <c r="AF1200" i="3" s="1"/>
  <c r="AG1200" i="3" s="1"/>
  <c r="W1201" i="3"/>
  <c r="AF1201" i="3" s="1"/>
  <c r="AG1201" i="3" s="1"/>
  <c r="W1202" i="3"/>
  <c r="AF1202" i="3" s="1"/>
  <c r="AG1202" i="3" s="1"/>
  <c r="W1203" i="3"/>
  <c r="AF1203" i="3" s="1"/>
  <c r="W1204" i="3"/>
  <c r="AF1204" i="3" s="1"/>
  <c r="W1205" i="3"/>
  <c r="AF1205" i="3" s="1"/>
  <c r="W1206" i="3"/>
  <c r="AF1206" i="3" s="1"/>
  <c r="W1207" i="3"/>
  <c r="AF1207" i="3" s="1"/>
  <c r="W1208" i="3"/>
  <c r="AF1208" i="3" s="1"/>
  <c r="W1209" i="3"/>
  <c r="AF1209" i="3" s="1"/>
  <c r="W1210" i="3"/>
  <c r="AF1210" i="3" s="1"/>
  <c r="W1211" i="3"/>
  <c r="AF1211" i="3" s="1"/>
  <c r="W1212" i="3"/>
  <c r="AF1212" i="3" s="1"/>
  <c r="W1213" i="3"/>
  <c r="AF1213" i="3" s="1"/>
  <c r="W1214" i="3"/>
  <c r="AF1214" i="3" s="1"/>
  <c r="W1215" i="3"/>
  <c r="AF1215" i="3" s="1"/>
  <c r="AG1215" i="3" s="1"/>
  <c r="W1216" i="3"/>
  <c r="AF1216" i="3" s="1"/>
  <c r="AG1216" i="3" s="1"/>
  <c r="W1217" i="3"/>
  <c r="AF1217" i="3" s="1"/>
  <c r="AG1217" i="3" s="1"/>
  <c r="W1218" i="3"/>
  <c r="AF1218" i="3" s="1"/>
  <c r="AG1218" i="3" s="1"/>
  <c r="W1219" i="3"/>
  <c r="AF1219" i="3" s="1"/>
  <c r="W1220" i="3"/>
  <c r="AF1220" i="3" s="1"/>
  <c r="W1221" i="3"/>
  <c r="AF1221" i="3" s="1"/>
  <c r="W1222" i="3"/>
  <c r="AF1222" i="3" s="1"/>
  <c r="W1223" i="3"/>
  <c r="AF1223" i="3" s="1"/>
  <c r="W1224" i="3"/>
  <c r="AF1224" i="3" s="1"/>
  <c r="W1225" i="3"/>
  <c r="AF1225" i="3" s="1"/>
  <c r="W1226" i="3"/>
  <c r="AF1226" i="3" s="1"/>
  <c r="W1227" i="3"/>
  <c r="AF1227" i="3" s="1"/>
  <c r="W1228" i="3"/>
  <c r="AF1228" i="3" s="1"/>
  <c r="W1229" i="3"/>
  <c r="AF1229" i="3" s="1"/>
  <c r="W1230" i="3"/>
  <c r="AF1230" i="3" s="1"/>
  <c r="W1231" i="3"/>
  <c r="AF1231" i="3" s="1"/>
  <c r="AG1231" i="3" s="1"/>
  <c r="W1232" i="3"/>
  <c r="AF1232" i="3" s="1"/>
  <c r="AG1232" i="3" s="1"/>
  <c r="W1233" i="3"/>
  <c r="AF1233" i="3" s="1"/>
  <c r="AG1233" i="3" s="1"/>
  <c r="W1234" i="3"/>
  <c r="AF1234" i="3" s="1"/>
  <c r="AG1234" i="3" s="1"/>
  <c r="W1235" i="3"/>
  <c r="AF1235" i="3" s="1"/>
  <c r="W1236" i="3"/>
  <c r="AF1236" i="3" s="1"/>
  <c r="W1237" i="3"/>
  <c r="AF1237" i="3" s="1"/>
  <c r="W1238" i="3"/>
  <c r="AF1238" i="3" s="1"/>
  <c r="W1239" i="3"/>
  <c r="AF1239" i="3" s="1"/>
  <c r="W1240" i="3"/>
  <c r="AF1240" i="3" s="1"/>
  <c r="W1241" i="3"/>
  <c r="AF1241" i="3" s="1"/>
  <c r="W1242" i="3"/>
  <c r="AF1242" i="3" s="1"/>
  <c r="W1243" i="3"/>
  <c r="AF1243" i="3" s="1"/>
  <c r="W1244" i="3"/>
  <c r="AF1244" i="3" s="1"/>
  <c r="W1245" i="3"/>
  <c r="AF1245" i="3" s="1"/>
  <c r="W1246" i="3"/>
  <c r="AF1246" i="3" s="1"/>
  <c r="W1247" i="3"/>
  <c r="AF1247" i="3" s="1"/>
  <c r="AG1247" i="3" s="1"/>
  <c r="W1248" i="3"/>
  <c r="AF1248" i="3" s="1"/>
  <c r="AG1248" i="3" s="1"/>
  <c r="W1249" i="3"/>
  <c r="AF1249" i="3" s="1"/>
  <c r="AG1249" i="3" s="1"/>
  <c r="W1250" i="3"/>
  <c r="AF1250" i="3" s="1"/>
  <c r="AG1250" i="3" s="1"/>
  <c r="W1251" i="3"/>
  <c r="AF1251" i="3" s="1"/>
  <c r="W1252" i="3"/>
  <c r="AF1252" i="3" s="1"/>
  <c r="W1253" i="3"/>
  <c r="AF1253" i="3" s="1"/>
  <c r="W1254" i="3"/>
  <c r="AF1254" i="3" s="1"/>
  <c r="W1255" i="3"/>
  <c r="AF1255" i="3" s="1"/>
  <c r="W1256" i="3"/>
  <c r="AF1256" i="3" s="1"/>
  <c r="W1257" i="3"/>
  <c r="AF1257" i="3" s="1"/>
  <c r="W1258" i="3"/>
  <c r="AF1258" i="3" s="1"/>
  <c r="W1259" i="3"/>
  <c r="AF1259" i="3" s="1"/>
  <c r="W1260" i="3"/>
  <c r="AF1260" i="3" s="1"/>
  <c r="W1261" i="3"/>
  <c r="AF1261" i="3" s="1"/>
  <c r="W1262" i="3"/>
  <c r="AF1262" i="3" s="1"/>
  <c r="W1263" i="3"/>
  <c r="AF1263" i="3" s="1"/>
  <c r="AG1263" i="3" s="1"/>
  <c r="W1264" i="3"/>
  <c r="AF1264" i="3" s="1"/>
  <c r="AG1264" i="3" s="1"/>
  <c r="W1265" i="3"/>
  <c r="AF1265" i="3" s="1"/>
  <c r="AG1265" i="3" s="1"/>
  <c r="W1266" i="3"/>
  <c r="AF1266" i="3" s="1"/>
  <c r="AG1266" i="3" s="1"/>
  <c r="W1267" i="3"/>
  <c r="AF1267" i="3" s="1"/>
  <c r="W1268" i="3"/>
  <c r="AF1268" i="3" s="1"/>
  <c r="W1269" i="3"/>
  <c r="AF1269" i="3" s="1"/>
  <c r="W1270" i="3"/>
  <c r="AF1270" i="3" s="1"/>
  <c r="W1271" i="3"/>
  <c r="AF1271" i="3" s="1"/>
  <c r="W1272" i="3"/>
  <c r="AF1272" i="3" s="1"/>
  <c r="W1273" i="3"/>
  <c r="AF1273" i="3" s="1"/>
  <c r="W1274" i="3"/>
  <c r="AF1274" i="3" s="1"/>
  <c r="W1275" i="3"/>
  <c r="AF1275" i="3" s="1"/>
  <c r="W1276" i="3"/>
  <c r="AF1276" i="3" s="1"/>
  <c r="W1277" i="3"/>
  <c r="AF1277" i="3" s="1"/>
  <c r="W1278" i="3"/>
  <c r="AF1278" i="3" s="1"/>
  <c r="W1279" i="3"/>
  <c r="AF1279" i="3" s="1"/>
  <c r="AG1279" i="3" s="1"/>
  <c r="W1280" i="3"/>
  <c r="AF1280" i="3" s="1"/>
  <c r="AG1280" i="3" s="1"/>
  <c r="W1281" i="3"/>
  <c r="AF1281" i="3" s="1"/>
  <c r="AG1281" i="3" s="1"/>
  <c r="W1282" i="3"/>
  <c r="AF1282" i="3" s="1"/>
  <c r="AG1282" i="3" s="1"/>
  <c r="W1283" i="3"/>
  <c r="AF1283" i="3" s="1"/>
  <c r="W1284" i="3"/>
  <c r="AF1284" i="3" s="1"/>
  <c r="W1285" i="3"/>
  <c r="AF1285" i="3" s="1"/>
  <c r="W1286" i="3"/>
  <c r="AF1286" i="3" s="1"/>
  <c r="W1287" i="3"/>
  <c r="AF1287" i="3" s="1"/>
  <c r="W1288" i="3"/>
  <c r="AF1288" i="3" s="1"/>
  <c r="W1289" i="3"/>
  <c r="AF1289" i="3" s="1"/>
  <c r="W1290" i="3"/>
  <c r="AF1290" i="3" s="1"/>
  <c r="W1291" i="3"/>
  <c r="AF1291" i="3" s="1"/>
  <c r="W1292" i="3"/>
  <c r="AF1292" i="3" s="1"/>
  <c r="W1293" i="3"/>
  <c r="AF1293" i="3" s="1"/>
  <c r="W1294" i="3"/>
  <c r="AF1294" i="3" s="1"/>
  <c r="W1295" i="3"/>
  <c r="AF1295" i="3" s="1"/>
  <c r="AG1295" i="3" s="1"/>
  <c r="W1296" i="3"/>
  <c r="AF1296" i="3" s="1"/>
  <c r="AG1296" i="3" s="1"/>
  <c r="W1297" i="3"/>
  <c r="AF1297" i="3" s="1"/>
  <c r="AG1297" i="3" s="1"/>
  <c r="W1298" i="3"/>
  <c r="AF1298" i="3" s="1"/>
  <c r="AG1298" i="3" s="1"/>
  <c r="W1299" i="3"/>
  <c r="AF1299" i="3" s="1"/>
  <c r="W1300" i="3"/>
  <c r="AF1300" i="3" s="1"/>
  <c r="W1301" i="3"/>
  <c r="AF1301" i="3" s="1"/>
  <c r="W1302" i="3"/>
  <c r="AF1302" i="3" s="1"/>
  <c r="W1303" i="3"/>
  <c r="AF1303" i="3" s="1"/>
  <c r="W1304" i="3"/>
  <c r="AF1304" i="3" s="1"/>
  <c r="W1305" i="3"/>
  <c r="AF1305" i="3" s="1"/>
  <c r="W1306" i="3"/>
  <c r="AF1306" i="3" s="1"/>
  <c r="W1307" i="3"/>
  <c r="AF1307" i="3" s="1"/>
  <c r="W1308" i="3"/>
  <c r="AF1308" i="3" s="1"/>
  <c r="W1309" i="3"/>
  <c r="AF1309" i="3" s="1"/>
  <c r="W1310" i="3"/>
  <c r="AF1310" i="3" s="1"/>
  <c r="W1311" i="3"/>
  <c r="AF1311" i="3" s="1"/>
  <c r="AG1311" i="3" s="1"/>
  <c r="W1312" i="3"/>
  <c r="AF1312" i="3" s="1"/>
  <c r="AG1312" i="3" s="1"/>
  <c r="W1313" i="3"/>
  <c r="AF1313" i="3" s="1"/>
  <c r="AG1313" i="3" s="1"/>
  <c r="W1314" i="3"/>
  <c r="AF1314" i="3" s="1"/>
  <c r="AG1314" i="3" s="1"/>
  <c r="W1315" i="3"/>
  <c r="AF1315" i="3" s="1"/>
  <c r="W1316" i="3"/>
  <c r="AF1316" i="3" s="1"/>
  <c r="W1317" i="3"/>
  <c r="AF1317" i="3" s="1"/>
  <c r="W1318" i="3"/>
  <c r="AF1318" i="3" s="1"/>
  <c r="W1319" i="3"/>
  <c r="AF1319" i="3" s="1"/>
  <c r="W1320" i="3"/>
  <c r="AF1320" i="3" s="1"/>
  <c r="W1321" i="3"/>
  <c r="AF1321" i="3" s="1"/>
  <c r="W1322" i="3"/>
  <c r="AF1322" i="3" s="1"/>
  <c r="W1323" i="3"/>
  <c r="AF1323" i="3" s="1"/>
  <c r="W1324" i="3"/>
  <c r="AF1324" i="3" s="1"/>
  <c r="W1325" i="3"/>
  <c r="AF1325" i="3" s="1"/>
  <c r="W1326" i="3"/>
  <c r="AF1326" i="3" s="1"/>
  <c r="W1327" i="3"/>
  <c r="AF1327" i="3" s="1"/>
  <c r="AG1327" i="3" s="1"/>
  <c r="W1328" i="3"/>
  <c r="AF1328" i="3" s="1"/>
  <c r="AG1328" i="3" s="1"/>
  <c r="W1329" i="3"/>
  <c r="AF1329" i="3" s="1"/>
  <c r="AG1329" i="3" s="1"/>
  <c r="W1330" i="3"/>
  <c r="AF1330" i="3" s="1"/>
  <c r="AG1330" i="3" s="1"/>
  <c r="W1331" i="3"/>
  <c r="AF1331" i="3" s="1"/>
  <c r="W1332" i="3"/>
  <c r="AF1332" i="3" s="1"/>
  <c r="W1333" i="3"/>
  <c r="AF1333" i="3" s="1"/>
  <c r="W1334" i="3"/>
  <c r="AF1334" i="3" s="1"/>
  <c r="W1335" i="3"/>
  <c r="AF1335" i="3" s="1"/>
  <c r="W1336" i="3"/>
  <c r="AF1336" i="3" s="1"/>
  <c r="W1337" i="3"/>
  <c r="AF1337" i="3" s="1"/>
  <c r="W1338" i="3"/>
  <c r="AF1338" i="3" s="1"/>
  <c r="W1339" i="3"/>
  <c r="AF1339" i="3" s="1"/>
  <c r="W1340" i="3"/>
  <c r="AF1340" i="3" s="1"/>
  <c r="W1341" i="3"/>
  <c r="AF1341" i="3" s="1"/>
  <c r="W1342" i="3"/>
  <c r="AF1342" i="3" s="1"/>
  <c r="W1343" i="3"/>
  <c r="AF1343" i="3" s="1"/>
  <c r="AG1343" i="3" s="1"/>
  <c r="W1344" i="3"/>
  <c r="AF1344" i="3" s="1"/>
  <c r="AG1344" i="3" s="1"/>
  <c r="W1345" i="3"/>
  <c r="AF1345" i="3" s="1"/>
  <c r="AG1345" i="3" s="1"/>
  <c r="W1346" i="3"/>
  <c r="AF1346" i="3" s="1"/>
  <c r="AG1346" i="3" s="1"/>
  <c r="W1347" i="3"/>
  <c r="AF1347" i="3" s="1"/>
  <c r="W1348" i="3"/>
  <c r="AF1348" i="3" s="1"/>
  <c r="W1349" i="3"/>
  <c r="AF1349" i="3" s="1"/>
  <c r="W1350" i="3"/>
  <c r="AF1350" i="3" s="1"/>
  <c r="W1351" i="3"/>
  <c r="AF1351" i="3" s="1"/>
  <c r="W1352" i="3"/>
  <c r="AF1352" i="3" s="1"/>
  <c r="W1353" i="3"/>
  <c r="AF1353" i="3" s="1"/>
  <c r="W1354" i="3"/>
  <c r="AF1354" i="3" s="1"/>
  <c r="W1355" i="3"/>
  <c r="AF1355" i="3" s="1"/>
  <c r="W1356" i="3"/>
  <c r="AF1356" i="3" s="1"/>
  <c r="W1357" i="3"/>
  <c r="AF1357" i="3" s="1"/>
  <c r="W1358" i="3"/>
  <c r="AF1358" i="3" s="1"/>
  <c r="W1359" i="3"/>
  <c r="AF1359" i="3" s="1"/>
  <c r="AG1359" i="3" s="1"/>
  <c r="W1360" i="3"/>
  <c r="AF1360" i="3" s="1"/>
  <c r="AG1360" i="3" s="1"/>
  <c r="W1361" i="3"/>
  <c r="AF1361" i="3" s="1"/>
  <c r="AG1361" i="3" s="1"/>
  <c r="W1362" i="3"/>
  <c r="AF1362" i="3" s="1"/>
  <c r="AG1362" i="3" s="1"/>
  <c r="W1363" i="3"/>
  <c r="AF1363" i="3" s="1"/>
  <c r="W1364" i="3"/>
  <c r="AF1364" i="3" s="1"/>
  <c r="W1365" i="3"/>
  <c r="AF1365" i="3" s="1"/>
  <c r="W1366" i="3"/>
  <c r="AF1366" i="3" s="1"/>
  <c r="W1367" i="3"/>
  <c r="AF1367" i="3" s="1"/>
  <c r="W1368" i="3"/>
  <c r="AF1368" i="3" s="1"/>
  <c r="W1369" i="3"/>
  <c r="AF1369" i="3" s="1"/>
  <c r="W1370" i="3"/>
  <c r="AF1370" i="3" s="1"/>
  <c r="W1371" i="3"/>
  <c r="AF1371" i="3" s="1"/>
  <c r="W1372" i="3"/>
  <c r="AF1372" i="3" s="1"/>
  <c r="W1373" i="3"/>
  <c r="AF1373" i="3" s="1"/>
  <c r="W1374" i="3"/>
  <c r="AF1374" i="3" s="1"/>
  <c r="W1375" i="3"/>
  <c r="AF1375" i="3" s="1"/>
  <c r="AG1375" i="3" s="1"/>
  <c r="W1376" i="3"/>
  <c r="AF1376" i="3" s="1"/>
  <c r="AG1376" i="3" s="1"/>
  <c r="W1377" i="3"/>
  <c r="AF1377" i="3" s="1"/>
  <c r="AG1377" i="3" s="1"/>
  <c r="W1378" i="3"/>
  <c r="AF1378" i="3" s="1"/>
  <c r="AG1378" i="3" s="1"/>
  <c r="W1379" i="3"/>
  <c r="AF1379" i="3" s="1"/>
  <c r="W1380" i="3"/>
  <c r="AF1380" i="3" s="1"/>
  <c r="W1381" i="3"/>
  <c r="AF1381" i="3" s="1"/>
  <c r="W1382" i="3"/>
  <c r="AF1382" i="3" s="1"/>
  <c r="W1383" i="3"/>
  <c r="AF1383" i="3" s="1"/>
  <c r="W1384" i="3"/>
  <c r="AF1384" i="3" s="1"/>
  <c r="W1385" i="3"/>
  <c r="AF1385" i="3" s="1"/>
  <c r="W1386" i="3"/>
  <c r="AF1386" i="3" s="1"/>
  <c r="W1387" i="3"/>
  <c r="AF1387" i="3" s="1"/>
  <c r="W1388" i="3"/>
  <c r="AF1388" i="3" s="1"/>
  <c r="W1389" i="3"/>
  <c r="AF1389" i="3" s="1"/>
  <c r="W1390" i="3"/>
  <c r="AF1390" i="3" s="1"/>
  <c r="W1391" i="3"/>
  <c r="AF1391" i="3" s="1"/>
  <c r="AG1391" i="3" s="1"/>
  <c r="W1392" i="3"/>
  <c r="AF1392" i="3" s="1"/>
  <c r="AG1392" i="3" s="1"/>
  <c r="W1393" i="3"/>
  <c r="AF1393" i="3" s="1"/>
  <c r="AG1393" i="3" s="1"/>
  <c r="W1394" i="3"/>
  <c r="AF1394" i="3" s="1"/>
  <c r="AG1394" i="3" s="1"/>
  <c r="W1395" i="3"/>
  <c r="AF1395" i="3" s="1"/>
  <c r="W1396" i="3"/>
  <c r="AF1396" i="3" s="1"/>
  <c r="W1397" i="3"/>
  <c r="AF1397" i="3" s="1"/>
  <c r="W1398" i="3"/>
  <c r="AF1398" i="3" s="1"/>
  <c r="W1399" i="3"/>
  <c r="AF1399" i="3" s="1"/>
  <c r="W1400" i="3"/>
  <c r="AF1400" i="3" s="1"/>
  <c r="W1401" i="3"/>
  <c r="AF1401" i="3" s="1"/>
  <c r="W1402" i="3"/>
  <c r="AF1402" i="3" s="1"/>
  <c r="W1403" i="3"/>
  <c r="AF1403" i="3" s="1"/>
  <c r="W1404" i="3"/>
  <c r="AF1404" i="3" s="1"/>
  <c r="W1405" i="3"/>
  <c r="AF1405" i="3" s="1"/>
  <c r="W1406" i="3"/>
  <c r="AF1406" i="3" s="1"/>
  <c r="W1407" i="3"/>
  <c r="AF1407" i="3" s="1"/>
  <c r="AG1407" i="3" s="1"/>
  <c r="W1408" i="3"/>
  <c r="AF1408" i="3" s="1"/>
  <c r="AG1408" i="3" s="1"/>
  <c r="W1409" i="3"/>
  <c r="AF1409" i="3" s="1"/>
  <c r="AG1409" i="3" s="1"/>
  <c r="W1410" i="3"/>
  <c r="AF1410" i="3" s="1"/>
  <c r="AG1410" i="3" s="1"/>
  <c r="W1411" i="3"/>
  <c r="AF1411" i="3" s="1"/>
  <c r="W1412" i="3"/>
  <c r="AF1412" i="3" s="1"/>
  <c r="W1413" i="3"/>
  <c r="AF1413" i="3" s="1"/>
  <c r="W1414" i="3"/>
  <c r="AF1414" i="3" s="1"/>
  <c r="W1415" i="3"/>
  <c r="AF1415" i="3" s="1"/>
  <c r="W1416" i="3"/>
  <c r="AF1416" i="3" s="1"/>
  <c r="W1417" i="3"/>
  <c r="AF1417" i="3" s="1"/>
  <c r="W1418" i="3"/>
  <c r="AF1418" i="3" s="1"/>
  <c r="W1419" i="3"/>
  <c r="AF1419" i="3" s="1"/>
  <c r="W1420" i="3"/>
  <c r="AF1420" i="3" s="1"/>
  <c r="W1421" i="3"/>
  <c r="AF1421" i="3" s="1"/>
  <c r="W1422" i="3"/>
  <c r="AF1422" i="3" s="1"/>
  <c r="W1423" i="3"/>
  <c r="AF1423" i="3" s="1"/>
  <c r="AG1423" i="3" s="1"/>
  <c r="W1424" i="3"/>
  <c r="AF1424" i="3" s="1"/>
  <c r="AG1424" i="3" s="1"/>
  <c r="W1425" i="3"/>
  <c r="AF1425" i="3" s="1"/>
  <c r="AG1425" i="3" s="1"/>
  <c r="W1426" i="3"/>
  <c r="AF1426" i="3" s="1"/>
  <c r="AG1426" i="3" s="1"/>
  <c r="W1427" i="3"/>
  <c r="AF1427" i="3" s="1"/>
  <c r="W1428" i="3"/>
  <c r="AF1428" i="3" s="1"/>
  <c r="W1429" i="3"/>
  <c r="AF1429" i="3" s="1"/>
  <c r="W1430" i="3"/>
  <c r="AF1430" i="3" s="1"/>
  <c r="W1431" i="3"/>
  <c r="AF1431" i="3" s="1"/>
  <c r="W1432" i="3"/>
  <c r="AF1432" i="3" s="1"/>
  <c r="W1433" i="3"/>
  <c r="AF1433" i="3" s="1"/>
  <c r="W1434" i="3"/>
  <c r="AF1434" i="3" s="1"/>
  <c r="W1435" i="3"/>
  <c r="AF1435" i="3" s="1"/>
  <c r="W1436" i="3"/>
  <c r="AF1436" i="3" s="1"/>
  <c r="W1437" i="3"/>
  <c r="AF1437" i="3" s="1"/>
  <c r="W1438" i="3"/>
  <c r="AF1438" i="3" s="1"/>
  <c r="W1439" i="3"/>
  <c r="AF1439" i="3" s="1"/>
  <c r="AG1439" i="3" s="1"/>
  <c r="W1440" i="3"/>
  <c r="AF1440" i="3" s="1"/>
  <c r="AG1440" i="3" s="1"/>
  <c r="W1441" i="3"/>
  <c r="AF1441" i="3" s="1"/>
  <c r="AG1441" i="3" s="1"/>
  <c r="W1442" i="3"/>
  <c r="AF1442" i="3" s="1"/>
  <c r="AG1442" i="3" s="1"/>
  <c r="W1443" i="3"/>
  <c r="AF1443" i="3" s="1"/>
  <c r="W1444" i="3"/>
  <c r="AF1444" i="3" s="1"/>
  <c r="W1445" i="3"/>
  <c r="AF1445" i="3" s="1"/>
  <c r="W1446" i="3"/>
  <c r="AF1446" i="3" s="1"/>
  <c r="W1447" i="3"/>
  <c r="AF1447" i="3" s="1"/>
  <c r="W1448" i="3"/>
  <c r="AF1448" i="3" s="1"/>
  <c r="W1449" i="3"/>
  <c r="AF1449" i="3" s="1"/>
  <c r="W1450" i="3"/>
  <c r="AF1450" i="3" s="1"/>
  <c r="W1451" i="3"/>
  <c r="AF1451" i="3" s="1"/>
  <c r="W1452" i="3"/>
  <c r="AF1452" i="3" s="1"/>
  <c r="W1453" i="3"/>
  <c r="AF1453" i="3" s="1"/>
  <c r="W1454" i="3"/>
  <c r="AF1454" i="3" s="1"/>
  <c r="W1455" i="3"/>
  <c r="AF1455" i="3" s="1"/>
  <c r="AG1455" i="3" s="1"/>
  <c r="W1456" i="3"/>
  <c r="AF1456" i="3" s="1"/>
  <c r="AG1456" i="3" s="1"/>
  <c r="W1457" i="3"/>
  <c r="AF1457" i="3" s="1"/>
  <c r="AG1457" i="3" s="1"/>
  <c r="W1458" i="3"/>
  <c r="AF1458" i="3" s="1"/>
  <c r="AG1458" i="3" s="1"/>
  <c r="W1459" i="3"/>
  <c r="AF1459" i="3" s="1"/>
  <c r="W1460" i="3"/>
  <c r="AF1460" i="3" s="1"/>
  <c r="W1461" i="3"/>
  <c r="AF1461" i="3" s="1"/>
  <c r="W1462" i="3"/>
  <c r="AF1462" i="3" s="1"/>
  <c r="W1463" i="3"/>
  <c r="AF1463" i="3" s="1"/>
  <c r="W1464" i="3"/>
  <c r="AF1464" i="3" s="1"/>
  <c r="W1465" i="3"/>
  <c r="AF1465" i="3" s="1"/>
  <c r="W1466" i="3"/>
  <c r="AF1466" i="3" s="1"/>
  <c r="W1467" i="3"/>
  <c r="AF1467" i="3" s="1"/>
  <c r="W1468" i="3"/>
  <c r="AF1468" i="3" s="1"/>
  <c r="W1469" i="3"/>
  <c r="AF1469" i="3" s="1"/>
  <c r="W1470" i="3"/>
  <c r="AF1470" i="3" s="1"/>
  <c r="W1471" i="3"/>
  <c r="AF1471" i="3" s="1"/>
  <c r="AG1471" i="3" s="1"/>
  <c r="W1472" i="3"/>
  <c r="AF1472" i="3" s="1"/>
  <c r="AG1472" i="3" s="1"/>
  <c r="W1473" i="3"/>
  <c r="AF1473" i="3" s="1"/>
  <c r="AG1473" i="3" s="1"/>
  <c r="W1474" i="3"/>
  <c r="AF1474" i="3" s="1"/>
  <c r="AG1474" i="3" s="1"/>
  <c r="W1475" i="3"/>
  <c r="AF1475" i="3" s="1"/>
  <c r="W1476" i="3"/>
  <c r="AF1476" i="3" s="1"/>
  <c r="W1477" i="3"/>
  <c r="AF1477" i="3" s="1"/>
  <c r="W1478" i="3"/>
  <c r="AF1478" i="3" s="1"/>
  <c r="W1479" i="3"/>
  <c r="AF1479" i="3" s="1"/>
  <c r="W1480" i="3"/>
  <c r="AF1480" i="3" s="1"/>
  <c r="W1481" i="3"/>
  <c r="AF1481" i="3" s="1"/>
  <c r="W1482" i="3"/>
  <c r="AF1482" i="3" s="1"/>
  <c r="W1483" i="3"/>
  <c r="AF1483" i="3" s="1"/>
  <c r="W1484" i="3"/>
  <c r="AF1484" i="3" s="1"/>
  <c r="W1485" i="3"/>
  <c r="AF1485" i="3" s="1"/>
  <c r="W1486" i="3"/>
  <c r="AF1486" i="3" s="1"/>
  <c r="W1487" i="3"/>
  <c r="AF1487" i="3" s="1"/>
  <c r="AG1487" i="3" s="1"/>
  <c r="W1488" i="3"/>
  <c r="AF1488" i="3" s="1"/>
  <c r="AG1488" i="3" s="1"/>
  <c r="W1489" i="3"/>
  <c r="AF1489" i="3" s="1"/>
  <c r="AG1489" i="3" s="1"/>
  <c r="W1490" i="3"/>
  <c r="AF1490" i="3" s="1"/>
  <c r="AG1490" i="3" s="1"/>
  <c r="W1491" i="3"/>
  <c r="AF1491" i="3" s="1"/>
  <c r="W1492" i="3"/>
  <c r="AF1492" i="3" s="1"/>
  <c r="W1493" i="3"/>
  <c r="AF1493" i="3" s="1"/>
  <c r="W1494" i="3"/>
  <c r="AF1494" i="3" s="1"/>
  <c r="W1495" i="3"/>
  <c r="AF1495" i="3" s="1"/>
  <c r="W1496" i="3"/>
  <c r="AF1496" i="3" s="1"/>
  <c r="W1497" i="3"/>
  <c r="AF1497" i="3" s="1"/>
  <c r="W1498" i="3"/>
  <c r="AF1498" i="3" s="1"/>
  <c r="W1499" i="3"/>
  <c r="AF1499" i="3" s="1"/>
  <c r="W1500" i="3"/>
  <c r="AF1500" i="3" s="1"/>
  <c r="W1501" i="3"/>
  <c r="AF1501" i="3" s="1"/>
  <c r="W1502" i="3"/>
  <c r="AF1502" i="3" s="1"/>
  <c r="W1503" i="3"/>
  <c r="AF1503" i="3" s="1"/>
  <c r="AG1503" i="3" s="1"/>
  <c r="W1504" i="3"/>
  <c r="AF1504" i="3" s="1"/>
  <c r="AG1504" i="3" s="1"/>
  <c r="W1505" i="3"/>
  <c r="AF1505" i="3" s="1"/>
  <c r="AG1505" i="3" s="1"/>
  <c r="W1506" i="3"/>
  <c r="AF1506" i="3" s="1"/>
  <c r="AG1506" i="3" s="1"/>
  <c r="W1507" i="3"/>
  <c r="AF1507" i="3" s="1"/>
  <c r="W1508" i="3"/>
  <c r="AF1508" i="3" s="1"/>
  <c r="W1509" i="3"/>
  <c r="AF1509" i="3" s="1"/>
  <c r="W1510" i="3"/>
  <c r="AF1510" i="3" s="1"/>
  <c r="W1511" i="3"/>
  <c r="AF1511" i="3" s="1"/>
  <c r="W1512" i="3"/>
  <c r="AF1512" i="3" s="1"/>
  <c r="W1513" i="3"/>
  <c r="AF1513" i="3" s="1"/>
  <c r="W1514" i="3"/>
  <c r="AF1514" i="3" s="1"/>
  <c r="W1515" i="3"/>
  <c r="AF1515" i="3" s="1"/>
  <c r="W1516" i="3"/>
  <c r="AF1516" i="3" s="1"/>
  <c r="W1517" i="3"/>
  <c r="AF1517" i="3" s="1"/>
  <c r="W1518" i="3"/>
  <c r="AF1518" i="3" s="1"/>
  <c r="W1519" i="3"/>
  <c r="AF1519" i="3" s="1"/>
  <c r="AG1519" i="3" s="1"/>
  <c r="W1520" i="3"/>
  <c r="AF1520" i="3" s="1"/>
  <c r="AG1520" i="3" s="1"/>
  <c r="W1521" i="3"/>
  <c r="AF1521" i="3" s="1"/>
  <c r="AG1521" i="3" s="1"/>
  <c r="W1522" i="3"/>
  <c r="AF1522" i="3" s="1"/>
  <c r="AG1522" i="3" s="1"/>
  <c r="W1523" i="3"/>
  <c r="AF1523" i="3" s="1"/>
  <c r="W1524" i="3"/>
  <c r="AF1524" i="3" s="1"/>
  <c r="W1525" i="3"/>
  <c r="AF1525" i="3" s="1"/>
  <c r="W1526" i="3"/>
  <c r="AF1526" i="3" s="1"/>
  <c r="W1527" i="3"/>
  <c r="AF1527" i="3" s="1"/>
  <c r="W1528" i="3"/>
  <c r="AF1528" i="3" s="1"/>
  <c r="W1529" i="3"/>
  <c r="AF1529" i="3" s="1"/>
  <c r="W1530" i="3"/>
  <c r="AF1530" i="3" s="1"/>
  <c r="W1531" i="3"/>
  <c r="AF1531" i="3" s="1"/>
  <c r="W1532" i="3"/>
  <c r="AF1532" i="3" s="1"/>
  <c r="W1533" i="3"/>
  <c r="AF1533" i="3" s="1"/>
  <c r="W1534" i="3"/>
  <c r="AF1534" i="3" s="1"/>
  <c r="W1535" i="3"/>
  <c r="AF1535" i="3" s="1"/>
  <c r="AG1535" i="3" s="1"/>
  <c r="W1536" i="3"/>
  <c r="AF1536" i="3" s="1"/>
  <c r="AG1536" i="3" s="1"/>
  <c r="W1537" i="3"/>
  <c r="AF1537" i="3" s="1"/>
  <c r="AG1537" i="3" s="1"/>
  <c r="W1538" i="3"/>
  <c r="AF1538" i="3" s="1"/>
  <c r="AG1538" i="3" s="1"/>
  <c r="W1539" i="3"/>
  <c r="AF1539" i="3" s="1"/>
  <c r="W1540" i="3"/>
  <c r="AF1540" i="3" s="1"/>
  <c r="W1541" i="3"/>
  <c r="AF1541" i="3" s="1"/>
  <c r="W1542" i="3"/>
  <c r="AF1542" i="3" s="1"/>
  <c r="W1543" i="3"/>
  <c r="AF1543" i="3" s="1"/>
  <c r="W1544" i="3"/>
  <c r="AF1544" i="3" s="1"/>
  <c r="W1545" i="3"/>
  <c r="AF1545" i="3" s="1"/>
  <c r="W1546" i="3"/>
  <c r="AF1546" i="3" s="1"/>
  <c r="W1547" i="3"/>
  <c r="AF1547" i="3" s="1"/>
  <c r="W1548" i="3"/>
  <c r="AF1548" i="3" s="1"/>
  <c r="W1549" i="3"/>
  <c r="AF1549" i="3" s="1"/>
  <c r="W1550" i="3"/>
  <c r="AF1550" i="3" s="1"/>
  <c r="W1551" i="3"/>
  <c r="AF1551" i="3" s="1"/>
  <c r="AG1551" i="3" s="1"/>
  <c r="W1552" i="3"/>
  <c r="AF1552" i="3" s="1"/>
  <c r="AG1552" i="3" s="1"/>
  <c r="W1553" i="3"/>
  <c r="AF1553" i="3" s="1"/>
  <c r="AG1553" i="3" s="1"/>
  <c r="W1554" i="3"/>
  <c r="AF1554" i="3" s="1"/>
  <c r="AG1554" i="3" s="1"/>
  <c r="W1555" i="3"/>
  <c r="AF1555" i="3" s="1"/>
  <c r="W1556" i="3"/>
  <c r="AF1556" i="3" s="1"/>
  <c r="W1557" i="3"/>
  <c r="AF1557" i="3" s="1"/>
  <c r="W1558" i="3"/>
  <c r="AF1558" i="3" s="1"/>
  <c r="W1559" i="3"/>
  <c r="AF1559" i="3" s="1"/>
  <c r="W1560" i="3"/>
  <c r="AF1560" i="3" s="1"/>
  <c r="W1561" i="3"/>
  <c r="AF1561" i="3" s="1"/>
  <c r="W1562" i="3"/>
  <c r="AF1562" i="3" s="1"/>
  <c r="W1563" i="3"/>
  <c r="AF1563" i="3" s="1"/>
  <c r="W1564" i="3"/>
  <c r="AF1564" i="3" s="1"/>
  <c r="W1565" i="3"/>
  <c r="AF1565" i="3" s="1"/>
  <c r="W1566" i="3"/>
  <c r="AF1566" i="3" s="1"/>
  <c r="W1567" i="3"/>
  <c r="AF1567" i="3" s="1"/>
  <c r="AG1567" i="3" s="1"/>
  <c r="W1568" i="3"/>
  <c r="AF1568" i="3" s="1"/>
  <c r="AG1568" i="3" s="1"/>
  <c r="W1569" i="3"/>
  <c r="AF1569" i="3" s="1"/>
  <c r="AG1569" i="3" s="1"/>
  <c r="W1570" i="3"/>
  <c r="AF1570" i="3" s="1"/>
  <c r="AG1570" i="3" s="1"/>
  <c r="W1571" i="3"/>
  <c r="AF1571" i="3" s="1"/>
  <c r="W1572" i="3"/>
  <c r="AF1572" i="3" s="1"/>
  <c r="W1573" i="3"/>
  <c r="AF1573" i="3" s="1"/>
  <c r="W1574" i="3"/>
  <c r="AF1574" i="3" s="1"/>
  <c r="W1575" i="3"/>
  <c r="AF1575" i="3" s="1"/>
  <c r="W1576" i="3"/>
  <c r="AF1576" i="3" s="1"/>
  <c r="W1577" i="3"/>
  <c r="AF1577" i="3" s="1"/>
  <c r="W1578" i="3"/>
  <c r="AF1578" i="3" s="1"/>
  <c r="W1579" i="3"/>
  <c r="AF1579" i="3" s="1"/>
  <c r="W1580" i="3"/>
  <c r="AF1580" i="3" s="1"/>
  <c r="W1581" i="3"/>
  <c r="AF1581" i="3" s="1"/>
  <c r="W1582" i="3"/>
  <c r="AF1582" i="3" s="1"/>
  <c r="W1583" i="3"/>
  <c r="AF1583" i="3" s="1"/>
  <c r="AG1583" i="3" s="1"/>
  <c r="W1584" i="3"/>
  <c r="AF1584" i="3" s="1"/>
  <c r="AG1584" i="3" s="1"/>
  <c r="W1585" i="3"/>
  <c r="AF1585" i="3" s="1"/>
  <c r="AG1585" i="3" s="1"/>
  <c r="W1586" i="3"/>
  <c r="AF1586" i="3" s="1"/>
  <c r="AG1586" i="3" s="1"/>
  <c r="W1587" i="3"/>
  <c r="AF1587" i="3" s="1"/>
  <c r="W1588" i="3"/>
  <c r="AF1588" i="3" s="1"/>
  <c r="W1589" i="3"/>
  <c r="AF1589" i="3" s="1"/>
  <c r="W1590" i="3"/>
  <c r="AF1590" i="3" s="1"/>
  <c r="W1591" i="3"/>
  <c r="AF1591" i="3" s="1"/>
  <c r="W1592" i="3"/>
  <c r="AF1592" i="3" s="1"/>
  <c r="W1593" i="3"/>
  <c r="AF1593" i="3" s="1"/>
  <c r="W1594" i="3"/>
  <c r="AF1594" i="3" s="1"/>
  <c r="W1595" i="3"/>
  <c r="AF1595" i="3" s="1"/>
  <c r="W1596" i="3"/>
  <c r="AF1596" i="3" s="1"/>
  <c r="W1597" i="3"/>
  <c r="AF1597" i="3" s="1"/>
  <c r="W1598" i="3"/>
  <c r="AF1598" i="3" s="1"/>
  <c r="W1599" i="3"/>
  <c r="AF1599" i="3" s="1"/>
  <c r="AG1599" i="3" s="1"/>
  <c r="W1600" i="3"/>
  <c r="AF1600" i="3" s="1"/>
  <c r="AG1600" i="3" s="1"/>
  <c r="W1601" i="3"/>
  <c r="AF1601" i="3" s="1"/>
  <c r="AG1601" i="3" s="1"/>
  <c r="W1602" i="3"/>
  <c r="AF1602" i="3" s="1"/>
  <c r="AG1602" i="3" s="1"/>
  <c r="W1603" i="3"/>
  <c r="AF1603" i="3" s="1"/>
  <c r="W1604" i="3"/>
  <c r="AF1604" i="3" s="1"/>
  <c r="W1605" i="3"/>
  <c r="AF1605" i="3" s="1"/>
  <c r="W1606" i="3"/>
  <c r="AF1606" i="3" s="1"/>
  <c r="W1607" i="3"/>
  <c r="AF1607" i="3" s="1"/>
  <c r="W1608" i="3"/>
  <c r="AF1608" i="3" s="1"/>
  <c r="W1609" i="3"/>
  <c r="AF1609" i="3" s="1"/>
  <c r="W1610" i="3"/>
  <c r="AF1610" i="3" s="1"/>
  <c r="W1611" i="3"/>
  <c r="AF1611" i="3" s="1"/>
  <c r="W1612" i="3"/>
  <c r="AF1612" i="3" s="1"/>
  <c r="W1613" i="3"/>
  <c r="AF1613" i="3" s="1"/>
  <c r="W1614" i="3"/>
  <c r="AF1614" i="3" s="1"/>
  <c r="W1615" i="3"/>
  <c r="AF1615" i="3" s="1"/>
  <c r="AG1615" i="3" s="1"/>
  <c r="W1616" i="3"/>
  <c r="AF1616" i="3" s="1"/>
  <c r="AG1616" i="3" s="1"/>
  <c r="W1617" i="3"/>
  <c r="AF1617" i="3" s="1"/>
  <c r="AG1617" i="3" s="1"/>
  <c r="W1618" i="3"/>
  <c r="AF1618" i="3" s="1"/>
  <c r="AG1618" i="3" s="1"/>
  <c r="W1619" i="3"/>
  <c r="AF1619" i="3" s="1"/>
  <c r="W1620" i="3"/>
  <c r="AF1620" i="3" s="1"/>
  <c r="W1621" i="3"/>
  <c r="AF1621" i="3" s="1"/>
  <c r="W1622" i="3"/>
  <c r="AF1622" i="3" s="1"/>
  <c r="W1623" i="3"/>
  <c r="AF1623" i="3" s="1"/>
  <c r="W1624" i="3"/>
  <c r="AF1624" i="3" s="1"/>
  <c r="W1625" i="3"/>
  <c r="AF1625" i="3" s="1"/>
  <c r="W1626" i="3"/>
  <c r="AF1626" i="3" s="1"/>
  <c r="W1627" i="3"/>
  <c r="AF1627" i="3" s="1"/>
  <c r="W1628" i="3"/>
  <c r="AF1628" i="3" s="1"/>
  <c r="W1629" i="3"/>
  <c r="AF1629" i="3" s="1"/>
  <c r="W1630" i="3"/>
  <c r="AF1630" i="3" s="1"/>
  <c r="W1631" i="3"/>
  <c r="AF1631" i="3" s="1"/>
  <c r="AG1631" i="3" s="1"/>
  <c r="W1632" i="3"/>
  <c r="AF1632" i="3" s="1"/>
  <c r="AG1632" i="3" s="1"/>
  <c r="W1633" i="3"/>
  <c r="AF1633" i="3" s="1"/>
  <c r="AG1633" i="3" s="1"/>
  <c r="W1634" i="3"/>
  <c r="AF1634" i="3" s="1"/>
  <c r="AG1634" i="3" s="1"/>
  <c r="W1635" i="3"/>
  <c r="AF1635" i="3" s="1"/>
  <c r="W1636" i="3"/>
  <c r="AF1636" i="3" s="1"/>
  <c r="W1637" i="3"/>
  <c r="AF1637" i="3" s="1"/>
  <c r="W1638" i="3"/>
  <c r="AF1638" i="3" s="1"/>
  <c r="W1639" i="3"/>
  <c r="AF1639" i="3" s="1"/>
  <c r="W1640" i="3"/>
  <c r="AF1640" i="3" s="1"/>
  <c r="W1641" i="3"/>
  <c r="AF1641" i="3" s="1"/>
  <c r="W1642" i="3"/>
  <c r="AF1642" i="3" s="1"/>
  <c r="W1643" i="3"/>
  <c r="AF1643" i="3" s="1"/>
  <c r="W1644" i="3"/>
  <c r="AF1644" i="3" s="1"/>
  <c r="W1645" i="3"/>
  <c r="AF1645" i="3" s="1"/>
  <c r="W1646" i="3"/>
  <c r="AF1646" i="3" s="1"/>
  <c r="W1647" i="3"/>
  <c r="AF1647" i="3" s="1"/>
  <c r="AG1647" i="3" s="1"/>
  <c r="W1648" i="3"/>
  <c r="AF1648" i="3" s="1"/>
  <c r="AG1648" i="3" s="1"/>
  <c r="W1649" i="3"/>
  <c r="AF1649" i="3" s="1"/>
  <c r="AG1649" i="3" s="1"/>
  <c r="W1650" i="3"/>
  <c r="AF1650" i="3" s="1"/>
  <c r="AG1650" i="3" s="1"/>
  <c r="W1651" i="3"/>
  <c r="AF1651" i="3" s="1"/>
  <c r="W1652" i="3"/>
  <c r="AF1652" i="3" s="1"/>
  <c r="W1653" i="3"/>
  <c r="AF1653" i="3" s="1"/>
  <c r="W1654" i="3"/>
  <c r="AF1654" i="3" s="1"/>
  <c r="W1655" i="3"/>
  <c r="AF1655" i="3" s="1"/>
  <c r="W1656" i="3"/>
  <c r="AF1656" i="3" s="1"/>
  <c r="W1657" i="3"/>
  <c r="AF1657" i="3" s="1"/>
  <c r="W1658" i="3"/>
  <c r="AF1658" i="3" s="1"/>
  <c r="W1659" i="3"/>
  <c r="AF1659" i="3" s="1"/>
  <c r="W1660" i="3"/>
  <c r="AF1660" i="3" s="1"/>
  <c r="W1661" i="3"/>
  <c r="AF1661" i="3" s="1"/>
  <c r="W1662" i="3"/>
  <c r="AF1662" i="3" s="1"/>
  <c r="W1663" i="3"/>
  <c r="AF1663" i="3" s="1"/>
  <c r="AG1663" i="3" s="1"/>
  <c r="W1664" i="3"/>
  <c r="AF1664" i="3" s="1"/>
  <c r="AG1664" i="3" s="1"/>
  <c r="W1665" i="3"/>
  <c r="AF1665" i="3" s="1"/>
  <c r="AG1665" i="3" s="1"/>
  <c r="W1666" i="3"/>
  <c r="AF1666" i="3" s="1"/>
  <c r="AG1666" i="3" s="1"/>
  <c r="W1667" i="3"/>
  <c r="AF1667" i="3" s="1"/>
  <c r="W1668" i="3"/>
  <c r="AF1668" i="3" s="1"/>
  <c r="W1669" i="3"/>
  <c r="AF1669" i="3" s="1"/>
  <c r="W1670" i="3"/>
  <c r="AF1670" i="3" s="1"/>
  <c r="W1671" i="3"/>
  <c r="AF1671" i="3" s="1"/>
  <c r="W1672" i="3"/>
  <c r="AF1672" i="3" s="1"/>
  <c r="W1673" i="3"/>
  <c r="AF1673" i="3" s="1"/>
  <c r="W1674" i="3"/>
  <c r="AF1674" i="3" s="1"/>
  <c r="W1675" i="3"/>
  <c r="AF1675" i="3" s="1"/>
  <c r="W1676" i="3"/>
  <c r="AF1676" i="3" s="1"/>
  <c r="W1677" i="3"/>
  <c r="AF1677" i="3" s="1"/>
  <c r="W1678" i="3"/>
  <c r="AF1678" i="3" s="1"/>
  <c r="W1679" i="3"/>
  <c r="AF1679" i="3" s="1"/>
  <c r="AG1679" i="3" s="1"/>
  <c r="W1680" i="3"/>
  <c r="AF1680" i="3" s="1"/>
  <c r="AG1680" i="3" s="1"/>
  <c r="W1681" i="3"/>
  <c r="AF1681" i="3" s="1"/>
  <c r="AG1681" i="3" s="1"/>
  <c r="W1682" i="3"/>
  <c r="AF1682" i="3" s="1"/>
  <c r="AG1682" i="3" s="1"/>
  <c r="W1683" i="3"/>
  <c r="AF1683" i="3" s="1"/>
  <c r="W1684" i="3"/>
  <c r="AF1684" i="3" s="1"/>
  <c r="W1685" i="3"/>
  <c r="AF1685" i="3" s="1"/>
  <c r="W1686" i="3"/>
  <c r="AF1686" i="3" s="1"/>
  <c r="W1687" i="3"/>
  <c r="AF1687" i="3" s="1"/>
  <c r="W1688" i="3"/>
  <c r="AF1688" i="3" s="1"/>
  <c r="W1689" i="3"/>
  <c r="AF1689" i="3" s="1"/>
  <c r="W1690" i="3"/>
  <c r="AF1690" i="3" s="1"/>
  <c r="W1691" i="3"/>
  <c r="AF1691" i="3" s="1"/>
  <c r="W1692" i="3"/>
  <c r="AF1692" i="3" s="1"/>
  <c r="W1693" i="3"/>
  <c r="AF1693" i="3" s="1"/>
  <c r="W1694" i="3"/>
  <c r="AF1694" i="3" s="1"/>
  <c r="W1695" i="3"/>
  <c r="AF1695" i="3" s="1"/>
  <c r="AG1695" i="3" s="1"/>
  <c r="W1696" i="3"/>
  <c r="AF1696" i="3" s="1"/>
  <c r="AG1696" i="3" s="1"/>
  <c r="W1697" i="3"/>
  <c r="AF1697" i="3" s="1"/>
  <c r="AG1697" i="3" s="1"/>
  <c r="W1698" i="3"/>
  <c r="AF1698" i="3" s="1"/>
  <c r="AG1698" i="3" s="1"/>
  <c r="W1699" i="3"/>
  <c r="AF1699" i="3" s="1"/>
  <c r="W1700" i="3"/>
  <c r="AF1700" i="3" s="1"/>
  <c r="W1701" i="3"/>
  <c r="AF1701" i="3" s="1"/>
  <c r="W1702" i="3"/>
  <c r="AF1702" i="3" s="1"/>
  <c r="W1703" i="3"/>
  <c r="AF1703" i="3" s="1"/>
  <c r="W1704" i="3"/>
  <c r="AF1704" i="3" s="1"/>
  <c r="W1705" i="3"/>
  <c r="AF1705" i="3" s="1"/>
  <c r="W1706" i="3"/>
  <c r="AF1706" i="3" s="1"/>
  <c r="W1707" i="3"/>
  <c r="AF1707" i="3" s="1"/>
  <c r="W1708" i="3"/>
  <c r="AF1708" i="3" s="1"/>
  <c r="W1709" i="3"/>
  <c r="AF1709" i="3" s="1"/>
  <c r="W1710" i="3"/>
  <c r="AF1710" i="3" s="1"/>
  <c r="W1711" i="3"/>
  <c r="AF1711" i="3" s="1"/>
  <c r="AG1711" i="3" s="1"/>
  <c r="W1712" i="3"/>
  <c r="AF1712" i="3" s="1"/>
  <c r="AG1712" i="3" s="1"/>
  <c r="W1713" i="3"/>
  <c r="AF1713" i="3" s="1"/>
  <c r="AG1713" i="3" s="1"/>
  <c r="W1714" i="3"/>
  <c r="AF1714" i="3" s="1"/>
  <c r="AG1714" i="3" s="1"/>
  <c r="W1715" i="3"/>
  <c r="AF1715" i="3" s="1"/>
  <c r="W1716" i="3"/>
  <c r="AF1716" i="3" s="1"/>
  <c r="W1717" i="3"/>
  <c r="AF1717" i="3" s="1"/>
  <c r="W1718" i="3"/>
  <c r="AF1718" i="3" s="1"/>
  <c r="W1719" i="3"/>
  <c r="AF1719" i="3" s="1"/>
  <c r="W1720" i="3"/>
  <c r="AF1720" i="3" s="1"/>
  <c r="W1721" i="3"/>
  <c r="AF1721" i="3" s="1"/>
  <c r="W1722" i="3"/>
  <c r="AF1722" i="3" s="1"/>
  <c r="W1723" i="3"/>
  <c r="AF1723" i="3" s="1"/>
  <c r="W1724" i="3"/>
  <c r="AF1724" i="3" s="1"/>
  <c r="W1725" i="3"/>
  <c r="AF1725" i="3" s="1"/>
  <c r="W1726" i="3"/>
  <c r="AF1726" i="3" s="1"/>
  <c r="W1727" i="3"/>
  <c r="AF1727" i="3" s="1"/>
  <c r="AG1727" i="3" s="1"/>
  <c r="W1728" i="3"/>
  <c r="AF1728" i="3" s="1"/>
  <c r="AG1728" i="3" s="1"/>
  <c r="W1729" i="3"/>
  <c r="AF1729" i="3" s="1"/>
  <c r="AG1729" i="3" s="1"/>
  <c r="W1730" i="3"/>
  <c r="AF1730" i="3" s="1"/>
  <c r="AG1730" i="3" s="1"/>
  <c r="W1731" i="3"/>
  <c r="AF1731" i="3" s="1"/>
  <c r="W1732" i="3"/>
  <c r="AF1732" i="3" s="1"/>
  <c r="W1733" i="3"/>
  <c r="AF1733" i="3" s="1"/>
  <c r="W1734" i="3"/>
  <c r="AF1734" i="3" s="1"/>
  <c r="W1735" i="3"/>
  <c r="AF1735" i="3" s="1"/>
  <c r="W1736" i="3"/>
  <c r="AF1736" i="3" s="1"/>
  <c r="W1737" i="3"/>
  <c r="AF1737" i="3" s="1"/>
  <c r="W1738" i="3"/>
  <c r="AF1738" i="3" s="1"/>
  <c r="W1739" i="3"/>
  <c r="AF1739" i="3" s="1"/>
  <c r="W1740" i="3"/>
  <c r="AF1740" i="3" s="1"/>
  <c r="W1741" i="3"/>
  <c r="AF1741" i="3" s="1"/>
  <c r="W1742" i="3"/>
  <c r="AF1742" i="3" s="1"/>
  <c r="W1743" i="3"/>
  <c r="AF1743" i="3" s="1"/>
  <c r="AG1743" i="3" s="1"/>
  <c r="W1744" i="3"/>
  <c r="AF1744" i="3" s="1"/>
  <c r="AG1744" i="3" s="1"/>
  <c r="W1745" i="3"/>
  <c r="AF1745" i="3" s="1"/>
  <c r="AG1745" i="3" s="1"/>
  <c r="W1746" i="3"/>
  <c r="AF1746" i="3" s="1"/>
  <c r="AG1746" i="3" s="1"/>
  <c r="W1747" i="3"/>
  <c r="AF1747" i="3" s="1"/>
  <c r="W1748" i="3"/>
  <c r="AF1748" i="3" s="1"/>
  <c r="W1749" i="3"/>
  <c r="AF1749" i="3" s="1"/>
  <c r="W1750" i="3"/>
  <c r="AF1750" i="3" s="1"/>
  <c r="W1751" i="3"/>
  <c r="AF1751" i="3" s="1"/>
  <c r="W1752" i="3"/>
  <c r="AF1752" i="3" s="1"/>
  <c r="W1753" i="3"/>
  <c r="AF1753" i="3" s="1"/>
  <c r="W1754" i="3"/>
  <c r="AF1754" i="3" s="1"/>
  <c r="W1755" i="3"/>
  <c r="AF1755" i="3" s="1"/>
  <c r="W1756" i="3"/>
  <c r="AF1756" i="3" s="1"/>
  <c r="W1757" i="3"/>
  <c r="AF1757" i="3" s="1"/>
  <c r="W1758" i="3"/>
  <c r="AF1758" i="3" s="1"/>
  <c r="W1759" i="3"/>
  <c r="AF1759" i="3" s="1"/>
  <c r="AG1759" i="3" s="1"/>
  <c r="W1760" i="3"/>
  <c r="AF1760" i="3" s="1"/>
  <c r="AG1760" i="3" s="1"/>
  <c r="W1761" i="3"/>
  <c r="AF1761" i="3" s="1"/>
  <c r="AG1761" i="3" s="1"/>
  <c r="W1762" i="3"/>
  <c r="AF1762" i="3" s="1"/>
  <c r="AG1762" i="3" s="1"/>
  <c r="W1763" i="3"/>
  <c r="AF1763" i="3" s="1"/>
  <c r="W1764" i="3"/>
  <c r="AF1764" i="3" s="1"/>
  <c r="W1765" i="3"/>
  <c r="AF1765" i="3" s="1"/>
  <c r="W1766" i="3"/>
  <c r="AF1766" i="3" s="1"/>
  <c r="W1767" i="3"/>
  <c r="AF1767" i="3" s="1"/>
  <c r="W1768" i="3"/>
  <c r="AF1768" i="3" s="1"/>
  <c r="W1769" i="3"/>
  <c r="AF1769" i="3" s="1"/>
  <c r="W1770" i="3"/>
  <c r="AF1770" i="3" s="1"/>
  <c r="W1771" i="3"/>
  <c r="AF1771" i="3" s="1"/>
  <c r="W1772" i="3"/>
  <c r="AF1772" i="3" s="1"/>
  <c r="W1773" i="3"/>
  <c r="AF1773" i="3" s="1"/>
  <c r="W1774" i="3"/>
  <c r="AF1774" i="3" s="1"/>
  <c r="W1775" i="3"/>
  <c r="AF1775" i="3" s="1"/>
  <c r="AG1775" i="3" s="1"/>
  <c r="W1776" i="3"/>
  <c r="AF1776" i="3" s="1"/>
  <c r="AG1776" i="3" s="1"/>
  <c r="W1777" i="3"/>
  <c r="AF1777" i="3" s="1"/>
  <c r="AG1777" i="3" s="1"/>
  <c r="W1778" i="3"/>
  <c r="AF1778" i="3" s="1"/>
  <c r="AG1778" i="3" s="1"/>
  <c r="W1779" i="3"/>
  <c r="AF1779" i="3" s="1"/>
  <c r="W1780" i="3"/>
  <c r="AF1780" i="3" s="1"/>
  <c r="W1781" i="3"/>
  <c r="AF1781" i="3" s="1"/>
  <c r="W1782" i="3"/>
  <c r="AF1782" i="3" s="1"/>
  <c r="W1783" i="3"/>
  <c r="AF1783" i="3" s="1"/>
  <c r="W1784" i="3"/>
  <c r="AF1784" i="3" s="1"/>
  <c r="W1785" i="3"/>
  <c r="AF1785" i="3" s="1"/>
  <c r="W1786" i="3"/>
  <c r="AF1786" i="3" s="1"/>
  <c r="W1787" i="3"/>
  <c r="AF1787" i="3" s="1"/>
  <c r="W1788" i="3"/>
  <c r="AF1788" i="3" s="1"/>
  <c r="W1789" i="3"/>
  <c r="AF1789" i="3" s="1"/>
  <c r="W1790" i="3"/>
  <c r="AF1790" i="3" s="1"/>
  <c r="W1791" i="3"/>
  <c r="AF1791" i="3" s="1"/>
  <c r="AG1791" i="3" s="1"/>
  <c r="W1792" i="3"/>
  <c r="AF1792" i="3" s="1"/>
  <c r="AG1792" i="3" s="1"/>
  <c r="W1793" i="3"/>
  <c r="AF1793" i="3" s="1"/>
  <c r="AG1793" i="3" s="1"/>
  <c r="W1794" i="3"/>
  <c r="AF1794" i="3" s="1"/>
  <c r="AG1794" i="3" s="1"/>
  <c r="W1795" i="3"/>
  <c r="AF1795" i="3" s="1"/>
  <c r="W1796" i="3"/>
  <c r="AF1796" i="3" s="1"/>
  <c r="W1797" i="3"/>
  <c r="AF1797" i="3" s="1"/>
  <c r="W1798" i="3"/>
  <c r="AF1798" i="3" s="1"/>
  <c r="W1799" i="3"/>
  <c r="AF1799" i="3" s="1"/>
  <c r="W1800" i="3"/>
  <c r="AF1800" i="3" s="1"/>
  <c r="W1801" i="3"/>
  <c r="AF1801" i="3" s="1"/>
  <c r="W1802" i="3"/>
  <c r="AF1802" i="3" s="1"/>
  <c r="W1803" i="3"/>
  <c r="AF1803" i="3" s="1"/>
  <c r="W1804" i="3"/>
  <c r="AF1804" i="3" s="1"/>
  <c r="W1805" i="3"/>
  <c r="AF1805" i="3" s="1"/>
  <c r="W1806" i="3"/>
  <c r="AF1806" i="3" s="1"/>
  <c r="W1807" i="3"/>
  <c r="AF1807" i="3" s="1"/>
  <c r="AG1807" i="3" s="1"/>
  <c r="W1808" i="3"/>
  <c r="AF1808" i="3" s="1"/>
  <c r="AG1808" i="3" s="1"/>
  <c r="W1809" i="3"/>
  <c r="AF1809" i="3" s="1"/>
  <c r="AG1809" i="3" s="1"/>
  <c r="W1810" i="3"/>
  <c r="AF1810" i="3" s="1"/>
  <c r="AG1810" i="3" s="1"/>
  <c r="W1811" i="3"/>
  <c r="AF1811" i="3" s="1"/>
  <c r="W1812" i="3"/>
  <c r="AF1812" i="3" s="1"/>
  <c r="W1813" i="3"/>
  <c r="AF1813" i="3" s="1"/>
  <c r="W1814" i="3"/>
  <c r="AF1814" i="3" s="1"/>
  <c r="W1815" i="3"/>
  <c r="AF1815" i="3" s="1"/>
  <c r="W1816" i="3"/>
  <c r="AF1816" i="3" s="1"/>
  <c r="W1817" i="3"/>
  <c r="AF1817" i="3" s="1"/>
  <c r="W1818" i="3"/>
  <c r="AF1818" i="3" s="1"/>
  <c r="W1819" i="3"/>
  <c r="AF1819" i="3" s="1"/>
  <c r="W1820" i="3"/>
  <c r="AF1820" i="3" s="1"/>
  <c r="W1821" i="3"/>
  <c r="AF1821" i="3" s="1"/>
  <c r="W1822" i="3"/>
  <c r="AF1822" i="3" s="1"/>
  <c r="W1823" i="3"/>
  <c r="AF1823" i="3" s="1"/>
  <c r="AG1823" i="3" s="1"/>
  <c r="W1824" i="3"/>
  <c r="AF1824" i="3" s="1"/>
  <c r="AG1824" i="3" s="1"/>
  <c r="W1825" i="3"/>
  <c r="AF1825" i="3" s="1"/>
  <c r="AG1825" i="3" s="1"/>
  <c r="W1826" i="3"/>
  <c r="AF1826" i="3" s="1"/>
  <c r="AG1826" i="3" s="1"/>
  <c r="W1827" i="3"/>
  <c r="AF1827" i="3" s="1"/>
  <c r="W1828" i="3"/>
  <c r="AF1828" i="3" s="1"/>
  <c r="W1829" i="3"/>
  <c r="AF1829" i="3" s="1"/>
  <c r="W1830" i="3"/>
  <c r="AF1830" i="3" s="1"/>
  <c r="W1831" i="3"/>
  <c r="AF1831" i="3" s="1"/>
  <c r="W1832" i="3"/>
  <c r="AF1832" i="3" s="1"/>
  <c r="W1833" i="3"/>
  <c r="AF1833" i="3" s="1"/>
  <c r="W1834" i="3"/>
  <c r="AF1834" i="3" s="1"/>
  <c r="W1835" i="3"/>
  <c r="AF1835" i="3" s="1"/>
  <c r="W1836" i="3"/>
  <c r="AF1836" i="3" s="1"/>
  <c r="W1837" i="3"/>
  <c r="AF1837" i="3" s="1"/>
  <c r="W1838" i="3"/>
  <c r="AF1838" i="3" s="1"/>
  <c r="W1839" i="3"/>
  <c r="AF1839" i="3" s="1"/>
  <c r="AG1839" i="3" s="1"/>
  <c r="W1840" i="3"/>
  <c r="AF1840" i="3" s="1"/>
  <c r="AG1840" i="3" s="1"/>
  <c r="W1841" i="3"/>
  <c r="AF1841" i="3" s="1"/>
  <c r="AG1841" i="3" s="1"/>
  <c r="W1842" i="3"/>
  <c r="AF1842" i="3" s="1"/>
  <c r="AG1842" i="3" s="1"/>
  <c r="W1843" i="3"/>
  <c r="AF1843" i="3" s="1"/>
  <c r="W1844" i="3"/>
  <c r="AF1844" i="3" s="1"/>
  <c r="W1845" i="3"/>
  <c r="AF1845" i="3" s="1"/>
  <c r="W1846" i="3"/>
  <c r="AF1846" i="3" s="1"/>
  <c r="W1847" i="3"/>
  <c r="AF1847" i="3" s="1"/>
  <c r="W1848" i="3"/>
  <c r="AF1848" i="3" s="1"/>
  <c r="W1849" i="3"/>
  <c r="AF1849" i="3" s="1"/>
  <c r="W1850" i="3"/>
  <c r="AF1850" i="3" s="1"/>
  <c r="W1851" i="3"/>
  <c r="AF1851" i="3" s="1"/>
  <c r="W1852" i="3"/>
  <c r="AF1852" i="3" s="1"/>
  <c r="W1853" i="3"/>
  <c r="AF1853" i="3" s="1"/>
  <c r="W1854" i="3"/>
  <c r="AF1854" i="3" s="1"/>
  <c r="W1855" i="3"/>
  <c r="AF1855" i="3" s="1"/>
  <c r="AG1855" i="3" s="1"/>
  <c r="W1856" i="3"/>
  <c r="AF1856" i="3" s="1"/>
  <c r="AG1856" i="3" s="1"/>
  <c r="W1857" i="3"/>
  <c r="AF1857" i="3" s="1"/>
  <c r="AG1857" i="3" s="1"/>
  <c r="W1858" i="3"/>
  <c r="AF1858" i="3" s="1"/>
  <c r="AG1858" i="3" s="1"/>
  <c r="W1859" i="3"/>
  <c r="AF1859" i="3" s="1"/>
  <c r="W1860" i="3"/>
  <c r="AF1860" i="3" s="1"/>
  <c r="W1861" i="3"/>
  <c r="AF1861" i="3" s="1"/>
  <c r="W1862" i="3"/>
  <c r="AF1862" i="3" s="1"/>
  <c r="W1863" i="3"/>
  <c r="AF1863" i="3" s="1"/>
  <c r="W1864" i="3"/>
  <c r="AF1864" i="3" s="1"/>
  <c r="W1865" i="3"/>
  <c r="AF1865" i="3" s="1"/>
  <c r="W1866" i="3"/>
  <c r="AF1866" i="3" s="1"/>
  <c r="W1867" i="3"/>
  <c r="AF1867" i="3" s="1"/>
  <c r="W1868" i="3"/>
  <c r="AF1868" i="3" s="1"/>
  <c r="W1869" i="3"/>
  <c r="AF1869" i="3" s="1"/>
  <c r="W1870" i="3"/>
  <c r="AF1870" i="3" s="1"/>
  <c r="W1871" i="3"/>
  <c r="AF1871" i="3" s="1"/>
  <c r="AG1871" i="3" s="1"/>
  <c r="W1872" i="3"/>
  <c r="AF1872" i="3" s="1"/>
  <c r="AG1872" i="3" s="1"/>
  <c r="W1873" i="3"/>
  <c r="AF1873" i="3" s="1"/>
  <c r="AG1873" i="3" s="1"/>
  <c r="W1874" i="3"/>
  <c r="AF1874" i="3" s="1"/>
  <c r="AG1874" i="3" s="1"/>
  <c r="W1875" i="3"/>
  <c r="AF1875" i="3" s="1"/>
  <c r="W1876" i="3"/>
  <c r="AF1876" i="3" s="1"/>
  <c r="W1877" i="3"/>
  <c r="AF1877" i="3" s="1"/>
  <c r="W1878" i="3"/>
  <c r="AF1878" i="3" s="1"/>
  <c r="W1879" i="3"/>
  <c r="AF1879" i="3" s="1"/>
  <c r="W1880" i="3"/>
  <c r="AF1880" i="3" s="1"/>
  <c r="W1881" i="3"/>
  <c r="AF1881" i="3" s="1"/>
  <c r="W1882" i="3"/>
  <c r="AF1882" i="3" s="1"/>
  <c r="W1883" i="3"/>
  <c r="AF1883" i="3" s="1"/>
  <c r="W1884" i="3"/>
  <c r="AF1884" i="3" s="1"/>
  <c r="W1885" i="3"/>
  <c r="AF1885" i="3" s="1"/>
  <c r="W1886" i="3"/>
  <c r="AF1886" i="3" s="1"/>
  <c r="W1887" i="3"/>
  <c r="AF1887" i="3" s="1"/>
  <c r="AG1887" i="3" s="1"/>
  <c r="W1888" i="3"/>
  <c r="AF1888" i="3" s="1"/>
  <c r="AG1888" i="3" s="1"/>
  <c r="W1889" i="3"/>
  <c r="AF1889" i="3" s="1"/>
  <c r="AG1889" i="3" s="1"/>
  <c r="W1890" i="3"/>
  <c r="AF1890" i="3" s="1"/>
  <c r="AG1890" i="3" s="1"/>
  <c r="W1891" i="3"/>
  <c r="AF1891" i="3" s="1"/>
  <c r="W1892" i="3"/>
  <c r="AF1892" i="3" s="1"/>
  <c r="W1893" i="3"/>
  <c r="AF1893" i="3" s="1"/>
  <c r="W1894" i="3"/>
  <c r="AF1894" i="3" s="1"/>
  <c r="W1895" i="3"/>
  <c r="AF1895" i="3" s="1"/>
  <c r="W1896" i="3"/>
  <c r="AF1896" i="3" s="1"/>
  <c r="W1897" i="3"/>
  <c r="AF1897" i="3" s="1"/>
  <c r="W1898" i="3"/>
  <c r="AF1898" i="3" s="1"/>
  <c r="W1899" i="3"/>
  <c r="AF1899" i="3" s="1"/>
  <c r="W1900" i="3"/>
  <c r="AF1900" i="3" s="1"/>
  <c r="W1901" i="3"/>
  <c r="AF1901" i="3" s="1"/>
  <c r="W1902" i="3"/>
  <c r="AF1902" i="3" s="1"/>
  <c r="W1903" i="3"/>
  <c r="AF1903" i="3" s="1"/>
  <c r="AG1903" i="3" s="1"/>
  <c r="W1904" i="3"/>
  <c r="AF1904" i="3" s="1"/>
  <c r="AG1904" i="3" s="1"/>
  <c r="W1905" i="3"/>
  <c r="AF1905" i="3" s="1"/>
  <c r="AG1905" i="3" s="1"/>
  <c r="W1906" i="3"/>
  <c r="AF1906" i="3" s="1"/>
  <c r="AG1906" i="3" s="1"/>
  <c r="W1907" i="3"/>
  <c r="AF1907" i="3" s="1"/>
  <c r="W1908" i="3"/>
  <c r="AF1908" i="3" s="1"/>
  <c r="W1909" i="3"/>
  <c r="AF1909" i="3" s="1"/>
  <c r="W1910" i="3"/>
  <c r="AF1910" i="3" s="1"/>
  <c r="W1911" i="3"/>
  <c r="AF1911" i="3" s="1"/>
  <c r="W1912" i="3"/>
  <c r="AF1912" i="3" s="1"/>
  <c r="W1913" i="3"/>
  <c r="AF1913" i="3" s="1"/>
  <c r="W1914" i="3"/>
  <c r="AF1914" i="3" s="1"/>
  <c r="W1915" i="3"/>
  <c r="AF1915" i="3" s="1"/>
  <c r="W1916" i="3"/>
  <c r="AF1916" i="3" s="1"/>
  <c r="W1917" i="3"/>
  <c r="AF1917" i="3" s="1"/>
  <c r="W1918" i="3"/>
  <c r="AF1918" i="3" s="1"/>
  <c r="W1919" i="3"/>
  <c r="AF1919" i="3" s="1"/>
  <c r="AG1919" i="3" s="1"/>
  <c r="W1920" i="3"/>
  <c r="AF1920" i="3" s="1"/>
  <c r="AG1920" i="3" s="1"/>
  <c r="W1921" i="3"/>
  <c r="AF1921" i="3" s="1"/>
  <c r="AG1921" i="3" s="1"/>
  <c r="W1922" i="3"/>
  <c r="AF1922" i="3" s="1"/>
  <c r="AG1922" i="3" s="1"/>
  <c r="W1923" i="3"/>
  <c r="AF1923" i="3" s="1"/>
  <c r="W1924" i="3"/>
  <c r="AF1924" i="3" s="1"/>
  <c r="W1925" i="3"/>
  <c r="AF1925" i="3" s="1"/>
  <c r="W1926" i="3"/>
  <c r="AF1926" i="3" s="1"/>
  <c r="W1927" i="3"/>
  <c r="AF1927" i="3" s="1"/>
  <c r="W1928" i="3"/>
  <c r="AF1928" i="3" s="1"/>
  <c r="W1929" i="3"/>
  <c r="AF1929" i="3" s="1"/>
  <c r="W1930" i="3"/>
  <c r="AF1930" i="3" s="1"/>
  <c r="W1931" i="3"/>
  <c r="AF1931" i="3" s="1"/>
  <c r="W1932" i="3"/>
  <c r="AF1932" i="3" s="1"/>
  <c r="W1933" i="3"/>
  <c r="AF1933" i="3" s="1"/>
  <c r="W1934" i="3"/>
  <c r="AF1934" i="3" s="1"/>
  <c r="W1935" i="3"/>
  <c r="AF1935" i="3" s="1"/>
  <c r="AG1935" i="3" s="1"/>
  <c r="W1936" i="3"/>
  <c r="AF1936" i="3" s="1"/>
  <c r="AG1936" i="3" s="1"/>
  <c r="W47" i="3"/>
  <c r="AF47" i="3" s="1"/>
  <c r="AG47" i="3" s="1"/>
  <c r="W48" i="3"/>
  <c r="AF48" i="3" s="1"/>
  <c r="W49" i="3"/>
  <c r="AF49" i="3" s="1"/>
  <c r="W50" i="3"/>
  <c r="AF50" i="3" s="1"/>
  <c r="W51" i="3"/>
  <c r="AF51" i="3" s="1"/>
  <c r="W52" i="3"/>
  <c r="AF52" i="3" s="1"/>
  <c r="W53" i="3"/>
  <c r="AF53" i="3" s="1"/>
  <c r="W54" i="3"/>
  <c r="AF54" i="3" s="1"/>
  <c r="W55" i="3"/>
  <c r="AF55" i="3" s="1"/>
  <c r="W56" i="3"/>
  <c r="AF56" i="3" s="1"/>
  <c r="W57" i="3"/>
  <c r="AF57" i="3" s="1"/>
  <c r="W58" i="3"/>
  <c r="AF58" i="3" s="1"/>
  <c r="W59" i="3"/>
  <c r="AF59" i="3" s="1"/>
  <c r="W60" i="3"/>
  <c r="AF60" i="3" s="1"/>
  <c r="AG60" i="3" s="1"/>
  <c r="W61" i="3"/>
  <c r="AF61" i="3" s="1"/>
  <c r="AG61" i="3" s="1"/>
  <c r="W62" i="3"/>
  <c r="AF62" i="3" s="1"/>
  <c r="AG62" i="3" s="1"/>
  <c r="W63" i="3"/>
  <c r="AF63" i="3" s="1"/>
  <c r="AG63" i="3" s="1"/>
  <c r="W64" i="3"/>
  <c r="AF64" i="3" s="1"/>
  <c r="W65" i="3"/>
  <c r="AF65" i="3" s="1"/>
  <c r="W66" i="3"/>
  <c r="AF66" i="3" s="1"/>
  <c r="W67" i="3"/>
  <c r="AF67" i="3" s="1"/>
  <c r="W68" i="3"/>
  <c r="AF68" i="3" s="1"/>
  <c r="W69" i="3"/>
  <c r="AF69" i="3" s="1"/>
  <c r="W70" i="3"/>
  <c r="AF70" i="3" s="1"/>
  <c r="W71" i="3"/>
  <c r="AF71" i="3" s="1"/>
  <c r="W72" i="3"/>
  <c r="AF72" i="3" s="1"/>
  <c r="W73" i="3"/>
  <c r="AF73" i="3" s="1"/>
  <c r="W74" i="3"/>
  <c r="AF74" i="3" s="1"/>
  <c r="W75" i="3"/>
  <c r="AF75" i="3" s="1"/>
  <c r="W76" i="3"/>
  <c r="AF76" i="3" s="1"/>
  <c r="AG76" i="3" s="1"/>
  <c r="W77" i="3"/>
  <c r="AF77" i="3" s="1"/>
  <c r="AG77" i="3" s="1"/>
  <c r="W78" i="3"/>
  <c r="AF78" i="3" s="1"/>
  <c r="AG78" i="3" s="1"/>
  <c r="W79" i="3"/>
  <c r="AF79" i="3" s="1"/>
  <c r="AG79" i="3" s="1"/>
  <c r="W80" i="3"/>
  <c r="AF80" i="3" s="1"/>
  <c r="W81" i="3"/>
  <c r="AF81" i="3" s="1"/>
  <c r="W82" i="3"/>
  <c r="AF82" i="3" s="1"/>
  <c r="W83" i="3"/>
  <c r="AF83" i="3" s="1"/>
  <c r="W84" i="3"/>
  <c r="AF84" i="3" s="1"/>
  <c r="W85" i="3"/>
  <c r="AF85" i="3" s="1"/>
  <c r="W86" i="3"/>
  <c r="AF86" i="3" s="1"/>
  <c r="W87" i="3"/>
  <c r="AF87" i="3" s="1"/>
  <c r="W88" i="3"/>
  <c r="AF88" i="3" s="1"/>
  <c r="W89" i="3"/>
  <c r="AF89" i="3" s="1"/>
  <c r="W90" i="3"/>
  <c r="AF90" i="3" s="1"/>
  <c r="W91" i="3"/>
  <c r="AF91" i="3" s="1"/>
  <c r="W92" i="3"/>
  <c r="AF92" i="3" s="1"/>
  <c r="AG92" i="3" s="1"/>
  <c r="W93" i="3"/>
  <c r="AF93" i="3" s="1"/>
  <c r="AG93" i="3" s="1"/>
  <c r="W94" i="3"/>
  <c r="AF94" i="3" s="1"/>
  <c r="AG94" i="3" s="1"/>
  <c r="W95" i="3"/>
  <c r="AF95" i="3" s="1"/>
  <c r="AG95" i="3" s="1"/>
  <c r="W96" i="3"/>
  <c r="AF96" i="3" s="1"/>
  <c r="W97" i="3"/>
  <c r="AF97" i="3" s="1"/>
  <c r="W98" i="3"/>
  <c r="AF98" i="3" s="1"/>
  <c r="W99" i="3"/>
  <c r="AF99" i="3" s="1"/>
  <c r="W100" i="3"/>
  <c r="AF100" i="3" s="1"/>
  <c r="W101" i="3"/>
  <c r="AF101" i="3" s="1"/>
  <c r="W102" i="3"/>
  <c r="AF102" i="3" s="1"/>
  <c r="W103" i="3"/>
  <c r="AF103" i="3" s="1"/>
  <c r="W104" i="3"/>
  <c r="AF104" i="3" s="1"/>
  <c r="W105" i="3"/>
  <c r="AF105" i="3" s="1"/>
  <c r="W106" i="3"/>
  <c r="AF106" i="3" s="1"/>
  <c r="W107" i="3"/>
  <c r="AF107" i="3" s="1"/>
  <c r="W108" i="3"/>
  <c r="AF108" i="3" s="1"/>
  <c r="AG108" i="3" s="1"/>
  <c r="W109" i="3"/>
  <c r="AF109" i="3" s="1"/>
  <c r="AG109" i="3" s="1"/>
  <c r="W110" i="3"/>
  <c r="AF110" i="3" s="1"/>
  <c r="AG110" i="3" s="1"/>
  <c r="W111" i="3"/>
  <c r="AF111" i="3" s="1"/>
  <c r="AG111" i="3" s="1"/>
  <c r="W112" i="3"/>
  <c r="AF112" i="3" s="1"/>
  <c r="W113" i="3"/>
  <c r="AF113" i="3" s="1"/>
  <c r="W114" i="3"/>
  <c r="AF114" i="3" s="1"/>
  <c r="W115" i="3"/>
  <c r="AF115" i="3" s="1"/>
  <c r="W116" i="3"/>
  <c r="AF116" i="3" s="1"/>
  <c r="W117" i="3"/>
  <c r="AF117" i="3" s="1"/>
  <c r="W118" i="3"/>
  <c r="AF118" i="3" s="1"/>
  <c r="W119" i="3"/>
  <c r="AF119" i="3" s="1"/>
  <c r="W120" i="3"/>
  <c r="AF120" i="3" s="1"/>
  <c r="W121" i="3"/>
  <c r="AF121" i="3" s="1"/>
  <c r="W122" i="3"/>
  <c r="AF122" i="3" s="1"/>
  <c r="W123" i="3"/>
  <c r="AF123" i="3" s="1"/>
  <c r="W124" i="3"/>
  <c r="AF124" i="3" s="1"/>
  <c r="AG124" i="3" s="1"/>
  <c r="W125" i="3"/>
  <c r="AF125" i="3" s="1"/>
  <c r="AG125" i="3" s="1"/>
  <c r="W126" i="3"/>
  <c r="AF126" i="3" s="1"/>
  <c r="AG126" i="3" s="1"/>
  <c r="W36" i="3"/>
  <c r="AF36" i="3" s="1"/>
  <c r="W37" i="3"/>
  <c r="AF37" i="3" s="1"/>
  <c r="W38" i="3"/>
  <c r="AF38" i="3" s="1"/>
  <c r="W39" i="3"/>
  <c r="AF39" i="3" s="1"/>
  <c r="W40" i="3"/>
  <c r="AF40" i="3" s="1"/>
  <c r="W41" i="3"/>
  <c r="AF41" i="3" s="1"/>
  <c r="W42" i="3"/>
  <c r="AF42" i="3" s="1"/>
  <c r="W43" i="3"/>
  <c r="AF43" i="3" s="1"/>
  <c r="W44" i="3"/>
  <c r="AF44" i="3" s="1"/>
  <c r="AG44" i="3" s="1"/>
  <c r="W45" i="3"/>
  <c r="AF45" i="3" s="1"/>
  <c r="W46" i="3"/>
  <c r="AF46" i="3" s="1"/>
  <c r="W25" i="3"/>
  <c r="AF25" i="3" s="1"/>
  <c r="W26" i="3"/>
  <c r="AF26" i="3" s="1"/>
  <c r="W27" i="3"/>
  <c r="AF27" i="3" s="1"/>
  <c r="W28" i="3"/>
  <c r="AF28" i="3" s="1"/>
  <c r="AG28" i="3" s="1"/>
  <c r="W29" i="3"/>
  <c r="AF29" i="3" s="1"/>
  <c r="AG29" i="3" s="1"/>
  <c r="W30" i="3"/>
  <c r="AF30" i="3" s="1"/>
  <c r="AG30" i="3" s="1"/>
  <c r="W31" i="3"/>
  <c r="AF31" i="3" s="1"/>
  <c r="W32" i="3"/>
  <c r="AF32" i="3" s="1"/>
  <c r="W33" i="3"/>
  <c r="AF33" i="3" s="1"/>
  <c r="W34" i="3"/>
  <c r="AF34" i="3" s="1"/>
  <c r="W35" i="3"/>
  <c r="AF35" i="3" s="1"/>
  <c r="W5" i="3"/>
  <c r="AF5" i="3" s="1"/>
  <c r="W6" i="3"/>
  <c r="AF6" i="3" s="1"/>
  <c r="W7" i="3"/>
  <c r="AF7" i="3" s="1"/>
  <c r="W8" i="3"/>
  <c r="AF8" i="3" s="1"/>
  <c r="W9" i="3"/>
  <c r="AF9" i="3" s="1"/>
  <c r="W11" i="3"/>
  <c r="AF11" i="3" s="1"/>
  <c r="AG11" i="3" s="1"/>
  <c r="W12" i="3"/>
  <c r="AF12" i="3" s="1"/>
  <c r="AG12" i="3" s="1"/>
  <c r="W13" i="3"/>
  <c r="AF13" i="3" s="1"/>
  <c r="AG13" i="3" s="1"/>
  <c r="W14" i="3"/>
  <c r="AF14" i="3" s="1"/>
  <c r="W15" i="3"/>
  <c r="AF15" i="3" s="1"/>
  <c r="AG15" i="3" s="1"/>
  <c r="W16" i="3"/>
  <c r="AF16" i="3" s="1"/>
  <c r="AG16" i="3" s="1"/>
  <c r="W17" i="3"/>
  <c r="AF17" i="3" s="1"/>
  <c r="W18" i="3"/>
  <c r="AF18" i="3" s="1"/>
  <c r="W19" i="3"/>
  <c r="AF19" i="3" s="1"/>
  <c r="W20" i="3"/>
  <c r="AF20" i="3" s="1"/>
  <c r="W21" i="3"/>
  <c r="AF21" i="3" s="1"/>
  <c r="W22" i="3"/>
  <c r="AF22" i="3" s="1"/>
  <c r="W23" i="3"/>
  <c r="AF23" i="3" s="1"/>
  <c r="W24" i="3"/>
  <c r="AF24" i="3" s="1"/>
  <c r="V24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2" i="3"/>
  <c r="AG217" i="3" l="1"/>
  <c r="AG545" i="3"/>
  <c r="AG529" i="3"/>
  <c r="AG513" i="3"/>
  <c r="AG497" i="3"/>
  <c r="AG475" i="3"/>
  <c r="AG459" i="3"/>
  <c r="AG443" i="3"/>
  <c r="AG427" i="3"/>
  <c r="AG411" i="3"/>
  <c r="AG395" i="3"/>
  <c r="AG379" i="3"/>
  <c r="AG363" i="3"/>
  <c r="AG347" i="3"/>
  <c r="AG331" i="3"/>
  <c r="AG315" i="3"/>
  <c r="AG299" i="3"/>
  <c r="AG283" i="3"/>
  <c r="AG267" i="3"/>
  <c r="AG251" i="3"/>
  <c r="AG235" i="3"/>
  <c r="AG219" i="3"/>
  <c r="AG203" i="3"/>
  <c r="AG187" i="3"/>
  <c r="AG171" i="3"/>
  <c r="AG155" i="3"/>
  <c r="AG139" i="3"/>
  <c r="AG10" i="3"/>
  <c r="AG14" i="3"/>
  <c r="AG527" i="3"/>
  <c r="AG441" i="3"/>
  <c r="AG345" i="3"/>
  <c r="AG265" i="3"/>
  <c r="AG153" i="3"/>
  <c r="AG27" i="3"/>
  <c r="AG1934" i="3"/>
  <c r="AG1918" i="3"/>
  <c r="AG511" i="3"/>
  <c r="AG425" i="3"/>
  <c r="AG329" i="3"/>
  <c r="AG249" i="3"/>
  <c r="AG169" i="3"/>
  <c r="AG457" i="3"/>
  <c r="AG377" i="3"/>
  <c r="AG297" i="3"/>
  <c r="AG201" i="3"/>
  <c r="AG543" i="3"/>
  <c r="AG473" i="3"/>
  <c r="AG393" i="3"/>
  <c r="AG313" i="3"/>
  <c r="AG233" i="3"/>
  <c r="AG185" i="3"/>
  <c r="AG495" i="3"/>
  <c r="AG409" i="3"/>
  <c r="AG361" i="3"/>
  <c r="AG281" i="3"/>
  <c r="AG137" i="3"/>
  <c r="AG25" i="3"/>
  <c r="AG122" i="3"/>
  <c r="AG106" i="3"/>
  <c r="AG90" i="3"/>
  <c r="AG74" i="3"/>
  <c r="AG58" i="3"/>
  <c r="AG9" i="3"/>
  <c r="AG46" i="3"/>
  <c r="AG121" i="3"/>
  <c r="AG105" i="3"/>
  <c r="AG89" i="3"/>
  <c r="AG73" i="3"/>
  <c r="AG57" i="3"/>
  <c r="AG1931" i="3"/>
  <c r="AG1915" i="3"/>
  <c r="AG1899" i="3"/>
  <c r="AG1883" i="3"/>
  <c r="AG1867" i="3"/>
  <c r="AG1851" i="3"/>
  <c r="AG1835" i="3"/>
  <c r="AG1819" i="3"/>
  <c r="AG1803" i="3"/>
  <c r="AG1787" i="3"/>
  <c r="AG1771" i="3"/>
  <c r="AG1755" i="3"/>
  <c r="AG1739" i="3"/>
  <c r="AG1723" i="3"/>
  <c r="AG1707" i="3"/>
  <c r="AG1691" i="3"/>
  <c r="AG1675" i="3"/>
  <c r="AG1659" i="3"/>
  <c r="AG1643" i="3"/>
  <c r="AG1627" i="3"/>
  <c r="AG1611" i="3"/>
  <c r="AG1595" i="3"/>
  <c r="AG1579" i="3"/>
  <c r="AG1563" i="3"/>
  <c r="AG1547" i="3"/>
  <c r="AG1531" i="3"/>
  <c r="AG1515" i="3"/>
  <c r="AG1499" i="3"/>
  <c r="AG1483" i="3"/>
  <c r="AG1467" i="3"/>
  <c r="AG1451" i="3"/>
  <c r="AG1435" i="3"/>
  <c r="AG1419" i="3"/>
  <c r="AG1403" i="3"/>
  <c r="AG1387" i="3"/>
  <c r="AG1371" i="3"/>
  <c r="AG1355" i="3"/>
  <c r="AG1339" i="3"/>
  <c r="AG1323" i="3"/>
  <c r="AG1307" i="3"/>
  <c r="AG1291" i="3"/>
  <c r="AG1275" i="3"/>
  <c r="AG1259" i="3"/>
  <c r="AG1243" i="3"/>
  <c r="AG1227" i="3"/>
  <c r="AG1211" i="3"/>
  <c r="AG1195" i="3"/>
  <c r="AG1179" i="3"/>
  <c r="AG1163" i="3"/>
  <c r="AG1147" i="3"/>
  <c r="AG1131" i="3"/>
  <c r="AG1115" i="3"/>
  <c r="AG1099" i="3"/>
  <c r="AG1083" i="3"/>
  <c r="AG1067" i="3"/>
  <c r="AG1051" i="3"/>
  <c r="AG1035" i="3"/>
  <c r="AG1019" i="3"/>
  <c r="AG1003" i="3"/>
  <c r="AG987" i="3"/>
  <c r="AG971" i="3"/>
  <c r="AG955" i="3"/>
  <c r="AG939" i="3"/>
  <c r="AG923" i="3"/>
  <c r="AG907" i="3"/>
  <c r="AG891" i="3"/>
  <c r="AG875" i="3"/>
  <c r="AG859" i="3"/>
  <c r="AG843" i="3"/>
  <c r="AG827" i="3"/>
  <c r="AG811" i="3"/>
  <c r="AG795" i="3"/>
  <c r="AG779" i="3"/>
  <c r="AG763" i="3"/>
  <c r="AG747" i="3"/>
  <c r="AG731" i="3"/>
  <c r="AG715" i="3"/>
  <c r="AG699" i="3"/>
  <c r="AG683" i="3"/>
  <c r="AG667" i="3"/>
  <c r="AG651" i="3"/>
  <c r="AG635" i="3"/>
  <c r="AG619" i="3"/>
  <c r="AG603" i="3"/>
  <c r="AG587" i="3"/>
  <c r="AG571" i="3"/>
  <c r="AG1902" i="3"/>
  <c r="AG1886" i="3"/>
  <c r="AG1870" i="3"/>
  <c r="AG1854" i="3"/>
  <c r="AG1838" i="3"/>
  <c r="AG1822" i="3"/>
  <c r="AG1806" i="3"/>
  <c r="AG1790" i="3"/>
  <c r="AG1774" i="3"/>
  <c r="AG1758" i="3"/>
  <c r="AG1742" i="3"/>
  <c r="AG1726" i="3"/>
  <c r="AG1710" i="3"/>
  <c r="AG1694" i="3"/>
  <c r="AG1678" i="3"/>
  <c r="AG1662" i="3"/>
  <c r="AG1646" i="3"/>
  <c r="AG1630" i="3"/>
  <c r="AG1614" i="3"/>
  <c r="AG1598" i="3"/>
  <c r="AG1582" i="3"/>
  <c r="AG1566" i="3"/>
  <c r="AG1550" i="3"/>
  <c r="AG1534" i="3"/>
  <c r="AG1518" i="3"/>
  <c r="AG1502" i="3"/>
  <c r="AG1486" i="3"/>
  <c r="AG1470" i="3"/>
  <c r="AG1454" i="3"/>
  <c r="AG1438" i="3"/>
  <c r="AG1422" i="3"/>
  <c r="AG1406" i="3"/>
  <c r="AG1390" i="3"/>
  <c r="AG1374" i="3"/>
  <c r="AG1358" i="3"/>
  <c r="AG1342" i="3"/>
  <c r="AG1326" i="3"/>
  <c r="AG1310" i="3"/>
  <c r="AG1294" i="3"/>
  <c r="AG1278" i="3"/>
  <c r="AG1262" i="3"/>
  <c r="AG1246" i="3"/>
  <c r="AG1230" i="3"/>
  <c r="AG1214" i="3"/>
  <c r="AG1198" i="3"/>
  <c r="AG1182" i="3"/>
  <c r="AG1166" i="3"/>
  <c r="AG1150" i="3"/>
  <c r="AG1134" i="3"/>
  <c r="AG1118" i="3"/>
  <c r="AG1102" i="3"/>
  <c r="AG1086" i="3"/>
  <c r="AG1070" i="3"/>
  <c r="AG1054" i="3"/>
  <c r="AG1038" i="3"/>
  <c r="AG1022" i="3"/>
  <c r="AG1006" i="3"/>
  <c r="AG990" i="3"/>
  <c r="AG974" i="3"/>
  <c r="AG958" i="3"/>
  <c r="AG942" i="3"/>
  <c r="AG926" i="3"/>
  <c r="AG910" i="3"/>
  <c r="AG894" i="3"/>
  <c r="AG878" i="3"/>
  <c r="AG862" i="3"/>
  <c r="AG846" i="3"/>
  <c r="AG830" i="3"/>
  <c r="AG814" i="3"/>
  <c r="AG798" i="3"/>
  <c r="AG782" i="3"/>
  <c r="AG766" i="3"/>
  <c r="AG750" i="3"/>
  <c r="AG734" i="3"/>
  <c r="AG718" i="3"/>
  <c r="AG702" i="3"/>
  <c r="AG686" i="3"/>
  <c r="AG670" i="3"/>
  <c r="AG654" i="3"/>
  <c r="AG638" i="3"/>
  <c r="AG622" i="3"/>
  <c r="AG606" i="3"/>
  <c r="AG590" i="3"/>
  <c r="AG574" i="3"/>
  <c r="AG558" i="3"/>
  <c r="AG26" i="3"/>
  <c r="AG123" i="3"/>
  <c r="AG107" i="3"/>
  <c r="AG91" i="3"/>
  <c r="AG75" i="3"/>
  <c r="AG59" i="3"/>
  <c r="AG8" i="3"/>
  <c r="AG45" i="3"/>
  <c r="AG43" i="3"/>
  <c r="AG220" i="3"/>
  <c r="AG204" i="3"/>
  <c r="AG188" i="3"/>
  <c r="AG172" i="3"/>
  <c r="AG156" i="3"/>
  <c r="AG140" i="3"/>
  <c r="AG1868" i="3"/>
  <c r="AG1852" i="3"/>
  <c r="AG1836" i="3"/>
  <c r="AG1820" i="3"/>
  <c r="AG1804" i="3"/>
  <c r="AG1788" i="3"/>
  <c r="AG1772" i="3"/>
  <c r="AG1756" i="3"/>
  <c r="AG1740" i="3"/>
  <c r="AG1724" i="3"/>
  <c r="AG1708" i="3"/>
  <c r="AG1692" i="3"/>
  <c r="AG1676" i="3"/>
  <c r="AG1660" i="3"/>
  <c r="AG1644" i="3"/>
  <c r="AG1628" i="3"/>
  <c r="AG1500" i="3"/>
  <c r="AG1884" i="3"/>
  <c r="AG1612" i="3"/>
  <c r="AG1564" i="3"/>
  <c r="AG1932" i="3"/>
  <c r="AG1548" i="3"/>
  <c r="AG1900" i="3"/>
  <c r="AG1532" i="3"/>
  <c r="AG1933" i="3"/>
  <c r="AG1917" i="3"/>
  <c r="AG1901" i="3"/>
  <c r="AG1885" i="3"/>
  <c r="AG1869" i="3"/>
  <c r="AG1853" i="3"/>
  <c r="AG1837" i="3"/>
  <c r="AG1821" i="3"/>
  <c r="AG1805" i="3"/>
  <c r="AG1789" i="3"/>
  <c r="AG1773" i="3"/>
  <c r="AG1757" i="3"/>
  <c r="AG1741" i="3"/>
  <c r="AG1725" i="3"/>
  <c r="AG1709" i="3"/>
  <c r="AG1693" i="3"/>
  <c r="AG1677" i="3"/>
  <c r="AG1661" i="3"/>
  <c r="AG1645" i="3"/>
  <c r="AG1629" i="3"/>
  <c r="AG1613" i="3"/>
  <c r="AG1597" i="3"/>
  <c r="AG1581" i="3"/>
  <c r="AG1565" i="3"/>
  <c r="AG1549" i="3"/>
  <c r="AG1533" i="3"/>
  <c r="AG1517" i="3"/>
  <c r="AG1501" i="3"/>
  <c r="AG1485" i="3"/>
  <c r="AG1916" i="3"/>
  <c r="AG1516" i="3"/>
  <c r="AG1580" i="3"/>
  <c r="AG542" i="3"/>
  <c r="AG526" i="3"/>
  <c r="AG510" i="3"/>
  <c r="AG494" i="3"/>
  <c r="AG472" i="3"/>
  <c r="AG456" i="3"/>
  <c r="AG440" i="3"/>
  <c r="AG424" i="3"/>
  <c r="AG408" i="3"/>
  <c r="AG392" i="3"/>
  <c r="AG376" i="3"/>
  <c r="AG360" i="3"/>
  <c r="AG344" i="3"/>
  <c r="AG328" i="3"/>
  <c r="AG312" i="3"/>
  <c r="AG296" i="3"/>
  <c r="AG280" i="3"/>
  <c r="AG264" i="3"/>
  <c r="AG248" i="3"/>
  <c r="AG232" i="3"/>
  <c r="AG216" i="3"/>
  <c r="AG200" i="3"/>
  <c r="AG184" i="3"/>
  <c r="AG168" i="3"/>
  <c r="AG152" i="3"/>
  <c r="AG136" i="3"/>
  <c r="AG1596" i="3"/>
  <c r="AG1484" i="3"/>
  <c r="AG1468" i="3"/>
  <c r="AG1452" i="3"/>
  <c r="AG1436" i="3"/>
  <c r="AG1420" i="3"/>
  <c r="AG1404" i="3"/>
  <c r="AG1388" i="3"/>
  <c r="AG1372" i="3"/>
  <c r="AG1356" i="3"/>
  <c r="AG1340" i="3"/>
  <c r="AG1324" i="3"/>
  <c r="AG1308" i="3"/>
  <c r="AG1292" i="3"/>
  <c r="AG1276" i="3"/>
  <c r="AG1260" i="3"/>
  <c r="AG1244" i="3"/>
  <c r="AG1228" i="3"/>
  <c r="AG1212" i="3"/>
  <c r="AG1196" i="3"/>
  <c r="AG1180" i="3"/>
  <c r="AG1164" i="3"/>
  <c r="AG1148" i="3"/>
  <c r="AG1132" i="3"/>
  <c r="AG1116" i="3"/>
  <c r="AG1100" i="3"/>
  <c r="AG1084" i="3"/>
  <c r="AG1068" i="3"/>
  <c r="AG1052" i="3"/>
  <c r="AG1036" i="3"/>
  <c r="AG1020" i="3"/>
  <c r="AG1004" i="3"/>
  <c r="AG988" i="3"/>
  <c r="AG972" i="3"/>
  <c r="AG956" i="3"/>
  <c r="AG940" i="3"/>
  <c r="AG924" i="3"/>
  <c r="AG908" i="3"/>
  <c r="AG892" i="3"/>
  <c r="AG876" i="3"/>
  <c r="AG860" i="3"/>
  <c r="AG844" i="3"/>
  <c r="AG828" i="3"/>
  <c r="AG812" i="3"/>
  <c r="AG796" i="3"/>
  <c r="AG780" i="3"/>
  <c r="AG764" i="3"/>
  <c r="AG748" i="3"/>
  <c r="AG732" i="3"/>
  <c r="AG716" i="3"/>
  <c r="AG700" i="3"/>
  <c r="AG684" i="3"/>
  <c r="AG668" i="3"/>
  <c r="AG652" i="3"/>
  <c r="AG636" i="3"/>
  <c r="AG620" i="3"/>
  <c r="AG604" i="3"/>
  <c r="AG588" i="3"/>
  <c r="AG572" i="3"/>
  <c r="AG556" i="3"/>
  <c r="AG540" i="3"/>
  <c r="AG524" i="3"/>
  <c r="AG508" i="3"/>
  <c r="AG492" i="3"/>
  <c r="AG470" i="3"/>
  <c r="AG454" i="3"/>
  <c r="AG438" i="3"/>
  <c r="AG422" i="3"/>
  <c r="AG406" i="3"/>
  <c r="AG390" i="3"/>
  <c r="AG374" i="3"/>
  <c r="AG358" i="3"/>
  <c r="AG342" i="3"/>
  <c r="AG326" i="3"/>
  <c r="AG310" i="3"/>
  <c r="AG294" i="3"/>
  <c r="AG278" i="3"/>
  <c r="AG262" i="3"/>
  <c r="AG246" i="3"/>
  <c r="AG230" i="3"/>
  <c r="AG214" i="3"/>
  <c r="AG198" i="3"/>
  <c r="AG182" i="3"/>
  <c r="AG166" i="3"/>
  <c r="AG150" i="3"/>
  <c r="AG134" i="3"/>
  <c r="AG1673" i="3"/>
  <c r="AG1689" i="3"/>
  <c r="AG555" i="3"/>
  <c r="AG539" i="3"/>
  <c r="AG523" i="3"/>
  <c r="AG507" i="3"/>
  <c r="AG485" i="3"/>
  <c r="AG469" i="3"/>
  <c r="AG453" i="3"/>
  <c r="AG437" i="3"/>
  <c r="AG421" i="3"/>
  <c r="AG405" i="3"/>
  <c r="AG389" i="3"/>
  <c r="AG373" i="3"/>
  <c r="AG357" i="3"/>
  <c r="AG341" i="3"/>
  <c r="AG325" i="3"/>
  <c r="AG309" i="3"/>
  <c r="AG293" i="3"/>
  <c r="AG277" i="3"/>
  <c r="AG261" i="3"/>
  <c r="AG245" i="3"/>
  <c r="AG229" i="3"/>
  <c r="AG213" i="3"/>
  <c r="AG197" i="3"/>
  <c r="AG181" i="3"/>
  <c r="AG165" i="3"/>
  <c r="AG149" i="3"/>
  <c r="AG133" i="3"/>
  <c r="AG120" i="3"/>
  <c r="AG104" i="3"/>
  <c r="AG88" i="3"/>
  <c r="AG72" i="3"/>
  <c r="AG56" i="3"/>
  <c r="AG1930" i="3"/>
  <c r="AG1914" i="3"/>
  <c r="AG1898" i="3"/>
  <c r="AG1882" i="3"/>
  <c r="AG1866" i="3"/>
  <c r="AG1850" i="3"/>
  <c r="AG1834" i="3"/>
  <c r="AG1818" i="3"/>
  <c r="AG1802" i="3"/>
  <c r="AG1786" i="3"/>
  <c r="AG1770" i="3"/>
  <c r="AG1754" i="3"/>
  <c r="AG1738" i="3"/>
  <c r="AG1722" i="3"/>
  <c r="AG1706" i="3"/>
  <c r="AG1690" i="3"/>
  <c r="AG1674" i="3"/>
  <c r="AG1658" i="3"/>
  <c r="AG1642" i="3"/>
  <c r="AG1626" i="3"/>
  <c r="AG1610" i="3"/>
  <c r="AG1594" i="3"/>
  <c r="AG1578" i="3"/>
  <c r="AG1562" i="3"/>
  <c r="AG1546" i="3"/>
  <c r="AG1530" i="3"/>
  <c r="AG1514" i="3"/>
  <c r="AG1498" i="3"/>
  <c r="AG1482" i="3"/>
  <c r="AG1466" i="3"/>
  <c r="AG1450" i="3"/>
  <c r="AG1434" i="3"/>
  <c r="AG1418" i="3"/>
  <c r="AG1402" i="3"/>
  <c r="AG1386" i="3"/>
  <c r="AG1370" i="3"/>
  <c r="AG1354" i="3"/>
  <c r="AG1338" i="3"/>
  <c r="AG1322" i="3"/>
  <c r="AG1306" i="3"/>
  <c r="AG1290" i="3"/>
  <c r="AG1274" i="3"/>
  <c r="AG1258" i="3"/>
  <c r="AG1242" i="3"/>
  <c r="AG1226" i="3"/>
  <c r="AG1210" i="3"/>
  <c r="AG1194" i="3"/>
  <c r="AG1178" i="3"/>
  <c r="AG1162" i="3"/>
  <c r="AG1146" i="3"/>
  <c r="AG1130" i="3"/>
  <c r="AG1114" i="3"/>
  <c r="AG1098" i="3"/>
  <c r="AG1082" i="3"/>
  <c r="AG1066" i="3"/>
  <c r="AG1050" i="3"/>
  <c r="AG1034" i="3"/>
  <c r="AG1018" i="3"/>
  <c r="AG1002" i="3"/>
  <c r="AG986" i="3"/>
  <c r="AG970" i="3"/>
  <c r="AG954" i="3"/>
  <c r="AG938" i="3"/>
  <c r="AG922" i="3"/>
  <c r="AG906" i="3"/>
  <c r="AG890" i="3"/>
  <c r="AG874" i="3"/>
  <c r="AG858" i="3"/>
  <c r="AG842" i="3"/>
  <c r="AG826" i="3"/>
  <c r="AG810" i="3"/>
  <c r="AG794" i="3"/>
  <c r="AG778" i="3"/>
  <c r="AG762" i="3"/>
  <c r="AG746" i="3"/>
  <c r="AG730" i="3"/>
  <c r="AG714" i="3"/>
  <c r="AG698" i="3"/>
  <c r="AG682" i="3"/>
  <c r="AG666" i="3"/>
  <c r="AG650" i="3"/>
  <c r="AG634" i="3"/>
  <c r="AG618" i="3"/>
  <c r="AG602" i="3"/>
  <c r="AG586" i="3"/>
  <c r="AG570" i="3"/>
  <c r="AG554" i="3"/>
  <c r="AG538" i="3"/>
  <c r="AG522" i="3"/>
  <c r="AG506" i="3"/>
  <c r="AG484" i="3"/>
  <c r="AG468" i="3"/>
  <c r="AG452" i="3"/>
  <c r="AG436" i="3"/>
  <c r="AG420" i="3"/>
  <c r="AG404" i="3"/>
  <c r="AG388" i="3"/>
  <c r="AG372" i="3"/>
  <c r="AG356" i="3"/>
  <c r="AG340" i="3"/>
  <c r="AG324" i="3"/>
  <c r="AG308" i="3"/>
  <c r="AG292" i="3"/>
  <c r="AG276" i="3"/>
  <c r="AG260" i="3"/>
  <c r="AG244" i="3"/>
  <c r="AG228" i="3"/>
  <c r="AG212" i="3"/>
  <c r="AG196" i="3"/>
  <c r="AG180" i="3"/>
  <c r="AG164" i="3"/>
  <c r="AG148" i="3"/>
  <c r="AG132" i="3"/>
  <c r="AG7" i="3"/>
  <c r="AG119" i="3"/>
  <c r="AG87" i="3"/>
  <c r="AG1929" i="3"/>
  <c r="AG1913" i="3"/>
  <c r="AG1881" i="3"/>
  <c r="AG1849" i="3"/>
  <c r="AG1817" i="3"/>
  <c r="AG1785" i="3"/>
  <c r="AG1753" i="3"/>
  <c r="AG1721" i="3"/>
  <c r="AG1625" i="3"/>
  <c r="AG24" i="3"/>
  <c r="AG103" i="3"/>
  <c r="AG71" i="3"/>
  <c r="AG55" i="3"/>
  <c r="AG1897" i="3"/>
  <c r="AG1865" i="3"/>
  <c r="AG1833" i="3"/>
  <c r="AG1801" i="3"/>
  <c r="AG1769" i="3"/>
  <c r="AG1737" i="3"/>
  <c r="AG1705" i="3"/>
  <c r="AG1641" i="3"/>
  <c r="AG1657" i="3"/>
  <c r="AG36" i="3"/>
  <c r="AG1896" i="3"/>
  <c r="AG1240" i="3"/>
  <c r="AG1609" i="3"/>
  <c r="AG1593" i="3"/>
  <c r="AG1577" i="3"/>
  <c r="AG1561" i="3"/>
  <c r="AG1545" i="3"/>
  <c r="AG1529" i="3"/>
  <c r="AG1513" i="3"/>
  <c r="AG1497" i="3"/>
  <c r="AG1481" i="3"/>
  <c r="AG1465" i="3"/>
  <c r="AG1449" i="3"/>
  <c r="AG1433" i="3"/>
  <c r="AG1417" i="3"/>
  <c r="AG1401" i="3"/>
  <c r="AG1385" i="3"/>
  <c r="AG1369" i="3"/>
  <c r="AG1353" i="3"/>
  <c r="AG1337" i="3"/>
  <c r="AG1321" i="3"/>
  <c r="AG1305" i="3"/>
  <c r="AG1289" i="3"/>
  <c r="AG1273" i="3"/>
  <c r="AG1257" i="3"/>
  <c r="AG1241" i="3"/>
  <c r="AG1225" i="3"/>
  <c r="AG1209" i="3"/>
  <c r="AG1193" i="3"/>
  <c r="AG1177" i="3"/>
  <c r="AG1161" i="3"/>
  <c r="AG1145" i="3"/>
  <c r="AG1129" i="3"/>
  <c r="AG1113" i="3"/>
  <c r="AG1097" i="3"/>
  <c r="AG1081" i="3"/>
  <c r="AG1065" i="3"/>
  <c r="AG1049" i="3"/>
  <c r="AG1033" i="3"/>
  <c r="AG1017" i="3"/>
  <c r="AG1001" i="3"/>
  <c r="AG985" i="3"/>
  <c r="AG969" i="3"/>
  <c r="AG953" i="3"/>
  <c r="AG937" i="3"/>
  <c r="AG921" i="3"/>
  <c r="AG905" i="3"/>
  <c r="AG889" i="3"/>
  <c r="AG873" i="3"/>
  <c r="AG857" i="3"/>
  <c r="AG841" i="3"/>
  <c r="AG825" i="3"/>
  <c r="AG809" i="3"/>
  <c r="AG793" i="3"/>
  <c r="AG777" i="3"/>
  <c r="AG761" i="3"/>
  <c r="AG745" i="3"/>
  <c r="AG729" i="3"/>
  <c r="AG713" i="3"/>
  <c r="AG697" i="3"/>
  <c r="AG681" i="3"/>
  <c r="AG665" i="3"/>
  <c r="AG649" i="3"/>
  <c r="AG633" i="3"/>
  <c r="AG617" i="3"/>
  <c r="AG601" i="3"/>
  <c r="AG585" i="3"/>
  <c r="AG569" i="3"/>
  <c r="AG553" i="3"/>
  <c r="AG537" i="3"/>
  <c r="AG521" i="3"/>
  <c r="AG505" i="3"/>
  <c r="AG483" i="3"/>
  <c r="AG467" i="3"/>
  <c r="AG451" i="3"/>
  <c r="AG435" i="3"/>
  <c r="AG419" i="3"/>
  <c r="AG403" i="3"/>
  <c r="AG387" i="3"/>
  <c r="AG371" i="3"/>
  <c r="AG355" i="3"/>
  <c r="AG339" i="3"/>
  <c r="AG323" i="3"/>
  <c r="AG307" i="3"/>
  <c r="AG291" i="3"/>
  <c r="AG275" i="3"/>
  <c r="AG259" i="3"/>
  <c r="AG243" i="3"/>
  <c r="AG227" i="3"/>
  <c r="AG211" i="3"/>
  <c r="AG195" i="3"/>
  <c r="AG179" i="3"/>
  <c r="AG163" i="3"/>
  <c r="AG147" i="3"/>
  <c r="AG131" i="3"/>
  <c r="AG6" i="3"/>
  <c r="AG118" i="3"/>
  <c r="AG86" i="3"/>
  <c r="AG54" i="3"/>
  <c r="AG1912" i="3"/>
  <c r="AG1864" i="3"/>
  <c r="AG1832" i="3"/>
  <c r="AG1784" i="3"/>
  <c r="AG1752" i="3"/>
  <c r="AG1720" i="3"/>
  <c r="AG1704" i="3"/>
  <c r="AG1656" i="3"/>
  <c r="AG1624" i="3"/>
  <c r="AG1592" i="3"/>
  <c r="AG1544" i="3"/>
  <c r="AG1512" i="3"/>
  <c r="AG1480" i="3"/>
  <c r="AG1448" i="3"/>
  <c r="AG1400" i="3"/>
  <c r="AG1368" i="3"/>
  <c r="AG1336" i="3"/>
  <c r="AG1304" i="3"/>
  <c r="AG1256" i="3"/>
  <c r="AG1208" i="3"/>
  <c r="AG1176" i="3"/>
  <c r="AG1144" i="3"/>
  <c r="AG1112" i="3"/>
  <c r="AG1080" i="3"/>
  <c r="AG1048" i="3"/>
  <c r="AG1000" i="3"/>
  <c r="AG968" i="3"/>
  <c r="AG936" i="3"/>
  <c r="AG904" i="3"/>
  <c r="AG872" i="3"/>
  <c r="AG840" i="3"/>
  <c r="AG792" i="3"/>
  <c r="AG760" i="3"/>
  <c r="AG728" i="3"/>
  <c r="AG696" i="3"/>
  <c r="AG664" i="3"/>
  <c r="AG616" i="3"/>
  <c r="AG584" i="3"/>
  <c r="AG552" i="3"/>
  <c r="AG520" i="3"/>
  <c r="AG466" i="3"/>
  <c r="AG450" i="3"/>
  <c r="AG418" i="3"/>
  <c r="AG386" i="3"/>
  <c r="AG354" i="3"/>
  <c r="AG322" i="3"/>
  <c r="AG290" i="3"/>
  <c r="AG242" i="3"/>
  <c r="AG210" i="3"/>
  <c r="AG178" i="3"/>
  <c r="AG146" i="3"/>
  <c r="AG22" i="3"/>
  <c r="AG42" i="3"/>
  <c r="AG101" i="3"/>
  <c r="AG69" i="3"/>
  <c r="AG53" i="3"/>
  <c r="AG1911" i="3"/>
  <c r="AG1879" i="3"/>
  <c r="AG1847" i="3"/>
  <c r="AG1799" i="3"/>
  <c r="AG1719" i="3"/>
  <c r="AG1687" i="3"/>
  <c r="AG1639" i="3"/>
  <c r="AG1607" i="3"/>
  <c r="AG1559" i="3"/>
  <c r="AG1511" i="3"/>
  <c r="AG1463" i="3"/>
  <c r="AG1415" i="3"/>
  <c r="AG1383" i="3"/>
  <c r="AG1335" i="3"/>
  <c r="AG1319" i="3"/>
  <c r="AG1271" i="3"/>
  <c r="AG1223" i="3"/>
  <c r="AG23" i="3"/>
  <c r="AG102" i="3"/>
  <c r="AG70" i="3"/>
  <c r="AG1928" i="3"/>
  <c r="AG1880" i="3"/>
  <c r="AG1848" i="3"/>
  <c r="AG1816" i="3"/>
  <c r="AG1768" i="3"/>
  <c r="AG1736" i="3"/>
  <c r="AG1688" i="3"/>
  <c r="AG1640" i="3"/>
  <c r="AG1608" i="3"/>
  <c r="AG1576" i="3"/>
  <c r="AG1528" i="3"/>
  <c r="AG1496" i="3"/>
  <c r="AG1464" i="3"/>
  <c r="AG1432" i="3"/>
  <c r="AG1384" i="3"/>
  <c r="AG1352" i="3"/>
  <c r="AG1320" i="3"/>
  <c r="AG1288" i="3"/>
  <c r="AG1224" i="3"/>
  <c r="AG1192" i="3"/>
  <c r="AG1160" i="3"/>
  <c r="AG1128" i="3"/>
  <c r="AG1096" i="3"/>
  <c r="AG1064" i="3"/>
  <c r="AG1016" i="3"/>
  <c r="AG984" i="3"/>
  <c r="AG952" i="3"/>
  <c r="AG920" i="3"/>
  <c r="AG888" i="3"/>
  <c r="AG856" i="3"/>
  <c r="AG808" i="3"/>
  <c r="AG776" i="3"/>
  <c r="AG744" i="3"/>
  <c r="AG712" i="3"/>
  <c r="AG680" i="3"/>
  <c r="AG632" i="3"/>
  <c r="AG600" i="3"/>
  <c r="AG568" i="3"/>
  <c r="AG536" i="3"/>
  <c r="AG482" i="3"/>
  <c r="AG434" i="3"/>
  <c r="AG402" i="3"/>
  <c r="AG370" i="3"/>
  <c r="AG338" i="3"/>
  <c r="AG306" i="3"/>
  <c r="AG258" i="3"/>
  <c r="AG226" i="3"/>
  <c r="AG194" i="3"/>
  <c r="AG162" i="3"/>
  <c r="AG130" i="3"/>
  <c r="AG5" i="3"/>
  <c r="AG117" i="3"/>
  <c r="AG85" i="3"/>
  <c r="AG1927" i="3"/>
  <c r="AG1895" i="3"/>
  <c r="AG1863" i="3"/>
  <c r="AG1815" i="3"/>
  <c r="AG1783" i="3"/>
  <c r="AG1767" i="3"/>
  <c r="AG1703" i="3"/>
  <c r="AG1655" i="3"/>
  <c r="AG1623" i="3"/>
  <c r="AG1575" i="3"/>
  <c r="AG1527" i="3"/>
  <c r="AG1479" i="3"/>
  <c r="AG1431" i="3"/>
  <c r="AG1399" i="3"/>
  <c r="AG1351" i="3"/>
  <c r="AG1303" i="3"/>
  <c r="AG1255" i="3"/>
  <c r="AG1239" i="3"/>
  <c r="AG1191" i="3"/>
  <c r="AG1800" i="3"/>
  <c r="AG1672" i="3"/>
  <c r="AG1560" i="3"/>
  <c r="AG1416" i="3"/>
  <c r="AG1272" i="3"/>
  <c r="AG1032" i="3"/>
  <c r="AG824" i="3"/>
  <c r="AG648" i="3"/>
  <c r="AG504" i="3"/>
  <c r="AG274" i="3"/>
  <c r="AG1831" i="3"/>
  <c r="AG1751" i="3"/>
  <c r="AG1735" i="3"/>
  <c r="AG1671" i="3"/>
  <c r="AG1591" i="3"/>
  <c r="AG1543" i="3"/>
  <c r="AG1495" i="3"/>
  <c r="AG1447" i="3"/>
  <c r="AG1367" i="3"/>
  <c r="AG1287" i="3"/>
  <c r="AG1207" i="3"/>
  <c r="AG544" i="3"/>
  <c r="AG528" i="3"/>
  <c r="AG512" i="3"/>
  <c r="AG496" i="3"/>
  <c r="AG474" i="3"/>
  <c r="AG458" i="3"/>
  <c r="AG442" i="3"/>
  <c r="AG426" i="3"/>
  <c r="AG410" i="3"/>
  <c r="AG394" i="3"/>
  <c r="AG378" i="3"/>
  <c r="AG362" i="3"/>
  <c r="AG346" i="3"/>
  <c r="AG330" i="3"/>
  <c r="AG314" i="3"/>
  <c r="AG298" i="3"/>
  <c r="AG282" i="3"/>
  <c r="AG266" i="3"/>
  <c r="AG250" i="3"/>
  <c r="AG234" i="3"/>
  <c r="AG218" i="3"/>
  <c r="AG202" i="3"/>
  <c r="AG186" i="3"/>
  <c r="AG170" i="3"/>
  <c r="AG154" i="3"/>
  <c r="AG138" i="3"/>
  <c r="AG1159" i="3"/>
  <c r="AG1127" i="3"/>
  <c r="AG1095" i="3"/>
  <c r="AG1063" i="3"/>
  <c r="AG1031" i="3"/>
  <c r="AG1015" i="3"/>
  <c r="AG983" i="3"/>
  <c r="AG951" i="3"/>
  <c r="AG919" i="3"/>
  <c r="AG887" i="3"/>
  <c r="AG855" i="3"/>
  <c r="AG807" i="3"/>
  <c r="AG775" i="3"/>
  <c r="AG743" i="3"/>
  <c r="AG711" i="3"/>
  <c r="AG679" i="3"/>
  <c r="AG647" i="3"/>
  <c r="AG615" i="3"/>
  <c r="AG599" i="3"/>
  <c r="AG567" i="3"/>
  <c r="AG535" i="3"/>
  <c r="AG503" i="3"/>
  <c r="AG465" i="3"/>
  <c r="AG433" i="3"/>
  <c r="AG401" i="3"/>
  <c r="AG369" i="3"/>
  <c r="AG337" i="3"/>
  <c r="AG305" i="3"/>
  <c r="AG273" i="3"/>
  <c r="AG241" i="3"/>
  <c r="AG209" i="3"/>
  <c r="AG161" i="3"/>
  <c r="AG129" i="3"/>
  <c r="AG35" i="3"/>
  <c r="AG116" i="3"/>
  <c r="AG84" i="3"/>
  <c r="AG1926" i="3"/>
  <c r="AG1910" i="3"/>
  <c r="AG1878" i="3"/>
  <c r="AG1846" i="3"/>
  <c r="AG1814" i="3"/>
  <c r="AG1782" i="3"/>
  <c r="AG1750" i="3"/>
  <c r="AG1718" i="3"/>
  <c r="AG1686" i="3"/>
  <c r="AG1654" i="3"/>
  <c r="AG1622" i="3"/>
  <c r="AG1590" i="3"/>
  <c r="AG1558" i="3"/>
  <c r="AG1526" i="3"/>
  <c r="AG1510" i="3"/>
  <c r="AG1478" i="3"/>
  <c r="AG1462" i="3"/>
  <c r="AG1446" i="3"/>
  <c r="AG1414" i="3"/>
  <c r="AG1398" i="3"/>
  <c r="AG1382" i="3"/>
  <c r="AG1350" i="3"/>
  <c r="AG1334" i="3"/>
  <c r="AG1318" i="3"/>
  <c r="AG1302" i="3"/>
  <c r="AG1286" i="3"/>
  <c r="AG1254" i="3"/>
  <c r="AG1238" i="3"/>
  <c r="AG1222" i="3"/>
  <c r="AG1206" i="3"/>
  <c r="AG1174" i="3"/>
  <c r="AG1158" i="3"/>
  <c r="AG1126" i="3"/>
  <c r="AG1094" i="3"/>
  <c r="AG1062" i="3"/>
  <c r="AG1030" i="3"/>
  <c r="AG998" i="3"/>
  <c r="AG966" i="3"/>
  <c r="AG934" i="3"/>
  <c r="AG902" i="3"/>
  <c r="AG870" i="3"/>
  <c r="AG838" i="3"/>
  <c r="AG806" i="3"/>
  <c r="AG774" i="3"/>
  <c r="AG742" i="3"/>
  <c r="AG710" i="3"/>
  <c r="AG678" i="3"/>
  <c r="AG646" i="3"/>
  <c r="AG614" i="3"/>
  <c r="AG582" i="3"/>
  <c r="AG550" i="3"/>
  <c r="AG518" i="3"/>
  <c r="AG480" i="3"/>
  <c r="AG448" i="3"/>
  <c r="AG416" i="3"/>
  <c r="AG384" i="3"/>
  <c r="AG352" i="3"/>
  <c r="AG320" i="3"/>
  <c r="AG288" i="3"/>
  <c r="AG256" i="3"/>
  <c r="AG224" i="3"/>
  <c r="AG208" i="3"/>
  <c r="AG192" i="3"/>
  <c r="AG160" i="3"/>
  <c r="AG144" i="3"/>
  <c r="AG128" i="3"/>
  <c r="AG1175" i="3"/>
  <c r="AG1143" i="3"/>
  <c r="AG1111" i="3"/>
  <c r="AG1079" i="3"/>
  <c r="AG1047" i="3"/>
  <c r="AG999" i="3"/>
  <c r="AG967" i="3"/>
  <c r="AG935" i="3"/>
  <c r="AG903" i="3"/>
  <c r="AG871" i="3"/>
  <c r="AG839" i="3"/>
  <c r="AG823" i="3"/>
  <c r="AG791" i="3"/>
  <c r="AG759" i="3"/>
  <c r="AG727" i="3"/>
  <c r="AG695" i="3"/>
  <c r="AG663" i="3"/>
  <c r="AG631" i="3"/>
  <c r="AG583" i="3"/>
  <c r="AG551" i="3"/>
  <c r="AG519" i="3"/>
  <c r="AG481" i="3"/>
  <c r="AG449" i="3"/>
  <c r="AG417" i="3"/>
  <c r="AG385" i="3"/>
  <c r="AG353" i="3"/>
  <c r="AG321" i="3"/>
  <c r="AG289" i="3"/>
  <c r="AG257" i="3"/>
  <c r="AG225" i="3"/>
  <c r="AG193" i="3"/>
  <c r="AG177" i="3"/>
  <c r="AG145" i="3"/>
  <c r="AG21" i="3"/>
  <c r="AG41" i="3"/>
  <c r="AG100" i="3"/>
  <c r="AG68" i="3"/>
  <c r="AG52" i="3"/>
  <c r="AG1894" i="3"/>
  <c r="AG1862" i="3"/>
  <c r="AG1830" i="3"/>
  <c r="AG1798" i="3"/>
  <c r="AG1766" i="3"/>
  <c r="AG1734" i="3"/>
  <c r="AG1702" i="3"/>
  <c r="AG1670" i="3"/>
  <c r="AG1638" i="3"/>
  <c r="AG1606" i="3"/>
  <c r="AG1574" i="3"/>
  <c r="AG1542" i="3"/>
  <c r="AG1494" i="3"/>
  <c r="AG1430" i="3"/>
  <c r="AG1366" i="3"/>
  <c r="AG1270" i="3"/>
  <c r="AG1190" i="3"/>
  <c r="AG1142" i="3"/>
  <c r="AG1110" i="3"/>
  <c r="AG1078" i="3"/>
  <c r="AG1046" i="3"/>
  <c r="AG1014" i="3"/>
  <c r="AG982" i="3"/>
  <c r="AG950" i="3"/>
  <c r="AG918" i="3"/>
  <c r="AG886" i="3"/>
  <c r="AG854" i="3"/>
  <c r="AG822" i="3"/>
  <c r="AG790" i="3"/>
  <c r="AG758" i="3"/>
  <c r="AG726" i="3"/>
  <c r="AG694" i="3"/>
  <c r="AG662" i="3"/>
  <c r="AG630" i="3"/>
  <c r="AG598" i="3"/>
  <c r="AG566" i="3"/>
  <c r="AG534" i="3"/>
  <c r="AG502" i="3"/>
  <c r="AG464" i="3"/>
  <c r="AG432" i="3"/>
  <c r="AG400" i="3"/>
  <c r="AG368" i="3"/>
  <c r="AG336" i="3"/>
  <c r="AG304" i="3"/>
  <c r="AG272" i="3"/>
  <c r="AG240" i="3"/>
  <c r="AG176" i="3"/>
  <c r="AG20" i="3"/>
  <c r="AG1925" i="3"/>
  <c r="AG1829" i="3"/>
  <c r="AG1333" i="3"/>
  <c r="AG40" i="3"/>
  <c r="AG99" i="3"/>
  <c r="AG67" i="3"/>
  <c r="AG1909" i="3"/>
  <c r="AG1877" i="3"/>
  <c r="AG1845" i="3"/>
  <c r="AG1797" i="3"/>
  <c r="AG1765" i="3"/>
  <c r="AG1733" i="3"/>
  <c r="AG1701" i="3"/>
  <c r="AG1685" i="3"/>
  <c r="AG1669" i="3"/>
  <c r="AG1653" i="3"/>
  <c r="AG1637" i="3"/>
  <c r="AG1621" i="3"/>
  <c r="AG1605" i="3"/>
  <c r="AG1589" i="3"/>
  <c r="AG1573" i="3"/>
  <c r="AG1557" i="3"/>
  <c r="AG1541" i="3"/>
  <c r="AG1525" i="3"/>
  <c r="AG1509" i="3"/>
  <c r="AG1493" i="3"/>
  <c r="AG1477" i="3"/>
  <c r="AG1461" i="3"/>
  <c r="AG1445" i="3"/>
  <c r="AG1429" i="3"/>
  <c r="AG1413" i="3"/>
  <c r="AG1397" i="3"/>
  <c r="AG1381" i="3"/>
  <c r="AG1365" i="3"/>
  <c r="AG1349" i="3"/>
  <c r="AG1301" i="3"/>
  <c r="AG34" i="3"/>
  <c r="AG115" i="3"/>
  <c r="AG83" i="3"/>
  <c r="AG51" i="3"/>
  <c r="AG1893" i="3"/>
  <c r="AG1861" i="3"/>
  <c r="AG1813" i="3"/>
  <c r="AG1781" i="3"/>
  <c r="AG1749" i="3"/>
  <c r="AG1717" i="3"/>
  <c r="AG1317" i="3"/>
  <c r="AG17" i="3"/>
  <c r="AG31" i="3"/>
  <c r="AG37" i="3"/>
  <c r="AG112" i="3"/>
  <c r="AG96" i="3"/>
  <c r="AG80" i="3"/>
  <c r="AG64" i="3"/>
  <c r="AG48" i="3"/>
  <c r="AG1469" i="3"/>
  <c r="AG1453" i="3"/>
  <c r="AG1437" i="3"/>
  <c r="AG1421" i="3"/>
  <c r="AG1405" i="3"/>
  <c r="AG1389" i="3"/>
  <c r="AG1373" i="3"/>
  <c r="AG1357" i="3"/>
  <c r="AG1341" i="3"/>
  <c r="AG1325" i="3"/>
  <c r="AG1309" i="3"/>
  <c r="AG1293" i="3"/>
  <c r="AG1277" i="3"/>
  <c r="AG1261" i="3"/>
  <c r="AG1245" i="3"/>
  <c r="AG1229" i="3"/>
  <c r="AG1213" i="3"/>
  <c r="AG1197" i="3"/>
  <c r="AG1181" i="3"/>
  <c r="AG1165" i="3"/>
  <c r="AG1149" i="3"/>
  <c r="AG1133" i="3"/>
  <c r="AG1117" i="3"/>
  <c r="AG1101" i="3"/>
  <c r="AG1085" i="3"/>
  <c r="AG1069" i="3"/>
  <c r="AG1053" i="3"/>
  <c r="AG1037" i="3"/>
  <c r="AG1021" i="3"/>
  <c r="AG1005" i="3"/>
  <c r="AG989" i="3"/>
  <c r="AG973" i="3"/>
  <c r="AG957" i="3"/>
  <c r="AG941" i="3"/>
  <c r="AG925" i="3"/>
  <c r="AG909" i="3"/>
  <c r="AG893" i="3"/>
  <c r="AG877" i="3"/>
  <c r="AG861" i="3"/>
  <c r="AG845" i="3"/>
  <c r="AG829" i="3"/>
  <c r="AG813" i="3"/>
  <c r="AG797" i="3"/>
  <c r="AG781" i="3"/>
  <c r="AG765" i="3"/>
  <c r="AG749" i="3"/>
  <c r="AG733" i="3"/>
  <c r="AG717" i="3"/>
  <c r="AG701" i="3"/>
  <c r="AG685" i="3"/>
  <c r="AG669" i="3"/>
  <c r="AG653" i="3"/>
  <c r="AG637" i="3"/>
  <c r="AG621" i="3"/>
  <c r="AG605" i="3"/>
  <c r="AG589" i="3"/>
  <c r="AG573" i="3"/>
  <c r="AG557" i="3"/>
  <c r="AG541" i="3"/>
  <c r="AG525" i="3"/>
  <c r="AG509" i="3"/>
  <c r="AG493" i="3"/>
  <c r="AG471" i="3"/>
  <c r="AG455" i="3"/>
  <c r="AG439" i="3"/>
  <c r="AG423" i="3"/>
  <c r="AG407" i="3"/>
  <c r="AG391" i="3"/>
  <c r="AG375" i="3"/>
  <c r="AG359" i="3"/>
  <c r="AG343" i="3"/>
  <c r="AG327" i="3"/>
  <c r="AG311" i="3"/>
  <c r="AG295" i="3"/>
  <c r="AG279" i="3"/>
  <c r="AG263" i="3"/>
  <c r="AG247" i="3"/>
  <c r="AG231" i="3"/>
  <c r="AG215" i="3"/>
  <c r="AG199" i="3"/>
  <c r="AG183" i="3"/>
  <c r="AG167" i="3"/>
  <c r="AG151" i="3"/>
  <c r="AG135" i="3"/>
  <c r="AG1285" i="3"/>
  <c r="AG1269" i="3"/>
  <c r="AG1253" i="3"/>
  <c r="AG1237" i="3"/>
  <c r="AG1221" i="3"/>
  <c r="AG1205" i="3"/>
  <c r="AG1189" i="3"/>
  <c r="AG1173" i="3"/>
  <c r="AG1157" i="3"/>
  <c r="AG1141" i="3"/>
  <c r="AG1125" i="3"/>
  <c r="AG1109" i="3"/>
  <c r="AG1093" i="3"/>
  <c r="AG1077" i="3"/>
  <c r="AG1061" i="3"/>
  <c r="AG1045" i="3"/>
  <c r="AG1029" i="3"/>
  <c r="AG1013" i="3"/>
  <c r="AG997" i="3"/>
  <c r="AG981" i="3"/>
  <c r="AG965" i="3"/>
  <c r="AG949" i="3"/>
  <c r="AG933" i="3"/>
  <c r="AG917" i="3"/>
  <c r="AG901" i="3"/>
  <c r="AG885" i="3"/>
  <c r="AG869" i="3"/>
  <c r="AG853" i="3"/>
  <c r="AG837" i="3"/>
  <c r="AG821" i="3"/>
  <c r="AG805" i="3"/>
  <c r="AG789" i="3"/>
  <c r="AG773" i="3"/>
  <c r="AG757" i="3"/>
  <c r="AG741" i="3"/>
  <c r="AG725" i="3"/>
  <c r="AG709" i="3"/>
  <c r="AG693" i="3"/>
  <c r="AG677" i="3"/>
  <c r="AG661" i="3"/>
  <c r="AG645" i="3"/>
  <c r="AG629" i="3"/>
  <c r="AG613" i="3"/>
  <c r="AG597" i="3"/>
  <c r="AG581" i="3"/>
  <c r="AG565" i="3"/>
  <c r="AG549" i="3"/>
  <c r="AG533" i="3"/>
  <c r="AG517" i="3"/>
  <c r="AG501" i="3"/>
  <c r="AG479" i="3"/>
  <c r="AG463" i="3"/>
  <c r="AG447" i="3"/>
  <c r="AG431" i="3"/>
  <c r="AG415" i="3"/>
  <c r="AG399" i="3"/>
  <c r="AG383" i="3"/>
  <c r="AG367" i="3"/>
  <c r="AG351" i="3"/>
  <c r="AG335" i="3"/>
  <c r="AG319" i="3"/>
  <c r="AG303" i="3"/>
  <c r="AG287" i="3"/>
  <c r="AG271" i="3"/>
  <c r="AG255" i="3"/>
  <c r="AG239" i="3"/>
  <c r="AG223" i="3"/>
  <c r="AG207" i="3"/>
  <c r="AG191" i="3"/>
  <c r="AG175" i="3"/>
  <c r="AG159" i="3"/>
  <c r="AG143" i="3"/>
  <c r="AG127" i="3"/>
  <c r="AG19" i="3"/>
  <c r="AG39" i="3"/>
  <c r="AG98" i="3"/>
  <c r="AG66" i="3"/>
  <c r="AG50" i="3"/>
  <c r="AG1908" i="3"/>
  <c r="AG1876" i="3"/>
  <c r="AG1844" i="3"/>
  <c r="AG1812" i="3"/>
  <c r="AG1780" i="3"/>
  <c r="AG1764" i="3"/>
  <c r="AG1732" i="3"/>
  <c r="AG33" i="3"/>
  <c r="AG114" i="3"/>
  <c r="AG82" i="3"/>
  <c r="AG1924" i="3"/>
  <c r="AG1892" i="3"/>
  <c r="AG1860" i="3"/>
  <c r="AG1828" i="3"/>
  <c r="AG1796" i="3"/>
  <c r="AG1748" i="3"/>
  <c r="AG1700" i="3"/>
  <c r="AG1668" i="3"/>
  <c r="AG1636" i="3"/>
  <c r="AG1604" i="3"/>
  <c r="AG1572" i="3"/>
  <c r="AG1540" i="3"/>
  <c r="AG1508" i="3"/>
  <c r="AG1476" i="3"/>
  <c r="AG1444" i="3"/>
  <c r="AG1412" i="3"/>
  <c r="AG1380" i="3"/>
  <c r="AG1348" i="3"/>
  <c r="AG1316" i="3"/>
  <c r="AG1284" i="3"/>
  <c r="AG1268" i="3"/>
  <c r="AG1236" i="3"/>
  <c r="AG1204" i="3"/>
  <c r="AG1172" i="3"/>
  <c r="AG1140" i="3"/>
  <c r="AG1092" i="3"/>
  <c r="AG1060" i="3"/>
  <c r="AG1044" i="3"/>
  <c r="AG1012" i="3"/>
  <c r="AG980" i="3"/>
  <c r="AG948" i="3"/>
  <c r="AG900" i="3"/>
  <c r="AG868" i="3"/>
  <c r="AG836" i="3"/>
  <c r="AG804" i="3"/>
  <c r="AG772" i="3"/>
  <c r="AG740" i="3"/>
  <c r="AG708" i="3"/>
  <c r="AG676" i="3"/>
  <c r="AG644" i="3"/>
  <c r="AG612" i="3"/>
  <c r="AG580" i="3"/>
  <c r="AG548" i="3"/>
  <c r="AG516" i="3"/>
  <c r="AG462" i="3"/>
  <c r="AG430" i="3"/>
  <c r="AG414" i="3"/>
  <c r="AG382" i="3"/>
  <c r="AG350" i="3"/>
  <c r="AG318" i="3"/>
  <c r="AG286" i="3"/>
  <c r="AG254" i="3"/>
  <c r="AG222" i="3"/>
  <c r="AG190" i="3"/>
  <c r="AG158" i="3"/>
  <c r="AG1716" i="3"/>
  <c r="AG1684" i="3"/>
  <c r="AG1652" i="3"/>
  <c r="AG1620" i="3"/>
  <c r="AG1588" i="3"/>
  <c r="AG1556" i="3"/>
  <c r="AG1524" i="3"/>
  <c r="AG1492" i="3"/>
  <c r="AG1460" i="3"/>
  <c r="AG1428" i="3"/>
  <c r="AG1396" i="3"/>
  <c r="AG1364" i="3"/>
  <c r="AG1332" i="3"/>
  <c r="AG1300" i="3"/>
  <c r="AG1252" i="3"/>
  <c r="AG1220" i="3"/>
  <c r="AG1188" i="3"/>
  <c r="AG1156" i="3"/>
  <c r="AG1124" i="3"/>
  <c r="AG1108" i="3"/>
  <c r="AG1076" i="3"/>
  <c r="AG1028" i="3"/>
  <c r="AG996" i="3"/>
  <c r="AG964" i="3"/>
  <c r="AG932" i="3"/>
  <c r="AG916" i="3"/>
  <c r="AG884" i="3"/>
  <c r="AG852" i="3"/>
  <c r="AG820" i="3"/>
  <c r="AG788" i="3"/>
  <c r="AG756" i="3"/>
  <c r="AG724" i="3"/>
  <c r="AG692" i="3"/>
  <c r="AG660" i="3"/>
  <c r="AG628" i="3"/>
  <c r="AG596" i="3"/>
  <c r="AG564" i="3"/>
  <c r="AG532" i="3"/>
  <c r="AG500" i="3"/>
  <c r="AG478" i="3"/>
  <c r="AG446" i="3"/>
  <c r="AG398" i="3"/>
  <c r="AG366" i="3"/>
  <c r="AG334" i="3"/>
  <c r="AG302" i="3"/>
  <c r="AG270" i="3"/>
  <c r="AG238" i="3"/>
  <c r="AG206" i="3"/>
  <c r="AG174" i="3"/>
  <c r="AG142" i="3"/>
  <c r="AG18" i="3"/>
  <c r="AG32" i="3"/>
  <c r="AG38" i="3"/>
  <c r="AG113" i="3"/>
  <c r="AG97" i="3"/>
  <c r="AG81" i="3"/>
  <c r="AG65" i="3"/>
  <c r="AG49" i="3"/>
  <c r="AG1923" i="3"/>
  <c r="AG1907" i="3"/>
  <c r="AG1891" i="3"/>
  <c r="AG1875" i="3"/>
  <c r="AG1859" i="3"/>
  <c r="AG1843" i="3"/>
  <c r="AG1827" i="3"/>
  <c r="AG1811" i="3"/>
  <c r="AG1795" i="3"/>
  <c r="AG1779" i="3"/>
  <c r="AG1763" i="3"/>
  <c r="AG1747" i="3"/>
  <c r="AG1731" i="3"/>
  <c r="AG1715" i="3"/>
  <c r="AG1699" i="3"/>
  <c r="AG1683" i="3"/>
  <c r="AG1667" i="3"/>
  <c r="AG1651" i="3"/>
  <c r="AG1635" i="3"/>
  <c r="AG1619" i="3"/>
  <c r="AG1603" i="3"/>
  <c r="AG1587" i="3"/>
  <c r="AG1571" i="3"/>
  <c r="AG1555" i="3"/>
  <c r="AG1539" i="3"/>
  <c r="AG1523" i="3"/>
  <c r="AG1507" i="3"/>
  <c r="AG1491" i="3"/>
  <c r="AG1475" i="3"/>
  <c r="AG1459" i="3"/>
  <c r="AG1443" i="3"/>
  <c r="AG1427" i="3"/>
  <c r="AG1411" i="3"/>
  <c r="AG1395" i="3"/>
  <c r="AG1379" i="3"/>
  <c r="AG1363" i="3"/>
  <c r="AG1347" i="3"/>
  <c r="AG1331" i="3"/>
  <c r="AG1315" i="3"/>
  <c r="AG1299" i="3"/>
  <c r="AG1283" i="3"/>
  <c r="AG1267" i="3"/>
  <c r="AG1251" i="3"/>
  <c r="AG1235" i="3"/>
  <c r="AG1219" i="3"/>
  <c r="AG1203" i="3"/>
  <c r="AG1187" i="3"/>
  <c r="AG1171" i="3"/>
  <c r="AG1155" i="3"/>
  <c r="AG1139" i="3"/>
  <c r="AG1123" i="3"/>
  <c r="AG1107" i="3"/>
  <c r="AG1091" i="3"/>
  <c r="AG1075" i="3"/>
  <c r="AG1059" i="3"/>
  <c r="AG1043" i="3"/>
  <c r="AG1027" i="3"/>
  <c r="AG1011" i="3"/>
  <c r="AG995" i="3"/>
  <c r="AG979" i="3"/>
  <c r="AG963" i="3"/>
  <c r="AG947" i="3"/>
  <c r="AG931" i="3"/>
  <c r="AG915" i="3"/>
  <c r="AG899" i="3"/>
  <c r="AG883" i="3"/>
  <c r="AG867" i="3"/>
  <c r="AG851" i="3"/>
  <c r="AG835" i="3"/>
  <c r="AG819" i="3"/>
  <c r="AG803" i="3"/>
  <c r="AG787" i="3"/>
  <c r="AG771" i="3"/>
  <c r="AG755" i="3"/>
  <c r="AG739" i="3"/>
  <c r="AG723" i="3"/>
  <c r="AG707" i="3"/>
  <c r="AG691" i="3"/>
  <c r="AG675" i="3"/>
  <c r="AG659" i="3"/>
  <c r="AG643" i="3"/>
  <c r="AG627" i="3"/>
  <c r="AG611" i="3"/>
  <c r="AG595" i="3"/>
  <c r="AG579" i="3"/>
  <c r="AG563" i="3"/>
  <c r="AG547" i="3"/>
  <c r="AG531" i="3"/>
  <c r="AG515" i="3"/>
  <c r="AG499" i="3"/>
  <c r="AG477" i="3"/>
  <c r="AG461" i="3"/>
  <c r="AG445" i="3"/>
  <c r="AG429" i="3"/>
  <c r="AG413" i="3"/>
  <c r="AG397" i="3"/>
  <c r="AG381" i="3"/>
  <c r="AG365" i="3"/>
  <c r="AG349" i="3"/>
  <c r="AG333" i="3"/>
  <c r="AG317" i="3"/>
  <c r="AG301" i="3"/>
  <c r="AG285" i="3"/>
  <c r="AG269" i="3"/>
  <c r="AG253" i="3"/>
  <c r="AG237" i="3"/>
  <c r="AG221" i="3"/>
  <c r="AG205" i="3"/>
  <c r="AG189" i="3"/>
  <c r="AG173" i="3"/>
  <c r="AG157" i="3"/>
  <c r="AG141" i="3"/>
  <c r="AG4" i="3"/>
  <c r="AG3" i="3"/>
  <c r="AG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<sst xmlns="http://schemas.openxmlformats.org/spreadsheetml/2006/main" count="30770" uniqueCount="717">
  <si>
    <t>match_date</t>
  </si>
  <si>
    <t>Venue</t>
  </si>
  <si>
    <t>City</t>
  </si>
  <si>
    <t>Season</t>
  </si>
  <si>
    <t>Match_id</t>
  </si>
  <si>
    <t>Team_1</t>
  </si>
  <si>
    <t>Team_2</t>
  </si>
  <si>
    <t>Toss_winner</t>
  </si>
  <si>
    <t>Toss_decision</t>
  </si>
  <si>
    <t>Winner</t>
  </si>
  <si>
    <t>Win_type</t>
  </si>
  <si>
    <t>Win_margin</t>
  </si>
  <si>
    <t>Player_of_match</t>
  </si>
  <si>
    <t>match_type</t>
  </si>
  <si>
    <t>Dr.DY Patil Sports</t>
  </si>
  <si>
    <t>Navi Mumbai</t>
  </si>
  <si>
    <t>Field</t>
  </si>
  <si>
    <t>Harmanpreet Kaur</t>
  </si>
  <si>
    <t>League</t>
  </si>
  <si>
    <t>WPL2023_01</t>
  </si>
  <si>
    <t>Innings_no</t>
  </si>
  <si>
    <t>Match_no</t>
  </si>
  <si>
    <t>Match_day</t>
  </si>
  <si>
    <t>Saturday</t>
  </si>
  <si>
    <t>Runs</t>
  </si>
  <si>
    <t>Match_result</t>
  </si>
  <si>
    <t>Normal</t>
  </si>
  <si>
    <t>Rain_interruption</t>
  </si>
  <si>
    <t>first_innings_score</t>
  </si>
  <si>
    <t>second_innings_score</t>
  </si>
  <si>
    <t>highest_team_total</t>
  </si>
  <si>
    <t>lowest_team_total</t>
  </si>
  <si>
    <t>umpires</t>
  </si>
  <si>
    <t>referee</t>
  </si>
  <si>
    <t>No</t>
  </si>
  <si>
    <t>Nithin Pandit, Vrinda Rathi,Pashchim Pathak</t>
  </si>
  <si>
    <t>GS Lakshmi</t>
  </si>
  <si>
    <t>WPL2023_02</t>
  </si>
  <si>
    <t>batting_team</t>
  </si>
  <si>
    <t>bowling_team</t>
  </si>
  <si>
    <t>Total Runs</t>
  </si>
  <si>
    <t>Wickets_lost</t>
  </si>
  <si>
    <t>overs_played</t>
  </si>
  <si>
    <t>run_rate</t>
  </si>
  <si>
    <t>Powerplay_wickets</t>
  </si>
  <si>
    <t>Powerplay_runs</t>
  </si>
  <si>
    <t>Middleover_runs</t>
  </si>
  <si>
    <t>Middleover_wickets</t>
  </si>
  <si>
    <t>deathover_runs</t>
  </si>
  <si>
    <t>deathover_wickets</t>
  </si>
  <si>
    <t>Total 4's</t>
  </si>
  <si>
    <t>Total 6's</t>
  </si>
  <si>
    <t>Dot_balls</t>
  </si>
  <si>
    <t>Extras</t>
  </si>
  <si>
    <t>biggest_over_runs</t>
  </si>
  <si>
    <t>chase_status</t>
  </si>
  <si>
    <t>required_rr_start</t>
  </si>
  <si>
    <t>1b, 4w</t>
  </si>
  <si>
    <t>NA</t>
  </si>
  <si>
    <t>Failed</t>
  </si>
  <si>
    <t>2w</t>
  </si>
  <si>
    <t>Player_id</t>
  </si>
  <si>
    <t>player_name</t>
  </si>
  <si>
    <t>team</t>
  </si>
  <si>
    <t>role</t>
  </si>
  <si>
    <t>battin_position</t>
  </si>
  <si>
    <t>runs_scored</t>
  </si>
  <si>
    <t>balls_faced</t>
  </si>
  <si>
    <t>strike_rate</t>
  </si>
  <si>
    <t>dismissal_type</t>
  </si>
  <si>
    <t>batting_impact_score</t>
  </si>
  <si>
    <t>overs_bowled</t>
  </si>
  <si>
    <t>maidens</t>
  </si>
  <si>
    <t>runs_conceded</t>
  </si>
  <si>
    <t>wickets_taken</t>
  </si>
  <si>
    <t>economy</t>
  </si>
  <si>
    <t>bowling_impact_score</t>
  </si>
  <si>
    <t>catches</t>
  </si>
  <si>
    <t>runouts</t>
  </si>
  <si>
    <t>total_player_impact</t>
  </si>
  <si>
    <t>player_match_rating</t>
  </si>
  <si>
    <t>P001</t>
  </si>
  <si>
    <t>Sabbhineni Meghana</t>
  </si>
  <si>
    <t>Batting Allrounder</t>
  </si>
  <si>
    <t>Yastika Bhatia</t>
  </si>
  <si>
    <t>WK-Batter</t>
  </si>
  <si>
    <t>Opener</t>
  </si>
  <si>
    <t>P002</t>
  </si>
  <si>
    <t>Hayley Matthews</t>
  </si>
  <si>
    <t>P003</t>
  </si>
  <si>
    <t>Nat Sciver-Brunt</t>
  </si>
  <si>
    <t>Bowling Allrounder</t>
  </si>
  <si>
    <t>Top Order</t>
  </si>
  <si>
    <t>P004</t>
  </si>
  <si>
    <t>P005</t>
  </si>
  <si>
    <t>Amelia Kerr</t>
  </si>
  <si>
    <t>not out</t>
  </si>
  <si>
    <t>P006</t>
  </si>
  <si>
    <t>Pooja Vastrakar</t>
  </si>
  <si>
    <t>P007</t>
  </si>
  <si>
    <t>Issy Wong</t>
  </si>
  <si>
    <t>Bowler</t>
  </si>
  <si>
    <t>P008</t>
  </si>
  <si>
    <t>Jintimani Kalita</t>
  </si>
  <si>
    <t>DNB</t>
  </si>
  <si>
    <t>P009</t>
  </si>
  <si>
    <t>Saika Ishaque</t>
  </si>
  <si>
    <t>P010</t>
  </si>
  <si>
    <t>Amanjot Kaur</t>
  </si>
  <si>
    <t>Batter</t>
  </si>
  <si>
    <t>P011</t>
  </si>
  <si>
    <t>Humaira Kazi</t>
  </si>
  <si>
    <t>P012</t>
  </si>
  <si>
    <t>P013</t>
  </si>
  <si>
    <t>Beth Mooney</t>
  </si>
  <si>
    <t>P014</t>
  </si>
  <si>
    <t>Harleen Deol</t>
  </si>
  <si>
    <t>P015</t>
  </si>
  <si>
    <t>Ashleigh Gardner</t>
  </si>
  <si>
    <t>P016</t>
  </si>
  <si>
    <t>Annabel Sutherland</t>
  </si>
  <si>
    <t>P017</t>
  </si>
  <si>
    <t>Dayalan Hemalatha</t>
  </si>
  <si>
    <t>P018</t>
  </si>
  <si>
    <t>Georgia Wareham</t>
  </si>
  <si>
    <t>P019</t>
  </si>
  <si>
    <t>Sneh Rana</t>
  </si>
  <si>
    <t>P020</t>
  </si>
  <si>
    <t>Tanuja Kanwar</t>
  </si>
  <si>
    <t>P021</t>
  </si>
  <si>
    <t>Monica Patel</t>
  </si>
  <si>
    <t>P022</t>
  </si>
  <si>
    <t>Mansi Joshi</t>
  </si>
  <si>
    <t>retired out</t>
  </si>
  <si>
    <t>Middle Order</t>
  </si>
  <si>
    <t>Lower Order</t>
  </si>
  <si>
    <t>WPL2023_03</t>
  </si>
  <si>
    <t>WPL2023_04</t>
  </si>
  <si>
    <t>WPL2023_05</t>
  </si>
  <si>
    <t>WPL2023_06</t>
  </si>
  <si>
    <t>WPL2023_07</t>
  </si>
  <si>
    <t>WPL2023_08</t>
  </si>
  <si>
    <t>WPL2023_09</t>
  </si>
  <si>
    <t>WPL2023_10</t>
  </si>
  <si>
    <t>WPL2023_11</t>
  </si>
  <si>
    <t>WPL2023_12</t>
  </si>
  <si>
    <t>WPL2023_13</t>
  </si>
  <si>
    <t>WPL2023_14</t>
  </si>
  <si>
    <t>WPL2023_15</t>
  </si>
  <si>
    <t>WPL2023_16</t>
  </si>
  <si>
    <t>WPL2023_17</t>
  </si>
  <si>
    <t>WPL2023_18</t>
  </si>
  <si>
    <t>WPL2023_19</t>
  </si>
  <si>
    <t>WPL2023_20</t>
  </si>
  <si>
    <t>WPL2023_21</t>
  </si>
  <si>
    <t>Sunday</t>
  </si>
  <si>
    <t>Brabourne Stadium</t>
  </si>
  <si>
    <t>Mumbai</t>
  </si>
  <si>
    <t>DCW</t>
  </si>
  <si>
    <t>RCBW</t>
  </si>
  <si>
    <t>Tara Norris</t>
  </si>
  <si>
    <t>Chirra Ravikanthreddy, N Janani, 
Madanagopal Kuppuraj</t>
  </si>
  <si>
    <t>Rajni Basnet</t>
  </si>
  <si>
    <t>1lb, 5w</t>
  </si>
  <si>
    <t>1lb, 3w</t>
  </si>
  <si>
    <t>P023</t>
  </si>
  <si>
    <t>Smriti Mandhana</t>
  </si>
  <si>
    <t>P024</t>
  </si>
  <si>
    <t>Sophie Devine</t>
  </si>
  <si>
    <t>Allrounder</t>
  </si>
  <si>
    <t>P025</t>
  </si>
  <si>
    <t>Heather Knight</t>
  </si>
  <si>
    <t>P026</t>
  </si>
  <si>
    <t>Disha Kasat</t>
  </si>
  <si>
    <t>P027</t>
  </si>
  <si>
    <t>Ellyse Perry</t>
  </si>
  <si>
    <t>P028</t>
  </si>
  <si>
    <t>Richa Ghosh</t>
  </si>
  <si>
    <t>P029</t>
  </si>
  <si>
    <t>Kanika Ahuja</t>
  </si>
  <si>
    <t>P030</t>
  </si>
  <si>
    <t>Asha Shobana</t>
  </si>
  <si>
    <t>P031</t>
  </si>
  <si>
    <t>Preeti Bose</t>
  </si>
  <si>
    <t>P032</t>
  </si>
  <si>
    <t>Megan Schutt</t>
  </si>
  <si>
    <t>P033</t>
  </si>
  <si>
    <t>Renuka Thakur Singh</t>
  </si>
  <si>
    <t>P034</t>
  </si>
  <si>
    <t>Shafali Verma</t>
  </si>
  <si>
    <t>P035</t>
  </si>
  <si>
    <t>Meg Lanning</t>
  </si>
  <si>
    <t>P036</t>
  </si>
  <si>
    <t>Marizanne Kapp</t>
  </si>
  <si>
    <t>P037</t>
  </si>
  <si>
    <t>Jemimah Rodrigues</t>
  </si>
  <si>
    <t>P038</t>
  </si>
  <si>
    <t>Alice Capsey</t>
  </si>
  <si>
    <t>P039</t>
  </si>
  <si>
    <t>Jess Jonassen</t>
  </si>
  <si>
    <t>P040</t>
  </si>
  <si>
    <t>Taniya Bhatia</t>
  </si>
  <si>
    <t>P041</t>
  </si>
  <si>
    <t>Arundhati Reddy</t>
  </si>
  <si>
    <t>P042</t>
  </si>
  <si>
    <t>Shikha Pandey</t>
  </si>
  <si>
    <t>P043</t>
  </si>
  <si>
    <t>Radha Yadav</t>
  </si>
  <si>
    <t>P044</t>
  </si>
  <si>
    <t>Dr DY Patil Sports </t>
  </si>
  <si>
    <t>Wickets</t>
  </si>
  <si>
    <t>Grace Harris</t>
  </si>
  <si>
    <t>Gayathri Venugopalan, Sanjay Kumar Singh, 
Pashchim Pathak</t>
  </si>
  <si>
    <t>Anupa Narvekar</t>
  </si>
  <si>
    <t>1b, 1lb, 12w</t>
  </si>
  <si>
    <t>4b, 9w, 1nb</t>
  </si>
  <si>
    <t>Successful</t>
  </si>
  <si>
    <t>P045</t>
  </si>
  <si>
    <t>Alyssa Healy</t>
  </si>
  <si>
    <t>UPW</t>
  </si>
  <si>
    <t>P046</t>
  </si>
  <si>
    <t>Shweta Sehrawat</t>
  </si>
  <si>
    <t>P047</t>
  </si>
  <si>
    <t>Tahlia McGrath</t>
  </si>
  <si>
    <t>P048</t>
  </si>
  <si>
    <t>Deepti Sharma</t>
  </si>
  <si>
    <t>P049</t>
  </si>
  <si>
    <t>P050</t>
  </si>
  <si>
    <t>Simran Shaikh</t>
  </si>
  <si>
    <t>P051</t>
  </si>
  <si>
    <t>Kiran Navgire</t>
  </si>
  <si>
    <t>P052</t>
  </si>
  <si>
    <t>Devika Vaidya</t>
  </si>
  <si>
    <t>P053</t>
  </si>
  <si>
    <t>Sophie Ecclestone</t>
  </si>
  <si>
    <t>P054</t>
  </si>
  <si>
    <t>Anjali Sarvani</t>
  </si>
  <si>
    <t>P055</t>
  </si>
  <si>
    <t>Rajeshwari Gayakwad</t>
  </si>
  <si>
    <t>P056</t>
  </si>
  <si>
    <t>P057</t>
  </si>
  <si>
    <t>Sophia Dunkley</t>
  </si>
  <si>
    <t>P058</t>
  </si>
  <si>
    <t>Sushma Verma</t>
  </si>
  <si>
    <t>Kim Garth</t>
  </si>
  <si>
    <t>bowled</t>
  </si>
  <si>
    <t>caught</t>
  </si>
  <si>
    <t>lbw</t>
  </si>
  <si>
    <t>stumped</t>
  </si>
  <si>
    <t>Monday</t>
  </si>
  <si>
    <t> Brabourne Stadium</t>
  </si>
  <si>
    <t>Batting</t>
  </si>
  <si>
    <t>Pashchim Pathak, Ranjeev Sharma, 
Saurabh Dhote</t>
  </si>
  <si>
    <t>Sanjay Kumar Singh</t>
  </si>
  <si>
    <t>1lb, 6w</t>
  </si>
  <si>
    <t>4lb</t>
  </si>
  <si>
    <t>run out</t>
  </si>
  <si>
    <t>Shreyanka Patil</t>
  </si>
  <si>
    <t>GGTW</t>
  </si>
  <si>
    <t>P059</t>
  </si>
  <si>
    <t>Tuesday</t>
  </si>
  <si>
    <t>Chirra Ravikanthreddy, Vrinda Rathi, 
N Janani</t>
  </si>
  <si>
    <t>1b, 1lb, 9w</t>
  </si>
  <si>
    <t>4lb, 7w</t>
  </si>
  <si>
    <t>Shabnim Ismail</t>
  </si>
  <si>
    <t>P060</t>
  </si>
  <si>
    <t>MIW</t>
  </si>
  <si>
    <t>Wednesday</t>
  </si>
  <si>
    <t>Thursday</t>
  </si>
  <si>
    <t>Friday</t>
  </si>
  <si>
    <t>Ranjeev Sharma, Sanjay Kumar Singh, 
Nitin Pandit</t>
  </si>
  <si>
    <t>1w, 1nb</t>
  </si>
  <si>
    <t>5lb, 6w</t>
  </si>
  <si>
    <t>P061</t>
  </si>
  <si>
    <t>P062</t>
  </si>
  <si>
    <t>P063</t>
  </si>
  <si>
    <t>P064</t>
  </si>
  <si>
    <t>P065</t>
  </si>
  <si>
    <t>P066</t>
  </si>
  <si>
    <t>Poonam Khemnar</t>
  </si>
  <si>
    <t>Madanagopal Kuppuraj, Vrinda Rathi, 
Pashchim Pathak</t>
  </si>
  <si>
    <t>Varsha Nagre</t>
  </si>
  <si>
    <t>1b, 5lb, 1nb</t>
  </si>
  <si>
    <t>1lb, 1w</t>
  </si>
  <si>
    <t>Minnu Mani</t>
  </si>
  <si>
    <t>N Janani, Saurabh Dhote, 
Ranjeev Sharma</t>
  </si>
  <si>
    <t>1b, 5lb, 1w</t>
  </si>
  <si>
    <t>Erin Burns</t>
  </si>
  <si>
    <t>Komal Zanzad</t>
  </si>
  <si>
    <t>Sahana Pawar</t>
  </si>
  <si>
    <t xml:space="preserve">Gayathri Venugopalan, Sanjay Kumar Singh, 
Vrinda Rathi </t>
  </si>
  <si>
    <t>2lb, 1w</t>
  </si>
  <si>
    <t>1b, 2lb, 7w</t>
  </si>
  <si>
    <t>Laura Wolvaardt</t>
  </si>
  <si>
    <t>Laura Harris</t>
  </si>
  <si>
    <t>P067</t>
  </si>
  <si>
    <t>N Janani, Pashchim Pathak, 
Chirra Ravikanthreddy</t>
  </si>
  <si>
    <t>5lb, 2w, 2nb</t>
  </si>
  <si>
    <t>3b, 1lb, 5w, 3nb</t>
  </si>
  <si>
    <t>Nitin Pandit, Saurabh Dhote, 
Madanagopal Kuppuraj</t>
  </si>
  <si>
    <t>4b, 4w</t>
  </si>
  <si>
    <t>Chirra Ravikanthreddy, Gayathri Venugopalan, N Janani</t>
  </si>
  <si>
    <t>5b, 1lb, 1w</t>
  </si>
  <si>
    <t>P068</t>
  </si>
  <si>
    <t>Dhara Gujjar</t>
  </si>
  <si>
    <t>Madanagopal Kuppuraj, Sanjay Kumar Singh, Nitin Pandit</t>
  </si>
  <si>
    <t>1b, 6lb, 5w</t>
  </si>
  <si>
    <t>4b, 2w</t>
  </si>
  <si>
    <t>Ranjeev Sharma, Saurabh Dhote, 
Chirra Ravikanthreddy</t>
  </si>
  <si>
    <t>12w</t>
  </si>
  <si>
    <t>P069</t>
  </si>
  <si>
    <t>Ashwani Kumari</t>
  </si>
  <si>
    <t>Poonam Yadav</t>
  </si>
  <si>
    <t>Gayathri Venugopalan, Nitin Pandit, 
Saurabh Dhote</t>
  </si>
  <si>
    <t>P070</t>
  </si>
  <si>
    <t>Parshavi Chopra</t>
  </si>
  <si>
    <t>Sanjay Kumar Singh, Vrinda Rathi, 
Pashchim Pathak</t>
  </si>
  <si>
    <t>3w, 1nb</t>
  </si>
  <si>
    <t>2b, 4lb, 5w, 1nb</t>
  </si>
  <si>
    <t>Sanjay Kumar Singh, Saurabh Dhote, 
Madanagopal Kuppuraj</t>
  </si>
  <si>
    <t>3w</t>
  </si>
  <si>
    <t>Chirra Ravikanthreddy, Ranjeev Sharma, 
Gayathri Venugopalan</t>
  </si>
  <si>
    <t>4b, 3w</t>
  </si>
  <si>
    <t>Madanagopal Kuppuraj, N Janani, 
Ranjeev Sharma</t>
  </si>
  <si>
    <t>8w, 2nb</t>
  </si>
  <si>
    <t>Gayathri Venugopalan, Nitin Pandit, 
Vrinda Rathi</t>
  </si>
  <si>
    <t>1b, 8w, 2nb</t>
  </si>
  <si>
    <t>WPL2023_22</t>
  </si>
  <si>
    <t>Eliminator</t>
  </si>
  <si>
    <t>Nitin Pandit, Saurabh Dhote, 
Ranjeev Sharma</t>
  </si>
  <si>
    <t>2b, 4lb, 3w</t>
  </si>
  <si>
    <t xml:space="preserve">8w </t>
  </si>
  <si>
    <t>P071</t>
  </si>
  <si>
    <t>Final</t>
  </si>
  <si>
    <t>N Janani, Vrinda Rathi, 
Pashchim Pathak</t>
  </si>
  <si>
    <t>1lb</t>
  </si>
  <si>
    <t>3lb, 3w</t>
  </si>
  <si>
    <t>Player of the series</t>
  </si>
  <si>
    <t>WPL2024_01</t>
  </si>
  <si>
    <t>M. Chinnaswamy Stadium</t>
  </si>
  <si>
    <t>Bengaluru</t>
  </si>
  <si>
    <t>wickets</t>
  </si>
  <si>
    <t>Abhijit Bengeri, Vrinda Rathi, Pashchim Pathak</t>
  </si>
  <si>
    <t>2lb, 2w, 1nb</t>
  </si>
  <si>
    <t>3lb, 3w, 2nb</t>
  </si>
  <si>
    <t>P073</t>
  </si>
  <si>
    <t>Keerthana Balakrishnan</t>
  </si>
  <si>
    <t>P072</t>
  </si>
  <si>
    <t>S Sajana</t>
  </si>
  <si>
    <t>WPL2024_02</t>
  </si>
  <si>
    <t>WPL2024_03</t>
  </si>
  <si>
    <t>WPL2024_04</t>
  </si>
  <si>
    <t>WPL2024_05</t>
  </si>
  <si>
    <t>WPL2024_06</t>
  </si>
  <si>
    <t>WPL2024_07</t>
  </si>
  <si>
    <t>WPL2024_08</t>
  </si>
  <si>
    <t>WPL2024_09</t>
  </si>
  <si>
    <t>WPL2024_10</t>
  </si>
  <si>
    <t>WPL2024_11</t>
  </si>
  <si>
    <t>WPL2024_12</t>
  </si>
  <si>
    <t>WPL2024_13</t>
  </si>
  <si>
    <t>WPL2024_14</t>
  </si>
  <si>
    <t>WPL2024_15</t>
  </si>
  <si>
    <t>WPL2024_16</t>
  </si>
  <si>
    <t>WPL2024_17</t>
  </si>
  <si>
    <t>WPL2024_18</t>
  </si>
  <si>
    <t>WPL2024_19</t>
  </si>
  <si>
    <t>WPL2024_20</t>
  </si>
  <si>
    <t>WPL2024_21</t>
  </si>
  <si>
    <t>Asha Sobhana</t>
  </si>
  <si>
    <t>Abhijit Bhattacharya, N Janani, 
Parashar Joshi</t>
  </si>
  <si>
    <t>P077</t>
  </si>
  <si>
    <t>Sophie Molineux</t>
  </si>
  <si>
    <t>P075</t>
  </si>
  <si>
    <t>Simran Bahadur</t>
  </si>
  <si>
    <t>P074</t>
  </si>
  <si>
    <t>Vrinda Dinesh</t>
  </si>
  <si>
    <t>P076</t>
  </si>
  <si>
    <t>Saima Thakor</t>
  </si>
  <si>
    <t>Gayathri Venugopalan, P Jayapal, 
Vrinda Rathi</t>
  </si>
  <si>
    <t>8lb, 8w</t>
  </si>
  <si>
    <t>6lb, 9w</t>
  </si>
  <si>
    <t>Veda Krishnamurthy</t>
  </si>
  <si>
    <t>P078</t>
  </si>
  <si>
    <t>Phoebe Litchfield</t>
  </si>
  <si>
    <t>P079</t>
  </si>
  <si>
    <t>Kathryn Bryce</t>
  </si>
  <si>
    <t>P080</t>
  </si>
  <si>
    <t>Lea Tahuhu</t>
  </si>
  <si>
    <t>P081</t>
  </si>
  <si>
    <t>Meghna Singh</t>
  </si>
  <si>
    <t>Mohit Krishnadas, Pashchim Pathak, 
N Janani</t>
  </si>
  <si>
    <t>1b, 3lb, 4w, 2nb</t>
  </si>
  <si>
    <t>1b, 3w</t>
  </si>
  <si>
    <t>P082</t>
  </si>
  <si>
    <t>Gouher Sultana</t>
  </si>
  <si>
    <t>Mohamed Rafi, Parashar Joshi, 
Gayathri Venugopalan</t>
  </si>
  <si>
    <t>Meenakshi Mangla</t>
  </si>
  <si>
    <t>1b, 1lb, 4w</t>
  </si>
  <si>
    <t>1b, 1lb</t>
  </si>
  <si>
    <t>Abhijeet Bengeri, Vrinda Rathi, 
Mohit Krishnadas</t>
  </si>
  <si>
    <t xml:space="preserve">1w </t>
  </si>
  <si>
    <t>1b, 1lb, 3w, 2nb</t>
  </si>
  <si>
    <t>P084</t>
  </si>
  <si>
    <t>P085</t>
  </si>
  <si>
    <t>Abhijit Bhattacharya, N Janani, 
Mohamed Rafi</t>
  </si>
  <si>
    <t>2lb, 6w, 1nb</t>
  </si>
  <si>
    <t>1lb, 3w, 1nb</t>
  </si>
  <si>
    <t>P086</t>
  </si>
  <si>
    <t>P087</t>
  </si>
  <si>
    <t>Nadine de Klerk</t>
  </si>
  <si>
    <t>Gayathri Venugopalan, P Jayapal, 
Abhijeet Bengeri</t>
  </si>
  <si>
    <t>4b, 4lb</t>
  </si>
  <si>
    <t>P088</t>
  </si>
  <si>
    <t>Chamari Athapaththu</t>
  </si>
  <si>
    <t>P089</t>
  </si>
  <si>
    <t>Mannat Kashyap</t>
  </si>
  <si>
    <t>Mohit Krishnadas, Pashchim Pathak, 
Abhijit Bhattacharya</t>
  </si>
  <si>
    <t>1lb, 4w</t>
  </si>
  <si>
    <t>1w</t>
  </si>
  <si>
    <t>Mohamed Rafi, Parashar Joshi, 
P Jayapal</t>
  </si>
  <si>
    <t>6w</t>
  </si>
  <si>
    <t>9lb, 7w, 1nb</t>
  </si>
  <si>
    <t>Titas Sadhu</t>
  </si>
  <si>
    <t>Tarannum Pathan</t>
  </si>
  <si>
    <t>Sayali Satghare</t>
  </si>
  <si>
    <t>Abhijeet Bengeri, Vrinda Rathi, 
Pashchim Pathak</t>
  </si>
  <si>
    <t>4b, 1lb, 4w</t>
  </si>
  <si>
    <t>2lb, 15w</t>
  </si>
  <si>
    <t>P090</t>
  </si>
  <si>
    <t>Ekta Bisht</t>
  </si>
  <si>
    <t xml:space="preserve"> Arun Jaitley Stadium</t>
  </si>
  <si>
    <t>Delhi</t>
  </si>
  <si>
    <t>1lb, 7w</t>
  </si>
  <si>
    <t>11w</t>
  </si>
  <si>
    <t>Arun Jaitley Stadium</t>
  </si>
  <si>
    <t>3lb, 14w</t>
  </si>
  <si>
    <t>5b, 4lb, 1w, 1nb</t>
  </si>
  <si>
    <t>P091</t>
  </si>
  <si>
    <t>Shabnam Md Shakil</t>
  </si>
  <si>
    <t>1b</t>
  </si>
  <si>
    <t>1w, 3nb</t>
  </si>
  <si>
    <t>P092</t>
  </si>
  <si>
    <t>Uma Chetry</t>
  </si>
  <si>
    <t>WPL2024_22</t>
  </si>
  <si>
    <t>3lb, 1w</t>
  </si>
  <si>
    <t>4b, 4lb, 7w</t>
  </si>
  <si>
    <t>P093</t>
  </si>
  <si>
    <t>Bharati Fulmali</t>
  </si>
  <si>
    <t>P083</t>
  </si>
  <si>
    <t>1lb, 7w, 1nb</t>
  </si>
  <si>
    <t>4w</t>
  </si>
  <si>
    <t>Shraddha Pokharkar</t>
  </si>
  <si>
    <t>5b, 2w</t>
  </si>
  <si>
    <t>3lb</t>
  </si>
  <si>
    <t>4b, 11w</t>
  </si>
  <si>
    <t>Priyanka Bala</t>
  </si>
  <si>
    <t>1b, 4lb, 2w</t>
  </si>
  <si>
    <t>Gayathri Venugopalan, Parashar Joshi, 
Pashchim Pathak</t>
  </si>
  <si>
    <t>4lb, 2w, 1nb</t>
  </si>
  <si>
    <t xml:space="preserve">Final </t>
  </si>
  <si>
    <t>Abhijit Bhattacharya, Gayathri Venugopalan, Parashar Joshi</t>
  </si>
  <si>
    <t>WPL2025_01</t>
  </si>
  <si>
    <t>WPL2025_02</t>
  </si>
  <si>
    <t>WPL2025_03</t>
  </si>
  <si>
    <t>WPL2025_04</t>
  </si>
  <si>
    <t>WPL2025_05</t>
  </si>
  <si>
    <t>WPL2025_06</t>
  </si>
  <si>
    <t>WPL2025_07</t>
  </si>
  <si>
    <t>WPL2025_08</t>
  </si>
  <si>
    <t>WPL2025_09</t>
  </si>
  <si>
    <t>WPL2025_10</t>
  </si>
  <si>
    <t>WPL2025_11</t>
  </si>
  <si>
    <t>WPL2025_12</t>
  </si>
  <si>
    <t>WPL2025_13</t>
  </si>
  <si>
    <t>WPL2025_14</t>
  </si>
  <si>
    <t>WPL2025_15</t>
  </si>
  <si>
    <t>WPL2025_16</t>
  </si>
  <si>
    <t>WPL2025_17</t>
  </si>
  <si>
    <t>WPL2025_18</t>
  </si>
  <si>
    <t>WPL2025_19</t>
  </si>
  <si>
    <t>WPL2025_20</t>
  </si>
  <si>
    <t>WPL2025_21</t>
  </si>
  <si>
    <t>WPL2025_22</t>
  </si>
  <si>
    <t>Vadodara</t>
  </si>
  <si>
    <t>Bhavesh Patel, Gayathri Venugopalan, 
N Janani</t>
  </si>
  <si>
    <t>1b, 3lb, 7w</t>
  </si>
  <si>
    <t>4lb, 8w, 1nb</t>
  </si>
  <si>
    <t>Danielle Wyatt-Hodge</t>
  </si>
  <si>
    <t>P094</t>
  </si>
  <si>
    <t>P095</t>
  </si>
  <si>
    <t>P096</t>
  </si>
  <si>
    <t>P097</t>
  </si>
  <si>
    <t>P098</t>
  </si>
  <si>
    <t>P099</t>
  </si>
  <si>
    <t>P100</t>
  </si>
  <si>
    <t>P101</t>
  </si>
  <si>
    <t>Raghvi Bist</t>
  </si>
  <si>
    <t>Prema Rawat</t>
  </si>
  <si>
    <t>Joshitha V J</t>
  </si>
  <si>
    <t>Kashvee Gautam</t>
  </si>
  <si>
    <t>Priya Mishra</t>
  </si>
  <si>
    <t>Deandra Dottin</t>
  </si>
  <si>
    <t>Niki Prasad</t>
  </si>
  <si>
    <t>Anish Sahasrabudhe, N Janani, 
Gayathri Venugopalan</t>
  </si>
  <si>
    <t>2lb, 7w, 2nb</t>
  </si>
  <si>
    <t>2b, 1lb, 3w, 1nb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</si>
  <si>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</si>
  <si>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</si>
  <si>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</si>
  <si>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</si>
  <si>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</si>
  <si>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</si>
  <si>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</si>
  <si>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</si>
  <si>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</si>
  <si>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</si>
  <si>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</si>
  <si>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Sarah Bryce</t>
  </si>
  <si>
    <t>Sanskriti Gupta</t>
  </si>
  <si>
    <t>Ajitesh Argal, Bharat Patel, 
Gayathri Venugopalan</t>
  </si>
  <si>
    <t>1lb, 2w</t>
  </si>
  <si>
    <t>Alana King</t>
  </si>
  <si>
    <t>Kranti Goud</t>
  </si>
  <si>
    <t>Ajitesh Argal, Anish Sahasrabudhe, 
Gayathri Venugopalan</t>
  </si>
  <si>
    <t>4b, 1lb, 7w</t>
  </si>
  <si>
    <t>2lb, 3w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</si>
  <si>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</si>
  <si>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</si>
  <si>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</si>
  <si>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</si>
  <si>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</si>
  <si>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</si>
  <si>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</si>
  <si>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</si>
  <si>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</si>
  <si>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Anish Sahasrabudhe, Gayathri Venugopalan, N Janani</t>
  </si>
  <si>
    <t>2lb, 3w, 1nb</t>
  </si>
  <si>
    <t>G Kamalini</t>
  </si>
  <si>
    <t>Parunika Sisodia</t>
  </si>
  <si>
    <t>Ajitesh Argal, Bhavesh Patel, 
N Janani</t>
  </si>
  <si>
    <t>4lb, 3w</t>
  </si>
  <si>
    <t>Chinelle Henry</t>
  </si>
  <si>
    <t>Ankita Guha, Vrinda Rathi, Saiyed Khalid</t>
  </si>
  <si>
    <t>8w</t>
  </si>
  <si>
    <t>Kaushik Gandhi, Keyur Kelkar, 
Vrinda Rathi</t>
  </si>
  <si>
    <t>Niyati Koustubh Lokur</t>
  </si>
  <si>
    <t>7lb, 17w, 1nb</t>
  </si>
  <si>
    <t>Super_over</t>
  </si>
  <si>
    <t>Keyur Kelkar, Saiyed Khalid, 
Vrinda Rathi</t>
  </si>
  <si>
    <t>3w, 2nb</t>
  </si>
  <si>
    <t>Ankita Guha, Kaushik Gandhi, 
Saiyed Khalid</t>
  </si>
  <si>
    <t>12lb, 9w</t>
  </si>
  <si>
    <t>1b, 2lb, 5w</t>
  </si>
  <si>
    <t>3lb, 5w</t>
  </si>
  <si>
    <t>1b, 1lb, 2w, 1nb</t>
  </si>
  <si>
    <t>Ankita Guha, Saiyed Khalid, 
Kaushik Gandhi</t>
  </si>
  <si>
    <t>5lb, 5w, 2nb</t>
  </si>
  <si>
    <t>Kaushik Gandhi, Vrinda Rathi, 
Keyur Kelkar</t>
  </si>
  <si>
    <t>1b, 3lb, 2w, 1nb</t>
  </si>
  <si>
    <t>Ankita Guha, Keyur Kelkar, 
Saiyed Khalid</t>
  </si>
  <si>
    <t>4b, 1lb, 3w</t>
  </si>
  <si>
    <t>2b, 1lb, 3w</t>
  </si>
  <si>
    <t>Nallapureddy Charani</t>
  </si>
  <si>
    <t>Lucknow</t>
  </si>
  <si>
    <t>Gayathri Venugopalan, N Janani, 
Bhavesh Patel</t>
  </si>
  <si>
    <t>1b, 8w</t>
  </si>
  <si>
    <t>Georgia Voll</t>
  </si>
  <si>
    <t>Bharat Ratna Shri Atal Bihari Vajpayee Ekana Cricket Stadium</t>
  </si>
  <si>
    <t>N Janani, Ajitesh Argal, Anish Sahasrabudhe</t>
  </si>
  <si>
    <t>5b, 1lb, 5w, 1nb</t>
  </si>
  <si>
    <t>Ajitesh Argal, Anish Sahasrabudhe, Bharat Patel</t>
  </si>
  <si>
    <t>1b, 2lb, 2w</t>
  </si>
  <si>
    <t>2lb, 5w, 1nb</t>
  </si>
  <si>
    <t>Anish Sahasrabudhe, Bhavesh Patel, Ajitesh Argal</t>
  </si>
  <si>
    <t>6w, 1nb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</si>
  <si>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</si>
  <si>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</si>
  <si>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</si>
  <si>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</si>
  <si>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</si>
  <si>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</si>
  <si>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</si>
  <si>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</si>
  <si>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</si>
  <si>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</si>
  <si>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</si>
  <si>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</si>
  <si>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</si>
  <si>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</si>
  <si>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</si>
  <si>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</si>
  <si>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Charlotte Dean</t>
  </si>
  <si>
    <t>Keyur Kelkar, Vrinda Rathi, Ankita Guha</t>
  </si>
  <si>
    <t>2b, 2lb, 2w</t>
  </si>
  <si>
    <t>7w</t>
  </si>
  <si>
    <t>Heather Graham</t>
  </si>
  <si>
    <t>Ankita Guha, Kaushik Gandhi, Vrinda Rathi</t>
  </si>
  <si>
    <t>Danielle Gibson</t>
  </si>
  <si>
    <t>Anish Sahasrabudhe, Ankita Guha, Vrinda Rathi</t>
  </si>
  <si>
    <t>1b, 7w</t>
  </si>
  <si>
    <t>WPL2026_01</t>
  </si>
  <si>
    <t>WPL2026_02</t>
  </si>
  <si>
    <t>WPL2026_03</t>
  </si>
  <si>
    <t>WPL2026_04</t>
  </si>
  <si>
    <t>WPL2026_05</t>
  </si>
  <si>
    <t>WPL2026_06</t>
  </si>
  <si>
    <t>WPL2026_07</t>
  </si>
  <si>
    <t>WPL2026_08</t>
  </si>
  <si>
    <t>WPL2026_09</t>
  </si>
  <si>
    <t>WPL2026_10</t>
  </si>
  <si>
    <t>WPL2026_11</t>
  </si>
  <si>
    <t>WPL2026_12</t>
  </si>
  <si>
    <t>WPL2026_13</t>
  </si>
  <si>
    <t>WPL2026_14</t>
  </si>
  <si>
    <t>WPL2026_15</t>
  </si>
  <si>
    <t>WPL2026_16</t>
  </si>
  <si>
    <t>WPL2026_17</t>
  </si>
  <si>
    <t>WPL2026_18</t>
  </si>
  <si>
    <t>WPL2026_19</t>
  </si>
  <si>
    <t>WPL2026_20</t>
  </si>
  <si>
    <t>WPL2026_21</t>
  </si>
  <si>
    <t>WPL2026_22</t>
  </si>
  <si>
    <t>Bhavesh Patel, N Janani, 
Gayathri Venugopalan</t>
  </si>
  <si>
    <t>1lb, 8w</t>
  </si>
  <si>
    <t>5b, 3w</t>
  </si>
  <si>
    <t>Nicola Carey</t>
  </si>
  <si>
    <t>Lauren Bell</t>
  </si>
  <si>
    <t>Linsey Smith</t>
  </si>
  <si>
    <t>Gayathri Venugopalan, Kaushik Gandhi, 
N Janani</t>
  </si>
  <si>
    <t>1b, 5w</t>
  </si>
  <si>
    <t>4b, 1lb, 6w</t>
  </si>
  <si>
    <t>Anushka Sharma</t>
  </si>
  <si>
    <t>Kaushik Gandhi, Keyur Kelkar, 
N Janani</t>
  </si>
  <si>
    <t>4b, 3w, 2nb</t>
  </si>
  <si>
    <t>2b, 1lb, 8w</t>
  </si>
  <si>
    <t>Lizelle Lee</t>
  </si>
  <si>
    <t>Shree Charani</t>
  </si>
  <si>
    <t>Nandani Sharma</t>
  </si>
  <si>
    <t>Triveni Vasistha</t>
  </si>
  <si>
    <t>Bhavesh Patel, Keyur Kelkar, Kaushik Gandhi</t>
  </si>
  <si>
    <t>7w, 1nb</t>
  </si>
  <si>
    <t>Bhavesh Patel, Gayathri Venugopalan, 
Keyur Kelkar</t>
  </si>
  <si>
    <t>1lb, 5w, 2nb</t>
  </si>
  <si>
    <t>4b, 1lb, 3w, 1nb</t>
  </si>
  <si>
    <t>Gautami Naik</t>
  </si>
  <si>
    <t>4lb, 1w, 1nb</t>
  </si>
  <si>
    <t>4b, 4lb, 1w</t>
  </si>
  <si>
    <t>Gunalan Kamalini</t>
  </si>
  <si>
    <t>Ayushi Soni</t>
  </si>
  <si>
    <t>Kaushik Gandhi, N Janani, 
Gayathri Venugopalan</t>
  </si>
  <si>
    <t>5w, 1nb</t>
  </si>
  <si>
    <t>Chloe Tryon</t>
  </si>
  <si>
    <t>Keyur Kelkar, Kaushik Gandhi, 
Bhavesh Patel</t>
  </si>
  <si>
    <t xml:space="preserve">
Moumita Chakraborty</t>
  </si>
  <si>
    <t>2b, 1w, 1nb</t>
  </si>
  <si>
    <t>5lb, 5w, 1nb</t>
  </si>
  <si>
    <t>Ankita Guha, Vrinda Rathi, 
Anish Sahasrabudhe</t>
  </si>
  <si>
    <t>Shivani Singh</t>
  </si>
  <si>
    <t>Gayathri Venugopalan, Keyur Kelkar, 
Kaushik Gandhi</t>
  </si>
  <si>
    <t>Moumita Chakraborty</t>
  </si>
  <si>
    <t>Nalla Kranthi Reddy</t>
  </si>
  <si>
    <t>Bhavesh Patel, N Janani, Keyur Kelkar</t>
  </si>
  <si>
    <t>4b, 6w, 1nb</t>
  </si>
  <si>
    <t>Lucy Hamilton</t>
  </si>
  <si>
    <t>Anish Sahasrabudhe, Ankita Guha, 
Vrinda Rathi</t>
  </si>
  <si>
    <t>5b, 1lb, 15w</t>
  </si>
  <si>
    <t>3lb, 2w</t>
  </si>
  <si>
    <t>Happy Kumari</t>
  </si>
  <si>
    <t>Vrinda Rathi, Tony Emmatty, 
Ajitesh Argal</t>
  </si>
  <si>
    <t>Rahila Firdous</t>
  </si>
  <si>
    <t>Deeya Yadav</t>
  </si>
  <si>
    <t>Vaishnavi Sharma</t>
  </si>
  <si>
    <t>Tony Emmatty, Ajitesh Argal, Ankita Guha</t>
  </si>
  <si>
    <t>2lb, 10w</t>
  </si>
  <si>
    <t>Ajitesh Argal, Ankita Guha, 
Anish Sahasrabudhe</t>
  </si>
  <si>
    <t>2lb, 4w, 1nb</t>
  </si>
  <si>
    <t>1b, 2w, 1nb</t>
  </si>
  <si>
    <t>Anish Sahasrabudhe, Vrinda Rathi, 
Ajitesh Argal</t>
  </si>
  <si>
    <t>2lb, 9w</t>
  </si>
  <si>
    <t>3lb, 6w</t>
  </si>
  <si>
    <t>Ajitesh Argal, Anish Sahasrabudhe, 
Tony Emmatty</t>
  </si>
  <si>
    <t>5b, 6lb, 7w</t>
  </si>
  <si>
    <t>4b, 1lb, 14w, 1nb</t>
  </si>
  <si>
    <t>Ajitesh Argal, Anish Sahasrabudhe, Tony Emmatty</t>
  </si>
  <si>
    <t>5lb, 4w</t>
  </si>
  <si>
    <t>Amy Jones</t>
  </si>
  <si>
    <t>Ankita Guha, Tony Emmatty, 
Vrinda Rathi</t>
  </si>
  <si>
    <t xml:space="preserve">2lb, 7w </t>
  </si>
  <si>
    <t>Tony Emmatty, Vrinda Rathi, 
Ankita Guha</t>
  </si>
  <si>
    <t>Shipra Giri</t>
  </si>
  <si>
    <t>Charli Knott</t>
  </si>
  <si>
    <t>Ankita Guha, Bhavesh Patel, 
Gayathri Venugopalan</t>
  </si>
  <si>
    <t>6lb, 19w</t>
  </si>
  <si>
    <t>8b, 1lb, 8w, 1nb</t>
  </si>
  <si>
    <t>Ankita Guha, Gayathri Venugopalan, Keyur Kelkar</t>
  </si>
  <si>
    <t>10w</t>
  </si>
  <si>
    <t>2b, 2w</t>
  </si>
  <si>
    <t>RCB</t>
  </si>
  <si>
    <t>BCA Stadium, Kotambi</t>
  </si>
  <si>
    <t>Team_Total_Runs</t>
  </si>
  <si>
    <t>Run_rate</t>
  </si>
  <si>
    <t>Deathover_runs</t>
  </si>
  <si>
    <t>Chase_status</t>
  </si>
  <si>
    <t>Is_Winner</t>
  </si>
  <si>
    <t>Final_Score</t>
  </si>
  <si>
    <t>Row Labels</t>
  </si>
  <si>
    <t>(blank)</t>
  </si>
  <si>
    <t>Grand Total</t>
  </si>
  <si>
    <t>Average of Final_Score</t>
  </si>
  <si>
    <t>Sum of runs_scored</t>
  </si>
  <si>
    <t>Sum of wickets_taken</t>
  </si>
  <si>
    <t>Average of Run_rate</t>
  </si>
  <si>
    <t>Average of Dot_balls</t>
  </si>
  <si>
    <t>Team</t>
  </si>
  <si>
    <t>Target</t>
  </si>
  <si>
    <t>Sums of runs_scored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</si>
</sst>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Segoe UI"/>
      <family val="2"/>
    </font>
    <font>
      <sz val="9"/>
      <color rgb="FF000000"/>
      <name val="Segoe U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2" fontId="0" fillId="0" borderId="0" xfId="0" applyNumberFormat="1"/>
    <xf numFmtId="0" fontId="0" fillId="0" borderId="0" xfId="0" applyAlignment="1">
      <alignment horizontal="left" vertical="center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lwin Joel Lewis" refreshedDate="46118.592529513888" createdVersion="8" refreshedVersion="8" minRefreshableVersion="3" recordCount="1938" xr:uid="{33760799-AA96-4DCD-85BB-8775472A3655}">
  <cacheSource type="worksheet">
    <worksheetSource ref="A1:AG1936" sheet="Players ALL"/>
  </cacheSource>
  <cacheFields count="33">
    <cacheField name="Match_id" numFmtId="0">
      <sharedItems containsBlank="1" count="89">
        <s v="WPL2023_01"/>
        <s v="WPL2023_02"/>
        <s v="WPL2023_03"/>
        <s v="WPL2023_04"/>
        <s v="WPL2023_05"/>
        <s v="WPL2023_06"/>
        <s v="WPL2023_07"/>
        <s v="WPL2023_08"/>
        <s v="WPL2023_09"/>
        <s v="WPL2023_10"/>
        <s v="WPL2023_11"/>
        <s v="WPL2023_12"/>
        <s v="WPL2023_13"/>
        <s v="WPL2023_14"/>
        <s v="WPL2023_15"/>
        <s v="WPL2023_16"/>
        <s v="WPL2023_17"/>
        <s v="WPL2023_18"/>
        <s v="WPL2023_19"/>
        <s v="WPL2023_20"/>
        <s v="WPL2023_21"/>
        <s v="WPL2023_22"/>
        <m/>
        <s v="WPL2024_01"/>
        <s v="WPL2024_02"/>
        <s v="WPL2024_03"/>
        <s v="WPL2024_04"/>
        <s v="WPL2024_05"/>
        <s v="WPL2024_06"/>
        <s v="WPL2024_07"/>
        <s v="WPL2024_08"/>
        <s v="WPL2024_09"/>
        <s v="WPL2024_10"/>
        <s v="WPL2024_11"/>
        <s v="WPL2024_12"/>
        <s v="WPL2024_13"/>
        <s v="WPL2024_14"/>
        <s v="WPL2024_15"/>
        <s v="WPL2024_16"/>
        <s v="WPL2024_17"/>
        <s v="WPL2024_18"/>
        <s v="WPL2024_19"/>
        <s v="WPL2024_20"/>
        <s v="WPL2024_21"/>
        <s v="WPL2024_22"/>
        <s v="WPL2025_01"/>
        <s v="WPL2025_02"/>
        <s v="WPL2025_03"/>
        <s v="WPL2025_04"/>
        <s v="WPL2025_05"/>
        <s v="WPL2025_06"/>
        <s v="WPL2025_07"/>
        <s v="WPL2025_08"/>
        <s v="WPL2025_09"/>
        <s v="WPL2025_10"/>
        <s v="WPL2025_11"/>
        <s v="WPL2025_12"/>
        <s v="WPL2025_13"/>
        <s v="WPL2025_14"/>
        <s v="WPL2025_15"/>
        <s v="WPL2025_16"/>
        <s v="WPL2025_17"/>
        <s v="WPL2025_18"/>
        <s v="WPL2025_19"/>
        <s v="WPL2025_20"/>
        <s v="WPL2025_21"/>
        <s v="WPL2025_22"/>
        <s v="WPL2026_01"/>
        <s v="WPL2026_02"/>
        <s v="WPL2026_03"/>
        <s v="WPL2026_04"/>
        <s v="WPL2026_05"/>
        <s v="WPL2026_06"/>
        <s v="WPL2026_07"/>
        <s v="WPL2026_08"/>
        <s v="WPL2026_09"/>
        <s v="WPL2026_10"/>
        <s v="WPL2026_11"/>
        <s v="WPL2026_12"/>
        <s v="WPL2026_13"/>
        <s v="WPL2026_14"/>
        <s v="WPL2026_15"/>
        <s v="WPL2026_16"/>
        <s v="WPL2026_17"/>
        <s v="WPL2026_18"/>
        <s v="WPL2026_19"/>
        <s v="WPL2026_20"/>
        <s v="WPL2026_21"/>
        <s v="WPL2026_22"/>
      </sharedItems>
    </cacheField>
    <cacheField name="Season" numFmtId="0">
      <sharedItems containsString="0" containsBlank="1" containsNumber="1" containsInteger="1" minValue="1" maxValue="4"/>
    </cacheField>
    <cacheField name="Player_id" numFmtId="0">
      <sharedItems containsBlank="1"/>
    </cacheField>
    <cacheField name="player_name" numFmtId="0">
      <sharedItems containsBlank="1" count="138">
        <s v="Beth Mooney"/>
        <s v="Sabbhineni Meghana"/>
        <s v="Harleen Deol"/>
        <s v="Ashleigh Gardner"/>
        <s v="Annabel Sutherland"/>
        <s v="Dayalan Hemalatha"/>
        <s v="Georgia Wareham"/>
        <s v="Sneh Rana"/>
        <s v="Tanuja Kanwar"/>
        <s v="Monica Patel"/>
        <s v="Mansi Joshi"/>
        <s v="Hayley Matthews"/>
        <s v="Yastika Bhatia"/>
        <s v="Harmanpreet Kaur"/>
        <s v="Nat Sciver-Brunt"/>
        <s v="Amelia Kerr"/>
        <s v="Amanjot Kaur"/>
        <s v="Pooja Vastrakar"/>
        <s v="Humaira Kazi"/>
        <s v="Issy Wong"/>
        <s v="Jintimani Kalita"/>
        <s v="Saika Ishaque"/>
        <s v="Smriti Mandhana"/>
        <s v="Sophie Devine"/>
        <s v="Heather Knight"/>
        <s v="Disha Kasat"/>
        <s v="Ellyse Perry"/>
        <s v="Richa Ghosh"/>
        <s v="Kanika Ahuja"/>
        <s v="Asha Shobana"/>
        <s v="Preeti Bose"/>
        <s v="Megan Schutt"/>
        <s v="Renuka Thakur Singh"/>
        <s v="Shafali Verma"/>
        <s v="Meg Lanning"/>
        <s v="Marizanne Kapp"/>
        <s v="Jemimah Rodrigues"/>
        <s v="Alice Capsey"/>
        <s v="Jess Jonassen"/>
        <s v="Taniya Bhatia"/>
        <s v="Arundhati Reddy"/>
        <s v="Shikha Pandey"/>
        <s v="Radha Yadav"/>
        <s v="Tara Norris"/>
        <s v="Alyssa Healy"/>
        <s v="Shweta Sehrawat"/>
        <s v="Tahlia McGrath"/>
        <s v="Deepti Sharma"/>
        <s v="Grace Harris"/>
        <s v="Simran Shaikh"/>
        <s v="Kiran Navgire"/>
        <s v="Devika Vaidya"/>
        <s v="Sophie Ecclestone"/>
        <s v="Anjali Sarvani"/>
        <s v="Rajeshwari Gayakwad"/>
        <s v="Sophia Dunkley"/>
        <s v="Sushma Verma"/>
        <s v="Kim Garth"/>
        <s v="Shreyanka Patil"/>
        <s v="Shabnim Ismail"/>
        <s v="Poonam Khemnar"/>
        <s v="Minnu Mani"/>
        <s v="Erin Burns"/>
        <s v="Komal Zanzad"/>
        <s v="Sahana Pawar"/>
        <s v="Laura Wolvaardt"/>
        <s v="Laura Harris"/>
        <s v="Dhara Gujjar"/>
        <s v="Ashwani Kumari"/>
        <s v="Poonam Yadav"/>
        <s v="Parshavi Chopra"/>
        <m/>
        <s v="S Sajana"/>
        <s v="Keerthana Balakrishnan"/>
        <s v="Sophie Molineux"/>
        <s v="Simran Bahadur"/>
        <s v="Vrinda Dinesh"/>
        <s v="Saima Thakor"/>
        <s v="Veda Krishnamurthy"/>
        <s v="Phoebe Litchfield"/>
        <s v="Kathryn Bryce"/>
        <s v="Lea Tahuhu"/>
        <s v="Meghna Singh"/>
        <s v="Gouher Sultana"/>
        <s v="Nadine de Klerk"/>
        <s v="Chamari Athapaththu"/>
        <s v="Mannat Kashyap"/>
        <s v="Titas Sadhu"/>
        <s v="Tarannum Pathan"/>
        <s v="Sayali Satghare"/>
        <s v="Ekta Bisht"/>
        <s v="Shabnam Md Shakil"/>
        <s v="Uma Chetry"/>
        <s v="Bharati Fulmali"/>
        <s v="Shraddha Pokharkar"/>
        <s v="Priyanka Bala"/>
        <s v="Deandra Dottin"/>
        <s v="Priya Mishra"/>
        <s v="Kashvee Gautam"/>
        <s v="Danielle Wyatt-Hodge"/>
        <s v="Raghvi Bist"/>
        <s v="Prema Rawat"/>
        <s v="Joshitha V J"/>
        <s v="Sanskriti Gupta"/>
        <s v="Niki Prasad"/>
        <s v="Sarah Bryce"/>
        <s v="Alana King"/>
        <s v="Kranti Goud"/>
        <s v="G Kamalini"/>
        <s v="Parunika Sisodia"/>
        <s v="Chinelle Henry"/>
        <s v="Nallapureddy Charani"/>
        <s v="Georgia Voll"/>
        <s v="Charlotte Dean"/>
        <s v="Heather Graham"/>
        <s v="Danielle Gibson"/>
        <s v="Nicola Carey"/>
        <s v="Linsey Smith"/>
        <s v="Lauren Bell"/>
        <s v="Anushka Sharma"/>
        <s v="Triveni Vasistha"/>
        <s v="Lizelle Lee"/>
        <s v="Shree Charani"/>
        <s v="Nandani Sharma"/>
        <s v="Gautami Naik"/>
        <s v="Ayushi Soni"/>
        <s v="Gunalan Kamalini"/>
        <s v="Chloe Tryon"/>
        <s v="Shivani Singh"/>
        <s v="Nalla Kranthi Reddy"/>
        <s v="Lucy Hamilton"/>
        <s v="Happy Kumari"/>
        <s v="Rahila Firdous"/>
        <s v="Vaishnavi Sharma"/>
        <s v="Deeya Yadav"/>
        <s v="Amy Jones"/>
        <s v="Charli Knott"/>
        <s v="Shipra Giri"/>
      </sharedItems>
    </cacheField>
    <cacheField name="team" numFmtId="0">
      <sharedItems containsBlank="1" count="6">
        <s v="GGTW"/>
        <s v="MIW"/>
        <s v="RCBW"/>
        <s v="DCW"/>
        <s v="UPW"/>
        <m/>
      </sharedItems>
    </cacheField>
    <cacheField name="role" numFmtId="0">
      <sharedItems containsBlank="1"/>
    </cacheField>
    <cacheField name="battin_position" numFmtId="0">
      <sharedItems containsBlank="1"/>
    </cacheField>
    <cacheField name="runs_scored" numFmtId="0">
      <sharedItems containsString="0" containsBlank="1" containsNumber="1" containsInteger="1" minValue="0" maxValue="100"/>
    </cacheField>
    <cacheField name="balls_faced" numFmtId="0">
      <sharedItems containsString="0" containsBlank="1" containsNumber="1" containsInteger="1" minValue="0" maxValue="61"/>
    </cacheField>
    <cacheField name="strike_rate" numFmtId="0">
      <sharedItems containsString="0" containsBlank="1" containsNumber="1" minValue="0" maxValue="600"/>
    </cacheField>
    <cacheField name="dismissal_type" numFmtId="0">
      <sharedItems containsBlank="1"/>
    </cacheField>
    <cacheField name="batting_impact_score" numFmtId="0">
      <sharedItems containsString="0" containsBlank="1" containsNumber="1" minValue="-5" maxValue="272.25"/>
    </cacheField>
    <cacheField name="overs_bowled" numFmtId="0">
      <sharedItems containsString="0" containsBlank="1" containsNumber="1" minValue="0" maxValue="4"/>
    </cacheField>
    <cacheField name="maidens" numFmtId="0">
      <sharedItems containsString="0" containsBlank="1" containsNumber="1" containsInteger="1" minValue="0" maxValue="2"/>
    </cacheField>
    <cacheField name="runs_conceded" numFmtId="0">
      <sharedItems containsString="0" containsBlank="1" containsNumber="1" containsInteger="1" minValue="0" maxValue="56"/>
    </cacheField>
    <cacheField name="wickets_taken" numFmtId="0">
      <sharedItems containsString="0" containsBlank="1" containsNumber="1" containsInteger="1" minValue="0" maxValue="6"/>
    </cacheField>
    <cacheField name="economy" numFmtId="0">
      <sharedItems containsString="0" containsBlank="1" containsNumber="1" minValue="0" maxValue="42"/>
    </cacheField>
    <cacheField name="bowling_impact_score" numFmtId="0">
      <sharedItems containsString="0" containsBlank="1" containsNumber="1" minValue="-40" maxValue="175"/>
    </cacheField>
    <cacheField name="catches" numFmtId="0">
      <sharedItems containsString="0" containsBlank="1" containsNumber="1" containsInteger="1" minValue="0" maxValue="1"/>
    </cacheField>
    <cacheField name="runouts" numFmtId="0">
      <sharedItems containsString="0" containsBlank="1" containsNumber="1" containsInteger="1" minValue="0" maxValue="1"/>
    </cacheField>
    <cacheField name="total_player_impact" numFmtId="0">
      <sharedItems containsString="0" containsBlank="1" containsNumber="1" minValue="-39" maxValue="292.25"/>
    </cacheField>
    <cacheField name="player_match_rating" numFmtId="2">
      <sharedItems containsString="0" containsBlank="1" containsNumber="1" containsInteger="1" minValue="0" maxValue="10"/>
    </cacheField>
    <cacheField name="Winner" numFmtId="0">
      <sharedItems containsBlank="1"/>
    </cacheField>
    <cacheField name="Toss_winner" numFmtId="0">
      <sharedItems containsBlank="1"/>
    </cacheField>
    <cacheField name="Venue" numFmtId="0">
      <sharedItems containsBlank="1"/>
    </cacheField>
    <cacheField name="Team_Total_Runs" numFmtId="0">
      <sharedItems containsSemiMixedTypes="0" containsString="0" containsNumber="1" containsInteger="1" minValue="0" maxValue="225"/>
    </cacheField>
    <cacheField name="Run_rate" numFmtId="0">
      <sharedItems containsSemiMixedTypes="0" containsString="0" containsNumber="1" minValue="0" maxValue="14.93"/>
    </cacheField>
    <cacheField name="Powerplay_runs" numFmtId="0">
      <sharedItems containsSemiMixedTypes="0" containsString="0" containsNumber="1" containsInteger="1" minValue="0" maxValue="87"/>
    </cacheField>
    <cacheField name="Deathover_runs" numFmtId="0">
      <sharedItems containsSemiMixedTypes="0" containsString="0" containsNumber="1" containsInteger="1" minValue="0" maxValue="68"/>
    </cacheField>
    <cacheField name="Dot_balls" numFmtId="0">
      <sharedItems containsSemiMixedTypes="0" containsString="0" containsNumber="1" containsInteger="1" minValue="0" maxValue="69"/>
    </cacheField>
    <cacheField name="Chase_status" numFmtId="0">
      <sharedItems containsMixedTypes="1" containsNumber="1" containsInteger="1" minValue="0" maxValue="0"/>
    </cacheField>
    <cacheField name="Is_Winner" numFmtId="0">
      <sharedItems containsSemiMixedTypes="0" containsString="0" containsNumber="1" containsInteger="1" minValue="0" maxValue="1"/>
    </cacheField>
    <cacheField name="Final_Score" numFmtId="0">
      <sharedItems containsSemiMixedTypes="0" containsString="0" containsNumber="1" minValue="0" maxValue="169.1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8">
  <r>
    <x v="0"/>
    <n v="1"/>
    <s v="P001"/>
    <x v="0"/>
    <x v="0"/>
    <s v="WK-Batter"/>
    <s v="Opener"/>
    <n v="0"/>
    <n v="3"/>
    <n v="0"/>
    <s v="retired out"/>
    <n v="0"/>
    <n v="0"/>
    <n v="0"/>
    <n v="0"/>
    <n v="0"/>
    <n v="0"/>
    <n v="0"/>
    <n v="0"/>
    <n v="0"/>
    <n v="0"/>
    <n v="0"/>
    <s v="MIW"/>
    <s v="GGTW"/>
    <s v="Dr.DY Patil Sports"/>
    <n v="64"/>
    <n v="4.22"/>
    <n v="17"/>
    <n v="0"/>
    <n v="62"/>
    <s v="Failed"/>
    <n v="0"/>
    <n v="0"/>
  </r>
  <r>
    <x v="0"/>
    <n v="1"/>
    <s v="P002"/>
    <x v="1"/>
    <x v="0"/>
    <s v="Batter"/>
    <s v="Opener"/>
    <n v="2"/>
    <n v="4"/>
    <n v="50"/>
    <s v="bowled"/>
    <n v="1"/>
    <n v="0"/>
    <n v="0"/>
    <n v="0"/>
    <n v="0"/>
    <n v="0"/>
    <n v="0"/>
    <n v="0"/>
    <n v="0"/>
    <n v="1"/>
    <n v="0"/>
    <s v="MIW"/>
    <s v="GGTW"/>
    <s v="Dr.DY Patil Sports"/>
    <n v="64"/>
    <n v="4.22"/>
    <n v="17"/>
    <n v="0"/>
    <n v="62"/>
    <s v="Failed"/>
    <n v="0"/>
    <n v="0.5"/>
  </r>
  <r>
    <x v="0"/>
    <n v="1"/>
    <s v="P003"/>
    <x v="2"/>
    <x v="0"/>
    <s v="Batting Allrounder"/>
    <s v="Top Order"/>
    <n v="0"/>
    <n v="2"/>
    <n v="0"/>
    <s v="caught"/>
    <n v="0"/>
    <n v="0"/>
    <n v="0"/>
    <n v="0"/>
    <n v="0"/>
    <n v="0"/>
    <n v="0"/>
    <n v="0"/>
    <n v="0"/>
    <n v="0"/>
    <n v="0"/>
    <s v="MIW"/>
    <s v="GGTW"/>
    <s v="Dr.DY Patil Sports"/>
    <n v="64"/>
    <n v="4.22"/>
    <n v="17"/>
    <n v="0"/>
    <n v="62"/>
    <s v="Failed"/>
    <n v="0"/>
    <n v="0"/>
  </r>
  <r>
    <x v="0"/>
    <n v="1"/>
    <s v="P004"/>
    <x v="3"/>
    <x v="0"/>
    <s v="Batting Allrounder"/>
    <s v="Middle Order"/>
    <n v="0"/>
    <n v="1"/>
    <n v="0"/>
    <s v="caught"/>
    <n v="0"/>
    <n v="4"/>
    <n v="0"/>
    <n v="38"/>
    <n v="1"/>
    <n v="9.5"/>
    <n v="6"/>
    <n v="0"/>
    <n v="0"/>
    <n v="6"/>
    <n v="1"/>
    <s v="MIW"/>
    <s v="GGTW"/>
    <s v="Dr.DY Patil Sports"/>
    <n v="64"/>
    <n v="4.22"/>
    <n v="17"/>
    <n v="0"/>
    <n v="62"/>
    <s v="Failed"/>
    <n v="0"/>
    <n v="3.3"/>
  </r>
  <r>
    <x v="0"/>
    <n v="1"/>
    <s v="P005"/>
    <x v="4"/>
    <x v="0"/>
    <s v="Bowling Allrounder"/>
    <s v="Middle Order"/>
    <n v="6"/>
    <n v="14"/>
    <n v="42.86"/>
    <s v="bowled"/>
    <n v="2.57"/>
    <n v="3"/>
    <n v="0"/>
    <n v="32"/>
    <n v="0"/>
    <n v="10.7"/>
    <n v="-21.4"/>
    <n v="0"/>
    <n v="0"/>
    <n v="-18.829999999999998"/>
    <n v="0"/>
    <s v="MIW"/>
    <s v="GGTW"/>
    <s v="Dr.DY Patil Sports"/>
    <n v="64"/>
    <n v="4.22"/>
    <n v="17"/>
    <n v="0"/>
    <n v="62"/>
    <s v="Failed"/>
    <n v="0"/>
    <n v="0"/>
  </r>
  <r>
    <x v="0"/>
    <n v="1"/>
    <s v="P006"/>
    <x v="5"/>
    <x v="0"/>
    <s v="Batter"/>
    <s v="Middle Order"/>
    <n v="29"/>
    <n v="23"/>
    <n v="126.09"/>
    <s v="not out"/>
    <n v="36.57"/>
    <n v="0"/>
    <n v="0"/>
    <n v="0"/>
    <n v="0"/>
    <n v="0"/>
    <n v="0"/>
    <n v="0"/>
    <n v="0"/>
    <n v="36.57"/>
    <n v="4"/>
    <s v="MIW"/>
    <s v="GGTW"/>
    <s v="Dr.DY Patil Sports"/>
    <n v="64"/>
    <n v="4.22"/>
    <n v="17"/>
    <n v="0"/>
    <n v="62"/>
    <s v="Failed"/>
    <n v="0"/>
    <n v="19.484999999999999"/>
  </r>
  <r>
    <x v="0"/>
    <n v="1"/>
    <s v="P007"/>
    <x v="6"/>
    <x v="0"/>
    <s v="Bowler"/>
    <s v="Lower Order"/>
    <n v="8"/>
    <n v="11"/>
    <n v="72.73"/>
    <s v="bowled"/>
    <n v="5.82"/>
    <n v="3"/>
    <n v="0"/>
    <n v="30"/>
    <n v="1"/>
    <n v="10"/>
    <n v="5"/>
    <n v="0"/>
    <n v="0"/>
    <n v="10.82"/>
    <n v="1"/>
    <s v="MIW"/>
    <s v="GGTW"/>
    <s v="Dr.DY Patil Sports"/>
    <n v="64"/>
    <n v="4.22"/>
    <n v="17"/>
    <n v="0"/>
    <n v="62"/>
    <s v="Failed"/>
    <n v="0"/>
    <n v="5.71"/>
  </r>
  <r>
    <x v="0"/>
    <n v="1"/>
    <s v="P008"/>
    <x v="7"/>
    <x v="0"/>
    <s v="Bowling Allrounder"/>
    <s v="Middle Order"/>
    <n v="1"/>
    <n v="2"/>
    <n v="50"/>
    <s v="lbw"/>
    <n v="0.5"/>
    <n v="4"/>
    <n v="0"/>
    <n v="43"/>
    <n v="2"/>
    <n v="10.8"/>
    <n v="28.4"/>
    <n v="0"/>
    <n v="0"/>
    <n v="28.9"/>
    <n v="3"/>
    <s v="MIW"/>
    <s v="GGTW"/>
    <s v="Dr.DY Patil Sports"/>
    <n v="64"/>
    <n v="4.22"/>
    <n v="17"/>
    <n v="0"/>
    <n v="62"/>
    <s v="Failed"/>
    <n v="0"/>
    <n v="15.35"/>
  </r>
  <r>
    <x v="0"/>
    <n v="1"/>
    <s v="P009"/>
    <x v="8"/>
    <x v="0"/>
    <s v="Bowler"/>
    <s v="Lower Order"/>
    <n v="0"/>
    <n v="3"/>
    <n v="0"/>
    <s v="caught"/>
    <n v="0"/>
    <n v="2"/>
    <n v="0"/>
    <n v="12"/>
    <n v="1"/>
    <n v="6"/>
    <n v="13"/>
    <n v="0"/>
    <n v="0"/>
    <n v="13"/>
    <n v="1"/>
    <s v="MIW"/>
    <s v="GGTW"/>
    <s v="Dr.DY Patil Sports"/>
    <n v="64"/>
    <n v="4.22"/>
    <n v="17"/>
    <n v="0"/>
    <n v="62"/>
    <s v="Failed"/>
    <n v="0"/>
    <n v="6.8"/>
  </r>
  <r>
    <x v="0"/>
    <n v="1"/>
    <s v="P010"/>
    <x v="9"/>
    <x v="0"/>
    <s v="Bowler"/>
    <s v="Lower Order"/>
    <n v="10"/>
    <n v="9"/>
    <n v="111.11"/>
    <s v="bowled"/>
    <n v="11.11"/>
    <n v="2"/>
    <n v="0"/>
    <n v="34"/>
    <n v="0"/>
    <n v="17"/>
    <n v="-34"/>
    <n v="0"/>
    <n v="0"/>
    <n v="-22.89"/>
    <n v="0"/>
    <s v="MIW"/>
    <s v="GGTW"/>
    <s v="Dr.DY Patil Sports"/>
    <n v="64"/>
    <n v="4.22"/>
    <n v="17"/>
    <n v="0"/>
    <n v="62"/>
    <s v="Failed"/>
    <n v="0"/>
    <n v="0"/>
  </r>
  <r>
    <x v="0"/>
    <n v="1"/>
    <s v="P011"/>
    <x v="10"/>
    <x v="0"/>
    <s v="Bowler"/>
    <s v="Lower Order"/>
    <n v="6"/>
    <n v="19"/>
    <n v="31.58"/>
    <s v="lbw"/>
    <n v="1.89"/>
    <n v="2"/>
    <n v="0"/>
    <n v="17"/>
    <n v="0"/>
    <n v="8.5"/>
    <n v="-17"/>
    <n v="0"/>
    <n v="0"/>
    <n v="-15.11"/>
    <n v="0"/>
    <s v="MIW"/>
    <s v="GGTW"/>
    <s v="Dr.DY Patil Sports"/>
    <n v="64"/>
    <n v="4.22"/>
    <n v="17"/>
    <n v="0"/>
    <n v="62"/>
    <s v="Failed"/>
    <n v="0"/>
    <n v="0"/>
  </r>
  <r>
    <x v="0"/>
    <n v="1"/>
    <s v="P012"/>
    <x v="11"/>
    <x v="1"/>
    <s v="Batting Allrounder"/>
    <s v="Opener"/>
    <n v="47"/>
    <n v="31"/>
    <n v="151.61000000000001"/>
    <s v="bowled"/>
    <n v="71.260000000000005"/>
    <n v="1"/>
    <n v="0"/>
    <n v="8"/>
    <n v="0"/>
    <n v="8"/>
    <n v="-16"/>
    <n v="0"/>
    <n v="0"/>
    <n v="55.26"/>
    <n v="6"/>
    <s v="MIW"/>
    <s v="GGTW"/>
    <s v="Dr.DY Patil Sports"/>
    <n v="207"/>
    <n v="10.35"/>
    <n v="44"/>
    <n v="48"/>
    <n v="44"/>
    <s v="NA"/>
    <n v="1"/>
    <n v="49.43"/>
  </r>
  <r>
    <x v="0"/>
    <n v="1"/>
    <s v="P013"/>
    <x v="12"/>
    <x v="1"/>
    <s v="WK-Batter"/>
    <s v="Opener"/>
    <n v="1"/>
    <n v="8"/>
    <n v="12.5"/>
    <s v="caught"/>
    <n v="0.13"/>
    <n v="0"/>
    <n v="0"/>
    <n v="0"/>
    <n v="0"/>
    <n v="0"/>
    <n v="0"/>
    <n v="0"/>
    <n v="0"/>
    <n v="0.13"/>
    <n v="0"/>
    <s v="MIW"/>
    <s v="GGTW"/>
    <s v="Dr.DY Patil Sports"/>
    <n v="207"/>
    <n v="10.35"/>
    <n v="44"/>
    <n v="48"/>
    <n v="44"/>
    <s v="NA"/>
    <n v="1"/>
    <n v="20.065000000000001"/>
  </r>
  <r>
    <x v="0"/>
    <n v="1"/>
    <s v="P014"/>
    <x v="13"/>
    <x v="1"/>
    <s v="Batting Allrounder"/>
    <s v="Middle Order"/>
    <n v="65"/>
    <n v="30"/>
    <n v="216.67"/>
    <s v="caught"/>
    <n v="140.84"/>
    <n v="0"/>
    <n v="0"/>
    <n v="0"/>
    <n v="0"/>
    <n v="0"/>
    <n v="0"/>
    <n v="0"/>
    <n v="0"/>
    <n v="140.84"/>
    <n v="10"/>
    <s v="MIW"/>
    <s v="GGTW"/>
    <s v="Dr.DY Patil Sports"/>
    <n v="207"/>
    <n v="10.35"/>
    <n v="44"/>
    <n v="48"/>
    <n v="44"/>
    <s v="NA"/>
    <n v="1"/>
    <n v="93.42"/>
  </r>
  <r>
    <x v="0"/>
    <n v="1"/>
    <s v="P015"/>
    <x v="14"/>
    <x v="1"/>
    <s v="Bowling Allrounder"/>
    <s v="Top Order"/>
    <n v="23"/>
    <n v="18"/>
    <n v="127.78"/>
    <s v="caught"/>
    <n v="29.39"/>
    <n v="2"/>
    <n v="0"/>
    <n v="5"/>
    <n v="2"/>
    <n v="2.5"/>
    <n v="45"/>
    <n v="0"/>
    <n v="0"/>
    <n v="74.39"/>
    <n v="7"/>
    <s v="MIW"/>
    <s v="GGTW"/>
    <s v="Dr.DY Patil Sports"/>
    <n v="207"/>
    <n v="10.35"/>
    <n v="44"/>
    <n v="48"/>
    <n v="44"/>
    <s v="NA"/>
    <n v="1"/>
    <n v="59.295000000000002"/>
  </r>
  <r>
    <x v="0"/>
    <n v="1"/>
    <s v="P016"/>
    <x v="15"/>
    <x v="1"/>
    <s v="Bowling Allrounder"/>
    <s v="Middle Order"/>
    <n v="45"/>
    <n v="24"/>
    <n v="187.5"/>
    <s v="not out"/>
    <n v="84.38"/>
    <n v="2"/>
    <n v="1"/>
    <n v="12"/>
    <n v="2"/>
    <n v="6"/>
    <n v="38"/>
    <n v="0"/>
    <n v="0"/>
    <n v="122.38"/>
    <n v="10"/>
    <s v="MIW"/>
    <s v="GGTW"/>
    <s v="Dr.DY Patil Sports"/>
    <n v="207"/>
    <n v="10.35"/>
    <n v="44"/>
    <n v="48"/>
    <n v="44"/>
    <s v="NA"/>
    <n v="1"/>
    <n v="84.19"/>
  </r>
  <r>
    <x v="0"/>
    <n v="1"/>
    <s v="P017"/>
    <x v="16"/>
    <x v="1"/>
    <s v="Batter"/>
    <s v="Middle Order"/>
    <n v="0"/>
    <n v="0"/>
    <n v="0"/>
    <s v="DNB"/>
    <n v="0"/>
    <n v="0"/>
    <n v="0"/>
    <n v="0"/>
    <n v="0"/>
    <n v="0"/>
    <n v="0"/>
    <n v="0"/>
    <n v="0"/>
    <n v="0"/>
    <n v="0"/>
    <s v="MIW"/>
    <s v="GGTW"/>
    <s v="Dr.DY Patil Sports"/>
    <n v="207"/>
    <n v="10.35"/>
    <n v="44"/>
    <n v="48"/>
    <n v="44"/>
    <s v="NA"/>
    <n v="1"/>
    <n v="20"/>
  </r>
  <r>
    <x v="0"/>
    <n v="1"/>
    <s v="P018"/>
    <x v="17"/>
    <x v="1"/>
    <s v="Bowling Allrounder"/>
    <s v="Middle Order"/>
    <n v="15"/>
    <n v="8"/>
    <n v="187.5"/>
    <s v="caught"/>
    <n v="28.13"/>
    <n v="2"/>
    <n v="0"/>
    <n v="9"/>
    <n v="0"/>
    <n v="4.5"/>
    <n v="-9"/>
    <n v="0"/>
    <n v="0"/>
    <n v="19.13"/>
    <n v="2"/>
    <s v="MIW"/>
    <s v="GGTW"/>
    <s v="Dr.DY Patil Sports"/>
    <n v="207"/>
    <n v="10.35"/>
    <n v="44"/>
    <n v="48"/>
    <n v="44"/>
    <s v="NA"/>
    <n v="1"/>
    <n v="30.164999999999999"/>
  </r>
  <r>
    <x v="0"/>
    <n v="1"/>
    <s v="P019"/>
    <x v="18"/>
    <x v="1"/>
    <s v="Batting Allrounder"/>
    <s v="Middle Order"/>
    <n v="0"/>
    <n v="0"/>
    <n v="0"/>
    <s v="DNB"/>
    <n v="0"/>
    <n v="0"/>
    <n v="0"/>
    <n v="0"/>
    <n v="0"/>
    <n v="0"/>
    <n v="0"/>
    <n v="0"/>
    <n v="0"/>
    <n v="0"/>
    <n v="0"/>
    <s v="MIW"/>
    <s v="GGTW"/>
    <s v="Dr.DY Patil Sports"/>
    <n v="207"/>
    <n v="10.35"/>
    <n v="44"/>
    <n v="48"/>
    <n v="44"/>
    <s v="NA"/>
    <n v="1"/>
    <n v="20"/>
  </r>
  <r>
    <x v="0"/>
    <n v="1"/>
    <s v="P020"/>
    <x v="19"/>
    <x v="1"/>
    <s v="Bowler"/>
    <s v="Lower Order"/>
    <n v="6"/>
    <n v="1"/>
    <n v="600"/>
    <s v="not out"/>
    <n v="36"/>
    <n v="3"/>
    <n v="0"/>
    <n v="7"/>
    <n v="1"/>
    <n v="2.2999999999999998"/>
    <n v="20.399999999999999"/>
    <n v="0"/>
    <n v="0"/>
    <n v="56.4"/>
    <n v="6"/>
    <s v="MIW"/>
    <s v="GGTW"/>
    <s v="Dr.DY Patil Sports"/>
    <n v="207"/>
    <n v="10.35"/>
    <n v="44"/>
    <n v="48"/>
    <n v="44"/>
    <s v="NA"/>
    <n v="1"/>
    <n v="50"/>
  </r>
  <r>
    <x v="0"/>
    <n v="1"/>
    <s v="P021"/>
    <x v="20"/>
    <x v="1"/>
    <s v="Bowling Allrounder"/>
    <s v="Lower Order"/>
    <n v="0"/>
    <n v="0"/>
    <n v="0"/>
    <s v="DNB"/>
    <n v="0"/>
    <n v="2"/>
    <n v="0"/>
    <n v="12"/>
    <n v="0"/>
    <n v="6"/>
    <n v="-12"/>
    <n v="0"/>
    <n v="0"/>
    <n v="-12"/>
    <n v="0"/>
    <s v="MIW"/>
    <s v="GGTW"/>
    <s v="Dr.DY Patil Sports"/>
    <n v="207"/>
    <n v="10.35"/>
    <n v="44"/>
    <n v="48"/>
    <n v="44"/>
    <s v="NA"/>
    <n v="1"/>
    <n v="20"/>
  </r>
  <r>
    <x v="0"/>
    <n v="1"/>
    <s v="P022"/>
    <x v="21"/>
    <x v="1"/>
    <s v="Bowler"/>
    <s v="Lower Order"/>
    <n v="0"/>
    <n v="0"/>
    <n v="0"/>
    <s v="DNB"/>
    <n v="0"/>
    <n v="3.1"/>
    <n v="1"/>
    <n v="11"/>
    <n v="4"/>
    <n v="3.5"/>
    <n v="93"/>
    <n v="0"/>
    <n v="0"/>
    <n v="93"/>
    <n v="9"/>
    <s v="MIW"/>
    <s v="GGTW"/>
    <s v="Dr.DY Patil Sports"/>
    <n v="207"/>
    <n v="10.35"/>
    <n v="44"/>
    <n v="48"/>
    <n v="44"/>
    <s v="NA"/>
    <n v="1"/>
    <n v="69.2"/>
  </r>
  <r>
    <x v="1"/>
    <n v="1"/>
    <s v="P023"/>
    <x v="22"/>
    <x v="2"/>
    <s v="Batter"/>
    <s v="Opener"/>
    <n v="35"/>
    <n v="23"/>
    <n v="152.16999999999999"/>
    <s v="caught"/>
    <n v="53.26"/>
    <n v="0"/>
    <n v="0"/>
    <n v="0"/>
    <n v="0"/>
    <n v="0"/>
    <n v="0"/>
    <n v="0"/>
    <n v="0"/>
    <n v="53.26"/>
    <n v="5"/>
    <s v="DCW"/>
    <s v="RCBW"/>
    <s v="Brabourne Stadium"/>
    <n v="163"/>
    <n v="8.15"/>
    <n v="54"/>
    <n v="39"/>
    <n v="39"/>
    <s v="Failed"/>
    <n v="0"/>
    <n v="28.13"/>
  </r>
  <r>
    <x v="1"/>
    <n v="1"/>
    <s v="P024"/>
    <x v="23"/>
    <x v="2"/>
    <s v="Allrounder"/>
    <s v="Opener"/>
    <n v="14"/>
    <n v="11"/>
    <n v="127.27"/>
    <s v="caught"/>
    <n v="17.82"/>
    <n v="1"/>
    <n v="0"/>
    <n v="20"/>
    <n v="0"/>
    <n v="20"/>
    <n v="-40"/>
    <n v="0"/>
    <n v="0"/>
    <n v="-22.18"/>
    <n v="0"/>
    <s v="DCW"/>
    <s v="RCBW"/>
    <s v="Brabourne Stadium"/>
    <n v="163"/>
    <n v="8.15"/>
    <n v="54"/>
    <n v="39"/>
    <n v="39"/>
    <s v="Failed"/>
    <n v="0"/>
    <n v="0"/>
  </r>
  <r>
    <x v="1"/>
    <n v="1"/>
    <s v="P025"/>
    <x v="24"/>
    <x v="2"/>
    <s v="Allrounder"/>
    <s v="Middle Order"/>
    <n v="34"/>
    <n v="21"/>
    <n v="161.9"/>
    <s v="caught"/>
    <n v="55.05"/>
    <n v="3"/>
    <n v="0"/>
    <n v="40"/>
    <n v="2"/>
    <n v="13.3"/>
    <n v="23.4"/>
    <n v="0"/>
    <n v="0"/>
    <n v="78.45"/>
    <n v="8"/>
    <s v="DCW"/>
    <s v="RCBW"/>
    <s v="Brabourne Stadium"/>
    <n v="163"/>
    <n v="8.15"/>
    <n v="54"/>
    <n v="39"/>
    <n v="39"/>
    <s v="Failed"/>
    <n v="0"/>
    <n v="41.625"/>
  </r>
  <r>
    <x v="1"/>
    <n v="1"/>
    <s v="P026"/>
    <x v="25"/>
    <x v="2"/>
    <s v="Batter"/>
    <s v="Middle Order"/>
    <n v="9"/>
    <n v="11"/>
    <n v="81.819999999999993"/>
    <s v="caught"/>
    <n v="7.36"/>
    <n v="0"/>
    <n v="0"/>
    <n v="0"/>
    <n v="0"/>
    <n v="0"/>
    <n v="0"/>
    <n v="0"/>
    <n v="0"/>
    <n v="7.36"/>
    <n v="1"/>
    <s v="DCW"/>
    <s v="RCBW"/>
    <s v="Brabourne Stadium"/>
    <n v="163"/>
    <n v="8.15"/>
    <n v="54"/>
    <n v="39"/>
    <n v="39"/>
    <s v="Failed"/>
    <n v="0"/>
    <n v="3.98"/>
  </r>
  <r>
    <x v="1"/>
    <n v="1"/>
    <s v="P027"/>
    <x v="26"/>
    <x v="2"/>
    <s v="Batting Allrounder"/>
    <s v="Middle Order"/>
    <n v="31"/>
    <n v="19"/>
    <n v="163.16"/>
    <s v="bowled"/>
    <n v="50.58"/>
    <n v="3"/>
    <n v="0"/>
    <n v="29"/>
    <n v="0"/>
    <n v="9.6999999999999993"/>
    <n v="-19.399999999999999"/>
    <n v="0"/>
    <n v="0"/>
    <n v="31.18"/>
    <n v="3"/>
    <s v="DCW"/>
    <s v="RCBW"/>
    <s v="Brabourne Stadium"/>
    <n v="163"/>
    <n v="8.15"/>
    <n v="54"/>
    <n v="39"/>
    <n v="39"/>
    <s v="Failed"/>
    <n v="0"/>
    <n v="16.489999999999998"/>
  </r>
  <r>
    <x v="1"/>
    <n v="1"/>
    <s v="P028"/>
    <x v="27"/>
    <x v="2"/>
    <s v="WK-Batter"/>
    <s v="Middle Order"/>
    <n v="2"/>
    <n v="4"/>
    <n v="50"/>
    <s v="caught"/>
    <n v="1"/>
    <n v="0"/>
    <n v="0"/>
    <n v="0"/>
    <n v="0"/>
    <n v="0"/>
    <n v="0"/>
    <n v="0"/>
    <n v="0"/>
    <n v="1"/>
    <n v="0"/>
    <s v="DCW"/>
    <s v="RCBW"/>
    <s v="Brabourne Stadium"/>
    <n v="163"/>
    <n v="8.15"/>
    <n v="54"/>
    <n v="39"/>
    <n v="39"/>
    <s v="Failed"/>
    <n v="0"/>
    <n v="0.5"/>
  </r>
  <r>
    <x v="1"/>
    <n v="1"/>
    <s v="P029"/>
    <x v="28"/>
    <x v="2"/>
    <s v="Batting Allrounder"/>
    <s v="Lower Order"/>
    <n v="0"/>
    <n v="1"/>
    <n v="0"/>
    <s v="caught"/>
    <n v="0"/>
    <n v="0"/>
    <n v="0"/>
    <n v="0"/>
    <n v="0"/>
    <n v="0"/>
    <n v="0"/>
    <n v="0"/>
    <n v="0"/>
    <n v="0"/>
    <n v="0"/>
    <s v="DCW"/>
    <s v="RCBW"/>
    <s v="Brabourne Stadium"/>
    <n v="163"/>
    <n v="8.15"/>
    <n v="54"/>
    <n v="39"/>
    <n v="39"/>
    <s v="Failed"/>
    <n v="0"/>
    <n v="0"/>
  </r>
  <r>
    <x v="1"/>
    <n v="1"/>
    <s v="P030"/>
    <x v="29"/>
    <x v="2"/>
    <s v="Bowling Allrounder"/>
    <s v="Lower Order"/>
    <n v="2"/>
    <n v="3"/>
    <n v="66.67"/>
    <s v="caught"/>
    <n v="1.33"/>
    <n v="2"/>
    <n v="0"/>
    <n v="29"/>
    <n v="0"/>
    <n v="14.5"/>
    <n v="-29"/>
    <n v="0"/>
    <n v="0"/>
    <n v="-27.67"/>
    <n v="0"/>
    <s v="DCW"/>
    <s v="RCBW"/>
    <s v="Brabourne Stadium"/>
    <n v="163"/>
    <n v="8.15"/>
    <n v="54"/>
    <n v="39"/>
    <n v="39"/>
    <s v="Failed"/>
    <n v="0"/>
    <n v="0"/>
  </r>
  <r>
    <x v="1"/>
    <n v="1"/>
    <s v="P031"/>
    <x v="30"/>
    <x v="2"/>
    <s v="Bowler"/>
    <s v="Lower Order"/>
    <n v="2"/>
    <n v="8"/>
    <n v="25"/>
    <s v="not out"/>
    <n v="0.5"/>
    <n v="4"/>
    <n v="0"/>
    <n v="35"/>
    <n v="0"/>
    <n v="8.8000000000000007"/>
    <n v="-17.600000000000001"/>
    <n v="0"/>
    <n v="0"/>
    <n v="-17.100000000000001"/>
    <n v="0"/>
    <s v="DCW"/>
    <s v="RCBW"/>
    <s v="Brabourne Stadium"/>
    <n v="163"/>
    <n v="8.15"/>
    <n v="54"/>
    <n v="39"/>
    <n v="39"/>
    <s v="Failed"/>
    <n v="0"/>
    <n v="0"/>
  </r>
  <r>
    <x v="1"/>
    <n v="1"/>
    <s v="P032"/>
    <x v="31"/>
    <x v="2"/>
    <s v="Bowler"/>
    <s v="Lower Order"/>
    <n v="30"/>
    <n v="19"/>
    <n v="157.88999999999999"/>
    <s v="not out"/>
    <n v="47.37"/>
    <n v="4"/>
    <n v="0"/>
    <n v="45"/>
    <n v="0"/>
    <n v="11.2"/>
    <n v="-22.4"/>
    <n v="0"/>
    <n v="0"/>
    <n v="24.97"/>
    <n v="2"/>
    <s v="DCW"/>
    <s v="RCBW"/>
    <s v="Brabourne Stadium"/>
    <n v="163"/>
    <n v="8.15"/>
    <n v="54"/>
    <n v="39"/>
    <n v="39"/>
    <s v="Failed"/>
    <n v="0"/>
    <n v="13.084999999999999"/>
  </r>
  <r>
    <x v="1"/>
    <n v="1"/>
    <s v="P033"/>
    <x v="32"/>
    <x v="2"/>
    <s v="Bowler"/>
    <s v="Lower Order"/>
    <n v="0"/>
    <n v="0"/>
    <n v="0"/>
    <s v="DNB"/>
    <n v="0"/>
    <n v="3"/>
    <n v="0"/>
    <n v="24"/>
    <n v="0"/>
    <n v="8"/>
    <n v="-16"/>
    <n v="0"/>
    <n v="0"/>
    <n v="-16"/>
    <n v="0"/>
    <s v="DCW"/>
    <s v="RCBW"/>
    <s v="Brabourne Stadium"/>
    <n v="163"/>
    <n v="8.15"/>
    <n v="54"/>
    <n v="39"/>
    <n v="39"/>
    <s v="Failed"/>
    <n v="0"/>
    <n v="0"/>
  </r>
  <r>
    <x v="1"/>
    <n v="1"/>
    <s v="P034"/>
    <x v="33"/>
    <x v="3"/>
    <s v="Batter"/>
    <s v="Opener"/>
    <n v="84"/>
    <n v="45"/>
    <n v="186.67"/>
    <s v="caught"/>
    <n v="156.80000000000001"/>
    <n v="0"/>
    <n v="0"/>
    <n v="0"/>
    <n v="0"/>
    <n v="0"/>
    <n v="0"/>
    <n v="1"/>
    <n v="0"/>
    <n v="156.80000000000001"/>
    <n v="10"/>
    <s v="DCW"/>
    <s v="RCBW"/>
    <s v="Brabourne Stadium"/>
    <n v="223"/>
    <n v="11.15"/>
    <n v="57"/>
    <n v="46"/>
    <n v="28"/>
    <s v="NA"/>
    <n v="1"/>
    <n v="101.4"/>
  </r>
  <r>
    <x v="1"/>
    <n v="1"/>
    <s v="P035"/>
    <x v="34"/>
    <x v="3"/>
    <s v="Batter"/>
    <s v="Opener"/>
    <n v="72"/>
    <n v="43"/>
    <n v="167.44"/>
    <s v="bowled"/>
    <n v="120.56"/>
    <n v="0"/>
    <n v="0"/>
    <n v="0"/>
    <n v="0"/>
    <n v="0"/>
    <n v="0"/>
    <n v="1"/>
    <n v="0"/>
    <n v="120.56"/>
    <n v="10"/>
    <s v="DCW"/>
    <s v="RCBW"/>
    <s v="Brabourne Stadium"/>
    <n v="223"/>
    <n v="11.15"/>
    <n v="57"/>
    <n v="46"/>
    <n v="28"/>
    <s v="NA"/>
    <n v="1"/>
    <n v="83.28"/>
  </r>
  <r>
    <x v="1"/>
    <n v="1"/>
    <s v="P036"/>
    <x v="35"/>
    <x v="3"/>
    <s v="Allrounder"/>
    <s v="Middle Order"/>
    <n v="39"/>
    <n v="17"/>
    <n v="229.41"/>
    <s v="not out"/>
    <n v="89.47"/>
    <n v="4"/>
    <n v="0"/>
    <n v="36"/>
    <n v="0"/>
    <n v="9"/>
    <n v="-18"/>
    <n v="0"/>
    <n v="0"/>
    <n v="71.47"/>
    <n v="7"/>
    <s v="DCW"/>
    <s v="RCBW"/>
    <s v="Brabourne Stadium"/>
    <n v="223"/>
    <n v="11.15"/>
    <n v="57"/>
    <n v="46"/>
    <n v="28"/>
    <s v="NA"/>
    <n v="1"/>
    <n v="57.835000000000001"/>
  </r>
  <r>
    <x v="1"/>
    <n v="1"/>
    <s v="P037"/>
    <x v="36"/>
    <x v="3"/>
    <s v="Batter"/>
    <s v="Middle Order"/>
    <n v="22"/>
    <n v="15"/>
    <n v="146.66999999999999"/>
    <s v="not out"/>
    <n v="32.270000000000003"/>
    <n v="0"/>
    <n v="0"/>
    <n v="0"/>
    <n v="0"/>
    <n v="0"/>
    <n v="0"/>
    <n v="0"/>
    <n v="0"/>
    <n v="32.270000000000003"/>
    <n v="3"/>
    <s v="DCW"/>
    <s v="RCBW"/>
    <s v="Brabourne Stadium"/>
    <n v="223"/>
    <n v="11.15"/>
    <n v="57"/>
    <n v="46"/>
    <n v="28"/>
    <s v="NA"/>
    <n v="1"/>
    <n v="37.034999999999997"/>
  </r>
  <r>
    <x v="1"/>
    <n v="1"/>
    <s v="P038"/>
    <x v="37"/>
    <x v="3"/>
    <s v="Batting Allrounder"/>
    <s v="Lower Order"/>
    <n v="0"/>
    <n v="0"/>
    <n v="0"/>
    <s v="DNB"/>
    <n v="0"/>
    <n v="2"/>
    <n v="0"/>
    <n v="10"/>
    <n v="2"/>
    <n v="5"/>
    <n v="40"/>
    <n v="1"/>
    <n v="0"/>
    <n v="40"/>
    <n v="4"/>
    <s v="DCW"/>
    <s v="RCBW"/>
    <s v="Brabourne Stadium"/>
    <n v="223"/>
    <n v="11.15"/>
    <n v="57"/>
    <n v="46"/>
    <n v="28"/>
    <s v="NA"/>
    <n v="1"/>
    <n v="41.2"/>
  </r>
  <r>
    <x v="1"/>
    <n v="1"/>
    <s v="P039"/>
    <x v="38"/>
    <x v="3"/>
    <s v="Bowling Allrounder"/>
    <s v="Lower Order"/>
    <n v="0"/>
    <n v="0"/>
    <n v="0"/>
    <s v="DNB"/>
    <n v="0"/>
    <n v="4"/>
    <n v="0"/>
    <n v="28"/>
    <n v="0"/>
    <n v="7"/>
    <n v="-14"/>
    <n v="0"/>
    <n v="0"/>
    <n v="-14"/>
    <n v="0"/>
    <s v="DCW"/>
    <s v="RCBW"/>
    <s v="Brabourne Stadium"/>
    <n v="223"/>
    <n v="11.15"/>
    <n v="57"/>
    <n v="46"/>
    <n v="28"/>
    <s v="NA"/>
    <n v="1"/>
    <n v="20"/>
  </r>
  <r>
    <x v="1"/>
    <n v="1"/>
    <s v="P040"/>
    <x v="39"/>
    <x v="3"/>
    <s v="WK-Batter"/>
    <s v="Lower Order"/>
    <n v="0"/>
    <n v="0"/>
    <n v="0"/>
    <s v="DNB"/>
    <n v="0"/>
    <n v="0"/>
    <n v="0"/>
    <n v="0"/>
    <n v="0"/>
    <n v="0"/>
    <n v="0"/>
    <n v="0"/>
    <n v="0"/>
    <n v="0"/>
    <n v="0"/>
    <s v="DCW"/>
    <s v="RCBW"/>
    <s v="Brabourne Stadium"/>
    <n v="223"/>
    <n v="11.15"/>
    <n v="57"/>
    <n v="46"/>
    <n v="28"/>
    <s v="NA"/>
    <n v="1"/>
    <n v="20"/>
  </r>
  <r>
    <x v="1"/>
    <n v="1"/>
    <s v="P041"/>
    <x v="40"/>
    <x v="3"/>
    <s v="Bowler"/>
    <s v="Lower Order"/>
    <n v="0"/>
    <n v="0"/>
    <n v="0"/>
    <s v="DNB"/>
    <n v="0"/>
    <n v="0"/>
    <n v="0"/>
    <n v="0"/>
    <n v="0"/>
    <n v="0"/>
    <n v="0"/>
    <n v="0"/>
    <n v="0"/>
    <n v="0"/>
    <n v="0"/>
    <s v="DCW"/>
    <s v="RCBW"/>
    <s v="Brabourne Stadium"/>
    <n v="223"/>
    <n v="11.15"/>
    <n v="57"/>
    <n v="46"/>
    <n v="28"/>
    <s v="NA"/>
    <n v="1"/>
    <n v="20"/>
  </r>
  <r>
    <x v="1"/>
    <n v="1"/>
    <s v="P042"/>
    <x v="41"/>
    <x v="3"/>
    <s v="Bowling Allrounder"/>
    <s v="Lower Order"/>
    <n v="0"/>
    <n v="0"/>
    <n v="0"/>
    <s v="DNB"/>
    <n v="0"/>
    <n v="4"/>
    <n v="0"/>
    <n v="35"/>
    <n v="1"/>
    <n v="8.8000000000000007"/>
    <n v="7.4"/>
    <n v="1"/>
    <n v="0"/>
    <n v="7.4"/>
    <n v="1"/>
    <s v="DCW"/>
    <s v="RCBW"/>
    <s v="Brabourne Stadium"/>
    <n v="223"/>
    <n v="11.15"/>
    <n v="57"/>
    <n v="46"/>
    <n v="28"/>
    <s v="NA"/>
    <n v="1"/>
    <n v="24"/>
  </r>
  <r>
    <x v="1"/>
    <n v="1"/>
    <s v="P043"/>
    <x v="42"/>
    <x v="3"/>
    <s v="Bowler"/>
    <s v="Lower Order"/>
    <n v="0"/>
    <n v="0"/>
    <n v="0"/>
    <s v="DNB"/>
    <n v="0"/>
    <n v="2"/>
    <n v="0"/>
    <n v="24"/>
    <n v="0"/>
    <n v="12"/>
    <n v="-24"/>
    <n v="1"/>
    <n v="0"/>
    <n v="-24"/>
    <n v="0"/>
    <s v="DCW"/>
    <s v="RCBW"/>
    <s v="Brabourne Stadium"/>
    <n v="223"/>
    <n v="11.15"/>
    <n v="57"/>
    <n v="46"/>
    <n v="28"/>
    <s v="NA"/>
    <n v="1"/>
    <n v="20"/>
  </r>
  <r>
    <x v="1"/>
    <n v="1"/>
    <s v="P044"/>
    <x v="43"/>
    <x v="3"/>
    <s v="Bowler"/>
    <s v="Lower Order"/>
    <n v="0"/>
    <n v="0"/>
    <n v="0"/>
    <s v="DNB"/>
    <n v="0"/>
    <n v="4"/>
    <n v="0"/>
    <n v="29"/>
    <n v="5"/>
    <n v="7.2"/>
    <n v="110.6"/>
    <n v="0"/>
    <n v="0"/>
    <n v="110.6"/>
    <n v="10"/>
    <s v="DCW"/>
    <s v="RCBW"/>
    <s v="Brabourne Stadium"/>
    <n v="223"/>
    <n v="11.15"/>
    <n v="57"/>
    <n v="46"/>
    <n v="28"/>
    <s v="NA"/>
    <n v="1"/>
    <n v="78.3"/>
  </r>
  <r>
    <x v="2"/>
    <n v="1"/>
    <s v="P045"/>
    <x v="44"/>
    <x v="4"/>
    <s v="WK-Batter"/>
    <s v="Opener"/>
    <n v="7"/>
    <n v="8"/>
    <n v="87.5"/>
    <s v="caught"/>
    <n v="6"/>
    <n v="0"/>
    <n v="0"/>
    <n v="0"/>
    <n v="0"/>
    <n v="0"/>
    <n v="0"/>
    <n v="0"/>
    <n v="0"/>
    <n v="6"/>
    <n v="1"/>
    <s v="UPW"/>
    <s v="GGTW"/>
    <s v="Dr DY Patil Sports "/>
    <n v="175"/>
    <n v="8.82"/>
    <n v="35"/>
    <n v="68"/>
    <n v="33"/>
    <s v="Successful"/>
    <n v="1"/>
    <n v="23.3"/>
  </r>
  <r>
    <x v="2"/>
    <n v="1"/>
    <s v="P046"/>
    <x v="45"/>
    <x v="4"/>
    <s v="Batter"/>
    <s v="Opener"/>
    <n v="5"/>
    <n v="6"/>
    <n v="83.3"/>
    <s v="caught"/>
    <n v="4"/>
    <n v="0"/>
    <n v="0"/>
    <n v="0"/>
    <n v="0"/>
    <n v="0"/>
    <n v="0"/>
    <n v="0"/>
    <n v="0"/>
    <n v="4"/>
    <n v="0"/>
    <s v="UPW"/>
    <s v="GGTW"/>
    <s v="Dr DY Patil Sports "/>
    <n v="175"/>
    <n v="8.82"/>
    <n v="35"/>
    <n v="68"/>
    <n v="33"/>
    <s v="Successful"/>
    <n v="1"/>
    <n v="22"/>
  </r>
  <r>
    <x v="2"/>
    <n v="1"/>
    <s v="P047"/>
    <x v="46"/>
    <x v="4"/>
    <s v="Allrounder"/>
    <s v="Top Order"/>
    <n v="0"/>
    <n v="1"/>
    <n v="0"/>
    <s v="caught"/>
    <n v="0"/>
    <n v="2"/>
    <n v="0"/>
    <n v="18"/>
    <n v="1"/>
    <n v="9"/>
    <n v="15"/>
    <n v="0"/>
    <n v="0"/>
    <n v="15"/>
    <n v="2"/>
    <s v="UPW"/>
    <s v="GGTW"/>
    <s v="Dr DY Patil Sports "/>
    <n v="175"/>
    <n v="8.82"/>
    <n v="35"/>
    <n v="68"/>
    <n v="33"/>
    <s v="Successful"/>
    <n v="1"/>
    <n v="28.1"/>
  </r>
  <r>
    <x v="2"/>
    <n v="1"/>
    <s v="P048"/>
    <x v="47"/>
    <x v="4"/>
    <s v="Batting Allrounder"/>
    <s v="Middle Order"/>
    <n v="11"/>
    <n v="16"/>
    <n v="68.7"/>
    <s v="bowled"/>
    <n v="8"/>
    <n v="4"/>
    <n v="0"/>
    <n v="27"/>
    <n v="2"/>
    <n v="6.8"/>
    <n v="40"/>
    <n v="0"/>
    <n v="0"/>
    <n v="48"/>
    <n v="5"/>
    <s v="UPW"/>
    <s v="GGTW"/>
    <s v="Dr DY Patil Sports "/>
    <n v="175"/>
    <n v="8.82"/>
    <n v="35"/>
    <n v="68"/>
    <n v="33"/>
    <s v="Successful"/>
    <n v="1"/>
    <n v="45.5"/>
  </r>
  <r>
    <x v="2"/>
    <n v="1"/>
    <s v="P049"/>
    <x v="48"/>
    <x v="4"/>
    <s v="Allrounder"/>
    <s v="Middle Order"/>
    <n v="59"/>
    <n v="26"/>
    <n v="226.9"/>
    <s v="not out"/>
    <n v="90"/>
    <n v="0"/>
    <n v="0"/>
    <n v="0"/>
    <n v="0"/>
    <n v="0"/>
    <n v="0"/>
    <n v="0"/>
    <n v="0"/>
    <n v="90"/>
    <n v="9"/>
    <s v="UPW"/>
    <s v="GGTW"/>
    <s v="Dr DY Patil Sports "/>
    <n v="175"/>
    <n v="8.82"/>
    <n v="35"/>
    <n v="68"/>
    <n v="33"/>
    <s v="Successful"/>
    <n v="1"/>
    <n v="67.7"/>
  </r>
  <r>
    <x v="2"/>
    <n v="1"/>
    <s v="P050"/>
    <x v="49"/>
    <x v="4"/>
    <s v="Batter"/>
    <s v="Lower Order"/>
    <n v="0"/>
    <n v="1"/>
    <n v="0"/>
    <s v="bowled"/>
    <n v="0"/>
    <n v="0"/>
    <n v="0"/>
    <n v="0"/>
    <n v="0"/>
    <n v="0"/>
    <n v="0"/>
    <n v="0"/>
    <n v="0"/>
    <n v="0"/>
    <n v="0"/>
    <s v="UPW"/>
    <s v="GGTW"/>
    <s v="Dr DY Patil Sports "/>
    <n v="175"/>
    <n v="8.82"/>
    <n v="35"/>
    <n v="68"/>
    <n v="33"/>
    <s v="Successful"/>
    <n v="1"/>
    <n v="20"/>
  </r>
  <r>
    <x v="2"/>
    <n v="1"/>
    <s v="P051"/>
    <x v="50"/>
    <x v="4"/>
    <s v="Batter"/>
    <s v="Top Order"/>
    <n v="53"/>
    <n v="43"/>
    <n v="123.2"/>
    <s v="caught"/>
    <n v="65"/>
    <n v="0"/>
    <n v="0"/>
    <n v="0"/>
    <n v="0"/>
    <n v="0"/>
    <n v="0"/>
    <n v="0"/>
    <n v="0"/>
    <n v="65"/>
    <n v="7"/>
    <s v="UPW"/>
    <s v="GGTW"/>
    <s v="Dr DY Patil Sports "/>
    <n v="175"/>
    <n v="8.82"/>
    <n v="35"/>
    <n v="68"/>
    <n v="33"/>
    <s v="Successful"/>
    <n v="1"/>
    <n v="54.6"/>
  </r>
  <r>
    <x v="2"/>
    <n v="1"/>
    <s v="P052"/>
    <x v="51"/>
    <x v="4"/>
    <s v="Batting Allrounder"/>
    <s v="Lower Order"/>
    <n v="4"/>
    <n v="7"/>
    <n v="57.1"/>
    <s v="caught"/>
    <n v="3"/>
    <n v="2"/>
    <n v="0"/>
    <n v="24"/>
    <n v="0"/>
    <n v="12"/>
    <n v="0"/>
    <n v="0"/>
    <n v="0"/>
    <n v="3"/>
    <n v="0"/>
    <s v="UPW"/>
    <s v="GGTW"/>
    <s v="Dr DY Patil Sports "/>
    <n v="175"/>
    <n v="8.82"/>
    <n v="35"/>
    <n v="68"/>
    <n v="33"/>
    <s v="Successful"/>
    <n v="1"/>
    <n v="21.5"/>
  </r>
  <r>
    <x v="2"/>
    <n v="1"/>
    <s v="P053"/>
    <x v="52"/>
    <x v="4"/>
    <s v="Bowling Allrounder"/>
    <s v="Lower Order"/>
    <n v="22"/>
    <n v="12"/>
    <n v="183.3"/>
    <s v="not out"/>
    <n v="28"/>
    <n v="4"/>
    <n v="0"/>
    <n v="25"/>
    <n v="2"/>
    <n v="6.2"/>
    <n v="40"/>
    <n v="0"/>
    <n v="0"/>
    <n v="68"/>
    <n v="7"/>
    <s v="UPW"/>
    <s v="GGTW"/>
    <s v="Dr DY Patil Sports "/>
    <n v="175"/>
    <n v="8.82"/>
    <n v="35"/>
    <n v="68"/>
    <n v="33"/>
    <s v="Successful"/>
    <n v="1"/>
    <n v="56.1"/>
  </r>
  <r>
    <x v="2"/>
    <n v="1"/>
    <s v="P054"/>
    <x v="53"/>
    <x v="4"/>
    <s v="Bowler"/>
    <s v="Lower Order"/>
    <n v="0"/>
    <n v="0"/>
    <n v="0"/>
    <s v="DNB"/>
    <n v="0"/>
    <n v="4"/>
    <n v="0"/>
    <n v="43"/>
    <n v="1"/>
    <n v="10.8"/>
    <n v="15"/>
    <n v="0"/>
    <n v="0"/>
    <n v="15"/>
    <n v="2"/>
    <s v="UPW"/>
    <s v="GGTW"/>
    <s v="Dr DY Patil Sports "/>
    <n v="175"/>
    <n v="8.82"/>
    <n v="35"/>
    <n v="68"/>
    <n v="33"/>
    <s v="Successful"/>
    <n v="1"/>
    <n v="28.1"/>
  </r>
  <r>
    <x v="2"/>
    <n v="1"/>
    <s v="P055"/>
    <x v="54"/>
    <x v="4"/>
    <s v="Bowler"/>
    <s v="Lower Order"/>
    <n v="0"/>
    <n v="0"/>
    <n v="0"/>
    <s v="DNB"/>
    <n v="0"/>
    <n v="4"/>
    <n v="0"/>
    <n v="30"/>
    <n v="0"/>
    <n v="7.5"/>
    <n v="0"/>
    <n v="0"/>
    <n v="0"/>
    <n v="0"/>
    <n v="0"/>
    <s v="UPW"/>
    <s v="GGTW"/>
    <s v="Dr DY Patil Sports "/>
    <n v="175"/>
    <n v="8.82"/>
    <n v="35"/>
    <n v="68"/>
    <n v="33"/>
    <s v="Successful"/>
    <n v="1"/>
    <n v="20"/>
  </r>
  <r>
    <x v="2"/>
    <n v="1"/>
    <s v="P002"/>
    <x v="1"/>
    <x v="0"/>
    <s v="Batter"/>
    <s v="Opener"/>
    <n v="24"/>
    <n v="15"/>
    <n v="160"/>
    <s v="caught"/>
    <n v="30"/>
    <n v="0"/>
    <n v="0"/>
    <n v="0"/>
    <n v="0"/>
    <n v="0"/>
    <n v="0"/>
    <n v="0"/>
    <n v="0"/>
    <n v="30"/>
    <n v="3"/>
    <s v="UPW"/>
    <s v="GGTW"/>
    <s v="Dr DY Patil Sports "/>
    <n v="169"/>
    <n v="8.4499999999999993"/>
    <n v="45"/>
    <n v="46"/>
    <n v="40"/>
    <s v="NA"/>
    <n v="0"/>
    <n v="15.9"/>
  </r>
  <r>
    <x v="2"/>
    <n v="1"/>
    <s v="P056"/>
    <x v="55"/>
    <x v="0"/>
    <s v="Batter"/>
    <s v="Opener"/>
    <n v="13"/>
    <n v="11"/>
    <n v="118.2"/>
    <s v="bowled"/>
    <n v="14"/>
    <n v="0"/>
    <n v="0"/>
    <n v="0"/>
    <n v="0"/>
    <n v="0"/>
    <n v="0"/>
    <n v="0"/>
    <n v="0"/>
    <n v="14"/>
    <n v="1"/>
    <s v="UPW"/>
    <s v="GGTW"/>
    <s v="Dr DY Patil Sports "/>
    <n v="169"/>
    <n v="8.4499999999999993"/>
    <n v="45"/>
    <n v="46"/>
    <n v="40"/>
    <s v="NA"/>
    <n v="0"/>
    <n v="7.3"/>
  </r>
  <r>
    <x v="2"/>
    <n v="1"/>
    <s v="P057"/>
    <x v="56"/>
    <x v="0"/>
    <s v="WK-Batter"/>
    <s v="Middle Order"/>
    <n v="9"/>
    <n v="13"/>
    <n v="69.2"/>
    <s v="caught"/>
    <n v="6"/>
    <n v="0"/>
    <n v="0"/>
    <n v="0"/>
    <n v="0"/>
    <n v="0"/>
    <n v="0"/>
    <n v="0"/>
    <n v="0"/>
    <n v="6"/>
    <n v="1"/>
    <s v="UPW"/>
    <s v="GGTW"/>
    <s v="Dr DY Patil Sports "/>
    <n v="169"/>
    <n v="8.4499999999999993"/>
    <n v="45"/>
    <n v="46"/>
    <n v="40"/>
    <s v="NA"/>
    <n v="0"/>
    <n v="3.3"/>
  </r>
  <r>
    <x v="2"/>
    <n v="1"/>
    <s v="P004"/>
    <x v="3"/>
    <x v="0"/>
    <s v="Batting Allrounder"/>
    <s v="Middle Order"/>
    <n v="25"/>
    <n v="19"/>
    <n v="131.6"/>
    <s v="stumped"/>
    <n v="32"/>
    <n v="4"/>
    <n v="0"/>
    <n v="34"/>
    <n v="0"/>
    <n v="8.5"/>
    <n v="0"/>
    <n v="0"/>
    <n v="0"/>
    <n v="32"/>
    <n v="3"/>
    <s v="UPW"/>
    <s v="GGTW"/>
    <s v="Dr DY Patil Sports "/>
    <n v="169"/>
    <n v="8.4499999999999993"/>
    <n v="45"/>
    <n v="46"/>
    <n v="40"/>
    <s v="NA"/>
    <n v="0"/>
    <n v="16.899999999999999"/>
  </r>
  <r>
    <x v="2"/>
    <n v="1"/>
    <s v="P005"/>
    <x v="4"/>
    <x v="0"/>
    <s v="Bowling Allrounder"/>
    <s v="Middle Order"/>
    <n v="8"/>
    <n v="10"/>
    <n v="80"/>
    <s v="caught"/>
    <n v="10"/>
    <n v="3.5"/>
    <n v="0"/>
    <n v="41"/>
    <n v="1"/>
    <n v="10.7"/>
    <n v="15"/>
    <n v="0"/>
    <n v="0"/>
    <n v="25"/>
    <n v="3"/>
    <s v="UPW"/>
    <s v="GGTW"/>
    <s v="Dr DY Patil Sports "/>
    <n v="169"/>
    <n v="8.4499999999999993"/>
    <n v="45"/>
    <n v="46"/>
    <n v="40"/>
    <s v="NA"/>
    <n v="0"/>
    <n v="13.4"/>
  </r>
  <r>
    <x v="2"/>
    <n v="1"/>
    <s v="P006"/>
    <x v="5"/>
    <x v="0"/>
    <s v="Batter"/>
    <s v="Middle Order"/>
    <n v="21"/>
    <n v="13"/>
    <n v="161.5"/>
    <s v="not out"/>
    <n v="35"/>
    <n v="0"/>
    <n v="0"/>
    <n v="0"/>
    <n v="0"/>
    <n v="0"/>
    <n v="0"/>
    <n v="0"/>
    <n v="0"/>
    <n v="35"/>
    <n v="4"/>
    <s v="UPW"/>
    <s v="GGTW"/>
    <s v="Dr DY Patil Sports "/>
    <n v="169"/>
    <n v="8.4499999999999993"/>
    <n v="45"/>
    <n v="46"/>
    <n v="40"/>
    <s v="NA"/>
    <n v="0"/>
    <n v="18.7"/>
  </r>
  <r>
    <x v="2"/>
    <n v="1"/>
    <s v="P003"/>
    <x v="2"/>
    <x v="0"/>
    <s v="Batting Allrounder"/>
    <s v="Top Order"/>
    <n v="46"/>
    <n v="32"/>
    <n v="143.80000000000001"/>
    <s v="caught"/>
    <n v="55"/>
    <n v="0"/>
    <n v="0"/>
    <n v="0"/>
    <n v="0"/>
    <n v="0"/>
    <n v="0"/>
    <n v="0"/>
    <n v="0"/>
    <n v="55"/>
    <n v="6"/>
    <s v="UPW"/>
    <s v="GGTW"/>
    <s v="Dr DY Patil Sports "/>
    <n v="169"/>
    <n v="8.4499999999999993"/>
    <n v="45"/>
    <n v="46"/>
    <n v="40"/>
    <s v="NA"/>
    <n v="0"/>
    <n v="29.3"/>
  </r>
  <r>
    <x v="2"/>
    <n v="1"/>
    <s v="P008"/>
    <x v="7"/>
    <x v="0"/>
    <s v="Bowling Allrounder"/>
    <s v="Lower Order"/>
    <n v="9"/>
    <n v="7"/>
    <n v="128.6"/>
    <s v="not out"/>
    <n v="12"/>
    <n v="2"/>
    <n v="0"/>
    <n v="16"/>
    <n v="0"/>
    <n v="8"/>
    <n v="0"/>
    <n v="0"/>
    <n v="0"/>
    <n v="12"/>
    <n v="1"/>
    <s v="UPW"/>
    <s v="GGTW"/>
    <s v="Dr DY Patil Sports "/>
    <n v="169"/>
    <n v="8.4499999999999993"/>
    <n v="45"/>
    <n v="46"/>
    <n v="40"/>
    <s v="NA"/>
    <n v="0"/>
    <n v="6.3"/>
  </r>
  <r>
    <x v="2"/>
    <n v="1"/>
    <s v="P058"/>
    <x v="57"/>
    <x v="0"/>
    <s v="Bowler"/>
    <s v="Lower Order"/>
    <n v="0"/>
    <n v="0"/>
    <n v="0"/>
    <s v="DNB"/>
    <n v="0"/>
    <n v="4"/>
    <n v="0"/>
    <n v="36"/>
    <n v="5"/>
    <n v="9"/>
    <n v="100"/>
    <n v="0"/>
    <n v="0"/>
    <n v="100"/>
    <n v="10"/>
    <s v="UPW"/>
    <s v="GGTW"/>
    <s v="Dr DY Patil Sports "/>
    <n v="169"/>
    <n v="8.4499999999999993"/>
    <n v="45"/>
    <n v="46"/>
    <n v="40"/>
    <s v="NA"/>
    <n v="0"/>
    <n v="53"/>
  </r>
  <r>
    <x v="2"/>
    <n v="1"/>
    <s v="P011"/>
    <x v="10"/>
    <x v="0"/>
    <s v="Bowler"/>
    <s v="Lower Order"/>
    <n v="0"/>
    <n v="0"/>
    <n v="0"/>
    <s v="DNB"/>
    <n v="0"/>
    <n v="2"/>
    <n v="0"/>
    <n v="15"/>
    <n v="1"/>
    <n v="7.5"/>
    <n v="15"/>
    <n v="0"/>
    <n v="0"/>
    <n v="15"/>
    <n v="2"/>
    <s v="UPW"/>
    <s v="GGTW"/>
    <s v="Dr DY Patil Sports "/>
    <n v="169"/>
    <n v="8.4499999999999993"/>
    <n v="45"/>
    <n v="46"/>
    <n v="40"/>
    <s v="NA"/>
    <n v="0"/>
    <n v="8.1"/>
  </r>
  <r>
    <x v="2"/>
    <n v="1"/>
    <s v="P009"/>
    <x v="8"/>
    <x v="0"/>
    <s v="Bowler"/>
    <s v="Lower Order"/>
    <n v="0"/>
    <n v="0"/>
    <n v="0"/>
    <s v="DNB"/>
    <n v="0"/>
    <n v="4"/>
    <n v="0"/>
    <n v="29"/>
    <n v="0"/>
    <n v="7.2"/>
    <n v="0"/>
    <n v="0"/>
    <n v="0"/>
    <n v="0"/>
    <n v="0"/>
    <s v="UPW"/>
    <s v="GGTW"/>
    <s v="Dr DY Patil Sports "/>
    <n v="169"/>
    <n v="8.4499999999999993"/>
    <n v="45"/>
    <n v="46"/>
    <n v="40"/>
    <s v="NA"/>
    <n v="0"/>
    <n v="0"/>
  </r>
  <r>
    <x v="3"/>
    <n v="1"/>
    <s v="P012"/>
    <x v="11"/>
    <x v="1"/>
    <s v="Batting Allrounder"/>
    <s v="Opener"/>
    <n v="77"/>
    <n v="38"/>
    <n v="202.63"/>
    <s v="not out"/>
    <n v="120"/>
    <n v="4"/>
    <n v="0"/>
    <n v="28"/>
    <n v="3"/>
    <n v="7"/>
    <n v="60"/>
    <n v="0"/>
    <n v="0"/>
    <n v="180"/>
    <n v="10"/>
    <s v="MIW"/>
    <s v="RCBW"/>
    <s v=" Brabourne Stadium"/>
    <n v="159"/>
    <n v="11.09"/>
    <n v="54"/>
    <n v="0"/>
    <n v="22"/>
    <s v="Successful"/>
    <n v="1"/>
    <n v="113"/>
  </r>
  <r>
    <x v="3"/>
    <n v="1"/>
    <s v="P013"/>
    <x v="12"/>
    <x v="1"/>
    <s v="WK-Batter"/>
    <s v="Opener"/>
    <n v="23"/>
    <n v="19"/>
    <n v="121.05"/>
    <s v="lbw"/>
    <n v="20"/>
    <n v="0"/>
    <n v="0"/>
    <n v="0"/>
    <n v="0"/>
    <n v="0"/>
    <n v="0"/>
    <n v="0"/>
    <n v="0"/>
    <n v="20"/>
    <n v="2"/>
    <s v="MIW"/>
    <s v="RCBW"/>
    <s v=" Brabourne Stadium"/>
    <n v="159"/>
    <n v="11.09"/>
    <n v="54"/>
    <n v="0"/>
    <n v="22"/>
    <s v="Successful"/>
    <n v="1"/>
    <n v="30.6"/>
  </r>
  <r>
    <x v="3"/>
    <n v="1"/>
    <s v="P015"/>
    <x v="14"/>
    <x v="1"/>
    <s v="Bowling Allrounder"/>
    <s v="Top Order"/>
    <n v="55"/>
    <n v="29"/>
    <n v="189.66"/>
    <s v="not out"/>
    <n v="80"/>
    <n v="3"/>
    <n v="0"/>
    <n v="34"/>
    <n v="1"/>
    <n v="11.3"/>
    <n v="25"/>
    <n v="0"/>
    <n v="0"/>
    <n v="105"/>
    <n v="10"/>
    <s v="MIW"/>
    <s v="RCBW"/>
    <s v=" Brabourne Stadium"/>
    <n v="159"/>
    <n v="11.09"/>
    <n v="54"/>
    <n v="0"/>
    <n v="22"/>
    <s v="Successful"/>
    <n v="1"/>
    <n v="75.5"/>
  </r>
  <r>
    <x v="3"/>
    <n v="1"/>
    <s v="P014"/>
    <x v="13"/>
    <x v="1"/>
    <s v="Batting Allrounder"/>
    <s v="Middle Order"/>
    <n v="0"/>
    <n v="0"/>
    <n v="0"/>
    <s v="DNB"/>
    <n v="0"/>
    <n v="0"/>
    <n v="0"/>
    <n v="0"/>
    <n v="0"/>
    <n v="0"/>
    <n v="0"/>
    <n v="0"/>
    <n v="0"/>
    <n v="0"/>
    <n v="0"/>
    <s v="MIW"/>
    <s v="RCBW"/>
    <s v=" Brabourne Stadium"/>
    <n v="159"/>
    <n v="11.09"/>
    <n v="54"/>
    <n v="0"/>
    <n v="22"/>
    <s v="Successful"/>
    <n v="1"/>
    <n v="20"/>
  </r>
  <r>
    <x v="3"/>
    <n v="1"/>
    <s v="P016"/>
    <x v="15"/>
    <x v="1"/>
    <s v="Bowling Allrounder"/>
    <s v="Lower Order"/>
    <n v="0"/>
    <n v="0"/>
    <n v="0"/>
    <s v="DNB"/>
    <n v="0"/>
    <n v="3.4"/>
    <n v="0"/>
    <n v="30"/>
    <n v="2"/>
    <n v="8.1999999999999993"/>
    <n v="40"/>
    <n v="0"/>
    <n v="0"/>
    <n v="40"/>
    <n v="4"/>
    <s v="MIW"/>
    <s v="RCBW"/>
    <s v=" Brabourne Stadium"/>
    <n v="159"/>
    <n v="11.09"/>
    <n v="54"/>
    <n v="0"/>
    <n v="22"/>
    <s v="Successful"/>
    <n v="1"/>
    <n v="41.2"/>
  </r>
  <r>
    <x v="3"/>
    <n v="1"/>
    <s v="P018"/>
    <x v="17"/>
    <x v="1"/>
    <s v="Bowling Allrounder"/>
    <s v="Lower Order"/>
    <n v="0"/>
    <n v="0"/>
    <n v="0"/>
    <s v="DNB"/>
    <n v="0"/>
    <n v="1"/>
    <n v="0"/>
    <n v="8"/>
    <n v="1"/>
    <n v="8"/>
    <n v="20"/>
    <n v="0"/>
    <n v="0"/>
    <n v="20"/>
    <n v="2"/>
    <s v="MIW"/>
    <s v="RCBW"/>
    <s v=" Brabourne Stadium"/>
    <n v="159"/>
    <n v="11.09"/>
    <n v="54"/>
    <n v="0"/>
    <n v="22"/>
    <s v="Successful"/>
    <n v="1"/>
    <n v="30.6"/>
  </r>
  <r>
    <x v="3"/>
    <n v="1"/>
    <s v="P020"/>
    <x v="19"/>
    <x v="1"/>
    <s v="Bowler"/>
    <s v="Lower Order"/>
    <n v="0"/>
    <n v="0"/>
    <n v="0"/>
    <s v="DNB"/>
    <n v="0"/>
    <n v="2"/>
    <n v="0"/>
    <n v="18"/>
    <n v="0"/>
    <n v="9"/>
    <n v="0"/>
    <n v="0"/>
    <n v="0"/>
    <n v="0"/>
    <n v="0"/>
    <s v="MIW"/>
    <s v="RCBW"/>
    <s v=" Brabourne Stadium"/>
    <n v="159"/>
    <n v="11.09"/>
    <n v="54"/>
    <n v="0"/>
    <n v="22"/>
    <s v="Successful"/>
    <n v="1"/>
    <n v="20"/>
  </r>
  <r>
    <x v="3"/>
    <n v="1"/>
    <s v="P017"/>
    <x v="16"/>
    <x v="1"/>
    <s v="Batter"/>
    <s v="Lower Order"/>
    <n v="0"/>
    <n v="0"/>
    <n v="0"/>
    <s v="DNB"/>
    <n v="0"/>
    <n v="0"/>
    <n v="0"/>
    <n v="0"/>
    <n v="0"/>
    <n v="0"/>
    <n v="0"/>
    <n v="1"/>
    <n v="0"/>
    <n v="5"/>
    <n v="1"/>
    <s v="MIW"/>
    <s v="RCBW"/>
    <s v=" Brabourne Stadium"/>
    <n v="159"/>
    <n v="11.09"/>
    <n v="54"/>
    <n v="0"/>
    <n v="22"/>
    <s v="Successful"/>
    <n v="1"/>
    <n v="22.8"/>
  </r>
  <r>
    <x v="3"/>
    <n v="1"/>
    <s v="P019"/>
    <x v="18"/>
    <x v="1"/>
    <s v="Batting Allrounder"/>
    <s v="Lower Order"/>
    <n v="0"/>
    <n v="0"/>
    <n v="0"/>
    <s v="DNB"/>
    <n v="0"/>
    <n v="0"/>
    <n v="0"/>
    <n v="0"/>
    <n v="0"/>
    <n v="0"/>
    <n v="0"/>
    <n v="0"/>
    <n v="1"/>
    <n v="5"/>
    <n v="1"/>
    <s v="MIW"/>
    <s v="RCBW"/>
    <s v=" Brabourne Stadium"/>
    <n v="159"/>
    <n v="11.09"/>
    <n v="54"/>
    <n v="0"/>
    <n v="22"/>
    <s v="Successful"/>
    <n v="1"/>
    <n v="22.8"/>
  </r>
  <r>
    <x v="3"/>
    <n v="1"/>
    <s v="P021"/>
    <x v="20"/>
    <x v="1"/>
    <s v="Bowling Allrounder"/>
    <s v="Lower Order"/>
    <n v="0"/>
    <n v="0"/>
    <n v="0"/>
    <s v="DNB"/>
    <n v="0"/>
    <n v="1"/>
    <n v="0"/>
    <n v="10"/>
    <n v="0"/>
    <n v="10"/>
    <n v="0"/>
    <n v="0"/>
    <n v="0"/>
    <n v="0"/>
    <n v="0"/>
    <s v="MIW"/>
    <s v="RCBW"/>
    <s v=" Brabourne Stadium"/>
    <n v="159"/>
    <n v="11.09"/>
    <n v="54"/>
    <n v="0"/>
    <n v="22"/>
    <s v="Successful"/>
    <n v="1"/>
    <n v="20"/>
  </r>
  <r>
    <x v="3"/>
    <n v="1"/>
    <s v="P022"/>
    <x v="21"/>
    <x v="1"/>
    <s v="Bowler"/>
    <s v="Lower Order"/>
    <n v="0"/>
    <n v="0"/>
    <n v="0"/>
    <s v="DNB"/>
    <n v="0"/>
    <n v="4"/>
    <n v="0"/>
    <n v="26"/>
    <n v="2"/>
    <n v="6.5"/>
    <n v="45"/>
    <n v="0"/>
    <n v="0"/>
    <n v="45"/>
    <n v="5"/>
    <s v="MIW"/>
    <s v="RCBW"/>
    <s v=" Brabourne Stadium"/>
    <n v="159"/>
    <n v="11.09"/>
    <n v="54"/>
    <n v="0"/>
    <n v="22"/>
    <s v="Successful"/>
    <n v="1"/>
    <n v="44"/>
  </r>
  <r>
    <x v="3"/>
    <n v="1"/>
    <s v="P023"/>
    <x v="22"/>
    <x v="2"/>
    <s v="Batter"/>
    <s v="Opener"/>
    <n v="23"/>
    <n v="17"/>
    <n v="135.29"/>
    <s v="caught"/>
    <n v="35"/>
    <n v="0"/>
    <n v="0"/>
    <n v="0"/>
    <n v="0"/>
    <n v="0"/>
    <n v="0"/>
    <n v="0"/>
    <n v="0"/>
    <n v="35"/>
    <n v="4"/>
    <s v="MIW"/>
    <s v="RCBW"/>
    <s v=" Brabourne Stadium"/>
    <n v="155"/>
    <n v="8.3000000000000007"/>
    <n v="47"/>
    <n v="22"/>
    <n v="41"/>
    <s v="NA"/>
    <n v="0"/>
    <n v="18.7"/>
  </r>
  <r>
    <x v="3"/>
    <n v="1"/>
    <s v="P024"/>
    <x v="23"/>
    <x v="2"/>
    <s v="Batting Allrounder"/>
    <s v="Opener"/>
    <n v="16"/>
    <n v="11"/>
    <n v="145.44999999999999"/>
    <s v="caught"/>
    <n v="25"/>
    <n v="1"/>
    <n v="0"/>
    <n v="11"/>
    <n v="0"/>
    <n v="11"/>
    <n v="0"/>
    <n v="0"/>
    <n v="0"/>
    <n v="25"/>
    <n v="3"/>
    <s v="MIW"/>
    <s v="RCBW"/>
    <s v=" Brabourne Stadium"/>
    <n v="155"/>
    <n v="8.3000000000000007"/>
    <n v="47"/>
    <n v="22"/>
    <n v="41"/>
    <s v="NA"/>
    <n v="0"/>
    <n v="13.4"/>
  </r>
  <r>
    <x v="3"/>
    <n v="1"/>
    <s v="P027"/>
    <x v="26"/>
    <x v="2"/>
    <s v="Batting Allrounder"/>
    <s v="Middle Order"/>
    <n v="13"/>
    <n v="7"/>
    <n v="185.71"/>
    <s v="run out"/>
    <n v="22"/>
    <n v="1.2"/>
    <n v="0"/>
    <n v="18"/>
    <n v="0"/>
    <n v="13.5"/>
    <n v="0"/>
    <n v="0"/>
    <n v="0"/>
    <n v="22"/>
    <n v="2"/>
    <s v="MIW"/>
    <s v="RCBW"/>
    <s v=" Brabourne Stadium"/>
    <n v="155"/>
    <n v="8.3000000000000007"/>
    <n v="47"/>
    <n v="22"/>
    <n v="41"/>
    <s v="NA"/>
    <n v="0"/>
    <n v="11.6"/>
  </r>
  <r>
    <x v="3"/>
    <n v="1"/>
    <s v="P026"/>
    <x v="25"/>
    <x v="2"/>
    <s v="Batter"/>
    <s v="Middle Order"/>
    <n v="0"/>
    <n v="2"/>
    <n v="0"/>
    <s v="bowled"/>
    <n v="0"/>
    <n v="0"/>
    <n v="0"/>
    <n v="0"/>
    <n v="0"/>
    <n v="0"/>
    <n v="0"/>
    <n v="0"/>
    <n v="0"/>
    <n v="0"/>
    <n v="0"/>
    <s v="MIW"/>
    <s v="RCBW"/>
    <s v=" Brabourne Stadium"/>
    <n v="155"/>
    <n v="8.3000000000000007"/>
    <n v="47"/>
    <n v="22"/>
    <n v="41"/>
    <s v="NA"/>
    <n v="0"/>
    <n v="0"/>
  </r>
  <r>
    <x v="3"/>
    <n v="1"/>
    <s v="P025"/>
    <x v="24"/>
    <x v="2"/>
    <s v="Batting Allrounder"/>
    <s v="Middle Order"/>
    <n v="0"/>
    <n v="1"/>
    <n v="0"/>
    <s v="bowled"/>
    <n v="0"/>
    <n v="0"/>
    <n v="0"/>
    <n v="0"/>
    <n v="0"/>
    <n v="0"/>
    <n v="0"/>
    <n v="0"/>
    <n v="0"/>
    <n v="0"/>
    <n v="0"/>
    <s v="MIW"/>
    <s v="RCBW"/>
    <s v=" Brabourne Stadium"/>
    <n v="155"/>
    <n v="8.3000000000000007"/>
    <n v="47"/>
    <n v="22"/>
    <n v="41"/>
    <s v="NA"/>
    <n v="0"/>
    <n v="0"/>
  </r>
  <r>
    <x v="3"/>
    <n v="1"/>
    <s v="P028"/>
    <x v="27"/>
    <x v="2"/>
    <s v="WK-Batter"/>
    <s v="Middle Order"/>
    <n v="28"/>
    <n v="26"/>
    <n v="107.69"/>
    <s v="caught"/>
    <n v="40"/>
    <n v="0"/>
    <n v="0"/>
    <n v="0"/>
    <n v="0"/>
    <n v="0"/>
    <n v="0"/>
    <n v="0"/>
    <n v="0"/>
    <n v="40"/>
    <n v="4"/>
    <s v="MIW"/>
    <s v="RCBW"/>
    <s v=" Brabourne Stadium"/>
    <n v="155"/>
    <n v="8.3000000000000007"/>
    <n v="47"/>
    <n v="22"/>
    <n v="41"/>
    <s v="NA"/>
    <n v="0"/>
    <n v="21.2"/>
  </r>
  <r>
    <x v="3"/>
    <n v="1"/>
    <s v="P029"/>
    <x v="28"/>
    <x v="2"/>
    <s v="Batting Allrounder"/>
    <s v="Lower Order"/>
    <n v="22"/>
    <n v="13"/>
    <n v="169.23"/>
    <s v="caught"/>
    <n v="35"/>
    <n v="0"/>
    <n v="0"/>
    <n v="0"/>
    <n v="0"/>
    <n v="0"/>
    <n v="0"/>
    <n v="0"/>
    <n v="0"/>
    <n v="35"/>
    <n v="4"/>
    <s v="MIW"/>
    <s v="RCBW"/>
    <s v=" Brabourne Stadium"/>
    <n v="155"/>
    <n v="8.3000000000000007"/>
    <n v="47"/>
    <n v="22"/>
    <n v="41"/>
    <s v="NA"/>
    <n v="0"/>
    <n v="18.7"/>
  </r>
  <r>
    <x v="3"/>
    <n v="1"/>
    <s v="P059"/>
    <x v="58"/>
    <x v="2"/>
    <s v="Bowler"/>
    <s v="Lower Order"/>
    <n v="23"/>
    <n v="15"/>
    <n v="153.33000000000001"/>
    <s v="lbw"/>
    <n v="38"/>
    <n v="2"/>
    <n v="0"/>
    <n v="32"/>
    <n v="0"/>
    <n v="16"/>
    <n v="0"/>
    <n v="0"/>
    <n v="0"/>
    <n v="38"/>
    <n v="4"/>
    <s v="MIW"/>
    <s v="RCBW"/>
    <s v=" Brabourne Stadium"/>
    <n v="155"/>
    <n v="8.3000000000000007"/>
    <n v="47"/>
    <n v="22"/>
    <n v="41"/>
    <s v="NA"/>
    <n v="0"/>
    <n v="20.2"/>
  </r>
  <r>
    <x v="3"/>
    <n v="1"/>
    <s v="P032"/>
    <x v="31"/>
    <x v="2"/>
    <s v="Bowler"/>
    <s v="Lower Order"/>
    <n v="20"/>
    <n v="14"/>
    <n v="142.86000000000001"/>
    <s v="stumped"/>
    <n v="30"/>
    <n v="3"/>
    <n v="0"/>
    <n v="32"/>
    <n v="0"/>
    <n v="10.7"/>
    <n v="0"/>
    <n v="0"/>
    <n v="0"/>
    <n v="30"/>
    <n v="3"/>
    <s v="MIW"/>
    <s v="RCBW"/>
    <s v=" Brabourne Stadium"/>
    <n v="155"/>
    <n v="8.3000000000000007"/>
    <n v="47"/>
    <n v="22"/>
    <n v="41"/>
    <s v="NA"/>
    <n v="0"/>
    <n v="15.9"/>
  </r>
  <r>
    <x v="3"/>
    <n v="1"/>
    <s v="P033"/>
    <x v="32"/>
    <x v="2"/>
    <s v="Bowler"/>
    <s v="Lower Order"/>
    <n v="2"/>
    <n v="5"/>
    <n v="40"/>
    <s v="bowled"/>
    <n v="5"/>
    <n v="3"/>
    <n v="0"/>
    <n v="28"/>
    <n v="0"/>
    <n v="9.3000000000000007"/>
    <n v="0"/>
    <n v="0"/>
    <n v="0"/>
    <n v="5"/>
    <n v="1"/>
    <s v="MIW"/>
    <s v="RCBW"/>
    <s v=" Brabourne Stadium"/>
    <n v="155"/>
    <n v="8.3000000000000007"/>
    <n v="47"/>
    <n v="22"/>
    <n v="41"/>
    <s v="NA"/>
    <n v="0"/>
    <n v="2.8"/>
  </r>
  <r>
    <x v="3"/>
    <n v="1"/>
    <s v="P031"/>
    <x v="30"/>
    <x v="2"/>
    <s v="Bowler"/>
    <s v="Lower Order"/>
    <n v="1"/>
    <n v="1"/>
    <n v="100"/>
    <s v="not out"/>
    <n v="5"/>
    <n v="4"/>
    <n v="0"/>
    <n v="34"/>
    <n v="1"/>
    <n v="8.5"/>
    <n v="20"/>
    <n v="0"/>
    <n v="0"/>
    <n v="25"/>
    <n v="3"/>
    <s v="MIW"/>
    <s v="RCBW"/>
    <s v=" Brabourne Stadium"/>
    <n v="155"/>
    <n v="8.3000000000000007"/>
    <n v="47"/>
    <n v="22"/>
    <n v="41"/>
    <s v="NA"/>
    <n v="0"/>
    <n v="13.4"/>
  </r>
  <r>
    <x v="4"/>
    <n v="1"/>
    <s v="P035"/>
    <x v="34"/>
    <x v="3"/>
    <s v="Batter"/>
    <s v="Opener"/>
    <n v="70"/>
    <n v="42"/>
    <n v="166.67"/>
    <s v="bowled"/>
    <n v="116.67"/>
    <n v="0"/>
    <n v="0"/>
    <n v="0"/>
    <n v="0"/>
    <n v="0"/>
    <n v="0"/>
    <n v="0"/>
    <n v="0"/>
    <n v="116.67"/>
    <n v="10"/>
    <s v="DCW"/>
    <s v="UPW"/>
    <s v="Dr.DY Patil Sports"/>
    <n v="211"/>
    <n v="10.55"/>
    <n v="62"/>
    <n v="58"/>
    <n v="35"/>
    <s v="NA"/>
    <n v="1"/>
    <n v="81.335000000000008"/>
  </r>
  <r>
    <x v="4"/>
    <n v="1"/>
    <s v="P034"/>
    <x v="33"/>
    <x v="3"/>
    <s v="Batting Allrounder"/>
    <s v="Opener"/>
    <n v="17"/>
    <n v="14"/>
    <n v="121.43"/>
    <s v="caught"/>
    <n v="20.71"/>
    <n v="0"/>
    <n v="0"/>
    <n v="0"/>
    <n v="0"/>
    <n v="0"/>
    <n v="0"/>
    <n v="0"/>
    <n v="0"/>
    <n v="20.71"/>
    <n v="2"/>
    <s v="DCW"/>
    <s v="UPW"/>
    <s v="Dr.DY Patil Sports"/>
    <n v="211"/>
    <n v="10.55"/>
    <n v="62"/>
    <n v="58"/>
    <n v="35"/>
    <s v="NA"/>
    <n v="1"/>
    <n v="30.954999999999998"/>
  </r>
  <r>
    <x v="4"/>
    <n v="1"/>
    <s v="P036"/>
    <x v="35"/>
    <x v="3"/>
    <s v="Allrounder"/>
    <s v="Top Order"/>
    <n v="16"/>
    <n v="12"/>
    <n v="133.33000000000001"/>
    <s v="caught"/>
    <n v="21.33"/>
    <n v="4"/>
    <n v="1"/>
    <n v="29"/>
    <n v="1"/>
    <n v="7.25"/>
    <n v="20"/>
    <n v="0"/>
    <n v="0"/>
    <n v="41.33"/>
    <n v="4"/>
    <s v="DCW"/>
    <s v="UPW"/>
    <s v="Dr.DY Patil Sports"/>
    <n v="211"/>
    <n v="10.55"/>
    <n v="62"/>
    <n v="58"/>
    <n v="35"/>
    <s v="NA"/>
    <n v="1"/>
    <n v="41.864999999999995"/>
  </r>
  <r>
    <x v="4"/>
    <n v="1"/>
    <s v="P037"/>
    <x v="36"/>
    <x v="3"/>
    <s v="Batter"/>
    <s v="Top Order"/>
    <n v="34"/>
    <n v="22"/>
    <n v="154.55000000000001"/>
    <s v="not out"/>
    <n v="52.55"/>
    <n v="0"/>
    <n v="0"/>
    <n v="0"/>
    <n v="0"/>
    <n v="0"/>
    <n v="0"/>
    <n v="0"/>
    <n v="0"/>
    <n v="52.55"/>
    <n v="5"/>
    <s v="DCW"/>
    <s v="UPW"/>
    <s v="Dr.DY Patil Sports"/>
    <n v="211"/>
    <n v="10.55"/>
    <n v="62"/>
    <n v="58"/>
    <n v="35"/>
    <s v="NA"/>
    <n v="1"/>
    <n v="47.774999999999999"/>
  </r>
  <r>
    <x v="4"/>
    <n v="1"/>
    <s v="P038"/>
    <x v="37"/>
    <x v="3"/>
    <s v="Batting Allrounder"/>
    <s v="Middle Order"/>
    <n v="21"/>
    <n v="10"/>
    <n v="210"/>
    <s v="caught"/>
    <n v="44.1"/>
    <n v="4"/>
    <n v="0"/>
    <n v="25"/>
    <n v="0"/>
    <n v="6.25"/>
    <n v="0"/>
    <n v="0"/>
    <n v="0"/>
    <n v="44.1"/>
    <n v="4"/>
    <s v="DCW"/>
    <s v="UPW"/>
    <s v="Dr.DY Patil Sports"/>
    <n v="211"/>
    <n v="10.55"/>
    <n v="62"/>
    <n v="58"/>
    <n v="35"/>
    <s v="NA"/>
    <n v="1"/>
    <n v="43.25"/>
  </r>
  <r>
    <x v="4"/>
    <n v="1"/>
    <s v="P039"/>
    <x v="38"/>
    <x v="3"/>
    <s v="Bowler"/>
    <s v="Middle Order"/>
    <n v="42"/>
    <n v="20"/>
    <n v="210"/>
    <s v="not out"/>
    <n v="88.2"/>
    <n v="4"/>
    <n v="0"/>
    <n v="43"/>
    <n v="3"/>
    <n v="10.75"/>
    <n v="60"/>
    <n v="0"/>
    <n v="0"/>
    <n v="148.19999999999999"/>
    <n v="10"/>
    <s v="DCW"/>
    <s v="UPW"/>
    <s v="Dr.DY Patil Sports"/>
    <n v="211"/>
    <n v="10.55"/>
    <n v="62"/>
    <n v="58"/>
    <n v="35"/>
    <s v="NA"/>
    <n v="1"/>
    <n v="97.1"/>
  </r>
  <r>
    <x v="4"/>
    <n v="1"/>
    <s v="P044"/>
    <x v="43"/>
    <x v="3"/>
    <s v="Bowler"/>
    <s v="Lower Order"/>
    <n v="0"/>
    <n v="0"/>
    <n v="0"/>
    <s v="DNB"/>
    <n v="0"/>
    <n v="2"/>
    <n v="0"/>
    <n v="25"/>
    <n v="0"/>
    <n v="12.5"/>
    <n v="0"/>
    <n v="0"/>
    <n v="0"/>
    <n v="0"/>
    <n v="0"/>
    <s v="DCW"/>
    <s v="UPW"/>
    <s v="Dr.DY Patil Sports"/>
    <n v="211"/>
    <n v="10.55"/>
    <n v="62"/>
    <n v="58"/>
    <n v="35"/>
    <s v="NA"/>
    <n v="1"/>
    <n v="20"/>
  </r>
  <r>
    <x v="4"/>
    <n v="1"/>
    <s v="P041"/>
    <x v="40"/>
    <x v="3"/>
    <s v="Bowler"/>
    <s v="Lower Order"/>
    <n v="0"/>
    <n v="0"/>
    <n v="0"/>
    <s v="DNB"/>
    <n v="0"/>
    <n v="1"/>
    <n v="0"/>
    <n v="14"/>
    <n v="0"/>
    <n v="14"/>
    <n v="0"/>
    <n v="0"/>
    <n v="0"/>
    <n v="0"/>
    <n v="0"/>
    <s v="DCW"/>
    <s v="UPW"/>
    <s v="Dr.DY Patil Sports"/>
    <n v="211"/>
    <n v="10.55"/>
    <n v="62"/>
    <n v="58"/>
    <n v="35"/>
    <s v="NA"/>
    <n v="1"/>
    <n v="20"/>
  </r>
  <r>
    <x v="4"/>
    <n v="1"/>
    <s v="P042"/>
    <x v="41"/>
    <x v="3"/>
    <s v="Bowling Allrounder"/>
    <s v="Lower Order"/>
    <n v="0"/>
    <n v="0"/>
    <n v="0"/>
    <s v="DNB"/>
    <n v="0"/>
    <n v="4"/>
    <n v="0"/>
    <n v="18"/>
    <n v="1"/>
    <n v="4.5"/>
    <n v="25"/>
    <n v="0"/>
    <n v="0"/>
    <n v="25"/>
    <n v="3"/>
    <s v="DCW"/>
    <s v="UPW"/>
    <s v="Dr.DY Patil Sports"/>
    <n v="211"/>
    <n v="10.55"/>
    <n v="62"/>
    <n v="58"/>
    <n v="35"/>
    <s v="NA"/>
    <n v="1"/>
    <n v="33.4"/>
  </r>
  <r>
    <x v="4"/>
    <n v="1"/>
    <s v="P043"/>
    <x v="42"/>
    <x v="3"/>
    <s v="Bowler"/>
    <s v="Lower Order"/>
    <n v="0"/>
    <n v="0"/>
    <n v="0"/>
    <s v="DNB"/>
    <n v="0"/>
    <n v="1"/>
    <n v="0"/>
    <n v="11"/>
    <n v="0"/>
    <n v="11"/>
    <n v="0"/>
    <n v="0"/>
    <n v="0"/>
    <n v="0"/>
    <n v="0"/>
    <s v="DCW"/>
    <s v="UPW"/>
    <s v="Dr.DY Patil Sports"/>
    <n v="211"/>
    <n v="10.55"/>
    <n v="62"/>
    <n v="58"/>
    <n v="35"/>
    <s v="NA"/>
    <n v="1"/>
    <n v="20"/>
  </r>
  <r>
    <x v="4"/>
    <n v="1"/>
    <s v="P040"/>
    <x v="39"/>
    <x v="3"/>
    <s v="WK-Batter"/>
    <s v="Lower Order"/>
    <n v="0"/>
    <n v="0"/>
    <n v="0"/>
    <s v="DNB"/>
    <n v="0"/>
    <n v="0"/>
    <n v="0"/>
    <n v="0"/>
    <n v="0"/>
    <n v="0"/>
    <n v="0"/>
    <n v="0"/>
    <n v="0"/>
    <n v="0"/>
    <n v="0"/>
    <s v="DCW"/>
    <s v="UPW"/>
    <s v="Dr.DY Patil Sports"/>
    <n v="211"/>
    <n v="10.55"/>
    <n v="62"/>
    <n v="58"/>
    <n v="35"/>
    <s v="NA"/>
    <n v="1"/>
    <n v="20"/>
  </r>
  <r>
    <x v="4"/>
    <n v="1"/>
    <s v="P045"/>
    <x v="44"/>
    <x v="4"/>
    <s v="WK-Batter"/>
    <s v="Opener"/>
    <n v="24"/>
    <n v="17"/>
    <n v="141.18"/>
    <s v="caught"/>
    <n v="33.880000000000003"/>
    <n v="0"/>
    <n v="0"/>
    <n v="0"/>
    <n v="0"/>
    <n v="0"/>
    <n v="0"/>
    <n v="0"/>
    <n v="0"/>
    <n v="33.880000000000003"/>
    <n v="3"/>
    <s v="DCW"/>
    <s v="UPW"/>
    <s v="Dr.DY Patil Sports"/>
    <n v="169"/>
    <n v="8.4499999999999993"/>
    <n v="33"/>
    <n v="56"/>
    <n v="45"/>
    <s v="Failed"/>
    <n v="0"/>
    <n v="17.84"/>
  </r>
  <r>
    <x v="4"/>
    <n v="1"/>
    <s v="P046"/>
    <x v="45"/>
    <x v="4"/>
    <s v="Batter"/>
    <s v="Opener"/>
    <n v="1"/>
    <n v="6"/>
    <n v="16.670000000000002"/>
    <s v="caught"/>
    <n v="0.17"/>
    <n v="0"/>
    <n v="0"/>
    <n v="0"/>
    <n v="0"/>
    <n v="0"/>
    <n v="0"/>
    <n v="0"/>
    <n v="0"/>
    <n v="0.17"/>
    <n v="0"/>
    <s v="DCW"/>
    <s v="UPW"/>
    <s v="Dr.DY Patil Sports"/>
    <n v="169"/>
    <n v="8.4499999999999993"/>
    <n v="33"/>
    <n v="56"/>
    <n v="45"/>
    <s v="Failed"/>
    <n v="0"/>
    <n v="8.5000000000000006E-2"/>
  </r>
  <r>
    <x v="4"/>
    <n v="1"/>
    <s v="P051"/>
    <x v="50"/>
    <x v="4"/>
    <s v="Batter"/>
    <s v="Top Order"/>
    <n v="2"/>
    <n v="2"/>
    <n v="100"/>
    <s v="caught"/>
    <n v="2"/>
    <n v="0"/>
    <n v="0"/>
    <n v="0"/>
    <n v="0"/>
    <n v="0"/>
    <n v="0"/>
    <n v="0"/>
    <n v="0"/>
    <n v="2"/>
    <n v="0"/>
    <s v="DCW"/>
    <s v="UPW"/>
    <s v="Dr.DY Patil Sports"/>
    <n v="169"/>
    <n v="8.4499999999999993"/>
    <n v="33"/>
    <n v="56"/>
    <n v="45"/>
    <s v="Failed"/>
    <n v="0"/>
    <n v="1"/>
  </r>
  <r>
    <x v="4"/>
    <n v="1"/>
    <s v="P047"/>
    <x v="46"/>
    <x v="4"/>
    <s v="Allrounder"/>
    <s v="Top Order"/>
    <n v="90"/>
    <n v="50"/>
    <n v="180"/>
    <s v="not out"/>
    <n v="162"/>
    <n v="3"/>
    <n v="0"/>
    <n v="37"/>
    <n v="1"/>
    <n v="12.3"/>
    <n v="20"/>
    <n v="0"/>
    <n v="0"/>
    <n v="182"/>
    <n v="10"/>
    <s v="DCW"/>
    <s v="UPW"/>
    <s v="Dr.DY Patil Sports"/>
    <n v="169"/>
    <n v="8.4499999999999993"/>
    <n v="33"/>
    <n v="56"/>
    <n v="45"/>
    <s v="Failed"/>
    <n v="0"/>
    <n v="94"/>
  </r>
  <r>
    <x v="4"/>
    <n v="1"/>
    <s v="P048"/>
    <x v="47"/>
    <x v="4"/>
    <s v="Batting Allrounder"/>
    <s v="Middle Order"/>
    <n v="12"/>
    <n v="20"/>
    <n v="60"/>
    <s v="caught"/>
    <n v="7.2"/>
    <n v="4"/>
    <n v="0"/>
    <n v="40"/>
    <n v="0"/>
    <n v="10"/>
    <n v="0"/>
    <n v="0"/>
    <n v="0"/>
    <n v="7.2"/>
    <n v="1"/>
    <s v="DCW"/>
    <s v="UPW"/>
    <s v="Dr.DY Patil Sports"/>
    <n v="169"/>
    <n v="8.4499999999999993"/>
    <n v="33"/>
    <n v="56"/>
    <n v="45"/>
    <s v="Failed"/>
    <n v="0"/>
    <n v="3.9"/>
  </r>
  <r>
    <x v="4"/>
    <n v="1"/>
    <s v="P052"/>
    <x v="51"/>
    <x v="4"/>
    <s v="Batting Allrounder"/>
    <s v="Middle Order"/>
    <n v="23"/>
    <n v="21"/>
    <n v="109.52"/>
    <s v="caught"/>
    <n v="25.19"/>
    <n v="0"/>
    <n v="0"/>
    <n v="0"/>
    <n v="0"/>
    <n v="0"/>
    <n v="0"/>
    <n v="0"/>
    <n v="0"/>
    <n v="25.19"/>
    <n v="3"/>
    <s v="DCW"/>
    <s v="UPW"/>
    <s v="Dr.DY Patil Sports"/>
    <n v="169"/>
    <n v="8.4499999999999993"/>
    <n v="33"/>
    <n v="56"/>
    <n v="45"/>
    <s v="Failed"/>
    <n v="0"/>
    <n v="13.495000000000001"/>
  </r>
  <r>
    <x v="4"/>
    <n v="1"/>
    <s v="P050"/>
    <x v="49"/>
    <x v="4"/>
    <s v="Batter"/>
    <s v="Middle Order"/>
    <n v="6"/>
    <n v="4"/>
    <n v="150"/>
    <s v="not out"/>
    <n v="9"/>
    <n v="0"/>
    <n v="0"/>
    <n v="0"/>
    <n v="0"/>
    <n v="0"/>
    <n v="0"/>
    <n v="0"/>
    <n v="0"/>
    <n v="9"/>
    <n v="1"/>
    <s v="DCW"/>
    <s v="UPW"/>
    <s v="Dr.DY Patil Sports"/>
    <n v="169"/>
    <n v="8.4499999999999993"/>
    <n v="33"/>
    <n v="56"/>
    <n v="45"/>
    <s v="Failed"/>
    <n v="0"/>
    <n v="4.8"/>
  </r>
  <r>
    <x v="4"/>
    <n v="1"/>
    <s v="P053"/>
    <x v="52"/>
    <x v="4"/>
    <s v="Bowler"/>
    <s v="Lower Order"/>
    <n v="0"/>
    <n v="0"/>
    <n v="0"/>
    <s v="DNB"/>
    <n v="0"/>
    <n v="4"/>
    <n v="0"/>
    <n v="41"/>
    <n v="1"/>
    <n v="10.25"/>
    <n v="20"/>
    <n v="0"/>
    <n v="0"/>
    <n v="20"/>
    <n v="2"/>
    <s v="DCW"/>
    <s v="UPW"/>
    <s v="Dr.DY Patil Sports"/>
    <n v="169"/>
    <n v="8.4499999999999993"/>
    <n v="33"/>
    <n v="56"/>
    <n v="45"/>
    <s v="Failed"/>
    <n v="0"/>
    <n v="10.6"/>
  </r>
  <r>
    <x v="4"/>
    <n v="1"/>
    <s v="P060"/>
    <x v="59"/>
    <x v="4"/>
    <s v="Bowler"/>
    <s v="Lower Order"/>
    <n v="0"/>
    <n v="0"/>
    <n v="0"/>
    <s v="DNB"/>
    <n v="0"/>
    <n v="4"/>
    <n v="0"/>
    <n v="29"/>
    <n v="1"/>
    <n v="7.25"/>
    <n v="20"/>
    <n v="0"/>
    <n v="0"/>
    <n v="20"/>
    <n v="2"/>
    <s v="DCW"/>
    <s v="UPW"/>
    <s v="Dr.DY Patil Sports"/>
    <n v="169"/>
    <n v="8.4499999999999993"/>
    <n v="33"/>
    <n v="56"/>
    <n v="45"/>
    <s v="Failed"/>
    <n v="0"/>
    <n v="10.6"/>
  </r>
  <r>
    <x v="4"/>
    <n v="1"/>
    <s v="P054"/>
    <x v="53"/>
    <x v="4"/>
    <s v="Bowler"/>
    <s v="Lower Order"/>
    <n v="0"/>
    <n v="0"/>
    <n v="0"/>
    <s v="DNB"/>
    <n v="0"/>
    <n v="3"/>
    <n v="0"/>
    <n v="31"/>
    <n v="0"/>
    <n v="10.3"/>
    <n v="0"/>
    <n v="0"/>
    <n v="0"/>
    <n v="0"/>
    <n v="0"/>
    <s v="DCW"/>
    <s v="UPW"/>
    <s v="Dr.DY Patil Sports"/>
    <n v="169"/>
    <n v="8.4499999999999993"/>
    <n v="33"/>
    <n v="56"/>
    <n v="45"/>
    <s v="Failed"/>
    <n v="0"/>
    <n v="0"/>
  </r>
  <r>
    <x v="4"/>
    <n v="1"/>
    <s v="P055"/>
    <x v="54"/>
    <x v="4"/>
    <s v="Bowler"/>
    <s v="Lower Order"/>
    <n v="0"/>
    <n v="0"/>
    <n v="0"/>
    <s v="DNB"/>
    <n v="0"/>
    <n v="2"/>
    <n v="0"/>
    <n v="31"/>
    <n v="1"/>
    <n v="15.5"/>
    <n v="15"/>
    <n v="0"/>
    <n v="0"/>
    <n v="15"/>
    <n v="2"/>
    <s v="DCW"/>
    <s v="UPW"/>
    <s v="Dr.DY Patil Sports"/>
    <n v="169"/>
    <n v="8.4499999999999993"/>
    <n v="33"/>
    <n v="56"/>
    <n v="45"/>
    <s v="Failed"/>
    <n v="0"/>
    <n v="8.1"/>
  </r>
  <r>
    <x v="5"/>
    <n v="1"/>
    <s v="P002"/>
    <x v="1"/>
    <x v="0"/>
    <s v="Batter"/>
    <s v="Opener"/>
    <n v="8"/>
    <n v="11"/>
    <n v="72.73"/>
    <s v="caught"/>
    <n v="5.82"/>
    <n v="0"/>
    <n v="0"/>
    <n v="0"/>
    <n v="0"/>
    <n v="0"/>
    <n v="0"/>
    <n v="0"/>
    <n v="0"/>
    <n v="5.82"/>
    <n v="1"/>
    <s v="GGTW"/>
    <s v="GGTW"/>
    <s v="Brabourne Stadium"/>
    <n v="201"/>
    <n v="10.050000000000001"/>
    <n v="64"/>
    <n v="40"/>
    <n v="38"/>
    <s v="NA"/>
    <n v="1"/>
    <n v="23.21"/>
  </r>
  <r>
    <x v="5"/>
    <n v="1"/>
    <s v="P056"/>
    <x v="55"/>
    <x v="0"/>
    <s v="Batting Allrounder"/>
    <s v="Opener"/>
    <n v="65"/>
    <n v="28"/>
    <n v="232.14"/>
    <s v="caught"/>
    <n v="150.88999999999999"/>
    <n v="0"/>
    <n v="0"/>
    <n v="0"/>
    <n v="0"/>
    <n v="0"/>
    <n v="0"/>
    <n v="0"/>
    <n v="0"/>
    <n v="150.88999999999999"/>
    <n v="10"/>
    <s v="GGTW"/>
    <s v="GGTW"/>
    <s v="Brabourne Stadium"/>
    <n v="201"/>
    <n v="10.050000000000001"/>
    <n v="64"/>
    <n v="40"/>
    <n v="38"/>
    <s v="NA"/>
    <n v="1"/>
    <n v="98.444999999999993"/>
  </r>
  <r>
    <x v="5"/>
    <n v="1"/>
    <s v="P003"/>
    <x v="2"/>
    <x v="0"/>
    <s v="Batting Allrounder"/>
    <s v="Top Order"/>
    <n v="67"/>
    <n v="45"/>
    <n v="148.88999999999999"/>
    <s v="bowled"/>
    <n v="99.76"/>
    <n v="0"/>
    <n v="0"/>
    <n v="0"/>
    <n v="0"/>
    <n v="0"/>
    <n v="0"/>
    <n v="0"/>
    <n v="0"/>
    <n v="99.76"/>
    <n v="10"/>
    <s v="GGTW"/>
    <s v="GGTW"/>
    <s v="Brabourne Stadium"/>
    <n v="201"/>
    <n v="10.050000000000001"/>
    <n v="64"/>
    <n v="40"/>
    <n v="38"/>
    <s v="NA"/>
    <n v="1"/>
    <n v="72.88"/>
  </r>
  <r>
    <x v="5"/>
    <n v="1"/>
    <s v="P004"/>
    <x v="3"/>
    <x v="0"/>
    <s v="Batting Allrounder"/>
    <s v="Top Order"/>
    <n v="19"/>
    <n v="15"/>
    <n v="126.67"/>
    <s v="stumped"/>
    <n v="24.07"/>
    <n v="4"/>
    <n v="0"/>
    <n v="31"/>
    <n v="3"/>
    <n v="7.8"/>
    <n v="60"/>
    <n v="0"/>
    <n v="0"/>
    <n v="84.07"/>
    <n v="8"/>
    <s v="GGTW"/>
    <s v="GGTW"/>
    <s v="Brabourne Stadium"/>
    <n v="201"/>
    <n v="10.050000000000001"/>
    <n v="64"/>
    <n v="40"/>
    <n v="38"/>
    <s v="NA"/>
    <n v="1"/>
    <n v="64.435000000000002"/>
  </r>
  <r>
    <x v="5"/>
    <n v="1"/>
    <s v="P006"/>
    <x v="5"/>
    <x v="0"/>
    <s v="Batter"/>
    <s v="Middle Order"/>
    <n v="16"/>
    <n v="7"/>
    <n v="228.57"/>
    <s v="caught"/>
    <n v="36.57"/>
    <n v="0"/>
    <n v="0"/>
    <n v="0"/>
    <n v="0"/>
    <n v="0"/>
    <n v="0"/>
    <n v="0"/>
    <n v="0"/>
    <n v="36.57"/>
    <n v="4"/>
    <s v="GGTW"/>
    <s v="GGTW"/>
    <s v="Brabourne Stadium"/>
    <n v="201"/>
    <n v="10.050000000000001"/>
    <n v="64"/>
    <n v="40"/>
    <n v="38"/>
    <s v="NA"/>
    <n v="1"/>
    <n v="39.484999999999999"/>
  </r>
  <r>
    <x v="5"/>
    <n v="1"/>
    <s v="P005"/>
    <x v="4"/>
    <x v="0"/>
    <s v="Bowling Allrounder"/>
    <s v="Middle Order"/>
    <n v="14"/>
    <n v="8"/>
    <n v="175"/>
    <s v="caught"/>
    <n v="24.5"/>
    <n v="4"/>
    <n v="0"/>
    <n v="56"/>
    <n v="2"/>
    <n v="14"/>
    <n v="40"/>
    <n v="0"/>
    <n v="0"/>
    <n v="64.5"/>
    <n v="6"/>
    <s v="GGTW"/>
    <s v="GGTW"/>
    <s v="Brabourne Stadium"/>
    <n v="201"/>
    <n v="10.050000000000001"/>
    <n v="64"/>
    <n v="40"/>
    <n v="38"/>
    <s v="NA"/>
    <n v="1"/>
    <n v="54.05"/>
  </r>
  <r>
    <x v="5"/>
    <n v="1"/>
    <s v="P008"/>
    <x v="7"/>
    <x v="0"/>
    <s v="Bowler"/>
    <s v="Middle Order"/>
    <n v="2"/>
    <n v="3"/>
    <n v="66.67"/>
    <s v="run out"/>
    <n v="1.33"/>
    <n v="4"/>
    <n v="0"/>
    <n v="34"/>
    <n v="0"/>
    <n v="8.5"/>
    <n v="0"/>
    <n v="0"/>
    <n v="1"/>
    <n v="1.33"/>
    <n v="0"/>
    <s v="GGTW"/>
    <s v="GGTW"/>
    <s v="Brabourne Stadium"/>
    <n v="201"/>
    <n v="10.050000000000001"/>
    <n v="64"/>
    <n v="40"/>
    <n v="38"/>
    <s v="NA"/>
    <n v="1"/>
    <n v="20.664999999999999"/>
  </r>
  <r>
    <x v="5"/>
    <n v="1"/>
    <s v="P058"/>
    <x v="57"/>
    <x v="0"/>
    <s v="Bowler"/>
    <s v="Lower Order"/>
    <n v="3"/>
    <n v="2"/>
    <n v="150"/>
    <s v="not out"/>
    <n v="4.5"/>
    <n v="3"/>
    <n v="0"/>
    <n v="27"/>
    <n v="0"/>
    <n v="9"/>
    <n v="0"/>
    <n v="0"/>
    <n v="0"/>
    <n v="4.5"/>
    <n v="0"/>
    <s v="GGTW"/>
    <s v="GGTW"/>
    <s v="Brabourne Stadium"/>
    <n v="201"/>
    <n v="10.050000000000001"/>
    <n v="64"/>
    <n v="40"/>
    <n v="38"/>
    <s v="NA"/>
    <n v="1"/>
    <n v="22.25"/>
  </r>
  <r>
    <x v="5"/>
    <n v="1"/>
    <s v="P057"/>
    <x v="56"/>
    <x v="0"/>
    <s v="WK-Batter"/>
    <s v="Lower Order"/>
    <n v="5"/>
    <n v="2"/>
    <n v="250"/>
    <s v="not out"/>
    <n v="12.5"/>
    <n v="0"/>
    <n v="0"/>
    <n v="0"/>
    <n v="0"/>
    <n v="0"/>
    <n v="0"/>
    <n v="0"/>
    <n v="0"/>
    <n v="12.5"/>
    <n v="1"/>
    <s v="GGTW"/>
    <s v="GGTW"/>
    <s v="Brabourne Stadium"/>
    <n v="201"/>
    <n v="10.050000000000001"/>
    <n v="64"/>
    <n v="40"/>
    <n v="38"/>
    <s v="NA"/>
    <n v="1"/>
    <n v="26.55"/>
  </r>
  <r>
    <x v="5"/>
    <n v="1"/>
    <s v="P011"/>
    <x v="10"/>
    <x v="0"/>
    <s v="Bowler"/>
    <s v="Lower Order"/>
    <n v="0"/>
    <n v="0"/>
    <n v="0"/>
    <s v="DNB"/>
    <n v="0"/>
    <n v="1"/>
    <n v="0"/>
    <n v="9"/>
    <n v="1"/>
    <n v="9"/>
    <n v="20"/>
    <n v="0"/>
    <n v="0"/>
    <n v="20"/>
    <n v="2"/>
    <s v="GGTW"/>
    <s v="GGTW"/>
    <s v="Brabourne Stadium"/>
    <n v="201"/>
    <n v="10.050000000000001"/>
    <n v="64"/>
    <n v="40"/>
    <n v="38"/>
    <s v="NA"/>
    <n v="1"/>
    <n v="30.6"/>
  </r>
  <r>
    <x v="5"/>
    <n v="1"/>
    <s v="P009"/>
    <x v="8"/>
    <x v="0"/>
    <s v="Bowler"/>
    <s v="Lower Order"/>
    <n v="0"/>
    <n v="0"/>
    <n v="0"/>
    <s v="DNB"/>
    <n v="0"/>
    <n v="4"/>
    <n v="0"/>
    <n v="28"/>
    <n v="0"/>
    <n v="7"/>
    <n v="0"/>
    <n v="0"/>
    <n v="0"/>
    <n v="0"/>
    <n v="0"/>
    <s v="GGTW"/>
    <s v="GGTW"/>
    <s v="Brabourne Stadium"/>
    <n v="201"/>
    <n v="10.050000000000001"/>
    <n v="64"/>
    <n v="40"/>
    <n v="38"/>
    <s v="NA"/>
    <n v="1"/>
    <n v="20"/>
  </r>
  <r>
    <x v="5"/>
    <n v="1"/>
    <s v="P023"/>
    <x v="22"/>
    <x v="2"/>
    <s v="Batter"/>
    <s v="Opener"/>
    <n v="18"/>
    <n v="14"/>
    <n v="128.57"/>
    <s v="caught"/>
    <n v="23.14"/>
    <n v="0"/>
    <n v="0"/>
    <n v="0"/>
    <n v="0"/>
    <n v="0"/>
    <n v="0"/>
    <n v="0"/>
    <n v="0"/>
    <n v="23.14"/>
    <n v="2"/>
    <s v="GGTW"/>
    <s v="GGTW"/>
    <s v="Brabourne Stadium"/>
    <n v="190"/>
    <n v="9.5"/>
    <n v="59"/>
    <n v="55"/>
    <n v="40"/>
    <s v="Failed"/>
    <n v="0"/>
    <n v="12.17"/>
  </r>
  <r>
    <x v="5"/>
    <n v="1"/>
    <s v="P024"/>
    <x v="23"/>
    <x v="2"/>
    <s v="Batting Allrounder"/>
    <s v="Opener"/>
    <n v="66"/>
    <n v="45"/>
    <n v="146.66999999999999"/>
    <s v="caught"/>
    <n v="96.8"/>
    <n v="0"/>
    <n v="0"/>
    <n v="0"/>
    <n v="0"/>
    <n v="0"/>
    <n v="0"/>
    <n v="0"/>
    <n v="0"/>
    <n v="96.8"/>
    <n v="10"/>
    <s v="GGTW"/>
    <s v="GGTW"/>
    <s v="Brabourne Stadium"/>
    <n v="190"/>
    <n v="9.5"/>
    <n v="59"/>
    <n v="55"/>
    <n v="40"/>
    <s v="Failed"/>
    <n v="0"/>
    <n v="51.4"/>
  </r>
  <r>
    <x v="5"/>
    <n v="1"/>
    <s v="P027"/>
    <x v="26"/>
    <x v="2"/>
    <s v="Batting Allrounder"/>
    <s v="Top Order"/>
    <n v="32"/>
    <n v="25"/>
    <n v="128"/>
    <s v="caught"/>
    <n v="40.96"/>
    <n v="4"/>
    <n v="0"/>
    <n v="43"/>
    <n v="0"/>
    <n v="10.8"/>
    <n v="0"/>
    <n v="0"/>
    <n v="0"/>
    <n v="40.96"/>
    <n v="4"/>
    <s v="GGTW"/>
    <s v="GGTW"/>
    <s v="Brabourne Stadium"/>
    <n v="190"/>
    <n v="9.5"/>
    <n v="59"/>
    <n v="55"/>
    <n v="40"/>
    <s v="Failed"/>
    <n v="0"/>
    <n v="21.68"/>
  </r>
  <r>
    <x v="5"/>
    <n v="1"/>
    <s v="P028"/>
    <x v="27"/>
    <x v="2"/>
    <s v="WK-Batter"/>
    <s v="Top Order"/>
    <n v="10"/>
    <n v="10"/>
    <n v="100"/>
    <s v="bowled"/>
    <n v="10"/>
    <n v="0"/>
    <n v="0"/>
    <n v="0"/>
    <n v="0"/>
    <n v="0"/>
    <n v="0"/>
    <n v="0"/>
    <n v="0"/>
    <n v="10"/>
    <n v="1"/>
    <s v="GGTW"/>
    <s v="GGTW"/>
    <s v="Brabourne Stadium"/>
    <n v="190"/>
    <n v="9.5"/>
    <n v="59"/>
    <n v="55"/>
    <n v="40"/>
    <s v="Failed"/>
    <n v="0"/>
    <n v="5.3"/>
  </r>
  <r>
    <x v="5"/>
    <n v="1"/>
    <s v="P025"/>
    <x v="24"/>
    <x v="2"/>
    <s v="Batting Allrounder"/>
    <s v="Middle Order"/>
    <n v="30"/>
    <n v="11"/>
    <n v="272.73"/>
    <s v="not out"/>
    <n v="81.819999999999993"/>
    <n v="2"/>
    <n v="0"/>
    <n v="17"/>
    <n v="2"/>
    <n v="8.5"/>
    <n v="40"/>
    <n v="0"/>
    <n v="0"/>
    <n v="121.82"/>
    <n v="10"/>
    <s v="GGTW"/>
    <s v="GGTW"/>
    <s v="Brabourne Stadium"/>
    <n v="190"/>
    <n v="9.5"/>
    <n v="59"/>
    <n v="55"/>
    <n v="40"/>
    <s v="Failed"/>
    <n v="0"/>
    <n v="63.91"/>
  </r>
  <r>
    <x v="5"/>
    <n v="1"/>
    <s v="P029"/>
    <x v="28"/>
    <x v="2"/>
    <s v="Batting Allrounder"/>
    <s v="Middle Order"/>
    <n v="10"/>
    <n v="7"/>
    <n v="142.86000000000001"/>
    <s v="stumped"/>
    <n v="14.29"/>
    <n v="0"/>
    <n v="0"/>
    <n v="0"/>
    <n v="0"/>
    <n v="0"/>
    <n v="0"/>
    <n v="0"/>
    <n v="0"/>
    <n v="14.29"/>
    <n v="1"/>
    <s v="GGTW"/>
    <s v="GGTW"/>
    <s v="Brabourne Stadium"/>
    <n v="190"/>
    <n v="9.5"/>
    <n v="59"/>
    <n v="55"/>
    <n v="40"/>
    <s v="Failed"/>
    <n v="0"/>
    <n v="7.4449999999999994"/>
  </r>
  <r>
    <x v="5"/>
    <n v="1"/>
    <s v="P061"/>
    <x v="60"/>
    <x v="2"/>
    <s v="Bowling Allrounder"/>
    <s v="Middle Order"/>
    <n v="2"/>
    <n v="4"/>
    <n v="50"/>
    <s v="caught"/>
    <n v="1"/>
    <n v="0"/>
    <n v="0"/>
    <n v="0"/>
    <n v="0"/>
    <n v="0"/>
    <n v="0"/>
    <n v="0"/>
    <n v="0"/>
    <n v="1"/>
    <n v="0"/>
    <s v="GGTW"/>
    <s v="GGTW"/>
    <s v="Brabourne Stadium"/>
    <n v="190"/>
    <n v="9.5"/>
    <n v="59"/>
    <n v="55"/>
    <n v="40"/>
    <s v="Failed"/>
    <n v="0"/>
    <n v="0.5"/>
  </r>
  <r>
    <x v="5"/>
    <n v="1"/>
    <s v="P059"/>
    <x v="58"/>
    <x v="2"/>
    <s v="Bowler"/>
    <s v="Middle Order"/>
    <n v="11"/>
    <n v="4"/>
    <n v="275"/>
    <s v="not out"/>
    <n v="30.25"/>
    <n v="4"/>
    <n v="0"/>
    <n v="32"/>
    <n v="2"/>
    <n v="8"/>
    <n v="40"/>
    <n v="0"/>
    <n v="0"/>
    <n v="70.25"/>
    <n v="7"/>
    <s v="GGTW"/>
    <s v="GGTW"/>
    <s v="Brabourne Stadium"/>
    <n v="190"/>
    <n v="9.5"/>
    <n v="59"/>
    <n v="55"/>
    <n v="40"/>
    <s v="Failed"/>
    <n v="0"/>
    <n v="37.225000000000001"/>
  </r>
  <r>
    <x v="5"/>
    <n v="1"/>
    <s v="P032"/>
    <x v="31"/>
    <x v="2"/>
    <s v="Bowler"/>
    <s v="Lower Order"/>
    <n v="0"/>
    <n v="0"/>
    <n v="0"/>
    <s v="DNB"/>
    <n v="0"/>
    <n v="3"/>
    <n v="1"/>
    <n v="26"/>
    <n v="1"/>
    <n v="8.6999999999999993"/>
    <n v="20"/>
    <n v="0"/>
    <n v="0"/>
    <n v="20"/>
    <n v="2"/>
    <s v="GGTW"/>
    <s v="GGTW"/>
    <s v="Brabourne Stadium"/>
    <n v="190"/>
    <n v="9.5"/>
    <n v="59"/>
    <n v="55"/>
    <n v="40"/>
    <s v="Failed"/>
    <n v="0"/>
    <n v="10.6"/>
  </r>
  <r>
    <x v="5"/>
    <n v="1"/>
    <s v="P033"/>
    <x v="32"/>
    <x v="2"/>
    <s v="Bowler"/>
    <s v="Lower Order"/>
    <n v="0"/>
    <n v="0"/>
    <n v="0"/>
    <s v="DNB"/>
    <n v="0"/>
    <n v="4"/>
    <n v="0"/>
    <n v="36"/>
    <n v="1"/>
    <n v="9"/>
    <n v="20"/>
    <n v="0"/>
    <n v="0"/>
    <n v="20"/>
    <n v="2"/>
    <s v="GGTW"/>
    <s v="GGTW"/>
    <s v="Brabourne Stadium"/>
    <n v="190"/>
    <n v="9.5"/>
    <n v="59"/>
    <n v="55"/>
    <n v="40"/>
    <s v="Failed"/>
    <n v="0"/>
    <n v="10.6"/>
  </r>
  <r>
    <x v="5"/>
    <n v="1"/>
    <s v="P031"/>
    <x v="30"/>
    <x v="2"/>
    <s v="Bowler"/>
    <s v="Lower Order"/>
    <n v="0"/>
    <n v="0"/>
    <n v="0"/>
    <s v="DNB"/>
    <n v="0"/>
    <n v="3"/>
    <n v="0"/>
    <n v="47"/>
    <n v="0"/>
    <n v="15.7"/>
    <n v="0"/>
    <n v="0"/>
    <n v="0"/>
    <n v="0"/>
    <n v="0"/>
    <s v="GGTW"/>
    <s v="GGTW"/>
    <s v="Brabourne Stadium"/>
    <n v="190"/>
    <n v="9.5"/>
    <n v="59"/>
    <n v="55"/>
    <n v="40"/>
    <s v="Failed"/>
    <n v="0"/>
    <n v="0"/>
  </r>
  <r>
    <x v="6"/>
    <n v="1"/>
    <s v="P035"/>
    <x v="34"/>
    <x v="3"/>
    <s v="Batter"/>
    <s v="Opener"/>
    <n v="43"/>
    <n v="41"/>
    <n v="104.88"/>
    <s v="caught"/>
    <n v="45.1"/>
    <n v="0"/>
    <n v="0"/>
    <n v="0"/>
    <n v="0"/>
    <n v="0"/>
    <n v="0"/>
    <n v="0"/>
    <n v="0"/>
    <n v="45.1"/>
    <n v="5"/>
    <s v="MIW"/>
    <s v="DCW"/>
    <s v="Dr DY Patil Sports "/>
    <n v="105"/>
    <n v="5.83"/>
    <n v="29"/>
    <n v="7"/>
    <n v="43"/>
    <s v="NA"/>
    <n v="0"/>
    <n v="24.05"/>
  </r>
  <r>
    <x v="6"/>
    <n v="1"/>
    <s v="P034"/>
    <x v="33"/>
    <x v="3"/>
    <s v="Batting Allrounder"/>
    <s v="Opener"/>
    <n v="2"/>
    <n v="6"/>
    <n v="33.33"/>
    <s v="bowled"/>
    <n v="0.66"/>
    <n v="0"/>
    <n v="0"/>
    <n v="0"/>
    <n v="0"/>
    <n v="0"/>
    <n v="0"/>
    <n v="0"/>
    <n v="0"/>
    <n v="0.66"/>
    <n v="0"/>
    <s v="MIW"/>
    <s v="DCW"/>
    <s v="Dr DY Patil Sports "/>
    <n v="105"/>
    <n v="5.83"/>
    <n v="29"/>
    <n v="7"/>
    <n v="43"/>
    <s v="NA"/>
    <n v="0"/>
    <n v="0.33"/>
  </r>
  <r>
    <x v="6"/>
    <n v="1"/>
    <s v="P038"/>
    <x v="37"/>
    <x v="3"/>
    <s v="Batter"/>
    <s v="Top Order"/>
    <n v="6"/>
    <n v="7"/>
    <n v="85.71"/>
    <s v="caught"/>
    <n v="5.14"/>
    <n v="3"/>
    <n v="0"/>
    <n v="14"/>
    <n v="1"/>
    <n v="4.7"/>
    <n v="20"/>
    <n v="0"/>
    <n v="0"/>
    <n v="25.14"/>
    <n v="3"/>
    <s v="MIW"/>
    <s v="DCW"/>
    <s v="Dr DY Patil Sports "/>
    <n v="105"/>
    <n v="5.83"/>
    <n v="29"/>
    <n v="7"/>
    <n v="43"/>
    <s v="NA"/>
    <n v="0"/>
    <n v="13.47"/>
  </r>
  <r>
    <x v="6"/>
    <n v="1"/>
    <s v="P036"/>
    <x v="35"/>
    <x v="3"/>
    <s v="Allrounder"/>
    <s v="Top Order"/>
    <n v="2"/>
    <n v="4"/>
    <n v="50"/>
    <s v="bowled"/>
    <n v="1"/>
    <n v="4"/>
    <n v="0"/>
    <n v="25"/>
    <n v="0"/>
    <n v="6.2"/>
    <n v="0"/>
    <n v="0"/>
    <n v="0"/>
    <n v="1"/>
    <n v="0"/>
    <s v="MIW"/>
    <s v="DCW"/>
    <s v="Dr DY Patil Sports "/>
    <n v="105"/>
    <n v="5.83"/>
    <n v="29"/>
    <n v="7"/>
    <n v="43"/>
    <s v="NA"/>
    <n v="0"/>
    <n v="0.5"/>
  </r>
  <r>
    <x v="6"/>
    <n v="1"/>
    <s v="P037"/>
    <x v="36"/>
    <x v="3"/>
    <s v="Batter"/>
    <s v="Middle Order"/>
    <n v="25"/>
    <n v="18"/>
    <n v="138.88999999999999"/>
    <s v="bowled"/>
    <n v="34.72"/>
    <n v="0"/>
    <n v="0"/>
    <n v="0"/>
    <n v="0"/>
    <n v="0"/>
    <n v="0"/>
    <n v="0"/>
    <n v="0"/>
    <n v="34.72"/>
    <n v="3"/>
    <s v="MIW"/>
    <s v="DCW"/>
    <s v="Dr DY Patil Sports "/>
    <n v="105"/>
    <n v="5.83"/>
    <n v="29"/>
    <n v="7"/>
    <n v="43"/>
    <s v="NA"/>
    <n v="0"/>
    <n v="18.259999999999998"/>
  </r>
  <r>
    <x v="6"/>
    <n v="1"/>
    <s v="P039"/>
    <x v="38"/>
    <x v="3"/>
    <s v="Bowler"/>
    <s v="Middle Order"/>
    <n v="2"/>
    <n v="3"/>
    <n v="66.67"/>
    <s v="caught"/>
    <n v="1.33"/>
    <n v="3"/>
    <n v="0"/>
    <n v="25"/>
    <n v="0"/>
    <n v="8.3000000000000007"/>
    <n v="0"/>
    <n v="0"/>
    <n v="0"/>
    <n v="1.33"/>
    <n v="0"/>
    <s v="MIW"/>
    <s v="DCW"/>
    <s v="Dr DY Patil Sports "/>
    <n v="105"/>
    <n v="5.83"/>
    <n v="29"/>
    <n v="7"/>
    <n v="43"/>
    <s v="NA"/>
    <n v="0"/>
    <n v="0.66500000000000004"/>
  </r>
  <r>
    <x v="6"/>
    <n v="1"/>
    <s v="P040"/>
    <x v="39"/>
    <x v="3"/>
    <s v="WK-Batter"/>
    <s v="Middle Order"/>
    <n v="4"/>
    <n v="9"/>
    <n v="44.44"/>
    <s v="caught"/>
    <n v="1.78"/>
    <n v="0"/>
    <n v="0"/>
    <n v="0"/>
    <n v="0"/>
    <n v="0"/>
    <n v="0"/>
    <n v="0"/>
    <n v="0"/>
    <n v="1.78"/>
    <n v="0"/>
    <s v="MIW"/>
    <s v="DCW"/>
    <s v="Dr DY Patil Sports "/>
    <n v="105"/>
    <n v="5.83"/>
    <n v="29"/>
    <n v="7"/>
    <n v="43"/>
    <s v="NA"/>
    <n v="0"/>
    <n v="0.89"/>
  </r>
  <r>
    <x v="6"/>
    <n v="1"/>
    <s v="P062"/>
    <x v="61"/>
    <x v="3"/>
    <s v="Batting Allrounder"/>
    <s v="Middle Order"/>
    <n v="0"/>
    <n v="3"/>
    <n v="0"/>
    <s v="stumped"/>
    <n v="0"/>
    <n v="0"/>
    <n v="0"/>
    <n v="0"/>
    <n v="0"/>
    <n v="0"/>
    <n v="0"/>
    <n v="0"/>
    <n v="0"/>
    <n v="0"/>
    <n v="0"/>
    <s v="MIW"/>
    <s v="DCW"/>
    <s v="Dr DY Patil Sports "/>
    <n v="105"/>
    <n v="5.83"/>
    <n v="29"/>
    <n v="7"/>
    <n v="43"/>
    <s v="NA"/>
    <n v="0"/>
    <n v="0"/>
  </r>
  <r>
    <x v="6"/>
    <n v="1"/>
    <s v="P043"/>
    <x v="42"/>
    <x v="3"/>
    <s v="Bowler"/>
    <s v="Lower Order"/>
    <n v="10"/>
    <n v="9"/>
    <n v="111.11"/>
    <s v="caught"/>
    <n v="11.11"/>
    <n v="1"/>
    <n v="0"/>
    <n v="12"/>
    <n v="0"/>
    <n v="12"/>
    <n v="0"/>
    <n v="0"/>
    <n v="0"/>
    <n v="11.11"/>
    <n v="1"/>
    <s v="MIW"/>
    <s v="DCW"/>
    <s v="Dr DY Patil Sports "/>
    <n v="105"/>
    <n v="5.83"/>
    <n v="29"/>
    <n v="7"/>
    <n v="43"/>
    <s v="NA"/>
    <n v="0"/>
    <n v="5.8549999999999995"/>
  </r>
  <r>
    <x v="6"/>
    <n v="1"/>
    <s v="P042"/>
    <x v="41"/>
    <x v="3"/>
    <s v="Bowling Allrounder"/>
    <s v="Lower Order"/>
    <n v="4"/>
    <n v="8"/>
    <n v="50"/>
    <s v="not out"/>
    <n v="2"/>
    <n v="3"/>
    <n v="0"/>
    <n v="28"/>
    <n v="0"/>
    <n v="9.3000000000000007"/>
    <n v="0"/>
    <n v="0"/>
    <n v="0"/>
    <n v="2"/>
    <n v="0"/>
    <s v="MIW"/>
    <s v="DCW"/>
    <s v="Dr DY Patil Sports "/>
    <n v="105"/>
    <n v="5.83"/>
    <n v="29"/>
    <n v="7"/>
    <n v="43"/>
    <s v="NA"/>
    <n v="0"/>
    <n v="1"/>
  </r>
  <r>
    <x v="6"/>
    <n v="1"/>
    <s v="P044"/>
    <x v="43"/>
    <x v="3"/>
    <s v="Bowler"/>
    <s v="Lower Order"/>
    <n v="0"/>
    <n v="1"/>
    <n v="0"/>
    <s v="lbw"/>
    <n v="0"/>
    <n v="1"/>
    <n v="0"/>
    <n v="4"/>
    <n v="1"/>
    <n v="4"/>
    <n v="20"/>
    <n v="0"/>
    <n v="0"/>
    <n v="20"/>
    <n v="2"/>
    <s v="MIW"/>
    <s v="DCW"/>
    <s v="Dr DY Patil Sports "/>
    <n v="105"/>
    <n v="5.83"/>
    <n v="29"/>
    <n v="7"/>
    <n v="43"/>
    <s v="NA"/>
    <n v="0"/>
    <n v="10.6"/>
  </r>
  <r>
    <x v="6"/>
    <n v="1"/>
    <s v="P013"/>
    <x v="12"/>
    <x v="1"/>
    <s v="WK-Batter"/>
    <s v="Opener"/>
    <n v="41"/>
    <n v="32"/>
    <n v="128.12"/>
    <s v="lbw"/>
    <n v="52.53"/>
    <n v="0"/>
    <n v="0"/>
    <n v="0"/>
    <n v="0"/>
    <n v="0"/>
    <n v="0"/>
    <n v="0"/>
    <n v="0"/>
    <n v="52.53"/>
    <n v="5"/>
    <s v="MIW"/>
    <s v="DCW"/>
    <s v="Dr DY Patil Sports "/>
    <n v="109"/>
    <n v="7.27"/>
    <n v="47"/>
    <n v="0"/>
    <n v="45"/>
    <s v="Successful"/>
    <n v="1"/>
    <n v="47.765000000000001"/>
  </r>
  <r>
    <x v="6"/>
    <n v="1"/>
    <s v="P012"/>
    <x v="11"/>
    <x v="1"/>
    <s v="Batting Allrounder"/>
    <s v="Opener"/>
    <n v="32"/>
    <n v="31"/>
    <n v="103.23"/>
    <s v="caught"/>
    <n v="33.03"/>
    <n v="4"/>
    <n v="0"/>
    <n v="19"/>
    <n v="3"/>
    <n v="4.8"/>
    <n v="60"/>
    <n v="0"/>
    <n v="0"/>
    <n v="93.03"/>
    <n v="9"/>
    <s v="MIW"/>
    <s v="DCW"/>
    <s v="Dr DY Patil Sports "/>
    <n v="109"/>
    <n v="7.27"/>
    <n v="47"/>
    <n v="0"/>
    <n v="45"/>
    <s v="Successful"/>
    <n v="1"/>
    <n v="69.215000000000003"/>
  </r>
  <r>
    <x v="6"/>
    <n v="1"/>
    <s v="P015"/>
    <x v="14"/>
    <x v="1"/>
    <s v="Bowling Allrounder"/>
    <s v="Top Order"/>
    <n v="23"/>
    <n v="19"/>
    <n v="121.05"/>
    <s v="not out"/>
    <n v="27.84"/>
    <n v="3"/>
    <n v="0"/>
    <n v="22"/>
    <n v="0"/>
    <n v="7.3"/>
    <n v="0"/>
    <n v="0"/>
    <n v="0"/>
    <n v="27.84"/>
    <n v="3"/>
    <s v="MIW"/>
    <s v="DCW"/>
    <s v="Dr DY Patil Sports "/>
    <n v="109"/>
    <n v="7.27"/>
    <n v="47"/>
    <n v="0"/>
    <n v="45"/>
    <s v="Successful"/>
    <n v="1"/>
    <n v="34.82"/>
  </r>
  <r>
    <x v="6"/>
    <n v="1"/>
    <s v="P014"/>
    <x v="13"/>
    <x v="1"/>
    <s v="Batting Allrounder"/>
    <s v="Top Order"/>
    <n v="11"/>
    <n v="8"/>
    <n v="137.5"/>
    <s v="not out"/>
    <n v="15.13"/>
    <n v="0"/>
    <n v="0"/>
    <n v="0"/>
    <n v="0"/>
    <n v="0"/>
    <n v="0"/>
    <n v="0"/>
    <n v="0"/>
    <n v="15.13"/>
    <n v="2"/>
    <s v="MIW"/>
    <s v="DCW"/>
    <s v="Dr DY Patil Sports "/>
    <n v="109"/>
    <n v="7.27"/>
    <n v="47"/>
    <n v="0"/>
    <n v="45"/>
    <s v="Successful"/>
    <n v="1"/>
    <n v="28.164999999999999"/>
  </r>
  <r>
    <x v="6"/>
    <n v="1"/>
    <s v="P016"/>
    <x v="15"/>
    <x v="1"/>
    <s v="Bowler"/>
    <s v="Middle Order"/>
    <n v="0"/>
    <n v="0"/>
    <n v="0"/>
    <s v="DNB"/>
    <n v="0"/>
    <n v="3"/>
    <n v="0"/>
    <n v="29"/>
    <n v="0"/>
    <n v="9.6999999999999993"/>
    <n v="0"/>
    <n v="0"/>
    <n v="0"/>
    <n v="0"/>
    <n v="0"/>
    <s v="MIW"/>
    <s v="DCW"/>
    <s v="Dr DY Patil Sports "/>
    <n v="109"/>
    <n v="7.27"/>
    <n v="47"/>
    <n v="0"/>
    <n v="45"/>
    <s v="Successful"/>
    <n v="1"/>
    <n v="20"/>
  </r>
  <r>
    <x v="6"/>
    <n v="1"/>
    <s v="P018"/>
    <x v="17"/>
    <x v="1"/>
    <s v="Bowling Allrounder"/>
    <s v="Middle Order"/>
    <n v="0"/>
    <n v="0"/>
    <n v="0"/>
    <s v="DNB"/>
    <n v="0"/>
    <n v="1"/>
    <n v="0"/>
    <n v="6"/>
    <n v="1"/>
    <n v="6"/>
    <n v="20"/>
    <n v="0"/>
    <n v="0"/>
    <n v="20"/>
    <n v="2"/>
    <s v="MIW"/>
    <s v="DCW"/>
    <s v="Dr DY Patil Sports "/>
    <n v="109"/>
    <n v="7.27"/>
    <n v="47"/>
    <n v="0"/>
    <n v="45"/>
    <s v="Successful"/>
    <n v="1"/>
    <n v="30.6"/>
  </r>
  <r>
    <x v="6"/>
    <n v="1"/>
    <s v="P020"/>
    <x v="19"/>
    <x v="1"/>
    <s v="Bowler"/>
    <s v="Middle Order"/>
    <n v="0"/>
    <n v="0"/>
    <n v="0"/>
    <s v="DNB"/>
    <n v="0"/>
    <n v="4"/>
    <n v="0"/>
    <n v="10"/>
    <n v="3"/>
    <n v="2.5"/>
    <n v="60"/>
    <n v="0"/>
    <n v="0"/>
    <n v="60"/>
    <n v="6"/>
    <s v="MIW"/>
    <s v="DCW"/>
    <s v="Dr DY Patil Sports "/>
    <n v="109"/>
    <n v="7.27"/>
    <n v="47"/>
    <n v="0"/>
    <n v="45"/>
    <s v="Successful"/>
    <n v="1"/>
    <n v="51.8"/>
  </r>
  <r>
    <x v="6"/>
    <n v="1"/>
    <s v="P017"/>
    <x v="16"/>
    <x v="1"/>
    <s v="Batter"/>
    <s v="Lower Order"/>
    <n v="0"/>
    <n v="0"/>
    <n v="0"/>
    <s v="DNB"/>
    <n v="0"/>
    <n v="0"/>
    <n v="0"/>
    <n v="0"/>
    <n v="0"/>
    <n v="0"/>
    <n v="0"/>
    <n v="0"/>
    <n v="0"/>
    <n v="0"/>
    <n v="0"/>
    <s v="MIW"/>
    <s v="DCW"/>
    <s v="Dr DY Patil Sports "/>
    <n v="109"/>
    <n v="7.27"/>
    <n v="47"/>
    <n v="0"/>
    <n v="45"/>
    <s v="Successful"/>
    <n v="1"/>
    <n v="20"/>
  </r>
  <r>
    <x v="6"/>
    <n v="1"/>
    <s v="P019"/>
    <x v="18"/>
    <x v="1"/>
    <s v="Batting Allrounder"/>
    <s v="Lower Order"/>
    <n v="0"/>
    <n v="0"/>
    <n v="0"/>
    <s v="DNB"/>
    <n v="0"/>
    <n v="0"/>
    <n v="0"/>
    <n v="0"/>
    <n v="0"/>
    <n v="0"/>
    <n v="0"/>
    <n v="0"/>
    <n v="0"/>
    <n v="0"/>
    <n v="0"/>
    <s v="MIW"/>
    <s v="DCW"/>
    <s v="Dr DY Patil Sports "/>
    <n v="109"/>
    <n v="7.27"/>
    <n v="47"/>
    <n v="0"/>
    <n v="45"/>
    <s v="Successful"/>
    <n v="1"/>
    <n v="20"/>
  </r>
  <r>
    <x v="6"/>
    <n v="1"/>
    <s v="P021"/>
    <x v="20"/>
    <x v="1"/>
    <s v="Bowling Allrounder"/>
    <s v="Lower Order"/>
    <n v="0"/>
    <n v="0"/>
    <n v="0"/>
    <s v="DNB"/>
    <n v="0"/>
    <n v="0"/>
    <n v="0"/>
    <n v="0"/>
    <n v="0"/>
    <n v="0"/>
    <n v="0"/>
    <n v="0"/>
    <n v="0"/>
    <n v="0"/>
    <n v="0"/>
    <s v="MIW"/>
    <s v="DCW"/>
    <s v="Dr DY Patil Sports "/>
    <n v="109"/>
    <n v="7.27"/>
    <n v="47"/>
    <n v="0"/>
    <n v="45"/>
    <s v="Successful"/>
    <n v="1"/>
    <n v="20"/>
  </r>
  <r>
    <x v="6"/>
    <n v="1"/>
    <s v="P022"/>
    <x v="21"/>
    <x v="1"/>
    <s v="Bowler"/>
    <s v="Lower Order"/>
    <n v="0"/>
    <n v="0"/>
    <n v="0"/>
    <s v="DNB"/>
    <n v="0"/>
    <n v="3"/>
    <n v="0"/>
    <n v="13"/>
    <n v="3"/>
    <n v="4.3"/>
    <n v="60"/>
    <n v="0"/>
    <n v="0"/>
    <n v="60"/>
    <n v="6"/>
    <s v="MIW"/>
    <s v="DCW"/>
    <s v="Dr DY Patil Sports "/>
    <n v="109"/>
    <n v="7.27"/>
    <n v="47"/>
    <n v="0"/>
    <n v="45"/>
    <s v="Successful"/>
    <n v="1"/>
    <n v="51.8"/>
  </r>
  <r>
    <x v="7"/>
    <n v="1"/>
    <s v="P023"/>
    <x v="22"/>
    <x v="2"/>
    <s v="Batter"/>
    <s v="Opener"/>
    <n v="4"/>
    <n v="6"/>
    <n v="66.67"/>
    <s v="caught"/>
    <n v="2.67"/>
    <n v="0"/>
    <n v="0"/>
    <n v="0"/>
    <n v="0"/>
    <n v="0"/>
    <n v="0"/>
    <n v="0"/>
    <n v="0"/>
    <n v="2.67"/>
    <n v="0"/>
    <s v="UPW"/>
    <s v="RCBW"/>
    <s v="Brabourne Stadium"/>
    <n v="138"/>
    <n v="7.08"/>
    <n v="54"/>
    <n v="14"/>
    <n v="39"/>
    <s v="NA"/>
    <n v="0"/>
    <n v="1.335"/>
  </r>
  <r>
    <x v="7"/>
    <n v="1"/>
    <s v="P024"/>
    <x v="23"/>
    <x v="2"/>
    <s v="Batting Allrounder"/>
    <s v="Opener"/>
    <n v="36"/>
    <n v="24"/>
    <n v="150"/>
    <s v="bowled"/>
    <n v="54"/>
    <n v="0"/>
    <n v="0"/>
    <n v="0"/>
    <n v="0"/>
    <n v="0"/>
    <n v="0"/>
    <n v="0"/>
    <n v="0"/>
    <n v="54"/>
    <n v="5"/>
    <s v="UPW"/>
    <s v="RCBW"/>
    <s v="Brabourne Stadium"/>
    <n v="138"/>
    <n v="7.08"/>
    <n v="54"/>
    <n v="14"/>
    <n v="39"/>
    <s v="NA"/>
    <n v="0"/>
    <n v="28.5"/>
  </r>
  <r>
    <x v="7"/>
    <n v="1"/>
    <s v="P027"/>
    <x v="26"/>
    <x v="2"/>
    <s v="Batting Allrounder"/>
    <s v="Top Order"/>
    <n v="52"/>
    <n v="39"/>
    <n v="133.33000000000001"/>
    <s v="caught"/>
    <n v="69.33"/>
    <n v="2"/>
    <n v="0"/>
    <n v="17"/>
    <n v="0"/>
    <n v="8.5"/>
    <n v="0"/>
    <n v="0"/>
    <n v="0"/>
    <n v="69.33"/>
    <n v="7"/>
    <s v="UPW"/>
    <s v="RCBW"/>
    <s v="Brabourne Stadium"/>
    <n v="138"/>
    <n v="7.08"/>
    <n v="54"/>
    <n v="14"/>
    <n v="39"/>
    <s v="NA"/>
    <n v="0"/>
    <n v="36.765000000000001"/>
  </r>
  <r>
    <x v="7"/>
    <n v="1"/>
    <s v="P029"/>
    <x v="28"/>
    <x v="2"/>
    <s v="Batting Allrounder"/>
    <s v="Top Order"/>
    <n v="8"/>
    <n v="10"/>
    <n v="80"/>
    <s v="caught"/>
    <n v="6.4"/>
    <n v="0"/>
    <n v="0"/>
    <n v="0"/>
    <n v="0"/>
    <n v="0"/>
    <n v="0"/>
    <n v="0"/>
    <n v="0"/>
    <n v="6.4"/>
    <n v="1"/>
    <s v="UPW"/>
    <s v="RCBW"/>
    <s v="Brabourne Stadium"/>
    <n v="138"/>
    <n v="7.08"/>
    <n v="54"/>
    <n v="14"/>
    <n v="39"/>
    <s v="NA"/>
    <n v="0"/>
    <n v="3.5"/>
  </r>
  <r>
    <x v="7"/>
    <n v="1"/>
    <s v="P025"/>
    <x v="24"/>
    <x v="2"/>
    <s v="Batting Allrounder"/>
    <s v="Middle Order"/>
    <n v="2"/>
    <n v="2"/>
    <n v="100"/>
    <s v="run out"/>
    <n v="2"/>
    <n v="1"/>
    <n v="0"/>
    <n v="9"/>
    <n v="0"/>
    <n v="9"/>
    <n v="0"/>
    <n v="0"/>
    <n v="1"/>
    <n v="2"/>
    <n v="0"/>
    <s v="UPW"/>
    <s v="RCBW"/>
    <s v="Brabourne Stadium"/>
    <n v="138"/>
    <n v="7.08"/>
    <n v="54"/>
    <n v="14"/>
    <n v="39"/>
    <s v="NA"/>
    <n v="0"/>
    <n v="1"/>
  </r>
  <r>
    <x v="7"/>
    <n v="1"/>
    <s v="P059"/>
    <x v="58"/>
    <x v="2"/>
    <s v="Bowler"/>
    <s v="Middle Order"/>
    <n v="15"/>
    <n v="10"/>
    <n v="150"/>
    <s v="caught"/>
    <n v="22.5"/>
    <n v="3"/>
    <n v="0"/>
    <n v="36"/>
    <n v="0"/>
    <n v="12"/>
    <n v="0"/>
    <n v="0"/>
    <n v="0"/>
    <n v="22.5"/>
    <n v="2"/>
    <s v="UPW"/>
    <s v="RCBW"/>
    <s v="Brabourne Stadium"/>
    <n v="138"/>
    <n v="7.08"/>
    <n v="54"/>
    <n v="14"/>
    <n v="39"/>
    <s v="NA"/>
    <n v="0"/>
    <n v="11.85"/>
  </r>
  <r>
    <x v="7"/>
    <n v="1"/>
    <s v="P063"/>
    <x v="62"/>
    <x v="2"/>
    <s v="Bowling Allrounder"/>
    <s v="Middle Order"/>
    <n v="12"/>
    <n v="9"/>
    <n v="133.33000000000001"/>
    <s v="bowled"/>
    <n v="16"/>
    <n v="2"/>
    <n v="0"/>
    <n v="18"/>
    <n v="0"/>
    <n v="9"/>
    <n v="0"/>
    <n v="0"/>
    <n v="0"/>
    <n v="16"/>
    <n v="2"/>
    <s v="UPW"/>
    <s v="RCBW"/>
    <s v="Brabourne Stadium"/>
    <n v="138"/>
    <n v="7.08"/>
    <n v="54"/>
    <n v="14"/>
    <n v="39"/>
    <s v="NA"/>
    <n v="0"/>
    <n v="8.6"/>
  </r>
  <r>
    <x v="7"/>
    <n v="1"/>
    <s v="P028"/>
    <x v="27"/>
    <x v="2"/>
    <s v="WK-Batter"/>
    <s v="Middle Order"/>
    <n v="1"/>
    <n v="1"/>
    <n v="100"/>
    <s v="run out"/>
    <n v="1"/>
    <n v="0"/>
    <n v="0"/>
    <n v="0"/>
    <n v="0"/>
    <n v="0"/>
    <n v="0"/>
    <n v="0"/>
    <n v="0"/>
    <n v="1"/>
    <n v="0"/>
    <s v="UPW"/>
    <s v="RCBW"/>
    <s v="Brabourne Stadium"/>
    <n v="138"/>
    <n v="7.08"/>
    <n v="54"/>
    <n v="14"/>
    <n v="39"/>
    <s v="NA"/>
    <n v="0"/>
    <n v="0.5"/>
  </r>
  <r>
    <x v="7"/>
    <n v="1"/>
    <s v="P064"/>
    <x v="63"/>
    <x v="2"/>
    <s v="Bowler"/>
    <s v="Lower Order"/>
    <n v="5"/>
    <n v="7"/>
    <n v="71.430000000000007"/>
    <s v="not out"/>
    <n v="3.57"/>
    <n v="2"/>
    <n v="0"/>
    <n v="22"/>
    <n v="0"/>
    <n v="11"/>
    <n v="0"/>
    <n v="0"/>
    <n v="0"/>
    <n v="3.57"/>
    <n v="0"/>
    <s v="UPW"/>
    <s v="RCBW"/>
    <s v="Brabourne Stadium"/>
    <n v="138"/>
    <n v="7.08"/>
    <n v="54"/>
    <n v="14"/>
    <n v="39"/>
    <s v="NA"/>
    <n v="0"/>
    <n v="1.7849999999999999"/>
  </r>
  <r>
    <x v="7"/>
    <n v="1"/>
    <s v="P033"/>
    <x v="32"/>
    <x v="2"/>
    <s v="Bowler"/>
    <s v="Lower Order"/>
    <n v="3"/>
    <n v="8"/>
    <n v="37.5"/>
    <s v="bowled"/>
    <n v="1.1299999999999999"/>
    <n v="2"/>
    <n v="0"/>
    <n v="20"/>
    <n v="0"/>
    <n v="10"/>
    <n v="0"/>
    <n v="0"/>
    <n v="0"/>
    <n v="1.1299999999999999"/>
    <n v="0"/>
    <s v="UPW"/>
    <s v="RCBW"/>
    <s v="Brabourne Stadium"/>
    <n v="138"/>
    <n v="7.08"/>
    <n v="54"/>
    <n v="14"/>
    <n v="39"/>
    <s v="NA"/>
    <n v="0"/>
    <n v="0.56499999999999995"/>
  </r>
  <r>
    <x v="7"/>
    <n v="1"/>
    <s v="P065"/>
    <x v="64"/>
    <x v="2"/>
    <s v="Bowler"/>
    <s v="Lower Order"/>
    <n v="0"/>
    <n v="1"/>
    <n v="0"/>
    <s v="lbw"/>
    <n v="0"/>
    <n v="1"/>
    <n v="0"/>
    <n v="11"/>
    <n v="0"/>
    <n v="11"/>
    <n v="0"/>
    <n v="0"/>
    <n v="0"/>
    <n v="0"/>
    <n v="0"/>
    <s v="UPW"/>
    <s v="RCBW"/>
    <s v="Brabourne Stadium"/>
    <n v="138"/>
    <n v="7.08"/>
    <n v="54"/>
    <n v="14"/>
    <n v="39"/>
    <s v="NA"/>
    <n v="0"/>
    <n v="0"/>
  </r>
  <r>
    <x v="7"/>
    <n v="1"/>
    <s v="P052"/>
    <x v="51"/>
    <x v="4"/>
    <s v="Batter"/>
    <s v="Opener"/>
    <n v="36"/>
    <n v="31"/>
    <n v="116.13"/>
    <s v="not out"/>
    <n v="41.81"/>
    <n v="1"/>
    <n v="0"/>
    <n v="12"/>
    <n v="0"/>
    <n v="12"/>
    <n v="0"/>
    <n v="0"/>
    <n v="0"/>
    <n v="41.81"/>
    <n v="4"/>
    <s v="UPW"/>
    <s v="RCBW"/>
    <s v="Brabourne Stadium"/>
    <n v="139"/>
    <n v="10.69"/>
    <n v="55"/>
    <n v="0"/>
    <n v="19"/>
    <s v="Successful"/>
    <n v="1"/>
    <n v="42.105000000000004"/>
  </r>
  <r>
    <x v="7"/>
    <n v="1"/>
    <s v="P045"/>
    <x v="44"/>
    <x v="4"/>
    <s v="WK-Batter"/>
    <s v="Opener"/>
    <n v="96"/>
    <n v="47"/>
    <n v="204.26"/>
    <s v="not out"/>
    <n v="196.09"/>
    <n v="0"/>
    <n v="0"/>
    <n v="0"/>
    <n v="0"/>
    <n v="0"/>
    <n v="0"/>
    <n v="0"/>
    <n v="0"/>
    <n v="196.09"/>
    <n v="10"/>
    <s v="UPW"/>
    <s v="RCBW"/>
    <s v="Brabourne Stadium"/>
    <n v="139"/>
    <n v="10.69"/>
    <n v="55"/>
    <n v="0"/>
    <n v="19"/>
    <s v="Successful"/>
    <n v="1"/>
    <n v="121.045"/>
  </r>
  <r>
    <x v="7"/>
    <n v="1"/>
    <s v="P046"/>
    <x v="45"/>
    <x v="4"/>
    <s v="Batter"/>
    <s v="Top Order"/>
    <n v="0"/>
    <n v="0"/>
    <n v="0"/>
    <s v="DNB"/>
    <n v="0"/>
    <n v="0"/>
    <n v="0"/>
    <n v="0"/>
    <n v="0"/>
    <n v="0"/>
    <n v="0"/>
    <n v="0"/>
    <n v="0"/>
    <n v="0"/>
    <n v="0"/>
    <s v="UPW"/>
    <s v="RCBW"/>
    <s v="Brabourne Stadium"/>
    <n v="139"/>
    <n v="10.69"/>
    <n v="55"/>
    <n v="0"/>
    <n v="19"/>
    <s v="Successful"/>
    <n v="1"/>
    <n v="20"/>
  </r>
  <r>
    <x v="7"/>
    <n v="1"/>
    <s v="P051"/>
    <x v="50"/>
    <x v="4"/>
    <s v="Batter"/>
    <s v="Top Order"/>
    <n v="0"/>
    <n v="0"/>
    <n v="0"/>
    <s v="DNB"/>
    <n v="0"/>
    <n v="0"/>
    <n v="0"/>
    <n v="0"/>
    <n v="0"/>
    <n v="0"/>
    <n v="0"/>
    <n v="0"/>
    <n v="0"/>
    <n v="0"/>
    <n v="0"/>
    <s v="UPW"/>
    <s v="RCBW"/>
    <s v="Brabourne Stadium"/>
    <n v="139"/>
    <n v="10.69"/>
    <n v="55"/>
    <n v="0"/>
    <n v="19"/>
    <s v="Successful"/>
    <n v="1"/>
    <n v="20"/>
  </r>
  <r>
    <x v="7"/>
    <n v="1"/>
    <s v="P047"/>
    <x v="46"/>
    <x v="4"/>
    <s v="Batting Allrounder"/>
    <s v="Middle Order"/>
    <n v="0"/>
    <n v="0"/>
    <n v="0"/>
    <s v="DNB"/>
    <n v="0"/>
    <n v="0"/>
    <n v="0"/>
    <n v="0"/>
    <n v="0"/>
    <n v="0"/>
    <n v="0"/>
    <n v="0"/>
    <n v="0"/>
    <n v="0"/>
    <n v="0"/>
    <s v="UPW"/>
    <s v="RCBW"/>
    <s v="Brabourne Stadium"/>
    <n v="139"/>
    <n v="10.69"/>
    <n v="55"/>
    <n v="0"/>
    <n v="19"/>
    <s v="Successful"/>
    <n v="1"/>
    <n v="20"/>
  </r>
  <r>
    <x v="7"/>
    <n v="1"/>
    <s v="P048"/>
    <x v="47"/>
    <x v="4"/>
    <s v="Batting Allrounder"/>
    <s v="Middle Order"/>
    <n v="0"/>
    <n v="0"/>
    <n v="0"/>
    <s v="DNB"/>
    <n v="0"/>
    <n v="0"/>
    <n v="0"/>
    <n v="0"/>
    <n v="0"/>
    <n v="0"/>
    <n v="0"/>
    <n v="0"/>
    <n v="0"/>
    <n v="0"/>
    <n v="0"/>
    <s v="UPW"/>
    <s v="RCBW"/>
    <s v="Brabourne Stadium"/>
    <n v="139"/>
    <n v="10.69"/>
    <n v="55"/>
    <n v="0"/>
    <n v="19"/>
    <s v="Successful"/>
    <n v="1"/>
    <n v="20"/>
  </r>
  <r>
    <x v="7"/>
    <n v="1"/>
    <s v="P049"/>
    <x v="48"/>
    <x v="4"/>
    <s v="Bowler"/>
    <s v="Middle Order"/>
    <n v="0"/>
    <n v="0"/>
    <n v="0"/>
    <s v="DNB"/>
    <n v="0"/>
    <n v="4"/>
    <n v="0"/>
    <n v="34"/>
    <n v="0"/>
    <n v="8.5"/>
    <n v="0"/>
    <n v="0"/>
    <n v="0"/>
    <n v="0"/>
    <n v="0"/>
    <s v="UPW"/>
    <s v="RCBW"/>
    <s v="Brabourne Stadium"/>
    <n v="139"/>
    <n v="10.69"/>
    <n v="55"/>
    <n v="0"/>
    <n v="19"/>
    <s v="Successful"/>
    <n v="1"/>
    <n v="20"/>
  </r>
  <r>
    <x v="7"/>
    <n v="1"/>
    <s v="P050"/>
    <x v="49"/>
    <x v="4"/>
    <s v="Batter"/>
    <s v="Lower Order"/>
    <n v="0"/>
    <n v="0"/>
    <n v="0"/>
    <s v="DNB"/>
    <n v="0"/>
    <n v="0"/>
    <n v="0"/>
    <n v="0"/>
    <n v="0"/>
    <n v="0"/>
    <n v="0"/>
    <n v="0"/>
    <n v="0"/>
    <n v="0"/>
    <n v="0"/>
    <s v="UPW"/>
    <s v="RCBW"/>
    <s v="Brabourne Stadium"/>
    <n v="139"/>
    <n v="10.69"/>
    <n v="55"/>
    <n v="0"/>
    <n v="19"/>
    <s v="Successful"/>
    <n v="1"/>
    <n v="20"/>
  </r>
  <r>
    <x v="7"/>
    <n v="1"/>
    <s v="P053"/>
    <x v="52"/>
    <x v="4"/>
    <s v="Bowler"/>
    <s v="Lower Order"/>
    <n v="0"/>
    <n v="0"/>
    <n v="0"/>
    <s v="DNB"/>
    <n v="0"/>
    <n v="3.3"/>
    <n v="0"/>
    <n v="13"/>
    <n v="4"/>
    <n v="3.7"/>
    <n v="80"/>
    <n v="0"/>
    <n v="0"/>
    <n v="80"/>
    <n v="8"/>
    <s v="UPW"/>
    <s v="RCBW"/>
    <s v="Brabourne Stadium"/>
    <n v="139"/>
    <n v="10.69"/>
    <n v="55"/>
    <n v="0"/>
    <n v="19"/>
    <s v="Successful"/>
    <n v="1"/>
    <n v="62.4"/>
  </r>
  <r>
    <x v="7"/>
    <n v="1"/>
    <s v="P054"/>
    <x v="53"/>
    <x v="4"/>
    <s v="Bowler"/>
    <s v="Lower Order"/>
    <n v="0"/>
    <n v="0"/>
    <n v="0"/>
    <s v="DNB"/>
    <n v="0"/>
    <n v="3"/>
    <n v="0"/>
    <n v="27"/>
    <n v="0"/>
    <n v="9"/>
    <n v="0"/>
    <n v="0"/>
    <n v="0"/>
    <n v="0"/>
    <n v="0"/>
    <s v="UPW"/>
    <s v="RCBW"/>
    <s v="Brabourne Stadium"/>
    <n v="139"/>
    <n v="10.69"/>
    <n v="55"/>
    <n v="0"/>
    <n v="19"/>
    <s v="Successful"/>
    <n v="1"/>
    <n v="20"/>
  </r>
  <r>
    <x v="7"/>
    <n v="1"/>
    <s v="P055"/>
    <x v="54"/>
    <x v="4"/>
    <s v="Bowler"/>
    <s v="Lower Order"/>
    <n v="0"/>
    <n v="0"/>
    <n v="0"/>
    <s v="DNB"/>
    <n v="0"/>
    <n v="4"/>
    <n v="0"/>
    <n v="26"/>
    <n v="1"/>
    <n v="6.5"/>
    <n v="20"/>
    <n v="0"/>
    <n v="0"/>
    <n v="20"/>
    <n v="2"/>
    <s v="UPW"/>
    <s v="RCBW"/>
    <s v="Brabourne Stadium"/>
    <n v="139"/>
    <n v="10.69"/>
    <n v="55"/>
    <n v="0"/>
    <n v="19"/>
    <s v="Successful"/>
    <n v="1"/>
    <n v="30.6"/>
  </r>
  <r>
    <x v="8"/>
    <n v="1"/>
    <s v="P002"/>
    <x v="1"/>
    <x v="0"/>
    <s v="Batter"/>
    <s v="Opener"/>
    <n v="0"/>
    <n v="2"/>
    <n v="0"/>
    <s v="bowled"/>
    <n v="0"/>
    <n v="0"/>
    <n v="0"/>
    <n v="0"/>
    <n v="0"/>
    <n v="0"/>
    <n v="0"/>
    <n v="0"/>
    <n v="0"/>
    <n v="0"/>
    <n v="0"/>
    <s v="DCW"/>
    <s v="GGTW"/>
    <s v="Dr DY Patil Sports "/>
    <n v="105"/>
    <n v="5.25"/>
    <n v="31"/>
    <n v="27"/>
    <n v="63"/>
    <s v="NA"/>
    <n v="0"/>
    <n v="0"/>
  </r>
  <r>
    <x v="8"/>
    <n v="1"/>
    <s v="P066"/>
    <x v="65"/>
    <x v="0"/>
    <s v="Batter"/>
    <s v="Opener"/>
    <n v="1"/>
    <n v="2"/>
    <n v="50"/>
    <s v="bowled"/>
    <n v="0.5"/>
    <n v="0"/>
    <n v="0"/>
    <n v="0"/>
    <n v="0"/>
    <n v="0"/>
    <n v="0"/>
    <n v="0"/>
    <n v="0"/>
    <n v="0.5"/>
    <n v="0"/>
    <s v="DCW"/>
    <s v="GGTW"/>
    <s v="Dr DY Patil Sports "/>
    <n v="105"/>
    <n v="5.25"/>
    <n v="31"/>
    <n v="27"/>
    <n v="63"/>
    <s v="NA"/>
    <n v="0"/>
    <n v="0.25"/>
  </r>
  <r>
    <x v="8"/>
    <n v="1"/>
    <s v="P003"/>
    <x v="2"/>
    <x v="0"/>
    <s v="Batting Allrounder"/>
    <s v="Top Order"/>
    <n v="20"/>
    <n v="14"/>
    <n v="142.86000000000001"/>
    <s v="lbw"/>
    <n v="28.57"/>
    <n v="0"/>
    <n v="0"/>
    <n v="0"/>
    <n v="0"/>
    <n v="0"/>
    <n v="0"/>
    <n v="0"/>
    <n v="0"/>
    <n v="28.57"/>
    <n v="3"/>
    <s v="DCW"/>
    <s v="GGTW"/>
    <s v="Dr DY Patil Sports "/>
    <n v="105"/>
    <n v="5.25"/>
    <n v="31"/>
    <n v="27"/>
    <n v="63"/>
    <s v="NA"/>
    <n v="0"/>
    <n v="15.185"/>
  </r>
  <r>
    <x v="8"/>
    <n v="1"/>
    <s v="P004"/>
    <x v="3"/>
    <x v="0"/>
    <s v="Batting Allrounder"/>
    <s v="Top Order"/>
    <n v="0"/>
    <n v="1"/>
    <n v="0"/>
    <s v="lbw"/>
    <n v="0"/>
    <n v="1"/>
    <n v="0"/>
    <n v="22"/>
    <n v="0"/>
    <n v="22"/>
    <n v="0"/>
    <n v="0"/>
    <n v="0"/>
    <n v="0"/>
    <n v="0"/>
    <s v="DCW"/>
    <s v="GGTW"/>
    <s v="Dr DY Patil Sports "/>
    <n v="105"/>
    <n v="5.25"/>
    <n v="31"/>
    <n v="27"/>
    <n v="63"/>
    <s v="NA"/>
    <n v="0"/>
    <n v="0"/>
  </r>
  <r>
    <x v="8"/>
    <n v="1"/>
    <s v="P006"/>
    <x v="5"/>
    <x v="0"/>
    <s v="Batter"/>
    <s v="Middle Order"/>
    <n v="5"/>
    <n v="5"/>
    <n v="100"/>
    <s v="caught"/>
    <n v="5"/>
    <n v="0"/>
    <n v="0"/>
    <n v="0"/>
    <n v="0"/>
    <n v="0"/>
    <n v="0"/>
    <n v="0"/>
    <n v="0"/>
    <n v="5"/>
    <n v="1"/>
    <s v="DCW"/>
    <s v="GGTW"/>
    <s v="Dr DY Patil Sports "/>
    <n v="105"/>
    <n v="5.25"/>
    <n v="31"/>
    <n v="27"/>
    <n v="63"/>
    <s v="NA"/>
    <n v="0"/>
    <n v="2.8"/>
  </r>
  <r>
    <x v="8"/>
    <n v="1"/>
    <s v="P007"/>
    <x v="6"/>
    <x v="0"/>
    <s v="Bowler"/>
    <s v="Middle Order"/>
    <n v="22"/>
    <n v="25"/>
    <n v="88"/>
    <s v="bowled"/>
    <n v="19.36"/>
    <n v="0.1"/>
    <n v="0"/>
    <n v="4"/>
    <n v="0"/>
    <n v="24"/>
    <n v="0"/>
    <n v="0"/>
    <n v="0"/>
    <n v="19.36"/>
    <n v="2"/>
    <s v="DCW"/>
    <s v="GGTW"/>
    <s v="Dr DY Patil Sports "/>
    <n v="105"/>
    <n v="5.25"/>
    <n v="31"/>
    <n v="27"/>
    <n v="63"/>
    <s v="NA"/>
    <n v="0"/>
    <n v="10.28"/>
  </r>
  <r>
    <x v="8"/>
    <n v="1"/>
    <s v="P057"/>
    <x v="56"/>
    <x v="0"/>
    <s v="WK-Batter"/>
    <s v="Middle Order"/>
    <n v="2"/>
    <n v="10"/>
    <n v="20"/>
    <s v="bowled"/>
    <n v="0.4"/>
    <n v="0"/>
    <n v="0"/>
    <n v="0"/>
    <n v="0"/>
    <n v="0"/>
    <n v="0"/>
    <n v="0"/>
    <n v="0"/>
    <n v="0.4"/>
    <n v="0"/>
    <s v="DCW"/>
    <s v="GGTW"/>
    <s v="Dr DY Patil Sports "/>
    <n v="105"/>
    <n v="5.25"/>
    <n v="31"/>
    <n v="27"/>
    <n v="63"/>
    <s v="NA"/>
    <n v="0"/>
    <n v="0.2"/>
  </r>
  <r>
    <x v="8"/>
    <n v="1"/>
    <s v="P058"/>
    <x v="57"/>
    <x v="0"/>
    <s v="Bowler"/>
    <s v="Middle Order"/>
    <n v="32"/>
    <n v="37"/>
    <n v="86.49"/>
    <s v="not out"/>
    <n v="27.68"/>
    <n v="2"/>
    <n v="0"/>
    <n v="20"/>
    <n v="0"/>
    <n v="10"/>
    <n v="0"/>
    <n v="0"/>
    <n v="0"/>
    <n v="27.68"/>
    <n v="3"/>
    <s v="DCW"/>
    <s v="GGTW"/>
    <s v="Dr DY Patil Sports "/>
    <n v="105"/>
    <n v="5.25"/>
    <n v="31"/>
    <n v="27"/>
    <n v="63"/>
    <s v="NA"/>
    <n v="0"/>
    <n v="14.74"/>
  </r>
  <r>
    <x v="8"/>
    <n v="1"/>
    <s v="P009"/>
    <x v="8"/>
    <x v="0"/>
    <s v="Bowler"/>
    <s v="Lower Order"/>
    <n v="13"/>
    <n v="19"/>
    <n v="68.42"/>
    <s v="caught"/>
    <n v="8.89"/>
    <n v="2"/>
    <n v="0"/>
    <n v="27"/>
    <n v="0"/>
    <n v="13.5"/>
    <n v="0"/>
    <n v="0"/>
    <n v="0"/>
    <n v="8.89"/>
    <n v="1"/>
    <s v="DCW"/>
    <s v="GGTW"/>
    <s v="Dr DY Patil Sports "/>
    <n v="105"/>
    <n v="5.25"/>
    <n v="31"/>
    <n v="27"/>
    <n v="63"/>
    <s v="NA"/>
    <n v="0"/>
    <n v="4.7450000000000001"/>
  </r>
  <r>
    <x v="8"/>
    <n v="1"/>
    <s v="P008"/>
    <x v="7"/>
    <x v="0"/>
    <s v="Bowling Allrounder"/>
    <s v="Lower Order"/>
    <n v="2"/>
    <n v="3"/>
    <n v="66.67"/>
    <s v="caught"/>
    <n v="1.33"/>
    <n v="0"/>
    <n v="0"/>
    <n v="0"/>
    <n v="0"/>
    <n v="0"/>
    <n v="0"/>
    <n v="0"/>
    <n v="0"/>
    <n v="1.33"/>
    <n v="0"/>
    <s v="DCW"/>
    <s v="GGTW"/>
    <s v="Dr DY Patil Sports "/>
    <n v="105"/>
    <n v="5.25"/>
    <n v="31"/>
    <n v="27"/>
    <n v="63"/>
    <s v="NA"/>
    <n v="0"/>
    <n v="0.66500000000000004"/>
  </r>
  <r>
    <x v="8"/>
    <n v="1"/>
    <s v="P011"/>
    <x v="10"/>
    <x v="0"/>
    <s v="Bowler"/>
    <s v="Lower Order"/>
    <n v="5"/>
    <n v="2"/>
    <n v="250"/>
    <s v="not out"/>
    <n v="12.5"/>
    <n v="2"/>
    <n v="0"/>
    <n v="31"/>
    <n v="0"/>
    <n v="15.5"/>
    <n v="0"/>
    <n v="0"/>
    <n v="0"/>
    <n v="12.5"/>
    <n v="1"/>
    <s v="DCW"/>
    <s v="GGTW"/>
    <s v="Dr DY Patil Sports "/>
    <n v="105"/>
    <n v="5.25"/>
    <n v="31"/>
    <n v="27"/>
    <n v="63"/>
    <s v="NA"/>
    <n v="0"/>
    <n v="6.55"/>
  </r>
  <r>
    <x v="8"/>
    <n v="1"/>
    <s v="P035"/>
    <x v="34"/>
    <x v="3"/>
    <s v="Batter"/>
    <s v="Opener"/>
    <n v="21"/>
    <n v="15"/>
    <n v="140"/>
    <s v="not out"/>
    <n v="29.4"/>
    <n v="0"/>
    <n v="0"/>
    <n v="0"/>
    <n v="0"/>
    <n v="0"/>
    <n v="0"/>
    <n v="0"/>
    <n v="0"/>
    <n v="29.4"/>
    <n v="3"/>
    <s v="DCW"/>
    <s v="GGTW"/>
    <s v="Dr DY Patil Sports "/>
    <n v="107"/>
    <n v="14.93"/>
    <n v="87"/>
    <n v="0"/>
    <n v="9"/>
    <s v="Successful"/>
    <n v="1"/>
    <n v="35.6"/>
  </r>
  <r>
    <x v="8"/>
    <n v="1"/>
    <s v="P034"/>
    <x v="33"/>
    <x v="3"/>
    <s v="Batter"/>
    <s v="Opener"/>
    <n v="76"/>
    <n v="28"/>
    <n v="271.43"/>
    <s v="not out"/>
    <n v="206.29"/>
    <n v="0"/>
    <n v="0"/>
    <n v="0"/>
    <n v="0"/>
    <n v="0"/>
    <n v="0"/>
    <n v="0"/>
    <n v="0"/>
    <n v="206.29"/>
    <n v="10"/>
    <s v="DCW"/>
    <s v="GGTW"/>
    <s v="Dr DY Patil Sports "/>
    <n v="107"/>
    <n v="14.93"/>
    <n v="87"/>
    <n v="0"/>
    <n v="9"/>
    <s v="Successful"/>
    <n v="1"/>
    <n v="126.145"/>
  </r>
  <r>
    <x v="8"/>
    <n v="1"/>
    <s v="P037"/>
    <x v="36"/>
    <x v="3"/>
    <s v="Batter"/>
    <s v="Top Order"/>
    <n v="0"/>
    <n v="0"/>
    <n v="0"/>
    <s v="DNB"/>
    <n v="0"/>
    <n v="0"/>
    <n v="0"/>
    <n v="0"/>
    <n v="0"/>
    <n v="0"/>
    <n v="0"/>
    <n v="0"/>
    <n v="0"/>
    <n v="0"/>
    <n v="0"/>
    <s v="DCW"/>
    <s v="GGTW"/>
    <s v="Dr DY Patil Sports "/>
    <n v="107"/>
    <n v="14.93"/>
    <n v="87"/>
    <n v="0"/>
    <n v="9"/>
    <s v="Successful"/>
    <n v="1"/>
    <n v="20"/>
  </r>
  <r>
    <x v="8"/>
    <n v="1"/>
    <s v="P036"/>
    <x v="35"/>
    <x v="3"/>
    <s v="Allrounder"/>
    <s v="Top Order"/>
    <n v="0"/>
    <n v="0"/>
    <n v="0"/>
    <s v="DNB"/>
    <n v="0"/>
    <n v="4"/>
    <n v="0"/>
    <n v="15"/>
    <n v="5"/>
    <n v="3.8"/>
    <n v="100"/>
    <n v="0"/>
    <n v="0"/>
    <n v="100"/>
    <n v="10"/>
    <s v="DCW"/>
    <s v="GGTW"/>
    <s v="Dr DY Patil Sports "/>
    <n v="107"/>
    <n v="14.93"/>
    <n v="87"/>
    <n v="0"/>
    <n v="9"/>
    <s v="Successful"/>
    <n v="1"/>
    <n v="73"/>
  </r>
  <r>
    <x v="8"/>
    <n v="1"/>
    <s v="P039"/>
    <x v="38"/>
    <x v="3"/>
    <s v="Bowler"/>
    <s v="Middle Order"/>
    <n v="0"/>
    <n v="0"/>
    <n v="0"/>
    <s v="DNB"/>
    <n v="0"/>
    <n v="4"/>
    <n v="0"/>
    <n v="19"/>
    <n v="0"/>
    <n v="4.8"/>
    <n v="0"/>
    <n v="0"/>
    <n v="0"/>
    <n v="0"/>
    <n v="0"/>
    <s v="DCW"/>
    <s v="GGTW"/>
    <s v="Dr DY Patil Sports "/>
    <n v="107"/>
    <n v="14.93"/>
    <n v="87"/>
    <n v="0"/>
    <n v="9"/>
    <s v="Successful"/>
    <n v="1"/>
    <n v="20"/>
  </r>
  <r>
    <x v="8"/>
    <n v="1"/>
    <s v="P043"/>
    <x v="42"/>
    <x v="3"/>
    <s v="Bowler"/>
    <s v="Middle Order"/>
    <n v="0"/>
    <n v="0"/>
    <n v="0"/>
    <s v="DNB"/>
    <n v="0"/>
    <n v="4"/>
    <n v="0"/>
    <n v="19"/>
    <n v="1"/>
    <n v="4.8"/>
    <n v="20"/>
    <n v="0"/>
    <n v="0"/>
    <n v="20"/>
    <n v="2"/>
    <s v="DCW"/>
    <s v="GGTW"/>
    <s v="Dr DY Patil Sports "/>
    <n v="107"/>
    <n v="14.93"/>
    <n v="87"/>
    <n v="0"/>
    <n v="9"/>
    <s v="Successful"/>
    <n v="1"/>
    <n v="30.6"/>
  </r>
  <r>
    <x v="8"/>
    <n v="1"/>
    <s v="P044"/>
    <x v="43"/>
    <x v="3"/>
    <s v="Bowler"/>
    <s v="Lower Order"/>
    <n v="0"/>
    <n v="0"/>
    <n v="0"/>
    <s v="DNB"/>
    <n v="0"/>
    <n v="1"/>
    <n v="0"/>
    <n v="6"/>
    <n v="0"/>
    <n v="6"/>
    <n v="0"/>
    <n v="0"/>
    <n v="0"/>
    <n v="0"/>
    <n v="0"/>
    <s v="DCW"/>
    <s v="GGTW"/>
    <s v="Dr DY Patil Sports "/>
    <n v="107"/>
    <n v="14.93"/>
    <n v="87"/>
    <n v="0"/>
    <n v="9"/>
    <s v="Successful"/>
    <n v="1"/>
    <n v="20"/>
  </r>
  <r>
    <x v="8"/>
    <n v="1"/>
    <s v="P042"/>
    <x v="41"/>
    <x v="3"/>
    <s v="Bowling Allrounder"/>
    <s v="Lower Order"/>
    <n v="0"/>
    <n v="0"/>
    <n v="0"/>
    <s v="DNB"/>
    <n v="0"/>
    <n v="4"/>
    <n v="0"/>
    <n v="26"/>
    <n v="3"/>
    <n v="6.5"/>
    <n v="60"/>
    <n v="0"/>
    <n v="0"/>
    <n v="60"/>
    <n v="6"/>
    <s v="DCW"/>
    <s v="GGTW"/>
    <s v="Dr DY Patil Sports "/>
    <n v="107"/>
    <n v="14.93"/>
    <n v="87"/>
    <n v="0"/>
    <n v="9"/>
    <s v="Successful"/>
    <n v="1"/>
    <n v="51.8"/>
  </r>
  <r>
    <x v="8"/>
    <n v="1"/>
    <s v="P062"/>
    <x v="61"/>
    <x v="3"/>
    <s v="Batting Allrounder"/>
    <s v="Lower Order"/>
    <n v="0"/>
    <n v="0"/>
    <n v="0"/>
    <s v="DNB"/>
    <n v="0"/>
    <n v="3"/>
    <n v="0"/>
    <n v="18"/>
    <n v="0"/>
    <n v="6"/>
    <n v="0"/>
    <n v="0"/>
    <n v="0"/>
    <n v="0"/>
    <n v="0"/>
    <s v="DCW"/>
    <s v="GGTW"/>
    <s v="Dr DY Patil Sports "/>
    <n v="107"/>
    <n v="14.93"/>
    <n v="87"/>
    <n v="0"/>
    <n v="9"/>
    <s v="Successful"/>
    <n v="1"/>
    <n v="20"/>
  </r>
  <r>
    <x v="8"/>
    <n v="1"/>
    <s v="P040"/>
    <x v="39"/>
    <x v="3"/>
    <s v="WK-Batter"/>
    <s v="Lower Order"/>
    <n v="0"/>
    <n v="0"/>
    <n v="0"/>
    <s v="DNB"/>
    <n v="0"/>
    <n v="0"/>
    <n v="0"/>
    <n v="0"/>
    <n v="0"/>
    <n v="0"/>
    <n v="0"/>
    <n v="0"/>
    <n v="0"/>
    <n v="0"/>
    <n v="0"/>
    <s v="DCW"/>
    <s v="GGTW"/>
    <s v="Dr DY Patil Sports "/>
    <n v="107"/>
    <n v="14.93"/>
    <n v="87"/>
    <n v="0"/>
    <n v="9"/>
    <s v="Successful"/>
    <n v="1"/>
    <n v="20"/>
  </r>
  <r>
    <x v="8"/>
    <n v="1"/>
    <s v="P067"/>
    <x v="66"/>
    <x v="3"/>
    <s v="Batter"/>
    <s v="Lower Order"/>
    <n v="0"/>
    <n v="0"/>
    <n v="0"/>
    <s v="DNB"/>
    <n v="0"/>
    <n v="0"/>
    <n v="0"/>
    <n v="0"/>
    <n v="0"/>
    <n v="0"/>
    <n v="0"/>
    <n v="0"/>
    <n v="0"/>
    <n v="0"/>
    <n v="0"/>
    <s v="DCW"/>
    <s v="GGTW"/>
    <s v="Dr DY Patil Sports "/>
    <n v="107"/>
    <n v="14.93"/>
    <n v="87"/>
    <n v="0"/>
    <n v="9"/>
    <s v="Successful"/>
    <n v="1"/>
    <n v="20"/>
  </r>
  <r>
    <x v="9"/>
    <n v="1"/>
    <s v="P045"/>
    <x v="44"/>
    <x v="4"/>
    <s v="WK-Batter"/>
    <s v="Opener"/>
    <n v="58"/>
    <n v="46"/>
    <n v="126.09"/>
    <s v="lbw"/>
    <n v="73.13"/>
    <n v="0"/>
    <n v="0"/>
    <n v="0"/>
    <n v="0"/>
    <n v="0"/>
    <n v="0"/>
    <n v="0"/>
    <n v="0"/>
    <n v="73.13"/>
    <n v="7"/>
    <s v="MIW"/>
    <s v="UPW"/>
    <s v="Brabourne Stadium"/>
    <n v="159"/>
    <n v="7.95"/>
    <n v="48"/>
    <n v="21"/>
    <n v="44"/>
    <s v="NA"/>
    <n v="0"/>
    <n v="38.664999999999999"/>
  </r>
  <r>
    <x v="9"/>
    <n v="1"/>
    <s v="P052"/>
    <x v="51"/>
    <x v="4"/>
    <s v="Batter"/>
    <s v="Opener"/>
    <n v="6"/>
    <n v="5"/>
    <n v="120"/>
    <s v="lbw"/>
    <n v="7.2"/>
    <n v="0"/>
    <n v="0"/>
    <n v="0"/>
    <n v="0"/>
    <n v="0"/>
    <n v="0"/>
    <n v="0"/>
    <n v="0"/>
    <n v="7.2"/>
    <n v="1"/>
    <s v="MIW"/>
    <s v="UPW"/>
    <s v="Brabourne Stadium"/>
    <n v="159"/>
    <n v="7.95"/>
    <n v="48"/>
    <n v="21"/>
    <n v="44"/>
    <s v="NA"/>
    <n v="0"/>
    <n v="3.9"/>
  </r>
  <r>
    <x v="9"/>
    <n v="1"/>
    <s v="P051"/>
    <x v="50"/>
    <x v="4"/>
    <s v="Batter"/>
    <s v="Top Order"/>
    <n v="17"/>
    <n v="14"/>
    <n v="121.43"/>
    <s v="caught"/>
    <n v="20.64"/>
    <n v="0"/>
    <n v="0"/>
    <n v="0"/>
    <n v="0"/>
    <n v="0"/>
    <n v="0"/>
    <n v="0"/>
    <n v="0"/>
    <n v="20.64"/>
    <n v="2"/>
    <s v="MIW"/>
    <s v="UPW"/>
    <s v="Brabourne Stadium"/>
    <n v="159"/>
    <n v="7.95"/>
    <n v="48"/>
    <n v="21"/>
    <n v="44"/>
    <s v="NA"/>
    <n v="0"/>
    <n v="10.92"/>
  </r>
  <r>
    <x v="9"/>
    <n v="1"/>
    <s v="P047"/>
    <x v="46"/>
    <x v="4"/>
    <s v="Allrounder"/>
    <s v="Top Order"/>
    <n v="50"/>
    <n v="37"/>
    <n v="135.13999999999999"/>
    <s v="stumped"/>
    <n v="67.569999999999993"/>
    <n v="1"/>
    <n v="0"/>
    <n v="19"/>
    <n v="0"/>
    <n v="19"/>
    <n v="0"/>
    <n v="0"/>
    <n v="0"/>
    <n v="67.569999999999993"/>
    <n v="7"/>
    <s v="MIW"/>
    <s v="UPW"/>
    <s v="Brabourne Stadium"/>
    <n v="159"/>
    <n v="7.95"/>
    <n v="48"/>
    <n v="21"/>
    <n v="44"/>
    <s v="NA"/>
    <n v="0"/>
    <n v="35.884999999999998"/>
  </r>
  <r>
    <x v="9"/>
    <n v="1"/>
    <s v="P050"/>
    <x v="49"/>
    <x v="4"/>
    <s v="Batter"/>
    <s v="Middle Order"/>
    <n v="9"/>
    <n v="8"/>
    <n v="112.5"/>
    <s v="not out"/>
    <n v="10.130000000000001"/>
    <n v="0"/>
    <n v="0"/>
    <n v="0"/>
    <n v="0"/>
    <n v="0"/>
    <n v="0"/>
    <n v="0"/>
    <n v="0"/>
    <n v="10.130000000000001"/>
    <n v="1"/>
    <s v="MIW"/>
    <s v="UPW"/>
    <s v="Brabourne Stadium"/>
    <n v="159"/>
    <n v="7.95"/>
    <n v="48"/>
    <n v="21"/>
    <n v="44"/>
    <s v="NA"/>
    <n v="0"/>
    <n v="5.3650000000000002"/>
  </r>
  <r>
    <x v="9"/>
    <n v="1"/>
    <s v="P053"/>
    <x v="52"/>
    <x v="4"/>
    <s v="Bowler"/>
    <s v="Middle Order"/>
    <n v="1"/>
    <n v="4"/>
    <n v="25"/>
    <s v="caught"/>
    <n v="0.25"/>
    <n v="4"/>
    <n v="0"/>
    <n v="30"/>
    <n v="1"/>
    <n v="7.5"/>
    <n v="20"/>
    <n v="0"/>
    <n v="0"/>
    <n v="20.25"/>
    <n v="2"/>
    <s v="MIW"/>
    <s v="UPW"/>
    <s v="Brabourne Stadium"/>
    <n v="159"/>
    <n v="7.95"/>
    <n v="48"/>
    <n v="21"/>
    <n v="44"/>
    <s v="NA"/>
    <n v="0"/>
    <n v="10.725"/>
  </r>
  <r>
    <x v="9"/>
    <n v="1"/>
    <s v="P048"/>
    <x v="47"/>
    <x v="4"/>
    <s v="Batting Allrounder"/>
    <s v="Middle Order"/>
    <n v="7"/>
    <n v="6"/>
    <n v="116.67"/>
    <s v="stumped"/>
    <n v="8.17"/>
    <n v="3"/>
    <n v="0"/>
    <n v="30"/>
    <n v="0"/>
    <n v="10"/>
    <n v="0"/>
    <n v="0"/>
    <n v="0"/>
    <n v="8.17"/>
    <n v="1"/>
    <s v="MIW"/>
    <s v="UPW"/>
    <s v="Brabourne Stadium"/>
    <n v="159"/>
    <n v="7.95"/>
    <n v="48"/>
    <n v="21"/>
    <n v="44"/>
    <s v="NA"/>
    <n v="0"/>
    <n v="4.3849999999999998"/>
  </r>
  <r>
    <x v="9"/>
    <n v="1"/>
    <s v="P046"/>
    <x v="45"/>
    <x v="4"/>
    <s v="Batter"/>
    <s v="Middle Order"/>
    <n v="2"/>
    <n v="2"/>
    <n v="100"/>
    <s v="not out"/>
    <n v="2"/>
    <n v="0"/>
    <n v="0"/>
    <n v="0"/>
    <n v="0"/>
    <n v="0"/>
    <n v="0"/>
    <n v="0"/>
    <n v="0"/>
    <n v="2"/>
    <n v="0"/>
    <s v="MIW"/>
    <s v="UPW"/>
    <s v="Brabourne Stadium"/>
    <n v="159"/>
    <n v="7.95"/>
    <n v="48"/>
    <n v="21"/>
    <n v="44"/>
    <s v="NA"/>
    <n v="0"/>
    <n v="1"/>
  </r>
  <r>
    <x v="9"/>
    <n v="1"/>
    <s v="P060"/>
    <x v="59"/>
    <x v="4"/>
    <s v="Bowler"/>
    <s v="Lower Order"/>
    <n v="0"/>
    <n v="0"/>
    <n v="0"/>
    <s v="DNB"/>
    <n v="0"/>
    <n v="3.3"/>
    <n v="0"/>
    <n v="34"/>
    <n v="0"/>
    <n v="9.6999999999999993"/>
    <n v="0"/>
    <n v="0"/>
    <n v="0"/>
    <n v="0"/>
    <n v="0"/>
    <s v="MIW"/>
    <s v="UPW"/>
    <s v="Brabourne Stadium"/>
    <n v="159"/>
    <n v="7.95"/>
    <n v="48"/>
    <n v="21"/>
    <n v="44"/>
    <s v="NA"/>
    <n v="0"/>
    <n v="0"/>
  </r>
  <r>
    <x v="9"/>
    <n v="1"/>
    <s v="P054"/>
    <x v="53"/>
    <x v="4"/>
    <s v="Bowler"/>
    <s v="Lower Order"/>
    <n v="0"/>
    <n v="0"/>
    <n v="0"/>
    <s v="DNB"/>
    <n v="0"/>
    <n v="2"/>
    <n v="0"/>
    <n v="14"/>
    <n v="0"/>
    <n v="7"/>
    <n v="0"/>
    <n v="0"/>
    <n v="0"/>
    <n v="0"/>
    <n v="0"/>
    <s v="MIW"/>
    <s v="UPW"/>
    <s v="Brabourne Stadium"/>
    <n v="159"/>
    <n v="7.95"/>
    <n v="48"/>
    <n v="21"/>
    <n v="44"/>
    <s v="NA"/>
    <n v="0"/>
    <n v="0"/>
  </r>
  <r>
    <x v="9"/>
    <n v="1"/>
    <s v="P055"/>
    <x v="54"/>
    <x v="4"/>
    <s v="Bowler"/>
    <s v="Lower Order"/>
    <n v="0"/>
    <n v="0"/>
    <n v="0"/>
    <s v="DNB"/>
    <n v="0"/>
    <n v="4"/>
    <n v="0"/>
    <n v="33"/>
    <n v="1"/>
    <n v="8.1999999999999993"/>
    <n v="20"/>
    <n v="0"/>
    <n v="0"/>
    <n v="20"/>
    <n v="2"/>
    <s v="MIW"/>
    <s v="UPW"/>
    <s v="Brabourne Stadium"/>
    <n v="159"/>
    <n v="7.95"/>
    <n v="48"/>
    <n v="21"/>
    <n v="44"/>
    <s v="NA"/>
    <n v="0"/>
    <n v="10.6"/>
  </r>
  <r>
    <x v="9"/>
    <n v="1"/>
    <s v="P012"/>
    <x v="11"/>
    <x v="1"/>
    <s v="Batting Allrounder"/>
    <s v="Opener"/>
    <n v="12"/>
    <n v="17"/>
    <n v="70.59"/>
    <s v="caught"/>
    <n v="8.4700000000000006"/>
    <n v="4"/>
    <n v="0"/>
    <n v="27"/>
    <n v="1"/>
    <n v="6.8"/>
    <n v="20"/>
    <n v="0"/>
    <n v="0"/>
    <n v="28.47"/>
    <n v="3"/>
    <s v="MIW"/>
    <s v="UPW"/>
    <s v="Brabourne Stadium"/>
    <n v="164"/>
    <n v="9.3699999999999992"/>
    <n v="51"/>
    <n v="22"/>
    <n v="48"/>
    <s v="Successful"/>
    <n v="1"/>
    <n v="35.134999999999998"/>
  </r>
  <r>
    <x v="9"/>
    <n v="1"/>
    <s v="P013"/>
    <x v="12"/>
    <x v="1"/>
    <s v="WK-Batter"/>
    <s v="Opener"/>
    <n v="42"/>
    <n v="27"/>
    <n v="155.56"/>
    <s v="caught"/>
    <n v="65.33"/>
    <n v="0"/>
    <n v="0"/>
    <n v="0"/>
    <n v="0"/>
    <n v="0"/>
    <n v="0"/>
    <n v="0"/>
    <n v="0"/>
    <n v="65.33"/>
    <n v="7"/>
    <s v="MIW"/>
    <s v="UPW"/>
    <s v="Brabourne Stadium"/>
    <n v="164"/>
    <n v="9.3699999999999992"/>
    <n v="51"/>
    <n v="22"/>
    <n v="48"/>
    <s v="Successful"/>
    <n v="1"/>
    <n v="54.765000000000001"/>
  </r>
  <r>
    <x v="9"/>
    <n v="1"/>
    <s v="P015"/>
    <x v="14"/>
    <x v="1"/>
    <s v="Bowling Allrounder"/>
    <s v="Top Order"/>
    <n v="45"/>
    <n v="31"/>
    <n v="145.16"/>
    <s v="not out"/>
    <n v="65.319999999999993"/>
    <n v="3"/>
    <n v="0"/>
    <n v="19"/>
    <n v="0"/>
    <n v="6.3"/>
    <n v="0"/>
    <n v="0"/>
    <n v="0"/>
    <n v="65.319999999999993"/>
    <n v="7"/>
    <s v="MIW"/>
    <s v="UPW"/>
    <s v="Brabourne Stadium"/>
    <n v="164"/>
    <n v="9.3699999999999992"/>
    <n v="51"/>
    <n v="22"/>
    <n v="48"/>
    <s v="Successful"/>
    <n v="1"/>
    <n v="54.76"/>
  </r>
  <r>
    <x v="9"/>
    <n v="1"/>
    <s v="P014"/>
    <x v="13"/>
    <x v="1"/>
    <s v="Batting Allrounder"/>
    <s v="Top Order"/>
    <n v="53"/>
    <n v="33"/>
    <n v="160.61000000000001"/>
    <s v="not out"/>
    <n v="85.12"/>
    <n v="0"/>
    <n v="0"/>
    <n v="0"/>
    <n v="0"/>
    <n v="0"/>
    <n v="0"/>
    <n v="0"/>
    <n v="0"/>
    <n v="85.12"/>
    <n v="9"/>
    <s v="MIW"/>
    <s v="UPW"/>
    <s v="Brabourne Stadium"/>
    <n v="164"/>
    <n v="9.3699999999999992"/>
    <n v="51"/>
    <n v="22"/>
    <n v="48"/>
    <s v="Successful"/>
    <n v="1"/>
    <n v="65.260000000000005"/>
  </r>
  <r>
    <x v="9"/>
    <n v="1"/>
    <s v="P016"/>
    <x v="15"/>
    <x v="1"/>
    <s v="Bowler"/>
    <s v="Middle Order"/>
    <n v="0"/>
    <n v="0"/>
    <n v="0"/>
    <s v="DNB"/>
    <n v="0"/>
    <n v="4"/>
    <n v="0"/>
    <n v="33"/>
    <n v="2"/>
    <n v="8.1999999999999993"/>
    <n v="40"/>
    <n v="0"/>
    <n v="0"/>
    <n v="40"/>
    <n v="4"/>
    <s v="MIW"/>
    <s v="UPW"/>
    <s v="Brabourne Stadium"/>
    <n v="164"/>
    <n v="9.3699999999999992"/>
    <n v="51"/>
    <n v="22"/>
    <n v="48"/>
    <s v="Successful"/>
    <n v="1"/>
    <n v="41.2"/>
  </r>
  <r>
    <x v="9"/>
    <n v="1"/>
    <s v="P020"/>
    <x v="19"/>
    <x v="1"/>
    <s v="Bowler"/>
    <s v="Middle Order"/>
    <n v="0"/>
    <n v="0"/>
    <n v="0"/>
    <s v="DNB"/>
    <n v="0"/>
    <n v="4"/>
    <n v="0"/>
    <n v="29"/>
    <n v="0"/>
    <n v="7.2"/>
    <n v="0"/>
    <n v="0"/>
    <n v="0"/>
    <n v="0"/>
    <n v="0"/>
    <s v="MIW"/>
    <s v="UPW"/>
    <s v="Brabourne Stadium"/>
    <n v="164"/>
    <n v="9.3699999999999992"/>
    <n v="51"/>
    <n v="22"/>
    <n v="48"/>
    <s v="Successful"/>
    <n v="1"/>
    <n v="20"/>
  </r>
  <r>
    <x v="9"/>
    <n v="1"/>
    <s v="P021"/>
    <x v="20"/>
    <x v="1"/>
    <s v="Bowling Allrounder"/>
    <s v="Middle Order"/>
    <n v="0"/>
    <n v="0"/>
    <n v="0"/>
    <s v="DNB"/>
    <n v="0"/>
    <n v="1"/>
    <n v="0"/>
    <n v="13"/>
    <n v="0"/>
    <n v="13"/>
    <n v="0"/>
    <n v="0"/>
    <n v="0"/>
    <n v="0"/>
    <n v="0"/>
    <s v="MIW"/>
    <s v="UPW"/>
    <s v="Brabourne Stadium"/>
    <n v="164"/>
    <n v="9.3699999999999992"/>
    <n v="51"/>
    <n v="22"/>
    <n v="48"/>
    <s v="Successful"/>
    <n v="1"/>
    <n v="20"/>
  </r>
  <r>
    <x v="9"/>
    <n v="1"/>
    <s v="P019"/>
    <x v="18"/>
    <x v="1"/>
    <s v="Batting Allrounder"/>
    <s v="Lower Order"/>
    <n v="0"/>
    <n v="0"/>
    <n v="0"/>
    <s v="DNB"/>
    <n v="0"/>
    <n v="0"/>
    <n v="0"/>
    <n v="0"/>
    <n v="0"/>
    <n v="0"/>
    <n v="0"/>
    <n v="0"/>
    <n v="0"/>
    <n v="0"/>
    <n v="0"/>
    <s v="MIW"/>
    <s v="UPW"/>
    <s v="Brabourne Stadium"/>
    <n v="164"/>
    <n v="9.3699999999999992"/>
    <n v="51"/>
    <n v="22"/>
    <n v="48"/>
    <s v="Successful"/>
    <n v="1"/>
    <n v="20"/>
  </r>
  <r>
    <x v="9"/>
    <n v="1"/>
    <s v="P017"/>
    <x v="16"/>
    <x v="1"/>
    <s v="Batter"/>
    <s v="Lower Order"/>
    <n v="0"/>
    <n v="0"/>
    <n v="0"/>
    <s v="DNB"/>
    <n v="0"/>
    <n v="0"/>
    <n v="0"/>
    <n v="0"/>
    <n v="0"/>
    <n v="0"/>
    <n v="0"/>
    <n v="0"/>
    <n v="0"/>
    <n v="0"/>
    <n v="0"/>
    <s v="MIW"/>
    <s v="UPW"/>
    <s v="Brabourne Stadium"/>
    <n v="164"/>
    <n v="9.3699999999999992"/>
    <n v="51"/>
    <n v="22"/>
    <n v="48"/>
    <s v="Successful"/>
    <n v="1"/>
    <n v="20"/>
  </r>
  <r>
    <x v="9"/>
    <n v="1"/>
    <s v="P022"/>
    <x v="21"/>
    <x v="1"/>
    <s v="Bowler"/>
    <s v="Lower Order"/>
    <n v="0"/>
    <n v="0"/>
    <n v="0"/>
    <s v="DNB"/>
    <n v="0"/>
    <n v="4"/>
    <n v="0"/>
    <n v="33"/>
    <n v="3"/>
    <n v="8.1999999999999993"/>
    <n v="60"/>
    <n v="0"/>
    <n v="0"/>
    <n v="60"/>
    <n v="6"/>
    <s v="MIW"/>
    <s v="UPW"/>
    <s v="Brabourne Stadium"/>
    <n v="164"/>
    <n v="9.3699999999999992"/>
    <n v="51"/>
    <n v="22"/>
    <n v="48"/>
    <s v="Successful"/>
    <n v="1"/>
    <n v="51.8"/>
  </r>
  <r>
    <x v="9"/>
    <n v="1"/>
    <s v="P049"/>
    <x v="48"/>
    <x v="1"/>
    <s v="Bowler"/>
    <s v="Lower Order"/>
    <n v="0"/>
    <n v="0"/>
    <n v="0"/>
    <s v="DNB"/>
    <n v="0"/>
    <n v="0"/>
    <n v="0"/>
    <n v="0"/>
    <n v="0"/>
    <n v="0"/>
    <n v="0"/>
    <n v="0"/>
    <n v="0"/>
    <n v="0"/>
    <n v="0"/>
    <s v="MIW"/>
    <s v="UPW"/>
    <s v="Brabourne Stadium"/>
    <n v="164"/>
    <n v="9.3699999999999992"/>
    <n v="51"/>
    <n v="22"/>
    <n v="48"/>
    <s v="Successful"/>
    <n v="1"/>
    <n v="20"/>
  </r>
  <r>
    <x v="10"/>
    <n v="1"/>
    <s v="P023"/>
    <x v="22"/>
    <x v="2"/>
    <s v="Batter"/>
    <s v="Opener"/>
    <n v="8"/>
    <n v="15"/>
    <n v="53.33"/>
    <s v="caught"/>
    <n v="4.2699999999999996"/>
    <n v="0"/>
    <n v="0"/>
    <n v="0"/>
    <n v="0"/>
    <n v="0"/>
    <n v="0"/>
    <n v="0"/>
    <n v="0"/>
    <n v="4.2699999999999996"/>
    <n v="0"/>
    <s v="DCW"/>
    <s v="DCW"/>
    <s v="Dr DY Patil Sports "/>
    <n v="150"/>
    <n v="7.5"/>
    <n v="29"/>
    <n v="53"/>
    <n v="49"/>
    <s v="NA"/>
    <n v="0"/>
    <n v="2.1349999999999998"/>
  </r>
  <r>
    <x v="10"/>
    <n v="1"/>
    <s v="P024"/>
    <x v="23"/>
    <x v="2"/>
    <s v="Batting Allrounder"/>
    <s v="Opener"/>
    <n v="21"/>
    <n v="19"/>
    <n v="110.53"/>
    <s v="bowled"/>
    <n v="23.21"/>
    <n v="0"/>
    <n v="0"/>
    <n v="0"/>
    <n v="0"/>
    <n v="0"/>
    <n v="0"/>
    <n v="0"/>
    <n v="0"/>
    <n v="23.21"/>
    <n v="2"/>
    <s v="DCW"/>
    <s v="DCW"/>
    <s v="Dr DY Patil Sports "/>
    <n v="150"/>
    <n v="7.5"/>
    <n v="29"/>
    <n v="53"/>
    <n v="49"/>
    <s v="NA"/>
    <n v="0"/>
    <n v="12.205"/>
  </r>
  <r>
    <x v="10"/>
    <n v="1"/>
    <s v="P027"/>
    <x v="26"/>
    <x v="2"/>
    <s v="Batting Allrounder"/>
    <s v="Top Order"/>
    <n v="67"/>
    <n v="52"/>
    <n v="128.85"/>
    <s v="not out"/>
    <n v="86.33"/>
    <n v="4"/>
    <n v="0"/>
    <n v="28"/>
    <n v="0"/>
    <n v="7"/>
    <n v="0"/>
    <n v="0"/>
    <n v="0"/>
    <n v="86.33"/>
    <n v="9"/>
    <s v="DCW"/>
    <s v="DCW"/>
    <s v="Dr DY Patil Sports "/>
    <n v="150"/>
    <n v="7.5"/>
    <n v="29"/>
    <n v="53"/>
    <n v="49"/>
    <s v="NA"/>
    <n v="0"/>
    <n v="45.865000000000002"/>
  </r>
  <r>
    <x v="10"/>
    <n v="1"/>
    <s v="P025"/>
    <x v="24"/>
    <x v="2"/>
    <s v="Batting Allrounder"/>
    <s v="Top Order"/>
    <n v="11"/>
    <n v="12"/>
    <n v="91.67"/>
    <s v="caught"/>
    <n v="10.08"/>
    <n v="0"/>
    <n v="0"/>
    <n v="0"/>
    <n v="0"/>
    <n v="0"/>
    <n v="0"/>
    <n v="0"/>
    <n v="0"/>
    <n v="10.08"/>
    <n v="1"/>
    <s v="DCW"/>
    <s v="DCW"/>
    <s v="Dr DY Patil Sports "/>
    <n v="150"/>
    <n v="7.5"/>
    <n v="29"/>
    <n v="53"/>
    <n v="49"/>
    <s v="NA"/>
    <n v="0"/>
    <n v="5.34"/>
  </r>
  <r>
    <x v="10"/>
    <n v="1"/>
    <s v="P028"/>
    <x v="27"/>
    <x v="2"/>
    <s v="WK-Batter"/>
    <s v="Middle Order"/>
    <n v="37"/>
    <n v="16"/>
    <n v="231.25"/>
    <s v="caught"/>
    <n v="85.56"/>
    <n v="0"/>
    <n v="0"/>
    <n v="0"/>
    <n v="0"/>
    <n v="0"/>
    <n v="0"/>
    <n v="0"/>
    <n v="0"/>
    <n v="85.56"/>
    <n v="9"/>
    <s v="DCW"/>
    <s v="DCW"/>
    <s v="Dr DY Patil Sports "/>
    <n v="150"/>
    <n v="7.5"/>
    <n v="29"/>
    <n v="53"/>
    <n v="49"/>
    <s v="NA"/>
    <n v="0"/>
    <n v="45.480000000000004"/>
  </r>
  <r>
    <x v="10"/>
    <n v="1"/>
    <s v="P059"/>
    <x v="58"/>
    <x v="2"/>
    <s v="Bowler"/>
    <s v="Middle Order"/>
    <n v="4"/>
    <n v="6"/>
    <n v="66.67"/>
    <s v="not out"/>
    <n v="2.67"/>
    <n v="4"/>
    <n v="0"/>
    <n v="28"/>
    <n v="0"/>
    <n v="7"/>
    <n v="0"/>
    <n v="0"/>
    <n v="0"/>
    <n v="2.67"/>
    <n v="0"/>
    <s v="DCW"/>
    <s v="DCW"/>
    <s v="Dr DY Patil Sports "/>
    <n v="150"/>
    <n v="7.5"/>
    <n v="29"/>
    <n v="53"/>
    <n v="49"/>
    <s v="NA"/>
    <n v="0"/>
    <n v="1.335"/>
  </r>
  <r>
    <x v="10"/>
    <n v="1"/>
    <s v="P026"/>
    <x v="25"/>
    <x v="2"/>
    <s v="Batter"/>
    <s v="Lower Order"/>
    <n v="0"/>
    <n v="0"/>
    <n v="0"/>
    <s v="DNB"/>
    <n v="0"/>
    <n v="0"/>
    <n v="0"/>
    <n v="0"/>
    <n v="0"/>
    <n v="0"/>
    <n v="0"/>
    <n v="0"/>
    <n v="0"/>
    <n v="0"/>
    <n v="0"/>
    <s v="DCW"/>
    <s v="DCW"/>
    <s v="Dr DY Patil Sports "/>
    <n v="150"/>
    <n v="7.5"/>
    <n v="29"/>
    <n v="53"/>
    <n v="49"/>
    <s v="NA"/>
    <n v="0"/>
    <n v="0"/>
  </r>
  <r>
    <x v="10"/>
    <n v="1"/>
    <s v="P032"/>
    <x v="31"/>
    <x v="2"/>
    <s v="Bowler"/>
    <s v="Lower Order"/>
    <n v="0"/>
    <n v="0"/>
    <n v="0"/>
    <s v="DNB"/>
    <n v="0"/>
    <n v="4"/>
    <n v="0"/>
    <n v="24"/>
    <n v="1"/>
    <n v="6"/>
    <n v="20"/>
    <n v="0"/>
    <n v="0"/>
    <n v="20"/>
    <n v="2"/>
    <s v="DCW"/>
    <s v="DCW"/>
    <s v="Dr DY Patil Sports "/>
    <n v="150"/>
    <n v="7.5"/>
    <n v="29"/>
    <n v="53"/>
    <n v="49"/>
    <s v="NA"/>
    <n v="0"/>
    <n v="10.6"/>
  </r>
  <r>
    <x v="10"/>
    <n v="1"/>
    <s v="P030"/>
    <x v="29"/>
    <x v="2"/>
    <s v="Bowling Allrounder"/>
    <s v="Lower Order"/>
    <n v="0"/>
    <n v="0"/>
    <n v="0"/>
    <s v="DNB"/>
    <n v="0"/>
    <n v="4"/>
    <n v="0"/>
    <n v="27"/>
    <n v="2"/>
    <n v="6.8"/>
    <n v="40"/>
    <n v="0"/>
    <n v="0"/>
    <n v="40"/>
    <n v="4"/>
    <s v="DCW"/>
    <s v="DCW"/>
    <s v="Dr DY Patil Sports "/>
    <n v="150"/>
    <n v="7.5"/>
    <n v="29"/>
    <n v="53"/>
    <n v="49"/>
    <s v="NA"/>
    <n v="0"/>
    <n v="21.2"/>
  </r>
  <r>
    <x v="10"/>
    <n v="1"/>
    <s v="P033"/>
    <x v="32"/>
    <x v="2"/>
    <s v="Bowler"/>
    <s v="Lower Order"/>
    <n v="0"/>
    <n v="0"/>
    <n v="0"/>
    <s v="DNB"/>
    <n v="0"/>
    <n v="2.4"/>
    <n v="0"/>
    <n v="31"/>
    <n v="0"/>
    <n v="11.6"/>
    <n v="0"/>
    <n v="0"/>
    <n v="0"/>
    <n v="0"/>
    <n v="0"/>
    <s v="DCW"/>
    <s v="DCW"/>
    <s v="Dr DY Patil Sports "/>
    <n v="150"/>
    <n v="7.5"/>
    <n v="29"/>
    <n v="53"/>
    <n v="49"/>
    <s v="NA"/>
    <n v="0"/>
    <n v="0"/>
  </r>
  <r>
    <x v="10"/>
    <n v="1"/>
    <s v="P031"/>
    <x v="30"/>
    <x v="2"/>
    <s v="Bowler"/>
    <s v="Lower Order"/>
    <n v="0"/>
    <n v="0"/>
    <n v="0"/>
    <s v="DNB"/>
    <n v="0"/>
    <n v="1"/>
    <n v="0"/>
    <n v="12"/>
    <n v="1"/>
    <n v="12"/>
    <n v="20"/>
    <n v="0"/>
    <n v="0"/>
    <n v="20"/>
    <n v="2"/>
    <s v="DCW"/>
    <s v="DCW"/>
    <s v="Dr DY Patil Sports "/>
    <n v="150"/>
    <n v="7.5"/>
    <n v="29"/>
    <n v="53"/>
    <n v="49"/>
    <s v="NA"/>
    <n v="0"/>
    <n v="10.6"/>
  </r>
  <r>
    <x v="10"/>
    <n v="1"/>
    <s v="P035"/>
    <x v="34"/>
    <x v="3"/>
    <s v="Batter"/>
    <s v="Opener"/>
    <n v="15"/>
    <n v="18"/>
    <n v="83.33"/>
    <s v="caught"/>
    <n v="12.5"/>
    <n v="0"/>
    <n v="0"/>
    <n v="0"/>
    <n v="0"/>
    <n v="0"/>
    <n v="0"/>
    <n v="0"/>
    <n v="0"/>
    <n v="12.5"/>
    <n v="1"/>
    <s v="DCW"/>
    <s v="DCW"/>
    <s v="Dr DY Patil Sports "/>
    <n v="154"/>
    <n v="7.83"/>
    <n v="52"/>
    <n v="32"/>
    <n v="41"/>
    <s v="Successful"/>
    <n v="1"/>
    <n v="26.55"/>
  </r>
  <r>
    <x v="10"/>
    <n v="1"/>
    <s v="P034"/>
    <x v="33"/>
    <x v="3"/>
    <s v="Batting Allrounder"/>
    <s v="Opener"/>
    <n v="0"/>
    <n v="1"/>
    <n v="0"/>
    <s v="bowled"/>
    <n v="0"/>
    <n v="0"/>
    <n v="0"/>
    <n v="0"/>
    <n v="0"/>
    <n v="0"/>
    <n v="0"/>
    <n v="0"/>
    <n v="0"/>
    <n v="0"/>
    <n v="0"/>
    <s v="DCW"/>
    <s v="DCW"/>
    <s v="Dr DY Patil Sports "/>
    <n v="154"/>
    <n v="7.83"/>
    <n v="52"/>
    <n v="32"/>
    <n v="41"/>
    <s v="Successful"/>
    <n v="1"/>
    <n v="20"/>
  </r>
  <r>
    <x v="10"/>
    <n v="1"/>
    <s v="P038"/>
    <x v="37"/>
    <x v="3"/>
    <s v="Batting Allrounder"/>
    <s v="Top Order"/>
    <n v="38"/>
    <n v="24"/>
    <n v="158.33000000000001"/>
    <s v="caught"/>
    <n v="60.17"/>
    <n v="3"/>
    <n v="0"/>
    <n v="31"/>
    <n v="0"/>
    <n v="10.3"/>
    <n v="0"/>
    <n v="0"/>
    <n v="0"/>
    <n v="60.17"/>
    <n v="6"/>
    <s v="DCW"/>
    <s v="DCW"/>
    <s v="Dr DY Patil Sports "/>
    <n v="154"/>
    <n v="7.83"/>
    <n v="52"/>
    <n v="32"/>
    <n v="41"/>
    <s v="Successful"/>
    <n v="1"/>
    <n v="51.885000000000005"/>
  </r>
  <r>
    <x v="10"/>
    <n v="1"/>
    <s v="P037"/>
    <x v="36"/>
    <x v="3"/>
    <s v="Batter"/>
    <s v="Top Order"/>
    <n v="32"/>
    <n v="28"/>
    <n v="114.29"/>
    <s v="caught"/>
    <n v="36.57"/>
    <n v="0"/>
    <n v="0"/>
    <n v="0"/>
    <n v="0"/>
    <n v="0"/>
    <n v="0"/>
    <n v="0"/>
    <n v="0"/>
    <n v="36.57"/>
    <n v="4"/>
    <s v="DCW"/>
    <s v="DCW"/>
    <s v="Dr DY Patil Sports "/>
    <n v="154"/>
    <n v="7.83"/>
    <n v="52"/>
    <n v="32"/>
    <n v="41"/>
    <s v="Successful"/>
    <n v="1"/>
    <n v="39.484999999999999"/>
  </r>
  <r>
    <x v="10"/>
    <n v="1"/>
    <s v="P036"/>
    <x v="35"/>
    <x v="3"/>
    <s v="Allrounder"/>
    <s v="Middle Order"/>
    <n v="32"/>
    <n v="32"/>
    <n v="100"/>
    <s v="not out"/>
    <n v="32"/>
    <n v="4"/>
    <n v="1"/>
    <n v="18"/>
    <n v="0"/>
    <n v="4.5"/>
    <n v="0"/>
    <n v="0"/>
    <n v="0"/>
    <n v="32"/>
    <n v="3"/>
    <s v="DCW"/>
    <s v="DCW"/>
    <s v="Dr DY Patil Sports "/>
    <n v="154"/>
    <n v="7.83"/>
    <n v="52"/>
    <n v="32"/>
    <n v="41"/>
    <s v="Successful"/>
    <n v="1"/>
    <n v="36.9"/>
  </r>
  <r>
    <x v="10"/>
    <n v="1"/>
    <s v="P039"/>
    <x v="38"/>
    <x v="3"/>
    <s v="Bowler"/>
    <s v="Middle Order"/>
    <n v="29"/>
    <n v="15"/>
    <n v="193.33"/>
    <s v="not out"/>
    <n v="56.07"/>
    <n v="4"/>
    <n v="0"/>
    <n v="39"/>
    <n v="0"/>
    <n v="9.8000000000000007"/>
    <n v="0"/>
    <n v="0"/>
    <n v="0"/>
    <n v="56.07"/>
    <n v="6"/>
    <s v="DCW"/>
    <s v="DCW"/>
    <s v="Dr DY Patil Sports "/>
    <n v="154"/>
    <n v="7.83"/>
    <n v="52"/>
    <n v="32"/>
    <n v="41"/>
    <s v="Successful"/>
    <n v="1"/>
    <n v="49.835000000000001"/>
  </r>
  <r>
    <x v="10"/>
    <n v="1"/>
    <s v="P040"/>
    <x v="39"/>
    <x v="3"/>
    <s v="WK-Batter"/>
    <s v="Lower Order"/>
    <n v="0"/>
    <n v="0"/>
    <n v="0"/>
    <s v="DNB"/>
    <n v="0"/>
    <n v="0"/>
    <n v="0"/>
    <n v="0"/>
    <n v="0"/>
    <n v="0"/>
    <n v="0"/>
    <n v="0"/>
    <n v="0"/>
    <n v="0"/>
    <n v="0"/>
    <s v="DCW"/>
    <s v="DCW"/>
    <s v="Dr DY Patil Sports "/>
    <n v="154"/>
    <n v="7.83"/>
    <n v="52"/>
    <n v="32"/>
    <n v="41"/>
    <s v="Successful"/>
    <n v="1"/>
    <n v="20"/>
  </r>
  <r>
    <x v="10"/>
    <n v="1"/>
    <s v="P041"/>
    <x v="40"/>
    <x v="3"/>
    <s v="Bowler"/>
    <s v="Lower Order"/>
    <n v="0"/>
    <n v="0"/>
    <n v="0"/>
    <s v="DNB"/>
    <n v="0"/>
    <n v="0"/>
    <n v="0"/>
    <n v="0"/>
    <n v="0"/>
    <n v="0"/>
    <n v="0"/>
    <n v="0"/>
    <n v="0"/>
    <n v="0"/>
    <n v="0"/>
    <s v="DCW"/>
    <s v="DCW"/>
    <s v="Dr DY Patil Sports "/>
    <n v="154"/>
    <n v="7.83"/>
    <n v="52"/>
    <n v="32"/>
    <n v="41"/>
    <s v="Successful"/>
    <n v="1"/>
    <n v="20"/>
  </r>
  <r>
    <x v="10"/>
    <n v="1"/>
    <s v="P043"/>
    <x v="42"/>
    <x v="3"/>
    <s v="Bowler"/>
    <s v="Lower Order"/>
    <n v="0"/>
    <n v="0"/>
    <n v="0"/>
    <s v="DNB"/>
    <n v="0"/>
    <n v="2"/>
    <n v="0"/>
    <n v="14"/>
    <n v="0"/>
    <n v="7"/>
    <n v="0"/>
    <n v="0"/>
    <n v="0"/>
    <n v="0"/>
    <n v="0"/>
    <s v="DCW"/>
    <s v="DCW"/>
    <s v="Dr DY Patil Sports "/>
    <n v="154"/>
    <n v="7.83"/>
    <n v="52"/>
    <n v="32"/>
    <n v="41"/>
    <s v="Successful"/>
    <n v="1"/>
    <n v="20"/>
  </r>
  <r>
    <x v="10"/>
    <n v="1"/>
    <s v="P042"/>
    <x v="41"/>
    <x v="3"/>
    <s v="Bowling Allrounder"/>
    <s v="Lower Order"/>
    <n v="0"/>
    <n v="0"/>
    <n v="0"/>
    <s v="DNB"/>
    <n v="0"/>
    <n v="4"/>
    <n v="0"/>
    <n v="23"/>
    <n v="3"/>
    <n v="5.8"/>
    <n v="60"/>
    <n v="0"/>
    <n v="0"/>
    <n v="60"/>
    <n v="6"/>
    <s v="DCW"/>
    <s v="DCW"/>
    <s v="Dr DY Patil Sports "/>
    <n v="154"/>
    <n v="7.83"/>
    <n v="52"/>
    <n v="32"/>
    <n v="41"/>
    <s v="Successful"/>
    <n v="1"/>
    <n v="51.8"/>
  </r>
  <r>
    <x v="10"/>
    <n v="1"/>
    <s v="P044"/>
    <x v="43"/>
    <x v="3"/>
    <s v="Bowler"/>
    <s v="Lower Order"/>
    <n v="0"/>
    <n v="0"/>
    <n v="0"/>
    <s v="DNB"/>
    <n v="0"/>
    <n v="3"/>
    <n v="0"/>
    <n v="25"/>
    <n v="1"/>
    <n v="8.3000000000000007"/>
    <n v="20"/>
    <n v="0"/>
    <n v="0"/>
    <n v="20"/>
    <n v="2"/>
    <s v="DCW"/>
    <s v="DCW"/>
    <s v="Dr DY Patil Sports "/>
    <n v="154"/>
    <n v="7.83"/>
    <n v="52"/>
    <n v="32"/>
    <n v="41"/>
    <s v="Successful"/>
    <n v="1"/>
    <n v="30.6"/>
  </r>
  <r>
    <x v="11"/>
    <n v="1"/>
    <s v="P013"/>
    <x v="12"/>
    <x v="1"/>
    <s v="WK-Batter"/>
    <s v="Opener"/>
    <n v="44"/>
    <n v="37"/>
    <n v="118.92"/>
    <s v="run out"/>
    <n v="52.32"/>
    <n v="0"/>
    <n v="0"/>
    <n v="0"/>
    <n v="0"/>
    <n v="0"/>
    <n v="0"/>
    <n v="0"/>
    <n v="0"/>
    <n v="52.32"/>
    <n v="5"/>
    <s v="MIW"/>
    <s v="GGTW"/>
    <s v="Brabourne Stadium"/>
    <n v="162"/>
    <n v="8.1"/>
    <n v="40"/>
    <n v="38"/>
    <n v="44"/>
    <s v="NA"/>
    <n v="1"/>
    <n v="47.66"/>
  </r>
  <r>
    <x v="11"/>
    <n v="1"/>
    <s v="P012"/>
    <x v="11"/>
    <x v="1"/>
    <s v="Batting Allrounder"/>
    <s v="Opener"/>
    <n v="0"/>
    <n v="3"/>
    <n v="0"/>
    <s v="caught"/>
    <n v="0"/>
    <n v="4"/>
    <n v="0"/>
    <n v="23"/>
    <n v="3"/>
    <n v="5.8"/>
    <n v="60"/>
    <n v="0"/>
    <n v="0"/>
    <n v="60"/>
    <n v="6"/>
    <s v="MIW"/>
    <s v="GGTW"/>
    <s v="Brabourne Stadium"/>
    <n v="162"/>
    <n v="8.1"/>
    <n v="40"/>
    <n v="38"/>
    <n v="44"/>
    <s v="NA"/>
    <n v="1"/>
    <n v="51.8"/>
  </r>
  <r>
    <x v="11"/>
    <n v="1"/>
    <s v="P015"/>
    <x v="14"/>
    <x v="1"/>
    <s v="Bowling Allrounder"/>
    <s v="Top Order"/>
    <n v="36"/>
    <n v="31"/>
    <n v="116.13"/>
    <s v="lbw"/>
    <n v="41.81"/>
    <n v="4"/>
    <n v="0"/>
    <n v="21"/>
    <n v="3"/>
    <n v="5.2"/>
    <n v="60"/>
    <n v="0"/>
    <n v="0"/>
    <n v="101.81"/>
    <n v="10"/>
    <s v="MIW"/>
    <s v="GGTW"/>
    <s v="Brabourne Stadium"/>
    <n v="162"/>
    <n v="8.1"/>
    <n v="40"/>
    <n v="38"/>
    <n v="44"/>
    <s v="NA"/>
    <n v="1"/>
    <n v="73.905000000000001"/>
  </r>
  <r>
    <x v="11"/>
    <n v="1"/>
    <s v="P014"/>
    <x v="13"/>
    <x v="1"/>
    <s v="Batting Allrounder"/>
    <s v="Top Order"/>
    <n v="51"/>
    <n v="30"/>
    <n v="170"/>
    <s v="caught"/>
    <n v="86.7"/>
    <n v="0"/>
    <n v="0"/>
    <n v="0"/>
    <n v="0"/>
    <n v="0"/>
    <n v="0"/>
    <n v="0"/>
    <n v="0"/>
    <n v="86.7"/>
    <n v="9"/>
    <s v="MIW"/>
    <s v="GGTW"/>
    <s v="Brabourne Stadium"/>
    <n v="162"/>
    <n v="8.1"/>
    <n v="40"/>
    <n v="38"/>
    <n v="44"/>
    <s v="NA"/>
    <n v="1"/>
    <n v="66.050000000000011"/>
  </r>
  <r>
    <x v="11"/>
    <n v="1"/>
    <s v="P016"/>
    <x v="15"/>
    <x v="1"/>
    <s v="Bowling Allrounder"/>
    <s v="Middle Order"/>
    <n v="19"/>
    <n v="13"/>
    <n v="146.15"/>
    <s v="caught"/>
    <n v="27.77"/>
    <n v="4"/>
    <n v="0"/>
    <n v="18"/>
    <n v="2"/>
    <n v="4.5"/>
    <n v="40"/>
    <n v="0"/>
    <n v="0"/>
    <n v="67.77"/>
    <n v="7"/>
    <s v="MIW"/>
    <s v="GGTW"/>
    <s v="Brabourne Stadium"/>
    <n v="162"/>
    <n v="8.1"/>
    <n v="40"/>
    <n v="38"/>
    <n v="44"/>
    <s v="NA"/>
    <n v="1"/>
    <n v="55.984999999999999"/>
  </r>
  <r>
    <x v="11"/>
    <n v="1"/>
    <s v="P020"/>
    <x v="19"/>
    <x v="1"/>
    <s v="Bowler"/>
    <s v="Middle Order"/>
    <n v="0"/>
    <n v="1"/>
    <n v="0"/>
    <s v="caught"/>
    <n v="0"/>
    <n v="3"/>
    <n v="0"/>
    <n v="19"/>
    <n v="1"/>
    <n v="6.3"/>
    <n v="20"/>
    <n v="0"/>
    <n v="0"/>
    <n v="20"/>
    <n v="2"/>
    <s v="MIW"/>
    <s v="GGTW"/>
    <s v="Brabourne Stadium"/>
    <n v="162"/>
    <n v="8.1"/>
    <n v="40"/>
    <n v="38"/>
    <n v="44"/>
    <s v="NA"/>
    <n v="1"/>
    <n v="30.6"/>
  </r>
  <r>
    <x v="11"/>
    <n v="1"/>
    <s v="P019"/>
    <x v="18"/>
    <x v="1"/>
    <s v="Batting Allrounder"/>
    <s v="Middle Order"/>
    <n v="2"/>
    <n v="2"/>
    <n v="100"/>
    <s v="run out"/>
    <n v="2"/>
    <n v="0"/>
    <n v="0"/>
    <n v="0"/>
    <n v="0"/>
    <n v="0"/>
    <n v="0"/>
    <n v="0"/>
    <n v="0"/>
    <n v="2"/>
    <n v="0"/>
    <s v="MIW"/>
    <s v="GGTW"/>
    <s v="Brabourne Stadium"/>
    <n v="162"/>
    <n v="8.1"/>
    <n v="40"/>
    <n v="38"/>
    <n v="44"/>
    <s v="NA"/>
    <n v="1"/>
    <n v="21"/>
  </r>
  <r>
    <x v="11"/>
    <n v="1"/>
    <s v="P068"/>
    <x v="67"/>
    <x v="1"/>
    <s v="Batter"/>
    <s v="Middle Order"/>
    <n v="1"/>
    <n v="1"/>
    <n v="100"/>
    <s v="not out"/>
    <n v="1"/>
    <n v="0"/>
    <n v="0"/>
    <n v="0"/>
    <n v="0"/>
    <n v="0"/>
    <n v="0"/>
    <n v="0"/>
    <n v="0"/>
    <n v="1"/>
    <n v="0"/>
    <s v="MIW"/>
    <s v="GGTW"/>
    <s v="Brabourne Stadium"/>
    <n v="162"/>
    <n v="8.1"/>
    <n v="40"/>
    <n v="38"/>
    <n v="44"/>
    <s v="NA"/>
    <n v="1"/>
    <n v="20.5"/>
  </r>
  <r>
    <x v="11"/>
    <n v="1"/>
    <s v="P017"/>
    <x v="16"/>
    <x v="1"/>
    <s v="Batter"/>
    <s v="Lower Order"/>
    <n v="0"/>
    <n v="1"/>
    <n v="0"/>
    <s v="caught"/>
    <n v="0"/>
    <n v="1"/>
    <n v="0"/>
    <n v="6"/>
    <n v="0"/>
    <n v="6"/>
    <n v="0"/>
    <n v="0"/>
    <n v="0"/>
    <n v="0"/>
    <n v="0"/>
    <s v="MIW"/>
    <s v="GGTW"/>
    <s v="Brabourne Stadium"/>
    <n v="162"/>
    <n v="8.1"/>
    <n v="40"/>
    <n v="38"/>
    <n v="44"/>
    <s v="NA"/>
    <n v="1"/>
    <n v="20"/>
  </r>
  <r>
    <x v="11"/>
    <n v="1"/>
    <s v="P021"/>
    <x v="20"/>
    <x v="1"/>
    <s v="Bowling Allrounder"/>
    <s v="Lower Order"/>
    <n v="2"/>
    <n v="1"/>
    <n v="200"/>
    <s v="not out"/>
    <n v="4"/>
    <n v="0"/>
    <n v="0"/>
    <n v="0"/>
    <n v="0"/>
    <n v="0"/>
    <n v="0"/>
    <n v="0"/>
    <n v="0"/>
    <n v="4"/>
    <n v="0"/>
    <s v="MIW"/>
    <s v="GGTW"/>
    <s v="Brabourne Stadium"/>
    <n v="162"/>
    <n v="8.1"/>
    <n v="40"/>
    <n v="38"/>
    <n v="44"/>
    <s v="NA"/>
    <n v="1"/>
    <n v="22"/>
  </r>
  <r>
    <x v="11"/>
    <n v="1"/>
    <s v="P022"/>
    <x v="21"/>
    <x v="1"/>
    <s v="Bowler"/>
    <s v="Lower Order"/>
    <n v="0"/>
    <n v="0"/>
    <n v="0"/>
    <s v="DNB"/>
    <n v="0"/>
    <n v="4"/>
    <n v="0"/>
    <n v="20"/>
    <n v="0"/>
    <n v="5"/>
    <n v="0"/>
    <n v="0"/>
    <n v="0"/>
    <n v="0"/>
    <n v="0"/>
    <s v="MIW"/>
    <s v="GGTW"/>
    <s v="Brabourne Stadium"/>
    <n v="162"/>
    <n v="8.1"/>
    <n v="40"/>
    <n v="38"/>
    <n v="44"/>
    <s v="NA"/>
    <n v="1"/>
    <n v="20"/>
  </r>
  <r>
    <x v="11"/>
    <n v="1"/>
    <s v="P056"/>
    <x v="55"/>
    <x v="0"/>
    <s v="Batter"/>
    <s v="Opener"/>
    <n v="0"/>
    <n v="1"/>
    <n v="0"/>
    <s v="lbw"/>
    <n v="0"/>
    <n v="0"/>
    <n v="0"/>
    <n v="0"/>
    <n v="0"/>
    <n v="0"/>
    <n v="0"/>
    <n v="0"/>
    <n v="0"/>
    <n v="0"/>
    <n v="0"/>
    <s v="MIW"/>
    <s v="GGTW"/>
    <s v="Brabourne Stadium"/>
    <n v="107"/>
    <n v="5.35"/>
    <n v="34"/>
    <n v="14"/>
    <n v="54"/>
    <s v="Failed"/>
    <n v="0"/>
    <n v="0"/>
  </r>
  <r>
    <x v="11"/>
    <n v="1"/>
    <s v="P002"/>
    <x v="1"/>
    <x v="0"/>
    <s v="Batter"/>
    <s v="Opener"/>
    <n v="16"/>
    <n v="17"/>
    <n v="94.12"/>
    <s v="caught"/>
    <n v="15.06"/>
    <n v="0"/>
    <n v="0"/>
    <n v="0"/>
    <n v="0"/>
    <n v="0"/>
    <n v="0"/>
    <n v="0"/>
    <n v="0"/>
    <n v="15.06"/>
    <n v="2"/>
    <s v="MIW"/>
    <s v="GGTW"/>
    <s v="Brabourne Stadium"/>
    <n v="107"/>
    <n v="5.35"/>
    <n v="34"/>
    <n v="14"/>
    <n v="54"/>
    <s v="Failed"/>
    <n v="0"/>
    <n v="8.1300000000000008"/>
  </r>
  <r>
    <x v="11"/>
    <n v="1"/>
    <s v="P003"/>
    <x v="2"/>
    <x v="0"/>
    <s v="Batting Allrounder"/>
    <s v="Top Order"/>
    <n v="22"/>
    <n v="23"/>
    <n v="95.65"/>
    <s v="lbw"/>
    <n v="21.04"/>
    <n v="0"/>
    <n v="0"/>
    <n v="0"/>
    <n v="0"/>
    <n v="0"/>
    <n v="0"/>
    <n v="0"/>
    <n v="0"/>
    <n v="21.04"/>
    <n v="2"/>
    <s v="MIW"/>
    <s v="GGTW"/>
    <s v="Brabourne Stadium"/>
    <n v="107"/>
    <n v="5.35"/>
    <n v="34"/>
    <n v="14"/>
    <n v="54"/>
    <s v="Failed"/>
    <n v="0"/>
    <n v="11.12"/>
  </r>
  <r>
    <x v="11"/>
    <n v="1"/>
    <s v="P005"/>
    <x v="4"/>
    <x v="0"/>
    <s v="Bowling Allrounder"/>
    <s v="Middle Order"/>
    <n v="0"/>
    <n v="4"/>
    <n v="0"/>
    <s v="lbw"/>
    <n v="0"/>
    <n v="4"/>
    <n v="0"/>
    <n v="42"/>
    <n v="0"/>
    <n v="10.5"/>
    <n v="0"/>
    <n v="0"/>
    <n v="0"/>
    <n v="0"/>
    <n v="0"/>
    <s v="MIW"/>
    <s v="GGTW"/>
    <s v="Brabourne Stadium"/>
    <n v="107"/>
    <n v="5.35"/>
    <n v="34"/>
    <n v="14"/>
    <n v="54"/>
    <s v="Failed"/>
    <n v="0"/>
    <n v="0"/>
  </r>
  <r>
    <x v="11"/>
    <n v="1"/>
    <s v="P004"/>
    <x v="3"/>
    <x v="0"/>
    <s v="Batting Allrounder"/>
    <s v="Middle Order"/>
    <n v="8"/>
    <n v="10"/>
    <n v="80"/>
    <s v="caught"/>
    <n v="6.4"/>
    <n v="4"/>
    <n v="0"/>
    <n v="34"/>
    <n v="3"/>
    <n v="8.5"/>
    <n v="60"/>
    <n v="0"/>
    <n v="0"/>
    <n v="66.400000000000006"/>
    <n v="7"/>
    <s v="MIW"/>
    <s v="GGTW"/>
    <s v="Brabourne Stadium"/>
    <n v="107"/>
    <n v="5.35"/>
    <n v="34"/>
    <n v="14"/>
    <n v="54"/>
    <s v="Failed"/>
    <n v="0"/>
    <n v="35.300000000000004"/>
  </r>
  <r>
    <x v="11"/>
    <n v="1"/>
    <s v="P006"/>
    <x v="5"/>
    <x v="0"/>
    <s v="Batter"/>
    <s v="Middle Order"/>
    <n v="6"/>
    <n v="6"/>
    <n v="100"/>
    <s v="caught"/>
    <n v="6"/>
    <n v="0"/>
    <n v="0"/>
    <n v="0"/>
    <n v="0"/>
    <n v="0"/>
    <n v="0"/>
    <n v="0"/>
    <n v="0"/>
    <n v="6"/>
    <n v="1"/>
    <s v="MIW"/>
    <s v="GGTW"/>
    <s v="Brabourne Stadium"/>
    <n v="107"/>
    <n v="5.35"/>
    <n v="34"/>
    <n v="14"/>
    <n v="54"/>
    <s v="Failed"/>
    <n v="0"/>
    <n v="3.3"/>
  </r>
  <r>
    <x v="11"/>
    <n v="1"/>
    <s v="P008"/>
    <x v="7"/>
    <x v="0"/>
    <s v="Bowler"/>
    <s v="Middle Order"/>
    <n v="20"/>
    <n v="19"/>
    <n v="105.26"/>
    <s v="lbw"/>
    <n v="21.05"/>
    <n v="4"/>
    <n v="0"/>
    <n v="17"/>
    <n v="1"/>
    <n v="4.2"/>
    <n v="20"/>
    <n v="0"/>
    <n v="0"/>
    <n v="41.05"/>
    <n v="4"/>
    <s v="MIW"/>
    <s v="GGTW"/>
    <s v="Brabourne Stadium"/>
    <n v="107"/>
    <n v="5.35"/>
    <n v="34"/>
    <n v="14"/>
    <n v="54"/>
    <s v="Failed"/>
    <n v="0"/>
    <n v="21.724999999999998"/>
  </r>
  <r>
    <x v="11"/>
    <n v="1"/>
    <s v="P057"/>
    <x v="56"/>
    <x v="0"/>
    <s v="WK-Batter"/>
    <s v="Middle Order"/>
    <n v="18"/>
    <n v="19"/>
    <n v="94.74"/>
    <s v="not out"/>
    <n v="17.05"/>
    <n v="0"/>
    <n v="0"/>
    <n v="0"/>
    <n v="0"/>
    <n v="0"/>
    <n v="0"/>
    <n v="0"/>
    <n v="0"/>
    <n v="17.05"/>
    <n v="2"/>
    <s v="MIW"/>
    <s v="GGTW"/>
    <s v="Brabourne Stadium"/>
    <n v="107"/>
    <n v="5.35"/>
    <n v="34"/>
    <n v="14"/>
    <n v="54"/>
    <s v="Failed"/>
    <n v="0"/>
    <n v="9.125"/>
  </r>
  <r>
    <x v="11"/>
    <n v="1"/>
    <s v="P058"/>
    <x v="57"/>
    <x v="0"/>
    <s v="Bowler"/>
    <s v="Lower Order"/>
    <n v="8"/>
    <n v="8"/>
    <n v="100"/>
    <s v="caught"/>
    <n v="8"/>
    <n v="4"/>
    <n v="0"/>
    <n v="31"/>
    <n v="1"/>
    <n v="7.8"/>
    <n v="20"/>
    <n v="0"/>
    <n v="0"/>
    <n v="28"/>
    <n v="3"/>
    <s v="MIW"/>
    <s v="GGTW"/>
    <s v="Brabourne Stadium"/>
    <n v="107"/>
    <n v="5.35"/>
    <n v="34"/>
    <n v="14"/>
    <n v="54"/>
    <s v="Failed"/>
    <n v="0"/>
    <n v="14.9"/>
  </r>
  <r>
    <x v="11"/>
    <n v="1"/>
    <s v="P009"/>
    <x v="8"/>
    <x v="0"/>
    <s v="Bowler"/>
    <s v="Lower Order"/>
    <n v="0"/>
    <n v="4"/>
    <n v="0"/>
    <s v="caught"/>
    <n v="0"/>
    <n v="4"/>
    <n v="0"/>
    <n v="32"/>
    <n v="1"/>
    <n v="8"/>
    <n v="20"/>
    <n v="0"/>
    <n v="0"/>
    <n v="20"/>
    <n v="2"/>
    <s v="MIW"/>
    <s v="GGTW"/>
    <s v="Brabourne Stadium"/>
    <n v="107"/>
    <n v="5.35"/>
    <n v="34"/>
    <n v="14"/>
    <n v="54"/>
    <s v="Failed"/>
    <n v="0"/>
    <n v="10.6"/>
  </r>
  <r>
    <x v="11"/>
    <n v="1"/>
    <s v="P011"/>
    <x v="10"/>
    <x v="0"/>
    <s v="Bowler"/>
    <s v="Lower Order"/>
    <n v="7"/>
    <n v="9"/>
    <n v="77.78"/>
    <s v="not out"/>
    <n v="5.44"/>
    <n v="0"/>
    <n v="0"/>
    <n v="0"/>
    <n v="0"/>
    <n v="0"/>
    <n v="0"/>
    <n v="0"/>
    <n v="0"/>
    <n v="5.44"/>
    <n v="1"/>
    <s v="MIW"/>
    <s v="GGTW"/>
    <s v="Brabourne Stadium"/>
    <n v="107"/>
    <n v="5.35"/>
    <n v="34"/>
    <n v="14"/>
    <n v="54"/>
    <s v="Failed"/>
    <n v="0"/>
    <n v="3.02"/>
  </r>
  <r>
    <x v="12"/>
    <n v="1"/>
    <s v="P045"/>
    <x v="44"/>
    <x v="4"/>
    <s v="WK-Batter"/>
    <s v="Opener"/>
    <n v="1"/>
    <n v="3"/>
    <n v="33.33"/>
    <s v="caught"/>
    <n v="0.33"/>
    <n v="0"/>
    <n v="0"/>
    <n v="0"/>
    <n v="0"/>
    <n v="0"/>
    <n v="0"/>
    <n v="0"/>
    <n v="0"/>
    <n v="0.33"/>
    <n v="0"/>
    <s v="RCBW"/>
    <s v="RCBW"/>
    <s v="Dr DY Patil Sports "/>
    <n v="135"/>
    <n v="6.92"/>
    <n v="29"/>
    <n v="32"/>
    <n v="52"/>
    <s v="NA"/>
    <n v="0"/>
    <n v="0.16500000000000001"/>
  </r>
  <r>
    <x v="12"/>
    <n v="1"/>
    <s v="P052"/>
    <x v="51"/>
    <x v="4"/>
    <s v="Batter"/>
    <s v="Opener"/>
    <n v="0"/>
    <n v="1"/>
    <n v="0"/>
    <s v="lbw"/>
    <n v="0"/>
    <n v="2"/>
    <n v="0"/>
    <n v="19"/>
    <n v="1"/>
    <n v="9.5"/>
    <n v="20"/>
    <n v="0"/>
    <n v="0"/>
    <n v="20"/>
    <n v="2"/>
    <s v="RCBW"/>
    <s v="RCBW"/>
    <s v="Dr DY Patil Sports "/>
    <n v="135"/>
    <n v="6.92"/>
    <n v="29"/>
    <n v="32"/>
    <n v="52"/>
    <s v="NA"/>
    <n v="0"/>
    <n v="10.6"/>
  </r>
  <r>
    <x v="12"/>
    <n v="1"/>
    <s v="P051"/>
    <x v="50"/>
    <x v="4"/>
    <s v="Batter"/>
    <s v="Top Order"/>
    <n v="22"/>
    <n v="26"/>
    <n v="84.62"/>
    <s v="caught"/>
    <n v="18.62"/>
    <n v="0"/>
    <n v="0"/>
    <n v="0"/>
    <n v="0"/>
    <n v="0"/>
    <n v="0"/>
    <n v="0"/>
    <n v="0"/>
    <n v="18.62"/>
    <n v="2"/>
    <s v="RCBW"/>
    <s v="RCBW"/>
    <s v="Dr DY Patil Sports "/>
    <n v="135"/>
    <n v="6.92"/>
    <n v="29"/>
    <n v="32"/>
    <n v="52"/>
    <s v="NA"/>
    <n v="0"/>
    <n v="9.91"/>
  </r>
  <r>
    <x v="12"/>
    <n v="1"/>
    <s v="P047"/>
    <x v="46"/>
    <x v="4"/>
    <s v="Batting Allrounder"/>
    <s v="Top Order"/>
    <n v="2"/>
    <n v="2"/>
    <n v="100"/>
    <s v="caught"/>
    <n v="2"/>
    <n v="0"/>
    <n v="0"/>
    <n v="0"/>
    <n v="0"/>
    <n v="0"/>
    <n v="0"/>
    <n v="0"/>
    <n v="0"/>
    <n v="2"/>
    <n v="0"/>
    <s v="RCBW"/>
    <s v="RCBW"/>
    <s v="Dr DY Patil Sports "/>
    <n v="135"/>
    <n v="6.92"/>
    <n v="29"/>
    <n v="32"/>
    <n v="52"/>
    <s v="NA"/>
    <n v="0"/>
    <n v="1"/>
  </r>
  <r>
    <x v="12"/>
    <n v="1"/>
    <s v="P049"/>
    <x v="48"/>
    <x v="4"/>
    <s v="Batting Allrounder"/>
    <s v="Middle Order"/>
    <n v="46"/>
    <n v="32"/>
    <n v="143.75"/>
    <s v="caught"/>
    <n v="66.13"/>
    <n v="3"/>
    <n v="0"/>
    <n v="28"/>
    <n v="1"/>
    <n v="9.3000000000000007"/>
    <n v="20"/>
    <n v="0"/>
    <n v="0"/>
    <n v="86.13"/>
    <n v="9"/>
    <s v="RCBW"/>
    <s v="RCBW"/>
    <s v="Dr DY Patil Sports "/>
    <n v="135"/>
    <n v="6.92"/>
    <n v="29"/>
    <n v="32"/>
    <n v="52"/>
    <s v="NA"/>
    <n v="0"/>
    <n v="45.765000000000001"/>
  </r>
  <r>
    <x v="12"/>
    <n v="1"/>
    <s v="P050"/>
    <x v="49"/>
    <x v="4"/>
    <s v="Batter"/>
    <s v="Middle Order"/>
    <n v="2"/>
    <n v="9"/>
    <n v="22.22"/>
    <s v="caught"/>
    <n v="0.44"/>
    <n v="0"/>
    <n v="0"/>
    <n v="0"/>
    <n v="0"/>
    <n v="0"/>
    <n v="0"/>
    <n v="0"/>
    <n v="0"/>
    <n v="0.44"/>
    <n v="0"/>
    <s v="RCBW"/>
    <s v="RCBW"/>
    <s v="Dr DY Patil Sports "/>
    <n v="135"/>
    <n v="6.92"/>
    <n v="29"/>
    <n v="32"/>
    <n v="52"/>
    <s v="NA"/>
    <n v="0"/>
    <n v="0.22"/>
  </r>
  <r>
    <x v="12"/>
    <n v="1"/>
    <s v="P048"/>
    <x v="47"/>
    <x v="4"/>
    <s v="Batting Allrounder"/>
    <s v="Middle Order"/>
    <n v="22"/>
    <n v="19"/>
    <n v="115.79"/>
    <s v="caught"/>
    <n v="25.47"/>
    <n v="4"/>
    <n v="0"/>
    <n v="26"/>
    <n v="2"/>
    <n v="6.5"/>
    <n v="40"/>
    <n v="0"/>
    <n v="0"/>
    <n v="65.47"/>
    <n v="7"/>
    <s v="RCBW"/>
    <s v="RCBW"/>
    <s v="Dr DY Patil Sports "/>
    <n v="135"/>
    <n v="6.92"/>
    <n v="29"/>
    <n v="32"/>
    <n v="52"/>
    <s v="NA"/>
    <n v="0"/>
    <n v="34.835000000000001"/>
  </r>
  <r>
    <x v="12"/>
    <n v="1"/>
    <s v="P046"/>
    <x v="45"/>
    <x v="4"/>
    <s v="Batter"/>
    <s v="Middle Order"/>
    <n v="6"/>
    <n v="6"/>
    <n v="100"/>
    <s v="bowled"/>
    <n v="6"/>
    <n v="0"/>
    <n v="0"/>
    <n v="0"/>
    <n v="0"/>
    <n v="0"/>
    <n v="0"/>
    <n v="0"/>
    <n v="0"/>
    <n v="6"/>
    <n v="1"/>
    <s v="RCBW"/>
    <s v="RCBW"/>
    <s v="Dr DY Patil Sports "/>
    <n v="135"/>
    <n v="6.92"/>
    <n v="29"/>
    <n v="32"/>
    <n v="52"/>
    <s v="NA"/>
    <n v="0"/>
    <n v="3.3"/>
  </r>
  <r>
    <x v="12"/>
    <n v="1"/>
    <s v="P053"/>
    <x v="52"/>
    <x v="4"/>
    <s v="Bowler"/>
    <s v="Middle Order"/>
    <n v="12"/>
    <n v="9"/>
    <n v="133.33000000000001"/>
    <s v="run out"/>
    <n v="15.99"/>
    <n v="4"/>
    <n v="0"/>
    <n v="20"/>
    <n v="1"/>
    <n v="5"/>
    <n v="20"/>
    <n v="0"/>
    <n v="0"/>
    <n v="35.99"/>
    <n v="4"/>
    <s v="RCBW"/>
    <s v="RCBW"/>
    <s v="Dr DY Patil Sports "/>
    <n v="135"/>
    <n v="6.92"/>
    <n v="29"/>
    <n v="32"/>
    <n v="52"/>
    <s v="NA"/>
    <n v="0"/>
    <n v="19.195"/>
  </r>
  <r>
    <x v="12"/>
    <n v="1"/>
    <s v="P054"/>
    <x v="53"/>
    <x v="4"/>
    <s v="Bowler"/>
    <s v="Lower Order"/>
    <n v="8"/>
    <n v="9"/>
    <n v="88.89"/>
    <s v="caught"/>
    <n v="7.11"/>
    <n v="1"/>
    <n v="0"/>
    <n v="4"/>
    <n v="0"/>
    <n v="4"/>
    <n v="0"/>
    <n v="0"/>
    <n v="0"/>
    <n v="7.11"/>
    <n v="1"/>
    <s v="RCBW"/>
    <s v="RCBW"/>
    <s v="Dr DY Patil Sports "/>
    <n v="135"/>
    <n v="6.92"/>
    <n v="29"/>
    <n v="32"/>
    <n v="52"/>
    <s v="NA"/>
    <n v="0"/>
    <n v="3.855"/>
  </r>
  <r>
    <x v="12"/>
    <n v="1"/>
    <s v="P055"/>
    <x v="54"/>
    <x v="4"/>
    <s v="Bowler"/>
    <s v="Lower Order"/>
    <n v="2"/>
    <n v="1"/>
    <n v="200"/>
    <s v="not out"/>
    <n v="4"/>
    <n v="4"/>
    <n v="0"/>
    <n v="35"/>
    <n v="0"/>
    <n v="8.8000000000000007"/>
    <n v="0"/>
    <n v="0"/>
    <n v="0"/>
    <n v="4"/>
    <n v="0"/>
    <s v="RCBW"/>
    <s v="RCBW"/>
    <s v="Dr DY Patil Sports "/>
    <n v="135"/>
    <n v="6.92"/>
    <n v="29"/>
    <n v="32"/>
    <n v="52"/>
    <s v="NA"/>
    <n v="0"/>
    <n v="2"/>
  </r>
  <r>
    <x v="12"/>
    <n v="1"/>
    <s v="P024"/>
    <x v="23"/>
    <x v="2"/>
    <s v="Batting Allrounder"/>
    <s v="Opener"/>
    <n v="14"/>
    <n v="6"/>
    <n v="233.33"/>
    <s v="caught"/>
    <n v="32.659999999999997"/>
    <n v="4"/>
    <n v="0"/>
    <n v="23"/>
    <n v="2"/>
    <n v="5.8"/>
    <n v="40"/>
    <n v="0"/>
    <n v="0"/>
    <n v="72.66"/>
    <n v="7"/>
    <s v="RCBW"/>
    <s v="RCBW"/>
    <s v="Dr DY Patil Sports "/>
    <n v="136"/>
    <n v="7.56"/>
    <n v="43"/>
    <n v="17"/>
    <n v="53"/>
    <s v="Successful"/>
    <n v="1"/>
    <n v="58.43"/>
  </r>
  <r>
    <x v="12"/>
    <n v="1"/>
    <s v="P023"/>
    <x v="22"/>
    <x v="2"/>
    <s v="Batter"/>
    <s v="Opener"/>
    <n v="0"/>
    <n v="3"/>
    <n v="0"/>
    <s v="bowled"/>
    <n v="0"/>
    <n v="0"/>
    <n v="0"/>
    <n v="0"/>
    <n v="0"/>
    <n v="0"/>
    <n v="0"/>
    <n v="0"/>
    <n v="0"/>
    <n v="0"/>
    <n v="0"/>
    <s v="RCBW"/>
    <s v="RCBW"/>
    <s v="Dr DY Patil Sports "/>
    <n v="136"/>
    <n v="7.56"/>
    <n v="43"/>
    <n v="17"/>
    <n v="53"/>
    <s v="Successful"/>
    <n v="1"/>
    <n v="20"/>
  </r>
  <r>
    <x v="12"/>
    <n v="1"/>
    <s v="P027"/>
    <x v="26"/>
    <x v="2"/>
    <s v="Batting Allrounder"/>
    <s v="Top Order"/>
    <n v="10"/>
    <n v="13"/>
    <n v="76.92"/>
    <s v="caught"/>
    <n v="7.69"/>
    <n v="4"/>
    <n v="0"/>
    <n v="16"/>
    <n v="3"/>
    <n v="4"/>
    <n v="60"/>
    <n v="0"/>
    <n v="0"/>
    <n v="67.69"/>
    <n v="7"/>
    <s v="RCBW"/>
    <s v="RCBW"/>
    <s v="Dr DY Patil Sports "/>
    <n v="136"/>
    <n v="7.56"/>
    <n v="43"/>
    <n v="17"/>
    <n v="53"/>
    <s v="Successful"/>
    <n v="1"/>
    <n v="55.945"/>
  </r>
  <r>
    <x v="12"/>
    <n v="1"/>
    <s v="P025"/>
    <x v="24"/>
    <x v="2"/>
    <s v="Batting Allrounder"/>
    <s v="Top Order"/>
    <n v="24"/>
    <n v="21"/>
    <n v="114.29"/>
    <s v="caught"/>
    <n v="27.43"/>
    <n v="0"/>
    <n v="0"/>
    <n v="0"/>
    <n v="0"/>
    <n v="0"/>
    <n v="0"/>
    <n v="0"/>
    <n v="0"/>
    <n v="27.43"/>
    <n v="3"/>
    <s v="RCBW"/>
    <s v="RCBW"/>
    <s v="Dr DY Patil Sports "/>
    <n v="136"/>
    <n v="7.56"/>
    <n v="43"/>
    <n v="17"/>
    <n v="53"/>
    <s v="Successful"/>
    <n v="1"/>
    <n v="34.615000000000002"/>
  </r>
  <r>
    <x v="12"/>
    <n v="1"/>
    <s v="P029"/>
    <x v="28"/>
    <x v="2"/>
    <s v="Batting Allrounder"/>
    <s v="Middle Order"/>
    <n v="46"/>
    <n v="30"/>
    <n v="153.33000000000001"/>
    <s v="bowled"/>
    <n v="70.53"/>
    <n v="0"/>
    <n v="0"/>
    <n v="0"/>
    <n v="0"/>
    <n v="0"/>
    <n v="0"/>
    <n v="0"/>
    <n v="0"/>
    <n v="70.53"/>
    <n v="7"/>
    <s v="RCBW"/>
    <s v="RCBW"/>
    <s v="Dr DY Patil Sports "/>
    <n v="136"/>
    <n v="7.56"/>
    <n v="43"/>
    <n v="17"/>
    <n v="53"/>
    <s v="Successful"/>
    <n v="1"/>
    <n v="57.365000000000002"/>
  </r>
  <r>
    <x v="12"/>
    <n v="1"/>
    <s v="P028"/>
    <x v="27"/>
    <x v="2"/>
    <s v="WK-Batter"/>
    <s v="Middle Order"/>
    <n v="31"/>
    <n v="32"/>
    <n v="96.88"/>
    <s v="not out"/>
    <n v="30.03"/>
    <n v="0"/>
    <n v="0"/>
    <n v="0"/>
    <n v="0"/>
    <n v="0"/>
    <n v="0"/>
    <n v="0"/>
    <n v="0"/>
    <n v="30.03"/>
    <n v="3"/>
    <s v="RCBW"/>
    <s v="RCBW"/>
    <s v="Dr DY Patil Sports "/>
    <n v="136"/>
    <n v="7.56"/>
    <n v="43"/>
    <n v="17"/>
    <n v="53"/>
    <s v="Successful"/>
    <n v="1"/>
    <n v="35.914999999999999"/>
  </r>
  <r>
    <x v="12"/>
    <n v="1"/>
    <s v="P059"/>
    <x v="58"/>
    <x v="2"/>
    <s v="Bowler"/>
    <s v="Middle Order"/>
    <n v="5"/>
    <n v="3"/>
    <n v="166.67"/>
    <s v="not out"/>
    <n v="8.33"/>
    <n v="1.3"/>
    <n v="0"/>
    <n v="21"/>
    <n v="1"/>
    <n v="14"/>
    <n v="20"/>
    <n v="0"/>
    <n v="0"/>
    <n v="28.33"/>
    <n v="3"/>
    <s v="RCBW"/>
    <s v="RCBW"/>
    <s v="Dr DY Patil Sports "/>
    <n v="136"/>
    <n v="7.56"/>
    <n v="43"/>
    <n v="17"/>
    <n v="53"/>
    <s v="Successful"/>
    <n v="1"/>
    <n v="35.064999999999998"/>
  </r>
  <r>
    <x v="12"/>
    <n v="1"/>
    <s v="P026"/>
    <x v="25"/>
    <x v="2"/>
    <s v="Batter"/>
    <s v="Lower Order"/>
    <n v="0"/>
    <n v="0"/>
    <n v="0"/>
    <s v="DNB"/>
    <n v="0"/>
    <n v="0"/>
    <n v="0"/>
    <n v="0"/>
    <n v="0"/>
    <n v="0"/>
    <n v="0"/>
    <n v="0"/>
    <n v="0"/>
    <n v="0"/>
    <n v="0"/>
    <s v="RCBW"/>
    <s v="RCBW"/>
    <s v="Dr DY Patil Sports "/>
    <n v="136"/>
    <n v="7.56"/>
    <n v="43"/>
    <n v="17"/>
    <n v="53"/>
    <s v="Successful"/>
    <n v="1"/>
    <n v="20"/>
  </r>
  <r>
    <x v="12"/>
    <n v="1"/>
    <s v="P032"/>
    <x v="31"/>
    <x v="2"/>
    <s v="Bowler"/>
    <s v="Lower Order"/>
    <n v="0"/>
    <n v="0"/>
    <n v="0"/>
    <s v="DNB"/>
    <n v="0"/>
    <n v="4"/>
    <n v="0"/>
    <n v="21"/>
    <n v="1"/>
    <n v="5.2"/>
    <n v="20"/>
    <n v="0"/>
    <n v="0"/>
    <n v="20"/>
    <n v="2"/>
    <s v="RCBW"/>
    <s v="RCBW"/>
    <s v="Dr DY Patil Sports "/>
    <n v="136"/>
    <n v="7.56"/>
    <n v="43"/>
    <n v="17"/>
    <n v="53"/>
    <s v="Successful"/>
    <n v="1"/>
    <n v="30.6"/>
  </r>
  <r>
    <x v="12"/>
    <n v="1"/>
    <s v="P030"/>
    <x v="29"/>
    <x v="2"/>
    <s v="Bowling Allrounder"/>
    <s v="Lower Order"/>
    <n v="0"/>
    <n v="0"/>
    <n v="0"/>
    <s v="DNB"/>
    <n v="0"/>
    <n v="4"/>
    <n v="0"/>
    <n v="27"/>
    <n v="2"/>
    <n v="6.8"/>
    <n v="40"/>
    <n v="0"/>
    <n v="0"/>
    <n v="40"/>
    <n v="4"/>
    <s v="RCBW"/>
    <s v="RCBW"/>
    <s v="Dr DY Patil Sports "/>
    <n v="136"/>
    <n v="7.56"/>
    <n v="43"/>
    <n v="17"/>
    <n v="53"/>
    <s v="Successful"/>
    <n v="1"/>
    <n v="41.2"/>
  </r>
  <r>
    <x v="12"/>
    <n v="1"/>
    <s v="P033"/>
    <x v="32"/>
    <x v="2"/>
    <s v="Bowler"/>
    <s v="Lower Order"/>
    <n v="0"/>
    <n v="0"/>
    <n v="0"/>
    <s v="DNB"/>
    <n v="0"/>
    <n v="2"/>
    <n v="0"/>
    <n v="20"/>
    <n v="0"/>
    <n v="10"/>
    <n v="0"/>
    <n v="0"/>
    <n v="0"/>
    <n v="0"/>
    <n v="0"/>
    <s v="RCBW"/>
    <s v="RCBW"/>
    <s v="Dr DY Patil Sports "/>
    <n v="136"/>
    <n v="7.56"/>
    <n v="43"/>
    <n v="17"/>
    <n v="53"/>
    <s v="Successful"/>
    <n v="1"/>
    <n v="20"/>
  </r>
  <r>
    <x v="13"/>
    <n v="1"/>
    <s v="P056"/>
    <x v="55"/>
    <x v="0"/>
    <s v="Batter"/>
    <s v="Opener"/>
    <n v="4"/>
    <n v="6"/>
    <n v="66.67"/>
    <s v="caught"/>
    <n v="2.67"/>
    <n v="0"/>
    <n v="0"/>
    <n v="0"/>
    <n v="0"/>
    <n v="0"/>
    <n v="0"/>
    <n v="0"/>
    <n v="0"/>
    <n v="2.67"/>
    <n v="0"/>
    <s v="GGTW"/>
    <s v="DCW"/>
    <s v="Brabourne Stadium"/>
    <n v="147"/>
    <n v="7.35"/>
    <n v="32"/>
    <n v="38"/>
    <n v="46"/>
    <s v="NA"/>
    <n v="1"/>
    <n v="21.335000000000001"/>
  </r>
  <r>
    <x v="13"/>
    <n v="1"/>
    <s v="P066"/>
    <x v="65"/>
    <x v="0"/>
    <s v="Batter"/>
    <s v="Opener"/>
    <n v="57"/>
    <n v="45"/>
    <n v="126.67"/>
    <s v="bowled"/>
    <n v="72.2"/>
    <n v="0"/>
    <n v="0"/>
    <n v="0"/>
    <n v="0"/>
    <n v="0"/>
    <n v="0"/>
    <n v="0"/>
    <n v="0"/>
    <n v="72.2"/>
    <n v="7"/>
    <s v="GGTW"/>
    <s v="DCW"/>
    <s v="Brabourne Stadium"/>
    <n v="147"/>
    <n v="7.35"/>
    <n v="32"/>
    <n v="38"/>
    <n v="46"/>
    <s v="NA"/>
    <n v="1"/>
    <n v="58.2"/>
  </r>
  <r>
    <x v="13"/>
    <n v="1"/>
    <s v="P003"/>
    <x v="2"/>
    <x v="0"/>
    <s v="Batting Allrounder"/>
    <s v="Top Order"/>
    <n v="31"/>
    <n v="33"/>
    <n v="93.94"/>
    <s v="caught"/>
    <n v="29.12"/>
    <n v="3"/>
    <n v="0"/>
    <n v="27"/>
    <n v="1"/>
    <n v="9"/>
    <n v="20"/>
    <n v="0"/>
    <n v="0"/>
    <n v="49.12"/>
    <n v="5"/>
    <s v="GGTW"/>
    <s v="DCW"/>
    <s v="Brabourne Stadium"/>
    <n v="147"/>
    <n v="7.35"/>
    <n v="32"/>
    <n v="38"/>
    <n v="46"/>
    <s v="NA"/>
    <n v="1"/>
    <n v="46.06"/>
  </r>
  <r>
    <x v="13"/>
    <n v="1"/>
    <s v="P004"/>
    <x v="3"/>
    <x v="0"/>
    <s v="Batting Allrounder"/>
    <s v="Middle Order"/>
    <n v="51"/>
    <n v="33"/>
    <n v="154.55000000000001"/>
    <s v="not out"/>
    <n v="78.819999999999993"/>
    <n v="3.4"/>
    <n v="0"/>
    <n v="19"/>
    <n v="2"/>
    <n v="5.2"/>
    <n v="40"/>
    <n v="0"/>
    <n v="0"/>
    <n v="118.82"/>
    <n v="10"/>
    <s v="GGTW"/>
    <s v="DCW"/>
    <s v="Brabourne Stadium"/>
    <n v="147"/>
    <n v="7.35"/>
    <n v="32"/>
    <n v="38"/>
    <n v="46"/>
    <s v="NA"/>
    <n v="1"/>
    <n v="82.41"/>
  </r>
  <r>
    <x v="13"/>
    <n v="1"/>
    <s v="P006"/>
    <x v="5"/>
    <x v="0"/>
    <s v="Batter"/>
    <s v="Middle Order"/>
    <n v="1"/>
    <n v="3"/>
    <n v="33.33"/>
    <s v="caught"/>
    <n v="0.33"/>
    <n v="0"/>
    <n v="0"/>
    <n v="0"/>
    <n v="0"/>
    <n v="0"/>
    <n v="0"/>
    <n v="0"/>
    <n v="0"/>
    <n v="0.33"/>
    <n v="0"/>
    <s v="GGTW"/>
    <s v="DCW"/>
    <s v="Brabourne Stadium"/>
    <n v="147"/>
    <n v="7.35"/>
    <n v="32"/>
    <n v="38"/>
    <n v="46"/>
    <s v="NA"/>
    <n v="1"/>
    <n v="20.164999999999999"/>
  </r>
  <r>
    <x v="13"/>
    <n v="1"/>
    <s v="P008"/>
    <x v="7"/>
    <x v="0"/>
    <s v="Bowler"/>
    <s v="DNB"/>
    <n v="0"/>
    <n v="0"/>
    <n v="0"/>
    <s v="DNB"/>
    <n v="0"/>
    <n v="3"/>
    <n v="0"/>
    <n v="27"/>
    <n v="1"/>
    <n v="9"/>
    <n v="20"/>
    <n v="0"/>
    <n v="0"/>
    <n v="20"/>
    <n v="2"/>
    <s v="GGTW"/>
    <s v="DCW"/>
    <s v="Brabourne Stadium"/>
    <n v="147"/>
    <n v="7.35"/>
    <n v="32"/>
    <n v="38"/>
    <n v="46"/>
    <s v="NA"/>
    <n v="1"/>
    <n v="30.6"/>
  </r>
  <r>
    <x v="13"/>
    <n v="1"/>
    <s v="P057"/>
    <x v="56"/>
    <x v="0"/>
    <s v="WK-Batter"/>
    <s v="DNB"/>
    <n v="0"/>
    <n v="0"/>
    <n v="0"/>
    <s v="DNB"/>
    <n v="0"/>
    <n v="0"/>
    <n v="0"/>
    <n v="0"/>
    <n v="0"/>
    <n v="0"/>
    <n v="0"/>
    <n v="0"/>
    <n v="0"/>
    <n v="0"/>
    <n v="0"/>
    <s v="GGTW"/>
    <s v="DCW"/>
    <s v="Brabourne Stadium"/>
    <n v="147"/>
    <n v="7.35"/>
    <n v="32"/>
    <n v="38"/>
    <n v="46"/>
    <s v="NA"/>
    <n v="1"/>
    <n v="20"/>
  </r>
  <r>
    <x v="13"/>
    <n v="1"/>
    <s v="P058"/>
    <x v="57"/>
    <x v="0"/>
    <s v="Bowler"/>
    <s v="DNB"/>
    <n v="0"/>
    <n v="0"/>
    <n v="0"/>
    <s v="DNB"/>
    <n v="0"/>
    <n v="4"/>
    <n v="0"/>
    <n v="18"/>
    <n v="2"/>
    <n v="4.5"/>
    <n v="40"/>
    <n v="0"/>
    <n v="0"/>
    <n v="40"/>
    <n v="4"/>
    <s v="GGTW"/>
    <s v="DCW"/>
    <s v="Brabourne Stadium"/>
    <n v="147"/>
    <n v="7.35"/>
    <n v="32"/>
    <n v="38"/>
    <n v="46"/>
    <s v="NA"/>
    <n v="1"/>
    <n v="41.2"/>
  </r>
  <r>
    <x v="13"/>
    <n v="1"/>
    <s v="P009"/>
    <x v="8"/>
    <x v="0"/>
    <s v="Bowler"/>
    <s v="DNB"/>
    <n v="0"/>
    <n v="0"/>
    <n v="0"/>
    <s v="DNB"/>
    <n v="0"/>
    <n v="4"/>
    <n v="0"/>
    <n v="29"/>
    <n v="2"/>
    <n v="7.2"/>
    <n v="40"/>
    <n v="0"/>
    <n v="0"/>
    <n v="40"/>
    <n v="4"/>
    <s v="GGTW"/>
    <s v="DCW"/>
    <s v="Brabourne Stadium"/>
    <n v="147"/>
    <n v="7.35"/>
    <n v="32"/>
    <n v="38"/>
    <n v="46"/>
    <s v="NA"/>
    <n v="1"/>
    <n v="41.2"/>
  </r>
  <r>
    <x v="13"/>
    <n v="1"/>
    <s v="P011"/>
    <x v="10"/>
    <x v="0"/>
    <s v="Bowler"/>
    <s v="DNB"/>
    <n v="0"/>
    <n v="0"/>
    <n v="0"/>
    <s v="DNB"/>
    <n v="0"/>
    <n v="1"/>
    <n v="0"/>
    <n v="16"/>
    <n v="0"/>
    <n v="16"/>
    <n v="0"/>
    <n v="0"/>
    <n v="0"/>
    <n v="0"/>
    <n v="0"/>
    <s v="GGTW"/>
    <s v="DCW"/>
    <s v="Brabourne Stadium"/>
    <n v="147"/>
    <n v="7.35"/>
    <n v="32"/>
    <n v="38"/>
    <n v="46"/>
    <s v="NA"/>
    <n v="1"/>
    <n v="20"/>
  </r>
  <r>
    <x v="13"/>
    <n v="1"/>
    <s v="P069"/>
    <x v="68"/>
    <x v="0"/>
    <s v="Batting Allrounder"/>
    <s v="DNB"/>
    <n v="0"/>
    <n v="0"/>
    <n v="0"/>
    <s v="DNB"/>
    <n v="0"/>
    <n v="0"/>
    <n v="0"/>
    <n v="0"/>
    <n v="0"/>
    <n v="0"/>
    <n v="0"/>
    <n v="0"/>
    <n v="0"/>
    <n v="0"/>
    <n v="0"/>
    <s v="GGTW"/>
    <s v="DCW"/>
    <s v="Brabourne Stadium"/>
    <n v="147"/>
    <n v="7.35"/>
    <n v="32"/>
    <n v="38"/>
    <n v="46"/>
    <s v="NA"/>
    <n v="1"/>
    <n v="20"/>
  </r>
  <r>
    <x v="13"/>
    <n v="1"/>
    <s v="P035"/>
    <x v="34"/>
    <x v="3"/>
    <s v="Batter"/>
    <s v="Opener"/>
    <n v="18"/>
    <n v="15"/>
    <n v="120"/>
    <s v="lbw"/>
    <n v="21.6"/>
    <n v="0"/>
    <n v="0"/>
    <n v="0"/>
    <n v="0"/>
    <n v="0"/>
    <n v="0"/>
    <n v="0"/>
    <n v="0"/>
    <n v="21.6"/>
    <n v="2"/>
    <s v="GGTW"/>
    <s v="DCW"/>
    <s v="Brabourne Stadium"/>
    <n v="136"/>
    <n v="7.29"/>
    <n v="51"/>
    <n v="21"/>
    <n v="52"/>
    <s v="Failed"/>
    <n v="0"/>
    <n v="11.4"/>
  </r>
  <r>
    <x v="13"/>
    <n v="1"/>
    <s v="P034"/>
    <x v="33"/>
    <x v="3"/>
    <s v="Batting Allrounder"/>
    <s v="Opener"/>
    <n v="8"/>
    <n v="7"/>
    <n v="114.29"/>
    <s v="bowled"/>
    <n v="9.14"/>
    <n v="0"/>
    <n v="0"/>
    <n v="0"/>
    <n v="0"/>
    <n v="0"/>
    <n v="0"/>
    <n v="0"/>
    <n v="0"/>
    <n v="9.14"/>
    <n v="1"/>
    <s v="GGTW"/>
    <s v="DCW"/>
    <s v="Brabourne Stadium"/>
    <n v="136"/>
    <n v="7.29"/>
    <n v="51"/>
    <n v="21"/>
    <n v="52"/>
    <s v="Failed"/>
    <n v="0"/>
    <n v="4.87"/>
  </r>
  <r>
    <x v="13"/>
    <n v="1"/>
    <s v="P038"/>
    <x v="37"/>
    <x v="3"/>
    <s v="Batting Allrounder"/>
    <s v="Top Order"/>
    <n v="22"/>
    <n v="11"/>
    <n v="200"/>
    <s v="run out"/>
    <n v="44"/>
    <n v="1"/>
    <n v="0"/>
    <n v="7"/>
    <n v="0"/>
    <n v="7"/>
    <n v="0"/>
    <n v="0"/>
    <n v="0"/>
    <n v="44"/>
    <n v="4"/>
    <s v="GGTW"/>
    <s v="DCW"/>
    <s v="Brabourne Stadium"/>
    <n v="136"/>
    <n v="7.29"/>
    <n v="51"/>
    <n v="21"/>
    <n v="52"/>
    <s v="Failed"/>
    <n v="0"/>
    <n v="23.2"/>
  </r>
  <r>
    <x v="13"/>
    <n v="1"/>
    <s v="P037"/>
    <x v="36"/>
    <x v="3"/>
    <s v="Batter"/>
    <s v="Top Order"/>
    <n v="1"/>
    <n v="4"/>
    <n v="25"/>
    <s v="caught"/>
    <n v="0.25"/>
    <n v="0"/>
    <n v="0"/>
    <n v="0"/>
    <n v="0"/>
    <n v="0"/>
    <n v="0"/>
    <n v="0"/>
    <n v="0"/>
    <n v="0.25"/>
    <n v="0"/>
    <s v="GGTW"/>
    <s v="DCW"/>
    <s v="Brabourne Stadium"/>
    <n v="136"/>
    <n v="7.29"/>
    <n v="51"/>
    <n v="21"/>
    <n v="52"/>
    <s v="Failed"/>
    <n v="0"/>
    <n v="0.125"/>
  </r>
  <r>
    <x v="13"/>
    <n v="1"/>
    <s v="P036"/>
    <x v="35"/>
    <x v="3"/>
    <s v="Allrounder"/>
    <s v="Middle Order"/>
    <n v="36"/>
    <n v="29"/>
    <n v="124.14"/>
    <s v="run out"/>
    <n v="44.69"/>
    <n v="4"/>
    <n v="0"/>
    <n v="24"/>
    <n v="1"/>
    <n v="6"/>
    <n v="20"/>
    <n v="0"/>
    <n v="0"/>
    <n v="64.69"/>
    <n v="6"/>
    <s v="GGTW"/>
    <s v="DCW"/>
    <s v="Brabourne Stadium"/>
    <n v="136"/>
    <n v="7.29"/>
    <n v="51"/>
    <n v="21"/>
    <n v="52"/>
    <s v="Failed"/>
    <n v="0"/>
    <n v="34.144999999999996"/>
  </r>
  <r>
    <x v="13"/>
    <n v="1"/>
    <s v="P039"/>
    <x v="38"/>
    <x v="3"/>
    <s v="Bowler"/>
    <s v="Middle Order"/>
    <n v="4"/>
    <n v="10"/>
    <n v="40"/>
    <s v="caught"/>
    <n v="1.6"/>
    <n v="4"/>
    <n v="0"/>
    <n v="38"/>
    <n v="2"/>
    <n v="9.5"/>
    <n v="40"/>
    <n v="0"/>
    <n v="0"/>
    <n v="41.6"/>
    <n v="4"/>
    <s v="GGTW"/>
    <s v="DCW"/>
    <s v="Brabourne Stadium"/>
    <n v="136"/>
    <n v="7.29"/>
    <n v="51"/>
    <n v="21"/>
    <n v="52"/>
    <s v="Failed"/>
    <n v="0"/>
    <n v="22"/>
  </r>
  <r>
    <x v="13"/>
    <n v="1"/>
    <s v="P040"/>
    <x v="39"/>
    <x v="3"/>
    <s v="WK-Batter"/>
    <s v="Middle Order"/>
    <n v="1"/>
    <n v="4"/>
    <n v="25"/>
    <s v="bowled"/>
    <n v="0.25"/>
    <n v="0"/>
    <n v="0"/>
    <n v="0"/>
    <n v="0"/>
    <n v="0"/>
    <n v="0"/>
    <n v="0"/>
    <n v="0"/>
    <n v="0.25"/>
    <n v="0"/>
    <s v="GGTW"/>
    <s v="DCW"/>
    <s v="Brabourne Stadium"/>
    <n v="136"/>
    <n v="7.29"/>
    <n v="51"/>
    <n v="21"/>
    <n v="52"/>
    <s v="Failed"/>
    <n v="0"/>
    <n v="0.125"/>
  </r>
  <r>
    <x v="13"/>
    <n v="1"/>
    <s v="P041"/>
    <x v="40"/>
    <x v="3"/>
    <s v="Bowler"/>
    <s v="Middle Order"/>
    <n v="25"/>
    <n v="17"/>
    <n v="147.06"/>
    <s v="caught"/>
    <n v="36.770000000000003"/>
    <n v="3"/>
    <n v="0"/>
    <n v="25"/>
    <n v="1"/>
    <n v="8.3000000000000007"/>
    <n v="20"/>
    <n v="0"/>
    <n v="0"/>
    <n v="56.77"/>
    <n v="6"/>
    <s v="GGTW"/>
    <s v="DCW"/>
    <s v="Brabourne Stadium"/>
    <n v="136"/>
    <n v="7.29"/>
    <n v="51"/>
    <n v="21"/>
    <n v="52"/>
    <s v="Failed"/>
    <n v="0"/>
    <n v="30.185000000000002"/>
  </r>
  <r>
    <x v="13"/>
    <n v="1"/>
    <s v="P043"/>
    <x v="42"/>
    <x v="3"/>
    <s v="Bowler"/>
    <s v="Middle Order"/>
    <n v="1"/>
    <n v="3"/>
    <n v="33.33"/>
    <s v="caught"/>
    <n v="0.33"/>
    <n v="3"/>
    <n v="0"/>
    <n v="23"/>
    <n v="0"/>
    <n v="7.7"/>
    <n v="0"/>
    <n v="0"/>
    <n v="0"/>
    <n v="0.33"/>
    <n v="0"/>
    <s v="GGTW"/>
    <s v="DCW"/>
    <s v="Brabourne Stadium"/>
    <n v="136"/>
    <n v="7.29"/>
    <n v="51"/>
    <n v="21"/>
    <n v="52"/>
    <s v="Failed"/>
    <n v="0"/>
    <n v="0.16500000000000001"/>
  </r>
  <r>
    <x v="13"/>
    <n v="1"/>
    <s v="P042"/>
    <x v="41"/>
    <x v="3"/>
    <s v="Bowling Allrounder"/>
    <s v="Middle Order"/>
    <n v="8"/>
    <n v="9"/>
    <n v="88.89"/>
    <s v="not out"/>
    <n v="7.11"/>
    <n v="3"/>
    <n v="0"/>
    <n v="21"/>
    <n v="0"/>
    <n v="7"/>
    <n v="0"/>
    <n v="0"/>
    <n v="0"/>
    <n v="7.11"/>
    <n v="1"/>
    <s v="GGTW"/>
    <s v="DCW"/>
    <s v="Brabourne Stadium"/>
    <n v="136"/>
    <n v="7.29"/>
    <n v="51"/>
    <n v="21"/>
    <n v="52"/>
    <s v="Failed"/>
    <n v="0"/>
    <n v="3.855"/>
  </r>
  <r>
    <x v="13"/>
    <n v="1"/>
    <s v="P071"/>
    <x v="69"/>
    <x v="3"/>
    <s v="Bowler"/>
    <s v="Lower Order"/>
    <n v="0"/>
    <n v="3"/>
    <n v="0"/>
    <s v="caught"/>
    <n v="0"/>
    <n v="2"/>
    <n v="0"/>
    <n v="7"/>
    <n v="0"/>
    <n v="3.5"/>
    <n v="0"/>
    <n v="0"/>
    <n v="0"/>
    <n v="0"/>
    <n v="0"/>
    <s v="GGTW"/>
    <s v="DCW"/>
    <s v="Brabourne Stadium"/>
    <n v="136"/>
    <n v="7.29"/>
    <n v="51"/>
    <n v="21"/>
    <n v="52"/>
    <s v="Failed"/>
    <n v="0"/>
    <n v="0"/>
  </r>
  <r>
    <x v="14"/>
    <n v="1"/>
    <s v="P012"/>
    <x v="11"/>
    <x v="1"/>
    <s v="Batting Allrounder"/>
    <s v="Opener"/>
    <n v="35"/>
    <n v="30"/>
    <n v="116.67"/>
    <s v="caught"/>
    <n v="40.83"/>
    <n v="4"/>
    <n v="0"/>
    <n v="26"/>
    <n v="1"/>
    <n v="6.5"/>
    <n v="20"/>
    <n v="0"/>
    <n v="0"/>
    <n v="60.83"/>
    <n v="6"/>
    <s v="UPW"/>
    <s v="UPW"/>
    <s v="Dr DY Patil Sports "/>
    <n v="127"/>
    <n v="6.35"/>
    <n v="31"/>
    <n v="29"/>
    <n v="52"/>
    <s v="NA"/>
    <n v="0"/>
    <n v="32.214999999999996"/>
  </r>
  <r>
    <x v="14"/>
    <n v="1"/>
    <s v="P013"/>
    <x v="12"/>
    <x v="1"/>
    <s v="WK-Batter"/>
    <s v="Opener"/>
    <n v="7"/>
    <n v="15"/>
    <n v="46.67"/>
    <s v="bowled"/>
    <n v="3.27"/>
    <n v="0"/>
    <n v="0"/>
    <n v="0"/>
    <n v="0"/>
    <n v="0"/>
    <n v="0"/>
    <n v="0"/>
    <n v="0"/>
    <n v="3.27"/>
    <n v="0"/>
    <s v="UPW"/>
    <s v="UPW"/>
    <s v="Dr DY Patil Sports "/>
    <n v="127"/>
    <n v="6.35"/>
    <n v="31"/>
    <n v="29"/>
    <n v="52"/>
    <s v="NA"/>
    <n v="0"/>
    <n v="1.635"/>
  </r>
  <r>
    <x v="14"/>
    <n v="1"/>
    <s v="P015"/>
    <x v="14"/>
    <x v="1"/>
    <s v="Allrounder"/>
    <s v="Top Order"/>
    <n v="5"/>
    <n v="8"/>
    <n v="62.5"/>
    <s v="lbw"/>
    <n v="3.12"/>
    <n v="4"/>
    <n v="0"/>
    <n v="24"/>
    <n v="1"/>
    <n v="6"/>
    <n v="20"/>
    <n v="0"/>
    <n v="0"/>
    <n v="23.12"/>
    <n v="2"/>
    <s v="UPW"/>
    <s v="UPW"/>
    <s v="Dr DY Patil Sports "/>
    <n v="127"/>
    <n v="6.35"/>
    <n v="31"/>
    <n v="29"/>
    <n v="52"/>
    <s v="NA"/>
    <n v="0"/>
    <n v="12.16"/>
  </r>
  <r>
    <x v="14"/>
    <n v="1"/>
    <s v="P014"/>
    <x v="13"/>
    <x v="1"/>
    <s v="Batting Allrounder"/>
    <s v="Middle Order"/>
    <n v="25"/>
    <n v="22"/>
    <n v="113.64"/>
    <s v="caught"/>
    <n v="28.41"/>
    <n v="0"/>
    <n v="0"/>
    <n v="0"/>
    <n v="0"/>
    <n v="0"/>
    <n v="0"/>
    <n v="0"/>
    <n v="0"/>
    <n v="28.41"/>
    <n v="3"/>
    <s v="UPW"/>
    <s v="UPW"/>
    <s v="Dr DY Patil Sports "/>
    <n v="127"/>
    <n v="6.35"/>
    <n v="31"/>
    <n v="29"/>
    <n v="52"/>
    <s v="NA"/>
    <n v="0"/>
    <n v="15.105"/>
  </r>
  <r>
    <x v="14"/>
    <n v="1"/>
    <s v="P016"/>
    <x v="15"/>
    <x v="1"/>
    <s v="Bowling Allrounder"/>
    <s v="Middle Order"/>
    <n v="3"/>
    <n v="5"/>
    <n v="60"/>
    <s v="caught"/>
    <n v="1.8"/>
    <n v="4"/>
    <n v="0"/>
    <n v="22"/>
    <n v="2"/>
    <n v="5.5"/>
    <n v="40"/>
    <n v="0"/>
    <n v="0"/>
    <n v="41.8"/>
    <n v="4"/>
    <s v="UPW"/>
    <s v="UPW"/>
    <s v="Dr DY Patil Sports "/>
    <n v="127"/>
    <n v="6.35"/>
    <n v="31"/>
    <n v="29"/>
    <n v="52"/>
    <s v="NA"/>
    <n v="0"/>
    <n v="22.099999999999998"/>
  </r>
  <r>
    <x v="14"/>
    <n v="1"/>
    <s v="P020"/>
    <x v="19"/>
    <x v="1"/>
    <s v="Bowler"/>
    <s v="Middle Order"/>
    <n v="32"/>
    <n v="19"/>
    <n v="168.42"/>
    <s v="run out"/>
    <n v="53.89"/>
    <n v="2.2999999999999998"/>
    <n v="0"/>
    <n v="24"/>
    <n v="1"/>
    <n v="9.6"/>
    <n v="20"/>
    <n v="0"/>
    <n v="1"/>
    <n v="73.89"/>
    <n v="7"/>
    <s v="UPW"/>
    <s v="UPW"/>
    <s v="Dr DY Patil Sports "/>
    <n v="127"/>
    <n v="6.35"/>
    <n v="31"/>
    <n v="29"/>
    <n v="52"/>
    <s v="NA"/>
    <n v="0"/>
    <n v="39.045000000000002"/>
  </r>
  <r>
    <x v="14"/>
    <n v="1"/>
    <s v="P017"/>
    <x v="16"/>
    <x v="1"/>
    <s v="Batter"/>
    <s v="Lower Order"/>
    <n v="5"/>
    <n v="7"/>
    <n v="71.430000000000007"/>
    <s v="stumped"/>
    <n v="3.57"/>
    <n v="1"/>
    <n v="0"/>
    <n v="11"/>
    <n v="0"/>
    <n v="11"/>
    <n v="0"/>
    <n v="0"/>
    <n v="0"/>
    <n v="3.57"/>
    <n v="0"/>
    <s v="UPW"/>
    <s v="UPW"/>
    <s v="Dr DY Patil Sports "/>
    <n v="127"/>
    <n v="6.35"/>
    <n v="31"/>
    <n v="29"/>
    <n v="52"/>
    <s v="NA"/>
    <n v="0"/>
    <n v="1.7849999999999999"/>
  </r>
  <r>
    <x v="14"/>
    <n v="1"/>
    <s v="P019"/>
    <x v="18"/>
    <x v="1"/>
    <s v="Batting Allrounder"/>
    <s v="Lower Order"/>
    <n v="4"/>
    <n v="6"/>
    <n v="66.67"/>
    <s v="bowled"/>
    <n v="2.67"/>
    <n v="0"/>
    <n v="0"/>
    <n v="0"/>
    <n v="0"/>
    <n v="0"/>
    <n v="0"/>
    <n v="0"/>
    <n v="0"/>
    <n v="2.67"/>
    <n v="0"/>
    <s v="UPW"/>
    <s v="UPW"/>
    <s v="Dr DY Patil Sports "/>
    <n v="127"/>
    <n v="6.35"/>
    <n v="31"/>
    <n v="29"/>
    <n v="52"/>
    <s v="NA"/>
    <n v="0"/>
    <n v="1.335"/>
  </r>
  <r>
    <x v="14"/>
    <n v="1"/>
    <s v="P068"/>
    <x v="67"/>
    <x v="1"/>
    <s v="Batter"/>
    <s v="Lower Order"/>
    <n v="3"/>
    <n v="3"/>
    <n v="100"/>
    <s v="bowled"/>
    <n v="3"/>
    <n v="0"/>
    <n v="0"/>
    <n v="0"/>
    <n v="0"/>
    <n v="0"/>
    <n v="0"/>
    <n v="0"/>
    <n v="0"/>
    <n v="3"/>
    <n v="0"/>
    <s v="UPW"/>
    <s v="UPW"/>
    <s v="Dr DY Patil Sports "/>
    <n v="127"/>
    <n v="6.35"/>
    <n v="31"/>
    <n v="29"/>
    <n v="52"/>
    <s v="NA"/>
    <n v="0"/>
    <n v="1.5"/>
  </r>
  <r>
    <x v="14"/>
    <n v="1"/>
    <s v="P021"/>
    <x v="20"/>
    <x v="1"/>
    <s v="Bowling Allrounder"/>
    <s v="Lower Order"/>
    <n v="3"/>
    <n v="3"/>
    <n v="100"/>
    <s v="not out"/>
    <n v="3"/>
    <n v="0"/>
    <n v="0"/>
    <n v="0"/>
    <n v="0"/>
    <n v="0"/>
    <n v="0"/>
    <n v="0"/>
    <n v="0"/>
    <n v="3"/>
    <n v="0"/>
    <s v="UPW"/>
    <s v="UPW"/>
    <s v="Dr DY Patil Sports "/>
    <n v="127"/>
    <n v="6.35"/>
    <n v="31"/>
    <n v="29"/>
    <n v="52"/>
    <s v="NA"/>
    <n v="0"/>
    <n v="1.5"/>
  </r>
  <r>
    <x v="14"/>
    <n v="1"/>
    <s v="P022"/>
    <x v="21"/>
    <x v="1"/>
    <s v="Bowler"/>
    <s v="Lower Order"/>
    <n v="0"/>
    <n v="2"/>
    <n v="0"/>
    <s v="run out"/>
    <n v="0"/>
    <n v="4"/>
    <n v="0"/>
    <n v="22"/>
    <n v="0"/>
    <n v="5.5"/>
    <n v="0"/>
    <n v="0"/>
    <n v="0"/>
    <n v="0"/>
    <n v="0"/>
    <s v="UPW"/>
    <s v="UPW"/>
    <s v="Dr DY Patil Sports "/>
    <n v="127"/>
    <n v="6.35"/>
    <n v="31"/>
    <n v="29"/>
    <n v="52"/>
    <s v="NA"/>
    <n v="0"/>
    <n v="0"/>
  </r>
  <r>
    <x v="14"/>
    <n v="1"/>
    <s v="P052"/>
    <x v="51"/>
    <x v="4"/>
    <s v="Batting Allrounder"/>
    <s v="Opener"/>
    <n v="1"/>
    <n v="7"/>
    <n v="14.29"/>
    <s v="caught"/>
    <n v="0.14000000000000001"/>
    <n v="0"/>
    <n v="0"/>
    <n v="0"/>
    <n v="0"/>
    <n v="0"/>
    <n v="0"/>
    <n v="0"/>
    <n v="0"/>
    <n v="0.14000000000000001"/>
    <n v="0"/>
    <s v="UPW"/>
    <s v="UPW"/>
    <s v="Dr DY Patil Sports "/>
    <n v="129"/>
    <n v="6.62"/>
    <n v="27"/>
    <n v="23"/>
    <n v="52"/>
    <s v="Successful"/>
    <n v="1"/>
    <n v="20.07"/>
  </r>
  <r>
    <x v="14"/>
    <n v="1"/>
    <s v="P045"/>
    <x v="44"/>
    <x v="4"/>
    <s v="WK-Batter"/>
    <s v="Opener"/>
    <n v="8"/>
    <n v="10"/>
    <n v="80"/>
    <s v="lbw"/>
    <n v="6.4"/>
    <n v="0"/>
    <n v="0"/>
    <n v="0"/>
    <n v="0"/>
    <n v="0"/>
    <n v="0"/>
    <n v="0"/>
    <n v="0"/>
    <n v="6.4"/>
    <n v="1"/>
    <s v="UPW"/>
    <s v="UPW"/>
    <s v="Dr DY Patil Sports "/>
    <n v="129"/>
    <n v="6.62"/>
    <n v="27"/>
    <n v="23"/>
    <n v="52"/>
    <s v="Successful"/>
    <n v="1"/>
    <n v="23.5"/>
  </r>
  <r>
    <x v="14"/>
    <n v="1"/>
    <s v="P051"/>
    <x v="50"/>
    <x v="4"/>
    <s v="Batter"/>
    <s v="Top Order"/>
    <n v="12"/>
    <n v="16"/>
    <n v="75"/>
    <s v="caught"/>
    <n v="9"/>
    <n v="0"/>
    <n v="0"/>
    <n v="0"/>
    <n v="0"/>
    <n v="0"/>
    <n v="0"/>
    <n v="0"/>
    <n v="0"/>
    <n v="9"/>
    <n v="1"/>
    <s v="UPW"/>
    <s v="UPW"/>
    <s v="Dr DY Patil Sports "/>
    <n v="129"/>
    <n v="6.62"/>
    <n v="27"/>
    <n v="23"/>
    <n v="52"/>
    <s v="Successful"/>
    <n v="1"/>
    <n v="24.8"/>
  </r>
  <r>
    <x v="14"/>
    <n v="1"/>
    <s v="P047"/>
    <x v="46"/>
    <x v="4"/>
    <s v="Allrounder"/>
    <s v="Top Order"/>
    <n v="38"/>
    <n v="25"/>
    <n v="152"/>
    <s v="caught"/>
    <n v="57.76"/>
    <n v="0"/>
    <n v="0"/>
    <n v="0"/>
    <n v="0"/>
    <n v="0"/>
    <n v="0"/>
    <n v="0"/>
    <n v="0"/>
    <n v="57.76"/>
    <n v="6"/>
    <s v="UPW"/>
    <s v="UPW"/>
    <s v="Dr DY Patil Sports "/>
    <n v="129"/>
    <n v="6.62"/>
    <n v="27"/>
    <n v="23"/>
    <n v="52"/>
    <s v="Successful"/>
    <n v="1"/>
    <n v="50.68"/>
  </r>
  <r>
    <x v="14"/>
    <n v="1"/>
    <s v="P049"/>
    <x v="48"/>
    <x v="4"/>
    <s v="Allrounder"/>
    <s v="Middle Order"/>
    <n v="39"/>
    <n v="28"/>
    <n v="139.29"/>
    <s v="caught"/>
    <n v="54.32"/>
    <n v="2"/>
    <n v="0"/>
    <n v="15"/>
    <n v="0"/>
    <n v="7.5"/>
    <n v="0"/>
    <n v="0"/>
    <n v="0"/>
    <n v="54.32"/>
    <n v="5"/>
    <s v="UPW"/>
    <s v="UPW"/>
    <s v="Dr DY Patil Sports "/>
    <n v="129"/>
    <n v="6.62"/>
    <n v="27"/>
    <n v="23"/>
    <n v="52"/>
    <s v="Successful"/>
    <n v="1"/>
    <n v="48.66"/>
  </r>
  <r>
    <x v="14"/>
    <n v="1"/>
    <s v="P048"/>
    <x v="47"/>
    <x v="4"/>
    <s v="Batting Allrounder"/>
    <s v="Middle Order"/>
    <n v="13"/>
    <n v="14"/>
    <n v="92.86"/>
    <s v="not out"/>
    <n v="12.07"/>
    <n v="4"/>
    <n v="0"/>
    <n v="35"/>
    <n v="2"/>
    <n v="8.8000000000000007"/>
    <n v="40"/>
    <n v="0"/>
    <n v="0"/>
    <n v="52.07"/>
    <n v="5"/>
    <s v="UPW"/>
    <s v="UPW"/>
    <s v="Dr DY Patil Sports "/>
    <n v="129"/>
    <n v="6.62"/>
    <n v="27"/>
    <n v="23"/>
    <n v="52"/>
    <s v="Successful"/>
    <n v="1"/>
    <n v="47.534999999999997"/>
  </r>
  <r>
    <x v="14"/>
    <n v="1"/>
    <s v="P053"/>
    <x v="52"/>
    <x v="4"/>
    <s v="Bowler"/>
    <s v="Lower Order"/>
    <n v="16"/>
    <n v="17"/>
    <n v="94.12"/>
    <s v="not out"/>
    <n v="15.06"/>
    <n v="4"/>
    <n v="0"/>
    <n v="15"/>
    <n v="3"/>
    <n v="3.8"/>
    <n v="60"/>
    <n v="0"/>
    <n v="0"/>
    <n v="75.06"/>
    <n v="8"/>
    <s v="UPW"/>
    <s v="UPW"/>
    <s v="Dr DY Patil Sports "/>
    <n v="129"/>
    <n v="6.62"/>
    <n v="27"/>
    <n v="23"/>
    <n v="52"/>
    <s v="Successful"/>
    <n v="1"/>
    <n v="59.93"/>
  </r>
  <r>
    <x v="14"/>
    <n v="1"/>
    <s v="P050"/>
    <x v="49"/>
    <x v="4"/>
    <s v="Batter"/>
    <s v="DNB"/>
    <n v="0"/>
    <n v="0"/>
    <n v="0"/>
    <s v="DNB"/>
    <n v="0"/>
    <n v="0"/>
    <n v="0"/>
    <n v="0"/>
    <n v="0"/>
    <n v="0"/>
    <n v="0"/>
    <n v="0"/>
    <n v="0"/>
    <n v="0"/>
    <n v="0"/>
    <s v="UPW"/>
    <s v="UPW"/>
    <s v="Dr DY Patil Sports "/>
    <n v="129"/>
    <n v="6.62"/>
    <n v="27"/>
    <n v="23"/>
    <n v="52"/>
    <s v="Successful"/>
    <n v="1"/>
    <n v="20"/>
  </r>
  <r>
    <x v="14"/>
    <n v="1"/>
    <s v="P070"/>
    <x v="70"/>
    <x v="4"/>
    <s v="Batting Allrounder"/>
    <s v="DNB"/>
    <n v="0"/>
    <n v="0"/>
    <n v="0"/>
    <s v="DNB"/>
    <n v="0"/>
    <n v="4"/>
    <n v="0"/>
    <n v="35"/>
    <n v="0"/>
    <n v="8.8000000000000007"/>
    <n v="0"/>
    <n v="0"/>
    <n v="0"/>
    <n v="0"/>
    <n v="0"/>
    <s v="UPW"/>
    <s v="UPW"/>
    <s v="Dr DY Patil Sports "/>
    <n v="129"/>
    <n v="6.62"/>
    <n v="27"/>
    <n v="23"/>
    <n v="52"/>
    <s v="Successful"/>
    <n v="1"/>
    <n v="20"/>
  </r>
  <r>
    <x v="14"/>
    <n v="1"/>
    <s v="P054"/>
    <x v="53"/>
    <x v="4"/>
    <s v="Bowler"/>
    <s v="DNB"/>
    <n v="0"/>
    <n v="0"/>
    <n v="0"/>
    <s v="DNB"/>
    <n v="0"/>
    <n v="2"/>
    <n v="0"/>
    <n v="10"/>
    <n v="1"/>
    <n v="5"/>
    <n v="20"/>
    <n v="0"/>
    <n v="0"/>
    <n v="20"/>
    <n v="2"/>
    <s v="UPW"/>
    <s v="UPW"/>
    <s v="Dr DY Patil Sports "/>
    <n v="129"/>
    <n v="6.62"/>
    <n v="27"/>
    <n v="23"/>
    <n v="52"/>
    <s v="Successful"/>
    <n v="1"/>
    <n v="30.6"/>
  </r>
  <r>
    <x v="14"/>
    <n v="1"/>
    <s v="P055"/>
    <x v="54"/>
    <x v="4"/>
    <s v="Bowler"/>
    <s v="DNB"/>
    <n v="0"/>
    <n v="0"/>
    <n v="0"/>
    <s v="DNB"/>
    <n v="0"/>
    <n v="4"/>
    <n v="0"/>
    <n v="16"/>
    <n v="2"/>
    <n v="4"/>
    <n v="40"/>
    <n v="0"/>
    <n v="0"/>
    <n v="40"/>
    <n v="4"/>
    <s v="UPW"/>
    <s v="UPW"/>
    <s v="Dr DY Patil Sports "/>
    <n v="129"/>
    <n v="6.62"/>
    <n v="27"/>
    <n v="23"/>
    <n v="52"/>
    <s v="Successful"/>
    <n v="1"/>
    <n v="41.2"/>
  </r>
  <r>
    <x v="15"/>
    <n v="1"/>
    <s v="P056"/>
    <x v="55"/>
    <x v="0"/>
    <s v="Batter"/>
    <s v="Opener"/>
    <n v="16"/>
    <n v="10"/>
    <n v="160"/>
    <s v="bowled"/>
    <n v="25.6"/>
    <n v="0"/>
    <n v="0"/>
    <n v="0"/>
    <n v="0"/>
    <n v="0"/>
    <n v="0"/>
    <n v="0"/>
    <n v="0"/>
    <n v="25.6"/>
    <n v="3"/>
    <s v="RCBW"/>
    <s v="GGTW"/>
    <s v="Brabourne Stadium"/>
    <n v="188"/>
    <n v="9.4"/>
    <n v="45"/>
    <n v="53"/>
    <n v="45"/>
    <s v="NA"/>
    <n v="0"/>
    <n v="13.700000000000001"/>
  </r>
  <r>
    <x v="15"/>
    <n v="1"/>
    <s v="P066"/>
    <x v="65"/>
    <x v="0"/>
    <s v="Batter"/>
    <s v="Opener"/>
    <n v="68"/>
    <n v="42"/>
    <n v="161.9"/>
    <s v="caught"/>
    <n v="110.09"/>
    <n v="0"/>
    <n v="0"/>
    <n v="0"/>
    <n v="0"/>
    <n v="0"/>
    <n v="0"/>
    <n v="0"/>
    <n v="0"/>
    <n v="110.09"/>
    <n v="10"/>
    <s v="RCBW"/>
    <s v="GGTW"/>
    <s v="Brabourne Stadium"/>
    <n v="188"/>
    <n v="9.4"/>
    <n v="45"/>
    <n v="53"/>
    <n v="45"/>
    <s v="NA"/>
    <n v="0"/>
    <n v="58.045000000000002"/>
  </r>
  <r>
    <x v="15"/>
    <n v="1"/>
    <s v="P002"/>
    <x v="1"/>
    <x v="0"/>
    <s v="Batter"/>
    <s v="Top Order"/>
    <n v="31"/>
    <n v="32"/>
    <n v="96.88"/>
    <s v="stumped"/>
    <n v="30.03"/>
    <n v="0"/>
    <n v="0"/>
    <n v="0"/>
    <n v="0"/>
    <n v="0"/>
    <n v="0"/>
    <n v="0"/>
    <n v="0"/>
    <n v="30.03"/>
    <n v="3"/>
    <s v="RCBW"/>
    <s v="GGTW"/>
    <s v="Brabourne Stadium"/>
    <n v="188"/>
    <n v="9.4"/>
    <n v="45"/>
    <n v="53"/>
    <n v="45"/>
    <s v="NA"/>
    <n v="0"/>
    <n v="15.915000000000001"/>
  </r>
  <r>
    <x v="15"/>
    <n v="1"/>
    <s v="P004"/>
    <x v="3"/>
    <x v="0"/>
    <s v="Batting Allrounder"/>
    <s v="Middle Order"/>
    <n v="41"/>
    <n v="26"/>
    <n v="157.69"/>
    <s v="lbw"/>
    <n v="64.650000000000006"/>
    <n v="3"/>
    <n v="0"/>
    <n v="48"/>
    <n v="0"/>
    <n v="16"/>
    <n v="0"/>
    <n v="0"/>
    <n v="0"/>
    <n v="64.650000000000006"/>
    <n v="6"/>
    <s v="RCBW"/>
    <s v="GGTW"/>
    <s v="Brabourne Stadium"/>
    <n v="188"/>
    <n v="9.4"/>
    <n v="45"/>
    <n v="53"/>
    <n v="45"/>
    <s v="NA"/>
    <n v="0"/>
    <n v="34.125"/>
  </r>
  <r>
    <x v="15"/>
    <n v="1"/>
    <s v="P006"/>
    <x v="5"/>
    <x v="0"/>
    <s v="Batter"/>
    <s v="Middle Order"/>
    <n v="16"/>
    <n v="6"/>
    <n v="266.67"/>
    <s v="not out"/>
    <n v="42.67"/>
    <n v="0"/>
    <n v="0"/>
    <n v="0"/>
    <n v="0"/>
    <n v="0"/>
    <n v="0"/>
    <n v="0"/>
    <n v="0"/>
    <n v="42.67"/>
    <n v="4"/>
    <s v="RCBW"/>
    <s v="GGTW"/>
    <s v="Brabourne Stadium"/>
    <n v="188"/>
    <n v="9.4"/>
    <n v="45"/>
    <n v="53"/>
    <n v="45"/>
    <s v="NA"/>
    <n v="0"/>
    <n v="22.535"/>
  </r>
  <r>
    <x v="15"/>
    <n v="1"/>
    <s v="P003"/>
    <x v="2"/>
    <x v="0"/>
    <s v="Batting Allrounder"/>
    <s v="Middle Order"/>
    <n v="12"/>
    <n v="5"/>
    <n v="240"/>
    <s v="not out"/>
    <n v="28.8"/>
    <n v="1"/>
    <n v="0"/>
    <n v="10"/>
    <n v="0"/>
    <n v="10"/>
    <n v="0"/>
    <n v="0"/>
    <n v="0"/>
    <n v="28.8"/>
    <n v="3"/>
    <s v="RCBW"/>
    <s v="GGTW"/>
    <s v="Brabourne Stadium"/>
    <n v="188"/>
    <n v="9.4"/>
    <n v="45"/>
    <n v="53"/>
    <n v="45"/>
    <s v="NA"/>
    <n v="0"/>
    <n v="15.3"/>
  </r>
  <r>
    <x v="15"/>
    <n v="1"/>
    <s v="P057"/>
    <x v="56"/>
    <x v="0"/>
    <s v="WK-Batter"/>
    <s v="DNB"/>
    <n v="0"/>
    <n v="0"/>
    <n v="0"/>
    <s v="DNB"/>
    <n v="0"/>
    <n v="0"/>
    <n v="0"/>
    <n v="0"/>
    <n v="0"/>
    <n v="0"/>
    <n v="0"/>
    <n v="0"/>
    <n v="0"/>
    <n v="0"/>
    <n v="0"/>
    <s v="RCBW"/>
    <s v="GGTW"/>
    <s v="Brabourne Stadium"/>
    <n v="188"/>
    <n v="9.4"/>
    <n v="45"/>
    <n v="53"/>
    <n v="45"/>
    <s v="NA"/>
    <n v="0"/>
    <n v="0"/>
  </r>
  <r>
    <x v="15"/>
    <n v="1"/>
    <s v="P058"/>
    <x v="57"/>
    <x v="0"/>
    <s v="Bowler"/>
    <s v="DNB"/>
    <n v="0"/>
    <n v="0"/>
    <n v="0"/>
    <s v="DNB"/>
    <n v="0"/>
    <n v="4"/>
    <n v="0"/>
    <n v="32"/>
    <n v="1"/>
    <n v="8"/>
    <n v="20"/>
    <n v="0"/>
    <n v="0"/>
    <n v="20"/>
    <n v="2"/>
    <s v="RCBW"/>
    <s v="GGTW"/>
    <s v="Brabourne Stadium"/>
    <n v="188"/>
    <n v="9.4"/>
    <n v="45"/>
    <n v="53"/>
    <n v="45"/>
    <s v="NA"/>
    <n v="0"/>
    <n v="10.6"/>
  </r>
  <r>
    <x v="15"/>
    <n v="1"/>
    <s v="P008"/>
    <x v="7"/>
    <x v="0"/>
    <s v="Bowler"/>
    <s v="DNB"/>
    <n v="0"/>
    <n v="0"/>
    <n v="0"/>
    <s v="DNB"/>
    <n v="0"/>
    <n v="3.3"/>
    <n v="0"/>
    <n v="25"/>
    <n v="1"/>
    <n v="7.1"/>
    <n v="20"/>
    <n v="0"/>
    <n v="0"/>
    <n v="20"/>
    <n v="2"/>
    <s v="RCBW"/>
    <s v="GGTW"/>
    <s v="Brabourne Stadium"/>
    <n v="188"/>
    <n v="9.4"/>
    <n v="45"/>
    <n v="53"/>
    <n v="45"/>
    <s v="NA"/>
    <n v="0"/>
    <n v="10.6"/>
  </r>
  <r>
    <x v="15"/>
    <n v="1"/>
    <s v="P009"/>
    <x v="8"/>
    <x v="0"/>
    <s v="Bowler"/>
    <s v="DNB"/>
    <n v="0"/>
    <n v="0"/>
    <n v="0"/>
    <s v="DNB"/>
    <n v="0"/>
    <n v="3"/>
    <n v="0"/>
    <n v="50"/>
    <n v="0"/>
    <n v="16.7"/>
    <n v="0"/>
    <n v="0"/>
    <n v="0"/>
    <n v="0"/>
    <n v="0"/>
    <s v="RCBW"/>
    <s v="GGTW"/>
    <s v="Brabourne Stadium"/>
    <n v="188"/>
    <n v="9.4"/>
    <n v="45"/>
    <n v="53"/>
    <n v="45"/>
    <s v="NA"/>
    <n v="0"/>
    <n v="0"/>
  </r>
  <r>
    <x v="15"/>
    <n v="1"/>
    <s v="P069"/>
    <x v="68"/>
    <x v="0"/>
    <s v="Batting Allrounder"/>
    <s v="DNB"/>
    <n v="0"/>
    <n v="0"/>
    <n v="0"/>
    <s v="DNB"/>
    <n v="0"/>
    <n v="1"/>
    <n v="0"/>
    <n v="18"/>
    <n v="0"/>
    <n v="18"/>
    <n v="0"/>
    <n v="0"/>
    <n v="0"/>
    <n v="0"/>
    <n v="0"/>
    <s v="RCBW"/>
    <s v="GGTW"/>
    <s v="Brabourne Stadium"/>
    <n v="188"/>
    <n v="9.4"/>
    <n v="45"/>
    <n v="53"/>
    <n v="45"/>
    <s v="NA"/>
    <n v="0"/>
    <n v="0"/>
  </r>
  <r>
    <x v="15"/>
    <n v="1"/>
    <s v="P023"/>
    <x v="22"/>
    <x v="2"/>
    <s v="Batter"/>
    <s v="Opener"/>
    <n v="37"/>
    <n v="31"/>
    <n v="119.35"/>
    <s v="caught"/>
    <n v="44.14"/>
    <n v="0"/>
    <n v="0"/>
    <n v="0"/>
    <n v="0"/>
    <n v="0"/>
    <n v="0"/>
    <n v="0"/>
    <n v="0"/>
    <n v="44.14"/>
    <n v="4"/>
    <s v="RCBW"/>
    <s v="GGTW"/>
    <s v="Brabourne Stadium"/>
    <n v="189"/>
    <n v="12.19"/>
    <n v="77"/>
    <n v="0"/>
    <n v="28"/>
    <s v="Successful"/>
    <n v="1"/>
    <n v="43.269999999999996"/>
  </r>
  <r>
    <x v="15"/>
    <n v="1"/>
    <s v="P024"/>
    <x v="23"/>
    <x v="2"/>
    <s v="Allrounder"/>
    <s v="Opener"/>
    <n v="99"/>
    <n v="36"/>
    <n v="275"/>
    <s v="caught"/>
    <n v="272.25"/>
    <n v="3"/>
    <n v="0"/>
    <n v="23"/>
    <n v="1"/>
    <n v="7.7"/>
    <n v="20"/>
    <n v="0"/>
    <n v="0"/>
    <n v="292.25"/>
    <n v="10"/>
    <s v="RCBW"/>
    <s v="GGTW"/>
    <s v="Brabourne Stadium"/>
    <n v="189"/>
    <n v="12.19"/>
    <n v="77"/>
    <n v="0"/>
    <n v="28"/>
    <s v="Successful"/>
    <n v="1"/>
    <n v="169.125"/>
  </r>
  <r>
    <x v="15"/>
    <n v="1"/>
    <s v="P027"/>
    <x v="26"/>
    <x v="2"/>
    <s v="Batting Allrounder"/>
    <s v="Middle Order"/>
    <n v="19"/>
    <n v="12"/>
    <n v="158.33000000000001"/>
    <s v="not out"/>
    <n v="30.08"/>
    <n v="3"/>
    <n v="0"/>
    <n v="25"/>
    <n v="0"/>
    <n v="8.3000000000000007"/>
    <n v="0"/>
    <n v="0"/>
    <n v="0"/>
    <n v="30.08"/>
    <n v="3"/>
    <s v="RCBW"/>
    <s v="GGTW"/>
    <s v="Brabourne Stadium"/>
    <n v="189"/>
    <n v="12.19"/>
    <n v="77"/>
    <n v="0"/>
    <n v="28"/>
    <s v="Successful"/>
    <n v="1"/>
    <n v="35.94"/>
  </r>
  <r>
    <x v="15"/>
    <n v="1"/>
    <s v="P025"/>
    <x v="24"/>
    <x v="2"/>
    <s v="Batting Allrounder"/>
    <s v="Middle Order"/>
    <n v="22"/>
    <n v="15"/>
    <n v="146.66999999999999"/>
    <s v="not out"/>
    <n v="32.270000000000003"/>
    <n v="1"/>
    <n v="0"/>
    <n v="12"/>
    <n v="0"/>
    <n v="12"/>
    <n v="0"/>
    <n v="0"/>
    <n v="0"/>
    <n v="32.270000000000003"/>
    <n v="3"/>
    <s v="RCBW"/>
    <s v="GGTW"/>
    <s v="Brabourne Stadium"/>
    <n v="189"/>
    <n v="12.19"/>
    <n v="77"/>
    <n v="0"/>
    <n v="28"/>
    <s v="Successful"/>
    <n v="1"/>
    <n v="37.034999999999997"/>
  </r>
  <r>
    <x v="15"/>
    <n v="1"/>
    <s v="P028"/>
    <x v="27"/>
    <x v="2"/>
    <s v="WK-Batter"/>
    <s v="DNB"/>
    <n v="0"/>
    <n v="0"/>
    <n v="0"/>
    <s v="DNB"/>
    <n v="0"/>
    <n v="0"/>
    <n v="0"/>
    <n v="0"/>
    <n v="0"/>
    <n v="0"/>
    <n v="0"/>
    <n v="0"/>
    <n v="0"/>
    <n v="0"/>
    <n v="0"/>
    <s v="RCBW"/>
    <s v="GGTW"/>
    <s v="Brabourne Stadium"/>
    <n v="189"/>
    <n v="12.19"/>
    <n v="77"/>
    <n v="0"/>
    <n v="28"/>
    <s v="Successful"/>
    <n v="1"/>
    <n v="20"/>
  </r>
  <r>
    <x v="15"/>
    <n v="1"/>
    <s v="P029"/>
    <x v="28"/>
    <x v="2"/>
    <s v="Batting Allrounder"/>
    <s v="DNB"/>
    <n v="0"/>
    <n v="0"/>
    <n v="0"/>
    <s v="DNB"/>
    <n v="0"/>
    <n v="0"/>
    <n v="0"/>
    <n v="0"/>
    <n v="0"/>
    <n v="0"/>
    <n v="0"/>
    <n v="0"/>
    <n v="0"/>
    <n v="0"/>
    <n v="0"/>
    <s v="RCBW"/>
    <s v="GGTW"/>
    <s v="Brabourne Stadium"/>
    <n v="189"/>
    <n v="12.19"/>
    <n v="77"/>
    <n v="0"/>
    <n v="28"/>
    <s v="Successful"/>
    <n v="1"/>
    <n v="20"/>
  </r>
  <r>
    <x v="15"/>
    <n v="1"/>
    <s v="P059"/>
    <x v="58"/>
    <x v="2"/>
    <s v="Bowling Allrounder"/>
    <s v="DNB"/>
    <n v="0"/>
    <n v="0"/>
    <n v="0"/>
    <s v="DNB"/>
    <n v="0"/>
    <n v="2"/>
    <n v="0"/>
    <n v="17"/>
    <n v="2"/>
    <n v="8.5"/>
    <n v="40"/>
    <n v="0"/>
    <n v="0"/>
    <n v="40"/>
    <n v="4"/>
    <s v="RCBW"/>
    <s v="GGTW"/>
    <s v="Brabourne Stadium"/>
    <n v="189"/>
    <n v="12.19"/>
    <n v="77"/>
    <n v="0"/>
    <n v="28"/>
    <s v="Successful"/>
    <n v="1"/>
    <n v="41.2"/>
  </r>
  <r>
    <x v="15"/>
    <n v="1"/>
    <s v="P026"/>
    <x v="25"/>
    <x v="2"/>
    <s v="Batter"/>
    <s v="DNB"/>
    <n v="0"/>
    <n v="0"/>
    <n v="0"/>
    <s v="DNB"/>
    <n v="0"/>
    <n v="0"/>
    <n v="0"/>
    <n v="0"/>
    <n v="0"/>
    <n v="0"/>
    <n v="0"/>
    <n v="0"/>
    <n v="0"/>
    <n v="0"/>
    <n v="0"/>
    <s v="RCBW"/>
    <s v="GGTW"/>
    <s v="Brabourne Stadium"/>
    <n v="189"/>
    <n v="12.19"/>
    <n v="77"/>
    <n v="0"/>
    <n v="28"/>
    <s v="Successful"/>
    <n v="1"/>
    <n v="20"/>
  </r>
  <r>
    <x v="15"/>
    <n v="1"/>
    <s v="P032"/>
    <x v="31"/>
    <x v="2"/>
    <s v="Bowler"/>
    <s v="DNB"/>
    <n v="0"/>
    <n v="0"/>
    <n v="0"/>
    <s v="DNB"/>
    <n v="0"/>
    <n v="4"/>
    <n v="0"/>
    <n v="53"/>
    <n v="0"/>
    <n v="13.2"/>
    <n v="0"/>
    <n v="0"/>
    <n v="0"/>
    <n v="0"/>
    <n v="0"/>
    <s v="RCBW"/>
    <s v="GGTW"/>
    <s v="Brabourne Stadium"/>
    <n v="189"/>
    <n v="12.19"/>
    <n v="77"/>
    <n v="0"/>
    <n v="28"/>
    <s v="Successful"/>
    <n v="1"/>
    <n v="20"/>
  </r>
  <r>
    <x v="15"/>
    <n v="1"/>
    <s v="P030"/>
    <x v="29"/>
    <x v="2"/>
    <s v="Bowling Allrounder"/>
    <s v="DNB"/>
    <n v="0"/>
    <n v="0"/>
    <n v="0"/>
    <s v="DNB"/>
    <n v="0"/>
    <n v="4"/>
    <n v="0"/>
    <n v="35"/>
    <n v="0"/>
    <n v="8.8000000000000007"/>
    <n v="0"/>
    <n v="0"/>
    <n v="0"/>
    <n v="0"/>
    <n v="0"/>
    <s v="RCBW"/>
    <s v="GGTW"/>
    <s v="Brabourne Stadium"/>
    <n v="189"/>
    <n v="12.19"/>
    <n v="77"/>
    <n v="0"/>
    <n v="28"/>
    <s v="Successful"/>
    <n v="1"/>
    <n v="20"/>
  </r>
  <r>
    <x v="15"/>
    <n v="1"/>
    <s v="P031"/>
    <x v="30"/>
    <x v="2"/>
    <s v="Bowler"/>
    <s v="DNB"/>
    <n v="0"/>
    <n v="0"/>
    <n v="0"/>
    <s v="DNB"/>
    <n v="0"/>
    <n v="3"/>
    <n v="0"/>
    <n v="23"/>
    <n v="1"/>
    <n v="7.7"/>
    <n v="20"/>
    <n v="0"/>
    <n v="0"/>
    <n v="20"/>
    <n v="2"/>
    <s v="RCBW"/>
    <s v="GGTW"/>
    <s v="Brabourne Stadium"/>
    <n v="189"/>
    <n v="12.19"/>
    <n v="77"/>
    <n v="0"/>
    <n v="28"/>
    <s v="Successful"/>
    <n v="1"/>
    <n v="30.6"/>
  </r>
  <r>
    <x v="16"/>
    <n v="1"/>
    <s v="P056"/>
    <x v="55"/>
    <x v="0"/>
    <s v="Batting Allrounder"/>
    <s v="Opener"/>
    <n v="23"/>
    <n v="13"/>
    <n v="176.92"/>
    <s v="caught"/>
    <n v="40.69"/>
    <n v="0"/>
    <n v="0"/>
    <n v="0"/>
    <n v="0"/>
    <n v="0"/>
    <n v="0"/>
    <n v="0"/>
    <n v="0"/>
    <n v="40.69"/>
    <n v="4"/>
    <s v="UPW"/>
    <s v="GGTW"/>
    <s v="Brabourne Stadium"/>
    <n v="178"/>
    <n v="8.9"/>
    <n v="50"/>
    <n v="35"/>
    <n v="44"/>
    <s v="NA"/>
    <n v="0"/>
    <n v="21.544999999999998"/>
  </r>
  <r>
    <x v="16"/>
    <n v="1"/>
    <s v="P066"/>
    <x v="65"/>
    <x v="0"/>
    <s v="Batter"/>
    <s v="Opener"/>
    <n v="17"/>
    <n v="13"/>
    <n v="130.77000000000001"/>
    <s v="bowled"/>
    <n v="22.23"/>
    <n v="0"/>
    <n v="0"/>
    <n v="0"/>
    <n v="0"/>
    <n v="0"/>
    <n v="0"/>
    <n v="0"/>
    <n v="0"/>
    <n v="22.23"/>
    <n v="2"/>
    <s v="UPW"/>
    <s v="GGTW"/>
    <s v="Brabourne Stadium"/>
    <n v="178"/>
    <n v="8.9"/>
    <n v="50"/>
    <n v="35"/>
    <n v="44"/>
    <s v="NA"/>
    <n v="0"/>
    <n v="11.715"/>
  </r>
  <r>
    <x v="16"/>
    <n v="1"/>
    <s v="P003"/>
    <x v="2"/>
    <x v="0"/>
    <s v="Batting Allrounder"/>
    <s v="Top Order"/>
    <n v="4"/>
    <n v="7"/>
    <n v="57.14"/>
    <s v="caught"/>
    <n v="2.29"/>
    <n v="1"/>
    <n v="0"/>
    <n v="17"/>
    <n v="0"/>
    <n v="17"/>
    <n v="0"/>
    <n v="0"/>
    <n v="0"/>
    <n v="2.29"/>
    <n v="0"/>
    <s v="UPW"/>
    <s v="GGTW"/>
    <s v="Brabourne Stadium"/>
    <n v="178"/>
    <n v="8.9"/>
    <n v="50"/>
    <n v="35"/>
    <n v="44"/>
    <s v="NA"/>
    <n v="0"/>
    <n v="1.145"/>
  </r>
  <r>
    <x v="16"/>
    <n v="1"/>
    <s v="P006"/>
    <x v="5"/>
    <x v="0"/>
    <s v="Batter"/>
    <s v="Middle Order"/>
    <n v="57"/>
    <n v="33"/>
    <n v="172.73"/>
    <s v="caught"/>
    <n v="98.46"/>
    <n v="0"/>
    <n v="0"/>
    <n v="0"/>
    <n v="0"/>
    <n v="0"/>
    <n v="0"/>
    <n v="0"/>
    <n v="0"/>
    <n v="98.46"/>
    <n v="10"/>
    <s v="UPW"/>
    <s v="GGTW"/>
    <s v="Brabourne Stadium"/>
    <n v="178"/>
    <n v="8.9"/>
    <n v="50"/>
    <n v="35"/>
    <n v="44"/>
    <s v="NA"/>
    <n v="0"/>
    <n v="52.23"/>
  </r>
  <r>
    <x v="16"/>
    <n v="1"/>
    <s v="P004"/>
    <x v="3"/>
    <x v="0"/>
    <s v="Batting Allrounder"/>
    <s v="Middle Order"/>
    <n v="60"/>
    <n v="39"/>
    <n v="153.85"/>
    <s v="stumped"/>
    <n v="92.31"/>
    <n v="4"/>
    <n v="0"/>
    <n v="29"/>
    <n v="1"/>
    <n v="7.2"/>
    <n v="20"/>
    <n v="0"/>
    <n v="0"/>
    <n v="112.31"/>
    <n v="10"/>
    <s v="UPW"/>
    <s v="GGTW"/>
    <s v="Brabourne Stadium"/>
    <n v="178"/>
    <n v="8.9"/>
    <n v="50"/>
    <n v="35"/>
    <n v="44"/>
    <s v="NA"/>
    <n v="0"/>
    <n v="59.155000000000001"/>
  </r>
  <r>
    <x v="16"/>
    <n v="1"/>
    <s v="P057"/>
    <x v="56"/>
    <x v="0"/>
    <s v="WK-Batter"/>
    <s v="Middle Order"/>
    <n v="8"/>
    <n v="9"/>
    <n v="88.89"/>
    <s v="not out"/>
    <n v="7.11"/>
    <n v="0"/>
    <n v="0"/>
    <n v="0"/>
    <n v="0"/>
    <n v="0"/>
    <n v="0"/>
    <n v="0"/>
    <n v="0"/>
    <n v="7.11"/>
    <n v="1"/>
    <s v="UPW"/>
    <s v="GGTW"/>
    <s v="Brabourne Stadium"/>
    <n v="178"/>
    <n v="8.9"/>
    <n v="50"/>
    <n v="35"/>
    <n v="44"/>
    <s v="NA"/>
    <n v="0"/>
    <n v="3.855"/>
  </r>
  <r>
    <x v="16"/>
    <n v="1"/>
    <s v="P069"/>
    <x v="68"/>
    <x v="0"/>
    <s v="Batting Allrounder"/>
    <s v="Lower Order"/>
    <n v="5"/>
    <n v="5"/>
    <n v="100"/>
    <s v="lbw"/>
    <n v="5"/>
    <n v="0"/>
    <n v="0"/>
    <n v="0"/>
    <n v="0"/>
    <n v="0"/>
    <n v="0"/>
    <n v="0"/>
    <n v="0"/>
    <n v="5"/>
    <n v="1"/>
    <s v="UPW"/>
    <s v="GGTW"/>
    <s v="Brabourne Stadium"/>
    <n v="178"/>
    <n v="8.9"/>
    <n v="50"/>
    <n v="35"/>
    <n v="44"/>
    <s v="NA"/>
    <n v="0"/>
    <n v="2.8"/>
  </r>
  <r>
    <x v="16"/>
    <n v="1"/>
    <s v="P058"/>
    <x v="57"/>
    <x v="0"/>
    <s v="Batter"/>
    <s v="Lower Order"/>
    <n v="1"/>
    <n v="1"/>
    <n v="100"/>
    <s v="not out"/>
    <n v="1"/>
    <n v="4"/>
    <n v="0"/>
    <n v="29"/>
    <n v="2"/>
    <n v="7.2"/>
    <n v="40"/>
    <n v="0"/>
    <n v="0"/>
    <n v="41"/>
    <n v="4"/>
    <s v="UPW"/>
    <s v="GGTW"/>
    <s v="Brabourne Stadium"/>
    <n v="178"/>
    <n v="8.9"/>
    <n v="50"/>
    <n v="35"/>
    <n v="44"/>
    <s v="NA"/>
    <n v="0"/>
    <n v="21.7"/>
  </r>
  <r>
    <x v="16"/>
    <n v="1"/>
    <s v="P008"/>
    <x v="7"/>
    <x v="0"/>
    <s v="Bowler"/>
    <s v="DNB"/>
    <n v="0"/>
    <n v="0"/>
    <n v="0"/>
    <s v="DNB"/>
    <n v="0"/>
    <n v="3.5"/>
    <n v="0"/>
    <n v="47"/>
    <n v="1"/>
    <n v="12.3"/>
    <n v="20"/>
    <n v="0"/>
    <n v="0"/>
    <n v="20"/>
    <n v="2"/>
    <s v="UPW"/>
    <s v="GGTW"/>
    <s v="Brabourne Stadium"/>
    <n v="178"/>
    <n v="8.9"/>
    <n v="50"/>
    <n v="35"/>
    <n v="44"/>
    <s v="NA"/>
    <n v="0"/>
    <n v="10.6"/>
  </r>
  <r>
    <x v="16"/>
    <n v="1"/>
    <s v="P010"/>
    <x v="9"/>
    <x v="0"/>
    <s v="Bowler"/>
    <s v="DNB"/>
    <n v="0"/>
    <n v="0"/>
    <n v="0"/>
    <s v="DNB"/>
    <n v="0"/>
    <n v="3"/>
    <n v="0"/>
    <n v="27"/>
    <n v="1"/>
    <n v="9"/>
    <n v="20"/>
    <n v="0"/>
    <n v="0"/>
    <n v="20"/>
    <n v="2"/>
    <s v="UPW"/>
    <s v="GGTW"/>
    <s v="Brabourne Stadium"/>
    <n v="178"/>
    <n v="8.9"/>
    <n v="50"/>
    <n v="35"/>
    <n v="44"/>
    <s v="NA"/>
    <n v="0"/>
    <n v="10.6"/>
  </r>
  <r>
    <x v="16"/>
    <n v="1"/>
    <s v="P009"/>
    <x v="8"/>
    <x v="0"/>
    <s v="Bowler"/>
    <s v="DNB"/>
    <n v="0"/>
    <n v="0"/>
    <n v="0"/>
    <s v="DNB"/>
    <n v="0"/>
    <n v="4"/>
    <n v="0"/>
    <n v="32"/>
    <n v="1"/>
    <n v="8"/>
    <n v="20"/>
    <n v="0"/>
    <n v="0"/>
    <n v="20"/>
    <n v="2"/>
    <s v="UPW"/>
    <s v="GGTW"/>
    <s v="Brabourne Stadium"/>
    <n v="178"/>
    <n v="8.9"/>
    <n v="50"/>
    <n v="35"/>
    <n v="44"/>
    <s v="NA"/>
    <n v="0"/>
    <n v="10.6"/>
  </r>
  <r>
    <x v="16"/>
    <n v="1"/>
    <s v="P052"/>
    <x v="51"/>
    <x v="4"/>
    <s v="Batter"/>
    <s v="Opener"/>
    <n v="7"/>
    <n v="8"/>
    <n v="87.5"/>
    <s v="stumped"/>
    <n v="6.13"/>
    <n v="0"/>
    <n v="0"/>
    <n v="0"/>
    <n v="0"/>
    <n v="0"/>
    <n v="0"/>
    <n v="0"/>
    <n v="0"/>
    <n v="6.13"/>
    <n v="1"/>
    <s v="UPW"/>
    <s v="GGTW"/>
    <s v="Brabourne Stadium"/>
    <n v="181"/>
    <n v="9.1300000000000008"/>
    <n v="52"/>
    <n v="43"/>
    <n v="44"/>
    <s v="Successful"/>
    <n v="1"/>
    <n v="23.364999999999998"/>
  </r>
  <r>
    <x v="16"/>
    <n v="1"/>
    <s v="P045"/>
    <x v="44"/>
    <x v="4"/>
    <s v="WK-Batter"/>
    <s v="Opener"/>
    <n v="12"/>
    <n v="8"/>
    <n v="150"/>
    <s v="caught"/>
    <n v="18"/>
    <n v="0"/>
    <n v="0"/>
    <n v="0"/>
    <n v="0"/>
    <n v="0"/>
    <n v="0"/>
    <n v="0"/>
    <n v="0"/>
    <n v="18"/>
    <n v="2"/>
    <s v="UPW"/>
    <s v="GGTW"/>
    <s v="Brabourne Stadium"/>
    <n v="181"/>
    <n v="9.1300000000000008"/>
    <n v="52"/>
    <n v="43"/>
    <n v="44"/>
    <s v="Successful"/>
    <n v="1"/>
    <n v="29.6"/>
  </r>
  <r>
    <x v="16"/>
    <n v="1"/>
    <s v="P051"/>
    <x v="50"/>
    <x v="4"/>
    <s v="Batter"/>
    <s v="Top Order"/>
    <n v="4"/>
    <n v="4"/>
    <n v="100"/>
    <s v="caught"/>
    <n v="4"/>
    <n v="0"/>
    <n v="0"/>
    <n v="0"/>
    <n v="0"/>
    <n v="0"/>
    <n v="0"/>
    <n v="0"/>
    <n v="0"/>
    <n v="4"/>
    <n v="0"/>
    <s v="UPW"/>
    <s v="GGTW"/>
    <s v="Brabourne Stadium"/>
    <n v="181"/>
    <n v="9.1300000000000008"/>
    <n v="52"/>
    <n v="43"/>
    <n v="44"/>
    <s v="Successful"/>
    <n v="1"/>
    <n v="22"/>
  </r>
  <r>
    <x v="16"/>
    <n v="1"/>
    <s v="P047"/>
    <x v="46"/>
    <x v="4"/>
    <s v="Batting Allrounder"/>
    <s v="Top Order"/>
    <n v="57"/>
    <n v="38"/>
    <n v="150"/>
    <s v="caught"/>
    <n v="85.5"/>
    <n v="0"/>
    <n v="0"/>
    <n v="0"/>
    <n v="0"/>
    <n v="0"/>
    <n v="0"/>
    <n v="0"/>
    <n v="0"/>
    <n v="85.5"/>
    <n v="9"/>
    <s v="UPW"/>
    <s v="GGTW"/>
    <s v="Brabourne Stadium"/>
    <n v="181"/>
    <n v="9.1300000000000008"/>
    <n v="52"/>
    <n v="43"/>
    <n v="44"/>
    <s v="Successful"/>
    <n v="1"/>
    <n v="65.45"/>
  </r>
  <r>
    <x v="16"/>
    <n v="1"/>
    <s v="P049"/>
    <x v="48"/>
    <x v="4"/>
    <s v="Batting Allrounder"/>
    <s v="Middle Order"/>
    <n v="72"/>
    <n v="41"/>
    <n v="175.61"/>
    <s v="caught"/>
    <n v="126.44"/>
    <n v="1"/>
    <n v="0"/>
    <n v="11"/>
    <n v="0"/>
    <n v="11"/>
    <n v="0"/>
    <n v="0"/>
    <n v="0"/>
    <n v="126.44"/>
    <n v="10"/>
    <s v="UPW"/>
    <s v="GGTW"/>
    <s v="Brabourne Stadium"/>
    <n v="181"/>
    <n v="9.1300000000000008"/>
    <n v="52"/>
    <n v="43"/>
    <n v="44"/>
    <s v="Successful"/>
    <n v="1"/>
    <n v="86.22"/>
  </r>
  <r>
    <x v="16"/>
    <n v="1"/>
    <s v="P048"/>
    <x v="47"/>
    <x v="4"/>
    <s v="Batting Allrounder"/>
    <s v="Middle Order"/>
    <n v="6"/>
    <n v="5"/>
    <n v="120"/>
    <s v="caught"/>
    <n v="7.2"/>
    <n v="4"/>
    <n v="0"/>
    <n v="49"/>
    <n v="0"/>
    <n v="12.2"/>
    <n v="0"/>
    <n v="0"/>
    <n v="0"/>
    <n v="7.2"/>
    <n v="1"/>
    <s v="UPW"/>
    <s v="GGTW"/>
    <s v="Brabourne Stadium"/>
    <n v="181"/>
    <n v="9.1300000000000008"/>
    <n v="52"/>
    <n v="43"/>
    <n v="44"/>
    <s v="Successful"/>
    <n v="1"/>
    <n v="23.9"/>
  </r>
  <r>
    <x v="16"/>
    <n v="1"/>
    <s v="P053"/>
    <x v="52"/>
    <x v="4"/>
    <s v="Bowler"/>
    <s v="Middle Order"/>
    <n v="19"/>
    <n v="13"/>
    <n v="146.15"/>
    <s v="not out"/>
    <n v="27.77"/>
    <n v="4"/>
    <n v="0"/>
    <n v="27"/>
    <n v="1"/>
    <n v="6.8"/>
    <n v="20"/>
    <n v="0"/>
    <n v="0"/>
    <n v="47.77"/>
    <n v="5"/>
    <s v="UPW"/>
    <s v="GGTW"/>
    <s v="Brabourne Stadium"/>
    <n v="181"/>
    <n v="9.1300000000000008"/>
    <n v="52"/>
    <n v="43"/>
    <n v="44"/>
    <s v="Successful"/>
    <n v="1"/>
    <n v="45.385000000000005"/>
  </r>
  <r>
    <x v="16"/>
    <n v="1"/>
    <s v="P050"/>
    <x v="49"/>
    <x v="4"/>
    <s v="Batter"/>
    <s v="Lower Order"/>
    <n v="1"/>
    <n v="2"/>
    <n v="50"/>
    <s v="run out"/>
    <n v="0.5"/>
    <n v="0"/>
    <n v="0"/>
    <n v="0"/>
    <n v="0"/>
    <n v="0"/>
    <n v="0"/>
    <n v="0"/>
    <n v="1"/>
    <n v="1.5"/>
    <n v="0"/>
    <s v="UPW"/>
    <s v="GGTW"/>
    <s v="Brabourne Stadium"/>
    <n v="181"/>
    <n v="9.1300000000000008"/>
    <n v="52"/>
    <n v="43"/>
    <n v="44"/>
    <s v="Successful"/>
    <n v="1"/>
    <n v="20.75"/>
  </r>
  <r>
    <x v="16"/>
    <n v="1"/>
    <s v="P054"/>
    <x v="53"/>
    <x v="4"/>
    <s v="Bowler"/>
    <s v="Lower Order"/>
    <n v="0"/>
    <n v="0"/>
    <n v="0"/>
    <s v="not out"/>
    <n v="0"/>
    <n v="3"/>
    <n v="0"/>
    <n v="21"/>
    <n v="1"/>
    <n v="7"/>
    <n v="20"/>
    <n v="0"/>
    <n v="0"/>
    <n v="20"/>
    <n v="2"/>
    <s v="UPW"/>
    <s v="GGTW"/>
    <s v="Brabourne Stadium"/>
    <n v="181"/>
    <n v="9.1300000000000008"/>
    <n v="52"/>
    <n v="43"/>
    <n v="44"/>
    <s v="Successful"/>
    <n v="1"/>
    <n v="30.6"/>
  </r>
  <r>
    <x v="16"/>
    <n v="1"/>
    <s v="P070"/>
    <x v="70"/>
    <x v="4"/>
    <s v="Bowling Allrounder"/>
    <s v="DNB"/>
    <n v="0"/>
    <n v="0"/>
    <n v="0"/>
    <s v="DNB"/>
    <n v="0"/>
    <n v="4"/>
    <n v="0"/>
    <n v="29"/>
    <n v="2"/>
    <n v="7.2"/>
    <n v="40"/>
    <n v="0"/>
    <n v="0"/>
    <n v="40"/>
    <n v="4"/>
    <s v="UPW"/>
    <s v="GGTW"/>
    <s v="Brabourne Stadium"/>
    <n v="181"/>
    <n v="9.1300000000000008"/>
    <n v="52"/>
    <n v="43"/>
    <n v="44"/>
    <s v="Successful"/>
    <n v="1"/>
    <n v="41.2"/>
  </r>
  <r>
    <x v="16"/>
    <n v="1"/>
    <s v="P055"/>
    <x v="54"/>
    <x v="4"/>
    <s v="Bowler"/>
    <s v="DNB"/>
    <n v="0"/>
    <n v="0"/>
    <n v="0"/>
    <s v="DNB"/>
    <n v="0"/>
    <n v="4"/>
    <n v="0"/>
    <n v="39"/>
    <n v="2"/>
    <n v="9.8000000000000007"/>
    <n v="40"/>
    <n v="0"/>
    <n v="0"/>
    <n v="40"/>
    <n v="4"/>
    <s v="UPW"/>
    <s v="GGTW"/>
    <s v="Brabourne Stadium"/>
    <n v="181"/>
    <n v="9.1300000000000008"/>
    <n v="52"/>
    <n v="43"/>
    <n v="44"/>
    <s v="Successful"/>
    <n v="1"/>
    <n v="41.2"/>
  </r>
  <r>
    <x v="17"/>
    <n v="1"/>
    <s v="P013"/>
    <x v="12"/>
    <x v="1"/>
    <s v="WK-Batter"/>
    <s v="Opener"/>
    <n v="1"/>
    <n v="6"/>
    <n v="16.670000000000002"/>
    <s v="caught"/>
    <n v="0.17"/>
    <n v="0"/>
    <n v="0"/>
    <n v="0"/>
    <n v="0"/>
    <n v="0"/>
    <n v="0"/>
    <n v="0"/>
    <n v="0"/>
    <n v="0.17"/>
    <n v="0"/>
    <s v="DCW"/>
    <s v="DCW"/>
    <s v="Dr DY Patil Sports "/>
    <n v="109"/>
    <n v="5.45"/>
    <n v="19"/>
    <n v="24"/>
    <n v="59"/>
    <s v="NA"/>
    <n v="0"/>
    <n v="8.5000000000000006E-2"/>
  </r>
  <r>
    <x v="17"/>
    <n v="1"/>
    <s v="P012"/>
    <x v="11"/>
    <x v="1"/>
    <s v="Batting Allrounder"/>
    <s v="Opener"/>
    <n v="5"/>
    <n v="10"/>
    <n v="50"/>
    <s v="caught"/>
    <n v="2.5"/>
    <n v="2"/>
    <n v="0"/>
    <n v="27"/>
    <n v="1"/>
    <n v="13.5"/>
    <n v="10"/>
    <n v="0"/>
    <n v="0"/>
    <n v="12.5"/>
    <n v="1"/>
    <s v="DCW"/>
    <s v="DCW"/>
    <s v="Dr DY Patil Sports "/>
    <n v="109"/>
    <n v="5.45"/>
    <n v="19"/>
    <n v="24"/>
    <n v="59"/>
    <s v="NA"/>
    <n v="0"/>
    <n v="6.55"/>
  </r>
  <r>
    <x v="17"/>
    <n v="1"/>
    <s v="P015"/>
    <x v="14"/>
    <x v="1"/>
    <s v="Bowling Allrounder"/>
    <s v="Top Order"/>
    <n v="0"/>
    <n v="1"/>
    <n v="0"/>
    <s v="bowled"/>
    <n v="0"/>
    <n v="2"/>
    <n v="0"/>
    <n v="21"/>
    <n v="0"/>
    <n v="10.5"/>
    <n v="0"/>
    <n v="0"/>
    <n v="0"/>
    <n v="0"/>
    <n v="0"/>
    <s v="DCW"/>
    <s v="DCW"/>
    <s v="Dr DY Patil Sports "/>
    <n v="109"/>
    <n v="5.45"/>
    <n v="19"/>
    <n v="24"/>
    <n v="59"/>
    <s v="NA"/>
    <n v="0"/>
    <n v="0"/>
  </r>
  <r>
    <x v="17"/>
    <n v="1"/>
    <s v="P014"/>
    <x v="13"/>
    <x v="1"/>
    <s v="Batting Allrounder"/>
    <s v="Middle Order"/>
    <n v="23"/>
    <n v="26"/>
    <n v="88.46"/>
    <s v="caught"/>
    <n v="20.34"/>
    <n v="0"/>
    <n v="0"/>
    <n v="0"/>
    <n v="0"/>
    <n v="0"/>
    <n v="0"/>
    <n v="0"/>
    <n v="0"/>
    <n v="20.34"/>
    <n v="2"/>
    <s v="DCW"/>
    <s v="DCW"/>
    <s v="Dr DY Patil Sports "/>
    <n v="109"/>
    <n v="5.45"/>
    <n v="19"/>
    <n v="24"/>
    <n v="59"/>
    <s v="NA"/>
    <n v="0"/>
    <n v="10.77"/>
  </r>
  <r>
    <x v="17"/>
    <n v="1"/>
    <s v="P016"/>
    <x v="15"/>
    <x v="1"/>
    <s v="Bowling Allrounder"/>
    <s v="Middle Order"/>
    <n v="8"/>
    <n v="16"/>
    <n v="50"/>
    <s v="caught"/>
    <n v="4"/>
    <n v="1"/>
    <n v="0"/>
    <n v="2"/>
    <n v="0"/>
    <n v="2"/>
    <n v="0"/>
    <n v="0"/>
    <n v="0"/>
    <n v="4"/>
    <n v="0"/>
    <s v="DCW"/>
    <s v="DCW"/>
    <s v="Dr DY Patil Sports "/>
    <n v="109"/>
    <n v="5.45"/>
    <n v="19"/>
    <n v="24"/>
    <n v="59"/>
    <s v="NA"/>
    <n v="0"/>
    <n v="2"/>
  </r>
  <r>
    <x v="17"/>
    <n v="1"/>
    <s v="P018"/>
    <x v="17"/>
    <x v="1"/>
    <s v="Bowling Allrounder"/>
    <s v="Middle Order"/>
    <n v="26"/>
    <n v="19"/>
    <n v="136.84"/>
    <s v="caught"/>
    <n v="35.57"/>
    <n v="0"/>
    <n v="0"/>
    <n v="0"/>
    <n v="0"/>
    <n v="0"/>
    <n v="0"/>
    <n v="0"/>
    <n v="0"/>
    <n v="35.57"/>
    <n v="4"/>
    <s v="DCW"/>
    <s v="DCW"/>
    <s v="Dr DY Patil Sports "/>
    <n v="109"/>
    <n v="5.45"/>
    <n v="19"/>
    <n v="24"/>
    <n v="59"/>
    <s v="NA"/>
    <n v="0"/>
    <n v="18.984999999999999"/>
  </r>
  <r>
    <x v="17"/>
    <n v="1"/>
    <s v="P020"/>
    <x v="19"/>
    <x v="1"/>
    <s v="Bowler"/>
    <s v="Middle Order"/>
    <n v="23"/>
    <n v="24"/>
    <n v="95.83"/>
    <s v="caught"/>
    <n v="22.04"/>
    <n v="2"/>
    <n v="0"/>
    <n v="20"/>
    <n v="0"/>
    <n v="10"/>
    <n v="0"/>
    <n v="0"/>
    <n v="0"/>
    <n v="22.04"/>
    <n v="2"/>
    <s v="DCW"/>
    <s v="DCW"/>
    <s v="Dr DY Patil Sports "/>
    <n v="109"/>
    <n v="5.45"/>
    <n v="19"/>
    <n v="24"/>
    <n v="59"/>
    <s v="NA"/>
    <n v="0"/>
    <n v="11.62"/>
  </r>
  <r>
    <x v="17"/>
    <n v="1"/>
    <s v="P017"/>
    <x v="16"/>
    <x v="1"/>
    <s v="Batting Allrounder"/>
    <s v="Middle Order"/>
    <n v="19"/>
    <n v="16"/>
    <n v="118.75"/>
    <s v="run out"/>
    <n v="22.56"/>
    <n v="0"/>
    <n v="0"/>
    <n v="0"/>
    <n v="0"/>
    <n v="0"/>
    <n v="0"/>
    <n v="0"/>
    <n v="0"/>
    <n v="22.56"/>
    <n v="2"/>
    <s v="DCW"/>
    <s v="DCW"/>
    <s v="Dr DY Patil Sports "/>
    <n v="109"/>
    <n v="5.45"/>
    <n v="19"/>
    <n v="24"/>
    <n v="59"/>
    <s v="NA"/>
    <n v="0"/>
    <n v="11.879999999999999"/>
  </r>
  <r>
    <x v="17"/>
    <n v="1"/>
    <s v="P019"/>
    <x v="18"/>
    <x v="1"/>
    <s v="Batting Allrounder"/>
    <s v="Lower Order"/>
    <n v="2"/>
    <n v="2"/>
    <n v="100"/>
    <s v="not out"/>
    <n v="2"/>
    <n v="0"/>
    <n v="0"/>
    <n v="0"/>
    <n v="0"/>
    <n v="0"/>
    <n v="0"/>
    <n v="0"/>
    <n v="0"/>
    <n v="2"/>
    <n v="0"/>
    <s v="DCW"/>
    <s v="DCW"/>
    <s v="Dr DY Patil Sports "/>
    <n v="109"/>
    <n v="5.45"/>
    <n v="19"/>
    <n v="24"/>
    <n v="59"/>
    <s v="NA"/>
    <n v="0"/>
    <n v="1"/>
  </r>
  <r>
    <x v="17"/>
    <n v="1"/>
    <s v="P021"/>
    <x v="20"/>
    <x v="1"/>
    <s v="Bowling Allrounder"/>
    <s v="Lower Order"/>
    <n v="0"/>
    <n v="0"/>
    <n v="0"/>
    <s v="DNB"/>
    <n v="0"/>
    <n v="0"/>
    <n v="0"/>
    <n v="0"/>
    <n v="0"/>
    <n v="0"/>
    <n v="0"/>
    <n v="0"/>
    <n v="0"/>
    <n v="0"/>
    <n v="0"/>
    <s v="DCW"/>
    <s v="DCW"/>
    <s v="Dr DY Patil Sports "/>
    <n v="109"/>
    <n v="5.45"/>
    <n v="19"/>
    <n v="24"/>
    <n v="59"/>
    <s v="NA"/>
    <n v="0"/>
    <n v="0"/>
  </r>
  <r>
    <x v="17"/>
    <n v="1"/>
    <s v="P022"/>
    <x v="21"/>
    <x v="1"/>
    <s v="Bowler"/>
    <s v="Lower Order"/>
    <n v="0"/>
    <n v="0"/>
    <n v="0"/>
    <s v="DNB"/>
    <n v="0"/>
    <n v="2"/>
    <n v="0"/>
    <n v="36"/>
    <n v="0"/>
    <n v="18"/>
    <n v="0"/>
    <n v="0"/>
    <n v="0"/>
    <n v="0"/>
    <n v="0"/>
    <s v="DCW"/>
    <s v="DCW"/>
    <s v="Dr DY Patil Sports "/>
    <n v="109"/>
    <n v="5.45"/>
    <n v="19"/>
    <n v="24"/>
    <n v="59"/>
    <s v="NA"/>
    <n v="0"/>
    <n v="0"/>
  </r>
  <r>
    <x v="17"/>
    <n v="1"/>
    <s v="P035"/>
    <x v="34"/>
    <x v="3"/>
    <s v="Batter"/>
    <s v="Opener"/>
    <n v="32"/>
    <n v="22"/>
    <n v="145.44999999999999"/>
    <s v="not out"/>
    <n v="46.54"/>
    <n v="0"/>
    <n v="0"/>
    <n v="0"/>
    <n v="0"/>
    <n v="0"/>
    <n v="0"/>
    <n v="0"/>
    <n v="0"/>
    <n v="46.54"/>
    <n v="5"/>
    <s v="DCW"/>
    <s v="DCW"/>
    <s v="Dr DY Patil Sports "/>
    <n v="110"/>
    <n v="12.22"/>
    <n v="67"/>
    <n v="0"/>
    <n v="18"/>
    <s v="Successful"/>
    <n v="1"/>
    <n v="44.769999999999996"/>
  </r>
  <r>
    <x v="17"/>
    <n v="1"/>
    <s v="P034"/>
    <x v="33"/>
    <x v="3"/>
    <s v="Batting Allrounder"/>
    <s v="Opener"/>
    <n v="33"/>
    <n v="15"/>
    <n v="220"/>
    <s v="stumped"/>
    <n v="72.599999999999994"/>
    <n v="0"/>
    <n v="0"/>
    <n v="0"/>
    <n v="0"/>
    <n v="0"/>
    <n v="0"/>
    <n v="0"/>
    <n v="0"/>
    <n v="72.599999999999994"/>
    <n v="7"/>
    <s v="DCW"/>
    <s v="DCW"/>
    <s v="Dr DY Patil Sports "/>
    <n v="110"/>
    <n v="12.22"/>
    <n v="67"/>
    <n v="0"/>
    <n v="18"/>
    <s v="Successful"/>
    <n v="1"/>
    <n v="58.4"/>
  </r>
  <r>
    <x v="17"/>
    <n v="1"/>
    <s v="P038"/>
    <x v="37"/>
    <x v="3"/>
    <s v="Batting Allrounder"/>
    <s v="Middle Order"/>
    <n v="38"/>
    <n v="17"/>
    <n v="223.53"/>
    <s v="not out"/>
    <n v="84.94"/>
    <n v="1"/>
    <n v="0"/>
    <n v="4"/>
    <n v="0"/>
    <n v="4"/>
    <n v="0"/>
    <n v="0"/>
    <n v="0"/>
    <n v="84.94"/>
    <n v="8"/>
    <s v="DCW"/>
    <s v="DCW"/>
    <s v="Dr DY Patil Sports "/>
    <n v="110"/>
    <n v="12.22"/>
    <n v="67"/>
    <n v="0"/>
    <n v="18"/>
    <s v="Successful"/>
    <n v="1"/>
    <n v="64.87"/>
  </r>
  <r>
    <x v="17"/>
    <n v="1"/>
    <s v="P037"/>
    <x v="36"/>
    <x v="3"/>
    <s v="Batter"/>
    <s v="Lower Order"/>
    <n v="0"/>
    <n v="0"/>
    <n v="0"/>
    <s v="DNB"/>
    <n v="0"/>
    <n v="0"/>
    <n v="0"/>
    <n v="0"/>
    <n v="0"/>
    <n v="0"/>
    <n v="0"/>
    <n v="0"/>
    <n v="0"/>
    <n v="0"/>
    <n v="0"/>
    <s v="DCW"/>
    <s v="DCW"/>
    <s v="Dr DY Patil Sports "/>
    <n v="110"/>
    <n v="12.22"/>
    <n v="67"/>
    <n v="0"/>
    <n v="18"/>
    <s v="Successful"/>
    <n v="1"/>
    <n v="20"/>
  </r>
  <r>
    <x v="17"/>
    <n v="1"/>
    <s v="P036"/>
    <x v="35"/>
    <x v="3"/>
    <s v="Allrounder"/>
    <s v="Lower Order"/>
    <n v="0"/>
    <n v="0"/>
    <n v="0"/>
    <s v="DNB"/>
    <n v="0"/>
    <n v="4"/>
    <n v="0"/>
    <n v="13"/>
    <n v="2"/>
    <n v="3.2"/>
    <n v="40"/>
    <n v="0"/>
    <n v="0"/>
    <n v="40"/>
    <n v="4"/>
    <s v="DCW"/>
    <s v="DCW"/>
    <s v="Dr DY Patil Sports "/>
    <n v="110"/>
    <n v="12.22"/>
    <n v="67"/>
    <n v="0"/>
    <n v="18"/>
    <s v="Successful"/>
    <n v="1"/>
    <n v="41.2"/>
  </r>
  <r>
    <x v="17"/>
    <n v="1"/>
    <s v="P040"/>
    <x v="39"/>
    <x v="3"/>
    <s v="WK-Batter"/>
    <s v="Lower Order"/>
    <n v="0"/>
    <n v="0"/>
    <n v="0"/>
    <s v="DNB"/>
    <n v="0"/>
    <n v="0"/>
    <n v="0"/>
    <n v="0"/>
    <n v="0"/>
    <n v="0"/>
    <n v="0"/>
    <n v="0"/>
    <n v="0"/>
    <n v="0"/>
    <n v="0"/>
    <s v="DCW"/>
    <s v="DCW"/>
    <s v="Dr DY Patil Sports "/>
    <n v="110"/>
    <n v="12.22"/>
    <n v="67"/>
    <n v="0"/>
    <n v="18"/>
    <s v="Successful"/>
    <n v="1"/>
    <n v="20"/>
  </r>
  <r>
    <x v="17"/>
    <n v="1"/>
    <s v="P039"/>
    <x v="38"/>
    <x v="3"/>
    <s v="Bowling Allrounder"/>
    <s v="Lower Order"/>
    <n v="0"/>
    <n v="0"/>
    <n v="0"/>
    <s v="DNB"/>
    <n v="0"/>
    <n v="4"/>
    <n v="0"/>
    <n v="25"/>
    <n v="2"/>
    <n v="6.2"/>
    <n v="40"/>
    <n v="0"/>
    <n v="0"/>
    <n v="40"/>
    <n v="4"/>
    <s v="DCW"/>
    <s v="DCW"/>
    <s v="Dr DY Patil Sports "/>
    <n v="110"/>
    <n v="12.22"/>
    <n v="67"/>
    <n v="0"/>
    <n v="18"/>
    <s v="Successful"/>
    <n v="1"/>
    <n v="41.2"/>
  </r>
  <r>
    <x v="17"/>
    <n v="1"/>
    <s v="P043"/>
    <x v="42"/>
    <x v="3"/>
    <s v="Bowler"/>
    <s v="Lower Order"/>
    <n v="0"/>
    <n v="0"/>
    <n v="0"/>
    <s v="DNB"/>
    <n v="0"/>
    <n v="3"/>
    <n v="0"/>
    <n v="18"/>
    <n v="0"/>
    <n v="6"/>
    <n v="0"/>
    <n v="0"/>
    <n v="0"/>
    <n v="0"/>
    <n v="0"/>
    <s v="DCW"/>
    <s v="DCW"/>
    <s v="Dr DY Patil Sports "/>
    <n v="110"/>
    <n v="12.22"/>
    <n v="67"/>
    <n v="0"/>
    <n v="18"/>
    <s v="Successful"/>
    <n v="1"/>
    <n v="20"/>
  </r>
  <r>
    <x v="17"/>
    <n v="1"/>
    <s v="P041"/>
    <x v="40"/>
    <x v="3"/>
    <s v="Bowler"/>
    <s v="Lower Order"/>
    <n v="0"/>
    <n v="0"/>
    <n v="0"/>
    <s v="DNB"/>
    <n v="0"/>
    <n v="3"/>
    <n v="0"/>
    <n v="10"/>
    <n v="1"/>
    <n v="3.3"/>
    <n v="20"/>
    <n v="0"/>
    <n v="0"/>
    <n v="20"/>
    <n v="2"/>
    <s v="DCW"/>
    <s v="DCW"/>
    <s v="Dr DY Patil Sports "/>
    <n v="110"/>
    <n v="12.22"/>
    <n v="67"/>
    <n v="0"/>
    <n v="18"/>
    <s v="Successful"/>
    <n v="1"/>
    <n v="30.6"/>
  </r>
  <r>
    <x v="17"/>
    <n v="1"/>
    <s v="P042"/>
    <x v="41"/>
    <x v="3"/>
    <s v="Bowling Allrounder"/>
    <s v="Lower Order"/>
    <n v="0"/>
    <n v="0"/>
    <n v="0"/>
    <s v="DNB"/>
    <n v="0"/>
    <n v="4"/>
    <n v="0"/>
    <n v="21"/>
    <n v="2"/>
    <n v="5.2"/>
    <n v="40"/>
    <n v="0"/>
    <n v="0"/>
    <n v="40"/>
    <n v="4"/>
    <s v="DCW"/>
    <s v="DCW"/>
    <s v="Dr DY Patil Sports "/>
    <n v="110"/>
    <n v="12.22"/>
    <n v="67"/>
    <n v="0"/>
    <n v="18"/>
    <s v="Successful"/>
    <n v="1"/>
    <n v="41.2"/>
  </r>
  <r>
    <x v="17"/>
    <n v="1"/>
    <s v="P071"/>
    <x v="69"/>
    <x v="3"/>
    <s v="Bowler"/>
    <s v="Lower Order"/>
    <n v="0"/>
    <n v="0"/>
    <n v="0"/>
    <s v="DNB"/>
    <n v="0"/>
    <n v="1"/>
    <n v="0"/>
    <n v="18"/>
    <n v="0"/>
    <n v="18"/>
    <n v="0"/>
    <n v="0"/>
    <n v="0"/>
    <n v="0"/>
    <n v="0"/>
    <s v="DCW"/>
    <s v="DCW"/>
    <s v="Dr DY Patil Sports "/>
    <n v="110"/>
    <n v="12.22"/>
    <n v="67"/>
    <n v="0"/>
    <n v="18"/>
    <s v="Successful"/>
    <n v="1"/>
    <n v="20"/>
  </r>
  <r>
    <x v="18"/>
    <n v="1"/>
    <s v="P023"/>
    <x v="22"/>
    <x v="2"/>
    <s v="Batter"/>
    <s v="Opener"/>
    <n v="24"/>
    <n v="25"/>
    <n v="96"/>
    <s v="caught"/>
    <n v="28.6"/>
    <n v="0.3"/>
    <n v="0"/>
    <n v="9"/>
    <n v="0"/>
    <n v="18"/>
    <n v="-36"/>
    <n v="0"/>
    <n v="0"/>
    <n v="-7.4"/>
    <n v="0"/>
    <s v="MIW"/>
    <s v="MIW"/>
    <s v="Dr DY Patil Sports "/>
    <n v="125"/>
    <n v="6.25"/>
    <n v="32"/>
    <n v="34"/>
    <n v="51"/>
    <s v="NA"/>
    <n v="0"/>
    <n v="0"/>
  </r>
  <r>
    <x v="18"/>
    <n v="1"/>
    <s v="P024"/>
    <x v="23"/>
    <x v="2"/>
    <s v="Allrounder"/>
    <s v="Opener"/>
    <n v="0"/>
    <n v="2"/>
    <n v="0"/>
    <s v="run out"/>
    <n v="-5"/>
    <n v="1"/>
    <n v="0"/>
    <n v="17"/>
    <n v="0"/>
    <n v="17"/>
    <n v="-34"/>
    <n v="0"/>
    <n v="0"/>
    <n v="-39"/>
    <n v="0"/>
    <s v="MIW"/>
    <s v="MIW"/>
    <s v="Dr DY Patil Sports "/>
    <n v="125"/>
    <n v="6.25"/>
    <n v="32"/>
    <n v="34"/>
    <n v="51"/>
    <s v="NA"/>
    <n v="0"/>
    <n v="0"/>
  </r>
  <r>
    <x v="18"/>
    <n v="1"/>
    <s v="P027"/>
    <x v="26"/>
    <x v="2"/>
    <s v="Allrounder"/>
    <s v="Top Order"/>
    <n v="29"/>
    <n v="38"/>
    <n v="76.319999999999993"/>
    <s v="lbw"/>
    <n v="31.63"/>
    <n v="2"/>
    <n v="0"/>
    <n v="18"/>
    <n v="1"/>
    <n v="9"/>
    <n v="2"/>
    <n v="0"/>
    <n v="0"/>
    <n v="34"/>
    <n v="3"/>
    <s v="MIW"/>
    <s v="MIW"/>
    <s v="Dr DY Patil Sports "/>
    <n v="125"/>
    <n v="6.25"/>
    <n v="32"/>
    <n v="34"/>
    <n v="51"/>
    <s v="NA"/>
    <n v="0"/>
    <n v="17.899999999999999"/>
  </r>
  <r>
    <x v="18"/>
    <n v="1"/>
    <s v="P025"/>
    <x v="24"/>
    <x v="2"/>
    <s v="Allrounder"/>
    <s v="Middle Order"/>
    <n v="12"/>
    <n v="13"/>
    <n v="92.31"/>
    <s v="caught"/>
    <n v="16.23"/>
    <n v="0"/>
    <n v="0"/>
    <n v="0"/>
    <n v="0"/>
    <n v="0"/>
    <n v="0"/>
    <n v="0"/>
    <n v="0"/>
    <n v="16"/>
    <n v="2"/>
    <s v="MIW"/>
    <s v="MIW"/>
    <s v="Dr DY Patil Sports "/>
    <n v="125"/>
    <n v="6.25"/>
    <n v="32"/>
    <n v="34"/>
    <n v="51"/>
    <s v="NA"/>
    <n v="0"/>
    <n v="8.6"/>
  </r>
  <r>
    <x v="18"/>
    <n v="1"/>
    <s v="P028"/>
    <x v="27"/>
    <x v="2"/>
    <s v="WK-Batter"/>
    <s v="Middle Order"/>
    <n v="29"/>
    <n v="13"/>
    <n v="223.08"/>
    <s v="caught"/>
    <n v="46.31"/>
    <n v="0"/>
    <n v="0"/>
    <n v="0"/>
    <n v="0"/>
    <n v="0"/>
    <n v="0"/>
    <n v="0"/>
    <n v="0"/>
    <n v="46"/>
    <n v="5"/>
    <s v="MIW"/>
    <s v="MIW"/>
    <s v="Dr DY Patil Sports "/>
    <n v="125"/>
    <n v="6.25"/>
    <n v="32"/>
    <n v="34"/>
    <n v="51"/>
    <s v="NA"/>
    <n v="0"/>
    <n v="24.5"/>
  </r>
  <r>
    <x v="18"/>
    <n v="1"/>
    <s v="P029"/>
    <x v="28"/>
    <x v="2"/>
    <s v="Allrounder"/>
    <s v="Lower Order"/>
    <n v="12"/>
    <n v="13"/>
    <n v="92.31"/>
    <s v="stumped"/>
    <n v="16.23"/>
    <n v="1"/>
    <n v="0"/>
    <n v="5"/>
    <n v="2"/>
    <n v="5"/>
    <n v="30"/>
    <n v="0"/>
    <n v="0"/>
    <n v="46"/>
    <n v="5"/>
    <s v="MIW"/>
    <s v="MIW"/>
    <s v="Dr DY Patil Sports "/>
    <n v="125"/>
    <n v="6.25"/>
    <n v="32"/>
    <n v="34"/>
    <n v="51"/>
    <s v="NA"/>
    <n v="0"/>
    <n v="24.5"/>
  </r>
  <r>
    <x v="18"/>
    <n v="1"/>
    <s v="P059"/>
    <x v="58"/>
    <x v="2"/>
    <s v="Bowler"/>
    <s v="Middle Order"/>
    <n v="4"/>
    <n v="3"/>
    <n v="133.33000000000001"/>
    <s v="bowled"/>
    <n v="12.33"/>
    <n v="3"/>
    <n v="0"/>
    <n v="26"/>
    <n v="1"/>
    <n v="8.67"/>
    <n v="3"/>
    <n v="0"/>
    <n v="0"/>
    <n v="15"/>
    <n v="2"/>
    <s v="MIW"/>
    <s v="MIW"/>
    <s v="Dr DY Patil Sports "/>
    <n v="125"/>
    <n v="6.25"/>
    <n v="32"/>
    <n v="34"/>
    <n v="51"/>
    <s v="NA"/>
    <n v="0"/>
    <n v="8.1"/>
  </r>
  <r>
    <x v="18"/>
    <n v="1"/>
    <s v="P026"/>
    <x v="25"/>
    <x v="2"/>
    <s v="Batter"/>
    <s v="Middle Order"/>
    <n v="2"/>
    <n v="5"/>
    <n v="40"/>
    <s v="bowled"/>
    <n v="1"/>
    <n v="0"/>
    <n v="0"/>
    <n v="0"/>
    <n v="0"/>
    <n v="0"/>
    <n v="0"/>
    <n v="0"/>
    <n v="0"/>
    <n v="1"/>
    <n v="0"/>
    <s v="MIW"/>
    <s v="MIW"/>
    <s v="Dr DY Patil Sports "/>
    <n v="125"/>
    <n v="6.25"/>
    <n v="32"/>
    <n v="34"/>
    <n v="51"/>
    <s v="NA"/>
    <n v="0"/>
    <n v="0.5"/>
  </r>
  <r>
    <x v="18"/>
    <n v="1"/>
    <s v="P032"/>
    <x v="31"/>
    <x v="2"/>
    <s v="Bowler"/>
    <s v="Lower Order"/>
    <n v="2"/>
    <n v="5"/>
    <n v="40"/>
    <s v="lbw"/>
    <n v="1"/>
    <n v="4"/>
    <n v="0"/>
    <n v="19"/>
    <n v="1"/>
    <n v="4.75"/>
    <n v="11"/>
    <n v="0"/>
    <n v="0"/>
    <n v="12"/>
    <n v="1"/>
    <s v="MIW"/>
    <s v="MIW"/>
    <s v="Dr DY Patil Sports "/>
    <n v="125"/>
    <n v="6.25"/>
    <n v="32"/>
    <n v="34"/>
    <n v="51"/>
    <s v="NA"/>
    <n v="0"/>
    <n v="6.3"/>
  </r>
  <r>
    <x v="18"/>
    <n v="1"/>
    <s v="P030"/>
    <x v="29"/>
    <x v="2"/>
    <s v="Allrounder"/>
    <s v="Lower Order"/>
    <n v="4"/>
    <n v="3"/>
    <n v="133.33000000000001"/>
    <s v="not out"/>
    <n v="17.329999999999998"/>
    <n v="3"/>
    <n v="0"/>
    <n v="24"/>
    <n v="1"/>
    <n v="8"/>
    <n v="4"/>
    <n v="0"/>
    <n v="0"/>
    <n v="21"/>
    <n v="2"/>
    <s v="MIW"/>
    <s v="MIW"/>
    <s v="Dr DY Patil Sports "/>
    <n v="125"/>
    <n v="6.25"/>
    <n v="32"/>
    <n v="34"/>
    <n v="51"/>
    <s v="NA"/>
    <n v="0"/>
    <n v="11.1"/>
  </r>
  <r>
    <x v="18"/>
    <n v="1"/>
    <s v="P031"/>
    <x v="30"/>
    <x v="2"/>
    <s v="Bowler"/>
    <s v="Lower Order"/>
    <n v="0"/>
    <n v="0"/>
    <n v="0"/>
    <s v="DNB"/>
    <n v="0"/>
    <n v="2"/>
    <n v="0"/>
    <n v="11"/>
    <n v="0"/>
    <n v="5.5"/>
    <n v="-11"/>
    <n v="0"/>
    <n v="0"/>
    <n v="-11"/>
    <n v="0"/>
    <s v="MIW"/>
    <s v="MIW"/>
    <s v="Dr DY Patil Sports "/>
    <n v="125"/>
    <n v="6.25"/>
    <n v="32"/>
    <n v="34"/>
    <n v="51"/>
    <s v="NA"/>
    <n v="0"/>
    <n v="0"/>
  </r>
  <r>
    <x v="18"/>
    <n v="1"/>
    <s v="P012"/>
    <x v="11"/>
    <x v="1"/>
    <s v="Allrounder"/>
    <s v="Opener"/>
    <n v="24"/>
    <n v="17"/>
    <n v="141.18"/>
    <s v="caught"/>
    <n v="33.119999999999997"/>
    <n v="4"/>
    <n v="0"/>
    <n v="18"/>
    <n v="0"/>
    <n v="4.5"/>
    <n v="-9"/>
    <n v="0"/>
    <n v="0"/>
    <n v="24"/>
    <n v="2"/>
    <s v="MIW"/>
    <s v="MIW"/>
    <s v="Dr DY Patil Sports "/>
    <n v="129"/>
    <n v="7.82"/>
    <n v="53"/>
    <n v="9"/>
    <n v="42"/>
    <s v="Successful"/>
    <n v="1"/>
    <n v="32.6"/>
  </r>
  <r>
    <x v="18"/>
    <n v="1"/>
    <s v="P013"/>
    <x v="12"/>
    <x v="1"/>
    <s v="WK-Batter"/>
    <s v="Opener"/>
    <n v="30"/>
    <n v="26"/>
    <n v="115.38"/>
    <s v="caught"/>
    <n v="36.54"/>
    <n v="0"/>
    <n v="0"/>
    <n v="0"/>
    <n v="0"/>
    <n v="0"/>
    <n v="0"/>
    <n v="0"/>
    <n v="0"/>
    <n v="37"/>
    <n v="4"/>
    <s v="MIW"/>
    <s v="MIW"/>
    <s v="Dr DY Patil Sports "/>
    <n v="129"/>
    <n v="7.82"/>
    <n v="53"/>
    <n v="9"/>
    <n v="42"/>
    <s v="Successful"/>
    <n v="1"/>
    <n v="39.700000000000003"/>
  </r>
  <r>
    <x v="18"/>
    <n v="1"/>
    <s v="P015"/>
    <x v="14"/>
    <x v="1"/>
    <s v="Allrounder"/>
    <s v="Top Order"/>
    <n v="13"/>
    <n v="7"/>
    <n v="185.71"/>
    <s v="caught"/>
    <n v="26.57"/>
    <n v="4"/>
    <n v="0"/>
    <n v="24"/>
    <n v="2"/>
    <n v="6"/>
    <n v="28"/>
    <n v="0"/>
    <n v="0"/>
    <n v="55"/>
    <n v="6"/>
    <s v="MIW"/>
    <s v="MIW"/>
    <s v="Dr DY Patil Sports "/>
    <n v="129"/>
    <n v="7.82"/>
    <n v="53"/>
    <n v="9"/>
    <n v="42"/>
    <s v="Successful"/>
    <n v="1"/>
    <n v="49.3"/>
  </r>
  <r>
    <x v="18"/>
    <n v="1"/>
    <s v="P014"/>
    <x v="13"/>
    <x v="1"/>
    <s v="Allrounder"/>
    <s v="Middle Order"/>
    <n v="2"/>
    <n v="5"/>
    <n v="40"/>
    <s v="bowled"/>
    <n v="1"/>
    <n v="0"/>
    <n v="0"/>
    <n v="0"/>
    <n v="0"/>
    <n v="0"/>
    <n v="0"/>
    <n v="0"/>
    <n v="0"/>
    <n v="1"/>
    <n v="0"/>
    <s v="MIW"/>
    <s v="MIW"/>
    <s v="Dr DY Patil Sports "/>
    <n v="129"/>
    <n v="7.82"/>
    <n v="53"/>
    <n v="9"/>
    <n v="42"/>
    <s v="Successful"/>
    <n v="1"/>
    <n v="20.5"/>
  </r>
  <r>
    <x v="18"/>
    <n v="1"/>
    <s v="P016"/>
    <x v="15"/>
    <x v="1"/>
    <s v="Allrounder"/>
    <s v="Middle Order"/>
    <n v="31"/>
    <n v="27"/>
    <n v="114.81"/>
    <s v="not out"/>
    <n v="42.48"/>
    <n v="4"/>
    <n v="0"/>
    <n v="22"/>
    <n v="3"/>
    <n v="5.5"/>
    <n v="49"/>
    <n v="0"/>
    <n v="0"/>
    <n v="91"/>
    <n v="9"/>
    <s v="MIW"/>
    <s v="MIW"/>
    <s v="Dr DY Patil Sports "/>
    <n v="129"/>
    <n v="7.82"/>
    <n v="53"/>
    <n v="9"/>
    <n v="42"/>
    <s v="Successful"/>
    <n v="1"/>
    <n v="68.2"/>
  </r>
  <r>
    <x v="18"/>
    <n v="1"/>
    <s v="P018"/>
    <x v="17"/>
    <x v="1"/>
    <s v="Allrounder"/>
    <s v="Middle Order"/>
    <n v="19"/>
    <n v="18"/>
    <n v="105.56"/>
    <s v="caught"/>
    <n v="24.56"/>
    <n v="0"/>
    <n v="0"/>
    <n v="0"/>
    <n v="0"/>
    <n v="0"/>
    <n v="0"/>
    <n v="0"/>
    <n v="0"/>
    <n v="25"/>
    <n v="3"/>
    <s v="MIW"/>
    <s v="MIW"/>
    <s v="Dr DY Patil Sports "/>
    <n v="129"/>
    <n v="7.82"/>
    <n v="53"/>
    <n v="9"/>
    <n v="42"/>
    <s v="Successful"/>
    <n v="1"/>
    <n v="33.4"/>
  </r>
  <r>
    <x v="18"/>
    <n v="1"/>
    <s v="P020"/>
    <x v="19"/>
    <x v="1"/>
    <s v="Bowler"/>
    <s v="Middle Order"/>
    <n v="0"/>
    <n v="1"/>
    <n v="0"/>
    <s v="caught"/>
    <n v="-5"/>
    <n v="4"/>
    <n v="0"/>
    <n v="26"/>
    <n v="2"/>
    <n v="6.5"/>
    <n v="27"/>
    <n v="0"/>
    <n v="0"/>
    <n v="22"/>
    <n v="2"/>
    <s v="MIW"/>
    <s v="MIW"/>
    <s v="Dr DY Patil Sports "/>
    <n v="129"/>
    <n v="7.82"/>
    <n v="53"/>
    <n v="9"/>
    <n v="42"/>
    <s v="Successful"/>
    <n v="1"/>
    <n v="31.6"/>
  </r>
  <r>
    <x v="18"/>
    <n v="1"/>
    <s v="P017"/>
    <x v="16"/>
    <x v="1"/>
    <s v="Batter"/>
    <s v="Lower Order"/>
    <n v="0"/>
    <n v="0"/>
    <n v="0"/>
    <s v="not out"/>
    <n v="0"/>
    <n v="0"/>
    <n v="0"/>
    <n v="0"/>
    <n v="0"/>
    <n v="0"/>
    <n v="0"/>
    <n v="0"/>
    <n v="0"/>
    <n v="0"/>
    <n v="0"/>
    <s v="MIW"/>
    <s v="MIW"/>
    <s v="Dr DY Patil Sports "/>
    <n v="129"/>
    <n v="7.82"/>
    <n v="53"/>
    <n v="9"/>
    <n v="42"/>
    <s v="Successful"/>
    <n v="1"/>
    <n v="20"/>
  </r>
  <r>
    <x v="18"/>
    <n v="1"/>
    <s v="P019"/>
    <x v="18"/>
    <x v="1"/>
    <s v="Allrounder"/>
    <s v="Lower Order"/>
    <n v="0"/>
    <n v="0"/>
    <n v="0"/>
    <s v="DNB"/>
    <n v="0"/>
    <n v="0"/>
    <n v="0"/>
    <n v="0"/>
    <n v="0"/>
    <n v="0"/>
    <n v="0"/>
    <n v="0"/>
    <n v="0"/>
    <n v="0"/>
    <n v="0"/>
    <s v="MIW"/>
    <s v="MIW"/>
    <s v="Dr DY Patil Sports "/>
    <n v="129"/>
    <n v="7.82"/>
    <n v="53"/>
    <n v="9"/>
    <n v="42"/>
    <s v="Successful"/>
    <n v="1"/>
    <n v="20"/>
  </r>
  <r>
    <x v="18"/>
    <n v="1"/>
    <s v="P021"/>
    <x v="20"/>
    <x v="1"/>
    <s v="Bowler"/>
    <s v="Lower Order"/>
    <n v="0"/>
    <n v="0"/>
    <n v="0"/>
    <s v="DNB"/>
    <n v="0"/>
    <n v="0"/>
    <n v="0"/>
    <n v="0"/>
    <n v="0"/>
    <n v="0"/>
    <n v="0"/>
    <n v="0"/>
    <n v="0"/>
    <n v="0"/>
    <n v="0"/>
    <s v="MIW"/>
    <s v="MIW"/>
    <s v="Dr DY Patil Sports "/>
    <n v="129"/>
    <n v="7.82"/>
    <n v="53"/>
    <n v="9"/>
    <n v="42"/>
    <s v="Successful"/>
    <n v="1"/>
    <n v="20"/>
  </r>
  <r>
    <x v="18"/>
    <n v="1"/>
    <s v="P022"/>
    <x v="21"/>
    <x v="1"/>
    <s v="Bowler"/>
    <s v="Lower Order"/>
    <n v="0"/>
    <n v="0"/>
    <n v="0"/>
    <s v="DNB"/>
    <n v="0"/>
    <n v="4"/>
    <n v="0"/>
    <n v="31"/>
    <n v="1"/>
    <n v="7.75"/>
    <n v="5"/>
    <n v="0"/>
    <n v="0"/>
    <n v="5"/>
    <n v="1"/>
    <s v="MIW"/>
    <s v="MIW"/>
    <s v="Dr DY Patil Sports "/>
    <n v="129"/>
    <n v="7.82"/>
    <n v="53"/>
    <n v="9"/>
    <n v="42"/>
    <s v="Successful"/>
    <n v="1"/>
    <n v="22.8"/>
  </r>
  <r>
    <x v="19"/>
    <n v="1"/>
    <s v="P045"/>
    <x v="44"/>
    <x v="4"/>
    <s v="WK-Batter"/>
    <s v="Opener"/>
    <n v="36"/>
    <n v="34"/>
    <n v="105.88"/>
    <s v="stumped"/>
    <n v="41.59"/>
    <n v="0"/>
    <n v="0"/>
    <n v="0"/>
    <n v="0"/>
    <n v="0"/>
    <n v="0"/>
    <n v="0"/>
    <n v="0"/>
    <n v="41.59"/>
    <n v="4"/>
    <s v="DCW"/>
    <s v="DCW"/>
    <s v="Brabourne Stadium"/>
    <n v="138"/>
    <n v="6.9"/>
    <n v="38"/>
    <n v="44"/>
    <n v="57"/>
    <s v="NA"/>
    <n v="0"/>
    <n v="21.995000000000001"/>
  </r>
  <r>
    <x v="19"/>
    <n v="1"/>
    <s v="P046"/>
    <x v="45"/>
    <x v="4"/>
    <s v="Batter"/>
    <s v="Top Order"/>
    <n v="19"/>
    <n v="12"/>
    <n v="158.33000000000001"/>
    <s v="caught"/>
    <n v="29.83"/>
    <n v="0"/>
    <n v="0"/>
    <n v="0"/>
    <n v="0"/>
    <n v="0"/>
    <n v="0"/>
    <n v="0"/>
    <n v="0"/>
    <n v="29.83"/>
    <n v="3"/>
    <s v="DCW"/>
    <s v="DCW"/>
    <s v="Brabourne Stadium"/>
    <n v="138"/>
    <n v="6.9"/>
    <n v="38"/>
    <n v="44"/>
    <n v="57"/>
    <s v="NA"/>
    <n v="0"/>
    <n v="15.815"/>
  </r>
  <r>
    <x v="19"/>
    <n v="1"/>
    <s v="P050"/>
    <x v="49"/>
    <x v="4"/>
    <s v="Batter"/>
    <s v="Middle Order"/>
    <n v="11"/>
    <n v="23"/>
    <n v="47.83"/>
    <s v="caught"/>
    <n v="10.78"/>
    <n v="0"/>
    <n v="0"/>
    <n v="0"/>
    <n v="0"/>
    <n v="0"/>
    <n v="0"/>
    <n v="0"/>
    <n v="0"/>
    <n v="10.78"/>
    <n v="1"/>
    <s v="DCW"/>
    <s v="DCW"/>
    <s v="Brabourne Stadium"/>
    <n v="138"/>
    <n v="6.9"/>
    <n v="38"/>
    <n v="44"/>
    <n v="57"/>
    <s v="NA"/>
    <n v="0"/>
    <n v="5.6899999999999995"/>
  </r>
  <r>
    <x v="19"/>
    <n v="1"/>
    <s v="P047"/>
    <x v="46"/>
    <x v="4"/>
    <s v="Allrounder"/>
    <s v="Top Order"/>
    <n v="58"/>
    <n v="32"/>
    <n v="181.25"/>
    <s v="not out"/>
    <n v="76.13"/>
    <n v="0"/>
    <n v="0"/>
    <n v="0"/>
    <n v="0"/>
    <n v="0"/>
    <n v="0"/>
    <n v="0"/>
    <n v="0"/>
    <n v="76.13"/>
    <n v="8"/>
    <s v="DCW"/>
    <s v="DCW"/>
    <s v="Brabourne Stadium"/>
    <n v="138"/>
    <n v="6.9"/>
    <n v="38"/>
    <n v="44"/>
    <n v="57"/>
    <s v="NA"/>
    <n v="0"/>
    <n v="40.464999999999996"/>
  </r>
  <r>
    <x v="19"/>
    <n v="1"/>
    <s v="P051"/>
    <x v="50"/>
    <x v="4"/>
    <s v="Batter"/>
    <s v="Middle Order"/>
    <n v="2"/>
    <n v="3"/>
    <n v="66.67"/>
    <s v="stumped"/>
    <n v="3.67"/>
    <n v="0"/>
    <n v="0"/>
    <n v="0"/>
    <n v="0"/>
    <n v="0"/>
    <n v="0"/>
    <n v="0"/>
    <n v="0"/>
    <n v="3.67"/>
    <n v="0"/>
    <s v="DCW"/>
    <s v="DCW"/>
    <s v="Brabourne Stadium"/>
    <n v="138"/>
    <n v="6.9"/>
    <n v="38"/>
    <n v="44"/>
    <n v="57"/>
    <s v="NA"/>
    <n v="0"/>
    <n v="1.835"/>
  </r>
  <r>
    <x v="19"/>
    <n v="1"/>
    <s v="P048"/>
    <x v="47"/>
    <x v="4"/>
    <s v="Allrounder"/>
    <s v="Middle Order"/>
    <n v="3"/>
    <n v="8"/>
    <n v="37.5"/>
    <s v="stumped"/>
    <n v="1.75"/>
    <n v="3.5"/>
    <n v="0"/>
    <n v="37"/>
    <n v="0"/>
    <n v="10.57"/>
    <n v="-21.14"/>
    <n v="0"/>
    <n v="0"/>
    <n v="-19.39"/>
    <n v="0"/>
    <s v="DCW"/>
    <s v="DCW"/>
    <s v="Brabourne Stadium"/>
    <n v="138"/>
    <n v="6.9"/>
    <n v="38"/>
    <n v="44"/>
    <n v="57"/>
    <s v="NA"/>
    <n v="0"/>
    <n v="0"/>
  </r>
  <r>
    <x v="19"/>
    <n v="1"/>
    <s v="P053"/>
    <x v="52"/>
    <x v="4"/>
    <s v="Bowler"/>
    <s v="Middle Order"/>
    <n v="0"/>
    <n v="2"/>
    <n v="0"/>
    <s v="stumped"/>
    <n v="-5"/>
    <n v="4"/>
    <n v="0"/>
    <n v="25"/>
    <n v="1"/>
    <n v="6.25"/>
    <n v="7.5"/>
    <n v="0"/>
    <n v="0"/>
    <n v="2.5"/>
    <n v="0"/>
    <s v="DCW"/>
    <s v="DCW"/>
    <s v="Brabourne Stadium"/>
    <n v="138"/>
    <n v="6.9"/>
    <n v="38"/>
    <n v="44"/>
    <n v="57"/>
    <s v="NA"/>
    <n v="0"/>
    <n v="1.25"/>
  </r>
  <r>
    <x v="19"/>
    <n v="1"/>
    <s v="P054"/>
    <x v="53"/>
    <x v="4"/>
    <s v="Bowler"/>
    <s v="Lower Order"/>
    <n v="3"/>
    <n v="6"/>
    <n v="50"/>
    <s v="not out"/>
    <n v="8"/>
    <n v="2"/>
    <n v="0"/>
    <n v="15"/>
    <n v="0"/>
    <n v="7.5"/>
    <n v="-15"/>
    <n v="0"/>
    <n v="0"/>
    <n v="-7"/>
    <n v="0"/>
    <s v="DCW"/>
    <s v="DCW"/>
    <s v="Brabourne Stadium"/>
    <n v="138"/>
    <n v="6.9"/>
    <n v="38"/>
    <n v="44"/>
    <n v="57"/>
    <s v="NA"/>
    <n v="0"/>
    <n v="0"/>
  </r>
  <r>
    <x v="19"/>
    <n v="1"/>
    <s v="P070"/>
    <x v="70"/>
    <x v="4"/>
    <s v="Bowling Allrounder"/>
    <s v="DNB"/>
    <n v="0"/>
    <n v="0"/>
    <n v="0"/>
    <s v="DNB"/>
    <n v="0"/>
    <n v="2"/>
    <n v="0"/>
    <n v="9"/>
    <n v="0"/>
    <n v="4.5"/>
    <n v="-9"/>
    <n v="0"/>
    <n v="0"/>
    <n v="-9"/>
    <n v="0"/>
    <s v="DCW"/>
    <s v="DCW"/>
    <s v="Brabourne Stadium"/>
    <n v="138"/>
    <n v="6.9"/>
    <n v="38"/>
    <n v="44"/>
    <n v="57"/>
    <s v="NA"/>
    <n v="0"/>
    <n v="0"/>
  </r>
  <r>
    <x v="19"/>
    <n v="1"/>
    <s v="P060"/>
    <x v="59"/>
    <x v="4"/>
    <s v="Bowler"/>
    <s v="DNB"/>
    <n v="0"/>
    <n v="0"/>
    <n v="0"/>
    <s v="DNB"/>
    <n v="0"/>
    <n v="3"/>
    <n v="0"/>
    <n v="29"/>
    <n v="2"/>
    <n v="9.67"/>
    <n v="20.66"/>
    <n v="0"/>
    <n v="0"/>
    <n v="20.66"/>
    <n v="2"/>
    <s v="DCW"/>
    <s v="DCW"/>
    <s v="Brabourne Stadium"/>
    <n v="138"/>
    <n v="6.9"/>
    <n v="38"/>
    <n v="44"/>
    <n v="57"/>
    <s v="NA"/>
    <n v="0"/>
    <n v="10.93"/>
  </r>
  <r>
    <x v="19"/>
    <n v="1"/>
    <s v="P054"/>
    <x v="53"/>
    <x v="4"/>
    <s v="Bowler"/>
    <s v="DNB"/>
    <n v="0"/>
    <n v="0"/>
    <n v="0"/>
    <s v="DNB"/>
    <n v="0"/>
    <n v="2"/>
    <n v="0"/>
    <n v="15"/>
    <n v="0"/>
    <n v="7.5"/>
    <n v="-15"/>
    <n v="0"/>
    <n v="0"/>
    <n v="-15"/>
    <n v="0"/>
    <s v="DCW"/>
    <s v="DCW"/>
    <s v="Brabourne Stadium"/>
    <n v="138"/>
    <n v="6.9"/>
    <n v="38"/>
    <n v="44"/>
    <n v="57"/>
    <s v="NA"/>
    <n v="0"/>
    <n v="0"/>
  </r>
  <r>
    <x v="19"/>
    <n v="1"/>
    <s v="P035"/>
    <x v="34"/>
    <x v="3"/>
    <s v="Batter"/>
    <s v="Opener"/>
    <n v="39"/>
    <n v="23"/>
    <n v="169.57"/>
    <s v="caught"/>
    <n v="50.96"/>
    <n v="0"/>
    <n v="0"/>
    <n v="0"/>
    <n v="0"/>
    <n v="0"/>
    <n v="0"/>
    <n v="0"/>
    <n v="0"/>
    <n v="50.96"/>
    <n v="5"/>
    <s v="DCW"/>
    <s v="DCW"/>
    <s v="Brabourne Stadium"/>
    <n v="142"/>
    <n v="7.96"/>
    <n v="67"/>
    <n v="12"/>
    <n v="50"/>
    <s v="Successful"/>
    <n v="1"/>
    <n v="46.980000000000004"/>
  </r>
  <r>
    <x v="19"/>
    <n v="1"/>
    <s v="P034"/>
    <x v="33"/>
    <x v="3"/>
    <s v="Batter"/>
    <s v="Top Order"/>
    <n v="21"/>
    <n v="16"/>
    <n v="131.25"/>
    <s v="caught"/>
    <n v="29.13"/>
    <n v="0"/>
    <n v="0"/>
    <n v="0"/>
    <n v="0"/>
    <n v="0"/>
    <n v="0"/>
    <n v="0"/>
    <n v="0"/>
    <n v="29.13"/>
    <n v="3"/>
    <s v="DCW"/>
    <s v="DCW"/>
    <s v="Brabourne Stadium"/>
    <n v="142"/>
    <n v="7.96"/>
    <n v="67"/>
    <n v="12"/>
    <n v="50"/>
    <s v="Successful"/>
    <n v="1"/>
    <n v="35.465000000000003"/>
  </r>
  <r>
    <x v="19"/>
    <n v="1"/>
    <s v="P037"/>
    <x v="36"/>
    <x v="3"/>
    <s v="Batter"/>
    <s v="Middle Order"/>
    <n v="3"/>
    <n v="3"/>
    <n v="100"/>
    <s v="lbw"/>
    <n v="8"/>
    <n v="0"/>
    <n v="0"/>
    <n v="0"/>
    <n v="0"/>
    <n v="0"/>
    <n v="0"/>
    <n v="0"/>
    <n v="0"/>
    <n v="8"/>
    <n v="1"/>
    <s v="DCW"/>
    <s v="DCW"/>
    <s v="Brabourne Stadium"/>
    <n v="142"/>
    <n v="7.96"/>
    <n v="67"/>
    <n v="12"/>
    <n v="50"/>
    <s v="Successful"/>
    <n v="1"/>
    <n v="24.3"/>
  </r>
  <r>
    <x v="19"/>
    <n v="1"/>
    <s v="P036"/>
    <x v="35"/>
    <x v="3"/>
    <s v="Allrounder"/>
    <s v="Middle Order"/>
    <n v="34"/>
    <n v="31"/>
    <n v="109.68"/>
    <s v="not out"/>
    <n v="44.97"/>
    <n v="4"/>
    <n v="0"/>
    <n v="24"/>
    <n v="0"/>
    <n v="6"/>
    <n v="-12"/>
    <n v="0"/>
    <n v="0"/>
    <n v="32.97"/>
    <n v="3"/>
    <s v="DCW"/>
    <s v="DCW"/>
    <s v="Brabourne Stadium"/>
    <n v="142"/>
    <n v="7.96"/>
    <n v="67"/>
    <n v="12"/>
    <n v="50"/>
    <s v="Successful"/>
    <n v="1"/>
    <n v="37.384999999999998"/>
  </r>
  <r>
    <x v="19"/>
    <n v="1"/>
    <s v="P038"/>
    <x v="37"/>
    <x v="3"/>
    <s v="Batter"/>
    <s v="Middle Order"/>
    <n v="34"/>
    <n v="31"/>
    <n v="109.68"/>
    <s v="stumped"/>
    <n v="39.97"/>
    <n v="4"/>
    <n v="0"/>
    <n v="26"/>
    <n v="3"/>
    <n v="6.5"/>
    <n v="47"/>
    <n v="0"/>
    <n v="0"/>
    <n v="86.97"/>
    <n v="9"/>
    <s v="DCW"/>
    <s v="DCW"/>
    <s v="Brabourne Stadium"/>
    <n v="142"/>
    <n v="7.96"/>
    <n v="67"/>
    <n v="12"/>
    <n v="50"/>
    <s v="Successful"/>
    <n v="1"/>
    <n v="66.185000000000002"/>
  </r>
  <r>
    <x v="19"/>
    <n v="1"/>
    <s v="P039"/>
    <x v="38"/>
    <x v="3"/>
    <s v="Bowler"/>
    <s v="Middle Order"/>
    <n v="0"/>
    <n v="5"/>
    <n v="0"/>
    <s v="run out"/>
    <n v="-5"/>
    <n v="4"/>
    <n v="0"/>
    <n v="24"/>
    <n v="1"/>
    <n v="6"/>
    <n v="8"/>
    <n v="0"/>
    <n v="0"/>
    <n v="3"/>
    <n v="0"/>
    <s v="DCW"/>
    <s v="DCW"/>
    <s v="Brabourne Stadium"/>
    <n v="142"/>
    <n v="7.96"/>
    <n v="67"/>
    <n v="12"/>
    <n v="50"/>
    <s v="Successful"/>
    <n v="1"/>
    <n v="21.5"/>
  </r>
  <r>
    <x v="19"/>
    <n v="1"/>
    <s v="P041"/>
    <x v="40"/>
    <x v="3"/>
    <s v="Bowler"/>
    <s v="Lower Order"/>
    <n v="0"/>
    <n v="0"/>
    <n v="0"/>
    <s v="not out"/>
    <n v="0"/>
    <n v="2"/>
    <n v="0"/>
    <n v="19"/>
    <n v="0"/>
    <n v="9.5"/>
    <n v="-19"/>
    <n v="0"/>
    <n v="0"/>
    <n v="-19"/>
    <n v="0"/>
    <s v="DCW"/>
    <s v="DCW"/>
    <s v="Brabourne Stadium"/>
    <n v="142"/>
    <n v="7.96"/>
    <n v="67"/>
    <n v="12"/>
    <n v="50"/>
    <s v="Successful"/>
    <n v="1"/>
    <n v="20"/>
  </r>
  <r>
    <x v="19"/>
    <n v="1"/>
    <s v="P040"/>
    <x v="39"/>
    <x v="3"/>
    <s v="WK-Batter"/>
    <s v="DNB"/>
    <n v="0"/>
    <n v="0"/>
    <n v="0"/>
    <s v="DNB"/>
    <n v="0"/>
    <n v="0"/>
    <n v="0"/>
    <n v="0"/>
    <n v="0"/>
    <n v="0"/>
    <n v="0"/>
    <n v="0"/>
    <n v="0"/>
    <n v="0"/>
    <n v="0"/>
    <s v="DCW"/>
    <s v="DCW"/>
    <s v="Brabourne Stadium"/>
    <n v="142"/>
    <n v="7.96"/>
    <n v="67"/>
    <n v="12"/>
    <n v="50"/>
    <s v="Successful"/>
    <n v="1"/>
    <n v="20"/>
  </r>
  <r>
    <x v="19"/>
    <n v="1"/>
    <s v="P043"/>
    <x v="42"/>
    <x v="3"/>
    <s v="Bowler"/>
    <s v="DNB"/>
    <n v="0"/>
    <n v="0"/>
    <n v="0"/>
    <s v="DNB"/>
    <n v="0"/>
    <n v="4"/>
    <n v="0"/>
    <n v="28"/>
    <n v="2"/>
    <n v="7"/>
    <n v="26"/>
    <n v="0"/>
    <n v="0"/>
    <n v="26"/>
    <n v="3"/>
    <s v="DCW"/>
    <s v="DCW"/>
    <s v="Brabourne Stadium"/>
    <n v="142"/>
    <n v="7.96"/>
    <n v="67"/>
    <n v="12"/>
    <n v="50"/>
    <s v="Successful"/>
    <n v="1"/>
    <n v="33.9"/>
  </r>
  <r>
    <x v="19"/>
    <n v="1"/>
    <s v="P042"/>
    <x v="41"/>
    <x v="3"/>
    <s v="Bowling Allrounder"/>
    <s v="DNB"/>
    <n v="0"/>
    <n v="0"/>
    <n v="0"/>
    <s v="DNB"/>
    <n v="0"/>
    <n v="2"/>
    <n v="0"/>
    <n v="16"/>
    <n v="0"/>
    <n v="8"/>
    <n v="-16"/>
    <n v="0"/>
    <n v="0"/>
    <n v="-16"/>
    <n v="0"/>
    <s v="DCW"/>
    <s v="DCW"/>
    <s v="Brabourne Stadium"/>
    <n v="142"/>
    <n v="7.96"/>
    <n v="67"/>
    <n v="12"/>
    <n v="50"/>
    <s v="Successful"/>
    <n v="1"/>
    <n v="20"/>
  </r>
  <r>
    <x v="19"/>
    <n v="1"/>
    <s v="P071"/>
    <x v="69"/>
    <x v="3"/>
    <s v="Bowler"/>
    <s v="DNB"/>
    <n v="0"/>
    <n v="0"/>
    <n v="0"/>
    <s v="DNB"/>
    <n v="0"/>
    <n v="0"/>
    <n v="0"/>
    <n v="0"/>
    <n v="0"/>
    <n v="0"/>
    <n v="0"/>
    <n v="0"/>
    <n v="0"/>
    <n v="0"/>
    <n v="0"/>
    <s v="DCW"/>
    <s v="DCW"/>
    <s v="Brabourne Stadium"/>
    <n v="142"/>
    <n v="7.96"/>
    <n v="67"/>
    <n v="12"/>
    <n v="50"/>
    <s v="Successful"/>
    <n v="1"/>
    <n v="20"/>
  </r>
  <r>
    <x v="20"/>
    <n v="1"/>
    <s v="P013"/>
    <x v="12"/>
    <x v="1"/>
    <s v="WK-Batter"/>
    <s v="Opener"/>
    <n v="21"/>
    <n v="18"/>
    <n v="116.67"/>
    <s v="caught"/>
    <n v="27.67"/>
    <n v="0"/>
    <n v="0"/>
    <n v="0"/>
    <n v="0"/>
    <n v="0"/>
    <n v="0"/>
    <n v="0"/>
    <n v="0"/>
    <n v="27.67"/>
    <n v="3"/>
    <s v="MIW"/>
    <s v="UPW"/>
    <s v="Dr DY Patil Sports "/>
    <n v="182"/>
    <n v="9.1"/>
    <n v="46"/>
    <n v="54"/>
    <n v="37"/>
    <s v="NA"/>
    <n v="1"/>
    <n v="34.734999999999999"/>
  </r>
  <r>
    <x v="20"/>
    <n v="1"/>
    <s v="P012"/>
    <x v="11"/>
    <x v="1"/>
    <s v="Allrounder"/>
    <s v="Opener"/>
    <n v="26"/>
    <n v="26"/>
    <n v="100"/>
    <s v="caught"/>
    <n v="31"/>
    <n v="3"/>
    <n v="0"/>
    <n v="21"/>
    <n v="1"/>
    <n v="7"/>
    <n v="6"/>
    <n v="0"/>
    <n v="0"/>
    <n v="37"/>
    <n v="4"/>
    <s v="MIW"/>
    <s v="UPW"/>
    <s v="Dr DY Patil Sports "/>
    <n v="182"/>
    <n v="9.1"/>
    <n v="46"/>
    <n v="54"/>
    <n v="37"/>
    <s v="NA"/>
    <n v="1"/>
    <n v="39.700000000000003"/>
  </r>
  <r>
    <x v="20"/>
    <n v="1"/>
    <s v="P015"/>
    <x v="14"/>
    <x v="1"/>
    <s v="Allrounder"/>
    <s v="Top Order"/>
    <n v="72"/>
    <n v="38"/>
    <n v="189.47"/>
    <s v="not out"/>
    <n v="90.95"/>
    <n v="3"/>
    <n v="0"/>
    <n v="21"/>
    <n v="1"/>
    <n v="7"/>
    <n v="6"/>
    <n v="0"/>
    <n v="0"/>
    <n v="96.95"/>
    <n v="10"/>
    <s v="MIW"/>
    <s v="UPW"/>
    <s v="Dr DY Patil Sports "/>
    <n v="182"/>
    <n v="9.1"/>
    <n v="46"/>
    <n v="54"/>
    <n v="37"/>
    <s v="NA"/>
    <n v="1"/>
    <n v="71.474999999999994"/>
  </r>
  <r>
    <x v="20"/>
    <n v="1"/>
    <s v="P014"/>
    <x v="13"/>
    <x v="1"/>
    <s v="Allrounder"/>
    <s v="Middle Order"/>
    <n v="14"/>
    <n v="15"/>
    <n v="93.33"/>
    <s v="bowled"/>
    <n v="18.329999999999998"/>
    <n v="0"/>
    <n v="0"/>
    <n v="0"/>
    <n v="0"/>
    <n v="0"/>
    <n v="0"/>
    <n v="0"/>
    <n v="0"/>
    <n v="18.329999999999998"/>
    <n v="2"/>
    <s v="MIW"/>
    <s v="UPW"/>
    <s v="Dr DY Patil Sports "/>
    <n v="182"/>
    <n v="9.1"/>
    <n v="46"/>
    <n v="54"/>
    <n v="37"/>
    <s v="NA"/>
    <n v="1"/>
    <n v="29.765000000000001"/>
  </r>
  <r>
    <x v="20"/>
    <n v="1"/>
    <s v="P016"/>
    <x v="15"/>
    <x v="1"/>
    <s v="Allrounder"/>
    <s v="Middle Order"/>
    <n v="29"/>
    <n v="19"/>
    <n v="152.63"/>
    <s v="caught"/>
    <n v="39.26"/>
    <n v="3"/>
    <n v="0"/>
    <n v="25"/>
    <n v="0"/>
    <n v="8.33"/>
    <n v="-16.66"/>
    <n v="0"/>
    <n v="0"/>
    <n v="22.6"/>
    <n v="2"/>
    <s v="MIW"/>
    <s v="UPW"/>
    <s v="Dr DY Patil Sports "/>
    <n v="182"/>
    <n v="9.1"/>
    <n v="46"/>
    <n v="54"/>
    <n v="37"/>
    <s v="NA"/>
    <n v="1"/>
    <n v="31.9"/>
  </r>
  <r>
    <x v="20"/>
    <n v="1"/>
    <s v="P018"/>
    <x v="17"/>
    <x v="1"/>
    <s v="Allrounder"/>
    <s v="Lower Order"/>
    <n v="11"/>
    <n v="4"/>
    <n v="275"/>
    <s v="not out"/>
    <n v="38.5"/>
    <n v="0"/>
    <n v="0"/>
    <n v="0"/>
    <n v="0"/>
    <n v="0"/>
    <n v="0"/>
    <n v="0"/>
    <n v="0"/>
    <n v="38.5"/>
    <n v="4"/>
    <s v="MIW"/>
    <s v="UPW"/>
    <s v="Dr DY Patil Sports "/>
    <n v="182"/>
    <n v="9.1"/>
    <n v="46"/>
    <n v="54"/>
    <n v="37"/>
    <s v="NA"/>
    <n v="1"/>
    <n v="40.450000000000003"/>
  </r>
  <r>
    <x v="20"/>
    <n v="1"/>
    <s v="P020"/>
    <x v="19"/>
    <x v="1"/>
    <s v="Bowler"/>
    <s v="DNB"/>
    <n v="0"/>
    <n v="0"/>
    <n v="0"/>
    <s v="DNB"/>
    <n v="0"/>
    <n v="4"/>
    <n v="0"/>
    <n v="15"/>
    <n v="4"/>
    <n v="3.75"/>
    <n v="65"/>
    <n v="0"/>
    <n v="0"/>
    <n v="65"/>
    <n v="7"/>
    <s v="MIW"/>
    <s v="UPW"/>
    <s v="Dr DY Patil Sports "/>
    <n v="182"/>
    <n v="9.1"/>
    <n v="46"/>
    <n v="54"/>
    <n v="37"/>
    <s v="NA"/>
    <n v="1"/>
    <n v="54.6"/>
  </r>
  <r>
    <x v="20"/>
    <n v="1"/>
    <s v="P017"/>
    <x v="16"/>
    <x v="1"/>
    <s v="Allrounder"/>
    <s v="DNB"/>
    <n v="0"/>
    <n v="0"/>
    <n v="0"/>
    <s v="DNB"/>
    <n v="0"/>
    <n v="1"/>
    <n v="0"/>
    <n v="2"/>
    <n v="0"/>
    <n v="2"/>
    <n v="-4"/>
    <n v="0"/>
    <n v="0"/>
    <n v="-4"/>
    <n v="0"/>
    <s v="MIW"/>
    <s v="UPW"/>
    <s v="Dr DY Patil Sports "/>
    <n v="182"/>
    <n v="9.1"/>
    <n v="46"/>
    <n v="54"/>
    <n v="37"/>
    <s v="NA"/>
    <n v="1"/>
    <n v="20"/>
  </r>
  <r>
    <x v="20"/>
    <n v="1"/>
    <s v="P019"/>
    <x v="18"/>
    <x v="1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MIW"/>
    <s v="UPW"/>
    <s v="Dr DY Patil Sports "/>
    <n v="182"/>
    <n v="9.1"/>
    <n v="46"/>
    <n v="54"/>
    <n v="37"/>
    <s v="NA"/>
    <n v="1"/>
    <n v="20"/>
  </r>
  <r>
    <x v="20"/>
    <n v="1"/>
    <s v="P021"/>
    <x v="20"/>
    <x v="1"/>
    <s v="Bowler"/>
    <s v="DNB"/>
    <n v="0"/>
    <n v="0"/>
    <n v="0"/>
    <s v="DNB"/>
    <n v="0"/>
    <n v="1"/>
    <n v="0"/>
    <n v="2"/>
    <n v="1"/>
    <n v="2"/>
    <n v="16"/>
    <n v="0"/>
    <n v="0"/>
    <n v="16"/>
    <n v="2"/>
    <s v="MIW"/>
    <s v="UPW"/>
    <s v="Dr DY Patil Sports "/>
    <n v="182"/>
    <n v="9.1"/>
    <n v="46"/>
    <n v="54"/>
    <n v="37"/>
    <s v="NA"/>
    <n v="1"/>
    <n v="28.6"/>
  </r>
  <r>
    <x v="20"/>
    <n v="1"/>
    <s v="P022"/>
    <x v="21"/>
    <x v="1"/>
    <s v="Bowler"/>
    <s v="DNB"/>
    <n v="0"/>
    <n v="0"/>
    <n v="0"/>
    <s v="DNB"/>
    <n v="0"/>
    <n v="2.4"/>
    <n v="1"/>
    <n v="24"/>
    <n v="2"/>
    <n v="9"/>
    <n v="22"/>
    <n v="0"/>
    <n v="0"/>
    <n v="22"/>
    <n v="2"/>
    <s v="MIW"/>
    <s v="UPW"/>
    <s v="Dr DY Patil Sports "/>
    <n v="182"/>
    <n v="9.1"/>
    <n v="46"/>
    <n v="54"/>
    <n v="37"/>
    <s v="NA"/>
    <n v="1"/>
    <n v="31.6"/>
  </r>
  <r>
    <x v="20"/>
    <n v="1"/>
    <s v="P045"/>
    <x v="44"/>
    <x v="4"/>
    <s v="WK-Batter"/>
    <s v="Opener"/>
    <n v="11"/>
    <n v="6"/>
    <n v="183.33"/>
    <s v="caught"/>
    <n v="24.33"/>
    <n v="0"/>
    <n v="0"/>
    <n v="0"/>
    <n v="0"/>
    <n v="0"/>
    <n v="0"/>
    <n v="0"/>
    <n v="0"/>
    <n v="24.33"/>
    <n v="2"/>
    <s v="MIW"/>
    <s v="UPW"/>
    <s v="Dr DY Patil Sports "/>
    <n v="110"/>
    <n v="6.23"/>
    <n v="46"/>
    <n v="6"/>
    <n v="61"/>
    <s v="Failed"/>
    <n v="0"/>
    <n v="12.764999999999999"/>
  </r>
  <r>
    <x v="20"/>
    <n v="1"/>
    <s v="P046"/>
    <x v="45"/>
    <x v="4"/>
    <s v="Batter"/>
    <s v="Top Order"/>
    <n v="1"/>
    <n v="8"/>
    <n v="12.5"/>
    <s v="caught"/>
    <n v="-2.75"/>
    <n v="0"/>
    <n v="0"/>
    <n v="0"/>
    <n v="0"/>
    <n v="0"/>
    <n v="0"/>
    <n v="0"/>
    <n v="0"/>
    <n v="-2.75"/>
    <n v="0"/>
    <s v="MIW"/>
    <s v="UPW"/>
    <s v="Dr DY Patil Sports "/>
    <n v="110"/>
    <n v="6.23"/>
    <n v="46"/>
    <n v="6"/>
    <n v="61"/>
    <s v="Failed"/>
    <n v="0"/>
    <n v="0"/>
  </r>
  <r>
    <x v="20"/>
    <n v="1"/>
    <s v="P051"/>
    <x v="50"/>
    <x v="4"/>
    <s v="Batter"/>
    <s v="Top Order"/>
    <n v="43"/>
    <n v="27"/>
    <n v="159.26"/>
    <s v="caught"/>
    <n v="53.93"/>
    <n v="0"/>
    <n v="0"/>
    <n v="0"/>
    <n v="0"/>
    <n v="0"/>
    <n v="0"/>
    <n v="0"/>
    <n v="0"/>
    <n v="53.93"/>
    <n v="5"/>
    <s v="MIW"/>
    <s v="UPW"/>
    <s v="Dr DY Patil Sports "/>
    <n v="110"/>
    <n v="6.23"/>
    <n v="46"/>
    <n v="6"/>
    <n v="61"/>
    <s v="Failed"/>
    <n v="0"/>
    <n v="28.465"/>
  </r>
  <r>
    <x v="20"/>
    <n v="1"/>
    <s v="P047"/>
    <x v="46"/>
    <x v="4"/>
    <s v="Allrounder"/>
    <s v="Top Order"/>
    <n v="7"/>
    <n v="6"/>
    <n v="116.67"/>
    <s v="run out"/>
    <n v="8.67"/>
    <n v="0"/>
    <n v="0"/>
    <n v="0"/>
    <n v="0"/>
    <n v="0"/>
    <n v="0"/>
    <n v="0"/>
    <n v="0"/>
    <n v="8.67"/>
    <n v="1"/>
    <s v="MIW"/>
    <s v="UPW"/>
    <s v="Dr DY Patil Sports "/>
    <n v="110"/>
    <n v="6.23"/>
    <n v="46"/>
    <n v="6"/>
    <n v="61"/>
    <s v="Failed"/>
    <n v="0"/>
    <n v="4.6349999999999998"/>
  </r>
  <r>
    <x v="20"/>
    <n v="1"/>
    <s v="P049"/>
    <x v="48"/>
    <x v="4"/>
    <s v="Allrounder"/>
    <s v="Middle Order"/>
    <n v="14"/>
    <n v="12"/>
    <n v="116.67"/>
    <s v="caught"/>
    <n v="20.67"/>
    <n v="3"/>
    <n v="0"/>
    <n v="20"/>
    <n v="0"/>
    <n v="6.67"/>
    <n v="-13.34"/>
    <n v="0"/>
    <n v="0"/>
    <n v="7.33"/>
    <n v="1"/>
    <s v="MIW"/>
    <s v="UPW"/>
    <s v="Dr DY Patil Sports "/>
    <n v="110"/>
    <n v="6.23"/>
    <n v="46"/>
    <n v="6"/>
    <n v="61"/>
    <s v="Failed"/>
    <n v="0"/>
    <n v="3.9649999999999999"/>
  </r>
  <r>
    <x v="20"/>
    <n v="1"/>
    <s v="P048"/>
    <x v="47"/>
    <x v="4"/>
    <s v="Allrounder"/>
    <s v="Middle Order"/>
    <n v="16"/>
    <n v="20"/>
    <n v="80"/>
    <s v="caught"/>
    <n v="19"/>
    <n v="4"/>
    <n v="0"/>
    <n v="39"/>
    <n v="0"/>
    <n v="9.75"/>
    <n v="-19.5"/>
    <n v="0"/>
    <n v="0"/>
    <n v="-0.5"/>
    <n v="0"/>
    <s v="MIW"/>
    <s v="UPW"/>
    <s v="Dr DY Patil Sports "/>
    <n v="110"/>
    <n v="6.23"/>
    <n v="46"/>
    <n v="6"/>
    <n v="61"/>
    <s v="Failed"/>
    <n v="0"/>
    <n v="0"/>
  </r>
  <r>
    <x v="20"/>
    <n v="1"/>
    <s v="P050"/>
    <x v="49"/>
    <x v="4"/>
    <s v="Batter"/>
    <s v="Middle Order"/>
    <n v="0"/>
    <n v="1"/>
    <n v="0"/>
    <s v="bowled"/>
    <n v="-5"/>
    <n v="0"/>
    <n v="0"/>
    <n v="0"/>
    <n v="0"/>
    <n v="0"/>
    <n v="0"/>
    <n v="0"/>
    <n v="0"/>
    <n v="-5"/>
    <n v="0"/>
    <s v="MIW"/>
    <s v="UPW"/>
    <s v="Dr DY Patil Sports "/>
    <n v="110"/>
    <n v="6.23"/>
    <n v="46"/>
    <n v="6"/>
    <n v="61"/>
    <s v="Failed"/>
    <n v="0"/>
    <n v="0"/>
  </r>
  <r>
    <x v="20"/>
    <n v="1"/>
    <s v="P053"/>
    <x v="52"/>
    <x v="4"/>
    <s v="Bowler"/>
    <s v="Middle Order"/>
    <n v="0"/>
    <n v="1"/>
    <n v="0"/>
    <s v="bowled"/>
    <n v="-5"/>
    <n v="4"/>
    <n v="0"/>
    <n v="39"/>
    <n v="2"/>
    <n v="9.75"/>
    <n v="20.5"/>
    <n v="0"/>
    <n v="0"/>
    <n v="15.5"/>
    <n v="2"/>
    <s v="MIW"/>
    <s v="UPW"/>
    <s v="Dr DY Patil Sports "/>
    <n v="110"/>
    <n v="6.23"/>
    <n v="46"/>
    <n v="6"/>
    <n v="61"/>
    <s v="Failed"/>
    <n v="0"/>
    <n v="8.35"/>
  </r>
  <r>
    <x v="20"/>
    <n v="1"/>
    <s v="P054"/>
    <x v="53"/>
    <x v="4"/>
    <s v="Bowler"/>
    <s v="Middle Order"/>
    <n v="5"/>
    <n v="11"/>
    <n v="45.45"/>
    <s v="bowled"/>
    <n v="4.55"/>
    <n v="3"/>
    <n v="0"/>
    <n v="17"/>
    <n v="1"/>
    <n v="5.67"/>
    <n v="8.66"/>
    <n v="0"/>
    <n v="0"/>
    <n v="13.21"/>
    <n v="1"/>
    <s v="MIW"/>
    <s v="UPW"/>
    <s v="Dr DY Patil Sports "/>
    <n v="110"/>
    <n v="6.23"/>
    <n v="46"/>
    <n v="6"/>
    <n v="61"/>
    <s v="Failed"/>
    <n v="0"/>
    <n v="6.9050000000000002"/>
  </r>
  <r>
    <x v="20"/>
    <n v="1"/>
    <s v="P055"/>
    <x v="54"/>
    <x v="4"/>
    <s v="Bowler"/>
    <s v="Middle Order"/>
    <n v="5"/>
    <n v="9"/>
    <n v="55.56"/>
    <s v="lbw"/>
    <n v="5.56"/>
    <n v="4"/>
    <n v="0"/>
    <n v="36"/>
    <n v="0"/>
    <n v="9"/>
    <n v="-18"/>
    <n v="0"/>
    <n v="0"/>
    <n v="-12.44"/>
    <n v="0"/>
    <s v="MIW"/>
    <s v="UPW"/>
    <s v="Dr DY Patil Sports "/>
    <n v="110"/>
    <n v="6.23"/>
    <n v="46"/>
    <n v="6"/>
    <n v="61"/>
    <s v="Failed"/>
    <n v="0"/>
    <n v="0"/>
  </r>
  <r>
    <x v="20"/>
    <n v="1"/>
    <s v="P070"/>
    <x v="70"/>
    <x v="4"/>
    <s v="Allrounder"/>
    <s v="Lower Order"/>
    <n v="0"/>
    <n v="5"/>
    <n v="0"/>
    <s v="not out"/>
    <n v="0"/>
    <n v="2"/>
    <n v="0"/>
    <n v="25"/>
    <n v="1"/>
    <n v="12.5"/>
    <n v="-5"/>
    <n v="0"/>
    <n v="0"/>
    <n v="-5"/>
    <n v="0"/>
    <s v="MIW"/>
    <s v="UPW"/>
    <s v="Dr DY Patil Sports "/>
    <n v="110"/>
    <n v="6.23"/>
    <n v="46"/>
    <n v="6"/>
    <n v="61"/>
    <s v="Failed"/>
    <n v="0"/>
    <n v="0"/>
  </r>
  <r>
    <x v="21"/>
    <n v="1"/>
    <s v="P035"/>
    <x v="34"/>
    <x v="3"/>
    <s v="Batter"/>
    <s v="Opener"/>
    <n v="35"/>
    <n v="29"/>
    <n v="120.69"/>
    <s v="run out"/>
    <n v="42.07"/>
    <n v="0"/>
    <n v="0"/>
    <n v="0"/>
    <n v="0"/>
    <n v="0"/>
    <n v="0"/>
    <n v="0"/>
    <n v="0"/>
    <n v="42.07"/>
    <n v="4"/>
    <s v="MIW"/>
    <s v="DCW"/>
    <s v="Brabourne Stadium"/>
    <n v="131"/>
    <n v="6.55"/>
    <n v="38"/>
    <n v="52"/>
    <n v="57"/>
    <s v="NA"/>
    <n v="0"/>
    <n v="22.234999999999999"/>
  </r>
  <r>
    <x v="21"/>
    <n v="1"/>
    <s v="P034"/>
    <x v="33"/>
    <x v="3"/>
    <s v="Batter"/>
    <s v="Top Order"/>
    <n v="11"/>
    <n v="4"/>
    <n v="275"/>
    <s v="caught"/>
    <n v="33.5"/>
    <n v="0"/>
    <n v="0"/>
    <n v="0"/>
    <n v="0"/>
    <n v="0"/>
    <n v="0"/>
    <n v="0"/>
    <n v="0"/>
    <n v="33.5"/>
    <n v="3"/>
    <s v="MIW"/>
    <s v="DCW"/>
    <s v="Brabourne Stadium"/>
    <n v="131"/>
    <n v="6.55"/>
    <n v="38"/>
    <n v="52"/>
    <n v="57"/>
    <s v="NA"/>
    <n v="0"/>
    <n v="17.649999999999999"/>
  </r>
  <r>
    <x v="21"/>
    <n v="1"/>
    <s v="P038"/>
    <x v="37"/>
    <x v="3"/>
    <s v="Batter"/>
    <s v="Top Order"/>
    <n v="0"/>
    <n v="2"/>
    <n v="0"/>
    <s v="caught"/>
    <n v="-5"/>
    <n v="3.3"/>
    <n v="0"/>
    <n v="34"/>
    <n v="0"/>
    <n v="10.3"/>
    <n v="-20.6"/>
    <n v="0"/>
    <n v="0"/>
    <n v="-25.6"/>
    <n v="0"/>
    <s v="MIW"/>
    <s v="DCW"/>
    <s v="Brabourne Stadium"/>
    <n v="131"/>
    <n v="6.55"/>
    <n v="38"/>
    <n v="52"/>
    <n v="57"/>
    <s v="NA"/>
    <n v="0"/>
    <n v="0"/>
  </r>
  <r>
    <x v="21"/>
    <n v="1"/>
    <s v="P037"/>
    <x v="36"/>
    <x v="3"/>
    <s v="Batter"/>
    <s v="Middle Order"/>
    <n v="9"/>
    <n v="8"/>
    <n v="112.5"/>
    <s v="caught"/>
    <n v="15.25"/>
    <n v="0"/>
    <n v="0"/>
    <n v="0"/>
    <n v="0"/>
    <n v="0"/>
    <n v="0"/>
    <n v="0"/>
    <n v="0"/>
    <n v="15.25"/>
    <n v="2"/>
    <s v="MIW"/>
    <s v="DCW"/>
    <s v="Brabourne Stadium"/>
    <n v="131"/>
    <n v="6.55"/>
    <n v="38"/>
    <n v="52"/>
    <n v="57"/>
    <s v="NA"/>
    <n v="0"/>
    <n v="8.2249999999999996"/>
  </r>
  <r>
    <x v="21"/>
    <n v="1"/>
    <s v="P036"/>
    <x v="35"/>
    <x v="3"/>
    <s v="Allrounder"/>
    <s v="Middle Order"/>
    <n v="18"/>
    <n v="21"/>
    <n v="85.71"/>
    <s v="caught"/>
    <n v="21.57"/>
    <n v="4"/>
    <n v="0"/>
    <n v="22"/>
    <n v="0"/>
    <n v="5.5"/>
    <n v="-11"/>
    <n v="0"/>
    <n v="0"/>
    <n v="10.57"/>
    <n v="1"/>
    <s v="MIW"/>
    <s v="DCW"/>
    <s v="Brabourne Stadium"/>
    <n v="131"/>
    <n v="6.55"/>
    <n v="38"/>
    <n v="52"/>
    <n v="57"/>
    <s v="NA"/>
    <n v="0"/>
    <n v="5.585"/>
  </r>
  <r>
    <x v="21"/>
    <n v="1"/>
    <s v="P039"/>
    <x v="38"/>
    <x v="3"/>
    <s v="Bowler"/>
    <s v="Middle Order"/>
    <n v="2"/>
    <n v="11"/>
    <n v="18.18"/>
    <s v="caught"/>
    <n v="-1.18"/>
    <n v="4"/>
    <n v="0"/>
    <n v="28"/>
    <n v="1"/>
    <n v="7"/>
    <n v="6"/>
    <n v="0"/>
    <n v="0"/>
    <n v="4.82"/>
    <n v="0"/>
    <s v="MIW"/>
    <s v="DCW"/>
    <s v="Brabourne Stadium"/>
    <n v="131"/>
    <n v="6.55"/>
    <n v="38"/>
    <n v="52"/>
    <n v="57"/>
    <s v="NA"/>
    <n v="0"/>
    <n v="2.41"/>
  </r>
  <r>
    <x v="21"/>
    <n v="1"/>
    <s v="P041"/>
    <x v="40"/>
    <x v="3"/>
    <s v="Bowler"/>
    <s v="Middle Order"/>
    <n v="0"/>
    <n v="5"/>
    <n v="0"/>
    <s v="caught"/>
    <n v="-5"/>
    <n v="0"/>
    <n v="0"/>
    <n v="0"/>
    <n v="0"/>
    <n v="0"/>
    <n v="0"/>
    <n v="0"/>
    <n v="0"/>
    <n v="-5"/>
    <n v="0"/>
    <s v="MIW"/>
    <s v="DCW"/>
    <s v="Brabourne Stadium"/>
    <n v="131"/>
    <n v="6.55"/>
    <n v="38"/>
    <n v="52"/>
    <n v="57"/>
    <s v="NA"/>
    <n v="0"/>
    <n v="0"/>
  </r>
  <r>
    <x v="21"/>
    <n v="1"/>
    <s v="P042"/>
    <x v="41"/>
    <x v="3"/>
    <s v="Allrounder"/>
    <s v="Middle Order"/>
    <n v="27"/>
    <n v="17"/>
    <n v="158.82"/>
    <s v="not out"/>
    <n v="42.88"/>
    <n v="4"/>
    <n v="0"/>
    <n v="23"/>
    <n v="0"/>
    <n v="5.75"/>
    <n v="-11.5"/>
    <n v="0"/>
    <n v="0"/>
    <n v="31.38"/>
    <n v="3"/>
    <s v="MIW"/>
    <s v="DCW"/>
    <s v="Brabourne Stadium"/>
    <n v="131"/>
    <n v="6.55"/>
    <n v="38"/>
    <n v="52"/>
    <n v="57"/>
    <s v="NA"/>
    <n v="0"/>
    <n v="16.59"/>
  </r>
  <r>
    <x v="21"/>
    <n v="1"/>
    <s v="P062"/>
    <x v="61"/>
    <x v="3"/>
    <s v="Allrounder"/>
    <s v="Lower Order"/>
    <n v="1"/>
    <n v="9"/>
    <n v="11.11"/>
    <s v="stumped"/>
    <n v="-2.89"/>
    <n v="0"/>
    <n v="0"/>
    <n v="0"/>
    <n v="0"/>
    <n v="0"/>
    <n v="0"/>
    <n v="0"/>
    <n v="0"/>
    <n v="-2.89"/>
    <n v="0"/>
    <s v="MIW"/>
    <s v="DCW"/>
    <s v="Brabourne Stadium"/>
    <n v="131"/>
    <n v="6.55"/>
    <n v="38"/>
    <n v="52"/>
    <n v="57"/>
    <s v="NA"/>
    <n v="0"/>
    <n v="0"/>
  </r>
  <r>
    <x v="21"/>
    <n v="1"/>
    <s v="P040"/>
    <x v="39"/>
    <x v="3"/>
    <s v="WK-Batter"/>
    <s v="Lower Order"/>
    <n v="0"/>
    <n v="2"/>
    <n v="0"/>
    <s v="bowled"/>
    <n v="-5"/>
    <n v="0"/>
    <n v="0"/>
    <n v="0"/>
    <n v="0"/>
    <n v="0"/>
    <n v="0"/>
    <n v="0"/>
    <n v="0"/>
    <n v="-5"/>
    <n v="0"/>
    <s v="MIW"/>
    <s v="DCW"/>
    <s v="Brabourne Stadium"/>
    <n v="131"/>
    <n v="6.55"/>
    <n v="38"/>
    <n v="52"/>
    <n v="57"/>
    <s v="NA"/>
    <n v="0"/>
    <n v="0"/>
  </r>
  <r>
    <x v="21"/>
    <n v="1"/>
    <s v="P043"/>
    <x v="42"/>
    <x v="3"/>
    <s v="Bowler"/>
    <s v="Lower Order"/>
    <n v="27"/>
    <n v="12"/>
    <n v="225"/>
    <s v="not out"/>
    <n v="49.5"/>
    <n v="4"/>
    <n v="0"/>
    <n v="24"/>
    <n v="1"/>
    <n v="6"/>
    <n v="8"/>
    <n v="0"/>
    <n v="0"/>
    <n v="57.5"/>
    <n v="6"/>
    <s v="MIW"/>
    <s v="DCW"/>
    <s v="Brabourne Stadium"/>
    <n v="131"/>
    <n v="6.55"/>
    <n v="38"/>
    <n v="52"/>
    <n v="57"/>
    <s v="NA"/>
    <n v="0"/>
    <n v="30.55"/>
  </r>
  <r>
    <x v="21"/>
    <n v="1"/>
    <s v="P012"/>
    <x v="11"/>
    <x v="1"/>
    <s v="Allrounder"/>
    <s v="Opener"/>
    <n v="13"/>
    <n v="12"/>
    <n v="108.33"/>
    <s v="caught"/>
    <n v="18.829999999999998"/>
    <n v="4"/>
    <n v="2"/>
    <n v="5"/>
    <n v="3"/>
    <n v="1.25"/>
    <n v="55"/>
    <n v="0"/>
    <n v="0"/>
    <n v="73.83"/>
    <n v="7"/>
    <s v="MIW"/>
    <s v="DCW"/>
    <s v="Brabourne Stadium"/>
    <n v="134"/>
    <n v="6.87"/>
    <n v="27"/>
    <n v="39"/>
    <n v="47"/>
    <s v="Successful"/>
    <n v="1"/>
    <n v="59.015000000000001"/>
  </r>
  <r>
    <x v="21"/>
    <n v="1"/>
    <s v="P013"/>
    <x v="12"/>
    <x v="1"/>
    <s v="WK-Batter"/>
    <s v="Opener"/>
    <n v="4"/>
    <n v="3"/>
    <n v="133.33000000000001"/>
    <s v="caught"/>
    <n v="12.33"/>
    <n v="0"/>
    <n v="0"/>
    <n v="0"/>
    <n v="0"/>
    <n v="0"/>
    <n v="0"/>
    <n v="0"/>
    <n v="0"/>
    <n v="12.33"/>
    <n v="1"/>
    <s v="MIW"/>
    <s v="DCW"/>
    <s v="Brabourne Stadium"/>
    <n v="134"/>
    <n v="6.87"/>
    <n v="27"/>
    <n v="39"/>
    <n v="47"/>
    <s v="Successful"/>
    <n v="1"/>
    <n v="26.465"/>
  </r>
  <r>
    <x v="21"/>
    <n v="1"/>
    <s v="P015"/>
    <x v="14"/>
    <x v="1"/>
    <s v="Allrounder"/>
    <s v="Top Order"/>
    <n v="60"/>
    <n v="55"/>
    <n v="109.09"/>
    <s v="not out"/>
    <n v="70.91"/>
    <n v="4"/>
    <n v="0"/>
    <n v="37"/>
    <n v="0"/>
    <n v="9.25"/>
    <n v="-18.5"/>
    <n v="0"/>
    <n v="0"/>
    <n v="52.41"/>
    <n v="5"/>
    <s v="MIW"/>
    <s v="DCW"/>
    <s v="Brabourne Stadium"/>
    <n v="134"/>
    <n v="6.87"/>
    <n v="27"/>
    <n v="39"/>
    <n v="47"/>
    <s v="Successful"/>
    <n v="1"/>
    <n v="47.704999999999998"/>
  </r>
  <r>
    <x v="21"/>
    <n v="1"/>
    <s v="P014"/>
    <x v="13"/>
    <x v="1"/>
    <s v="Allrounder"/>
    <s v="Top Order"/>
    <n v="37"/>
    <n v="39"/>
    <n v="94.87"/>
    <s v="run out"/>
    <n v="41.49"/>
    <n v="0"/>
    <n v="0"/>
    <n v="0"/>
    <n v="0"/>
    <n v="0"/>
    <n v="0"/>
    <n v="0"/>
    <n v="0"/>
    <n v="41.49"/>
    <n v="4"/>
    <s v="MIW"/>
    <s v="DCW"/>
    <s v="Brabourne Stadium"/>
    <n v="134"/>
    <n v="6.87"/>
    <n v="27"/>
    <n v="39"/>
    <n v="47"/>
    <s v="Successful"/>
    <n v="1"/>
    <n v="41.945"/>
  </r>
  <r>
    <x v="21"/>
    <n v="1"/>
    <s v="P016"/>
    <x v="15"/>
    <x v="1"/>
    <s v="Allrounder"/>
    <s v="Middle Order"/>
    <n v="14"/>
    <n v="8"/>
    <n v="175"/>
    <s v="not out"/>
    <n v="31.5"/>
    <n v="4"/>
    <n v="0"/>
    <n v="18"/>
    <n v="2"/>
    <n v="4.5"/>
    <n v="31"/>
    <n v="0"/>
    <n v="0"/>
    <n v="62.5"/>
    <n v="6"/>
    <s v="MIW"/>
    <s v="DCW"/>
    <s v="Brabourne Stadium"/>
    <n v="134"/>
    <n v="6.87"/>
    <n v="27"/>
    <n v="39"/>
    <n v="47"/>
    <s v="Successful"/>
    <n v="1"/>
    <n v="53.05"/>
  </r>
  <r>
    <x v="21"/>
    <n v="1"/>
    <s v="P018"/>
    <x v="17"/>
    <x v="1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MIW"/>
    <s v="DCW"/>
    <s v="Brabourne Stadium"/>
    <n v="134"/>
    <n v="6.87"/>
    <n v="27"/>
    <n v="39"/>
    <n v="47"/>
    <s v="Successful"/>
    <n v="1"/>
    <n v="20"/>
  </r>
  <r>
    <x v="21"/>
    <n v="1"/>
    <s v="P020"/>
    <x v="19"/>
    <x v="1"/>
    <s v="Bowler"/>
    <s v="DNB"/>
    <n v="0"/>
    <n v="0"/>
    <n v="0"/>
    <s v="DNB"/>
    <n v="0"/>
    <n v="4"/>
    <n v="0"/>
    <n v="42"/>
    <n v="3"/>
    <n v="10.5"/>
    <n v="19"/>
    <n v="0"/>
    <n v="0"/>
    <n v="19"/>
    <n v="2"/>
    <s v="MIW"/>
    <s v="DCW"/>
    <s v="Brabourne Stadium"/>
    <n v="134"/>
    <n v="6.87"/>
    <n v="27"/>
    <n v="39"/>
    <n v="47"/>
    <s v="Successful"/>
    <n v="1"/>
    <n v="30.1"/>
  </r>
  <r>
    <x v="21"/>
    <n v="1"/>
    <s v="P017"/>
    <x v="16"/>
    <x v="1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MIW"/>
    <s v="DCW"/>
    <s v="Brabourne Stadium"/>
    <n v="134"/>
    <n v="6.87"/>
    <n v="27"/>
    <n v="39"/>
    <n v="47"/>
    <s v="Successful"/>
    <n v="1"/>
    <n v="20"/>
  </r>
  <r>
    <x v="21"/>
    <n v="1"/>
    <s v="P019"/>
    <x v="18"/>
    <x v="1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MIW"/>
    <s v="DCW"/>
    <s v="Brabourne Stadium"/>
    <n v="134"/>
    <n v="6.87"/>
    <n v="27"/>
    <n v="39"/>
    <n v="47"/>
    <s v="Successful"/>
    <n v="1"/>
    <n v="20"/>
  </r>
  <r>
    <x v="21"/>
    <n v="1"/>
    <s v="P021"/>
    <x v="20"/>
    <x v="1"/>
    <s v="Bowler"/>
    <s v="DNB"/>
    <n v="0"/>
    <n v="0"/>
    <n v="0"/>
    <s v="DNB"/>
    <n v="0"/>
    <n v="0"/>
    <n v="0"/>
    <n v="0"/>
    <n v="0"/>
    <n v="0"/>
    <n v="0"/>
    <n v="0"/>
    <n v="0"/>
    <n v="0"/>
    <n v="0"/>
    <s v="MIW"/>
    <s v="DCW"/>
    <s v="Brabourne Stadium"/>
    <n v="134"/>
    <n v="6.87"/>
    <n v="27"/>
    <n v="39"/>
    <n v="47"/>
    <s v="Successful"/>
    <n v="1"/>
    <n v="20"/>
  </r>
  <r>
    <x v="21"/>
    <n v="1"/>
    <s v="P022"/>
    <x v="21"/>
    <x v="1"/>
    <s v="Bowler"/>
    <s v="DNB"/>
    <n v="0"/>
    <n v="0"/>
    <n v="0"/>
    <s v="DNB"/>
    <n v="0"/>
    <n v="4"/>
    <n v="0"/>
    <n v="28"/>
    <n v="0"/>
    <n v="7"/>
    <n v="-14"/>
    <n v="0"/>
    <n v="0"/>
    <n v="-14"/>
    <n v="0"/>
    <s v="MIW"/>
    <s v="DCW"/>
    <s v="Brabourne Stadium"/>
    <n v="134"/>
    <n v="6.87"/>
    <n v="27"/>
    <n v="39"/>
    <n v="47"/>
    <s v="Successful"/>
    <n v="1"/>
    <n v="20"/>
  </r>
  <r>
    <x v="22"/>
    <m/>
    <m/>
    <x v="71"/>
    <x v="5"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"/>
    <n v="20"/>
  </r>
  <r>
    <x v="23"/>
    <n v="2"/>
    <s v="P035"/>
    <x v="34"/>
    <x v="3"/>
    <s v="Batter"/>
    <s v="Opener"/>
    <n v="31"/>
    <n v="25"/>
    <n v="124"/>
    <s v="caught"/>
    <n v="38.4"/>
    <n v="0"/>
    <n v="0"/>
    <n v="0"/>
    <n v="0"/>
    <n v="0"/>
    <n v="0"/>
    <n v="0"/>
    <n v="0"/>
    <n v="38.4"/>
    <n v="4"/>
    <s v="MIW"/>
    <s v="MIW"/>
    <s v="M. Chinnaswamy Stadium"/>
    <n v="171"/>
    <n v="8.5500000000000007"/>
    <n v="26"/>
    <n v="44"/>
    <n v="51"/>
    <s v="NA"/>
    <n v="0"/>
    <n v="20.399999999999999"/>
  </r>
  <r>
    <x v="23"/>
    <n v="2"/>
    <s v="P034"/>
    <x v="33"/>
    <x v="3"/>
    <s v="Batter"/>
    <s v="Opener"/>
    <n v="1"/>
    <n v="8"/>
    <n v="12.5"/>
    <s v="bowled"/>
    <n v="0"/>
    <n v="0"/>
    <n v="0"/>
    <n v="0"/>
    <n v="0"/>
    <n v="0"/>
    <n v="0"/>
    <n v="0"/>
    <n v="0"/>
    <n v="0"/>
    <n v="0"/>
    <s v="MIW"/>
    <s v="MIW"/>
    <s v="M. Chinnaswamy Stadium"/>
    <n v="171"/>
    <n v="8.5500000000000007"/>
    <n v="26"/>
    <n v="44"/>
    <n v="51"/>
    <s v="NA"/>
    <n v="0"/>
    <n v="0"/>
  </r>
  <r>
    <x v="23"/>
    <n v="2"/>
    <s v="P038"/>
    <x v="37"/>
    <x v="3"/>
    <s v="Batter"/>
    <s v="Top Order"/>
    <n v="75"/>
    <n v="53"/>
    <n v="141.51"/>
    <s v="lbw"/>
    <n v="84.15"/>
    <n v="2"/>
    <n v="0"/>
    <n v="23"/>
    <n v="2"/>
    <n v="11.5"/>
    <n v="20"/>
    <n v="0"/>
    <n v="0"/>
    <n v="104.15"/>
    <n v="10"/>
    <s v="MIW"/>
    <s v="MIW"/>
    <s v="M. Chinnaswamy Stadium"/>
    <n v="171"/>
    <n v="8.5500000000000007"/>
    <n v="26"/>
    <n v="44"/>
    <n v="51"/>
    <s v="NA"/>
    <n v="0"/>
    <n v="55.075000000000003"/>
  </r>
  <r>
    <x v="23"/>
    <n v="2"/>
    <s v="P037"/>
    <x v="36"/>
    <x v="3"/>
    <s v="Batter"/>
    <s v="Top Order"/>
    <n v="42"/>
    <n v="24"/>
    <n v="175"/>
    <s v="caught"/>
    <n v="54.5"/>
    <n v="0"/>
    <n v="0"/>
    <n v="0"/>
    <n v="0"/>
    <n v="0"/>
    <n v="0"/>
    <n v="0"/>
    <n v="0"/>
    <n v="54.5"/>
    <n v="5"/>
    <s v="MIW"/>
    <s v="MIW"/>
    <s v="M. Chinnaswamy Stadium"/>
    <n v="171"/>
    <n v="8.5500000000000007"/>
    <n v="26"/>
    <n v="44"/>
    <n v="51"/>
    <s v="NA"/>
    <n v="0"/>
    <n v="28.75"/>
  </r>
  <r>
    <x v="23"/>
    <n v="2"/>
    <s v="P036"/>
    <x v="35"/>
    <x v="3"/>
    <s v="Allrounder"/>
    <s v="Middle Order"/>
    <n v="16"/>
    <n v="9"/>
    <n v="177.78"/>
    <s v="stumped"/>
    <n v="28.78"/>
    <n v="4"/>
    <n v="0"/>
    <n v="32"/>
    <n v="1"/>
    <n v="8"/>
    <n v="16"/>
    <n v="0"/>
    <n v="0"/>
    <n v="44.78"/>
    <n v="4"/>
    <s v="MIW"/>
    <s v="MIW"/>
    <s v="M. Chinnaswamy Stadium"/>
    <n v="171"/>
    <n v="8.5500000000000007"/>
    <n v="26"/>
    <n v="44"/>
    <n v="51"/>
    <s v="NA"/>
    <n v="0"/>
    <n v="23.59"/>
  </r>
  <r>
    <x v="23"/>
    <n v="2"/>
    <s v="P005"/>
    <x v="4"/>
    <x v="3"/>
    <s v="Allrounder"/>
    <s v="Middle Order"/>
    <n v="1"/>
    <n v="2"/>
    <n v="50"/>
    <s v="not out"/>
    <n v="0.5"/>
    <n v="4"/>
    <n v="0"/>
    <n v="38"/>
    <n v="0"/>
    <n v="9.5"/>
    <n v="0"/>
    <n v="0"/>
    <n v="0"/>
    <n v="0.5"/>
    <n v="0"/>
    <s v="MIW"/>
    <s v="MIW"/>
    <s v="M. Chinnaswamy Stadium"/>
    <n v="171"/>
    <n v="8.5500000000000007"/>
    <n v="26"/>
    <n v="44"/>
    <n v="51"/>
    <s v="NA"/>
    <n v="0"/>
    <n v="0.25"/>
  </r>
  <r>
    <x v="23"/>
    <n v="2"/>
    <s v="P041"/>
    <x v="40"/>
    <x v="3"/>
    <s v="Bowler"/>
    <s v="DNB"/>
    <n v="0"/>
    <n v="0"/>
    <n v="0"/>
    <s v="DNB"/>
    <n v="0"/>
    <n v="4"/>
    <n v="0"/>
    <n v="27"/>
    <n v="2"/>
    <n v="6.75"/>
    <n v="34.5"/>
    <n v="0"/>
    <n v="0"/>
    <n v="34.5"/>
    <n v="3"/>
    <s v="MIW"/>
    <s v="MIW"/>
    <s v="M. Chinnaswamy Stadium"/>
    <n v="171"/>
    <n v="8.5500000000000007"/>
    <n v="26"/>
    <n v="44"/>
    <n v="51"/>
    <s v="NA"/>
    <n v="0"/>
    <n v="18.149999999999999"/>
  </r>
  <r>
    <x v="23"/>
    <n v="2"/>
    <s v="P062"/>
    <x v="61"/>
    <x v="3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MIW"/>
    <s v="MIW"/>
    <s v="M. Chinnaswamy Stadium"/>
    <n v="171"/>
    <n v="8.5500000000000007"/>
    <n v="26"/>
    <n v="44"/>
    <n v="51"/>
    <s v="NA"/>
    <n v="0"/>
    <n v="0"/>
  </r>
  <r>
    <x v="23"/>
    <n v="2"/>
    <s v="P040"/>
    <x v="39"/>
    <x v="3"/>
    <s v="WK-Batter"/>
    <s v="DNB"/>
    <n v="0"/>
    <n v="0"/>
    <n v="0"/>
    <s v="DNB"/>
    <n v="0"/>
    <n v="0"/>
    <n v="0"/>
    <n v="0"/>
    <n v="0"/>
    <n v="0"/>
    <n v="0"/>
    <n v="0"/>
    <n v="0"/>
    <n v="0"/>
    <n v="0"/>
    <s v="MIW"/>
    <s v="MIW"/>
    <s v="M. Chinnaswamy Stadium"/>
    <n v="171"/>
    <n v="8.5500000000000007"/>
    <n v="26"/>
    <n v="44"/>
    <n v="51"/>
    <s v="NA"/>
    <n v="0"/>
    <n v="0"/>
  </r>
  <r>
    <x v="23"/>
    <n v="2"/>
    <s v="P043"/>
    <x v="42"/>
    <x v="3"/>
    <s v="Bowler"/>
    <s v="DNB"/>
    <n v="0"/>
    <n v="0"/>
    <n v="0"/>
    <s v="DNB"/>
    <n v="0"/>
    <n v="2"/>
    <n v="0"/>
    <n v="18"/>
    <n v="0"/>
    <n v="9"/>
    <n v="0"/>
    <n v="0"/>
    <n v="0"/>
    <n v="0"/>
    <n v="0"/>
    <s v="MIW"/>
    <s v="MIW"/>
    <s v="M. Chinnaswamy Stadium"/>
    <n v="171"/>
    <n v="8.5500000000000007"/>
    <n v="26"/>
    <n v="44"/>
    <n v="51"/>
    <s v="NA"/>
    <n v="0"/>
    <n v="0"/>
  </r>
  <r>
    <x v="23"/>
    <n v="2"/>
    <s v="P042"/>
    <x v="41"/>
    <x v="3"/>
    <s v="Allrounder"/>
    <s v="DNB"/>
    <n v="0"/>
    <n v="0"/>
    <n v="0"/>
    <s v="DNB"/>
    <n v="0"/>
    <n v="4"/>
    <n v="0"/>
    <n v="32"/>
    <n v="1"/>
    <n v="8"/>
    <n v="12"/>
    <n v="0"/>
    <n v="0"/>
    <n v="12"/>
    <n v="1"/>
    <s v="MIW"/>
    <s v="MIW"/>
    <s v="M. Chinnaswamy Stadium"/>
    <n v="171"/>
    <n v="8.5500000000000007"/>
    <n v="26"/>
    <n v="44"/>
    <n v="51"/>
    <s v="NA"/>
    <n v="0"/>
    <n v="6.3"/>
  </r>
  <r>
    <x v="23"/>
    <n v="2"/>
    <s v="P012"/>
    <x v="11"/>
    <x v="1"/>
    <s v="Allrounder"/>
    <s v="Opener"/>
    <n v="0"/>
    <n v="2"/>
    <n v="0"/>
    <s v="caught"/>
    <n v="0"/>
    <n v="2"/>
    <n v="0"/>
    <n v="21"/>
    <n v="0"/>
    <n v="10.5"/>
    <n v="0"/>
    <n v="0"/>
    <n v="0"/>
    <n v="0"/>
    <n v="0"/>
    <s v="MIW"/>
    <s v="MIW"/>
    <s v="M. Chinnaswamy Stadium"/>
    <n v="173"/>
    <n v="8.65"/>
    <n v="50"/>
    <n v="44"/>
    <n v="50"/>
    <s v="Successful"/>
    <n v="1"/>
    <n v="20"/>
  </r>
  <r>
    <x v="23"/>
    <n v="2"/>
    <s v="P013"/>
    <x v="12"/>
    <x v="1"/>
    <s v="WK-Batter"/>
    <s v="Opener"/>
    <n v="57"/>
    <n v="45"/>
    <n v="126.67"/>
    <s v="caught"/>
    <n v="64.67"/>
    <n v="0"/>
    <n v="0"/>
    <n v="0"/>
    <n v="0"/>
    <n v="0"/>
    <n v="0"/>
    <n v="0"/>
    <n v="0"/>
    <n v="64.67"/>
    <n v="6"/>
    <s v="MIW"/>
    <s v="MIW"/>
    <s v="M. Chinnaswamy Stadium"/>
    <n v="173"/>
    <n v="8.65"/>
    <n v="50"/>
    <n v="44"/>
    <n v="50"/>
    <s v="Successful"/>
    <n v="1"/>
    <n v="54.134999999999998"/>
  </r>
  <r>
    <x v="23"/>
    <n v="2"/>
    <s v="P015"/>
    <x v="14"/>
    <x v="1"/>
    <s v="Allrounder"/>
    <s v="Top Order"/>
    <n v="19"/>
    <n v="17"/>
    <n v="111.76"/>
    <s v="bowled"/>
    <n v="25.18"/>
    <n v="4"/>
    <n v="0"/>
    <n v="33"/>
    <n v="2"/>
    <n v="8.25"/>
    <n v="27.5"/>
    <n v="0"/>
    <n v="0"/>
    <n v="52.68"/>
    <n v="5"/>
    <s v="MIW"/>
    <s v="MIW"/>
    <s v="M. Chinnaswamy Stadium"/>
    <n v="173"/>
    <n v="8.65"/>
    <n v="50"/>
    <n v="44"/>
    <n v="50"/>
    <s v="Successful"/>
    <n v="1"/>
    <n v="47.84"/>
  </r>
  <r>
    <x v="23"/>
    <n v="2"/>
    <s v="P014"/>
    <x v="13"/>
    <x v="1"/>
    <s v="Allrounder"/>
    <s v="Top Order"/>
    <n v="55"/>
    <n v="34"/>
    <n v="161.76"/>
    <s v="caught"/>
    <n v="66.180000000000007"/>
    <n v="0"/>
    <n v="0"/>
    <n v="0"/>
    <n v="0"/>
    <n v="0"/>
    <n v="0"/>
    <n v="0"/>
    <n v="0"/>
    <n v="66.180000000000007"/>
    <n v="7"/>
    <s v="MIW"/>
    <s v="MIW"/>
    <s v="M. Chinnaswamy Stadium"/>
    <n v="173"/>
    <n v="8.65"/>
    <n v="50"/>
    <n v="44"/>
    <n v="50"/>
    <s v="Successful"/>
    <n v="1"/>
    <n v="55.190000000000005"/>
  </r>
  <r>
    <x v="23"/>
    <n v="2"/>
    <s v="P016"/>
    <x v="15"/>
    <x v="1"/>
    <s v="Allrounder"/>
    <s v="Middle Order"/>
    <n v="24"/>
    <n v="18"/>
    <n v="133.33000000000001"/>
    <s v="bowled"/>
    <n v="32.33"/>
    <n v="4"/>
    <n v="0"/>
    <n v="43"/>
    <n v="2"/>
    <n v="10.75"/>
    <n v="23.5"/>
    <n v="0"/>
    <n v="0"/>
    <n v="55.83"/>
    <n v="6"/>
    <s v="MIW"/>
    <s v="MIW"/>
    <s v="M. Chinnaswamy Stadium"/>
    <n v="173"/>
    <n v="8.65"/>
    <n v="50"/>
    <n v="44"/>
    <n v="50"/>
    <s v="Successful"/>
    <n v="1"/>
    <n v="49.715000000000003"/>
  </r>
  <r>
    <x v="23"/>
    <n v="2"/>
    <s v="P018"/>
    <x v="17"/>
    <x v="1"/>
    <s v="Allrounder"/>
    <s v="Middle Order"/>
    <n v="1"/>
    <n v="3"/>
    <n v="33.33"/>
    <s v="caught"/>
    <n v="0"/>
    <n v="2"/>
    <n v="0"/>
    <n v="18"/>
    <n v="0"/>
    <n v="9"/>
    <n v="0"/>
    <n v="0"/>
    <n v="0"/>
    <n v="0"/>
    <n v="0"/>
    <s v="MIW"/>
    <s v="MIW"/>
    <s v="M. Chinnaswamy Stadium"/>
    <n v="173"/>
    <n v="8.65"/>
    <n v="50"/>
    <n v="44"/>
    <n v="50"/>
    <s v="Successful"/>
    <n v="1"/>
    <n v="20"/>
  </r>
  <r>
    <x v="23"/>
    <n v="2"/>
    <s v="P017"/>
    <x v="16"/>
    <x v="1"/>
    <s v="Allrounder"/>
    <s v="Middle Order"/>
    <n v="3"/>
    <n v="2"/>
    <n v="150"/>
    <s v="not out"/>
    <n v="4.5"/>
    <n v="0"/>
    <n v="0"/>
    <n v="0"/>
    <n v="0"/>
    <n v="0"/>
    <n v="0"/>
    <n v="0"/>
    <n v="0"/>
    <n v="4.5"/>
    <n v="0"/>
    <s v="MIW"/>
    <s v="MIW"/>
    <s v="M. Chinnaswamy Stadium"/>
    <n v="173"/>
    <n v="8.65"/>
    <n v="50"/>
    <n v="44"/>
    <n v="50"/>
    <s v="Successful"/>
    <n v="1"/>
    <n v="22.25"/>
  </r>
  <r>
    <x v="23"/>
    <n v="2"/>
    <s v="P072"/>
    <x v="72"/>
    <x v="1"/>
    <s v="Batter"/>
    <s v="Middle Order"/>
    <n v="6"/>
    <n v="1"/>
    <n v="600"/>
    <s v="not out"/>
    <n v="36"/>
    <n v="0"/>
    <n v="0"/>
    <n v="0"/>
    <n v="0"/>
    <n v="0"/>
    <n v="0"/>
    <n v="0"/>
    <n v="0"/>
    <n v="36"/>
    <n v="4"/>
    <s v="MIW"/>
    <s v="MIW"/>
    <s v="M. Chinnaswamy Stadium"/>
    <n v="173"/>
    <n v="8.65"/>
    <n v="50"/>
    <n v="44"/>
    <n v="50"/>
    <s v="Successful"/>
    <n v="1"/>
    <n v="39.200000000000003"/>
  </r>
  <r>
    <x v="23"/>
    <n v="2"/>
    <s v="P060"/>
    <x v="59"/>
    <x v="1"/>
    <s v="Bowler"/>
    <s v="DNB"/>
    <n v="0"/>
    <n v="0"/>
    <n v="0"/>
    <s v="DNB"/>
    <n v="0"/>
    <n v="4"/>
    <n v="0"/>
    <n v="24"/>
    <n v="1"/>
    <n v="6"/>
    <n v="24"/>
    <n v="0"/>
    <n v="0"/>
    <n v="24"/>
    <n v="2"/>
    <s v="MIW"/>
    <s v="MIW"/>
    <s v="M. Chinnaswamy Stadium"/>
    <n v="173"/>
    <n v="8.65"/>
    <n v="50"/>
    <n v="44"/>
    <n v="50"/>
    <s v="Successful"/>
    <n v="1"/>
    <n v="32.6"/>
  </r>
  <r>
    <x v="23"/>
    <n v="2"/>
    <s v="P073"/>
    <x v="73"/>
    <x v="1"/>
    <s v="Allrounder"/>
    <s v="DNB"/>
    <n v="0"/>
    <n v="0"/>
    <n v="0"/>
    <s v="DNB"/>
    <n v="0"/>
    <n v="1"/>
    <n v="0"/>
    <n v="13"/>
    <n v="0"/>
    <n v="13"/>
    <n v="0"/>
    <n v="0"/>
    <n v="0"/>
    <n v="0"/>
    <n v="0"/>
    <s v="MIW"/>
    <s v="MIW"/>
    <s v="M. Chinnaswamy Stadium"/>
    <n v="173"/>
    <n v="8.65"/>
    <n v="50"/>
    <n v="44"/>
    <n v="50"/>
    <s v="Successful"/>
    <n v="1"/>
    <n v="20"/>
  </r>
  <r>
    <x v="23"/>
    <n v="2"/>
    <s v="P022"/>
    <x v="21"/>
    <x v="1"/>
    <s v="Bowler"/>
    <s v="DNB"/>
    <n v="0"/>
    <n v="0"/>
    <n v="0"/>
    <s v="DNB"/>
    <n v="0"/>
    <n v="3"/>
    <n v="0"/>
    <n v="17"/>
    <n v="0"/>
    <n v="5.67"/>
    <n v="0"/>
    <n v="0"/>
    <n v="0"/>
    <n v="0"/>
    <n v="0"/>
    <s v="MIW"/>
    <s v="MIW"/>
    <s v="M. Chinnaswamy Stadium"/>
    <n v="173"/>
    <n v="8.65"/>
    <n v="50"/>
    <n v="44"/>
    <n v="50"/>
    <s v="Successful"/>
    <n v="1"/>
    <n v="20"/>
  </r>
  <r>
    <x v="24"/>
    <n v="2"/>
    <s v="P024"/>
    <x v="23"/>
    <x v="2"/>
    <s v="Allrounder"/>
    <s v="Opener"/>
    <n v="1"/>
    <n v="5"/>
    <n v="20"/>
    <s v="lbw"/>
    <n v="0"/>
    <n v="1"/>
    <n v="0"/>
    <n v="10"/>
    <n v="0"/>
    <n v="10"/>
    <n v="0"/>
    <n v="0"/>
    <n v="0"/>
    <n v="0"/>
    <n v="0"/>
    <s v="RCBW"/>
    <s v="UPW"/>
    <s v="M. Chinnaswamy Stadium"/>
    <n v="157"/>
    <n v="7.85"/>
    <n v="40"/>
    <n v="32"/>
    <n v="43"/>
    <s v="NA"/>
    <n v="1"/>
    <n v="20"/>
  </r>
  <r>
    <x v="24"/>
    <n v="2"/>
    <s v="P023"/>
    <x v="22"/>
    <x v="2"/>
    <s v="Batter"/>
    <s v="Opener"/>
    <n v="13"/>
    <n v="11"/>
    <n v="118.18"/>
    <s v="caught"/>
    <n v="19.82"/>
    <n v="0"/>
    <n v="0"/>
    <n v="0"/>
    <n v="0"/>
    <n v="0"/>
    <n v="0"/>
    <n v="0"/>
    <n v="0"/>
    <n v="19.82"/>
    <n v="2"/>
    <s v="RCBW"/>
    <s v="UPW"/>
    <s v="M. Chinnaswamy Stadium"/>
    <n v="157"/>
    <n v="7.85"/>
    <n v="40"/>
    <n v="32"/>
    <n v="43"/>
    <s v="NA"/>
    <n v="1"/>
    <n v="30.509999999999998"/>
  </r>
  <r>
    <x v="24"/>
    <n v="2"/>
    <s v="P002"/>
    <x v="1"/>
    <x v="2"/>
    <s v="Allrounder"/>
    <s v="Top Order"/>
    <n v="53"/>
    <n v="44"/>
    <n v="120.45"/>
    <s v="stumped"/>
    <n v="60.05"/>
    <n v="0"/>
    <n v="0"/>
    <n v="0"/>
    <n v="0"/>
    <n v="0"/>
    <n v="0"/>
    <n v="0"/>
    <n v="0"/>
    <n v="60.05"/>
    <n v="6"/>
    <s v="RCBW"/>
    <s v="UPW"/>
    <s v="M. Chinnaswamy Stadium"/>
    <n v="157"/>
    <n v="7.85"/>
    <n v="40"/>
    <n v="32"/>
    <n v="43"/>
    <s v="NA"/>
    <n v="1"/>
    <n v="51.825000000000003"/>
  </r>
  <r>
    <x v="24"/>
    <n v="2"/>
    <s v="P027"/>
    <x v="26"/>
    <x v="2"/>
    <s v="Allrounder"/>
    <s v="Top Order"/>
    <n v="8"/>
    <n v="7"/>
    <n v="114.29"/>
    <s v="caught"/>
    <n v="14.43"/>
    <n v="2"/>
    <n v="0"/>
    <n v="18"/>
    <n v="0"/>
    <n v="9"/>
    <n v="0"/>
    <n v="0"/>
    <n v="0"/>
    <n v="14.43"/>
    <n v="1"/>
    <s v="RCBW"/>
    <s v="UPW"/>
    <s v="M. Chinnaswamy Stadium"/>
    <n v="157"/>
    <n v="7.85"/>
    <n v="40"/>
    <n v="32"/>
    <n v="43"/>
    <s v="NA"/>
    <n v="1"/>
    <n v="27.515000000000001"/>
  </r>
  <r>
    <x v="24"/>
    <n v="2"/>
    <s v="P028"/>
    <x v="27"/>
    <x v="2"/>
    <s v="WK-Batter"/>
    <s v="Middle Order"/>
    <n v="62"/>
    <n v="37"/>
    <n v="167.57"/>
    <s v="bowled"/>
    <n v="73.760000000000005"/>
    <n v="0"/>
    <n v="0"/>
    <n v="0"/>
    <n v="0"/>
    <n v="0"/>
    <n v="0"/>
    <n v="0"/>
    <n v="0"/>
    <n v="73.760000000000005"/>
    <n v="7"/>
    <s v="RCBW"/>
    <s v="UPW"/>
    <s v="M. Chinnaswamy Stadium"/>
    <n v="157"/>
    <n v="7.85"/>
    <n v="40"/>
    <n v="32"/>
    <n v="43"/>
    <s v="NA"/>
    <n v="1"/>
    <n v="58.980000000000004"/>
  </r>
  <r>
    <x v="24"/>
    <n v="2"/>
    <s v="P007"/>
    <x v="6"/>
    <x v="2"/>
    <s v="Bowler"/>
    <s v="Middle Order"/>
    <n v="0"/>
    <n v="3"/>
    <n v="0"/>
    <s v="caught"/>
    <n v="0"/>
    <n v="3"/>
    <n v="0"/>
    <n v="23"/>
    <n v="1"/>
    <n v="7.67"/>
    <n v="16.66"/>
    <n v="0"/>
    <n v="0"/>
    <n v="16.66"/>
    <n v="2"/>
    <s v="RCBW"/>
    <s v="UPW"/>
    <s v="M. Chinnaswamy Stadium"/>
    <n v="157"/>
    <n v="7.85"/>
    <n v="40"/>
    <n v="32"/>
    <n v="43"/>
    <s v="NA"/>
    <n v="1"/>
    <n v="28.93"/>
  </r>
  <r>
    <x v="24"/>
    <n v="2"/>
    <s v="P077"/>
    <x v="74"/>
    <x v="2"/>
    <s v="Allrounder"/>
    <s v="Middle Order"/>
    <n v="9"/>
    <n v="9"/>
    <n v="100"/>
    <s v="not out"/>
    <n v="19"/>
    <n v="4"/>
    <n v="0"/>
    <n v="36"/>
    <n v="1"/>
    <n v="9"/>
    <n v="12"/>
    <n v="0"/>
    <n v="0"/>
    <n v="31"/>
    <n v="3"/>
    <s v="RCBW"/>
    <s v="UPW"/>
    <s v="M. Chinnaswamy Stadium"/>
    <n v="157"/>
    <n v="7.85"/>
    <n v="40"/>
    <n v="32"/>
    <n v="43"/>
    <s v="NA"/>
    <n v="1"/>
    <n v="36.4"/>
  </r>
  <r>
    <x v="24"/>
    <n v="2"/>
    <s v="P059"/>
    <x v="58"/>
    <x v="2"/>
    <s v="Bowler"/>
    <s v="Lower Order"/>
    <n v="8"/>
    <n v="4"/>
    <n v="200"/>
    <s v="not out"/>
    <n v="28"/>
    <n v="3"/>
    <n v="0"/>
    <n v="32"/>
    <n v="0"/>
    <n v="10.67"/>
    <n v="0"/>
    <n v="0"/>
    <n v="0"/>
    <n v="28"/>
    <n v="3"/>
    <s v="RCBW"/>
    <s v="UPW"/>
    <s v="M. Chinnaswamy Stadium"/>
    <n v="157"/>
    <n v="7.85"/>
    <n v="40"/>
    <n v="32"/>
    <n v="43"/>
    <s v="NA"/>
    <n v="1"/>
    <n v="34.9"/>
  </r>
  <r>
    <x v="24"/>
    <n v="2"/>
    <s v="P075"/>
    <x v="75"/>
    <x v="2"/>
    <s v="Bowler"/>
    <s v="DNB"/>
    <n v="0"/>
    <n v="0"/>
    <n v="0"/>
    <s v="DNB"/>
    <n v="0"/>
    <n v="0"/>
    <n v="0"/>
    <n v="0"/>
    <n v="0"/>
    <n v="0"/>
    <n v="0"/>
    <n v="0"/>
    <n v="0"/>
    <n v="0"/>
    <n v="0"/>
    <s v="RCBW"/>
    <s v="UPW"/>
    <s v="M. Chinnaswamy Stadium"/>
    <n v="157"/>
    <n v="7.85"/>
    <n v="40"/>
    <n v="32"/>
    <n v="43"/>
    <s v="NA"/>
    <n v="1"/>
    <n v="20"/>
  </r>
  <r>
    <x v="24"/>
    <n v="2"/>
    <s v="P030"/>
    <x v="29"/>
    <x v="2"/>
    <s v="Allrounder"/>
    <s v="DNB"/>
    <n v="0"/>
    <n v="0"/>
    <n v="0"/>
    <s v="DNB"/>
    <n v="0"/>
    <n v="4"/>
    <n v="0"/>
    <n v="22"/>
    <n v="5"/>
    <n v="5.5"/>
    <n v="89"/>
    <n v="0"/>
    <n v="0"/>
    <n v="89"/>
    <n v="9"/>
    <s v="RCBW"/>
    <s v="UPW"/>
    <s v="M. Chinnaswamy Stadium"/>
    <n v="157"/>
    <n v="7.85"/>
    <n v="40"/>
    <n v="32"/>
    <n v="43"/>
    <s v="NA"/>
    <n v="1"/>
    <n v="67.2"/>
  </r>
  <r>
    <x v="24"/>
    <n v="2"/>
    <s v="P033"/>
    <x v="32"/>
    <x v="2"/>
    <s v="Bowler"/>
    <s v="DNB"/>
    <n v="0"/>
    <n v="0"/>
    <n v="0"/>
    <s v="DNB"/>
    <n v="0"/>
    <n v="3"/>
    <n v="0"/>
    <n v="14"/>
    <n v="0"/>
    <n v="4.67"/>
    <n v="6"/>
    <n v="0"/>
    <n v="0"/>
    <n v="6"/>
    <n v="1"/>
    <s v="RCBW"/>
    <s v="UPW"/>
    <s v="M. Chinnaswamy Stadium"/>
    <n v="157"/>
    <n v="7.85"/>
    <n v="40"/>
    <n v="32"/>
    <n v="43"/>
    <s v="NA"/>
    <n v="1"/>
    <n v="23.3"/>
  </r>
  <r>
    <x v="24"/>
    <n v="2"/>
    <s v="P045"/>
    <x v="44"/>
    <x v="4"/>
    <s v="WK-Batter"/>
    <s v="Opener"/>
    <n v="5"/>
    <n v="4"/>
    <n v="125"/>
    <s v="bowled"/>
    <n v="12.5"/>
    <n v="0"/>
    <n v="0"/>
    <n v="0"/>
    <n v="0"/>
    <n v="0"/>
    <n v="0"/>
    <n v="0"/>
    <n v="0"/>
    <n v="12.5"/>
    <n v="1"/>
    <s v="RCBW"/>
    <s v="UPW"/>
    <s v="M. Chinnaswamy Stadium"/>
    <n v="155"/>
    <n v="7.75"/>
    <n v="36"/>
    <n v="29"/>
    <n v="52"/>
    <s v="Failed"/>
    <n v="0"/>
    <n v="6.55"/>
  </r>
  <r>
    <x v="24"/>
    <n v="2"/>
    <s v="P074"/>
    <x v="76"/>
    <x v="4"/>
    <s v="Batter"/>
    <s v="Opener"/>
    <n v="18"/>
    <n v="28"/>
    <n v="64.290000000000006"/>
    <s v="stumped"/>
    <n v="19.43"/>
    <n v="0"/>
    <n v="0"/>
    <n v="0"/>
    <n v="0"/>
    <n v="0"/>
    <n v="0"/>
    <n v="0"/>
    <n v="0"/>
    <n v="19.43"/>
    <n v="2"/>
    <s v="RCBW"/>
    <s v="UPW"/>
    <s v="M. Chinnaswamy Stadium"/>
    <n v="155"/>
    <n v="7.75"/>
    <n v="36"/>
    <n v="29"/>
    <n v="52"/>
    <s v="Failed"/>
    <n v="0"/>
    <n v="10.315"/>
  </r>
  <r>
    <x v="24"/>
    <n v="2"/>
    <s v="P047"/>
    <x v="46"/>
    <x v="4"/>
    <s v="Allrounder"/>
    <s v="Top Order"/>
    <n v="22"/>
    <n v="18"/>
    <n v="122.22"/>
    <s v="bowled"/>
    <n v="29.22"/>
    <n v="4"/>
    <n v="0"/>
    <n v="39"/>
    <n v="1"/>
    <n v="9.75"/>
    <n v="10.5"/>
    <n v="0"/>
    <n v="0"/>
    <n v="39.72"/>
    <n v="4"/>
    <s v="RCBW"/>
    <s v="UPW"/>
    <s v="M. Chinnaswamy Stadium"/>
    <n v="155"/>
    <n v="7.75"/>
    <n v="36"/>
    <n v="29"/>
    <n v="52"/>
    <s v="Failed"/>
    <n v="0"/>
    <n v="21.06"/>
  </r>
  <r>
    <x v="24"/>
    <n v="2"/>
    <s v="P049"/>
    <x v="48"/>
    <x v="4"/>
    <s v="Allrounder"/>
    <s v="Middle Order"/>
    <n v="38"/>
    <n v="23"/>
    <n v="165.22"/>
    <s v="bowled"/>
    <n v="49.52"/>
    <n v="3"/>
    <n v="0"/>
    <n v="22"/>
    <n v="1"/>
    <n v="7.33"/>
    <n v="17.34"/>
    <n v="0"/>
    <n v="0"/>
    <n v="66.86"/>
    <n v="7"/>
    <s v="RCBW"/>
    <s v="UPW"/>
    <s v="M. Chinnaswamy Stadium"/>
    <n v="155"/>
    <n v="7.75"/>
    <n v="36"/>
    <n v="29"/>
    <n v="52"/>
    <s v="Failed"/>
    <n v="0"/>
    <n v="35.53"/>
  </r>
  <r>
    <x v="24"/>
    <n v="2"/>
    <s v="P046"/>
    <x v="45"/>
    <x v="4"/>
    <s v="Batter"/>
    <s v="Middle Order"/>
    <n v="31"/>
    <n v="25"/>
    <n v="124"/>
    <s v="caught"/>
    <n v="38.4"/>
    <n v="0"/>
    <n v="0"/>
    <n v="0"/>
    <n v="0"/>
    <n v="0"/>
    <n v="0"/>
    <n v="0"/>
    <n v="0"/>
    <n v="38.4"/>
    <n v="4"/>
    <s v="RCBW"/>
    <s v="UPW"/>
    <s v="M. Chinnaswamy Stadium"/>
    <n v="155"/>
    <n v="7.75"/>
    <n v="36"/>
    <n v="29"/>
    <n v="52"/>
    <s v="Failed"/>
    <n v="0"/>
    <n v="20.399999999999999"/>
  </r>
  <r>
    <x v="24"/>
    <n v="2"/>
    <s v="P051"/>
    <x v="50"/>
    <x v="4"/>
    <s v="Batter"/>
    <s v="Middle Order"/>
    <n v="1"/>
    <n v="3"/>
    <n v="33.33"/>
    <s v="stumped"/>
    <n v="0"/>
    <n v="0"/>
    <n v="0"/>
    <n v="0"/>
    <n v="0"/>
    <n v="0"/>
    <n v="0"/>
    <n v="0"/>
    <n v="0"/>
    <n v="0"/>
    <n v="0"/>
    <s v="RCBW"/>
    <s v="UPW"/>
    <s v="M. Chinnaswamy Stadium"/>
    <n v="155"/>
    <n v="7.75"/>
    <n v="36"/>
    <n v="29"/>
    <n v="52"/>
    <s v="Failed"/>
    <n v="0"/>
    <n v="0"/>
  </r>
  <r>
    <x v="24"/>
    <n v="2"/>
    <s v="P061"/>
    <x v="60"/>
    <x v="4"/>
    <s v="Allrounder"/>
    <s v="Middle Order"/>
    <n v="14"/>
    <n v="7"/>
    <n v="200"/>
    <s v="bowled"/>
    <n v="29"/>
    <n v="0"/>
    <n v="0"/>
    <n v="0"/>
    <n v="0"/>
    <n v="0"/>
    <n v="0"/>
    <n v="0"/>
    <n v="0"/>
    <n v="29"/>
    <n v="3"/>
    <s v="RCBW"/>
    <s v="UPW"/>
    <s v="M. Chinnaswamy Stadium"/>
    <n v="155"/>
    <n v="7.75"/>
    <n v="36"/>
    <n v="29"/>
    <n v="52"/>
    <s v="Failed"/>
    <n v="0"/>
    <n v="15.4"/>
  </r>
  <r>
    <x v="24"/>
    <n v="2"/>
    <s v="P048"/>
    <x v="47"/>
    <x v="4"/>
    <s v="Allrounder"/>
    <s v="Middle Order"/>
    <n v="13"/>
    <n v="9"/>
    <n v="144.44"/>
    <s v="not out"/>
    <n v="27.44"/>
    <n v="3"/>
    <n v="0"/>
    <n v="23"/>
    <n v="1"/>
    <n v="7.67"/>
    <n v="16.66"/>
    <n v="0"/>
    <n v="0"/>
    <n v="44.1"/>
    <n v="4"/>
    <s v="RCBW"/>
    <s v="UPW"/>
    <s v="M. Chinnaswamy Stadium"/>
    <n v="155"/>
    <n v="7.75"/>
    <n v="36"/>
    <n v="29"/>
    <n v="52"/>
    <s v="Failed"/>
    <n v="0"/>
    <n v="23.25"/>
  </r>
  <r>
    <x v="24"/>
    <n v="2"/>
    <s v="P053"/>
    <x v="52"/>
    <x v="4"/>
    <s v="Bowler"/>
    <s v="Middle Order"/>
    <n v="1"/>
    <n v="3"/>
    <n v="33.33"/>
    <s v="not out"/>
    <n v="4.33"/>
    <n v="4"/>
    <n v="0"/>
    <n v="26"/>
    <n v="1"/>
    <n v="6.5"/>
    <n v="19"/>
    <n v="0"/>
    <n v="0"/>
    <n v="23.33"/>
    <n v="2"/>
    <s v="RCBW"/>
    <s v="UPW"/>
    <s v="M. Chinnaswamy Stadium"/>
    <n v="155"/>
    <n v="7.75"/>
    <n v="36"/>
    <n v="29"/>
    <n v="52"/>
    <s v="Failed"/>
    <n v="0"/>
    <n v="12.264999999999999"/>
  </r>
  <r>
    <x v="24"/>
    <n v="2"/>
    <s v="P055"/>
    <x v="54"/>
    <x v="4"/>
    <s v="Bowler"/>
    <s v="DNB"/>
    <n v="0"/>
    <n v="0"/>
    <n v="0"/>
    <s v="DNB"/>
    <n v="0"/>
    <n v="4"/>
    <n v="0"/>
    <n v="24"/>
    <n v="2"/>
    <n v="6"/>
    <n v="28"/>
    <n v="0"/>
    <n v="0"/>
    <n v="28"/>
    <n v="3"/>
    <s v="RCBW"/>
    <s v="UPW"/>
    <s v="M. Chinnaswamy Stadium"/>
    <n v="155"/>
    <n v="7.75"/>
    <n v="36"/>
    <n v="29"/>
    <n v="52"/>
    <s v="Failed"/>
    <n v="0"/>
    <n v="14.9"/>
  </r>
  <r>
    <x v="24"/>
    <n v="2"/>
    <s v="P076"/>
    <x v="77"/>
    <x v="4"/>
    <s v="Bowler"/>
    <s v="DNB"/>
    <n v="0"/>
    <n v="0"/>
    <n v="0"/>
    <s v="DNB"/>
    <n v="0"/>
    <n v="2"/>
    <n v="0"/>
    <n v="23"/>
    <n v="0"/>
    <n v="11.5"/>
    <n v="0"/>
    <n v="0"/>
    <n v="0"/>
    <n v="0"/>
    <n v="0"/>
    <s v="RCBW"/>
    <s v="UPW"/>
    <s v="M. Chinnaswamy Stadium"/>
    <n v="155"/>
    <n v="7.75"/>
    <n v="36"/>
    <n v="29"/>
    <n v="52"/>
    <s v="Failed"/>
    <n v="0"/>
    <n v="0"/>
  </r>
  <r>
    <x v="25"/>
    <n v="2"/>
    <s v="P001"/>
    <x v="0"/>
    <x v="0"/>
    <s v="WK-Batter"/>
    <s v="Opener"/>
    <n v="24"/>
    <n v="22"/>
    <n v="109.09"/>
    <s v="caught"/>
    <n v="29.91"/>
    <n v="0"/>
    <n v="0"/>
    <n v="0"/>
    <n v="0"/>
    <n v="0"/>
    <n v="0"/>
    <n v="0"/>
    <n v="0"/>
    <n v="29.91"/>
    <n v="3"/>
    <s v="MIW"/>
    <s v="MIW"/>
    <s v="M. Chinnaswamy Stadium"/>
    <n v="126"/>
    <n v="6.3"/>
    <n v="43"/>
    <n v="33"/>
    <n v="53"/>
    <s v="NA"/>
    <n v="0"/>
    <n v="15.855"/>
  </r>
  <r>
    <x v="25"/>
    <n v="2"/>
    <s v="P086"/>
    <x v="78"/>
    <x v="0"/>
    <s v="Batter"/>
    <s v="Opener"/>
    <n v="0"/>
    <n v="2"/>
    <n v="0"/>
    <s v="lbw"/>
    <n v="0"/>
    <n v="0"/>
    <n v="0"/>
    <n v="0"/>
    <n v="0"/>
    <n v="0"/>
    <n v="0"/>
    <n v="0"/>
    <n v="0"/>
    <n v="0"/>
    <n v="0"/>
    <s v="MIW"/>
    <s v="MIW"/>
    <s v="M. Chinnaswamy Stadium"/>
    <n v="126"/>
    <n v="6.3"/>
    <n v="43"/>
    <n v="33"/>
    <n v="53"/>
    <s v="NA"/>
    <n v="0"/>
    <n v="0"/>
  </r>
  <r>
    <x v="25"/>
    <n v="2"/>
    <s v="P003"/>
    <x v="2"/>
    <x v="0"/>
    <s v="Allrounder"/>
    <s v="Top Order"/>
    <n v="8"/>
    <n v="9"/>
    <n v="88.89"/>
    <s v="lbw"/>
    <n v="11.89"/>
    <n v="0"/>
    <n v="0"/>
    <n v="0"/>
    <n v="0"/>
    <n v="0"/>
    <n v="0"/>
    <n v="0"/>
    <n v="0"/>
    <n v="11.89"/>
    <n v="1"/>
    <s v="MIW"/>
    <s v="MIW"/>
    <s v="M. Chinnaswamy Stadium"/>
    <n v="126"/>
    <n v="6.3"/>
    <n v="43"/>
    <n v="33"/>
    <n v="53"/>
    <s v="NA"/>
    <n v="0"/>
    <n v="6.2450000000000001"/>
  </r>
  <r>
    <x v="25"/>
    <n v="2"/>
    <s v="P078"/>
    <x v="79"/>
    <x v="0"/>
    <s v="Batter"/>
    <s v="Top Order"/>
    <n v="7"/>
    <n v="8"/>
    <n v="87.5"/>
    <s v="caught"/>
    <n v="10.75"/>
    <n v="0"/>
    <n v="0"/>
    <n v="0"/>
    <n v="0"/>
    <n v="0"/>
    <n v="0"/>
    <n v="0"/>
    <n v="0"/>
    <n v="10.75"/>
    <n v="1"/>
    <s v="MIW"/>
    <s v="MIW"/>
    <s v="M. Chinnaswamy Stadium"/>
    <n v="126"/>
    <n v="6.3"/>
    <n v="43"/>
    <n v="33"/>
    <n v="53"/>
    <s v="NA"/>
    <n v="0"/>
    <n v="5.6749999999999998"/>
  </r>
  <r>
    <x v="25"/>
    <n v="2"/>
    <s v="P006"/>
    <x v="5"/>
    <x v="0"/>
    <s v="Batter"/>
    <s v="Middle Order"/>
    <n v="3"/>
    <n v="8"/>
    <n v="37.5"/>
    <s v="caught"/>
    <n v="1.75"/>
    <n v="0"/>
    <n v="0"/>
    <n v="0"/>
    <n v="0"/>
    <n v="0"/>
    <n v="0"/>
    <n v="0"/>
    <n v="0"/>
    <n v="1.75"/>
    <n v="0"/>
    <s v="MIW"/>
    <s v="MIW"/>
    <s v="M. Chinnaswamy Stadium"/>
    <n v="126"/>
    <n v="6.3"/>
    <n v="43"/>
    <n v="33"/>
    <n v="53"/>
    <s v="NA"/>
    <n v="0"/>
    <n v="0.875"/>
  </r>
  <r>
    <x v="25"/>
    <n v="2"/>
    <s v="P004"/>
    <x v="3"/>
    <x v="0"/>
    <s v="Allrounder"/>
    <s v="Middle Order"/>
    <n v="15"/>
    <n v="22"/>
    <n v="68.180000000000007"/>
    <s v="caught"/>
    <n v="16.82"/>
    <n v="4"/>
    <n v="0"/>
    <n v="23"/>
    <n v="0"/>
    <n v="5.75"/>
    <n v="0"/>
    <n v="0"/>
    <n v="0"/>
    <n v="16.82"/>
    <n v="2"/>
    <s v="MIW"/>
    <s v="MIW"/>
    <s v="M. Chinnaswamy Stadium"/>
    <n v="126"/>
    <n v="6.3"/>
    <n v="43"/>
    <n v="33"/>
    <n v="53"/>
    <s v="NA"/>
    <n v="0"/>
    <n v="9.01"/>
  </r>
  <r>
    <x v="25"/>
    <n v="2"/>
    <s v="P079"/>
    <x v="80"/>
    <x v="0"/>
    <s v="Allrounder"/>
    <s v="Middle Order"/>
    <n v="25"/>
    <n v="24"/>
    <n v="104.17"/>
    <s v="not out"/>
    <n v="35.42"/>
    <n v="3"/>
    <n v="1"/>
    <n v="22"/>
    <n v="1"/>
    <n v="7.33"/>
    <n v="15.34"/>
    <n v="0"/>
    <n v="0"/>
    <n v="50.76"/>
    <n v="5"/>
    <s v="MIW"/>
    <s v="MIW"/>
    <s v="M. Chinnaswamy Stadium"/>
    <n v="126"/>
    <n v="6.3"/>
    <n v="43"/>
    <n v="33"/>
    <n v="53"/>
    <s v="NA"/>
    <n v="0"/>
    <n v="26.88"/>
  </r>
  <r>
    <x v="25"/>
    <n v="2"/>
    <s v="P008"/>
    <x v="7"/>
    <x v="0"/>
    <s v="Bowler"/>
    <s v="Middle Order"/>
    <n v="0"/>
    <n v="2"/>
    <n v="0"/>
    <s v="bowled"/>
    <n v="0"/>
    <n v="2.1"/>
    <n v="0"/>
    <n v="21"/>
    <n v="0"/>
    <n v="9.6999999999999993"/>
    <n v="0"/>
    <n v="0"/>
    <n v="0"/>
    <n v="0"/>
    <n v="0"/>
    <s v="MIW"/>
    <s v="MIW"/>
    <s v="M. Chinnaswamy Stadium"/>
    <n v="126"/>
    <n v="6.3"/>
    <n v="43"/>
    <n v="33"/>
    <n v="53"/>
    <s v="NA"/>
    <n v="0"/>
    <n v="0"/>
  </r>
  <r>
    <x v="25"/>
    <n v="2"/>
    <s v="P009"/>
    <x v="8"/>
    <x v="0"/>
    <s v="Bowler"/>
    <s v="Middle Order"/>
    <n v="28"/>
    <n v="21"/>
    <n v="133.33000000000001"/>
    <s v="stumped"/>
    <n v="36.33"/>
    <n v="4"/>
    <n v="0"/>
    <n v="21"/>
    <n v="2"/>
    <n v="5.25"/>
    <n v="29.5"/>
    <n v="0"/>
    <n v="0"/>
    <n v="65.83"/>
    <n v="7"/>
    <s v="MIW"/>
    <s v="MIW"/>
    <s v="M. Chinnaswamy Stadium"/>
    <n v="126"/>
    <n v="6.3"/>
    <n v="43"/>
    <n v="33"/>
    <n v="53"/>
    <s v="NA"/>
    <n v="0"/>
    <n v="35.015000000000001"/>
  </r>
  <r>
    <x v="25"/>
    <n v="2"/>
    <s v="P080"/>
    <x v="81"/>
    <x v="0"/>
    <s v="Bowler"/>
    <s v="Middle Order"/>
    <n v="0"/>
    <n v="2"/>
    <n v="0"/>
    <s v="stumped"/>
    <n v="0"/>
    <n v="3"/>
    <n v="0"/>
    <n v="17"/>
    <n v="1"/>
    <n v="5.67"/>
    <n v="18.66"/>
    <n v="0"/>
    <n v="0"/>
    <n v="18.66"/>
    <n v="2"/>
    <s v="MIW"/>
    <s v="MIW"/>
    <s v="M. Chinnaswamy Stadium"/>
    <n v="126"/>
    <n v="6.3"/>
    <n v="43"/>
    <n v="33"/>
    <n v="53"/>
    <s v="NA"/>
    <n v="0"/>
    <n v="9.93"/>
  </r>
  <r>
    <x v="25"/>
    <n v="2"/>
    <s v="P081"/>
    <x v="82"/>
    <x v="0"/>
    <s v="Bowler"/>
    <s v="DNB"/>
    <n v="0"/>
    <n v="0"/>
    <n v="0"/>
    <s v="DNB"/>
    <n v="0"/>
    <n v="2"/>
    <n v="0"/>
    <n v="19"/>
    <n v="0"/>
    <n v="9.5"/>
    <n v="0"/>
    <n v="0"/>
    <n v="0"/>
    <n v="0"/>
    <n v="0"/>
    <s v="MIW"/>
    <s v="MIW"/>
    <s v="M. Chinnaswamy Stadium"/>
    <n v="126"/>
    <n v="6.3"/>
    <n v="43"/>
    <n v="33"/>
    <n v="53"/>
    <s v="NA"/>
    <n v="0"/>
    <n v="0"/>
  </r>
  <r>
    <x v="25"/>
    <n v="2"/>
    <s v="P013"/>
    <x v="12"/>
    <x v="1"/>
    <s v="WK-Batter"/>
    <s v="Opener"/>
    <n v="7"/>
    <n v="7"/>
    <n v="100"/>
    <s v="caught"/>
    <n v="12"/>
    <n v="0"/>
    <n v="0"/>
    <n v="0"/>
    <n v="0"/>
    <n v="0"/>
    <n v="0"/>
    <n v="0"/>
    <n v="0"/>
    <n v="12"/>
    <n v="1"/>
    <s v="MIW"/>
    <s v="MIW"/>
    <s v="M. Chinnaswamy Stadium"/>
    <n v="129"/>
    <n v="7.1"/>
    <n v="39"/>
    <n v="14"/>
    <n v="50"/>
    <s v="Successful"/>
    <n v="1"/>
    <n v="26.3"/>
  </r>
  <r>
    <x v="25"/>
    <n v="2"/>
    <s v="P012"/>
    <x v="11"/>
    <x v="1"/>
    <s v="Allrounder"/>
    <s v="Opener"/>
    <n v="7"/>
    <n v="11"/>
    <n v="63.64"/>
    <s v="caught"/>
    <n v="8.36"/>
    <n v="4"/>
    <n v="0"/>
    <n v="33"/>
    <n v="1"/>
    <n v="8.25"/>
    <n v="23.5"/>
    <n v="0"/>
    <n v="0"/>
    <n v="31.86"/>
    <n v="3"/>
    <s v="MIW"/>
    <s v="MIW"/>
    <s v="M. Chinnaswamy Stadium"/>
    <n v="129"/>
    <n v="7.1"/>
    <n v="39"/>
    <n v="14"/>
    <n v="50"/>
    <s v="Successful"/>
    <n v="1"/>
    <n v="36.83"/>
  </r>
  <r>
    <x v="25"/>
    <n v="2"/>
    <s v="P015"/>
    <x v="14"/>
    <x v="1"/>
    <s v="Allrounder"/>
    <s v="Top Order"/>
    <n v="22"/>
    <n v="18"/>
    <n v="122.22"/>
    <s v="run out"/>
    <n v="29.22"/>
    <n v="2"/>
    <n v="0"/>
    <n v="14"/>
    <n v="1"/>
    <n v="7"/>
    <n v="10"/>
    <n v="0"/>
    <n v="0"/>
    <n v="39.22"/>
    <n v="4"/>
    <s v="MIW"/>
    <s v="MIW"/>
    <s v="M. Chinnaswamy Stadium"/>
    <n v="129"/>
    <n v="7.1"/>
    <n v="39"/>
    <n v="14"/>
    <n v="50"/>
    <s v="Successful"/>
    <n v="1"/>
    <n v="40.81"/>
  </r>
  <r>
    <x v="25"/>
    <n v="2"/>
    <s v="P014"/>
    <x v="13"/>
    <x v="1"/>
    <s v="Allrounder"/>
    <s v="Top Order"/>
    <n v="46"/>
    <n v="41"/>
    <n v="112.2"/>
    <s v="not out"/>
    <n v="57.2"/>
    <n v="0"/>
    <n v="0"/>
    <n v="0"/>
    <n v="0"/>
    <n v="0"/>
    <n v="0"/>
    <n v="0"/>
    <n v="0"/>
    <n v="57.2"/>
    <n v="6"/>
    <s v="MIW"/>
    <s v="MIW"/>
    <s v="M. Chinnaswamy Stadium"/>
    <n v="129"/>
    <n v="7.1"/>
    <n v="39"/>
    <n v="14"/>
    <n v="50"/>
    <s v="Successful"/>
    <n v="1"/>
    <n v="50.400000000000006"/>
  </r>
  <r>
    <x v="25"/>
    <n v="2"/>
    <s v="P016"/>
    <x v="15"/>
    <x v="1"/>
    <s v="Allrounder"/>
    <s v="Middle Order"/>
    <n v="31"/>
    <n v="25"/>
    <n v="124"/>
    <s v="lbw"/>
    <n v="38.4"/>
    <n v="4"/>
    <n v="0"/>
    <n v="17"/>
    <n v="4"/>
    <n v="4.25"/>
    <n v="63.5"/>
    <n v="0"/>
    <n v="0"/>
    <n v="101.9"/>
    <n v="10"/>
    <s v="MIW"/>
    <s v="MIW"/>
    <s v="M. Chinnaswamy Stadium"/>
    <n v="129"/>
    <n v="7.1"/>
    <n v="39"/>
    <n v="14"/>
    <n v="50"/>
    <s v="Successful"/>
    <n v="1"/>
    <n v="73.95"/>
  </r>
  <r>
    <x v="25"/>
    <n v="2"/>
    <s v="P018"/>
    <x v="17"/>
    <x v="1"/>
    <s v="Allrounder"/>
    <s v="Middle Order"/>
    <n v="1"/>
    <n v="2"/>
    <n v="50"/>
    <s v="bowled"/>
    <n v="1"/>
    <n v="2"/>
    <n v="0"/>
    <n v="9"/>
    <n v="0"/>
    <n v="4.5"/>
    <n v="0"/>
    <n v="0"/>
    <n v="0"/>
    <n v="1"/>
    <n v="0"/>
    <s v="MIW"/>
    <s v="MIW"/>
    <s v="M. Chinnaswamy Stadium"/>
    <n v="129"/>
    <n v="7.1"/>
    <n v="39"/>
    <n v="14"/>
    <n v="50"/>
    <s v="Successful"/>
    <n v="1"/>
    <n v="20.5"/>
  </r>
  <r>
    <x v="25"/>
    <n v="2"/>
    <s v="P017"/>
    <x v="16"/>
    <x v="1"/>
    <s v="Allrounder"/>
    <s v="Middle Order"/>
    <n v="0"/>
    <n v="5"/>
    <n v="0"/>
    <s v="not out"/>
    <n v="0"/>
    <n v="0"/>
    <n v="0"/>
    <n v="0"/>
    <n v="0"/>
    <n v="0"/>
    <n v="0"/>
    <n v="0"/>
    <n v="0"/>
    <n v="0"/>
    <n v="0"/>
    <s v="MIW"/>
    <s v="MIW"/>
    <s v="M. Chinnaswamy Stadium"/>
    <n v="129"/>
    <n v="7.1"/>
    <n v="39"/>
    <n v="14"/>
    <n v="50"/>
    <s v="Successful"/>
    <n v="1"/>
    <n v="20"/>
  </r>
  <r>
    <x v="25"/>
    <n v="2"/>
    <s v="P072"/>
    <x v="72"/>
    <x v="1"/>
    <s v="Batter"/>
    <s v="DNB"/>
    <n v="0"/>
    <n v="0"/>
    <n v="0"/>
    <s v="DNB"/>
    <n v="0"/>
    <n v="0"/>
    <n v="0"/>
    <n v="0"/>
    <n v="0"/>
    <n v="0"/>
    <n v="0"/>
    <n v="0"/>
    <n v="0"/>
    <n v="0"/>
    <n v="0"/>
    <s v="MIW"/>
    <s v="MIW"/>
    <s v="M. Chinnaswamy Stadium"/>
    <n v="129"/>
    <n v="7.1"/>
    <n v="39"/>
    <n v="14"/>
    <n v="50"/>
    <s v="Successful"/>
    <n v="1"/>
    <n v="20"/>
  </r>
  <r>
    <x v="25"/>
    <n v="2"/>
    <s v="P060"/>
    <x v="59"/>
    <x v="1"/>
    <s v="Bowler"/>
    <s v="DNB"/>
    <n v="0"/>
    <n v="0"/>
    <n v="0"/>
    <s v="DNB"/>
    <n v="0"/>
    <n v="4"/>
    <n v="0"/>
    <n v="18"/>
    <n v="3"/>
    <n v="4.5"/>
    <n v="51"/>
    <n v="0"/>
    <n v="0"/>
    <n v="51"/>
    <n v="5"/>
    <s v="MIW"/>
    <s v="MIW"/>
    <s v="M. Chinnaswamy Stadium"/>
    <n v="129"/>
    <n v="7.1"/>
    <n v="39"/>
    <n v="14"/>
    <n v="50"/>
    <s v="Successful"/>
    <n v="1"/>
    <n v="47"/>
  </r>
  <r>
    <x v="25"/>
    <n v="2"/>
    <s v="P073"/>
    <x v="73"/>
    <x v="1"/>
    <s v="Allrounder"/>
    <s v="DNB"/>
    <n v="0"/>
    <n v="0"/>
    <n v="0"/>
    <s v="DNB"/>
    <n v="0"/>
    <n v="3"/>
    <n v="0"/>
    <n v="19"/>
    <n v="0"/>
    <n v="6.33"/>
    <n v="0"/>
    <n v="0"/>
    <n v="0"/>
    <n v="0"/>
    <n v="0"/>
    <s v="MIW"/>
    <s v="MIW"/>
    <s v="M. Chinnaswamy Stadium"/>
    <n v="129"/>
    <n v="7.1"/>
    <n v="39"/>
    <n v="14"/>
    <n v="50"/>
    <s v="Successful"/>
    <n v="1"/>
    <n v="20"/>
  </r>
  <r>
    <x v="25"/>
    <n v="2"/>
    <s v="P022"/>
    <x v="21"/>
    <x v="1"/>
    <s v="Bowler"/>
    <s v="DNB"/>
    <n v="0"/>
    <n v="0"/>
    <n v="0"/>
    <s v="DNB"/>
    <n v="0"/>
    <n v="1"/>
    <n v="0"/>
    <n v="8"/>
    <n v="0"/>
    <n v="8"/>
    <n v="0"/>
    <n v="0"/>
    <n v="0"/>
    <n v="0"/>
    <n v="0"/>
    <s v="MIW"/>
    <s v="MIW"/>
    <s v="M. Chinnaswamy Stadium"/>
    <n v="129"/>
    <n v="7.1"/>
    <n v="39"/>
    <n v="14"/>
    <n v="50"/>
    <s v="Successful"/>
    <n v="1"/>
    <n v="20"/>
  </r>
  <r>
    <x v="26"/>
    <n v="1"/>
    <s v="P045"/>
    <x v="44"/>
    <x v="4"/>
    <s v="WK-Batter"/>
    <s v="Opener"/>
    <n v="13"/>
    <n v="15"/>
    <n v="86.67"/>
    <s v="caught"/>
    <n v="16.670000000000002"/>
    <n v="0"/>
    <n v="0"/>
    <n v="0"/>
    <n v="0"/>
    <n v="0"/>
    <n v="0"/>
    <n v="0"/>
    <n v="0"/>
    <n v="16.670000000000002"/>
    <n v="2"/>
    <s v="DCW"/>
    <s v="DCW"/>
    <s v="M. Chinnaswamy Stadium"/>
    <n v="119"/>
    <n v="5.95"/>
    <n v="21"/>
    <n v="23"/>
    <n v="57"/>
    <s v="NA"/>
    <n v="0"/>
    <n v="8.9350000000000005"/>
  </r>
  <r>
    <x v="26"/>
    <n v="1"/>
    <s v="P074"/>
    <x v="76"/>
    <x v="4"/>
    <s v="Batter"/>
    <s v="Opener"/>
    <n v="0"/>
    <n v="5"/>
    <n v="0"/>
    <s v="caught"/>
    <n v="0"/>
    <n v="0"/>
    <n v="0"/>
    <n v="0"/>
    <n v="0"/>
    <n v="0"/>
    <n v="0"/>
    <n v="0"/>
    <n v="0"/>
    <n v="0"/>
    <n v="0"/>
    <s v="DCW"/>
    <s v="DCW"/>
    <s v="M. Chinnaswamy Stadium"/>
    <n v="119"/>
    <n v="5.95"/>
    <n v="21"/>
    <n v="23"/>
    <n v="57"/>
    <s v="NA"/>
    <n v="0"/>
    <n v="0"/>
  </r>
  <r>
    <x v="26"/>
    <n v="1"/>
    <s v="P047"/>
    <x v="46"/>
    <x v="4"/>
    <s v="Allrounder"/>
    <s v="Top Order"/>
    <n v="1"/>
    <n v="8"/>
    <n v="12.5"/>
    <s v="bowled"/>
    <n v="0"/>
    <n v="2"/>
    <n v="0"/>
    <n v="25"/>
    <n v="0"/>
    <n v="12.5"/>
    <n v="0"/>
    <n v="0"/>
    <n v="0"/>
    <n v="0"/>
    <n v="0"/>
    <s v="DCW"/>
    <s v="DCW"/>
    <s v="M. Chinnaswamy Stadium"/>
    <n v="119"/>
    <n v="5.95"/>
    <n v="21"/>
    <n v="23"/>
    <n v="57"/>
    <s v="NA"/>
    <n v="0"/>
    <n v="0"/>
  </r>
  <r>
    <x v="26"/>
    <n v="1"/>
    <s v="P049"/>
    <x v="48"/>
    <x v="4"/>
    <s v="Allrounder"/>
    <s v="Middle Order"/>
    <n v="17"/>
    <n v="18"/>
    <n v="94.44"/>
    <s v="caught"/>
    <n v="21.44"/>
    <n v="0"/>
    <n v="0"/>
    <n v="0"/>
    <n v="0"/>
    <n v="0"/>
    <n v="0"/>
    <n v="0"/>
    <n v="0"/>
    <n v="21.44"/>
    <n v="2"/>
    <s v="DCW"/>
    <s v="DCW"/>
    <s v="M. Chinnaswamy Stadium"/>
    <n v="119"/>
    <n v="5.95"/>
    <n v="21"/>
    <n v="23"/>
    <n v="57"/>
    <s v="NA"/>
    <n v="0"/>
    <n v="11.32"/>
  </r>
  <r>
    <x v="26"/>
    <n v="1"/>
    <s v="P046"/>
    <x v="45"/>
    <x v="4"/>
    <s v="Batter"/>
    <s v="Middle Order"/>
    <n v="45"/>
    <n v="42"/>
    <n v="107.14"/>
    <s v="stumped"/>
    <n v="50.71"/>
    <n v="0"/>
    <n v="0"/>
    <n v="0"/>
    <n v="0"/>
    <n v="0"/>
    <n v="0"/>
    <n v="0"/>
    <n v="0"/>
    <n v="50.71"/>
    <n v="5"/>
    <s v="DCW"/>
    <s v="DCW"/>
    <s v="M. Chinnaswamy Stadium"/>
    <n v="119"/>
    <n v="5.95"/>
    <n v="21"/>
    <n v="23"/>
    <n v="57"/>
    <s v="NA"/>
    <n v="0"/>
    <n v="26.855"/>
  </r>
  <r>
    <x v="26"/>
    <n v="1"/>
    <s v="P051"/>
    <x v="50"/>
    <x v="4"/>
    <s v="Batter"/>
    <s v="Middle Order"/>
    <n v="10"/>
    <n v="7"/>
    <n v="142.86000000000001"/>
    <s v="caught"/>
    <n v="19.29"/>
    <n v="0"/>
    <n v="0"/>
    <n v="0"/>
    <n v="0"/>
    <n v="0"/>
    <n v="0"/>
    <n v="0"/>
    <n v="0"/>
    <n v="19.29"/>
    <n v="2"/>
    <s v="DCW"/>
    <s v="DCW"/>
    <s v="M. Chinnaswamy Stadium"/>
    <n v="119"/>
    <n v="5.95"/>
    <n v="21"/>
    <n v="23"/>
    <n v="57"/>
    <s v="NA"/>
    <n v="0"/>
    <n v="10.244999999999999"/>
  </r>
  <r>
    <x v="26"/>
    <n v="1"/>
    <s v="P061"/>
    <x v="60"/>
    <x v="4"/>
    <s v="Allrounder"/>
    <s v="Middle Order"/>
    <n v="10"/>
    <n v="9"/>
    <n v="111.11"/>
    <s v="caught"/>
    <n v="16.11"/>
    <n v="1"/>
    <n v="0"/>
    <n v="7"/>
    <n v="0"/>
    <n v="7"/>
    <n v="0"/>
    <n v="0"/>
    <n v="0"/>
    <n v="16.11"/>
    <n v="2"/>
    <s v="DCW"/>
    <s v="DCW"/>
    <s v="M. Chinnaswamy Stadium"/>
    <n v="119"/>
    <n v="5.95"/>
    <n v="21"/>
    <n v="23"/>
    <n v="57"/>
    <s v="NA"/>
    <n v="0"/>
    <n v="8.6549999999999994"/>
  </r>
  <r>
    <x v="26"/>
    <n v="1"/>
    <s v="P048"/>
    <x v="47"/>
    <x v="4"/>
    <s v="Allrounder"/>
    <s v="Middle Order"/>
    <n v="5"/>
    <n v="7"/>
    <n v="71.430000000000007"/>
    <s v="caught"/>
    <n v="7.14"/>
    <n v="3"/>
    <n v="0"/>
    <n v="24"/>
    <n v="0"/>
    <n v="8"/>
    <n v="0"/>
    <n v="0"/>
    <n v="0"/>
    <n v="7.14"/>
    <n v="1"/>
    <s v="DCW"/>
    <s v="DCW"/>
    <s v="M. Chinnaswamy Stadium"/>
    <n v="119"/>
    <n v="5.95"/>
    <n v="21"/>
    <n v="23"/>
    <n v="57"/>
    <s v="NA"/>
    <n v="0"/>
    <n v="3.8699999999999997"/>
  </r>
  <r>
    <x v="26"/>
    <n v="1"/>
    <s v="P053"/>
    <x v="52"/>
    <x v="4"/>
    <s v="Bowler"/>
    <s v="Middle Order"/>
    <n v="6"/>
    <n v="6"/>
    <n v="100"/>
    <s v="caught"/>
    <n v="11"/>
    <n v="3.3"/>
    <n v="0"/>
    <n v="31"/>
    <n v="1"/>
    <n v="8.9"/>
    <n v="2.2000000000000002"/>
    <n v="0"/>
    <n v="0"/>
    <n v="13.2"/>
    <n v="1"/>
    <s v="DCW"/>
    <s v="DCW"/>
    <s v="M. Chinnaswamy Stadium"/>
    <n v="119"/>
    <n v="5.95"/>
    <n v="21"/>
    <n v="23"/>
    <n v="57"/>
    <s v="NA"/>
    <n v="0"/>
    <n v="6.8999999999999995"/>
  </r>
  <r>
    <x v="26"/>
    <n v="1"/>
    <s v="P082"/>
    <x v="83"/>
    <x v="4"/>
    <s v="Bowler"/>
    <s v="Middle Order"/>
    <n v="2"/>
    <n v="5"/>
    <n v="40"/>
    <s v="not out"/>
    <n v="6"/>
    <n v="2"/>
    <n v="0"/>
    <n v="15"/>
    <n v="0"/>
    <n v="7.5"/>
    <n v="0"/>
    <n v="0"/>
    <n v="0"/>
    <n v="6"/>
    <n v="1"/>
    <s v="DCW"/>
    <s v="DCW"/>
    <s v="M. Chinnaswamy Stadium"/>
    <n v="119"/>
    <n v="5.95"/>
    <n v="21"/>
    <n v="23"/>
    <n v="57"/>
    <s v="NA"/>
    <n v="0"/>
    <n v="3.3"/>
  </r>
  <r>
    <x v="26"/>
    <n v="1"/>
    <s v="P055"/>
    <x v="54"/>
    <x v="4"/>
    <s v="Bowler"/>
    <s v="DNB"/>
    <n v="0"/>
    <n v="0"/>
    <n v="0"/>
    <s v="DNB"/>
    <n v="0"/>
    <n v="3"/>
    <n v="0"/>
    <n v="20"/>
    <n v="0"/>
    <n v="6.67"/>
    <n v="0"/>
    <n v="0"/>
    <n v="0"/>
    <n v="0"/>
    <n v="0"/>
    <s v="DCW"/>
    <s v="DCW"/>
    <s v="M. Chinnaswamy Stadium"/>
    <n v="119"/>
    <n v="5.95"/>
    <n v="21"/>
    <n v="23"/>
    <n v="57"/>
    <s v="NA"/>
    <n v="0"/>
    <n v="0"/>
  </r>
  <r>
    <x v="26"/>
    <n v="1"/>
    <s v="P035"/>
    <x v="34"/>
    <x v="3"/>
    <s v="Batter"/>
    <s v="Opener"/>
    <n v="51"/>
    <n v="43"/>
    <n v="118.6"/>
    <s v="caught"/>
    <n v="57.86"/>
    <n v="0"/>
    <n v="0"/>
    <n v="0"/>
    <n v="0"/>
    <n v="0"/>
    <n v="0"/>
    <n v="0"/>
    <n v="0"/>
    <n v="57.86"/>
    <n v="6"/>
    <s v="DCW"/>
    <s v="DCW"/>
    <s v="M. Chinnaswamy Stadium"/>
    <n v="123"/>
    <n v="8.48"/>
    <n v="57"/>
    <n v="0"/>
    <n v="31"/>
    <s v="Successful"/>
    <n v="1"/>
    <n v="50.730000000000004"/>
  </r>
  <r>
    <x v="26"/>
    <n v="1"/>
    <s v="P034"/>
    <x v="33"/>
    <x v="3"/>
    <s v="Batter"/>
    <s v="Opener"/>
    <n v="64"/>
    <n v="43"/>
    <n v="148.84"/>
    <s v="not out"/>
    <n v="78.88"/>
    <n v="0"/>
    <n v="0"/>
    <n v="0"/>
    <n v="0"/>
    <n v="0"/>
    <n v="0"/>
    <n v="0"/>
    <n v="0"/>
    <n v="78.88"/>
    <n v="8"/>
    <s v="DCW"/>
    <s v="DCW"/>
    <s v="M. Chinnaswamy Stadium"/>
    <n v="123"/>
    <n v="8.48"/>
    <n v="57"/>
    <n v="0"/>
    <n v="31"/>
    <s v="Successful"/>
    <n v="1"/>
    <n v="61.839999999999996"/>
  </r>
  <r>
    <x v="26"/>
    <n v="1"/>
    <s v="P037"/>
    <x v="36"/>
    <x v="3"/>
    <s v="Batter"/>
    <s v="Top Order"/>
    <n v="4"/>
    <n v="1"/>
    <n v="400"/>
    <s v="not out"/>
    <n v="44"/>
    <n v="0"/>
    <n v="0"/>
    <n v="0"/>
    <n v="0"/>
    <n v="0"/>
    <n v="0"/>
    <n v="0"/>
    <n v="0"/>
    <n v="44"/>
    <n v="4"/>
    <s v="DCW"/>
    <s v="DCW"/>
    <s v="M. Chinnaswamy Stadium"/>
    <n v="123"/>
    <n v="8.48"/>
    <n v="57"/>
    <n v="0"/>
    <n v="31"/>
    <s v="Successful"/>
    <n v="1"/>
    <n v="43.2"/>
  </r>
  <r>
    <x v="26"/>
    <n v="1"/>
    <s v="P038"/>
    <x v="37"/>
    <x v="3"/>
    <s v="Batter"/>
    <s v="DNB"/>
    <n v="0"/>
    <n v="0"/>
    <n v="0"/>
    <s v="DNB"/>
    <n v="0"/>
    <n v="0"/>
    <n v="0"/>
    <n v="0"/>
    <n v="0"/>
    <n v="0"/>
    <n v="0"/>
    <n v="0"/>
    <n v="0"/>
    <n v="0"/>
    <n v="0"/>
    <s v="DCW"/>
    <s v="DCW"/>
    <s v="M. Chinnaswamy Stadium"/>
    <n v="123"/>
    <n v="8.48"/>
    <n v="57"/>
    <n v="0"/>
    <n v="31"/>
    <s v="Successful"/>
    <n v="1"/>
    <n v="20"/>
  </r>
  <r>
    <x v="26"/>
    <n v="1"/>
    <s v="P036"/>
    <x v="35"/>
    <x v="3"/>
    <s v="Allrounder"/>
    <s v="DNB"/>
    <n v="0"/>
    <n v="0"/>
    <n v="0"/>
    <s v="DNB"/>
    <n v="0"/>
    <n v="4"/>
    <n v="1"/>
    <n v="5"/>
    <n v="3"/>
    <n v="1.25"/>
    <n v="57.5"/>
    <n v="0"/>
    <n v="0"/>
    <n v="57.5"/>
    <n v="6"/>
    <s v="DCW"/>
    <s v="DCW"/>
    <s v="M. Chinnaswamy Stadium"/>
    <n v="123"/>
    <n v="8.48"/>
    <n v="57"/>
    <n v="0"/>
    <n v="31"/>
    <s v="Successful"/>
    <n v="1"/>
    <n v="50.55"/>
  </r>
  <r>
    <x v="26"/>
    <n v="1"/>
    <s v="P005"/>
    <x v="4"/>
    <x v="3"/>
    <s v="Allrounder"/>
    <s v="DNB"/>
    <n v="0"/>
    <n v="0"/>
    <n v="0"/>
    <s v="DNB"/>
    <n v="0"/>
    <n v="4"/>
    <n v="0"/>
    <n v="32"/>
    <n v="1"/>
    <n v="8"/>
    <n v="4"/>
    <n v="0"/>
    <n v="0"/>
    <n v="4"/>
    <n v="0"/>
    <s v="DCW"/>
    <s v="DCW"/>
    <s v="M. Chinnaswamy Stadium"/>
    <n v="123"/>
    <n v="8.48"/>
    <n v="57"/>
    <n v="0"/>
    <n v="31"/>
    <s v="Successful"/>
    <n v="1"/>
    <n v="22"/>
  </r>
  <r>
    <x v="26"/>
    <n v="1"/>
    <s v="P041"/>
    <x v="40"/>
    <x v="3"/>
    <s v="Bowler"/>
    <s v="DNB"/>
    <n v="0"/>
    <n v="0"/>
    <n v="0"/>
    <s v="DNB"/>
    <n v="0"/>
    <n v="3"/>
    <n v="0"/>
    <n v="16"/>
    <n v="1"/>
    <n v="5.33"/>
    <n v="9.34"/>
    <n v="0"/>
    <n v="0"/>
    <n v="9.34"/>
    <n v="1"/>
    <s v="DCW"/>
    <s v="DCW"/>
    <s v="M. Chinnaswamy Stadium"/>
    <n v="123"/>
    <n v="8.48"/>
    <n v="57"/>
    <n v="0"/>
    <n v="31"/>
    <s v="Successful"/>
    <n v="1"/>
    <n v="24.97"/>
  </r>
  <r>
    <x v="26"/>
    <n v="1"/>
    <s v="P062"/>
    <x v="61"/>
    <x v="3"/>
    <s v="Allrounder"/>
    <s v="DNB"/>
    <n v="0"/>
    <n v="0"/>
    <n v="0"/>
    <s v="DNB"/>
    <n v="0"/>
    <n v="2"/>
    <n v="0"/>
    <n v="14"/>
    <n v="0"/>
    <n v="7"/>
    <n v="0"/>
    <n v="0"/>
    <n v="0"/>
    <n v="0"/>
    <n v="0"/>
    <s v="DCW"/>
    <s v="DCW"/>
    <s v="M. Chinnaswamy Stadium"/>
    <n v="123"/>
    <n v="8.48"/>
    <n v="57"/>
    <n v="0"/>
    <n v="31"/>
    <s v="Successful"/>
    <n v="1"/>
    <n v="20"/>
  </r>
  <r>
    <x v="26"/>
    <n v="1"/>
    <s v="P040"/>
    <x v="39"/>
    <x v="3"/>
    <s v="WK-Batter"/>
    <s v="DNB"/>
    <n v="0"/>
    <n v="0"/>
    <n v="0"/>
    <s v="DNB"/>
    <n v="0"/>
    <n v="0"/>
    <n v="0"/>
    <n v="0"/>
    <n v="0"/>
    <n v="0"/>
    <n v="0"/>
    <n v="0"/>
    <n v="0"/>
    <n v="0"/>
    <n v="0"/>
    <s v="DCW"/>
    <s v="DCW"/>
    <s v="M. Chinnaswamy Stadium"/>
    <n v="123"/>
    <n v="8.48"/>
    <n v="57"/>
    <n v="0"/>
    <n v="31"/>
    <s v="Successful"/>
    <n v="1"/>
    <n v="20"/>
  </r>
  <r>
    <x v="26"/>
    <n v="1"/>
    <s v="P043"/>
    <x v="42"/>
    <x v="3"/>
    <s v="Bowler"/>
    <s v="DNB"/>
    <n v="0"/>
    <n v="0"/>
    <n v="0"/>
    <s v="DNB"/>
    <n v="0"/>
    <n v="4"/>
    <n v="0"/>
    <n v="20"/>
    <n v="4"/>
    <n v="5"/>
    <n v="70"/>
    <n v="0"/>
    <n v="0"/>
    <n v="70"/>
    <n v="7"/>
    <s v="DCW"/>
    <s v="DCW"/>
    <s v="M. Chinnaswamy Stadium"/>
    <n v="123"/>
    <n v="8.48"/>
    <n v="57"/>
    <n v="0"/>
    <n v="31"/>
    <s v="Successful"/>
    <n v="1"/>
    <n v="57.1"/>
  </r>
  <r>
    <x v="26"/>
    <n v="1"/>
    <s v="P042"/>
    <x v="41"/>
    <x v="3"/>
    <s v="Allrounder"/>
    <s v="DNB"/>
    <n v="0"/>
    <n v="0"/>
    <n v="0"/>
    <s v="DNB"/>
    <n v="0"/>
    <n v="3"/>
    <n v="0"/>
    <n v="28"/>
    <n v="0"/>
    <n v="9.33"/>
    <n v="0"/>
    <n v="0"/>
    <n v="0"/>
    <n v="0"/>
    <n v="0"/>
    <s v="DCW"/>
    <s v="DCW"/>
    <s v="M. Chinnaswamy Stadium"/>
    <n v="123"/>
    <n v="8.48"/>
    <n v="57"/>
    <n v="0"/>
    <n v="31"/>
    <s v="Successful"/>
    <n v="1"/>
    <n v="20"/>
  </r>
  <r>
    <x v="27"/>
    <n v="2"/>
    <s v="P023"/>
    <x v="22"/>
    <x v="2"/>
    <s v="Batter"/>
    <s v="Opener"/>
    <n v="43"/>
    <n v="27"/>
    <n v="159.26"/>
    <s v="caught"/>
    <n v="68.48"/>
    <n v="0"/>
    <n v="0"/>
    <n v="0"/>
    <n v="0"/>
    <n v="0"/>
    <n v="0"/>
    <n v="0"/>
    <n v="0"/>
    <n v="68.48"/>
    <n v="7"/>
    <s v="RCBW"/>
    <s v="RCBW"/>
    <s v="M. Chinnaswamy Stadium"/>
    <n v="110"/>
    <n v="8.8000000000000007"/>
    <n v="47"/>
    <n v="0"/>
    <n v="30"/>
    <s v="Successful"/>
    <n v="1"/>
    <n v="56.34"/>
  </r>
  <r>
    <x v="27"/>
    <n v="2"/>
    <s v="P002"/>
    <x v="1"/>
    <x v="2"/>
    <s v="Batting Allrounder"/>
    <s v="Top Order"/>
    <n v="36"/>
    <n v="28"/>
    <n v="128.57"/>
    <s v="not out"/>
    <n v="46.29"/>
    <n v="0"/>
    <n v="0"/>
    <n v="0"/>
    <n v="0"/>
    <n v="0"/>
    <n v="0"/>
    <n v="0"/>
    <n v="0"/>
    <n v="46.29"/>
    <n v="5"/>
    <s v="RCBW"/>
    <s v="RCBW"/>
    <s v="M. Chinnaswamy Stadium"/>
    <n v="110"/>
    <n v="8.8000000000000007"/>
    <n v="47"/>
    <n v="0"/>
    <n v="30"/>
    <s v="Successful"/>
    <n v="1"/>
    <n v="44.644999999999996"/>
  </r>
  <r>
    <x v="27"/>
    <n v="2"/>
    <s v="P027"/>
    <x v="26"/>
    <x v="2"/>
    <s v="Batting Allrounder"/>
    <s v="Middle Order"/>
    <n v="23"/>
    <n v="14"/>
    <n v="164.29"/>
    <s v="not out"/>
    <n v="37.79"/>
    <n v="1"/>
    <n v="0"/>
    <n v="8"/>
    <n v="0"/>
    <n v="8"/>
    <n v="0"/>
    <n v="0"/>
    <n v="0"/>
    <n v="37.79"/>
    <n v="4"/>
    <s v="RCBW"/>
    <s v="RCBW"/>
    <s v="M. Chinnaswamy Stadium"/>
    <n v="110"/>
    <n v="8.8000000000000007"/>
    <n v="47"/>
    <n v="0"/>
    <n v="30"/>
    <s v="Successful"/>
    <n v="1"/>
    <n v="40.094999999999999"/>
  </r>
  <r>
    <x v="27"/>
    <n v="2"/>
    <s v="P077"/>
    <x v="74"/>
    <x v="2"/>
    <s v="Bowling Allrounder"/>
    <s v="DNB"/>
    <n v="0"/>
    <n v="0"/>
    <n v="0"/>
    <s v="DNB"/>
    <n v="0"/>
    <n v="4"/>
    <n v="0"/>
    <n v="25"/>
    <n v="3"/>
    <n v="6.2"/>
    <n v="35"/>
    <n v="0"/>
    <n v="0"/>
    <n v="35"/>
    <n v="4"/>
    <s v="RCBW"/>
    <s v="RCBW"/>
    <s v="M. Chinnaswamy Stadium"/>
    <n v="110"/>
    <n v="8.8000000000000007"/>
    <n v="47"/>
    <n v="0"/>
    <n v="30"/>
    <s v="Successful"/>
    <n v="1"/>
    <n v="38.700000000000003"/>
  </r>
  <r>
    <x v="27"/>
    <n v="2"/>
    <s v="P028"/>
    <x v="27"/>
    <x v="2"/>
    <s v="WK-Batter"/>
    <s v="DNB"/>
    <n v="0"/>
    <n v="0"/>
    <n v="0"/>
    <s v="DNB"/>
    <n v="0"/>
    <n v="0"/>
    <n v="0"/>
    <n v="0"/>
    <n v="0"/>
    <n v="0"/>
    <n v="0"/>
    <n v="1"/>
    <n v="0"/>
    <n v="10"/>
    <n v="1"/>
    <s v="RCBW"/>
    <s v="RCBW"/>
    <s v="M. Chinnaswamy Stadium"/>
    <n v="110"/>
    <n v="8.8000000000000007"/>
    <n v="47"/>
    <n v="0"/>
    <n v="30"/>
    <s v="Successful"/>
    <n v="1"/>
    <n v="25.3"/>
  </r>
  <r>
    <x v="27"/>
    <n v="2"/>
    <s v="P033"/>
    <x v="32"/>
    <x v="2"/>
    <s v="Bowler"/>
    <s v="DNB"/>
    <n v="0"/>
    <n v="0"/>
    <n v="0"/>
    <s v="DNB"/>
    <n v="0"/>
    <n v="4"/>
    <n v="0"/>
    <n v="14"/>
    <n v="2"/>
    <n v="3.5"/>
    <n v="26"/>
    <n v="0"/>
    <n v="0"/>
    <n v="26"/>
    <n v="3"/>
    <s v="RCBW"/>
    <s v="RCBW"/>
    <s v="M. Chinnaswamy Stadium"/>
    <n v="110"/>
    <n v="8.8000000000000007"/>
    <n v="47"/>
    <n v="0"/>
    <n v="30"/>
    <s v="Successful"/>
    <n v="1"/>
    <n v="33.9"/>
  </r>
  <r>
    <x v="27"/>
    <n v="2"/>
    <s v="P007"/>
    <x v="6"/>
    <x v="2"/>
    <s v="Bowling Allrounder"/>
    <s v="DNB"/>
    <n v="0"/>
    <n v="0"/>
    <n v="0"/>
    <s v="DNB"/>
    <n v="0"/>
    <n v="3"/>
    <n v="0"/>
    <n v="20"/>
    <n v="1"/>
    <n v="6.7"/>
    <n v="6"/>
    <n v="0"/>
    <n v="0"/>
    <n v="6"/>
    <n v="1"/>
    <s v="RCBW"/>
    <s v="RCBW"/>
    <s v="M. Chinnaswamy Stadium"/>
    <n v="110"/>
    <n v="8.8000000000000007"/>
    <n v="47"/>
    <n v="0"/>
    <n v="30"/>
    <s v="Successful"/>
    <n v="1"/>
    <n v="23.3"/>
  </r>
  <r>
    <x v="27"/>
    <n v="2"/>
    <s v="P024"/>
    <x v="23"/>
    <x v="2"/>
    <s v="Batting Allrounder"/>
    <s v="Opener"/>
    <n v="6"/>
    <n v="6"/>
    <n v="100"/>
    <s v="caught"/>
    <n v="6"/>
    <n v="4"/>
    <n v="0"/>
    <n v="12"/>
    <n v="0"/>
    <n v="3"/>
    <n v="0"/>
    <n v="0"/>
    <n v="0"/>
    <n v="6"/>
    <n v="1"/>
    <s v="RCBW"/>
    <s v="RCBW"/>
    <s v="M. Chinnaswamy Stadium"/>
    <n v="110"/>
    <n v="8.8000000000000007"/>
    <n v="47"/>
    <n v="0"/>
    <n v="30"/>
    <s v="Successful"/>
    <n v="1"/>
    <n v="23.3"/>
  </r>
  <r>
    <x v="27"/>
    <n v="2"/>
    <s v="P059"/>
    <x v="58"/>
    <x v="2"/>
    <s v="Bowling Allrounder"/>
    <s v="DNB"/>
    <n v="0"/>
    <n v="0"/>
    <n v="0"/>
    <s v="DNB"/>
    <n v="0"/>
    <n v="1"/>
    <n v="0"/>
    <n v="13"/>
    <n v="0"/>
    <n v="13"/>
    <n v="0"/>
    <n v="0"/>
    <n v="0"/>
    <n v="0"/>
    <n v="0"/>
    <s v="RCBW"/>
    <s v="RCBW"/>
    <s v="M. Chinnaswamy Stadium"/>
    <n v="110"/>
    <n v="8.8000000000000007"/>
    <n v="47"/>
    <n v="0"/>
    <n v="30"/>
    <s v="Successful"/>
    <n v="1"/>
    <n v="20"/>
  </r>
  <r>
    <x v="27"/>
    <n v="2"/>
    <s v="P030"/>
    <x v="29"/>
    <x v="2"/>
    <s v="Bowling Allrounder"/>
    <s v="DNB"/>
    <n v="0"/>
    <n v="0"/>
    <n v="0"/>
    <s v="DNB"/>
    <n v="0"/>
    <n v="3"/>
    <n v="0"/>
    <n v="13"/>
    <n v="0"/>
    <n v="4.3"/>
    <n v="0"/>
    <n v="0"/>
    <n v="0"/>
    <n v="0"/>
    <n v="0"/>
    <s v="RCBW"/>
    <s v="RCBW"/>
    <s v="M. Chinnaswamy Stadium"/>
    <n v="110"/>
    <n v="8.8000000000000007"/>
    <n v="47"/>
    <n v="0"/>
    <n v="30"/>
    <s v="Successful"/>
    <n v="1"/>
    <n v="20"/>
  </r>
  <r>
    <x v="27"/>
    <n v="2"/>
    <s v="P075"/>
    <x v="75"/>
    <x v="2"/>
    <s v="Bowler"/>
    <s v="DNB"/>
    <n v="0"/>
    <n v="0"/>
    <n v="0"/>
    <s v="DNB"/>
    <n v="0"/>
    <n v="0"/>
    <n v="0"/>
    <n v="0"/>
    <n v="0"/>
    <n v="0"/>
    <n v="0"/>
    <n v="0"/>
    <n v="0"/>
    <n v="0"/>
    <n v="0"/>
    <s v="RCBW"/>
    <s v="RCBW"/>
    <s v="M. Chinnaswamy Stadium"/>
    <n v="110"/>
    <n v="8.8000000000000007"/>
    <n v="47"/>
    <n v="0"/>
    <n v="30"/>
    <s v="Successful"/>
    <n v="1"/>
    <n v="20"/>
  </r>
  <r>
    <x v="27"/>
    <n v="2"/>
    <s v="P006"/>
    <x v="5"/>
    <x v="0"/>
    <s v="Batter"/>
    <s v="Middle Order"/>
    <n v="31"/>
    <n v="25"/>
    <n v="124"/>
    <s v="not out"/>
    <n v="38.44"/>
    <n v="0"/>
    <n v="0"/>
    <n v="0"/>
    <n v="0"/>
    <n v="0"/>
    <n v="0"/>
    <n v="0"/>
    <n v="0"/>
    <n v="38.44"/>
    <n v="4"/>
    <s v="RCBW"/>
    <s v="RCBW"/>
    <s v="M. Chinnaswamy Stadium"/>
    <n v="107"/>
    <n v="5.35"/>
    <n v="29"/>
    <n v="34"/>
    <n v="61"/>
    <s v="NA"/>
    <n v="0"/>
    <n v="20.419999999999998"/>
  </r>
  <r>
    <x v="27"/>
    <n v="2"/>
    <s v="P003"/>
    <x v="2"/>
    <x v="0"/>
    <s v="Batting Allrounder"/>
    <s v="Top Order"/>
    <n v="22"/>
    <n v="31"/>
    <n v="70.97"/>
    <s v="run out"/>
    <n v="15.61"/>
    <n v="0"/>
    <n v="0"/>
    <n v="0"/>
    <n v="0"/>
    <n v="0"/>
    <n v="0"/>
    <n v="0"/>
    <n v="1"/>
    <n v="25.61"/>
    <n v="3"/>
    <s v="RCBW"/>
    <s v="RCBW"/>
    <s v="M. Chinnaswamy Stadium"/>
    <n v="107"/>
    <n v="5.35"/>
    <n v="29"/>
    <n v="34"/>
    <n v="61"/>
    <s v="NA"/>
    <n v="0"/>
    <n v="13.705"/>
  </r>
  <r>
    <x v="27"/>
    <n v="2"/>
    <s v="P009"/>
    <x v="8"/>
    <x v="0"/>
    <s v="Bowler"/>
    <s v="Lower Order"/>
    <n v="4"/>
    <n v="2"/>
    <n v="200"/>
    <s v="not out"/>
    <n v="8"/>
    <n v="2"/>
    <n v="0"/>
    <n v="20"/>
    <n v="1"/>
    <n v="10"/>
    <n v="0"/>
    <n v="0"/>
    <n v="0"/>
    <n v="8"/>
    <n v="1"/>
    <s v="RCBW"/>
    <s v="RCBW"/>
    <s v="M. Chinnaswamy Stadium"/>
    <n v="107"/>
    <n v="5.35"/>
    <n v="29"/>
    <n v="34"/>
    <n v="61"/>
    <s v="NA"/>
    <n v="0"/>
    <n v="4.3"/>
  </r>
  <r>
    <x v="27"/>
    <n v="2"/>
    <s v="P004"/>
    <x v="3"/>
    <x v="0"/>
    <s v="Batting Allrounder"/>
    <s v="Middle Order"/>
    <n v="7"/>
    <n v="12"/>
    <n v="58.33"/>
    <s v="caught"/>
    <n v="4.08"/>
    <n v="3"/>
    <n v="0"/>
    <n v="15"/>
    <n v="1"/>
    <n v="5"/>
    <n v="5"/>
    <n v="0"/>
    <n v="0"/>
    <n v="9.08"/>
    <n v="1"/>
    <s v="RCBW"/>
    <s v="RCBW"/>
    <s v="M. Chinnaswamy Stadium"/>
    <n v="107"/>
    <n v="5.35"/>
    <n v="29"/>
    <n v="34"/>
    <n v="61"/>
    <s v="NA"/>
    <n v="0"/>
    <n v="4.84"/>
  </r>
  <r>
    <x v="27"/>
    <n v="2"/>
    <s v="P001"/>
    <x v="0"/>
    <x v="0"/>
    <s v="WK-Batter"/>
    <s v="Opener"/>
    <n v="8"/>
    <n v="7"/>
    <n v="114.29"/>
    <s v="bowled"/>
    <n v="9.14"/>
    <n v="0"/>
    <n v="0"/>
    <n v="0"/>
    <n v="0"/>
    <n v="0"/>
    <n v="0"/>
    <n v="0"/>
    <n v="0"/>
    <n v="9.14"/>
    <n v="1"/>
    <s v="RCBW"/>
    <s v="RCBW"/>
    <s v="M. Chinnaswamy Stadium"/>
    <n v="107"/>
    <n v="5.35"/>
    <n v="29"/>
    <n v="34"/>
    <n v="61"/>
    <s v="NA"/>
    <n v="0"/>
    <n v="4.87"/>
  </r>
  <r>
    <x v="27"/>
    <n v="2"/>
    <s v="P008"/>
    <x v="7"/>
    <x v="0"/>
    <s v="Bowler"/>
    <s v="Lower Order"/>
    <n v="12"/>
    <n v="10"/>
    <n v="120"/>
    <s v="stumped"/>
    <n v="14.4"/>
    <n v="1.3"/>
    <n v="0"/>
    <n v="18"/>
    <n v="0"/>
    <n v="12"/>
    <n v="0"/>
    <n v="0"/>
    <n v="0"/>
    <n v="14.4"/>
    <n v="1"/>
    <s v="RCBW"/>
    <s v="RCBW"/>
    <s v="M. Chinnaswamy Stadium"/>
    <n v="107"/>
    <n v="5.35"/>
    <n v="29"/>
    <n v="34"/>
    <n v="61"/>
    <s v="NA"/>
    <n v="0"/>
    <n v="7.5"/>
  </r>
  <r>
    <x v="27"/>
    <n v="2"/>
    <s v="P086"/>
    <x v="78"/>
    <x v="0"/>
    <s v="Batter"/>
    <s v="Top Order"/>
    <n v="9"/>
    <n v="15"/>
    <n v="60"/>
    <s v="caught"/>
    <n v="5.4"/>
    <n v="0"/>
    <n v="0"/>
    <n v="0"/>
    <n v="0"/>
    <n v="0"/>
    <n v="0"/>
    <n v="0"/>
    <n v="0"/>
    <n v="5.4"/>
    <n v="1"/>
    <s v="RCBW"/>
    <s v="RCBW"/>
    <s v="M. Chinnaswamy Stadium"/>
    <n v="107"/>
    <n v="5.35"/>
    <n v="29"/>
    <n v="34"/>
    <n v="61"/>
    <s v="NA"/>
    <n v="0"/>
    <n v="3"/>
  </r>
  <r>
    <x v="27"/>
    <n v="2"/>
    <s v="P078"/>
    <x v="79"/>
    <x v="0"/>
    <s v="Batter"/>
    <s v="Middle Order"/>
    <n v="5"/>
    <n v="12"/>
    <n v="41.67"/>
    <s v="stumped"/>
    <n v="2.08"/>
    <n v="0"/>
    <n v="0"/>
    <n v="0"/>
    <n v="0"/>
    <n v="0"/>
    <n v="0"/>
    <n v="0"/>
    <n v="0"/>
    <n v="2.08"/>
    <n v="0"/>
    <s v="RCBW"/>
    <s v="RCBW"/>
    <s v="M. Chinnaswamy Stadium"/>
    <n v="107"/>
    <n v="5.35"/>
    <n v="29"/>
    <n v="34"/>
    <n v="61"/>
    <s v="NA"/>
    <n v="0"/>
    <n v="1.04"/>
  </r>
  <r>
    <x v="27"/>
    <n v="2"/>
    <s v="P079"/>
    <x v="80"/>
    <x v="0"/>
    <s v="Allrounder"/>
    <s v="Lower Order"/>
    <n v="3"/>
    <n v="6"/>
    <n v="50"/>
    <s v="bowled"/>
    <n v="1.5"/>
    <n v="2"/>
    <n v="0"/>
    <n v="17"/>
    <n v="0"/>
    <n v="8.5"/>
    <n v="0"/>
    <n v="0"/>
    <n v="0"/>
    <n v="1.5"/>
    <n v="0"/>
    <s v="RCBW"/>
    <s v="RCBW"/>
    <s v="M. Chinnaswamy Stadium"/>
    <n v="107"/>
    <n v="5.35"/>
    <n v="29"/>
    <n v="34"/>
    <n v="61"/>
    <s v="NA"/>
    <n v="0"/>
    <n v="0.75"/>
  </r>
  <r>
    <x v="27"/>
    <n v="2"/>
    <s v="P080"/>
    <x v="81"/>
    <x v="0"/>
    <s v="Bowler"/>
    <s v="DNB"/>
    <n v="0"/>
    <n v="0"/>
    <n v="0"/>
    <s v="DNB"/>
    <n v="0"/>
    <n v="2"/>
    <n v="0"/>
    <n v="21"/>
    <n v="0"/>
    <n v="10.5"/>
    <n v="0"/>
    <n v="0"/>
    <n v="0"/>
    <n v="0"/>
    <n v="0"/>
    <s v="RCBW"/>
    <s v="RCBW"/>
    <s v="M. Chinnaswamy Stadium"/>
    <n v="107"/>
    <n v="5.35"/>
    <n v="29"/>
    <n v="34"/>
    <n v="61"/>
    <s v="NA"/>
    <n v="0"/>
    <n v="0"/>
  </r>
  <r>
    <x v="28"/>
    <n v="2"/>
    <s v="P012"/>
    <x v="11"/>
    <x v="1"/>
    <s v="Allrounder"/>
    <s v="Opener"/>
    <n v="55"/>
    <n v="47"/>
    <n v="117.02"/>
    <s v="caught"/>
    <n v="65.849999999999994"/>
    <n v="3"/>
    <n v="0"/>
    <n v="32"/>
    <n v="0"/>
    <n v="10.7"/>
    <n v="-10"/>
    <n v="0"/>
    <n v="0"/>
    <n v="55.85"/>
    <n v="6"/>
    <s v="UPW"/>
    <s v="UPW"/>
    <s v="M. Chinnaswamy Stadium"/>
    <n v="161"/>
    <n v="8.0500000000000007"/>
    <n v="36"/>
    <n v="48"/>
    <n v="46"/>
    <s v="NA"/>
    <n v="0"/>
    <n v="29.725000000000001"/>
  </r>
  <r>
    <x v="28"/>
    <n v="2"/>
    <s v="P013"/>
    <x v="12"/>
    <x v="1"/>
    <s v="WK-Batter"/>
    <s v="Opener"/>
    <n v="26"/>
    <n v="22"/>
    <n v="118.18"/>
    <s v="caught"/>
    <n v="32.729999999999997"/>
    <n v="0"/>
    <n v="0"/>
    <n v="0"/>
    <n v="0"/>
    <n v="0"/>
    <n v="0"/>
    <n v="0"/>
    <n v="0"/>
    <n v="32.729999999999997"/>
    <n v="3"/>
    <s v="UPW"/>
    <s v="UPW"/>
    <s v="M. Chinnaswamy Stadium"/>
    <n v="161"/>
    <n v="8.0500000000000007"/>
    <n v="36"/>
    <n v="48"/>
    <n v="46"/>
    <s v="NA"/>
    <n v="0"/>
    <n v="17.264999999999997"/>
  </r>
  <r>
    <x v="28"/>
    <n v="2"/>
    <s v="P015"/>
    <x v="14"/>
    <x v="1"/>
    <s v="Allrounder"/>
    <s v="Top Order"/>
    <n v="19"/>
    <n v="14"/>
    <n v="135.71"/>
    <s v="run out"/>
    <n v="26.14"/>
    <n v="3"/>
    <n v="0"/>
    <n v="30"/>
    <n v="0"/>
    <n v="10"/>
    <n v="-6"/>
    <n v="0"/>
    <n v="0"/>
    <n v="20.14"/>
    <n v="2"/>
    <s v="UPW"/>
    <s v="UPW"/>
    <s v="M. Chinnaswamy Stadium"/>
    <n v="161"/>
    <n v="8.0500000000000007"/>
    <n v="36"/>
    <n v="48"/>
    <n v="46"/>
    <s v="NA"/>
    <n v="0"/>
    <n v="10.67"/>
  </r>
  <r>
    <x v="28"/>
    <n v="2"/>
    <s v="P016"/>
    <x v="15"/>
    <x v="1"/>
    <s v="Allrounder"/>
    <s v="Middle Order"/>
    <n v="23"/>
    <n v="16"/>
    <n v="143.75"/>
    <s v="lbw"/>
    <n v="30.81"/>
    <n v="4"/>
    <n v="0"/>
    <n v="34"/>
    <n v="1"/>
    <n v="8.5"/>
    <n v="7"/>
    <n v="0"/>
    <n v="0"/>
    <n v="37.81"/>
    <n v="4"/>
    <s v="UPW"/>
    <s v="UPW"/>
    <s v="M. Chinnaswamy Stadium"/>
    <n v="161"/>
    <n v="8.0500000000000007"/>
    <n v="36"/>
    <n v="48"/>
    <n v="46"/>
    <s v="NA"/>
    <n v="0"/>
    <n v="20.105"/>
  </r>
  <r>
    <x v="28"/>
    <n v="2"/>
    <s v="P018"/>
    <x v="17"/>
    <x v="1"/>
    <s v="Allrounder"/>
    <s v="Middle Order"/>
    <n v="18"/>
    <n v="12"/>
    <n v="150"/>
    <s v="caught"/>
    <n v="27"/>
    <n v="1.3"/>
    <n v="0"/>
    <n v="18"/>
    <n v="0"/>
    <n v="12"/>
    <n v="-4"/>
    <n v="0"/>
    <n v="0"/>
    <n v="23"/>
    <n v="2"/>
    <s v="UPW"/>
    <s v="UPW"/>
    <s v="M. Chinnaswamy Stadium"/>
    <n v="161"/>
    <n v="8.0500000000000007"/>
    <n v="36"/>
    <n v="48"/>
    <n v="46"/>
    <s v="NA"/>
    <n v="0"/>
    <n v="12.1"/>
  </r>
  <r>
    <x v="28"/>
    <n v="2"/>
    <s v="P020"/>
    <x v="19"/>
    <x v="1"/>
    <s v="Bowler"/>
    <s v="Middle Order"/>
    <n v="15"/>
    <n v="6"/>
    <n v="250"/>
    <s v="not out"/>
    <n v="30"/>
    <n v="3"/>
    <n v="0"/>
    <n v="30"/>
    <n v="2"/>
    <n v="10"/>
    <n v="10"/>
    <n v="0"/>
    <n v="0"/>
    <n v="40"/>
    <n v="4"/>
    <s v="UPW"/>
    <s v="UPW"/>
    <s v="M. Chinnaswamy Stadium"/>
    <n v="161"/>
    <n v="8.0500000000000007"/>
    <n v="36"/>
    <n v="48"/>
    <n v="46"/>
    <s v="NA"/>
    <n v="0"/>
    <n v="21.2"/>
  </r>
  <r>
    <x v="28"/>
    <n v="2"/>
    <s v="P072"/>
    <x v="72"/>
    <x v="1"/>
    <s v="Batter"/>
    <s v="Middle Order"/>
    <n v="4"/>
    <n v="2"/>
    <n v="200"/>
    <s v="bowled"/>
    <n v="9"/>
    <n v="0"/>
    <n v="0"/>
    <n v="0"/>
    <n v="0"/>
    <n v="0"/>
    <n v="0"/>
    <n v="0"/>
    <n v="0"/>
    <n v="9"/>
    <n v="1"/>
    <s v="UPW"/>
    <s v="UPW"/>
    <s v="M. Chinnaswamy Stadium"/>
    <n v="161"/>
    <n v="8.0500000000000007"/>
    <n v="36"/>
    <n v="48"/>
    <n v="46"/>
    <s v="NA"/>
    <n v="0"/>
    <n v="4.8"/>
  </r>
  <r>
    <x v="28"/>
    <n v="2"/>
    <s v="P017"/>
    <x v="16"/>
    <x v="1"/>
    <s v="Allrounder"/>
    <s v="Middle Order"/>
    <n v="0"/>
    <n v="1"/>
    <n v="0"/>
    <s v="not out"/>
    <n v="0"/>
    <n v="0"/>
    <n v="0"/>
    <n v="0"/>
    <n v="0"/>
    <n v="0"/>
    <n v="0"/>
    <n v="0"/>
    <n v="0"/>
    <n v="0"/>
    <n v="0"/>
    <s v="UPW"/>
    <s v="UPW"/>
    <s v="M. Chinnaswamy Stadium"/>
    <n v="161"/>
    <n v="8.0500000000000007"/>
    <n v="36"/>
    <n v="48"/>
    <n v="46"/>
    <s v="NA"/>
    <n v="0"/>
    <n v="0"/>
  </r>
  <r>
    <x v="28"/>
    <n v="2"/>
    <s v="P019"/>
    <x v="18"/>
    <x v="1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UPW"/>
    <s v="UPW"/>
    <s v="M. Chinnaswamy Stadium"/>
    <n v="161"/>
    <n v="8.0500000000000007"/>
    <n v="36"/>
    <n v="48"/>
    <n v="46"/>
    <s v="NA"/>
    <n v="0"/>
    <n v="0"/>
  </r>
  <r>
    <x v="28"/>
    <n v="2"/>
    <s v="P073"/>
    <x v="73"/>
    <x v="1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UPW"/>
    <s v="UPW"/>
    <s v="M. Chinnaswamy Stadium"/>
    <n v="161"/>
    <n v="8.0500000000000007"/>
    <n v="36"/>
    <n v="48"/>
    <n v="46"/>
    <s v="NA"/>
    <n v="0"/>
    <n v="0"/>
  </r>
  <r>
    <x v="28"/>
    <n v="2"/>
    <s v="P022"/>
    <x v="21"/>
    <x v="1"/>
    <s v="Bowler"/>
    <s v="DNB"/>
    <n v="0"/>
    <n v="0"/>
    <n v="0"/>
    <s v="DNB"/>
    <n v="0"/>
    <n v="2"/>
    <n v="0"/>
    <n v="17"/>
    <n v="0"/>
    <n v="8.5"/>
    <n v="-8"/>
    <n v="0"/>
    <n v="0"/>
    <n v="-8"/>
    <n v="0"/>
    <s v="UPW"/>
    <s v="UPW"/>
    <s v="M. Chinnaswamy Stadium"/>
    <n v="161"/>
    <n v="8.0500000000000007"/>
    <n v="36"/>
    <n v="48"/>
    <n v="46"/>
    <s v="NA"/>
    <n v="0"/>
    <n v="0"/>
  </r>
  <r>
    <x v="28"/>
    <n v="2"/>
    <s v="P045"/>
    <x v="44"/>
    <x v="4"/>
    <s v="WK-Batter"/>
    <s v="Opener"/>
    <n v="33"/>
    <n v="29"/>
    <n v="113.79"/>
    <s v="caught"/>
    <n v="39.39"/>
    <n v="0"/>
    <n v="0"/>
    <n v="0"/>
    <n v="0"/>
    <n v="0"/>
    <n v="0"/>
    <n v="0"/>
    <n v="0"/>
    <n v="39.39"/>
    <n v="4"/>
    <s v="UPW"/>
    <s v="UPW"/>
    <s v="M. Chinnaswamy Stadium"/>
    <n v="163"/>
    <n v="9.8800000000000008"/>
    <n v="61"/>
    <n v="14"/>
    <n v="33"/>
    <s v="Successful"/>
    <n v="1"/>
    <n v="40.894999999999996"/>
  </r>
  <r>
    <x v="28"/>
    <n v="2"/>
    <s v="P051"/>
    <x v="50"/>
    <x v="4"/>
    <s v="Batter"/>
    <s v="Middle Order"/>
    <n v="57"/>
    <n v="31"/>
    <n v="183.87"/>
    <s v="stumped"/>
    <n v="79.81"/>
    <n v="0"/>
    <n v="0"/>
    <n v="0"/>
    <n v="0"/>
    <n v="0"/>
    <n v="0"/>
    <n v="0"/>
    <n v="0"/>
    <n v="79.81"/>
    <n v="8"/>
    <s v="UPW"/>
    <s v="UPW"/>
    <s v="M. Chinnaswamy Stadium"/>
    <n v="163"/>
    <n v="9.8800000000000008"/>
    <n v="61"/>
    <n v="14"/>
    <n v="33"/>
    <s v="Successful"/>
    <n v="1"/>
    <n v="62.305"/>
  </r>
  <r>
    <x v="28"/>
    <n v="2"/>
    <s v="P047"/>
    <x v="46"/>
    <x v="4"/>
    <s v="Allrounder"/>
    <s v="Top Order"/>
    <n v="1"/>
    <n v="4"/>
    <n v="25"/>
    <s v="lbw"/>
    <n v="-3.75"/>
    <n v="0"/>
    <n v="0"/>
    <n v="0"/>
    <n v="0"/>
    <n v="0"/>
    <n v="0"/>
    <n v="0"/>
    <n v="0"/>
    <n v="-3.75"/>
    <n v="0"/>
    <s v="UPW"/>
    <s v="UPW"/>
    <s v="M. Chinnaswamy Stadium"/>
    <n v="163"/>
    <n v="9.8800000000000008"/>
    <n v="61"/>
    <n v="14"/>
    <n v="33"/>
    <s v="Successful"/>
    <n v="1"/>
    <n v="20"/>
  </r>
  <r>
    <x v="28"/>
    <n v="2"/>
    <s v="P049"/>
    <x v="48"/>
    <x v="4"/>
    <s v="Allrounder"/>
    <s v="Middle Order"/>
    <n v="38"/>
    <n v="17"/>
    <n v="223.53"/>
    <s v="not out"/>
    <n v="63.18"/>
    <n v="4"/>
    <n v="0"/>
    <n v="20"/>
    <n v="1"/>
    <n v="5"/>
    <n v="12"/>
    <n v="0"/>
    <n v="0"/>
    <n v="75.180000000000007"/>
    <n v="8"/>
    <s v="UPW"/>
    <s v="UPW"/>
    <s v="M. Chinnaswamy Stadium"/>
    <n v="163"/>
    <n v="9.8800000000000008"/>
    <n v="61"/>
    <n v="14"/>
    <n v="33"/>
    <s v="Successful"/>
    <n v="1"/>
    <n v="59.99"/>
  </r>
  <r>
    <x v="28"/>
    <n v="2"/>
    <s v="P048"/>
    <x v="47"/>
    <x v="4"/>
    <s v="Allrounder"/>
    <s v="Middle Order"/>
    <n v="27"/>
    <n v="20"/>
    <n v="135"/>
    <s v="not out"/>
    <n v="36.450000000000003"/>
    <n v="4"/>
    <n v="0"/>
    <n v="40"/>
    <n v="1"/>
    <n v="10"/>
    <n v="2"/>
    <n v="0"/>
    <n v="0"/>
    <n v="38.450000000000003"/>
    <n v="4"/>
    <s v="UPW"/>
    <s v="UPW"/>
    <s v="M. Chinnaswamy Stadium"/>
    <n v="163"/>
    <n v="9.8800000000000008"/>
    <n v="61"/>
    <n v="14"/>
    <n v="33"/>
    <s v="Successful"/>
    <n v="1"/>
    <n v="40.424999999999997"/>
  </r>
  <r>
    <x v="28"/>
    <n v="2"/>
    <s v="P053"/>
    <x v="52"/>
    <x v="4"/>
    <s v="Bowler"/>
    <s v="DNB"/>
    <n v="0"/>
    <n v="0"/>
    <n v="0"/>
    <s v="DNB"/>
    <n v="0"/>
    <n v="4"/>
    <n v="0"/>
    <n v="25"/>
    <n v="1"/>
    <n v="6.2"/>
    <n v="8"/>
    <n v="0"/>
    <n v="0"/>
    <n v="8"/>
    <n v="1"/>
    <s v="UPW"/>
    <s v="UPW"/>
    <s v="M. Chinnaswamy Stadium"/>
    <n v="163"/>
    <n v="9.8800000000000008"/>
    <n v="61"/>
    <n v="14"/>
    <n v="33"/>
    <s v="Successful"/>
    <n v="1"/>
    <n v="24.3"/>
  </r>
  <r>
    <x v="28"/>
    <n v="2"/>
    <s v="P046"/>
    <x v="45"/>
    <x v="4"/>
    <s v="Batter"/>
    <s v="DNB"/>
    <n v="0"/>
    <n v="0"/>
    <n v="0"/>
    <s v="DNB"/>
    <n v="0"/>
    <n v="0"/>
    <n v="0"/>
    <n v="0"/>
    <n v="0"/>
    <n v="0"/>
    <n v="0"/>
    <n v="0"/>
    <n v="0"/>
    <n v="0"/>
    <n v="0"/>
    <s v="UPW"/>
    <s v="UPW"/>
    <s v="M. Chinnaswamy Stadium"/>
    <n v="163"/>
    <n v="9.8800000000000008"/>
    <n v="61"/>
    <n v="14"/>
    <n v="33"/>
    <s v="Successful"/>
    <n v="1"/>
    <n v="20"/>
  </r>
  <r>
    <x v="28"/>
    <n v="2"/>
    <s v="P061"/>
    <x v="60"/>
    <x v="4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UPW"/>
    <s v="UPW"/>
    <s v="M. Chinnaswamy Stadium"/>
    <n v="163"/>
    <n v="9.8800000000000008"/>
    <n v="61"/>
    <n v="14"/>
    <n v="33"/>
    <s v="Successful"/>
    <n v="1"/>
    <n v="20"/>
  </r>
  <r>
    <x v="28"/>
    <n v="2"/>
    <s v="P082"/>
    <x v="83"/>
    <x v="4"/>
    <s v="Bowler"/>
    <s v="DNB"/>
    <n v="0"/>
    <n v="0"/>
    <n v="0"/>
    <s v="DNB"/>
    <n v="0"/>
    <n v="0"/>
    <n v="0"/>
    <n v="0"/>
    <n v="0"/>
    <n v="0"/>
    <n v="0"/>
    <n v="0"/>
    <n v="0"/>
    <n v="0"/>
    <n v="0"/>
    <s v="UPW"/>
    <s v="UPW"/>
    <s v="M. Chinnaswamy Stadium"/>
    <n v="163"/>
    <n v="9.8800000000000008"/>
    <n v="61"/>
    <n v="14"/>
    <n v="33"/>
    <s v="Successful"/>
    <n v="1"/>
    <n v="20"/>
  </r>
  <r>
    <x v="28"/>
    <n v="2"/>
    <s v="P055"/>
    <x v="54"/>
    <x v="4"/>
    <s v="Bowler"/>
    <s v="DNB"/>
    <n v="0"/>
    <n v="0"/>
    <n v="0"/>
    <s v="DNB"/>
    <n v="0"/>
    <n v="4"/>
    <n v="0"/>
    <n v="38"/>
    <n v="1"/>
    <n v="9.5"/>
    <n v="0"/>
    <n v="0"/>
    <n v="0"/>
    <n v="0"/>
    <n v="0"/>
    <s v="UPW"/>
    <s v="UPW"/>
    <s v="M. Chinnaswamy Stadium"/>
    <n v="163"/>
    <n v="9.8800000000000008"/>
    <n v="61"/>
    <n v="14"/>
    <n v="33"/>
    <s v="Successful"/>
    <n v="1"/>
    <n v="20"/>
  </r>
  <r>
    <x v="28"/>
    <n v="2"/>
    <s v="P054"/>
    <x v="53"/>
    <x v="4"/>
    <s v="Bowler"/>
    <s v="DNB"/>
    <n v="0"/>
    <n v="0"/>
    <n v="0"/>
    <s v="DNB"/>
    <n v="0"/>
    <n v="4"/>
    <n v="0"/>
    <n v="38"/>
    <n v="1"/>
    <n v="9.5"/>
    <n v="0"/>
    <n v="0"/>
    <n v="0"/>
    <n v="0"/>
    <n v="0"/>
    <s v="UPW"/>
    <s v="UPW"/>
    <s v="M. Chinnaswamy Stadium"/>
    <n v="163"/>
    <n v="9.8800000000000008"/>
    <n v="61"/>
    <n v="14"/>
    <n v="33"/>
    <s v="Successful"/>
    <n v="1"/>
    <n v="20"/>
  </r>
  <r>
    <x v="29"/>
    <n v="2"/>
    <s v="P035"/>
    <x v="34"/>
    <x v="3"/>
    <s v="Batter"/>
    <s v="Opener"/>
    <n v="11"/>
    <n v="17"/>
    <n v="64.709999999999994"/>
    <s v="caught"/>
    <n v="12.8"/>
    <n v="0"/>
    <n v="0"/>
    <n v="0"/>
    <n v="0"/>
    <n v="0"/>
    <n v="0"/>
    <n v="0"/>
    <n v="0"/>
    <n v="12.8"/>
    <n v="1"/>
    <s v="DCW"/>
    <s v="RCBW"/>
    <s v="M. Chinnaswamy Stadium"/>
    <n v="194"/>
    <n v="9.6999999999999993"/>
    <n v="45"/>
    <n v="61"/>
    <n v="43"/>
    <s v="NA"/>
    <n v="1"/>
    <n v="26.7"/>
  </r>
  <r>
    <x v="29"/>
    <n v="2"/>
    <s v="P034"/>
    <x v="33"/>
    <x v="3"/>
    <s v="Batter"/>
    <s v="Opener"/>
    <n v="50"/>
    <n v="31"/>
    <n v="161.29"/>
    <s v="caught"/>
    <n v="63.9"/>
    <n v="0"/>
    <n v="0"/>
    <n v="0"/>
    <n v="0"/>
    <n v="0"/>
    <n v="0"/>
    <n v="0"/>
    <n v="0"/>
    <n v="63.9"/>
    <n v="6"/>
    <s v="DCW"/>
    <s v="RCBW"/>
    <s v="M. Chinnaswamy Stadium"/>
    <n v="194"/>
    <n v="9.6999999999999993"/>
    <n v="45"/>
    <n v="61"/>
    <n v="43"/>
    <s v="NA"/>
    <n v="1"/>
    <n v="53.75"/>
  </r>
  <r>
    <x v="29"/>
    <n v="2"/>
    <s v="P038"/>
    <x v="37"/>
    <x v="3"/>
    <s v="Batter"/>
    <s v="Top Order"/>
    <n v="46"/>
    <n v="33"/>
    <n v="139.38999999999999"/>
    <s v="bowled"/>
    <n v="56.2"/>
    <n v="0"/>
    <n v="0"/>
    <n v="0"/>
    <n v="0"/>
    <n v="0"/>
    <n v="0"/>
    <n v="0"/>
    <n v="0"/>
    <n v="56.2"/>
    <n v="6"/>
    <s v="DCW"/>
    <s v="RCBW"/>
    <s v="M. Chinnaswamy Stadium"/>
    <n v="194"/>
    <n v="9.6999999999999993"/>
    <n v="45"/>
    <n v="61"/>
    <n v="43"/>
    <s v="NA"/>
    <n v="1"/>
    <n v="49.900000000000006"/>
  </r>
  <r>
    <x v="29"/>
    <n v="2"/>
    <s v="P037"/>
    <x v="36"/>
    <x v="3"/>
    <s v="Batter"/>
    <s v="Top Order"/>
    <n v="0"/>
    <n v="4"/>
    <n v="0"/>
    <s v="caught"/>
    <n v="0"/>
    <n v="0"/>
    <n v="0"/>
    <n v="0"/>
    <n v="0"/>
    <n v="0"/>
    <n v="0"/>
    <n v="0"/>
    <n v="0"/>
    <n v="0"/>
    <n v="0"/>
    <s v="DCW"/>
    <s v="RCBW"/>
    <s v="M. Chinnaswamy Stadium"/>
    <n v="194"/>
    <n v="9.6999999999999993"/>
    <n v="45"/>
    <n v="61"/>
    <n v="43"/>
    <s v="NA"/>
    <n v="1"/>
    <n v="20"/>
  </r>
  <r>
    <x v="29"/>
    <n v="2"/>
    <s v="P036"/>
    <x v="35"/>
    <x v="3"/>
    <s v="Allrounder"/>
    <s v="Middle Order"/>
    <n v="32"/>
    <n v="16"/>
    <n v="200"/>
    <s v="caught"/>
    <n v="52.4"/>
    <n v="4"/>
    <n v="0"/>
    <n v="35"/>
    <n v="2"/>
    <n v="8.8000000000000007"/>
    <n v="28"/>
    <n v="0"/>
    <n v="0"/>
    <n v="80.400000000000006"/>
    <n v="8"/>
    <s v="DCW"/>
    <s v="RCBW"/>
    <s v="M. Chinnaswamy Stadium"/>
    <n v="194"/>
    <n v="9.6999999999999993"/>
    <n v="45"/>
    <n v="61"/>
    <n v="43"/>
    <s v="NA"/>
    <n v="1"/>
    <n v="62.6"/>
  </r>
  <r>
    <x v="29"/>
    <n v="2"/>
    <s v="P039"/>
    <x v="38"/>
    <x v="3"/>
    <s v="Allrounder"/>
    <s v="Middle Order"/>
    <n v="36"/>
    <n v="16"/>
    <n v="225"/>
    <s v="not out"/>
    <n v="64.8"/>
    <n v="4"/>
    <n v="0"/>
    <n v="21"/>
    <n v="3"/>
    <n v="5.2"/>
    <n v="48"/>
    <n v="0"/>
    <n v="0"/>
    <n v="112.8"/>
    <n v="10"/>
    <s v="DCW"/>
    <s v="RCBW"/>
    <s v="M. Chinnaswamy Stadium"/>
    <n v="194"/>
    <n v="9.6999999999999993"/>
    <n v="45"/>
    <n v="61"/>
    <n v="43"/>
    <s v="NA"/>
    <n v="1"/>
    <n v="79.400000000000006"/>
  </r>
  <r>
    <x v="29"/>
    <n v="2"/>
    <s v="P041"/>
    <x v="40"/>
    <x v="3"/>
    <s v="Bowler"/>
    <s v="Lower Order"/>
    <n v="10"/>
    <n v="4"/>
    <n v="250"/>
    <s v="not out"/>
    <n v="28"/>
    <n v="4"/>
    <n v="0"/>
    <n v="38"/>
    <n v="2"/>
    <n v="9.5"/>
    <n v="20"/>
    <n v="0"/>
    <n v="0"/>
    <n v="48"/>
    <n v="5"/>
    <s v="DCW"/>
    <s v="RCBW"/>
    <s v="M. Chinnaswamy Stadium"/>
    <n v="194"/>
    <n v="9.6999999999999993"/>
    <n v="45"/>
    <n v="61"/>
    <n v="43"/>
    <s v="NA"/>
    <n v="1"/>
    <n v="45.5"/>
  </r>
  <r>
    <x v="29"/>
    <n v="2"/>
    <s v="P040"/>
    <x v="39"/>
    <x v="3"/>
    <s v="WK-Batter"/>
    <s v="DNB"/>
    <n v="0"/>
    <n v="0"/>
    <n v="0"/>
    <s v="DNB"/>
    <n v="0"/>
    <n v="0"/>
    <n v="0"/>
    <n v="0"/>
    <n v="0"/>
    <n v="0"/>
    <n v="0"/>
    <n v="0"/>
    <n v="0"/>
    <n v="0"/>
    <n v="0"/>
    <s v="DCW"/>
    <s v="RCBW"/>
    <s v="M. Chinnaswamy Stadium"/>
    <n v="194"/>
    <n v="9.6999999999999993"/>
    <n v="45"/>
    <n v="61"/>
    <n v="43"/>
    <s v="NA"/>
    <n v="1"/>
    <n v="20"/>
  </r>
  <r>
    <x v="29"/>
    <n v="2"/>
    <s v="P062"/>
    <x v="61"/>
    <x v="3"/>
    <s v="Allrounder"/>
    <s v="DNB"/>
    <n v="0"/>
    <n v="0"/>
    <n v="0"/>
    <s v="DNB"/>
    <n v="0"/>
    <n v="2"/>
    <n v="0"/>
    <n v="28"/>
    <n v="0"/>
    <n v="14"/>
    <n v="-10"/>
    <n v="0"/>
    <n v="0"/>
    <n v="-10"/>
    <n v="0"/>
    <s v="DCW"/>
    <s v="RCBW"/>
    <s v="M. Chinnaswamy Stadium"/>
    <n v="194"/>
    <n v="9.6999999999999993"/>
    <n v="45"/>
    <n v="61"/>
    <n v="43"/>
    <s v="NA"/>
    <n v="1"/>
    <n v="20"/>
  </r>
  <r>
    <x v="29"/>
    <n v="2"/>
    <s v="P043"/>
    <x v="42"/>
    <x v="3"/>
    <s v="Bowler"/>
    <s v="DNB"/>
    <n v="0"/>
    <n v="0"/>
    <n v="0"/>
    <s v="DNB"/>
    <n v="0"/>
    <n v="2"/>
    <n v="0"/>
    <n v="19"/>
    <n v="0"/>
    <n v="9.5"/>
    <n v="5"/>
    <n v="0"/>
    <n v="0"/>
    <n v="5"/>
    <n v="1"/>
    <s v="DCW"/>
    <s v="RCBW"/>
    <s v="M. Chinnaswamy Stadium"/>
    <n v="194"/>
    <n v="9.6999999999999993"/>
    <n v="45"/>
    <n v="61"/>
    <n v="43"/>
    <s v="NA"/>
    <n v="1"/>
    <n v="22.8"/>
  </r>
  <r>
    <x v="29"/>
    <n v="2"/>
    <s v="P042"/>
    <x v="41"/>
    <x v="3"/>
    <s v="Allrounder"/>
    <s v="DNB"/>
    <n v="0"/>
    <n v="0"/>
    <n v="0"/>
    <s v="DNB"/>
    <n v="0"/>
    <n v="4"/>
    <n v="0"/>
    <n v="27"/>
    <n v="1"/>
    <n v="6.8"/>
    <n v="18"/>
    <n v="0"/>
    <n v="0"/>
    <n v="18"/>
    <n v="2"/>
    <s v="DCW"/>
    <s v="RCBW"/>
    <s v="M. Chinnaswamy Stadium"/>
    <n v="194"/>
    <n v="9.6999999999999993"/>
    <n v="45"/>
    <n v="61"/>
    <n v="43"/>
    <s v="NA"/>
    <n v="1"/>
    <n v="29.6"/>
  </r>
  <r>
    <x v="29"/>
    <n v="2"/>
    <s v="P023"/>
    <x v="22"/>
    <x v="2"/>
    <s v="Batter"/>
    <s v="Opener"/>
    <n v="74"/>
    <n v="43"/>
    <n v="172.09"/>
    <s v="bowled"/>
    <n v="96.5"/>
    <n v="0"/>
    <n v="0"/>
    <n v="0"/>
    <n v="0"/>
    <n v="0"/>
    <n v="0"/>
    <n v="0"/>
    <n v="0"/>
    <n v="96.5"/>
    <n v="10"/>
    <s v="DCW"/>
    <s v="RCBW"/>
    <s v="M. Chinnaswamy Stadium"/>
    <n v="169"/>
    <n v="8.4499999999999993"/>
    <n v="52"/>
    <n v="25"/>
    <n v="47"/>
    <s v="Failed"/>
    <n v="0"/>
    <n v="51.25"/>
  </r>
  <r>
    <x v="29"/>
    <n v="2"/>
    <s v="P024"/>
    <x v="23"/>
    <x v="2"/>
    <s v="Allrounder"/>
    <s v="Top Order"/>
    <n v="23"/>
    <n v="17"/>
    <n v="135.29"/>
    <s v="caught"/>
    <n v="30.4"/>
    <n v="3"/>
    <n v="0"/>
    <n v="23"/>
    <n v="2"/>
    <n v="7.7"/>
    <n v="22"/>
    <n v="0"/>
    <n v="0"/>
    <n v="52.4"/>
    <n v="5"/>
    <s v="DCW"/>
    <s v="RCBW"/>
    <s v="M. Chinnaswamy Stadium"/>
    <n v="169"/>
    <n v="8.4499999999999993"/>
    <n v="52"/>
    <n v="25"/>
    <n v="47"/>
    <s v="Failed"/>
    <n v="0"/>
    <n v="27.7"/>
  </r>
  <r>
    <x v="29"/>
    <n v="2"/>
    <s v="P002"/>
    <x v="1"/>
    <x v="2"/>
    <s v="Batting Allrounder"/>
    <s v="Top Order"/>
    <n v="36"/>
    <n v="31"/>
    <n v="116.13"/>
    <s v="run out"/>
    <n v="38.200000000000003"/>
    <n v="0"/>
    <n v="0"/>
    <n v="0"/>
    <n v="0"/>
    <n v="0"/>
    <n v="0"/>
    <n v="0"/>
    <n v="0"/>
    <n v="38.200000000000003"/>
    <n v="4"/>
    <s v="DCW"/>
    <s v="RCBW"/>
    <s v="M. Chinnaswamy Stadium"/>
    <n v="169"/>
    <n v="8.4499999999999993"/>
    <n v="52"/>
    <n v="25"/>
    <n v="47"/>
    <s v="Failed"/>
    <n v="0"/>
    <n v="20.3"/>
  </r>
  <r>
    <x v="29"/>
    <n v="2"/>
    <s v="P028"/>
    <x v="27"/>
    <x v="2"/>
    <s v="WK-Batter"/>
    <s v="Middle Order"/>
    <n v="19"/>
    <n v="13"/>
    <n v="146.15"/>
    <s v="caught"/>
    <n v="27.3"/>
    <n v="0"/>
    <n v="0"/>
    <n v="0"/>
    <n v="0"/>
    <n v="0"/>
    <n v="0"/>
    <n v="0"/>
    <n v="0"/>
    <n v="27.3"/>
    <n v="3"/>
    <s v="DCW"/>
    <s v="RCBW"/>
    <s v="M. Chinnaswamy Stadium"/>
    <n v="169"/>
    <n v="8.4499999999999993"/>
    <n v="52"/>
    <n v="25"/>
    <n v="47"/>
    <s v="Failed"/>
    <n v="0"/>
    <n v="14.55"/>
  </r>
  <r>
    <x v="29"/>
    <n v="2"/>
    <s v="P007"/>
    <x v="6"/>
    <x v="2"/>
    <s v="Bowling Allrounder"/>
    <s v="Middle Order"/>
    <n v="6"/>
    <n v="7"/>
    <n v="85.71"/>
    <s v="caught"/>
    <n v="6.8"/>
    <n v="1"/>
    <n v="0"/>
    <n v="13"/>
    <n v="0"/>
    <n v="13"/>
    <n v="2"/>
    <n v="0"/>
    <n v="0"/>
    <n v="8.8000000000000007"/>
    <n v="1"/>
    <s v="DCW"/>
    <s v="RCBW"/>
    <s v="M. Chinnaswamy Stadium"/>
    <n v="169"/>
    <n v="8.4499999999999993"/>
    <n v="52"/>
    <n v="25"/>
    <n v="47"/>
    <s v="Failed"/>
    <n v="0"/>
    <n v="4.7"/>
  </r>
  <r>
    <x v="29"/>
    <n v="2"/>
    <s v="P083"/>
    <x v="84"/>
    <x v="2"/>
    <s v="Allrounder"/>
    <s v="Middle Order"/>
    <n v="1"/>
    <n v="2"/>
    <n v="50"/>
    <s v="caught"/>
    <n v="2"/>
    <n v="4"/>
    <n v="0"/>
    <n v="35"/>
    <n v="2"/>
    <n v="8.8000000000000007"/>
    <n v="28"/>
    <n v="0"/>
    <n v="0"/>
    <n v="30"/>
    <n v="3"/>
    <s v="DCW"/>
    <s v="RCBW"/>
    <s v="M. Chinnaswamy Stadium"/>
    <n v="169"/>
    <n v="8.4499999999999993"/>
    <n v="52"/>
    <n v="25"/>
    <n v="47"/>
    <s v="Failed"/>
    <n v="0"/>
    <n v="15.9"/>
  </r>
  <r>
    <x v="29"/>
    <n v="2"/>
    <s v="P075"/>
    <x v="75"/>
    <x v="2"/>
    <s v="Bowler"/>
    <s v="Lower Order"/>
    <n v="2"/>
    <n v="2"/>
    <n v="100"/>
    <s v="caught"/>
    <n v="4"/>
    <n v="0"/>
    <n v="0"/>
    <n v="0"/>
    <n v="0"/>
    <n v="0"/>
    <n v="0"/>
    <n v="0"/>
    <n v="0"/>
    <n v="4"/>
    <n v="0"/>
    <s v="DCW"/>
    <s v="RCBW"/>
    <s v="M. Chinnaswamy Stadium"/>
    <n v="169"/>
    <n v="8.4499999999999993"/>
    <n v="52"/>
    <n v="25"/>
    <n v="47"/>
    <s v="Failed"/>
    <n v="0"/>
    <n v="2"/>
  </r>
  <r>
    <x v="29"/>
    <n v="2"/>
    <s v="P077"/>
    <x v="74"/>
    <x v="2"/>
    <s v="Allrounder"/>
    <s v="Lower Order"/>
    <n v="1"/>
    <n v="2"/>
    <n v="50"/>
    <s v="caught"/>
    <n v="2"/>
    <n v="3"/>
    <n v="0"/>
    <n v="23"/>
    <n v="0"/>
    <n v="7.7"/>
    <n v="6"/>
    <n v="0"/>
    <n v="0"/>
    <n v="8"/>
    <n v="1"/>
    <s v="DCW"/>
    <s v="RCBW"/>
    <s v="M. Chinnaswamy Stadium"/>
    <n v="169"/>
    <n v="8.4499999999999993"/>
    <n v="52"/>
    <n v="25"/>
    <n v="47"/>
    <s v="Failed"/>
    <n v="0"/>
    <n v="4.3"/>
  </r>
  <r>
    <x v="29"/>
    <n v="2"/>
    <s v="P059"/>
    <x v="58"/>
    <x v="2"/>
    <s v="Bowling Allrounder"/>
    <s v="Lower Order"/>
    <n v="1"/>
    <n v="2"/>
    <n v="50"/>
    <s v="not out"/>
    <n v="4"/>
    <n v="3"/>
    <n v="0"/>
    <n v="40"/>
    <n v="1"/>
    <n v="13.3"/>
    <n v="10"/>
    <n v="0"/>
    <n v="0"/>
    <n v="14"/>
    <n v="1"/>
    <s v="DCW"/>
    <s v="RCBW"/>
    <s v="M. Chinnaswamy Stadium"/>
    <n v="169"/>
    <n v="8.4499999999999993"/>
    <n v="52"/>
    <n v="25"/>
    <n v="47"/>
    <s v="Failed"/>
    <n v="0"/>
    <n v="7.3"/>
  </r>
  <r>
    <x v="29"/>
    <n v="2"/>
    <s v="P030"/>
    <x v="29"/>
    <x v="2"/>
    <s v="Bowling Allrounder"/>
    <s v="Lower Order"/>
    <n v="0"/>
    <n v="1"/>
    <n v="0"/>
    <s v="caught"/>
    <n v="0"/>
    <n v="2"/>
    <n v="0"/>
    <n v="30"/>
    <n v="0"/>
    <n v="15"/>
    <n v="-5"/>
    <n v="0"/>
    <n v="0"/>
    <n v="-5"/>
    <n v="0"/>
    <s v="DCW"/>
    <s v="RCBW"/>
    <s v="M. Chinnaswamy Stadium"/>
    <n v="169"/>
    <n v="8.4499999999999993"/>
    <n v="52"/>
    <n v="25"/>
    <n v="47"/>
    <s v="Failed"/>
    <n v="0"/>
    <n v="0"/>
  </r>
  <r>
    <x v="29"/>
    <n v="2"/>
    <s v="P033"/>
    <x v="32"/>
    <x v="2"/>
    <s v="Bowler"/>
    <s v="Lower Order"/>
    <n v="1"/>
    <n v="1"/>
    <n v="100"/>
    <s v="not out"/>
    <n v="4"/>
    <n v="4"/>
    <n v="0"/>
    <n v="28"/>
    <n v="0"/>
    <n v="7"/>
    <n v="6"/>
    <n v="0"/>
    <n v="0"/>
    <n v="10"/>
    <n v="1"/>
    <s v="DCW"/>
    <s v="RCBW"/>
    <s v="M. Chinnaswamy Stadium"/>
    <n v="169"/>
    <n v="8.4499999999999993"/>
    <n v="52"/>
    <n v="25"/>
    <n v="47"/>
    <s v="Failed"/>
    <n v="0"/>
    <n v="5.3"/>
  </r>
  <r>
    <x v="30"/>
    <n v="2"/>
    <s v="P045"/>
    <x v="44"/>
    <x v="4"/>
    <s v="WK-Batter"/>
    <s v="Opener"/>
    <n v="33"/>
    <n v="21"/>
    <n v="157.13999999999999"/>
    <s v="caught"/>
    <n v="34.9"/>
    <n v="0"/>
    <n v="0"/>
    <n v="0"/>
    <n v="0"/>
    <n v="0"/>
    <n v="0"/>
    <n v="0"/>
    <n v="0"/>
    <n v="34.9"/>
    <n v="3"/>
    <s v="UPW"/>
    <s v="UPW"/>
    <s v="M. Chinnaswamy Stadium"/>
    <n v="143"/>
    <n v="9.1300000000000008"/>
    <n v="59"/>
    <n v="0"/>
    <n v="39"/>
    <s v="Successful"/>
    <n v="1"/>
    <n v="38.349999999999994"/>
  </r>
  <r>
    <x v="30"/>
    <n v="2"/>
    <s v="P051"/>
    <x v="50"/>
    <x v="4"/>
    <s v="Batter"/>
    <s v="Opener"/>
    <n v="12"/>
    <n v="8"/>
    <n v="150"/>
    <s v="caught"/>
    <n v="15.4"/>
    <n v="0"/>
    <n v="0"/>
    <n v="0"/>
    <n v="0"/>
    <n v="0"/>
    <n v="0"/>
    <n v="0"/>
    <n v="0"/>
    <n v="15.4"/>
    <n v="2"/>
    <s v="UPW"/>
    <s v="UPW"/>
    <s v="M. Chinnaswamy Stadium"/>
    <n v="143"/>
    <n v="9.1300000000000008"/>
    <n v="59"/>
    <n v="0"/>
    <n v="39"/>
    <s v="Successful"/>
    <n v="1"/>
    <n v="28.3"/>
  </r>
  <r>
    <x v="30"/>
    <n v="2"/>
    <s v="P084"/>
    <x v="85"/>
    <x v="4"/>
    <s v="Batting Allrounder"/>
    <s v="Top Order"/>
    <n v="17"/>
    <n v="11"/>
    <n v="154.55000000000001"/>
    <s v="caught"/>
    <n v="23.2"/>
    <n v="4"/>
    <n v="0"/>
    <n v="19"/>
    <n v="0"/>
    <n v="4.8"/>
    <n v="10"/>
    <n v="1"/>
    <n v="0"/>
    <n v="41.2"/>
    <n v="4"/>
    <s v="UPW"/>
    <s v="UPW"/>
    <s v="M. Chinnaswamy Stadium"/>
    <n v="143"/>
    <n v="9.1300000000000008"/>
    <n v="59"/>
    <n v="0"/>
    <n v="39"/>
    <s v="Successful"/>
    <n v="1"/>
    <n v="41.8"/>
  </r>
  <r>
    <x v="30"/>
    <n v="2"/>
    <s v="P049"/>
    <x v="48"/>
    <x v="4"/>
    <s v="Batting Allrounder"/>
    <s v="Middle Order"/>
    <n v="60"/>
    <n v="33"/>
    <n v="181.82"/>
    <s v="not out"/>
    <n v="77.900000000000006"/>
    <n v="3"/>
    <n v="0"/>
    <n v="21"/>
    <n v="0"/>
    <n v="7"/>
    <n v="5"/>
    <n v="0"/>
    <n v="0"/>
    <n v="82.9"/>
    <n v="8"/>
    <s v="UPW"/>
    <s v="UPW"/>
    <s v="M. Chinnaswamy Stadium"/>
    <n v="143"/>
    <n v="9.1300000000000008"/>
    <n v="59"/>
    <n v="0"/>
    <n v="39"/>
    <s v="Successful"/>
    <n v="1"/>
    <n v="63.85"/>
  </r>
  <r>
    <x v="30"/>
    <n v="2"/>
    <s v="P046"/>
    <x v="45"/>
    <x v="4"/>
    <s v="Batting Allrounder"/>
    <s v="Middle Order"/>
    <n v="2"/>
    <n v="7"/>
    <n v="28.57"/>
    <s v="bowled"/>
    <n v="-1.6"/>
    <n v="0"/>
    <n v="0"/>
    <n v="0"/>
    <n v="0"/>
    <n v="0"/>
    <n v="0"/>
    <n v="0"/>
    <n v="0"/>
    <n v="0"/>
    <n v="0"/>
    <s v="UPW"/>
    <s v="UPW"/>
    <s v="M. Chinnaswamy Stadium"/>
    <n v="143"/>
    <n v="9.1300000000000008"/>
    <n v="59"/>
    <n v="0"/>
    <n v="39"/>
    <s v="Successful"/>
    <n v="1"/>
    <n v="20"/>
  </r>
  <r>
    <x v="30"/>
    <n v="2"/>
    <s v="P048"/>
    <x v="47"/>
    <x v="4"/>
    <s v="Allrounder"/>
    <s v="Middle Order"/>
    <n v="17"/>
    <n v="14"/>
    <n v="121.43"/>
    <s v="not out"/>
    <n v="22.3"/>
    <n v="4"/>
    <n v="0"/>
    <n v="28"/>
    <n v="0"/>
    <n v="7"/>
    <n v="5"/>
    <n v="0"/>
    <n v="0"/>
    <n v="27.3"/>
    <n v="3"/>
    <s v="UPW"/>
    <s v="UPW"/>
    <s v="M. Chinnaswamy Stadium"/>
    <n v="143"/>
    <n v="9.1300000000000008"/>
    <n v="59"/>
    <n v="0"/>
    <n v="39"/>
    <s v="Successful"/>
    <n v="1"/>
    <n v="34.549999999999997"/>
  </r>
  <r>
    <x v="30"/>
    <n v="2"/>
    <s v="P061"/>
    <x v="60"/>
    <x v="4"/>
    <s v="Bowling Allrounder"/>
    <s v="DNB"/>
    <n v="0"/>
    <n v="0"/>
    <n v="0"/>
    <s v="DNB"/>
    <n v="0"/>
    <n v="0"/>
    <n v="0"/>
    <n v="0"/>
    <n v="0"/>
    <n v="0"/>
    <n v="0"/>
    <n v="0"/>
    <n v="0"/>
    <n v="0"/>
    <n v="0"/>
    <s v="UPW"/>
    <s v="UPW"/>
    <s v="M. Chinnaswamy Stadium"/>
    <n v="143"/>
    <n v="9.1300000000000008"/>
    <n v="59"/>
    <n v="0"/>
    <n v="39"/>
    <s v="Successful"/>
    <n v="1"/>
    <n v="20"/>
  </r>
  <r>
    <x v="30"/>
    <n v="2"/>
    <s v="P076"/>
    <x v="77"/>
    <x v="4"/>
    <s v="Bowling Allrounder"/>
    <s v="DNB"/>
    <n v="0"/>
    <n v="0"/>
    <n v="0"/>
    <s v="DNB"/>
    <n v="0"/>
    <n v="0"/>
    <n v="0"/>
    <n v="0"/>
    <n v="0"/>
    <n v="0"/>
    <n v="0"/>
    <n v="0"/>
    <n v="1"/>
    <n v="12"/>
    <n v="1"/>
    <s v="UPW"/>
    <s v="UPW"/>
    <s v="M. Chinnaswamy Stadium"/>
    <n v="143"/>
    <n v="9.1300000000000008"/>
    <n v="59"/>
    <n v="0"/>
    <n v="39"/>
    <s v="Successful"/>
    <n v="1"/>
    <n v="26.3"/>
  </r>
  <r>
    <x v="30"/>
    <n v="2"/>
    <s v="P053"/>
    <x v="52"/>
    <x v="4"/>
    <s v="Bowler"/>
    <s v="DNB"/>
    <n v="0"/>
    <n v="0"/>
    <n v="0"/>
    <s v="DNB"/>
    <n v="0"/>
    <n v="4"/>
    <n v="0"/>
    <n v="20"/>
    <n v="3"/>
    <n v="5"/>
    <n v="55"/>
    <n v="0"/>
    <n v="0"/>
    <n v="55"/>
    <n v="6"/>
    <s v="UPW"/>
    <s v="UPW"/>
    <s v="M. Chinnaswamy Stadium"/>
    <n v="143"/>
    <n v="9.1300000000000008"/>
    <n v="59"/>
    <n v="0"/>
    <n v="39"/>
    <s v="Successful"/>
    <n v="1"/>
    <n v="49.3"/>
  </r>
  <r>
    <x v="30"/>
    <n v="2"/>
    <s v="P054"/>
    <x v="53"/>
    <x v="4"/>
    <s v="Bowler"/>
    <s v="DNB"/>
    <n v="0"/>
    <n v="0"/>
    <n v="0"/>
    <s v="DNB"/>
    <n v="0"/>
    <n v="1"/>
    <n v="0"/>
    <n v="13"/>
    <n v="0"/>
    <n v="13"/>
    <n v="0"/>
    <n v="0"/>
    <n v="0"/>
    <n v="0"/>
    <n v="0"/>
    <s v="UPW"/>
    <s v="UPW"/>
    <s v="M. Chinnaswamy Stadium"/>
    <n v="143"/>
    <n v="9.1300000000000008"/>
    <n v="59"/>
    <n v="0"/>
    <n v="39"/>
    <s v="Successful"/>
    <n v="1"/>
    <n v="20"/>
  </r>
  <r>
    <x v="30"/>
    <n v="2"/>
    <s v="P055"/>
    <x v="54"/>
    <x v="4"/>
    <s v="Bowler"/>
    <s v="DNB"/>
    <n v="0"/>
    <n v="0"/>
    <n v="0"/>
    <s v="DNB"/>
    <n v="0"/>
    <n v="4"/>
    <n v="0"/>
    <n v="33"/>
    <n v="1"/>
    <n v="8.25"/>
    <n v="14"/>
    <n v="0"/>
    <n v="0"/>
    <n v="14"/>
    <n v="1"/>
    <s v="UPW"/>
    <s v="UPW"/>
    <s v="M. Chinnaswamy Stadium"/>
    <n v="143"/>
    <n v="9.1300000000000008"/>
    <n v="59"/>
    <n v="0"/>
    <n v="39"/>
    <s v="Successful"/>
    <n v="1"/>
    <n v="27.3"/>
  </r>
  <r>
    <x v="30"/>
    <n v="2"/>
    <s v="P066"/>
    <x v="65"/>
    <x v="0"/>
    <s v="Batter"/>
    <s v="Opener"/>
    <n v="28"/>
    <n v="26"/>
    <n v="107.69"/>
    <s v="caught"/>
    <n v="20.100000000000001"/>
    <n v="0"/>
    <n v="0"/>
    <n v="0"/>
    <n v="0"/>
    <n v="0"/>
    <n v="0"/>
    <n v="0"/>
    <n v="0"/>
    <n v="20.100000000000001"/>
    <n v="2"/>
    <s v="UPW"/>
    <s v="UPW"/>
    <s v="M. Chinnaswamy Stadium"/>
    <n v="142"/>
    <n v="7.1"/>
    <n v="41"/>
    <n v="34"/>
    <n v="45"/>
    <s v="NA"/>
    <n v="0"/>
    <n v="10.65"/>
  </r>
  <r>
    <x v="30"/>
    <n v="2"/>
    <s v="P001"/>
    <x v="0"/>
    <x v="0"/>
    <s v="WK-Batter"/>
    <s v="Opener"/>
    <n v="16"/>
    <n v="16"/>
    <n v="100"/>
    <s v="caught"/>
    <n v="14"/>
    <n v="0"/>
    <n v="0"/>
    <n v="0"/>
    <n v="0"/>
    <n v="0"/>
    <n v="0"/>
    <n v="0"/>
    <n v="0"/>
    <n v="14"/>
    <n v="1"/>
    <s v="UPW"/>
    <s v="UPW"/>
    <s v="M. Chinnaswamy Stadium"/>
    <n v="142"/>
    <n v="7.1"/>
    <n v="41"/>
    <n v="34"/>
    <n v="45"/>
    <s v="NA"/>
    <n v="0"/>
    <n v="7.3"/>
  </r>
  <r>
    <x v="30"/>
    <n v="2"/>
    <s v="P003"/>
    <x v="2"/>
    <x v="0"/>
    <s v="Batter"/>
    <s v="Top Order"/>
    <n v="18"/>
    <n v="24"/>
    <n v="75"/>
    <s v="caught"/>
    <n v="8.6"/>
    <n v="0"/>
    <n v="0"/>
    <n v="0"/>
    <n v="0"/>
    <n v="0"/>
    <n v="0"/>
    <n v="0"/>
    <n v="0"/>
    <n v="8.6"/>
    <n v="1"/>
    <s v="UPW"/>
    <s v="UPW"/>
    <s v="M. Chinnaswamy Stadium"/>
    <n v="142"/>
    <n v="7.1"/>
    <n v="41"/>
    <n v="34"/>
    <n v="45"/>
    <s v="NA"/>
    <n v="0"/>
    <n v="4.5999999999999996"/>
  </r>
  <r>
    <x v="30"/>
    <n v="2"/>
    <s v="P078"/>
    <x v="79"/>
    <x v="0"/>
    <s v="Batter"/>
    <s v="Top Order"/>
    <n v="35"/>
    <n v="26"/>
    <n v="134.62"/>
    <s v="run out"/>
    <n v="33.9"/>
    <n v="0"/>
    <n v="0"/>
    <n v="0"/>
    <n v="0"/>
    <n v="0"/>
    <n v="0"/>
    <n v="0"/>
    <n v="1"/>
    <n v="45.9"/>
    <n v="5"/>
    <s v="UPW"/>
    <s v="UPW"/>
    <s v="M. Chinnaswamy Stadium"/>
    <n v="142"/>
    <n v="7.1"/>
    <n v="41"/>
    <n v="34"/>
    <n v="45"/>
    <s v="NA"/>
    <n v="0"/>
    <n v="24.45"/>
  </r>
  <r>
    <x v="30"/>
    <n v="2"/>
    <s v="P004"/>
    <x v="3"/>
    <x v="0"/>
    <s v="Batting Allrounder"/>
    <s v="Middle Order"/>
    <n v="30"/>
    <n v="17"/>
    <n v="176.47"/>
    <s v="caught"/>
    <n v="36.299999999999997"/>
    <n v="3"/>
    <n v="0"/>
    <n v="30"/>
    <n v="0"/>
    <n v="10"/>
    <n v="0"/>
    <n v="0"/>
    <n v="0"/>
    <n v="36.299999999999997"/>
    <n v="4"/>
    <s v="UPW"/>
    <s v="UPW"/>
    <s v="M. Chinnaswamy Stadium"/>
    <n v="142"/>
    <n v="7.1"/>
    <n v="41"/>
    <n v="34"/>
    <n v="45"/>
    <s v="NA"/>
    <n v="0"/>
    <n v="19.349999999999998"/>
  </r>
  <r>
    <x v="30"/>
    <n v="2"/>
    <s v="P006"/>
    <x v="5"/>
    <x v="0"/>
    <s v="Batter"/>
    <s v="Middle Order"/>
    <n v="2"/>
    <n v="4"/>
    <n v="50"/>
    <s v="not out"/>
    <n v="7"/>
    <n v="0"/>
    <n v="0"/>
    <n v="0"/>
    <n v="0"/>
    <n v="0"/>
    <n v="0"/>
    <n v="0"/>
    <n v="0"/>
    <n v="7"/>
    <n v="1"/>
    <s v="UPW"/>
    <s v="UPW"/>
    <s v="M. Chinnaswamy Stadium"/>
    <n v="142"/>
    <n v="7.1"/>
    <n v="41"/>
    <n v="34"/>
    <n v="45"/>
    <s v="NA"/>
    <n v="0"/>
    <n v="3.8"/>
  </r>
  <r>
    <x v="30"/>
    <n v="2"/>
    <s v="P079"/>
    <x v="80"/>
    <x v="0"/>
    <s v="Allrounder"/>
    <s v="Middle Order"/>
    <n v="5"/>
    <n v="7"/>
    <n v="71.430000000000007"/>
    <s v="not out"/>
    <n v="6.3"/>
    <n v="2"/>
    <n v="0"/>
    <n v="19"/>
    <n v="1"/>
    <n v="9.5"/>
    <n v="18"/>
    <n v="0"/>
    <n v="0"/>
    <n v="24.3"/>
    <n v="2"/>
    <s v="UPW"/>
    <s v="UPW"/>
    <s v="M. Chinnaswamy Stadium"/>
    <n v="142"/>
    <n v="7.1"/>
    <n v="41"/>
    <n v="34"/>
    <n v="45"/>
    <s v="NA"/>
    <n v="0"/>
    <n v="12.75"/>
  </r>
  <r>
    <x v="30"/>
    <n v="2"/>
    <s v="P008"/>
    <x v="7"/>
    <x v="0"/>
    <s v="Bowling Allrounder"/>
    <s v="DNB"/>
    <n v="0"/>
    <n v="0"/>
    <n v="0"/>
    <s v="DNB"/>
    <n v="0"/>
    <n v="2.4"/>
    <n v="0"/>
    <n v="17"/>
    <n v="0"/>
    <n v="6.4"/>
    <n v="9"/>
    <n v="0"/>
    <n v="0"/>
    <n v="9"/>
    <n v="1"/>
    <s v="UPW"/>
    <s v="UPW"/>
    <s v="M. Chinnaswamy Stadium"/>
    <n v="142"/>
    <n v="7.1"/>
    <n v="41"/>
    <n v="34"/>
    <n v="45"/>
    <s v="NA"/>
    <n v="0"/>
    <n v="4.8"/>
  </r>
  <r>
    <x v="30"/>
    <n v="2"/>
    <s v="P009"/>
    <x v="8"/>
    <x v="0"/>
    <s v="Bowler"/>
    <s v="DNB"/>
    <n v="0"/>
    <n v="0"/>
    <n v="0"/>
    <s v="DNB"/>
    <n v="0"/>
    <n v="3"/>
    <n v="0"/>
    <n v="23"/>
    <n v="2"/>
    <n v="7.7"/>
    <n v="36"/>
    <n v="0"/>
    <n v="0"/>
    <n v="36"/>
    <n v="4"/>
    <s v="UPW"/>
    <s v="UPW"/>
    <s v="M. Chinnaswamy Stadium"/>
    <n v="142"/>
    <n v="7.1"/>
    <n v="41"/>
    <n v="34"/>
    <n v="45"/>
    <s v="NA"/>
    <n v="0"/>
    <n v="19.2"/>
  </r>
  <r>
    <x v="30"/>
    <n v="2"/>
    <s v="P085"/>
    <x v="86"/>
    <x v="0"/>
    <s v="Bowling Allrounder"/>
    <s v="DNB"/>
    <n v="0"/>
    <n v="0"/>
    <n v="0"/>
    <s v="DNB"/>
    <n v="0"/>
    <n v="1"/>
    <n v="0"/>
    <n v="14"/>
    <n v="0"/>
    <n v="14"/>
    <n v="0"/>
    <n v="0"/>
    <n v="0"/>
    <n v="0"/>
    <n v="0"/>
    <s v="UPW"/>
    <s v="UPW"/>
    <s v="M. Chinnaswamy Stadium"/>
    <n v="142"/>
    <n v="7.1"/>
    <n v="41"/>
    <n v="34"/>
    <n v="45"/>
    <s v="NA"/>
    <n v="0"/>
    <n v="0"/>
  </r>
  <r>
    <x v="30"/>
    <n v="2"/>
    <s v="P081"/>
    <x v="82"/>
    <x v="0"/>
    <s v="Bowler"/>
    <s v="DNB"/>
    <n v="0"/>
    <n v="0"/>
    <n v="0"/>
    <s v="DNB"/>
    <n v="0"/>
    <n v="4"/>
    <n v="1"/>
    <n v="39"/>
    <n v="1"/>
    <n v="9.8000000000000007"/>
    <n v="13"/>
    <n v="0"/>
    <n v="0"/>
    <n v="13"/>
    <n v="1"/>
    <s v="UPW"/>
    <s v="UPW"/>
    <s v="M. Chinnaswamy Stadium"/>
    <n v="142"/>
    <n v="7.1"/>
    <n v="41"/>
    <n v="34"/>
    <n v="45"/>
    <s v="NA"/>
    <n v="0"/>
    <n v="6.8"/>
  </r>
  <r>
    <x v="31"/>
    <n v="2"/>
    <s v="P023"/>
    <x v="22"/>
    <x v="2"/>
    <s v="Batter"/>
    <s v="Opener"/>
    <n v="9"/>
    <n v="11"/>
    <n v="81.819999999999993"/>
    <s v="caught"/>
    <n v="6.5"/>
    <n v="0"/>
    <n v="0"/>
    <n v="0"/>
    <n v="0"/>
    <n v="0"/>
    <n v="0"/>
    <n v="0"/>
    <n v="0"/>
    <n v="6.5"/>
    <n v="1"/>
    <s v="MIW"/>
    <s v="MIW"/>
    <s v="M. Chinnaswamy Stadium"/>
    <n v="131"/>
    <n v="6.55"/>
    <n v="34"/>
    <n v="25"/>
    <n v="45"/>
    <s v="NA"/>
    <n v="0"/>
    <n v="3.55"/>
  </r>
  <r>
    <x v="31"/>
    <n v="2"/>
    <s v="P024"/>
    <x v="23"/>
    <x v="2"/>
    <s v="Allrounder"/>
    <s v="Top Order"/>
    <n v="9"/>
    <n v="10"/>
    <n v="90"/>
    <s v="lbw"/>
    <n v="6.8"/>
    <n v="2"/>
    <n v="0"/>
    <n v="16"/>
    <n v="1"/>
    <n v="8"/>
    <n v="13"/>
    <n v="0"/>
    <n v="0"/>
    <n v="19.8"/>
    <n v="2"/>
    <s v="MIW"/>
    <s v="MIW"/>
    <s v="M. Chinnaswamy Stadium"/>
    <n v="131"/>
    <n v="6.55"/>
    <n v="34"/>
    <n v="25"/>
    <n v="45"/>
    <s v="NA"/>
    <n v="0"/>
    <n v="10.5"/>
  </r>
  <r>
    <x v="31"/>
    <n v="2"/>
    <s v="P002"/>
    <x v="1"/>
    <x v="2"/>
    <s v="Batting Allrounder"/>
    <s v="Top Order"/>
    <n v="11"/>
    <n v="12"/>
    <n v="91.67"/>
    <s v="caught"/>
    <n v="8.5"/>
    <n v="0"/>
    <n v="0"/>
    <n v="0"/>
    <n v="0"/>
    <n v="0"/>
    <n v="0"/>
    <n v="0"/>
    <n v="0"/>
    <n v="8.5"/>
    <n v="1"/>
    <s v="MIW"/>
    <s v="MIW"/>
    <s v="M. Chinnaswamy Stadium"/>
    <n v="131"/>
    <n v="6.55"/>
    <n v="34"/>
    <n v="25"/>
    <n v="45"/>
    <s v="NA"/>
    <n v="0"/>
    <n v="4.55"/>
  </r>
  <r>
    <x v="31"/>
    <n v="2"/>
    <s v="P027"/>
    <x v="26"/>
    <x v="2"/>
    <s v="Batting Allrounder"/>
    <s v="Middle Order"/>
    <n v="44"/>
    <n v="38"/>
    <n v="115.79"/>
    <s v="not out"/>
    <n v="46.9"/>
    <n v="2"/>
    <n v="0"/>
    <n v="10"/>
    <n v="0"/>
    <n v="5"/>
    <n v="15"/>
    <n v="0"/>
    <n v="0"/>
    <n v="61.9"/>
    <n v="6"/>
    <s v="MIW"/>
    <s v="MIW"/>
    <s v="M. Chinnaswamy Stadium"/>
    <n v="131"/>
    <n v="6.55"/>
    <n v="34"/>
    <n v="25"/>
    <n v="45"/>
    <s v="NA"/>
    <n v="0"/>
    <n v="32.75"/>
  </r>
  <r>
    <x v="31"/>
    <n v="2"/>
    <s v="P028"/>
    <x v="27"/>
    <x v="2"/>
    <s v="WK-Batter"/>
    <s v="Middle Order"/>
    <n v="7"/>
    <n v="10"/>
    <n v="70"/>
    <s v="caught"/>
    <n v="2.4"/>
    <n v="0"/>
    <n v="0"/>
    <n v="0"/>
    <n v="0"/>
    <n v="0"/>
    <n v="0"/>
    <n v="0"/>
    <n v="0"/>
    <n v="2.4"/>
    <n v="0"/>
    <s v="MIW"/>
    <s v="MIW"/>
    <s v="M. Chinnaswamy Stadium"/>
    <n v="131"/>
    <n v="6.55"/>
    <n v="34"/>
    <n v="25"/>
    <n v="45"/>
    <s v="NA"/>
    <n v="0"/>
    <n v="1.2"/>
  </r>
  <r>
    <x v="31"/>
    <n v="2"/>
    <s v="P077"/>
    <x v="74"/>
    <x v="2"/>
    <s v="Bowling Allrounder"/>
    <s v="Middle Order"/>
    <n v="12"/>
    <n v="14"/>
    <n v="85.71"/>
    <s v="bowled"/>
    <n v="6.7"/>
    <n v="3"/>
    <n v="0"/>
    <n v="26"/>
    <n v="0"/>
    <n v="8.6999999999999993"/>
    <n v="3"/>
    <n v="0"/>
    <n v="0"/>
    <n v="9.6999999999999993"/>
    <n v="1"/>
    <s v="MIW"/>
    <s v="MIW"/>
    <s v="M. Chinnaswamy Stadium"/>
    <n v="131"/>
    <n v="6.55"/>
    <n v="34"/>
    <n v="25"/>
    <n v="45"/>
    <s v="NA"/>
    <n v="0"/>
    <n v="5.1499999999999995"/>
  </r>
  <r>
    <x v="31"/>
    <n v="2"/>
    <s v="P007"/>
    <x v="6"/>
    <x v="2"/>
    <s v="Bowling Allrounder"/>
    <s v="Middle Order"/>
    <n v="27"/>
    <n v="20"/>
    <n v="135"/>
    <s v="caught"/>
    <n v="25"/>
    <n v="2.1"/>
    <n v="0"/>
    <n v="18"/>
    <n v="1"/>
    <n v="8.3000000000000007"/>
    <n v="16"/>
    <n v="0"/>
    <n v="0"/>
    <n v="41"/>
    <n v="4"/>
    <s v="MIW"/>
    <s v="MIW"/>
    <s v="M. Chinnaswamy Stadium"/>
    <n v="131"/>
    <n v="6.55"/>
    <n v="34"/>
    <n v="25"/>
    <n v="45"/>
    <s v="NA"/>
    <n v="0"/>
    <n v="21.7"/>
  </r>
  <r>
    <x v="31"/>
    <n v="2"/>
    <s v="P059"/>
    <x v="58"/>
    <x v="2"/>
    <s v="Bowling Allrounder"/>
    <s v="Middle Order"/>
    <n v="7"/>
    <n v="5"/>
    <n v="140"/>
    <s v="not out"/>
    <n v="14.5"/>
    <n v="2"/>
    <n v="0"/>
    <n v="15"/>
    <n v="1"/>
    <n v="7.5"/>
    <n v="20"/>
    <n v="0"/>
    <n v="0"/>
    <n v="34.5"/>
    <n v="3"/>
    <s v="MIW"/>
    <s v="MIW"/>
    <s v="M. Chinnaswamy Stadium"/>
    <n v="131"/>
    <n v="6.55"/>
    <n v="34"/>
    <n v="25"/>
    <n v="45"/>
    <s v="NA"/>
    <n v="0"/>
    <n v="18.149999999999999"/>
  </r>
  <r>
    <x v="31"/>
    <n v="2"/>
    <s v="P075"/>
    <x v="75"/>
    <x v="2"/>
    <s v="Bowler"/>
    <s v="DNB"/>
    <n v="0"/>
    <n v="0"/>
    <n v="0"/>
    <s v="DNB"/>
    <n v="0"/>
    <n v="1"/>
    <n v="0"/>
    <n v="11"/>
    <n v="0"/>
    <n v="11"/>
    <n v="0"/>
    <n v="0"/>
    <n v="0"/>
    <n v="0"/>
    <n v="0"/>
    <s v="MIW"/>
    <s v="MIW"/>
    <s v="M. Chinnaswamy Stadium"/>
    <n v="131"/>
    <n v="6.55"/>
    <n v="34"/>
    <n v="25"/>
    <n v="45"/>
    <s v="NA"/>
    <n v="0"/>
    <n v="0"/>
  </r>
  <r>
    <x v="31"/>
    <n v="2"/>
    <s v="P030"/>
    <x v="29"/>
    <x v="2"/>
    <s v="Bowling Allrounder"/>
    <s v="DNB"/>
    <n v="0"/>
    <n v="0"/>
    <n v="0"/>
    <s v="DNB"/>
    <n v="0"/>
    <n v="1"/>
    <n v="0"/>
    <n v="12"/>
    <n v="0"/>
    <n v="12"/>
    <n v="0"/>
    <n v="0"/>
    <n v="0"/>
    <n v="0"/>
    <n v="0"/>
    <s v="MIW"/>
    <s v="MIW"/>
    <s v="M. Chinnaswamy Stadium"/>
    <n v="131"/>
    <n v="6.55"/>
    <n v="34"/>
    <n v="25"/>
    <n v="45"/>
    <s v="NA"/>
    <n v="0"/>
    <n v="0"/>
  </r>
  <r>
    <x v="31"/>
    <n v="2"/>
    <s v="P033"/>
    <x v="32"/>
    <x v="2"/>
    <s v="Bowler"/>
    <s v="DNB"/>
    <n v="0"/>
    <n v="0"/>
    <n v="0"/>
    <s v="DNB"/>
    <n v="0"/>
    <n v="2"/>
    <n v="0"/>
    <n v="25"/>
    <n v="0"/>
    <n v="12.5"/>
    <n v="0"/>
    <n v="0"/>
    <n v="0"/>
    <n v="0"/>
    <n v="0"/>
    <s v="MIW"/>
    <s v="MIW"/>
    <s v="M. Chinnaswamy Stadium"/>
    <n v="131"/>
    <n v="6.55"/>
    <n v="34"/>
    <n v="25"/>
    <n v="45"/>
    <s v="NA"/>
    <n v="0"/>
    <n v="0"/>
  </r>
  <r>
    <x v="31"/>
    <n v="2"/>
    <s v="P013"/>
    <x v="12"/>
    <x v="1"/>
    <s v="WK-Batter"/>
    <s v="Opener"/>
    <n v="31"/>
    <n v="15"/>
    <n v="206.67"/>
    <s v="caught"/>
    <n v="43.1"/>
    <n v="0"/>
    <n v="0"/>
    <n v="0"/>
    <n v="0"/>
    <n v="0"/>
    <n v="0"/>
    <n v="0"/>
    <n v="0"/>
    <n v="43.1"/>
    <n v="4"/>
    <s v="MIW"/>
    <s v="MIW"/>
    <s v="M. Chinnaswamy Stadium"/>
    <n v="133"/>
    <n v="8.77"/>
    <n v="60"/>
    <n v="4"/>
    <n v="34"/>
    <s v="Successful"/>
    <n v="1"/>
    <n v="42.75"/>
  </r>
  <r>
    <x v="31"/>
    <n v="2"/>
    <s v="P012"/>
    <x v="11"/>
    <x v="1"/>
    <s v="Batting Allrounder"/>
    <s v="Opener"/>
    <n v="26"/>
    <n v="21"/>
    <n v="123.81"/>
    <s v="caught"/>
    <n v="23.4"/>
    <n v="4"/>
    <n v="0"/>
    <n v="29"/>
    <n v="0"/>
    <n v="7.2"/>
    <n v="5"/>
    <n v="0"/>
    <n v="0"/>
    <n v="28.4"/>
    <n v="3"/>
    <s v="MIW"/>
    <s v="MIW"/>
    <s v="M. Chinnaswamy Stadium"/>
    <n v="133"/>
    <n v="8.77"/>
    <n v="60"/>
    <n v="4"/>
    <n v="34"/>
    <s v="Successful"/>
    <n v="1"/>
    <n v="35.1"/>
  </r>
  <r>
    <x v="31"/>
    <n v="2"/>
    <s v="P015"/>
    <x v="14"/>
    <x v="1"/>
    <s v="Allrounder"/>
    <s v="Top Order"/>
    <n v="27"/>
    <n v="25"/>
    <n v="108"/>
    <s v="caught"/>
    <n v="20.6"/>
    <n v="4"/>
    <n v="0"/>
    <n v="27"/>
    <n v="2"/>
    <n v="6.8"/>
    <n v="42"/>
    <n v="0"/>
    <n v="0"/>
    <n v="62.6"/>
    <n v="6"/>
    <s v="MIW"/>
    <s v="MIW"/>
    <s v="M. Chinnaswamy Stadium"/>
    <n v="133"/>
    <n v="8.77"/>
    <n v="60"/>
    <n v="4"/>
    <n v="34"/>
    <s v="Successful"/>
    <n v="1"/>
    <n v="53.1"/>
  </r>
  <r>
    <x v="31"/>
    <n v="2"/>
    <s v="P016"/>
    <x v="15"/>
    <x v="1"/>
    <s v="Allrounder"/>
    <s v="Middle Order"/>
    <n v="40"/>
    <n v="24"/>
    <n v="166.67"/>
    <s v="not out"/>
    <n v="48.3"/>
    <n v="3"/>
    <n v="0"/>
    <n v="20"/>
    <n v="0"/>
    <n v="6.7"/>
    <n v="5"/>
    <n v="0"/>
    <n v="0"/>
    <n v="53.3"/>
    <n v="5"/>
    <s v="MIW"/>
    <s v="MIW"/>
    <s v="M. Chinnaswamy Stadium"/>
    <n v="133"/>
    <n v="8.77"/>
    <n v="60"/>
    <n v="4"/>
    <n v="34"/>
    <s v="Successful"/>
    <n v="1"/>
    <n v="48.15"/>
  </r>
  <r>
    <x v="31"/>
    <n v="2"/>
    <s v="P018"/>
    <x v="17"/>
    <x v="1"/>
    <s v="Bowling Allrounder"/>
    <s v="Middle Order"/>
    <n v="8"/>
    <n v="6"/>
    <n v="133.33000000000001"/>
    <s v="not out"/>
    <n v="13.1"/>
    <n v="3"/>
    <n v="0"/>
    <n v="14"/>
    <n v="2"/>
    <n v="4.7"/>
    <n v="46"/>
    <n v="0"/>
    <n v="0"/>
    <n v="59.1"/>
    <n v="6"/>
    <s v="MIW"/>
    <s v="MIW"/>
    <s v="M. Chinnaswamy Stadium"/>
    <n v="133"/>
    <n v="8.77"/>
    <n v="60"/>
    <n v="4"/>
    <n v="34"/>
    <s v="Successful"/>
    <n v="1"/>
    <n v="51.35"/>
  </r>
  <r>
    <x v="31"/>
    <n v="2"/>
    <s v="P020"/>
    <x v="19"/>
    <x v="1"/>
    <s v="Bowler"/>
    <s v="DNB"/>
    <n v="0"/>
    <n v="0"/>
    <n v="0"/>
    <s v="DNB"/>
    <n v="0"/>
    <n v="3"/>
    <n v="0"/>
    <n v="20"/>
    <n v="1"/>
    <n v="6.7"/>
    <n v="21"/>
    <n v="0"/>
    <n v="0"/>
    <n v="21"/>
    <n v="2"/>
    <s v="MIW"/>
    <s v="MIW"/>
    <s v="M. Chinnaswamy Stadium"/>
    <n v="133"/>
    <n v="8.77"/>
    <n v="60"/>
    <n v="4"/>
    <n v="34"/>
    <s v="Successful"/>
    <n v="1"/>
    <n v="31.1"/>
  </r>
  <r>
    <x v="31"/>
    <n v="2"/>
    <s v="P072"/>
    <x v="72"/>
    <x v="1"/>
    <s v="Batting Allrounder"/>
    <s v="DNB"/>
    <n v="0"/>
    <n v="0"/>
    <n v="0"/>
    <s v="DNB"/>
    <n v="0"/>
    <n v="0"/>
    <n v="0"/>
    <n v="0"/>
    <n v="0"/>
    <n v="0"/>
    <n v="0"/>
    <n v="0"/>
    <n v="0"/>
    <n v="0"/>
    <n v="0"/>
    <s v="MIW"/>
    <s v="MIW"/>
    <s v="M. Chinnaswamy Stadium"/>
    <n v="133"/>
    <n v="8.77"/>
    <n v="60"/>
    <n v="4"/>
    <n v="34"/>
    <s v="Successful"/>
    <n v="1"/>
    <n v="20"/>
  </r>
  <r>
    <x v="31"/>
    <n v="2"/>
    <s v="P017"/>
    <x v="16"/>
    <x v="1"/>
    <s v="Bowling Allrounder"/>
    <s v="DNB"/>
    <n v="0"/>
    <n v="0"/>
    <n v="0"/>
    <s v="DNB"/>
    <n v="0"/>
    <n v="0"/>
    <n v="0"/>
    <n v="0"/>
    <n v="0"/>
    <n v="0"/>
    <n v="0"/>
    <n v="0"/>
    <n v="0"/>
    <n v="0"/>
    <n v="0"/>
    <s v="MIW"/>
    <s v="MIW"/>
    <s v="M. Chinnaswamy Stadium"/>
    <n v="133"/>
    <n v="8.77"/>
    <n v="60"/>
    <n v="4"/>
    <n v="34"/>
    <s v="Successful"/>
    <n v="1"/>
    <n v="20"/>
  </r>
  <r>
    <x v="31"/>
    <n v="2"/>
    <s v="P019"/>
    <x v="18"/>
    <x v="1"/>
    <s v="Batting Allrounder"/>
    <s v="DNB"/>
    <n v="0"/>
    <n v="0"/>
    <n v="0"/>
    <s v="DNB"/>
    <n v="0"/>
    <n v="0"/>
    <n v="0"/>
    <n v="0"/>
    <n v="0"/>
    <n v="0"/>
    <n v="0"/>
    <n v="0"/>
    <n v="0"/>
    <n v="0"/>
    <n v="0"/>
    <s v="MIW"/>
    <s v="MIW"/>
    <s v="M. Chinnaswamy Stadium"/>
    <n v="133"/>
    <n v="8.77"/>
    <n v="60"/>
    <n v="4"/>
    <n v="34"/>
    <s v="Successful"/>
    <n v="1"/>
    <n v="20"/>
  </r>
  <r>
    <x v="31"/>
    <n v="2"/>
    <s v="P073"/>
    <x v="73"/>
    <x v="1"/>
    <s v="Batting Allrounder"/>
    <s v="DNB"/>
    <n v="0"/>
    <n v="0"/>
    <n v="0"/>
    <s v="DNB"/>
    <n v="0"/>
    <n v="1"/>
    <n v="0"/>
    <n v="11"/>
    <n v="0"/>
    <n v="11"/>
    <n v="0"/>
    <n v="0"/>
    <n v="0"/>
    <n v="0"/>
    <n v="0"/>
    <s v="MIW"/>
    <s v="MIW"/>
    <s v="M. Chinnaswamy Stadium"/>
    <n v="133"/>
    <n v="8.77"/>
    <n v="60"/>
    <n v="4"/>
    <n v="34"/>
    <s v="Successful"/>
    <n v="1"/>
    <n v="20"/>
  </r>
  <r>
    <x v="31"/>
    <n v="2"/>
    <s v="P022"/>
    <x v="21"/>
    <x v="1"/>
    <s v="Bowler"/>
    <s v="DNB"/>
    <n v="0"/>
    <n v="0"/>
    <n v="0"/>
    <s v="DNB"/>
    <n v="0"/>
    <n v="2"/>
    <n v="0"/>
    <n v="9"/>
    <n v="1"/>
    <n v="4.5"/>
    <n v="27"/>
    <n v="0"/>
    <n v="0"/>
    <n v="27"/>
    <n v="3"/>
    <s v="MIW"/>
    <s v="MIW"/>
    <s v="M. Chinnaswamy Stadium"/>
    <n v="133"/>
    <n v="8.77"/>
    <n v="60"/>
    <n v="4"/>
    <n v="34"/>
    <s v="Successful"/>
    <n v="1"/>
    <n v="34.4"/>
  </r>
  <r>
    <x v="32"/>
    <n v="2"/>
    <s v="P035"/>
    <x v="34"/>
    <x v="3"/>
    <s v="Batter"/>
    <s v="Opener"/>
    <n v="55"/>
    <n v="41"/>
    <n v="134.15"/>
    <s v="caught"/>
    <n v="54.6"/>
    <n v="0"/>
    <n v="0"/>
    <n v="0"/>
    <n v="0"/>
    <n v="0"/>
    <n v="0"/>
    <n v="0"/>
    <n v="0"/>
    <n v="54.6"/>
    <n v="5"/>
    <s v="DCW"/>
    <s v="GGTW"/>
    <s v="M. Chinnaswamy Stadium"/>
    <n v="163"/>
    <n v="8.15"/>
    <n v="51"/>
    <n v="24"/>
    <n v="41"/>
    <s v="NA"/>
    <n v="1"/>
    <n v="48.8"/>
  </r>
  <r>
    <x v="32"/>
    <n v="2"/>
    <s v="P034"/>
    <x v="33"/>
    <x v="3"/>
    <s v="Batting Allrounder"/>
    <s v="Opener"/>
    <n v="13"/>
    <n v="9"/>
    <n v="144.44"/>
    <s v="caught"/>
    <n v="18"/>
    <n v="0"/>
    <n v="0"/>
    <n v="0"/>
    <n v="0"/>
    <n v="0"/>
    <n v="0"/>
    <n v="0"/>
    <n v="0"/>
    <n v="18"/>
    <n v="2"/>
    <s v="DCW"/>
    <s v="GGTW"/>
    <s v="M. Chinnaswamy Stadium"/>
    <n v="163"/>
    <n v="8.15"/>
    <n v="51"/>
    <n v="24"/>
    <n v="41"/>
    <s v="NA"/>
    <n v="1"/>
    <n v="29.6"/>
  </r>
  <r>
    <x v="32"/>
    <n v="2"/>
    <s v="P038"/>
    <x v="37"/>
    <x v="3"/>
    <s v="Batter"/>
    <s v="Top Order"/>
    <n v="27"/>
    <n v="17"/>
    <n v="158.82"/>
    <s v="caught"/>
    <n v="31.8"/>
    <n v="0"/>
    <n v="0"/>
    <n v="0"/>
    <n v="0"/>
    <n v="0"/>
    <n v="0"/>
    <n v="0"/>
    <n v="0"/>
    <n v="31.8"/>
    <n v="3"/>
    <s v="DCW"/>
    <s v="GGTW"/>
    <s v="M. Chinnaswamy Stadium"/>
    <n v="163"/>
    <n v="8.15"/>
    <n v="51"/>
    <n v="24"/>
    <n v="41"/>
    <s v="NA"/>
    <n v="1"/>
    <n v="36.799999999999997"/>
  </r>
  <r>
    <x v="32"/>
    <n v="2"/>
    <s v="P037"/>
    <x v="36"/>
    <x v="3"/>
    <s v="Batter"/>
    <s v="Top Order"/>
    <n v="7"/>
    <n v="10"/>
    <n v="70"/>
    <s v="caught"/>
    <n v="2.4"/>
    <n v="0"/>
    <n v="0"/>
    <n v="0"/>
    <n v="0"/>
    <n v="0"/>
    <n v="0"/>
    <n v="0"/>
    <n v="0"/>
    <n v="2.4"/>
    <n v="0"/>
    <s v="DCW"/>
    <s v="GGTW"/>
    <s v="M. Chinnaswamy Stadium"/>
    <n v="163"/>
    <n v="8.15"/>
    <n v="51"/>
    <n v="24"/>
    <n v="41"/>
    <s v="NA"/>
    <n v="1"/>
    <n v="21.2"/>
  </r>
  <r>
    <x v="32"/>
    <n v="2"/>
    <s v="P005"/>
    <x v="4"/>
    <x v="3"/>
    <s v="Bowling Allrounder"/>
    <s v="Middle Order"/>
    <n v="20"/>
    <n v="12"/>
    <n v="166.67"/>
    <s v="caught"/>
    <n v="26.3"/>
    <n v="3"/>
    <n v="0"/>
    <n v="20"/>
    <n v="0"/>
    <n v="6.7"/>
    <n v="5"/>
    <n v="0"/>
    <n v="0"/>
    <n v="31.3"/>
    <n v="3"/>
    <s v="DCW"/>
    <s v="GGTW"/>
    <s v="M. Chinnaswamy Stadium"/>
    <n v="163"/>
    <n v="8.15"/>
    <n v="51"/>
    <n v="24"/>
    <n v="41"/>
    <s v="NA"/>
    <n v="1"/>
    <n v="36.549999999999997"/>
  </r>
  <r>
    <x v="32"/>
    <n v="2"/>
    <s v="P039"/>
    <x v="38"/>
    <x v="3"/>
    <s v="Bowler"/>
    <s v="Middle Order"/>
    <n v="11"/>
    <n v="7"/>
    <n v="157.13999999999999"/>
    <s v="caught"/>
    <n v="13.3"/>
    <n v="4"/>
    <n v="0"/>
    <n v="22"/>
    <n v="3"/>
    <n v="5.5"/>
    <n v="48"/>
    <n v="0"/>
    <n v="0"/>
    <n v="61.3"/>
    <n v="6"/>
    <s v="DCW"/>
    <s v="GGTW"/>
    <s v="M. Chinnaswamy Stadium"/>
    <n v="163"/>
    <n v="8.15"/>
    <n v="51"/>
    <n v="24"/>
    <n v="41"/>
    <s v="NA"/>
    <n v="1"/>
    <n v="52.449999999999996"/>
  </r>
  <r>
    <x v="32"/>
    <n v="2"/>
    <s v="P041"/>
    <x v="40"/>
    <x v="3"/>
    <s v="Bowler"/>
    <s v="Middle Order"/>
    <n v="5"/>
    <n v="9"/>
    <n v="55.56"/>
    <s v="caught"/>
    <n v="0.6"/>
    <n v="3"/>
    <n v="0"/>
    <n v="27"/>
    <n v="1"/>
    <n v="9"/>
    <n v="18"/>
    <n v="0"/>
    <n v="0"/>
    <n v="18.600000000000001"/>
    <n v="2"/>
    <s v="DCW"/>
    <s v="GGTW"/>
    <s v="M. Chinnaswamy Stadium"/>
    <n v="163"/>
    <n v="8.15"/>
    <n v="51"/>
    <n v="24"/>
    <n v="41"/>
    <s v="NA"/>
    <n v="1"/>
    <n v="29.9"/>
  </r>
  <r>
    <x v="32"/>
    <n v="2"/>
    <s v="P043"/>
    <x v="42"/>
    <x v="3"/>
    <s v="Bowler"/>
    <s v="Middle Order"/>
    <n v="5"/>
    <n v="7"/>
    <n v="71.430000000000007"/>
    <s v="lbw"/>
    <n v="2.8"/>
    <n v="4"/>
    <n v="0"/>
    <n v="20"/>
    <n v="3"/>
    <n v="5"/>
    <n v="55"/>
    <n v="0"/>
    <n v="0"/>
    <n v="57.8"/>
    <n v="6"/>
    <s v="DCW"/>
    <s v="GGTW"/>
    <s v="M. Chinnaswamy Stadium"/>
    <n v="163"/>
    <n v="8.15"/>
    <n v="51"/>
    <n v="24"/>
    <n v="41"/>
    <s v="NA"/>
    <n v="1"/>
    <n v="50.7"/>
  </r>
  <r>
    <x v="32"/>
    <n v="2"/>
    <s v="P042"/>
    <x v="41"/>
    <x v="3"/>
    <s v="Bowling Allrounder"/>
    <s v="Middle Order"/>
    <n v="14"/>
    <n v="8"/>
    <n v="175"/>
    <s v="not out"/>
    <n v="23"/>
    <n v="4"/>
    <n v="1"/>
    <n v="28"/>
    <n v="1"/>
    <n v="7"/>
    <n v="18"/>
    <n v="0"/>
    <n v="0"/>
    <n v="41"/>
    <n v="4"/>
    <s v="DCW"/>
    <s v="GGTW"/>
    <s v="M. Chinnaswamy Stadium"/>
    <n v="163"/>
    <n v="8.15"/>
    <n v="51"/>
    <n v="24"/>
    <n v="41"/>
    <s v="NA"/>
    <n v="1"/>
    <n v="41.7"/>
  </r>
  <r>
    <x v="32"/>
    <n v="2"/>
    <s v="P040"/>
    <x v="39"/>
    <x v="3"/>
    <s v="WK-Batter"/>
    <s v="DNB"/>
    <n v="0"/>
    <n v="0"/>
    <n v="0"/>
    <s v="DNB"/>
    <n v="0"/>
    <n v="0"/>
    <n v="0"/>
    <n v="0"/>
    <n v="0"/>
    <n v="0"/>
    <n v="0"/>
    <n v="0"/>
    <n v="0"/>
    <n v="0"/>
    <n v="0"/>
    <s v="DCW"/>
    <s v="GGTW"/>
    <s v="M. Chinnaswamy Stadium"/>
    <n v="163"/>
    <n v="8.15"/>
    <n v="51"/>
    <n v="24"/>
    <n v="41"/>
    <s v="NA"/>
    <n v="1"/>
    <n v="20"/>
  </r>
  <r>
    <x v="32"/>
    <n v="2"/>
    <s v="P088"/>
    <x v="87"/>
    <x v="3"/>
    <s v="Bowler"/>
    <s v="DNB"/>
    <n v="0"/>
    <n v="0"/>
    <n v="0"/>
    <s v="DNB"/>
    <n v="0"/>
    <n v="0"/>
    <n v="0"/>
    <n v="0"/>
    <n v="0"/>
    <n v="0"/>
    <n v="0"/>
    <n v="0"/>
    <n v="0"/>
    <n v="0"/>
    <n v="0"/>
    <s v="DCW"/>
    <s v="GGTW"/>
    <s v="M. Chinnaswamy Stadium"/>
    <n v="163"/>
    <n v="8.15"/>
    <n v="51"/>
    <n v="24"/>
    <n v="41"/>
    <s v="NA"/>
    <n v="1"/>
    <n v="20"/>
  </r>
  <r>
    <x v="32"/>
    <n v="2"/>
    <s v="P001"/>
    <x v="0"/>
    <x v="0"/>
    <s v="WK-Batter"/>
    <s v="Opener"/>
    <n v="12"/>
    <n v="14"/>
    <n v="85.71"/>
    <s v="lbw"/>
    <n v="8.6999999999999993"/>
    <n v="0"/>
    <n v="0"/>
    <n v="0"/>
    <n v="0"/>
    <n v="0"/>
    <n v="0"/>
    <n v="0"/>
    <n v="0"/>
    <n v="8.6999999999999993"/>
    <n v="1"/>
    <s v="DCW"/>
    <s v="GGTW"/>
    <s v="M. Chinnaswamy Stadium"/>
    <n v="138"/>
    <n v="6.9"/>
    <n v="41"/>
    <n v="25"/>
    <n v="40"/>
    <s v="Failed"/>
    <n v="0"/>
    <n v="4.6499999999999995"/>
  </r>
  <r>
    <x v="32"/>
    <n v="2"/>
    <s v="P066"/>
    <x v="65"/>
    <x v="0"/>
    <s v="Batter"/>
    <s v="Opener"/>
    <n v="0"/>
    <n v="3"/>
    <n v="0"/>
    <s v="bowled"/>
    <n v="-5"/>
    <n v="0"/>
    <n v="0"/>
    <n v="0"/>
    <n v="0"/>
    <n v="0"/>
    <n v="0"/>
    <n v="0"/>
    <n v="0"/>
    <n v="-5"/>
    <n v="0"/>
    <s v="DCW"/>
    <s v="GGTW"/>
    <s v="M. Chinnaswamy Stadium"/>
    <n v="138"/>
    <n v="6.9"/>
    <n v="41"/>
    <n v="25"/>
    <n v="40"/>
    <s v="Failed"/>
    <n v="0"/>
    <n v="0"/>
  </r>
  <r>
    <x v="32"/>
    <n v="2"/>
    <s v="P078"/>
    <x v="79"/>
    <x v="0"/>
    <s v="Batter"/>
    <s v="Top Order"/>
    <n v="15"/>
    <n v="10"/>
    <n v="150"/>
    <s v="caught"/>
    <n v="19.5"/>
    <n v="0"/>
    <n v="0"/>
    <n v="0"/>
    <n v="0"/>
    <n v="0"/>
    <n v="0"/>
    <n v="0"/>
    <n v="0"/>
    <n v="19.5"/>
    <n v="2"/>
    <s v="DCW"/>
    <s v="GGTW"/>
    <s v="M. Chinnaswamy Stadium"/>
    <n v="138"/>
    <n v="6.9"/>
    <n v="41"/>
    <n v="25"/>
    <n v="40"/>
    <s v="Failed"/>
    <n v="0"/>
    <n v="10.35"/>
  </r>
  <r>
    <x v="32"/>
    <n v="2"/>
    <s v="P086"/>
    <x v="78"/>
    <x v="0"/>
    <s v="Batter"/>
    <s v="Top Order"/>
    <n v="12"/>
    <n v="13"/>
    <n v="92.31"/>
    <s v="caught"/>
    <n v="7"/>
    <n v="0"/>
    <n v="0"/>
    <n v="0"/>
    <n v="0"/>
    <n v="0"/>
    <n v="0"/>
    <n v="0"/>
    <n v="0"/>
    <n v="7"/>
    <n v="1"/>
    <s v="DCW"/>
    <s v="GGTW"/>
    <s v="M. Chinnaswamy Stadium"/>
    <n v="138"/>
    <n v="6.9"/>
    <n v="41"/>
    <n v="25"/>
    <n v="40"/>
    <s v="Failed"/>
    <n v="0"/>
    <n v="3.8"/>
  </r>
  <r>
    <x v="32"/>
    <n v="2"/>
    <s v="P004"/>
    <x v="3"/>
    <x v="0"/>
    <s v="Batting Allrounder"/>
    <s v="Middle Order"/>
    <n v="40"/>
    <n v="31"/>
    <n v="129.03"/>
    <s v="stumped"/>
    <n v="33.799999999999997"/>
    <n v="4"/>
    <n v="0"/>
    <n v="37"/>
    <n v="2"/>
    <n v="9.1999999999999993"/>
    <n v="28"/>
    <n v="0"/>
    <n v="0"/>
    <n v="73.8"/>
    <n v="7"/>
    <s v="DCW"/>
    <s v="GGTW"/>
    <s v="M. Chinnaswamy Stadium"/>
    <n v="138"/>
    <n v="6.9"/>
    <n v="41"/>
    <n v="25"/>
    <n v="40"/>
    <s v="Failed"/>
    <n v="0"/>
    <n v="39"/>
  </r>
  <r>
    <x v="32"/>
    <n v="2"/>
    <s v="P079"/>
    <x v="80"/>
    <x v="0"/>
    <s v="Bowling Allrounder"/>
    <s v="Middle Order"/>
    <n v="3"/>
    <n v="6"/>
    <n v="50"/>
    <s v="lbw"/>
    <n v="-1.4"/>
    <n v="4"/>
    <n v="0"/>
    <n v="32"/>
    <n v="0"/>
    <n v="8"/>
    <n v="5"/>
    <n v="0"/>
    <n v="0"/>
    <n v="3.6"/>
    <n v="0"/>
    <s v="DCW"/>
    <s v="GGTW"/>
    <s v="M. Chinnaswamy Stadium"/>
    <n v="138"/>
    <n v="6.9"/>
    <n v="41"/>
    <n v="25"/>
    <n v="40"/>
    <s v="Failed"/>
    <n v="0"/>
    <n v="1.8"/>
  </r>
  <r>
    <x v="32"/>
    <n v="2"/>
    <s v="P009"/>
    <x v="8"/>
    <x v="0"/>
    <s v="Bowler"/>
    <s v="Middle Order"/>
    <n v="13"/>
    <n v="16"/>
    <n v="81.25"/>
    <s v="caught"/>
    <n v="7.1"/>
    <n v="4"/>
    <n v="0"/>
    <n v="31"/>
    <n v="1"/>
    <n v="7.8"/>
    <n v="20"/>
    <n v="0"/>
    <n v="0"/>
    <n v="27.1"/>
    <n v="3"/>
    <s v="DCW"/>
    <s v="GGTW"/>
    <s v="M. Chinnaswamy Stadium"/>
    <n v="138"/>
    <n v="6.9"/>
    <n v="41"/>
    <n v="25"/>
    <n v="40"/>
    <s v="Failed"/>
    <n v="0"/>
    <n v="14.450000000000001"/>
  </r>
  <r>
    <x v="32"/>
    <n v="2"/>
    <s v="P087"/>
    <x v="88"/>
    <x v="0"/>
    <s v="Bowling Allrounder"/>
    <s v="Middle Order"/>
    <n v="9"/>
    <n v="11"/>
    <n v="81.819999999999993"/>
    <s v="lbw"/>
    <n v="4"/>
    <n v="1"/>
    <n v="0"/>
    <n v="10"/>
    <n v="0"/>
    <n v="10"/>
    <n v="0"/>
    <n v="0"/>
    <n v="0"/>
    <n v="4"/>
    <n v="0"/>
    <s v="DCW"/>
    <s v="GGTW"/>
    <s v="M. Chinnaswamy Stadium"/>
    <n v="138"/>
    <n v="6.9"/>
    <n v="41"/>
    <n v="25"/>
    <n v="40"/>
    <s v="Failed"/>
    <n v="0"/>
    <n v="2"/>
  </r>
  <r>
    <x v="32"/>
    <n v="2"/>
    <s v="P081"/>
    <x v="82"/>
    <x v="0"/>
    <s v="Bowler"/>
    <s v="Middle Order"/>
    <n v="10"/>
    <n v="10"/>
    <n v="100"/>
    <s v="not out"/>
    <n v="13"/>
    <n v="4"/>
    <n v="0"/>
    <n v="37"/>
    <n v="4"/>
    <n v="9.1999999999999993"/>
    <n v="65"/>
    <n v="0"/>
    <n v="0"/>
    <n v="78"/>
    <n v="8"/>
    <s v="DCW"/>
    <s v="GGTW"/>
    <s v="M. Chinnaswamy Stadium"/>
    <n v="138"/>
    <n v="6.9"/>
    <n v="41"/>
    <n v="25"/>
    <n v="40"/>
    <s v="Failed"/>
    <n v="0"/>
    <n v="41.4"/>
  </r>
  <r>
    <x v="32"/>
    <n v="2"/>
    <s v="P089"/>
    <x v="89"/>
    <x v="0"/>
    <s v="Batting Allrounder"/>
    <s v="Middle Order"/>
    <n v="7"/>
    <n v="7"/>
    <n v="100"/>
    <s v="not out"/>
    <n v="10.6"/>
    <n v="0"/>
    <n v="0"/>
    <n v="0"/>
    <n v="0"/>
    <n v="0"/>
    <n v="0"/>
    <n v="0"/>
    <n v="0"/>
    <n v="10.6"/>
    <n v="1"/>
    <s v="DCW"/>
    <s v="GGTW"/>
    <s v="M. Chinnaswamy Stadium"/>
    <n v="138"/>
    <n v="6.9"/>
    <n v="41"/>
    <n v="25"/>
    <n v="40"/>
    <s v="Failed"/>
    <n v="0"/>
    <n v="5.6"/>
  </r>
  <r>
    <x v="32"/>
    <n v="2"/>
    <s v="P006"/>
    <x v="5"/>
    <x v="0"/>
    <s v="Batter"/>
    <s v="DNB"/>
    <n v="0"/>
    <n v="0"/>
    <n v="0"/>
    <s v="DNB"/>
    <n v="0"/>
    <n v="0"/>
    <n v="0"/>
    <n v="0"/>
    <n v="0"/>
    <n v="0"/>
    <n v="0"/>
    <n v="0"/>
    <n v="0"/>
    <n v="0"/>
    <n v="0"/>
    <s v="DCW"/>
    <s v="GGTW"/>
    <s v="M. Chinnaswamy Stadium"/>
    <n v="138"/>
    <n v="6.9"/>
    <n v="41"/>
    <n v="25"/>
    <n v="40"/>
    <s v="Failed"/>
    <n v="0"/>
    <n v="0"/>
  </r>
  <r>
    <x v="33"/>
    <n v="2"/>
    <s v="P002"/>
    <x v="1"/>
    <x v="2"/>
    <s v="Batting Allrounder"/>
    <s v="Opener"/>
    <n v="28"/>
    <n v="21"/>
    <n v="133.33000000000001"/>
    <s v="caught"/>
    <n v="28.1"/>
    <n v="0"/>
    <n v="0"/>
    <n v="0"/>
    <n v="0"/>
    <n v="0"/>
    <n v="0"/>
    <n v="0"/>
    <n v="0"/>
    <n v="28.1"/>
    <n v="3"/>
    <s v="RCBW"/>
    <s v="UPW"/>
    <s v="M. Chinnaswamy Stadium"/>
    <n v="198"/>
    <n v="9.9"/>
    <n v="57"/>
    <n v="52"/>
    <n v="45"/>
    <s v="NA"/>
    <n v="1"/>
    <n v="34.950000000000003"/>
  </r>
  <r>
    <x v="33"/>
    <n v="2"/>
    <s v="P023"/>
    <x v="22"/>
    <x v="2"/>
    <s v="Batter"/>
    <s v="Opener"/>
    <n v="80"/>
    <n v="50"/>
    <n v="160"/>
    <s v="caught"/>
    <n v="92"/>
    <n v="0"/>
    <n v="0"/>
    <n v="0"/>
    <n v="0"/>
    <n v="0"/>
    <n v="0"/>
    <n v="0"/>
    <n v="0"/>
    <n v="92"/>
    <n v="9"/>
    <s v="RCBW"/>
    <s v="UPW"/>
    <s v="M. Chinnaswamy Stadium"/>
    <n v="198"/>
    <n v="9.9"/>
    <n v="57"/>
    <n v="52"/>
    <n v="45"/>
    <s v="NA"/>
    <n v="1"/>
    <n v="68.7"/>
  </r>
  <r>
    <x v="33"/>
    <n v="2"/>
    <s v="P027"/>
    <x v="26"/>
    <x v="2"/>
    <s v="Batting Allrounder"/>
    <s v="Top Order"/>
    <n v="58"/>
    <n v="37"/>
    <n v="156.76"/>
    <s v="caught"/>
    <n v="66.2"/>
    <n v="0"/>
    <n v="0"/>
    <n v="0"/>
    <n v="0"/>
    <n v="0"/>
    <n v="0"/>
    <n v="0"/>
    <n v="0"/>
    <n v="66.2"/>
    <n v="7"/>
    <s v="RCBW"/>
    <s v="UPW"/>
    <s v="M. Chinnaswamy Stadium"/>
    <n v="198"/>
    <n v="9.9"/>
    <n v="57"/>
    <n v="52"/>
    <n v="45"/>
    <s v="NA"/>
    <n v="1"/>
    <n v="55.2"/>
  </r>
  <r>
    <x v="33"/>
    <n v="2"/>
    <s v="P028"/>
    <x v="27"/>
    <x v="2"/>
    <s v="WK-Batter"/>
    <s v="Middle Order"/>
    <n v="21"/>
    <n v="10"/>
    <n v="210"/>
    <s v="not out"/>
    <n v="32.200000000000003"/>
    <n v="0"/>
    <n v="0"/>
    <n v="0"/>
    <n v="0"/>
    <n v="0"/>
    <n v="0"/>
    <n v="0"/>
    <n v="0"/>
    <n v="32.200000000000003"/>
    <n v="3"/>
    <s v="RCBW"/>
    <s v="UPW"/>
    <s v="M. Chinnaswamy Stadium"/>
    <n v="198"/>
    <n v="9.9"/>
    <n v="57"/>
    <n v="52"/>
    <n v="45"/>
    <s v="NA"/>
    <n v="1"/>
    <n v="37"/>
  </r>
  <r>
    <x v="33"/>
    <n v="2"/>
    <s v="P024"/>
    <x v="23"/>
    <x v="2"/>
    <s v="Allrounder"/>
    <s v="Middle Order"/>
    <n v="2"/>
    <n v="2"/>
    <n v="100"/>
    <s v="not out"/>
    <n v="6.6"/>
    <n v="4"/>
    <n v="0"/>
    <n v="37"/>
    <n v="2"/>
    <n v="9.1999999999999993"/>
    <n v="18"/>
    <n v="0"/>
    <n v="0"/>
    <n v="24.6"/>
    <n v="2"/>
    <s v="RCBW"/>
    <s v="UPW"/>
    <s v="M. Chinnaswamy Stadium"/>
    <n v="198"/>
    <n v="9.9"/>
    <n v="57"/>
    <n v="52"/>
    <n v="45"/>
    <s v="NA"/>
    <n v="1"/>
    <n v="32.9"/>
  </r>
  <r>
    <x v="33"/>
    <n v="2"/>
    <s v="P077"/>
    <x v="74"/>
    <x v="2"/>
    <s v="Bowling Allrounder"/>
    <s v="DNB"/>
    <n v="0"/>
    <n v="0"/>
    <n v="0"/>
    <s v="DNB"/>
    <n v="0"/>
    <n v="4"/>
    <n v="0"/>
    <n v="29"/>
    <n v="2"/>
    <n v="7.2"/>
    <n v="30"/>
    <n v="0"/>
    <n v="0"/>
    <n v="30"/>
    <n v="3"/>
    <s v="RCBW"/>
    <s v="UPW"/>
    <s v="M. Chinnaswamy Stadium"/>
    <n v="198"/>
    <n v="9.9"/>
    <n v="57"/>
    <n v="52"/>
    <n v="45"/>
    <s v="NA"/>
    <n v="1"/>
    <n v="35.9"/>
  </r>
  <r>
    <x v="33"/>
    <n v="2"/>
    <s v="P007"/>
    <x v="6"/>
    <x v="2"/>
    <s v="Bowling Allrounder"/>
    <s v="DNB"/>
    <n v="0"/>
    <n v="0"/>
    <n v="0"/>
    <s v="DNB"/>
    <n v="0"/>
    <n v="4"/>
    <n v="0"/>
    <n v="38"/>
    <n v="2"/>
    <n v="9.5"/>
    <n v="30"/>
    <n v="0"/>
    <n v="0"/>
    <n v="30"/>
    <n v="3"/>
    <s v="RCBW"/>
    <s v="UPW"/>
    <s v="M. Chinnaswamy Stadium"/>
    <n v="198"/>
    <n v="9.9"/>
    <n v="57"/>
    <n v="52"/>
    <n v="45"/>
    <s v="NA"/>
    <n v="1"/>
    <n v="35.9"/>
  </r>
  <r>
    <x v="33"/>
    <n v="2"/>
    <s v="P090"/>
    <x v="90"/>
    <x v="2"/>
    <s v="Bowler"/>
    <s v="DNB"/>
    <n v="0"/>
    <n v="0"/>
    <n v="0"/>
    <s v="DNB"/>
    <n v="0"/>
    <n v="1"/>
    <n v="0"/>
    <n v="10"/>
    <n v="0"/>
    <n v="10"/>
    <n v="0"/>
    <n v="0"/>
    <n v="0"/>
    <n v="0"/>
    <n v="0"/>
    <s v="RCBW"/>
    <s v="UPW"/>
    <s v="M. Chinnaswamy Stadium"/>
    <n v="198"/>
    <n v="9.9"/>
    <n v="57"/>
    <n v="52"/>
    <n v="45"/>
    <s v="NA"/>
    <n v="1"/>
    <n v="20"/>
  </r>
  <r>
    <x v="33"/>
    <n v="2"/>
    <s v="P075"/>
    <x v="75"/>
    <x v="2"/>
    <s v="Bowler"/>
    <s v="DNB"/>
    <n v="0"/>
    <n v="0"/>
    <n v="0"/>
    <s v="DNB"/>
    <n v="0"/>
    <n v="0"/>
    <n v="0"/>
    <n v="0"/>
    <n v="0"/>
    <n v="0"/>
    <n v="0"/>
    <n v="0"/>
    <n v="0"/>
    <n v="0"/>
    <n v="0"/>
    <s v="RCBW"/>
    <s v="UPW"/>
    <s v="M. Chinnaswamy Stadium"/>
    <n v="198"/>
    <n v="9.9"/>
    <n v="57"/>
    <n v="52"/>
    <n v="45"/>
    <s v="NA"/>
    <n v="1"/>
    <n v="20"/>
  </r>
  <r>
    <x v="33"/>
    <n v="2"/>
    <s v="P030"/>
    <x v="29"/>
    <x v="2"/>
    <s v="Bowling Allrounder"/>
    <s v="DNB"/>
    <n v="0"/>
    <n v="0"/>
    <n v="0"/>
    <s v="DNB"/>
    <n v="0"/>
    <n v="4"/>
    <n v="0"/>
    <n v="29"/>
    <n v="2"/>
    <n v="7.2"/>
    <n v="30"/>
    <n v="0"/>
    <n v="0"/>
    <n v="30"/>
    <n v="3"/>
    <s v="RCBW"/>
    <s v="UPW"/>
    <s v="M. Chinnaswamy Stadium"/>
    <n v="198"/>
    <n v="9.9"/>
    <n v="57"/>
    <n v="52"/>
    <n v="45"/>
    <s v="NA"/>
    <n v="1"/>
    <n v="35.9"/>
  </r>
  <r>
    <x v="33"/>
    <n v="2"/>
    <s v="P033"/>
    <x v="32"/>
    <x v="2"/>
    <s v="Bowler"/>
    <s v="DNB"/>
    <n v="0"/>
    <n v="0"/>
    <n v="0"/>
    <s v="DNB"/>
    <n v="0"/>
    <n v="3"/>
    <n v="1"/>
    <n v="30"/>
    <n v="0"/>
    <n v="10"/>
    <n v="0"/>
    <n v="0"/>
    <n v="0"/>
    <n v="0"/>
    <n v="0"/>
    <s v="RCBW"/>
    <s v="UPW"/>
    <s v="M. Chinnaswamy Stadium"/>
    <n v="198"/>
    <n v="9.9"/>
    <n v="57"/>
    <n v="52"/>
    <n v="45"/>
    <s v="NA"/>
    <n v="1"/>
    <n v="20"/>
  </r>
  <r>
    <x v="33"/>
    <n v="2"/>
    <s v="P045"/>
    <x v="44"/>
    <x v="4"/>
    <s v="WK-Batter"/>
    <s v="Opener"/>
    <n v="55"/>
    <n v="38"/>
    <n v="144.74"/>
    <s v="stumped"/>
    <n v="57.8"/>
    <n v="0"/>
    <n v="0"/>
    <n v="0"/>
    <n v="0"/>
    <n v="0"/>
    <n v="0"/>
    <n v="0"/>
    <n v="0"/>
    <n v="57.8"/>
    <n v="6"/>
    <s v="RCBW"/>
    <s v="UPW"/>
    <s v="M. Chinnaswamy Stadium"/>
    <n v="175"/>
    <n v="8.75"/>
    <n v="56"/>
    <n v="28"/>
    <n v="54"/>
    <s v="Failed"/>
    <n v="0"/>
    <n v="30.7"/>
  </r>
  <r>
    <x v="33"/>
    <n v="2"/>
    <s v="P051"/>
    <x v="50"/>
    <x v="4"/>
    <s v="Batter"/>
    <s v="Opener"/>
    <n v="18"/>
    <n v="11"/>
    <n v="163.63999999999999"/>
    <s v="caught"/>
    <n v="23.9"/>
    <n v="0"/>
    <n v="0"/>
    <n v="0"/>
    <n v="0"/>
    <n v="0"/>
    <n v="0"/>
    <n v="0"/>
    <n v="0"/>
    <n v="23.9"/>
    <n v="2"/>
    <s v="RCBW"/>
    <s v="UPW"/>
    <s v="M. Chinnaswamy Stadium"/>
    <n v="175"/>
    <n v="8.75"/>
    <n v="56"/>
    <n v="28"/>
    <n v="54"/>
    <s v="Failed"/>
    <n v="0"/>
    <n v="12.549999999999999"/>
  </r>
  <r>
    <x v="33"/>
    <n v="2"/>
    <s v="P084"/>
    <x v="85"/>
    <x v="4"/>
    <s v="Batting Allrounder"/>
    <s v="Top Order"/>
    <n v="8"/>
    <n v="8"/>
    <n v="100"/>
    <s v="lbw"/>
    <n v="5"/>
    <n v="3"/>
    <n v="0"/>
    <n v="32"/>
    <n v="0"/>
    <n v="10.7"/>
    <n v="0"/>
    <n v="0"/>
    <n v="0"/>
    <n v="5"/>
    <n v="1"/>
    <s v="RCBW"/>
    <s v="UPW"/>
    <s v="M. Chinnaswamy Stadium"/>
    <n v="175"/>
    <n v="8.75"/>
    <n v="56"/>
    <n v="28"/>
    <n v="54"/>
    <s v="Failed"/>
    <n v="0"/>
    <n v="2.8"/>
  </r>
  <r>
    <x v="33"/>
    <n v="2"/>
    <s v="P049"/>
    <x v="48"/>
    <x v="4"/>
    <s v="Batting Allrounder"/>
    <s v="Top Order"/>
    <n v="5"/>
    <n v="5"/>
    <n v="100"/>
    <s v="caught"/>
    <n v="3.5"/>
    <n v="3"/>
    <n v="0"/>
    <n v="25"/>
    <n v="0"/>
    <n v="8.3000000000000007"/>
    <n v="5"/>
    <n v="0"/>
    <n v="0"/>
    <n v="8.5"/>
    <n v="1"/>
    <s v="RCBW"/>
    <s v="UPW"/>
    <s v="M. Chinnaswamy Stadium"/>
    <n v="175"/>
    <n v="8.75"/>
    <n v="56"/>
    <n v="28"/>
    <n v="54"/>
    <s v="Failed"/>
    <n v="0"/>
    <n v="4.55"/>
  </r>
  <r>
    <x v="33"/>
    <n v="2"/>
    <s v="P046"/>
    <x v="45"/>
    <x v="4"/>
    <s v="Batting Allrounder"/>
    <s v="Middle Order"/>
    <n v="1"/>
    <n v="5"/>
    <n v="20"/>
    <s v="caught"/>
    <n v="-2"/>
    <n v="0"/>
    <n v="0"/>
    <n v="0"/>
    <n v="0"/>
    <n v="0"/>
    <n v="0"/>
    <n v="0"/>
    <n v="0"/>
    <n v="-2"/>
    <n v="0"/>
    <s v="RCBW"/>
    <s v="UPW"/>
    <s v="M. Chinnaswamy Stadium"/>
    <n v="175"/>
    <n v="8.75"/>
    <n v="56"/>
    <n v="28"/>
    <n v="54"/>
    <s v="Failed"/>
    <n v="0"/>
    <n v="0"/>
  </r>
  <r>
    <x v="33"/>
    <n v="2"/>
    <s v="P048"/>
    <x v="47"/>
    <x v="4"/>
    <s v="Allrounder"/>
    <s v="Middle Order"/>
    <n v="33"/>
    <n v="22"/>
    <n v="150"/>
    <s v="caught"/>
    <n v="36.6"/>
    <n v="4"/>
    <n v="0"/>
    <n v="30"/>
    <n v="1"/>
    <n v="7.5"/>
    <n v="18"/>
    <n v="0"/>
    <n v="0"/>
    <n v="54.6"/>
    <n v="5"/>
    <s v="RCBW"/>
    <s v="UPW"/>
    <s v="M. Chinnaswamy Stadium"/>
    <n v="175"/>
    <n v="8.75"/>
    <n v="56"/>
    <n v="28"/>
    <n v="54"/>
    <s v="Failed"/>
    <n v="0"/>
    <n v="28.8"/>
  </r>
  <r>
    <x v="33"/>
    <n v="2"/>
    <s v="P061"/>
    <x v="60"/>
    <x v="4"/>
    <s v="Bowling Allrounder"/>
    <s v="Middle Order"/>
    <n v="31"/>
    <n v="24"/>
    <n v="129.16999999999999"/>
    <s v="bowled"/>
    <n v="32"/>
    <n v="0"/>
    <n v="0"/>
    <n v="0"/>
    <n v="0"/>
    <n v="0"/>
    <n v="0"/>
    <n v="0"/>
    <n v="0"/>
    <n v="32"/>
    <n v="3"/>
    <s v="RCBW"/>
    <s v="UPW"/>
    <s v="M. Chinnaswamy Stadium"/>
    <n v="175"/>
    <n v="8.75"/>
    <n v="56"/>
    <n v="28"/>
    <n v="54"/>
    <s v="Failed"/>
    <n v="0"/>
    <n v="16.899999999999999"/>
  </r>
  <r>
    <x v="33"/>
    <n v="2"/>
    <s v="P053"/>
    <x v="52"/>
    <x v="4"/>
    <s v="Bowler"/>
    <s v="Middle Order"/>
    <n v="4"/>
    <n v="3"/>
    <n v="133.33000000000001"/>
    <s v="bowled"/>
    <n v="6.3"/>
    <n v="4"/>
    <n v="0"/>
    <n v="22"/>
    <n v="1"/>
    <n v="5.5"/>
    <n v="27"/>
    <n v="0"/>
    <n v="0"/>
    <n v="33.299999999999997"/>
    <n v="3"/>
    <s v="RCBW"/>
    <s v="UPW"/>
    <s v="M. Chinnaswamy Stadium"/>
    <n v="175"/>
    <n v="8.75"/>
    <n v="56"/>
    <n v="28"/>
    <n v="54"/>
    <s v="Failed"/>
    <n v="0"/>
    <n v="17.549999999999997"/>
  </r>
  <r>
    <x v="33"/>
    <n v="2"/>
    <s v="P054"/>
    <x v="53"/>
    <x v="4"/>
    <s v="Bowler"/>
    <s v="Middle Order"/>
    <n v="3"/>
    <n v="4"/>
    <n v="75"/>
    <s v="not out"/>
    <n v="6"/>
    <n v="3"/>
    <n v="0"/>
    <n v="41"/>
    <n v="1"/>
    <n v="13.7"/>
    <n v="0"/>
    <n v="0"/>
    <n v="0"/>
    <n v="6"/>
    <n v="1"/>
    <s v="RCBW"/>
    <s v="UPW"/>
    <s v="M. Chinnaswamy Stadium"/>
    <n v="175"/>
    <n v="8.75"/>
    <n v="56"/>
    <n v="28"/>
    <n v="54"/>
    <s v="Failed"/>
    <n v="0"/>
    <n v="3.3"/>
  </r>
  <r>
    <x v="33"/>
    <n v="2"/>
    <s v="P055"/>
    <x v="54"/>
    <x v="4"/>
    <s v="Bowler"/>
    <s v="DNB"/>
    <n v="0"/>
    <n v="0"/>
    <n v="0"/>
    <s v="DNB"/>
    <n v="0"/>
    <n v="3"/>
    <n v="0"/>
    <n v="43"/>
    <n v="0"/>
    <n v="14.3"/>
    <n v="0"/>
    <n v="0"/>
    <n v="0"/>
    <n v="0"/>
    <n v="0"/>
    <s v="RCBW"/>
    <s v="UPW"/>
    <s v="M. Chinnaswamy Stadium"/>
    <n v="175"/>
    <n v="8.75"/>
    <n v="56"/>
    <n v="28"/>
    <n v="54"/>
    <s v="Failed"/>
    <n v="0"/>
    <n v="0"/>
  </r>
  <r>
    <x v="33"/>
    <n v="2"/>
    <s v="P076"/>
    <x v="77"/>
    <x v="4"/>
    <s v="Bowling Allrounder"/>
    <s v="DNB"/>
    <n v="0"/>
    <n v="0"/>
    <n v="0"/>
    <s v="DNB"/>
    <n v="0"/>
    <n v="0"/>
    <n v="0"/>
    <n v="0"/>
    <n v="0"/>
    <n v="0"/>
    <n v="0"/>
    <n v="0"/>
    <n v="0"/>
    <n v="0"/>
    <n v="0"/>
    <s v="RCBW"/>
    <s v="UPW"/>
    <s v="M. Chinnaswamy Stadium"/>
    <n v="175"/>
    <n v="8.75"/>
    <n v="56"/>
    <n v="28"/>
    <n v="54"/>
    <s v="Failed"/>
    <n v="0"/>
    <n v="0"/>
  </r>
  <r>
    <x v="34"/>
    <n v="2"/>
    <s v="P035"/>
    <x v="34"/>
    <x v="3"/>
    <s v="Batter"/>
    <s v="Opener"/>
    <n v="53"/>
    <n v="38"/>
    <n v="139.47"/>
    <s v="caught"/>
    <n v="52.4"/>
    <n v="0"/>
    <n v="0"/>
    <n v="0"/>
    <n v="0"/>
    <n v="0"/>
    <n v="0"/>
    <n v="0"/>
    <n v="0"/>
    <n v="52.4"/>
    <n v="5"/>
    <s v="DCW"/>
    <s v="MIW"/>
    <s v=" Arun Jaitley Stadium"/>
    <n v="192"/>
    <n v="9.6"/>
    <n v="56"/>
    <n v="53"/>
    <n v="36"/>
    <s v="NA"/>
    <n v="1"/>
    <n v="47.7"/>
  </r>
  <r>
    <x v="34"/>
    <n v="2"/>
    <s v="P034"/>
    <x v="33"/>
    <x v="3"/>
    <s v="Batting Allrounder"/>
    <s v="Opener"/>
    <n v="28"/>
    <n v="12"/>
    <n v="233.33"/>
    <s v="caught"/>
    <n v="41.5"/>
    <n v="0"/>
    <n v="0"/>
    <n v="0"/>
    <n v="0"/>
    <n v="0"/>
    <n v="0"/>
    <n v="0"/>
    <n v="0"/>
    <n v="41.5"/>
    <n v="4"/>
    <s v="DCW"/>
    <s v="MIW"/>
    <s v=" Arun Jaitley Stadium"/>
    <n v="192"/>
    <n v="9.6"/>
    <n v="56"/>
    <n v="53"/>
    <n v="36"/>
    <s v="NA"/>
    <n v="1"/>
    <n v="41.95"/>
  </r>
  <r>
    <x v="34"/>
    <n v="2"/>
    <s v="P038"/>
    <x v="37"/>
    <x v="3"/>
    <s v="Batter"/>
    <s v="Top Order"/>
    <n v="19"/>
    <n v="20"/>
    <n v="95"/>
    <s v="bowled"/>
    <n v="12"/>
    <n v="0"/>
    <n v="0"/>
    <n v="0"/>
    <n v="0"/>
    <n v="0"/>
    <n v="0"/>
    <n v="0"/>
    <n v="0"/>
    <n v="12"/>
    <n v="1"/>
    <s v="DCW"/>
    <s v="MIW"/>
    <s v=" Arun Jaitley Stadium"/>
    <n v="192"/>
    <n v="9.6"/>
    <n v="56"/>
    <n v="53"/>
    <n v="36"/>
    <s v="NA"/>
    <n v="1"/>
    <n v="26.3"/>
  </r>
  <r>
    <x v="34"/>
    <n v="2"/>
    <s v="P037"/>
    <x v="36"/>
    <x v="3"/>
    <s v="Batter"/>
    <s v="Top Order"/>
    <n v="69"/>
    <n v="33"/>
    <n v="209.09"/>
    <s v="not out"/>
    <n v="83"/>
    <n v="0"/>
    <n v="0"/>
    <n v="0"/>
    <n v="0"/>
    <n v="0"/>
    <n v="0"/>
    <n v="0"/>
    <n v="0"/>
    <n v="83"/>
    <n v="8"/>
    <s v="DCW"/>
    <s v="MIW"/>
    <s v=" Arun Jaitley Stadium"/>
    <n v="192"/>
    <n v="9.6"/>
    <n v="56"/>
    <n v="53"/>
    <n v="36"/>
    <s v="NA"/>
    <n v="1"/>
    <n v="63.9"/>
  </r>
  <r>
    <x v="34"/>
    <n v="2"/>
    <s v="P036"/>
    <x v="35"/>
    <x v="3"/>
    <s v="Allrounder"/>
    <s v="Middle Order"/>
    <n v="11"/>
    <n v="12"/>
    <n v="91.67"/>
    <s v="caught"/>
    <n v="7.3"/>
    <n v="4"/>
    <n v="0"/>
    <n v="37"/>
    <n v="2"/>
    <n v="9.1999999999999993"/>
    <n v="28"/>
    <n v="0"/>
    <n v="0"/>
    <n v="35.299999999999997"/>
    <n v="4"/>
    <s v="DCW"/>
    <s v="MIW"/>
    <s v=" Arun Jaitley Stadium"/>
    <n v="192"/>
    <n v="9.6"/>
    <n v="56"/>
    <n v="53"/>
    <n v="36"/>
    <s v="NA"/>
    <n v="1"/>
    <n v="38.849999999999994"/>
  </r>
  <r>
    <x v="34"/>
    <n v="2"/>
    <s v="P039"/>
    <x v="38"/>
    <x v="3"/>
    <s v="Bowler"/>
    <s v="Middle Order"/>
    <n v="4"/>
    <n v="5"/>
    <n v="80"/>
    <s v="not out"/>
    <n v="3"/>
    <n v="4"/>
    <n v="0"/>
    <n v="21"/>
    <n v="3"/>
    <n v="5.2"/>
    <n v="48"/>
    <n v="0"/>
    <n v="0"/>
    <n v="51"/>
    <n v="5"/>
    <s v="DCW"/>
    <s v="MIW"/>
    <s v=" Arun Jaitley Stadium"/>
    <n v="192"/>
    <n v="9.6"/>
    <n v="56"/>
    <n v="53"/>
    <n v="36"/>
    <s v="NA"/>
    <n v="1"/>
    <n v="47"/>
  </r>
  <r>
    <x v="34"/>
    <n v="2"/>
    <s v="P040"/>
    <x v="39"/>
    <x v="3"/>
    <s v="WK-Batter"/>
    <s v="DNB"/>
    <n v="0"/>
    <n v="0"/>
    <n v="0"/>
    <s v="DNB"/>
    <n v="0"/>
    <n v="0"/>
    <n v="0"/>
    <n v="0"/>
    <n v="0"/>
    <n v="0"/>
    <n v="0"/>
    <n v="0"/>
    <n v="0"/>
    <n v="0"/>
    <n v="0"/>
    <s v="DCW"/>
    <s v="MIW"/>
    <s v=" Arun Jaitley Stadium"/>
    <n v="192"/>
    <n v="9.6"/>
    <n v="56"/>
    <n v="53"/>
    <n v="36"/>
    <s v="NA"/>
    <n v="1"/>
    <n v="20"/>
  </r>
  <r>
    <x v="34"/>
    <n v="2"/>
    <s v="P041"/>
    <x v="40"/>
    <x v="3"/>
    <s v="Bowler"/>
    <s v="DNB"/>
    <n v="0"/>
    <n v="0"/>
    <n v="0"/>
    <s v="DNB"/>
    <n v="0"/>
    <n v="3"/>
    <n v="0"/>
    <n v="32"/>
    <n v="0"/>
    <n v="10.7"/>
    <n v="0"/>
    <n v="0"/>
    <n v="0"/>
    <n v="0"/>
    <n v="0"/>
    <s v="DCW"/>
    <s v="MIW"/>
    <s v=" Arun Jaitley Stadium"/>
    <n v="192"/>
    <n v="9.6"/>
    <n v="56"/>
    <n v="53"/>
    <n v="36"/>
    <s v="NA"/>
    <n v="1"/>
    <n v="20"/>
  </r>
  <r>
    <x v="34"/>
    <n v="2"/>
    <s v="P088"/>
    <x v="87"/>
    <x v="3"/>
    <s v="Bowler"/>
    <s v="DNB"/>
    <n v="0"/>
    <n v="0"/>
    <n v="0"/>
    <s v="DNB"/>
    <n v="0"/>
    <n v="3"/>
    <n v="0"/>
    <n v="23"/>
    <n v="1"/>
    <n v="7.7"/>
    <n v="20"/>
    <n v="0"/>
    <n v="0"/>
    <n v="20"/>
    <n v="2"/>
    <s v="DCW"/>
    <s v="MIW"/>
    <s v=" Arun Jaitley Stadium"/>
    <n v="192"/>
    <n v="9.6"/>
    <n v="56"/>
    <n v="53"/>
    <n v="36"/>
    <s v="NA"/>
    <n v="1"/>
    <n v="30.6"/>
  </r>
  <r>
    <x v="34"/>
    <n v="2"/>
    <s v="P042"/>
    <x v="41"/>
    <x v="3"/>
    <s v="Bowling Allrounder"/>
    <s v="DNB"/>
    <n v="0"/>
    <n v="0"/>
    <n v="0"/>
    <s v="DNB"/>
    <n v="0"/>
    <n v="3"/>
    <n v="0"/>
    <n v="27"/>
    <n v="1"/>
    <n v="9"/>
    <n v="18"/>
    <n v="0"/>
    <n v="0"/>
    <n v="18"/>
    <n v="2"/>
    <s v="DCW"/>
    <s v="MIW"/>
    <s v=" Arun Jaitley Stadium"/>
    <n v="192"/>
    <n v="9.6"/>
    <n v="56"/>
    <n v="53"/>
    <n v="36"/>
    <s v="NA"/>
    <n v="1"/>
    <n v="29.6"/>
  </r>
  <r>
    <x v="34"/>
    <n v="2"/>
    <s v="P043"/>
    <x v="42"/>
    <x v="3"/>
    <s v="Bowler"/>
    <s v="DNB"/>
    <n v="0"/>
    <n v="0"/>
    <n v="0"/>
    <s v="DNB"/>
    <n v="0"/>
    <n v="3"/>
    <n v="0"/>
    <n v="23"/>
    <n v="1"/>
    <n v="7.7"/>
    <n v="20"/>
    <n v="0"/>
    <n v="0"/>
    <n v="20"/>
    <n v="2"/>
    <s v="DCW"/>
    <s v="MIW"/>
    <s v=" Arun Jaitley Stadium"/>
    <n v="192"/>
    <n v="9.6"/>
    <n v="56"/>
    <n v="53"/>
    <n v="36"/>
    <s v="NA"/>
    <n v="1"/>
    <n v="30.6"/>
  </r>
  <r>
    <x v="34"/>
    <n v="2"/>
    <s v="P012"/>
    <x v="11"/>
    <x v="1"/>
    <s v="Batting Allrounder"/>
    <s v="Opener"/>
    <n v="29"/>
    <n v="17"/>
    <n v="170.59"/>
    <s v="caught"/>
    <n v="30.8"/>
    <n v="2"/>
    <n v="0"/>
    <n v="23"/>
    <n v="1"/>
    <n v="11.5"/>
    <n v="18"/>
    <n v="0"/>
    <n v="0"/>
    <n v="48.8"/>
    <n v="5"/>
    <s v="DCW"/>
    <s v="MIW"/>
    <s v=" Arun Jaitley Stadium"/>
    <n v="163"/>
    <n v="8.15"/>
    <n v="54"/>
    <n v="43"/>
    <n v="42"/>
    <s v="Failed"/>
    <n v="0"/>
    <n v="25.9"/>
  </r>
  <r>
    <x v="34"/>
    <n v="2"/>
    <s v="P013"/>
    <x v="12"/>
    <x v="1"/>
    <s v="WK-Batter"/>
    <s v="Opener"/>
    <n v="6"/>
    <n v="3"/>
    <n v="200"/>
    <s v="bowled"/>
    <n v="10.7"/>
    <n v="0"/>
    <n v="0"/>
    <n v="0"/>
    <n v="0"/>
    <n v="0"/>
    <n v="0"/>
    <n v="0"/>
    <n v="0"/>
    <n v="10.7"/>
    <n v="1"/>
    <s v="DCW"/>
    <s v="MIW"/>
    <s v=" Arun Jaitley Stadium"/>
    <n v="163"/>
    <n v="8.15"/>
    <n v="54"/>
    <n v="43"/>
    <n v="42"/>
    <s v="Failed"/>
    <n v="0"/>
    <n v="5.6499999999999995"/>
  </r>
  <r>
    <x v="34"/>
    <n v="2"/>
    <s v="P015"/>
    <x v="14"/>
    <x v="1"/>
    <s v="Allrounder"/>
    <s v="Top Order"/>
    <n v="5"/>
    <n v="3"/>
    <n v="166.67"/>
    <s v="bowled"/>
    <n v="7.3"/>
    <n v="4"/>
    <n v="0"/>
    <n v="38"/>
    <n v="0"/>
    <n v="9.5"/>
    <n v="5"/>
    <n v="0"/>
    <n v="0"/>
    <n v="12.3"/>
    <n v="1"/>
    <s v="DCW"/>
    <s v="MIW"/>
    <s v=" Arun Jaitley Stadium"/>
    <n v="163"/>
    <n v="8.15"/>
    <n v="54"/>
    <n v="43"/>
    <n v="42"/>
    <s v="Failed"/>
    <n v="0"/>
    <n v="6.45"/>
  </r>
  <r>
    <x v="34"/>
    <n v="2"/>
    <s v="P014"/>
    <x v="13"/>
    <x v="1"/>
    <s v="Batting Allrounder"/>
    <s v="Top Order"/>
    <n v="6"/>
    <n v="6"/>
    <n v="100"/>
    <s v="caught"/>
    <n v="4"/>
    <n v="0"/>
    <n v="0"/>
    <n v="0"/>
    <n v="0"/>
    <n v="0"/>
    <n v="0"/>
    <n v="0"/>
    <n v="0"/>
    <n v="4"/>
    <n v="0"/>
    <s v="DCW"/>
    <s v="MIW"/>
    <s v=" Arun Jaitley Stadium"/>
    <n v="163"/>
    <n v="8.15"/>
    <n v="54"/>
    <n v="43"/>
    <n v="42"/>
    <s v="Failed"/>
    <n v="0"/>
    <n v="2"/>
  </r>
  <r>
    <x v="34"/>
    <n v="2"/>
    <s v="P016"/>
    <x v="15"/>
    <x v="1"/>
    <s v="Allrounder"/>
    <s v="Middle Order"/>
    <n v="17"/>
    <n v="20"/>
    <n v="85"/>
    <s v="caught"/>
    <n v="6.4"/>
    <n v="2"/>
    <n v="0"/>
    <n v="35"/>
    <n v="0"/>
    <n v="17.5"/>
    <n v="0"/>
    <n v="0"/>
    <n v="0"/>
    <n v="6.4"/>
    <n v="1"/>
    <s v="DCW"/>
    <s v="MIW"/>
    <s v=" Arun Jaitley Stadium"/>
    <n v="163"/>
    <n v="8.15"/>
    <n v="54"/>
    <n v="43"/>
    <n v="42"/>
    <s v="Failed"/>
    <n v="0"/>
    <n v="3.5"/>
  </r>
  <r>
    <x v="34"/>
    <n v="2"/>
    <s v="P018"/>
    <x v="17"/>
    <x v="1"/>
    <s v="Bowling Allrounder"/>
    <s v="Middle Order"/>
    <n v="17"/>
    <n v="22"/>
    <n v="77.27"/>
    <s v="stumped"/>
    <n v="5.6"/>
    <n v="4"/>
    <n v="0"/>
    <n v="20"/>
    <n v="1"/>
    <n v="5"/>
    <n v="27"/>
    <n v="0"/>
    <n v="0"/>
    <n v="32.6"/>
    <n v="3"/>
    <s v="DCW"/>
    <s v="MIW"/>
    <s v=" Arun Jaitley Stadium"/>
    <n v="163"/>
    <n v="8.15"/>
    <n v="54"/>
    <n v="43"/>
    <n v="42"/>
    <s v="Failed"/>
    <n v="0"/>
    <n v="17.2"/>
  </r>
  <r>
    <x v="34"/>
    <n v="2"/>
    <s v="P017"/>
    <x v="16"/>
    <x v="1"/>
    <s v="Bowling Allrounder"/>
    <s v="Middle Order"/>
    <n v="42"/>
    <n v="27"/>
    <n v="155.56"/>
    <s v="bowled"/>
    <n v="44.1"/>
    <n v="0"/>
    <n v="0"/>
    <n v="0"/>
    <n v="0"/>
    <n v="0"/>
    <n v="0"/>
    <n v="0"/>
    <n v="0"/>
    <n v="44.1"/>
    <n v="4"/>
    <s v="DCW"/>
    <s v="MIW"/>
    <s v=" Arun Jaitley Stadium"/>
    <n v="163"/>
    <n v="8.15"/>
    <n v="54"/>
    <n v="43"/>
    <n v="42"/>
    <s v="Failed"/>
    <n v="0"/>
    <n v="23.25"/>
  </r>
  <r>
    <x v="34"/>
    <n v="2"/>
    <s v="P072"/>
    <x v="72"/>
    <x v="1"/>
    <s v="Batting Allrounder"/>
    <s v="Middle Order"/>
    <n v="24"/>
    <n v="14"/>
    <n v="171.43"/>
    <s v="not out"/>
    <n v="29.3"/>
    <n v="0"/>
    <n v="0"/>
    <n v="0"/>
    <n v="0"/>
    <n v="0"/>
    <n v="0"/>
    <n v="0"/>
    <n v="0"/>
    <n v="29.3"/>
    <n v="3"/>
    <s v="DCW"/>
    <s v="MIW"/>
    <s v=" Arun Jaitley Stadium"/>
    <n v="163"/>
    <n v="8.15"/>
    <n v="54"/>
    <n v="43"/>
    <n v="42"/>
    <s v="Failed"/>
    <n v="0"/>
    <n v="15.55"/>
  </r>
  <r>
    <x v="34"/>
    <n v="2"/>
    <s v="P019"/>
    <x v="18"/>
    <x v="1"/>
    <s v="Batting Allrounder"/>
    <s v="Middle Order"/>
    <n v="6"/>
    <n v="8"/>
    <n v="75"/>
    <s v="bowled"/>
    <n v="2.6"/>
    <n v="0"/>
    <n v="0"/>
    <n v="0"/>
    <n v="0"/>
    <n v="0"/>
    <n v="0"/>
    <n v="0"/>
    <n v="0"/>
    <n v="2.6"/>
    <n v="0"/>
    <s v="DCW"/>
    <s v="MIW"/>
    <s v=" Arun Jaitley Stadium"/>
    <n v="163"/>
    <n v="8.15"/>
    <n v="54"/>
    <n v="43"/>
    <n v="42"/>
    <s v="Failed"/>
    <n v="0"/>
    <n v="1.3"/>
  </r>
  <r>
    <x v="34"/>
    <n v="2"/>
    <s v="P060"/>
    <x v="59"/>
    <x v="1"/>
    <s v="Bowler"/>
    <s v="DNB"/>
    <n v="0"/>
    <n v="0"/>
    <n v="0"/>
    <s v="DNB"/>
    <n v="0"/>
    <n v="4"/>
    <n v="0"/>
    <n v="46"/>
    <n v="1"/>
    <n v="11.5"/>
    <n v="18"/>
    <n v="0"/>
    <n v="0"/>
    <n v="18"/>
    <n v="2"/>
    <s v="DCW"/>
    <s v="MIW"/>
    <s v=" Arun Jaitley Stadium"/>
    <n v="163"/>
    <n v="8.15"/>
    <n v="54"/>
    <n v="43"/>
    <n v="42"/>
    <s v="Failed"/>
    <n v="0"/>
    <n v="9.6"/>
  </r>
  <r>
    <x v="34"/>
    <n v="2"/>
    <s v="P022"/>
    <x v="21"/>
    <x v="1"/>
    <s v="Bowler"/>
    <s v="DNB"/>
    <n v="0"/>
    <n v="0"/>
    <n v="0"/>
    <s v="DNB"/>
    <n v="0"/>
    <n v="4"/>
    <n v="0"/>
    <n v="29"/>
    <n v="1"/>
    <n v="7.2"/>
    <n v="20"/>
    <n v="0"/>
    <n v="0"/>
    <n v="20"/>
    <n v="2"/>
    <s v="DCW"/>
    <s v="MIW"/>
    <s v=" Arun Jaitley Stadium"/>
    <n v="163"/>
    <n v="8.15"/>
    <n v="54"/>
    <n v="43"/>
    <n v="42"/>
    <s v="Failed"/>
    <n v="0"/>
    <n v="10.6"/>
  </r>
  <r>
    <x v="35"/>
    <n v="2"/>
    <s v="P066"/>
    <x v="65"/>
    <x v="0"/>
    <s v="Batter"/>
    <s v="Opener"/>
    <n v="76"/>
    <n v="45"/>
    <n v="168.89"/>
    <s v="run out"/>
    <n v="79"/>
    <n v="0"/>
    <n v="0"/>
    <n v="0"/>
    <n v="0"/>
    <n v="0"/>
    <n v="0"/>
    <n v="0"/>
    <n v="0"/>
    <n v="79"/>
    <n v="8"/>
    <s v="GGTW"/>
    <s v="GGTW"/>
    <s v="Arun Jaitley Stadium"/>
    <n v="199"/>
    <n v="9.9499999999999993"/>
    <n v="59"/>
    <n v="29"/>
    <n v="37"/>
    <s v="NA"/>
    <n v="1"/>
    <n v="61.9"/>
  </r>
  <r>
    <x v="35"/>
    <n v="2"/>
    <s v="P001"/>
    <x v="0"/>
    <x v="0"/>
    <s v="WK-Batter"/>
    <s v="Opener"/>
    <n v="85"/>
    <n v="51"/>
    <n v="166.67"/>
    <s v="not out"/>
    <n v="89.3"/>
    <n v="0"/>
    <n v="0"/>
    <n v="0"/>
    <n v="0"/>
    <n v="0"/>
    <n v="0"/>
    <n v="0"/>
    <n v="0"/>
    <n v="89.3"/>
    <n v="9"/>
    <s v="GGTW"/>
    <s v="GGTW"/>
    <s v="Arun Jaitley Stadium"/>
    <n v="199"/>
    <n v="9.9499999999999993"/>
    <n v="59"/>
    <n v="29"/>
    <n v="37"/>
    <s v="NA"/>
    <n v="1"/>
    <n v="67.349999999999994"/>
  </r>
  <r>
    <x v="35"/>
    <n v="2"/>
    <s v="P078"/>
    <x v="79"/>
    <x v="0"/>
    <s v="Batter"/>
    <s v="Top Order"/>
    <n v="18"/>
    <n v="17"/>
    <n v="105.88"/>
    <s v="run out"/>
    <n v="12.7"/>
    <n v="0"/>
    <n v="0"/>
    <n v="0"/>
    <n v="0"/>
    <n v="0"/>
    <n v="0"/>
    <n v="0"/>
    <n v="0"/>
    <n v="12.7"/>
    <n v="1"/>
    <s v="GGTW"/>
    <s v="GGTW"/>
    <s v="Arun Jaitley Stadium"/>
    <n v="199"/>
    <n v="9.9499999999999993"/>
    <n v="59"/>
    <n v="29"/>
    <n v="37"/>
    <s v="NA"/>
    <n v="1"/>
    <n v="26.65"/>
  </r>
  <r>
    <x v="35"/>
    <n v="2"/>
    <s v="P004"/>
    <x v="3"/>
    <x v="0"/>
    <s v="Batting Allrounder"/>
    <s v="Middle Order"/>
    <n v="0"/>
    <n v="1"/>
    <n v="0"/>
    <s v="caught"/>
    <n v="-5"/>
    <n v="4"/>
    <n v="0"/>
    <n v="23"/>
    <n v="2"/>
    <n v="5.8"/>
    <n v="48"/>
    <n v="0"/>
    <n v="0"/>
    <n v="43"/>
    <n v="4"/>
    <s v="GGTW"/>
    <s v="GGTW"/>
    <s v="Arun Jaitley Stadium"/>
    <n v="199"/>
    <n v="9.9499999999999993"/>
    <n v="59"/>
    <n v="29"/>
    <n v="37"/>
    <s v="NA"/>
    <n v="1"/>
    <n v="42.7"/>
  </r>
  <r>
    <x v="35"/>
    <n v="2"/>
    <s v="P006"/>
    <x v="5"/>
    <x v="0"/>
    <s v="Batter"/>
    <s v="Middle Order"/>
    <n v="1"/>
    <n v="3"/>
    <n v="33.33"/>
    <s v="stumped"/>
    <n v="-1"/>
    <n v="0"/>
    <n v="0"/>
    <n v="0"/>
    <n v="0"/>
    <n v="0"/>
    <n v="0"/>
    <n v="0"/>
    <n v="0"/>
    <n v="-1"/>
    <n v="0"/>
    <s v="GGTW"/>
    <s v="GGTW"/>
    <s v="Arun Jaitley Stadium"/>
    <n v="199"/>
    <n v="9.9499999999999993"/>
    <n v="59"/>
    <n v="29"/>
    <n v="37"/>
    <s v="NA"/>
    <n v="1"/>
    <n v="20"/>
  </r>
  <r>
    <x v="35"/>
    <n v="2"/>
    <s v="P086"/>
    <x v="78"/>
    <x v="0"/>
    <s v="Batter"/>
    <s v="Middle Order"/>
    <n v="1"/>
    <n v="2"/>
    <n v="50"/>
    <s v="run out"/>
    <n v="-0.2"/>
    <n v="0"/>
    <n v="0"/>
    <n v="0"/>
    <n v="0"/>
    <n v="0"/>
    <n v="0"/>
    <n v="0"/>
    <n v="0"/>
    <n v="-0.2"/>
    <n v="0"/>
    <s v="GGTW"/>
    <s v="GGTW"/>
    <s v="Arun Jaitley Stadium"/>
    <n v="199"/>
    <n v="9.9499999999999993"/>
    <n v="59"/>
    <n v="29"/>
    <n v="37"/>
    <s v="NA"/>
    <n v="1"/>
    <n v="20"/>
  </r>
  <r>
    <x v="35"/>
    <n v="2"/>
    <s v="P079"/>
    <x v="80"/>
    <x v="0"/>
    <s v="Bowling Allrounder"/>
    <s v="Middle Order"/>
    <n v="1"/>
    <n v="1"/>
    <n v="100"/>
    <s v="not out"/>
    <n v="5.5"/>
    <n v="4"/>
    <n v="0"/>
    <n v="26"/>
    <n v="1"/>
    <n v="6.5"/>
    <n v="30"/>
    <n v="0"/>
    <n v="0"/>
    <n v="35.5"/>
    <n v="4"/>
    <s v="GGTW"/>
    <s v="GGTW"/>
    <s v="Arun Jaitley Stadium"/>
    <n v="199"/>
    <n v="9.9499999999999993"/>
    <n v="59"/>
    <n v="29"/>
    <n v="37"/>
    <s v="NA"/>
    <n v="1"/>
    <n v="38.950000000000003"/>
  </r>
  <r>
    <x v="35"/>
    <n v="2"/>
    <s v="P009"/>
    <x v="8"/>
    <x v="0"/>
    <s v="Bowler"/>
    <s v="DNB"/>
    <n v="0"/>
    <n v="0"/>
    <n v="0"/>
    <s v="DNB"/>
    <n v="0"/>
    <n v="4"/>
    <n v="0"/>
    <n v="43"/>
    <n v="1"/>
    <n v="10.8"/>
    <n v="10"/>
    <n v="0"/>
    <n v="0"/>
    <n v="10"/>
    <n v="1"/>
    <s v="GGTW"/>
    <s v="GGTW"/>
    <s v="Arun Jaitley Stadium"/>
    <n v="199"/>
    <n v="9.9499999999999993"/>
    <n v="59"/>
    <n v="29"/>
    <n v="37"/>
    <s v="NA"/>
    <n v="1"/>
    <n v="25.3"/>
  </r>
  <r>
    <x v="35"/>
    <n v="2"/>
    <s v="P081"/>
    <x v="82"/>
    <x v="0"/>
    <s v="Bowling Allrounder"/>
    <s v="DNB"/>
    <n v="0"/>
    <n v="0"/>
    <n v="0"/>
    <s v="DNB"/>
    <n v="0"/>
    <n v="4"/>
    <n v="0"/>
    <n v="42"/>
    <n v="0"/>
    <n v="10.5"/>
    <n v="0"/>
    <n v="0"/>
    <n v="0"/>
    <n v="0"/>
    <n v="0"/>
    <s v="GGTW"/>
    <s v="GGTW"/>
    <s v="Arun Jaitley Stadium"/>
    <n v="199"/>
    <n v="9.9499999999999993"/>
    <n v="59"/>
    <n v="29"/>
    <n v="37"/>
    <s v="NA"/>
    <n v="1"/>
    <n v="20"/>
  </r>
  <r>
    <x v="35"/>
    <n v="2"/>
    <s v="P085"/>
    <x v="86"/>
    <x v="0"/>
    <s v="Bowling Allrounder"/>
    <s v="DNB"/>
    <n v="0"/>
    <n v="0"/>
    <n v="0"/>
    <s v="DNB"/>
    <n v="0"/>
    <n v="1"/>
    <n v="0"/>
    <n v="10"/>
    <n v="0"/>
    <n v="10"/>
    <n v="0"/>
    <n v="0"/>
    <n v="0"/>
    <n v="0"/>
    <n v="0"/>
    <s v="GGTW"/>
    <s v="GGTW"/>
    <s v="Arun Jaitley Stadium"/>
    <n v="199"/>
    <n v="9.9499999999999993"/>
    <n v="59"/>
    <n v="29"/>
    <n v="37"/>
    <s v="NA"/>
    <n v="1"/>
    <n v="20"/>
  </r>
  <r>
    <x v="35"/>
    <n v="2"/>
    <s v="P091"/>
    <x v="91"/>
    <x v="0"/>
    <s v="Bowler"/>
    <s v="DNB"/>
    <n v="0"/>
    <n v="0"/>
    <n v="0"/>
    <s v="DNB"/>
    <n v="0"/>
    <n v="3"/>
    <n v="0"/>
    <n v="27"/>
    <n v="0"/>
    <n v="9"/>
    <n v="0"/>
    <n v="0"/>
    <n v="0"/>
    <n v="0"/>
    <n v="0"/>
    <s v="GGTW"/>
    <s v="GGTW"/>
    <s v="Arun Jaitley Stadium"/>
    <n v="199"/>
    <n v="9.9499999999999993"/>
    <n v="59"/>
    <n v="29"/>
    <n v="37"/>
    <s v="NA"/>
    <n v="1"/>
    <n v="20"/>
  </r>
  <r>
    <x v="35"/>
    <n v="2"/>
    <s v="P002"/>
    <x v="1"/>
    <x v="2"/>
    <s v="Batting Allrounder"/>
    <s v="Opener"/>
    <n v="4"/>
    <n v="13"/>
    <n v="30.77"/>
    <s v="run out"/>
    <n v="-1.8"/>
    <n v="0"/>
    <n v="0"/>
    <n v="0"/>
    <n v="0"/>
    <n v="0"/>
    <n v="0"/>
    <n v="0"/>
    <n v="0"/>
    <n v="-1.8"/>
    <n v="0"/>
    <s v="GGTW"/>
    <s v="GGTW"/>
    <s v="Arun Jaitley Stadium"/>
    <n v="180"/>
    <n v="9"/>
    <n v="39"/>
    <n v="51"/>
    <n v="41"/>
    <s v="Failed"/>
    <n v="0"/>
    <n v="0"/>
  </r>
  <r>
    <x v="35"/>
    <n v="2"/>
    <s v="P023"/>
    <x v="22"/>
    <x v="2"/>
    <s v="Batter"/>
    <s v="Opener"/>
    <n v="24"/>
    <n v="16"/>
    <n v="150"/>
    <s v="lbw"/>
    <n v="24.8"/>
    <n v="0"/>
    <n v="0"/>
    <n v="0"/>
    <n v="0"/>
    <n v="0"/>
    <n v="0"/>
    <n v="0"/>
    <n v="0"/>
    <n v="24.8"/>
    <n v="2"/>
    <s v="GGTW"/>
    <s v="GGTW"/>
    <s v="Arun Jaitley Stadium"/>
    <n v="180"/>
    <n v="9"/>
    <n v="39"/>
    <n v="51"/>
    <n v="41"/>
    <s v="Failed"/>
    <n v="0"/>
    <n v="13"/>
  </r>
  <r>
    <x v="35"/>
    <n v="2"/>
    <s v="P027"/>
    <x v="26"/>
    <x v="2"/>
    <s v="Batting Allrounder"/>
    <s v="Top Order"/>
    <n v="24"/>
    <n v="23"/>
    <n v="104.35"/>
    <s v="caught"/>
    <n v="18.7"/>
    <n v="1"/>
    <n v="0"/>
    <n v="15"/>
    <n v="0"/>
    <n v="15"/>
    <n v="0"/>
    <n v="0"/>
    <n v="0"/>
    <n v="18.7"/>
    <n v="2"/>
    <s v="GGTW"/>
    <s v="GGTW"/>
    <s v="Arun Jaitley Stadium"/>
    <n v="180"/>
    <n v="9"/>
    <n v="39"/>
    <n v="51"/>
    <n v="41"/>
    <s v="Failed"/>
    <n v="0"/>
    <n v="9.9499999999999993"/>
  </r>
  <r>
    <x v="35"/>
    <n v="2"/>
    <s v="P024"/>
    <x v="23"/>
    <x v="2"/>
    <s v="Allrounder"/>
    <s v="Top Order"/>
    <n v="23"/>
    <n v="16"/>
    <n v="143.75"/>
    <s v="bowled"/>
    <n v="25.3"/>
    <n v="3"/>
    <n v="0"/>
    <n v="37"/>
    <n v="0"/>
    <n v="12.3"/>
    <n v="0"/>
    <n v="0"/>
    <n v="0"/>
    <n v="25.3"/>
    <n v="3"/>
    <s v="GGTW"/>
    <s v="GGTW"/>
    <s v="Arun Jaitley Stadium"/>
    <n v="180"/>
    <n v="9"/>
    <n v="39"/>
    <n v="51"/>
    <n v="41"/>
    <s v="Failed"/>
    <n v="0"/>
    <n v="13.55"/>
  </r>
  <r>
    <x v="35"/>
    <n v="2"/>
    <s v="P028"/>
    <x v="27"/>
    <x v="2"/>
    <s v="WK-Batter"/>
    <s v="Middle Order"/>
    <n v="30"/>
    <n v="21"/>
    <n v="142.86000000000001"/>
    <s v="caught"/>
    <n v="31.4"/>
    <n v="0"/>
    <n v="0"/>
    <n v="0"/>
    <n v="0"/>
    <n v="0"/>
    <n v="0"/>
    <n v="0"/>
    <n v="0"/>
    <n v="31.4"/>
    <n v="3"/>
    <s v="GGTW"/>
    <s v="GGTW"/>
    <s v="Arun Jaitley Stadium"/>
    <n v="180"/>
    <n v="9"/>
    <n v="39"/>
    <n v="51"/>
    <n v="41"/>
    <s v="Failed"/>
    <n v="0"/>
    <n v="16.599999999999998"/>
  </r>
  <r>
    <x v="35"/>
    <n v="2"/>
    <s v="P007"/>
    <x v="6"/>
    <x v="2"/>
    <s v="Bowling Allrounder"/>
    <s v="Middle Order"/>
    <n v="48"/>
    <n v="22"/>
    <n v="218.18"/>
    <s v="run out"/>
    <n v="53.6"/>
    <n v="4"/>
    <n v="0"/>
    <n v="36"/>
    <n v="1"/>
    <n v="9"/>
    <n v="20"/>
    <n v="0"/>
    <n v="0"/>
    <n v="73.599999999999994"/>
    <n v="7"/>
    <s v="GGTW"/>
    <s v="GGTW"/>
    <s v="Arun Jaitley Stadium"/>
    <n v="180"/>
    <n v="9"/>
    <n v="39"/>
    <n v="51"/>
    <n v="41"/>
    <s v="Failed"/>
    <n v="0"/>
    <n v="38.9"/>
  </r>
  <r>
    <x v="35"/>
    <n v="2"/>
    <s v="P077"/>
    <x v="74"/>
    <x v="2"/>
    <s v="Bowling Allrounder"/>
    <s v="Middle Order"/>
    <n v="3"/>
    <n v="3"/>
    <n v="100"/>
    <s v="run out"/>
    <n v="2.5"/>
    <n v="4"/>
    <n v="0"/>
    <n v="32"/>
    <n v="1"/>
    <n v="8"/>
    <n v="20"/>
    <n v="0"/>
    <n v="0"/>
    <n v="22.5"/>
    <n v="2"/>
    <s v="GGTW"/>
    <s v="GGTW"/>
    <s v="Arun Jaitley Stadium"/>
    <n v="180"/>
    <n v="9"/>
    <n v="39"/>
    <n v="51"/>
    <n v="41"/>
    <s v="Failed"/>
    <n v="0"/>
    <n v="11.85"/>
  </r>
  <r>
    <x v="35"/>
    <n v="2"/>
    <s v="P075"/>
    <x v="75"/>
    <x v="2"/>
    <s v="Bowler"/>
    <s v="Middle Order"/>
    <n v="1"/>
    <n v="2"/>
    <n v="50"/>
    <s v="not out"/>
    <n v="2"/>
    <n v="0"/>
    <n v="0"/>
    <n v="0"/>
    <n v="0"/>
    <n v="0"/>
    <n v="0"/>
    <n v="0"/>
    <n v="0"/>
    <n v="2"/>
    <n v="0"/>
    <s v="GGTW"/>
    <s v="GGTW"/>
    <s v="Arun Jaitley Stadium"/>
    <n v="180"/>
    <n v="9"/>
    <n v="39"/>
    <n v="51"/>
    <n v="41"/>
    <s v="Failed"/>
    <n v="0"/>
    <n v="1"/>
  </r>
  <r>
    <x v="35"/>
    <n v="2"/>
    <s v="P090"/>
    <x v="90"/>
    <x v="2"/>
    <s v="Bowler"/>
    <s v="Middle Order"/>
    <n v="12"/>
    <n v="5"/>
    <n v="240"/>
    <s v="run out"/>
    <n v="18.5"/>
    <n v="3"/>
    <n v="0"/>
    <n v="31"/>
    <n v="0"/>
    <n v="10.3"/>
    <n v="0"/>
    <n v="0"/>
    <n v="0"/>
    <n v="18.5"/>
    <n v="2"/>
    <s v="GGTW"/>
    <s v="GGTW"/>
    <s v="Arun Jaitley Stadium"/>
    <n v="180"/>
    <n v="9"/>
    <n v="39"/>
    <n v="51"/>
    <n v="41"/>
    <s v="Failed"/>
    <n v="0"/>
    <n v="9.85"/>
  </r>
  <r>
    <x v="35"/>
    <n v="2"/>
    <s v="P030"/>
    <x v="29"/>
    <x v="2"/>
    <s v="Bowling Allrounder"/>
    <s v="DNB"/>
    <n v="0"/>
    <n v="0"/>
    <n v="0"/>
    <s v="DNB"/>
    <n v="0"/>
    <n v="1"/>
    <n v="0"/>
    <n v="11"/>
    <n v="0"/>
    <n v="11"/>
    <n v="0"/>
    <n v="0"/>
    <n v="0"/>
    <n v="0"/>
    <n v="0"/>
    <s v="GGTW"/>
    <s v="GGTW"/>
    <s v="Arun Jaitley Stadium"/>
    <n v="180"/>
    <n v="9"/>
    <n v="39"/>
    <n v="51"/>
    <n v="41"/>
    <s v="Failed"/>
    <n v="0"/>
    <n v="0"/>
  </r>
  <r>
    <x v="35"/>
    <n v="2"/>
    <s v="P033"/>
    <x v="32"/>
    <x v="2"/>
    <s v="Bowler"/>
    <s v="DNB"/>
    <n v="0"/>
    <n v="0"/>
    <n v="0"/>
    <s v="DNB"/>
    <n v="0"/>
    <n v="4"/>
    <n v="0"/>
    <n v="34"/>
    <n v="0"/>
    <n v="8.5"/>
    <n v="0"/>
    <n v="0"/>
    <n v="0"/>
    <n v="0"/>
    <n v="0"/>
    <s v="GGTW"/>
    <s v="GGTW"/>
    <s v="Arun Jaitley Stadium"/>
    <n v="180"/>
    <n v="9"/>
    <n v="39"/>
    <n v="51"/>
    <n v="41"/>
    <s v="Failed"/>
    <n v="0"/>
    <n v="0"/>
  </r>
  <r>
    <x v="36"/>
    <n v="2"/>
    <s v="P013"/>
    <x v="12"/>
    <x v="1"/>
    <s v="WK-Batter"/>
    <s v="Opener"/>
    <n v="9"/>
    <n v="13"/>
    <n v="69.23"/>
    <s v="caught"/>
    <n v="3.2"/>
    <n v="0"/>
    <n v="0"/>
    <n v="0"/>
    <n v="0"/>
    <n v="0"/>
    <n v="0"/>
    <n v="0"/>
    <n v="0"/>
    <n v="3.2"/>
    <n v="0"/>
    <s v="MIW"/>
    <s v="MIW"/>
    <s v="Arun Jaitley Stadium"/>
    <n v="160"/>
    <n v="8"/>
    <n v="37"/>
    <n v="38"/>
    <n v="40"/>
    <s v="NA"/>
    <n v="1"/>
    <n v="21.6"/>
  </r>
  <r>
    <x v="36"/>
    <n v="2"/>
    <s v="P012"/>
    <x v="11"/>
    <x v="1"/>
    <s v="Batting Allrounder"/>
    <s v="Opener"/>
    <n v="4"/>
    <n v="3"/>
    <n v="133.33000000000001"/>
    <s v="caught"/>
    <n v="6.1"/>
    <n v="4"/>
    <n v="0"/>
    <n v="22"/>
    <n v="1"/>
    <n v="5.5"/>
    <n v="27"/>
    <n v="0"/>
    <n v="0"/>
    <n v="33.1"/>
    <n v="3"/>
    <s v="MIW"/>
    <s v="MIW"/>
    <s v="Arun Jaitley Stadium"/>
    <n v="160"/>
    <n v="8"/>
    <n v="37"/>
    <n v="38"/>
    <n v="40"/>
    <s v="NA"/>
    <n v="1"/>
    <n v="37.450000000000003"/>
  </r>
  <r>
    <x v="36"/>
    <n v="2"/>
    <s v="P015"/>
    <x v="14"/>
    <x v="1"/>
    <s v="Allrounder"/>
    <s v="Top Order"/>
    <n v="45"/>
    <n v="31"/>
    <n v="145.16"/>
    <s v="bowled"/>
    <n v="42.8"/>
    <n v="2"/>
    <n v="0"/>
    <n v="14"/>
    <n v="2"/>
    <n v="7"/>
    <n v="42"/>
    <n v="0"/>
    <n v="0"/>
    <n v="84.8"/>
    <n v="8"/>
    <s v="MIW"/>
    <s v="MIW"/>
    <s v="Arun Jaitley Stadium"/>
    <n v="160"/>
    <n v="8"/>
    <n v="37"/>
    <n v="38"/>
    <n v="40"/>
    <s v="NA"/>
    <n v="1"/>
    <n v="64.8"/>
  </r>
  <r>
    <x v="36"/>
    <n v="2"/>
    <s v="P014"/>
    <x v="13"/>
    <x v="1"/>
    <s v="Batting Allrounder"/>
    <s v="Top Order"/>
    <n v="33"/>
    <n v="30"/>
    <n v="110"/>
    <s v="bowled"/>
    <n v="22"/>
    <n v="0"/>
    <n v="0"/>
    <n v="0"/>
    <n v="0"/>
    <n v="0"/>
    <n v="0"/>
    <n v="0"/>
    <n v="0"/>
    <n v="22"/>
    <n v="2"/>
    <s v="MIW"/>
    <s v="MIW"/>
    <s v="Arun Jaitley Stadium"/>
    <n v="160"/>
    <n v="8"/>
    <n v="37"/>
    <n v="38"/>
    <n v="40"/>
    <s v="NA"/>
    <n v="1"/>
    <n v="31.6"/>
  </r>
  <r>
    <x v="36"/>
    <n v="2"/>
    <s v="P016"/>
    <x v="15"/>
    <x v="1"/>
    <s v="Allrounder"/>
    <s v="Middle Order"/>
    <n v="39"/>
    <n v="23"/>
    <n v="169.57"/>
    <s v="run out"/>
    <n v="45.4"/>
    <n v="2"/>
    <n v="0"/>
    <n v="23"/>
    <n v="0"/>
    <n v="11.5"/>
    <n v="5"/>
    <n v="0"/>
    <n v="0"/>
    <n v="50.4"/>
    <n v="5"/>
    <s v="MIW"/>
    <s v="MIW"/>
    <s v="Arun Jaitley Stadium"/>
    <n v="160"/>
    <n v="8"/>
    <n v="37"/>
    <n v="38"/>
    <n v="40"/>
    <s v="NA"/>
    <n v="1"/>
    <n v="46.7"/>
  </r>
  <r>
    <x v="36"/>
    <n v="2"/>
    <s v="P017"/>
    <x v="16"/>
    <x v="1"/>
    <s v="Bowling Allrounder"/>
    <s v="Middle Order"/>
    <n v="7"/>
    <n v="6"/>
    <n v="116.67"/>
    <s v="caught"/>
    <n v="6.5"/>
    <n v="1"/>
    <n v="0"/>
    <n v="5"/>
    <n v="0"/>
    <n v="5"/>
    <n v="12"/>
    <n v="0"/>
    <n v="0"/>
    <n v="18.5"/>
    <n v="2"/>
    <s v="MIW"/>
    <s v="MIW"/>
    <s v="Arun Jaitley Stadium"/>
    <n v="160"/>
    <n v="8"/>
    <n v="37"/>
    <n v="38"/>
    <n v="40"/>
    <s v="NA"/>
    <n v="1"/>
    <n v="29.85"/>
  </r>
  <r>
    <x v="36"/>
    <n v="2"/>
    <s v="P072"/>
    <x v="72"/>
    <x v="1"/>
    <s v="Batting Allrounder"/>
    <s v="Middle Order"/>
    <n v="22"/>
    <n v="14"/>
    <n v="157.13999999999999"/>
    <s v="not out"/>
    <n v="27.8"/>
    <n v="1"/>
    <n v="0"/>
    <n v="12"/>
    <n v="1"/>
    <n v="12"/>
    <n v="0"/>
    <n v="0"/>
    <n v="0"/>
    <n v="27.8"/>
    <n v="3"/>
    <s v="MIW"/>
    <s v="MIW"/>
    <s v="Arun Jaitley Stadium"/>
    <n v="160"/>
    <n v="8"/>
    <n v="37"/>
    <n v="38"/>
    <n v="40"/>
    <s v="NA"/>
    <n v="1"/>
    <n v="34.799999999999997"/>
  </r>
  <r>
    <x v="36"/>
    <n v="2"/>
    <s v="P018"/>
    <x v="17"/>
    <x v="1"/>
    <s v="Bowling Allrounder"/>
    <s v="DNB"/>
    <n v="0"/>
    <n v="0"/>
    <n v="0"/>
    <s v="DNB"/>
    <n v="0"/>
    <n v="2"/>
    <n v="0"/>
    <n v="8"/>
    <n v="1"/>
    <n v="4"/>
    <n v="27"/>
    <n v="0"/>
    <n v="0"/>
    <n v="27"/>
    <n v="3"/>
    <s v="MIW"/>
    <s v="MIW"/>
    <s v="Arun Jaitley Stadium"/>
    <n v="160"/>
    <n v="8"/>
    <n v="37"/>
    <n v="38"/>
    <n v="40"/>
    <s v="NA"/>
    <n v="1"/>
    <n v="34.4"/>
  </r>
  <r>
    <x v="36"/>
    <n v="2"/>
    <s v="P019"/>
    <x v="18"/>
    <x v="1"/>
    <s v="Batting Allrounder"/>
    <s v="DNB"/>
    <n v="0"/>
    <n v="0"/>
    <n v="0"/>
    <s v="DNB"/>
    <n v="0"/>
    <n v="0"/>
    <n v="0"/>
    <n v="0"/>
    <n v="0"/>
    <n v="0"/>
    <n v="0"/>
    <n v="0"/>
    <n v="0"/>
    <n v="0"/>
    <n v="0"/>
    <s v="MIW"/>
    <s v="MIW"/>
    <s v="Arun Jaitley Stadium"/>
    <n v="160"/>
    <n v="8"/>
    <n v="37"/>
    <n v="38"/>
    <n v="40"/>
    <s v="NA"/>
    <n v="1"/>
    <n v="20"/>
  </r>
  <r>
    <x v="36"/>
    <n v="2"/>
    <s v="P060"/>
    <x v="59"/>
    <x v="1"/>
    <s v="Bowler"/>
    <s v="DNB"/>
    <n v="0"/>
    <n v="0"/>
    <n v="0"/>
    <s v="DNB"/>
    <n v="0"/>
    <n v="4"/>
    <n v="0"/>
    <n v="6"/>
    <n v="1"/>
    <n v="1.5"/>
    <n v="55"/>
    <n v="0"/>
    <n v="0"/>
    <n v="55"/>
    <n v="6"/>
    <s v="MIW"/>
    <s v="MIW"/>
    <s v="Arun Jaitley Stadium"/>
    <n v="160"/>
    <n v="8"/>
    <n v="37"/>
    <n v="38"/>
    <n v="40"/>
    <s v="NA"/>
    <n v="1"/>
    <n v="49.3"/>
  </r>
  <r>
    <x v="36"/>
    <n v="2"/>
    <s v="P022"/>
    <x v="21"/>
    <x v="1"/>
    <s v="Bowler"/>
    <s v="DNB"/>
    <n v="0"/>
    <n v="0"/>
    <n v="0"/>
    <s v="DNB"/>
    <n v="0"/>
    <n v="4"/>
    <n v="0"/>
    <n v="27"/>
    <n v="3"/>
    <n v="6.8"/>
    <n v="65"/>
    <n v="0"/>
    <n v="0"/>
    <n v="65"/>
    <n v="7"/>
    <s v="MIW"/>
    <s v="MIW"/>
    <s v="Arun Jaitley Stadium"/>
    <n v="160"/>
    <n v="8"/>
    <n v="37"/>
    <n v="38"/>
    <n v="40"/>
    <s v="NA"/>
    <n v="1"/>
    <n v="54.6"/>
  </r>
  <r>
    <x v="36"/>
    <n v="2"/>
    <s v="P045"/>
    <x v="44"/>
    <x v="4"/>
    <s v="WK-Batter"/>
    <s v="Opener"/>
    <n v="3"/>
    <n v="9"/>
    <n v="33.33"/>
    <s v="bowled"/>
    <n v="-1"/>
    <n v="0"/>
    <n v="0"/>
    <n v="0"/>
    <n v="0"/>
    <n v="0"/>
    <n v="0"/>
    <n v="0"/>
    <n v="0"/>
    <n v="-1"/>
    <n v="0"/>
    <s v="MIW"/>
    <s v="MIW"/>
    <s v="Arun Jaitley Stadium"/>
    <n v="118"/>
    <n v="5.9"/>
    <n v="17"/>
    <n v="34"/>
    <n v="63"/>
    <s v="Failed"/>
    <n v="0"/>
    <n v="0"/>
  </r>
  <r>
    <x v="36"/>
    <n v="2"/>
    <s v="P051"/>
    <x v="50"/>
    <x v="4"/>
    <s v="Batter"/>
    <s v="Opener"/>
    <n v="7"/>
    <n v="8"/>
    <n v="87.5"/>
    <s v="bowled"/>
    <n v="2.9"/>
    <n v="0"/>
    <n v="0"/>
    <n v="0"/>
    <n v="0"/>
    <n v="0"/>
    <n v="0"/>
    <n v="0"/>
    <n v="0"/>
    <n v="2.9"/>
    <n v="0"/>
    <s v="MIW"/>
    <s v="MIW"/>
    <s v="Arun Jaitley Stadium"/>
    <n v="118"/>
    <n v="5.9"/>
    <n v="17"/>
    <n v="34"/>
    <n v="63"/>
    <s v="Failed"/>
    <n v="0"/>
    <n v="1.45"/>
  </r>
  <r>
    <x v="36"/>
    <n v="2"/>
    <s v="P084"/>
    <x v="85"/>
    <x v="4"/>
    <s v="Batting Allrounder"/>
    <s v="Top Order"/>
    <n v="3"/>
    <n v="5"/>
    <n v="60"/>
    <s v="caught"/>
    <n v="-0.5"/>
    <n v="4"/>
    <n v="0"/>
    <n v="27"/>
    <n v="2"/>
    <n v="6.8"/>
    <n v="42"/>
    <n v="0"/>
    <n v="0"/>
    <n v="41.5"/>
    <n v="4"/>
    <s v="MIW"/>
    <s v="MIW"/>
    <s v="Arun Jaitley Stadium"/>
    <n v="118"/>
    <n v="5.9"/>
    <n v="17"/>
    <n v="34"/>
    <n v="63"/>
    <s v="Failed"/>
    <n v="0"/>
    <n v="21.95"/>
  </r>
  <r>
    <x v="36"/>
    <n v="2"/>
    <s v="P049"/>
    <x v="48"/>
    <x v="4"/>
    <s v="Batting Allrounder"/>
    <s v="Top Order"/>
    <n v="15"/>
    <n v="23"/>
    <n v="65.22"/>
    <s v="bowled"/>
    <n v="4.5"/>
    <n v="3"/>
    <n v="0"/>
    <n v="18"/>
    <n v="0"/>
    <n v="6"/>
    <n v="10"/>
    <n v="0"/>
    <n v="0"/>
    <n v="14.5"/>
    <n v="1"/>
    <s v="MIW"/>
    <s v="MIW"/>
    <s v="Arun Jaitley Stadium"/>
    <n v="118"/>
    <n v="5.9"/>
    <n v="17"/>
    <n v="34"/>
    <n v="63"/>
    <s v="Failed"/>
    <n v="0"/>
    <n v="7.55"/>
  </r>
  <r>
    <x v="36"/>
    <n v="2"/>
    <s v="P048"/>
    <x v="47"/>
    <x v="4"/>
    <s v="Allrounder"/>
    <s v="Middle Order"/>
    <n v="53"/>
    <n v="36"/>
    <n v="147.22"/>
    <s v="not out"/>
    <n v="54.8"/>
    <n v="4"/>
    <n v="0"/>
    <n v="31"/>
    <n v="1"/>
    <n v="7.8"/>
    <n v="18"/>
    <n v="0"/>
    <n v="0"/>
    <n v="72.8"/>
    <n v="7"/>
    <s v="MIW"/>
    <s v="MIW"/>
    <s v="Arun Jaitley Stadium"/>
    <n v="118"/>
    <n v="5.9"/>
    <n v="17"/>
    <n v="34"/>
    <n v="63"/>
    <s v="Failed"/>
    <n v="0"/>
    <n v="38.5"/>
  </r>
  <r>
    <x v="36"/>
    <n v="2"/>
    <s v="P046"/>
    <x v="45"/>
    <x v="4"/>
    <s v="Batting Allrounder"/>
    <s v="Middle Order"/>
    <n v="17"/>
    <n v="15"/>
    <n v="113.33"/>
    <s v="caught"/>
    <n v="15.7"/>
    <n v="0"/>
    <n v="0"/>
    <n v="0"/>
    <n v="0"/>
    <n v="0"/>
    <n v="0"/>
    <n v="0"/>
    <n v="0"/>
    <n v="15.7"/>
    <n v="2"/>
    <s v="MIW"/>
    <s v="MIW"/>
    <s v="Arun Jaitley Stadium"/>
    <n v="118"/>
    <n v="5.9"/>
    <n v="17"/>
    <n v="34"/>
    <n v="63"/>
    <s v="Failed"/>
    <n v="0"/>
    <n v="8.4499999999999993"/>
  </r>
  <r>
    <x v="36"/>
    <n v="2"/>
    <s v="P061"/>
    <x v="60"/>
    <x v="4"/>
    <s v="Bowling Allrounder"/>
    <s v="Middle Order"/>
    <n v="7"/>
    <n v="10"/>
    <n v="70"/>
    <s v="bowled"/>
    <n v="2.4"/>
    <n v="0"/>
    <n v="0"/>
    <n v="0"/>
    <n v="0"/>
    <n v="0"/>
    <n v="0"/>
    <n v="0"/>
    <n v="0"/>
    <n v="2.4"/>
    <n v="0"/>
    <s v="MIW"/>
    <s v="MIW"/>
    <s v="Arun Jaitley Stadium"/>
    <n v="118"/>
    <n v="5.9"/>
    <n v="17"/>
    <n v="34"/>
    <n v="63"/>
    <s v="Failed"/>
    <n v="0"/>
    <n v="1.2"/>
  </r>
  <r>
    <x v="36"/>
    <n v="2"/>
    <s v="P053"/>
    <x v="52"/>
    <x v="4"/>
    <s v="Bowler"/>
    <s v="Middle Order"/>
    <n v="0"/>
    <n v="1"/>
    <n v="0"/>
    <s v="caught"/>
    <n v="-5"/>
    <n v="4"/>
    <n v="0"/>
    <n v="30"/>
    <n v="0"/>
    <n v="7.5"/>
    <n v="5"/>
    <n v="0"/>
    <n v="0"/>
    <n v="0"/>
    <n v="0"/>
    <s v="MIW"/>
    <s v="MIW"/>
    <s v="Arun Jaitley Stadium"/>
    <n v="118"/>
    <n v="5.9"/>
    <n v="17"/>
    <n v="34"/>
    <n v="63"/>
    <s v="Failed"/>
    <n v="0"/>
    <n v="0"/>
  </r>
  <r>
    <x v="36"/>
    <n v="2"/>
    <s v="P092"/>
    <x v="92"/>
    <x v="4"/>
    <s v="WK-Batter"/>
    <s v="Middle Order"/>
    <n v="8"/>
    <n v="10"/>
    <n v="80"/>
    <s v="caught"/>
    <n v="6"/>
    <n v="0"/>
    <n v="0"/>
    <n v="0"/>
    <n v="0"/>
    <n v="0"/>
    <n v="0"/>
    <n v="0"/>
    <n v="0"/>
    <n v="6"/>
    <n v="1"/>
    <s v="MIW"/>
    <s v="MIW"/>
    <s v="Arun Jaitley Stadium"/>
    <n v="118"/>
    <n v="5.9"/>
    <n v="17"/>
    <n v="34"/>
    <n v="63"/>
    <s v="Failed"/>
    <n v="0"/>
    <n v="3.3"/>
  </r>
  <r>
    <x v="36"/>
    <n v="2"/>
    <s v="P076"/>
    <x v="77"/>
    <x v="4"/>
    <s v="Bowling Allrounder"/>
    <s v="Middle Order"/>
    <n v="0"/>
    <n v="1"/>
    <n v="0"/>
    <s v="caught"/>
    <n v="-5"/>
    <n v="2"/>
    <n v="0"/>
    <n v="19"/>
    <n v="1"/>
    <n v="9.5"/>
    <n v="18"/>
    <n v="0"/>
    <n v="0"/>
    <n v="13"/>
    <n v="1"/>
    <s v="MIW"/>
    <s v="MIW"/>
    <s v="Arun Jaitley Stadium"/>
    <n v="118"/>
    <n v="5.9"/>
    <n v="17"/>
    <n v="34"/>
    <n v="63"/>
    <s v="Failed"/>
    <n v="0"/>
    <n v="6.8"/>
  </r>
  <r>
    <x v="36"/>
    <n v="2"/>
    <s v="P055"/>
    <x v="54"/>
    <x v="4"/>
    <s v="Bowler"/>
    <s v="Middle Order"/>
    <n v="1"/>
    <n v="2"/>
    <n v="50"/>
    <s v="not out"/>
    <n v="2"/>
    <n v="3"/>
    <n v="0"/>
    <n v="34"/>
    <n v="1"/>
    <n v="11.3"/>
    <n v="18"/>
    <n v="0"/>
    <n v="0"/>
    <n v="20"/>
    <n v="2"/>
    <s v="MIW"/>
    <s v="MIW"/>
    <s v="Arun Jaitley Stadium"/>
    <n v="118"/>
    <n v="5.9"/>
    <n v="17"/>
    <n v="34"/>
    <n v="63"/>
    <s v="Failed"/>
    <n v="0"/>
    <n v="10.6"/>
  </r>
  <r>
    <x v="37"/>
    <n v="2"/>
    <s v="P045"/>
    <x v="44"/>
    <x v="4"/>
    <s v="WK-Batter"/>
    <s v="Opener"/>
    <n v="29"/>
    <n v="30"/>
    <n v="96.67"/>
    <s v="caught"/>
    <n v="20.8"/>
    <n v="0"/>
    <n v="0"/>
    <n v="0"/>
    <n v="0"/>
    <n v="0"/>
    <n v="0"/>
    <n v="0"/>
    <n v="0"/>
    <n v="20.8"/>
    <n v="2"/>
    <s v="UPW"/>
    <s v="UPW"/>
    <s v="Arun Jaitley Stadium"/>
    <n v="138"/>
    <n v="6.9"/>
    <n v="44"/>
    <n v="29"/>
    <n v="40"/>
    <s v="NA"/>
    <n v="1"/>
    <n v="31"/>
  </r>
  <r>
    <x v="37"/>
    <n v="2"/>
    <s v="P051"/>
    <x v="50"/>
    <x v="4"/>
    <s v="Batter"/>
    <s v="Opener"/>
    <n v="5"/>
    <n v="5"/>
    <n v="100"/>
    <s v="bowled"/>
    <n v="7.5"/>
    <n v="0"/>
    <n v="0"/>
    <n v="0"/>
    <n v="0"/>
    <n v="0"/>
    <n v="0"/>
    <n v="0"/>
    <n v="0"/>
    <n v="7.5"/>
    <n v="1"/>
    <s v="UPW"/>
    <s v="UPW"/>
    <s v="Arun Jaitley Stadium"/>
    <n v="138"/>
    <n v="6.9"/>
    <n v="44"/>
    <n v="29"/>
    <n v="40"/>
    <s v="NA"/>
    <n v="1"/>
    <n v="24.05"/>
  </r>
  <r>
    <x v="37"/>
    <n v="2"/>
    <s v="P048"/>
    <x v="47"/>
    <x v="4"/>
    <s v="Allrounder"/>
    <s v="Top Order"/>
    <n v="59"/>
    <n v="48"/>
    <n v="122.92"/>
    <s v="caught"/>
    <n v="66.2"/>
    <n v="4"/>
    <n v="0"/>
    <n v="19"/>
    <n v="4"/>
    <n v="4.8"/>
    <n v="110"/>
    <n v="0"/>
    <n v="0"/>
    <n v="176.2"/>
    <n v="10"/>
    <s v="UPW"/>
    <s v="UPW"/>
    <s v="Arun Jaitley Stadium"/>
    <n v="138"/>
    <n v="6.9"/>
    <n v="44"/>
    <n v="29"/>
    <n v="40"/>
    <s v="NA"/>
    <n v="1"/>
    <n v="111.1"/>
  </r>
  <r>
    <x v="37"/>
    <n v="2"/>
    <s v="P047"/>
    <x v="46"/>
    <x v="4"/>
    <s v="Allrounder"/>
    <s v="Top Order"/>
    <n v="3"/>
    <n v="4"/>
    <n v="75"/>
    <s v="bowled"/>
    <n v="3.4"/>
    <n v="2"/>
    <n v="0"/>
    <n v="19"/>
    <n v="0"/>
    <n v="9.5"/>
    <n v="0"/>
    <n v="0"/>
    <n v="0"/>
    <n v="3.4"/>
    <n v="0"/>
    <s v="UPW"/>
    <s v="UPW"/>
    <s v="Arun Jaitley Stadium"/>
    <n v="138"/>
    <n v="6.9"/>
    <n v="44"/>
    <n v="29"/>
    <n v="40"/>
    <s v="NA"/>
    <n v="1"/>
    <n v="21.7"/>
  </r>
  <r>
    <x v="37"/>
    <n v="2"/>
    <s v="P049"/>
    <x v="48"/>
    <x v="4"/>
    <s v="Allrounder"/>
    <s v="Middle Order"/>
    <n v="14"/>
    <n v="12"/>
    <n v="116.67"/>
    <s v="caught"/>
    <n v="16.5"/>
    <n v="0.5"/>
    <n v="0"/>
    <n v="8"/>
    <n v="2"/>
    <n v="9.6"/>
    <n v="60"/>
    <n v="0"/>
    <n v="0"/>
    <n v="76.5"/>
    <n v="8"/>
    <s v="UPW"/>
    <s v="UPW"/>
    <s v="Arun Jaitley Stadium"/>
    <n v="138"/>
    <n v="6.9"/>
    <n v="44"/>
    <n v="29"/>
    <n v="40"/>
    <s v="NA"/>
    <n v="1"/>
    <n v="60.65"/>
  </r>
  <r>
    <x v="37"/>
    <n v="2"/>
    <s v="P046"/>
    <x v="45"/>
    <x v="4"/>
    <s v="Batter"/>
    <s v="Middle Order"/>
    <n v="4"/>
    <n v="3"/>
    <n v="133.33000000000001"/>
    <s v="bowled"/>
    <n v="5.6"/>
    <n v="0"/>
    <n v="0"/>
    <n v="0"/>
    <n v="0"/>
    <n v="0"/>
    <n v="0"/>
    <n v="0"/>
    <n v="0"/>
    <n v="5.6"/>
    <n v="1"/>
    <s v="UPW"/>
    <s v="UPW"/>
    <s v="Arun Jaitley Stadium"/>
    <n v="138"/>
    <n v="6.9"/>
    <n v="44"/>
    <n v="29"/>
    <n v="40"/>
    <s v="NA"/>
    <n v="1"/>
    <n v="23.1"/>
  </r>
  <r>
    <x v="37"/>
    <n v="2"/>
    <s v="P061"/>
    <x v="60"/>
    <x v="4"/>
    <s v="Allrounder"/>
    <s v="Middle Order"/>
    <n v="1"/>
    <n v="4"/>
    <n v="25"/>
    <s v="caught"/>
    <n v="-5"/>
    <n v="0"/>
    <n v="0"/>
    <n v="0"/>
    <n v="0"/>
    <n v="0"/>
    <n v="0"/>
    <n v="0"/>
    <n v="0"/>
    <n v="0"/>
    <n v="0"/>
    <s v="UPW"/>
    <s v="UPW"/>
    <s v="Arun Jaitley Stadium"/>
    <n v="138"/>
    <n v="6.9"/>
    <n v="44"/>
    <n v="29"/>
    <n v="40"/>
    <s v="NA"/>
    <n v="1"/>
    <n v="20"/>
  </r>
  <r>
    <x v="37"/>
    <n v="2"/>
    <s v="P053"/>
    <x v="52"/>
    <x v="4"/>
    <s v="Bowler"/>
    <s v="Middle Order"/>
    <n v="8"/>
    <n v="7"/>
    <n v="114.29"/>
    <s v="stumped"/>
    <n v="9.6"/>
    <n v="4"/>
    <n v="0"/>
    <n v="15"/>
    <n v="1"/>
    <n v="3.8"/>
    <n v="35"/>
    <n v="0"/>
    <n v="0"/>
    <n v="44.6"/>
    <n v="4"/>
    <s v="UPW"/>
    <s v="UPW"/>
    <s v="Arun Jaitley Stadium"/>
    <n v="138"/>
    <n v="6.9"/>
    <n v="44"/>
    <n v="29"/>
    <n v="40"/>
    <s v="NA"/>
    <n v="1"/>
    <n v="43.5"/>
  </r>
  <r>
    <x v="37"/>
    <n v="2"/>
    <s v="P076"/>
    <x v="77"/>
    <x v="4"/>
    <s v="Allrounder"/>
    <s v="Middle Order"/>
    <n v="5"/>
    <n v="7"/>
    <n v="71.430000000000007"/>
    <s v="not out"/>
    <n v="6.3"/>
    <n v="4"/>
    <n v="0"/>
    <n v="30"/>
    <n v="2"/>
    <n v="7.5"/>
    <n v="50"/>
    <n v="0"/>
    <n v="0"/>
    <n v="56.3"/>
    <n v="6"/>
    <s v="UPW"/>
    <s v="UPW"/>
    <s v="Arun Jaitley Stadium"/>
    <n v="138"/>
    <n v="6.9"/>
    <n v="44"/>
    <n v="29"/>
    <n v="40"/>
    <s v="NA"/>
    <n v="1"/>
    <n v="49.95"/>
  </r>
  <r>
    <x v="37"/>
    <n v="2"/>
    <s v="P082"/>
    <x v="83"/>
    <x v="4"/>
    <s v="Bowler"/>
    <s v="Middle Order"/>
    <n v="1"/>
    <n v="1"/>
    <n v="100"/>
    <s v="not out"/>
    <n v="5"/>
    <n v="3"/>
    <n v="0"/>
    <n v="29"/>
    <n v="0"/>
    <n v="9.6999999999999993"/>
    <n v="0"/>
    <n v="0"/>
    <n v="0"/>
    <n v="5"/>
    <n v="1"/>
    <s v="UPW"/>
    <s v="UPW"/>
    <s v="Arun Jaitley Stadium"/>
    <n v="138"/>
    <n v="6.9"/>
    <n v="44"/>
    <n v="29"/>
    <n v="40"/>
    <s v="NA"/>
    <n v="1"/>
    <n v="22.8"/>
  </r>
  <r>
    <x v="37"/>
    <n v="2"/>
    <s v="P055"/>
    <x v="54"/>
    <x v="4"/>
    <s v="Bowler"/>
    <s v="DNB"/>
    <n v="0"/>
    <n v="0"/>
    <n v="0"/>
    <s v="DNB"/>
    <n v="0"/>
    <n v="2"/>
    <n v="0"/>
    <n v="17"/>
    <n v="0"/>
    <n v="8.5"/>
    <n v="0"/>
    <n v="0"/>
    <n v="0"/>
    <n v="0"/>
    <n v="0"/>
    <s v="UPW"/>
    <s v="UPW"/>
    <s v="Arun Jaitley Stadium"/>
    <n v="138"/>
    <n v="6.9"/>
    <n v="44"/>
    <n v="29"/>
    <n v="40"/>
    <s v="NA"/>
    <n v="1"/>
    <n v="20"/>
  </r>
  <r>
    <x v="37"/>
    <n v="2"/>
    <s v="P035"/>
    <x v="34"/>
    <x v="3"/>
    <s v="Batter"/>
    <s v="Opener"/>
    <n v="60"/>
    <n v="46"/>
    <n v="130.43"/>
    <s v="lbw"/>
    <n v="64.7"/>
    <n v="0"/>
    <n v="0"/>
    <n v="0"/>
    <n v="0"/>
    <n v="0"/>
    <n v="0"/>
    <n v="0"/>
    <n v="0"/>
    <n v="64.7"/>
    <n v="6"/>
    <s v="UPW"/>
    <s v="UPW"/>
    <s v="Arun Jaitley Stadium"/>
    <n v="137"/>
    <n v="6.91"/>
    <n v="35"/>
    <n v="26"/>
    <n v="48"/>
    <s v="Failed"/>
    <n v="0"/>
    <n v="34.15"/>
  </r>
  <r>
    <x v="37"/>
    <n v="2"/>
    <s v="P034"/>
    <x v="33"/>
    <x v="3"/>
    <s v="Batter"/>
    <s v="Opener"/>
    <n v="15"/>
    <n v="12"/>
    <n v="125"/>
    <s v="bowled"/>
    <n v="16.5"/>
    <n v="0"/>
    <n v="0"/>
    <n v="0"/>
    <n v="0"/>
    <n v="0"/>
    <n v="0"/>
    <n v="0"/>
    <n v="0"/>
    <n v="16.5"/>
    <n v="2"/>
    <s v="UPW"/>
    <s v="UPW"/>
    <s v="Arun Jaitley Stadium"/>
    <n v="137"/>
    <n v="6.91"/>
    <n v="35"/>
    <n v="26"/>
    <n v="48"/>
    <s v="Failed"/>
    <n v="0"/>
    <n v="8.85"/>
  </r>
  <r>
    <x v="37"/>
    <n v="2"/>
    <s v="P038"/>
    <x v="37"/>
    <x v="3"/>
    <s v="Batter"/>
    <s v="Top Order"/>
    <n v="15"/>
    <n v="23"/>
    <n v="65.22"/>
    <s v="caught"/>
    <n v="4.5"/>
    <n v="1"/>
    <n v="0"/>
    <n v="5"/>
    <n v="1"/>
    <n v="5"/>
    <n v="35"/>
    <n v="0"/>
    <n v="0"/>
    <n v="39.5"/>
    <n v="4"/>
    <s v="UPW"/>
    <s v="UPW"/>
    <s v="Arun Jaitley Stadium"/>
    <n v="137"/>
    <n v="6.91"/>
    <n v="35"/>
    <n v="26"/>
    <n v="48"/>
    <s v="Failed"/>
    <n v="0"/>
    <n v="20.95"/>
  </r>
  <r>
    <x v="37"/>
    <n v="2"/>
    <s v="P037"/>
    <x v="36"/>
    <x v="3"/>
    <s v="Batter"/>
    <s v="Top Order"/>
    <n v="17"/>
    <n v="15"/>
    <n v="113.33"/>
    <s v="caught"/>
    <n v="18.100000000000001"/>
    <n v="0"/>
    <n v="0"/>
    <n v="0"/>
    <n v="0"/>
    <n v="0"/>
    <n v="0"/>
    <n v="0"/>
    <n v="0"/>
    <n v="18.100000000000001"/>
    <n v="2"/>
    <s v="UPW"/>
    <s v="UPW"/>
    <s v="Arun Jaitley Stadium"/>
    <n v="137"/>
    <n v="6.91"/>
    <n v="35"/>
    <n v="26"/>
    <n v="48"/>
    <s v="Failed"/>
    <n v="0"/>
    <n v="9.65"/>
  </r>
  <r>
    <x v="37"/>
    <n v="2"/>
    <s v="P005"/>
    <x v="4"/>
    <x v="3"/>
    <s v="Allrounder"/>
    <s v="Middle Order"/>
    <n v="6"/>
    <n v="9"/>
    <n v="66.67"/>
    <s v="bowled"/>
    <n v="3"/>
    <n v="2"/>
    <n v="0"/>
    <n v="12"/>
    <n v="0"/>
    <n v="6"/>
    <n v="10"/>
    <n v="0"/>
    <n v="0"/>
    <n v="13"/>
    <n v="1"/>
    <s v="UPW"/>
    <s v="UPW"/>
    <s v="Arun Jaitley Stadium"/>
    <n v="137"/>
    <n v="6.91"/>
    <n v="35"/>
    <n v="26"/>
    <n v="48"/>
    <s v="Failed"/>
    <n v="0"/>
    <n v="6.8"/>
  </r>
  <r>
    <x v="37"/>
    <n v="2"/>
    <s v="P039"/>
    <x v="38"/>
    <x v="3"/>
    <s v="Bowler"/>
    <s v="Middle Order"/>
    <n v="11"/>
    <n v="5"/>
    <n v="220"/>
    <s v="run out"/>
    <n v="18"/>
    <n v="4"/>
    <n v="0"/>
    <n v="31"/>
    <n v="1"/>
    <n v="7.8"/>
    <n v="25"/>
    <n v="0"/>
    <n v="0"/>
    <n v="43"/>
    <n v="4"/>
    <s v="UPW"/>
    <s v="UPW"/>
    <s v="Arun Jaitley Stadium"/>
    <n v="137"/>
    <n v="6.91"/>
    <n v="35"/>
    <n v="26"/>
    <n v="48"/>
    <s v="Failed"/>
    <n v="0"/>
    <n v="22.7"/>
  </r>
  <r>
    <x v="37"/>
    <n v="2"/>
    <s v="P041"/>
    <x v="40"/>
    <x v="3"/>
    <s v="Bowler"/>
    <s v="Middle Order"/>
    <n v="0"/>
    <n v="1"/>
    <n v="0"/>
    <s v="caught"/>
    <n v="-5"/>
    <n v="3"/>
    <n v="0"/>
    <n v="15"/>
    <n v="1"/>
    <n v="5"/>
    <n v="35"/>
    <n v="0"/>
    <n v="0"/>
    <n v="30"/>
    <n v="3"/>
    <s v="UPW"/>
    <s v="UPW"/>
    <s v="Arun Jaitley Stadium"/>
    <n v="137"/>
    <n v="6.91"/>
    <n v="35"/>
    <n v="26"/>
    <n v="48"/>
    <s v="Failed"/>
    <n v="0"/>
    <n v="15.9"/>
  </r>
  <r>
    <x v="37"/>
    <n v="2"/>
    <s v="P042"/>
    <x v="41"/>
    <x v="3"/>
    <s v="Bowler"/>
    <s v="Middle Order"/>
    <n v="4"/>
    <n v="2"/>
    <n v="200"/>
    <s v="caught"/>
    <n v="8.6"/>
    <n v="4"/>
    <n v="0"/>
    <n v="34"/>
    <n v="1"/>
    <n v="8.5"/>
    <n v="25"/>
    <n v="0"/>
    <n v="0"/>
    <n v="33.6"/>
    <n v="3"/>
    <s v="UPW"/>
    <s v="UPW"/>
    <s v="Arun Jaitley Stadium"/>
    <n v="137"/>
    <n v="6.91"/>
    <n v="35"/>
    <n v="26"/>
    <n v="48"/>
    <s v="Failed"/>
    <n v="0"/>
    <n v="17.7"/>
  </r>
  <r>
    <x v="37"/>
    <n v="2"/>
    <s v="P043"/>
    <x v="42"/>
    <x v="3"/>
    <s v="Bowler"/>
    <s v="Middle Order"/>
    <n v="9"/>
    <n v="4"/>
    <n v="225"/>
    <s v="bowled"/>
    <n v="16.2"/>
    <n v="3"/>
    <n v="0"/>
    <n v="16"/>
    <n v="2"/>
    <n v="5.3"/>
    <n v="60"/>
    <n v="0"/>
    <n v="0"/>
    <n v="76.2"/>
    <n v="8"/>
    <s v="UPW"/>
    <s v="UPW"/>
    <s v="Arun Jaitley Stadium"/>
    <n v="137"/>
    <n v="6.91"/>
    <n v="35"/>
    <n v="26"/>
    <n v="48"/>
    <s v="Failed"/>
    <n v="0"/>
    <n v="40.5"/>
  </r>
  <r>
    <x v="37"/>
    <n v="2"/>
    <s v="P040"/>
    <x v="39"/>
    <x v="3"/>
    <s v="WK-Batter"/>
    <s v="Middle Order"/>
    <n v="0"/>
    <n v="1"/>
    <n v="0"/>
    <s v="not out"/>
    <n v="5"/>
    <n v="0"/>
    <n v="0"/>
    <n v="0"/>
    <n v="0"/>
    <n v="0"/>
    <n v="0"/>
    <n v="0"/>
    <n v="0"/>
    <n v="5"/>
    <n v="1"/>
    <s v="UPW"/>
    <s v="UPW"/>
    <s v="Arun Jaitley Stadium"/>
    <n v="137"/>
    <n v="6.91"/>
    <n v="35"/>
    <n v="26"/>
    <n v="48"/>
    <s v="Failed"/>
    <n v="0"/>
    <n v="2.8"/>
  </r>
  <r>
    <x v="37"/>
    <n v="2"/>
    <s v="P088"/>
    <x v="87"/>
    <x v="3"/>
    <s v="Bowler"/>
    <s v="Middle Order"/>
    <n v="0"/>
    <n v="1"/>
    <n v="0"/>
    <s v="caught"/>
    <n v="-5"/>
    <n v="3"/>
    <n v="0"/>
    <n v="23"/>
    <n v="1"/>
    <n v="7.7"/>
    <n v="25"/>
    <n v="0"/>
    <n v="0"/>
    <n v="20"/>
    <n v="2"/>
    <s v="UPW"/>
    <s v="UPW"/>
    <s v="Arun Jaitley Stadium"/>
    <n v="137"/>
    <n v="6.91"/>
    <n v="35"/>
    <n v="26"/>
    <n v="48"/>
    <s v="Failed"/>
    <n v="0"/>
    <n v="10.6"/>
  </r>
  <r>
    <x v="38"/>
    <n v="2"/>
    <s v="P066"/>
    <x v="65"/>
    <x v="0"/>
    <s v="Batter"/>
    <s v="Opener"/>
    <n v="13"/>
    <n v="14"/>
    <n v="92.86"/>
    <s v="caught"/>
    <n v="17.899999999999999"/>
    <n v="0"/>
    <n v="0"/>
    <n v="0"/>
    <n v="0"/>
    <n v="0"/>
    <n v="0"/>
    <n v="0"/>
    <n v="0"/>
    <n v="17.899999999999999"/>
    <n v="2"/>
    <s v="MIW"/>
    <s v="GGTW"/>
    <s v="Arun Jaitley Stadium"/>
    <n v="190"/>
    <n v="9.5"/>
    <n v="52"/>
    <n v="30"/>
    <n v="34"/>
    <s v="NA"/>
    <n v="0"/>
    <n v="9.5499999999999989"/>
  </r>
  <r>
    <x v="38"/>
    <n v="2"/>
    <s v="P001"/>
    <x v="0"/>
    <x v="0"/>
    <s v="WK-Batter"/>
    <s v="Opener"/>
    <n v="66"/>
    <n v="35"/>
    <n v="188.57"/>
    <s v="bowled"/>
    <n v="77.400000000000006"/>
    <n v="0"/>
    <n v="0"/>
    <n v="0"/>
    <n v="0"/>
    <n v="0"/>
    <n v="0"/>
    <n v="0"/>
    <n v="0"/>
    <n v="77.400000000000006"/>
    <n v="8"/>
    <s v="MIW"/>
    <s v="GGTW"/>
    <s v="Arun Jaitley Stadium"/>
    <n v="190"/>
    <n v="9.5"/>
    <n v="52"/>
    <n v="30"/>
    <n v="34"/>
    <s v="NA"/>
    <n v="0"/>
    <n v="41.1"/>
  </r>
  <r>
    <x v="38"/>
    <n v="2"/>
    <s v="P006"/>
    <x v="5"/>
    <x v="0"/>
    <s v="Batter"/>
    <s v="Top Order"/>
    <n v="74"/>
    <n v="40"/>
    <n v="185"/>
    <s v="caught"/>
    <n v="82.5"/>
    <n v="0"/>
    <n v="0"/>
    <n v="0"/>
    <n v="0"/>
    <n v="0"/>
    <n v="0"/>
    <n v="0"/>
    <n v="0"/>
    <n v="82.5"/>
    <n v="8"/>
    <s v="MIW"/>
    <s v="GGTW"/>
    <s v="Arun Jaitley Stadium"/>
    <n v="190"/>
    <n v="9.5"/>
    <n v="52"/>
    <n v="30"/>
    <n v="34"/>
    <s v="NA"/>
    <n v="0"/>
    <n v="43.65"/>
  </r>
  <r>
    <x v="38"/>
    <n v="2"/>
    <s v="P078"/>
    <x v="79"/>
    <x v="0"/>
    <s v="Batter"/>
    <s v="Middle Order"/>
    <n v="3"/>
    <n v="4"/>
    <n v="75"/>
    <s v="caught"/>
    <n v="2.4"/>
    <n v="0"/>
    <n v="0"/>
    <n v="0"/>
    <n v="0"/>
    <n v="0"/>
    <n v="0"/>
    <n v="0"/>
    <n v="0"/>
    <n v="2.4"/>
    <n v="0"/>
    <s v="MIW"/>
    <s v="GGTW"/>
    <s v="Arun Jaitley Stadium"/>
    <n v="190"/>
    <n v="9.5"/>
    <n v="52"/>
    <n v="30"/>
    <n v="34"/>
    <s v="NA"/>
    <n v="0"/>
    <n v="1.2"/>
  </r>
  <r>
    <x v="38"/>
    <n v="2"/>
    <s v="P004"/>
    <x v="3"/>
    <x v="0"/>
    <s v="Allrounder"/>
    <s v="Middle Order"/>
    <n v="1"/>
    <n v="3"/>
    <n v="33.33"/>
    <s v="bowled"/>
    <n v="1.5"/>
    <n v="3.5"/>
    <n v="0"/>
    <n v="22"/>
    <n v="1"/>
    <n v="5.7"/>
    <n v="15"/>
    <n v="0"/>
    <n v="0"/>
    <n v="16.5"/>
    <n v="2"/>
    <s v="MIW"/>
    <s v="GGTW"/>
    <s v="Arun Jaitley Stadium"/>
    <n v="190"/>
    <n v="9.5"/>
    <n v="52"/>
    <n v="30"/>
    <n v="34"/>
    <s v="NA"/>
    <n v="0"/>
    <n v="8.85"/>
  </r>
  <r>
    <x v="38"/>
    <n v="2"/>
    <s v="P093"/>
    <x v="93"/>
    <x v="0"/>
    <s v="Bowler"/>
    <s v="Middle Order"/>
    <n v="21"/>
    <n v="13"/>
    <n v="161.54"/>
    <s v="not out"/>
    <n v="43.3"/>
    <n v="0"/>
    <n v="0"/>
    <n v="0"/>
    <n v="0"/>
    <n v="0"/>
    <n v="0"/>
    <n v="0"/>
    <n v="0"/>
    <n v="43.3"/>
    <n v="4"/>
    <s v="MIW"/>
    <s v="GGTW"/>
    <s v="Arun Jaitley Stadium"/>
    <n v="190"/>
    <n v="9.5"/>
    <n v="52"/>
    <n v="30"/>
    <n v="34"/>
    <s v="NA"/>
    <n v="0"/>
    <n v="22.849999999999998"/>
  </r>
  <r>
    <x v="38"/>
    <n v="2"/>
    <s v="P079"/>
    <x v="80"/>
    <x v="0"/>
    <s v="Allrounder"/>
    <s v="Middle Order"/>
    <n v="7"/>
    <n v="8"/>
    <n v="87.5"/>
    <s v="run out"/>
    <n v="10"/>
    <n v="2"/>
    <n v="0"/>
    <n v="24"/>
    <n v="0"/>
    <n v="12"/>
    <n v="0"/>
    <n v="0"/>
    <n v="0"/>
    <n v="10"/>
    <n v="1"/>
    <s v="MIW"/>
    <s v="GGTW"/>
    <s v="Arun Jaitley Stadium"/>
    <n v="190"/>
    <n v="9.5"/>
    <n v="52"/>
    <n v="30"/>
    <n v="34"/>
    <s v="NA"/>
    <n v="0"/>
    <n v="5.3"/>
  </r>
  <r>
    <x v="38"/>
    <n v="2"/>
    <s v="P008"/>
    <x v="7"/>
    <x v="0"/>
    <s v="Bowler"/>
    <s v="Middle Order"/>
    <n v="1"/>
    <n v="2"/>
    <n v="50"/>
    <s v="caught"/>
    <n v="1.5"/>
    <n v="4"/>
    <n v="0"/>
    <n v="48"/>
    <n v="0"/>
    <n v="12"/>
    <n v="0"/>
    <n v="0"/>
    <n v="0"/>
    <n v="1.5"/>
    <n v="0"/>
    <s v="MIW"/>
    <s v="GGTW"/>
    <s v="Arun Jaitley Stadium"/>
    <n v="190"/>
    <n v="9.5"/>
    <n v="52"/>
    <n v="30"/>
    <n v="34"/>
    <s v="NA"/>
    <n v="0"/>
    <n v="0.75"/>
  </r>
  <r>
    <x v="38"/>
    <n v="2"/>
    <s v="P009"/>
    <x v="8"/>
    <x v="0"/>
    <s v="Bowler"/>
    <s v="Middle Order"/>
    <n v="0"/>
    <n v="1"/>
    <n v="0"/>
    <s v="not out"/>
    <n v="5"/>
    <n v="4"/>
    <n v="0"/>
    <n v="21"/>
    <n v="1"/>
    <n v="5.2"/>
    <n v="15"/>
    <n v="0"/>
    <n v="0"/>
    <n v="20"/>
    <n v="2"/>
    <s v="MIW"/>
    <s v="GGTW"/>
    <s v="Arun Jaitley Stadium"/>
    <n v="190"/>
    <n v="9.5"/>
    <n v="52"/>
    <n v="30"/>
    <n v="34"/>
    <s v="NA"/>
    <n v="0"/>
    <n v="10.6"/>
  </r>
  <r>
    <x v="38"/>
    <n v="2"/>
    <s v="P081"/>
    <x v="82"/>
    <x v="0"/>
    <s v="Bowling Allrounder"/>
    <s v="DNB"/>
    <n v="0"/>
    <n v="0"/>
    <n v="0"/>
    <s v="DNB"/>
    <n v="0"/>
    <n v="3"/>
    <n v="0"/>
    <n v="37"/>
    <n v="0"/>
    <n v="12.3"/>
    <n v="0"/>
    <n v="0"/>
    <n v="0"/>
    <n v="0"/>
    <n v="0"/>
    <s v="MIW"/>
    <s v="GGTW"/>
    <s v="Arun Jaitley Stadium"/>
    <n v="190"/>
    <n v="9.5"/>
    <n v="52"/>
    <n v="30"/>
    <n v="34"/>
    <s v="NA"/>
    <n v="0"/>
    <n v="0"/>
  </r>
  <r>
    <x v="38"/>
    <n v="2"/>
    <s v="P091"/>
    <x v="91"/>
    <x v="0"/>
    <s v="Bowler"/>
    <s v="DNB"/>
    <n v="0"/>
    <n v="0"/>
    <n v="0"/>
    <s v="DNB"/>
    <n v="0"/>
    <n v="3"/>
    <n v="0"/>
    <n v="31"/>
    <n v="1"/>
    <n v="10.3"/>
    <n v="15"/>
    <n v="0"/>
    <n v="0"/>
    <n v="15"/>
    <n v="2"/>
    <s v="MIW"/>
    <s v="GGTW"/>
    <s v="Arun Jaitley Stadium"/>
    <n v="190"/>
    <n v="9.5"/>
    <n v="52"/>
    <n v="30"/>
    <n v="34"/>
    <s v="NA"/>
    <n v="0"/>
    <n v="8.1"/>
  </r>
  <r>
    <x v="38"/>
    <n v="2"/>
    <s v="P013"/>
    <x v="12"/>
    <x v="1"/>
    <s v="WK-Batter"/>
    <s v="Opener"/>
    <n v="49"/>
    <n v="36"/>
    <n v="136.11000000000001"/>
    <s v="caught"/>
    <n v="54.9"/>
    <n v="0"/>
    <n v="0"/>
    <n v="0"/>
    <n v="0"/>
    <n v="0"/>
    <n v="0"/>
    <n v="0"/>
    <n v="0"/>
    <n v="54.9"/>
    <n v="5"/>
    <s v="MIW"/>
    <s v="GGTW"/>
    <s v="Arun Jaitley Stadium"/>
    <n v="191"/>
    <n v="9.6300000000000008"/>
    <n v="50"/>
    <n v="65"/>
    <n v="43"/>
    <s v="Successful"/>
    <n v="1"/>
    <n v="48.95"/>
  </r>
  <r>
    <x v="38"/>
    <n v="2"/>
    <s v="P012"/>
    <x v="11"/>
    <x v="1"/>
    <s v="Allrounder"/>
    <s v="Opener"/>
    <n v="18"/>
    <n v="21"/>
    <n v="85.71"/>
    <s v="caught"/>
    <n v="18.399999999999999"/>
    <n v="3"/>
    <n v="0"/>
    <n v="22"/>
    <n v="1"/>
    <n v="7.3"/>
    <n v="20"/>
    <n v="0"/>
    <n v="0"/>
    <n v="38.4"/>
    <n v="4"/>
    <s v="MIW"/>
    <s v="GGTW"/>
    <s v="Arun Jaitley Stadium"/>
    <n v="191"/>
    <n v="9.6300000000000008"/>
    <n v="50"/>
    <n v="65"/>
    <n v="43"/>
    <s v="Successful"/>
    <n v="1"/>
    <n v="40.4"/>
  </r>
  <r>
    <x v="38"/>
    <n v="2"/>
    <s v="P015"/>
    <x v="14"/>
    <x v="1"/>
    <s v="Allrounder"/>
    <s v="Top Order"/>
    <n v="2"/>
    <n v="4"/>
    <n v="50"/>
    <s v="caught"/>
    <n v="1"/>
    <n v="2"/>
    <n v="0"/>
    <n v="23"/>
    <n v="0"/>
    <n v="11.5"/>
    <n v="0"/>
    <n v="0"/>
    <n v="0"/>
    <n v="1"/>
    <n v="0"/>
    <s v="MIW"/>
    <s v="GGTW"/>
    <s v="Arun Jaitley Stadium"/>
    <n v="191"/>
    <n v="9.6300000000000008"/>
    <n v="50"/>
    <n v="65"/>
    <n v="43"/>
    <s v="Successful"/>
    <n v="1"/>
    <n v="20.5"/>
  </r>
  <r>
    <x v="38"/>
    <n v="2"/>
    <s v="P014"/>
    <x v="13"/>
    <x v="1"/>
    <s v="Allrounder"/>
    <s v="Middle Order"/>
    <n v="95"/>
    <n v="48"/>
    <n v="197.92"/>
    <s v="not out"/>
    <n v="118.6"/>
    <n v="0"/>
    <n v="0"/>
    <n v="0"/>
    <n v="0"/>
    <n v="0"/>
    <n v="0"/>
    <n v="0"/>
    <n v="0"/>
    <n v="118.6"/>
    <n v="10"/>
    <s v="MIW"/>
    <s v="GGTW"/>
    <s v="Arun Jaitley Stadium"/>
    <n v="191"/>
    <n v="9.6300000000000008"/>
    <n v="50"/>
    <n v="65"/>
    <n v="43"/>
    <s v="Successful"/>
    <n v="1"/>
    <n v="82.3"/>
  </r>
  <r>
    <x v="38"/>
    <n v="2"/>
    <s v="P016"/>
    <x v="15"/>
    <x v="1"/>
    <s v="Allrounder"/>
    <s v="Middle Order"/>
    <n v="12"/>
    <n v="10"/>
    <n v="120"/>
    <s v="not out"/>
    <n v="15.2"/>
    <n v="1"/>
    <n v="0"/>
    <n v="15"/>
    <n v="0"/>
    <n v="15"/>
    <n v="0"/>
    <n v="0"/>
    <n v="0"/>
    <n v="15.2"/>
    <n v="2"/>
    <s v="MIW"/>
    <s v="GGTW"/>
    <s v="Arun Jaitley Stadium"/>
    <n v="191"/>
    <n v="9.6300000000000008"/>
    <n v="50"/>
    <n v="65"/>
    <n v="43"/>
    <s v="Successful"/>
    <n v="1"/>
    <n v="28.2"/>
  </r>
  <r>
    <x v="38"/>
    <n v="2"/>
    <s v="P018"/>
    <x v="17"/>
    <x v="1"/>
    <s v="Allrounder"/>
    <s v="Middle Order"/>
    <n v="0"/>
    <n v="0"/>
    <n v="0"/>
    <s v="DNB"/>
    <n v="0"/>
    <n v="4"/>
    <n v="0"/>
    <n v="45"/>
    <n v="1"/>
    <n v="11.2"/>
    <n v="15"/>
    <n v="0"/>
    <n v="0"/>
    <n v="15"/>
    <n v="2"/>
    <s v="MIW"/>
    <s v="GGTW"/>
    <s v="Arun Jaitley Stadium"/>
    <n v="191"/>
    <n v="9.6300000000000008"/>
    <n v="50"/>
    <n v="65"/>
    <n v="43"/>
    <s v="Successful"/>
    <n v="1"/>
    <n v="28.1"/>
  </r>
  <r>
    <x v="38"/>
    <n v="2"/>
    <s v="P017"/>
    <x v="16"/>
    <x v="1"/>
    <s v="Allrounder"/>
    <s v="DNB"/>
    <n v="0"/>
    <n v="0"/>
    <n v="0"/>
    <s v="DNB"/>
    <n v="0"/>
    <n v="1"/>
    <n v="0"/>
    <n v="10"/>
    <n v="0"/>
    <n v="10"/>
    <n v="0"/>
    <n v="0"/>
    <n v="0"/>
    <n v="0"/>
    <n v="0"/>
    <s v="MIW"/>
    <s v="GGTW"/>
    <s v="Arun Jaitley Stadium"/>
    <n v="191"/>
    <n v="9.6300000000000008"/>
    <n v="50"/>
    <n v="65"/>
    <n v="43"/>
    <s v="Successful"/>
    <n v="1"/>
    <n v="20"/>
  </r>
  <r>
    <x v="38"/>
    <n v="2"/>
    <s v="P072"/>
    <x v="72"/>
    <x v="1"/>
    <s v="Allrounder"/>
    <s v="DNB"/>
    <n v="0"/>
    <n v="0"/>
    <n v="0"/>
    <s v="DNB"/>
    <n v="0"/>
    <n v="1"/>
    <n v="0"/>
    <n v="11"/>
    <n v="1"/>
    <n v="11"/>
    <n v="15"/>
    <n v="0"/>
    <n v="0"/>
    <n v="15"/>
    <n v="2"/>
    <s v="MIW"/>
    <s v="GGTW"/>
    <s v="Arun Jaitley Stadium"/>
    <n v="191"/>
    <n v="9.6300000000000008"/>
    <n v="50"/>
    <n v="65"/>
    <n v="43"/>
    <s v="Successful"/>
    <n v="1"/>
    <n v="28.1"/>
  </r>
  <r>
    <x v="38"/>
    <n v="2"/>
    <s v="P019"/>
    <x v="18"/>
    <x v="1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MIW"/>
    <s v="GGTW"/>
    <s v="Arun Jaitley Stadium"/>
    <n v="191"/>
    <n v="9.6300000000000008"/>
    <n v="50"/>
    <n v="65"/>
    <n v="43"/>
    <s v="Successful"/>
    <n v="1"/>
    <n v="20"/>
  </r>
  <r>
    <x v="38"/>
    <n v="2"/>
    <s v="P060"/>
    <x v="59"/>
    <x v="1"/>
    <s v="Bowler"/>
    <s v="DNB"/>
    <n v="0"/>
    <n v="0"/>
    <n v="0"/>
    <s v="DNB"/>
    <n v="0"/>
    <n v="4"/>
    <n v="0"/>
    <n v="30"/>
    <n v="1"/>
    <n v="7.5"/>
    <n v="20"/>
    <n v="0"/>
    <n v="0"/>
    <n v="20"/>
    <n v="2"/>
    <s v="MIW"/>
    <s v="GGTW"/>
    <s v="Arun Jaitley Stadium"/>
    <n v="191"/>
    <n v="9.6300000000000008"/>
    <n v="50"/>
    <n v="65"/>
    <n v="43"/>
    <s v="Successful"/>
    <n v="1"/>
    <n v="30.6"/>
  </r>
  <r>
    <x v="38"/>
    <n v="2"/>
    <s v="P022"/>
    <x v="21"/>
    <x v="1"/>
    <s v="Bowler"/>
    <s v="DNB"/>
    <n v="0"/>
    <n v="0"/>
    <n v="0"/>
    <s v="DNB"/>
    <n v="0"/>
    <n v="4"/>
    <n v="0"/>
    <n v="31"/>
    <n v="2"/>
    <n v="7.8"/>
    <n v="40"/>
    <n v="0"/>
    <n v="0"/>
    <n v="40"/>
    <n v="4"/>
    <s v="MIW"/>
    <s v="GGTW"/>
    <s v="Arun Jaitley Stadium"/>
    <n v="191"/>
    <n v="9.6300000000000008"/>
    <n v="50"/>
    <n v="65"/>
    <n v="43"/>
    <s v="Successful"/>
    <n v="1"/>
    <n v="41.2"/>
  </r>
  <r>
    <x v="39"/>
    <n v="2"/>
    <s v="P035"/>
    <x v="34"/>
    <x v="3"/>
    <s v="Batter"/>
    <s v="Opener"/>
    <n v="29"/>
    <n v="26"/>
    <n v="111.54"/>
    <s v="lbw"/>
    <n v="28.6"/>
    <n v="0"/>
    <n v="0"/>
    <n v="0"/>
    <n v="0"/>
    <n v="0"/>
    <n v="0"/>
    <n v="0"/>
    <n v="0"/>
    <n v="28.6"/>
    <n v="3"/>
    <s v="DCW"/>
    <s v="DCW"/>
    <s v="Arun Jaitley Stadium"/>
    <n v="181"/>
    <n v="9.0500000000000007"/>
    <n v="53"/>
    <n v="38"/>
    <n v="34"/>
    <s v="NA"/>
    <n v="1"/>
    <n v="35.200000000000003"/>
  </r>
  <r>
    <x v="39"/>
    <n v="2"/>
    <s v="P034"/>
    <x v="33"/>
    <x v="3"/>
    <s v="Batting Allrounder"/>
    <s v="Opener"/>
    <n v="23"/>
    <n v="18"/>
    <n v="127.78"/>
    <s v="caught"/>
    <n v="26.6"/>
    <n v="0"/>
    <n v="0"/>
    <n v="0"/>
    <n v="0"/>
    <n v="0"/>
    <n v="0"/>
    <n v="0"/>
    <n v="0"/>
    <n v="26.6"/>
    <n v="3"/>
    <s v="DCW"/>
    <s v="DCW"/>
    <s v="Arun Jaitley Stadium"/>
    <n v="181"/>
    <n v="9.0500000000000007"/>
    <n v="53"/>
    <n v="38"/>
    <n v="34"/>
    <s v="NA"/>
    <n v="1"/>
    <n v="34.200000000000003"/>
  </r>
  <r>
    <x v="39"/>
    <n v="2"/>
    <s v="P037"/>
    <x v="36"/>
    <x v="3"/>
    <s v="Batter"/>
    <s v="Middle Order"/>
    <n v="58"/>
    <n v="36"/>
    <n v="161.11000000000001"/>
    <s v="bowled"/>
    <n v="63.4"/>
    <n v="0"/>
    <n v="0"/>
    <n v="0"/>
    <n v="0"/>
    <n v="0"/>
    <n v="0"/>
    <n v="0"/>
    <n v="0"/>
    <n v="63.4"/>
    <n v="6"/>
    <s v="DCW"/>
    <s v="DCW"/>
    <s v="Arun Jaitley Stadium"/>
    <n v="181"/>
    <n v="9.0500000000000007"/>
    <n v="53"/>
    <n v="38"/>
    <n v="34"/>
    <s v="NA"/>
    <n v="1"/>
    <n v="53.5"/>
  </r>
  <r>
    <x v="39"/>
    <n v="2"/>
    <s v="P038"/>
    <x v="37"/>
    <x v="3"/>
    <s v="Batter"/>
    <s v="Middle Order"/>
    <n v="48"/>
    <n v="32"/>
    <n v="150"/>
    <s v="bowled"/>
    <n v="87"/>
    <n v="1"/>
    <n v="0"/>
    <n v="5"/>
    <n v="1"/>
    <n v="5"/>
    <n v="15"/>
    <n v="0"/>
    <n v="0"/>
    <n v="87"/>
    <n v="9"/>
    <s v="DCW"/>
    <s v="DCW"/>
    <s v="Arun Jaitley Stadium"/>
    <n v="181"/>
    <n v="9.0500000000000007"/>
    <n v="53"/>
    <n v="38"/>
    <n v="34"/>
    <s v="NA"/>
    <n v="1"/>
    <n v="66.2"/>
  </r>
  <r>
    <x v="39"/>
    <n v="2"/>
    <s v="P036"/>
    <x v="35"/>
    <x v="3"/>
    <s v="Allrounder"/>
    <s v="Middle Order"/>
    <n v="12"/>
    <n v="6"/>
    <n v="200"/>
    <s v="not out"/>
    <n v="45.8"/>
    <n v="4"/>
    <n v="0"/>
    <n v="30"/>
    <n v="1"/>
    <n v="7.5"/>
    <n v="25"/>
    <n v="0"/>
    <n v="0"/>
    <n v="45.8"/>
    <n v="5"/>
    <s v="DCW"/>
    <s v="DCW"/>
    <s v="Arun Jaitley Stadium"/>
    <n v="181"/>
    <n v="9.0500000000000007"/>
    <n v="53"/>
    <n v="38"/>
    <n v="34"/>
    <s v="NA"/>
    <n v="1"/>
    <n v="44.4"/>
  </r>
  <r>
    <x v="39"/>
    <n v="2"/>
    <s v="P039"/>
    <x v="38"/>
    <x v="3"/>
    <s v="Allrounder"/>
    <s v="Lower Order"/>
    <n v="1"/>
    <n v="2"/>
    <n v="50"/>
    <s v="stumped"/>
    <n v="0"/>
    <n v="3"/>
    <n v="0"/>
    <n v="39"/>
    <n v="0"/>
    <n v="13"/>
    <n v="0"/>
    <n v="0"/>
    <n v="0"/>
    <n v="0"/>
    <n v="0"/>
    <s v="DCW"/>
    <s v="DCW"/>
    <s v="Arun Jaitley Stadium"/>
    <n v="181"/>
    <n v="9.0500000000000007"/>
    <n v="53"/>
    <n v="38"/>
    <n v="34"/>
    <s v="NA"/>
    <n v="1"/>
    <n v="20"/>
  </r>
  <r>
    <x v="39"/>
    <n v="2"/>
    <s v="P043"/>
    <x v="42"/>
    <x v="3"/>
    <s v="Bowler"/>
    <s v="Lower Order"/>
    <n v="1"/>
    <n v="1"/>
    <n v="100"/>
    <s v="not out"/>
    <n v="5"/>
    <n v="4"/>
    <n v="0"/>
    <n v="36"/>
    <n v="0"/>
    <n v="9"/>
    <n v="0"/>
    <n v="0"/>
    <n v="0"/>
    <n v="5"/>
    <n v="1"/>
    <s v="DCW"/>
    <s v="DCW"/>
    <s v="Arun Jaitley Stadium"/>
    <n v="181"/>
    <n v="9.0500000000000007"/>
    <n v="53"/>
    <n v="38"/>
    <n v="34"/>
    <s v="NA"/>
    <n v="1"/>
    <n v="22.8"/>
  </r>
  <r>
    <x v="39"/>
    <n v="2"/>
    <s v="P041"/>
    <x v="40"/>
    <x v="3"/>
    <s v="Bowler"/>
    <s v="DNB"/>
    <n v="0"/>
    <n v="0"/>
    <n v="0"/>
    <s v="DNB"/>
    <n v="25"/>
    <n v="3"/>
    <n v="0"/>
    <n v="24"/>
    <n v="1"/>
    <n v="8"/>
    <n v="25"/>
    <n v="0"/>
    <n v="0"/>
    <n v="25"/>
    <n v="3"/>
    <s v="DCW"/>
    <s v="DCW"/>
    <s v="Arun Jaitley Stadium"/>
    <n v="181"/>
    <n v="9.0500000000000007"/>
    <n v="53"/>
    <n v="38"/>
    <n v="34"/>
    <s v="NA"/>
    <n v="1"/>
    <n v="33.4"/>
  </r>
  <r>
    <x v="39"/>
    <n v="2"/>
    <s v="P042"/>
    <x v="41"/>
    <x v="3"/>
    <s v="Bowler"/>
    <s v="DNB"/>
    <n v="0"/>
    <n v="0"/>
    <n v="0"/>
    <s v="DNB"/>
    <n v="0"/>
    <n v="4"/>
    <n v="0"/>
    <n v="34"/>
    <n v="1"/>
    <n v="8.5"/>
    <n v="20"/>
    <n v="0"/>
    <n v="0"/>
    <n v="25"/>
    <n v="3"/>
    <s v="DCW"/>
    <s v="DCW"/>
    <s v="Arun Jaitley Stadium"/>
    <n v="181"/>
    <n v="9.0500000000000007"/>
    <n v="53"/>
    <n v="38"/>
    <n v="34"/>
    <s v="NA"/>
    <n v="1"/>
    <n v="33.4"/>
  </r>
  <r>
    <x v="39"/>
    <n v="2"/>
    <s v="P040"/>
    <x v="39"/>
    <x v="3"/>
    <s v="WK-Batter"/>
    <s v="DNB"/>
    <n v="0"/>
    <n v="0"/>
    <n v="0"/>
    <s v="DNB"/>
    <n v="0"/>
    <n v="0"/>
    <n v="0"/>
    <n v="0"/>
    <n v="0"/>
    <n v="0"/>
    <n v="0"/>
    <n v="0"/>
    <n v="0"/>
    <n v="0"/>
    <n v="0"/>
    <s v="DCW"/>
    <s v="DCW"/>
    <s v="Arun Jaitley Stadium"/>
    <n v="181"/>
    <n v="9.0500000000000007"/>
    <n v="53"/>
    <n v="38"/>
    <n v="34"/>
    <s v="NA"/>
    <n v="1"/>
    <n v="20"/>
  </r>
  <r>
    <x v="39"/>
    <n v="2"/>
    <s v="P088"/>
    <x v="87"/>
    <x v="3"/>
    <s v="Bowler"/>
    <s v="DNB"/>
    <n v="0"/>
    <n v="0"/>
    <n v="0"/>
    <s v="DNB"/>
    <n v="0"/>
    <n v="1"/>
    <n v="0"/>
    <n v="12"/>
    <n v="0"/>
    <n v="12"/>
    <n v="0"/>
    <n v="0"/>
    <n v="0"/>
    <n v="0"/>
    <n v="0"/>
    <s v="DCW"/>
    <s v="DCW"/>
    <s v="Arun Jaitley Stadium"/>
    <n v="181"/>
    <n v="9.0500000000000007"/>
    <n v="53"/>
    <n v="38"/>
    <n v="34"/>
    <s v="NA"/>
    <n v="1"/>
    <n v="20"/>
  </r>
  <r>
    <x v="39"/>
    <n v="2"/>
    <s v="P023"/>
    <x v="22"/>
    <x v="2"/>
    <s v="Batter"/>
    <s v="Opener"/>
    <n v="5"/>
    <n v="7"/>
    <n v="71.430000000000007"/>
    <s v="lbw"/>
    <n v="2.9"/>
    <n v="0"/>
    <n v="0"/>
    <n v="0"/>
    <n v="0"/>
    <n v="0"/>
    <n v="0"/>
    <n v="0"/>
    <n v="0"/>
    <n v="2.9"/>
    <n v="0"/>
    <s v="DCW"/>
    <s v="DCW"/>
    <s v="Arun Jaitley Stadium"/>
    <n v="180"/>
    <n v="9"/>
    <n v="42"/>
    <n v="43"/>
    <n v="35"/>
    <s v="Failed"/>
    <n v="0"/>
    <n v="1.45"/>
  </r>
  <r>
    <x v="39"/>
    <n v="2"/>
    <s v="P077"/>
    <x v="74"/>
    <x v="2"/>
    <s v="Allrounder"/>
    <s v="Middle Order"/>
    <n v="33"/>
    <n v="30"/>
    <n v="110"/>
    <s v="caught"/>
    <n v="29"/>
    <n v="4"/>
    <n v="0"/>
    <n v="45"/>
    <n v="0"/>
    <n v="11.2"/>
    <n v="0"/>
    <n v="0"/>
    <n v="0"/>
    <n v="29"/>
    <n v="3"/>
    <s v="DCW"/>
    <s v="DCW"/>
    <s v="Arun Jaitley Stadium"/>
    <n v="180"/>
    <n v="9"/>
    <n v="42"/>
    <n v="43"/>
    <n v="35"/>
    <s v="Failed"/>
    <n v="0"/>
    <n v="15.4"/>
  </r>
  <r>
    <x v="39"/>
    <n v="2"/>
    <s v="P027"/>
    <x v="26"/>
    <x v="2"/>
    <s v="Allrounder"/>
    <s v="Middle Order"/>
    <n v="49"/>
    <n v="32"/>
    <n v="153.12"/>
    <s v="run out"/>
    <n v="55"/>
    <n v="0"/>
    <n v="0"/>
    <n v="0"/>
    <n v="0"/>
    <n v="0"/>
    <n v="0"/>
    <n v="0"/>
    <n v="0"/>
    <n v="55"/>
    <n v="6"/>
    <s v="DCW"/>
    <s v="DCW"/>
    <s v="Arun Jaitley Stadium"/>
    <n v="180"/>
    <n v="9"/>
    <n v="42"/>
    <n v="43"/>
    <n v="35"/>
    <s v="Failed"/>
    <n v="0"/>
    <n v="29.3"/>
  </r>
  <r>
    <x v="39"/>
    <n v="2"/>
    <s v="P024"/>
    <x v="23"/>
    <x v="2"/>
    <s v="Allrounder"/>
    <s v="Middle Order"/>
    <n v="26"/>
    <n v="16"/>
    <n v="162.5"/>
    <s v="caught"/>
    <n v="30.1"/>
    <n v="0"/>
    <n v="0"/>
    <n v="0"/>
    <n v="0"/>
    <n v="0"/>
    <n v="0"/>
    <n v="0"/>
    <n v="0"/>
    <n v="30.1"/>
    <n v="3"/>
    <s v="DCW"/>
    <s v="DCW"/>
    <s v="Arun Jaitley Stadium"/>
    <n v="180"/>
    <n v="9"/>
    <n v="42"/>
    <n v="43"/>
    <n v="35"/>
    <s v="Failed"/>
    <n v="0"/>
    <n v="15.950000000000001"/>
  </r>
  <r>
    <x v="39"/>
    <n v="2"/>
    <s v="P028"/>
    <x v="27"/>
    <x v="2"/>
    <s v="WK-Batter"/>
    <s v="Middle Order"/>
    <n v="51"/>
    <n v="29"/>
    <n v="175.86"/>
    <s v="run out"/>
    <n v="60.5"/>
    <n v="0"/>
    <n v="0"/>
    <n v="0"/>
    <n v="0"/>
    <n v="0"/>
    <n v="0"/>
    <n v="0"/>
    <n v="0"/>
    <n v="60.5"/>
    <n v="6"/>
    <s v="DCW"/>
    <s v="DCW"/>
    <s v="Arun Jaitley Stadium"/>
    <n v="180"/>
    <n v="9"/>
    <n v="42"/>
    <n v="43"/>
    <n v="35"/>
    <s v="Failed"/>
    <n v="0"/>
    <n v="32.049999999999997"/>
  </r>
  <r>
    <x v="39"/>
    <n v="2"/>
    <s v="P007"/>
    <x v="6"/>
    <x v="2"/>
    <s v="Allrounder"/>
    <s v="Lower Order"/>
    <n v="12"/>
    <n v="6"/>
    <n v="200"/>
    <s v="caught"/>
    <n v="20.8"/>
    <n v="2"/>
    <n v="0"/>
    <n v="23"/>
    <n v="0"/>
    <n v="11.5"/>
    <n v="0"/>
    <n v="0"/>
    <n v="0"/>
    <n v="20.8"/>
    <n v="2"/>
    <s v="DCW"/>
    <s v="DCW"/>
    <s v="Arun Jaitley Stadium"/>
    <n v="180"/>
    <n v="9"/>
    <n v="42"/>
    <n v="43"/>
    <n v="35"/>
    <s v="Failed"/>
    <n v="0"/>
    <n v="11"/>
  </r>
  <r>
    <x v="39"/>
    <n v="2"/>
    <s v="P026"/>
    <x v="25"/>
    <x v="2"/>
    <s v="Batter"/>
    <s v="Lower Order"/>
    <n v="0"/>
    <n v="0"/>
    <n v="0"/>
    <s v="run out"/>
    <n v="0"/>
    <n v="0"/>
    <n v="0"/>
    <n v="0"/>
    <n v="0"/>
    <n v="0"/>
    <n v="0"/>
    <n v="0"/>
    <n v="0"/>
    <n v="0"/>
    <n v="0"/>
    <s v="DCW"/>
    <s v="DCW"/>
    <s v="Arun Jaitley Stadium"/>
    <n v="180"/>
    <n v="9"/>
    <n v="42"/>
    <n v="43"/>
    <n v="35"/>
    <s v="Failed"/>
    <n v="0"/>
    <n v="0"/>
  </r>
  <r>
    <x v="39"/>
    <n v="2"/>
    <s v="P059"/>
    <x v="58"/>
    <x v="2"/>
    <s v="Allrounder"/>
    <s v="Lower Order"/>
    <n v="0"/>
    <n v="0"/>
    <n v="0"/>
    <s v="not out"/>
    <n v="115"/>
    <n v="4"/>
    <n v="0"/>
    <n v="26"/>
    <n v="4"/>
    <n v="6.5"/>
    <n v="60"/>
    <n v="0"/>
    <n v="0"/>
    <n v="115"/>
    <n v="10"/>
    <s v="DCW"/>
    <s v="DCW"/>
    <s v="Arun Jaitley Stadium"/>
    <n v="180"/>
    <n v="9"/>
    <n v="42"/>
    <n v="43"/>
    <n v="35"/>
    <s v="Failed"/>
    <n v="0"/>
    <n v="60.5"/>
  </r>
  <r>
    <x v="39"/>
    <n v="2"/>
    <s v="P030"/>
    <x v="29"/>
    <x v="2"/>
    <s v="Bowler"/>
    <s v="DNB"/>
    <n v="0"/>
    <n v="0"/>
    <n v="0"/>
    <s v="DNB"/>
    <n v="25"/>
    <n v="4"/>
    <n v="0"/>
    <n v="29"/>
    <n v="1"/>
    <n v="7.2"/>
    <n v="25"/>
    <n v="0"/>
    <n v="0"/>
    <n v="25"/>
    <n v="3"/>
    <s v="DCW"/>
    <s v="DCW"/>
    <s v="Arun Jaitley Stadium"/>
    <n v="180"/>
    <n v="9"/>
    <n v="42"/>
    <n v="43"/>
    <n v="35"/>
    <s v="Failed"/>
    <n v="0"/>
    <n v="13.4"/>
  </r>
  <r>
    <x v="39"/>
    <n v="2"/>
    <s v="P135"/>
    <x v="94"/>
    <x v="2"/>
    <s v="Bowler"/>
    <s v="DNB"/>
    <n v="0"/>
    <n v="0"/>
    <n v="0"/>
    <s v="DNB"/>
    <n v="0"/>
    <n v="3"/>
    <n v="0"/>
    <n v="26"/>
    <n v="0"/>
    <n v="8.6999999999999993"/>
    <n v="0"/>
    <n v="0"/>
    <n v="0"/>
    <n v="0"/>
    <n v="0"/>
    <s v="DCW"/>
    <s v="DCW"/>
    <s v="Arun Jaitley Stadium"/>
    <n v="180"/>
    <n v="9"/>
    <n v="42"/>
    <n v="43"/>
    <n v="35"/>
    <s v="Failed"/>
    <n v="0"/>
    <n v="0"/>
  </r>
  <r>
    <x v="39"/>
    <n v="2"/>
    <s v="P033"/>
    <x v="32"/>
    <x v="2"/>
    <s v="Bowler"/>
    <s v="DNB"/>
    <n v="0"/>
    <n v="0"/>
    <n v="0"/>
    <s v="DNB"/>
    <n v="0"/>
    <n v="3"/>
    <n v="0"/>
    <n v="31"/>
    <n v="0"/>
    <n v="10.3"/>
    <n v="0"/>
    <n v="0"/>
    <n v="0"/>
    <n v="0"/>
    <n v="0"/>
    <s v="DCW"/>
    <s v="DCW"/>
    <s v="Arun Jaitley Stadium"/>
    <n v="180"/>
    <n v="9"/>
    <n v="42"/>
    <n v="43"/>
    <n v="35"/>
    <s v="Failed"/>
    <n v="0"/>
    <n v="0"/>
  </r>
  <r>
    <x v="40"/>
    <n v="2"/>
    <s v="P066"/>
    <x v="65"/>
    <x v="0"/>
    <s v="Batter"/>
    <s v="Opener"/>
    <n v="43"/>
    <n v="30"/>
    <n v="143.33000000000001"/>
    <s v="caught"/>
    <n v="38.700000000000003"/>
    <n v="0"/>
    <n v="0"/>
    <n v="0"/>
    <n v="0"/>
    <n v="0"/>
    <n v="0"/>
    <n v="0"/>
    <n v="0"/>
    <n v="38.700000000000003"/>
    <n v="4"/>
    <s v="GGTW"/>
    <s v="GGTW"/>
    <s v="Arun Jaitley Stadium"/>
    <n v="152"/>
    <n v="7.6"/>
    <n v="53"/>
    <n v="41"/>
    <n v="44"/>
    <s v="NA"/>
    <n v="1"/>
    <n v="40.549999999999997"/>
  </r>
  <r>
    <x v="40"/>
    <n v="2"/>
    <s v="P001"/>
    <x v="0"/>
    <x v="0"/>
    <s v="WK-Batter"/>
    <s v="Opener"/>
    <n v="74"/>
    <n v="52"/>
    <n v="142.31"/>
    <s v="not out"/>
    <n v="78.599999999999994"/>
    <n v="0"/>
    <n v="0"/>
    <n v="0"/>
    <n v="0"/>
    <n v="0"/>
    <n v="0"/>
    <n v="0"/>
    <n v="0"/>
    <n v="78.599999999999994"/>
    <n v="8"/>
    <s v="GGTW"/>
    <s v="GGTW"/>
    <s v="Arun Jaitley Stadium"/>
    <n v="152"/>
    <n v="7.6"/>
    <n v="53"/>
    <n v="41"/>
    <n v="44"/>
    <s v="NA"/>
    <n v="1"/>
    <n v="61.699999999999996"/>
  </r>
  <r>
    <x v="40"/>
    <n v="2"/>
    <s v="P006"/>
    <x v="5"/>
    <x v="0"/>
    <s v="Batter"/>
    <s v="Top Order"/>
    <n v="0"/>
    <n v="2"/>
    <n v="0"/>
    <s v="caught"/>
    <n v="-5"/>
    <n v="0"/>
    <n v="0"/>
    <n v="0"/>
    <n v="0"/>
    <n v="0"/>
    <n v="0"/>
    <n v="0"/>
    <n v="0"/>
    <n v="-5"/>
    <n v="0"/>
    <s v="GGTW"/>
    <s v="GGTW"/>
    <s v="Arun Jaitley Stadium"/>
    <n v="152"/>
    <n v="7.6"/>
    <n v="53"/>
    <n v="41"/>
    <n v="44"/>
    <s v="NA"/>
    <n v="1"/>
    <n v="20"/>
  </r>
  <r>
    <x v="40"/>
    <n v="2"/>
    <s v="P078"/>
    <x v="79"/>
    <x v="0"/>
    <s v="Batter"/>
    <s v="Middle Order"/>
    <n v="4"/>
    <n v="8"/>
    <n v="50"/>
    <s v="caught"/>
    <n v="-1.6"/>
    <n v="0"/>
    <n v="0"/>
    <n v="0"/>
    <n v="0"/>
    <n v="0"/>
    <n v="0"/>
    <n v="0"/>
    <n v="0"/>
    <n v="-1.6"/>
    <n v="0"/>
    <s v="GGTW"/>
    <s v="GGTW"/>
    <s v="Arun Jaitley Stadium"/>
    <n v="152"/>
    <n v="7.6"/>
    <n v="53"/>
    <n v="41"/>
    <n v="44"/>
    <s v="NA"/>
    <n v="1"/>
    <n v="20"/>
  </r>
  <r>
    <x v="40"/>
    <n v="2"/>
    <s v="P004"/>
    <x v="3"/>
    <x v="0"/>
    <s v="Allrounder"/>
    <s v="Middle Order"/>
    <n v="15"/>
    <n v="10"/>
    <n v="150"/>
    <s v="caught"/>
    <n v="14"/>
    <n v="3"/>
    <n v="0"/>
    <n v="30"/>
    <n v="1"/>
    <n v="10"/>
    <n v="15"/>
    <n v="0"/>
    <n v="0"/>
    <n v="29"/>
    <n v="3"/>
    <s v="GGTW"/>
    <s v="GGTW"/>
    <s v="Arun Jaitley Stadium"/>
    <n v="152"/>
    <n v="7.6"/>
    <n v="53"/>
    <n v="41"/>
    <n v="44"/>
    <s v="NA"/>
    <n v="1"/>
    <n v="35.4"/>
  </r>
  <r>
    <x v="40"/>
    <n v="2"/>
    <s v="P093"/>
    <x v="93"/>
    <x v="0"/>
    <s v="Bowler"/>
    <s v="Middle Order"/>
    <n v="1"/>
    <n v="4"/>
    <n v="25"/>
    <s v="caught"/>
    <n v="-2.2000000000000002"/>
    <n v="0"/>
    <n v="0"/>
    <n v="0"/>
    <n v="0"/>
    <n v="0"/>
    <n v="0"/>
    <n v="0"/>
    <n v="0"/>
    <n v="-2.2000000000000002"/>
    <n v="0"/>
    <s v="GGTW"/>
    <s v="GGTW"/>
    <s v="Arun Jaitley Stadium"/>
    <n v="152"/>
    <n v="7.6"/>
    <n v="53"/>
    <n v="41"/>
    <n v="44"/>
    <s v="NA"/>
    <n v="1"/>
    <n v="20"/>
  </r>
  <r>
    <x v="40"/>
    <n v="2"/>
    <s v="P079"/>
    <x v="80"/>
    <x v="0"/>
    <s v="Allrounder"/>
    <s v="Middle Order"/>
    <n v="11"/>
    <n v="11"/>
    <n v="100"/>
    <s v="caught"/>
    <n v="6.9"/>
    <n v="3"/>
    <n v="0"/>
    <n v="26"/>
    <n v="1"/>
    <n v="8.6999999999999993"/>
    <n v="15"/>
    <n v="0"/>
    <n v="0"/>
    <n v="21.9"/>
    <n v="2"/>
    <s v="GGTW"/>
    <s v="GGTW"/>
    <s v="Arun Jaitley Stadium"/>
    <n v="152"/>
    <n v="7.6"/>
    <n v="53"/>
    <n v="41"/>
    <n v="44"/>
    <s v="NA"/>
    <n v="1"/>
    <n v="31.549999999999997"/>
  </r>
  <r>
    <x v="40"/>
    <n v="2"/>
    <s v="P009"/>
    <x v="8"/>
    <x v="0"/>
    <s v="Bowler"/>
    <s v="Middle Order"/>
    <n v="1"/>
    <n v="3"/>
    <n v="33.33"/>
    <s v="bowled"/>
    <n v="-2.2999999999999998"/>
    <n v="4"/>
    <n v="0"/>
    <n v="28"/>
    <n v="0"/>
    <n v="7"/>
    <n v="5"/>
    <n v="0"/>
    <n v="0"/>
    <n v="2.7"/>
    <n v="0"/>
    <s v="GGTW"/>
    <s v="GGTW"/>
    <s v="Arun Jaitley Stadium"/>
    <n v="152"/>
    <n v="7.6"/>
    <n v="53"/>
    <n v="41"/>
    <n v="44"/>
    <s v="NA"/>
    <n v="1"/>
    <n v="21.35"/>
  </r>
  <r>
    <x v="40"/>
    <n v="2"/>
    <s v="P091"/>
    <x v="91"/>
    <x v="0"/>
    <s v="Bowler"/>
    <s v="Middle Order"/>
    <n v="0"/>
    <n v="0"/>
    <n v="0"/>
    <s v="run out"/>
    <n v="0"/>
    <n v="4"/>
    <n v="0"/>
    <n v="11"/>
    <n v="3"/>
    <n v="2.8"/>
    <n v="85"/>
    <n v="0"/>
    <n v="0"/>
    <n v="85"/>
    <n v="9"/>
    <s v="GGTW"/>
    <s v="GGTW"/>
    <s v="Arun Jaitley Stadium"/>
    <n v="152"/>
    <n v="7.6"/>
    <n v="53"/>
    <n v="41"/>
    <n v="44"/>
    <s v="NA"/>
    <n v="1"/>
    <n v="65.2"/>
  </r>
  <r>
    <x v="40"/>
    <n v="2"/>
    <s v="P081"/>
    <x v="82"/>
    <x v="0"/>
    <s v="Bowling Allrounder"/>
    <s v="Middle Order"/>
    <n v="0"/>
    <n v="0"/>
    <n v="0"/>
    <s v="not out"/>
    <n v="5"/>
    <n v="3"/>
    <n v="0"/>
    <n v="23"/>
    <n v="0"/>
    <n v="7.7"/>
    <n v="5"/>
    <n v="0"/>
    <n v="0"/>
    <n v="10"/>
    <n v="1"/>
    <s v="GGTW"/>
    <s v="GGTW"/>
    <s v="Arun Jaitley Stadium"/>
    <n v="152"/>
    <n v="7.6"/>
    <n v="53"/>
    <n v="41"/>
    <n v="44"/>
    <s v="NA"/>
    <n v="1"/>
    <n v="25.3"/>
  </r>
  <r>
    <x v="40"/>
    <n v="2"/>
    <s v="P085"/>
    <x v="86"/>
    <x v="0"/>
    <s v="Bowling Allrounder"/>
    <s v="DNB"/>
    <n v="0"/>
    <n v="0"/>
    <n v="0"/>
    <s v="DNB"/>
    <n v="0"/>
    <n v="3"/>
    <n v="0"/>
    <n v="21"/>
    <n v="0"/>
    <n v="7"/>
    <n v="0"/>
    <n v="0"/>
    <n v="0"/>
    <n v="0"/>
    <n v="0"/>
    <s v="GGTW"/>
    <s v="GGTW"/>
    <s v="Arun Jaitley Stadium"/>
    <n v="152"/>
    <n v="7.6"/>
    <n v="53"/>
    <n v="41"/>
    <n v="44"/>
    <s v="NA"/>
    <n v="1"/>
    <n v="20"/>
  </r>
  <r>
    <x v="40"/>
    <n v="2"/>
    <s v="P045"/>
    <x v="44"/>
    <x v="4"/>
    <s v="WK-Batter"/>
    <s v="Opener"/>
    <n v="4"/>
    <n v="3"/>
    <n v="133.33000000000001"/>
    <s v="caught"/>
    <n v="5.7"/>
    <n v="0"/>
    <n v="0"/>
    <n v="0"/>
    <n v="0"/>
    <n v="0"/>
    <n v="0"/>
    <n v="0"/>
    <n v="0"/>
    <n v="5.7"/>
    <n v="1"/>
    <s v="GGTW"/>
    <s v="GGTW"/>
    <s v="Arun Jaitley Stadium"/>
    <n v="144"/>
    <n v="7.2"/>
    <n v="30"/>
    <n v="46"/>
    <n v="51"/>
    <s v="Failed"/>
    <n v="0"/>
    <n v="3.15"/>
  </r>
  <r>
    <x v="40"/>
    <n v="2"/>
    <s v="P051"/>
    <x v="50"/>
    <x v="4"/>
    <s v="Batter"/>
    <s v="Top Order"/>
    <n v="0"/>
    <n v="2"/>
    <n v="0"/>
    <s v="caught"/>
    <n v="-5"/>
    <n v="0"/>
    <n v="0"/>
    <n v="0"/>
    <n v="0"/>
    <n v="0"/>
    <n v="0"/>
    <n v="0"/>
    <n v="0"/>
    <n v="-5"/>
    <n v="0"/>
    <s v="GGTW"/>
    <s v="GGTW"/>
    <s v="Arun Jaitley Stadium"/>
    <n v="144"/>
    <n v="7.2"/>
    <n v="30"/>
    <n v="46"/>
    <n v="51"/>
    <s v="Failed"/>
    <n v="0"/>
    <n v="0"/>
  </r>
  <r>
    <x v="40"/>
    <n v="2"/>
    <s v="P084"/>
    <x v="85"/>
    <x v="4"/>
    <s v="Allrounder"/>
    <s v="Top Order"/>
    <n v="0"/>
    <n v="3"/>
    <n v="0"/>
    <s v="caught"/>
    <n v="-5"/>
    <n v="4"/>
    <n v="0"/>
    <n v="25"/>
    <n v="1"/>
    <n v="6.2"/>
    <n v="25"/>
    <n v="0"/>
    <n v="0"/>
    <n v="20"/>
    <n v="2"/>
    <s v="GGTW"/>
    <s v="GGTW"/>
    <s v="Arun Jaitley Stadium"/>
    <n v="144"/>
    <n v="7.2"/>
    <n v="30"/>
    <n v="46"/>
    <n v="51"/>
    <s v="Failed"/>
    <n v="0"/>
    <n v="10.6"/>
  </r>
  <r>
    <x v="40"/>
    <n v="2"/>
    <s v="P048"/>
    <x v="47"/>
    <x v="4"/>
    <s v="Allrounder"/>
    <s v="Middle Order"/>
    <n v="88"/>
    <n v="60"/>
    <n v="146.66999999999999"/>
    <s v="not out"/>
    <n v="88.3"/>
    <n v="4"/>
    <n v="0"/>
    <n v="22"/>
    <n v="2"/>
    <n v="5.5"/>
    <n v="65"/>
    <n v="0"/>
    <n v="0"/>
    <n v="153.30000000000001"/>
    <n v="10"/>
    <s v="GGTW"/>
    <s v="GGTW"/>
    <s v="Arun Jaitley Stadium"/>
    <n v="144"/>
    <n v="7.2"/>
    <n v="30"/>
    <n v="46"/>
    <n v="51"/>
    <s v="Failed"/>
    <n v="0"/>
    <n v="79.650000000000006"/>
  </r>
  <r>
    <x v="40"/>
    <n v="2"/>
    <s v="P049"/>
    <x v="48"/>
    <x v="4"/>
    <s v="Allrounder"/>
    <s v="Middle Order"/>
    <n v="1"/>
    <n v="7"/>
    <n v="14.29"/>
    <s v="caught"/>
    <n v="-3.4"/>
    <n v="1"/>
    <n v="0"/>
    <n v="9"/>
    <n v="0"/>
    <n v="9"/>
    <n v="0"/>
    <n v="0"/>
    <n v="0"/>
    <n v="-3.4"/>
    <n v="0"/>
    <s v="GGTW"/>
    <s v="GGTW"/>
    <s v="Arun Jaitley Stadium"/>
    <n v="144"/>
    <n v="7.2"/>
    <n v="30"/>
    <n v="46"/>
    <n v="51"/>
    <s v="Failed"/>
    <n v="0"/>
    <n v="0"/>
  </r>
  <r>
    <x v="40"/>
    <n v="2"/>
    <s v="P046"/>
    <x v="45"/>
    <x v="4"/>
    <s v="Allrounder"/>
    <s v="Middle Order"/>
    <n v="8"/>
    <n v="9"/>
    <n v="88.89"/>
    <s v="bowled"/>
    <n v="1.3"/>
    <n v="0"/>
    <n v="0"/>
    <n v="0"/>
    <n v="0"/>
    <n v="0"/>
    <n v="0"/>
    <n v="0"/>
    <n v="0"/>
    <n v="1.3"/>
    <n v="0"/>
    <s v="GGTW"/>
    <s v="GGTW"/>
    <s v="Arun Jaitley Stadium"/>
    <n v="144"/>
    <n v="7.2"/>
    <n v="30"/>
    <n v="46"/>
    <n v="51"/>
    <s v="Failed"/>
    <n v="0"/>
    <n v="0.65"/>
  </r>
  <r>
    <x v="40"/>
    <n v="2"/>
    <s v="P061"/>
    <x v="60"/>
    <x v="4"/>
    <s v="Allrounder"/>
    <s v="Middle Order"/>
    <n v="36"/>
    <n v="36"/>
    <n v="100"/>
    <s v="not out"/>
    <n v="38.799999999999997"/>
    <n v="0"/>
    <n v="0"/>
    <n v="0"/>
    <n v="0"/>
    <n v="0"/>
    <n v="0"/>
    <n v="0"/>
    <n v="0"/>
    <n v="38.799999999999997"/>
    <n v="4"/>
    <s v="GGTW"/>
    <s v="GGTW"/>
    <s v="Arun Jaitley Stadium"/>
    <n v="144"/>
    <n v="7.2"/>
    <n v="30"/>
    <n v="46"/>
    <n v="51"/>
    <s v="Failed"/>
    <n v="0"/>
    <n v="20.599999999999998"/>
  </r>
  <r>
    <x v="40"/>
    <n v="2"/>
    <s v="P053"/>
    <x v="52"/>
    <x v="4"/>
    <s v="Bowler"/>
    <s v="DNB"/>
    <n v="0"/>
    <n v="0"/>
    <n v="0"/>
    <s v="DNB"/>
    <n v="0"/>
    <n v="4"/>
    <n v="0"/>
    <n v="38"/>
    <n v="3"/>
    <n v="9.5"/>
    <n v="65"/>
    <n v="0"/>
    <n v="0"/>
    <n v="65"/>
    <n v="7"/>
    <s v="GGTW"/>
    <s v="GGTW"/>
    <s v="Arun Jaitley Stadium"/>
    <n v="144"/>
    <n v="7.2"/>
    <n v="30"/>
    <n v="46"/>
    <n v="51"/>
    <s v="Failed"/>
    <n v="0"/>
    <n v="34.6"/>
  </r>
  <r>
    <x v="40"/>
    <n v="2"/>
    <s v="P076"/>
    <x v="77"/>
    <x v="4"/>
    <s v="Bowling Allrounder"/>
    <s v="DNB"/>
    <n v="0"/>
    <n v="0"/>
    <n v="0"/>
    <s v="DNB"/>
    <n v="0"/>
    <n v="2"/>
    <n v="0"/>
    <n v="19"/>
    <n v="0"/>
    <n v="9.5"/>
    <n v="0"/>
    <n v="0"/>
    <n v="0"/>
    <n v="0"/>
    <n v="0"/>
    <s v="GGTW"/>
    <s v="GGTW"/>
    <s v="Arun Jaitley Stadium"/>
    <n v="144"/>
    <n v="7.2"/>
    <n v="30"/>
    <n v="46"/>
    <n v="51"/>
    <s v="Failed"/>
    <n v="0"/>
    <n v="0"/>
  </r>
  <r>
    <x v="40"/>
    <n v="2"/>
    <s v="P055"/>
    <x v="54"/>
    <x v="4"/>
    <s v="Bowler"/>
    <s v="DNB"/>
    <n v="0"/>
    <n v="0"/>
    <n v="0"/>
    <s v="DNB"/>
    <n v="0"/>
    <n v="4"/>
    <n v="0"/>
    <n v="28"/>
    <n v="1"/>
    <n v="7"/>
    <n v="25"/>
    <n v="0"/>
    <n v="0"/>
    <n v="25"/>
    <n v="3"/>
    <s v="GGTW"/>
    <s v="GGTW"/>
    <s v="Arun Jaitley Stadium"/>
    <n v="144"/>
    <n v="7.2"/>
    <n v="30"/>
    <n v="46"/>
    <n v="51"/>
    <s v="Failed"/>
    <n v="0"/>
    <n v="13.4"/>
  </r>
  <r>
    <x v="40"/>
    <n v="2"/>
    <s v="P054"/>
    <x v="53"/>
    <x v="4"/>
    <s v="Bowler"/>
    <s v="DNB"/>
    <n v="0"/>
    <n v="0"/>
    <n v="0"/>
    <s v="DNB"/>
    <n v="0"/>
    <n v="1"/>
    <n v="0"/>
    <n v="11"/>
    <n v="0"/>
    <n v="11"/>
    <n v="0"/>
    <n v="0"/>
    <n v="0"/>
    <n v="0"/>
    <n v="0"/>
    <s v="GGTW"/>
    <s v="GGTW"/>
    <s v="Arun Jaitley Stadium"/>
    <n v="144"/>
    <n v="7.2"/>
    <n v="30"/>
    <n v="46"/>
    <n v="51"/>
    <s v="Failed"/>
    <n v="0"/>
    <n v="0"/>
  </r>
  <r>
    <x v="41"/>
    <n v="2"/>
    <s v="P012"/>
    <x v="11"/>
    <x v="1"/>
    <s v="Allrounder"/>
    <s v="Opener"/>
    <n v="26"/>
    <n v="23"/>
    <n v="113.04"/>
    <s v="caught"/>
    <n v="17.3"/>
    <n v="2"/>
    <n v="0"/>
    <n v="11"/>
    <n v="1"/>
    <n v="5.5"/>
    <n v="30"/>
    <n v="0"/>
    <n v="0"/>
    <n v="47.3"/>
    <n v="5"/>
    <s v="RCBW"/>
    <s v="RCBW"/>
    <s v="Arun Jaitley Stadium"/>
    <n v="113"/>
    <n v="5.95"/>
    <n v="43"/>
    <n v="14"/>
    <n v="55"/>
    <s v="NA"/>
    <n v="0"/>
    <n v="25.15"/>
  </r>
  <r>
    <x v="41"/>
    <n v="2"/>
    <s v="P072"/>
    <x v="72"/>
    <x v="1"/>
    <s v="Allrounder"/>
    <s v="Top Order"/>
    <n v="30"/>
    <n v="21"/>
    <n v="142.86000000000001"/>
    <s v="bowled"/>
    <n v="28.6"/>
    <n v="0"/>
    <n v="0"/>
    <n v="0"/>
    <n v="0"/>
    <n v="0"/>
    <n v="0"/>
    <n v="0"/>
    <n v="0"/>
    <n v="28.6"/>
    <n v="3"/>
    <s v="RCBW"/>
    <s v="RCBW"/>
    <s v="Arun Jaitley Stadium"/>
    <n v="113"/>
    <n v="5.95"/>
    <n v="43"/>
    <n v="14"/>
    <n v="55"/>
    <s v="NA"/>
    <n v="0"/>
    <n v="15.200000000000001"/>
  </r>
  <r>
    <x v="41"/>
    <n v="2"/>
    <s v="P015"/>
    <x v="14"/>
    <x v="1"/>
    <s v="Allrounder"/>
    <s v="Top Order"/>
    <n v="10"/>
    <n v="15"/>
    <n v="66.67"/>
    <s v="lbw"/>
    <n v="2.2999999999999998"/>
    <n v="2"/>
    <n v="0"/>
    <n v="18"/>
    <n v="1"/>
    <n v="9"/>
    <n v="15"/>
    <n v="0"/>
    <n v="0"/>
    <n v="17.3"/>
    <n v="2"/>
    <s v="RCBW"/>
    <s v="RCBW"/>
    <s v="Arun Jaitley Stadium"/>
    <n v="113"/>
    <n v="5.95"/>
    <n v="43"/>
    <n v="14"/>
    <n v="55"/>
    <s v="NA"/>
    <n v="0"/>
    <n v="9.25"/>
  </r>
  <r>
    <x v="41"/>
    <n v="2"/>
    <s v="P014"/>
    <x v="13"/>
    <x v="1"/>
    <s v="Allrounder"/>
    <s v="Middle Order"/>
    <n v="0"/>
    <n v="1"/>
    <n v="0"/>
    <s v="bowled"/>
    <n v="-5"/>
    <n v="0"/>
    <n v="0"/>
    <n v="0"/>
    <n v="0"/>
    <n v="0"/>
    <n v="0"/>
    <n v="0"/>
    <n v="0"/>
    <n v="-5"/>
    <n v="0"/>
    <s v="RCBW"/>
    <s v="RCBW"/>
    <s v="Arun Jaitley Stadium"/>
    <n v="113"/>
    <n v="5.95"/>
    <n v="43"/>
    <n v="14"/>
    <n v="55"/>
    <s v="NA"/>
    <n v="0"/>
    <n v="0"/>
  </r>
  <r>
    <x v="41"/>
    <n v="2"/>
    <s v="P016"/>
    <x v="15"/>
    <x v="1"/>
    <s v="Allrounder"/>
    <s v="Middle Order"/>
    <n v="2"/>
    <n v="5"/>
    <n v="40"/>
    <s v="lbw"/>
    <n v="-2"/>
    <n v="2"/>
    <n v="0"/>
    <n v="13"/>
    <n v="0"/>
    <n v="6.5"/>
    <n v="5"/>
    <n v="0"/>
    <n v="0"/>
    <n v="3"/>
    <n v="0"/>
    <s v="RCBW"/>
    <s v="RCBW"/>
    <s v="Arun Jaitley Stadium"/>
    <n v="113"/>
    <n v="5.95"/>
    <n v="43"/>
    <n v="14"/>
    <n v="55"/>
    <s v="NA"/>
    <n v="0"/>
    <n v="1.5"/>
  </r>
  <r>
    <x v="41"/>
    <n v="2"/>
    <s v="P017"/>
    <x v="16"/>
    <x v="1"/>
    <s v="Allrounder"/>
    <s v="Middle Order"/>
    <n v="4"/>
    <n v="2"/>
    <n v="200"/>
    <s v="bowled"/>
    <n v="8"/>
    <n v="0"/>
    <n v="0"/>
    <n v="0"/>
    <n v="0"/>
    <n v="0"/>
    <n v="0"/>
    <n v="0"/>
    <n v="0"/>
    <n v="8"/>
    <n v="1"/>
    <s v="RCBW"/>
    <s v="RCBW"/>
    <s v="Arun Jaitley Stadium"/>
    <n v="113"/>
    <n v="5.95"/>
    <n v="43"/>
    <n v="14"/>
    <n v="55"/>
    <s v="NA"/>
    <n v="0"/>
    <n v="4.3"/>
  </r>
  <r>
    <x v="41"/>
    <n v="2"/>
    <s v="P018"/>
    <x v="17"/>
    <x v="1"/>
    <s v="Allrounder"/>
    <s v="Middle Order"/>
    <n v="6"/>
    <n v="10"/>
    <n v="60"/>
    <s v="bowled"/>
    <n v="0.2"/>
    <n v="3"/>
    <n v="0"/>
    <n v="26"/>
    <n v="0"/>
    <n v="8.6999999999999993"/>
    <n v="3"/>
    <n v="0"/>
    <n v="0"/>
    <n v="3.2"/>
    <n v="0"/>
    <s v="RCBW"/>
    <s v="RCBW"/>
    <s v="Arun Jaitley Stadium"/>
    <n v="113"/>
    <n v="5.95"/>
    <n v="43"/>
    <n v="14"/>
    <n v="55"/>
    <s v="NA"/>
    <n v="0"/>
    <n v="1.6"/>
  </r>
  <r>
    <x v="41"/>
    <n v="2"/>
    <s v="P019"/>
    <x v="18"/>
    <x v="1"/>
    <s v="Allrounder"/>
    <s v="Middle Order"/>
    <n v="4"/>
    <n v="7"/>
    <n v="57.14"/>
    <s v="caught"/>
    <n v="-0.1"/>
    <n v="0"/>
    <n v="0"/>
    <n v="0"/>
    <n v="0"/>
    <n v="0"/>
    <n v="0"/>
    <n v="0"/>
    <n v="0"/>
    <n v="-0.1"/>
    <n v="0"/>
    <s v="RCBW"/>
    <s v="RCBW"/>
    <s v="Arun Jaitley Stadium"/>
    <n v="113"/>
    <n v="5.95"/>
    <n v="43"/>
    <n v="14"/>
    <n v="55"/>
    <s v="NA"/>
    <n v="0"/>
    <n v="0"/>
  </r>
  <r>
    <x v="41"/>
    <n v="2"/>
    <s v="P136"/>
    <x v="95"/>
    <x v="1"/>
    <s v="WK-Batter"/>
    <s v="Middle Order"/>
    <n v="19"/>
    <n v="18"/>
    <n v="105.56"/>
    <s v="not out"/>
    <n v="16.100000000000001"/>
    <n v="0"/>
    <n v="0"/>
    <n v="0"/>
    <n v="0"/>
    <n v="0"/>
    <n v="0"/>
    <n v="0"/>
    <n v="0"/>
    <n v="16.100000000000001"/>
    <n v="2"/>
    <s v="RCBW"/>
    <s v="RCBW"/>
    <s v="Arun Jaitley Stadium"/>
    <n v="113"/>
    <n v="5.95"/>
    <n v="43"/>
    <n v="14"/>
    <n v="55"/>
    <s v="NA"/>
    <n v="0"/>
    <n v="8.65"/>
  </r>
  <r>
    <x v="41"/>
    <n v="2"/>
    <s v="P060"/>
    <x v="59"/>
    <x v="1"/>
    <s v="Bowler"/>
    <s v="Middle Order"/>
    <n v="8"/>
    <n v="8"/>
    <n v="100"/>
    <s v="stumped"/>
    <n v="6.8"/>
    <n v="4"/>
    <n v="0"/>
    <n v="19"/>
    <n v="1"/>
    <n v="4.8"/>
    <n v="30"/>
    <n v="0"/>
    <n v="0"/>
    <n v="36.799999999999997"/>
    <n v="4"/>
    <s v="RCBW"/>
    <s v="RCBW"/>
    <s v="Arun Jaitley Stadium"/>
    <n v="113"/>
    <n v="5.95"/>
    <n v="43"/>
    <n v="14"/>
    <n v="55"/>
    <s v="NA"/>
    <n v="0"/>
    <n v="19.599999999999998"/>
  </r>
  <r>
    <x v="41"/>
    <n v="2"/>
    <s v="P022"/>
    <x v="21"/>
    <x v="1"/>
    <s v="Bowler"/>
    <s v="Middle Order"/>
    <n v="1"/>
    <n v="4"/>
    <n v="25"/>
    <s v="lbw"/>
    <n v="-2.7"/>
    <n v="2"/>
    <n v="0"/>
    <n v="24"/>
    <n v="0"/>
    <n v="12"/>
    <n v="0"/>
    <n v="0"/>
    <n v="0"/>
    <n v="-2.7"/>
    <n v="0"/>
    <s v="RCBW"/>
    <s v="RCBW"/>
    <s v="Arun Jaitley Stadium"/>
    <n v="113"/>
    <n v="5.95"/>
    <n v="43"/>
    <n v="14"/>
    <n v="55"/>
    <s v="NA"/>
    <n v="0"/>
    <n v="0"/>
  </r>
  <r>
    <x v="41"/>
    <n v="2"/>
    <s v="P023"/>
    <x v="22"/>
    <x v="2"/>
    <s v="Batter"/>
    <s v="Opener"/>
    <n v="11"/>
    <n v="13"/>
    <n v="84.62"/>
    <s v="caught"/>
    <n v="3.2"/>
    <n v="0"/>
    <n v="0"/>
    <n v="0"/>
    <n v="0"/>
    <n v="0"/>
    <n v="0"/>
    <n v="0"/>
    <n v="0"/>
    <n v="3.2"/>
    <n v="0"/>
    <s v="RCBW"/>
    <s v="RCBW"/>
    <s v="Arun Jaitley Stadium"/>
    <n v="115"/>
    <n v="7.67"/>
    <n v="39"/>
    <n v="0"/>
    <n v="44"/>
    <s v="Successful"/>
    <n v="1"/>
    <n v="21.6"/>
  </r>
  <r>
    <x v="41"/>
    <n v="2"/>
    <s v="P077"/>
    <x v="74"/>
    <x v="2"/>
    <s v="Allrounder"/>
    <s v="Top Order"/>
    <n v="9"/>
    <n v="9"/>
    <n v="100"/>
    <s v="stumped"/>
    <n v="4.5"/>
    <n v="4"/>
    <n v="0"/>
    <n v="26"/>
    <n v="1"/>
    <n v="6.5"/>
    <n v="30"/>
    <n v="0"/>
    <n v="0"/>
    <n v="34.5"/>
    <n v="3"/>
    <s v="RCBW"/>
    <s v="RCBW"/>
    <s v="Arun Jaitley Stadium"/>
    <n v="115"/>
    <n v="7.67"/>
    <n v="39"/>
    <n v="0"/>
    <n v="44"/>
    <s v="Successful"/>
    <n v="1"/>
    <n v="38.15"/>
  </r>
  <r>
    <x v="41"/>
    <n v="2"/>
    <s v="P027"/>
    <x v="26"/>
    <x v="2"/>
    <s v="Allrounder"/>
    <s v="Top Order"/>
    <n v="40"/>
    <n v="38"/>
    <n v="105.26"/>
    <s v="not out"/>
    <n v="39.5"/>
    <n v="4"/>
    <n v="0"/>
    <n v="15"/>
    <n v="6"/>
    <n v="3.8"/>
    <n v="175"/>
    <n v="0"/>
    <n v="0"/>
    <n v="214.5"/>
    <n v="10"/>
    <s v="RCBW"/>
    <s v="RCBW"/>
    <s v="Arun Jaitley Stadium"/>
    <n v="115"/>
    <n v="7.67"/>
    <n v="39"/>
    <n v="0"/>
    <n v="44"/>
    <s v="Successful"/>
    <n v="1"/>
    <n v="130.25"/>
  </r>
  <r>
    <x v="41"/>
    <n v="2"/>
    <s v="P024"/>
    <x v="23"/>
    <x v="2"/>
    <s v="Allrounder"/>
    <s v="Middle Order"/>
    <n v="4"/>
    <n v="2"/>
    <n v="200"/>
    <s v="bowled"/>
    <n v="7.4"/>
    <n v="3"/>
    <n v="0"/>
    <n v="21"/>
    <n v="1"/>
    <n v="7"/>
    <n v="15"/>
    <n v="0"/>
    <n v="0"/>
    <n v="22.4"/>
    <n v="2"/>
    <s v="RCBW"/>
    <s v="RCBW"/>
    <s v="Arun Jaitley Stadium"/>
    <n v="115"/>
    <n v="7.67"/>
    <n v="39"/>
    <n v="0"/>
    <n v="44"/>
    <s v="Successful"/>
    <n v="1"/>
    <n v="31.799999999999997"/>
  </r>
  <r>
    <x v="41"/>
    <n v="2"/>
    <s v="P028"/>
    <x v="27"/>
    <x v="2"/>
    <s v="WK-Batter"/>
    <s v="Middle Order"/>
    <n v="36"/>
    <n v="28"/>
    <n v="128.57"/>
    <s v="not out"/>
    <n v="32.700000000000003"/>
    <n v="0"/>
    <n v="0"/>
    <n v="0"/>
    <n v="0"/>
    <n v="0"/>
    <n v="0"/>
    <n v="0"/>
    <n v="0"/>
    <n v="32.700000000000003"/>
    <n v="3"/>
    <s v="RCBW"/>
    <s v="RCBW"/>
    <s v="Arun Jaitley Stadium"/>
    <n v="115"/>
    <n v="7.67"/>
    <n v="39"/>
    <n v="0"/>
    <n v="44"/>
    <s v="Successful"/>
    <n v="1"/>
    <n v="37.25"/>
  </r>
  <r>
    <x v="41"/>
    <n v="2"/>
    <s v="P007"/>
    <x v="6"/>
    <x v="2"/>
    <s v="Allrounder"/>
    <s v="DNB"/>
    <n v="0"/>
    <n v="0"/>
    <n v="0"/>
    <s v="DNB"/>
    <n v="0"/>
    <n v="2"/>
    <n v="0"/>
    <n v="8"/>
    <n v="0"/>
    <n v="4"/>
    <n v="5"/>
    <n v="0"/>
    <n v="0"/>
    <n v="5"/>
    <n v="1"/>
    <s v="RCBW"/>
    <s v="RCBW"/>
    <s v="Arun Jaitley Stadium"/>
    <n v="115"/>
    <n v="7.67"/>
    <n v="39"/>
    <n v="0"/>
    <n v="44"/>
    <s v="Successful"/>
    <n v="1"/>
    <n v="22.8"/>
  </r>
  <r>
    <x v="41"/>
    <n v="2"/>
    <s v="P026"/>
    <x v="25"/>
    <x v="2"/>
    <s v="Batter"/>
    <s v="DNB"/>
    <n v="0"/>
    <n v="0"/>
    <n v="0"/>
    <s v="DNB"/>
    <n v="0"/>
    <n v="0"/>
    <n v="0"/>
    <n v="0"/>
    <n v="0"/>
    <n v="0"/>
    <n v="0"/>
    <n v="0"/>
    <n v="0"/>
    <n v="0"/>
    <n v="0"/>
    <s v="RCBW"/>
    <s v="RCBW"/>
    <s v="Arun Jaitley Stadium"/>
    <n v="115"/>
    <n v="7.67"/>
    <n v="39"/>
    <n v="0"/>
    <n v="44"/>
    <s v="Successful"/>
    <n v="1"/>
    <n v="20"/>
  </r>
  <r>
    <x v="41"/>
    <n v="2"/>
    <s v="P059"/>
    <x v="58"/>
    <x v="2"/>
    <s v="Allrounder"/>
    <s v="DNB"/>
    <n v="0"/>
    <n v="0"/>
    <n v="0"/>
    <s v="DNB"/>
    <n v="0"/>
    <n v="1"/>
    <n v="0"/>
    <n v="3"/>
    <n v="1"/>
    <n v="3"/>
    <n v="30"/>
    <n v="0"/>
    <n v="0"/>
    <n v="30"/>
    <n v="3"/>
    <s v="RCBW"/>
    <s v="RCBW"/>
    <s v="Arun Jaitley Stadium"/>
    <n v="115"/>
    <n v="7.67"/>
    <n v="39"/>
    <n v="0"/>
    <n v="44"/>
    <s v="Successful"/>
    <n v="1"/>
    <n v="35.9"/>
  </r>
  <r>
    <x v="41"/>
    <n v="2"/>
    <s v="P030"/>
    <x v="29"/>
    <x v="2"/>
    <s v="Allrounder"/>
    <s v="DNB"/>
    <n v="0"/>
    <n v="0"/>
    <n v="0"/>
    <s v="DNB"/>
    <n v="0"/>
    <n v="2"/>
    <n v="0"/>
    <n v="12"/>
    <n v="1"/>
    <n v="6"/>
    <n v="15"/>
    <n v="0"/>
    <n v="0"/>
    <n v="15"/>
    <n v="2"/>
    <s v="RCBW"/>
    <s v="RCBW"/>
    <s v="Arun Jaitley Stadium"/>
    <n v="115"/>
    <n v="7.67"/>
    <n v="39"/>
    <n v="0"/>
    <n v="44"/>
    <s v="Successful"/>
    <n v="1"/>
    <n v="28.1"/>
  </r>
  <r>
    <x v="41"/>
    <n v="2"/>
    <s v="P135"/>
    <x v="94"/>
    <x v="2"/>
    <s v="Bowler"/>
    <s v="DNB"/>
    <n v="0"/>
    <n v="0"/>
    <n v="0"/>
    <s v="DNB"/>
    <n v="0"/>
    <n v="1"/>
    <n v="0"/>
    <n v="9"/>
    <n v="0"/>
    <n v="9"/>
    <n v="0"/>
    <n v="0"/>
    <n v="0"/>
    <n v="0"/>
    <n v="0"/>
    <s v="RCBW"/>
    <s v="RCBW"/>
    <s v="Arun Jaitley Stadium"/>
    <n v="115"/>
    <n v="7.67"/>
    <n v="39"/>
    <n v="0"/>
    <n v="44"/>
    <s v="Successful"/>
    <n v="1"/>
    <n v="20"/>
  </r>
  <r>
    <x v="41"/>
    <n v="2"/>
    <s v="P033"/>
    <x v="32"/>
    <x v="2"/>
    <s v="Bowler"/>
    <s v="DNB"/>
    <n v="0"/>
    <n v="0"/>
    <n v="0"/>
    <s v="DNB"/>
    <n v="0"/>
    <n v="2"/>
    <n v="0"/>
    <n v="16"/>
    <n v="0"/>
    <n v="8"/>
    <n v="0"/>
    <n v="0"/>
    <n v="0"/>
    <n v="0"/>
    <n v="0"/>
    <s v="RCBW"/>
    <s v="RCBW"/>
    <s v="Arun Jaitley Stadium"/>
    <n v="115"/>
    <n v="7.67"/>
    <n v="39"/>
    <n v="0"/>
    <n v="44"/>
    <s v="Successful"/>
    <n v="1"/>
    <n v="20"/>
  </r>
  <r>
    <x v="42"/>
    <n v="2"/>
    <s v="P066"/>
    <x v="65"/>
    <x v="0"/>
    <s v="Batter"/>
    <s v="Opener"/>
    <n v="7"/>
    <n v="11"/>
    <n v="63.64"/>
    <s v="caught"/>
    <n v="-1.1000000000000001"/>
    <n v="0"/>
    <n v="0"/>
    <n v="0"/>
    <n v="0"/>
    <n v="0"/>
    <n v="0"/>
    <n v="0"/>
    <n v="0"/>
    <n v="-1.1000000000000001"/>
    <n v="0"/>
    <s v="DCW"/>
    <s v="GGTW"/>
    <s v="Arun Jaitley Stadium"/>
    <n v="126"/>
    <n v="6.3"/>
    <n v="23"/>
    <n v="36"/>
    <n v="57"/>
    <s v="NA"/>
    <n v="0"/>
    <n v="0"/>
  </r>
  <r>
    <x v="42"/>
    <n v="2"/>
    <s v="P001"/>
    <x v="0"/>
    <x v="0"/>
    <s v="WK-Batter"/>
    <s v="Opener"/>
    <n v="0"/>
    <n v="5"/>
    <n v="0"/>
    <s v="bowled"/>
    <n v="-5"/>
    <n v="0"/>
    <n v="0"/>
    <n v="0"/>
    <n v="0"/>
    <n v="0"/>
    <n v="0"/>
    <n v="0"/>
    <n v="0"/>
    <n v="-5"/>
    <n v="0"/>
    <s v="DCW"/>
    <s v="GGTW"/>
    <s v="Arun Jaitley Stadium"/>
    <n v="126"/>
    <n v="6.3"/>
    <n v="23"/>
    <n v="36"/>
    <n v="57"/>
    <s v="NA"/>
    <n v="0"/>
    <n v="0"/>
  </r>
  <r>
    <x v="42"/>
    <n v="2"/>
    <s v="P006"/>
    <x v="5"/>
    <x v="0"/>
    <s v="Batter"/>
    <s v="Top Order"/>
    <n v="4"/>
    <n v="7"/>
    <n v="57.14"/>
    <s v="bowled"/>
    <n v="-2.1"/>
    <n v="0"/>
    <n v="0"/>
    <n v="0"/>
    <n v="0"/>
    <n v="0"/>
    <n v="0"/>
    <n v="0"/>
    <n v="0"/>
    <n v="-2.1"/>
    <n v="0"/>
    <s v="DCW"/>
    <s v="GGTW"/>
    <s v="Arun Jaitley Stadium"/>
    <n v="126"/>
    <n v="6.3"/>
    <n v="23"/>
    <n v="36"/>
    <n v="57"/>
    <s v="NA"/>
    <n v="0"/>
    <n v="0"/>
  </r>
  <r>
    <x v="42"/>
    <n v="2"/>
    <s v="P078"/>
    <x v="79"/>
    <x v="0"/>
    <s v="Batter"/>
    <s v="Middle Order"/>
    <n v="21"/>
    <n v="22"/>
    <n v="95.45"/>
    <s v="caught"/>
    <n v="14.1"/>
    <n v="0"/>
    <n v="0"/>
    <n v="0"/>
    <n v="0"/>
    <n v="0"/>
    <n v="0"/>
    <n v="0"/>
    <n v="0"/>
    <n v="14.1"/>
    <n v="1"/>
    <s v="DCW"/>
    <s v="GGTW"/>
    <s v="Arun Jaitley Stadium"/>
    <n v="126"/>
    <n v="6.3"/>
    <n v="23"/>
    <n v="36"/>
    <n v="57"/>
    <s v="NA"/>
    <n v="0"/>
    <n v="7.35"/>
  </r>
  <r>
    <x v="42"/>
    <n v="2"/>
    <s v="P004"/>
    <x v="3"/>
    <x v="0"/>
    <s v="Allrounder"/>
    <s v="Middle Order"/>
    <n v="12"/>
    <n v="12"/>
    <n v="100"/>
    <s v="bowled"/>
    <n v="9.6"/>
    <n v="2"/>
    <n v="0"/>
    <n v="28"/>
    <n v="0"/>
    <n v="14"/>
    <n v="0"/>
    <n v="0"/>
    <n v="0"/>
    <n v="9.6"/>
    <n v="1"/>
    <s v="DCW"/>
    <s v="GGTW"/>
    <s v="Arun Jaitley Stadium"/>
    <n v="126"/>
    <n v="6.3"/>
    <n v="23"/>
    <n v="36"/>
    <n v="57"/>
    <s v="NA"/>
    <n v="0"/>
    <n v="5.0999999999999996"/>
  </r>
  <r>
    <x v="42"/>
    <n v="2"/>
    <s v="P093"/>
    <x v="93"/>
    <x v="0"/>
    <s v="Bowler"/>
    <s v="Middle Order"/>
    <n v="42"/>
    <n v="36"/>
    <n v="116.67"/>
    <s v="bowled"/>
    <n v="35.700000000000003"/>
    <n v="0"/>
    <n v="0"/>
    <n v="0"/>
    <n v="0"/>
    <n v="0"/>
    <n v="0"/>
    <n v="0"/>
    <n v="0"/>
    <n v="35.700000000000003"/>
    <n v="4"/>
    <s v="DCW"/>
    <s v="GGTW"/>
    <s v="Arun Jaitley Stadium"/>
    <n v="126"/>
    <n v="6.3"/>
    <n v="23"/>
    <n v="36"/>
    <n v="57"/>
    <s v="NA"/>
    <n v="0"/>
    <n v="19.05"/>
  </r>
  <r>
    <x v="42"/>
    <n v="2"/>
    <s v="P079"/>
    <x v="80"/>
    <x v="0"/>
    <s v="Allrounder"/>
    <s v="Middle Order"/>
    <n v="28"/>
    <n v="22"/>
    <n v="127.27"/>
    <s v="not out"/>
    <n v="35.5"/>
    <n v="1"/>
    <n v="0"/>
    <n v="16"/>
    <n v="0"/>
    <n v="16"/>
    <n v="0"/>
    <n v="0"/>
    <n v="0"/>
    <n v="35.5"/>
    <n v="4"/>
    <s v="DCW"/>
    <s v="GGTW"/>
    <s v="Arun Jaitley Stadium"/>
    <n v="126"/>
    <n v="6.3"/>
    <n v="23"/>
    <n v="36"/>
    <n v="57"/>
    <s v="NA"/>
    <n v="0"/>
    <n v="18.95"/>
  </r>
  <r>
    <x v="42"/>
    <n v="2"/>
    <s v="P009"/>
    <x v="8"/>
    <x v="0"/>
    <s v="Bowler"/>
    <s v="Middle Order"/>
    <n v="0"/>
    <n v="1"/>
    <n v="0"/>
    <s v="bowled"/>
    <n v="-5"/>
    <n v="4"/>
    <n v="1"/>
    <n v="20"/>
    <n v="2"/>
    <n v="5"/>
    <n v="55"/>
    <n v="0"/>
    <n v="0"/>
    <n v="50"/>
    <n v="5"/>
    <s v="DCW"/>
    <s v="GGTW"/>
    <s v="Arun Jaitley Stadium"/>
    <n v="126"/>
    <n v="6.3"/>
    <n v="23"/>
    <n v="36"/>
    <n v="57"/>
    <s v="NA"/>
    <n v="0"/>
    <n v="26.5"/>
  </r>
  <r>
    <x v="42"/>
    <n v="2"/>
    <s v="P091"/>
    <x v="91"/>
    <x v="0"/>
    <s v="Bowler"/>
    <s v="Middle Order"/>
    <n v="1"/>
    <n v="2"/>
    <n v="50"/>
    <s v="run out"/>
    <n v="-3.5"/>
    <n v="2"/>
    <n v="0"/>
    <n v="15"/>
    <n v="0"/>
    <n v="7.5"/>
    <n v="0"/>
    <n v="0"/>
    <n v="0"/>
    <n v="-3.5"/>
    <n v="0"/>
    <s v="DCW"/>
    <s v="GGTW"/>
    <s v="Arun Jaitley Stadium"/>
    <n v="126"/>
    <n v="6.3"/>
    <n v="23"/>
    <n v="36"/>
    <n v="57"/>
    <s v="NA"/>
    <n v="0"/>
    <n v="0"/>
  </r>
  <r>
    <x v="42"/>
    <n v="2"/>
    <s v="P081"/>
    <x v="82"/>
    <x v="0"/>
    <s v="Bowling Allrounder"/>
    <s v="Middle Order"/>
    <n v="4"/>
    <n v="2"/>
    <n v="200"/>
    <s v="run out"/>
    <n v="7"/>
    <n v="2"/>
    <n v="0"/>
    <n v="28"/>
    <n v="0"/>
    <n v="14"/>
    <n v="0"/>
    <n v="0"/>
    <n v="0"/>
    <n v="7"/>
    <n v="1"/>
    <s v="DCW"/>
    <s v="GGTW"/>
    <s v="Arun Jaitley Stadium"/>
    <n v="126"/>
    <n v="6.3"/>
    <n v="23"/>
    <n v="36"/>
    <n v="57"/>
    <s v="NA"/>
    <n v="0"/>
    <n v="3.8"/>
  </r>
  <r>
    <x v="42"/>
    <n v="2"/>
    <s v="P085"/>
    <x v="86"/>
    <x v="0"/>
    <s v="Bowling Allrounder"/>
    <s v="Middle Order"/>
    <n v="0"/>
    <n v="0"/>
    <n v="0"/>
    <s v="not out"/>
    <n v="5"/>
    <n v="2.1"/>
    <n v="0"/>
    <n v="22"/>
    <n v="0"/>
    <n v="10.199999999999999"/>
    <n v="0"/>
    <n v="0"/>
    <n v="0"/>
    <n v="5"/>
    <n v="1"/>
    <s v="DCW"/>
    <s v="GGTW"/>
    <s v="Arun Jaitley Stadium"/>
    <n v="126"/>
    <n v="6.3"/>
    <n v="23"/>
    <n v="36"/>
    <n v="57"/>
    <s v="NA"/>
    <n v="0"/>
    <n v="2.8"/>
  </r>
  <r>
    <x v="42"/>
    <n v="2"/>
    <s v="P035"/>
    <x v="34"/>
    <x v="3"/>
    <s v="Batter"/>
    <s v="Opener"/>
    <n v="18"/>
    <n v="10"/>
    <n v="180"/>
    <s v="run out"/>
    <n v="21"/>
    <n v="0"/>
    <n v="0"/>
    <n v="0"/>
    <n v="0"/>
    <n v="0"/>
    <n v="0"/>
    <n v="0"/>
    <n v="0"/>
    <n v="21"/>
    <n v="2"/>
    <s v="DCW"/>
    <s v="GGTW"/>
    <s v="Arun Jaitley Stadium"/>
    <n v="129"/>
    <n v="9.8000000000000007"/>
    <n v="45"/>
    <n v="0"/>
    <n v="30"/>
    <s v="Successful"/>
    <n v="1"/>
    <n v="31.1"/>
  </r>
  <r>
    <x v="42"/>
    <n v="2"/>
    <s v="P034"/>
    <x v="33"/>
    <x v="3"/>
    <s v="Batting Allrounder"/>
    <s v="Top Order"/>
    <n v="71"/>
    <n v="37"/>
    <n v="191.89"/>
    <s v="caught"/>
    <n v="67.7"/>
    <n v="0"/>
    <n v="0"/>
    <n v="0"/>
    <n v="0"/>
    <n v="0"/>
    <n v="0"/>
    <n v="0"/>
    <n v="0"/>
    <n v="67.7"/>
    <n v="7"/>
    <s v="DCW"/>
    <s v="GGTW"/>
    <s v="Arun Jaitley Stadium"/>
    <n v="129"/>
    <n v="9.8000000000000007"/>
    <n v="45"/>
    <n v="0"/>
    <n v="30"/>
    <s v="Successful"/>
    <n v="1"/>
    <n v="55.95"/>
  </r>
  <r>
    <x v="42"/>
    <n v="2"/>
    <s v="P038"/>
    <x v="37"/>
    <x v="3"/>
    <s v="Batter"/>
    <s v="Middle Order"/>
    <n v="0"/>
    <n v="4"/>
    <n v="0"/>
    <s v="caught"/>
    <n v="-5"/>
    <n v="1"/>
    <n v="0"/>
    <n v="3"/>
    <n v="0"/>
    <n v="3"/>
    <n v="5"/>
    <n v="0"/>
    <n v="0"/>
    <n v="0"/>
    <n v="0"/>
    <s v="DCW"/>
    <s v="GGTW"/>
    <s v="Arun Jaitley Stadium"/>
    <n v="129"/>
    <n v="9.8000000000000007"/>
    <n v="45"/>
    <n v="0"/>
    <n v="30"/>
    <s v="Successful"/>
    <n v="1"/>
    <n v="20"/>
  </r>
  <r>
    <x v="42"/>
    <n v="2"/>
    <s v="P037"/>
    <x v="36"/>
    <x v="3"/>
    <s v="Batter"/>
    <s v="Middle Order"/>
    <n v="38"/>
    <n v="28"/>
    <n v="135.71"/>
    <s v="not out"/>
    <n v="35.5"/>
    <n v="0"/>
    <n v="0"/>
    <n v="0"/>
    <n v="0"/>
    <n v="0"/>
    <n v="0"/>
    <n v="0"/>
    <n v="0"/>
    <n v="35.5"/>
    <n v="4"/>
    <s v="DCW"/>
    <s v="GGTW"/>
    <s v="Arun Jaitley Stadium"/>
    <n v="129"/>
    <n v="9.8000000000000007"/>
    <n v="45"/>
    <n v="0"/>
    <n v="30"/>
    <s v="Successful"/>
    <n v="1"/>
    <n v="38.950000000000003"/>
  </r>
  <r>
    <x v="42"/>
    <n v="2"/>
    <s v="P036"/>
    <x v="35"/>
    <x v="3"/>
    <s v="Allrounder"/>
    <s v="Middle Order"/>
    <n v="0"/>
    <n v="0"/>
    <n v="0"/>
    <s v="not out"/>
    <n v="5"/>
    <n v="4"/>
    <n v="0"/>
    <n v="17"/>
    <n v="2"/>
    <n v="4.2"/>
    <n v="65"/>
    <n v="0"/>
    <n v="0"/>
    <n v="70"/>
    <n v="7"/>
    <s v="DCW"/>
    <s v="GGTW"/>
    <s v="Arun Jaitley Stadium"/>
    <n v="129"/>
    <n v="9.8000000000000007"/>
    <n v="45"/>
    <n v="0"/>
    <n v="30"/>
    <s v="Successful"/>
    <n v="1"/>
    <n v="57.1"/>
  </r>
  <r>
    <x v="42"/>
    <n v="2"/>
    <s v="P039"/>
    <x v="38"/>
    <x v="3"/>
    <s v="Bowler"/>
    <s v="DNB"/>
    <n v="0"/>
    <n v="0"/>
    <n v="0"/>
    <s v="DNB"/>
    <n v="0"/>
    <n v="4"/>
    <n v="0"/>
    <n v="32"/>
    <n v="1"/>
    <n v="8"/>
    <n v="25"/>
    <n v="0"/>
    <n v="0"/>
    <n v="25"/>
    <n v="3"/>
    <s v="DCW"/>
    <s v="GGTW"/>
    <s v="Arun Jaitley Stadium"/>
    <n v="129"/>
    <n v="9.8000000000000007"/>
    <n v="45"/>
    <n v="0"/>
    <n v="30"/>
    <s v="Successful"/>
    <n v="1"/>
    <n v="33.4"/>
  </r>
  <r>
    <x v="42"/>
    <n v="2"/>
    <s v="P043"/>
    <x v="42"/>
    <x v="3"/>
    <s v="Bowler"/>
    <s v="DNB"/>
    <n v="0"/>
    <n v="0"/>
    <n v="0"/>
    <s v="DNB"/>
    <n v="0"/>
    <n v="2"/>
    <n v="0"/>
    <n v="17"/>
    <n v="0"/>
    <n v="8.5"/>
    <n v="0"/>
    <n v="0"/>
    <n v="0"/>
    <n v="0"/>
    <n v="0"/>
    <s v="DCW"/>
    <s v="GGTW"/>
    <s v="Arun Jaitley Stadium"/>
    <n v="129"/>
    <n v="9.8000000000000007"/>
    <n v="45"/>
    <n v="0"/>
    <n v="30"/>
    <s v="Successful"/>
    <n v="1"/>
    <n v="20"/>
  </r>
  <r>
    <x v="42"/>
    <n v="2"/>
    <s v="P041"/>
    <x v="40"/>
    <x v="3"/>
    <s v="Bowler"/>
    <s v="DNB"/>
    <n v="0"/>
    <n v="0"/>
    <n v="0"/>
    <s v="DNB"/>
    <n v="0"/>
    <n v="3"/>
    <n v="0"/>
    <n v="20"/>
    <n v="0"/>
    <n v="6.7"/>
    <n v="0"/>
    <n v="0"/>
    <n v="0"/>
    <n v="0"/>
    <n v="0"/>
    <s v="DCW"/>
    <s v="GGTW"/>
    <s v="Arun Jaitley Stadium"/>
    <n v="129"/>
    <n v="9.8000000000000007"/>
    <n v="45"/>
    <n v="0"/>
    <n v="30"/>
    <s v="Successful"/>
    <n v="1"/>
    <n v="20"/>
  </r>
  <r>
    <x v="42"/>
    <n v="2"/>
    <s v="P040"/>
    <x v="39"/>
    <x v="3"/>
    <s v="WK-Batter"/>
    <s v="DNB"/>
    <n v="0"/>
    <n v="0"/>
    <n v="0"/>
    <s v="DNB"/>
    <n v="0"/>
    <n v="0"/>
    <n v="0"/>
    <n v="0"/>
    <n v="0"/>
    <n v="0"/>
    <n v="0"/>
    <n v="0"/>
    <n v="0"/>
    <n v="0"/>
    <n v="0"/>
    <s v="DCW"/>
    <s v="GGTW"/>
    <s v="Arun Jaitley Stadium"/>
    <n v="129"/>
    <n v="9.8000000000000007"/>
    <n v="45"/>
    <n v="0"/>
    <n v="30"/>
    <s v="Successful"/>
    <n v="1"/>
    <n v="20"/>
  </r>
  <r>
    <x v="42"/>
    <n v="2"/>
    <s v="P042"/>
    <x v="41"/>
    <x v="3"/>
    <s v="Bowling Allrounder"/>
    <s v="DNB"/>
    <n v="0"/>
    <n v="0"/>
    <n v="0"/>
    <s v="DNB"/>
    <n v="0"/>
    <n v="4"/>
    <n v="0"/>
    <n v="23"/>
    <n v="2"/>
    <n v="5.8"/>
    <n v="55"/>
    <n v="0"/>
    <n v="0"/>
    <n v="55"/>
    <n v="6"/>
    <s v="DCW"/>
    <s v="GGTW"/>
    <s v="Arun Jaitley Stadium"/>
    <n v="129"/>
    <n v="9.8000000000000007"/>
    <n v="45"/>
    <n v="0"/>
    <n v="30"/>
    <s v="Successful"/>
    <n v="1"/>
    <n v="49.3"/>
  </r>
  <r>
    <x v="42"/>
    <n v="2"/>
    <s v="P062"/>
    <x v="61"/>
    <x v="3"/>
    <s v="Allrounder"/>
    <s v="DNB"/>
    <n v="0"/>
    <n v="0"/>
    <n v="0"/>
    <s v="DNB"/>
    <n v="0"/>
    <n v="2"/>
    <n v="0"/>
    <n v="9"/>
    <n v="2"/>
    <n v="4.5"/>
    <n v="65"/>
    <n v="0"/>
    <n v="0"/>
    <n v="65"/>
    <n v="7"/>
    <s v="DCW"/>
    <s v="GGTW"/>
    <s v="Arun Jaitley Stadium"/>
    <n v="129"/>
    <n v="9.8000000000000007"/>
    <n v="45"/>
    <n v="0"/>
    <n v="30"/>
    <s v="Successful"/>
    <n v="1"/>
    <n v="54.6"/>
  </r>
  <r>
    <x v="43"/>
    <n v="2"/>
    <s v="P023"/>
    <x v="22"/>
    <x v="2"/>
    <s v="Batter"/>
    <s v="Opener"/>
    <n v="10"/>
    <n v="7"/>
    <n v="142.86000000000001"/>
    <s v="caught"/>
    <n v="10.1"/>
    <n v="0"/>
    <n v="0"/>
    <n v="0"/>
    <n v="0"/>
    <n v="0"/>
    <n v="0"/>
    <n v="0"/>
    <n v="0"/>
    <n v="10.1"/>
    <n v="1"/>
    <s v="RCBW"/>
    <s v="RCBW"/>
    <s v="Arun Jaitley Stadium"/>
    <n v="135"/>
    <n v="6.75"/>
    <n v="34"/>
    <n v="45"/>
    <n v="48"/>
    <s v="NA"/>
    <n v="1"/>
    <n v="25.35"/>
  </r>
  <r>
    <x v="43"/>
    <n v="2"/>
    <s v="P024"/>
    <x v="23"/>
    <x v="2"/>
    <s v="Allrounder"/>
    <s v="Top Order"/>
    <n v="10"/>
    <n v="7"/>
    <n v="142.86000000000001"/>
    <s v="bowled"/>
    <n v="10.1"/>
    <n v="1"/>
    <n v="0"/>
    <n v="9"/>
    <n v="0"/>
    <n v="9"/>
    <n v="0"/>
    <n v="0"/>
    <n v="0"/>
    <n v="10.1"/>
    <n v="1"/>
    <s v="RCBW"/>
    <s v="RCBW"/>
    <s v="Arun Jaitley Stadium"/>
    <n v="135"/>
    <n v="6.75"/>
    <n v="34"/>
    <n v="45"/>
    <n v="48"/>
    <s v="NA"/>
    <n v="1"/>
    <n v="25.35"/>
  </r>
  <r>
    <x v="43"/>
    <n v="2"/>
    <s v="P027"/>
    <x v="26"/>
    <x v="2"/>
    <s v="Allrounder"/>
    <s v="Top Order"/>
    <n v="66"/>
    <n v="50"/>
    <n v="132"/>
    <s v="caught"/>
    <n v="56.4"/>
    <n v="4"/>
    <n v="0"/>
    <n v="29"/>
    <n v="1"/>
    <n v="7.2"/>
    <n v="17.5"/>
    <n v="0"/>
    <n v="0"/>
    <n v="73.900000000000006"/>
    <n v="7"/>
    <s v="RCBW"/>
    <s v="RCBW"/>
    <s v="Arun Jaitley Stadium"/>
    <n v="135"/>
    <n v="6.75"/>
    <n v="34"/>
    <n v="45"/>
    <n v="48"/>
    <s v="NA"/>
    <n v="1"/>
    <n v="59.050000000000004"/>
  </r>
  <r>
    <x v="43"/>
    <n v="2"/>
    <s v="P026"/>
    <x v="25"/>
    <x v="2"/>
    <s v="Batter"/>
    <s v="Middle Order"/>
    <n v="0"/>
    <n v="7"/>
    <n v="0"/>
    <s v="caught"/>
    <n v="0"/>
    <n v="0"/>
    <n v="0"/>
    <n v="0"/>
    <n v="0"/>
    <n v="0"/>
    <n v="0"/>
    <n v="0"/>
    <n v="0"/>
    <n v="0"/>
    <n v="0"/>
    <s v="RCBW"/>
    <s v="RCBW"/>
    <s v="Arun Jaitley Stadium"/>
    <n v="135"/>
    <n v="6.75"/>
    <n v="34"/>
    <n v="45"/>
    <n v="48"/>
    <s v="NA"/>
    <n v="1"/>
    <n v="20"/>
  </r>
  <r>
    <x v="43"/>
    <n v="2"/>
    <s v="P028"/>
    <x v="27"/>
    <x v="2"/>
    <s v="WK-Batter"/>
    <s v="Middle Order"/>
    <n v="14"/>
    <n v="19"/>
    <n v="73.680000000000007"/>
    <s v="caught"/>
    <n v="1.6"/>
    <n v="0"/>
    <n v="0"/>
    <n v="0"/>
    <n v="0"/>
    <n v="0"/>
    <n v="0"/>
    <n v="0"/>
    <n v="0"/>
    <n v="1.6"/>
    <n v="0"/>
    <s v="RCBW"/>
    <s v="RCBW"/>
    <s v="Arun Jaitley Stadium"/>
    <n v="135"/>
    <n v="6.75"/>
    <n v="34"/>
    <n v="45"/>
    <n v="48"/>
    <s v="NA"/>
    <n v="1"/>
    <n v="20.8"/>
  </r>
  <r>
    <x v="43"/>
    <n v="2"/>
    <s v="P077"/>
    <x v="74"/>
    <x v="2"/>
    <s v="Allrounder"/>
    <s v="Middle Order"/>
    <n v="11"/>
    <n v="17"/>
    <n v="64.709999999999994"/>
    <s v="bowled"/>
    <n v="0.9"/>
    <n v="4"/>
    <n v="0"/>
    <n v="16"/>
    <n v="1"/>
    <n v="4"/>
    <n v="35"/>
    <n v="0"/>
    <n v="0"/>
    <n v="35.9"/>
    <n v="4"/>
    <s v="RCBW"/>
    <s v="RCBW"/>
    <s v="Arun Jaitley Stadium"/>
    <n v="135"/>
    <n v="6.75"/>
    <n v="34"/>
    <n v="45"/>
    <n v="48"/>
    <s v="NA"/>
    <n v="1"/>
    <n v="39.15"/>
  </r>
  <r>
    <x v="43"/>
    <n v="2"/>
    <s v="P007"/>
    <x v="6"/>
    <x v="2"/>
    <s v="Allrounder"/>
    <s v="Lower Order"/>
    <n v="18"/>
    <n v="10"/>
    <n v="180"/>
    <s v="not out"/>
    <n v="25"/>
    <n v="4"/>
    <n v="0"/>
    <n v="37"/>
    <n v="1"/>
    <n v="9.1999999999999993"/>
    <n v="6.5"/>
    <n v="0"/>
    <n v="0"/>
    <n v="31.5"/>
    <n v="3"/>
    <s v="RCBW"/>
    <s v="RCBW"/>
    <s v="Arun Jaitley Stadium"/>
    <n v="135"/>
    <n v="6.75"/>
    <n v="34"/>
    <n v="45"/>
    <n v="48"/>
    <s v="NA"/>
    <n v="1"/>
    <n v="36.65"/>
  </r>
  <r>
    <x v="43"/>
    <n v="2"/>
    <s v="P059"/>
    <x v="58"/>
    <x v="2"/>
    <s v="Allrounder"/>
    <s v="Lower Order"/>
    <n v="3"/>
    <n v="3"/>
    <n v="100"/>
    <s v="not out"/>
    <n v="6.5"/>
    <n v="4"/>
    <n v="0"/>
    <n v="16"/>
    <n v="2"/>
    <n v="4"/>
    <n v="60"/>
    <n v="0"/>
    <n v="0"/>
    <n v="66.5"/>
    <n v="7"/>
    <s v="RCBW"/>
    <s v="RCBW"/>
    <s v="Arun Jaitley Stadium"/>
    <n v="135"/>
    <n v="6.75"/>
    <n v="34"/>
    <n v="45"/>
    <n v="48"/>
    <s v="NA"/>
    <n v="1"/>
    <n v="55.35"/>
  </r>
  <r>
    <x v="43"/>
    <n v="2"/>
    <s v="P030"/>
    <x v="29"/>
    <x v="2"/>
    <s v="Allrounder"/>
    <s v="DNB"/>
    <n v="0"/>
    <n v="0"/>
    <n v="0"/>
    <s v="DNB"/>
    <n v="0"/>
    <n v="2"/>
    <n v="0"/>
    <n v="13"/>
    <n v="1"/>
    <n v="6.5"/>
    <n v="18.5"/>
    <n v="0"/>
    <n v="0"/>
    <n v="18.5"/>
    <n v="2"/>
    <s v="RCBW"/>
    <s v="RCBW"/>
    <s v="Arun Jaitley Stadium"/>
    <n v="135"/>
    <n v="6.75"/>
    <n v="34"/>
    <n v="45"/>
    <n v="48"/>
    <s v="NA"/>
    <n v="1"/>
    <n v="29.85"/>
  </r>
  <r>
    <x v="43"/>
    <n v="2"/>
    <s v="P135"/>
    <x v="94"/>
    <x v="2"/>
    <s v="Bowler"/>
    <s v="DNB"/>
    <n v="0"/>
    <n v="0"/>
    <n v="0"/>
    <s v="DNB"/>
    <n v="0"/>
    <n v="1"/>
    <n v="0"/>
    <n v="9"/>
    <n v="0"/>
    <n v="9"/>
    <n v="0"/>
    <n v="0"/>
    <n v="0"/>
    <n v="0"/>
    <n v="0"/>
    <s v="RCBW"/>
    <s v="RCBW"/>
    <s v="Arun Jaitley Stadium"/>
    <n v="135"/>
    <n v="6.75"/>
    <n v="34"/>
    <n v="45"/>
    <n v="48"/>
    <s v="NA"/>
    <n v="1"/>
    <n v="20"/>
  </r>
  <r>
    <x v="43"/>
    <n v="2"/>
    <s v="P033"/>
    <x v="32"/>
    <x v="2"/>
    <s v="Bowler"/>
    <s v="DNB"/>
    <n v="0"/>
    <n v="0"/>
    <n v="0"/>
    <s v="DNB"/>
    <n v="0"/>
    <n v="1"/>
    <n v="0"/>
    <n v="6"/>
    <n v="0"/>
    <n v="6"/>
    <n v="0"/>
    <n v="0"/>
    <n v="0"/>
    <n v="0"/>
    <n v="0"/>
    <s v="RCBW"/>
    <s v="RCBW"/>
    <s v="Arun Jaitley Stadium"/>
    <n v="135"/>
    <n v="6.75"/>
    <n v="34"/>
    <n v="45"/>
    <n v="48"/>
    <s v="NA"/>
    <n v="1"/>
    <n v="20"/>
  </r>
  <r>
    <x v="43"/>
    <n v="2"/>
    <s v="P013"/>
    <x v="12"/>
    <x v="1"/>
    <s v="WK-Batter"/>
    <s v="Opener"/>
    <n v="19"/>
    <n v="27"/>
    <n v="70.37"/>
    <s v="bowled"/>
    <n v="4.5999999999999996"/>
    <n v="0"/>
    <n v="0"/>
    <n v="0"/>
    <n v="0"/>
    <n v="0"/>
    <n v="0"/>
    <n v="0"/>
    <n v="0"/>
    <n v="4.5999999999999996"/>
    <n v="0"/>
    <s v="RCBW"/>
    <s v="RCBW"/>
    <s v="Arun Jaitley Stadium"/>
    <n v="130"/>
    <n v="6.5"/>
    <n v="37"/>
    <n v="26"/>
    <n v="45"/>
    <s v="Failed"/>
    <n v="0"/>
    <n v="2.2999999999999998"/>
  </r>
  <r>
    <x v="43"/>
    <n v="2"/>
    <s v="P012"/>
    <x v="11"/>
    <x v="1"/>
    <s v="Allrounder"/>
    <s v="Opener"/>
    <n v="15"/>
    <n v="14"/>
    <n v="107.14"/>
    <s v="caught"/>
    <n v="11.4"/>
    <n v="4"/>
    <n v="0"/>
    <n v="18"/>
    <n v="2"/>
    <n v="4.5"/>
    <n v="65"/>
    <n v="0"/>
    <n v="0"/>
    <n v="76.400000000000006"/>
    <n v="8"/>
    <s v="RCBW"/>
    <s v="RCBW"/>
    <s v="Arun Jaitley Stadium"/>
    <n v="130"/>
    <n v="6.5"/>
    <n v="37"/>
    <n v="26"/>
    <n v="45"/>
    <s v="Failed"/>
    <n v="0"/>
    <n v="40.6"/>
  </r>
  <r>
    <x v="43"/>
    <n v="2"/>
    <s v="P015"/>
    <x v="14"/>
    <x v="1"/>
    <s v="Allrounder"/>
    <s v="Top Order"/>
    <n v="23"/>
    <n v="17"/>
    <n v="135.29"/>
    <s v="bowled"/>
    <n v="21.6"/>
    <n v="4"/>
    <n v="0"/>
    <n v="18"/>
    <n v="2"/>
    <n v="4.5"/>
    <n v="65"/>
    <n v="0"/>
    <n v="0"/>
    <n v="86.6"/>
    <n v="9"/>
    <s v="RCBW"/>
    <s v="RCBW"/>
    <s v="Arun Jaitley Stadium"/>
    <n v="130"/>
    <n v="6.5"/>
    <n v="37"/>
    <n v="26"/>
    <n v="45"/>
    <s v="Failed"/>
    <n v="0"/>
    <n v="46"/>
  </r>
  <r>
    <x v="43"/>
    <n v="2"/>
    <s v="P014"/>
    <x v="13"/>
    <x v="1"/>
    <s v="Allrounder"/>
    <s v="Middle Order"/>
    <n v="33"/>
    <n v="30"/>
    <n v="110"/>
    <s v="caught"/>
    <n v="24"/>
    <n v="0"/>
    <n v="0"/>
    <n v="0"/>
    <n v="0"/>
    <n v="0"/>
    <n v="0"/>
    <n v="0"/>
    <n v="0"/>
    <n v="24"/>
    <n v="2"/>
    <s v="RCBW"/>
    <s v="RCBW"/>
    <s v="Arun Jaitley Stadium"/>
    <n v="130"/>
    <n v="6.5"/>
    <n v="37"/>
    <n v="26"/>
    <n v="45"/>
    <s v="Failed"/>
    <n v="0"/>
    <n v="12.6"/>
  </r>
  <r>
    <x v="43"/>
    <n v="2"/>
    <s v="P016"/>
    <x v="15"/>
    <x v="1"/>
    <s v="Allrounder"/>
    <s v="Middle Order"/>
    <n v="27"/>
    <n v="25"/>
    <n v="108"/>
    <s v="not out"/>
    <n v="26.1"/>
    <n v="2"/>
    <n v="0"/>
    <n v="18"/>
    <n v="0"/>
    <n v="9"/>
    <n v="0"/>
    <n v="0"/>
    <n v="0"/>
    <n v="26.1"/>
    <n v="3"/>
    <s v="RCBW"/>
    <s v="RCBW"/>
    <s v="Arun Jaitley Stadium"/>
    <n v="130"/>
    <n v="6.5"/>
    <n v="37"/>
    <n v="26"/>
    <n v="45"/>
    <s v="Failed"/>
    <n v="0"/>
    <n v="13.950000000000001"/>
  </r>
  <r>
    <x v="43"/>
    <n v="2"/>
    <s v="P072"/>
    <x v="72"/>
    <x v="1"/>
    <s v="Allrounder"/>
    <s v="Middle Order"/>
    <n v="1"/>
    <n v="3"/>
    <n v="33.33"/>
    <s v="stumped"/>
    <n v="0"/>
    <n v="0"/>
    <n v="0"/>
    <n v="0"/>
    <n v="0"/>
    <n v="0"/>
    <n v="0"/>
    <n v="0"/>
    <n v="0"/>
    <n v="0"/>
    <n v="0"/>
    <s v="RCBW"/>
    <s v="RCBW"/>
    <s v="Arun Jaitley Stadium"/>
    <n v="130"/>
    <n v="6.5"/>
    <n v="37"/>
    <n v="26"/>
    <n v="45"/>
    <s v="Failed"/>
    <n v="0"/>
    <n v="0"/>
  </r>
  <r>
    <x v="43"/>
    <n v="2"/>
    <s v="P018"/>
    <x v="17"/>
    <x v="1"/>
    <s v="Allrounder"/>
    <s v="Middle Order"/>
    <n v="4"/>
    <n v="4"/>
    <n v="100"/>
    <s v="stumped"/>
    <n v="1"/>
    <n v="3"/>
    <n v="0"/>
    <n v="21"/>
    <n v="0"/>
    <n v="7"/>
    <n v="0"/>
    <n v="0"/>
    <n v="0"/>
    <n v="1"/>
    <n v="0"/>
    <s v="RCBW"/>
    <s v="RCBW"/>
    <s v="Arun Jaitley Stadium"/>
    <n v="130"/>
    <n v="6.5"/>
    <n v="37"/>
    <n v="26"/>
    <n v="45"/>
    <s v="Failed"/>
    <n v="0"/>
    <n v="0.5"/>
  </r>
  <r>
    <x v="43"/>
    <n v="2"/>
    <s v="P017"/>
    <x v="16"/>
    <x v="1"/>
    <s v="Allrounder"/>
    <s v="Middle Order"/>
    <n v="1"/>
    <n v="1"/>
    <n v="100"/>
    <s v="not out"/>
    <n v="5.3"/>
    <n v="0"/>
    <n v="0"/>
    <n v="0"/>
    <n v="0"/>
    <n v="0"/>
    <n v="0"/>
    <n v="0"/>
    <n v="0"/>
    <n v="5.3"/>
    <n v="1"/>
    <s v="RCBW"/>
    <s v="RCBW"/>
    <s v="Arun Jaitley Stadium"/>
    <n v="130"/>
    <n v="6.5"/>
    <n v="37"/>
    <n v="26"/>
    <n v="45"/>
    <s v="Failed"/>
    <n v="0"/>
    <n v="2.9499999999999997"/>
  </r>
  <r>
    <x v="43"/>
    <n v="2"/>
    <s v="P060"/>
    <x v="59"/>
    <x v="1"/>
    <s v="Bowler"/>
    <s v="DNB"/>
    <n v="0"/>
    <n v="0"/>
    <n v="0"/>
    <s v="DNB"/>
    <n v="0"/>
    <n v="4"/>
    <n v="1"/>
    <n v="30"/>
    <n v="0"/>
    <n v="7.5"/>
    <n v="0"/>
    <n v="0"/>
    <n v="0"/>
    <n v="0"/>
    <n v="0"/>
    <s v="RCBW"/>
    <s v="RCBW"/>
    <s v="Arun Jaitley Stadium"/>
    <n v="130"/>
    <n v="6.5"/>
    <n v="37"/>
    <n v="26"/>
    <n v="45"/>
    <s v="Failed"/>
    <n v="0"/>
    <n v="0"/>
  </r>
  <r>
    <x v="43"/>
    <n v="2"/>
    <s v="P022"/>
    <x v="21"/>
    <x v="1"/>
    <s v="Bowler"/>
    <s v="DNB"/>
    <n v="0"/>
    <n v="0"/>
    <n v="0"/>
    <s v="DNB"/>
    <n v="0"/>
    <n v="3"/>
    <n v="0"/>
    <n v="27"/>
    <n v="2"/>
    <n v="9"/>
    <n v="50"/>
    <n v="0"/>
    <n v="0"/>
    <n v="50"/>
    <n v="5"/>
    <s v="RCBW"/>
    <s v="RCBW"/>
    <s v="Arun Jaitley Stadium"/>
    <n v="130"/>
    <n v="6.5"/>
    <n v="37"/>
    <n v="26"/>
    <n v="45"/>
    <s v="Failed"/>
    <n v="0"/>
    <n v="26.5"/>
  </r>
  <r>
    <x v="43"/>
    <n v="2"/>
    <s v="P019"/>
    <x v="18"/>
    <x v="1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RCBW"/>
    <s v="RCBW"/>
    <s v="Arun Jaitley Stadium"/>
    <n v="130"/>
    <n v="6.5"/>
    <n v="37"/>
    <n v="26"/>
    <n v="45"/>
    <s v="Failed"/>
    <n v="0"/>
    <n v="0"/>
  </r>
  <r>
    <x v="44"/>
    <n v="2"/>
    <s v="P035"/>
    <x v="34"/>
    <x v="3"/>
    <s v="Batter"/>
    <s v="Opener"/>
    <n v="23"/>
    <n v="23"/>
    <n v="100"/>
    <s v="lbw"/>
    <n v="23"/>
    <n v="0"/>
    <n v="0"/>
    <n v="0"/>
    <n v="0"/>
    <n v="0"/>
    <n v="0"/>
    <n v="0"/>
    <n v="0"/>
    <n v="23"/>
    <n v="2"/>
    <s v="RCBW"/>
    <s v="DCW"/>
    <s v="Arun Jaitley Stadium"/>
    <n v="113"/>
    <n v="6.11"/>
    <n v="61"/>
    <n v="13"/>
    <n v="46"/>
    <s v="NA"/>
    <n v="0"/>
    <n v="12.1"/>
  </r>
  <r>
    <x v="44"/>
    <n v="2"/>
    <s v="P034"/>
    <x v="33"/>
    <x v="3"/>
    <s v="Batting Allrounder"/>
    <s v="Opener"/>
    <n v="44"/>
    <n v="27"/>
    <n v="162.96"/>
    <s v="caught"/>
    <n v="52"/>
    <n v="0"/>
    <n v="0"/>
    <n v="0"/>
    <n v="0"/>
    <n v="0"/>
    <n v="0"/>
    <n v="0"/>
    <n v="0"/>
    <n v="52"/>
    <n v="5"/>
    <s v="RCBW"/>
    <s v="DCW"/>
    <s v="Arun Jaitley Stadium"/>
    <n v="113"/>
    <n v="6.11"/>
    <n v="61"/>
    <n v="13"/>
    <n v="46"/>
    <s v="NA"/>
    <n v="0"/>
    <n v="27.5"/>
  </r>
  <r>
    <x v="44"/>
    <n v="2"/>
    <s v="P037"/>
    <x v="36"/>
    <x v="3"/>
    <s v="Batter"/>
    <s v="Top Order"/>
    <n v="0"/>
    <n v="2"/>
    <n v="0"/>
    <s v="bowled"/>
    <n v="0"/>
    <n v="0"/>
    <n v="0"/>
    <n v="0"/>
    <n v="0"/>
    <n v="0"/>
    <n v="0"/>
    <n v="0"/>
    <n v="0"/>
    <n v="0"/>
    <n v="0"/>
    <s v="RCBW"/>
    <s v="DCW"/>
    <s v="Arun Jaitley Stadium"/>
    <n v="113"/>
    <n v="6.11"/>
    <n v="61"/>
    <n v="13"/>
    <n v="46"/>
    <s v="NA"/>
    <n v="0"/>
    <n v="0"/>
  </r>
  <r>
    <x v="44"/>
    <n v="2"/>
    <s v="P038"/>
    <x v="37"/>
    <x v="3"/>
    <s v="Batter"/>
    <s v="Top Order"/>
    <n v="0"/>
    <n v="1"/>
    <n v="0"/>
    <s v="bowled"/>
    <n v="0"/>
    <n v="3"/>
    <n v="0"/>
    <n v="13"/>
    <n v="0"/>
    <n v="4.3"/>
    <n v="6.5"/>
    <n v="0"/>
    <n v="0"/>
    <n v="6.5"/>
    <n v="1"/>
    <s v="RCBW"/>
    <s v="DCW"/>
    <s v="Arun Jaitley Stadium"/>
    <n v="113"/>
    <n v="6.11"/>
    <n v="61"/>
    <n v="13"/>
    <n v="46"/>
    <s v="NA"/>
    <n v="0"/>
    <n v="3.55"/>
  </r>
  <r>
    <x v="44"/>
    <n v="2"/>
    <s v="P036"/>
    <x v="35"/>
    <x v="3"/>
    <s v="Allrounder"/>
    <s v="Middle Order"/>
    <n v="8"/>
    <n v="16"/>
    <n v="50"/>
    <s v="caught"/>
    <n v="1"/>
    <n v="4"/>
    <n v="0"/>
    <n v="20"/>
    <n v="0"/>
    <n v="5"/>
    <n v="0"/>
    <n v="0"/>
    <n v="0"/>
    <n v="1"/>
    <n v="0"/>
    <s v="RCBW"/>
    <s v="DCW"/>
    <s v="Arun Jaitley Stadium"/>
    <n v="113"/>
    <n v="6.11"/>
    <n v="61"/>
    <n v="13"/>
    <n v="46"/>
    <s v="NA"/>
    <n v="0"/>
    <n v="0.5"/>
  </r>
  <r>
    <x v="44"/>
    <n v="2"/>
    <s v="P039"/>
    <x v="38"/>
    <x v="3"/>
    <s v="Bowler"/>
    <s v="Middle Order"/>
    <n v="3"/>
    <n v="11"/>
    <n v="27.27"/>
    <s v="caught"/>
    <n v="-2"/>
    <n v="2"/>
    <n v="0"/>
    <n v="15"/>
    <n v="0"/>
    <n v="7.5"/>
    <n v="0"/>
    <n v="0"/>
    <n v="0"/>
    <n v="-2"/>
    <n v="0"/>
    <s v="RCBW"/>
    <s v="DCW"/>
    <s v="Arun Jaitley Stadium"/>
    <n v="113"/>
    <n v="6.11"/>
    <n v="61"/>
    <n v="13"/>
    <n v="46"/>
    <s v="NA"/>
    <n v="0"/>
    <n v="0"/>
  </r>
  <r>
    <x v="44"/>
    <n v="2"/>
    <s v="P043"/>
    <x v="42"/>
    <x v="3"/>
    <s v="Bowler"/>
    <s v="Middle Order"/>
    <n v="12"/>
    <n v="9"/>
    <n v="133.33000000000001"/>
    <s v="run out"/>
    <n v="14"/>
    <n v="1"/>
    <n v="0"/>
    <n v="18"/>
    <n v="0"/>
    <n v="18"/>
    <n v="0"/>
    <n v="0"/>
    <n v="0"/>
    <n v="14"/>
    <n v="1"/>
    <s v="RCBW"/>
    <s v="DCW"/>
    <s v="Arun Jaitley Stadium"/>
    <n v="113"/>
    <n v="6.11"/>
    <n v="61"/>
    <n v="13"/>
    <n v="46"/>
    <s v="NA"/>
    <n v="0"/>
    <n v="7.3"/>
  </r>
  <r>
    <x v="44"/>
    <n v="2"/>
    <s v="P062"/>
    <x v="61"/>
    <x v="3"/>
    <s v="Batting Allrounder"/>
    <s v="Middle Order"/>
    <n v="5"/>
    <n v="3"/>
    <n v="166.67"/>
    <s v="lbw"/>
    <n v="9"/>
    <n v="2"/>
    <n v="0"/>
    <n v="12"/>
    <n v="1"/>
    <n v="6"/>
    <n v="25"/>
    <n v="0"/>
    <n v="0"/>
    <n v="34"/>
    <n v="3"/>
    <s v="RCBW"/>
    <s v="DCW"/>
    <s v="Arun Jaitley Stadium"/>
    <n v="113"/>
    <n v="6.11"/>
    <n v="61"/>
    <n v="13"/>
    <n v="46"/>
    <s v="NA"/>
    <n v="0"/>
    <n v="17.899999999999999"/>
  </r>
  <r>
    <x v="44"/>
    <n v="2"/>
    <s v="P041"/>
    <x v="40"/>
    <x v="3"/>
    <s v="Bowler"/>
    <s v="Lower Order"/>
    <n v="10"/>
    <n v="13"/>
    <n v="76.92"/>
    <s v="bowled"/>
    <n v="5"/>
    <n v="3.3"/>
    <n v="0"/>
    <n v="26"/>
    <n v="0"/>
    <n v="7.4"/>
    <n v="0"/>
    <n v="0"/>
    <n v="0"/>
    <n v="5"/>
    <n v="1"/>
    <s v="RCBW"/>
    <s v="DCW"/>
    <s v="Arun Jaitley Stadium"/>
    <n v="113"/>
    <n v="6.11"/>
    <n v="61"/>
    <n v="13"/>
    <n v="46"/>
    <s v="NA"/>
    <n v="0"/>
    <n v="2.8"/>
  </r>
  <r>
    <x v="44"/>
    <n v="2"/>
    <s v="P042"/>
    <x v="41"/>
    <x v="3"/>
    <s v="Bowling Allrounder"/>
    <s v="Lower Order"/>
    <n v="5"/>
    <n v="5"/>
    <n v="100"/>
    <s v="not out"/>
    <n v="5"/>
    <n v="4"/>
    <n v="0"/>
    <n v="11"/>
    <n v="1"/>
    <n v="2.8"/>
    <n v="30"/>
    <n v="0"/>
    <n v="0"/>
    <n v="35"/>
    <n v="4"/>
    <s v="RCBW"/>
    <s v="DCW"/>
    <s v="Arun Jaitley Stadium"/>
    <n v="113"/>
    <n v="6.11"/>
    <n v="61"/>
    <n v="13"/>
    <n v="46"/>
    <s v="NA"/>
    <n v="0"/>
    <n v="18.7"/>
  </r>
  <r>
    <x v="44"/>
    <n v="2"/>
    <s v="P040"/>
    <x v="39"/>
    <x v="3"/>
    <s v="WK-Batter"/>
    <s v="Lower Order"/>
    <n v="0"/>
    <n v="1"/>
    <n v="0"/>
    <s v="caught"/>
    <n v="0"/>
    <n v="0"/>
    <n v="0"/>
    <n v="0"/>
    <n v="0"/>
    <n v="0"/>
    <n v="0"/>
    <n v="0"/>
    <n v="0"/>
    <n v="0"/>
    <n v="0"/>
    <s v="RCBW"/>
    <s v="DCW"/>
    <s v="Arun Jaitley Stadium"/>
    <n v="113"/>
    <n v="6.11"/>
    <n v="61"/>
    <n v="13"/>
    <n v="46"/>
    <s v="NA"/>
    <n v="0"/>
    <n v="0"/>
  </r>
  <r>
    <x v="44"/>
    <n v="2"/>
    <s v="P023"/>
    <x v="22"/>
    <x v="2"/>
    <s v="Batter"/>
    <s v="Opener"/>
    <n v="31"/>
    <n v="39"/>
    <n v="79.489999999999995"/>
    <s v="caught"/>
    <n v="25"/>
    <n v="0"/>
    <n v="0"/>
    <n v="0"/>
    <n v="0"/>
    <n v="0"/>
    <n v="0"/>
    <n v="0"/>
    <n v="0"/>
    <n v="25"/>
    <n v="3"/>
    <s v="RCBW"/>
    <s v="DCW"/>
    <s v="Arun Jaitley Stadium"/>
    <n v="115"/>
    <n v="5.9"/>
    <n v="25"/>
    <n v="29"/>
    <n v="49"/>
    <s v="Successful"/>
    <n v="1"/>
    <n v="33.4"/>
  </r>
  <r>
    <x v="44"/>
    <n v="2"/>
    <s v="P024"/>
    <x v="23"/>
    <x v="2"/>
    <s v="Allrounder"/>
    <s v="Top Order"/>
    <n v="32"/>
    <n v="27"/>
    <n v="118.52"/>
    <s v="lbw"/>
    <n v="33"/>
    <n v="1"/>
    <n v="0"/>
    <n v="9"/>
    <n v="0"/>
    <n v="9"/>
    <n v="0"/>
    <n v="0"/>
    <n v="0"/>
    <n v="33"/>
    <n v="3"/>
    <s v="RCBW"/>
    <s v="DCW"/>
    <s v="Arun Jaitley Stadium"/>
    <n v="115"/>
    <n v="5.9"/>
    <n v="25"/>
    <n v="29"/>
    <n v="49"/>
    <s v="Successful"/>
    <n v="1"/>
    <n v="37.4"/>
  </r>
  <r>
    <x v="44"/>
    <n v="2"/>
    <s v="P002"/>
    <x v="1"/>
    <x v="2"/>
    <s v="Batting Allrounder"/>
    <s v="DNB"/>
    <n v="0"/>
    <n v="0"/>
    <n v="0"/>
    <s v="DNB"/>
    <n v="0"/>
    <n v="0"/>
    <n v="0"/>
    <n v="0"/>
    <n v="0"/>
    <n v="0"/>
    <n v="0"/>
    <n v="0"/>
    <n v="0"/>
    <n v="0"/>
    <n v="0"/>
    <s v="RCBW"/>
    <s v="DCW"/>
    <s v="Arun Jaitley Stadium"/>
    <n v="115"/>
    <n v="5.9"/>
    <n v="25"/>
    <n v="29"/>
    <n v="49"/>
    <s v="Successful"/>
    <n v="1"/>
    <n v="20"/>
  </r>
  <r>
    <x v="44"/>
    <n v="2"/>
    <s v="P027"/>
    <x v="26"/>
    <x v="2"/>
    <s v="Allrounder"/>
    <s v="Top Order"/>
    <n v="35"/>
    <n v="37"/>
    <n v="94.59"/>
    <s v="not out"/>
    <n v="32"/>
    <n v="2"/>
    <n v="0"/>
    <n v="14"/>
    <n v="0"/>
    <n v="7"/>
    <n v="0"/>
    <n v="0"/>
    <n v="0"/>
    <n v="32"/>
    <n v="3"/>
    <s v="RCBW"/>
    <s v="DCW"/>
    <s v="Arun Jaitley Stadium"/>
    <n v="115"/>
    <n v="5.9"/>
    <n v="25"/>
    <n v="29"/>
    <n v="49"/>
    <s v="Successful"/>
    <n v="1"/>
    <n v="36.9"/>
  </r>
  <r>
    <x v="44"/>
    <n v="2"/>
    <s v="P028"/>
    <x v="27"/>
    <x v="2"/>
    <s v="WK-Batter"/>
    <s v="Middle Order"/>
    <n v="17"/>
    <n v="14"/>
    <n v="121.43"/>
    <s v="not out"/>
    <n v="18"/>
    <n v="0"/>
    <n v="0"/>
    <n v="0"/>
    <n v="0"/>
    <n v="0"/>
    <n v="0"/>
    <n v="0"/>
    <n v="0"/>
    <n v="18"/>
    <n v="2"/>
    <s v="RCBW"/>
    <s v="DCW"/>
    <s v="Arun Jaitley Stadium"/>
    <n v="115"/>
    <n v="5.9"/>
    <n v="25"/>
    <n v="29"/>
    <n v="49"/>
    <s v="Successful"/>
    <n v="1"/>
    <n v="29.6"/>
  </r>
  <r>
    <x v="44"/>
    <n v="2"/>
    <s v="P077"/>
    <x v="74"/>
    <x v="2"/>
    <s v="Allrounder"/>
    <s v="DNB"/>
    <n v="0"/>
    <n v="0"/>
    <n v="0"/>
    <s v="DNB"/>
    <n v="0"/>
    <n v="4"/>
    <n v="0"/>
    <n v="20"/>
    <n v="3"/>
    <n v="5"/>
    <n v="75"/>
    <n v="0"/>
    <n v="0"/>
    <n v="75"/>
    <n v="8"/>
    <s v="RCBW"/>
    <s v="DCW"/>
    <s v="Arun Jaitley Stadium"/>
    <n v="115"/>
    <n v="5.9"/>
    <n v="25"/>
    <n v="29"/>
    <n v="49"/>
    <s v="Successful"/>
    <n v="1"/>
    <n v="59.9"/>
  </r>
  <r>
    <x v="44"/>
    <n v="2"/>
    <s v="P007"/>
    <x v="6"/>
    <x v="2"/>
    <s v="Allrounder"/>
    <s v="DNB"/>
    <n v="0"/>
    <n v="0"/>
    <n v="0"/>
    <s v="DNB"/>
    <n v="0"/>
    <n v="3"/>
    <n v="0"/>
    <n v="16"/>
    <n v="0"/>
    <n v="5.3"/>
    <n v="0"/>
    <n v="0"/>
    <n v="0"/>
    <n v="0"/>
    <n v="0"/>
    <s v="RCBW"/>
    <s v="DCW"/>
    <s v="Arun Jaitley Stadium"/>
    <n v="115"/>
    <n v="5.9"/>
    <n v="25"/>
    <n v="29"/>
    <n v="49"/>
    <s v="Successful"/>
    <n v="1"/>
    <n v="20"/>
  </r>
  <r>
    <x v="44"/>
    <n v="2"/>
    <s v="P059"/>
    <x v="58"/>
    <x v="2"/>
    <s v="Allrounder"/>
    <s v="DNB"/>
    <n v="0"/>
    <n v="0"/>
    <n v="0"/>
    <s v="DNB"/>
    <n v="0"/>
    <n v="3.3"/>
    <n v="0"/>
    <n v="12"/>
    <n v="4"/>
    <n v="3.4"/>
    <n v="100"/>
    <n v="0"/>
    <n v="0"/>
    <n v="100"/>
    <n v="10"/>
    <s v="RCBW"/>
    <s v="DCW"/>
    <s v="Arun Jaitley Stadium"/>
    <n v="115"/>
    <n v="5.9"/>
    <n v="25"/>
    <n v="29"/>
    <n v="49"/>
    <s v="Successful"/>
    <n v="1"/>
    <n v="73"/>
  </r>
  <r>
    <x v="44"/>
    <n v="2"/>
    <s v="P026"/>
    <x v="25"/>
    <x v="2"/>
    <s v="Batter"/>
    <s v="DNB"/>
    <n v="0"/>
    <n v="0"/>
    <n v="0"/>
    <s v="DNB"/>
    <n v="0"/>
    <n v="0"/>
    <n v="0"/>
    <n v="0"/>
    <n v="0"/>
    <n v="0"/>
    <n v="0"/>
    <n v="0"/>
    <n v="0"/>
    <n v="0"/>
    <n v="0"/>
    <s v="RCBW"/>
    <s v="DCW"/>
    <s v="Arun Jaitley Stadium"/>
    <n v="115"/>
    <n v="5.9"/>
    <n v="25"/>
    <n v="29"/>
    <n v="49"/>
    <s v="Successful"/>
    <n v="1"/>
    <n v="20"/>
  </r>
  <r>
    <x v="44"/>
    <n v="2"/>
    <s v="P030"/>
    <x v="29"/>
    <x v="2"/>
    <s v="Bowling Allrounder"/>
    <s v="DNB"/>
    <n v="0"/>
    <n v="0"/>
    <n v="0"/>
    <s v="DNB"/>
    <n v="0"/>
    <n v="3"/>
    <n v="0"/>
    <n v="14"/>
    <n v="2"/>
    <n v="4.7"/>
    <n v="50"/>
    <n v="0"/>
    <n v="0"/>
    <n v="50"/>
    <n v="5"/>
    <s v="RCBW"/>
    <s v="DCW"/>
    <s v="Arun Jaitley Stadium"/>
    <n v="115"/>
    <n v="5.9"/>
    <n v="25"/>
    <n v="29"/>
    <n v="49"/>
    <s v="Successful"/>
    <n v="1"/>
    <n v="46.5"/>
  </r>
  <r>
    <x v="44"/>
    <n v="2"/>
    <s v="P033"/>
    <x v="32"/>
    <x v="2"/>
    <s v="Bowler"/>
    <s v="DNB"/>
    <n v="0"/>
    <n v="0"/>
    <n v="0"/>
    <s v="DNB"/>
    <n v="0"/>
    <n v="2"/>
    <n v="0"/>
    <n v="28"/>
    <n v="0"/>
    <n v="14"/>
    <n v="0"/>
    <n v="0"/>
    <n v="0"/>
    <n v="0"/>
    <n v="0"/>
    <s v="RCBW"/>
    <s v="DCW"/>
    <s v="Arun Jaitley Stadium"/>
    <n v="115"/>
    <n v="5.9"/>
    <n v="25"/>
    <n v="29"/>
    <n v="49"/>
    <s v="Successful"/>
    <n v="1"/>
    <n v="20"/>
  </r>
  <r>
    <x v="22"/>
    <m/>
    <m/>
    <x v="71"/>
    <x v="5"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"/>
    <n v="20"/>
  </r>
  <r>
    <x v="45"/>
    <n v="3"/>
    <s v="P001"/>
    <x v="0"/>
    <x v="0"/>
    <s v="WK-Batter"/>
    <s v="Opener"/>
    <n v="56"/>
    <n v="42"/>
    <n v="133.33000000000001"/>
    <s v="caught"/>
    <n v="62"/>
    <n v="0"/>
    <n v="0"/>
    <n v="0"/>
    <n v="0"/>
    <n v="0"/>
    <n v="0"/>
    <n v="0"/>
    <n v="0"/>
    <n v="62"/>
    <n v="6"/>
    <s v="RCBW"/>
    <s v="RCBW"/>
    <s v="BCA Stadium, Kotambi"/>
    <n v="201"/>
    <n v="10.050000000000001"/>
    <n v="39"/>
    <n v="53"/>
    <n v="35"/>
    <s v="NA"/>
    <n v="0"/>
    <n v="32.799999999999997"/>
  </r>
  <r>
    <x v="45"/>
    <n v="3"/>
    <s v="P066"/>
    <x v="65"/>
    <x v="0"/>
    <s v="Batter"/>
    <s v="Opener"/>
    <n v="6"/>
    <n v="10"/>
    <n v="60"/>
    <s v="bowled"/>
    <n v="3"/>
    <n v="0"/>
    <n v="0"/>
    <n v="0"/>
    <n v="0"/>
    <n v="0"/>
    <n v="0"/>
    <n v="0"/>
    <n v="0"/>
    <n v="3"/>
    <n v="0"/>
    <s v="RCBW"/>
    <s v="RCBW"/>
    <s v="BCA Stadium, Kotambi"/>
    <n v="201"/>
    <n v="10.050000000000001"/>
    <n v="39"/>
    <n v="53"/>
    <n v="35"/>
    <s v="NA"/>
    <n v="0"/>
    <n v="1.5"/>
  </r>
  <r>
    <x v="45"/>
    <n v="3"/>
    <s v="P006"/>
    <x v="5"/>
    <x v="0"/>
    <s v="Batter"/>
    <s v="Top Order"/>
    <n v="4"/>
    <n v="9"/>
    <n v="44.44"/>
    <s v="caught"/>
    <n v="1"/>
    <n v="0"/>
    <n v="0"/>
    <n v="0"/>
    <n v="0"/>
    <n v="0"/>
    <n v="0"/>
    <n v="0"/>
    <n v="0"/>
    <n v="1"/>
    <n v="0"/>
    <s v="RCBW"/>
    <s v="RCBW"/>
    <s v="BCA Stadium, Kotambi"/>
    <n v="201"/>
    <n v="10.050000000000001"/>
    <n v="39"/>
    <n v="53"/>
    <n v="35"/>
    <s v="NA"/>
    <n v="0"/>
    <n v="0.5"/>
  </r>
  <r>
    <x v="45"/>
    <n v="3"/>
    <s v="P004"/>
    <x v="3"/>
    <x v="0"/>
    <s v="Allrounder"/>
    <s v="Middle Order"/>
    <n v="79"/>
    <n v="37"/>
    <n v="213.51"/>
    <s v="not out"/>
    <n v="95"/>
    <n v="3"/>
    <n v="0"/>
    <n v="33"/>
    <n v="2"/>
    <n v="11"/>
    <n v="50"/>
    <n v="0"/>
    <n v="0"/>
    <n v="145"/>
    <n v="10"/>
    <s v="RCBW"/>
    <s v="RCBW"/>
    <s v="BCA Stadium, Kotambi"/>
    <n v="201"/>
    <n v="10.050000000000001"/>
    <n v="39"/>
    <n v="53"/>
    <n v="35"/>
    <s v="NA"/>
    <n v="0"/>
    <n v="75.5"/>
  </r>
  <r>
    <x v="45"/>
    <n v="3"/>
    <s v="P116"/>
    <x v="96"/>
    <x v="0"/>
    <s v="Allrounder"/>
    <s v="Middle Order"/>
    <n v="25"/>
    <n v="13"/>
    <n v="192.31"/>
    <s v="caught"/>
    <n v="28"/>
    <n v="3.3"/>
    <n v="0"/>
    <n v="41"/>
    <n v="1"/>
    <n v="11.7"/>
    <n v="25"/>
    <n v="0"/>
    <n v="0"/>
    <n v="53"/>
    <n v="5"/>
    <s v="RCBW"/>
    <s v="RCBW"/>
    <s v="BCA Stadium, Kotambi"/>
    <n v="201"/>
    <n v="10.050000000000001"/>
    <n v="39"/>
    <n v="53"/>
    <n v="35"/>
    <s v="NA"/>
    <n v="0"/>
    <n v="28"/>
  </r>
  <r>
    <x v="45"/>
    <n v="3"/>
    <s v="P003"/>
    <x v="2"/>
    <x v="0"/>
    <s v="Batting Allrounder"/>
    <s v="Middle Order"/>
    <n v="9"/>
    <n v="4"/>
    <n v="225"/>
    <s v="not out"/>
    <n v="18"/>
    <n v="0"/>
    <n v="0"/>
    <n v="0"/>
    <n v="0"/>
    <n v="0"/>
    <n v="0"/>
    <n v="0"/>
    <n v="0"/>
    <n v="18"/>
    <n v="2"/>
    <s v="RCBW"/>
    <s v="RCBW"/>
    <s v="BCA Stadium, Kotambi"/>
    <n v="201"/>
    <n v="10.050000000000001"/>
    <n v="39"/>
    <n v="53"/>
    <n v="35"/>
    <s v="NA"/>
    <n v="0"/>
    <n v="9.6"/>
  </r>
  <r>
    <x v="45"/>
    <n v="3"/>
    <s v="P050"/>
    <x v="49"/>
    <x v="0"/>
    <s v="Batter"/>
    <s v="Middle Order"/>
    <n v="11"/>
    <n v="5"/>
    <n v="220"/>
    <s v="bowled"/>
    <n v="14"/>
    <n v="0"/>
    <n v="0"/>
    <n v="0"/>
    <n v="0"/>
    <n v="0"/>
    <n v="0"/>
    <n v="0"/>
    <n v="0"/>
    <n v="14"/>
    <n v="1"/>
    <s v="RCBW"/>
    <s v="RCBW"/>
    <s v="BCA Stadium, Kotambi"/>
    <n v="201"/>
    <n v="10.050000000000001"/>
    <n v="39"/>
    <n v="53"/>
    <n v="35"/>
    <s v="NA"/>
    <n v="0"/>
    <n v="7.3"/>
  </r>
  <r>
    <x v="45"/>
    <n v="3"/>
    <s v="P009"/>
    <x v="8"/>
    <x v="0"/>
    <s v="Bowler"/>
    <s v="DNB"/>
    <n v="0"/>
    <n v="0"/>
    <n v="0"/>
    <s v="DNB"/>
    <n v="0"/>
    <n v="3"/>
    <n v="0"/>
    <n v="29"/>
    <n v="0"/>
    <n v="9.6999999999999993"/>
    <n v="0"/>
    <n v="0"/>
    <n v="0"/>
    <n v="0"/>
    <n v="0"/>
    <s v="RCBW"/>
    <s v="RCBW"/>
    <s v="BCA Stadium, Kotambi"/>
    <n v="201"/>
    <n v="10.050000000000001"/>
    <n v="39"/>
    <n v="53"/>
    <n v="35"/>
    <s v="NA"/>
    <n v="0"/>
    <n v="0"/>
  </r>
  <r>
    <x v="45"/>
    <n v="3"/>
    <s v="P089"/>
    <x v="89"/>
    <x v="0"/>
    <s v="Allrounder"/>
    <s v="DNB"/>
    <n v="0"/>
    <n v="0"/>
    <n v="0"/>
    <s v="DNB"/>
    <n v="0"/>
    <n v="4"/>
    <n v="0"/>
    <n v="44"/>
    <n v="1"/>
    <n v="11"/>
    <n v="25"/>
    <n v="0"/>
    <n v="0"/>
    <n v="25"/>
    <n v="3"/>
    <s v="RCBW"/>
    <s v="RCBW"/>
    <s v="BCA Stadium, Kotambi"/>
    <n v="201"/>
    <n v="10.050000000000001"/>
    <n v="39"/>
    <n v="53"/>
    <n v="35"/>
    <s v="NA"/>
    <n v="0"/>
    <n v="13.4"/>
  </r>
  <r>
    <x v="45"/>
    <n v="3"/>
    <s v="P099"/>
    <x v="97"/>
    <x v="0"/>
    <s v="Bowler"/>
    <s v="DNB"/>
    <n v="0"/>
    <n v="0"/>
    <n v="0"/>
    <s v="DNB"/>
    <n v="0"/>
    <n v="3"/>
    <n v="0"/>
    <n v="29"/>
    <n v="0"/>
    <n v="9.6999999999999993"/>
    <n v="0"/>
    <n v="0"/>
    <n v="0"/>
    <n v="0"/>
    <n v="0"/>
    <s v="RCBW"/>
    <s v="RCBW"/>
    <s v="BCA Stadium, Kotambi"/>
    <n v="201"/>
    <n v="10.050000000000001"/>
    <n v="39"/>
    <n v="53"/>
    <n v="35"/>
    <s v="NA"/>
    <n v="0"/>
    <n v="0"/>
  </r>
  <r>
    <x v="45"/>
    <n v="3"/>
    <s v="P098"/>
    <x v="98"/>
    <x v="0"/>
    <s v="Allrounder"/>
    <s v="DNB"/>
    <n v="0"/>
    <n v="0"/>
    <n v="0"/>
    <s v="DNB"/>
    <n v="0"/>
    <n v="2"/>
    <n v="0"/>
    <n v="22"/>
    <n v="0"/>
    <n v="11"/>
    <n v="0"/>
    <n v="0"/>
    <n v="0"/>
    <n v="0"/>
    <n v="0"/>
    <s v="RCBW"/>
    <s v="RCBW"/>
    <s v="BCA Stadium, Kotambi"/>
    <n v="201"/>
    <n v="10.050000000000001"/>
    <n v="39"/>
    <n v="53"/>
    <n v="35"/>
    <s v="NA"/>
    <n v="0"/>
    <n v="0"/>
  </r>
  <r>
    <x v="45"/>
    <n v="3"/>
    <s v="P023"/>
    <x v="22"/>
    <x v="2"/>
    <s v="Batter"/>
    <s v="Opener"/>
    <n v="9"/>
    <n v="7"/>
    <n v="128.57"/>
    <s v="lbw"/>
    <n v="6"/>
    <n v="0"/>
    <n v="0"/>
    <n v="0"/>
    <n v="0"/>
    <n v="0"/>
    <n v="0"/>
    <n v="0"/>
    <n v="0"/>
    <n v="6"/>
    <n v="1"/>
    <s v="RCBW"/>
    <s v="RCBW"/>
    <s v="BCA Stadium, Kotambi"/>
    <n v="202"/>
    <n v="10.92"/>
    <n v="51"/>
    <n v="40"/>
    <n v="23"/>
    <s v="Successful"/>
    <n v="1"/>
    <n v="23.3"/>
  </r>
  <r>
    <x v="45"/>
    <n v="3"/>
    <s v="P094"/>
    <x v="99"/>
    <x v="2"/>
    <s v="Batter"/>
    <s v="Top Order"/>
    <n v="4"/>
    <n v="4"/>
    <n v="100"/>
    <s v="bowled"/>
    <n v="1"/>
    <n v="0"/>
    <n v="0"/>
    <n v="0"/>
    <n v="0"/>
    <n v="0"/>
    <n v="0"/>
    <n v="0"/>
    <n v="0"/>
    <n v="1"/>
    <n v="0"/>
    <s v="RCBW"/>
    <s v="RCBW"/>
    <s v="BCA Stadium, Kotambi"/>
    <n v="202"/>
    <n v="10.92"/>
    <n v="51"/>
    <n v="40"/>
    <n v="23"/>
    <s v="Successful"/>
    <n v="1"/>
    <n v="20.5"/>
  </r>
  <r>
    <x v="45"/>
    <n v="3"/>
    <s v="P027"/>
    <x v="26"/>
    <x v="2"/>
    <s v="Allrounder"/>
    <s v="Top Order"/>
    <n v="57"/>
    <n v="34"/>
    <n v="167.65"/>
    <s v="caught"/>
    <n v="65"/>
    <n v="0"/>
    <n v="0"/>
    <n v="0"/>
    <n v="0"/>
    <n v="0"/>
    <n v="0"/>
    <n v="0"/>
    <n v="0"/>
    <n v="65"/>
    <n v="7"/>
    <s v="RCBW"/>
    <s v="RCBW"/>
    <s v="BCA Stadium, Kotambi"/>
    <n v="202"/>
    <n v="10.92"/>
    <n v="51"/>
    <n v="40"/>
    <n v="23"/>
    <s v="Successful"/>
    <n v="1"/>
    <n v="54.6"/>
  </r>
  <r>
    <x v="45"/>
    <n v="3"/>
    <s v="P095"/>
    <x v="100"/>
    <x v="2"/>
    <s v="Batting Allrounder"/>
    <s v="Middle Order"/>
    <n v="25"/>
    <n v="27"/>
    <n v="92.59"/>
    <s v="caught"/>
    <n v="20"/>
    <n v="0"/>
    <n v="0"/>
    <n v="0"/>
    <n v="0"/>
    <n v="0"/>
    <n v="0"/>
    <n v="0"/>
    <n v="0"/>
    <n v="20"/>
    <n v="2"/>
    <s v="RCBW"/>
    <s v="RCBW"/>
    <s v="BCA Stadium, Kotambi"/>
    <n v="202"/>
    <n v="10.92"/>
    <n v="51"/>
    <n v="40"/>
    <n v="23"/>
    <s v="Successful"/>
    <n v="1"/>
    <n v="30.6"/>
  </r>
  <r>
    <x v="45"/>
    <n v="3"/>
    <s v="P028"/>
    <x v="27"/>
    <x v="2"/>
    <s v="WK-Batter"/>
    <s v="Middle Order"/>
    <n v="64"/>
    <n v="27"/>
    <n v="237.04"/>
    <s v="not out"/>
    <n v="90"/>
    <n v="0"/>
    <n v="0"/>
    <n v="0"/>
    <n v="0"/>
    <n v="0"/>
    <n v="0"/>
    <n v="0"/>
    <n v="0"/>
    <n v="90"/>
    <n v="9"/>
    <s v="RCBW"/>
    <s v="RCBW"/>
    <s v="BCA Stadium, Kotambi"/>
    <n v="202"/>
    <n v="10.92"/>
    <n v="51"/>
    <n v="40"/>
    <n v="23"/>
    <s v="Successful"/>
    <n v="1"/>
    <n v="67.7"/>
  </r>
  <r>
    <x v="45"/>
    <n v="3"/>
    <s v="P029"/>
    <x v="28"/>
    <x v="2"/>
    <s v="Batting Allrounder"/>
    <s v="Middle Order"/>
    <n v="30"/>
    <n v="13"/>
    <n v="230.77"/>
    <s v="not out"/>
    <n v="45"/>
    <n v="3"/>
    <n v="0"/>
    <n v="19"/>
    <n v="1"/>
    <n v="6.3"/>
    <n v="25"/>
    <n v="0"/>
    <n v="0"/>
    <n v="70"/>
    <n v="7"/>
    <s v="RCBW"/>
    <s v="RCBW"/>
    <s v="BCA Stadium, Kotambi"/>
    <n v="202"/>
    <n v="10.92"/>
    <n v="51"/>
    <n v="40"/>
    <n v="23"/>
    <s v="Successful"/>
    <n v="1"/>
    <n v="57.1"/>
  </r>
  <r>
    <x v="45"/>
    <n v="3"/>
    <s v="P007"/>
    <x v="6"/>
    <x v="2"/>
    <s v="Allrounder"/>
    <s v="DNB"/>
    <n v="0"/>
    <n v="0"/>
    <n v="0"/>
    <s v="DNB"/>
    <n v="0"/>
    <n v="3"/>
    <n v="0"/>
    <n v="50"/>
    <n v="1"/>
    <n v="16.7"/>
    <n v="25"/>
    <n v="0"/>
    <n v="0"/>
    <n v="25"/>
    <n v="3"/>
    <s v="RCBW"/>
    <s v="RCBW"/>
    <s v="BCA Stadium, Kotambi"/>
    <n v="202"/>
    <n v="10.92"/>
    <n v="51"/>
    <n v="40"/>
    <n v="23"/>
    <s v="Successful"/>
    <n v="1"/>
    <n v="33.4"/>
  </r>
  <r>
    <x v="45"/>
    <n v="3"/>
    <s v="P058"/>
    <x v="57"/>
    <x v="2"/>
    <s v="Bowler"/>
    <s v="DNB"/>
    <n v="0"/>
    <n v="0"/>
    <n v="0"/>
    <s v="DNB"/>
    <n v="0"/>
    <n v="4"/>
    <n v="0"/>
    <n v="34"/>
    <n v="0"/>
    <n v="8.5"/>
    <n v="0"/>
    <n v="0"/>
    <n v="0"/>
    <n v="0"/>
    <n v="0"/>
    <s v="RCBW"/>
    <s v="RCBW"/>
    <s v="BCA Stadium, Kotambi"/>
    <n v="202"/>
    <n v="10.92"/>
    <n v="51"/>
    <n v="40"/>
    <n v="23"/>
    <s v="Successful"/>
    <n v="1"/>
    <n v="20"/>
  </r>
  <r>
    <x v="45"/>
    <n v="3"/>
    <s v="P096"/>
    <x v="101"/>
    <x v="2"/>
    <s v="Allrounder"/>
    <s v="DNB"/>
    <n v="0"/>
    <n v="0"/>
    <n v="0"/>
    <s v="DNB"/>
    <n v="0"/>
    <n v="2"/>
    <n v="0"/>
    <n v="26"/>
    <n v="1"/>
    <n v="13"/>
    <n v="25"/>
    <n v="0"/>
    <n v="0"/>
    <n v="25"/>
    <n v="3"/>
    <s v="RCBW"/>
    <s v="RCBW"/>
    <s v="BCA Stadium, Kotambi"/>
    <n v="202"/>
    <n v="10.92"/>
    <n v="51"/>
    <n v="40"/>
    <n v="23"/>
    <s v="Successful"/>
    <n v="1"/>
    <n v="33.4"/>
  </r>
  <r>
    <x v="45"/>
    <n v="3"/>
    <s v="P097"/>
    <x v="102"/>
    <x v="2"/>
    <s v="Allrounder"/>
    <s v="DNB"/>
    <n v="0"/>
    <n v="0"/>
    <n v="0"/>
    <s v="DNB"/>
    <n v="0"/>
    <n v="4"/>
    <n v="0"/>
    <n v="43"/>
    <n v="0"/>
    <n v="10.8"/>
    <n v="0"/>
    <n v="0"/>
    <n v="0"/>
    <n v="0"/>
    <n v="0"/>
    <s v="RCBW"/>
    <s v="RCBW"/>
    <s v="BCA Stadium, Kotambi"/>
    <n v="202"/>
    <n v="10.92"/>
    <n v="51"/>
    <n v="40"/>
    <n v="23"/>
    <s v="Successful"/>
    <n v="1"/>
    <n v="20"/>
  </r>
  <r>
    <x v="45"/>
    <n v="3"/>
    <s v="P033"/>
    <x v="32"/>
    <x v="2"/>
    <s v="Bowler"/>
    <s v="DNB"/>
    <n v="0"/>
    <n v="0"/>
    <n v="0"/>
    <s v="DNB"/>
    <n v="0"/>
    <n v="4"/>
    <n v="0"/>
    <n v="25"/>
    <n v="2"/>
    <n v="6.2"/>
    <n v="50"/>
    <n v="0"/>
    <n v="0"/>
    <n v="50"/>
    <n v="5"/>
    <s v="RCBW"/>
    <s v="RCBW"/>
    <s v="BCA Stadium, Kotambi"/>
    <n v="202"/>
    <n v="10.92"/>
    <n v="51"/>
    <n v="40"/>
    <n v="23"/>
    <s v="Successful"/>
    <n v="1"/>
    <n v="46.5"/>
  </r>
  <r>
    <x v="46"/>
    <n v="3"/>
    <s v="P013"/>
    <x v="12"/>
    <x v="1"/>
    <s v="WK-Batter"/>
    <s v="Opener"/>
    <n v="11"/>
    <n v="9"/>
    <n v="122.22"/>
    <s v="bowled"/>
    <n v="9"/>
    <n v="0"/>
    <n v="0"/>
    <n v="0"/>
    <n v="0"/>
    <n v="0"/>
    <n v="0"/>
    <n v="0"/>
    <n v="0"/>
    <n v="9"/>
    <n v="1"/>
    <s v="DCW"/>
    <s v="DCW"/>
    <s v="BCA Stadium, Kotambi"/>
    <n v="164"/>
    <n v="8.56"/>
    <n v="41"/>
    <n v="18"/>
    <n v="39"/>
    <s v="NA"/>
    <n v="0"/>
    <n v="4.8"/>
  </r>
  <r>
    <x v="46"/>
    <n v="3"/>
    <s v="P012"/>
    <x v="11"/>
    <x v="1"/>
    <s v="Allrounder"/>
    <s v="Opener"/>
    <n v="0"/>
    <n v="2"/>
    <n v="0"/>
    <s v="caught"/>
    <n v="0"/>
    <n v="4"/>
    <n v="0"/>
    <n v="32"/>
    <n v="2"/>
    <n v="8"/>
    <n v="50"/>
    <n v="0"/>
    <n v="0"/>
    <n v="50"/>
    <n v="5"/>
    <s v="DCW"/>
    <s v="DCW"/>
    <s v="BCA Stadium, Kotambi"/>
    <n v="164"/>
    <n v="8.56"/>
    <n v="41"/>
    <n v="18"/>
    <n v="39"/>
    <s v="NA"/>
    <n v="0"/>
    <n v="26.5"/>
  </r>
  <r>
    <x v="46"/>
    <n v="3"/>
    <s v="P015"/>
    <x v="14"/>
    <x v="1"/>
    <s v="Allrounder"/>
    <s v="Top Order"/>
    <n v="80"/>
    <n v="59"/>
    <n v="135.59"/>
    <s v="not out"/>
    <n v="85"/>
    <n v="4"/>
    <n v="0"/>
    <n v="38"/>
    <n v="1"/>
    <n v="9.5"/>
    <n v="25"/>
    <n v="0"/>
    <n v="0"/>
    <n v="110"/>
    <n v="10"/>
    <s v="DCW"/>
    <s v="DCW"/>
    <s v="BCA Stadium, Kotambi"/>
    <n v="164"/>
    <n v="8.56"/>
    <n v="41"/>
    <n v="18"/>
    <n v="39"/>
    <s v="NA"/>
    <n v="0"/>
    <n v="58"/>
  </r>
  <r>
    <x v="46"/>
    <n v="3"/>
    <s v="P014"/>
    <x v="13"/>
    <x v="1"/>
    <s v="Allrounder"/>
    <s v="Middle Order"/>
    <n v="42"/>
    <n v="22"/>
    <n v="190.91"/>
    <s v="caught"/>
    <n v="60"/>
    <n v="0"/>
    <n v="0"/>
    <n v="0"/>
    <n v="0"/>
    <n v="0"/>
    <n v="0"/>
    <n v="0"/>
    <n v="0"/>
    <n v="60"/>
    <n v="6"/>
    <s v="DCW"/>
    <s v="DCW"/>
    <s v="BCA Stadium, Kotambi"/>
    <n v="164"/>
    <n v="8.56"/>
    <n v="41"/>
    <n v="18"/>
    <n v="39"/>
    <s v="NA"/>
    <n v="0"/>
    <n v="31.8"/>
  </r>
  <r>
    <x v="46"/>
    <n v="3"/>
    <s v="P016"/>
    <x v="15"/>
    <x v="1"/>
    <s v="Allrounder"/>
    <s v="Middle Order"/>
    <n v="9"/>
    <n v="9"/>
    <n v="100"/>
    <s v="run out"/>
    <n v="8"/>
    <n v="4"/>
    <n v="0"/>
    <n v="21"/>
    <n v="2"/>
    <n v="5.2"/>
    <n v="50"/>
    <n v="0"/>
    <n v="0"/>
    <n v="58"/>
    <n v="6"/>
    <s v="DCW"/>
    <s v="DCW"/>
    <s v="BCA Stadium, Kotambi"/>
    <n v="164"/>
    <n v="8.56"/>
    <n v="41"/>
    <n v="18"/>
    <n v="39"/>
    <s v="NA"/>
    <n v="0"/>
    <n v="30.8"/>
  </r>
  <r>
    <x v="46"/>
    <n v="3"/>
    <s v="P072"/>
    <x v="72"/>
    <x v="1"/>
    <s v="Allrounder"/>
    <s v="Middle Order"/>
    <n v="1"/>
    <n v="2"/>
    <n v="50"/>
    <s v="caught"/>
    <n v="0.5"/>
    <n v="1"/>
    <n v="0"/>
    <n v="10"/>
    <n v="1"/>
    <n v="10"/>
    <n v="25"/>
    <n v="0"/>
    <n v="0"/>
    <n v="25.5"/>
    <n v="3"/>
    <s v="DCW"/>
    <s v="DCW"/>
    <s v="BCA Stadium, Kotambi"/>
    <n v="164"/>
    <n v="8.56"/>
    <n v="41"/>
    <n v="18"/>
    <n v="39"/>
    <s v="NA"/>
    <n v="0"/>
    <n v="13.65"/>
  </r>
  <r>
    <x v="46"/>
    <n v="3"/>
    <s v="P017"/>
    <x v="16"/>
    <x v="1"/>
    <s v="Allrounder"/>
    <s v="Middle Order"/>
    <n v="7"/>
    <n v="7"/>
    <n v="100"/>
    <s v="bowled"/>
    <n v="6"/>
    <n v="0"/>
    <n v="0"/>
    <n v="0"/>
    <n v="0"/>
    <n v="0"/>
    <n v="0"/>
    <n v="0"/>
    <n v="0"/>
    <n v="6"/>
    <n v="1"/>
    <s v="DCW"/>
    <s v="DCW"/>
    <s v="BCA Stadium, Kotambi"/>
    <n v="164"/>
    <n v="8.56"/>
    <n v="41"/>
    <n v="18"/>
    <n v="39"/>
    <s v="NA"/>
    <n v="0"/>
    <n v="3.3"/>
  </r>
  <r>
    <x v="46"/>
    <n v="3"/>
    <s v="P102"/>
    <x v="103"/>
    <x v="1"/>
    <s v="Allrounder"/>
    <s v="Middle Order"/>
    <n v="2"/>
    <n v="5"/>
    <n v="40"/>
    <s v="caught"/>
    <n v="1"/>
    <n v="0"/>
    <n v="0"/>
    <n v="0"/>
    <n v="0"/>
    <n v="0"/>
    <n v="0"/>
    <n v="0"/>
    <n v="0"/>
    <n v="1"/>
    <n v="0"/>
    <s v="DCW"/>
    <s v="DCW"/>
    <s v="BCA Stadium, Kotambi"/>
    <n v="164"/>
    <n v="8.56"/>
    <n v="41"/>
    <n v="18"/>
    <n v="39"/>
    <s v="NA"/>
    <n v="0"/>
    <n v="0.5"/>
  </r>
  <r>
    <x v="46"/>
    <n v="3"/>
    <s v="P021"/>
    <x v="20"/>
    <x v="1"/>
    <s v="Bowler"/>
    <s v="Middle Order"/>
    <n v="1"/>
    <n v="1"/>
    <n v="100"/>
    <s v="run out"/>
    <n v="2"/>
    <n v="0"/>
    <n v="0"/>
    <n v="0"/>
    <n v="0"/>
    <n v="0"/>
    <n v="0"/>
    <n v="0"/>
    <n v="0"/>
    <n v="2"/>
    <n v="0"/>
    <s v="DCW"/>
    <s v="DCW"/>
    <s v="BCA Stadium, Kotambi"/>
    <n v="164"/>
    <n v="8.56"/>
    <n v="41"/>
    <n v="18"/>
    <n v="39"/>
    <s v="NA"/>
    <n v="0"/>
    <n v="1"/>
  </r>
  <r>
    <x v="46"/>
    <n v="3"/>
    <s v="P060"/>
    <x v="59"/>
    <x v="1"/>
    <s v="Bowler"/>
    <s v="Middle Order"/>
    <n v="0"/>
    <n v="0"/>
    <n v="0"/>
    <s v="run out"/>
    <n v="0"/>
    <n v="4"/>
    <n v="0"/>
    <n v="18"/>
    <n v="1"/>
    <n v="4.5"/>
    <n v="25"/>
    <n v="0"/>
    <n v="0"/>
    <n v="25"/>
    <n v="3"/>
    <s v="DCW"/>
    <s v="DCW"/>
    <s v="BCA Stadium, Kotambi"/>
    <n v="164"/>
    <n v="8.56"/>
    <n v="41"/>
    <n v="18"/>
    <n v="39"/>
    <s v="NA"/>
    <n v="0"/>
    <n v="13.4"/>
  </r>
  <r>
    <x v="46"/>
    <n v="3"/>
    <s v="P022"/>
    <x v="21"/>
    <x v="1"/>
    <s v="Bowler"/>
    <s v="Middle Order"/>
    <n v="0"/>
    <n v="1"/>
    <n v="0"/>
    <s v="bowled"/>
    <n v="0"/>
    <n v="3"/>
    <n v="0"/>
    <n v="43"/>
    <n v="0"/>
    <n v="14.3"/>
    <n v="0"/>
    <n v="0"/>
    <n v="0"/>
    <n v="0"/>
    <n v="0"/>
    <s v="DCW"/>
    <s v="DCW"/>
    <s v="BCA Stadium, Kotambi"/>
    <n v="164"/>
    <n v="8.56"/>
    <n v="41"/>
    <n v="18"/>
    <n v="39"/>
    <s v="NA"/>
    <n v="0"/>
    <n v="0"/>
  </r>
  <r>
    <x v="46"/>
    <n v="3"/>
    <s v="P035"/>
    <x v="34"/>
    <x v="3"/>
    <s v="Batter"/>
    <s v="Opener"/>
    <n v="15"/>
    <n v="19"/>
    <n v="78.95"/>
    <s v="bowled"/>
    <n v="10"/>
    <n v="0"/>
    <n v="0"/>
    <n v="0"/>
    <n v="0"/>
    <n v="0"/>
    <n v="0"/>
    <n v="0"/>
    <n v="0"/>
    <n v="10"/>
    <n v="1"/>
    <s v="DCW"/>
    <s v="DCW"/>
    <s v="BCA Stadium, Kotambi"/>
    <n v="165"/>
    <n v="8.25"/>
    <n v="60"/>
    <n v="44"/>
    <n v="40"/>
    <s v="Successful"/>
    <n v="1"/>
    <n v="25.3"/>
  </r>
  <r>
    <x v="46"/>
    <n v="3"/>
    <s v="P034"/>
    <x v="33"/>
    <x v="3"/>
    <s v="Batting Allrounder"/>
    <s v="Opener"/>
    <n v="43"/>
    <n v="18"/>
    <n v="238.89"/>
    <s v="caught"/>
    <n v="65"/>
    <n v="0"/>
    <n v="0"/>
    <n v="0"/>
    <n v="0"/>
    <n v="0"/>
    <n v="0"/>
    <n v="0"/>
    <n v="0"/>
    <n v="65"/>
    <n v="7"/>
    <s v="DCW"/>
    <s v="DCW"/>
    <s v="BCA Stadium, Kotambi"/>
    <n v="165"/>
    <n v="8.25"/>
    <n v="60"/>
    <n v="44"/>
    <n v="40"/>
    <s v="Successful"/>
    <n v="1"/>
    <n v="54.6"/>
  </r>
  <r>
    <x v="46"/>
    <n v="3"/>
    <s v="P037"/>
    <x v="36"/>
    <x v="3"/>
    <s v="Batter"/>
    <s v="Top Order"/>
    <n v="2"/>
    <n v="5"/>
    <n v="40"/>
    <s v="caught"/>
    <n v="1"/>
    <n v="0"/>
    <n v="0"/>
    <n v="0"/>
    <n v="0"/>
    <n v="0"/>
    <n v="0"/>
    <n v="0"/>
    <n v="0"/>
    <n v="1"/>
    <n v="0"/>
    <s v="DCW"/>
    <s v="DCW"/>
    <s v="BCA Stadium, Kotambi"/>
    <n v="165"/>
    <n v="8.25"/>
    <n v="60"/>
    <n v="44"/>
    <n v="40"/>
    <s v="Successful"/>
    <n v="1"/>
    <n v="20.5"/>
  </r>
  <r>
    <x v="46"/>
    <n v="3"/>
    <s v="P005"/>
    <x v="4"/>
    <x v="3"/>
    <s v="Allrounder"/>
    <s v="Top Order"/>
    <n v="13"/>
    <n v="10"/>
    <n v="130"/>
    <s v="bowled"/>
    <n v="12"/>
    <n v="3.1"/>
    <n v="0"/>
    <n v="34"/>
    <n v="3"/>
    <n v="10.7"/>
    <n v="75"/>
    <n v="0"/>
    <n v="0"/>
    <n v="87"/>
    <n v="9"/>
    <s v="DCW"/>
    <s v="DCW"/>
    <s v="BCA Stadium, Kotambi"/>
    <n v="165"/>
    <n v="8.25"/>
    <n v="60"/>
    <n v="44"/>
    <n v="40"/>
    <s v="Successful"/>
    <n v="1"/>
    <n v="66.2"/>
  </r>
  <r>
    <x v="46"/>
    <n v="3"/>
    <s v="P038"/>
    <x v="37"/>
    <x v="3"/>
    <s v="Batter"/>
    <s v="Middle Order"/>
    <n v="16"/>
    <n v="18"/>
    <n v="88.89"/>
    <s v="caught"/>
    <n v="12"/>
    <n v="2"/>
    <n v="0"/>
    <n v="25"/>
    <n v="1"/>
    <n v="12.5"/>
    <n v="25"/>
    <n v="0"/>
    <n v="0"/>
    <n v="37"/>
    <n v="4"/>
    <s v="DCW"/>
    <s v="DCW"/>
    <s v="BCA Stadium, Kotambi"/>
    <n v="165"/>
    <n v="8.25"/>
    <n v="60"/>
    <n v="44"/>
    <n v="40"/>
    <s v="Successful"/>
    <n v="1"/>
    <n v="39.700000000000003"/>
  </r>
  <r>
    <x v="46"/>
    <n v="3"/>
    <s v="P100"/>
    <x v="104"/>
    <x v="3"/>
    <s v="Batting Allrounder"/>
    <s v="Middle Order"/>
    <n v="35"/>
    <n v="33"/>
    <n v="106.06"/>
    <s v="caught"/>
    <n v="40"/>
    <n v="0"/>
    <n v="0"/>
    <n v="0"/>
    <n v="0"/>
    <n v="0"/>
    <n v="0"/>
    <n v="0"/>
    <n v="0"/>
    <n v="40"/>
    <n v="4"/>
    <s v="DCW"/>
    <s v="DCW"/>
    <s v="BCA Stadium, Kotambi"/>
    <n v="165"/>
    <n v="8.25"/>
    <n v="60"/>
    <n v="44"/>
    <n v="40"/>
    <s v="Successful"/>
    <n v="1"/>
    <n v="41.2"/>
  </r>
  <r>
    <x v="46"/>
    <n v="3"/>
    <s v="P101"/>
    <x v="105"/>
    <x v="3"/>
    <s v="WK-Batter"/>
    <s v="Middle Order"/>
    <n v="21"/>
    <n v="10"/>
    <n v="210"/>
    <s v="caught"/>
    <n v="35"/>
    <n v="0"/>
    <n v="0"/>
    <n v="0"/>
    <n v="0"/>
    <n v="0"/>
    <n v="0"/>
    <n v="0"/>
    <n v="0"/>
    <n v="35"/>
    <n v="4"/>
    <s v="DCW"/>
    <s v="DCW"/>
    <s v="BCA Stadium, Kotambi"/>
    <n v="165"/>
    <n v="8.25"/>
    <n v="60"/>
    <n v="44"/>
    <n v="40"/>
    <s v="Successful"/>
    <n v="1"/>
    <n v="38.700000000000003"/>
  </r>
  <r>
    <x v="46"/>
    <n v="3"/>
    <s v="P042"/>
    <x v="41"/>
    <x v="3"/>
    <s v="Allrounder"/>
    <s v="Middle Order"/>
    <n v="2"/>
    <n v="3"/>
    <n v="66.67"/>
    <s v="run out"/>
    <n v="1"/>
    <n v="4"/>
    <n v="0"/>
    <n v="14"/>
    <n v="2"/>
    <n v="3.5"/>
    <n v="50"/>
    <n v="0"/>
    <n v="0"/>
    <n v="51"/>
    <n v="5"/>
    <s v="DCW"/>
    <s v="DCW"/>
    <s v="BCA Stadium, Kotambi"/>
    <n v="165"/>
    <n v="8.25"/>
    <n v="60"/>
    <n v="44"/>
    <n v="40"/>
    <s v="Successful"/>
    <n v="1"/>
    <n v="47"/>
  </r>
  <r>
    <x v="46"/>
    <n v="3"/>
    <s v="P043"/>
    <x v="42"/>
    <x v="3"/>
    <s v="Bowler"/>
    <s v="Middle Order"/>
    <n v="9"/>
    <n v="4"/>
    <n v="225"/>
    <s v="not out"/>
    <n v="18"/>
    <n v="2"/>
    <n v="0"/>
    <n v="26"/>
    <n v="0"/>
    <n v="13"/>
    <n v="0"/>
    <n v="0"/>
    <n v="0"/>
    <n v="18"/>
    <n v="2"/>
    <s v="DCW"/>
    <s v="DCW"/>
    <s v="BCA Stadium, Kotambi"/>
    <n v="165"/>
    <n v="8.25"/>
    <n v="60"/>
    <n v="44"/>
    <n v="40"/>
    <s v="Successful"/>
    <n v="1"/>
    <n v="29.6"/>
  </r>
  <r>
    <x v="46"/>
    <n v="3"/>
    <s v="P041"/>
    <x v="40"/>
    <x v="3"/>
    <s v="Bowler"/>
    <s v="Middle Order"/>
    <n v="2"/>
    <n v="1"/>
    <n v="200"/>
    <s v="not out"/>
    <n v="5"/>
    <n v="4"/>
    <n v="0"/>
    <n v="40"/>
    <n v="0"/>
    <n v="10"/>
    <n v="0"/>
    <n v="0"/>
    <n v="0"/>
    <n v="5"/>
    <n v="1"/>
    <s v="DCW"/>
    <s v="DCW"/>
    <s v="BCA Stadium, Kotambi"/>
    <n v="165"/>
    <n v="8.25"/>
    <n v="60"/>
    <n v="44"/>
    <n v="40"/>
    <s v="Successful"/>
    <n v="1"/>
    <n v="22.8"/>
  </r>
  <r>
    <x v="46"/>
    <n v="3"/>
    <s v="P062"/>
    <x v="61"/>
    <x v="3"/>
    <s v="Batting Allrounder"/>
    <s v="DNB"/>
    <n v="0"/>
    <n v="0"/>
    <n v="0"/>
    <s v="DNB"/>
    <n v="0"/>
    <n v="4"/>
    <n v="0"/>
    <n v="23"/>
    <n v="1"/>
    <n v="5.8"/>
    <n v="25"/>
    <n v="0"/>
    <n v="0"/>
    <n v="25"/>
    <n v="3"/>
    <s v="DCW"/>
    <s v="DCW"/>
    <s v="BCA Stadium, Kotambi"/>
    <n v="165"/>
    <n v="8.25"/>
    <n v="60"/>
    <n v="44"/>
    <n v="40"/>
    <s v="Successful"/>
    <n v="1"/>
    <n v="33.4"/>
  </r>
  <r>
    <x v="47"/>
    <n v="3"/>
    <s v="P051"/>
    <x v="50"/>
    <x v="4"/>
    <s v="Batter"/>
    <s v="Opener"/>
    <n v="15"/>
    <n v="8"/>
    <n v="187.5"/>
    <s v="lbw"/>
    <n v="20"/>
    <n v="0"/>
    <n v="0"/>
    <n v="0"/>
    <n v="0"/>
    <n v="0"/>
    <n v="0"/>
    <n v="0"/>
    <n v="0"/>
    <n v="20"/>
    <n v="2"/>
    <s v="GGTW"/>
    <s v="GGTW"/>
    <s v="BCA Stadium, Kotambi"/>
    <n v="143"/>
    <n v="7.15"/>
    <n v="41"/>
    <n v="32"/>
    <n v="40"/>
    <s v="NA"/>
    <n v="0"/>
    <n v="10.6"/>
  </r>
  <r>
    <x v="47"/>
    <n v="3"/>
    <s v="P074"/>
    <x v="76"/>
    <x v="4"/>
    <s v="Batter"/>
    <s v="Opener"/>
    <n v="6"/>
    <n v="8"/>
    <n v="75"/>
    <s v="bowled"/>
    <n v="3"/>
    <n v="0"/>
    <n v="0"/>
    <n v="0"/>
    <n v="0"/>
    <n v="0"/>
    <n v="0"/>
    <n v="0"/>
    <n v="0"/>
    <n v="3"/>
    <n v="0"/>
    <s v="GGTW"/>
    <s v="GGTW"/>
    <s v="BCA Stadium, Kotambi"/>
    <n v="143"/>
    <n v="7.15"/>
    <n v="41"/>
    <n v="32"/>
    <n v="40"/>
    <s v="NA"/>
    <n v="0"/>
    <n v="1.5"/>
  </r>
  <r>
    <x v="47"/>
    <n v="3"/>
    <s v="P092"/>
    <x v="92"/>
    <x v="4"/>
    <s v="WK-Batter"/>
    <s v="Top Order"/>
    <n v="24"/>
    <n v="27"/>
    <n v="88.89"/>
    <s v="caught"/>
    <n v="20"/>
    <n v="0"/>
    <n v="0"/>
    <n v="0"/>
    <n v="0"/>
    <n v="0"/>
    <n v="0"/>
    <n v="0"/>
    <n v="0"/>
    <n v="20"/>
    <n v="2"/>
    <s v="GGTW"/>
    <s v="GGTW"/>
    <s v="BCA Stadium, Kotambi"/>
    <n v="143"/>
    <n v="7.15"/>
    <n v="41"/>
    <n v="32"/>
    <n v="40"/>
    <s v="NA"/>
    <n v="0"/>
    <n v="10.6"/>
  </r>
  <r>
    <x v="47"/>
    <n v="3"/>
    <s v="P048"/>
    <x v="47"/>
    <x v="4"/>
    <s v="Allrounder"/>
    <s v="Top Order"/>
    <n v="39"/>
    <n v="27"/>
    <n v="144.44"/>
    <s v="caught"/>
    <n v="50"/>
    <n v="4"/>
    <n v="0"/>
    <n v="32"/>
    <n v="0"/>
    <n v="8"/>
    <n v="0"/>
    <n v="0"/>
    <n v="0"/>
    <n v="50"/>
    <n v="5"/>
    <s v="GGTW"/>
    <s v="GGTW"/>
    <s v="BCA Stadium, Kotambi"/>
    <n v="143"/>
    <n v="7.15"/>
    <n v="41"/>
    <n v="32"/>
    <n v="40"/>
    <s v="NA"/>
    <n v="0"/>
    <n v="26.5"/>
  </r>
  <r>
    <x v="47"/>
    <n v="3"/>
    <s v="P047"/>
    <x v="46"/>
    <x v="4"/>
    <s v="Allrounder"/>
    <s v="Middle Order"/>
    <n v="0"/>
    <n v="2"/>
    <n v="0"/>
    <s v="lbw"/>
    <n v="0"/>
    <n v="3"/>
    <n v="0"/>
    <n v="21"/>
    <n v="1"/>
    <n v="7"/>
    <n v="25"/>
    <n v="0"/>
    <n v="0"/>
    <n v="25"/>
    <n v="3"/>
    <s v="GGTW"/>
    <s v="GGTW"/>
    <s v="BCA Stadium, Kotambi"/>
    <n v="143"/>
    <n v="7.15"/>
    <n v="41"/>
    <n v="32"/>
    <n v="40"/>
    <s v="NA"/>
    <n v="0"/>
    <n v="13.4"/>
  </r>
  <r>
    <x v="47"/>
    <n v="3"/>
    <s v="P049"/>
    <x v="48"/>
    <x v="4"/>
    <s v="Allrounder"/>
    <s v="Middle Order"/>
    <n v="4"/>
    <n v="2"/>
    <n v="200"/>
    <s v="bowled"/>
    <n v="5"/>
    <n v="1"/>
    <n v="0"/>
    <n v="1"/>
    <n v="1"/>
    <n v="1"/>
    <n v="25"/>
    <n v="0"/>
    <n v="0"/>
    <n v="30"/>
    <n v="3"/>
    <s v="GGTW"/>
    <s v="GGTW"/>
    <s v="BCA Stadium, Kotambi"/>
    <n v="143"/>
    <n v="7.15"/>
    <n v="41"/>
    <n v="32"/>
    <n v="40"/>
    <s v="NA"/>
    <n v="0"/>
    <n v="15.9"/>
  </r>
  <r>
    <x v="47"/>
    <n v="3"/>
    <s v="P046"/>
    <x v="45"/>
    <x v="4"/>
    <s v="Batter"/>
    <s v="Middle Order"/>
    <n v="16"/>
    <n v="18"/>
    <n v="88.89"/>
    <s v="bowled"/>
    <n v="10"/>
    <n v="0"/>
    <n v="0"/>
    <n v="0"/>
    <n v="0"/>
    <n v="0"/>
    <n v="0"/>
    <n v="0"/>
    <n v="0"/>
    <n v="10"/>
    <n v="1"/>
    <s v="GGTW"/>
    <s v="GGTW"/>
    <s v="BCA Stadium, Kotambi"/>
    <n v="143"/>
    <n v="7.15"/>
    <n v="41"/>
    <n v="32"/>
    <n v="40"/>
    <s v="NA"/>
    <n v="0"/>
    <n v="5.3"/>
  </r>
  <r>
    <x v="47"/>
    <n v="3"/>
    <s v="P103"/>
    <x v="106"/>
    <x v="4"/>
    <s v="Bowler"/>
    <s v="Middle Order"/>
    <n v="19"/>
    <n v="14"/>
    <n v="135.71"/>
    <s v="not out"/>
    <n v="18"/>
    <n v="3"/>
    <n v="0"/>
    <n v="38"/>
    <n v="0"/>
    <n v="12.7"/>
    <n v="0"/>
    <n v="0"/>
    <n v="0"/>
    <n v="18"/>
    <n v="2"/>
    <s v="GGTW"/>
    <s v="GGTW"/>
    <s v="BCA Stadium, Kotambi"/>
    <n v="143"/>
    <n v="7.15"/>
    <n v="41"/>
    <n v="32"/>
    <n v="40"/>
    <s v="NA"/>
    <n v="0"/>
    <n v="9.6"/>
  </r>
  <r>
    <x v="47"/>
    <n v="3"/>
    <s v="P053"/>
    <x v="52"/>
    <x v="4"/>
    <s v="Bowler"/>
    <s v="Middle Order"/>
    <n v="2"/>
    <n v="7"/>
    <n v="28.57"/>
    <s v="bowled"/>
    <n v="1"/>
    <n v="4"/>
    <n v="0"/>
    <n v="16"/>
    <n v="2"/>
    <n v="4"/>
    <n v="50"/>
    <n v="0"/>
    <n v="0"/>
    <n v="51"/>
    <n v="5"/>
    <s v="GGTW"/>
    <s v="GGTW"/>
    <s v="BCA Stadium, Kotambi"/>
    <n v="143"/>
    <n v="7.15"/>
    <n v="41"/>
    <n v="32"/>
    <n v="40"/>
    <s v="NA"/>
    <n v="0"/>
    <n v="27"/>
  </r>
  <r>
    <x v="47"/>
    <n v="3"/>
    <s v="P076"/>
    <x v="77"/>
    <x v="4"/>
    <s v="Allrounder"/>
    <s v="Middle Order"/>
    <n v="15"/>
    <n v="7"/>
    <n v="214.29"/>
    <s v="run out"/>
    <n v="20"/>
    <n v="1"/>
    <n v="0"/>
    <n v="20"/>
    <n v="0"/>
    <n v="20"/>
    <n v="0"/>
    <n v="0"/>
    <n v="0"/>
    <n v="20"/>
    <n v="2"/>
    <s v="GGTW"/>
    <s v="GGTW"/>
    <s v="BCA Stadium, Kotambi"/>
    <n v="143"/>
    <n v="7.15"/>
    <n v="41"/>
    <n v="32"/>
    <n v="40"/>
    <s v="NA"/>
    <n v="0"/>
    <n v="10.6"/>
  </r>
  <r>
    <x v="47"/>
    <n v="3"/>
    <s v="P104"/>
    <x v="107"/>
    <x v="4"/>
    <s v="Allrounder"/>
    <s v="DNB"/>
    <n v="0"/>
    <n v="0"/>
    <n v="0"/>
    <s v="DNB"/>
    <n v="0"/>
    <n v="2"/>
    <n v="0"/>
    <n v="15"/>
    <n v="0"/>
    <n v="7.5"/>
    <n v="0"/>
    <n v="0"/>
    <n v="0"/>
    <n v="0"/>
    <n v="0"/>
    <s v="GGTW"/>
    <s v="GGTW"/>
    <s v="BCA Stadium, Kotambi"/>
    <n v="143"/>
    <n v="7.15"/>
    <n v="41"/>
    <n v="32"/>
    <n v="40"/>
    <s v="NA"/>
    <n v="0"/>
    <n v="0"/>
  </r>
  <r>
    <x v="47"/>
    <n v="3"/>
    <s v="P066"/>
    <x v="65"/>
    <x v="0"/>
    <s v="Batter"/>
    <s v="Opener"/>
    <n v="22"/>
    <n v="24"/>
    <n v="91.67"/>
    <s v="bowled"/>
    <n v="18"/>
    <n v="0"/>
    <n v="0"/>
    <n v="0"/>
    <n v="0"/>
    <n v="0"/>
    <n v="0"/>
    <n v="0"/>
    <n v="0"/>
    <n v="18"/>
    <n v="2"/>
    <s v="GGTW"/>
    <s v="GGTW"/>
    <s v="BCA Stadium, Kotambi"/>
    <n v="144"/>
    <n v="8"/>
    <n v="41"/>
    <n v="20"/>
    <n v="44"/>
    <s v="Successful"/>
    <n v="1"/>
    <n v="29.6"/>
  </r>
  <r>
    <x v="47"/>
    <n v="3"/>
    <s v="P001"/>
    <x v="0"/>
    <x v="0"/>
    <s v="WK-Batter"/>
    <s v="Opener"/>
    <n v="0"/>
    <n v="1"/>
    <n v="0"/>
    <s v="caught"/>
    <n v="0"/>
    <n v="0"/>
    <n v="0"/>
    <n v="0"/>
    <n v="0"/>
    <n v="0"/>
    <n v="0"/>
    <n v="0"/>
    <n v="0"/>
    <n v="0"/>
    <n v="0"/>
    <s v="GGTW"/>
    <s v="GGTW"/>
    <s v="BCA Stadium, Kotambi"/>
    <n v="144"/>
    <n v="8"/>
    <n v="41"/>
    <n v="20"/>
    <n v="44"/>
    <s v="Successful"/>
    <n v="1"/>
    <n v="20"/>
  </r>
  <r>
    <x v="47"/>
    <n v="3"/>
    <s v="P006"/>
    <x v="5"/>
    <x v="0"/>
    <s v="Batter"/>
    <s v="Top Order"/>
    <n v="0"/>
    <n v="3"/>
    <n v="0"/>
    <s v="bowled"/>
    <n v="0"/>
    <n v="0"/>
    <n v="0"/>
    <n v="0"/>
    <n v="0"/>
    <n v="0"/>
    <n v="0"/>
    <n v="0"/>
    <n v="0"/>
    <n v="0"/>
    <n v="0"/>
    <s v="GGTW"/>
    <s v="GGTW"/>
    <s v="BCA Stadium, Kotambi"/>
    <n v="144"/>
    <n v="8"/>
    <n v="41"/>
    <n v="20"/>
    <n v="44"/>
    <s v="Successful"/>
    <n v="1"/>
    <n v="20"/>
  </r>
  <r>
    <x v="47"/>
    <n v="3"/>
    <s v="P004"/>
    <x v="3"/>
    <x v="0"/>
    <s v="Allrounder"/>
    <s v="Middle Order"/>
    <n v="52"/>
    <n v="32"/>
    <n v="162.5"/>
    <s v="caught"/>
    <n v="60"/>
    <n v="4"/>
    <n v="0"/>
    <n v="39"/>
    <n v="2"/>
    <n v="9.8000000000000007"/>
    <n v="50"/>
    <n v="0"/>
    <n v="0"/>
    <n v="110"/>
    <n v="10"/>
    <s v="GGTW"/>
    <s v="GGTW"/>
    <s v="BCA Stadium, Kotambi"/>
    <n v="144"/>
    <n v="8"/>
    <n v="41"/>
    <n v="20"/>
    <n v="44"/>
    <s v="Successful"/>
    <n v="1"/>
    <n v="78"/>
  </r>
  <r>
    <x v="47"/>
    <n v="3"/>
    <s v="P003"/>
    <x v="2"/>
    <x v="0"/>
    <s v="Allrounder"/>
    <s v="Middle Order"/>
    <n v="34"/>
    <n v="30"/>
    <n v="113.33"/>
    <s v="not out"/>
    <n v="40"/>
    <n v="0"/>
    <n v="0"/>
    <n v="0"/>
    <n v="0"/>
    <n v="0"/>
    <n v="0"/>
    <n v="0"/>
    <n v="0"/>
    <n v="40"/>
    <n v="4"/>
    <s v="GGTW"/>
    <s v="GGTW"/>
    <s v="BCA Stadium, Kotambi"/>
    <n v="144"/>
    <n v="8"/>
    <n v="41"/>
    <n v="20"/>
    <n v="44"/>
    <s v="Successful"/>
    <n v="1"/>
    <n v="41.2"/>
  </r>
  <r>
    <x v="47"/>
    <n v="3"/>
    <s v="P116"/>
    <x v="96"/>
    <x v="0"/>
    <s v="Allrounder"/>
    <s v="Middle Order"/>
    <n v="33"/>
    <n v="18"/>
    <n v="183.33"/>
    <s v="not out"/>
    <n v="45"/>
    <n v="4"/>
    <n v="0"/>
    <n v="34"/>
    <n v="2"/>
    <n v="8.5"/>
    <n v="50"/>
    <n v="0"/>
    <n v="0"/>
    <n v="95"/>
    <n v="10"/>
    <s v="GGTW"/>
    <s v="GGTW"/>
    <s v="BCA Stadium, Kotambi"/>
    <n v="144"/>
    <n v="8"/>
    <n v="41"/>
    <n v="20"/>
    <n v="44"/>
    <s v="Successful"/>
    <n v="1"/>
    <n v="70.5"/>
  </r>
  <r>
    <x v="47"/>
    <n v="3"/>
    <s v="P050"/>
    <x v="49"/>
    <x v="0"/>
    <s v="Batter"/>
    <s v="DNB"/>
    <n v="0"/>
    <n v="0"/>
    <n v="0"/>
    <s v="DNB"/>
    <n v="0"/>
    <n v="0"/>
    <n v="0"/>
    <n v="0"/>
    <n v="0"/>
    <n v="0"/>
    <n v="0"/>
    <n v="0"/>
    <n v="0"/>
    <n v="0"/>
    <n v="0"/>
    <s v="GGTW"/>
    <s v="GGTW"/>
    <s v="BCA Stadium, Kotambi"/>
    <n v="144"/>
    <n v="8"/>
    <n v="41"/>
    <n v="20"/>
    <n v="44"/>
    <s v="Successful"/>
    <n v="1"/>
    <n v="20"/>
  </r>
  <r>
    <x v="47"/>
    <n v="3"/>
    <s v="P009"/>
    <x v="8"/>
    <x v="0"/>
    <s v="Bowler"/>
    <s v="DNB"/>
    <n v="0"/>
    <n v="0"/>
    <n v="0"/>
    <s v="DNB"/>
    <n v="0"/>
    <n v="2"/>
    <n v="0"/>
    <n v="10"/>
    <n v="0"/>
    <n v="5"/>
    <n v="0"/>
    <n v="0"/>
    <n v="0"/>
    <n v="0"/>
    <n v="0"/>
    <s v="GGTW"/>
    <s v="GGTW"/>
    <s v="BCA Stadium, Kotambi"/>
    <n v="144"/>
    <n v="8"/>
    <n v="41"/>
    <n v="20"/>
    <n v="44"/>
    <s v="Successful"/>
    <n v="1"/>
    <n v="20"/>
  </r>
  <r>
    <x v="47"/>
    <n v="3"/>
    <s v="P089"/>
    <x v="89"/>
    <x v="0"/>
    <s v="Allrounder"/>
    <s v="DNB"/>
    <n v="0"/>
    <n v="0"/>
    <n v="0"/>
    <s v="DNB"/>
    <n v="0"/>
    <n v="2"/>
    <n v="0"/>
    <n v="20"/>
    <n v="0"/>
    <n v="10"/>
    <n v="0"/>
    <n v="0"/>
    <n v="0"/>
    <n v="0"/>
    <n v="0"/>
    <s v="GGTW"/>
    <s v="GGTW"/>
    <s v="BCA Stadium, Kotambi"/>
    <n v="144"/>
    <n v="8"/>
    <n v="41"/>
    <n v="20"/>
    <n v="44"/>
    <s v="Successful"/>
    <n v="1"/>
    <n v="20"/>
  </r>
  <r>
    <x v="47"/>
    <n v="3"/>
    <s v="P099"/>
    <x v="97"/>
    <x v="0"/>
    <s v="Bowler"/>
    <s v="DNB"/>
    <n v="0"/>
    <n v="0"/>
    <n v="0"/>
    <s v="DNB"/>
    <n v="0"/>
    <n v="4"/>
    <n v="0"/>
    <n v="25"/>
    <n v="3"/>
    <n v="6.2"/>
    <n v="75"/>
    <n v="0"/>
    <n v="0"/>
    <n v="75"/>
    <n v="8"/>
    <s v="GGTW"/>
    <s v="GGTW"/>
    <s v="BCA Stadium, Kotambi"/>
    <n v="144"/>
    <n v="8"/>
    <n v="41"/>
    <n v="20"/>
    <n v="44"/>
    <s v="Successful"/>
    <n v="1"/>
    <n v="59.9"/>
  </r>
  <r>
    <x v="47"/>
    <n v="3"/>
    <s v="P098"/>
    <x v="98"/>
    <x v="0"/>
    <s v="Allrounder"/>
    <s v="DNB"/>
    <n v="0"/>
    <n v="0"/>
    <n v="0"/>
    <s v="DNB"/>
    <n v="0"/>
    <n v="4"/>
    <n v="0"/>
    <n v="15"/>
    <n v="1"/>
    <n v="3.8"/>
    <n v="25"/>
    <n v="0"/>
    <n v="0"/>
    <n v="25"/>
    <n v="3"/>
    <s v="GGTW"/>
    <s v="GGTW"/>
    <s v="BCA Stadium, Kotambi"/>
    <n v="144"/>
    <n v="8"/>
    <n v="41"/>
    <n v="20"/>
    <n v="44"/>
    <s v="Successful"/>
    <n v="1"/>
    <n v="33.4"/>
  </r>
  <r>
    <x v="48"/>
    <n v="3"/>
    <s v="P035"/>
    <x v="34"/>
    <x v="3"/>
    <s v="Batter"/>
    <s v="Opener"/>
    <n v="17"/>
    <n v="19"/>
    <n v="89.47"/>
    <s v="caught"/>
    <n v="20"/>
    <n v="0"/>
    <n v="0"/>
    <n v="0"/>
    <n v="0"/>
    <n v="0"/>
    <n v="0"/>
    <n v="0"/>
    <n v="0"/>
    <n v="20"/>
    <n v="2"/>
    <s v="RCBW"/>
    <s v="RCBW"/>
    <s v="BCA Stadium, Kotambi"/>
    <n v="141"/>
    <n v="7.23"/>
    <n v="55"/>
    <n v="24"/>
    <n v="36"/>
    <s v="NA"/>
    <n v="0"/>
    <n v="10.6"/>
  </r>
  <r>
    <x v="48"/>
    <n v="3"/>
    <s v="P034"/>
    <x v="33"/>
    <x v="3"/>
    <s v="Allrounder"/>
    <s v="Opener"/>
    <n v="0"/>
    <n v="1"/>
    <n v="0"/>
    <s v="caught"/>
    <n v="0"/>
    <n v="0"/>
    <n v="0"/>
    <n v="0"/>
    <n v="0"/>
    <n v="0"/>
    <n v="0"/>
    <n v="0"/>
    <n v="0"/>
    <n v="0"/>
    <n v="0"/>
    <s v="RCBW"/>
    <s v="RCBW"/>
    <s v="BCA Stadium, Kotambi"/>
    <n v="141"/>
    <n v="7.23"/>
    <n v="55"/>
    <n v="24"/>
    <n v="36"/>
    <s v="NA"/>
    <n v="0"/>
    <n v="0"/>
  </r>
  <r>
    <x v="48"/>
    <n v="3"/>
    <s v="P037"/>
    <x v="36"/>
    <x v="3"/>
    <s v="Batter"/>
    <s v="Top Order"/>
    <n v="34"/>
    <n v="22"/>
    <n v="154.55000000000001"/>
    <s v="stumped"/>
    <n v="40"/>
    <n v="0"/>
    <n v="0"/>
    <n v="0"/>
    <n v="0"/>
    <n v="0"/>
    <n v="0"/>
    <n v="0"/>
    <n v="0"/>
    <n v="40"/>
    <n v="4"/>
    <s v="RCBW"/>
    <s v="RCBW"/>
    <s v="BCA Stadium, Kotambi"/>
    <n v="141"/>
    <n v="7.23"/>
    <n v="55"/>
    <n v="24"/>
    <n v="36"/>
    <s v="NA"/>
    <n v="0"/>
    <n v="21.2"/>
  </r>
  <r>
    <x v="48"/>
    <n v="3"/>
    <s v="P005"/>
    <x v="4"/>
    <x v="3"/>
    <s v="Allrounder"/>
    <s v="Top Order"/>
    <n v="19"/>
    <n v="13"/>
    <n v="146.15"/>
    <s v="caught"/>
    <n v="30"/>
    <n v="2"/>
    <n v="0"/>
    <n v="18"/>
    <n v="0"/>
    <n v="9"/>
    <n v="0"/>
    <n v="0"/>
    <n v="0"/>
    <n v="30"/>
    <n v="3"/>
    <s v="RCBW"/>
    <s v="RCBW"/>
    <s v="BCA Stadium, Kotambi"/>
    <n v="141"/>
    <n v="7.23"/>
    <n v="55"/>
    <n v="24"/>
    <n v="36"/>
    <s v="NA"/>
    <n v="0"/>
    <n v="15.9"/>
  </r>
  <r>
    <x v="48"/>
    <n v="3"/>
    <s v="P036"/>
    <x v="35"/>
    <x v="3"/>
    <s v="Allrounder"/>
    <s v="Middle Order"/>
    <n v="12"/>
    <n v="13"/>
    <n v="92.31"/>
    <s v="caught"/>
    <n v="15"/>
    <n v="2"/>
    <n v="0"/>
    <n v="27"/>
    <n v="0"/>
    <n v="13.5"/>
    <n v="0"/>
    <n v="0"/>
    <n v="0"/>
    <n v="15"/>
    <n v="2"/>
    <s v="RCBW"/>
    <s v="RCBW"/>
    <s v="BCA Stadium, Kotambi"/>
    <n v="141"/>
    <n v="7.23"/>
    <n v="55"/>
    <n v="24"/>
    <n v="36"/>
    <s v="NA"/>
    <n v="0"/>
    <n v="8.1"/>
  </r>
  <r>
    <x v="48"/>
    <n v="3"/>
    <s v="P039"/>
    <x v="38"/>
    <x v="3"/>
    <s v="Bowler"/>
    <s v="Middle Order"/>
    <n v="1"/>
    <n v="4"/>
    <n v="25"/>
    <s v="caught"/>
    <n v="2"/>
    <n v="4"/>
    <n v="0"/>
    <n v="37"/>
    <n v="0"/>
    <n v="9.1999999999999993"/>
    <n v="0"/>
    <n v="0"/>
    <n v="0"/>
    <n v="2"/>
    <n v="0"/>
    <s v="RCBW"/>
    <s v="RCBW"/>
    <s v="BCA Stadium, Kotambi"/>
    <n v="141"/>
    <n v="7.23"/>
    <n v="55"/>
    <n v="24"/>
    <n v="36"/>
    <s v="NA"/>
    <n v="0"/>
    <n v="1"/>
  </r>
  <r>
    <x v="48"/>
    <n v="3"/>
    <s v="P101"/>
    <x v="105"/>
    <x v="3"/>
    <s v="WK-Batter"/>
    <s v="Middle Order"/>
    <n v="23"/>
    <n v="19"/>
    <n v="121.05"/>
    <s v="stumped"/>
    <n v="25"/>
    <n v="0"/>
    <n v="0"/>
    <n v="0"/>
    <n v="0"/>
    <n v="0"/>
    <n v="0"/>
    <n v="0"/>
    <n v="0"/>
    <n v="25"/>
    <n v="3"/>
    <s v="RCBW"/>
    <s v="RCBW"/>
    <s v="BCA Stadium, Kotambi"/>
    <n v="141"/>
    <n v="7.23"/>
    <n v="55"/>
    <n v="24"/>
    <n v="36"/>
    <s v="NA"/>
    <n v="0"/>
    <n v="13.4"/>
  </r>
  <r>
    <x v="48"/>
    <n v="3"/>
    <s v="P042"/>
    <x v="41"/>
    <x v="3"/>
    <s v="Allrounder"/>
    <s v="Middle Order"/>
    <n v="14"/>
    <n v="15"/>
    <n v="93.33"/>
    <s v="caught"/>
    <n v="15"/>
    <n v="4"/>
    <n v="0"/>
    <n v="27"/>
    <n v="1"/>
    <n v="6.8"/>
    <n v="25"/>
    <n v="0"/>
    <n v="0"/>
    <n v="40"/>
    <n v="4"/>
    <s v="RCBW"/>
    <s v="RCBW"/>
    <s v="BCA Stadium, Kotambi"/>
    <n v="141"/>
    <n v="7.23"/>
    <n v="55"/>
    <n v="24"/>
    <n v="36"/>
    <s v="NA"/>
    <n v="0"/>
    <n v="21.2"/>
  </r>
  <r>
    <x v="48"/>
    <n v="3"/>
    <s v="P043"/>
    <x v="42"/>
    <x v="3"/>
    <s v="Bowler"/>
    <s v="Middle Order"/>
    <n v="0"/>
    <n v="2"/>
    <n v="0"/>
    <s v="caught"/>
    <n v="0"/>
    <n v="0"/>
    <n v="0"/>
    <n v="0"/>
    <n v="0"/>
    <n v="0"/>
    <n v="0"/>
    <n v="0"/>
    <n v="0"/>
    <n v="0"/>
    <n v="0"/>
    <s v="RCBW"/>
    <s v="RCBW"/>
    <s v="BCA Stadium, Kotambi"/>
    <n v="141"/>
    <n v="7.23"/>
    <n v="55"/>
    <n v="24"/>
    <n v="36"/>
    <s v="NA"/>
    <n v="0"/>
    <n v="0"/>
  </r>
  <r>
    <x v="48"/>
    <n v="3"/>
    <s v="P041"/>
    <x v="40"/>
    <x v="3"/>
    <s v="Bowler"/>
    <s v="Middle Order"/>
    <n v="4"/>
    <n v="5"/>
    <n v="80"/>
    <s v="caught"/>
    <n v="5"/>
    <n v="3.2"/>
    <n v="0"/>
    <n v="25"/>
    <n v="1"/>
    <n v="7.5"/>
    <n v="25"/>
    <n v="0"/>
    <n v="0"/>
    <n v="30"/>
    <n v="3"/>
    <s v="RCBW"/>
    <s v="RCBW"/>
    <s v="BCA Stadium, Kotambi"/>
    <n v="141"/>
    <n v="7.23"/>
    <n v="55"/>
    <n v="24"/>
    <n v="36"/>
    <s v="NA"/>
    <n v="0"/>
    <n v="15.9"/>
  </r>
  <r>
    <x v="48"/>
    <n v="3"/>
    <s v="P062"/>
    <x v="61"/>
    <x v="3"/>
    <s v="Allrounder"/>
    <s v="Middle Order"/>
    <n v="5"/>
    <n v="4"/>
    <n v="125"/>
    <s v="not out"/>
    <n v="8"/>
    <n v="1"/>
    <n v="0"/>
    <n v="10"/>
    <n v="0"/>
    <n v="10"/>
    <n v="0"/>
    <n v="0"/>
    <n v="0"/>
    <n v="8"/>
    <n v="1"/>
    <s v="RCBW"/>
    <s v="RCBW"/>
    <s v="BCA Stadium, Kotambi"/>
    <n v="141"/>
    <n v="7.23"/>
    <n v="55"/>
    <n v="24"/>
    <n v="36"/>
    <s v="NA"/>
    <n v="0"/>
    <n v="4.3"/>
  </r>
  <r>
    <x v="48"/>
    <n v="3"/>
    <s v="P023"/>
    <x v="22"/>
    <x v="2"/>
    <s v="Batter"/>
    <s v="Opener"/>
    <n v="81"/>
    <n v="47"/>
    <n v="172.34"/>
    <s v="caught"/>
    <n v="95"/>
    <n v="0"/>
    <n v="0"/>
    <n v="0"/>
    <n v="0"/>
    <n v="0"/>
    <n v="0"/>
    <n v="0"/>
    <n v="0"/>
    <n v="95"/>
    <n v="10"/>
    <s v="RCBW"/>
    <s v="RCBW"/>
    <s v="BCA Stadium, Kotambi"/>
    <n v="146"/>
    <n v="8.94"/>
    <n v="57"/>
    <n v="7"/>
    <n v="30"/>
    <s v="Successful"/>
    <n v="1"/>
    <n v="70.5"/>
  </r>
  <r>
    <x v="48"/>
    <n v="3"/>
    <s v="P094"/>
    <x v="99"/>
    <x v="2"/>
    <s v="Batter"/>
    <s v="Opener"/>
    <n v="42"/>
    <n v="33"/>
    <n v="127.27"/>
    <s v="caught"/>
    <n v="55"/>
    <n v="0"/>
    <n v="0"/>
    <n v="0"/>
    <n v="0"/>
    <n v="0"/>
    <n v="0"/>
    <n v="0"/>
    <n v="0"/>
    <n v="55"/>
    <n v="6"/>
    <s v="RCBW"/>
    <s v="RCBW"/>
    <s v="BCA Stadium, Kotambi"/>
    <n v="146"/>
    <n v="8.94"/>
    <n v="57"/>
    <n v="7"/>
    <n v="30"/>
    <s v="Successful"/>
    <n v="1"/>
    <n v="49.3"/>
  </r>
  <r>
    <x v="48"/>
    <n v="3"/>
    <s v="P027"/>
    <x v="26"/>
    <x v="2"/>
    <s v="Allrounder"/>
    <s v="Top Order"/>
    <n v="7"/>
    <n v="13"/>
    <n v="53.85"/>
    <s v="not out"/>
    <n v="10"/>
    <n v="2"/>
    <n v="0"/>
    <n v="14"/>
    <n v="0"/>
    <n v="7"/>
    <n v="0"/>
    <n v="0"/>
    <n v="0"/>
    <n v="10"/>
    <n v="1"/>
    <s v="RCBW"/>
    <s v="RCBW"/>
    <s v="BCA Stadium, Kotambi"/>
    <n v="146"/>
    <n v="8.94"/>
    <n v="57"/>
    <n v="7"/>
    <n v="30"/>
    <s v="Successful"/>
    <n v="1"/>
    <n v="25.3"/>
  </r>
  <r>
    <x v="48"/>
    <n v="3"/>
    <s v="P028"/>
    <x v="27"/>
    <x v="2"/>
    <s v="WK-Batter"/>
    <s v="Middle Order"/>
    <n v="11"/>
    <n v="5"/>
    <n v="220"/>
    <s v="not out"/>
    <n v="15"/>
    <n v="0"/>
    <n v="0"/>
    <n v="0"/>
    <n v="0"/>
    <n v="0"/>
    <n v="0"/>
    <n v="0"/>
    <n v="0"/>
    <n v="15"/>
    <n v="2"/>
    <s v="RCBW"/>
    <s v="RCBW"/>
    <s v="BCA Stadium, Kotambi"/>
    <n v="146"/>
    <n v="8.94"/>
    <n v="57"/>
    <n v="7"/>
    <n v="30"/>
    <s v="Successful"/>
    <n v="1"/>
    <n v="28.1"/>
  </r>
  <r>
    <x v="48"/>
    <n v="3"/>
    <s v="P095"/>
    <x v="100"/>
    <x v="2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RCBW"/>
    <s v="RCBW"/>
    <s v="BCA Stadium, Kotambi"/>
    <n v="146"/>
    <n v="8.94"/>
    <n v="57"/>
    <n v="7"/>
    <n v="30"/>
    <s v="Successful"/>
    <n v="1"/>
    <n v="20"/>
  </r>
  <r>
    <x v="48"/>
    <n v="3"/>
    <s v="P029"/>
    <x v="28"/>
    <x v="2"/>
    <s v="Allrounder"/>
    <s v="DNB"/>
    <n v="0"/>
    <n v="0"/>
    <n v="0"/>
    <s v="DNB"/>
    <n v="0"/>
    <n v="2"/>
    <n v="0"/>
    <n v="13"/>
    <n v="0"/>
    <n v="6.5"/>
    <n v="0"/>
    <n v="0"/>
    <n v="0"/>
    <n v="0"/>
    <n v="0"/>
    <s v="RCBW"/>
    <s v="RCBW"/>
    <s v="BCA Stadium, Kotambi"/>
    <n v="146"/>
    <n v="8.94"/>
    <n v="57"/>
    <n v="7"/>
    <n v="30"/>
    <s v="Successful"/>
    <n v="1"/>
    <n v="20"/>
  </r>
  <r>
    <x v="48"/>
    <n v="3"/>
    <s v="P007"/>
    <x v="6"/>
    <x v="2"/>
    <s v="Allrounder"/>
    <s v="DNB"/>
    <n v="0"/>
    <n v="0"/>
    <n v="0"/>
    <s v="DNB"/>
    <n v="0"/>
    <n v="4"/>
    <n v="0"/>
    <n v="25"/>
    <n v="3"/>
    <n v="6.2"/>
    <n v="75"/>
    <n v="0"/>
    <n v="0"/>
    <n v="75"/>
    <n v="8"/>
    <s v="RCBW"/>
    <s v="RCBW"/>
    <s v="BCA Stadium, Kotambi"/>
    <n v="146"/>
    <n v="8.94"/>
    <n v="57"/>
    <n v="7"/>
    <n v="30"/>
    <s v="Successful"/>
    <n v="1"/>
    <n v="59.9"/>
  </r>
  <r>
    <x v="48"/>
    <n v="3"/>
    <s v="P058"/>
    <x v="57"/>
    <x v="2"/>
    <s v="Bowler"/>
    <s v="DNB"/>
    <n v="0"/>
    <n v="0"/>
    <n v="0"/>
    <s v="DNB"/>
    <n v="0"/>
    <n v="3.3"/>
    <n v="0"/>
    <n v="19"/>
    <n v="2"/>
    <n v="5.4"/>
    <n v="50"/>
    <n v="0"/>
    <n v="0"/>
    <n v="50"/>
    <n v="5"/>
    <s v="RCBW"/>
    <s v="RCBW"/>
    <s v="BCA Stadium, Kotambi"/>
    <n v="146"/>
    <n v="8.94"/>
    <n v="57"/>
    <n v="7"/>
    <n v="30"/>
    <s v="Successful"/>
    <n v="1"/>
    <n v="46.5"/>
  </r>
  <r>
    <x v="48"/>
    <n v="3"/>
    <s v="P090"/>
    <x v="90"/>
    <x v="2"/>
    <s v="Bowler"/>
    <s v="DNB"/>
    <n v="0"/>
    <n v="0"/>
    <n v="0"/>
    <s v="DNB"/>
    <n v="0"/>
    <n v="4"/>
    <n v="0"/>
    <n v="35"/>
    <n v="2"/>
    <n v="8.8000000000000007"/>
    <n v="50"/>
    <n v="0"/>
    <n v="0"/>
    <n v="50"/>
    <n v="5"/>
    <s v="RCBW"/>
    <s v="RCBW"/>
    <s v="BCA Stadium, Kotambi"/>
    <n v="146"/>
    <n v="8.94"/>
    <n v="57"/>
    <n v="7"/>
    <n v="30"/>
    <s v="Successful"/>
    <n v="1"/>
    <n v="46.5"/>
  </r>
  <r>
    <x v="48"/>
    <n v="3"/>
    <s v="P097"/>
    <x v="102"/>
    <x v="2"/>
    <s v="Allrounder"/>
    <s v="DNB"/>
    <n v="0"/>
    <n v="0"/>
    <n v="0"/>
    <s v="DNB"/>
    <n v="0"/>
    <n v="2"/>
    <n v="0"/>
    <n v="21"/>
    <n v="0"/>
    <n v="10.5"/>
    <n v="0"/>
    <n v="0"/>
    <n v="0"/>
    <n v="0"/>
    <n v="0"/>
    <s v="RCBW"/>
    <s v="RCBW"/>
    <s v="BCA Stadium, Kotambi"/>
    <n v="146"/>
    <n v="8.94"/>
    <n v="57"/>
    <n v="7"/>
    <n v="30"/>
    <s v="Successful"/>
    <n v="1"/>
    <n v="20"/>
  </r>
  <r>
    <x v="48"/>
    <n v="3"/>
    <s v="P033"/>
    <x v="32"/>
    <x v="2"/>
    <s v="Bowler"/>
    <s v="DNB"/>
    <n v="0"/>
    <n v="0"/>
    <n v="0"/>
    <s v="DNB"/>
    <n v="0"/>
    <n v="4"/>
    <n v="0"/>
    <n v="23"/>
    <n v="3"/>
    <n v="5.8"/>
    <n v="75"/>
    <n v="0"/>
    <n v="0"/>
    <n v="75"/>
    <n v="8"/>
    <s v="RCBW"/>
    <s v="RCBW"/>
    <s v="BCA Stadium, Kotambi"/>
    <n v="146"/>
    <n v="8.94"/>
    <n v="57"/>
    <n v="7"/>
    <n v="30"/>
    <s v="Successful"/>
    <n v="1"/>
    <n v="59.9"/>
  </r>
  <r>
    <x v="49"/>
    <n v="3"/>
    <s v="P001"/>
    <x v="0"/>
    <x v="0"/>
    <s v="WK-Batter"/>
    <s v="Opener"/>
    <n v="1"/>
    <n v="3"/>
    <n v="33.33"/>
    <s v="caught"/>
    <n v="2"/>
    <n v="0"/>
    <n v="0"/>
    <n v="0"/>
    <n v="0"/>
    <n v="0"/>
    <n v="0"/>
    <n v="0"/>
    <n v="0"/>
    <n v="2"/>
    <n v="0"/>
    <s v="MIW"/>
    <s v="MIW"/>
    <s v="BCA Stadium, Kotambi"/>
    <n v="120"/>
    <n v="6"/>
    <n v="28"/>
    <n v="23"/>
    <n v="47"/>
    <s v="NA"/>
    <n v="0"/>
    <n v="1"/>
  </r>
  <r>
    <x v="49"/>
    <n v="3"/>
    <s v="P066"/>
    <x v="65"/>
    <x v="0"/>
    <s v="Batter"/>
    <s v="Opener"/>
    <n v="4"/>
    <n v="7"/>
    <n v="57.14"/>
    <s v="caught"/>
    <n v="3"/>
    <n v="0"/>
    <n v="0"/>
    <n v="0"/>
    <n v="0"/>
    <n v="0"/>
    <n v="0"/>
    <n v="0"/>
    <n v="0"/>
    <n v="3"/>
    <n v="0"/>
    <s v="MIW"/>
    <s v="MIW"/>
    <s v="BCA Stadium, Kotambi"/>
    <n v="120"/>
    <n v="6"/>
    <n v="28"/>
    <n v="23"/>
    <n v="47"/>
    <s v="NA"/>
    <n v="0"/>
    <n v="1.5"/>
  </r>
  <r>
    <x v="49"/>
    <n v="3"/>
    <s v="P006"/>
    <x v="5"/>
    <x v="0"/>
    <s v="Batter"/>
    <s v="Top Order"/>
    <n v="9"/>
    <n v="11"/>
    <n v="81.819999999999993"/>
    <s v="caught"/>
    <n v="8"/>
    <n v="0"/>
    <n v="0"/>
    <n v="0"/>
    <n v="0"/>
    <n v="0"/>
    <n v="0"/>
    <n v="0"/>
    <n v="0"/>
    <n v="8"/>
    <n v="1"/>
    <s v="MIW"/>
    <s v="MIW"/>
    <s v="BCA Stadium, Kotambi"/>
    <n v="120"/>
    <n v="6"/>
    <n v="28"/>
    <n v="23"/>
    <n v="47"/>
    <s v="NA"/>
    <n v="0"/>
    <n v="4.3"/>
  </r>
  <r>
    <x v="49"/>
    <n v="3"/>
    <s v="P004"/>
    <x v="3"/>
    <x v="0"/>
    <s v="Allrounder"/>
    <s v="Middle Order"/>
    <n v="10"/>
    <n v="10"/>
    <n v="100"/>
    <s v="caught"/>
    <n v="12"/>
    <n v="3"/>
    <n v="0"/>
    <n v="21"/>
    <n v="0"/>
    <n v="7"/>
    <n v="0"/>
    <n v="0"/>
    <n v="0"/>
    <n v="12"/>
    <n v="1"/>
    <s v="MIW"/>
    <s v="MIW"/>
    <s v="BCA Stadium, Kotambi"/>
    <n v="120"/>
    <n v="6"/>
    <n v="28"/>
    <n v="23"/>
    <n v="47"/>
    <s v="NA"/>
    <n v="0"/>
    <n v="6.3"/>
  </r>
  <r>
    <x v="49"/>
    <n v="3"/>
    <s v="P003"/>
    <x v="2"/>
    <x v="0"/>
    <s v="Allrounder"/>
    <s v="Middle Order"/>
    <n v="32"/>
    <n v="31"/>
    <n v="103.23"/>
    <s v="caught"/>
    <n v="35"/>
    <n v="0"/>
    <n v="0"/>
    <n v="0"/>
    <n v="0"/>
    <n v="0"/>
    <n v="0"/>
    <n v="0"/>
    <n v="0"/>
    <n v="35"/>
    <n v="4"/>
    <s v="MIW"/>
    <s v="MIW"/>
    <s v="BCA Stadium, Kotambi"/>
    <n v="120"/>
    <n v="6"/>
    <n v="28"/>
    <n v="23"/>
    <n v="47"/>
    <s v="NA"/>
    <n v="0"/>
    <n v="18.7"/>
  </r>
  <r>
    <x v="49"/>
    <n v="3"/>
    <s v="P116"/>
    <x v="96"/>
    <x v="0"/>
    <s v="Allrounder"/>
    <s v="Middle Order"/>
    <n v="7"/>
    <n v="6"/>
    <n v="116.67"/>
    <s v="stumped"/>
    <n v="10"/>
    <n v="3.1"/>
    <n v="0"/>
    <n v="19"/>
    <n v="0"/>
    <n v="6"/>
    <n v="0"/>
    <n v="0"/>
    <n v="0"/>
    <n v="10"/>
    <n v="1"/>
    <s v="MIW"/>
    <s v="MIW"/>
    <s v="BCA Stadium, Kotambi"/>
    <n v="120"/>
    <n v="6"/>
    <n v="28"/>
    <n v="23"/>
    <n v="47"/>
    <s v="NA"/>
    <n v="0"/>
    <n v="5.3"/>
  </r>
  <r>
    <x v="49"/>
    <n v="3"/>
    <s v="P098"/>
    <x v="98"/>
    <x v="0"/>
    <s v="Allrounder"/>
    <s v="Middle Order"/>
    <n v="20"/>
    <n v="15"/>
    <n v="133.33000000000001"/>
    <s v="caught"/>
    <n v="25"/>
    <n v="3"/>
    <n v="0"/>
    <n v="15"/>
    <n v="2"/>
    <n v="5"/>
    <n v="50"/>
    <n v="0"/>
    <n v="0"/>
    <n v="75"/>
    <n v="8"/>
    <s v="MIW"/>
    <s v="MIW"/>
    <s v="BCA Stadium, Kotambi"/>
    <n v="120"/>
    <n v="6"/>
    <n v="28"/>
    <n v="23"/>
    <n v="47"/>
    <s v="NA"/>
    <n v="0"/>
    <n v="39.9"/>
  </r>
  <r>
    <x v="49"/>
    <n v="3"/>
    <s v="P050"/>
    <x v="49"/>
    <x v="0"/>
    <s v="Batter"/>
    <s v="Middle Order"/>
    <n v="3"/>
    <n v="8"/>
    <n v="37.5"/>
    <s v="caught"/>
    <n v="2"/>
    <n v="0"/>
    <n v="0"/>
    <n v="0"/>
    <n v="0"/>
    <n v="0"/>
    <n v="0"/>
    <n v="0"/>
    <n v="0"/>
    <n v="2"/>
    <n v="0"/>
    <s v="MIW"/>
    <s v="MIW"/>
    <s v="BCA Stadium, Kotambi"/>
    <n v="120"/>
    <n v="6"/>
    <n v="28"/>
    <n v="23"/>
    <n v="47"/>
    <s v="NA"/>
    <n v="0"/>
    <n v="1"/>
  </r>
  <r>
    <x v="49"/>
    <n v="3"/>
    <s v="P009"/>
    <x v="8"/>
    <x v="0"/>
    <s v="Bowler"/>
    <s v="Middle Order"/>
    <n v="13"/>
    <n v="12"/>
    <n v="108.33"/>
    <s v="caught"/>
    <n v="15"/>
    <n v="3"/>
    <n v="0"/>
    <n v="25"/>
    <n v="1"/>
    <n v="8.3000000000000007"/>
    <n v="25"/>
    <n v="0"/>
    <n v="0"/>
    <n v="40"/>
    <n v="4"/>
    <s v="MIW"/>
    <s v="MIW"/>
    <s v="BCA Stadium, Kotambi"/>
    <n v="120"/>
    <n v="6"/>
    <n v="28"/>
    <n v="23"/>
    <n v="47"/>
    <s v="NA"/>
    <n v="0"/>
    <n v="21.2"/>
  </r>
  <r>
    <x v="49"/>
    <n v="3"/>
    <s v="P089"/>
    <x v="89"/>
    <x v="0"/>
    <s v="Allrounder"/>
    <s v="Middle Order"/>
    <n v="13"/>
    <n v="11"/>
    <n v="118.18"/>
    <s v="not out"/>
    <n v="18"/>
    <n v="0"/>
    <n v="0"/>
    <n v="0"/>
    <n v="0"/>
    <n v="0"/>
    <n v="0"/>
    <n v="0"/>
    <n v="0"/>
    <n v="18"/>
    <n v="2"/>
    <s v="MIW"/>
    <s v="MIW"/>
    <s v="BCA Stadium, Kotambi"/>
    <n v="120"/>
    <n v="6"/>
    <n v="28"/>
    <n v="23"/>
    <n v="47"/>
    <s v="NA"/>
    <n v="0"/>
    <n v="9.6"/>
  </r>
  <r>
    <x v="49"/>
    <n v="3"/>
    <s v="P099"/>
    <x v="97"/>
    <x v="0"/>
    <s v="Bowler"/>
    <s v="Middle Order"/>
    <n v="2"/>
    <n v="7"/>
    <n v="28.57"/>
    <s v="run out"/>
    <n v="2"/>
    <n v="4"/>
    <n v="0"/>
    <n v="40"/>
    <n v="2"/>
    <n v="10"/>
    <n v="50"/>
    <n v="0"/>
    <n v="0"/>
    <n v="52"/>
    <n v="5"/>
    <s v="MIW"/>
    <s v="MIW"/>
    <s v="BCA Stadium, Kotambi"/>
    <n v="120"/>
    <n v="6"/>
    <n v="28"/>
    <n v="23"/>
    <n v="47"/>
    <s v="NA"/>
    <n v="0"/>
    <n v="27.5"/>
  </r>
  <r>
    <x v="49"/>
    <n v="3"/>
    <s v="P012"/>
    <x v="11"/>
    <x v="1"/>
    <s v="Allrounder"/>
    <s v="Opener"/>
    <n v="17"/>
    <n v="19"/>
    <n v="89.47"/>
    <s v="caught"/>
    <n v="20"/>
    <n v="4"/>
    <n v="0"/>
    <n v="16"/>
    <n v="3"/>
    <n v="4"/>
    <n v="75"/>
    <n v="0"/>
    <n v="0"/>
    <n v="95"/>
    <n v="10"/>
    <s v="MIW"/>
    <s v="MIW"/>
    <s v="BCA Stadium, Kotambi"/>
    <n v="122"/>
    <n v="7.55"/>
    <n v="37"/>
    <n v="4"/>
    <n v="34"/>
    <s v="Successful"/>
    <n v="1"/>
    <n v="70.5"/>
  </r>
  <r>
    <x v="49"/>
    <n v="3"/>
    <s v="P013"/>
    <x v="12"/>
    <x v="1"/>
    <s v="WK-Batter"/>
    <s v="Opener"/>
    <n v="8"/>
    <n v="10"/>
    <n v="80"/>
    <s v="caught"/>
    <n v="6"/>
    <n v="0"/>
    <n v="0"/>
    <n v="0"/>
    <n v="0"/>
    <n v="0"/>
    <n v="0"/>
    <n v="0"/>
    <n v="0"/>
    <n v="6"/>
    <n v="1"/>
    <s v="MIW"/>
    <s v="MIW"/>
    <s v="BCA Stadium, Kotambi"/>
    <n v="122"/>
    <n v="7.55"/>
    <n v="37"/>
    <n v="4"/>
    <n v="34"/>
    <s v="Successful"/>
    <n v="1"/>
    <n v="23.3"/>
  </r>
  <r>
    <x v="49"/>
    <n v="3"/>
    <s v="P015"/>
    <x v="14"/>
    <x v="1"/>
    <s v="Allrounder"/>
    <s v="Top Order"/>
    <n v="57"/>
    <n v="39"/>
    <n v="146.15"/>
    <s v="bowled"/>
    <n v="70"/>
    <n v="4"/>
    <n v="0"/>
    <n v="26"/>
    <n v="2"/>
    <n v="6.5"/>
    <n v="50"/>
    <n v="0"/>
    <n v="0"/>
    <n v="120"/>
    <n v="10"/>
    <s v="MIW"/>
    <s v="MIW"/>
    <s v="BCA Stadium, Kotambi"/>
    <n v="122"/>
    <n v="7.55"/>
    <n v="37"/>
    <n v="4"/>
    <n v="34"/>
    <s v="Successful"/>
    <n v="1"/>
    <n v="83"/>
  </r>
  <r>
    <x v="49"/>
    <n v="3"/>
    <s v="P014"/>
    <x v="13"/>
    <x v="1"/>
    <s v="Allrounder"/>
    <s v="Middle Order"/>
    <n v="4"/>
    <n v="2"/>
    <n v="200"/>
    <s v="lbw"/>
    <n v="5"/>
    <n v="0"/>
    <n v="0"/>
    <n v="0"/>
    <n v="0"/>
    <n v="0"/>
    <n v="0"/>
    <n v="0"/>
    <n v="0"/>
    <n v="5"/>
    <n v="1"/>
    <s v="MIW"/>
    <s v="MIW"/>
    <s v="BCA Stadium, Kotambi"/>
    <n v="122"/>
    <n v="7.55"/>
    <n v="37"/>
    <n v="4"/>
    <n v="34"/>
    <s v="Successful"/>
    <n v="1"/>
    <n v="22.8"/>
  </r>
  <r>
    <x v="49"/>
    <n v="3"/>
    <s v="P016"/>
    <x v="15"/>
    <x v="1"/>
    <s v="Allrounder"/>
    <s v="Middle Order"/>
    <n v="19"/>
    <n v="20"/>
    <n v="95"/>
    <s v="lbw"/>
    <n v="18"/>
    <n v="4"/>
    <n v="0"/>
    <n v="22"/>
    <n v="2"/>
    <n v="5.5"/>
    <n v="50"/>
    <n v="0"/>
    <n v="0"/>
    <n v="68"/>
    <n v="7"/>
    <s v="MIW"/>
    <s v="MIW"/>
    <s v="BCA Stadium, Kotambi"/>
    <n v="122"/>
    <n v="7.55"/>
    <n v="37"/>
    <n v="4"/>
    <n v="34"/>
    <s v="Successful"/>
    <n v="1"/>
    <n v="56.1"/>
  </r>
  <r>
    <x v="49"/>
    <n v="3"/>
    <s v="P072"/>
    <x v="72"/>
    <x v="1"/>
    <s v="Allrounder"/>
    <s v="Middle Order"/>
    <n v="10"/>
    <n v="6"/>
    <n v="166.67"/>
    <s v="not out"/>
    <n v="12"/>
    <n v="0"/>
    <n v="0"/>
    <n v="0"/>
    <n v="0"/>
    <n v="0"/>
    <n v="0"/>
    <n v="0"/>
    <n v="0"/>
    <n v="12"/>
    <n v="1"/>
    <s v="MIW"/>
    <s v="MIW"/>
    <s v="BCA Stadium, Kotambi"/>
    <n v="122"/>
    <n v="7.55"/>
    <n v="37"/>
    <n v="4"/>
    <n v="34"/>
    <s v="Successful"/>
    <n v="1"/>
    <n v="26.3"/>
  </r>
  <r>
    <x v="49"/>
    <n v="3"/>
    <s v="P105"/>
    <x v="108"/>
    <x v="1"/>
    <s v="WK-Batter"/>
    <s v="Middle Order"/>
    <n v="4"/>
    <n v="1"/>
    <n v="400"/>
    <s v="not out"/>
    <n v="8"/>
    <n v="0"/>
    <n v="0"/>
    <n v="0"/>
    <n v="0"/>
    <n v="0"/>
    <n v="0"/>
    <n v="0"/>
    <n v="0"/>
    <n v="8"/>
    <n v="1"/>
    <s v="MIW"/>
    <s v="MIW"/>
    <s v="BCA Stadium, Kotambi"/>
    <n v="122"/>
    <n v="7.55"/>
    <n v="37"/>
    <n v="4"/>
    <n v="34"/>
    <s v="Successful"/>
    <n v="1"/>
    <n v="24.3"/>
  </r>
  <r>
    <x v="49"/>
    <n v="3"/>
    <s v="P017"/>
    <x v="16"/>
    <x v="1"/>
    <s v="Allrounder"/>
    <s v="DNB"/>
    <n v="0"/>
    <n v="0"/>
    <n v="0"/>
    <s v="DNB"/>
    <n v="0"/>
    <n v="2"/>
    <n v="0"/>
    <n v="17"/>
    <n v="1"/>
    <n v="8.5"/>
    <n v="25"/>
    <n v="0"/>
    <n v="0"/>
    <n v="25"/>
    <n v="3"/>
    <s v="MIW"/>
    <s v="MIW"/>
    <s v="BCA Stadium, Kotambi"/>
    <n v="122"/>
    <n v="7.55"/>
    <n v="37"/>
    <n v="4"/>
    <n v="34"/>
    <s v="Successful"/>
    <n v="1"/>
    <n v="33.4"/>
  </r>
  <r>
    <x v="49"/>
    <n v="3"/>
    <s v="P102"/>
    <x v="103"/>
    <x v="1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MIW"/>
    <s v="MIW"/>
    <s v="BCA Stadium, Kotambi"/>
    <n v="122"/>
    <n v="7.55"/>
    <n v="37"/>
    <n v="4"/>
    <n v="34"/>
    <s v="Successful"/>
    <n v="1"/>
    <n v="20"/>
  </r>
  <r>
    <x v="49"/>
    <n v="3"/>
    <s v="P060"/>
    <x v="59"/>
    <x v="1"/>
    <s v="Bowler"/>
    <s v="DNB"/>
    <n v="0"/>
    <n v="0"/>
    <n v="0"/>
    <s v="DNB"/>
    <n v="0"/>
    <n v="4"/>
    <n v="1"/>
    <n v="17"/>
    <n v="1"/>
    <n v="4.2"/>
    <n v="25"/>
    <n v="0"/>
    <n v="0"/>
    <n v="25"/>
    <n v="3"/>
    <s v="MIW"/>
    <s v="MIW"/>
    <s v="BCA Stadium, Kotambi"/>
    <n v="122"/>
    <n v="7.55"/>
    <n v="37"/>
    <n v="4"/>
    <n v="34"/>
    <s v="Successful"/>
    <n v="1"/>
    <n v="33.4"/>
  </r>
  <r>
    <x v="49"/>
    <n v="3"/>
    <s v="P106"/>
    <x v="109"/>
    <x v="1"/>
    <s v="Bowler"/>
    <s v="DNB"/>
    <n v="0"/>
    <n v="0"/>
    <n v="0"/>
    <s v="DNB"/>
    <n v="0"/>
    <n v="2"/>
    <n v="0"/>
    <n v="20"/>
    <n v="0"/>
    <n v="10"/>
    <n v="0"/>
    <n v="0"/>
    <n v="0"/>
    <n v="0"/>
    <n v="0"/>
    <s v="MIW"/>
    <s v="MIW"/>
    <s v="BCA Stadium, Kotambi"/>
    <n v="122"/>
    <n v="7.55"/>
    <n v="37"/>
    <n v="4"/>
    <n v="34"/>
    <s v="Successful"/>
    <n v="1"/>
    <n v="20"/>
  </r>
  <r>
    <x v="50"/>
    <n v="3"/>
    <s v="P051"/>
    <x v="50"/>
    <x v="4"/>
    <s v="Batter"/>
    <s v="Opener"/>
    <n v="51"/>
    <n v="27"/>
    <n v="188.89"/>
    <s v="caught"/>
    <n v="60"/>
    <n v="0"/>
    <n v="0"/>
    <n v="0"/>
    <n v="0"/>
    <n v="0"/>
    <n v="0"/>
    <n v="0"/>
    <n v="0"/>
    <n v="60"/>
    <n v="6"/>
    <s v="DCW"/>
    <s v="DCW"/>
    <s v="BCA Stadium, Kotambi"/>
    <n v="166"/>
    <n v="8.3000000000000007"/>
    <n v="66"/>
    <n v="39"/>
    <n v="43"/>
    <s v="NA"/>
    <n v="0"/>
    <n v="31.8"/>
  </r>
  <r>
    <x v="50"/>
    <n v="3"/>
    <s v="P074"/>
    <x v="76"/>
    <x v="4"/>
    <s v="Batter"/>
    <s v="Opener"/>
    <n v="16"/>
    <n v="15"/>
    <n v="106.67"/>
    <s v="caught"/>
    <n v="15"/>
    <n v="0"/>
    <n v="0"/>
    <n v="0"/>
    <n v="0"/>
    <n v="0"/>
    <n v="0"/>
    <n v="0"/>
    <n v="0"/>
    <n v="15"/>
    <n v="2"/>
    <s v="DCW"/>
    <s v="DCW"/>
    <s v="BCA Stadium, Kotambi"/>
    <n v="166"/>
    <n v="8.3000000000000007"/>
    <n v="66"/>
    <n v="39"/>
    <n v="43"/>
    <s v="NA"/>
    <n v="0"/>
    <n v="8.1"/>
  </r>
  <r>
    <x v="50"/>
    <n v="3"/>
    <s v="P092"/>
    <x v="92"/>
    <x v="4"/>
    <s v="WK-Batter"/>
    <s v="Top Order"/>
    <n v="0"/>
    <n v="0"/>
    <n v="0"/>
    <s v="DNB"/>
    <n v="0"/>
    <n v="0"/>
    <n v="0"/>
    <n v="0"/>
    <n v="0"/>
    <n v="0"/>
    <n v="0"/>
    <n v="0"/>
    <n v="0"/>
    <n v="0"/>
    <n v="0"/>
    <s v="DCW"/>
    <s v="DCW"/>
    <s v="BCA Stadium, Kotambi"/>
    <n v="166"/>
    <n v="8.3000000000000007"/>
    <n v="66"/>
    <n v="39"/>
    <n v="43"/>
    <s v="NA"/>
    <n v="0"/>
    <n v="0"/>
  </r>
  <r>
    <x v="50"/>
    <n v="3"/>
    <s v="P048"/>
    <x v="47"/>
    <x v="4"/>
    <s v="Allrounder"/>
    <s v="Top Order"/>
    <n v="7"/>
    <n v="7"/>
    <n v="100"/>
    <s v="stumped"/>
    <n v="10"/>
    <n v="4"/>
    <n v="0"/>
    <n v="27"/>
    <n v="1"/>
    <n v="6.8"/>
    <n v="25"/>
    <n v="0"/>
    <n v="0"/>
    <n v="35"/>
    <n v="4"/>
    <s v="DCW"/>
    <s v="DCW"/>
    <s v="BCA Stadium, Kotambi"/>
    <n v="166"/>
    <n v="8.3000000000000007"/>
    <n v="66"/>
    <n v="39"/>
    <n v="43"/>
    <s v="NA"/>
    <n v="0"/>
    <n v="18.7"/>
  </r>
  <r>
    <x v="50"/>
    <n v="3"/>
    <s v="P047"/>
    <x v="46"/>
    <x v="4"/>
    <s v="Allrounder"/>
    <s v="Middle Order"/>
    <n v="1"/>
    <n v="6"/>
    <n v="16.670000000000002"/>
    <s v="stumped"/>
    <n v="2"/>
    <n v="2.5"/>
    <n v="0"/>
    <n v="26"/>
    <n v="0"/>
    <n v="9.1999999999999993"/>
    <n v="0"/>
    <n v="0"/>
    <n v="0"/>
    <n v="2"/>
    <n v="0"/>
    <s v="DCW"/>
    <s v="DCW"/>
    <s v="BCA Stadium, Kotambi"/>
    <n v="166"/>
    <n v="8.3000000000000007"/>
    <n v="66"/>
    <n v="39"/>
    <n v="43"/>
    <s v="NA"/>
    <n v="0"/>
    <n v="1"/>
  </r>
  <r>
    <x v="50"/>
    <n v="3"/>
    <s v="P049"/>
    <x v="48"/>
    <x v="4"/>
    <s v="Allrounder"/>
    <s v="Middle Order"/>
    <n v="12"/>
    <n v="14"/>
    <n v="85.71"/>
    <s v="caught"/>
    <n v="12"/>
    <n v="2"/>
    <n v="0"/>
    <n v="11"/>
    <n v="1"/>
    <n v="5.5"/>
    <n v="25"/>
    <n v="0"/>
    <n v="0"/>
    <n v="37"/>
    <n v="4"/>
    <s v="DCW"/>
    <s v="DCW"/>
    <s v="BCA Stadium, Kotambi"/>
    <n v="166"/>
    <n v="8.3000000000000007"/>
    <n v="66"/>
    <n v="39"/>
    <n v="43"/>
    <s v="NA"/>
    <n v="0"/>
    <n v="19.7"/>
  </r>
  <r>
    <x v="50"/>
    <n v="3"/>
    <s v="P107"/>
    <x v="110"/>
    <x v="4"/>
    <s v="Allrounder"/>
    <s v="Middle Order"/>
    <n v="33"/>
    <n v="15"/>
    <n v="220"/>
    <s v="not out"/>
    <n v="45"/>
    <n v="3"/>
    <n v="0"/>
    <n v="26"/>
    <n v="0"/>
    <n v="8.6999999999999993"/>
    <n v="0"/>
    <n v="0"/>
    <n v="0"/>
    <n v="45"/>
    <n v="5"/>
    <s v="DCW"/>
    <s v="DCW"/>
    <s v="BCA Stadium, Kotambi"/>
    <n v="166"/>
    <n v="8.3000000000000007"/>
    <n v="66"/>
    <n v="39"/>
    <n v="43"/>
    <s v="NA"/>
    <n v="0"/>
    <n v="24"/>
  </r>
  <r>
    <x v="50"/>
    <n v="3"/>
    <s v="P046"/>
    <x v="45"/>
    <x v="4"/>
    <s v="Batter"/>
    <s v="Middle Order"/>
    <n v="37"/>
    <n v="33"/>
    <n v="112.12"/>
    <s v="caught"/>
    <n v="35"/>
    <n v="0"/>
    <n v="0"/>
    <n v="0"/>
    <n v="0"/>
    <n v="0"/>
    <n v="0"/>
    <n v="0"/>
    <n v="0"/>
    <n v="35"/>
    <n v="4"/>
    <s v="DCW"/>
    <s v="DCW"/>
    <s v="BCA Stadium, Kotambi"/>
    <n v="166"/>
    <n v="8.3000000000000007"/>
    <n v="66"/>
    <n v="39"/>
    <n v="43"/>
    <s v="NA"/>
    <n v="0"/>
    <n v="18.7"/>
  </r>
  <r>
    <x v="50"/>
    <n v="3"/>
    <s v="P053"/>
    <x v="52"/>
    <x v="4"/>
    <s v="Bowler"/>
    <s v="Middle Order"/>
    <n v="2"/>
    <n v="3"/>
    <n v="66.67"/>
    <s v="run out"/>
    <n v="2"/>
    <n v="4"/>
    <n v="0"/>
    <n v="31"/>
    <n v="1"/>
    <n v="7.8"/>
    <n v="25"/>
    <n v="0"/>
    <n v="0"/>
    <n v="27"/>
    <n v="3"/>
    <s v="DCW"/>
    <s v="DCW"/>
    <s v="BCA Stadium, Kotambi"/>
    <n v="166"/>
    <n v="8.3000000000000007"/>
    <n v="66"/>
    <n v="39"/>
    <n v="43"/>
    <s v="NA"/>
    <n v="0"/>
    <n v="14.4"/>
  </r>
  <r>
    <x v="50"/>
    <n v="3"/>
    <s v="P104"/>
    <x v="107"/>
    <x v="4"/>
    <s v="Allrounder"/>
    <s v="DNB"/>
    <n v="0"/>
    <n v="0"/>
    <n v="0"/>
    <s v="DNB"/>
    <n v="0"/>
    <n v="2"/>
    <n v="0"/>
    <n v="22"/>
    <n v="0"/>
    <n v="11"/>
    <n v="0"/>
    <n v="0"/>
    <n v="0"/>
    <n v="0"/>
    <n v="0"/>
    <s v="DCW"/>
    <s v="DCW"/>
    <s v="BCA Stadium, Kotambi"/>
    <n v="166"/>
    <n v="8.3000000000000007"/>
    <n v="66"/>
    <n v="39"/>
    <n v="43"/>
    <s v="NA"/>
    <n v="0"/>
    <n v="0"/>
  </r>
  <r>
    <x v="50"/>
    <n v="3"/>
    <s v="P055"/>
    <x v="54"/>
    <x v="4"/>
    <s v="Bowler"/>
    <s v="DNB"/>
    <n v="0"/>
    <n v="0"/>
    <n v="0"/>
    <s v="DNB"/>
    <n v="0"/>
    <n v="2"/>
    <n v="0"/>
    <n v="24"/>
    <n v="0"/>
    <n v="12"/>
    <n v="0"/>
    <n v="0"/>
    <n v="0"/>
    <n v="0"/>
    <n v="0"/>
    <s v="DCW"/>
    <s v="DCW"/>
    <s v="BCA Stadium, Kotambi"/>
    <n v="166"/>
    <n v="8.3000000000000007"/>
    <n v="66"/>
    <n v="39"/>
    <n v="43"/>
    <s v="NA"/>
    <n v="0"/>
    <n v="0"/>
  </r>
  <r>
    <x v="50"/>
    <n v="3"/>
    <s v="P034"/>
    <x v="33"/>
    <x v="3"/>
    <s v="Batter"/>
    <s v="Opener"/>
    <n v="26"/>
    <n v="16"/>
    <n v="162.5"/>
    <s v="caught"/>
    <n v="30"/>
    <n v="0"/>
    <n v="0"/>
    <n v="0"/>
    <n v="0"/>
    <n v="0"/>
    <n v="0"/>
    <n v="0"/>
    <n v="0"/>
    <n v="30"/>
    <n v="3"/>
    <s v="DCW"/>
    <s v="DCW"/>
    <s v="BCA Stadium, Kotambi"/>
    <n v="167"/>
    <n v="8.42"/>
    <n v="59"/>
    <n v="39"/>
    <n v="36"/>
    <s v="Successful"/>
    <n v="1"/>
    <n v="35.9"/>
  </r>
  <r>
    <x v="50"/>
    <n v="3"/>
    <s v="P035"/>
    <x v="34"/>
    <x v="3"/>
    <s v="Batter"/>
    <s v="Opener"/>
    <n v="69"/>
    <n v="49"/>
    <n v="140.82"/>
    <s v="bowled"/>
    <n v="85"/>
    <n v="0"/>
    <n v="0"/>
    <n v="0"/>
    <n v="0"/>
    <n v="0"/>
    <n v="0"/>
    <n v="0"/>
    <n v="0"/>
    <n v="85"/>
    <n v="9"/>
    <s v="DCW"/>
    <s v="DCW"/>
    <s v="BCA Stadium, Kotambi"/>
    <n v="167"/>
    <n v="8.42"/>
    <n v="59"/>
    <n v="39"/>
    <n v="36"/>
    <s v="Successful"/>
    <n v="1"/>
    <n v="65.2"/>
  </r>
  <r>
    <x v="50"/>
    <n v="3"/>
    <s v="P037"/>
    <x v="36"/>
    <x v="3"/>
    <s v="Batter"/>
    <s v="Top Order"/>
    <n v="0"/>
    <n v="2"/>
    <n v="0"/>
    <s v="caught"/>
    <n v="0"/>
    <n v="0"/>
    <n v="0"/>
    <n v="0"/>
    <n v="0"/>
    <n v="0"/>
    <n v="0"/>
    <n v="0"/>
    <n v="0"/>
    <n v="0"/>
    <n v="0"/>
    <s v="DCW"/>
    <s v="DCW"/>
    <s v="BCA Stadium, Kotambi"/>
    <n v="167"/>
    <n v="8.42"/>
    <n v="59"/>
    <n v="39"/>
    <n v="36"/>
    <s v="Successful"/>
    <n v="1"/>
    <n v="20"/>
  </r>
  <r>
    <x v="50"/>
    <n v="3"/>
    <s v="P005"/>
    <x v="4"/>
    <x v="3"/>
    <s v="Allrounder"/>
    <s v="Top Order"/>
    <n v="41"/>
    <n v="35"/>
    <n v="117.14"/>
    <s v="not out"/>
    <n v="50"/>
    <n v="4"/>
    <n v="0"/>
    <n v="26"/>
    <n v="2"/>
    <n v="6.5"/>
    <n v="50"/>
    <n v="0"/>
    <n v="0"/>
    <n v="100"/>
    <n v="10"/>
    <s v="DCW"/>
    <s v="DCW"/>
    <s v="BCA Stadium, Kotambi"/>
    <n v="167"/>
    <n v="8.42"/>
    <n v="59"/>
    <n v="39"/>
    <n v="36"/>
    <s v="Successful"/>
    <n v="1"/>
    <n v="73"/>
  </r>
  <r>
    <x v="50"/>
    <n v="3"/>
    <s v="P036"/>
    <x v="35"/>
    <x v="3"/>
    <s v="Allrounder"/>
    <s v="Middle Order"/>
    <n v="29"/>
    <n v="17"/>
    <n v="170.59"/>
    <s v="not out"/>
    <n v="40"/>
    <n v="4"/>
    <n v="0"/>
    <n v="30"/>
    <n v="1"/>
    <n v="7.5"/>
    <n v="25"/>
    <n v="0"/>
    <n v="0"/>
    <n v="65"/>
    <n v="7"/>
    <s v="DCW"/>
    <s v="DCW"/>
    <s v="BCA Stadium, Kotambi"/>
    <n v="167"/>
    <n v="8.42"/>
    <n v="59"/>
    <n v="39"/>
    <n v="36"/>
    <s v="Successful"/>
    <n v="1"/>
    <n v="54.6"/>
  </r>
  <r>
    <x v="50"/>
    <n v="3"/>
    <s v="P100"/>
    <x v="104"/>
    <x v="3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DCW"/>
    <s v="DCW"/>
    <s v="BCA Stadium, Kotambi"/>
    <n v="167"/>
    <n v="8.42"/>
    <n v="59"/>
    <n v="39"/>
    <n v="36"/>
    <s v="Successful"/>
    <n v="1"/>
    <n v="20"/>
  </r>
  <r>
    <x v="50"/>
    <n v="3"/>
    <s v="P101"/>
    <x v="105"/>
    <x v="3"/>
    <s v="WK-Batter"/>
    <s v="DNB"/>
    <n v="0"/>
    <n v="0"/>
    <n v="0"/>
    <s v="DNB"/>
    <n v="0"/>
    <n v="0"/>
    <n v="0"/>
    <n v="0"/>
    <n v="0"/>
    <n v="0"/>
    <n v="0"/>
    <n v="0"/>
    <n v="0"/>
    <n v="0"/>
    <n v="0"/>
    <s v="DCW"/>
    <s v="DCW"/>
    <s v="BCA Stadium, Kotambi"/>
    <n v="167"/>
    <n v="8.42"/>
    <n v="59"/>
    <n v="39"/>
    <n v="36"/>
    <s v="Successful"/>
    <n v="1"/>
    <n v="20"/>
  </r>
  <r>
    <x v="50"/>
    <n v="3"/>
    <s v="P039"/>
    <x v="38"/>
    <x v="3"/>
    <s v="Bowler"/>
    <s v="DNB"/>
    <n v="0"/>
    <n v="0"/>
    <n v="0"/>
    <s v="DNB"/>
    <n v="0"/>
    <n v="4"/>
    <n v="0"/>
    <n v="21"/>
    <n v="1"/>
    <n v="5.2"/>
    <n v="25"/>
    <n v="0"/>
    <n v="0"/>
    <n v="25"/>
    <n v="3"/>
    <s v="DCW"/>
    <s v="DCW"/>
    <s v="BCA Stadium, Kotambi"/>
    <n v="167"/>
    <n v="8.42"/>
    <n v="59"/>
    <n v="39"/>
    <n v="36"/>
    <s v="Successful"/>
    <n v="1"/>
    <n v="33.4"/>
  </r>
  <r>
    <x v="50"/>
    <n v="3"/>
    <s v="P042"/>
    <x v="41"/>
    <x v="3"/>
    <s v="Allrounder"/>
    <s v="DNB"/>
    <n v="0"/>
    <n v="0"/>
    <n v="0"/>
    <s v="DNB"/>
    <n v="0"/>
    <n v="3"/>
    <n v="0"/>
    <n v="43"/>
    <n v="0"/>
    <n v="14.3"/>
    <n v="0"/>
    <n v="0"/>
    <n v="0"/>
    <n v="0"/>
    <n v="0"/>
    <s v="DCW"/>
    <s v="DCW"/>
    <s v="BCA Stadium, Kotambi"/>
    <n v="167"/>
    <n v="8.42"/>
    <n v="59"/>
    <n v="39"/>
    <n v="36"/>
    <s v="Successful"/>
    <n v="1"/>
    <n v="20"/>
  </r>
  <r>
    <x v="50"/>
    <n v="3"/>
    <s v="P041"/>
    <x v="40"/>
    <x v="3"/>
    <s v="Bowler"/>
    <s v="DNB"/>
    <n v="0"/>
    <n v="0"/>
    <n v="0"/>
    <s v="DNB"/>
    <n v="0"/>
    <n v="3"/>
    <n v="0"/>
    <n v="26"/>
    <n v="1"/>
    <n v="8.6999999999999993"/>
    <n v="25"/>
    <n v="0"/>
    <n v="0"/>
    <n v="25"/>
    <n v="3"/>
    <s v="DCW"/>
    <s v="DCW"/>
    <s v="BCA Stadium, Kotambi"/>
    <n v="167"/>
    <n v="8.42"/>
    <n v="59"/>
    <n v="39"/>
    <n v="36"/>
    <s v="Successful"/>
    <n v="1"/>
    <n v="33.4"/>
  </r>
  <r>
    <x v="50"/>
    <n v="3"/>
    <s v="P062"/>
    <x v="61"/>
    <x v="3"/>
    <s v="Allrounder"/>
    <s v="DNB"/>
    <n v="0"/>
    <n v="0"/>
    <n v="0"/>
    <s v="DNB"/>
    <n v="0"/>
    <n v="2"/>
    <n v="0"/>
    <n v="16"/>
    <n v="1"/>
    <n v="8"/>
    <n v="25"/>
    <n v="0"/>
    <n v="0"/>
    <n v="25"/>
    <n v="3"/>
    <s v="DCW"/>
    <s v="DCW"/>
    <s v="BCA Stadium, Kotambi"/>
    <n v="167"/>
    <n v="8.42"/>
    <n v="59"/>
    <n v="39"/>
    <n v="36"/>
    <s v="Successful"/>
    <n v="1"/>
    <n v="33.4"/>
  </r>
  <r>
    <x v="51"/>
    <n v="3"/>
    <s v="P023"/>
    <x v="22"/>
    <x v="2"/>
    <s v="Batter"/>
    <s v="Opener"/>
    <n v="26"/>
    <n v="13"/>
    <n v="200"/>
    <s v="caught"/>
    <n v="30"/>
    <n v="0"/>
    <n v="0"/>
    <n v="0"/>
    <n v="0"/>
    <n v="0"/>
    <n v="0"/>
    <n v="0"/>
    <n v="0"/>
    <n v="30"/>
    <n v="3"/>
    <s v="MIW"/>
    <s v="MIW"/>
    <s v="M. Chinnaswamy Stadium"/>
    <n v="167"/>
    <n v="8.35"/>
    <n v="54"/>
    <n v="45"/>
    <n v="36"/>
    <s v="NA"/>
    <n v="0"/>
    <n v="15.9"/>
  </r>
  <r>
    <x v="51"/>
    <n v="3"/>
    <s v="P094"/>
    <x v="99"/>
    <x v="2"/>
    <s v="Batter"/>
    <s v="Opener"/>
    <n v="9"/>
    <n v="9"/>
    <n v="100"/>
    <s v="caught"/>
    <n v="8"/>
    <n v="0"/>
    <n v="0"/>
    <n v="0"/>
    <n v="0"/>
    <n v="0"/>
    <n v="0"/>
    <n v="0"/>
    <n v="0"/>
    <n v="8"/>
    <n v="1"/>
    <s v="MIW"/>
    <s v="MIW"/>
    <s v="M. Chinnaswamy Stadium"/>
    <n v="167"/>
    <n v="8.35"/>
    <n v="54"/>
    <n v="45"/>
    <n v="36"/>
    <s v="NA"/>
    <n v="0"/>
    <n v="4.3"/>
  </r>
  <r>
    <x v="51"/>
    <n v="3"/>
    <s v="P027"/>
    <x v="26"/>
    <x v="2"/>
    <s v="Allrounder"/>
    <s v="Top Order"/>
    <n v="81"/>
    <n v="43"/>
    <n v="188.37"/>
    <s v="caught"/>
    <n v="95"/>
    <n v="0"/>
    <n v="0"/>
    <n v="0"/>
    <n v="0"/>
    <n v="0"/>
    <n v="0"/>
    <n v="0"/>
    <n v="0"/>
    <n v="95"/>
    <n v="10"/>
    <s v="MIW"/>
    <s v="MIW"/>
    <s v="M. Chinnaswamy Stadium"/>
    <n v="167"/>
    <n v="8.35"/>
    <n v="54"/>
    <n v="45"/>
    <n v="36"/>
    <s v="NA"/>
    <n v="0"/>
    <n v="50.5"/>
  </r>
  <r>
    <x v="51"/>
    <n v="3"/>
    <s v="P095"/>
    <x v="100"/>
    <x v="2"/>
    <s v="Allrounder"/>
    <s v="Top Order"/>
    <n v="1"/>
    <n v="3"/>
    <n v="33.33"/>
    <s v="caught"/>
    <n v="1"/>
    <n v="0"/>
    <n v="0"/>
    <n v="0"/>
    <n v="0"/>
    <n v="0"/>
    <n v="0"/>
    <n v="0"/>
    <n v="0"/>
    <n v="1"/>
    <n v="0"/>
    <s v="MIW"/>
    <s v="MIW"/>
    <s v="M. Chinnaswamy Stadium"/>
    <n v="167"/>
    <n v="8.35"/>
    <n v="54"/>
    <n v="45"/>
    <n v="36"/>
    <s v="NA"/>
    <n v="0"/>
    <n v="0.5"/>
  </r>
  <r>
    <x v="51"/>
    <n v="3"/>
    <s v="P029"/>
    <x v="28"/>
    <x v="2"/>
    <s v="Allrounder"/>
    <s v="Middle Order"/>
    <n v="3"/>
    <n v="9"/>
    <n v="33.33"/>
    <s v="bowled"/>
    <n v="3"/>
    <n v="2"/>
    <n v="0"/>
    <n v="28"/>
    <n v="0"/>
    <n v="14"/>
    <n v="0"/>
    <n v="0"/>
    <n v="0"/>
    <n v="3"/>
    <n v="0"/>
    <s v="MIW"/>
    <s v="MIW"/>
    <s v="M. Chinnaswamy Stadium"/>
    <n v="167"/>
    <n v="8.35"/>
    <n v="54"/>
    <n v="45"/>
    <n v="36"/>
    <s v="NA"/>
    <n v="0"/>
    <n v="1.5"/>
  </r>
  <r>
    <x v="51"/>
    <n v="3"/>
    <s v="P028"/>
    <x v="27"/>
    <x v="2"/>
    <s v="WK-Batter"/>
    <s v="Middle Order"/>
    <n v="28"/>
    <n v="25"/>
    <n v="112"/>
    <s v="bowled"/>
    <n v="30"/>
    <n v="0"/>
    <n v="0"/>
    <n v="0"/>
    <n v="0"/>
    <n v="0"/>
    <n v="0"/>
    <n v="0"/>
    <n v="0"/>
    <n v="30"/>
    <n v="3"/>
    <s v="MIW"/>
    <s v="MIW"/>
    <s v="M. Chinnaswamy Stadium"/>
    <n v="167"/>
    <n v="8.35"/>
    <n v="54"/>
    <n v="45"/>
    <n v="36"/>
    <s v="NA"/>
    <n v="0"/>
    <n v="15.9"/>
  </r>
  <r>
    <x v="51"/>
    <n v="3"/>
    <s v="P007"/>
    <x v="6"/>
    <x v="2"/>
    <s v="Allrounder"/>
    <s v="Middle Order"/>
    <n v="6"/>
    <n v="7"/>
    <n v="85.71"/>
    <s v="caught"/>
    <n v="8"/>
    <n v="4"/>
    <n v="1"/>
    <n v="21"/>
    <n v="3"/>
    <n v="5.2"/>
    <n v="75"/>
    <n v="0"/>
    <n v="0"/>
    <n v="83"/>
    <n v="8"/>
    <s v="MIW"/>
    <s v="MIW"/>
    <s v="M. Chinnaswamy Stadium"/>
    <n v="167"/>
    <n v="8.35"/>
    <n v="54"/>
    <n v="45"/>
    <n v="36"/>
    <s v="NA"/>
    <n v="0"/>
    <n v="43.9"/>
  </r>
  <r>
    <x v="51"/>
    <n v="3"/>
    <s v="P058"/>
    <x v="57"/>
    <x v="2"/>
    <s v="Bowler"/>
    <s v="Middle Order"/>
    <n v="8"/>
    <n v="10"/>
    <n v="80"/>
    <s v="not out"/>
    <n v="10"/>
    <n v="4"/>
    <n v="0"/>
    <n v="30"/>
    <n v="2"/>
    <n v="7.5"/>
    <n v="50"/>
    <n v="0"/>
    <n v="0"/>
    <n v="60"/>
    <n v="6"/>
    <s v="MIW"/>
    <s v="MIW"/>
    <s v="M. Chinnaswamy Stadium"/>
    <n v="167"/>
    <n v="8.35"/>
    <n v="54"/>
    <n v="45"/>
    <n v="36"/>
    <s v="NA"/>
    <n v="0"/>
    <n v="31.8"/>
  </r>
  <r>
    <x v="51"/>
    <n v="3"/>
    <s v="P090"/>
    <x v="90"/>
    <x v="2"/>
    <s v="Bowler"/>
    <s v="Middle Order"/>
    <n v="2"/>
    <n v="1"/>
    <n v="200"/>
    <s v="not out"/>
    <n v="5"/>
    <n v="3.5"/>
    <n v="0"/>
    <n v="37"/>
    <n v="1"/>
    <n v="9.6999999999999993"/>
    <n v="25"/>
    <n v="0"/>
    <n v="0"/>
    <n v="30"/>
    <n v="3"/>
    <s v="MIW"/>
    <s v="MIW"/>
    <s v="M. Chinnaswamy Stadium"/>
    <n v="167"/>
    <n v="8.35"/>
    <n v="54"/>
    <n v="45"/>
    <n v="36"/>
    <s v="NA"/>
    <n v="0"/>
    <n v="15.9"/>
  </r>
  <r>
    <x v="51"/>
    <n v="3"/>
    <s v="P097"/>
    <x v="102"/>
    <x v="2"/>
    <s v="Allrounder"/>
    <s v="DNB"/>
    <n v="0"/>
    <n v="0"/>
    <n v="0"/>
    <s v="DNB"/>
    <n v="0"/>
    <n v="2"/>
    <n v="0"/>
    <n v="19"/>
    <n v="0"/>
    <n v="9.5"/>
    <n v="0"/>
    <n v="0"/>
    <n v="0"/>
    <n v="0"/>
    <n v="0"/>
    <s v="MIW"/>
    <s v="MIW"/>
    <s v="M. Chinnaswamy Stadium"/>
    <n v="167"/>
    <n v="8.35"/>
    <n v="54"/>
    <n v="45"/>
    <n v="36"/>
    <s v="NA"/>
    <n v="0"/>
    <n v="0"/>
  </r>
  <r>
    <x v="51"/>
    <n v="3"/>
    <s v="P033"/>
    <x v="32"/>
    <x v="2"/>
    <s v="Bowler"/>
    <s v="DNB"/>
    <n v="0"/>
    <n v="0"/>
    <n v="0"/>
    <s v="DNB"/>
    <n v="0"/>
    <n v="4"/>
    <n v="0"/>
    <n v="35"/>
    <n v="0"/>
    <n v="8.8000000000000007"/>
    <n v="0"/>
    <n v="0"/>
    <n v="0"/>
    <n v="0"/>
    <n v="0"/>
    <s v="MIW"/>
    <s v="MIW"/>
    <s v="M. Chinnaswamy Stadium"/>
    <n v="167"/>
    <n v="8.35"/>
    <n v="54"/>
    <n v="45"/>
    <n v="36"/>
    <s v="NA"/>
    <n v="0"/>
    <n v="0"/>
  </r>
  <r>
    <x v="51"/>
    <n v="3"/>
    <s v="P013"/>
    <x v="12"/>
    <x v="1"/>
    <s v="WK-Batter"/>
    <s v="Opener"/>
    <n v="8"/>
    <n v="8"/>
    <n v="100"/>
    <s v="lbw"/>
    <n v="6"/>
    <n v="0"/>
    <n v="0"/>
    <n v="0"/>
    <n v="0"/>
    <n v="0"/>
    <n v="0"/>
    <n v="0"/>
    <n v="0"/>
    <n v="6"/>
    <n v="1"/>
    <s v="MIW"/>
    <s v="MIW"/>
    <s v="M. Chinnaswamy Stadium"/>
    <n v="170"/>
    <n v="8.57"/>
    <n v="66"/>
    <n v="36"/>
    <n v="49"/>
    <s v="Successful"/>
    <n v="1"/>
    <n v="23.3"/>
  </r>
  <r>
    <x v="51"/>
    <n v="3"/>
    <s v="P012"/>
    <x v="11"/>
    <x v="1"/>
    <s v="Allrounder"/>
    <s v="Opener"/>
    <n v="15"/>
    <n v="10"/>
    <n v="150"/>
    <s v="lbw"/>
    <n v="18"/>
    <n v="4"/>
    <n v="0"/>
    <n v="37"/>
    <n v="1"/>
    <n v="9.1999999999999993"/>
    <n v="25"/>
    <n v="0"/>
    <n v="0"/>
    <n v="43"/>
    <n v="4"/>
    <s v="MIW"/>
    <s v="MIW"/>
    <s v="M. Chinnaswamy Stadium"/>
    <n v="170"/>
    <n v="8.57"/>
    <n v="66"/>
    <n v="36"/>
    <n v="49"/>
    <s v="Successful"/>
    <n v="1"/>
    <n v="42.7"/>
  </r>
  <r>
    <x v="51"/>
    <n v="3"/>
    <s v="P015"/>
    <x v="14"/>
    <x v="1"/>
    <s v="Allrounder"/>
    <s v="Top Order"/>
    <n v="42"/>
    <n v="21"/>
    <n v="200"/>
    <s v="bowled"/>
    <n v="55"/>
    <n v="4"/>
    <n v="0"/>
    <n v="40"/>
    <n v="1"/>
    <n v="10"/>
    <n v="25"/>
    <n v="0"/>
    <n v="0"/>
    <n v="80"/>
    <n v="8"/>
    <s v="MIW"/>
    <s v="MIW"/>
    <s v="M. Chinnaswamy Stadium"/>
    <n v="170"/>
    <n v="8.57"/>
    <n v="66"/>
    <n v="36"/>
    <n v="49"/>
    <s v="Successful"/>
    <n v="1"/>
    <n v="62.4"/>
  </r>
  <r>
    <x v="51"/>
    <n v="3"/>
    <s v="P014"/>
    <x v="13"/>
    <x v="1"/>
    <s v="Allrounder"/>
    <s v="Middle Order"/>
    <n v="50"/>
    <n v="38"/>
    <n v="131.58000000000001"/>
    <s v="caught"/>
    <n v="60"/>
    <n v="0"/>
    <n v="0"/>
    <n v="0"/>
    <n v="0"/>
    <n v="0"/>
    <n v="0"/>
    <n v="0"/>
    <n v="0"/>
    <n v="60"/>
    <n v="6"/>
    <s v="MIW"/>
    <s v="MIW"/>
    <s v="M. Chinnaswamy Stadium"/>
    <n v="170"/>
    <n v="8.57"/>
    <n v="66"/>
    <n v="36"/>
    <n v="49"/>
    <s v="Successful"/>
    <n v="1"/>
    <n v="51.8"/>
  </r>
  <r>
    <x v="51"/>
    <n v="3"/>
    <s v="P016"/>
    <x v="15"/>
    <x v="1"/>
    <s v="Allrounder"/>
    <s v="Middle Order"/>
    <n v="2"/>
    <n v="6"/>
    <n v="33.33"/>
    <s v="caught"/>
    <n v="2"/>
    <n v="4"/>
    <n v="0"/>
    <n v="28"/>
    <n v="0"/>
    <n v="7"/>
    <n v="0"/>
    <n v="0"/>
    <n v="0"/>
    <n v="2"/>
    <n v="0"/>
    <s v="MIW"/>
    <s v="MIW"/>
    <s v="M. Chinnaswamy Stadium"/>
    <n v="170"/>
    <n v="8.57"/>
    <n v="66"/>
    <n v="36"/>
    <n v="49"/>
    <s v="Successful"/>
    <n v="1"/>
    <n v="21"/>
  </r>
  <r>
    <x v="51"/>
    <n v="3"/>
    <s v="P017"/>
    <x v="16"/>
    <x v="1"/>
    <s v="Allrounder"/>
    <s v="Middle Order"/>
    <n v="34"/>
    <n v="27"/>
    <n v="125.93"/>
    <s v="not out"/>
    <n v="40"/>
    <n v="3"/>
    <n v="0"/>
    <n v="22"/>
    <n v="3"/>
    <n v="7.3"/>
    <n v="75"/>
    <n v="0"/>
    <n v="0"/>
    <n v="115"/>
    <n v="10"/>
    <s v="MIW"/>
    <s v="MIW"/>
    <s v="M. Chinnaswamy Stadium"/>
    <n v="170"/>
    <n v="8.57"/>
    <n v="66"/>
    <n v="36"/>
    <n v="49"/>
    <s v="Successful"/>
    <n v="1"/>
    <n v="80.5"/>
  </r>
  <r>
    <x v="51"/>
    <n v="3"/>
    <s v="P072"/>
    <x v="72"/>
    <x v="1"/>
    <s v="Allrounder"/>
    <s v="Middle Order"/>
    <n v="0"/>
    <n v="1"/>
    <n v="0"/>
    <s v="lbw"/>
    <n v="0"/>
    <n v="0"/>
    <n v="0"/>
    <n v="0"/>
    <n v="0"/>
    <n v="0"/>
    <n v="0"/>
    <n v="0"/>
    <n v="0"/>
    <n v="0"/>
    <n v="0"/>
    <s v="MIW"/>
    <s v="MIW"/>
    <s v="M. Chinnaswamy Stadium"/>
    <n v="170"/>
    <n v="8.57"/>
    <n v="66"/>
    <n v="36"/>
    <n v="49"/>
    <s v="Successful"/>
    <n v="1"/>
    <n v="20"/>
  </r>
  <r>
    <x v="51"/>
    <n v="3"/>
    <s v="P105"/>
    <x v="108"/>
    <x v="1"/>
    <s v="WK-Batter"/>
    <s v="Middle Order"/>
    <n v="11"/>
    <n v="8"/>
    <n v="137.5"/>
    <s v="not out"/>
    <n v="15"/>
    <n v="0"/>
    <n v="0"/>
    <n v="0"/>
    <n v="0"/>
    <n v="0"/>
    <n v="0"/>
    <n v="0"/>
    <n v="0"/>
    <n v="15"/>
    <n v="2"/>
    <s v="MIW"/>
    <s v="MIW"/>
    <s v="M. Chinnaswamy Stadium"/>
    <n v="170"/>
    <n v="8.57"/>
    <n v="66"/>
    <n v="36"/>
    <n v="49"/>
    <s v="Successful"/>
    <n v="1"/>
    <n v="28.1"/>
  </r>
  <r>
    <x v="51"/>
    <n v="3"/>
    <s v="P102"/>
    <x v="103"/>
    <x v="1"/>
    <s v="Allrounder"/>
    <s v="DNB"/>
    <n v="0"/>
    <n v="0"/>
    <n v="0"/>
    <s v="DNB"/>
    <n v="0"/>
    <n v="1"/>
    <n v="0"/>
    <n v="3"/>
    <n v="1"/>
    <n v="3"/>
    <n v="25"/>
    <n v="0"/>
    <n v="0"/>
    <n v="25"/>
    <n v="3"/>
    <s v="MIW"/>
    <s v="MIW"/>
    <s v="M. Chinnaswamy Stadium"/>
    <n v="170"/>
    <n v="8.57"/>
    <n v="66"/>
    <n v="36"/>
    <n v="49"/>
    <s v="Successful"/>
    <n v="1"/>
    <n v="33.4"/>
  </r>
  <r>
    <x v="51"/>
    <n v="3"/>
    <s v="P060"/>
    <x v="59"/>
    <x v="1"/>
    <s v="Bowler"/>
    <s v="DNB"/>
    <n v="0"/>
    <n v="0"/>
    <n v="0"/>
    <s v="DNB"/>
    <n v="0"/>
    <n v="4"/>
    <n v="0"/>
    <n v="36"/>
    <n v="1"/>
    <n v="9"/>
    <n v="25"/>
    <n v="0"/>
    <n v="0"/>
    <n v="25"/>
    <n v="3"/>
    <s v="MIW"/>
    <s v="MIW"/>
    <s v="M. Chinnaswamy Stadium"/>
    <n v="170"/>
    <n v="8.57"/>
    <n v="66"/>
    <n v="36"/>
    <n v="49"/>
    <s v="Successful"/>
    <n v="1"/>
    <n v="33.4"/>
  </r>
  <r>
    <x v="51"/>
    <n v="3"/>
    <s v="P106"/>
    <x v="109"/>
    <x v="1"/>
    <s v="Bowler"/>
    <s v="DNB"/>
    <n v="0"/>
    <n v="0"/>
    <n v="0"/>
    <s v="DNB"/>
    <n v="0"/>
    <n v="0"/>
    <n v="0"/>
    <n v="0"/>
    <n v="0"/>
    <n v="0"/>
    <n v="0"/>
    <n v="0"/>
    <n v="0"/>
    <n v="0"/>
    <n v="0"/>
    <s v="MIW"/>
    <s v="MIW"/>
    <s v="M. Chinnaswamy Stadium"/>
    <n v="170"/>
    <n v="8.57"/>
    <n v="66"/>
    <n v="36"/>
    <n v="49"/>
    <s v="Successful"/>
    <n v="1"/>
    <n v="20"/>
  </r>
  <r>
    <x v="52"/>
    <n v="3"/>
    <s v="P051"/>
    <x v="50"/>
    <x v="4"/>
    <s v="Batter"/>
    <s v="Opener"/>
    <n v="17"/>
    <n v="20"/>
    <n v="85"/>
    <s v="caught"/>
    <n v="18"/>
    <n v="0"/>
    <n v="0"/>
    <n v="0"/>
    <n v="0"/>
    <n v="0"/>
    <n v="0"/>
    <n v="0"/>
    <n v="0"/>
    <n v="18"/>
    <n v="2"/>
    <s v="UPW"/>
    <s v="DCW"/>
    <s v="M. Chinnaswamy Stadium"/>
    <n v="177"/>
    <n v="8.85"/>
    <n v="38"/>
    <n v="67"/>
    <n v="57"/>
    <s v="NA"/>
    <n v="1"/>
    <n v="29.6"/>
  </r>
  <r>
    <x v="52"/>
    <n v="3"/>
    <s v="P074"/>
    <x v="76"/>
    <x v="4"/>
    <s v="Batter"/>
    <s v="Opener"/>
    <n v="4"/>
    <n v="7"/>
    <n v="57.14"/>
    <s v="caught"/>
    <n v="3"/>
    <n v="0"/>
    <n v="0"/>
    <n v="0"/>
    <n v="0"/>
    <n v="0"/>
    <n v="0"/>
    <n v="0"/>
    <n v="0"/>
    <n v="3"/>
    <n v="0"/>
    <s v="UPW"/>
    <s v="DCW"/>
    <s v="M. Chinnaswamy Stadium"/>
    <n v="177"/>
    <n v="8.85"/>
    <n v="38"/>
    <n v="67"/>
    <n v="57"/>
    <s v="NA"/>
    <n v="1"/>
    <n v="21.5"/>
  </r>
  <r>
    <x v="52"/>
    <n v="3"/>
    <s v="P048"/>
    <x v="47"/>
    <x v="4"/>
    <s v="Allrounder"/>
    <s v="Top Order"/>
    <n v="13"/>
    <n v="19"/>
    <n v="68.42"/>
    <s v="caught"/>
    <n v="15"/>
    <n v="4"/>
    <n v="0"/>
    <n v="25"/>
    <n v="1"/>
    <n v="6.2"/>
    <n v="25"/>
    <n v="0"/>
    <n v="0"/>
    <n v="40"/>
    <n v="4"/>
    <s v="UPW"/>
    <s v="DCW"/>
    <s v="M. Chinnaswamy Stadium"/>
    <n v="177"/>
    <n v="8.85"/>
    <n v="38"/>
    <n v="67"/>
    <n v="57"/>
    <s v="NA"/>
    <n v="1"/>
    <n v="41.2"/>
  </r>
  <r>
    <x v="52"/>
    <n v="3"/>
    <s v="P047"/>
    <x v="46"/>
    <x v="4"/>
    <s v="Allrounder"/>
    <s v="Top Order"/>
    <n v="24"/>
    <n v="23"/>
    <n v="104.35"/>
    <s v="caught"/>
    <n v="25"/>
    <n v="1"/>
    <n v="0"/>
    <n v="9"/>
    <n v="0"/>
    <n v="9"/>
    <n v="0"/>
    <n v="0"/>
    <n v="0"/>
    <n v="25"/>
    <n v="3"/>
    <s v="UPW"/>
    <s v="DCW"/>
    <s v="M. Chinnaswamy Stadium"/>
    <n v="177"/>
    <n v="8.85"/>
    <n v="38"/>
    <n v="67"/>
    <n v="57"/>
    <s v="NA"/>
    <n v="1"/>
    <n v="33.4"/>
  </r>
  <r>
    <x v="52"/>
    <n v="3"/>
    <s v="P046"/>
    <x v="45"/>
    <x v="4"/>
    <s v="Batter"/>
    <s v="Middle Order"/>
    <n v="11"/>
    <n v="6"/>
    <n v="183.33"/>
    <s v="bowled"/>
    <n v="15"/>
    <n v="0"/>
    <n v="0"/>
    <n v="0"/>
    <n v="0"/>
    <n v="0"/>
    <n v="0"/>
    <n v="0"/>
    <n v="0"/>
    <n v="15"/>
    <n v="2"/>
    <s v="UPW"/>
    <s v="DCW"/>
    <s v="M. Chinnaswamy Stadium"/>
    <n v="177"/>
    <n v="8.85"/>
    <n v="38"/>
    <n v="67"/>
    <n v="57"/>
    <s v="NA"/>
    <n v="1"/>
    <n v="28.1"/>
  </r>
  <r>
    <x v="52"/>
    <n v="3"/>
    <s v="P049"/>
    <x v="48"/>
    <x v="4"/>
    <s v="Allrounder"/>
    <s v="Middle Order"/>
    <n v="2"/>
    <n v="8"/>
    <n v="25"/>
    <s v="bowled"/>
    <n v="2"/>
    <n v="2.2999999999999998"/>
    <n v="0"/>
    <n v="15"/>
    <n v="4"/>
    <n v="6"/>
    <n v="100"/>
    <n v="0"/>
    <n v="0"/>
    <n v="102"/>
    <n v="10"/>
    <s v="UPW"/>
    <s v="DCW"/>
    <s v="M. Chinnaswamy Stadium"/>
    <n v="177"/>
    <n v="8.85"/>
    <n v="38"/>
    <n v="67"/>
    <n v="57"/>
    <s v="NA"/>
    <n v="1"/>
    <n v="74"/>
  </r>
  <r>
    <x v="52"/>
    <n v="3"/>
    <s v="P092"/>
    <x v="92"/>
    <x v="4"/>
    <s v="WK-Batter"/>
    <s v="Middle Order"/>
    <n v="3"/>
    <n v="5"/>
    <n v="60"/>
    <s v="caught"/>
    <n v="2"/>
    <n v="0"/>
    <n v="0"/>
    <n v="0"/>
    <n v="0"/>
    <n v="0"/>
    <n v="0"/>
    <n v="0"/>
    <n v="0"/>
    <n v="2"/>
    <n v="0"/>
    <s v="UPW"/>
    <s v="DCW"/>
    <s v="M. Chinnaswamy Stadium"/>
    <n v="177"/>
    <n v="8.85"/>
    <n v="38"/>
    <n v="67"/>
    <n v="57"/>
    <s v="NA"/>
    <n v="1"/>
    <n v="21"/>
  </r>
  <r>
    <x v="52"/>
    <n v="3"/>
    <s v="P107"/>
    <x v="110"/>
    <x v="4"/>
    <s v="Allrounder"/>
    <s v="Middle Order"/>
    <n v="62"/>
    <n v="23"/>
    <n v="269.57"/>
    <s v="caught"/>
    <n v="80"/>
    <n v="4"/>
    <n v="0"/>
    <n v="42"/>
    <n v="1"/>
    <n v="10.5"/>
    <n v="25"/>
    <n v="0"/>
    <n v="0"/>
    <n v="105"/>
    <n v="10"/>
    <s v="UPW"/>
    <s v="DCW"/>
    <s v="M. Chinnaswamy Stadium"/>
    <n v="177"/>
    <n v="8.85"/>
    <n v="38"/>
    <n v="67"/>
    <n v="57"/>
    <s v="NA"/>
    <n v="1"/>
    <n v="75.5"/>
  </r>
  <r>
    <x v="52"/>
    <n v="3"/>
    <s v="P053"/>
    <x v="52"/>
    <x v="4"/>
    <s v="Bowler"/>
    <s v="Middle Order"/>
    <n v="12"/>
    <n v="8"/>
    <n v="150"/>
    <s v="caught"/>
    <n v="15"/>
    <n v="4"/>
    <n v="0"/>
    <n v="28"/>
    <n v="0"/>
    <n v="7"/>
    <n v="0"/>
    <n v="0"/>
    <n v="0"/>
    <n v="15"/>
    <n v="2"/>
    <s v="UPW"/>
    <s v="DCW"/>
    <s v="M. Chinnaswamy Stadium"/>
    <n v="177"/>
    <n v="8.85"/>
    <n v="38"/>
    <n v="67"/>
    <n v="57"/>
    <s v="NA"/>
    <n v="1"/>
    <n v="28.1"/>
  </r>
  <r>
    <x v="52"/>
    <n v="3"/>
    <s v="P076"/>
    <x v="77"/>
    <x v="4"/>
    <s v="Allrounder"/>
    <s v="Middle Order"/>
    <n v="4"/>
    <n v="2"/>
    <n v="200"/>
    <s v="not out"/>
    <n v="8"/>
    <n v="0"/>
    <n v="0"/>
    <n v="0"/>
    <n v="0"/>
    <n v="0"/>
    <n v="0"/>
    <n v="0"/>
    <n v="0"/>
    <n v="8"/>
    <n v="1"/>
    <s v="UPW"/>
    <s v="DCW"/>
    <s v="M. Chinnaswamy Stadium"/>
    <n v="177"/>
    <n v="8.85"/>
    <n v="38"/>
    <n v="67"/>
    <n v="57"/>
    <s v="NA"/>
    <n v="1"/>
    <n v="24.3"/>
  </r>
  <r>
    <x v="52"/>
    <n v="3"/>
    <s v="P104"/>
    <x v="107"/>
    <x v="4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UPW"/>
    <s v="DCW"/>
    <s v="M. Chinnaswamy Stadium"/>
    <n v="177"/>
    <n v="8.85"/>
    <n v="38"/>
    <n v="67"/>
    <n v="57"/>
    <s v="NA"/>
    <n v="1"/>
    <n v="20"/>
  </r>
  <r>
    <x v="52"/>
    <n v="3"/>
    <s v="P034"/>
    <x v="33"/>
    <x v="3"/>
    <s v="Batter"/>
    <s v="Opener"/>
    <n v="24"/>
    <n v="30"/>
    <n v="80"/>
    <s v="caught"/>
    <n v="25"/>
    <n v="0"/>
    <n v="0"/>
    <n v="0"/>
    <n v="0"/>
    <n v="0"/>
    <n v="0"/>
    <n v="0"/>
    <n v="0"/>
    <n v="25"/>
    <n v="3"/>
    <s v="UPW"/>
    <s v="DCW"/>
    <s v="M. Chinnaswamy Stadium"/>
    <n v="144"/>
    <n v="7.38"/>
    <n v="37"/>
    <n v="32"/>
    <n v="63"/>
    <s v="Failed"/>
    <n v="0"/>
    <n v="13.4"/>
  </r>
  <r>
    <x v="52"/>
    <n v="3"/>
    <s v="P035"/>
    <x v="34"/>
    <x v="3"/>
    <s v="Batter"/>
    <s v="Opener"/>
    <n v="5"/>
    <n v="5"/>
    <n v="100"/>
    <s v="bowled"/>
    <n v="5"/>
    <n v="0"/>
    <n v="0"/>
    <n v="0"/>
    <n v="0"/>
    <n v="0"/>
    <n v="0"/>
    <n v="0"/>
    <n v="0"/>
    <n v="5"/>
    <n v="1"/>
    <s v="UPW"/>
    <s v="DCW"/>
    <s v="M. Chinnaswamy Stadium"/>
    <n v="144"/>
    <n v="7.38"/>
    <n v="37"/>
    <n v="32"/>
    <n v="63"/>
    <s v="Failed"/>
    <n v="0"/>
    <n v="2.8"/>
  </r>
  <r>
    <x v="52"/>
    <n v="3"/>
    <s v="P037"/>
    <x v="36"/>
    <x v="3"/>
    <s v="Batter"/>
    <s v="Top Order"/>
    <n v="56"/>
    <n v="35"/>
    <n v="160"/>
    <s v="caught"/>
    <n v="65"/>
    <n v="0"/>
    <n v="0"/>
    <n v="0"/>
    <n v="0"/>
    <n v="0"/>
    <n v="0"/>
    <n v="0"/>
    <n v="0"/>
    <n v="65"/>
    <n v="7"/>
    <s v="UPW"/>
    <s v="DCW"/>
    <s v="M. Chinnaswamy Stadium"/>
    <n v="144"/>
    <n v="7.38"/>
    <n v="37"/>
    <n v="32"/>
    <n v="63"/>
    <s v="Failed"/>
    <n v="0"/>
    <n v="34.6"/>
  </r>
  <r>
    <x v="52"/>
    <n v="3"/>
    <s v="P036"/>
    <x v="35"/>
    <x v="3"/>
    <s v="Allrounder"/>
    <s v="Middle Order"/>
    <n v="9"/>
    <n v="9"/>
    <n v="100"/>
    <s v="caught"/>
    <n v="10"/>
    <n v="4"/>
    <n v="0"/>
    <n v="18"/>
    <n v="2"/>
    <n v="4.5"/>
    <n v="50"/>
    <n v="0"/>
    <n v="0"/>
    <n v="60"/>
    <n v="6"/>
    <s v="UPW"/>
    <s v="DCW"/>
    <s v="M. Chinnaswamy Stadium"/>
    <n v="144"/>
    <n v="7.38"/>
    <n v="37"/>
    <n v="32"/>
    <n v="63"/>
    <s v="Failed"/>
    <n v="0"/>
    <n v="31.8"/>
  </r>
  <r>
    <x v="52"/>
    <n v="3"/>
    <s v="P005"/>
    <x v="4"/>
    <x v="3"/>
    <s v="Allrounder"/>
    <s v="Middle Order"/>
    <n v="5"/>
    <n v="5"/>
    <n v="100"/>
    <s v="caught"/>
    <n v="5"/>
    <n v="4"/>
    <n v="0"/>
    <n v="30"/>
    <n v="0"/>
    <n v="7.5"/>
    <n v="0"/>
    <n v="0"/>
    <n v="0"/>
    <n v="5"/>
    <n v="1"/>
    <s v="UPW"/>
    <s v="DCW"/>
    <s v="M. Chinnaswamy Stadium"/>
    <n v="144"/>
    <n v="7.38"/>
    <n v="37"/>
    <n v="32"/>
    <n v="63"/>
    <s v="Failed"/>
    <n v="0"/>
    <n v="2.8"/>
  </r>
  <r>
    <x v="52"/>
    <n v="3"/>
    <s v="P039"/>
    <x v="38"/>
    <x v="3"/>
    <s v="Bowler"/>
    <s v="Middle Order"/>
    <n v="5"/>
    <n v="4"/>
    <n v="125"/>
    <s v="caught"/>
    <n v="5"/>
    <n v="4"/>
    <n v="0"/>
    <n v="31"/>
    <n v="4"/>
    <n v="7.8"/>
    <n v="100"/>
    <n v="0"/>
    <n v="0"/>
    <n v="105"/>
    <n v="10"/>
    <s v="UPW"/>
    <s v="DCW"/>
    <s v="M. Chinnaswamy Stadium"/>
    <n v="144"/>
    <n v="7.38"/>
    <n v="37"/>
    <n v="32"/>
    <n v="63"/>
    <s v="Failed"/>
    <n v="0"/>
    <n v="55.5"/>
  </r>
  <r>
    <x v="52"/>
    <n v="3"/>
    <s v="P101"/>
    <x v="105"/>
    <x v="3"/>
    <s v="WK-Batter"/>
    <s v="Middle Order"/>
    <n v="5"/>
    <n v="5"/>
    <n v="100"/>
    <s v="stumped"/>
    <n v="5"/>
    <n v="0"/>
    <n v="0"/>
    <n v="0"/>
    <n v="0"/>
    <n v="0"/>
    <n v="0"/>
    <n v="0"/>
    <n v="0"/>
    <n v="5"/>
    <n v="1"/>
    <s v="UPW"/>
    <s v="DCW"/>
    <s v="M. Chinnaswamy Stadium"/>
    <n v="144"/>
    <n v="7.38"/>
    <n v="37"/>
    <n v="32"/>
    <n v="63"/>
    <s v="Failed"/>
    <n v="0"/>
    <n v="2.8"/>
  </r>
  <r>
    <x v="52"/>
    <n v="3"/>
    <s v="P100"/>
    <x v="104"/>
    <x v="3"/>
    <s v="Allrounder"/>
    <s v="Middle Order"/>
    <n v="18"/>
    <n v="10"/>
    <n v="180"/>
    <s v="caught"/>
    <n v="20"/>
    <n v="0"/>
    <n v="0"/>
    <n v="0"/>
    <n v="0"/>
    <n v="0"/>
    <n v="0"/>
    <n v="0"/>
    <n v="0"/>
    <n v="20"/>
    <n v="2"/>
    <s v="UPW"/>
    <s v="DCW"/>
    <s v="M. Chinnaswamy Stadium"/>
    <n v="144"/>
    <n v="7.38"/>
    <n v="37"/>
    <n v="32"/>
    <n v="63"/>
    <s v="Failed"/>
    <n v="0"/>
    <n v="10.6"/>
  </r>
  <r>
    <x v="52"/>
    <n v="3"/>
    <s v="P042"/>
    <x v="41"/>
    <x v="3"/>
    <s v="Allrounder"/>
    <s v="Middle Order"/>
    <n v="15"/>
    <n v="13"/>
    <n v="115.38"/>
    <s v="not out"/>
    <n v="20"/>
    <n v="4"/>
    <n v="0"/>
    <n v="39"/>
    <n v="1"/>
    <n v="9.8000000000000007"/>
    <n v="25"/>
    <n v="0"/>
    <n v="0"/>
    <n v="45"/>
    <n v="5"/>
    <s v="UPW"/>
    <s v="DCW"/>
    <s v="M. Chinnaswamy Stadium"/>
    <n v="144"/>
    <n v="7.38"/>
    <n v="37"/>
    <n v="32"/>
    <n v="63"/>
    <s v="Failed"/>
    <n v="0"/>
    <n v="24"/>
  </r>
  <r>
    <x v="52"/>
    <n v="3"/>
    <s v="P041"/>
    <x v="40"/>
    <x v="3"/>
    <s v="Bowler"/>
    <s v="Middle Order"/>
    <n v="0"/>
    <n v="1"/>
    <n v="0"/>
    <s v="caught"/>
    <n v="0"/>
    <n v="4"/>
    <n v="0"/>
    <n v="52"/>
    <n v="2"/>
    <n v="13"/>
    <n v="50"/>
    <n v="0"/>
    <n v="0"/>
    <n v="50"/>
    <n v="5"/>
    <s v="UPW"/>
    <s v="DCW"/>
    <s v="M. Chinnaswamy Stadium"/>
    <n v="144"/>
    <n v="7.38"/>
    <n v="37"/>
    <n v="32"/>
    <n v="63"/>
    <s v="Failed"/>
    <n v="0"/>
    <n v="26.5"/>
  </r>
  <r>
    <x v="52"/>
    <n v="3"/>
    <s v="P062"/>
    <x v="61"/>
    <x v="3"/>
    <s v="Allrounder"/>
    <s v="Middle Order"/>
    <n v="0"/>
    <n v="1"/>
    <n v="0"/>
    <s v="caught"/>
    <n v="0"/>
    <n v="0"/>
    <n v="0"/>
    <n v="0"/>
    <n v="0"/>
    <n v="0"/>
    <n v="0"/>
    <n v="0"/>
    <n v="0"/>
    <n v="0"/>
    <n v="0"/>
    <s v="UPW"/>
    <s v="DCW"/>
    <s v="M. Chinnaswamy Stadium"/>
    <n v="144"/>
    <n v="7.38"/>
    <n v="37"/>
    <n v="32"/>
    <n v="63"/>
    <s v="Failed"/>
    <n v="0"/>
    <n v="0"/>
  </r>
  <r>
    <x v="53"/>
    <n v="3"/>
    <s v="P023"/>
    <x v="22"/>
    <x v="2"/>
    <s v="Batter"/>
    <s v="Opener"/>
    <n v="6"/>
    <n v="9"/>
    <n v="66.67"/>
    <s v="bowled"/>
    <n v="5"/>
    <n v="0"/>
    <n v="0"/>
    <n v="0"/>
    <n v="0"/>
    <n v="0"/>
    <n v="0"/>
    <n v="0"/>
    <n v="0"/>
    <n v="5"/>
    <n v="1"/>
    <s v="UPW"/>
    <s v="UPW"/>
    <s v="M. Chinnaswamy Stadium"/>
    <n v="180"/>
    <n v="9"/>
    <n v="42"/>
    <n v="44"/>
    <n v="45"/>
    <s v="NA"/>
    <n v="0"/>
    <n v="2.8"/>
  </r>
  <r>
    <x v="53"/>
    <n v="3"/>
    <s v="P094"/>
    <x v="99"/>
    <x v="2"/>
    <s v="Batter"/>
    <s v="Opener"/>
    <n v="57"/>
    <n v="41"/>
    <n v="139.02000000000001"/>
    <s v="caught"/>
    <n v="65"/>
    <n v="0"/>
    <n v="0"/>
    <n v="0"/>
    <n v="0"/>
    <n v="0"/>
    <n v="0"/>
    <n v="0"/>
    <n v="0"/>
    <n v="65"/>
    <n v="7"/>
    <s v="UPW"/>
    <s v="UPW"/>
    <s v="M. Chinnaswamy Stadium"/>
    <n v="180"/>
    <n v="9"/>
    <n v="42"/>
    <n v="44"/>
    <n v="45"/>
    <s v="NA"/>
    <n v="0"/>
    <n v="34.6"/>
  </r>
  <r>
    <x v="53"/>
    <n v="3"/>
    <s v="P027"/>
    <x v="26"/>
    <x v="2"/>
    <s v="Allrounder"/>
    <s v="Top Order"/>
    <n v="90"/>
    <n v="56"/>
    <n v="160.71"/>
    <s v="not out"/>
    <n v="110"/>
    <n v="2"/>
    <n v="0"/>
    <n v="10"/>
    <n v="1"/>
    <n v="5"/>
    <n v="25"/>
    <n v="0"/>
    <n v="0"/>
    <n v="135"/>
    <n v="10"/>
    <s v="UPW"/>
    <s v="UPW"/>
    <s v="M. Chinnaswamy Stadium"/>
    <n v="180"/>
    <n v="9"/>
    <n v="42"/>
    <n v="44"/>
    <n v="45"/>
    <s v="NA"/>
    <n v="0"/>
    <n v="70.5"/>
  </r>
  <r>
    <x v="53"/>
    <n v="3"/>
    <s v="P095"/>
    <x v="100"/>
    <x v="2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UPW"/>
    <s v="UPW"/>
    <s v="M. Chinnaswamy Stadium"/>
    <n v="180"/>
    <n v="9"/>
    <n v="42"/>
    <n v="44"/>
    <n v="45"/>
    <s v="NA"/>
    <n v="0"/>
    <n v="0"/>
  </r>
  <r>
    <x v="53"/>
    <n v="3"/>
    <s v="P028"/>
    <x v="27"/>
    <x v="2"/>
    <s v="WK-Batter"/>
    <s v="Middle Order"/>
    <n v="8"/>
    <n v="6"/>
    <n v="133.33000000000001"/>
    <s v="caught"/>
    <n v="10"/>
    <n v="0"/>
    <n v="0"/>
    <n v="0"/>
    <n v="0"/>
    <n v="0"/>
    <n v="0"/>
    <n v="0"/>
    <n v="0"/>
    <n v="10"/>
    <n v="1"/>
    <s v="UPW"/>
    <s v="UPW"/>
    <s v="M. Chinnaswamy Stadium"/>
    <n v="180"/>
    <n v="9"/>
    <n v="42"/>
    <n v="44"/>
    <n v="45"/>
    <s v="NA"/>
    <n v="0"/>
    <n v="5.3"/>
  </r>
  <r>
    <x v="53"/>
    <n v="3"/>
    <s v="P029"/>
    <x v="28"/>
    <x v="2"/>
    <s v="Allrounder"/>
    <s v="Middle Order"/>
    <n v="5"/>
    <n v="3"/>
    <n v="166.67"/>
    <s v="run out"/>
    <n v="5"/>
    <n v="0"/>
    <n v="0"/>
    <n v="0"/>
    <n v="0"/>
    <n v="0"/>
    <n v="0"/>
    <n v="0"/>
    <n v="0"/>
    <n v="5"/>
    <n v="1"/>
    <s v="UPW"/>
    <s v="UPW"/>
    <s v="M. Chinnaswamy Stadium"/>
    <n v="180"/>
    <n v="9"/>
    <n v="42"/>
    <n v="44"/>
    <n v="45"/>
    <s v="NA"/>
    <n v="0"/>
    <n v="2.8"/>
  </r>
  <r>
    <x v="53"/>
    <n v="3"/>
    <s v="P007"/>
    <x v="6"/>
    <x v="2"/>
    <s v="Allrounder"/>
    <s v="Middle Order"/>
    <n v="7"/>
    <n v="5"/>
    <n v="140"/>
    <s v="run out"/>
    <n v="8"/>
    <n v="4"/>
    <n v="0"/>
    <n v="40"/>
    <n v="0"/>
    <n v="10"/>
    <n v="0"/>
    <n v="0"/>
    <n v="0"/>
    <n v="8"/>
    <n v="1"/>
    <s v="UPW"/>
    <s v="UPW"/>
    <s v="M. Chinnaswamy Stadium"/>
    <n v="180"/>
    <n v="9"/>
    <n v="42"/>
    <n v="44"/>
    <n v="45"/>
    <s v="NA"/>
    <n v="0"/>
    <n v="4.3"/>
  </r>
  <r>
    <x v="53"/>
    <n v="3"/>
    <s v="P058"/>
    <x v="57"/>
    <x v="2"/>
    <s v="Bowler"/>
    <s v="Middle Order"/>
    <n v="2"/>
    <n v="2"/>
    <n v="100"/>
    <s v="run out"/>
    <n v="2"/>
    <n v="4"/>
    <n v="0"/>
    <n v="40"/>
    <n v="2"/>
    <n v="10"/>
    <n v="50"/>
    <n v="0"/>
    <n v="0"/>
    <n v="52"/>
    <n v="5"/>
    <s v="UPW"/>
    <s v="UPW"/>
    <s v="M. Chinnaswamy Stadium"/>
    <n v="180"/>
    <n v="9"/>
    <n v="42"/>
    <n v="44"/>
    <n v="45"/>
    <s v="NA"/>
    <n v="0"/>
    <n v="27.5"/>
  </r>
  <r>
    <x v="53"/>
    <n v="3"/>
    <s v="P008"/>
    <x v="7"/>
    <x v="2"/>
    <s v="Allrounder"/>
    <s v="DNB"/>
    <n v="0"/>
    <n v="0"/>
    <n v="0"/>
    <s v="DNB"/>
    <n v="0"/>
    <n v="3"/>
    <n v="0"/>
    <n v="27"/>
    <n v="3"/>
    <n v="9"/>
    <n v="75"/>
    <n v="0"/>
    <n v="0"/>
    <n v="75"/>
    <n v="8"/>
    <s v="UPW"/>
    <s v="UPW"/>
    <s v="M. Chinnaswamy Stadium"/>
    <n v="180"/>
    <n v="9"/>
    <n v="42"/>
    <n v="44"/>
    <n v="45"/>
    <s v="NA"/>
    <n v="0"/>
    <n v="39.9"/>
  </r>
  <r>
    <x v="53"/>
    <n v="3"/>
    <s v="P090"/>
    <x v="90"/>
    <x v="2"/>
    <s v="Bowler"/>
    <s v="DNB"/>
    <n v="0"/>
    <n v="0"/>
    <n v="0"/>
    <s v="DNB"/>
    <n v="0"/>
    <n v="3"/>
    <n v="0"/>
    <n v="26"/>
    <n v="0"/>
    <n v="8.6999999999999993"/>
    <n v="0"/>
    <n v="0"/>
    <n v="0"/>
    <n v="0"/>
    <n v="0"/>
    <s v="UPW"/>
    <s v="UPW"/>
    <s v="M. Chinnaswamy Stadium"/>
    <n v="180"/>
    <n v="9"/>
    <n v="42"/>
    <n v="44"/>
    <n v="45"/>
    <s v="NA"/>
    <n v="0"/>
    <n v="0"/>
  </r>
  <r>
    <x v="53"/>
    <n v="3"/>
    <s v="P033"/>
    <x v="32"/>
    <x v="2"/>
    <s v="Bowler"/>
    <s v="DNB"/>
    <n v="0"/>
    <n v="0"/>
    <n v="0"/>
    <s v="DNB"/>
    <n v="0"/>
    <n v="4"/>
    <n v="0"/>
    <n v="36"/>
    <n v="2"/>
    <n v="9"/>
    <n v="50"/>
    <n v="0"/>
    <n v="0"/>
    <n v="50"/>
    <n v="5"/>
    <s v="UPW"/>
    <s v="UPW"/>
    <s v="M. Chinnaswamy Stadium"/>
    <n v="180"/>
    <n v="9"/>
    <n v="42"/>
    <n v="44"/>
    <n v="45"/>
    <s v="NA"/>
    <n v="0"/>
    <n v="26.5"/>
  </r>
  <r>
    <x v="53"/>
    <n v="3"/>
    <s v="P051"/>
    <x v="50"/>
    <x v="4"/>
    <s v="Batter"/>
    <s v="Opener"/>
    <n v="24"/>
    <n v="12"/>
    <n v="200"/>
    <s v="bowled"/>
    <n v="30"/>
    <n v="0"/>
    <n v="0"/>
    <n v="0"/>
    <n v="0"/>
    <n v="0"/>
    <n v="0"/>
    <n v="0"/>
    <n v="0"/>
    <n v="30"/>
    <n v="3"/>
    <s v="UPW"/>
    <s v="UPW"/>
    <s v="M. Chinnaswamy Stadium"/>
    <n v="190"/>
    <n v="9"/>
    <n v="57"/>
    <n v="47"/>
    <n v="53"/>
    <s v="Successful"/>
    <n v="1"/>
    <n v="35.9"/>
  </r>
  <r>
    <x v="53"/>
    <n v="3"/>
    <s v="P074"/>
    <x v="76"/>
    <x v="4"/>
    <s v="Batter"/>
    <s v="Opener"/>
    <n v="14"/>
    <n v="10"/>
    <n v="140"/>
    <s v="caught"/>
    <n v="15"/>
    <n v="0"/>
    <n v="0"/>
    <n v="0"/>
    <n v="0"/>
    <n v="0"/>
    <n v="0"/>
    <n v="0"/>
    <n v="0"/>
    <n v="15"/>
    <n v="2"/>
    <s v="UPW"/>
    <s v="UPW"/>
    <s v="M. Chinnaswamy Stadium"/>
    <n v="190"/>
    <n v="9"/>
    <n v="57"/>
    <n v="47"/>
    <n v="53"/>
    <s v="Successful"/>
    <n v="1"/>
    <n v="28.1"/>
  </r>
  <r>
    <x v="53"/>
    <n v="3"/>
    <s v="P048"/>
    <x v="47"/>
    <x v="4"/>
    <s v="Allrounder"/>
    <s v="Top Order"/>
    <n v="25"/>
    <n v="13"/>
    <n v="192.31"/>
    <s v="caught"/>
    <n v="30"/>
    <n v="4"/>
    <n v="0"/>
    <n v="42"/>
    <n v="1"/>
    <n v="10.5"/>
    <n v="25"/>
    <n v="0"/>
    <n v="0"/>
    <n v="55"/>
    <n v="6"/>
    <s v="UPW"/>
    <s v="UPW"/>
    <s v="M. Chinnaswamy Stadium"/>
    <n v="190"/>
    <n v="9"/>
    <n v="57"/>
    <n v="47"/>
    <n v="53"/>
    <s v="Successful"/>
    <n v="1"/>
    <n v="49.3"/>
  </r>
  <r>
    <x v="53"/>
    <n v="3"/>
    <s v="P047"/>
    <x v="46"/>
    <x v="4"/>
    <s v="Allrounder"/>
    <s v="Top Order"/>
    <n v="0"/>
    <n v="4"/>
    <n v="0"/>
    <s v="stumped"/>
    <n v="0"/>
    <n v="3"/>
    <n v="0"/>
    <n v="30"/>
    <n v="1"/>
    <n v="10"/>
    <n v="25"/>
    <n v="0"/>
    <n v="0"/>
    <n v="25"/>
    <n v="3"/>
    <s v="UPW"/>
    <s v="UPW"/>
    <s v="M. Chinnaswamy Stadium"/>
    <n v="190"/>
    <n v="9"/>
    <n v="57"/>
    <n v="47"/>
    <n v="53"/>
    <s v="Successful"/>
    <n v="1"/>
    <n v="33.4"/>
  </r>
  <r>
    <x v="53"/>
    <n v="3"/>
    <s v="P046"/>
    <x v="45"/>
    <x v="4"/>
    <s v="Batter"/>
    <s v="Middle Order"/>
    <n v="31"/>
    <n v="25"/>
    <n v="124"/>
    <s v="caught"/>
    <n v="35"/>
    <n v="0"/>
    <n v="0"/>
    <n v="0"/>
    <n v="0"/>
    <n v="0"/>
    <n v="0"/>
    <n v="0"/>
    <n v="0"/>
    <n v="35"/>
    <n v="4"/>
    <s v="UPW"/>
    <s v="UPW"/>
    <s v="M. Chinnaswamy Stadium"/>
    <n v="190"/>
    <n v="9"/>
    <n v="57"/>
    <n v="47"/>
    <n v="53"/>
    <s v="Successful"/>
    <n v="1"/>
    <n v="38.700000000000003"/>
  </r>
  <r>
    <x v="53"/>
    <n v="3"/>
    <s v="P049"/>
    <x v="48"/>
    <x v="4"/>
    <s v="Allrounder"/>
    <s v="Middle Order"/>
    <n v="8"/>
    <n v="10"/>
    <n v="80"/>
    <s v="caught"/>
    <n v="10"/>
    <n v="1"/>
    <n v="0"/>
    <n v="11"/>
    <n v="0"/>
    <n v="11"/>
    <n v="0"/>
    <n v="0"/>
    <n v="0"/>
    <n v="10"/>
    <n v="1"/>
    <s v="UPW"/>
    <s v="UPW"/>
    <s v="M. Chinnaswamy Stadium"/>
    <n v="190"/>
    <n v="9"/>
    <n v="57"/>
    <n v="47"/>
    <n v="53"/>
    <s v="Successful"/>
    <n v="1"/>
    <n v="25.3"/>
  </r>
  <r>
    <x v="53"/>
    <n v="3"/>
    <s v="P092"/>
    <x v="92"/>
    <x v="4"/>
    <s v="WK-Batter"/>
    <s v="Middle Order"/>
    <n v="14"/>
    <n v="11"/>
    <n v="127.27"/>
    <s v="caught"/>
    <n v="15"/>
    <n v="0"/>
    <n v="0"/>
    <n v="0"/>
    <n v="0"/>
    <n v="0"/>
    <n v="0"/>
    <n v="0"/>
    <n v="0"/>
    <n v="15"/>
    <n v="2"/>
    <s v="UPW"/>
    <s v="UPW"/>
    <s v="M. Chinnaswamy Stadium"/>
    <n v="190"/>
    <n v="9"/>
    <n v="57"/>
    <n v="47"/>
    <n v="53"/>
    <s v="Successful"/>
    <n v="1"/>
    <n v="28.1"/>
  </r>
  <r>
    <x v="53"/>
    <n v="3"/>
    <s v="P107"/>
    <x v="110"/>
    <x v="4"/>
    <s v="Allrounder"/>
    <s v="Middle Order"/>
    <n v="8"/>
    <n v="6"/>
    <n v="133.33000000000001"/>
    <s v="bowled"/>
    <n v="10"/>
    <n v="4"/>
    <n v="0"/>
    <n v="34"/>
    <n v="1"/>
    <n v="8.5"/>
    <n v="25"/>
    <n v="0"/>
    <n v="0"/>
    <n v="35"/>
    <n v="4"/>
    <s v="UPW"/>
    <s v="UPW"/>
    <s v="M. Chinnaswamy Stadium"/>
    <n v="190"/>
    <n v="9"/>
    <n v="57"/>
    <n v="47"/>
    <n v="53"/>
    <s v="Successful"/>
    <n v="1"/>
    <n v="38.700000000000003"/>
  </r>
  <r>
    <x v="53"/>
    <n v="3"/>
    <s v="P053"/>
    <x v="52"/>
    <x v="4"/>
    <s v="Bowler"/>
    <s v="Middle Order"/>
    <n v="33"/>
    <n v="19"/>
    <n v="173.68"/>
    <s v="run out"/>
    <n v="35"/>
    <n v="4"/>
    <n v="0"/>
    <n v="29"/>
    <n v="0"/>
    <n v="7.2"/>
    <n v="0"/>
    <n v="0"/>
    <n v="0"/>
    <n v="35"/>
    <n v="4"/>
    <s v="UPW"/>
    <s v="UPW"/>
    <s v="M. Chinnaswamy Stadium"/>
    <n v="190"/>
    <n v="9"/>
    <n v="57"/>
    <n v="47"/>
    <n v="53"/>
    <s v="Successful"/>
    <n v="1"/>
    <n v="38.700000000000003"/>
  </r>
  <r>
    <x v="53"/>
    <n v="3"/>
    <s v="P076"/>
    <x v="77"/>
    <x v="4"/>
    <s v="Allrounder"/>
    <s v="Middle Order"/>
    <n v="14"/>
    <n v="8"/>
    <n v="175"/>
    <s v="run out"/>
    <n v="15"/>
    <n v="1"/>
    <n v="0"/>
    <n v="8"/>
    <n v="0"/>
    <n v="8"/>
    <n v="0"/>
    <n v="0"/>
    <n v="0"/>
    <n v="15"/>
    <n v="2"/>
    <s v="UPW"/>
    <s v="UPW"/>
    <s v="M. Chinnaswamy Stadium"/>
    <n v="190"/>
    <n v="9"/>
    <n v="57"/>
    <n v="47"/>
    <n v="53"/>
    <s v="Successful"/>
    <n v="1"/>
    <n v="28.1"/>
  </r>
  <r>
    <x v="53"/>
    <n v="3"/>
    <s v="P104"/>
    <x v="107"/>
    <x v="4"/>
    <s v="Allrounder"/>
    <s v="Middle Order"/>
    <n v="2"/>
    <n v="2"/>
    <n v="100"/>
    <s v="not out"/>
    <n v="5"/>
    <n v="3"/>
    <n v="0"/>
    <n v="26"/>
    <n v="0"/>
    <n v="8.6999999999999993"/>
    <n v="0"/>
    <n v="0"/>
    <n v="0"/>
    <n v="5"/>
    <n v="1"/>
    <s v="UPW"/>
    <s v="UPW"/>
    <s v="M. Chinnaswamy Stadium"/>
    <n v="190"/>
    <n v="9"/>
    <n v="57"/>
    <n v="47"/>
    <n v="53"/>
    <s v="Successful"/>
    <n v="1"/>
    <n v="22.8"/>
  </r>
  <r>
    <x v="54"/>
    <n v="3"/>
    <s v="P001"/>
    <x v="0"/>
    <x v="0"/>
    <s v="WK-Batter"/>
    <s v="Opener"/>
    <n v="10"/>
    <n v="11"/>
    <n v="90.91"/>
    <s v="caught"/>
    <n v="12"/>
    <n v="0"/>
    <n v="0"/>
    <n v="0"/>
    <n v="0"/>
    <n v="0"/>
    <n v="0"/>
    <n v="0"/>
    <n v="0"/>
    <n v="12"/>
    <n v="1"/>
    <s v="DCW"/>
    <s v="DCW"/>
    <s v="M. Chinnaswamy Stadium"/>
    <n v="127"/>
    <n v="6.35"/>
    <n v="31"/>
    <n v="27"/>
    <n v="64"/>
    <s v="NA"/>
    <n v="0"/>
    <n v="6.3"/>
  </r>
  <r>
    <x v="54"/>
    <n v="3"/>
    <s v="P003"/>
    <x v="2"/>
    <x v="0"/>
    <s v="Allrounder"/>
    <s v="Opener"/>
    <n v="5"/>
    <n v="10"/>
    <n v="50"/>
    <s v="caught"/>
    <n v="5"/>
    <n v="0"/>
    <n v="0"/>
    <n v="0"/>
    <n v="0"/>
    <n v="0"/>
    <n v="0"/>
    <n v="0"/>
    <n v="0"/>
    <n v="5"/>
    <n v="1"/>
    <s v="DCW"/>
    <s v="DCW"/>
    <s v="M. Chinnaswamy Stadium"/>
    <n v="127"/>
    <n v="6.35"/>
    <n v="31"/>
    <n v="27"/>
    <n v="64"/>
    <s v="NA"/>
    <n v="0"/>
    <n v="2.8"/>
  </r>
  <r>
    <x v="54"/>
    <n v="3"/>
    <s v="P078"/>
    <x v="79"/>
    <x v="0"/>
    <s v="Batter"/>
    <s v="Top Order"/>
    <n v="0"/>
    <n v="3"/>
    <n v="0"/>
    <s v="lbw"/>
    <n v="0"/>
    <n v="0"/>
    <n v="0"/>
    <n v="0"/>
    <n v="0"/>
    <n v="0"/>
    <n v="0"/>
    <n v="0"/>
    <n v="0"/>
    <n v="0"/>
    <n v="0"/>
    <s v="DCW"/>
    <s v="DCW"/>
    <s v="M. Chinnaswamy Stadium"/>
    <n v="127"/>
    <n v="6.35"/>
    <n v="31"/>
    <n v="27"/>
    <n v="64"/>
    <s v="NA"/>
    <n v="0"/>
    <n v="0"/>
  </r>
  <r>
    <x v="54"/>
    <n v="3"/>
    <s v="P004"/>
    <x v="3"/>
    <x v="0"/>
    <s v="Allrounder"/>
    <s v="Middle Order"/>
    <n v="3"/>
    <n v="9"/>
    <n v="33.33"/>
    <s v="bowled"/>
    <n v="3"/>
    <n v="3"/>
    <n v="0"/>
    <n v="33"/>
    <n v="1"/>
    <n v="11"/>
    <n v="25"/>
    <n v="0"/>
    <n v="0"/>
    <n v="28"/>
    <n v="3"/>
    <s v="DCW"/>
    <s v="DCW"/>
    <s v="M. Chinnaswamy Stadium"/>
    <n v="127"/>
    <n v="6.35"/>
    <n v="31"/>
    <n v="27"/>
    <n v="64"/>
    <s v="NA"/>
    <n v="0"/>
    <n v="14.9"/>
  </r>
  <r>
    <x v="54"/>
    <n v="3"/>
    <s v="P098"/>
    <x v="98"/>
    <x v="0"/>
    <s v="Allrounder"/>
    <s v="Middle Order"/>
    <n v="0"/>
    <n v="1"/>
    <n v="0"/>
    <s v="caught"/>
    <n v="0"/>
    <n v="4"/>
    <n v="0"/>
    <n v="26"/>
    <n v="2"/>
    <n v="6.5"/>
    <n v="50"/>
    <n v="0"/>
    <n v="0"/>
    <n v="50"/>
    <n v="5"/>
    <s v="DCW"/>
    <s v="DCW"/>
    <s v="M. Chinnaswamy Stadium"/>
    <n v="127"/>
    <n v="6.35"/>
    <n v="31"/>
    <n v="27"/>
    <n v="64"/>
    <s v="NA"/>
    <n v="0"/>
    <n v="26.5"/>
  </r>
  <r>
    <x v="54"/>
    <n v="3"/>
    <s v="P116"/>
    <x v="96"/>
    <x v="0"/>
    <s v="Allrounder"/>
    <s v="Middle Order"/>
    <n v="26"/>
    <n v="24"/>
    <n v="108.33"/>
    <s v="bowled"/>
    <n v="30"/>
    <n v="4"/>
    <n v="0"/>
    <n v="30"/>
    <n v="0"/>
    <n v="7.5"/>
    <n v="0"/>
    <n v="0"/>
    <n v="0"/>
    <n v="30"/>
    <n v="3"/>
    <s v="DCW"/>
    <s v="DCW"/>
    <s v="M. Chinnaswamy Stadium"/>
    <n v="127"/>
    <n v="6.35"/>
    <n v="31"/>
    <n v="27"/>
    <n v="64"/>
    <s v="NA"/>
    <n v="0"/>
    <n v="15.9"/>
  </r>
  <r>
    <x v="54"/>
    <n v="3"/>
    <s v="P009"/>
    <x v="8"/>
    <x v="0"/>
    <s v="Bowler"/>
    <s v="Middle Order"/>
    <n v="16"/>
    <n v="24"/>
    <n v="66.67"/>
    <s v="run out"/>
    <n v="15"/>
    <n v="2"/>
    <n v="0"/>
    <n v="13"/>
    <n v="1"/>
    <n v="6.5"/>
    <n v="25"/>
    <n v="0"/>
    <n v="0"/>
    <n v="40"/>
    <n v="4"/>
    <s v="DCW"/>
    <s v="DCW"/>
    <s v="M. Chinnaswamy Stadium"/>
    <n v="127"/>
    <n v="6.35"/>
    <n v="31"/>
    <n v="27"/>
    <n v="64"/>
    <s v="NA"/>
    <n v="0"/>
    <n v="21.2"/>
  </r>
  <r>
    <x v="54"/>
    <n v="3"/>
    <s v="P093"/>
    <x v="93"/>
    <x v="0"/>
    <s v="Batter"/>
    <s v="Middle Order"/>
    <n v="40"/>
    <n v="29"/>
    <n v="137.93"/>
    <s v="not out"/>
    <n v="50"/>
    <n v="0"/>
    <n v="0"/>
    <n v="0"/>
    <n v="0"/>
    <n v="0"/>
    <n v="0"/>
    <n v="0"/>
    <n v="0"/>
    <n v="50"/>
    <n v="5"/>
    <s v="DCW"/>
    <s v="DCW"/>
    <s v="M. Chinnaswamy Stadium"/>
    <n v="127"/>
    <n v="6.35"/>
    <n v="31"/>
    <n v="27"/>
    <n v="64"/>
    <s v="NA"/>
    <n v="0"/>
    <n v="26.5"/>
  </r>
  <r>
    <x v="54"/>
    <n v="3"/>
    <s v="P050"/>
    <x v="49"/>
    <x v="0"/>
    <s v="Batter"/>
    <s v="Middle Order"/>
    <n v="5"/>
    <n v="7"/>
    <n v="71.430000000000007"/>
    <s v="caught"/>
    <n v="5"/>
    <n v="0"/>
    <n v="0"/>
    <n v="0"/>
    <n v="0"/>
    <n v="0"/>
    <n v="0"/>
    <n v="0"/>
    <n v="0"/>
    <n v="5"/>
    <n v="1"/>
    <s v="DCW"/>
    <s v="DCW"/>
    <s v="M. Chinnaswamy Stadium"/>
    <n v="127"/>
    <n v="6.35"/>
    <n v="31"/>
    <n v="27"/>
    <n v="64"/>
    <s v="NA"/>
    <n v="0"/>
    <n v="2.8"/>
  </r>
  <r>
    <x v="54"/>
    <n v="3"/>
    <s v="P081"/>
    <x v="82"/>
    <x v="0"/>
    <s v="Bowler"/>
    <s v="Middle Order"/>
    <n v="0"/>
    <n v="1"/>
    <n v="0"/>
    <s v="bowled"/>
    <n v="0"/>
    <n v="1"/>
    <n v="0"/>
    <n v="8"/>
    <n v="0"/>
    <n v="8"/>
    <n v="0"/>
    <n v="0"/>
    <n v="0"/>
    <n v="0"/>
    <n v="0"/>
    <s v="DCW"/>
    <s v="DCW"/>
    <s v="M. Chinnaswamy Stadium"/>
    <n v="127"/>
    <n v="6.35"/>
    <n v="31"/>
    <n v="27"/>
    <n v="64"/>
    <s v="NA"/>
    <n v="0"/>
    <n v="0"/>
  </r>
  <r>
    <x v="54"/>
    <n v="3"/>
    <s v="P099"/>
    <x v="97"/>
    <x v="0"/>
    <s v="Bowler"/>
    <s v="Middle Order"/>
    <n v="1"/>
    <n v="1"/>
    <n v="100"/>
    <s v="not out"/>
    <n v="2"/>
    <n v="1.1000000000000001"/>
    <n v="0"/>
    <n v="18"/>
    <n v="0"/>
    <n v="15.4"/>
    <n v="0"/>
    <n v="0"/>
    <n v="0"/>
    <n v="2"/>
    <n v="0"/>
    <s v="DCW"/>
    <s v="DCW"/>
    <s v="M. Chinnaswamy Stadium"/>
    <n v="127"/>
    <n v="6.35"/>
    <n v="31"/>
    <n v="27"/>
    <n v="64"/>
    <s v="NA"/>
    <n v="0"/>
    <n v="1"/>
  </r>
  <r>
    <x v="54"/>
    <n v="3"/>
    <s v="P035"/>
    <x v="34"/>
    <x v="3"/>
    <s v="Batter"/>
    <s v="Opener"/>
    <n v="3"/>
    <n v="13"/>
    <n v="23.08"/>
    <s v="bowled"/>
    <n v="2"/>
    <n v="0"/>
    <n v="0"/>
    <n v="0"/>
    <n v="0"/>
    <n v="0"/>
    <n v="0"/>
    <n v="0"/>
    <n v="0"/>
    <n v="2"/>
    <n v="0"/>
    <s v="DCW"/>
    <s v="DCW"/>
    <s v="M. Chinnaswamy Stadium"/>
    <n v="131"/>
    <n v="8.64"/>
    <n v="46"/>
    <n v="0"/>
    <n v="43"/>
    <s v="Successful"/>
    <n v="1"/>
    <n v="21"/>
  </r>
  <r>
    <x v="54"/>
    <n v="3"/>
    <s v="P034"/>
    <x v="33"/>
    <x v="3"/>
    <s v="Batter"/>
    <s v="Opener"/>
    <n v="44"/>
    <n v="27"/>
    <n v="162.96"/>
    <s v="lbw"/>
    <n v="55"/>
    <n v="0"/>
    <n v="0"/>
    <n v="0"/>
    <n v="0"/>
    <n v="0"/>
    <n v="0"/>
    <n v="0"/>
    <n v="0"/>
    <n v="55"/>
    <n v="6"/>
    <s v="DCW"/>
    <s v="DCW"/>
    <s v="M. Chinnaswamy Stadium"/>
    <n v="131"/>
    <n v="8.64"/>
    <n v="46"/>
    <n v="0"/>
    <n v="43"/>
    <s v="Successful"/>
    <n v="1"/>
    <n v="49.3"/>
  </r>
  <r>
    <x v="54"/>
    <n v="3"/>
    <s v="P039"/>
    <x v="38"/>
    <x v="3"/>
    <s v="Bowler"/>
    <s v="Top Order"/>
    <n v="61"/>
    <n v="32"/>
    <n v="190.62"/>
    <s v="not out"/>
    <n v="75"/>
    <n v="3"/>
    <n v="0"/>
    <n v="24"/>
    <n v="1"/>
    <n v="8"/>
    <n v="25"/>
    <n v="0"/>
    <n v="0"/>
    <n v="100"/>
    <n v="10"/>
    <s v="DCW"/>
    <s v="DCW"/>
    <s v="M. Chinnaswamy Stadium"/>
    <n v="131"/>
    <n v="8.64"/>
    <n v="46"/>
    <n v="0"/>
    <n v="43"/>
    <s v="Successful"/>
    <n v="1"/>
    <n v="73"/>
  </r>
  <r>
    <x v="54"/>
    <n v="3"/>
    <s v="P037"/>
    <x v="36"/>
    <x v="3"/>
    <s v="Batter"/>
    <s v="Middle Order"/>
    <n v="5"/>
    <n v="9"/>
    <n v="55.56"/>
    <s v="caught"/>
    <n v="5"/>
    <n v="0"/>
    <n v="0"/>
    <n v="0"/>
    <n v="0"/>
    <n v="0"/>
    <n v="0"/>
    <n v="0"/>
    <n v="0"/>
    <n v="5"/>
    <n v="1"/>
    <s v="DCW"/>
    <s v="DCW"/>
    <s v="M. Chinnaswamy Stadium"/>
    <n v="131"/>
    <n v="8.64"/>
    <n v="46"/>
    <n v="0"/>
    <n v="43"/>
    <s v="Successful"/>
    <n v="1"/>
    <n v="22.8"/>
  </r>
  <r>
    <x v="54"/>
    <n v="3"/>
    <s v="P005"/>
    <x v="4"/>
    <x v="3"/>
    <s v="Allrounder"/>
    <s v="Middle Order"/>
    <n v="1"/>
    <n v="2"/>
    <n v="50"/>
    <s v="caught"/>
    <n v="2"/>
    <n v="4"/>
    <n v="0"/>
    <n v="20"/>
    <n v="2"/>
    <n v="5"/>
    <n v="50"/>
    <n v="0"/>
    <n v="0"/>
    <n v="52"/>
    <n v="5"/>
    <s v="DCW"/>
    <s v="DCW"/>
    <s v="M. Chinnaswamy Stadium"/>
    <n v="131"/>
    <n v="8.64"/>
    <n v="46"/>
    <n v="0"/>
    <n v="43"/>
    <s v="Successful"/>
    <n v="1"/>
    <n v="47.5"/>
  </r>
  <r>
    <x v="54"/>
    <n v="3"/>
    <s v="P036"/>
    <x v="35"/>
    <x v="3"/>
    <s v="Allrounder"/>
    <s v="Middle Order"/>
    <n v="9"/>
    <n v="8"/>
    <n v="112.5"/>
    <s v="not out"/>
    <n v="10"/>
    <n v="4"/>
    <n v="1"/>
    <n v="17"/>
    <n v="2"/>
    <n v="4.2"/>
    <n v="50"/>
    <n v="0"/>
    <n v="0"/>
    <n v="60"/>
    <n v="6"/>
    <s v="DCW"/>
    <s v="DCW"/>
    <s v="M. Chinnaswamy Stadium"/>
    <n v="131"/>
    <n v="8.64"/>
    <n v="46"/>
    <n v="0"/>
    <n v="43"/>
    <s v="Successful"/>
    <n v="1"/>
    <n v="51.8"/>
  </r>
  <r>
    <x v="54"/>
    <n v="3"/>
    <s v="P101"/>
    <x v="105"/>
    <x v="3"/>
    <s v="WK-Batter"/>
    <s v="DNB"/>
    <n v="0"/>
    <n v="0"/>
    <n v="0"/>
    <s v="DNB"/>
    <n v="0"/>
    <n v="0"/>
    <n v="0"/>
    <n v="0"/>
    <n v="0"/>
    <n v="0"/>
    <n v="0"/>
    <n v="0"/>
    <n v="0"/>
    <n v="0"/>
    <n v="0"/>
    <s v="DCW"/>
    <s v="DCW"/>
    <s v="M. Chinnaswamy Stadium"/>
    <n v="131"/>
    <n v="8.64"/>
    <n v="46"/>
    <n v="0"/>
    <n v="43"/>
    <s v="Successful"/>
    <n v="1"/>
    <n v="20"/>
  </r>
  <r>
    <x v="54"/>
    <n v="3"/>
    <s v="P100"/>
    <x v="104"/>
    <x v="3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DCW"/>
    <s v="DCW"/>
    <s v="M. Chinnaswamy Stadium"/>
    <n v="131"/>
    <n v="8.64"/>
    <n v="46"/>
    <n v="0"/>
    <n v="43"/>
    <s v="Successful"/>
    <n v="1"/>
    <n v="20"/>
  </r>
  <r>
    <x v="54"/>
    <n v="3"/>
    <s v="P042"/>
    <x v="41"/>
    <x v="3"/>
    <s v="Allrounder"/>
    <s v="DNB"/>
    <n v="0"/>
    <n v="0"/>
    <n v="0"/>
    <s v="DNB"/>
    <n v="0"/>
    <n v="3"/>
    <n v="0"/>
    <n v="18"/>
    <n v="2"/>
    <n v="6"/>
    <n v="50"/>
    <n v="0"/>
    <n v="0"/>
    <n v="50"/>
    <n v="5"/>
    <s v="DCW"/>
    <s v="DCW"/>
    <s v="M. Chinnaswamy Stadium"/>
    <n v="131"/>
    <n v="8.64"/>
    <n v="46"/>
    <n v="0"/>
    <n v="43"/>
    <s v="Successful"/>
    <n v="1"/>
    <n v="46.5"/>
  </r>
  <r>
    <x v="54"/>
    <n v="3"/>
    <s v="P062"/>
    <x v="61"/>
    <x v="3"/>
    <s v="Allrounder"/>
    <s v="DNB"/>
    <n v="0"/>
    <n v="0"/>
    <n v="0"/>
    <s v="DNB"/>
    <n v="0"/>
    <n v="4"/>
    <n v="0"/>
    <n v="21"/>
    <n v="0"/>
    <n v="5.2"/>
    <n v="15"/>
    <n v="0"/>
    <n v="0"/>
    <n v="15"/>
    <n v="2"/>
    <s v="DCW"/>
    <s v="DCW"/>
    <s v="M. Chinnaswamy Stadium"/>
    <n v="131"/>
    <n v="8.64"/>
    <n v="46"/>
    <n v="0"/>
    <n v="43"/>
    <s v="Successful"/>
    <n v="1"/>
    <n v="28.1"/>
  </r>
  <r>
    <x v="54"/>
    <n v="3"/>
    <s v="P088"/>
    <x v="87"/>
    <x v="3"/>
    <s v="Bowler"/>
    <s v="DNB"/>
    <n v="0"/>
    <n v="0"/>
    <n v="0"/>
    <s v="DNB"/>
    <n v="0"/>
    <n v="2"/>
    <n v="0"/>
    <n v="15"/>
    <n v="1"/>
    <n v="7.5"/>
    <n v="25"/>
    <n v="0"/>
    <n v="0"/>
    <n v="25"/>
    <n v="3"/>
    <s v="DCW"/>
    <s v="DCW"/>
    <s v="M. Chinnaswamy Stadium"/>
    <n v="131"/>
    <n v="8.64"/>
    <n v="46"/>
    <n v="0"/>
    <n v="43"/>
    <s v="Successful"/>
    <n v="1"/>
    <n v="33.4"/>
  </r>
  <r>
    <x v="55"/>
    <n v="3"/>
    <s v="P051"/>
    <x v="50"/>
    <x v="4"/>
    <s v="Batter"/>
    <s v="Opener"/>
    <n v="1"/>
    <n v="3"/>
    <n v="33.33"/>
    <s v="caught"/>
    <n v="2"/>
    <n v="0"/>
    <n v="0"/>
    <n v="0"/>
    <n v="0"/>
    <n v="0"/>
    <n v="0"/>
    <n v="0"/>
    <n v="0"/>
    <n v="2"/>
    <n v="0"/>
    <s v="MIW"/>
    <s v="MIW"/>
    <s v="M. Chinnaswamy Stadium"/>
    <n v="142"/>
    <n v="7.1"/>
    <n v="62"/>
    <n v="23"/>
    <n v="52"/>
    <s v="NA"/>
    <n v="0"/>
    <n v="1"/>
  </r>
  <r>
    <x v="55"/>
    <n v="3"/>
    <s v="P049"/>
    <x v="48"/>
    <x v="4"/>
    <s v="Allrounder"/>
    <s v="Top Order"/>
    <n v="45"/>
    <n v="26"/>
    <n v="173.08"/>
    <s v="caught"/>
    <n v="55"/>
    <n v="2"/>
    <n v="0"/>
    <n v="29"/>
    <n v="0"/>
    <n v="14.5"/>
    <n v="0"/>
    <n v="0"/>
    <n v="0"/>
    <n v="55"/>
    <n v="6"/>
    <s v="MIW"/>
    <s v="MIW"/>
    <s v="M. Chinnaswamy Stadium"/>
    <n v="142"/>
    <n v="7.1"/>
    <n v="62"/>
    <n v="23"/>
    <n v="52"/>
    <s v="NA"/>
    <n v="0"/>
    <n v="29.3"/>
  </r>
  <r>
    <x v="55"/>
    <n v="3"/>
    <s v="P074"/>
    <x v="76"/>
    <x v="4"/>
    <s v="Batter"/>
    <s v="Top Order"/>
    <n v="33"/>
    <n v="30"/>
    <n v="110"/>
    <s v="caught"/>
    <n v="40"/>
    <n v="0"/>
    <n v="0"/>
    <n v="0"/>
    <n v="0"/>
    <n v="0"/>
    <n v="0"/>
    <n v="0"/>
    <n v="0"/>
    <n v="40"/>
    <n v="4"/>
    <s v="MIW"/>
    <s v="MIW"/>
    <s v="M. Chinnaswamy Stadium"/>
    <n v="142"/>
    <n v="7.1"/>
    <n v="62"/>
    <n v="23"/>
    <n v="52"/>
    <s v="NA"/>
    <n v="0"/>
    <n v="21.2"/>
  </r>
  <r>
    <x v="55"/>
    <n v="3"/>
    <s v="P048"/>
    <x v="47"/>
    <x v="4"/>
    <s v="Allrounder"/>
    <s v="Middle Order"/>
    <n v="4"/>
    <n v="6"/>
    <n v="66.67"/>
    <s v="caught"/>
    <n v="5"/>
    <n v="3"/>
    <n v="0"/>
    <n v="25"/>
    <n v="1"/>
    <n v="8.3000000000000007"/>
    <n v="25"/>
    <n v="0"/>
    <n v="0"/>
    <n v="30"/>
    <n v="3"/>
    <s v="MIW"/>
    <s v="MIW"/>
    <s v="M. Chinnaswamy Stadium"/>
    <n v="142"/>
    <n v="7.1"/>
    <n v="62"/>
    <n v="23"/>
    <n v="52"/>
    <s v="NA"/>
    <n v="0"/>
    <n v="15.9"/>
  </r>
  <r>
    <x v="55"/>
    <n v="3"/>
    <s v="P047"/>
    <x v="46"/>
    <x v="4"/>
    <s v="Allrounder"/>
    <s v="Middle Order"/>
    <n v="1"/>
    <n v="2"/>
    <n v="50"/>
    <s v="bowled"/>
    <n v="2"/>
    <n v="2"/>
    <n v="0"/>
    <n v="11"/>
    <n v="0"/>
    <n v="5.5"/>
    <n v="0"/>
    <n v="0"/>
    <n v="0"/>
    <n v="2"/>
    <n v="0"/>
    <s v="MIW"/>
    <s v="MIW"/>
    <s v="M. Chinnaswamy Stadium"/>
    <n v="142"/>
    <n v="7.1"/>
    <n v="62"/>
    <n v="23"/>
    <n v="52"/>
    <s v="NA"/>
    <n v="0"/>
    <n v="1"/>
  </r>
  <r>
    <x v="55"/>
    <n v="3"/>
    <s v="P046"/>
    <x v="45"/>
    <x v="4"/>
    <s v="Batter"/>
    <s v="Middle Order"/>
    <n v="19"/>
    <n v="13"/>
    <n v="146.15"/>
    <s v="caught"/>
    <n v="25"/>
    <n v="0"/>
    <n v="0"/>
    <n v="0"/>
    <n v="0"/>
    <n v="0"/>
    <n v="0"/>
    <n v="0"/>
    <n v="0"/>
    <n v="25"/>
    <n v="3"/>
    <s v="MIW"/>
    <s v="MIW"/>
    <s v="M. Chinnaswamy Stadium"/>
    <n v="142"/>
    <n v="7.1"/>
    <n v="62"/>
    <n v="23"/>
    <n v="52"/>
    <s v="NA"/>
    <n v="0"/>
    <n v="13.4"/>
  </r>
  <r>
    <x v="55"/>
    <n v="3"/>
    <s v="P092"/>
    <x v="92"/>
    <x v="4"/>
    <s v="WK-Batter"/>
    <s v="Middle Order"/>
    <n v="13"/>
    <n v="20"/>
    <n v="65"/>
    <s v="not out"/>
    <n v="15"/>
    <n v="0"/>
    <n v="0"/>
    <n v="0"/>
    <n v="0"/>
    <n v="0"/>
    <n v="0"/>
    <n v="0"/>
    <n v="0"/>
    <n v="15"/>
    <n v="2"/>
    <s v="MIW"/>
    <s v="MIW"/>
    <s v="M. Chinnaswamy Stadium"/>
    <n v="142"/>
    <n v="7.1"/>
    <n v="62"/>
    <n v="23"/>
    <n v="52"/>
    <s v="NA"/>
    <n v="0"/>
    <n v="8.1"/>
  </r>
  <r>
    <x v="55"/>
    <n v="3"/>
    <s v="P107"/>
    <x v="110"/>
    <x v="4"/>
    <s v="Allrounder"/>
    <s v="Middle Order"/>
    <n v="7"/>
    <n v="8"/>
    <n v="87.5"/>
    <s v="caught"/>
    <n v="8"/>
    <n v="4"/>
    <n v="0"/>
    <n v="24"/>
    <n v="0"/>
    <n v="6"/>
    <n v="0"/>
    <n v="0"/>
    <n v="0"/>
    <n v="8"/>
    <n v="1"/>
    <s v="MIW"/>
    <s v="MIW"/>
    <s v="M. Chinnaswamy Stadium"/>
    <n v="142"/>
    <n v="7.1"/>
    <n v="62"/>
    <n v="23"/>
    <n v="52"/>
    <s v="NA"/>
    <n v="0"/>
    <n v="4.3"/>
  </r>
  <r>
    <x v="55"/>
    <n v="3"/>
    <s v="P053"/>
    <x v="52"/>
    <x v="4"/>
    <s v="Bowler"/>
    <s v="Middle Order"/>
    <n v="6"/>
    <n v="8"/>
    <n v="75"/>
    <s v="bowled"/>
    <n v="8"/>
    <n v="4"/>
    <n v="0"/>
    <n v="29"/>
    <n v="1"/>
    <n v="7.2"/>
    <n v="25"/>
    <n v="0"/>
    <n v="0"/>
    <n v="33"/>
    <n v="3"/>
    <s v="MIW"/>
    <s v="MIW"/>
    <s v="M. Chinnaswamy Stadium"/>
    <n v="142"/>
    <n v="7.1"/>
    <n v="62"/>
    <n v="23"/>
    <n v="52"/>
    <s v="NA"/>
    <n v="0"/>
    <n v="17.399999999999999"/>
  </r>
  <r>
    <x v="55"/>
    <n v="3"/>
    <s v="P076"/>
    <x v="77"/>
    <x v="4"/>
    <s v="Allrounder"/>
    <s v="Middle Order"/>
    <n v="0"/>
    <n v="2"/>
    <n v="0"/>
    <s v="bowled"/>
    <n v="0"/>
    <n v="1"/>
    <n v="0"/>
    <n v="15"/>
    <n v="0"/>
    <n v="15"/>
    <n v="0"/>
    <n v="0"/>
    <n v="0"/>
    <n v="0"/>
    <n v="0"/>
    <s v="MIW"/>
    <s v="MIW"/>
    <s v="M. Chinnaswamy Stadium"/>
    <n v="142"/>
    <n v="7.1"/>
    <n v="62"/>
    <n v="23"/>
    <n v="52"/>
    <s v="NA"/>
    <n v="0"/>
    <n v="0"/>
  </r>
  <r>
    <x v="55"/>
    <n v="3"/>
    <s v="P104"/>
    <x v="107"/>
    <x v="4"/>
    <s v="Allrounder"/>
    <s v="Middle Order"/>
    <n v="5"/>
    <n v="2"/>
    <n v="250"/>
    <s v="not out"/>
    <n v="10"/>
    <n v="1"/>
    <n v="0"/>
    <n v="8"/>
    <n v="0"/>
    <n v="8"/>
    <n v="0"/>
    <n v="0"/>
    <n v="0"/>
    <n v="10"/>
    <n v="1"/>
    <s v="MIW"/>
    <s v="MIW"/>
    <s v="M. Chinnaswamy Stadium"/>
    <n v="142"/>
    <n v="7.1"/>
    <n v="62"/>
    <n v="23"/>
    <n v="52"/>
    <s v="NA"/>
    <n v="0"/>
    <n v="5.3"/>
  </r>
  <r>
    <x v="55"/>
    <n v="3"/>
    <s v="P012"/>
    <x v="11"/>
    <x v="1"/>
    <s v="Allrounder"/>
    <s v="Opener"/>
    <n v="59"/>
    <n v="50"/>
    <n v="118"/>
    <s v="caught"/>
    <n v="70"/>
    <n v="4"/>
    <n v="0"/>
    <n v="38"/>
    <n v="1"/>
    <n v="9.5"/>
    <n v="25"/>
    <n v="0"/>
    <n v="0"/>
    <n v="95"/>
    <n v="10"/>
    <s v="MIW"/>
    <s v="MIW"/>
    <s v="M. Chinnaswamy Stadium"/>
    <n v="143"/>
    <n v="8.41"/>
    <n v="33"/>
    <n v="7"/>
    <n v="43"/>
    <s v="Successful"/>
    <n v="1"/>
    <n v="70.5"/>
  </r>
  <r>
    <x v="55"/>
    <n v="3"/>
    <s v="P013"/>
    <x v="12"/>
    <x v="1"/>
    <s v="WK-Batter"/>
    <s v="Opener"/>
    <n v="0"/>
    <n v="8"/>
    <n v="0"/>
    <s v="caught"/>
    <n v="0"/>
    <n v="0"/>
    <n v="0"/>
    <n v="0"/>
    <n v="0"/>
    <n v="0"/>
    <n v="0"/>
    <n v="0"/>
    <n v="0"/>
    <n v="0"/>
    <n v="0"/>
    <s v="MIW"/>
    <s v="MIW"/>
    <s v="M. Chinnaswamy Stadium"/>
    <n v="143"/>
    <n v="8.41"/>
    <n v="33"/>
    <n v="7"/>
    <n v="43"/>
    <s v="Successful"/>
    <n v="1"/>
    <n v="20"/>
  </r>
  <r>
    <x v="55"/>
    <n v="3"/>
    <s v="P015"/>
    <x v="14"/>
    <x v="1"/>
    <s v="Allrounder"/>
    <s v="Top Order"/>
    <n v="75"/>
    <n v="44"/>
    <n v="170.45"/>
    <s v="not out"/>
    <n v="90"/>
    <n v="4"/>
    <n v="0"/>
    <n v="18"/>
    <n v="3"/>
    <n v="4.5"/>
    <n v="75"/>
    <n v="0"/>
    <n v="0"/>
    <n v="165"/>
    <n v="10"/>
    <s v="MIW"/>
    <s v="MIW"/>
    <s v="M. Chinnaswamy Stadium"/>
    <n v="143"/>
    <n v="8.41"/>
    <n v="33"/>
    <n v="7"/>
    <n v="43"/>
    <s v="Successful"/>
    <n v="1"/>
    <n v="105.5"/>
  </r>
  <r>
    <x v="55"/>
    <n v="3"/>
    <s v="P014"/>
    <x v="13"/>
    <x v="1"/>
    <s v="Allrounder"/>
    <s v="Middle Order"/>
    <n v="4"/>
    <n v="1"/>
    <n v="400"/>
    <s v="not out"/>
    <n v="5"/>
    <n v="0"/>
    <n v="0"/>
    <n v="0"/>
    <n v="0"/>
    <n v="0"/>
    <n v="0"/>
    <n v="0"/>
    <n v="0"/>
    <n v="5"/>
    <n v="1"/>
    <s v="MIW"/>
    <s v="MIW"/>
    <s v="M. Chinnaswamy Stadium"/>
    <n v="143"/>
    <n v="8.41"/>
    <n v="33"/>
    <n v="7"/>
    <n v="43"/>
    <s v="Successful"/>
    <n v="1"/>
    <n v="22.8"/>
  </r>
  <r>
    <x v="55"/>
    <n v="3"/>
    <s v="P016"/>
    <x v="15"/>
    <x v="1"/>
    <s v="Allrounder"/>
    <s v="DNB"/>
    <n v="0"/>
    <n v="0"/>
    <n v="0"/>
    <s v="DNB"/>
    <n v="0"/>
    <n v="4"/>
    <n v="0"/>
    <n v="24"/>
    <n v="1"/>
    <n v="6"/>
    <n v="25"/>
    <n v="0"/>
    <n v="0"/>
    <n v="25"/>
    <n v="3"/>
    <s v="MIW"/>
    <s v="MIW"/>
    <s v="M. Chinnaswamy Stadium"/>
    <n v="143"/>
    <n v="8.41"/>
    <n v="33"/>
    <n v="7"/>
    <n v="43"/>
    <s v="Successful"/>
    <n v="1"/>
    <n v="33.4"/>
  </r>
  <r>
    <x v="55"/>
    <n v="3"/>
    <s v="P017"/>
    <x v="16"/>
    <x v="1"/>
    <s v="Allrounder"/>
    <s v="DNB"/>
    <n v="0"/>
    <n v="0"/>
    <n v="0"/>
    <s v="DNB"/>
    <n v="0"/>
    <n v="1"/>
    <n v="0"/>
    <n v="3"/>
    <n v="0"/>
    <n v="3"/>
    <n v="10"/>
    <n v="0"/>
    <n v="0"/>
    <n v="10"/>
    <n v="1"/>
    <s v="MIW"/>
    <s v="MIW"/>
    <s v="M. Chinnaswamy Stadium"/>
    <n v="143"/>
    <n v="8.41"/>
    <n v="33"/>
    <n v="7"/>
    <n v="43"/>
    <s v="Successful"/>
    <n v="1"/>
    <n v="25.3"/>
  </r>
  <r>
    <x v="55"/>
    <n v="3"/>
    <s v="P072"/>
    <x v="72"/>
    <x v="1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MIW"/>
    <s v="MIW"/>
    <s v="M. Chinnaswamy Stadium"/>
    <n v="143"/>
    <n v="8.41"/>
    <n v="33"/>
    <n v="7"/>
    <n v="43"/>
    <s v="Successful"/>
    <n v="1"/>
    <n v="20"/>
  </r>
  <r>
    <x v="55"/>
    <n v="3"/>
    <s v="P105"/>
    <x v="108"/>
    <x v="1"/>
    <s v="WK-Batter"/>
    <s v="DNB"/>
    <n v="0"/>
    <n v="0"/>
    <n v="0"/>
    <s v="DNB"/>
    <n v="0"/>
    <n v="0"/>
    <n v="0"/>
    <n v="0"/>
    <n v="0"/>
    <n v="0"/>
    <n v="0"/>
    <n v="0"/>
    <n v="0"/>
    <n v="0"/>
    <n v="0"/>
    <s v="MIW"/>
    <s v="MIW"/>
    <s v="M. Chinnaswamy Stadium"/>
    <n v="143"/>
    <n v="8.41"/>
    <n v="33"/>
    <n v="7"/>
    <n v="43"/>
    <s v="Successful"/>
    <n v="1"/>
    <n v="20"/>
  </r>
  <r>
    <x v="55"/>
    <n v="3"/>
    <s v="P102"/>
    <x v="103"/>
    <x v="1"/>
    <s v="Allrounder"/>
    <s v="DNB"/>
    <n v="0"/>
    <n v="0"/>
    <n v="0"/>
    <s v="DNB"/>
    <n v="0"/>
    <n v="2"/>
    <n v="0"/>
    <n v="11"/>
    <n v="2"/>
    <n v="5.5"/>
    <n v="50"/>
    <n v="0"/>
    <n v="0"/>
    <n v="50"/>
    <n v="5"/>
    <s v="MIW"/>
    <s v="MIW"/>
    <s v="M. Chinnaswamy Stadium"/>
    <n v="143"/>
    <n v="8.41"/>
    <n v="33"/>
    <n v="7"/>
    <n v="43"/>
    <s v="Successful"/>
    <n v="1"/>
    <n v="46.5"/>
  </r>
  <r>
    <x v="55"/>
    <n v="3"/>
    <s v="P060"/>
    <x v="59"/>
    <x v="1"/>
    <s v="Bowler"/>
    <s v="DNB"/>
    <n v="0"/>
    <n v="0"/>
    <n v="0"/>
    <s v="DNB"/>
    <n v="0"/>
    <n v="4"/>
    <n v="0"/>
    <n v="33"/>
    <n v="2"/>
    <n v="8.1999999999999993"/>
    <n v="50"/>
    <n v="0"/>
    <n v="0"/>
    <n v="50"/>
    <n v="5"/>
    <s v="MIW"/>
    <s v="MIW"/>
    <s v="M. Chinnaswamy Stadium"/>
    <n v="143"/>
    <n v="8.41"/>
    <n v="33"/>
    <n v="7"/>
    <n v="43"/>
    <s v="Successful"/>
    <n v="1"/>
    <n v="46.5"/>
  </r>
  <r>
    <x v="55"/>
    <n v="3"/>
    <s v="P021"/>
    <x v="20"/>
    <x v="1"/>
    <s v="Bowler"/>
    <s v="DNB"/>
    <n v="0"/>
    <n v="0"/>
    <n v="0"/>
    <s v="DNB"/>
    <n v="0"/>
    <n v="1"/>
    <n v="0"/>
    <n v="12"/>
    <n v="0"/>
    <n v="12"/>
    <n v="0"/>
    <n v="0"/>
    <n v="0"/>
    <n v="0"/>
    <n v="0"/>
    <s v="MIW"/>
    <s v="MIW"/>
    <s v="M. Chinnaswamy Stadium"/>
    <n v="143"/>
    <n v="8.41"/>
    <n v="33"/>
    <n v="7"/>
    <n v="43"/>
    <s v="Successful"/>
    <n v="1"/>
    <n v="20"/>
  </r>
  <r>
    <x v="56"/>
    <n v="3"/>
    <s v="P001"/>
    <x v="0"/>
    <x v="0"/>
    <s v="WK-Batter"/>
    <s v="Opener"/>
    <n v="17"/>
    <n v="20"/>
    <n v="85"/>
    <s v="caught"/>
    <n v="20"/>
    <n v="0"/>
    <n v="0"/>
    <n v="0"/>
    <n v="0"/>
    <n v="0"/>
    <n v="0"/>
    <n v="0"/>
    <n v="0"/>
    <n v="20"/>
    <n v="2"/>
    <s v="GGTW"/>
    <s v="GGTW"/>
    <s v="M. Chinnaswamy Stadium"/>
    <n v="126"/>
    <n v="7.64"/>
    <n v="30"/>
    <n v="8"/>
    <n v="47"/>
    <s v="Successful"/>
    <n v="1"/>
    <n v="30.6"/>
  </r>
  <r>
    <x v="56"/>
    <n v="3"/>
    <s v="P006"/>
    <x v="5"/>
    <x v="0"/>
    <s v="Batter"/>
    <s v="Top Order"/>
    <n v="11"/>
    <n v="15"/>
    <n v="73.33"/>
    <s v="stumped"/>
    <n v="15"/>
    <n v="1"/>
    <n v="0"/>
    <n v="4"/>
    <n v="0"/>
    <n v="4"/>
    <n v="0"/>
    <n v="0"/>
    <n v="0"/>
    <n v="15"/>
    <n v="2"/>
    <s v="GGTW"/>
    <s v="GGTW"/>
    <s v="M. Chinnaswamy Stadium"/>
    <n v="126"/>
    <n v="7.64"/>
    <n v="30"/>
    <n v="8"/>
    <n v="47"/>
    <s v="Successful"/>
    <n v="1"/>
    <n v="28.1"/>
  </r>
  <r>
    <x v="56"/>
    <n v="3"/>
    <s v="P003"/>
    <x v="2"/>
    <x v="0"/>
    <s v="Allrounder"/>
    <s v="Top Order"/>
    <n v="5"/>
    <n v="10"/>
    <n v="50"/>
    <s v="caught"/>
    <n v="5"/>
    <n v="0"/>
    <n v="0"/>
    <n v="0"/>
    <n v="0"/>
    <n v="0"/>
    <n v="0"/>
    <n v="0"/>
    <n v="0"/>
    <n v="5"/>
    <n v="1"/>
    <s v="GGTW"/>
    <s v="GGTW"/>
    <s v="M. Chinnaswamy Stadium"/>
    <n v="126"/>
    <n v="7.64"/>
    <n v="30"/>
    <n v="8"/>
    <n v="47"/>
    <s v="Successful"/>
    <n v="1"/>
    <n v="22.8"/>
  </r>
  <r>
    <x v="56"/>
    <n v="3"/>
    <s v="P004"/>
    <x v="3"/>
    <x v="0"/>
    <s v="Allrounder"/>
    <s v="Middle Order"/>
    <n v="58"/>
    <n v="31"/>
    <n v="187.1"/>
    <s v="caught"/>
    <n v="75"/>
    <n v="4"/>
    <n v="0"/>
    <n v="22"/>
    <n v="1"/>
    <n v="5.5"/>
    <n v="25"/>
    <n v="0"/>
    <n v="0"/>
    <n v="100"/>
    <n v="10"/>
    <s v="GGTW"/>
    <s v="GGTW"/>
    <s v="M. Chinnaswamy Stadium"/>
    <n v="126"/>
    <n v="7.64"/>
    <n v="30"/>
    <n v="8"/>
    <n v="47"/>
    <s v="Successful"/>
    <n v="1"/>
    <n v="73"/>
  </r>
  <r>
    <x v="56"/>
    <n v="3"/>
    <s v="P078"/>
    <x v="79"/>
    <x v="0"/>
    <s v="Batter"/>
    <s v="Middle Order"/>
    <n v="30"/>
    <n v="21"/>
    <n v="142.86000000000001"/>
    <s v="not out"/>
    <n v="40"/>
    <n v="0"/>
    <n v="0"/>
    <n v="0"/>
    <n v="0"/>
    <n v="0"/>
    <n v="0"/>
    <n v="0"/>
    <n v="0"/>
    <n v="40"/>
    <n v="4"/>
    <s v="GGTW"/>
    <s v="GGTW"/>
    <s v="M. Chinnaswamy Stadium"/>
    <n v="126"/>
    <n v="7.64"/>
    <n v="30"/>
    <n v="8"/>
    <n v="47"/>
    <s v="Successful"/>
    <n v="1"/>
    <n v="41.2"/>
  </r>
  <r>
    <x v="56"/>
    <n v="3"/>
    <s v="P116"/>
    <x v="96"/>
    <x v="0"/>
    <s v="Allrounder"/>
    <s v="Middle Order"/>
    <n v="0"/>
    <n v="2"/>
    <n v="0"/>
    <s v="not out"/>
    <n v="0"/>
    <n v="4"/>
    <n v="0"/>
    <n v="31"/>
    <n v="2"/>
    <n v="7.8"/>
    <n v="50"/>
    <n v="0"/>
    <n v="0"/>
    <n v="50"/>
    <n v="5"/>
    <s v="GGTW"/>
    <s v="GGTW"/>
    <s v="M. Chinnaswamy Stadium"/>
    <n v="126"/>
    <n v="7.64"/>
    <n v="30"/>
    <n v="8"/>
    <n v="47"/>
    <s v="Successful"/>
    <n v="1"/>
    <n v="46.5"/>
  </r>
  <r>
    <x v="56"/>
    <n v="3"/>
    <s v="P098"/>
    <x v="98"/>
    <x v="0"/>
    <s v="Allrounder"/>
    <s v="DNB"/>
    <n v="0"/>
    <n v="0"/>
    <n v="0"/>
    <s v="DNB"/>
    <n v="0"/>
    <n v="4"/>
    <n v="0"/>
    <n v="17"/>
    <n v="1"/>
    <n v="4.2"/>
    <n v="25"/>
    <n v="0"/>
    <n v="0"/>
    <n v="25"/>
    <n v="3"/>
    <s v="GGTW"/>
    <s v="GGTW"/>
    <s v="M. Chinnaswamy Stadium"/>
    <n v="126"/>
    <n v="7.64"/>
    <n v="30"/>
    <n v="8"/>
    <n v="47"/>
    <s v="Successful"/>
    <n v="1"/>
    <n v="33.4"/>
  </r>
  <r>
    <x v="56"/>
    <n v="3"/>
    <s v="P093"/>
    <x v="93"/>
    <x v="0"/>
    <s v="Batter"/>
    <s v="DNB"/>
    <n v="0"/>
    <n v="0"/>
    <n v="0"/>
    <s v="DNB"/>
    <n v="0"/>
    <n v="0"/>
    <n v="0"/>
    <n v="0"/>
    <n v="0"/>
    <n v="0"/>
    <n v="0"/>
    <n v="0"/>
    <n v="0"/>
    <n v="0"/>
    <n v="0"/>
    <s v="GGTW"/>
    <s v="GGTW"/>
    <s v="M. Chinnaswamy Stadium"/>
    <n v="126"/>
    <n v="7.64"/>
    <n v="30"/>
    <n v="8"/>
    <n v="47"/>
    <s v="Successful"/>
    <n v="1"/>
    <n v="20"/>
  </r>
  <r>
    <x v="56"/>
    <n v="3"/>
    <s v="P081"/>
    <x v="82"/>
    <x v="0"/>
    <s v="Bowler"/>
    <s v="DNB"/>
    <n v="0"/>
    <n v="0"/>
    <n v="0"/>
    <s v="DNB"/>
    <n v="0"/>
    <n v="2"/>
    <n v="0"/>
    <n v="12"/>
    <n v="0"/>
    <n v="6"/>
    <n v="0"/>
    <n v="0"/>
    <n v="0"/>
    <n v="0"/>
    <n v="0"/>
    <s v="GGTW"/>
    <s v="GGTW"/>
    <s v="M. Chinnaswamy Stadium"/>
    <n v="126"/>
    <n v="7.64"/>
    <n v="30"/>
    <n v="8"/>
    <n v="47"/>
    <s v="Successful"/>
    <n v="1"/>
    <n v="20"/>
  </r>
  <r>
    <x v="56"/>
    <n v="3"/>
    <s v="P009"/>
    <x v="8"/>
    <x v="0"/>
    <s v="Bowler"/>
    <s v="DNB"/>
    <n v="0"/>
    <n v="0"/>
    <n v="0"/>
    <s v="DNB"/>
    <n v="0"/>
    <n v="4"/>
    <n v="0"/>
    <n v="16"/>
    <n v="2"/>
    <n v="4"/>
    <n v="50"/>
    <n v="0"/>
    <n v="0"/>
    <n v="50"/>
    <n v="5"/>
    <s v="GGTW"/>
    <s v="GGTW"/>
    <s v="M. Chinnaswamy Stadium"/>
    <n v="126"/>
    <n v="7.64"/>
    <n v="30"/>
    <n v="8"/>
    <n v="47"/>
    <s v="Successful"/>
    <n v="1"/>
    <n v="46.5"/>
  </r>
  <r>
    <x v="56"/>
    <n v="3"/>
    <s v="P099"/>
    <x v="97"/>
    <x v="0"/>
    <s v="Bowler"/>
    <s v="DNB"/>
    <n v="0"/>
    <n v="0"/>
    <n v="0"/>
    <s v="DNB"/>
    <n v="0"/>
    <n v="1"/>
    <n v="0"/>
    <n v="18"/>
    <n v="0"/>
    <n v="18"/>
    <n v="0"/>
    <n v="0"/>
    <n v="0"/>
    <n v="0"/>
    <n v="0"/>
    <s v="GGTW"/>
    <s v="GGTW"/>
    <s v="M. Chinnaswamy Stadium"/>
    <n v="126"/>
    <n v="7.64"/>
    <n v="30"/>
    <n v="8"/>
    <n v="47"/>
    <s v="Successful"/>
    <n v="1"/>
    <n v="20"/>
  </r>
  <r>
    <x v="56"/>
    <n v="3"/>
    <s v="P023"/>
    <x v="22"/>
    <x v="2"/>
    <s v="Batter"/>
    <s v="Opener"/>
    <n v="10"/>
    <n v="20"/>
    <n v="50"/>
    <s v="caught"/>
    <n v="10"/>
    <n v="0"/>
    <n v="0"/>
    <n v="0"/>
    <n v="0"/>
    <n v="0"/>
    <n v="0"/>
    <n v="0"/>
    <n v="0"/>
    <n v="10"/>
    <n v="1"/>
    <s v="GGTW"/>
    <s v="GGTW"/>
    <s v="M. Chinnaswamy Stadium"/>
    <n v="125"/>
    <n v="6.25"/>
    <n v="26"/>
    <n v="26"/>
    <n v="58"/>
    <s v="NA"/>
    <n v="0"/>
    <n v="5.3"/>
  </r>
  <r>
    <x v="56"/>
    <n v="3"/>
    <s v="P094"/>
    <x v="99"/>
    <x v="2"/>
    <s v="Batter"/>
    <s v="Opener"/>
    <n v="4"/>
    <n v="4"/>
    <n v="100"/>
    <s v="lbw"/>
    <n v="5"/>
    <n v="0"/>
    <n v="0"/>
    <n v="0"/>
    <n v="0"/>
    <n v="0"/>
    <n v="0"/>
    <n v="0"/>
    <n v="0"/>
    <n v="5"/>
    <n v="1"/>
    <s v="GGTW"/>
    <s v="GGTW"/>
    <s v="M. Chinnaswamy Stadium"/>
    <n v="125"/>
    <n v="6.25"/>
    <n v="26"/>
    <n v="26"/>
    <n v="58"/>
    <s v="NA"/>
    <n v="0"/>
    <n v="2.8"/>
  </r>
  <r>
    <x v="56"/>
    <n v="3"/>
    <s v="P027"/>
    <x v="26"/>
    <x v="2"/>
    <s v="Allrounder"/>
    <s v="Top Order"/>
    <n v="0"/>
    <n v="4"/>
    <n v="0"/>
    <s v="caught"/>
    <n v="0"/>
    <n v="1"/>
    <n v="0"/>
    <n v="7"/>
    <n v="0"/>
    <n v="7"/>
    <n v="0"/>
    <n v="0"/>
    <n v="0"/>
    <n v="0"/>
    <n v="0"/>
    <s v="GGTW"/>
    <s v="GGTW"/>
    <s v="M. Chinnaswamy Stadium"/>
    <n v="125"/>
    <n v="6.25"/>
    <n v="26"/>
    <n v="26"/>
    <n v="58"/>
    <s v="NA"/>
    <n v="0"/>
    <n v="0"/>
  </r>
  <r>
    <x v="56"/>
    <n v="3"/>
    <s v="P095"/>
    <x v="100"/>
    <x v="2"/>
    <s v="Allrounder"/>
    <s v="Middle Order"/>
    <n v="22"/>
    <n v="19"/>
    <n v="115.79"/>
    <s v="run out"/>
    <n v="25"/>
    <n v="0"/>
    <n v="0"/>
    <n v="0"/>
    <n v="0"/>
    <n v="0"/>
    <n v="0"/>
    <n v="0"/>
    <n v="0"/>
    <n v="25"/>
    <n v="3"/>
    <s v="GGTW"/>
    <s v="GGTW"/>
    <s v="M. Chinnaswamy Stadium"/>
    <n v="125"/>
    <n v="6.25"/>
    <n v="26"/>
    <n v="26"/>
    <n v="58"/>
    <s v="NA"/>
    <n v="0"/>
    <n v="13.4"/>
  </r>
  <r>
    <x v="56"/>
    <n v="3"/>
    <s v="P029"/>
    <x v="28"/>
    <x v="2"/>
    <s v="Allrounder"/>
    <s v="Middle Order"/>
    <n v="33"/>
    <n v="28"/>
    <n v="117.86"/>
    <s v="caught"/>
    <n v="40"/>
    <n v="1"/>
    <n v="0"/>
    <n v="7"/>
    <n v="0"/>
    <n v="7"/>
    <n v="0"/>
    <n v="0"/>
    <n v="0"/>
    <n v="40"/>
    <n v="4"/>
    <s v="GGTW"/>
    <s v="GGTW"/>
    <s v="M. Chinnaswamy Stadium"/>
    <n v="125"/>
    <n v="6.25"/>
    <n v="26"/>
    <n v="26"/>
    <n v="58"/>
    <s v="NA"/>
    <n v="0"/>
    <n v="21.2"/>
  </r>
  <r>
    <x v="56"/>
    <n v="3"/>
    <s v="P028"/>
    <x v="27"/>
    <x v="2"/>
    <s v="WK-Batter"/>
    <s v="Middle Order"/>
    <n v="9"/>
    <n v="10"/>
    <n v="90"/>
    <s v="bowled"/>
    <n v="10"/>
    <n v="0"/>
    <n v="0"/>
    <n v="0"/>
    <n v="0"/>
    <n v="0"/>
    <n v="0"/>
    <n v="0"/>
    <n v="0"/>
    <n v="10"/>
    <n v="1"/>
    <s v="GGTW"/>
    <s v="GGTW"/>
    <s v="M. Chinnaswamy Stadium"/>
    <n v="125"/>
    <n v="6.25"/>
    <n v="26"/>
    <n v="26"/>
    <n v="58"/>
    <s v="NA"/>
    <n v="0"/>
    <n v="5.3"/>
  </r>
  <r>
    <x v="56"/>
    <n v="3"/>
    <s v="P007"/>
    <x v="6"/>
    <x v="2"/>
    <s v="Allrounder"/>
    <s v="Middle Order"/>
    <n v="20"/>
    <n v="21"/>
    <n v="95.24"/>
    <s v="not out"/>
    <n v="25"/>
    <n v="3"/>
    <n v="0"/>
    <n v="26"/>
    <n v="2"/>
    <n v="8.6999999999999993"/>
    <n v="50"/>
    <n v="0"/>
    <n v="0"/>
    <n v="75"/>
    <n v="8"/>
    <s v="GGTW"/>
    <s v="GGTW"/>
    <s v="M. Chinnaswamy Stadium"/>
    <n v="125"/>
    <n v="6.25"/>
    <n v="26"/>
    <n v="26"/>
    <n v="58"/>
    <s v="NA"/>
    <n v="0"/>
    <n v="39.9"/>
  </r>
  <r>
    <x v="56"/>
    <n v="3"/>
    <s v="P058"/>
    <x v="57"/>
    <x v="2"/>
    <s v="Bowler"/>
    <s v="Middle Order"/>
    <n v="14"/>
    <n v="15"/>
    <n v="93.33"/>
    <s v="caught"/>
    <n v="15"/>
    <n v="2.2999999999999998"/>
    <n v="0"/>
    <n v="19"/>
    <n v="0"/>
    <n v="7.6"/>
    <n v="0"/>
    <n v="0"/>
    <n v="0"/>
    <n v="15"/>
    <n v="2"/>
    <s v="GGTW"/>
    <s v="GGTW"/>
    <s v="M. Chinnaswamy Stadium"/>
    <n v="125"/>
    <n v="6.25"/>
    <n v="26"/>
    <n v="26"/>
    <n v="58"/>
    <s v="NA"/>
    <n v="0"/>
    <n v="8.1"/>
  </r>
  <r>
    <x v="56"/>
    <n v="3"/>
    <s v="P008"/>
    <x v="7"/>
    <x v="2"/>
    <s v="Allrounder"/>
    <s v="Middle Order"/>
    <n v="1"/>
    <n v="1"/>
    <n v="100"/>
    <s v="not out"/>
    <n v="2"/>
    <n v="4"/>
    <n v="0"/>
    <n v="23"/>
    <n v="0"/>
    <n v="5.8"/>
    <n v="10"/>
    <n v="0"/>
    <n v="0"/>
    <n v="12"/>
    <n v="1"/>
    <s v="GGTW"/>
    <s v="GGTW"/>
    <s v="M. Chinnaswamy Stadium"/>
    <n v="125"/>
    <n v="6.25"/>
    <n v="26"/>
    <n v="26"/>
    <n v="58"/>
    <s v="NA"/>
    <n v="0"/>
    <n v="6.3"/>
  </r>
  <r>
    <x v="56"/>
    <n v="3"/>
    <s v="P096"/>
    <x v="101"/>
    <x v="2"/>
    <s v="Allrounder"/>
    <s v="DNB"/>
    <n v="0"/>
    <n v="0"/>
    <n v="0"/>
    <s v="DNB"/>
    <n v="0"/>
    <n v="1"/>
    <n v="0"/>
    <n v="19"/>
    <n v="0"/>
    <n v="19"/>
    <n v="0"/>
    <n v="0"/>
    <n v="0"/>
    <n v="0"/>
    <n v="0"/>
    <s v="GGTW"/>
    <s v="GGTW"/>
    <s v="M. Chinnaswamy Stadium"/>
    <n v="125"/>
    <n v="6.25"/>
    <n v="26"/>
    <n v="26"/>
    <n v="58"/>
    <s v="NA"/>
    <n v="0"/>
    <n v="0"/>
  </r>
  <r>
    <x v="56"/>
    <n v="3"/>
    <s v="P033"/>
    <x v="32"/>
    <x v="2"/>
    <s v="Bowler"/>
    <s v="DNB"/>
    <n v="0"/>
    <n v="0"/>
    <n v="0"/>
    <s v="DNB"/>
    <n v="0"/>
    <n v="4"/>
    <n v="0"/>
    <n v="24"/>
    <n v="2"/>
    <n v="6"/>
    <n v="50"/>
    <n v="0"/>
    <n v="0"/>
    <n v="50"/>
    <n v="5"/>
    <s v="GGTW"/>
    <s v="GGTW"/>
    <s v="M. Chinnaswamy Stadium"/>
    <n v="125"/>
    <n v="6.25"/>
    <n v="26"/>
    <n v="26"/>
    <n v="58"/>
    <s v="NA"/>
    <n v="0"/>
    <n v="26.5"/>
  </r>
  <r>
    <x v="57"/>
    <n v="3"/>
    <s v="P013"/>
    <x v="12"/>
    <x v="1"/>
    <s v="WK-Batter"/>
    <s v="Opener"/>
    <n v="11"/>
    <n v="10"/>
    <n v="110"/>
    <s v="caught"/>
    <n v="12"/>
    <n v="0"/>
    <n v="0"/>
    <n v="0"/>
    <n v="0"/>
    <n v="0"/>
    <n v="0"/>
    <n v="0"/>
    <n v="0"/>
    <n v="12"/>
    <n v="1"/>
    <s v="DCW"/>
    <s v="DCW"/>
    <s v="M. Chinnaswamy Stadium"/>
    <n v="123"/>
    <n v="6.15"/>
    <n v="35"/>
    <n v="23"/>
    <n v="69"/>
    <s v="NA"/>
    <n v="0"/>
    <n v="6.3"/>
  </r>
  <r>
    <x v="57"/>
    <n v="3"/>
    <s v="P012"/>
    <x v="11"/>
    <x v="1"/>
    <s v="Allrounder"/>
    <s v="Opener"/>
    <n v="22"/>
    <n v="25"/>
    <n v="88"/>
    <s v="caught"/>
    <n v="25"/>
    <n v="2"/>
    <n v="0"/>
    <n v="16"/>
    <n v="0"/>
    <n v="8"/>
    <n v="0"/>
    <n v="0"/>
    <n v="0"/>
    <n v="25"/>
    <n v="3"/>
    <s v="DCW"/>
    <s v="DCW"/>
    <s v="M. Chinnaswamy Stadium"/>
    <n v="123"/>
    <n v="6.15"/>
    <n v="35"/>
    <n v="23"/>
    <n v="69"/>
    <s v="NA"/>
    <n v="0"/>
    <n v="13.4"/>
  </r>
  <r>
    <x v="57"/>
    <n v="3"/>
    <s v="P015"/>
    <x v="14"/>
    <x v="1"/>
    <s v="Allrounder"/>
    <s v="Top Order"/>
    <n v="18"/>
    <n v="22"/>
    <n v="81.819999999999993"/>
    <s v="caught"/>
    <n v="20"/>
    <n v="2"/>
    <n v="0"/>
    <n v="27"/>
    <n v="0"/>
    <n v="13.5"/>
    <n v="0"/>
    <n v="0"/>
    <n v="0"/>
    <n v="20"/>
    <n v="2"/>
    <s v="DCW"/>
    <s v="DCW"/>
    <s v="M. Chinnaswamy Stadium"/>
    <n v="123"/>
    <n v="6.15"/>
    <n v="35"/>
    <n v="23"/>
    <n v="69"/>
    <s v="NA"/>
    <n v="0"/>
    <n v="10.6"/>
  </r>
  <r>
    <x v="57"/>
    <n v="3"/>
    <s v="P014"/>
    <x v="13"/>
    <x v="1"/>
    <s v="Allrounder"/>
    <s v="Middle Order"/>
    <n v="22"/>
    <n v="16"/>
    <n v="137.5"/>
    <s v="lbw"/>
    <n v="30"/>
    <n v="0"/>
    <n v="0"/>
    <n v="0"/>
    <n v="0"/>
    <n v="0"/>
    <n v="0"/>
    <n v="0"/>
    <n v="0"/>
    <n v="30"/>
    <n v="3"/>
    <s v="DCW"/>
    <s v="DCW"/>
    <s v="M. Chinnaswamy Stadium"/>
    <n v="123"/>
    <n v="6.15"/>
    <n v="35"/>
    <n v="23"/>
    <n v="69"/>
    <s v="NA"/>
    <n v="0"/>
    <n v="15.9"/>
  </r>
  <r>
    <x v="57"/>
    <n v="3"/>
    <s v="P016"/>
    <x v="15"/>
    <x v="1"/>
    <s v="Allrounder"/>
    <s v="Middle Order"/>
    <n v="17"/>
    <n v="18"/>
    <n v="94.44"/>
    <s v="caught"/>
    <n v="20"/>
    <n v="2"/>
    <n v="0"/>
    <n v="20"/>
    <n v="0"/>
    <n v="10"/>
    <n v="0"/>
    <n v="0"/>
    <n v="0"/>
    <n v="20"/>
    <n v="2"/>
    <s v="DCW"/>
    <s v="DCW"/>
    <s v="M. Chinnaswamy Stadium"/>
    <n v="123"/>
    <n v="6.15"/>
    <n v="35"/>
    <n v="23"/>
    <n v="69"/>
    <s v="NA"/>
    <n v="0"/>
    <n v="10.6"/>
  </r>
  <r>
    <x v="57"/>
    <n v="3"/>
    <s v="P017"/>
    <x v="16"/>
    <x v="1"/>
    <s v="Allrounder"/>
    <s v="Middle Order"/>
    <n v="17"/>
    <n v="10"/>
    <n v="170"/>
    <s v="not out"/>
    <n v="25"/>
    <n v="2"/>
    <n v="0"/>
    <n v="12"/>
    <n v="1"/>
    <n v="6"/>
    <n v="25"/>
    <n v="0"/>
    <n v="0"/>
    <n v="50"/>
    <n v="5"/>
    <s v="DCW"/>
    <s v="DCW"/>
    <s v="M. Chinnaswamy Stadium"/>
    <n v="123"/>
    <n v="6.15"/>
    <n v="35"/>
    <n v="23"/>
    <n v="69"/>
    <s v="NA"/>
    <n v="0"/>
    <n v="26.5"/>
  </r>
  <r>
    <x v="57"/>
    <n v="3"/>
    <s v="P072"/>
    <x v="72"/>
    <x v="1"/>
    <s v="Allrounder"/>
    <s v="Middle Order"/>
    <n v="5"/>
    <n v="8"/>
    <n v="62.5"/>
    <s v="caught"/>
    <n v="5"/>
    <n v="0"/>
    <n v="0"/>
    <n v="0"/>
    <n v="0"/>
    <n v="0"/>
    <n v="0"/>
    <n v="0"/>
    <n v="0"/>
    <n v="5"/>
    <n v="1"/>
    <s v="DCW"/>
    <s v="DCW"/>
    <s v="M. Chinnaswamy Stadium"/>
    <n v="123"/>
    <n v="6.15"/>
    <n v="35"/>
    <n v="23"/>
    <n v="69"/>
    <s v="NA"/>
    <n v="0"/>
    <n v="2.8"/>
  </r>
  <r>
    <x v="57"/>
    <n v="3"/>
    <s v="P105"/>
    <x v="108"/>
    <x v="1"/>
    <s v="WK-Batter"/>
    <s v="Middle Order"/>
    <n v="1"/>
    <n v="5"/>
    <n v="20"/>
    <s v="bowled"/>
    <n v="1"/>
    <n v="0"/>
    <n v="0"/>
    <n v="0"/>
    <n v="0"/>
    <n v="0"/>
    <n v="0"/>
    <n v="0"/>
    <n v="0"/>
    <n v="1"/>
    <n v="0"/>
    <s v="DCW"/>
    <s v="DCW"/>
    <s v="M. Chinnaswamy Stadium"/>
    <n v="123"/>
    <n v="6.15"/>
    <n v="35"/>
    <n v="23"/>
    <n v="69"/>
    <s v="NA"/>
    <n v="0"/>
    <n v="0.5"/>
  </r>
  <r>
    <x v="57"/>
    <n v="3"/>
    <s v="P102"/>
    <x v="103"/>
    <x v="1"/>
    <s v="Allrounder"/>
    <s v="Middle Order"/>
    <n v="3"/>
    <n v="4"/>
    <n v="75"/>
    <s v="caught"/>
    <n v="5"/>
    <n v="1.3"/>
    <n v="0"/>
    <n v="14"/>
    <n v="0"/>
    <n v="9.3000000000000007"/>
    <n v="0"/>
    <n v="0"/>
    <n v="0"/>
    <n v="5"/>
    <n v="1"/>
    <s v="DCW"/>
    <s v="DCW"/>
    <s v="M. Chinnaswamy Stadium"/>
    <n v="123"/>
    <n v="6.15"/>
    <n v="35"/>
    <n v="23"/>
    <n v="69"/>
    <s v="NA"/>
    <n v="0"/>
    <n v="2.8"/>
  </r>
  <r>
    <x v="57"/>
    <n v="3"/>
    <s v="P021"/>
    <x v="20"/>
    <x v="1"/>
    <s v="Bowler"/>
    <s v="Middle Order"/>
    <n v="0"/>
    <n v="3"/>
    <n v="0"/>
    <s v="run out"/>
    <n v="0"/>
    <n v="1"/>
    <n v="0"/>
    <n v="9"/>
    <n v="0"/>
    <n v="9"/>
    <n v="0"/>
    <n v="0"/>
    <n v="0"/>
    <n v="0"/>
    <n v="0"/>
    <s v="DCW"/>
    <s v="DCW"/>
    <s v="M. Chinnaswamy Stadium"/>
    <n v="123"/>
    <n v="6.15"/>
    <n v="35"/>
    <n v="23"/>
    <n v="69"/>
    <s v="NA"/>
    <n v="0"/>
    <n v="0"/>
  </r>
  <r>
    <x v="57"/>
    <n v="3"/>
    <s v="P060"/>
    <x v="59"/>
    <x v="1"/>
    <s v="Bowler"/>
    <s v="DNB"/>
    <n v="0"/>
    <n v="0"/>
    <n v="0"/>
    <s v="DNB"/>
    <n v="0"/>
    <n v="4"/>
    <n v="0"/>
    <n v="26"/>
    <n v="0"/>
    <n v="6.5"/>
    <n v="10"/>
    <n v="0"/>
    <n v="0"/>
    <n v="10"/>
    <n v="1"/>
    <s v="DCW"/>
    <s v="DCW"/>
    <s v="M. Chinnaswamy Stadium"/>
    <n v="123"/>
    <n v="6.15"/>
    <n v="35"/>
    <n v="23"/>
    <n v="69"/>
    <s v="NA"/>
    <n v="0"/>
    <n v="5.3"/>
  </r>
  <r>
    <x v="57"/>
    <n v="3"/>
    <s v="P035"/>
    <x v="34"/>
    <x v="3"/>
    <s v="Batter"/>
    <s v="Opener"/>
    <n v="60"/>
    <n v="49"/>
    <n v="122.45"/>
    <s v="not out"/>
    <n v="80"/>
    <n v="0"/>
    <n v="0"/>
    <n v="0"/>
    <n v="0"/>
    <n v="0"/>
    <n v="0"/>
    <n v="0"/>
    <n v="0"/>
    <n v="80"/>
    <n v="8"/>
    <s v="DCW"/>
    <s v="DCW"/>
    <s v="M. Chinnaswamy Stadium"/>
    <n v="124"/>
    <n v="8.5500000000000007"/>
    <n v="57"/>
    <n v="0"/>
    <n v="35"/>
    <s v="Successful"/>
    <n v="1"/>
    <n v="62.4"/>
  </r>
  <r>
    <x v="57"/>
    <n v="3"/>
    <s v="P034"/>
    <x v="33"/>
    <x v="3"/>
    <s v="Batter"/>
    <s v="Opener"/>
    <n v="43"/>
    <n v="28"/>
    <n v="153.57"/>
    <s v="caught"/>
    <n v="55"/>
    <n v="0"/>
    <n v="0"/>
    <n v="0"/>
    <n v="0"/>
    <n v="0"/>
    <n v="0"/>
    <n v="0"/>
    <n v="0"/>
    <n v="55"/>
    <n v="6"/>
    <s v="DCW"/>
    <s v="DCW"/>
    <s v="M. Chinnaswamy Stadium"/>
    <n v="124"/>
    <n v="8.5500000000000007"/>
    <n v="57"/>
    <n v="0"/>
    <n v="35"/>
    <s v="Successful"/>
    <n v="1"/>
    <n v="49.3"/>
  </r>
  <r>
    <x v="57"/>
    <n v="3"/>
    <s v="P037"/>
    <x v="36"/>
    <x v="3"/>
    <s v="Batter"/>
    <s v="Middle Order"/>
    <n v="15"/>
    <n v="10"/>
    <n v="150"/>
    <s v="not out"/>
    <n v="20"/>
    <n v="0"/>
    <n v="0"/>
    <n v="0"/>
    <n v="0"/>
    <n v="0"/>
    <n v="0"/>
    <n v="0"/>
    <n v="0"/>
    <n v="20"/>
    <n v="2"/>
    <s v="DCW"/>
    <s v="DCW"/>
    <s v="M. Chinnaswamy Stadium"/>
    <n v="124"/>
    <n v="8.5500000000000007"/>
    <n v="57"/>
    <n v="0"/>
    <n v="35"/>
    <s v="Successful"/>
    <n v="1"/>
    <n v="30.6"/>
  </r>
  <r>
    <x v="57"/>
    <n v="3"/>
    <s v="P005"/>
    <x v="4"/>
    <x v="3"/>
    <s v="Allrounder"/>
    <s v="DNB"/>
    <n v="0"/>
    <n v="0"/>
    <n v="0"/>
    <s v="DNB"/>
    <n v="0"/>
    <n v="4"/>
    <n v="0"/>
    <n v="21"/>
    <n v="1"/>
    <n v="5.2"/>
    <n v="25"/>
    <n v="0"/>
    <n v="0"/>
    <n v="25"/>
    <n v="3"/>
    <s v="DCW"/>
    <s v="DCW"/>
    <s v="M. Chinnaswamy Stadium"/>
    <n v="124"/>
    <n v="8.5500000000000007"/>
    <n v="57"/>
    <n v="0"/>
    <n v="35"/>
    <s v="Successful"/>
    <n v="1"/>
    <n v="33.4"/>
  </r>
  <r>
    <x v="57"/>
    <n v="3"/>
    <s v="P036"/>
    <x v="35"/>
    <x v="3"/>
    <s v="Allrounder"/>
    <s v="DNB"/>
    <n v="0"/>
    <n v="0"/>
    <n v="0"/>
    <s v="DNB"/>
    <n v="0"/>
    <n v="3"/>
    <n v="0"/>
    <n v="16"/>
    <n v="0"/>
    <n v="5.3"/>
    <n v="10"/>
    <n v="0"/>
    <n v="0"/>
    <n v="10"/>
    <n v="1"/>
    <s v="DCW"/>
    <s v="DCW"/>
    <s v="M. Chinnaswamy Stadium"/>
    <n v="124"/>
    <n v="8.5500000000000007"/>
    <n v="57"/>
    <n v="0"/>
    <n v="35"/>
    <s v="Successful"/>
    <n v="1"/>
    <n v="25.3"/>
  </r>
  <r>
    <x v="57"/>
    <n v="3"/>
    <s v="P039"/>
    <x v="38"/>
    <x v="3"/>
    <s v="Bowler"/>
    <s v="DNB"/>
    <n v="0"/>
    <n v="0"/>
    <n v="0"/>
    <s v="DNB"/>
    <n v="0"/>
    <n v="4"/>
    <n v="0"/>
    <n v="25"/>
    <n v="3"/>
    <n v="6.2"/>
    <n v="75"/>
    <n v="0"/>
    <n v="0"/>
    <n v="75"/>
    <n v="8"/>
    <s v="DCW"/>
    <s v="DCW"/>
    <s v="M. Chinnaswamy Stadium"/>
    <n v="124"/>
    <n v="8.5500000000000007"/>
    <n v="57"/>
    <n v="0"/>
    <n v="35"/>
    <s v="Successful"/>
    <n v="1"/>
    <n v="59.9"/>
  </r>
  <r>
    <x v="57"/>
    <n v="3"/>
    <s v="P101"/>
    <x v="105"/>
    <x v="3"/>
    <s v="WK-Batter"/>
    <s v="DNB"/>
    <n v="0"/>
    <n v="0"/>
    <n v="0"/>
    <s v="DNB"/>
    <n v="0"/>
    <n v="0"/>
    <n v="0"/>
    <n v="0"/>
    <n v="0"/>
    <n v="0"/>
    <n v="0"/>
    <n v="0"/>
    <n v="0"/>
    <n v="0"/>
    <n v="0"/>
    <s v="DCW"/>
    <s v="DCW"/>
    <s v="M. Chinnaswamy Stadium"/>
    <n v="124"/>
    <n v="8.5500000000000007"/>
    <n v="57"/>
    <n v="0"/>
    <n v="35"/>
    <s v="Successful"/>
    <n v="1"/>
    <n v="20"/>
  </r>
  <r>
    <x v="57"/>
    <n v="3"/>
    <s v="P100"/>
    <x v="104"/>
    <x v="3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DCW"/>
    <s v="DCW"/>
    <s v="M. Chinnaswamy Stadium"/>
    <n v="124"/>
    <n v="8.5500000000000007"/>
    <n v="57"/>
    <n v="0"/>
    <n v="35"/>
    <s v="Successful"/>
    <n v="1"/>
    <n v="20"/>
  </r>
  <r>
    <x v="57"/>
    <n v="3"/>
    <s v="P042"/>
    <x v="41"/>
    <x v="3"/>
    <s v="Allrounder"/>
    <s v="DNB"/>
    <n v="0"/>
    <n v="0"/>
    <n v="0"/>
    <s v="DNB"/>
    <n v="0"/>
    <n v="4"/>
    <n v="1"/>
    <n v="16"/>
    <n v="1"/>
    <n v="4"/>
    <n v="35"/>
    <n v="0"/>
    <n v="0"/>
    <n v="35"/>
    <n v="4"/>
    <s v="DCW"/>
    <s v="DCW"/>
    <s v="M. Chinnaswamy Stadium"/>
    <n v="124"/>
    <n v="8.5500000000000007"/>
    <n v="57"/>
    <n v="0"/>
    <n v="35"/>
    <s v="Successful"/>
    <n v="1"/>
    <n v="38.700000000000003"/>
  </r>
  <r>
    <x v="57"/>
    <n v="3"/>
    <s v="P062"/>
    <x v="61"/>
    <x v="3"/>
    <s v="Allrounder"/>
    <s v="DNB"/>
    <n v="0"/>
    <n v="0"/>
    <n v="0"/>
    <s v="DNB"/>
    <n v="0"/>
    <n v="3"/>
    <n v="0"/>
    <n v="17"/>
    <n v="3"/>
    <n v="5.7"/>
    <n v="75"/>
    <n v="0"/>
    <n v="0"/>
    <n v="75"/>
    <n v="8"/>
    <s v="DCW"/>
    <s v="DCW"/>
    <s v="M. Chinnaswamy Stadium"/>
    <n v="124"/>
    <n v="8.5500000000000007"/>
    <n v="57"/>
    <n v="0"/>
    <n v="35"/>
    <s v="Successful"/>
    <n v="1"/>
    <n v="59.9"/>
  </r>
  <r>
    <x v="57"/>
    <n v="3"/>
    <s v="P088"/>
    <x v="87"/>
    <x v="3"/>
    <s v="Bowler"/>
    <s v="DNB"/>
    <n v="0"/>
    <n v="0"/>
    <n v="0"/>
    <s v="DNB"/>
    <n v="0"/>
    <n v="2"/>
    <n v="0"/>
    <n v="24"/>
    <n v="0"/>
    <n v="12"/>
    <n v="0"/>
    <n v="0"/>
    <n v="0"/>
    <n v="0"/>
    <n v="0"/>
    <s v="DCW"/>
    <s v="DCW"/>
    <s v="M. Chinnaswamy Stadium"/>
    <n v="124"/>
    <n v="8.5500000000000007"/>
    <n v="57"/>
    <n v="0"/>
    <n v="35"/>
    <s v="Successful"/>
    <n v="1"/>
    <n v="20"/>
  </r>
  <r>
    <x v="58"/>
    <n v="3"/>
    <s v="P023"/>
    <x v="22"/>
    <x v="2"/>
    <s v="Batter"/>
    <s v="Opener"/>
    <n v="8"/>
    <n v="7"/>
    <n v="114.29"/>
    <s v="caught"/>
    <n v="10"/>
    <n v="0"/>
    <n v="0"/>
    <n v="0"/>
    <n v="0"/>
    <n v="0"/>
    <n v="0"/>
    <n v="0"/>
    <n v="0"/>
    <n v="10"/>
    <n v="1"/>
    <s v="DCW"/>
    <s v="DCW"/>
    <s v="M. Chinnaswamy Stadium"/>
    <n v="147"/>
    <n v="7.35"/>
    <n v="45"/>
    <n v="28"/>
    <n v="54"/>
    <s v="NA"/>
    <n v="0"/>
    <n v="5.3"/>
  </r>
  <r>
    <x v="58"/>
    <n v="3"/>
    <s v="P094"/>
    <x v="99"/>
    <x v="2"/>
    <s v="Batter"/>
    <s v="Opener"/>
    <n v="21"/>
    <n v="18"/>
    <n v="116.67"/>
    <s v="caught"/>
    <n v="25"/>
    <n v="0"/>
    <n v="0"/>
    <n v="0"/>
    <n v="0"/>
    <n v="0"/>
    <n v="0"/>
    <n v="0"/>
    <n v="0"/>
    <n v="25"/>
    <n v="3"/>
    <s v="DCW"/>
    <s v="DCW"/>
    <s v="M. Chinnaswamy Stadium"/>
    <n v="147"/>
    <n v="7.35"/>
    <n v="45"/>
    <n v="28"/>
    <n v="54"/>
    <s v="NA"/>
    <n v="0"/>
    <n v="13.4"/>
  </r>
  <r>
    <x v="58"/>
    <n v="3"/>
    <s v="P027"/>
    <x v="26"/>
    <x v="2"/>
    <s v="Allrounder"/>
    <s v="Top Order"/>
    <n v="60"/>
    <n v="47"/>
    <n v="127.66"/>
    <s v="not out"/>
    <n v="80"/>
    <n v="2"/>
    <n v="0"/>
    <n v="24"/>
    <n v="0"/>
    <n v="12"/>
    <n v="0"/>
    <n v="0"/>
    <n v="0"/>
    <n v="80"/>
    <n v="8"/>
    <s v="DCW"/>
    <s v="DCW"/>
    <s v="M. Chinnaswamy Stadium"/>
    <n v="147"/>
    <n v="7.35"/>
    <n v="45"/>
    <n v="28"/>
    <n v="54"/>
    <s v="NA"/>
    <n v="0"/>
    <n v="42.4"/>
  </r>
  <r>
    <x v="58"/>
    <n v="3"/>
    <s v="P095"/>
    <x v="100"/>
    <x v="2"/>
    <s v="Allrounder"/>
    <s v="Middle Order"/>
    <n v="33"/>
    <n v="32"/>
    <n v="103.12"/>
    <s v="stumped"/>
    <n v="35"/>
    <n v="1"/>
    <n v="0"/>
    <n v="11"/>
    <n v="0"/>
    <n v="11"/>
    <n v="0"/>
    <n v="0"/>
    <n v="0"/>
    <n v="35"/>
    <n v="4"/>
    <s v="DCW"/>
    <s v="DCW"/>
    <s v="M. Chinnaswamy Stadium"/>
    <n v="147"/>
    <n v="7.35"/>
    <n v="45"/>
    <n v="28"/>
    <n v="54"/>
    <s v="NA"/>
    <n v="0"/>
    <n v="18.7"/>
  </r>
  <r>
    <x v="58"/>
    <n v="3"/>
    <s v="P028"/>
    <x v="27"/>
    <x v="2"/>
    <s v="WK-Batter"/>
    <s v="Middle Order"/>
    <n v="5"/>
    <n v="3"/>
    <n v="166.67"/>
    <s v="caught"/>
    <n v="5"/>
    <n v="0"/>
    <n v="0"/>
    <n v="0"/>
    <n v="0"/>
    <n v="0"/>
    <n v="0"/>
    <n v="0"/>
    <n v="0"/>
    <n v="5"/>
    <n v="1"/>
    <s v="DCW"/>
    <s v="DCW"/>
    <s v="M. Chinnaswamy Stadium"/>
    <n v="147"/>
    <n v="7.35"/>
    <n v="45"/>
    <n v="28"/>
    <n v="54"/>
    <s v="NA"/>
    <n v="0"/>
    <n v="2.8"/>
  </r>
  <r>
    <x v="58"/>
    <n v="3"/>
    <s v="P029"/>
    <x v="28"/>
    <x v="2"/>
    <s v="Allrounder"/>
    <s v="Middle Order"/>
    <n v="2"/>
    <n v="3"/>
    <n v="66.67"/>
    <s v="caught"/>
    <n v="2"/>
    <n v="0"/>
    <n v="0"/>
    <n v="0"/>
    <n v="0"/>
    <n v="0"/>
    <n v="0"/>
    <n v="0"/>
    <n v="0"/>
    <n v="2"/>
    <n v="0"/>
    <s v="DCW"/>
    <s v="DCW"/>
    <s v="M. Chinnaswamy Stadium"/>
    <n v="147"/>
    <n v="7.35"/>
    <n v="45"/>
    <n v="28"/>
    <n v="54"/>
    <s v="NA"/>
    <n v="0"/>
    <n v="1"/>
  </r>
  <r>
    <x v="58"/>
    <n v="3"/>
    <s v="P007"/>
    <x v="6"/>
    <x v="2"/>
    <s v="Allrounder"/>
    <s v="Middle Order"/>
    <n v="12"/>
    <n v="10"/>
    <n v="120"/>
    <s v="not out"/>
    <n v="15"/>
    <n v="3"/>
    <n v="0"/>
    <n v="21"/>
    <n v="0"/>
    <n v="7"/>
    <n v="0"/>
    <n v="0"/>
    <n v="0"/>
    <n v="15"/>
    <n v="2"/>
    <s v="DCW"/>
    <s v="DCW"/>
    <s v="M. Chinnaswamy Stadium"/>
    <n v="147"/>
    <n v="7.35"/>
    <n v="45"/>
    <n v="28"/>
    <n v="54"/>
    <s v="NA"/>
    <n v="0"/>
    <n v="8.1"/>
  </r>
  <r>
    <x v="58"/>
    <n v="3"/>
    <s v="P058"/>
    <x v="57"/>
    <x v="2"/>
    <s v="Bowler"/>
    <s v="DNB"/>
    <n v="0"/>
    <n v="0"/>
    <n v="0"/>
    <s v="DNB"/>
    <n v="0"/>
    <n v="3"/>
    <n v="0"/>
    <n v="25"/>
    <n v="0"/>
    <n v="8.3000000000000007"/>
    <n v="0"/>
    <n v="0"/>
    <n v="0"/>
    <n v="0"/>
    <n v="0"/>
    <s v="DCW"/>
    <s v="DCW"/>
    <s v="M. Chinnaswamy Stadium"/>
    <n v="147"/>
    <n v="7.35"/>
    <n v="45"/>
    <n v="28"/>
    <n v="54"/>
    <s v="NA"/>
    <n v="0"/>
    <n v="0"/>
  </r>
  <r>
    <x v="58"/>
    <n v="3"/>
    <s v="P008"/>
    <x v="7"/>
    <x v="2"/>
    <s v="Allrounder"/>
    <s v="DNB"/>
    <n v="0"/>
    <n v="0"/>
    <n v="0"/>
    <s v="DNB"/>
    <n v="0"/>
    <n v="1.3"/>
    <n v="0"/>
    <n v="22"/>
    <n v="0"/>
    <n v="14.7"/>
    <n v="0"/>
    <n v="0"/>
    <n v="0"/>
    <n v="0"/>
    <n v="0"/>
    <s v="DCW"/>
    <s v="DCW"/>
    <s v="M. Chinnaswamy Stadium"/>
    <n v="147"/>
    <n v="7.35"/>
    <n v="45"/>
    <n v="28"/>
    <n v="54"/>
    <s v="NA"/>
    <n v="0"/>
    <n v="0"/>
  </r>
  <r>
    <x v="58"/>
    <n v="3"/>
    <s v="P033"/>
    <x v="32"/>
    <x v="2"/>
    <s v="Bowler"/>
    <s v="DNB"/>
    <n v="0"/>
    <n v="0"/>
    <n v="0"/>
    <s v="DNB"/>
    <n v="0"/>
    <n v="4"/>
    <n v="1"/>
    <n v="28"/>
    <n v="1"/>
    <n v="7"/>
    <n v="35"/>
    <n v="0"/>
    <n v="0"/>
    <n v="35"/>
    <n v="4"/>
    <s v="DCW"/>
    <s v="DCW"/>
    <s v="M. Chinnaswamy Stadium"/>
    <n v="147"/>
    <n v="7.35"/>
    <n v="45"/>
    <n v="28"/>
    <n v="54"/>
    <s v="NA"/>
    <n v="0"/>
    <n v="18.7"/>
  </r>
  <r>
    <x v="58"/>
    <n v="3"/>
    <s v="P090"/>
    <x v="90"/>
    <x v="2"/>
    <s v="Bowler"/>
    <s v="DNB"/>
    <n v="0"/>
    <n v="0"/>
    <n v="0"/>
    <s v="DNB"/>
    <n v="0"/>
    <n v="1"/>
    <n v="0"/>
    <n v="15"/>
    <n v="0"/>
    <n v="15"/>
    <n v="0"/>
    <n v="0"/>
    <n v="0"/>
    <n v="0"/>
    <n v="0"/>
    <s v="DCW"/>
    <s v="DCW"/>
    <s v="M. Chinnaswamy Stadium"/>
    <n v="147"/>
    <n v="7.35"/>
    <n v="45"/>
    <n v="28"/>
    <n v="54"/>
    <s v="NA"/>
    <n v="0"/>
    <n v="0"/>
  </r>
  <r>
    <x v="58"/>
    <n v="3"/>
    <s v="P035"/>
    <x v="34"/>
    <x v="3"/>
    <s v="Batter"/>
    <s v="Opener"/>
    <n v="2"/>
    <n v="12"/>
    <n v="16.670000000000002"/>
    <s v="caught"/>
    <n v="2"/>
    <n v="0"/>
    <n v="0"/>
    <n v="0"/>
    <n v="0"/>
    <n v="0"/>
    <n v="0"/>
    <n v="0"/>
    <n v="0"/>
    <n v="2"/>
    <n v="0"/>
    <s v="DCW"/>
    <s v="DCW"/>
    <s v="M. Chinnaswamy Stadium"/>
    <n v="151"/>
    <n v="9.74"/>
    <n v="41"/>
    <n v="0"/>
    <n v="32"/>
    <s v="Successful"/>
    <n v="1"/>
    <n v="21"/>
  </r>
  <r>
    <x v="58"/>
    <n v="3"/>
    <s v="P034"/>
    <x v="33"/>
    <x v="3"/>
    <s v="Batter"/>
    <s v="Opener"/>
    <n v="80"/>
    <n v="43"/>
    <n v="186.05"/>
    <s v="not out"/>
    <n v="100"/>
    <n v="0"/>
    <n v="0"/>
    <n v="0"/>
    <n v="0"/>
    <n v="0"/>
    <n v="0"/>
    <n v="0"/>
    <n v="0"/>
    <n v="100"/>
    <n v="10"/>
    <s v="DCW"/>
    <s v="DCW"/>
    <s v="M. Chinnaswamy Stadium"/>
    <n v="151"/>
    <n v="9.74"/>
    <n v="41"/>
    <n v="0"/>
    <n v="32"/>
    <s v="Successful"/>
    <n v="1"/>
    <n v="73"/>
  </r>
  <r>
    <x v="58"/>
    <n v="3"/>
    <s v="P039"/>
    <x v="38"/>
    <x v="3"/>
    <s v="Bowler"/>
    <s v="Top Order"/>
    <n v="61"/>
    <n v="38"/>
    <n v="160.53"/>
    <s v="not out"/>
    <n v="80"/>
    <n v="3"/>
    <n v="0"/>
    <n v="33"/>
    <n v="0"/>
    <n v="11"/>
    <n v="0"/>
    <n v="0"/>
    <n v="0"/>
    <n v="80"/>
    <n v="8"/>
    <s v="DCW"/>
    <s v="DCW"/>
    <s v="M. Chinnaswamy Stadium"/>
    <n v="151"/>
    <n v="9.74"/>
    <n v="41"/>
    <n v="0"/>
    <n v="32"/>
    <s v="Successful"/>
    <n v="1"/>
    <n v="62.4"/>
  </r>
  <r>
    <x v="58"/>
    <n v="3"/>
    <s v="P037"/>
    <x v="36"/>
    <x v="3"/>
    <s v="Batter"/>
    <s v="DNB"/>
    <n v="0"/>
    <n v="0"/>
    <n v="0"/>
    <s v="DNB"/>
    <n v="0"/>
    <n v="0"/>
    <n v="0"/>
    <n v="0"/>
    <n v="0"/>
    <n v="0"/>
    <n v="0"/>
    <n v="0"/>
    <n v="0"/>
    <n v="0"/>
    <n v="0"/>
    <s v="DCW"/>
    <s v="DCW"/>
    <s v="M. Chinnaswamy Stadium"/>
    <n v="151"/>
    <n v="9.74"/>
    <n v="41"/>
    <n v="0"/>
    <n v="32"/>
    <s v="Successful"/>
    <n v="1"/>
    <n v="20"/>
  </r>
  <r>
    <x v="58"/>
    <n v="3"/>
    <s v="P005"/>
    <x v="4"/>
    <x v="3"/>
    <s v="Allrounder"/>
    <s v="DNB"/>
    <n v="0"/>
    <n v="0"/>
    <n v="0"/>
    <s v="DNB"/>
    <n v="0"/>
    <n v="4"/>
    <n v="0"/>
    <n v="27"/>
    <n v="0"/>
    <n v="6.8"/>
    <n v="10"/>
    <n v="0"/>
    <n v="0"/>
    <n v="10"/>
    <n v="1"/>
    <s v="DCW"/>
    <s v="DCW"/>
    <s v="M. Chinnaswamy Stadium"/>
    <n v="151"/>
    <n v="9.74"/>
    <n v="41"/>
    <n v="0"/>
    <n v="32"/>
    <s v="Successful"/>
    <n v="1"/>
    <n v="25.3"/>
  </r>
  <r>
    <x v="58"/>
    <n v="3"/>
    <s v="P036"/>
    <x v="35"/>
    <x v="3"/>
    <s v="Allrounder"/>
    <s v="DNB"/>
    <n v="0"/>
    <n v="0"/>
    <n v="0"/>
    <s v="DNB"/>
    <n v="0"/>
    <n v="4"/>
    <n v="0"/>
    <n v="18"/>
    <n v="1"/>
    <n v="4.5"/>
    <n v="25"/>
    <n v="0"/>
    <n v="0"/>
    <n v="25"/>
    <n v="3"/>
    <s v="DCW"/>
    <s v="DCW"/>
    <s v="M. Chinnaswamy Stadium"/>
    <n v="151"/>
    <n v="9.74"/>
    <n v="41"/>
    <n v="0"/>
    <n v="32"/>
    <s v="Successful"/>
    <n v="1"/>
    <n v="33.4"/>
  </r>
  <r>
    <x v="58"/>
    <n v="3"/>
    <s v="P101"/>
    <x v="105"/>
    <x v="3"/>
    <s v="WK-Batter"/>
    <s v="DNB"/>
    <n v="0"/>
    <n v="0"/>
    <n v="0"/>
    <s v="DNB"/>
    <n v="0"/>
    <n v="0"/>
    <n v="0"/>
    <n v="0"/>
    <n v="0"/>
    <n v="0"/>
    <n v="0"/>
    <n v="0"/>
    <n v="0"/>
    <n v="0"/>
    <n v="0"/>
    <s v="DCW"/>
    <s v="DCW"/>
    <s v="M. Chinnaswamy Stadium"/>
    <n v="151"/>
    <n v="9.74"/>
    <n v="41"/>
    <n v="0"/>
    <n v="32"/>
    <s v="Successful"/>
    <n v="1"/>
    <n v="20"/>
  </r>
  <r>
    <x v="58"/>
    <n v="3"/>
    <s v="P100"/>
    <x v="104"/>
    <x v="3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DCW"/>
    <s v="DCW"/>
    <s v="M. Chinnaswamy Stadium"/>
    <n v="151"/>
    <n v="9.74"/>
    <n v="41"/>
    <n v="0"/>
    <n v="32"/>
    <s v="Successful"/>
    <n v="1"/>
    <n v="20"/>
  </r>
  <r>
    <x v="58"/>
    <n v="3"/>
    <s v="P042"/>
    <x v="41"/>
    <x v="3"/>
    <s v="Allrounder"/>
    <s v="DNB"/>
    <n v="0"/>
    <n v="0"/>
    <n v="0"/>
    <s v="DNB"/>
    <n v="0"/>
    <n v="4"/>
    <n v="0"/>
    <n v="24"/>
    <n v="2"/>
    <n v="6"/>
    <n v="50"/>
    <n v="0"/>
    <n v="0"/>
    <n v="50"/>
    <n v="5"/>
    <s v="DCW"/>
    <s v="DCW"/>
    <s v="M. Chinnaswamy Stadium"/>
    <n v="151"/>
    <n v="9.74"/>
    <n v="41"/>
    <n v="0"/>
    <n v="32"/>
    <s v="Successful"/>
    <n v="1"/>
    <n v="46.5"/>
  </r>
  <r>
    <x v="58"/>
    <n v="3"/>
    <s v="P062"/>
    <x v="61"/>
    <x v="3"/>
    <s v="Allrounder"/>
    <s v="DNB"/>
    <n v="0"/>
    <n v="0"/>
    <n v="0"/>
    <s v="DNB"/>
    <n v="0"/>
    <n v="1"/>
    <n v="0"/>
    <n v="14"/>
    <n v="0"/>
    <n v="14"/>
    <n v="0"/>
    <n v="0"/>
    <n v="0"/>
    <n v="0"/>
    <n v="0"/>
    <s v="DCW"/>
    <s v="DCW"/>
    <s v="M. Chinnaswamy Stadium"/>
    <n v="151"/>
    <n v="9.74"/>
    <n v="41"/>
    <n v="0"/>
    <n v="32"/>
    <s v="Successful"/>
    <n v="1"/>
    <n v="20"/>
  </r>
  <r>
    <x v="58"/>
    <n v="3"/>
    <s v="P108"/>
    <x v="111"/>
    <x v="3"/>
    <s v="Bowler"/>
    <s v="DNB"/>
    <n v="0"/>
    <n v="0"/>
    <n v="0"/>
    <s v="DNB"/>
    <n v="0"/>
    <n v="4"/>
    <n v="0"/>
    <n v="28"/>
    <n v="2"/>
    <n v="7"/>
    <n v="50"/>
    <n v="0"/>
    <n v="0"/>
    <n v="50"/>
    <n v="5"/>
    <s v="DCW"/>
    <s v="DCW"/>
    <s v="M. Chinnaswamy Stadium"/>
    <n v="151"/>
    <n v="9.74"/>
    <n v="41"/>
    <n v="0"/>
    <n v="32"/>
    <s v="Successful"/>
    <n v="1"/>
    <n v="46.5"/>
  </r>
  <r>
    <x v="59"/>
    <n v="3"/>
    <s v="P001"/>
    <x v="0"/>
    <x v="0"/>
    <s v="WK-Batter"/>
    <s v="Opener"/>
    <n v="96"/>
    <n v="59"/>
    <n v="162.71"/>
    <s v="not out"/>
    <n v="120"/>
    <n v="0"/>
    <n v="0"/>
    <n v="0"/>
    <n v="0"/>
    <n v="0"/>
    <n v="0"/>
    <n v="0"/>
    <n v="0"/>
    <n v="120"/>
    <n v="10"/>
    <s v="GGTW"/>
    <s v="UPW"/>
    <s v="Bharat Ratna Shri Atal Bihari Vajpayee Ekana Cricket Stadium"/>
    <n v="186"/>
    <n v="9.3000000000000007"/>
    <n v="40"/>
    <n v="42"/>
    <n v="39"/>
    <s v="NA"/>
    <n v="1"/>
    <n v="83"/>
  </r>
  <r>
    <x v="59"/>
    <n v="3"/>
    <s v="P006"/>
    <x v="5"/>
    <x v="0"/>
    <s v="Batter"/>
    <s v="Top Order"/>
    <n v="2"/>
    <n v="3"/>
    <n v="66.67"/>
    <s v="caught"/>
    <n v="2"/>
    <n v="0"/>
    <n v="0"/>
    <n v="0"/>
    <n v="0"/>
    <n v="0"/>
    <n v="0"/>
    <n v="0"/>
    <n v="0"/>
    <n v="2"/>
    <n v="0"/>
    <s v="GGTW"/>
    <s v="UPW"/>
    <s v="Bharat Ratna Shri Atal Bihari Vajpayee Ekana Cricket Stadium"/>
    <n v="186"/>
    <n v="9.3000000000000007"/>
    <n v="40"/>
    <n v="42"/>
    <n v="39"/>
    <s v="NA"/>
    <n v="1"/>
    <n v="21"/>
  </r>
  <r>
    <x v="59"/>
    <n v="3"/>
    <s v="P003"/>
    <x v="2"/>
    <x v="0"/>
    <s v="Allrounder"/>
    <s v="Top Order"/>
    <n v="45"/>
    <n v="32"/>
    <n v="140.62"/>
    <s v="bowled"/>
    <n v="55"/>
    <n v="0"/>
    <n v="0"/>
    <n v="0"/>
    <n v="0"/>
    <n v="0"/>
    <n v="0"/>
    <n v="0"/>
    <n v="0"/>
    <n v="55"/>
    <n v="6"/>
    <s v="GGTW"/>
    <s v="UPW"/>
    <s v="Bharat Ratna Shri Atal Bihari Vajpayee Ekana Cricket Stadium"/>
    <n v="186"/>
    <n v="9.3000000000000007"/>
    <n v="40"/>
    <n v="42"/>
    <n v="39"/>
    <s v="NA"/>
    <n v="1"/>
    <n v="49.3"/>
  </r>
  <r>
    <x v="59"/>
    <n v="3"/>
    <s v="P004"/>
    <x v="3"/>
    <x v="0"/>
    <s v="Allrounder"/>
    <s v="Middle Order"/>
    <n v="11"/>
    <n v="10"/>
    <n v="110"/>
    <s v="caught"/>
    <n v="15"/>
    <n v="2"/>
    <n v="0"/>
    <n v="9"/>
    <n v="1"/>
    <n v="4.5"/>
    <n v="25"/>
    <n v="0"/>
    <n v="0"/>
    <n v="40"/>
    <n v="4"/>
    <s v="GGTW"/>
    <s v="UPW"/>
    <s v="Bharat Ratna Shri Atal Bihari Vajpayee Ekana Cricket Stadium"/>
    <n v="186"/>
    <n v="9.3000000000000007"/>
    <n v="40"/>
    <n v="42"/>
    <n v="39"/>
    <s v="NA"/>
    <n v="1"/>
    <n v="41.2"/>
  </r>
  <r>
    <x v="59"/>
    <n v="3"/>
    <s v="P078"/>
    <x v="79"/>
    <x v="0"/>
    <s v="Batter"/>
    <s v="Middle Order"/>
    <n v="8"/>
    <n v="6"/>
    <n v="133.33000000000001"/>
    <s v="caught"/>
    <n v="10"/>
    <n v="0"/>
    <n v="0"/>
    <n v="0"/>
    <n v="0"/>
    <n v="0"/>
    <n v="0"/>
    <n v="0"/>
    <n v="0"/>
    <n v="10"/>
    <n v="1"/>
    <s v="GGTW"/>
    <s v="UPW"/>
    <s v="Bharat Ratna Shri Atal Bihari Vajpayee Ekana Cricket Stadium"/>
    <n v="186"/>
    <n v="9.3000000000000007"/>
    <n v="40"/>
    <n v="42"/>
    <n v="39"/>
    <s v="NA"/>
    <n v="1"/>
    <n v="25.3"/>
  </r>
  <r>
    <x v="59"/>
    <n v="3"/>
    <s v="P116"/>
    <x v="96"/>
    <x v="0"/>
    <s v="Allrounder"/>
    <s v="Middle Order"/>
    <n v="17"/>
    <n v="8"/>
    <n v="212.5"/>
    <s v="lbw"/>
    <n v="25"/>
    <n v="3"/>
    <n v="0"/>
    <n v="14"/>
    <n v="2"/>
    <n v="4.7"/>
    <n v="50"/>
    <n v="0"/>
    <n v="0"/>
    <n v="75"/>
    <n v="8"/>
    <s v="GGTW"/>
    <s v="UPW"/>
    <s v="Bharat Ratna Shri Atal Bihari Vajpayee Ekana Cricket Stadium"/>
    <n v="186"/>
    <n v="9.3000000000000007"/>
    <n v="40"/>
    <n v="42"/>
    <n v="39"/>
    <s v="NA"/>
    <n v="1"/>
    <n v="59.9"/>
  </r>
  <r>
    <x v="59"/>
    <n v="3"/>
    <s v="P093"/>
    <x v="93"/>
    <x v="0"/>
    <s v="Batter"/>
    <s v="Middle Order"/>
    <n v="2"/>
    <n v="3"/>
    <n v="66.67"/>
    <s v="not out"/>
    <n v="2"/>
    <n v="0"/>
    <n v="0"/>
    <n v="0"/>
    <n v="0"/>
    <n v="0"/>
    <n v="0"/>
    <n v="0"/>
    <n v="0"/>
    <n v="2"/>
    <n v="0"/>
    <s v="GGTW"/>
    <s v="UPW"/>
    <s v="Bharat Ratna Shri Atal Bihari Vajpayee Ekana Cricket Stadium"/>
    <n v="186"/>
    <n v="9.3000000000000007"/>
    <n v="40"/>
    <n v="42"/>
    <n v="39"/>
    <s v="NA"/>
    <n v="1"/>
    <n v="21"/>
  </r>
  <r>
    <x v="59"/>
    <n v="3"/>
    <s v="P098"/>
    <x v="98"/>
    <x v="0"/>
    <s v="Allrounder"/>
    <s v="DNB"/>
    <n v="0"/>
    <n v="0"/>
    <n v="0"/>
    <s v="DNB"/>
    <n v="0"/>
    <n v="3"/>
    <n v="0"/>
    <n v="11"/>
    <n v="3"/>
    <n v="3.7"/>
    <n v="75"/>
    <n v="0"/>
    <n v="0"/>
    <n v="75"/>
    <n v="8"/>
    <s v="GGTW"/>
    <s v="UPW"/>
    <s v="Bharat Ratna Shri Atal Bihari Vajpayee Ekana Cricket Stadium"/>
    <n v="186"/>
    <n v="9.3000000000000007"/>
    <n v="40"/>
    <n v="42"/>
    <n v="39"/>
    <s v="NA"/>
    <n v="1"/>
    <n v="59.9"/>
  </r>
  <r>
    <x v="59"/>
    <n v="3"/>
    <s v="P081"/>
    <x v="82"/>
    <x v="0"/>
    <s v="Bowler"/>
    <s v="DNB"/>
    <n v="0"/>
    <n v="0"/>
    <n v="0"/>
    <s v="DNB"/>
    <n v="0"/>
    <n v="2"/>
    <n v="0"/>
    <n v="28"/>
    <n v="1"/>
    <n v="14"/>
    <n v="25"/>
    <n v="0"/>
    <n v="0"/>
    <n v="25"/>
    <n v="3"/>
    <s v="GGTW"/>
    <s v="UPW"/>
    <s v="Bharat Ratna Shri Atal Bihari Vajpayee Ekana Cricket Stadium"/>
    <n v="186"/>
    <n v="9.3000000000000007"/>
    <n v="40"/>
    <n v="42"/>
    <n v="39"/>
    <s v="NA"/>
    <n v="1"/>
    <n v="33.4"/>
  </r>
  <r>
    <x v="59"/>
    <n v="3"/>
    <s v="P009"/>
    <x v="8"/>
    <x v="0"/>
    <s v="Bowler"/>
    <s v="DNB"/>
    <n v="0"/>
    <n v="0"/>
    <n v="0"/>
    <s v="DNB"/>
    <n v="0"/>
    <n v="3.1"/>
    <n v="0"/>
    <n v="17"/>
    <n v="3"/>
    <n v="5.4"/>
    <n v="75"/>
    <n v="0"/>
    <n v="0"/>
    <n v="75"/>
    <n v="8"/>
    <s v="GGTW"/>
    <s v="UPW"/>
    <s v="Bharat Ratna Shri Atal Bihari Vajpayee Ekana Cricket Stadium"/>
    <n v="186"/>
    <n v="9.3000000000000007"/>
    <n v="40"/>
    <n v="42"/>
    <n v="39"/>
    <s v="NA"/>
    <n v="1"/>
    <n v="59.9"/>
  </r>
  <r>
    <x v="59"/>
    <n v="3"/>
    <s v="P099"/>
    <x v="97"/>
    <x v="0"/>
    <s v="Bowler"/>
    <s v="DNB"/>
    <n v="0"/>
    <n v="0"/>
    <n v="0"/>
    <s v="DNB"/>
    <n v="0"/>
    <n v="4"/>
    <n v="0"/>
    <n v="25"/>
    <n v="0"/>
    <n v="6.2"/>
    <n v="10"/>
    <n v="0"/>
    <n v="0"/>
    <n v="10"/>
    <n v="1"/>
    <s v="GGTW"/>
    <s v="UPW"/>
    <s v="Bharat Ratna Shri Atal Bihari Vajpayee Ekana Cricket Stadium"/>
    <n v="186"/>
    <n v="9.3000000000000007"/>
    <n v="40"/>
    <n v="42"/>
    <n v="39"/>
    <s v="NA"/>
    <n v="1"/>
    <n v="25.3"/>
  </r>
  <r>
    <x v="59"/>
    <n v="3"/>
    <s v="P049"/>
    <x v="48"/>
    <x v="4"/>
    <s v="Allrounder"/>
    <s v="Opener"/>
    <n v="25"/>
    <n v="30"/>
    <n v="83.33"/>
    <s v="lbw"/>
    <n v="30"/>
    <n v="4"/>
    <n v="0"/>
    <n v="36"/>
    <n v="0"/>
    <n v="9"/>
    <n v="0"/>
    <n v="0"/>
    <n v="0"/>
    <n v="30"/>
    <n v="3"/>
    <s v="GGTW"/>
    <s v="UPW"/>
    <s v="Bharat Ratna Shri Atal Bihari Vajpayee Ekana Cricket Stadium"/>
    <n v="105"/>
    <n v="6.12"/>
    <n v="29"/>
    <n v="5"/>
    <n v="58"/>
    <s v="Failed"/>
    <n v="0"/>
    <n v="15.9"/>
  </r>
  <r>
    <x v="59"/>
    <n v="3"/>
    <s v="P051"/>
    <x v="50"/>
    <x v="4"/>
    <s v="Batter"/>
    <s v="Top Order"/>
    <n v="0"/>
    <n v="1"/>
    <n v="0"/>
    <s v="caught"/>
    <n v="0"/>
    <n v="0"/>
    <n v="0"/>
    <n v="0"/>
    <n v="0"/>
    <n v="0"/>
    <n v="0"/>
    <n v="0"/>
    <n v="0"/>
    <n v="0"/>
    <n v="0"/>
    <s v="GGTW"/>
    <s v="UPW"/>
    <s v="Bharat Ratna Shri Atal Bihari Vajpayee Ekana Cricket Stadium"/>
    <n v="105"/>
    <n v="6.12"/>
    <n v="29"/>
    <n v="5"/>
    <n v="58"/>
    <s v="Failed"/>
    <n v="0"/>
    <n v="0"/>
  </r>
  <r>
    <x v="59"/>
    <n v="3"/>
    <s v="P109"/>
    <x v="112"/>
    <x v="4"/>
    <s v="Batter"/>
    <s v="Top Order"/>
    <n v="0"/>
    <n v="3"/>
    <n v="0"/>
    <s v="bowled"/>
    <n v="0"/>
    <n v="0"/>
    <n v="0"/>
    <n v="0"/>
    <n v="0"/>
    <n v="0"/>
    <n v="0"/>
    <n v="0"/>
    <n v="0"/>
    <n v="0"/>
    <n v="0"/>
    <s v="GGTW"/>
    <s v="UPW"/>
    <s v="Bharat Ratna Shri Atal Bihari Vajpayee Ekana Cricket Stadium"/>
    <n v="105"/>
    <n v="6.12"/>
    <n v="29"/>
    <n v="5"/>
    <n v="58"/>
    <s v="Failed"/>
    <n v="0"/>
    <n v="0"/>
  </r>
  <r>
    <x v="59"/>
    <n v="3"/>
    <s v="P074"/>
    <x v="76"/>
    <x v="4"/>
    <s v="Batter"/>
    <s v="Top Order"/>
    <n v="1"/>
    <n v="3"/>
    <n v="33.33"/>
    <s v="bowled"/>
    <n v="1"/>
    <n v="0"/>
    <n v="0"/>
    <n v="0"/>
    <n v="0"/>
    <n v="0"/>
    <n v="0"/>
    <n v="0"/>
    <n v="0"/>
    <n v="1"/>
    <n v="0"/>
    <s v="GGTW"/>
    <s v="UPW"/>
    <s v="Bharat Ratna Shri Atal Bihari Vajpayee Ekana Cricket Stadium"/>
    <n v="105"/>
    <n v="6.12"/>
    <n v="29"/>
    <n v="5"/>
    <n v="58"/>
    <s v="Failed"/>
    <n v="0"/>
    <n v="0.5"/>
  </r>
  <r>
    <x v="59"/>
    <n v="3"/>
    <s v="P048"/>
    <x v="47"/>
    <x v="4"/>
    <s v="Allrounder"/>
    <s v="Middle Order"/>
    <n v="6"/>
    <n v="9"/>
    <n v="66.67"/>
    <s v="caught"/>
    <n v="10"/>
    <n v="4"/>
    <n v="0"/>
    <n v="37"/>
    <n v="1"/>
    <n v="9.1999999999999993"/>
    <n v="25"/>
    <n v="0"/>
    <n v="0"/>
    <n v="35"/>
    <n v="4"/>
    <s v="GGTW"/>
    <s v="UPW"/>
    <s v="Bharat Ratna Shri Atal Bihari Vajpayee Ekana Cricket Stadium"/>
    <n v="105"/>
    <n v="6.12"/>
    <n v="29"/>
    <n v="5"/>
    <n v="58"/>
    <s v="Failed"/>
    <n v="0"/>
    <n v="18.7"/>
  </r>
  <r>
    <x v="59"/>
    <n v="3"/>
    <s v="P046"/>
    <x v="45"/>
    <x v="4"/>
    <s v="Batter"/>
    <s v="Middle Order"/>
    <n v="5"/>
    <n v="8"/>
    <n v="62.5"/>
    <s v="caught"/>
    <n v="5"/>
    <n v="0"/>
    <n v="0"/>
    <n v="0"/>
    <n v="0"/>
    <n v="0"/>
    <n v="0"/>
    <n v="0"/>
    <n v="0"/>
    <n v="5"/>
    <n v="1"/>
    <s v="GGTW"/>
    <s v="UPW"/>
    <s v="Bharat Ratna Shri Atal Bihari Vajpayee Ekana Cricket Stadium"/>
    <n v="105"/>
    <n v="6.12"/>
    <n v="29"/>
    <n v="5"/>
    <n v="58"/>
    <s v="Failed"/>
    <n v="0"/>
    <n v="2.8"/>
  </r>
  <r>
    <x v="59"/>
    <n v="3"/>
    <s v="P092"/>
    <x v="92"/>
    <x v="4"/>
    <s v="WK-Batter"/>
    <s v="Middle Order"/>
    <n v="17"/>
    <n v="22"/>
    <n v="77.27"/>
    <s v="caught"/>
    <n v="20"/>
    <n v="0"/>
    <n v="0"/>
    <n v="0"/>
    <n v="0"/>
    <n v="0"/>
    <n v="0"/>
    <n v="0"/>
    <n v="0"/>
    <n v="20"/>
    <n v="2"/>
    <s v="GGTW"/>
    <s v="UPW"/>
    <s v="Bharat Ratna Shri Atal Bihari Vajpayee Ekana Cricket Stadium"/>
    <n v="105"/>
    <n v="6.12"/>
    <n v="29"/>
    <n v="5"/>
    <n v="58"/>
    <s v="Failed"/>
    <n v="0"/>
    <n v="10.6"/>
  </r>
  <r>
    <x v="59"/>
    <n v="3"/>
    <s v="P107"/>
    <x v="110"/>
    <x v="4"/>
    <s v="Allrounder"/>
    <s v="Middle Order"/>
    <n v="28"/>
    <n v="14"/>
    <n v="200"/>
    <s v="caught"/>
    <n v="35"/>
    <n v="4"/>
    <n v="0"/>
    <n v="31"/>
    <n v="1"/>
    <n v="7.8"/>
    <n v="25"/>
    <n v="0"/>
    <n v="0"/>
    <n v="60"/>
    <n v="6"/>
    <s v="GGTW"/>
    <s v="UPW"/>
    <s v="Bharat Ratna Shri Atal Bihari Vajpayee Ekana Cricket Stadium"/>
    <n v="105"/>
    <n v="6.12"/>
    <n v="29"/>
    <n v="5"/>
    <n v="58"/>
    <s v="Failed"/>
    <n v="0"/>
    <n v="31.8"/>
  </r>
  <r>
    <x v="59"/>
    <n v="3"/>
    <s v="P053"/>
    <x v="52"/>
    <x v="4"/>
    <s v="Bowler"/>
    <s v="Middle Order"/>
    <n v="14"/>
    <n v="10"/>
    <n v="140"/>
    <s v="bowled"/>
    <n v="15"/>
    <n v="4"/>
    <n v="0"/>
    <n v="34"/>
    <n v="2"/>
    <n v="8.5"/>
    <n v="50"/>
    <n v="0"/>
    <n v="0"/>
    <n v="65"/>
    <n v="7"/>
    <s v="GGTW"/>
    <s v="UPW"/>
    <s v="Bharat Ratna Shri Atal Bihari Vajpayee Ekana Cricket Stadium"/>
    <n v="105"/>
    <n v="6.12"/>
    <n v="29"/>
    <n v="5"/>
    <n v="58"/>
    <s v="Failed"/>
    <n v="0"/>
    <n v="34.6"/>
  </r>
  <r>
    <x v="59"/>
    <n v="3"/>
    <s v="P082"/>
    <x v="83"/>
    <x v="4"/>
    <s v="Bowler"/>
    <s v="Middle Order"/>
    <n v="0"/>
    <n v="1"/>
    <n v="0"/>
    <s v="caught"/>
    <n v="0"/>
    <n v="0"/>
    <n v="0"/>
    <n v="0"/>
    <n v="0"/>
    <n v="0"/>
    <n v="0"/>
    <n v="0"/>
    <n v="0"/>
    <n v="0"/>
    <n v="0"/>
    <s v="GGTW"/>
    <s v="UPW"/>
    <s v="Bharat Ratna Shri Atal Bihari Vajpayee Ekana Cricket Stadium"/>
    <n v="105"/>
    <n v="6.12"/>
    <n v="29"/>
    <n v="5"/>
    <n v="58"/>
    <s v="Failed"/>
    <n v="0"/>
    <n v="0"/>
  </r>
  <r>
    <x v="59"/>
    <n v="3"/>
    <s v="P104"/>
    <x v="107"/>
    <x v="4"/>
    <s v="Allrounder"/>
    <s v="Middle Order"/>
    <n v="0"/>
    <n v="2"/>
    <n v="0"/>
    <s v="not out"/>
    <n v="0"/>
    <n v="4"/>
    <n v="0"/>
    <n v="46"/>
    <n v="1"/>
    <n v="11.5"/>
    <n v="25"/>
    <n v="0"/>
    <n v="0"/>
    <n v="25"/>
    <n v="3"/>
    <s v="GGTW"/>
    <s v="UPW"/>
    <s v="Bharat Ratna Shri Atal Bihari Vajpayee Ekana Cricket Stadium"/>
    <n v="105"/>
    <n v="6.12"/>
    <n v="29"/>
    <n v="5"/>
    <n v="58"/>
    <s v="Failed"/>
    <n v="0"/>
    <n v="13.4"/>
  </r>
  <r>
    <x v="60"/>
    <n v="3"/>
    <s v="P049"/>
    <x v="48"/>
    <x v="4"/>
    <s v="Allrounder"/>
    <s v="Opener"/>
    <n v="28"/>
    <n v="25"/>
    <n v="112"/>
    <s v="caught"/>
    <n v="30"/>
    <n v="2"/>
    <n v="0"/>
    <n v="11"/>
    <n v="2"/>
    <n v="5.5"/>
    <n v="50"/>
    <n v="0"/>
    <n v="0"/>
    <n v="80"/>
    <n v="8"/>
    <s v="MIW"/>
    <s v="MIW"/>
    <s v="Bharat Ratna Shri Atal Bihari Vajpayee Ekana Cricket Stadium"/>
    <n v="150"/>
    <n v="7.5"/>
    <n v="50"/>
    <n v="29"/>
    <n v="56"/>
    <s v="NA"/>
    <n v="0"/>
    <n v="42.4"/>
  </r>
  <r>
    <x v="60"/>
    <n v="3"/>
    <s v="P109"/>
    <x v="112"/>
    <x v="4"/>
    <s v="Batter"/>
    <s v="Top Order"/>
    <n v="55"/>
    <n v="33"/>
    <n v="166.67"/>
    <s v="bowled"/>
    <n v="70"/>
    <n v="1"/>
    <n v="0"/>
    <n v="6"/>
    <n v="0"/>
    <n v="6"/>
    <n v="0"/>
    <n v="0"/>
    <n v="0"/>
    <n v="70"/>
    <n v="7"/>
    <s v="MIW"/>
    <s v="MIW"/>
    <s v="Bharat Ratna Shri Atal Bihari Vajpayee Ekana Cricket Stadium"/>
    <n v="150"/>
    <n v="7.5"/>
    <n v="50"/>
    <n v="29"/>
    <n v="56"/>
    <s v="NA"/>
    <n v="0"/>
    <n v="37.1"/>
  </r>
  <r>
    <x v="60"/>
    <n v="3"/>
    <s v="P051"/>
    <x v="50"/>
    <x v="4"/>
    <s v="Batter"/>
    <s v="Top Order"/>
    <n v="0"/>
    <n v="2"/>
    <n v="0"/>
    <s v="caught"/>
    <n v="0"/>
    <n v="0"/>
    <n v="0"/>
    <n v="0"/>
    <n v="0"/>
    <n v="0"/>
    <n v="0"/>
    <n v="0"/>
    <n v="0"/>
    <n v="0"/>
    <n v="0"/>
    <s v="MIW"/>
    <s v="MIW"/>
    <s v="Bharat Ratna Shri Atal Bihari Vajpayee Ekana Cricket Stadium"/>
    <n v="150"/>
    <n v="7.5"/>
    <n v="50"/>
    <n v="29"/>
    <n v="56"/>
    <s v="NA"/>
    <n v="0"/>
    <n v="0"/>
  </r>
  <r>
    <x v="60"/>
    <n v="3"/>
    <s v="P048"/>
    <x v="47"/>
    <x v="4"/>
    <s v="Allrounder"/>
    <s v="Middle Order"/>
    <n v="27"/>
    <n v="25"/>
    <n v="108"/>
    <s v="stumped"/>
    <n v="35"/>
    <n v="3.3"/>
    <n v="0"/>
    <n v="27"/>
    <n v="0"/>
    <n v="7.7"/>
    <n v="0"/>
    <n v="0"/>
    <n v="0"/>
    <n v="35"/>
    <n v="4"/>
    <s v="MIW"/>
    <s v="MIW"/>
    <s v="Bharat Ratna Shri Atal Bihari Vajpayee Ekana Cricket Stadium"/>
    <n v="150"/>
    <n v="7.5"/>
    <n v="50"/>
    <n v="29"/>
    <n v="56"/>
    <s v="NA"/>
    <n v="0"/>
    <n v="18.7"/>
  </r>
  <r>
    <x v="60"/>
    <n v="3"/>
    <s v="P074"/>
    <x v="76"/>
    <x v="4"/>
    <s v="Batter"/>
    <s v="Middle Order"/>
    <n v="10"/>
    <n v="12"/>
    <n v="83.33"/>
    <s v="caught"/>
    <n v="10"/>
    <n v="0"/>
    <n v="0"/>
    <n v="0"/>
    <n v="0"/>
    <n v="0"/>
    <n v="0"/>
    <n v="0"/>
    <n v="0"/>
    <n v="10"/>
    <n v="1"/>
    <s v="MIW"/>
    <s v="MIW"/>
    <s v="Bharat Ratna Shri Atal Bihari Vajpayee Ekana Cricket Stadium"/>
    <n v="150"/>
    <n v="7.5"/>
    <n v="50"/>
    <n v="29"/>
    <n v="56"/>
    <s v="NA"/>
    <n v="0"/>
    <n v="5.3"/>
  </r>
  <r>
    <x v="60"/>
    <n v="3"/>
    <s v="P107"/>
    <x v="110"/>
    <x v="4"/>
    <s v="Allrounder"/>
    <s v="Middle Order"/>
    <n v="6"/>
    <n v="2"/>
    <n v="300"/>
    <s v="caught"/>
    <n v="10"/>
    <n v="4"/>
    <n v="0"/>
    <n v="28"/>
    <n v="1"/>
    <n v="7"/>
    <n v="25"/>
    <n v="0"/>
    <n v="0"/>
    <n v="35"/>
    <n v="4"/>
    <s v="MIW"/>
    <s v="MIW"/>
    <s v="Bharat Ratna Shri Atal Bihari Vajpayee Ekana Cricket Stadium"/>
    <n v="150"/>
    <n v="7.5"/>
    <n v="50"/>
    <n v="29"/>
    <n v="56"/>
    <s v="NA"/>
    <n v="0"/>
    <n v="18.7"/>
  </r>
  <r>
    <x v="60"/>
    <n v="3"/>
    <s v="P046"/>
    <x v="45"/>
    <x v="4"/>
    <s v="Batter"/>
    <s v="Middle Order"/>
    <n v="0"/>
    <n v="2"/>
    <n v="0"/>
    <s v="caught"/>
    <n v="0"/>
    <n v="0"/>
    <n v="0"/>
    <n v="0"/>
    <n v="0"/>
    <n v="0"/>
    <n v="0"/>
    <n v="0"/>
    <n v="0"/>
    <n v="0"/>
    <n v="0"/>
    <s v="MIW"/>
    <s v="MIW"/>
    <s v="Bharat Ratna Shri Atal Bihari Vajpayee Ekana Cricket Stadium"/>
    <n v="150"/>
    <n v="7.5"/>
    <n v="50"/>
    <n v="29"/>
    <n v="56"/>
    <s v="NA"/>
    <n v="0"/>
    <n v="0"/>
  </r>
  <r>
    <x v="60"/>
    <n v="3"/>
    <s v="P092"/>
    <x v="92"/>
    <x v="4"/>
    <s v="WK-Batter"/>
    <s v="Middle Order"/>
    <n v="1"/>
    <n v="7"/>
    <n v="14.29"/>
    <s v="caught"/>
    <n v="1"/>
    <n v="0"/>
    <n v="0"/>
    <n v="0"/>
    <n v="0"/>
    <n v="0"/>
    <n v="0"/>
    <n v="0"/>
    <n v="0"/>
    <n v="1"/>
    <n v="0"/>
    <s v="MIW"/>
    <s v="MIW"/>
    <s v="Bharat Ratna Shri Atal Bihari Vajpayee Ekana Cricket Stadium"/>
    <n v="150"/>
    <n v="7.5"/>
    <n v="50"/>
    <n v="29"/>
    <n v="56"/>
    <s v="NA"/>
    <n v="0"/>
    <n v="0.5"/>
  </r>
  <r>
    <x v="60"/>
    <n v="3"/>
    <s v="P053"/>
    <x v="52"/>
    <x v="4"/>
    <s v="Bowler"/>
    <s v="Middle Order"/>
    <n v="16"/>
    <n v="11"/>
    <n v="145.44999999999999"/>
    <s v="caught"/>
    <n v="20"/>
    <n v="4"/>
    <n v="0"/>
    <n v="28"/>
    <n v="0"/>
    <n v="7"/>
    <n v="0"/>
    <n v="0"/>
    <n v="0"/>
    <n v="20"/>
    <n v="2"/>
    <s v="MIW"/>
    <s v="MIW"/>
    <s v="Bharat Ratna Shri Atal Bihari Vajpayee Ekana Cricket Stadium"/>
    <n v="150"/>
    <n v="7.5"/>
    <n v="50"/>
    <n v="29"/>
    <n v="56"/>
    <s v="NA"/>
    <n v="0"/>
    <n v="10.6"/>
  </r>
  <r>
    <x v="60"/>
    <n v="3"/>
    <s v="P082"/>
    <x v="83"/>
    <x v="4"/>
    <s v="Bowler"/>
    <s v="DNB"/>
    <n v="0"/>
    <n v="0"/>
    <n v="0"/>
    <s v="DNB"/>
    <n v="0"/>
    <n v="1"/>
    <n v="0"/>
    <n v="16"/>
    <n v="0"/>
    <n v="16"/>
    <n v="0"/>
    <n v="0"/>
    <n v="0"/>
    <n v="0"/>
    <n v="0"/>
    <s v="MIW"/>
    <s v="MIW"/>
    <s v="Bharat Ratna Shri Atal Bihari Vajpayee Ekana Cricket Stadium"/>
    <n v="150"/>
    <n v="7.5"/>
    <n v="50"/>
    <n v="29"/>
    <n v="56"/>
    <s v="NA"/>
    <n v="0"/>
    <n v="0"/>
  </r>
  <r>
    <x v="60"/>
    <n v="3"/>
    <s v="P104"/>
    <x v="107"/>
    <x v="4"/>
    <s v="Allrounder"/>
    <s v="Middle Order"/>
    <n v="1"/>
    <n v="1"/>
    <n v="100"/>
    <s v="not out"/>
    <n v="2"/>
    <n v="3"/>
    <n v="0"/>
    <n v="31"/>
    <n v="1"/>
    <n v="10.3"/>
    <n v="25"/>
    <n v="0"/>
    <n v="0"/>
    <n v="27"/>
    <n v="3"/>
    <s v="MIW"/>
    <s v="MIW"/>
    <s v="Bharat Ratna Shri Atal Bihari Vajpayee Ekana Cricket Stadium"/>
    <n v="150"/>
    <n v="7.5"/>
    <n v="50"/>
    <n v="29"/>
    <n v="56"/>
    <s v="NA"/>
    <n v="0"/>
    <n v="14.4"/>
  </r>
  <r>
    <x v="60"/>
    <n v="3"/>
    <s v="P012"/>
    <x v="11"/>
    <x v="1"/>
    <s v="Allrounder"/>
    <s v="Opener"/>
    <n v="68"/>
    <n v="46"/>
    <n v="147.83000000000001"/>
    <s v="caught"/>
    <n v="90"/>
    <n v="4"/>
    <n v="0"/>
    <n v="25"/>
    <n v="2"/>
    <n v="6.2"/>
    <n v="50"/>
    <n v="0"/>
    <n v="0"/>
    <n v="140"/>
    <n v="10"/>
    <s v="MIW"/>
    <s v="MIW"/>
    <s v="Bharat Ratna Shri Atal Bihari Vajpayee Ekana Cricket Stadium"/>
    <n v="153"/>
    <n v="8.27"/>
    <n v="50"/>
    <n v="17"/>
    <n v="48"/>
    <s v="Successful"/>
    <n v="1"/>
    <n v="93"/>
  </r>
  <r>
    <x v="60"/>
    <n v="3"/>
    <s v="P016"/>
    <x v="15"/>
    <x v="1"/>
    <s v="Allrounder"/>
    <s v="Top Order"/>
    <n v="10"/>
    <n v="13"/>
    <n v="76.92"/>
    <s v="caught"/>
    <n v="10"/>
    <n v="4"/>
    <n v="0"/>
    <n v="38"/>
    <n v="5"/>
    <n v="9.5"/>
    <n v="125"/>
    <n v="0"/>
    <n v="0"/>
    <n v="135"/>
    <n v="10"/>
    <s v="MIW"/>
    <s v="MIW"/>
    <s v="Bharat Ratna Shri Atal Bihari Vajpayee Ekana Cricket Stadium"/>
    <n v="153"/>
    <n v="8.27"/>
    <n v="50"/>
    <n v="17"/>
    <n v="48"/>
    <s v="Successful"/>
    <n v="1"/>
    <n v="90.5"/>
  </r>
  <r>
    <x v="60"/>
    <n v="3"/>
    <s v="P015"/>
    <x v="14"/>
    <x v="1"/>
    <s v="Allrounder"/>
    <s v="Top Order"/>
    <n v="37"/>
    <n v="23"/>
    <n v="160.87"/>
    <s v="caught"/>
    <n v="50"/>
    <n v="3"/>
    <n v="0"/>
    <n v="16"/>
    <n v="1"/>
    <n v="5.3"/>
    <n v="25"/>
    <n v="0"/>
    <n v="0"/>
    <n v="75"/>
    <n v="8"/>
    <s v="MIW"/>
    <s v="MIW"/>
    <s v="Bharat Ratna Shri Atal Bihari Vajpayee Ekana Cricket Stadium"/>
    <n v="153"/>
    <n v="8.27"/>
    <n v="50"/>
    <n v="17"/>
    <n v="48"/>
    <s v="Successful"/>
    <n v="1"/>
    <n v="59.9"/>
  </r>
  <r>
    <x v="60"/>
    <n v="3"/>
    <s v="P014"/>
    <x v="13"/>
    <x v="1"/>
    <s v="Allrounder"/>
    <s v="Middle Order"/>
    <n v="4"/>
    <n v="9"/>
    <n v="44.44"/>
    <s v="caught"/>
    <n v="5"/>
    <n v="0"/>
    <n v="0"/>
    <n v="0"/>
    <n v="0"/>
    <n v="0"/>
    <n v="0"/>
    <n v="0"/>
    <n v="0"/>
    <n v="5"/>
    <n v="1"/>
    <s v="MIW"/>
    <s v="MIW"/>
    <s v="Bharat Ratna Shri Atal Bihari Vajpayee Ekana Cricket Stadium"/>
    <n v="153"/>
    <n v="8.27"/>
    <n v="50"/>
    <n v="17"/>
    <n v="48"/>
    <s v="Successful"/>
    <n v="1"/>
    <n v="22.8"/>
  </r>
  <r>
    <x v="60"/>
    <n v="3"/>
    <s v="P017"/>
    <x v="16"/>
    <x v="1"/>
    <s v="Allrounder"/>
    <s v="Middle Order"/>
    <n v="12"/>
    <n v="15"/>
    <n v="80"/>
    <s v="not out"/>
    <n v="15"/>
    <n v="1"/>
    <n v="0"/>
    <n v="9"/>
    <n v="0"/>
    <n v="9"/>
    <n v="0"/>
    <n v="0"/>
    <n v="0"/>
    <n v="15"/>
    <n v="2"/>
    <s v="MIW"/>
    <s v="MIW"/>
    <s v="Bharat Ratna Shri Atal Bihari Vajpayee Ekana Cricket Stadium"/>
    <n v="153"/>
    <n v="8.27"/>
    <n v="50"/>
    <n v="17"/>
    <n v="48"/>
    <s v="Successful"/>
    <n v="1"/>
    <n v="28.1"/>
  </r>
  <r>
    <x v="60"/>
    <n v="3"/>
    <s v="P013"/>
    <x v="12"/>
    <x v="1"/>
    <s v="WK-Batter"/>
    <s v="Middle Order"/>
    <n v="10"/>
    <n v="6"/>
    <n v="166.67"/>
    <s v="not out"/>
    <n v="15"/>
    <n v="0"/>
    <n v="0"/>
    <n v="0"/>
    <n v="0"/>
    <n v="0"/>
    <n v="0"/>
    <n v="0"/>
    <n v="0"/>
    <n v="15"/>
    <n v="2"/>
    <s v="MIW"/>
    <s v="MIW"/>
    <s v="Bharat Ratna Shri Atal Bihari Vajpayee Ekana Cricket Stadium"/>
    <n v="153"/>
    <n v="8.27"/>
    <n v="50"/>
    <n v="17"/>
    <n v="48"/>
    <s v="Successful"/>
    <n v="1"/>
    <n v="28.1"/>
  </r>
  <r>
    <x v="60"/>
    <n v="3"/>
    <s v="P072"/>
    <x v="72"/>
    <x v="1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MIW"/>
    <s v="MIW"/>
    <s v="Bharat Ratna Shri Atal Bihari Vajpayee Ekana Cricket Stadium"/>
    <n v="153"/>
    <n v="8.27"/>
    <n v="50"/>
    <n v="17"/>
    <n v="48"/>
    <s v="Successful"/>
    <n v="1"/>
    <n v="20"/>
  </r>
  <r>
    <x v="60"/>
    <n v="3"/>
    <s v="P105"/>
    <x v="108"/>
    <x v="1"/>
    <s v="WK-Batter"/>
    <s v="DNB"/>
    <n v="0"/>
    <n v="0"/>
    <n v="0"/>
    <s v="DNB"/>
    <n v="0"/>
    <n v="0"/>
    <n v="0"/>
    <n v="0"/>
    <n v="0"/>
    <n v="0"/>
    <n v="0"/>
    <n v="0"/>
    <n v="0"/>
    <n v="0"/>
    <n v="0"/>
    <s v="MIW"/>
    <s v="MIW"/>
    <s v="Bharat Ratna Shri Atal Bihari Vajpayee Ekana Cricket Stadium"/>
    <n v="153"/>
    <n v="8.27"/>
    <n v="50"/>
    <n v="17"/>
    <n v="48"/>
    <s v="Successful"/>
    <n v="1"/>
    <n v="20"/>
  </r>
  <r>
    <x v="60"/>
    <n v="3"/>
    <s v="P102"/>
    <x v="103"/>
    <x v="1"/>
    <s v="Allrounder"/>
    <s v="DNB"/>
    <n v="0"/>
    <n v="0"/>
    <n v="0"/>
    <s v="DNB"/>
    <n v="0"/>
    <n v="1"/>
    <n v="0"/>
    <n v="4"/>
    <n v="0"/>
    <n v="4"/>
    <n v="0"/>
    <n v="0"/>
    <n v="0"/>
    <n v="0"/>
    <n v="0"/>
    <s v="MIW"/>
    <s v="MIW"/>
    <s v="Bharat Ratna Shri Atal Bihari Vajpayee Ekana Cricket Stadium"/>
    <n v="153"/>
    <n v="8.27"/>
    <n v="50"/>
    <n v="17"/>
    <n v="48"/>
    <s v="Successful"/>
    <n v="1"/>
    <n v="20"/>
  </r>
  <r>
    <x v="60"/>
    <n v="3"/>
    <s v="P060"/>
    <x v="59"/>
    <x v="1"/>
    <s v="Bowler"/>
    <s v="DNB"/>
    <n v="0"/>
    <n v="0"/>
    <n v="0"/>
    <s v="DNB"/>
    <n v="0"/>
    <n v="4"/>
    <n v="0"/>
    <n v="33"/>
    <n v="0"/>
    <n v="8.1999999999999993"/>
    <n v="10"/>
    <n v="0"/>
    <n v="0"/>
    <n v="10"/>
    <n v="1"/>
    <s v="MIW"/>
    <s v="MIW"/>
    <s v="Bharat Ratna Shri Atal Bihari Vajpayee Ekana Cricket Stadium"/>
    <n v="153"/>
    <n v="8.27"/>
    <n v="50"/>
    <n v="17"/>
    <n v="48"/>
    <s v="Successful"/>
    <n v="1"/>
    <n v="25.3"/>
  </r>
  <r>
    <x v="60"/>
    <n v="3"/>
    <s v="P106"/>
    <x v="109"/>
    <x v="1"/>
    <s v="Bowler"/>
    <s v="DNB"/>
    <n v="0"/>
    <n v="0"/>
    <n v="0"/>
    <s v="DNB"/>
    <n v="0"/>
    <n v="3"/>
    <n v="0"/>
    <n v="21"/>
    <n v="1"/>
    <n v="7"/>
    <n v="25"/>
    <n v="0"/>
    <n v="0"/>
    <n v="25"/>
    <n v="3"/>
    <s v="MIW"/>
    <s v="MIW"/>
    <s v="Bharat Ratna Shri Atal Bihari Vajpayee Ekana Cricket Stadium"/>
    <n v="153"/>
    <n v="8.27"/>
    <n v="50"/>
    <n v="17"/>
    <n v="48"/>
    <s v="Successful"/>
    <n v="1"/>
    <n v="33.4"/>
  </r>
  <r>
    <x v="61"/>
    <n v="3"/>
    <s v="P035"/>
    <x v="34"/>
    <x v="3"/>
    <s v="Batter"/>
    <s v="Opener"/>
    <n v="92"/>
    <n v="57"/>
    <n v="161.4"/>
    <s v="bowled"/>
    <n v="110"/>
    <n v="0"/>
    <n v="0"/>
    <n v="0"/>
    <n v="0"/>
    <n v="0"/>
    <n v="0"/>
    <n v="0"/>
    <n v="0"/>
    <n v="110"/>
    <n v="10"/>
    <s v="GGTW"/>
    <s v="GGTW"/>
    <s v="Bharat Ratna Shri Atal Bihari Vajpayee Ekana Cricket Stadium"/>
    <n v="177"/>
    <n v="8.85"/>
    <n v="51"/>
    <n v="42"/>
    <n v="46"/>
    <s v="NA"/>
    <n v="0"/>
    <n v="58"/>
  </r>
  <r>
    <x v="61"/>
    <n v="3"/>
    <s v="P034"/>
    <x v="33"/>
    <x v="3"/>
    <s v="Batter"/>
    <s v="Opener"/>
    <n v="40"/>
    <n v="27"/>
    <n v="148.15"/>
    <s v="caught"/>
    <n v="55"/>
    <n v="0"/>
    <n v="0"/>
    <n v="0"/>
    <n v="0"/>
    <n v="0"/>
    <n v="0"/>
    <n v="0"/>
    <n v="0"/>
    <n v="55"/>
    <n v="6"/>
    <s v="GGTW"/>
    <s v="GGTW"/>
    <s v="Bharat Ratna Shri Atal Bihari Vajpayee Ekana Cricket Stadium"/>
    <n v="177"/>
    <n v="8.85"/>
    <n v="51"/>
    <n v="42"/>
    <n v="46"/>
    <s v="NA"/>
    <n v="0"/>
    <n v="29.3"/>
  </r>
  <r>
    <x v="61"/>
    <n v="3"/>
    <s v="P039"/>
    <x v="38"/>
    <x v="3"/>
    <s v="Bowler"/>
    <s v="Top Order"/>
    <n v="9"/>
    <n v="10"/>
    <n v="90"/>
    <s v="bowled"/>
    <n v="10"/>
    <n v="3.3"/>
    <n v="0"/>
    <n v="38"/>
    <n v="2"/>
    <n v="10.9"/>
    <n v="50"/>
    <n v="0"/>
    <n v="0"/>
    <n v="60"/>
    <n v="6"/>
    <s v="GGTW"/>
    <s v="GGTW"/>
    <s v="Bharat Ratna Shri Atal Bihari Vajpayee Ekana Cricket Stadium"/>
    <n v="177"/>
    <n v="8.85"/>
    <n v="51"/>
    <n v="42"/>
    <n v="46"/>
    <s v="NA"/>
    <n v="0"/>
    <n v="31.8"/>
  </r>
  <r>
    <x v="61"/>
    <n v="3"/>
    <s v="P037"/>
    <x v="36"/>
    <x v="3"/>
    <s v="Batter"/>
    <s v="Middle Order"/>
    <n v="4"/>
    <n v="8"/>
    <n v="50"/>
    <s v="caught"/>
    <n v="5"/>
    <n v="0"/>
    <n v="0"/>
    <n v="0"/>
    <n v="0"/>
    <n v="0"/>
    <n v="0"/>
    <n v="0"/>
    <n v="0"/>
    <n v="5"/>
    <n v="1"/>
    <s v="GGTW"/>
    <s v="GGTW"/>
    <s v="Bharat Ratna Shri Atal Bihari Vajpayee Ekana Cricket Stadium"/>
    <n v="177"/>
    <n v="8.85"/>
    <n v="51"/>
    <n v="42"/>
    <n v="46"/>
    <s v="NA"/>
    <n v="0"/>
    <n v="2.8"/>
  </r>
  <r>
    <x v="61"/>
    <n v="3"/>
    <s v="P005"/>
    <x v="4"/>
    <x v="3"/>
    <s v="Allrounder"/>
    <s v="Middle Order"/>
    <n v="14"/>
    <n v="8"/>
    <n v="175"/>
    <s v="caught"/>
    <n v="20"/>
    <n v="4"/>
    <n v="0"/>
    <n v="46"/>
    <n v="0"/>
    <n v="11.5"/>
    <n v="0"/>
    <n v="0"/>
    <n v="0"/>
    <n v="20"/>
    <n v="2"/>
    <s v="GGTW"/>
    <s v="GGTW"/>
    <s v="Bharat Ratna Shri Atal Bihari Vajpayee Ekana Cricket Stadium"/>
    <n v="177"/>
    <n v="8.85"/>
    <n v="51"/>
    <n v="42"/>
    <n v="46"/>
    <s v="NA"/>
    <n v="0"/>
    <n v="10.6"/>
  </r>
  <r>
    <x v="61"/>
    <n v="3"/>
    <s v="P036"/>
    <x v="35"/>
    <x v="3"/>
    <s v="Allrounder"/>
    <s v="Middle Order"/>
    <n v="7"/>
    <n v="9"/>
    <n v="77.78"/>
    <s v="not out"/>
    <n v="10"/>
    <n v="4"/>
    <n v="1"/>
    <n v="29"/>
    <n v="0"/>
    <n v="7.2"/>
    <n v="15"/>
    <n v="0"/>
    <n v="0"/>
    <n v="25"/>
    <n v="3"/>
    <s v="GGTW"/>
    <s v="GGTW"/>
    <s v="Bharat Ratna Shri Atal Bihari Vajpayee Ekana Cricket Stadium"/>
    <n v="177"/>
    <n v="8.85"/>
    <n v="51"/>
    <n v="42"/>
    <n v="46"/>
    <s v="NA"/>
    <n v="0"/>
    <n v="13.4"/>
  </r>
  <r>
    <x v="61"/>
    <n v="3"/>
    <s v="P101"/>
    <x v="105"/>
    <x v="3"/>
    <s v="WK-Batter"/>
    <s v="Middle Order"/>
    <n v="6"/>
    <n v="1"/>
    <n v="600"/>
    <s v="not out"/>
    <n v="10"/>
    <n v="0"/>
    <n v="0"/>
    <n v="0"/>
    <n v="0"/>
    <n v="0"/>
    <n v="0"/>
    <n v="0"/>
    <n v="0"/>
    <n v="10"/>
    <n v="1"/>
    <s v="GGTW"/>
    <s v="GGTW"/>
    <s v="Bharat Ratna Shri Atal Bihari Vajpayee Ekana Cricket Stadium"/>
    <n v="177"/>
    <n v="8.85"/>
    <n v="51"/>
    <n v="42"/>
    <n v="46"/>
    <s v="NA"/>
    <n v="0"/>
    <n v="5.3"/>
  </r>
  <r>
    <x v="61"/>
    <n v="3"/>
    <s v="P100"/>
    <x v="104"/>
    <x v="3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GGTW"/>
    <s v="GGTW"/>
    <s v="Bharat Ratna Shri Atal Bihari Vajpayee Ekana Cricket Stadium"/>
    <n v="177"/>
    <n v="8.85"/>
    <n v="51"/>
    <n v="42"/>
    <n v="46"/>
    <s v="NA"/>
    <n v="0"/>
    <n v="0"/>
  </r>
  <r>
    <x v="61"/>
    <n v="3"/>
    <s v="P062"/>
    <x v="61"/>
    <x v="3"/>
    <s v="Allrounder"/>
    <s v="DNB"/>
    <n v="0"/>
    <n v="0"/>
    <n v="0"/>
    <s v="DNB"/>
    <n v="0"/>
    <n v="2"/>
    <n v="0"/>
    <n v="15"/>
    <n v="1"/>
    <n v="7.5"/>
    <n v="25"/>
    <n v="0"/>
    <n v="0"/>
    <n v="25"/>
    <n v="3"/>
    <s v="GGTW"/>
    <s v="GGTW"/>
    <s v="Bharat Ratna Shri Atal Bihari Vajpayee Ekana Cricket Stadium"/>
    <n v="177"/>
    <n v="8.85"/>
    <n v="51"/>
    <n v="42"/>
    <n v="46"/>
    <s v="NA"/>
    <n v="0"/>
    <n v="13.4"/>
  </r>
  <r>
    <x v="61"/>
    <n v="3"/>
    <s v="P042"/>
    <x v="41"/>
    <x v="3"/>
    <s v="Allrounder"/>
    <s v="DNB"/>
    <n v="0"/>
    <n v="0"/>
    <n v="0"/>
    <s v="DNB"/>
    <n v="0"/>
    <n v="4"/>
    <n v="0"/>
    <n v="31"/>
    <n v="2"/>
    <n v="7.8"/>
    <n v="50"/>
    <n v="0"/>
    <n v="0"/>
    <n v="50"/>
    <n v="5"/>
    <s v="GGTW"/>
    <s v="GGTW"/>
    <s v="Bharat Ratna Shri Atal Bihari Vajpayee Ekana Cricket Stadium"/>
    <n v="177"/>
    <n v="8.85"/>
    <n v="51"/>
    <n v="42"/>
    <n v="46"/>
    <s v="NA"/>
    <n v="0"/>
    <n v="26.5"/>
  </r>
  <r>
    <x v="61"/>
    <n v="3"/>
    <s v="P088"/>
    <x v="87"/>
    <x v="3"/>
    <s v="Bowler"/>
    <s v="DNB"/>
    <n v="0"/>
    <n v="0"/>
    <n v="0"/>
    <s v="DNB"/>
    <n v="0"/>
    <n v="2"/>
    <n v="0"/>
    <n v="17"/>
    <n v="0"/>
    <n v="8.5"/>
    <n v="10"/>
    <n v="0"/>
    <n v="0"/>
    <n v="10"/>
    <n v="1"/>
    <s v="GGTW"/>
    <s v="GGTW"/>
    <s v="Bharat Ratna Shri Atal Bihari Vajpayee Ekana Cricket Stadium"/>
    <n v="177"/>
    <n v="8.85"/>
    <n v="51"/>
    <n v="42"/>
    <n v="46"/>
    <s v="NA"/>
    <n v="0"/>
    <n v="5.3"/>
  </r>
  <r>
    <x v="61"/>
    <n v="3"/>
    <s v="P001"/>
    <x v="0"/>
    <x v="0"/>
    <s v="WK-Batter"/>
    <s v="Opener"/>
    <n v="44"/>
    <n v="35"/>
    <n v="125.71"/>
    <s v="caught"/>
    <n v="50"/>
    <n v="0"/>
    <n v="0"/>
    <n v="0"/>
    <n v="0"/>
    <n v="0"/>
    <n v="0"/>
    <n v="0"/>
    <n v="0"/>
    <n v="50"/>
    <n v="5"/>
    <s v="GGTW"/>
    <s v="GGTW"/>
    <s v="Bharat Ratna Shri Atal Bihari Vajpayee Ekana Cricket Stadium"/>
    <n v="178"/>
    <n v="9.1300000000000008"/>
    <n v="38"/>
    <n v="42"/>
    <n v="41"/>
    <s v="Successful"/>
    <n v="1"/>
    <n v="46.5"/>
  </r>
  <r>
    <x v="61"/>
    <n v="3"/>
    <s v="P006"/>
    <x v="5"/>
    <x v="0"/>
    <s v="Batter"/>
    <s v="Top Order"/>
    <n v="1"/>
    <n v="7"/>
    <n v="14.29"/>
    <s v="caught"/>
    <n v="1"/>
    <n v="0"/>
    <n v="0"/>
    <n v="0"/>
    <n v="0"/>
    <n v="0"/>
    <n v="0"/>
    <n v="0"/>
    <n v="0"/>
    <n v="1"/>
    <n v="0"/>
    <s v="GGTW"/>
    <s v="GGTW"/>
    <s v="Bharat Ratna Shri Atal Bihari Vajpayee Ekana Cricket Stadium"/>
    <n v="178"/>
    <n v="9.1300000000000008"/>
    <n v="38"/>
    <n v="42"/>
    <n v="41"/>
    <s v="Successful"/>
    <n v="1"/>
    <n v="20.5"/>
  </r>
  <r>
    <x v="61"/>
    <n v="3"/>
    <s v="P003"/>
    <x v="2"/>
    <x v="0"/>
    <s v="Allrounder"/>
    <s v="Top Order"/>
    <n v="70"/>
    <n v="49"/>
    <n v="142.86000000000001"/>
    <s v="not out"/>
    <n v="90"/>
    <n v="0"/>
    <n v="0"/>
    <n v="0"/>
    <n v="0"/>
    <n v="0"/>
    <n v="0"/>
    <n v="0"/>
    <n v="0"/>
    <n v="90"/>
    <n v="9"/>
    <s v="GGTW"/>
    <s v="GGTW"/>
    <s v="Bharat Ratna Shri Atal Bihari Vajpayee Ekana Cricket Stadium"/>
    <n v="178"/>
    <n v="9.1300000000000008"/>
    <n v="38"/>
    <n v="42"/>
    <n v="41"/>
    <s v="Successful"/>
    <n v="1"/>
    <n v="67.7"/>
  </r>
  <r>
    <x v="61"/>
    <n v="3"/>
    <s v="P004"/>
    <x v="3"/>
    <x v="0"/>
    <s v="Allrounder"/>
    <s v="Middle Order"/>
    <n v="22"/>
    <n v="13"/>
    <n v="169.23"/>
    <s v="caught"/>
    <n v="35"/>
    <n v="2"/>
    <n v="0"/>
    <n v="18"/>
    <n v="0"/>
    <n v="9"/>
    <n v="0"/>
    <n v="0"/>
    <n v="0"/>
    <n v="35"/>
    <n v="4"/>
    <s v="GGTW"/>
    <s v="GGTW"/>
    <s v="Bharat Ratna Shri Atal Bihari Vajpayee Ekana Cricket Stadium"/>
    <n v="178"/>
    <n v="9.1300000000000008"/>
    <n v="38"/>
    <n v="42"/>
    <n v="41"/>
    <s v="Successful"/>
    <n v="1"/>
    <n v="38.700000000000003"/>
  </r>
  <r>
    <x v="61"/>
    <n v="3"/>
    <s v="P116"/>
    <x v="96"/>
    <x v="0"/>
    <s v="Allrounder"/>
    <s v="Middle Order"/>
    <n v="24"/>
    <n v="10"/>
    <n v="240"/>
    <s v="caught"/>
    <n v="35"/>
    <n v="4"/>
    <n v="0"/>
    <n v="37"/>
    <n v="2"/>
    <n v="9.1999999999999993"/>
    <n v="50"/>
    <n v="0"/>
    <n v="0"/>
    <n v="85"/>
    <n v="9"/>
    <s v="GGTW"/>
    <s v="GGTW"/>
    <s v="Bharat Ratna Shri Atal Bihari Vajpayee Ekana Cricket Stadium"/>
    <n v="178"/>
    <n v="9.1300000000000008"/>
    <n v="38"/>
    <n v="42"/>
    <n v="41"/>
    <s v="Successful"/>
    <n v="1"/>
    <n v="65.2"/>
  </r>
  <r>
    <x v="61"/>
    <n v="3"/>
    <s v="P078"/>
    <x v="79"/>
    <x v="0"/>
    <s v="Batter"/>
    <s v="Middle Order"/>
    <n v="0"/>
    <n v="1"/>
    <n v="0"/>
    <s v="caught"/>
    <n v="0"/>
    <n v="0"/>
    <n v="0"/>
    <n v="0"/>
    <n v="0"/>
    <n v="0"/>
    <n v="0"/>
    <n v="0"/>
    <n v="0"/>
    <n v="0"/>
    <n v="0"/>
    <s v="GGTW"/>
    <s v="GGTW"/>
    <s v="Bharat Ratna Shri Atal Bihari Vajpayee Ekana Cricket Stadium"/>
    <n v="178"/>
    <n v="9.1300000000000008"/>
    <n v="38"/>
    <n v="42"/>
    <n v="41"/>
    <s v="Successful"/>
    <n v="1"/>
    <n v="20"/>
  </r>
  <r>
    <x v="61"/>
    <n v="3"/>
    <s v="P098"/>
    <x v="98"/>
    <x v="0"/>
    <s v="Allrounder"/>
    <s v="Middle Order"/>
    <n v="9"/>
    <n v="3"/>
    <n v="300"/>
    <s v="not out"/>
    <n v="15"/>
    <n v="3"/>
    <n v="0"/>
    <n v="32"/>
    <n v="0"/>
    <n v="10.7"/>
    <n v="0"/>
    <n v="0"/>
    <n v="0"/>
    <n v="15"/>
    <n v="2"/>
    <s v="GGTW"/>
    <s v="GGTW"/>
    <s v="Bharat Ratna Shri Atal Bihari Vajpayee Ekana Cricket Stadium"/>
    <n v="178"/>
    <n v="9.1300000000000008"/>
    <n v="38"/>
    <n v="42"/>
    <n v="41"/>
    <s v="Successful"/>
    <n v="1"/>
    <n v="28.1"/>
  </r>
  <r>
    <x v="61"/>
    <n v="3"/>
    <s v="P093"/>
    <x v="93"/>
    <x v="0"/>
    <s v="Batter"/>
    <s v="DNB"/>
    <n v="0"/>
    <n v="0"/>
    <n v="0"/>
    <s v="DNB"/>
    <n v="0"/>
    <n v="0"/>
    <n v="0"/>
    <n v="0"/>
    <n v="0"/>
    <n v="0"/>
    <n v="0"/>
    <n v="0"/>
    <n v="0"/>
    <n v="0"/>
    <n v="0"/>
    <s v="GGTW"/>
    <s v="GGTW"/>
    <s v="Bharat Ratna Shri Atal Bihari Vajpayee Ekana Cricket Stadium"/>
    <n v="178"/>
    <n v="9.1300000000000008"/>
    <n v="38"/>
    <n v="42"/>
    <n v="41"/>
    <s v="Successful"/>
    <n v="1"/>
    <n v="20"/>
  </r>
  <r>
    <x v="61"/>
    <n v="3"/>
    <s v="P081"/>
    <x v="82"/>
    <x v="0"/>
    <s v="Bowler"/>
    <s v="DNB"/>
    <n v="0"/>
    <n v="0"/>
    <n v="0"/>
    <s v="DNB"/>
    <n v="0"/>
    <n v="4"/>
    <n v="0"/>
    <n v="35"/>
    <n v="3"/>
    <n v="8.8000000000000007"/>
    <n v="75"/>
    <n v="0"/>
    <n v="0"/>
    <n v="75"/>
    <n v="8"/>
    <s v="GGTW"/>
    <s v="GGTW"/>
    <s v="Bharat Ratna Shri Atal Bihari Vajpayee Ekana Cricket Stadium"/>
    <n v="178"/>
    <n v="9.1300000000000008"/>
    <n v="38"/>
    <n v="42"/>
    <n v="41"/>
    <s v="Successful"/>
    <n v="1"/>
    <n v="59.9"/>
  </r>
  <r>
    <x v="61"/>
    <n v="3"/>
    <s v="P009"/>
    <x v="8"/>
    <x v="0"/>
    <s v="Bowler"/>
    <s v="DNB"/>
    <n v="0"/>
    <n v="0"/>
    <n v="0"/>
    <s v="DNB"/>
    <n v="0"/>
    <n v="4"/>
    <n v="0"/>
    <n v="31"/>
    <n v="0"/>
    <n v="7.8"/>
    <n v="10"/>
    <n v="0"/>
    <n v="0"/>
    <n v="10"/>
    <n v="1"/>
    <s v="GGTW"/>
    <s v="GGTW"/>
    <s v="Bharat Ratna Shri Atal Bihari Vajpayee Ekana Cricket Stadium"/>
    <n v="178"/>
    <n v="9.1300000000000008"/>
    <n v="38"/>
    <n v="42"/>
    <n v="41"/>
    <s v="Successful"/>
    <n v="1"/>
    <n v="25.3"/>
  </r>
  <r>
    <x v="61"/>
    <n v="3"/>
    <s v="P099"/>
    <x v="97"/>
    <x v="0"/>
    <s v="Bowler"/>
    <s v="DNB"/>
    <n v="0"/>
    <n v="0"/>
    <n v="0"/>
    <s v="DNB"/>
    <n v="0"/>
    <n v="3"/>
    <n v="0"/>
    <n v="21"/>
    <n v="0"/>
    <n v="7"/>
    <n v="10"/>
    <n v="0"/>
    <n v="0"/>
    <n v="10"/>
    <n v="1"/>
    <s v="GGTW"/>
    <s v="GGTW"/>
    <s v="Bharat Ratna Shri Atal Bihari Vajpayee Ekana Cricket Stadium"/>
    <n v="178"/>
    <n v="9.1300000000000008"/>
    <n v="38"/>
    <n v="42"/>
    <n v="41"/>
    <s v="Successful"/>
    <n v="1"/>
    <n v="25.3"/>
  </r>
  <r>
    <x v="62"/>
    <n v="3"/>
    <s v="P049"/>
    <x v="48"/>
    <x v="4"/>
    <s v="Allrounder"/>
    <s v="Opener"/>
    <n v="39"/>
    <n v="22"/>
    <n v="177.27"/>
    <s v="run out"/>
    <n v="55"/>
    <n v="1"/>
    <n v="0"/>
    <n v="22"/>
    <n v="0"/>
    <n v="22"/>
    <n v="0"/>
    <n v="0"/>
    <n v="0"/>
    <n v="55"/>
    <n v="6"/>
    <s v="UPW"/>
    <s v="RCBW"/>
    <s v="Bharat Ratna Shri Atal Bihari Vajpayee Ekana Cricket Stadium"/>
    <n v="225"/>
    <n v="11.25"/>
    <n v="67"/>
    <n v="37"/>
    <n v="40"/>
    <s v="NA"/>
    <n v="1"/>
    <n v="49.3"/>
  </r>
  <r>
    <x v="62"/>
    <n v="3"/>
    <s v="P109"/>
    <x v="112"/>
    <x v="4"/>
    <s v="Batter"/>
    <s v="Opener"/>
    <n v="99"/>
    <n v="56"/>
    <n v="176.79"/>
    <s v="not out"/>
    <n v="120"/>
    <n v="0.3"/>
    <n v="0"/>
    <n v="2"/>
    <n v="0"/>
    <n v="4"/>
    <n v="0"/>
    <n v="0"/>
    <n v="0"/>
    <n v="120"/>
    <n v="10"/>
    <s v="UPW"/>
    <s v="RCBW"/>
    <s v="Bharat Ratna Shri Atal Bihari Vajpayee Ekana Cricket Stadium"/>
    <n v="225"/>
    <n v="11.25"/>
    <n v="67"/>
    <n v="37"/>
    <n v="40"/>
    <s v="NA"/>
    <n v="1"/>
    <n v="83"/>
  </r>
  <r>
    <x v="62"/>
    <n v="3"/>
    <s v="P051"/>
    <x v="50"/>
    <x v="4"/>
    <s v="Batter"/>
    <s v="Top Order"/>
    <n v="46"/>
    <n v="16"/>
    <n v="287.5"/>
    <s v="caught"/>
    <n v="70"/>
    <n v="0"/>
    <n v="0"/>
    <n v="0"/>
    <n v="0"/>
    <n v="0"/>
    <n v="0"/>
    <n v="0"/>
    <n v="0"/>
    <n v="70"/>
    <n v="7"/>
    <s v="UPW"/>
    <s v="RCBW"/>
    <s v="Bharat Ratna Shri Atal Bihari Vajpayee Ekana Cricket Stadium"/>
    <n v="225"/>
    <n v="11.25"/>
    <n v="67"/>
    <n v="37"/>
    <n v="40"/>
    <s v="NA"/>
    <n v="1"/>
    <n v="57.1"/>
  </r>
  <r>
    <x v="62"/>
    <n v="3"/>
    <s v="P107"/>
    <x v="110"/>
    <x v="4"/>
    <s v="Allrounder"/>
    <s v="Middle Order"/>
    <n v="19"/>
    <n v="15"/>
    <n v="126.67"/>
    <s v="caught"/>
    <n v="25"/>
    <n v="4"/>
    <n v="0"/>
    <n v="39"/>
    <n v="2"/>
    <n v="9.8000000000000007"/>
    <n v="50"/>
    <n v="0"/>
    <n v="0"/>
    <n v="75"/>
    <n v="8"/>
    <s v="UPW"/>
    <s v="RCBW"/>
    <s v="Bharat Ratna Shri Atal Bihari Vajpayee Ekana Cricket Stadium"/>
    <n v="225"/>
    <n v="11.25"/>
    <n v="67"/>
    <n v="37"/>
    <n v="40"/>
    <s v="NA"/>
    <n v="1"/>
    <n v="59.9"/>
  </r>
  <r>
    <x v="62"/>
    <n v="3"/>
    <s v="P053"/>
    <x v="52"/>
    <x v="4"/>
    <s v="Bowler"/>
    <s v="Middle Order"/>
    <n v="13"/>
    <n v="10"/>
    <n v="130"/>
    <s v="bowled"/>
    <n v="20"/>
    <n v="4"/>
    <n v="0"/>
    <n v="25"/>
    <n v="3"/>
    <n v="6.2"/>
    <n v="75"/>
    <n v="0"/>
    <n v="0"/>
    <n v="95"/>
    <n v="10"/>
    <s v="UPW"/>
    <s v="RCBW"/>
    <s v="Bharat Ratna Shri Atal Bihari Vajpayee Ekana Cricket Stadium"/>
    <n v="225"/>
    <n v="11.25"/>
    <n v="67"/>
    <n v="37"/>
    <n v="40"/>
    <s v="NA"/>
    <n v="1"/>
    <n v="70.5"/>
  </r>
  <r>
    <x v="62"/>
    <n v="3"/>
    <s v="P048"/>
    <x v="47"/>
    <x v="4"/>
    <s v="Allrounder"/>
    <s v="Middle Order"/>
    <n v="1"/>
    <n v="1"/>
    <n v="100"/>
    <s v="run out"/>
    <n v="1"/>
    <n v="4"/>
    <n v="0"/>
    <n v="50"/>
    <n v="3"/>
    <n v="12.5"/>
    <n v="75"/>
    <n v="0"/>
    <n v="0"/>
    <n v="76"/>
    <n v="8"/>
    <s v="UPW"/>
    <s v="RCBW"/>
    <s v="Bharat Ratna Shri Atal Bihari Vajpayee Ekana Cricket Stadium"/>
    <n v="225"/>
    <n v="11.25"/>
    <n v="67"/>
    <n v="37"/>
    <n v="40"/>
    <s v="NA"/>
    <n v="1"/>
    <n v="60.4"/>
  </r>
  <r>
    <x v="62"/>
    <n v="3"/>
    <s v="P046"/>
    <x v="45"/>
    <x v="4"/>
    <s v="Batter"/>
    <s v="DNB"/>
    <n v="0"/>
    <n v="0"/>
    <n v="0"/>
    <s v="DNB"/>
    <n v="0"/>
    <n v="0"/>
    <n v="0"/>
    <n v="0"/>
    <n v="0"/>
    <n v="0"/>
    <n v="0"/>
    <n v="0"/>
    <n v="0"/>
    <n v="0"/>
    <n v="0"/>
    <s v="UPW"/>
    <s v="RCBW"/>
    <s v="Bharat Ratna Shri Atal Bihari Vajpayee Ekana Cricket Stadium"/>
    <n v="225"/>
    <n v="11.25"/>
    <n v="67"/>
    <n v="37"/>
    <n v="40"/>
    <s v="NA"/>
    <n v="1"/>
    <n v="20"/>
  </r>
  <r>
    <x v="62"/>
    <n v="3"/>
    <s v="P061"/>
    <x v="60"/>
    <x v="4"/>
    <s v="Allrounder"/>
    <s v="DNB"/>
    <n v="0"/>
    <n v="0"/>
    <n v="0"/>
    <s v="DNB"/>
    <n v="0"/>
    <n v="3"/>
    <n v="0"/>
    <n v="40"/>
    <n v="1"/>
    <n v="13.3"/>
    <n v="25"/>
    <n v="0"/>
    <n v="0"/>
    <n v="25"/>
    <n v="3"/>
    <s v="UPW"/>
    <s v="RCBW"/>
    <s v="Bharat Ratna Shri Atal Bihari Vajpayee Ekana Cricket Stadium"/>
    <n v="225"/>
    <n v="11.25"/>
    <n v="67"/>
    <n v="37"/>
    <n v="40"/>
    <s v="NA"/>
    <n v="1"/>
    <n v="33.4"/>
  </r>
  <r>
    <x v="62"/>
    <n v="3"/>
    <s v="P092"/>
    <x v="92"/>
    <x v="4"/>
    <s v="WK-Batter"/>
    <s v="DNB"/>
    <n v="0"/>
    <n v="0"/>
    <n v="0"/>
    <s v="DNB"/>
    <n v="0"/>
    <n v="0"/>
    <n v="0"/>
    <n v="0"/>
    <n v="0"/>
    <n v="0"/>
    <n v="0"/>
    <n v="0"/>
    <n v="0"/>
    <n v="0"/>
    <n v="0"/>
    <s v="UPW"/>
    <s v="RCBW"/>
    <s v="Bharat Ratna Shri Atal Bihari Vajpayee Ekana Cricket Stadium"/>
    <n v="225"/>
    <n v="11.25"/>
    <n v="67"/>
    <n v="37"/>
    <n v="40"/>
    <s v="NA"/>
    <n v="1"/>
    <n v="20"/>
  </r>
  <r>
    <x v="62"/>
    <n v="3"/>
    <s v="P104"/>
    <x v="107"/>
    <x v="4"/>
    <s v="Allrounder"/>
    <s v="DNB"/>
    <n v="0"/>
    <n v="0"/>
    <n v="0"/>
    <s v="DNB"/>
    <n v="0"/>
    <n v="3"/>
    <n v="0"/>
    <n v="35"/>
    <n v="0"/>
    <n v="11.7"/>
    <n v="0"/>
    <n v="0"/>
    <n v="0"/>
    <n v="0"/>
    <n v="0"/>
    <s v="UPW"/>
    <s v="RCBW"/>
    <s v="Bharat Ratna Shri Atal Bihari Vajpayee Ekana Cricket Stadium"/>
    <n v="225"/>
    <n v="11.25"/>
    <n v="67"/>
    <n v="37"/>
    <n v="40"/>
    <s v="NA"/>
    <n v="1"/>
    <n v="20"/>
  </r>
  <r>
    <x v="62"/>
    <n v="3"/>
    <s v="P054"/>
    <x v="53"/>
    <x v="4"/>
    <s v="Bowler"/>
    <s v="DNB"/>
    <n v="0"/>
    <n v="0"/>
    <n v="0"/>
    <s v="DNB"/>
    <n v="0"/>
    <n v="3"/>
    <n v="0"/>
    <n v="40"/>
    <n v="1"/>
    <n v="13.3"/>
    <n v="25"/>
    <n v="0"/>
    <n v="0"/>
    <n v="25"/>
    <n v="3"/>
    <s v="UPW"/>
    <s v="RCBW"/>
    <s v="Bharat Ratna Shri Atal Bihari Vajpayee Ekana Cricket Stadium"/>
    <n v="225"/>
    <n v="11.25"/>
    <n v="67"/>
    <n v="37"/>
    <n v="40"/>
    <s v="NA"/>
    <n v="1"/>
    <n v="33.4"/>
  </r>
  <r>
    <x v="62"/>
    <n v="3"/>
    <s v="P002"/>
    <x v="1"/>
    <x v="2"/>
    <s v="Batter"/>
    <s v="Opener"/>
    <n v="27"/>
    <n v="12"/>
    <n v="225"/>
    <s v="caught"/>
    <n v="40"/>
    <n v="0"/>
    <n v="0"/>
    <n v="0"/>
    <n v="0"/>
    <n v="0"/>
    <n v="0"/>
    <n v="0"/>
    <n v="0"/>
    <n v="40"/>
    <n v="4"/>
    <s v="UPW"/>
    <s v="RCBW"/>
    <s v="Bharat Ratna Shri Atal Bihari Vajpayee Ekana Cricket Stadium"/>
    <n v="213"/>
    <n v="10.92"/>
    <n v="70"/>
    <n v="44"/>
    <n v="41"/>
    <s v="Failed"/>
    <n v="0"/>
    <n v="21.2"/>
  </r>
  <r>
    <x v="62"/>
    <n v="3"/>
    <s v="P023"/>
    <x v="22"/>
    <x v="2"/>
    <s v="Batter"/>
    <s v="Opener"/>
    <n v="4"/>
    <n v="4"/>
    <n v="100"/>
    <s v="caught"/>
    <n v="5"/>
    <n v="0"/>
    <n v="0"/>
    <n v="0"/>
    <n v="0"/>
    <n v="0"/>
    <n v="0"/>
    <n v="0"/>
    <n v="0"/>
    <n v="5"/>
    <n v="1"/>
    <s v="UPW"/>
    <s v="RCBW"/>
    <s v="Bharat Ratna Shri Atal Bihari Vajpayee Ekana Cricket Stadium"/>
    <n v="213"/>
    <n v="10.92"/>
    <n v="70"/>
    <n v="44"/>
    <n v="41"/>
    <s v="Failed"/>
    <n v="0"/>
    <n v="2.8"/>
  </r>
  <r>
    <x v="62"/>
    <n v="3"/>
    <s v="P027"/>
    <x v="26"/>
    <x v="2"/>
    <s v="Allrounder"/>
    <s v="Top Order"/>
    <n v="28"/>
    <n v="15"/>
    <n v="186.67"/>
    <s v="bowled"/>
    <n v="40"/>
    <n v="4"/>
    <n v="0"/>
    <n v="35"/>
    <n v="0"/>
    <n v="8.8000000000000007"/>
    <n v="0"/>
    <n v="0"/>
    <n v="0"/>
    <n v="40"/>
    <n v="4"/>
    <s v="UPW"/>
    <s v="RCBW"/>
    <s v="Bharat Ratna Shri Atal Bihari Vajpayee Ekana Cricket Stadium"/>
    <n v="213"/>
    <n v="10.92"/>
    <n v="70"/>
    <n v="44"/>
    <n v="41"/>
    <s v="Failed"/>
    <n v="0"/>
    <n v="21.2"/>
  </r>
  <r>
    <x v="62"/>
    <n v="3"/>
    <s v="P095"/>
    <x v="100"/>
    <x v="2"/>
    <s v="Allrounder"/>
    <s v="Middle Order"/>
    <n v="14"/>
    <n v="12"/>
    <n v="116.67"/>
    <s v="caught"/>
    <n v="15"/>
    <n v="0"/>
    <n v="0"/>
    <n v="0"/>
    <n v="0"/>
    <n v="0"/>
    <n v="0"/>
    <n v="0"/>
    <n v="0"/>
    <n v="15"/>
    <n v="2"/>
    <s v="UPW"/>
    <s v="RCBW"/>
    <s v="Bharat Ratna Shri Atal Bihari Vajpayee Ekana Cricket Stadium"/>
    <n v="213"/>
    <n v="10.92"/>
    <n v="70"/>
    <n v="44"/>
    <n v="41"/>
    <s v="Failed"/>
    <n v="0"/>
    <n v="8.1"/>
  </r>
  <r>
    <x v="62"/>
    <n v="3"/>
    <s v="P028"/>
    <x v="27"/>
    <x v="2"/>
    <s v="WK-Batter"/>
    <s v="Middle Order"/>
    <n v="69"/>
    <n v="33"/>
    <n v="209.09"/>
    <s v="caught"/>
    <n v="90"/>
    <n v="0"/>
    <n v="0"/>
    <n v="0"/>
    <n v="0"/>
    <n v="0"/>
    <n v="0"/>
    <n v="0"/>
    <n v="0"/>
    <n v="90"/>
    <n v="9"/>
    <s v="UPW"/>
    <s v="RCBW"/>
    <s v="Bharat Ratna Shri Atal Bihari Vajpayee Ekana Cricket Stadium"/>
    <n v="213"/>
    <n v="10.92"/>
    <n v="70"/>
    <n v="44"/>
    <n v="41"/>
    <s v="Failed"/>
    <n v="0"/>
    <n v="47.7"/>
  </r>
  <r>
    <x v="62"/>
    <n v="3"/>
    <s v="P029"/>
    <x v="28"/>
    <x v="2"/>
    <s v="Allrounder"/>
    <s v="Middle Order"/>
    <n v="8"/>
    <n v="11"/>
    <n v="72.73"/>
    <s v="bowled"/>
    <n v="10"/>
    <n v="0"/>
    <n v="0"/>
    <n v="0"/>
    <n v="0"/>
    <n v="0"/>
    <n v="0"/>
    <n v="0"/>
    <n v="0"/>
    <n v="10"/>
    <n v="1"/>
    <s v="UPW"/>
    <s v="RCBW"/>
    <s v="Bharat Ratna Shri Atal Bihari Vajpayee Ekana Cricket Stadium"/>
    <n v="213"/>
    <n v="10.92"/>
    <n v="70"/>
    <n v="44"/>
    <n v="41"/>
    <s v="Failed"/>
    <n v="0"/>
    <n v="5.3"/>
  </r>
  <r>
    <x v="62"/>
    <n v="3"/>
    <s v="P007"/>
    <x v="6"/>
    <x v="2"/>
    <s v="Allrounder"/>
    <s v="Middle Order"/>
    <n v="17"/>
    <n v="15"/>
    <n v="113.33"/>
    <s v="caught"/>
    <n v="25"/>
    <n v="4"/>
    <n v="0"/>
    <n v="43"/>
    <n v="2"/>
    <n v="10.8"/>
    <n v="50"/>
    <n v="0"/>
    <n v="0"/>
    <n v="75"/>
    <n v="8"/>
    <s v="UPW"/>
    <s v="RCBW"/>
    <s v="Bharat Ratna Shri Atal Bihari Vajpayee Ekana Cricket Stadium"/>
    <n v="213"/>
    <n v="10.92"/>
    <n v="70"/>
    <n v="44"/>
    <n v="41"/>
    <s v="Failed"/>
    <n v="0"/>
    <n v="39.9"/>
  </r>
  <r>
    <x v="62"/>
    <n v="3"/>
    <s v="P110"/>
    <x v="113"/>
    <x v="2"/>
    <s v="Bowler"/>
    <s v="Middle Order"/>
    <n v="9"/>
    <n v="5"/>
    <n v="180"/>
    <s v="caught"/>
    <n v="15"/>
    <n v="4"/>
    <n v="0"/>
    <n v="47"/>
    <n v="1"/>
    <n v="11.8"/>
    <n v="25"/>
    <n v="0"/>
    <n v="0"/>
    <n v="40"/>
    <n v="4"/>
    <s v="UPW"/>
    <s v="RCBW"/>
    <s v="Bharat Ratna Shri Atal Bihari Vajpayee Ekana Cricket Stadium"/>
    <n v="213"/>
    <n v="10.92"/>
    <n v="70"/>
    <n v="44"/>
    <n v="41"/>
    <s v="Failed"/>
    <n v="0"/>
    <n v="21.2"/>
  </r>
  <r>
    <x v="62"/>
    <n v="3"/>
    <s v="P058"/>
    <x v="57"/>
    <x v="2"/>
    <s v="Bowler"/>
    <s v="Middle Order"/>
    <n v="3"/>
    <n v="4"/>
    <n v="75"/>
    <s v="not out"/>
    <n v="5"/>
    <n v="4"/>
    <n v="0"/>
    <n v="42"/>
    <n v="0"/>
    <n v="10.5"/>
    <n v="0"/>
    <n v="0"/>
    <n v="0"/>
    <n v="5"/>
    <n v="1"/>
    <s v="UPW"/>
    <s v="RCBW"/>
    <s v="Bharat Ratna Shri Atal Bihari Vajpayee Ekana Cricket Stadium"/>
    <n v="213"/>
    <n v="10.92"/>
    <n v="70"/>
    <n v="44"/>
    <n v="41"/>
    <s v="Failed"/>
    <n v="0"/>
    <n v="2.8"/>
  </r>
  <r>
    <x v="62"/>
    <n v="3"/>
    <s v="P008"/>
    <x v="7"/>
    <x v="2"/>
    <s v="Allrounder"/>
    <s v="Middle Order"/>
    <n v="26"/>
    <n v="6"/>
    <n v="433.33"/>
    <s v="caught"/>
    <n v="35"/>
    <n v="1"/>
    <n v="0"/>
    <n v="13"/>
    <n v="0"/>
    <n v="13"/>
    <n v="0"/>
    <n v="0"/>
    <n v="0"/>
    <n v="35"/>
    <n v="4"/>
    <s v="UPW"/>
    <s v="RCBW"/>
    <s v="Bharat Ratna Shri Atal Bihari Vajpayee Ekana Cricket Stadium"/>
    <n v="213"/>
    <n v="10.92"/>
    <n v="70"/>
    <n v="44"/>
    <n v="41"/>
    <s v="Failed"/>
    <n v="0"/>
    <n v="18.7"/>
  </r>
  <r>
    <x v="62"/>
    <n v="3"/>
    <s v="P033"/>
    <x v="32"/>
    <x v="2"/>
    <s v="Bowler"/>
    <s v="Middle Order"/>
    <n v="1"/>
    <n v="1"/>
    <n v="100"/>
    <s v="run out"/>
    <n v="1"/>
    <n v="3"/>
    <n v="0"/>
    <n v="42"/>
    <n v="0"/>
    <n v="14"/>
    <n v="0"/>
    <n v="0"/>
    <n v="0"/>
    <n v="1"/>
    <n v="0"/>
    <s v="UPW"/>
    <s v="RCBW"/>
    <s v="Bharat Ratna Shri Atal Bihari Vajpayee Ekana Cricket Stadium"/>
    <n v="213"/>
    <n v="10.92"/>
    <n v="70"/>
    <n v="44"/>
    <n v="41"/>
    <s v="Failed"/>
    <n v="0"/>
    <n v="0.5"/>
  </r>
  <r>
    <x v="63"/>
    <n v="3"/>
    <s v="P012"/>
    <x v="11"/>
    <x v="1"/>
    <s v="Allrounder"/>
    <s v="Opener"/>
    <n v="27"/>
    <n v="22"/>
    <n v="122.73"/>
    <s v="caught"/>
    <n v="35"/>
    <n v="4"/>
    <n v="0"/>
    <n v="38"/>
    <n v="3"/>
    <n v="9.5"/>
    <n v="75"/>
    <n v="0"/>
    <n v="0"/>
    <n v="110"/>
    <n v="10"/>
    <s v="MIW"/>
    <s v="GGTW"/>
    <s v="Brabourne Stadium"/>
    <n v="179"/>
    <n v="8.9499999999999993"/>
    <n v="44"/>
    <n v="55"/>
    <n v="42"/>
    <s v="NA"/>
    <n v="1"/>
    <n v="78"/>
  </r>
  <r>
    <x v="63"/>
    <n v="3"/>
    <s v="P016"/>
    <x v="15"/>
    <x v="1"/>
    <s v="Allrounder"/>
    <s v="Top Order"/>
    <n v="5"/>
    <n v="9"/>
    <n v="55.56"/>
    <s v="run out"/>
    <n v="5"/>
    <n v="4"/>
    <n v="0"/>
    <n v="34"/>
    <n v="3"/>
    <n v="8.5"/>
    <n v="75"/>
    <n v="0"/>
    <n v="0"/>
    <n v="80"/>
    <n v="8"/>
    <s v="MIW"/>
    <s v="GGTW"/>
    <s v="Brabourne Stadium"/>
    <n v="179"/>
    <n v="8.9499999999999993"/>
    <n v="44"/>
    <n v="55"/>
    <n v="42"/>
    <s v="NA"/>
    <n v="1"/>
    <n v="62.4"/>
  </r>
  <r>
    <x v="63"/>
    <n v="3"/>
    <s v="P015"/>
    <x v="14"/>
    <x v="1"/>
    <s v="Allrounder"/>
    <s v="Top Order"/>
    <n v="38"/>
    <n v="31"/>
    <n v="122.58"/>
    <s v="caught"/>
    <n v="50"/>
    <n v="3"/>
    <n v="0"/>
    <n v="28"/>
    <n v="0"/>
    <n v="9.3000000000000007"/>
    <n v="0"/>
    <n v="0"/>
    <n v="0"/>
    <n v="50"/>
    <n v="5"/>
    <s v="MIW"/>
    <s v="GGTW"/>
    <s v="Brabourne Stadium"/>
    <n v="179"/>
    <n v="8.9499999999999993"/>
    <n v="44"/>
    <n v="55"/>
    <n v="42"/>
    <s v="NA"/>
    <n v="1"/>
    <n v="46.5"/>
  </r>
  <r>
    <x v="63"/>
    <n v="3"/>
    <s v="P014"/>
    <x v="13"/>
    <x v="1"/>
    <s v="Allrounder"/>
    <s v="Middle Order"/>
    <n v="54"/>
    <n v="33"/>
    <n v="163.63999999999999"/>
    <s v="caught"/>
    <n v="75"/>
    <n v="0"/>
    <n v="0"/>
    <n v="0"/>
    <n v="0"/>
    <n v="0"/>
    <n v="0"/>
    <n v="0"/>
    <n v="0"/>
    <n v="75"/>
    <n v="8"/>
    <s v="MIW"/>
    <s v="GGTW"/>
    <s v="Brabourne Stadium"/>
    <n v="179"/>
    <n v="8.9499999999999993"/>
    <n v="44"/>
    <n v="55"/>
    <n v="42"/>
    <s v="NA"/>
    <n v="1"/>
    <n v="59.9"/>
  </r>
  <r>
    <x v="63"/>
    <n v="3"/>
    <s v="P017"/>
    <x v="16"/>
    <x v="1"/>
    <s v="Allrounder"/>
    <s v="Middle Order"/>
    <n v="27"/>
    <n v="15"/>
    <n v="180"/>
    <s v="caught"/>
    <n v="40"/>
    <n v="1"/>
    <n v="0"/>
    <n v="12"/>
    <n v="0"/>
    <n v="12"/>
    <n v="0"/>
    <n v="0"/>
    <n v="0"/>
    <n v="40"/>
    <n v="4"/>
    <s v="MIW"/>
    <s v="GGTW"/>
    <s v="Brabourne Stadium"/>
    <n v="179"/>
    <n v="8.9499999999999993"/>
    <n v="44"/>
    <n v="55"/>
    <n v="42"/>
    <s v="NA"/>
    <n v="1"/>
    <n v="41.2"/>
  </r>
  <r>
    <x v="63"/>
    <n v="3"/>
    <s v="P072"/>
    <x v="72"/>
    <x v="1"/>
    <s v="Allrounder"/>
    <s v="Middle Order"/>
    <n v="11"/>
    <n v="6"/>
    <n v="183.33"/>
    <s v="not out"/>
    <n v="20"/>
    <n v="0"/>
    <n v="0"/>
    <n v="0"/>
    <n v="0"/>
    <n v="0"/>
    <n v="0"/>
    <n v="0"/>
    <n v="0"/>
    <n v="20"/>
    <n v="2"/>
    <s v="MIW"/>
    <s v="GGTW"/>
    <s v="Brabourne Stadium"/>
    <n v="179"/>
    <n v="8.9499999999999993"/>
    <n v="44"/>
    <n v="55"/>
    <n v="42"/>
    <s v="NA"/>
    <n v="1"/>
    <n v="30.6"/>
  </r>
  <r>
    <x v="63"/>
    <n v="3"/>
    <s v="P013"/>
    <x v="12"/>
    <x v="1"/>
    <s v="WK-Batter"/>
    <s v="Middle Order"/>
    <n v="13"/>
    <n v="4"/>
    <n v="325"/>
    <s v="run out"/>
    <n v="25"/>
    <n v="0"/>
    <n v="0"/>
    <n v="0"/>
    <n v="0"/>
    <n v="0"/>
    <n v="0"/>
    <n v="0"/>
    <n v="0"/>
    <n v="25"/>
    <n v="3"/>
    <s v="MIW"/>
    <s v="GGTW"/>
    <s v="Brabourne Stadium"/>
    <n v="179"/>
    <n v="8.9499999999999993"/>
    <n v="44"/>
    <n v="55"/>
    <n v="42"/>
    <s v="NA"/>
    <n v="1"/>
    <n v="33.4"/>
  </r>
  <r>
    <x v="63"/>
    <n v="3"/>
    <s v="P105"/>
    <x v="108"/>
    <x v="1"/>
    <s v="WK-Batter"/>
    <s v="DNB"/>
    <n v="0"/>
    <n v="0"/>
    <n v="0"/>
    <s v="DNB"/>
    <n v="0"/>
    <n v="0"/>
    <n v="0"/>
    <n v="0"/>
    <n v="0"/>
    <n v="0"/>
    <n v="0"/>
    <n v="0"/>
    <n v="0"/>
    <n v="0"/>
    <n v="0"/>
    <s v="MIW"/>
    <s v="GGTW"/>
    <s v="Brabourne Stadium"/>
    <n v="179"/>
    <n v="8.9499999999999993"/>
    <n v="44"/>
    <n v="55"/>
    <n v="42"/>
    <s v="NA"/>
    <n v="1"/>
    <n v="20"/>
  </r>
  <r>
    <x v="63"/>
    <n v="3"/>
    <s v="P102"/>
    <x v="103"/>
    <x v="1"/>
    <s v="Allrounder"/>
    <s v="DNB"/>
    <n v="0"/>
    <n v="0"/>
    <n v="0"/>
    <s v="DNB"/>
    <n v="0"/>
    <n v="2"/>
    <n v="0"/>
    <n v="18"/>
    <n v="1"/>
    <n v="9"/>
    <n v="25"/>
    <n v="0"/>
    <n v="0"/>
    <n v="25"/>
    <n v="3"/>
    <s v="MIW"/>
    <s v="GGTW"/>
    <s v="Brabourne Stadium"/>
    <n v="179"/>
    <n v="8.9499999999999993"/>
    <n v="44"/>
    <n v="55"/>
    <n v="42"/>
    <s v="NA"/>
    <n v="1"/>
    <n v="33.4"/>
  </r>
  <r>
    <x v="63"/>
    <n v="3"/>
    <s v="P060"/>
    <x v="59"/>
    <x v="1"/>
    <s v="Bowler"/>
    <s v="DNB"/>
    <n v="0"/>
    <n v="0"/>
    <n v="0"/>
    <s v="DNB"/>
    <n v="0"/>
    <n v="4"/>
    <n v="0"/>
    <n v="17"/>
    <n v="2"/>
    <n v="4.2"/>
    <n v="50"/>
    <n v="0"/>
    <n v="0"/>
    <n v="50"/>
    <n v="5"/>
    <s v="MIW"/>
    <s v="GGTW"/>
    <s v="Brabourne Stadium"/>
    <n v="179"/>
    <n v="8.9499999999999993"/>
    <n v="44"/>
    <n v="55"/>
    <n v="42"/>
    <s v="NA"/>
    <n v="1"/>
    <n v="46.5"/>
  </r>
  <r>
    <x v="63"/>
    <n v="3"/>
    <s v="P106"/>
    <x v="109"/>
    <x v="1"/>
    <s v="Bowler"/>
    <s v="DNB"/>
    <n v="0"/>
    <n v="0"/>
    <n v="0"/>
    <s v="DNB"/>
    <n v="0"/>
    <n v="2"/>
    <n v="0"/>
    <n v="19"/>
    <n v="0"/>
    <n v="9.5"/>
    <n v="0"/>
    <n v="0"/>
    <n v="0"/>
    <n v="0"/>
    <n v="0"/>
    <s v="MIW"/>
    <s v="GGTW"/>
    <s v="Brabourne Stadium"/>
    <n v="179"/>
    <n v="8.9499999999999993"/>
    <n v="44"/>
    <n v="55"/>
    <n v="42"/>
    <s v="NA"/>
    <n v="1"/>
    <n v="20"/>
  </r>
  <r>
    <x v="63"/>
    <n v="3"/>
    <s v="P001"/>
    <x v="0"/>
    <x v="0"/>
    <s v="WK-Batter"/>
    <s v="Opener"/>
    <n v="7"/>
    <n v="9"/>
    <n v="77.78"/>
    <s v="caught"/>
    <n v="5"/>
    <n v="0"/>
    <n v="0"/>
    <n v="0"/>
    <n v="0"/>
    <n v="0"/>
    <n v="0"/>
    <n v="0"/>
    <n v="0"/>
    <n v="5"/>
    <n v="1"/>
    <s v="MIW"/>
    <s v="GGTW"/>
    <s v="Brabourne Stadium"/>
    <n v="170"/>
    <n v="8.5"/>
    <n v="40"/>
    <n v="45"/>
    <n v="46"/>
    <s v="Failed"/>
    <n v="0"/>
    <n v="2.8"/>
  </r>
  <r>
    <x v="63"/>
    <n v="3"/>
    <s v="P098"/>
    <x v="98"/>
    <x v="0"/>
    <s v="Allrounder"/>
    <s v="Top Order"/>
    <n v="10"/>
    <n v="14"/>
    <n v="71.430000000000007"/>
    <s v="stumped"/>
    <n v="10"/>
    <n v="4"/>
    <n v="0"/>
    <n v="32"/>
    <n v="1"/>
    <n v="8"/>
    <n v="25"/>
    <n v="0"/>
    <n v="0"/>
    <n v="35"/>
    <n v="4"/>
    <s v="MIW"/>
    <s v="GGTW"/>
    <s v="Brabourne Stadium"/>
    <n v="170"/>
    <n v="8.5"/>
    <n v="40"/>
    <n v="45"/>
    <n v="46"/>
    <s v="Failed"/>
    <n v="0"/>
    <n v="18.7"/>
  </r>
  <r>
    <x v="63"/>
    <n v="3"/>
    <s v="P003"/>
    <x v="2"/>
    <x v="0"/>
    <s v="Allrounder"/>
    <s v="Top Order"/>
    <n v="24"/>
    <n v="17"/>
    <n v="141.18"/>
    <s v="lbw"/>
    <n v="30"/>
    <n v="0"/>
    <n v="0"/>
    <n v="0"/>
    <n v="0"/>
    <n v="0"/>
    <n v="0"/>
    <n v="0"/>
    <n v="0"/>
    <n v="30"/>
    <n v="3"/>
    <s v="MIW"/>
    <s v="GGTW"/>
    <s v="Brabourne Stadium"/>
    <n v="170"/>
    <n v="8.5"/>
    <n v="40"/>
    <n v="45"/>
    <n v="46"/>
    <s v="Failed"/>
    <n v="0"/>
    <n v="15.9"/>
  </r>
  <r>
    <x v="63"/>
    <n v="3"/>
    <s v="P004"/>
    <x v="3"/>
    <x v="0"/>
    <s v="Allrounder"/>
    <s v="Middle Order"/>
    <n v="0"/>
    <n v="2"/>
    <n v="0"/>
    <s v="caught"/>
    <n v="0"/>
    <n v="4"/>
    <n v="0"/>
    <n v="27"/>
    <n v="1"/>
    <n v="6.8"/>
    <n v="25"/>
    <n v="0"/>
    <n v="0"/>
    <n v="25"/>
    <n v="3"/>
    <s v="MIW"/>
    <s v="GGTW"/>
    <s v="Brabourne Stadium"/>
    <n v="170"/>
    <n v="8.5"/>
    <n v="40"/>
    <n v="45"/>
    <n v="46"/>
    <s v="Failed"/>
    <n v="0"/>
    <n v="13.4"/>
  </r>
  <r>
    <x v="63"/>
    <n v="3"/>
    <s v="P078"/>
    <x v="79"/>
    <x v="0"/>
    <s v="Batter"/>
    <s v="Middle Order"/>
    <n v="22"/>
    <n v="16"/>
    <n v="137.5"/>
    <s v="bowled"/>
    <n v="30"/>
    <n v="0"/>
    <n v="0"/>
    <n v="0"/>
    <n v="0"/>
    <n v="0"/>
    <n v="0"/>
    <n v="0"/>
    <n v="0"/>
    <n v="30"/>
    <n v="3"/>
    <s v="MIW"/>
    <s v="GGTW"/>
    <s v="Brabourne Stadium"/>
    <n v="170"/>
    <n v="8.5"/>
    <n v="40"/>
    <n v="45"/>
    <n v="46"/>
    <s v="Failed"/>
    <n v="0"/>
    <n v="15.9"/>
  </r>
  <r>
    <x v="63"/>
    <n v="3"/>
    <s v="P116"/>
    <x v="96"/>
    <x v="0"/>
    <s v="Allrounder"/>
    <s v="Middle Order"/>
    <n v="10"/>
    <n v="11"/>
    <n v="90.91"/>
    <s v="bowled"/>
    <n v="10"/>
    <n v="4"/>
    <n v="0"/>
    <n v="44"/>
    <n v="0"/>
    <n v="11"/>
    <n v="0"/>
    <n v="0"/>
    <n v="0"/>
    <n v="10"/>
    <n v="1"/>
    <s v="MIW"/>
    <s v="GGTW"/>
    <s v="Brabourne Stadium"/>
    <n v="170"/>
    <n v="8.5"/>
    <n v="40"/>
    <n v="45"/>
    <n v="46"/>
    <s v="Failed"/>
    <n v="0"/>
    <n v="5.3"/>
  </r>
  <r>
    <x v="63"/>
    <n v="3"/>
    <s v="P093"/>
    <x v="93"/>
    <x v="0"/>
    <s v="Batter"/>
    <s v="Middle Order"/>
    <n v="61"/>
    <n v="25"/>
    <n v="244"/>
    <s v="caught"/>
    <n v="90"/>
    <n v="0"/>
    <n v="0"/>
    <n v="0"/>
    <n v="0"/>
    <n v="0"/>
    <n v="0"/>
    <n v="0"/>
    <n v="0"/>
    <n v="90"/>
    <n v="9"/>
    <s v="MIW"/>
    <s v="GGTW"/>
    <s v="Brabourne Stadium"/>
    <n v="170"/>
    <n v="8.5"/>
    <n v="40"/>
    <n v="45"/>
    <n v="46"/>
    <s v="Failed"/>
    <n v="0"/>
    <n v="47.7"/>
  </r>
  <r>
    <x v="63"/>
    <n v="3"/>
    <s v="P050"/>
    <x v="49"/>
    <x v="0"/>
    <s v="Batter"/>
    <s v="Middle Order"/>
    <n v="18"/>
    <n v="16"/>
    <n v="112.5"/>
    <s v="bowled"/>
    <n v="20"/>
    <n v="0"/>
    <n v="0"/>
    <n v="0"/>
    <n v="0"/>
    <n v="0"/>
    <n v="0"/>
    <n v="0"/>
    <n v="0"/>
    <n v="20"/>
    <n v="2"/>
    <s v="MIW"/>
    <s v="GGTW"/>
    <s v="Brabourne Stadium"/>
    <n v="170"/>
    <n v="8.5"/>
    <n v="40"/>
    <n v="45"/>
    <n v="46"/>
    <s v="Failed"/>
    <n v="0"/>
    <n v="10.6"/>
  </r>
  <r>
    <x v="63"/>
    <n v="3"/>
    <s v="P009"/>
    <x v="8"/>
    <x v="0"/>
    <s v="Bowler"/>
    <s v="Middle Order"/>
    <n v="10"/>
    <n v="6"/>
    <n v="166.67"/>
    <s v="run out"/>
    <n v="15"/>
    <n v="4"/>
    <n v="0"/>
    <n v="41"/>
    <n v="1"/>
    <n v="10.199999999999999"/>
    <n v="25"/>
    <n v="0"/>
    <n v="0"/>
    <n v="40"/>
    <n v="4"/>
    <s v="MIW"/>
    <s v="GGTW"/>
    <s v="Brabourne Stadium"/>
    <n v="170"/>
    <n v="8.5"/>
    <n v="40"/>
    <n v="45"/>
    <n v="46"/>
    <s v="Failed"/>
    <n v="0"/>
    <n v="21.2"/>
  </r>
  <r>
    <x v="63"/>
    <n v="3"/>
    <s v="P081"/>
    <x v="82"/>
    <x v="0"/>
    <s v="Bowler"/>
    <s v="Middle Order"/>
    <n v="1"/>
    <n v="1"/>
    <n v="100"/>
    <s v="not out"/>
    <n v="2"/>
    <n v="1"/>
    <n v="0"/>
    <n v="12"/>
    <n v="0"/>
    <n v="12"/>
    <n v="0"/>
    <n v="0"/>
    <n v="0"/>
    <n v="2"/>
    <n v="0"/>
    <s v="MIW"/>
    <s v="GGTW"/>
    <s v="Brabourne Stadium"/>
    <n v="170"/>
    <n v="8.5"/>
    <n v="40"/>
    <n v="45"/>
    <n v="46"/>
    <s v="Failed"/>
    <n v="0"/>
    <n v="1"/>
  </r>
  <r>
    <x v="63"/>
    <n v="3"/>
    <s v="P099"/>
    <x v="97"/>
    <x v="0"/>
    <s v="Bowler"/>
    <s v="Middle Order"/>
    <n v="1"/>
    <n v="3"/>
    <n v="33.33"/>
    <s v="stumped"/>
    <n v="1"/>
    <n v="3"/>
    <n v="0"/>
    <n v="23"/>
    <n v="1"/>
    <n v="7.7"/>
    <n v="25"/>
    <n v="0"/>
    <n v="0"/>
    <n v="26"/>
    <n v="3"/>
    <s v="MIW"/>
    <s v="GGTW"/>
    <s v="Brabourne Stadium"/>
    <n v="170"/>
    <n v="8.5"/>
    <n v="40"/>
    <n v="45"/>
    <n v="46"/>
    <s v="Failed"/>
    <n v="0"/>
    <n v="13.9"/>
  </r>
  <r>
    <x v="64"/>
    <n v="3"/>
    <s v="P002"/>
    <x v="1"/>
    <x v="2"/>
    <s v="Batter"/>
    <s v="Opener"/>
    <n v="26"/>
    <n v="13"/>
    <n v="200"/>
    <s v="caught"/>
    <n v="40"/>
    <n v="0"/>
    <n v="0"/>
    <n v="0"/>
    <n v="0"/>
    <n v="0"/>
    <n v="0"/>
    <n v="0"/>
    <n v="0"/>
    <n v="40"/>
    <n v="4"/>
    <s v="RCBW"/>
    <s v="MIW"/>
    <s v="Brabourne Stadium"/>
    <n v="199"/>
    <n v="9.9499999999999993"/>
    <n v="53"/>
    <n v="65"/>
    <n v="38"/>
    <s v="NA"/>
    <n v="1"/>
    <n v="41.2"/>
  </r>
  <r>
    <x v="64"/>
    <n v="3"/>
    <s v="P023"/>
    <x v="22"/>
    <x v="2"/>
    <s v="Batter"/>
    <s v="Opener"/>
    <n v="53"/>
    <n v="37"/>
    <n v="143.24"/>
    <s v="caught"/>
    <n v="65"/>
    <n v="0"/>
    <n v="0"/>
    <n v="0"/>
    <n v="0"/>
    <n v="0"/>
    <n v="0"/>
    <n v="0"/>
    <n v="0"/>
    <n v="65"/>
    <n v="7"/>
    <s v="RCBW"/>
    <s v="MIW"/>
    <s v="Brabourne Stadium"/>
    <n v="199"/>
    <n v="9.9499999999999993"/>
    <n v="53"/>
    <n v="65"/>
    <n v="38"/>
    <s v="NA"/>
    <n v="1"/>
    <n v="54.6"/>
  </r>
  <r>
    <x v="64"/>
    <n v="3"/>
    <s v="P027"/>
    <x v="26"/>
    <x v="2"/>
    <s v="Allrounder"/>
    <s v="Top Order"/>
    <n v="49"/>
    <n v="38"/>
    <n v="128.94999999999999"/>
    <s v="not out"/>
    <n v="60"/>
    <n v="4"/>
    <n v="0"/>
    <n v="53"/>
    <n v="2"/>
    <n v="13.2"/>
    <n v="50"/>
    <n v="0"/>
    <n v="0"/>
    <n v="110"/>
    <n v="10"/>
    <s v="RCBW"/>
    <s v="MIW"/>
    <s v="Brabourne Stadium"/>
    <n v="199"/>
    <n v="9.9499999999999993"/>
    <n v="53"/>
    <n v="65"/>
    <n v="38"/>
    <s v="NA"/>
    <n v="1"/>
    <n v="78"/>
  </r>
  <r>
    <x v="64"/>
    <n v="3"/>
    <s v="P028"/>
    <x v="27"/>
    <x v="2"/>
    <s v="WK-Batter"/>
    <s v="Middle Order"/>
    <n v="36"/>
    <n v="22"/>
    <n v="163.63999999999999"/>
    <s v="caught"/>
    <n v="50"/>
    <n v="0"/>
    <n v="0"/>
    <n v="0"/>
    <n v="0"/>
    <n v="0"/>
    <n v="0"/>
    <n v="0"/>
    <n v="0"/>
    <n v="50"/>
    <n v="5"/>
    <s v="RCBW"/>
    <s v="MIW"/>
    <s v="Brabourne Stadium"/>
    <n v="199"/>
    <n v="9.9499999999999993"/>
    <n v="53"/>
    <n v="65"/>
    <n v="38"/>
    <s v="NA"/>
    <n v="1"/>
    <n v="46.5"/>
  </r>
  <r>
    <x v="64"/>
    <n v="3"/>
    <s v="P007"/>
    <x v="6"/>
    <x v="2"/>
    <s v="Allrounder"/>
    <s v="Middle Order"/>
    <n v="31"/>
    <n v="10"/>
    <n v="310"/>
    <s v="not out"/>
    <n v="55"/>
    <n v="4"/>
    <n v="0"/>
    <n v="29"/>
    <n v="1"/>
    <n v="7.2"/>
    <n v="30"/>
    <n v="0"/>
    <n v="0"/>
    <n v="85"/>
    <n v="9"/>
    <s v="RCBW"/>
    <s v="MIW"/>
    <s v="Brabourne Stadium"/>
    <n v="199"/>
    <n v="9.9499999999999993"/>
    <n v="53"/>
    <n v="65"/>
    <n v="38"/>
    <s v="NA"/>
    <n v="1"/>
    <n v="65.2"/>
  </r>
  <r>
    <x v="64"/>
    <n v="3"/>
    <s v="P029"/>
    <x v="28"/>
    <x v="2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RCBW"/>
    <s v="MIW"/>
    <s v="Brabourne Stadium"/>
    <n v="199"/>
    <n v="9.9499999999999993"/>
    <n v="53"/>
    <n v="65"/>
    <n v="38"/>
    <s v="NA"/>
    <n v="1"/>
    <n v="20"/>
  </r>
  <r>
    <x v="64"/>
    <n v="3"/>
    <s v="P111"/>
    <x v="114"/>
    <x v="2"/>
    <s v="Allrounder"/>
    <s v="DNB"/>
    <n v="0"/>
    <n v="0"/>
    <n v="0"/>
    <s v="DNB"/>
    <n v="0"/>
    <n v="4"/>
    <n v="0"/>
    <n v="47"/>
    <n v="1"/>
    <n v="11.8"/>
    <n v="25"/>
    <n v="0"/>
    <n v="0"/>
    <n v="25"/>
    <n v="3"/>
    <s v="RCBW"/>
    <s v="MIW"/>
    <s v="Brabourne Stadium"/>
    <n v="199"/>
    <n v="9.9499999999999993"/>
    <n v="53"/>
    <n v="65"/>
    <n v="38"/>
    <s v="NA"/>
    <n v="1"/>
    <n v="33.4"/>
  </r>
  <r>
    <x v="64"/>
    <n v="3"/>
    <s v="P008"/>
    <x v="7"/>
    <x v="2"/>
    <s v="Allrounder"/>
    <s v="DNB"/>
    <n v="0"/>
    <n v="0"/>
    <n v="0"/>
    <s v="DNB"/>
    <n v="0"/>
    <n v="4"/>
    <n v="0"/>
    <n v="26"/>
    <n v="3"/>
    <n v="6.5"/>
    <n v="75"/>
    <n v="0"/>
    <n v="0"/>
    <n v="75"/>
    <n v="8"/>
    <s v="RCBW"/>
    <s v="MIW"/>
    <s v="Brabourne Stadium"/>
    <n v="199"/>
    <n v="9.9499999999999993"/>
    <n v="53"/>
    <n v="65"/>
    <n v="38"/>
    <s v="NA"/>
    <n v="1"/>
    <n v="59.9"/>
  </r>
  <r>
    <x v="64"/>
    <n v="3"/>
    <s v="P058"/>
    <x v="57"/>
    <x v="2"/>
    <s v="Bowler"/>
    <s v="DNB"/>
    <n v="0"/>
    <n v="0"/>
    <n v="0"/>
    <s v="DNB"/>
    <n v="0"/>
    <n v="4"/>
    <n v="0"/>
    <n v="33"/>
    <n v="2"/>
    <n v="8.1999999999999993"/>
    <n v="50"/>
    <n v="0"/>
    <n v="0"/>
    <n v="50"/>
    <n v="5"/>
    <s v="RCBW"/>
    <s v="MIW"/>
    <s v="Brabourne Stadium"/>
    <n v="199"/>
    <n v="9.9499999999999993"/>
    <n v="53"/>
    <n v="65"/>
    <n v="38"/>
    <s v="NA"/>
    <n v="1"/>
    <n v="46.5"/>
  </r>
  <r>
    <x v="64"/>
    <n v="3"/>
    <s v="P096"/>
    <x v="101"/>
    <x v="2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RCBW"/>
    <s v="MIW"/>
    <s v="Brabourne Stadium"/>
    <n v="199"/>
    <n v="9.9499999999999993"/>
    <n v="53"/>
    <n v="65"/>
    <n v="38"/>
    <s v="NA"/>
    <n v="1"/>
    <n v="20"/>
  </r>
  <r>
    <x v="64"/>
    <n v="3"/>
    <s v="P097"/>
    <x v="102"/>
    <x v="2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RCBW"/>
    <s v="MIW"/>
    <s v="Brabourne Stadium"/>
    <n v="199"/>
    <n v="9.9499999999999993"/>
    <n v="53"/>
    <n v="65"/>
    <n v="38"/>
    <s v="NA"/>
    <n v="1"/>
    <n v="20"/>
  </r>
  <r>
    <x v="64"/>
    <n v="3"/>
    <s v="P012"/>
    <x v="11"/>
    <x v="1"/>
    <s v="Allrounder"/>
    <s v="Opener"/>
    <n v="19"/>
    <n v="16"/>
    <n v="118.75"/>
    <s v="caught"/>
    <n v="25"/>
    <n v="4"/>
    <n v="0"/>
    <n v="37"/>
    <n v="2"/>
    <n v="9.1999999999999993"/>
    <n v="50"/>
    <n v="0"/>
    <n v="0"/>
    <n v="75"/>
    <n v="8"/>
    <s v="RCBW"/>
    <s v="MIW"/>
    <s v="Brabourne Stadium"/>
    <n v="188"/>
    <n v="9.4"/>
    <n v="45"/>
    <n v="54"/>
    <n v="38"/>
    <s v="Failed"/>
    <n v="0"/>
    <n v="39.9"/>
  </r>
  <r>
    <x v="64"/>
    <n v="3"/>
    <s v="P016"/>
    <x v="15"/>
    <x v="1"/>
    <s v="Allrounder"/>
    <s v="Top Order"/>
    <n v="9"/>
    <n v="10"/>
    <n v="90"/>
    <s v="caught"/>
    <n v="10"/>
    <n v="3"/>
    <n v="0"/>
    <n v="47"/>
    <n v="1"/>
    <n v="15.7"/>
    <n v="15"/>
    <n v="0"/>
    <n v="0"/>
    <n v="25"/>
    <n v="3"/>
    <s v="RCBW"/>
    <s v="MIW"/>
    <s v="Brabourne Stadium"/>
    <n v="188"/>
    <n v="9.4"/>
    <n v="45"/>
    <n v="54"/>
    <n v="38"/>
    <s v="Failed"/>
    <n v="0"/>
    <n v="13.4"/>
  </r>
  <r>
    <x v="64"/>
    <n v="3"/>
    <s v="P015"/>
    <x v="14"/>
    <x v="1"/>
    <s v="Allrounder"/>
    <s v="Top Order"/>
    <n v="69"/>
    <n v="35"/>
    <n v="197.14"/>
    <s v="caught"/>
    <n v="85"/>
    <n v="2"/>
    <n v="0"/>
    <n v="16"/>
    <n v="0"/>
    <n v="8"/>
    <n v="0"/>
    <n v="0"/>
    <n v="0"/>
    <n v="85"/>
    <n v="9"/>
    <s v="RCBW"/>
    <s v="MIW"/>
    <s v="Brabourne Stadium"/>
    <n v="188"/>
    <n v="9.4"/>
    <n v="45"/>
    <n v="54"/>
    <n v="38"/>
    <s v="Failed"/>
    <n v="0"/>
    <n v="45.2"/>
  </r>
  <r>
    <x v="64"/>
    <n v="3"/>
    <s v="P014"/>
    <x v="13"/>
    <x v="1"/>
    <s v="Allrounder"/>
    <s v="Middle Order"/>
    <n v="20"/>
    <n v="18"/>
    <n v="111.11"/>
    <s v="caught"/>
    <n v="20"/>
    <n v="0"/>
    <n v="0"/>
    <n v="0"/>
    <n v="0"/>
    <n v="0"/>
    <n v="0"/>
    <n v="0"/>
    <n v="0"/>
    <n v="20"/>
    <n v="2"/>
    <s v="RCBW"/>
    <s v="MIW"/>
    <s v="Brabourne Stadium"/>
    <n v="188"/>
    <n v="9.4"/>
    <n v="45"/>
    <n v="54"/>
    <n v="38"/>
    <s v="Failed"/>
    <n v="0"/>
    <n v="10.6"/>
  </r>
  <r>
    <x v="64"/>
    <n v="3"/>
    <s v="P017"/>
    <x v="16"/>
    <x v="1"/>
    <s v="Allrounder"/>
    <s v="Middle Order"/>
    <n v="17"/>
    <n v="15"/>
    <n v="113.33"/>
    <s v="bowled"/>
    <n v="20"/>
    <n v="4"/>
    <n v="0"/>
    <n v="27"/>
    <n v="0"/>
    <n v="6.8"/>
    <n v="10"/>
    <n v="0"/>
    <n v="0"/>
    <n v="30"/>
    <n v="3"/>
    <s v="RCBW"/>
    <s v="MIW"/>
    <s v="Brabourne Stadium"/>
    <n v="188"/>
    <n v="9.4"/>
    <n v="45"/>
    <n v="54"/>
    <n v="38"/>
    <s v="Failed"/>
    <n v="0"/>
    <n v="15.9"/>
  </r>
  <r>
    <x v="64"/>
    <n v="3"/>
    <s v="P013"/>
    <x v="12"/>
    <x v="1"/>
    <s v="WK-Batter"/>
    <s v="Middle Order"/>
    <n v="4"/>
    <n v="4"/>
    <n v="100"/>
    <s v="caught"/>
    <n v="5"/>
    <n v="0"/>
    <n v="0"/>
    <n v="0"/>
    <n v="0"/>
    <n v="0"/>
    <n v="0"/>
    <n v="0"/>
    <n v="0"/>
    <n v="5"/>
    <n v="1"/>
    <s v="RCBW"/>
    <s v="MIW"/>
    <s v="Brabourne Stadium"/>
    <n v="188"/>
    <n v="9.4"/>
    <n v="45"/>
    <n v="54"/>
    <n v="38"/>
    <s v="Failed"/>
    <n v="0"/>
    <n v="2.8"/>
  </r>
  <r>
    <x v="64"/>
    <n v="3"/>
    <s v="P072"/>
    <x v="72"/>
    <x v="1"/>
    <s v="Allrounder"/>
    <s v="Middle Order"/>
    <n v="23"/>
    <n v="12"/>
    <n v="191.67"/>
    <s v="caught"/>
    <n v="35"/>
    <n v="0"/>
    <n v="0"/>
    <n v="0"/>
    <n v="0"/>
    <n v="0"/>
    <n v="0"/>
    <n v="0"/>
    <n v="0"/>
    <n v="35"/>
    <n v="4"/>
    <s v="RCBW"/>
    <s v="MIW"/>
    <s v="Brabourne Stadium"/>
    <n v="188"/>
    <n v="9.4"/>
    <n v="45"/>
    <n v="54"/>
    <n v="38"/>
    <s v="Failed"/>
    <n v="0"/>
    <n v="18.7"/>
  </r>
  <r>
    <x v="64"/>
    <n v="3"/>
    <s v="P105"/>
    <x v="108"/>
    <x v="1"/>
    <s v="WK-Batter"/>
    <s v="Middle Order"/>
    <n v="6"/>
    <n v="4"/>
    <n v="150"/>
    <s v="caught"/>
    <n v="10"/>
    <n v="0"/>
    <n v="0"/>
    <n v="0"/>
    <n v="0"/>
    <n v="0"/>
    <n v="0"/>
    <n v="0"/>
    <n v="0"/>
    <n v="10"/>
    <n v="1"/>
    <s v="RCBW"/>
    <s v="MIW"/>
    <s v="Brabourne Stadium"/>
    <n v="188"/>
    <n v="9.4"/>
    <n v="45"/>
    <n v="54"/>
    <n v="38"/>
    <s v="Failed"/>
    <n v="0"/>
    <n v="5.3"/>
  </r>
  <r>
    <x v="64"/>
    <n v="3"/>
    <s v="P102"/>
    <x v="103"/>
    <x v="1"/>
    <s v="Allrounder"/>
    <s v="Middle Order"/>
    <n v="10"/>
    <n v="4"/>
    <n v="250"/>
    <s v="caught"/>
    <n v="20"/>
    <n v="1"/>
    <n v="0"/>
    <n v="6"/>
    <n v="0"/>
    <n v="6"/>
    <n v="10"/>
    <n v="0"/>
    <n v="0"/>
    <n v="30"/>
    <n v="3"/>
    <s v="RCBW"/>
    <s v="MIW"/>
    <s v="Brabourne Stadium"/>
    <n v="188"/>
    <n v="9.4"/>
    <n v="45"/>
    <n v="54"/>
    <n v="38"/>
    <s v="Failed"/>
    <n v="0"/>
    <n v="15.9"/>
  </r>
  <r>
    <x v="64"/>
    <n v="3"/>
    <s v="P060"/>
    <x v="59"/>
    <x v="1"/>
    <s v="Bowler"/>
    <s v="Middle Order"/>
    <n v="4"/>
    <n v="1"/>
    <n v="400"/>
    <s v="not out"/>
    <n v="10"/>
    <n v="4"/>
    <n v="0"/>
    <n v="41"/>
    <n v="0"/>
    <n v="10.199999999999999"/>
    <n v="0"/>
    <n v="0"/>
    <n v="0"/>
    <n v="10"/>
    <n v="1"/>
    <s v="RCBW"/>
    <s v="MIW"/>
    <s v="Brabourne Stadium"/>
    <n v="188"/>
    <n v="9.4"/>
    <n v="45"/>
    <n v="54"/>
    <n v="38"/>
    <s v="Failed"/>
    <n v="0"/>
    <n v="5.3"/>
  </r>
  <r>
    <x v="64"/>
    <n v="3"/>
    <s v="P106"/>
    <x v="109"/>
    <x v="1"/>
    <s v="Bowler"/>
    <s v="Middle Order"/>
    <n v="0"/>
    <n v="1"/>
    <n v="0"/>
    <s v="not out"/>
    <n v="0"/>
    <n v="2"/>
    <n v="0"/>
    <n v="24"/>
    <n v="0"/>
    <n v="12"/>
    <n v="0"/>
    <n v="0"/>
    <n v="0"/>
    <n v="0"/>
    <n v="0"/>
    <s v="RCBW"/>
    <s v="MIW"/>
    <s v="Brabourne Stadium"/>
    <n v="188"/>
    <n v="9.4"/>
    <n v="45"/>
    <n v="54"/>
    <n v="38"/>
    <s v="Failed"/>
    <n v="0"/>
    <n v="0"/>
  </r>
  <r>
    <x v="65"/>
    <n v="3"/>
    <s v="P013"/>
    <x v="12"/>
    <x v="1"/>
    <s v="WK-Batter"/>
    <s v="Top Order"/>
    <n v="15"/>
    <n v="14"/>
    <n v="107.14"/>
    <s v="caught"/>
    <n v="20"/>
    <n v="0"/>
    <n v="0"/>
    <n v="0"/>
    <n v="0"/>
    <n v="0"/>
    <n v="0"/>
    <n v="0"/>
    <n v="0"/>
    <n v="20"/>
    <n v="2"/>
    <s v="MIW"/>
    <s v="GGTW"/>
    <s v="Brabourne Stadium"/>
    <n v="213"/>
    <n v="10.65"/>
    <n v="37"/>
    <n v="54"/>
    <n v="31"/>
    <s v="NA"/>
    <n v="1"/>
    <n v="30.6"/>
  </r>
  <r>
    <x v="65"/>
    <n v="3"/>
    <s v="P012"/>
    <x v="11"/>
    <x v="1"/>
    <s v="Allrounder"/>
    <s v="Opener"/>
    <n v="77"/>
    <n v="50"/>
    <n v="154"/>
    <s v="caught"/>
    <n v="95"/>
    <n v="3.2"/>
    <n v="0"/>
    <n v="31"/>
    <n v="3"/>
    <n v="9.3000000000000007"/>
    <n v="75"/>
    <n v="0"/>
    <n v="0"/>
    <n v="170"/>
    <n v="10"/>
    <s v="MIW"/>
    <s v="GGTW"/>
    <s v="Brabourne Stadium"/>
    <n v="213"/>
    <n v="10.65"/>
    <n v="37"/>
    <n v="54"/>
    <n v="31"/>
    <s v="NA"/>
    <n v="1"/>
    <n v="108"/>
  </r>
  <r>
    <x v="65"/>
    <n v="3"/>
    <s v="P015"/>
    <x v="14"/>
    <x v="1"/>
    <s v="Allrounder"/>
    <s v="Top Order"/>
    <n v="77"/>
    <n v="41"/>
    <n v="187.8"/>
    <s v="caught"/>
    <n v="100"/>
    <n v="4"/>
    <n v="0"/>
    <n v="31"/>
    <n v="1"/>
    <n v="7.8"/>
    <n v="35"/>
    <n v="0"/>
    <n v="0"/>
    <n v="135"/>
    <n v="10"/>
    <s v="MIW"/>
    <s v="GGTW"/>
    <s v="Brabourne Stadium"/>
    <n v="213"/>
    <n v="10.65"/>
    <n v="37"/>
    <n v="54"/>
    <n v="31"/>
    <s v="NA"/>
    <n v="1"/>
    <n v="90.5"/>
  </r>
  <r>
    <x v="65"/>
    <n v="3"/>
    <s v="P014"/>
    <x v="13"/>
    <x v="1"/>
    <s v="Allrounder"/>
    <s v="Middle Order"/>
    <n v="36"/>
    <n v="12"/>
    <n v="300"/>
    <s v="run out"/>
    <n v="55"/>
    <n v="0"/>
    <n v="0"/>
    <n v="0"/>
    <n v="0"/>
    <n v="0"/>
    <n v="0"/>
    <n v="0"/>
    <n v="0"/>
    <n v="55"/>
    <n v="6"/>
    <s v="MIW"/>
    <s v="GGTW"/>
    <s v="Brabourne Stadium"/>
    <n v="213"/>
    <n v="10.65"/>
    <n v="37"/>
    <n v="54"/>
    <n v="31"/>
    <s v="NA"/>
    <n v="1"/>
    <n v="49.3"/>
  </r>
  <r>
    <x v="65"/>
    <n v="3"/>
    <s v="P072"/>
    <x v="72"/>
    <x v="1"/>
    <s v="Allrounder"/>
    <s v="Middle Order"/>
    <n v="1"/>
    <n v="3"/>
    <n v="33.33"/>
    <s v="not out"/>
    <n v="6"/>
    <n v="0"/>
    <n v="0"/>
    <n v="0"/>
    <n v="0"/>
    <n v="0"/>
    <n v="0"/>
    <n v="0"/>
    <n v="0"/>
    <n v="6"/>
    <n v="1"/>
    <s v="MIW"/>
    <s v="GGTW"/>
    <s v="Brabourne Stadium"/>
    <n v="213"/>
    <n v="10.65"/>
    <n v="37"/>
    <n v="54"/>
    <n v="31"/>
    <s v="NA"/>
    <n v="1"/>
    <n v="23.3"/>
  </r>
  <r>
    <x v="65"/>
    <n v="3"/>
    <s v="P016"/>
    <x v="15"/>
    <x v="1"/>
    <s v="Allrounder"/>
    <s v="DNB"/>
    <n v="0"/>
    <n v="0"/>
    <n v="0"/>
    <s v="DNB"/>
    <n v="0"/>
    <n v="4"/>
    <n v="0"/>
    <n v="28"/>
    <n v="2"/>
    <n v="7"/>
    <n v="50"/>
    <n v="0"/>
    <n v="0"/>
    <n v="50"/>
    <n v="5"/>
    <s v="MIW"/>
    <s v="GGTW"/>
    <s v="Brabourne Stadium"/>
    <n v="213"/>
    <n v="10.65"/>
    <n v="37"/>
    <n v="54"/>
    <n v="31"/>
    <s v="NA"/>
    <n v="1"/>
    <n v="46.5"/>
  </r>
  <r>
    <x v="65"/>
    <n v="3"/>
    <s v="P017"/>
    <x v="16"/>
    <x v="1"/>
    <s v="Allrounder"/>
    <s v="DNB"/>
    <n v="0"/>
    <n v="0"/>
    <n v="0"/>
    <s v="DNB"/>
    <n v="0"/>
    <n v="3"/>
    <n v="0"/>
    <n v="32"/>
    <n v="0"/>
    <n v="10.7"/>
    <n v="-5"/>
    <n v="0"/>
    <n v="0"/>
    <n v="-5"/>
    <n v="0"/>
    <s v="MIW"/>
    <s v="GGTW"/>
    <s v="Brabourne Stadium"/>
    <n v="213"/>
    <n v="10.65"/>
    <n v="37"/>
    <n v="54"/>
    <n v="31"/>
    <s v="NA"/>
    <n v="1"/>
    <n v="20"/>
  </r>
  <r>
    <x v="65"/>
    <n v="3"/>
    <s v="P105"/>
    <x v="108"/>
    <x v="1"/>
    <s v="WK-Batter"/>
    <s v="DNB"/>
    <n v="0"/>
    <n v="0"/>
    <n v="0"/>
    <s v="DNB"/>
    <n v="0"/>
    <n v="0"/>
    <n v="0"/>
    <n v="0"/>
    <n v="0"/>
    <n v="0"/>
    <n v="0"/>
    <n v="0"/>
    <n v="0"/>
    <n v="0"/>
    <n v="0"/>
    <s v="MIW"/>
    <s v="GGTW"/>
    <s v="Brabourne Stadium"/>
    <n v="213"/>
    <n v="10.65"/>
    <n v="37"/>
    <n v="54"/>
    <n v="31"/>
    <s v="NA"/>
    <n v="1"/>
    <n v="20"/>
  </r>
  <r>
    <x v="65"/>
    <n v="3"/>
    <s v="P102"/>
    <x v="103"/>
    <x v="1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MIW"/>
    <s v="GGTW"/>
    <s v="Brabourne Stadium"/>
    <n v="213"/>
    <n v="10.65"/>
    <n v="37"/>
    <n v="54"/>
    <n v="31"/>
    <s v="NA"/>
    <n v="1"/>
    <n v="20"/>
  </r>
  <r>
    <x v="65"/>
    <n v="3"/>
    <s v="P060"/>
    <x v="59"/>
    <x v="1"/>
    <s v="Bowler"/>
    <s v="DNB"/>
    <n v="0"/>
    <n v="0"/>
    <n v="0"/>
    <s v="DNB"/>
    <n v="0"/>
    <n v="4"/>
    <n v="0"/>
    <n v="35"/>
    <n v="1"/>
    <n v="8.8000000000000007"/>
    <n v="25"/>
    <n v="0"/>
    <n v="0"/>
    <n v="25"/>
    <n v="3"/>
    <s v="MIW"/>
    <s v="GGTW"/>
    <s v="Brabourne Stadium"/>
    <n v="213"/>
    <n v="10.65"/>
    <n v="37"/>
    <n v="54"/>
    <n v="31"/>
    <s v="NA"/>
    <n v="1"/>
    <n v="33.4"/>
  </r>
  <r>
    <x v="65"/>
    <n v="3"/>
    <s v="P022"/>
    <x v="21"/>
    <x v="1"/>
    <s v="Bowler"/>
    <s v="DNB"/>
    <n v="0"/>
    <n v="0"/>
    <n v="0"/>
    <s v="DNB"/>
    <n v="0"/>
    <n v="1"/>
    <n v="0"/>
    <n v="8"/>
    <n v="0"/>
    <n v="8"/>
    <n v="0"/>
    <n v="0"/>
    <n v="0"/>
    <n v="0"/>
    <n v="0"/>
    <s v="MIW"/>
    <s v="GGTW"/>
    <s v="Brabourne Stadium"/>
    <n v="213"/>
    <n v="10.65"/>
    <n v="37"/>
    <n v="54"/>
    <n v="31"/>
    <s v="NA"/>
    <n v="1"/>
    <n v="20"/>
  </r>
  <r>
    <x v="65"/>
    <n v="3"/>
    <s v="P001"/>
    <x v="0"/>
    <x v="0"/>
    <s v="WK-Batter"/>
    <s v="Opener"/>
    <n v="6"/>
    <n v="5"/>
    <n v="120"/>
    <s v="caught"/>
    <n v="10"/>
    <n v="0"/>
    <n v="0"/>
    <n v="0"/>
    <n v="0"/>
    <n v="0"/>
    <n v="0"/>
    <n v="0"/>
    <n v="0"/>
    <n v="10"/>
    <n v="1"/>
    <s v="MIW"/>
    <s v="GGTW"/>
    <s v="Brabourne Stadium"/>
    <n v="166"/>
    <n v="8.59"/>
    <n v="46"/>
    <n v="21"/>
    <n v="44"/>
    <s v="Failed"/>
    <n v="0"/>
    <n v="5.3"/>
  </r>
  <r>
    <x v="65"/>
    <n v="3"/>
    <s v="P137"/>
    <x v="115"/>
    <x v="0"/>
    <s v="Allrounder"/>
    <s v="Top Order"/>
    <n v="34"/>
    <n v="24"/>
    <n v="141.66999999999999"/>
    <s v="run out"/>
    <n v="45"/>
    <n v="4"/>
    <n v="0"/>
    <n v="40"/>
    <n v="2"/>
    <n v="10"/>
    <n v="50"/>
    <n v="0"/>
    <n v="0"/>
    <n v="95"/>
    <n v="10"/>
    <s v="MIW"/>
    <s v="GGTW"/>
    <s v="Brabourne Stadium"/>
    <n v="166"/>
    <n v="8.59"/>
    <n v="46"/>
    <n v="21"/>
    <n v="44"/>
    <s v="Failed"/>
    <n v="0"/>
    <n v="50.5"/>
  </r>
  <r>
    <x v="65"/>
    <n v="3"/>
    <s v="P003"/>
    <x v="2"/>
    <x v="0"/>
    <s v="Allrounder"/>
    <s v="Top Order"/>
    <n v="8"/>
    <n v="9"/>
    <n v="88.89"/>
    <s v="run out"/>
    <n v="10"/>
    <n v="0"/>
    <n v="0"/>
    <n v="0"/>
    <n v="0"/>
    <n v="0"/>
    <n v="0"/>
    <n v="0"/>
    <n v="0"/>
    <n v="10"/>
    <n v="1"/>
    <s v="MIW"/>
    <s v="GGTW"/>
    <s v="Brabourne Stadium"/>
    <n v="166"/>
    <n v="8.59"/>
    <n v="46"/>
    <n v="21"/>
    <n v="44"/>
    <s v="Failed"/>
    <n v="0"/>
    <n v="5.3"/>
  </r>
  <r>
    <x v="65"/>
    <n v="3"/>
    <s v="P004"/>
    <x v="3"/>
    <x v="0"/>
    <s v="Allrounder"/>
    <s v="Top Order"/>
    <n v="8"/>
    <n v="4"/>
    <n v="200"/>
    <s v="bowled"/>
    <n v="20"/>
    <n v="2"/>
    <n v="0"/>
    <n v="15"/>
    <n v="0"/>
    <n v="7.5"/>
    <n v="10"/>
    <n v="0"/>
    <n v="0"/>
    <n v="30"/>
    <n v="3"/>
    <s v="MIW"/>
    <s v="GGTW"/>
    <s v="Brabourne Stadium"/>
    <n v="166"/>
    <n v="8.59"/>
    <n v="46"/>
    <n v="21"/>
    <n v="44"/>
    <s v="Failed"/>
    <n v="0"/>
    <n v="15.9"/>
  </r>
  <r>
    <x v="65"/>
    <n v="3"/>
    <s v="P078"/>
    <x v="79"/>
    <x v="0"/>
    <s v="Batter"/>
    <s v="Middle Order"/>
    <n v="31"/>
    <n v="20"/>
    <n v="155"/>
    <s v="stumped"/>
    <n v="45"/>
    <n v="0"/>
    <n v="0"/>
    <n v="0"/>
    <n v="0"/>
    <n v="0"/>
    <n v="0"/>
    <n v="0"/>
    <n v="0"/>
    <n v="45"/>
    <n v="5"/>
    <s v="MIW"/>
    <s v="GGTW"/>
    <s v="Brabourne Stadium"/>
    <n v="166"/>
    <n v="8.59"/>
    <n v="46"/>
    <n v="21"/>
    <n v="44"/>
    <s v="Failed"/>
    <n v="0"/>
    <n v="24"/>
  </r>
  <r>
    <x v="65"/>
    <n v="3"/>
    <s v="P093"/>
    <x v="93"/>
    <x v="0"/>
    <s v="Batter"/>
    <s v="Middle Order"/>
    <n v="30"/>
    <n v="20"/>
    <n v="150"/>
    <s v="bowled"/>
    <n v="40"/>
    <n v="0"/>
    <n v="0"/>
    <n v="0"/>
    <n v="0"/>
    <n v="0"/>
    <n v="0"/>
    <n v="0"/>
    <n v="0"/>
    <n v="40"/>
    <n v="4"/>
    <s v="MIW"/>
    <s v="GGTW"/>
    <s v="Brabourne Stadium"/>
    <n v="166"/>
    <n v="8.59"/>
    <n v="46"/>
    <n v="21"/>
    <n v="44"/>
    <s v="Failed"/>
    <n v="0"/>
    <n v="21.2"/>
  </r>
  <r>
    <x v="65"/>
    <n v="3"/>
    <s v="P098"/>
    <x v="98"/>
    <x v="0"/>
    <s v="Allrounder"/>
    <s v="Middle Order"/>
    <n v="4"/>
    <n v="6"/>
    <n v="66.67"/>
    <s v="run out"/>
    <n v="-5"/>
    <n v="4"/>
    <n v="0"/>
    <n v="30"/>
    <n v="1"/>
    <n v="7.5"/>
    <n v="35"/>
    <n v="0"/>
    <n v="0"/>
    <n v="30"/>
    <n v="3"/>
    <s v="MIW"/>
    <s v="GGTW"/>
    <s v="Brabourne Stadium"/>
    <n v="166"/>
    <n v="8.59"/>
    <n v="46"/>
    <n v="21"/>
    <n v="44"/>
    <s v="Failed"/>
    <n v="0"/>
    <n v="15.9"/>
  </r>
  <r>
    <x v="65"/>
    <n v="3"/>
    <s v="P050"/>
    <x v="49"/>
    <x v="0"/>
    <s v="Batter"/>
    <s v="Middle Order"/>
    <n v="17"/>
    <n v="8"/>
    <n v="212.5"/>
    <s v="caught"/>
    <n v="30"/>
    <n v="0"/>
    <n v="0"/>
    <n v="0"/>
    <n v="0"/>
    <n v="0"/>
    <n v="0"/>
    <n v="0"/>
    <n v="0"/>
    <n v="30"/>
    <n v="3"/>
    <s v="MIW"/>
    <s v="GGTW"/>
    <s v="Brabourne Stadium"/>
    <n v="166"/>
    <n v="8.59"/>
    <n v="46"/>
    <n v="21"/>
    <n v="44"/>
    <s v="Failed"/>
    <n v="0"/>
    <n v="15.9"/>
  </r>
  <r>
    <x v="65"/>
    <n v="3"/>
    <s v="P009"/>
    <x v="8"/>
    <x v="0"/>
    <s v="Bowler"/>
    <s v="Middle Order"/>
    <n v="16"/>
    <n v="12"/>
    <n v="133.33000000000001"/>
    <s v="caught"/>
    <n v="25"/>
    <n v="4"/>
    <n v="0"/>
    <n v="49"/>
    <n v="0"/>
    <n v="12.2"/>
    <n v="-10"/>
    <n v="0"/>
    <n v="0"/>
    <n v="15"/>
    <n v="2"/>
    <s v="MIW"/>
    <s v="GGTW"/>
    <s v="Brabourne Stadium"/>
    <n v="166"/>
    <n v="8.59"/>
    <n v="46"/>
    <n v="21"/>
    <n v="44"/>
    <s v="Failed"/>
    <n v="0"/>
    <n v="8.1"/>
  </r>
  <r>
    <x v="65"/>
    <n v="3"/>
    <s v="P081"/>
    <x v="82"/>
    <x v="0"/>
    <s v="Allrounder"/>
    <s v="Middle Order"/>
    <n v="5"/>
    <n v="5"/>
    <n v="100"/>
    <s v="caught"/>
    <n v="5"/>
    <n v="3"/>
    <n v="0"/>
    <n v="35"/>
    <n v="0"/>
    <n v="11.7"/>
    <n v="-10"/>
    <n v="0"/>
    <n v="0"/>
    <n v="-5"/>
    <n v="0"/>
    <s v="MIW"/>
    <s v="GGTW"/>
    <s v="Brabourne Stadium"/>
    <n v="166"/>
    <n v="8.59"/>
    <n v="46"/>
    <n v="21"/>
    <n v="44"/>
    <s v="Failed"/>
    <n v="0"/>
    <n v="0"/>
  </r>
  <r>
    <x v="65"/>
    <n v="3"/>
    <s v="P099"/>
    <x v="97"/>
    <x v="0"/>
    <s v="Bowler"/>
    <s v="Middle Order"/>
    <n v="0"/>
    <n v="3"/>
    <n v="0"/>
    <s v="not out"/>
    <n v="0"/>
    <n v="3"/>
    <n v="0"/>
    <n v="40"/>
    <n v="0"/>
    <n v="13.3"/>
    <n v="-10"/>
    <n v="0"/>
    <n v="0"/>
    <n v="-10"/>
    <n v="0"/>
    <s v="MIW"/>
    <s v="GGTW"/>
    <s v="Brabourne Stadium"/>
    <n v="166"/>
    <n v="8.59"/>
    <n v="46"/>
    <n v="21"/>
    <n v="44"/>
    <s v="Failed"/>
    <n v="0"/>
    <n v="0"/>
  </r>
  <r>
    <x v="66"/>
    <n v="3"/>
    <s v="P013"/>
    <x v="12"/>
    <x v="1"/>
    <s v="WK-Batter"/>
    <s v="Opener"/>
    <n v="8"/>
    <n v="14"/>
    <n v="57.14"/>
    <s v="caught"/>
    <n v="5"/>
    <n v="0"/>
    <n v="0"/>
    <n v="0"/>
    <n v="0"/>
    <n v="0"/>
    <n v="0"/>
    <n v="0"/>
    <n v="0"/>
    <n v="5"/>
    <n v="1"/>
    <s v="MIW"/>
    <s v="DCW"/>
    <s v="Brabourne Stadium"/>
    <n v="149"/>
    <n v="7.45"/>
    <n v="20"/>
    <n v="37"/>
    <n v="42"/>
    <s v="NA"/>
    <n v="1"/>
    <n v="22.8"/>
  </r>
  <r>
    <x v="66"/>
    <n v="3"/>
    <s v="P012"/>
    <x v="11"/>
    <x v="1"/>
    <s v="Allrounder"/>
    <s v="Opener"/>
    <n v="3"/>
    <n v="10"/>
    <n v="30"/>
    <s v="bowled"/>
    <n v="-2"/>
    <n v="4"/>
    <n v="0"/>
    <n v="37"/>
    <n v="1"/>
    <n v="9.1999999999999993"/>
    <n v="25"/>
    <n v="0"/>
    <n v="0"/>
    <n v="23"/>
    <n v="2"/>
    <s v="MIW"/>
    <s v="DCW"/>
    <s v="Brabourne Stadium"/>
    <n v="149"/>
    <n v="7.45"/>
    <n v="20"/>
    <n v="37"/>
    <n v="42"/>
    <s v="NA"/>
    <n v="1"/>
    <n v="32.1"/>
  </r>
  <r>
    <x v="66"/>
    <n v="3"/>
    <s v="P015"/>
    <x v="14"/>
    <x v="1"/>
    <s v="Allrounder"/>
    <s v="Top Order"/>
    <n v="30"/>
    <n v="28"/>
    <n v="107.14"/>
    <s v="caught"/>
    <n v="30"/>
    <n v="4"/>
    <n v="0"/>
    <n v="30"/>
    <n v="3"/>
    <n v="7.5"/>
    <n v="75"/>
    <n v="0"/>
    <n v="0"/>
    <n v="105"/>
    <n v="10"/>
    <s v="MIW"/>
    <s v="DCW"/>
    <s v="Brabourne Stadium"/>
    <n v="149"/>
    <n v="7.45"/>
    <n v="20"/>
    <n v="37"/>
    <n v="42"/>
    <s v="NA"/>
    <n v="1"/>
    <n v="75.5"/>
  </r>
  <r>
    <x v="66"/>
    <n v="3"/>
    <s v="P014"/>
    <x v="13"/>
    <x v="1"/>
    <s v="Allrounder"/>
    <s v="Middle Order"/>
    <n v="66"/>
    <n v="44"/>
    <n v="150"/>
    <s v="caught"/>
    <n v="85"/>
    <n v="0"/>
    <n v="0"/>
    <n v="0"/>
    <n v="0"/>
    <n v="0"/>
    <n v="0"/>
    <n v="0"/>
    <n v="0"/>
    <n v="85"/>
    <n v="9"/>
    <s v="MIW"/>
    <s v="DCW"/>
    <s v="Brabourne Stadium"/>
    <n v="149"/>
    <n v="7.45"/>
    <n v="20"/>
    <n v="37"/>
    <n v="42"/>
    <s v="NA"/>
    <n v="1"/>
    <n v="65.2"/>
  </r>
  <r>
    <x v="66"/>
    <n v="3"/>
    <s v="P016"/>
    <x v="15"/>
    <x v="1"/>
    <s v="Allrounder"/>
    <s v="Middle Order"/>
    <n v="2"/>
    <n v="3"/>
    <n v="66.67"/>
    <s v="caught"/>
    <n v="2"/>
    <n v="4"/>
    <n v="0"/>
    <n v="25"/>
    <n v="2"/>
    <n v="6.2"/>
    <n v="60"/>
    <n v="0"/>
    <n v="0"/>
    <n v="62"/>
    <n v="6"/>
    <s v="MIW"/>
    <s v="DCW"/>
    <s v="Brabourne Stadium"/>
    <n v="149"/>
    <n v="7.45"/>
    <n v="20"/>
    <n v="37"/>
    <n v="42"/>
    <s v="NA"/>
    <n v="1"/>
    <n v="52.8"/>
  </r>
  <r>
    <x v="66"/>
    <n v="3"/>
    <s v="P072"/>
    <x v="72"/>
    <x v="1"/>
    <s v="Allrounder"/>
    <s v="Middle Order"/>
    <n v="0"/>
    <n v="2"/>
    <n v="0"/>
    <s v="lbw"/>
    <n v="0"/>
    <n v="0"/>
    <n v="0"/>
    <n v="0"/>
    <n v="0"/>
    <n v="0"/>
    <n v="0"/>
    <n v="0"/>
    <n v="0"/>
    <n v="0"/>
    <n v="0"/>
    <s v="MIW"/>
    <s v="DCW"/>
    <s v="Brabourne Stadium"/>
    <n v="149"/>
    <n v="7.45"/>
    <n v="20"/>
    <n v="37"/>
    <n v="42"/>
    <s v="NA"/>
    <n v="1"/>
    <n v="20"/>
  </r>
  <r>
    <x v="66"/>
    <n v="3"/>
    <s v="P105"/>
    <x v="108"/>
    <x v="1"/>
    <s v="WK-Batter"/>
    <s v="Middle Order"/>
    <n v="10"/>
    <n v="7"/>
    <n v="142.86000000000001"/>
    <s v="stumped"/>
    <n v="15"/>
    <n v="0"/>
    <n v="0"/>
    <n v="0"/>
    <n v="0"/>
    <n v="0"/>
    <n v="0"/>
    <n v="0"/>
    <n v="0"/>
    <n v="15"/>
    <n v="2"/>
    <s v="MIW"/>
    <s v="DCW"/>
    <s v="Brabourne Stadium"/>
    <n v="149"/>
    <n v="7.45"/>
    <n v="20"/>
    <n v="37"/>
    <n v="42"/>
    <s v="NA"/>
    <n v="1"/>
    <n v="28.1"/>
  </r>
  <r>
    <x v="66"/>
    <n v="3"/>
    <s v="P017"/>
    <x v="16"/>
    <x v="1"/>
    <s v="Allrounder"/>
    <s v="Middle Order"/>
    <n v="14"/>
    <n v="7"/>
    <n v="200"/>
    <s v="not out"/>
    <n v="25"/>
    <n v="0"/>
    <n v="0"/>
    <n v="0"/>
    <n v="0"/>
    <n v="0"/>
    <n v="0"/>
    <n v="0"/>
    <n v="0"/>
    <n v="25"/>
    <n v="3"/>
    <s v="MIW"/>
    <s v="DCW"/>
    <s v="Brabourne Stadium"/>
    <n v="149"/>
    <n v="7.45"/>
    <n v="20"/>
    <n v="37"/>
    <n v="42"/>
    <s v="NA"/>
    <n v="1"/>
    <n v="33.4"/>
  </r>
  <r>
    <x v="66"/>
    <n v="3"/>
    <s v="P102"/>
    <x v="103"/>
    <x v="1"/>
    <s v="Allrounder"/>
    <s v="Middle Order"/>
    <n v="8"/>
    <n v="5"/>
    <n v="160"/>
    <s v="not out"/>
    <n v="15"/>
    <n v="0"/>
    <n v="0"/>
    <n v="0"/>
    <n v="0"/>
    <n v="0"/>
    <n v="0"/>
    <n v="0"/>
    <n v="0"/>
    <n v="15"/>
    <n v="2"/>
    <s v="MIW"/>
    <s v="DCW"/>
    <s v="Brabourne Stadium"/>
    <n v="149"/>
    <n v="7.45"/>
    <n v="20"/>
    <n v="37"/>
    <n v="42"/>
    <s v="NA"/>
    <n v="1"/>
    <n v="28.1"/>
  </r>
  <r>
    <x v="66"/>
    <n v="3"/>
    <s v="P060"/>
    <x v="59"/>
    <x v="1"/>
    <s v="Bowler"/>
    <s v="DNB"/>
    <n v="0"/>
    <n v="0"/>
    <n v="0"/>
    <s v="DNB"/>
    <n v="0"/>
    <n v="4"/>
    <n v="0"/>
    <n v="15"/>
    <n v="1"/>
    <n v="3.8"/>
    <n v="40"/>
    <n v="0"/>
    <n v="0"/>
    <n v="40"/>
    <n v="4"/>
    <s v="MIW"/>
    <s v="DCW"/>
    <s v="Brabourne Stadium"/>
    <n v="149"/>
    <n v="7.45"/>
    <n v="20"/>
    <n v="37"/>
    <n v="42"/>
    <s v="NA"/>
    <n v="1"/>
    <n v="41.2"/>
  </r>
  <r>
    <x v="66"/>
    <n v="3"/>
    <s v="P022"/>
    <x v="21"/>
    <x v="1"/>
    <s v="Bowler"/>
    <s v="DNB"/>
    <n v="0"/>
    <n v="0"/>
    <n v="0"/>
    <s v="DNB"/>
    <n v="0"/>
    <n v="4"/>
    <n v="0"/>
    <n v="33"/>
    <n v="1"/>
    <n v="8.1999999999999993"/>
    <n v="25"/>
    <n v="0"/>
    <n v="0"/>
    <n v="25"/>
    <n v="3"/>
    <s v="MIW"/>
    <s v="DCW"/>
    <s v="Brabourne Stadium"/>
    <n v="149"/>
    <n v="7.45"/>
    <n v="20"/>
    <n v="37"/>
    <n v="42"/>
    <s v="NA"/>
    <n v="1"/>
    <n v="33.4"/>
  </r>
  <r>
    <x v="66"/>
    <n v="3"/>
    <s v="P035"/>
    <x v="34"/>
    <x v="3"/>
    <s v="Batter"/>
    <s v="Opener"/>
    <n v="13"/>
    <n v="9"/>
    <n v="144.44"/>
    <s v="bowled"/>
    <n v="20"/>
    <n v="0"/>
    <n v="0"/>
    <n v="0"/>
    <n v="0"/>
    <n v="0"/>
    <n v="0"/>
    <n v="0"/>
    <n v="0"/>
    <n v="20"/>
    <n v="2"/>
    <s v="MIW"/>
    <s v="DCW"/>
    <s v="Brabourne Stadium"/>
    <n v="141"/>
    <n v="7.05"/>
    <n v="37"/>
    <n v="26"/>
    <n v="42"/>
    <s v="Failed"/>
    <n v="0"/>
    <n v="10.6"/>
  </r>
  <r>
    <x v="66"/>
    <n v="3"/>
    <s v="P034"/>
    <x v="33"/>
    <x v="3"/>
    <s v="Batter"/>
    <s v="Opener"/>
    <n v="4"/>
    <n v="9"/>
    <n v="44.44"/>
    <s v="lbw"/>
    <n v="-5"/>
    <n v="0"/>
    <n v="0"/>
    <n v="0"/>
    <n v="0"/>
    <n v="0"/>
    <n v="0"/>
    <n v="0"/>
    <n v="0"/>
    <n v="-5"/>
    <n v="0"/>
    <s v="MIW"/>
    <s v="DCW"/>
    <s v="Brabourne Stadium"/>
    <n v="141"/>
    <n v="7.05"/>
    <n v="37"/>
    <n v="26"/>
    <n v="42"/>
    <s v="Failed"/>
    <n v="0"/>
    <n v="0"/>
  </r>
  <r>
    <x v="66"/>
    <n v="3"/>
    <s v="P039"/>
    <x v="38"/>
    <x v="3"/>
    <s v="Allrounder"/>
    <s v="Top Order"/>
    <n v="13"/>
    <n v="15"/>
    <n v="86.67"/>
    <s v="caught"/>
    <n v="10"/>
    <n v="3"/>
    <n v="0"/>
    <n v="26"/>
    <n v="2"/>
    <n v="8.6999999999999993"/>
    <n v="50"/>
    <n v="0"/>
    <n v="0"/>
    <n v="60"/>
    <n v="6"/>
    <s v="MIW"/>
    <s v="DCW"/>
    <s v="Brabourne Stadium"/>
    <n v="141"/>
    <n v="7.05"/>
    <n v="37"/>
    <n v="26"/>
    <n v="42"/>
    <s v="Failed"/>
    <n v="0"/>
    <n v="31.8"/>
  </r>
  <r>
    <x v="66"/>
    <n v="3"/>
    <s v="P037"/>
    <x v="36"/>
    <x v="3"/>
    <s v="Batter"/>
    <s v="Top Order"/>
    <n v="30"/>
    <n v="21"/>
    <n v="142.86000000000001"/>
    <s v="caught"/>
    <n v="40"/>
    <n v="0"/>
    <n v="0"/>
    <n v="0"/>
    <n v="0"/>
    <n v="0"/>
    <n v="0"/>
    <n v="0"/>
    <n v="0"/>
    <n v="40"/>
    <n v="4"/>
    <s v="MIW"/>
    <s v="DCW"/>
    <s v="Brabourne Stadium"/>
    <n v="141"/>
    <n v="7.05"/>
    <n v="37"/>
    <n v="26"/>
    <n v="42"/>
    <s v="Failed"/>
    <n v="0"/>
    <n v="21.2"/>
  </r>
  <r>
    <x v="66"/>
    <n v="3"/>
    <s v="P005"/>
    <x v="4"/>
    <x v="3"/>
    <s v="Allrounder"/>
    <s v="Middle Order"/>
    <n v="2"/>
    <n v="5"/>
    <n v="40"/>
    <s v="stumped"/>
    <n v="-5"/>
    <n v="4"/>
    <n v="0"/>
    <n v="29"/>
    <n v="1"/>
    <n v="7.2"/>
    <n v="25"/>
    <n v="0"/>
    <n v="0"/>
    <n v="20"/>
    <n v="2"/>
    <s v="MIW"/>
    <s v="DCW"/>
    <s v="Brabourne Stadium"/>
    <n v="141"/>
    <n v="7.05"/>
    <n v="37"/>
    <n v="26"/>
    <n v="42"/>
    <s v="Failed"/>
    <n v="0"/>
    <n v="10.6"/>
  </r>
  <r>
    <x v="66"/>
    <n v="3"/>
    <s v="P036"/>
    <x v="35"/>
    <x v="3"/>
    <s v="Allrounder"/>
    <s v="Middle Order"/>
    <n v="40"/>
    <n v="26"/>
    <n v="153.85"/>
    <s v="caught"/>
    <n v="60"/>
    <n v="4"/>
    <n v="0"/>
    <n v="11"/>
    <n v="2"/>
    <n v="2.8"/>
    <n v="65"/>
    <n v="0"/>
    <n v="0"/>
    <n v="125"/>
    <n v="10"/>
    <s v="MIW"/>
    <s v="DCW"/>
    <s v="Brabourne Stadium"/>
    <n v="141"/>
    <n v="7.05"/>
    <n v="37"/>
    <n v="26"/>
    <n v="42"/>
    <s v="Failed"/>
    <n v="0"/>
    <n v="65.5"/>
  </r>
  <r>
    <x v="66"/>
    <n v="3"/>
    <s v="P101"/>
    <x v="105"/>
    <x v="3"/>
    <s v="WK-Batter"/>
    <s v="Middle Order"/>
    <n v="5"/>
    <n v="5"/>
    <n v="100"/>
    <s v="run out"/>
    <n v="5"/>
    <n v="0"/>
    <n v="0"/>
    <n v="0"/>
    <n v="0"/>
    <n v="0"/>
    <n v="0"/>
    <n v="0"/>
    <n v="0"/>
    <n v="5"/>
    <n v="1"/>
    <s v="MIW"/>
    <s v="DCW"/>
    <s v="Brabourne Stadium"/>
    <n v="141"/>
    <n v="7.05"/>
    <n v="37"/>
    <n v="26"/>
    <n v="42"/>
    <s v="Failed"/>
    <n v="0"/>
    <n v="2.8"/>
  </r>
  <r>
    <x v="66"/>
    <n v="3"/>
    <s v="P100"/>
    <x v="104"/>
    <x v="3"/>
    <s v="Allrounder"/>
    <s v="Middle Order"/>
    <n v="25"/>
    <n v="23"/>
    <n v="108.7"/>
    <s v="not out"/>
    <n v="30"/>
    <n v="0"/>
    <n v="0"/>
    <n v="0"/>
    <n v="0"/>
    <n v="0"/>
    <n v="0"/>
    <n v="0"/>
    <n v="0"/>
    <n v="30"/>
    <n v="3"/>
    <s v="MIW"/>
    <s v="DCW"/>
    <s v="Brabourne Stadium"/>
    <n v="141"/>
    <n v="7.05"/>
    <n v="37"/>
    <n v="26"/>
    <n v="42"/>
    <s v="Failed"/>
    <n v="0"/>
    <n v="15.9"/>
  </r>
  <r>
    <x v="66"/>
    <n v="3"/>
    <s v="P042"/>
    <x v="41"/>
    <x v="3"/>
    <s v="Allrounder"/>
    <s v="Middle Order"/>
    <n v="0"/>
    <n v="1"/>
    <n v="0"/>
    <s v="bowled"/>
    <n v="0"/>
    <n v="4"/>
    <n v="0"/>
    <n v="29"/>
    <n v="0"/>
    <n v="7.2"/>
    <n v="5"/>
    <n v="0"/>
    <n v="0"/>
    <n v="5"/>
    <n v="1"/>
    <s v="MIW"/>
    <s v="DCW"/>
    <s v="Brabourne Stadium"/>
    <n v="141"/>
    <n v="7.05"/>
    <n v="37"/>
    <n v="26"/>
    <n v="42"/>
    <s v="Failed"/>
    <n v="0"/>
    <n v="2.8"/>
  </r>
  <r>
    <x v="66"/>
    <n v="3"/>
    <s v="P062"/>
    <x v="61"/>
    <x v="3"/>
    <s v="Allrounder"/>
    <s v="Middle Order"/>
    <n v="4"/>
    <n v="2"/>
    <n v="200"/>
    <s v="caught"/>
    <n v="10"/>
    <n v="1"/>
    <n v="0"/>
    <n v="10"/>
    <n v="0"/>
    <n v="10"/>
    <n v="0"/>
    <n v="0"/>
    <n v="0"/>
    <n v="10"/>
    <n v="1"/>
    <s v="MIW"/>
    <s v="DCW"/>
    <s v="Brabourne Stadium"/>
    <n v="141"/>
    <n v="7.05"/>
    <n v="37"/>
    <n v="26"/>
    <n v="42"/>
    <s v="Failed"/>
    <n v="0"/>
    <n v="5.3"/>
  </r>
  <r>
    <x v="66"/>
    <n v="3"/>
    <s v="P108"/>
    <x v="111"/>
    <x v="3"/>
    <s v="Bowler"/>
    <s v="Middle Order"/>
    <n v="3"/>
    <n v="4"/>
    <n v="75"/>
    <s v="not out"/>
    <n v="3"/>
    <n v="4"/>
    <n v="0"/>
    <n v="43"/>
    <n v="2"/>
    <n v="10.8"/>
    <n v="50"/>
    <n v="0"/>
    <n v="0"/>
    <n v="53"/>
    <n v="5"/>
    <s v="MIW"/>
    <s v="DCW"/>
    <s v="Brabourne Stadium"/>
    <n v="141"/>
    <n v="7.05"/>
    <n v="37"/>
    <n v="26"/>
    <n v="42"/>
    <s v="Failed"/>
    <n v="0"/>
    <n v="28"/>
  </r>
  <r>
    <x v="22"/>
    <m/>
    <m/>
    <x v="71"/>
    <x v="5"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"/>
    <n v="20"/>
  </r>
  <r>
    <x v="67"/>
    <n v="4"/>
    <s v="P016"/>
    <x v="15"/>
    <x v="1"/>
    <s v="Allrounder"/>
    <s v="Top Order"/>
    <n v="4"/>
    <n v="15"/>
    <n v="26.67"/>
    <s v="caught"/>
    <n v="-5"/>
    <n v="4"/>
    <n v="0"/>
    <n v="13"/>
    <n v="2"/>
    <n v="3.2"/>
    <n v="65"/>
    <n v="0"/>
    <n v="0"/>
    <n v="60"/>
    <n v="6"/>
    <s v="RCBW"/>
    <s v="RCBW"/>
    <s v="Dr DY Patil Sports "/>
    <n v="154"/>
    <n v="7.7"/>
    <n v="34"/>
    <n v="42"/>
    <n v="54"/>
    <s v="NA"/>
    <n v="0"/>
    <n v="31.8"/>
  </r>
  <r>
    <x v="67"/>
    <n v="4"/>
    <s v="P105"/>
    <x v="108"/>
    <x v="1"/>
    <s v="WK-Batter"/>
    <s v="Top Order"/>
    <n v="32"/>
    <n v="28"/>
    <n v="114.29"/>
    <s v="bowled"/>
    <n v="35"/>
    <n v="0"/>
    <n v="0"/>
    <n v="0"/>
    <n v="0"/>
    <n v="0"/>
    <n v="0"/>
    <n v="0"/>
    <n v="0"/>
    <n v="35"/>
    <n v="4"/>
    <s v="RCBW"/>
    <s v="RCBW"/>
    <s v="Dr DY Patil Sports "/>
    <n v="154"/>
    <n v="7.7"/>
    <n v="34"/>
    <n v="42"/>
    <n v="54"/>
    <s v="NA"/>
    <n v="0"/>
    <n v="18.7"/>
  </r>
  <r>
    <x v="67"/>
    <n v="4"/>
    <s v="P015"/>
    <x v="14"/>
    <x v="1"/>
    <s v="Allrounder"/>
    <s v="Top Order"/>
    <n v="4"/>
    <n v="3"/>
    <n v="133.33000000000001"/>
    <s v="stumped"/>
    <n v="10"/>
    <n v="4"/>
    <n v="0"/>
    <n v="47"/>
    <n v="1"/>
    <n v="11.8"/>
    <n v="25"/>
    <n v="0"/>
    <n v="0"/>
    <n v="35"/>
    <n v="4"/>
    <s v="RCBW"/>
    <s v="RCBW"/>
    <s v="Dr DY Patil Sports "/>
    <n v="154"/>
    <n v="7.7"/>
    <n v="34"/>
    <n v="42"/>
    <n v="54"/>
    <s v="NA"/>
    <n v="0"/>
    <n v="18.7"/>
  </r>
  <r>
    <x v="67"/>
    <n v="4"/>
    <s v="P014"/>
    <x v="13"/>
    <x v="1"/>
    <s v="Allrounder"/>
    <s v="Middle Order"/>
    <n v="20"/>
    <n v="17"/>
    <n v="117.65"/>
    <s v="caught"/>
    <n v="20"/>
    <n v="0"/>
    <n v="0"/>
    <n v="0"/>
    <n v="0"/>
    <n v="0"/>
    <n v="0"/>
    <n v="0"/>
    <n v="0"/>
    <n v="20"/>
    <n v="2"/>
    <s v="RCBW"/>
    <s v="RCBW"/>
    <s v="Dr DY Patil Sports "/>
    <n v="154"/>
    <n v="7.7"/>
    <n v="34"/>
    <n v="42"/>
    <n v="54"/>
    <s v="NA"/>
    <n v="0"/>
    <n v="10.6"/>
  </r>
  <r>
    <x v="67"/>
    <n v="4"/>
    <s v="P112"/>
    <x v="116"/>
    <x v="1"/>
    <s v="Allrounder"/>
    <s v="Middle Order"/>
    <n v="40"/>
    <n v="29"/>
    <n v="137.93"/>
    <s v="caught"/>
    <n v="50"/>
    <n v="4"/>
    <n v="0"/>
    <n v="35"/>
    <n v="2"/>
    <n v="8.8000000000000007"/>
    <n v="50"/>
    <n v="0"/>
    <n v="0"/>
    <n v="100"/>
    <n v="10"/>
    <s v="RCBW"/>
    <s v="RCBW"/>
    <s v="Dr DY Patil Sports "/>
    <n v="154"/>
    <n v="7.7"/>
    <n v="34"/>
    <n v="42"/>
    <n v="54"/>
    <s v="NA"/>
    <n v="0"/>
    <n v="53"/>
  </r>
  <r>
    <x v="67"/>
    <n v="4"/>
    <s v="P072"/>
    <x v="72"/>
    <x v="1"/>
    <s v="Allrounder"/>
    <s v="Middle Order"/>
    <n v="45"/>
    <n v="25"/>
    <n v="180"/>
    <s v="caught"/>
    <n v="65"/>
    <n v="0"/>
    <n v="0"/>
    <n v="0"/>
    <n v="0"/>
    <n v="0"/>
    <n v="0"/>
    <n v="0"/>
    <n v="0"/>
    <n v="65"/>
    <n v="7"/>
    <s v="RCBW"/>
    <s v="RCBW"/>
    <s v="Dr DY Patil Sports "/>
    <n v="154"/>
    <n v="7.7"/>
    <n v="34"/>
    <n v="42"/>
    <n v="54"/>
    <s v="NA"/>
    <n v="0"/>
    <n v="34.6"/>
  </r>
  <r>
    <x v="67"/>
    <n v="4"/>
    <s v="P017"/>
    <x v="16"/>
    <x v="1"/>
    <s v="Allrounder"/>
    <s v="Middle Order"/>
    <n v="0"/>
    <n v="2"/>
    <n v="0"/>
    <s v="not out"/>
    <n v="5"/>
    <n v="3"/>
    <n v="0"/>
    <n v="18"/>
    <n v="1"/>
    <n v="6"/>
    <n v="35"/>
    <n v="0"/>
    <n v="0"/>
    <n v="40"/>
    <n v="4"/>
    <s v="RCBW"/>
    <s v="RCBW"/>
    <s v="Dr DY Patil Sports "/>
    <n v="154"/>
    <n v="7.7"/>
    <n v="34"/>
    <n v="42"/>
    <n v="54"/>
    <s v="NA"/>
    <n v="0"/>
    <n v="21.2"/>
  </r>
  <r>
    <x v="67"/>
    <n v="4"/>
    <s v="P061"/>
    <x v="60"/>
    <x v="1"/>
    <s v="Allrounder"/>
    <s v="Middle Order"/>
    <n v="0"/>
    <n v="1"/>
    <n v="0"/>
    <s v="not out"/>
    <n v="5"/>
    <n v="0"/>
    <n v="0"/>
    <n v="0"/>
    <n v="0"/>
    <n v="0"/>
    <n v="0"/>
    <n v="0"/>
    <n v="0"/>
    <n v="5"/>
    <n v="1"/>
    <s v="RCBW"/>
    <s v="RCBW"/>
    <s v="Dr DY Patil Sports "/>
    <n v="154"/>
    <n v="7.7"/>
    <n v="34"/>
    <n v="42"/>
    <n v="54"/>
    <s v="NA"/>
    <n v="0"/>
    <n v="2.8"/>
  </r>
  <r>
    <x v="67"/>
    <n v="4"/>
    <s v="P060"/>
    <x v="59"/>
    <x v="1"/>
    <s v="Bowler"/>
    <s v="DNB"/>
    <n v="0"/>
    <n v="0"/>
    <n v="0"/>
    <s v="DNB"/>
    <n v="0"/>
    <n v="4"/>
    <n v="0"/>
    <n v="26"/>
    <n v="1"/>
    <n v="6.5"/>
    <n v="35"/>
    <n v="0"/>
    <n v="0"/>
    <n v="35"/>
    <n v="4"/>
    <s v="RCBW"/>
    <s v="RCBW"/>
    <s v="Dr DY Patil Sports "/>
    <n v="154"/>
    <n v="7.7"/>
    <n v="34"/>
    <n v="42"/>
    <n v="54"/>
    <s v="NA"/>
    <n v="0"/>
    <n v="18.7"/>
  </r>
  <r>
    <x v="67"/>
    <n v="4"/>
    <s v="P102"/>
    <x v="103"/>
    <x v="1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RCBW"/>
    <s v="RCBW"/>
    <s v="Dr DY Patil Sports "/>
    <n v="154"/>
    <n v="7.7"/>
    <n v="34"/>
    <n v="42"/>
    <n v="54"/>
    <s v="NA"/>
    <n v="0"/>
    <n v="0"/>
  </r>
  <r>
    <x v="67"/>
    <n v="4"/>
    <s v="P022"/>
    <x v="21"/>
    <x v="1"/>
    <s v="Bowler"/>
    <s v="DNB"/>
    <n v="0"/>
    <n v="0"/>
    <n v="0"/>
    <s v="DNB"/>
    <n v="0"/>
    <n v="1"/>
    <n v="0"/>
    <n v="13"/>
    <n v="0"/>
    <n v="13"/>
    <n v="-10"/>
    <n v="0"/>
    <n v="0"/>
    <n v="-10"/>
    <n v="0"/>
    <s v="RCBW"/>
    <s v="RCBW"/>
    <s v="Dr DY Patil Sports "/>
    <n v="154"/>
    <n v="7.7"/>
    <n v="34"/>
    <n v="42"/>
    <n v="54"/>
    <s v="NA"/>
    <n v="0"/>
    <n v="0"/>
  </r>
  <r>
    <x v="67"/>
    <n v="4"/>
    <s v="P049"/>
    <x v="48"/>
    <x v="2"/>
    <s v="Allrounder"/>
    <s v="Opener"/>
    <n v="25"/>
    <n v="12"/>
    <n v="208.33"/>
    <s v="caught"/>
    <n v="40"/>
    <n v="0"/>
    <n v="0"/>
    <n v="0"/>
    <n v="0"/>
    <n v="0"/>
    <n v="0"/>
    <n v="0"/>
    <n v="0"/>
    <n v="40"/>
    <n v="4"/>
    <s v="RCBW"/>
    <s v="RCBW"/>
    <s v="Dr DY Patil Sports "/>
    <n v="157"/>
    <n v="7.85"/>
    <n v="57"/>
    <n v="40"/>
    <n v="47"/>
    <s v="Successful"/>
    <n v="1"/>
    <n v="41.2"/>
  </r>
  <r>
    <x v="67"/>
    <n v="4"/>
    <s v="P023"/>
    <x v="22"/>
    <x v="2"/>
    <s v="Batter"/>
    <s v="Opener"/>
    <n v="18"/>
    <n v="13"/>
    <n v="138.46"/>
    <s v="caught"/>
    <n v="25"/>
    <n v="0"/>
    <n v="0"/>
    <n v="0"/>
    <n v="0"/>
    <n v="0"/>
    <n v="0"/>
    <n v="0"/>
    <n v="0"/>
    <n v="25"/>
    <n v="3"/>
    <s v="RCBW"/>
    <s v="RCBW"/>
    <s v="Dr DY Patil Sports "/>
    <n v="157"/>
    <n v="7.85"/>
    <n v="57"/>
    <n v="40"/>
    <n v="47"/>
    <s v="Successful"/>
    <n v="1"/>
    <n v="33.4"/>
  </r>
  <r>
    <x v="67"/>
    <n v="4"/>
    <s v="P006"/>
    <x v="5"/>
    <x v="2"/>
    <s v="Batter"/>
    <s v="Top Order"/>
    <n v="7"/>
    <n v="12"/>
    <n v="58.33"/>
    <s v="lbw"/>
    <n v="-5"/>
    <n v="0"/>
    <n v="0"/>
    <n v="0"/>
    <n v="0"/>
    <n v="0"/>
    <n v="0"/>
    <n v="0"/>
    <n v="0"/>
    <n v="-5"/>
    <n v="0"/>
    <s v="RCBW"/>
    <s v="RCBW"/>
    <s v="Dr DY Patil Sports "/>
    <n v="157"/>
    <n v="7.85"/>
    <n v="57"/>
    <n v="40"/>
    <n v="47"/>
    <s v="Successful"/>
    <n v="1"/>
    <n v="20"/>
  </r>
  <r>
    <x v="67"/>
    <n v="4"/>
    <s v="P028"/>
    <x v="27"/>
    <x v="2"/>
    <s v="WK-Batter"/>
    <s v="Middle Order"/>
    <n v="6"/>
    <n v="6"/>
    <n v="100"/>
    <s v="caught"/>
    <n v="10"/>
    <n v="0"/>
    <n v="0"/>
    <n v="0"/>
    <n v="0"/>
    <n v="0"/>
    <n v="0"/>
    <n v="0"/>
    <n v="0"/>
    <n v="10"/>
    <n v="1"/>
    <s v="RCBW"/>
    <s v="RCBW"/>
    <s v="Dr DY Patil Sports "/>
    <n v="157"/>
    <n v="7.85"/>
    <n v="57"/>
    <n v="40"/>
    <n v="47"/>
    <s v="Successful"/>
    <n v="1"/>
    <n v="25.3"/>
  </r>
  <r>
    <x v="67"/>
    <n v="4"/>
    <s v="P043"/>
    <x v="42"/>
    <x v="2"/>
    <s v="Bowler"/>
    <s v="Middle Order"/>
    <n v="1"/>
    <n v="2"/>
    <n v="50"/>
    <s v="bowled"/>
    <n v="-5"/>
    <n v="2"/>
    <n v="0"/>
    <n v="21"/>
    <n v="0"/>
    <n v="10.5"/>
    <n v="-10"/>
    <n v="0"/>
    <n v="0"/>
    <n v="-15"/>
    <n v="0"/>
    <s v="RCBW"/>
    <s v="RCBW"/>
    <s v="Dr DY Patil Sports "/>
    <n v="157"/>
    <n v="7.85"/>
    <n v="57"/>
    <n v="40"/>
    <n v="47"/>
    <s v="Successful"/>
    <n v="1"/>
    <n v="20"/>
  </r>
  <r>
    <x v="67"/>
    <n v="4"/>
    <s v="P083"/>
    <x v="84"/>
    <x v="2"/>
    <s v="Allrounder"/>
    <s v="Middle Order"/>
    <n v="63"/>
    <n v="44"/>
    <n v="143.18"/>
    <s v="not out"/>
    <n v="80"/>
    <n v="4"/>
    <n v="0"/>
    <n v="26"/>
    <n v="4"/>
    <n v="6.5"/>
    <n v="110"/>
    <n v="0"/>
    <n v="0"/>
    <n v="190"/>
    <n v="10"/>
    <s v="RCBW"/>
    <s v="RCBW"/>
    <s v="Dr DY Patil Sports "/>
    <n v="157"/>
    <n v="7.85"/>
    <n v="57"/>
    <n v="40"/>
    <n v="47"/>
    <s v="Successful"/>
    <n v="1"/>
    <n v="118"/>
  </r>
  <r>
    <x v="67"/>
    <n v="4"/>
    <s v="P041"/>
    <x v="40"/>
    <x v="2"/>
    <s v="Bowler"/>
    <s v="Middle Order"/>
    <n v="20"/>
    <n v="25"/>
    <n v="80"/>
    <s v="caught"/>
    <n v="20"/>
    <n v="4"/>
    <n v="0"/>
    <n v="37"/>
    <n v="0"/>
    <n v="9.1999999999999993"/>
    <n v="-5"/>
    <n v="0"/>
    <n v="0"/>
    <n v="15"/>
    <n v="2"/>
    <s v="RCBW"/>
    <s v="RCBW"/>
    <s v="Dr DY Patil Sports "/>
    <n v="157"/>
    <n v="7.85"/>
    <n v="57"/>
    <n v="40"/>
    <n v="47"/>
    <s v="Successful"/>
    <n v="1"/>
    <n v="28.1"/>
  </r>
  <r>
    <x v="67"/>
    <n v="4"/>
    <s v="P059"/>
    <x v="58"/>
    <x v="2"/>
    <s v="Allrounder"/>
    <s v="Middle Order"/>
    <n v="1"/>
    <n v="2"/>
    <n v="50"/>
    <s v="bowled"/>
    <n v="-5"/>
    <n v="4"/>
    <n v="0"/>
    <n v="32"/>
    <n v="1"/>
    <n v="8"/>
    <n v="25"/>
    <n v="0"/>
    <n v="0"/>
    <n v="20"/>
    <n v="2"/>
    <s v="RCBW"/>
    <s v="RCBW"/>
    <s v="Dr DY Patil Sports "/>
    <n v="157"/>
    <n v="7.85"/>
    <n v="57"/>
    <n v="40"/>
    <n v="47"/>
    <s v="Successful"/>
    <n v="1"/>
    <n v="30.6"/>
  </r>
  <r>
    <x v="67"/>
    <n v="4"/>
    <s v="P096"/>
    <x v="101"/>
    <x v="2"/>
    <s v="Allrounder"/>
    <s v="Middle Order"/>
    <n v="8"/>
    <n v="4"/>
    <n v="200"/>
    <s v="not out"/>
    <n v="20"/>
    <n v="0"/>
    <n v="0"/>
    <n v="0"/>
    <n v="0"/>
    <n v="0"/>
    <n v="0"/>
    <n v="0"/>
    <n v="0"/>
    <n v="20"/>
    <n v="2"/>
    <s v="RCBW"/>
    <s v="RCBW"/>
    <s v="Dr DY Patil Sports "/>
    <n v="157"/>
    <n v="7.85"/>
    <n v="57"/>
    <n v="40"/>
    <n v="47"/>
    <s v="Successful"/>
    <n v="1"/>
    <n v="30.6"/>
  </r>
  <r>
    <x v="67"/>
    <n v="4"/>
    <s v="P114"/>
    <x v="117"/>
    <x v="2"/>
    <s v="Bowler"/>
    <s v="DNB"/>
    <n v="0"/>
    <n v="0"/>
    <n v="0"/>
    <s v="DNB"/>
    <n v="0"/>
    <n v="2"/>
    <n v="0"/>
    <n v="23"/>
    <n v="0"/>
    <n v="11.5"/>
    <n v="-5"/>
    <n v="0"/>
    <n v="0"/>
    <n v="-5"/>
    <n v="0"/>
    <s v="RCBW"/>
    <s v="RCBW"/>
    <s v="Dr DY Patil Sports "/>
    <n v="157"/>
    <n v="7.85"/>
    <n v="57"/>
    <n v="40"/>
    <n v="47"/>
    <s v="Successful"/>
    <n v="1"/>
    <n v="20"/>
  </r>
  <r>
    <x v="67"/>
    <n v="4"/>
    <s v="P113"/>
    <x v="118"/>
    <x v="2"/>
    <s v="Bowler"/>
    <s v="DNB"/>
    <n v="0"/>
    <n v="0"/>
    <n v="0"/>
    <s v="DNB"/>
    <n v="0"/>
    <n v="4"/>
    <n v="1"/>
    <n v="14"/>
    <n v="1"/>
    <n v="3.5"/>
    <n v="50"/>
    <n v="0"/>
    <n v="0"/>
    <n v="50"/>
    <n v="5"/>
    <s v="RCBW"/>
    <s v="RCBW"/>
    <s v="Dr DY Patil Sports "/>
    <n v="157"/>
    <n v="7.85"/>
    <n v="57"/>
    <n v="40"/>
    <n v="47"/>
    <s v="Successful"/>
    <n v="1"/>
    <n v="46.5"/>
  </r>
  <r>
    <x v="68"/>
    <n v="4"/>
    <s v="P001"/>
    <x v="0"/>
    <x v="0"/>
    <s v="WK-Batter"/>
    <s v="Opener"/>
    <n v="13"/>
    <n v="12"/>
    <n v="108.33"/>
    <s v="bowled"/>
    <n v="15"/>
    <n v="0"/>
    <n v="0"/>
    <n v="0"/>
    <n v="0"/>
    <n v="0"/>
    <n v="0"/>
    <n v="0"/>
    <n v="0"/>
    <n v="15"/>
    <n v="2"/>
    <s v="GGTW"/>
    <s v="UPW"/>
    <s v="Dr DY Patil Sports "/>
    <n v="207"/>
    <n v="10.35"/>
    <n v="56"/>
    <n v="49"/>
    <n v="36"/>
    <s v="NA"/>
    <n v="1"/>
    <n v="28.1"/>
  </r>
  <r>
    <x v="68"/>
    <n v="4"/>
    <s v="P024"/>
    <x v="23"/>
    <x v="0"/>
    <s v="Allrounder"/>
    <s v="Top Order"/>
    <n v="38"/>
    <n v="20"/>
    <n v="190"/>
    <s v="caught"/>
    <n v="55"/>
    <n v="4"/>
    <n v="0"/>
    <n v="55"/>
    <n v="2"/>
    <n v="13.8"/>
    <n v="40"/>
    <n v="0"/>
    <n v="0"/>
    <n v="95"/>
    <n v="10"/>
    <s v="GGTW"/>
    <s v="UPW"/>
    <s v="Dr DY Patil Sports "/>
    <n v="207"/>
    <n v="10.35"/>
    <n v="56"/>
    <n v="49"/>
    <n v="36"/>
    <s v="NA"/>
    <n v="1"/>
    <n v="70.5"/>
  </r>
  <r>
    <x v="68"/>
    <n v="4"/>
    <s v="P115"/>
    <x v="119"/>
    <x v="0"/>
    <s v="Allrounder"/>
    <s v="Top Order"/>
    <n v="44"/>
    <n v="30"/>
    <n v="146.66999999999999"/>
    <s v="caught"/>
    <n v="55"/>
    <n v="0"/>
    <n v="0"/>
    <n v="0"/>
    <n v="0"/>
    <n v="0"/>
    <n v="0"/>
    <n v="0"/>
    <n v="0"/>
    <n v="55"/>
    <n v="6"/>
    <s v="GGTW"/>
    <s v="UPW"/>
    <s v="Dr DY Patil Sports "/>
    <n v="207"/>
    <n v="10.35"/>
    <n v="56"/>
    <n v="49"/>
    <n v="36"/>
    <s v="NA"/>
    <n v="1"/>
    <n v="49.3"/>
  </r>
  <r>
    <x v="68"/>
    <n v="4"/>
    <s v="P004"/>
    <x v="3"/>
    <x v="0"/>
    <s v="Allrounder"/>
    <s v="Top Order"/>
    <n v="65"/>
    <n v="41"/>
    <n v="158.54"/>
    <s v="bowled"/>
    <n v="85"/>
    <n v="3"/>
    <n v="0"/>
    <n v="37"/>
    <n v="1"/>
    <n v="12.3"/>
    <n v="20"/>
    <n v="0"/>
    <n v="0"/>
    <n v="105"/>
    <n v="10"/>
    <s v="GGTW"/>
    <s v="UPW"/>
    <s v="Dr DY Patil Sports "/>
    <n v="207"/>
    <n v="10.35"/>
    <n v="56"/>
    <n v="49"/>
    <n v="36"/>
    <s v="NA"/>
    <n v="1"/>
    <n v="75.5"/>
  </r>
  <r>
    <x v="68"/>
    <n v="4"/>
    <s v="P007"/>
    <x v="6"/>
    <x v="0"/>
    <s v="Bowler"/>
    <s v="Middle Order"/>
    <n v="27"/>
    <n v="10"/>
    <n v="270"/>
    <s v="not out"/>
    <n v="50"/>
    <n v="4"/>
    <n v="0"/>
    <n v="30"/>
    <n v="2"/>
    <n v="7.5"/>
    <n v="50"/>
    <n v="0"/>
    <n v="0"/>
    <n v="100"/>
    <n v="10"/>
    <s v="GGTW"/>
    <s v="UPW"/>
    <s v="Dr DY Patil Sports "/>
    <n v="207"/>
    <n v="10.35"/>
    <n v="56"/>
    <n v="49"/>
    <n v="36"/>
    <s v="NA"/>
    <n v="1"/>
    <n v="73"/>
  </r>
  <r>
    <x v="68"/>
    <n v="4"/>
    <s v="P093"/>
    <x v="93"/>
    <x v="0"/>
    <s v="Batter"/>
    <s v="Middle Order"/>
    <n v="14"/>
    <n v="7"/>
    <n v="200"/>
    <s v="not out"/>
    <n v="25"/>
    <n v="0"/>
    <n v="0"/>
    <n v="0"/>
    <n v="0"/>
    <n v="0"/>
    <n v="0"/>
    <n v="0"/>
    <n v="0"/>
    <n v="25"/>
    <n v="3"/>
    <s v="GGTW"/>
    <s v="UPW"/>
    <s v="Dr DY Patil Sports "/>
    <n v="207"/>
    <n v="10.35"/>
    <n v="56"/>
    <n v="49"/>
    <n v="36"/>
    <s v="NA"/>
    <n v="1"/>
    <n v="33.4"/>
  </r>
  <r>
    <x v="68"/>
    <n v="4"/>
    <s v="P029"/>
    <x v="28"/>
    <x v="0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GGTW"/>
    <s v="UPW"/>
    <s v="Dr DY Patil Sports "/>
    <n v="207"/>
    <n v="10.35"/>
    <n v="56"/>
    <n v="49"/>
    <n v="36"/>
    <s v="NA"/>
    <n v="1"/>
    <n v="20"/>
  </r>
  <r>
    <x v="68"/>
    <n v="4"/>
    <s v="P098"/>
    <x v="98"/>
    <x v="0"/>
    <s v="Allrounder"/>
    <s v="DNB"/>
    <n v="0"/>
    <n v="0"/>
    <n v="0"/>
    <s v="DNB"/>
    <n v="0"/>
    <n v="4"/>
    <n v="0"/>
    <n v="38"/>
    <n v="0"/>
    <n v="9.5"/>
    <n v="0"/>
    <n v="0"/>
    <n v="0"/>
    <n v="0"/>
    <n v="0"/>
    <s v="GGTW"/>
    <s v="UPW"/>
    <s v="Dr DY Patil Sports "/>
    <n v="207"/>
    <n v="10.35"/>
    <n v="56"/>
    <n v="49"/>
    <n v="36"/>
    <s v="NA"/>
    <n v="1"/>
    <n v="20"/>
  </r>
  <r>
    <x v="68"/>
    <n v="4"/>
    <s v="P009"/>
    <x v="8"/>
    <x v="0"/>
    <s v="Bowler"/>
    <s v="DNB"/>
    <n v="0"/>
    <n v="0"/>
    <n v="0"/>
    <s v="DNB"/>
    <n v="0"/>
    <n v="0"/>
    <n v="0"/>
    <n v="0"/>
    <n v="0"/>
    <n v="0"/>
    <n v="0"/>
    <n v="0"/>
    <n v="0"/>
    <n v="0"/>
    <n v="0"/>
    <s v="GGTW"/>
    <s v="UPW"/>
    <s v="Dr DY Patil Sports "/>
    <n v="207"/>
    <n v="10.35"/>
    <n v="56"/>
    <n v="49"/>
    <n v="36"/>
    <s v="NA"/>
    <n v="1"/>
    <n v="20"/>
  </r>
  <r>
    <x v="68"/>
    <n v="4"/>
    <s v="P055"/>
    <x v="54"/>
    <x v="0"/>
    <s v="Bowler"/>
    <s v="DNB"/>
    <n v="0"/>
    <n v="0"/>
    <n v="0"/>
    <s v="DNB"/>
    <n v="0"/>
    <n v="1"/>
    <n v="0"/>
    <n v="7"/>
    <n v="1"/>
    <n v="7"/>
    <n v="35"/>
    <n v="0"/>
    <n v="0"/>
    <n v="35"/>
    <n v="4"/>
    <s v="GGTW"/>
    <s v="UPW"/>
    <s v="Dr DY Patil Sports "/>
    <n v="207"/>
    <n v="10.35"/>
    <n v="56"/>
    <n v="49"/>
    <n v="36"/>
    <s v="NA"/>
    <n v="1"/>
    <n v="38.700000000000003"/>
  </r>
  <r>
    <x v="68"/>
    <n v="4"/>
    <s v="P033"/>
    <x v="32"/>
    <x v="0"/>
    <s v="Bowler"/>
    <s v="DNB"/>
    <n v="0"/>
    <n v="0"/>
    <n v="0"/>
    <s v="DNB"/>
    <n v="0"/>
    <n v="4"/>
    <n v="0"/>
    <n v="25"/>
    <n v="2"/>
    <n v="6.2"/>
    <n v="50"/>
    <n v="0"/>
    <n v="0"/>
    <n v="50"/>
    <n v="5"/>
    <s v="GGTW"/>
    <s v="UPW"/>
    <s v="Dr DY Patil Sports "/>
    <n v="207"/>
    <n v="10.35"/>
    <n v="56"/>
    <n v="49"/>
    <n v="36"/>
    <s v="NA"/>
    <n v="1"/>
    <n v="46.5"/>
  </r>
  <r>
    <x v="68"/>
    <n v="4"/>
    <s v="P051"/>
    <x v="50"/>
    <x v="4"/>
    <s v="Batter"/>
    <s v="Opener"/>
    <n v="1"/>
    <n v="4"/>
    <n v="25"/>
    <s v="bowled"/>
    <n v="-5"/>
    <n v="0"/>
    <n v="0"/>
    <n v="0"/>
    <n v="0"/>
    <n v="0"/>
    <n v="0"/>
    <n v="0"/>
    <n v="0"/>
    <n v="-5"/>
    <n v="0"/>
    <s v="GGTW"/>
    <s v="UPW"/>
    <s v="Dr DY Patil Sports "/>
    <n v="197"/>
    <n v="9.85"/>
    <n v="46"/>
    <n v="42"/>
    <n v="49"/>
    <s v="Failed"/>
    <n v="0"/>
    <n v="0"/>
  </r>
  <r>
    <x v="68"/>
    <n v="4"/>
    <s v="P035"/>
    <x v="34"/>
    <x v="4"/>
    <s v="Batter"/>
    <s v="Opener"/>
    <n v="30"/>
    <n v="27"/>
    <n v="111.11"/>
    <s v="lbw"/>
    <n v="30"/>
    <n v="0"/>
    <n v="0"/>
    <n v="0"/>
    <n v="0"/>
    <n v="0"/>
    <n v="0"/>
    <n v="0"/>
    <n v="0"/>
    <n v="30"/>
    <n v="3"/>
    <s v="GGTW"/>
    <s v="UPW"/>
    <s v="Dr DY Patil Sports "/>
    <n v="197"/>
    <n v="9.85"/>
    <n v="46"/>
    <n v="42"/>
    <n v="49"/>
    <s v="Failed"/>
    <n v="0"/>
    <n v="15.9"/>
  </r>
  <r>
    <x v="68"/>
    <n v="4"/>
    <s v="P078"/>
    <x v="79"/>
    <x v="4"/>
    <s v="Batter"/>
    <s v="Top Order"/>
    <n v="78"/>
    <n v="40"/>
    <n v="195"/>
    <s v="caught"/>
    <n v="105"/>
    <n v="0"/>
    <n v="0"/>
    <n v="0"/>
    <n v="0"/>
    <n v="0"/>
    <n v="0"/>
    <n v="0"/>
    <n v="0"/>
    <n v="105"/>
    <n v="10"/>
    <s v="GGTW"/>
    <s v="UPW"/>
    <s v="Dr DY Patil Sports "/>
    <n v="197"/>
    <n v="9.85"/>
    <n v="46"/>
    <n v="42"/>
    <n v="49"/>
    <s v="Failed"/>
    <n v="0"/>
    <n v="55.5"/>
  </r>
  <r>
    <x v="68"/>
    <n v="4"/>
    <s v="P003"/>
    <x v="2"/>
    <x v="4"/>
    <s v="Allrounder"/>
    <s v="Top Order"/>
    <n v="0"/>
    <n v="2"/>
    <n v="0"/>
    <s v="caught"/>
    <n v="0"/>
    <n v="0"/>
    <n v="0"/>
    <n v="0"/>
    <n v="0"/>
    <n v="0"/>
    <n v="0"/>
    <n v="0"/>
    <n v="0"/>
    <n v="0"/>
    <n v="0"/>
    <s v="GGTW"/>
    <s v="UPW"/>
    <s v="Dr DY Patil Sports "/>
    <n v="197"/>
    <n v="9.85"/>
    <n v="46"/>
    <n v="42"/>
    <n v="49"/>
    <s v="Failed"/>
    <n v="0"/>
    <n v="0"/>
  </r>
  <r>
    <x v="68"/>
    <n v="4"/>
    <s v="P048"/>
    <x v="47"/>
    <x v="4"/>
    <s v="Allrounder"/>
    <s v="Middle Order"/>
    <n v="1"/>
    <n v="2"/>
    <n v="50"/>
    <s v="caught"/>
    <n v="-5"/>
    <n v="3"/>
    <n v="0"/>
    <n v="32"/>
    <n v="0"/>
    <n v="10.7"/>
    <n v="-10"/>
    <n v="0"/>
    <n v="0"/>
    <n v="-15"/>
    <n v="0"/>
    <s v="GGTW"/>
    <s v="UPW"/>
    <s v="Dr DY Patil Sports "/>
    <n v="197"/>
    <n v="9.85"/>
    <n v="46"/>
    <n v="42"/>
    <n v="49"/>
    <s v="Failed"/>
    <n v="0"/>
    <n v="0"/>
  </r>
  <r>
    <x v="68"/>
    <n v="4"/>
    <s v="P046"/>
    <x v="45"/>
    <x v="4"/>
    <s v="WK-Batter"/>
    <s v="Middle Order"/>
    <n v="25"/>
    <n v="17"/>
    <n v="147.06"/>
    <s v="bowled"/>
    <n v="35"/>
    <n v="0"/>
    <n v="0"/>
    <n v="0"/>
    <n v="0"/>
    <n v="0"/>
    <n v="0"/>
    <n v="0"/>
    <n v="0"/>
    <n v="35"/>
    <n v="4"/>
    <s v="GGTW"/>
    <s v="UPW"/>
    <s v="Dr DY Patil Sports "/>
    <n v="197"/>
    <n v="9.85"/>
    <n v="46"/>
    <n v="42"/>
    <n v="49"/>
    <s v="Failed"/>
    <n v="0"/>
    <n v="18.7"/>
  </r>
  <r>
    <x v="68"/>
    <n v="4"/>
    <s v="P116"/>
    <x v="96"/>
    <x v="4"/>
    <s v="Allrounder"/>
    <s v="Middle Order"/>
    <n v="12"/>
    <n v="9"/>
    <n v="133.33000000000001"/>
    <s v="caught"/>
    <n v="20"/>
    <n v="4"/>
    <n v="0"/>
    <n v="47"/>
    <n v="1"/>
    <n v="11.8"/>
    <n v="25"/>
    <n v="0"/>
    <n v="0"/>
    <n v="45"/>
    <n v="5"/>
    <s v="GGTW"/>
    <s v="UPW"/>
    <s v="Dr DY Patil Sports "/>
    <n v="197"/>
    <n v="9.85"/>
    <n v="46"/>
    <n v="42"/>
    <n v="49"/>
    <s v="Failed"/>
    <n v="0"/>
    <n v="24"/>
  </r>
  <r>
    <x v="68"/>
    <n v="4"/>
    <s v="P053"/>
    <x v="52"/>
    <x v="4"/>
    <s v="Bowler"/>
    <s v="Middle Order"/>
    <n v="11"/>
    <n v="8"/>
    <n v="137.5"/>
    <s v="caught"/>
    <n v="20"/>
    <n v="4"/>
    <n v="0"/>
    <n v="32"/>
    <n v="2"/>
    <n v="8"/>
    <n v="50"/>
    <n v="0"/>
    <n v="0"/>
    <n v="70"/>
    <n v="7"/>
    <s v="GGTW"/>
    <s v="UPW"/>
    <s v="Dr DY Patil Sports "/>
    <n v="197"/>
    <n v="9.85"/>
    <n v="46"/>
    <n v="42"/>
    <n v="49"/>
    <s v="Failed"/>
    <n v="0"/>
    <n v="37.1"/>
  </r>
  <r>
    <x v="68"/>
    <n v="4"/>
    <s v="P030"/>
    <x v="29"/>
    <x v="4"/>
    <s v="Allrounder"/>
    <s v="Middle Order"/>
    <n v="27"/>
    <n v="10"/>
    <n v="270"/>
    <s v="not out"/>
    <n v="45"/>
    <n v="3"/>
    <n v="0"/>
    <n v="36"/>
    <n v="0"/>
    <n v="12"/>
    <n v="-10"/>
    <n v="0"/>
    <n v="0"/>
    <n v="35"/>
    <n v="4"/>
    <s v="GGTW"/>
    <s v="UPW"/>
    <s v="Dr DY Patil Sports "/>
    <n v="197"/>
    <n v="9.85"/>
    <n v="46"/>
    <n v="42"/>
    <n v="49"/>
    <s v="Failed"/>
    <n v="0"/>
    <n v="18.7"/>
  </r>
  <r>
    <x v="68"/>
    <n v="4"/>
    <s v="P042"/>
    <x v="41"/>
    <x v="4"/>
    <s v="Allrounder"/>
    <s v="Middle Order"/>
    <n v="1"/>
    <n v="1"/>
    <n v="100"/>
    <s v="not out"/>
    <n v="5"/>
    <n v="3"/>
    <n v="0"/>
    <n v="29"/>
    <n v="1"/>
    <n v="9.6999999999999993"/>
    <n v="25"/>
    <n v="0"/>
    <n v="0"/>
    <n v="30"/>
    <n v="3"/>
    <s v="GGTW"/>
    <s v="UPW"/>
    <s v="Dr DY Patil Sports "/>
    <n v="197"/>
    <n v="9.85"/>
    <n v="46"/>
    <n v="42"/>
    <n v="49"/>
    <s v="Failed"/>
    <n v="0"/>
    <n v="15.9"/>
  </r>
  <r>
    <x v="68"/>
    <n v="4"/>
    <s v="P104"/>
    <x v="107"/>
    <x v="4"/>
    <s v="Bowler"/>
    <s v="DNB"/>
    <n v="0"/>
    <n v="0"/>
    <n v="0"/>
    <s v="DNB"/>
    <n v="0"/>
    <n v="3"/>
    <n v="0"/>
    <n v="30"/>
    <n v="0"/>
    <n v="10"/>
    <n v="-5"/>
    <n v="0"/>
    <n v="0"/>
    <n v="-5"/>
    <n v="0"/>
    <s v="GGTW"/>
    <s v="UPW"/>
    <s v="Dr DY Patil Sports "/>
    <n v="197"/>
    <n v="9.85"/>
    <n v="46"/>
    <n v="42"/>
    <n v="49"/>
    <s v="Failed"/>
    <n v="0"/>
    <n v="0"/>
  </r>
  <r>
    <x v="69"/>
    <n v="4"/>
    <s v="P016"/>
    <x v="15"/>
    <x v="1"/>
    <s v="Allrounder"/>
    <s v="Top Order"/>
    <n v="0"/>
    <n v="1"/>
    <n v="0"/>
    <s v="caught"/>
    <n v="-5"/>
    <n v="4"/>
    <n v="0"/>
    <n v="24"/>
    <n v="3"/>
    <n v="6"/>
    <n v="60"/>
    <n v="0"/>
    <n v="0"/>
    <n v="55"/>
    <n v="6"/>
    <s v="MIW"/>
    <s v="DCW"/>
    <s v="Dr DY Patil Sports "/>
    <n v="195"/>
    <n v="9.75"/>
    <n v="43"/>
    <n v="52"/>
    <n v="39"/>
    <s v="NA"/>
    <n v="1"/>
    <n v="49.3"/>
  </r>
  <r>
    <x v="69"/>
    <n v="4"/>
    <s v="P105"/>
    <x v="108"/>
    <x v="1"/>
    <s v="WK-Batter"/>
    <s v="Top Order"/>
    <n v="16"/>
    <n v="19"/>
    <n v="84.21"/>
    <s v="caught"/>
    <n v="15"/>
    <n v="0"/>
    <n v="0"/>
    <n v="0"/>
    <n v="0"/>
    <n v="0"/>
    <n v="0"/>
    <n v="0"/>
    <n v="0"/>
    <n v="15"/>
    <n v="2"/>
    <s v="MIW"/>
    <s v="DCW"/>
    <s v="Dr DY Patil Sports "/>
    <n v="195"/>
    <n v="9.75"/>
    <n v="43"/>
    <n v="52"/>
    <n v="39"/>
    <s v="NA"/>
    <n v="1"/>
    <n v="28.1"/>
  </r>
  <r>
    <x v="69"/>
    <n v="4"/>
    <s v="P015"/>
    <x v="14"/>
    <x v="1"/>
    <s v="Allrounder"/>
    <s v="Top Order"/>
    <n v="70"/>
    <n v="46"/>
    <n v="152.16999999999999"/>
    <s v="caught"/>
    <n v="90"/>
    <n v="3"/>
    <n v="0"/>
    <n v="29"/>
    <n v="2"/>
    <n v="9.6999999999999993"/>
    <n v="50"/>
    <n v="0"/>
    <n v="0"/>
    <n v="140"/>
    <n v="10"/>
    <s v="MIW"/>
    <s v="DCW"/>
    <s v="Dr DY Patil Sports "/>
    <n v="195"/>
    <n v="9.75"/>
    <n v="43"/>
    <n v="52"/>
    <n v="39"/>
    <s v="NA"/>
    <n v="1"/>
    <n v="93"/>
  </r>
  <r>
    <x v="69"/>
    <n v="4"/>
    <s v="P014"/>
    <x v="13"/>
    <x v="1"/>
    <s v="Allrounder"/>
    <s v="Middle Order"/>
    <n v="74"/>
    <n v="42"/>
    <n v="176.19"/>
    <s v="not out"/>
    <n v="95"/>
    <n v="0"/>
    <n v="0"/>
    <n v="0"/>
    <n v="0"/>
    <n v="0"/>
    <n v="0"/>
    <n v="0"/>
    <n v="0"/>
    <n v="95"/>
    <n v="10"/>
    <s v="MIW"/>
    <s v="DCW"/>
    <s v="Dr DY Patil Sports "/>
    <n v="195"/>
    <n v="9.75"/>
    <n v="43"/>
    <n v="52"/>
    <n v="39"/>
    <s v="NA"/>
    <n v="1"/>
    <n v="70.5"/>
  </r>
  <r>
    <x v="69"/>
    <n v="4"/>
    <s v="P112"/>
    <x v="116"/>
    <x v="1"/>
    <s v="Allrounder"/>
    <s v="Middle Order"/>
    <n v="21"/>
    <n v="12"/>
    <n v="175"/>
    <s v="bowled"/>
    <n v="35"/>
    <n v="4"/>
    <n v="0"/>
    <n v="37"/>
    <n v="3"/>
    <n v="9.1999999999999993"/>
    <n v="75"/>
    <n v="0"/>
    <n v="0"/>
    <n v="110"/>
    <n v="10"/>
    <s v="MIW"/>
    <s v="DCW"/>
    <s v="Dr DY Patil Sports "/>
    <n v="195"/>
    <n v="9.75"/>
    <n v="43"/>
    <n v="52"/>
    <n v="39"/>
    <s v="NA"/>
    <n v="1"/>
    <n v="78"/>
  </r>
  <r>
    <x v="69"/>
    <n v="4"/>
    <s v="P072"/>
    <x v="72"/>
    <x v="1"/>
    <s v="Allrounder"/>
    <s v="Middle Order"/>
    <n v="5"/>
    <n v="2"/>
    <n v="250"/>
    <s v="not out"/>
    <n v="15"/>
    <n v="0"/>
    <n v="0"/>
    <n v="0"/>
    <n v="0"/>
    <n v="0"/>
    <n v="0"/>
    <n v="0"/>
    <n v="0"/>
    <n v="15"/>
    <n v="2"/>
    <s v="MIW"/>
    <s v="DCW"/>
    <s v="Dr DY Patil Sports "/>
    <n v="195"/>
    <n v="9.75"/>
    <n v="43"/>
    <n v="52"/>
    <n v="39"/>
    <s v="NA"/>
    <n v="1"/>
    <n v="28.1"/>
  </r>
  <r>
    <x v="69"/>
    <n v="4"/>
    <s v="P017"/>
    <x v="16"/>
    <x v="1"/>
    <s v="Allrounder"/>
    <s v="DNB"/>
    <n v="0"/>
    <n v="0"/>
    <n v="0"/>
    <s v="DNB"/>
    <n v="0"/>
    <n v="2"/>
    <n v="0"/>
    <n v="17"/>
    <n v="0"/>
    <n v="8.5"/>
    <n v="0"/>
    <n v="0"/>
    <n v="0"/>
    <n v="0"/>
    <n v="0"/>
    <s v="MIW"/>
    <s v="DCW"/>
    <s v="Dr DY Patil Sports "/>
    <n v="195"/>
    <n v="9.75"/>
    <n v="43"/>
    <n v="52"/>
    <n v="39"/>
    <s v="NA"/>
    <n v="1"/>
    <n v="20"/>
  </r>
  <r>
    <x v="69"/>
    <n v="4"/>
    <s v="P061"/>
    <x v="60"/>
    <x v="1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MIW"/>
    <s v="DCW"/>
    <s v="Dr DY Patil Sports "/>
    <n v="195"/>
    <n v="9.75"/>
    <n v="43"/>
    <n v="52"/>
    <n v="39"/>
    <s v="NA"/>
    <n v="1"/>
    <n v="20"/>
  </r>
  <r>
    <x v="69"/>
    <n v="4"/>
    <s v="P120"/>
    <x v="120"/>
    <x v="1"/>
    <s v="Allrounder"/>
    <s v="DNB"/>
    <n v="0"/>
    <n v="0"/>
    <n v="0"/>
    <s v="DNB"/>
    <n v="0"/>
    <n v="1"/>
    <n v="0"/>
    <n v="12"/>
    <n v="0"/>
    <n v="12"/>
    <n v="-5"/>
    <n v="0"/>
    <n v="0"/>
    <n v="-5"/>
    <n v="0"/>
    <s v="MIW"/>
    <s v="DCW"/>
    <s v="Dr DY Patil Sports "/>
    <n v="195"/>
    <n v="9.75"/>
    <n v="43"/>
    <n v="52"/>
    <n v="39"/>
    <s v="NA"/>
    <n v="1"/>
    <n v="20"/>
  </r>
  <r>
    <x v="69"/>
    <n v="4"/>
    <s v="P060"/>
    <x v="59"/>
    <x v="1"/>
    <s v="Bowler"/>
    <s v="DNB"/>
    <n v="0"/>
    <n v="0"/>
    <n v="0"/>
    <s v="DNB"/>
    <n v="0"/>
    <n v="4"/>
    <n v="0"/>
    <n v="14"/>
    <n v="1"/>
    <n v="3.5"/>
    <n v="40"/>
    <n v="0"/>
    <n v="0"/>
    <n v="40"/>
    <n v="4"/>
    <s v="MIW"/>
    <s v="DCW"/>
    <s v="Dr DY Patil Sports "/>
    <n v="195"/>
    <n v="9.75"/>
    <n v="43"/>
    <n v="52"/>
    <n v="39"/>
    <s v="NA"/>
    <n v="1"/>
    <n v="41.2"/>
  </r>
  <r>
    <x v="69"/>
    <n v="4"/>
    <s v="P102"/>
    <x v="103"/>
    <x v="1"/>
    <s v="Allrounder"/>
    <s v="DNB"/>
    <n v="0"/>
    <n v="0"/>
    <n v="0"/>
    <s v="DNB"/>
    <n v="0"/>
    <n v="1"/>
    <n v="0"/>
    <n v="9"/>
    <n v="1"/>
    <n v="9"/>
    <n v="25"/>
    <n v="0"/>
    <n v="0"/>
    <n v="25"/>
    <n v="3"/>
    <s v="MIW"/>
    <s v="DCW"/>
    <s v="Dr DY Patil Sports "/>
    <n v="195"/>
    <n v="9.75"/>
    <n v="43"/>
    <n v="52"/>
    <n v="39"/>
    <s v="NA"/>
    <n v="1"/>
    <n v="33.4"/>
  </r>
  <r>
    <x v="69"/>
    <n v="4"/>
    <s v="P117"/>
    <x v="121"/>
    <x v="3"/>
    <s v="WK-Batter"/>
    <s v="Opener"/>
    <n v="10"/>
    <n v="10"/>
    <n v="100"/>
    <s v="caught"/>
    <n v="15"/>
    <n v="0"/>
    <n v="0"/>
    <n v="0"/>
    <n v="0"/>
    <n v="0"/>
    <n v="0"/>
    <n v="0"/>
    <n v="0"/>
    <n v="15"/>
    <n v="2"/>
    <s v="MIW"/>
    <s v="DCW"/>
    <s v="Dr DY Patil Sports "/>
    <n v="145"/>
    <n v="7.63"/>
    <n v="35"/>
    <n v="27"/>
    <n v="46"/>
    <s v="Failed"/>
    <n v="0"/>
    <n v="8.1"/>
  </r>
  <r>
    <x v="69"/>
    <n v="4"/>
    <s v="P034"/>
    <x v="33"/>
    <x v="3"/>
    <s v="Batter"/>
    <s v="Opener"/>
    <n v="8"/>
    <n v="13"/>
    <n v="61.54"/>
    <s v="bowled"/>
    <n v="-5"/>
    <n v="0"/>
    <n v="0"/>
    <n v="0"/>
    <n v="0"/>
    <n v="0"/>
    <n v="0"/>
    <n v="0"/>
    <n v="0"/>
    <n v="-5"/>
    <n v="0"/>
    <s v="MIW"/>
    <s v="DCW"/>
    <s v="Dr DY Patil Sports "/>
    <n v="145"/>
    <n v="7.63"/>
    <n v="35"/>
    <n v="27"/>
    <n v="46"/>
    <s v="Failed"/>
    <n v="0"/>
    <n v="0"/>
  </r>
  <r>
    <x v="69"/>
    <n v="4"/>
    <s v="P066"/>
    <x v="65"/>
    <x v="3"/>
    <s v="Batter"/>
    <s v="Top Order"/>
    <n v="9"/>
    <n v="5"/>
    <n v="180"/>
    <s v="bowled"/>
    <n v="20"/>
    <n v="0"/>
    <n v="0"/>
    <n v="0"/>
    <n v="0"/>
    <n v="0"/>
    <n v="0"/>
    <n v="0"/>
    <n v="0"/>
    <n v="20"/>
    <n v="2"/>
    <s v="MIW"/>
    <s v="DCW"/>
    <s v="Dr DY Patil Sports "/>
    <n v="145"/>
    <n v="7.63"/>
    <n v="35"/>
    <n v="27"/>
    <n v="46"/>
    <s v="Failed"/>
    <n v="0"/>
    <n v="10.6"/>
  </r>
  <r>
    <x v="69"/>
    <n v="4"/>
    <s v="P037"/>
    <x v="36"/>
    <x v="3"/>
    <s v="Batter"/>
    <s v="Top Order"/>
    <n v="1"/>
    <n v="3"/>
    <n v="33.33"/>
    <s v="caught"/>
    <n v="-5"/>
    <n v="0"/>
    <n v="0"/>
    <n v="0"/>
    <n v="0"/>
    <n v="0"/>
    <n v="0"/>
    <n v="0"/>
    <n v="0"/>
    <n v="-5"/>
    <n v="0"/>
    <s v="MIW"/>
    <s v="DCW"/>
    <s v="Dr DY Patil Sports "/>
    <n v="145"/>
    <n v="7.63"/>
    <n v="35"/>
    <n v="27"/>
    <n v="46"/>
    <s v="Failed"/>
    <n v="0"/>
    <n v="0"/>
  </r>
  <r>
    <x v="69"/>
    <n v="4"/>
    <s v="P036"/>
    <x v="35"/>
    <x v="3"/>
    <s v="Allrounder"/>
    <s v="Middle Order"/>
    <n v="10"/>
    <n v="6"/>
    <n v="166.67"/>
    <s v="caught"/>
    <n v="20"/>
    <n v="4"/>
    <n v="0"/>
    <n v="27"/>
    <n v="0"/>
    <n v="6.8"/>
    <n v="15"/>
    <n v="0"/>
    <n v="0"/>
    <n v="35"/>
    <n v="4"/>
    <s v="MIW"/>
    <s v="DCW"/>
    <s v="Dr DY Patil Sports "/>
    <n v="145"/>
    <n v="7.63"/>
    <n v="35"/>
    <n v="27"/>
    <n v="46"/>
    <s v="Failed"/>
    <n v="0"/>
    <n v="18.7"/>
  </r>
  <r>
    <x v="69"/>
    <n v="4"/>
    <s v="P100"/>
    <x v="104"/>
    <x v="3"/>
    <s v="Allrounder"/>
    <s v="Middle Order"/>
    <n v="12"/>
    <n v="18"/>
    <n v="66.67"/>
    <s v="bowled"/>
    <n v="10"/>
    <n v="0"/>
    <n v="0"/>
    <n v="0"/>
    <n v="0"/>
    <n v="0"/>
    <n v="0"/>
    <n v="0"/>
    <n v="0"/>
    <n v="10"/>
    <n v="1"/>
    <s v="MIW"/>
    <s v="DCW"/>
    <s v="Dr DY Patil Sports "/>
    <n v="145"/>
    <n v="7.63"/>
    <n v="35"/>
    <n v="27"/>
    <n v="46"/>
    <s v="Failed"/>
    <n v="0"/>
    <n v="5.3"/>
  </r>
  <r>
    <x v="69"/>
    <n v="4"/>
    <s v="P107"/>
    <x v="110"/>
    <x v="3"/>
    <s v="Allrounder"/>
    <s v="Middle Order"/>
    <n v="56"/>
    <n v="33"/>
    <n v="169.7"/>
    <s v="caught"/>
    <n v="75"/>
    <n v="3"/>
    <n v="0"/>
    <n v="32"/>
    <n v="1"/>
    <n v="10.7"/>
    <n v="25"/>
    <n v="0"/>
    <n v="0"/>
    <n v="100"/>
    <n v="10"/>
    <s v="MIW"/>
    <s v="DCW"/>
    <s v="Dr DY Patil Sports "/>
    <n v="145"/>
    <n v="7.63"/>
    <n v="35"/>
    <n v="27"/>
    <n v="46"/>
    <s v="Failed"/>
    <n v="0"/>
    <n v="53"/>
  </r>
  <r>
    <x v="69"/>
    <n v="4"/>
    <s v="P008"/>
    <x v="7"/>
    <x v="3"/>
    <s v="Allrounder"/>
    <s v="Middle Order"/>
    <n v="11"/>
    <n v="11"/>
    <n v="100"/>
    <s v="caught"/>
    <n v="15"/>
    <n v="3"/>
    <n v="0"/>
    <n v="32"/>
    <n v="0"/>
    <n v="10.7"/>
    <n v="-5"/>
    <n v="0"/>
    <n v="0"/>
    <n v="10"/>
    <n v="1"/>
    <s v="MIW"/>
    <s v="DCW"/>
    <s v="Dr DY Patil Sports "/>
    <n v="145"/>
    <n v="7.63"/>
    <n v="35"/>
    <n v="27"/>
    <n v="46"/>
    <s v="Failed"/>
    <n v="0"/>
    <n v="5.3"/>
  </r>
  <r>
    <x v="69"/>
    <n v="4"/>
    <s v="P062"/>
    <x v="61"/>
    <x v="3"/>
    <s v="Allrounder"/>
    <s v="Middle Order"/>
    <n v="7"/>
    <n v="6"/>
    <n v="116.67"/>
    <s v="caught"/>
    <n v="10"/>
    <n v="3"/>
    <n v="0"/>
    <n v="29"/>
    <n v="0"/>
    <n v="9.6999999999999993"/>
    <n v="0"/>
    <n v="0"/>
    <n v="0"/>
    <n v="10"/>
    <n v="1"/>
    <s v="MIW"/>
    <s v="DCW"/>
    <s v="Dr DY Patil Sports "/>
    <n v="145"/>
    <n v="7.63"/>
    <n v="35"/>
    <n v="27"/>
    <n v="46"/>
    <s v="Failed"/>
    <n v="0"/>
    <n v="5.3"/>
  </r>
  <r>
    <x v="69"/>
    <n v="4"/>
    <s v="P118"/>
    <x v="122"/>
    <x v="3"/>
    <s v="Bowler"/>
    <s v="Middle Order"/>
    <n v="10"/>
    <n v="6"/>
    <n v="166.67"/>
    <s v="not out"/>
    <n v="20"/>
    <n v="4"/>
    <n v="0"/>
    <n v="45"/>
    <n v="1"/>
    <n v="11.2"/>
    <n v="25"/>
    <n v="0"/>
    <n v="0"/>
    <n v="45"/>
    <n v="5"/>
    <s v="MIW"/>
    <s v="DCW"/>
    <s v="Dr DY Patil Sports "/>
    <n v="145"/>
    <n v="7.63"/>
    <n v="35"/>
    <n v="27"/>
    <n v="46"/>
    <s v="Failed"/>
    <n v="0"/>
    <n v="24"/>
  </r>
  <r>
    <x v="69"/>
    <n v="4"/>
    <s v="P119"/>
    <x v="123"/>
    <x v="3"/>
    <s v="Bowler"/>
    <s v="Middle Order"/>
    <n v="0"/>
    <n v="3"/>
    <n v="0"/>
    <s v="caught"/>
    <n v="0"/>
    <n v="3"/>
    <n v="0"/>
    <n v="26"/>
    <n v="2"/>
    <n v="8.6999999999999993"/>
    <n v="50"/>
    <n v="0"/>
    <n v="0"/>
    <n v="50"/>
    <n v="5"/>
    <s v="MIW"/>
    <s v="DCW"/>
    <s v="Dr DY Patil Sports "/>
    <n v="145"/>
    <n v="7.63"/>
    <n v="35"/>
    <n v="27"/>
    <n v="46"/>
    <s v="Failed"/>
    <n v="0"/>
    <n v="26.5"/>
  </r>
  <r>
    <x v="70"/>
    <n v="4"/>
    <s v="P001"/>
    <x v="0"/>
    <x v="0"/>
    <s v="WK-Batter"/>
    <s v="Opener"/>
    <n v="19"/>
    <n v="16"/>
    <n v="118.75"/>
    <s v="caught"/>
    <n v="25"/>
    <n v="0"/>
    <n v="0"/>
    <n v="0"/>
    <n v="0"/>
    <n v="0"/>
    <n v="0"/>
    <n v="0"/>
    <n v="0"/>
    <n v="25"/>
    <n v="3"/>
    <s v="GGTW"/>
    <s v="DCW"/>
    <s v="Dr DY Patil Sports "/>
    <n v="209"/>
    <n v="10.45"/>
    <n v="80"/>
    <n v="37"/>
    <n v="33"/>
    <s v="NA"/>
    <n v="1"/>
    <n v="33.4"/>
  </r>
  <r>
    <x v="70"/>
    <n v="4"/>
    <s v="P024"/>
    <x v="23"/>
    <x v="0"/>
    <s v="Allrounder"/>
    <s v="Top Order"/>
    <n v="95"/>
    <n v="42"/>
    <n v="226.19"/>
    <s v="caught"/>
    <n v="120"/>
    <n v="3"/>
    <n v="0"/>
    <n v="21"/>
    <n v="2"/>
    <n v="7"/>
    <n v="50"/>
    <n v="0"/>
    <n v="0"/>
    <n v="170"/>
    <n v="10"/>
    <s v="GGTW"/>
    <s v="DCW"/>
    <s v="Dr DY Patil Sports "/>
    <n v="209"/>
    <n v="10.45"/>
    <n v="80"/>
    <n v="37"/>
    <n v="33"/>
    <s v="NA"/>
    <n v="1"/>
    <n v="108"/>
  </r>
  <r>
    <x v="70"/>
    <n v="4"/>
    <s v="P004"/>
    <x v="3"/>
    <x v="0"/>
    <s v="Allrounder"/>
    <s v="Top Order"/>
    <n v="49"/>
    <n v="26"/>
    <n v="188.46"/>
    <s v="caught"/>
    <n v="70"/>
    <n v="2"/>
    <n v="0"/>
    <n v="28"/>
    <n v="0"/>
    <n v="14"/>
    <n v="-10"/>
    <n v="0"/>
    <n v="0"/>
    <n v="60"/>
    <n v="6"/>
    <s v="GGTW"/>
    <s v="DCW"/>
    <s v="Dr DY Patil Sports "/>
    <n v="209"/>
    <n v="10.45"/>
    <n v="80"/>
    <n v="37"/>
    <n v="33"/>
    <s v="NA"/>
    <n v="1"/>
    <n v="51.8"/>
  </r>
  <r>
    <x v="70"/>
    <n v="4"/>
    <s v="P007"/>
    <x v="6"/>
    <x v="0"/>
    <s v="Allrounder"/>
    <s v="Middle Order"/>
    <n v="3"/>
    <n v="3"/>
    <n v="100"/>
    <s v="caught"/>
    <n v="5"/>
    <n v="2"/>
    <n v="0"/>
    <n v="30"/>
    <n v="0"/>
    <n v="15"/>
    <n v="-10"/>
    <n v="0"/>
    <n v="0"/>
    <n v="-5"/>
    <n v="0"/>
    <s v="GGTW"/>
    <s v="DCW"/>
    <s v="Dr DY Patil Sports "/>
    <n v="209"/>
    <n v="10.45"/>
    <n v="80"/>
    <n v="37"/>
    <n v="33"/>
    <s v="NA"/>
    <n v="1"/>
    <n v="20"/>
  </r>
  <r>
    <x v="70"/>
    <n v="4"/>
    <s v="P115"/>
    <x v="119"/>
    <x v="0"/>
    <s v="Allrounder"/>
    <s v="Middle Order"/>
    <n v="13"/>
    <n v="10"/>
    <n v="130"/>
    <s v="caught"/>
    <n v="20"/>
    <n v="0"/>
    <n v="0"/>
    <n v="0"/>
    <n v="0"/>
    <n v="0"/>
    <n v="0"/>
    <n v="0"/>
    <n v="0"/>
    <n v="20"/>
    <n v="2"/>
    <s v="GGTW"/>
    <s v="DCW"/>
    <s v="Dr DY Patil Sports "/>
    <n v="209"/>
    <n v="10.45"/>
    <n v="80"/>
    <n v="37"/>
    <n v="33"/>
    <s v="NA"/>
    <n v="1"/>
    <n v="30.6"/>
  </r>
  <r>
    <x v="70"/>
    <n v="4"/>
    <s v="P093"/>
    <x v="93"/>
    <x v="0"/>
    <s v="Batter"/>
    <s v="Middle Order"/>
    <n v="3"/>
    <n v="6"/>
    <n v="50"/>
    <s v="caught"/>
    <n v="-5"/>
    <n v="0"/>
    <n v="0"/>
    <n v="0"/>
    <n v="0"/>
    <n v="0"/>
    <n v="0"/>
    <n v="0"/>
    <n v="0"/>
    <n v="-5"/>
    <n v="0"/>
    <s v="GGTW"/>
    <s v="DCW"/>
    <s v="Dr DY Patil Sports "/>
    <n v="209"/>
    <n v="10.45"/>
    <n v="80"/>
    <n v="37"/>
    <n v="33"/>
    <s v="NA"/>
    <n v="1"/>
    <n v="20"/>
  </r>
  <r>
    <x v="70"/>
    <n v="4"/>
    <s v="P098"/>
    <x v="98"/>
    <x v="0"/>
    <s v="Allrounder"/>
    <s v="Middle Order"/>
    <n v="14"/>
    <n v="10"/>
    <n v="140"/>
    <s v="caught"/>
    <n v="20"/>
    <n v="4"/>
    <n v="0"/>
    <n v="48"/>
    <n v="1"/>
    <n v="12"/>
    <n v="25"/>
    <n v="0"/>
    <n v="0"/>
    <n v="45"/>
    <n v="5"/>
    <s v="GGTW"/>
    <s v="DCW"/>
    <s v="Dr DY Patil Sports "/>
    <n v="209"/>
    <n v="10.45"/>
    <n v="80"/>
    <n v="37"/>
    <n v="33"/>
    <s v="NA"/>
    <n v="1"/>
    <n v="44"/>
  </r>
  <r>
    <x v="70"/>
    <n v="4"/>
    <s v="P029"/>
    <x v="28"/>
    <x v="0"/>
    <s v="Allrounder"/>
    <s v="Middle Order"/>
    <n v="4"/>
    <n v="5"/>
    <n v="80"/>
    <s v="stumped"/>
    <n v="5"/>
    <n v="0"/>
    <n v="0"/>
    <n v="0"/>
    <n v="0"/>
    <n v="0"/>
    <n v="0"/>
    <n v="0"/>
    <n v="0"/>
    <n v="5"/>
    <n v="1"/>
    <s v="GGTW"/>
    <s v="DCW"/>
    <s v="Dr DY Patil Sports "/>
    <n v="209"/>
    <n v="10.45"/>
    <n v="80"/>
    <n v="37"/>
    <n v="33"/>
    <s v="NA"/>
    <n v="1"/>
    <n v="22.8"/>
  </r>
  <r>
    <x v="70"/>
    <n v="4"/>
    <s v="P009"/>
    <x v="8"/>
    <x v="0"/>
    <s v="Bowler"/>
    <s v="Middle Order"/>
    <n v="1"/>
    <n v="1"/>
    <n v="100"/>
    <s v="not out"/>
    <n v="5"/>
    <n v="3"/>
    <n v="0"/>
    <n v="27"/>
    <n v="0"/>
    <n v="9"/>
    <n v="-5"/>
    <n v="0"/>
    <n v="0"/>
    <n v="0"/>
    <n v="0"/>
    <s v="GGTW"/>
    <s v="DCW"/>
    <s v="Dr DY Patil Sports "/>
    <n v="209"/>
    <n v="10.45"/>
    <n v="80"/>
    <n v="37"/>
    <n v="33"/>
    <s v="NA"/>
    <n v="1"/>
    <n v="20"/>
  </r>
  <r>
    <x v="70"/>
    <n v="4"/>
    <s v="P055"/>
    <x v="54"/>
    <x v="0"/>
    <s v="Bowler"/>
    <s v="Middle Order"/>
    <n v="0"/>
    <n v="1"/>
    <n v="0"/>
    <s v="bowled"/>
    <n v="0"/>
    <n v="4"/>
    <n v="0"/>
    <n v="34"/>
    <n v="2"/>
    <n v="8.5"/>
    <n v="50"/>
    <n v="0"/>
    <n v="0"/>
    <n v="50"/>
    <n v="5"/>
    <s v="GGTW"/>
    <s v="DCW"/>
    <s v="Dr DY Patil Sports "/>
    <n v="209"/>
    <n v="10.45"/>
    <n v="80"/>
    <n v="37"/>
    <n v="33"/>
    <s v="NA"/>
    <n v="1"/>
    <n v="46.5"/>
  </r>
  <r>
    <x v="70"/>
    <n v="4"/>
    <s v="P033"/>
    <x v="32"/>
    <x v="0"/>
    <s v="Bowler"/>
    <s v="Middle Order"/>
    <n v="0"/>
    <n v="1"/>
    <n v="0"/>
    <s v="bowled"/>
    <n v="0"/>
    <n v="2"/>
    <n v="0"/>
    <n v="17"/>
    <n v="0"/>
    <n v="8.5"/>
    <n v="0"/>
    <n v="0"/>
    <n v="0"/>
    <n v="0"/>
    <n v="0"/>
    <s v="GGTW"/>
    <s v="DCW"/>
    <s v="Dr DY Patil Sports "/>
    <n v="209"/>
    <n v="10.45"/>
    <n v="80"/>
    <n v="37"/>
    <n v="33"/>
    <s v="NA"/>
    <n v="1"/>
    <n v="20"/>
  </r>
  <r>
    <x v="70"/>
    <n v="4"/>
    <s v="P117"/>
    <x v="121"/>
    <x v="3"/>
    <s v="WK-Batter"/>
    <s v="Opener"/>
    <n v="86"/>
    <n v="54"/>
    <n v="159.26"/>
    <s v="caught"/>
    <n v="105"/>
    <n v="0"/>
    <n v="0"/>
    <n v="0"/>
    <n v="0"/>
    <n v="0"/>
    <n v="0"/>
    <n v="0"/>
    <n v="0"/>
    <n v="105"/>
    <n v="10"/>
    <s v="GGTW"/>
    <s v="DCW"/>
    <s v="Dr DY Patil Sports "/>
    <n v="205"/>
    <n v="10.25"/>
    <n v="47"/>
    <n v="55"/>
    <n v="33"/>
    <s v="Failed"/>
    <n v="0"/>
    <n v="55.5"/>
  </r>
  <r>
    <x v="70"/>
    <n v="4"/>
    <s v="P034"/>
    <x v="33"/>
    <x v="3"/>
    <s v="Batter"/>
    <s v="Opener"/>
    <n v="14"/>
    <n v="12"/>
    <n v="116.67"/>
    <s v="bowled"/>
    <n v="20"/>
    <n v="2"/>
    <n v="0"/>
    <n v="21"/>
    <n v="1"/>
    <n v="10.5"/>
    <n v="25"/>
    <n v="0"/>
    <n v="0"/>
    <n v="45"/>
    <n v="5"/>
    <s v="GGTW"/>
    <s v="DCW"/>
    <s v="Dr DY Patil Sports "/>
    <n v="205"/>
    <n v="10.25"/>
    <n v="47"/>
    <n v="55"/>
    <n v="33"/>
    <s v="Failed"/>
    <n v="0"/>
    <n v="24"/>
  </r>
  <r>
    <x v="70"/>
    <n v="4"/>
    <s v="P066"/>
    <x v="65"/>
    <x v="3"/>
    <s v="Batter"/>
    <s v="Top Order"/>
    <n v="77"/>
    <n v="38"/>
    <n v="202.63"/>
    <s v="caught"/>
    <n v="95"/>
    <n v="0"/>
    <n v="0"/>
    <n v="0"/>
    <n v="0"/>
    <n v="0"/>
    <n v="0"/>
    <n v="0"/>
    <n v="0"/>
    <n v="95"/>
    <n v="10"/>
    <s v="GGTW"/>
    <s v="DCW"/>
    <s v="Dr DY Patil Sports "/>
    <n v="205"/>
    <n v="10.25"/>
    <n v="47"/>
    <n v="55"/>
    <n v="33"/>
    <s v="Failed"/>
    <n v="0"/>
    <n v="50.5"/>
  </r>
  <r>
    <x v="70"/>
    <n v="4"/>
    <s v="P107"/>
    <x v="110"/>
    <x v="3"/>
    <s v="Allrounder"/>
    <s v="Middle Order"/>
    <n v="7"/>
    <n v="6"/>
    <n v="116.67"/>
    <s v="caught"/>
    <n v="10"/>
    <n v="4"/>
    <n v="0"/>
    <n v="43"/>
    <n v="2"/>
    <n v="10.8"/>
    <n v="50"/>
    <n v="0"/>
    <n v="0"/>
    <n v="60"/>
    <n v="6"/>
    <s v="GGTW"/>
    <s v="DCW"/>
    <s v="Dr DY Patil Sports "/>
    <n v="205"/>
    <n v="10.25"/>
    <n v="47"/>
    <n v="55"/>
    <n v="33"/>
    <s v="Failed"/>
    <n v="0"/>
    <n v="31.8"/>
  </r>
  <r>
    <x v="70"/>
    <n v="4"/>
    <s v="P037"/>
    <x v="36"/>
    <x v="3"/>
    <s v="Batter"/>
    <s v="Top Order"/>
    <n v="15"/>
    <n v="9"/>
    <n v="166.67"/>
    <s v="caught"/>
    <n v="25"/>
    <n v="0"/>
    <n v="0"/>
    <n v="0"/>
    <n v="0"/>
    <n v="0"/>
    <n v="0"/>
    <n v="0"/>
    <n v="0"/>
    <n v="25"/>
    <n v="3"/>
    <s v="GGTW"/>
    <s v="DCW"/>
    <s v="Dr DY Patil Sports "/>
    <n v="205"/>
    <n v="10.25"/>
    <n v="47"/>
    <n v="55"/>
    <n v="33"/>
    <s v="Failed"/>
    <n v="0"/>
    <n v="13.4"/>
  </r>
  <r>
    <x v="70"/>
    <n v="4"/>
    <s v="P036"/>
    <x v="35"/>
    <x v="3"/>
    <s v="Allrounder"/>
    <s v="Middle Order"/>
    <n v="1"/>
    <n v="2"/>
    <n v="50"/>
    <s v="not out"/>
    <n v="5"/>
    <n v="4"/>
    <n v="0"/>
    <n v="25"/>
    <n v="0"/>
    <n v="6.2"/>
    <n v="10"/>
    <n v="0"/>
    <n v="0"/>
    <n v="15"/>
    <n v="2"/>
    <s v="GGTW"/>
    <s v="DCW"/>
    <s v="Dr DY Patil Sports "/>
    <n v="205"/>
    <n v="10.25"/>
    <n v="47"/>
    <n v="55"/>
    <n v="33"/>
    <s v="Failed"/>
    <n v="0"/>
    <n v="8.1"/>
  </r>
  <r>
    <x v="70"/>
    <n v="4"/>
    <s v="P008"/>
    <x v="7"/>
    <x v="3"/>
    <s v="Allrounder"/>
    <s v="Middle Order"/>
    <n v="0"/>
    <n v="1"/>
    <n v="0"/>
    <s v="not out"/>
    <n v="5"/>
    <n v="1"/>
    <n v="0"/>
    <n v="32"/>
    <n v="0"/>
    <n v="32"/>
    <n v="-10"/>
    <n v="0"/>
    <n v="0"/>
    <n v="-5"/>
    <n v="0"/>
    <s v="GGTW"/>
    <s v="DCW"/>
    <s v="Dr DY Patil Sports "/>
    <n v="205"/>
    <n v="10.25"/>
    <n v="47"/>
    <n v="55"/>
    <n v="33"/>
    <s v="Failed"/>
    <n v="0"/>
    <n v="0"/>
  </r>
  <r>
    <x v="70"/>
    <n v="4"/>
    <s v="P100"/>
    <x v="104"/>
    <x v="3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GGTW"/>
    <s v="DCW"/>
    <s v="Dr DY Patil Sports "/>
    <n v="205"/>
    <n v="10.25"/>
    <n v="47"/>
    <n v="55"/>
    <n v="33"/>
    <s v="Failed"/>
    <n v="0"/>
    <n v="0"/>
  </r>
  <r>
    <x v="70"/>
    <n v="4"/>
    <s v="P062"/>
    <x v="61"/>
    <x v="3"/>
    <s v="Allrounder"/>
    <s v="DNB"/>
    <n v="0"/>
    <n v="0"/>
    <n v="0"/>
    <s v="DNB"/>
    <n v="0"/>
    <n v="1"/>
    <n v="0"/>
    <n v="13"/>
    <n v="0"/>
    <n v="13"/>
    <n v="-5"/>
    <n v="0"/>
    <n v="0"/>
    <n v="-5"/>
    <n v="0"/>
    <s v="GGTW"/>
    <s v="DCW"/>
    <s v="Dr DY Patil Sports "/>
    <n v="205"/>
    <n v="10.25"/>
    <n v="47"/>
    <n v="55"/>
    <n v="33"/>
    <s v="Failed"/>
    <n v="0"/>
    <n v="0"/>
  </r>
  <r>
    <x v="70"/>
    <n v="4"/>
    <s v="P119"/>
    <x v="123"/>
    <x v="3"/>
    <s v="Bowler"/>
    <s v="DNB"/>
    <n v="0"/>
    <n v="0"/>
    <n v="0"/>
    <s v="DNB"/>
    <n v="0"/>
    <n v="4"/>
    <n v="0"/>
    <n v="33"/>
    <n v="5"/>
    <n v="8.1999999999999993"/>
    <n v="125"/>
    <n v="0"/>
    <n v="0"/>
    <n v="125"/>
    <n v="10"/>
    <s v="GGTW"/>
    <s v="DCW"/>
    <s v="Dr DY Patil Sports "/>
    <n v="205"/>
    <n v="10.25"/>
    <n v="47"/>
    <n v="55"/>
    <n v="33"/>
    <s v="Failed"/>
    <n v="0"/>
    <n v="65.5"/>
  </r>
  <r>
    <x v="70"/>
    <n v="4"/>
    <s v="P118"/>
    <x v="122"/>
    <x v="3"/>
    <s v="Bowler"/>
    <s v="DNB"/>
    <n v="0"/>
    <n v="0"/>
    <n v="0"/>
    <s v="DNB"/>
    <n v="0"/>
    <n v="4"/>
    <n v="0"/>
    <n v="42"/>
    <n v="2"/>
    <n v="10.5"/>
    <n v="50"/>
    <n v="0"/>
    <n v="0"/>
    <n v="50"/>
    <n v="5"/>
    <s v="GGTW"/>
    <s v="DCW"/>
    <s v="Dr DY Patil Sports "/>
    <n v="205"/>
    <n v="10.25"/>
    <n v="47"/>
    <n v="55"/>
    <n v="33"/>
    <s v="Failed"/>
    <n v="0"/>
    <n v="26.5"/>
  </r>
  <r>
    <x v="71"/>
    <n v="4"/>
    <s v="P035"/>
    <x v="34"/>
    <x v="4"/>
    <s v="Batter"/>
    <s v="Opener"/>
    <n v="14"/>
    <n v="21"/>
    <n v="66.67"/>
    <s v="caught"/>
    <n v="10"/>
    <n v="0"/>
    <n v="0"/>
    <n v="0"/>
    <n v="0"/>
    <n v="0"/>
    <n v="0"/>
    <n v="0"/>
    <n v="0"/>
    <n v="10"/>
    <n v="1"/>
    <s v="RCBW"/>
    <s v="RCBW"/>
    <s v="Dr DY Patil Sports "/>
    <n v="143"/>
    <n v="7.15"/>
    <n v="36"/>
    <n v="43"/>
    <n v="34"/>
    <s v="NA"/>
    <n v="0"/>
    <n v="5.3"/>
  </r>
  <r>
    <x v="71"/>
    <n v="4"/>
    <s v="P003"/>
    <x v="2"/>
    <x v="4"/>
    <s v="Allrounder"/>
    <s v="Top Order"/>
    <n v="11"/>
    <n v="14"/>
    <n v="78.569999999999993"/>
    <s v="caught"/>
    <n v="10"/>
    <n v="0"/>
    <n v="0"/>
    <n v="0"/>
    <n v="0"/>
    <n v="0"/>
    <n v="0"/>
    <n v="0"/>
    <n v="0"/>
    <n v="10"/>
    <n v="1"/>
    <s v="RCBW"/>
    <s v="RCBW"/>
    <s v="Dr DY Patil Sports "/>
    <n v="143"/>
    <n v="7.15"/>
    <n v="36"/>
    <n v="43"/>
    <n v="34"/>
    <s v="NA"/>
    <n v="0"/>
    <n v="5.3"/>
  </r>
  <r>
    <x v="71"/>
    <n v="4"/>
    <s v="P078"/>
    <x v="79"/>
    <x v="4"/>
    <s v="Batter"/>
    <s v="Top Order"/>
    <n v="20"/>
    <n v="11"/>
    <n v="181.82"/>
    <s v="caught"/>
    <n v="35"/>
    <n v="0"/>
    <n v="0"/>
    <n v="0"/>
    <n v="0"/>
    <n v="0"/>
    <n v="0"/>
    <n v="0"/>
    <n v="0"/>
    <n v="35"/>
    <n v="4"/>
    <s v="RCBW"/>
    <s v="RCBW"/>
    <s v="Dr DY Patil Sports "/>
    <n v="143"/>
    <n v="7.15"/>
    <n v="36"/>
    <n v="43"/>
    <n v="34"/>
    <s v="NA"/>
    <n v="0"/>
    <n v="18.7"/>
  </r>
  <r>
    <x v="71"/>
    <n v="4"/>
    <s v="P051"/>
    <x v="50"/>
    <x v="4"/>
    <s v="Batter"/>
    <s v="Top Order"/>
    <n v="5"/>
    <n v="3"/>
    <n v="166.67"/>
    <s v="caught"/>
    <n v="15"/>
    <n v="0"/>
    <n v="0"/>
    <n v="0"/>
    <n v="0"/>
    <n v="0"/>
    <n v="0"/>
    <n v="0"/>
    <n v="0"/>
    <n v="15"/>
    <n v="2"/>
    <s v="RCBW"/>
    <s v="RCBW"/>
    <s v="Dr DY Patil Sports "/>
    <n v="143"/>
    <n v="7.15"/>
    <n v="36"/>
    <n v="43"/>
    <n v="34"/>
    <s v="NA"/>
    <n v="0"/>
    <n v="8.1"/>
  </r>
  <r>
    <x v="71"/>
    <n v="4"/>
    <s v="P048"/>
    <x v="47"/>
    <x v="4"/>
    <s v="Allrounder"/>
    <s v="Middle Order"/>
    <n v="45"/>
    <n v="35"/>
    <n v="128.57"/>
    <s v="not out"/>
    <n v="60"/>
    <n v="3.1"/>
    <n v="0"/>
    <n v="25"/>
    <n v="0"/>
    <n v="7.9"/>
    <n v="5"/>
    <n v="0"/>
    <n v="0"/>
    <n v="65"/>
    <n v="7"/>
    <s v="RCBW"/>
    <s v="RCBW"/>
    <s v="Dr DY Patil Sports "/>
    <n v="143"/>
    <n v="7.15"/>
    <n v="36"/>
    <n v="43"/>
    <n v="34"/>
    <s v="NA"/>
    <n v="0"/>
    <n v="34.6"/>
  </r>
  <r>
    <x v="71"/>
    <n v="4"/>
    <s v="P046"/>
    <x v="45"/>
    <x v="4"/>
    <s v="WK-Batter"/>
    <s v="Middle Order"/>
    <n v="0"/>
    <n v="1"/>
    <n v="0"/>
    <s v="caught"/>
    <n v="0"/>
    <n v="0"/>
    <n v="0"/>
    <n v="0"/>
    <n v="0"/>
    <n v="0"/>
    <n v="0"/>
    <n v="0"/>
    <n v="0"/>
    <n v="0"/>
    <n v="0"/>
    <s v="RCBW"/>
    <s v="RCBW"/>
    <s v="Dr DY Patil Sports "/>
    <n v="143"/>
    <n v="7.15"/>
    <n v="36"/>
    <n v="43"/>
    <n v="34"/>
    <s v="NA"/>
    <n v="0"/>
    <n v="0"/>
  </r>
  <r>
    <x v="71"/>
    <n v="4"/>
    <s v="P116"/>
    <x v="96"/>
    <x v="4"/>
    <s v="Allrounder"/>
    <s v="Middle Order"/>
    <n v="40"/>
    <n v="37"/>
    <n v="108.11"/>
    <s v="not out"/>
    <n v="50"/>
    <n v="1"/>
    <n v="0"/>
    <n v="32"/>
    <n v="0"/>
    <n v="32"/>
    <n v="-10"/>
    <n v="0"/>
    <n v="0"/>
    <n v="40"/>
    <n v="4"/>
    <s v="RCBW"/>
    <s v="RCBW"/>
    <s v="Dr DY Patil Sports "/>
    <n v="143"/>
    <n v="7.15"/>
    <n v="36"/>
    <n v="43"/>
    <n v="34"/>
    <s v="NA"/>
    <n v="0"/>
    <n v="21.2"/>
  </r>
  <r>
    <x v="71"/>
    <n v="4"/>
    <s v="P053"/>
    <x v="52"/>
    <x v="4"/>
    <s v="Bowler"/>
    <s v="DNB"/>
    <n v="0"/>
    <n v="0"/>
    <n v="0"/>
    <s v="DNB"/>
    <n v="0"/>
    <n v="2"/>
    <n v="0"/>
    <n v="20"/>
    <n v="0"/>
    <n v="10"/>
    <n v="-5"/>
    <n v="0"/>
    <n v="0"/>
    <n v="-5"/>
    <n v="0"/>
    <s v="RCBW"/>
    <s v="RCBW"/>
    <s v="Dr DY Patil Sports "/>
    <n v="143"/>
    <n v="7.15"/>
    <n v="36"/>
    <n v="43"/>
    <n v="34"/>
    <s v="NA"/>
    <n v="0"/>
    <n v="0"/>
  </r>
  <r>
    <x v="71"/>
    <n v="4"/>
    <s v="P030"/>
    <x v="29"/>
    <x v="4"/>
    <s v="Allrounder"/>
    <s v="DNB"/>
    <n v="0"/>
    <n v="0"/>
    <n v="0"/>
    <s v="DNB"/>
    <n v="0"/>
    <n v="1"/>
    <n v="0"/>
    <n v="17"/>
    <n v="0"/>
    <n v="17"/>
    <n v="-10"/>
    <n v="0"/>
    <n v="0"/>
    <n v="-10"/>
    <n v="0"/>
    <s v="RCBW"/>
    <s v="RCBW"/>
    <s v="Dr DY Patil Sports "/>
    <n v="143"/>
    <n v="7.15"/>
    <n v="36"/>
    <n v="43"/>
    <n v="34"/>
    <s v="NA"/>
    <n v="0"/>
    <n v="0"/>
  </r>
  <r>
    <x v="71"/>
    <n v="4"/>
    <s v="P042"/>
    <x v="41"/>
    <x v="4"/>
    <s v="Allrounder"/>
    <s v="DNB"/>
    <n v="0"/>
    <n v="0"/>
    <n v="0"/>
    <s v="DNB"/>
    <n v="0"/>
    <n v="3"/>
    <n v="0"/>
    <n v="28"/>
    <n v="1"/>
    <n v="9.3000000000000007"/>
    <n v="25"/>
    <n v="0"/>
    <n v="0"/>
    <n v="25"/>
    <n v="3"/>
    <s v="RCBW"/>
    <s v="RCBW"/>
    <s v="Dr DY Patil Sports "/>
    <n v="143"/>
    <n v="7.15"/>
    <n v="36"/>
    <n v="43"/>
    <n v="34"/>
    <s v="NA"/>
    <n v="0"/>
    <n v="13.4"/>
  </r>
  <r>
    <x v="71"/>
    <n v="4"/>
    <s v="P104"/>
    <x v="107"/>
    <x v="4"/>
    <s v="Bowler"/>
    <s v="DNB"/>
    <n v="0"/>
    <n v="0"/>
    <n v="0"/>
    <s v="DNB"/>
    <n v="0"/>
    <n v="2"/>
    <n v="0"/>
    <n v="18"/>
    <n v="0"/>
    <n v="9"/>
    <n v="-5"/>
    <n v="0"/>
    <n v="0"/>
    <n v="-5"/>
    <n v="0"/>
    <s v="RCBW"/>
    <s v="RCBW"/>
    <s v="Dr DY Patil Sports "/>
    <n v="143"/>
    <n v="7.15"/>
    <n v="36"/>
    <n v="43"/>
    <n v="34"/>
    <s v="NA"/>
    <n v="0"/>
    <n v="0"/>
  </r>
  <r>
    <x v="71"/>
    <n v="4"/>
    <s v="P049"/>
    <x v="48"/>
    <x v="2"/>
    <s v="Allrounder"/>
    <s v="Opener"/>
    <n v="85"/>
    <n v="40"/>
    <n v="212.5"/>
    <s v="caught"/>
    <n v="110"/>
    <n v="0"/>
    <n v="0"/>
    <n v="0"/>
    <n v="0"/>
    <n v="0"/>
    <n v="0"/>
    <n v="0"/>
    <n v="0"/>
    <n v="110"/>
    <n v="10"/>
    <s v="RCBW"/>
    <s v="RCBW"/>
    <s v="Dr DY Patil Sports "/>
    <n v="145"/>
    <n v="11.92"/>
    <n v="78"/>
    <n v="0"/>
    <n v="29"/>
    <s v="Successful"/>
    <n v="1"/>
    <n v="78"/>
  </r>
  <r>
    <x v="71"/>
    <n v="4"/>
    <s v="P023"/>
    <x v="22"/>
    <x v="2"/>
    <s v="Batter"/>
    <s v="Opener"/>
    <n v="47"/>
    <n v="32"/>
    <n v="146.88"/>
    <s v="not out"/>
    <n v="60"/>
    <n v="0"/>
    <n v="0"/>
    <n v="0"/>
    <n v="0"/>
    <n v="0"/>
    <n v="0"/>
    <n v="0"/>
    <n v="0"/>
    <n v="60"/>
    <n v="6"/>
    <s v="RCBW"/>
    <s v="RCBW"/>
    <s v="Dr DY Patil Sports "/>
    <n v="145"/>
    <n v="11.92"/>
    <n v="78"/>
    <n v="0"/>
    <n v="29"/>
    <s v="Successful"/>
    <n v="1"/>
    <n v="51.8"/>
  </r>
  <r>
    <x v="71"/>
    <n v="4"/>
    <s v="P028"/>
    <x v="27"/>
    <x v="2"/>
    <s v="WK-Batter"/>
    <s v="Middle Order"/>
    <n v="4"/>
    <n v="2"/>
    <n v="200"/>
    <s v="not out"/>
    <n v="15"/>
    <n v="0"/>
    <n v="0"/>
    <n v="0"/>
    <n v="0"/>
    <n v="0"/>
    <n v="0"/>
    <n v="0"/>
    <n v="0"/>
    <n v="15"/>
    <n v="2"/>
    <s v="RCBW"/>
    <s v="RCBW"/>
    <s v="Dr DY Patil Sports "/>
    <n v="145"/>
    <n v="11.92"/>
    <n v="78"/>
    <n v="0"/>
    <n v="29"/>
    <s v="Successful"/>
    <n v="1"/>
    <n v="28.1"/>
  </r>
  <r>
    <x v="71"/>
    <n v="4"/>
    <s v="P006"/>
    <x v="5"/>
    <x v="2"/>
    <s v="Batter"/>
    <s v="DNB"/>
    <n v="0"/>
    <n v="0"/>
    <n v="0"/>
    <s v="DNB"/>
    <n v="0"/>
    <n v="0"/>
    <n v="0"/>
    <n v="0"/>
    <n v="0"/>
    <n v="0"/>
    <n v="0"/>
    <n v="0"/>
    <n v="0"/>
    <n v="0"/>
    <n v="0"/>
    <s v="RCBW"/>
    <s v="RCBW"/>
    <s v="Dr DY Patil Sports "/>
    <n v="145"/>
    <n v="11.92"/>
    <n v="78"/>
    <n v="0"/>
    <n v="29"/>
    <s v="Successful"/>
    <n v="1"/>
    <n v="20"/>
  </r>
  <r>
    <x v="71"/>
    <n v="4"/>
    <s v="P121"/>
    <x v="124"/>
    <x v="2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RCBW"/>
    <s v="RCBW"/>
    <s v="Dr DY Patil Sports "/>
    <n v="145"/>
    <n v="11.92"/>
    <n v="78"/>
    <n v="0"/>
    <n v="29"/>
    <s v="Successful"/>
    <n v="1"/>
    <n v="20"/>
  </r>
  <r>
    <x v="71"/>
    <n v="4"/>
    <s v="P043"/>
    <x v="42"/>
    <x v="2"/>
    <s v="Bowler"/>
    <s v="DNB"/>
    <n v="0"/>
    <n v="0"/>
    <n v="0"/>
    <s v="DNB"/>
    <n v="0"/>
    <n v="0"/>
    <n v="0"/>
    <n v="0"/>
    <n v="0"/>
    <n v="0"/>
    <n v="0"/>
    <n v="0"/>
    <n v="0"/>
    <n v="0"/>
    <n v="0"/>
    <s v="RCBW"/>
    <s v="RCBW"/>
    <s v="Dr DY Patil Sports "/>
    <n v="145"/>
    <n v="11.92"/>
    <n v="78"/>
    <n v="0"/>
    <n v="29"/>
    <s v="Successful"/>
    <n v="1"/>
    <n v="20"/>
  </r>
  <r>
    <x v="71"/>
    <n v="4"/>
    <s v="P083"/>
    <x v="84"/>
    <x v="2"/>
    <s v="Allrounder"/>
    <s v="DNB"/>
    <n v="0"/>
    <n v="0"/>
    <n v="0"/>
    <s v="DNB"/>
    <n v="0"/>
    <n v="4"/>
    <n v="0"/>
    <n v="28"/>
    <n v="2"/>
    <n v="7"/>
    <n v="50"/>
    <n v="0"/>
    <n v="0"/>
    <n v="50"/>
    <n v="5"/>
    <s v="RCBW"/>
    <s v="RCBW"/>
    <s v="Dr DY Patil Sports "/>
    <n v="145"/>
    <n v="11.92"/>
    <n v="78"/>
    <n v="0"/>
    <n v="29"/>
    <s v="Successful"/>
    <n v="1"/>
    <n v="46.5"/>
  </r>
  <r>
    <x v="71"/>
    <n v="4"/>
    <s v="P041"/>
    <x v="40"/>
    <x v="2"/>
    <s v="Bowler"/>
    <s v="DNB"/>
    <n v="0"/>
    <n v="0"/>
    <n v="0"/>
    <s v="DNB"/>
    <n v="0"/>
    <n v="4"/>
    <n v="0"/>
    <n v="18"/>
    <n v="0"/>
    <n v="4.5"/>
    <n v="15"/>
    <n v="0"/>
    <n v="0"/>
    <n v="15"/>
    <n v="2"/>
    <s v="RCBW"/>
    <s v="RCBW"/>
    <s v="Dr DY Patil Sports "/>
    <n v="145"/>
    <n v="11.92"/>
    <n v="78"/>
    <n v="0"/>
    <n v="29"/>
    <s v="Successful"/>
    <n v="1"/>
    <n v="28.1"/>
  </r>
  <r>
    <x v="71"/>
    <n v="4"/>
    <s v="P059"/>
    <x v="58"/>
    <x v="2"/>
    <s v="Allrounder"/>
    <s v="DNB"/>
    <n v="0"/>
    <n v="0"/>
    <n v="0"/>
    <s v="DNB"/>
    <n v="0"/>
    <n v="4"/>
    <n v="0"/>
    <n v="50"/>
    <n v="2"/>
    <n v="12.5"/>
    <n v="50"/>
    <n v="0"/>
    <n v="0"/>
    <n v="50"/>
    <n v="5"/>
    <s v="RCBW"/>
    <s v="RCBW"/>
    <s v="Dr DY Patil Sports "/>
    <n v="145"/>
    <n v="11.92"/>
    <n v="78"/>
    <n v="0"/>
    <n v="29"/>
    <s v="Successful"/>
    <n v="1"/>
    <n v="46.5"/>
  </r>
  <r>
    <x v="71"/>
    <n v="4"/>
    <s v="P114"/>
    <x v="117"/>
    <x v="2"/>
    <s v="Bowler"/>
    <s v="DNB"/>
    <n v="0"/>
    <n v="0"/>
    <n v="0"/>
    <s v="DNB"/>
    <n v="0"/>
    <n v="4"/>
    <n v="0"/>
    <n v="30"/>
    <n v="0"/>
    <n v="7.5"/>
    <n v="5"/>
    <n v="0"/>
    <n v="0"/>
    <n v="5"/>
    <n v="1"/>
    <s v="RCBW"/>
    <s v="RCBW"/>
    <s v="Dr DY Patil Sports "/>
    <n v="145"/>
    <n v="11.92"/>
    <n v="78"/>
    <n v="0"/>
    <n v="29"/>
    <s v="Successful"/>
    <n v="1"/>
    <n v="22.8"/>
  </r>
  <r>
    <x v="71"/>
    <n v="4"/>
    <s v="P113"/>
    <x v="118"/>
    <x v="2"/>
    <s v="Bowler"/>
    <s v="DNB"/>
    <n v="0"/>
    <n v="0"/>
    <n v="0"/>
    <s v="DNB"/>
    <n v="0"/>
    <n v="4"/>
    <n v="0"/>
    <n v="16"/>
    <n v="1"/>
    <n v="4"/>
    <n v="35"/>
    <n v="0"/>
    <n v="0"/>
    <n v="35"/>
    <n v="4"/>
    <s v="RCBW"/>
    <s v="RCBW"/>
    <s v="Dr DY Patil Sports "/>
    <n v="145"/>
    <n v="11.92"/>
    <n v="78"/>
    <n v="0"/>
    <n v="29"/>
    <s v="Successful"/>
    <n v="1"/>
    <n v="38.700000000000003"/>
  </r>
  <r>
    <x v="72"/>
    <n v="4"/>
    <s v="P001"/>
    <x v="0"/>
    <x v="0"/>
    <s v="WK-Batter"/>
    <s v="Opener"/>
    <n v="33"/>
    <n v="26"/>
    <n v="126.92"/>
    <s v="caught"/>
    <n v="40"/>
    <n v="0"/>
    <n v="0"/>
    <n v="0"/>
    <n v="0"/>
    <n v="0"/>
    <n v="0"/>
    <n v="0"/>
    <n v="0"/>
    <n v="40"/>
    <n v="4"/>
    <s v="MIW"/>
    <s v="MIW"/>
    <s v="Dr DY Patil Sports "/>
    <n v="192"/>
    <n v="9.6"/>
    <n v="62"/>
    <n v="56"/>
    <n v="27"/>
    <s v="NA"/>
    <n v="0"/>
    <n v="21.2"/>
  </r>
  <r>
    <x v="72"/>
    <n v="4"/>
    <s v="P024"/>
    <x v="23"/>
    <x v="0"/>
    <s v="Allrounder"/>
    <s v="Top Order"/>
    <n v="8"/>
    <n v="4"/>
    <n v="200"/>
    <s v="caught"/>
    <n v="20"/>
    <n v="3.2"/>
    <n v="0"/>
    <n v="29"/>
    <n v="1"/>
    <n v="8.6999999999999993"/>
    <n v="35"/>
    <n v="0"/>
    <n v="0"/>
    <n v="55"/>
    <n v="6"/>
    <s v="MIW"/>
    <s v="MIW"/>
    <s v="Dr DY Patil Sports "/>
    <n v="192"/>
    <n v="9.6"/>
    <n v="62"/>
    <n v="56"/>
    <n v="27"/>
    <s v="NA"/>
    <n v="0"/>
    <n v="29.3"/>
  </r>
  <r>
    <x v="72"/>
    <n v="4"/>
    <s v="P029"/>
    <x v="28"/>
    <x v="0"/>
    <s v="Allrounder"/>
    <s v="Top Order"/>
    <n v="35"/>
    <n v="18"/>
    <n v="194.44"/>
    <s v="caught"/>
    <n v="55"/>
    <n v="0"/>
    <n v="0"/>
    <n v="0"/>
    <n v="0"/>
    <n v="0"/>
    <n v="0"/>
    <n v="0"/>
    <n v="0"/>
    <n v="55"/>
    <n v="6"/>
    <s v="MIW"/>
    <s v="MIW"/>
    <s v="Dr DY Patil Sports "/>
    <n v="192"/>
    <n v="9.6"/>
    <n v="62"/>
    <n v="56"/>
    <n v="27"/>
    <s v="NA"/>
    <n v="0"/>
    <n v="29.3"/>
  </r>
  <r>
    <x v="72"/>
    <n v="4"/>
    <s v="P004"/>
    <x v="3"/>
    <x v="0"/>
    <s v="Allrounder"/>
    <s v="Top Order"/>
    <n v="20"/>
    <n v="11"/>
    <n v="181.82"/>
    <s v="lbw"/>
    <n v="30"/>
    <n v="1"/>
    <n v="0"/>
    <n v="10"/>
    <n v="0"/>
    <n v="10"/>
    <n v="5"/>
    <n v="0"/>
    <n v="0"/>
    <n v="35"/>
    <n v="4"/>
    <s v="MIW"/>
    <s v="MIW"/>
    <s v="Dr DY Patil Sports "/>
    <n v="192"/>
    <n v="9.6"/>
    <n v="62"/>
    <n v="56"/>
    <n v="27"/>
    <s v="NA"/>
    <n v="0"/>
    <n v="18.7"/>
  </r>
  <r>
    <x v="72"/>
    <n v="4"/>
    <s v="P007"/>
    <x v="6"/>
    <x v="0"/>
    <s v="Allrounder"/>
    <s v="Middle Order"/>
    <n v="43"/>
    <n v="33"/>
    <n v="130.30000000000001"/>
    <s v="not out"/>
    <n v="55"/>
    <n v="2"/>
    <n v="0"/>
    <n v="23"/>
    <n v="0"/>
    <n v="11.5"/>
    <n v="-5"/>
    <n v="0"/>
    <n v="0"/>
    <n v="50"/>
    <n v="5"/>
    <s v="MIW"/>
    <s v="MIW"/>
    <s v="Dr DY Patil Sports "/>
    <n v="192"/>
    <n v="9.6"/>
    <n v="62"/>
    <n v="56"/>
    <n v="27"/>
    <s v="NA"/>
    <n v="0"/>
    <n v="26.5"/>
  </r>
  <r>
    <x v="72"/>
    <n v="4"/>
    <s v="P123"/>
    <x v="125"/>
    <x v="0"/>
    <s v="Allrounder"/>
    <s v="Middle Order"/>
    <n v="11"/>
    <n v="14"/>
    <n v="78.569999999999993"/>
    <s v="run out"/>
    <n v="10"/>
    <n v="0"/>
    <n v="0"/>
    <n v="0"/>
    <n v="0"/>
    <n v="0"/>
    <n v="0"/>
    <n v="0"/>
    <n v="0"/>
    <n v="10"/>
    <n v="1"/>
    <s v="MIW"/>
    <s v="MIW"/>
    <s v="Dr DY Patil Sports "/>
    <n v="192"/>
    <n v="9.6"/>
    <n v="62"/>
    <n v="56"/>
    <n v="27"/>
    <s v="NA"/>
    <n v="0"/>
    <n v="5.3"/>
  </r>
  <r>
    <x v="72"/>
    <n v="4"/>
    <s v="P093"/>
    <x v="93"/>
    <x v="0"/>
    <s v="Batter"/>
    <s v="Middle Order"/>
    <n v="36"/>
    <n v="15"/>
    <n v="240"/>
    <s v="not out"/>
    <n v="55"/>
    <n v="0"/>
    <n v="0"/>
    <n v="0"/>
    <n v="0"/>
    <n v="0"/>
    <n v="0"/>
    <n v="0"/>
    <n v="0"/>
    <n v="55"/>
    <n v="6"/>
    <s v="MIW"/>
    <s v="MIW"/>
    <s v="Dr DY Patil Sports "/>
    <n v="192"/>
    <n v="9.6"/>
    <n v="62"/>
    <n v="56"/>
    <n v="27"/>
    <s v="NA"/>
    <n v="0"/>
    <n v="29.3"/>
  </r>
  <r>
    <x v="72"/>
    <n v="4"/>
    <s v="P098"/>
    <x v="98"/>
    <x v="0"/>
    <s v="Allrounder"/>
    <s v="DNB"/>
    <n v="0"/>
    <n v="0"/>
    <n v="0"/>
    <s v="DNB"/>
    <n v="0"/>
    <n v="4"/>
    <n v="0"/>
    <n v="33"/>
    <n v="1"/>
    <n v="8.1999999999999993"/>
    <n v="35"/>
    <n v="0"/>
    <n v="0"/>
    <n v="35"/>
    <n v="4"/>
    <s v="MIW"/>
    <s v="MIW"/>
    <s v="Dr DY Patil Sports "/>
    <n v="192"/>
    <n v="9.6"/>
    <n v="62"/>
    <n v="56"/>
    <n v="27"/>
    <s v="NA"/>
    <n v="0"/>
    <n v="18.7"/>
  </r>
  <r>
    <x v="72"/>
    <n v="4"/>
    <s v="P009"/>
    <x v="8"/>
    <x v="0"/>
    <s v="Bowler"/>
    <s v="DNB"/>
    <n v="0"/>
    <n v="0"/>
    <n v="0"/>
    <s v="DNB"/>
    <n v="0"/>
    <n v="3"/>
    <n v="0"/>
    <n v="29"/>
    <n v="0"/>
    <n v="9.6999999999999993"/>
    <n v="-5"/>
    <n v="0"/>
    <n v="0"/>
    <n v="-5"/>
    <n v="0"/>
    <s v="MIW"/>
    <s v="MIW"/>
    <s v="Dr DY Patil Sports "/>
    <n v="192"/>
    <n v="9.6"/>
    <n v="62"/>
    <n v="56"/>
    <n v="27"/>
    <s v="NA"/>
    <n v="0"/>
    <n v="0"/>
  </r>
  <r>
    <x v="72"/>
    <n v="4"/>
    <s v="P055"/>
    <x v="54"/>
    <x v="0"/>
    <s v="Bowler"/>
    <s v="DNB"/>
    <n v="0"/>
    <n v="0"/>
    <n v="0"/>
    <s v="DNB"/>
    <n v="0"/>
    <n v="2"/>
    <n v="0"/>
    <n v="22"/>
    <n v="0"/>
    <n v="11"/>
    <n v="-10"/>
    <n v="0"/>
    <n v="0"/>
    <n v="-10"/>
    <n v="0"/>
    <s v="MIW"/>
    <s v="MIW"/>
    <s v="Dr DY Patil Sports "/>
    <n v="192"/>
    <n v="9.6"/>
    <n v="62"/>
    <n v="56"/>
    <n v="27"/>
    <s v="NA"/>
    <n v="0"/>
    <n v="0"/>
  </r>
  <r>
    <x v="72"/>
    <n v="4"/>
    <s v="P033"/>
    <x v="32"/>
    <x v="0"/>
    <s v="Bowler"/>
    <s v="DNB"/>
    <n v="0"/>
    <n v="0"/>
    <n v="0"/>
    <s v="DNB"/>
    <n v="0"/>
    <n v="4"/>
    <n v="0"/>
    <n v="39"/>
    <n v="1"/>
    <n v="9.8000000000000007"/>
    <n v="25"/>
    <n v="0"/>
    <n v="0"/>
    <n v="25"/>
    <n v="3"/>
    <s v="MIW"/>
    <s v="MIW"/>
    <s v="Dr DY Patil Sports "/>
    <n v="192"/>
    <n v="9.6"/>
    <n v="62"/>
    <n v="56"/>
    <n v="27"/>
    <s v="NA"/>
    <n v="0"/>
    <n v="13.4"/>
  </r>
  <r>
    <x v="72"/>
    <n v="4"/>
    <s v="P122"/>
    <x v="126"/>
    <x v="1"/>
    <s v="WK-Batter"/>
    <s v="Opener"/>
    <n v="13"/>
    <n v="12"/>
    <n v="108.33"/>
    <s v="stumped"/>
    <n v="20"/>
    <n v="0"/>
    <n v="0"/>
    <n v="0"/>
    <n v="0"/>
    <n v="0"/>
    <n v="0"/>
    <n v="0"/>
    <n v="0"/>
    <n v="20"/>
    <n v="2"/>
    <s v="MIW"/>
    <s v="MIW"/>
    <s v="Dr DY Patil Sports "/>
    <n v="193"/>
    <n v="9.98"/>
    <n v="48"/>
    <n v="39"/>
    <n v="30"/>
    <s v="Successful"/>
    <n v="1"/>
    <n v="30.6"/>
  </r>
  <r>
    <x v="72"/>
    <n v="4"/>
    <s v="P012"/>
    <x v="11"/>
    <x v="1"/>
    <s v="Allrounder"/>
    <s v="Opener"/>
    <n v="22"/>
    <n v="12"/>
    <n v="183.33"/>
    <s v="caught"/>
    <n v="40"/>
    <n v="3"/>
    <n v="0"/>
    <n v="34"/>
    <n v="1"/>
    <n v="11.3"/>
    <n v="25"/>
    <n v="0"/>
    <n v="0"/>
    <n v="65"/>
    <n v="7"/>
    <s v="MIW"/>
    <s v="MIW"/>
    <s v="Dr DY Patil Sports "/>
    <n v="193"/>
    <n v="9.98"/>
    <n v="48"/>
    <n v="39"/>
    <n v="30"/>
    <s v="Successful"/>
    <n v="1"/>
    <n v="54.6"/>
  </r>
  <r>
    <x v="72"/>
    <n v="4"/>
    <s v="P017"/>
    <x v="16"/>
    <x v="1"/>
    <s v="Allrounder"/>
    <s v="Top Order"/>
    <n v="40"/>
    <n v="26"/>
    <n v="153.85"/>
    <s v="caught"/>
    <n v="55"/>
    <n v="4"/>
    <n v="0"/>
    <n v="48"/>
    <n v="0"/>
    <n v="12"/>
    <n v="-5"/>
    <n v="0"/>
    <n v="0"/>
    <n v="50"/>
    <n v="5"/>
    <s v="MIW"/>
    <s v="MIW"/>
    <s v="Dr DY Patil Sports "/>
    <n v="193"/>
    <n v="9.98"/>
    <n v="48"/>
    <n v="39"/>
    <n v="30"/>
    <s v="Successful"/>
    <n v="1"/>
    <n v="46.5"/>
  </r>
  <r>
    <x v="72"/>
    <n v="4"/>
    <s v="P014"/>
    <x v="13"/>
    <x v="1"/>
    <s v="Allrounder"/>
    <s v="Middle Order"/>
    <n v="71"/>
    <n v="43"/>
    <n v="165.12"/>
    <s v="not out"/>
    <n v="95"/>
    <n v="0"/>
    <n v="0"/>
    <n v="0"/>
    <n v="0"/>
    <n v="0"/>
    <n v="0"/>
    <n v="0"/>
    <n v="0"/>
    <n v="95"/>
    <n v="10"/>
    <s v="MIW"/>
    <s v="MIW"/>
    <s v="Dr DY Patil Sports "/>
    <n v="193"/>
    <n v="9.98"/>
    <n v="48"/>
    <n v="39"/>
    <n v="30"/>
    <s v="Successful"/>
    <n v="1"/>
    <n v="70.5"/>
  </r>
  <r>
    <x v="72"/>
    <n v="4"/>
    <s v="P112"/>
    <x v="116"/>
    <x v="1"/>
    <s v="Allrounder"/>
    <s v="Middle Order"/>
    <n v="38"/>
    <n v="23"/>
    <n v="165.22"/>
    <s v="not out"/>
    <n v="55"/>
    <n v="4"/>
    <n v="0"/>
    <n v="36"/>
    <n v="1"/>
    <n v="9"/>
    <n v="25"/>
    <n v="0"/>
    <n v="0"/>
    <n v="80"/>
    <n v="8"/>
    <s v="MIW"/>
    <s v="MIW"/>
    <s v="Dr DY Patil Sports "/>
    <n v="193"/>
    <n v="9.98"/>
    <n v="48"/>
    <n v="39"/>
    <n v="30"/>
    <s v="Successful"/>
    <n v="1"/>
    <n v="62.4"/>
  </r>
  <r>
    <x v="72"/>
    <n v="4"/>
    <s v="P016"/>
    <x v="15"/>
    <x v="1"/>
    <s v="Allrounder"/>
    <s v="DNB"/>
    <n v="0"/>
    <n v="0"/>
    <n v="0"/>
    <s v="DNB"/>
    <n v="0"/>
    <n v="4"/>
    <n v="0"/>
    <n v="40"/>
    <n v="1"/>
    <n v="10"/>
    <n v="25"/>
    <n v="0"/>
    <n v="0"/>
    <n v="25"/>
    <n v="3"/>
    <s v="MIW"/>
    <s v="MIW"/>
    <s v="Dr DY Patil Sports "/>
    <n v="193"/>
    <n v="9.98"/>
    <n v="48"/>
    <n v="39"/>
    <n v="30"/>
    <s v="Successful"/>
    <n v="1"/>
    <n v="33.4"/>
  </r>
  <r>
    <x v="72"/>
    <n v="4"/>
    <s v="P072"/>
    <x v="72"/>
    <x v="1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MIW"/>
    <s v="MIW"/>
    <s v="Dr DY Patil Sports "/>
    <n v="193"/>
    <n v="9.98"/>
    <n v="48"/>
    <n v="39"/>
    <n v="30"/>
    <s v="Successful"/>
    <n v="1"/>
    <n v="20"/>
  </r>
  <r>
    <x v="72"/>
    <n v="4"/>
    <s v="P102"/>
    <x v="103"/>
    <x v="1"/>
    <s v="Allrounder"/>
    <s v="DNB"/>
    <n v="0"/>
    <n v="0"/>
    <n v="0"/>
    <s v="DNB"/>
    <n v="0"/>
    <n v="1"/>
    <n v="0"/>
    <n v="5"/>
    <n v="0"/>
    <n v="5"/>
    <n v="15"/>
    <n v="0"/>
    <n v="0"/>
    <n v="15"/>
    <n v="2"/>
    <s v="MIW"/>
    <s v="MIW"/>
    <s v="Dr DY Patil Sports "/>
    <n v="193"/>
    <n v="9.98"/>
    <n v="48"/>
    <n v="39"/>
    <n v="30"/>
    <s v="Successful"/>
    <n v="1"/>
    <n v="28.1"/>
  </r>
  <r>
    <x v="72"/>
    <n v="4"/>
    <s v="P061"/>
    <x v="60"/>
    <x v="1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MIW"/>
    <s v="MIW"/>
    <s v="Dr DY Patil Sports "/>
    <n v="193"/>
    <n v="9.98"/>
    <n v="48"/>
    <n v="39"/>
    <n v="30"/>
    <s v="Successful"/>
    <n v="1"/>
    <n v="20"/>
  </r>
  <r>
    <x v="72"/>
    <n v="4"/>
    <s v="P060"/>
    <x v="59"/>
    <x v="1"/>
    <s v="Bowler"/>
    <s v="DNB"/>
    <n v="0"/>
    <n v="0"/>
    <n v="0"/>
    <s v="DNB"/>
    <n v="0"/>
    <n v="4"/>
    <n v="0"/>
    <n v="25"/>
    <n v="1"/>
    <n v="6.2"/>
    <n v="35"/>
    <n v="0"/>
    <n v="0"/>
    <n v="35"/>
    <n v="4"/>
    <s v="MIW"/>
    <s v="MIW"/>
    <s v="Dr DY Patil Sports "/>
    <n v="193"/>
    <n v="9.98"/>
    <n v="48"/>
    <n v="39"/>
    <n v="30"/>
    <s v="Successful"/>
    <n v="1"/>
    <n v="38.700000000000003"/>
  </r>
  <r>
    <x v="72"/>
    <n v="4"/>
    <s v="P120"/>
    <x v="120"/>
    <x v="1"/>
    <s v="Bowler"/>
    <s v="DNB"/>
    <n v="0"/>
    <n v="0"/>
    <n v="0"/>
    <s v="DNB"/>
    <n v="0"/>
    <n v="0"/>
    <n v="0"/>
    <n v="0"/>
    <n v="0"/>
    <n v="0"/>
    <n v="0"/>
    <n v="0"/>
    <n v="0"/>
    <n v="0"/>
    <n v="0"/>
    <s v="MIW"/>
    <s v="MIW"/>
    <s v="Dr DY Patil Sports "/>
    <n v="193"/>
    <n v="9.98"/>
    <n v="48"/>
    <n v="39"/>
    <n v="30"/>
    <s v="Successful"/>
    <n v="1"/>
    <n v="20"/>
  </r>
  <r>
    <x v="73"/>
    <n v="4"/>
    <s v="P051"/>
    <x v="50"/>
    <x v="4"/>
    <s v="Batter"/>
    <s v="Opener"/>
    <n v="0"/>
    <n v="3"/>
    <n v="0"/>
    <s v="caught"/>
    <n v="0"/>
    <n v="0"/>
    <n v="0"/>
    <n v="0"/>
    <n v="0"/>
    <n v="0"/>
    <n v="0"/>
    <n v="0"/>
    <n v="0"/>
    <n v="0"/>
    <n v="0"/>
    <s v="DCW"/>
    <s v="DCW"/>
    <s v="Dr DY Patil Sports "/>
    <n v="154"/>
    <n v="7.7"/>
    <n v="47"/>
    <n v="16"/>
    <n v="36"/>
    <s v="NA"/>
    <n v="0"/>
    <n v="0"/>
  </r>
  <r>
    <x v="73"/>
    <n v="4"/>
    <s v="P035"/>
    <x v="34"/>
    <x v="4"/>
    <s v="Batter"/>
    <s v="Opener"/>
    <n v="54"/>
    <n v="38"/>
    <n v="142.11000000000001"/>
    <s v="caught"/>
    <n v="70"/>
    <n v="0"/>
    <n v="0"/>
    <n v="0"/>
    <n v="0"/>
    <n v="0"/>
    <n v="0"/>
    <n v="0"/>
    <n v="0"/>
    <n v="70"/>
    <n v="7"/>
    <s v="DCW"/>
    <s v="DCW"/>
    <s v="Dr DY Patil Sports "/>
    <n v="154"/>
    <n v="7.7"/>
    <n v="47"/>
    <n v="16"/>
    <n v="36"/>
    <s v="NA"/>
    <n v="0"/>
    <n v="37.1"/>
  </r>
  <r>
    <x v="73"/>
    <n v="4"/>
    <s v="P078"/>
    <x v="79"/>
    <x v="4"/>
    <s v="Batter"/>
    <s v="Top Order"/>
    <n v="27"/>
    <n v="20"/>
    <n v="135"/>
    <s v="stumped"/>
    <n v="35"/>
    <n v="0"/>
    <n v="0"/>
    <n v="0"/>
    <n v="0"/>
    <n v="0"/>
    <n v="0"/>
    <n v="0"/>
    <n v="0"/>
    <n v="35"/>
    <n v="4"/>
    <s v="DCW"/>
    <s v="DCW"/>
    <s v="Dr DY Patil Sports "/>
    <n v="154"/>
    <n v="7.7"/>
    <n v="47"/>
    <n v="16"/>
    <n v="36"/>
    <s v="NA"/>
    <n v="0"/>
    <n v="18.7"/>
  </r>
  <r>
    <x v="73"/>
    <n v="4"/>
    <s v="P003"/>
    <x v="2"/>
    <x v="4"/>
    <s v="Allrounder"/>
    <s v="Top Order"/>
    <n v="47"/>
    <n v="36"/>
    <n v="130.56"/>
    <s v="run out"/>
    <n v="55"/>
    <n v="0"/>
    <n v="0"/>
    <n v="0"/>
    <n v="0"/>
    <n v="0"/>
    <n v="0"/>
    <n v="0"/>
    <n v="0"/>
    <n v="55"/>
    <n v="6"/>
    <s v="DCW"/>
    <s v="DCW"/>
    <s v="Dr DY Patil Sports "/>
    <n v="154"/>
    <n v="7.7"/>
    <n v="47"/>
    <n v="16"/>
    <n v="36"/>
    <s v="NA"/>
    <n v="0"/>
    <n v="29.3"/>
  </r>
  <r>
    <x v="73"/>
    <n v="4"/>
    <s v="P046"/>
    <x v="45"/>
    <x v="4"/>
    <s v="WK-Batter"/>
    <s v="Middle Order"/>
    <n v="11"/>
    <n v="12"/>
    <n v="91.67"/>
    <s v="caught"/>
    <n v="10"/>
    <n v="0"/>
    <n v="0"/>
    <n v="0"/>
    <n v="0"/>
    <n v="0"/>
    <n v="0"/>
    <n v="0"/>
    <n v="0"/>
    <n v="10"/>
    <n v="1"/>
    <s v="DCW"/>
    <s v="DCW"/>
    <s v="Dr DY Patil Sports "/>
    <n v="154"/>
    <n v="7.7"/>
    <n v="47"/>
    <n v="16"/>
    <n v="36"/>
    <s v="NA"/>
    <n v="0"/>
    <n v="5.3"/>
  </r>
  <r>
    <x v="73"/>
    <n v="4"/>
    <s v="P124"/>
    <x v="127"/>
    <x v="4"/>
    <s v="Allrounder"/>
    <s v="Middle Order"/>
    <n v="1"/>
    <n v="3"/>
    <n v="33.33"/>
    <s v="caught"/>
    <n v="1"/>
    <n v="3"/>
    <n v="0"/>
    <n v="35"/>
    <n v="0"/>
    <n v="11.7"/>
    <n v="-10"/>
    <n v="0"/>
    <n v="0"/>
    <n v="-9"/>
    <n v="0"/>
    <s v="DCW"/>
    <s v="DCW"/>
    <s v="Dr DY Patil Sports "/>
    <n v="154"/>
    <n v="7.7"/>
    <n v="47"/>
    <n v="16"/>
    <n v="36"/>
    <s v="NA"/>
    <n v="0"/>
    <n v="0"/>
  </r>
  <r>
    <x v="73"/>
    <n v="4"/>
    <s v="P053"/>
    <x v="52"/>
    <x v="4"/>
    <s v="Bowler"/>
    <s v="Middle Order"/>
    <n v="3"/>
    <n v="5"/>
    <n v="60"/>
    <s v="lbw"/>
    <n v="3"/>
    <n v="4"/>
    <n v="0"/>
    <n v="44"/>
    <n v="0"/>
    <n v="11"/>
    <n v="-10"/>
    <n v="0"/>
    <n v="0"/>
    <n v="-7"/>
    <n v="0"/>
    <s v="DCW"/>
    <s v="DCW"/>
    <s v="Dr DY Patil Sports "/>
    <n v="154"/>
    <n v="7.7"/>
    <n v="47"/>
    <n v="16"/>
    <n v="36"/>
    <s v="NA"/>
    <n v="0"/>
    <n v="0"/>
  </r>
  <r>
    <x v="73"/>
    <n v="4"/>
    <s v="P030"/>
    <x v="29"/>
    <x v="4"/>
    <s v="Allrounder"/>
    <s v="Middle Order"/>
    <n v="1"/>
    <n v="1"/>
    <n v="100"/>
    <s v="not out"/>
    <n v="6"/>
    <n v="4"/>
    <n v="0"/>
    <n v="20"/>
    <n v="1"/>
    <n v="5"/>
    <n v="35"/>
    <n v="0"/>
    <n v="0"/>
    <n v="41"/>
    <n v="4"/>
    <s v="DCW"/>
    <s v="DCW"/>
    <s v="Dr DY Patil Sports "/>
    <n v="154"/>
    <n v="7.7"/>
    <n v="47"/>
    <n v="16"/>
    <n v="36"/>
    <s v="NA"/>
    <n v="0"/>
    <n v="21.7"/>
  </r>
  <r>
    <x v="73"/>
    <n v="4"/>
    <s v="P048"/>
    <x v="47"/>
    <x v="4"/>
    <s v="Allrounder"/>
    <s v="Middle Order"/>
    <n v="2"/>
    <n v="2"/>
    <n v="100"/>
    <s v="caught"/>
    <n v="2"/>
    <n v="3"/>
    <n v="0"/>
    <n v="26"/>
    <n v="2"/>
    <n v="8.6999999999999993"/>
    <n v="50"/>
    <n v="0"/>
    <n v="0"/>
    <n v="52"/>
    <n v="5"/>
    <s v="DCW"/>
    <s v="DCW"/>
    <s v="Dr DY Patil Sports "/>
    <n v="154"/>
    <n v="7.7"/>
    <n v="47"/>
    <n v="16"/>
    <n v="36"/>
    <s v="NA"/>
    <n v="0"/>
    <n v="27.5"/>
  </r>
  <r>
    <x v="73"/>
    <n v="4"/>
    <s v="P042"/>
    <x v="41"/>
    <x v="4"/>
    <s v="Allrounder"/>
    <s v="Middle Order"/>
    <n v="2"/>
    <n v="1"/>
    <n v="200"/>
    <s v="not out"/>
    <n v="9"/>
    <n v="4"/>
    <n v="0"/>
    <n v="22"/>
    <n v="0"/>
    <n v="5.5"/>
    <n v="15"/>
    <n v="0"/>
    <n v="0"/>
    <n v="24"/>
    <n v="2"/>
    <s v="DCW"/>
    <s v="DCW"/>
    <s v="Dr DY Patil Sports "/>
    <n v="154"/>
    <n v="7.7"/>
    <n v="47"/>
    <n v="16"/>
    <n v="36"/>
    <s v="NA"/>
    <n v="0"/>
    <n v="12.6"/>
  </r>
  <r>
    <x v="73"/>
    <n v="4"/>
    <s v="P104"/>
    <x v="107"/>
    <x v="4"/>
    <s v="Bowler"/>
    <s v="DNB"/>
    <n v="0"/>
    <n v="0"/>
    <n v="0"/>
    <s v="DNB"/>
    <n v="0"/>
    <n v="2"/>
    <n v="0"/>
    <n v="10"/>
    <n v="0"/>
    <n v="5"/>
    <n v="15"/>
    <n v="0"/>
    <n v="0"/>
    <n v="15"/>
    <n v="2"/>
    <s v="DCW"/>
    <s v="DCW"/>
    <s v="Dr DY Patil Sports "/>
    <n v="154"/>
    <n v="7.7"/>
    <n v="47"/>
    <n v="16"/>
    <n v="36"/>
    <s v="NA"/>
    <n v="0"/>
    <n v="8.1"/>
  </r>
  <r>
    <x v="73"/>
    <n v="4"/>
    <s v="P034"/>
    <x v="33"/>
    <x v="3"/>
    <s v="Batter"/>
    <s v="Opener"/>
    <n v="36"/>
    <n v="32"/>
    <n v="112.5"/>
    <s v="caught"/>
    <n v="35"/>
    <n v="4"/>
    <n v="0"/>
    <n v="16"/>
    <n v="2"/>
    <n v="4"/>
    <n v="60"/>
    <n v="0"/>
    <n v="0"/>
    <n v="95"/>
    <n v="10"/>
    <s v="DCW"/>
    <s v="DCW"/>
    <s v="Dr DY Patil Sports "/>
    <n v="158"/>
    <n v="7.9"/>
    <n v="46"/>
    <n v="30"/>
    <n v="33"/>
    <s v="Successful"/>
    <n v="1"/>
    <n v="70.5"/>
  </r>
  <r>
    <x v="73"/>
    <n v="4"/>
    <s v="P117"/>
    <x v="121"/>
    <x v="3"/>
    <s v="WK-Batter"/>
    <s v="Opener"/>
    <n v="67"/>
    <n v="44"/>
    <n v="152.27000000000001"/>
    <s v="caught"/>
    <n v="85"/>
    <n v="0"/>
    <n v="0"/>
    <n v="0"/>
    <n v="0"/>
    <n v="0"/>
    <n v="0"/>
    <n v="0"/>
    <n v="0"/>
    <n v="85"/>
    <n v="9"/>
    <s v="DCW"/>
    <s v="DCW"/>
    <s v="Dr DY Patil Sports "/>
    <n v="158"/>
    <n v="7.9"/>
    <n v="46"/>
    <n v="30"/>
    <n v="33"/>
    <s v="Successful"/>
    <n v="1"/>
    <n v="65.2"/>
  </r>
  <r>
    <x v="73"/>
    <n v="4"/>
    <s v="P066"/>
    <x v="65"/>
    <x v="3"/>
    <s v="Batter"/>
    <s v="Top Order"/>
    <n v="25"/>
    <n v="24"/>
    <n v="104.17"/>
    <s v="not out"/>
    <n v="30"/>
    <n v="0"/>
    <n v="0"/>
    <n v="0"/>
    <n v="0"/>
    <n v="0"/>
    <n v="0"/>
    <n v="0"/>
    <n v="0"/>
    <n v="30"/>
    <n v="3"/>
    <s v="DCW"/>
    <s v="DCW"/>
    <s v="Dr DY Patil Sports "/>
    <n v="158"/>
    <n v="7.9"/>
    <n v="46"/>
    <n v="30"/>
    <n v="33"/>
    <s v="Successful"/>
    <n v="1"/>
    <n v="35.9"/>
  </r>
  <r>
    <x v="73"/>
    <n v="4"/>
    <s v="P037"/>
    <x v="36"/>
    <x v="3"/>
    <s v="Batter"/>
    <s v="Top Order"/>
    <n v="21"/>
    <n v="14"/>
    <n v="150"/>
    <s v="caught"/>
    <n v="30"/>
    <n v="0"/>
    <n v="0"/>
    <n v="0"/>
    <n v="0"/>
    <n v="0"/>
    <n v="0"/>
    <n v="0"/>
    <n v="0"/>
    <n v="30"/>
    <n v="3"/>
    <s v="DCW"/>
    <s v="DCW"/>
    <s v="Dr DY Patil Sports "/>
    <n v="158"/>
    <n v="7.9"/>
    <n v="46"/>
    <n v="30"/>
    <n v="33"/>
    <s v="Successful"/>
    <n v="1"/>
    <n v="35.9"/>
  </r>
  <r>
    <x v="73"/>
    <n v="4"/>
    <s v="P036"/>
    <x v="35"/>
    <x v="3"/>
    <s v="Allrounder"/>
    <s v="Middle Order"/>
    <n v="5"/>
    <n v="6"/>
    <n v="83.33"/>
    <s v="not out"/>
    <n v="5"/>
    <n v="4"/>
    <n v="1"/>
    <n v="24"/>
    <n v="2"/>
    <n v="6"/>
    <n v="60"/>
    <n v="0"/>
    <n v="0"/>
    <n v="65"/>
    <n v="7"/>
    <s v="DCW"/>
    <s v="DCW"/>
    <s v="Dr DY Patil Sports "/>
    <n v="158"/>
    <n v="7.9"/>
    <n v="46"/>
    <n v="30"/>
    <n v="33"/>
    <s v="Successful"/>
    <n v="1"/>
    <n v="54.6"/>
  </r>
  <r>
    <x v="73"/>
    <n v="4"/>
    <s v="P107"/>
    <x v="110"/>
    <x v="3"/>
    <s v="Allrounder"/>
    <s v="DNB"/>
    <n v="0"/>
    <n v="0"/>
    <n v="0"/>
    <s v="DNB"/>
    <n v="0"/>
    <n v="2"/>
    <n v="0"/>
    <n v="20"/>
    <n v="0"/>
    <n v="10"/>
    <n v="-5"/>
    <n v="0"/>
    <n v="0"/>
    <n v="-5"/>
    <n v="0"/>
    <s v="DCW"/>
    <s v="DCW"/>
    <s v="Dr DY Patil Sports "/>
    <n v="158"/>
    <n v="7.9"/>
    <n v="46"/>
    <n v="30"/>
    <n v="33"/>
    <s v="Successful"/>
    <n v="1"/>
    <n v="20"/>
  </r>
  <r>
    <x v="73"/>
    <n v="4"/>
    <s v="P008"/>
    <x v="7"/>
    <x v="3"/>
    <s v="Allrounder"/>
    <s v="DNB"/>
    <n v="0"/>
    <n v="0"/>
    <n v="0"/>
    <s v="DNB"/>
    <n v="0"/>
    <n v="2"/>
    <n v="0"/>
    <n v="20"/>
    <n v="1"/>
    <n v="10"/>
    <n v="25"/>
    <n v="0"/>
    <n v="0"/>
    <n v="25"/>
    <n v="3"/>
    <s v="DCW"/>
    <s v="DCW"/>
    <s v="Dr DY Patil Sports "/>
    <n v="158"/>
    <n v="7.9"/>
    <n v="46"/>
    <n v="30"/>
    <n v="33"/>
    <s v="Successful"/>
    <n v="1"/>
    <n v="33.4"/>
  </r>
  <r>
    <x v="73"/>
    <n v="4"/>
    <s v="P100"/>
    <x v="104"/>
    <x v="3"/>
    <s v="Allrounder"/>
    <s v="DNB"/>
    <n v="0"/>
    <n v="0"/>
    <n v="0"/>
    <s v="DNB"/>
    <n v="0"/>
    <n v="1"/>
    <n v="0"/>
    <n v="16"/>
    <n v="0"/>
    <n v="16"/>
    <n v="-10"/>
    <n v="0"/>
    <n v="0"/>
    <n v="-10"/>
    <n v="0"/>
    <s v="DCW"/>
    <s v="DCW"/>
    <s v="Dr DY Patil Sports "/>
    <n v="158"/>
    <n v="7.9"/>
    <n v="46"/>
    <n v="30"/>
    <n v="33"/>
    <s v="Successful"/>
    <n v="1"/>
    <n v="20"/>
  </r>
  <r>
    <x v="73"/>
    <n v="4"/>
    <s v="P062"/>
    <x v="61"/>
    <x v="3"/>
    <s v="Allrounder"/>
    <s v="DNB"/>
    <n v="0"/>
    <n v="0"/>
    <n v="0"/>
    <s v="DNB"/>
    <n v="0"/>
    <n v="1"/>
    <n v="0"/>
    <n v="16"/>
    <n v="0"/>
    <n v="16"/>
    <n v="-10"/>
    <n v="0"/>
    <n v="0"/>
    <n v="-10"/>
    <n v="0"/>
    <s v="DCW"/>
    <s v="DCW"/>
    <s v="Dr DY Patil Sports "/>
    <n v="158"/>
    <n v="7.9"/>
    <n v="46"/>
    <n v="30"/>
    <n v="33"/>
    <s v="Successful"/>
    <n v="1"/>
    <n v="20"/>
  </r>
  <r>
    <x v="73"/>
    <n v="4"/>
    <s v="P119"/>
    <x v="123"/>
    <x v="3"/>
    <s v="Bowler"/>
    <s v="DNB"/>
    <n v="0"/>
    <n v="0"/>
    <n v="0"/>
    <s v="DNB"/>
    <n v="0"/>
    <n v="3"/>
    <n v="0"/>
    <n v="29"/>
    <n v="1"/>
    <n v="9.6999999999999993"/>
    <n v="25"/>
    <n v="0"/>
    <n v="0"/>
    <n v="25"/>
    <n v="3"/>
    <s v="DCW"/>
    <s v="DCW"/>
    <s v="Dr DY Patil Sports "/>
    <n v="158"/>
    <n v="7.9"/>
    <n v="46"/>
    <n v="30"/>
    <n v="33"/>
    <s v="Successful"/>
    <n v="1"/>
    <n v="33.4"/>
  </r>
  <r>
    <x v="73"/>
    <n v="4"/>
    <s v="P118"/>
    <x v="122"/>
    <x v="3"/>
    <s v="Bowler"/>
    <s v="DNB"/>
    <n v="0"/>
    <n v="0"/>
    <n v="0"/>
    <s v="DNB"/>
    <n v="0"/>
    <n v="4"/>
    <n v="0"/>
    <n v="29"/>
    <n v="1"/>
    <n v="7.2"/>
    <n v="25"/>
    <n v="0"/>
    <n v="0"/>
    <n v="25"/>
    <n v="3"/>
    <s v="DCW"/>
    <s v="DCW"/>
    <s v="Dr DY Patil Sports "/>
    <n v="158"/>
    <n v="7.9"/>
    <n v="46"/>
    <n v="30"/>
    <n v="33"/>
    <s v="Successful"/>
    <n v="1"/>
    <n v="33.4"/>
  </r>
  <r>
    <x v="74"/>
    <n v="4"/>
    <s v="P035"/>
    <x v="34"/>
    <x v="4"/>
    <s v="Batter"/>
    <s v="Opener"/>
    <n v="25"/>
    <n v="26"/>
    <n v="96.15"/>
    <s v="caught"/>
    <n v="25"/>
    <n v="0"/>
    <n v="0"/>
    <n v="0"/>
    <n v="0"/>
    <n v="0"/>
    <n v="0"/>
    <n v="0"/>
    <n v="0"/>
    <n v="25"/>
    <n v="3"/>
    <s v="UPW"/>
    <s v="UPW"/>
    <s v="Dr DY Patil Sports "/>
    <n v="162"/>
    <n v="8.92"/>
    <n v="42"/>
    <n v="29"/>
    <n v="35"/>
    <s v="Successful"/>
    <n v="1"/>
    <n v="33.4"/>
  </r>
  <r>
    <x v="74"/>
    <n v="4"/>
    <s v="P051"/>
    <x v="50"/>
    <x v="4"/>
    <s v="Batter"/>
    <s v="Opener"/>
    <n v="10"/>
    <n v="12"/>
    <n v="83.33"/>
    <s v="caught"/>
    <n v="10"/>
    <n v="0"/>
    <n v="0"/>
    <n v="0"/>
    <n v="0"/>
    <n v="0"/>
    <n v="0"/>
    <n v="0"/>
    <n v="0"/>
    <n v="10"/>
    <n v="1"/>
    <s v="UPW"/>
    <s v="UPW"/>
    <s v="Dr DY Patil Sports "/>
    <n v="162"/>
    <n v="8.92"/>
    <n v="42"/>
    <n v="29"/>
    <n v="35"/>
    <s v="Successful"/>
    <n v="1"/>
    <n v="25.3"/>
  </r>
  <r>
    <x v="74"/>
    <n v="4"/>
    <s v="P078"/>
    <x v="79"/>
    <x v="4"/>
    <s v="Batter"/>
    <s v="Top Order"/>
    <n v="25"/>
    <n v="22"/>
    <n v="113.64"/>
    <s v="caught"/>
    <n v="25"/>
    <n v="0"/>
    <n v="0"/>
    <n v="0"/>
    <n v="0"/>
    <n v="0"/>
    <n v="0"/>
    <n v="0"/>
    <n v="0"/>
    <n v="25"/>
    <n v="3"/>
    <s v="UPW"/>
    <s v="UPW"/>
    <s v="Dr DY Patil Sports "/>
    <n v="162"/>
    <n v="8.92"/>
    <n v="42"/>
    <n v="29"/>
    <n v="35"/>
    <s v="Successful"/>
    <n v="1"/>
    <n v="33.4"/>
  </r>
  <r>
    <x v="74"/>
    <n v="4"/>
    <s v="P003"/>
    <x v="2"/>
    <x v="4"/>
    <s v="Allrounder"/>
    <s v="Top Order"/>
    <n v="64"/>
    <n v="39"/>
    <n v="164.1"/>
    <s v="not out"/>
    <n v="85"/>
    <n v="0.1"/>
    <n v="0"/>
    <n v="7"/>
    <n v="0"/>
    <n v="42"/>
    <n v="-10"/>
    <n v="0"/>
    <n v="0"/>
    <n v="75"/>
    <n v="8"/>
    <s v="UPW"/>
    <s v="UPW"/>
    <s v="Dr DY Patil Sports "/>
    <n v="162"/>
    <n v="8.92"/>
    <n v="42"/>
    <n v="29"/>
    <n v="35"/>
    <s v="Successful"/>
    <n v="1"/>
    <n v="59.9"/>
  </r>
  <r>
    <x v="74"/>
    <n v="4"/>
    <s v="P124"/>
    <x v="127"/>
    <x v="4"/>
    <s v="Allrounder"/>
    <s v="Middle Order"/>
    <n v="27"/>
    <n v="11"/>
    <n v="245.45"/>
    <s v="not out"/>
    <n v="45"/>
    <n v="1"/>
    <n v="0"/>
    <n v="16"/>
    <n v="0"/>
    <n v="16"/>
    <n v="-10"/>
    <n v="0"/>
    <n v="0"/>
    <n v="35"/>
    <n v="4"/>
    <s v="UPW"/>
    <s v="UPW"/>
    <s v="Dr DY Patil Sports "/>
    <n v="162"/>
    <n v="8.92"/>
    <n v="42"/>
    <n v="29"/>
    <n v="35"/>
    <s v="Successful"/>
    <n v="1"/>
    <n v="38.700000000000003"/>
  </r>
  <r>
    <x v="74"/>
    <n v="4"/>
    <s v="P046"/>
    <x v="45"/>
    <x v="4"/>
    <s v="WK-Batter"/>
    <s v="DNB"/>
    <n v="0"/>
    <n v="0"/>
    <n v="0"/>
    <s v="DNB"/>
    <n v="0"/>
    <n v="0"/>
    <n v="0"/>
    <n v="0"/>
    <n v="0"/>
    <n v="0"/>
    <n v="0"/>
    <n v="0"/>
    <n v="0"/>
    <n v="0"/>
    <n v="0"/>
    <s v="UPW"/>
    <s v="UPW"/>
    <s v="Dr DY Patil Sports "/>
    <n v="162"/>
    <n v="8.92"/>
    <n v="42"/>
    <n v="29"/>
    <n v="35"/>
    <s v="Successful"/>
    <n v="1"/>
    <n v="20"/>
  </r>
  <r>
    <x v="74"/>
    <n v="4"/>
    <s v="P048"/>
    <x v="47"/>
    <x v="4"/>
    <s v="Allrounder"/>
    <s v="DNB"/>
    <n v="0"/>
    <n v="0"/>
    <n v="0"/>
    <s v="DNB"/>
    <n v="0"/>
    <n v="4"/>
    <n v="0"/>
    <n v="31"/>
    <n v="1"/>
    <n v="7.8"/>
    <n v="25"/>
    <n v="0"/>
    <n v="0"/>
    <n v="25"/>
    <n v="3"/>
    <s v="UPW"/>
    <s v="UPW"/>
    <s v="Dr DY Patil Sports "/>
    <n v="162"/>
    <n v="8.92"/>
    <n v="42"/>
    <n v="29"/>
    <n v="35"/>
    <s v="Successful"/>
    <n v="1"/>
    <n v="33.4"/>
  </r>
  <r>
    <x v="74"/>
    <n v="4"/>
    <s v="P053"/>
    <x v="52"/>
    <x v="4"/>
    <s v="Bowler"/>
    <s v="DNB"/>
    <n v="0"/>
    <n v="0"/>
    <n v="0"/>
    <s v="DNB"/>
    <n v="0"/>
    <n v="4"/>
    <n v="0"/>
    <n v="26"/>
    <n v="1"/>
    <n v="6.5"/>
    <n v="25"/>
    <n v="0"/>
    <n v="0"/>
    <n v="25"/>
    <n v="3"/>
    <s v="UPW"/>
    <s v="UPW"/>
    <s v="Dr DY Patil Sports "/>
    <n v="162"/>
    <n v="8.92"/>
    <n v="42"/>
    <n v="29"/>
    <n v="35"/>
    <s v="Successful"/>
    <n v="1"/>
    <n v="33.4"/>
  </r>
  <r>
    <x v="74"/>
    <n v="4"/>
    <s v="P030"/>
    <x v="29"/>
    <x v="4"/>
    <s v="Bowler"/>
    <s v="DNB"/>
    <n v="0"/>
    <n v="0"/>
    <n v="0"/>
    <s v="DNB"/>
    <n v="0"/>
    <n v="3"/>
    <n v="0"/>
    <n v="33"/>
    <n v="1"/>
    <n v="11"/>
    <n v="-10"/>
    <n v="0"/>
    <n v="0"/>
    <n v="-10"/>
    <n v="0"/>
    <s v="UPW"/>
    <s v="UPW"/>
    <s v="Dr DY Patil Sports "/>
    <n v="162"/>
    <n v="8.92"/>
    <n v="42"/>
    <n v="29"/>
    <n v="35"/>
    <s v="Successful"/>
    <n v="1"/>
    <n v="20"/>
  </r>
  <r>
    <x v="74"/>
    <n v="4"/>
    <s v="P042"/>
    <x v="41"/>
    <x v="4"/>
    <s v="Allrounder"/>
    <s v="DNB"/>
    <n v="0"/>
    <n v="0"/>
    <n v="0"/>
    <s v="DNB"/>
    <n v="0"/>
    <n v="4"/>
    <n v="0"/>
    <n v="25"/>
    <n v="1"/>
    <n v="6.2"/>
    <n v="25"/>
    <n v="0"/>
    <n v="0"/>
    <n v="25"/>
    <n v="3"/>
    <s v="UPW"/>
    <s v="UPW"/>
    <s v="Dr DY Patil Sports "/>
    <n v="162"/>
    <n v="8.92"/>
    <n v="42"/>
    <n v="29"/>
    <n v="35"/>
    <s v="Successful"/>
    <n v="1"/>
    <n v="33.4"/>
  </r>
  <r>
    <x v="74"/>
    <n v="4"/>
    <s v="P104"/>
    <x v="107"/>
    <x v="4"/>
    <s v="Bowler"/>
    <s v="DNB"/>
    <n v="0"/>
    <n v="0"/>
    <n v="0"/>
    <s v="DNB"/>
    <n v="0"/>
    <n v="4"/>
    <n v="0"/>
    <n v="28"/>
    <n v="0"/>
    <n v="7"/>
    <n v="5"/>
    <n v="0"/>
    <n v="0"/>
    <n v="5"/>
    <n v="1"/>
    <s v="UPW"/>
    <s v="UPW"/>
    <s v="Dr DY Patil Sports "/>
    <n v="162"/>
    <n v="8.92"/>
    <n v="42"/>
    <n v="29"/>
    <n v="35"/>
    <s v="Successful"/>
    <n v="1"/>
    <n v="22.8"/>
  </r>
  <r>
    <x v="74"/>
    <n v="4"/>
    <s v="P017"/>
    <x v="16"/>
    <x v="1"/>
    <s v="Allrounder"/>
    <s v="Opener"/>
    <n v="38"/>
    <n v="33"/>
    <n v="115.15"/>
    <s v="caught"/>
    <n v="40"/>
    <n v="0"/>
    <n v="0"/>
    <n v="0"/>
    <n v="0"/>
    <n v="0"/>
    <n v="0"/>
    <n v="0"/>
    <n v="0"/>
    <n v="40"/>
    <n v="4"/>
    <s v="UPW"/>
    <s v="UPW"/>
    <s v="Dr DY Patil Sports "/>
    <n v="161"/>
    <n v="8.0500000000000007"/>
    <n v="32"/>
    <n v="42"/>
    <n v="34"/>
    <s v="NA"/>
    <n v="0"/>
    <n v="21.2"/>
  </r>
  <r>
    <x v="74"/>
    <n v="4"/>
    <s v="P122"/>
    <x v="126"/>
    <x v="1"/>
    <s v="WK-Batter"/>
    <s v="Opener"/>
    <n v="5"/>
    <n v="12"/>
    <n v="41.67"/>
    <s v="caught"/>
    <n v="5"/>
    <n v="0"/>
    <n v="0"/>
    <n v="0"/>
    <n v="0"/>
    <n v="0"/>
    <n v="0"/>
    <n v="0"/>
    <n v="0"/>
    <n v="5"/>
    <n v="1"/>
    <s v="UPW"/>
    <s v="UPW"/>
    <s v="Dr DY Patil Sports "/>
    <n v="161"/>
    <n v="8.0500000000000007"/>
    <n v="32"/>
    <n v="42"/>
    <n v="34"/>
    <s v="NA"/>
    <n v="0"/>
    <n v="2.8"/>
  </r>
  <r>
    <x v="74"/>
    <n v="4"/>
    <s v="P015"/>
    <x v="14"/>
    <x v="1"/>
    <s v="Allrounder"/>
    <s v="Top Order"/>
    <n v="65"/>
    <n v="43"/>
    <n v="151.16"/>
    <s v="caught"/>
    <n v="85"/>
    <n v="3"/>
    <n v="0"/>
    <n v="28"/>
    <n v="2"/>
    <n v="9.3000000000000007"/>
    <n v="50"/>
    <n v="0"/>
    <n v="0"/>
    <n v="135"/>
    <n v="10"/>
    <s v="UPW"/>
    <s v="UPW"/>
    <s v="Dr DY Patil Sports "/>
    <n v="161"/>
    <n v="8.0500000000000007"/>
    <n v="32"/>
    <n v="42"/>
    <n v="34"/>
    <s v="NA"/>
    <n v="0"/>
    <n v="70.5"/>
  </r>
  <r>
    <x v="74"/>
    <n v="4"/>
    <s v="P014"/>
    <x v="13"/>
    <x v="1"/>
    <s v="Allrounder"/>
    <s v="Middle Order"/>
    <n v="16"/>
    <n v="11"/>
    <n v="145.44999999999999"/>
    <s v="caught"/>
    <n v="20"/>
    <n v="0"/>
    <n v="0"/>
    <n v="0"/>
    <n v="0"/>
    <n v="0"/>
    <n v="0"/>
    <n v="0"/>
    <n v="0"/>
    <n v="20"/>
    <n v="2"/>
    <s v="UPW"/>
    <s v="UPW"/>
    <s v="Dr DY Patil Sports "/>
    <n v="161"/>
    <n v="8.0500000000000007"/>
    <n v="32"/>
    <n v="42"/>
    <n v="34"/>
    <s v="NA"/>
    <n v="0"/>
    <n v="10.6"/>
  </r>
  <r>
    <x v="74"/>
    <n v="4"/>
    <s v="P112"/>
    <x v="116"/>
    <x v="1"/>
    <s v="Allrounder"/>
    <s v="Middle Order"/>
    <n v="32"/>
    <n v="20"/>
    <n v="160"/>
    <s v="not out"/>
    <n v="45"/>
    <n v="3"/>
    <n v="0"/>
    <n v="19"/>
    <n v="0"/>
    <n v="6.3"/>
    <n v="10"/>
    <n v="0"/>
    <n v="0"/>
    <n v="55"/>
    <n v="6"/>
    <s v="UPW"/>
    <s v="UPW"/>
    <s v="Dr DY Patil Sports "/>
    <n v="161"/>
    <n v="8.0500000000000007"/>
    <n v="32"/>
    <n v="42"/>
    <n v="34"/>
    <s v="NA"/>
    <n v="0"/>
    <n v="29.3"/>
  </r>
  <r>
    <x v="74"/>
    <n v="4"/>
    <s v="P072"/>
    <x v="72"/>
    <x v="1"/>
    <s v="Allrounder"/>
    <s v="Middle Order"/>
    <n v="1"/>
    <n v="2"/>
    <n v="50"/>
    <s v="run out"/>
    <n v="1"/>
    <n v="0.1"/>
    <n v="0"/>
    <n v="7"/>
    <n v="0"/>
    <n v="42"/>
    <n v="-10"/>
    <n v="0"/>
    <n v="0"/>
    <n v="-9"/>
    <n v="0"/>
    <s v="UPW"/>
    <s v="UPW"/>
    <s v="Dr DY Patil Sports "/>
    <n v="161"/>
    <n v="8.0500000000000007"/>
    <n v="32"/>
    <n v="42"/>
    <n v="34"/>
    <s v="NA"/>
    <n v="0"/>
    <n v="0"/>
  </r>
  <r>
    <x v="74"/>
    <n v="4"/>
    <s v="P016"/>
    <x v="15"/>
    <x v="1"/>
    <s v="Allrounder"/>
    <s v="DNB"/>
    <n v="0"/>
    <n v="0"/>
    <n v="0"/>
    <s v="DNB"/>
    <n v="0"/>
    <n v="4"/>
    <n v="0"/>
    <n v="42"/>
    <n v="1"/>
    <n v="10.5"/>
    <n v="25"/>
    <n v="0"/>
    <n v="0"/>
    <n v="25"/>
    <n v="3"/>
    <s v="UPW"/>
    <s v="UPW"/>
    <s v="Dr DY Patil Sports "/>
    <n v="161"/>
    <n v="8.0500000000000007"/>
    <n v="32"/>
    <n v="42"/>
    <n v="34"/>
    <s v="NA"/>
    <n v="0"/>
    <n v="13.4"/>
  </r>
  <r>
    <x v="74"/>
    <n v="4"/>
    <s v="P102"/>
    <x v="103"/>
    <x v="1"/>
    <s v="Bowler"/>
    <s v="DNB"/>
    <n v="0"/>
    <n v="0"/>
    <n v="0"/>
    <s v="DNB"/>
    <n v="0"/>
    <n v="3"/>
    <n v="0"/>
    <n v="22"/>
    <n v="0"/>
    <n v="7.3"/>
    <n v="5"/>
    <n v="0"/>
    <n v="0"/>
    <n v="5"/>
    <n v="1"/>
    <s v="UPW"/>
    <s v="UPW"/>
    <s v="Dr DY Patil Sports "/>
    <n v="161"/>
    <n v="8.0500000000000007"/>
    <n v="32"/>
    <n v="42"/>
    <n v="34"/>
    <s v="NA"/>
    <n v="0"/>
    <n v="2.8"/>
  </r>
  <r>
    <x v="74"/>
    <n v="4"/>
    <s v="P061"/>
    <x v="60"/>
    <x v="1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UPW"/>
    <s v="UPW"/>
    <s v="Dr DY Patil Sports "/>
    <n v="161"/>
    <n v="8.0500000000000007"/>
    <n v="32"/>
    <n v="42"/>
    <n v="34"/>
    <s v="NA"/>
    <n v="0"/>
    <n v="0"/>
  </r>
  <r>
    <x v="74"/>
    <n v="4"/>
    <s v="P060"/>
    <x v="59"/>
    <x v="1"/>
    <s v="Bowler"/>
    <s v="DNB"/>
    <n v="0"/>
    <n v="0"/>
    <n v="0"/>
    <s v="DNB"/>
    <n v="0"/>
    <n v="4"/>
    <n v="0"/>
    <n v="28"/>
    <n v="0"/>
    <n v="7"/>
    <n v="5"/>
    <n v="0"/>
    <n v="0"/>
    <n v="5"/>
    <n v="1"/>
    <s v="UPW"/>
    <s v="UPW"/>
    <s v="Dr DY Patil Sports "/>
    <n v="161"/>
    <n v="8.0500000000000007"/>
    <n v="32"/>
    <n v="42"/>
    <n v="34"/>
    <s v="NA"/>
    <n v="0"/>
    <n v="2.8"/>
  </r>
  <r>
    <x v="74"/>
    <n v="4"/>
    <s v="P120"/>
    <x v="120"/>
    <x v="1"/>
    <s v="Bowler"/>
    <s v="DNB"/>
    <n v="0"/>
    <n v="0"/>
    <n v="0"/>
    <s v="DNB"/>
    <n v="0"/>
    <n v="1"/>
    <n v="0"/>
    <n v="11"/>
    <n v="0"/>
    <n v="11"/>
    <n v="-10"/>
    <n v="0"/>
    <n v="0"/>
    <n v="-10"/>
    <n v="0"/>
    <s v="UPW"/>
    <s v="UPW"/>
    <s v="Dr DY Patil Sports "/>
    <n v="161"/>
    <n v="8.0500000000000007"/>
    <n v="32"/>
    <n v="42"/>
    <n v="34"/>
    <s v="NA"/>
    <n v="0"/>
    <n v="0"/>
  </r>
  <r>
    <x v="75"/>
    <n v="4"/>
    <s v="P049"/>
    <x v="48"/>
    <x v="2"/>
    <s v="Allrounder"/>
    <s v="Opener"/>
    <n v="17"/>
    <n v="8"/>
    <n v="212.5"/>
    <s v="lbw"/>
    <n v="30"/>
    <n v="0"/>
    <n v="0"/>
    <n v="0"/>
    <n v="0"/>
    <n v="0"/>
    <n v="0"/>
    <n v="0"/>
    <n v="0"/>
    <n v="30"/>
    <n v="3"/>
    <s v="RCBW"/>
    <s v="GGTW"/>
    <s v="Dr DY Patil Sports "/>
    <n v="182"/>
    <n v="9.1"/>
    <n v="45"/>
    <n v="39"/>
    <n v="30"/>
    <s v="NA"/>
    <n v="1"/>
    <n v="35.9"/>
  </r>
  <r>
    <x v="75"/>
    <n v="4"/>
    <s v="P023"/>
    <x v="22"/>
    <x v="2"/>
    <s v="Batter"/>
    <s v="Opener"/>
    <n v="5"/>
    <n v="8"/>
    <n v="62.5"/>
    <s v="caught"/>
    <n v="0"/>
    <n v="0"/>
    <n v="0"/>
    <n v="0"/>
    <n v="0"/>
    <n v="0"/>
    <n v="0"/>
    <n v="0"/>
    <n v="0"/>
    <n v="0"/>
    <n v="0"/>
    <s v="RCBW"/>
    <s v="GGTW"/>
    <s v="Dr DY Patil Sports "/>
    <n v="182"/>
    <n v="9.1"/>
    <n v="45"/>
    <n v="39"/>
    <n v="30"/>
    <s v="NA"/>
    <n v="1"/>
    <n v="20"/>
  </r>
  <r>
    <x v="75"/>
    <n v="4"/>
    <s v="P006"/>
    <x v="5"/>
    <x v="2"/>
    <s v="Batter"/>
    <s v="Top Order"/>
    <n v="4"/>
    <n v="8"/>
    <n v="50"/>
    <s v="caught"/>
    <n v="0"/>
    <n v="0"/>
    <n v="0"/>
    <n v="0"/>
    <n v="0"/>
    <n v="0"/>
    <n v="0"/>
    <n v="0"/>
    <n v="0"/>
    <n v="0"/>
    <n v="0"/>
    <s v="RCBW"/>
    <s v="GGTW"/>
    <s v="Dr DY Patil Sports "/>
    <n v="182"/>
    <n v="9.1"/>
    <n v="45"/>
    <n v="39"/>
    <n v="30"/>
    <s v="NA"/>
    <n v="1"/>
    <n v="20"/>
  </r>
  <r>
    <x v="75"/>
    <n v="4"/>
    <s v="P121"/>
    <x v="124"/>
    <x v="2"/>
    <s v="Allrounder"/>
    <s v="Top Order"/>
    <n v="9"/>
    <n v="6"/>
    <n v="150"/>
    <s v="lbw"/>
    <n v="15"/>
    <n v="0"/>
    <n v="0"/>
    <n v="0"/>
    <n v="0"/>
    <n v="0"/>
    <n v="0"/>
    <n v="0"/>
    <n v="0"/>
    <n v="15"/>
    <n v="2"/>
    <s v="RCBW"/>
    <s v="GGTW"/>
    <s v="Dr DY Patil Sports "/>
    <n v="182"/>
    <n v="9.1"/>
    <n v="45"/>
    <n v="39"/>
    <n v="30"/>
    <s v="NA"/>
    <n v="1"/>
    <n v="28.1"/>
  </r>
  <r>
    <x v="75"/>
    <n v="4"/>
    <s v="P043"/>
    <x v="42"/>
    <x v="2"/>
    <s v="Allrounder"/>
    <s v="Middle Order"/>
    <n v="66"/>
    <n v="47"/>
    <n v="140.43"/>
    <s v="caught"/>
    <n v="85"/>
    <n v="2"/>
    <n v="0"/>
    <n v="9"/>
    <n v="0"/>
    <n v="4.5"/>
    <n v="15"/>
    <n v="0"/>
    <n v="0"/>
    <n v="100"/>
    <n v="10"/>
    <s v="RCBW"/>
    <s v="GGTW"/>
    <s v="Dr DY Patil Sports "/>
    <n v="182"/>
    <n v="9.1"/>
    <n v="45"/>
    <n v="39"/>
    <n v="30"/>
    <s v="NA"/>
    <n v="1"/>
    <n v="73"/>
  </r>
  <r>
    <x v="75"/>
    <n v="4"/>
    <s v="P028"/>
    <x v="27"/>
    <x v="2"/>
    <s v="WK-Batter"/>
    <s v="Middle Order"/>
    <n v="44"/>
    <n v="28"/>
    <n v="157.13999999999999"/>
    <s v="caught"/>
    <n v="65"/>
    <n v="0"/>
    <n v="0"/>
    <n v="0"/>
    <n v="0"/>
    <n v="0"/>
    <n v="0"/>
    <n v="0"/>
    <n v="0"/>
    <n v="65"/>
    <n v="7"/>
    <s v="RCBW"/>
    <s v="GGTW"/>
    <s v="Dr DY Patil Sports "/>
    <n v="182"/>
    <n v="9.1"/>
    <n v="45"/>
    <n v="39"/>
    <n v="30"/>
    <s v="NA"/>
    <n v="1"/>
    <n v="54.6"/>
  </r>
  <r>
    <x v="75"/>
    <n v="4"/>
    <s v="P083"/>
    <x v="84"/>
    <x v="2"/>
    <s v="Allrounder"/>
    <s v="Middle Order"/>
    <n v="26"/>
    <n v="12"/>
    <n v="216.67"/>
    <s v="caught"/>
    <n v="45"/>
    <n v="3"/>
    <n v="0"/>
    <n v="30"/>
    <n v="1"/>
    <n v="10"/>
    <n v="25"/>
    <n v="0"/>
    <n v="0"/>
    <n v="70"/>
    <n v="7"/>
    <s v="RCBW"/>
    <s v="GGTW"/>
    <s v="Dr DY Patil Sports "/>
    <n v="182"/>
    <n v="9.1"/>
    <n v="45"/>
    <n v="39"/>
    <n v="30"/>
    <s v="NA"/>
    <n v="1"/>
    <n v="57.1"/>
  </r>
  <r>
    <x v="75"/>
    <n v="4"/>
    <s v="P041"/>
    <x v="40"/>
    <x v="2"/>
    <s v="Bowler"/>
    <s v="Middle Order"/>
    <n v="2"/>
    <n v="2"/>
    <n v="100"/>
    <s v="not out"/>
    <n v="2"/>
    <n v="4"/>
    <n v="0"/>
    <n v="31"/>
    <n v="1"/>
    <n v="7.8"/>
    <n v="25"/>
    <n v="0"/>
    <n v="0"/>
    <n v="27"/>
    <n v="3"/>
    <s v="RCBW"/>
    <s v="GGTW"/>
    <s v="Dr DY Patil Sports "/>
    <n v="182"/>
    <n v="9.1"/>
    <n v="45"/>
    <n v="39"/>
    <n v="30"/>
    <s v="NA"/>
    <n v="1"/>
    <n v="34.4"/>
  </r>
  <r>
    <x v="75"/>
    <n v="4"/>
    <s v="P059"/>
    <x v="58"/>
    <x v="2"/>
    <s v="Allrounder"/>
    <s v="Middle Order"/>
    <n v="0"/>
    <n v="1"/>
    <n v="0"/>
    <s v="not out"/>
    <n v="0"/>
    <n v="3.5"/>
    <n v="0"/>
    <n v="23"/>
    <n v="5"/>
    <n v="6"/>
    <n v="75"/>
    <n v="0"/>
    <n v="0"/>
    <n v="75"/>
    <n v="8"/>
    <s v="RCBW"/>
    <s v="GGTW"/>
    <s v="Dr DY Patil Sports "/>
    <n v="182"/>
    <n v="9.1"/>
    <n v="45"/>
    <n v="39"/>
    <n v="30"/>
    <s v="NA"/>
    <n v="1"/>
    <n v="59.9"/>
  </r>
  <r>
    <x v="75"/>
    <n v="4"/>
    <s v="P114"/>
    <x v="117"/>
    <x v="2"/>
    <s v="Bowler"/>
    <s v="DNB"/>
    <n v="0"/>
    <n v="0"/>
    <n v="0"/>
    <s v="DNB"/>
    <n v="0"/>
    <n v="2"/>
    <n v="0"/>
    <n v="27"/>
    <n v="0"/>
    <n v="13.5"/>
    <n v="-10"/>
    <n v="0"/>
    <n v="0"/>
    <n v="-10"/>
    <n v="0"/>
    <s v="RCBW"/>
    <s v="GGTW"/>
    <s v="Dr DY Patil Sports "/>
    <n v="182"/>
    <n v="9.1"/>
    <n v="45"/>
    <n v="39"/>
    <n v="30"/>
    <s v="NA"/>
    <n v="1"/>
    <n v="20"/>
  </r>
  <r>
    <x v="75"/>
    <n v="4"/>
    <s v="P113"/>
    <x v="118"/>
    <x v="2"/>
    <s v="Bowler"/>
    <s v="DNB"/>
    <n v="0"/>
    <n v="0"/>
    <n v="0"/>
    <s v="DNB"/>
    <n v="0"/>
    <n v="4"/>
    <n v="0"/>
    <n v="29"/>
    <n v="3"/>
    <n v="7.2"/>
    <n v="75"/>
    <n v="0"/>
    <n v="0"/>
    <n v="75"/>
    <n v="8"/>
    <s v="RCBW"/>
    <s v="GGTW"/>
    <s v="Dr DY Patil Sports "/>
    <n v="182"/>
    <n v="9.1"/>
    <n v="45"/>
    <n v="39"/>
    <n v="30"/>
    <s v="NA"/>
    <n v="1"/>
    <n v="59.9"/>
  </r>
  <r>
    <x v="75"/>
    <n v="4"/>
    <s v="P001"/>
    <x v="0"/>
    <x v="0"/>
    <s v="WK-Batter"/>
    <s v="Opener"/>
    <n v="27"/>
    <n v="14"/>
    <n v="192.86"/>
    <s v="lbw"/>
    <n v="40"/>
    <n v="0"/>
    <n v="0"/>
    <n v="0"/>
    <n v="0"/>
    <n v="0"/>
    <n v="0"/>
    <n v="0"/>
    <n v="0"/>
    <n v="40"/>
    <n v="4"/>
    <s v="RCBW"/>
    <s v="GGTW"/>
    <s v="Dr DY Patil Sports "/>
    <n v="150"/>
    <n v="7.96"/>
    <n v="44"/>
    <n v="17"/>
    <n v="33"/>
    <s v="Failed"/>
    <n v="0"/>
    <n v="21.2"/>
  </r>
  <r>
    <x v="75"/>
    <n v="4"/>
    <s v="P024"/>
    <x v="23"/>
    <x v="0"/>
    <s v="Allrounder"/>
    <s v="Top Order"/>
    <n v="8"/>
    <n v="12"/>
    <n v="66.67"/>
    <s v="caught"/>
    <n v="5"/>
    <n v="4"/>
    <n v="0"/>
    <n v="31"/>
    <n v="3"/>
    <n v="7.8"/>
    <n v="75"/>
    <n v="0"/>
    <n v="0"/>
    <n v="80"/>
    <n v="8"/>
    <s v="RCBW"/>
    <s v="GGTW"/>
    <s v="Dr DY Patil Sports "/>
    <n v="150"/>
    <n v="7.96"/>
    <n v="44"/>
    <n v="17"/>
    <n v="33"/>
    <s v="Failed"/>
    <n v="0"/>
    <n v="42.4"/>
  </r>
  <r>
    <x v="75"/>
    <n v="4"/>
    <s v="P029"/>
    <x v="28"/>
    <x v="0"/>
    <s v="Allrounder"/>
    <s v="Top Order"/>
    <n v="16"/>
    <n v="14"/>
    <n v="114.29"/>
    <s v="lbw"/>
    <n v="20"/>
    <n v="0"/>
    <n v="0"/>
    <n v="0"/>
    <n v="0"/>
    <n v="0"/>
    <n v="0"/>
    <n v="0"/>
    <n v="0"/>
    <n v="20"/>
    <n v="2"/>
    <s v="RCBW"/>
    <s v="GGTW"/>
    <s v="Dr DY Patil Sports "/>
    <n v="150"/>
    <n v="7.96"/>
    <n v="44"/>
    <n v="17"/>
    <n v="33"/>
    <s v="Failed"/>
    <n v="0"/>
    <n v="10.6"/>
  </r>
  <r>
    <x v="75"/>
    <n v="4"/>
    <s v="P004"/>
    <x v="3"/>
    <x v="0"/>
    <s v="Allrounder"/>
    <s v="Top Order"/>
    <n v="3"/>
    <n v="6"/>
    <n v="50"/>
    <s v="caught"/>
    <n v="0"/>
    <n v="4"/>
    <n v="0"/>
    <n v="32"/>
    <n v="0"/>
    <n v="8"/>
    <n v="0"/>
    <n v="0"/>
    <n v="0"/>
    <n v="0"/>
    <n v="0"/>
    <s v="RCBW"/>
    <s v="GGTW"/>
    <s v="Dr DY Patil Sports "/>
    <n v="150"/>
    <n v="7.96"/>
    <n v="44"/>
    <n v="17"/>
    <n v="33"/>
    <s v="Failed"/>
    <n v="0"/>
    <n v="0"/>
  </r>
  <r>
    <x v="75"/>
    <n v="4"/>
    <s v="P007"/>
    <x v="6"/>
    <x v="0"/>
    <s v="Allrounder"/>
    <s v="Middle Order"/>
    <n v="13"/>
    <n v="13"/>
    <n v="100"/>
    <s v="caught"/>
    <n v="15"/>
    <n v="4"/>
    <n v="0"/>
    <n v="35"/>
    <n v="1"/>
    <n v="8.8000000000000007"/>
    <n v="25"/>
    <n v="0"/>
    <n v="0"/>
    <n v="40"/>
    <n v="4"/>
    <s v="RCBW"/>
    <s v="GGTW"/>
    <s v="Dr DY Patil Sports "/>
    <n v="150"/>
    <n v="7.96"/>
    <n v="44"/>
    <n v="17"/>
    <n v="33"/>
    <s v="Failed"/>
    <n v="0"/>
    <n v="21.2"/>
  </r>
  <r>
    <x v="75"/>
    <n v="4"/>
    <s v="P093"/>
    <x v="93"/>
    <x v="0"/>
    <s v="Batter"/>
    <s v="Middle Order"/>
    <n v="39"/>
    <n v="20"/>
    <n v="195"/>
    <s v="caught"/>
    <n v="55"/>
    <n v="0"/>
    <n v="0"/>
    <n v="0"/>
    <n v="0"/>
    <n v="0"/>
    <n v="0"/>
    <n v="0"/>
    <n v="0"/>
    <n v="55"/>
    <n v="6"/>
    <s v="RCBW"/>
    <s v="GGTW"/>
    <s v="Dr DY Patil Sports "/>
    <n v="150"/>
    <n v="7.96"/>
    <n v="44"/>
    <n v="17"/>
    <n v="33"/>
    <s v="Failed"/>
    <n v="0"/>
    <n v="29.3"/>
  </r>
  <r>
    <x v="75"/>
    <n v="4"/>
    <s v="P098"/>
    <x v="98"/>
    <x v="0"/>
    <s v="Allrounder"/>
    <s v="Middle Order"/>
    <n v="18"/>
    <n v="14"/>
    <n v="128.57"/>
    <s v="caught"/>
    <n v="25"/>
    <n v="4"/>
    <n v="0"/>
    <n v="42"/>
    <n v="2"/>
    <n v="10.5"/>
    <n v="50"/>
    <n v="0"/>
    <n v="0"/>
    <n v="75"/>
    <n v="8"/>
    <s v="RCBW"/>
    <s v="GGTW"/>
    <s v="Dr DY Patil Sports "/>
    <n v="150"/>
    <n v="7.96"/>
    <n v="44"/>
    <n v="17"/>
    <n v="33"/>
    <s v="Failed"/>
    <n v="0"/>
    <n v="39.9"/>
  </r>
  <r>
    <x v="75"/>
    <n v="4"/>
    <s v="P009"/>
    <x v="8"/>
    <x v="0"/>
    <s v="Bowler"/>
    <s v="Middle Order"/>
    <n v="21"/>
    <n v="13"/>
    <n v="161.54"/>
    <s v="caught"/>
    <n v="30"/>
    <n v="0"/>
    <n v="0"/>
    <n v="0"/>
    <n v="0"/>
    <n v="0"/>
    <n v="0"/>
    <n v="0"/>
    <n v="0"/>
    <n v="30"/>
    <n v="3"/>
    <s v="RCBW"/>
    <s v="GGTW"/>
    <s v="Dr DY Patil Sports "/>
    <n v="150"/>
    <n v="7.96"/>
    <n v="44"/>
    <n v="17"/>
    <n v="33"/>
    <s v="Failed"/>
    <n v="0"/>
    <n v="15.9"/>
  </r>
  <r>
    <x v="75"/>
    <n v="4"/>
    <s v="P125"/>
    <x v="128"/>
    <x v="0"/>
    <s v="WK-Batter"/>
    <s v="Middle Order"/>
    <n v="0"/>
    <n v="2"/>
    <n v="0"/>
    <s v="caught"/>
    <n v="0"/>
    <n v="0"/>
    <n v="0"/>
    <n v="0"/>
    <n v="0"/>
    <n v="0"/>
    <n v="0"/>
    <n v="0"/>
    <n v="0"/>
    <n v="0"/>
    <n v="0"/>
    <s v="RCBW"/>
    <s v="GGTW"/>
    <s v="Dr DY Patil Sports "/>
    <n v="150"/>
    <n v="7.96"/>
    <n v="44"/>
    <n v="17"/>
    <n v="33"/>
    <s v="Failed"/>
    <n v="0"/>
    <n v="0"/>
  </r>
  <r>
    <x v="75"/>
    <n v="4"/>
    <s v="P055"/>
    <x v="54"/>
    <x v="0"/>
    <s v="Bowler"/>
    <s v="Middle Order"/>
    <n v="0"/>
    <n v="2"/>
    <n v="0"/>
    <s v="not out"/>
    <n v="0"/>
    <n v="0"/>
    <n v="0"/>
    <n v="0"/>
    <n v="0"/>
    <n v="0"/>
    <n v="0"/>
    <n v="0"/>
    <n v="0"/>
    <n v="0"/>
    <n v="0"/>
    <s v="RCBW"/>
    <s v="GGTW"/>
    <s v="Dr DY Patil Sports "/>
    <n v="150"/>
    <n v="7.96"/>
    <n v="44"/>
    <n v="17"/>
    <n v="33"/>
    <s v="Failed"/>
    <n v="0"/>
    <n v="0"/>
  </r>
  <r>
    <x v="75"/>
    <n v="4"/>
    <s v="P033"/>
    <x v="32"/>
    <x v="0"/>
    <s v="Bowler"/>
    <s v="Middle Order"/>
    <n v="2"/>
    <n v="3"/>
    <n v="66.67"/>
    <s v="caught"/>
    <n v="2"/>
    <n v="4"/>
    <n v="0"/>
    <n v="41"/>
    <n v="1"/>
    <n v="10.199999999999999"/>
    <n v="25"/>
    <n v="0"/>
    <n v="0"/>
    <n v="27"/>
    <n v="3"/>
    <s v="RCBW"/>
    <s v="GGTW"/>
    <s v="Dr DY Patil Sports "/>
    <n v="150"/>
    <n v="7.96"/>
    <n v="44"/>
    <n v="17"/>
    <n v="33"/>
    <s v="Failed"/>
    <n v="0"/>
    <n v="14.4"/>
  </r>
  <r>
    <x v="76"/>
    <n v="4"/>
    <s v="P035"/>
    <x v="34"/>
    <x v="4"/>
    <s v="Batter"/>
    <s v="Opener"/>
    <n v="70"/>
    <n v="45"/>
    <n v="155.56"/>
    <s v="caught"/>
    <n v="95"/>
    <n v="0"/>
    <n v="0"/>
    <n v="0"/>
    <n v="0"/>
    <n v="0"/>
    <n v="0"/>
    <n v="0"/>
    <n v="0"/>
    <n v="95"/>
    <n v="10"/>
    <s v="UPW"/>
    <s v="MIW"/>
    <s v="Dr DY Patil Sports "/>
    <n v="187"/>
    <n v="9.35"/>
    <n v="56"/>
    <n v="33"/>
    <n v="34"/>
    <s v="NA"/>
    <n v="1"/>
    <n v="70.5"/>
  </r>
  <r>
    <x v="76"/>
    <n v="4"/>
    <s v="P051"/>
    <x v="50"/>
    <x v="4"/>
    <s v="Batter"/>
    <s v="Opener"/>
    <n v="0"/>
    <n v="1"/>
    <n v="0"/>
    <s v="bowled"/>
    <n v="0"/>
    <n v="0"/>
    <n v="0"/>
    <n v="0"/>
    <n v="0"/>
    <n v="0"/>
    <n v="0"/>
    <n v="0"/>
    <n v="0"/>
    <n v="0"/>
    <n v="0"/>
    <s v="UPW"/>
    <s v="MIW"/>
    <s v="Dr DY Patil Sports "/>
    <n v="187"/>
    <n v="9.35"/>
    <n v="56"/>
    <n v="33"/>
    <n v="34"/>
    <s v="NA"/>
    <n v="1"/>
    <n v="20"/>
  </r>
  <r>
    <x v="76"/>
    <n v="4"/>
    <s v="P078"/>
    <x v="79"/>
    <x v="4"/>
    <s v="Batter"/>
    <s v="Top Order"/>
    <n v="61"/>
    <n v="37"/>
    <n v="164.86"/>
    <s v="caught"/>
    <n v="85"/>
    <n v="0"/>
    <n v="0"/>
    <n v="0"/>
    <n v="0"/>
    <n v="0"/>
    <n v="0"/>
    <n v="0"/>
    <n v="0"/>
    <n v="85"/>
    <n v="9"/>
    <s v="UPW"/>
    <s v="MIW"/>
    <s v="Dr DY Patil Sports "/>
    <n v="187"/>
    <n v="9.35"/>
    <n v="56"/>
    <n v="33"/>
    <n v="34"/>
    <s v="NA"/>
    <n v="1"/>
    <n v="65.2"/>
  </r>
  <r>
    <x v="76"/>
    <n v="4"/>
    <s v="P003"/>
    <x v="2"/>
    <x v="4"/>
    <s v="Allrounder"/>
    <s v="Top Order"/>
    <n v="25"/>
    <n v="16"/>
    <n v="156.25"/>
    <s v="stumped"/>
    <n v="35"/>
    <n v="0"/>
    <n v="0"/>
    <n v="0"/>
    <n v="0"/>
    <n v="0"/>
    <n v="0"/>
    <n v="0"/>
    <n v="0"/>
    <n v="35"/>
    <n v="4"/>
    <s v="UPW"/>
    <s v="MIW"/>
    <s v="Dr DY Patil Sports "/>
    <n v="187"/>
    <n v="9.35"/>
    <n v="56"/>
    <n v="33"/>
    <n v="34"/>
    <s v="NA"/>
    <n v="1"/>
    <n v="38.700000000000003"/>
  </r>
  <r>
    <x v="76"/>
    <n v="4"/>
    <s v="P124"/>
    <x v="127"/>
    <x v="4"/>
    <s v="Allrounder"/>
    <s v="Middle Order"/>
    <n v="21"/>
    <n v="13"/>
    <n v="161.54"/>
    <s v="caught"/>
    <n v="30"/>
    <n v="2"/>
    <n v="0"/>
    <n v="18"/>
    <n v="1"/>
    <n v="9"/>
    <n v="25"/>
    <n v="0"/>
    <n v="0"/>
    <n v="55"/>
    <n v="6"/>
    <s v="UPW"/>
    <s v="MIW"/>
    <s v="Dr DY Patil Sports "/>
    <n v="187"/>
    <n v="9.35"/>
    <n v="56"/>
    <n v="33"/>
    <n v="34"/>
    <s v="NA"/>
    <n v="1"/>
    <n v="49.3"/>
  </r>
  <r>
    <x v="76"/>
    <n v="4"/>
    <s v="P046"/>
    <x v="45"/>
    <x v="4"/>
    <s v="WK-Batter"/>
    <s v="Middle Order"/>
    <n v="0"/>
    <n v="1"/>
    <n v="0"/>
    <s v="caught"/>
    <n v="0"/>
    <n v="0"/>
    <n v="0"/>
    <n v="0"/>
    <n v="0"/>
    <n v="0"/>
    <n v="0"/>
    <n v="0"/>
    <n v="0"/>
    <n v="0"/>
    <n v="0"/>
    <s v="UPW"/>
    <s v="MIW"/>
    <s v="Dr DY Patil Sports "/>
    <n v="187"/>
    <n v="9.35"/>
    <n v="56"/>
    <n v="33"/>
    <n v="34"/>
    <s v="NA"/>
    <n v="1"/>
    <n v="20"/>
  </r>
  <r>
    <x v="76"/>
    <n v="4"/>
    <s v="P053"/>
    <x v="52"/>
    <x v="4"/>
    <s v="Bowler"/>
    <s v="Middle Order"/>
    <n v="1"/>
    <n v="4"/>
    <n v="25"/>
    <s v="stumped"/>
    <n v="1"/>
    <n v="4"/>
    <n v="1"/>
    <n v="33"/>
    <n v="1"/>
    <n v="8.1999999999999993"/>
    <n v="35"/>
    <n v="0"/>
    <n v="0"/>
    <n v="36"/>
    <n v="4"/>
    <s v="UPW"/>
    <s v="MIW"/>
    <s v="Dr DY Patil Sports "/>
    <n v="187"/>
    <n v="9.35"/>
    <n v="56"/>
    <n v="33"/>
    <n v="34"/>
    <s v="NA"/>
    <n v="1"/>
    <n v="39.200000000000003"/>
  </r>
  <r>
    <x v="76"/>
    <n v="4"/>
    <s v="P048"/>
    <x v="47"/>
    <x v="4"/>
    <s v="Allrounder"/>
    <s v="Middle Order"/>
    <n v="0"/>
    <n v="2"/>
    <n v="0"/>
    <s v="caught"/>
    <n v="0"/>
    <n v="4"/>
    <n v="0"/>
    <n v="35"/>
    <n v="1"/>
    <n v="8.8000000000000007"/>
    <n v="25"/>
    <n v="0"/>
    <n v="0"/>
    <n v="25"/>
    <n v="3"/>
    <s v="UPW"/>
    <s v="MIW"/>
    <s v="Dr DY Patil Sports "/>
    <n v="187"/>
    <n v="9.35"/>
    <n v="56"/>
    <n v="33"/>
    <n v="34"/>
    <s v="NA"/>
    <n v="1"/>
    <n v="33.4"/>
  </r>
  <r>
    <x v="76"/>
    <n v="4"/>
    <s v="P030"/>
    <x v="29"/>
    <x v="4"/>
    <s v="Bowler"/>
    <s v="Middle Order"/>
    <n v="1"/>
    <n v="1"/>
    <n v="100"/>
    <s v="not out"/>
    <n v="6"/>
    <n v="2"/>
    <n v="0"/>
    <n v="17"/>
    <n v="0"/>
    <n v="8.5"/>
    <n v="0"/>
    <n v="0"/>
    <n v="0"/>
    <n v="6"/>
    <n v="1"/>
    <s v="UPW"/>
    <s v="MIW"/>
    <s v="Dr DY Patil Sports "/>
    <n v="187"/>
    <n v="9.35"/>
    <n v="56"/>
    <n v="33"/>
    <n v="34"/>
    <s v="NA"/>
    <n v="1"/>
    <n v="23.3"/>
  </r>
  <r>
    <x v="76"/>
    <n v="4"/>
    <s v="P042"/>
    <x v="41"/>
    <x v="4"/>
    <s v="Allrounder"/>
    <s v="DNB"/>
    <n v="0"/>
    <n v="0"/>
    <n v="0"/>
    <s v="DNB"/>
    <n v="0"/>
    <n v="4"/>
    <n v="0"/>
    <n v="30"/>
    <n v="2"/>
    <n v="7.5"/>
    <n v="50"/>
    <n v="0"/>
    <n v="0"/>
    <n v="50"/>
    <n v="5"/>
    <s v="UPW"/>
    <s v="MIW"/>
    <s v="Dr DY Patil Sports "/>
    <n v="187"/>
    <n v="9.35"/>
    <n v="56"/>
    <n v="33"/>
    <n v="34"/>
    <s v="NA"/>
    <n v="1"/>
    <n v="46.5"/>
  </r>
  <r>
    <x v="76"/>
    <n v="4"/>
    <s v="P104"/>
    <x v="107"/>
    <x v="4"/>
    <s v="Bowler"/>
    <s v="DNB"/>
    <n v="0"/>
    <n v="0"/>
    <n v="0"/>
    <s v="DNB"/>
    <n v="0"/>
    <n v="4"/>
    <n v="0"/>
    <n v="32"/>
    <n v="1"/>
    <n v="8"/>
    <n v="25"/>
    <n v="0"/>
    <n v="0"/>
    <n v="25"/>
    <n v="3"/>
    <s v="UPW"/>
    <s v="MIW"/>
    <s v="Dr DY Patil Sports "/>
    <n v="187"/>
    <n v="9.35"/>
    <n v="56"/>
    <n v="33"/>
    <n v="34"/>
    <s v="NA"/>
    <n v="1"/>
    <n v="33.4"/>
  </r>
  <r>
    <x v="76"/>
    <n v="4"/>
    <s v="P012"/>
    <x v="11"/>
    <x v="1"/>
    <s v="Allrounder"/>
    <s v="Opener"/>
    <n v="13"/>
    <n v="13"/>
    <n v="100"/>
    <s v="caught"/>
    <n v="13"/>
    <n v="3"/>
    <n v="0"/>
    <n v="40"/>
    <n v="1"/>
    <n v="13.3"/>
    <n v="25"/>
    <n v="0"/>
    <n v="0"/>
    <n v="38"/>
    <n v="4"/>
    <s v="UPW"/>
    <s v="MIW"/>
    <s v="Dr DY Patil Sports "/>
    <n v="165"/>
    <n v="8.25"/>
    <n v="38"/>
    <n v="40"/>
    <n v="36"/>
    <s v="Failed"/>
    <n v="0"/>
    <n v="20.2"/>
  </r>
  <r>
    <x v="76"/>
    <n v="4"/>
    <s v="P072"/>
    <x v="72"/>
    <x v="1"/>
    <s v="Allrounder"/>
    <s v="Top Order"/>
    <n v="10"/>
    <n v="6"/>
    <n v="166.67"/>
    <s v="lbw"/>
    <n v="15"/>
    <n v="0"/>
    <n v="0"/>
    <n v="0"/>
    <n v="0"/>
    <n v="0"/>
    <n v="0"/>
    <n v="0"/>
    <n v="0"/>
    <n v="15"/>
    <n v="2"/>
    <s v="UPW"/>
    <s v="MIW"/>
    <s v="Dr DY Patil Sports "/>
    <n v="165"/>
    <n v="8.25"/>
    <n v="38"/>
    <n v="40"/>
    <n v="36"/>
    <s v="Failed"/>
    <n v="0"/>
    <n v="8.1"/>
  </r>
  <r>
    <x v="76"/>
    <n v="4"/>
    <s v="P015"/>
    <x v="14"/>
    <x v="1"/>
    <s v="Allrounder"/>
    <s v="Top Order"/>
    <n v="15"/>
    <n v="12"/>
    <n v="125"/>
    <s v="caught"/>
    <n v="20"/>
    <n v="4"/>
    <n v="0"/>
    <n v="22"/>
    <n v="2"/>
    <n v="5.5"/>
    <n v="60"/>
    <n v="0"/>
    <n v="0"/>
    <n v="80"/>
    <n v="8"/>
    <s v="UPW"/>
    <s v="MIW"/>
    <s v="Dr DY Patil Sports "/>
    <n v="165"/>
    <n v="8.25"/>
    <n v="38"/>
    <n v="40"/>
    <n v="36"/>
    <s v="Failed"/>
    <n v="0"/>
    <n v="42.4"/>
  </r>
  <r>
    <x v="76"/>
    <n v="4"/>
    <s v="P014"/>
    <x v="13"/>
    <x v="1"/>
    <s v="Allrounder"/>
    <s v="Middle Order"/>
    <n v="18"/>
    <n v="21"/>
    <n v="85.71"/>
    <s v="caught"/>
    <n v="15"/>
    <n v="0"/>
    <n v="0"/>
    <n v="0"/>
    <n v="0"/>
    <n v="0"/>
    <n v="0"/>
    <n v="0"/>
    <n v="0"/>
    <n v="15"/>
    <n v="2"/>
    <s v="UPW"/>
    <s v="MIW"/>
    <s v="Dr DY Patil Sports "/>
    <n v="165"/>
    <n v="8.25"/>
    <n v="38"/>
    <n v="40"/>
    <n v="36"/>
    <s v="Failed"/>
    <n v="0"/>
    <n v="8.1"/>
  </r>
  <r>
    <x v="76"/>
    <n v="4"/>
    <s v="P112"/>
    <x v="116"/>
    <x v="1"/>
    <s v="Allrounder"/>
    <s v="Middle Order"/>
    <n v="6"/>
    <n v="10"/>
    <n v="60"/>
    <s v="caught"/>
    <n v="5"/>
    <n v="4"/>
    <n v="0"/>
    <n v="38"/>
    <n v="1"/>
    <n v="9.5"/>
    <n v="25"/>
    <n v="0"/>
    <n v="0"/>
    <n v="30"/>
    <n v="3"/>
    <s v="UPW"/>
    <s v="MIW"/>
    <s v="Dr DY Patil Sports "/>
    <n v="165"/>
    <n v="8.25"/>
    <n v="38"/>
    <n v="40"/>
    <n v="36"/>
    <s v="Failed"/>
    <n v="0"/>
    <n v="15.9"/>
  </r>
  <r>
    <x v="76"/>
    <n v="4"/>
    <s v="P016"/>
    <x v="15"/>
    <x v="1"/>
    <s v="Allrounder"/>
    <s v="Middle Order"/>
    <n v="49"/>
    <n v="28"/>
    <n v="175"/>
    <s v="not out"/>
    <n v="70"/>
    <n v="4"/>
    <n v="0"/>
    <n v="28"/>
    <n v="3"/>
    <n v="7"/>
    <n v="75"/>
    <n v="0"/>
    <n v="0"/>
    <n v="145"/>
    <n v="10"/>
    <s v="UPW"/>
    <s v="MIW"/>
    <s v="Dr DY Patil Sports "/>
    <n v="165"/>
    <n v="8.25"/>
    <n v="38"/>
    <n v="40"/>
    <n v="36"/>
    <s v="Failed"/>
    <n v="0"/>
    <n v="75.5"/>
  </r>
  <r>
    <x v="76"/>
    <n v="4"/>
    <s v="P017"/>
    <x v="16"/>
    <x v="1"/>
    <s v="Allrounder"/>
    <s v="Middle Order"/>
    <n v="41"/>
    <n v="24"/>
    <n v="170.83"/>
    <s v="caught"/>
    <n v="65"/>
    <n v="3"/>
    <n v="0"/>
    <n v="38"/>
    <n v="1"/>
    <n v="12.7"/>
    <n v="25"/>
    <n v="0"/>
    <n v="0"/>
    <n v="90"/>
    <n v="9"/>
    <s v="UPW"/>
    <s v="MIW"/>
    <s v="Dr DY Patil Sports "/>
    <n v="165"/>
    <n v="8.25"/>
    <n v="38"/>
    <n v="40"/>
    <n v="36"/>
    <s v="Failed"/>
    <n v="0"/>
    <n v="47.7"/>
  </r>
  <r>
    <x v="76"/>
    <n v="4"/>
    <s v="P122"/>
    <x v="126"/>
    <x v="1"/>
    <s v="WK-Batter"/>
    <s v="Middle Order"/>
    <n v="9"/>
    <n v="6"/>
    <n v="150"/>
    <s v="not out"/>
    <n v="20"/>
    <n v="0"/>
    <n v="0"/>
    <n v="0"/>
    <n v="0"/>
    <n v="0"/>
    <n v="0"/>
    <n v="0"/>
    <n v="0"/>
    <n v="20"/>
    <n v="2"/>
    <s v="UPW"/>
    <s v="MIW"/>
    <s v="Dr DY Patil Sports "/>
    <n v="165"/>
    <n v="8.25"/>
    <n v="38"/>
    <n v="40"/>
    <n v="36"/>
    <s v="Failed"/>
    <n v="0"/>
    <n v="10.6"/>
  </r>
  <r>
    <x v="76"/>
    <n v="4"/>
    <s v="P102"/>
    <x v="103"/>
    <x v="1"/>
    <s v="Bowler"/>
    <s v="DNB"/>
    <n v="0"/>
    <n v="0"/>
    <n v="0"/>
    <s v="DNB"/>
    <n v="0"/>
    <n v="2"/>
    <n v="0"/>
    <n v="16"/>
    <n v="0"/>
    <n v="8"/>
    <n v="5"/>
    <n v="0"/>
    <n v="0"/>
    <n v="5"/>
    <n v="1"/>
    <s v="UPW"/>
    <s v="MIW"/>
    <s v="Dr DY Patil Sports "/>
    <n v="165"/>
    <n v="8.25"/>
    <n v="38"/>
    <n v="40"/>
    <n v="36"/>
    <s v="Failed"/>
    <n v="0"/>
    <n v="2.8"/>
  </r>
  <r>
    <x v="76"/>
    <n v="4"/>
    <s v="P126"/>
    <x v="129"/>
    <x v="1"/>
    <s v="Bowler"/>
    <s v="DNB"/>
    <n v="0"/>
    <n v="0"/>
    <n v="0"/>
    <s v="DNB"/>
    <n v="0"/>
    <n v="0"/>
    <n v="0"/>
    <n v="0"/>
    <n v="0"/>
    <n v="0"/>
    <n v="0"/>
    <n v="0"/>
    <n v="0"/>
    <n v="0"/>
    <n v="0"/>
    <s v="UPW"/>
    <s v="MIW"/>
    <s v="Dr DY Patil Sports "/>
    <n v="165"/>
    <n v="8.25"/>
    <n v="38"/>
    <n v="40"/>
    <n v="36"/>
    <s v="Failed"/>
    <n v="0"/>
    <n v="0"/>
  </r>
  <r>
    <x v="76"/>
    <n v="4"/>
    <s v="P120"/>
    <x v="120"/>
    <x v="1"/>
    <s v="Bowler"/>
    <s v="DNB"/>
    <n v="0"/>
    <n v="0"/>
    <n v="0"/>
    <s v="DNB"/>
    <n v="0"/>
    <n v="0"/>
    <n v="0"/>
    <n v="0"/>
    <n v="0"/>
    <n v="0"/>
    <n v="0"/>
    <n v="0"/>
    <n v="0"/>
    <n v="0"/>
    <n v="0"/>
    <s v="UPW"/>
    <s v="MIW"/>
    <s v="Dr DY Patil Sports "/>
    <n v="165"/>
    <n v="8.25"/>
    <n v="38"/>
    <n v="40"/>
    <n v="36"/>
    <s v="Failed"/>
    <n v="0"/>
    <n v="0"/>
  </r>
  <r>
    <x v="77"/>
    <n v="4"/>
    <s v="P034"/>
    <x v="33"/>
    <x v="3"/>
    <s v="Batter"/>
    <s v="Opener"/>
    <n v="62"/>
    <n v="41"/>
    <n v="151.22"/>
    <s v="caught"/>
    <n v="80"/>
    <n v="1"/>
    <n v="0"/>
    <n v="14"/>
    <n v="0"/>
    <n v="14"/>
    <n v="-10"/>
    <n v="0"/>
    <n v="0"/>
    <n v="70"/>
    <n v="7"/>
    <s v="RCBW"/>
    <s v="RCBW"/>
    <s v="Dr DY Patil Sports "/>
    <n v="166"/>
    <n v="8.3000000000000007"/>
    <n v="60"/>
    <n v="27"/>
    <n v="34"/>
    <s v="NA"/>
    <n v="0"/>
    <n v="37.1"/>
  </r>
  <r>
    <x v="77"/>
    <n v="4"/>
    <s v="P117"/>
    <x v="121"/>
    <x v="3"/>
    <s v="WK-Batter"/>
    <s v="Opener"/>
    <n v="4"/>
    <n v="2"/>
    <n v="200"/>
    <s v="bowled"/>
    <n v="15"/>
    <n v="0"/>
    <n v="0"/>
    <n v="0"/>
    <n v="0"/>
    <n v="0"/>
    <n v="0"/>
    <n v="0"/>
    <n v="0"/>
    <n v="15"/>
    <n v="2"/>
    <s v="RCBW"/>
    <s v="RCBW"/>
    <s v="Dr DY Patil Sports "/>
    <n v="166"/>
    <n v="8.3000000000000007"/>
    <n v="60"/>
    <n v="27"/>
    <n v="34"/>
    <s v="NA"/>
    <n v="0"/>
    <n v="8.1"/>
  </r>
  <r>
    <x v="77"/>
    <n v="4"/>
    <s v="P066"/>
    <x v="65"/>
    <x v="3"/>
    <s v="Batter"/>
    <s v="Top Order"/>
    <n v="0"/>
    <n v="2"/>
    <n v="0"/>
    <s v="bowled"/>
    <n v="0"/>
    <n v="0"/>
    <n v="0"/>
    <n v="0"/>
    <n v="0"/>
    <n v="0"/>
    <n v="0"/>
    <n v="0"/>
    <n v="0"/>
    <n v="0"/>
    <n v="0"/>
    <s v="RCBW"/>
    <s v="RCBW"/>
    <s v="Dr DY Patil Sports "/>
    <n v="166"/>
    <n v="8.3000000000000007"/>
    <n v="60"/>
    <n v="27"/>
    <n v="34"/>
    <s v="NA"/>
    <n v="0"/>
    <n v="0"/>
  </r>
  <r>
    <x v="77"/>
    <n v="4"/>
    <s v="P037"/>
    <x v="36"/>
    <x v="3"/>
    <s v="Batter"/>
    <s v="Top Order"/>
    <n v="4"/>
    <n v="3"/>
    <n v="133.33000000000001"/>
    <s v="bowled"/>
    <n v="5"/>
    <n v="0"/>
    <n v="0"/>
    <n v="0"/>
    <n v="0"/>
    <n v="0"/>
    <n v="0"/>
    <n v="0"/>
    <n v="0"/>
    <n v="5"/>
    <n v="1"/>
    <s v="RCBW"/>
    <s v="RCBW"/>
    <s v="Dr DY Patil Sports "/>
    <n v="166"/>
    <n v="8.3000000000000007"/>
    <n v="60"/>
    <n v="27"/>
    <n v="34"/>
    <s v="NA"/>
    <n v="0"/>
    <n v="2.8"/>
  </r>
  <r>
    <x v="77"/>
    <n v="4"/>
    <s v="P036"/>
    <x v="35"/>
    <x v="3"/>
    <s v="Allrounder"/>
    <s v="Middle Order"/>
    <n v="0"/>
    <n v="1"/>
    <n v="0"/>
    <s v="bowled"/>
    <n v="0"/>
    <n v="4"/>
    <n v="0"/>
    <n v="21"/>
    <n v="1"/>
    <n v="5.2"/>
    <n v="35"/>
    <n v="0"/>
    <n v="0"/>
    <n v="35"/>
    <n v="4"/>
    <s v="RCBW"/>
    <s v="RCBW"/>
    <s v="Dr DY Patil Sports "/>
    <n v="166"/>
    <n v="8.3000000000000007"/>
    <n v="60"/>
    <n v="27"/>
    <n v="34"/>
    <s v="NA"/>
    <n v="0"/>
    <n v="18.7"/>
  </r>
  <r>
    <x v="77"/>
    <n v="4"/>
    <s v="P100"/>
    <x v="104"/>
    <x v="3"/>
    <s v="Allrounder"/>
    <s v="Middle Order"/>
    <n v="12"/>
    <n v="14"/>
    <n v="85.71"/>
    <s v="lbw"/>
    <n v="10"/>
    <n v="0"/>
    <n v="0"/>
    <n v="0"/>
    <n v="0"/>
    <n v="0"/>
    <n v="0"/>
    <n v="0"/>
    <n v="0"/>
    <n v="10"/>
    <n v="1"/>
    <s v="RCBW"/>
    <s v="RCBW"/>
    <s v="Dr DY Patil Sports "/>
    <n v="166"/>
    <n v="8.3000000000000007"/>
    <n v="60"/>
    <n v="27"/>
    <n v="34"/>
    <s v="NA"/>
    <n v="0"/>
    <n v="5.3"/>
  </r>
  <r>
    <x v="77"/>
    <n v="4"/>
    <s v="P062"/>
    <x v="61"/>
    <x v="3"/>
    <s v="Allrounder"/>
    <s v="Middle Order"/>
    <n v="5"/>
    <n v="4"/>
    <n v="125"/>
    <s v="caught"/>
    <n v="5"/>
    <n v="2"/>
    <n v="0"/>
    <n v="20"/>
    <n v="0"/>
    <n v="10"/>
    <n v="-5"/>
    <n v="0"/>
    <n v="0"/>
    <n v="0"/>
    <n v="0"/>
    <s v="RCBW"/>
    <s v="RCBW"/>
    <s v="Dr DY Patil Sports "/>
    <n v="166"/>
    <n v="8.3000000000000007"/>
    <n v="60"/>
    <n v="27"/>
    <n v="34"/>
    <s v="NA"/>
    <n v="0"/>
    <n v="0"/>
  </r>
  <r>
    <x v="77"/>
    <n v="4"/>
    <s v="P008"/>
    <x v="7"/>
    <x v="3"/>
    <s v="Allrounder"/>
    <s v="Middle Order"/>
    <n v="22"/>
    <n v="22"/>
    <n v="100"/>
    <s v="bowled"/>
    <n v="25"/>
    <n v="1"/>
    <n v="0"/>
    <n v="13"/>
    <n v="0"/>
    <n v="13"/>
    <n v="-10"/>
    <n v="0"/>
    <n v="0"/>
    <n v="15"/>
    <n v="2"/>
    <s v="RCBW"/>
    <s v="RCBW"/>
    <s v="Dr DY Patil Sports "/>
    <n v="166"/>
    <n v="8.3000000000000007"/>
    <n v="60"/>
    <n v="27"/>
    <n v="34"/>
    <s v="NA"/>
    <n v="0"/>
    <n v="8.1"/>
  </r>
  <r>
    <x v="77"/>
    <n v="4"/>
    <s v="P127"/>
    <x v="130"/>
    <x v="3"/>
    <s v="Allrounder"/>
    <s v="Middle Order"/>
    <n v="36"/>
    <n v="19"/>
    <n v="189.47"/>
    <s v="caught"/>
    <n v="55"/>
    <n v="3.2"/>
    <n v="0"/>
    <n v="37"/>
    <n v="0"/>
    <n v="11.1"/>
    <n v="-10"/>
    <n v="0"/>
    <n v="0"/>
    <n v="45"/>
    <n v="5"/>
    <s v="RCBW"/>
    <s v="RCBW"/>
    <s v="Dr DY Patil Sports "/>
    <n v="166"/>
    <n v="8.3000000000000007"/>
    <n v="60"/>
    <n v="27"/>
    <n v="34"/>
    <s v="NA"/>
    <n v="0"/>
    <n v="24"/>
  </r>
  <r>
    <x v="77"/>
    <n v="4"/>
    <s v="P118"/>
    <x v="122"/>
    <x v="3"/>
    <s v="Bowler"/>
    <s v="Middle Order"/>
    <n v="11"/>
    <n v="11"/>
    <n v="100"/>
    <s v="not out"/>
    <n v="11"/>
    <n v="3"/>
    <n v="0"/>
    <n v="26"/>
    <n v="0"/>
    <n v="8.6999999999999993"/>
    <n v="5"/>
    <n v="0"/>
    <n v="0"/>
    <n v="16"/>
    <n v="2"/>
    <s v="RCBW"/>
    <s v="RCBW"/>
    <s v="Dr DY Patil Sports "/>
    <n v="166"/>
    <n v="8.3000000000000007"/>
    <n v="60"/>
    <n v="27"/>
    <n v="34"/>
    <s v="NA"/>
    <n v="0"/>
    <n v="8.6"/>
  </r>
  <r>
    <x v="77"/>
    <n v="4"/>
    <s v="P119"/>
    <x v="123"/>
    <x v="3"/>
    <s v="Bowler"/>
    <s v="Middle Order"/>
    <n v="1"/>
    <n v="1"/>
    <n v="100"/>
    <s v="run out"/>
    <n v="1"/>
    <n v="4"/>
    <n v="0"/>
    <n v="34"/>
    <n v="1"/>
    <n v="8.5"/>
    <n v="25"/>
    <n v="0"/>
    <n v="0"/>
    <n v="26"/>
    <n v="3"/>
    <s v="RCBW"/>
    <s v="RCBW"/>
    <s v="Dr DY Patil Sports "/>
    <n v="166"/>
    <n v="8.3000000000000007"/>
    <n v="60"/>
    <n v="27"/>
    <n v="34"/>
    <s v="NA"/>
    <n v="0"/>
    <n v="13.9"/>
  </r>
  <r>
    <x v="77"/>
    <n v="4"/>
    <s v="P049"/>
    <x v="48"/>
    <x v="2"/>
    <s v="Allrounder"/>
    <s v="Opener"/>
    <n v="1"/>
    <n v="4"/>
    <n v="25"/>
    <s v="caught"/>
    <n v="1"/>
    <n v="0"/>
    <n v="0"/>
    <n v="0"/>
    <n v="0"/>
    <n v="0"/>
    <n v="0"/>
    <n v="0"/>
    <n v="0"/>
    <n v="1"/>
    <n v="0"/>
    <s v="RCBW"/>
    <s v="RCBW"/>
    <s v="Dr DY Patil Sports "/>
    <n v="169"/>
    <n v="9.2200000000000006"/>
    <n v="37"/>
    <n v="26"/>
    <n v="32"/>
    <s v="Successful"/>
    <n v="1"/>
    <n v="20.5"/>
  </r>
  <r>
    <x v="77"/>
    <n v="4"/>
    <s v="P023"/>
    <x v="22"/>
    <x v="2"/>
    <s v="Batter"/>
    <s v="Opener"/>
    <n v="96"/>
    <n v="61"/>
    <n v="157.38"/>
    <s v="not out"/>
    <n v="120"/>
    <n v="0"/>
    <n v="0"/>
    <n v="0"/>
    <n v="0"/>
    <n v="0"/>
    <n v="0"/>
    <n v="0"/>
    <n v="0"/>
    <n v="120"/>
    <n v="10"/>
    <s v="RCBW"/>
    <s v="RCBW"/>
    <s v="Dr DY Patil Sports "/>
    <n v="169"/>
    <n v="9.2200000000000006"/>
    <n v="37"/>
    <n v="26"/>
    <n v="32"/>
    <s v="Successful"/>
    <n v="1"/>
    <n v="83"/>
  </r>
  <r>
    <x v="77"/>
    <n v="4"/>
    <s v="P109"/>
    <x v="112"/>
    <x v="2"/>
    <s v="Batter"/>
    <s v="Top Order"/>
    <n v="54"/>
    <n v="42"/>
    <n v="128.57"/>
    <s v="not out"/>
    <n v="65"/>
    <n v="0"/>
    <n v="0"/>
    <n v="0"/>
    <n v="0"/>
    <n v="0"/>
    <n v="0"/>
    <n v="0"/>
    <n v="0"/>
    <n v="65"/>
    <n v="7"/>
    <s v="RCBW"/>
    <s v="RCBW"/>
    <s v="Dr DY Patil Sports "/>
    <n v="169"/>
    <n v="9.2200000000000006"/>
    <n v="37"/>
    <n v="26"/>
    <n v="32"/>
    <s v="Successful"/>
    <n v="1"/>
    <n v="54.6"/>
  </r>
  <r>
    <x v="77"/>
    <n v="4"/>
    <s v="P028"/>
    <x v="27"/>
    <x v="2"/>
    <s v="WK-Batter"/>
    <s v="Middle Order"/>
    <n v="7"/>
    <n v="4"/>
    <n v="175"/>
    <s v="not out"/>
    <n v="15"/>
    <n v="0"/>
    <n v="0"/>
    <n v="0"/>
    <n v="0"/>
    <n v="0"/>
    <n v="0"/>
    <n v="0"/>
    <n v="0"/>
    <n v="15"/>
    <n v="2"/>
    <s v="RCBW"/>
    <s v="RCBW"/>
    <s v="Dr DY Patil Sports "/>
    <n v="169"/>
    <n v="9.2200000000000006"/>
    <n v="37"/>
    <n v="26"/>
    <n v="32"/>
    <s v="Successful"/>
    <n v="1"/>
    <n v="28.1"/>
  </r>
  <r>
    <x v="77"/>
    <n v="4"/>
    <s v="P121"/>
    <x v="124"/>
    <x v="2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RCBW"/>
    <s v="RCBW"/>
    <s v="Dr DY Patil Sports "/>
    <n v="169"/>
    <n v="9.2200000000000006"/>
    <n v="37"/>
    <n v="26"/>
    <n v="32"/>
    <s v="Successful"/>
    <n v="1"/>
    <n v="20"/>
  </r>
  <r>
    <x v="77"/>
    <n v="4"/>
    <s v="P083"/>
    <x v="84"/>
    <x v="2"/>
    <s v="Allrounder"/>
    <s v="DNB"/>
    <n v="0"/>
    <n v="0"/>
    <n v="0"/>
    <s v="DNB"/>
    <n v="0"/>
    <n v="4"/>
    <n v="0"/>
    <n v="31"/>
    <n v="1"/>
    <n v="7.8"/>
    <n v="25"/>
    <n v="0"/>
    <n v="0"/>
    <n v="25"/>
    <n v="3"/>
    <s v="RCBW"/>
    <s v="RCBW"/>
    <s v="Dr DY Patil Sports "/>
    <n v="169"/>
    <n v="9.2200000000000006"/>
    <n v="37"/>
    <n v="26"/>
    <n v="32"/>
    <s v="Successful"/>
    <n v="1"/>
    <n v="33.4"/>
  </r>
  <r>
    <x v="77"/>
    <n v="4"/>
    <s v="P043"/>
    <x v="42"/>
    <x v="2"/>
    <s v="Allrounder"/>
    <s v="DNB"/>
    <n v="0"/>
    <n v="0"/>
    <n v="0"/>
    <s v="DNB"/>
    <n v="0"/>
    <n v="3"/>
    <n v="0"/>
    <n v="21"/>
    <n v="0"/>
    <n v="7"/>
    <n v="5"/>
    <n v="0"/>
    <n v="0"/>
    <n v="5"/>
    <n v="1"/>
    <s v="RCBW"/>
    <s v="RCBW"/>
    <s v="Dr DY Patil Sports "/>
    <n v="169"/>
    <n v="9.2200000000000006"/>
    <n v="37"/>
    <n v="26"/>
    <n v="32"/>
    <s v="Successful"/>
    <n v="1"/>
    <n v="22.8"/>
  </r>
  <r>
    <x v="77"/>
    <n v="4"/>
    <s v="P096"/>
    <x v="101"/>
    <x v="2"/>
    <s v="Bowler"/>
    <s v="DNB"/>
    <n v="0"/>
    <n v="0"/>
    <n v="0"/>
    <s v="DNB"/>
    <n v="0"/>
    <n v="3"/>
    <n v="0"/>
    <n v="16"/>
    <n v="2"/>
    <n v="5.3"/>
    <n v="60"/>
    <n v="0"/>
    <n v="0"/>
    <n v="60"/>
    <n v="6"/>
    <s v="RCBW"/>
    <s v="RCBW"/>
    <s v="Dr DY Patil Sports "/>
    <n v="169"/>
    <n v="9.2200000000000006"/>
    <n v="37"/>
    <n v="26"/>
    <n v="32"/>
    <s v="Successful"/>
    <n v="1"/>
    <n v="51.8"/>
  </r>
  <r>
    <x v="77"/>
    <n v="4"/>
    <s v="P059"/>
    <x v="58"/>
    <x v="2"/>
    <s v="Allrounder"/>
    <s v="DNB"/>
    <n v="0"/>
    <n v="0"/>
    <n v="0"/>
    <s v="DNB"/>
    <n v="0"/>
    <n v="3"/>
    <n v="0"/>
    <n v="44"/>
    <n v="0"/>
    <n v="14.7"/>
    <n v="-10"/>
    <n v="0"/>
    <n v="0"/>
    <n v="-10"/>
    <n v="0"/>
    <s v="RCBW"/>
    <s v="RCBW"/>
    <s v="Dr DY Patil Sports "/>
    <n v="169"/>
    <n v="9.2200000000000006"/>
    <n v="37"/>
    <n v="26"/>
    <n v="32"/>
    <s v="Successful"/>
    <n v="1"/>
    <n v="20"/>
  </r>
  <r>
    <x v="77"/>
    <n v="4"/>
    <s v="P089"/>
    <x v="89"/>
    <x v="2"/>
    <s v="Allrounder"/>
    <s v="DNB"/>
    <n v="0"/>
    <n v="0"/>
    <n v="0"/>
    <s v="DNB"/>
    <n v="0"/>
    <n v="3"/>
    <n v="0"/>
    <n v="27"/>
    <n v="3"/>
    <n v="9"/>
    <n v="75"/>
    <n v="0"/>
    <n v="0"/>
    <n v="75"/>
    <n v="8"/>
    <s v="RCBW"/>
    <s v="RCBW"/>
    <s v="Dr DY Patil Sports "/>
    <n v="169"/>
    <n v="9.2200000000000006"/>
    <n v="37"/>
    <n v="26"/>
    <n v="32"/>
    <s v="Successful"/>
    <n v="1"/>
    <n v="59.9"/>
  </r>
  <r>
    <x v="77"/>
    <n v="4"/>
    <s v="P113"/>
    <x v="118"/>
    <x v="2"/>
    <s v="Bowler"/>
    <s v="DNB"/>
    <n v="0"/>
    <n v="0"/>
    <n v="0"/>
    <s v="DNB"/>
    <n v="0"/>
    <n v="4"/>
    <n v="0"/>
    <n v="26"/>
    <n v="3"/>
    <n v="6.5"/>
    <n v="75"/>
    <n v="0"/>
    <n v="0"/>
    <n v="75"/>
    <n v="8"/>
    <s v="RCBW"/>
    <s v="RCBW"/>
    <s v="Dr DY Patil Sports "/>
    <n v="169"/>
    <n v="9.2200000000000006"/>
    <n v="37"/>
    <n v="26"/>
    <n v="32"/>
    <s v="Successful"/>
    <n v="1"/>
    <n v="59.9"/>
  </r>
  <r>
    <x v="78"/>
    <n v="4"/>
    <s v="P049"/>
    <x v="48"/>
    <x v="2"/>
    <s v="Allrounder"/>
    <s v="Opener"/>
    <n v="1"/>
    <n v="3"/>
    <n v="33.33"/>
    <s v="caught"/>
    <n v="1"/>
    <n v="0"/>
    <n v="0"/>
    <n v="0"/>
    <n v="0"/>
    <n v="0"/>
    <n v="0"/>
    <n v="0"/>
    <n v="0"/>
    <n v="1"/>
    <n v="0"/>
    <s v="RCBW"/>
    <s v="GGTW"/>
    <s v="BCA Stadium, Kotambi"/>
    <n v="178"/>
    <n v="8.9"/>
    <n v="37"/>
    <n v="47"/>
    <n v="34"/>
    <s v="NA"/>
    <n v="1"/>
    <n v="20.5"/>
  </r>
  <r>
    <x v="78"/>
    <n v="4"/>
    <s v="P023"/>
    <x v="22"/>
    <x v="2"/>
    <s v="Batter"/>
    <s v="Opener"/>
    <n v="26"/>
    <n v="23"/>
    <n v="113.04"/>
    <s v="lbw"/>
    <n v="25"/>
    <n v="0"/>
    <n v="0"/>
    <n v="0"/>
    <n v="0"/>
    <n v="0"/>
    <n v="0"/>
    <n v="0"/>
    <n v="0"/>
    <n v="25"/>
    <n v="3"/>
    <s v="RCBW"/>
    <s v="GGTW"/>
    <s v="BCA Stadium, Kotambi"/>
    <n v="178"/>
    <n v="8.9"/>
    <n v="37"/>
    <n v="47"/>
    <n v="34"/>
    <s v="NA"/>
    <n v="1"/>
    <n v="33.4"/>
  </r>
  <r>
    <x v="78"/>
    <n v="4"/>
    <s v="P109"/>
    <x v="112"/>
    <x v="2"/>
    <s v="Batter"/>
    <s v="Top Order"/>
    <n v="1"/>
    <n v="3"/>
    <n v="33.33"/>
    <s v="bowled"/>
    <n v="1"/>
    <n v="0"/>
    <n v="0"/>
    <n v="0"/>
    <n v="0"/>
    <n v="0"/>
    <n v="0"/>
    <n v="0"/>
    <n v="0"/>
    <n v="1"/>
    <n v="0"/>
    <s v="RCBW"/>
    <s v="GGTW"/>
    <s v="BCA Stadium, Kotambi"/>
    <n v="178"/>
    <n v="8.9"/>
    <n v="37"/>
    <n v="47"/>
    <n v="34"/>
    <s v="NA"/>
    <n v="1"/>
    <n v="20.5"/>
  </r>
  <r>
    <x v="78"/>
    <n v="4"/>
    <s v="P121"/>
    <x v="124"/>
    <x v="2"/>
    <s v="Allrounder"/>
    <s v="Top Order"/>
    <n v="73"/>
    <n v="55"/>
    <n v="132.72999999999999"/>
    <s v="bowled"/>
    <n v="90"/>
    <n v="0"/>
    <n v="0"/>
    <n v="0"/>
    <n v="0"/>
    <n v="0"/>
    <n v="0"/>
    <n v="0"/>
    <n v="0"/>
    <n v="90"/>
    <n v="9"/>
    <s v="RCBW"/>
    <s v="GGTW"/>
    <s v="BCA Stadium, Kotambi"/>
    <n v="178"/>
    <n v="8.9"/>
    <n v="37"/>
    <n v="47"/>
    <n v="34"/>
    <s v="NA"/>
    <n v="1"/>
    <n v="67.7"/>
  </r>
  <r>
    <x v="78"/>
    <n v="4"/>
    <s v="P028"/>
    <x v="27"/>
    <x v="2"/>
    <s v="WK-Batter"/>
    <s v="Middle Order"/>
    <n v="27"/>
    <n v="20"/>
    <n v="135"/>
    <s v="caught"/>
    <n v="35"/>
    <n v="0"/>
    <n v="0"/>
    <n v="0"/>
    <n v="0"/>
    <n v="0"/>
    <n v="0"/>
    <n v="0"/>
    <n v="0"/>
    <n v="35"/>
    <n v="4"/>
    <s v="RCBW"/>
    <s v="GGTW"/>
    <s v="BCA Stadium, Kotambi"/>
    <n v="178"/>
    <n v="8.9"/>
    <n v="37"/>
    <n v="47"/>
    <n v="34"/>
    <s v="NA"/>
    <n v="1"/>
    <n v="38.700000000000003"/>
  </r>
  <r>
    <x v="78"/>
    <n v="4"/>
    <s v="P083"/>
    <x v="84"/>
    <x v="2"/>
    <s v="Allrounder"/>
    <s v="Middle Order"/>
    <n v="4"/>
    <n v="6"/>
    <n v="66.67"/>
    <s v="not out"/>
    <n v="4"/>
    <n v="4"/>
    <n v="0"/>
    <n v="17"/>
    <n v="2"/>
    <n v="4.2"/>
    <n v="60"/>
    <n v="0"/>
    <n v="0"/>
    <n v="64"/>
    <n v="6"/>
    <s v="RCBW"/>
    <s v="GGTW"/>
    <s v="BCA Stadium, Kotambi"/>
    <n v="178"/>
    <n v="8.9"/>
    <n v="37"/>
    <n v="47"/>
    <n v="34"/>
    <s v="NA"/>
    <n v="1"/>
    <n v="53.8"/>
  </r>
  <r>
    <x v="78"/>
    <n v="4"/>
    <s v="P043"/>
    <x v="42"/>
    <x v="2"/>
    <s v="Allrounder"/>
    <s v="Middle Order"/>
    <n v="17"/>
    <n v="8"/>
    <n v="212.5"/>
    <s v="caught"/>
    <n v="35"/>
    <n v="4"/>
    <n v="0"/>
    <n v="34"/>
    <n v="1"/>
    <n v="8.5"/>
    <n v="25"/>
    <n v="0"/>
    <n v="0"/>
    <n v="60"/>
    <n v="6"/>
    <s v="RCBW"/>
    <s v="GGTW"/>
    <s v="BCA Stadium, Kotambi"/>
    <n v="178"/>
    <n v="8.9"/>
    <n v="37"/>
    <n v="47"/>
    <n v="34"/>
    <s v="NA"/>
    <n v="1"/>
    <n v="51.8"/>
  </r>
  <r>
    <x v="78"/>
    <n v="4"/>
    <s v="P059"/>
    <x v="58"/>
    <x v="2"/>
    <s v="Allrounder"/>
    <s v="Middle Order"/>
    <n v="8"/>
    <n v="2"/>
    <n v="400"/>
    <s v="not out"/>
    <n v="20"/>
    <n v="4"/>
    <n v="0"/>
    <n v="19"/>
    <n v="1"/>
    <n v="4.8"/>
    <n v="60"/>
    <n v="0"/>
    <n v="0"/>
    <n v="80"/>
    <n v="8"/>
    <s v="RCBW"/>
    <s v="GGTW"/>
    <s v="BCA Stadium, Kotambi"/>
    <n v="178"/>
    <n v="8.9"/>
    <n v="37"/>
    <n v="47"/>
    <n v="34"/>
    <s v="NA"/>
    <n v="1"/>
    <n v="62.4"/>
  </r>
  <r>
    <x v="78"/>
    <n v="4"/>
    <s v="P096"/>
    <x v="101"/>
    <x v="2"/>
    <s v="Bowler"/>
    <s v="DNB"/>
    <n v="0"/>
    <n v="0"/>
    <n v="0"/>
    <s v="DNB"/>
    <n v="0"/>
    <n v="0"/>
    <n v="0"/>
    <n v="0"/>
    <n v="0"/>
    <n v="0"/>
    <n v="0"/>
    <n v="0"/>
    <n v="0"/>
    <n v="0"/>
    <n v="0"/>
    <s v="RCBW"/>
    <s v="GGTW"/>
    <s v="BCA Stadium, Kotambi"/>
    <n v="178"/>
    <n v="8.9"/>
    <n v="37"/>
    <n v="47"/>
    <n v="34"/>
    <s v="NA"/>
    <n v="1"/>
    <n v="20"/>
  </r>
  <r>
    <x v="78"/>
    <n v="4"/>
    <s v="P089"/>
    <x v="89"/>
    <x v="2"/>
    <s v="Allrounder"/>
    <s v="DNB"/>
    <n v="0"/>
    <n v="0"/>
    <n v="0"/>
    <s v="DNB"/>
    <n v="0"/>
    <n v="4"/>
    <n v="0"/>
    <n v="21"/>
    <n v="3"/>
    <n v="5.2"/>
    <n v="75"/>
    <n v="0"/>
    <n v="0"/>
    <n v="75"/>
    <n v="8"/>
    <s v="RCBW"/>
    <s v="GGTW"/>
    <s v="BCA Stadium, Kotambi"/>
    <n v="178"/>
    <n v="8.9"/>
    <n v="37"/>
    <n v="47"/>
    <n v="34"/>
    <s v="NA"/>
    <n v="1"/>
    <n v="59.9"/>
  </r>
  <r>
    <x v="78"/>
    <n v="4"/>
    <s v="P113"/>
    <x v="118"/>
    <x v="2"/>
    <s v="Bowler"/>
    <s v="DNB"/>
    <n v="0"/>
    <n v="0"/>
    <n v="0"/>
    <s v="DNB"/>
    <n v="0"/>
    <n v="4"/>
    <n v="1"/>
    <n v="23"/>
    <n v="1"/>
    <n v="5.8"/>
    <n v="35"/>
    <n v="0"/>
    <n v="0"/>
    <n v="35"/>
    <n v="4"/>
    <s v="RCBW"/>
    <s v="GGTW"/>
    <s v="BCA Stadium, Kotambi"/>
    <n v="178"/>
    <n v="8.9"/>
    <n v="37"/>
    <n v="47"/>
    <n v="34"/>
    <s v="NA"/>
    <n v="1"/>
    <n v="38.700000000000003"/>
  </r>
  <r>
    <x v="78"/>
    <n v="4"/>
    <s v="P001"/>
    <x v="0"/>
    <x v="0"/>
    <s v="WK-Batter"/>
    <s v="Opener"/>
    <n v="3"/>
    <n v="4"/>
    <n v="75"/>
    <s v="bowled"/>
    <n v="0"/>
    <n v="0"/>
    <n v="0"/>
    <n v="0"/>
    <n v="0"/>
    <n v="0"/>
    <n v="0"/>
    <n v="0"/>
    <n v="0"/>
    <n v="0"/>
    <n v="0"/>
    <s v="RCBW"/>
    <s v="GGTW"/>
    <s v="BCA Stadium, Kotambi"/>
    <n v="117"/>
    <n v="5.85"/>
    <n v="29"/>
    <n v="22"/>
    <n v="36"/>
    <s v="Failed"/>
    <n v="0"/>
    <n v="0"/>
  </r>
  <r>
    <x v="78"/>
    <n v="4"/>
    <s v="P024"/>
    <x v="23"/>
    <x v="0"/>
    <s v="Allrounder"/>
    <s v="Top Order"/>
    <n v="0"/>
    <n v="4"/>
    <n v="0"/>
    <s v="caught"/>
    <n v="0"/>
    <n v="4"/>
    <n v="0"/>
    <n v="25"/>
    <n v="1"/>
    <n v="6.2"/>
    <n v="35"/>
    <n v="0"/>
    <n v="0"/>
    <n v="35"/>
    <n v="4"/>
    <s v="RCBW"/>
    <s v="GGTW"/>
    <s v="BCA Stadium, Kotambi"/>
    <n v="117"/>
    <n v="5.85"/>
    <n v="29"/>
    <n v="22"/>
    <n v="36"/>
    <s v="Failed"/>
    <n v="0"/>
    <n v="18.7"/>
  </r>
  <r>
    <x v="78"/>
    <n v="4"/>
    <s v="P115"/>
    <x v="119"/>
    <x v="0"/>
    <s v="Batter"/>
    <s v="Top Order"/>
    <n v="18"/>
    <n v="20"/>
    <n v="90"/>
    <s v="caught"/>
    <n v="15"/>
    <n v="0"/>
    <n v="0"/>
    <n v="0"/>
    <n v="0"/>
    <n v="0"/>
    <n v="0"/>
    <n v="0"/>
    <n v="0"/>
    <n v="15"/>
    <n v="2"/>
    <s v="RCBW"/>
    <s v="GGTW"/>
    <s v="BCA Stadium, Kotambi"/>
    <n v="117"/>
    <n v="5.85"/>
    <n v="29"/>
    <n v="22"/>
    <n v="36"/>
    <s v="Failed"/>
    <n v="0"/>
    <n v="8.1"/>
  </r>
  <r>
    <x v="78"/>
    <n v="4"/>
    <s v="P029"/>
    <x v="28"/>
    <x v="0"/>
    <s v="Allrounder"/>
    <s v="Top Order"/>
    <n v="0"/>
    <n v="3"/>
    <n v="0"/>
    <s v="bowled"/>
    <n v="0"/>
    <n v="0"/>
    <n v="0"/>
    <n v="0"/>
    <n v="0"/>
    <n v="0"/>
    <n v="0"/>
    <n v="0"/>
    <n v="0"/>
    <n v="0"/>
    <n v="0"/>
    <s v="RCBW"/>
    <s v="GGTW"/>
    <s v="BCA Stadium, Kotambi"/>
    <n v="117"/>
    <n v="5.85"/>
    <n v="29"/>
    <n v="22"/>
    <n v="36"/>
    <s v="Failed"/>
    <n v="0"/>
    <n v="0"/>
  </r>
  <r>
    <x v="78"/>
    <n v="4"/>
    <s v="P004"/>
    <x v="3"/>
    <x v="0"/>
    <s v="Allrounder"/>
    <s v="Top Order"/>
    <n v="54"/>
    <n v="43"/>
    <n v="125.58"/>
    <s v="caught"/>
    <n v="65"/>
    <n v="4"/>
    <n v="0"/>
    <n v="43"/>
    <n v="2"/>
    <n v="10.8"/>
    <n v="50"/>
    <n v="0"/>
    <n v="0"/>
    <n v="115"/>
    <n v="10"/>
    <s v="RCBW"/>
    <s v="GGTW"/>
    <s v="BCA Stadium, Kotambi"/>
    <n v="117"/>
    <n v="5.85"/>
    <n v="29"/>
    <n v="22"/>
    <n v="36"/>
    <s v="Failed"/>
    <n v="0"/>
    <n v="60.5"/>
  </r>
  <r>
    <x v="78"/>
    <n v="4"/>
    <s v="P098"/>
    <x v="98"/>
    <x v="0"/>
    <s v="Allrounder"/>
    <s v="Middle Order"/>
    <n v="4"/>
    <n v="8"/>
    <n v="50"/>
    <s v="bowled"/>
    <n v="5"/>
    <n v="4"/>
    <n v="0"/>
    <n v="38"/>
    <n v="2"/>
    <n v="9.5"/>
    <n v="50"/>
    <n v="0"/>
    <n v="0"/>
    <n v="55"/>
    <n v="6"/>
    <s v="RCBW"/>
    <s v="GGTW"/>
    <s v="BCA Stadium, Kotambi"/>
    <n v="117"/>
    <n v="5.85"/>
    <n v="29"/>
    <n v="22"/>
    <n v="36"/>
    <s v="Failed"/>
    <n v="0"/>
    <n v="29.3"/>
  </r>
  <r>
    <x v="78"/>
    <n v="4"/>
    <s v="P007"/>
    <x v="6"/>
    <x v="0"/>
    <s v="Allrounder"/>
    <s v="Middle Order"/>
    <n v="2"/>
    <n v="6"/>
    <n v="33.33"/>
    <s v="caught"/>
    <n v="2"/>
    <n v="1"/>
    <n v="0"/>
    <n v="13"/>
    <n v="0"/>
    <n v="13"/>
    <n v="-10"/>
    <n v="0"/>
    <n v="0"/>
    <n v="-8"/>
    <n v="0"/>
    <s v="RCBW"/>
    <s v="GGTW"/>
    <s v="BCA Stadium, Kotambi"/>
    <n v="117"/>
    <n v="5.85"/>
    <n v="29"/>
    <n v="22"/>
    <n v="36"/>
    <s v="Failed"/>
    <n v="0"/>
    <n v="0"/>
  </r>
  <r>
    <x v="78"/>
    <n v="4"/>
    <s v="P093"/>
    <x v="93"/>
    <x v="0"/>
    <s v="Batter"/>
    <s v="Middle Order"/>
    <n v="14"/>
    <n v="15"/>
    <n v="93.33"/>
    <s v="caught"/>
    <n v="15"/>
    <n v="0"/>
    <n v="0"/>
    <n v="0"/>
    <n v="0"/>
    <n v="0"/>
    <n v="0"/>
    <n v="0"/>
    <n v="0"/>
    <n v="15"/>
    <n v="2"/>
    <s v="RCBW"/>
    <s v="GGTW"/>
    <s v="BCA Stadium, Kotambi"/>
    <n v="117"/>
    <n v="5.85"/>
    <n v="29"/>
    <n v="22"/>
    <n v="36"/>
    <s v="Failed"/>
    <n v="0"/>
    <n v="8.1"/>
  </r>
  <r>
    <x v="78"/>
    <n v="4"/>
    <s v="P009"/>
    <x v="8"/>
    <x v="0"/>
    <s v="Bowler"/>
    <s v="Middle Order"/>
    <n v="11"/>
    <n v="11"/>
    <n v="100"/>
    <s v="not out"/>
    <n v="15"/>
    <n v="2"/>
    <n v="0"/>
    <n v="20"/>
    <n v="0"/>
    <n v="10"/>
    <n v="-5"/>
    <n v="0"/>
    <n v="0"/>
    <n v="10"/>
    <n v="1"/>
    <s v="RCBW"/>
    <s v="GGTW"/>
    <s v="BCA Stadium, Kotambi"/>
    <n v="117"/>
    <n v="5.85"/>
    <n v="29"/>
    <n v="22"/>
    <n v="36"/>
    <s v="Failed"/>
    <n v="0"/>
    <n v="5.3"/>
  </r>
  <r>
    <x v="78"/>
    <n v="4"/>
    <s v="P128"/>
    <x v="131"/>
    <x v="0"/>
    <s v="Bowler"/>
    <s v="DNB"/>
    <n v="0"/>
    <n v="0"/>
    <n v="0"/>
    <s v="DNB"/>
    <n v="0"/>
    <n v="1"/>
    <n v="0"/>
    <n v="10"/>
    <n v="0"/>
    <n v="10"/>
    <n v="-5"/>
    <n v="0"/>
    <n v="0"/>
    <n v="-5"/>
    <n v="0"/>
    <s v="RCBW"/>
    <s v="GGTW"/>
    <s v="BCA Stadium, Kotambi"/>
    <n v="117"/>
    <n v="5.85"/>
    <n v="29"/>
    <n v="22"/>
    <n v="36"/>
    <s v="Failed"/>
    <n v="0"/>
    <n v="0"/>
  </r>
  <r>
    <x v="78"/>
    <n v="4"/>
    <s v="P033"/>
    <x v="32"/>
    <x v="0"/>
    <s v="Bowler"/>
    <s v="Middle Order"/>
    <n v="6"/>
    <n v="6"/>
    <n v="100"/>
    <s v="not out"/>
    <n v="10"/>
    <n v="4"/>
    <n v="0"/>
    <n v="23"/>
    <n v="1"/>
    <n v="5.8"/>
    <n v="35"/>
    <n v="0"/>
    <n v="0"/>
    <n v="45"/>
    <n v="5"/>
    <s v="RCBW"/>
    <s v="GGTW"/>
    <s v="BCA Stadium, Kotambi"/>
    <n v="117"/>
    <n v="5.85"/>
    <n v="29"/>
    <n v="22"/>
    <n v="36"/>
    <s v="Failed"/>
    <n v="0"/>
    <n v="24"/>
  </r>
  <r>
    <x v="79"/>
    <n v="4"/>
    <s v="P072"/>
    <x v="72"/>
    <x v="1"/>
    <s v="Allrounder"/>
    <s v="Opener"/>
    <n v="9"/>
    <n v="9"/>
    <n v="100"/>
    <s v="bowled"/>
    <n v="10"/>
    <n v="0"/>
    <n v="0"/>
    <n v="0"/>
    <n v="0"/>
    <n v="0"/>
    <n v="0"/>
    <n v="0"/>
    <n v="0"/>
    <n v="10"/>
    <n v="1"/>
    <s v="DCW"/>
    <s v="DCW"/>
    <s v="BCA Stadium, Kotambi"/>
    <n v="154"/>
    <n v="7.7"/>
    <n v="23"/>
    <n v="35"/>
    <n v="30"/>
    <s v="NA"/>
    <n v="0"/>
    <n v="5.3"/>
  </r>
  <r>
    <x v="79"/>
    <n v="4"/>
    <s v="P012"/>
    <x v="11"/>
    <x v="1"/>
    <s v="Allrounder"/>
    <s v="Opener"/>
    <n v="12"/>
    <n v="15"/>
    <n v="80"/>
    <s v="bowled"/>
    <n v="7"/>
    <n v="2"/>
    <n v="0"/>
    <n v="19"/>
    <n v="0"/>
    <n v="9.5"/>
    <n v="-5"/>
    <n v="0"/>
    <n v="0"/>
    <n v="2"/>
    <n v="0"/>
    <s v="DCW"/>
    <s v="DCW"/>
    <s v="BCA Stadium, Kotambi"/>
    <n v="154"/>
    <n v="7.7"/>
    <n v="23"/>
    <n v="35"/>
    <n v="30"/>
    <s v="NA"/>
    <n v="0"/>
    <n v="1"/>
  </r>
  <r>
    <x v="79"/>
    <n v="4"/>
    <s v="P015"/>
    <x v="14"/>
    <x v="1"/>
    <s v="Allrounder"/>
    <s v="Top Order"/>
    <n v="65"/>
    <n v="45"/>
    <n v="144.44"/>
    <s v="not out"/>
    <n v="85"/>
    <n v="4"/>
    <n v="0"/>
    <n v="42"/>
    <n v="0"/>
    <n v="10.5"/>
    <n v="-5"/>
    <n v="0"/>
    <n v="0"/>
    <n v="80"/>
    <n v="8"/>
    <s v="DCW"/>
    <s v="DCW"/>
    <s v="BCA Stadium, Kotambi"/>
    <n v="154"/>
    <n v="7.7"/>
    <n v="23"/>
    <n v="35"/>
    <n v="30"/>
    <s v="NA"/>
    <n v="0"/>
    <n v="42.4"/>
  </r>
  <r>
    <x v="79"/>
    <n v="4"/>
    <s v="P014"/>
    <x v="13"/>
    <x v="1"/>
    <s v="Allrounder"/>
    <s v="Top Order"/>
    <n v="41"/>
    <n v="33"/>
    <n v="124.24"/>
    <s v="caught"/>
    <n v="55"/>
    <n v="0"/>
    <n v="0"/>
    <n v="0"/>
    <n v="0"/>
    <n v="0"/>
    <n v="0"/>
    <n v="0"/>
    <n v="0"/>
    <n v="55"/>
    <n v="6"/>
    <s v="DCW"/>
    <s v="DCW"/>
    <s v="BCA Stadium, Kotambi"/>
    <n v="154"/>
    <n v="7.7"/>
    <n v="23"/>
    <n v="35"/>
    <n v="30"/>
    <s v="NA"/>
    <n v="0"/>
    <n v="29.3"/>
  </r>
  <r>
    <x v="79"/>
    <n v="4"/>
    <s v="P112"/>
    <x v="116"/>
    <x v="1"/>
    <s v="Allrounder"/>
    <s v="Middle Order"/>
    <n v="12"/>
    <n v="11"/>
    <n v="109.09"/>
    <s v="caught"/>
    <n v="15"/>
    <n v="1"/>
    <n v="0"/>
    <n v="13"/>
    <n v="0"/>
    <n v="13"/>
    <n v="-10"/>
    <n v="0"/>
    <n v="0"/>
    <n v="5"/>
    <n v="1"/>
    <s v="DCW"/>
    <s v="DCW"/>
    <s v="BCA Stadium, Kotambi"/>
    <n v="154"/>
    <n v="7.7"/>
    <n v="23"/>
    <n v="35"/>
    <n v="30"/>
    <s v="NA"/>
    <n v="0"/>
    <n v="2.8"/>
  </r>
  <r>
    <x v="79"/>
    <n v="4"/>
    <s v="P017"/>
    <x v="16"/>
    <x v="1"/>
    <s v="Allrounder"/>
    <s v="Middle Order"/>
    <n v="3"/>
    <n v="3"/>
    <n v="100"/>
    <s v="caught"/>
    <n v="3"/>
    <n v="3"/>
    <n v="0"/>
    <n v="21"/>
    <n v="1"/>
    <n v="7"/>
    <n v="25"/>
    <n v="0"/>
    <n v="0"/>
    <n v="28"/>
    <n v="3"/>
    <s v="DCW"/>
    <s v="DCW"/>
    <s v="BCA Stadium, Kotambi"/>
    <n v="154"/>
    <n v="7.7"/>
    <n v="23"/>
    <n v="35"/>
    <n v="30"/>
    <s v="NA"/>
    <n v="0"/>
    <n v="14.9"/>
  </r>
  <r>
    <x v="79"/>
    <n v="4"/>
    <s v="P102"/>
    <x v="103"/>
    <x v="1"/>
    <s v="Bowler"/>
    <s v="Middle Order"/>
    <n v="10"/>
    <n v="5"/>
    <n v="200"/>
    <s v="not out"/>
    <n v="20"/>
    <n v="1"/>
    <n v="0"/>
    <n v="13"/>
    <n v="0"/>
    <n v="13"/>
    <n v="-10"/>
    <n v="0"/>
    <n v="0"/>
    <n v="10"/>
    <n v="1"/>
    <s v="DCW"/>
    <s v="DCW"/>
    <s v="BCA Stadium, Kotambi"/>
    <n v="154"/>
    <n v="7.7"/>
    <n v="23"/>
    <n v="35"/>
    <n v="30"/>
    <s v="NA"/>
    <n v="0"/>
    <n v="5.3"/>
  </r>
  <r>
    <x v="79"/>
    <n v="4"/>
    <s v="P129"/>
    <x v="132"/>
    <x v="1"/>
    <s v="WK-Batter"/>
    <s v="DNB"/>
    <n v="0"/>
    <n v="0"/>
    <n v="0"/>
    <s v="DNB"/>
    <n v="0"/>
    <n v="0"/>
    <n v="0"/>
    <n v="0"/>
    <n v="0"/>
    <n v="0"/>
    <n v="0"/>
    <n v="0"/>
    <n v="0"/>
    <n v="0"/>
    <n v="0"/>
    <s v="DCW"/>
    <s v="DCW"/>
    <s v="BCA Stadium, Kotambi"/>
    <n v="154"/>
    <n v="7.7"/>
    <n v="23"/>
    <n v="35"/>
    <n v="30"/>
    <s v="NA"/>
    <n v="0"/>
    <n v="0"/>
  </r>
  <r>
    <x v="79"/>
    <n v="4"/>
    <s v="P131"/>
    <x v="133"/>
    <x v="1"/>
    <s v="Allrounder"/>
    <s v="DNB"/>
    <n v="0"/>
    <n v="0"/>
    <n v="0"/>
    <s v="DNB"/>
    <n v="0"/>
    <n v="4"/>
    <n v="0"/>
    <n v="20"/>
    <n v="1"/>
    <n v="5"/>
    <n v="35"/>
    <n v="0"/>
    <n v="0"/>
    <n v="35"/>
    <n v="4"/>
    <s v="DCW"/>
    <s v="DCW"/>
    <s v="BCA Stadium, Kotambi"/>
    <n v="154"/>
    <n v="7.7"/>
    <n v="23"/>
    <n v="35"/>
    <n v="30"/>
    <s v="NA"/>
    <n v="0"/>
    <n v="18.7"/>
  </r>
  <r>
    <x v="79"/>
    <n v="4"/>
    <s v="P061"/>
    <x v="60"/>
    <x v="1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DCW"/>
    <s v="DCW"/>
    <s v="BCA Stadium, Kotambi"/>
    <n v="154"/>
    <n v="7.7"/>
    <n v="23"/>
    <n v="35"/>
    <n v="30"/>
    <s v="NA"/>
    <n v="0"/>
    <n v="0"/>
  </r>
  <r>
    <x v="79"/>
    <n v="4"/>
    <s v="P060"/>
    <x v="59"/>
    <x v="1"/>
    <s v="Bowler"/>
    <s v="DNB"/>
    <n v="0"/>
    <n v="0"/>
    <n v="0"/>
    <s v="DNB"/>
    <n v="0"/>
    <n v="4"/>
    <n v="0"/>
    <n v="26"/>
    <n v="0"/>
    <n v="6.5"/>
    <n v="10"/>
    <n v="0"/>
    <n v="0"/>
    <n v="10"/>
    <n v="1"/>
    <s v="DCW"/>
    <s v="DCW"/>
    <s v="BCA Stadium, Kotambi"/>
    <n v="154"/>
    <n v="7.7"/>
    <n v="23"/>
    <n v="35"/>
    <n v="30"/>
    <s v="NA"/>
    <n v="0"/>
    <n v="5.3"/>
  </r>
  <r>
    <x v="79"/>
    <n v="4"/>
    <s v="P034"/>
    <x v="33"/>
    <x v="3"/>
    <s v="Batter"/>
    <s v="Opener"/>
    <n v="29"/>
    <n v="24"/>
    <n v="120.83"/>
    <s v="bowled"/>
    <n v="35"/>
    <n v="1"/>
    <n v="0"/>
    <n v="14"/>
    <n v="0"/>
    <n v="14"/>
    <n v="-10"/>
    <n v="0"/>
    <n v="0"/>
    <n v="25"/>
    <n v="3"/>
    <s v="DCW"/>
    <s v="DCW"/>
    <s v="BCA Stadium, Kotambi"/>
    <n v="155"/>
    <n v="8.16"/>
    <n v="57"/>
    <n v="37"/>
    <n v="33"/>
    <s v="Successful"/>
    <n v="1"/>
    <n v="33.4"/>
  </r>
  <r>
    <x v="79"/>
    <n v="4"/>
    <s v="P117"/>
    <x v="121"/>
    <x v="3"/>
    <s v="WK-Batter"/>
    <s v="Opener"/>
    <n v="46"/>
    <n v="28"/>
    <n v="164.29"/>
    <s v="stumped"/>
    <n v="65"/>
    <n v="0"/>
    <n v="0"/>
    <n v="0"/>
    <n v="0"/>
    <n v="0"/>
    <n v="0"/>
    <n v="0"/>
    <n v="0"/>
    <n v="65"/>
    <n v="7"/>
    <s v="DCW"/>
    <s v="DCW"/>
    <s v="BCA Stadium, Kotambi"/>
    <n v="155"/>
    <n v="8.16"/>
    <n v="57"/>
    <n v="37"/>
    <n v="33"/>
    <s v="Successful"/>
    <n v="1"/>
    <n v="54.6"/>
  </r>
  <r>
    <x v="79"/>
    <n v="4"/>
    <s v="P066"/>
    <x v="65"/>
    <x v="3"/>
    <s v="Batter"/>
    <s v="Top Order"/>
    <n v="17"/>
    <n v="19"/>
    <n v="89.47"/>
    <s v="run out"/>
    <n v="15"/>
    <n v="0"/>
    <n v="0"/>
    <n v="0"/>
    <n v="0"/>
    <n v="0"/>
    <n v="0"/>
    <n v="0"/>
    <n v="0"/>
    <n v="15"/>
    <n v="2"/>
    <s v="DCW"/>
    <s v="DCW"/>
    <s v="BCA Stadium, Kotambi"/>
    <n v="155"/>
    <n v="8.16"/>
    <n v="57"/>
    <n v="37"/>
    <n v="33"/>
    <s v="Successful"/>
    <n v="1"/>
    <n v="28.1"/>
  </r>
  <r>
    <x v="79"/>
    <n v="4"/>
    <s v="P037"/>
    <x v="36"/>
    <x v="3"/>
    <s v="Batter"/>
    <s v="Top Order"/>
    <n v="51"/>
    <n v="37"/>
    <n v="137.84"/>
    <s v="not out"/>
    <n v="65"/>
    <n v="0"/>
    <n v="0"/>
    <n v="0"/>
    <n v="0"/>
    <n v="0"/>
    <n v="0"/>
    <n v="0"/>
    <n v="0"/>
    <n v="65"/>
    <n v="7"/>
    <s v="DCW"/>
    <s v="DCW"/>
    <s v="BCA Stadium, Kotambi"/>
    <n v="155"/>
    <n v="8.16"/>
    <n v="57"/>
    <n v="37"/>
    <n v="33"/>
    <s v="Successful"/>
    <n v="1"/>
    <n v="54.6"/>
  </r>
  <r>
    <x v="79"/>
    <n v="4"/>
    <s v="P036"/>
    <x v="35"/>
    <x v="3"/>
    <s v="Allrounder"/>
    <s v="Middle Order"/>
    <n v="10"/>
    <n v="6"/>
    <n v="166.67"/>
    <s v="not out"/>
    <n v="20"/>
    <n v="4"/>
    <n v="0"/>
    <n v="8"/>
    <n v="1"/>
    <n v="2"/>
    <n v="35"/>
    <n v="0"/>
    <n v="0"/>
    <n v="55"/>
    <n v="6"/>
    <s v="DCW"/>
    <s v="DCW"/>
    <s v="BCA Stadium, Kotambi"/>
    <n v="155"/>
    <n v="8.16"/>
    <n v="57"/>
    <n v="37"/>
    <n v="33"/>
    <s v="Successful"/>
    <n v="1"/>
    <n v="49.3"/>
  </r>
  <r>
    <x v="79"/>
    <n v="4"/>
    <s v="P130"/>
    <x v="134"/>
    <x v="3"/>
    <s v="Batter"/>
    <s v="DNB"/>
    <n v="0"/>
    <n v="0"/>
    <n v="0"/>
    <s v="DNB"/>
    <n v="0"/>
    <n v="0"/>
    <n v="0"/>
    <n v="0"/>
    <n v="0"/>
    <n v="0"/>
    <n v="0"/>
    <n v="0"/>
    <n v="0"/>
    <n v="0"/>
    <n v="0"/>
    <s v="DCW"/>
    <s v="DCW"/>
    <s v="BCA Stadium, Kotambi"/>
    <n v="155"/>
    <n v="8.16"/>
    <n v="57"/>
    <n v="37"/>
    <n v="33"/>
    <s v="Successful"/>
    <n v="1"/>
    <n v="20"/>
  </r>
  <r>
    <x v="79"/>
    <n v="4"/>
    <s v="P100"/>
    <x v="104"/>
    <x v="3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DCW"/>
    <s v="DCW"/>
    <s v="BCA Stadium, Kotambi"/>
    <n v="155"/>
    <n v="8.16"/>
    <n v="57"/>
    <n v="37"/>
    <n v="33"/>
    <s v="Successful"/>
    <n v="1"/>
    <n v="20"/>
  </r>
  <r>
    <x v="79"/>
    <n v="4"/>
    <s v="P008"/>
    <x v="7"/>
    <x v="3"/>
    <s v="Allrounder"/>
    <s v="DNB"/>
    <n v="0"/>
    <n v="0"/>
    <n v="0"/>
    <s v="DNB"/>
    <n v="0"/>
    <n v="3"/>
    <n v="0"/>
    <n v="27"/>
    <n v="0"/>
    <n v="9"/>
    <n v="-5"/>
    <n v="0"/>
    <n v="0"/>
    <n v="-5"/>
    <n v="0"/>
    <s v="DCW"/>
    <s v="DCW"/>
    <s v="BCA Stadium, Kotambi"/>
    <n v="155"/>
    <n v="8.16"/>
    <n v="57"/>
    <n v="37"/>
    <n v="33"/>
    <s v="Successful"/>
    <n v="1"/>
    <n v="20"/>
  </r>
  <r>
    <x v="79"/>
    <n v="4"/>
    <s v="P127"/>
    <x v="130"/>
    <x v="3"/>
    <s v="Allrounder"/>
    <s v="DNB"/>
    <n v="0"/>
    <n v="0"/>
    <n v="0"/>
    <s v="DNB"/>
    <n v="0"/>
    <n v="4"/>
    <n v="0"/>
    <n v="36"/>
    <n v="0"/>
    <n v="9"/>
    <n v="-5"/>
    <n v="0"/>
    <n v="0"/>
    <n v="-5"/>
    <n v="0"/>
    <s v="DCW"/>
    <s v="DCW"/>
    <s v="BCA Stadium, Kotambi"/>
    <n v="155"/>
    <n v="8.16"/>
    <n v="57"/>
    <n v="37"/>
    <n v="33"/>
    <s v="Successful"/>
    <n v="1"/>
    <n v="20"/>
  </r>
  <r>
    <x v="79"/>
    <n v="4"/>
    <s v="P118"/>
    <x v="122"/>
    <x v="3"/>
    <s v="Bowler"/>
    <s v="DNB"/>
    <n v="0"/>
    <n v="0"/>
    <n v="0"/>
    <s v="DNB"/>
    <n v="0"/>
    <n v="4"/>
    <n v="0"/>
    <n v="33"/>
    <n v="3"/>
    <n v="8.1999999999999993"/>
    <n v="75"/>
    <n v="0"/>
    <n v="0"/>
    <n v="75"/>
    <n v="8"/>
    <s v="DCW"/>
    <s v="DCW"/>
    <s v="BCA Stadium, Kotambi"/>
    <n v="155"/>
    <n v="8.16"/>
    <n v="57"/>
    <n v="37"/>
    <n v="33"/>
    <s v="Successful"/>
    <n v="1"/>
    <n v="59.9"/>
  </r>
  <r>
    <x v="79"/>
    <n v="4"/>
    <s v="P119"/>
    <x v="123"/>
    <x v="3"/>
    <s v="Bowler"/>
    <s v="DNB"/>
    <n v="0"/>
    <n v="0"/>
    <n v="0"/>
    <s v="DNB"/>
    <n v="0"/>
    <n v="4"/>
    <n v="0"/>
    <n v="36"/>
    <n v="1"/>
    <n v="9"/>
    <n v="25"/>
    <n v="0"/>
    <n v="0"/>
    <n v="25"/>
    <n v="3"/>
    <s v="DCW"/>
    <s v="DCW"/>
    <s v="BCA Stadium, Kotambi"/>
    <n v="155"/>
    <n v="8.16"/>
    <n v="57"/>
    <n v="37"/>
    <n v="33"/>
    <s v="Successful"/>
    <n v="1"/>
    <n v="33.4"/>
  </r>
  <r>
    <x v="80"/>
    <n v="4"/>
    <s v="P001"/>
    <x v="0"/>
    <x v="0"/>
    <s v="WK-Batter"/>
    <s v="Opener"/>
    <n v="38"/>
    <n v="34"/>
    <n v="111.76"/>
    <s v="caught"/>
    <n v="45"/>
    <n v="0"/>
    <n v="0"/>
    <n v="0"/>
    <n v="0"/>
    <n v="0"/>
    <n v="0"/>
    <n v="0"/>
    <n v="0"/>
    <n v="45"/>
    <n v="5"/>
    <s v="GGTW"/>
    <s v="UPW"/>
    <s v="BCA Stadium, Kotambi"/>
    <n v="153"/>
    <n v="7.65"/>
    <n v="52"/>
    <n v="42"/>
    <n v="34"/>
    <s v="NA"/>
    <n v="1"/>
    <n v="44"/>
  </r>
  <r>
    <x v="80"/>
    <n v="4"/>
    <s v="P094"/>
    <x v="99"/>
    <x v="0"/>
    <s v="Batter"/>
    <s v="Top Order"/>
    <n v="14"/>
    <n v="8"/>
    <n v="175"/>
    <s v="bowled"/>
    <n v="20"/>
    <n v="0"/>
    <n v="0"/>
    <n v="0"/>
    <n v="0"/>
    <n v="0"/>
    <n v="0"/>
    <n v="0"/>
    <n v="0"/>
    <n v="20"/>
    <n v="2"/>
    <s v="GGTW"/>
    <s v="UPW"/>
    <s v="BCA Stadium, Kotambi"/>
    <n v="153"/>
    <n v="7.65"/>
    <n v="52"/>
    <n v="42"/>
    <n v="34"/>
    <s v="NA"/>
    <n v="1"/>
    <n v="30.6"/>
  </r>
  <r>
    <x v="80"/>
    <n v="4"/>
    <s v="P115"/>
    <x v="119"/>
    <x v="0"/>
    <s v="Batter"/>
    <s v="Top Order"/>
    <n v="14"/>
    <n v="8"/>
    <n v="175"/>
    <s v="caught"/>
    <n v="20"/>
    <n v="0"/>
    <n v="0"/>
    <n v="0"/>
    <n v="0"/>
    <n v="0"/>
    <n v="0"/>
    <n v="0"/>
    <n v="0"/>
    <n v="20"/>
    <n v="2"/>
    <s v="GGTW"/>
    <s v="UPW"/>
    <s v="BCA Stadium, Kotambi"/>
    <n v="153"/>
    <n v="7.65"/>
    <n v="52"/>
    <n v="42"/>
    <n v="34"/>
    <s v="NA"/>
    <n v="1"/>
    <n v="30.6"/>
  </r>
  <r>
    <x v="80"/>
    <n v="4"/>
    <s v="P004"/>
    <x v="3"/>
    <x v="0"/>
    <s v="Allrounder"/>
    <s v="Middle Order"/>
    <n v="5"/>
    <n v="12"/>
    <n v="41.67"/>
    <s v="bowled"/>
    <n v="5"/>
    <n v="3"/>
    <n v="0"/>
    <n v="23"/>
    <n v="1"/>
    <n v="7.7"/>
    <n v="20"/>
    <n v="0"/>
    <n v="0"/>
    <n v="25"/>
    <n v="3"/>
    <s v="GGTW"/>
    <s v="UPW"/>
    <s v="BCA Stadium, Kotambi"/>
    <n v="153"/>
    <n v="7.65"/>
    <n v="52"/>
    <n v="42"/>
    <n v="34"/>
    <s v="NA"/>
    <n v="1"/>
    <n v="33.4"/>
  </r>
  <r>
    <x v="80"/>
    <n v="4"/>
    <s v="P024"/>
    <x v="23"/>
    <x v="0"/>
    <s v="Allrounder"/>
    <s v="Middle Order"/>
    <n v="50"/>
    <n v="42"/>
    <n v="119.05"/>
    <s v="not out"/>
    <n v="55"/>
    <n v="3.3"/>
    <n v="0"/>
    <n v="16"/>
    <n v="2"/>
    <n v="4.5999999999999996"/>
    <n v="45"/>
    <n v="0"/>
    <n v="0"/>
    <n v="100"/>
    <n v="10"/>
    <s v="GGTW"/>
    <s v="UPW"/>
    <s v="BCA Stadium, Kotambi"/>
    <n v="153"/>
    <n v="7.65"/>
    <n v="52"/>
    <n v="42"/>
    <n v="34"/>
    <s v="NA"/>
    <n v="1"/>
    <n v="73"/>
  </r>
  <r>
    <x v="80"/>
    <n v="4"/>
    <s v="P093"/>
    <x v="93"/>
    <x v="0"/>
    <s v="Batter"/>
    <s v="Middle Order"/>
    <n v="5"/>
    <n v="5"/>
    <n v="100"/>
    <s v="run out"/>
    <n v="5"/>
    <n v="0"/>
    <n v="0"/>
    <n v="0"/>
    <n v="0"/>
    <n v="0"/>
    <n v="0"/>
    <n v="0"/>
    <n v="0"/>
    <n v="5"/>
    <n v="1"/>
    <s v="GGTW"/>
    <s v="UPW"/>
    <s v="BCA Stadium, Kotambi"/>
    <n v="153"/>
    <n v="7.65"/>
    <n v="52"/>
    <n v="42"/>
    <n v="34"/>
    <s v="NA"/>
    <n v="1"/>
    <n v="22.8"/>
  </r>
  <r>
    <x v="80"/>
    <n v="4"/>
    <s v="P029"/>
    <x v="28"/>
    <x v="0"/>
    <s v="Allrounder"/>
    <s v="Middle Order"/>
    <n v="6"/>
    <n v="5"/>
    <n v="120"/>
    <s v="caught"/>
    <n v="10"/>
    <n v="0"/>
    <n v="0"/>
    <n v="0"/>
    <n v="0"/>
    <n v="0"/>
    <n v="0"/>
    <n v="0"/>
    <n v="0"/>
    <n v="10"/>
    <n v="1"/>
    <s v="GGTW"/>
    <s v="UPW"/>
    <s v="BCA Stadium, Kotambi"/>
    <n v="153"/>
    <n v="7.65"/>
    <n v="52"/>
    <n v="42"/>
    <n v="34"/>
    <s v="NA"/>
    <n v="1"/>
    <n v="25.3"/>
  </r>
  <r>
    <x v="80"/>
    <n v="4"/>
    <s v="P098"/>
    <x v="98"/>
    <x v="0"/>
    <s v="Bowler"/>
    <s v="Middle Order"/>
    <n v="11"/>
    <n v="6"/>
    <n v="183.33"/>
    <s v="bowled"/>
    <n v="15"/>
    <n v="3"/>
    <n v="0"/>
    <n v="31"/>
    <n v="1"/>
    <n v="10.3"/>
    <n v="20"/>
    <n v="0"/>
    <n v="0"/>
    <n v="35"/>
    <n v="4"/>
    <s v="GGTW"/>
    <s v="UPW"/>
    <s v="BCA Stadium, Kotambi"/>
    <n v="153"/>
    <n v="7.65"/>
    <n v="52"/>
    <n v="42"/>
    <n v="34"/>
    <s v="NA"/>
    <n v="1"/>
    <n v="38.700000000000003"/>
  </r>
  <r>
    <x v="80"/>
    <n v="4"/>
    <s v="P033"/>
    <x v="32"/>
    <x v="0"/>
    <s v="Bowler"/>
    <s v="Middle Order"/>
    <n v="1"/>
    <n v="1"/>
    <n v="100"/>
    <s v="run out"/>
    <n v="2"/>
    <n v="4"/>
    <n v="0"/>
    <n v="20"/>
    <n v="2"/>
    <n v="5"/>
    <n v="45"/>
    <n v="0"/>
    <n v="0"/>
    <n v="47"/>
    <n v="5"/>
    <s v="GGTW"/>
    <s v="UPW"/>
    <s v="BCA Stadium, Kotambi"/>
    <n v="153"/>
    <n v="7.65"/>
    <n v="52"/>
    <n v="42"/>
    <n v="34"/>
    <s v="NA"/>
    <n v="1"/>
    <n v="45"/>
  </r>
  <r>
    <x v="80"/>
    <n v="4"/>
    <s v="P128"/>
    <x v="131"/>
    <x v="0"/>
    <s v="Bowler"/>
    <s v="Middle Order"/>
    <n v="0"/>
    <n v="0"/>
    <n v="0"/>
    <s v="not out"/>
    <n v="0"/>
    <n v="0"/>
    <n v="0"/>
    <n v="0"/>
    <n v="0"/>
    <n v="0"/>
    <n v="0"/>
    <n v="0"/>
    <n v="0"/>
    <n v="0"/>
    <n v="0"/>
    <s v="GGTW"/>
    <s v="UPW"/>
    <s v="BCA Stadium, Kotambi"/>
    <n v="153"/>
    <n v="7.65"/>
    <n v="52"/>
    <n v="42"/>
    <n v="34"/>
    <s v="NA"/>
    <n v="1"/>
    <n v="20"/>
  </r>
  <r>
    <x v="80"/>
    <n v="4"/>
    <s v="P055"/>
    <x v="54"/>
    <x v="0"/>
    <s v="Bowler"/>
    <s v="DNB"/>
    <n v="0"/>
    <n v="0"/>
    <n v="0"/>
    <s v="DNB"/>
    <n v="0"/>
    <n v="4"/>
    <n v="0"/>
    <n v="16"/>
    <n v="3"/>
    <n v="4"/>
    <n v="70"/>
    <n v="0"/>
    <n v="0"/>
    <n v="70"/>
    <n v="7"/>
    <s v="GGTW"/>
    <s v="UPW"/>
    <s v="BCA Stadium, Kotambi"/>
    <n v="153"/>
    <n v="7.65"/>
    <n v="52"/>
    <n v="42"/>
    <n v="34"/>
    <s v="NA"/>
    <n v="1"/>
    <n v="57.1"/>
  </r>
  <r>
    <x v="80"/>
    <n v="4"/>
    <s v="P035"/>
    <x v="34"/>
    <x v="4"/>
    <s v="Batter"/>
    <s v="Opener"/>
    <n v="14"/>
    <n v="10"/>
    <n v="140"/>
    <s v="bowled"/>
    <n v="20"/>
    <n v="0"/>
    <n v="0"/>
    <n v="0"/>
    <n v="0"/>
    <n v="0"/>
    <n v="0"/>
    <n v="0"/>
    <n v="0"/>
    <n v="20"/>
    <n v="2"/>
    <s v="GGTW"/>
    <s v="UPW"/>
    <s v="BCA Stadium, Kotambi"/>
    <n v="108"/>
    <n v="6.17"/>
    <n v="46"/>
    <n v="12"/>
    <n v="35"/>
    <s v="Failed"/>
    <n v="0"/>
    <n v="10.6"/>
  </r>
  <r>
    <x v="80"/>
    <n v="4"/>
    <s v="P051"/>
    <x v="50"/>
    <x v="4"/>
    <s v="Batter"/>
    <s v="Opener"/>
    <n v="0"/>
    <n v="1"/>
    <n v="0"/>
    <s v="stumped"/>
    <n v="0"/>
    <n v="0"/>
    <n v="0"/>
    <n v="0"/>
    <n v="0"/>
    <n v="0"/>
    <n v="0"/>
    <n v="0"/>
    <n v="0"/>
    <n v="0"/>
    <n v="0"/>
    <s v="GGTW"/>
    <s v="UPW"/>
    <s v="BCA Stadium, Kotambi"/>
    <n v="108"/>
    <n v="6.17"/>
    <n v="46"/>
    <n v="12"/>
    <n v="35"/>
    <s v="Failed"/>
    <n v="0"/>
    <n v="0"/>
  </r>
  <r>
    <x v="80"/>
    <n v="4"/>
    <s v="P078"/>
    <x v="79"/>
    <x v="4"/>
    <s v="Batter"/>
    <s v="Top Order"/>
    <n v="32"/>
    <n v="27"/>
    <n v="118.52"/>
    <s v="caught"/>
    <n v="35"/>
    <n v="0"/>
    <n v="0"/>
    <n v="0"/>
    <n v="0"/>
    <n v="0"/>
    <n v="0"/>
    <n v="0"/>
    <n v="0"/>
    <n v="35"/>
    <n v="4"/>
    <s v="GGTW"/>
    <s v="UPW"/>
    <s v="BCA Stadium, Kotambi"/>
    <n v="108"/>
    <n v="6.17"/>
    <n v="46"/>
    <n v="12"/>
    <n v="35"/>
    <s v="Failed"/>
    <n v="0"/>
    <n v="18.7"/>
  </r>
  <r>
    <x v="80"/>
    <n v="4"/>
    <s v="P003"/>
    <x v="2"/>
    <x v="4"/>
    <s v="Allrounder"/>
    <s v="Top Order"/>
    <n v="3"/>
    <n v="12"/>
    <n v="25"/>
    <s v="caught"/>
    <n v="0"/>
    <n v="0"/>
    <n v="0"/>
    <n v="0"/>
    <n v="0"/>
    <n v="0"/>
    <n v="0"/>
    <n v="0"/>
    <n v="0"/>
    <n v="0"/>
    <n v="0"/>
    <s v="GGTW"/>
    <s v="UPW"/>
    <s v="BCA Stadium, Kotambi"/>
    <n v="108"/>
    <n v="6.17"/>
    <n v="46"/>
    <n v="12"/>
    <n v="35"/>
    <s v="Failed"/>
    <n v="0"/>
    <n v="0"/>
  </r>
  <r>
    <x v="80"/>
    <n v="4"/>
    <s v="P124"/>
    <x v="127"/>
    <x v="4"/>
    <s v="Allrounder"/>
    <s v="Middle Order"/>
    <n v="30"/>
    <n v="22"/>
    <n v="136.36000000000001"/>
    <s v="not out"/>
    <n v="40"/>
    <n v="4"/>
    <n v="0"/>
    <n v="32"/>
    <n v="1"/>
    <n v="8"/>
    <n v="25"/>
    <n v="0"/>
    <n v="0"/>
    <n v="65"/>
    <n v="7"/>
    <s v="GGTW"/>
    <s v="UPW"/>
    <s v="BCA Stadium, Kotambi"/>
    <n v="108"/>
    <n v="6.17"/>
    <n v="46"/>
    <n v="12"/>
    <n v="35"/>
    <s v="Failed"/>
    <n v="0"/>
    <n v="34.6"/>
  </r>
  <r>
    <x v="80"/>
    <n v="4"/>
    <s v="P048"/>
    <x v="47"/>
    <x v="4"/>
    <s v="Allrounder"/>
    <s v="Middle Order"/>
    <n v="4"/>
    <n v="7"/>
    <n v="57.14"/>
    <s v="lbw"/>
    <n v="5"/>
    <n v="2"/>
    <n v="0"/>
    <n v="16"/>
    <n v="1"/>
    <n v="8"/>
    <n v="20"/>
    <n v="0"/>
    <n v="0"/>
    <n v="25"/>
    <n v="3"/>
    <s v="GGTW"/>
    <s v="UPW"/>
    <s v="BCA Stadium, Kotambi"/>
    <n v="108"/>
    <n v="6.17"/>
    <n v="46"/>
    <n v="12"/>
    <n v="35"/>
    <s v="Failed"/>
    <n v="0"/>
    <n v="13.4"/>
  </r>
  <r>
    <x v="80"/>
    <n v="4"/>
    <s v="P046"/>
    <x v="45"/>
    <x v="4"/>
    <s v="WK-Batter"/>
    <s v="Middle Order"/>
    <n v="3"/>
    <n v="6"/>
    <n v="50"/>
    <s v="stumped"/>
    <n v="0"/>
    <n v="0"/>
    <n v="0"/>
    <n v="0"/>
    <n v="0"/>
    <n v="0"/>
    <n v="0"/>
    <n v="0"/>
    <n v="0"/>
    <n v="0"/>
    <n v="0"/>
    <s v="GGTW"/>
    <s v="UPW"/>
    <s v="BCA Stadium, Kotambi"/>
    <n v="108"/>
    <n v="6.17"/>
    <n v="46"/>
    <n v="12"/>
    <n v="35"/>
    <s v="Failed"/>
    <n v="0"/>
    <n v="0"/>
  </r>
  <r>
    <x v="80"/>
    <n v="4"/>
    <s v="P030"/>
    <x v="29"/>
    <x v="4"/>
    <s v="Bowler"/>
    <s v="Middle Order"/>
    <n v="7"/>
    <n v="11"/>
    <n v="63.64"/>
    <s v="caught"/>
    <n v="5"/>
    <n v="2"/>
    <n v="0"/>
    <n v="11"/>
    <n v="0"/>
    <n v="5.5"/>
    <n v="10"/>
    <n v="0"/>
    <n v="0"/>
    <n v="15"/>
    <n v="2"/>
    <s v="GGTW"/>
    <s v="UPW"/>
    <s v="BCA Stadium, Kotambi"/>
    <n v="108"/>
    <n v="6.17"/>
    <n v="46"/>
    <n v="12"/>
    <n v="35"/>
    <s v="Failed"/>
    <n v="0"/>
    <n v="8.1"/>
  </r>
  <r>
    <x v="80"/>
    <n v="4"/>
    <s v="P053"/>
    <x v="52"/>
    <x v="4"/>
    <s v="Bowler"/>
    <s v="Middle Order"/>
    <n v="1"/>
    <n v="4"/>
    <n v="25"/>
    <s v="caught"/>
    <n v="0"/>
    <n v="4"/>
    <n v="0"/>
    <n v="22"/>
    <n v="2"/>
    <n v="5.5"/>
    <n v="45"/>
    <n v="0"/>
    <n v="0"/>
    <n v="45"/>
    <n v="5"/>
    <s v="GGTW"/>
    <s v="UPW"/>
    <s v="BCA Stadium, Kotambi"/>
    <n v="108"/>
    <n v="6.17"/>
    <n v="46"/>
    <n v="12"/>
    <n v="35"/>
    <s v="Failed"/>
    <n v="0"/>
    <n v="24"/>
  </r>
  <r>
    <x v="80"/>
    <n v="4"/>
    <s v="P042"/>
    <x v="41"/>
    <x v="4"/>
    <s v="Allrounder"/>
    <s v="Middle Order"/>
    <n v="1"/>
    <n v="3"/>
    <n v="33.33"/>
    <s v="run out"/>
    <n v="0"/>
    <n v="4"/>
    <n v="0"/>
    <n v="53"/>
    <n v="0"/>
    <n v="13.2"/>
    <n v="-5"/>
    <n v="0"/>
    <n v="0"/>
    <n v="-5"/>
    <n v="0"/>
    <s v="GGTW"/>
    <s v="UPW"/>
    <s v="BCA Stadium, Kotambi"/>
    <n v="108"/>
    <n v="6.17"/>
    <n v="46"/>
    <n v="12"/>
    <n v="35"/>
    <s v="Failed"/>
    <n v="0"/>
    <n v="0"/>
  </r>
  <r>
    <x v="80"/>
    <n v="4"/>
    <s v="P104"/>
    <x v="107"/>
    <x v="4"/>
    <s v="Bowler"/>
    <s v="Middle Order"/>
    <n v="1"/>
    <n v="2"/>
    <n v="50"/>
    <s v="bowled"/>
    <n v="0"/>
    <n v="4"/>
    <n v="0"/>
    <n v="18"/>
    <n v="2"/>
    <n v="4.5"/>
    <n v="45"/>
    <n v="0"/>
    <n v="0"/>
    <n v="45"/>
    <n v="5"/>
    <s v="GGTW"/>
    <s v="UPW"/>
    <s v="BCA Stadium, Kotambi"/>
    <n v="108"/>
    <n v="6.17"/>
    <n v="46"/>
    <n v="12"/>
    <n v="35"/>
    <s v="Failed"/>
    <n v="0"/>
    <n v="24"/>
  </r>
  <r>
    <x v="81"/>
    <n v="4"/>
    <s v="P049"/>
    <x v="48"/>
    <x v="2"/>
    <s v="Allrounder"/>
    <s v="Opener"/>
    <n v="9"/>
    <n v="13"/>
    <n v="69.23"/>
    <s v="caught"/>
    <n v="10"/>
    <n v="0"/>
    <n v="0"/>
    <n v="0"/>
    <n v="0"/>
    <n v="0"/>
    <n v="0"/>
    <n v="0"/>
    <n v="0"/>
    <n v="10"/>
    <n v="1"/>
    <s v="DCW"/>
    <s v="DCW"/>
    <s v="BCA Stadium, Kotambi"/>
    <n v="109"/>
    <n v="5.45"/>
    <n v="39"/>
    <n v="17"/>
    <n v="33"/>
    <s v="NA"/>
    <n v="0"/>
    <n v="5.3"/>
  </r>
  <r>
    <x v="81"/>
    <n v="4"/>
    <s v="P023"/>
    <x v="22"/>
    <x v="2"/>
    <s v="Batter"/>
    <s v="Opener"/>
    <n v="38"/>
    <n v="34"/>
    <n v="111.76"/>
    <s v="caught"/>
    <n v="45"/>
    <n v="0"/>
    <n v="0"/>
    <n v="0"/>
    <n v="0"/>
    <n v="0"/>
    <n v="0"/>
    <n v="0"/>
    <n v="0"/>
    <n v="45"/>
    <n v="5"/>
    <s v="DCW"/>
    <s v="DCW"/>
    <s v="BCA Stadium, Kotambi"/>
    <n v="109"/>
    <n v="5.45"/>
    <n v="39"/>
    <n v="17"/>
    <n v="33"/>
    <s v="NA"/>
    <n v="0"/>
    <n v="24"/>
  </r>
  <r>
    <x v="81"/>
    <n v="4"/>
    <s v="P109"/>
    <x v="112"/>
    <x v="2"/>
    <s v="Batter"/>
    <s v="Top Order"/>
    <n v="11"/>
    <n v="14"/>
    <n v="78.569999999999993"/>
    <s v="bowled"/>
    <n v="15"/>
    <n v="1"/>
    <n v="0"/>
    <n v="12"/>
    <n v="0"/>
    <n v="12"/>
    <n v="0"/>
    <n v="0"/>
    <n v="0"/>
    <n v="15"/>
    <n v="2"/>
    <s v="DCW"/>
    <s v="DCW"/>
    <s v="BCA Stadium, Kotambi"/>
    <n v="109"/>
    <n v="5.45"/>
    <n v="39"/>
    <n v="17"/>
    <n v="33"/>
    <s v="NA"/>
    <n v="0"/>
    <n v="8.1"/>
  </r>
  <r>
    <x v="81"/>
    <n v="4"/>
    <s v="P121"/>
    <x v="124"/>
    <x v="2"/>
    <s v="Allrounder"/>
    <s v="Top Order"/>
    <n v="3"/>
    <n v="7"/>
    <n v="42.86"/>
    <s v="bowled"/>
    <n v="5"/>
    <n v="0"/>
    <n v="0"/>
    <n v="0"/>
    <n v="0"/>
    <n v="0"/>
    <n v="0"/>
    <n v="0"/>
    <n v="0"/>
    <n v="5"/>
    <n v="1"/>
    <s v="DCW"/>
    <s v="DCW"/>
    <s v="BCA Stadium, Kotambi"/>
    <n v="109"/>
    <n v="5.45"/>
    <n v="39"/>
    <n v="17"/>
    <n v="33"/>
    <s v="NA"/>
    <n v="0"/>
    <n v="2.8"/>
  </r>
  <r>
    <x v="81"/>
    <n v="4"/>
    <s v="P028"/>
    <x v="27"/>
    <x v="2"/>
    <s v="WK-Batter"/>
    <s v="Middle Order"/>
    <n v="5"/>
    <n v="9"/>
    <n v="55.56"/>
    <s v="caught"/>
    <n v="5"/>
    <n v="0"/>
    <n v="0"/>
    <n v="0"/>
    <n v="0"/>
    <n v="0"/>
    <n v="0"/>
    <n v="0"/>
    <n v="0"/>
    <n v="5"/>
    <n v="1"/>
    <s v="DCW"/>
    <s v="DCW"/>
    <s v="BCA Stadium, Kotambi"/>
    <n v="109"/>
    <n v="5.45"/>
    <n v="39"/>
    <n v="17"/>
    <n v="33"/>
    <s v="NA"/>
    <n v="0"/>
    <n v="2.8"/>
  </r>
  <r>
    <x v="81"/>
    <n v="4"/>
    <s v="P043"/>
    <x v="42"/>
    <x v="2"/>
    <s v="Allrounder"/>
    <s v="Middle Order"/>
    <n v="18"/>
    <n v="17"/>
    <n v="105.88"/>
    <s v="caught"/>
    <n v="20"/>
    <n v="2"/>
    <n v="0"/>
    <n v="10"/>
    <n v="1"/>
    <n v="5"/>
    <n v="25"/>
    <n v="0"/>
    <n v="0"/>
    <n v="45"/>
    <n v="5"/>
    <s v="DCW"/>
    <s v="DCW"/>
    <s v="BCA Stadium, Kotambi"/>
    <n v="109"/>
    <n v="5.45"/>
    <n v="39"/>
    <n v="17"/>
    <n v="33"/>
    <s v="NA"/>
    <n v="0"/>
    <n v="24"/>
  </r>
  <r>
    <x v="81"/>
    <n v="4"/>
    <s v="P083"/>
    <x v="84"/>
    <x v="2"/>
    <s v="Allrounder"/>
    <s v="Middle Order"/>
    <n v="5"/>
    <n v="9"/>
    <n v="55.56"/>
    <s v="caught"/>
    <n v="5"/>
    <n v="1"/>
    <n v="0"/>
    <n v="9"/>
    <n v="0"/>
    <n v="9"/>
    <n v="0"/>
    <n v="0"/>
    <n v="0"/>
    <n v="5"/>
    <n v="1"/>
    <s v="DCW"/>
    <s v="DCW"/>
    <s v="BCA Stadium, Kotambi"/>
    <n v="109"/>
    <n v="5.45"/>
    <n v="39"/>
    <n v="17"/>
    <n v="33"/>
    <s v="NA"/>
    <n v="0"/>
    <n v="2.8"/>
  </r>
  <r>
    <x v="81"/>
    <n v="4"/>
    <s v="P041"/>
    <x v="40"/>
    <x v="2"/>
    <s v="Bowler"/>
    <s v="Middle Order"/>
    <n v="2"/>
    <n v="5"/>
    <n v="40"/>
    <s v="lbw"/>
    <n v="0"/>
    <n v="2"/>
    <n v="0"/>
    <n v="17"/>
    <n v="0"/>
    <n v="8.5"/>
    <n v="0"/>
    <n v="0"/>
    <n v="0"/>
    <n v="0"/>
    <n v="0"/>
    <s v="DCW"/>
    <s v="DCW"/>
    <s v="BCA Stadium, Kotambi"/>
    <n v="109"/>
    <n v="5.45"/>
    <n v="39"/>
    <n v="17"/>
    <n v="33"/>
    <s v="NA"/>
    <n v="0"/>
    <n v="0"/>
  </r>
  <r>
    <x v="81"/>
    <n v="4"/>
    <s v="P089"/>
    <x v="89"/>
    <x v="2"/>
    <s v="Bowler"/>
    <s v="Middle Order"/>
    <n v="3"/>
    <n v="5"/>
    <n v="60"/>
    <s v="bowled"/>
    <n v="5"/>
    <n v="3"/>
    <n v="0"/>
    <n v="18"/>
    <n v="2"/>
    <n v="6"/>
    <n v="40"/>
    <n v="0"/>
    <n v="0"/>
    <n v="45"/>
    <n v="5"/>
    <s v="DCW"/>
    <s v="DCW"/>
    <s v="BCA Stadium, Kotambi"/>
    <n v="109"/>
    <n v="5.45"/>
    <n v="39"/>
    <n v="17"/>
    <n v="33"/>
    <s v="NA"/>
    <n v="0"/>
    <n v="24"/>
  </r>
  <r>
    <x v="81"/>
    <n v="4"/>
    <s v="P059"/>
    <x v="58"/>
    <x v="2"/>
    <s v="Allrounder"/>
    <s v="Middle Order"/>
    <n v="7"/>
    <n v="7"/>
    <n v="100"/>
    <s v="caught"/>
    <n v="10"/>
    <n v="2.4"/>
    <n v="0"/>
    <n v="14"/>
    <n v="0"/>
    <n v="5.2"/>
    <n v="0"/>
    <n v="0"/>
    <n v="0"/>
    <n v="10"/>
    <n v="1"/>
    <s v="DCW"/>
    <s v="DCW"/>
    <s v="BCA Stadium, Kotambi"/>
    <n v="109"/>
    <n v="5.45"/>
    <n v="39"/>
    <n v="17"/>
    <n v="33"/>
    <s v="NA"/>
    <n v="0"/>
    <n v="5.3"/>
  </r>
  <r>
    <x v="81"/>
    <n v="4"/>
    <s v="P113"/>
    <x v="118"/>
    <x v="2"/>
    <s v="Bowler"/>
    <s v="Middle Order"/>
    <n v="1"/>
    <n v="1"/>
    <n v="100"/>
    <s v="not out"/>
    <n v="5"/>
    <n v="4"/>
    <n v="0"/>
    <n v="30"/>
    <n v="0"/>
    <n v="7.5"/>
    <n v="0"/>
    <n v="0"/>
    <n v="0"/>
    <n v="5"/>
    <n v="1"/>
    <s v="DCW"/>
    <s v="DCW"/>
    <s v="BCA Stadium, Kotambi"/>
    <n v="109"/>
    <n v="5.45"/>
    <n v="39"/>
    <n v="17"/>
    <n v="33"/>
    <s v="NA"/>
    <n v="0"/>
    <n v="2.8"/>
  </r>
  <r>
    <x v="81"/>
    <n v="4"/>
    <s v="P034"/>
    <x v="33"/>
    <x v="3"/>
    <s v="Batter"/>
    <s v="Opener"/>
    <n v="16"/>
    <n v="8"/>
    <n v="200"/>
    <s v="caught"/>
    <n v="20"/>
    <n v="0"/>
    <n v="0"/>
    <n v="0"/>
    <n v="0"/>
    <n v="0"/>
    <n v="0"/>
    <n v="0"/>
    <n v="0"/>
    <n v="20"/>
    <n v="2"/>
    <s v="DCW"/>
    <s v="DCW"/>
    <s v="BCA Stadium, Kotambi"/>
    <n v="111"/>
    <n v="7.09"/>
    <n v="38"/>
    <n v="0"/>
    <n v="31"/>
    <s v="Successful"/>
    <n v="1"/>
    <n v="30.6"/>
  </r>
  <r>
    <x v="81"/>
    <n v="4"/>
    <s v="P117"/>
    <x v="121"/>
    <x v="3"/>
    <s v="WK-Batter"/>
    <s v="Opener"/>
    <n v="6"/>
    <n v="8"/>
    <n v="75"/>
    <s v="caught"/>
    <n v="5"/>
    <n v="0"/>
    <n v="0"/>
    <n v="0"/>
    <n v="0"/>
    <n v="0"/>
    <n v="0"/>
    <n v="0"/>
    <n v="0"/>
    <n v="5"/>
    <n v="1"/>
    <s v="DCW"/>
    <s v="DCW"/>
    <s v="BCA Stadium, Kotambi"/>
    <n v="111"/>
    <n v="7.09"/>
    <n v="38"/>
    <n v="0"/>
    <n v="31"/>
    <s v="Successful"/>
    <n v="1"/>
    <n v="22.8"/>
  </r>
  <r>
    <x v="81"/>
    <n v="4"/>
    <s v="P066"/>
    <x v="65"/>
    <x v="3"/>
    <s v="Batter"/>
    <s v="Top Order"/>
    <n v="42"/>
    <n v="38"/>
    <n v="110.53"/>
    <s v="not out"/>
    <n v="50"/>
    <n v="0"/>
    <n v="0"/>
    <n v="0"/>
    <n v="0"/>
    <n v="0"/>
    <n v="0"/>
    <n v="0"/>
    <n v="0"/>
    <n v="50"/>
    <n v="5"/>
    <s v="DCW"/>
    <s v="DCW"/>
    <s v="BCA Stadium, Kotambi"/>
    <n v="111"/>
    <n v="7.09"/>
    <n v="38"/>
    <n v="0"/>
    <n v="31"/>
    <s v="Successful"/>
    <n v="1"/>
    <n v="46.5"/>
  </r>
  <r>
    <x v="81"/>
    <n v="4"/>
    <s v="P037"/>
    <x v="36"/>
    <x v="3"/>
    <s v="Batter"/>
    <s v="Top Order"/>
    <n v="24"/>
    <n v="26"/>
    <n v="92.31"/>
    <s v="caught"/>
    <n v="30"/>
    <n v="0"/>
    <n v="0"/>
    <n v="0"/>
    <n v="0"/>
    <n v="0"/>
    <n v="0"/>
    <n v="0"/>
    <n v="0"/>
    <n v="30"/>
    <n v="3"/>
    <s v="DCW"/>
    <s v="DCW"/>
    <s v="BCA Stadium, Kotambi"/>
    <n v="111"/>
    <n v="7.09"/>
    <n v="38"/>
    <n v="0"/>
    <n v="31"/>
    <s v="Successful"/>
    <n v="1"/>
    <n v="35.9"/>
  </r>
  <r>
    <x v="81"/>
    <n v="4"/>
    <s v="P036"/>
    <x v="35"/>
    <x v="3"/>
    <s v="Allrounder"/>
    <s v="Middle Order"/>
    <n v="19"/>
    <n v="15"/>
    <n v="126.67"/>
    <s v="not out"/>
    <n v="25"/>
    <n v="4"/>
    <n v="0"/>
    <n v="17"/>
    <n v="2"/>
    <n v="4.2"/>
    <n v="45"/>
    <n v="0"/>
    <n v="0"/>
    <n v="70"/>
    <n v="7"/>
    <s v="DCW"/>
    <s v="DCW"/>
    <s v="BCA Stadium, Kotambi"/>
    <n v="111"/>
    <n v="7.09"/>
    <n v="38"/>
    <n v="0"/>
    <n v="31"/>
    <s v="Successful"/>
    <n v="1"/>
    <n v="57.1"/>
  </r>
  <r>
    <x v="81"/>
    <n v="4"/>
    <s v="P100"/>
    <x v="104"/>
    <x v="3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DCW"/>
    <s v="DCW"/>
    <s v="BCA Stadium, Kotambi"/>
    <n v="111"/>
    <n v="7.09"/>
    <n v="38"/>
    <n v="0"/>
    <n v="31"/>
    <s v="Successful"/>
    <n v="1"/>
    <n v="20"/>
  </r>
  <r>
    <x v="81"/>
    <n v="4"/>
    <s v="P107"/>
    <x v="110"/>
    <x v="3"/>
    <s v="Allrounder"/>
    <s v="DNB"/>
    <n v="0"/>
    <n v="0"/>
    <n v="0"/>
    <s v="DNB"/>
    <n v="0"/>
    <n v="4"/>
    <n v="0"/>
    <n v="22"/>
    <n v="2"/>
    <n v="5.5"/>
    <n v="40"/>
    <n v="0"/>
    <n v="0"/>
    <n v="40"/>
    <n v="4"/>
    <s v="DCW"/>
    <s v="DCW"/>
    <s v="BCA Stadium, Kotambi"/>
    <n v="111"/>
    <n v="7.09"/>
    <n v="38"/>
    <n v="0"/>
    <n v="31"/>
    <s v="Successful"/>
    <n v="1"/>
    <n v="41.2"/>
  </r>
  <r>
    <x v="81"/>
    <n v="4"/>
    <s v="P008"/>
    <x v="7"/>
    <x v="3"/>
    <s v="Allrounder"/>
    <s v="DNB"/>
    <n v="0"/>
    <n v="0"/>
    <n v="0"/>
    <s v="DNB"/>
    <n v="0"/>
    <n v="1"/>
    <n v="0"/>
    <n v="10"/>
    <n v="0"/>
    <n v="10"/>
    <n v="0"/>
    <n v="0"/>
    <n v="0"/>
    <n v="0"/>
    <n v="0"/>
    <s v="DCW"/>
    <s v="DCW"/>
    <s v="BCA Stadium, Kotambi"/>
    <n v="111"/>
    <n v="7.09"/>
    <n v="38"/>
    <n v="0"/>
    <n v="31"/>
    <s v="Successful"/>
    <n v="1"/>
    <n v="20"/>
  </r>
  <r>
    <x v="81"/>
    <n v="4"/>
    <s v="P062"/>
    <x v="61"/>
    <x v="3"/>
    <s v="Allrounder"/>
    <s v="DNB"/>
    <n v="0"/>
    <n v="0"/>
    <n v="0"/>
    <s v="DNB"/>
    <n v="0"/>
    <n v="3"/>
    <n v="0"/>
    <n v="18"/>
    <n v="2"/>
    <n v="6"/>
    <n v="40"/>
    <n v="0"/>
    <n v="0"/>
    <n v="40"/>
    <n v="4"/>
    <s v="DCW"/>
    <s v="DCW"/>
    <s v="BCA Stadium, Kotambi"/>
    <n v="111"/>
    <n v="7.09"/>
    <n v="38"/>
    <n v="0"/>
    <n v="31"/>
    <s v="Successful"/>
    <n v="1"/>
    <n v="41.2"/>
  </r>
  <r>
    <x v="81"/>
    <n v="4"/>
    <s v="P118"/>
    <x v="122"/>
    <x v="3"/>
    <s v="Bowler"/>
    <s v="DNB"/>
    <n v="0"/>
    <n v="0"/>
    <n v="0"/>
    <s v="DNB"/>
    <n v="0"/>
    <n v="4"/>
    <n v="0"/>
    <n v="14"/>
    <n v="1"/>
    <n v="3.5"/>
    <n v="25"/>
    <n v="0"/>
    <n v="0"/>
    <n v="25"/>
    <n v="3"/>
    <s v="DCW"/>
    <s v="DCW"/>
    <s v="BCA Stadium, Kotambi"/>
    <n v="111"/>
    <n v="7.09"/>
    <n v="38"/>
    <n v="0"/>
    <n v="31"/>
    <s v="Successful"/>
    <n v="1"/>
    <n v="33.4"/>
  </r>
  <r>
    <x v="81"/>
    <n v="4"/>
    <s v="P119"/>
    <x v="123"/>
    <x v="3"/>
    <s v="Bowler"/>
    <s v="DNB"/>
    <n v="0"/>
    <n v="0"/>
    <n v="0"/>
    <s v="DNB"/>
    <n v="0"/>
    <n v="4"/>
    <n v="0"/>
    <n v="26"/>
    <n v="3"/>
    <n v="6.5"/>
    <n v="60"/>
    <n v="0"/>
    <n v="0"/>
    <n v="60"/>
    <n v="6"/>
    <s v="DCW"/>
    <s v="DCW"/>
    <s v="BCA Stadium, Kotambi"/>
    <n v="111"/>
    <n v="7.09"/>
    <n v="38"/>
    <n v="0"/>
    <n v="31"/>
    <s v="Successful"/>
    <n v="1"/>
    <n v="51.8"/>
  </r>
  <r>
    <x v="82"/>
    <n v="4"/>
    <s v="P012"/>
    <x v="11"/>
    <x v="1"/>
    <s v="Allrounder"/>
    <s v="Opener"/>
    <n v="56"/>
    <n v="39"/>
    <n v="143.59"/>
    <s v="bowled"/>
    <n v="65"/>
    <n v="2"/>
    <n v="0"/>
    <n v="10"/>
    <n v="3"/>
    <n v="5"/>
    <n v="60"/>
    <n v="0"/>
    <n v="0"/>
    <n v="125"/>
    <n v="10"/>
    <s v="MIW"/>
    <s v="RCBW"/>
    <s v="BCA Stadium, Kotambi"/>
    <n v="199"/>
    <n v="9.9499999999999993"/>
    <n v="38"/>
    <n v="40"/>
    <n v="29"/>
    <s v="NA"/>
    <n v="1"/>
    <n v="85.5"/>
  </r>
  <r>
    <x v="82"/>
    <n v="4"/>
    <s v="P072"/>
    <x v="72"/>
    <x v="1"/>
    <s v="Allrounder"/>
    <s v="Top Order"/>
    <n v="7"/>
    <n v="7"/>
    <n v="100"/>
    <s v="lbw"/>
    <n v="10"/>
    <n v="0"/>
    <n v="0"/>
    <n v="0"/>
    <n v="0"/>
    <n v="0"/>
    <n v="0"/>
    <n v="0"/>
    <n v="0"/>
    <n v="10"/>
    <n v="1"/>
    <s v="MIW"/>
    <s v="RCBW"/>
    <s v="BCA Stadium, Kotambi"/>
    <n v="199"/>
    <n v="9.9499999999999993"/>
    <n v="38"/>
    <n v="40"/>
    <n v="29"/>
    <s v="NA"/>
    <n v="1"/>
    <n v="25.3"/>
  </r>
  <r>
    <x v="82"/>
    <n v="4"/>
    <s v="P015"/>
    <x v="14"/>
    <x v="1"/>
    <s v="Allrounder"/>
    <s v="Top Order"/>
    <n v="100"/>
    <n v="57"/>
    <n v="175.44"/>
    <s v="not out"/>
    <n v="110"/>
    <n v="4"/>
    <n v="0"/>
    <n v="43"/>
    <n v="0"/>
    <n v="10.8"/>
    <n v="0"/>
    <n v="0"/>
    <n v="0"/>
    <n v="110"/>
    <n v="10"/>
    <s v="MIW"/>
    <s v="RCBW"/>
    <s v="BCA Stadium, Kotambi"/>
    <n v="199"/>
    <n v="9.9499999999999993"/>
    <n v="38"/>
    <n v="40"/>
    <n v="29"/>
    <s v="NA"/>
    <n v="1"/>
    <n v="78"/>
  </r>
  <r>
    <x v="82"/>
    <n v="4"/>
    <s v="P014"/>
    <x v="13"/>
    <x v="1"/>
    <s v="Allrounder"/>
    <s v="Middle Order"/>
    <n v="20"/>
    <n v="12"/>
    <n v="166.67"/>
    <s v="caught"/>
    <n v="25"/>
    <n v="0"/>
    <n v="0"/>
    <n v="0"/>
    <n v="0"/>
    <n v="0"/>
    <n v="0"/>
    <n v="0"/>
    <n v="0"/>
    <n v="25"/>
    <n v="3"/>
    <s v="MIW"/>
    <s v="RCBW"/>
    <s v="BCA Stadium, Kotambi"/>
    <n v="199"/>
    <n v="9.9499999999999993"/>
    <n v="38"/>
    <n v="40"/>
    <n v="29"/>
    <s v="NA"/>
    <n v="1"/>
    <n v="33.4"/>
  </r>
  <r>
    <x v="82"/>
    <n v="4"/>
    <s v="P017"/>
    <x v="16"/>
    <x v="1"/>
    <s v="Allrounder"/>
    <s v="Middle Order"/>
    <n v="4"/>
    <n v="4"/>
    <n v="100"/>
    <s v="bowled"/>
    <n v="5"/>
    <n v="4"/>
    <n v="0"/>
    <n v="51"/>
    <n v="1"/>
    <n v="12.8"/>
    <n v="25"/>
    <n v="0"/>
    <n v="0"/>
    <n v="30"/>
    <n v="3"/>
    <s v="MIW"/>
    <s v="RCBW"/>
    <s v="BCA Stadium, Kotambi"/>
    <n v="199"/>
    <n v="9.9499999999999993"/>
    <n v="38"/>
    <n v="40"/>
    <n v="29"/>
    <s v="NA"/>
    <n v="1"/>
    <n v="35.9"/>
  </r>
  <r>
    <x v="82"/>
    <n v="4"/>
    <s v="P016"/>
    <x v="15"/>
    <x v="1"/>
    <s v="Allrounder"/>
    <s v="Middle Order"/>
    <n v="1"/>
    <n v="1"/>
    <n v="100"/>
    <s v="not out"/>
    <n v="5"/>
    <n v="4"/>
    <n v="0"/>
    <n v="37"/>
    <n v="2"/>
    <n v="9.1999999999999993"/>
    <n v="45"/>
    <n v="0"/>
    <n v="0"/>
    <n v="50"/>
    <n v="5"/>
    <s v="MIW"/>
    <s v="RCBW"/>
    <s v="BCA Stadium, Kotambi"/>
    <n v="199"/>
    <n v="9.9499999999999993"/>
    <n v="38"/>
    <n v="40"/>
    <n v="29"/>
    <s v="NA"/>
    <n v="1"/>
    <n v="46.5"/>
  </r>
  <r>
    <x v="82"/>
    <n v="4"/>
    <s v="P122"/>
    <x v="126"/>
    <x v="1"/>
    <s v="WK-Batter"/>
    <s v="DNB"/>
    <n v="0"/>
    <n v="0"/>
    <n v="0"/>
    <s v="DNB"/>
    <n v="0"/>
    <n v="0"/>
    <n v="0"/>
    <n v="0"/>
    <n v="0"/>
    <n v="0"/>
    <n v="0"/>
    <n v="0"/>
    <n v="0"/>
    <n v="0"/>
    <n v="0"/>
    <s v="MIW"/>
    <s v="RCBW"/>
    <s v="BCA Stadium, Kotambi"/>
    <n v="199"/>
    <n v="9.9499999999999993"/>
    <n v="38"/>
    <n v="40"/>
    <n v="29"/>
    <s v="NA"/>
    <n v="1"/>
    <n v="20"/>
  </r>
  <r>
    <x v="82"/>
    <n v="4"/>
    <s v="P102"/>
    <x v="103"/>
    <x v="1"/>
    <s v="Bowler"/>
    <s v="DNB"/>
    <n v="0"/>
    <n v="0"/>
    <n v="0"/>
    <s v="DNB"/>
    <n v="0"/>
    <n v="0"/>
    <n v="0"/>
    <n v="0"/>
    <n v="0"/>
    <n v="0"/>
    <n v="0"/>
    <n v="0"/>
    <n v="0"/>
    <n v="0"/>
    <n v="0"/>
    <s v="MIW"/>
    <s v="RCBW"/>
    <s v="BCA Stadium, Kotambi"/>
    <n v="199"/>
    <n v="9.9499999999999993"/>
    <n v="38"/>
    <n v="40"/>
    <n v="29"/>
    <s v="NA"/>
    <n v="1"/>
    <n v="20"/>
  </r>
  <r>
    <x v="82"/>
    <n v="4"/>
    <s v="P131"/>
    <x v="133"/>
    <x v="1"/>
    <s v="Allrounder"/>
    <s v="DNB"/>
    <n v="0"/>
    <n v="0"/>
    <n v="0"/>
    <s v="DNB"/>
    <n v="0"/>
    <n v="2"/>
    <n v="0"/>
    <n v="15"/>
    <n v="0"/>
    <n v="7.5"/>
    <n v="0"/>
    <n v="0"/>
    <n v="0"/>
    <n v="0"/>
    <n v="0"/>
    <s v="MIW"/>
    <s v="RCBW"/>
    <s v="BCA Stadium, Kotambi"/>
    <n v="199"/>
    <n v="9.9499999999999993"/>
    <n v="38"/>
    <n v="40"/>
    <n v="29"/>
    <s v="NA"/>
    <n v="1"/>
    <n v="20"/>
  </r>
  <r>
    <x v="82"/>
    <n v="4"/>
    <s v="P060"/>
    <x v="59"/>
    <x v="1"/>
    <s v="Bowler"/>
    <s v="DNB"/>
    <n v="0"/>
    <n v="0"/>
    <n v="0"/>
    <s v="DNB"/>
    <n v="0"/>
    <n v="4"/>
    <n v="0"/>
    <n v="25"/>
    <n v="2"/>
    <n v="6.2"/>
    <n v="50"/>
    <n v="0"/>
    <n v="0"/>
    <n v="50"/>
    <n v="5"/>
    <s v="MIW"/>
    <s v="RCBW"/>
    <s v="BCA Stadium, Kotambi"/>
    <n v="199"/>
    <n v="9.9499999999999993"/>
    <n v="38"/>
    <n v="40"/>
    <n v="29"/>
    <s v="NA"/>
    <n v="1"/>
    <n v="46.5"/>
  </r>
  <r>
    <x v="82"/>
    <n v="4"/>
    <s v="P061"/>
    <x v="60"/>
    <x v="1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MIW"/>
    <s v="RCBW"/>
    <s v="BCA Stadium, Kotambi"/>
    <n v="199"/>
    <n v="9.9499999999999993"/>
    <n v="38"/>
    <n v="40"/>
    <n v="29"/>
    <s v="NA"/>
    <n v="1"/>
    <n v="20"/>
  </r>
  <r>
    <x v="82"/>
    <n v="4"/>
    <s v="P049"/>
    <x v="48"/>
    <x v="2"/>
    <s v="Allrounder"/>
    <s v="Opener"/>
    <n v="15"/>
    <n v="9"/>
    <n v="166.67"/>
    <s v="caught"/>
    <n v="20"/>
    <n v="0"/>
    <n v="0"/>
    <n v="0"/>
    <n v="0"/>
    <n v="0"/>
    <n v="0"/>
    <n v="0"/>
    <n v="0"/>
    <n v="20"/>
    <n v="2"/>
    <s v="MIW"/>
    <s v="RCBW"/>
    <s v="BCA Stadium, Kotambi"/>
    <n v="184"/>
    <n v="9.1999999999999993"/>
    <n v="40"/>
    <n v="64"/>
    <n v="32"/>
    <s v="Failed"/>
    <n v="0"/>
    <n v="10.6"/>
  </r>
  <r>
    <x v="82"/>
    <n v="4"/>
    <s v="P023"/>
    <x v="22"/>
    <x v="2"/>
    <s v="Batter"/>
    <s v="Opener"/>
    <n v="6"/>
    <n v="7"/>
    <n v="85.71"/>
    <s v="caught"/>
    <n v="5"/>
    <n v="0"/>
    <n v="0"/>
    <n v="0"/>
    <n v="0"/>
    <n v="0"/>
    <n v="0"/>
    <n v="0"/>
    <n v="0"/>
    <n v="5"/>
    <n v="1"/>
    <s v="MIW"/>
    <s v="RCBW"/>
    <s v="BCA Stadium, Kotambi"/>
    <n v="184"/>
    <n v="9.1999999999999993"/>
    <n v="40"/>
    <n v="64"/>
    <n v="32"/>
    <s v="Failed"/>
    <n v="0"/>
    <n v="2.8"/>
  </r>
  <r>
    <x v="82"/>
    <n v="4"/>
    <s v="P109"/>
    <x v="112"/>
    <x v="2"/>
    <s v="Batter"/>
    <s v="Top Order"/>
    <n v="9"/>
    <n v="6"/>
    <n v="150"/>
    <s v="caught"/>
    <n v="15"/>
    <n v="1"/>
    <n v="0"/>
    <n v="12"/>
    <n v="0"/>
    <n v="12"/>
    <n v="0"/>
    <n v="0"/>
    <n v="0"/>
    <n v="15"/>
    <n v="2"/>
    <s v="MIW"/>
    <s v="RCBW"/>
    <s v="BCA Stadium, Kotambi"/>
    <n v="184"/>
    <n v="9.1999999999999993"/>
    <n v="40"/>
    <n v="64"/>
    <n v="32"/>
    <s v="Failed"/>
    <n v="0"/>
    <n v="8.1"/>
  </r>
  <r>
    <x v="82"/>
    <n v="4"/>
    <s v="P121"/>
    <x v="124"/>
    <x v="2"/>
    <s v="Allrounder"/>
    <s v="Top Order"/>
    <n v="1"/>
    <n v="2"/>
    <n v="50"/>
    <s v="bowled"/>
    <n v="0"/>
    <n v="0"/>
    <n v="0"/>
    <n v="0"/>
    <n v="0"/>
    <n v="0"/>
    <n v="0"/>
    <n v="0"/>
    <n v="0"/>
    <n v="0"/>
    <n v="0"/>
    <s v="MIW"/>
    <s v="RCBW"/>
    <s v="BCA Stadium, Kotambi"/>
    <n v="184"/>
    <n v="9.1999999999999993"/>
    <n v="40"/>
    <n v="64"/>
    <n v="32"/>
    <s v="Failed"/>
    <n v="0"/>
    <n v="0"/>
  </r>
  <r>
    <x v="82"/>
    <n v="4"/>
    <s v="P043"/>
    <x v="42"/>
    <x v="2"/>
    <s v="Allrounder"/>
    <s v="Middle Order"/>
    <n v="0"/>
    <n v="2"/>
    <n v="0"/>
    <s v="caught"/>
    <n v="0"/>
    <n v="2"/>
    <n v="0"/>
    <n v="24"/>
    <n v="0"/>
    <n v="12"/>
    <n v="0"/>
    <n v="0"/>
    <n v="0"/>
    <n v="0"/>
    <n v="0"/>
    <s v="MIW"/>
    <s v="RCBW"/>
    <s v="BCA Stadium, Kotambi"/>
    <n v="184"/>
    <n v="9.1999999999999993"/>
    <n v="40"/>
    <n v="64"/>
    <n v="32"/>
    <s v="Failed"/>
    <n v="0"/>
    <n v="0"/>
  </r>
  <r>
    <x v="82"/>
    <n v="4"/>
    <s v="P028"/>
    <x v="27"/>
    <x v="2"/>
    <s v="WK-Batter"/>
    <s v="Middle Order"/>
    <n v="90"/>
    <n v="50"/>
    <n v="180"/>
    <s v="caught"/>
    <n v="95"/>
    <n v="0"/>
    <n v="0"/>
    <n v="0"/>
    <n v="0"/>
    <n v="0"/>
    <n v="0"/>
    <n v="0"/>
    <n v="0"/>
    <n v="95"/>
    <n v="10"/>
    <s v="MIW"/>
    <s v="RCBW"/>
    <s v="BCA Stadium, Kotambi"/>
    <n v="184"/>
    <n v="9.1999999999999993"/>
    <n v="40"/>
    <n v="64"/>
    <n v="32"/>
    <s v="Failed"/>
    <n v="0"/>
    <n v="50.5"/>
  </r>
  <r>
    <x v="82"/>
    <n v="4"/>
    <s v="P083"/>
    <x v="84"/>
    <x v="2"/>
    <s v="Allrounder"/>
    <s v="Middle Order"/>
    <n v="28"/>
    <n v="20"/>
    <n v="140"/>
    <s v="caught"/>
    <n v="35"/>
    <n v="4"/>
    <n v="0"/>
    <n v="40"/>
    <n v="1"/>
    <n v="10"/>
    <n v="25"/>
    <n v="0"/>
    <n v="0"/>
    <n v="60"/>
    <n v="6"/>
    <s v="MIW"/>
    <s v="RCBW"/>
    <s v="BCA Stadium, Kotambi"/>
    <n v="184"/>
    <n v="9.1999999999999993"/>
    <n v="40"/>
    <n v="64"/>
    <n v="32"/>
    <s v="Failed"/>
    <n v="0"/>
    <n v="31.8"/>
  </r>
  <r>
    <x v="82"/>
    <n v="4"/>
    <s v="P041"/>
    <x v="40"/>
    <x v="2"/>
    <s v="Bowler"/>
    <s v="Middle Order"/>
    <n v="14"/>
    <n v="18"/>
    <n v="77.78"/>
    <s v="caught"/>
    <n v="15"/>
    <n v="3"/>
    <n v="0"/>
    <n v="36"/>
    <n v="0"/>
    <n v="12"/>
    <n v="0"/>
    <n v="0"/>
    <n v="0"/>
    <n v="15"/>
    <n v="2"/>
    <s v="MIW"/>
    <s v="RCBW"/>
    <s v="BCA Stadium, Kotambi"/>
    <n v="184"/>
    <n v="9.1999999999999993"/>
    <n v="40"/>
    <n v="64"/>
    <n v="32"/>
    <s v="Failed"/>
    <n v="0"/>
    <n v="8.1"/>
  </r>
  <r>
    <x v="82"/>
    <n v="4"/>
    <s v="P089"/>
    <x v="89"/>
    <x v="2"/>
    <s v="Bowler"/>
    <s v="Middle Order"/>
    <n v="0"/>
    <n v="1"/>
    <n v="0"/>
    <s v="run out"/>
    <n v="0"/>
    <n v="4"/>
    <n v="0"/>
    <n v="42"/>
    <n v="0"/>
    <n v="10.5"/>
    <n v="0"/>
    <n v="0"/>
    <n v="1"/>
    <n v="0"/>
    <n v="0"/>
    <s v="MIW"/>
    <s v="RCBW"/>
    <s v="BCA Stadium, Kotambi"/>
    <n v="184"/>
    <n v="9.1999999999999993"/>
    <n v="40"/>
    <n v="64"/>
    <n v="32"/>
    <s v="Failed"/>
    <n v="0"/>
    <n v="0"/>
  </r>
  <r>
    <x v="82"/>
    <n v="4"/>
    <s v="P059"/>
    <x v="58"/>
    <x v="2"/>
    <s v="Allrounder"/>
    <s v="Middle Order"/>
    <n v="12"/>
    <n v="5"/>
    <n v="240"/>
    <s v="not out"/>
    <n v="20"/>
    <n v="3"/>
    <n v="0"/>
    <n v="34"/>
    <n v="1"/>
    <n v="11.3"/>
    <n v="25"/>
    <n v="0"/>
    <n v="0"/>
    <n v="45"/>
    <n v="5"/>
    <s v="MIW"/>
    <s v="RCBW"/>
    <s v="BCA Stadium, Kotambi"/>
    <n v="184"/>
    <n v="9.1999999999999993"/>
    <n v="40"/>
    <n v="64"/>
    <n v="32"/>
    <s v="Failed"/>
    <n v="0"/>
    <n v="24"/>
  </r>
  <r>
    <x v="82"/>
    <n v="4"/>
    <s v="P113"/>
    <x v="118"/>
    <x v="2"/>
    <s v="Bowler"/>
    <s v="Middle Order"/>
    <n v="0"/>
    <n v="0"/>
    <n v="0"/>
    <s v="DNB"/>
    <n v="0"/>
    <n v="4"/>
    <n v="0"/>
    <n v="21"/>
    <n v="2"/>
    <n v="5.2"/>
    <n v="50"/>
    <n v="0"/>
    <n v="0"/>
    <n v="50"/>
    <n v="5"/>
    <s v="MIW"/>
    <s v="RCBW"/>
    <s v="BCA Stadium, Kotambi"/>
    <n v="184"/>
    <n v="9.1999999999999993"/>
    <n v="40"/>
    <n v="64"/>
    <n v="32"/>
    <s v="Failed"/>
    <n v="0"/>
    <n v="26.5"/>
  </r>
  <r>
    <x v="83"/>
    <n v="4"/>
    <s v="P001"/>
    <x v="0"/>
    <x v="0"/>
    <s v="WK-Batter"/>
    <s v="Opener"/>
    <n v="58"/>
    <n v="46"/>
    <n v="126.09"/>
    <s v="caught"/>
    <n v="65"/>
    <n v="0"/>
    <n v="0"/>
    <n v="0"/>
    <n v="0"/>
    <n v="0"/>
    <n v="0"/>
    <n v="0"/>
    <n v="0"/>
    <n v="65"/>
    <n v="7"/>
    <s v="GGTW"/>
    <s v="DCW"/>
    <s v="BCA Stadium, Kotambi"/>
    <n v="174"/>
    <n v="8.6999999999999993"/>
    <n v="53"/>
    <n v="41"/>
    <n v="34"/>
    <s v="NA"/>
    <n v="1"/>
    <n v="54.6"/>
  </r>
  <r>
    <x v="83"/>
    <n v="4"/>
    <s v="P024"/>
    <x v="23"/>
    <x v="0"/>
    <s v="Allrounder"/>
    <s v="Top Order"/>
    <n v="13"/>
    <n v="10"/>
    <n v="130"/>
    <s v="bowled"/>
    <n v="15"/>
    <n v="4"/>
    <n v="0"/>
    <n v="37"/>
    <n v="4"/>
    <n v="9.1999999999999993"/>
    <n v="75"/>
    <n v="0"/>
    <n v="0"/>
    <n v="90"/>
    <n v="9"/>
    <s v="GGTW"/>
    <s v="DCW"/>
    <s v="BCA Stadium, Kotambi"/>
    <n v="174"/>
    <n v="8.6999999999999993"/>
    <n v="53"/>
    <n v="41"/>
    <n v="34"/>
    <s v="NA"/>
    <n v="1"/>
    <n v="67.7"/>
  </r>
  <r>
    <x v="83"/>
    <n v="4"/>
    <s v="P115"/>
    <x v="119"/>
    <x v="0"/>
    <s v="Batter"/>
    <s v="Top Order"/>
    <n v="39"/>
    <n v="25"/>
    <n v="156"/>
    <s v="caught"/>
    <n v="45"/>
    <n v="0"/>
    <n v="0"/>
    <n v="0"/>
    <n v="0"/>
    <n v="0"/>
    <n v="0"/>
    <n v="0"/>
    <n v="0"/>
    <n v="45"/>
    <n v="5"/>
    <s v="GGTW"/>
    <s v="DCW"/>
    <s v="BCA Stadium, Kotambi"/>
    <n v="174"/>
    <n v="8.6999999999999993"/>
    <n v="53"/>
    <n v="41"/>
    <n v="34"/>
    <s v="NA"/>
    <n v="1"/>
    <n v="44"/>
  </r>
  <r>
    <x v="83"/>
    <n v="4"/>
    <s v="P004"/>
    <x v="3"/>
    <x v="0"/>
    <s v="Allrounder"/>
    <s v="Middle Order"/>
    <n v="2"/>
    <n v="4"/>
    <n v="50"/>
    <s v="caught"/>
    <n v="0"/>
    <n v="4"/>
    <n v="0"/>
    <n v="37"/>
    <n v="1"/>
    <n v="9.1999999999999993"/>
    <n v="25"/>
    <n v="0"/>
    <n v="0"/>
    <n v="25"/>
    <n v="3"/>
    <s v="GGTW"/>
    <s v="DCW"/>
    <s v="BCA Stadium, Kotambi"/>
    <n v="174"/>
    <n v="8.6999999999999993"/>
    <n v="53"/>
    <n v="41"/>
    <n v="34"/>
    <s v="NA"/>
    <n v="1"/>
    <n v="33.4"/>
  </r>
  <r>
    <x v="83"/>
    <n v="4"/>
    <s v="P007"/>
    <x v="6"/>
    <x v="0"/>
    <s v="Allrounder"/>
    <s v="Middle Order"/>
    <n v="11"/>
    <n v="7"/>
    <n v="157.13999999999999"/>
    <s v="bowled"/>
    <n v="15"/>
    <n v="1"/>
    <n v="0"/>
    <n v="12"/>
    <n v="0"/>
    <n v="12"/>
    <n v="0"/>
    <n v="0"/>
    <n v="0"/>
    <n v="15"/>
    <n v="2"/>
    <s v="GGTW"/>
    <s v="DCW"/>
    <s v="BCA Stadium, Kotambi"/>
    <n v="174"/>
    <n v="8.6999999999999993"/>
    <n v="53"/>
    <n v="41"/>
    <n v="34"/>
    <s v="NA"/>
    <n v="1"/>
    <n v="28.1"/>
  </r>
  <r>
    <x v="83"/>
    <n v="4"/>
    <s v="P093"/>
    <x v="93"/>
    <x v="0"/>
    <s v="Batter"/>
    <s v="Middle Order"/>
    <n v="3"/>
    <n v="5"/>
    <n v="60"/>
    <s v="bowled"/>
    <n v="5"/>
    <n v="0"/>
    <n v="0"/>
    <n v="0"/>
    <n v="0"/>
    <n v="0"/>
    <n v="0"/>
    <n v="0"/>
    <n v="0"/>
    <n v="5"/>
    <n v="1"/>
    <s v="GGTW"/>
    <s v="DCW"/>
    <s v="BCA Stadium, Kotambi"/>
    <n v="174"/>
    <n v="8.6999999999999993"/>
    <n v="53"/>
    <n v="41"/>
    <n v="34"/>
    <s v="NA"/>
    <n v="1"/>
    <n v="22.8"/>
  </r>
  <r>
    <x v="83"/>
    <n v="4"/>
    <s v="P029"/>
    <x v="28"/>
    <x v="0"/>
    <s v="Allrounder"/>
    <s v="Middle Order"/>
    <n v="4"/>
    <n v="5"/>
    <n v="80"/>
    <s v="lbw"/>
    <n v="5"/>
    <n v="0"/>
    <n v="0"/>
    <n v="0"/>
    <n v="0"/>
    <n v="0"/>
    <n v="0"/>
    <n v="0"/>
    <n v="0"/>
    <n v="5"/>
    <n v="1"/>
    <s v="GGTW"/>
    <s v="DCW"/>
    <s v="BCA Stadium, Kotambi"/>
    <n v="174"/>
    <n v="8.6999999999999993"/>
    <n v="53"/>
    <n v="41"/>
    <n v="34"/>
    <s v="NA"/>
    <n v="1"/>
    <n v="22.8"/>
  </r>
  <r>
    <x v="83"/>
    <n v="4"/>
    <s v="P098"/>
    <x v="98"/>
    <x v="0"/>
    <s v="Bowler"/>
    <s v="Middle Order"/>
    <n v="2"/>
    <n v="3"/>
    <n v="66.67"/>
    <s v="bowled"/>
    <n v="0"/>
    <n v="2"/>
    <n v="0"/>
    <n v="18"/>
    <n v="0"/>
    <n v="9"/>
    <n v="0"/>
    <n v="0"/>
    <n v="0"/>
    <n v="0"/>
    <n v="0"/>
    <s v="GGTW"/>
    <s v="DCW"/>
    <s v="BCA Stadium, Kotambi"/>
    <n v="174"/>
    <n v="8.6999999999999993"/>
    <n v="53"/>
    <n v="41"/>
    <n v="34"/>
    <s v="NA"/>
    <n v="1"/>
    <n v="20"/>
  </r>
  <r>
    <x v="83"/>
    <n v="4"/>
    <s v="P009"/>
    <x v="8"/>
    <x v="0"/>
    <s v="Bowler"/>
    <s v="Middle Order"/>
    <n v="21"/>
    <n v="11"/>
    <n v="190.91"/>
    <s v="caught"/>
    <n v="25"/>
    <n v="4"/>
    <n v="0"/>
    <n v="26"/>
    <n v="0"/>
    <n v="6.5"/>
    <n v="0"/>
    <n v="0"/>
    <n v="0"/>
    <n v="25"/>
    <n v="3"/>
    <s v="GGTW"/>
    <s v="DCW"/>
    <s v="BCA Stadium, Kotambi"/>
    <n v="174"/>
    <n v="8.6999999999999993"/>
    <n v="53"/>
    <n v="41"/>
    <n v="34"/>
    <s v="NA"/>
    <n v="1"/>
    <n v="33.4"/>
  </r>
  <r>
    <x v="83"/>
    <n v="4"/>
    <s v="P033"/>
    <x v="32"/>
    <x v="0"/>
    <s v="Bowler"/>
    <s v="Middle Order"/>
    <n v="3"/>
    <n v="4"/>
    <n v="75"/>
    <s v="not out"/>
    <n v="5"/>
    <n v="1"/>
    <n v="0"/>
    <n v="16"/>
    <n v="0"/>
    <n v="16"/>
    <n v="0"/>
    <n v="0"/>
    <n v="0"/>
    <n v="5"/>
    <n v="1"/>
    <s v="GGTW"/>
    <s v="DCW"/>
    <s v="BCA Stadium, Kotambi"/>
    <n v="174"/>
    <n v="8.6999999999999993"/>
    <n v="53"/>
    <n v="41"/>
    <n v="34"/>
    <s v="NA"/>
    <n v="1"/>
    <n v="22.8"/>
  </r>
  <r>
    <x v="83"/>
    <n v="4"/>
    <s v="P055"/>
    <x v="54"/>
    <x v="0"/>
    <s v="Bowler"/>
    <s v="DNB"/>
    <n v="0"/>
    <n v="0"/>
    <n v="0"/>
    <s v="DNB"/>
    <n v="0"/>
    <n v="4"/>
    <n v="0"/>
    <n v="20"/>
    <n v="3"/>
    <n v="5"/>
    <n v="60"/>
    <n v="0"/>
    <n v="0"/>
    <n v="60"/>
    <n v="6"/>
    <s v="GGTW"/>
    <s v="DCW"/>
    <s v="BCA Stadium, Kotambi"/>
    <n v="174"/>
    <n v="8.6999999999999993"/>
    <n v="53"/>
    <n v="41"/>
    <n v="34"/>
    <s v="NA"/>
    <n v="1"/>
    <n v="51.8"/>
  </r>
  <r>
    <x v="83"/>
    <n v="4"/>
    <s v="P034"/>
    <x v="33"/>
    <x v="3"/>
    <s v="Batter"/>
    <s v="Opener"/>
    <n v="14"/>
    <n v="10"/>
    <n v="140"/>
    <s v="caught"/>
    <n v="15"/>
    <n v="0"/>
    <n v="0"/>
    <n v="0"/>
    <n v="0"/>
    <n v="0"/>
    <n v="0"/>
    <n v="0"/>
    <n v="0"/>
    <n v="15"/>
    <n v="2"/>
    <s v="GGTW"/>
    <s v="DCW"/>
    <s v="BCA Stadium, Kotambi"/>
    <n v="171"/>
    <n v="8.5500000000000007"/>
    <n v="51"/>
    <n v="56"/>
    <n v="30"/>
    <s v="Failed"/>
    <n v="0"/>
    <n v="8.1"/>
  </r>
  <r>
    <x v="83"/>
    <n v="4"/>
    <s v="P117"/>
    <x v="121"/>
    <x v="3"/>
    <s v="WK-Batter"/>
    <s v="Opener"/>
    <n v="11"/>
    <n v="20"/>
    <n v="55"/>
    <s v="caught"/>
    <n v="10"/>
    <n v="0"/>
    <n v="0"/>
    <n v="0"/>
    <n v="0"/>
    <n v="0"/>
    <n v="0"/>
    <n v="0"/>
    <n v="0"/>
    <n v="10"/>
    <n v="1"/>
    <s v="GGTW"/>
    <s v="DCW"/>
    <s v="BCA Stadium, Kotambi"/>
    <n v="171"/>
    <n v="8.5500000000000007"/>
    <n v="51"/>
    <n v="56"/>
    <n v="30"/>
    <s v="Failed"/>
    <n v="0"/>
    <n v="5.3"/>
  </r>
  <r>
    <x v="83"/>
    <n v="4"/>
    <s v="P066"/>
    <x v="65"/>
    <x v="3"/>
    <s v="Batter"/>
    <s v="Top Order"/>
    <n v="24"/>
    <n v="23"/>
    <n v="104.35"/>
    <s v="bowled"/>
    <n v="25"/>
    <n v="0"/>
    <n v="0"/>
    <n v="0"/>
    <n v="0"/>
    <n v="0"/>
    <n v="0"/>
    <n v="0"/>
    <n v="0"/>
    <n v="25"/>
    <n v="3"/>
    <s v="GGTW"/>
    <s v="DCW"/>
    <s v="BCA Stadium, Kotambi"/>
    <n v="171"/>
    <n v="8.5500000000000007"/>
    <n v="51"/>
    <n v="56"/>
    <n v="30"/>
    <s v="Failed"/>
    <n v="0"/>
    <n v="13.4"/>
  </r>
  <r>
    <x v="83"/>
    <n v="4"/>
    <s v="P037"/>
    <x v="36"/>
    <x v="3"/>
    <s v="Batter"/>
    <s v="Top Order"/>
    <n v="16"/>
    <n v="16"/>
    <n v="100"/>
    <s v="bowled"/>
    <n v="20"/>
    <n v="0"/>
    <n v="0"/>
    <n v="0"/>
    <n v="0"/>
    <n v="0"/>
    <n v="0"/>
    <n v="0"/>
    <n v="0"/>
    <n v="20"/>
    <n v="2"/>
    <s v="GGTW"/>
    <s v="DCW"/>
    <s v="BCA Stadium, Kotambi"/>
    <n v="171"/>
    <n v="8.5500000000000007"/>
    <n v="51"/>
    <n v="56"/>
    <n v="30"/>
    <s v="Failed"/>
    <n v="0"/>
    <n v="10.6"/>
  </r>
  <r>
    <x v="83"/>
    <n v="4"/>
    <s v="P036"/>
    <x v="35"/>
    <x v="3"/>
    <s v="Allrounder"/>
    <s v="Middle Order"/>
    <n v="0"/>
    <n v="1"/>
    <n v="0"/>
    <s v="bowled"/>
    <n v="0"/>
    <n v="4"/>
    <n v="0"/>
    <n v="34"/>
    <n v="1"/>
    <n v="8.5"/>
    <n v="25"/>
    <n v="0"/>
    <n v="0"/>
    <n v="25"/>
    <n v="3"/>
    <s v="GGTW"/>
    <s v="DCW"/>
    <s v="BCA Stadium, Kotambi"/>
    <n v="171"/>
    <n v="8.5500000000000007"/>
    <n v="51"/>
    <n v="56"/>
    <n v="30"/>
    <s v="Failed"/>
    <n v="0"/>
    <n v="13.4"/>
  </r>
  <r>
    <x v="83"/>
    <n v="4"/>
    <s v="P107"/>
    <x v="110"/>
    <x v="3"/>
    <s v="Allrounder"/>
    <s v="Middle Order"/>
    <n v="9"/>
    <n v="11"/>
    <n v="81.819999999999993"/>
    <s v="caught"/>
    <n v="10"/>
    <n v="4"/>
    <n v="0"/>
    <n v="38"/>
    <n v="2"/>
    <n v="9.5"/>
    <n v="40"/>
    <n v="0"/>
    <n v="0"/>
    <n v="50"/>
    <n v="5"/>
    <s v="GGTW"/>
    <s v="DCW"/>
    <s v="BCA Stadium, Kotambi"/>
    <n v="171"/>
    <n v="8.5500000000000007"/>
    <n v="51"/>
    <n v="56"/>
    <n v="30"/>
    <s v="Failed"/>
    <n v="0"/>
    <n v="26.5"/>
  </r>
  <r>
    <x v="83"/>
    <n v="4"/>
    <s v="P100"/>
    <x v="104"/>
    <x v="3"/>
    <s v="Allrounder"/>
    <s v="Middle Order"/>
    <n v="47"/>
    <n v="24"/>
    <n v="195.83"/>
    <s v="caught"/>
    <n v="55"/>
    <n v="0"/>
    <n v="0"/>
    <n v="0"/>
    <n v="0"/>
    <n v="0"/>
    <n v="0"/>
    <n v="0"/>
    <n v="0"/>
    <n v="55"/>
    <n v="6"/>
    <s v="GGTW"/>
    <s v="DCW"/>
    <s v="BCA Stadium, Kotambi"/>
    <n v="171"/>
    <n v="8.5500000000000007"/>
    <n v="51"/>
    <n v="56"/>
    <n v="30"/>
    <s v="Failed"/>
    <n v="0"/>
    <n v="29.3"/>
  </r>
  <r>
    <x v="83"/>
    <n v="4"/>
    <s v="P008"/>
    <x v="7"/>
    <x v="3"/>
    <s v="Allrounder"/>
    <s v="Middle Order"/>
    <n v="29"/>
    <n v="15"/>
    <n v="193.33"/>
    <s v="caught"/>
    <n v="35"/>
    <n v="1"/>
    <n v="0"/>
    <n v="11"/>
    <n v="0"/>
    <n v="11"/>
    <n v="0"/>
    <n v="0"/>
    <n v="0"/>
    <n v="35"/>
    <n v="4"/>
    <s v="GGTW"/>
    <s v="DCW"/>
    <s v="BCA Stadium, Kotambi"/>
    <n v="171"/>
    <n v="8.5500000000000007"/>
    <n v="51"/>
    <n v="56"/>
    <n v="30"/>
    <s v="Failed"/>
    <n v="0"/>
    <n v="18.7"/>
  </r>
  <r>
    <x v="83"/>
    <n v="4"/>
    <s v="P062"/>
    <x v="61"/>
    <x v="3"/>
    <s v="Allrounder"/>
    <s v="Middle Order"/>
    <n v="1"/>
    <n v="1"/>
    <n v="100"/>
    <s v="not out"/>
    <n v="5"/>
    <n v="3"/>
    <n v="0"/>
    <n v="23"/>
    <n v="1"/>
    <n v="7.7"/>
    <n v="25"/>
    <n v="0"/>
    <n v="0"/>
    <n v="30"/>
    <n v="3"/>
    <s v="GGTW"/>
    <s v="DCW"/>
    <s v="BCA Stadium, Kotambi"/>
    <n v="171"/>
    <n v="8.5500000000000007"/>
    <n v="51"/>
    <n v="56"/>
    <n v="30"/>
    <s v="Failed"/>
    <n v="0"/>
    <n v="15.9"/>
  </r>
  <r>
    <x v="83"/>
    <n v="4"/>
    <s v="P118"/>
    <x v="122"/>
    <x v="3"/>
    <s v="Bowler"/>
    <s v="DNB"/>
    <n v="0"/>
    <n v="0"/>
    <n v="0"/>
    <s v="DNB"/>
    <n v="0"/>
    <n v="4"/>
    <n v="0"/>
    <n v="31"/>
    <n v="4"/>
    <n v="7.8"/>
    <n v="75"/>
    <n v="0"/>
    <n v="0"/>
    <n v="75"/>
    <n v="8"/>
    <s v="GGTW"/>
    <s v="DCW"/>
    <s v="BCA Stadium, Kotambi"/>
    <n v="171"/>
    <n v="8.5500000000000007"/>
    <n v="51"/>
    <n v="56"/>
    <n v="30"/>
    <s v="Failed"/>
    <n v="0"/>
    <n v="39.9"/>
  </r>
  <r>
    <x v="83"/>
    <n v="4"/>
    <s v="P119"/>
    <x v="123"/>
    <x v="3"/>
    <s v="Bowler"/>
    <s v="DNB"/>
    <n v="0"/>
    <n v="0"/>
    <n v="0"/>
    <s v="DNB"/>
    <n v="0"/>
    <n v="4"/>
    <n v="0"/>
    <n v="26"/>
    <n v="1"/>
    <n v="6.5"/>
    <n v="25"/>
    <n v="0"/>
    <n v="0"/>
    <n v="25"/>
    <n v="3"/>
    <s v="GGTW"/>
    <s v="DCW"/>
    <s v="BCA Stadium, Kotambi"/>
    <n v="171"/>
    <n v="8.5500000000000007"/>
    <n v="51"/>
    <n v="56"/>
    <n v="30"/>
    <s v="Failed"/>
    <n v="0"/>
    <n v="13.4"/>
  </r>
  <r>
    <x v="84"/>
    <n v="4"/>
    <s v="P035"/>
    <x v="34"/>
    <x v="4"/>
    <s v="Batter"/>
    <s v="Opener"/>
    <n v="41"/>
    <n v="30"/>
    <n v="136.66999999999999"/>
    <s v="caught"/>
    <n v="50"/>
    <n v="0"/>
    <n v="0"/>
    <n v="0"/>
    <n v="0"/>
    <n v="0"/>
    <n v="0"/>
    <n v="0"/>
    <n v="0"/>
    <n v="50"/>
    <n v="5"/>
    <s v="RCBW"/>
    <s v="RCBW"/>
    <s v="BCA Stadium, Kotambi"/>
    <n v="143"/>
    <n v="7.15"/>
    <n v="50"/>
    <n v="21"/>
    <n v="30"/>
    <s v="NA"/>
    <n v="0"/>
    <n v="26.5"/>
  </r>
  <r>
    <x v="84"/>
    <n v="4"/>
    <s v="P048"/>
    <x v="47"/>
    <x v="4"/>
    <s v="Allrounder"/>
    <s v="Top Order"/>
    <n v="55"/>
    <n v="43"/>
    <n v="127.91"/>
    <s v="caught"/>
    <n v="60"/>
    <n v="2.1"/>
    <n v="0"/>
    <n v="28"/>
    <n v="0"/>
    <n v="12.9"/>
    <n v="0"/>
    <n v="0"/>
    <n v="0"/>
    <n v="60"/>
    <n v="6"/>
    <s v="RCBW"/>
    <s v="RCBW"/>
    <s v="BCA Stadium, Kotambi"/>
    <n v="143"/>
    <n v="7.15"/>
    <n v="50"/>
    <n v="21"/>
    <n v="30"/>
    <s v="NA"/>
    <n v="0"/>
    <n v="31.8"/>
  </r>
  <r>
    <x v="84"/>
    <n v="4"/>
    <s v="P132"/>
    <x v="135"/>
    <x v="4"/>
    <s v="WK-Batter"/>
    <s v="Top Order"/>
    <n v="1"/>
    <n v="2"/>
    <n v="50"/>
    <s v="lbw"/>
    <n v="0"/>
    <n v="0"/>
    <n v="0"/>
    <n v="0"/>
    <n v="0"/>
    <n v="0"/>
    <n v="0"/>
    <n v="0"/>
    <n v="0"/>
    <n v="0"/>
    <n v="0"/>
    <s v="RCBW"/>
    <s v="RCBW"/>
    <s v="BCA Stadium, Kotambi"/>
    <n v="143"/>
    <n v="7.15"/>
    <n v="50"/>
    <n v="21"/>
    <n v="30"/>
    <s v="NA"/>
    <n v="0"/>
    <n v="0"/>
  </r>
  <r>
    <x v="84"/>
    <n v="4"/>
    <s v="P003"/>
    <x v="2"/>
    <x v="4"/>
    <s v="Allrounder"/>
    <s v="Top Order"/>
    <n v="14"/>
    <n v="14"/>
    <n v="100"/>
    <s v="bowled"/>
    <n v="15"/>
    <n v="0"/>
    <n v="0"/>
    <n v="0"/>
    <n v="0"/>
    <n v="0"/>
    <n v="0"/>
    <n v="0"/>
    <n v="0"/>
    <n v="15"/>
    <n v="2"/>
    <s v="RCBW"/>
    <s v="RCBW"/>
    <s v="BCA Stadium, Kotambi"/>
    <n v="143"/>
    <n v="7.15"/>
    <n v="50"/>
    <n v="21"/>
    <n v="30"/>
    <s v="NA"/>
    <n v="0"/>
    <n v="8.1"/>
  </r>
  <r>
    <x v="84"/>
    <n v="4"/>
    <s v="P124"/>
    <x v="127"/>
    <x v="4"/>
    <s v="Allrounder"/>
    <s v="Middle Order"/>
    <n v="6"/>
    <n v="7"/>
    <n v="85.71"/>
    <s v="stumped"/>
    <n v="5"/>
    <n v="1"/>
    <n v="0"/>
    <n v="15"/>
    <n v="0"/>
    <n v="15"/>
    <n v="0"/>
    <n v="0"/>
    <n v="0"/>
    <n v="5"/>
    <n v="1"/>
    <s v="RCBW"/>
    <s v="RCBW"/>
    <s v="BCA Stadium, Kotambi"/>
    <n v="143"/>
    <n v="7.15"/>
    <n v="50"/>
    <n v="21"/>
    <n v="30"/>
    <s v="NA"/>
    <n v="0"/>
    <n v="2.8"/>
  </r>
  <r>
    <x v="84"/>
    <n v="4"/>
    <s v="P046"/>
    <x v="45"/>
    <x v="4"/>
    <s v="WK-Batter"/>
    <s v="Middle Order"/>
    <n v="7"/>
    <n v="10"/>
    <n v="70"/>
    <s v="caught"/>
    <n v="5"/>
    <n v="0"/>
    <n v="0"/>
    <n v="0"/>
    <n v="0"/>
    <n v="0"/>
    <n v="0"/>
    <n v="0"/>
    <n v="0"/>
    <n v="5"/>
    <n v="1"/>
    <s v="RCBW"/>
    <s v="RCBW"/>
    <s v="BCA Stadium, Kotambi"/>
    <n v="143"/>
    <n v="7.15"/>
    <n v="50"/>
    <n v="21"/>
    <n v="30"/>
    <s v="NA"/>
    <n v="0"/>
    <n v="2.8"/>
  </r>
  <r>
    <x v="84"/>
    <n v="4"/>
    <s v="P050"/>
    <x v="49"/>
    <x v="4"/>
    <s v="Batter"/>
    <s v="Middle Order"/>
    <n v="10"/>
    <n v="11"/>
    <n v="90.91"/>
    <s v="caught"/>
    <n v="10"/>
    <n v="0"/>
    <n v="0"/>
    <n v="0"/>
    <n v="0"/>
    <n v="0"/>
    <n v="0"/>
    <n v="0"/>
    <n v="0"/>
    <n v="10"/>
    <n v="1"/>
    <s v="RCBW"/>
    <s v="RCBW"/>
    <s v="BCA Stadium, Kotambi"/>
    <n v="143"/>
    <n v="7.15"/>
    <n v="50"/>
    <n v="21"/>
    <n v="30"/>
    <s v="NA"/>
    <n v="0"/>
    <n v="5.3"/>
  </r>
  <r>
    <x v="84"/>
    <n v="4"/>
    <s v="P053"/>
    <x v="52"/>
    <x v="4"/>
    <s v="Bowler"/>
    <s v="Middle Order"/>
    <n v="0"/>
    <n v="1"/>
    <n v="0"/>
    <s v="lbw"/>
    <n v="0"/>
    <n v="2"/>
    <n v="0"/>
    <n v="14"/>
    <n v="0"/>
    <n v="7"/>
    <n v="0"/>
    <n v="0"/>
    <n v="0"/>
    <n v="0"/>
    <n v="0"/>
    <s v="RCBW"/>
    <s v="RCBW"/>
    <s v="BCA Stadium, Kotambi"/>
    <n v="143"/>
    <n v="7.15"/>
    <n v="50"/>
    <n v="21"/>
    <n v="30"/>
    <s v="NA"/>
    <n v="0"/>
    <n v="0"/>
  </r>
  <r>
    <x v="84"/>
    <n v="4"/>
    <s v="P030"/>
    <x v="29"/>
    <x v="4"/>
    <s v="Bowler"/>
    <s v="Middle Order"/>
    <n v="0"/>
    <n v="1"/>
    <n v="0"/>
    <s v="not out"/>
    <n v="0"/>
    <n v="2"/>
    <n v="0"/>
    <n v="24"/>
    <n v="1"/>
    <n v="12"/>
    <n v="25"/>
    <n v="0"/>
    <n v="0"/>
    <n v="25"/>
    <n v="3"/>
    <s v="RCBW"/>
    <s v="RCBW"/>
    <s v="BCA Stadium, Kotambi"/>
    <n v="143"/>
    <n v="7.15"/>
    <n v="50"/>
    <n v="21"/>
    <n v="30"/>
    <s v="NA"/>
    <n v="0"/>
    <n v="13.4"/>
  </r>
  <r>
    <x v="84"/>
    <n v="4"/>
    <s v="P042"/>
    <x v="41"/>
    <x v="4"/>
    <s v="Allrounder"/>
    <s v="Middle Order"/>
    <n v="0"/>
    <n v="1"/>
    <n v="0"/>
    <s v="not out"/>
    <n v="0"/>
    <n v="4"/>
    <n v="0"/>
    <n v="36"/>
    <n v="1"/>
    <n v="9"/>
    <n v="25"/>
    <n v="0"/>
    <n v="0"/>
    <n v="25"/>
    <n v="3"/>
    <s v="RCBW"/>
    <s v="RCBW"/>
    <s v="BCA Stadium, Kotambi"/>
    <n v="143"/>
    <n v="7.15"/>
    <n v="50"/>
    <n v="21"/>
    <n v="30"/>
    <s v="NA"/>
    <n v="0"/>
    <n v="13.4"/>
  </r>
  <r>
    <x v="84"/>
    <n v="4"/>
    <s v="P104"/>
    <x v="107"/>
    <x v="4"/>
    <s v="Bowler"/>
    <s v="DNB"/>
    <n v="0"/>
    <n v="0"/>
    <n v="0"/>
    <s v="DNB"/>
    <n v="0"/>
    <n v="2"/>
    <n v="0"/>
    <n v="29"/>
    <n v="0"/>
    <n v="14.5"/>
    <n v="0"/>
    <n v="0"/>
    <n v="0"/>
    <n v="0"/>
    <n v="0"/>
    <s v="RCBW"/>
    <s v="RCBW"/>
    <s v="BCA Stadium, Kotambi"/>
    <n v="143"/>
    <n v="7.15"/>
    <n v="50"/>
    <n v="21"/>
    <n v="30"/>
    <s v="NA"/>
    <n v="0"/>
    <n v="0"/>
  </r>
  <r>
    <x v="84"/>
    <n v="4"/>
    <s v="P049"/>
    <x v="48"/>
    <x v="2"/>
    <s v="Allrounder"/>
    <s v="Opener"/>
    <n v="75"/>
    <n v="37"/>
    <n v="202.7"/>
    <s v="bowled"/>
    <n v="85"/>
    <n v="3"/>
    <n v="0"/>
    <n v="22"/>
    <n v="2"/>
    <n v="7.3"/>
    <n v="40"/>
    <n v="0"/>
    <n v="0"/>
    <n v="125"/>
    <n v="10"/>
    <s v="RCBW"/>
    <s v="RCBW"/>
    <s v="BCA Stadium, Kotambi"/>
    <n v="147"/>
    <n v="11.16"/>
    <n v="63"/>
    <n v="0"/>
    <n v="20"/>
    <s v="Successful"/>
    <n v="1"/>
    <n v="85.5"/>
  </r>
  <r>
    <x v="84"/>
    <n v="4"/>
    <s v="P023"/>
    <x v="22"/>
    <x v="2"/>
    <s v="Batter"/>
    <s v="Opener"/>
    <n v="54"/>
    <n v="27"/>
    <n v="200"/>
    <s v="not out"/>
    <n v="65"/>
    <n v="0"/>
    <n v="0"/>
    <n v="0"/>
    <n v="0"/>
    <n v="0"/>
    <n v="0"/>
    <n v="0"/>
    <n v="0"/>
    <n v="65"/>
    <n v="7"/>
    <s v="RCBW"/>
    <s v="RCBW"/>
    <s v="BCA Stadium, Kotambi"/>
    <n v="147"/>
    <n v="11.16"/>
    <n v="63"/>
    <n v="0"/>
    <n v="20"/>
    <s v="Successful"/>
    <n v="1"/>
    <n v="54.6"/>
  </r>
  <r>
    <x v="84"/>
    <n v="4"/>
    <s v="P109"/>
    <x v="112"/>
    <x v="2"/>
    <s v="Batter"/>
    <s v="Top Order"/>
    <n v="16"/>
    <n v="15"/>
    <n v="106.67"/>
    <s v="caught"/>
    <n v="20"/>
    <n v="0"/>
    <n v="0"/>
    <n v="0"/>
    <n v="0"/>
    <n v="0"/>
    <n v="0"/>
    <n v="0"/>
    <n v="0"/>
    <n v="20"/>
    <n v="2"/>
    <s v="RCBW"/>
    <s v="RCBW"/>
    <s v="BCA Stadium, Kotambi"/>
    <n v="147"/>
    <n v="11.16"/>
    <n v="63"/>
    <n v="0"/>
    <n v="20"/>
    <s v="Successful"/>
    <n v="1"/>
    <n v="30.6"/>
  </r>
  <r>
    <x v="84"/>
    <n v="4"/>
    <s v="P028"/>
    <x v="27"/>
    <x v="2"/>
    <s v="WK-Batter"/>
    <s v="Middle Order"/>
    <n v="0"/>
    <n v="0"/>
    <n v="0"/>
    <s v="not out"/>
    <n v="0"/>
    <n v="0"/>
    <n v="0"/>
    <n v="0"/>
    <n v="0"/>
    <n v="0"/>
    <n v="0"/>
    <n v="0"/>
    <n v="0"/>
    <n v="0"/>
    <n v="0"/>
    <s v="RCBW"/>
    <s v="RCBW"/>
    <s v="BCA Stadium, Kotambi"/>
    <n v="147"/>
    <n v="11.16"/>
    <n v="63"/>
    <n v="0"/>
    <n v="20"/>
    <s v="Successful"/>
    <n v="1"/>
    <n v="20"/>
  </r>
  <r>
    <x v="84"/>
    <n v="4"/>
    <s v="P043"/>
    <x v="42"/>
    <x v="2"/>
    <s v="Allrounder"/>
    <s v="DNB"/>
    <n v="0"/>
    <n v="0"/>
    <n v="0"/>
    <s v="DNB"/>
    <n v="0"/>
    <n v="2"/>
    <n v="0"/>
    <n v="11"/>
    <n v="0"/>
    <n v="5.5"/>
    <n v="0"/>
    <n v="0"/>
    <n v="0"/>
    <n v="0"/>
    <n v="0"/>
    <s v="RCBW"/>
    <s v="RCBW"/>
    <s v="BCA Stadium, Kotambi"/>
    <n v="147"/>
    <n v="11.16"/>
    <n v="63"/>
    <n v="0"/>
    <n v="20"/>
    <s v="Successful"/>
    <n v="1"/>
    <n v="20"/>
  </r>
  <r>
    <x v="84"/>
    <n v="4"/>
    <s v="P083"/>
    <x v="84"/>
    <x v="2"/>
    <s v="Allrounder"/>
    <s v="DNB"/>
    <n v="0"/>
    <n v="0"/>
    <n v="0"/>
    <s v="DNB"/>
    <n v="0"/>
    <n v="4"/>
    <n v="0"/>
    <n v="22"/>
    <n v="4"/>
    <n v="5.5"/>
    <n v="80"/>
    <n v="0"/>
    <n v="0"/>
    <n v="80"/>
    <n v="8"/>
    <s v="RCBW"/>
    <s v="RCBW"/>
    <s v="BCA Stadium, Kotambi"/>
    <n v="147"/>
    <n v="11.16"/>
    <n v="63"/>
    <n v="0"/>
    <n v="20"/>
    <s v="Successful"/>
    <n v="1"/>
    <n v="62.4"/>
  </r>
  <r>
    <x v="84"/>
    <n v="4"/>
    <s v="P018"/>
    <x v="17"/>
    <x v="2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RCBW"/>
    <s v="RCBW"/>
    <s v="BCA Stadium, Kotambi"/>
    <n v="147"/>
    <n v="11.16"/>
    <n v="63"/>
    <n v="0"/>
    <n v="20"/>
    <s v="Successful"/>
    <n v="1"/>
    <n v="20"/>
  </r>
  <r>
    <x v="84"/>
    <n v="4"/>
    <s v="P041"/>
    <x v="40"/>
    <x v="2"/>
    <s v="Bowler"/>
    <s v="DNB"/>
    <n v="0"/>
    <n v="0"/>
    <n v="0"/>
    <s v="DNB"/>
    <n v="0"/>
    <n v="1"/>
    <n v="0"/>
    <n v="14"/>
    <n v="0"/>
    <n v="14"/>
    <n v="0"/>
    <n v="0"/>
    <n v="0"/>
    <n v="0"/>
    <n v="0"/>
    <s v="RCBW"/>
    <s v="RCBW"/>
    <s v="BCA Stadium, Kotambi"/>
    <n v="147"/>
    <n v="11.16"/>
    <n v="63"/>
    <n v="0"/>
    <n v="20"/>
    <s v="Successful"/>
    <n v="1"/>
    <n v="20"/>
  </r>
  <r>
    <x v="84"/>
    <n v="4"/>
    <s v="P089"/>
    <x v="89"/>
    <x v="2"/>
    <s v="Bowler"/>
    <s v="DNB"/>
    <n v="0"/>
    <n v="0"/>
    <n v="0"/>
    <s v="DNB"/>
    <n v="0"/>
    <n v="2"/>
    <n v="0"/>
    <n v="21"/>
    <n v="0"/>
    <n v="10.5"/>
    <n v="0"/>
    <n v="0"/>
    <n v="0"/>
    <n v="0"/>
    <n v="0"/>
    <s v="RCBW"/>
    <s v="RCBW"/>
    <s v="BCA Stadium, Kotambi"/>
    <n v="147"/>
    <n v="11.16"/>
    <n v="63"/>
    <n v="0"/>
    <n v="20"/>
    <s v="Successful"/>
    <n v="1"/>
    <n v="20"/>
  </r>
  <r>
    <x v="84"/>
    <n v="4"/>
    <s v="P059"/>
    <x v="58"/>
    <x v="2"/>
    <s v="Allrounder"/>
    <s v="DNB"/>
    <n v="0"/>
    <n v="0"/>
    <n v="0"/>
    <s v="DNB"/>
    <n v="0"/>
    <n v="4"/>
    <n v="0"/>
    <n v="27"/>
    <n v="1"/>
    <n v="6.8"/>
    <n v="25"/>
    <n v="0"/>
    <n v="0"/>
    <n v="25"/>
    <n v="3"/>
    <s v="RCBW"/>
    <s v="RCBW"/>
    <s v="BCA Stadium, Kotambi"/>
    <n v="147"/>
    <n v="11.16"/>
    <n v="63"/>
    <n v="0"/>
    <n v="20"/>
    <s v="Successful"/>
    <n v="1"/>
    <n v="33.4"/>
  </r>
  <r>
    <x v="84"/>
    <n v="4"/>
    <s v="P113"/>
    <x v="118"/>
    <x v="2"/>
    <s v="Bowler"/>
    <s v="DNB"/>
    <n v="0"/>
    <n v="0"/>
    <n v="0"/>
    <s v="DNB"/>
    <n v="0"/>
    <n v="4"/>
    <n v="0"/>
    <n v="21"/>
    <n v="1"/>
    <n v="5.2"/>
    <n v="25"/>
    <n v="0"/>
    <n v="0"/>
    <n v="25"/>
    <n v="3"/>
    <s v="RCBW"/>
    <s v="RCBW"/>
    <s v="BCA Stadium, Kotambi"/>
    <n v="147"/>
    <n v="11.16"/>
    <n v="63"/>
    <n v="0"/>
    <n v="20"/>
    <s v="Successful"/>
    <n v="1"/>
    <n v="33.4"/>
  </r>
  <r>
    <x v="85"/>
    <n v="4"/>
    <s v="P001"/>
    <x v="0"/>
    <x v="0"/>
    <s v="WK-Batter"/>
    <s v="Opener"/>
    <n v="5"/>
    <n v="8"/>
    <n v="62.5"/>
    <s v="caught"/>
    <n v="5"/>
    <n v="0"/>
    <n v="0"/>
    <n v="0"/>
    <n v="0"/>
    <n v="0"/>
    <n v="0"/>
    <n v="0"/>
    <n v="0"/>
    <n v="5"/>
    <n v="1"/>
    <s v="GGTW"/>
    <s v="GGTW"/>
    <s v="BCA Stadium, Kotambi"/>
    <n v="167"/>
    <n v="8.35"/>
    <n v="48"/>
    <n v="42"/>
    <n v="33"/>
    <s v="NA"/>
    <n v="1"/>
    <n v="22.8"/>
  </r>
  <r>
    <x v="85"/>
    <n v="4"/>
    <s v="P024"/>
    <x v="23"/>
    <x v="0"/>
    <s v="Allrounder"/>
    <s v="Top Order"/>
    <n v="25"/>
    <n v="21"/>
    <n v="119.05"/>
    <s v="caught"/>
    <n v="30"/>
    <n v="4"/>
    <n v="1"/>
    <n v="23"/>
    <n v="2"/>
    <n v="5.8"/>
    <n v="50"/>
    <n v="0"/>
    <n v="0"/>
    <n v="80"/>
    <n v="8"/>
    <s v="GGTW"/>
    <s v="GGTW"/>
    <s v="BCA Stadium, Kotambi"/>
    <n v="167"/>
    <n v="8.35"/>
    <n v="48"/>
    <n v="42"/>
    <n v="33"/>
    <s v="NA"/>
    <n v="1"/>
    <n v="62.4"/>
  </r>
  <r>
    <x v="85"/>
    <n v="4"/>
    <s v="P115"/>
    <x v="119"/>
    <x v="0"/>
    <s v="Batter"/>
    <s v="Top Order"/>
    <n v="33"/>
    <n v="31"/>
    <n v="106.45"/>
    <s v="caught"/>
    <n v="35"/>
    <n v="0"/>
    <n v="0"/>
    <n v="0"/>
    <n v="0"/>
    <n v="0"/>
    <n v="0"/>
    <n v="0"/>
    <n v="0"/>
    <n v="35"/>
    <n v="4"/>
    <s v="GGTW"/>
    <s v="GGTW"/>
    <s v="BCA Stadium, Kotambi"/>
    <n v="167"/>
    <n v="8.35"/>
    <n v="48"/>
    <n v="42"/>
    <n v="33"/>
    <s v="NA"/>
    <n v="1"/>
    <n v="38.700000000000003"/>
  </r>
  <r>
    <x v="85"/>
    <n v="4"/>
    <s v="P004"/>
    <x v="3"/>
    <x v="0"/>
    <s v="Allrounder"/>
    <s v="Middle Order"/>
    <n v="46"/>
    <n v="28"/>
    <n v="164.29"/>
    <s v="stumped"/>
    <n v="55"/>
    <n v="3"/>
    <n v="0"/>
    <n v="26"/>
    <n v="1"/>
    <n v="8.6999999999999993"/>
    <n v="25"/>
    <n v="0"/>
    <n v="0"/>
    <n v="80"/>
    <n v="8"/>
    <s v="GGTW"/>
    <s v="GGTW"/>
    <s v="BCA Stadium, Kotambi"/>
    <n v="167"/>
    <n v="8.35"/>
    <n v="48"/>
    <n v="42"/>
    <n v="33"/>
    <s v="NA"/>
    <n v="1"/>
    <n v="62.4"/>
  </r>
  <r>
    <x v="85"/>
    <n v="4"/>
    <s v="P007"/>
    <x v="6"/>
    <x v="0"/>
    <s v="Allrounder"/>
    <s v="Middle Order"/>
    <n v="44"/>
    <n v="26"/>
    <n v="169.23"/>
    <s v="not out"/>
    <n v="50"/>
    <n v="4"/>
    <n v="0"/>
    <n v="26"/>
    <n v="2"/>
    <n v="6.5"/>
    <n v="50"/>
    <n v="0"/>
    <n v="0"/>
    <n v="100"/>
    <n v="10"/>
    <s v="GGTW"/>
    <s v="GGTW"/>
    <s v="BCA Stadium, Kotambi"/>
    <n v="167"/>
    <n v="8.35"/>
    <n v="48"/>
    <n v="42"/>
    <n v="33"/>
    <s v="NA"/>
    <n v="1"/>
    <n v="73"/>
  </r>
  <r>
    <x v="85"/>
    <n v="4"/>
    <s v="P093"/>
    <x v="93"/>
    <x v="0"/>
    <s v="Batter"/>
    <s v="Middle Order"/>
    <n v="5"/>
    <n v="6"/>
    <n v="83.33"/>
    <s v="not out"/>
    <n v="5"/>
    <n v="0"/>
    <n v="0"/>
    <n v="0"/>
    <n v="0"/>
    <n v="0"/>
    <n v="0"/>
    <n v="0"/>
    <n v="0"/>
    <n v="5"/>
    <n v="1"/>
    <s v="GGTW"/>
    <s v="GGTW"/>
    <s v="BCA Stadium, Kotambi"/>
    <n v="167"/>
    <n v="8.35"/>
    <n v="48"/>
    <n v="42"/>
    <n v="33"/>
    <s v="NA"/>
    <n v="1"/>
    <n v="22.8"/>
  </r>
  <r>
    <x v="85"/>
    <n v="4"/>
    <s v="P029"/>
    <x v="28"/>
    <x v="0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GGTW"/>
    <s v="GGTW"/>
    <s v="BCA Stadium, Kotambi"/>
    <n v="167"/>
    <n v="8.35"/>
    <n v="48"/>
    <n v="42"/>
    <n v="33"/>
    <s v="NA"/>
    <n v="1"/>
    <n v="20"/>
  </r>
  <r>
    <x v="85"/>
    <n v="4"/>
    <s v="P098"/>
    <x v="98"/>
    <x v="0"/>
    <s v="Bowler"/>
    <s v="DNB"/>
    <n v="0"/>
    <n v="0"/>
    <n v="0"/>
    <s v="DNB"/>
    <n v="0"/>
    <n v="2"/>
    <n v="0"/>
    <n v="12"/>
    <n v="1"/>
    <n v="6"/>
    <n v="25"/>
    <n v="0"/>
    <n v="0"/>
    <n v="25"/>
    <n v="3"/>
    <s v="GGTW"/>
    <s v="GGTW"/>
    <s v="BCA Stadium, Kotambi"/>
    <n v="167"/>
    <n v="8.35"/>
    <n v="48"/>
    <n v="42"/>
    <n v="33"/>
    <s v="NA"/>
    <n v="1"/>
    <n v="33.4"/>
  </r>
  <r>
    <x v="85"/>
    <n v="4"/>
    <s v="P009"/>
    <x v="8"/>
    <x v="0"/>
    <s v="Bowler"/>
    <s v="DNB"/>
    <n v="0"/>
    <n v="0"/>
    <n v="0"/>
    <s v="DNB"/>
    <n v="0"/>
    <n v="1"/>
    <n v="0"/>
    <n v="11"/>
    <n v="0"/>
    <n v="11"/>
    <n v="0"/>
    <n v="0"/>
    <n v="0"/>
    <n v="0"/>
    <n v="0"/>
    <s v="GGTW"/>
    <s v="GGTW"/>
    <s v="BCA Stadium, Kotambi"/>
    <n v="167"/>
    <n v="8.35"/>
    <n v="48"/>
    <n v="42"/>
    <n v="33"/>
    <s v="NA"/>
    <n v="1"/>
    <n v="20"/>
  </r>
  <r>
    <x v="85"/>
    <n v="4"/>
    <s v="P033"/>
    <x v="32"/>
    <x v="0"/>
    <s v="Bowler"/>
    <s v="DNB"/>
    <n v="0"/>
    <n v="0"/>
    <n v="0"/>
    <s v="DNB"/>
    <n v="0"/>
    <n v="2"/>
    <n v="0"/>
    <n v="11"/>
    <n v="0"/>
    <n v="5.5"/>
    <n v="0"/>
    <n v="0"/>
    <n v="0"/>
    <n v="0"/>
    <n v="0"/>
    <s v="GGTW"/>
    <s v="GGTW"/>
    <s v="BCA Stadium, Kotambi"/>
    <n v="167"/>
    <n v="8.35"/>
    <n v="48"/>
    <n v="42"/>
    <n v="33"/>
    <s v="NA"/>
    <n v="1"/>
    <n v="20"/>
  </r>
  <r>
    <x v="85"/>
    <n v="4"/>
    <s v="P055"/>
    <x v="54"/>
    <x v="0"/>
    <s v="Bowler"/>
    <s v="DNB"/>
    <n v="0"/>
    <n v="0"/>
    <n v="0"/>
    <s v="DNB"/>
    <n v="0"/>
    <n v="4"/>
    <n v="0"/>
    <n v="46"/>
    <n v="1"/>
    <n v="11.5"/>
    <n v="25"/>
    <n v="0"/>
    <n v="0"/>
    <n v="25"/>
    <n v="3"/>
    <s v="GGTW"/>
    <s v="GGTW"/>
    <s v="BCA Stadium, Kotambi"/>
    <n v="167"/>
    <n v="8.35"/>
    <n v="48"/>
    <n v="42"/>
    <n v="33"/>
    <s v="NA"/>
    <n v="1"/>
    <n v="33.4"/>
  </r>
  <r>
    <x v="85"/>
    <n v="4"/>
    <s v="P072"/>
    <x v="72"/>
    <x v="1"/>
    <s v="Allrounder"/>
    <s v="Opener"/>
    <n v="26"/>
    <n v="25"/>
    <n v="104"/>
    <s v="caught"/>
    <n v="30"/>
    <n v="0"/>
    <n v="0"/>
    <n v="0"/>
    <n v="0"/>
    <n v="0"/>
    <n v="0"/>
    <n v="0"/>
    <n v="0"/>
    <n v="30"/>
    <n v="3"/>
    <s v="GGTW"/>
    <s v="GGTW"/>
    <s v="BCA Stadium, Kotambi"/>
    <n v="156"/>
    <n v="7.8"/>
    <n v="33"/>
    <n v="46"/>
    <n v="34"/>
    <s v="Failed"/>
    <n v="0"/>
    <n v="15.9"/>
  </r>
  <r>
    <x v="85"/>
    <n v="4"/>
    <s v="P012"/>
    <x v="11"/>
    <x v="1"/>
    <s v="Allrounder"/>
    <s v="Top Order"/>
    <n v="6"/>
    <n v="8"/>
    <n v="75"/>
    <s v="bowled"/>
    <n v="5"/>
    <n v="4"/>
    <n v="0"/>
    <n v="40"/>
    <n v="0"/>
    <n v="10"/>
    <n v="0"/>
    <n v="0"/>
    <n v="0"/>
    <n v="5"/>
    <n v="1"/>
    <s v="GGTW"/>
    <s v="GGTW"/>
    <s v="BCA Stadium, Kotambi"/>
    <n v="156"/>
    <n v="7.8"/>
    <n v="33"/>
    <n v="46"/>
    <n v="34"/>
    <s v="Failed"/>
    <n v="0"/>
    <n v="2.8"/>
  </r>
  <r>
    <x v="85"/>
    <n v="4"/>
    <s v="P015"/>
    <x v="14"/>
    <x v="1"/>
    <s v="Allrounder"/>
    <s v="Top Order"/>
    <n v="2"/>
    <n v="6"/>
    <n v="33.33"/>
    <s v="caught"/>
    <n v="0"/>
    <n v="4"/>
    <n v="0"/>
    <n v="36"/>
    <n v="1"/>
    <n v="9"/>
    <n v="25"/>
    <n v="0"/>
    <n v="0"/>
    <n v="25"/>
    <n v="3"/>
    <s v="GGTW"/>
    <s v="GGTW"/>
    <s v="BCA Stadium, Kotambi"/>
    <n v="156"/>
    <n v="7.8"/>
    <n v="33"/>
    <n v="46"/>
    <n v="34"/>
    <s v="Failed"/>
    <n v="0"/>
    <n v="13.4"/>
  </r>
  <r>
    <x v="85"/>
    <n v="4"/>
    <s v="P014"/>
    <x v="13"/>
    <x v="1"/>
    <s v="Allrounder"/>
    <s v="Middle Order"/>
    <n v="82"/>
    <n v="48"/>
    <n v="170.83"/>
    <s v="not out"/>
    <n v="95"/>
    <n v="0"/>
    <n v="0"/>
    <n v="0"/>
    <n v="0"/>
    <n v="0"/>
    <n v="0"/>
    <n v="0"/>
    <n v="0"/>
    <n v="95"/>
    <n v="10"/>
    <s v="GGTW"/>
    <s v="GGTW"/>
    <s v="BCA Stadium, Kotambi"/>
    <n v="156"/>
    <n v="7.8"/>
    <n v="33"/>
    <n v="46"/>
    <n v="34"/>
    <s v="Failed"/>
    <n v="0"/>
    <n v="50.5"/>
  </r>
  <r>
    <x v="85"/>
    <n v="4"/>
    <s v="P016"/>
    <x v="15"/>
    <x v="1"/>
    <s v="Allrounder"/>
    <s v="Middle Order"/>
    <n v="20"/>
    <n v="16"/>
    <n v="125"/>
    <s v="caught"/>
    <n v="25"/>
    <n v="4"/>
    <n v="0"/>
    <n v="26"/>
    <n v="2"/>
    <n v="6.5"/>
    <n v="50"/>
    <n v="0"/>
    <n v="0"/>
    <n v="75"/>
    <n v="8"/>
    <s v="GGTW"/>
    <s v="GGTW"/>
    <s v="BCA Stadium, Kotambi"/>
    <n v="156"/>
    <n v="7.8"/>
    <n v="33"/>
    <n v="46"/>
    <n v="34"/>
    <s v="Failed"/>
    <n v="0"/>
    <n v="39.9"/>
  </r>
  <r>
    <x v="85"/>
    <n v="4"/>
    <s v="P017"/>
    <x v="16"/>
    <x v="1"/>
    <s v="Allrounder"/>
    <s v="Middle Order"/>
    <n v="13"/>
    <n v="12"/>
    <n v="108.33"/>
    <s v="stumped"/>
    <n v="15"/>
    <n v="2"/>
    <n v="0"/>
    <n v="13"/>
    <n v="0"/>
    <n v="6.5"/>
    <n v="0"/>
    <n v="0"/>
    <n v="0"/>
    <n v="15"/>
    <n v="2"/>
    <s v="GGTW"/>
    <s v="GGTW"/>
    <s v="BCA Stadium, Kotambi"/>
    <n v="156"/>
    <n v="7.8"/>
    <n v="33"/>
    <n v="46"/>
    <n v="34"/>
    <s v="Failed"/>
    <n v="0"/>
    <n v="8.1"/>
  </r>
  <r>
    <x v="85"/>
    <n v="4"/>
    <s v="P102"/>
    <x v="103"/>
    <x v="1"/>
    <s v="Bowler"/>
    <s v="Middle Order"/>
    <n v="0"/>
    <n v="1"/>
    <n v="0"/>
    <s v="lbw"/>
    <n v="0"/>
    <n v="0"/>
    <n v="0"/>
    <n v="0"/>
    <n v="0"/>
    <n v="0"/>
    <n v="0"/>
    <n v="0"/>
    <n v="0"/>
    <n v="0"/>
    <n v="0"/>
    <s v="GGTW"/>
    <s v="GGTW"/>
    <s v="BCA Stadium, Kotambi"/>
    <n v="156"/>
    <n v="7.8"/>
    <n v="33"/>
    <n v="46"/>
    <n v="34"/>
    <s v="Failed"/>
    <n v="0"/>
    <n v="0"/>
  </r>
  <r>
    <x v="85"/>
    <n v="4"/>
    <s v="P061"/>
    <x v="60"/>
    <x v="1"/>
    <s v="Allrounder"/>
    <s v="Middle Order"/>
    <n v="2"/>
    <n v="3"/>
    <n v="66.67"/>
    <s v="caught"/>
    <n v="0"/>
    <n v="0"/>
    <n v="0"/>
    <n v="0"/>
    <n v="0"/>
    <n v="0"/>
    <n v="0"/>
    <n v="0"/>
    <n v="0"/>
    <n v="0"/>
    <n v="0"/>
    <s v="GGTW"/>
    <s v="GGTW"/>
    <s v="BCA Stadium, Kotambi"/>
    <n v="156"/>
    <n v="7.8"/>
    <n v="33"/>
    <n v="46"/>
    <n v="34"/>
    <s v="Failed"/>
    <n v="0"/>
    <n v="0"/>
  </r>
  <r>
    <x v="85"/>
    <n v="4"/>
    <s v="P129"/>
    <x v="132"/>
    <x v="1"/>
    <s v="WK-Batter"/>
    <s v="Middle Order"/>
    <n v="1"/>
    <n v="1"/>
    <n v="100"/>
    <s v="not out"/>
    <n v="5"/>
    <n v="0"/>
    <n v="0"/>
    <n v="0"/>
    <n v="0"/>
    <n v="0"/>
    <n v="0"/>
    <n v="0"/>
    <n v="0"/>
    <n v="5"/>
    <n v="1"/>
    <s v="GGTW"/>
    <s v="GGTW"/>
    <s v="BCA Stadium, Kotambi"/>
    <n v="156"/>
    <n v="7.8"/>
    <n v="33"/>
    <n v="46"/>
    <n v="34"/>
    <s v="Failed"/>
    <n v="0"/>
    <n v="2.8"/>
  </r>
  <r>
    <x v="85"/>
    <n v="4"/>
    <s v="P131"/>
    <x v="133"/>
    <x v="1"/>
    <s v="Allrounder"/>
    <s v="DNB"/>
    <n v="0"/>
    <n v="0"/>
    <n v="0"/>
    <s v="DNB"/>
    <n v="0"/>
    <n v="2"/>
    <n v="0"/>
    <n v="21"/>
    <n v="0"/>
    <n v="10.5"/>
    <n v="0"/>
    <n v="0"/>
    <n v="0"/>
    <n v="0"/>
    <n v="0"/>
    <s v="GGTW"/>
    <s v="GGTW"/>
    <s v="BCA Stadium, Kotambi"/>
    <n v="156"/>
    <n v="7.8"/>
    <n v="33"/>
    <n v="46"/>
    <n v="34"/>
    <s v="Failed"/>
    <n v="0"/>
    <n v="0"/>
  </r>
  <r>
    <x v="85"/>
    <n v="4"/>
    <s v="P060"/>
    <x v="59"/>
    <x v="1"/>
    <s v="Bowler"/>
    <s v="DNB"/>
    <n v="0"/>
    <n v="0"/>
    <n v="0"/>
    <s v="DNB"/>
    <n v="0"/>
    <n v="4"/>
    <n v="0"/>
    <n v="29"/>
    <n v="1"/>
    <n v="7.2"/>
    <n v="25"/>
    <n v="0"/>
    <n v="0"/>
    <n v="25"/>
    <n v="3"/>
    <s v="GGTW"/>
    <s v="GGTW"/>
    <s v="BCA Stadium, Kotambi"/>
    <n v="156"/>
    <n v="7.8"/>
    <n v="33"/>
    <n v="46"/>
    <n v="34"/>
    <s v="Failed"/>
    <n v="0"/>
    <n v="13.4"/>
  </r>
  <r>
    <x v="86"/>
    <n v="4"/>
    <s v="P035"/>
    <x v="34"/>
    <x v="4"/>
    <s v="Batter"/>
    <s v="Opener"/>
    <n v="0"/>
    <n v="1"/>
    <n v="0"/>
    <s v="lbw"/>
    <n v="0"/>
    <n v="0"/>
    <n v="0"/>
    <n v="0"/>
    <n v="0"/>
    <n v="0"/>
    <n v="0"/>
    <n v="0"/>
    <n v="0"/>
    <n v="0"/>
    <n v="0"/>
    <s v="DCW"/>
    <s v="DCW"/>
    <s v="BCA Stadium, Kotambi"/>
    <n v="122"/>
    <n v="6.1"/>
    <n v="36"/>
    <n v="30"/>
    <n v="35"/>
    <s v="NA"/>
    <n v="0"/>
    <n v="0"/>
  </r>
  <r>
    <x v="86"/>
    <n v="4"/>
    <s v="P048"/>
    <x v="47"/>
    <x v="4"/>
    <s v="Allrounder"/>
    <s v="Top Order"/>
    <n v="24"/>
    <n v="19"/>
    <n v="126.32"/>
    <s v="caught"/>
    <n v="25"/>
    <n v="3.4"/>
    <n v="0"/>
    <n v="27"/>
    <n v="2"/>
    <n v="7.4"/>
    <n v="50"/>
    <n v="0"/>
    <n v="0"/>
    <n v="75"/>
    <n v="8"/>
    <s v="DCW"/>
    <s v="DCW"/>
    <s v="BCA Stadium, Kotambi"/>
    <n v="122"/>
    <n v="6.1"/>
    <n v="36"/>
    <n v="30"/>
    <n v="35"/>
    <s v="NA"/>
    <n v="0"/>
    <n v="39.9"/>
  </r>
  <r>
    <x v="86"/>
    <n v="4"/>
    <s v="P134"/>
    <x v="136"/>
    <x v="4"/>
    <s v="Allrounder"/>
    <s v="Top Order"/>
    <n v="12"/>
    <n v="12"/>
    <n v="100"/>
    <s v="caught"/>
    <n v="15"/>
    <n v="0"/>
    <n v="0"/>
    <n v="0"/>
    <n v="0"/>
    <n v="0"/>
    <n v="0"/>
    <n v="0"/>
    <n v="0"/>
    <n v="15"/>
    <n v="2"/>
    <s v="DCW"/>
    <s v="DCW"/>
    <s v="BCA Stadium, Kotambi"/>
    <n v="122"/>
    <n v="6.1"/>
    <n v="36"/>
    <n v="30"/>
    <n v="35"/>
    <s v="NA"/>
    <n v="0"/>
    <n v="8.1"/>
  </r>
  <r>
    <x v="86"/>
    <n v="4"/>
    <s v="P003"/>
    <x v="2"/>
    <x v="4"/>
    <s v="Allrounder"/>
    <s v="Top Order"/>
    <n v="3"/>
    <n v="11"/>
    <n v="27.27"/>
    <s v="lbw"/>
    <n v="0"/>
    <n v="0"/>
    <n v="0"/>
    <n v="0"/>
    <n v="0"/>
    <n v="0"/>
    <n v="0"/>
    <n v="0"/>
    <n v="0"/>
    <n v="0"/>
    <n v="0"/>
    <s v="DCW"/>
    <s v="DCW"/>
    <s v="BCA Stadium, Kotambi"/>
    <n v="122"/>
    <n v="6.1"/>
    <n v="36"/>
    <n v="30"/>
    <n v="35"/>
    <s v="NA"/>
    <n v="0"/>
    <n v="0"/>
  </r>
  <r>
    <x v="86"/>
    <n v="4"/>
    <s v="P116"/>
    <x v="96"/>
    <x v="4"/>
    <s v="Allrounder"/>
    <s v="Middle Order"/>
    <n v="5"/>
    <n v="9"/>
    <n v="55.56"/>
    <s v="lbw"/>
    <n v="5"/>
    <n v="4"/>
    <n v="0"/>
    <n v="30"/>
    <n v="1"/>
    <n v="7.5"/>
    <n v="25"/>
    <n v="0"/>
    <n v="0"/>
    <n v="30"/>
    <n v="3"/>
    <s v="DCW"/>
    <s v="DCW"/>
    <s v="BCA Stadium, Kotambi"/>
    <n v="122"/>
    <n v="6.1"/>
    <n v="36"/>
    <n v="30"/>
    <n v="35"/>
    <s v="NA"/>
    <n v="0"/>
    <n v="15.9"/>
  </r>
  <r>
    <x v="86"/>
    <n v="4"/>
    <s v="P050"/>
    <x v="49"/>
    <x v="4"/>
    <s v="Batter"/>
    <s v="Middle Order"/>
    <n v="22"/>
    <n v="14"/>
    <n v="157.13999999999999"/>
    <s v="caught"/>
    <n v="25"/>
    <n v="0"/>
    <n v="0"/>
    <n v="0"/>
    <n v="0"/>
    <n v="0"/>
    <n v="0"/>
    <n v="0"/>
    <n v="0"/>
    <n v="25"/>
    <n v="3"/>
    <s v="DCW"/>
    <s v="DCW"/>
    <s v="BCA Stadium, Kotambi"/>
    <n v="122"/>
    <n v="6.1"/>
    <n v="36"/>
    <n v="30"/>
    <n v="35"/>
    <s v="NA"/>
    <n v="0"/>
    <n v="13.4"/>
  </r>
  <r>
    <x v="86"/>
    <n v="4"/>
    <s v="P133"/>
    <x v="137"/>
    <x v="4"/>
    <s v="WK-Batter"/>
    <s v="Middle Order"/>
    <n v="9"/>
    <n v="8"/>
    <n v="112.5"/>
    <s v="caught"/>
    <n v="10"/>
    <n v="0"/>
    <n v="0"/>
    <n v="0"/>
    <n v="0"/>
    <n v="0"/>
    <n v="0"/>
    <n v="0"/>
    <n v="0"/>
    <n v="10"/>
    <n v="1"/>
    <s v="DCW"/>
    <s v="DCW"/>
    <s v="BCA Stadium, Kotambi"/>
    <n v="122"/>
    <n v="6.1"/>
    <n v="36"/>
    <n v="30"/>
    <n v="35"/>
    <s v="NA"/>
    <n v="0"/>
    <n v="5.3"/>
  </r>
  <r>
    <x v="86"/>
    <n v="4"/>
    <s v="P053"/>
    <x v="52"/>
    <x v="4"/>
    <s v="Bowler"/>
    <s v="Middle Order"/>
    <n v="10"/>
    <n v="20"/>
    <n v="50"/>
    <s v="not out"/>
    <n v="10"/>
    <n v="4"/>
    <n v="0"/>
    <n v="20"/>
    <n v="1"/>
    <n v="5"/>
    <n v="25"/>
    <n v="0"/>
    <n v="0"/>
    <n v="35"/>
    <n v="4"/>
    <s v="DCW"/>
    <s v="DCW"/>
    <s v="BCA Stadium, Kotambi"/>
    <n v="122"/>
    <n v="6.1"/>
    <n v="36"/>
    <n v="30"/>
    <n v="35"/>
    <s v="NA"/>
    <n v="0"/>
    <n v="18.7"/>
  </r>
  <r>
    <x v="86"/>
    <n v="4"/>
    <s v="P030"/>
    <x v="29"/>
    <x v="4"/>
    <s v="Bowler"/>
    <s v="Middle Order"/>
    <n v="13"/>
    <n v="13"/>
    <n v="100"/>
    <s v="caught"/>
    <n v="15"/>
    <n v="1"/>
    <n v="0"/>
    <n v="9"/>
    <n v="0"/>
    <n v="9"/>
    <n v="0"/>
    <n v="0"/>
    <n v="0"/>
    <n v="15"/>
    <n v="2"/>
    <s v="DCW"/>
    <s v="DCW"/>
    <s v="BCA Stadium, Kotambi"/>
    <n v="122"/>
    <n v="6.1"/>
    <n v="36"/>
    <n v="30"/>
    <n v="35"/>
    <s v="NA"/>
    <n v="0"/>
    <n v="8.1"/>
  </r>
  <r>
    <x v="86"/>
    <n v="4"/>
    <s v="P042"/>
    <x v="41"/>
    <x v="4"/>
    <s v="Allrounder"/>
    <s v="Middle Order"/>
    <n v="23"/>
    <n v="13"/>
    <n v="176.92"/>
    <s v="not out"/>
    <n v="30"/>
    <n v="4"/>
    <n v="0"/>
    <n v="17"/>
    <n v="1"/>
    <n v="4.2"/>
    <n v="25"/>
    <n v="0"/>
    <n v="0"/>
    <n v="55"/>
    <n v="6"/>
    <s v="DCW"/>
    <s v="DCW"/>
    <s v="BCA Stadium, Kotambi"/>
    <n v="122"/>
    <n v="6.1"/>
    <n v="36"/>
    <n v="30"/>
    <n v="35"/>
    <s v="NA"/>
    <n v="0"/>
    <n v="29.3"/>
  </r>
  <r>
    <x v="86"/>
    <n v="4"/>
    <s v="P104"/>
    <x v="107"/>
    <x v="4"/>
    <s v="Bowler"/>
    <s v="DNB"/>
    <n v="0"/>
    <n v="0"/>
    <n v="0"/>
    <s v="DNB"/>
    <n v="0"/>
    <n v="2"/>
    <n v="0"/>
    <n v="22"/>
    <n v="0"/>
    <n v="11"/>
    <n v="0"/>
    <n v="0"/>
    <n v="0"/>
    <n v="0"/>
    <n v="0"/>
    <s v="DCW"/>
    <s v="DCW"/>
    <s v="BCA Stadium, Kotambi"/>
    <n v="122"/>
    <n v="6.1"/>
    <n v="36"/>
    <n v="30"/>
    <n v="35"/>
    <s v="NA"/>
    <n v="0"/>
    <n v="0"/>
  </r>
  <r>
    <x v="86"/>
    <n v="4"/>
    <s v="P117"/>
    <x v="121"/>
    <x v="3"/>
    <s v="WK-Batter"/>
    <s v="Opener"/>
    <n v="10"/>
    <n v="10"/>
    <n v="100"/>
    <s v="caught"/>
    <n v="15"/>
    <n v="0"/>
    <n v="0"/>
    <n v="0"/>
    <n v="0"/>
    <n v="0"/>
    <n v="0"/>
    <n v="0"/>
    <n v="0"/>
    <n v="15"/>
    <n v="2"/>
    <s v="DCW"/>
    <s v="DCW"/>
    <s v="BCA Stadium, Kotambi"/>
    <n v="126"/>
    <n v="6.75"/>
    <n v="38"/>
    <n v="26"/>
    <n v="29"/>
    <s v="Successful"/>
    <n v="1"/>
    <n v="28.1"/>
  </r>
  <r>
    <x v="86"/>
    <n v="4"/>
    <s v="P034"/>
    <x v="33"/>
    <x v="3"/>
    <s v="Batter"/>
    <s v="Opener"/>
    <n v="29"/>
    <n v="33"/>
    <n v="87.88"/>
    <s v="caught"/>
    <n v="30"/>
    <n v="0"/>
    <n v="0"/>
    <n v="0"/>
    <n v="0"/>
    <n v="0"/>
    <n v="0"/>
    <n v="0"/>
    <n v="0"/>
    <n v="30"/>
    <n v="3"/>
    <s v="DCW"/>
    <s v="DCW"/>
    <s v="BCA Stadium, Kotambi"/>
    <n v="126"/>
    <n v="6.75"/>
    <n v="38"/>
    <n v="26"/>
    <n v="29"/>
    <s v="Successful"/>
    <n v="1"/>
    <n v="35.9"/>
  </r>
  <r>
    <x v="86"/>
    <n v="4"/>
    <s v="P066"/>
    <x v="65"/>
    <x v="3"/>
    <s v="Batter"/>
    <s v="Top Order"/>
    <n v="47"/>
    <n v="36"/>
    <n v="130.56"/>
    <s v="caught"/>
    <n v="50"/>
    <n v="0"/>
    <n v="0"/>
    <n v="0"/>
    <n v="0"/>
    <n v="0"/>
    <n v="0"/>
    <n v="0"/>
    <n v="0"/>
    <n v="50"/>
    <n v="5"/>
    <s v="DCW"/>
    <s v="DCW"/>
    <s v="BCA Stadium, Kotambi"/>
    <n v="126"/>
    <n v="6.75"/>
    <n v="38"/>
    <n v="26"/>
    <n v="29"/>
    <s v="Successful"/>
    <n v="1"/>
    <n v="46.5"/>
  </r>
  <r>
    <x v="86"/>
    <n v="4"/>
    <s v="P037"/>
    <x v="36"/>
    <x v="3"/>
    <s v="Batter"/>
    <s v="Top Order"/>
    <n v="34"/>
    <n v="18"/>
    <n v="188.89"/>
    <s v="not out"/>
    <n v="40"/>
    <n v="0"/>
    <n v="0"/>
    <n v="0"/>
    <n v="0"/>
    <n v="0"/>
    <n v="0"/>
    <n v="0"/>
    <n v="0"/>
    <n v="40"/>
    <n v="4"/>
    <s v="DCW"/>
    <s v="DCW"/>
    <s v="BCA Stadium, Kotambi"/>
    <n v="126"/>
    <n v="6.75"/>
    <n v="38"/>
    <n v="26"/>
    <n v="29"/>
    <s v="Successful"/>
    <n v="1"/>
    <n v="41.2"/>
  </r>
  <r>
    <x v="86"/>
    <n v="4"/>
    <s v="P036"/>
    <x v="35"/>
    <x v="3"/>
    <s v="Allrounder"/>
    <s v="Middle Order"/>
    <n v="0"/>
    <n v="5"/>
    <n v="0"/>
    <s v="caught"/>
    <n v="0"/>
    <n v="4"/>
    <n v="0"/>
    <n v="30"/>
    <n v="3"/>
    <n v="7.5"/>
    <n v="60"/>
    <n v="0"/>
    <n v="0"/>
    <n v="60"/>
    <n v="6"/>
    <s v="DCW"/>
    <s v="DCW"/>
    <s v="BCA Stadium, Kotambi"/>
    <n v="126"/>
    <n v="6.75"/>
    <n v="38"/>
    <n v="26"/>
    <n v="29"/>
    <s v="Successful"/>
    <n v="1"/>
    <n v="51.8"/>
  </r>
  <r>
    <x v="86"/>
    <n v="4"/>
    <s v="P107"/>
    <x v="110"/>
    <x v="3"/>
    <s v="Allrounder"/>
    <s v="Middle Order"/>
    <n v="1"/>
    <n v="4"/>
    <n v="25"/>
    <s v="caught"/>
    <n v="0"/>
    <n v="4"/>
    <n v="0"/>
    <n v="25"/>
    <n v="2"/>
    <n v="6.2"/>
    <n v="40"/>
    <n v="0"/>
    <n v="0"/>
    <n v="40"/>
    <n v="4"/>
    <s v="DCW"/>
    <s v="DCW"/>
    <s v="BCA Stadium, Kotambi"/>
    <n v="126"/>
    <n v="6.75"/>
    <n v="38"/>
    <n v="26"/>
    <n v="29"/>
    <s v="Successful"/>
    <n v="1"/>
    <n v="41.2"/>
  </r>
  <r>
    <x v="86"/>
    <n v="4"/>
    <s v="P100"/>
    <x v="104"/>
    <x v="3"/>
    <s v="Allrounder"/>
    <s v="Middle Order"/>
    <n v="4"/>
    <n v="6"/>
    <n v="66.67"/>
    <s v="not out"/>
    <n v="5"/>
    <n v="0"/>
    <n v="0"/>
    <n v="0"/>
    <n v="0"/>
    <n v="0"/>
    <n v="0"/>
    <n v="0"/>
    <n v="0"/>
    <n v="5"/>
    <n v="1"/>
    <s v="DCW"/>
    <s v="DCW"/>
    <s v="BCA Stadium, Kotambi"/>
    <n v="126"/>
    <n v="6.75"/>
    <n v="38"/>
    <n v="26"/>
    <n v="29"/>
    <s v="Successful"/>
    <n v="1"/>
    <n v="22.8"/>
  </r>
  <r>
    <x v="86"/>
    <n v="4"/>
    <s v="P008"/>
    <x v="7"/>
    <x v="3"/>
    <s v="Allrounder"/>
    <s v="DNB"/>
    <n v="0"/>
    <n v="0"/>
    <n v="0"/>
    <s v="DNB"/>
    <n v="0"/>
    <n v="2"/>
    <n v="0"/>
    <n v="11"/>
    <n v="0"/>
    <n v="5.5"/>
    <n v="0"/>
    <n v="0"/>
    <n v="0"/>
    <n v="0"/>
    <n v="0"/>
    <s v="DCW"/>
    <s v="DCW"/>
    <s v="BCA Stadium, Kotambi"/>
    <n v="126"/>
    <n v="6.75"/>
    <n v="38"/>
    <n v="26"/>
    <n v="29"/>
    <s v="Successful"/>
    <n v="1"/>
    <n v="20"/>
  </r>
  <r>
    <x v="86"/>
    <n v="4"/>
    <s v="P062"/>
    <x v="61"/>
    <x v="3"/>
    <s v="Allrounder"/>
    <s v="DNB"/>
    <n v="0"/>
    <n v="0"/>
    <n v="0"/>
    <s v="DNB"/>
    <n v="0"/>
    <n v="2"/>
    <n v="0"/>
    <n v="13"/>
    <n v="1"/>
    <n v="6.5"/>
    <n v="25"/>
    <n v="0"/>
    <n v="0"/>
    <n v="25"/>
    <n v="3"/>
    <s v="DCW"/>
    <s v="DCW"/>
    <s v="BCA Stadium, Kotambi"/>
    <n v="126"/>
    <n v="6.75"/>
    <n v="38"/>
    <n v="26"/>
    <n v="29"/>
    <s v="Successful"/>
    <n v="1"/>
    <n v="33.4"/>
  </r>
  <r>
    <x v="86"/>
    <n v="4"/>
    <s v="P118"/>
    <x v="122"/>
    <x v="3"/>
    <s v="Bowler"/>
    <s v="DNB"/>
    <n v="0"/>
    <n v="0"/>
    <n v="0"/>
    <s v="DNB"/>
    <n v="0"/>
    <n v="4"/>
    <n v="0"/>
    <n v="22"/>
    <n v="2"/>
    <n v="5.5"/>
    <n v="40"/>
    <n v="0"/>
    <n v="0"/>
    <n v="40"/>
    <n v="4"/>
    <s v="DCW"/>
    <s v="DCW"/>
    <s v="BCA Stadium, Kotambi"/>
    <n v="126"/>
    <n v="6.75"/>
    <n v="38"/>
    <n v="26"/>
    <n v="29"/>
    <s v="Successful"/>
    <n v="1"/>
    <n v="41.2"/>
  </r>
  <r>
    <x v="86"/>
    <n v="4"/>
    <s v="P119"/>
    <x v="123"/>
    <x v="3"/>
    <s v="Bowler"/>
    <s v="DNB"/>
    <n v="0"/>
    <n v="0"/>
    <n v="0"/>
    <s v="DNB"/>
    <n v="0"/>
    <n v="4"/>
    <n v="0"/>
    <n v="21"/>
    <n v="0"/>
    <n v="5.2"/>
    <n v="0"/>
    <n v="0"/>
    <n v="0"/>
    <n v="0"/>
    <n v="0"/>
    <s v="DCW"/>
    <s v="DCW"/>
    <s v="BCA Stadium, Kotambi"/>
    <n v="126"/>
    <n v="6.75"/>
    <n v="38"/>
    <n v="26"/>
    <n v="29"/>
    <s v="Successful"/>
    <n v="1"/>
    <n v="20"/>
  </r>
  <r>
    <x v="87"/>
    <n v="4"/>
    <s v="P001"/>
    <x v="0"/>
    <x v="0"/>
    <s v="WK-Batter"/>
    <s v="Opener"/>
    <n v="62"/>
    <n v="51"/>
    <n v="121.57"/>
    <s v="not out"/>
    <n v="70"/>
    <n v="0"/>
    <n v="0"/>
    <n v="0"/>
    <n v="0"/>
    <n v="0"/>
    <n v="0"/>
    <n v="0"/>
    <n v="0"/>
    <n v="70"/>
    <n v="7"/>
    <s v="DCW"/>
    <s v="DCW"/>
    <s v="BCA Stadium, Kotambi"/>
    <n v="168"/>
    <n v="8.4"/>
    <n v="48"/>
    <n v="49"/>
    <n v="28"/>
    <s v="NA"/>
    <n v="0"/>
    <n v="37.1"/>
  </r>
  <r>
    <x v="87"/>
    <n v="4"/>
    <s v="P024"/>
    <x v="23"/>
    <x v="0"/>
    <s v="Allrounder"/>
    <s v="Top Order"/>
    <n v="6"/>
    <n v="9"/>
    <n v="66.67"/>
    <s v="caught"/>
    <n v="5"/>
    <n v="3"/>
    <n v="0"/>
    <n v="35"/>
    <n v="0"/>
    <n v="11.7"/>
    <n v="0"/>
    <n v="0"/>
    <n v="0"/>
    <n v="5"/>
    <n v="1"/>
    <s v="DCW"/>
    <s v="DCW"/>
    <s v="BCA Stadium, Kotambi"/>
    <n v="168"/>
    <n v="8.4"/>
    <n v="48"/>
    <n v="49"/>
    <n v="28"/>
    <s v="NA"/>
    <n v="0"/>
    <n v="2.8"/>
  </r>
  <r>
    <x v="87"/>
    <n v="4"/>
    <s v="P115"/>
    <x v="119"/>
    <x v="0"/>
    <s v="Batter"/>
    <s v="Top Order"/>
    <n v="16"/>
    <n v="13"/>
    <n v="123.08"/>
    <s v="caught"/>
    <n v="20"/>
    <n v="0"/>
    <n v="0"/>
    <n v="0"/>
    <n v="0"/>
    <n v="0"/>
    <n v="0"/>
    <n v="0"/>
    <n v="0"/>
    <n v="20"/>
    <n v="2"/>
    <s v="DCW"/>
    <s v="DCW"/>
    <s v="BCA Stadium, Kotambi"/>
    <n v="168"/>
    <n v="8.4"/>
    <n v="48"/>
    <n v="49"/>
    <n v="28"/>
    <s v="NA"/>
    <n v="0"/>
    <n v="10.6"/>
  </r>
  <r>
    <x v="87"/>
    <n v="4"/>
    <s v="P004"/>
    <x v="3"/>
    <x v="0"/>
    <s v="Allrounder"/>
    <s v="Middle Order"/>
    <n v="0"/>
    <n v="1"/>
    <n v="0"/>
    <s v="caught"/>
    <n v="0"/>
    <n v="1"/>
    <n v="0"/>
    <n v="15"/>
    <n v="0"/>
    <n v="15"/>
    <n v="0"/>
    <n v="0"/>
    <n v="0"/>
    <n v="0"/>
    <n v="0"/>
    <s v="DCW"/>
    <s v="DCW"/>
    <s v="BCA Stadium, Kotambi"/>
    <n v="168"/>
    <n v="8.4"/>
    <n v="48"/>
    <n v="49"/>
    <n v="28"/>
    <s v="NA"/>
    <n v="0"/>
    <n v="0"/>
  </r>
  <r>
    <x v="87"/>
    <n v="4"/>
    <s v="P029"/>
    <x v="28"/>
    <x v="0"/>
    <s v="Allrounder"/>
    <s v="Middle Order"/>
    <n v="6"/>
    <n v="9"/>
    <n v="66.67"/>
    <s v="stumped"/>
    <n v="5"/>
    <n v="0"/>
    <n v="0"/>
    <n v="0"/>
    <n v="0"/>
    <n v="0"/>
    <n v="0"/>
    <n v="0"/>
    <n v="0"/>
    <n v="5"/>
    <n v="1"/>
    <s v="DCW"/>
    <s v="DCW"/>
    <s v="BCA Stadium, Kotambi"/>
    <n v="168"/>
    <n v="8.4"/>
    <n v="48"/>
    <n v="49"/>
    <n v="28"/>
    <s v="NA"/>
    <n v="0"/>
    <n v="2.8"/>
  </r>
  <r>
    <x v="87"/>
    <n v="4"/>
    <s v="P007"/>
    <x v="6"/>
    <x v="0"/>
    <s v="Allrounder"/>
    <s v="Middle Order"/>
    <n v="35"/>
    <n v="25"/>
    <n v="140"/>
    <s v="caught"/>
    <n v="40"/>
    <n v="3.4"/>
    <n v="0"/>
    <n v="28"/>
    <n v="2"/>
    <n v="7.6"/>
    <n v="50"/>
    <n v="0"/>
    <n v="0"/>
    <n v="90"/>
    <n v="9"/>
    <s v="DCW"/>
    <s v="DCW"/>
    <s v="BCA Stadium, Kotambi"/>
    <n v="168"/>
    <n v="8.4"/>
    <n v="48"/>
    <n v="49"/>
    <n v="28"/>
    <s v="NA"/>
    <n v="0"/>
    <n v="47.7"/>
  </r>
  <r>
    <x v="87"/>
    <n v="4"/>
    <s v="P093"/>
    <x v="93"/>
    <x v="0"/>
    <s v="Batter"/>
    <s v="Middle Order"/>
    <n v="0"/>
    <n v="2"/>
    <n v="0"/>
    <s v="caught"/>
    <n v="0"/>
    <n v="0"/>
    <n v="0"/>
    <n v="0"/>
    <n v="0"/>
    <n v="0"/>
    <n v="0"/>
    <n v="0"/>
    <n v="0"/>
    <n v="0"/>
    <n v="0"/>
    <s v="DCW"/>
    <s v="DCW"/>
    <s v="BCA Stadium, Kotambi"/>
    <n v="168"/>
    <n v="8.4"/>
    <n v="48"/>
    <n v="49"/>
    <n v="28"/>
    <s v="NA"/>
    <n v="0"/>
    <n v="0"/>
  </r>
  <r>
    <x v="87"/>
    <n v="4"/>
    <s v="P098"/>
    <x v="98"/>
    <x v="0"/>
    <s v="Bowler"/>
    <s v="Middle Order"/>
    <n v="18"/>
    <n v="10"/>
    <n v="180"/>
    <s v="run out"/>
    <n v="20"/>
    <n v="2"/>
    <n v="0"/>
    <n v="17"/>
    <n v="0"/>
    <n v="8.5"/>
    <n v="0"/>
    <n v="0"/>
    <n v="0"/>
    <n v="20"/>
    <n v="2"/>
    <s v="DCW"/>
    <s v="DCW"/>
    <s v="BCA Stadium, Kotambi"/>
    <n v="168"/>
    <n v="8.4"/>
    <n v="48"/>
    <n v="49"/>
    <n v="28"/>
    <s v="NA"/>
    <n v="0"/>
    <n v="10.6"/>
  </r>
  <r>
    <x v="87"/>
    <n v="4"/>
    <s v="P009"/>
    <x v="8"/>
    <x v="0"/>
    <s v="Bowler"/>
    <s v="Middle Order"/>
    <n v="0"/>
    <n v="0"/>
    <n v="0"/>
    <s v="not out"/>
    <n v="0"/>
    <n v="1"/>
    <n v="0"/>
    <n v="5"/>
    <n v="0"/>
    <n v="5"/>
    <n v="0"/>
    <n v="0"/>
    <n v="0"/>
    <n v="0"/>
    <n v="0"/>
    <s v="DCW"/>
    <s v="DCW"/>
    <s v="BCA Stadium, Kotambi"/>
    <n v="168"/>
    <n v="8.4"/>
    <n v="48"/>
    <n v="49"/>
    <n v="28"/>
    <s v="NA"/>
    <n v="0"/>
    <n v="0"/>
  </r>
  <r>
    <x v="87"/>
    <n v="4"/>
    <s v="P033"/>
    <x v="32"/>
    <x v="0"/>
    <s v="Bowler"/>
    <s v="DNB"/>
    <n v="0"/>
    <n v="0"/>
    <n v="0"/>
    <s v="DNB"/>
    <n v="0"/>
    <n v="2"/>
    <n v="0"/>
    <n v="27"/>
    <n v="0"/>
    <n v="13.5"/>
    <n v="0"/>
    <n v="0"/>
    <n v="0"/>
    <n v="0"/>
    <n v="0"/>
    <s v="DCW"/>
    <s v="DCW"/>
    <s v="BCA Stadium, Kotambi"/>
    <n v="168"/>
    <n v="8.4"/>
    <n v="48"/>
    <n v="49"/>
    <n v="28"/>
    <s v="NA"/>
    <n v="0"/>
    <n v="0"/>
  </r>
  <r>
    <x v="87"/>
    <n v="4"/>
    <s v="P055"/>
    <x v="54"/>
    <x v="0"/>
    <s v="Bowler"/>
    <s v="DNB"/>
    <n v="0"/>
    <n v="0"/>
    <n v="0"/>
    <s v="DNB"/>
    <n v="0"/>
    <n v="3"/>
    <n v="0"/>
    <n v="33"/>
    <n v="1"/>
    <n v="11"/>
    <n v="25"/>
    <n v="0"/>
    <n v="0"/>
    <n v="25"/>
    <n v="3"/>
    <s v="DCW"/>
    <s v="DCW"/>
    <s v="BCA Stadium, Kotambi"/>
    <n v="168"/>
    <n v="8.4"/>
    <n v="48"/>
    <n v="49"/>
    <n v="28"/>
    <s v="NA"/>
    <n v="0"/>
    <n v="13.4"/>
  </r>
  <r>
    <x v="87"/>
    <n v="4"/>
    <s v="P117"/>
    <x v="121"/>
    <x v="3"/>
    <s v="WK-Batter"/>
    <s v="Opener"/>
    <n v="43"/>
    <n v="24"/>
    <n v="179.17"/>
    <s v="lbw"/>
    <n v="45"/>
    <n v="0"/>
    <n v="0"/>
    <n v="0"/>
    <n v="0"/>
    <n v="0"/>
    <n v="0"/>
    <n v="0"/>
    <n v="0"/>
    <n v="45"/>
    <n v="5"/>
    <s v="DCW"/>
    <s v="DCW"/>
    <s v="BCA Stadium, Kotambi"/>
    <n v="169"/>
    <n v="10.79"/>
    <n v="75"/>
    <n v="0"/>
    <n v="23"/>
    <s v="Successful"/>
    <n v="1"/>
    <n v="44"/>
  </r>
  <r>
    <x v="87"/>
    <n v="4"/>
    <s v="P034"/>
    <x v="33"/>
    <x v="3"/>
    <s v="Batter"/>
    <s v="Opener"/>
    <n v="31"/>
    <n v="21"/>
    <n v="147.62"/>
    <s v="bowled"/>
    <n v="35"/>
    <n v="0"/>
    <n v="0"/>
    <n v="0"/>
    <n v="0"/>
    <n v="0"/>
    <n v="0"/>
    <n v="0"/>
    <n v="0"/>
    <n v="35"/>
    <n v="4"/>
    <s v="DCW"/>
    <s v="DCW"/>
    <s v="BCA Stadium, Kotambi"/>
    <n v="169"/>
    <n v="10.79"/>
    <n v="75"/>
    <n v="0"/>
    <n v="23"/>
    <s v="Successful"/>
    <n v="1"/>
    <n v="38.700000000000003"/>
  </r>
  <r>
    <x v="87"/>
    <n v="4"/>
    <s v="P066"/>
    <x v="65"/>
    <x v="3"/>
    <s v="Batter"/>
    <s v="Top Order"/>
    <n v="32"/>
    <n v="24"/>
    <n v="133.33000000000001"/>
    <s v="not out"/>
    <n v="35"/>
    <n v="0"/>
    <n v="0"/>
    <n v="0"/>
    <n v="0"/>
    <n v="0"/>
    <n v="0"/>
    <n v="0"/>
    <n v="0"/>
    <n v="35"/>
    <n v="4"/>
    <s v="DCW"/>
    <s v="DCW"/>
    <s v="BCA Stadium, Kotambi"/>
    <n v="169"/>
    <n v="10.79"/>
    <n v="75"/>
    <n v="0"/>
    <n v="23"/>
    <s v="Successful"/>
    <n v="1"/>
    <n v="38.700000000000003"/>
  </r>
  <r>
    <x v="87"/>
    <n v="4"/>
    <s v="P037"/>
    <x v="36"/>
    <x v="3"/>
    <s v="Batter"/>
    <s v="Top Order"/>
    <n v="41"/>
    <n v="23"/>
    <n v="178.26"/>
    <s v="caught"/>
    <n v="45"/>
    <n v="0"/>
    <n v="0"/>
    <n v="0"/>
    <n v="0"/>
    <n v="0"/>
    <n v="0"/>
    <n v="0"/>
    <n v="0"/>
    <n v="45"/>
    <n v="5"/>
    <s v="DCW"/>
    <s v="DCW"/>
    <s v="BCA Stadium, Kotambi"/>
    <n v="169"/>
    <n v="10.79"/>
    <n v="75"/>
    <n v="0"/>
    <n v="23"/>
    <s v="Successful"/>
    <n v="1"/>
    <n v="44"/>
  </r>
  <r>
    <x v="87"/>
    <n v="4"/>
    <s v="P036"/>
    <x v="35"/>
    <x v="3"/>
    <s v="Allrounder"/>
    <s v="Middle Order"/>
    <n v="4"/>
    <n v="3"/>
    <n v="133.33000000000001"/>
    <s v="not out"/>
    <n v="5"/>
    <n v="4"/>
    <n v="0"/>
    <n v="32"/>
    <n v="0"/>
    <n v="8"/>
    <n v="0"/>
    <n v="0"/>
    <n v="0"/>
    <n v="5"/>
    <n v="1"/>
    <s v="DCW"/>
    <s v="DCW"/>
    <s v="BCA Stadium, Kotambi"/>
    <n v="169"/>
    <n v="10.79"/>
    <n v="75"/>
    <n v="0"/>
    <n v="23"/>
    <s v="Successful"/>
    <n v="1"/>
    <n v="22.8"/>
  </r>
  <r>
    <x v="87"/>
    <n v="4"/>
    <s v="P107"/>
    <x v="110"/>
    <x v="3"/>
    <s v="Allrounder"/>
    <s v="DNB"/>
    <n v="0"/>
    <n v="0"/>
    <n v="0"/>
    <s v="DNB"/>
    <n v="0"/>
    <n v="4"/>
    <n v="0"/>
    <n v="35"/>
    <n v="3"/>
    <n v="8.8000000000000007"/>
    <n v="60"/>
    <n v="0"/>
    <n v="0"/>
    <n v="60"/>
    <n v="6"/>
    <s v="DCW"/>
    <s v="DCW"/>
    <s v="BCA Stadium, Kotambi"/>
    <n v="169"/>
    <n v="10.79"/>
    <n v="75"/>
    <n v="0"/>
    <n v="23"/>
    <s v="Successful"/>
    <n v="1"/>
    <n v="51.8"/>
  </r>
  <r>
    <x v="87"/>
    <n v="4"/>
    <s v="P100"/>
    <x v="104"/>
    <x v="3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DCW"/>
    <s v="DCW"/>
    <s v="BCA Stadium, Kotambi"/>
    <n v="169"/>
    <n v="10.79"/>
    <n v="75"/>
    <n v="0"/>
    <n v="23"/>
    <s v="Successful"/>
    <n v="1"/>
    <n v="20"/>
  </r>
  <r>
    <x v="87"/>
    <n v="4"/>
    <s v="P008"/>
    <x v="7"/>
    <x v="3"/>
    <s v="Allrounder"/>
    <s v="DNB"/>
    <n v="0"/>
    <n v="0"/>
    <n v="0"/>
    <s v="DNB"/>
    <n v="0"/>
    <n v="1"/>
    <n v="0"/>
    <n v="3"/>
    <n v="0"/>
    <n v="3"/>
    <n v="0"/>
    <n v="0"/>
    <n v="0"/>
    <n v="0"/>
    <n v="0"/>
    <s v="DCW"/>
    <s v="DCW"/>
    <s v="BCA Stadium, Kotambi"/>
    <n v="169"/>
    <n v="10.79"/>
    <n v="75"/>
    <n v="0"/>
    <n v="23"/>
    <s v="Successful"/>
    <n v="1"/>
    <n v="20"/>
  </r>
  <r>
    <x v="87"/>
    <n v="4"/>
    <s v="P062"/>
    <x v="61"/>
    <x v="3"/>
    <s v="Allrounder"/>
    <s v="DNB"/>
    <n v="0"/>
    <n v="0"/>
    <n v="0"/>
    <s v="DNB"/>
    <n v="0"/>
    <n v="4"/>
    <n v="0"/>
    <n v="23"/>
    <n v="1"/>
    <n v="5.8"/>
    <n v="25"/>
    <n v="0"/>
    <n v="0"/>
    <n v="25"/>
    <n v="3"/>
    <s v="DCW"/>
    <s v="DCW"/>
    <s v="BCA Stadium, Kotambi"/>
    <n v="169"/>
    <n v="10.79"/>
    <n v="75"/>
    <n v="0"/>
    <n v="23"/>
    <s v="Successful"/>
    <n v="1"/>
    <n v="33.4"/>
  </r>
  <r>
    <x v="87"/>
    <n v="4"/>
    <s v="P118"/>
    <x v="122"/>
    <x v="3"/>
    <s v="Bowler"/>
    <s v="DNB"/>
    <n v="0"/>
    <n v="0"/>
    <n v="0"/>
    <s v="DNB"/>
    <n v="0"/>
    <n v="3"/>
    <n v="0"/>
    <n v="25"/>
    <n v="0"/>
    <n v="8.3000000000000007"/>
    <n v="0"/>
    <n v="0"/>
    <n v="0"/>
    <n v="0"/>
    <n v="0"/>
    <s v="DCW"/>
    <s v="DCW"/>
    <s v="BCA Stadium, Kotambi"/>
    <n v="169"/>
    <n v="10.79"/>
    <n v="75"/>
    <n v="0"/>
    <n v="23"/>
    <s v="Successful"/>
    <n v="1"/>
    <n v="20"/>
  </r>
  <r>
    <x v="87"/>
    <n v="4"/>
    <s v="P119"/>
    <x v="123"/>
    <x v="3"/>
    <s v="Bowler"/>
    <s v="DNB"/>
    <n v="0"/>
    <n v="0"/>
    <n v="0"/>
    <s v="DNB"/>
    <n v="0"/>
    <n v="4"/>
    <n v="0"/>
    <n v="44"/>
    <n v="2"/>
    <n v="11"/>
    <n v="40"/>
    <n v="0"/>
    <n v="0"/>
    <n v="40"/>
    <n v="4"/>
    <s v="DCW"/>
    <s v="DCW"/>
    <s v="BCA Stadium, Kotambi"/>
    <n v="169"/>
    <n v="10.79"/>
    <n v="75"/>
    <n v="0"/>
    <n v="23"/>
    <s v="Successful"/>
    <n v="1"/>
    <n v="41.2"/>
  </r>
  <r>
    <x v="88"/>
    <n v="4"/>
    <s v="P117"/>
    <x v="121"/>
    <x v="3"/>
    <s v="WK-Batter"/>
    <s v="Opener"/>
    <n v="37"/>
    <n v="30"/>
    <n v="123.33"/>
    <s v="caught"/>
    <n v="40"/>
    <n v="0"/>
    <n v="0"/>
    <n v="0"/>
    <n v="0"/>
    <n v="0"/>
    <n v="0"/>
    <n v="0"/>
    <n v="0"/>
    <n v="40"/>
    <n v="4"/>
    <s v="RCBW"/>
    <s v="RCBW"/>
    <s v="BCA Stadium, Kotambi"/>
    <n v="203"/>
    <n v="10.15"/>
    <n v="53"/>
    <n v="55"/>
    <n v="27"/>
    <s v="NA"/>
    <n v="0"/>
    <n v="21.2"/>
  </r>
  <r>
    <x v="88"/>
    <n v="4"/>
    <s v="P034"/>
    <x v="33"/>
    <x v="3"/>
    <s v="Batter"/>
    <s v="Opener"/>
    <n v="20"/>
    <n v="13"/>
    <n v="153.85"/>
    <s v="caught"/>
    <n v="25"/>
    <n v="1"/>
    <n v="0"/>
    <n v="9"/>
    <n v="0"/>
    <n v="9"/>
    <n v="0"/>
    <n v="0"/>
    <n v="0"/>
    <n v="25"/>
    <n v="3"/>
    <s v="RCBW"/>
    <s v="RCBW"/>
    <s v="BCA Stadium, Kotambi"/>
    <n v="203"/>
    <n v="10.15"/>
    <n v="53"/>
    <n v="55"/>
    <n v="27"/>
    <s v="NA"/>
    <n v="0"/>
    <n v="13.4"/>
  </r>
  <r>
    <x v="88"/>
    <n v="4"/>
    <s v="P066"/>
    <x v="65"/>
    <x v="3"/>
    <s v="Batter"/>
    <s v="Top Order"/>
    <n v="44"/>
    <n v="25"/>
    <n v="176"/>
    <s v="run out"/>
    <n v="50"/>
    <n v="0"/>
    <n v="0"/>
    <n v="0"/>
    <n v="0"/>
    <n v="0"/>
    <n v="0"/>
    <n v="0"/>
    <n v="0"/>
    <n v="50"/>
    <n v="5"/>
    <s v="RCBW"/>
    <s v="RCBW"/>
    <s v="BCA Stadium, Kotambi"/>
    <n v="203"/>
    <n v="10.15"/>
    <n v="53"/>
    <n v="55"/>
    <n v="27"/>
    <s v="NA"/>
    <n v="0"/>
    <n v="26.5"/>
  </r>
  <r>
    <x v="88"/>
    <n v="4"/>
    <s v="P037"/>
    <x v="36"/>
    <x v="3"/>
    <s v="Batter"/>
    <s v="Top Order"/>
    <n v="57"/>
    <n v="37"/>
    <n v="154.05000000000001"/>
    <s v="caught"/>
    <n v="65"/>
    <n v="0"/>
    <n v="0"/>
    <n v="0"/>
    <n v="0"/>
    <n v="0"/>
    <n v="0"/>
    <n v="0"/>
    <n v="0"/>
    <n v="65"/>
    <n v="7"/>
    <s v="RCBW"/>
    <s v="RCBW"/>
    <s v="BCA Stadium, Kotambi"/>
    <n v="203"/>
    <n v="10.15"/>
    <n v="53"/>
    <n v="55"/>
    <n v="27"/>
    <s v="NA"/>
    <n v="0"/>
    <n v="34.6"/>
  </r>
  <r>
    <x v="88"/>
    <n v="4"/>
    <s v="P036"/>
    <x v="35"/>
    <x v="3"/>
    <s v="Allrounder"/>
    <s v="Middle Order"/>
    <n v="0"/>
    <n v="0"/>
    <n v="0"/>
    <s v="DNB"/>
    <n v="0"/>
    <n v="4"/>
    <n v="0"/>
    <n v="38"/>
    <n v="0"/>
    <n v="9.5"/>
    <n v="0"/>
    <n v="0"/>
    <n v="0"/>
    <n v="0"/>
    <n v="0"/>
    <s v="RCBW"/>
    <s v="RCBW"/>
    <s v="BCA Stadium, Kotambi"/>
    <n v="203"/>
    <n v="10.15"/>
    <n v="53"/>
    <n v="55"/>
    <n v="27"/>
    <s v="NA"/>
    <n v="0"/>
    <n v="0"/>
  </r>
  <r>
    <x v="88"/>
    <n v="4"/>
    <s v="P107"/>
    <x v="110"/>
    <x v="3"/>
    <s v="Allrounder"/>
    <s v="Middle Order"/>
    <n v="35"/>
    <n v="15"/>
    <n v="233.33"/>
    <s v="not out"/>
    <n v="50"/>
    <n v="4"/>
    <n v="0"/>
    <n v="34"/>
    <n v="2"/>
    <n v="8.5"/>
    <n v="50"/>
    <n v="0"/>
    <n v="0"/>
    <n v="100"/>
    <n v="10"/>
    <s v="RCBW"/>
    <s v="RCBW"/>
    <s v="BCA Stadium, Kotambi"/>
    <n v="203"/>
    <n v="10.15"/>
    <n v="53"/>
    <n v="55"/>
    <n v="27"/>
    <s v="NA"/>
    <n v="0"/>
    <n v="53"/>
  </r>
  <r>
    <x v="88"/>
    <n v="4"/>
    <s v="P100"/>
    <x v="104"/>
    <x v="3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RCBW"/>
    <s v="RCBW"/>
    <s v="BCA Stadium, Kotambi"/>
    <n v="203"/>
    <n v="10.15"/>
    <n v="53"/>
    <n v="55"/>
    <n v="27"/>
    <s v="NA"/>
    <n v="0"/>
    <n v="0"/>
  </r>
  <r>
    <x v="88"/>
    <n v="4"/>
    <s v="P008"/>
    <x v="7"/>
    <x v="3"/>
    <s v="Allrounder"/>
    <s v="DNB"/>
    <n v="0"/>
    <n v="0"/>
    <n v="0"/>
    <s v="DNB"/>
    <n v="0"/>
    <n v="1"/>
    <n v="0"/>
    <n v="15"/>
    <n v="0"/>
    <n v="15"/>
    <n v="0"/>
    <n v="0"/>
    <n v="0"/>
    <n v="0"/>
    <n v="0"/>
    <s v="RCBW"/>
    <s v="RCBW"/>
    <s v="BCA Stadium, Kotambi"/>
    <n v="203"/>
    <n v="10.15"/>
    <n v="53"/>
    <n v="55"/>
    <n v="27"/>
    <s v="NA"/>
    <n v="0"/>
    <n v="0"/>
  </r>
  <r>
    <x v="88"/>
    <n v="4"/>
    <s v="P062"/>
    <x v="61"/>
    <x v="3"/>
    <s v="Allrounder"/>
    <s v="DNB"/>
    <n v="0"/>
    <n v="0"/>
    <n v="0"/>
    <s v="DNB"/>
    <n v="0"/>
    <n v="2"/>
    <n v="0"/>
    <n v="19"/>
    <n v="1"/>
    <n v="9.5"/>
    <n v="25"/>
    <n v="0"/>
    <n v="0"/>
    <n v="25"/>
    <n v="3"/>
    <s v="RCBW"/>
    <s v="RCBW"/>
    <s v="BCA Stadium, Kotambi"/>
    <n v="203"/>
    <n v="10.15"/>
    <n v="53"/>
    <n v="55"/>
    <n v="27"/>
    <s v="NA"/>
    <n v="0"/>
    <n v="13.4"/>
  </r>
  <r>
    <x v="88"/>
    <n v="4"/>
    <s v="P118"/>
    <x v="122"/>
    <x v="3"/>
    <s v="Bowler"/>
    <s v="DNB"/>
    <n v="0"/>
    <n v="0"/>
    <n v="0"/>
    <s v="DNB"/>
    <n v="0"/>
    <n v="3.4"/>
    <n v="0"/>
    <n v="46"/>
    <n v="0"/>
    <n v="12.5"/>
    <n v="0"/>
    <n v="0"/>
    <n v="0"/>
    <n v="0"/>
    <n v="0"/>
    <s v="RCBW"/>
    <s v="RCBW"/>
    <s v="BCA Stadium, Kotambi"/>
    <n v="203"/>
    <n v="10.15"/>
    <n v="53"/>
    <n v="55"/>
    <n v="27"/>
    <s v="NA"/>
    <n v="0"/>
    <n v="0"/>
  </r>
  <r>
    <x v="88"/>
    <n v="4"/>
    <s v="P119"/>
    <x v="123"/>
    <x v="3"/>
    <s v="Bowler"/>
    <s v="DNB"/>
    <n v="0"/>
    <n v="0"/>
    <n v="0"/>
    <s v="DNB"/>
    <n v="0"/>
    <n v="4"/>
    <n v="0"/>
    <n v="41"/>
    <n v="1"/>
    <n v="10.199999999999999"/>
    <n v="25"/>
    <n v="0"/>
    <n v="0"/>
    <n v="25"/>
    <n v="3"/>
    <s v="RCBW"/>
    <s v="RCBW"/>
    <s v="BCA Stadium, Kotambi"/>
    <n v="203"/>
    <n v="10.15"/>
    <n v="53"/>
    <n v="55"/>
    <n v="27"/>
    <s v="NA"/>
    <n v="0"/>
    <n v="13.4"/>
  </r>
  <r>
    <x v="88"/>
    <n v="4"/>
    <s v="P049"/>
    <x v="48"/>
    <x v="2"/>
    <s v="WK-Batter"/>
    <s v="Opener"/>
    <n v="9"/>
    <n v="7"/>
    <n v="128.57"/>
    <s v="bowled"/>
    <n v="10"/>
    <n v="0"/>
    <n v="0"/>
    <n v="0"/>
    <n v="0"/>
    <n v="0"/>
    <n v="0"/>
    <n v="0"/>
    <n v="0"/>
    <n v="10"/>
    <n v="1"/>
    <s v="RCBW"/>
    <s v="RCBW"/>
    <s v="BCA Stadium, Kotambi"/>
    <n v="204"/>
    <n v="10.37"/>
    <n v="59"/>
    <n v="35"/>
    <n v="24"/>
    <s v="Successful"/>
    <n v="1"/>
    <n v="25.3"/>
  </r>
  <r>
    <x v="88"/>
    <n v="4"/>
    <s v="P023"/>
    <x v="22"/>
    <x v="2"/>
    <s v="Batter"/>
    <s v="Top Order"/>
    <n v="87"/>
    <n v="41"/>
    <n v="212.2"/>
    <s v="bowled"/>
    <n v="90"/>
    <n v="0"/>
    <n v="0"/>
    <n v="0"/>
    <n v="0"/>
    <n v="0"/>
    <n v="0"/>
    <n v="0"/>
    <n v="0"/>
    <n v="90"/>
    <n v="9"/>
    <s v="RCBW"/>
    <s v="RCBW"/>
    <s v="BCA Stadium, Kotambi"/>
    <n v="204"/>
    <n v="10.37"/>
    <n v="59"/>
    <n v="35"/>
    <n v="24"/>
    <s v="Successful"/>
    <n v="1"/>
    <n v="67.7"/>
  </r>
  <r>
    <x v="88"/>
    <n v="4"/>
    <s v="P109"/>
    <x v="112"/>
    <x v="2"/>
    <s v="Batter"/>
    <s v="Top Order"/>
    <n v="79"/>
    <n v="54"/>
    <n v="146.30000000000001"/>
    <s v="caught"/>
    <n v="85"/>
    <n v="0"/>
    <n v="0"/>
    <n v="0"/>
    <n v="0"/>
    <n v="0"/>
    <n v="0"/>
    <n v="0"/>
    <n v="0"/>
    <n v="85"/>
    <n v="9"/>
    <s v="RCBW"/>
    <s v="RCBW"/>
    <s v="BCA Stadium, Kotambi"/>
    <n v="204"/>
    <n v="10.37"/>
    <n v="59"/>
    <n v="35"/>
    <n v="24"/>
    <s v="Successful"/>
    <n v="1"/>
    <n v="65.2"/>
  </r>
  <r>
    <x v="88"/>
    <n v="4"/>
    <s v="P028"/>
    <x v="27"/>
    <x v="2"/>
    <s v="WK-Batter"/>
    <s v="Middle Order"/>
    <n v="6"/>
    <n v="6"/>
    <n v="100"/>
    <s v="caught"/>
    <n v="5"/>
    <n v="0"/>
    <n v="0"/>
    <n v="0"/>
    <n v="0"/>
    <n v="0"/>
    <n v="0"/>
    <n v="0"/>
    <n v="0"/>
    <n v="5"/>
    <n v="1"/>
    <s v="RCBW"/>
    <s v="RCBW"/>
    <s v="BCA Stadium, Kotambi"/>
    <n v="204"/>
    <n v="10.37"/>
    <n v="59"/>
    <n v="35"/>
    <n v="24"/>
    <s v="Successful"/>
    <n v="1"/>
    <n v="22.8"/>
  </r>
  <r>
    <x v="88"/>
    <n v="4"/>
    <s v="P083"/>
    <x v="84"/>
    <x v="2"/>
    <s v="Allrounder"/>
    <s v="Middle Order"/>
    <n v="7"/>
    <n v="5"/>
    <n v="140"/>
    <s v="not out"/>
    <n v="10"/>
    <n v="4"/>
    <n v="0"/>
    <n v="48"/>
    <n v="1"/>
    <n v="12"/>
    <n v="25"/>
    <n v="0"/>
    <n v="0"/>
    <n v="35"/>
    <n v="4"/>
    <s v="RCBW"/>
    <s v="RCBW"/>
    <s v="BCA Stadium, Kotambi"/>
    <n v="204"/>
    <n v="10.37"/>
    <n v="59"/>
    <n v="35"/>
    <n v="24"/>
    <s v="Successful"/>
    <n v="1"/>
    <n v="38.700000000000003"/>
  </r>
  <r>
    <x v="88"/>
    <n v="4"/>
    <s v="P043"/>
    <x v="42"/>
    <x v="2"/>
    <s v="Allrounder"/>
    <s v="Middle Order"/>
    <n v="12"/>
    <n v="5"/>
    <n v="240"/>
    <s v="not out"/>
    <n v="20"/>
    <n v="2"/>
    <n v="0"/>
    <n v="18"/>
    <n v="0"/>
    <n v="9"/>
    <n v="0"/>
    <n v="0"/>
    <n v="0"/>
    <n v="20"/>
    <n v="2"/>
    <s v="RCBW"/>
    <s v="RCBW"/>
    <s v="BCA Stadium, Kotambi"/>
    <n v="204"/>
    <n v="10.37"/>
    <n v="59"/>
    <n v="35"/>
    <n v="24"/>
    <s v="Successful"/>
    <n v="1"/>
    <n v="30.6"/>
  </r>
  <r>
    <x v="88"/>
    <n v="4"/>
    <s v="P018"/>
    <x v="17"/>
    <x v="2"/>
    <s v="Allrounder"/>
    <s v="DNB"/>
    <n v="0"/>
    <n v="0"/>
    <n v="0"/>
    <s v="DNB"/>
    <n v="0"/>
    <n v="0"/>
    <n v="0"/>
    <n v="0"/>
    <n v="0"/>
    <n v="0"/>
    <n v="0"/>
    <n v="0"/>
    <n v="0"/>
    <n v="0"/>
    <n v="0"/>
    <s v="RCBW"/>
    <s v="RCBW"/>
    <s v="BCA Stadium, Kotambi"/>
    <n v="204"/>
    <n v="10.37"/>
    <n v="59"/>
    <n v="35"/>
    <n v="24"/>
    <s v="Successful"/>
    <n v="1"/>
    <n v="20"/>
  </r>
  <r>
    <x v="88"/>
    <n v="4"/>
    <s v="P041"/>
    <x v="40"/>
    <x v="2"/>
    <s v="Bowler"/>
    <s v="DNB"/>
    <n v="0"/>
    <n v="0"/>
    <n v="0"/>
    <s v="DNB"/>
    <n v="0"/>
    <n v="4"/>
    <n v="0"/>
    <n v="40"/>
    <n v="1"/>
    <n v="10"/>
    <n v="25"/>
    <n v="0"/>
    <n v="0"/>
    <n v="25"/>
    <n v="3"/>
    <s v="RCBW"/>
    <s v="RCBW"/>
    <s v="BCA Stadium, Kotambi"/>
    <n v="204"/>
    <n v="10.37"/>
    <n v="59"/>
    <n v="35"/>
    <n v="24"/>
    <s v="Successful"/>
    <n v="1"/>
    <n v="33.4"/>
  </r>
  <r>
    <x v="88"/>
    <n v="4"/>
    <s v="P089"/>
    <x v="89"/>
    <x v="2"/>
    <s v="Allrounder"/>
    <s v="DNB"/>
    <n v="0"/>
    <n v="0"/>
    <n v="0"/>
    <s v="DNB"/>
    <n v="0"/>
    <n v="4"/>
    <n v="0"/>
    <n v="46"/>
    <n v="1"/>
    <n v="11.5"/>
    <n v="25"/>
    <n v="0"/>
    <n v="0"/>
    <n v="25"/>
    <n v="3"/>
    <s v="RCBW"/>
    <s v="RCBW"/>
    <s v="BCA Stadium, Kotambi"/>
    <n v="204"/>
    <n v="10.37"/>
    <n v="59"/>
    <n v="35"/>
    <n v="24"/>
    <s v="Successful"/>
    <n v="1"/>
    <n v="33.4"/>
  </r>
  <r>
    <x v="88"/>
    <n v="4"/>
    <s v="P059"/>
    <x v="58"/>
    <x v="2"/>
    <s v="Allrounder"/>
    <s v="DNB"/>
    <n v="0"/>
    <n v="0"/>
    <n v="0"/>
    <s v="DNB"/>
    <n v="0"/>
    <n v="2"/>
    <n v="0"/>
    <n v="32"/>
    <n v="0"/>
    <n v="16"/>
    <n v="0"/>
    <n v="0"/>
    <n v="0"/>
    <n v="0"/>
    <n v="0"/>
    <s v="RCBW"/>
    <s v="RCBW"/>
    <s v="BCA Stadium, Kotambi"/>
    <n v="204"/>
    <n v="10.37"/>
    <n v="59"/>
    <n v="35"/>
    <n v="24"/>
    <s v="Successful"/>
    <n v="1"/>
    <n v="20"/>
  </r>
  <r>
    <x v="88"/>
    <n v="4"/>
    <s v="P113"/>
    <x v="118"/>
    <x v="2"/>
    <s v="Bowler"/>
    <s v="DNB"/>
    <n v="0"/>
    <n v="0"/>
    <n v="0"/>
    <s v="DNB"/>
    <n v="0"/>
    <n v="4"/>
    <n v="0"/>
    <n v="19"/>
    <n v="0"/>
    <n v="4.8"/>
    <n v="0"/>
    <n v="0"/>
    <n v="0"/>
    <n v="0"/>
    <n v="0"/>
    <s v="RCBW"/>
    <s v="RCBW"/>
    <s v="BCA Stadium, Kotambi"/>
    <n v="204"/>
    <n v="10.37"/>
    <n v="59"/>
    <n v="35"/>
    <n v="24"/>
    <s v="Successful"/>
    <n v="1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98CCE6-786B-4B99-9511-9631AB01A53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42" firstHeaderRow="0" firstDataRow="1" firstDataCol="1"/>
  <pivotFields count="33">
    <pivotField showAll="0"/>
    <pivotField showAll="0"/>
    <pivotField showAll="0"/>
    <pivotField axis="axisRow" showAll="0" sortType="descending">
      <items count="139">
        <item x="106"/>
        <item x="37"/>
        <item x="44"/>
        <item x="16"/>
        <item x="15"/>
        <item x="135"/>
        <item x="53"/>
        <item x="4"/>
        <item x="119"/>
        <item x="40"/>
        <item x="29"/>
        <item x="3"/>
        <item x="68"/>
        <item x="125"/>
        <item x="0"/>
        <item x="93"/>
        <item x="85"/>
        <item x="136"/>
        <item x="113"/>
        <item x="110"/>
        <item x="127"/>
        <item x="115"/>
        <item x="99"/>
        <item x="5"/>
        <item x="96"/>
        <item x="47"/>
        <item x="134"/>
        <item x="51"/>
        <item x="67"/>
        <item x="25"/>
        <item x="90"/>
        <item x="26"/>
        <item x="62"/>
        <item x="108"/>
        <item x="124"/>
        <item x="112"/>
        <item x="6"/>
        <item x="83"/>
        <item x="48"/>
        <item x="126"/>
        <item x="131"/>
        <item x="2"/>
        <item x="13"/>
        <item x="11"/>
        <item x="114"/>
        <item x="24"/>
        <item x="18"/>
        <item x="19"/>
        <item x="36"/>
        <item x="38"/>
        <item x="20"/>
        <item x="102"/>
        <item x="28"/>
        <item x="98"/>
        <item x="80"/>
        <item x="73"/>
        <item x="57"/>
        <item x="50"/>
        <item x="63"/>
        <item x="107"/>
        <item x="66"/>
        <item x="65"/>
        <item x="118"/>
        <item x="81"/>
        <item x="117"/>
        <item x="121"/>
        <item x="130"/>
        <item x="86"/>
        <item x="10"/>
        <item x="35"/>
        <item x="34"/>
        <item x="31"/>
        <item x="82"/>
        <item x="61"/>
        <item x="9"/>
        <item x="84"/>
        <item x="129"/>
        <item x="111"/>
        <item x="123"/>
        <item x="14"/>
        <item x="116"/>
        <item x="104"/>
        <item x="70"/>
        <item x="109"/>
        <item x="79"/>
        <item x="17"/>
        <item x="60"/>
        <item x="69"/>
        <item x="30"/>
        <item x="101"/>
        <item x="97"/>
        <item x="95"/>
        <item x="42"/>
        <item x="100"/>
        <item x="132"/>
        <item x="54"/>
        <item x="32"/>
        <item x="27"/>
        <item x="72"/>
        <item x="1"/>
        <item x="64"/>
        <item x="21"/>
        <item x="77"/>
        <item x="103"/>
        <item x="105"/>
        <item x="89"/>
        <item x="91"/>
        <item x="59"/>
        <item x="33"/>
        <item x="41"/>
        <item x="137"/>
        <item x="128"/>
        <item x="94"/>
        <item x="122"/>
        <item x="58"/>
        <item x="45"/>
        <item x="75"/>
        <item x="49"/>
        <item x="22"/>
        <item x="7"/>
        <item x="55"/>
        <item x="23"/>
        <item x="52"/>
        <item x="74"/>
        <item x="56"/>
        <item x="46"/>
        <item x="39"/>
        <item x="8"/>
        <item x="43"/>
        <item x="88"/>
        <item x="87"/>
        <item x="120"/>
        <item x="92"/>
        <item x="133"/>
        <item x="78"/>
        <item x="76"/>
        <item x="12"/>
        <item x="7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139">
    <i>
      <x v="21"/>
    </i>
    <i>
      <x v="79"/>
    </i>
    <i>
      <x v="75"/>
    </i>
    <i>
      <x v="43"/>
    </i>
    <i>
      <x v="80"/>
    </i>
    <i>
      <x v="31"/>
    </i>
    <i>
      <x v="4"/>
    </i>
    <i>
      <x v="121"/>
    </i>
    <i>
      <x v="19"/>
    </i>
    <i>
      <x v="77"/>
    </i>
    <i>
      <x v="49"/>
    </i>
    <i>
      <x v="62"/>
    </i>
    <i>
      <x v="42"/>
    </i>
    <i>
      <x v="1"/>
    </i>
    <i>
      <x v="38"/>
    </i>
    <i>
      <x v="108"/>
    </i>
    <i>
      <x v="69"/>
    </i>
    <i>
      <x v="35"/>
    </i>
    <i>
      <x v="11"/>
    </i>
    <i>
      <x v="44"/>
    </i>
    <i>
      <x v="70"/>
    </i>
    <i>
      <x v="47"/>
    </i>
    <i>
      <x v="24"/>
    </i>
    <i>
      <x v="128"/>
    </i>
    <i>
      <x v="114"/>
    </i>
    <i>
      <x v="65"/>
    </i>
    <i>
      <x v="78"/>
    </i>
    <i>
      <x v="25"/>
    </i>
    <i>
      <x v="8"/>
    </i>
    <i>
      <x v="36"/>
    </i>
    <i>
      <x v="113"/>
    </i>
    <i>
      <x v="123"/>
    </i>
    <i>
      <x v="53"/>
    </i>
    <i>
      <x v="118"/>
    </i>
    <i>
      <x v="120"/>
    </i>
    <i>
      <x v="125"/>
    </i>
    <i>
      <x v="109"/>
    </i>
    <i>
      <x v="2"/>
    </i>
    <i>
      <x v="97"/>
    </i>
    <i>
      <x v="48"/>
    </i>
    <i>
      <x v="89"/>
    </i>
    <i>
      <x v="122"/>
    </i>
    <i>
      <x v="14"/>
    </i>
    <i>
      <x v="136"/>
    </i>
    <i>
      <x v="61"/>
    </i>
    <i>
      <x v="20"/>
    </i>
    <i>
      <x v="92"/>
    </i>
    <i>
      <x v="101"/>
    </i>
    <i>
      <x v="7"/>
    </i>
    <i>
      <x v="105"/>
    </i>
    <i>
      <x v="107"/>
    </i>
    <i>
      <x v="56"/>
    </i>
    <i>
      <x v="45"/>
    </i>
    <i>
      <x v="85"/>
    </i>
    <i>
      <x v="106"/>
    </i>
    <i>
      <x v="34"/>
    </i>
    <i>
      <x v="3"/>
    </i>
    <i>
      <x v="15"/>
    </i>
    <i>
      <x v="9"/>
    </i>
    <i>
      <x v="22"/>
    </i>
    <i>
      <x v="66"/>
    </i>
    <i>
      <x v="84"/>
    </i>
    <i>
      <x v="18"/>
    </i>
    <i>
      <x v="41"/>
    </i>
    <i>
      <x v="64"/>
    </i>
    <i>
      <x v="99"/>
    </i>
    <i>
      <x v="95"/>
    </i>
    <i>
      <x v="137"/>
    </i>
    <i>
      <x v="26"/>
    </i>
    <i>
      <x v="60"/>
    </i>
    <i>
      <x v="130"/>
    </i>
    <i>
      <x v="10"/>
    </i>
    <i>
      <x v="33"/>
    </i>
    <i>
      <x v="27"/>
    </i>
    <i>
      <x v="16"/>
    </i>
    <i>
      <x v="90"/>
    </i>
    <i>
      <x v="73"/>
    </i>
    <i>
      <x v="98"/>
    </i>
    <i>
      <x v="83"/>
    </i>
    <i>
      <x v="127"/>
    </i>
    <i>
      <x v="23"/>
    </i>
    <i>
      <x v="96"/>
    </i>
    <i>
      <x v="103"/>
    </i>
    <i>
      <x v="52"/>
    </i>
    <i>
      <x v="57"/>
    </i>
    <i>
      <x v="54"/>
    </i>
    <i>
      <x v="72"/>
    </i>
    <i>
      <x v="81"/>
    </i>
    <i>
      <x v="39"/>
    </i>
    <i>
      <x v="104"/>
    </i>
    <i>
      <x v="30"/>
    </i>
    <i>
      <x v="82"/>
    </i>
    <i>
      <x v="71"/>
    </i>
    <i>
      <x v="51"/>
    </i>
    <i>
      <x v="55"/>
    </i>
    <i>
      <x v="50"/>
    </i>
    <i>
      <x v="119"/>
    </i>
    <i>
      <x v="102"/>
    </i>
    <i>
      <x v="126"/>
    </i>
    <i>
      <x v="46"/>
    </i>
    <i>
      <x v="112"/>
    </i>
    <i>
      <x v="87"/>
    </i>
    <i>
      <x v="6"/>
    </i>
    <i>
      <x v="93"/>
    </i>
    <i>
      <x v="86"/>
    </i>
    <i>
      <x v="133"/>
    </i>
    <i>
      <x v="115"/>
    </i>
    <i>
      <x v="59"/>
    </i>
    <i>
      <x v="68"/>
    </i>
    <i>
      <x v="132"/>
    </i>
    <i>
      <x v="28"/>
    </i>
    <i>
      <x v="135"/>
    </i>
    <i>
      <x v="67"/>
    </i>
    <i>
      <x v="116"/>
    </i>
    <i>
      <x v="29"/>
    </i>
    <i>
      <x v="117"/>
    </i>
    <i>
      <x v="40"/>
    </i>
    <i>
      <x v="131"/>
    </i>
    <i>
      <x/>
    </i>
    <i>
      <x v="37"/>
    </i>
    <i>
      <x v="88"/>
    </i>
    <i>
      <x v="124"/>
    </i>
    <i>
      <x v="91"/>
    </i>
    <i>
      <x v="32"/>
    </i>
    <i>
      <x v="17"/>
    </i>
    <i>
      <x v="12"/>
    </i>
    <i>
      <x v="134"/>
    </i>
    <i>
      <x v="110"/>
    </i>
    <i>
      <x v="13"/>
    </i>
    <i>
      <x v="74"/>
    </i>
    <i>
      <x v="63"/>
    </i>
    <i>
      <x v="129"/>
    </i>
    <i>
      <x v="58"/>
    </i>
    <i>
      <x v="94"/>
    </i>
    <i>
      <x v="76"/>
    </i>
    <i>
      <x v="5"/>
    </i>
    <i>
      <x v="111"/>
    </i>
    <i>
      <x v="10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Final_Score" fld="32" subtotal="average" baseField="3" baseItem="0"/>
    <dataField name="Sum of runs_scored" fld="7" baseField="0" baseItem="0"/>
    <dataField name="Sum of wickets_taken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264127-2F6C-47A3-91CC-D9C7F124D1FB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E270" firstHeaderRow="0" firstDataRow="1" firstDataCol="1"/>
  <pivotFields count="33">
    <pivotField axis="axisRow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22"/>
        <item t="default"/>
      </items>
    </pivotField>
    <pivotField showAll="0"/>
    <pivotField showAll="0"/>
    <pivotField showAll="0"/>
    <pivotField axis="axisRow" showAll="0">
      <items count="7">
        <item x="3"/>
        <item x="0"/>
        <item x="1"/>
        <item x="2"/>
        <item x="4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</pivotFields>
  <rowFields count="2">
    <field x="0"/>
    <field x="4"/>
  </rowFields>
  <rowItems count="267">
    <i>
      <x/>
    </i>
    <i r="1">
      <x v="1"/>
    </i>
    <i r="1">
      <x v="2"/>
    </i>
    <i>
      <x v="1"/>
    </i>
    <i r="1">
      <x/>
    </i>
    <i r="1">
      <x v="3"/>
    </i>
    <i>
      <x v="2"/>
    </i>
    <i r="1">
      <x v="1"/>
    </i>
    <i r="1">
      <x v="4"/>
    </i>
    <i>
      <x v="3"/>
    </i>
    <i r="1">
      <x v="2"/>
    </i>
    <i r="1">
      <x v="3"/>
    </i>
    <i>
      <x v="4"/>
    </i>
    <i r="1">
      <x/>
    </i>
    <i r="1">
      <x v="4"/>
    </i>
    <i>
      <x v="5"/>
    </i>
    <i r="1">
      <x v="1"/>
    </i>
    <i r="1">
      <x v="3"/>
    </i>
    <i>
      <x v="6"/>
    </i>
    <i r="1">
      <x/>
    </i>
    <i r="1">
      <x v="2"/>
    </i>
    <i>
      <x v="7"/>
    </i>
    <i r="1">
      <x v="3"/>
    </i>
    <i r="1">
      <x v="4"/>
    </i>
    <i>
      <x v="8"/>
    </i>
    <i r="1">
      <x/>
    </i>
    <i r="1">
      <x v="1"/>
    </i>
    <i>
      <x v="9"/>
    </i>
    <i r="1">
      <x v="2"/>
    </i>
    <i r="1">
      <x v="4"/>
    </i>
    <i>
      <x v="10"/>
    </i>
    <i r="1">
      <x/>
    </i>
    <i r="1">
      <x v="3"/>
    </i>
    <i>
      <x v="11"/>
    </i>
    <i r="1">
      <x v="1"/>
    </i>
    <i r="1">
      <x v="2"/>
    </i>
    <i>
      <x v="12"/>
    </i>
    <i r="1">
      <x v="3"/>
    </i>
    <i r="1">
      <x v="4"/>
    </i>
    <i>
      <x v="13"/>
    </i>
    <i r="1">
      <x/>
    </i>
    <i r="1">
      <x v="1"/>
    </i>
    <i>
      <x v="14"/>
    </i>
    <i r="1">
      <x v="2"/>
    </i>
    <i r="1">
      <x v="4"/>
    </i>
    <i>
      <x v="15"/>
    </i>
    <i r="1">
      <x v="1"/>
    </i>
    <i r="1">
      <x v="3"/>
    </i>
    <i>
      <x v="16"/>
    </i>
    <i r="1">
      <x v="1"/>
    </i>
    <i r="1">
      <x v="4"/>
    </i>
    <i>
      <x v="17"/>
    </i>
    <i r="1">
      <x/>
    </i>
    <i r="1">
      <x v="2"/>
    </i>
    <i>
      <x v="18"/>
    </i>
    <i r="1">
      <x v="2"/>
    </i>
    <i r="1">
      <x v="3"/>
    </i>
    <i>
      <x v="19"/>
    </i>
    <i r="1">
      <x/>
    </i>
    <i r="1">
      <x v="4"/>
    </i>
    <i>
      <x v="20"/>
    </i>
    <i r="1">
      <x v="2"/>
    </i>
    <i r="1">
      <x v="4"/>
    </i>
    <i>
      <x v="21"/>
    </i>
    <i r="1">
      <x/>
    </i>
    <i r="1">
      <x v="2"/>
    </i>
    <i>
      <x v="22"/>
    </i>
    <i r="1">
      <x/>
    </i>
    <i r="1">
      <x v="2"/>
    </i>
    <i>
      <x v="23"/>
    </i>
    <i r="1">
      <x v="3"/>
    </i>
    <i r="1">
      <x v="4"/>
    </i>
    <i>
      <x v="24"/>
    </i>
    <i r="1">
      <x v="1"/>
    </i>
    <i r="1">
      <x v="2"/>
    </i>
    <i>
      <x v="25"/>
    </i>
    <i r="1">
      <x/>
    </i>
    <i r="1">
      <x v="4"/>
    </i>
    <i>
      <x v="26"/>
    </i>
    <i r="1">
      <x v="1"/>
    </i>
    <i r="1">
      <x v="3"/>
    </i>
    <i>
      <x v="27"/>
    </i>
    <i r="1">
      <x v="2"/>
    </i>
    <i r="1">
      <x v="4"/>
    </i>
    <i>
      <x v="28"/>
    </i>
    <i r="1">
      <x/>
    </i>
    <i r="1">
      <x v="3"/>
    </i>
    <i>
      <x v="29"/>
    </i>
    <i r="1">
      <x v="1"/>
    </i>
    <i r="1">
      <x v="4"/>
    </i>
    <i>
      <x v="30"/>
    </i>
    <i r="1">
      <x v="2"/>
    </i>
    <i r="1">
      <x v="3"/>
    </i>
    <i>
      <x v="31"/>
    </i>
    <i r="1">
      <x/>
    </i>
    <i r="1">
      <x v="1"/>
    </i>
    <i>
      <x v="32"/>
    </i>
    <i r="1">
      <x v="3"/>
    </i>
    <i r="1">
      <x v="4"/>
    </i>
    <i>
      <x v="33"/>
    </i>
    <i r="1">
      <x/>
    </i>
    <i r="1">
      <x v="2"/>
    </i>
    <i>
      <x v="34"/>
    </i>
    <i r="1">
      <x v="1"/>
    </i>
    <i r="1">
      <x v="3"/>
    </i>
    <i>
      <x v="35"/>
    </i>
    <i r="1">
      <x v="2"/>
    </i>
    <i r="1">
      <x v="4"/>
    </i>
    <i>
      <x v="36"/>
    </i>
    <i r="1">
      <x/>
    </i>
    <i r="1">
      <x v="4"/>
    </i>
    <i>
      <x v="37"/>
    </i>
    <i r="1">
      <x v="1"/>
    </i>
    <i r="1">
      <x v="2"/>
    </i>
    <i>
      <x v="38"/>
    </i>
    <i r="1">
      <x/>
    </i>
    <i r="1">
      <x v="3"/>
    </i>
    <i>
      <x v="39"/>
    </i>
    <i r="1">
      <x v="1"/>
    </i>
    <i r="1">
      <x v="4"/>
    </i>
    <i>
      <x v="40"/>
    </i>
    <i r="1">
      <x v="2"/>
    </i>
    <i r="1">
      <x v="3"/>
    </i>
    <i>
      <x v="41"/>
    </i>
    <i r="1">
      <x/>
    </i>
    <i r="1">
      <x v="1"/>
    </i>
    <i>
      <x v="42"/>
    </i>
    <i r="1">
      <x v="2"/>
    </i>
    <i r="1">
      <x v="3"/>
    </i>
    <i>
      <x v="43"/>
    </i>
    <i r="1">
      <x/>
    </i>
    <i r="1">
      <x v="3"/>
    </i>
    <i>
      <x v="44"/>
    </i>
    <i r="1">
      <x v="1"/>
    </i>
    <i r="1">
      <x v="3"/>
    </i>
    <i>
      <x v="45"/>
    </i>
    <i r="1">
      <x/>
    </i>
    <i r="1">
      <x v="2"/>
    </i>
    <i>
      <x v="46"/>
    </i>
    <i r="1">
      <x v="1"/>
    </i>
    <i r="1">
      <x v="4"/>
    </i>
    <i>
      <x v="47"/>
    </i>
    <i r="1">
      <x/>
    </i>
    <i r="1">
      <x v="3"/>
    </i>
    <i>
      <x v="48"/>
    </i>
    <i r="1">
      <x v="1"/>
    </i>
    <i r="1">
      <x v="2"/>
    </i>
    <i>
      <x v="49"/>
    </i>
    <i r="1">
      <x/>
    </i>
    <i r="1">
      <x v="4"/>
    </i>
    <i>
      <x v="50"/>
    </i>
    <i r="1">
      <x v="2"/>
    </i>
    <i r="1">
      <x v="3"/>
    </i>
    <i>
      <x v="51"/>
    </i>
    <i r="1">
      <x/>
    </i>
    <i r="1">
      <x v="4"/>
    </i>
    <i>
      <x v="52"/>
    </i>
    <i r="1">
      <x v="3"/>
    </i>
    <i r="1">
      <x v="4"/>
    </i>
    <i>
      <x v="53"/>
    </i>
    <i r="1">
      <x/>
    </i>
    <i r="1">
      <x v="1"/>
    </i>
    <i>
      <x v="54"/>
    </i>
    <i r="1">
      <x v="2"/>
    </i>
    <i r="1">
      <x v="4"/>
    </i>
    <i>
      <x v="55"/>
    </i>
    <i r="1">
      <x v="1"/>
    </i>
    <i r="1">
      <x v="3"/>
    </i>
    <i>
      <x v="56"/>
    </i>
    <i r="1">
      <x/>
    </i>
    <i r="1">
      <x v="2"/>
    </i>
    <i>
      <x v="57"/>
    </i>
    <i r="1">
      <x/>
    </i>
    <i r="1">
      <x v="3"/>
    </i>
    <i>
      <x v="58"/>
    </i>
    <i r="1">
      <x v="1"/>
    </i>
    <i r="1">
      <x v="4"/>
    </i>
    <i>
      <x v="59"/>
    </i>
    <i r="1">
      <x v="2"/>
    </i>
    <i r="1">
      <x v="4"/>
    </i>
    <i>
      <x v="60"/>
    </i>
    <i r="1">
      <x/>
    </i>
    <i r="1">
      <x v="1"/>
    </i>
    <i>
      <x v="61"/>
    </i>
    <i r="1">
      <x v="3"/>
    </i>
    <i r="1">
      <x v="4"/>
    </i>
    <i>
      <x v="62"/>
    </i>
    <i r="1">
      <x v="1"/>
    </i>
    <i r="1">
      <x v="2"/>
    </i>
    <i>
      <x v="63"/>
    </i>
    <i r="1">
      <x v="2"/>
    </i>
    <i r="1">
      <x v="3"/>
    </i>
    <i>
      <x v="64"/>
    </i>
    <i r="1">
      <x v="1"/>
    </i>
    <i r="1">
      <x v="2"/>
    </i>
    <i>
      <x v="65"/>
    </i>
    <i r="1">
      <x/>
    </i>
    <i r="1">
      <x v="2"/>
    </i>
    <i>
      <x v="66"/>
    </i>
    <i r="1">
      <x v="2"/>
    </i>
    <i r="1">
      <x v="3"/>
    </i>
    <i>
      <x v="67"/>
    </i>
    <i r="1">
      <x v="1"/>
    </i>
    <i r="1">
      <x v="4"/>
    </i>
    <i>
      <x v="68"/>
    </i>
    <i r="1">
      <x/>
    </i>
    <i r="1">
      <x v="2"/>
    </i>
    <i>
      <x v="69"/>
    </i>
    <i r="1">
      <x/>
    </i>
    <i r="1">
      <x v="1"/>
    </i>
    <i>
      <x v="70"/>
    </i>
    <i r="1">
      <x v="3"/>
    </i>
    <i r="1">
      <x v="4"/>
    </i>
    <i>
      <x v="71"/>
    </i>
    <i r="1">
      <x v="1"/>
    </i>
    <i r="1">
      <x v="2"/>
    </i>
    <i>
      <x v="72"/>
    </i>
    <i r="1">
      <x/>
    </i>
    <i r="1">
      <x v="4"/>
    </i>
    <i>
      <x v="73"/>
    </i>
    <i r="1">
      <x v="2"/>
    </i>
    <i r="1">
      <x v="4"/>
    </i>
    <i>
      <x v="74"/>
    </i>
    <i r="1">
      <x v="1"/>
    </i>
    <i r="1">
      <x v="3"/>
    </i>
    <i>
      <x v="75"/>
    </i>
    <i r="1">
      <x v="2"/>
    </i>
    <i r="1">
      <x v="4"/>
    </i>
    <i>
      <x v="76"/>
    </i>
    <i r="1">
      <x/>
    </i>
    <i r="1">
      <x v="3"/>
    </i>
    <i>
      <x v="77"/>
    </i>
    <i r="1">
      <x v="1"/>
    </i>
    <i r="1">
      <x v="3"/>
    </i>
    <i>
      <x v="78"/>
    </i>
    <i r="1">
      <x/>
    </i>
    <i r="1">
      <x v="2"/>
    </i>
    <i>
      <x v="79"/>
    </i>
    <i r="1">
      <x v="1"/>
    </i>
    <i r="1">
      <x v="4"/>
    </i>
    <i>
      <x v="80"/>
    </i>
    <i r="1">
      <x/>
    </i>
    <i r="1">
      <x v="3"/>
    </i>
    <i>
      <x v="81"/>
    </i>
    <i r="1">
      <x v="2"/>
    </i>
    <i r="1">
      <x v="3"/>
    </i>
    <i>
      <x v="82"/>
    </i>
    <i r="1">
      <x/>
    </i>
    <i r="1">
      <x v="1"/>
    </i>
    <i>
      <x v="83"/>
    </i>
    <i r="1">
      <x v="3"/>
    </i>
    <i r="1">
      <x v="4"/>
    </i>
    <i>
      <x v="84"/>
    </i>
    <i r="1">
      <x v="1"/>
    </i>
    <i r="1">
      <x v="2"/>
    </i>
    <i>
      <x v="85"/>
    </i>
    <i r="1">
      <x/>
    </i>
    <i r="1">
      <x v="4"/>
    </i>
    <i>
      <x v="86"/>
    </i>
    <i r="1">
      <x/>
    </i>
    <i r="1">
      <x v="1"/>
    </i>
    <i>
      <x v="87"/>
    </i>
    <i r="1">
      <x/>
    </i>
    <i r="1">
      <x v="3"/>
    </i>
    <i>
      <x v="88"/>
    </i>
    <i r="1"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runs_scored" fld="7" baseField="0" baseItem="0"/>
    <dataField name="Average of Run_rate" fld="26" subtotal="average" baseField="0" baseItem="0"/>
    <dataField name="Sum of wickets_taken" fld="15" baseField="0" baseItem="0"/>
    <dataField name="Average of Dot_balls" fld="2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890B43-12C8-488C-9394-24B43DEA9C5C}" name="Table2" displayName="Table2" ref="A1:H177" totalsRowShown="0">
  <autoFilter ref="A1:H177" xr:uid="{A8890B43-12C8-488C-9394-24B43DEA9C5C}"/>
  <tableColumns count="8">
    <tableColumn id="1" xr3:uid="{7802E004-96FC-4DFB-9047-E1DE545DA13D}" name="Match_id"/>
    <tableColumn id="2" xr3:uid="{681D7001-9718-4C1B-8767-A1A7A5A891A3}" name="Team"/>
    <tableColumn id="3" xr3:uid="{44A56370-9E14-47A3-921F-0C15ABEBC257}" name="Sums of runs_scored"/>
    <tableColumn id="4" xr3:uid="{78AEA83F-1EA9-4171-8639-E15F51C61FB9}" name="Average of Run_rate"/>
    <tableColumn id="5" xr3:uid="{4B328872-4FB5-44C1-A213-8BECC8497198}" name="Sum of wickets_taken"/>
    <tableColumn id="6" xr3:uid="{2E895F77-A061-4E26-BE09-A6DCC622ECCE}" name="Average of Dot_balls"/>
    <tableColumn id="7" xr3:uid="{3A549BD1-C36C-4DBC-9CB2-F743FBDE6166}" name="Winner">
      <calculatedColumnFormula>_xlfn.XLOOKUP(A2,Matches!A:A,Matches!L:L,"")</calculatedColumnFormula>
    </tableColumn>
    <tableColumn id="8" xr3:uid="{0FAC2231-2C6F-4545-9E1F-10B7DEFE92A3}" name="Target">
      <calculatedColumnFormula>IF(B2=G2,1,0)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9C41D-F922-4600-8CED-0BCCE55D5E4D}">
  <dimension ref="A1:Y89"/>
  <sheetViews>
    <sheetView topLeftCell="P1" workbookViewId="0">
      <selection activeCell="Y5" sqref="Y5"/>
    </sheetView>
  </sheetViews>
  <sheetFormatPr defaultRowHeight="14.4" x14ac:dyDescent="0.3"/>
  <cols>
    <col min="1" max="1" width="11.6640625" bestFit="1" customWidth="1"/>
    <col min="2" max="2" width="6.77734375" bestFit="1" customWidth="1"/>
    <col min="3" max="3" width="9.33203125" bestFit="1" customWidth="1"/>
    <col min="4" max="4" width="10.77734375" bestFit="1" customWidth="1"/>
    <col min="5" max="5" width="10.44140625" bestFit="1" customWidth="1"/>
    <col min="6" max="6" width="51.33203125" bestFit="1" customWidth="1"/>
    <col min="7" max="7" width="11.77734375" bestFit="1" customWidth="1"/>
    <col min="8" max="10" width="11.33203125" bestFit="1" customWidth="1"/>
    <col min="11" max="11" width="12.33203125" bestFit="1" customWidth="1"/>
    <col min="12" max="12" width="11.33203125" bestFit="1" customWidth="1"/>
    <col min="13" max="13" width="8.77734375" bestFit="1" customWidth="1"/>
    <col min="14" max="14" width="10.77734375" bestFit="1" customWidth="1"/>
    <col min="15" max="15" width="17.88671875" bestFit="1" customWidth="1"/>
    <col min="16" max="16" width="10.6640625" bestFit="1" customWidth="1"/>
    <col min="17" max="17" width="11.77734375" bestFit="1" customWidth="1"/>
    <col min="18" max="18" width="15.33203125" bestFit="1" customWidth="1"/>
    <col min="19" max="19" width="16.33203125" bestFit="1" customWidth="1"/>
    <col min="20" max="20" width="19" bestFit="1" customWidth="1"/>
    <col min="21" max="21" width="17" bestFit="1" customWidth="1"/>
    <col min="22" max="22" width="16.6640625" bestFit="1" customWidth="1"/>
    <col min="23" max="23" width="36" bestFit="1" customWidth="1"/>
    <col min="24" max="24" width="20" bestFit="1" customWidth="1"/>
    <col min="25" max="25" width="16.5546875" bestFit="1" customWidth="1"/>
    <col min="26" max="26" width="9.109375" bestFit="1" customWidth="1"/>
    <col min="27" max="30" width="15.6640625" bestFit="1" customWidth="1"/>
    <col min="31" max="31" width="7.77734375" bestFit="1" customWidth="1"/>
    <col min="32" max="33" width="16.44140625" bestFit="1" customWidth="1"/>
  </cols>
  <sheetData>
    <row r="1" spans="1:25" x14ac:dyDescent="0.3">
      <c r="A1" t="s">
        <v>4</v>
      </c>
      <c r="B1" t="s">
        <v>3</v>
      </c>
      <c r="C1" t="s">
        <v>21</v>
      </c>
      <c r="D1" t="s">
        <v>0</v>
      </c>
      <c r="E1" t="s">
        <v>22</v>
      </c>
      <c r="F1" t="s">
        <v>1</v>
      </c>
      <c r="G1" t="s">
        <v>2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25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337</v>
      </c>
    </row>
    <row r="2" spans="1:25" x14ac:dyDescent="0.3">
      <c r="A2" t="s">
        <v>19</v>
      </c>
      <c r="B2">
        <v>2023</v>
      </c>
      <c r="C2">
        <v>1</v>
      </c>
      <c r="D2" s="1">
        <v>44989</v>
      </c>
      <c r="E2" s="1" t="s">
        <v>23</v>
      </c>
      <c r="F2" t="s">
        <v>14</v>
      </c>
      <c r="G2" t="s">
        <v>15</v>
      </c>
      <c r="H2" t="s">
        <v>258</v>
      </c>
      <c r="I2" t="s">
        <v>266</v>
      </c>
      <c r="J2" t="s">
        <v>258</v>
      </c>
      <c r="K2" t="s">
        <v>16</v>
      </c>
      <c r="L2" t="s">
        <v>266</v>
      </c>
      <c r="M2" t="s">
        <v>24</v>
      </c>
      <c r="N2">
        <v>143</v>
      </c>
      <c r="O2" t="s">
        <v>17</v>
      </c>
      <c r="P2" t="s">
        <v>18</v>
      </c>
      <c r="Q2" t="s">
        <v>26</v>
      </c>
      <c r="R2" t="s">
        <v>34</v>
      </c>
      <c r="S2">
        <v>207</v>
      </c>
      <c r="T2">
        <v>64</v>
      </c>
      <c r="U2">
        <v>207</v>
      </c>
      <c r="V2">
        <v>64</v>
      </c>
      <c r="W2" s="4" t="s">
        <v>35</v>
      </c>
      <c r="X2" s="4" t="s">
        <v>36</v>
      </c>
      <c r="Y2" t="s">
        <v>88</v>
      </c>
    </row>
    <row r="3" spans="1:25" ht="27" x14ac:dyDescent="0.35">
      <c r="A3" t="s">
        <v>37</v>
      </c>
      <c r="B3">
        <v>2023</v>
      </c>
      <c r="C3">
        <v>2</v>
      </c>
      <c r="D3" s="1">
        <v>44990</v>
      </c>
      <c r="E3" s="1" t="s">
        <v>155</v>
      </c>
      <c r="F3" t="s">
        <v>156</v>
      </c>
      <c r="G3" t="s">
        <v>157</v>
      </c>
      <c r="H3" t="s">
        <v>158</v>
      </c>
      <c r="I3" t="s">
        <v>159</v>
      </c>
      <c r="J3" t="s">
        <v>159</v>
      </c>
      <c r="K3" t="s">
        <v>16</v>
      </c>
      <c r="L3" t="s">
        <v>158</v>
      </c>
      <c r="M3" t="s">
        <v>24</v>
      </c>
      <c r="N3">
        <v>60</v>
      </c>
      <c r="O3" t="s">
        <v>160</v>
      </c>
      <c r="P3" t="s">
        <v>18</v>
      </c>
      <c r="Q3" t="s">
        <v>26</v>
      </c>
      <c r="R3" t="s">
        <v>34</v>
      </c>
      <c r="S3">
        <v>223</v>
      </c>
      <c r="T3">
        <v>163</v>
      </c>
      <c r="U3">
        <v>223</v>
      </c>
      <c r="V3">
        <v>163</v>
      </c>
      <c r="W3" s="3" t="s">
        <v>161</v>
      </c>
      <c r="X3" s="5" t="s">
        <v>162</v>
      </c>
      <c r="Y3" t="s">
        <v>88</v>
      </c>
    </row>
    <row r="4" spans="1:25" ht="27" x14ac:dyDescent="0.35">
      <c r="A4" t="s">
        <v>136</v>
      </c>
      <c r="B4">
        <v>2023</v>
      </c>
      <c r="C4">
        <v>3</v>
      </c>
      <c r="D4" s="1">
        <v>44990</v>
      </c>
      <c r="E4" s="1" t="s">
        <v>155</v>
      </c>
      <c r="F4" s="2" t="s">
        <v>209</v>
      </c>
      <c r="G4" t="s">
        <v>15</v>
      </c>
      <c r="H4" t="s">
        <v>219</v>
      </c>
      <c r="I4" t="s">
        <v>258</v>
      </c>
      <c r="J4" t="s">
        <v>258</v>
      </c>
      <c r="K4" t="s">
        <v>251</v>
      </c>
      <c r="L4" t="s">
        <v>219</v>
      </c>
      <c r="M4" t="s">
        <v>210</v>
      </c>
      <c r="N4">
        <v>3</v>
      </c>
      <c r="O4" t="s">
        <v>211</v>
      </c>
      <c r="P4" t="s">
        <v>18</v>
      </c>
      <c r="Q4" t="s">
        <v>26</v>
      </c>
      <c r="R4" t="s">
        <v>34</v>
      </c>
      <c r="S4">
        <v>169</v>
      </c>
      <c r="T4">
        <v>175</v>
      </c>
      <c r="U4">
        <v>175</v>
      </c>
      <c r="V4">
        <v>169</v>
      </c>
      <c r="W4" s="3" t="s">
        <v>212</v>
      </c>
      <c r="X4" s="5" t="s">
        <v>213</v>
      </c>
      <c r="Y4" t="s">
        <v>88</v>
      </c>
    </row>
    <row r="5" spans="1:25" ht="27" x14ac:dyDescent="0.35">
      <c r="A5" t="s">
        <v>137</v>
      </c>
      <c r="B5">
        <v>2023</v>
      </c>
      <c r="C5">
        <v>4</v>
      </c>
      <c r="D5" s="1">
        <v>44991</v>
      </c>
      <c r="E5" s="1" t="s">
        <v>249</v>
      </c>
      <c r="F5" t="s">
        <v>250</v>
      </c>
      <c r="G5" t="s">
        <v>157</v>
      </c>
      <c r="H5" t="s">
        <v>159</v>
      </c>
      <c r="I5" t="s">
        <v>266</v>
      </c>
      <c r="J5" t="s">
        <v>159</v>
      </c>
      <c r="K5" t="s">
        <v>251</v>
      </c>
      <c r="L5" t="s">
        <v>266</v>
      </c>
      <c r="M5" t="s">
        <v>210</v>
      </c>
      <c r="N5">
        <v>9</v>
      </c>
      <c r="O5" t="s">
        <v>88</v>
      </c>
      <c r="P5" t="s">
        <v>18</v>
      </c>
      <c r="Q5" t="s">
        <v>26</v>
      </c>
      <c r="R5" t="s">
        <v>34</v>
      </c>
      <c r="S5">
        <v>155</v>
      </c>
      <c r="T5">
        <v>159</v>
      </c>
      <c r="U5">
        <v>159</v>
      </c>
      <c r="V5">
        <v>155</v>
      </c>
      <c r="W5" s="3" t="s">
        <v>252</v>
      </c>
      <c r="X5" s="5" t="s">
        <v>253</v>
      </c>
      <c r="Y5" t="s">
        <v>88</v>
      </c>
    </row>
    <row r="6" spans="1:25" ht="27" x14ac:dyDescent="0.35">
      <c r="A6" t="s">
        <v>138</v>
      </c>
      <c r="B6">
        <v>2023</v>
      </c>
      <c r="C6">
        <v>5</v>
      </c>
      <c r="D6" s="1">
        <v>44992</v>
      </c>
      <c r="E6" s="1" t="s">
        <v>260</v>
      </c>
      <c r="F6" t="s">
        <v>14</v>
      </c>
      <c r="G6" t="s">
        <v>15</v>
      </c>
      <c r="H6" t="s">
        <v>158</v>
      </c>
      <c r="I6" t="s">
        <v>219</v>
      </c>
      <c r="J6" t="s">
        <v>219</v>
      </c>
      <c r="K6" t="s">
        <v>16</v>
      </c>
      <c r="L6" t="s">
        <v>158</v>
      </c>
      <c r="M6" t="s">
        <v>24</v>
      </c>
      <c r="N6">
        <v>42</v>
      </c>
      <c r="O6" t="s">
        <v>199</v>
      </c>
      <c r="P6" t="s">
        <v>18</v>
      </c>
      <c r="Q6" t="s">
        <v>26</v>
      </c>
      <c r="R6" t="s">
        <v>34</v>
      </c>
      <c r="S6">
        <v>211</v>
      </c>
      <c r="T6">
        <v>169</v>
      </c>
      <c r="U6">
        <v>211</v>
      </c>
      <c r="V6">
        <v>169</v>
      </c>
      <c r="W6" s="3" t="s">
        <v>261</v>
      </c>
      <c r="X6" s="5" t="s">
        <v>162</v>
      </c>
      <c r="Y6" t="s">
        <v>88</v>
      </c>
    </row>
    <row r="7" spans="1:25" ht="29.4" x14ac:dyDescent="0.35">
      <c r="A7" t="s">
        <v>139</v>
      </c>
      <c r="B7">
        <v>2023</v>
      </c>
      <c r="C7">
        <v>6</v>
      </c>
      <c r="D7" s="1">
        <v>44993</v>
      </c>
      <c r="E7" s="1" t="s">
        <v>267</v>
      </c>
      <c r="F7" t="s">
        <v>156</v>
      </c>
      <c r="G7" t="s">
        <v>157</v>
      </c>
      <c r="H7" t="s">
        <v>258</v>
      </c>
      <c r="I7" t="s">
        <v>159</v>
      </c>
      <c r="J7" t="s">
        <v>258</v>
      </c>
      <c r="K7" t="s">
        <v>251</v>
      </c>
      <c r="L7" t="s">
        <v>258</v>
      </c>
      <c r="M7" t="s">
        <v>24</v>
      </c>
      <c r="N7">
        <v>11</v>
      </c>
      <c r="O7" t="s">
        <v>241</v>
      </c>
      <c r="P7" t="s">
        <v>18</v>
      </c>
      <c r="Q7" t="s">
        <v>26</v>
      </c>
      <c r="R7" t="s">
        <v>34</v>
      </c>
      <c r="S7">
        <v>201</v>
      </c>
      <c r="T7">
        <v>190</v>
      </c>
      <c r="U7">
        <v>201</v>
      </c>
      <c r="V7">
        <v>190</v>
      </c>
      <c r="W7" s="6" t="s">
        <v>270</v>
      </c>
      <c r="X7" s="5" t="s">
        <v>36</v>
      </c>
      <c r="Y7" t="s">
        <v>88</v>
      </c>
    </row>
    <row r="8" spans="1:25" ht="27" x14ac:dyDescent="0.35">
      <c r="A8" t="s">
        <v>140</v>
      </c>
      <c r="B8">
        <v>2023</v>
      </c>
      <c r="C8">
        <v>7</v>
      </c>
      <c r="D8" s="1">
        <v>44994</v>
      </c>
      <c r="E8" s="1" t="s">
        <v>268</v>
      </c>
      <c r="F8" t="s">
        <v>209</v>
      </c>
      <c r="G8" t="s">
        <v>15</v>
      </c>
      <c r="H8" t="s">
        <v>158</v>
      </c>
      <c r="I8" t="s">
        <v>266</v>
      </c>
      <c r="J8" t="s">
        <v>158</v>
      </c>
      <c r="K8" t="s">
        <v>251</v>
      </c>
      <c r="L8" t="s">
        <v>266</v>
      </c>
      <c r="M8" t="s">
        <v>210</v>
      </c>
      <c r="N8">
        <v>8</v>
      </c>
      <c r="O8" t="s">
        <v>106</v>
      </c>
      <c r="P8" t="s">
        <v>18</v>
      </c>
      <c r="Q8" t="s">
        <v>26</v>
      </c>
      <c r="R8" t="s">
        <v>34</v>
      </c>
      <c r="S8">
        <v>105</v>
      </c>
      <c r="T8">
        <v>109</v>
      </c>
      <c r="U8">
        <v>109</v>
      </c>
      <c r="V8">
        <v>105</v>
      </c>
      <c r="W8" s="3" t="s">
        <v>280</v>
      </c>
      <c r="X8" s="5" t="s">
        <v>281</v>
      </c>
      <c r="Y8" t="s">
        <v>88</v>
      </c>
    </row>
    <row r="9" spans="1:25" ht="28.2" x14ac:dyDescent="0.35">
      <c r="A9" t="s">
        <v>141</v>
      </c>
      <c r="B9">
        <v>2023</v>
      </c>
      <c r="C9">
        <v>8</v>
      </c>
      <c r="D9" s="1">
        <v>44995</v>
      </c>
      <c r="E9" s="1" t="s">
        <v>269</v>
      </c>
      <c r="F9" t="s">
        <v>156</v>
      </c>
      <c r="G9" t="s">
        <v>157</v>
      </c>
      <c r="H9" t="s">
        <v>159</v>
      </c>
      <c r="I9" t="s">
        <v>219</v>
      </c>
      <c r="J9" t="s">
        <v>159</v>
      </c>
      <c r="K9" t="s">
        <v>251</v>
      </c>
      <c r="L9" t="s">
        <v>219</v>
      </c>
      <c r="M9" t="s">
        <v>210</v>
      </c>
      <c r="N9">
        <v>10</v>
      </c>
      <c r="O9" t="s">
        <v>218</v>
      </c>
      <c r="P9" t="s">
        <v>18</v>
      </c>
      <c r="Q9" t="s">
        <v>26</v>
      </c>
      <c r="R9" t="s">
        <v>34</v>
      </c>
      <c r="S9">
        <v>138</v>
      </c>
      <c r="T9">
        <v>139</v>
      </c>
      <c r="U9">
        <v>139</v>
      </c>
      <c r="V9">
        <v>138</v>
      </c>
      <c r="W9" s="7" t="s">
        <v>285</v>
      </c>
      <c r="X9" s="5" t="s">
        <v>213</v>
      </c>
      <c r="Y9" t="s">
        <v>88</v>
      </c>
    </row>
    <row r="10" spans="1:25" ht="27" x14ac:dyDescent="0.35">
      <c r="A10" t="s">
        <v>142</v>
      </c>
      <c r="B10">
        <v>2023</v>
      </c>
      <c r="C10">
        <v>9</v>
      </c>
      <c r="D10" s="1">
        <v>44996</v>
      </c>
      <c r="E10" s="1" t="s">
        <v>23</v>
      </c>
      <c r="F10" t="s">
        <v>209</v>
      </c>
      <c r="G10" t="s">
        <v>15</v>
      </c>
      <c r="H10" t="s">
        <v>258</v>
      </c>
      <c r="I10" t="s">
        <v>158</v>
      </c>
      <c r="J10" t="s">
        <v>258</v>
      </c>
      <c r="K10" t="s">
        <v>251</v>
      </c>
      <c r="L10" t="s">
        <v>158</v>
      </c>
      <c r="M10" t="s">
        <v>210</v>
      </c>
      <c r="N10">
        <v>10</v>
      </c>
      <c r="O10" t="s">
        <v>193</v>
      </c>
      <c r="P10" t="s">
        <v>18</v>
      </c>
      <c r="Q10" t="s">
        <v>26</v>
      </c>
      <c r="R10" t="s">
        <v>34</v>
      </c>
      <c r="S10">
        <v>105</v>
      </c>
      <c r="T10">
        <v>107</v>
      </c>
      <c r="U10">
        <v>107</v>
      </c>
      <c r="V10">
        <v>105</v>
      </c>
      <c r="W10" s="3" t="s">
        <v>290</v>
      </c>
      <c r="X10" s="5" t="s">
        <v>36</v>
      </c>
      <c r="Y10" t="s">
        <v>88</v>
      </c>
    </row>
    <row r="11" spans="1:25" ht="27" x14ac:dyDescent="0.35">
      <c r="A11" t="s">
        <v>143</v>
      </c>
      <c r="B11">
        <v>2023</v>
      </c>
      <c r="C11">
        <v>10</v>
      </c>
      <c r="D11" s="1">
        <v>44997</v>
      </c>
      <c r="E11" s="1" t="s">
        <v>155</v>
      </c>
      <c r="F11" t="s">
        <v>156</v>
      </c>
      <c r="G11" t="s">
        <v>157</v>
      </c>
      <c r="H11" t="s">
        <v>219</v>
      </c>
      <c r="I11" t="s">
        <v>266</v>
      </c>
      <c r="J11" t="s">
        <v>219</v>
      </c>
      <c r="K11" t="s">
        <v>251</v>
      </c>
      <c r="L11" t="s">
        <v>266</v>
      </c>
      <c r="M11" t="s">
        <v>210</v>
      </c>
      <c r="N11">
        <v>8</v>
      </c>
      <c r="O11" t="s">
        <v>17</v>
      </c>
      <c r="P11" t="s">
        <v>18</v>
      </c>
      <c r="Q11" t="s">
        <v>26</v>
      </c>
      <c r="R11" t="s">
        <v>34</v>
      </c>
      <c r="S11">
        <v>159</v>
      </c>
      <c r="T11">
        <v>164</v>
      </c>
      <c r="U11">
        <v>164</v>
      </c>
      <c r="V11">
        <v>159</v>
      </c>
      <c r="W11" s="3" t="s">
        <v>296</v>
      </c>
      <c r="X11" s="5" t="s">
        <v>162</v>
      </c>
      <c r="Y11" t="s">
        <v>88</v>
      </c>
    </row>
    <row r="12" spans="1:25" ht="29.4" x14ac:dyDescent="0.35">
      <c r="A12" t="s">
        <v>144</v>
      </c>
      <c r="B12">
        <v>2023</v>
      </c>
      <c r="C12">
        <v>11</v>
      </c>
      <c r="D12" s="1">
        <v>44998</v>
      </c>
      <c r="E12" s="1" t="s">
        <v>249</v>
      </c>
      <c r="F12" t="s">
        <v>209</v>
      </c>
      <c r="G12" t="s">
        <v>15</v>
      </c>
      <c r="H12" t="s">
        <v>158</v>
      </c>
      <c r="I12" t="s">
        <v>159</v>
      </c>
      <c r="J12" t="s">
        <v>158</v>
      </c>
      <c r="K12" t="s">
        <v>16</v>
      </c>
      <c r="L12" t="s">
        <v>158</v>
      </c>
      <c r="M12" t="s">
        <v>210</v>
      </c>
      <c r="N12">
        <v>6</v>
      </c>
      <c r="O12" t="s">
        <v>199</v>
      </c>
      <c r="P12" t="s">
        <v>18</v>
      </c>
      <c r="Q12" t="s">
        <v>26</v>
      </c>
      <c r="R12" t="s">
        <v>34</v>
      </c>
      <c r="S12">
        <v>150</v>
      </c>
      <c r="T12">
        <v>154</v>
      </c>
      <c r="U12">
        <v>154</v>
      </c>
      <c r="V12">
        <v>150</v>
      </c>
      <c r="W12" s="6" t="s">
        <v>299</v>
      </c>
      <c r="X12" s="5" t="s">
        <v>213</v>
      </c>
      <c r="Y12" t="s">
        <v>88</v>
      </c>
    </row>
    <row r="13" spans="1:25" ht="29.4" x14ac:dyDescent="0.35">
      <c r="A13" t="s">
        <v>145</v>
      </c>
      <c r="B13">
        <v>2023</v>
      </c>
      <c r="C13">
        <v>12</v>
      </c>
      <c r="D13" s="1">
        <v>44999</v>
      </c>
      <c r="E13" s="1" t="s">
        <v>260</v>
      </c>
      <c r="F13" t="s">
        <v>156</v>
      </c>
      <c r="G13" t="s">
        <v>157</v>
      </c>
      <c r="H13" t="s">
        <v>266</v>
      </c>
      <c r="I13" t="s">
        <v>258</v>
      </c>
      <c r="J13" t="s">
        <v>258</v>
      </c>
      <c r="K13" t="s">
        <v>16</v>
      </c>
      <c r="L13" t="s">
        <v>266</v>
      </c>
      <c r="M13" t="s">
        <v>24</v>
      </c>
      <c r="N13">
        <v>55</v>
      </c>
      <c r="O13" t="s">
        <v>17</v>
      </c>
      <c r="P13" t="s">
        <v>18</v>
      </c>
      <c r="Q13" t="s">
        <v>26</v>
      </c>
      <c r="R13" t="s">
        <v>34</v>
      </c>
      <c r="S13">
        <v>162</v>
      </c>
      <c r="T13">
        <v>107</v>
      </c>
      <c r="U13">
        <v>162</v>
      </c>
      <c r="V13">
        <v>107</v>
      </c>
      <c r="W13" s="6" t="s">
        <v>301</v>
      </c>
      <c r="X13" s="5" t="s">
        <v>281</v>
      </c>
      <c r="Y13" t="s">
        <v>88</v>
      </c>
    </row>
    <row r="14" spans="1:25" ht="29.4" x14ac:dyDescent="0.35">
      <c r="A14" t="s">
        <v>146</v>
      </c>
      <c r="B14">
        <v>2023</v>
      </c>
      <c r="C14">
        <v>13</v>
      </c>
      <c r="D14" s="1">
        <v>45000</v>
      </c>
      <c r="E14" s="1" t="s">
        <v>267</v>
      </c>
      <c r="F14" t="s">
        <v>209</v>
      </c>
      <c r="G14" t="s">
        <v>15</v>
      </c>
      <c r="H14" t="s">
        <v>219</v>
      </c>
      <c r="I14" t="s">
        <v>159</v>
      </c>
      <c r="J14" t="s">
        <v>159</v>
      </c>
      <c r="K14" t="s">
        <v>16</v>
      </c>
      <c r="L14" t="s">
        <v>159</v>
      </c>
      <c r="M14" t="s">
        <v>210</v>
      </c>
      <c r="N14">
        <v>5</v>
      </c>
      <c r="O14" t="s">
        <v>179</v>
      </c>
      <c r="P14" t="s">
        <v>18</v>
      </c>
      <c r="Q14" t="s">
        <v>26</v>
      </c>
      <c r="R14" t="s">
        <v>34</v>
      </c>
      <c r="S14">
        <v>135</v>
      </c>
      <c r="T14">
        <v>136</v>
      </c>
      <c r="U14">
        <v>136</v>
      </c>
      <c r="V14">
        <v>135</v>
      </c>
      <c r="W14" s="6" t="s">
        <v>305</v>
      </c>
      <c r="X14" s="5" t="s">
        <v>36</v>
      </c>
      <c r="Y14" t="s">
        <v>88</v>
      </c>
    </row>
    <row r="15" spans="1:25" ht="29.4" x14ac:dyDescent="0.35">
      <c r="A15" t="s">
        <v>147</v>
      </c>
      <c r="B15">
        <v>2023</v>
      </c>
      <c r="C15">
        <v>14</v>
      </c>
      <c r="D15" s="1">
        <v>45001</v>
      </c>
      <c r="E15" s="1" t="s">
        <v>268</v>
      </c>
      <c r="F15" t="s">
        <v>156</v>
      </c>
      <c r="G15" t="s">
        <v>157</v>
      </c>
      <c r="H15" t="s">
        <v>158</v>
      </c>
      <c r="I15" t="s">
        <v>258</v>
      </c>
      <c r="J15" t="s">
        <v>158</v>
      </c>
      <c r="K15" t="s">
        <v>16</v>
      </c>
      <c r="L15" t="s">
        <v>258</v>
      </c>
      <c r="M15" t="s">
        <v>24</v>
      </c>
      <c r="N15">
        <v>11</v>
      </c>
      <c r="O15" t="s">
        <v>118</v>
      </c>
      <c r="P15" t="s">
        <v>18</v>
      </c>
      <c r="Q15" t="s">
        <v>26</v>
      </c>
      <c r="R15" t="s">
        <v>34</v>
      </c>
      <c r="S15">
        <v>147</v>
      </c>
      <c r="T15">
        <v>136</v>
      </c>
      <c r="U15">
        <v>147</v>
      </c>
      <c r="V15">
        <v>136</v>
      </c>
      <c r="W15" s="6" t="s">
        <v>308</v>
      </c>
      <c r="X15" s="5" t="s">
        <v>162</v>
      </c>
      <c r="Y15" t="s">
        <v>88</v>
      </c>
    </row>
    <row r="16" spans="1:25" ht="29.4" x14ac:dyDescent="0.35">
      <c r="A16" t="s">
        <v>148</v>
      </c>
      <c r="B16">
        <v>2023</v>
      </c>
      <c r="C16">
        <v>15</v>
      </c>
      <c r="D16" s="1">
        <v>45003</v>
      </c>
      <c r="E16" s="1" t="s">
        <v>23</v>
      </c>
      <c r="F16" t="s">
        <v>209</v>
      </c>
      <c r="G16" t="s">
        <v>15</v>
      </c>
      <c r="H16" t="s">
        <v>266</v>
      </c>
      <c r="I16" t="s">
        <v>219</v>
      </c>
      <c r="J16" t="s">
        <v>219</v>
      </c>
      <c r="K16" t="s">
        <v>16</v>
      </c>
      <c r="L16" t="s">
        <v>219</v>
      </c>
      <c r="M16" t="s">
        <v>210</v>
      </c>
      <c r="N16">
        <v>5</v>
      </c>
      <c r="O16" t="s">
        <v>225</v>
      </c>
      <c r="P16" t="s">
        <v>18</v>
      </c>
      <c r="Q16" t="s">
        <v>26</v>
      </c>
      <c r="R16" t="s">
        <v>34</v>
      </c>
      <c r="S16">
        <v>127</v>
      </c>
      <c r="T16">
        <v>129</v>
      </c>
      <c r="U16">
        <v>129</v>
      </c>
      <c r="V16">
        <v>127</v>
      </c>
      <c r="W16" s="6" t="s">
        <v>313</v>
      </c>
      <c r="X16" s="5" t="s">
        <v>281</v>
      </c>
      <c r="Y16" t="s">
        <v>88</v>
      </c>
    </row>
    <row r="17" spans="1:25" ht="29.4" x14ac:dyDescent="0.35">
      <c r="A17" t="s">
        <v>149</v>
      </c>
      <c r="B17">
        <v>2023</v>
      </c>
      <c r="C17">
        <v>16</v>
      </c>
      <c r="D17" s="1">
        <v>45003</v>
      </c>
      <c r="E17" s="1" t="s">
        <v>23</v>
      </c>
      <c r="F17" t="s">
        <v>156</v>
      </c>
      <c r="G17" t="s">
        <v>157</v>
      </c>
      <c r="H17" t="s">
        <v>258</v>
      </c>
      <c r="I17" t="s">
        <v>159</v>
      </c>
      <c r="J17" t="s">
        <v>258</v>
      </c>
      <c r="K17" t="s">
        <v>251</v>
      </c>
      <c r="L17" t="s">
        <v>159</v>
      </c>
      <c r="M17" t="s">
        <v>210</v>
      </c>
      <c r="N17">
        <v>8</v>
      </c>
      <c r="O17" t="s">
        <v>168</v>
      </c>
      <c r="P17" t="s">
        <v>18</v>
      </c>
      <c r="Q17" t="s">
        <v>26</v>
      </c>
      <c r="R17" t="s">
        <v>34</v>
      </c>
      <c r="S17">
        <v>188</v>
      </c>
      <c r="T17">
        <v>189</v>
      </c>
      <c r="U17">
        <v>189</v>
      </c>
      <c r="V17">
        <v>188</v>
      </c>
      <c r="W17" s="6" t="s">
        <v>316</v>
      </c>
      <c r="X17" s="5" t="s">
        <v>213</v>
      </c>
      <c r="Y17" t="s">
        <v>88</v>
      </c>
    </row>
    <row r="18" spans="1:25" ht="29.4" x14ac:dyDescent="0.35">
      <c r="A18" t="s">
        <v>150</v>
      </c>
      <c r="B18">
        <v>2023</v>
      </c>
      <c r="C18">
        <v>17</v>
      </c>
      <c r="D18" s="1">
        <v>45005</v>
      </c>
      <c r="E18" s="1" t="s">
        <v>249</v>
      </c>
      <c r="F18" t="s">
        <v>156</v>
      </c>
      <c r="G18" t="s">
        <v>157</v>
      </c>
      <c r="H18" t="s">
        <v>258</v>
      </c>
      <c r="I18" t="s">
        <v>219</v>
      </c>
      <c r="J18" t="s">
        <v>258</v>
      </c>
      <c r="K18" t="s">
        <v>251</v>
      </c>
      <c r="L18" t="s">
        <v>219</v>
      </c>
      <c r="M18" t="s">
        <v>210</v>
      </c>
      <c r="N18">
        <v>3</v>
      </c>
      <c r="O18" t="s">
        <v>211</v>
      </c>
      <c r="P18" t="s">
        <v>18</v>
      </c>
      <c r="Q18" t="s">
        <v>26</v>
      </c>
      <c r="R18" t="s">
        <v>34</v>
      </c>
      <c r="S18">
        <v>178</v>
      </c>
      <c r="T18">
        <v>181</v>
      </c>
      <c r="U18">
        <v>181</v>
      </c>
      <c r="V18">
        <v>178</v>
      </c>
      <c r="W18" s="6" t="s">
        <v>319</v>
      </c>
      <c r="X18" s="5" t="s">
        <v>36</v>
      </c>
      <c r="Y18" t="s">
        <v>88</v>
      </c>
    </row>
    <row r="19" spans="1:25" ht="29.4" x14ac:dyDescent="0.35">
      <c r="A19" t="s">
        <v>151</v>
      </c>
      <c r="B19">
        <v>2023</v>
      </c>
      <c r="C19">
        <v>18</v>
      </c>
      <c r="D19" s="1">
        <v>45005</v>
      </c>
      <c r="E19" s="1" t="s">
        <v>249</v>
      </c>
      <c r="F19" t="s">
        <v>209</v>
      </c>
      <c r="G19" t="s">
        <v>15</v>
      </c>
      <c r="H19" t="s">
        <v>266</v>
      </c>
      <c r="I19" t="s">
        <v>158</v>
      </c>
      <c r="J19" t="s">
        <v>158</v>
      </c>
      <c r="K19" t="s">
        <v>16</v>
      </c>
      <c r="L19" t="s">
        <v>158</v>
      </c>
      <c r="M19" t="s">
        <v>210</v>
      </c>
      <c r="N19">
        <v>9</v>
      </c>
      <c r="O19" t="s">
        <v>193</v>
      </c>
      <c r="P19" t="s">
        <v>18</v>
      </c>
      <c r="Q19" t="s">
        <v>26</v>
      </c>
      <c r="R19" t="s">
        <v>34</v>
      </c>
      <c r="S19">
        <v>109</v>
      </c>
      <c r="T19">
        <v>110</v>
      </c>
      <c r="U19">
        <v>110</v>
      </c>
      <c r="V19">
        <v>109</v>
      </c>
      <c r="W19" s="6" t="s">
        <v>321</v>
      </c>
      <c r="X19" s="5" t="s">
        <v>162</v>
      </c>
      <c r="Y19" t="s">
        <v>88</v>
      </c>
    </row>
    <row r="20" spans="1:25" ht="29.4" x14ac:dyDescent="0.35">
      <c r="A20" t="s">
        <v>152</v>
      </c>
      <c r="B20">
        <v>2023</v>
      </c>
      <c r="C20">
        <v>19</v>
      </c>
      <c r="D20" s="1">
        <v>45006</v>
      </c>
      <c r="E20" s="1" t="s">
        <v>260</v>
      </c>
      <c r="F20" t="s">
        <v>209</v>
      </c>
      <c r="G20" t="s">
        <v>15</v>
      </c>
      <c r="H20" t="s">
        <v>266</v>
      </c>
      <c r="I20" t="s">
        <v>159</v>
      </c>
      <c r="J20" t="s">
        <v>266</v>
      </c>
      <c r="K20" t="s">
        <v>16</v>
      </c>
      <c r="L20" t="s">
        <v>266</v>
      </c>
      <c r="M20" t="s">
        <v>210</v>
      </c>
      <c r="N20">
        <v>4</v>
      </c>
      <c r="O20" t="s">
        <v>95</v>
      </c>
      <c r="P20" t="s">
        <v>18</v>
      </c>
      <c r="Q20" t="s">
        <v>26</v>
      </c>
      <c r="R20" t="s">
        <v>34</v>
      </c>
      <c r="S20">
        <v>129</v>
      </c>
      <c r="T20">
        <v>125</v>
      </c>
      <c r="U20">
        <v>129</v>
      </c>
      <c r="V20">
        <v>125</v>
      </c>
      <c r="W20" s="6" t="s">
        <v>323</v>
      </c>
      <c r="X20" s="5" t="s">
        <v>213</v>
      </c>
      <c r="Y20" t="s">
        <v>88</v>
      </c>
    </row>
    <row r="21" spans="1:25" ht="27" x14ac:dyDescent="0.35">
      <c r="A21" t="s">
        <v>153</v>
      </c>
      <c r="B21">
        <v>2023</v>
      </c>
      <c r="C21">
        <v>20</v>
      </c>
      <c r="D21" s="1">
        <v>45006</v>
      </c>
      <c r="E21" s="1" t="s">
        <v>260</v>
      </c>
      <c r="F21" t="s">
        <v>156</v>
      </c>
      <c r="G21" t="s">
        <v>157</v>
      </c>
      <c r="H21" t="s">
        <v>219</v>
      </c>
      <c r="I21" t="s">
        <v>158</v>
      </c>
      <c r="J21" t="s">
        <v>158</v>
      </c>
      <c r="K21" t="s">
        <v>16</v>
      </c>
      <c r="L21" t="s">
        <v>158</v>
      </c>
      <c r="M21" t="s">
        <v>210</v>
      </c>
      <c r="N21">
        <v>5</v>
      </c>
      <c r="O21" t="s">
        <v>197</v>
      </c>
      <c r="P21" t="s">
        <v>18</v>
      </c>
      <c r="Q21" t="s">
        <v>26</v>
      </c>
      <c r="R21" t="s">
        <v>34</v>
      </c>
      <c r="S21">
        <v>138</v>
      </c>
      <c r="T21">
        <v>142</v>
      </c>
      <c r="U21">
        <v>142</v>
      </c>
      <c r="V21">
        <v>138</v>
      </c>
      <c r="W21" s="3" t="s">
        <v>325</v>
      </c>
      <c r="X21" s="5" t="s">
        <v>281</v>
      </c>
      <c r="Y21" t="s">
        <v>88</v>
      </c>
    </row>
    <row r="22" spans="1:25" ht="29.4" x14ac:dyDescent="0.35">
      <c r="A22" t="s">
        <v>154</v>
      </c>
      <c r="B22">
        <v>2023</v>
      </c>
      <c r="C22">
        <v>21</v>
      </c>
      <c r="D22" s="1">
        <v>45009</v>
      </c>
      <c r="E22" s="1" t="s">
        <v>269</v>
      </c>
      <c r="F22" t="s">
        <v>209</v>
      </c>
      <c r="G22" t="s">
        <v>15</v>
      </c>
      <c r="H22" t="s">
        <v>266</v>
      </c>
      <c r="I22" t="s">
        <v>219</v>
      </c>
      <c r="J22" t="s">
        <v>219</v>
      </c>
      <c r="K22" t="s">
        <v>16</v>
      </c>
      <c r="L22" t="s">
        <v>266</v>
      </c>
      <c r="M22" t="s">
        <v>24</v>
      </c>
      <c r="N22">
        <v>72</v>
      </c>
      <c r="O22" t="s">
        <v>90</v>
      </c>
      <c r="P22" t="s">
        <v>328</v>
      </c>
      <c r="Q22" t="s">
        <v>26</v>
      </c>
      <c r="R22" t="s">
        <v>34</v>
      </c>
      <c r="S22">
        <v>182</v>
      </c>
      <c r="T22">
        <v>110</v>
      </c>
      <c r="U22">
        <v>182</v>
      </c>
      <c r="V22">
        <v>110</v>
      </c>
      <c r="W22" s="6" t="s">
        <v>329</v>
      </c>
      <c r="X22" s="5" t="s">
        <v>162</v>
      </c>
      <c r="Y22" t="s">
        <v>88</v>
      </c>
    </row>
    <row r="23" spans="1:25" ht="29.4" x14ac:dyDescent="0.35">
      <c r="A23" t="s">
        <v>327</v>
      </c>
      <c r="B23">
        <v>2023</v>
      </c>
      <c r="C23">
        <v>22</v>
      </c>
      <c r="D23" s="1">
        <v>45011</v>
      </c>
      <c r="E23" s="1" t="s">
        <v>155</v>
      </c>
      <c r="F23" t="s">
        <v>156</v>
      </c>
      <c r="G23" t="s">
        <v>157</v>
      </c>
      <c r="H23" t="s">
        <v>158</v>
      </c>
      <c r="I23" t="s">
        <v>266</v>
      </c>
      <c r="J23" t="s">
        <v>158</v>
      </c>
      <c r="K23" t="s">
        <v>251</v>
      </c>
      <c r="L23" t="s">
        <v>266</v>
      </c>
      <c r="M23" t="s">
        <v>210</v>
      </c>
      <c r="N23">
        <v>7</v>
      </c>
      <c r="O23" t="s">
        <v>90</v>
      </c>
      <c r="P23" t="s">
        <v>333</v>
      </c>
      <c r="Q23" t="s">
        <v>26</v>
      </c>
      <c r="R23" t="s">
        <v>34</v>
      </c>
      <c r="S23">
        <v>131</v>
      </c>
      <c r="T23">
        <v>134</v>
      </c>
      <c r="U23">
        <v>134</v>
      </c>
      <c r="V23">
        <v>131</v>
      </c>
      <c r="W23" s="6" t="s">
        <v>334</v>
      </c>
      <c r="X23" s="5" t="s">
        <v>36</v>
      </c>
      <c r="Y23" t="s">
        <v>88</v>
      </c>
    </row>
    <row r="24" spans="1:25" ht="29.4" x14ac:dyDescent="0.35">
      <c r="A24" t="s">
        <v>338</v>
      </c>
      <c r="B24">
        <v>2024</v>
      </c>
      <c r="C24">
        <v>23</v>
      </c>
      <c r="D24" s="1">
        <v>45345</v>
      </c>
      <c r="E24" s="1" t="s">
        <v>269</v>
      </c>
      <c r="F24" t="s">
        <v>339</v>
      </c>
      <c r="G24" t="s">
        <v>340</v>
      </c>
      <c r="H24" t="s">
        <v>158</v>
      </c>
      <c r="I24" t="s">
        <v>266</v>
      </c>
      <c r="J24" t="s">
        <v>266</v>
      </c>
      <c r="K24" t="s">
        <v>16</v>
      </c>
      <c r="L24" t="s">
        <v>266</v>
      </c>
      <c r="M24" t="s">
        <v>341</v>
      </c>
      <c r="N24">
        <v>4</v>
      </c>
      <c r="O24" t="s">
        <v>17</v>
      </c>
      <c r="P24" t="s">
        <v>18</v>
      </c>
      <c r="Q24" t="s">
        <v>26</v>
      </c>
      <c r="R24" t="s">
        <v>34</v>
      </c>
      <c r="S24">
        <v>171</v>
      </c>
      <c r="T24">
        <v>173</v>
      </c>
      <c r="U24">
        <v>173</v>
      </c>
      <c r="V24">
        <v>171</v>
      </c>
      <c r="W24" s="6" t="s">
        <v>342</v>
      </c>
      <c r="X24" s="5" t="s">
        <v>36</v>
      </c>
      <c r="Y24" t="s">
        <v>225</v>
      </c>
    </row>
    <row r="25" spans="1:25" ht="29.4" x14ac:dyDescent="0.35">
      <c r="A25" t="s">
        <v>349</v>
      </c>
      <c r="B25">
        <v>2024</v>
      </c>
      <c r="C25">
        <v>24</v>
      </c>
      <c r="D25" s="1">
        <v>45346</v>
      </c>
      <c r="E25" s="1" t="s">
        <v>23</v>
      </c>
      <c r="F25" t="s">
        <v>339</v>
      </c>
      <c r="G25" t="s">
        <v>340</v>
      </c>
      <c r="H25" t="s">
        <v>159</v>
      </c>
      <c r="I25" t="s">
        <v>219</v>
      </c>
      <c r="J25" t="s">
        <v>219</v>
      </c>
      <c r="K25" t="s">
        <v>16</v>
      </c>
      <c r="L25" t="s">
        <v>159</v>
      </c>
      <c r="M25" t="s">
        <v>24</v>
      </c>
      <c r="N25">
        <v>2</v>
      </c>
      <c r="O25" t="s">
        <v>369</v>
      </c>
      <c r="P25" t="s">
        <v>18</v>
      </c>
      <c r="Q25" t="s">
        <v>26</v>
      </c>
      <c r="R25" t="s">
        <v>34</v>
      </c>
      <c r="S25">
        <v>157</v>
      </c>
      <c r="T25">
        <v>155</v>
      </c>
      <c r="U25">
        <v>157</v>
      </c>
      <c r="V25">
        <v>155</v>
      </c>
      <c r="W25" s="6" t="s">
        <v>370</v>
      </c>
      <c r="X25" s="5" t="s">
        <v>162</v>
      </c>
      <c r="Y25" t="s">
        <v>225</v>
      </c>
    </row>
    <row r="26" spans="1:25" ht="29.4" x14ac:dyDescent="0.35">
      <c r="A26" t="s">
        <v>350</v>
      </c>
      <c r="B26">
        <v>2024</v>
      </c>
      <c r="C26">
        <v>25</v>
      </c>
      <c r="D26" s="1">
        <v>45347</v>
      </c>
      <c r="E26" s="1" t="s">
        <v>155</v>
      </c>
      <c r="F26" t="s">
        <v>339</v>
      </c>
      <c r="G26" t="s">
        <v>340</v>
      </c>
      <c r="H26" t="s">
        <v>258</v>
      </c>
      <c r="I26" t="s">
        <v>266</v>
      </c>
      <c r="J26" t="s">
        <v>266</v>
      </c>
      <c r="K26" t="s">
        <v>16</v>
      </c>
      <c r="L26" t="s">
        <v>266</v>
      </c>
      <c r="M26" t="s">
        <v>210</v>
      </c>
      <c r="N26">
        <v>5</v>
      </c>
      <c r="O26" t="s">
        <v>95</v>
      </c>
      <c r="P26" t="s">
        <v>18</v>
      </c>
      <c r="Q26" t="s">
        <v>26</v>
      </c>
      <c r="R26" t="s">
        <v>34</v>
      </c>
      <c r="S26">
        <v>126</v>
      </c>
      <c r="T26">
        <v>129</v>
      </c>
      <c r="U26">
        <v>129</v>
      </c>
      <c r="V26">
        <v>126</v>
      </c>
      <c r="W26" s="6" t="s">
        <v>379</v>
      </c>
      <c r="X26" s="5" t="s">
        <v>213</v>
      </c>
      <c r="Y26" t="s">
        <v>225</v>
      </c>
    </row>
    <row r="27" spans="1:25" ht="29.4" x14ac:dyDescent="0.35">
      <c r="A27" t="s">
        <v>351</v>
      </c>
      <c r="B27">
        <v>2024</v>
      </c>
      <c r="C27">
        <v>26</v>
      </c>
      <c r="D27" s="1">
        <v>45348</v>
      </c>
      <c r="E27" s="1" t="s">
        <v>249</v>
      </c>
      <c r="F27" t="s">
        <v>339</v>
      </c>
      <c r="G27" t="s">
        <v>340</v>
      </c>
      <c r="H27" t="s">
        <v>219</v>
      </c>
      <c r="I27" t="s">
        <v>158</v>
      </c>
      <c r="J27" t="s">
        <v>158</v>
      </c>
      <c r="K27" t="s">
        <v>16</v>
      </c>
      <c r="L27" t="s">
        <v>158</v>
      </c>
      <c r="M27" t="s">
        <v>210</v>
      </c>
      <c r="N27">
        <v>9</v>
      </c>
      <c r="O27" t="s">
        <v>193</v>
      </c>
      <c r="P27" t="s">
        <v>18</v>
      </c>
      <c r="Q27" t="s">
        <v>26</v>
      </c>
      <c r="R27" t="s">
        <v>34</v>
      </c>
      <c r="S27">
        <v>119</v>
      </c>
      <c r="T27">
        <v>123</v>
      </c>
      <c r="U27">
        <v>123</v>
      </c>
      <c r="V27">
        <v>119</v>
      </c>
      <c r="W27" s="6" t="s">
        <v>391</v>
      </c>
      <c r="X27" s="5" t="s">
        <v>281</v>
      </c>
      <c r="Y27" t="s">
        <v>225</v>
      </c>
    </row>
    <row r="28" spans="1:25" ht="29.4" x14ac:dyDescent="0.35">
      <c r="A28" t="s">
        <v>352</v>
      </c>
      <c r="B28">
        <v>2024</v>
      </c>
      <c r="C28">
        <v>27</v>
      </c>
      <c r="D28" s="1">
        <v>45349</v>
      </c>
      <c r="E28" s="1" t="s">
        <v>260</v>
      </c>
      <c r="F28" t="s">
        <v>339</v>
      </c>
      <c r="G28" t="s">
        <v>340</v>
      </c>
      <c r="H28" t="s">
        <v>258</v>
      </c>
      <c r="I28" t="s">
        <v>159</v>
      </c>
      <c r="J28" t="s">
        <v>159</v>
      </c>
      <c r="K28" t="s">
        <v>16</v>
      </c>
      <c r="L28" t="s">
        <v>159</v>
      </c>
      <c r="M28" t="s">
        <v>210</v>
      </c>
      <c r="N28">
        <v>8</v>
      </c>
      <c r="O28" t="s">
        <v>187</v>
      </c>
      <c r="P28" t="s">
        <v>18</v>
      </c>
      <c r="Q28" t="s">
        <v>26</v>
      </c>
      <c r="R28" t="s">
        <v>34</v>
      </c>
      <c r="S28">
        <v>107</v>
      </c>
      <c r="T28">
        <v>110</v>
      </c>
      <c r="U28">
        <v>110</v>
      </c>
      <c r="V28">
        <v>107</v>
      </c>
      <c r="W28" s="6" t="s">
        <v>396</v>
      </c>
      <c r="X28" s="5" t="s">
        <v>397</v>
      </c>
      <c r="Y28" t="s">
        <v>225</v>
      </c>
    </row>
    <row r="29" spans="1:25" ht="29.4" x14ac:dyDescent="0.35">
      <c r="A29" t="s">
        <v>353</v>
      </c>
      <c r="B29">
        <v>2024</v>
      </c>
      <c r="C29">
        <v>28</v>
      </c>
      <c r="D29" s="1">
        <v>45350</v>
      </c>
      <c r="E29" s="1" t="s">
        <v>267</v>
      </c>
      <c r="F29" t="s">
        <v>339</v>
      </c>
      <c r="G29" t="s">
        <v>340</v>
      </c>
      <c r="H29" t="s">
        <v>266</v>
      </c>
      <c r="I29" t="s">
        <v>219</v>
      </c>
      <c r="J29" t="s">
        <v>219</v>
      </c>
      <c r="K29" t="s">
        <v>16</v>
      </c>
      <c r="L29" t="s">
        <v>219</v>
      </c>
      <c r="M29" t="s">
        <v>210</v>
      </c>
      <c r="N29">
        <v>7</v>
      </c>
      <c r="O29" t="s">
        <v>230</v>
      </c>
      <c r="P29" t="s">
        <v>18</v>
      </c>
      <c r="Q29" t="s">
        <v>26</v>
      </c>
      <c r="R29" t="s">
        <v>34</v>
      </c>
      <c r="S29">
        <v>161</v>
      </c>
      <c r="T29">
        <v>163</v>
      </c>
      <c r="U29">
        <v>163</v>
      </c>
      <c r="V29">
        <v>163</v>
      </c>
      <c r="W29" s="6" t="s">
        <v>400</v>
      </c>
      <c r="X29" s="5" t="s">
        <v>36</v>
      </c>
      <c r="Y29" t="s">
        <v>225</v>
      </c>
    </row>
    <row r="30" spans="1:25" ht="29.4" x14ac:dyDescent="0.35">
      <c r="A30" t="s">
        <v>354</v>
      </c>
      <c r="B30">
        <v>2024</v>
      </c>
      <c r="C30">
        <v>29</v>
      </c>
      <c r="D30" s="1">
        <v>45351</v>
      </c>
      <c r="E30" s="1" t="s">
        <v>268</v>
      </c>
      <c r="F30" t="s">
        <v>339</v>
      </c>
      <c r="G30" t="s">
        <v>340</v>
      </c>
      <c r="H30" t="s">
        <v>158</v>
      </c>
      <c r="I30" t="s">
        <v>159</v>
      </c>
      <c r="J30" t="s">
        <v>159</v>
      </c>
      <c r="K30" t="s">
        <v>16</v>
      </c>
      <c r="L30" t="s">
        <v>158</v>
      </c>
      <c r="M30" t="s">
        <v>24</v>
      </c>
      <c r="N30">
        <v>25</v>
      </c>
      <c r="O30" t="s">
        <v>193</v>
      </c>
      <c r="P30" t="s">
        <v>18</v>
      </c>
      <c r="Q30" t="s">
        <v>26</v>
      </c>
      <c r="R30" t="s">
        <v>34</v>
      </c>
      <c r="S30">
        <v>194</v>
      </c>
      <c r="T30">
        <v>169</v>
      </c>
      <c r="U30">
        <v>194</v>
      </c>
      <c r="V30">
        <v>169</v>
      </c>
      <c r="W30" s="6" t="s">
        <v>405</v>
      </c>
      <c r="X30" s="5" t="s">
        <v>162</v>
      </c>
      <c r="Y30" t="s">
        <v>225</v>
      </c>
    </row>
    <row r="31" spans="1:25" ht="29.4" x14ac:dyDescent="0.35">
      <c r="A31" t="s">
        <v>355</v>
      </c>
      <c r="B31">
        <v>2024</v>
      </c>
      <c r="C31">
        <v>30</v>
      </c>
      <c r="D31" s="1">
        <v>45352</v>
      </c>
      <c r="E31" s="1" t="s">
        <v>269</v>
      </c>
      <c r="F31" t="s">
        <v>339</v>
      </c>
      <c r="G31" t="s">
        <v>340</v>
      </c>
      <c r="H31" t="s">
        <v>258</v>
      </c>
      <c r="I31" t="s">
        <v>219</v>
      </c>
      <c r="J31" t="s">
        <v>219</v>
      </c>
      <c r="K31" t="s">
        <v>16</v>
      </c>
      <c r="L31" t="s">
        <v>219</v>
      </c>
      <c r="M31" t="s">
        <v>210</v>
      </c>
      <c r="N31">
        <v>6</v>
      </c>
      <c r="O31" t="s">
        <v>211</v>
      </c>
      <c r="P31" t="s">
        <v>18</v>
      </c>
      <c r="Q31" t="s">
        <v>26</v>
      </c>
      <c r="R31" t="s">
        <v>34</v>
      </c>
      <c r="S31">
        <v>142</v>
      </c>
      <c r="T31">
        <v>143</v>
      </c>
      <c r="U31">
        <v>143</v>
      </c>
      <c r="V31">
        <v>142</v>
      </c>
      <c r="W31" s="6" t="s">
        <v>411</v>
      </c>
      <c r="X31" s="5" t="s">
        <v>213</v>
      </c>
      <c r="Y31" t="s">
        <v>225</v>
      </c>
    </row>
    <row r="32" spans="1:25" ht="29.4" x14ac:dyDescent="0.35">
      <c r="A32" t="s">
        <v>356</v>
      </c>
      <c r="B32">
        <v>2024</v>
      </c>
      <c r="C32">
        <v>31</v>
      </c>
      <c r="D32" s="1">
        <v>45353</v>
      </c>
      <c r="E32" s="1" t="s">
        <v>23</v>
      </c>
      <c r="F32" t="s">
        <v>339</v>
      </c>
      <c r="G32" t="s">
        <v>340</v>
      </c>
      <c r="H32" t="s">
        <v>159</v>
      </c>
      <c r="I32" t="s">
        <v>266</v>
      </c>
      <c r="J32" t="s">
        <v>266</v>
      </c>
      <c r="K32" t="s">
        <v>16</v>
      </c>
      <c r="L32" t="s">
        <v>266</v>
      </c>
      <c r="M32" t="s">
        <v>210</v>
      </c>
      <c r="N32">
        <v>7</v>
      </c>
      <c r="O32" t="s">
        <v>95</v>
      </c>
      <c r="P32" t="s">
        <v>18</v>
      </c>
      <c r="Q32" t="s">
        <v>26</v>
      </c>
      <c r="R32" t="s">
        <v>34</v>
      </c>
      <c r="S32">
        <v>131</v>
      </c>
      <c r="T32">
        <v>133</v>
      </c>
      <c r="U32">
        <v>133</v>
      </c>
      <c r="V32">
        <v>131</v>
      </c>
      <c r="W32" s="6" t="s">
        <v>417</v>
      </c>
      <c r="X32" s="5" t="s">
        <v>281</v>
      </c>
      <c r="Y32" t="s">
        <v>225</v>
      </c>
    </row>
    <row r="33" spans="1:25" ht="29.4" x14ac:dyDescent="0.35">
      <c r="A33" t="s">
        <v>357</v>
      </c>
      <c r="B33">
        <v>2024</v>
      </c>
      <c r="C33">
        <v>32</v>
      </c>
      <c r="D33" s="1">
        <v>45354</v>
      </c>
      <c r="E33" s="1" t="s">
        <v>155</v>
      </c>
      <c r="F33" t="s">
        <v>339</v>
      </c>
      <c r="G33" t="s">
        <v>340</v>
      </c>
      <c r="H33" t="s">
        <v>158</v>
      </c>
      <c r="I33" t="s">
        <v>258</v>
      </c>
      <c r="J33" t="s">
        <v>258</v>
      </c>
      <c r="K33" t="s">
        <v>16</v>
      </c>
      <c r="L33" t="s">
        <v>158</v>
      </c>
      <c r="M33" t="s">
        <v>24</v>
      </c>
      <c r="N33">
        <v>25</v>
      </c>
      <c r="O33" t="s">
        <v>199</v>
      </c>
      <c r="P33" t="s">
        <v>18</v>
      </c>
      <c r="Q33" t="s">
        <v>26</v>
      </c>
      <c r="R33" t="s">
        <v>34</v>
      </c>
      <c r="S33">
        <v>163</v>
      </c>
      <c r="T33">
        <v>138</v>
      </c>
      <c r="U33">
        <v>163</v>
      </c>
      <c r="V33">
        <v>138</v>
      </c>
      <c r="W33" s="6" t="s">
        <v>420</v>
      </c>
      <c r="X33" s="5" t="s">
        <v>397</v>
      </c>
      <c r="Y33" t="s">
        <v>225</v>
      </c>
    </row>
    <row r="34" spans="1:25" ht="29.4" x14ac:dyDescent="0.35">
      <c r="A34" t="s">
        <v>358</v>
      </c>
      <c r="B34">
        <v>2024</v>
      </c>
      <c r="C34">
        <v>33</v>
      </c>
      <c r="D34" s="1">
        <v>45355</v>
      </c>
      <c r="E34" s="1" t="s">
        <v>249</v>
      </c>
      <c r="F34" t="s">
        <v>339</v>
      </c>
      <c r="G34" t="s">
        <v>340</v>
      </c>
      <c r="H34" t="s">
        <v>159</v>
      </c>
      <c r="I34" t="s">
        <v>219</v>
      </c>
      <c r="J34" t="s">
        <v>219</v>
      </c>
      <c r="K34" t="s">
        <v>16</v>
      </c>
      <c r="L34" t="s">
        <v>159</v>
      </c>
      <c r="M34" t="s">
        <v>24</v>
      </c>
      <c r="N34">
        <v>23</v>
      </c>
      <c r="O34" t="s">
        <v>166</v>
      </c>
      <c r="P34" t="s">
        <v>18</v>
      </c>
      <c r="Q34" t="s">
        <v>26</v>
      </c>
      <c r="R34" t="s">
        <v>34</v>
      </c>
      <c r="S34">
        <v>198</v>
      </c>
      <c r="T34">
        <v>175</v>
      </c>
      <c r="U34">
        <v>198</v>
      </c>
      <c r="V34">
        <v>175</v>
      </c>
      <c r="W34" s="6" t="s">
        <v>426</v>
      </c>
      <c r="X34" s="5" t="s">
        <v>36</v>
      </c>
      <c r="Y34" t="s">
        <v>225</v>
      </c>
    </row>
    <row r="35" spans="1:25" ht="29.4" x14ac:dyDescent="0.35">
      <c r="A35" t="s">
        <v>359</v>
      </c>
      <c r="B35">
        <v>2024</v>
      </c>
      <c r="C35">
        <v>34</v>
      </c>
      <c r="D35" s="1">
        <v>45356</v>
      </c>
      <c r="E35" s="1" t="s">
        <v>260</v>
      </c>
      <c r="F35" t="s">
        <v>431</v>
      </c>
      <c r="G35" t="s">
        <v>432</v>
      </c>
      <c r="H35" t="s">
        <v>158</v>
      </c>
      <c r="I35" t="s">
        <v>266</v>
      </c>
      <c r="J35" t="s">
        <v>266</v>
      </c>
      <c r="K35" t="s">
        <v>16</v>
      </c>
      <c r="L35" t="s">
        <v>158</v>
      </c>
      <c r="M35" t="s">
        <v>24</v>
      </c>
      <c r="N35">
        <v>29</v>
      </c>
      <c r="O35" t="s">
        <v>195</v>
      </c>
      <c r="P35" t="s">
        <v>18</v>
      </c>
      <c r="Q35" t="s">
        <v>26</v>
      </c>
      <c r="R35" t="s">
        <v>34</v>
      </c>
      <c r="S35">
        <v>192</v>
      </c>
      <c r="T35">
        <v>163</v>
      </c>
      <c r="U35">
        <v>192</v>
      </c>
      <c r="V35">
        <v>163</v>
      </c>
      <c r="W35" s="6" t="s">
        <v>370</v>
      </c>
      <c r="X35" s="5" t="s">
        <v>162</v>
      </c>
      <c r="Y35" t="s">
        <v>225</v>
      </c>
    </row>
    <row r="36" spans="1:25" ht="29.4" x14ac:dyDescent="0.35">
      <c r="A36" t="s">
        <v>360</v>
      </c>
      <c r="B36">
        <v>2024</v>
      </c>
      <c r="C36">
        <v>35</v>
      </c>
      <c r="D36" s="1">
        <v>45357</v>
      </c>
      <c r="E36" s="1" t="s">
        <v>267</v>
      </c>
      <c r="F36" t="s">
        <v>435</v>
      </c>
      <c r="G36" t="s">
        <v>432</v>
      </c>
      <c r="H36" t="s">
        <v>258</v>
      </c>
      <c r="I36" t="s">
        <v>159</v>
      </c>
      <c r="J36" t="s">
        <v>258</v>
      </c>
      <c r="K36" t="s">
        <v>251</v>
      </c>
      <c r="L36" t="s">
        <v>258</v>
      </c>
      <c r="M36" t="s">
        <v>24</v>
      </c>
      <c r="N36">
        <v>19</v>
      </c>
      <c r="O36" t="s">
        <v>114</v>
      </c>
      <c r="P36" t="s">
        <v>18</v>
      </c>
      <c r="Q36" t="s">
        <v>26</v>
      </c>
      <c r="R36" t="s">
        <v>34</v>
      </c>
      <c r="S36">
        <v>199</v>
      </c>
      <c r="T36">
        <v>180</v>
      </c>
      <c r="U36">
        <v>199</v>
      </c>
      <c r="V36">
        <v>180</v>
      </c>
      <c r="W36" s="6" t="s">
        <v>379</v>
      </c>
      <c r="X36" s="5" t="s">
        <v>213</v>
      </c>
      <c r="Y36" t="s">
        <v>225</v>
      </c>
    </row>
    <row r="37" spans="1:25" ht="29.4" x14ac:dyDescent="0.35">
      <c r="A37" t="s">
        <v>361</v>
      </c>
      <c r="B37">
        <v>2024</v>
      </c>
      <c r="C37">
        <v>36</v>
      </c>
      <c r="D37" s="1">
        <v>45358</v>
      </c>
      <c r="E37" s="1" t="s">
        <v>268</v>
      </c>
      <c r="F37" t="s">
        <v>435</v>
      </c>
      <c r="G37" t="s">
        <v>432</v>
      </c>
      <c r="H37" t="s">
        <v>266</v>
      </c>
      <c r="I37" t="s">
        <v>219</v>
      </c>
      <c r="J37" t="s">
        <v>266</v>
      </c>
      <c r="K37" t="s">
        <v>251</v>
      </c>
      <c r="L37" t="s">
        <v>266</v>
      </c>
      <c r="M37" t="s">
        <v>24</v>
      </c>
      <c r="N37">
        <v>42</v>
      </c>
      <c r="O37" t="s">
        <v>90</v>
      </c>
      <c r="P37" t="s">
        <v>18</v>
      </c>
      <c r="Q37" t="s">
        <v>26</v>
      </c>
      <c r="R37" t="s">
        <v>34</v>
      </c>
      <c r="S37">
        <v>160</v>
      </c>
      <c r="T37">
        <v>118</v>
      </c>
      <c r="U37">
        <v>160</v>
      </c>
      <c r="V37">
        <v>118</v>
      </c>
      <c r="W37" s="6" t="s">
        <v>391</v>
      </c>
      <c r="X37" s="5" t="s">
        <v>281</v>
      </c>
      <c r="Y37" t="s">
        <v>225</v>
      </c>
    </row>
    <row r="38" spans="1:25" ht="29.4" x14ac:dyDescent="0.35">
      <c r="A38" t="s">
        <v>362</v>
      </c>
      <c r="B38">
        <v>2024</v>
      </c>
      <c r="C38">
        <v>37</v>
      </c>
      <c r="D38" s="1">
        <v>45359</v>
      </c>
      <c r="E38" s="1" t="s">
        <v>269</v>
      </c>
      <c r="F38" t="s">
        <v>435</v>
      </c>
      <c r="G38" t="s">
        <v>432</v>
      </c>
      <c r="H38" t="s">
        <v>219</v>
      </c>
      <c r="I38" t="s">
        <v>158</v>
      </c>
      <c r="J38" t="s">
        <v>219</v>
      </c>
      <c r="K38" t="s">
        <v>251</v>
      </c>
      <c r="L38" t="s">
        <v>219</v>
      </c>
      <c r="M38" t="s">
        <v>24</v>
      </c>
      <c r="N38">
        <v>1</v>
      </c>
      <c r="O38" t="s">
        <v>225</v>
      </c>
      <c r="P38" t="s">
        <v>18</v>
      </c>
      <c r="Q38" t="s">
        <v>26</v>
      </c>
      <c r="R38" t="s">
        <v>34</v>
      </c>
      <c r="S38">
        <v>138</v>
      </c>
      <c r="T38">
        <v>137</v>
      </c>
      <c r="U38">
        <v>138</v>
      </c>
      <c r="V38">
        <v>137</v>
      </c>
      <c r="W38" s="6" t="s">
        <v>396</v>
      </c>
      <c r="X38" s="5" t="s">
        <v>397</v>
      </c>
      <c r="Y38" t="s">
        <v>225</v>
      </c>
    </row>
    <row r="39" spans="1:25" ht="29.4" x14ac:dyDescent="0.35">
      <c r="A39" t="s">
        <v>363</v>
      </c>
      <c r="B39">
        <v>2024</v>
      </c>
      <c r="C39">
        <v>38</v>
      </c>
      <c r="D39" s="1">
        <v>45360</v>
      </c>
      <c r="E39" s="1" t="s">
        <v>23</v>
      </c>
      <c r="F39" t="s">
        <v>435</v>
      </c>
      <c r="G39" t="s">
        <v>432</v>
      </c>
      <c r="H39" t="s">
        <v>258</v>
      </c>
      <c r="I39" t="s">
        <v>266</v>
      </c>
      <c r="J39" t="s">
        <v>258</v>
      </c>
      <c r="K39" t="s">
        <v>251</v>
      </c>
      <c r="L39" t="s">
        <v>266</v>
      </c>
      <c r="M39" t="s">
        <v>210</v>
      </c>
      <c r="N39">
        <v>7</v>
      </c>
      <c r="O39" t="s">
        <v>17</v>
      </c>
      <c r="P39" t="s">
        <v>18</v>
      </c>
      <c r="Q39" t="s">
        <v>26</v>
      </c>
      <c r="R39" t="s">
        <v>34</v>
      </c>
      <c r="S39">
        <v>190</v>
      </c>
      <c r="T39">
        <v>191</v>
      </c>
      <c r="U39">
        <v>191</v>
      </c>
      <c r="V39">
        <v>190</v>
      </c>
      <c r="W39" s="6" t="s">
        <v>400</v>
      </c>
      <c r="X39" s="5" t="s">
        <v>36</v>
      </c>
      <c r="Y39" t="s">
        <v>225</v>
      </c>
    </row>
    <row r="40" spans="1:25" ht="29.4" x14ac:dyDescent="0.35">
      <c r="A40" t="s">
        <v>364</v>
      </c>
      <c r="B40">
        <v>2024</v>
      </c>
      <c r="C40">
        <v>39</v>
      </c>
      <c r="D40" s="1">
        <v>45361</v>
      </c>
      <c r="E40" s="1" t="s">
        <v>155</v>
      </c>
      <c r="F40" t="s">
        <v>435</v>
      </c>
      <c r="G40" t="s">
        <v>432</v>
      </c>
      <c r="H40" t="s">
        <v>158</v>
      </c>
      <c r="I40" t="s">
        <v>159</v>
      </c>
      <c r="J40" t="s">
        <v>158</v>
      </c>
      <c r="K40" t="s">
        <v>251</v>
      </c>
      <c r="L40" t="s">
        <v>158</v>
      </c>
      <c r="M40" t="s">
        <v>24</v>
      </c>
      <c r="N40">
        <v>1</v>
      </c>
      <c r="O40" t="s">
        <v>195</v>
      </c>
      <c r="P40" t="s">
        <v>18</v>
      </c>
      <c r="Q40" t="s">
        <v>26</v>
      </c>
      <c r="R40" t="s">
        <v>34</v>
      </c>
      <c r="S40">
        <v>181</v>
      </c>
      <c r="T40">
        <v>180</v>
      </c>
      <c r="U40">
        <v>181</v>
      </c>
      <c r="V40">
        <v>180</v>
      </c>
      <c r="W40" s="6" t="s">
        <v>405</v>
      </c>
      <c r="X40" s="5" t="s">
        <v>162</v>
      </c>
      <c r="Y40" t="s">
        <v>225</v>
      </c>
    </row>
    <row r="41" spans="1:25" ht="29.4" x14ac:dyDescent="0.35">
      <c r="A41" t="s">
        <v>365</v>
      </c>
      <c r="B41">
        <v>2024</v>
      </c>
      <c r="C41">
        <v>40</v>
      </c>
      <c r="D41" s="1">
        <v>45362</v>
      </c>
      <c r="E41" s="1" t="s">
        <v>249</v>
      </c>
      <c r="F41" t="s">
        <v>435</v>
      </c>
      <c r="G41" t="s">
        <v>432</v>
      </c>
      <c r="H41" t="s">
        <v>258</v>
      </c>
      <c r="I41" t="s">
        <v>219</v>
      </c>
      <c r="J41" t="s">
        <v>258</v>
      </c>
      <c r="K41" t="s">
        <v>251</v>
      </c>
      <c r="L41" t="s">
        <v>258</v>
      </c>
      <c r="M41" t="s">
        <v>24</v>
      </c>
      <c r="N41">
        <v>8</v>
      </c>
      <c r="O41" t="s">
        <v>439</v>
      </c>
      <c r="P41" t="s">
        <v>18</v>
      </c>
      <c r="Q41" t="s">
        <v>26</v>
      </c>
      <c r="R41" t="s">
        <v>34</v>
      </c>
      <c r="S41">
        <v>152</v>
      </c>
      <c r="T41">
        <v>144</v>
      </c>
      <c r="U41">
        <v>152</v>
      </c>
      <c r="V41">
        <v>144</v>
      </c>
      <c r="W41" s="6" t="s">
        <v>411</v>
      </c>
      <c r="X41" s="5" t="s">
        <v>213</v>
      </c>
      <c r="Y41" t="s">
        <v>225</v>
      </c>
    </row>
    <row r="42" spans="1:25" ht="29.4" x14ac:dyDescent="0.35">
      <c r="A42" t="s">
        <v>366</v>
      </c>
      <c r="B42">
        <v>2024</v>
      </c>
      <c r="C42">
        <v>41</v>
      </c>
      <c r="D42" s="1">
        <v>45363</v>
      </c>
      <c r="E42" s="1" t="s">
        <v>260</v>
      </c>
      <c r="F42" t="s">
        <v>435</v>
      </c>
      <c r="G42" t="s">
        <v>432</v>
      </c>
      <c r="H42" t="s">
        <v>266</v>
      </c>
      <c r="I42" t="s">
        <v>159</v>
      </c>
      <c r="J42" t="s">
        <v>159</v>
      </c>
      <c r="K42" t="s">
        <v>16</v>
      </c>
      <c r="L42" t="s">
        <v>159</v>
      </c>
      <c r="M42" t="s">
        <v>210</v>
      </c>
      <c r="N42">
        <v>7</v>
      </c>
      <c r="O42" t="s">
        <v>175</v>
      </c>
      <c r="P42" t="s">
        <v>18</v>
      </c>
      <c r="Q42" t="s">
        <v>26</v>
      </c>
      <c r="R42" t="s">
        <v>34</v>
      </c>
      <c r="S42">
        <v>113</v>
      </c>
      <c r="T42">
        <v>115</v>
      </c>
      <c r="U42">
        <v>115</v>
      </c>
      <c r="V42">
        <v>113</v>
      </c>
      <c r="W42" s="6" t="s">
        <v>417</v>
      </c>
      <c r="X42" s="5" t="s">
        <v>281</v>
      </c>
      <c r="Y42" t="s">
        <v>225</v>
      </c>
    </row>
    <row r="43" spans="1:25" ht="29.4" x14ac:dyDescent="0.35">
      <c r="A43" t="s">
        <v>367</v>
      </c>
      <c r="B43">
        <v>2024</v>
      </c>
      <c r="C43">
        <v>42</v>
      </c>
      <c r="D43" s="1">
        <v>45364</v>
      </c>
      <c r="E43" s="1" t="s">
        <v>267</v>
      </c>
      <c r="F43" t="s">
        <v>435</v>
      </c>
      <c r="G43" t="s">
        <v>432</v>
      </c>
      <c r="H43" t="s">
        <v>258</v>
      </c>
      <c r="I43" t="s">
        <v>158</v>
      </c>
      <c r="J43" t="s">
        <v>258</v>
      </c>
      <c r="K43" t="s">
        <v>251</v>
      </c>
      <c r="L43" t="s">
        <v>158</v>
      </c>
      <c r="M43" t="s">
        <v>210</v>
      </c>
      <c r="N43">
        <v>7</v>
      </c>
      <c r="O43" t="s">
        <v>189</v>
      </c>
      <c r="P43" t="s">
        <v>18</v>
      </c>
      <c r="Q43" t="s">
        <v>26</v>
      </c>
      <c r="R43" t="s">
        <v>34</v>
      </c>
      <c r="S43">
        <v>126</v>
      </c>
      <c r="T43">
        <v>129</v>
      </c>
      <c r="U43">
        <v>129</v>
      </c>
      <c r="V43">
        <v>126</v>
      </c>
      <c r="W43" s="6" t="s">
        <v>420</v>
      </c>
      <c r="X43" s="5" t="s">
        <v>397</v>
      </c>
      <c r="Y43" t="s">
        <v>225</v>
      </c>
    </row>
    <row r="44" spans="1:25" ht="29.4" x14ac:dyDescent="0.35">
      <c r="A44" t="s">
        <v>368</v>
      </c>
      <c r="B44">
        <v>2024</v>
      </c>
      <c r="C44">
        <v>43</v>
      </c>
      <c r="D44" s="1">
        <v>45366</v>
      </c>
      <c r="E44" s="1" t="s">
        <v>269</v>
      </c>
      <c r="F44" t="s">
        <v>435</v>
      </c>
      <c r="G44" t="s">
        <v>432</v>
      </c>
      <c r="H44" t="s">
        <v>159</v>
      </c>
      <c r="I44" t="s">
        <v>266</v>
      </c>
      <c r="J44" t="s">
        <v>159</v>
      </c>
      <c r="K44" t="s">
        <v>251</v>
      </c>
      <c r="L44" t="s">
        <v>159</v>
      </c>
      <c r="M44" t="s">
        <v>24</v>
      </c>
      <c r="N44">
        <v>5</v>
      </c>
      <c r="O44" t="s">
        <v>175</v>
      </c>
      <c r="P44" t="s">
        <v>328</v>
      </c>
      <c r="Q44" t="s">
        <v>26</v>
      </c>
      <c r="R44" t="s">
        <v>34</v>
      </c>
      <c r="S44">
        <v>135</v>
      </c>
      <c r="T44">
        <v>130</v>
      </c>
      <c r="U44">
        <v>135</v>
      </c>
      <c r="V44">
        <v>130</v>
      </c>
      <c r="W44" s="6" t="s">
        <v>458</v>
      </c>
      <c r="X44" s="5" t="s">
        <v>281</v>
      </c>
      <c r="Y44" t="s">
        <v>225</v>
      </c>
    </row>
    <row r="45" spans="1:25" ht="29.4" x14ac:dyDescent="0.35">
      <c r="A45" t="s">
        <v>444</v>
      </c>
      <c r="B45">
        <v>2024</v>
      </c>
      <c r="C45">
        <v>44</v>
      </c>
      <c r="D45" s="1">
        <v>45368</v>
      </c>
      <c r="E45" s="1" t="s">
        <v>155</v>
      </c>
      <c r="F45" t="s">
        <v>435</v>
      </c>
      <c r="G45" t="s">
        <v>432</v>
      </c>
      <c r="H45" t="s">
        <v>158</v>
      </c>
      <c r="I45" t="s">
        <v>159</v>
      </c>
      <c r="J45" t="s">
        <v>158</v>
      </c>
      <c r="K45" t="s">
        <v>251</v>
      </c>
      <c r="L45" t="s">
        <v>159</v>
      </c>
      <c r="M45" t="s">
        <v>210</v>
      </c>
      <c r="N45">
        <v>8</v>
      </c>
      <c r="O45" t="s">
        <v>372</v>
      </c>
      <c r="P45" t="s">
        <v>460</v>
      </c>
      <c r="Q45" t="s">
        <v>26</v>
      </c>
      <c r="R45" t="s">
        <v>34</v>
      </c>
      <c r="S45">
        <v>113</v>
      </c>
      <c r="T45">
        <v>115</v>
      </c>
      <c r="U45">
        <v>115</v>
      </c>
      <c r="V45">
        <v>113</v>
      </c>
      <c r="W45" s="6" t="s">
        <v>461</v>
      </c>
      <c r="X45" s="5" t="s">
        <v>36</v>
      </c>
      <c r="Y45" t="s">
        <v>225</v>
      </c>
    </row>
    <row r="46" spans="1:25" ht="29.4" x14ac:dyDescent="0.35">
      <c r="A46" t="s">
        <v>462</v>
      </c>
      <c r="B46">
        <v>2025</v>
      </c>
      <c r="C46">
        <v>45</v>
      </c>
      <c r="D46" s="1">
        <v>45702</v>
      </c>
      <c r="E46" s="1" t="s">
        <v>269</v>
      </c>
      <c r="F46" t="s">
        <v>699</v>
      </c>
      <c r="G46" t="s">
        <v>484</v>
      </c>
      <c r="H46" t="s">
        <v>258</v>
      </c>
      <c r="I46" t="s">
        <v>159</v>
      </c>
      <c r="J46" t="s">
        <v>159</v>
      </c>
      <c r="K46" t="s">
        <v>16</v>
      </c>
      <c r="L46" t="s">
        <v>159</v>
      </c>
      <c r="M46" t="s">
        <v>210</v>
      </c>
      <c r="N46">
        <v>6</v>
      </c>
      <c r="O46" t="s">
        <v>177</v>
      </c>
      <c r="P46" t="s">
        <v>18</v>
      </c>
      <c r="Q46" t="s">
        <v>26</v>
      </c>
      <c r="R46" t="s">
        <v>34</v>
      </c>
      <c r="S46">
        <v>201</v>
      </c>
      <c r="T46">
        <v>202</v>
      </c>
      <c r="U46">
        <v>202</v>
      </c>
      <c r="V46">
        <v>201</v>
      </c>
      <c r="W46" s="6" t="s">
        <v>485</v>
      </c>
      <c r="X46" s="5" t="s">
        <v>36</v>
      </c>
      <c r="Y46" t="s">
        <v>90</v>
      </c>
    </row>
    <row r="47" spans="1:25" ht="29.4" x14ac:dyDescent="0.35">
      <c r="A47" t="s">
        <v>463</v>
      </c>
      <c r="B47">
        <v>2025</v>
      </c>
      <c r="C47">
        <v>46</v>
      </c>
      <c r="D47" s="1">
        <v>45703</v>
      </c>
      <c r="E47" s="1" t="s">
        <v>23</v>
      </c>
      <c r="F47" t="s">
        <v>699</v>
      </c>
      <c r="G47" t="s">
        <v>484</v>
      </c>
      <c r="H47" t="s">
        <v>266</v>
      </c>
      <c r="I47" t="s">
        <v>158</v>
      </c>
      <c r="J47" t="s">
        <v>158</v>
      </c>
      <c r="K47" t="s">
        <v>16</v>
      </c>
      <c r="L47" t="s">
        <v>158</v>
      </c>
      <c r="M47" t="s">
        <v>210</v>
      </c>
      <c r="N47">
        <v>2</v>
      </c>
      <c r="O47" t="s">
        <v>503</v>
      </c>
      <c r="P47" t="s">
        <v>18</v>
      </c>
      <c r="Q47" t="s">
        <v>26</v>
      </c>
      <c r="R47" t="s">
        <v>34</v>
      </c>
      <c r="S47">
        <v>164</v>
      </c>
      <c r="T47">
        <v>165</v>
      </c>
      <c r="U47">
        <v>165</v>
      </c>
      <c r="V47">
        <v>164</v>
      </c>
      <c r="W47" s="6" t="s">
        <v>504</v>
      </c>
      <c r="X47" s="5" t="s">
        <v>397</v>
      </c>
      <c r="Y47" t="s">
        <v>90</v>
      </c>
    </row>
    <row r="48" spans="1:25" ht="29.4" x14ac:dyDescent="0.35">
      <c r="A48" t="s">
        <v>464</v>
      </c>
      <c r="B48">
        <v>2025</v>
      </c>
      <c r="C48">
        <v>47</v>
      </c>
      <c r="D48" s="1">
        <v>45704</v>
      </c>
      <c r="E48" s="1" t="s">
        <v>155</v>
      </c>
      <c r="F48" t="s">
        <v>699</v>
      </c>
      <c r="G48" t="s">
        <v>484</v>
      </c>
      <c r="H48" t="s">
        <v>219</v>
      </c>
      <c r="I48" t="s">
        <v>258</v>
      </c>
      <c r="J48" t="s">
        <v>258</v>
      </c>
      <c r="K48" t="s">
        <v>16</v>
      </c>
      <c r="L48" t="s">
        <v>258</v>
      </c>
      <c r="M48" t="s">
        <v>210</v>
      </c>
      <c r="N48">
        <v>6</v>
      </c>
      <c r="O48" t="s">
        <v>118</v>
      </c>
      <c r="P48" t="s">
        <v>18</v>
      </c>
      <c r="Q48" t="s">
        <v>26</v>
      </c>
      <c r="R48" t="s">
        <v>34</v>
      </c>
      <c r="S48">
        <v>143</v>
      </c>
      <c r="T48">
        <v>144</v>
      </c>
      <c r="U48">
        <v>144</v>
      </c>
      <c r="V48">
        <v>143</v>
      </c>
      <c r="W48" s="6" t="s">
        <v>520</v>
      </c>
      <c r="X48" s="5" t="s">
        <v>397</v>
      </c>
      <c r="Y48" t="s">
        <v>90</v>
      </c>
    </row>
    <row r="49" spans="1:25" ht="29.4" x14ac:dyDescent="0.35">
      <c r="A49" t="s">
        <v>465</v>
      </c>
      <c r="B49">
        <v>2025</v>
      </c>
      <c r="C49">
        <v>48</v>
      </c>
      <c r="D49" s="1">
        <v>45705</v>
      </c>
      <c r="E49" s="1" t="s">
        <v>249</v>
      </c>
      <c r="F49" t="s">
        <v>699</v>
      </c>
      <c r="G49" t="s">
        <v>484</v>
      </c>
      <c r="H49" t="s">
        <v>158</v>
      </c>
      <c r="I49" t="s">
        <v>159</v>
      </c>
      <c r="J49" t="s">
        <v>159</v>
      </c>
      <c r="K49" t="s">
        <v>16</v>
      </c>
      <c r="L49" t="s">
        <v>159</v>
      </c>
      <c r="M49" t="s">
        <v>210</v>
      </c>
      <c r="N49">
        <v>8</v>
      </c>
      <c r="O49" t="s">
        <v>187</v>
      </c>
      <c r="P49" t="s">
        <v>18</v>
      </c>
      <c r="Q49" t="s">
        <v>26</v>
      </c>
      <c r="R49" t="s">
        <v>34</v>
      </c>
      <c r="S49">
        <v>141</v>
      </c>
      <c r="T49">
        <v>146</v>
      </c>
      <c r="U49">
        <v>146</v>
      </c>
      <c r="V49">
        <v>141</v>
      </c>
      <c r="W49" s="6" t="s">
        <v>524</v>
      </c>
      <c r="X49" s="5" t="s">
        <v>36</v>
      </c>
      <c r="Y49" t="s">
        <v>90</v>
      </c>
    </row>
    <row r="50" spans="1:25" ht="29.4" x14ac:dyDescent="0.35">
      <c r="A50" t="s">
        <v>466</v>
      </c>
      <c r="B50">
        <v>2025</v>
      </c>
      <c r="C50">
        <v>49</v>
      </c>
      <c r="D50" s="1">
        <v>45706</v>
      </c>
      <c r="E50" s="1" t="s">
        <v>260</v>
      </c>
      <c r="F50" t="s">
        <v>699</v>
      </c>
      <c r="G50" t="s">
        <v>484</v>
      </c>
      <c r="H50" t="s">
        <v>258</v>
      </c>
      <c r="I50" t="s">
        <v>266</v>
      </c>
      <c r="J50" t="s">
        <v>266</v>
      </c>
      <c r="K50" t="s">
        <v>16</v>
      </c>
      <c r="L50" t="s">
        <v>266</v>
      </c>
      <c r="M50" t="s">
        <v>210</v>
      </c>
      <c r="N50">
        <v>5</v>
      </c>
      <c r="O50" t="s">
        <v>88</v>
      </c>
      <c r="P50" t="s">
        <v>18</v>
      </c>
      <c r="Q50" t="s">
        <v>26</v>
      </c>
      <c r="R50" t="s">
        <v>34</v>
      </c>
      <c r="S50">
        <v>120</v>
      </c>
      <c r="T50">
        <v>122</v>
      </c>
      <c r="U50">
        <v>122</v>
      </c>
      <c r="V50">
        <v>120</v>
      </c>
      <c r="W50" s="6" t="s">
        <v>536</v>
      </c>
      <c r="X50" s="5" t="s">
        <v>397</v>
      </c>
      <c r="Y50" t="s">
        <v>90</v>
      </c>
    </row>
    <row r="51" spans="1:25" ht="29.4" x14ac:dyDescent="0.35">
      <c r="A51" t="s">
        <v>467</v>
      </c>
      <c r="B51">
        <v>2025</v>
      </c>
      <c r="C51">
        <v>50</v>
      </c>
      <c r="D51" s="1">
        <v>45707</v>
      </c>
      <c r="E51" s="1" t="s">
        <v>267</v>
      </c>
      <c r="F51" t="s">
        <v>699</v>
      </c>
      <c r="G51" t="s">
        <v>484</v>
      </c>
      <c r="H51" t="s">
        <v>219</v>
      </c>
      <c r="I51" t="s">
        <v>158</v>
      </c>
      <c r="J51" t="s">
        <v>158</v>
      </c>
      <c r="K51" t="s">
        <v>16</v>
      </c>
      <c r="L51" t="s">
        <v>158</v>
      </c>
      <c r="M51" t="s">
        <v>210</v>
      </c>
      <c r="N51">
        <v>7</v>
      </c>
      <c r="O51" t="s">
        <v>120</v>
      </c>
      <c r="P51" t="s">
        <v>18</v>
      </c>
      <c r="Q51" t="s">
        <v>26</v>
      </c>
      <c r="R51" t="s">
        <v>34</v>
      </c>
      <c r="S51">
        <v>166</v>
      </c>
      <c r="T51">
        <v>167</v>
      </c>
      <c r="U51">
        <v>167</v>
      </c>
      <c r="V51">
        <v>166</v>
      </c>
      <c r="W51" s="6" t="s">
        <v>540</v>
      </c>
      <c r="X51" s="5" t="s">
        <v>397</v>
      </c>
      <c r="Y51" t="s">
        <v>90</v>
      </c>
    </row>
    <row r="52" spans="1:25" ht="15" x14ac:dyDescent="0.35">
      <c r="A52" t="s">
        <v>468</v>
      </c>
      <c r="B52">
        <v>2025</v>
      </c>
      <c r="C52">
        <v>51</v>
      </c>
      <c r="D52" s="1">
        <v>45709</v>
      </c>
      <c r="E52" s="1" t="s">
        <v>269</v>
      </c>
      <c r="F52" t="s">
        <v>339</v>
      </c>
      <c r="G52" t="s">
        <v>340</v>
      </c>
      <c r="H52" t="s">
        <v>159</v>
      </c>
      <c r="I52" t="s">
        <v>266</v>
      </c>
      <c r="J52" t="s">
        <v>266</v>
      </c>
      <c r="K52" t="s">
        <v>16</v>
      </c>
      <c r="L52" t="s">
        <v>266</v>
      </c>
      <c r="M52" t="s">
        <v>210</v>
      </c>
      <c r="N52">
        <v>4</v>
      </c>
      <c r="O52" t="s">
        <v>108</v>
      </c>
      <c r="P52" t="s">
        <v>18</v>
      </c>
      <c r="Q52" t="s">
        <v>26</v>
      </c>
      <c r="R52" t="s">
        <v>34</v>
      </c>
      <c r="S52">
        <v>167</v>
      </c>
      <c r="T52">
        <v>170</v>
      </c>
      <c r="U52">
        <v>170</v>
      </c>
      <c r="V52">
        <v>167</v>
      </c>
      <c r="W52" s="6" t="s">
        <v>543</v>
      </c>
      <c r="X52" s="5" t="s">
        <v>281</v>
      </c>
      <c r="Y52" t="s">
        <v>90</v>
      </c>
    </row>
    <row r="53" spans="1:25" ht="28.8" x14ac:dyDescent="0.3">
      <c r="A53" t="s">
        <v>469</v>
      </c>
      <c r="B53">
        <v>2025</v>
      </c>
      <c r="C53">
        <v>52</v>
      </c>
      <c r="D53" s="1">
        <v>45710</v>
      </c>
      <c r="E53" s="1" t="s">
        <v>23</v>
      </c>
      <c r="F53" t="s">
        <v>339</v>
      </c>
      <c r="G53" t="s">
        <v>340</v>
      </c>
      <c r="H53" t="s">
        <v>219</v>
      </c>
      <c r="I53" t="s">
        <v>158</v>
      </c>
      <c r="J53" t="s">
        <v>158</v>
      </c>
      <c r="K53" t="s">
        <v>16</v>
      </c>
      <c r="L53" t="s">
        <v>219</v>
      </c>
      <c r="M53" t="s">
        <v>24</v>
      </c>
      <c r="N53">
        <v>33</v>
      </c>
      <c r="O53" s="6" t="s">
        <v>542</v>
      </c>
      <c r="P53" t="s">
        <v>18</v>
      </c>
      <c r="Q53" t="s">
        <v>26</v>
      </c>
      <c r="R53" t="s">
        <v>34</v>
      </c>
      <c r="S53">
        <v>177</v>
      </c>
      <c r="T53">
        <v>144</v>
      </c>
      <c r="U53">
        <v>177</v>
      </c>
      <c r="V53">
        <v>144</v>
      </c>
      <c r="W53" s="6" t="s">
        <v>545</v>
      </c>
      <c r="X53" s="6" t="s">
        <v>546</v>
      </c>
      <c r="Y53" t="s">
        <v>90</v>
      </c>
    </row>
    <row r="54" spans="1:25" ht="29.4" x14ac:dyDescent="0.35">
      <c r="A54" t="s">
        <v>470</v>
      </c>
      <c r="B54">
        <v>2025</v>
      </c>
      <c r="C54">
        <v>53</v>
      </c>
      <c r="D54" s="1">
        <v>45712</v>
      </c>
      <c r="E54" s="1" t="s">
        <v>249</v>
      </c>
      <c r="F54" t="s">
        <v>339</v>
      </c>
      <c r="G54" t="s">
        <v>340</v>
      </c>
      <c r="H54" t="s">
        <v>159</v>
      </c>
      <c r="I54" t="s">
        <v>219</v>
      </c>
      <c r="J54" t="s">
        <v>219</v>
      </c>
      <c r="K54" t="s">
        <v>16</v>
      </c>
      <c r="L54" t="s">
        <v>219</v>
      </c>
      <c r="M54" t="s">
        <v>24</v>
      </c>
      <c r="N54">
        <v>4</v>
      </c>
      <c r="O54" t="s">
        <v>234</v>
      </c>
      <c r="P54" t="s">
        <v>18</v>
      </c>
      <c r="Q54" t="s">
        <v>26</v>
      </c>
      <c r="R54" t="s">
        <v>34</v>
      </c>
      <c r="S54">
        <v>180</v>
      </c>
      <c r="T54">
        <v>180</v>
      </c>
      <c r="U54">
        <v>180</v>
      </c>
      <c r="V54">
        <v>180</v>
      </c>
      <c r="W54" s="6" t="s">
        <v>549</v>
      </c>
      <c r="X54" s="5" t="s">
        <v>281</v>
      </c>
      <c r="Y54" t="s">
        <v>90</v>
      </c>
    </row>
    <row r="55" spans="1:25" ht="29.4" x14ac:dyDescent="0.35">
      <c r="A55" t="s">
        <v>471</v>
      </c>
      <c r="B55">
        <v>2025</v>
      </c>
      <c r="C55">
        <v>54</v>
      </c>
      <c r="D55" s="1">
        <v>45713</v>
      </c>
      <c r="E55" s="1" t="s">
        <v>260</v>
      </c>
      <c r="F55" t="s">
        <v>339</v>
      </c>
      <c r="G55" t="s">
        <v>340</v>
      </c>
      <c r="H55" t="s">
        <v>258</v>
      </c>
      <c r="I55" t="s">
        <v>158</v>
      </c>
      <c r="J55" t="s">
        <v>158</v>
      </c>
      <c r="K55" t="s">
        <v>16</v>
      </c>
      <c r="L55" t="s">
        <v>158</v>
      </c>
      <c r="M55" t="s">
        <v>210</v>
      </c>
      <c r="N55">
        <v>6</v>
      </c>
      <c r="O55" t="s">
        <v>199</v>
      </c>
      <c r="P55" t="s">
        <v>18</v>
      </c>
      <c r="Q55" t="s">
        <v>26</v>
      </c>
      <c r="R55" t="s">
        <v>34</v>
      </c>
      <c r="S55">
        <v>127</v>
      </c>
      <c r="T55">
        <v>131</v>
      </c>
      <c r="U55">
        <v>131</v>
      </c>
      <c r="V55">
        <v>127</v>
      </c>
      <c r="W55" s="6" t="s">
        <v>551</v>
      </c>
      <c r="X55" s="5" t="s">
        <v>546</v>
      </c>
      <c r="Y55" t="s">
        <v>90</v>
      </c>
    </row>
    <row r="56" spans="1:25" ht="29.4" x14ac:dyDescent="0.35">
      <c r="A56" t="s">
        <v>472</v>
      </c>
      <c r="B56">
        <v>2025</v>
      </c>
      <c r="C56">
        <v>55</v>
      </c>
      <c r="D56" s="1">
        <v>45714</v>
      </c>
      <c r="E56" s="1" t="s">
        <v>267</v>
      </c>
      <c r="F56" t="s">
        <v>339</v>
      </c>
      <c r="G56" t="s">
        <v>340</v>
      </c>
      <c r="H56" t="s">
        <v>219</v>
      </c>
      <c r="I56" t="s">
        <v>266</v>
      </c>
      <c r="J56" t="s">
        <v>266</v>
      </c>
      <c r="K56" t="s">
        <v>16</v>
      </c>
      <c r="L56" t="s">
        <v>266</v>
      </c>
      <c r="M56" t="s">
        <v>210</v>
      </c>
      <c r="N56">
        <v>8</v>
      </c>
      <c r="O56" t="s">
        <v>90</v>
      </c>
      <c r="P56" t="s">
        <v>18</v>
      </c>
      <c r="Q56" t="s">
        <v>26</v>
      </c>
      <c r="R56" t="s">
        <v>34</v>
      </c>
      <c r="S56">
        <v>142</v>
      </c>
      <c r="T56">
        <v>143</v>
      </c>
      <c r="U56">
        <v>143</v>
      </c>
      <c r="V56">
        <v>142</v>
      </c>
      <c r="W56" s="6" t="s">
        <v>545</v>
      </c>
      <c r="X56" s="5" t="s">
        <v>281</v>
      </c>
      <c r="Y56" t="s">
        <v>90</v>
      </c>
    </row>
    <row r="57" spans="1:25" ht="29.4" x14ac:dyDescent="0.35">
      <c r="A57" t="s">
        <v>473</v>
      </c>
      <c r="B57">
        <v>2025</v>
      </c>
      <c r="C57">
        <v>56</v>
      </c>
      <c r="D57" s="1">
        <v>45715</v>
      </c>
      <c r="E57" s="1" t="s">
        <v>268</v>
      </c>
      <c r="F57" t="s">
        <v>339</v>
      </c>
      <c r="G57" t="s">
        <v>340</v>
      </c>
      <c r="H57" t="s">
        <v>159</v>
      </c>
      <c r="I57" t="s">
        <v>258</v>
      </c>
      <c r="J57" t="s">
        <v>258</v>
      </c>
      <c r="K57" t="s">
        <v>16</v>
      </c>
      <c r="L57" t="s">
        <v>258</v>
      </c>
      <c r="M57" t="s">
        <v>210</v>
      </c>
      <c r="N57">
        <v>6</v>
      </c>
      <c r="O57" t="s">
        <v>118</v>
      </c>
      <c r="P57" t="s">
        <v>18</v>
      </c>
      <c r="Q57" t="s">
        <v>26</v>
      </c>
      <c r="R57" t="s">
        <v>34</v>
      </c>
      <c r="S57">
        <v>125</v>
      </c>
      <c r="T57">
        <v>126</v>
      </c>
      <c r="U57">
        <v>126</v>
      </c>
      <c r="V57">
        <v>125</v>
      </c>
      <c r="W57" s="6" t="s">
        <v>556</v>
      </c>
      <c r="X57" s="5" t="s">
        <v>546</v>
      </c>
      <c r="Y57" t="s">
        <v>90</v>
      </c>
    </row>
    <row r="58" spans="1:25" ht="29.4" x14ac:dyDescent="0.35">
      <c r="A58" t="s">
        <v>474</v>
      </c>
      <c r="B58">
        <v>2025</v>
      </c>
      <c r="C58">
        <v>57</v>
      </c>
      <c r="D58" s="1">
        <v>45716</v>
      </c>
      <c r="E58" s="1" t="s">
        <v>269</v>
      </c>
      <c r="F58" t="s">
        <v>339</v>
      </c>
      <c r="G58" t="s">
        <v>340</v>
      </c>
      <c r="H58" t="s">
        <v>266</v>
      </c>
      <c r="I58" t="s">
        <v>158</v>
      </c>
      <c r="J58" t="s">
        <v>158</v>
      </c>
      <c r="K58" t="s">
        <v>16</v>
      </c>
      <c r="L58" t="s">
        <v>158</v>
      </c>
      <c r="M58" t="s">
        <v>210</v>
      </c>
      <c r="N58">
        <v>9</v>
      </c>
      <c r="O58" t="s">
        <v>199</v>
      </c>
      <c r="P58" t="s">
        <v>18</v>
      </c>
      <c r="Q58" t="s">
        <v>26</v>
      </c>
      <c r="R58" t="s">
        <v>34</v>
      </c>
      <c r="S58">
        <v>123</v>
      </c>
      <c r="T58">
        <v>124</v>
      </c>
      <c r="U58">
        <v>124</v>
      </c>
      <c r="V58">
        <v>123</v>
      </c>
      <c r="W58" s="6" t="s">
        <v>558</v>
      </c>
      <c r="X58" s="5" t="s">
        <v>281</v>
      </c>
      <c r="Y58" t="s">
        <v>90</v>
      </c>
    </row>
    <row r="59" spans="1:25" ht="29.4" x14ac:dyDescent="0.35">
      <c r="A59" t="s">
        <v>475</v>
      </c>
      <c r="B59">
        <v>2025</v>
      </c>
      <c r="C59">
        <v>58</v>
      </c>
      <c r="D59" s="1">
        <v>45717</v>
      </c>
      <c r="E59" s="1" t="s">
        <v>23</v>
      </c>
      <c r="F59" t="s">
        <v>339</v>
      </c>
      <c r="G59" t="s">
        <v>340</v>
      </c>
      <c r="H59" t="s">
        <v>159</v>
      </c>
      <c r="I59" t="s">
        <v>158</v>
      </c>
      <c r="J59" t="s">
        <v>158</v>
      </c>
      <c r="K59" t="s">
        <v>16</v>
      </c>
      <c r="L59" t="s">
        <v>158</v>
      </c>
      <c r="M59" t="s">
        <v>210</v>
      </c>
      <c r="N59">
        <v>9</v>
      </c>
      <c r="O59" t="s">
        <v>189</v>
      </c>
      <c r="P59" t="s">
        <v>18</v>
      </c>
      <c r="Q59" t="s">
        <v>26</v>
      </c>
      <c r="R59" t="s">
        <v>34</v>
      </c>
      <c r="S59">
        <v>147</v>
      </c>
      <c r="T59">
        <v>151</v>
      </c>
      <c r="U59">
        <v>151</v>
      </c>
      <c r="V59">
        <v>147</v>
      </c>
      <c r="W59" s="6" t="s">
        <v>560</v>
      </c>
      <c r="X59" s="5" t="s">
        <v>546</v>
      </c>
      <c r="Y59" t="s">
        <v>90</v>
      </c>
    </row>
    <row r="60" spans="1:25" ht="29.4" x14ac:dyDescent="0.35">
      <c r="A60" t="s">
        <v>476</v>
      </c>
      <c r="B60">
        <v>2025</v>
      </c>
      <c r="C60">
        <v>59</v>
      </c>
      <c r="D60" s="1">
        <v>45719</v>
      </c>
      <c r="E60" s="1" t="s">
        <v>249</v>
      </c>
      <c r="F60" t="s">
        <v>568</v>
      </c>
      <c r="G60" t="s">
        <v>564</v>
      </c>
      <c r="H60" t="s">
        <v>258</v>
      </c>
      <c r="I60" t="s">
        <v>219</v>
      </c>
      <c r="J60" t="s">
        <v>219</v>
      </c>
      <c r="K60" t="s">
        <v>16</v>
      </c>
      <c r="L60" t="s">
        <v>258</v>
      </c>
      <c r="M60" t="s">
        <v>24</v>
      </c>
      <c r="N60">
        <v>81</v>
      </c>
      <c r="O60" t="s">
        <v>114</v>
      </c>
      <c r="P60" t="s">
        <v>18</v>
      </c>
      <c r="Q60" t="s">
        <v>26</v>
      </c>
      <c r="R60" t="s">
        <v>34</v>
      </c>
      <c r="S60">
        <v>186</v>
      </c>
      <c r="T60">
        <v>105</v>
      </c>
      <c r="U60">
        <v>186</v>
      </c>
      <c r="V60">
        <v>105</v>
      </c>
      <c r="W60" s="6" t="s">
        <v>565</v>
      </c>
      <c r="X60" s="5" t="s">
        <v>162</v>
      </c>
      <c r="Y60" t="s">
        <v>90</v>
      </c>
    </row>
    <row r="61" spans="1:25" ht="29.4" x14ac:dyDescent="0.35">
      <c r="A61" t="s">
        <v>477</v>
      </c>
      <c r="B61">
        <v>2025</v>
      </c>
      <c r="C61">
        <v>60</v>
      </c>
      <c r="D61" s="1">
        <v>45722</v>
      </c>
      <c r="E61" s="1" t="s">
        <v>268</v>
      </c>
      <c r="F61" t="s">
        <v>568</v>
      </c>
      <c r="G61" t="s">
        <v>564</v>
      </c>
      <c r="H61" t="s">
        <v>219</v>
      </c>
      <c r="I61" t="s">
        <v>266</v>
      </c>
      <c r="J61" t="s">
        <v>266</v>
      </c>
      <c r="K61" t="s">
        <v>16</v>
      </c>
      <c r="L61" t="s">
        <v>266</v>
      </c>
      <c r="M61" t="s">
        <v>210</v>
      </c>
      <c r="N61">
        <v>6</v>
      </c>
      <c r="O61" t="s">
        <v>88</v>
      </c>
      <c r="P61" t="s">
        <v>18</v>
      </c>
      <c r="Q61" t="s">
        <v>26</v>
      </c>
      <c r="R61" t="s">
        <v>34</v>
      </c>
      <c r="S61">
        <v>150</v>
      </c>
      <c r="T61">
        <v>153</v>
      </c>
      <c r="U61">
        <v>153</v>
      </c>
      <c r="V61">
        <v>150</v>
      </c>
      <c r="W61" s="6" t="s">
        <v>569</v>
      </c>
      <c r="X61" s="5" t="s">
        <v>162</v>
      </c>
      <c r="Y61" t="s">
        <v>90</v>
      </c>
    </row>
    <row r="62" spans="1:25" ht="29.4" x14ac:dyDescent="0.35">
      <c r="A62" t="s">
        <v>478</v>
      </c>
      <c r="B62">
        <v>2025</v>
      </c>
      <c r="C62">
        <v>61</v>
      </c>
      <c r="D62" s="1">
        <v>45723</v>
      </c>
      <c r="E62" s="1" t="s">
        <v>269</v>
      </c>
      <c r="F62" t="s">
        <v>568</v>
      </c>
      <c r="G62" t="s">
        <v>564</v>
      </c>
      <c r="H62" t="s">
        <v>158</v>
      </c>
      <c r="I62" t="s">
        <v>258</v>
      </c>
      <c r="J62" t="s">
        <v>258</v>
      </c>
      <c r="K62" t="s">
        <v>16</v>
      </c>
      <c r="L62" t="s">
        <v>258</v>
      </c>
      <c r="M62" t="s">
        <v>210</v>
      </c>
      <c r="N62">
        <v>5</v>
      </c>
      <c r="O62" t="s">
        <v>116</v>
      </c>
      <c r="P62" t="s">
        <v>18</v>
      </c>
      <c r="Q62" t="s">
        <v>26</v>
      </c>
      <c r="R62" t="s">
        <v>34</v>
      </c>
      <c r="S62">
        <v>177</v>
      </c>
      <c r="T62">
        <v>178</v>
      </c>
      <c r="U62">
        <v>178</v>
      </c>
      <c r="V62">
        <v>177</v>
      </c>
      <c r="W62" s="6" t="s">
        <v>571</v>
      </c>
      <c r="X62" s="5" t="s">
        <v>162</v>
      </c>
      <c r="Y62" t="s">
        <v>90</v>
      </c>
    </row>
    <row r="63" spans="1:25" ht="29.4" x14ac:dyDescent="0.35">
      <c r="A63" t="s">
        <v>479</v>
      </c>
      <c r="B63">
        <v>2025</v>
      </c>
      <c r="C63">
        <v>62</v>
      </c>
      <c r="D63" s="1">
        <v>45724</v>
      </c>
      <c r="E63" s="1" t="s">
        <v>23</v>
      </c>
      <c r="F63" t="s">
        <v>568</v>
      </c>
      <c r="G63" t="s">
        <v>564</v>
      </c>
      <c r="H63" t="s">
        <v>219</v>
      </c>
      <c r="I63" t="s">
        <v>159</v>
      </c>
      <c r="J63" t="s">
        <v>159</v>
      </c>
      <c r="K63" t="s">
        <v>16</v>
      </c>
      <c r="L63" t="s">
        <v>219</v>
      </c>
      <c r="M63" t="s">
        <v>24</v>
      </c>
      <c r="N63">
        <v>12</v>
      </c>
      <c r="O63" t="s">
        <v>567</v>
      </c>
      <c r="P63" t="s">
        <v>18</v>
      </c>
      <c r="Q63" t="s">
        <v>26</v>
      </c>
      <c r="R63" t="s">
        <v>34</v>
      </c>
      <c r="S63">
        <v>225</v>
      </c>
      <c r="T63">
        <v>213</v>
      </c>
      <c r="U63">
        <v>225</v>
      </c>
      <c r="V63">
        <v>213</v>
      </c>
      <c r="W63" s="6" t="s">
        <v>574</v>
      </c>
      <c r="X63" s="5" t="s">
        <v>162</v>
      </c>
      <c r="Y63" t="s">
        <v>90</v>
      </c>
    </row>
    <row r="64" spans="1:25" ht="15" x14ac:dyDescent="0.35">
      <c r="A64" t="s">
        <v>480</v>
      </c>
      <c r="B64">
        <v>2025</v>
      </c>
      <c r="C64">
        <v>63</v>
      </c>
      <c r="D64" s="1">
        <v>45726</v>
      </c>
      <c r="E64" s="1" t="s">
        <v>249</v>
      </c>
      <c r="F64" t="s">
        <v>156</v>
      </c>
      <c r="G64" t="s">
        <v>157</v>
      </c>
      <c r="H64" t="s">
        <v>266</v>
      </c>
      <c r="I64" t="s">
        <v>258</v>
      </c>
      <c r="J64" t="s">
        <v>258</v>
      </c>
      <c r="K64" t="s">
        <v>16</v>
      </c>
      <c r="L64" t="s">
        <v>266</v>
      </c>
      <c r="M64" t="s">
        <v>24</v>
      </c>
      <c r="N64">
        <v>9</v>
      </c>
      <c r="O64" t="s">
        <v>17</v>
      </c>
      <c r="P64" t="s">
        <v>18</v>
      </c>
      <c r="Q64" t="s">
        <v>26</v>
      </c>
      <c r="R64" t="s">
        <v>34</v>
      </c>
      <c r="S64">
        <v>179</v>
      </c>
      <c r="T64">
        <v>170</v>
      </c>
      <c r="U64">
        <v>179</v>
      </c>
      <c r="V64">
        <v>170</v>
      </c>
      <c r="W64" s="6" t="s">
        <v>593</v>
      </c>
      <c r="X64" s="5" t="s">
        <v>36</v>
      </c>
      <c r="Y64" t="s">
        <v>90</v>
      </c>
    </row>
    <row r="65" spans="1:25" ht="29.4" x14ac:dyDescent="0.35">
      <c r="A65" t="s">
        <v>481</v>
      </c>
      <c r="B65">
        <v>2025</v>
      </c>
      <c r="C65">
        <v>64</v>
      </c>
      <c r="D65" s="1">
        <v>45727</v>
      </c>
      <c r="E65" s="1" t="s">
        <v>260</v>
      </c>
      <c r="F65" t="s">
        <v>156</v>
      </c>
      <c r="G65" t="s">
        <v>157</v>
      </c>
      <c r="H65" t="s">
        <v>159</v>
      </c>
      <c r="I65" t="s">
        <v>266</v>
      </c>
      <c r="J65" t="s">
        <v>266</v>
      </c>
      <c r="K65" t="s">
        <v>16</v>
      </c>
      <c r="L65" t="s">
        <v>159</v>
      </c>
      <c r="M65" t="s">
        <v>24</v>
      </c>
      <c r="N65">
        <v>11</v>
      </c>
      <c r="O65" t="s">
        <v>126</v>
      </c>
      <c r="P65" t="s">
        <v>18</v>
      </c>
      <c r="Q65" t="s">
        <v>26</v>
      </c>
      <c r="R65" t="s">
        <v>34</v>
      </c>
      <c r="S65">
        <v>199</v>
      </c>
      <c r="T65">
        <v>188</v>
      </c>
      <c r="U65">
        <v>199</v>
      </c>
      <c r="V65">
        <v>188</v>
      </c>
      <c r="W65" s="6" t="s">
        <v>556</v>
      </c>
      <c r="X65" s="5" t="s">
        <v>36</v>
      </c>
      <c r="Y65" t="s">
        <v>90</v>
      </c>
    </row>
    <row r="66" spans="1:25" ht="15" x14ac:dyDescent="0.35">
      <c r="A66" t="s">
        <v>482</v>
      </c>
      <c r="B66">
        <v>2025</v>
      </c>
      <c r="C66">
        <v>65</v>
      </c>
      <c r="D66" s="1">
        <v>45729</v>
      </c>
      <c r="E66" s="1" t="s">
        <v>268</v>
      </c>
      <c r="F66" t="s">
        <v>156</v>
      </c>
      <c r="G66" t="s">
        <v>157</v>
      </c>
      <c r="H66" t="s">
        <v>266</v>
      </c>
      <c r="I66" t="s">
        <v>258</v>
      </c>
      <c r="J66" t="s">
        <v>258</v>
      </c>
      <c r="K66" t="s">
        <v>16</v>
      </c>
      <c r="L66" t="s">
        <v>266</v>
      </c>
      <c r="M66" t="s">
        <v>24</v>
      </c>
      <c r="N66">
        <v>47</v>
      </c>
      <c r="O66" t="s">
        <v>88</v>
      </c>
      <c r="P66" t="s">
        <v>328</v>
      </c>
      <c r="Q66" t="s">
        <v>26</v>
      </c>
      <c r="R66" t="s">
        <v>34</v>
      </c>
      <c r="S66">
        <v>213</v>
      </c>
      <c r="T66">
        <v>166</v>
      </c>
      <c r="U66">
        <v>213</v>
      </c>
      <c r="V66">
        <v>166</v>
      </c>
      <c r="W66" s="6" t="s">
        <v>597</v>
      </c>
      <c r="X66" s="5" t="s">
        <v>36</v>
      </c>
      <c r="Y66" t="s">
        <v>90</v>
      </c>
    </row>
    <row r="67" spans="1:25" ht="29.4" x14ac:dyDescent="0.35">
      <c r="A67" t="s">
        <v>483</v>
      </c>
      <c r="B67">
        <v>2025</v>
      </c>
      <c r="C67">
        <v>66</v>
      </c>
      <c r="D67" s="1">
        <v>45731</v>
      </c>
      <c r="E67" s="1" t="s">
        <v>23</v>
      </c>
      <c r="F67" t="s">
        <v>156</v>
      </c>
      <c r="G67" t="s">
        <v>157</v>
      </c>
      <c r="H67" t="s">
        <v>266</v>
      </c>
      <c r="I67" t="s">
        <v>158</v>
      </c>
      <c r="J67" t="s">
        <v>158</v>
      </c>
      <c r="K67" t="s">
        <v>16</v>
      </c>
      <c r="L67" t="s">
        <v>266</v>
      </c>
      <c r="M67" t="s">
        <v>24</v>
      </c>
      <c r="N67">
        <v>8</v>
      </c>
      <c r="O67" t="s">
        <v>17</v>
      </c>
      <c r="P67" t="s">
        <v>333</v>
      </c>
      <c r="Q67" t="s">
        <v>26</v>
      </c>
      <c r="R67" t="s">
        <v>34</v>
      </c>
      <c r="S67">
        <v>149</v>
      </c>
      <c r="T67">
        <v>141</v>
      </c>
      <c r="U67">
        <v>149</v>
      </c>
      <c r="V67">
        <v>141</v>
      </c>
      <c r="W67" s="6" t="s">
        <v>599</v>
      </c>
      <c r="X67" s="5" t="s">
        <v>36</v>
      </c>
      <c r="Y67" t="s">
        <v>90</v>
      </c>
    </row>
    <row r="68" spans="1:25" ht="29.4" x14ac:dyDescent="0.35">
      <c r="A68" t="s">
        <v>601</v>
      </c>
      <c r="B68">
        <v>2026</v>
      </c>
      <c r="C68">
        <v>67</v>
      </c>
      <c r="D68" s="1">
        <v>46031</v>
      </c>
      <c r="E68" s="1" t="s">
        <v>269</v>
      </c>
      <c r="F68" t="s">
        <v>209</v>
      </c>
      <c r="G68" t="s">
        <v>15</v>
      </c>
      <c r="H68" t="s">
        <v>266</v>
      </c>
      <c r="I68" t="s">
        <v>159</v>
      </c>
      <c r="J68" t="s">
        <v>159</v>
      </c>
      <c r="K68" t="s">
        <v>16</v>
      </c>
      <c r="L68" t="s">
        <v>159</v>
      </c>
      <c r="M68" t="s">
        <v>210</v>
      </c>
      <c r="N68">
        <v>3</v>
      </c>
      <c r="O68" t="s">
        <v>410</v>
      </c>
      <c r="P68" t="s">
        <v>18</v>
      </c>
      <c r="Q68" t="s">
        <v>26</v>
      </c>
      <c r="R68" t="s">
        <v>34</v>
      </c>
      <c r="S68">
        <v>154</v>
      </c>
      <c r="T68">
        <v>157</v>
      </c>
      <c r="U68">
        <v>157</v>
      </c>
      <c r="V68">
        <v>154</v>
      </c>
      <c r="W68" s="6" t="s">
        <v>623</v>
      </c>
      <c r="X68" s="5" t="s">
        <v>162</v>
      </c>
      <c r="Y68" t="s">
        <v>168</v>
      </c>
    </row>
    <row r="69" spans="1:25" ht="29.4" x14ac:dyDescent="0.35">
      <c r="A69" t="s">
        <v>602</v>
      </c>
      <c r="B69">
        <v>2026</v>
      </c>
      <c r="C69">
        <v>68</v>
      </c>
      <c r="D69" s="1">
        <v>46032</v>
      </c>
      <c r="E69" s="1" t="s">
        <v>23</v>
      </c>
      <c r="F69" t="s">
        <v>209</v>
      </c>
      <c r="G69" t="s">
        <v>15</v>
      </c>
      <c r="H69" t="s">
        <v>258</v>
      </c>
      <c r="I69" t="s">
        <v>219</v>
      </c>
      <c r="J69" t="s">
        <v>219</v>
      </c>
      <c r="K69" t="s">
        <v>16</v>
      </c>
      <c r="L69" t="s">
        <v>258</v>
      </c>
      <c r="M69" t="s">
        <v>24</v>
      </c>
      <c r="N69">
        <v>10</v>
      </c>
      <c r="O69" t="s">
        <v>124</v>
      </c>
      <c r="P69" t="s">
        <v>18</v>
      </c>
      <c r="Q69" t="s">
        <v>26</v>
      </c>
      <c r="R69" t="s">
        <v>34</v>
      </c>
      <c r="S69">
        <v>207</v>
      </c>
      <c r="T69">
        <v>197</v>
      </c>
      <c r="U69">
        <v>207</v>
      </c>
      <c r="V69">
        <v>197</v>
      </c>
      <c r="W69" s="6" t="s">
        <v>629</v>
      </c>
      <c r="X69" s="5" t="s">
        <v>162</v>
      </c>
      <c r="Y69" t="s">
        <v>168</v>
      </c>
    </row>
    <row r="70" spans="1:25" ht="29.4" x14ac:dyDescent="0.35">
      <c r="A70" t="s">
        <v>603</v>
      </c>
      <c r="B70">
        <v>2026</v>
      </c>
      <c r="C70">
        <v>69</v>
      </c>
      <c r="D70" s="1">
        <v>46032</v>
      </c>
      <c r="E70" s="1" t="s">
        <v>23</v>
      </c>
      <c r="F70" t="s">
        <v>209</v>
      </c>
      <c r="G70" t="s">
        <v>15</v>
      </c>
      <c r="H70" t="s">
        <v>266</v>
      </c>
      <c r="I70" t="s">
        <v>158</v>
      </c>
      <c r="J70" t="s">
        <v>158</v>
      </c>
      <c r="K70" t="s">
        <v>16</v>
      </c>
      <c r="L70" t="s">
        <v>266</v>
      </c>
      <c r="M70" t="s">
        <v>24</v>
      </c>
      <c r="N70">
        <v>50</v>
      </c>
      <c r="O70" t="s">
        <v>17</v>
      </c>
      <c r="P70" t="s">
        <v>18</v>
      </c>
      <c r="Q70" t="s">
        <v>26</v>
      </c>
      <c r="R70" t="s">
        <v>34</v>
      </c>
      <c r="S70">
        <v>195</v>
      </c>
      <c r="T70">
        <v>145</v>
      </c>
      <c r="U70">
        <v>195</v>
      </c>
      <c r="V70">
        <v>145</v>
      </c>
      <c r="W70" s="6" t="s">
        <v>633</v>
      </c>
      <c r="X70" s="5" t="s">
        <v>162</v>
      </c>
      <c r="Y70" t="s">
        <v>168</v>
      </c>
    </row>
    <row r="71" spans="1:25" ht="29.4" x14ac:dyDescent="0.35">
      <c r="A71" t="s">
        <v>604</v>
      </c>
      <c r="B71">
        <v>2026</v>
      </c>
      <c r="C71">
        <v>70</v>
      </c>
      <c r="D71" s="1">
        <v>46033</v>
      </c>
      <c r="E71" s="1" t="s">
        <v>155</v>
      </c>
      <c r="F71" t="s">
        <v>209</v>
      </c>
      <c r="G71" t="s">
        <v>15</v>
      </c>
      <c r="H71" t="s">
        <v>258</v>
      </c>
      <c r="I71" t="s">
        <v>158</v>
      </c>
      <c r="J71" t="s">
        <v>158</v>
      </c>
      <c r="K71" t="s">
        <v>16</v>
      </c>
      <c r="L71" t="s">
        <v>258</v>
      </c>
      <c r="M71" t="s">
        <v>24</v>
      </c>
      <c r="N71">
        <v>4</v>
      </c>
      <c r="O71" t="s">
        <v>168</v>
      </c>
      <c r="P71" t="s">
        <v>18</v>
      </c>
      <c r="Q71" t="s">
        <v>26</v>
      </c>
      <c r="R71" t="s">
        <v>34</v>
      </c>
      <c r="S71">
        <v>209</v>
      </c>
      <c r="T71">
        <v>205</v>
      </c>
      <c r="U71">
        <v>209</v>
      </c>
      <c r="V71">
        <v>205</v>
      </c>
      <c r="W71" s="6" t="s">
        <v>640</v>
      </c>
      <c r="X71" s="5" t="s">
        <v>162</v>
      </c>
      <c r="Y71" t="s">
        <v>168</v>
      </c>
    </row>
    <row r="72" spans="1:25" ht="29.4" x14ac:dyDescent="0.35">
      <c r="A72" t="s">
        <v>605</v>
      </c>
      <c r="B72">
        <v>2026</v>
      </c>
      <c r="C72">
        <v>71</v>
      </c>
      <c r="D72" s="1">
        <v>46034</v>
      </c>
      <c r="E72" s="1" t="s">
        <v>249</v>
      </c>
      <c r="F72" t="s">
        <v>209</v>
      </c>
      <c r="G72" t="s">
        <v>15</v>
      </c>
      <c r="H72" t="s">
        <v>219</v>
      </c>
      <c r="I72" t="s">
        <v>159</v>
      </c>
      <c r="J72" t="s">
        <v>159</v>
      </c>
      <c r="K72" t="s">
        <v>16</v>
      </c>
      <c r="L72" t="s">
        <v>159</v>
      </c>
      <c r="M72" t="s">
        <v>210</v>
      </c>
      <c r="N72">
        <v>9</v>
      </c>
      <c r="O72" t="s">
        <v>211</v>
      </c>
      <c r="P72" t="s">
        <v>18</v>
      </c>
      <c r="Q72" t="s">
        <v>26</v>
      </c>
      <c r="R72" t="s">
        <v>34</v>
      </c>
      <c r="S72">
        <v>143</v>
      </c>
      <c r="T72">
        <v>145</v>
      </c>
      <c r="U72">
        <v>145</v>
      </c>
      <c r="V72">
        <v>143</v>
      </c>
      <c r="W72" s="6" t="s">
        <v>642</v>
      </c>
      <c r="X72" s="5" t="s">
        <v>36</v>
      </c>
      <c r="Y72" t="s">
        <v>168</v>
      </c>
    </row>
    <row r="73" spans="1:25" ht="29.4" x14ac:dyDescent="0.35">
      <c r="A73" t="s">
        <v>606</v>
      </c>
      <c r="B73">
        <v>2026</v>
      </c>
      <c r="C73">
        <v>72</v>
      </c>
      <c r="D73" s="1">
        <v>46035</v>
      </c>
      <c r="E73" s="1" t="s">
        <v>260</v>
      </c>
      <c r="F73" t="s">
        <v>209</v>
      </c>
      <c r="G73" t="s">
        <v>15</v>
      </c>
      <c r="H73" t="s">
        <v>258</v>
      </c>
      <c r="I73" t="s">
        <v>266</v>
      </c>
      <c r="J73" t="s">
        <v>266</v>
      </c>
      <c r="K73" t="s">
        <v>16</v>
      </c>
      <c r="L73" t="s">
        <v>266</v>
      </c>
      <c r="M73" t="s">
        <v>210</v>
      </c>
      <c r="N73">
        <v>7</v>
      </c>
      <c r="O73" t="s">
        <v>17</v>
      </c>
      <c r="P73" t="s">
        <v>18</v>
      </c>
      <c r="Q73" t="s">
        <v>26</v>
      </c>
      <c r="R73" t="s">
        <v>34</v>
      </c>
      <c r="S73">
        <v>192</v>
      </c>
      <c r="T73">
        <v>193</v>
      </c>
      <c r="U73">
        <v>193</v>
      </c>
      <c r="V73">
        <v>192</v>
      </c>
      <c r="W73" s="6" t="s">
        <v>565</v>
      </c>
      <c r="X73" s="5" t="s">
        <v>36</v>
      </c>
      <c r="Y73" t="s">
        <v>168</v>
      </c>
    </row>
    <row r="74" spans="1:25" ht="29.4" x14ac:dyDescent="0.35">
      <c r="A74" t="s">
        <v>607</v>
      </c>
      <c r="B74">
        <v>2026</v>
      </c>
      <c r="C74">
        <v>73</v>
      </c>
      <c r="D74" s="1">
        <v>46036</v>
      </c>
      <c r="E74" s="1" t="s">
        <v>267</v>
      </c>
      <c r="F74" t="s">
        <v>209</v>
      </c>
      <c r="G74" t="s">
        <v>15</v>
      </c>
      <c r="H74" t="s">
        <v>219</v>
      </c>
      <c r="I74" t="s">
        <v>158</v>
      </c>
      <c r="J74" t="s">
        <v>158</v>
      </c>
      <c r="K74" t="s">
        <v>16</v>
      </c>
      <c r="L74" t="s">
        <v>158</v>
      </c>
      <c r="M74" t="s">
        <v>210</v>
      </c>
      <c r="N74">
        <v>7</v>
      </c>
      <c r="O74" t="s">
        <v>189</v>
      </c>
      <c r="P74" t="s">
        <v>18</v>
      </c>
      <c r="Q74" t="s">
        <v>26</v>
      </c>
      <c r="R74" t="s">
        <v>34</v>
      </c>
      <c r="S74">
        <v>154</v>
      </c>
      <c r="T74">
        <v>158</v>
      </c>
      <c r="U74">
        <v>158</v>
      </c>
      <c r="V74">
        <v>154</v>
      </c>
      <c r="W74" s="6" t="s">
        <v>650</v>
      </c>
      <c r="X74" s="5" t="s">
        <v>36</v>
      </c>
      <c r="Y74" t="s">
        <v>168</v>
      </c>
    </row>
    <row r="75" spans="1:25" ht="28.8" x14ac:dyDescent="0.3">
      <c r="A75" t="s">
        <v>608</v>
      </c>
      <c r="B75">
        <v>2026</v>
      </c>
      <c r="C75">
        <v>74</v>
      </c>
      <c r="D75" s="1">
        <v>46037</v>
      </c>
      <c r="E75" s="1" t="s">
        <v>268</v>
      </c>
      <c r="F75" t="s">
        <v>209</v>
      </c>
      <c r="G75" t="s">
        <v>15</v>
      </c>
      <c r="H75" t="s">
        <v>266</v>
      </c>
      <c r="I75" t="s">
        <v>219</v>
      </c>
      <c r="J75" t="s">
        <v>219</v>
      </c>
      <c r="K75" t="s">
        <v>16</v>
      </c>
      <c r="L75" t="s">
        <v>219</v>
      </c>
      <c r="M75" t="s">
        <v>210</v>
      </c>
      <c r="N75">
        <v>7</v>
      </c>
      <c r="O75" t="s">
        <v>116</v>
      </c>
      <c r="P75" t="s">
        <v>18</v>
      </c>
      <c r="Q75" t="s">
        <v>26</v>
      </c>
      <c r="R75" t="s">
        <v>34</v>
      </c>
      <c r="S75">
        <v>161</v>
      </c>
      <c r="T75">
        <v>162</v>
      </c>
      <c r="U75">
        <v>162</v>
      </c>
      <c r="V75">
        <v>161</v>
      </c>
      <c r="W75" s="6" t="s">
        <v>653</v>
      </c>
      <c r="X75" s="6" t="s">
        <v>654</v>
      </c>
      <c r="Y75" t="s">
        <v>168</v>
      </c>
    </row>
    <row r="76" spans="1:25" ht="28.8" x14ac:dyDescent="0.3">
      <c r="A76" t="s">
        <v>609</v>
      </c>
      <c r="B76">
        <v>2026</v>
      </c>
      <c r="C76">
        <v>75</v>
      </c>
      <c r="D76" s="1">
        <v>46038</v>
      </c>
      <c r="E76" s="1" t="s">
        <v>269</v>
      </c>
      <c r="F76" t="s">
        <v>209</v>
      </c>
      <c r="G76" t="s">
        <v>15</v>
      </c>
      <c r="H76" t="s">
        <v>159</v>
      </c>
      <c r="I76" t="s">
        <v>258</v>
      </c>
      <c r="J76" t="s">
        <v>258</v>
      </c>
      <c r="K76" t="s">
        <v>16</v>
      </c>
      <c r="L76" t="s">
        <v>159</v>
      </c>
      <c r="M76" t="s">
        <v>24</v>
      </c>
      <c r="N76">
        <v>32</v>
      </c>
      <c r="O76" t="s">
        <v>207</v>
      </c>
      <c r="P76" t="s">
        <v>18</v>
      </c>
      <c r="Q76" t="s">
        <v>26</v>
      </c>
      <c r="R76" t="s">
        <v>34</v>
      </c>
      <c r="S76">
        <v>182</v>
      </c>
      <c r="T76">
        <v>150</v>
      </c>
      <c r="U76">
        <v>182</v>
      </c>
      <c r="V76">
        <v>150</v>
      </c>
      <c r="W76" s="6" t="s">
        <v>657</v>
      </c>
      <c r="X76" s="6" t="s">
        <v>654</v>
      </c>
      <c r="Y76" t="s">
        <v>168</v>
      </c>
    </row>
    <row r="77" spans="1:25" ht="29.4" x14ac:dyDescent="0.35">
      <c r="A77" t="s">
        <v>610</v>
      </c>
      <c r="B77">
        <v>2026</v>
      </c>
      <c r="C77">
        <v>76</v>
      </c>
      <c r="D77" s="1">
        <v>46039</v>
      </c>
      <c r="E77" s="1" t="s">
        <v>23</v>
      </c>
      <c r="F77" t="s">
        <v>209</v>
      </c>
      <c r="G77" t="s">
        <v>15</v>
      </c>
      <c r="H77" t="s">
        <v>219</v>
      </c>
      <c r="I77" t="s">
        <v>266</v>
      </c>
      <c r="J77" t="s">
        <v>266</v>
      </c>
      <c r="K77" t="s">
        <v>16</v>
      </c>
      <c r="L77" t="s">
        <v>219</v>
      </c>
      <c r="M77" t="s">
        <v>24</v>
      </c>
      <c r="N77">
        <v>22</v>
      </c>
      <c r="O77" t="s">
        <v>191</v>
      </c>
      <c r="P77" t="s">
        <v>18</v>
      </c>
      <c r="Q77" t="s">
        <v>26</v>
      </c>
      <c r="R77" t="s">
        <v>34</v>
      </c>
      <c r="S77">
        <v>187</v>
      </c>
      <c r="T77">
        <v>165</v>
      </c>
      <c r="U77">
        <v>187</v>
      </c>
      <c r="V77">
        <v>165</v>
      </c>
      <c r="W77" s="6" t="s">
        <v>659</v>
      </c>
      <c r="X77" s="5" t="s">
        <v>660</v>
      </c>
      <c r="Y77" t="s">
        <v>168</v>
      </c>
    </row>
    <row r="78" spans="1:25" ht="15" x14ac:dyDescent="0.35">
      <c r="A78" t="s">
        <v>611</v>
      </c>
      <c r="B78">
        <v>2026</v>
      </c>
      <c r="C78">
        <v>77</v>
      </c>
      <c r="D78" s="1">
        <v>46039</v>
      </c>
      <c r="E78" s="1" t="s">
        <v>23</v>
      </c>
      <c r="F78" t="s">
        <v>209</v>
      </c>
      <c r="G78" t="s">
        <v>15</v>
      </c>
      <c r="H78" t="s">
        <v>158</v>
      </c>
      <c r="I78" t="s">
        <v>159</v>
      </c>
      <c r="J78" t="s">
        <v>159</v>
      </c>
      <c r="K78" t="s">
        <v>16</v>
      </c>
      <c r="L78" t="s">
        <v>159</v>
      </c>
      <c r="M78" t="s">
        <v>210</v>
      </c>
      <c r="N78">
        <v>8</v>
      </c>
      <c r="O78" t="s">
        <v>166</v>
      </c>
      <c r="P78" t="s">
        <v>18</v>
      </c>
      <c r="Q78" t="s">
        <v>26</v>
      </c>
      <c r="R78" t="s">
        <v>34</v>
      </c>
      <c r="S78">
        <v>166</v>
      </c>
      <c r="T78">
        <v>169</v>
      </c>
      <c r="U78">
        <v>169</v>
      </c>
      <c r="V78">
        <v>166</v>
      </c>
      <c r="W78" s="6" t="s">
        <v>662</v>
      </c>
      <c r="X78" s="5" t="s">
        <v>660</v>
      </c>
      <c r="Y78" t="s">
        <v>168</v>
      </c>
    </row>
    <row r="79" spans="1:25" ht="29.4" x14ac:dyDescent="0.35">
      <c r="A79" t="s">
        <v>612</v>
      </c>
      <c r="B79">
        <v>2026</v>
      </c>
      <c r="C79">
        <v>78</v>
      </c>
      <c r="D79" s="1">
        <v>46041</v>
      </c>
      <c r="E79" s="1" t="s">
        <v>249</v>
      </c>
      <c r="F79" t="s">
        <v>699</v>
      </c>
      <c r="G79" t="s">
        <v>484</v>
      </c>
      <c r="H79" t="s">
        <v>159</v>
      </c>
      <c r="I79" t="s">
        <v>258</v>
      </c>
      <c r="J79" t="s">
        <v>258</v>
      </c>
      <c r="K79" t="s">
        <v>16</v>
      </c>
      <c r="L79" t="s">
        <v>159</v>
      </c>
      <c r="M79" t="s">
        <v>24</v>
      </c>
      <c r="N79">
        <v>61</v>
      </c>
      <c r="O79" t="s">
        <v>645</v>
      </c>
      <c r="P79" t="s">
        <v>18</v>
      </c>
      <c r="Q79" t="s">
        <v>26</v>
      </c>
      <c r="R79" t="s">
        <v>34</v>
      </c>
      <c r="S79">
        <v>178</v>
      </c>
      <c r="T79">
        <v>117</v>
      </c>
      <c r="U79">
        <v>178</v>
      </c>
      <c r="V79">
        <v>117</v>
      </c>
      <c r="W79" s="6" t="s">
        <v>665</v>
      </c>
      <c r="X79" s="5" t="s">
        <v>281</v>
      </c>
      <c r="Y79" t="s">
        <v>168</v>
      </c>
    </row>
    <row r="80" spans="1:25" ht="29.4" x14ac:dyDescent="0.35">
      <c r="A80" t="s">
        <v>613</v>
      </c>
      <c r="B80">
        <v>2026</v>
      </c>
      <c r="C80">
        <v>79</v>
      </c>
      <c r="D80" s="1">
        <v>46042</v>
      </c>
      <c r="E80" s="1" t="s">
        <v>260</v>
      </c>
      <c r="F80" t="s">
        <v>699</v>
      </c>
      <c r="G80" t="s">
        <v>484</v>
      </c>
      <c r="H80" t="s">
        <v>266</v>
      </c>
      <c r="I80" t="s">
        <v>158</v>
      </c>
      <c r="J80" t="s">
        <v>158</v>
      </c>
      <c r="K80" t="s">
        <v>16</v>
      </c>
      <c r="L80" t="s">
        <v>158</v>
      </c>
      <c r="M80" t="s">
        <v>210</v>
      </c>
      <c r="N80">
        <v>7</v>
      </c>
      <c r="O80" t="s">
        <v>195</v>
      </c>
      <c r="P80" t="s">
        <v>18</v>
      </c>
      <c r="Q80" t="s">
        <v>26</v>
      </c>
      <c r="R80" t="s">
        <v>34</v>
      </c>
      <c r="S80">
        <v>154</v>
      </c>
      <c r="T80">
        <v>155</v>
      </c>
      <c r="U80">
        <v>155</v>
      </c>
      <c r="V80">
        <v>154</v>
      </c>
      <c r="W80" s="6" t="s">
        <v>669</v>
      </c>
      <c r="X80" s="5" t="s">
        <v>281</v>
      </c>
      <c r="Y80" t="s">
        <v>168</v>
      </c>
    </row>
    <row r="81" spans="1:25" ht="15" x14ac:dyDescent="0.35">
      <c r="A81" t="s">
        <v>614</v>
      </c>
      <c r="B81">
        <v>2026</v>
      </c>
      <c r="C81">
        <v>80</v>
      </c>
      <c r="D81" s="1">
        <v>46044</v>
      </c>
      <c r="E81" s="1" t="s">
        <v>268</v>
      </c>
      <c r="F81" t="s">
        <v>699</v>
      </c>
      <c r="G81" t="s">
        <v>484</v>
      </c>
      <c r="H81" t="s">
        <v>258</v>
      </c>
      <c r="I81" t="s">
        <v>219</v>
      </c>
      <c r="J81" t="s">
        <v>219</v>
      </c>
      <c r="K81" t="s">
        <v>16</v>
      </c>
      <c r="L81" t="s">
        <v>258</v>
      </c>
      <c r="M81" t="s">
        <v>24</v>
      </c>
      <c r="N81">
        <v>45</v>
      </c>
      <c r="O81" t="s">
        <v>238</v>
      </c>
      <c r="P81" t="s">
        <v>18</v>
      </c>
      <c r="Q81" t="s">
        <v>26</v>
      </c>
      <c r="R81" t="s">
        <v>34</v>
      </c>
      <c r="S81">
        <v>153</v>
      </c>
      <c r="T81">
        <v>108</v>
      </c>
      <c r="U81">
        <v>153</v>
      </c>
      <c r="V81">
        <v>108</v>
      </c>
      <c r="W81" s="6" t="s">
        <v>673</v>
      </c>
      <c r="X81" s="5" t="s">
        <v>281</v>
      </c>
      <c r="Y81" t="s">
        <v>168</v>
      </c>
    </row>
    <row r="82" spans="1:25" ht="29.4" x14ac:dyDescent="0.35">
      <c r="A82" t="s">
        <v>615</v>
      </c>
      <c r="B82">
        <v>2026</v>
      </c>
      <c r="C82">
        <v>81</v>
      </c>
      <c r="D82" s="1">
        <v>46046</v>
      </c>
      <c r="E82" s="1" t="s">
        <v>23</v>
      </c>
      <c r="F82" t="s">
        <v>699</v>
      </c>
      <c r="G82" t="s">
        <v>484</v>
      </c>
      <c r="H82" t="s">
        <v>159</v>
      </c>
      <c r="I82" t="s">
        <v>158</v>
      </c>
      <c r="J82" t="s">
        <v>158</v>
      </c>
      <c r="K82" t="s">
        <v>16</v>
      </c>
      <c r="L82" t="s">
        <v>158</v>
      </c>
      <c r="M82" t="s">
        <v>210</v>
      </c>
      <c r="N82">
        <v>7</v>
      </c>
      <c r="O82" t="s">
        <v>193</v>
      </c>
      <c r="P82" t="s">
        <v>18</v>
      </c>
      <c r="Q82" t="s">
        <v>26</v>
      </c>
      <c r="R82" t="s">
        <v>34</v>
      </c>
      <c r="S82">
        <v>109</v>
      </c>
      <c r="T82">
        <v>111</v>
      </c>
      <c r="U82">
        <v>111</v>
      </c>
      <c r="V82">
        <v>109</v>
      </c>
      <c r="W82" s="6" t="s">
        <v>675</v>
      </c>
      <c r="X82" s="5" t="s">
        <v>281</v>
      </c>
      <c r="Y82" t="s">
        <v>168</v>
      </c>
    </row>
    <row r="83" spans="1:25" ht="29.4" x14ac:dyDescent="0.35">
      <c r="A83" t="s">
        <v>616</v>
      </c>
      <c r="B83">
        <v>2026</v>
      </c>
      <c r="C83">
        <v>82</v>
      </c>
      <c r="D83" s="1">
        <v>46048</v>
      </c>
      <c r="E83" s="1" t="s">
        <v>249</v>
      </c>
      <c r="F83" t="s">
        <v>699</v>
      </c>
      <c r="G83" t="s">
        <v>484</v>
      </c>
      <c r="H83" t="s">
        <v>266</v>
      </c>
      <c r="I83" t="s">
        <v>159</v>
      </c>
      <c r="J83" t="s">
        <v>159</v>
      </c>
      <c r="K83" t="s">
        <v>16</v>
      </c>
      <c r="L83" t="s">
        <v>266</v>
      </c>
      <c r="M83" t="s">
        <v>24</v>
      </c>
      <c r="N83">
        <v>15</v>
      </c>
      <c r="O83" t="s">
        <v>90</v>
      </c>
      <c r="P83" t="s">
        <v>18</v>
      </c>
      <c r="Q83" t="s">
        <v>26</v>
      </c>
      <c r="R83" t="s">
        <v>34</v>
      </c>
      <c r="S83">
        <v>199</v>
      </c>
      <c r="T83">
        <v>184</v>
      </c>
      <c r="U83">
        <v>199</v>
      </c>
      <c r="V83">
        <v>184</v>
      </c>
      <c r="W83" s="6" t="s">
        <v>678</v>
      </c>
      <c r="X83" s="5" t="s">
        <v>546</v>
      </c>
      <c r="Y83" t="s">
        <v>168</v>
      </c>
    </row>
    <row r="84" spans="1:25" ht="29.4" x14ac:dyDescent="0.35">
      <c r="A84" t="s">
        <v>617</v>
      </c>
      <c r="B84">
        <v>2026</v>
      </c>
      <c r="C84">
        <v>83</v>
      </c>
      <c r="D84" s="1">
        <v>46049</v>
      </c>
      <c r="E84" s="1" t="s">
        <v>260</v>
      </c>
      <c r="F84" t="s">
        <v>699</v>
      </c>
      <c r="G84" t="s">
        <v>484</v>
      </c>
      <c r="H84" t="s">
        <v>258</v>
      </c>
      <c r="I84" t="s">
        <v>158</v>
      </c>
      <c r="J84" t="s">
        <v>158</v>
      </c>
      <c r="K84" t="s">
        <v>16</v>
      </c>
      <c r="L84" t="s">
        <v>258</v>
      </c>
      <c r="M84" t="s">
        <v>24</v>
      </c>
      <c r="N84">
        <v>3</v>
      </c>
      <c r="O84" t="s">
        <v>168</v>
      </c>
      <c r="P84" t="s">
        <v>18</v>
      </c>
      <c r="Q84" t="s">
        <v>26</v>
      </c>
      <c r="R84" t="s">
        <v>34</v>
      </c>
      <c r="S84">
        <v>174</v>
      </c>
      <c r="T84">
        <v>171</v>
      </c>
      <c r="U84">
        <v>174</v>
      </c>
      <c r="V84">
        <v>171</v>
      </c>
      <c r="W84" s="6" t="s">
        <v>681</v>
      </c>
      <c r="X84" s="5" t="s">
        <v>546</v>
      </c>
      <c r="Y84" t="s">
        <v>168</v>
      </c>
    </row>
    <row r="85" spans="1:25" ht="29.4" x14ac:dyDescent="0.35">
      <c r="A85" t="s">
        <v>618</v>
      </c>
      <c r="B85">
        <v>2026</v>
      </c>
      <c r="C85">
        <v>84</v>
      </c>
      <c r="D85" s="1">
        <v>46051</v>
      </c>
      <c r="E85" s="1" t="s">
        <v>268</v>
      </c>
      <c r="F85" t="s">
        <v>699</v>
      </c>
      <c r="G85" t="s">
        <v>484</v>
      </c>
      <c r="H85" t="s">
        <v>219</v>
      </c>
      <c r="I85" t="s">
        <v>159</v>
      </c>
      <c r="J85" t="s">
        <v>159</v>
      </c>
      <c r="K85" t="s">
        <v>16</v>
      </c>
      <c r="L85" t="s">
        <v>159</v>
      </c>
      <c r="M85" t="s">
        <v>210</v>
      </c>
      <c r="N85">
        <v>8</v>
      </c>
      <c r="O85" t="s">
        <v>211</v>
      </c>
      <c r="P85" t="s">
        <v>18</v>
      </c>
      <c r="Q85" t="s">
        <v>26</v>
      </c>
      <c r="R85" t="s">
        <v>34</v>
      </c>
      <c r="S85">
        <v>143</v>
      </c>
      <c r="T85">
        <v>147</v>
      </c>
      <c r="U85">
        <v>147</v>
      </c>
      <c r="V85">
        <v>143</v>
      </c>
      <c r="W85" s="6" t="s">
        <v>684</v>
      </c>
      <c r="X85" s="5" t="s">
        <v>546</v>
      </c>
      <c r="Y85" t="s">
        <v>168</v>
      </c>
    </row>
    <row r="86" spans="1:25" ht="29.4" x14ac:dyDescent="0.35">
      <c r="A86" t="s">
        <v>619</v>
      </c>
      <c r="B86">
        <v>2026</v>
      </c>
      <c r="C86">
        <v>85</v>
      </c>
      <c r="D86" s="1">
        <v>46052</v>
      </c>
      <c r="E86" s="1" t="s">
        <v>269</v>
      </c>
      <c r="F86" t="s">
        <v>699</v>
      </c>
      <c r="G86" t="s">
        <v>484</v>
      </c>
      <c r="H86" t="s">
        <v>258</v>
      </c>
      <c r="I86" t="s">
        <v>266</v>
      </c>
      <c r="J86" t="s">
        <v>258</v>
      </c>
      <c r="K86" t="s">
        <v>251</v>
      </c>
      <c r="L86" t="s">
        <v>258</v>
      </c>
      <c r="M86" t="s">
        <v>24</v>
      </c>
      <c r="N86">
        <v>11</v>
      </c>
      <c r="O86" t="s">
        <v>124</v>
      </c>
      <c r="P86" t="s">
        <v>18</v>
      </c>
      <c r="Q86" t="s">
        <v>26</v>
      </c>
      <c r="R86" t="s">
        <v>34</v>
      </c>
      <c r="S86">
        <v>167</v>
      </c>
      <c r="T86">
        <v>156</v>
      </c>
      <c r="U86">
        <v>167</v>
      </c>
      <c r="V86">
        <v>156</v>
      </c>
      <c r="W86" s="6" t="s">
        <v>687</v>
      </c>
      <c r="X86" s="5" t="s">
        <v>546</v>
      </c>
      <c r="Y86" t="s">
        <v>168</v>
      </c>
    </row>
    <row r="87" spans="1:25" ht="29.4" x14ac:dyDescent="0.35">
      <c r="A87" t="s">
        <v>620</v>
      </c>
      <c r="B87">
        <v>2026</v>
      </c>
      <c r="C87">
        <v>86</v>
      </c>
      <c r="D87" s="1">
        <v>46054</v>
      </c>
      <c r="E87" s="1" t="s">
        <v>155</v>
      </c>
      <c r="F87" t="s">
        <v>699</v>
      </c>
      <c r="G87" t="s">
        <v>484</v>
      </c>
      <c r="H87" t="s">
        <v>219</v>
      </c>
      <c r="I87" t="s">
        <v>158</v>
      </c>
      <c r="J87" t="s">
        <v>158</v>
      </c>
      <c r="K87" t="s">
        <v>16</v>
      </c>
      <c r="L87" t="s">
        <v>158</v>
      </c>
      <c r="M87" t="s">
        <v>210</v>
      </c>
      <c r="N87">
        <v>5</v>
      </c>
      <c r="O87" t="s">
        <v>193</v>
      </c>
      <c r="P87" t="s">
        <v>18</v>
      </c>
      <c r="Q87" t="s">
        <v>26</v>
      </c>
      <c r="R87" t="s">
        <v>34</v>
      </c>
      <c r="S87">
        <v>122</v>
      </c>
      <c r="T87">
        <v>126</v>
      </c>
      <c r="U87">
        <v>126</v>
      </c>
      <c r="V87">
        <v>122</v>
      </c>
      <c r="W87" s="6" t="s">
        <v>689</v>
      </c>
      <c r="X87" s="5" t="s">
        <v>36</v>
      </c>
      <c r="Y87" t="s">
        <v>168</v>
      </c>
    </row>
    <row r="88" spans="1:25" ht="29.4" x14ac:dyDescent="0.35">
      <c r="A88" t="s">
        <v>621</v>
      </c>
      <c r="B88">
        <v>2026</v>
      </c>
      <c r="C88">
        <v>87</v>
      </c>
      <c r="D88" s="1">
        <v>46056</v>
      </c>
      <c r="E88" s="1" t="s">
        <v>260</v>
      </c>
      <c r="F88" t="s">
        <v>699</v>
      </c>
      <c r="G88" t="s">
        <v>484</v>
      </c>
      <c r="H88" t="s">
        <v>258</v>
      </c>
      <c r="I88" t="s">
        <v>158</v>
      </c>
      <c r="J88" t="s">
        <v>158</v>
      </c>
      <c r="K88" t="s">
        <v>16</v>
      </c>
      <c r="L88" t="s">
        <v>158</v>
      </c>
      <c r="M88" t="s">
        <v>210</v>
      </c>
      <c r="N88">
        <v>7</v>
      </c>
      <c r="O88" t="s">
        <v>195</v>
      </c>
      <c r="P88" t="s">
        <v>328</v>
      </c>
      <c r="Q88" t="s">
        <v>26</v>
      </c>
      <c r="R88" t="s">
        <v>34</v>
      </c>
      <c r="S88">
        <v>168</v>
      </c>
      <c r="T88">
        <v>169</v>
      </c>
      <c r="U88">
        <v>169</v>
      </c>
      <c r="V88">
        <v>168</v>
      </c>
      <c r="W88" s="6" t="s">
        <v>692</v>
      </c>
      <c r="X88" s="5" t="s">
        <v>546</v>
      </c>
      <c r="Y88" t="s">
        <v>168</v>
      </c>
    </row>
    <row r="89" spans="1:25" ht="29.4" x14ac:dyDescent="0.35">
      <c r="A89" t="s">
        <v>622</v>
      </c>
      <c r="B89">
        <v>2026</v>
      </c>
      <c r="C89">
        <v>88</v>
      </c>
      <c r="D89" s="1">
        <v>46058</v>
      </c>
      <c r="E89" s="1" t="s">
        <v>268</v>
      </c>
      <c r="F89" t="s">
        <v>699</v>
      </c>
      <c r="G89" t="s">
        <v>484</v>
      </c>
      <c r="H89" t="s">
        <v>158</v>
      </c>
      <c r="I89" t="s">
        <v>159</v>
      </c>
      <c r="J89" t="s">
        <v>159</v>
      </c>
      <c r="K89" t="s">
        <v>16</v>
      </c>
      <c r="L89" t="s">
        <v>159</v>
      </c>
      <c r="M89" t="s">
        <v>210</v>
      </c>
      <c r="N89">
        <v>6</v>
      </c>
      <c r="O89" t="s">
        <v>166</v>
      </c>
      <c r="P89" t="s">
        <v>333</v>
      </c>
      <c r="Q89" t="s">
        <v>26</v>
      </c>
      <c r="R89" t="s">
        <v>34</v>
      </c>
      <c r="S89">
        <v>203</v>
      </c>
      <c r="T89">
        <v>204</v>
      </c>
      <c r="U89">
        <v>204</v>
      </c>
      <c r="V89">
        <v>203</v>
      </c>
      <c r="W89" s="6" t="s">
        <v>695</v>
      </c>
      <c r="X89" s="5" t="s">
        <v>281</v>
      </c>
      <c r="Y89" t="s">
        <v>168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8B0A1-E4A8-47AE-B5E9-14F6444A1B27}">
  <dimension ref="A1:W177"/>
  <sheetViews>
    <sheetView topLeftCell="A152" zoomScale="98" workbookViewId="0">
      <selection activeCell="A2" sqref="A2:A177"/>
    </sheetView>
  </sheetViews>
  <sheetFormatPr defaultRowHeight="14.4" x14ac:dyDescent="0.3"/>
  <cols>
    <col min="1" max="1" width="11.88671875" bestFit="1" customWidth="1"/>
    <col min="2" max="2" width="6.88671875" bestFit="1" customWidth="1"/>
    <col min="3" max="3" width="10" bestFit="1" customWidth="1"/>
    <col min="4" max="4" width="12.109375" bestFit="1" customWidth="1"/>
    <col min="5" max="5" width="12.77734375" bestFit="1" customWidth="1"/>
    <col min="6" max="6" width="9.77734375" bestFit="1" customWidth="1"/>
    <col min="7" max="7" width="11.6640625" bestFit="1" customWidth="1"/>
    <col min="8" max="8" width="12" bestFit="1" customWidth="1"/>
    <col min="9" max="9" width="8.109375" bestFit="1" customWidth="1"/>
    <col min="10" max="10" width="14.44140625" bestFit="1" customWidth="1"/>
    <col min="11" max="11" width="17.109375" bestFit="1" customWidth="1"/>
    <col min="12" max="12" width="15.109375" bestFit="1" customWidth="1"/>
    <col min="13" max="13" width="17.88671875" bestFit="1" customWidth="1"/>
    <col min="14" max="14" width="14.21875" bestFit="1" customWidth="1"/>
    <col min="15" max="15" width="16.88671875" bestFit="1" customWidth="1"/>
    <col min="16" max="16" width="10.44140625" bestFit="1" customWidth="1"/>
    <col min="17" max="18" width="8" bestFit="1" customWidth="1"/>
    <col min="19" max="19" width="8.88671875" bestFit="1" customWidth="1"/>
    <col min="20" max="20" width="15" bestFit="1" customWidth="1"/>
    <col min="21" max="21" width="16.21875" bestFit="1" customWidth="1"/>
    <col min="22" max="22" width="15.33203125" bestFit="1" customWidth="1"/>
    <col min="23" max="23" width="11.77734375" bestFit="1" customWidth="1"/>
  </cols>
  <sheetData>
    <row r="1" spans="1:23" x14ac:dyDescent="0.3">
      <c r="A1" t="s">
        <v>4</v>
      </c>
      <c r="B1" t="s">
        <v>3</v>
      </c>
      <c r="C1" t="s">
        <v>20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45</v>
      </c>
      <c r="K1" t="s">
        <v>44</v>
      </c>
      <c r="L1" t="s">
        <v>46</v>
      </c>
      <c r="M1" t="s">
        <v>47</v>
      </c>
      <c r="N1" t="s">
        <v>48</v>
      </c>
      <c r="O1" t="s">
        <v>49</v>
      </c>
      <c r="P1" t="s">
        <v>548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56</v>
      </c>
      <c r="W1" t="s">
        <v>55</v>
      </c>
    </row>
    <row r="2" spans="1:23" x14ac:dyDescent="0.3">
      <c r="A2" t="s">
        <v>19</v>
      </c>
      <c r="B2">
        <v>2023</v>
      </c>
      <c r="C2">
        <v>1</v>
      </c>
      <c r="D2" t="s">
        <v>266</v>
      </c>
      <c r="E2" t="s">
        <v>258</v>
      </c>
      <c r="F2">
        <v>207</v>
      </c>
      <c r="G2">
        <v>5</v>
      </c>
      <c r="H2">
        <v>20</v>
      </c>
      <c r="I2">
        <v>10.35</v>
      </c>
      <c r="J2">
        <v>44</v>
      </c>
      <c r="K2">
        <v>1</v>
      </c>
      <c r="L2">
        <v>115</v>
      </c>
      <c r="M2">
        <v>2</v>
      </c>
      <c r="N2">
        <v>48</v>
      </c>
      <c r="O2">
        <v>2</v>
      </c>
      <c r="P2">
        <v>0</v>
      </c>
      <c r="Q2">
        <v>31</v>
      </c>
      <c r="R2">
        <v>6</v>
      </c>
      <c r="S2">
        <v>44</v>
      </c>
      <c r="T2" t="s">
        <v>57</v>
      </c>
      <c r="U2">
        <v>21</v>
      </c>
      <c r="V2">
        <v>0</v>
      </c>
      <c r="W2" t="s">
        <v>58</v>
      </c>
    </row>
    <row r="3" spans="1:23" x14ac:dyDescent="0.3">
      <c r="A3" t="s">
        <v>19</v>
      </c>
      <c r="B3">
        <v>2023</v>
      </c>
      <c r="C3">
        <v>2</v>
      </c>
      <c r="D3" t="s">
        <v>258</v>
      </c>
      <c r="E3" t="s">
        <v>266</v>
      </c>
      <c r="F3">
        <v>64</v>
      </c>
      <c r="G3">
        <v>10</v>
      </c>
      <c r="H3">
        <v>15.1</v>
      </c>
      <c r="I3">
        <v>4.22</v>
      </c>
      <c r="J3">
        <v>17</v>
      </c>
      <c r="K3">
        <v>4</v>
      </c>
      <c r="L3">
        <v>47</v>
      </c>
      <c r="M3">
        <v>6</v>
      </c>
      <c r="N3">
        <v>0</v>
      </c>
      <c r="O3">
        <v>0</v>
      </c>
      <c r="P3">
        <v>0</v>
      </c>
      <c r="Q3">
        <v>5</v>
      </c>
      <c r="R3">
        <v>2</v>
      </c>
      <c r="S3">
        <v>62</v>
      </c>
      <c r="T3" t="s">
        <v>60</v>
      </c>
      <c r="U3">
        <v>12</v>
      </c>
      <c r="V3">
        <v>10.35</v>
      </c>
      <c r="W3" t="s">
        <v>59</v>
      </c>
    </row>
    <row r="4" spans="1:23" x14ac:dyDescent="0.3">
      <c r="A4" t="s">
        <v>37</v>
      </c>
      <c r="B4">
        <v>2023</v>
      </c>
      <c r="C4">
        <v>1</v>
      </c>
      <c r="D4" t="s">
        <v>158</v>
      </c>
      <c r="E4" t="s">
        <v>159</v>
      </c>
      <c r="F4">
        <v>223</v>
      </c>
      <c r="G4">
        <v>2</v>
      </c>
      <c r="H4">
        <v>20</v>
      </c>
      <c r="I4">
        <v>11.15</v>
      </c>
      <c r="J4">
        <v>57</v>
      </c>
      <c r="K4">
        <v>0</v>
      </c>
      <c r="L4">
        <v>120</v>
      </c>
      <c r="M4">
        <v>2</v>
      </c>
      <c r="N4">
        <v>46</v>
      </c>
      <c r="O4">
        <v>0</v>
      </c>
      <c r="P4">
        <v>0</v>
      </c>
      <c r="Q4">
        <v>30</v>
      </c>
      <c r="R4">
        <v>7</v>
      </c>
      <c r="S4">
        <v>28</v>
      </c>
      <c r="T4" t="s">
        <v>163</v>
      </c>
      <c r="U4">
        <v>22</v>
      </c>
      <c r="V4">
        <v>0</v>
      </c>
      <c r="W4" t="s">
        <v>58</v>
      </c>
    </row>
    <row r="5" spans="1:23" x14ac:dyDescent="0.3">
      <c r="A5" t="s">
        <v>37</v>
      </c>
      <c r="B5">
        <v>2023</v>
      </c>
      <c r="C5">
        <v>2</v>
      </c>
      <c r="D5" t="s">
        <v>159</v>
      </c>
      <c r="E5" t="s">
        <v>158</v>
      </c>
      <c r="F5">
        <v>163</v>
      </c>
      <c r="G5">
        <v>8</v>
      </c>
      <c r="H5">
        <v>20</v>
      </c>
      <c r="I5">
        <v>8.15</v>
      </c>
      <c r="J5">
        <v>54</v>
      </c>
      <c r="K5">
        <v>1</v>
      </c>
      <c r="L5">
        <v>70</v>
      </c>
      <c r="M5">
        <v>6</v>
      </c>
      <c r="N5">
        <v>39</v>
      </c>
      <c r="O5">
        <v>1</v>
      </c>
      <c r="P5">
        <v>0</v>
      </c>
      <c r="Q5">
        <v>21</v>
      </c>
      <c r="R5">
        <v>3</v>
      </c>
      <c r="S5">
        <v>39</v>
      </c>
      <c r="T5" t="s">
        <v>164</v>
      </c>
      <c r="U5">
        <v>16</v>
      </c>
      <c r="V5">
        <v>11.15</v>
      </c>
      <c r="W5" t="s">
        <v>59</v>
      </c>
    </row>
    <row r="6" spans="1:23" x14ac:dyDescent="0.3">
      <c r="A6" t="s">
        <v>136</v>
      </c>
      <c r="B6">
        <v>2023</v>
      </c>
      <c r="C6">
        <v>1</v>
      </c>
      <c r="D6" t="s">
        <v>258</v>
      </c>
      <c r="E6" t="s">
        <v>219</v>
      </c>
      <c r="F6">
        <v>169</v>
      </c>
      <c r="G6">
        <v>6</v>
      </c>
      <c r="H6">
        <v>20</v>
      </c>
      <c r="I6">
        <v>8.4499999999999993</v>
      </c>
      <c r="J6">
        <v>45</v>
      </c>
      <c r="K6">
        <v>2</v>
      </c>
      <c r="L6">
        <v>77</v>
      </c>
      <c r="M6">
        <v>3</v>
      </c>
      <c r="N6">
        <v>46</v>
      </c>
      <c r="O6">
        <v>1</v>
      </c>
      <c r="P6">
        <v>0</v>
      </c>
      <c r="Q6">
        <v>21</v>
      </c>
      <c r="R6">
        <v>2</v>
      </c>
      <c r="S6">
        <v>40</v>
      </c>
      <c r="T6" t="s">
        <v>214</v>
      </c>
      <c r="U6">
        <v>18</v>
      </c>
      <c r="V6">
        <v>0</v>
      </c>
      <c r="W6" t="s">
        <v>58</v>
      </c>
    </row>
    <row r="7" spans="1:23" x14ac:dyDescent="0.3">
      <c r="A7" t="s">
        <v>136</v>
      </c>
      <c r="B7">
        <v>2023</v>
      </c>
      <c r="C7">
        <v>2</v>
      </c>
      <c r="D7" t="s">
        <v>219</v>
      </c>
      <c r="E7" t="s">
        <v>258</v>
      </c>
      <c r="F7">
        <v>175</v>
      </c>
      <c r="G7">
        <v>7</v>
      </c>
      <c r="H7">
        <v>19.5</v>
      </c>
      <c r="I7">
        <v>8.82</v>
      </c>
      <c r="J7">
        <v>35</v>
      </c>
      <c r="K7">
        <v>3</v>
      </c>
      <c r="L7">
        <v>72</v>
      </c>
      <c r="M7">
        <v>4</v>
      </c>
      <c r="N7">
        <v>68</v>
      </c>
      <c r="O7">
        <v>0</v>
      </c>
      <c r="P7">
        <v>0</v>
      </c>
      <c r="Q7">
        <v>15</v>
      </c>
      <c r="R7">
        <v>6</v>
      </c>
      <c r="S7">
        <v>33</v>
      </c>
      <c r="T7" t="s">
        <v>215</v>
      </c>
      <c r="U7">
        <v>24</v>
      </c>
      <c r="V7">
        <v>8.4499999999999993</v>
      </c>
      <c r="W7" t="s">
        <v>216</v>
      </c>
    </row>
    <row r="8" spans="1:23" x14ac:dyDescent="0.3">
      <c r="A8" t="s">
        <v>137</v>
      </c>
      <c r="B8">
        <v>2023</v>
      </c>
      <c r="C8">
        <v>1</v>
      </c>
      <c r="D8" t="s">
        <v>159</v>
      </c>
      <c r="E8" t="s">
        <v>266</v>
      </c>
      <c r="F8">
        <v>155</v>
      </c>
      <c r="G8">
        <v>10</v>
      </c>
      <c r="H8">
        <v>18.399999999999999</v>
      </c>
      <c r="I8">
        <v>8.3000000000000007</v>
      </c>
      <c r="J8">
        <v>47</v>
      </c>
      <c r="K8">
        <v>4</v>
      </c>
      <c r="L8">
        <v>85</v>
      </c>
      <c r="M8">
        <v>3</v>
      </c>
      <c r="N8">
        <v>22</v>
      </c>
      <c r="O8">
        <v>3</v>
      </c>
      <c r="P8">
        <v>0</v>
      </c>
      <c r="Q8">
        <v>21</v>
      </c>
      <c r="R8">
        <v>4</v>
      </c>
      <c r="S8">
        <v>41</v>
      </c>
      <c r="T8" t="s">
        <v>254</v>
      </c>
      <c r="U8">
        <v>14</v>
      </c>
      <c r="V8">
        <v>0</v>
      </c>
      <c r="W8" t="s">
        <v>58</v>
      </c>
    </row>
    <row r="9" spans="1:23" x14ac:dyDescent="0.3">
      <c r="A9" t="s">
        <v>137</v>
      </c>
      <c r="B9">
        <v>2023</v>
      </c>
      <c r="C9">
        <v>2</v>
      </c>
      <c r="D9" t="s">
        <v>266</v>
      </c>
      <c r="E9" t="s">
        <v>159</v>
      </c>
      <c r="F9">
        <v>159</v>
      </c>
      <c r="G9">
        <v>1</v>
      </c>
      <c r="H9">
        <v>14.2</v>
      </c>
      <c r="I9">
        <v>11.09</v>
      </c>
      <c r="J9">
        <v>54</v>
      </c>
      <c r="K9">
        <v>1</v>
      </c>
      <c r="L9">
        <v>105</v>
      </c>
      <c r="M9">
        <v>0</v>
      </c>
      <c r="N9">
        <v>0</v>
      </c>
      <c r="O9">
        <v>0</v>
      </c>
      <c r="P9">
        <v>0</v>
      </c>
      <c r="Q9">
        <v>26</v>
      </c>
      <c r="R9">
        <v>2</v>
      </c>
      <c r="S9">
        <v>22</v>
      </c>
      <c r="T9" t="s">
        <v>255</v>
      </c>
      <c r="U9">
        <v>20</v>
      </c>
      <c r="V9">
        <v>8.3000000000000007</v>
      </c>
      <c r="W9" t="s">
        <v>216</v>
      </c>
    </row>
    <row r="10" spans="1:23" x14ac:dyDescent="0.3">
      <c r="A10" t="s">
        <v>138</v>
      </c>
      <c r="B10">
        <v>2023</v>
      </c>
      <c r="C10">
        <v>1</v>
      </c>
      <c r="D10" t="s">
        <v>158</v>
      </c>
      <c r="E10" t="s">
        <v>219</v>
      </c>
      <c r="F10">
        <v>211</v>
      </c>
      <c r="G10">
        <v>4</v>
      </c>
      <c r="H10">
        <v>20</v>
      </c>
      <c r="I10">
        <v>10.55</v>
      </c>
      <c r="J10">
        <v>62</v>
      </c>
      <c r="K10">
        <v>0</v>
      </c>
      <c r="L10">
        <v>91</v>
      </c>
      <c r="M10">
        <v>4</v>
      </c>
      <c r="N10">
        <v>58</v>
      </c>
      <c r="O10">
        <v>0</v>
      </c>
      <c r="P10">
        <v>0</v>
      </c>
      <c r="Q10">
        <v>21</v>
      </c>
      <c r="R10">
        <v>9</v>
      </c>
      <c r="S10">
        <v>35</v>
      </c>
      <c r="T10" t="s">
        <v>262</v>
      </c>
      <c r="U10">
        <v>19</v>
      </c>
      <c r="V10">
        <v>0</v>
      </c>
      <c r="W10" t="s">
        <v>58</v>
      </c>
    </row>
    <row r="11" spans="1:23" x14ac:dyDescent="0.3">
      <c r="A11" t="s">
        <v>138</v>
      </c>
      <c r="B11">
        <v>2023</v>
      </c>
      <c r="C11">
        <v>2</v>
      </c>
      <c r="D11" t="s">
        <v>219</v>
      </c>
      <c r="E11" t="s">
        <v>158</v>
      </c>
      <c r="F11">
        <v>169</v>
      </c>
      <c r="G11">
        <v>5</v>
      </c>
      <c r="H11">
        <v>20</v>
      </c>
      <c r="I11">
        <v>8.4499999999999993</v>
      </c>
      <c r="J11">
        <v>33</v>
      </c>
      <c r="K11">
        <v>3</v>
      </c>
      <c r="L11">
        <v>80</v>
      </c>
      <c r="M11">
        <v>1</v>
      </c>
      <c r="N11">
        <v>56</v>
      </c>
      <c r="O11">
        <v>1</v>
      </c>
      <c r="P11">
        <v>0</v>
      </c>
      <c r="Q11">
        <v>20</v>
      </c>
      <c r="R11">
        <v>4</v>
      </c>
      <c r="S11">
        <v>45</v>
      </c>
      <c r="T11" t="s">
        <v>263</v>
      </c>
      <c r="U11">
        <v>18</v>
      </c>
      <c r="V11">
        <v>10.55</v>
      </c>
      <c r="W11" t="s">
        <v>59</v>
      </c>
    </row>
    <row r="12" spans="1:23" x14ac:dyDescent="0.3">
      <c r="A12" t="s">
        <v>139</v>
      </c>
      <c r="B12">
        <v>2023</v>
      </c>
      <c r="C12">
        <v>1</v>
      </c>
      <c r="D12" t="s">
        <v>258</v>
      </c>
      <c r="E12" t="s">
        <v>159</v>
      </c>
      <c r="F12">
        <v>201</v>
      </c>
      <c r="G12">
        <v>7</v>
      </c>
      <c r="H12">
        <v>20</v>
      </c>
      <c r="I12">
        <v>10.050000000000001</v>
      </c>
      <c r="J12">
        <v>64</v>
      </c>
      <c r="K12">
        <v>1</v>
      </c>
      <c r="L12">
        <v>97</v>
      </c>
      <c r="M12">
        <v>3</v>
      </c>
      <c r="N12">
        <v>40</v>
      </c>
      <c r="O12">
        <v>3</v>
      </c>
      <c r="P12">
        <v>0</v>
      </c>
      <c r="Q12">
        <v>28</v>
      </c>
      <c r="R12">
        <v>6</v>
      </c>
      <c r="S12">
        <v>38</v>
      </c>
      <c r="T12" t="s">
        <v>271</v>
      </c>
      <c r="U12">
        <v>23</v>
      </c>
      <c r="V12">
        <v>0</v>
      </c>
      <c r="W12" t="s">
        <v>58</v>
      </c>
    </row>
    <row r="13" spans="1:23" x14ac:dyDescent="0.3">
      <c r="A13" t="s">
        <v>139</v>
      </c>
      <c r="B13">
        <v>2023</v>
      </c>
      <c r="C13">
        <v>2</v>
      </c>
      <c r="D13" t="s">
        <v>159</v>
      </c>
      <c r="E13" t="s">
        <v>258</v>
      </c>
      <c r="F13">
        <v>190</v>
      </c>
      <c r="G13">
        <v>6</v>
      </c>
      <c r="H13">
        <v>20</v>
      </c>
      <c r="I13">
        <v>9.5</v>
      </c>
      <c r="J13">
        <v>59</v>
      </c>
      <c r="K13">
        <v>1</v>
      </c>
      <c r="L13">
        <v>76</v>
      </c>
      <c r="M13">
        <v>2</v>
      </c>
      <c r="N13">
        <v>55</v>
      </c>
      <c r="O13">
        <v>3</v>
      </c>
      <c r="P13">
        <v>0</v>
      </c>
      <c r="Q13">
        <v>26</v>
      </c>
      <c r="R13">
        <v>4</v>
      </c>
      <c r="S13">
        <v>40</v>
      </c>
      <c r="T13" t="s">
        <v>272</v>
      </c>
      <c r="U13">
        <v>23</v>
      </c>
      <c r="V13">
        <v>10.050000000000001</v>
      </c>
      <c r="W13" t="s">
        <v>59</v>
      </c>
    </row>
    <row r="14" spans="1:23" x14ac:dyDescent="0.3">
      <c r="A14" t="s">
        <v>140</v>
      </c>
      <c r="B14">
        <v>2023</v>
      </c>
      <c r="C14">
        <v>1</v>
      </c>
      <c r="D14" t="s">
        <v>158</v>
      </c>
      <c r="E14" t="s">
        <v>266</v>
      </c>
      <c r="F14">
        <v>105</v>
      </c>
      <c r="G14">
        <v>10</v>
      </c>
      <c r="H14">
        <v>18</v>
      </c>
      <c r="I14">
        <v>5.83</v>
      </c>
      <c r="J14">
        <v>29</v>
      </c>
      <c r="K14">
        <v>2</v>
      </c>
      <c r="L14">
        <v>69</v>
      </c>
      <c r="M14">
        <v>5</v>
      </c>
      <c r="N14">
        <v>7</v>
      </c>
      <c r="O14">
        <v>3</v>
      </c>
      <c r="P14">
        <v>0</v>
      </c>
      <c r="Q14">
        <v>9</v>
      </c>
      <c r="R14">
        <v>1</v>
      </c>
      <c r="S14">
        <v>43</v>
      </c>
      <c r="T14" t="s">
        <v>282</v>
      </c>
      <c r="U14">
        <v>14</v>
      </c>
      <c r="V14">
        <v>0</v>
      </c>
      <c r="W14" t="s">
        <v>58</v>
      </c>
    </row>
    <row r="15" spans="1:23" x14ac:dyDescent="0.3">
      <c r="A15" t="s">
        <v>140</v>
      </c>
      <c r="B15">
        <v>2023</v>
      </c>
      <c r="C15">
        <v>2</v>
      </c>
      <c r="D15" t="s">
        <v>266</v>
      </c>
      <c r="E15" t="s">
        <v>158</v>
      </c>
      <c r="F15">
        <v>109</v>
      </c>
      <c r="G15">
        <v>2</v>
      </c>
      <c r="H15">
        <v>15</v>
      </c>
      <c r="I15">
        <v>7.27</v>
      </c>
      <c r="J15">
        <v>47</v>
      </c>
      <c r="K15">
        <v>0</v>
      </c>
      <c r="L15">
        <v>62</v>
      </c>
      <c r="M15">
        <v>2</v>
      </c>
      <c r="N15">
        <v>0</v>
      </c>
      <c r="O15">
        <v>0</v>
      </c>
      <c r="P15">
        <v>0</v>
      </c>
      <c r="Q15">
        <v>20</v>
      </c>
      <c r="R15">
        <v>0</v>
      </c>
      <c r="S15">
        <v>45</v>
      </c>
      <c r="T15" t="s">
        <v>283</v>
      </c>
      <c r="U15">
        <v>13</v>
      </c>
      <c r="V15">
        <v>5.83</v>
      </c>
      <c r="W15" t="s">
        <v>216</v>
      </c>
    </row>
    <row r="16" spans="1:23" x14ac:dyDescent="0.3">
      <c r="A16" t="s">
        <v>141</v>
      </c>
      <c r="B16">
        <v>2023</v>
      </c>
      <c r="C16">
        <v>1</v>
      </c>
      <c r="D16" t="s">
        <v>159</v>
      </c>
      <c r="E16" t="s">
        <v>219</v>
      </c>
      <c r="F16">
        <v>138</v>
      </c>
      <c r="G16">
        <v>10</v>
      </c>
      <c r="H16">
        <v>19.3</v>
      </c>
      <c r="I16">
        <v>7.08</v>
      </c>
      <c r="J16">
        <v>54</v>
      </c>
      <c r="K16">
        <v>1</v>
      </c>
      <c r="L16">
        <v>70</v>
      </c>
      <c r="M16">
        <v>4</v>
      </c>
      <c r="N16">
        <v>14</v>
      </c>
      <c r="O16">
        <v>5</v>
      </c>
      <c r="P16">
        <v>0</v>
      </c>
      <c r="Q16">
        <v>16</v>
      </c>
      <c r="R16">
        <v>2</v>
      </c>
      <c r="S16">
        <v>39</v>
      </c>
      <c r="T16">
        <v>0</v>
      </c>
      <c r="U16">
        <v>13</v>
      </c>
      <c r="V16">
        <v>0</v>
      </c>
      <c r="W16" t="s">
        <v>58</v>
      </c>
    </row>
    <row r="17" spans="1:23" x14ac:dyDescent="0.3">
      <c r="A17" t="s">
        <v>141</v>
      </c>
      <c r="B17">
        <v>2023</v>
      </c>
      <c r="C17">
        <v>2</v>
      </c>
      <c r="D17" t="s">
        <v>219</v>
      </c>
      <c r="E17" t="s">
        <v>159</v>
      </c>
      <c r="F17">
        <v>139</v>
      </c>
      <c r="G17">
        <v>0</v>
      </c>
      <c r="H17">
        <v>13</v>
      </c>
      <c r="I17">
        <v>10.69</v>
      </c>
      <c r="J17">
        <v>55</v>
      </c>
      <c r="K17">
        <v>0</v>
      </c>
      <c r="L17">
        <v>84</v>
      </c>
      <c r="M17">
        <v>0</v>
      </c>
      <c r="N17">
        <v>0</v>
      </c>
      <c r="O17">
        <v>0</v>
      </c>
      <c r="P17">
        <v>0</v>
      </c>
      <c r="Q17">
        <v>23</v>
      </c>
      <c r="R17">
        <v>1</v>
      </c>
      <c r="S17">
        <v>19</v>
      </c>
      <c r="T17" t="s">
        <v>286</v>
      </c>
      <c r="U17">
        <v>18</v>
      </c>
      <c r="V17">
        <v>7.08</v>
      </c>
      <c r="W17" t="s">
        <v>216</v>
      </c>
    </row>
    <row r="18" spans="1:23" x14ac:dyDescent="0.3">
      <c r="A18" t="s">
        <v>142</v>
      </c>
      <c r="B18">
        <v>2023</v>
      </c>
      <c r="C18">
        <v>1</v>
      </c>
      <c r="D18" t="s">
        <v>258</v>
      </c>
      <c r="E18" t="s">
        <v>158</v>
      </c>
      <c r="F18">
        <v>105</v>
      </c>
      <c r="G18">
        <v>9</v>
      </c>
      <c r="H18">
        <v>20</v>
      </c>
      <c r="I18">
        <v>5.25</v>
      </c>
      <c r="J18">
        <v>31</v>
      </c>
      <c r="K18">
        <v>5</v>
      </c>
      <c r="L18">
        <v>47</v>
      </c>
      <c r="M18">
        <v>2</v>
      </c>
      <c r="N18">
        <v>27</v>
      </c>
      <c r="O18">
        <v>2</v>
      </c>
      <c r="P18">
        <v>0</v>
      </c>
      <c r="Q18">
        <v>12</v>
      </c>
      <c r="R18">
        <v>0</v>
      </c>
      <c r="S18">
        <v>63</v>
      </c>
      <c r="T18" t="s">
        <v>291</v>
      </c>
      <c r="U18">
        <v>9</v>
      </c>
      <c r="V18">
        <v>0</v>
      </c>
      <c r="W18" t="s">
        <v>58</v>
      </c>
    </row>
    <row r="19" spans="1:23" x14ac:dyDescent="0.3">
      <c r="A19" t="s">
        <v>142</v>
      </c>
      <c r="B19">
        <v>2023</v>
      </c>
      <c r="C19">
        <v>2</v>
      </c>
      <c r="D19" t="s">
        <v>158</v>
      </c>
      <c r="E19" t="s">
        <v>258</v>
      </c>
      <c r="F19">
        <v>107</v>
      </c>
      <c r="G19">
        <v>0</v>
      </c>
      <c r="H19">
        <v>7.1</v>
      </c>
      <c r="I19">
        <v>14.93</v>
      </c>
      <c r="J19">
        <v>87</v>
      </c>
      <c r="K19">
        <v>0</v>
      </c>
      <c r="L19">
        <v>20</v>
      </c>
      <c r="M19">
        <v>0</v>
      </c>
      <c r="N19">
        <v>0</v>
      </c>
      <c r="O19">
        <v>0</v>
      </c>
      <c r="P19">
        <v>0</v>
      </c>
      <c r="Q19">
        <v>13</v>
      </c>
      <c r="R19">
        <v>5</v>
      </c>
      <c r="S19">
        <v>9</v>
      </c>
      <c r="T19" t="s">
        <v>292</v>
      </c>
      <c r="U19">
        <v>23</v>
      </c>
      <c r="V19">
        <v>5.25</v>
      </c>
      <c r="W19" t="s">
        <v>216</v>
      </c>
    </row>
    <row r="20" spans="1:23" x14ac:dyDescent="0.3">
      <c r="A20" t="s">
        <v>143</v>
      </c>
      <c r="B20">
        <v>2023</v>
      </c>
      <c r="C20">
        <v>1</v>
      </c>
      <c r="D20" t="s">
        <v>219</v>
      </c>
      <c r="E20" t="s">
        <v>266</v>
      </c>
      <c r="F20">
        <v>159</v>
      </c>
      <c r="G20">
        <v>6</v>
      </c>
      <c r="H20">
        <v>20</v>
      </c>
      <c r="I20">
        <v>7.95</v>
      </c>
      <c r="J20">
        <v>48</v>
      </c>
      <c r="K20">
        <v>1</v>
      </c>
      <c r="L20">
        <v>90</v>
      </c>
      <c r="M20">
        <v>1</v>
      </c>
      <c r="N20">
        <v>21</v>
      </c>
      <c r="O20">
        <v>4</v>
      </c>
      <c r="P20">
        <v>0</v>
      </c>
      <c r="Q20">
        <v>20</v>
      </c>
      <c r="R20">
        <v>2</v>
      </c>
      <c r="S20">
        <v>44</v>
      </c>
      <c r="T20" t="s">
        <v>297</v>
      </c>
      <c r="U20">
        <v>18</v>
      </c>
      <c r="V20">
        <v>0</v>
      </c>
      <c r="W20" t="s">
        <v>58</v>
      </c>
    </row>
    <row r="21" spans="1:23" x14ac:dyDescent="0.3">
      <c r="A21" t="s">
        <v>143</v>
      </c>
      <c r="B21">
        <v>2023</v>
      </c>
      <c r="C21">
        <v>2</v>
      </c>
      <c r="D21" t="s">
        <v>266</v>
      </c>
      <c r="E21" t="s">
        <v>219</v>
      </c>
      <c r="F21">
        <v>164</v>
      </c>
      <c r="G21">
        <v>2</v>
      </c>
      <c r="H21">
        <v>17.3</v>
      </c>
      <c r="I21">
        <v>9.3699999999999992</v>
      </c>
      <c r="J21">
        <v>51</v>
      </c>
      <c r="K21">
        <v>0</v>
      </c>
      <c r="L21">
        <v>91</v>
      </c>
      <c r="M21">
        <v>2</v>
      </c>
      <c r="N21">
        <v>22</v>
      </c>
      <c r="O21">
        <v>0</v>
      </c>
      <c r="P21">
        <v>0</v>
      </c>
      <c r="Q21">
        <v>25</v>
      </c>
      <c r="R21">
        <v>3</v>
      </c>
      <c r="S21">
        <v>48</v>
      </c>
      <c r="T21" t="s">
        <v>298</v>
      </c>
      <c r="U21">
        <v>19</v>
      </c>
      <c r="V21">
        <v>7.95</v>
      </c>
      <c r="W21" t="s">
        <v>216</v>
      </c>
    </row>
    <row r="22" spans="1:23" x14ac:dyDescent="0.3">
      <c r="A22" t="s">
        <v>144</v>
      </c>
      <c r="B22">
        <v>2023</v>
      </c>
      <c r="C22">
        <v>1</v>
      </c>
      <c r="D22" t="s">
        <v>159</v>
      </c>
      <c r="E22" t="s">
        <v>158</v>
      </c>
      <c r="F22">
        <v>150</v>
      </c>
      <c r="G22">
        <v>4</v>
      </c>
      <c r="H22">
        <v>20</v>
      </c>
      <c r="I22">
        <v>7.5</v>
      </c>
      <c r="J22">
        <v>29</v>
      </c>
      <c r="K22">
        <v>1</v>
      </c>
      <c r="L22">
        <v>68</v>
      </c>
      <c r="M22">
        <v>2</v>
      </c>
      <c r="N22">
        <v>53</v>
      </c>
      <c r="O22">
        <v>1</v>
      </c>
      <c r="P22">
        <v>0</v>
      </c>
      <c r="Q22">
        <v>12</v>
      </c>
      <c r="R22">
        <v>8</v>
      </c>
      <c r="S22">
        <v>49</v>
      </c>
      <c r="T22" t="s">
        <v>60</v>
      </c>
      <c r="U22">
        <v>20</v>
      </c>
      <c r="V22">
        <v>0</v>
      </c>
      <c r="W22" t="s">
        <v>58</v>
      </c>
    </row>
    <row r="23" spans="1:23" x14ac:dyDescent="0.3">
      <c r="A23" t="s">
        <v>144</v>
      </c>
      <c r="B23">
        <v>2023</v>
      </c>
      <c r="C23">
        <v>2</v>
      </c>
      <c r="D23" t="s">
        <v>158</v>
      </c>
      <c r="E23" t="s">
        <v>159</v>
      </c>
      <c r="F23">
        <v>154</v>
      </c>
      <c r="G23">
        <v>4</v>
      </c>
      <c r="H23">
        <v>19.399999999999999</v>
      </c>
      <c r="I23">
        <v>7.83</v>
      </c>
      <c r="J23">
        <v>52</v>
      </c>
      <c r="K23">
        <v>2</v>
      </c>
      <c r="L23">
        <v>70</v>
      </c>
      <c r="M23">
        <v>2</v>
      </c>
      <c r="N23">
        <v>32</v>
      </c>
      <c r="O23">
        <v>0</v>
      </c>
      <c r="P23">
        <v>0</v>
      </c>
      <c r="Q23">
        <v>19</v>
      </c>
      <c r="R23">
        <v>2</v>
      </c>
      <c r="S23">
        <v>41</v>
      </c>
      <c r="T23" t="s">
        <v>300</v>
      </c>
      <c r="U23">
        <v>16</v>
      </c>
      <c r="V23">
        <v>7.5</v>
      </c>
      <c r="W23" t="s">
        <v>216</v>
      </c>
    </row>
    <row r="24" spans="1:23" x14ac:dyDescent="0.3">
      <c r="A24" t="s">
        <v>145</v>
      </c>
      <c r="B24">
        <v>2023</v>
      </c>
      <c r="C24">
        <v>1</v>
      </c>
      <c r="D24" t="s">
        <v>266</v>
      </c>
      <c r="E24" t="s">
        <v>258</v>
      </c>
      <c r="F24">
        <v>162</v>
      </c>
      <c r="G24">
        <v>8</v>
      </c>
      <c r="H24">
        <v>20</v>
      </c>
      <c r="I24">
        <v>8.1</v>
      </c>
      <c r="J24">
        <v>40</v>
      </c>
      <c r="K24">
        <v>1</v>
      </c>
      <c r="L24">
        <v>84</v>
      </c>
      <c r="M24">
        <v>2</v>
      </c>
      <c r="N24">
        <v>38</v>
      </c>
      <c r="O24">
        <v>5</v>
      </c>
      <c r="P24">
        <v>0</v>
      </c>
      <c r="Q24">
        <v>19</v>
      </c>
      <c r="R24">
        <v>4</v>
      </c>
      <c r="S24">
        <v>44</v>
      </c>
      <c r="T24" t="s">
        <v>302</v>
      </c>
      <c r="U24">
        <v>14</v>
      </c>
      <c r="V24">
        <v>0</v>
      </c>
      <c r="W24" t="s">
        <v>58</v>
      </c>
    </row>
    <row r="25" spans="1:23" x14ac:dyDescent="0.3">
      <c r="A25" t="s">
        <v>145</v>
      </c>
      <c r="B25">
        <v>2023</v>
      </c>
      <c r="C25">
        <v>2</v>
      </c>
      <c r="D25" t="s">
        <v>258</v>
      </c>
      <c r="E25" t="s">
        <v>266</v>
      </c>
      <c r="F25">
        <v>107</v>
      </c>
      <c r="G25">
        <v>9</v>
      </c>
      <c r="H25">
        <v>20</v>
      </c>
      <c r="I25">
        <v>5.35</v>
      </c>
      <c r="J25">
        <v>34</v>
      </c>
      <c r="K25">
        <v>3</v>
      </c>
      <c r="L25">
        <v>59</v>
      </c>
      <c r="M25">
        <v>4</v>
      </c>
      <c r="N25">
        <v>14</v>
      </c>
      <c r="O25">
        <v>2</v>
      </c>
      <c r="P25">
        <v>0</v>
      </c>
      <c r="Q25">
        <v>14</v>
      </c>
      <c r="R25">
        <v>0</v>
      </c>
      <c r="S25">
        <v>54</v>
      </c>
      <c r="T25" t="s">
        <v>60</v>
      </c>
      <c r="U25">
        <v>11</v>
      </c>
      <c r="V25">
        <v>8.1</v>
      </c>
      <c r="W25" t="s">
        <v>59</v>
      </c>
    </row>
    <row r="26" spans="1:23" x14ac:dyDescent="0.3">
      <c r="A26" t="s">
        <v>146</v>
      </c>
      <c r="B26">
        <v>2023</v>
      </c>
      <c r="C26">
        <v>1</v>
      </c>
      <c r="D26" t="s">
        <v>219</v>
      </c>
      <c r="E26" t="s">
        <v>159</v>
      </c>
      <c r="F26">
        <v>135</v>
      </c>
      <c r="G26">
        <v>10</v>
      </c>
      <c r="H26">
        <v>19.3</v>
      </c>
      <c r="I26">
        <v>6.92</v>
      </c>
      <c r="J26">
        <v>29</v>
      </c>
      <c r="K26">
        <v>3</v>
      </c>
      <c r="L26">
        <v>74</v>
      </c>
      <c r="M26">
        <v>4</v>
      </c>
      <c r="N26">
        <v>32</v>
      </c>
      <c r="O26">
        <v>3</v>
      </c>
      <c r="P26">
        <v>0</v>
      </c>
      <c r="Q26">
        <v>15</v>
      </c>
      <c r="R26">
        <v>3</v>
      </c>
      <c r="S26">
        <v>52</v>
      </c>
      <c r="T26" t="s">
        <v>306</v>
      </c>
      <c r="U26">
        <v>16</v>
      </c>
      <c r="V26">
        <v>0</v>
      </c>
      <c r="W26" t="s">
        <v>58</v>
      </c>
    </row>
    <row r="27" spans="1:23" x14ac:dyDescent="0.3">
      <c r="A27" t="s">
        <v>146</v>
      </c>
      <c r="B27">
        <v>2023</v>
      </c>
      <c r="C27">
        <v>2</v>
      </c>
      <c r="D27" t="s">
        <v>159</v>
      </c>
      <c r="E27" t="s">
        <v>219</v>
      </c>
      <c r="F27">
        <v>136</v>
      </c>
      <c r="G27">
        <v>5</v>
      </c>
      <c r="H27">
        <v>18</v>
      </c>
      <c r="I27">
        <v>7.56</v>
      </c>
      <c r="J27">
        <v>43</v>
      </c>
      <c r="K27">
        <v>2</v>
      </c>
      <c r="L27">
        <v>76</v>
      </c>
      <c r="M27">
        <v>2</v>
      </c>
      <c r="N27">
        <v>17</v>
      </c>
      <c r="O27">
        <v>1</v>
      </c>
      <c r="P27">
        <v>0</v>
      </c>
      <c r="Q27">
        <v>20</v>
      </c>
      <c r="R27">
        <v>3</v>
      </c>
      <c r="S27">
        <v>53</v>
      </c>
      <c r="T27" t="s">
        <v>307</v>
      </c>
      <c r="U27">
        <v>14</v>
      </c>
      <c r="V27">
        <v>6.92</v>
      </c>
      <c r="W27" t="s">
        <v>216</v>
      </c>
    </row>
    <row r="28" spans="1:23" x14ac:dyDescent="0.3">
      <c r="A28" t="s">
        <v>147</v>
      </c>
      <c r="B28">
        <v>2023</v>
      </c>
      <c r="C28">
        <v>1</v>
      </c>
      <c r="D28" t="s">
        <v>258</v>
      </c>
      <c r="E28" t="s">
        <v>158</v>
      </c>
      <c r="F28">
        <v>147</v>
      </c>
      <c r="G28">
        <v>4</v>
      </c>
      <c r="H28">
        <v>20</v>
      </c>
      <c r="I28">
        <v>7.35</v>
      </c>
      <c r="J28">
        <v>32</v>
      </c>
      <c r="K28">
        <v>1</v>
      </c>
      <c r="L28">
        <v>77</v>
      </c>
      <c r="M28">
        <v>1</v>
      </c>
      <c r="N28">
        <v>38</v>
      </c>
      <c r="O28">
        <v>2</v>
      </c>
      <c r="P28">
        <v>0</v>
      </c>
      <c r="Q28">
        <v>19</v>
      </c>
      <c r="R28">
        <v>1</v>
      </c>
      <c r="S28">
        <v>46</v>
      </c>
      <c r="T28" t="s">
        <v>291</v>
      </c>
      <c r="U28">
        <v>15</v>
      </c>
      <c r="V28">
        <v>0</v>
      </c>
      <c r="W28" t="s">
        <v>58</v>
      </c>
    </row>
    <row r="29" spans="1:23" x14ac:dyDescent="0.3">
      <c r="A29" t="s">
        <v>147</v>
      </c>
      <c r="B29">
        <v>2023</v>
      </c>
      <c r="C29">
        <v>2</v>
      </c>
      <c r="D29" t="s">
        <v>158</v>
      </c>
      <c r="E29" t="s">
        <v>258</v>
      </c>
      <c r="F29">
        <v>136</v>
      </c>
      <c r="G29">
        <v>10</v>
      </c>
      <c r="H29">
        <v>18.399999999999999</v>
      </c>
      <c r="I29">
        <v>7.29</v>
      </c>
      <c r="J29">
        <v>51</v>
      </c>
      <c r="K29">
        <v>3</v>
      </c>
      <c r="L29">
        <v>64</v>
      </c>
      <c r="M29">
        <v>5</v>
      </c>
      <c r="N29">
        <v>21</v>
      </c>
      <c r="O29">
        <v>2</v>
      </c>
      <c r="P29">
        <v>0</v>
      </c>
      <c r="Q29">
        <v>13</v>
      </c>
      <c r="R29">
        <v>4</v>
      </c>
      <c r="S29">
        <v>52</v>
      </c>
      <c r="T29" t="s">
        <v>309</v>
      </c>
      <c r="U29">
        <v>16</v>
      </c>
      <c r="V29">
        <v>7.35</v>
      </c>
      <c r="W29" t="s">
        <v>59</v>
      </c>
    </row>
    <row r="30" spans="1:23" x14ac:dyDescent="0.3">
      <c r="A30" t="s">
        <v>148</v>
      </c>
      <c r="B30">
        <v>2023</v>
      </c>
      <c r="C30">
        <v>1</v>
      </c>
      <c r="D30" t="s">
        <v>266</v>
      </c>
      <c r="E30" t="s">
        <v>219</v>
      </c>
      <c r="F30">
        <v>127</v>
      </c>
      <c r="G30">
        <v>10</v>
      </c>
      <c r="H30">
        <v>20</v>
      </c>
      <c r="I30">
        <v>6.35</v>
      </c>
      <c r="J30">
        <v>31</v>
      </c>
      <c r="K30">
        <v>1</v>
      </c>
      <c r="L30">
        <v>67</v>
      </c>
      <c r="M30">
        <v>5</v>
      </c>
      <c r="N30">
        <v>29</v>
      </c>
      <c r="O30">
        <v>4</v>
      </c>
      <c r="P30">
        <v>0</v>
      </c>
      <c r="Q30">
        <v>9</v>
      </c>
      <c r="R30">
        <v>4</v>
      </c>
      <c r="S30">
        <v>52</v>
      </c>
      <c r="T30" t="s">
        <v>57</v>
      </c>
      <c r="U30">
        <v>13</v>
      </c>
      <c r="V30">
        <v>0</v>
      </c>
      <c r="W30" t="s">
        <v>58</v>
      </c>
    </row>
    <row r="31" spans="1:23" x14ac:dyDescent="0.3">
      <c r="A31" t="s">
        <v>148</v>
      </c>
      <c r="B31">
        <v>2023</v>
      </c>
      <c r="C31">
        <v>2</v>
      </c>
      <c r="D31" t="s">
        <v>219</v>
      </c>
      <c r="E31" t="s">
        <v>266</v>
      </c>
      <c r="F31">
        <v>129</v>
      </c>
      <c r="G31">
        <v>5</v>
      </c>
      <c r="H31">
        <v>19.3</v>
      </c>
      <c r="I31">
        <v>6.62</v>
      </c>
      <c r="J31">
        <v>27</v>
      </c>
      <c r="K31">
        <v>2</v>
      </c>
      <c r="L31">
        <v>79</v>
      </c>
      <c r="M31">
        <v>3</v>
      </c>
      <c r="N31">
        <v>23</v>
      </c>
      <c r="O31">
        <v>0</v>
      </c>
      <c r="P31">
        <v>0</v>
      </c>
      <c r="Q31">
        <v>17</v>
      </c>
      <c r="R31">
        <v>3</v>
      </c>
      <c r="S31">
        <v>52</v>
      </c>
      <c r="T31" t="s">
        <v>60</v>
      </c>
      <c r="U31">
        <v>14</v>
      </c>
      <c r="V31">
        <v>6.35</v>
      </c>
      <c r="W31" t="s">
        <v>216</v>
      </c>
    </row>
    <row r="32" spans="1:23" x14ac:dyDescent="0.3">
      <c r="A32" t="s">
        <v>149</v>
      </c>
      <c r="B32">
        <v>2023</v>
      </c>
      <c r="C32">
        <v>1</v>
      </c>
      <c r="D32" t="s">
        <v>258</v>
      </c>
      <c r="E32" t="s">
        <v>159</v>
      </c>
      <c r="F32">
        <v>188</v>
      </c>
      <c r="G32">
        <v>4</v>
      </c>
      <c r="H32">
        <v>20</v>
      </c>
      <c r="I32">
        <v>9.4</v>
      </c>
      <c r="J32">
        <v>45</v>
      </c>
      <c r="K32">
        <v>1</v>
      </c>
      <c r="L32">
        <v>90</v>
      </c>
      <c r="M32">
        <v>1</v>
      </c>
      <c r="N32">
        <v>53</v>
      </c>
      <c r="O32">
        <v>2</v>
      </c>
      <c r="P32">
        <v>0</v>
      </c>
      <c r="Q32">
        <v>25</v>
      </c>
      <c r="R32">
        <v>5</v>
      </c>
      <c r="S32">
        <v>45</v>
      </c>
      <c r="T32" t="s">
        <v>317</v>
      </c>
      <c r="U32">
        <v>22</v>
      </c>
      <c r="V32">
        <v>0</v>
      </c>
      <c r="W32" t="s">
        <v>58</v>
      </c>
    </row>
    <row r="33" spans="1:23" x14ac:dyDescent="0.3">
      <c r="A33" t="s">
        <v>149</v>
      </c>
      <c r="B33">
        <v>2023</v>
      </c>
      <c r="C33">
        <v>2</v>
      </c>
      <c r="D33" t="s">
        <v>159</v>
      </c>
      <c r="E33" t="s">
        <v>258</v>
      </c>
      <c r="F33">
        <v>189</v>
      </c>
      <c r="G33">
        <v>2</v>
      </c>
      <c r="H33">
        <v>15.3</v>
      </c>
      <c r="I33">
        <v>12.19</v>
      </c>
      <c r="J33">
        <v>77</v>
      </c>
      <c r="K33">
        <v>0</v>
      </c>
      <c r="L33">
        <v>112</v>
      </c>
      <c r="M33">
        <v>0</v>
      </c>
      <c r="N33">
        <v>0</v>
      </c>
      <c r="O33">
        <v>0</v>
      </c>
      <c r="P33">
        <v>0</v>
      </c>
      <c r="Q33">
        <v>21</v>
      </c>
      <c r="R33">
        <v>9</v>
      </c>
      <c r="S33">
        <v>28</v>
      </c>
      <c r="T33" t="s">
        <v>318</v>
      </c>
      <c r="U33">
        <v>25</v>
      </c>
      <c r="V33">
        <v>9.4</v>
      </c>
      <c r="W33" t="s">
        <v>216</v>
      </c>
    </row>
    <row r="34" spans="1:23" x14ac:dyDescent="0.3">
      <c r="A34" t="s">
        <v>150</v>
      </c>
      <c r="B34">
        <v>2023</v>
      </c>
      <c r="C34">
        <v>1</v>
      </c>
      <c r="D34" t="s">
        <v>258</v>
      </c>
      <c r="E34" t="s">
        <v>219</v>
      </c>
      <c r="F34">
        <v>178</v>
      </c>
      <c r="G34">
        <v>6</v>
      </c>
      <c r="H34">
        <v>20</v>
      </c>
      <c r="I34">
        <v>8.9</v>
      </c>
      <c r="J34">
        <v>50</v>
      </c>
      <c r="K34">
        <v>3</v>
      </c>
      <c r="L34">
        <v>93</v>
      </c>
      <c r="M34">
        <v>0</v>
      </c>
      <c r="N34">
        <v>35</v>
      </c>
      <c r="O34">
        <v>3</v>
      </c>
      <c r="P34">
        <v>0</v>
      </c>
      <c r="Q34">
        <v>18</v>
      </c>
      <c r="R34">
        <v>8</v>
      </c>
      <c r="S34">
        <v>44</v>
      </c>
      <c r="T34" t="s">
        <v>291</v>
      </c>
      <c r="U34">
        <v>15</v>
      </c>
      <c r="V34">
        <v>0</v>
      </c>
      <c r="W34" t="s">
        <v>58</v>
      </c>
    </row>
    <row r="35" spans="1:23" x14ac:dyDescent="0.3">
      <c r="A35" t="s">
        <v>150</v>
      </c>
      <c r="B35">
        <v>2023</v>
      </c>
      <c r="C35">
        <v>2</v>
      </c>
      <c r="D35" t="s">
        <v>219</v>
      </c>
      <c r="E35" t="s">
        <v>258</v>
      </c>
      <c r="F35">
        <v>181</v>
      </c>
      <c r="G35">
        <v>7</v>
      </c>
      <c r="H35">
        <v>19.5</v>
      </c>
      <c r="I35">
        <v>9.1300000000000008</v>
      </c>
      <c r="J35">
        <v>52</v>
      </c>
      <c r="K35">
        <v>3</v>
      </c>
      <c r="L35">
        <v>86</v>
      </c>
      <c r="M35">
        <v>2</v>
      </c>
      <c r="N35">
        <v>43</v>
      </c>
      <c r="O35">
        <v>2</v>
      </c>
      <c r="P35">
        <v>0</v>
      </c>
      <c r="Q35">
        <v>26</v>
      </c>
      <c r="R35">
        <v>4</v>
      </c>
      <c r="S35">
        <v>44</v>
      </c>
      <c r="T35" t="s">
        <v>320</v>
      </c>
      <c r="U35">
        <v>17</v>
      </c>
      <c r="V35">
        <v>8.9</v>
      </c>
      <c r="W35" t="s">
        <v>216</v>
      </c>
    </row>
    <row r="36" spans="1:23" x14ac:dyDescent="0.3">
      <c r="A36" t="s">
        <v>151</v>
      </c>
      <c r="B36">
        <v>2023</v>
      </c>
      <c r="C36">
        <v>1</v>
      </c>
      <c r="D36" t="s">
        <v>266</v>
      </c>
      <c r="E36" t="s">
        <v>158</v>
      </c>
      <c r="F36">
        <v>109</v>
      </c>
      <c r="G36">
        <v>8</v>
      </c>
      <c r="H36">
        <v>20</v>
      </c>
      <c r="I36">
        <v>5.45</v>
      </c>
      <c r="J36">
        <v>19</v>
      </c>
      <c r="K36">
        <v>3</v>
      </c>
      <c r="L36">
        <v>66</v>
      </c>
      <c r="M36">
        <v>3</v>
      </c>
      <c r="N36">
        <v>24</v>
      </c>
      <c r="O36">
        <v>2</v>
      </c>
      <c r="P36">
        <v>0</v>
      </c>
      <c r="Q36">
        <v>10</v>
      </c>
      <c r="R36">
        <v>2</v>
      </c>
      <c r="S36">
        <v>59</v>
      </c>
      <c r="T36" t="s">
        <v>60</v>
      </c>
      <c r="U36">
        <v>18</v>
      </c>
      <c r="V36">
        <v>0</v>
      </c>
      <c r="W36" t="s">
        <v>58</v>
      </c>
    </row>
    <row r="37" spans="1:23" x14ac:dyDescent="0.3">
      <c r="A37" t="s">
        <v>151</v>
      </c>
      <c r="B37">
        <v>2023</v>
      </c>
      <c r="C37">
        <v>2</v>
      </c>
      <c r="D37" t="s">
        <v>158</v>
      </c>
      <c r="E37" t="s">
        <v>266</v>
      </c>
      <c r="F37">
        <v>110</v>
      </c>
      <c r="G37">
        <v>1</v>
      </c>
      <c r="H37">
        <v>9</v>
      </c>
      <c r="I37">
        <v>12.22</v>
      </c>
      <c r="J37">
        <v>67</v>
      </c>
      <c r="K37">
        <v>1</v>
      </c>
      <c r="L37">
        <v>43</v>
      </c>
      <c r="M37">
        <v>0</v>
      </c>
      <c r="N37">
        <v>0</v>
      </c>
      <c r="O37">
        <v>0</v>
      </c>
      <c r="P37">
        <v>0</v>
      </c>
      <c r="Q37">
        <v>11</v>
      </c>
      <c r="R37">
        <v>7</v>
      </c>
      <c r="S37">
        <v>18</v>
      </c>
      <c r="T37" t="s">
        <v>322</v>
      </c>
      <c r="U37">
        <v>22</v>
      </c>
      <c r="V37">
        <v>5.45</v>
      </c>
      <c r="W37" t="s">
        <v>216</v>
      </c>
    </row>
    <row r="38" spans="1:23" x14ac:dyDescent="0.3">
      <c r="A38" t="s">
        <v>152</v>
      </c>
      <c r="B38">
        <v>2023</v>
      </c>
      <c r="C38">
        <v>1</v>
      </c>
      <c r="D38" t="s">
        <v>159</v>
      </c>
      <c r="E38" t="s">
        <v>266</v>
      </c>
      <c r="F38">
        <v>125</v>
      </c>
      <c r="G38">
        <v>9</v>
      </c>
      <c r="H38">
        <v>20</v>
      </c>
      <c r="I38">
        <v>6.25</v>
      </c>
      <c r="J38">
        <v>32</v>
      </c>
      <c r="K38">
        <v>1</v>
      </c>
      <c r="L38">
        <v>59</v>
      </c>
      <c r="M38">
        <v>3</v>
      </c>
      <c r="N38">
        <v>34</v>
      </c>
      <c r="O38">
        <v>5</v>
      </c>
      <c r="P38">
        <v>0</v>
      </c>
      <c r="Q38">
        <v>12</v>
      </c>
      <c r="R38">
        <v>3</v>
      </c>
      <c r="S38">
        <v>51</v>
      </c>
      <c r="T38" t="s">
        <v>322</v>
      </c>
      <c r="U38">
        <v>12</v>
      </c>
      <c r="V38">
        <v>0</v>
      </c>
      <c r="W38" t="s">
        <v>58</v>
      </c>
    </row>
    <row r="39" spans="1:23" x14ac:dyDescent="0.3">
      <c r="A39" t="s">
        <v>152</v>
      </c>
      <c r="B39">
        <v>2023</v>
      </c>
      <c r="C39">
        <v>2</v>
      </c>
      <c r="D39" t="s">
        <v>266</v>
      </c>
      <c r="E39" t="s">
        <v>159</v>
      </c>
      <c r="F39">
        <v>129</v>
      </c>
      <c r="G39">
        <v>6</v>
      </c>
      <c r="H39">
        <v>16.3</v>
      </c>
      <c r="I39">
        <v>7.82</v>
      </c>
      <c r="J39">
        <v>53</v>
      </c>
      <c r="K39">
        <v>1</v>
      </c>
      <c r="L39">
        <v>67</v>
      </c>
      <c r="M39">
        <v>5</v>
      </c>
      <c r="N39">
        <v>9</v>
      </c>
      <c r="O39">
        <v>0</v>
      </c>
      <c r="P39">
        <v>0</v>
      </c>
      <c r="Q39">
        <v>15</v>
      </c>
      <c r="R39">
        <v>2</v>
      </c>
      <c r="S39">
        <v>42</v>
      </c>
      <c r="T39" t="s">
        <v>324</v>
      </c>
      <c r="U39">
        <v>17</v>
      </c>
      <c r="V39">
        <v>6.25</v>
      </c>
      <c r="W39" t="s">
        <v>216</v>
      </c>
    </row>
    <row r="40" spans="1:23" x14ac:dyDescent="0.3">
      <c r="A40" t="s">
        <v>153</v>
      </c>
      <c r="B40">
        <v>2023</v>
      </c>
      <c r="C40">
        <v>1</v>
      </c>
      <c r="D40" t="s">
        <v>219</v>
      </c>
      <c r="E40" t="s">
        <v>158</v>
      </c>
      <c r="F40">
        <v>138</v>
      </c>
      <c r="G40">
        <v>6</v>
      </c>
      <c r="H40">
        <v>20</v>
      </c>
      <c r="I40">
        <v>6.9</v>
      </c>
      <c r="J40">
        <v>38</v>
      </c>
      <c r="K40">
        <v>1</v>
      </c>
      <c r="L40">
        <v>76</v>
      </c>
      <c r="M40">
        <v>3</v>
      </c>
      <c r="N40">
        <v>44</v>
      </c>
      <c r="O40">
        <v>2</v>
      </c>
      <c r="P40">
        <v>0</v>
      </c>
      <c r="Q40">
        <v>17</v>
      </c>
      <c r="R40">
        <v>3</v>
      </c>
      <c r="S40">
        <v>57</v>
      </c>
      <c r="T40" t="s">
        <v>163</v>
      </c>
      <c r="U40">
        <v>19</v>
      </c>
      <c r="V40">
        <v>0</v>
      </c>
      <c r="W40" t="s">
        <v>58</v>
      </c>
    </row>
    <row r="41" spans="1:23" x14ac:dyDescent="0.3">
      <c r="A41" t="s">
        <v>153</v>
      </c>
      <c r="B41">
        <v>2023</v>
      </c>
      <c r="C41">
        <v>2</v>
      </c>
      <c r="D41" t="s">
        <v>158</v>
      </c>
      <c r="E41" t="s">
        <v>219</v>
      </c>
      <c r="F41">
        <v>142</v>
      </c>
      <c r="G41">
        <v>5</v>
      </c>
      <c r="H41">
        <v>17.5</v>
      </c>
      <c r="I41">
        <v>7.96</v>
      </c>
      <c r="J41">
        <v>67</v>
      </c>
      <c r="K41">
        <v>1</v>
      </c>
      <c r="L41">
        <v>63</v>
      </c>
      <c r="M41">
        <v>2</v>
      </c>
      <c r="N41">
        <v>12</v>
      </c>
      <c r="O41">
        <v>2</v>
      </c>
      <c r="P41">
        <v>0</v>
      </c>
      <c r="Q41">
        <v>17</v>
      </c>
      <c r="R41">
        <v>4</v>
      </c>
      <c r="S41">
        <v>50</v>
      </c>
      <c r="T41" t="s">
        <v>326</v>
      </c>
      <c r="U41">
        <v>20</v>
      </c>
      <c r="V41">
        <v>6.9</v>
      </c>
      <c r="W41" t="s">
        <v>216</v>
      </c>
    </row>
    <row r="42" spans="1:23" x14ac:dyDescent="0.3">
      <c r="A42" t="s">
        <v>154</v>
      </c>
      <c r="B42">
        <v>2023</v>
      </c>
      <c r="C42">
        <v>1</v>
      </c>
      <c r="D42" t="s">
        <v>266</v>
      </c>
      <c r="E42" t="s">
        <v>219</v>
      </c>
      <c r="F42">
        <v>182</v>
      </c>
      <c r="G42">
        <v>4</v>
      </c>
      <c r="H42">
        <v>20</v>
      </c>
      <c r="I42">
        <v>9.1</v>
      </c>
      <c r="J42">
        <v>46</v>
      </c>
      <c r="K42">
        <v>1</v>
      </c>
      <c r="L42">
        <v>82</v>
      </c>
      <c r="M42">
        <v>2</v>
      </c>
      <c r="N42">
        <v>54</v>
      </c>
      <c r="O42">
        <v>1</v>
      </c>
      <c r="P42">
        <v>0</v>
      </c>
      <c r="Q42">
        <v>22</v>
      </c>
      <c r="R42">
        <v>4</v>
      </c>
      <c r="S42">
        <v>37</v>
      </c>
      <c r="T42" t="s">
        <v>330</v>
      </c>
      <c r="U42">
        <v>18</v>
      </c>
      <c r="V42">
        <v>0</v>
      </c>
      <c r="W42" t="s">
        <v>58</v>
      </c>
    </row>
    <row r="43" spans="1:23" x14ac:dyDescent="0.3">
      <c r="A43" t="s">
        <v>154</v>
      </c>
      <c r="B43">
        <v>2023</v>
      </c>
      <c r="C43">
        <v>2</v>
      </c>
      <c r="D43" t="s">
        <v>219</v>
      </c>
      <c r="E43" t="s">
        <v>266</v>
      </c>
      <c r="F43">
        <v>110</v>
      </c>
      <c r="G43">
        <v>10</v>
      </c>
      <c r="H43">
        <v>17.399999999999999</v>
      </c>
      <c r="I43">
        <v>6.23</v>
      </c>
      <c r="J43">
        <v>46</v>
      </c>
      <c r="K43">
        <v>3</v>
      </c>
      <c r="L43">
        <v>58</v>
      </c>
      <c r="M43">
        <v>5</v>
      </c>
      <c r="N43">
        <v>6</v>
      </c>
      <c r="O43">
        <v>2</v>
      </c>
      <c r="P43">
        <v>0</v>
      </c>
      <c r="Q43">
        <v>14</v>
      </c>
      <c r="R43">
        <v>3</v>
      </c>
      <c r="S43">
        <v>61</v>
      </c>
      <c r="T43" t="s">
        <v>331</v>
      </c>
      <c r="U43">
        <v>20</v>
      </c>
      <c r="V43">
        <v>9.1</v>
      </c>
      <c r="W43" t="s">
        <v>59</v>
      </c>
    </row>
    <row r="44" spans="1:23" x14ac:dyDescent="0.3">
      <c r="A44" t="s">
        <v>327</v>
      </c>
      <c r="B44">
        <v>2023</v>
      </c>
      <c r="C44">
        <v>1</v>
      </c>
      <c r="D44" t="s">
        <v>158</v>
      </c>
      <c r="E44" t="s">
        <v>266</v>
      </c>
      <c r="F44">
        <v>131</v>
      </c>
      <c r="G44">
        <v>9</v>
      </c>
      <c r="H44">
        <v>20</v>
      </c>
      <c r="I44">
        <v>6.55</v>
      </c>
      <c r="J44">
        <v>38</v>
      </c>
      <c r="K44">
        <v>3</v>
      </c>
      <c r="L44">
        <v>41</v>
      </c>
      <c r="M44">
        <v>6</v>
      </c>
      <c r="N44">
        <v>52</v>
      </c>
      <c r="O44">
        <v>0</v>
      </c>
      <c r="P44">
        <v>0</v>
      </c>
      <c r="Q44">
        <v>15</v>
      </c>
      <c r="R44">
        <v>4</v>
      </c>
      <c r="S44">
        <v>57</v>
      </c>
      <c r="T44" t="s">
        <v>335</v>
      </c>
      <c r="U44">
        <v>20</v>
      </c>
      <c r="V44">
        <v>0</v>
      </c>
      <c r="W44" t="s">
        <v>58</v>
      </c>
    </row>
    <row r="45" spans="1:23" x14ac:dyDescent="0.3">
      <c r="A45" t="s">
        <v>327</v>
      </c>
      <c r="B45">
        <v>2023</v>
      </c>
      <c r="C45">
        <v>2</v>
      </c>
      <c r="D45" t="s">
        <v>266</v>
      </c>
      <c r="E45" t="s">
        <v>158</v>
      </c>
      <c r="F45">
        <v>134</v>
      </c>
      <c r="G45">
        <v>3</v>
      </c>
      <c r="H45">
        <v>19.3</v>
      </c>
      <c r="I45">
        <v>6.87</v>
      </c>
      <c r="J45">
        <v>27</v>
      </c>
      <c r="K45">
        <v>2</v>
      </c>
      <c r="L45">
        <v>68</v>
      </c>
      <c r="M45">
        <v>0</v>
      </c>
      <c r="N45">
        <v>39</v>
      </c>
      <c r="O45">
        <v>1</v>
      </c>
      <c r="P45">
        <v>0</v>
      </c>
      <c r="Q45">
        <v>18</v>
      </c>
      <c r="R45">
        <v>0</v>
      </c>
      <c r="S45">
        <v>47</v>
      </c>
      <c r="T45" t="s">
        <v>336</v>
      </c>
      <c r="U45">
        <v>16</v>
      </c>
      <c r="V45">
        <v>6.55</v>
      </c>
      <c r="W45" t="s">
        <v>216</v>
      </c>
    </row>
    <row r="46" spans="1:23" x14ac:dyDescent="0.3">
      <c r="A46" t="s">
        <v>338</v>
      </c>
      <c r="B46">
        <v>2024</v>
      </c>
      <c r="C46">
        <v>1</v>
      </c>
      <c r="D46" t="s">
        <v>158</v>
      </c>
      <c r="E46" t="s">
        <v>266</v>
      </c>
      <c r="F46">
        <v>171</v>
      </c>
      <c r="G46">
        <v>5</v>
      </c>
      <c r="H46">
        <v>20</v>
      </c>
      <c r="I46">
        <v>8.5500000000000007</v>
      </c>
      <c r="J46">
        <v>26</v>
      </c>
      <c r="K46">
        <v>1</v>
      </c>
      <c r="L46">
        <v>101</v>
      </c>
      <c r="M46">
        <v>1</v>
      </c>
      <c r="N46">
        <v>44</v>
      </c>
      <c r="O46">
        <v>3</v>
      </c>
      <c r="P46">
        <v>0</v>
      </c>
      <c r="Q46">
        <v>20</v>
      </c>
      <c r="R46">
        <v>6</v>
      </c>
      <c r="S46">
        <v>51</v>
      </c>
      <c r="T46" t="s">
        <v>343</v>
      </c>
      <c r="U46">
        <v>19</v>
      </c>
      <c r="V46">
        <v>0</v>
      </c>
      <c r="W46" t="s">
        <v>58</v>
      </c>
    </row>
    <row r="47" spans="1:23" x14ac:dyDescent="0.3">
      <c r="A47" t="s">
        <v>338</v>
      </c>
      <c r="B47">
        <v>2024</v>
      </c>
      <c r="C47">
        <v>2</v>
      </c>
      <c r="D47" t="s">
        <v>266</v>
      </c>
      <c r="E47" t="s">
        <v>158</v>
      </c>
      <c r="F47">
        <v>173</v>
      </c>
      <c r="G47">
        <v>6</v>
      </c>
      <c r="H47">
        <v>20</v>
      </c>
      <c r="I47">
        <v>8.65</v>
      </c>
      <c r="J47">
        <v>50</v>
      </c>
      <c r="K47">
        <v>1</v>
      </c>
      <c r="L47">
        <v>79</v>
      </c>
      <c r="M47">
        <v>2</v>
      </c>
      <c r="N47">
        <v>44</v>
      </c>
      <c r="O47">
        <v>3</v>
      </c>
      <c r="P47">
        <v>0</v>
      </c>
      <c r="Q47">
        <v>20</v>
      </c>
      <c r="R47">
        <v>5</v>
      </c>
      <c r="S47">
        <v>50</v>
      </c>
      <c r="T47" t="s">
        <v>344</v>
      </c>
      <c r="U47">
        <v>15</v>
      </c>
      <c r="V47">
        <v>8.5500000000000007</v>
      </c>
      <c r="W47" t="s">
        <v>216</v>
      </c>
    </row>
    <row r="48" spans="1:23" x14ac:dyDescent="0.3">
      <c r="A48" t="s">
        <v>349</v>
      </c>
      <c r="B48">
        <v>2024</v>
      </c>
      <c r="C48">
        <v>1</v>
      </c>
      <c r="D48" t="s">
        <v>159</v>
      </c>
      <c r="E48" t="s">
        <v>219</v>
      </c>
      <c r="F48">
        <v>157</v>
      </c>
      <c r="G48">
        <v>6</v>
      </c>
      <c r="H48">
        <v>20</v>
      </c>
      <c r="I48">
        <v>7.85</v>
      </c>
      <c r="J48">
        <v>40</v>
      </c>
      <c r="K48">
        <v>2</v>
      </c>
      <c r="L48">
        <v>85</v>
      </c>
      <c r="M48">
        <v>1</v>
      </c>
      <c r="N48">
        <v>32</v>
      </c>
      <c r="O48">
        <v>3</v>
      </c>
      <c r="P48">
        <v>0</v>
      </c>
      <c r="Q48">
        <v>22</v>
      </c>
      <c r="R48">
        <v>3</v>
      </c>
      <c r="S48">
        <v>43</v>
      </c>
      <c r="T48" t="s">
        <v>320</v>
      </c>
      <c r="U48">
        <v>17</v>
      </c>
      <c r="V48">
        <v>0</v>
      </c>
      <c r="W48" t="s">
        <v>58</v>
      </c>
    </row>
    <row r="49" spans="1:23" x14ac:dyDescent="0.3">
      <c r="A49" t="s">
        <v>349</v>
      </c>
      <c r="B49">
        <v>2024</v>
      </c>
      <c r="C49">
        <v>2</v>
      </c>
      <c r="D49" t="s">
        <v>219</v>
      </c>
      <c r="E49" t="s">
        <v>159</v>
      </c>
      <c r="F49">
        <v>155</v>
      </c>
      <c r="G49">
        <v>7</v>
      </c>
      <c r="H49">
        <v>20</v>
      </c>
      <c r="I49">
        <v>7.75</v>
      </c>
      <c r="J49">
        <v>36</v>
      </c>
      <c r="K49">
        <v>1</v>
      </c>
      <c r="L49">
        <v>90</v>
      </c>
      <c r="M49">
        <v>2</v>
      </c>
      <c r="N49">
        <v>29</v>
      </c>
      <c r="O49">
        <v>4</v>
      </c>
      <c r="P49">
        <v>0</v>
      </c>
      <c r="Q49">
        <v>17</v>
      </c>
      <c r="R49">
        <v>4</v>
      </c>
      <c r="S49">
        <v>52</v>
      </c>
      <c r="T49" t="s">
        <v>309</v>
      </c>
      <c r="U49">
        <v>16</v>
      </c>
      <c r="V49">
        <v>7.85</v>
      </c>
      <c r="W49" t="s">
        <v>59</v>
      </c>
    </row>
    <row r="50" spans="1:23" x14ac:dyDescent="0.3">
      <c r="A50" t="s">
        <v>350</v>
      </c>
      <c r="B50">
        <v>2024</v>
      </c>
      <c r="C50">
        <v>1</v>
      </c>
      <c r="D50" t="s">
        <v>258</v>
      </c>
      <c r="E50" t="s">
        <v>266</v>
      </c>
      <c r="F50">
        <v>126</v>
      </c>
      <c r="G50">
        <v>9</v>
      </c>
      <c r="H50">
        <v>20</v>
      </c>
      <c r="I50">
        <v>6.3</v>
      </c>
      <c r="J50">
        <v>43</v>
      </c>
      <c r="K50">
        <v>3</v>
      </c>
      <c r="L50">
        <v>50</v>
      </c>
      <c r="M50">
        <v>4</v>
      </c>
      <c r="N50">
        <v>33</v>
      </c>
      <c r="O50">
        <v>2</v>
      </c>
      <c r="P50">
        <v>0</v>
      </c>
      <c r="Q50">
        <v>10</v>
      </c>
      <c r="R50">
        <v>2</v>
      </c>
      <c r="S50">
        <v>53</v>
      </c>
      <c r="T50" t="s">
        <v>380</v>
      </c>
      <c r="U50">
        <v>13</v>
      </c>
      <c r="V50">
        <v>0</v>
      </c>
      <c r="W50" t="s">
        <v>58</v>
      </c>
    </row>
    <row r="51" spans="1:23" x14ac:dyDescent="0.3">
      <c r="A51" t="s">
        <v>350</v>
      </c>
      <c r="B51">
        <v>2024</v>
      </c>
      <c r="C51">
        <v>2</v>
      </c>
      <c r="D51" t="s">
        <v>266</v>
      </c>
      <c r="E51" t="s">
        <v>258</v>
      </c>
      <c r="F51">
        <v>129</v>
      </c>
      <c r="G51">
        <v>5</v>
      </c>
      <c r="H51">
        <v>18.100000000000001</v>
      </c>
      <c r="I51">
        <v>7.1</v>
      </c>
      <c r="J51">
        <v>39</v>
      </c>
      <c r="K51">
        <v>2</v>
      </c>
      <c r="L51">
        <v>76</v>
      </c>
      <c r="M51">
        <v>2</v>
      </c>
      <c r="N51">
        <v>14</v>
      </c>
      <c r="O51">
        <v>1</v>
      </c>
      <c r="P51">
        <v>0</v>
      </c>
      <c r="Q51">
        <v>14</v>
      </c>
      <c r="R51">
        <v>1</v>
      </c>
      <c r="S51">
        <v>50</v>
      </c>
      <c r="T51" t="s">
        <v>381</v>
      </c>
      <c r="U51">
        <v>12</v>
      </c>
      <c r="V51">
        <v>6.3</v>
      </c>
      <c r="W51" t="s">
        <v>216</v>
      </c>
    </row>
    <row r="52" spans="1:23" x14ac:dyDescent="0.3">
      <c r="A52" t="s">
        <v>351</v>
      </c>
      <c r="B52">
        <v>2024</v>
      </c>
      <c r="C52">
        <v>1</v>
      </c>
      <c r="D52" t="s">
        <v>219</v>
      </c>
      <c r="E52" t="s">
        <v>158</v>
      </c>
      <c r="F52">
        <v>119</v>
      </c>
      <c r="G52">
        <v>9</v>
      </c>
      <c r="H52">
        <v>20</v>
      </c>
      <c r="I52">
        <v>5.95</v>
      </c>
      <c r="J52">
        <v>21</v>
      </c>
      <c r="K52">
        <v>3</v>
      </c>
      <c r="L52">
        <v>75</v>
      </c>
      <c r="M52">
        <v>3</v>
      </c>
      <c r="N52">
        <v>23</v>
      </c>
      <c r="O52">
        <v>3</v>
      </c>
      <c r="P52">
        <v>0</v>
      </c>
      <c r="Q52">
        <v>11</v>
      </c>
      <c r="R52">
        <v>2</v>
      </c>
      <c r="S52">
        <v>57</v>
      </c>
      <c r="T52" t="s">
        <v>392</v>
      </c>
      <c r="U52">
        <v>15</v>
      </c>
      <c r="V52">
        <v>0</v>
      </c>
      <c r="W52" t="s">
        <v>58</v>
      </c>
    </row>
    <row r="53" spans="1:23" x14ac:dyDescent="0.3">
      <c r="A53" t="s">
        <v>351</v>
      </c>
      <c r="B53">
        <v>2024</v>
      </c>
      <c r="C53">
        <v>2</v>
      </c>
      <c r="D53" t="s">
        <v>158</v>
      </c>
      <c r="E53" t="s">
        <v>219</v>
      </c>
      <c r="F53">
        <v>123</v>
      </c>
      <c r="G53">
        <v>1</v>
      </c>
      <c r="H53">
        <v>14.3</v>
      </c>
      <c r="I53">
        <v>8.48</v>
      </c>
      <c r="J53">
        <v>57</v>
      </c>
      <c r="K53">
        <v>0</v>
      </c>
      <c r="L53">
        <v>66</v>
      </c>
      <c r="M53">
        <v>1</v>
      </c>
      <c r="N53">
        <v>0</v>
      </c>
      <c r="O53">
        <v>0</v>
      </c>
      <c r="P53">
        <v>0</v>
      </c>
      <c r="Q53">
        <v>13</v>
      </c>
      <c r="R53">
        <v>4</v>
      </c>
      <c r="S53">
        <v>31</v>
      </c>
      <c r="T53" t="s">
        <v>393</v>
      </c>
      <c r="U53">
        <v>14</v>
      </c>
      <c r="V53">
        <v>5.95</v>
      </c>
      <c r="W53" t="s">
        <v>216</v>
      </c>
    </row>
    <row r="54" spans="1:23" x14ac:dyDescent="0.3">
      <c r="A54" t="s">
        <v>352</v>
      </c>
      <c r="B54">
        <v>2024</v>
      </c>
      <c r="C54">
        <v>1</v>
      </c>
      <c r="D54" t="s">
        <v>258</v>
      </c>
      <c r="E54" t="s">
        <v>159</v>
      </c>
      <c r="F54">
        <v>107</v>
      </c>
      <c r="G54">
        <v>7</v>
      </c>
      <c r="H54">
        <v>20</v>
      </c>
      <c r="I54">
        <v>5.35</v>
      </c>
      <c r="J54">
        <v>29</v>
      </c>
      <c r="K54">
        <v>1</v>
      </c>
      <c r="L54">
        <v>44</v>
      </c>
      <c r="M54">
        <v>4</v>
      </c>
      <c r="N54">
        <v>34</v>
      </c>
      <c r="O54">
        <v>2</v>
      </c>
      <c r="P54">
        <v>0</v>
      </c>
      <c r="Q54">
        <v>10</v>
      </c>
      <c r="R54">
        <v>2</v>
      </c>
      <c r="S54">
        <v>61</v>
      </c>
      <c r="T54" t="s">
        <v>398</v>
      </c>
      <c r="U54">
        <v>13</v>
      </c>
      <c r="V54">
        <v>0</v>
      </c>
      <c r="W54" t="s">
        <v>58</v>
      </c>
    </row>
    <row r="55" spans="1:23" x14ac:dyDescent="0.3">
      <c r="A55" t="s">
        <v>352</v>
      </c>
      <c r="B55">
        <v>2024</v>
      </c>
      <c r="C55">
        <v>2</v>
      </c>
      <c r="D55" t="s">
        <v>159</v>
      </c>
      <c r="E55" t="s">
        <v>258</v>
      </c>
      <c r="F55">
        <v>110</v>
      </c>
      <c r="G55">
        <v>2</v>
      </c>
      <c r="H55">
        <v>12.3</v>
      </c>
      <c r="I55">
        <v>8.8000000000000007</v>
      </c>
      <c r="J55">
        <v>47</v>
      </c>
      <c r="K55">
        <v>1</v>
      </c>
      <c r="L55">
        <v>63</v>
      </c>
      <c r="M55">
        <v>1</v>
      </c>
      <c r="N55">
        <v>0</v>
      </c>
      <c r="O55">
        <v>0</v>
      </c>
      <c r="P55">
        <v>0</v>
      </c>
      <c r="Q55">
        <v>18</v>
      </c>
      <c r="R55">
        <v>2</v>
      </c>
      <c r="S55">
        <v>30</v>
      </c>
      <c r="T55" t="s">
        <v>399</v>
      </c>
      <c r="U55">
        <v>13</v>
      </c>
      <c r="V55">
        <v>5.35</v>
      </c>
      <c r="W55" t="s">
        <v>216</v>
      </c>
    </row>
    <row r="56" spans="1:23" x14ac:dyDescent="0.3">
      <c r="A56" t="s">
        <v>353</v>
      </c>
      <c r="B56">
        <v>2024</v>
      </c>
      <c r="C56">
        <v>1</v>
      </c>
      <c r="D56" t="s">
        <v>266</v>
      </c>
      <c r="E56" t="s">
        <v>219</v>
      </c>
      <c r="F56">
        <v>161</v>
      </c>
      <c r="G56">
        <v>6</v>
      </c>
      <c r="H56">
        <v>20</v>
      </c>
      <c r="I56">
        <v>8.0500000000000007</v>
      </c>
      <c r="J56">
        <v>36</v>
      </c>
      <c r="K56">
        <v>0</v>
      </c>
      <c r="L56">
        <v>77</v>
      </c>
      <c r="M56">
        <v>3</v>
      </c>
      <c r="N56">
        <v>48</v>
      </c>
      <c r="O56">
        <v>3</v>
      </c>
      <c r="P56">
        <v>0</v>
      </c>
      <c r="Q56">
        <v>17</v>
      </c>
      <c r="R56">
        <v>4</v>
      </c>
      <c r="S56">
        <v>46</v>
      </c>
      <c r="T56" t="s">
        <v>401</v>
      </c>
      <c r="U56">
        <v>18</v>
      </c>
      <c r="V56">
        <v>0</v>
      </c>
      <c r="W56" t="s">
        <v>58</v>
      </c>
    </row>
    <row r="57" spans="1:23" x14ac:dyDescent="0.3">
      <c r="A57" t="s">
        <v>353</v>
      </c>
      <c r="B57">
        <v>2024</v>
      </c>
      <c r="C57">
        <v>2</v>
      </c>
      <c r="D57" t="s">
        <v>219</v>
      </c>
      <c r="E57" t="s">
        <v>266</v>
      </c>
      <c r="F57">
        <v>163</v>
      </c>
      <c r="G57">
        <v>3</v>
      </c>
      <c r="H57">
        <v>16.3</v>
      </c>
      <c r="I57">
        <v>9.8800000000000008</v>
      </c>
      <c r="J57">
        <v>61</v>
      </c>
      <c r="K57">
        <v>0</v>
      </c>
      <c r="L57">
        <v>88</v>
      </c>
      <c r="M57">
        <v>3</v>
      </c>
      <c r="N57">
        <v>14</v>
      </c>
      <c r="O57">
        <v>0</v>
      </c>
      <c r="P57">
        <v>0</v>
      </c>
      <c r="Q57">
        <v>21</v>
      </c>
      <c r="R57">
        <v>5</v>
      </c>
      <c r="S57">
        <v>33</v>
      </c>
      <c r="T57" t="s">
        <v>402</v>
      </c>
      <c r="U57">
        <v>17</v>
      </c>
      <c r="V57">
        <v>8.0500000000000007</v>
      </c>
      <c r="W57" t="s">
        <v>216</v>
      </c>
    </row>
    <row r="58" spans="1:23" x14ac:dyDescent="0.3">
      <c r="A58" t="s">
        <v>354</v>
      </c>
      <c r="B58">
        <v>2024</v>
      </c>
      <c r="C58">
        <v>1</v>
      </c>
      <c r="D58" t="s">
        <v>158</v>
      </c>
      <c r="E58" t="s">
        <v>159</v>
      </c>
      <c r="F58">
        <v>194</v>
      </c>
      <c r="G58">
        <v>5</v>
      </c>
      <c r="H58">
        <v>20</v>
      </c>
      <c r="I58">
        <v>9.6999999999999993</v>
      </c>
      <c r="J58">
        <v>45</v>
      </c>
      <c r="K58">
        <v>1</v>
      </c>
      <c r="L58">
        <v>88</v>
      </c>
      <c r="M58">
        <v>3</v>
      </c>
      <c r="N58">
        <v>61</v>
      </c>
      <c r="O58">
        <v>1</v>
      </c>
      <c r="P58">
        <v>0</v>
      </c>
      <c r="Q58">
        <v>17</v>
      </c>
      <c r="R58">
        <v>11</v>
      </c>
      <c r="S58">
        <v>43</v>
      </c>
      <c r="T58" t="s">
        <v>406</v>
      </c>
      <c r="U58">
        <v>19</v>
      </c>
      <c r="V58">
        <v>0</v>
      </c>
      <c r="W58" t="s">
        <v>58</v>
      </c>
    </row>
    <row r="59" spans="1:23" x14ac:dyDescent="0.3">
      <c r="A59" t="s">
        <v>354</v>
      </c>
      <c r="B59">
        <v>2024</v>
      </c>
      <c r="C59">
        <v>2</v>
      </c>
      <c r="D59" t="s">
        <v>159</v>
      </c>
      <c r="E59" t="s">
        <v>158</v>
      </c>
      <c r="F59">
        <v>169</v>
      </c>
      <c r="G59">
        <v>9</v>
      </c>
      <c r="H59">
        <v>20</v>
      </c>
      <c r="I59">
        <v>8.4499999999999993</v>
      </c>
      <c r="J59">
        <v>52</v>
      </c>
      <c r="K59">
        <v>0</v>
      </c>
      <c r="L59">
        <v>92</v>
      </c>
      <c r="M59">
        <v>3</v>
      </c>
      <c r="N59">
        <v>25</v>
      </c>
      <c r="O59">
        <v>6</v>
      </c>
      <c r="P59">
        <v>0</v>
      </c>
      <c r="Q59">
        <v>13</v>
      </c>
      <c r="R59">
        <v>8</v>
      </c>
      <c r="S59">
        <v>47</v>
      </c>
      <c r="T59" t="s">
        <v>407</v>
      </c>
      <c r="U59">
        <v>17</v>
      </c>
      <c r="V59">
        <v>9.6999999999999993</v>
      </c>
      <c r="W59" t="s">
        <v>59</v>
      </c>
    </row>
    <row r="60" spans="1:23" x14ac:dyDescent="0.3">
      <c r="A60" t="s">
        <v>355</v>
      </c>
      <c r="B60">
        <v>2024</v>
      </c>
      <c r="C60">
        <v>1</v>
      </c>
      <c r="D60" t="s">
        <v>258</v>
      </c>
      <c r="E60" t="s">
        <v>219</v>
      </c>
      <c r="F60">
        <v>142</v>
      </c>
      <c r="G60">
        <v>5</v>
      </c>
      <c r="H60">
        <v>20</v>
      </c>
      <c r="I60">
        <v>7.1</v>
      </c>
      <c r="J60">
        <v>41</v>
      </c>
      <c r="K60">
        <v>1</v>
      </c>
      <c r="L60">
        <v>67</v>
      </c>
      <c r="M60">
        <v>2</v>
      </c>
      <c r="N60">
        <v>34</v>
      </c>
      <c r="O60">
        <v>2</v>
      </c>
      <c r="P60">
        <v>0</v>
      </c>
      <c r="Q60">
        <v>15</v>
      </c>
      <c r="R60">
        <v>2</v>
      </c>
      <c r="S60">
        <v>45</v>
      </c>
      <c r="T60" t="s">
        <v>412</v>
      </c>
      <c r="U60">
        <v>19</v>
      </c>
      <c r="V60">
        <v>0</v>
      </c>
      <c r="W60" t="s">
        <v>58</v>
      </c>
    </row>
    <row r="61" spans="1:23" x14ac:dyDescent="0.3">
      <c r="A61" t="s">
        <v>355</v>
      </c>
      <c r="B61">
        <v>2024</v>
      </c>
      <c r="C61">
        <v>2</v>
      </c>
      <c r="D61" t="s">
        <v>219</v>
      </c>
      <c r="E61" t="s">
        <v>258</v>
      </c>
      <c r="F61">
        <v>143</v>
      </c>
      <c r="G61">
        <v>4</v>
      </c>
      <c r="H61">
        <v>15.4</v>
      </c>
      <c r="I61">
        <v>9.1300000000000008</v>
      </c>
      <c r="J61">
        <v>59</v>
      </c>
      <c r="K61">
        <v>2</v>
      </c>
      <c r="L61">
        <v>84</v>
      </c>
      <c r="M61">
        <v>2</v>
      </c>
      <c r="N61">
        <v>0</v>
      </c>
      <c r="O61">
        <v>0</v>
      </c>
      <c r="P61">
        <v>0</v>
      </c>
      <c r="Q61">
        <v>25</v>
      </c>
      <c r="R61">
        <v>2</v>
      </c>
      <c r="S61">
        <v>39</v>
      </c>
      <c r="T61" t="s">
        <v>283</v>
      </c>
      <c r="U61">
        <v>17</v>
      </c>
      <c r="V61">
        <v>7.1</v>
      </c>
      <c r="W61" t="s">
        <v>216</v>
      </c>
    </row>
    <row r="62" spans="1:23" x14ac:dyDescent="0.3">
      <c r="A62" t="s">
        <v>356</v>
      </c>
      <c r="B62">
        <v>2024</v>
      </c>
      <c r="C62">
        <v>1</v>
      </c>
      <c r="D62" t="s">
        <v>159</v>
      </c>
      <c r="E62" t="s">
        <v>266</v>
      </c>
      <c r="F62">
        <v>131</v>
      </c>
      <c r="G62">
        <v>6</v>
      </c>
      <c r="H62">
        <v>20</v>
      </c>
      <c r="I62">
        <v>6.55</v>
      </c>
      <c r="J62">
        <v>34</v>
      </c>
      <c r="K62">
        <v>3</v>
      </c>
      <c r="L62">
        <v>72</v>
      </c>
      <c r="M62">
        <v>2</v>
      </c>
      <c r="N62">
        <v>25</v>
      </c>
      <c r="O62">
        <v>1</v>
      </c>
      <c r="P62">
        <v>0</v>
      </c>
      <c r="Q62">
        <v>14</v>
      </c>
      <c r="R62">
        <v>0</v>
      </c>
      <c r="S62">
        <v>45</v>
      </c>
      <c r="T62" t="s">
        <v>418</v>
      </c>
      <c r="U62">
        <v>12</v>
      </c>
      <c r="V62">
        <v>0</v>
      </c>
      <c r="W62" t="s">
        <v>58</v>
      </c>
    </row>
    <row r="63" spans="1:23" x14ac:dyDescent="0.3">
      <c r="A63" t="s">
        <v>356</v>
      </c>
      <c r="B63">
        <v>2024</v>
      </c>
      <c r="C63">
        <v>2</v>
      </c>
      <c r="D63" t="s">
        <v>266</v>
      </c>
      <c r="E63" t="s">
        <v>159</v>
      </c>
      <c r="F63">
        <v>133</v>
      </c>
      <c r="G63">
        <v>3</v>
      </c>
      <c r="H63">
        <v>15.1</v>
      </c>
      <c r="I63">
        <v>8.77</v>
      </c>
      <c r="J63">
        <v>60</v>
      </c>
      <c r="K63">
        <v>1</v>
      </c>
      <c r="L63">
        <v>69</v>
      </c>
      <c r="M63">
        <v>2</v>
      </c>
      <c r="N63">
        <v>4</v>
      </c>
      <c r="O63">
        <v>0</v>
      </c>
      <c r="P63">
        <v>0</v>
      </c>
      <c r="Q63">
        <v>19</v>
      </c>
      <c r="R63">
        <v>3</v>
      </c>
      <c r="S63">
        <v>34</v>
      </c>
      <c r="T63" t="s">
        <v>419</v>
      </c>
      <c r="U63">
        <v>16</v>
      </c>
      <c r="V63">
        <v>6.55</v>
      </c>
      <c r="W63" t="s">
        <v>216</v>
      </c>
    </row>
    <row r="64" spans="1:23" x14ac:dyDescent="0.3">
      <c r="A64" t="s">
        <v>357</v>
      </c>
      <c r="B64">
        <v>2024</v>
      </c>
      <c r="C64">
        <v>1</v>
      </c>
      <c r="D64" t="s">
        <v>158</v>
      </c>
      <c r="E64" t="s">
        <v>258</v>
      </c>
      <c r="F64">
        <v>163</v>
      </c>
      <c r="G64">
        <v>8</v>
      </c>
      <c r="H64">
        <v>20</v>
      </c>
      <c r="I64">
        <v>8.15</v>
      </c>
      <c r="J64">
        <v>51</v>
      </c>
      <c r="K64">
        <v>1</v>
      </c>
      <c r="L64">
        <v>88</v>
      </c>
      <c r="M64">
        <v>4</v>
      </c>
      <c r="N64">
        <v>24</v>
      </c>
      <c r="O64">
        <v>3</v>
      </c>
      <c r="P64">
        <v>0</v>
      </c>
      <c r="Q64">
        <v>16</v>
      </c>
      <c r="R64">
        <v>4</v>
      </c>
      <c r="S64">
        <v>41</v>
      </c>
      <c r="T64" t="s">
        <v>421</v>
      </c>
      <c r="U64">
        <v>15</v>
      </c>
      <c r="V64">
        <v>0</v>
      </c>
      <c r="W64" t="s">
        <v>58</v>
      </c>
    </row>
    <row r="65" spans="1:23" x14ac:dyDescent="0.3">
      <c r="A65" t="s">
        <v>357</v>
      </c>
      <c r="B65">
        <v>2024</v>
      </c>
      <c r="C65">
        <v>2</v>
      </c>
      <c r="D65" t="s">
        <v>258</v>
      </c>
      <c r="E65" t="s">
        <v>158</v>
      </c>
      <c r="F65">
        <v>138</v>
      </c>
      <c r="G65">
        <v>8</v>
      </c>
      <c r="H65">
        <v>20</v>
      </c>
      <c r="I65">
        <v>6.9</v>
      </c>
      <c r="J65">
        <v>41</v>
      </c>
      <c r="K65">
        <v>3</v>
      </c>
      <c r="L65">
        <v>72</v>
      </c>
      <c r="M65">
        <v>3</v>
      </c>
      <c r="N65">
        <v>25</v>
      </c>
      <c r="O65">
        <v>2</v>
      </c>
      <c r="P65">
        <v>0</v>
      </c>
      <c r="Q65">
        <v>13</v>
      </c>
      <c r="R65">
        <v>2</v>
      </c>
      <c r="S65">
        <v>40</v>
      </c>
      <c r="T65" t="s">
        <v>422</v>
      </c>
      <c r="U65">
        <v>16</v>
      </c>
      <c r="V65">
        <v>8.15</v>
      </c>
      <c r="W65" t="s">
        <v>59</v>
      </c>
    </row>
    <row r="66" spans="1:23" x14ac:dyDescent="0.3">
      <c r="A66" t="s">
        <v>358</v>
      </c>
      <c r="B66">
        <v>2024</v>
      </c>
      <c r="C66">
        <v>1</v>
      </c>
      <c r="D66" t="s">
        <v>159</v>
      </c>
      <c r="E66" t="s">
        <v>219</v>
      </c>
      <c r="F66">
        <v>198</v>
      </c>
      <c r="G66">
        <v>3</v>
      </c>
      <c r="H66">
        <v>20</v>
      </c>
      <c r="I66">
        <v>9.9</v>
      </c>
      <c r="J66">
        <v>57</v>
      </c>
      <c r="K66">
        <v>1</v>
      </c>
      <c r="L66">
        <v>89</v>
      </c>
      <c r="M66">
        <v>0</v>
      </c>
      <c r="N66">
        <v>52</v>
      </c>
      <c r="O66">
        <v>2</v>
      </c>
      <c r="P66">
        <v>0</v>
      </c>
      <c r="Q66">
        <v>21</v>
      </c>
      <c r="R66">
        <v>8</v>
      </c>
      <c r="S66">
        <v>45</v>
      </c>
      <c r="T66" t="s">
        <v>427</v>
      </c>
      <c r="U66">
        <v>21</v>
      </c>
      <c r="V66">
        <v>0</v>
      </c>
      <c r="W66" t="s">
        <v>58</v>
      </c>
    </row>
    <row r="67" spans="1:23" x14ac:dyDescent="0.3">
      <c r="A67" t="s">
        <v>358</v>
      </c>
      <c r="B67">
        <v>2024</v>
      </c>
      <c r="C67">
        <v>2</v>
      </c>
      <c r="D67" t="s">
        <v>219</v>
      </c>
      <c r="E67" t="s">
        <v>159</v>
      </c>
      <c r="F67">
        <v>175</v>
      </c>
      <c r="G67">
        <v>8</v>
      </c>
      <c r="H67">
        <v>20</v>
      </c>
      <c r="I67">
        <v>8.75</v>
      </c>
      <c r="J67">
        <v>56</v>
      </c>
      <c r="K67">
        <v>1</v>
      </c>
      <c r="L67">
        <v>91</v>
      </c>
      <c r="M67">
        <v>4</v>
      </c>
      <c r="N67">
        <v>28</v>
      </c>
      <c r="O67">
        <v>3</v>
      </c>
      <c r="P67">
        <v>0</v>
      </c>
      <c r="Q67">
        <v>21</v>
      </c>
      <c r="R67">
        <v>6</v>
      </c>
      <c r="S67">
        <v>54</v>
      </c>
      <c r="T67" t="s">
        <v>428</v>
      </c>
      <c r="U67">
        <v>24</v>
      </c>
      <c r="V67">
        <v>9.9</v>
      </c>
      <c r="W67" t="s">
        <v>59</v>
      </c>
    </row>
    <row r="68" spans="1:23" x14ac:dyDescent="0.3">
      <c r="A68" t="s">
        <v>359</v>
      </c>
      <c r="B68">
        <v>2024</v>
      </c>
      <c r="C68">
        <v>1</v>
      </c>
      <c r="D68" t="s">
        <v>158</v>
      </c>
      <c r="E68" t="s">
        <v>266</v>
      </c>
      <c r="F68">
        <v>192</v>
      </c>
      <c r="G68">
        <v>4</v>
      </c>
      <c r="H68">
        <v>20</v>
      </c>
      <c r="I68">
        <v>9.6</v>
      </c>
      <c r="J68">
        <v>56</v>
      </c>
      <c r="K68">
        <v>1</v>
      </c>
      <c r="L68">
        <v>83</v>
      </c>
      <c r="M68">
        <v>2</v>
      </c>
      <c r="N68">
        <v>53</v>
      </c>
      <c r="O68">
        <v>1</v>
      </c>
      <c r="P68">
        <v>0</v>
      </c>
      <c r="Q68">
        <v>21</v>
      </c>
      <c r="R68">
        <v>7</v>
      </c>
      <c r="S68">
        <v>36</v>
      </c>
      <c r="T68" t="s">
        <v>433</v>
      </c>
      <c r="U68">
        <v>20</v>
      </c>
      <c r="V68">
        <v>0</v>
      </c>
      <c r="W68" t="s">
        <v>58</v>
      </c>
    </row>
    <row r="69" spans="1:23" x14ac:dyDescent="0.3">
      <c r="A69" t="s">
        <v>359</v>
      </c>
      <c r="B69">
        <v>2024</v>
      </c>
      <c r="C69">
        <v>2</v>
      </c>
      <c r="D69" t="s">
        <v>266</v>
      </c>
      <c r="E69" t="s">
        <v>158</v>
      </c>
      <c r="F69">
        <v>163</v>
      </c>
      <c r="G69">
        <v>8</v>
      </c>
      <c r="H69">
        <v>20</v>
      </c>
      <c r="I69">
        <v>8.15</v>
      </c>
      <c r="J69">
        <v>54</v>
      </c>
      <c r="K69">
        <v>4</v>
      </c>
      <c r="L69">
        <v>66</v>
      </c>
      <c r="M69">
        <v>2</v>
      </c>
      <c r="N69">
        <v>43</v>
      </c>
      <c r="O69">
        <v>2</v>
      </c>
      <c r="P69">
        <v>0</v>
      </c>
      <c r="Q69">
        <v>20</v>
      </c>
      <c r="R69">
        <v>3</v>
      </c>
      <c r="S69">
        <v>42</v>
      </c>
      <c r="T69" t="s">
        <v>434</v>
      </c>
      <c r="U69">
        <v>20</v>
      </c>
      <c r="V69">
        <v>9.6</v>
      </c>
      <c r="W69" t="s">
        <v>59</v>
      </c>
    </row>
    <row r="70" spans="1:23" x14ac:dyDescent="0.3">
      <c r="A70" t="s">
        <v>360</v>
      </c>
      <c r="B70">
        <v>2024</v>
      </c>
      <c r="C70">
        <v>1</v>
      </c>
      <c r="D70" t="s">
        <v>258</v>
      </c>
      <c r="E70" t="s">
        <v>159</v>
      </c>
      <c r="F70">
        <v>199</v>
      </c>
      <c r="G70">
        <v>5</v>
      </c>
      <c r="H70">
        <v>20</v>
      </c>
      <c r="I70">
        <v>9.9499999999999993</v>
      </c>
      <c r="J70">
        <v>59</v>
      </c>
      <c r="K70">
        <v>0</v>
      </c>
      <c r="L70">
        <v>111</v>
      </c>
      <c r="M70">
        <v>1</v>
      </c>
      <c r="N70">
        <v>29</v>
      </c>
      <c r="O70">
        <v>4</v>
      </c>
      <c r="P70">
        <v>0</v>
      </c>
      <c r="Q70">
        <v>26</v>
      </c>
      <c r="R70">
        <v>1</v>
      </c>
      <c r="S70">
        <v>37</v>
      </c>
      <c r="T70" t="s">
        <v>436</v>
      </c>
      <c r="U70">
        <v>16</v>
      </c>
      <c r="V70">
        <v>0</v>
      </c>
      <c r="W70" t="s">
        <v>58</v>
      </c>
    </row>
    <row r="71" spans="1:23" x14ac:dyDescent="0.3">
      <c r="A71" t="s">
        <v>360</v>
      </c>
      <c r="B71">
        <v>2024</v>
      </c>
      <c r="C71">
        <v>2</v>
      </c>
      <c r="D71" t="s">
        <v>159</v>
      </c>
      <c r="E71" t="s">
        <v>258</v>
      </c>
      <c r="F71">
        <v>180</v>
      </c>
      <c r="G71">
        <v>8</v>
      </c>
      <c r="H71">
        <v>20</v>
      </c>
      <c r="I71">
        <v>9</v>
      </c>
      <c r="J71">
        <v>39</v>
      </c>
      <c r="K71">
        <v>1</v>
      </c>
      <c r="L71">
        <v>90</v>
      </c>
      <c r="M71">
        <v>4</v>
      </c>
      <c r="N71">
        <v>51</v>
      </c>
      <c r="O71">
        <v>3</v>
      </c>
      <c r="P71">
        <v>0</v>
      </c>
      <c r="Q71">
        <v>17</v>
      </c>
      <c r="R71">
        <v>8</v>
      </c>
      <c r="S71">
        <v>41</v>
      </c>
      <c r="T71" t="s">
        <v>437</v>
      </c>
      <c r="U71">
        <v>17</v>
      </c>
      <c r="V71">
        <v>9.9499999999999993</v>
      </c>
      <c r="W71" t="s">
        <v>59</v>
      </c>
    </row>
    <row r="72" spans="1:23" x14ac:dyDescent="0.3">
      <c r="A72" t="s">
        <v>361</v>
      </c>
      <c r="B72">
        <v>2024</v>
      </c>
      <c r="C72">
        <v>1</v>
      </c>
      <c r="D72" t="s">
        <v>266</v>
      </c>
      <c r="E72" t="s">
        <v>219</v>
      </c>
      <c r="F72">
        <v>160</v>
      </c>
      <c r="G72">
        <v>6</v>
      </c>
      <c r="H72">
        <v>20</v>
      </c>
      <c r="I72">
        <v>8</v>
      </c>
      <c r="J72">
        <v>37</v>
      </c>
      <c r="K72">
        <v>2</v>
      </c>
      <c r="L72">
        <v>85</v>
      </c>
      <c r="M72">
        <v>3</v>
      </c>
      <c r="N72">
        <v>38</v>
      </c>
      <c r="O72">
        <v>1</v>
      </c>
      <c r="P72">
        <v>0</v>
      </c>
      <c r="Q72">
        <v>24</v>
      </c>
      <c r="R72">
        <v>1</v>
      </c>
      <c r="S72">
        <v>40</v>
      </c>
      <c r="T72" t="s">
        <v>440</v>
      </c>
      <c r="U72">
        <v>13</v>
      </c>
      <c r="V72">
        <v>0</v>
      </c>
      <c r="W72" t="s">
        <v>58</v>
      </c>
    </row>
    <row r="73" spans="1:23" x14ac:dyDescent="0.3">
      <c r="A73" t="s">
        <v>361</v>
      </c>
      <c r="B73">
        <v>2024</v>
      </c>
      <c r="C73">
        <v>2</v>
      </c>
      <c r="D73" t="s">
        <v>219</v>
      </c>
      <c r="E73" t="s">
        <v>266</v>
      </c>
      <c r="F73">
        <v>118</v>
      </c>
      <c r="G73">
        <v>9</v>
      </c>
      <c r="H73">
        <v>20</v>
      </c>
      <c r="I73">
        <v>5.9</v>
      </c>
      <c r="J73">
        <v>17</v>
      </c>
      <c r="K73">
        <v>3</v>
      </c>
      <c r="L73">
        <v>67</v>
      </c>
      <c r="M73">
        <v>4</v>
      </c>
      <c r="N73">
        <v>34</v>
      </c>
      <c r="O73">
        <v>2</v>
      </c>
      <c r="P73">
        <v>0</v>
      </c>
      <c r="Q73">
        <v>10</v>
      </c>
      <c r="R73">
        <v>6</v>
      </c>
      <c r="S73">
        <v>63</v>
      </c>
      <c r="T73" t="s">
        <v>441</v>
      </c>
      <c r="U73">
        <v>14</v>
      </c>
      <c r="V73">
        <v>8</v>
      </c>
      <c r="W73" t="s">
        <v>59</v>
      </c>
    </row>
    <row r="74" spans="1:23" x14ac:dyDescent="0.3">
      <c r="A74" t="s">
        <v>362</v>
      </c>
      <c r="B74">
        <v>2024</v>
      </c>
      <c r="C74">
        <v>1</v>
      </c>
      <c r="D74" t="s">
        <v>219</v>
      </c>
      <c r="E74" t="s">
        <v>158</v>
      </c>
      <c r="F74">
        <v>138</v>
      </c>
      <c r="G74">
        <v>8</v>
      </c>
      <c r="H74">
        <v>20</v>
      </c>
      <c r="I74">
        <v>6.9</v>
      </c>
      <c r="J74">
        <v>44</v>
      </c>
      <c r="K74">
        <v>1</v>
      </c>
      <c r="L74">
        <v>65</v>
      </c>
      <c r="M74">
        <v>5</v>
      </c>
      <c r="N74">
        <v>29</v>
      </c>
      <c r="O74">
        <v>2</v>
      </c>
      <c r="P74">
        <v>0</v>
      </c>
      <c r="Q74">
        <v>14</v>
      </c>
      <c r="R74">
        <v>2</v>
      </c>
      <c r="S74">
        <v>40</v>
      </c>
      <c r="T74" t="s">
        <v>406</v>
      </c>
      <c r="U74">
        <v>14</v>
      </c>
      <c r="V74">
        <v>0</v>
      </c>
      <c r="W74" t="s">
        <v>58</v>
      </c>
    </row>
    <row r="75" spans="1:23" x14ac:dyDescent="0.3">
      <c r="A75" t="s">
        <v>362</v>
      </c>
      <c r="B75">
        <v>2024</v>
      </c>
      <c r="C75">
        <v>2</v>
      </c>
      <c r="D75" t="s">
        <v>158</v>
      </c>
      <c r="E75" t="s">
        <v>219</v>
      </c>
      <c r="F75">
        <v>137</v>
      </c>
      <c r="G75">
        <v>10</v>
      </c>
      <c r="H75">
        <v>19.5</v>
      </c>
      <c r="I75">
        <v>6.91</v>
      </c>
      <c r="J75">
        <v>35</v>
      </c>
      <c r="K75">
        <v>1</v>
      </c>
      <c r="L75">
        <v>76</v>
      </c>
      <c r="M75">
        <v>2</v>
      </c>
      <c r="N75">
        <v>26</v>
      </c>
      <c r="O75">
        <v>7</v>
      </c>
      <c r="P75">
        <v>0</v>
      </c>
      <c r="Q75">
        <v>18</v>
      </c>
      <c r="R75">
        <v>4</v>
      </c>
      <c r="S75">
        <v>48</v>
      </c>
      <c r="T75">
        <v>0</v>
      </c>
      <c r="U75">
        <v>15</v>
      </c>
      <c r="V75">
        <v>6.9</v>
      </c>
      <c r="W75" t="s">
        <v>59</v>
      </c>
    </row>
    <row r="76" spans="1:23" x14ac:dyDescent="0.3">
      <c r="A76" t="s">
        <v>363</v>
      </c>
      <c r="B76">
        <v>2024</v>
      </c>
      <c r="C76">
        <v>1</v>
      </c>
      <c r="D76" t="s">
        <v>258</v>
      </c>
      <c r="E76" t="s">
        <v>266</v>
      </c>
      <c r="F76">
        <v>190</v>
      </c>
      <c r="G76">
        <v>7</v>
      </c>
      <c r="H76">
        <v>20</v>
      </c>
      <c r="I76">
        <v>9.5</v>
      </c>
      <c r="J76">
        <v>52</v>
      </c>
      <c r="K76">
        <v>1</v>
      </c>
      <c r="L76">
        <v>108</v>
      </c>
      <c r="M76">
        <v>3</v>
      </c>
      <c r="N76">
        <v>30</v>
      </c>
      <c r="O76">
        <v>3</v>
      </c>
      <c r="P76">
        <v>0</v>
      </c>
      <c r="Q76">
        <v>22</v>
      </c>
      <c r="R76">
        <v>6</v>
      </c>
      <c r="S76">
        <v>34</v>
      </c>
      <c r="T76" t="s">
        <v>445</v>
      </c>
      <c r="U76">
        <v>16</v>
      </c>
      <c r="V76">
        <v>0</v>
      </c>
      <c r="W76" t="s">
        <v>58</v>
      </c>
    </row>
    <row r="77" spans="1:23" x14ac:dyDescent="0.3">
      <c r="A77" t="s">
        <v>363</v>
      </c>
      <c r="B77">
        <v>2024</v>
      </c>
      <c r="C77">
        <v>2</v>
      </c>
      <c r="D77" t="s">
        <v>266</v>
      </c>
      <c r="E77" t="s">
        <v>258</v>
      </c>
      <c r="F77">
        <v>191</v>
      </c>
      <c r="G77">
        <v>3</v>
      </c>
      <c r="H77">
        <v>19.5</v>
      </c>
      <c r="I77">
        <v>9.6300000000000008</v>
      </c>
      <c r="J77">
        <v>50</v>
      </c>
      <c r="K77">
        <v>0</v>
      </c>
      <c r="L77">
        <v>76</v>
      </c>
      <c r="M77">
        <v>3</v>
      </c>
      <c r="N77">
        <v>65</v>
      </c>
      <c r="O77">
        <v>0</v>
      </c>
      <c r="P77">
        <v>0</v>
      </c>
      <c r="Q77">
        <v>22</v>
      </c>
      <c r="R77">
        <v>7</v>
      </c>
      <c r="S77">
        <v>43</v>
      </c>
      <c r="T77" t="s">
        <v>446</v>
      </c>
      <c r="U77">
        <v>24</v>
      </c>
      <c r="V77">
        <v>9.5</v>
      </c>
      <c r="W77" t="s">
        <v>216</v>
      </c>
    </row>
    <row r="78" spans="1:23" x14ac:dyDescent="0.3">
      <c r="A78" t="s">
        <v>364</v>
      </c>
      <c r="B78">
        <v>2024</v>
      </c>
      <c r="C78">
        <v>1</v>
      </c>
      <c r="D78" t="s">
        <v>158</v>
      </c>
      <c r="E78" t="s">
        <v>159</v>
      </c>
      <c r="F78">
        <v>181</v>
      </c>
      <c r="G78">
        <v>5</v>
      </c>
      <c r="H78">
        <v>20</v>
      </c>
      <c r="I78">
        <v>9.0500000000000007</v>
      </c>
      <c r="J78">
        <v>53</v>
      </c>
      <c r="K78">
        <v>0</v>
      </c>
      <c r="L78">
        <v>90</v>
      </c>
      <c r="M78">
        <v>2</v>
      </c>
      <c r="N78">
        <v>38</v>
      </c>
      <c r="O78">
        <v>3</v>
      </c>
      <c r="P78">
        <v>0</v>
      </c>
      <c r="Q78">
        <v>24</v>
      </c>
      <c r="R78">
        <v>3</v>
      </c>
      <c r="S78">
        <v>34</v>
      </c>
      <c r="T78" t="s">
        <v>450</v>
      </c>
      <c r="U78">
        <v>20</v>
      </c>
      <c r="V78">
        <v>0</v>
      </c>
      <c r="W78" t="s">
        <v>58</v>
      </c>
    </row>
    <row r="79" spans="1:23" x14ac:dyDescent="0.3">
      <c r="A79" t="s">
        <v>364</v>
      </c>
      <c r="B79">
        <v>2024</v>
      </c>
      <c r="C79">
        <v>2</v>
      </c>
      <c r="D79" t="s">
        <v>159</v>
      </c>
      <c r="E79" t="s">
        <v>158</v>
      </c>
      <c r="F79">
        <v>180</v>
      </c>
      <c r="G79">
        <v>7</v>
      </c>
      <c r="H79">
        <v>20</v>
      </c>
      <c r="I79">
        <v>9</v>
      </c>
      <c r="J79">
        <v>42</v>
      </c>
      <c r="K79">
        <v>1</v>
      </c>
      <c r="L79">
        <v>95</v>
      </c>
      <c r="M79">
        <v>2</v>
      </c>
      <c r="N79">
        <v>43</v>
      </c>
      <c r="O79">
        <v>4</v>
      </c>
      <c r="P79">
        <v>0</v>
      </c>
      <c r="Q79">
        <v>20</v>
      </c>
      <c r="R79">
        <v>6</v>
      </c>
      <c r="S79">
        <v>35</v>
      </c>
      <c r="T79" t="s">
        <v>451</v>
      </c>
      <c r="U79">
        <v>17</v>
      </c>
      <c r="V79">
        <v>9.0500000000000007</v>
      </c>
      <c r="W79" t="s">
        <v>59</v>
      </c>
    </row>
    <row r="80" spans="1:23" x14ac:dyDescent="0.3">
      <c r="A80" t="s">
        <v>365</v>
      </c>
      <c r="B80">
        <v>2024</v>
      </c>
      <c r="C80">
        <v>1</v>
      </c>
      <c r="D80" t="s">
        <v>258</v>
      </c>
      <c r="E80" t="s">
        <v>219</v>
      </c>
      <c r="F80">
        <v>152</v>
      </c>
      <c r="G80">
        <v>8</v>
      </c>
      <c r="H80">
        <v>20</v>
      </c>
      <c r="I80">
        <v>7.6</v>
      </c>
      <c r="J80">
        <v>53</v>
      </c>
      <c r="K80">
        <v>0</v>
      </c>
      <c r="L80">
        <v>58</v>
      </c>
      <c r="M80">
        <v>5</v>
      </c>
      <c r="N80">
        <v>41</v>
      </c>
      <c r="O80">
        <v>3</v>
      </c>
      <c r="P80">
        <v>0</v>
      </c>
      <c r="Q80">
        <v>21</v>
      </c>
      <c r="R80">
        <v>3</v>
      </c>
      <c r="S80">
        <v>44</v>
      </c>
      <c r="T80" t="s">
        <v>320</v>
      </c>
      <c r="U80">
        <v>21</v>
      </c>
      <c r="V80">
        <v>0</v>
      </c>
      <c r="W80" t="s">
        <v>58</v>
      </c>
    </row>
    <row r="81" spans="1:23" x14ac:dyDescent="0.3">
      <c r="A81" t="s">
        <v>365</v>
      </c>
      <c r="B81">
        <v>2024</v>
      </c>
      <c r="C81">
        <v>2</v>
      </c>
      <c r="D81" t="s">
        <v>219</v>
      </c>
      <c r="E81" t="s">
        <v>258</v>
      </c>
      <c r="F81">
        <v>144</v>
      </c>
      <c r="G81">
        <v>5</v>
      </c>
      <c r="H81">
        <v>20</v>
      </c>
      <c r="I81">
        <v>7.2</v>
      </c>
      <c r="J81">
        <v>30</v>
      </c>
      <c r="K81">
        <v>4</v>
      </c>
      <c r="L81">
        <v>68</v>
      </c>
      <c r="M81">
        <v>1</v>
      </c>
      <c r="N81">
        <v>46</v>
      </c>
      <c r="O81">
        <v>0</v>
      </c>
      <c r="P81">
        <v>0</v>
      </c>
      <c r="Q81">
        <v>15</v>
      </c>
      <c r="R81">
        <v>5</v>
      </c>
      <c r="S81">
        <v>51</v>
      </c>
      <c r="T81" t="s">
        <v>453</v>
      </c>
      <c r="U81">
        <v>17</v>
      </c>
      <c r="V81">
        <v>7.6</v>
      </c>
      <c r="W81" t="s">
        <v>59</v>
      </c>
    </row>
    <row r="82" spans="1:23" x14ac:dyDescent="0.3">
      <c r="A82" t="s">
        <v>366</v>
      </c>
      <c r="B82">
        <v>2024</v>
      </c>
      <c r="C82">
        <v>1</v>
      </c>
      <c r="D82" t="s">
        <v>266</v>
      </c>
      <c r="E82" t="s">
        <v>159</v>
      </c>
      <c r="F82">
        <v>113</v>
      </c>
      <c r="G82">
        <v>10</v>
      </c>
      <c r="H82">
        <v>19</v>
      </c>
      <c r="I82">
        <v>5.95</v>
      </c>
      <c r="J82">
        <v>43</v>
      </c>
      <c r="K82">
        <v>1</v>
      </c>
      <c r="L82">
        <v>56</v>
      </c>
      <c r="M82">
        <v>7</v>
      </c>
      <c r="N82">
        <v>14</v>
      </c>
      <c r="O82">
        <v>2</v>
      </c>
      <c r="P82">
        <v>0</v>
      </c>
      <c r="Q82">
        <v>13</v>
      </c>
      <c r="R82">
        <v>3</v>
      </c>
      <c r="S82">
        <v>55</v>
      </c>
      <c r="T82" t="s">
        <v>454</v>
      </c>
      <c r="U82">
        <v>15</v>
      </c>
      <c r="V82">
        <v>0</v>
      </c>
      <c r="W82" t="s">
        <v>58</v>
      </c>
    </row>
    <row r="83" spans="1:23" x14ac:dyDescent="0.3">
      <c r="A83" t="s">
        <v>366</v>
      </c>
      <c r="B83">
        <v>2024</v>
      </c>
      <c r="C83">
        <v>2</v>
      </c>
      <c r="D83" t="s">
        <v>159</v>
      </c>
      <c r="E83" t="s">
        <v>266</v>
      </c>
      <c r="F83">
        <v>115</v>
      </c>
      <c r="G83">
        <v>3</v>
      </c>
      <c r="H83">
        <v>15</v>
      </c>
      <c r="I83">
        <v>7.67</v>
      </c>
      <c r="J83">
        <v>39</v>
      </c>
      <c r="K83">
        <v>2</v>
      </c>
      <c r="L83">
        <v>76</v>
      </c>
      <c r="M83">
        <v>1</v>
      </c>
      <c r="N83">
        <v>0</v>
      </c>
      <c r="O83">
        <v>0</v>
      </c>
      <c r="P83">
        <v>0</v>
      </c>
      <c r="Q83">
        <v>14</v>
      </c>
      <c r="R83">
        <v>3</v>
      </c>
      <c r="S83">
        <v>44</v>
      </c>
      <c r="T83" t="s">
        <v>455</v>
      </c>
      <c r="U83">
        <v>15</v>
      </c>
      <c r="V83">
        <v>5.95</v>
      </c>
      <c r="W83" t="s">
        <v>216</v>
      </c>
    </row>
    <row r="84" spans="1:23" x14ac:dyDescent="0.3">
      <c r="A84" t="s">
        <v>367</v>
      </c>
      <c r="B84">
        <v>2024</v>
      </c>
      <c r="C84">
        <v>1</v>
      </c>
      <c r="D84" t="s">
        <v>258</v>
      </c>
      <c r="E84" t="s">
        <v>158</v>
      </c>
      <c r="F84">
        <v>126</v>
      </c>
      <c r="G84">
        <v>9</v>
      </c>
      <c r="H84">
        <v>20</v>
      </c>
      <c r="I84">
        <v>6.3</v>
      </c>
      <c r="J84">
        <v>23</v>
      </c>
      <c r="K84">
        <v>3</v>
      </c>
      <c r="L84">
        <v>67</v>
      </c>
      <c r="M84">
        <v>2</v>
      </c>
      <c r="N84">
        <v>36</v>
      </c>
      <c r="O84">
        <v>4</v>
      </c>
      <c r="P84">
        <v>0</v>
      </c>
      <c r="Q84">
        <v>17</v>
      </c>
      <c r="R84">
        <v>1</v>
      </c>
      <c r="S84">
        <v>57</v>
      </c>
      <c r="T84" t="s">
        <v>457</v>
      </c>
      <c r="U84">
        <v>11</v>
      </c>
      <c r="V84">
        <v>0</v>
      </c>
      <c r="W84" t="s">
        <v>58</v>
      </c>
    </row>
    <row r="85" spans="1:23" x14ac:dyDescent="0.3">
      <c r="A85" t="s">
        <v>367</v>
      </c>
      <c r="B85">
        <v>2024</v>
      </c>
      <c r="C85">
        <v>2</v>
      </c>
      <c r="D85" t="s">
        <v>158</v>
      </c>
      <c r="E85" t="s">
        <v>258</v>
      </c>
      <c r="F85">
        <v>129</v>
      </c>
      <c r="G85">
        <v>3</v>
      </c>
      <c r="H85">
        <v>13.1</v>
      </c>
      <c r="I85">
        <v>9.8000000000000007</v>
      </c>
      <c r="J85">
        <v>45</v>
      </c>
      <c r="K85">
        <v>2</v>
      </c>
      <c r="L85">
        <v>85</v>
      </c>
      <c r="M85">
        <v>1</v>
      </c>
      <c r="N85">
        <v>0</v>
      </c>
      <c r="O85">
        <v>0</v>
      </c>
      <c r="P85">
        <v>0</v>
      </c>
      <c r="Q85">
        <v>15</v>
      </c>
      <c r="R85">
        <v>6</v>
      </c>
      <c r="S85">
        <v>30</v>
      </c>
      <c r="T85" t="s">
        <v>60</v>
      </c>
      <c r="U85">
        <v>20</v>
      </c>
      <c r="V85">
        <v>6.3</v>
      </c>
      <c r="W85" t="s">
        <v>216</v>
      </c>
    </row>
    <row r="86" spans="1:23" x14ac:dyDescent="0.3">
      <c r="A86" t="s">
        <v>368</v>
      </c>
      <c r="B86">
        <v>2024</v>
      </c>
      <c r="C86">
        <v>1</v>
      </c>
      <c r="D86" t="s">
        <v>159</v>
      </c>
      <c r="E86" t="s">
        <v>266</v>
      </c>
      <c r="F86">
        <v>135</v>
      </c>
      <c r="G86">
        <v>6</v>
      </c>
      <c r="H86">
        <v>20</v>
      </c>
      <c r="I86">
        <v>6.75</v>
      </c>
      <c r="J86">
        <v>34</v>
      </c>
      <c r="K86">
        <v>3</v>
      </c>
      <c r="L86">
        <v>56</v>
      </c>
      <c r="M86">
        <v>2</v>
      </c>
      <c r="N86">
        <v>45</v>
      </c>
      <c r="O86">
        <v>1</v>
      </c>
      <c r="P86">
        <v>0</v>
      </c>
      <c r="Q86">
        <v>15</v>
      </c>
      <c r="R86">
        <v>3</v>
      </c>
      <c r="S86">
        <v>48</v>
      </c>
      <c r="T86" t="s">
        <v>454</v>
      </c>
      <c r="U86">
        <v>14</v>
      </c>
      <c r="V86">
        <v>0</v>
      </c>
      <c r="W86" t="s">
        <v>58</v>
      </c>
    </row>
    <row r="87" spans="1:23" x14ac:dyDescent="0.3">
      <c r="A87" t="s">
        <v>368</v>
      </c>
      <c r="B87">
        <v>2024</v>
      </c>
      <c r="C87">
        <v>2</v>
      </c>
      <c r="D87" t="s">
        <v>266</v>
      </c>
      <c r="E87" t="s">
        <v>159</v>
      </c>
      <c r="F87">
        <v>130</v>
      </c>
      <c r="G87">
        <v>6</v>
      </c>
      <c r="H87">
        <v>20</v>
      </c>
      <c r="I87">
        <v>6.5</v>
      </c>
      <c r="J87">
        <v>37</v>
      </c>
      <c r="K87">
        <v>1</v>
      </c>
      <c r="L87">
        <v>67</v>
      </c>
      <c r="M87">
        <v>2</v>
      </c>
      <c r="N87">
        <v>26</v>
      </c>
      <c r="O87">
        <v>3</v>
      </c>
      <c r="P87">
        <v>0</v>
      </c>
      <c r="Q87">
        <v>16</v>
      </c>
      <c r="R87">
        <v>0</v>
      </c>
      <c r="S87">
        <v>45</v>
      </c>
      <c r="T87" t="s">
        <v>459</v>
      </c>
      <c r="U87">
        <v>13</v>
      </c>
      <c r="V87">
        <v>6.75</v>
      </c>
      <c r="W87" t="s">
        <v>59</v>
      </c>
    </row>
    <row r="88" spans="1:23" x14ac:dyDescent="0.3">
      <c r="A88" t="s">
        <v>444</v>
      </c>
      <c r="B88">
        <v>2024</v>
      </c>
      <c r="C88">
        <v>1</v>
      </c>
      <c r="D88" t="s">
        <v>158</v>
      </c>
      <c r="E88" t="s">
        <v>159</v>
      </c>
      <c r="F88">
        <v>113</v>
      </c>
      <c r="G88">
        <v>10</v>
      </c>
      <c r="H88">
        <v>18.3</v>
      </c>
      <c r="I88">
        <v>6.11</v>
      </c>
      <c r="J88">
        <v>61</v>
      </c>
      <c r="K88">
        <v>0</v>
      </c>
      <c r="L88">
        <v>39</v>
      </c>
      <c r="M88">
        <v>7</v>
      </c>
      <c r="N88">
        <v>13</v>
      </c>
      <c r="O88">
        <v>3</v>
      </c>
      <c r="P88">
        <v>0</v>
      </c>
      <c r="Q88">
        <v>8</v>
      </c>
      <c r="R88">
        <v>3</v>
      </c>
      <c r="S88">
        <v>46</v>
      </c>
      <c r="T88" t="s">
        <v>320</v>
      </c>
      <c r="U88">
        <v>19</v>
      </c>
      <c r="V88">
        <v>0</v>
      </c>
      <c r="W88" t="s">
        <v>58</v>
      </c>
    </row>
    <row r="89" spans="1:23" x14ac:dyDescent="0.3">
      <c r="A89" t="s">
        <v>444</v>
      </c>
      <c r="B89">
        <v>2024</v>
      </c>
      <c r="C89">
        <v>2</v>
      </c>
      <c r="D89" t="s">
        <v>159</v>
      </c>
      <c r="E89" t="s">
        <v>158</v>
      </c>
      <c r="F89">
        <v>115</v>
      </c>
      <c r="G89">
        <v>2</v>
      </c>
      <c r="H89">
        <v>19.3</v>
      </c>
      <c r="I89">
        <v>5.9</v>
      </c>
      <c r="J89">
        <v>25</v>
      </c>
      <c r="K89">
        <v>0</v>
      </c>
      <c r="L89">
        <v>61</v>
      </c>
      <c r="M89">
        <v>2</v>
      </c>
      <c r="N89">
        <v>29</v>
      </c>
      <c r="O89">
        <v>0</v>
      </c>
      <c r="P89">
        <v>0</v>
      </c>
      <c r="Q89">
        <v>14</v>
      </c>
      <c r="R89">
        <v>1</v>
      </c>
      <c r="S89">
        <v>49</v>
      </c>
      <c r="T89">
        <v>0</v>
      </c>
      <c r="U89">
        <v>18</v>
      </c>
      <c r="V89">
        <v>6.11</v>
      </c>
      <c r="W89" t="s">
        <v>216</v>
      </c>
    </row>
    <row r="90" spans="1:23" x14ac:dyDescent="0.3">
      <c r="A90" t="s">
        <v>462</v>
      </c>
      <c r="B90">
        <v>2025</v>
      </c>
      <c r="C90">
        <v>1</v>
      </c>
      <c r="D90" t="s">
        <v>258</v>
      </c>
      <c r="E90" t="s">
        <v>159</v>
      </c>
      <c r="F90">
        <v>201</v>
      </c>
      <c r="G90">
        <v>5</v>
      </c>
      <c r="H90">
        <v>20</v>
      </c>
      <c r="I90">
        <v>10.050000000000001</v>
      </c>
      <c r="J90">
        <v>39</v>
      </c>
      <c r="K90">
        <v>1</v>
      </c>
      <c r="L90">
        <v>109</v>
      </c>
      <c r="M90">
        <v>2</v>
      </c>
      <c r="N90">
        <v>53</v>
      </c>
      <c r="O90">
        <v>2</v>
      </c>
      <c r="P90">
        <v>0</v>
      </c>
      <c r="Q90">
        <v>18</v>
      </c>
      <c r="R90">
        <v>10</v>
      </c>
      <c r="S90">
        <v>35</v>
      </c>
      <c r="T90" t="s">
        <v>486</v>
      </c>
      <c r="U90">
        <v>21</v>
      </c>
      <c r="V90">
        <v>0</v>
      </c>
      <c r="W90" t="s">
        <v>58</v>
      </c>
    </row>
    <row r="91" spans="1:23" x14ac:dyDescent="0.3">
      <c r="A91" t="s">
        <v>462</v>
      </c>
      <c r="B91">
        <v>2025</v>
      </c>
      <c r="C91">
        <v>2</v>
      </c>
      <c r="D91" t="s">
        <v>159</v>
      </c>
      <c r="E91" t="s">
        <v>258</v>
      </c>
      <c r="F91">
        <v>202</v>
      </c>
      <c r="G91">
        <v>4</v>
      </c>
      <c r="H91">
        <v>18.3</v>
      </c>
      <c r="I91">
        <v>10.92</v>
      </c>
      <c r="J91">
        <v>51</v>
      </c>
      <c r="K91">
        <v>2</v>
      </c>
      <c r="L91">
        <v>111</v>
      </c>
      <c r="M91">
        <v>2</v>
      </c>
      <c r="N91">
        <v>40</v>
      </c>
      <c r="O91">
        <v>0</v>
      </c>
      <c r="P91">
        <v>0</v>
      </c>
      <c r="Q91">
        <v>23</v>
      </c>
      <c r="R91">
        <v>6</v>
      </c>
      <c r="S91">
        <v>23</v>
      </c>
      <c r="T91" t="s">
        <v>487</v>
      </c>
      <c r="U91">
        <v>23</v>
      </c>
      <c r="V91">
        <v>10.050000000000001</v>
      </c>
      <c r="W91" t="s">
        <v>216</v>
      </c>
    </row>
    <row r="92" spans="1:23" x14ac:dyDescent="0.3">
      <c r="A92" t="s">
        <v>463</v>
      </c>
      <c r="B92">
        <v>2025</v>
      </c>
      <c r="C92">
        <v>1</v>
      </c>
      <c r="D92" t="s">
        <v>266</v>
      </c>
      <c r="E92" t="s">
        <v>158</v>
      </c>
      <c r="F92">
        <v>164</v>
      </c>
      <c r="G92">
        <v>10</v>
      </c>
      <c r="H92">
        <v>19.100000000000001</v>
      </c>
      <c r="I92">
        <v>8.56</v>
      </c>
      <c r="J92">
        <v>41</v>
      </c>
      <c r="K92">
        <v>2</v>
      </c>
      <c r="L92">
        <v>105</v>
      </c>
      <c r="M92">
        <v>4</v>
      </c>
      <c r="N92">
        <v>18</v>
      </c>
      <c r="O92">
        <v>4</v>
      </c>
      <c r="P92">
        <v>0</v>
      </c>
      <c r="Q92">
        <v>21</v>
      </c>
      <c r="R92">
        <v>3</v>
      </c>
      <c r="S92">
        <v>39</v>
      </c>
      <c r="T92" t="s">
        <v>505</v>
      </c>
      <c r="U92">
        <v>20</v>
      </c>
      <c r="V92">
        <v>0</v>
      </c>
      <c r="W92" t="s">
        <v>58</v>
      </c>
    </row>
    <row r="93" spans="1:23" x14ac:dyDescent="0.3">
      <c r="A93" t="s">
        <v>463</v>
      </c>
      <c r="B93">
        <v>2025</v>
      </c>
      <c r="C93">
        <v>2</v>
      </c>
      <c r="D93" t="s">
        <v>158</v>
      </c>
      <c r="E93" t="s">
        <v>266</v>
      </c>
      <c r="F93">
        <v>165</v>
      </c>
      <c r="G93">
        <v>8</v>
      </c>
      <c r="H93">
        <v>20</v>
      </c>
      <c r="I93">
        <v>8.25</v>
      </c>
      <c r="J93">
        <v>60</v>
      </c>
      <c r="K93">
        <v>1</v>
      </c>
      <c r="L93">
        <v>61</v>
      </c>
      <c r="M93">
        <v>4</v>
      </c>
      <c r="N93">
        <v>44</v>
      </c>
      <c r="O93">
        <v>3</v>
      </c>
      <c r="P93">
        <v>0</v>
      </c>
      <c r="Q93">
        <v>19</v>
      </c>
      <c r="R93">
        <v>4</v>
      </c>
      <c r="S93">
        <v>40</v>
      </c>
      <c r="T93" t="s">
        <v>506</v>
      </c>
      <c r="U93">
        <v>22</v>
      </c>
      <c r="V93">
        <v>8.56</v>
      </c>
      <c r="W93" t="s">
        <v>216</v>
      </c>
    </row>
    <row r="94" spans="1:23" x14ac:dyDescent="0.3">
      <c r="A94" t="s">
        <v>464</v>
      </c>
      <c r="B94">
        <v>2025</v>
      </c>
      <c r="C94">
        <v>1</v>
      </c>
      <c r="D94" t="s">
        <v>219</v>
      </c>
      <c r="E94" t="s">
        <v>258</v>
      </c>
      <c r="F94">
        <v>143</v>
      </c>
      <c r="G94">
        <v>9</v>
      </c>
      <c r="H94">
        <v>20</v>
      </c>
      <c r="I94">
        <v>7.15</v>
      </c>
      <c r="J94">
        <v>41</v>
      </c>
      <c r="K94">
        <v>2</v>
      </c>
      <c r="L94">
        <v>70</v>
      </c>
      <c r="M94">
        <v>5</v>
      </c>
      <c r="N94">
        <v>32</v>
      </c>
      <c r="O94">
        <v>2</v>
      </c>
      <c r="P94">
        <v>0</v>
      </c>
      <c r="Q94">
        <v>21</v>
      </c>
      <c r="R94">
        <v>1</v>
      </c>
      <c r="S94">
        <v>40</v>
      </c>
      <c r="T94" t="s">
        <v>320</v>
      </c>
      <c r="U94">
        <v>16</v>
      </c>
      <c r="V94">
        <v>0</v>
      </c>
      <c r="W94" t="s">
        <v>58</v>
      </c>
    </row>
    <row r="95" spans="1:23" x14ac:dyDescent="0.3">
      <c r="A95" t="s">
        <v>464</v>
      </c>
      <c r="B95">
        <v>2025</v>
      </c>
      <c r="C95">
        <v>2</v>
      </c>
      <c r="D95" t="s">
        <v>258</v>
      </c>
      <c r="E95" t="s">
        <v>219</v>
      </c>
      <c r="F95">
        <v>144</v>
      </c>
      <c r="G95">
        <v>4</v>
      </c>
      <c r="H95">
        <v>18</v>
      </c>
      <c r="I95">
        <v>8</v>
      </c>
      <c r="J95">
        <v>41</v>
      </c>
      <c r="K95">
        <v>2</v>
      </c>
      <c r="L95">
        <v>83</v>
      </c>
      <c r="M95">
        <v>1</v>
      </c>
      <c r="N95">
        <v>20</v>
      </c>
      <c r="O95">
        <v>1</v>
      </c>
      <c r="P95">
        <v>0</v>
      </c>
      <c r="Q95">
        <v>14</v>
      </c>
      <c r="R95">
        <v>6</v>
      </c>
      <c r="S95">
        <v>44</v>
      </c>
      <c r="T95" t="s">
        <v>521</v>
      </c>
      <c r="U95">
        <v>20</v>
      </c>
      <c r="V95">
        <v>7.15</v>
      </c>
      <c r="W95" t="s">
        <v>216</v>
      </c>
    </row>
    <row r="96" spans="1:23" x14ac:dyDescent="0.3">
      <c r="A96" t="s">
        <v>465</v>
      </c>
      <c r="B96">
        <v>2025</v>
      </c>
      <c r="C96">
        <v>1</v>
      </c>
      <c r="D96" t="s">
        <v>158</v>
      </c>
      <c r="E96" t="s">
        <v>159</v>
      </c>
      <c r="F96">
        <v>141</v>
      </c>
      <c r="G96">
        <v>10</v>
      </c>
      <c r="H96">
        <v>19.3</v>
      </c>
      <c r="I96">
        <v>7.23</v>
      </c>
      <c r="J96">
        <v>55</v>
      </c>
      <c r="K96">
        <v>1</v>
      </c>
      <c r="L96">
        <v>62</v>
      </c>
      <c r="M96">
        <v>5</v>
      </c>
      <c r="N96">
        <v>24</v>
      </c>
      <c r="O96">
        <v>4</v>
      </c>
      <c r="P96">
        <v>0</v>
      </c>
      <c r="Q96">
        <v>11</v>
      </c>
      <c r="R96">
        <v>3</v>
      </c>
      <c r="S96">
        <v>36</v>
      </c>
      <c r="T96" t="s">
        <v>525</v>
      </c>
      <c r="U96">
        <v>15</v>
      </c>
      <c r="V96">
        <v>0</v>
      </c>
      <c r="W96" t="s">
        <v>58</v>
      </c>
    </row>
    <row r="97" spans="1:23" x14ac:dyDescent="0.3">
      <c r="A97" t="s">
        <v>465</v>
      </c>
      <c r="B97">
        <v>2025</v>
      </c>
      <c r="C97">
        <v>2</v>
      </c>
      <c r="D97" t="s">
        <v>159</v>
      </c>
      <c r="E97" t="s">
        <v>158</v>
      </c>
      <c r="F97">
        <v>146</v>
      </c>
      <c r="G97">
        <v>2</v>
      </c>
      <c r="H97">
        <v>16.2</v>
      </c>
      <c r="I97">
        <v>8.94</v>
      </c>
      <c r="J97">
        <v>57</v>
      </c>
      <c r="K97">
        <v>0</v>
      </c>
      <c r="L97">
        <v>82</v>
      </c>
      <c r="M97">
        <v>2</v>
      </c>
      <c r="N97">
        <v>7</v>
      </c>
      <c r="O97">
        <v>0</v>
      </c>
      <c r="P97">
        <v>0</v>
      </c>
      <c r="Q97">
        <v>18</v>
      </c>
      <c r="R97">
        <v>4</v>
      </c>
      <c r="S97">
        <v>30</v>
      </c>
      <c r="T97" t="s">
        <v>526</v>
      </c>
      <c r="U97">
        <v>14</v>
      </c>
      <c r="V97">
        <v>7.23</v>
      </c>
      <c r="W97" t="s">
        <v>216</v>
      </c>
    </row>
    <row r="98" spans="1:23" x14ac:dyDescent="0.3">
      <c r="A98" t="s">
        <v>466</v>
      </c>
      <c r="B98">
        <v>2025</v>
      </c>
      <c r="C98">
        <v>1</v>
      </c>
      <c r="D98" t="s">
        <v>258</v>
      </c>
      <c r="E98" t="s">
        <v>266</v>
      </c>
      <c r="F98">
        <v>120</v>
      </c>
      <c r="G98">
        <v>10</v>
      </c>
      <c r="H98">
        <v>20</v>
      </c>
      <c r="I98">
        <v>6</v>
      </c>
      <c r="J98">
        <v>28</v>
      </c>
      <c r="K98">
        <v>4</v>
      </c>
      <c r="L98">
        <v>69</v>
      </c>
      <c r="M98">
        <v>3</v>
      </c>
      <c r="N98">
        <v>23</v>
      </c>
      <c r="O98">
        <v>3</v>
      </c>
      <c r="P98">
        <v>0</v>
      </c>
      <c r="Q98">
        <v>14</v>
      </c>
      <c r="R98">
        <v>2</v>
      </c>
      <c r="S98">
        <v>47</v>
      </c>
      <c r="T98" t="s">
        <v>537</v>
      </c>
      <c r="U98">
        <v>12</v>
      </c>
      <c r="V98">
        <v>0</v>
      </c>
      <c r="W98" t="s">
        <v>58</v>
      </c>
    </row>
    <row r="99" spans="1:23" x14ac:dyDescent="0.3">
      <c r="A99" t="s">
        <v>466</v>
      </c>
      <c r="B99">
        <v>2025</v>
      </c>
      <c r="C99">
        <v>2</v>
      </c>
      <c r="D99" t="s">
        <v>266</v>
      </c>
      <c r="E99" t="s">
        <v>258</v>
      </c>
      <c r="F99">
        <v>122</v>
      </c>
      <c r="G99">
        <v>5</v>
      </c>
      <c r="H99">
        <v>16.100000000000001</v>
      </c>
      <c r="I99">
        <v>7.55</v>
      </c>
      <c r="J99">
        <v>37</v>
      </c>
      <c r="K99">
        <v>1</v>
      </c>
      <c r="L99">
        <v>81</v>
      </c>
      <c r="M99">
        <v>4</v>
      </c>
      <c r="N99">
        <v>4</v>
      </c>
      <c r="O99">
        <v>0</v>
      </c>
      <c r="P99">
        <v>0</v>
      </c>
      <c r="Q99">
        <v>20</v>
      </c>
      <c r="R99">
        <v>1</v>
      </c>
      <c r="S99">
        <v>34</v>
      </c>
      <c r="T99" t="s">
        <v>291</v>
      </c>
      <c r="U99">
        <v>14</v>
      </c>
      <c r="V99">
        <v>6</v>
      </c>
      <c r="W99" t="s">
        <v>216</v>
      </c>
    </row>
    <row r="100" spans="1:23" x14ac:dyDescent="0.3">
      <c r="A100" t="s">
        <v>467</v>
      </c>
      <c r="B100">
        <v>2025</v>
      </c>
      <c r="C100">
        <v>1</v>
      </c>
      <c r="D100" t="s">
        <v>219</v>
      </c>
      <c r="E100" t="s">
        <v>158</v>
      </c>
      <c r="F100">
        <v>166</v>
      </c>
      <c r="G100">
        <v>7</v>
      </c>
      <c r="H100">
        <v>20</v>
      </c>
      <c r="I100">
        <v>8.3000000000000007</v>
      </c>
      <c r="J100">
        <v>66</v>
      </c>
      <c r="K100">
        <v>1</v>
      </c>
      <c r="L100">
        <v>61</v>
      </c>
      <c r="M100">
        <v>4</v>
      </c>
      <c r="N100">
        <v>39</v>
      </c>
      <c r="O100">
        <v>2</v>
      </c>
      <c r="P100">
        <v>0</v>
      </c>
      <c r="Q100">
        <v>17</v>
      </c>
      <c r="R100">
        <v>7</v>
      </c>
      <c r="S100">
        <v>43</v>
      </c>
      <c r="T100" t="s">
        <v>541</v>
      </c>
      <c r="U100">
        <v>23</v>
      </c>
      <c r="V100">
        <v>0</v>
      </c>
      <c r="W100" t="s">
        <v>58</v>
      </c>
    </row>
    <row r="101" spans="1:23" x14ac:dyDescent="0.3">
      <c r="A101" t="s">
        <v>467</v>
      </c>
      <c r="B101">
        <v>2025</v>
      </c>
      <c r="C101">
        <v>2</v>
      </c>
      <c r="D101" t="s">
        <v>158</v>
      </c>
      <c r="E101" t="s">
        <v>219</v>
      </c>
      <c r="F101">
        <v>167</v>
      </c>
      <c r="G101">
        <v>3</v>
      </c>
      <c r="H101">
        <v>19.5</v>
      </c>
      <c r="I101">
        <v>8.42</v>
      </c>
      <c r="J101">
        <v>59</v>
      </c>
      <c r="K101">
        <v>0</v>
      </c>
      <c r="L101">
        <v>69</v>
      </c>
      <c r="M101">
        <v>3</v>
      </c>
      <c r="N101">
        <v>39</v>
      </c>
      <c r="O101">
        <v>0</v>
      </c>
      <c r="P101">
        <v>0</v>
      </c>
      <c r="Q101">
        <v>23</v>
      </c>
      <c r="R101">
        <v>1</v>
      </c>
      <c r="S101">
        <v>36</v>
      </c>
      <c r="T101" t="s">
        <v>60</v>
      </c>
      <c r="U101">
        <v>12</v>
      </c>
      <c r="V101">
        <v>8.3000000000000007</v>
      </c>
      <c r="W101" t="s">
        <v>216</v>
      </c>
    </row>
    <row r="102" spans="1:23" x14ac:dyDescent="0.3">
      <c r="A102" t="s">
        <v>468</v>
      </c>
      <c r="B102">
        <v>2025</v>
      </c>
      <c r="C102">
        <v>1</v>
      </c>
      <c r="D102" t="s">
        <v>159</v>
      </c>
      <c r="E102" t="s">
        <v>266</v>
      </c>
      <c r="F102">
        <v>167</v>
      </c>
      <c r="G102">
        <v>7</v>
      </c>
      <c r="H102">
        <v>20</v>
      </c>
      <c r="I102">
        <v>8.35</v>
      </c>
      <c r="J102">
        <v>54</v>
      </c>
      <c r="K102">
        <v>3</v>
      </c>
      <c r="L102">
        <v>68</v>
      </c>
      <c r="M102">
        <v>3</v>
      </c>
      <c r="N102">
        <v>45</v>
      </c>
      <c r="O102">
        <v>1</v>
      </c>
      <c r="P102">
        <v>0</v>
      </c>
      <c r="Q102">
        <v>20</v>
      </c>
      <c r="R102">
        <v>4</v>
      </c>
      <c r="S102">
        <v>36</v>
      </c>
      <c r="T102" t="s">
        <v>521</v>
      </c>
      <c r="U102">
        <v>12</v>
      </c>
      <c r="V102">
        <v>0</v>
      </c>
      <c r="W102" t="s">
        <v>58</v>
      </c>
    </row>
    <row r="103" spans="1:23" x14ac:dyDescent="0.3">
      <c r="A103" t="s">
        <v>468</v>
      </c>
      <c r="B103">
        <v>2025</v>
      </c>
      <c r="C103">
        <v>2</v>
      </c>
      <c r="D103" t="s">
        <v>266</v>
      </c>
      <c r="E103" t="s">
        <v>159</v>
      </c>
      <c r="F103">
        <v>170</v>
      </c>
      <c r="G103">
        <v>6</v>
      </c>
      <c r="H103">
        <v>19.5</v>
      </c>
      <c r="I103">
        <v>8.57</v>
      </c>
      <c r="J103">
        <v>66</v>
      </c>
      <c r="K103">
        <v>2</v>
      </c>
      <c r="L103">
        <v>68</v>
      </c>
      <c r="M103">
        <v>2</v>
      </c>
      <c r="N103">
        <v>36</v>
      </c>
      <c r="O103">
        <v>2</v>
      </c>
      <c r="P103">
        <v>0</v>
      </c>
      <c r="Q103">
        <v>25</v>
      </c>
      <c r="R103">
        <v>3</v>
      </c>
      <c r="S103">
        <v>49</v>
      </c>
      <c r="T103" t="s">
        <v>544</v>
      </c>
      <c r="U103">
        <v>17</v>
      </c>
      <c r="V103">
        <v>8.35</v>
      </c>
      <c r="W103" t="s">
        <v>216</v>
      </c>
    </row>
    <row r="104" spans="1:23" x14ac:dyDescent="0.3">
      <c r="A104" t="s">
        <v>469</v>
      </c>
      <c r="B104">
        <v>2025</v>
      </c>
      <c r="C104">
        <v>1</v>
      </c>
      <c r="D104" t="s">
        <v>219</v>
      </c>
      <c r="E104" t="s">
        <v>158</v>
      </c>
      <c r="F104">
        <v>177</v>
      </c>
      <c r="G104">
        <v>9</v>
      </c>
      <c r="H104">
        <v>20</v>
      </c>
      <c r="I104">
        <v>8.85</v>
      </c>
      <c r="J104">
        <v>38</v>
      </c>
      <c r="K104">
        <v>1</v>
      </c>
      <c r="L104">
        <v>72</v>
      </c>
      <c r="M104">
        <v>6</v>
      </c>
      <c r="N104">
        <v>67</v>
      </c>
      <c r="O104">
        <v>2</v>
      </c>
      <c r="P104">
        <v>0</v>
      </c>
      <c r="Q104">
        <v>15</v>
      </c>
      <c r="R104">
        <v>9</v>
      </c>
      <c r="S104">
        <v>57</v>
      </c>
      <c r="T104" t="s">
        <v>547</v>
      </c>
      <c r="U104">
        <v>24</v>
      </c>
      <c r="V104">
        <v>0</v>
      </c>
      <c r="W104" t="s">
        <v>58</v>
      </c>
    </row>
    <row r="105" spans="1:23" x14ac:dyDescent="0.3">
      <c r="A105" t="s">
        <v>469</v>
      </c>
      <c r="B105">
        <v>2025</v>
      </c>
      <c r="C105">
        <v>2</v>
      </c>
      <c r="D105" t="s">
        <v>158</v>
      </c>
      <c r="E105" t="s">
        <v>219</v>
      </c>
      <c r="F105">
        <v>144</v>
      </c>
      <c r="G105">
        <v>10</v>
      </c>
      <c r="H105">
        <v>19.3</v>
      </c>
      <c r="I105">
        <v>7.38</v>
      </c>
      <c r="J105">
        <v>37</v>
      </c>
      <c r="K105">
        <v>1</v>
      </c>
      <c r="L105">
        <v>75</v>
      </c>
      <c r="M105">
        <v>6</v>
      </c>
      <c r="N105">
        <v>32</v>
      </c>
      <c r="O105">
        <v>3</v>
      </c>
      <c r="P105">
        <v>0</v>
      </c>
      <c r="Q105">
        <v>20</v>
      </c>
      <c r="R105">
        <v>2</v>
      </c>
      <c r="S105">
        <v>63</v>
      </c>
      <c r="T105" t="s">
        <v>271</v>
      </c>
      <c r="U105">
        <v>19</v>
      </c>
      <c r="V105">
        <v>8.85</v>
      </c>
      <c r="W105" t="s">
        <v>59</v>
      </c>
    </row>
    <row r="106" spans="1:23" x14ac:dyDescent="0.3">
      <c r="A106" t="s">
        <v>470</v>
      </c>
      <c r="B106">
        <v>2025</v>
      </c>
      <c r="C106">
        <v>1</v>
      </c>
      <c r="D106" t="s">
        <v>159</v>
      </c>
      <c r="E106" t="s">
        <v>219</v>
      </c>
      <c r="F106">
        <v>180</v>
      </c>
      <c r="G106">
        <v>6</v>
      </c>
      <c r="H106">
        <v>20</v>
      </c>
      <c r="I106">
        <v>9</v>
      </c>
      <c r="J106">
        <v>42</v>
      </c>
      <c r="K106">
        <v>1</v>
      </c>
      <c r="L106">
        <v>94</v>
      </c>
      <c r="M106">
        <v>2</v>
      </c>
      <c r="N106">
        <v>44</v>
      </c>
      <c r="O106">
        <v>3</v>
      </c>
      <c r="P106">
        <v>4</v>
      </c>
      <c r="Q106">
        <v>18</v>
      </c>
      <c r="R106">
        <v>6</v>
      </c>
      <c r="S106">
        <v>45</v>
      </c>
      <c r="T106" t="s">
        <v>550</v>
      </c>
      <c r="U106">
        <v>16</v>
      </c>
      <c r="V106">
        <v>0</v>
      </c>
      <c r="W106" t="s">
        <v>58</v>
      </c>
    </row>
    <row r="107" spans="1:23" x14ac:dyDescent="0.3">
      <c r="A107" t="s">
        <v>470</v>
      </c>
      <c r="B107">
        <v>2025</v>
      </c>
      <c r="C107">
        <v>2</v>
      </c>
      <c r="D107" t="s">
        <v>219</v>
      </c>
      <c r="E107" t="s">
        <v>159</v>
      </c>
      <c r="F107">
        <v>190</v>
      </c>
      <c r="G107">
        <v>10</v>
      </c>
      <c r="H107">
        <v>20</v>
      </c>
      <c r="I107">
        <v>9</v>
      </c>
      <c r="J107">
        <v>57</v>
      </c>
      <c r="K107">
        <v>3</v>
      </c>
      <c r="L107">
        <v>76</v>
      </c>
      <c r="M107">
        <v>4</v>
      </c>
      <c r="N107">
        <v>47</v>
      </c>
      <c r="O107">
        <v>3</v>
      </c>
      <c r="P107">
        <v>8</v>
      </c>
      <c r="Q107">
        <v>19</v>
      </c>
      <c r="R107">
        <v>8</v>
      </c>
      <c r="S107">
        <v>53</v>
      </c>
      <c r="T107" t="s">
        <v>254</v>
      </c>
      <c r="U107">
        <v>17</v>
      </c>
      <c r="V107">
        <v>9</v>
      </c>
      <c r="W107" t="s">
        <v>216</v>
      </c>
    </row>
    <row r="108" spans="1:23" x14ac:dyDescent="0.3">
      <c r="A108" t="s">
        <v>471</v>
      </c>
      <c r="B108">
        <v>2025</v>
      </c>
      <c r="C108">
        <v>1</v>
      </c>
      <c r="D108" t="s">
        <v>258</v>
      </c>
      <c r="E108" t="s">
        <v>158</v>
      </c>
      <c r="F108">
        <v>127</v>
      </c>
      <c r="G108">
        <v>9</v>
      </c>
      <c r="H108">
        <v>20</v>
      </c>
      <c r="I108">
        <v>6.35</v>
      </c>
      <c r="J108">
        <v>31</v>
      </c>
      <c r="K108">
        <v>4</v>
      </c>
      <c r="L108">
        <v>69</v>
      </c>
      <c r="M108">
        <v>2</v>
      </c>
      <c r="N108">
        <v>27</v>
      </c>
      <c r="O108">
        <v>3</v>
      </c>
      <c r="P108">
        <v>0</v>
      </c>
      <c r="Q108">
        <v>14</v>
      </c>
      <c r="R108">
        <v>2</v>
      </c>
      <c r="S108">
        <v>64</v>
      </c>
      <c r="T108" t="s">
        <v>552</v>
      </c>
      <c r="U108">
        <v>14</v>
      </c>
      <c r="V108">
        <v>0</v>
      </c>
      <c r="W108" t="s">
        <v>58</v>
      </c>
    </row>
    <row r="109" spans="1:23" x14ac:dyDescent="0.3">
      <c r="A109" t="s">
        <v>471</v>
      </c>
      <c r="B109">
        <v>2025</v>
      </c>
      <c r="C109">
        <v>2</v>
      </c>
      <c r="D109" t="s">
        <v>158</v>
      </c>
      <c r="E109" t="s">
        <v>258</v>
      </c>
      <c r="F109">
        <v>131</v>
      </c>
      <c r="G109">
        <v>4</v>
      </c>
      <c r="H109">
        <v>15.1</v>
      </c>
      <c r="I109">
        <v>8.64</v>
      </c>
      <c r="J109">
        <v>46</v>
      </c>
      <c r="K109">
        <v>1</v>
      </c>
      <c r="L109">
        <v>85</v>
      </c>
      <c r="M109">
        <v>3</v>
      </c>
      <c r="N109">
        <v>0</v>
      </c>
      <c r="O109">
        <v>0</v>
      </c>
      <c r="P109">
        <v>0</v>
      </c>
      <c r="Q109">
        <v>15</v>
      </c>
      <c r="R109">
        <v>5</v>
      </c>
      <c r="S109">
        <v>43</v>
      </c>
      <c r="T109" t="s">
        <v>553</v>
      </c>
      <c r="U109">
        <v>14</v>
      </c>
      <c r="V109">
        <v>6.35</v>
      </c>
      <c r="W109" t="s">
        <v>216</v>
      </c>
    </row>
    <row r="110" spans="1:23" x14ac:dyDescent="0.3">
      <c r="A110" t="s">
        <v>472</v>
      </c>
      <c r="B110">
        <v>2025</v>
      </c>
      <c r="C110">
        <v>1</v>
      </c>
      <c r="D110" t="s">
        <v>219</v>
      </c>
      <c r="E110" t="s">
        <v>266</v>
      </c>
      <c r="F110">
        <v>142</v>
      </c>
      <c r="G110">
        <v>9</v>
      </c>
      <c r="H110">
        <v>20</v>
      </c>
      <c r="I110">
        <v>7.1</v>
      </c>
      <c r="J110">
        <v>62</v>
      </c>
      <c r="K110">
        <v>1</v>
      </c>
      <c r="L110">
        <v>57</v>
      </c>
      <c r="M110">
        <v>5</v>
      </c>
      <c r="N110">
        <v>23</v>
      </c>
      <c r="O110">
        <v>3</v>
      </c>
      <c r="P110">
        <v>0</v>
      </c>
      <c r="Q110">
        <v>15</v>
      </c>
      <c r="R110">
        <v>3</v>
      </c>
      <c r="S110">
        <v>52</v>
      </c>
      <c r="T110" t="s">
        <v>554</v>
      </c>
      <c r="U110">
        <v>20</v>
      </c>
      <c r="V110">
        <v>0</v>
      </c>
      <c r="W110" t="s">
        <v>58</v>
      </c>
    </row>
    <row r="111" spans="1:23" x14ac:dyDescent="0.3">
      <c r="A111" t="s">
        <v>472</v>
      </c>
      <c r="B111">
        <v>2025</v>
      </c>
      <c r="C111">
        <v>2</v>
      </c>
      <c r="D111" t="s">
        <v>266</v>
      </c>
      <c r="E111" t="s">
        <v>219</v>
      </c>
      <c r="F111">
        <v>143</v>
      </c>
      <c r="G111">
        <v>2</v>
      </c>
      <c r="H111">
        <v>17</v>
      </c>
      <c r="I111">
        <v>8.41</v>
      </c>
      <c r="J111">
        <v>33</v>
      </c>
      <c r="K111">
        <v>1</v>
      </c>
      <c r="L111">
        <v>103</v>
      </c>
      <c r="M111">
        <v>0</v>
      </c>
      <c r="N111">
        <v>7</v>
      </c>
      <c r="O111">
        <v>1</v>
      </c>
      <c r="P111">
        <v>0</v>
      </c>
      <c r="Q111">
        <v>21</v>
      </c>
      <c r="R111">
        <v>2</v>
      </c>
      <c r="S111">
        <v>43</v>
      </c>
      <c r="T111" t="s">
        <v>555</v>
      </c>
      <c r="U111">
        <v>22</v>
      </c>
      <c r="V111">
        <v>7.1</v>
      </c>
      <c r="W111" t="s">
        <v>216</v>
      </c>
    </row>
    <row r="112" spans="1:23" x14ac:dyDescent="0.3">
      <c r="A112" t="s">
        <v>473</v>
      </c>
      <c r="B112">
        <v>2025</v>
      </c>
      <c r="C112">
        <v>1</v>
      </c>
      <c r="D112" t="s">
        <v>159</v>
      </c>
      <c r="E112" t="s">
        <v>258</v>
      </c>
      <c r="F112">
        <v>125</v>
      </c>
      <c r="G112">
        <v>7</v>
      </c>
      <c r="H112">
        <v>20</v>
      </c>
      <c r="I112">
        <v>6.25</v>
      </c>
      <c r="J112">
        <v>26</v>
      </c>
      <c r="K112">
        <v>3</v>
      </c>
      <c r="L112">
        <v>73</v>
      </c>
      <c r="M112">
        <v>3</v>
      </c>
      <c r="N112">
        <v>26</v>
      </c>
      <c r="O112">
        <v>1</v>
      </c>
      <c r="P112">
        <v>0</v>
      </c>
      <c r="Q112">
        <v>6</v>
      </c>
      <c r="R112">
        <v>4</v>
      </c>
      <c r="S112">
        <v>58</v>
      </c>
      <c r="T112" t="s">
        <v>557</v>
      </c>
      <c r="U112">
        <v>18</v>
      </c>
      <c r="V112">
        <v>0</v>
      </c>
      <c r="W112" t="s">
        <v>58</v>
      </c>
    </row>
    <row r="113" spans="1:23" x14ac:dyDescent="0.3">
      <c r="A113" t="s">
        <v>473</v>
      </c>
      <c r="B113">
        <v>2025</v>
      </c>
      <c r="C113">
        <v>2</v>
      </c>
      <c r="D113" t="s">
        <v>258</v>
      </c>
      <c r="E113" t="s">
        <v>159</v>
      </c>
      <c r="F113">
        <v>126</v>
      </c>
      <c r="G113">
        <v>4</v>
      </c>
      <c r="H113">
        <v>16.3</v>
      </c>
      <c r="I113">
        <v>7.64</v>
      </c>
      <c r="J113">
        <v>30</v>
      </c>
      <c r="K113">
        <v>1</v>
      </c>
      <c r="L113">
        <v>88</v>
      </c>
      <c r="M113">
        <v>3</v>
      </c>
      <c r="N113">
        <v>8</v>
      </c>
      <c r="O113">
        <v>0</v>
      </c>
      <c r="P113">
        <v>0</v>
      </c>
      <c r="Q113">
        <v>13</v>
      </c>
      <c r="R113">
        <v>4</v>
      </c>
      <c r="S113">
        <v>47</v>
      </c>
      <c r="T113" t="s">
        <v>57</v>
      </c>
      <c r="U113">
        <v>19</v>
      </c>
      <c r="V113">
        <v>6.25</v>
      </c>
      <c r="W113" t="s">
        <v>216</v>
      </c>
    </row>
    <row r="114" spans="1:23" x14ac:dyDescent="0.3">
      <c r="A114" t="s">
        <v>474</v>
      </c>
      <c r="B114">
        <v>2025</v>
      </c>
      <c r="C114">
        <v>1</v>
      </c>
      <c r="D114" t="s">
        <v>266</v>
      </c>
      <c r="E114" t="s">
        <v>158</v>
      </c>
      <c r="F114">
        <v>123</v>
      </c>
      <c r="G114">
        <v>9</v>
      </c>
      <c r="H114">
        <v>20</v>
      </c>
      <c r="I114">
        <v>6.15</v>
      </c>
      <c r="J114">
        <v>35</v>
      </c>
      <c r="K114">
        <v>1</v>
      </c>
      <c r="L114">
        <v>65</v>
      </c>
      <c r="M114">
        <v>3</v>
      </c>
      <c r="N114">
        <v>23</v>
      </c>
      <c r="O114">
        <v>5</v>
      </c>
      <c r="P114">
        <v>0</v>
      </c>
      <c r="Q114">
        <v>13</v>
      </c>
      <c r="R114">
        <v>2</v>
      </c>
      <c r="S114">
        <v>69</v>
      </c>
      <c r="T114" t="s">
        <v>559</v>
      </c>
      <c r="U114">
        <v>18</v>
      </c>
      <c r="V114">
        <v>0</v>
      </c>
      <c r="W114" t="s">
        <v>58</v>
      </c>
    </row>
    <row r="115" spans="1:23" x14ac:dyDescent="0.3">
      <c r="A115" t="s">
        <v>474</v>
      </c>
      <c r="B115">
        <v>2025</v>
      </c>
      <c r="C115">
        <v>2</v>
      </c>
      <c r="D115" t="s">
        <v>158</v>
      </c>
      <c r="E115" t="s">
        <v>266</v>
      </c>
      <c r="F115">
        <v>124</v>
      </c>
      <c r="G115">
        <v>1</v>
      </c>
      <c r="H115">
        <v>14.3</v>
      </c>
      <c r="I115">
        <v>8.5500000000000007</v>
      </c>
      <c r="J115">
        <v>57</v>
      </c>
      <c r="K115">
        <v>0</v>
      </c>
      <c r="L115">
        <v>67</v>
      </c>
      <c r="M115">
        <v>1</v>
      </c>
      <c r="N115">
        <v>0</v>
      </c>
      <c r="O115">
        <v>0</v>
      </c>
      <c r="P115">
        <v>0</v>
      </c>
      <c r="Q115">
        <v>15</v>
      </c>
      <c r="R115">
        <v>3</v>
      </c>
      <c r="S115">
        <v>35</v>
      </c>
      <c r="T115" t="s">
        <v>421</v>
      </c>
      <c r="U115">
        <v>16</v>
      </c>
      <c r="V115">
        <v>6.15</v>
      </c>
      <c r="W115" t="s">
        <v>216</v>
      </c>
    </row>
    <row r="116" spans="1:23" x14ac:dyDescent="0.3">
      <c r="A116" t="s">
        <v>475</v>
      </c>
      <c r="B116">
        <v>2025</v>
      </c>
      <c r="C116">
        <v>1</v>
      </c>
      <c r="D116" t="s">
        <v>159</v>
      </c>
      <c r="E116" t="s">
        <v>158</v>
      </c>
      <c r="F116">
        <v>147</v>
      </c>
      <c r="G116">
        <v>5</v>
      </c>
      <c r="H116">
        <v>20</v>
      </c>
      <c r="I116">
        <v>7.35</v>
      </c>
      <c r="J116">
        <v>45</v>
      </c>
      <c r="K116">
        <v>1</v>
      </c>
      <c r="L116">
        <v>74</v>
      </c>
      <c r="M116">
        <v>1</v>
      </c>
      <c r="N116">
        <v>28</v>
      </c>
      <c r="O116">
        <v>3</v>
      </c>
      <c r="P116">
        <v>0</v>
      </c>
      <c r="Q116">
        <v>8</v>
      </c>
      <c r="R116">
        <v>6</v>
      </c>
      <c r="S116">
        <v>54</v>
      </c>
      <c r="T116" t="s">
        <v>562</v>
      </c>
      <c r="U116">
        <v>15</v>
      </c>
      <c r="V116">
        <v>0</v>
      </c>
      <c r="W116" t="s">
        <v>58</v>
      </c>
    </row>
    <row r="117" spans="1:23" x14ac:dyDescent="0.3">
      <c r="A117" t="s">
        <v>475</v>
      </c>
      <c r="B117">
        <v>2025</v>
      </c>
      <c r="C117">
        <v>2</v>
      </c>
      <c r="D117" t="s">
        <v>158</v>
      </c>
      <c r="E117" t="s">
        <v>159</v>
      </c>
      <c r="F117">
        <v>151</v>
      </c>
      <c r="G117">
        <v>1</v>
      </c>
      <c r="H117">
        <v>15.3</v>
      </c>
      <c r="I117">
        <v>9.74</v>
      </c>
      <c r="J117">
        <v>41</v>
      </c>
      <c r="K117">
        <v>1</v>
      </c>
      <c r="L117">
        <v>110</v>
      </c>
      <c r="M117">
        <v>0</v>
      </c>
      <c r="N117">
        <v>0</v>
      </c>
      <c r="O117">
        <v>0</v>
      </c>
      <c r="P117">
        <v>0</v>
      </c>
      <c r="Q117">
        <v>17</v>
      </c>
      <c r="R117">
        <v>5</v>
      </c>
      <c r="S117">
        <v>32</v>
      </c>
      <c r="T117" t="s">
        <v>561</v>
      </c>
      <c r="U117">
        <v>15</v>
      </c>
      <c r="V117">
        <v>7.35</v>
      </c>
      <c r="W117" t="s">
        <v>216</v>
      </c>
    </row>
    <row r="118" spans="1:23" x14ac:dyDescent="0.3">
      <c r="A118" t="s">
        <v>476</v>
      </c>
      <c r="B118">
        <v>2025</v>
      </c>
      <c r="C118">
        <v>1</v>
      </c>
      <c r="D118" t="s">
        <v>258</v>
      </c>
      <c r="E118" t="s">
        <v>219</v>
      </c>
      <c r="F118">
        <v>186</v>
      </c>
      <c r="G118">
        <v>5</v>
      </c>
      <c r="H118">
        <v>20</v>
      </c>
      <c r="I118">
        <v>9.3000000000000007</v>
      </c>
      <c r="J118">
        <v>40</v>
      </c>
      <c r="K118">
        <v>1</v>
      </c>
      <c r="L118">
        <v>104</v>
      </c>
      <c r="M118">
        <v>1</v>
      </c>
      <c r="N118">
        <v>42</v>
      </c>
      <c r="O118">
        <v>3</v>
      </c>
      <c r="P118">
        <v>0</v>
      </c>
      <c r="Q118">
        <v>27</v>
      </c>
      <c r="R118">
        <v>1</v>
      </c>
      <c r="S118">
        <v>39</v>
      </c>
      <c r="T118" t="s">
        <v>343</v>
      </c>
      <c r="U118">
        <v>16</v>
      </c>
      <c r="V118">
        <v>0</v>
      </c>
      <c r="W118" t="s">
        <v>58</v>
      </c>
    </row>
    <row r="119" spans="1:23" x14ac:dyDescent="0.3">
      <c r="A119" t="s">
        <v>476</v>
      </c>
      <c r="B119">
        <v>2025</v>
      </c>
      <c r="C119">
        <v>2</v>
      </c>
      <c r="D119" t="s">
        <v>219</v>
      </c>
      <c r="E119" t="s">
        <v>258</v>
      </c>
      <c r="F119">
        <v>105</v>
      </c>
      <c r="G119">
        <v>10</v>
      </c>
      <c r="H119">
        <v>17.100000000000001</v>
      </c>
      <c r="I119">
        <v>6.12</v>
      </c>
      <c r="J119">
        <v>29</v>
      </c>
      <c r="K119">
        <v>4</v>
      </c>
      <c r="L119">
        <v>71</v>
      </c>
      <c r="M119">
        <v>3</v>
      </c>
      <c r="N119">
        <v>5</v>
      </c>
      <c r="O119">
        <v>3</v>
      </c>
      <c r="P119">
        <v>0</v>
      </c>
      <c r="Q119">
        <v>7</v>
      </c>
      <c r="R119">
        <v>3</v>
      </c>
      <c r="S119">
        <v>58</v>
      </c>
      <c r="T119" t="s">
        <v>566</v>
      </c>
      <c r="U119">
        <v>17</v>
      </c>
      <c r="V119">
        <v>9.3000000000000007</v>
      </c>
      <c r="W119" t="s">
        <v>59</v>
      </c>
    </row>
    <row r="120" spans="1:23" x14ac:dyDescent="0.3">
      <c r="A120" t="s">
        <v>477</v>
      </c>
      <c r="B120">
        <v>2025</v>
      </c>
      <c r="C120">
        <v>1</v>
      </c>
      <c r="D120" t="s">
        <v>219</v>
      </c>
      <c r="E120" t="s">
        <v>266</v>
      </c>
      <c r="F120">
        <v>150</v>
      </c>
      <c r="G120">
        <v>9</v>
      </c>
      <c r="H120">
        <v>20</v>
      </c>
      <c r="I120">
        <v>7.5</v>
      </c>
      <c r="J120">
        <v>50</v>
      </c>
      <c r="K120">
        <v>0</v>
      </c>
      <c r="L120">
        <v>71</v>
      </c>
      <c r="M120">
        <v>6</v>
      </c>
      <c r="N120">
        <v>29</v>
      </c>
      <c r="O120">
        <v>3</v>
      </c>
      <c r="P120">
        <v>0</v>
      </c>
      <c r="Q120">
        <v>21</v>
      </c>
      <c r="R120">
        <v>2</v>
      </c>
      <c r="S120">
        <v>56</v>
      </c>
      <c r="T120" t="s">
        <v>307</v>
      </c>
      <c r="U120">
        <v>12</v>
      </c>
      <c r="V120">
        <v>0</v>
      </c>
      <c r="W120" t="s">
        <v>58</v>
      </c>
    </row>
    <row r="121" spans="1:23" x14ac:dyDescent="0.3">
      <c r="A121" t="s">
        <v>477</v>
      </c>
      <c r="B121">
        <v>2025</v>
      </c>
      <c r="C121">
        <v>2</v>
      </c>
      <c r="D121" t="s">
        <v>266</v>
      </c>
      <c r="E121" t="s">
        <v>219</v>
      </c>
      <c r="F121">
        <v>153</v>
      </c>
      <c r="G121">
        <v>4</v>
      </c>
      <c r="H121">
        <v>18.3</v>
      </c>
      <c r="I121">
        <v>8.27</v>
      </c>
      <c r="J121">
        <v>50</v>
      </c>
      <c r="K121">
        <v>1</v>
      </c>
      <c r="L121">
        <v>86</v>
      </c>
      <c r="M121">
        <v>2</v>
      </c>
      <c r="N121">
        <v>17</v>
      </c>
      <c r="O121">
        <v>1</v>
      </c>
      <c r="P121">
        <v>0</v>
      </c>
      <c r="Q121">
        <v>20</v>
      </c>
      <c r="R121">
        <v>2</v>
      </c>
      <c r="S121">
        <v>48</v>
      </c>
      <c r="T121" t="s">
        <v>570</v>
      </c>
      <c r="U121">
        <v>16</v>
      </c>
      <c r="V121">
        <v>7.5</v>
      </c>
      <c r="W121" t="s">
        <v>216</v>
      </c>
    </row>
    <row r="122" spans="1:23" x14ac:dyDescent="0.3">
      <c r="A122" t="s">
        <v>478</v>
      </c>
      <c r="B122">
        <v>2025</v>
      </c>
      <c r="C122">
        <v>1</v>
      </c>
      <c r="D122" t="s">
        <v>158</v>
      </c>
      <c r="E122" t="s">
        <v>258</v>
      </c>
      <c r="F122">
        <v>177</v>
      </c>
      <c r="G122">
        <v>5</v>
      </c>
      <c r="H122">
        <v>20</v>
      </c>
      <c r="I122">
        <v>8.85</v>
      </c>
      <c r="J122">
        <v>51</v>
      </c>
      <c r="K122">
        <v>0</v>
      </c>
      <c r="L122">
        <v>84</v>
      </c>
      <c r="M122">
        <v>3</v>
      </c>
      <c r="N122">
        <v>42</v>
      </c>
      <c r="O122">
        <v>2</v>
      </c>
      <c r="P122">
        <v>0</v>
      </c>
      <c r="Q122">
        <v>22</v>
      </c>
      <c r="R122">
        <v>5</v>
      </c>
      <c r="S122">
        <v>46</v>
      </c>
      <c r="T122" t="s">
        <v>572</v>
      </c>
      <c r="U122">
        <v>16</v>
      </c>
      <c r="V122">
        <v>0</v>
      </c>
      <c r="W122" t="s">
        <v>58</v>
      </c>
    </row>
    <row r="123" spans="1:23" x14ac:dyDescent="0.3">
      <c r="A123" t="s">
        <v>478</v>
      </c>
      <c r="B123">
        <v>2025</v>
      </c>
      <c r="C123">
        <v>2</v>
      </c>
      <c r="D123" t="s">
        <v>258</v>
      </c>
      <c r="E123" t="s">
        <v>158</v>
      </c>
      <c r="F123">
        <v>178</v>
      </c>
      <c r="G123">
        <v>5</v>
      </c>
      <c r="H123">
        <v>19.3</v>
      </c>
      <c r="I123">
        <v>9.1300000000000008</v>
      </c>
      <c r="J123">
        <v>38</v>
      </c>
      <c r="K123">
        <v>1</v>
      </c>
      <c r="L123">
        <v>98</v>
      </c>
      <c r="M123">
        <v>2</v>
      </c>
      <c r="N123">
        <v>42</v>
      </c>
      <c r="O123">
        <v>2</v>
      </c>
      <c r="P123">
        <v>0</v>
      </c>
      <c r="Q123">
        <v>18</v>
      </c>
      <c r="R123">
        <v>6</v>
      </c>
      <c r="S123">
        <v>41</v>
      </c>
      <c r="T123" t="s">
        <v>573</v>
      </c>
      <c r="U123">
        <v>16</v>
      </c>
      <c r="V123">
        <v>8.85</v>
      </c>
      <c r="W123" t="s">
        <v>216</v>
      </c>
    </row>
    <row r="124" spans="1:23" x14ac:dyDescent="0.3">
      <c r="A124" t="s">
        <v>479</v>
      </c>
      <c r="B124">
        <v>2025</v>
      </c>
      <c r="C124">
        <v>1</v>
      </c>
      <c r="D124" t="s">
        <v>219</v>
      </c>
      <c r="E124" t="s">
        <v>159</v>
      </c>
      <c r="F124">
        <v>225</v>
      </c>
      <c r="G124">
        <v>5</v>
      </c>
      <c r="H124">
        <v>20</v>
      </c>
      <c r="I124">
        <v>11.25</v>
      </c>
      <c r="J124">
        <v>67</v>
      </c>
      <c r="K124">
        <v>0</v>
      </c>
      <c r="L124">
        <v>121</v>
      </c>
      <c r="M124">
        <v>2</v>
      </c>
      <c r="N124">
        <v>37</v>
      </c>
      <c r="O124">
        <v>3</v>
      </c>
      <c r="P124">
        <v>0</v>
      </c>
      <c r="Q124">
        <v>32</v>
      </c>
      <c r="R124">
        <v>7</v>
      </c>
      <c r="S124">
        <v>40</v>
      </c>
      <c r="T124" t="s">
        <v>554</v>
      </c>
      <c r="U124">
        <v>22</v>
      </c>
      <c r="V124">
        <v>0</v>
      </c>
      <c r="W124" t="s">
        <v>58</v>
      </c>
    </row>
    <row r="125" spans="1:23" x14ac:dyDescent="0.3">
      <c r="A125" t="s">
        <v>479</v>
      </c>
      <c r="B125">
        <v>2025</v>
      </c>
      <c r="C125">
        <v>2</v>
      </c>
      <c r="D125" t="s">
        <v>159</v>
      </c>
      <c r="E125" t="s">
        <v>219</v>
      </c>
      <c r="F125">
        <v>213</v>
      </c>
      <c r="G125">
        <v>10</v>
      </c>
      <c r="H125">
        <v>19.3</v>
      </c>
      <c r="I125">
        <v>10.92</v>
      </c>
      <c r="J125">
        <v>70</v>
      </c>
      <c r="K125">
        <v>2</v>
      </c>
      <c r="L125">
        <v>99</v>
      </c>
      <c r="M125">
        <v>3</v>
      </c>
      <c r="N125">
        <v>44</v>
      </c>
      <c r="O125">
        <v>5</v>
      </c>
      <c r="P125">
        <v>0</v>
      </c>
      <c r="Q125">
        <v>21</v>
      </c>
      <c r="R125">
        <v>11</v>
      </c>
      <c r="S125">
        <v>41</v>
      </c>
      <c r="T125" t="s">
        <v>575</v>
      </c>
      <c r="U125">
        <v>28</v>
      </c>
      <c r="V125">
        <v>11.25</v>
      </c>
      <c r="W125" t="s">
        <v>59</v>
      </c>
    </row>
    <row r="126" spans="1:23" x14ac:dyDescent="0.3">
      <c r="A126" t="s">
        <v>480</v>
      </c>
      <c r="B126">
        <v>2025</v>
      </c>
      <c r="C126">
        <v>1</v>
      </c>
      <c r="D126" t="s">
        <v>266</v>
      </c>
      <c r="E126" t="s">
        <v>258</v>
      </c>
      <c r="F126">
        <v>179</v>
      </c>
      <c r="G126">
        <v>6</v>
      </c>
      <c r="H126">
        <v>20</v>
      </c>
      <c r="I126">
        <v>8.9499999999999993</v>
      </c>
      <c r="J126">
        <v>44</v>
      </c>
      <c r="K126">
        <v>1</v>
      </c>
      <c r="L126">
        <v>80</v>
      </c>
      <c r="M126">
        <v>2</v>
      </c>
      <c r="N126">
        <v>55</v>
      </c>
      <c r="O126">
        <v>3</v>
      </c>
      <c r="P126">
        <v>0</v>
      </c>
      <c r="Q126">
        <v>25</v>
      </c>
      <c r="R126">
        <v>4</v>
      </c>
      <c r="S126">
        <v>42</v>
      </c>
      <c r="T126" t="s">
        <v>451</v>
      </c>
      <c r="U126">
        <v>17</v>
      </c>
      <c r="V126">
        <v>0</v>
      </c>
      <c r="W126" t="s">
        <v>58</v>
      </c>
    </row>
    <row r="127" spans="1:23" x14ac:dyDescent="0.3">
      <c r="A127" t="s">
        <v>480</v>
      </c>
      <c r="B127">
        <v>2025</v>
      </c>
      <c r="C127">
        <v>2</v>
      </c>
      <c r="D127" t="s">
        <v>258</v>
      </c>
      <c r="E127" t="s">
        <v>266</v>
      </c>
      <c r="F127">
        <v>170</v>
      </c>
      <c r="G127">
        <v>10</v>
      </c>
      <c r="H127">
        <v>20</v>
      </c>
      <c r="I127">
        <v>8.5</v>
      </c>
      <c r="J127">
        <v>40</v>
      </c>
      <c r="K127">
        <v>2</v>
      </c>
      <c r="L127">
        <v>85</v>
      </c>
      <c r="M127">
        <v>4</v>
      </c>
      <c r="N127">
        <v>45</v>
      </c>
      <c r="O127">
        <v>4</v>
      </c>
      <c r="P127">
        <v>0</v>
      </c>
      <c r="Q127">
        <v>24</v>
      </c>
      <c r="R127">
        <v>5</v>
      </c>
      <c r="S127">
        <v>46</v>
      </c>
      <c r="T127" t="s">
        <v>594</v>
      </c>
      <c r="U127">
        <v>17</v>
      </c>
      <c r="V127">
        <v>8.9499999999999993</v>
      </c>
      <c r="W127" t="s">
        <v>59</v>
      </c>
    </row>
    <row r="128" spans="1:23" x14ac:dyDescent="0.3">
      <c r="A128" t="s">
        <v>481</v>
      </c>
      <c r="B128">
        <v>2025</v>
      </c>
      <c r="C128">
        <v>1</v>
      </c>
      <c r="D128" t="s">
        <v>159</v>
      </c>
      <c r="E128" t="s">
        <v>266</v>
      </c>
      <c r="F128">
        <v>199</v>
      </c>
      <c r="G128">
        <v>3</v>
      </c>
      <c r="H128">
        <v>20</v>
      </c>
      <c r="I128">
        <v>9.9499999999999993</v>
      </c>
      <c r="J128">
        <v>53</v>
      </c>
      <c r="K128">
        <v>1</v>
      </c>
      <c r="L128">
        <v>81</v>
      </c>
      <c r="M128">
        <v>1</v>
      </c>
      <c r="N128">
        <v>65</v>
      </c>
      <c r="O128">
        <v>1</v>
      </c>
      <c r="P128">
        <v>0</v>
      </c>
      <c r="Q128">
        <v>25</v>
      </c>
      <c r="R128">
        <v>7</v>
      </c>
      <c r="S128">
        <v>38</v>
      </c>
      <c r="T128" t="s">
        <v>164</v>
      </c>
      <c r="U128">
        <v>22</v>
      </c>
      <c r="V128">
        <v>0</v>
      </c>
      <c r="W128" t="s">
        <v>58</v>
      </c>
    </row>
    <row r="129" spans="1:23" x14ac:dyDescent="0.3">
      <c r="A129" t="s">
        <v>481</v>
      </c>
      <c r="B129">
        <v>2025</v>
      </c>
      <c r="C129">
        <v>2</v>
      </c>
      <c r="D129" t="s">
        <v>266</v>
      </c>
      <c r="E129" t="s">
        <v>159</v>
      </c>
      <c r="F129">
        <v>188</v>
      </c>
      <c r="G129">
        <v>9</v>
      </c>
      <c r="H129">
        <v>20</v>
      </c>
      <c r="I129">
        <v>9.4</v>
      </c>
      <c r="J129">
        <v>45</v>
      </c>
      <c r="K129">
        <v>2</v>
      </c>
      <c r="L129">
        <v>89</v>
      </c>
      <c r="M129">
        <v>3</v>
      </c>
      <c r="N129">
        <v>54</v>
      </c>
      <c r="O129">
        <v>4</v>
      </c>
      <c r="P129">
        <v>0</v>
      </c>
      <c r="Q129">
        <v>23</v>
      </c>
      <c r="R129">
        <v>4</v>
      </c>
      <c r="S129">
        <v>38</v>
      </c>
      <c r="T129" t="s">
        <v>595</v>
      </c>
      <c r="U129">
        <v>16</v>
      </c>
      <c r="V129">
        <v>9.9499999999999993</v>
      </c>
      <c r="W129" t="s">
        <v>59</v>
      </c>
    </row>
    <row r="130" spans="1:23" x14ac:dyDescent="0.3">
      <c r="A130" t="s">
        <v>482</v>
      </c>
      <c r="B130">
        <v>2025</v>
      </c>
      <c r="C130">
        <v>1</v>
      </c>
      <c r="D130" t="s">
        <v>266</v>
      </c>
      <c r="E130" t="s">
        <v>258</v>
      </c>
      <c r="F130">
        <v>213</v>
      </c>
      <c r="G130">
        <v>4</v>
      </c>
      <c r="H130">
        <v>20</v>
      </c>
      <c r="I130">
        <v>10.65</v>
      </c>
      <c r="J130">
        <v>37</v>
      </c>
      <c r="K130">
        <v>1</v>
      </c>
      <c r="L130">
        <v>122</v>
      </c>
      <c r="M130">
        <v>0</v>
      </c>
      <c r="N130">
        <v>54</v>
      </c>
      <c r="O130">
        <v>3</v>
      </c>
      <c r="P130">
        <v>0</v>
      </c>
      <c r="Q130">
        <v>25</v>
      </c>
      <c r="R130">
        <v>9</v>
      </c>
      <c r="S130">
        <v>31</v>
      </c>
      <c r="T130" t="s">
        <v>541</v>
      </c>
      <c r="U130">
        <v>22</v>
      </c>
      <c r="V130">
        <v>0</v>
      </c>
      <c r="W130" t="s">
        <v>58</v>
      </c>
    </row>
    <row r="131" spans="1:23" x14ac:dyDescent="0.3">
      <c r="A131" t="s">
        <v>482</v>
      </c>
      <c r="B131">
        <v>2025</v>
      </c>
      <c r="C131">
        <v>2</v>
      </c>
      <c r="D131" t="s">
        <v>258</v>
      </c>
      <c r="E131" t="s">
        <v>266</v>
      </c>
      <c r="F131">
        <v>166</v>
      </c>
      <c r="G131">
        <v>10</v>
      </c>
      <c r="H131">
        <v>19.2</v>
      </c>
      <c r="I131">
        <v>8.59</v>
      </c>
      <c r="J131">
        <v>46</v>
      </c>
      <c r="K131">
        <v>3</v>
      </c>
      <c r="L131">
        <v>99</v>
      </c>
      <c r="M131">
        <v>4</v>
      </c>
      <c r="N131">
        <v>21</v>
      </c>
      <c r="O131">
        <v>3</v>
      </c>
      <c r="P131">
        <v>0</v>
      </c>
      <c r="Q131">
        <v>20</v>
      </c>
      <c r="R131">
        <v>5</v>
      </c>
      <c r="S131">
        <v>44</v>
      </c>
      <c r="T131" t="s">
        <v>254</v>
      </c>
      <c r="U131">
        <v>19</v>
      </c>
      <c r="V131">
        <v>10.65</v>
      </c>
      <c r="W131" t="s">
        <v>59</v>
      </c>
    </row>
    <row r="132" spans="1:23" x14ac:dyDescent="0.3">
      <c r="A132" t="s">
        <v>483</v>
      </c>
      <c r="B132">
        <v>2025</v>
      </c>
      <c r="C132">
        <v>1</v>
      </c>
      <c r="D132" t="s">
        <v>266</v>
      </c>
      <c r="E132" t="s">
        <v>158</v>
      </c>
      <c r="F132">
        <v>149</v>
      </c>
      <c r="G132">
        <v>7</v>
      </c>
      <c r="H132">
        <v>20</v>
      </c>
      <c r="I132">
        <v>7.45</v>
      </c>
      <c r="J132">
        <v>20</v>
      </c>
      <c r="K132">
        <v>2</v>
      </c>
      <c r="L132">
        <v>92</v>
      </c>
      <c r="M132">
        <v>3</v>
      </c>
      <c r="N132">
        <v>37</v>
      </c>
      <c r="O132">
        <v>2</v>
      </c>
      <c r="P132">
        <v>0</v>
      </c>
      <c r="Q132">
        <v>17</v>
      </c>
      <c r="R132">
        <v>3</v>
      </c>
      <c r="S132">
        <v>42</v>
      </c>
      <c r="T132" t="s">
        <v>600</v>
      </c>
      <c r="U132">
        <v>13</v>
      </c>
      <c r="V132">
        <v>0</v>
      </c>
      <c r="W132" t="s">
        <v>58</v>
      </c>
    </row>
    <row r="133" spans="1:23" x14ac:dyDescent="0.3">
      <c r="A133" t="s">
        <v>483</v>
      </c>
      <c r="B133">
        <v>2025</v>
      </c>
      <c r="C133">
        <v>2</v>
      </c>
      <c r="D133" t="s">
        <v>158</v>
      </c>
      <c r="E133" t="s">
        <v>266</v>
      </c>
      <c r="F133">
        <v>141</v>
      </c>
      <c r="G133">
        <v>9</v>
      </c>
      <c r="H133">
        <v>20</v>
      </c>
      <c r="I133">
        <v>7.05</v>
      </c>
      <c r="J133">
        <v>37</v>
      </c>
      <c r="K133">
        <v>2</v>
      </c>
      <c r="L133">
        <v>78</v>
      </c>
      <c r="M133">
        <v>4</v>
      </c>
      <c r="N133">
        <v>26</v>
      </c>
      <c r="O133">
        <v>3</v>
      </c>
      <c r="P133">
        <v>0</v>
      </c>
      <c r="Q133">
        <v>15</v>
      </c>
      <c r="R133">
        <v>3</v>
      </c>
      <c r="S133">
        <v>42</v>
      </c>
      <c r="T133" t="s">
        <v>283</v>
      </c>
      <c r="U133">
        <v>17</v>
      </c>
      <c r="V133">
        <v>7.45</v>
      </c>
      <c r="W133" t="s">
        <v>59</v>
      </c>
    </row>
    <row r="134" spans="1:23" x14ac:dyDescent="0.3">
      <c r="A134" t="s">
        <v>601</v>
      </c>
      <c r="B134">
        <v>2026</v>
      </c>
      <c r="C134">
        <v>1</v>
      </c>
      <c r="D134" t="s">
        <v>266</v>
      </c>
      <c r="E134" t="s">
        <v>159</v>
      </c>
      <c r="F134">
        <v>154</v>
      </c>
      <c r="G134">
        <v>6</v>
      </c>
      <c r="H134">
        <v>20</v>
      </c>
      <c r="I134">
        <v>7.7</v>
      </c>
      <c r="J134">
        <v>34</v>
      </c>
      <c r="K134">
        <v>1</v>
      </c>
      <c r="L134">
        <v>78</v>
      </c>
      <c r="M134">
        <v>3</v>
      </c>
      <c r="N134">
        <v>42</v>
      </c>
      <c r="O134">
        <v>2</v>
      </c>
      <c r="P134">
        <v>0</v>
      </c>
      <c r="Q134">
        <v>18</v>
      </c>
      <c r="R134">
        <v>2</v>
      </c>
      <c r="S134">
        <v>54</v>
      </c>
      <c r="T134" t="s">
        <v>624</v>
      </c>
      <c r="U134">
        <v>16</v>
      </c>
      <c r="V134">
        <v>0</v>
      </c>
      <c r="W134" t="s">
        <v>58</v>
      </c>
    </row>
    <row r="135" spans="1:23" x14ac:dyDescent="0.3">
      <c r="A135" t="s">
        <v>601</v>
      </c>
      <c r="B135">
        <v>2026</v>
      </c>
      <c r="C135">
        <v>2</v>
      </c>
      <c r="D135" t="s">
        <v>159</v>
      </c>
      <c r="E135" t="s">
        <v>266</v>
      </c>
      <c r="F135">
        <v>157</v>
      </c>
      <c r="G135">
        <v>7</v>
      </c>
      <c r="H135">
        <v>20</v>
      </c>
      <c r="I135">
        <v>7.85</v>
      </c>
      <c r="J135">
        <v>57</v>
      </c>
      <c r="K135">
        <v>2</v>
      </c>
      <c r="L135">
        <v>60</v>
      </c>
      <c r="M135">
        <v>3</v>
      </c>
      <c r="N135">
        <v>40</v>
      </c>
      <c r="O135">
        <v>2</v>
      </c>
      <c r="P135">
        <v>0</v>
      </c>
      <c r="Q135">
        <v>21</v>
      </c>
      <c r="R135">
        <v>3</v>
      </c>
      <c r="S135">
        <v>47</v>
      </c>
      <c r="T135" t="s">
        <v>625</v>
      </c>
      <c r="U135">
        <v>20</v>
      </c>
      <c r="V135">
        <v>7.7</v>
      </c>
      <c r="W135" t="s">
        <v>216</v>
      </c>
    </row>
    <row r="136" spans="1:23" x14ac:dyDescent="0.3">
      <c r="A136" t="s">
        <v>602</v>
      </c>
      <c r="B136">
        <v>2026</v>
      </c>
      <c r="C136">
        <v>1</v>
      </c>
      <c r="D136" t="s">
        <v>258</v>
      </c>
      <c r="E136" t="s">
        <v>219</v>
      </c>
      <c r="F136">
        <v>207</v>
      </c>
      <c r="G136">
        <v>4</v>
      </c>
      <c r="H136">
        <v>20</v>
      </c>
      <c r="I136">
        <v>10.35</v>
      </c>
      <c r="J136">
        <v>56</v>
      </c>
      <c r="K136">
        <v>2</v>
      </c>
      <c r="L136">
        <v>102</v>
      </c>
      <c r="M136">
        <v>0</v>
      </c>
      <c r="N136">
        <v>49</v>
      </c>
      <c r="O136">
        <v>2</v>
      </c>
      <c r="P136">
        <v>0</v>
      </c>
      <c r="Q136">
        <v>20</v>
      </c>
      <c r="R136">
        <v>10</v>
      </c>
      <c r="S136">
        <v>36</v>
      </c>
      <c r="T136" t="s">
        <v>630</v>
      </c>
      <c r="U136">
        <v>20</v>
      </c>
      <c r="V136">
        <v>0</v>
      </c>
      <c r="W136" t="s">
        <v>58</v>
      </c>
    </row>
    <row r="137" spans="1:23" x14ac:dyDescent="0.3">
      <c r="A137" t="s">
        <v>602</v>
      </c>
      <c r="B137">
        <v>2026</v>
      </c>
      <c r="C137">
        <v>2</v>
      </c>
      <c r="D137" t="s">
        <v>219</v>
      </c>
      <c r="E137" t="s">
        <v>258</v>
      </c>
      <c r="F137">
        <v>197</v>
      </c>
      <c r="G137">
        <v>8</v>
      </c>
      <c r="H137">
        <v>20</v>
      </c>
      <c r="I137">
        <v>9.85</v>
      </c>
      <c r="J137">
        <v>46</v>
      </c>
      <c r="K137">
        <v>1</v>
      </c>
      <c r="L137">
        <v>109</v>
      </c>
      <c r="M137">
        <v>5</v>
      </c>
      <c r="N137">
        <v>42</v>
      </c>
      <c r="O137">
        <v>2</v>
      </c>
      <c r="P137">
        <v>0</v>
      </c>
      <c r="Q137">
        <v>20</v>
      </c>
      <c r="R137">
        <v>11</v>
      </c>
      <c r="S137">
        <v>49</v>
      </c>
      <c r="T137" t="s">
        <v>631</v>
      </c>
      <c r="U137">
        <v>19</v>
      </c>
      <c r="V137">
        <v>10.35</v>
      </c>
      <c r="W137" t="s">
        <v>59</v>
      </c>
    </row>
    <row r="138" spans="1:23" x14ac:dyDescent="0.3">
      <c r="A138" t="s">
        <v>603</v>
      </c>
      <c r="B138">
        <v>2026</v>
      </c>
      <c r="C138">
        <v>1</v>
      </c>
      <c r="D138" t="s">
        <v>266</v>
      </c>
      <c r="E138" t="s">
        <v>158</v>
      </c>
      <c r="F138">
        <v>195</v>
      </c>
      <c r="G138">
        <v>4</v>
      </c>
      <c r="H138">
        <v>20</v>
      </c>
      <c r="I138">
        <v>9.75</v>
      </c>
      <c r="J138">
        <v>43</v>
      </c>
      <c r="K138">
        <v>1</v>
      </c>
      <c r="L138">
        <v>100</v>
      </c>
      <c r="M138">
        <v>2</v>
      </c>
      <c r="N138">
        <v>52</v>
      </c>
      <c r="O138">
        <v>1</v>
      </c>
      <c r="P138">
        <v>0</v>
      </c>
      <c r="Q138">
        <v>29</v>
      </c>
      <c r="R138">
        <v>3</v>
      </c>
      <c r="S138">
        <v>39</v>
      </c>
      <c r="T138" t="s">
        <v>634</v>
      </c>
      <c r="U138">
        <v>19</v>
      </c>
      <c r="V138">
        <v>0</v>
      </c>
      <c r="W138" t="s">
        <v>58</v>
      </c>
    </row>
    <row r="139" spans="1:23" x14ac:dyDescent="0.3">
      <c r="A139" t="s">
        <v>603</v>
      </c>
      <c r="B139">
        <v>2026</v>
      </c>
      <c r="C139">
        <v>2</v>
      </c>
      <c r="D139" t="s">
        <v>158</v>
      </c>
      <c r="E139" t="s">
        <v>266</v>
      </c>
      <c r="F139">
        <v>145</v>
      </c>
      <c r="G139">
        <v>10</v>
      </c>
      <c r="H139">
        <v>19</v>
      </c>
      <c r="I139">
        <v>7.63</v>
      </c>
      <c r="J139">
        <v>35</v>
      </c>
      <c r="K139">
        <v>4</v>
      </c>
      <c r="L139">
        <v>83</v>
      </c>
      <c r="M139">
        <v>3</v>
      </c>
      <c r="N139">
        <v>27</v>
      </c>
      <c r="O139">
        <v>3</v>
      </c>
      <c r="P139">
        <v>0</v>
      </c>
      <c r="Q139">
        <v>15</v>
      </c>
      <c r="R139">
        <v>5</v>
      </c>
      <c r="S139">
        <v>46</v>
      </c>
      <c r="T139" t="s">
        <v>635</v>
      </c>
      <c r="U139">
        <v>15</v>
      </c>
      <c r="V139">
        <v>9.75</v>
      </c>
      <c r="W139" t="s">
        <v>59</v>
      </c>
    </row>
    <row r="140" spans="1:23" x14ac:dyDescent="0.3">
      <c r="A140" t="s">
        <v>604</v>
      </c>
      <c r="B140">
        <v>2026</v>
      </c>
      <c r="C140">
        <v>1</v>
      </c>
      <c r="D140" t="s">
        <v>258</v>
      </c>
      <c r="E140" t="s">
        <v>158</v>
      </c>
      <c r="F140">
        <v>209</v>
      </c>
      <c r="G140">
        <v>10</v>
      </c>
      <c r="H140">
        <v>20</v>
      </c>
      <c r="I140">
        <v>10.45</v>
      </c>
      <c r="J140">
        <v>80</v>
      </c>
      <c r="K140">
        <v>0</v>
      </c>
      <c r="L140">
        <v>92</v>
      </c>
      <c r="M140">
        <v>5</v>
      </c>
      <c r="N140">
        <v>37</v>
      </c>
      <c r="O140">
        <v>5</v>
      </c>
      <c r="P140">
        <v>0</v>
      </c>
      <c r="Q140">
        <v>14</v>
      </c>
      <c r="R140">
        <v>13</v>
      </c>
      <c r="S140">
        <v>33</v>
      </c>
      <c r="T140" t="s">
        <v>641</v>
      </c>
      <c r="U140">
        <v>32</v>
      </c>
      <c r="V140">
        <v>0</v>
      </c>
      <c r="W140" t="s">
        <v>58</v>
      </c>
    </row>
    <row r="141" spans="1:23" x14ac:dyDescent="0.3">
      <c r="A141" t="s">
        <v>604</v>
      </c>
      <c r="B141">
        <v>2026</v>
      </c>
      <c r="C141">
        <v>2</v>
      </c>
      <c r="D141" t="s">
        <v>158</v>
      </c>
      <c r="E141" t="s">
        <v>258</v>
      </c>
      <c r="F141">
        <v>205</v>
      </c>
      <c r="G141">
        <v>5</v>
      </c>
      <c r="H141">
        <v>20</v>
      </c>
      <c r="I141">
        <v>10.25</v>
      </c>
      <c r="J141">
        <v>47</v>
      </c>
      <c r="K141">
        <v>1</v>
      </c>
      <c r="L141">
        <v>103</v>
      </c>
      <c r="M141">
        <v>2</v>
      </c>
      <c r="N141">
        <v>55</v>
      </c>
      <c r="O141">
        <v>2</v>
      </c>
      <c r="P141">
        <v>0</v>
      </c>
      <c r="Q141">
        <v>25</v>
      </c>
      <c r="R141">
        <v>7</v>
      </c>
      <c r="S141">
        <v>33</v>
      </c>
      <c r="T141" t="s">
        <v>550</v>
      </c>
      <c r="U141">
        <v>22</v>
      </c>
      <c r="V141">
        <v>10.45</v>
      </c>
      <c r="W141" t="s">
        <v>59</v>
      </c>
    </row>
    <row r="142" spans="1:23" x14ac:dyDescent="0.3">
      <c r="A142" t="s">
        <v>605</v>
      </c>
      <c r="B142">
        <v>2026</v>
      </c>
      <c r="C142">
        <v>1</v>
      </c>
      <c r="D142" t="s">
        <v>219</v>
      </c>
      <c r="E142" t="s">
        <v>159</v>
      </c>
      <c r="F142">
        <v>143</v>
      </c>
      <c r="G142">
        <v>5</v>
      </c>
      <c r="H142">
        <v>20</v>
      </c>
      <c r="I142">
        <v>7.15</v>
      </c>
      <c r="J142">
        <v>36</v>
      </c>
      <c r="K142">
        <v>1</v>
      </c>
      <c r="L142">
        <v>64</v>
      </c>
      <c r="M142">
        <v>4</v>
      </c>
      <c r="N142">
        <v>43</v>
      </c>
      <c r="O142">
        <v>0</v>
      </c>
      <c r="P142">
        <v>0</v>
      </c>
      <c r="Q142">
        <v>15</v>
      </c>
      <c r="R142">
        <v>3</v>
      </c>
      <c r="S142">
        <v>34</v>
      </c>
      <c r="T142" t="s">
        <v>643</v>
      </c>
      <c r="U142">
        <v>15</v>
      </c>
      <c r="V142">
        <v>0</v>
      </c>
      <c r="W142" t="s">
        <v>58</v>
      </c>
    </row>
    <row r="143" spans="1:23" x14ac:dyDescent="0.3">
      <c r="A143" t="s">
        <v>605</v>
      </c>
      <c r="B143">
        <v>2026</v>
      </c>
      <c r="C143">
        <v>2</v>
      </c>
      <c r="D143" t="s">
        <v>159</v>
      </c>
      <c r="E143" t="s">
        <v>219</v>
      </c>
      <c r="F143">
        <v>145</v>
      </c>
      <c r="G143">
        <v>1</v>
      </c>
      <c r="H143">
        <v>12.1</v>
      </c>
      <c r="I143">
        <v>11.92</v>
      </c>
      <c r="J143">
        <v>78</v>
      </c>
      <c r="K143">
        <v>0</v>
      </c>
      <c r="L143">
        <v>67</v>
      </c>
      <c r="M143">
        <v>1</v>
      </c>
      <c r="N143">
        <v>0</v>
      </c>
      <c r="O143">
        <v>0</v>
      </c>
      <c r="P143">
        <v>0</v>
      </c>
      <c r="Q143">
        <v>20</v>
      </c>
      <c r="R143">
        <v>5</v>
      </c>
      <c r="S143">
        <v>29</v>
      </c>
      <c r="T143" t="s">
        <v>644</v>
      </c>
      <c r="U143">
        <v>32</v>
      </c>
      <c r="V143">
        <v>7.15</v>
      </c>
      <c r="W143" t="s">
        <v>216</v>
      </c>
    </row>
    <row r="144" spans="1:23" x14ac:dyDescent="0.3">
      <c r="A144" t="s">
        <v>606</v>
      </c>
      <c r="B144">
        <v>2026</v>
      </c>
      <c r="C144">
        <v>1</v>
      </c>
      <c r="D144" t="s">
        <v>258</v>
      </c>
      <c r="E144" t="s">
        <v>266</v>
      </c>
      <c r="F144">
        <v>192</v>
      </c>
      <c r="G144">
        <v>5</v>
      </c>
      <c r="H144">
        <v>20</v>
      </c>
      <c r="I144">
        <v>9.6</v>
      </c>
      <c r="J144">
        <v>62</v>
      </c>
      <c r="K144">
        <v>1</v>
      </c>
      <c r="L144">
        <v>74</v>
      </c>
      <c r="M144">
        <v>3</v>
      </c>
      <c r="N144">
        <v>56</v>
      </c>
      <c r="O144">
        <v>1</v>
      </c>
      <c r="P144">
        <v>0</v>
      </c>
      <c r="Q144">
        <v>20</v>
      </c>
      <c r="R144">
        <v>7</v>
      </c>
      <c r="S144">
        <v>27</v>
      </c>
      <c r="T144" t="s">
        <v>646</v>
      </c>
      <c r="U144">
        <v>23</v>
      </c>
      <c r="V144">
        <v>0</v>
      </c>
      <c r="W144" t="s">
        <v>58</v>
      </c>
    </row>
    <row r="145" spans="1:23" x14ac:dyDescent="0.3">
      <c r="A145" t="s">
        <v>606</v>
      </c>
      <c r="B145">
        <v>2026</v>
      </c>
      <c r="C145">
        <v>2</v>
      </c>
      <c r="D145" t="s">
        <v>266</v>
      </c>
      <c r="E145" t="s">
        <v>258</v>
      </c>
      <c r="F145">
        <v>193</v>
      </c>
      <c r="G145">
        <v>3</v>
      </c>
      <c r="H145">
        <v>19.2</v>
      </c>
      <c r="I145">
        <v>9.98</v>
      </c>
      <c r="J145">
        <v>48</v>
      </c>
      <c r="K145">
        <v>2</v>
      </c>
      <c r="L145">
        <v>106</v>
      </c>
      <c r="M145">
        <v>1</v>
      </c>
      <c r="N145">
        <v>39</v>
      </c>
      <c r="O145">
        <v>0</v>
      </c>
      <c r="P145">
        <v>0</v>
      </c>
      <c r="Q145">
        <v>25</v>
      </c>
      <c r="R145">
        <v>3</v>
      </c>
      <c r="S145">
        <v>30</v>
      </c>
      <c r="T145" t="s">
        <v>647</v>
      </c>
      <c r="U145">
        <v>20</v>
      </c>
      <c r="V145">
        <v>9.6</v>
      </c>
      <c r="W145" t="s">
        <v>216</v>
      </c>
    </row>
    <row r="146" spans="1:23" x14ac:dyDescent="0.3">
      <c r="A146" t="s">
        <v>607</v>
      </c>
      <c r="B146">
        <v>2026</v>
      </c>
      <c r="C146">
        <v>1</v>
      </c>
      <c r="D146" t="s">
        <v>219</v>
      </c>
      <c r="E146" t="s">
        <v>158</v>
      </c>
      <c r="F146">
        <v>154</v>
      </c>
      <c r="G146">
        <v>8</v>
      </c>
      <c r="H146">
        <v>20</v>
      </c>
      <c r="I146">
        <v>7.7</v>
      </c>
      <c r="J146">
        <v>47</v>
      </c>
      <c r="K146">
        <v>1</v>
      </c>
      <c r="L146">
        <v>91</v>
      </c>
      <c r="M146">
        <v>2</v>
      </c>
      <c r="N146">
        <v>16</v>
      </c>
      <c r="O146">
        <v>5</v>
      </c>
      <c r="P146">
        <v>0</v>
      </c>
      <c r="Q146">
        <v>22</v>
      </c>
      <c r="R146">
        <v>1</v>
      </c>
      <c r="S146">
        <v>36</v>
      </c>
      <c r="T146" t="s">
        <v>651</v>
      </c>
      <c r="U146">
        <v>16</v>
      </c>
      <c r="V146">
        <v>0</v>
      </c>
      <c r="W146" t="s">
        <v>58</v>
      </c>
    </row>
    <row r="147" spans="1:23" x14ac:dyDescent="0.3">
      <c r="A147" t="s">
        <v>607</v>
      </c>
      <c r="B147">
        <v>2026</v>
      </c>
      <c r="C147">
        <v>2</v>
      </c>
      <c r="D147" t="s">
        <v>158</v>
      </c>
      <c r="E147" t="s">
        <v>219</v>
      </c>
      <c r="F147">
        <v>158</v>
      </c>
      <c r="G147">
        <v>3</v>
      </c>
      <c r="H147">
        <v>20</v>
      </c>
      <c r="I147">
        <v>7.9</v>
      </c>
      <c r="J147">
        <v>46</v>
      </c>
      <c r="K147">
        <v>0</v>
      </c>
      <c r="L147">
        <v>82</v>
      </c>
      <c r="M147">
        <v>2</v>
      </c>
      <c r="N147">
        <v>30</v>
      </c>
      <c r="O147">
        <v>1</v>
      </c>
      <c r="P147">
        <v>0</v>
      </c>
      <c r="Q147">
        <v>20</v>
      </c>
      <c r="R147">
        <v>4</v>
      </c>
      <c r="S147">
        <v>33</v>
      </c>
      <c r="T147" t="s">
        <v>164</v>
      </c>
      <c r="U147">
        <v>18</v>
      </c>
      <c r="V147">
        <v>7.7</v>
      </c>
      <c r="W147" t="s">
        <v>216</v>
      </c>
    </row>
    <row r="148" spans="1:23" x14ac:dyDescent="0.3">
      <c r="A148" t="s">
        <v>608</v>
      </c>
      <c r="B148">
        <v>2026</v>
      </c>
      <c r="C148">
        <v>1</v>
      </c>
      <c r="D148" t="s">
        <v>266</v>
      </c>
      <c r="E148" t="s">
        <v>219</v>
      </c>
      <c r="F148">
        <v>161</v>
      </c>
      <c r="G148">
        <v>5</v>
      </c>
      <c r="H148">
        <v>20</v>
      </c>
      <c r="I148">
        <v>8.0500000000000007</v>
      </c>
      <c r="J148">
        <v>32</v>
      </c>
      <c r="K148">
        <v>0</v>
      </c>
      <c r="L148">
        <v>87</v>
      </c>
      <c r="M148">
        <v>3</v>
      </c>
      <c r="N148">
        <v>42</v>
      </c>
      <c r="O148">
        <v>2</v>
      </c>
      <c r="P148">
        <v>0</v>
      </c>
      <c r="Q148">
        <v>22</v>
      </c>
      <c r="R148">
        <v>2</v>
      </c>
      <c r="S148">
        <v>34</v>
      </c>
      <c r="T148" t="s">
        <v>655</v>
      </c>
      <c r="U148">
        <v>17</v>
      </c>
      <c r="V148">
        <v>0</v>
      </c>
      <c r="W148" t="s">
        <v>58</v>
      </c>
    </row>
    <row r="149" spans="1:23" x14ac:dyDescent="0.3">
      <c r="A149" t="s">
        <v>608</v>
      </c>
      <c r="B149">
        <v>2026</v>
      </c>
      <c r="C149">
        <v>2</v>
      </c>
      <c r="D149" t="s">
        <v>219</v>
      </c>
      <c r="E149" t="s">
        <v>266</v>
      </c>
      <c r="F149">
        <v>162</v>
      </c>
      <c r="G149">
        <v>3</v>
      </c>
      <c r="H149">
        <v>18.100000000000001</v>
      </c>
      <c r="I149">
        <v>8.92</v>
      </c>
      <c r="J149">
        <v>42</v>
      </c>
      <c r="K149">
        <v>0</v>
      </c>
      <c r="L149">
        <v>89</v>
      </c>
      <c r="M149">
        <v>3</v>
      </c>
      <c r="N149">
        <v>29</v>
      </c>
      <c r="O149">
        <v>0</v>
      </c>
      <c r="P149">
        <v>0</v>
      </c>
      <c r="Q149">
        <v>23</v>
      </c>
      <c r="R149">
        <v>3</v>
      </c>
      <c r="S149">
        <v>35</v>
      </c>
      <c r="T149" t="s">
        <v>656</v>
      </c>
      <c r="U149">
        <v>15</v>
      </c>
      <c r="V149">
        <v>8.0500000000000007</v>
      </c>
      <c r="W149" t="s">
        <v>216</v>
      </c>
    </row>
    <row r="150" spans="1:23" x14ac:dyDescent="0.3">
      <c r="A150" t="s">
        <v>609</v>
      </c>
      <c r="B150">
        <v>2026</v>
      </c>
      <c r="C150">
        <v>1</v>
      </c>
      <c r="D150" t="s">
        <v>159</v>
      </c>
      <c r="E150" t="s">
        <v>258</v>
      </c>
      <c r="F150">
        <v>182</v>
      </c>
      <c r="G150">
        <v>7</v>
      </c>
      <c r="H150">
        <v>20</v>
      </c>
      <c r="I150">
        <v>9.1</v>
      </c>
      <c r="J150">
        <v>45</v>
      </c>
      <c r="K150">
        <v>4</v>
      </c>
      <c r="L150">
        <v>98</v>
      </c>
      <c r="M150">
        <v>0</v>
      </c>
      <c r="N150">
        <v>39</v>
      </c>
      <c r="O150">
        <v>3</v>
      </c>
      <c r="P150">
        <v>0</v>
      </c>
      <c r="Q150">
        <v>18</v>
      </c>
      <c r="R150">
        <v>7</v>
      </c>
      <c r="S150">
        <v>30</v>
      </c>
      <c r="T150" t="s">
        <v>566</v>
      </c>
      <c r="U150">
        <v>23</v>
      </c>
      <c r="V150">
        <v>0</v>
      </c>
      <c r="W150" t="s">
        <v>58</v>
      </c>
    </row>
    <row r="151" spans="1:23" x14ac:dyDescent="0.3">
      <c r="A151" t="s">
        <v>609</v>
      </c>
      <c r="B151">
        <v>2026</v>
      </c>
      <c r="C151">
        <v>2</v>
      </c>
      <c r="D151" t="s">
        <v>258</v>
      </c>
      <c r="E151" t="s">
        <v>159</v>
      </c>
      <c r="F151">
        <v>150</v>
      </c>
      <c r="G151">
        <v>10</v>
      </c>
      <c r="H151">
        <v>18.5</v>
      </c>
      <c r="I151">
        <v>7.96</v>
      </c>
      <c r="J151">
        <v>44</v>
      </c>
      <c r="K151">
        <v>2</v>
      </c>
      <c r="L151">
        <v>89</v>
      </c>
      <c r="M151">
        <v>4</v>
      </c>
      <c r="N151">
        <v>17</v>
      </c>
      <c r="O151">
        <v>4</v>
      </c>
      <c r="P151">
        <v>0</v>
      </c>
      <c r="Q151">
        <v>15</v>
      </c>
      <c r="R151">
        <v>6</v>
      </c>
      <c r="S151">
        <v>33</v>
      </c>
      <c r="T151" t="s">
        <v>521</v>
      </c>
      <c r="U151">
        <v>17</v>
      </c>
      <c r="V151">
        <v>9.1</v>
      </c>
      <c r="W151" t="s">
        <v>59</v>
      </c>
    </row>
    <row r="152" spans="1:23" x14ac:dyDescent="0.3">
      <c r="A152" t="s">
        <v>610</v>
      </c>
      <c r="B152">
        <v>2026</v>
      </c>
      <c r="C152">
        <v>1</v>
      </c>
      <c r="D152" t="s">
        <v>219</v>
      </c>
      <c r="E152" t="s">
        <v>266</v>
      </c>
      <c r="F152">
        <v>187</v>
      </c>
      <c r="G152">
        <v>8</v>
      </c>
      <c r="H152">
        <v>20</v>
      </c>
      <c r="I152">
        <v>9.35</v>
      </c>
      <c r="J152">
        <v>56</v>
      </c>
      <c r="K152">
        <v>1</v>
      </c>
      <c r="L152">
        <v>98</v>
      </c>
      <c r="M152">
        <v>2</v>
      </c>
      <c r="N152">
        <v>33</v>
      </c>
      <c r="O152">
        <v>5</v>
      </c>
      <c r="P152">
        <v>0</v>
      </c>
      <c r="Q152">
        <v>21</v>
      </c>
      <c r="R152">
        <v>7</v>
      </c>
      <c r="S152">
        <v>34</v>
      </c>
      <c r="T152" t="s">
        <v>561</v>
      </c>
      <c r="U152">
        <v>20</v>
      </c>
      <c r="V152">
        <v>0</v>
      </c>
      <c r="W152" t="s">
        <v>58</v>
      </c>
    </row>
    <row r="153" spans="1:23" x14ac:dyDescent="0.3">
      <c r="A153" t="s">
        <v>610</v>
      </c>
      <c r="B153">
        <v>2026</v>
      </c>
      <c r="C153">
        <v>2</v>
      </c>
      <c r="D153" t="s">
        <v>266</v>
      </c>
      <c r="E153" t="s">
        <v>219</v>
      </c>
      <c r="F153">
        <v>165</v>
      </c>
      <c r="G153">
        <v>6</v>
      </c>
      <c r="H153">
        <v>20</v>
      </c>
      <c r="I153">
        <v>8.25</v>
      </c>
      <c r="J153">
        <v>38</v>
      </c>
      <c r="K153">
        <v>2</v>
      </c>
      <c r="L153">
        <v>87</v>
      </c>
      <c r="M153">
        <v>3</v>
      </c>
      <c r="N153">
        <v>40</v>
      </c>
      <c r="O153">
        <v>1</v>
      </c>
      <c r="P153">
        <v>0</v>
      </c>
      <c r="Q153">
        <v>19</v>
      </c>
      <c r="R153">
        <v>7</v>
      </c>
      <c r="S153">
        <v>36</v>
      </c>
      <c r="T153" t="s">
        <v>451</v>
      </c>
      <c r="U153">
        <v>14</v>
      </c>
      <c r="V153">
        <v>9.35</v>
      </c>
      <c r="W153" t="s">
        <v>59</v>
      </c>
    </row>
    <row r="154" spans="1:23" x14ac:dyDescent="0.3">
      <c r="A154" t="s">
        <v>611</v>
      </c>
      <c r="B154">
        <v>2026</v>
      </c>
      <c r="C154">
        <v>1</v>
      </c>
      <c r="D154" t="s">
        <v>158</v>
      </c>
      <c r="E154" t="s">
        <v>159</v>
      </c>
      <c r="F154">
        <v>166</v>
      </c>
      <c r="G154">
        <v>10</v>
      </c>
      <c r="H154">
        <v>20</v>
      </c>
      <c r="I154">
        <v>8.3000000000000007</v>
      </c>
      <c r="J154">
        <v>60</v>
      </c>
      <c r="K154">
        <v>4</v>
      </c>
      <c r="L154">
        <v>69</v>
      </c>
      <c r="M154">
        <v>3</v>
      </c>
      <c r="N154">
        <v>27</v>
      </c>
      <c r="O154">
        <v>3</v>
      </c>
      <c r="P154">
        <v>0</v>
      </c>
      <c r="Q154">
        <v>17</v>
      </c>
      <c r="R154">
        <v>7</v>
      </c>
      <c r="S154">
        <v>34</v>
      </c>
      <c r="T154" t="s">
        <v>624</v>
      </c>
      <c r="U154">
        <v>19</v>
      </c>
      <c r="V154">
        <v>0</v>
      </c>
      <c r="W154" t="s">
        <v>58</v>
      </c>
    </row>
    <row r="155" spans="1:23" x14ac:dyDescent="0.3">
      <c r="A155" t="s">
        <v>611</v>
      </c>
      <c r="B155">
        <v>2026</v>
      </c>
      <c r="C155">
        <v>2</v>
      </c>
      <c r="D155" t="s">
        <v>159</v>
      </c>
      <c r="E155" t="s">
        <v>158</v>
      </c>
      <c r="F155">
        <v>169</v>
      </c>
      <c r="G155">
        <v>2</v>
      </c>
      <c r="H155">
        <v>18.2</v>
      </c>
      <c r="I155">
        <v>9.2200000000000006</v>
      </c>
      <c r="J155">
        <v>37</v>
      </c>
      <c r="K155">
        <v>1</v>
      </c>
      <c r="L155">
        <v>106</v>
      </c>
      <c r="M155">
        <v>0</v>
      </c>
      <c r="N155">
        <v>26</v>
      </c>
      <c r="O155">
        <v>1</v>
      </c>
      <c r="P155">
        <v>0</v>
      </c>
      <c r="Q155">
        <v>19</v>
      </c>
      <c r="R155">
        <v>5</v>
      </c>
      <c r="S155">
        <v>32</v>
      </c>
      <c r="T155" t="s">
        <v>663</v>
      </c>
      <c r="U155">
        <v>18</v>
      </c>
      <c r="V155">
        <v>8.3000000000000007</v>
      </c>
      <c r="W155" t="s">
        <v>216</v>
      </c>
    </row>
    <row r="156" spans="1:23" x14ac:dyDescent="0.3">
      <c r="A156" t="s">
        <v>612</v>
      </c>
      <c r="B156">
        <v>2026</v>
      </c>
      <c r="C156">
        <v>1</v>
      </c>
      <c r="D156" t="s">
        <v>159</v>
      </c>
      <c r="E156" t="s">
        <v>258</v>
      </c>
      <c r="F156">
        <v>178</v>
      </c>
      <c r="G156">
        <v>6</v>
      </c>
      <c r="H156">
        <v>20</v>
      </c>
      <c r="I156">
        <v>8.9</v>
      </c>
      <c r="J156">
        <v>37</v>
      </c>
      <c r="K156">
        <v>2</v>
      </c>
      <c r="L156">
        <v>94</v>
      </c>
      <c r="M156">
        <v>1</v>
      </c>
      <c r="N156">
        <v>47</v>
      </c>
      <c r="O156">
        <v>3</v>
      </c>
      <c r="P156">
        <v>0</v>
      </c>
      <c r="Q156">
        <v>15</v>
      </c>
      <c r="R156">
        <v>5</v>
      </c>
      <c r="S156">
        <v>34</v>
      </c>
      <c r="T156" t="s">
        <v>666</v>
      </c>
      <c r="U156">
        <v>17</v>
      </c>
      <c r="V156">
        <v>0</v>
      </c>
      <c r="W156" t="s">
        <v>58</v>
      </c>
    </row>
    <row r="157" spans="1:23" x14ac:dyDescent="0.3">
      <c r="A157" t="s">
        <v>612</v>
      </c>
      <c r="B157">
        <v>2026</v>
      </c>
      <c r="C157">
        <v>2</v>
      </c>
      <c r="D157" t="s">
        <v>258</v>
      </c>
      <c r="E157" t="s">
        <v>159</v>
      </c>
      <c r="F157">
        <v>117</v>
      </c>
      <c r="G157">
        <v>8</v>
      </c>
      <c r="H157">
        <v>20</v>
      </c>
      <c r="I157">
        <v>5.85</v>
      </c>
      <c r="J157">
        <v>29</v>
      </c>
      <c r="K157">
        <v>3</v>
      </c>
      <c r="L157">
        <v>66</v>
      </c>
      <c r="M157">
        <v>3</v>
      </c>
      <c r="N157">
        <v>22</v>
      </c>
      <c r="O157">
        <v>2</v>
      </c>
      <c r="P157">
        <v>0</v>
      </c>
      <c r="Q157">
        <v>11</v>
      </c>
      <c r="R157">
        <v>1</v>
      </c>
      <c r="S157">
        <v>36</v>
      </c>
      <c r="T157" t="s">
        <v>667</v>
      </c>
      <c r="U157">
        <v>14</v>
      </c>
      <c r="V157">
        <v>8.9</v>
      </c>
      <c r="W157" t="s">
        <v>59</v>
      </c>
    </row>
    <row r="158" spans="1:23" x14ac:dyDescent="0.3">
      <c r="A158" t="s">
        <v>613</v>
      </c>
      <c r="B158">
        <v>2026</v>
      </c>
      <c r="C158">
        <v>1</v>
      </c>
      <c r="D158" t="s">
        <v>266</v>
      </c>
      <c r="E158" t="s">
        <v>158</v>
      </c>
      <c r="F158">
        <v>154</v>
      </c>
      <c r="G158">
        <v>5</v>
      </c>
      <c r="H158">
        <v>20</v>
      </c>
      <c r="I158">
        <v>7.7</v>
      </c>
      <c r="J158">
        <v>23</v>
      </c>
      <c r="K158">
        <v>2</v>
      </c>
      <c r="L158">
        <v>96</v>
      </c>
      <c r="M158">
        <v>1</v>
      </c>
      <c r="N158">
        <v>35</v>
      </c>
      <c r="O158">
        <v>2</v>
      </c>
      <c r="P158">
        <v>0</v>
      </c>
      <c r="Q158">
        <v>17</v>
      </c>
      <c r="R158">
        <v>3</v>
      </c>
      <c r="S158">
        <v>30</v>
      </c>
      <c r="T158" t="s">
        <v>271</v>
      </c>
      <c r="U158">
        <v>14</v>
      </c>
      <c r="V158">
        <v>0</v>
      </c>
      <c r="W158" t="s">
        <v>58</v>
      </c>
    </row>
    <row r="159" spans="1:23" x14ac:dyDescent="0.3">
      <c r="A159" t="s">
        <v>613</v>
      </c>
      <c r="B159">
        <v>2026</v>
      </c>
      <c r="C159">
        <v>2</v>
      </c>
      <c r="D159" t="s">
        <v>158</v>
      </c>
      <c r="E159" t="s">
        <v>266</v>
      </c>
      <c r="F159">
        <v>155</v>
      </c>
      <c r="G159">
        <v>3</v>
      </c>
      <c r="H159">
        <v>19</v>
      </c>
      <c r="I159">
        <v>8.16</v>
      </c>
      <c r="J159">
        <v>57</v>
      </c>
      <c r="K159">
        <v>0</v>
      </c>
      <c r="L159">
        <v>61</v>
      </c>
      <c r="M159">
        <v>2</v>
      </c>
      <c r="N159">
        <v>37</v>
      </c>
      <c r="O159">
        <v>1</v>
      </c>
      <c r="P159">
        <v>0</v>
      </c>
      <c r="Q159">
        <v>18</v>
      </c>
      <c r="R159">
        <v>3</v>
      </c>
      <c r="S159">
        <v>33</v>
      </c>
      <c r="T159" t="s">
        <v>283</v>
      </c>
      <c r="U159">
        <v>14</v>
      </c>
      <c r="V159">
        <v>7.7</v>
      </c>
      <c r="W159" t="s">
        <v>216</v>
      </c>
    </row>
    <row r="160" spans="1:23" x14ac:dyDescent="0.3">
      <c r="A160" t="s">
        <v>614</v>
      </c>
      <c r="B160">
        <v>2026</v>
      </c>
      <c r="C160">
        <v>1</v>
      </c>
      <c r="D160" t="s">
        <v>258</v>
      </c>
      <c r="E160" t="s">
        <v>219</v>
      </c>
      <c r="F160">
        <v>153</v>
      </c>
      <c r="G160">
        <v>8</v>
      </c>
      <c r="H160">
        <v>20</v>
      </c>
      <c r="I160">
        <v>7.65</v>
      </c>
      <c r="J160">
        <v>52</v>
      </c>
      <c r="K160">
        <v>2</v>
      </c>
      <c r="L160">
        <v>59</v>
      </c>
      <c r="M160">
        <v>3</v>
      </c>
      <c r="N160">
        <v>42</v>
      </c>
      <c r="O160">
        <v>3</v>
      </c>
      <c r="P160">
        <v>0</v>
      </c>
      <c r="Q160">
        <v>14</v>
      </c>
      <c r="R160">
        <v>4</v>
      </c>
      <c r="S160">
        <v>34</v>
      </c>
      <c r="T160" t="s">
        <v>450</v>
      </c>
      <c r="U160">
        <v>16</v>
      </c>
      <c r="V160">
        <v>0</v>
      </c>
      <c r="W160" t="s">
        <v>58</v>
      </c>
    </row>
    <row r="161" spans="1:23" x14ac:dyDescent="0.3">
      <c r="A161" t="s">
        <v>614</v>
      </c>
      <c r="B161">
        <v>2026</v>
      </c>
      <c r="C161">
        <v>2</v>
      </c>
      <c r="D161" t="s">
        <v>219</v>
      </c>
      <c r="E161" t="s">
        <v>258</v>
      </c>
      <c r="F161">
        <v>108</v>
      </c>
      <c r="G161">
        <v>10</v>
      </c>
      <c r="H161">
        <v>17.3</v>
      </c>
      <c r="I161">
        <v>6.17</v>
      </c>
      <c r="J161">
        <v>46</v>
      </c>
      <c r="K161">
        <v>2</v>
      </c>
      <c r="L161">
        <v>50</v>
      </c>
      <c r="M161">
        <v>6</v>
      </c>
      <c r="N161">
        <v>12</v>
      </c>
      <c r="O161">
        <v>2</v>
      </c>
      <c r="P161">
        <v>0</v>
      </c>
      <c r="Q161">
        <v>11</v>
      </c>
      <c r="R161">
        <v>1</v>
      </c>
      <c r="S161">
        <v>35</v>
      </c>
      <c r="T161" t="s">
        <v>674</v>
      </c>
      <c r="U161">
        <v>11</v>
      </c>
      <c r="V161">
        <v>7.65</v>
      </c>
      <c r="W161" t="s">
        <v>59</v>
      </c>
    </row>
    <row r="162" spans="1:23" x14ac:dyDescent="0.3">
      <c r="A162" t="s">
        <v>615</v>
      </c>
      <c r="B162">
        <v>2026</v>
      </c>
      <c r="C162">
        <v>1</v>
      </c>
      <c r="D162" t="s">
        <v>159</v>
      </c>
      <c r="E162" t="s">
        <v>158</v>
      </c>
      <c r="F162">
        <v>109</v>
      </c>
      <c r="G162">
        <v>10</v>
      </c>
      <c r="H162">
        <v>20</v>
      </c>
      <c r="I162">
        <v>5.45</v>
      </c>
      <c r="J162">
        <v>39</v>
      </c>
      <c r="K162">
        <v>1</v>
      </c>
      <c r="L162">
        <v>53</v>
      </c>
      <c r="M162">
        <v>4</v>
      </c>
      <c r="N162">
        <v>17</v>
      </c>
      <c r="O162">
        <v>5</v>
      </c>
      <c r="P162">
        <v>0</v>
      </c>
      <c r="Q162">
        <v>9</v>
      </c>
      <c r="R162">
        <v>2</v>
      </c>
      <c r="S162">
        <v>33</v>
      </c>
      <c r="T162" t="s">
        <v>676</v>
      </c>
      <c r="U162">
        <v>12</v>
      </c>
      <c r="V162">
        <v>0</v>
      </c>
      <c r="W162" t="s">
        <v>58</v>
      </c>
    </row>
    <row r="163" spans="1:23" x14ac:dyDescent="0.3">
      <c r="A163" t="s">
        <v>615</v>
      </c>
      <c r="B163">
        <v>2026</v>
      </c>
      <c r="C163">
        <v>2</v>
      </c>
      <c r="D163" t="s">
        <v>158</v>
      </c>
      <c r="E163" t="s">
        <v>159</v>
      </c>
      <c r="F163">
        <v>111</v>
      </c>
      <c r="G163">
        <v>3</v>
      </c>
      <c r="H163">
        <v>15.4</v>
      </c>
      <c r="I163">
        <v>7.09</v>
      </c>
      <c r="J163">
        <v>38</v>
      </c>
      <c r="K163">
        <v>2</v>
      </c>
      <c r="L163">
        <v>73</v>
      </c>
      <c r="M163">
        <v>1</v>
      </c>
      <c r="N163">
        <v>0</v>
      </c>
      <c r="O163">
        <v>0</v>
      </c>
      <c r="P163">
        <v>0</v>
      </c>
      <c r="Q163">
        <v>16</v>
      </c>
      <c r="R163">
        <v>1</v>
      </c>
      <c r="S163">
        <v>31</v>
      </c>
      <c r="T163" t="s">
        <v>677</v>
      </c>
      <c r="U163">
        <v>12</v>
      </c>
      <c r="V163">
        <v>5.45</v>
      </c>
      <c r="W163" t="s">
        <v>216</v>
      </c>
    </row>
    <row r="164" spans="1:23" x14ac:dyDescent="0.3">
      <c r="A164" t="s">
        <v>616</v>
      </c>
      <c r="B164">
        <v>2026</v>
      </c>
      <c r="C164">
        <v>1</v>
      </c>
      <c r="D164" t="s">
        <v>266</v>
      </c>
      <c r="E164" t="s">
        <v>159</v>
      </c>
      <c r="F164">
        <v>199</v>
      </c>
      <c r="G164">
        <v>4</v>
      </c>
      <c r="H164">
        <v>20</v>
      </c>
      <c r="I164">
        <v>9.9499999999999993</v>
      </c>
      <c r="J164">
        <v>38</v>
      </c>
      <c r="K164">
        <v>1</v>
      </c>
      <c r="L164">
        <v>121</v>
      </c>
      <c r="M164">
        <v>1</v>
      </c>
      <c r="N164">
        <v>40</v>
      </c>
      <c r="O164">
        <v>2</v>
      </c>
      <c r="P164">
        <v>0</v>
      </c>
      <c r="Q164">
        <v>28</v>
      </c>
      <c r="R164">
        <v>2</v>
      </c>
      <c r="S164">
        <v>29</v>
      </c>
      <c r="T164" t="s">
        <v>679</v>
      </c>
      <c r="U164">
        <v>20</v>
      </c>
      <c r="V164">
        <v>0</v>
      </c>
      <c r="W164" t="s">
        <v>58</v>
      </c>
    </row>
    <row r="165" spans="1:23" x14ac:dyDescent="0.3">
      <c r="A165" t="s">
        <v>616</v>
      </c>
      <c r="B165">
        <v>2026</v>
      </c>
      <c r="C165">
        <v>2</v>
      </c>
      <c r="D165" t="s">
        <v>159</v>
      </c>
      <c r="E165" t="s">
        <v>266</v>
      </c>
      <c r="F165">
        <v>184</v>
      </c>
      <c r="G165">
        <v>9</v>
      </c>
      <c r="H165">
        <v>20</v>
      </c>
      <c r="I165">
        <v>9.1999999999999993</v>
      </c>
      <c r="J165">
        <v>40</v>
      </c>
      <c r="K165">
        <v>5</v>
      </c>
      <c r="L165">
        <v>83</v>
      </c>
      <c r="M165">
        <v>2</v>
      </c>
      <c r="N165">
        <v>64</v>
      </c>
      <c r="O165">
        <v>2</v>
      </c>
      <c r="P165">
        <v>0</v>
      </c>
      <c r="Q165">
        <v>23</v>
      </c>
      <c r="R165">
        <v>7</v>
      </c>
      <c r="S165">
        <v>32</v>
      </c>
      <c r="T165" t="s">
        <v>680</v>
      </c>
      <c r="U165">
        <v>27</v>
      </c>
      <c r="V165">
        <v>9.9499999999999993</v>
      </c>
      <c r="W165" t="s">
        <v>59</v>
      </c>
    </row>
    <row r="166" spans="1:23" x14ac:dyDescent="0.3">
      <c r="A166" t="s">
        <v>617</v>
      </c>
      <c r="B166">
        <v>2026</v>
      </c>
      <c r="C166">
        <v>1</v>
      </c>
      <c r="D166" t="s">
        <v>258</v>
      </c>
      <c r="E166" t="s">
        <v>158</v>
      </c>
      <c r="F166">
        <v>174</v>
      </c>
      <c r="G166">
        <v>9</v>
      </c>
      <c r="H166">
        <v>20</v>
      </c>
      <c r="I166">
        <v>8.6999999999999993</v>
      </c>
      <c r="J166">
        <v>53</v>
      </c>
      <c r="K166">
        <v>1</v>
      </c>
      <c r="L166">
        <v>80</v>
      </c>
      <c r="M166">
        <v>4</v>
      </c>
      <c r="N166">
        <v>41</v>
      </c>
      <c r="O166">
        <v>4</v>
      </c>
      <c r="P166">
        <v>0</v>
      </c>
      <c r="Q166">
        <v>21</v>
      </c>
      <c r="R166">
        <v>2</v>
      </c>
      <c r="S166">
        <v>34</v>
      </c>
      <c r="T166" t="s">
        <v>682</v>
      </c>
      <c r="U166">
        <v>15</v>
      </c>
      <c r="V166">
        <v>0</v>
      </c>
      <c r="W166" t="s">
        <v>58</v>
      </c>
    </row>
    <row r="167" spans="1:23" x14ac:dyDescent="0.3">
      <c r="A167" t="s">
        <v>617</v>
      </c>
      <c r="B167">
        <v>2026</v>
      </c>
      <c r="C167">
        <v>2</v>
      </c>
      <c r="D167" t="s">
        <v>158</v>
      </c>
      <c r="E167" t="s">
        <v>258</v>
      </c>
      <c r="F167">
        <v>171</v>
      </c>
      <c r="G167">
        <v>8</v>
      </c>
      <c r="H167">
        <v>20</v>
      </c>
      <c r="I167">
        <v>8.5500000000000007</v>
      </c>
      <c r="J167">
        <v>51</v>
      </c>
      <c r="K167">
        <v>2</v>
      </c>
      <c r="L167">
        <v>64</v>
      </c>
      <c r="M167">
        <v>4</v>
      </c>
      <c r="N167">
        <v>56</v>
      </c>
      <c r="O167">
        <v>2</v>
      </c>
      <c r="P167">
        <v>0</v>
      </c>
      <c r="Q167">
        <v>21</v>
      </c>
      <c r="R167">
        <v>2</v>
      </c>
      <c r="S167">
        <v>30</v>
      </c>
      <c r="T167" t="s">
        <v>683</v>
      </c>
      <c r="U167">
        <v>23</v>
      </c>
      <c r="V167">
        <v>8.6999999999999993</v>
      </c>
      <c r="W167" t="s">
        <v>59</v>
      </c>
    </row>
    <row r="168" spans="1:23" x14ac:dyDescent="0.3">
      <c r="A168" t="s">
        <v>618</v>
      </c>
      <c r="B168">
        <v>2026</v>
      </c>
      <c r="C168">
        <v>1</v>
      </c>
      <c r="D168" t="s">
        <v>219</v>
      </c>
      <c r="E168" t="s">
        <v>159</v>
      </c>
      <c r="F168">
        <v>143</v>
      </c>
      <c r="G168">
        <v>8</v>
      </c>
      <c r="H168">
        <v>20</v>
      </c>
      <c r="I168">
        <v>7.15</v>
      </c>
      <c r="J168">
        <v>50</v>
      </c>
      <c r="K168">
        <v>0</v>
      </c>
      <c r="L168">
        <v>72</v>
      </c>
      <c r="M168">
        <v>4</v>
      </c>
      <c r="N168">
        <v>21</v>
      </c>
      <c r="O168">
        <v>4</v>
      </c>
      <c r="P168">
        <v>0</v>
      </c>
      <c r="Q168">
        <v>16</v>
      </c>
      <c r="R168">
        <v>2</v>
      </c>
      <c r="S168">
        <v>30</v>
      </c>
      <c r="T168" t="s">
        <v>685</v>
      </c>
      <c r="U168">
        <v>18</v>
      </c>
      <c r="V168">
        <v>0</v>
      </c>
      <c r="W168" t="s">
        <v>58</v>
      </c>
    </row>
    <row r="169" spans="1:23" x14ac:dyDescent="0.3">
      <c r="A169" t="s">
        <v>618</v>
      </c>
      <c r="B169">
        <v>2026</v>
      </c>
      <c r="C169">
        <v>2</v>
      </c>
      <c r="D169" t="s">
        <v>159</v>
      </c>
      <c r="E169" t="s">
        <v>219</v>
      </c>
      <c r="F169">
        <v>147</v>
      </c>
      <c r="G169">
        <v>2</v>
      </c>
      <c r="H169">
        <v>13.1</v>
      </c>
      <c r="I169">
        <v>11.16</v>
      </c>
      <c r="J169">
        <v>63</v>
      </c>
      <c r="K169">
        <v>0</v>
      </c>
      <c r="L169">
        <v>84</v>
      </c>
      <c r="M169">
        <v>2</v>
      </c>
      <c r="N169">
        <v>0</v>
      </c>
      <c r="O169">
        <v>0</v>
      </c>
      <c r="P169">
        <v>0</v>
      </c>
      <c r="Q169">
        <v>23</v>
      </c>
      <c r="R169">
        <v>4</v>
      </c>
      <c r="S169">
        <v>20</v>
      </c>
      <c r="T169" t="s">
        <v>283</v>
      </c>
      <c r="U169">
        <v>20</v>
      </c>
      <c r="V169">
        <v>7.15</v>
      </c>
      <c r="W169" t="s">
        <v>216</v>
      </c>
    </row>
    <row r="170" spans="1:23" x14ac:dyDescent="0.3">
      <c r="A170" t="s">
        <v>619</v>
      </c>
      <c r="B170">
        <v>2026</v>
      </c>
      <c r="C170">
        <v>1</v>
      </c>
      <c r="D170" t="s">
        <v>258</v>
      </c>
      <c r="E170" t="s">
        <v>266</v>
      </c>
      <c r="F170">
        <v>167</v>
      </c>
      <c r="G170">
        <v>4</v>
      </c>
      <c r="H170">
        <v>20</v>
      </c>
      <c r="I170">
        <v>8.35</v>
      </c>
      <c r="J170">
        <v>48</v>
      </c>
      <c r="K170">
        <v>1</v>
      </c>
      <c r="L170">
        <v>77</v>
      </c>
      <c r="M170">
        <v>2</v>
      </c>
      <c r="N170">
        <v>42</v>
      </c>
      <c r="O170">
        <v>1</v>
      </c>
      <c r="P170">
        <v>0</v>
      </c>
      <c r="Q170">
        <v>18</v>
      </c>
      <c r="R170">
        <v>4</v>
      </c>
      <c r="S170">
        <v>33</v>
      </c>
      <c r="T170" t="s">
        <v>688</v>
      </c>
      <c r="U170">
        <v>19</v>
      </c>
      <c r="V170">
        <v>0</v>
      </c>
      <c r="W170" t="s">
        <v>58</v>
      </c>
    </row>
    <row r="171" spans="1:23" x14ac:dyDescent="0.3">
      <c r="A171" t="s">
        <v>619</v>
      </c>
      <c r="B171">
        <v>2026</v>
      </c>
      <c r="C171">
        <v>2</v>
      </c>
      <c r="D171" t="s">
        <v>266</v>
      </c>
      <c r="E171" t="s">
        <v>258</v>
      </c>
      <c r="F171">
        <v>156</v>
      </c>
      <c r="G171">
        <v>7</v>
      </c>
      <c r="H171">
        <v>20</v>
      </c>
      <c r="I171">
        <v>7.8</v>
      </c>
      <c r="J171">
        <v>33</v>
      </c>
      <c r="K171">
        <v>2</v>
      </c>
      <c r="L171">
        <v>77</v>
      </c>
      <c r="M171">
        <v>2</v>
      </c>
      <c r="N171">
        <v>46</v>
      </c>
      <c r="O171">
        <v>3</v>
      </c>
      <c r="P171">
        <v>0</v>
      </c>
      <c r="Q171">
        <v>17</v>
      </c>
      <c r="R171">
        <v>5</v>
      </c>
      <c r="S171">
        <v>34</v>
      </c>
      <c r="T171" t="s">
        <v>164</v>
      </c>
      <c r="U171">
        <v>16</v>
      </c>
      <c r="V171">
        <v>8.35</v>
      </c>
      <c r="W171" t="s">
        <v>59</v>
      </c>
    </row>
    <row r="172" spans="1:23" x14ac:dyDescent="0.3">
      <c r="A172" t="s">
        <v>620</v>
      </c>
      <c r="B172">
        <v>2026</v>
      </c>
      <c r="C172">
        <v>1</v>
      </c>
      <c r="D172" t="s">
        <v>219</v>
      </c>
      <c r="E172" t="s">
        <v>158</v>
      </c>
      <c r="F172">
        <v>122</v>
      </c>
      <c r="G172">
        <v>8</v>
      </c>
      <c r="H172">
        <v>20</v>
      </c>
      <c r="I172">
        <v>6.1</v>
      </c>
      <c r="J172">
        <v>36</v>
      </c>
      <c r="K172">
        <v>3</v>
      </c>
      <c r="L172">
        <v>56</v>
      </c>
      <c r="M172">
        <v>4</v>
      </c>
      <c r="N172">
        <v>30</v>
      </c>
      <c r="O172">
        <v>1</v>
      </c>
      <c r="P172">
        <v>0</v>
      </c>
      <c r="Q172">
        <v>14</v>
      </c>
      <c r="R172">
        <v>2</v>
      </c>
      <c r="S172">
        <v>35</v>
      </c>
      <c r="T172" t="s">
        <v>419</v>
      </c>
      <c r="U172">
        <v>12</v>
      </c>
      <c r="V172">
        <v>0</v>
      </c>
      <c r="W172" t="s">
        <v>58</v>
      </c>
    </row>
    <row r="173" spans="1:23" x14ac:dyDescent="0.3">
      <c r="A173" t="s">
        <v>620</v>
      </c>
      <c r="B173">
        <v>2026</v>
      </c>
      <c r="C173">
        <v>2</v>
      </c>
      <c r="D173" t="s">
        <v>158</v>
      </c>
      <c r="E173" t="s">
        <v>219</v>
      </c>
      <c r="F173">
        <v>126</v>
      </c>
      <c r="G173">
        <v>5</v>
      </c>
      <c r="H173">
        <v>18.399999999999999</v>
      </c>
      <c r="I173">
        <v>6.75</v>
      </c>
      <c r="J173">
        <v>38</v>
      </c>
      <c r="K173">
        <v>1</v>
      </c>
      <c r="L173">
        <v>62</v>
      </c>
      <c r="M173">
        <v>3</v>
      </c>
      <c r="N173">
        <v>26</v>
      </c>
      <c r="O173">
        <v>1</v>
      </c>
      <c r="P173">
        <v>0</v>
      </c>
      <c r="Q173">
        <v>16</v>
      </c>
      <c r="R173">
        <v>0</v>
      </c>
      <c r="S173">
        <v>29</v>
      </c>
      <c r="T173" t="s">
        <v>335</v>
      </c>
      <c r="U173">
        <v>16</v>
      </c>
      <c r="V173">
        <v>6.1</v>
      </c>
      <c r="W173" t="s">
        <v>216</v>
      </c>
    </row>
    <row r="174" spans="1:23" x14ac:dyDescent="0.3">
      <c r="A174" t="s">
        <v>621</v>
      </c>
      <c r="B174">
        <v>2026</v>
      </c>
      <c r="C174">
        <v>1</v>
      </c>
      <c r="D174" t="s">
        <v>258</v>
      </c>
      <c r="E174" t="s">
        <v>158</v>
      </c>
      <c r="F174">
        <v>168</v>
      </c>
      <c r="G174">
        <v>7</v>
      </c>
      <c r="H174">
        <v>20</v>
      </c>
      <c r="I174">
        <v>8.4</v>
      </c>
      <c r="J174">
        <v>48</v>
      </c>
      <c r="K174">
        <v>3</v>
      </c>
      <c r="L174">
        <v>71</v>
      </c>
      <c r="M174">
        <v>1</v>
      </c>
      <c r="N174">
        <v>49</v>
      </c>
      <c r="O174">
        <v>3</v>
      </c>
      <c r="P174">
        <v>0</v>
      </c>
      <c r="Q174">
        <v>15</v>
      </c>
      <c r="R174">
        <v>1</v>
      </c>
      <c r="S174">
        <v>28</v>
      </c>
      <c r="T174" t="s">
        <v>693</v>
      </c>
      <c r="U174">
        <v>17</v>
      </c>
      <c r="V174">
        <v>0</v>
      </c>
      <c r="W174" t="s">
        <v>58</v>
      </c>
    </row>
    <row r="175" spans="1:23" x14ac:dyDescent="0.3">
      <c r="A175" t="s">
        <v>621</v>
      </c>
      <c r="B175">
        <v>2026</v>
      </c>
      <c r="C175">
        <v>2</v>
      </c>
      <c r="D175" t="s">
        <v>158</v>
      </c>
      <c r="E175" t="s">
        <v>258</v>
      </c>
      <c r="F175">
        <v>169</v>
      </c>
      <c r="G175">
        <v>3</v>
      </c>
      <c r="H175">
        <v>15.4</v>
      </c>
      <c r="I175">
        <v>10.79</v>
      </c>
      <c r="J175">
        <v>75</v>
      </c>
      <c r="K175">
        <v>0</v>
      </c>
      <c r="L175">
        <v>94</v>
      </c>
      <c r="M175">
        <v>3</v>
      </c>
      <c r="N175">
        <v>0</v>
      </c>
      <c r="O175">
        <v>0</v>
      </c>
      <c r="P175">
        <v>0</v>
      </c>
      <c r="Q175">
        <v>22</v>
      </c>
      <c r="R175">
        <v>3</v>
      </c>
      <c r="S175">
        <v>23</v>
      </c>
      <c r="T175" t="s">
        <v>694</v>
      </c>
      <c r="U175">
        <v>21</v>
      </c>
      <c r="V175">
        <v>8.4</v>
      </c>
      <c r="W175" t="s">
        <v>216</v>
      </c>
    </row>
    <row r="176" spans="1:23" x14ac:dyDescent="0.3">
      <c r="A176" t="s">
        <v>622</v>
      </c>
      <c r="B176">
        <v>2026</v>
      </c>
      <c r="C176">
        <v>1</v>
      </c>
      <c r="D176" t="s">
        <v>158</v>
      </c>
      <c r="E176" t="s">
        <v>159</v>
      </c>
      <c r="F176">
        <v>203</v>
      </c>
      <c r="G176">
        <v>4</v>
      </c>
      <c r="H176">
        <v>20</v>
      </c>
      <c r="I176">
        <v>10.15</v>
      </c>
      <c r="J176">
        <v>53</v>
      </c>
      <c r="K176">
        <v>1</v>
      </c>
      <c r="L176">
        <v>95</v>
      </c>
      <c r="M176">
        <v>2</v>
      </c>
      <c r="N176">
        <v>55</v>
      </c>
      <c r="O176">
        <v>1</v>
      </c>
      <c r="P176">
        <v>0</v>
      </c>
      <c r="Q176">
        <v>21</v>
      </c>
      <c r="R176">
        <v>7</v>
      </c>
      <c r="S176">
        <v>27</v>
      </c>
      <c r="T176" t="s">
        <v>696</v>
      </c>
      <c r="U176">
        <v>24</v>
      </c>
      <c r="V176">
        <v>0</v>
      </c>
      <c r="W176" t="s">
        <v>58</v>
      </c>
    </row>
    <row r="177" spans="1:23" x14ac:dyDescent="0.3">
      <c r="A177" t="s">
        <v>622</v>
      </c>
      <c r="B177">
        <v>2026</v>
      </c>
      <c r="C177">
        <v>2</v>
      </c>
      <c r="D177" t="s">
        <v>159</v>
      </c>
      <c r="E177" t="s">
        <v>158</v>
      </c>
      <c r="F177">
        <v>204</v>
      </c>
      <c r="G177">
        <v>4</v>
      </c>
      <c r="H177">
        <v>19.399999999999999</v>
      </c>
      <c r="I177">
        <v>10.37</v>
      </c>
      <c r="J177">
        <v>59</v>
      </c>
      <c r="K177">
        <v>1</v>
      </c>
      <c r="L177">
        <v>110</v>
      </c>
      <c r="M177">
        <v>0</v>
      </c>
      <c r="N177">
        <v>35</v>
      </c>
      <c r="O177">
        <v>3</v>
      </c>
      <c r="P177">
        <v>0</v>
      </c>
      <c r="Q177">
        <v>32</v>
      </c>
      <c r="R177">
        <v>3</v>
      </c>
      <c r="S177">
        <v>24</v>
      </c>
      <c r="T177" t="s">
        <v>697</v>
      </c>
      <c r="U177">
        <v>16</v>
      </c>
      <c r="V177">
        <v>10.15</v>
      </c>
      <c r="W177" t="s">
        <v>216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DA41C-A205-423C-A7AB-E356A7F2BFE7}">
  <dimension ref="A3:D142"/>
  <sheetViews>
    <sheetView topLeftCell="F1" workbookViewId="0">
      <selection activeCell="B8" sqref="B8"/>
    </sheetView>
  </sheetViews>
  <sheetFormatPr defaultRowHeight="14.4" x14ac:dyDescent="0.3"/>
  <cols>
    <col min="1" max="2" width="20.33203125" bestFit="1" customWidth="1"/>
    <col min="3" max="3" width="17.88671875" bestFit="1" customWidth="1"/>
    <col min="4" max="4" width="19.6640625" bestFit="1" customWidth="1"/>
  </cols>
  <sheetData>
    <row r="3" spans="1:4" x14ac:dyDescent="0.3">
      <c r="A3" s="10" t="s">
        <v>706</v>
      </c>
      <c r="B3" t="s">
        <v>709</v>
      </c>
      <c r="C3" t="s">
        <v>710</v>
      </c>
      <c r="D3" t="s">
        <v>711</v>
      </c>
    </row>
    <row r="4" spans="1:4" x14ac:dyDescent="0.3">
      <c r="A4" s="11" t="s">
        <v>598</v>
      </c>
      <c r="B4">
        <v>50.5</v>
      </c>
      <c r="C4">
        <v>34</v>
      </c>
      <c r="D4">
        <v>2</v>
      </c>
    </row>
    <row r="5" spans="1:4" x14ac:dyDescent="0.3">
      <c r="A5" s="11" t="s">
        <v>90</v>
      </c>
      <c r="B5">
        <v>49.273333333333341</v>
      </c>
      <c r="C5">
        <v>1348</v>
      </c>
      <c r="D5">
        <v>40</v>
      </c>
    </row>
    <row r="6" spans="1:4" x14ac:dyDescent="0.3">
      <c r="A6" s="11" t="s">
        <v>410</v>
      </c>
      <c r="B6">
        <v>46.04</v>
      </c>
      <c r="C6">
        <v>134</v>
      </c>
      <c r="D6">
        <v>18</v>
      </c>
    </row>
    <row r="7" spans="1:4" x14ac:dyDescent="0.3">
      <c r="A7" s="11" t="s">
        <v>88</v>
      </c>
      <c r="B7">
        <v>44.662205882352936</v>
      </c>
      <c r="C7">
        <v>867</v>
      </c>
      <c r="D7">
        <v>46</v>
      </c>
    </row>
    <row r="8" spans="1:4" x14ac:dyDescent="0.3">
      <c r="A8" s="11" t="s">
        <v>626</v>
      </c>
      <c r="B8">
        <v>40.233333333333341</v>
      </c>
      <c r="C8">
        <v>149</v>
      </c>
      <c r="D8">
        <v>7</v>
      </c>
    </row>
    <row r="9" spans="1:4" x14ac:dyDescent="0.3">
      <c r="A9" s="11" t="s">
        <v>175</v>
      </c>
      <c r="B9">
        <v>40.227799999999995</v>
      </c>
      <c r="C9">
        <v>972</v>
      </c>
      <c r="D9">
        <v>14</v>
      </c>
    </row>
    <row r="10" spans="1:4" x14ac:dyDescent="0.3">
      <c r="A10" s="11" t="s">
        <v>95</v>
      </c>
      <c r="B10">
        <v>39.247083333333336</v>
      </c>
      <c r="C10">
        <v>511</v>
      </c>
      <c r="D10">
        <v>54</v>
      </c>
    </row>
    <row r="11" spans="1:4" x14ac:dyDescent="0.3">
      <c r="A11" s="11" t="s">
        <v>168</v>
      </c>
      <c r="B11">
        <v>38.752222222222223</v>
      </c>
      <c r="C11">
        <v>645</v>
      </c>
      <c r="D11">
        <v>26</v>
      </c>
    </row>
    <row r="12" spans="1:4" x14ac:dyDescent="0.3">
      <c r="A12" s="11" t="s">
        <v>542</v>
      </c>
      <c r="B12">
        <v>38.093333333333334</v>
      </c>
      <c r="C12">
        <v>271</v>
      </c>
      <c r="D12">
        <v>20</v>
      </c>
    </row>
    <row r="13" spans="1:4" x14ac:dyDescent="0.3">
      <c r="A13" s="11" t="s">
        <v>563</v>
      </c>
      <c r="B13">
        <v>37.25</v>
      </c>
      <c r="C13">
        <v>3</v>
      </c>
      <c r="D13">
        <v>4</v>
      </c>
    </row>
    <row r="14" spans="1:4" x14ac:dyDescent="0.3">
      <c r="A14" s="11" t="s">
        <v>199</v>
      </c>
      <c r="B14">
        <v>36.602499999999992</v>
      </c>
      <c r="C14">
        <v>295</v>
      </c>
      <c r="D14">
        <v>33</v>
      </c>
    </row>
    <row r="15" spans="1:4" x14ac:dyDescent="0.3">
      <c r="A15" s="11" t="s">
        <v>627</v>
      </c>
      <c r="B15">
        <v>36.266666666666666</v>
      </c>
      <c r="C15">
        <v>1</v>
      </c>
      <c r="D15">
        <v>12</v>
      </c>
    </row>
    <row r="16" spans="1:4" x14ac:dyDescent="0.3">
      <c r="A16" s="11" t="s">
        <v>17</v>
      </c>
      <c r="B16">
        <v>36.041999999999987</v>
      </c>
      <c r="C16">
        <v>1193</v>
      </c>
      <c r="D16">
        <v>0</v>
      </c>
    </row>
    <row r="17" spans="1:4" x14ac:dyDescent="0.3">
      <c r="A17" s="11" t="s">
        <v>197</v>
      </c>
      <c r="B17">
        <v>35.69638888888889</v>
      </c>
      <c r="C17">
        <v>405</v>
      </c>
      <c r="D17">
        <v>11</v>
      </c>
    </row>
    <row r="18" spans="1:4" x14ac:dyDescent="0.3">
      <c r="A18" s="11" t="s">
        <v>211</v>
      </c>
      <c r="B18">
        <v>35.323437499999997</v>
      </c>
      <c r="C18">
        <v>818</v>
      </c>
      <c r="D18">
        <v>15</v>
      </c>
    </row>
    <row r="19" spans="1:4" x14ac:dyDescent="0.3">
      <c r="A19" s="11" t="s">
        <v>189</v>
      </c>
      <c r="B19">
        <v>35.279864864864862</v>
      </c>
      <c r="C19">
        <v>1124</v>
      </c>
      <c r="D19">
        <v>3</v>
      </c>
    </row>
    <row r="20" spans="1:4" x14ac:dyDescent="0.3">
      <c r="A20" s="11" t="s">
        <v>193</v>
      </c>
      <c r="B20">
        <v>34.835441176470589</v>
      </c>
      <c r="C20">
        <v>411</v>
      </c>
      <c r="D20">
        <v>38</v>
      </c>
    </row>
    <row r="21" spans="1:4" x14ac:dyDescent="0.3">
      <c r="A21" s="11" t="s">
        <v>567</v>
      </c>
      <c r="B21">
        <v>34.133333333333333</v>
      </c>
      <c r="C21">
        <v>324</v>
      </c>
      <c r="D21">
        <v>0</v>
      </c>
    </row>
    <row r="22" spans="1:4" x14ac:dyDescent="0.3">
      <c r="A22" s="11" t="s">
        <v>118</v>
      </c>
      <c r="B22">
        <v>33.896323529411767</v>
      </c>
      <c r="C22">
        <v>811</v>
      </c>
      <c r="D22">
        <v>31</v>
      </c>
    </row>
    <row r="23" spans="1:4" x14ac:dyDescent="0.3">
      <c r="A23" s="11" t="s">
        <v>596</v>
      </c>
      <c r="B23">
        <v>33.4</v>
      </c>
      <c r="C23">
        <v>0</v>
      </c>
      <c r="D23">
        <v>1</v>
      </c>
    </row>
    <row r="24" spans="1:4" x14ac:dyDescent="0.3">
      <c r="A24" s="11" t="s">
        <v>191</v>
      </c>
      <c r="B24">
        <v>33.122285714285717</v>
      </c>
      <c r="C24">
        <v>1200</v>
      </c>
      <c r="D24">
        <v>0</v>
      </c>
    </row>
    <row r="25" spans="1:4" x14ac:dyDescent="0.3">
      <c r="A25" s="11" t="s">
        <v>100</v>
      </c>
      <c r="B25">
        <v>32.638750000000002</v>
      </c>
      <c r="C25">
        <v>76</v>
      </c>
      <c r="D25">
        <v>18</v>
      </c>
    </row>
    <row r="26" spans="1:4" x14ac:dyDescent="0.3">
      <c r="A26" s="11" t="s">
        <v>502</v>
      </c>
      <c r="B26">
        <v>32.518181818181816</v>
      </c>
      <c r="C26">
        <v>199</v>
      </c>
      <c r="D26">
        <v>11</v>
      </c>
    </row>
    <row r="27" spans="1:4" x14ac:dyDescent="0.3">
      <c r="A27" s="11" t="s">
        <v>160</v>
      </c>
      <c r="B27">
        <v>31.899999999999995</v>
      </c>
      <c r="C27">
        <v>0</v>
      </c>
      <c r="D27">
        <v>7</v>
      </c>
    </row>
    <row r="28" spans="1:4" x14ac:dyDescent="0.3">
      <c r="A28" s="11" t="s">
        <v>257</v>
      </c>
      <c r="B28">
        <v>31.757291666666664</v>
      </c>
      <c r="C28">
        <v>109</v>
      </c>
      <c r="D28">
        <v>30</v>
      </c>
    </row>
    <row r="29" spans="1:4" x14ac:dyDescent="0.3">
      <c r="A29" s="11" t="s">
        <v>636</v>
      </c>
      <c r="B29">
        <v>31.290000000000003</v>
      </c>
      <c r="C29">
        <v>320</v>
      </c>
      <c r="D29">
        <v>0</v>
      </c>
    </row>
    <row r="30" spans="1:4" x14ac:dyDescent="0.3">
      <c r="A30" s="11" t="s">
        <v>638</v>
      </c>
      <c r="B30">
        <v>31.249999999999993</v>
      </c>
      <c r="C30">
        <v>1</v>
      </c>
      <c r="D30">
        <v>17</v>
      </c>
    </row>
    <row r="31" spans="1:4" x14ac:dyDescent="0.3">
      <c r="A31" s="11" t="s">
        <v>225</v>
      </c>
      <c r="B31">
        <v>30.412121212121214</v>
      </c>
      <c r="C31">
        <v>638</v>
      </c>
      <c r="D31">
        <v>31</v>
      </c>
    </row>
    <row r="32" spans="1:4" x14ac:dyDescent="0.3">
      <c r="A32" s="11" t="s">
        <v>632</v>
      </c>
      <c r="B32">
        <v>30.271428571428572</v>
      </c>
      <c r="C32">
        <v>177</v>
      </c>
      <c r="D32">
        <v>0</v>
      </c>
    </row>
    <row r="33" spans="1:4" x14ac:dyDescent="0.3">
      <c r="A33" s="11" t="s">
        <v>124</v>
      </c>
      <c r="B33">
        <v>30.141785714285714</v>
      </c>
      <c r="C33">
        <v>412</v>
      </c>
      <c r="D33">
        <v>27</v>
      </c>
    </row>
    <row r="34" spans="1:4" x14ac:dyDescent="0.3">
      <c r="A34" s="11" t="s">
        <v>637</v>
      </c>
      <c r="B34">
        <v>28.690000000000005</v>
      </c>
      <c r="C34">
        <v>21</v>
      </c>
      <c r="D34">
        <v>14</v>
      </c>
    </row>
    <row r="35" spans="1:4" x14ac:dyDescent="0.3">
      <c r="A35" s="11" t="s">
        <v>372</v>
      </c>
      <c r="B35">
        <v>28.49</v>
      </c>
      <c r="C35">
        <v>78</v>
      </c>
      <c r="D35">
        <v>12</v>
      </c>
    </row>
    <row r="36" spans="1:4" x14ac:dyDescent="0.3">
      <c r="A36" s="11" t="s">
        <v>500</v>
      </c>
      <c r="B36">
        <v>28.355555555555551</v>
      </c>
      <c r="C36">
        <v>110</v>
      </c>
      <c r="D36">
        <v>19</v>
      </c>
    </row>
    <row r="37" spans="1:4" x14ac:dyDescent="0.3">
      <c r="A37" s="11" t="s">
        <v>166</v>
      </c>
      <c r="B37">
        <v>28.059714285714279</v>
      </c>
      <c r="C37">
        <v>1023</v>
      </c>
      <c r="D37">
        <v>0</v>
      </c>
    </row>
    <row r="38" spans="1:4" x14ac:dyDescent="0.3">
      <c r="A38" s="11" t="s">
        <v>241</v>
      </c>
      <c r="B38">
        <v>27.05416666666666</v>
      </c>
      <c r="C38">
        <v>121</v>
      </c>
      <c r="D38">
        <v>0</v>
      </c>
    </row>
    <row r="39" spans="1:4" x14ac:dyDescent="0.3">
      <c r="A39" s="11" t="s">
        <v>223</v>
      </c>
      <c r="B39">
        <v>26.954166666666662</v>
      </c>
      <c r="C39">
        <v>355</v>
      </c>
      <c r="D39">
        <v>5</v>
      </c>
    </row>
    <row r="40" spans="1:4" x14ac:dyDescent="0.3">
      <c r="A40" s="11" t="s">
        <v>205</v>
      </c>
      <c r="B40">
        <v>26.504142857142856</v>
      </c>
      <c r="C40">
        <v>120</v>
      </c>
      <c r="D40">
        <v>37</v>
      </c>
    </row>
    <row r="41" spans="1:4" x14ac:dyDescent="0.3">
      <c r="A41" s="11" t="s">
        <v>218</v>
      </c>
      <c r="B41">
        <v>26.379705882352933</v>
      </c>
      <c r="C41">
        <v>428</v>
      </c>
      <c r="D41">
        <v>0</v>
      </c>
    </row>
    <row r="42" spans="1:4" x14ac:dyDescent="0.3">
      <c r="A42" s="11" t="s">
        <v>177</v>
      </c>
      <c r="B42">
        <v>26.197857142857142</v>
      </c>
      <c r="C42">
        <v>814</v>
      </c>
      <c r="D42">
        <v>0</v>
      </c>
    </row>
    <row r="43" spans="1:4" x14ac:dyDescent="0.3">
      <c r="A43" s="11" t="s">
        <v>195</v>
      </c>
      <c r="B43">
        <v>25.97445945945946</v>
      </c>
      <c r="C43">
        <v>771</v>
      </c>
      <c r="D43">
        <v>0</v>
      </c>
    </row>
    <row r="44" spans="1:4" x14ac:dyDescent="0.3">
      <c r="A44" s="11" t="s">
        <v>498</v>
      </c>
      <c r="B44">
        <v>25.966666666666669</v>
      </c>
      <c r="C44">
        <v>8</v>
      </c>
      <c r="D44">
        <v>3</v>
      </c>
    </row>
    <row r="45" spans="1:4" x14ac:dyDescent="0.3">
      <c r="A45" s="11" t="s">
        <v>234</v>
      </c>
      <c r="B45">
        <v>25.940909090909095</v>
      </c>
      <c r="C45">
        <v>213</v>
      </c>
      <c r="D45">
        <v>43</v>
      </c>
    </row>
    <row r="46" spans="1:4" x14ac:dyDescent="0.3">
      <c r="A46" s="11" t="s">
        <v>114</v>
      </c>
      <c r="B46">
        <v>25.686111111111114</v>
      </c>
      <c r="C46">
        <v>780</v>
      </c>
      <c r="D46">
        <v>0</v>
      </c>
    </row>
    <row r="47" spans="1:4" x14ac:dyDescent="0.3">
      <c r="A47" s="11" t="s">
        <v>84</v>
      </c>
      <c r="B47">
        <v>25.636607142857134</v>
      </c>
      <c r="C47">
        <v>506</v>
      </c>
      <c r="D47">
        <v>0</v>
      </c>
    </row>
    <row r="48" spans="1:4" x14ac:dyDescent="0.3">
      <c r="A48" s="11" t="s">
        <v>293</v>
      </c>
      <c r="B48">
        <v>25.224347826086959</v>
      </c>
      <c r="C48">
        <v>659</v>
      </c>
      <c r="D48">
        <v>0</v>
      </c>
    </row>
    <row r="49" spans="1:4" x14ac:dyDescent="0.3">
      <c r="A49" s="11" t="s">
        <v>652</v>
      </c>
      <c r="B49">
        <v>25.08</v>
      </c>
      <c r="C49">
        <v>85</v>
      </c>
      <c r="D49">
        <v>2</v>
      </c>
    </row>
    <row r="50" spans="1:4" x14ac:dyDescent="0.3">
      <c r="A50" s="11" t="s">
        <v>207</v>
      </c>
      <c r="B50">
        <v>24.988620689655171</v>
      </c>
      <c r="C50">
        <v>188</v>
      </c>
      <c r="D50">
        <v>16</v>
      </c>
    </row>
    <row r="51" spans="1:4" x14ac:dyDescent="0.3">
      <c r="A51" s="11" t="s">
        <v>106</v>
      </c>
      <c r="B51">
        <v>24.865217391304348</v>
      </c>
      <c r="C51">
        <v>1</v>
      </c>
      <c r="D51">
        <v>25</v>
      </c>
    </row>
    <row r="52" spans="1:4" x14ac:dyDescent="0.3">
      <c r="A52" s="11" t="s">
        <v>120</v>
      </c>
      <c r="B52">
        <v>24.608823529411765</v>
      </c>
      <c r="C52">
        <v>150</v>
      </c>
      <c r="D52">
        <v>13</v>
      </c>
    </row>
    <row r="53" spans="1:4" x14ac:dyDescent="0.3">
      <c r="A53" s="11" t="s">
        <v>425</v>
      </c>
      <c r="B53">
        <v>24.580000000000002</v>
      </c>
      <c r="C53">
        <v>23</v>
      </c>
      <c r="D53">
        <v>10</v>
      </c>
    </row>
    <row r="54" spans="1:4" x14ac:dyDescent="0.3">
      <c r="A54" s="11" t="s">
        <v>264</v>
      </c>
      <c r="B54">
        <v>24.464074074074073</v>
      </c>
      <c r="C54">
        <v>12</v>
      </c>
      <c r="D54">
        <v>26</v>
      </c>
    </row>
    <row r="55" spans="1:4" x14ac:dyDescent="0.3">
      <c r="A55" s="11" t="s">
        <v>244</v>
      </c>
      <c r="B55">
        <v>24.106000000000002</v>
      </c>
      <c r="C55">
        <v>71</v>
      </c>
      <c r="D55">
        <v>19</v>
      </c>
    </row>
    <row r="56" spans="1:4" x14ac:dyDescent="0.3">
      <c r="A56" s="11" t="s">
        <v>171</v>
      </c>
      <c r="B56">
        <v>24.015625</v>
      </c>
      <c r="C56">
        <v>135</v>
      </c>
      <c r="D56">
        <v>4</v>
      </c>
    </row>
    <row r="57" spans="1:4" x14ac:dyDescent="0.3">
      <c r="A57" s="11" t="s">
        <v>98</v>
      </c>
      <c r="B57">
        <v>23.886111111111113</v>
      </c>
      <c r="C57">
        <v>126</v>
      </c>
      <c r="D57">
        <v>7</v>
      </c>
    </row>
    <row r="58" spans="1:4" x14ac:dyDescent="0.3">
      <c r="A58" s="11" t="s">
        <v>439</v>
      </c>
      <c r="B58">
        <v>23.325000000000003</v>
      </c>
      <c r="C58">
        <v>1</v>
      </c>
      <c r="D58">
        <v>4</v>
      </c>
    </row>
    <row r="59" spans="1:4" x14ac:dyDescent="0.3">
      <c r="A59" s="11" t="s">
        <v>645</v>
      </c>
      <c r="B59">
        <v>23.100000000000005</v>
      </c>
      <c r="C59">
        <v>86</v>
      </c>
      <c r="D59">
        <v>0</v>
      </c>
    </row>
    <row r="60" spans="1:4" x14ac:dyDescent="0.3">
      <c r="A60" s="11" t="s">
        <v>108</v>
      </c>
      <c r="B60">
        <v>22.761216216216219</v>
      </c>
      <c r="C60">
        <v>348</v>
      </c>
      <c r="D60">
        <v>9</v>
      </c>
    </row>
    <row r="61" spans="1:4" x14ac:dyDescent="0.3">
      <c r="A61" s="11" t="s">
        <v>448</v>
      </c>
      <c r="B61">
        <v>22.6</v>
      </c>
      <c r="C61">
        <v>316</v>
      </c>
      <c r="D61">
        <v>0</v>
      </c>
    </row>
    <row r="62" spans="1:4" x14ac:dyDescent="0.3">
      <c r="A62" s="11" t="s">
        <v>203</v>
      </c>
      <c r="B62">
        <v>22.300185185185185</v>
      </c>
      <c r="C62">
        <v>94</v>
      </c>
      <c r="D62">
        <v>16</v>
      </c>
    </row>
    <row r="63" spans="1:4" x14ac:dyDescent="0.3">
      <c r="A63" s="11" t="s">
        <v>488</v>
      </c>
      <c r="B63">
        <v>22.214285714285715</v>
      </c>
      <c r="C63">
        <v>151</v>
      </c>
      <c r="D63">
        <v>0</v>
      </c>
    </row>
    <row r="64" spans="1:4" x14ac:dyDescent="0.3">
      <c r="A64" s="11" t="s">
        <v>664</v>
      </c>
      <c r="B64">
        <v>22</v>
      </c>
      <c r="C64">
        <v>36</v>
      </c>
      <c r="D64">
        <v>0</v>
      </c>
    </row>
    <row r="65" spans="1:4" x14ac:dyDescent="0.3">
      <c r="A65" s="11" t="s">
        <v>384</v>
      </c>
      <c r="B65">
        <v>21.665749999999996</v>
      </c>
      <c r="C65">
        <v>442</v>
      </c>
      <c r="D65">
        <v>0</v>
      </c>
    </row>
    <row r="66" spans="1:4" x14ac:dyDescent="0.3">
      <c r="A66" s="11" t="s">
        <v>592</v>
      </c>
      <c r="B66">
        <v>21.2</v>
      </c>
      <c r="C66">
        <v>9</v>
      </c>
      <c r="D66">
        <v>1</v>
      </c>
    </row>
    <row r="67" spans="1:4" x14ac:dyDescent="0.3">
      <c r="A67" s="11" t="s">
        <v>116</v>
      </c>
      <c r="B67">
        <v>21.076428571428576</v>
      </c>
      <c r="C67">
        <v>649</v>
      </c>
      <c r="D67">
        <v>1</v>
      </c>
    </row>
    <row r="68" spans="1:4" x14ac:dyDescent="0.3">
      <c r="A68" s="11" t="s">
        <v>628</v>
      </c>
      <c r="B68">
        <v>20.933333333333334</v>
      </c>
      <c r="C68">
        <v>0</v>
      </c>
      <c r="D68">
        <v>0</v>
      </c>
    </row>
    <row r="69" spans="1:4" x14ac:dyDescent="0.3">
      <c r="A69" s="11" t="s">
        <v>82</v>
      </c>
      <c r="B69">
        <v>20.154999999999998</v>
      </c>
      <c r="C69">
        <v>302</v>
      </c>
      <c r="D69">
        <v>0</v>
      </c>
    </row>
    <row r="70" spans="1:4" x14ac:dyDescent="0.3">
      <c r="A70" s="11" t="s">
        <v>238</v>
      </c>
      <c r="B70">
        <v>20.031999999999996</v>
      </c>
      <c r="C70">
        <v>8</v>
      </c>
      <c r="D70">
        <v>24</v>
      </c>
    </row>
    <row r="71" spans="1:4" x14ac:dyDescent="0.3">
      <c r="A71" s="11" t="s">
        <v>707</v>
      </c>
      <c r="B71">
        <v>20</v>
      </c>
    </row>
    <row r="72" spans="1:4" x14ac:dyDescent="0.3">
      <c r="A72" s="11" t="s">
        <v>671</v>
      </c>
      <c r="B72">
        <v>20</v>
      </c>
      <c r="C72">
        <v>0</v>
      </c>
      <c r="D72">
        <v>0</v>
      </c>
    </row>
    <row r="73" spans="1:4" x14ac:dyDescent="0.3">
      <c r="A73" s="11" t="s">
        <v>294</v>
      </c>
      <c r="B73">
        <v>20</v>
      </c>
      <c r="C73">
        <v>0</v>
      </c>
      <c r="D73">
        <v>0</v>
      </c>
    </row>
    <row r="74" spans="1:4" x14ac:dyDescent="0.3">
      <c r="A74" s="11" t="s">
        <v>423</v>
      </c>
      <c r="B74">
        <v>19.985714285714288</v>
      </c>
      <c r="C74">
        <v>0</v>
      </c>
      <c r="D74">
        <v>3</v>
      </c>
    </row>
    <row r="75" spans="1:4" x14ac:dyDescent="0.3">
      <c r="A75" s="11" t="s">
        <v>181</v>
      </c>
      <c r="B75">
        <v>19.467391304347828</v>
      </c>
      <c r="C75">
        <v>55</v>
      </c>
      <c r="D75">
        <v>20</v>
      </c>
    </row>
    <row r="76" spans="1:4" x14ac:dyDescent="0.3">
      <c r="A76" s="11" t="s">
        <v>538</v>
      </c>
      <c r="B76">
        <v>19.372727272727271</v>
      </c>
      <c r="C76">
        <v>80</v>
      </c>
      <c r="D76">
        <v>0</v>
      </c>
    </row>
    <row r="77" spans="1:4" x14ac:dyDescent="0.3">
      <c r="A77" s="11" t="s">
        <v>232</v>
      </c>
      <c r="B77">
        <v>19.290714285714291</v>
      </c>
      <c r="C77">
        <v>77</v>
      </c>
      <c r="D77">
        <v>1</v>
      </c>
    </row>
    <row r="78" spans="1:4" x14ac:dyDescent="0.3">
      <c r="A78" s="11" t="s">
        <v>414</v>
      </c>
      <c r="B78">
        <v>19.287499999999998</v>
      </c>
      <c r="C78">
        <v>28</v>
      </c>
      <c r="D78">
        <v>3</v>
      </c>
    </row>
    <row r="79" spans="1:4" x14ac:dyDescent="0.3">
      <c r="A79" s="11" t="s">
        <v>501</v>
      </c>
      <c r="B79">
        <v>19.211111111111116</v>
      </c>
      <c r="C79">
        <v>4</v>
      </c>
      <c r="D79">
        <v>6</v>
      </c>
    </row>
    <row r="80" spans="1:4" x14ac:dyDescent="0.3">
      <c r="A80" s="11" t="s">
        <v>284</v>
      </c>
      <c r="B80">
        <v>18.957692307692305</v>
      </c>
      <c r="C80">
        <v>28</v>
      </c>
      <c r="D80">
        <v>15</v>
      </c>
    </row>
    <row r="81" spans="1:4" x14ac:dyDescent="0.3">
      <c r="A81" s="11" t="s">
        <v>348</v>
      </c>
      <c r="B81">
        <v>18.900000000000006</v>
      </c>
      <c r="C81">
        <v>241</v>
      </c>
      <c r="D81">
        <v>3</v>
      </c>
    </row>
    <row r="82" spans="1:4" x14ac:dyDescent="0.3">
      <c r="A82" s="11" t="s">
        <v>539</v>
      </c>
      <c r="B82">
        <v>18.68</v>
      </c>
      <c r="C82">
        <v>0</v>
      </c>
      <c r="D82">
        <v>1</v>
      </c>
    </row>
    <row r="83" spans="1:4" x14ac:dyDescent="0.3">
      <c r="A83" s="11" t="s">
        <v>128</v>
      </c>
      <c r="B83">
        <v>17.838181818181813</v>
      </c>
      <c r="C83">
        <v>168</v>
      </c>
      <c r="D83">
        <v>23</v>
      </c>
    </row>
    <row r="84" spans="1:4" x14ac:dyDescent="0.3">
      <c r="A84" s="11" t="s">
        <v>122</v>
      </c>
      <c r="B84">
        <v>17.6738</v>
      </c>
      <c r="C84">
        <v>304</v>
      </c>
      <c r="D84">
        <v>0</v>
      </c>
    </row>
    <row r="85" spans="1:4" x14ac:dyDescent="0.3">
      <c r="A85" s="11" t="s">
        <v>187</v>
      </c>
      <c r="B85">
        <v>17.536406249999995</v>
      </c>
      <c r="C85">
        <v>19</v>
      </c>
      <c r="D85">
        <v>20</v>
      </c>
    </row>
    <row r="86" spans="1:4" x14ac:dyDescent="0.3">
      <c r="A86" s="11" t="s">
        <v>519</v>
      </c>
      <c r="B86">
        <v>17.388888888888893</v>
      </c>
      <c r="C86">
        <v>33</v>
      </c>
      <c r="D86">
        <v>5</v>
      </c>
    </row>
    <row r="87" spans="1:4" x14ac:dyDescent="0.3">
      <c r="A87" s="11" t="s">
        <v>179</v>
      </c>
      <c r="B87">
        <v>17.25041666666667</v>
      </c>
      <c r="C87">
        <v>250</v>
      </c>
      <c r="D87">
        <v>3</v>
      </c>
    </row>
    <row r="88" spans="1:4" x14ac:dyDescent="0.3">
      <c r="A88" s="11" t="s">
        <v>230</v>
      </c>
      <c r="B88">
        <v>17.155806451612907</v>
      </c>
      <c r="C88">
        <v>435</v>
      </c>
      <c r="D88">
        <v>0</v>
      </c>
    </row>
    <row r="89" spans="1:4" x14ac:dyDescent="0.3">
      <c r="A89" s="11" t="s">
        <v>386</v>
      </c>
      <c r="B89">
        <v>17.116249999999997</v>
      </c>
      <c r="C89">
        <v>83</v>
      </c>
      <c r="D89">
        <v>4</v>
      </c>
    </row>
    <row r="90" spans="1:4" x14ac:dyDescent="0.3">
      <c r="A90" s="11" t="s">
        <v>390</v>
      </c>
      <c r="B90">
        <v>16.276923076923076</v>
      </c>
      <c r="C90">
        <v>20</v>
      </c>
      <c r="D90">
        <v>9</v>
      </c>
    </row>
    <row r="91" spans="1:4" x14ac:dyDescent="0.3">
      <c r="A91" s="11" t="s">
        <v>503</v>
      </c>
      <c r="B91">
        <v>16.133333333333336</v>
      </c>
      <c r="C91">
        <v>153</v>
      </c>
      <c r="D91">
        <v>0</v>
      </c>
    </row>
    <row r="92" spans="1:4" x14ac:dyDescent="0.3">
      <c r="A92" s="11" t="s">
        <v>648</v>
      </c>
      <c r="B92">
        <v>16</v>
      </c>
      <c r="C92">
        <v>27</v>
      </c>
      <c r="D92">
        <v>0</v>
      </c>
    </row>
    <row r="93" spans="1:4" x14ac:dyDescent="0.3">
      <c r="A93" s="11" t="s">
        <v>518</v>
      </c>
      <c r="B93">
        <v>15.888888888888889</v>
      </c>
      <c r="C93">
        <v>60</v>
      </c>
      <c r="D93">
        <v>0</v>
      </c>
    </row>
    <row r="94" spans="1:4" x14ac:dyDescent="0.3">
      <c r="A94" s="11" t="s">
        <v>430</v>
      </c>
      <c r="B94">
        <v>15.375</v>
      </c>
      <c r="C94">
        <v>14</v>
      </c>
      <c r="D94">
        <v>3</v>
      </c>
    </row>
    <row r="95" spans="1:4" x14ac:dyDescent="0.3">
      <c r="A95" s="11" t="s">
        <v>315</v>
      </c>
      <c r="B95">
        <v>15.3</v>
      </c>
      <c r="C95">
        <v>0</v>
      </c>
      <c r="D95">
        <v>3</v>
      </c>
    </row>
    <row r="96" spans="1:4" x14ac:dyDescent="0.3">
      <c r="A96" s="11" t="s">
        <v>185</v>
      </c>
      <c r="B96">
        <v>15.297857142857142</v>
      </c>
      <c r="C96">
        <v>52</v>
      </c>
      <c r="D96">
        <v>4</v>
      </c>
    </row>
    <row r="97" spans="1:4" x14ac:dyDescent="0.3">
      <c r="A97" s="11" t="s">
        <v>499</v>
      </c>
      <c r="B97">
        <v>15</v>
      </c>
      <c r="C97">
        <v>0</v>
      </c>
      <c r="D97">
        <v>0</v>
      </c>
    </row>
    <row r="98" spans="1:4" x14ac:dyDescent="0.3">
      <c r="A98" s="11" t="s">
        <v>346</v>
      </c>
      <c r="B98">
        <v>15</v>
      </c>
      <c r="C98">
        <v>0</v>
      </c>
      <c r="D98">
        <v>0</v>
      </c>
    </row>
    <row r="99" spans="1:4" x14ac:dyDescent="0.3">
      <c r="A99" s="11" t="s">
        <v>103</v>
      </c>
      <c r="B99">
        <v>14.853846153846153</v>
      </c>
      <c r="C99">
        <v>6</v>
      </c>
      <c r="D99">
        <v>1</v>
      </c>
    </row>
    <row r="100" spans="1:4" x14ac:dyDescent="0.3">
      <c r="A100" s="11" t="s">
        <v>126</v>
      </c>
      <c r="B100">
        <v>14.809444444444445</v>
      </c>
      <c r="C100">
        <v>136</v>
      </c>
      <c r="D100">
        <v>13</v>
      </c>
    </row>
    <row r="101" spans="1:4" x14ac:dyDescent="0.3">
      <c r="A101" s="11" t="s">
        <v>378</v>
      </c>
      <c r="B101">
        <v>14.605</v>
      </c>
      <c r="C101">
        <v>38</v>
      </c>
      <c r="D101">
        <v>3</v>
      </c>
    </row>
    <row r="102" spans="1:4" x14ac:dyDescent="0.3">
      <c r="A102" s="11" t="s">
        <v>201</v>
      </c>
      <c r="B102">
        <v>13.545277777777777</v>
      </c>
      <c r="C102">
        <v>5</v>
      </c>
      <c r="D102">
        <v>0</v>
      </c>
    </row>
    <row r="103" spans="1:4" x14ac:dyDescent="0.3">
      <c r="A103" s="11" t="s">
        <v>111</v>
      </c>
      <c r="B103">
        <v>13.378529411764706</v>
      </c>
      <c r="C103">
        <v>18</v>
      </c>
      <c r="D103">
        <v>0</v>
      </c>
    </row>
    <row r="104" spans="1:4" x14ac:dyDescent="0.3">
      <c r="A104" s="11" t="s">
        <v>452</v>
      </c>
      <c r="B104">
        <v>13.333333333333334</v>
      </c>
      <c r="C104">
        <v>0</v>
      </c>
      <c r="D104">
        <v>0</v>
      </c>
    </row>
    <row r="105" spans="1:4" x14ac:dyDescent="0.3">
      <c r="A105" s="11" t="s">
        <v>312</v>
      </c>
      <c r="B105">
        <v>13.333333333333334</v>
      </c>
      <c r="C105">
        <v>0</v>
      </c>
      <c r="D105">
        <v>0</v>
      </c>
    </row>
    <row r="106" spans="1:4" x14ac:dyDescent="0.3">
      <c r="A106" s="11" t="s">
        <v>236</v>
      </c>
      <c r="B106">
        <v>13.117333333333335</v>
      </c>
      <c r="C106">
        <v>19</v>
      </c>
      <c r="D106">
        <v>7</v>
      </c>
    </row>
    <row r="107" spans="1:4" x14ac:dyDescent="0.3">
      <c r="A107" s="11" t="s">
        <v>497</v>
      </c>
      <c r="B107">
        <v>13.042857142857143</v>
      </c>
      <c r="C107">
        <v>95</v>
      </c>
      <c r="D107">
        <v>0</v>
      </c>
    </row>
    <row r="108" spans="1:4" x14ac:dyDescent="0.3">
      <c r="A108" s="11" t="s">
        <v>279</v>
      </c>
      <c r="B108">
        <v>12.909117647058824</v>
      </c>
      <c r="C108">
        <v>103</v>
      </c>
      <c r="D108">
        <v>1</v>
      </c>
    </row>
    <row r="109" spans="1:4" x14ac:dyDescent="0.3">
      <c r="A109" s="11" t="s">
        <v>672</v>
      </c>
      <c r="B109">
        <v>12.9</v>
      </c>
      <c r="C109">
        <v>0</v>
      </c>
      <c r="D109">
        <v>1</v>
      </c>
    </row>
    <row r="110" spans="1:4" x14ac:dyDescent="0.3">
      <c r="A110" s="11" t="s">
        <v>221</v>
      </c>
      <c r="B110">
        <v>12.515166666666666</v>
      </c>
      <c r="C110">
        <v>307</v>
      </c>
      <c r="D110">
        <v>0</v>
      </c>
    </row>
    <row r="111" spans="1:4" x14ac:dyDescent="0.3">
      <c r="A111" s="11" t="s">
        <v>523</v>
      </c>
      <c r="B111">
        <v>11.512499999999999</v>
      </c>
      <c r="C111">
        <v>9</v>
      </c>
      <c r="D111">
        <v>5</v>
      </c>
    </row>
    <row r="112" spans="1:4" x14ac:dyDescent="0.3">
      <c r="A112" s="11" t="s">
        <v>132</v>
      </c>
      <c r="B112">
        <v>11.378333333333336</v>
      </c>
      <c r="C112">
        <v>18</v>
      </c>
      <c r="D112">
        <v>2</v>
      </c>
    </row>
    <row r="113" spans="1:4" x14ac:dyDescent="0.3">
      <c r="A113" s="11" t="s">
        <v>443</v>
      </c>
      <c r="B113">
        <v>11.355555555555554</v>
      </c>
      <c r="C113">
        <v>80</v>
      </c>
      <c r="D113">
        <v>0</v>
      </c>
    </row>
    <row r="114" spans="1:4" x14ac:dyDescent="0.3">
      <c r="A114" s="11" t="s">
        <v>304</v>
      </c>
      <c r="B114">
        <v>11</v>
      </c>
      <c r="C114">
        <v>4</v>
      </c>
      <c r="D114">
        <v>0</v>
      </c>
    </row>
    <row r="115" spans="1:4" x14ac:dyDescent="0.3">
      <c r="A115" s="11" t="s">
        <v>376</v>
      </c>
      <c r="B115">
        <v>10.723888888888888</v>
      </c>
      <c r="C115">
        <v>102</v>
      </c>
      <c r="D115">
        <v>0</v>
      </c>
    </row>
    <row r="116" spans="1:4" x14ac:dyDescent="0.3">
      <c r="A116" s="11" t="s">
        <v>416</v>
      </c>
      <c r="B116">
        <v>10.7</v>
      </c>
      <c r="C116">
        <v>0</v>
      </c>
      <c r="D116">
        <v>0</v>
      </c>
    </row>
    <row r="117" spans="1:4" x14ac:dyDescent="0.3">
      <c r="A117" s="11" t="s">
        <v>374</v>
      </c>
      <c r="B117">
        <v>10.5</v>
      </c>
      <c r="C117">
        <v>3</v>
      </c>
      <c r="D117">
        <v>0</v>
      </c>
    </row>
    <row r="118" spans="1:4" x14ac:dyDescent="0.3">
      <c r="A118" s="11" t="s">
        <v>173</v>
      </c>
      <c r="B118">
        <v>10.448</v>
      </c>
      <c r="C118">
        <v>11</v>
      </c>
      <c r="D118">
        <v>0</v>
      </c>
    </row>
    <row r="119" spans="1:4" x14ac:dyDescent="0.3">
      <c r="A119" s="11" t="s">
        <v>228</v>
      </c>
      <c r="B119">
        <v>10.183823529411764</v>
      </c>
      <c r="C119">
        <v>115</v>
      </c>
      <c r="D119">
        <v>0</v>
      </c>
    </row>
    <row r="120" spans="1:4" x14ac:dyDescent="0.3">
      <c r="A120" s="11" t="s">
        <v>668</v>
      </c>
      <c r="B120">
        <v>10</v>
      </c>
      <c r="C120">
        <v>0</v>
      </c>
      <c r="D120">
        <v>0</v>
      </c>
    </row>
    <row r="121" spans="1:4" x14ac:dyDescent="0.3">
      <c r="A121" s="11" t="s">
        <v>639</v>
      </c>
      <c r="B121">
        <v>10</v>
      </c>
      <c r="C121">
        <v>0</v>
      </c>
      <c r="D121">
        <v>0</v>
      </c>
    </row>
    <row r="122" spans="1:4" x14ac:dyDescent="0.3">
      <c r="A122" s="11" t="s">
        <v>522</v>
      </c>
      <c r="B122">
        <v>9.6</v>
      </c>
      <c r="C122">
        <v>19</v>
      </c>
      <c r="D122">
        <v>0</v>
      </c>
    </row>
    <row r="123" spans="1:4" x14ac:dyDescent="0.3">
      <c r="A123" s="11" t="s">
        <v>395</v>
      </c>
      <c r="B123">
        <v>9.2200000000000006</v>
      </c>
      <c r="C123">
        <v>3</v>
      </c>
      <c r="D123">
        <v>0</v>
      </c>
    </row>
    <row r="124" spans="1:4" x14ac:dyDescent="0.3">
      <c r="A124" s="11" t="s">
        <v>183</v>
      </c>
      <c r="B124">
        <v>9.1</v>
      </c>
      <c r="C124">
        <v>3</v>
      </c>
      <c r="D124">
        <v>3</v>
      </c>
    </row>
    <row r="125" spans="1:4" x14ac:dyDescent="0.3">
      <c r="A125" s="11" t="s">
        <v>243</v>
      </c>
      <c r="B125">
        <v>9.0042857142857127</v>
      </c>
      <c r="C125">
        <v>42</v>
      </c>
      <c r="D125">
        <v>0</v>
      </c>
    </row>
    <row r="126" spans="1:4" x14ac:dyDescent="0.3">
      <c r="A126" s="11" t="s">
        <v>456</v>
      </c>
      <c r="B126">
        <v>8.65</v>
      </c>
      <c r="C126">
        <v>19</v>
      </c>
      <c r="D126">
        <v>0</v>
      </c>
    </row>
    <row r="127" spans="1:4" x14ac:dyDescent="0.3">
      <c r="A127" s="11" t="s">
        <v>287</v>
      </c>
      <c r="B127">
        <v>8.6</v>
      </c>
      <c r="C127">
        <v>12</v>
      </c>
      <c r="D127">
        <v>0</v>
      </c>
    </row>
    <row r="128" spans="1:4" x14ac:dyDescent="0.3">
      <c r="A128" s="11" t="s">
        <v>691</v>
      </c>
      <c r="B128">
        <v>8.1</v>
      </c>
      <c r="C128">
        <v>12</v>
      </c>
      <c r="D128">
        <v>0</v>
      </c>
    </row>
    <row r="129" spans="1:4" x14ac:dyDescent="0.3">
      <c r="A129" s="11" t="s">
        <v>311</v>
      </c>
      <c r="B129">
        <v>7.6000000000000005</v>
      </c>
      <c r="C129">
        <v>5</v>
      </c>
      <c r="D129">
        <v>0</v>
      </c>
    </row>
    <row r="130" spans="1:4" x14ac:dyDescent="0.3">
      <c r="A130" s="11" t="s">
        <v>382</v>
      </c>
      <c r="B130">
        <v>6.7</v>
      </c>
      <c r="C130">
        <v>22</v>
      </c>
      <c r="D130">
        <v>0</v>
      </c>
    </row>
    <row r="131" spans="1:4" x14ac:dyDescent="0.3">
      <c r="A131" s="11" t="s">
        <v>690</v>
      </c>
      <c r="B131">
        <v>5.3</v>
      </c>
      <c r="C131">
        <v>9</v>
      </c>
      <c r="D131">
        <v>0</v>
      </c>
    </row>
    <row r="132" spans="1:4" x14ac:dyDescent="0.3">
      <c r="A132" s="11" t="s">
        <v>649</v>
      </c>
      <c r="B132">
        <v>5.3</v>
      </c>
      <c r="C132">
        <v>11</v>
      </c>
      <c r="D132">
        <v>0</v>
      </c>
    </row>
    <row r="133" spans="1:4" x14ac:dyDescent="0.3">
      <c r="A133" s="11" t="s">
        <v>130</v>
      </c>
      <c r="B133">
        <v>5.3</v>
      </c>
      <c r="C133">
        <v>10</v>
      </c>
      <c r="D133">
        <v>1</v>
      </c>
    </row>
    <row r="134" spans="1:4" x14ac:dyDescent="0.3">
      <c r="A134" s="11" t="s">
        <v>388</v>
      </c>
      <c r="B134">
        <v>4.9649999999999999</v>
      </c>
      <c r="C134">
        <v>0</v>
      </c>
      <c r="D134">
        <v>1</v>
      </c>
    </row>
    <row r="135" spans="1:4" x14ac:dyDescent="0.3">
      <c r="A135" s="11" t="s">
        <v>424</v>
      </c>
      <c r="B135">
        <v>2</v>
      </c>
      <c r="C135">
        <v>9</v>
      </c>
      <c r="D135">
        <v>0</v>
      </c>
    </row>
    <row r="136" spans="1:4" x14ac:dyDescent="0.3">
      <c r="A136" s="11" t="s">
        <v>288</v>
      </c>
      <c r="B136">
        <v>1.7849999999999999</v>
      </c>
      <c r="C136">
        <v>5</v>
      </c>
      <c r="D136">
        <v>0</v>
      </c>
    </row>
    <row r="137" spans="1:4" x14ac:dyDescent="0.3">
      <c r="A137" s="11" t="s">
        <v>670</v>
      </c>
      <c r="B137">
        <v>1.4</v>
      </c>
      <c r="C137">
        <v>1</v>
      </c>
      <c r="D137">
        <v>0</v>
      </c>
    </row>
    <row r="138" spans="1:4" x14ac:dyDescent="0.3">
      <c r="A138" s="11" t="s">
        <v>661</v>
      </c>
      <c r="B138">
        <v>0</v>
      </c>
      <c r="C138">
        <v>0</v>
      </c>
      <c r="D138">
        <v>0</v>
      </c>
    </row>
    <row r="139" spans="1:4" x14ac:dyDescent="0.3">
      <c r="A139" s="11" t="s">
        <v>686</v>
      </c>
      <c r="B139">
        <v>0</v>
      </c>
      <c r="C139">
        <v>1</v>
      </c>
      <c r="D139">
        <v>0</v>
      </c>
    </row>
    <row r="140" spans="1:4" x14ac:dyDescent="0.3">
      <c r="A140" s="11" t="s">
        <v>658</v>
      </c>
      <c r="B140">
        <v>0</v>
      </c>
      <c r="C140">
        <v>0</v>
      </c>
      <c r="D140">
        <v>0</v>
      </c>
    </row>
    <row r="141" spans="1:4" x14ac:dyDescent="0.3">
      <c r="A141" s="11" t="s">
        <v>289</v>
      </c>
      <c r="B141">
        <v>0</v>
      </c>
      <c r="C141">
        <v>0</v>
      </c>
      <c r="D141">
        <v>0</v>
      </c>
    </row>
    <row r="142" spans="1:4" x14ac:dyDescent="0.3">
      <c r="A142" s="11" t="s">
        <v>708</v>
      </c>
      <c r="B142">
        <v>25.107951496388083</v>
      </c>
      <c r="C142">
        <v>26071</v>
      </c>
      <c r="D142">
        <v>990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7E868-6C84-44C1-8019-5B9F1BCF4107}">
  <dimension ref="A3:F270"/>
  <sheetViews>
    <sheetView workbookViewId="0">
      <selection activeCell="A3" sqref="A3"/>
    </sheetView>
  </sheetViews>
  <sheetFormatPr defaultRowHeight="14.4" x14ac:dyDescent="0.3"/>
  <cols>
    <col min="1" max="1" width="13.77734375" bestFit="1" customWidth="1"/>
    <col min="2" max="2" width="17.88671875" bestFit="1" customWidth="1"/>
    <col min="3" max="3" width="18.44140625" bestFit="1" customWidth="1"/>
    <col min="4" max="4" width="19.6640625" bestFit="1" customWidth="1"/>
    <col min="5" max="5" width="18.5546875" bestFit="1" customWidth="1"/>
  </cols>
  <sheetData>
    <row r="3" spans="1:6" x14ac:dyDescent="0.3">
      <c r="A3" s="10" t="s">
        <v>706</v>
      </c>
      <c r="B3" t="s">
        <v>710</v>
      </c>
      <c r="C3" t="s">
        <v>712</v>
      </c>
      <c r="D3" t="s">
        <v>711</v>
      </c>
      <c r="E3" t="s">
        <v>713</v>
      </c>
      <c r="F3" t="s">
        <v>9</v>
      </c>
    </row>
    <row r="4" spans="1:6" x14ac:dyDescent="0.3">
      <c r="A4" s="11" t="s">
        <v>19</v>
      </c>
      <c r="B4">
        <v>264</v>
      </c>
      <c r="C4">
        <v>7.2849999999999975</v>
      </c>
      <c r="D4">
        <v>14</v>
      </c>
      <c r="E4">
        <v>53</v>
      </c>
      <c r="F4">
        <f>_xlfn.XLOOKUP(A2, Matches!A:A, Matches!L:L)</f>
        <v>0</v>
      </c>
    </row>
    <row r="5" spans="1:6" x14ac:dyDescent="0.3">
      <c r="A5" s="12" t="s">
        <v>258</v>
      </c>
      <c r="B5">
        <v>62</v>
      </c>
      <c r="C5">
        <v>4.22</v>
      </c>
      <c r="D5">
        <v>5</v>
      </c>
      <c r="E5">
        <v>62</v>
      </c>
      <c r="F5" t="e">
        <f>_xlfn.XLOOKUP(A3, Matches!A:A, Matches!L:L)</f>
        <v>#N/A</v>
      </c>
    </row>
    <row r="6" spans="1:6" x14ac:dyDescent="0.3">
      <c r="A6" s="12" t="s">
        <v>266</v>
      </c>
      <c r="B6">
        <v>202</v>
      </c>
      <c r="C6">
        <v>10.349999999999998</v>
      </c>
      <c r="D6">
        <v>9</v>
      </c>
      <c r="E6">
        <v>44</v>
      </c>
      <c r="F6" t="str">
        <f>_xlfn.XLOOKUP(A4, Matches!A:A, Matches!L:L)</f>
        <v>MIW</v>
      </c>
    </row>
    <row r="7" spans="1:6" x14ac:dyDescent="0.3">
      <c r="A7" s="11" t="s">
        <v>37</v>
      </c>
      <c r="B7">
        <v>376</v>
      </c>
      <c r="C7">
        <v>9.6500000000000039</v>
      </c>
      <c r="D7">
        <v>10</v>
      </c>
      <c r="E7">
        <v>33.5</v>
      </c>
      <c r="F7" t="e">
        <f>_xlfn.XLOOKUP(A5, Matches!A:A, Matches!L:L)</f>
        <v>#N/A</v>
      </c>
    </row>
    <row r="8" spans="1:6" x14ac:dyDescent="0.3">
      <c r="A8" s="12" t="s">
        <v>158</v>
      </c>
      <c r="B8">
        <v>217</v>
      </c>
      <c r="C8">
        <v>11.150000000000004</v>
      </c>
      <c r="D8">
        <v>8</v>
      </c>
      <c r="E8">
        <v>28</v>
      </c>
      <c r="F8" t="e">
        <f>_xlfn.XLOOKUP(A6, Matches!A:A, Matches!L:L)</f>
        <v>#N/A</v>
      </c>
    </row>
    <row r="9" spans="1:6" x14ac:dyDescent="0.3">
      <c r="A9" s="12" t="s">
        <v>159</v>
      </c>
      <c r="B9">
        <v>159</v>
      </c>
      <c r="C9">
        <v>8.1500000000000021</v>
      </c>
      <c r="D9">
        <v>2</v>
      </c>
      <c r="E9">
        <v>39</v>
      </c>
      <c r="F9" t="str">
        <f>_xlfn.XLOOKUP(A7, Matches!A:A, Matches!L:L)</f>
        <v>DCW</v>
      </c>
    </row>
    <row r="10" spans="1:6" x14ac:dyDescent="0.3">
      <c r="A10" s="11" t="s">
        <v>136</v>
      </c>
      <c r="B10">
        <v>316</v>
      </c>
      <c r="C10">
        <v>8.634999999999998</v>
      </c>
      <c r="D10">
        <v>13</v>
      </c>
      <c r="E10">
        <v>36.5</v>
      </c>
      <c r="F10" t="e">
        <f>_xlfn.XLOOKUP(A8, Matches!A:A, Matches!L:L)</f>
        <v>#N/A</v>
      </c>
    </row>
    <row r="11" spans="1:6" x14ac:dyDescent="0.3">
      <c r="A11" s="12" t="s">
        <v>258</v>
      </c>
      <c r="B11">
        <v>155</v>
      </c>
      <c r="C11">
        <v>8.4500000000000011</v>
      </c>
      <c r="D11">
        <v>7</v>
      </c>
      <c r="E11">
        <v>40</v>
      </c>
      <c r="F11" t="e">
        <f>_xlfn.XLOOKUP(A9, Matches!A:A, Matches!L:L)</f>
        <v>#N/A</v>
      </c>
    </row>
    <row r="12" spans="1:6" x14ac:dyDescent="0.3">
      <c r="A12" s="12" t="s">
        <v>219</v>
      </c>
      <c r="B12">
        <v>161</v>
      </c>
      <c r="C12">
        <v>8.8199999999999985</v>
      </c>
      <c r="D12">
        <v>6</v>
      </c>
      <c r="E12">
        <v>33</v>
      </c>
      <c r="F12" t="str">
        <f>_xlfn.XLOOKUP(A10, Matches!A:A, Matches!L:L)</f>
        <v>UPW</v>
      </c>
    </row>
    <row r="13" spans="1:6" x14ac:dyDescent="0.3">
      <c r="A13" s="11" t="s">
        <v>137</v>
      </c>
      <c r="B13">
        <v>303</v>
      </c>
      <c r="C13">
        <v>9.6950000000000056</v>
      </c>
      <c r="D13">
        <v>10</v>
      </c>
      <c r="E13">
        <v>31.5</v>
      </c>
      <c r="F13" t="e">
        <f>_xlfn.XLOOKUP(A11, Matches!A:A, Matches!L:L)</f>
        <v>#N/A</v>
      </c>
    </row>
    <row r="14" spans="1:6" x14ac:dyDescent="0.3">
      <c r="A14" s="12" t="s">
        <v>266</v>
      </c>
      <c r="B14">
        <v>155</v>
      </c>
      <c r="C14">
        <v>11.090000000000002</v>
      </c>
      <c r="D14">
        <v>9</v>
      </c>
      <c r="E14">
        <v>22</v>
      </c>
      <c r="F14" t="e">
        <f>_xlfn.XLOOKUP(A12, Matches!A:A, Matches!L:L)</f>
        <v>#N/A</v>
      </c>
    </row>
    <row r="15" spans="1:6" x14ac:dyDescent="0.3">
      <c r="A15" s="12" t="s">
        <v>159</v>
      </c>
      <c r="B15">
        <v>148</v>
      </c>
      <c r="C15">
        <v>8.2999999999999989</v>
      </c>
      <c r="D15">
        <v>1</v>
      </c>
      <c r="E15">
        <v>41</v>
      </c>
      <c r="F15" t="str">
        <f>_xlfn.XLOOKUP(A13, Matches!A:A, Matches!L:L)</f>
        <v>MIW</v>
      </c>
    </row>
    <row r="16" spans="1:6" x14ac:dyDescent="0.3">
      <c r="A16" s="11" t="s">
        <v>138</v>
      </c>
      <c r="B16">
        <v>358</v>
      </c>
      <c r="C16">
        <v>9.4999999999999947</v>
      </c>
      <c r="D16">
        <v>9</v>
      </c>
      <c r="E16">
        <v>40</v>
      </c>
      <c r="F16" t="e">
        <f>_xlfn.XLOOKUP(A14, Matches!A:A, Matches!L:L)</f>
        <v>#N/A</v>
      </c>
    </row>
    <row r="17" spans="1:6" x14ac:dyDescent="0.3">
      <c r="A17" s="12" t="s">
        <v>158</v>
      </c>
      <c r="B17">
        <v>200</v>
      </c>
      <c r="C17">
        <v>10.549999999999999</v>
      </c>
      <c r="D17">
        <v>5</v>
      </c>
      <c r="E17">
        <v>35</v>
      </c>
      <c r="F17" t="e">
        <f>_xlfn.XLOOKUP(A15, Matches!A:A, Matches!L:L)</f>
        <v>#N/A</v>
      </c>
    </row>
    <row r="18" spans="1:6" x14ac:dyDescent="0.3">
      <c r="A18" s="12" t="s">
        <v>219</v>
      </c>
      <c r="B18">
        <v>158</v>
      </c>
      <c r="C18">
        <v>8.4500000000000011</v>
      </c>
      <c r="D18">
        <v>4</v>
      </c>
      <c r="E18">
        <v>45</v>
      </c>
      <c r="F18" t="str">
        <f>_xlfn.XLOOKUP(A16, Matches!A:A, Matches!L:L)</f>
        <v>DCW</v>
      </c>
    </row>
    <row r="19" spans="1:6" x14ac:dyDescent="0.3">
      <c r="A19" s="11" t="s">
        <v>139</v>
      </c>
      <c r="B19">
        <v>378</v>
      </c>
      <c r="C19">
        <v>9.7749999999999986</v>
      </c>
      <c r="D19">
        <v>12</v>
      </c>
      <c r="E19">
        <v>39</v>
      </c>
      <c r="F19" t="e">
        <f>_xlfn.XLOOKUP(A17, Matches!A:A, Matches!L:L)</f>
        <v>#N/A</v>
      </c>
    </row>
    <row r="20" spans="1:6" x14ac:dyDescent="0.3">
      <c r="A20" s="12" t="s">
        <v>258</v>
      </c>
      <c r="B20">
        <v>199</v>
      </c>
      <c r="C20">
        <v>10.049999999999999</v>
      </c>
      <c r="D20">
        <v>6</v>
      </c>
      <c r="E20">
        <v>38</v>
      </c>
      <c r="F20" t="e">
        <f>_xlfn.XLOOKUP(A18, Matches!A:A, Matches!L:L)</f>
        <v>#N/A</v>
      </c>
    </row>
    <row r="21" spans="1:6" x14ac:dyDescent="0.3">
      <c r="A21" s="12" t="s">
        <v>159</v>
      </c>
      <c r="B21">
        <v>179</v>
      </c>
      <c r="C21">
        <v>9.5</v>
      </c>
      <c r="D21">
        <v>6</v>
      </c>
      <c r="E21">
        <v>40</v>
      </c>
      <c r="F21" t="str">
        <f>_xlfn.XLOOKUP(A19, Matches!A:A, Matches!L:L)</f>
        <v>GGTW</v>
      </c>
    </row>
    <row r="22" spans="1:6" x14ac:dyDescent="0.3">
      <c r="A22" s="11" t="s">
        <v>140</v>
      </c>
      <c r="B22">
        <v>205</v>
      </c>
      <c r="C22">
        <v>6.55</v>
      </c>
      <c r="D22">
        <v>12</v>
      </c>
      <c r="E22">
        <v>44</v>
      </c>
      <c r="F22" t="e">
        <f>_xlfn.XLOOKUP(A20, Matches!A:A, Matches!L:L)</f>
        <v>#N/A</v>
      </c>
    </row>
    <row r="23" spans="1:6" x14ac:dyDescent="0.3">
      <c r="A23" s="12" t="s">
        <v>158</v>
      </c>
      <c r="B23">
        <v>98</v>
      </c>
      <c r="C23">
        <v>5.8299999999999992</v>
      </c>
      <c r="D23">
        <v>2</v>
      </c>
      <c r="E23">
        <v>43</v>
      </c>
    </row>
    <row r="24" spans="1:6" x14ac:dyDescent="0.3">
      <c r="A24" s="12" t="s">
        <v>266</v>
      </c>
      <c r="B24">
        <v>107</v>
      </c>
      <c r="C24">
        <v>7.2699999999999969</v>
      </c>
      <c r="D24">
        <v>10</v>
      </c>
      <c r="E24">
        <v>45</v>
      </c>
    </row>
    <row r="25" spans="1:6" x14ac:dyDescent="0.3">
      <c r="A25" s="11" t="s">
        <v>141</v>
      </c>
      <c r="B25">
        <v>270</v>
      </c>
      <c r="C25">
        <v>8.884999999999998</v>
      </c>
      <c r="D25">
        <v>5</v>
      </c>
      <c r="E25">
        <v>29</v>
      </c>
    </row>
    <row r="26" spans="1:6" x14ac:dyDescent="0.3">
      <c r="A26" s="12" t="s">
        <v>159</v>
      </c>
      <c r="B26">
        <v>138</v>
      </c>
      <c r="C26">
        <v>7.0799999999999992</v>
      </c>
      <c r="D26">
        <v>0</v>
      </c>
      <c r="E26">
        <v>39</v>
      </c>
    </row>
    <row r="27" spans="1:6" x14ac:dyDescent="0.3">
      <c r="A27" s="12" t="s">
        <v>219</v>
      </c>
      <c r="B27">
        <v>132</v>
      </c>
      <c r="C27">
        <v>10.69</v>
      </c>
      <c r="D27">
        <v>5</v>
      </c>
      <c r="E27">
        <v>19</v>
      </c>
    </row>
    <row r="28" spans="1:6" x14ac:dyDescent="0.3">
      <c r="A28" s="11" t="s">
        <v>142</v>
      </c>
      <c r="B28">
        <v>199</v>
      </c>
      <c r="C28">
        <v>10.090000000000002</v>
      </c>
      <c r="D28">
        <v>9</v>
      </c>
      <c r="E28">
        <v>36</v>
      </c>
    </row>
    <row r="29" spans="1:6" x14ac:dyDescent="0.3">
      <c r="A29" s="12" t="s">
        <v>158</v>
      </c>
      <c r="B29">
        <v>97</v>
      </c>
      <c r="C29">
        <v>14.930000000000005</v>
      </c>
      <c r="D29">
        <v>9</v>
      </c>
      <c r="E29">
        <v>9</v>
      </c>
    </row>
    <row r="30" spans="1:6" x14ac:dyDescent="0.3">
      <c r="A30" s="12" t="s">
        <v>258</v>
      </c>
      <c r="B30">
        <v>102</v>
      </c>
      <c r="C30">
        <v>5.25</v>
      </c>
      <c r="D30">
        <v>0</v>
      </c>
      <c r="E30">
        <v>63</v>
      </c>
    </row>
    <row r="31" spans="1:6" x14ac:dyDescent="0.3">
      <c r="A31" s="11" t="s">
        <v>143</v>
      </c>
      <c r="B31">
        <v>302</v>
      </c>
      <c r="C31">
        <v>8.6599999999999966</v>
      </c>
      <c r="D31">
        <v>8</v>
      </c>
      <c r="E31">
        <v>46</v>
      </c>
    </row>
    <row r="32" spans="1:6" x14ac:dyDescent="0.3">
      <c r="A32" s="12" t="s">
        <v>266</v>
      </c>
      <c r="B32">
        <v>152</v>
      </c>
      <c r="C32">
        <v>9.370000000000001</v>
      </c>
      <c r="D32">
        <v>6</v>
      </c>
      <c r="E32">
        <v>48</v>
      </c>
    </row>
    <row r="33" spans="1:5" x14ac:dyDescent="0.3">
      <c r="A33" s="12" t="s">
        <v>219</v>
      </c>
      <c r="B33">
        <v>150</v>
      </c>
      <c r="C33">
        <v>7.950000000000002</v>
      </c>
      <c r="D33">
        <v>2</v>
      </c>
      <c r="E33">
        <v>44</v>
      </c>
    </row>
    <row r="34" spans="1:5" x14ac:dyDescent="0.3">
      <c r="A34" s="11" t="s">
        <v>144</v>
      </c>
      <c r="B34">
        <v>294</v>
      </c>
      <c r="C34">
        <v>7.665</v>
      </c>
      <c r="D34">
        <v>8</v>
      </c>
      <c r="E34">
        <v>45</v>
      </c>
    </row>
    <row r="35" spans="1:5" x14ac:dyDescent="0.3">
      <c r="A35" s="12" t="s">
        <v>158</v>
      </c>
      <c r="B35">
        <v>146</v>
      </c>
      <c r="C35">
        <v>7.8299999999999992</v>
      </c>
      <c r="D35">
        <v>4</v>
      </c>
      <c r="E35">
        <v>41</v>
      </c>
    </row>
    <row r="36" spans="1:5" x14ac:dyDescent="0.3">
      <c r="A36" s="12" t="s">
        <v>159</v>
      </c>
      <c r="B36">
        <v>148</v>
      </c>
      <c r="C36">
        <v>7.5</v>
      </c>
      <c r="D36">
        <v>4</v>
      </c>
      <c r="E36">
        <v>49</v>
      </c>
    </row>
    <row r="37" spans="1:5" x14ac:dyDescent="0.3">
      <c r="A37" s="11" t="s">
        <v>145</v>
      </c>
      <c r="B37">
        <v>260</v>
      </c>
      <c r="C37">
        <v>6.7249999999999979</v>
      </c>
      <c r="D37">
        <v>15</v>
      </c>
      <c r="E37">
        <v>49</v>
      </c>
    </row>
    <row r="38" spans="1:5" x14ac:dyDescent="0.3">
      <c r="A38" s="12" t="s">
        <v>258</v>
      </c>
      <c r="B38">
        <v>105</v>
      </c>
      <c r="C38">
        <v>5.3500000000000005</v>
      </c>
      <c r="D38">
        <v>6</v>
      </c>
      <c r="E38">
        <v>54</v>
      </c>
    </row>
    <row r="39" spans="1:5" x14ac:dyDescent="0.3">
      <c r="A39" s="12" t="s">
        <v>266</v>
      </c>
      <c r="B39">
        <v>155</v>
      </c>
      <c r="C39">
        <v>8.0999999999999979</v>
      </c>
      <c r="D39">
        <v>9</v>
      </c>
      <c r="E39">
        <v>44</v>
      </c>
    </row>
    <row r="40" spans="1:5" x14ac:dyDescent="0.3">
      <c r="A40" s="11" t="s">
        <v>146</v>
      </c>
      <c r="B40">
        <v>253</v>
      </c>
      <c r="C40">
        <v>7.2399999999999984</v>
      </c>
      <c r="D40">
        <v>14</v>
      </c>
      <c r="E40">
        <v>52.5</v>
      </c>
    </row>
    <row r="41" spans="1:5" x14ac:dyDescent="0.3">
      <c r="A41" s="12" t="s">
        <v>159</v>
      </c>
      <c r="B41">
        <v>130</v>
      </c>
      <c r="C41">
        <v>7.5600000000000014</v>
      </c>
      <c r="D41">
        <v>9</v>
      </c>
      <c r="E41">
        <v>53</v>
      </c>
    </row>
    <row r="42" spans="1:5" x14ac:dyDescent="0.3">
      <c r="A42" s="12" t="s">
        <v>219</v>
      </c>
      <c r="B42">
        <v>123</v>
      </c>
      <c r="C42">
        <v>6.9200000000000008</v>
      </c>
      <c r="D42">
        <v>5</v>
      </c>
      <c r="E42">
        <v>52</v>
      </c>
    </row>
    <row r="43" spans="1:5" x14ac:dyDescent="0.3">
      <c r="A43" s="11" t="s">
        <v>147</v>
      </c>
      <c r="B43">
        <v>268</v>
      </c>
      <c r="C43">
        <v>7.3199999999999985</v>
      </c>
      <c r="D43">
        <v>12</v>
      </c>
      <c r="E43">
        <v>49</v>
      </c>
    </row>
    <row r="44" spans="1:5" x14ac:dyDescent="0.3">
      <c r="A44" s="12" t="s">
        <v>158</v>
      </c>
      <c r="B44">
        <v>124</v>
      </c>
      <c r="C44">
        <v>7.2900000000000009</v>
      </c>
      <c r="D44">
        <v>4</v>
      </c>
      <c r="E44">
        <v>52</v>
      </c>
    </row>
    <row r="45" spans="1:5" x14ac:dyDescent="0.3">
      <c r="A45" s="12" t="s">
        <v>258</v>
      </c>
      <c r="B45">
        <v>144</v>
      </c>
      <c r="C45">
        <v>7.35</v>
      </c>
      <c r="D45">
        <v>8</v>
      </c>
      <c r="E45">
        <v>46</v>
      </c>
    </row>
    <row r="46" spans="1:5" x14ac:dyDescent="0.3">
      <c r="A46" s="11" t="s">
        <v>148</v>
      </c>
      <c r="B46">
        <v>249</v>
      </c>
      <c r="C46">
        <v>6.4850000000000021</v>
      </c>
      <c r="D46">
        <v>13</v>
      </c>
      <c r="E46">
        <v>52</v>
      </c>
    </row>
    <row r="47" spans="1:5" x14ac:dyDescent="0.3">
      <c r="A47" s="12" t="s">
        <v>266</v>
      </c>
      <c r="B47">
        <v>122</v>
      </c>
      <c r="C47">
        <v>6.3500000000000005</v>
      </c>
      <c r="D47">
        <v>5</v>
      </c>
      <c r="E47">
        <v>52</v>
      </c>
    </row>
    <row r="48" spans="1:5" x14ac:dyDescent="0.3">
      <c r="A48" s="12" t="s">
        <v>219</v>
      </c>
      <c r="B48">
        <v>127</v>
      </c>
      <c r="C48">
        <v>6.6199999999999992</v>
      </c>
      <c r="D48">
        <v>8</v>
      </c>
      <c r="E48">
        <v>52</v>
      </c>
    </row>
    <row r="49" spans="1:5" x14ac:dyDescent="0.3">
      <c r="A49" s="11" t="s">
        <v>149</v>
      </c>
      <c r="B49">
        <v>361</v>
      </c>
      <c r="C49">
        <v>10.795</v>
      </c>
      <c r="D49">
        <v>6</v>
      </c>
      <c r="E49">
        <v>36.5</v>
      </c>
    </row>
    <row r="50" spans="1:5" x14ac:dyDescent="0.3">
      <c r="A50" s="12" t="s">
        <v>258</v>
      </c>
      <c r="B50">
        <v>184</v>
      </c>
      <c r="C50">
        <v>9.4000000000000021</v>
      </c>
      <c r="D50">
        <v>2</v>
      </c>
      <c r="E50">
        <v>45</v>
      </c>
    </row>
    <row r="51" spans="1:5" x14ac:dyDescent="0.3">
      <c r="A51" s="12" t="s">
        <v>159</v>
      </c>
      <c r="B51">
        <v>177</v>
      </c>
      <c r="C51">
        <v>12.19</v>
      </c>
      <c r="D51">
        <v>4</v>
      </c>
      <c r="E51">
        <v>28</v>
      </c>
    </row>
    <row r="52" spans="1:5" x14ac:dyDescent="0.3">
      <c r="A52" s="11" t="s">
        <v>150</v>
      </c>
      <c r="B52">
        <v>353</v>
      </c>
      <c r="C52">
        <v>9.0149999999999988</v>
      </c>
      <c r="D52">
        <v>12</v>
      </c>
      <c r="E52">
        <v>44</v>
      </c>
    </row>
    <row r="53" spans="1:5" x14ac:dyDescent="0.3">
      <c r="A53" s="12" t="s">
        <v>258</v>
      </c>
      <c r="B53">
        <v>175</v>
      </c>
      <c r="C53">
        <v>8.9000000000000021</v>
      </c>
      <c r="D53">
        <v>6</v>
      </c>
      <c r="E53">
        <v>44</v>
      </c>
    </row>
    <row r="54" spans="1:5" x14ac:dyDescent="0.3">
      <c r="A54" s="12" t="s">
        <v>219</v>
      </c>
      <c r="B54">
        <v>178</v>
      </c>
      <c r="C54">
        <v>9.129999999999999</v>
      </c>
      <c r="D54">
        <v>6</v>
      </c>
      <c r="E54">
        <v>44</v>
      </c>
    </row>
    <row r="55" spans="1:5" x14ac:dyDescent="0.3">
      <c r="A55" s="11" t="s">
        <v>151</v>
      </c>
      <c r="B55">
        <v>210</v>
      </c>
      <c r="C55">
        <v>8.8349999999999955</v>
      </c>
      <c r="D55">
        <v>8</v>
      </c>
      <c r="E55">
        <v>38.5</v>
      </c>
    </row>
    <row r="56" spans="1:5" x14ac:dyDescent="0.3">
      <c r="A56" s="12" t="s">
        <v>158</v>
      </c>
      <c r="B56">
        <v>103</v>
      </c>
      <c r="C56">
        <v>12.22</v>
      </c>
      <c r="D56">
        <v>7</v>
      </c>
      <c r="E56">
        <v>18</v>
      </c>
    </row>
    <row r="57" spans="1:5" x14ac:dyDescent="0.3">
      <c r="A57" s="12" t="s">
        <v>266</v>
      </c>
      <c r="B57">
        <v>107</v>
      </c>
      <c r="C57">
        <v>5.450000000000002</v>
      </c>
      <c r="D57">
        <v>1</v>
      </c>
      <c r="E57">
        <v>59</v>
      </c>
    </row>
    <row r="58" spans="1:5" x14ac:dyDescent="0.3">
      <c r="A58" s="11" t="s">
        <v>152</v>
      </c>
      <c r="B58">
        <v>237</v>
      </c>
      <c r="C58">
        <v>7.0349999999999993</v>
      </c>
      <c r="D58">
        <v>14</v>
      </c>
      <c r="E58">
        <v>46.5</v>
      </c>
    </row>
    <row r="59" spans="1:5" x14ac:dyDescent="0.3">
      <c r="A59" s="12" t="s">
        <v>266</v>
      </c>
      <c r="B59">
        <v>119</v>
      </c>
      <c r="C59">
        <v>7.8199999999999985</v>
      </c>
      <c r="D59">
        <v>8</v>
      </c>
      <c r="E59">
        <v>42</v>
      </c>
    </row>
    <row r="60" spans="1:5" x14ac:dyDescent="0.3">
      <c r="A60" s="12" t="s">
        <v>159</v>
      </c>
      <c r="B60">
        <v>118</v>
      </c>
      <c r="C60">
        <v>6.25</v>
      </c>
      <c r="D60">
        <v>6</v>
      </c>
      <c r="E60">
        <v>51</v>
      </c>
    </row>
    <row r="61" spans="1:5" x14ac:dyDescent="0.3">
      <c r="A61" s="11" t="s">
        <v>153</v>
      </c>
      <c r="B61">
        <v>263</v>
      </c>
      <c r="C61">
        <v>7.4300000000000015</v>
      </c>
      <c r="D61">
        <v>9</v>
      </c>
      <c r="E61">
        <v>53.5</v>
      </c>
    </row>
    <row r="62" spans="1:5" x14ac:dyDescent="0.3">
      <c r="A62" s="12" t="s">
        <v>158</v>
      </c>
      <c r="B62">
        <v>131</v>
      </c>
      <c r="C62">
        <v>7.9599999999999991</v>
      </c>
      <c r="D62">
        <v>6</v>
      </c>
      <c r="E62">
        <v>50</v>
      </c>
    </row>
    <row r="63" spans="1:5" x14ac:dyDescent="0.3">
      <c r="A63" s="12" t="s">
        <v>219</v>
      </c>
      <c r="B63">
        <v>132</v>
      </c>
      <c r="C63">
        <v>6.9</v>
      </c>
      <c r="D63">
        <v>3</v>
      </c>
      <c r="E63">
        <v>57</v>
      </c>
    </row>
    <row r="64" spans="1:5" x14ac:dyDescent="0.3">
      <c r="A64" s="11" t="s">
        <v>154</v>
      </c>
      <c r="B64">
        <v>275</v>
      </c>
      <c r="C64">
        <v>7.6649999999999974</v>
      </c>
      <c r="D64">
        <v>13</v>
      </c>
      <c r="E64">
        <v>49</v>
      </c>
    </row>
    <row r="65" spans="1:5" x14ac:dyDescent="0.3">
      <c r="A65" s="12" t="s">
        <v>266</v>
      </c>
      <c r="B65">
        <v>173</v>
      </c>
      <c r="C65">
        <v>9.0999999999999979</v>
      </c>
      <c r="D65">
        <v>9</v>
      </c>
      <c r="E65">
        <v>37</v>
      </c>
    </row>
    <row r="66" spans="1:5" x14ac:dyDescent="0.3">
      <c r="A66" s="12" t="s">
        <v>219</v>
      </c>
      <c r="B66">
        <v>102</v>
      </c>
      <c r="C66">
        <v>6.2300000000000013</v>
      </c>
      <c r="D66">
        <v>4</v>
      </c>
      <c r="E66">
        <v>61</v>
      </c>
    </row>
    <row r="67" spans="1:5" x14ac:dyDescent="0.3">
      <c r="A67" s="11" t="s">
        <v>327</v>
      </c>
      <c r="B67">
        <v>258</v>
      </c>
      <c r="C67">
        <v>6.7100000000000017</v>
      </c>
      <c r="D67">
        <v>10</v>
      </c>
      <c r="E67">
        <v>52</v>
      </c>
    </row>
    <row r="68" spans="1:5" x14ac:dyDescent="0.3">
      <c r="A68" s="12" t="s">
        <v>158</v>
      </c>
      <c r="B68">
        <v>130</v>
      </c>
      <c r="C68">
        <v>6.549999999999998</v>
      </c>
      <c r="D68">
        <v>2</v>
      </c>
      <c r="E68">
        <v>57</v>
      </c>
    </row>
    <row r="69" spans="1:5" x14ac:dyDescent="0.3">
      <c r="A69" s="12" t="s">
        <v>266</v>
      </c>
      <c r="B69">
        <v>128</v>
      </c>
      <c r="C69">
        <v>6.8699999999999992</v>
      </c>
      <c r="D69">
        <v>8</v>
      </c>
      <c r="E69">
        <v>47</v>
      </c>
    </row>
    <row r="70" spans="1:5" x14ac:dyDescent="0.3">
      <c r="A70" s="11" t="s">
        <v>338</v>
      </c>
      <c r="B70">
        <v>331</v>
      </c>
      <c r="C70">
        <v>8.6000000000000014</v>
      </c>
      <c r="D70">
        <v>11</v>
      </c>
      <c r="E70">
        <v>50.5</v>
      </c>
    </row>
    <row r="71" spans="1:5" x14ac:dyDescent="0.3">
      <c r="A71" s="12" t="s">
        <v>158</v>
      </c>
      <c r="B71">
        <v>166</v>
      </c>
      <c r="C71">
        <v>8.5499999999999989</v>
      </c>
      <c r="D71">
        <v>6</v>
      </c>
      <c r="E71">
        <v>51</v>
      </c>
    </row>
    <row r="72" spans="1:5" x14ac:dyDescent="0.3">
      <c r="A72" s="12" t="s">
        <v>266</v>
      </c>
      <c r="B72">
        <v>165</v>
      </c>
      <c r="C72">
        <v>8.6500000000000021</v>
      </c>
      <c r="D72">
        <v>5</v>
      </c>
      <c r="E72">
        <v>50</v>
      </c>
    </row>
    <row r="73" spans="1:5" x14ac:dyDescent="0.3">
      <c r="A73" s="11" t="s">
        <v>349</v>
      </c>
      <c r="B73">
        <v>297</v>
      </c>
      <c r="C73">
        <v>7.8</v>
      </c>
      <c r="D73">
        <v>13</v>
      </c>
      <c r="E73">
        <v>47.5</v>
      </c>
    </row>
    <row r="74" spans="1:5" x14ac:dyDescent="0.3">
      <c r="A74" s="12" t="s">
        <v>159</v>
      </c>
      <c r="B74">
        <v>154</v>
      </c>
      <c r="C74">
        <v>7.85</v>
      </c>
      <c r="D74">
        <v>7</v>
      </c>
      <c r="E74">
        <v>43</v>
      </c>
    </row>
    <row r="75" spans="1:5" x14ac:dyDescent="0.3">
      <c r="A75" s="12" t="s">
        <v>219</v>
      </c>
      <c r="B75">
        <v>143</v>
      </c>
      <c r="C75">
        <v>7.75</v>
      </c>
      <c r="D75">
        <v>6</v>
      </c>
      <c r="E75">
        <v>52</v>
      </c>
    </row>
    <row r="76" spans="1:5" x14ac:dyDescent="0.3">
      <c r="A76" s="11" t="s">
        <v>350</v>
      </c>
      <c r="B76">
        <v>224</v>
      </c>
      <c r="C76">
        <v>6.6999999999999966</v>
      </c>
      <c r="D76">
        <v>13</v>
      </c>
      <c r="E76">
        <v>51.5</v>
      </c>
    </row>
    <row r="77" spans="1:5" x14ac:dyDescent="0.3">
      <c r="A77" s="12" t="s">
        <v>258</v>
      </c>
      <c r="B77">
        <v>110</v>
      </c>
      <c r="C77">
        <v>6.299999999999998</v>
      </c>
      <c r="D77">
        <v>4</v>
      </c>
      <c r="E77">
        <v>53</v>
      </c>
    </row>
    <row r="78" spans="1:5" x14ac:dyDescent="0.3">
      <c r="A78" s="12" t="s">
        <v>266</v>
      </c>
      <c r="B78">
        <v>114</v>
      </c>
      <c r="C78">
        <v>7.1</v>
      </c>
      <c r="D78">
        <v>9</v>
      </c>
      <c r="E78">
        <v>50</v>
      </c>
    </row>
    <row r="79" spans="1:5" x14ac:dyDescent="0.3">
      <c r="A79" s="11" t="s">
        <v>351</v>
      </c>
      <c r="B79">
        <v>228</v>
      </c>
      <c r="C79">
        <v>7.2149999999999999</v>
      </c>
      <c r="D79">
        <v>10</v>
      </c>
      <c r="E79">
        <v>44</v>
      </c>
    </row>
    <row r="80" spans="1:5" x14ac:dyDescent="0.3">
      <c r="A80" s="12" t="s">
        <v>158</v>
      </c>
      <c r="B80">
        <v>119</v>
      </c>
      <c r="C80">
        <v>8.4800000000000022</v>
      </c>
      <c r="D80">
        <v>9</v>
      </c>
      <c r="E80">
        <v>31</v>
      </c>
    </row>
    <row r="81" spans="1:5" x14ac:dyDescent="0.3">
      <c r="A81" s="12" t="s">
        <v>219</v>
      </c>
      <c r="B81">
        <v>109</v>
      </c>
      <c r="C81">
        <v>5.950000000000002</v>
      </c>
      <c r="D81">
        <v>1</v>
      </c>
      <c r="E81">
        <v>57</v>
      </c>
    </row>
    <row r="82" spans="1:5" x14ac:dyDescent="0.3">
      <c r="A82" s="11" t="s">
        <v>352</v>
      </c>
      <c r="B82">
        <v>209</v>
      </c>
      <c r="C82">
        <v>7.1571428571428575</v>
      </c>
      <c r="D82">
        <v>8</v>
      </c>
      <c r="E82">
        <v>44.761904761904759</v>
      </c>
    </row>
    <row r="83" spans="1:5" x14ac:dyDescent="0.3">
      <c r="A83" s="12" t="s">
        <v>258</v>
      </c>
      <c r="B83">
        <v>101</v>
      </c>
      <c r="C83">
        <v>5.3500000000000005</v>
      </c>
      <c r="D83">
        <v>2</v>
      </c>
      <c r="E83">
        <v>61</v>
      </c>
    </row>
    <row r="84" spans="1:5" x14ac:dyDescent="0.3">
      <c r="A84" s="12" t="s">
        <v>159</v>
      </c>
      <c r="B84">
        <v>108</v>
      </c>
      <c r="C84">
        <v>8.7999999999999989</v>
      </c>
      <c r="D84">
        <v>6</v>
      </c>
      <c r="E84">
        <v>30</v>
      </c>
    </row>
    <row r="85" spans="1:5" x14ac:dyDescent="0.3">
      <c r="A85" s="11" t="s">
        <v>353</v>
      </c>
      <c r="B85">
        <v>316</v>
      </c>
      <c r="C85">
        <v>8.9649999999999963</v>
      </c>
      <c r="D85">
        <v>8</v>
      </c>
      <c r="E85">
        <v>39.5</v>
      </c>
    </row>
    <row r="86" spans="1:5" x14ac:dyDescent="0.3">
      <c r="A86" s="12" t="s">
        <v>266</v>
      </c>
      <c r="B86">
        <v>160</v>
      </c>
      <c r="C86">
        <v>8.0499999999999989</v>
      </c>
      <c r="D86">
        <v>3</v>
      </c>
      <c r="E86">
        <v>46</v>
      </c>
    </row>
    <row r="87" spans="1:5" x14ac:dyDescent="0.3">
      <c r="A87" s="12" t="s">
        <v>219</v>
      </c>
      <c r="B87">
        <v>156</v>
      </c>
      <c r="C87">
        <v>9.879999999999999</v>
      </c>
      <c r="D87">
        <v>5</v>
      </c>
      <c r="E87">
        <v>33</v>
      </c>
    </row>
    <row r="88" spans="1:5" x14ac:dyDescent="0.3">
      <c r="A88" s="11" t="s">
        <v>354</v>
      </c>
      <c r="B88">
        <v>349</v>
      </c>
      <c r="C88">
        <v>9.0749999999999957</v>
      </c>
      <c r="D88">
        <v>13</v>
      </c>
      <c r="E88">
        <v>45</v>
      </c>
    </row>
    <row r="89" spans="1:5" x14ac:dyDescent="0.3">
      <c r="A89" s="12" t="s">
        <v>158</v>
      </c>
      <c r="B89">
        <v>185</v>
      </c>
      <c r="C89">
        <v>9.7000000000000011</v>
      </c>
      <c r="D89">
        <v>8</v>
      </c>
      <c r="E89">
        <v>43</v>
      </c>
    </row>
    <row r="90" spans="1:5" x14ac:dyDescent="0.3">
      <c r="A90" s="12" t="s">
        <v>159</v>
      </c>
      <c r="B90">
        <v>164</v>
      </c>
      <c r="C90">
        <v>8.4500000000000011</v>
      </c>
      <c r="D90">
        <v>5</v>
      </c>
      <c r="E90">
        <v>47</v>
      </c>
    </row>
    <row r="91" spans="1:5" x14ac:dyDescent="0.3">
      <c r="A91" s="11" t="s">
        <v>355</v>
      </c>
      <c r="B91">
        <v>275</v>
      </c>
      <c r="C91">
        <v>8.1149999999999967</v>
      </c>
      <c r="D91">
        <v>8</v>
      </c>
      <c r="E91">
        <v>42</v>
      </c>
    </row>
    <row r="92" spans="1:5" x14ac:dyDescent="0.3">
      <c r="A92" s="12" t="s">
        <v>258</v>
      </c>
      <c r="B92">
        <v>134</v>
      </c>
      <c r="C92">
        <v>7.1</v>
      </c>
      <c r="D92">
        <v>4</v>
      </c>
      <c r="E92">
        <v>45</v>
      </c>
    </row>
    <row r="93" spans="1:5" x14ac:dyDescent="0.3">
      <c r="A93" s="12" t="s">
        <v>219</v>
      </c>
      <c r="B93">
        <v>141</v>
      </c>
      <c r="C93">
        <v>9.129999999999999</v>
      </c>
      <c r="D93">
        <v>4</v>
      </c>
      <c r="E93">
        <v>39</v>
      </c>
    </row>
    <row r="94" spans="1:5" x14ac:dyDescent="0.3">
      <c r="A94" s="11" t="s">
        <v>356</v>
      </c>
      <c r="B94">
        <v>258</v>
      </c>
      <c r="C94">
        <v>7.6600000000000019</v>
      </c>
      <c r="D94">
        <v>9</v>
      </c>
      <c r="E94">
        <v>39.5</v>
      </c>
    </row>
    <row r="95" spans="1:5" x14ac:dyDescent="0.3">
      <c r="A95" s="12" t="s">
        <v>266</v>
      </c>
      <c r="B95">
        <v>132</v>
      </c>
      <c r="C95">
        <v>8.7699999999999978</v>
      </c>
      <c r="D95">
        <v>6</v>
      </c>
      <c r="E95">
        <v>34</v>
      </c>
    </row>
    <row r="96" spans="1:5" x14ac:dyDescent="0.3">
      <c r="A96" s="12" t="s">
        <v>159</v>
      </c>
      <c r="B96">
        <v>126</v>
      </c>
      <c r="C96">
        <v>6.549999999999998</v>
      </c>
      <c r="D96">
        <v>3</v>
      </c>
      <c r="E96">
        <v>45</v>
      </c>
    </row>
    <row r="97" spans="1:5" x14ac:dyDescent="0.3">
      <c r="A97" s="11" t="s">
        <v>357</v>
      </c>
      <c r="B97">
        <v>278</v>
      </c>
      <c r="C97">
        <v>7.525000000000003</v>
      </c>
      <c r="D97">
        <v>15</v>
      </c>
      <c r="E97">
        <v>40.5</v>
      </c>
    </row>
    <row r="98" spans="1:5" x14ac:dyDescent="0.3">
      <c r="A98" s="12" t="s">
        <v>158</v>
      </c>
      <c r="B98">
        <v>157</v>
      </c>
      <c r="C98">
        <v>8.1500000000000021</v>
      </c>
      <c r="D98">
        <v>8</v>
      </c>
      <c r="E98">
        <v>41</v>
      </c>
    </row>
    <row r="99" spans="1:5" x14ac:dyDescent="0.3">
      <c r="A99" s="12" t="s">
        <v>258</v>
      </c>
      <c r="B99">
        <v>121</v>
      </c>
      <c r="C99">
        <v>6.9</v>
      </c>
      <c r="D99">
        <v>7</v>
      </c>
      <c r="E99">
        <v>40</v>
      </c>
    </row>
    <row r="100" spans="1:5" x14ac:dyDescent="0.3">
      <c r="A100" s="11" t="s">
        <v>358</v>
      </c>
      <c r="B100">
        <v>347</v>
      </c>
      <c r="C100">
        <v>9.3250000000000011</v>
      </c>
      <c r="D100">
        <v>11</v>
      </c>
      <c r="E100">
        <v>49.5</v>
      </c>
    </row>
    <row r="101" spans="1:5" x14ac:dyDescent="0.3">
      <c r="A101" s="12" t="s">
        <v>159</v>
      </c>
      <c r="B101">
        <v>189</v>
      </c>
      <c r="C101">
        <v>9.9000000000000021</v>
      </c>
      <c r="D101">
        <v>8</v>
      </c>
      <c r="E101">
        <v>45</v>
      </c>
    </row>
    <row r="102" spans="1:5" x14ac:dyDescent="0.3">
      <c r="A102" s="12" t="s">
        <v>219</v>
      </c>
      <c r="B102">
        <v>158</v>
      </c>
      <c r="C102">
        <v>8.75</v>
      </c>
      <c r="D102">
        <v>3</v>
      </c>
      <c r="E102">
        <v>54</v>
      </c>
    </row>
    <row r="103" spans="1:5" x14ac:dyDescent="0.3">
      <c r="A103" s="11" t="s">
        <v>359</v>
      </c>
      <c r="B103">
        <v>336</v>
      </c>
      <c r="C103">
        <v>8.8750000000000018</v>
      </c>
      <c r="D103">
        <v>12</v>
      </c>
      <c r="E103">
        <v>39</v>
      </c>
    </row>
    <row r="104" spans="1:5" x14ac:dyDescent="0.3">
      <c r="A104" s="12" t="s">
        <v>158</v>
      </c>
      <c r="B104">
        <v>184</v>
      </c>
      <c r="C104">
        <v>9.5999999999999979</v>
      </c>
      <c r="D104">
        <v>8</v>
      </c>
      <c r="E104">
        <v>36</v>
      </c>
    </row>
    <row r="105" spans="1:5" x14ac:dyDescent="0.3">
      <c r="A105" s="12" t="s">
        <v>266</v>
      </c>
      <c r="B105">
        <v>152</v>
      </c>
      <c r="C105">
        <v>8.1500000000000021</v>
      </c>
      <c r="D105">
        <v>4</v>
      </c>
      <c r="E105">
        <v>42</v>
      </c>
    </row>
    <row r="106" spans="1:5" x14ac:dyDescent="0.3">
      <c r="A106" s="11" t="s">
        <v>360</v>
      </c>
      <c r="B106">
        <v>351</v>
      </c>
      <c r="C106">
        <v>9.4750000000000014</v>
      </c>
      <c r="D106">
        <v>6</v>
      </c>
      <c r="E106">
        <v>39</v>
      </c>
    </row>
    <row r="107" spans="1:5" x14ac:dyDescent="0.3">
      <c r="A107" s="12" t="s">
        <v>258</v>
      </c>
      <c r="B107">
        <v>182</v>
      </c>
      <c r="C107">
        <v>9.9500000000000011</v>
      </c>
      <c r="D107">
        <v>4</v>
      </c>
      <c r="E107">
        <v>37</v>
      </c>
    </row>
    <row r="108" spans="1:5" x14ac:dyDescent="0.3">
      <c r="A108" s="12" t="s">
        <v>159</v>
      </c>
      <c r="B108">
        <v>169</v>
      </c>
      <c r="C108">
        <v>9</v>
      </c>
      <c r="D108">
        <v>2</v>
      </c>
      <c r="E108">
        <v>41</v>
      </c>
    </row>
    <row r="109" spans="1:5" x14ac:dyDescent="0.3">
      <c r="A109" s="11" t="s">
        <v>361</v>
      </c>
      <c r="B109">
        <v>273</v>
      </c>
      <c r="C109">
        <v>6.9500000000000028</v>
      </c>
      <c r="D109">
        <v>14</v>
      </c>
      <c r="E109">
        <v>51.5</v>
      </c>
    </row>
    <row r="110" spans="1:5" x14ac:dyDescent="0.3">
      <c r="A110" s="12" t="s">
        <v>266</v>
      </c>
      <c r="B110">
        <v>159</v>
      </c>
      <c r="C110">
        <v>8</v>
      </c>
      <c r="D110">
        <v>9</v>
      </c>
      <c r="E110">
        <v>40</v>
      </c>
    </row>
    <row r="111" spans="1:5" x14ac:dyDescent="0.3">
      <c r="A111" s="12" t="s">
        <v>219</v>
      </c>
      <c r="B111">
        <v>114</v>
      </c>
      <c r="C111">
        <v>5.8999999999999995</v>
      </c>
      <c r="D111">
        <v>5</v>
      </c>
      <c r="E111">
        <v>63</v>
      </c>
    </row>
    <row r="112" spans="1:5" x14ac:dyDescent="0.3">
      <c r="A112" s="11" t="s">
        <v>362</v>
      </c>
      <c r="B112">
        <v>266</v>
      </c>
      <c r="C112">
        <v>6.9050000000000011</v>
      </c>
      <c r="D112">
        <v>16</v>
      </c>
      <c r="E112">
        <v>44</v>
      </c>
    </row>
    <row r="113" spans="1:5" x14ac:dyDescent="0.3">
      <c r="A113" s="12" t="s">
        <v>158</v>
      </c>
      <c r="B113">
        <v>137</v>
      </c>
      <c r="C113">
        <v>6.9099999999999975</v>
      </c>
      <c r="D113">
        <v>7</v>
      </c>
      <c r="E113">
        <v>48</v>
      </c>
    </row>
    <row r="114" spans="1:5" x14ac:dyDescent="0.3">
      <c r="A114" s="12" t="s">
        <v>219</v>
      </c>
      <c r="B114">
        <v>129</v>
      </c>
      <c r="C114">
        <v>6.9</v>
      </c>
      <c r="D114">
        <v>9</v>
      </c>
      <c r="E114">
        <v>40</v>
      </c>
    </row>
    <row r="115" spans="1:5" x14ac:dyDescent="0.3">
      <c r="A115" s="11" t="s">
        <v>363</v>
      </c>
      <c r="B115">
        <v>362</v>
      </c>
      <c r="C115">
        <v>9.5649999999999977</v>
      </c>
      <c r="D115">
        <v>9</v>
      </c>
      <c r="E115">
        <v>38.5</v>
      </c>
    </row>
    <row r="116" spans="1:5" x14ac:dyDescent="0.3">
      <c r="A116" s="12" t="s">
        <v>258</v>
      </c>
      <c r="B116">
        <v>186</v>
      </c>
      <c r="C116">
        <v>9.5</v>
      </c>
      <c r="D116">
        <v>3</v>
      </c>
      <c r="E116">
        <v>34</v>
      </c>
    </row>
    <row r="117" spans="1:5" x14ac:dyDescent="0.3">
      <c r="A117" s="12" t="s">
        <v>266</v>
      </c>
      <c r="B117">
        <v>176</v>
      </c>
      <c r="C117">
        <v>9.629999999999999</v>
      </c>
      <c r="D117">
        <v>6</v>
      </c>
      <c r="E117">
        <v>43</v>
      </c>
    </row>
    <row r="118" spans="1:5" x14ac:dyDescent="0.3">
      <c r="A118" s="11" t="s">
        <v>364</v>
      </c>
      <c r="B118">
        <v>348</v>
      </c>
      <c r="C118">
        <v>9.0249999999999986</v>
      </c>
      <c r="D118">
        <v>9</v>
      </c>
      <c r="E118">
        <v>34.5</v>
      </c>
    </row>
    <row r="119" spans="1:5" x14ac:dyDescent="0.3">
      <c r="A119" s="12" t="s">
        <v>158</v>
      </c>
      <c r="B119">
        <v>172</v>
      </c>
      <c r="C119">
        <v>9.0499999999999989</v>
      </c>
      <c r="D119">
        <v>4</v>
      </c>
      <c r="E119">
        <v>34</v>
      </c>
    </row>
    <row r="120" spans="1:5" x14ac:dyDescent="0.3">
      <c r="A120" s="12" t="s">
        <v>159</v>
      </c>
      <c r="B120">
        <v>176</v>
      </c>
      <c r="C120">
        <v>9</v>
      </c>
      <c r="D120">
        <v>5</v>
      </c>
      <c r="E120">
        <v>35</v>
      </c>
    </row>
    <row r="121" spans="1:5" x14ac:dyDescent="0.3">
      <c r="A121" s="11" t="s">
        <v>365</v>
      </c>
      <c r="B121">
        <v>286</v>
      </c>
      <c r="C121">
        <v>7.3999999999999977</v>
      </c>
      <c r="D121">
        <v>12</v>
      </c>
      <c r="E121">
        <v>47.5</v>
      </c>
    </row>
    <row r="122" spans="1:5" x14ac:dyDescent="0.3">
      <c r="A122" s="12" t="s">
        <v>258</v>
      </c>
      <c r="B122">
        <v>149</v>
      </c>
      <c r="C122">
        <v>7.6</v>
      </c>
      <c r="D122">
        <v>5</v>
      </c>
      <c r="E122">
        <v>44</v>
      </c>
    </row>
    <row r="123" spans="1:5" x14ac:dyDescent="0.3">
      <c r="A123" s="12" t="s">
        <v>219</v>
      </c>
      <c r="B123">
        <v>137</v>
      </c>
      <c r="C123">
        <v>7.200000000000002</v>
      </c>
      <c r="D123">
        <v>7</v>
      </c>
      <c r="E123">
        <v>51</v>
      </c>
    </row>
    <row r="124" spans="1:5" x14ac:dyDescent="0.3">
      <c r="A124" s="11" t="s">
        <v>366</v>
      </c>
      <c r="B124">
        <v>210</v>
      </c>
      <c r="C124">
        <v>6.81</v>
      </c>
      <c r="D124">
        <v>13</v>
      </c>
      <c r="E124">
        <v>49.5</v>
      </c>
    </row>
    <row r="125" spans="1:5" x14ac:dyDescent="0.3">
      <c r="A125" s="12" t="s">
        <v>266</v>
      </c>
      <c r="B125">
        <v>110</v>
      </c>
      <c r="C125">
        <v>5.950000000000002</v>
      </c>
      <c r="D125">
        <v>3</v>
      </c>
      <c r="E125">
        <v>55</v>
      </c>
    </row>
    <row r="126" spans="1:5" x14ac:dyDescent="0.3">
      <c r="A126" s="12" t="s">
        <v>159</v>
      </c>
      <c r="B126">
        <v>100</v>
      </c>
      <c r="C126">
        <v>7.6700000000000008</v>
      </c>
      <c r="D126">
        <v>10</v>
      </c>
      <c r="E126">
        <v>44</v>
      </c>
    </row>
    <row r="127" spans="1:5" x14ac:dyDescent="0.3">
      <c r="A127" s="11" t="s">
        <v>367</v>
      </c>
      <c r="B127">
        <v>246</v>
      </c>
      <c r="C127">
        <v>8.0500000000000025</v>
      </c>
      <c r="D127">
        <v>9</v>
      </c>
      <c r="E127">
        <v>43.5</v>
      </c>
    </row>
    <row r="128" spans="1:5" x14ac:dyDescent="0.3">
      <c r="A128" s="12" t="s">
        <v>158</v>
      </c>
      <c r="B128">
        <v>127</v>
      </c>
      <c r="C128">
        <v>9.7999999999999989</v>
      </c>
      <c r="D128">
        <v>7</v>
      </c>
      <c r="E128">
        <v>30</v>
      </c>
    </row>
    <row r="129" spans="1:5" x14ac:dyDescent="0.3">
      <c r="A129" s="12" t="s">
        <v>258</v>
      </c>
      <c r="B129">
        <v>119</v>
      </c>
      <c r="C129">
        <v>6.299999999999998</v>
      </c>
      <c r="D129">
        <v>2</v>
      </c>
      <c r="E129">
        <v>57</v>
      </c>
    </row>
    <row r="130" spans="1:5" x14ac:dyDescent="0.3">
      <c r="A130" s="11" t="s">
        <v>368</v>
      </c>
      <c r="B130">
        <v>255</v>
      </c>
      <c r="C130">
        <v>6.625</v>
      </c>
      <c r="D130">
        <v>12</v>
      </c>
      <c r="E130">
        <v>46.5</v>
      </c>
    </row>
    <row r="131" spans="1:5" x14ac:dyDescent="0.3">
      <c r="A131" s="12" t="s">
        <v>266</v>
      </c>
      <c r="B131">
        <v>123</v>
      </c>
      <c r="C131">
        <v>6.5</v>
      </c>
      <c r="D131">
        <v>6</v>
      </c>
      <c r="E131">
        <v>45</v>
      </c>
    </row>
    <row r="132" spans="1:5" x14ac:dyDescent="0.3">
      <c r="A132" s="12" t="s">
        <v>159</v>
      </c>
      <c r="B132">
        <v>132</v>
      </c>
      <c r="C132">
        <v>6.75</v>
      </c>
      <c r="D132">
        <v>6</v>
      </c>
      <c r="E132">
        <v>48</v>
      </c>
    </row>
    <row r="133" spans="1:5" x14ac:dyDescent="0.3">
      <c r="A133" s="11" t="s">
        <v>444</v>
      </c>
      <c r="B133">
        <v>225</v>
      </c>
      <c r="C133">
        <v>6.0050000000000034</v>
      </c>
      <c r="D133">
        <v>11</v>
      </c>
      <c r="E133">
        <v>47.5</v>
      </c>
    </row>
    <row r="134" spans="1:5" x14ac:dyDescent="0.3">
      <c r="A134" s="12" t="s">
        <v>158</v>
      </c>
      <c r="B134">
        <v>110</v>
      </c>
      <c r="C134">
        <v>6.11</v>
      </c>
      <c r="D134">
        <v>2</v>
      </c>
      <c r="E134">
        <v>46</v>
      </c>
    </row>
    <row r="135" spans="1:5" x14ac:dyDescent="0.3">
      <c r="A135" s="12" t="s">
        <v>159</v>
      </c>
      <c r="B135">
        <v>115</v>
      </c>
      <c r="C135">
        <v>5.8999999999999995</v>
      </c>
      <c r="D135">
        <v>9</v>
      </c>
      <c r="E135">
        <v>49</v>
      </c>
    </row>
    <row r="136" spans="1:5" x14ac:dyDescent="0.3">
      <c r="A136" s="11" t="s">
        <v>462</v>
      </c>
      <c r="B136">
        <v>379</v>
      </c>
      <c r="C136">
        <v>10.484999999999994</v>
      </c>
      <c r="D136">
        <v>9</v>
      </c>
      <c r="E136">
        <v>29</v>
      </c>
    </row>
    <row r="137" spans="1:5" x14ac:dyDescent="0.3">
      <c r="A137" s="12" t="s">
        <v>258</v>
      </c>
      <c r="B137">
        <v>190</v>
      </c>
      <c r="C137">
        <v>10.049999999999999</v>
      </c>
      <c r="D137">
        <v>4</v>
      </c>
      <c r="E137">
        <v>35</v>
      </c>
    </row>
    <row r="138" spans="1:5" x14ac:dyDescent="0.3">
      <c r="A138" s="12" t="s">
        <v>159</v>
      </c>
      <c r="B138">
        <v>189</v>
      </c>
      <c r="C138">
        <v>10.92</v>
      </c>
      <c r="D138">
        <v>5</v>
      </c>
      <c r="E138">
        <v>23</v>
      </c>
    </row>
    <row r="139" spans="1:5" x14ac:dyDescent="0.3">
      <c r="A139" s="11" t="s">
        <v>463</v>
      </c>
      <c r="B139">
        <v>311</v>
      </c>
      <c r="C139">
        <v>8.4050000000000011</v>
      </c>
      <c r="D139">
        <v>14</v>
      </c>
      <c r="E139">
        <v>39.5</v>
      </c>
    </row>
    <row r="140" spans="1:5" x14ac:dyDescent="0.3">
      <c r="A140" s="12" t="s">
        <v>158</v>
      </c>
      <c r="B140">
        <v>158</v>
      </c>
      <c r="C140">
        <v>8.25</v>
      </c>
      <c r="D140">
        <v>7</v>
      </c>
      <c r="E140">
        <v>40</v>
      </c>
    </row>
    <row r="141" spans="1:5" x14ac:dyDescent="0.3">
      <c r="A141" s="12" t="s">
        <v>266</v>
      </c>
      <c r="B141">
        <v>153</v>
      </c>
      <c r="C141">
        <v>8.56</v>
      </c>
      <c r="D141">
        <v>7</v>
      </c>
      <c r="E141">
        <v>39</v>
      </c>
    </row>
    <row r="142" spans="1:5" x14ac:dyDescent="0.3">
      <c r="A142" s="11" t="s">
        <v>464</v>
      </c>
      <c r="B142">
        <v>281</v>
      </c>
      <c r="C142">
        <v>7.5750000000000028</v>
      </c>
      <c r="D142">
        <v>12</v>
      </c>
      <c r="E142">
        <v>42</v>
      </c>
    </row>
    <row r="143" spans="1:5" x14ac:dyDescent="0.3">
      <c r="A143" s="12" t="s">
        <v>258</v>
      </c>
      <c r="B143">
        <v>141</v>
      </c>
      <c r="C143">
        <v>8</v>
      </c>
      <c r="D143">
        <v>8</v>
      </c>
      <c r="E143">
        <v>44</v>
      </c>
    </row>
    <row r="144" spans="1:5" x14ac:dyDescent="0.3">
      <c r="A144" s="12" t="s">
        <v>219</v>
      </c>
      <c r="B144">
        <v>140</v>
      </c>
      <c r="C144">
        <v>7.15</v>
      </c>
      <c r="D144">
        <v>4</v>
      </c>
      <c r="E144">
        <v>40</v>
      </c>
    </row>
    <row r="145" spans="1:5" x14ac:dyDescent="0.3">
      <c r="A145" s="11" t="s">
        <v>465</v>
      </c>
      <c r="B145">
        <v>270</v>
      </c>
      <c r="C145">
        <v>8.0850000000000009</v>
      </c>
      <c r="D145">
        <v>12</v>
      </c>
      <c r="E145">
        <v>33</v>
      </c>
    </row>
    <row r="146" spans="1:5" x14ac:dyDescent="0.3">
      <c r="A146" s="12" t="s">
        <v>158</v>
      </c>
      <c r="B146">
        <v>129</v>
      </c>
      <c r="C146">
        <v>7.2300000000000031</v>
      </c>
      <c r="D146">
        <v>2</v>
      </c>
      <c r="E146">
        <v>36</v>
      </c>
    </row>
    <row r="147" spans="1:5" x14ac:dyDescent="0.3">
      <c r="A147" s="12" t="s">
        <v>159</v>
      </c>
      <c r="B147">
        <v>141</v>
      </c>
      <c r="C147">
        <v>8.94</v>
      </c>
      <c r="D147">
        <v>10</v>
      </c>
      <c r="E147">
        <v>30</v>
      </c>
    </row>
    <row r="148" spans="1:5" x14ac:dyDescent="0.3">
      <c r="A148" s="11" t="s">
        <v>466</v>
      </c>
      <c r="B148">
        <v>233</v>
      </c>
      <c r="C148">
        <v>6.7750000000000004</v>
      </c>
      <c r="D148">
        <v>14</v>
      </c>
      <c r="E148">
        <v>40.5</v>
      </c>
    </row>
    <row r="149" spans="1:5" x14ac:dyDescent="0.3">
      <c r="A149" s="12" t="s">
        <v>258</v>
      </c>
      <c r="B149">
        <v>114</v>
      </c>
      <c r="C149">
        <v>6</v>
      </c>
      <c r="D149">
        <v>5</v>
      </c>
      <c r="E149">
        <v>47</v>
      </c>
    </row>
    <row r="150" spans="1:5" x14ac:dyDescent="0.3">
      <c r="A150" s="12" t="s">
        <v>266</v>
      </c>
      <c r="B150">
        <v>119</v>
      </c>
      <c r="C150">
        <v>7.549999999999998</v>
      </c>
      <c r="D150">
        <v>9</v>
      </c>
      <c r="E150">
        <v>34</v>
      </c>
    </row>
    <row r="151" spans="1:5" x14ac:dyDescent="0.3">
      <c r="A151" s="11" t="s">
        <v>467</v>
      </c>
      <c r="B151">
        <v>324</v>
      </c>
      <c r="C151">
        <v>8.360000000000003</v>
      </c>
      <c r="D151">
        <v>9</v>
      </c>
      <c r="E151">
        <v>39.5</v>
      </c>
    </row>
    <row r="152" spans="1:5" x14ac:dyDescent="0.3">
      <c r="A152" s="12" t="s">
        <v>158</v>
      </c>
      <c r="B152">
        <v>165</v>
      </c>
      <c r="C152">
        <v>8.42</v>
      </c>
      <c r="D152">
        <v>6</v>
      </c>
      <c r="E152">
        <v>36</v>
      </c>
    </row>
    <row r="153" spans="1:5" x14ac:dyDescent="0.3">
      <c r="A153" s="12" t="s">
        <v>219</v>
      </c>
      <c r="B153">
        <v>159</v>
      </c>
      <c r="C153">
        <v>8.2999999999999989</v>
      </c>
      <c r="D153">
        <v>3</v>
      </c>
      <c r="E153">
        <v>43</v>
      </c>
    </row>
    <row r="154" spans="1:5" x14ac:dyDescent="0.3">
      <c r="A154" s="11" t="s">
        <v>468</v>
      </c>
      <c r="B154">
        <v>326</v>
      </c>
      <c r="C154">
        <v>8.4599999999999955</v>
      </c>
      <c r="D154">
        <v>13</v>
      </c>
      <c r="E154">
        <v>42.5</v>
      </c>
    </row>
    <row r="155" spans="1:5" x14ac:dyDescent="0.3">
      <c r="A155" s="12" t="s">
        <v>266</v>
      </c>
      <c r="B155">
        <v>162</v>
      </c>
      <c r="C155">
        <v>8.5699999999999985</v>
      </c>
      <c r="D155">
        <v>7</v>
      </c>
      <c r="E155">
        <v>49</v>
      </c>
    </row>
    <row r="156" spans="1:5" x14ac:dyDescent="0.3">
      <c r="A156" s="12" t="s">
        <v>159</v>
      </c>
      <c r="B156">
        <v>164</v>
      </c>
      <c r="C156">
        <v>8.3499999999999979</v>
      </c>
      <c r="D156">
        <v>6</v>
      </c>
      <c r="E156">
        <v>36</v>
      </c>
    </row>
    <row r="157" spans="1:5" x14ac:dyDescent="0.3">
      <c r="A157" s="11" t="s">
        <v>469</v>
      </c>
      <c r="B157">
        <v>294</v>
      </c>
      <c r="C157">
        <v>8.1149999999999967</v>
      </c>
      <c r="D157">
        <v>15</v>
      </c>
      <c r="E157">
        <v>60</v>
      </c>
    </row>
    <row r="158" spans="1:5" x14ac:dyDescent="0.3">
      <c r="A158" s="12" t="s">
        <v>158</v>
      </c>
      <c r="B158">
        <v>142</v>
      </c>
      <c r="C158">
        <v>7.379999999999999</v>
      </c>
      <c r="D158">
        <v>9</v>
      </c>
      <c r="E158">
        <v>63</v>
      </c>
    </row>
    <row r="159" spans="1:5" x14ac:dyDescent="0.3">
      <c r="A159" s="12" t="s">
        <v>219</v>
      </c>
      <c r="B159">
        <v>152</v>
      </c>
      <c r="C159">
        <v>8.8499999999999979</v>
      </c>
      <c r="D159">
        <v>6</v>
      </c>
      <c r="E159">
        <v>57</v>
      </c>
    </row>
    <row r="160" spans="1:5" x14ac:dyDescent="0.3">
      <c r="A160" s="11" t="s">
        <v>470</v>
      </c>
      <c r="B160">
        <v>348</v>
      </c>
      <c r="C160">
        <v>9</v>
      </c>
      <c r="D160">
        <v>11</v>
      </c>
      <c r="E160">
        <v>49</v>
      </c>
    </row>
    <row r="161" spans="1:5" x14ac:dyDescent="0.3">
      <c r="A161" s="12" t="s">
        <v>159</v>
      </c>
      <c r="B161">
        <v>175</v>
      </c>
      <c r="C161">
        <v>9</v>
      </c>
      <c r="D161">
        <v>8</v>
      </c>
      <c r="E161">
        <v>45</v>
      </c>
    </row>
    <row r="162" spans="1:5" x14ac:dyDescent="0.3">
      <c r="A162" s="12" t="s">
        <v>219</v>
      </c>
      <c r="B162">
        <v>173</v>
      </c>
      <c r="C162">
        <v>9</v>
      </c>
      <c r="D162">
        <v>3</v>
      </c>
      <c r="E162">
        <v>53</v>
      </c>
    </row>
    <row r="163" spans="1:5" x14ac:dyDescent="0.3">
      <c r="A163" s="11" t="s">
        <v>471</v>
      </c>
      <c r="B163">
        <v>229</v>
      </c>
      <c r="C163">
        <v>7.4949999999999983</v>
      </c>
      <c r="D163">
        <v>12</v>
      </c>
      <c r="E163">
        <v>53.5</v>
      </c>
    </row>
    <row r="164" spans="1:5" x14ac:dyDescent="0.3">
      <c r="A164" s="12" t="s">
        <v>158</v>
      </c>
      <c r="B164">
        <v>123</v>
      </c>
      <c r="C164">
        <v>8.64</v>
      </c>
      <c r="D164">
        <v>8</v>
      </c>
      <c r="E164">
        <v>43</v>
      </c>
    </row>
    <row r="165" spans="1:5" x14ac:dyDescent="0.3">
      <c r="A165" s="12" t="s">
        <v>258</v>
      </c>
      <c r="B165">
        <v>106</v>
      </c>
      <c r="C165">
        <v>6.3500000000000005</v>
      </c>
      <c r="D165">
        <v>4</v>
      </c>
      <c r="E165">
        <v>64</v>
      </c>
    </row>
    <row r="166" spans="1:5" x14ac:dyDescent="0.3">
      <c r="A166" s="11" t="s">
        <v>472</v>
      </c>
      <c r="B166">
        <v>272</v>
      </c>
      <c r="C166">
        <v>7.7549999999999963</v>
      </c>
      <c r="D166">
        <v>11</v>
      </c>
      <c r="E166">
        <v>47.5</v>
      </c>
    </row>
    <row r="167" spans="1:5" x14ac:dyDescent="0.3">
      <c r="A167" s="12" t="s">
        <v>266</v>
      </c>
      <c r="B167">
        <v>138</v>
      </c>
      <c r="C167">
        <v>8.4099999999999984</v>
      </c>
      <c r="D167">
        <v>9</v>
      </c>
      <c r="E167">
        <v>43</v>
      </c>
    </row>
    <row r="168" spans="1:5" x14ac:dyDescent="0.3">
      <c r="A168" s="12" t="s">
        <v>219</v>
      </c>
      <c r="B168">
        <v>134</v>
      </c>
      <c r="C168">
        <v>7.1</v>
      </c>
      <c r="D168">
        <v>2</v>
      </c>
      <c r="E168">
        <v>52</v>
      </c>
    </row>
    <row r="169" spans="1:5" x14ac:dyDescent="0.3">
      <c r="A169" s="11" t="s">
        <v>473</v>
      </c>
      <c r="B169">
        <v>234</v>
      </c>
      <c r="C169">
        <v>6.9449999999999994</v>
      </c>
      <c r="D169">
        <v>10</v>
      </c>
      <c r="E169">
        <v>52.5</v>
      </c>
    </row>
    <row r="170" spans="1:5" x14ac:dyDescent="0.3">
      <c r="A170" s="12" t="s">
        <v>258</v>
      </c>
      <c r="B170">
        <v>121</v>
      </c>
      <c r="C170">
        <v>7.64</v>
      </c>
      <c r="D170">
        <v>6</v>
      </c>
      <c r="E170">
        <v>47</v>
      </c>
    </row>
    <row r="171" spans="1:5" x14ac:dyDescent="0.3">
      <c r="A171" s="12" t="s">
        <v>159</v>
      </c>
      <c r="B171">
        <v>113</v>
      </c>
      <c r="C171">
        <v>6.25</v>
      </c>
      <c r="D171">
        <v>4</v>
      </c>
      <c r="E171">
        <v>58</v>
      </c>
    </row>
    <row r="172" spans="1:5" x14ac:dyDescent="0.3">
      <c r="A172" s="11" t="s">
        <v>474</v>
      </c>
      <c r="B172">
        <v>234</v>
      </c>
      <c r="C172">
        <v>7.3500000000000023</v>
      </c>
      <c r="D172">
        <v>9</v>
      </c>
      <c r="E172">
        <v>52</v>
      </c>
    </row>
    <row r="173" spans="1:5" x14ac:dyDescent="0.3">
      <c r="A173" s="12" t="s">
        <v>158</v>
      </c>
      <c r="B173">
        <v>118</v>
      </c>
      <c r="C173">
        <v>8.5499999999999989</v>
      </c>
      <c r="D173">
        <v>8</v>
      </c>
      <c r="E173">
        <v>35</v>
      </c>
    </row>
    <row r="174" spans="1:5" x14ac:dyDescent="0.3">
      <c r="A174" s="12" t="s">
        <v>266</v>
      </c>
      <c r="B174">
        <v>116</v>
      </c>
      <c r="C174">
        <v>6.1499999999999995</v>
      </c>
      <c r="D174">
        <v>1</v>
      </c>
      <c r="E174">
        <v>69</v>
      </c>
    </row>
    <row r="175" spans="1:5" x14ac:dyDescent="0.3">
      <c r="A175" s="11" t="s">
        <v>475</v>
      </c>
      <c r="B175">
        <v>284</v>
      </c>
      <c r="C175">
        <v>8.5449999999999964</v>
      </c>
      <c r="D175">
        <v>6</v>
      </c>
      <c r="E175">
        <v>43</v>
      </c>
    </row>
    <row r="176" spans="1:5" x14ac:dyDescent="0.3">
      <c r="A176" s="12" t="s">
        <v>158</v>
      </c>
      <c r="B176">
        <v>143</v>
      </c>
      <c r="C176">
        <v>9.7399999999999984</v>
      </c>
      <c r="D176">
        <v>5</v>
      </c>
      <c r="E176">
        <v>32</v>
      </c>
    </row>
    <row r="177" spans="1:5" x14ac:dyDescent="0.3">
      <c r="A177" s="12" t="s">
        <v>159</v>
      </c>
      <c r="B177">
        <v>141</v>
      </c>
      <c r="C177">
        <v>7.35</v>
      </c>
      <c r="D177">
        <v>1</v>
      </c>
      <c r="E177">
        <v>54</v>
      </c>
    </row>
    <row r="178" spans="1:5" x14ac:dyDescent="0.3">
      <c r="A178" s="11" t="s">
        <v>476</v>
      </c>
      <c r="B178">
        <v>277</v>
      </c>
      <c r="C178">
        <v>7.7100000000000017</v>
      </c>
      <c r="D178">
        <v>15</v>
      </c>
      <c r="E178">
        <v>48.5</v>
      </c>
    </row>
    <row r="179" spans="1:5" x14ac:dyDescent="0.3">
      <c r="A179" s="12" t="s">
        <v>258</v>
      </c>
      <c r="B179">
        <v>181</v>
      </c>
      <c r="C179">
        <v>9.2999999999999989</v>
      </c>
      <c r="D179">
        <v>10</v>
      </c>
      <c r="E179">
        <v>39</v>
      </c>
    </row>
    <row r="180" spans="1:5" x14ac:dyDescent="0.3">
      <c r="A180" s="12" t="s">
        <v>219</v>
      </c>
      <c r="B180">
        <v>96</v>
      </c>
      <c r="C180">
        <v>6.1199999999999992</v>
      </c>
      <c r="D180">
        <v>5</v>
      </c>
      <c r="E180">
        <v>58</v>
      </c>
    </row>
    <row r="181" spans="1:5" x14ac:dyDescent="0.3">
      <c r="A181" s="11" t="s">
        <v>477</v>
      </c>
      <c r="B181">
        <v>285</v>
      </c>
      <c r="C181">
        <v>7.8849999999999989</v>
      </c>
      <c r="D181">
        <v>13</v>
      </c>
      <c r="E181">
        <v>52</v>
      </c>
    </row>
    <row r="182" spans="1:5" x14ac:dyDescent="0.3">
      <c r="A182" s="12" t="s">
        <v>266</v>
      </c>
      <c r="B182">
        <v>141</v>
      </c>
      <c r="C182">
        <v>8.2699999999999978</v>
      </c>
      <c r="D182">
        <v>9</v>
      </c>
      <c r="E182">
        <v>48</v>
      </c>
    </row>
    <row r="183" spans="1:5" x14ac:dyDescent="0.3">
      <c r="A183" s="12" t="s">
        <v>219</v>
      </c>
      <c r="B183">
        <v>144</v>
      </c>
      <c r="C183">
        <v>7.5</v>
      </c>
      <c r="D183">
        <v>4</v>
      </c>
      <c r="E183">
        <v>56</v>
      </c>
    </row>
    <row r="184" spans="1:5" x14ac:dyDescent="0.3">
      <c r="A184" s="11" t="s">
        <v>478</v>
      </c>
      <c r="B184">
        <v>342</v>
      </c>
      <c r="C184">
        <v>8.9899999999999967</v>
      </c>
      <c r="D184">
        <v>10</v>
      </c>
      <c r="E184">
        <v>43.5</v>
      </c>
    </row>
    <row r="185" spans="1:5" x14ac:dyDescent="0.3">
      <c r="A185" s="12" t="s">
        <v>158</v>
      </c>
      <c r="B185">
        <v>172</v>
      </c>
      <c r="C185">
        <v>8.8499999999999979</v>
      </c>
      <c r="D185">
        <v>5</v>
      </c>
      <c r="E185">
        <v>46</v>
      </c>
    </row>
    <row r="186" spans="1:5" x14ac:dyDescent="0.3">
      <c r="A186" s="12" t="s">
        <v>258</v>
      </c>
      <c r="B186">
        <v>170</v>
      </c>
      <c r="C186">
        <v>9.129999999999999</v>
      </c>
      <c r="D186">
        <v>5</v>
      </c>
      <c r="E186">
        <v>41</v>
      </c>
    </row>
    <row r="187" spans="1:5" x14ac:dyDescent="0.3">
      <c r="A187" s="11" t="s">
        <v>479</v>
      </c>
      <c r="B187">
        <v>423</v>
      </c>
      <c r="C187">
        <v>11.085000000000001</v>
      </c>
      <c r="D187">
        <v>13</v>
      </c>
      <c r="E187">
        <v>40.5</v>
      </c>
    </row>
    <row r="188" spans="1:5" x14ac:dyDescent="0.3">
      <c r="A188" s="12" t="s">
        <v>159</v>
      </c>
      <c r="B188">
        <v>206</v>
      </c>
      <c r="C188">
        <v>10.92</v>
      </c>
      <c r="D188">
        <v>3</v>
      </c>
      <c r="E188">
        <v>41</v>
      </c>
    </row>
    <row r="189" spans="1:5" x14ac:dyDescent="0.3">
      <c r="A189" s="12" t="s">
        <v>219</v>
      </c>
      <c r="B189">
        <v>217</v>
      </c>
      <c r="C189">
        <v>11.25</v>
      </c>
      <c r="D189">
        <v>10</v>
      </c>
      <c r="E189">
        <v>40</v>
      </c>
    </row>
    <row r="190" spans="1:5" x14ac:dyDescent="0.3">
      <c r="A190" s="11" t="s">
        <v>480</v>
      </c>
      <c r="B190">
        <v>339</v>
      </c>
      <c r="C190">
        <v>8.7249999999999961</v>
      </c>
      <c r="D190">
        <v>13</v>
      </c>
      <c r="E190">
        <v>44</v>
      </c>
    </row>
    <row r="191" spans="1:5" x14ac:dyDescent="0.3">
      <c r="A191" s="12" t="s">
        <v>258</v>
      </c>
      <c r="B191">
        <v>164</v>
      </c>
      <c r="C191">
        <v>8.5</v>
      </c>
      <c r="D191">
        <v>4</v>
      </c>
      <c r="E191">
        <v>46</v>
      </c>
    </row>
    <row r="192" spans="1:5" x14ac:dyDescent="0.3">
      <c r="A192" s="12" t="s">
        <v>266</v>
      </c>
      <c r="B192">
        <v>175</v>
      </c>
      <c r="C192">
        <v>8.9500000000000011</v>
      </c>
      <c r="D192">
        <v>9</v>
      </c>
      <c r="E192">
        <v>42</v>
      </c>
    </row>
    <row r="193" spans="1:5" x14ac:dyDescent="0.3">
      <c r="A193" s="11" t="s">
        <v>481</v>
      </c>
      <c r="B193">
        <v>376</v>
      </c>
      <c r="C193">
        <v>9.6749999999999972</v>
      </c>
      <c r="D193">
        <v>12</v>
      </c>
      <c r="E193">
        <v>38</v>
      </c>
    </row>
    <row r="194" spans="1:5" x14ac:dyDescent="0.3">
      <c r="A194" s="12" t="s">
        <v>266</v>
      </c>
      <c r="B194">
        <v>181</v>
      </c>
      <c r="C194">
        <v>9.4000000000000021</v>
      </c>
      <c r="D194">
        <v>3</v>
      </c>
      <c r="E194">
        <v>38</v>
      </c>
    </row>
    <row r="195" spans="1:5" x14ac:dyDescent="0.3">
      <c r="A195" s="12" t="s">
        <v>159</v>
      </c>
      <c r="B195">
        <v>195</v>
      </c>
      <c r="C195">
        <v>9.9500000000000011</v>
      </c>
      <c r="D195">
        <v>9</v>
      </c>
      <c r="E195">
        <v>38</v>
      </c>
    </row>
    <row r="196" spans="1:5" x14ac:dyDescent="0.3">
      <c r="A196" s="11" t="s">
        <v>482</v>
      </c>
      <c r="B196">
        <v>365</v>
      </c>
      <c r="C196">
        <v>9.6200000000000028</v>
      </c>
      <c r="D196">
        <v>10</v>
      </c>
      <c r="E196">
        <v>37.5</v>
      </c>
    </row>
    <row r="197" spans="1:5" x14ac:dyDescent="0.3">
      <c r="A197" s="12" t="s">
        <v>258</v>
      </c>
      <c r="B197">
        <v>159</v>
      </c>
      <c r="C197">
        <v>8.5900000000000016</v>
      </c>
      <c r="D197">
        <v>3</v>
      </c>
      <c r="E197">
        <v>44</v>
      </c>
    </row>
    <row r="198" spans="1:5" x14ac:dyDescent="0.3">
      <c r="A198" s="12" t="s">
        <v>266</v>
      </c>
      <c r="B198">
        <v>206</v>
      </c>
      <c r="C198">
        <v>10.650000000000002</v>
      </c>
      <c r="D198">
        <v>7</v>
      </c>
      <c r="E198">
        <v>31</v>
      </c>
    </row>
    <row r="199" spans="1:5" x14ac:dyDescent="0.3">
      <c r="A199" s="11" t="s">
        <v>483</v>
      </c>
      <c r="B199">
        <v>280</v>
      </c>
      <c r="C199">
        <v>7.2499999999999973</v>
      </c>
      <c r="D199">
        <v>15</v>
      </c>
      <c r="E199">
        <v>42</v>
      </c>
    </row>
    <row r="200" spans="1:5" x14ac:dyDescent="0.3">
      <c r="A200" s="12" t="s">
        <v>158</v>
      </c>
      <c r="B200">
        <v>139</v>
      </c>
      <c r="C200">
        <v>7.049999999999998</v>
      </c>
      <c r="D200">
        <v>7</v>
      </c>
      <c r="E200">
        <v>42</v>
      </c>
    </row>
    <row r="201" spans="1:5" x14ac:dyDescent="0.3">
      <c r="A201" s="12" t="s">
        <v>266</v>
      </c>
      <c r="B201">
        <v>141</v>
      </c>
      <c r="C201">
        <v>7.450000000000002</v>
      </c>
      <c r="D201">
        <v>8</v>
      </c>
      <c r="E201">
        <v>42</v>
      </c>
    </row>
    <row r="202" spans="1:5" x14ac:dyDescent="0.3">
      <c r="A202" s="11" t="s">
        <v>601</v>
      </c>
      <c r="B202">
        <v>294</v>
      </c>
      <c r="C202">
        <v>7.7749999999999977</v>
      </c>
      <c r="D202">
        <v>13</v>
      </c>
      <c r="E202">
        <v>50.5</v>
      </c>
    </row>
    <row r="203" spans="1:5" x14ac:dyDescent="0.3">
      <c r="A203" s="12" t="s">
        <v>266</v>
      </c>
      <c r="B203">
        <v>145</v>
      </c>
      <c r="C203">
        <v>7.700000000000002</v>
      </c>
      <c r="D203">
        <v>7</v>
      </c>
      <c r="E203">
        <v>54</v>
      </c>
    </row>
    <row r="204" spans="1:5" x14ac:dyDescent="0.3">
      <c r="A204" s="12" t="s">
        <v>159</v>
      </c>
      <c r="B204">
        <v>149</v>
      </c>
      <c r="C204">
        <v>7.85</v>
      </c>
      <c r="D204">
        <v>6</v>
      </c>
      <c r="E204">
        <v>47</v>
      </c>
    </row>
    <row r="205" spans="1:5" x14ac:dyDescent="0.3">
      <c r="A205" s="11" t="s">
        <v>602</v>
      </c>
      <c r="B205">
        <v>387</v>
      </c>
      <c r="C205">
        <v>10.099999999999996</v>
      </c>
      <c r="D205">
        <v>12</v>
      </c>
      <c r="E205">
        <v>42.5</v>
      </c>
    </row>
    <row r="206" spans="1:5" x14ac:dyDescent="0.3">
      <c r="A206" s="12" t="s">
        <v>258</v>
      </c>
      <c r="B206">
        <v>201</v>
      </c>
      <c r="C206">
        <v>10.349999999999998</v>
      </c>
      <c r="D206">
        <v>8</v>
      </c>
      <c r="E206">
        <v>36</v>
      </c>
    </row>
    <row r="207" spans="1:5" x14ac:dyDescent="0.3">
      <c r="A207" s="12" t="s">
        <v>219</v>
      </c>
      <c r="B207">
        <v>186</v>
      </c>
      <c r="C207">
        <v>9.8499999999999979</v>
      </c>
      <c r="D207">
        <v>4</v>
      </c>
      <c r="E207">
        <v>49</v>
      </c>
    </row>
    <row r="208" spans="1:5" x14ac:dyDescent="0.3">
      <c r="A208" s="11" t="s">
        <v>603</v>
      </c>
      <c r="B208">
        <v>320</v>
      </c>
      <c r="C208">
        <v>8.69</v>
      </c>
      <c r="D208">
        <v>14</v>
      </c>
      <c r="E208">
        <v>42.5</v>
      </c>
    </row>
    <row r="209" spans="1:5" x14ac:dyDescent="0.3">
      <c r="A209" s="12" t="s">
        <v>158</v>
      </c>
      <c r="B209">
        <v>134</v>
      </c>
      <c r="C209">
        <v>7.629999999999999</v>
      </c>
      <c r="D209">
        <v>4</v>
      </c>
      <c r="E209">
        <v>46</v>
      </c>
    </row>
    <row r="210" spans="1:5" x14ac:dyDescent="0.3">
      <c r="A210" s="12" t="s">
        <v>266</v>
      </c>
      <c r="B210">
        <v>186</v>
      </c>
      <c r="C210">
        <v>9.75</v>
      </c>
      <c r="D210">
        <v>10</v>
      </c>
      <c r="E210">
        <v>39</v>
      </c>
    </row>
    <row r="211" spans="1:5" x14ac:dyDescent="0.3">
      <c r="A211" s="11" t="s">
        <v>604</v>
      </c>
      <c r="B211">
        <v>401</v>
      </c>
      <c r="C211">
        <v>10.349999999999996</v>
      </c>
      <c r="D211">
        <v>15</v>
      </c>
      <c r="E211">
        <v>33</v>
      </c>
    </row>
    <row r="212" spans="1:5" x14ac:dyDescent="0.3">
      <c r="A212" s="12" t="s">
        <v>158</v>
      </c>
      <c r="B212">
        <v>200</v>
      </c>
      <c r="C212">
        <v>10.25</v>
      </c>
      <c r="D212">
        <v>10</v>
      </c>
      <c r="E212">
        <v>33</v>
      </c>
    </row>
    <row r="213" spans="1:5" x14ac:dyDescent="0.3">
      <c r="A213" s="12" t="s">
        <v>258</v>
      </c>
      <c r="B213">
        <v>201</v>
      </c>
      <c r="C213">
        <v>10.450000000000001</v>
      </c>
      <c r="D213">
        <v>5</v>
      </c>
      <c r="E213">
        <v>33</v>
      </c>
    </row>
    <row r="214" spans="1:5" x14ac:dyDescent="0.3">
      <c r="A214" s="11" t="s">
        <v>605</v>
      </c>
      <c r="B214">
        <v>271</v>
      </c>
      <c r="C214">
        <v>9.5350000000000037</v>
      </c>
      <c r="D214">
        <v>6</v>
      </c>
      <c r="E214">
        <v>31.5</v>
      </c>
    </row>
    <row r="215" spans="1:5" x14ac:dyDescent="0.3">
      <c r="A215" s="12" t="s">
        <v>159</v>
      </c>
      <c r="B215">
        <v>136</v>
      </c>
      <c r="C215">
        <v>11.92</v>
      </c>
      <c r="D215">
        <v>5</v>
      </c>
      <c r="E215">
        <v>29</v>
      </c>
    </row>
    <row r="216" spans="1:5" x14ac:dyDescent="0.3">
      <c r="A216" s="12" t="s">
        <v>219</v>
      </c>
      <c r="B216">
        <v>135</v>
      </c>
      <c r="C216">
        <v>7.15</v>
      </c>
      <c r="D216">
        <v>1</v>
      </c>
      <c r="E216">
        <v>34</v>
      </c>
    </row>
    <row r="217" spans="1:5" x14ac:dyDescent="0.3">
      <c r="A217" s="11" t="s">
        <v>606</v>
      </c>
      <c r="B217">
        <v>370</v>
      </c>
      <c r="C217">
        <v>9.7899999999999956</v>
      </c>
      <c r="D217">
        <v>7</v>
      </c>
      <c r="E217">
        <v>28.5</v>
      </c>
    </row>
    <row r="218" spans="1:5" x14ac:dyDescent="0.3">
      <c r="A218" s="12" t="s">
        <v>258</v>
      </c>
      <c r="B218">
        <v>186</v>
      </c>
      <c r="C218">
        <v>9.5999999999999979</v>
      </c>
      <c r="D218">
        <v>3</v>
      </c>
      <c r="E218">
        <v>27</v>
      </c>
    </row>
    <row r="219" spans="1:5" x14ac:dyDescent="0.3">
      <c r="A219" s="12" t="s">
        <v>266</v>
      </c>
      <c r="B219">
        <v>184</v>
      </c>
      <c r="C219">
        <v>9.9800000000000022</v>
      </c>
      <c r="D219">
        <v>4</v>
      </c>
      <c r="E219">
        <v>30</v>
      </c>
    </row>
    <row r="220" spans="1:5" x14ac:dyDescent="0.3">
      <c r="A220" s="11" t="s">
        <v>607</v>
      </c>
      <c r="B220">
        <v>302</v>
      </c>
      <c r="C220">
        <v>7.799999999999998</v>
      </c>
      <c r="D220">
        <v>10</v>
      </c>
      <c r="E220">
        <v>34.5</v>
      </c>
    </row>
    <row r="221" spans="1:5" x14ac:dyDescent="0.3">
      <c r="A221" s="12" t="s">
        <v>158</v>
      </c>
      <c r="B221">
        <v>154</v>
      </c>
      <c r="C221">
        <v>7.9</v>
      </c>
      <c r="D221">
        <v>7</v>
      </c>
      <c r="E221">
        <v>33</v>
      </c>
    </row>
    <row r="222" spans="1:5" x14ac:dyDescent="0.3">
      <c r="A222" s="12" t="s">
        <v>219</v>
      </c>
      <c r="B222">
        <v>148</v>
      </c>
      <c r="C222">
        <v>7.700000000000002</v>
      </c>
      <c r="D222">
        <v>3</v>
      </c>
      <c r="E222">
        <v>36</v>
      </c>
    </row>
    <row r="223" spans="1:5" x14ac:dyDescent="0.3">
      <c r="A223" s="11" t="s">
        <v>608</v>
      </c>
      <c r="B223">
        <v>308</v>
      </c>
      <c r="C223">
        <v>8.4849999999999959</v>
      </c>
      <c r="D223">
        <v>7</v>
      </c>
      <c r="E223">
        <v>34.5</v>
      </c>
    </row>
    <row r="224" spans="1:5" x14ac:dyDescent="0.3">
      <c r="A224" s="12" t="s">
        <v>266</v>
      </c>
      <c r="B224">
        <v>157</v>
      </c>
      <c r="C224">
        <v>8.0499999999999989</v>
      </c>
      <c r="D224">
        <v>3</v>
      </c>
      <c r="E224">
        <v>34</v>
      </c>
    </row>
    <row r="225" spans="1:5" x14ac:dyDescent="0.3">
      <c r="A225" s="12" t="s">
        <v>219</v>
      </c>
      <c r="B225">
        <v>151</v>
      </c>
      <c r="C225">
        <v>8.92</v>
      </c>
      <c r="D225">
        <v>4</v>
      </c>
      <c r="E225">
        <v>35</v>
      </c>
    </row>
    <row r="226" spans="1:5" x14ac:dyDescent="0.3">
      <c r="A226" s="11" t="s">
        <v>609</v>
      </c>
      <c r="B226">
        <v>320</v>
      </c>
      <c r="C226">
        <v>8.5299999999999976</v>
      </c>
      <c r="D226">
        <v>17</v>
      </c>
      <c r="E226">
        <v>31.5</v>
      </c>
    </row>
    <row r="227" spans="1:5" x14ac:dyDescent="0.3">
      <c r="A227" s="12" t="s">
        <v>258</v>
      </c>
      <c r="B227">
        <v>147</v>
      </c>
      <c r="C227">
        <v>7.9599999999999991</v>
      </c>
      <c r="D227">
        <v>7</v>
      </c>
      <c r="E227">
        <v>33</v>
      </c>
    </row>
    <row r="228" spans="1:5" x14ac:dyDescent="0.3">
      <c r="A228" s="12" t="s">
        <v>159</v>
      </c>
      <c r="B228">
        <v>173</v>
      </c>
      <c r="C228">
        <v>9.0999999999999979</v>
      </c>
      <c r="D228">
        <v>10</v>
      </c>
      <c r="E228">
        <v>30</v>
      </c>
    </row>
    <row r="229" spans="1:5" x14ac:dyDescent="0.3">
      <c r="A229" s="11" t="s">
        <v>610</v>
      </c>
      <c r="B229">
        <v>340</v>
      </c>
      <c r="C229">
        <v>8.7999999999999972</v>
      </c>
      <c r="D229">
        <v>14</v>
      </c>
      <c r="E229">
        <v>35</v>
      </c>
    </row>
    <row r="230" spans="1:5" x14ac:dyDescent="0.3">
      <c r="A230" s="12" t="s">
        <v>266</v>
      </c>
      <c r="B230">
        <v>161</v>
      </c>
      <c r="C230">
        <v>8.25</v>
      </c>
      <c r="D230">
        <v>8</v>
      </c>
      <c r="E230">
        <v>36</v>
      </c>
    </row>
    <row r="231" spans="1:5" x14ac:dyDescent="0.3">
      <c r="A231" s="12" t="s">
        <v>219</v>
      </c>
      <c r="B231">
        <v>179</v>
      </c>
      <c r="C231">
        <v>9.3499999999999979</v>
      </c>
      <c r="D231">
        <v>6</v>
      </c>
      <c r="E231">
        <v>34</v>
      </c>
    </row>
    <row r="232" spans="1:5" x14ac:dyDescent="0.3">
      <c r="A232" s="11" t="s">
        <v>611</v>
      </c>
      <c r="B232">
        <v>315</v>
      </c>
      <c r="C232">
        <v>8.759999999999998</v>
      </c>
      <c r="D232">
        <v>11</v>
      </c>
      <c r="E232">
        <v>33</v>
      </c>
    </row>
    <row r="233" spans="1:5" x14ac:dyDescent="0.3">
      <c r="A233" s="12" t="s">
        <v>158</v>
      </c>
      <c r="B233">
        <v>157</v>
      </c>
      <c r="C233">
        <v>8.2999999999999989</v>
      </c>
      <c r="D233">
        <v>2</v>
      </c>
      <c r="E233">
        <v>34</v>
      </c>
    </row>
    <row r="234" spans="1:5" x14ac:dyDescent="0.3">
      <c r="A234" s="12" t="s">
        <v>159</v>
      </c>
      <c r="B234">
        <v>158</v>
      </c>
      <c r="C234">
        <v>9.2200000000000006</v>
      </c>
      <c r="D234">
        <v>9</v>
      </c>
      <c r="E234">
        <v>32</v>
      </c>
    </row>
    <row r="235" spans="1:5" x14ac:dyDescent="0.3">
      <c r="A235" s="11" t="s">
        <v>612</v>
      </c>
      <c r="B235">
        <v>269</v>
      </c>
      <c r="C235">
        <v>7.3750000000000027</v>
      </c>
      <c r="D235">
        <v>14</v>
      </c>
      <c r="E235">
        <v>35</v>
      </c>
    </row>
    <row r="236" spans="1:5" x14ac:dyDescent="0.3">
      <c r="A236" s="12" t="s">
        <v>258</v>
      </c>
      <c r="B236">
        <v>112</v>
      </c>
      <c r="C236">
        <v>5.8500000000000005</v>
      </c>
      <c r="D236">
        <v>6</v>
      </c>
      <c r="E236">
        <v>36</v>
      </c>
    </row>
    <row r="237" spans="1:5" x14ac:dyDescent="0.3">
      <c r="A237" s="12" t="s">
        <v>159</v>
      </c>
      <c r="B237">
        <v>157</v>
      </c>
      <c r="C237">
        <v>8.9000000000000021</v>
      </c>
      <c r="D237">
        <v>8</v>
      </c>
      <c r="E237">
        <v>34</v>
      </c>
    </row>
    <row r="238" spans="1:5" x14ac:dyDescent="0.3">
      <c r="A238" s="11" t="s">
        <v>613</v>
      </c>
      <c r="B238">
        <v>305</v>
      </c>
      <c r="C238">
        <v>7.9299999999999962</v>
      </c>
      <c r="D238">
        <v>7</v>
      </c>
      <c r="E238">
        <v>31.5</v>
      </c>
    </row>
    <row r="239" spans="1:5" x14ac:dyDescent="0.3">
      <c r="A239" s="12" t="s">
        <v>158</v>
      </c>
      <c r="B239">
        <v>153</v>
      </c>
      <c r="C239">
        <v>8.1599999999999984</v>
      </c>
      <c r="D239">
        <v>5</v>
      </c>
      <c r="E239">
        <v>33</v>
      </c>
    </row>
    <row r="240" spans="1:5" x14ac:dyDescent="0.3">
      <c r="A240" s="12" t="s">
        <v>266</v>
      </c>
      <c r="B240">
        <v>152</v>
      </c>
      <c r="C240">
        <v>7.700000000000002</v>
      </c>
      <c r="D240">
        <v>2</v>
      </c>
      <c r="E240">
        <v>30</v>
      </c>
    </row>
    <row r="241" spans="1:5" x14ac:dyDescent="0.3">
      <c r="A241" s="11" t="s">
        <v>614</v>
      </c>
      <c r="B241">
        <v>240</v>
      </c>
      <c r="C241">
        <v>6.9099999999999993</v>
      </c>
      <c r="D241">
        <v>15</v>
      </c>
      <c r="E241">
        <v>34.5</v>
      </c>
    </row>
    <row r="242" spans="1:5" x14ac:dyDescent="0.3">
      <c r="A242" s="12" t="s">
        <v>258</v>
      </c>
      <c r="B242">
        <v>144</v>
      </c>
      <c r="C242">
        <v>7.65</v>
      </c>
      <c r="D242">
        <v>9</v>
      </c>
      <c r="E242">
        <v>34</v>
      </c>
    </row>
    <row r="243" spans="1:5" x14ac:dyDescent="0.3">
      <c r="A243" s="12" t="s">
        <v>219</v>
      </c>
      <c r="B243">
        <v>96</v>
      </c>
      <c r="C243">
        <v>6.1700000000000008</v>
      </c>
      <c r="D243">
        <v>6</v>
      </c>
      <c r="E243">
        <v>35</v>
      </c>
    </row>
    <row r="244" spans="1:5" x14ac:dyDescent="0.3">
      <c r="A244" s="11" t="s">
        <v>615</v>
      </c>
      <c r="B244">
        <v>209</v>
      </c>
      <c r="C244">
        <v>6.2700000000000014</v>
      </c>
      <c r="D244">
        <v>13</v>
      </c>
      <c r="E244">
        <v>32</v>
      </c>
    </row>
    <row r="245" spans="1:5" x14ac:dyDescent="0.3">
      <c r="A245" s="12" t="s">
        <v>158</v>
      </c>
      <c r="B245">
        <v>107</v>
      </c>
      <c r="C245">
        <v>7.0900000000000025</v>
      </c>
      <c r="D245">
        <v>10</v>
      </c>
      <c r="E245">
        <v>31</v>
      </c>
    </row>
    <row r="246" spans="1:5" x14ac:dyDescent="0.3">
      <c r="A246" s="12" t="s">
        <v>159</v>
      </c>
      <c r="B246">
        <v>102</v>
      </c>
      <c r="C246">
        <v>5.450000000000002</v>
      </c>
      <c r="D246">
        <v>3</v>
      </c>
      <c r="E246">
        <v>33</v>
      </c>
    </row>
    <row r="247" spans="1:5" x14ac:dyDescent="0.3">
      <c r="A247" s="11" t="s">
        <v>616</v>
      </c>
      <c r="B247">
        <v>363</v>
      </c>
      <c r="C247">
        <v>9.5749999999999957</v>
      </c>
      <c r="D247">
        <v>12</v>
      </c>
      <c r="E247">
        <v>30.5</v>
      </c>
    </row>
    <row r="248" spans="1:5" x14ac:dyDescent="0.3">
      <c r="A248" s="12" t="s">
        <v>266</v>
      </c>
      <c r="B248">
        <v>188</v>
      </c>
      <c r="C248">
        <v>9.9500000000000011</v>
      </c>
      <c r="D248">
        <v>8</v>
      </c>
      <c r="E248">
        <v>29</v>
      </c>
    </row>
    <row r="249" spans="1:5" x14ac:dyDescent="0.3">
      <c r="A249" s="12" t="s">
        <v>159</v>
      </c>
      <c r="B249">
        <v>175</v>
      </c>
      <c r="C249">
        <v>9.2000000000000011</v>
      </c>
      <c r="D249">
        <v>4</v>
      </c>
      <c r="E249">
        <v>32</v>
      </c>
    </row>
    <row r="250" spans="1:5" x14ac:dyDescent="0.3">
      <c r="A250" s="11" t="s">
        <v>617</v>
      </c>
      <c r="B250">
        <v>307</v>
      </c>
      <c r="C250">
        <v>8.6249999999999964</v>
      </c>
      <c r="D250">
        <v>17</v>
      </c>
      <c r="E250">
        <v>32</v>
      </c>
    </row>
    <row r="251" spans="1:5" x14ac:dyDescent="0.3">
      <c r="A251" s="12" t="s">
        <v>158</v>
      </c>
      <c r="B251">
        <v>151</v>
      </c>
      <c r="C251">
        <v>8.5499999999999989</v>
      </c>
      <c r="D251">
        <v>9</v>
      </c>
      <c r="E251">
        <v>30</v>
      </c>
    </row>
    <row r="252" spans="1:5" x14ac:dyDescent="0.3">
      <c r="A252" s="12" t="s">
        <v>258</v>
      </c>
      <c r="B252">
        <v>156</v>
      </c>
      <c r="C252">
        <v>8.7000000000000011</v>
      </c>
      <c r="D252">
        <v>8</v>
      </c>
      <c r="E252">
        <v>34</v>
      </c>
    </row>
    <row r="253" spans="1:5" x14ac:dyDescent="0.3">
      <c r="A253" s="11" t="s">
        <v>618</v>
      </c>
      <c r="B253">
        <v>279</v>
      </c>
      <c r="C253">
        <v>9.1550000000000011</v>
      </c>
      <c r="D253">
        <v>10</v>
      </c>
      <c r="E253">
        <v>25</v>
      </c>
    </row>
    <row r="254" spans="1:5" x14ac:dyDescent="0.3">
      <c r="A254" s="12" t="s">
        <v>159</v>
      </c>
      <c r="B254">
        <v>145</v>
      </c>
      <c r="C254">
        <v>11.159999999999998</v>
      </c>
      <c r="D254">
        <v>8</v>
      </c>
      <c r="E254">
        <v>20</v>
      </c>
    </row>
    <row r="255" spans="1:5" x14ac:dyDescent="0.3">
      <c r="A255" s="12" t="s">
        <v>219</v>
      </c>
      <c r="B255">
        <v>134</v>
      </c>
      <c r="C255">
        <v>7.15</v>
      </c>
      <c r="D255">
        <v>2</v>
      </c>
      <c r="E255">
        <v>30</v>
      </c>
    </row>
    <row r="256" spans="1:5" x14ac:dyDescent="0.3">
      <c r="A256" s="11" t="s">
        <v>619</v>
      </c>
      <c r="B256">
        <v>310</v>
      </c>
      <c r="C256">
        <v>8.0750000000000011</v>
      </c>
      <c r="D256">
        <v>11</v>
      </c>
      <c r="E256">
        <v>33.5</v>
      </c>
    </row>
    <row r="257" spans="1:5" x14ac:dyDescent="0.3">
      <c r="A257" s="12" t="s">
        <v>258</v>
      </c>
      <c r="B257">
        <v>158</v>
      </c>
      <c r="C257">
        <v>8.3499999999999979</v>
      </c>
      <c r="D257">
        <v>7</v>
      </c>
      <c r="E257">
        <v>33</v>
      </c>
    </row>
    <row r="258" spans="1:5" x14ac:dyDescent="0.3">
      <c r="A258" s="12" t="s">
        <v>266</v>
      </c>
      <c r="B258">
        <v>152</v>
      </c>
      <c r="C258">
        <v>7.799999999999998</v>
      </c>
      <c r="D258">
        <v>4</v>
      </c>
      <c r="E258">
        <v>34</v>
      </c>
    </row>
    <row r="259" spans="1:5" x14ac:dyDescent="0.3">
      <c r="A259" s="11" t="s">
        <v>620</v>
      </c>
      <c r="B259">
        <v>246</v>
      </c>
      <c r="C259">
        <v>6.4249999999999972</v>
      </c>
      <c r="D259">
        <v>13</v>
      </c>
      <c r="E259">
        <v>32</v>
      </c>
    </row>
    <row r="260" spans="1:5" x14ac:dyDescent="0.3">
      <c r="A260" s="12" t="s">
        <v>158</v>
      </c>
      <c r="B260">
        <v>125</v>
      </c>
      <c r="C260">
        <v>6.75</v>
      </c>
      <c r="D260">
        <v>8</v>
      </c>
      <c r="E260">
        <v>29</v>
      </c>
    </row>
    <row r="261" spans="1:5" x14ac:dyDescent="0.3">
      <c r="A261" s="12" t="s">
        <v>219</v>
      </c>
      <c r="B261">
        <v>121</v>
      </c>
      <c r="C261">
        <v>6.1000000000000005</v>
      </c>
      <c r="D261">
        <v>5</v>
      </c>
      <c r="E261">
        <v>35</v>
      </c>
    </row>
    <row r="262" spans="1:5" x14ac:dyDescent="0.3">
      <c r="A262" s="11" t="s">
        <v>621</v>
      </c>
      <c r="B262">
        <v>294</v>
      </c>
      <c r="C262">
        <v>9.5950000000000006</v>
      </c>
      <c r="D262">
        <v>9</v>
      </c>
      <c r="E262">
        <v>25.5</v>
      </c>
    </row>
    <row r="263" spans="1:5" x14ac:dyDescent="0.3">
      <c r="A263" s="12" t="s">
        <v>158</v>
      </c>
      <c r="B263">
        <v>151</v>
      </c>
      <c r="C263">
        <v>10.789999999999997</v>
      </c>
      <c r="D263">
        <v>6</v>
      </c>
      <c r="E263">
        <v>23</v>
      </c>
    </row>
    <row r="264" spans="1:5" x14ac:dyDescent="0.3">
      <c r="A264" s="12" t="s">
        <v>258</v>
      </c>
      <c r="B264">
        <v>143</v>
      </c>
      <c r="C264">
        <v>8.4000000000000021</v>
      </c>
      <c r="D264">
        <v>3</v>
      </c>
      <c r="E264">
        <v>28</v>
      </c>
    </row>
    <row r="265" spans="1:5" x14ac:dyDescent="0.3">
      <c r="A265" s="11" t="s">
        <v>622</v>
      </c>
      <c r="B265">
        <v>393</v>
      </c>
      <c r="C265">
        <v>10.260000000000003</v>
      </c>
      <c r="D265">
        <v>7</v>
      </c>
      <c r="E265">
        <v>25.5</v>
      </c>
    </row>
    <row r="266" spans="1:5" x14ac:dyDescent="0.3">
      <c r="A266" s="12" t="s">
        <v>158</v>
      </c>
      <c r="B266">
        <v>193</v>
      </c>
      <c r="C266">
        <v>10.150000000000002</v>
      </c>
      <c r="D266">
        <v>4</v>
      </c>
      <c r="E266">
        <v>27</v>
      </c>
    </row>
    <row r="267" spans="1:5" x14ac:dyDescent="0.3">
      <c r="A267" s="12" t="s">
        <v>159</v>
      </c>
      <c r="B267">
        <v>200</v>
      </c>
      <c r="C267">
        <v>10.370000000000001</v>
      </c>
      <c r="D267">
        <v>3</v>
      </c>
      <c r="E267">
        <v>24</v>
      </c>
    </row>
    <row r="268" spans="1:5" x14ac:dyDescent="0.3">
      <c r="A268" s="11" t="s">
        <v>707</v>
      </c>
      <c r="C268">
        <v>0</v>
      </c>
      <c r="E268">
        <v>0</v>
      </c>
    </row>
    <row r="269" spans="1:5" x14ac:dyDescent="0.3">
      <c r="A269" s="12" t="s">
        <v>707</v>
      </c>
      <c r="C269">
        <v>0</v>
      </c>
      <c r="E269">
        <v>0</v>
      </c>
    </row>
    <row r="270" spans="1:5" x14ac:dyDescent="0.3">
      <c r="A270" s="11" t="s">
        <v>708</v>
      </c>
      <c r="B270">
        <v>26071</v>
      </c>
      <c r="C270">
        <v>8.2669349845201214</v>
      </c>
      <c r="D270">
        <v>990</v>
      </c>
      <c r="E270">
        <v>41.238390092879257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0FBAF-6856-4448-86E4-B2B4A53F71A0}">
  <dimension ref="A1:H177"/>
  <sheetViews>
    <sheetView workbookViewId="0">
      <selection activeCell="H1" sqref="H1"/>
    </sheetView>
  </sheetViews>
  <sheetFormatPr defaultRowHeight="14.4" x14ac:dyDescent="0.3"/>
  <cols>
    <col min="1" max="1" width="11.6640625" bestFit="1" customWidth="1"/>
    <col min="2" max="2" width="10.77734375" bestFit="1" customWidth="1"/>
    <col min="3" max="3" width="20.33203125" customWidth="1"/>
    <col min="4" max="4" width="20.109375" customWidth="1"/>
    <col min="5" max="5" width="21.33203125" customWidth="1"/>
    <col min="6" max="6" width="20.21875" customWidth="1"/>
    <col min="7" max="7" width="9" customWidth="1"/>
    <col min="8" max="8" width="11.6640625" bestFit="1" customWidth="1"/>
    <col min="9" max="9" width="6.21875" bestFit="1" customWidth="1"/>
  </cols>
  <sheetData>
    <row r="1" spans="1:8" x14ac:dyDescent="0.3">
      <c r="A1" t="s">
        <v>4</v>
      </c>
      <c r="B1" t="s">
        <v>714</v>
      </c>
      <c r="C1" t="s">
        <v>716</v>
      </c>
      <c r="D1" t="s">
        <v>712</v>
      </c>
      <c r="E1" t="s">
        <v>711</v>
      </c>
      <c r="F1" t="s">
        <v>713</v>
      </c>
      <c r="G1" t="s">
        <v>9</v>
      </c>
      <c r="H1" t="s">
        <v>715</v>
      </c>
    </row>
    <row r="2" spans="1:8" x14ac:dyDescent="0.3">
      <c r="A2" t="s">
        <v>19</v>
      </c>
      <c r="B2" t="s">
        <v>258</v>
      </c>
      <c r="C2">
        <v>62</v>
      </c>
      <c r="D2">
        <v>4.22</v>
      </c>
      <c r="E2">
        <v>5</v>
      </c>
      <c r="F2">
        <v>62</v>
      </c>
      <c r="G2" t="str">
        <f>_xlfn.XLOOKUP(A2,Matches!A:A,Matches!L:L,"")</f>
        <v>MIW</v>
      </c>
      <c r="H2">
        <f>IF(B2=G2,1,0)</f>
        <v>0</v>
      </c>
    </row>
    <row r="3" spans="1:8" x14ac:dyDescent="0.3">
      <c r="A3" t="s">
        <v>19</v>
      </c>
      <c r="B3" t="s">
        <v>266</v>
      </c>
      <c r="C3">
        <v>202</v>
      </c>
      <c r="D3">
        <v>10.349999999999998</v>
      </c>
      <c r="E3">
        <v>9</v>
      </c>
      <c r="F3">
        <v>44</v>
      </c>
      <c r="G3" t="str">
        <f>_xlfn.XLOOKUP(A3,Matches!A:A,Matches!L:L,"")</f>
        <v>MIW</v>
      </c>
      <c r="H3">
        <f t="shared" ref="H3:H66" si="0">IF(B3=G3,1,0)</f>
        <v>1</v>
      </c>
    </row>
    <row r="4" spans="1:8" x14ac:dyDescent="0.3">
      <c r="A4" t="s">
        <v>37</v>
      </c>
      <c r="B4" t="s">
        <v>158</v>
      </c>
      <c r="C4">
        <v>217</v>
      </c>
      <c r="D4">
        <v>11.150000000000004</v>
      </c>
      <c r="E4">
        <v>8</v>
      </c>
      <c r="F4">
        <v>28</v>
      </c>
      <c r="G4" t="str">
        <f>_xlfn.XLOOKUP(A4,Matches!A:A,Matches!L:L,"")</f>
        <v>DCW</v>
      </c>
      <c r="H4">
        <f t="shared" si="0"/>
        <v>1</v>
      </c>
    </row>
    <row r="5" spans="1:8" x14ac:dyDescent="0.3">
      <c r="A5" t="s">
        <v>37</v>
      </c>
      <c r="B5" t="s">
        <v>159</v>
      </c>
      <c r="C5">
        <v>159</v>
      </c>
      <c r="D5">
        <v>8.1500000000000021</v>
      </c>
      <c r="E5">
        <v>2</v>
      </c>
      <c r="F5">
        <v>39</v>
      </c>
      <c r="G5" t="str">
        <f>_xlfn.XLOOKUP(A5,Matches!A:A,Matches!L:L,"")</f>
        <v>DCW</v>
      </c>
      <c r="H5">
        <f t="shared" si="0"/>
        <v>0</v>
      </c>
    </row>
    <row r="6" spans="1:8" x14ac:dyDescent="0.3">
      <c r="A6" t="s">
        <v>136</v>
      </c>
      <c r="B6" t="s">
        <v>258</v>
      </c>
      <c r="C6">
        <v>155</v>
      </c>
      <c r="D6">
        <v>8.4500000000000011</v>
      </c>
      <c r="E6">
        <v>7</v>
      </c>
      <c r="F6">
        <v>40</v>
      </c>
      <c r="G6" t="str">
        <f>_xlfn.XLOOKUP(A6,Matches!A:A,Matches!L:L,"")</f>
        <v>UPW</v>
      </c>
      <c r="H6">
        <f t="shared" si="0"/>
        <v>0</v>
      </c>
    </row>
    <row r="7" spans="1:8" x14ac:dyDescent="0.3">
      <c r="A7" t="s">
        <v>136</v>
      </c>
      <c r="B7" t="s">
        <v>219</v>
      </c>
      <c r="C7">
        <v>161</v>
      </c>
      <c r="D7">
        <v>8.8199999999999985</v>
      </c>
      <c r="E7">
        <v>6</v>
      </c>
      <c r="F7">
        <v>33</v>
      </c>
      <c r="G7" t="str">
        <f>_xlfn.XLOOKUP(A7,Matches!A:A,Matches!L:L,"")</f>
        <v>UPW</v>
      </c>
      <c r="H7">
        <f t="shared" si="0"/>
        <v>1</v>
      </c>
    </row>
    <row r="8" spans="1:8" x14ac:dyDescent="0.3">
      <c r="A8" t="s">
        <v>137</v>
      </c>
      <c r="B8" t="s">
        <v>266</v>
      </c>
      <c r="C8">
        <v>155</v>
      </c>
      <c r="D8">
        <v>11.090000000000002</v>
      </c>
      <c r="E8">
        <v>9</v>
      </c>
      <c r="F8">
        <v>22</v>
      </c>
      <c r="G8" t="str">
        <f>_xlfn.XLOOKUP(A8,Matches!A:A,Matches!L:L,"")</f>
        <v>MIW</v>
      </c>
      <c r="H8">
        <f t="shared" si="0"/>
        <v>1</v>
      </c>
    </row>
    <row r="9" spans="1:8" x14ac:dyDescent="0.3">
      <c r="A9" t="s">
        <v>137</v>
      </c>
      <c r="B9" t="s">
        <v>159</v>
      </c>
      <c r="C9">
        <v>148</v>
      </c>
      <c r="D9">
        <v>8.2999999999999989</v>
      </c>
      <c r="E9">
        <v>1</v>
      </c>
      <c r="F9">
        <v>41</v>
      </c>
      <c r="G9" t="str">
        <f>_xlfn.XLOOKUP(A9,Matches!A:A,Matches!L:L,"")</f>
        <v>MIW</v>
      </c>
      <c r="H9">
        <f t="shared" si="0"/>
        <v>0</v>
      </c>
    </row>
    <row r="10" spans="1:8" x14ac:dyDescent="0.3">
      <c r="A10" t="s">
        <v>138</v>
      </c>
      <c r="B10" t="s">
        <v>158</v>
      </c>
      <c r="C10">
        <v>200</v>
      </c>
      <c r="D10">
        <v>10.549999999999999</v>
      </c>
      <c r="E10">
        <v>5</v>
      </c>
      <c r="F10">
        <v>35</v>
      </c>
      <c r="G10" t="str">
        <f>_xlfn.XLOOKUP(A10,Matches!A:A,Matches!L:L,"")</f>
        <v>DCW</v>
      </c>
      <c r="H10">
        <f t="shared" si="0"/>
        <v>1</v>
      </c>
    </row>
    <row r="11" spans="1:8" x14ac:dyDescent="0.3">
      <c r="A11" t="s">
        <v>138</v>
      </c>
      <c r="B11" t="s">
        <v>219</v>
      </c>
      <c r="C11">
        <v>158</v>
      </c>
      <c r="D11">
        <v>8.4500000000000011</v>
      </c>
      <c r="E11">
        <v>4</v>
      </c>
      <c r="F11">
        <v>45</v>
      </c>
      <c r="G11" t="str">
        <f>_xlfn.XLOOKUP(A11,Matches!A:A,Matches!L:L,"")</f>
        <v>DCW</v>
      </c>
      <c r="H11">
        <f t="shared" si="0"/>
        <v>0</v>
      </c>
    </row>
    <row r="12" spans="1:8" x14ac:dyDescent="0.3">
      <c r="A12" t="s">
        <v>139</v>
      </c>
      <c r="B12" t="s">
        <v>258</v>
      </c>
      <c r="C12">
        <v>199</v>
      </c>
      <c r="D12">
        <v>10.049999999999999</v>
      </c>
      <c r="E12">
        <v>6</v>
      </c>
      <c r="F12">
        <v>38</v>
      </c>
      <c r="G12" t="str">
        <f>_xlfn.XLOOKUP(A12,Matches!A:A,Matches!L:L,"")</f>
        <v>GGTW</v>
      </c>
      <c r="H12">
        <f t="shared" si="0"/>
        <v>1</v>
      </c>
    </row>
    <row r="13" spans="1:8" x14ac:dyDescent="0.3">
      <c r="A13" t="s">
        <v>139</v>
      </c>
      <c r="B13" t="s">
        <v>159</v>
      </c>
      <c r="C13">
        <v>179</v>
      </c>
      <c r="D13">
        <v>9.5</v>
      </c>
      <c r="E13">
        <v>6</v>
      </c>
      <c r="F13">
        <v>40</v>
      </c>
      <c r="G13" t="str">
        <f>_xlfn.XLOOKUP(A13,Matches!A:A,Matches!L:L,"")</f>
        <v>GGTW</v>
      </c>
      <c r="H13">
        <f t="shared" si="0"/>
        <v>0</v>
      </c>
    </row>
    <row r="14" spans="1:8" x14ac:dyDescent="0.3">
      <c r="A14" t="s">
        <v>140</v>
      </c>
      <c r="B14" t="s">
        <v>158</v>
      </c>
      <c r="C14">
        <v>98</v>
      </c>
      <c r="D14">
        <v>5.8299999999999992</v>
      </c>
      <c r="E14">
        <v>2</v>
      </c>
      <c r="F14">
        <v>43</v>
      </c>
      <c r="G14" t="str">
        <f>_xlfn.XLOOKUP(A14,Matches!A:A,Matches!L:L,"")</f>
        <v>MIW</v>
      </c>
      <c r="H14">
        <f t="shared" si="0"/>
        <v>0</v>
      </c>
    </row>
    <row r="15" spans="1:8" x14ac:dyDescent="0.3">
      <c r="A15" t="s">
        <v>140</v>
      </c>
      <c r="B15" t="s">
        <v>266</v>
      </c>
      <c r="C15">
        <v>107</v>
      </c>
      <c r="D15">
        <v>7.2699999999999969</v>
      </c>
      <c r="E15">
        <v>10</v>
      </c>
      <c r="F15">
        <v>45</v>
      </c>
      <c r="G15" t="str">
        <f>_xlfn.XLOOKUP(A15,Matches!A:A,Matches!L:L,"")</f>
        <v>MIW</v>
      </c>
      <c r="H15">
        <f t="shared" si="0"/>
        <v>1</v>
      </c>
    </row>
    <row r="16" spans="1:8" x14ac:dyDescent="0.3">
      <c r="A16" t="s">
        <v>141</v>
      </c>
      <c r="B16" t="s">
        <v>159</v>
      </c>
      <c r="C16">
        <v>138</v>
      </c>
      <c r="D16">
        <v>7.0799999999999992</v>
      </c>
      <c r="E16">
        <v>0</v>
      </c>
      <c r="F16">
        <v>39</v>
      </c>
      <c r="G16" t="str">
        <f>_xlfn.XLOOKUP(A16,Matches!A:A,Matches!L:L,"")</f>
        <v>UPW</v>
      </c>
      <c r="H16">
        <f t="shared" si="0"/>
        <v>0</v>
      </c>
    </row>
    <row r="17" spans="1:8" x14ac:dyDescent="0.3">
      <c r="A17" t="s">
        <v>141</v>
      </c>
      <c r="B17" t="s">
        <v>219</v>
      </c>
      <c r="C17">
        <v>132</v>
      </c>
      <c r="D17">
        <v>10.69</v>
      </c>
      <c r="E17">
        <v>5</v>
      </c>
      <c r="F17">
        <v>19</v>
      </c>
      <c r="G17" t="str">
        <f>_xlfn.XLOOKUP(A17,Matches!A:A,Matches!L:L,"")</f>
        <v>UPW</v>
      </c>
      <c r="H17">
        <f t="shared" si="0"/>
        <v>1</v>
      </c>
    </row>
    <row r="18" spans="1:8" x14ac:dyDescent="0.3">
      <c r="A18" t="s">
        <v>142</v>
      </c>
      <c r="B18" t="s">
        <v>158</v>
      </c>
      <c r="C18">
        <v>97</v>
      </c>
      <c r="D18">
        <v>14.930000000000005</v>
      </c>
      <c r="E18">
        <v>9</v>
      </c>
      <c r="F18">
        <v>9</v>
      </c>
      <c r="G18" t="str">
        <f>_xlfn.XLOOKUP(A18,Matches!A:A,Matches!L:L,"")</f>
        <v>DCW</v>
      </c>
      <c r="H18">
        <f t="shared" si="0"/>
        <v>1</v>
      </c>
    </row>
    <row r="19" spans="1:8" x14ac:dyDescent="0.3">
      <c r="A19" t="s">
        <v>142</v>
      </c>
      <c r="B19" t="s">
        <v>258</v>
      </c>
      <c r="C19">
        <v>102</v>
      </c>
      <c r="D19">
        <v>5.25</v>
      </c>
      <c r="E19">
        <v>0</v>
      </c>
      <c r="F19">
        <v>63</v>
      </c>
      <c r="G19" t="str">
        <f>_xlfn.XLOOKUP(A19,Matches!A:A,Matches!L:L,"")</f>
        <v>DCW</v>
      </c>
      <c r="H19">
        <f t="shared" si="0"/>
        <v>0</v>
      </c>
    </row>
    <row r="20" spans="1:8" x14ac:dyDescent="0.3">
      <c r="A20" t="s">
        <v>143</v>
      </c>
      <c r="B20" t="s">
        <v>266</v>
      </c>
      <c r="C20">
        <v>152</v>
      </c>
      <c r="D20">
        <v>9.370000000000001</v>
      </c>
      <c r="E20">
        <v>6</v>
      </c>
      <c r="F20">
        <v>48</v>
      </c>
      <c r="G20" t="str">
        <f>_xlfn.XLOOKUP(A20,Matches!A:A,Matches!L:L,"")</f>
        <v>MIW</v>
      </c>
      <c r="H20">
        <f t="shared" si="0"/>
        <v>1</v>
      </c>
    </row>
    <row r="21" spans="1:8" x14ac:dyDescent="0.3">
      <c r="A21" t="s">
        <v>143</v>
      </c>
      <c r="B21" t="s">
        <v>219</v>
      </c>
      <c r="C21">
        <v>150</v>
      </c>
      <c r="D21">
        <v>7.950000000000002</v>
      </c>
      <c r="E21">
        <v>2</v>
      </c>
      <c r="F21">
        <v>44</v>
      </c>
      <c r="G21" t="str">
        <f>_xlfn.XLOOKUP(A21,Matches!A:A,Matches!L:L,"")</f>
        <v>MIW</v>
      </c>
      <c r="H21">
        <f t="shared" si="0"/>
        <v>0</v>
      </c>
    </row>
    <row r="22" spans="1:8" x14ac:dyDescent="0.3">
      <c r="A22" t="s">
        <v>144</v>
      </c>
      <c r="B22" t="s">
        <v>158</v>
      </c>
      <c r="C22">
        <v>146</v>
      </c>
      <c r="D22">
        <v>7.8299999999999992</v>
      </c>
      <c r="E22">
        <v>4</v>
      </c>
      <c r="F22">
        <v>41</v>
      </c>
      <c r="G22" t="str">
        <f>_xlfn.XLOOKUP(A22,Matches!A:A,Matches!L:L,"")</f>
        <v>DCW</v>
      </c>
      <c r="H22">
        <f t="shared" si="0"/>
        <v>1</v>
      </c>
    </row>
    <row r="23" spans="1:8" x14ac:dyDescent="0.3">
      <c r="A23" t="s">
        <v>144</v>
      </c>
      <c r="B23" t="s">
        <v>159</v>
      </c>
      <c r="C23">
        <v>148</v>
      </c>
      <c r="D23">
        <v>7.5</v>
      </c>
      <c r="E23">
        <v>4</v>
      </c>
      <c r="F23">
        <v>49</v>
      </c>
      <c r="G23" t="str">
        <f>_xlfn.XLOOKUP(A23,Matches!A:A,Matches!L:L,"")</f>
        <v>DCW</v>
      </c>
      <c r="H23">
        <f t="shared" si="0"/>
        <v>0</v>
      </c>
    </row>
    <row r="24" spans="1:8" x14ac:dyDescent="0.3">
      <c r="A24" t="s">
        <v>145</v>
      </c>
      <c r="B24" t="s">
        <v>258</v>
      </c>
      <c r="C24">
        <v>105</v>
      </c>
      <c r="D24">
        <v>5.3500000000000005</v>
      </c>
      <c r="E24">
        <v>6</v>
      </c>
      <c r="F24">
        <v>54</v>
      </c>
      <c r="G24" t="str">
        <f>_xlfn.XLOOKUP(A24,Matches!A:A,Matches!L:L,"")</f>
        <v>MIW</v>
      </c>
      <c r="H24">
        <f t="shared" si="0"/>
        <v>0</v>
      </c>
    </row>
    <row r="25" spans="1:8" x14ac:dyDescent="0.3">
      <c r="A25" t="s">
        <v>145</v>
      </c>
      <c r="B25" t="s">
        <v>266</v>
      </c>
      <c r="C25">
        <v>155</v>
      </c>
      <c r="D25">
        <v>8.0999999999999979</v>
      </c>
      <c r="E25">
        <v>9</v>
      </c>
      <c r="F25">
        <v>44</v>
      </c>
      <c r="G25" t="str">
        <f>_xlfn.XLOOKUP(A25,Matches!A:A,Matches!L:L,"")</f>
        <v>MIW</v>
      </c>
      <c r="H25">
        <f t="shared" si="0"/>
        <v>1</v>
      </c>
    </row>
    <row r="26" spans="1:8" x14ac:dyDescent="0.3">
      <c r="A26" t="s">
        <v>146</v>
      </c>
      <c r="B26" t="s">
        <v>159</v>
      </c>
      <c r="C26">
        <v>130</v>
      </c>
      <c r="D26">
        <v>7.5600000000000014</v>
      </c>
      <c r="E26">
        <v>9</v>
      </c>
      <c r="F26">
        <v>53</v>
      </c>
      <c r="G26" t="str">
        <f>_xlfn.XLOOKUP(A26,Matches!A:A,Matches!L:L,"")</f>
        <v>RCBW</v>
      </c>
      <c r="H26">
        <f t="shared" si="0"/>
        <v>1</v>
      </c>
    </row>
    <row r="27" spans="1:8" x14ac:dyDescent="0.3">
      <c r="A27" t="s">
        <v>146</v>
      </c>
      <c r="B27" t="s">
        <v>219</v>
      </c>
      <c r="C27">
        <v>123</v>
      </c>
      <c r="D27">
        <v>6.9200000000000008</v>
      </c>
      <c r="E27">
        <v>5</v>
      </c>
      <c r="F27">
        <v>52</v>
      </c>
      <c r="G27" t="str">
        <f>_xlfn.XLOOKUP(A27,Matches!A:A,Matches!L:L,"")</f>
        <v>RCBW</v>
      </c>
      <c r="H27">
        <f t="shared" si="0"/>
        <v>0</v>
      </c>
    </row>
    <row r="28" spans="1:8" x14ac:dyDescent="0.3">
      <c r="A28" t="s">
        <v>147</v>
      </c>
      <c r="B28" t="s">
        <v>158</v>
      </c>
      <c r="C28">
        <v>124</v>
      </c>
      <c r="D28">
        <v>7.2900000000000009</v>
      </c>
      <c r="E28">
        <v>4</v>
      </c>
      <c r="F28">
        <v>52</v>
      </c>
      <c r="G28" t="str">
        <f>_xlfn.XLOOKUP(A28,Matches!A:A,Matches!L:L,"")</f>
        <v>GGTW</v>
      </c>
      <c r="H28">
        <f t="shared" si="0"/>
        <v>0</v>
      </c>
    </row>
    <row r="29" spans="1:8" x14ac:dyDescent="0.3">
      <c r="A29" t="s">
        <v>147</v>
      </c>
      <c r="B29" t="s">
        <v>258</v>
      </c>
      <c r="C29">
        <v>144</v>
      </c>
      <c r="D29">
        <v>7.35</v>
      </c>
      <c r="E29">
        <v>8</v>
      </c>
      <c r="F29">
        <v>46</v>
      </c>
      <c r="G29" t="str">
        <f>_xlfn.XLOOKUP(A29,Matches!A:A,Matches!L:L,"")</f>
        <v>GGTW</v>
      </c>
      <c r="H29">
        <f t="shared" si="0"/>
        <v>1</v>
      </c>
    </row>
    <row r="30" spans="1:8" x14ac:dyDescent="0.3">
      <c r="A30" t="s">
        <v>148</v>
      </c>
      <c r="B30" t="s">
        <v>266</v>
      </c>
      <c r="C30">
        <v>122</v>
      </c>
      <c r="D30">
        <v>6.3500000000000005</v>
      </c>
      <c r="E30">
        <v>5</v>
      </c>
      <c r="F30">
        <v>52</v>
      </c>
      <c r="G30" t="str">
        <f>_xlfn.XLOOKUP(A30,Matches!A:A,Matches!L:L,"")</f>
        <v>UPW</v>
      </c>
      <c r="H30">
        <f t="shared" si="0"/>
        <v>0</v>
      </c>
    </row>
    <row r="31" spans="1:8" x14ac:dyDescent="0.3">
      <c r="A31" t="s">
        <v>148</v>
      </c>
      <c r="B31" t="s">
        <v>219</v>
      </c>
      <c r="C31">
        <v>127</v>
      </c>
      <c r="D31">
        <v>6.6199999999999992</v>
      </c>
      <c r="E31">
        <v>8</v>
      </c>
      <c r="F31">
        <v>52</v>
      </c>
      <c r="G31" t="str">
        <f>_xlfn.XLOOKUP(A31,Matches!A:A,Matches!L:L,"")</f>
        <v>UPW</v>
      </c>
      <c r="H31">
        <f t="shared" si="0"/>
        <v>1</v>
      </c>
    </row>
    <row r="32" spans="1:8" x14ac:dyDescent="0.3">
      <c r="A32" t="s">
        <v>149</v>
      </c>
      <c r="B32" t="s">
        <v>258</v>
      </c>
      <c r="C32">
        <v>184</v>
      </c>
      <c r="D32">
        <v>9.4000000000000021</v>
      </c>
      <c r="E32">
        <v>2</v>
      </c>
      <c r="F32">
        <v>45</v>
      </c>
      <c r="G32" t="str">
        <f>_xlfn.XLOOKUP(A32,Matches!A:A,Matches!L:L,"")</f>
        <v>RCBW</v>
      </c>
      <c r="H32">
        <f t="shared" si="0"/>
        <v>0</v>
      </c>
    </row>
    <row r="33" spans="1:8" x14ac:dyDescent="0.3">
      <c r="A33" t="s">
        <v>149</v>
      </c>
      <c r="B33" t="s">
        <v>159</v>
      </c>
      <c r="C33">
        <v>177</v>
      </c>
      <c r="D33">
        <v>12.19</v>
      </c>
      <c r="E33">
        <v>4</v>
      </c>
      <c r="F33">
        <v>28</v>
      </c>
      <c r="G33" t="str">
        <f>_xlfn.XLOOKUP(A33,Matches!A:A,Matches!L:L,"")</f>
        <v>RCBW</v>
      </c>
      <c r="H33">
        <f t="shared" si="0"/>
        <v>1</v>
      </c>
    </row>
    <row r="34" spans="1:8" x14ac:dyDescent="0.3">
      <c r="A34" t="s">
        <v>150</v>
      </c>
      <c r="B34" t="s">
        <v>258</v>
      </c>
      <c r="C34">
        <v>175</v>
      </c>
      <c r="D34">
        <v>8.9000000000000021</v>
      </c>
      <c r="E34">
        <v>6</v>
      </c>
      <c r="F34">
        <v>44</v>
      </c>
      <c r="G34" t="str">
        <f>_xlfn.XLOOKUP(A34,Matches!A:A,Matches!L:L,"")</f>
        <v>UPW</v>
      </c>
      <c r="H34">
        <f t="shared" si="0"/>
        <v>0</v>
      </c>
    </row>
    <row r="35" spans="1:8" x14ac:dyDescent="0.3">
      <c r="A35" t="s">
        <v>150</v>
      </c>
      <c r="B35" t="s">
        <v>219</v>
      </c>
      <c r="C35">
        <v>178</v>
      </c>
      <c r="D35">
        <v>9.129999999999999</v>
      </c>
      <c r="E35">
        <v>6</v>
      </c>
      <c r="F35">
        <v>44</v>
      </c>
      <c r="G35" t="str">
        <f>_xlfn.XLOOKUP(A35,Matches!A:A,Matches!L:L,"")</f>
        <v>UPW</v>
      </c>
      <c r="H35">
        <f t="shared" si="0"/>
        <v>1</v>
      </c>
    </row>
    <row r="36" spans="1:8" x14ac:dyDescent="0.3">
      <c r="A36" t="s">
        <v>151</v>
      </c>
      <c r="B36" t="s">
        <v>158</v>
      </c>
      <c r="C36">
        <v>103</v>
      </c>
      <c r="D36">
        <v>12.22</v>
      </c>
      <c r="E36">
        <v>7</v>
      </c>
      <c r="F36">
        <v>18</v>
      </c>
      <c r="G36" t="str">
        <f>_xlfn.XLOOKUP(A36,Matches!A:A,Matches!L:L,"")</f>
        <v>DCW</v>
      </c>
      <c r="H36">
        <f t="shared" si="0"/>
        <v>1</v>
      </c>
    </row>
    <row r="37" spans="1:8" x14ac:dyDescent="0.3">
      <c r="A37" t="s">
        <v>151</v>
      </c>
      <c r="B37" t="s">
        <v>266</v>
      </c>
      <c r="C37">
        <v>107</v>
      </c>
      <c r="D37">
        <v>5.450000000000002</v>
      </c>
      <c r="E37">
        <v>1</v>
      </c>
      <c r="F37">
        <v>59</v>
      </c>
      <c r="G37" t="str">
        <f>_xlfn.XLOOKUP(A37,Matches!A:A,Matches!L:L,"")</f>
        <v>DCW</v>
      </c>
      <c r="H37">
        <f t="shared" si="0"/>
        <v>0</v>
      </c>
    </row>
    <row r="38" spans="1:8" x14ac:dyDescent="0.3">
      <c r="A38" t="s">
        <v>152</v>
      </c>
      <c r="B38" t="s">
        <v>266</v>
      </c>
      <c r="C38">
        <v>119</v>
      </c>
      <c r="D38">
        <v>7.8199999999999985</v>
      </c>
      <c r="E38">
        <v>8</v>
      </c>
      <c r="F38">
        <v>42</v>
      </c>
      <c r="G38" t="str">
        <f>_xlfn.XLOOKUP(A38,Matches!A:A,Matches!L:L,"")</f>
        <v>MIW</v>
      </c>
      <c r="H38">
        <f t="shared" si="0"/>
        <v>1</v>
      </c>
    </row>
    <row r="39" spans="1:8" x14ac:dyDescent="0.3">
      <c r="A39" t="s">
        <v>152</v>
      </c>
      <c r="B39" t="s">
        <v>159</v>
      </c>
      <c r="C39">
        <v>118</v>
      </c>
      <c r="D39">
        <v>6.25</v>
      </c>
      <c r="E39">
        <v>6</v>
      </c>
      <c r="F39">
        <v>51</v>
      </c>
      <c r="G39" t="str">
        <f>_xlfn.XLOOKUP(A39,Matches!A:A,Matches!L:L,"")</f>
        <v>MIW</v>
      </c>
      <c r="H39">
        <f t="shared" si="0"/>
        <v>0</v>
      </c>
    </row>
    <row r="40" spans="1:8" x14ac:dyDescent="0.3">
      <c r="A40" t="s">
        <v>153</v>
      </c>
      <c r="B40" t="s">
        <v>158</v>
      </c>
      <c r="C40">
        <v>131</v>
      </c>
      <c r="D40">
        <v>7.9599999999999991</v>
      </c>
      <c r="E40">
        <v>6</v>
      </c>
      <c r="F40">
        <v>50</v>
      </c>
      <c r="G40" t="str">
        <f>_xlfn.XLOOKUP(A40,Matches!A:A,Matches!L:L,"")</f>
        <v>DCW</v>
      </c>
      <c r="H40">
        <f t="shared" si="0"/>
        <v>1</v>
      </c>
    </row>
    <row r="41" spans="1:8" x14ac:dyDescent="0.3">
      <c r="A41" t="s">
        <v>153</v>
      </c>
      <c r="B41" t="s">
        <v>219</v>
      </c>
      <c r="C41">
        <v>132</v>
      </c>
      <c r="D41">
        <v>6.9</v>
      </c>
      <c r="E41">
        <v>3</v>
      </c>
      <c r="F41">
        <v>57</v>
      </c>
      <c r="G41" t="str">
        <f>_xlfn.XLOOKUP(A41,Matches!A:A,Matches!L:L,"")</f>
        <v>DCW</v>
      </c>
      <c r="H41">
        <f t="shared" si="0"/>
        <v>0</v>
      </c>
    </row>
    <row r="42" spans="1:8" x14ac:dyDescent="0.3">
      <c r="A42" t="s">
        <v>154</v>
      </c>
      <c r="B42" t="s">
        <v>266</v>
      </c>
      <c r="C42">
        <v>173</v>
      </c>
      <c r="D42">
        <v>9.0999999999999979</v>
      </c>
      <c r="E42">
        <v>9</v>
      </c>
      <c r="F42">
        <v>37</v>
      </c>
      <c r="G42" t="str">
        <f>_xlfn.XLOOKUP(A42,Matches!A:A,Matches!L:L,"")</f>
        <v>MIW</v>
      </c>
      <c r="H42">
        <f t="shared" si="0"/>
        <v>1</v>
      </c>
    </row>
    <row r="43" spans="1:8" x14ac:dyDescent="0.3">
      <c r="A43" t="s">
        <v>154</v>
      </c>
      <c r="B43" t="s">
        <v>219</v>
      </c>
      <c r="C43">
        <v>102</v>
      </c>
      <c r="D43">
        <v>6.2300000000000013</v>
      </c>
      <c r="E43">
        <v>4</v>
      </c>
      <c r="F43">
        <v>61</v>
      </c>
      <c r="G43" t="str">
        <f>_xlfn.XLOOKUP(A43,Matches!A:A,Matches!L:L,"")</f>
        <v>MIW</v>
      </c>
      <c r="H43">
        <f t="shared" si="0"/>
        <v>0</v>
      </c>
    </row>
    <row r="44" spans="1:8" x14ac:dyDescent="0.3">
      <c r="A44" t="s">
        <v>327</v>
      </c>
      <c r="B44" t="s">
        <v>158</v>
      </c>
      <c r="C44">
        <v>130</v>
      </c>
      <c r="D44">
        <v>6.549999999999998</v>
      </c>
      <c r="E44">
        <v>2</v>
      </c>
      <c r="F44">
        <v>57</v>
      </c>
      <c r="G44" t="str">
        <f>_xlfn.XLOOKUP(A44,Matches!A:A,Matches!L:L,"")</f>
        <v>MIW</v>
      </c>
      <c r="H44">
        <f t="shared" si="0"/>
        <v>0</v>
      </c>
    </row>
    <row r="45" spans="1:8" x14ac:dyDescent="0.3">
      <c r="A45" t="s">
        <v>327</v>
      </c>
      <c r="B45" t="s">
        <v>266</v>
      </c>
      <c r="C45">
        <v>128</v>
      </c>
      <c r="D45">
        <v>6.8699999999999992</v>
      </c>
      <c r="E45">
        <v>8</v>
      </c>
      <c r="F45">
        <v>47</v>
      </c>
      <c r="G45" t="str">
        <f>_xlfn.XLOOKUP(A45,Matches!A:A,Matches!L:L,"")</f>
        <v>MIW</v>
      </c>
      <c r="H45">
        <f t="shared" si="0"/>
        <v>1</v>
      </c>
    </row>
    <row r="46" spans="1:8" x14ac:dyDescent="0.3">
      <c r="A46" t="s">
        <v>338</v>
      </c>
      <c r="B46" t="s">
        <v>158</v>
      </c>
      <c r="C46">
        <v>166</v>
      </c>
      <c r="D46">
        <v>8.5499999999999989</v>
      </c>
      <c r="E46">
        <v>6</v>
      </c>
      <c r="F46">
        <v>51</v>
      </c>
      <c r="G46" t="str">
        <f>_xlfn.XLOOKUP(A46,Matches!A:A,Matches!L:L,"")</f>
        <v>MIW</v>
      </c>
      <c r="H46">
        <f t="shared" si="0"/>
        <v>0</v>
      </c>
    </row>
    <row r="47" spans="1:8" x14ac:dyDescent="0.3">
      <c r="A47" t="s">
        <v>338</v>
      </c>
      <c r="B47" t="s">
        <v>266</v>
      </c>
      <c r="C47">
        <v>165</v>
      </c>
      <c r="D47">
        <v>8.6500000000000021</v>
      </c>
      <c r="E47">
        <v>5</v>
      </c>
      <c r="F47">
        <v>50</v>
      </c>
      <c r="G47" t="str">
        <f>_xlfn.XLOOKUP(A47,Matches!A:A,Matches!L:L,"")</f>
        <v>MIW</v>
      </c>
      <c r="H47">
        <f t="shared" si="0"/>
        <v>1</v>
      </c>
    </row>
    <row r="48" spans="1:8" x14ac:dyDescent="0.3">
      <c r="A48" t="s">
        <v>349</v>
      </c>
      <c r="B48" t="s">
        <v>159</v>
      </c>
      <c r="C48">
        <v>154</v>
      </c>
      <c r="D48">
        <v>7.85</v>
      </c>
      <c r="E48">
        <v>7</v>
      </c>
      <c r="F48">
        <v>43</v>
      </c>
      <c r="G48" t="str">
        <f>_xlfn.XLOOKUP(A48,Matches!A:A,Matches!L:L,"")</f>
        <v>RCBW</v>
      </c>
      <c r="H48">
        <f t="shared" si="0"/>
        <v>1</v>
      </c>
    </row>
    <row r="49" spans="1:8" x14ac:dyDescent="0.3">
      <c r="A49" t="s">
        <v>349</v>
      </c>
      <c r="B49" t="s">
        <v>219</v>
      </c>
      <c r="C49">
        <v>143</v>
      </c>
      <c r="D49">
        <v>7.75</v>
      </c>
      <c r="E49">
        <v>6</v>
      </c>
      <c r="F49">
        <v>52</v>
      </c>
      <c r="G49" t="str">
        <f>_xlfn.XLOOKUP(A49,Matches!A:A,Matches!L:L,"")</f>
        <v>RCBW</v>
      </c>
      <c r="H49">
        <f t="shared" si="0"/>
        <v>0</v>
      </c>
    </row>
    <row r="50" spans="1:8" x14ac:dyDescent="0.3">
      <c r="A50" t="s">
        <v>350</v>
      </c>
      <c r="B50" t="s">
        <v>258</v>
      </c>
      <c r="C50">
        <v>110</v>
      </c>
      <c r="D50">
        <v>6.299999999999998</v>
      </c>
      <c r="E50">
        <v>4</v>
      </c>
      <c r="F50">
        <v>53</v>
      </c>
      <c r="G50" t="str">
        <f>_xlfn.XLOOKUP(A50,Matches!A:A,Matches!L:L,"")</f>
        <v>MIW</v>
      </c>
      <c r="H50">
        <f t="shared" si="0"/>
        <v>0</v>
      </c>
    </row>
    <row r="51" spans="1:8" x14ac:dyDescent="0.3">
      <c r="A51" t="s">
        <v>350</v>
      </c>
      <c r="B51" t="s">
        <v>266</v>
      </c>
      <c r="C51">
        <v>114</v>
      </c>
      <c r="D51">
        <v>7.1</v>
      </c>
      <c r="E51">
        <v>9</v>
      </c>
      <c r="F51">
        <v>50</v>
      </c>
      <c r="G51" t="str">
        <f>_xlfn.XLOOKUP(A51,Matches!A:A,Matches!L:L,"")</f>
        <v>MIW</v>
      </c>
      <c r="H51">
        <f t="shared" si="0"/>
        <v>1</v>
      </c>
    </row>
    <row r="52" spans="1:8" x14ac:dyDescent="0.3">
      <c r="A52" t="s">
        <v>351</v>
      </c>
      <c r="B52" t="s">
        <v>158</v>
      </c>
      <c r="C52">
        <v>119</v>
      </c>
      <c r="D52">
        <v>8.4800000000000022</v>
      </c>
      <c r="E52">
        <v>9</v>
      </c>
      <c r="F52">
        <v>31</v>
      </c>
      <c r="G52" t="str">
        <f>_xlfn.XLOOKUP(A52,Matches!A:A,Matches!L:L,"")</f>
        <v>DCW</v>
      </c>
      <c r="H52">
        <f t="shared" si="0"/>
        <v>1</v>
      </c>
    </row>
    <row r="53" spans="1:8" x14ac:dyDescent="0.3">
      <c r="A53" t="s">
        <v>351</v>
      </c>
      <c r="B53" t="s">
        <v>219</v>
      </c>
      <c r="C53">
        <v>109</v>
      </c>
      <c r="D53">
        <v>5.950000000000002</v>
      </c>
      <c r="E53">
        <v>1</v>
      </c>
      <c r="F53">
        <v>57</v>
      </c>
      <c r="G53" t="str">
        <f>_xlfn.XLOOKUP(A53,Matches!A:A,Matches!L:L,"")</f>
        <v>DCW</v>
      </c>
      <c r="H53">
        <f t="shared" si="0"/>
        <v>0</v>
      </c>
    </row>
    <row r="54" spans="1:8" x14ac:dyDescent="0.3">
      <c r="A54" t="s">
        <v>352</v>
      </c>
      <c r="B54" t="s">
        <v>258</v>
      </c>
      <c r="C54">
        <v>101</v>
      </c>
      <c r="D54">
        <v>5.3500000000000005</v>
      </c>
      <c r="E54">
        <v>2</v>
      </c>
      <c r="F54">
        <v>61</v>
      </c>
      <c r="G54" t="str">
        <f>_xlfn.XLOOKUP(A54,Matches!A:A,Matches!L:L,"")</f>
        <v>RCBW</v>
      </c>
      <c r="H54">
        <f t="shared" si="0"/>
        <v>0</v>
      </c>
    </row>
    <row r="55" spans="1:8" x14ac:dyDescent="0.3">
      <c r="A55" t="s">
        <v>352</v>
      </c>
      <c r="B55" t="s">
        <v>159</v>
      </c>
      <c r="C55">
        <v>108</v>
      </c>
      <c r="D55">
        <v>8.7999999999999989</v>
      </c>
      <c r="E55">
        <v>6</v>
      </c>
      <c r="F55">
        <v>30</v>
      </c>
      <c r="G55" t="str">
        <f>_xlfn.XLOOKUP(A55,Matches!A:A,Matches!L:L,"")</f>
        <v>RCBW</v>
      </c>
      <c r="H55">
        <f t="shared" si="0"/>
        <v>1</v>
      </c>
    </row>
    <row r="56" spans="1:8" x14ac:dyDescent="0.3">
      <c r="A56" t="s">
        <v>353</v>
      </c>
      <c r="B56" t="s">
        <v>266</v>
      </c>
      <c r="C56">
        <v>160</v>
      </c>
      <c r="D56">
        <v>8.0499999999999989</v>
      </c>
      <c r="E56">
        <v>3</v>
      </c>
      <c r="F56">
        <v>46</v>
      </c>
      <c r="G56" t="str">
        <f>_xlfn.XLOOKUP(A56,Matches!A:A,Matches!L:L,"")</f>
        <v>UPW</v>
      </c>
      <c r="H56">
        <f t="shared" si="0"/>
        <v>0</v>
      </c>
    </row>
    <row r="57" spans="1:8" x14ac:dyDescent="0.3">
      <c r="A57" t="s">
        <v>353</v>
      </c>
      <c r="B57" t="s">
        <v>219</v>
      </c>
      <c r="C57">
        <v>156</v>
      </c>
      <c r="D57">
        <v>9.879999999999999</v>
      </c>
      <c r="E57">
        <v>5</v>
      </c>
      <c r="F57">
        <v>33</v>
      </c>
      <c r="G57" t="str">
        <f>_xlfn.XLOOKUP(A57,Matches!A:A,Matches!L:L,"")</f>
        <v>UPW</v>
      </c>
      <c r="H57">
        <f t="shared" si="0"/>
        <v>1</v>
      </c>
    </row>
    <row r="58" spans="1:8" x14ac:dyDescent="0.3">
      <c r="A58" t="s">
        <v>354</v>
      </c>
      <c r="B58" t="s">
        <v>158</v>
      </c>
      <c r="C58">
        <v>185</v>
      </c>
      <c r="D58">
        <v>9.7000000000000011</v>
      </c>
      <c r="E58">
        <v>8</v>
      </c>
      <c r="F58">
        <v>43</v>
      </c>
      <c r="G58" t="str">
        <f>_xlfn.XLOOKUP(A58,Matches!A:A,Matches!L:L,"")</f>
        <v>DCW</v>
      </c>
      <c r="H58">
        <f t="shared" si="0"/>
        <v>1</v>
      </c>
    </row>
    <row r="59" spans="1:8" x14ac:dyDescent="0.3">
      <c r="A59" t="s">
        <v>354</v>
      </c>
      <c r="B59" t="s">
        <v>159</v>
      </c>
      <c r="C59">
        <v>164</v>
      </c>
      <c r="D59">
        <v>8.4500000000000011</v>
      </c>
      <c r="E59">
        <v>5</v>
      </c>
      <c r="F59">
        <v>47</v>
      </c>
      <c r="G59" t="str">
        <f>_xlfn.XLOOKUP(A59,Matches!A:A,Matches!L:L,"")</f>
        <v>DCW</v>
      </c>
      <c r="H59">
        <f t="shared" si="0"/>
        <v>0</v>
      </c>
    </row>
    <row r="60" spans="1:8" x14ac:dyDescent="0.3">
      <c r="A60" t="s">
        <v>355</v>
      </c>
      <c r="B60" t="s">
        <v>258</v>
      </c>
      <c r="C60">
        <v>134</v>
      </c>
      <c r="D60">
        <v>7.1</v>
      </c>
      <c r="E60">
        <v>4</v>
      </c>
      <c r="F60">
        <v>45</v>
      </c>
      <c r="G60" t="str">
        <f>_xlfn.XLOOKUP(A60,Matches!A:A,Matches!L:L,"")</f>
        <v>UPW</v>
      </c>
      <c r="H60">
        <f t="shared" si="0"/>
        <v>0</v>
      </c>
    </row>
    <row r="61" spans="1:8" x14ac:dyDescent="0.3">
      <c r="A61" t="s">
        <v>355</v>
      </c>
      <c r="B61" t="s">
        <v>219</v>
      </c>
      <c r="C61">
        <v>141</v>
      </c>
      <c r="D61">
        <v>9.129999999999999</v>
      </c>
      <c r="E61">
        <v>4</v>
      </c>
      <c r="F61">
        <v>39</v>
      </c>
      <c r="G61" t="str">
        <f>_xlfn.XLOOKUP(A61,Matches!A:A,Matches!L:L,"")</f>
        <v>UPW</v>
      </c>
      <c r="H61">
        <f t="shared" si="0"/>
        <v>1</v>
      </c>
    </row>
    <row r="62" spans="1:8" x14ac:dyDescent="0.3">
      <c r="A62" t="s">
        <v>356</v>
      </c>
      <c r="B62" t="s">
        <v>266</v>
      </c>
      <c r="C62">
        <v>132</v>
      </c>
      <c r="D62">
        <v>8.7699999999999978</v>
      </c>
      <c r="E62">
        <v>6</v>
      </c>
      <c r="F62">
        <v>34</v>
      </c>
      <c r="G62" t="str">
        <f>_xlfn.XLOOKUP(A62,Matches!A:A,Matches!L:L,"")</f>
        <v>MIW</v>
      </c>
      <c r="H62">
        <f t="shared" si="0"/>
        <v>1</v>
      </c>
    </row>
    <row r="63" spans="1:8" x14ac:dyDescent="0.3">
      <c r="A63" t="s">
        <v>356</v>
      </c>
      <c r="B63" t="s">
        <v>159</v>
      </c>
      <c r="C63">
        <v>126</v>
      </c>
      <c r="D63">
        <v>6.549999999999998</v>
      </c>
      <c r="E63">
        <v>3</v>
      </c>
      <c r="F63">
        <v>45</v>
      </c>
      <c r="G63" t="str">
        <f>_xlfn.XLOOKUP(A63,Matches!A:A,Matches!L:L,"")</f>
        <v>MIW</v>
      </c>
      <c r="H63">
        <f t="shared" si="0"/>
        <v>0</v>
      </c>
    </row>
    <row r="64" spans="1:8" x14ac:dyDescent="0.3">
      <c r="A64" t="s">
        <v>357</v>
      </c>
      <c r="B64" t="s">
        <v>158</v>
      </c>
      <c r="C64">
        <v>157</v>
      </c>
      <c r="D64">
        <v>8.1500000000000021</v>
      </c>
      <c r="E64">
        <v>8</v>
      </c>
      <c r="F64">
        <v>41</v>
      </c>
      <c r="G64" t="str">
        <f>_xlfn.XLOOKUP(A64,Matches!A:A,Matches!L:L,"")</f>
        <v>DCW</v>
      </c>
      <c r="H64">
        <f t="shared" si="0"/>
        <v>1</v>
      </c>
    </row>
    <row r="65" spans="1:8" x14ac:dyDescent="0.3">
      <c r="A65" t="s">
        <v>357</v>
      </c>
      <c r="B65" t="s">
        <v>258</v>
      </c>
      <c r="C65">
        <v>121</v>
      </c>
      <c r="D65">
        <v>6.9</v>
      </c>
      <c r="E65">
        <v>7</v>
      </c>
      <c r="F65">
        <v>40</v>
      </c>
      <c r="G65" t="str">
        <f>_xlfn.XLOOKUP(A65,Matches!A:A,Matches!L:L,"")</f>
        <v>DCW</v>
      </c>
      <c r="H65">
        <f t="shared" si="0"/>
        <v>0</v>
      </c>
    </row>
    <row r="66" spans="1:8" x14ac:dyDescent="0.3">
      <c r="A66" t="s">
        <v>358</v>
      </c>
      <c r="B66" t="s">
        <v>159</v>
      </c>
      <c r="C66">
        <v>189</v>
      </c>
      <c r="D66">
        <v>9.9000000000000021</v>
      </c>
      <c r="E66">
        <v>8</v>
      </c>
      <c r="F66">
        <v>45</v>
      </c>
      <c r="G66" t="str">
        <f>_xlfn.XLOOKUP(A66,Matches!A:A,Matches!L:L,"")</f>
        <v>RCBW</v>
      </c>
      <c r="H66">
        <f t="shared" si="0"/>
        <v>1</v>
      </c>
    </row>
    <row r="67" spans="1:8" x14ac:dyDescent="0.3">
      <c r="A67" t="s">
        <v>358</v>
      </c>
      <c r="B67" t="s">
        <v>219</v>
      </c>
      <c r="C67">
        <v>158</v>
      </c>
      <c r="D67">
        <v>8.75</v>
      </c>
      <c r="E67">
        <v>3</v>
      </c>
      <c r="F67">
        <v>54</v>
      </c>
      <c r="G67" t="str">
        <f>_xlfn.XLOOKUP(A67,Matches!A:A,Matches!L:L,"")</f>
        <v>RCBW</v>
      </c>
      <c r="H67">
        <f t="shared" ref="H67:H130" si="1">IF(B67=G67,1,0)</f>
        <v>0</v>
      </c>
    </row>
    <row r="68" spans="1:8" x14ac:dyDescent="0.3">
      <c r="A68" t="s">
        <v>359</v>
      </c>
      <c r="B68" t="s">
        <v>158</v>
      </c>
      <c r="C68">
        <v>184</v>
      </c>
      <c r="D68">
        <v>9.5999999999999979</v>
      </c>
      <c r="E68">
        <v>8</v>
      </c>
      <c r="F68">
        <v>36</v>
      </c>
      <c r="G68" t="str">
        <f>_xlfn.XLOOKUP(A68,Matches!A:A,Matches!L:L,"")</f>
        <v>DCW</v>
      </c>
      <c r="H68">
        <f t="shared" si="1"/>
        <v>1</v>
      </c>
    </row>
    <row r="69" spans="1:8" x14ac:dyDescent="0.3">
      <c r="A69" t="s">
        <v>359</v>
      </c>
      <c r="B69" t="s">
        <v>266</v>
      </c>
      <c r="C69">
        <v>152</v>
      </c>
      <c r="D69">
        <v>8.1500000000000021</v>
      </c>
      <c r="E69">
        <v>4</v>
      </c>
      <c r="F69">
        <v>42</v>
      </c>
      <c r="G69" t="str">
        <f>_xlfn.XLOOKUP(A69,Matches!A:A,Matches!L:L,"")</f>
        <v>DCW</v>
      </c>
      <c r="H69">
        <f t="shared" si="1"/>
        <v>0</v>
      </c>
    </row>
    <row r="70" spans="1:8" x14ac:dyDescent="0.3">
      <c r="A70" t="s">
        <v>360</v>
      </c>
      <c r="B70" t="s">
        <v>258</v>
      </c>
      <c r="C70">
        <v>182</v>
      </c>
      <c r="D70">
        <v>9.9500000000000011</v>
      </c>
      <c r="E70">
        <v>4</v>
      </c>
      <c r="F70">
        <v>37</v>
      </c>
      <c r="G70" t="str">
        <f>_xlfn.XLOOKUP(A70,Matches!A:A,Matches!L:L,"")</f>
        <v>GGTW</v>
      </c>
      <c r="H70">
        <f t="shared" si="1"/>
        <v>1</v>
      </c>
    </row>
    <row r="71" spans="1:8" x14ac:dyDescent="0.3">
      <c r="A71" t="s">
        <v>360</v>
      </c>
      <c r="B71" t="s">
        <v>159</v>
      </c>
      <c r="C71">
        <v>169</v>
      </c>
      <c r="D71">
        <v>9</v>
      </c>
      <c r="E71">
        <v>2</v>
      </c>
      <c r="F71">
        <v>41</v>
      </c>
      <c r="G71" t="str">
        <f>_xlfn.XLOOKUP(A71,Matches!A:A,Matches!L:L,"")</f>
        <v>GGTW</v>
      </c>
      <c r="H71">
        <f t="shared" si="1"/>
        <v>0</v>
      </c>
    </row>
    <row r="72" spans="1:8" x14ac:dyDescent="0.3">
      <c r="A72" t="s">
        <v>361</v>
      </c>
      <c r="B72" t="s">
        <v>266</v>
      </c>
      <c r="C72">
        <v>159</v>
      </c>
      <c r="D72">
        <v>8</v>
      </c>
      <c r="E72">
        <v>9</v>
      </c>
      <c r="F72">
        <v>40</v>
      </c>
      <c r="G72" t="str">
        <f>_xlfn.XLOOKUP(A72,Matches!A:A,Matches!L:L,"")</f>
        <v>MIW</v>
      </c>
      <c r="H72">
        <f t="shared" si="1"/>
        <v>1</v>
      </c>
    </row>
    <row r="73" spans="1:8" x14ac:dyDescent="0.3">
      <c r="A73" t="s">
        <v>361</v>
      </c>
      <c r="B73" t="s">
        <v>219</v>
      </c>
      <c r="C73">
        <v>114</v>
      </c>
      <c r="D73">
        <v>5.8999999999999995</v>
      </c>
      <c r="E73">
        <v>5</v>
      </c>
      <c r="F73">
        <v>63</v>
      </c>
      <c r="G73" t="str">
        <f>_xlfn.XLOOKUP(A73,Matches!A:A,Matches!L:L,"")</f>
        <v>MIW</v>
      </c>
      <c r="H73">
        <f t="shared" si="1"/>
        <v>0</v>
      </c>
    </row>
    <row r="74" spans="1:8" x14ac:dyDescent="0.3">
      <c r="A74" t="s">
        <v>362</v>
      </c>
      <c r="B74" t="s">
        <v>158</v>
      </c>
      <c r="C74">
        <v>137</v>
      </c>
      <c r="D74">
        <v>6.9099999999999975</v>
      </c>
      <c r="E74">
        <v>7</v>
      </c>
      <c r="F74">
        <v>48</v>
      </c>
      <c r="G74" t="str">
        <f>_xlfn.XLOOKUP(A74,Matches!A:A,Matches!L:L,"")</f>
        <v>UPW</v>
      </c>
      <c r="H74">
        <f t="shared" si="1"/>
        <v>0</v>
      </c>
    </row>
    <row r="75" spans="1:8" x14ac:dyDescent="0.3">
      <c r="A75" t="s">
        <v>362</v>
      </c>
      <c r="B75" t="s">
        <v>219</v>
      </c>
      <c r="C75">
        <v>129</v>
      </c>
      <c r="D75">
        <v>6.9</v>
      </c>
      <c r="E75">
        <v>9</v>
      </c>
      <c r="F75">
        <v>40</v>
      </c>
      <c r="G75" t="str">
        <f>_xlfn.XLOOKUP(A75,Matches!A:A,Matches!L:L,"")</f>
        <v>UPW</v>
      </c>
      <c r="H75">
        <f t="shared" si="1"/>
        <v>1</v>
      </c>
    </row>
    <row r="76" spans="1:8" x14ac:dyDescent="0.3">
      <c r="A76" t="s">
        <v>363</v>
      </c>
      <c r="B76" t="s">
        <v>258</v>
      </c>
      <c r="C76">
        <v>186</v>
      </c>
      <c r="D76">
        <v>9.5</v>
      </c>
      <c r="E76">
        <v>3</v>
      </c>
      <c r="F76">
        <v>34</v>
      </c>
      <c r="G76" t="str">
        <f>_xlfn.XLOOKUP(A76,Matches!A:A,Matches!L:L,"")</f>
        <v>MIW</v>
      </c>
      <c r="H76">
        <f t="shared" si="1"/>
        <v>0</v>
      </c>
    </row>
    <row r="77" spans="1:8" x14ac:dyDescent="0.3">
      <c r="A77" t="s">
        <v>363</v>
      </c>
      <c r="B77" t="s">
        <v>266</v>
      </c>
      <c r="C77">
        <v>176</v>
      </c>
      <c r="D77">
        <v>9.629999999999999</v>
      </c>
      <c r="E77">
        <v>6</v>
      </c>
      <c r="F77">
        <v>43</v>
      </c>
      <c r="G77" t="str">
        <f>_xlfn.XLOOKUP(A77,Matches!A:A,Matches!L:L,"")</f>
        <v>MIW</v>
      </c>
      <c r="H77">
        <f t="shared" si="1"/>
        <v>1</v>
      </c>
    </row>
    <row r="78" spans="1:8" x14ac:dyDescent="0.3">
      <c r="A78" t="s">
        <v>364</v>
      </c>
      <c r="B78" t="s">
        <v>158</v>
      </c>
      <c r="C78">
        <v>172</v>
      </c>
      <c r="D78">
        <v>9.0499999999999989</v>
      </c>
      <c r="E78">
        <v>4</v>
      </c>
      <c r="F78">
        <v>34</v>
      </c>
      <c r="G78" t="str">
        <f>_xlfn.XLOOKUP(A78,Matches!A:A,Matches!L:L,"")</f>
        <v>DCW</v>
      </c>
      <c r="H78">
        <f t="shared" si="1"/>
        <v>1</v>
      </c>
    </row>
    <row r="79" spans="1:8" x14ac:dyDescent="0.3">
      <c r="A79" t="s">
        <v>364</v>
      </c>
      <c r="B79" t="s">
        <v>159</v>
      </c>
      <c r="C79">
        <v>176</v>
      </c>
      <c r="D79">
        <v>9</v>
      </c>
      <c r="E79">
        <v>5</v>
      </c>
      <c r="F79">
        <v>35</v>
      </c>
      <c r="G79" t="str">
        <f>_xlfn.XLOOKUP(A79,Matches!A:A,Matches!L:L,"")</f>
        <v>DCW</v>
      </c>
      <c r="H79">
        <f t="shared" si="1"/>
        <v>0</v>
      </c>
    </row>
    <row r="80" spans="1:8" x14ac:dyDescent="0.3">
      <c r="A80" t="s">
        <v>365</v>
      </c>
      <c r="B80" t="s">
        <v>258</v>
      </c>
      <c r="C80">
        <v>149</v>
      </c>
      <c r="D80">
        <v>7.6</v>
      </c>
      <c r="E80">
        <v>5</v>
      </c>
      <c r="F80">
        <v>44</v>
      </c>
      <c r="G80" t="str">
        <f>_xlfn.XLOOKUP(A80,Matches!A:A,Matches!L:L,"")</f>
        <v>GGTW</v>
      </c>
      <c r="H80">
        <f t="shared" si="1"/>
        <v>1</v>
      </c>
    </row>
    <row r="81" spans="1:8" x14ac:dyDescent="0.3">
      <c r="A81" t="s">
        <v>365</v>
      </c>
      <c r="B81" t="s">
        <v>219</v>
      </c>
      <c r="C81">
        <v>137</v>
      </c>
      <c r="D81">
        <v>7.200000000000002</v>
      </c>
      <c r="E81">
        <v>7</v>
      </c>
      <c r="F81">
        <v>51</v>
      </c>
      <c r="G81" t="str">
        <f>_xlfn.XLOOKUP(A81,Matches!A:A,Matches!L:L,"")</f>
        <v>GGTW</v>
      </c>
      <c r="H81">
        <f t="shared" si="1"/>
        <v>0</v>
      </c>
    </row>
    <row r="82" spans="1:8" x14ac:dyDescent="0.3">
      <c r="A82" t="s">
        <v>366</v>
      </c>
      <c r="B82" t="s">
        <v>266</v>
      </c>
      <c r="C82">
        <v>110</v>
      </c>
      <c r="D82">
        <v>5.950000000000002</v>
      </c>
      <c r="E82">
        <v>3</v>
      </c>
      <c r="F82">
        <v>55</v>
      </c>
      <c r="G82" t="str">
        <f>_xlfn.XLOOKUP(A82,Matches!A:A,Matches!L:L,"")</f>
        <v>RCBW</v>
      </c>
      <c r="H82">
        <f t="shared" si="1"/>
        <v>0</v>
      </c>
    </row>
    <row r="83" spans="1:8" x14ac:dyDescent="0.3">
      <c r="A83" t="s">
        <v>366</v>
      </c>
      <c r="B83" t="s">
        <v>159</v>
      </c>
      <c r="C83">
        <v>100</v>
      </c>
      <c r="D83">
        <v>7.6700000000000008</v>
      </c>
      <c r="E83">
        <v>10</v>
      </c>
      <c r="F83">
        <v>44</v>
      </c>
      <c r="G83" t="str">
        <f>_xlfn.XLOOKUP(A83,Matches!A:A,Matches!L:L,"")</f>
        <v>RCBW</v>
      </c>
      <c r="H83">
        <f t="shared" si="1"/>
        <v>1</v>
      </c>
    </row>
    <row r="84" spans="1:8" x14ac:dyDescent="0.3">
      <c r="A84" t="s">
        <v>367</v>
      </c>
      <c r="B84" t="s">
        <v>158</v>
      </c>
      <c r="C84">
        <v>127</v>
      </c>
      <c r="D84">
        <v>9.7999999999999989</v>
      </c>
      <c r="E84">
        <v>7</v>
      </c>
      <c r="F84">
        <v>30</v>
      </c>
      <c r="G84" t="str">
        <f>_xlfn.XLOOKUP(A84,Matches!A:A,Matches!L:L,"")</f>
        <v>DCW</v>
      </c>
      <c r="H84">
        <f t="shared" si="1"/>
        <v>1</v>
      </c>
    </row>
    <row r="85" spans="1:8" x14ac:dyDescent="0.3">
      <c r="A85" t="s">
        <v>367</v>
      </c>
      <c r="B85" t="s">
        <v>258</v>
      </c>
      <c r="C85">
        <v>119</v>
      </c>
      <c r="D85">
        <v>6.299999999999998</v>
      </c>
      <c r="E85">
        <v>2</v>
      </c>
      <c r="F85">
        <v>57</v>
      </c>
      <c r="G85" t="str">
        <f>_xlfn.XLOOKUP(A85,Matches!A:A,Matches!L:L,"")</f>
        <v>DCW</v>
      </c>
      <c r="H85">
        <f t="shared" si="1"/>
        <v>0</v>
      </c>
    </row>
    <row r="86" spans="1:8" x14ac:dyDescent="0.3">
      <c r="A86" t="s">
        <v>368</v>
      </c>
      <c r="B86" t="s">
        <v>266</v>
      </c>
      <c r="C86">
        <v>123</v>
      </c>
      <c r="D86">
        <v>6.5</v>
      </c>
      <c r="E86">
        <v>6</v>
      </c>
      <c r="F86">
        <v>45</v>
      </c>
      <c r="G86" t="str">
        <f>_xlfn.XLOOKUP(A86,Matches!A:A,Matches!L:L,"")</f>
        <v>RCBW</v>
      </c>
      <c r="H86">
        <f t="shared" si="1"/>
        <v>0</v>
      </c>
    </row>
    <row r="87" spans="1:8" x14ac:dyDescent="0.3">
      <c r="A87" t="s">
        <v>368</v>
      </c>
      <c r="B87" t="s">
        <v>159</v>
      </c>
      <c r="C87">
        <v>132</v>
      </c>
      <c r="D87">
        <v>6.75</v>
      </c>
      <c r="E87">
        <v>6</v>
      </c>
      <c r="F87">
        <v>48</v>
      </c>
      <c r="G87" t="str">
        <f>_xlfn.XLOOKUP(A87,Matches!A:A,Matches!L:L,"")</f>
        <v>RCBW</v>
      </c>
      <c r="H87">
        <f t="shared" si="1"/>
        <v>1</v>
      </c>
    </row>
    <row r="88" spans="1:8" x14ac:dyDescent="0.3">
      <c r="A88" t="s">
        <v>444</v>
      </c>
      <c r="B88" t="s">
        <v>158</v>
      </c>
      <c r="C88">
        <v>110</v>
      </c>
      <c r="D88">
        <v>6.11</v>
      </c>
      <c r="E88">
        <v>2</v>
      </c>
      <c r="F88">
        <v>46</v>
      </c>
      <c r="G88" t="str">
        <f>_xlfn.XLOOKUP(A88,Matches!A:A,Matches!L:L,"")</f>
        <v>RCBW</v>
      </c>
      <c r="H88">
        <f t="shared" si="1"/>
        <v>0</v>
      </c>
    </row>
    <row r="89" spans="1:8" x14ac:dyDescent="0.3">
      <c r="A89" t="s">
        <v>444</v>
      </c>
      <c r="B89" t="s">
        <v>159</v>
      </c>
      <c r="C89">
        <v>115</v>
      </c>
      <c r="D89">
        <v>5.8999999999999995</v>
      </c>
      <c r="E89">
        <v>9</v>
      </c>
      <c r="F89">
        <v>49</v>
      </c>
      <c r="G89" t="str">
        <f>_xlfn.XLOOKUP(A89,Matches!A:A,Matches!L:L,"")</f>
        <v>RCBW</v>
      </c>
      <c r="H89">
        <f t="shared" si="1"/>
        <v>1</v>
      </c>
    </row>
    <row r="90" spans="1:8" x14ac:dyDescent="0.3">
      <c r="A90" t="s">
        <v>462</v>
      </c>
      <c r="B90" t="s">
        <v>258</v>
      </c>
      <c r="C90">
        <v>190</v>
      </c>
      <c r="D90">
        <v>10.049999999999999</v>
      </c>
      <c r="E90">
        <v>4</v>
      </c>
      <c r="F90">
        <v>35</v>
      </c>
      <c r="G90" t="str">
        <f>_xlfn.XLOOKUP(A90,Matches!A:A,Matches!L:L,"")</f>
        <v>RCBW</v>
      </c>
      <c r="H90">
        <f t="shared" si="1"/>
        <v>0</v>
      </c>
    </row>
    <row r="91" spans="1:8" x14ac:dyDescent="0.3">
      <c r="A91" t="s">
        <v>462</v>
      </c>
      <c r="B91" t="s">
        <v>159</v>
      </c>
      <c r="C91">
        <v>189</v>
      </c>
      <c r="D91">
        <v>10.92</v>
      </c>
      <c r="E91">
        <v>5</v>
      </c>
      <c r="F91">
        <v>23</v>
      </c>
      <c r="G91" t="str">
        <f>_xlfn.XLOOKUP(A91,Matches!A:A,Matches!L:L,"")</f>
        <v>RCBW</v>
      </c>
      <c r="H91">
        <f t="shared" si="1"/>
        <v>1</v>
      </c>
    </row>
    <row r="92" spans="1:8" x14ac:dyDescent="0.3">
      <c r="A92" t="s">
        <v>463</v>
      </c>
      <c r="B92" t="s">
        <v>158</v>
      </c>
      <c r="C92">
        <v>158</v>
      </c>
      <c r="D92">
        <v>8.25</v>
      </c>
      <c r="E92">
        <v>7</v>
      </c>
      <c r="F92">
        <v>40</v>
      </c>
      <c r="G92" t="str">
        <f>_xlfn.XLOOKUP(A92,Matches!A:A,Matches!L:L,"")</f>
        <v>DCW</v>
      </c>
      <c r="H92">
        <f t="shared" si="1"/>
        <v>1</v>
      </c>
    </row>
    <row r="93" spans="1:8" x14ac:dyDescent="0.3">
      <c r="A93" t="s">
        <v>463</v>
      </c>
      <c r="B93" t="s">
        <v>266</v>
      </c>
      <c r="C93">
        <v>153</v>
      </c>
      <c r="D93">
        <v>8.56</v>
      </c>
      <c r="E93">
        <v>7</v>
      </c>
      <c r="F93">
        <v>39</v>
      </c>
      <c r="G93" t="str">
        <f>_xlfn.XLOOKUP(A93,Matches!A:A,Matches!L:L,"")</f>
        <v>DCW</v>
      </c>
      <c r="H93">
        <f t="shared" si="1"/>
        <v>0</v>
      </c>
    </row>
    <row r="94" spans="1:8" x14ac:dyDescent="0.3">
      <c r="A94" t="s">
        <v>464</v>
      </c>
      <c r="B94" t="s">
        <v>258</v>
      </c>
      <c r="C94">
        <v>141</v>
      </c>
      <c r="D94">
        <v>8</v>
      </c>
      <c r="E94">
        <v>8</v>
      </c>
      <c r="F94">
        <v>44</v>
      </c>
      <c r="G94" t="str">
        <f>_xlfn.XLOOKUP(A94,Matches!A:A,Matches!L:L,"")</f>
        <v>GGTW</v>
      </c>
      <c r="H94">
        <f t="shared" si="1"/>
        <v>1</v>
      </c>
    </row>
    <row r="95" spans="1:8" x14ac:dyDescent="0.3">
      <c r="A95" t="s">
        <v>464</v>
      </c>
      <c r="B95" t="s">
        <v>219</v>
      </c>
      <c r="C95">
        <v>140</v>
      </c>
      <c r="D95">
        <v>7.15</v>
      </c>
      <c r="E95">
        <v>4</v>
      </c>
      <c r="F95">
        <v>40</v>
      </c>
      <c r="G95" t="str">
        <f>_xlfn.XLOOKUP(A95,Matches!A:A,Matches!L:L,"")</f>
        <v>GGTW</v>
      </c>
      <c r="H95">
        <f t="shared" si="1"/>
        <v>0</v>
      </c>
    </row>
    <row r="96" spans="1:8" x14ac:dyDescent="0.3">
      <c r="A96" t="s">
        <v>465</v>
      </c>
      <c r="B96" t="s">
        <v>158</v>
      </c>
      <c r="C96">
        <v>129</v>
      </c>
      <c r="D96">
        <v>7.2300000000000031</v>
      </c>
      <c r="E96">
        <v>2</v>
      </c>
      <c r="F96">
        <v>36</v>
      </c>
      <c r="G96" t="str">
        <f>_xlfn.XLOOKUP(A96,Matches!A:A,Matches!L:L,"")</f>
        <v>RCBW</v>
      </c>
      <c r="H96">
        <f t="shared" si="1"/>
        <v>0</v>
      </c>
    </row>
    <row r="97" spans="1:8" x14ac:dyDescent="0.3">
      <c r="A97" t="s">
        <v>465</v>
      </c>
      <c r="B97" t="s">
        <v>159</v>
      </c>
      <c r="C97">
        <v>141</v>
      </c>
      <c r="D97">
        <v>8.94</v>
      </c>
      <c r="E97">
        <v>10</v>
      </c>
      <c r="F97">
        <v>30</v>
      </c>
      <c r="G97" t="str">
        <f>_xlfn.XLOOKUP(A97,Matches!A:A,Matches!L:L,"")</f>
        <v>RCBW</v>
      </c>
      <c r="H97">
        <f t="shared" si="1"/>
        <v>1</v>
      </c>
    </row>
    <row r="98" spans="1:8" x14ac:dyDescent="0.3">
      <c r="A98" t="s">
        <v>466</v>
      </c>
      <c r="B98" t="s">
        <v>258</v>
      </c>
      <c r="C98">
        <v>114</v>
      </c>
      <c r="D98">
        <v>6</v>
      </c>
      <c r="E98">
        <v>5</v>
      </c>
      <c r="F98">
        <v>47</v>
      </c>
      <c r="G98" t="str">
        <f>_xlfn.XLOOKUP(A98,Matches!A:A,Matches!L:L,"")</f>
        <v>MIW</v>
      </c>
      <c r="H98">
        <f t="shared" si="1"/>
        <v>0</v>
      </c>
    </row>
    <row r="99" spans="1:8" x14ac:dyDescent="0.3">
      <c r="A99" t="s">
        <v>466</v>
      </c>
      <c r="B99" t="s">
        <v>266</v>
      </c>
      <c r="C99">
        <v>119</v>
      </c>
      <c r="D99">
        <v>7.549999999999998</v>
      </c>
      <c r="E99">
        <v>9</v>
      </c>
      <c r="F99">
        <v>34</v>
      </c>
      <c r="G99" t="str">
        <f>_xlfn.XLOOKUP(A99,Matches!A:A,Matches!L:L,"")</f>
        <v>MIW</v>
      </c>
      <c r="H99">
        <f t="shared" si="1"/>
        <v>1</v>
      </c>
    </row>
    <row r="100" spans="1:8" x14ac:dyDescent="0.3">
      <c r="A100" t="s">
        <v>467</v>
      </c>
      <c r="B100" t="s">
        <v>158</v>
      </c>
      <c r="C100">
        <v>165</v>
      </c>
      <c r="D100">
        <v>8.42</v>
      </c>
      <c r="E100">
        <v>6</v>
      </c>
      <c r="F100">
        <v>36</v>
      </c>
      <c r="G100" t="str">
        <f>_xlfn.XLOOKUP(A100,Matches!A:A,Matches!L:L,"")</f>
        <v>DCW</v>
      </c>
      <c r="H100">
        <f t="shared" si="1"/>
        <v>1</v>
      </c>
    </row>
    <row r="101" spans="1:8" x14ac:dyDescent="0.3">
      <c r="A101" t="s">
        <v>467</v>
      </c>
      <c r="B101" t="s">
        <v>219</v>
      </c>
      <c r="C101">
        <v>159</v>
      </c>
      <c r="D101">
        <v>8.2999999999999989</v>
      </c>
      <c r="E101">
        <v>3</v>
      </c>
      <c r="F101">
        <v>43</v>
      </c>
      <c r="G101" t="str">
        <f>_xlfn.XLOOKUP(A101,Matches!A:A,Matches!L:L,"")</f>
        <v>DCW</v>
      </c>
      <c r="H101">
        <f t="shared" si="1"/>
        <v>0</v>
      </c>
    </row>
    <row r="102" spans="1:8" x14ac:dyDescent="0.3">
      <c r="A102" t="s">
        <v>468</v>
      </c>
      <c r="B102" t="s">
        <v>266</v>
      </c>
      <c r="C102">
        <v>162</v>
      </c>
      <c r="D102">
        <v>8.5699999999999985</v>
      </c>
      <c r="E102">
        <v>7</v>
      </c>
      <c r="F102">
        <v>49</v>
      </c>
      <c r="G102" t="str">
        <f>_xlfn.XLOOKUP(A102,Matches!A:A,Matches!L:L,"")</f>
        <v>MIW</v>
      </c>
      <c r="H102">
        <f t="shared" si="1"/>
        <v>1</v>
      </c>
    </row>
    <row r="103" spans="1:8" x14ac:dyDescent="0.3">
      <c r="A103" t="s">
        <v>468</v>
      </c>
      <c r="B103" t="s">
        <v>159</v>
      </c>
      <c r="C103">
        <v>164</v>
      </c>
      <c r="D103">
        <v>8.3499999999999979</v>
      </c>
      <c r="E103">
        <v>6</v>
      </c>
      <c r="F103">
        <v>36</v>
      </c>
      <c r="G103" t="str">
        <f>_xlfn.XLOOKUP(A103,Matches!A:A,Matches!L:L,"")</f>
        <v>MIW</v>
      </c>
      <c r="H103">
        <f t="shared" si="1"/>
        <v>0</v>
      </c>
    </row>
    <row r="104" spans="1:8" x14ac:dyDescent="0.3">
      <c r="A104" t="s">
        <v>469</v>
      </c>
      <c r="B104" t="s">
        <v>158</v>
      </c>
      <c r="C104">
        <v>142</v>
      </c>
      <c r="D104">
        <v>7.379999999999999</v>
      </c>
      <c r="E104">
        <v>9</v>
      </c>
      <c r="F104">
        <v>63</v>
      </c>
      <c r="G104" t="str">
        <f>_xlfn.XLOOKUP(A104,Matches!A:A,Matches!L:L,"")</f>
        <v>UPW</v>
      </c>
      <c r="H104">
        <f t="shared" si="1"/>
        <v>0</v>
      </c>
    </row>
    <row r="105" spans="1:8" x14ac:dyDescent="0.3">
      <c r="A105" t="s">
        <v>469</v>
      </c>
      <c r="B105" t="s">
        <v>219</v>
      </c>
      <c r="C105">
        <v>152</v>
      </c>
      <c r="D105">
        <v>8.8499999999999979</v>
      </c>
      <c r="E105">
        <v>6</v>
      </c>
      <c r="F105">
        <v>57</v>
      </c>
      <c r="G105" t="str">
        <f>_xlfn.XLOOKUP(A105,Matches!A:A,Matches!L:L,"")</f>
        <v>UPW</v>
      </c>
      <c r="H105">
        <f t="shared" si="1"/>
        <v>1</v>
      </c>
    </row>
    <row r="106" spans="1:8" x14ac:dyDescent="0.3">
      <c r="A106" t="s">
        <v>470</v>
      </c>
      <c r="B106" t="s">
        <v>159</v>
      </c>
      <c r="C106">
        <v>175</v>
      </c>
      <c r="D106">
        <v>9</v>
      </c>
      <c r="E106">
        <v>8</v>
      </c>
      <c r="F106">
        <v>45</v>
      </c>
      <c r="G106" t="str">
        <f>_xlfn.XLOOKUP(A106,Matches!A:A,Matches!L:L,"")</f>
        <v>UPW</v>
      </c>
      <c r="H106">
        <f t="shared" si="1"/>
        <v>0</v>
      </c>
    </row>
    <row r="107" spans="1:8" x14ac:dyDescent="0.3">
      <c r="A107" t="s">
        <v>470</v>
      </c>
      <c r="B107" t="s">
        <v>219</v>
      </c>
      <c r="C107">
        <v>173</v>
      </c>
      <c r="D107">
        <v>9</v>
      </c>
      <c r="E107">
        <v>3</v>
      </c>
      <c r="F107">
        <v>53</v>
      </c>
      <c r="G107" t="str">
        <f>_xlfn.XLOOKUP(A107,Matches!A:A,Matches!L:L,"")</f>
        <v>UPW</v>
      </c>
      <c r="H107">
        <f t="shared" si="1"/>
        <v>1</v>
      </c>
    </row>
    <row r="108" spans="1:8" x14ac:dyDescent="0.3">
      <c r="A108" t="s">
        <v>471</v>
      </c>
      <c r="B108" t="s">
        <v>158</v>
      </c>
      <c r="C108">
        <v>123</v>
      </c>
      <c r="D108">
        <v>8.64</v>
      </c>
      <c r="E108">
        <v>8</v>
      </c>
      <c r="F108">
        <v>43</v>
      </c>
      <c r="G108" t="str">
        <f>_xlfn.XLOOKUP(A108,Matches!A:A,Matches!L:L,"")</f>
        <v>DCW</v>
      </c>
      <c r="H108">
        <f t="shared" si="1"/>
        <v>1</v>
      </c>
    </row>
    <row r="109" spans="1:8" x14ac:dyDescent="0.3">
      <c r="A109" t="s">
        <v>471</v>
      </c>
      <c r="B109" t="s">
        <v>258</v>
      </c>
      <c r="C109">
        <v>106</v>
      </c>
      <c r="D109">
        <v>6.3500000000000005</v>
      </c>
      <c r="E109">
        <v>4</v>
      </c>
      <c r="F109">
        <v>64</v>
      </c>
      <c r="G109" t="str">
        <f>_xlfn.XLOOKUP(A109,Matches!A:A,Matches!L:L,"")</f>
        <v>DCW</v>
      </c>
      <c r="H109">
        <f t="shared" si="1"/>
        <v>0</v>
      </c>
    </row>
    <row r="110" spans="1:8" x14ac:dyDescent="0.3">
      <c r="A110" t="s">
        <v>472</v>
      </c>
      <c r="B110" t="s">
        <v>266</v>
      </c>
      <c r="C110">
        <v>138</v>
      </c>
      <c r="D110">
        <v>8.4099999999999984</v>
      </c>
      <c r="E110">
        <v>9</v>
      </c>
      <c r="F110">
        <v>43</v>
      </c>
      <c r="G110" t="str">
        <f>_xlfn.XLOOKUP(A110,Matches!A:A,Matches!L:L,"")</f>
        <v>MIW</v>
      </c>
      <c r="H110">
        <f t="shared" si="1"/>
        <v>1</v>
      </c>
    </row>
    <row r="111" spans="1:8" x14ac:dyDescent="0.3">
      <c r="A111" t="s">
        <v>472</v>
      </c>
      <c r="B111" t="s">
        <v>219</v>
      </c>
      <c r="C111">
        <v>134</v>
      </c>
      <c r="D111">
        <v>7.1</v>
      </c>
      <c r="E111">
        <v>2</v>
      </c>
      <c r="F111">
        <v>52</v>
      </c>
      <c r="G111" t="str">
        <f>_xlfn.XLOOKUP(A111,Matches!A:A,Matches!L:L,"")</f>
        <v>MIW</v>
      </c>
      <c r="H111">
        <f t="shared" si="1"/>
        <v>0</v>
      </c>
    </row>
    <row r="112" spans="1:8" x14ac:dyDescent="0.3">
      <c r="A112" t="s">
        <v>473</v>
      </c>
      <c r="B112" t="s">
        <v>258</v>
      </c>
      <c r="C112">
        <v>121</v>
      </c>
      <c r="D112">
        <v>7.64</v>
      </c>
      <c r="E112">
        <v>6</v>
      </c>
      <c r="F112">
        <v>47</v>
      </c>
      <c r="G112" t="str">
        <f>_xlfn.XLOOKUP(A112,Matches!A:A,Matches!L:L,"")</f>
        <v>GGTW</v>
      </c>
      <c r="H112">
        <f t="shared" si="1"/>
        <v>1</v>
      </c>
    </row>
    <row r="113" spans="1:8" x14ac:dyDescent="0.3">
      <c r="A113" t="s">
        <v>473</v>
      </c>
      <c r="B113" t="s">
        <v>159</v>
      </c>
      <c r="C113">
        <v>113</v>
      </c>
      <c r="D113">
        <v>6.25</v>
      </c>
      <c r="E113">
        <v>4</v>
      </c>
      <c r="F113">
        <v>58</v>
      </c>
      <c r="G113" t="str">
        <f>_xlfn.XLOOKUP(A113,Matches!A:A,Matches!L:L,"")</f>
        <v>GGTW</v>
      </c>
      <c r="H113">
        <f t="shared" si="1"/>
        <v>0</v>
      </c>
    </row>
    <row r="114" spans="1:8" x14ac:dyDescent="0.3">
      <c r="A114" t="s">
        <v>474</v>
      </c>
      <c r="B114" t="s">
        <v>158</v>
      </c>
      <c r="C114">
        <v>118</v>
      </c>
      <c r="D114">
        <v>8.5499999999999989</v>
      </c>
      <c r="E114">
        <v>8</v>
      </c>
      <c r="F114">
        <v>35</v>
      </c>
      <c r="G114" t="str">
        <f>_xlfn.XLOOKUP(A114,Matches!A:A,Matches!L:L,"")</f>
        <v>DCW</v>
      </c>
      <c r="H114">
        <f t="shared" si="1"/>
        <v>1</v>
      </c>
    </row>
    <row r="115" spans="1:8" x14ac:dyDescent="0.3">
      <c r="A115" t="s">
        <v>474</v>
      </c>
      <c r="B115" t="s">
        <v>266</v>
      </c>
      <c r="C115">
        <v>116</v>
      </c>
      <c r="D115">
        <v>6.1499999999999995</v>
      </c>
      <c r="E115">
        <v>1</v>
      </c>
      <c r="F115">
        <v>69</v>
      </c>
      <c r="G115" t="str">
        <f>_xlfn.XLOOKUP(A115,Matches!A:A,Matches!L:L,"")</f>
        <v>DCW</v>
      </c>
      <c r="H115">
        <f t="shared" si="1"/>
        <v>0</v>
      </c>
    </row>
    <row r="116" spans="1:8" x14ac:dyDescent="0.3">
      <c r="A116" t="s">
        <v>475</v>
      </c>
      <c r="B116" t="s">
        <v>158</v>
      </c>
      <c r="C116">
        <v>143</v>
      </c>
      <c r="D116">
        <v>9.7399999999999984</v>
      </c>
      <c r="E116">
        <v>5</v>
      </c>
      <c r="F116">
        <v>32</v>
      </c>
      <c r="G116" t="str">
        <f>_xlfn.XLOOKUP(A116,Matches!A:A,Matches!L:L,"")</f>
        <v>DCW</v>
      </c>
      <c r="H116">
        <f t="shared" si="1"/>
        <v>1</v>
      </c>
    </row>
    <row r="117" spans="1:8" x14ac:dyDescent="0.3">
      <c r="A117" t="s">
        <v>475</v>
      </c>
      <c r="B117" t="s">
        <v>159</v>
      </c>
      <c r="C117">
        <v>141</v>
      </c>
      <c r="D117">
        <v>7.35</v>
      </c>
      <c r="E117">
        <v>1</v>
      </c>
      <c r="F117">
        <v>54</v>
      </c>
      <c r="G117" t="str">
        <f>_xlfn.XLOOKUP(A117,Matches!A:A,Matches!L:L,"")</f>
        <v>DCW</v>
      </c>
      <c r="H117">
        <f t="shared" si="1"/>
        <v>0</v>
      </c>
    </row>
    <row r="118" spans="1:8" x14ac:dyDescent="0.3">
      <c r="A118" t="s">
        <v>476</v>
      </c>
      <c r="B118" t="s">
        <v>258</v>
      </c>
      <c r="C118">
        <v>181</v>
      </c>
      <c r="D118">
        <v>9.2999999999999989</v>
      </c>
      <c r="E118">
        <v>10</v>
      </c>
      <c r="F118">
        <v>39</v>
      </c>
      <c r="G118" t="str">
        <f>_xlfn.XLOOKUP(A118,Matches!A:A,Matches!L:L,"")</f>
        <v>GGTW</v>
      </c>
      <c r="H118">
        <f t="shared" si="1"/>
        <v>1</v>
      </c>
    </row>
    <row r="119" spans="1:8" x14ac:dyDescent="0.3">
      <c r="A119" t="s">
        <v>476</v>
      </c>
      <c r="B119" t="s">
        <v>219</v>
      </c>
      <c r="C119">
        <v>96</v>
      </c>
      <c r="D119">
        <v>6.1199999999999992</v>
      </c>
      <c r="E119">
        <v>5</v>
      </c>
      <c r="F119">
        <v>58</v>
      </c>
      <c r="G119" t="str">
        <f>_xlfn.XLOOKUP(A119,Matches!A:A,Matches!L:L,"")</f>
        <v>GGTW</v>
      </c>
      <c r="H119">
        <f t="shared" si="1"/>
        <v>0</v>
      </c>
    </row>
    <row r="120" spans="1:8" x14ac:dyDescent="0.3">
      <c r="A120" t="s">
        <v>477</v>
      </c>
      <c r="B120" t="s">
        <v>266</v>
      </c>
      <c r="C120">
        <v>141</v>
      </c>
      <c r="D120">
        <v>8.2699999999999978</v>
      </c>
      <c r="E120">
        <v>9</v>
      </c>
      <c r="F120">
        <v>48</v>
      </c>
      <c r="G120" t="str">
        <f>_xlfn.XLOOKUP(A120,Matches!A:A,Matches!L:L,"")</f>
        <v>MIW</v>
      </c>
      <c r="H120">
        <f t="shared" si="1"/>
        <v>1</v>
      </c>
    </row>
    <row r="121" spans="1:8" x14ac:dyDescent="0.3">
      <c r="A121" t="s">
        <v>477</v>
      </c>
      <c r="B121" t="s">
        <v>219</v>
      </c>
      <c r="C121">
        <v>144</v>
      </c>
      <c r="D121">
        <v>7.5</v>
      </c>
      <c r="E121">
        <v>4</v>
      </c>
      <c r="F121">
        <v>56</v>
      </c>
      <c r="G121" t="str">
        <f>_xlfn.XLOOKUP(A121,Matches!A:A,Matches!L:L,"")</f>
        <v>MIW</v>
      </c>
      <c r="H121">
        <f t="shared" si="1"/>
        <v>0</v>
      </c>
    </row>
    <row r="122" spans="1:8" x14ac:dyDescent="0.3">
      <c r="A122" t="s">
        <v>478</v>
      </c>
      <c r="B122" t="s">
        <v>158</v>
      </c>
      <c r="C122">
        <v>172</v>
      </c>
      <c r="D122">
        <v>8.8499999999999979</v>
      </c>
      <c r="E122">
        <v>5</v>
      </c>
      <c r="F122">
        <v>46</v>
      </c>
      <c r="G122" t="str">
        <f>_xlfn.XLOOKUP(A122,Matches!A:A,Matches!L:L,"")</f>
        <v>GGTW</v>
      </c>
      <c r="H122">
        <f t="shared" si="1"/>
        <v>0</v>
      </c>
    </row>
    <row r="123" spans="1:8" x14ac:dyDescent="0.3">
      <c r="A123" t="s">
        <v>478</v>
      </c>
      <c r="B123" t="s">
        <v>258</v>
      </c>
      <c r="C123">
        <v>170</v>
      </c>
      <c r="D123">
        <v>9.129999999999999</v>
      </c>
      <c r="E123">
        <v>5</v>
      </c>
      <c r="F123">
        <v>41</v>
      </c>
      <c r="G123" t="str">
        <f>_xlfn.XLOOKUP(A123,Matches!A:A,Matches!L:L,"")</f>
        <v>GGTW</v>
      </c>
      <c r="H123">
        <f t="shared" si="1"/>
        <v>1</v>
      </c>
    </row>
    <row r="124" spans="1:8" x14ac:dyDescent="0.3">
      <c r="A124" t="s">
        <v>479</v>
      </c>
      <c r="B124" t="s">
        <v>159</v>
      </c>
      <c r="C124">
        <v>206</v>
      </c>
      <c r="D124">
        <v>10.92</v>
      </c>
      <c r="E124">
        <v>3</v>
      </c>
      <c r="F124">
        <v>41</v>
      </c>
      <c r="G124" t="str">
        <f>_xlfn.XLOOKUP(A124,Matches!A:A,Matches!L:L,"")</f>
        <v>UPW</v>
      </c>
      <c r="H124">
        <f t="shared" si="1"/>
        <v>0</v>
      </c>
    </row>
    <row r="125" spans="1:8" x14ac:dyDescent="0.3">
      <c r="A125" t="s">
        <v>479</v>
      </c>
      <c r="B125" t="s">
        <v>219</v>
      </c>
      <c r="C125">
        <v>217</v>
      </c>
      <c r="D125">
        <v>11.25</v>
      </c>
      <c r="E125">
        <v>10</v>
      </c>
      <c r="F125">
        <v>40</v>
      </c>
      <c r="G125" t="str">
        <f>_xlfn.XLOOKUP(A125,Matches!A:A,Matches!L:L,"")</f>
        <v>UPW</v>
      </c>
      <c r="H125">
        <f t="shared" si="1"/>
        <v>1</v>
      </c>
    </row>
    <row r="126" spans="1:8" x14ac:dyDescent="0.3">
      <c r="A126" t="s">
        <v>480</v>
      </c>
      <c r="B126" t="s">
        <v>258</v>
      </c>
      <c r="C126">
        <v>164</v>
      </c>
      <c r="D126">
        <v>8.5</v>
      </c>
      <c r="E126">
        <v>4</v>
      </c>
      <c r="F126">
        <v>46</v>
      </c>
      <c r="G126" t="str">
        <f>_xlfn.XLOOKUP(A126,Matches!A:A,Matches!L:L,"")</f>
        <v>MIW</v>
      </c>
      <c r="H126">
        <f t="shared" si="1"/>
        <v>0</v>
      </c>
    </row>
    <row r="127" spans="1:8" x14ac:dyDescent="0.3">
      <c r="A127" t="s">
        <v>480</v>
      </c>
      <c r="B127" t="s">
        <v>266</v>
      </c>
      <c r="C127">
        <v>175</v>
      </c>
      <c r="D127">
        <v>8.9500000000000011</v>
      </c>
      <c r="E127">
        <v>9</v>
      </c>
      <c r="F127">
        <v>42</v>
      </c>
      <c r="G127" t="str">
        <f>_xlfn.XLOOKUP(A127,Matches!A:A,Matches!L:L,"")</f>
        <v>MIW</v>
      </c>
      <c r="H127">
        <f t="shared" si="1"/>
        <v>1</v>
      </c>
    </row>
    <row r="128" spans="1:8" x14ac:dyDescent="0.3">
      <c r="A128" t="s">
        <v>481</v>
      </c>
      <c r="B128" t="s">
        <v>266</v>
      </c>
      <c r="C128">
        <v>181</v>
      </c>
      <c r="D128">
        <v>9.4000000000000021</v>
      </c>
      <c r="E128">
        <v>3</v>
      </c>
      <c r="F128">
        <v>38</v>
      </c>
      <c r="G128" t="str">
        <f>_xlfn.XLOOKUP(A128,Matches!A:A,Matches!L:L,"")</f>
        <v>RCBW</v>
      </c>
      <c r="H128">
        <f t="shared" si="1"/>
        <v>0</v>
      </c>
    </row>
    <row r="129" spans="1:8" x14ac:dyDescent="0.3">
      <c r="A129" t="s">
        <v>481</v>
      </c>
      <c r="B129" t="s">
        <v>159</v>
      </c>
      <c r="C129">
        <v>195</v>
      </c>
      <c r="D129">
        <v>9.9500000000000011</v>
      </c>
      <c r="E129">
        <v>9</v>
      </c>
      <c r="F129">
        <v>38</v>
      </c>
      <c r="G129" t="str">
        <f>_xlfn.XLOOKUP(A129,Matches!A:A,Matches!L:L,"")</f>
        <v>RCBW</v>
      </c>
      <c r="H129">
        <f t="shared" si="1"/>
        <v>1</v>
      </c>
    </row>
    <row r="130" spans="1:8" x14ac:dyDescent="0.3">
      <c r="A130" t="s">
        <v>482</v>
      </c>
      <c r="B130" t="s">
        <v>258</v>
      </c>
      <c r="C130">
        <v>159</v>
      </c>
      <c r="D130">
        <v>8.5900000000000016</v>
      </c>
      <c r="E130">
        <v>3</v>
      </c>
      <c r="F130">
        <v>44</v>
      </c>
      <c r="G130" t="str">
        <f>_xlfn.XLOOKUP(A130,Matches!A:A,Matches!L:L,"")</f>
        <v>MIW</v>
      </c>
      <c r="H130">
        <f t="shared" si="1"/>
        <v>0</v>
      </c>
    </row>
    <row r="131" spans="1:8" x14ac:dyDescent="0.3">
      <c r="A131" t="s">
        <v>482</v>
      </c>
      <c r="B131" t="s">
        <v>266</v>
      </c>
      <c r="C131">
        <v>206</v>
      </c>
      <c r="D131">
        <v>10.650000000000002</v>
      </c>
      <c r="E131">
        <v>7</v>
      </c>
      <c r="F131">
        <v>31</v>
      </c>
      <c r="G131" t="str">
        <f>_xlfn.XLOOKUP(A131,Matches!A:A,Matches!L:L,"")</f>
        <v>MIW</v>
      </c>
      <c r="H131">
        <f t="shared" ref="H131:H156" si="2">IF(B131=G131,1,0)</f>
        <v>1</v>
      </c>
    </row>
    <row r="132" spans="1:8" x14ac:dyDescent="0.3">
      <c r="A132" t="s">
        <v>483</v>
      </c>
      <c r="B132" t="s">
        <v>158</v>
      </c>
      <c r="C132">
        <v>139</v>
      </c>
      <c r="D132">
        <v>7.049999999999998</v>
      </c>
      <c r="E132">
        <v>7</v>
      </c>
      <c r="F132">
        <v>42</v>
      </c>
      <c r="G132" t="str">
        <f>_xlfn.XLOOKUP(A132,Matches!A:A,Matches!L:L,"")</f>
        <v>MIW</v>
      </c>
      <c r="H132">
        <f t="shared" si="2"/>
        <v>0</v>
      </c>
    </row>
    <row r="133" spans="1:8" x14ac:dyDescent="0.3">
      <c r="A133" t="s">
        <v>483</v>
      </c>
      <c r="B133" t="s">
        <v>266</v>
      </c>
      <c r="C133">
        <v>141</v>
      </c>
      <c r="D133">
        <v>7.450000000000002</v>
      </c>
      <c r="E133">
        <v>8</v>
      </c>
      <c r="F133">
        <v>42</v>
      </c>
      <c r="G133" t="str">
        <f>_xlfn.XLOOKUP(A133,Matches!A:A,Matches!L:L,"")</f>
        <v>MIW</v>
      </c>
      <c r="H133">
        <f t="shared" si="2"/>
        <v>1</v>
      </c>
    </row>
    <row r="134" spans="1:8" x14ac:dyDescent="0.3">
      <c r="A134" t="s">
        <v>601</v>
      </c>
      <c r="B134" t="s">
        <v>266</v>
      </c>
      <c r="C134">
        <v>145</v>
      </c>
      <c r="D134">
        <v>7.700000000000002</v>
      </c>
      <c r="E134">
        <v>7</v>
      </c>
      <c r="F134">
        <v>54</v>
      </c>
      <c r="G134" t="str">
        <f>_xlfn.XLOOKUP(A134,Matches!A:A,Matches!L:L,"")</f>
        <v>RCBW</v>
      </c>
      <c r="H134">
        <f t="shared" si="2"/>
        <v>0</v>
      </c>
    </row>
    <row r="135" spans="1:8" x14ac:dyDescent="0.3">
      <c r="A135" t="s">
        <v>601</v>
      </c>
      <c r="B135" t="s">
        <v>159</v>
      </c>
      <c r="C135">
        <v>149</v>
      </c>
      <c r="D135">
        <v>7.85</v>
      </c>
      <c r="E135">
        <v>6</v>
      </c>
      <c r="F135">
        <v>47</v>
      </c>
      <c r="G135" t="str">
        <f>_xlfn.XLOOKUP(A135,Matches!A:A,Matches!L:L,"")</f>
        <v>RCBW</v>
      </c>
      <c r="H135">
        <f t="shared" si="2"/>
        <v>1</v>
      </c>
    </row>
    <row r="136" spans="1:8" x14ac:dyDescent="0.3">
      <c r="A136" t="s">
        <v>602</v>
      </c>
      <c r="B136" t="s">
        <v>258</v>
      </c>
      <c r="C136">
        <v>201</v>
      </c>
      <c r="D136">
        <v>10.349999999999998</v>
      </c>
      <c r="E136">
        <v>8</v>
      </c>
      <c r="F136">
        <v>36</v>
      </c>
      <c r="G136" t="str">
        <f>_xlfn.XLOOKUP(A136,Matches!A:A,Matches!L:L,"")</f>
        <v>GGTW</v>
      </c>
      <c r="H136">
        <f t="shared" si="2"/>
        <v>1</v>
      </c>
    </row>
    <row r="137" spans="1:8" x14ac:dyDescent="0.3">
      <c r="A137" t="s">
        <v>602</v>
      </c>
      <c r="B137" t="s">
        <v>219</v>
      </c>
      <c r="C137">
        <v>186</v>
      </c>
      <c r="D137">
        <v>9.8499999999999979</v>
      </c>
      <c r="E137">
        <v>4</v>
      </c>
      <c r="F137">
        <v>49</v>
      </c>
      <c r="G137" t="str">
        <f>_xlfn.XLOOKUP(A137,Matches!A:A,Matches!L:L,"")</f>
        <v>GGTW</v>
      </c>
      <c r="H137">
        <f t="shared" si="2"/>
        <v>0</v>
      </c>
    </row>
    <row r="138" spans="1:8" x14ac:dyDescent="0.3">
      <c r="A138" t="s">
        <v>603</v>
      </c>
      <c r="B138" t="s">
        <v>158</v>
      </c>
      <c r="C138">
        <v>134</v>
      </c>
      <c r="D138">
        <v>7.629999999999999</v>
      </c>
      <c r="E138">
        <v>4</v>
      </c>
      <c r="F138">
        <v>46</v>
      </c>
      <c r="G138" t="str">
        <f>_xlfn.XLOOKUP(A138,Matches!A:A,Matches!L:L,"")</f>
        <v>MIW</v>
      </c>
      <c r="H138">
        <f t="shared" si="2"/>
        <v>0</v>
      </c>
    </row>
    <row r="139" spans="1:8" x14ac:dyDescent="0.3">
      <c r="A139" t="s">
        <v>603</v>
      </c>
      <c r="B139" t="s">
        <v>266</v>
      </c>
      <c r="C139">
        <v>186</v>
      </c>
      <c r="D139">
        <v>9.75</v>
      </c>
      <c r="E139">
        <v>10</v>
      </c>
      <c r="F139">
        <v>39</v>
      </c>
      <c r="G139" t="str">
        <f>_xlfn.XLOOKUP(A139,Matches!A:A,Matches!L:L,"")</f>
        <v>MIW</v>
      </c>
      <c r="H139">
        <f t="shared" si="2"/>
        <v>1</v>
      </c>
    </row>
    <row r="140" spans="1:8" x14ac:dyDescent="0.3">
      <c r="A140" t="s">
        <v>604</v>
      </c>
      <c r="B140" t="s">
        <v>158</v>
      </c>
      <c r="C140">
        <v>200</v>
      </c>
      <c r="D140">
        <v>10.25</v>
      </c>
      <c r="E140">
        <v>10</v>
      </c>
      <c r="F140">
        <v>33</v>
      </c>
      <c r="G140" t="str">
        <f>_xlfn.XLOOKUP(A140,Matches!A:A,Matches!L:L,"")</f>
        <v>GGTW</v>
      </c>
      <c r="H140">
        <f t="shared" si="2"/>
        <v>0</v>
      </c>
    </row>
    <row r="141" spans="1:8" x14ac:dyDescent="0.3">
      <c r="A141" t="s">
        <v>604</v>
      </c>
      <c r="B141" t="s">
        <v>258</v>
      </c>
      <c r="C141">
        <v>201</v>
      </c>
      <c r="D141">
        <v>10.450000000000001</v>
      </c>
      <c r="E141">
        <v>5</v>
      </c>
      <c r="F141">
        <v>33</v>
      </c>
      <c r="G141" t="str">
        <f>_xlfn.XLOOKUP(A141,Matches!A:A,Matches!L:L,"")</f>
        <v>GGTW</v>
      </c>
      <c r="H141">
        <f t="shared" si="2"/>
        <v>1</v>
      </c>
    </row>
    <row r="142" spans="1:8" x14ac:dyDescent="0.3">
      <c r="A142" t="s">
        <v>605</v>
      </c>
      <c r="B142" t="s">
        <v>159</v>
      </c>
      <c r="C142">
        <v>136</v>
      </c>
      <c r="D142">
        <v>11.92</v>
      </c>
      <c r="E142">
        <v>5</v>
      </c>
      <c r="F142">
        <v>29</v>
      </c>
      <c r="G142" t="str">
        <f>_xlfn.XLOOKUP(A142,Matches!A:A,Matches!L:L,"")</f>
        <v>RCBW</v>
      </c>
      <c r="H142">
        <f t="shared" si="2"/>
        <v>1</v>
      </c>
    </row>
    <row r="143" spans="1:8" x14ac:dyDescent="0.3">
      <c r="A143" t="s">
        <v>605</v>
      </c>
      <c r="B143" t="s">
        <v>219</v>
      </c>
      <c r="C143">
        <v>135</v>
      </c>
      <c r="D143">
        <v>7.15</v>
      </c>
      <c r="E143">
        <v>1</v>
      </c>
      <c r="F143">
        <v>34</v>
      </c>
      <c r="G143" t="str">
        <f>_xlfn.XLOOKUP(A143,Matches!A:A,Matches!L:L,"")</f>
        <v>RCBW</v>
      </c>
      <c r="H143">
        <f t="shared" si="2"/>
        <v>0</v>
      </c>
    </row>
    <row r="144" spans="1:8" x14ac:dyDescent="0.3">
      <c r="A144" t="s">
        <v>606</v>
      </c>
      <c r="B144" t="s">
        <v>258</v>
      </c>
      <c r="C144">
        <v>186</v>
      </c>
      <c r="D144">
        <v>9.5999999999999979</v>
      </c>
      <c r="E144">
        <v>3</v>
      </c>
      <c r="F144">
        <v>27</v>
      </c>
      <c r="G144" t="str">
        <f>_xlfn.XLOOKUP(A144,Matches!A:A,Matches!L:L,"")</f>
        <v>MIW</v>
      </c>
      <c r="H144">
        <f t="shared" si="2"/>
        <v>0</v>
      </c>
    </row>
    <row r="145" spans="1:8" x14ac:dyDescent="0.3">
      <c r="A145" t="s">
        <v>606</v>
      </c>
      <c r="B145" t="s">
        <v>266</v>
      </c>
      <c r="C145">
        <v>184</v>
      </c>
      <c r="D145">
        <v>9.9800000000000022</v>
      </c>
      <c r="E145">
        <v>4</v>
      </c>
      <c r="F145">
        <v>30</v>
      </c>
      <c r="G145" t="str">
        <f>_xlfn.XLOOKUP(A145,Matches!A:A,Matches!L:L,"")</f>
        <v>MIW</v>
      </c>
      <c r="H145">
        <f t="shared" si="2"/>
        <v>1</v>
      </c>
    </row>
    <row r="146" spans="1:8" x14ac:dyDescent="0.3">
      <c r="A146" t="s">
        <v>607</v>
      </c>
      <c r="B146" t="s">
        <v>158</v>
      </c>
      <c r="C146">
        <v>154</v>
      </c>
      <c r="D146">
        <v>7.9</v>
      </c>
      <c r="E146">
        <v>7</v>
      </c>
      <c r="F146">
        <v>33</v>
      </c>
      <c r="G146" t="str">
        <f>_xlfn.XLOOKUP(A146,Matches!A:A,Matches!L:L,"")</f>
        <v>DCW</v>
      </c>
      <c r="H146">
        <f t="shared" si="2"/>
        <v>1</v>
      </c>
    </row>
    <row r="147" spans="1:8" x14ac:dyDescent="0.3">
      <c r="A147" t="s">
        <v>607</v>
      </c>
      <c r="B147" t="s">
        <v>219</v>
      </c>
      <c r="C147">
        <v>148</v>
      </c>
      <c r="D147">
        <v>7.700000000000002</v>
      </c>
      <c r="E147">
        <v>3</v>
      </c>
      <c r="F147">
        <v>36</v>
      </c>
      <c r="G147" t="str">
        <f>_xlfn.XLOOKUP(A147,Matches!A:A,Matches!L:L,"")</f>
        <v>DCW</v>
      </c>
      <c r="H147">
        <f t="shared" si="2"/>
        <v>0</v>
      </c>
    </row>
    <row r="148" spans="1:8" x14ac:dyDescent="0.3">
      <c r="A148" t="s">
        <v>608</v>
      </c>
      <c r="B148" t="s">
        <v>266</v>
      </c>
      <c r="C148">
        <v>157</v>
      </c>
      <c r="D148">
        <v>8.0499999999999989</v>
      </c>
      <c r="E148">
        <v>3</v>
      </c>
      <c r="F148">
        <v>34</v>
      </c>
      <c r="G148" t="str">
        <f>_xlfn.XLOOKUP(A148,Matches!A:A,Matches!L:L,"")</f>
        <v>UPW</v>
      </c>
      <c r="H148">
        <f t="shared" si="2"/>
        <v>0</v>
      </c>
    </row>
    <row r="149" spans="1:8" x14ac:dyDescent="0.3">
      <c r="A149" t="s">
        <v>608</v>
      </c>
      <c r="B149" t="s">
        <v>219</v>
      </c>
      <c r="C149">
        <v>151</v>
      </c>
      <c r="D149">
        <v>8.92</v>
      </c>
      <c r="E149">
        <v>4</v>
      </c>
      <c r="F149">
        <v>35</v>
      </c>
      <c r="G149" t="str">
        <f>_xlfn.XLOOKUP(A149,Matches!A:A,Matches!L:L,"")</f>
        <v>UPW</v>
      </c>
      <c r="H149">
        <f t="shared" si="2"/>
        <v>1</v>
      </c>
    </row>
    <row r="150" spans="1:8" x14ac:dyDescent="0.3">
      <c r="A150" t="s">
        <v>609</v>
      </c>
      <c r="B150" t="s">
        <v>258</v>
      </c>
      <c r="C150">
        <v>147</v>
      </c>
      <c r="D150">
        <v>7.9599999999999991</v>
      </c>
      <c r="E150">
        <v>7</v>
      </c>
      <c r="F150">
        <v>33</v>
      </c>
      <c r="G150" t="str">
        <f>_xlfn.XLOOKUP(A150,Matches!A:A,Matches!L:L,"")</f>
        <v>RCBW</v>
      </c>
      <c r="H150">
        <f t="shared" si="2"/>
        <v>0</v>
      </c>
    </row>
    <row r="151" spans="1:8" x14ac:dyDescent="0.3">
      <c r="A151" t="s">
        <v>609</v>
      </c>
      <c r="B151" t="s">
        <v>159</v>
      </c>
      <c r="C151">
        <v>173</v>
      </c>
      <c r="D151">
        <v>9.0999999999999979</v>
      </c>
      <c r="E151">
        <v>10</v>
      </c>
      <c r="F151">
        <v>30</v>
      </c>
      <c r="G151" t="str">
        <f>_xlfn.XLOOKUP(A151,Matches!A:A,Matches!L:L,"")</f>
        <v>RCBW</v>
      </c>
      <c r="H151">
        <f t="shared" si="2"/>
        <v>1</v>
      </c>
    </row>
    <row r="152" spans="1:8" x14ac:dyDescent="0.3">
      <c r="A152" t="s">
        <v>610</v>
      </c>
      <c r="B152" t="s">
        <v>266</v>
      </c>
      <c r="C152">
        <v>161</v>
      </c>
      <c r="D152">
        <v>8.25</v>
      </c>
      <c r="E152">
        <v>8</v>
      </c>
      <c r="F152">
        <v>36</v>
      </c>
      <c r="G152" t="str">
        <f>_xlfn.XLOOKUP(A152,Matches!A:A,Matches!L:L,"")</f>
        <v>UPW</v>
      </c>
      <c r="H152">
        <f t="shared" si="2"/>
        <v>0</v>
      </c>
    </row>
    <row r="153" spans="1:8" x14ac:dyDescent="0.3">
      <c r="A153" t="s">
        <v>610</v>
      </c>
      <c r="B153" t="s">
        <v>219</v>
      </c>
      <c r="C153">
        <v>179</v>
      </c>
      <c r="D153">
        <v>9.3499999999999979</v>
      </c>
      <c r="E153">
        <v>6</v>
      </c>
      <c r="F153">
        <v>34</v>
      </c>
      <c r="G153" t="str">
        <f>_xlfn.XLOOKUP(A153,Matches!A:A,Matches!L:L,"")</f>
        <v>UPW</v>
      </c>
      <c r="H153">
        <f t="shared" si="2"/>
        <v>1</v>
      </c>
    </row>
    <row r="154" spans="1:8" x14ac:dyDescent="0.3">
      <c r="A154" t="s">
        <v>611</v>
      </c>
      <c r="B154" t="s">
        <v>158</v>
      </c>
      <c r="C154">
        <v>157</v>
      </c>
      <c r="D154">
        <v>8.2999999999999989</v>
      </c>
      <c r="E154">
        <v>2</v>
      </c>
      <c r="F154">
        <v>34</v>
      </c>
      <c r="G154" t="str">
        <f>_xlfn.XLOOKUP(A154,Matches!A:A,Matches!L:L,"")</f>
        <v>RCBW</v>
      </c>
      <c r="H154">
        <f t="shared" si="2"/>
        <v>0</v>
      </c>
    </row>
    <row r="155" spans="1:8" x14ac:dyDescent="0.3">
      <c r="A155" t="s">
        <v>611</v>
      </c>
      <c r="B155" t="s">
        <v>159</v>
      </c>
      <c r="C155">
        <v>158</v>
      </c>
      <c r="D155">
        <v>9.2200000000000006</v>
      </c>
      <c r="E155">
        <v>9</v>
      </c>
      <c r="F155">
        <v>32</v>
      </c>
      <c r="G155" t="str">
        <f>_xlfn.XLOOKUP(A155,Matches!A:A,Matches!L:L,"")</f>
        <v>RCBW</v>
      </c>
      <c r="H155">
        <f t="shared" si="2"/>
        <v>1</v>
      </c>
    </row>
    <row r="156" spans="1:8" x14ac:dyDescent="0.3">
      <c r="A156" t="s">
        <v>612</v>
      </c>
      <c r="B156" t="s">
        <v>258</v>
      </c>
      <c r="C156">
        <v>112</v>
      </c>
      <c r="D156">
        <v>5.8500000000000005</v>
      </c>
      <c r="E156">
        <v>6</v>
      </c>
      <c r="F156">
        <v>36</v>
      </c>
      <c r="G156" t="str">
        <f>_xlfn.XLOOKUP(A156,Matches!A:A,Matches!L:L,"")</f>
        <v>RCBW</v>
      </c>
      <c r="H156">
        <f t="shared" si="2"/>
        <v>0</v>
      </c>
    </row>
    <row r="157" spans="1:8" x14ac:dyDescent="0.3">
      <c r="A157" t="s">
        <v>612</v>
      </c>
      <c r="B157" t="s">
        <v>159</v>
      </c>
      <c r="C157">
        <v>157</v>
      </c>
      <c r="D157">
        <v>8.9000000000000021</v>
      </c>
      <c r="E157">
        <v>8</v>
      </c>
      <c r="F157">
        <v>34</v>
      </c>
      <c r="G157" t="str">
        <f>_xlfn.XLOOKUP(A157,Matches!A:A,Matches!L:L,"")</f>
        <v>RCBW</v>
      </c>
      <c r="H157">
        <f>IF(B157=G157,1,0)</f>
        <v>1</v>
      </c>
    </row>
    <row r="158" spans="1:8" x14ac:dyDescent="0.3">
      <c r="A158" t="s">
        <v>613</v>
      </c>
      <c r="B158" t="s">
        <v>158</v>
      </c>
      <c r="C158">
        <v>153</v>
      </c>
      <c r="D158">
        <v>8.1599999999999984</v>
      </c>
      <c r="E158">
        <v>5</v>
      </c>
      <c r="F158">
        <v>33</v>
      </c>
      <c r="G158" t="str">
        <f>_xlfn.XLOOKUP(A158,Matches!A:A,Matches!L:L,"")</f>
        <v>DCW</v>
      </c>
      <c r="H158">
        <f t="shared" ref="H158:H177" si="3">IF(B158=G158,1,0)</f>
        <v>1</v>
      </c>
    </row>
    <row r="159" spans="1:8" x14ac:dyDescent="0.3">
      <c r="A159" t="s">
        <v>613</v>
      </c>
      <c r="B159" t="s">
        <v>266</v>
      </c>
      <c r="C159">
        <v>152</v>
      </c>
      <c r="D159">
        <v>7.700000000000002</v>
      </c>
      <c r="E159">
        <v>2</v>
      </c>
      <c r="F159">
        <v>30</v>
      </c>
      <c r="G159" t="str">
        <f>_xlfn.XLOOKUP(A159,Matches!A:A,Matches!L:L,"")</f>
        <v>DCW</v>
      </c>
      <c r="H159">
        <f t="shared" si="3"/>
        <v>0</v>
      </c>
    </row>
    <row r="160" spans="1:8" x14ac:dyDescent="0.3">
      <c r="A160" t="s">
        <v>614</v>
      </c>
      <c r="B160" t="s">
        <v>258</v>
      </c>
      <c r="C160">
        <v>144</v>
      </c>
      <c r="D160">
        <v>7.65</v>
      </c>
      <c r="E160">
        <v>9</v>
      </c>
      <c r="F160">
        <v>34</v>
      </c>
      <c r="G160" t="str">
        <f>_xlfn.XLOOKUP(A160,Matches!A:A,Matches!L:L,"")</f>
        <v>GGTW</v>
      </c>
      <c r="H160">
        <f t="shared" si="3"/>
        <v>1</v>
      </c>
    </row>
    <row r="161" spans="1:8" x14ac:dyDescent="0.3">
      <c r="A161" t="s">
        <v>614</v>
      </c>
      <c r="B161" t="s">
        <v>219</v>
      </c>
      <c r="C161">
        <v>96</v>
      </c>
      <c r="D161">
        <v>6.1700000000000008</v>
      </c>
      <c r="E161">
        <v>6</v>
      </c>
      <c r="F161">
        <v>35</v>
      </c>
      <c r="G161" t="str">
        <f>_xlfn.XLOOKUP(A161,Matches!A:A,Matches!L:L,"")</f>
        <v>GGTW</v>
      </c>
      <c r="H161">
        <f t="shared" si="3"/>
        <v>0</v>
      </c>
    </row>
    <row r="162" spans="1:8" x14ac:dyDescent="0.3">
      <c r="A162" t="s">
        <v>615</v>
      </c>
      <c r="B162" t="s">
        <v>158</v>
      </c>
      <c r="C162">
        <v>107</v>
      </c>
      <c r="D162">
        <v>7.0900000000000025</v>
      </c>
      <c r="E162">
        <v>10</v>
      </c>
      <c r="F162">
        <v>31</v>
      </c>
      <c r="G162" t="str">
        <f>_xlfn.XLOOKUP(A162,Matches!A:A,Matches!L:L,"")</f>
        <v>DCW</v>
      </c>
      <c r="H162">
        <f t="shared" si="3"/>
        <v>1</v>
      </c>
    </row>
    <row r="163" spans="1:8" x14ac:dyDescent="0.3">
      <c r="A163" t="s">
        <v>615</v>
      </c>
      <c r="B163" t="s">
        <v>159</v>
      </c>
      <c r="C163">
        <v>102</v>
      </c>
      <c r="D163">
        <v>5.450000000000002</v>
      </c>
      <c r="E163">
        <v>3</v>
      </c>
      <c r="F163">
        <v>33</v>
      </c>
      <c r="G163" t="str">
        <f>_xlfn.XLOOKUP(A163,Matches!A:A,Matches!L:L,"")</f>
        <v>DCW</v>
      </c>
      <c r="H163">
        <f t="shared" si="3"/>
        <v>0</v>
      </c>
    </row>
    <row r="164" spans="1:8" x14ac:dyDescent="0.3">
      <c r="A164" t="s">
        <v>616</v>
      </c>
      <c r="B164" t="s">
        <v>266</v>
      </c>
      <c r="C164">
        <v>188</v>
      </c>
      <c r="D164">
        <v>9.9500000000000011</v>
      </c>
      <c r="E164">
        <v>8</v>
      </c>
      <c r="F164">
        <v>29</v>
      </c>
      <c r="G164" t="str">
        <f>_xlfn.XLOOKUP(A164,Matches!A:A,Matches!L:L,"")</f>
        <v>MIW</v>
      </c>
      <c r="H164">
        <f t="shared" si="3"/>
        <v>1</v>
      </c>
    </row>
    <row r="165" spans="1:8" x14ac:dyDescent="0.3">
      <c r="A165" t="s">
        <v>616</v>
      </c>
      <c r="B165" t="s">
        <v>159</v>
      </c>
      <c r="C165">
        <v>175</v>
      </c>
      <c r="D165">
        <v>9.2000000000000011</v>
      </c>
      <c r="E165">
        <v>4</v>
      </c>
      <c r="F165">
        <v>32</v>
      </c>
      <c r="G165" t="str">
        <f>_xlfn.XLOOKUP(A165,Matches!A:A,Matches!L:L,"")</f>
        <v>MIW</v>
      </c>
      <c r="H165">
        <f t="shared" si="3"/>
        <v>0</v>
      </c>
    </row>
    <row r="166" spans="1:8" x14ac:dyDescent="0.3">
      <c r="A166" t="s">
        <v>617</v>
      </c>
      <c r="B166" t="s">
        <v>158</v>
      </c>
      <c r="C166">
        <v>151</v>
      </c>
      <c r="D166">
        <v>8.5499999999999989</v>
      </c>
      <c r="E166">
        <v>9</v>
      </c>
      <c r="F166">
        <v>30</v>
      </c>
      <c r="G166" t="str">
        <f>_xlfn.XLOOKUP(A166,Matches!A:A,Matches!L:L,"")</f>
        <v>GGTW</v>
      </c>
      <c r="H166">
        <f t="shared" si="3"/>
        <v>0</v>
      </c>
    </row>
    <row r="167" spans="1:8" x14ac:dyDescent="0.3">
      <c r="A167" t="s">
        <v>617</v>
      </c>
      <c r="B167" t="s">
        <v>258</v>
      </c>
      <c r="C167">
        <v>156</v>
      </c>
      <c r="D167">
        <v>8.7000000000000011</v>
      </c>
      <c r="E167">
        <v>8</v>
      </c>
      <c r="F167">
        <v>34</v>
      </c>
      <c r="G167" t="str">
        <f>_xlfn.XLOOKUP(A167,Matches!A:A,Matches!L:L,"")</f>
        <v>GGTW</v>
      </c>
      <c r="H167">
        <f t="shared" si="3"/>
        <v>1</v>
      </c>
    </row>
    <row r="168" spans="1:8" x14ac:dyDescent="0.3">
      <c r="A168" t="s">
        <v>618</v>
      </c>
      <c r="B168" t="s">
        <v>159</v>
      </c>
      <c r="C168">
        <v>145</v>
      </c>
      <c r="D168">
        <v>11.159999999999998</v>
      </c>
      <c r="E168">
        <v>8</v>
      </c>
      <c r="F168">
        <v>20</v>
      </c>
      <c r="G168" t="str">
        <f>_xlfn.XLOOKUP(A168,Matches!A:A,Matches!L:L,"")</f>
        <v>RCBW</v>
      </c>
      <c r="H168">
        <f t="shared" si="3"/>
        <v>1</v>
      </c>
    </row>
    <row r="169" spans="1:8" x14ac:dyDescent="0.3">
      <c r="A169" t="s">
        <v>618</v>
      </c>
      <c r="B169" t="s">
        <v>219</v>
      </c>
      <c r="C169">
        <v>134</v>
      </c>
      <c r="D169">
        <v>7.15</v>
      </c>
      <c r="E169">
        <v>2</v>
      </c>
      <c r="F169">
        <v>30</v>
      </c>
      <c r="G169" t="str">
        <f>_xlfn.XLOOKUP(A169,Matches!A:A,Matches!L:L,"")</f>
        <v>RCBW</v>
      </c>
      <c r="H169">
        <f t="shared" si="3"/>
        <v>0</v>
      </c>
    </row>
    <row r="170" spans="1:8" x14ac:dyDescent="0.3">
      <c r="A170" t="s">
        <v>619</v>
      </c>
      <c r="B170" t="s">
        <v>258</v>
      </c>
      <c r="C170">
        <v>158</v>
      </c>
      <c r="D170">
        <v>8.3499999999999979</v>
      </c>
      <c r="E170">
        <v>7</v>
      </c>
      <c r="F170">
        <v>33</v>
      </c>
      <c r="G170" t="str">
        <f>_xlfn.XLOOKUP(A170,Matches!A:A,Matches!L:L,"")</f>
        <v>GGTW</v>
      </c>
      <c r="H170">
        <f t="shared" si="3"/>
        <v>1</v>
      </c>
    </row>
    <row r="171" spans="1:8" x14ac:dyDescent="0.3">
      <c r="A171" t="s">
        <v>619</v>
      </c>
      <c r="B171" t="s">
        <v>266</v>
      </c>
      <c r="C171">
        <v>152</v>
      </c>
      <c r="D171">
        <v>7.799999999999998</v>
      </c>
      <c r="E171">
        <v>4</v>
      </c>
      <c r="F171">
        <v>34</v>
      </c>
      <c r="G171" t="str">
        <f>_xlfn.XLOOKUP(A171,Matches!A:A,Matches!L:L,"")</f>
        <v>GGTW</v>
      </c>
      <c r="H171">
        <f t="shared" si="3"/>
        <v>0</v>
      </c>
    </row>
    <row r="172" spans="1:8" x14ac:dyDescent="0.3">
      <c r="A172" t="s">
        <v>620</v>
      </c>
      <c r="B172" t="s">
        <v>158</v>
      </c>
      <c r="C172">
        <v>125</v>
      </c>
      <c r="D172">
        <v>6.75</v>
      </c>
      <c r="E172">
        <v>8</v>
      </c>
      <c r="F172">
        <v>29</v>
      </c>
      <c r="G172" t="str">
        <f>_xlfn.XLOOKUP(A172,Matches!A:A,Matches!L:L,"")</f>
        <v>DCW</v>
      </c>
      <c r="H172">
        <f t="shared" si="3"/>
        <v>1</v>
      </c>
    </row>
    <row r="173" spans="1:8" x14ac:dyDescent="0.3">
      <c r="A173" t="s">
        <v>620</v>
      </c>
      <c r="B173" t="s">
        <v>219</v>
      </c>
      <c r="C173">
        <v>121</v>
      </c>
      <c r="D173">
        <v>6.1000000000000005</v>
      </c>
      <c r="E173">
        <v>5</v>
      </c>
      <c r="F173">
        <v>35</v>
      </c>
      <c r="G173" t="str">
        <f>_xlfn.XLOOKUP(A173,Matches!A:A,Matches!L:L,"")</f>
        <v>DCW</v>
      </c>
      <c r="H173">
        <f t="shared" si="3"/>
        <v>0</v>
      </c>
    </row>
    <row r="174" spans="1:8" x14ac:dyDescent="0.3">
      <c r="A174" t="s">
        <v>621</v>
      </c>
      <c r="B174" t="s">
        <v>158</v>
      </c>
      <c r="C174">
        <v>151</v>
      </c>
      <c r="D174">
        <v>10.789999999999997</v>
      </c>
      <c r="E174">
        <v>6</v>
      </c>
      <c r="F174">
        <v>23</v>
      </c>
      <c r="G174" t="str">
        <f>_xlfn.XLOOKUP(A174,Matches!A:A,Matches!L:L,"")</f>
        <v>DCW</v>
      </c>
      <c r="H174">
        <f t="shared" si="3"/>
        <v>1</v>
      </c>
    </row>
    <row r="175" spans="1:8" x14ac:dyDescent="0.3">
      <c r="A175" t="s">
        <v>621</v>
      </c>
      <c r="B175" t="s">
        <v>258</v>
      </c>
      <c r="C175">
        <v>143</v>
      </c>
      <c r="D175">
        <v>8.4000000000000021</v>
      </c>
      <c r="E175">
        <v>3</v>
      </c>
      <c r="F175">
        <v>28</v>
      </c>
      <c r="G175" t="str">
        <f>_xlfn.XLOOKUP(A175,Matches!A:A,Matches!L:L,"")</f>
        <v>DCW</v>
      </c>
      <c r="H175">
        <f t="shared" si="3"/>
        <v>0</v>
      </c>
    </row>
    <row r="176" spans="1:8" x14ac:dyDescent="0.3">
      <c r="A176" t="s">
        <v>622</v>
      </c>
      <c r="B176" t="s">
        <v>158</v>
      </c>
      <c r="C176">
        <v>193</v>
      </c>
      <c r="D176">
        <v>10.150000000000002</v>
      </c>
      <c r="E176">
        <v>4</v>
      </c>
      <c r="F176">
        <v>27</v>
      </c>
      <c r="G176" t="str">
        <f>_xlfn.XLOOKUP(A176,Matches!A:A,Matches!L:L,"")</f>
        <v>RCBW</v>
      </c>
      <c r="H176">
        <f t="shared" si="3"/>
        <v>0</v>
      </c>
    </row>
    <row r="177" spans="1:8" x14ac:dyDescent="0.3">
      <c r="A177" t="s">
        <v>622</v>
      </c>
      <c r="B177" t="s">
        <v>159</v>
      </c>
      <c r="C177">
        <v>200</v>
      </c>
      <c r="D177">
        <v>10.370000000000001</v>
      </c>
      <c r="E177">
        <v>3</v>
      </c>
      <c r="F177">
        <v>24</v>
      </c>
      <c r="G177" t="str">
        <f>_xlfn.XLOOKUP(A177,Matches!A:A,Matches!L:L,"")</f>
        <v>RCBW</v>
      </c>
      <c r="H177">
        <f t="shared" si="3"/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74A38-D208-4FAF-8966-F5C24DF9690A}">
  <dimension ref="A1:AG1936"/>
  <sheetViews>
    <sheetView topLeftCell="M1910" zoomScale="99" workbookViewId="0">
      <selection activeCell="V1" sqref="V1:V1936"/>
    </sheetView>
  </sheetViews>
  <sheetFormatPr defaultRowHeight="14.4" x14ac:dyDescent="0.3"/>
  <cols>
    <col min="1" max="1" width="12" bestFit="1" customWidth="1"/>
    <col min="2" max="2" width="6.77734375" bestFit="1" customWidth="1"/>
    <col min="3" max="3" width="8.44140625" bestFit="1" customWidth="1"/>
    <col min="4" max="4" width="20.44140625" bestFit="1" customWidth="1"/>
    <col min="5" max="5" width="6.21875" bestFit="1" customWidth="1"/>
    <col min="6" max="6" width="16.6640625" bestFit="1" customWidth="1"/>
    <col min="7" max="7" width="13.44140625" bestFit="1" customWidth="1"/>
    <col min="8" max="8" width="11.109375" bestFit="1" customWidth="1"/>
    <col min="9" max="9" width="10.21875" bestFit="1" customWidth="1"/>
    <col min="10" max="10" width="9.77734375" bestFit="1" customWidth="1"/>
    <col min="11" max="11" width="12.88671875" bestFit="1" customWidth="1"/>
    <col min="12" max="12" width="18.88671875" bestFit="1" customWidth="1"/>
    <col min="13" max="13" width="12.44140625" bestFit="1" customWidth="1"/>
    <col min="14" max="14" width="7.88671875" bestFit="1" customWidth="1"/>
    <col min="15" max="15" width="13.44140625" bestFit="1" customWidth="1"/>
    <col min="16" max="16" width="12.6640625" bestFit="1" customWidth="1"/>
    <col min="17" max="17" width="8.5546875" bestFit="1" customWidth="1"/>
    <col min="18" max="18" width="19.5546875" bestFit="1" customWidth="1"/>
    <col min="19" max="19" width="7.21875" bestFit="1" customWidth="1"/>
    <col min="20" max="20" width="7.44140625" bestFit="1" customWidth="1"/>
    <col min="21" max="21" width="17.6640625" style="8" bestFit="1" customWidth="1"/>
    <col min="22" max="22" width="18" style="8" bestFit="1" customWidth="1"/>
    <col min="23" max="24" width="11.33203125" bestFit="1" customWidth="1"/>
    <col min="25" max="25" width="51.33203125" bestFit="1" customWidth="1"/>
    <col min="26" max="26" width="15.77734375" bestFit="1" customWidth="1"/>
    <col min="27" max="27" width="8.44140625" bestFit="1" customWidth="1"/>
    <col min="28" max="28" width="14.44140625" bestFit="1" customWidth="1"/>
    <col min="29" max="29" width="14.33203125" bestFit="1" customWidth="1"/>
    <col min="30" max="30" width="8.6640625" bestFit="1" customWidth="1"/>
    <col min="31" max="31" width="13.21875" bestFit="1" customWidth="1"/>
  </cols>
  <sheetData>
    <row r="1" spans="1:33" x14ac:dyDescent="0.3">
      <c r="A1" t="s">
        <v>4</v>
      </c>
      <c r="B1" t="s">
        <v>3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s="8" t="s">
        <v>79</v>
      </c>
      <c r="V1" s="8" t="s">
        <v>80</v>
      </c>
      <c r="W1" t="s">
        <v>9</v>
      </c>
      <c r="X1" t="s">
        <v>7</v>
      </c>
      <c r="Y1" s="9" t="s">
        <v>1</v>
      </c>
      <c r="Z1" t="s">
        <v>700</v>
      </c>
      <c r="AA1" t="s">
        <v>701</v>
      </c>
      <c r="AB1" t="s">
        <v>45</v>
      </c>
      <c r="AC1" t="s">
        <v>702</v>
      </c>
      <c r="AD1" t="s">
        <v>52</v>
      </c>
      <c r="AE1" s="9" t="s">
        <v>703</v>
      </c>
      <c r="AF1" t="s">
        <v>704</v>
      </c>
      <c r="AG1" t="s">
        <v>705</v>
      </c>
    </row>
    <row r="2" spans="1:33" x14ac:dyDescent="0.3">
      <c r="A2" t="s">
        <v>19</v>
      </c>
      <c r="B2">
        <v>1</v>
      </c>
      <c r="C2" t="s">
        <v>81</v>
      </c>
      <c r="D2" t="s">
        <v>114</v>
      </c>
      <c r="E2" t="s">
        <v>258</v>
      </c>
      <c r="F2" t="s">
        <v>85</v>
      </c>
      <c r="G2" t="s">
        <v>86</v>
      </c>
      <c r="H2">
        <v>0</v>
      </c>
      <c r="I2">
        <v>3</v>
      </c>
      <c r="J2">
        <v>0</v>
      </c>
      <c r="K2" t="s">
        <v>133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s="8">
        <v>0</v>
      </c>
      <c r="V2" s="8">
        <f>MIN(10, MAX(0, ROUND(U2/10,0)))</f>
        <v>0</v>
      </c>
      <c r="W2" t="str">
        <f>_xlfn.XLOOKUP(A2, Matches!A:A, Matches!L:L, "NA", 0)</f>
        <v>MIW</v>
      </c>
      <c r="X2" t="str">
        <f>_xlfn.XLOOKUP(A2, Matches!A:A, Matches!J:J, "NA", 0)</f>
        <v>GGTW</v>
      </c>
      <c r="Y2" t="str">
        <f>_xlfn.XLOOKUP(A2, Matches!A:A, Matches!F:F, "NA", 0)</f>
        <v>Dr.DY Patil Sports</v>
      </c>
      <c r="Z2" cm="1">
        <f t="array" ref="Z2">INDEX(Innings!F:F,MATCH(1,(TRIM(Innings!A:A)=TRIM(A2))*(TRIM(Innings!D:D)=TRIM(E2)),0))</f>
        <v>64</v>
      </c>
      <c r="AA2" cm="1">
        <f t="array" ref="AA2">INDEX(Innings!I:I,MATCH(1,(TRIM(Innings!A:A)=TRIM(A2))*(TRIM(Innings!D:D)=TRIM(E2)),0))</f>
        <v>4.22</v>
      </c>
      <c r="AB2" cm="1">
        <f t="array" ref="AB2">INDEX(Innings!J:J,MATCH(1,(TRIM(Innings!A:A)=TRIM(A2))*(TRIM(Innings!D:D)=TRIM(E2)),0))</f>
        <v>17</v>
      </c>
      <c r="AC2" cm="1">
        <f t="array" ref="AC2">INDEX(Innings!N:N,MATCH(1,(TRIM(Innings!A:A)=TRIM(A2))*(TRIM(Innings!D:D)=TRIM(E2)),0))</f>
        <v>0</v>
      </c>
      <c r="AD2" cm="1">
        <f t="array" ref="AD2">INDEX(Innings!S:S,MATCH(1,(TRIM(Innings!A:A)=TRIM(A2))*(TRIM(Innings!D:D)=TRIM(E2)),0))</f>
        <v>62</v>
      </c>
      <c r="AE2" t="str" cm="1">
        <f t="array" ref="AE2">INDEX(Innings!W:W,MATCH(1,(TRIM(Innings!A:A)=TRIM(A2))*(TRIM(Innings!D:D)=TRIM(E2)),0))</f>
        <v>Failed</v>
      </c>
      <c r="AF2">
        <f>IF(UPPER(TRIM(E2))=UPPER(TRIM(W2)),1,0)</f>
        <v>0</v>
      </c>
      <c r="AG2">
        <f>(0.5*MAX(0,U2) + 0.3*MAX(0,V2) + 0.2*AF2*100)</f>
        <v>0</v>
      </c>
    </row>
    <row r="3" spans="1:33" x14ac:dyDescent="0.3">
      <c r="A3" t="s">
        <v>19</v>
      </c>
      <c r="B3">
        <v>1</v>
      </c>
      <c r="C3" t="s">
        <v>87</v>
      </c>
      <c r="D3" t="s">
        <v>82</v>
      </c>
      <c r="E3" t="s">
        <v>258</v>
      </c>
      <c r="F3" t="s">
        <v>109</v>
      </c>
      <c r="G3" t="s">
        <v>86</v>
      </c>
      <c r="H3">
        <v>2</v>
      </c>
      <c r="I3">
        <v>4</v>
      </c>
      <c r="J3">
        <v>50</v>
      </c>
      <c r="K3" t="s">
        <v>245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s="8">
        <v>1</v>
      </c>
      <c r="V3" s="8">
        <f t="shared" ref="V3:V66" si="0">MIN(10, MAX(0, ROUND(U3/10,0)))</f>
        <v>0</v>
      </c>
      <c r="W3" t="str">
        <f>_xlfn.XLOOKUP(A3, Matches!A:A, Matches!L:L, "NA", 0)</f>
        <v>MIW</v>
      </c>
      <c r="X3" t="str">
        <f>_xlfn.XLOOKUP(A3, Matches!A:A, Matches!J:J, "NA", 0)</f>
        <v>GGTW</v>
      </c>
      <c r="Y3" t="str">
        <f>_xlfn.XLOOKUP(A3, Matches!A:A, Matches!F:F, "NA", 0)</f>
        <v>Dr.DY Patil Sports</v>
      </c>
      <c r="Z3" cm="1">
        <f t="array" ref="Z3">INDEX(Innings!F:F,MATCH(1,(TRIM(Innings!A:A)=TRIM(A3))*(TRIM(Innings!D:D)=TRIM(E3)),0))</f>
        <v>64</v>
      </c>
      <c r="AA3" cm="1">
        <f t="array" ref="AA3">INDEX(Innings!I:I,MATCH(1,(TRIM(Innings!A:A)=TRIM(A3))*(TRIM(Innings!D:D)=TRIM(E3)),0))</f>
        <v>4.22</v>
      </c>
      <c r="AB3" cm="1">
        <f t="array" ref="AB3">INDEX(Innings!J:J,MATCH(1,(TRIM(Innings!A:A)=TRIM(A3))*(TRIM(Innings!D:D)=TRIM(E3)),0))</f>
        <v>17</v>
      </c>
      <c r="AC3" cm="1">
        <f t="array" ref="AC3">INDEX(Innings!N:N,MATCH(1,(TRIM(Innings!A:A)=TRIM(A3))*(TRIM(Innings!D:D)=TRIM(E3)),0))</f>
        <v>0</v>
      </c>
      <c r="AD3" cm="1">
        <f t="array" ref="AD3">INDEX(Innings!S:S,MATCH(1,(TRIM(Innings!A:A)=TRIM(A3))*(TRIM(Innings!D:D)=TRIM(E3)),0))</f>
        <v>62</v>
      </c>
      <c r="AE3" t="str" cm="1">
        <f t="array" ref="AE3">INDEX(Innings!W:W,MATCH(1,(TRIM(Innings!A:A)=TRIM(A3))*(TRIM(Innings!D:D)=TRIM(E3)),0))</f>
        <v>Failed</v>
      </c>
      <c r="AF3">
        <f>IF(UPPER(TRIM(E3))=UPPER(TRIM(W3)),1,0)</f>
        <v>0</v>
      </c>
      <c r="AG3">
        <f t="shared" ref="AG3:AG66" si="1">(0.5*MAX(0,U3) + 0.3*MAX(0,V3) + 0.2*AF3*100)</f>
        <v>0.5</v>
      </c>
    </row>
    <row r="4" spans="1:33" x14ac:dyDescent="0.3">
      <c r="A4" t="s">
        <v>19</v>
      </c>
      <c r="B4">
        <v>1</v>
      </c>
      <c r="C4" t="s">
        <v>89</v>
      </c>
      <c r="D4" t="s">
        <v>116</v>
      </c>
      <c r="E4" t="s">
        <v>258</v>
      </c>
      <c r="F4" t="s">
        <v>83</v>
      </c>
      <c r="G4" t="s">
        <v>92</v>
      </c>
      <c r="H4">
        <v>0</v>
      </c>
      <c r="I4">
        <v>2</v>
      </c>
      <c r="J4">
        <v>0</v>
      </c>
      <c r="K4" t="s">
        <v>246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s="8">
        <v>0</v>
      </c>
      <c r="V4" s="8">
        <f t="shared" si="0"/>
        <v>0</v>
      </c>
      <c r="W4" t="str">
        <f>_xlfn.XLOOKUP(A4, Matches!A:A, Matches!L:L, "NA", 0)</f>
        <v>MIW</v>
      </c>
      <c r="X4" t="str">
        <f>_xlfn.XLOOKUP(A4, Matches!A:A, Matches!J:J, "NA", 0)</f>
        <v>GGTW</v>
      </c>
      <c r="Y4" t="str">
        <f>_xlfn.XLOOKUP(A4, Matches!A:A, Matches!F:F, "NA", 0)</f>
        <v>Dr.DY Patil Sports</v>
      </c>
      <c r="Z4" cm="1">
        <f t="array" ref="Z4">INDEX(Innings!F:F,MATCH(1,(TRIM(Innings!A:A)=TRIM(A4))*(TRIM(Innings!D:D)=TRIM(E4)),0))</f>
        <v>64</v>
      </c>
      <c r="AA4" cm="1">
        <f t="array" ref="AA4">INDEX(Innings!I:I,MATCH(1,(TRIM(Innings!A:A)=TRIM(A4))*(TRIM(Innings!D:D)=TRIM(E4)),0))</f>
        <v>4.22</v>
      </c>
      <c r="AB4" cm="1">
        <f t="array" ref="AB4">INDEX(Innings!J:J,MATCH(1,(TRIM(Innings!A:A)=TRIM(A4))*(TRIM(Innings!D:D)=TRIM(E4)),0))</f>
        <v>17</v>
      </c>
      <c r="AC4" cm="1">
        <f t="array" ref="AC4">INDEX(Innings!N:N,MATCH(1,(TRIM(Innings!A:A)=TRIM(A4))*(TRIM(Innings!D:D)=TRIM(E4)),0))</f>
        <v>0</v>
      </c>
      <c r="AD4" cm="1">
        <f t="array" ref="AD4">INDEX(Innings!S:S,MATCH(1,(TRIM(Innings!A:A)=TRIM(A4))*(TRIM(Innings!D:D)=TRIM(E4)),0))</f>
        <v>62</v>
      </c>
      <c r="AE4" t="str" cm="1">
        <f t="array" ref="AE4">INDEX(Innings!W:W,MATCH(1,(TRIM(Innings!A:A)=TRIM(A4))*(TRIM(Innings!D:D)=TRIM(E4)),0))</f>
        <v>Failed</v>
      </c>
      <c r="AF4">
        <f>IF(UPPER(TRIM(E4))=UPPER(TRIM(W4)),1,0)</f>
        <v>0</v>
      </c>
      <c r="AG4">
        <f t="shared" si="1"/>
        <v>0</v>
      </c>
    </row>
    <row r="5" spans="1:33" x14ac:dyDescent="0.3">
      <c r="A5" t="s">
        <v>19</v>
      </c>
      <c r="B5">
        <v>1</v>
      </c>
      <c r="C5" t="s">
        <v>93</v>
      </c>
      <c r="D5" t="s">
        <v>118</v>
      </c>
      <c r="E5" t="s">
        <v>258</v>
      </c>
      <c r="F5" t="s">
        <v>83</v>
      </c>
      <c r="G5" t="s">
        <v>134</v>
      </c>
      <c r="H5">
        <v>0</v>
      </c>
      <c r="I5">
        <v>1</v>
      </c>
      <c r="J5">
        <v>0</v>
      </c>
      <c r="K5" t="s">
        <v>246</v>
      </c>
      <c r="L5">
        <v>0</v>
      </c>
      <c r="M5">
        <v>4</v>
      </c>
      <c r="N5">
        <v>0</v>
      </c>
      <c r="O5">
        <v>38</v>
      </c>
      <c r="P5">
        <v>1</v>
      </c>
      <c r="Q5">
        <v>9.5</v>
      </c>
      <c r="R5">
        <v>6</v>
      </c>
      <c r="S5">
        <v>0</v>
      </c>
      <c r="T5">
        <v>0</v>
      </c>
      <c r="U5" s="8">
        <v>6</v>
      </c>
      <c r="V5" s="8">
        <f t="shared" si="0"/>
        <v>1</v>
      </c>
      <c r="W5" t="str">
        <f>_xlfn.XLOOKUP(A5, Matches!A:A, Matches!L:L, "NA", 0)</f>
        <v>MIW</v>
      </c>
      <c r="X5" t="str">
        <f>_xlfn.XLOOKUP(A5, Matches!A:A, Matches!J:J, "NA", 0)</f>
        <v>GGTW</v>
      </c>
      <c r="Y5" t="str">
        <f>_xlfn.XLOOKUP(A5, Matches!A:A, Matches!F:F, "NA", 0)</f>
        <v>Dr.DY Patil Sports</v>
      </c>
      <c r="Z5" cm="1">
        <f t="array" ref="Z5">INDEX(Innings!F:F,MATCH(1,(TRIM(Innings!A:A)=TRIM(A5))*(TRIM(Innings!D:D)=TRIM(E5)),0))</f>
        <v>64</v>
      </c>
      <c r="AA5" cm="1">
        <f t="array" ref="AA5">INDEX(Innings!I:I,MATCH(1,(TRIM(Innings!A:A)=TRIM(A5))*(TRIM(Innings!D:D)=TRIM(E5)),0))</f>
        <v>4.22</v>
      </c>
      <c r="AB5" cm="1">
        <f t="array" ref="AB5">INDEX(Innings!J:J,MATCH(1,(TRIM(Innings!A:A)=TRIM(A5))*(TRIM(Innings!D:D)=TRIM(E5)),0))</f>
        <v>17</v>
      </c>
      <c r="AC5" cm="1">
        <f t="array" ref="AC5">INDEX(Innings!N:N,MATCH(1,(TRIM(Innings!A:A)=TRIM(A5))*(TRIM(Innings!D:D)=TRIM(E5)),0))</f>
        <v>0</v>
      </c>
      <c r="AD5" cm="1">
        <f t="array" ref="AD5">INDEX(Innings!S:S,MATCH(1,(TRIM(Innings!A:A)=TRIM(A5))*(TRIM(Innings!D:D)=TRIM(E5)),0))</f>
        <v>62</v>
      </c>
      <c r="AE5" t="str" cm="1">
        <f t="array" ref="AE5">INDEX(Innings!W:W,MATCH(1,(TRIM(Innings!A:A)=TRIM(A5))*(TRIM(Innings!D:D)=TRIM(E5)),0))</f>
        <v>Failed</v>
      </c>
      <c r="AF5">
        <f>IF(UPPER(TRIM(E5))=UPPER(TRIM(W5)),1,0)</f>
        <v>0</v>
      </c>
      <c r="AG5">
        <f t="shared" si="1"/>
        <v>3.3</v>
      </c>
    </row>
    <row r="6" spans="1:33" x14ac:dyDescent="0.3">
      <c r="A6" t="s">
        <v>19</v>
      </c>
      <c r="B6">
        <v>1</v>
      </c>
      <c r="C6" t="s">
        <v>94</v>
      </c>
      <c r="D6" t="s">
        <v>120</v>
      </c>
      <c r="E6" t="s">
        <v>258</v>
      </c>
      <c r="F6" t="s">
        <v>91</v>
      </c>
      <c r="G6" t="s">
        <v>134</v>
      </c>
      <c r="H6">
        <v>6</v>
      </c>
      <c r="I6">
        <v>14</v>
      </c>
      <c r="J6">
        <v>42.86</v>
      </c>
      <c r="K6" t="s">
        <v>245</v>
      </c>
      <c r="L6">
        <v>2.57</v>
      </c>
      <c r="M6">
        <v>3</v>
      </c>
      <c r="N6">
        <v>0</v>
      </c>
      <c r="O6">
        <v>32</v>
      </c>
      <c r="P6">
        <v>0</v>
      </c>
      <c r="Q6">
        <v>10.7</v>
      </c>
      <c r="R6">
        <v>-21.4</v>
      </c>
      <c r="S6">
        <v>0</v>
      </c>
      <c r="T6">
        <v>0</v>
      </c>
      <c r="U6" s="8">
        <v>-18.829999999999998</v>
      </c>
      <c r="V6" s="8">
        <f t="shared" si="0"/>
        <v>0</v>
      </c>
      <c r="W6" t="str">
        <f>_xlfn.XLOOKUP(A6, Matches!A:A, Matches!L:L, "NA", 0)</f>
        <v>MIW</v>
      </c>
      <c r="X6" t="str">
        <f>_xlfn.XLOOKUP(A6, Matches!A:A, Matches!J:J, "NA", 0)</f>
        <v>GGTW</v>
      </c>
      <c r="Y6" t="str">
        <f>_xlfn.XLOOKUP(A6, Matches!A:A, Matches!F:F, "NA", 0)</f>
        <v>Dr.DY Patil Sports</v>
      </c>
      <c r="Z6" cm="1">
        <f t="array" ref="Z6">INDEX(Innings!F:F,MATCH(1,(TRIM(Innings!A:A)=TRIM(A6))*(TRIM(Innings!D:D)=TRIM(E6)),0))</f>
        <v>64</v>
      </c>
      <c r="AA6" cm="1">
        <f t="array" ref="AA6">INDEX(Innings!I:I,MATCH(1,(TRIM(Innings!A:A)=TRIM(A6))*(TRIM(Innings!D:D)=TRIM(E6)),0))</f>
        <v>4.22</v>
      </c>
      <c r="AB6" cm="1">
        <f t="array" ref="AB6">INDEX(Innings!J:J,MATCH(1,(TRIM(Innings!A:A)=TRIM(A6))*(TRIM(Innings!D:D)=TRIM(E6)),0))</f>
        <v>17</v>
      </c>
      <c r="AC6" cm="1">
        <f t="array" ref="AC6">INDEX(Innings!N:N,MATCH(1,(TRIM(Innings!A:A)=TRIM(A6))*(TRIM(Innings!D:D)=TRIM(E6)),0))</f>
        <v>0</v>
      </c>
      <c r="AD6" cm="1">
        <f t="array" ref="AD6">INDEX(Innings!S:S,MATCH(1,(TRIM(Innings!A:A)=TRIM(A6))*(TRIM(Innings!D:D)=TRIM(E6)),0))</f>
        <v>62</v>
      </c>
      <c r="AE6" t="str" cm="1">
        <f t="array" ref="AE6">INDEX(Innings!W:W,MATCH(1,(TRIM(Innings!A:A)=TRIM(A6))*(TRIM(Innings!D:D)=TRIM(E6)),0))</f>
        <v>Failed</v>
      </c>
      <c r="AF6">
        <f>IF(UPPER(TRIM(E6))=UPPER(TRIM(W6)),1,0)</f>
        <v>0</v>
      </c>
      <c r="AG6">
        <f t="shared" si="1"/>
        <v>0</v>
      </c>
    </row>
    <row r="7" spans="1:33" x14ac:dyDescent="0.3">
      <c r="A7" t="s">
        <v>19</v>
      </c>
      <c r="B7">
        <v>1</v>
      </c>
      <c r="C7" t="s">
        <v>97</v>
      </c>
      <c r="D7" t="s">
        <v>122</v>
      </c>
      <c r="E7" t="s">
        <v>258</v>
      </c>
      <c r="F7" t="s">
        <v>109</v>
      </c>
      <c r="G7" t="s">
        <v>134</v>
      </c>
      <c r="H7">
        <v>29</v>
      </c>
      <c r="I7">
        <v>23</v>
      </c>
      <c r="J7">
        <v>126.09</v>
      </c>
      <c r="K7" t="s">
        <v>96</v>
      </c>
      <c r="L7">
        <v>36.57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s="8">
        <v>36.57</v>
      </c>
      <c r="V7" s="8">
        <f t="shared" si="0"/>
        <v>4</v>
      </c>
      <c r="W7" t="str">
        <f>_xlfn.XLOOKUP(A7, Matches!A:A, Matches!L:L, "NA", 0)</f>
        <v>MIW</v>
      </c>
      <c r="X7" t="str">
        <f>_xlfn.XLOOKUP(A7, Matches!A:A, Matches!J:J, "NA", 0)</f>
        <v>GGTW</v>
      </c>
      <c r="Y7" t="str">
        <f>_xlfn.XLOOKUP(A7, Matches!A:A, Matches!F:F, "NA", 0)</f>
        <v>Dr.DY Patil Sports</v>
      </c>
      <c r="Z7" cm="1">
        <f t="array" ref="Z7">INDEX(Innings!F:F,MATCH(1,(TRIM(Innings!A:A)=TRIM(A7))*(TRIM(Innings!D:D)=TRIM(E7)),0))</f>
        <v>64</v>
      </c>
      <c r="AA7" cm="1">
        <f t="array" ref="AA7">INDEX(Innings!I:I,MATCH(1,(TRIM(Innings!A:A)=TRIM(A7))*(TRIM(Innings!D:D)=TRIM(E7)),0))</f>
        <v>4.22</v>
      </c>
      <c r="AB7" cm="1">
        <f t="array" ref="AB7">INDEX(Innings!J:J,MATCH(1,(TRIM(Innings!A:A)=TRIM(A7))*(TRIM(Innings!D:D)=TRIM(E7)),0))</f>
        <v>17</v>
      </c>
      <c r="AC7" cm="1">
        <f t="array" ref="AC7">INDEX(Innings!N:N,MATCH(1,(TRIM(Innings!A:A)=TRIM(A7))*(TRIM(Innings!D:D)=TRIM(E7)),0))</f>
        <v>0</v>
      </c>
      <c r="AD7" cm="1">
        <f t="array" ref="AD7">INDEX(Innings!S:S,MATCH(1,(TRIM(Innings!A:A)=TRIM(A7))*(TRIM(Innings!D:D)=TRIM(E7)),0))</f>
        <v>62</v>
      </c>
      <c r="AE7" t="str" cm="1">
        <f t="array" ref="AE7">INDEX(Innings!W:W,MATCH(1,(TRIM(Innings!A:A)=TRIM(A7))*(TRIM(Innings!D:D)=TRIM(E7)),0))</f>
        <v>Failed</v>
      </c>
      <c r="AF7">
        <f>IF(UPPER(TRIM(E7))=UPPER(TRIM(W7)),1,0)</f>
        <v>0</v>
      </c>
      <c r="AG7">
        <f t="shared" si="1"/>
        <v>19.484999999999999</v>
      </c>
    </row>
    <row r="8" spans="1:33" x14ac:dyDescent="0.3">
      <c r="A8" t="s">
        <v>19</v>
      </c>
      <c r="B8">
        <v>1</v>
      </c>
      <c r="C8" t="s">
        <v>99</v>
      </c>
      <c r="D8" t="s">
        <v>124</v>
      </c>
      <c r="E8" t="s">
        <v>258</v>
      </c>
      <c r="F8" t="s">
        <v>101</v>
      </c>
      <c r="G8" t="s">
        <v>135</v>
      </c>
      <c r="H8">
        <v>8</v>
      </c>
      <c r="I8">
        <v>11</v>
      </c>
      <c r="J8">
        <v>72.73</v>
      </c>
      <c r="K8" t="s">
        <v>245</v>
      </c>
      <c r="L8">
        <v>5.82</v>
      </c>
      <c r="M8">
        <v>3</v>
      </c>
      <c r="N8">
        <v>0</v>
      </c>
      <c r="O8">
        <v>30</v>
      </c>
      <c r="P8">
        <v>1</v>
      </c>
      <c r="Q8">
        <v>10</v>
      </c>
      <c r="R8">
        <v>5</v>
      </c>
      <c r="S8">
        <v>0</v>
      </c>
      <c r="T8">
        <v>0</v>
      </c>
      <c r="U8" s="8">
        <v>10.82</v>
      </c>
      <c r="V8" s="8">
        <f t="shared" si="0"/>
        <v>1</v>
      </c>
      <c r="W8" t="str">
        <f>_xlfn.XLOOKUP(A8, Matches!A:A, Matches!L:L, "NA", 0)</f>
        <v>MIW</v>
      </c>
      <c r="X8" t="str">
        <f>_xlfn.XLOOKUP(A8, Matches!A:A, Matches!J:J, "NA", 0)</f>
        <v>GGTW</v>
      </c>
      <c r="Y8" t="str">
        <f>_xlfn.XLOOKUP(A8, Matches!A:A, Matches!F:F, "NA", 0)</f>
        <v>Dr.DY Patil Sports</v>
      </c>
      <c r="Z8" cm="1">
        <f t="array" ref="Z8">INDEX(Innings!F:F,MATCH(1,(TRIM(Innings!A:A)=TRIM(A8))*(TRIM(Innings!D:D)=TRIM(E8)),0))</f>
        <v>64</v>
      </c>
      <c r="AA8" cm="1">
        <f t="array" ref="AA8">INDEX(Innings!I:I,MATCH(1,(TRIM(Innings!A:A)=TRIM(A8))*(TRIM(Innings!D:D)=TRIM(E8)),0))</f>
        <v>4.22</v>
      </c>
      <c r="AB8" cm="1">
        <f t="array" ref="AB8">INDEX(Innings!J:J,MATCH(1,(TRIM(Innings!A:A)=TRIM(A8))*(TRIM(Innings!D:D)=TRIM(E8)),0))</f>
        <v>17</v>
      </c>
      <c r="AC8" cm="1">
        <f t="array" ref="AC8">INDEX(Innings!N:N,MATCH(1,(TRIM(Innings!A:A)=TRIM(A8))*(TRIM(Innings!D:D)=TRIM(E8)),0))</f>
        <v>0</v>
      </c>
      <c r="AD8" cm="1">
        <f t="array" ref="AD8">INDEX(Innings!S:S,MATCH(1,(TRIM(Innings!A:A)=TRIM(A8))*(TRIM(Innings!D:D)=TRIM(E8)),0))</f>
        <v>62</v>
      </c>
      <c r="AE8" t="str" cm="1">
        <f t="array" ref="AE8">INDEX(Innings!W:W,MATCH(1,(TRIM(Innings!A:A)=TRIM(A8))*(TRIM(Innings!D:D)=TRIM(E8)),0))</f>
        <v>Failed</v>
      </c>
      <c r="AF8">
        <f>IF(UPPER(TRIM(E8))=UPPER(TRIM(W8)),1,0)</f>
        <v>0</v>
      </c>
      <c r="AG8">
        <f t="shared" si="1"/>
        <v>5.71</v>
      </c>
    </row>
    <row r="9" spans="1:33" x14ac:dyDescent="0.3">
      <c r="A9" t="s">
        <v>19</v>
      </c>
      <c r="B9">
        <v>1</v>
      </c>
      <c r="C9" t="s">
        <v>102</v>
      </c>
      <c r="D9" t="s">
        <v>126</v>
      </c>
      <c r="E9" t="s">
        <v>258</v>
      </c>
      <c r="F9" t="s">
        <v>91</v>
      </c>
      <c r="G9" t="s">
        <v>134</v>
      </c>
      <c r="H9">
        <v>1</v>
      </c>
      <c r="I9">
        <v>2</v>
      </c>
      <c r="J9">
        <v>50</v>
      </c>
      <c r="K9" t="s">
        <v>247</v>
      </c>
      <c r="L9">
        <v>0.5</v>
      </c>
      <c r="M9">
        <v>4</v>
      </c>
      <c r="N9">
        <v>0</v>
      </c>
      <c r="O9">
        <v>43</v>
      </c>
      <c r="P9">
        <v>2</v>
      </c>
      <c r="Q9">
        <v>10.8</v>
      </c>
      <c r="R9">
        <v>28.4</v>
      </c>
      <c r="S9">
        <v>0</v>
      </c>
      <c r="T9">
        <v>0</v>
      </c>
      <c r="U9" s="8">
        <v>28.9</v>
      </c>
      <c r="V9" s="8">
        <f t="shared" si="0"/>
        <v>3</v>
      </c>
      <c r="W9" t="str">
        <f>_xlfn.XLOOKUP(A9, Matches!A:A, Matches!L:L, "NA", 0)</f>
        <v>MIW</v>
      </c>
      <c r="X9" t="str">
        <f>_xlfn.XLOOKUP(A9, Matches!A:A, Matches!J:J, "NA", 0)</f>
        <v>GGTW</v>
      </c>
      <c r="Y9" t="str">
        <f>_xlfn.XLOOKUP(A9, Matches!A:A, Matches!F:F, "NA", 0)</f>
        <v>Dr.DY Patil Sports</v>
      </c>
      <c r="Z9" cm="1">
        <f t="array" ref="Z9">INDEX(Innings!F:F,MATCH(1,(TRIM(Innings!A:A)=TRIM(A9))*(TRIM(Innings!D:D)=TRIM(E9)),0))</f>
        <v>64</v>
      </c>
      <c r="AA9" cm="1">
        <f t="array" ref="AA9">INDEX(Innings!I:I,MATCH(1,(TRIM(Innings!A:A)=TRIM(A9))*(TRIM(Innings!D:D)=TRIM(E9)),0))</f>
        <v>4.22</v>
      </c>
      <c r="AB9" cm="1">
        <f t="array" ref="AB9">INDEX(Innings!J:J,MATCH(1,(TRIM(Innings!A:A)=TRIM(A9))*(TRIM(Innings!D:D)=TRIM(E9)),0))</f>
        <v>17</v>
      </c>
      <c r="AC9" cm="1">
        <f t="array" ref="AC9">INDEX(Innings!N:N,MATCH(1,(TRIM(Innings!A:A)=TRIM(A9))*(TRIM(Innings!D:D)=TRIM(E9)),0))</f>
        <v>0</v>
      </c>
      <c r="AD9" cm="1">
        <f t="array" ref="AD9">INDEX(Innings!S:S,MATCH(1,(TRIM(Innings!A:A)=TRIM(A9))*(TRIM(Innings!D:D)=TRIM(E9)),0))</f>
        <v>62</v>
      </c>
      <c r="AE9" t="str" cm="1">
        <f t="array" ref="AE9">INDEX(Innings!W:W,MATCH(1,(TRIM(Innings!A:A)=TRIM(A9))*(TRIM(Innings!D:D)=TRIM(E9)),0))</f>
        <v>Failed</v>
      </c>
      <c r="AF9">
        <f>IF(UPPER(TRIM(E9))=UPPER(TRIM(W9)),1,0)</f>
        <v>0</v>
      </c>
      <c r="AG9">
        <f t="shared" si="1"/>
        <v>15.35</v>
      </c>
    </row>
    <row r="10" spans="1:33" x14ac:dyDescent="0.3">
      <c r="A10" t="s">
        <v>19</v>
      </c>
      <c r="B10">
        <v>1</v>
      </c>
      <c r="C10" t="s">
        <v>105</v>
      </c>
      <c r="D10" t="s">
        <v>128</v>
      </c>
      <c r="E10" t="s">
        <v>258</v>
      </c>
      <c r="F10" t="s">
        <v>101</v>
      </c>
      <c r="G10" t="s">
        <v>135</v>
      </c>
      <c r="H10">
        <v>0</v>
      </c>
      <c r="I10">
        <v>3</v>
      </c>
      <c r="J10">
        <v>0</v>
      </c>
      <c r="K10" t="s">
        <v>246</v>
      </c>
      <c r="L10">
        <v>0</v>
      </c>
      <c r="M10">
        <v>2</v>
      </c>
      <c r="N10">
        <v>0</v>
      </c>
      <c r="O10">
        <v>12</v>
      </c>
      <c r="P10">
        <v>1</v>
      </c>
      <c r="Q10">
        <v>6</v>
      </c>
      <c r="R10">
        <v>13</v>
      </c>
      <c r="S10">
        <v>0</v>
      </c>
      <c r="T10">
        <v>0</v>
      </c>
      <c r="U10" s="8">
        <v>13</v>
      </c>
      <c r="V10" s="8">
        <f t="shared" si="0"/>
        <v>1</v>
      </c>
      <c r="W10" t="str">
        <f>_xlfn.XLOOKUP(A10, Matches!A:A, Matches!L:L, "NA", 0)</f>
        <v>MIW</v>
      </c>
      <c r="X10" t="str">
        <f>_xlfn.XLOOKUP(A10, Matches!A:A, Matches!J:J, "NA", 0)</f>
        <v>GGTW</v>
      </c>
      <c r="Y10" t="str">
        <f>_xlfn.XLOOKUP(A10, Matches!A:A, Matches!F:F, "NA", 0)</f>
        <v>Dr.DY Patil Sports</v>
      </c>
      <c r="Z10" cm="1">
        <f t="array" ref="Z10">INDEX(Innings!F:F,MATCH(1,(TRIM(Innings!A:A)=TRIM(A10))*(TRIM(Innings!D:D)=TRIM(E10)),0))</f>
        <v>64</v>
      </c>
      <c r="AA10" cm="1">
        <f t="array" ref="AA10">INDEX(Innings!I:I,MATCH(1,(TRIM(Innings!A:A)=TRIM(A10))*(TRIM(Innings!D:D)=TRIM(E10)),0))</f>
        <v>4.22</v>
      </c>
      <c r="AB10" cm="1">
        <f t="array" ref="AB10">INDEX(Innings!J:J,MATCH(1,(TRIM(Innings!A:A)=TRIM(A10))*(TRIM(Innings!D:D)=TRIM(E10)),0))</f>
        <v>17</v>
      </c>
      <c r="AC10" cm="1">
        <f t="array" ref="AC10">INDEX(Innings!N:N,MATCH(1,(TRIM(Innings!A:A)=TRIM(A10))*(TRIM(Innings!D:D)=TRIM(E10)),0))</f>
        <v>0</v>
      </c>
      <c r="AD10" cm="1">
        <f t="array" ref="AD10">INDEX(Innings!S:S,MATCH(1,(TRIM(Innings!A:A)=TRIM(A10))*(TRIM(Innings!D:D)=TRIM(E10)),0))</f>
        <v>62</v>
      </c>
      <c r="AE10" t="str" cm="1">
        <f t="array" ref="AE10">INDEX(Innings!W:W,MATCH(1,(TRIM(Innings!A:A)=TRIM(A10))*(TRIM(Innings!D:D)=TRIM(E10)),0))</f>
        <v>Failed</v>
      </c>
      <c r="AF10">
        <f>IF(UPPER(TRIM(E10))=UPPER(TRIM(W10)),1,0)</f>
        <v>0</v>
      </c>
      <c r="AG10">
        <f t="shared" si="1"/>
        <v>6.8</v>
      </c>
    </row>
    <row r="11" spans="1:33" x14ac:dyDescent="0.3">
      <c r="A11" t="s">
        <v>19</v>
      </c>
      <c r="B11">
        <v>1</v>
      </c>
      <c r="C11" t="s">
        <v>107</v>
      </c>
      <c r="D11" t="s">
        <v>130</v>
      </c>
      <c r="E11" t="s">
        <v>258</v>
      </c>
      <c r="F11" t="s">
        <v>101</v>
      </c>
      <c r="G11" t="s">
        <v>135</v>
      </c>
      <c r="H11">
        <v>10</v>
      </c>
      <c r="I11">
        <v>9</v>
      </c>
      <c r="J11">
        <v>111.11</v>
      </c>
      <c r="K11" t="s">
        <v>245</v>
      </c>
      <c r="L11">
        <v>11.11</v>
      </c>
      <c r="M11">
        <v>2</v>
      </c>
      <c r="N11">
        <v>0</v>
      </c>
      <c r="O11">
        <v>34</v>
      </c>
      <c r="P11">
        <v>0</v>
      </c>
      <c r="Q11">
        <v>17</v>
      </c>
      <c r="R11">
        <v>-34</v>
      </c>
      <c r="S11">
        <v>0</v>
      </c>
      <c r="T11">
        <v>0</v>
      </c>
      <c r="U11" s="8">
        <v>-22.89</v>
      </c>
      <c r="V11" s="8">
        <f t="shared" si="0"/>
        <v>0</v>
      </c>
      <c r="W11" t="str">
        <f>_xlfn.XLOOKUP(A11, Matches!A:A, Matches!L:L, "NA", 0)</f>
        <v>MIW</v>
      </c>
      <c r="X11" t="str">
        <f>_xlfn.XLOOKUP(A11, Matches!A:A, Matches!J:J, "NA", 0)</f>
        <v>GGTW</v>
      </c>
      <c r="Y11" t="str">
        <f>_xlfn.XLOOKUP(A11, Matches!A:A, Matches!F:F, "NA", 0)</f>
        <v>Dr.DY Patil Sports</v>
      </c>
      <c r="Z11" cm="1">
        <f t="array" ref="Z11">INDEX(Innings!F:F,MATCH(1,(TRIM(Innings!A:A)=TRIM(A11))*(TRIM(Innings!D:D)=TRIM(E11)),0))</f>
        <v>64</v>
      </c>
      <c r="AA11" cm="1">
        <f t="array" ref="AA11">INDEX(Innings!I:I,MATCH(1,(TRIM(Innings!A:A)=TRIM(A11))*(TRIM(Innings!D:D)=TRIM(E11)),0))</f>
        <v>4.22</v>
      </c>
      <c r="AB11" cm="1">
        <f t="array" ref="AB11">INDEX(Innings!J:J,MATCH(1,(TRIM(Innings!A:A)=TRIM(A11))*(TRIM(Innings!D:D)=TRIM(E11)),0))</f>
        <v>17</v>
      </c>
      <c r="AC11" cm="1">
        <f t="array" ref="AC11">INDEX(Innings!N:N,MATCH(1,(TRIM(Innings!A:A)=TRIM(A11))*(TRIM(Innings!D:D)=TRIM(E11)),0))</f>
        <v>0</v>
      </c>
      <c r="AD11" cm="1">
        <f t="array" ref="AD11">INDEX(Innings!S:S,MATCH(1,(TRIM(Innings!A:A)=TRIM(A11))*(TRIM(Innings!D:D)=TRIM(E11)),0))</f>
        <v>62</v>
      </c>
      <c r="AE11" t="str" cm="1">
        <f t="array" ref="AE11">INDEX(Innings!W:W,MATCH(1,(TRIM(Innings!A:A)=TRIM(A11))*(TRIM(Innings!D:D)=TRIM(E11)),0))</f>
        <v>Failed</v>
      </c>
      <c r="AF11">
        <f>IF(UPPER(TRIM(E11))=UPPER(TRIM(W11)),1,0)</f>
        <v>0</v>
      </c>
      <c r="AG11">
        <f t="shared" si="1"/>
        <v>0</v>
      </c>
    </row>
    <row r="12" spans="1:33" x14ac:dyDescent="0.3">
      <c r="A12" t="s">
        <v>19</v>
      </c>
      <c r="B12">
        <v>1</v>
      </c>
      <c r="C12" t="s">
        <v>110</v>
      </c>
      <c r="D12" t="s">
        <v>132</v>
      </c>
      <c r="E12" t="s">
        <v>258</v>
      </c>
      <c r="F12" t="s">
        <v>101</v>
      </c>
      <c r="G12" t="s">
        <v>135</v>
      </c>
      <c r="H12">
        <v>6</v>
      </c>
      <c r="I12">
        <v>19</v>
      </c>
      <c r="J12">
        <v>31.58</v>
      </c>
      <c r="K12" t="s">
        <v>247</v>
      </c>
      <c r="L12">
        <v>1.89</v>
      </c>
      <c r="M12">
        <v>2</v>
      </c>
      <c r="N12">
        <v>0</v>
      </c>
      <c r="O12">
        <v>17</v>
      </c>
      <c r="P12">
        <v>0</v>
      </c>
      <c r="Q12">
        <v>8.5</v>
      </c>
      <c r="R12">
        <v>-17</v>
      </c>
      <c r="S12">
        <v>0</v>
      </c>
      <c r="T12">
        <v>0</v>
      </c>
      <c r="U12" s="8">
        <v>-15.11</v>
      </c>
      <c r="V12" s="8">
        <f t="shared" si="0"/>
        <v>0</v>
      </c>
      <c r="W12" t="str">
        <f>_xlfn.XLOOKUP(A12, Matches!A:A, Matches!L:L, "NA", 0)</f>
        <v>MIW</v>
      </c>
      <c r="X12" t="str">
        <f>_xlfn.XLOOKUP(A12, Matches!A:A, Matches!J:J, "NA", 0)</f>
        <v>GGTW</v>
      </c>
      <c r="Y12" t="str">
        <f>_xlfn.XLOOKUP(A12, Matches!A:A, Matches!F:F, "NA", 0)</f>
        <v>Dr.DY Patil Sports</v>
      </c>
      <c r="Z12" cm="1">
        <f t="array" ref="Z12">INDEX(Innings!F:F,MATCH(1,(TRIM(Innings!A:A)=TRIM(A12))*(TRIM(Innings!D:D)=TRIM(E12)),0))</f>
        <v>64</v>
      </c>
      <c r="AA12" cm="1">
        <f t="array" ref="AA12">INDEX(Innings!I:I,MATCH(1,(TRIM(Innings!A:A)=TRIM(A12))*(TRIM(Innings!D:D)=TRIM(E12)),0))</f>
        <v>4.22</v>
      </c>
      <c r="AB12" cm="1">
        <f t="array" ref="AB12">INDEX(Innings!J:J,MATCH(1,(TRIM(Innings!A:A)=TRIM(A12))*(TRIM(Innings!D:D)=TRIM(E12)),0))</f>
        <v>17</v>
      </c>
      <c r="AC12" cm="1">
        <f t="array" ref="AC12">INDEX(Innings!N:N,MATCH(1,(TRIM(Innings!A:A)=TRIM(A12))*(TRIM(Innings!D:D)=TRIM(E12)),0))</f>
        <v>0</v>
      </c>
      <c r="AD12" cm="1">
        <f t="array" ref="AD12">INDEX(Innings!S:S,MATCH(1,(TRIM(Innings!A:A)=TRIM(A12))*(TRIM(Innings!D:D)=TRIM(E12)),0))</f>
        <v>62</v>
      </c>
      <c r="AE12" t="str" cm="1">
        <f t="array" ref="AE12">INDEX(Innings!W:W,MATCH(1,(TRIM(Innings!A:A)=TRIM(A12))*(TRIM(Innings!D:D)=TRIM(E12)),0))</f>
        <v>Failed</v>
      </c>
      <c r="AF12">
        <f>IF(UPPER(TRIM(E12))=UPPER(TRIM(W12)),1,0)</f>
        <v>0</v>
      </c>
      <c r="AG12">
        <f t="shared" si="1"/>
        <v>0</v>
      </c>
    </row>
    <row r="13" spans="1:33" x14ac:dyDescent="0.3">
      <c r="A13" t="s">
        <v>19</v>
      </c>
      <c r="B13">
        <v>1</v>
      </c>
      <c r="C13" t="s">
        <v>112</v>
      </c>
      <c r="D13" t="s">
        <v>88</v>
      </c>
      <c r="E13" t="s">
        <v>266</v>
      </c>
      <c r="F13" t="s">
        <v>83</v>
      </c>
      <c r="G13" t="s">
        <v>86</v>
      </c>
      <c r="H13">
        <v>47</v>
      </c>
      <c r="I13">
        <v>31</v>
      </c>
      <c r="J13">
        <v>151.61000000000001</v>
      </c>
      <c r="K13" t="s">
        <v>245</v>
      </c>
      <c r="L13">
        <v>71.260000000000005</v>
      </c>
      <c r="M13">
        <v>1</v>
      </c>
      <c r="N13">
        <v>0</v>
      </c>
      <c r="O13">
        <v>8</v>
      </c>
      <c r="P13">
        <v>0</v>
      </c>
      <c r="Q13">
        <v>8</v>
      </c>
      <c r="R13">
        <v>-16</v>
      </c>
      <c r="S13">
        <v>0</v>
      </c>
      <c r="T13">
        <v>0</v>
      </c>
      <c r="U13" s="8">
        <v>55.26</v>
      </c>
      <c r="V13" s="8">
        <f t="shared" si="0"/>
        <v>6</v>
      </c>
      <c r="W13" t="str">
        <f>_xlfn.XLOOKUP(A13, Matches!A:A, Matches!L:L, "NA", 0)</f>
        <v>MIW</v>
      </c>
      <c r="X13" t="str">
        <f>_xlfn.XLOOKUP(A13, Matches!A:A, Matches!J:J, "NA", 0)</f>
        <v>GGTW</v>
      </c>
      <c r="Y13" t="str">
        <f>_xlfn.XLOOKUP(A13, Matches!A:A, Matches!F:F, "NA", 0)</f>
        <v>Dr.DY Patil Sports</v>
      </c>
      <c r="Z13" cm="1">
        <f t="array" ref="Z13">INDEX(Innings!F:F,MATCH(1,(TRIM(Innings!A:A)=TRIM(A13))*(TRIM(Innings!D:D)=TRIM(E13)),0))</f>
        <v>207</v>
      </c>
      <c r="AA13" cm="1">
        <f t="array" ref="AA13">INDEX(Innings!I:I,MATCH(1,(TRIM(Innings!A:A)=TRIM(A13))*(TRIM(Innings!D:D)=TRIM(E13)),0))</f>
        <v>10.35</v>
      </c>
      <c r="AB13" cm="1">
        <f t="array" ref="AB13">INDEX(Innings!J:J,MATCH(1,(TRIM(Innings!A:A)=TRIM(A13))*(TRIM(Innings!D:D)=TRIM(E13)),0))</f>
        <v>44</v>
      </c>
      <c r="AC13" cm="1">
        <f t="array" ref="AC13">INDEX(Innings!N:N,MATCH(1,(TRIM(Innings!A:A)=TRIM(A13))*(TRIM(Innings!D:D)=TRIM(E13)),0))</f>
        <v>48</v>
      </c>
      <c r="AD13" cm="1">
        <f t="array" ref="AD13">INDEX(Innings!S:S,MATCH(1,(TRIM(Innings!A:A)=TRIM(A13))*(TRIM(Innings!D:D)=TRIM(E13)),0))</f>
        <v>44</v>
      </c>
      <c r="AE13" t="str" cm="1">
        <f t="array" ref="AE13">INDEX(Innings!W:W,MATCH(1,(TRIM(Innings!A:A)=TRIM(A13))*(TRIM(Innings!D:D)=TRIM(E13)),0))</f>
        <v>NA</v>
      </c>
      <c r="AF13">
        <f>IF(UPPER(TRIM(E13))=UPPER(TRIM(W13)),1,0)</f>
        <v>1</v>
      </c>
      <c r="AG13">
        <f t="shared" si="1"/>
        <v>49.43</v>
      </c>
    </row>
    <row r="14" spans="1:33" x14ac:dyDescent="0.3">
      <c r="A14" t="s">
        <v>19</v>
      </c>
      <c r="B14">
        <v>1</v>
      </c>
      <c r="C14" t="s">
        <v>113</v>
      </c>
      <c r="D14" t="s">
        <v>84</v>
      </c>
      <c r="E14" t="s">
        <v>266</v>
      </c>
      <c r="F14" t="s">
        <v>85</v>
      </c>
      <c r="G14" t="s">
        <v>86</v>
      </c>
      <c r="H14">
        <v>1</v>
      </c>
      <c r="I14">
        <v>8</v>
      </c>
      <c r="J14">
        <v>12.5</v>
      </c>
      <c r="K14" t="s">
        <v>246</v>
      </c>
      <c r="L14">
        <v>0.13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s="8">
        <v>0.13</v>
      </c>
      <c r="V14" s="8">
        <f t="shared" si="0"/>
        <v>0</v>
      </c>
      <c r="W14" t="str">
        <f>_xlfn.XLOOKUP(A14, Matches!A:A, Matches!L:L, "NA", 0)</f>
        <v>MIW</v>
      </c>
      <c r="X14" t="str">
        <f>_xlfn.XLOOKUP(A14, Matches!A:A, Matches!J:J, "NA", 0)</f>
        <v>GGTW</v>
      </c>
      <c r="Y14" t="str">
        <f>_xlfn.XLOOKUP(A14, Matches!A:A, Matches!F:F, "NA", 0)</f>
        <v>Dr.DY Patil Sports</v>
      </c>
      <c r="Z14" cm="1">
        <f t="array" ref="Z14">INDEX(Innings!F:F,MATCH(1,(TRIM(Innings!A:A)=TRIM(A14))*(TRIM(Innings!D:D)=TRIM(E14)),0))</f>
        <v>207</v>
      </c>
      <c r="AA14" cm="1">
        <f t="array" ref="AA14">INDEX(Innings!I:I,MATCH(1,(TRIM(Innings!A:A)=TRIM(A14))*(TRIM(Innings!D:D)=TRIM(E14)),0))</f>
        <v>10.35</v>
      </c>
      <c r="AB14" cm="1">
        <f t="array" ref="AB14">INDEX(Innings!J:J,MATCH(1,(TRIM(Innings!A:A)=TRIM(A14))*(TRIM(Innings!D:D)=TRIM(E14)),0))</f>
        <v>44</v>
      </c>
      <c r="AC14" cm="1">
        <f t="array" ref="AC14">INDEX(Innings!N:N,MATCH(1,(TRIM(Innings!A:A)=TRIM(A14))*(TRIM(Innings!D:D)=TRIM(E14)),0))</f>
        <v>48</v>
      </c>
      <c r="AD14" cm="1">
        <f t="array" ref="AD14">INDEX(Innings!S:S,MATCH(1,(TRIM(Innings!A:A)=TRIM(A14))*(TRIM(Innings!D:D)=TRIM(E14)),0))</f>
        <v>44</v>
      </c>
      <c r="AE14" t="str" cm="1">
        <f t="array" ref="AE14">INDEX(Innings!W:W,MATCH(1,(TRIM(Innings!A:A)=TRIM(A14))*(TRIM(Innings!D:D)=TRIM(E14)),0))</f>
        <v>NA</v>
      </c>
      <c r="AF14">
        <f>IF(UPPER(TRIM(E14))=UPPER(TRIM(W14)),1,0)</f>
        <v>1</v>
      </c>
      <c r="AG14">
        <f t="shared" si="1"/>
        <v>20.065000000000001</v>
      </c>
    </row>
    <row r="15" spans="1:33" x14ac:dyDescent="0.3">
      <c r="A15" t="s">
        <v>19</v>
      </c>
      <c r="B15">
        <v>1</v>
      </c>
      <c r="C15" t="s">
        <v>115</v>
      </c>
      <c r="D15" t="s">
        <v>17</v>
      </c>
      <c r="E15" t="s">
        <v>266</v>
      </c>
      <c r="F15" t="s">
        <v>83</v>
      </c>
      <c r="G15" t="s">
        <v>134</v>
      </c>
      <c r="H15">
        <v>65</v>
      </c>
      <c r="I15">
        <v>30</v>
      </c>
      <c r="J15">
        <v>216.67</v>
      </c>
      <c r="K15" t="s">
        <v>246</v>
      </c>
      <c r="L15">
        <v>140.84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s="8">
        <v>140.84</v>
      </c>
      <c r="V15" s="8">
        <f t="shared" si="0"/>
        <v>10</v>
      </c>
      <c r="W15" t="str">
        <f>_xlfn.XLOOKUP(A15, Matches!A:A, Matches!L:L, "NA", 0)</f>
        <v>MIW</v>
      </c>
      <c r="X15" t="str">
        <f>_xlfn.XLOOKUP(A15, Matches!A:A, Matches!J:J, "NA", 0)</f>
        <v>GGTW</v>
      </c>
      <c r="Y15" t="str">
        <f>_xlfn.XLOOKUP(A15, Matches!A:A, Matches!F:F, "NA", 0)</f>
        <v>Dr.DY Patil Sports</v>
      </c>
      <c r="Z15" cm="1">
        <f t="array" ref="Z15">INDEX(Innings!F:F,MATCH(1,(TRIM(Innings!A:A)=TRIM(A15))*(TRIM(Innings!D:D)=TRIM(E15)),0))</f>
        <v>207</v>
      </c>
      <c r="AA15" cm="1">
        <f t="array" ref="AA15">INDEX(Innings!I:I,MATCH(1,(TRIM(Innings!A:A)=TRIM(A15))*(TRIM(Innings!D:D)=TRIM(E15)),0))</f>
        <v>10.35</v>
      </c>
      <c r="AB15" cm="1">
        <f t="array" ref="AB15">INDEX(Innings!J:J,MATCH(1,(TRIM(Innings!A:A)=TRIM(A15))*(TRIM(Innings!D:D)=TRIM(E15)),0))</f>
        <v>44</v>
      </c>
      <c r="AC15" cm="1">
        <f t="array" ref="AC15">INDEX(Innings!N:N,MATCH(1,(TRIM(Innings!A:A)=TRIM(A15))*(TRIM(Innings!D:D)=TRIM(E15)),0))</f>
        <v>48</v>
      </c>
      <c r="AD15" cm="1">
        <f t="array" ref="AD15">INDEX(Innings!S:S,MATCH(1,(TRIM(Innings!A:A)=TRIM(A15))*(TRIM(Innings!D:D)=TRIM(E15)),0))</f>
        <v>44</v>
      </c>
      <c r="AE15" t="str" cm="1">
        <f t="array" ref="AE15">INDEX(Innings!W:W,MATCH(1,(TRIM(Innings!A:A)=TRIM(A15))*(TRIM(Innings!D:D)=TRIM(E15)),0))</f>
        <v>NA</v>
      </c>
      <c r="AF15">
        <f>IF(UPPER(TRIM(E15))=UPPER(TRIM(W15)),1,0)</f>
        <v>1</v>
      </c>
      <c r="AG15">
        <f t="shared" si="1"/>
        <v>93.42</v>
      </c>
    </row>
    <row r="16" spans="1:33" x14ac:dyDescent="0.3">
      <c r="A16" t="s">
        <v>19</v>
      </c>
      <c r="B16">
        <v>1</v>
      </c>
      <c r="C16" t="s">
        <v>117</v>
      </c>
      <c r="D16" t="s">
        <v>90</v>
      </c>
      <c r="E16" t="s">
        <v>266</v>
      </c>
      <c r="F16" t="s">
        <v>91</v>
      </c>
      <c r="G16" t="s">
        <v>92</v>
      </c>
      <c r="H16">
        <v>23</v>
      </c>
      <c r="I16">
        <v>18</v>
      </c>
      <c r="J16">
        <v>127.78</v>
      </c>
      <c r="K16" t="s">
        <v>246</v>
      </c>
      <c r="L16">
        <v>29.39</v>
      </c>
      <c r="M16">
        <v>2</v>
      </c>
      <c r="N16">
        <v>0</v>
      </c>
      <c r="O16">
        <v>5</v>
      </c>
      <c r="P16">
        <v>2</v>
      </c>
      <c r="Q16">
        <v>2.5</v>
      </c>
      <c r="R16">
        <v>45</v>
      </c>
      <c r="S16">
        <v>0</v>
      </c>
      <c r="T16">
        <v>0</v>
      </c>
      <c r="U16" s="8">
        <v>74.39</v>
      </c>
      <c r="V16" s="8">
        <f t="shared" si="0"/>
        <v>7</v>
      </c>
      <c r="W16" t="str">
        <f>_xlfn.XLOOKUP(A16, Matches!A:A, Matches!L:L, "NA", 0)</f>
        <v>MIW</v>
      </c>
      <c r="X16" t="str">
        <f>_xlfn.XLOOKUP(A16, Matches!A:A, Matches!J:J, "NA", 0)</f>
        <v>GGTW</v>
      </c>
      <c r="Y16" t="str">
        <f>_xlfn.XLOOKUP(A16, Matches!A:A, Matches!F:F, "NA", 0)</f>
        <v>Dr.DY Patil Sports</v>
      </c>
      <c r="Z16" cm="1">
        <f t="array" ref="Z16">INDEX(Innings!F:F,MATCH(1,(TRIM(Innings!A:A)=TRIM(A16))*(TRIM(Innings!D:D)=TRIM(E16)),0))</f>
        <v>207</v>
      </c>
      <c r="AA16" cm="1">
        <f t="array" ref="AA16">INDEX(Innings!I:I,MATCH(1,(TRIM(Innings!A:A)=TRIM(A16))*(TRIM(Innings!D:D)=TRIM(E16)),0))</f>
        <v>10.35</v>
      </c>
      <c r="AB16" cm="1">
        <f t="array" ref="AB16">INDEX(Innings!J:J,MATCH(1,(TRIM(Innings!A:A)=TRIM(A16))*(TRIM(Innings!D:D)=TRIM(E16)),0))</f>
        <v>44</v>
      </c>
      <c r="AC16" cm="1">
        <f t="array" ref="AC16">INDEX(Innings!N:N,MATCH(1,(TRIM(Innings!A:A)=TRIM(A16))*(TRIM(Innings!D:D)=TRIM(E16)),0))</f>
        <v>48</v>
      </c>
      <c r="AD16" cm="1">
        <f t="array" ref="AD16">INDEX(Innings!S:S,MATCH(1,(TRIM(Innings!A:A)=TRIM(A16))*(TRIM(Innings!D:D)=TRIM(E16)),0))</f>
        <v>44</v>
      </c>
      <c r="AE16" t="str" cm="1">
        <f t="array" ref="AE16">INDEX(Innings!W:W,MATCH(1,(TRIM(Innings!A:A)=TRIM(A16))*(TRIM(Innings!D:D)=TRIM(E16)),0))</f>
        <v>NA</v>
      </c>
      <c r="AF16">
        <f>IF(UPPER(TRIM(E16))=UPPER(TRIM(W16)),1,0)</f>
        <v>1</v>
      </c>
      <c r="AG16">
        <f t="shared" si="1"/>
        <v>59.295000000000002</v>
      </c>
    </row>
    <row r="17" spans="1:33" x14ac:dyDescent="0.3">
      <c r="A17" t="s">
        <v>19</v>
      </c>
      <c r="B17">
        <v>1</v>
      </c>
      <c r="C17" t="s">
        <v>119</v>
      </c>
      <c r="D17" t="s">
        <v>95</v>
      </c>
      <c r="E17" t="s">
        <v>266</v>
      </c>
      <c r="F17" t="s">
        <v>91</v>
      </c>
      <c r="G17" t="s">
        <v>134</v>
      </c>
      <c r="H17">
        <v>45</v>
      </c>
      <c r="I17">
        <v>24</v>
      </c>
      <c r="J17">
        <v>187.5</v>
      </c>
      <c r="K17" t="s">
        <v>96</v>
      </c>
      <c r="L17">
        <v>84.38</v>
      </c>
      <c r="M17">
        <v>2</v>
      </c>
      <c r="N17">
        <v>1</v>
      </c>
      <c r="O17">
        <v>12</v>
      </c>
      <c r="P17">
        <v>2</v>
      </c>
      <c r="Q17">
        <v>6</v>
      </c>
      <c r="R17">
        <v>38</v>
      </c>
      <c r="S17">
        <v>0</v>
      </c>
      <c r="T17">
        <v>0</v>
      </c>
      <c r="U17" s="8">
        <v>122.38</v>
      </c>
      <c r="V17" s="8">
        <f t="shared" si="0"/>
        <v>10</v>
      </c>
      <c r="W17" t="str">
        <f>_xlfn.XLOOKUP(A17, Matches!A:A, Matches!L:L, "NA", 0)</f>
        <v>MIW</v>
      </c>
      <c r="X17" t="str">
        <f>_xlfn.XLOOKUP(A17, Matches!A:A, Matches!J:J, "NA", 0)</f>
        <v>GGTW</v>
      </c>
      <c r="Y17" t="str">
        <f>_xlfn.XLOOKUP(A17, Matches!A:A, Matches!F:F, "NA", 0)</f>
        <v>Dr.DY Patil Sports</v>
      </c>
      <c r="Z17" cm="1">
        <f t="array" ref="Z17">INDEX(Innings!F:F,MATCH(1,(TRIM(Innings!A:A)=TRIM(A17))*(TRIM(Innings!D:D)=TRIM(E17)),0))</f>
        <v>207</v>
      </c>
      <c r="AA17" cm="1">
        <f t="array" ref="AA17">INDEX(Innings!I:I,MATCH(1,(TRIM(Innings!A:A)=TRIM(A17))*(TRIM(Innings!D:D)=TRIM(E17)),0))</f>
        <v>10.35</v>
      </c>
      <c r="AB17" cm="1">
        <f t="array" ref="AB17">INDEX(Innings!J:J,MATCH(1,(TRIM(Innings!A:A)=TRIM(A17))*(TRIM(Innings!D:D)=TRIM(E17)),0))</f>
        <v>44</v>
      </c>
      <c r="AC17" cm="1">
        <f t="array" ref="AC17">INDEX(Innings!N:N,MATCH(1,(TRIM(Innings!A:A)=TRIM(A17))*(TRIM(Innings!D:D)=TRIM(E17)),0))</f>
        <v>48</v>
      </c>
      <c r="AD17" cm="1">
        <f t="array" ref="AD17">INDEX(Innings!S:S,MATCH(1,(TRIM(Innings!A:A)=TRIM(A17))*(TRIM(Innings!D:D)=TRIM(E17)),0))</f>
        <v>44</v>
      </c>
      <c r="AE17" t="str" cm="1">
        <f t="array" ref="AE17">INDEX(Innings!W:W,MATCH(1,(TRIM(Innings!A:A)=TRIM(A17))*(TRIM(Innings!D:D)=TRIM(E17)),0))</f>
        <v>NA</v>
      </c>
      <c r="AF17">
        <f>IF(UPPER(TRIM(E17))=UPPER(TRIM(W17)),1,0)</f>
        <v>1</v>
      </c>
      <c r="AG17">
        <f t="shared" si="1"/>
        <v>84.19</v>
      </c>
    </row>
    <row r="18" spans="1:33" x14ac:dyDescent="0.3">
      <c r="A18" t="s">
        <v>19</v>
      </c>
      <c r="B18">
        <v>1</v>
      </c>
      <c r="C18" t="s">
        <v>121</v>
      </c>
      <c r="D18" t="s">
        <v>108</v>
      </c>
      <c r="E18" t="s">
        <v>266</v>
      </c>
      <c r="F18" t="s">
        <v>109</v>
      </c>
      <c r="G18" t="s">
        <v>134</v>
      </c>
      <c r="H18">
        <v>0</v>
      </c>
      <c r="I18">
        <v>0</v>
      </c>
      <c r="J18">
        <v>0</v>
      </c>
      <c r="K18" t="s">
        <v>104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 s="8">
        <v>0</v>
      </c>
      <c r="V18" s="8">
        <f t="shared" si="0"/>
        <v>0</v>
      </c>
      <c r="W18" t="str">
        <f>_xlfn.XLOOKUP(A18, Matches!A:A, Matches!L:L, "NA", 0)</f>
        <v>MIW</v>
      </c>
      <c r="X18" t="str">
        <f>_xlfn.XLOOKUP(A18, Matches!A:A, Matches!J:J, "NA", 0)</f>
        <v>GGTW</v>
      </c>
      <c r="Y18" t="str">
        <f>_xlfn.XLOOKUP(A18, Matches!A:A, Matches!F:F, "NA", 0)</f>
        <v>Dr.DY Patil Sports</v>
      </c>
      <c r="Z18" cm="1">
        <f t="array" ref="Z18">INDEX(Innings!F:F,MATCH(1,(TRIM(Innings!A:A)=TRIM(A18))*(TRIM(Innings!D:D)=TRIM(E18)),0))</f>
        <v>207</v>
      </c>
      <c r="AA18" cm="1">
        <f t="array" ref="AA18">INDEX(Innings!I:I,MATCH(1,(TRIM(Innings!A:A)=TRIM(A18))*(TRIM(Innings!D:D)=TRIM(E18)),0))</f>
        <v>10.35</v>
      </c>
      <c r="AB18" cm="1">
        <f t="array" ref="AB18">INDEX(Innings!J:J,MATCH(1,(TRIM(Innings!A:A)=TRIM(A18))*(TRIM(Innings!D:D)=TRIM(E18)),0))</f>
        <v>44</v>
      </c>
      <c r="AC18" cm="1">
        <f t="array" ref="AC18">INDEX(Innings!N:N,MATCH(1,(TRIM(Innings!A:A)=TRIM(A18))*(TRIM(Innings!D:D)=TRIM(E18)),0))</f>
        <v>48</v>
      </c>
      <c r="AD18" cm="1">
        <f t="array" ref="AD18">INDEX(Innings!S:S,MATCH(1,(TRIM(Innings!A:A)=TRIM(A18))*(TRIM(Innings!D:D)=TRIM(E18)),0))</f>
        <v>44</v>
      </c>
      <c r="AE18" t="str" cm="1">
        <f t="array" ref="AE18">INDEX(Innings!W:W,MATCH(1,(TRIM(Innings!A:A)=TRIM(A18))*(TRIM(Innings!D:D)=TRIM(E18)),0))</f>
        <v>NA</v>
      </c>
      <c r="AF18">
        <f>IF(UPPER(TRIM(E18))=UPPER(TRIM(W18)),1,0)</f>
        <v>1</v>
      </c>
      <c r="AG18">
        <f t="shared" si="1"/>
        <v>20</v>
      </c>
    </row>
    <row r="19" spans="1:33" x14ac:dyDescent="0.3">
      <c r="A19" t="s">
        <v>19</v>
      </c>
      <c r="B19">
        <v>1</v>
      </c>
      <c r="C19" t="s">
        <v>123</v>
      </c>
      <c r="D19" t="s">
        <v>98</v>
      </c>
      <c r="E19" t="s">
        <v>266</v>
      </c>
      <c r="F19" t="s">
        <v>91</v>
      </c>
      <c r="G19" t="s">
        <v>134</v>
      </c>
      <c r="H19">
        <v>15</v>
      </c>
      <c r="I19">
        <v>8</v>
      </c>
      <c r="J19">
        <v>187.5</v>
      </c>
      <c r="K19" t="s">
        <v>246</v>
      </c>
      <c r="L19">
        <v>28.13</v>
      </c>
      <c r="M19">
        <v>2</v>
      </c>
      <c r="N19">
        <v>0</v>
      </c>
      <c r="O19">
        <v>9</v>
      </c>
      <c r="P19">
        <v>0</v>
      </c>
      <c r="Q19">
        <v>4.5</v>
      </c>
      <c r="R19">
        <v>-9</v>
      </c>
      <c r="S19">
        <v>0</v>
      </c>
      <c r="T19">
        <v>0</v>
      </c>
      <c r="U19" s="8">
        <v>19.13</v>
      </c>
      <c r="V19" s="8">
        <f t="shared" si="0"/>
        <v>2</v>
      </c>
      <c r="W19" t="str">
        <f>_xlfn.XLOOKUP(A19, Matches!A:A, Matches!L:L, "NA", 0)</f>
        <v>MIW</v>
      </c>
      <c r="X19" t="str">
        <f>_xlfn.XLOOKUP(A19, Matches!A:A, Matches!J:J, "NA", 0)</f>
        <v>GGTW</v>
      </c>
      <c r="Y19" t="str">
        <f>_xlfn.XLOOKUP(A19, Matches!A:A, Matches!F:F, "NA", 0)</f>
        <v>Dr.DY Patil Sports</v>
      </c>
      <c r="Z19" cm="1">
        <f t="array" ref="Z19">INDEX(Innings!F:F,MATCH(1,(TRIM(Innings!A:A)=TRIM(A19))*(TRIM(Innings!D:D)=TRIM(E19)),0))</f>
        <v>207</v>
      </c>
      <c r="AA19" cm="1">
        <f t="array" ref="AA19">INDEX(Innings!I:I,MATCH(1,(TRIM(Innings!A:A)=TRIM(A19))*(TRIM(Innings!D:D)=TRIM(E19)),0))</f>
        <v>10.35</v>
      </c>
      <c r="AB19" cm="1">
        <f t="array" ref="AB19">INDEX(Innings!J:J,MATCH(1,(TRIM(Innings!A:A)=TRIM(A19))*(TRIM(Innings!D:D)=TRIM(E19)),0))</f>
        <v>44</v>
      </c>
      <c r="AC19" cm="1">
        <f t="array" ref="AC19">INDEX(Innings!N:N,MATCH(1,(TRIM(Innings!A:A)=TRIM(A19))*(TRIM(Innings!D:D)=TRIM(E19)),0))</f>
        <v>48</v>
      </c>
      <c r="AD19" cm="1">
        <f t="array" ref="AD19">INDEX(Innings!S:S,MATCH(1,(TRIM(Innings!A:A)=TRIM(A19))*(TRIM(Innings!D:D)=TRIM(E19)),0))</f>
        <v>44</v>
      </c>
      <c r="AE19" t="str" cm="1">
        <f t="array" ref="AE19">INDEX(Innings!W:W,MATCH(1,(TRIM(Innings!A:A)=TRIM(A19))*(TRIM(Innings!D:D)=TRIM(E19)),0))</f>
        <v>NA</v>
      </c>
      <c r="AF19">
        <f>IF(UPPER(TRIM(E19))=UPPER(TRIM(W19)),1,0)</f>
        <v>1</v>
      </c>
      <c r="AG19">
        <f t="shared" si="1"/>
        <v>30.164999999999999</v>
      </c>
    </row>
    <row r="20" spans="1:33" x14ac:dyDescent="0.3">
      <c r="A20" t="s">
        <v>19</v>
      </c>
      <c r="B20">
        <v>1</v>
      </c>
      <c r="C20" t="s">
        <v>125</v>
      </c>
      <c r="D20" t="s">
        <v>111</v>
      </c>
      <c r="E20" t="s">
        <v>266</v>
      </c>
      <c r="F20" t="s">
        <v>83</v>
      </c>
      <c r="G20" t="s">
        <v>134</v>
      </c>
      <c r="H20">
        <v>0</v>
      </c>
      <c r="I20">
        <v>0</v>
      </c>
      <c r="J20">
        <v>0</v>
      </c>
      <c r="K20" t="s">
        <v>104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s="8">
        <v>0</v>
      </c>
      <c r="V20" s="8">
        <f t="shared" si="0"/>
        <v>0</v>
      </c>
      <c r="W20" t="str">
        <f>_xlfn.XLOOKUP(A20, Matches!A:A, Matches!L:L, "NA", 0)</f>
        <v>MIW</v>
      </c>
      <c r="X20" t="str">
        <f>_xlfn.XLOOKUP(A20, Matches!A:A, Matches!J:J, "NA", 0)</f>
        <v>GGTW</v>
      </c>
      <c r="Y20" t="str">
        <f>_xlfn.XLOOKUP(A20, Matches!A:A, Matches!F:F, "NA", 0)</f>
        <v>Dr.DY Patil Sports</v>
      </c>
      <c r="Z20" cm="1">
        <f t="array" ref="Z20">INDEX(Innings!F:F,MATCH(1,(TRIM(Innings!A:A)=TRIM(A20))*(TRIM(Innings!D:D)=TRIM(E20)),0))</f>
        <v>207</v>
      </c>
      <c r="AA20" cm="1">
        <f t="array" ref="AA20">INDEX(Innings!I:I,MATCH(1,(TRIM(Innings!A:A)=TRIM(A20))*(TRIM(Innings!D:D)=TRIM(E20)),0))</f>
        <v>10.35</v>
      </c>
      <c r="AB20" cm="1">
        <f t="array" ref="AB20">INDEX(Innings!J:J,MATCH(1,(TRIM(Innings!A:A)=TRIM(A20))*(TRIM(Innings!D:D)=TRIM(E20)),0))</f>
        <v>44</v>
      </c>
      <c r="AC20" cm="1">
        <f t="array" ref="AC20">INDEX(Innings!N:N,MATCH(1,(TRIM(Innings!A:A)=TRIM(A20))*(TRIM(Innings!D:D)=TRIM(E20)),0))</f>
        <v>48</v>
      </c>
      <c r="AD20" cm="1">
        <f t="array" ref="AD20">INDEX(Innings!S:S,MATCH(1,(TRIM(Innings!A:A)=TRIM(A20))*(TRIM(Innings!D:D)=TRIM(E20)),0))</f>
        <v>44</v>
      </c>
      <c r="AE20" t="str" cm="1">
        <f t="array" ref="AE20">INDEX(Innings!W:W,MATCH(1,(TRIM(Innings!A:A)=TRIM(A20))*(TRIM(Innings!D:D)=TRIM(E20)),0))</f>
        <v>NA</v>
      </c>
      <c r="AF20">
        <f>IF(UPPER(TRIM(E20))=UPPER(TRIM(W20)),1,0)</f>
        <v>1</v>
      </c>
      <c r="AG20">
        <f t="shared" si="1"/>
        <v>20</v>
      </c>
    </row>
    <row r="21" spans="1:33" x14ac:dyDescent="0.3">
      <c r="A21" t="s">
        <v>19</v>
      </c>
      <c r="B21">
        <v>1</v>
      </c>
      <c r="C21" t="s">
        <v>127</v>
      </c>
      <c r="D21" t="s">
        <v>100</v>
      </c>
      <c r="E21" t="s">
        <v>266</v>
      </c>
      <c r="F21" t="s">
        <v>101</v>
      </c>
      <c r="G21" t="s">
        <v>135</v>
      </c>
      <c r="H21">
        <v>6</v>
      </c>
      <c r="I21">
        <v>1</v>
      </c>
      <c r="J21">
        <v>600</v>
      </c>
      <c r="K21" t="s">
        <v>96</v>
      </c>
      <c r="L21">
        <v>36</v>
      </c>
      <c r="M21">
        <v>3</v>
      </c>
      <c r="N21">
        <v>0</v>
      </c>
      <c r="O21">
        <v>7</v>
      </c>
      <c r="P21">
        <v>1</v>
      </c>
      <c r="Q21">
        <v>2.2999999999999998</v>
      </c>
      <c r="R21">
        <v>20.399999999999999</v>
      </c>
      <c r="S21">
        <v>0</v>
      </c>
      <c r="T21">
        <v>0</v>
      </c>
      <c r="U21" s="8">
        <v>56.4</v>
      </c>
      <c r="V21" s="8">
        <f t="shared" si="0"/>
        <v>6</v>
      </c>
      <c r="W21" t="str">
        <f>_xlfn.XLOOKUP(A21, Matches!A:A, Matches!L:L, "NA", 0)</f>
        <v>MIW</v>
      </c>
      <c r="X21" t="str">
        <f>_xlfn.XLOOKUP(A21, Matches!A:A, Matches!J:J, "NA", 0)</f>
        <v>GGTW</v>
      </c>
      <c r="Y21" t="str">
        <f>_xlfn.XLOOKUP(A21, Matches!A:A, Matches!F:F, "NA", 0)</f>
        <v>Dr.DY Patil Sports</v>
      </c>
      <c r="Z21" cm="1">
        <f t="array" ref="Z21">INDEX(Innings!F:F,MATCH(1,(TRIM(Innings!A:A)=TRIM(A21))*(TRIM(Innings!D:D)=TRIM(E21)),0))</f>
        <v>207</v>
      </c>
      <c r="AA21" cm="1">
        <f t="array" ref="AA21">INDEX(Innings!I:I,MATCH(1,(TRIM(Innings!A:A)=TRIM(A21))*(TRIM(Innings!D:D)=TRIM(E21)),0))</f>
        <v>10.35</v>
      </c>
      <c r="AB21" cm="1">
        <f t="array" ref="AB21">INDEX(Innings!J:J,MATCH(1,(TRIM(Innings!A:A)=TRIM(A21))*(TRIM(Innings!D:D)=TRIM(E21)),0))</f>
        <v>44</v>
      </c>
      <c r="AC21" cm="1">
        <f t="array" ref="AC21">INDEX(Innings!N:N,MATCH(1,(TRIM(Innings!A:A)=TRIM(A21))*(TRIM(Innings!D:D)=TRIM(E21)),0))</f>
        <v>48</v>
      </c>
      <c r="AD21" cm="1">
        <f t="array" ref="AD21">INDEX(Innings!S:S,MATCH(1,(TRIM(Innings!A:A)=TRIM(A21))*(TRIM(Innings!D:D)=TRIM(E21)),0))</f>
        <v>44</v>
      </c>
      <c r="AE21" t="str" cm="1">
        <f t="array" ref="AE21">INDEX(Innings!W:W,MATCH(1,(TRIM(Innings!A:A)=TRIM(A21))*(TRIM(Innings!D:D)=TRIM(E21)),0))</f>
        <v>NA</v>
      </c>
      <c r="AF21">
        <f>IF(UPPER(TRIM(E21))=UPPER(TRIM(W21)),1,0)</f>
        <v>1</v>
      </c>
      <c r="AG21">
        <f t="shared" si="1"/>
        <v>50</v>
      </c>
    </row>
    <row r="22" spans="1:33" x14ac:dyDescent="0.3">
      <c r="A22" t="s">
        <v>19</v>
      </c>
      <c r="B22">
        <v>1</v>
      </c>
      <c r="C22" t="s">
        <v>129</v>
      </c>
      <c r="D22" t="s">
        <v>103</v>
      </c>
      <c r="E22" t="s">
        <v>266</v>
      </c>
      <c r="F22" t="s">
        <v>91</v>
      </c>
      <c r="G22" t="s">
        <v>135</v>
      </c>
      <c r="H22">
        <v>0</v>
      </c>
      <c r="I22">
        <v>0</v>
      </c>
      <c r="J22">
        <v>0</v>
      </c>
      <c r="K22" t="s">
        <v>104</v>
      </c>
      <c r="L22">
        <v>0</v>
      </c>
      <c r="M22">
        <v>2</v>
      </c>
      <c r="N22">
        <v>0</v>
      </c>
      <c r="O22">
        <v>12</v>
      </c>
      <c r="P22">
        <v>0</v>
      </c>
      <c r="Q22">
        <v>6</v>
      </c>
      <c r="R22">
        <v>-12</v>
      </c>
      <c r="S22">
        <v>0</v>
      </c>
      <c r="T22">
        <v>0</v>
      </c>
      <c r="U22" s="8">
        <v>-12</v>
      </c>
      <c r="V22" s="8">
        <f t="shared" si="0"/>
        <v>0</v>
      </c>
      <c r="W22" t="str">
        <f>_xlfn.XLOOKUP(A22, Matches!A:A, Matches!L:L, "NA", 0)</f>
        <v>MIW</v>
      </c>
      <c r="X22" t="str">
        <f>_xlfn.XLOOKUP(A22, Matches!A:A, Matches!J:J, "NA", 0)</f>
        <v>GGTW</v>
      </c>
      <c r="Y22" t="str">
        <f>_xlfn.XLOOKUP(A22, Matches!A:A, Matches!F:F, "NA", 0)</f>
        <v>Dr.DY Patil Sports</v>
      </c>
      <c r="Z22" cm="1">
        <f t="array" ref="Z22">INDEX(Innings!F:F,MATCH(1,(TRIM(Innings!A:A)=TRIM(A22))*(TRIM(Innings!D:D)=TRIM(E22)),0))</f>
        <v>207</v>
      </c>
      <c r="AA22" cm="1">
        <f t="array" ref="AA22">INDEX(Innings!I:I,MATCH(1,(TRIM(Innings!A:A)=TRIM(A22))*(TRIM(Innings!D:D)=TRIM(E22)),0))</f>
        <v>10.35</v>
      </c>
      <c r="AB22" cm="1">
        <f t="array" ref="AB22">INDEX(Innings!J:J,MATCH(1,(TRIM(Innings!A:A)=TRIM(A22))*(TRIM(Innings!D:D)=TRIM(E22)),0))</f>
        <v>44</v>
      </c>
      <c r="AC22" cm="1">
        <f t="array" ref="AC22">INDEX(Innings!N:N,MATCH(1,(TRIM(Innings!A:A)=TRIM(A22))*(TRIM(Innings!D:D)=TRIM(E22)),0))</f>
        <v>48</v>
      </c>
      <c r="AD22" cm="1">
        <f t="array" ref="AD22">INDEX(Innings!S:S,MATCH(1,(TRIM(Innings!A:A)=TRIM(A22))*(TRIM(Innings!D:D)=TRIM(E22)),0))</f>
        <v>44</v>
      </c>
      <c r="AE22" t="str" cm="1">
        <f t="array" ref="AE22">INDEX(Innings!W:W,MATCH(1,(TRIM(Innings!A:A)=TRIM(A22))*(TRIM(Innings!D:D)=TRIM(E22)),0))</f>
        <v>NA</v>
      </c>
      <c r="AF22">
        <f>IF(UPPER(TRIM(E22))=UPPER(TRIM(W22)),1,0)</f>
        <v>1</v>
      </c>
      <c r="AG22">
        <f t="shared" si="1"/>
        <v>20</v>
      </c>
    </row>
    <row r="23" spans="1:33" x14ac:dyDescent="0.3">
      <c r="A23" t="s">
        <v>19</v>
      </c>
      <c r="B23">
        <v>1</v>
      </c>
      <c r="C23" t="s">
        <v>131</v>
      </c>
      <c r="D23" t="s">
        <v>106</v>
      </c>
      <c r="E23" t="s">
        <v>266</v>
      </c>
      <c r="F23" t="s">
        <v>101</v>
      </c>
      <c r="G23" t="s">
        <v>135</v>
      </c>
      <c r="H23">
        <v>0</v>
      </c>
      <c r="I23">
        <v>0</v>
      </c>
      <c r="J23">
        <v>0</v>
      </c>
      <c r="K23" t="s">
        <v>104</v>
      </c>
      <c r="L23">
        <v>0</v>
      </c>
      <c r="M23">
        <v>3.1</v>
      </c>
      <c r="N23">
        <v>1</v>
      </c>
      <c r="O23">
        <v>11</v>
      </c>
      <c r="P23">
        <v>4</v>
      </c>
      <c r="Q23">
        <v>3.5</v>
      </c>
      <c r="R23">
        <v>93</v>
      </c>
      <c r="S23">
        <v>0</v>
      </c>
      <c r="T23">
        <v>0</v>
      </c>
      <c r="U23" s="8">
        <v>93</v>
      </c>
      <c r="V23" s="8">
        <f t="shared" si="0"/>
        <v>9</v>
      </c>
      <c r="W23" t="str">
        <f>_xlfn.XLOOKUP(A23, Matches!A:A, Matches!L:L, "NA", 0)</f>
        <v>MIW</v>
      </c>
      <c r="X23" t="str">
        <f>_xlfn.XLOOKUP(A23, Matches!A:A, Matches!J:J, "NA", 0)</f>
        <v>GGTW</v>
      </c>
      <c r="Y23" t="str">
        <f>_xlfn.XLOOKUP(A23, Matches!A:A, Matches!F:F, "NA", 0)</f>
        <v>Dr.DY Patil Sports</v>
      </c>
      <c r="Z23" cm="1">
        <f t="array" ref="Z23">INDEX(Innings!F:F,MATCH(1,(TRIM(Innings!A:A)=TRIM(A23))*(TRIM(Innings!D:D)=TRIM(E23)),0))</f>
        <v>207</v>
      </c>
      <c r="AA23" cm="1">
        <f t="array" ref="AA23">INDEX(Innings!I:I,MATCH(1,(TRIM(Innings!A:A)=TRIM(A23))*(TRIM(Innings!D:D)=TRIM(E23)),0))</f>
        <v>10.35</v>
      </c>
      <c r="AB23" cm="1">
        <f t="array" ref="AB23">INDEX(Innings!J:J,MATCH(1,(TRIM(Innings!A:A)=TRIM(A23))*(TRIM(Innings!D:D)=TRIM(E23)),0))</f>
        <v>44</v>
      </c>
      <c r="AC23" cm="1">
        <f t="array" ref="AC23">INDEX(Innings!N:N,MATCH(1,(TRIM(Innings!A:A)=TRIM(A23))*(TRIM(Innings!D:D)=TRIM(E23)),0))</f>
        <v>48</v>
      </c>
      <c r="AD23" cm="1">
        <f t="array" ref="AD23">INDEX(Innings!S:S,MATCH(1,(TRIM(Innings!A:A)=TRIM(A23))*(TRIM(Innings!D:D)=TRIM(E23)),0))</f>
        <v>44</v>
      </c>
      <c r="AE23" t="str" cm="1">
        <f t="array" ref="AE23">INDEX(Innings!W:W,MATCH(1,(TRIM(Innings!A:A)=TRIM(A23))*(TRIM(Innings!D:D)=TRIM(E23)),0))</f>
        <v>NA</v>
      </c>
      <c r="AF23">
        <f>IF(UPPER(TRIM(E23))=UPPER(TRIM(W23)),1,0)</f>
        <v>1</v>
      </c>
      <c r="AG23">
        <f t="shared" si="1"/>
        <v>69.2</v>
      </c>
    </row>
    <row r="24" spans="1:33" x14ac:dyDescent="0.3">
      <c r="A24" t="s">
        <v>37</v>
      </c>
      <c r="B24">
        <v>1</v>
      </c>
      <c r="C24" t="s">
        <v>165</v>
      </c>
      <c r="D24" t="s">
        <v>166</v>
      </c>
      <c r="E24" t="s">
        <v>159</v>
      </c>
      <c r="F24" t="s">
        <v>109</v>
      </c>
      <c r="G24" t="s">
        <v>86</v>
      </c>
      <c r="H24">
        <v>35</v>
      </c>
      <c r="I24">
        <v>23</v>
      </c>
      <c r="J24">
        <v>152.16999999999999</v>
      </c>
      <c r="K24" t="s">
        <v>246</v>
      </c>
      <c r="L24">
        <v>53.26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s="8">
        <v>53.26</v>
      </c>
      <c r="V24" s="8">
        <f>MIN(10, MAX(0, ROUND(U24/10,0)))</f>
        <v>5</v>
      </c>
      <c r="W24" t="str">
        <f>_xlfn.XLOOKUP(A24, Matches!A:A, Matches!L:L, "NA", 0)</f>
        <v>DCW</v>
      </c>
      <c r="X24" t="str">
        <f>_xlfn.XLOOKUP(A24, Matches!A:A, Matches!J:J, "NA", 0)</f>
        <v>RCBW</v>
      </c>
      <c r="Y24" t="str">
        <f>_xlfn.XLOOKUP(A24, Matches!A:A, Matches!F:F, "NA", 0)</f>
        <v>Brabourne Stadium</v>
      </c>
      <c r="Z24" cm="1">
        <f t="array" ref="Z24">INDEX(Innings!F:F,MATCH(1,(TRIM(Innings!A:A)=TRIM(A24))*(TRIM(Innings!D:D)=TRIM(E24)),0))</f>
        <v>163</v>
      </c>
      <c r="AA24" cm="1">
        <f t="array" ref="AA24">INDEX(Innings!I:I,MATCH(1,(TRIM(Innings!A:A)=TRIM(A24))*(TRIM(Innings!D:D)=TRIM(E24)),0))</f>
        <v>8.15</v>
      </c>
      <c r="AB24" cm="1">
        <f t="array" ref="AB24">INDEX(Innings!J:J,MATCH(1,(TRIM(Innings!A:A)=TRIM(A24))*(TRIM(Innings!D:D)=TRIM(E24)),0))</f>
        <v>54</v>
      </c>
      <c r="AC24" cm="1">
        <f t="array" ref="AC24">INDEX(Innings!N:N,MATCH(1,(TRIM(Innings!A:A)=TRIM(A24))*(TRIM(Innings!D:D)=TRIM(E24)),0))</f>
        <v>39</v>
      </c>
      <c r="AD24" cm="1">
        <f t="array" ref="AD24">INDEX(Innings!S:S,MATCH(1,(TRIM(Innings!A:A)=TRIM(A24))*(TRIM(Innings!D:D)=TRIM(E24)),0))</f>
        <v>39</v>
      </c>
      <c r="AE24" t="str" cm="1">
        <f t="array" ref="AE24">INDEX(Innings!W:W,MATCH(1,(TRIM(Innings!A:A)=TRIM(A24))*(TRIM(Innings!D:D)=TRIM(E24)),0))</f>
        <v>Failed</v>
      </c>
      <c r="AF24">
        <f>IF(UPPER(TRIM(E24))=UPPER(TRIM(W24)),1,0)</f>
        <v>0</v>
      </c>
      <c r="AG24">
        <f t="shared" si="1"/>
        <v>28.13</v>
      </c>
    </row>
    <row r="25" spans="1:33" x14ac:dyDescent="0.3">
      <c r="A25" t="s">
        <v>37</v>
      </c>
      <c r="B25">
        <v>1</v>
      </c>
      <c r="C25" t="s">
        <v>167</v>
      </c>
      <c r="D25" t="s">
        <v>168</v>
      </c>
      <c r="E25" t="s">
        <v>159</v>
      </c>
      <c r="F25" t="s">
        <v>169</v>
      </c>
      <c r="G25" t="s">
        <v>86</v>
      </c>
      <c r="H25">
        <v>14</v>
      </c>
      <c r="I25">
        <v>11</v>
      </c>
      <c r="J25">
        <v>127.27</v>
      </c>
      <c r="K25" t="s">
        <v>246</v>
      </c>
      <c r="L25">
        <v>17.82</v>
      </c>
      <c r="M25">
        <v>1</v>
      </c>
      <c r="N25">
        <v>0</v>
      </c>
      <c r="O25">
        <v>20</v>
      </c>
      <c r="P25">
        <v>0</v>
      </c>
      <c r="Q25">
        <v>20</v>
      </c>
      <c r="R25">
        <v>-40</v>
      </c>
      <c r="S25">
        <v>0</v>
      </c>
      <c r="T25">
        <v>0</v>
      </c>
      <c r="U25" s="8">
        <v>-22.18</v>
      </c>
      <c r="V25" s="8">
        <f t="shared" si="0"/>
        <v>0</v>
      </c>
      <c r="W25" t="str">
        <f>_xlfn.XLOOKUP(A25, Matches!A:A, Matches!L:L, "NA", 0)</f>
        <v>DCW</v>
      </c>
      <c r="X25" t="str">
        <f>_xlfn.XLOOKUP(A25, Matches!A:A, Matches!J:J, "NA", 0)</f>
        <v>RCBW</v>
      </c>
      <c r="Y25" t="str">
        <f>_xlfn.XLOOKUP(A25, Matches!A:A, Matches!F:F, "NA", 0)</f>
        <v>Brabourne Stadium</v>
      </c>
      <c r="Z25" cm="1">
        <f t="array" ref="Z25">INDEX(Innings!F:F,MATCH(1,(TRIM(Innings!A:A)=TRIM(A25))*(TRIM(Innings!D:D)=TRIM(E25)),0))</f>
        <v>163</v>
      </c>
      <c r="AA25" cm="1">
        <f t="array" ref="AA25">INDEX(Innings!I:I,MATCH(1,(TRIM(Innings!A:A)=TRIM(A25))*(TRIM(Innings!D:D)=TRIM(E25)),0))</f>
        <v>8.15</v>
      </c>
      <c r="AB25" cm="1">
        <f t="array" ref="AB25">INDEX(Innings!J:J,MATCH(1,(TRIM(Innings!A:A)=TRIM(A25))*(TRIM(Innings!D:D)=TRIM(E25)),0))</f>
        <v>54</v>
      </c>
      <c r="AC25" cm="1">
        <f t="array" ref="AC25">INDEX(Innings!N:N,MATCH(1,(TRIM(Innings!A:A)=TRIM(A25))*(TRIM(Innings!D:D)=TRIM(E25)),0))</f>
        <v>39</v>
      </c>
      <c r="AD25" cm="1">
        <f t="array" ref="AD25">INDEX(Innings!S:S,MATCH(1,(TRIM(Innings!A:A)=TRIM(A25))*(TRIM(Innings!D:D)=TRIM(E25)),0))</f>
        <v>39</v>
      </c>
      <c r="AE25" t="str" cm="1">
        <f t="array" ref="AE25">INDEX(Innings!W:W,MATCH(1,(TRIM(Innings!A:A)=TRIM(A25))*(TRIM(Innings!D:D)=TRIM(E25)),0))</f>
        <v>Failed</v>
      </c>
      <c r="AF25">
        <f>IF(UPPER(TRIM(E25))=UPPER(TRIM(W25)),1,0)</f>
        <v>0</v>
      </c>
      <c r="AG25">
        <f t="shared" si="1"/>
        <v>0</v>
      </c>
    </row>
    <row r="26" spans="1:33" x14ac:dyDescent="0.3">
      <c r="A26" t="s">
        <v>37</v>
      </c>
      <c r="B26">
        <v>1</v>
      </c>
      <c r="C26" t="s">
        <v>170</v>
      </c>
      <c r="D26" t="s">
        <v>171</v>
      </c>
      <c r="E26" t="s">
        <v>159</v>
      </c>
      <c r="F26" t="s">
        <v>169</v>
      </c>
      <c r="G26" t="s">
        <v>134</v>
      </c>
      <c r="H26">
        <v>34</v>
      </c>
      <c r="I26">
        <v>21</v>
      </c>
      <c r="J26">
        <v>161.9</v>
      </c>
      <c r="K26" t="s">
        <v>246</v>
      </c>
      <c r="L26">
        <v>55.05</v>
      </c>
      <c r="M26">
        <v>3</v>
      </c>
      <c r="N26">
        <v>0</v>
      </c>
      <c r="O26">
        <v>40</v>
      </c>
      <c r="P26">
        <v>2</v>
      </c>
      <c r="Q26">
        <v>13.3</v>
      </c>
      <c r="R26">
        <v>23.4</v>
      </c>
      <c r="S26">
        <v>0</v>
      </c>
      <c r="T26">
        <v>0</v>
      </c>
      <c r="U26" s="8">
        <v>78.45</v>
      </c>
      <c r="V26" s="8">
        <f t="shared" si="0"/>
        <v>8</v>
      </c>
      <c r="W26" t="str">
        <f>_xlfn.XLOOKUP(A26, Matches!A:A, Matches!L:L, "NA", 0)</f>
        <v>DCW</v>
      </c>
      <c r="X26" t="str">
        <f>_xlfn.XLOOKUP(A26, Matches!A:A, Matches!J:J, "NA", 0)</f>
        <v>RCBW</v>
      </c>
      <c r="Y26" t="str">
        <f>_xlfn.XLOOKUP(A26, Matches!A:A, Matches!F:F, "NA", 0)</f>
        <v>Brabourne Stadium</v>
      </c>
      <c r="Z26" cm="1">
        <f t="array" ref="Z26">INDEX(Innings!F:F,MATCH(1,(TRIM(Innings!A:A)=TRIM(A26))*(TRIM(Innings!D:D)=TRIM(E26)),0))</f>
        <v>163</v>
      </c>
      <c r="AA26" cm="1">
        <f t="array" ref="AA26">INDEX(Innings!I:I,MATCH(1,(TRIM(Innings!A:A)=TRIM(A26))*(TRIM(Innings!D:D)=TRIM(E26)),0))</f>
        <v>8.15</v>
      </c>
      <c r="AB26" cm="1">
        <f t="array" ref="AB26">INDEX(Innings!J:J,MATCH(1,(TRIM(Innings!A:A)=TRIM(A26))*(TRIM(Innings!D:D)=TRIM(E26)),0))</f>
        <v>54</v>
      </c>
      <c r="AC26" cm="1">
        <f t="array" ref="AC26">INDEX(Innings!N:N,MATCH(1,(TRIM(Innings!A:A)=TRIM(A26))*(TRIM(Innings!D:D)=TRIM(E26)),0))</f>
        <v>39</v>
      </c>
      <c r="AD26" cm="1">
        <f t="array" ref="AD26">INDEX(Innings!S:S,MATCH(1,(TRIM(Innings!A:A)=TRIM(A26))*(TRIM(Innings!D:D)=TRIM(E26)),0))</f>
        <v>39</v>
      </c>
      <c r="AE26" t="str" cm="1">
        <f t="array" ref="AE26">INDEX(Innings!W:W,MATCH(1,(TRIM(Innings!A:A)=TRIM(A26))*(TRIM(Innings!D:D)=TRIM(E26)),0))</f>
        <v>Failed</v>
      </c>
      <c r="AF26">
        <f>IF(UPPER(TRIM(E26))=UPPER(TRIM(W26)),1,0)</f>
        <v>0</v>
      </c>
      <c r="AG26">
        <f t="shared" si="1"/>
        <v>41.625</v>
      </c>
    </row>
    <row r="27" spans="1:33" x14ac:dyDescent="0.3">
      <c r="A27" t="s">
        <v>37</v>
      </c>
      <c r="B27">
        <v>1</v>
      </c>
      <c r="C27" t="s">
        <v>172</v>
      </c>
      <c r="D27" t="s">
        <v>173</v>
      </c>
      <c r="E27" t="s">
        <v>159</v>
      </c>
      <c r="F27" t="s">
        <v>109</v>
      </c>
      <c r="G27" t="s">
        <v>134</v>
      </c>
      <c r="H27">
        <v>9</v>
      </c>
      <c r="I27">
        <v>11</v>
      </c>
      <c r="J27">
        <v>81.819999999999993</v>
      </c>
      <c r="K27" t="s">
        <v>246</v>
      </c>
      <c r="L27">
        <v>7.36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s="8">
        <v>7.36</v>
      </c>
      <c r="V27" s="8">
        <f t="shared" si="0"/>
        <v>1</v>
      </c>
      <c r="W27" t="str">
        <f>_xlfn.XLOOKUP(A27, Matches!A:A, Matches!L:L, "NA", 0)</f>
        <v>DCW</v>
      </c>
      <c r="X27" t="str">
        <f>_xlfn.XLOOKUP(A27, Matches!A:A, Matches!J:J, "NA", 0)</f>
        <v>RCBW</v>
      </c>
      <c r="Y27" t="str">
        <f>_xlfn.XLOOKUP(A27, Matches!A:A, Matches!F:F, "NA", 0)</f>
        <v>Brabourne Stadium</v>
      </c>
      <c r="Z27" cm="1">
        <f t="array" ref="Z27">INDEX(Innings!F:F,MATCH(1,(TRIM(Innings!A:A)=TRIM(A27))*(TRIM(Innings!D:D)=TRIM(E27)),0))</f>
        <v>163</v>
      </c>
      <c r="AA27" cm="1">
        <f t="array" ref="AA27">INDEX(Innings!I:I,MATCH(1,(TRIM(Innings!A:A)=TRIM(A27))*(TRIM(Innings!D:D)=TRIM(E27)),0))</f>
        <v>8.15</v>
      </c>
      <c r="AB27" cm="1">
        <f t="array" ref="AB27">INDEX(Innings!J:J,MATCH(1,(TRIM(Innings!A:A)=TRIM(A27))*(TRIM(Innings!D:D)=TRIM(E27)),0))</f>
        <v>54</v>
      </c>
      <c r="AC27" cm="1">
        <f t="array" ref="AC27">INDEX(Innings!N:N,MATCH(1,(TRIM(Innings!A:A)=TRIM(A27))*(TRIM(Innings!D:D)=TRIM(E27)),0))</f>
        <v>39</v>
      </c>
      <c r="AD27" cm="1">
        <f t="array" ref="AD27">INDEX(Innings!S:S,MATCH(1,(TRIM(Innings!A:A)=TRIM(A27))*(TRIM(Innings!D:D)=TRIM(E27)),0))</f>
        <v>39</v>
      </c>
      <c r="AE27" t="str" cm="1">
        <f t="array" ref="AE27">INDEX(Innings!W:W,MATCH(1,(TRIM(Innings!A:A)=TRIM(A27))*(TRIM(Innings!D:D)=TRIM(E27)),0))</f>
        <v>Failed</v>
      </c>
      <c r="AF27">
        <f>IF(UPPER(TRIM(E27))=UPPER(TRIM(W27)),1,0)</f>
        <v>0</v>
      </c>
      <c r="AG27">
        <f t="shared" si="1"/>
        <v>3.98</v>
      </c>
    </row>
    <row r="28" spans="1:33" x14ac:dyDescent="0.3">
      <c r="A28" t="s">
        <v>37</v>
      </c>
      <c r="B28">
        <v>1</v>
      </c>
      <c r="C28" t="s">
        <v>174</v>
      </c>
      <c r="D28" t="s">
        <v>175</v>
      </c>
      <c r="E28" t="s">
        <v>159</v>
      </c>
      <c r="F28" t="s">
        <v>83</v>
      </c>
      <c r="G28" t="s">
        <v>134</v>
      </c>
      <c r="H28">
        <v>31</v>
      </c>
      <c r="I28">
        <v>19</v>
      </c>
      <c r="J28">
        <v>163.16</v>
      </c>
      <c r="K28" t="s">
        <v>245</v>
      </c>
      <c r="L28">
        <v>50.58</v>
      </c>
      <c r="M28">
        <v>3</v>
      </c>
      <c r="N28">
        <v>0</v>
      </c>
      <c r="O28">
        <v>29</v>
      </c>
      <c r="P28">
        <v>0</v>
      </c>
      <c r="Q28">
        <v>9.6999999999999993</v>
      </c>
      <c r="R28">
        <v>-19.399999999999999</v>
      </c>
      <c r="S28">
        <v>0</v>
      </c>
      <c r="T28">
        <v>0</v>
      </c>
      <c r="U28" s="8">
        <v>31.18</v>
      </c>
      <c r="V28" s="8">
        <f t="shared" si="0"/>
        <v>3</v>
      </c>
      <c r="W28" t="str">
        <f>_xlfn.XLOOKUP(A28, Matches!A:A, Matches!L:L, "NA", 0)</f>
        <v>DCW</v>
      </c>
      <c r="X28" t="str">
        <f>_xlfn.XLOOKUP(A28, Matches!A:A, Matches!J:J, "NA", 0)</f>
        <v>RCBW</v>
      </c>
      <c r="Y28" t="str">
        <f>_xlfn.XLOOKUP(A28, Matches!A:A, Matches!F:F, "NA", 0)</f>
        <v>Brabourne Stadium</v>
      </c>
      <c r="Z28" cm="1">
        <f t="array" ref="Z28">INDEX(Innings!F:F,MATCH(1,(TRIM(Innings!A:A)=TRIM(A28))*(TRIM(Innings!D:D)=TRIM(E28)),0))</f>
        <v>163</v>
      </c>
      <c r="AA28" cm="1">
        <f t="array" ref="AA28">INDEX(Innings!I:I,MATCH(1,(TRIM(Innings!A:A)=TRIM(A28))*(TRIM(Innings!D:D)=TRIM(E28)),0))</f>
        <v>8.15</v>
      </c>
      <c r="AB28" cm="1">
        <f t="array" ref="AB28">INDEX(Innings!J:J,MATCH(1,(TRIM(Innings!A:A)=TRIM(A28))*(TRIM(Innings!D:D)=TRIM(E28)),0))</f>
        <v>54</v>
      </c>
      <c r="AC28" cm="1">
        <f t="array" ref="AC28">INDEX(Innings!N:N,MATCH(1,(TRIM(Innings!A:A)=TRIM(A28))*(TRIM(Innings!D:D)=TRIM(E28)),0))</f>
        <v>39</v>
      </c>
      <c r="AD28" cm="1">
        <f t="array" ref="AD28">INDEX(Innings!S:S,MATCH(1,(TRIM(Innings!A:A)=TRIM(A28))*(TRIM(Innings!D:D)=TRIM(E28)),0))</f>
        <v>39</v>
      </c>
      <c r="AE28" t="str" cm="1">
        <f t="array" ref="AE28">INDEX(Innings!W:W,MATCH(1,(TRIM(Innings!A:A)=TRIM(A28))*(TRIM(Innings!D:D)=TRIM(E28)),0))</f>
        <v>Failed</v>
      </c>
      <c r="AF28">
        <f>IF(UPPER(TRIM(E28))=UPPER(TRIM(W28)),1,0)</f>
        <v>0</v>
      </c>
      <c r="AG28">
        <f t="shared" si="1"/>
        <v>16.489999999999998</v>
      </c>
    </row>
    <row r="29" spans="1:33" x14ac:dyDescent="0.3">
      <c r="A29" t="s">
        <v>37</v>
      </c>
      <c r="B29">
        <v>1</v>
      </c>
      <c r="C29" t="s">
        <v>176</v>
      </c>
      <c r="D29" t="s">
        <v>177</v>
      </c>
      <c r="E29" t="s">
        <v>159</v>
      </c>
      <c r="F29" t="s">
        <v>85</v>
      </c>
      <c r="G29" t="s">
        <v>134</v>
      </c>
      <c r="H29">
        <v>2</v>
      </c>
      <c r="I29">
        <v>4</v>
      </c>
      <c r="J29">
        <v>50</v>
      </c>
      <c r="K29" t="s">
        <v>246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s="8">
        <v>1</v>
      </c>
      <c r="V29" s="8">
        <f t="shared" si="0"/>
        <v>0</v>
      </c>
      <c r="W29" t="str">
        <f>_xlfn.XLOOKUP(A29, Matches!A:A, Matches!L:L, "NA", 0)</f>
        <v>DCW</v>
      </c>
      <c r="X29" t="str">
        <f>_xlfn.XLOOKUP(A29, Matches!A:A, Matches!J:J, "NA", 0)</f>
        <v>RCBW</v>
      </c>
      <c r="Y29" t="str">
        <f>_xlfn.XLOOKUP(A29, Matches!A:A, Matches!F:F, "NA", 0)</f>
        <v>Brabourne Stadium</v>
      </c>
      <c r="Z29" cm="1">
        <f t="array" ref="Z29">INDEX(Innings!F:F,MATCH(1,(TRIM(Innings!A:A)=TRIM(A29))*(TRIM(Innings!D:D)=TRIM(E29)),0))</f>
        <v>163</v>
      </c>
      <c r="AA29" cm="1">
        <f t="array" ref="AA29">INDEX(Innings!I:I,MATCH(1,(TRIM(Innings!A:A)=TRIM(A29))*(TRIM(Innings!D:D)=TRIM(E29)),0))</f>
        <v>8.15</v>
      </c>
      <c r="AB29" cm="1">
        <f t="array" ref="AB29">INDEX(Innings!J:J,MATCH(1,(TRIM(Innings!A:A)=TRIM(A29))*(TRIM(Innings!D:D)=TRIM(E29)),0))</f>
        <v>54</v>
      </c>
      <c r="AC29" cm="1">
        <f t="array" ref="AC29">INDEX(Innings!N:N,MATCH(1,(TRIM(Innings!A:A)=TRIM(A29))*(TRIM(Innings!D:D)=TRIM(E29)),0))</f>
        <v>39</v>
      </c>
      <c r="AD29" cm="1">
        <f t="array" ref="AD29">INDEX(Innings!S:S,MATCH(1,(TRIM(Innings!A:A)=TRIM(A29))*(TRIM(Innings!D:D)=TRIM(E29)),0))</f>
        <v>39</v>
      </c>
      <c r="AE29" t="str" cm="1">
        <f t="array" ref="AE29">INDEX(Innings!W:W,MATCH(1,(TRIM(Innings!A:A)=TRIM(A29))*(TRIM(Innings!D:D)=TRIM(E29)),0))</f>
        <v>Failed</v>
      </c>
      <c r="AF29">
        <f>IF(UPPER(TRIM(E29))=UPPER(TRIM(W29)),1,0)</f>
        <v>0</v>
      </c>
      <c r="AG29">
        <f t="shared" si="1"/>
        <v>0.5</v>
      </c>
    </row>
    <row r="30" spans="1:33" x14ac:dyDescent="0.3">
      <c r="A30" t="s">
        <v>37</v>
      </c>
      <c r="B30">
        <v>1</v>
      </c>
      <c r="C30" t="s">
        <v>178</v>
      </c>
      <c r="D30" t="s">
        <v>179</v>
      </c>
      <c r="E30" t="s">
        <v>159</v>
      </c>
      <c r="F30" t="s">
        <v>83</v>
      </c>
      <c r="G30" t="s">
        <v>135</v>
      </c>
      <c r="H30">
        <v>0</v>
      </c>
      <c r="I30">
        <v>1</v>
      </c>
      <c r="J30">
        <v>0</v>
      </c>
      <c r="K30" t="s">
        <v>246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s="8">
        <v>0</v>
      </c>
      <c r="V30" s="8">
        <f t="shared" si="0"/>
        <v>0</v>
      </c>
      <c r="W30" t="str">
        <f>_xlfn.XLOOKUP(A30, Matches!A:A, Matches!L:L, "NA", 0)</f>
        <v>DCW</v>
      </c>
      <c r="X30" t="str">
        <f>_xlfn.XLOOKUP(A30, Matches!A:A, Matches!J:J, "NA", 0)</f>
        <v>RCBW</v>
      </c>
      <c r="Y30" t="str">
        <f>_xlfn.XLOOKUP(A30, Matches!A:A, Matches!F:F, "NA", 0)</f>
        <v>Brabourne Stadium</v>
      </c>
      <c r="Z30" cm="1">
        <f t="array" ref="Z30">INDEX(Innings!F:F,MATCH(1,(TRIM(Innings!A:A)=TRIM(A30))*(TRIM(Innings!D:D)=TRIM(E30)),0))</f>
        <v>163</v>
      </c>
      <c r="AA30" cm="1">
        <f t="array" ref="AA30">INDEX(Innings!I:I,MATCH(1,(TRIM(Innings!A:A)=TRIM(A30))*(TRIM(Innings!D:D)=TRIM(E30)),0))</f>
        <v>8.15</v>
      </c>
      <c r="AB30" cm="1">
        <f t="array" ref="AB30">INDEX(Innings!J:J,MATCH(1,(TRIM(Innings!A:A)=TRIM(A30))*(TRIM(Innings!D:D)=TRIM(E30)),0))</f>
        <v>54</v>
      </c>
      <c r="AC30" cm="1">
        <f t="array" ref="AC30">INDEX(Innings!N:N,MATCH(1,(TRIM(Innings!A:A)=TRIM(A30))*(TRIM(Innings!D:D)=TRIM(E30)),0))</f>
        <v>39</v>
      </c>
      <c r="AD30" cm="1">
        <f t="array" ref="AD30">INDEX(Innings!S:S,MATCH(1,(TRIM(Innings!A:A)=TRIM(A30))*(TRIM(Innings!D:D)=TRIM(E30)),0))</f>
        <v>39</v>
      </c>
      <c r="AE30" t="str" cm="1">
        <f t="array" ref="AE30">INDEX(Innings!W:W,MATCH(1,(TRIM(Innings!A:A)=TRIM(A30))*(TRIM(Innings!D:D)=TRIM(E30)),0))</f>
        <v>Failed</v>
      </c>
      <c r="AF30">
        <f>IF(UPPER(TRIM(E30))=UPPER(TRIM(W30)),1,0)</f>
        <v>0</v>
      </c>
      <c r="AG30">
        <f t="shared" si="1"/>
        <v>0</v>
      </c>
    </row>
    <row r="31" spans="1:33" x14ac:dyDescent="0.3">
      <c r="A31" t="s">
        <v>37</v>
      </c>
      <c r="B31">
        <v>1</v>
      </c>
      <c r="C31" t="s">
        <v>180</v>
      </c>
      <c r="D31" t="s">
        <v>181</v>
      </c>
      <c r="E31" t="s">
        <v>159</v>
      </c>
      <c r="F31" t="s">
        <v>91</v>
      </c>
      <c r="G31" t="s">
        <v>135</v>
      </c>
      <c r="H31">
        <v>2</v>
      </c>
      <c r="I31">
        <v>3</v>
      </c>
      <c r="J31">
        <v>66.67</v>
      </c>
      <c r="K31" t="s">
        <v>246</v>
      </c>
      <c r="L31">
        <v>1.33</v>
      </c>
      <c r="M31">
        <v>2</v>
      </c>
      <c r="N31">
        <v>0</v>
      </c>
      <c r="O31">
        <v>29</v>
      </c>
      <c r="P31">
        <v>0</v>
      </c>
      <c r="Q31">
        <v>14.5</v>
      </c>
      <c r="R31">
        <v>-29</v>
      </c>
      <c r="S31">
        <v>0</v>
      </c>
      <c r="T31">
        <v>0</v>
      </c>
      <c r="U31" s="8">
        <v>-27.67</v>
      </c>
      <c r="V31" s="8">
        <f t="shared" si="0"/>
        <v>0</v>
      </c>
      <c r="W31" t="str">
        <f>_xlfn.XLOOKUP(A31, Matches!A:A, Matches!L:L, "NA", 0)</f>
        <v>DCW</v>
      </c>
      <c r="X31" t="str">
        <f>_xlfn.XLOOKUP(A31, Matches!A:A, Matches!J:J, "NA", 0)</f>
        <v>RCBW</v>
      </c>
      <c r="Y31" t="str">
        <f>_xlfn.XLOOKUP(A31, Matches!A:A, Matches!F:F, "NA", 0)</f>
        <v>Brabourne Stadium</v>
      </c>
      <c r="Z31" cm="1">
        <f t="array" ref="Z31">INDEX(Innings!F:F,MATCH(1,(TRIM(Innings!A:A)=TRIM(A31))*(TRIM(Innings!D:D)=TRIM(E31)),0))</f>
        <v>163</v>
      </c>
      <c r="AA31" cm="1">
        <f t="array" ref="AA31">INDEX(Innings!I:I,MATCH(1,(TRIM(Innings!A:A)=TRIM(A31))*(TRIM(Innings!D:D)=TRIM(E31)),0))</f>
        <v>8.15</v>
      </c>
      <c r="AB31" cm="1">
        <f t="array" ref="AB31">INDEX(Innings!J:J,MATCH(1,(TRIM(Innings!A:A)=TRIM(A31))*(TRIM(Innings!D:D)=TRIM(E31)),0))</f>
        <v>54</v>
      </c>
      <c r="AC31" cm="1">
        <f t="array" ref="AC31">INDEX(Innings!N:N,MATCH(1,(TRIM(Innings!A:A)=TRIM(A31))*(TRIM(Innings!D:D)=TRIM(E31)),0))</f>
        <v>39</v>
      </c>
      <c r="AD31" cm="1">
        <f t="array" ref="AD31">INDEX(Innings!S:S,MATCH(1,(TRIM(Innings!A:A)=TRIM(A31))*(TRIM(Innings!D:D)=TRIM(E31)),0))</f>
        <v>39</v>
      </c>
      <c r="AE31" t="str" cm="1">
        <f t="array" ref="AE31">INDEX(Innings!W:W,MATCH(1,(TRIM(Innings!A:A)=TRIM(A31))*(TRIM(Innings!D:D)=TRIM(E31)),0))</f>
        <v>Failed</v>
      </c>
      <c r="AF31">
        <f>IF(UPPER(TRIM(E31))=UPPER(TRIM(W31)),1,0)</f>
        <v>0</v>
      </c>
      <c r="AG31">
        <f t="shared" si="1"/>
        <v>0</v>
      </c>
    </row>
    <row r="32" spans="1:33" x14ac:dyDescent="0.3">
      <c r="A32" t="s">
        <v>37</v>
      </c>
      <c r="B32">
        <v>1</v>
      </c>
      <c r="C32" t="s">
        <v>182</v>
      </c>
      <c r="D32" t="s">
        <v>183</v>
      </c>
      <c r="E32" t="s">
        <v>159</v>
      </c>
      <c r="F32" t="s">
        <v>101</v>
      </c>
      <c r="G32" t="s">
        <v>135</v>
      </c>
      <c r="H32">
        <v>2</v>
      </c>
      <c r="I32">
        <v>8</v>
      </c>
      <c r="J32">
        <v>25</v>
      </c>
      <c r="K32" t="s">
        <v>96</v>
      </c>
      <c r="L32">
        <v>0.5</v>
      </c>
      <c r="M32">
        <v>4</v>
      </c>
      <c r="N32">
        <v>0</v>
      </c>
      <c r="O32">
        <v>35</v>
      </c>
      <c r="P32">
        <v>0</v>
      </c>
      <c r="Q32">
        <v>8.8000000000000007</v>
      </c>
      <c r="R32">
        <v>-17.600000000000001</v>
      </c>
      <c r="S32">
        <v>0</v>
      </c>
      <c r="T32">
        <v>0</v>
      </c>
      <c r="U32" s="8">
        <v>-17.100000000000001</v>
      </c>
      <c r="V32" s="8">
        <f t="shared" si="0"/>
        <v>0</v>
      </c>
      <c r="W32" t="str">
        <f>_xlfn.XLOOKUP(A32, Matches!A:A, Matches!L:L, "NA", 0)</f>
        <v>DCW</v>
      </c>
      <c r="X32" t="str">
        <f>_xlfn.XLOOKUP(A32, Matches!A:A, Matches!J:J, "NA", 0)</f>
        <v>RCBW</v>
      </c>
      <c r="Y32" t="str">
        <f>_xlfn.XLOOKUP(A32, Matches!A:A, Matches!F:F, "NA", 0)</f>
        <v>Brabourne Stadium</v>
      </c>
      <c r="Z32" cm="1">
        <f t="array" ref="Z32">INDEX(Innings!F:F,MATCH(1,(TRIM(Innings!A:A)=TRIM(A32))*(TRIM(Innings!D:D)=TRIM(E32)),0))</f>
        <v>163</v>
      </c>
      <c r="AA32" cm="1">
        <f t="array" ref="AA32">INDEX(Innings!I:I,MATCH(1,(TRIM(Innings!A:A)=TRIM(A32))*(TRIM(Innings!D:D)=TRIM(E32)),0))</f>
        <v>8.15</v>
      </c>
      <c r="AB32" cm="1">
        <f t="array" ref="AB32">INDEX(Innings!J:J,MATCH(1,(TRIM(Innings!A:A)=TRIM(A32))*(TRIM(Innings!D:D)=TRIM(E32)),0))</f>
        <v>54</v>
      </c>
      <c r="AC32" cm="1">
        <f t="array" ref="AC32">INDEX(Innings!N:N,MATCH(1,(TRIM(Innings!A:A)=TRIM(A32))*(TRIM(Innings!D:D)=TRIM(E32)),0))</f>
        <v>39</v>
      </c>
      <c r="AD32" cm="1">
        <f t="array" ref="AD32">INDEX(Innings!S:S,MATCH(1,(TRIM(Innings!A:A)=TRIM(A32))*(TRIM(Innings!D:D)=TRIM(E32)),0))</f>
        <v>39</v>
      </c>
      <c r="AE32" t="str" cm="1">
        <f t="array" ref="AE32">INDEX(Innings!W:W,MATCH(1,(TRIM(Innings!A:A)=TRIM(A32))*(TRIM(Innings!D:D)=TRIM(E32)),0))</f>
        <v>Failed</v>
      </c>
      <c r="AF32">
        <f>IF(UPPER(TRIM(E32))=UPPER(TRIM(W32)),1,0)</f>
        <v>0</v>
      </c>
      <c r="AG32">
        <f t="shared" si="1"/>
        <v>0</v>
      </c>
    </row>
    <row r="33" spans="1:33" x14ac:dyDescent="0.3">
      <c r="A33" t="s">
        <v>37</v>
      </c>
      <c r="B33">
        <v>1</v>
      </c>
      <c r="C33" t="s">
        <v>184</v>
      </c>
      <c r="D33" t="s">
        <v>185</v>
      </c>
      <c r="E33" t="s">
        <v>159</v>
      </c>
      <c r="F33" t="s">
        <v>101</v>
      </c>
      <c r="G33" t="s">
        <v>135</v>
      </c>
      <c r="H33">
        <v>30</v>
      </c>
      <c r="I33">
        <v>19</v>
      </c>
      <c r="J33">
        <v>157.88999999999999</v>
      </c>
      <c r="K33" t="s">
        <v>96</v>
      </c>
      <c r="L33">
        <v>47.37</v>
      </c>
      <c r="M33">
        <v>4</v>
      </c>
      <c r="N33">
        <v>0</v>
      </c>
      <c r="O33">
        <v>45</v>
      </c>
      <c r="P33">
        <v>0</v>
      </c>
      <c r="Q33">
        <v>11.2</v>
      </c>
      <c r="R33">
        <v>-22.4</v>
      </c>
      <c r="S33">
        <v>0</v>
      </c>
      <c r="T33">
        <v>0</v>
      </c>
      <c r="U33" s="8">
        <v>24.97</v>
      </c>
      <c r="V33" s="8">
        <f t="shared" si="0"/>
        <v>2</v>
      </c>
      <c r="W33" t="str">
        <f>_xlfn.XLOOKUP(A33, Matches!A:A, Matches!L:L, "NA", 0)</f>
        <v>DCW</v>
      </c>
      <c r="X33" t="str">
        <f>_xlfn.XLOOKUP(A33, Matches!A:A, Matches!J:J, "NA", 0)</f>
        <v>RCBW</v>
      </c>
      <c r="Y33" t="str">
        <f>_xlfn.XLOOKUP(A33, Matches!A:A, Matches!F:F, "NA", 0)</f>
        <v>Brabourne Stadium</v>
      </c>
      <c r="Z33" cm="1">
        <f t="array" ref="Z33">INDEX(Innings!F:F,MATCH(1,(TRIM(Innings!A:A)=TRIM(A33))*(TRIM(Innings!D:D)=TRIM(E33)),0))</f>
        <v>163</v>
      </c>
      <c r="AA33" cm="1">
        <f t="array" ref="AA33">INDEX(Innings!I:I,MATCH(1,(TRIM(Innings!A:A)=TRIM(A33))*(TRIM(Innings!D:D)=TRIM(E33)),0))</f>
        <v>8.15</v>
      </c>
      <c r="AB33" cm="1">
        <f t="array" ref="AB33">INDEX(Innings!J:J,MATCH(1,(TRIM(Innings!A:A)=TRIM(A33))*(TRIM(Innings!D:D)=TRIM(E33)),0))</f>
        <v>54</v>
      </c>
      <c r="AC33" cm="1">
        <f t="array" ref="AC33">INDEX(Innings!N:N,MATCH(1,(TRIM(Innings!A:A)=TRIM(A33))*(TRIM(Innings!D:D)=TRIM(E33)),0))</f>
        <v>39</v>
      </c>
      <c r="AD33" cm="1">
        <f t="array" ref="AD33">INDEX(Innings!S:S,MATCH(1,(TRIM(Innings!A:A)=TRIM(A33))*(TRIM(Innings!D:D)=TRIM(E33)),0))</f>
        <v>39</v>
      </c>
      <c r="AE33" t="str" cm="1">
        <f t="array" ref="AE33">INDEX(Innings!W:W,MATCH(1,(TRIM(Innings!A:A)=TRIM(A33))*(TRIM(Innings!D:D)=TRIM(E33)),0))</f>
        <v>Failed</v>
      </c>
      <c r="AF33">
        <f>IF(UPPER(TRIM(E33))=UPPER(TRIM(W33)),1,0)</f>
        <v>0</v>
      </c>
      <c r="AG33">
        <f t="shared" si="1"/>
        <v>13.084999999999999</v>
      </c>
    </row>
    <row r="34" spans="1:33" x14ac:dyDescent="0.3">
      <c r="A34" t="s">
        <v>37</v>
      </c>
      <c r="B34">
        <v>1</v>
      </c>
      <c r="C34" t="s">
        <v>186</v>
      </c>
      <c r="D34" t="s">
        <v>187</v>
      </c>
      <c r="E34" t="s">
        <v>159</v>
      </c>
      <c r="F34" t="s">
        <v>101</v>
      </c>
      <c r="G34" t="s">
        <v>135</v>
      </c>
      <c r="H34">
        <v>0</v>
      </c>
      <c r="I34">
        <v>0</v>
      </c>
      <c r="J34">
        <v>0</v>
      </c>
      <c r="K34" t="s">
        <v>104</v>
      </c>
      <c r="L34">
        <v>0</v>
      </c>
      <c r="M34">
        <v>3</v>
      </c>
      <c r="N34">
        <v>0</v>
      </c>
      <c r="O34">
        <v>24</v>
      </c>
      <c r="P34">
        <v>0</v>
      </c>
      <c r="Q34">
        <v>8</v>
      </c>
      <c r="R34">
        <v>-16</v>
      </c>
      <c r="S34">
        <v>0</v>
      </c>
      <c r="T34">
        <v>0</v>
      </c>
      <c r="U34" s="8">
        <v>-16</v>
      </c>
      <c r="V34" s="8">
        <f t="shared" si="0"/>
        <v>0</v>
      </c>
      <c r="W34" t="str">
        <f>_xlfn.XLOOKUP(A34, Matches!A:A, Matches!L:L, "NA", 0)</f>
        <v>DCW</v>
      </c>
      <c r="X34" t="str">
        <f>_xlfn.XLOOKUP(A34, Matches!A:A, Matches!J:J, "NA", 0)</f>
        <v>RCBW</v>
      </c>
      <c r="Y34" t="str">
        <f>_xlfn.XLOOKUP(A34, Matches!A:A, Matches!F:F, "NA", 0)</f>
        <v>Brabourne Stadium</v>
      </c>
      <c r="Z34" cm="1">
        <f t="array" ref="Z34">INDEX(Innings!F:F,MATCH(1,(TRIM(Innings!A:A)=TRIM(A34))*(TRIM(Innings!D:D)=TRIM(E34)),0))</f>
        <v>163</v>
      </c>
      <c r="AA34" cm="1">
        <f t="array" ref="AA34">INDEX(Innings!I:I,MATCH(1,(TRIM(Innings!A:A)=TRIM(A34))*(TRIM(Innings!D:D)=TRIM(E34)),0))</f>
        <v>8.15</v>
      </c>
      <c r="AB34" cm="1">
        <f t="array" ref="AB34">INDEX(Innings!J:J,MATCH(1,(TRIM(Innings!A:A)=TRIM(A34))*(TRIM(Innings!D:D)=TRIM(E34)),0))</f>
        <v>54</v>
      </c>
      <c r="AC34" cm="1">
        <f t="array" ref="AC34">INDEX(Innings!N:N,MATCH(1,(TRIM(Innings!A:A)=TRIM(A34))*(TRIM(Innings!D:D)=TRIM(E34)),0))</f>
        <v>39</v>
      </c>
      <c r="AD34" cm="1">
        <f t="array" ref="AD34">INDEX(Innings!S:S,MATCH(1,(TRIM(Innings!A:A)=TRIM(A34))*(TRIM(Innings!D:D)=TRIM(E34)),0))</f>
        <v>39</v>
      </c>
      <c r="AE34" t="str" cm="1">
        <f t="array" ref="AE34">INDEX(Innings!W:W,MATCH(1,(TRIM(Innings!A:A)=TRIM(A34))*(TRIM(Innings!D:D)=TRIM(E34)),0))</f>
        <v>Failed</v>
      </c>
      <c r="AF34">
        <f>IF(UPPER(TRIM(E34))=UPPER(TRIM(W34)),1,0)</f>
        <v>0</v>
      </c>
      <c r="AG34">
        <f t="shared" si="1"/>
        <v>0</v>
      </c>
    </row>
    <row r="35" spans="1:33" x14ac:dyDescent="0.3">
      <c r="A35" t="s">
        <v>37</v>
      </c>
      <c r="B35">
        <v>1</v>
      </c>
      <c r="C35" t="s">
        <v>188</v>
      </c>
      <c r="D35" t="s">
        <v>189</v>
      </c>
      <c r="E35" t="s">
        <v>158</v>
      </c>
      <c r="F35" t="s">
        <v>109</v>
      </c>
      <c r="G35" t="s">
        <v>86</v>
      </c>
      <c r="H35">
        <v>84</v>
      </c>
      <c r="I35">
        <v>45</v>
      </c>
      <c r="J35">
        <v>186.67</v>
      </c>
      <c r="K35" t="s">
        <v>246</v>
      </c>
      <c r="L35">
        <v>156.80000000000001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 s="8">
        <v>156.80000000000001</v>
      </c>
      <c r="V35" s="8">
        <f t="shared" si="0"/>
        <v>10</v>
      </c>
      <c r="W35" t="str">
        <f>_xlfn.XLOOKUP(A35, Matches!A:A, Matches!L:L, "NA", 0)</f>
        <v>DCW</v>
      </c>
      <c r="X35" t="str">
        <f>_xlfn.XLOOKUP(A35, Matches!A:A, Matches!J:J, "NA", 0)</f>
        <v>RCBW</v>
      </c>
      <c r="Y35" t="str">
        <f>_xlfn.XLOOKUP(A35, Matches!A:A, Matches!F:F, "NA", 0)</f>
        <v>Brabourne Stadium</v>
      </c>
      <c r="Z35" cm="1">
        <f t="array" ref="Z35">INDEX(Innings!F:F,MATCH(1,(TRIM(Innings!A:A)=TRIM(A35))*(TRIM(Innings!D:D)=TRIM(E35)),0))</f>
        <v>223</v>
      </c>
      <c r="AA35" cm="1">
        <f t="array" ref="AA35">INDEX(Innings!I:I,MATCH(1,(TRIM(Innings!A:A)=TRIM(A35))*(TRIM(Innings!D:D)=TRIM(E35)),0))</f>
        <v>11.15</v>
      </c>
      <c r="AB35" cm="1">
        <f t="array" ref="AB35">INDEX(Innings!J:J,MATCH(1,(TRIM(Innings!A:A)=TRIM(A35))*(TRIM(Innings!D:D)=TRIM(E35)),0))</f>
        <v>57</v>
      </c>
      <c r="AC35" cm="1">
        <f t="array" ref="AC35">INDEX(Innings!N:N,MATCH(1,(TRIM(Innings!A:A)=TRIM(A35))*(TRIM(Innings!D:D)=TRIM(E35)),0))</f>
        <v>46</v>
      </c>
      <c r="AD35" cm="1">
        <f t="array" ref="AD35">INDEX(Innings!S:S,MATCH(1,(TRIM(Innings!A:A)=TRIM(A35))*(TRIM(Innings!D:D)=TRIM(E35)),0))</f>
        <v>28</v>
      </c>
      <c r="AE35" t="str" cm="1">
        <f t="array" ref="AE35">INDEX(Innings!W:W,MATCH(1,(TRIM(Innings!A:A)=TRIM(A35))*(TRIM(Innings!D:D)=TRIM(E35)),0))</f>
        <v>NA</v>
      </c>
      <c r="AF35">
        <f>IF(UPPER(TRIM(E35))=UPPER(TRIM(W35)),1,0)</f>
        <v>1</v>
      </c>
      <c r="AG35">
        <f t="shared" si="1"/>
        <v>101.4</v>
      </c>
    </row>
    <row r="36" spans="1:33" x14ac:dyDescent="0.3">
      <c r="A36" t="s">
        <v>37</v>
      </c>
      <c r="B36">
        <v>1</v>
      </c>
      <c r="C36" t="s">
        <v>190</v>
      </c>
      <c r="D36" t="s">
        <v>191</v>
      </c>
      <c r="E36" t="s">
        <v>158</v>
      </c>
      <c r="F36" t="s">
        <v>109</v>
      </c>
      <c r="G36" t="s">
        <v>86</v>
      </c>
      <c r="H36">
        <v>72</v>
      </c>
      <c r="I36">
        <v>43</v>
      </c>
      <c r="J36">
        <v>167.44</v>
      </c>
      <c r="K36" t="s">
        <v>245</v>
      </c>
      <c r="L36">
        <v>120.56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 s="8">
        <v>120.56</v>
      </c>
      <c r="V36" s="8">
        <f t="shared" si="0"/>
        <v>10</v>
      </c>
      <c r="W36" t="str">
        <f>_xlfn.XLOOKUP(A36, Matches!A:A, Matches!L:L, "NA", 0)</f>
        <v>DCW</v>
      </c>
      <c r="X36" t="str">
        <f>_xlfn.XLOOKUP(A36, Matches!A:A, Matches!J:J, "NA", 0)</f>
        <v>RCBW</v>
      </c>
      <c r="Y36" t="str">
        <f>_xlfn.XLOOKUP(A36, Matches!A:A, Matches!F:F, "NA", 0)</f>
        <v>Brabourne Stadium</v>
      </c>
      <c r="Z36" cm="1">
        <f t="array" ref="Z36">INDEX(Innings!F:F,MATCH(1,(TRIM(Innings!A:A)=TRIM(A36))*(TRIM(Innings!D:D)=TRIM(E36)),0))</f>
        <v>223</v>
      </c>
      <c r="AA36" cm="1">
        <f t="array" ref="AA36">INDEX(Innings!I:I,MATCH(1,(TRIM(Innings!A:A)=TRIM(A36))*(TRIM(Innings!D:D)=TRIM(E36)),0))</f>
        <v>11.15</v>
      </c>
      <c r="AB36" cm="1">
        <f t="array" ref="AB36">INDEX(Innings!J:J,MATCH(1,(TRIM(Innings!A:A)=TRIM(A36))*(TRIM(Innings!D:D)=TRIM(E36)),0))</f>
        <v>57</v>
      </c>
      <c r="AC36" cm="1">
        <f t="array" ref="AC36">INDEX(Innings!N:N,MATCH(1,(TRIM(Innings!A:A)=TRIM(A36))*(TRIM(Innings!D:D)=TRIM(E36)),0))</f>
        <v>46</v>
      </c>
      <c r="AD36" cm="1">
        <f t="array" ref="AD36">INDEX(Innings!S:S,MATCH(1,(TRIM(Innings!A:A)=TRIM(A36))*(TRIM(Innings!D:D)=TRIM(E36)),0))</f>
        <v>28</v>
      </c>
      <c r="AE36" t="str" cm="1">
        <f t="array" ref="AE36">INDEX(Innings!W:W,MATCH(1,(TRIM(Innings!A:A)=TRIM(A36))*(TRIM(Innings!D:D)=TRIM(E36)),0))</f>
        <v>NA</v>
      </c>
      <c r="AF36">
        <f>IF(UPPER(TRIM(E36))=UPPER(TRIM(W36)),1,0)</f>
        <v>1</v>
      </c>
      <c r="AG36">
        <f t="shared" si="1"/>
        <v>83.28</v>
      </c>
    </row>
    <row r="37" spans="1:33" x14ac:dyDescent="0.3">
      <c r="A37" t="s">
        <v>37</v>
      </c>
      <c r="B37">
        <v>1</v>
      </c>
      <c r="C37" t="s">
        <v>192</v>
      </c>
      <c r="D37" t="s">
        <v>193</v>
      </c>
      <c r="E37" t="s">
        <v>158</v>
      </c>
      <c r="F37" t="s">
        <v>169</v>
      </c>
      <c r="G37" t="s">
        <v>134</v>
      </c>
      <c r="H37">
        <v>39</v>
      </c>
      <c r="I37">
        <v>17</v>
      </c>
      <c r="J37">
        <v>229.41</v>
      </c>
      <c r="K37" t="s">
        <v>96</v>
      </c>
      <c r="L37">
        <v>89.47</v>
      </c>
      <c r="M37">
        <v>4</v>
      </c>
      <c r="N37">
        <v>0</v>
      </c>
      <c r="O37">
        <v>36</v>
      </c>
      <c r="P37">
        <v>0</v>
      </c>
      <c r="Q37">
        <v>9</v>
      </c>
      <c r="R37">
        <v>-18</v>
      </c>
      <c r="S37">
        <v>0</v>
      </c>
      <c r="T37">
        <v>0</v>
      </c>
      <c r="U37" s="8">
        <v>71.47</v>
      </c>
      <c r="V37" s="8">
        <f t="shared" si="0"/>
        <v>7</v>
      </c>
      <c r="W37" t="str">
        <f>_xlfn.XLOOKUP(A37, Matches!A:A, Matches!L:L, "NA", 0)</f>
        <v>DCW</v>
      </c>
      <c r="X37" t="str">
        <f>_xlfn.XLOOKUP(A37, Matches!A:A, Matches!J:J, "NA", 0)</f>
        <v>RCBW</v>
      </c>
      <c r="Y37" t="str">
        <f>_xlfn.XLOOKUP(A37, Matches!A:A, Matches!F:F, "NA", 0)</f>
        <v>Brabourne Stadium</v>
      </c>
      <c r="Z37" cm="1">
        <f t="array" ref="Z37">INDEX(Innings!F:F,MATCH(1,(TRIM(Innings!A:A)=TRIM(A37))*(TRIM(Innings!D:D)=TRIM(E37)),0))</f>
        <v>223</v>
      </c>
      <c r="AA37" cm="1">
        <f t="array" ref="AA37">INDEX(Innings!I:I,MATCH(1,(TRIM(Innings!A:A)=TRIM(A37))*(TRIM(Innings!D:D)=TRIM(E37)),0))</f>
        <v>11.15</v>
      </c>
      <c r="AB37" cm="1">
        <f t="array" ref="AB37">INDEX(Innings!J:J,MATCH(1,(TRIM(Innings!A:A)=TRIM(A37))*(TRIM(Innings!D:D)=TRIM(E37)),0))</f>
        <v>57</v>
      </c>
      <c r="AC37" cm="1">
        <f t="array" ref="AC37">INDEX(Innings!N:N,MATCH(1,(TRIM(Innings!A:A)=TRIM(A37))*(TRIM(Innings!D:D)=TRIM(E37)),0))</f>
        <v>46</v>
      </c>
      <c r="AD37" cm="1">
        <f t="array" ref="AD37">INDEX(Innings!S:S,MATCH(1,(TRIM(Innings!A:A)=TRIM(A37))*(TRIM(Innings!D:D)=TRIM(E37)),0))</f>
        <v>28</v>
      </c>
      <c r="AE37" t="str" cm="1">
        <f t="array" ref="AE37">INDEX(Innings!W:W,MATCH(1,(TRIM(Innings!A:A)=TRIM(A37))*(TRIM(Innings!D:D)=TRIM(E37)),0))</f>
        <v>NA</v>
      </c>
      <c r="AF37">
        <f>IF(UPPER(TRIM(E37))=UPPER(TRIM(W37)),1,0)</f>
        <v>1</v>
      </c>
      <c r="AG37">
        <f t="shared" si="1"/>
        <v>57.835000000000001</v>
      </c>
    </row>
    <row r="38" spans="1:33" x14ac:dyDescent="0.3">
      <c r="A38" t="s">
        <v>37</v>
      </c>
      <c r="B38">
        <v>1</v>
      </c>
      <c r="C38" t="s">
        <v>194</v>
      </c>
      <c r="D38" t="s">
        <v>195</v>
      </c>
      <c r="E38" t="s">
        <v>158</v>
      </c>
      <c r="F38" t="s">
        <v>109</v>
      </c>
      <c r="G38" t="s">
        <v>134</v>
      </c>
      <c r="H38">
        <v>22</v>
      </c>
      <c r="I38">
        <v>15</v>
      </c>
      <c r="J38">
        <v>146.66999999999999</v>
      </c>
      <c r="K38" t="s">
        <v>96</v>
      </c>
      <c r="L38">
        <v>32.270000000000003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 s="8">
        <v>32.270000000000003</v>
      </c>
      <c r="V38" s="8">
        <f t="shared" si="0"/>
        <v>3</v>
      </c>
      <c r="W38" t="str">
        <f>_xlfn.XLOOKUP(A38, Matches!A:A, Matches!L:L, "NA", 0)</f>
        <v>DCW</v>
      </c>
      <c r="X38" t="str">
        <f>_xlfn.XLOOKUP(A38, Matches!A:A, Matches!J:J, "NA", 0)</f>
        <v>RCBW</v>
      </c>
      <c r="Y38" t="str">
        <f>_xlfn.XLOOKUP(A38, Matches!A:A, Matches!F:F, "NA", 0)</f>
        <v>Brabourne Stadium</v>
      </c>
      <c r="Z38" cm="1">
        <f t="array" ref="Z38">INDEX(Innings!F:F,MATCH(1,(TRIM(Innings!A:A)=TRIM(A38))*(TRIM(Innings!D:D)=TRIM(E38)),0))</f>
        <v>223</v>
      </c>
      <c r="AA38" cm="1">
        <f t="array" ref="AA38">INDEX(Innings!I:I,MATCH(1,(TRIM(Innings!A:A)=TRIM(A38))*(TRIM(Innings!D:D)=TRIM(E38)),0))</f>
        <v>11.15</v>
      </c>
      <c r="AB38" cm="1">
        <f t="array" ref="AB38">INDEX(Innings!J:J,MATCH(1,(TRIM(Innings!A:A)=TRIM(A38))*(TRIM(Innings!D:D)=TRIM(E38)),0))</f>
        <v>57</v>
      </c>
      <c r="AC38" cm="1">
        <f t="array" ref="AC38">INDEX(Innings!N:N,MATCH(1,(TRIM(Innings!A:A)=TRIM(A38))*(TRIM(Innings!D:D)=TRIM(E38)),0))</f>
        <v>46</v>
      </c>
      <c r="AD38" cm="1">
        <f t="array" ref="AD38">INDEX(Innings!S:S,MATCH(1,(TRIM(Innings!A:A)=TRIM(A38))*(TRIM(Innings!D:D)=TRIM(E38)),0))</f>
        <v>28</v>
      </c>
      <c r="AE38" t="str" cm="1">
        <f t="array" ref="AE38">INDEX(Innings!W:W,MATCH(1,(TRIM(Innings!A:A)=TRIM(A38))*(TRIM(Innings!D:D)=TRIM(E38)),0))</f>
        <v>NA</v>
      </c>
      <c r="AF38">
        <f>IF(UPPER(TRIM(E38))=UPPER(TRIM(W38)),1,0)</f>
        <v>1</v>
      </c>
      <c r="AG38">
        <f t="shared" si="1"/>
        <v>37.034999999999997</v>
      </c>
    </row>
    <row r="39" spans="1:33" x14ac:dyDescent="0.3">
      <c r="A39" t="s">
        <v>37</v>
      </c>
      <c r="B39">
        <v>1</v>
      </c>
      <c r="C39" t="s">
        <v>196</v>
      </c>
      <c r="D39" t="s">
        <v>197</v>
      </c>
      <c r="E39" t="s">
        <v>158</v>
      </c>
      <c r="F39" t="s">
        <v>83</v>
      </c>
      <c r="G39" t="s">
        <v>135</v>
      </c>
      <c r="H39">
        <v>0</v>
      </c>
      <c r="I39">
        <v>0</v>
      </c>
      <c r="J39">
        <v>0</v>
      </c>
      <c r="K39" t="s">
        <v>104</v>
      </c>
      <c r="L39">
        <v>0</v>
      </c>
      <c r="M39">
        <v>2</v>
      </c>
      <c r="N39">
        <v>0</v>
      </c>
      <c r="O39">
        <v>10</v>
      </c>
      <c r="P39">
        <v>2</v>
      </c>
      <c r="Q39">
        <v>5</v>
      </c>
      <c r="R39">
        <v>40</v>
      </c>
      <c r="S39">
        <v>1</v>
      </c>
      <c r="T39">
        <v>0</v>
      </c>
      <c r="U39" s="8">
        <v>40</v>
      </c>
      <c r="V39" s="8">
        <f t="shared" si="0"/>
        <v>4</v>
      </c>
      <c r="W39" t="str">
        <f>_xlfn.XLOOKUP(A39, Matches!A:A, Matches!L:L, "NA", 0)</f>
        <v>DCW</v>
      </c>
      <c r="X39" t="str">
        <f>_xlfn.XLOOKUP(A39, Matches!A:A, Matches!J:J, "NA", 0)</f>
        <v>RCBW</v>
      </c>
      <c r="Y39" t="str">
        <f>_xlfn.XLOOKUP(A39, Matches!A:A, Matches!F:F, "NA", 0)</f>
        <v>Brabourne Stadium</v>
      </c>
      <c r="Z39" cm="1">
        <f t="array" ref="Z39">INDEX(Innings!F:F,MATCH(1,(TRIM(Innings!A:A)=TRIM(A39))*(TRIM(Innings!D:D)=TRIM(E39)),0))</f>
        <v>223</v>
      </c>
      <c r="AA39" cm="1">
        <f t="array" ref="AA39">INDEX(Innings!I:I,MATCH(1,(TRIM(Innings!A:A)=TRIM(A39))*(TRIM(Innings!D:D)=TRIM(E39)),0))</f>
        <v>11.15</v>
      </c>
      <c r="AB39" cm="1">
        <f t="array" ref="AB39">INDEX(Innings!J:J,MATCH(1,(TRIM(Innings!A:A)=TRIM(A39))*(TRIM(Innings!D:D)=TRIM(E39)),0))</f>
        <v>57</v>
      </c>
      <c r="AC39" cm="1">
        <f t="array" ref="AC39">INDEX(Innings!N:N,MATCH(1,(TRIM(Innings!A:A)=TRIM(A39))*(TRIM(Innings!D:D)=TRIM(E39)),0))</f>
        <v>46</v>
      </c>
      <c r="AD39" cm="1">
        <f t="array" ref="AD39">INDEX(Innings!S:S,MATCH(1,(TRIM(Innings!A:A)=TRIM(A39))*(TRIM(Innings!D:D)=TRIM(E39)),0))</f>
        <v>28</v>
      </c>
      <c r="AE39" t="str" cm="1">
        <f t="array" ref="AE39">INDEX(Innings!W:W,MATCH(1,(TRIM(Innings!A:A)=TRIM(A39))*(TRIM(Innings!D:D)=TRIM(E39)),0))</f>
        <v>NA</v>
      </c>
      <c r="AF39">
        <f>IF(UPPER(TRIM(E39))=UPPER(TRIM(W39)),1,0)</f>
        <v>1</v>
      </c>
      <c r="AG39">
        <f t="shared" si="1"/>
        <v>41.2</v>
      </c>
    </row>
    <row r="40" spans="1:33" x14ac:dyDescent="0.3">
      <c r="A40" t="s">
        <v>37</v>
      </c>
      <c r="B40">
        <v>1</v>
      </c>
      <c r="C40" t="s">
        <v>198</v>
      </c>
      <c r="D40" t="s">
        <v>199</v>
      </c>
      <c r="E40" t="s">
        <v>158</v>
      </c>
      <c r="F40" t="s">
        <v>91</v>
      </c>
      <c r="G40" t="s">
        <v>135</v>
      </c>
      <c r="H40">
        <v>0</v>
      </c>
      <c r="I40">
        <v>0</v>
      </c>
      <c r="J40">
        <v>0</v>
      </c>
      <c r="K40" t="s">
        <v>104</v>
      </c>
      <c r="L40">
        <v>0</v>
      </c>
      <c r="M40">
        <v>4</v>
      </c>
      <c r="N40">
        <v>0</v>
      </c>
      <c r="O40">
        <v>28</v>
      </c>
      <c r="P40">
        <v>0</v>
      </c>
      <c r="Q40">
        <v>7</v>
      </c>
      <c r="R40">
        <v>-14</v>
      </c>
      <c r="S40">
        <v>0</v>
      </c>
      <c r="T40">
        <v>0</v>
      </c>
      <c r="U40" s="8">
        <v>-14</v>
      </c>
      <c r="V40" s="8">
        <f t="shared" si="0"/>
        <v>0</v>
      </c>
      <c r="W40" t="str">
        <f>_xlfn.XLOOKUP(A40, Matches!A:A, Matches!L:L, "NA", 0)</f>
        <v>DCW</v>
      </c>
      <c r="X40" t="str">
        <f>_xlfn.XLOOKUP(A40, Matches!A:A, Matches!J:J, "NA", 0)</f>
        <v>RCBW</v>
      </c>
      <c r="Y40" t="str">
        <f>_xlfn.XLOOKUP(A40, Matches!A:A, Matches!F:F, "NA", 0)</f>
        <v>Brabourne Stadium</v>
      </c>
      <c r="Z40" cm="1">
        <f t="array" ref="Z40">INDEX(Innings!F:F,MATCH(1,(TRIM(Innings!A:A)=TRIM(A40))*(TRIM(Innings!D:D)=TRIM(E40)),0))</f>
        <v>223</v>
      </c>
      <c r="AA40" cm="1">
        <f t="array" ref="AA40">INDEX(Innings!I:I,MATCH(1,(TRIM(Innings!A:A)=TRIM(A40))*(TRIM(Innings!D:D)=TRIM(E40)),0))</f>
        <v>11.15</v>
      </c>
      <c r="AB40" cm="1">
        <f t="array" ref="AB40">INDEX(Innings!J:J,MATCH(1,(TRIM(Innings!A:A)=TRIM(A40))*(TRIM(Innings!D:D)=TRIM(E40)),0))</f>
        <v>57</v>
      </c>
      <c r="AC40" cm="1">
        <f t="array" ref="AC40">INDEX(Innings!N:N,MATCH(1,(TRIM(Innings!A:A)=TRIM(A40))*(TRIM(Innings!D:D)=TRIM(E40)),0))</f>
        <v>46</v>
      </c>
      <c r="AD40" cm="1">
        <f t="array" ref="AD40">INDEX(Innings!S:S,MATCH(1,(TRIM(Innings!A:A)=TRIM(A40))*(TRIM(Innings!D:D)=TRIM(E40)),0))</f>
        <v>28</v>
      </c>
      <c r="AE40" t="str" cm="1">
        <f t="array" ref="AE40">INDEX(Innings!W:W,MATCH(1,(TRIM(Innings!A:A)=TRIM(A40))*(TRIM(Innings!D:D)=TRIM(E40)),0))</f>
        <v>NA</v>
      </c>
      <c r="AF40">
        <f>IF(UPPER(TRIM(E40))=UPPER(TRIM(W40)),1,0)</f>
        <v>1</v>
      </c>
      <c r="AG40">
        <f t="shared" si="1"/>
        <v>20</v>
      </c>
    </row>
    <row r="41" spans="1:33" x14ac:dyDescent="0.3">
      <c r="A41" t="s">
        <v>37</v>
      </c>
      <c r="B41">
        <v>1</v>
      </c>
      <c r="C41" t="s">
        <v>200</v>
      </c>
      <c r="D41" t="s">
        <v>201</v>
      </c>
      <c r="E41" t="s">
        <v>158</v>
      </c>
      <c r="F41" t="s">
        <v>85</v>
      </c>
      <c r="G41" t="s">
        <v>135</v>
      </c>
      <c r="H41">
        <v>0</v>
      </c>
      <c r="I41">
        <v>0</v>
      </c>
      <c r="J41">
        <v>0</v>
      </c>
      <c r="K41" t="s">
        <v>104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s="8">
        <v>0</v>
      </c>
      <c r="V41" s="8">
        <f t="shared" si="0"/>
        <v>0</v>
      </c>
      <c r="W41" t="str">
        <f>_xlfn.XLOOKUP(A41, Matches!A:A, Matches!L:L, "NA", 0)</f>
        <v>DCW</v>
      </c>
      <c r="X41" t="str">
        <f>_xlfn.XLOOKUP(A41, Matches!A:A, Matches!J:J, "NA", 0)</f>
        <v>RCBW</v>
      </c>
      <c r="Y41" t="str">
        <f>_xlfn.XLOOKUP(A41, Matches!A:A, Matches!F:F, "NA", 0)</f>
        <v>Brabourne Stadium</v>
      </c>
      <c r="Z41" cm="1">
        <f t="array" ref="Z41">INDEX(Innings!F:F,MATCH(1,(TRIM(Innings!A:A)=TRIM(A41))*(TRIM(Innings!D:D)=TRIM(E41)),0))</f>
        <v>223</v>
      </c>
      <c r="AA41" cm="1">
        <f t="array" ref="AA41">INDEX(Innings!I:I,MATCH(1,(TRIM(Innings!A:A)=TRIM(A41))*(TRIM(Innings!D:D)=TRIM(E41)),0))</f>
        <v>11.15</v>
      </c>
      <c r="AB41" cm="1">
        <f t="array" ref="AB41">INDEX(Innings!J:J,MATCH(1,(TRIM(Innings!A:A)=TRIM(A41))*(TRIM(Innings!D:D)=TRIM(E41)),0))</f>
        <v>57</v>
      </c>
      <c r="AC41" cm="1">
        <f t="array" ref="AC41">INDEX(Innings!N:N,MATCH(1,(TRIM(Innings!A:A)=TRIM(A41))*(TRIM(Innings!D:D)=TRIM(E41)),0))</f>
        <v>46</v>
      </c>
      <c r="AD41" cm="1">
        <f t="array" ref="AD41">INDEX(Innings!S:S,MATCH(1,(TRIM(Innings!A:A)=TRIM(A41))*(TRIM(Innings!D:D)=TRIM(E41)),0))</f>
        <v>28</v>
      </c>
      <c r="AE41" t="str" cm="1">
        <f t="array" ref="AE41">INDEX(Innings!W:W,MATCH(1,(TRIM(Innings!A:A)=TRIM(A41))*(TRIM(Innings!D:D)=TRIM(E41)),0))</f>
        <v>NA</v>
      </c>
      <c r="AF41">
        <f>IF(UPPER(TRIM(E41))=UPPER(TRIM(W41)),1,0)</f>
        <v>1</v>
      </c>
      <c r="AG41">
        <f t="shared" si="1"/>
        <v>20</v>
      </c>
    </row>
    <row r="42" spans="1:33" x14ac:dyDescent="0.3">
      <c r="A42" t="s">
        <v>37</v>
      </c>
      <c r="B42">
        <v>1</v>
      </c>
      <c r="C42" t="s">
        <v>202</v>
      </c>
      <c r="D42" t="s">
        <v>203</v>
      </c>
      <c r="E42" t="s">
        <v>158</v>
      </c>
      <c r="F42" t="s">
        <v>101</v>
      </c>
      <c r="G42" t="s">
        <v>135</v>
      </c>
      <c r="H42">
        <v>0</v>
      </c>
      <c r="I42">
        <v>0</v>
      </c>
      <c r="J42">
        <v>0</v>
      </c>
      <c r="K42" t="s">
        <v>104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s="8">
        <v>0</v>
      </c>
      <c r="V42" s="8">
        <f t="shared" si="0"/>
        <v>0</v>
      </c>
      <c r="W42" t="str">
        <f>_xlfn.XLOOKUP(A42, Matches!A:A, Matches!L:L, "NA", 0)</f>
        <v>DCW</v>
      </c>
      <c r="X42" t="str">
        <f>_xlfn.XLOOKUP(A42, Matches!A:A, Matches!J:J, "NA", 0)</f>
        <v>RCBW</v>
      </c>
      <c r="Y42" t="str">
        <f>_xlfn.XLOOKUP(A42, Matches!A:A, Matches!F:F, "NA", 0)</f>
        <v>Brabourne Stadium</v>
      </c>
      <c r="Z42" cm="1">
        <f t="array" ref="Z42">INDEX(Innings!F:F,MATCH(1,(TRIM(Innings!A:A)=TRIM(A42))*(TRIM(Innings!D:D)=TRIM(E42)),0))</f>
        <v>223</v>
      </c>
      <c r="AA42" cm="1">
        <f t="array" ref="AA42">INDEX(Innings!I:I,MATCH(1,(TRIM(Innings!A:A)=TRIM(A42))*(TRIM(Innings!D:D)=TRIM(E42)),0))</f>
        <v>11.15</v>
      </c>
      <c r="AB42" cm="1">
        <f t="array" ref="AB42">INDEX(Innings!J:J,MATCH(1,(TRIM(Innings!A:A)=TRIM(A42))*(TRIM(Innings!D:D)=TRIM(E42)),0))</f>
        <v>57</v>
      </c>
      <c r="AC42" cm="1">
        <f t="array" ref="AC42">INDEX(Innings!N:N,MATCH(1,(TRIM(Innings!A:A)=TRIM(A42))*(TRIM(Innings!D:D)=TRIM(E42)),0))</f>
        <v>46</v>
      </c>
      <c r="AD42" cm="1">
        <f t="array" ref="AD42">INDEX(Innings!S:S,MATCH(1,(TRIM(Innings!A:A)=TRIM(A42))*(TRIM(Innings!D:D)=TRIM(E42)),0))</f>
        <v>28</v>
      </c>
      <c r="AE42" t="str" cm="1">
        <f t="array" ref="AE42">INDEX(Innings!W:W,MATCH(1,(TRIM(Innings!A:A)=TRIM(A42))*(TRIM(Innings!D:D)=TRIM(E42)),0))</f>
        <v>NA</v>
      </c>
      <c r="AF42">
        <f>IF(UPPER(TRIM(E42))=UPPER(TRIM(W42)),1,0)</f>
        <v>1</v>
      </c>
      <c r="AG42">
        <f t="shared" si="1"/>
        <v>20</v>
      </c>
    </row>
    <row r="43" spans="1:33" x14ac:dyDescent="0.3">
      <c r="A43" t="s">
        <v>37</v>
      </c>
      <c r="B43">
        <v>1</v>
      </c>
      <c r="C43" t="s">
        <v>204</v>
      </c>
      <c r="D43" t="s">
        <v>205</v>
      </c>
      <c r="E43" t="s">
        <v>158</v>
      </c>
      <c r="F43" t="s">
        <v>91</v>
      </c>
      <c r="G43" t="s">
        <v>135</v>
      </c>
      <c r="H43">
        <v>0</v>
      </c>
      <c r="I43">
        <v>0</v>
      </c>
      <c r="J43">
        <v>0</v>
      </c>
      <c r="K43" t="s">
        <v>104</v>
      </c>
      <c r="L43">
        <v>0</v>
      </c>
      <c r="M43">
        <v>4</v>
      </c>
      <c r="N43">
        <v>0</v>
      </c>
      <c r="O43">
        <v>35</v>
      </c>
      <c r="P43">
        <v>1</v>
      </c>
      <c r="Q43">
        <v>8.8000000000000007</v>
      </c>
      <c r="R43">
        <v>7.4</v>
      </c>
      <c r="S43">
        <v>1</v>
      </c>
      <c r="T43">
        <v>0</v>
      </c>
      <c r="U43" s="8">
        <v>7.4</v>
      </c>
      <c r="V43" s="8">
        <f t="shared" si="0"/>
        <v>1</v>
      </c>
      <c r="W43" t="str">
        <f>_xlfn.XLOOKUP(A43, Matches!A:A, Matches!L:L, "NA", 0)</f>
        <v>DCW</v>
      </c>
      <c r="X43" t="str">
        <f>_xlfn.XLOOKUP(A43, Matches!A:A, Matches!J:J, "NA", 0)</f>
        <v>RCBW</v>
      </c>
      <c r="Y43" t="str">
        <f>_xlfn.XLOOKUP(A43, Matches!A:A, Matches!F:F, "NA", 0)</f>
        <v>Brabourne Stadium</v>
      </c>
      <c r="Z43" cm="1">
        <f t="array" ref="Z43">INDEX(Innings!F:F,MATCH(1,(TRIM(Innings!A:A)=TRIM(A43))*(TRIM(Innings!D:D)=TRIM(E43)),0))</f>
        <v>223</v>
      </c>
      <c r="AA43" cm="1">
        <f t="array" ref="AA43">INDEX(Innings!I:I,MATCH(1,(TRIM(Innings!A:A)=TRIM(A43))*(TRIM(Innings!D:D)=TRIM(E43)),0))</f>
        <v>11.15</v>
      </c>
      <c r="AB43" cm="1">
        <f t="array" ref="AB43">INDEX(Innings!J:J,MATCH(1,(TRIM(Innings!A:A)=TRIM(A43))*(TRIM(Innings!D:D)=TRIM(E43)),0))</f>
        <v>57</v>
      </c>
      <c r="AC43" cm="1">
        <f t="array" ref="AC43">INDEX(Innings!N:N,MATCH(1,(TRIM(Innings!A:A)=TRIM(A43))*(TRIM(Innings!D:D)=TRIM(E43)),0))</f>
        <v>46</v>
      </c>
      <c r="AD43" cm="1">
        <f t="array" ref="AD43">INDEX(Innings!S:S,MATCH(1,(TRIM(Innings!A:A)=TRIM(A43))*(TRIM(Innings!D:D)=TRIM(E43)),0))</f>
        <v>28</v>
      </c>
      <c r="AE43" t="str" cm="1">
        <f t="array" ref="AE43">INDEX(Innings!W:W,MATCH(1,(TRIM(Innings!A:A)=TRIM(A43))*(TRIM(Innings!D:D)=TRIM(E43)),0))</f>
        <v>NA</v>
      </c>
      <c r="AF43">
        <f>IF(UPPER(TRIM(E43))=UPPER(TRIM(W43)),1,0)</f>
        <v>1</v>
      </c>
      <c r="AG43">
        <f t="shared" si="1"/>
        <v>24</v>
      </c>
    </row>
    <row r="44" spans="1:33" x14ac:dyDescent="0.3">
      <c r="A44" t="s">
        <v>37</v>
      </c>
      <c r="B44">
        <v>1</v>
      </c>
      <c r="C44" t="s">
        <v>206</v>
      </c>
      <c r="D44" t="s">
        <v>207</v>
      </c>
      <c r="E44" t="s">
        <v>158</v>
      </c>
      <c r="F44" t="s">
        <v>101</v>
      </c>
      <c r="G44" t="s">
        <v>135</v>
      </c>
      <c r="H44">
        <v>0</v>
      </c>
      <c r="I44">
        <v>0</v>
      </c>
      <c r="J44">
        <v>0</v>
      </c>
      <c r="K44" t="s">
        <v>104</v>
      </c>
      <c r="L44">
        <v>0</v>
      </c>
      <c r="M44">
        <v>2</v>
      </c>
      <c r="N44">
        <v>0</v>
      </c>
      <c r="O44">
        <v>24</v>
      </c>
      <c r="P44">
        <v>0</v>
      </c>
      <c r="Q44">
        <v>12</v>
      </c>
      <c r="R44">
        <v>-24</v>
      </c>
      <c r="S44">
        <v>1</v>
      </c>
      <c r="T44">
        <v>0</v>
      </c>
      <c r="U44" s="8">
        <v>-24</v>
      </c>
      <c r="V44" s="8">
        <f t="shared" si="0"/>
        <v>0</v>
      </c>
      <c r="W44" t="str">
        <f>_xlfn.XLOOKUP(A44, Matches!A:A, Matches!L:L, "NA", 0)</f>
        <v>DCW</v>
      </c>
      <c r="X44" t="str">
        <f>_xlfn.XLOOKUP(A44, Matches!A:A, Matches!J:J, "NA", 0)</f>
        <v>RCBW</v>
      </c>
      <c r="Y44" t="str">
        <f>_xlfn.XLOOKUP(A44, Matches!A:A, Matches!F:F, "NA", 0)</f>
        <v>Brabourne Stadium</v>
      </c>
      <c r="Z44" cm="1">
        <f t="array" ref="Z44">INDEX(Innings!F:F,MATCH(1,(TRIM(Innings!A:A)=TRIM(A44))*(TRIM(Innings!D:D)=TRIM(E44)),0))</f>
        <v>223</v>
      </c>
      <c r="AA44" cm="1">
        <f t="array" ref="AA44">INDEX(Innings!I:I,MATCH(1,(TRIM(Innings!A:A)=TRIM(A44))*(TRIM(Innings!D:D)=TRIM(E44)),0))</f>
        <v>11.15</v>
      </c>
      <c r="AB44" cm="1">
        <f t="array" ref="AB44">INDEX(Innings!J:J,MATCH(1,(TRIM(Innings!A:A)=TRIM(A44))*(TRIM(Innings!D:D)=TRIM(E44)),0))</f>
        <v>57</v>
      </c>
      <c r="AC44" cm="1">
        <f t="array" ref="AC44">INDEX(Innings!N:N,MATCH(1,(TRIM(Innings!A:A)=TRIM(A44))*(TRIM(Innings!D:D)=TRIM(E44)),0))</f>
        <v>46</v>
      </c>
      <c r="AD44" cm="1">
        <f t="array" ref="AD44">INDEX(Innings!S:S,MATCH(1,(TRIM(Innings!A:A)=TRIM(A44))*(TRIM(Innings!D:D)=TRIM(E44)),0))</f>
        <v>28</v>
      </c>
      <c r="AE44" t="str" cm="1">
        <f t="array" ref="AE44">INDEX(Innings!W:W,MATCH(1,(TRIM(Innings!A:A)=TRIM(A44))*(TRIM(Innings!D:D)=TRIM(E44)),0))</f>
        <v>NA</v>
      </c>
      <c r="AF44">
        <f>IF(UPPER(TRIM(E44))=UPPER(TRIM(W44)),1,0)</f>
        <v>1</v>
      </c>
      <c r="AG44">
        <f t="shared" si="1"/>
        <v>20</v>
      </c>
    </row>
    <row r="45" spans="1:33" x14ac:dyDescent="0.3">
      <c r="A45" t="s">
        <v>37</v>
      </c>
      <c r="B45">
        <v>1</v>
      </c>
      <c r="C45" t="s">
        <v>208</v>
      </c>
      <c r="D45" t="s">
        <v>160</v>
      </c>
      <c r="E45" t="s">
        <v>158</v>
      </c>
      <c r="F45" t="s">
        <v>101</v>
      </c>
      <c r="G45" t="s">
        <v>135</v>
      </c>
      <c r="H45">
        <v>0</v>
      </c>
      <c r="I45">
        <v>0</v>
      </c>
      <c r="J45">
        <v>0</v>
      </c>
      <c r="K45" t="s">
        <v>104</v>
      </c>
      <c r="L45">
        <v>0</v>
      </c>
      <c r="M45">
        <v>4</v>
      </c>
      <c r="N45">
        <v>0</v>
      </c>
      <c r="O45">
        <v>29</v>
      </c>
      <c r="P45">
        <v>5</v>
      </c>
      <c r="Q45">
        <v>7.2</v>
      </c>
      <c r="R45">
        <v>110.6</v>
      </c>
      <c r="S45">
        <v>0</v>
      </c>
      <c r="T45">
        <v>0</v>
      </c>
      <c r="U45" s="8">
        <v>110.6</v>
      </c>
      <c r="V45" s="8">
        <f t="shared" si="0"/>
        <v>10</v>
      </c>
      <c r="W45" t="str">
        <f>_xlfn.XLOOKUP(A45, Matches!A:A, Matches!L:L, "NA", 0)</f>
        <v>DCW</v>
      </c>
      <c r="X45" t="str">
        <f>_xlfn.XLOOKUP(A45, Matches!A:A, Matches!J:J, "NA", 0)</f>
        <v>RCBW</v>
      </c>
      <c r="Y45" t="str">
        <f>_xlfn.XLOOKUP(A45, Matches!A:A, Matches!F:F, "NA", 0)</f>
        <v>Brabourne Stadium</v>
      </c>
      <c r="Z45" cm="1">
        <f t="array" ref="Z45">INDEX(Innings!F:F,MATCH(1,(TRIM(Innings!A:A)=TRIM(A45))*(TRIM(Innings!D:D)=TRIM(E45)),0))</f>
        <v>223</v>
      </c>
      <c r="AA45" cm="1">
        <f t="array" ref="AA45">INDEX(Innings!I:I,MATCH(1,(TRIM(Innings!A:A)=TRIM(A45))*(TRIM(Innings!D:D)=TRIM(E45)),0))</f>
        <v>11.15</v>
      </c>
      <c r="AB45" cm="1">
        <f t="array" ref="AB45">INDEX(Innings!J:J,MATCH(1,(TRIM(Innings!A:A)=TRIM(A45))*(TRIM(Innings!D:D)=TRIM(E45)),0))</f>
        <v>57</v>
      </c>
      <c r="AC45" cm="1">
        <f t="array" ref="AC45">INDEX(Innings!N:N,MATCH(1,(TRIM(Innings!A:A)=TRIM(A45))*(TRIM(Innings!D:D)=TRIM(E45)),0))</f>
        <v>46</v>
      </c>
      <c r="AD45" cm="1">
        <f t="array" ref="AD45">INDEX(Innings!S:S,MATCH(1,(TRIM(Innings!A:A)=TRIM(A45))*(TRIM(Innings!D:D)=TRIM(E45)),0))</f>
        <v>28</v>
      </c>
      <c r="AE45" t="str" cm="1">
        <f t="array" ref="AE45">INDEX(Innings!W:W,MATCH(1,(TRIM(Innings!A:A)=TRIM(A45))*(TRIM(Innings!D:D)=TRIM(E45)),0))</f>
        <v>NA</v>
      </c>
      <c r="AF45">
        <f>IF(UPPER(TRIM(E45))=UPPER(TRIM(W45)),1,0)</f>
        <v>1</v>
      </c>
      <c r="AG45">
        <f t="shared" si="1"/>
        <v>78.3</v>
      </c>
    </row>
    <row r="46" spans="1:33" x14ac:dyDescent="0.3">
      <c r="A46" t="s">
        <v>136</v>
      </c>
      <c r="B46">
        <v>1</v>
      </c>
      <c r="C46" t="s">
        <v>217</v>
      </c>
      <c r="D46" t="s">
        <v>218</v>
      </c>
      <c r="E46" t="s">
        <v>219</v>
      </c>
      <c r="F46" t="s">
        <v>85</v>
      </c>
      <c r="G46" t="s">
        <v>86</v>
      </c>
      <c r="H46">
        <v>7</v>
      </c>
      <c r="I46">
        <v>8</v>
      </c>
      <c r="J46">
        <v>87.5</v>
      </c>
      <c r="K46" t="s">
        <v>246</v>
      </c>
      <c r="L46">
        <v>6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s="8">
        <v>6</v>
      </c>
      <c r="V46" s="8">
        <f t="shared" si="0"/>
        <v>1</v>
      </c>
      <c r="W46" t="str">
        <f>_xlfn.XLOOKUP(A46, Matches!A:A, Matches!L:L, "NA", 0)</f>
        <v>UPW</v>
      </c>
      <c r="X46" t="str">
        <f>_xlfn.XLOOKUP(A46, Matches!A:A, Matches!J:J, "NA", 0)</f>
        <v>GGTW</v>
      </c>
      <c r="Y46" t="str">
        <f>_xlfn.XLOOKUP(A46, Matches!A:A, Matches!F:F, "NA", 0)</f>
        <v>Dr DY Patil Sports </v>
      </c>
      <c r="Z46" cm="1">
        <f t="array" ref="Z46">INDEX(Innings!F:F,MATCH(1,(TRIM(Innings!A:A)=TRIM(A46))*(TRIM(Innings!D:D)=TRIM(E46)),0))</f>
        <v>175</v>
      </c>
      <c r="AA46" cm="1">
        <f t="array" ref="AA46">INDEX(Innings!I:I,MATCH(1,(TRIM(Innings!A:A)=TRIM(A46))*(TRIM(Innings!D:D)=TRIM(E46)),0))</f>
        <v>8.82</v>
      </c>
      <c r="AB46" cm="1">
        <f t="array" ref="AB46">INDEX(Innings!J:J,MATCH(1,(TRIM(Innings!A:A)=TRIM(A46))*(TRIM(Innings!D:D)=TRIM(E46)),0))</f>
        <v>35</v>
      </c>
      <c r="AC46" cm="1">
        <f t="array" ref="AC46">INDEX(Innings!N:N,MATCH(1,(TRIM(Innings!A:A)=TRIM(A46))*(TRIM(Innings!D:D)=TRIM(E46)),0))</f>
        <v>68</v>
      </c>
      <c r="AD46" cm="1">
        <f t="array" ref="AD46">INDEX(Innings!S:S,MATCH(1,(TRIM(Innings!A:A)=TRIM(A46))*(TRIM(Innings!D:D)=TRIM(E46)),0))</f>
        <v>33</v>
      </c>
      <c r="AE46" t="str" cm="1">
        <f t="array" ref="AE46">INDEX(Innings!W:W,MATCH(1,(TRIM(Innings!A:A)=TRIM(A46))*(TRIM(Innings!D:D)=TRIM(E46)),0))</f>
        <v>Successful</v>
      </c>
      <c r="AF46">
        <f>IF(UPPER(TRIM(E46))=UPPER(TRIM(W46)),1,0)</f>
        <v>1</v>
      </c>
      <c r="AG46">
        <f t="shared" si="1"/>
        <v>23.3</v>
      </c>
    </row>
    <row r="47" spans="1:33" x14ac:dyDescent="0.3">
      <c r="A47" t="s">
        <v>136</v>
      </c>
      <c r="B47">
        <v>1</v>
      </c>
      <c r="C47" t="s">
        <v>220</v>
      </c>
      <c r="D47" t="s">
        <v>221</v>
      </c>
      <c r="E47" t="s">
        <v>219</v>
      </c>
      <c r="F47" t="s">
        <v>109</v>
      </c>
      <c r="G47" t="s">
        <v>86</v>
      </c>
      <c r="H47">
        <v>5</v>
      </c>
      <c r="I47">
        <v>6</v>
      </c>
      <c r="J47">
        <v>83.3</v>
      </c>
      <c r="K47" t="s">
        <v>246</v>
      </c>
      <c r="L47">
        <v>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s="8">
        <v>4</v>
      </c>
      <c r="V47" s="8">
        <f t="shared" si="0"/>
        <v>0</v>
      </c>
      <c r="W47" t="str">
        <f>_xlfn.XLOOKUP(A47, Matches!A:A, Matches!L:L, "NA", 0)</f>
        <v>UPW</v>
      </c>
      <c r="X47" t="str">
        <f>_xlfn.XLOOKUP(A47, Matches!A:A, Matches!J:J, "NA", 0)</f>
        <v>GGTW</v>
      </c>
      <c r="Y47" t="str">
        <f>_xlfn.XLOOKUP(A47, Matches!A:A, Matches!F:F, "NA", 0)</f>
        <v>Dr DY Patil Sports </v>
      </c>
      <c r="Z47" cm="1">
        <f t="array" ref="Z47">INDEX(Innings!F:F,MATCH(1,(TRIM(Innings!A:A)=TRIM(A47))*(TRIM(Innings!D:D)=TRIM(E47)),0))</f>
        <v>175</v>
      </c>
      <c r="AA47" cm="1">
        <f t="array" ref="AA47">INDEX(Innings!I:I,MATCH(1,(TRIM(Innings!A:A)=TRIM(A47))*(TRIM(Innings!D:D)=TRIM(E47)),0))</f>
        <v>8.82</v>
      </c>
      <c r="AB47" cm="1">
        <f t="array" ref="AB47">INDEX(Innings!J:J,MATCH(1,(TRIM(Innings!A:A)=TRIM(A47))*(TRIM(Innings!D:D)=TRIM(E47)),0))</f>
        <v>35</v>
      </c>
      <c r="AC47" cm="1">
        <f t="array" ref="AC47">INDEX(Innings!N:N,MATCH(1,(TRIM(Innings!A:A)=TRIM(A47))*(TRIM(Innings!D:D)=TRIM(E47)),0))</f>
        <v>68</v>
      </c>
      <c r="AD47" cm="1">
        <f t="array" ref="AD47">INDEX(Innings!S:S,MATCH(1,(TRIM(Innings!A:A)=TRIM(A47))*(TRIM(Innings!D:D)=TRIM(E47)),0))</f>
        <v>33</v>
      </c>
      <c r="AE47" t="str" cm="1">
        <f t="array" ref="AE47">INDEX(Innings!W:W,MATCH(1,(TRIM(Innings!A:A)=TRIM(A47))*(TRIM(Innings!D:D)=TRIM(E47)),0))</f>
        <v>Successful</v>
      </c>
      <c r="AF47">
        <f>IF(UPPER(TRIM(E47))=UPPER(TRIM(W47)),1,0)</f>
        <v>1</v>
      </c>
      <c r="AG47">
        <f t="shared" si="1"/>
        <v>22</v>
      </c>
    </row>
    <row r="48" spans="1:33" x14ac:dyDescent="0.3">
      <c r="A48" t="s">
        <v>136</v>
      </c>
      <c r="B48">
        <v>1</v>
      </c>
      <c r="C48" t="s">
        <v>222</v>
      </c>
      <c r="D48" t="s">
        <v>223</v>
      </c>
      <c r="E48" t="s">
        <v>219</v>
      </c>
      <c r="F48" t="s">
        <v>169</v>
      </c>
      <c r="G48" t="s">
        <v>92</v>
      </c>
      <c r="H48">
        <v>0</v>
      </c>
      <c r="I48">
        <v>1</v>
      </c>
      <c r="J48">
        <v>0</v>
      </c>
      <c r="K48" t="s">
        <v>246</v>
      </c>
      <c r="L48">
        <v>0</v>
      </c>
      <c r="M48">
        <v>2</v>
      </c>
      <c r="N48">
        <v>0</v>
      </c>
      <c r="O48">
        <v>18</v>
      </c>
      <c r="P48">
        <v>1</v>
      </c>
      <c r="Q48">
        <v>9</v>
      </c>
      <c r="R48">
        <v>15</v>
      </c>
      <c r="S48">
        <v>0</v>
      </c>
      <c r="T48">
        <v>0</v>
      </c>
      <c r="U48" s="8">
        <v>15</v>
      </c>
      <c r="V48" s="8">
        <f t="shared" si="0"/>
        <v>2</v>
      </c>
      <c r="W48" t="str">
        <f>_xlfn.XLOOKUP(A48, Matches!A:A, Matches!L:L, "NA", 0)</f>
        <v>UPW</v>
      </c>
      <c r="X48" t="str">
        <f>_xlfn.XLOOKUP(A48, Matches!A:A, Matches!J:J, "NA", 0)</f>
        <v>GGTW</v>
      </c>
      <c r="Y48" t="str">
        <f>_xlfn.XLOOKUP(A48, Matches!A:A, Matches!F:F, "NA", 0)</f>
        <v>Dr DY Patil Sports </v>
      </c>
      <c r="Z48" cm="1">
        <f t="array" ref="Z48">INDEX(Innings!F:F,MATCH(1,(TRIM(Innings!A:A)=TRIM(A48))*(TRIM(Innings!D:D)=TRIM(E48)),0))</f>
        <v>175</v>
      </c>
      <c r="AA48" cm="1">
        <f t="array" ref="AA48">INDEX(Innings!I:I,MATCH(1,(TRIM(Innings!A:A)=TRIM(A48))*(TRIM(Innings!D:D)=TRIM(E48)),0))</f>
        <v>8.82</v>
      </c>
      <c r="AB48" cm="1">
        <f t="array" ref="AB48">INDEX(Innings!J:J,MATCH(1,(TRIM(Innings!A:A)=TRIM(A48))*(TRIM(Innings!D:D)=TRIM(E48)),0))</f>
        <v>35</v>
      </c>
      <c r="AC48" cm="1">
        <f t="array" ref="AC48">INDEX(Innings!N:N,MATCH(1,(TRIM(Innings!A:A)=TRIM(A48))*(TRIM(Innings!D:D)=TRIM(E48)),0))</f>
        <v>68</v>
      </c>
      <c r="AD48" cm="1">
        <f t="array" ref="AD48">INDEX(Innings!S:S,MATCH(1,(TRIM(Innings!A:A)=TRIM(A48))*(TRIM(Innings!D:D)=TRIM(E48)),0))</f>
        <v>33</v>
      </c>
      <c r="AE48" t="str" cm="1">
        <f t="array" ref="AE48">INDEX(Innings!W:W,MATCH(1,(TRIM(Innings!A:A)=TRIM(A48))*(TRIM(Innings!D:D)=TRIM(E48)),0))</f>
        <v>Successful</v>
      </c>
      <c r="AF48">
        <f>IF(UPPER(TRIM(E48))=UPPER(TRIM(W48)),1,0)</f>
        <v>1</v>
      </c>
      <c r="AG48">
        <f t="shared" si="1"/>
        <v>28.1</v>
      </c>
    </row>
    <row r="49" spans="1:33" x14ac:dyDescent="0.3">
      <c r="A49" t="s">
        <v>136</v>
      </c>
      <c r="B49">
        <v>1</v>
      </c>
      <c r="C49" t="s">
        <v>224</v>
      </c>
      <c r="D49" t="s">
        <v>225</v>
      </c>
      <c r="E49" t="s">
        <v>219</v>
      </c>
      <c r="F49" t="s">
        <v>83</v>
      </c>
      <c r="G49" t="s">
        <v>134</v>
      </c>
      <c r="H49">
        <v>11</v>
      </c>
      <c r="I49">
        <v>16</v>
      </c>
      <c r="J49">
        <v>68.7</v>
      </c>
      <c r="K49" t="s">
        <v>245</v>
      </c>
      <c r="L49">
        <v>8</v>
      </c>
      <c r="M49">
        <v>4</v>
      </c>
      <c r="N49">
        <v>0</v>
      </c>
      <c r="O49">
        <v>27</v>
      </c>
      <c r="P49">
        <v>2</v>
      </c>
      <c r="Q49">
        <v>6.8</v>
      </c>
      <c r="R49">
        <v>40</v>
      </c>
      <c r="S49">
        <v>0</v>
      </c>
      <c r="T49">
        <v>0</v>
      </c>
      <c r="U49" s="8">
        <v>48</v>
      </c>
      <c r="V49" s="8">
        <f t="shared" si="0"/>
        <v>5</v>
      </c>
      <c r="W49" t="str">
        <f>_xlfn.XLOOKUP(A49, Matches!A:A, Matches!L:L, "NA", 0)</f>
        <v>UPW</v>
      </c>
      <c r="X49" t="str">
        <f>_xlfn.XLOOKUP(A49, Matches!A:A, Matches!J:J, "NA", 0)</f>
        <v>GGTW</v>
      </c>
      <c r="Y49" t="str">
        <f>_xlfn.XLOOKUP(A49, Matches!A:A, Matches!F:F, "NA", 0)</f>
        <v>Dr DY Patil Sports </v>
      </c>
      <c r="Z49" cm="1">
        <f t="array" ref="Z49">INDEX(Innings!F:F,MATCH(1,(TRIM(Innings!A:A)=TRIM(A49))*(TRIM(Innings!D:D)=TRIM(E49)),0))</f>
        <v>175</v>
      </c>
      <c r="AA49" cm="1">
        <f t="array" ref="AA49">INDEX(Innings!I:I,MATCH(1,(TRIM(Innings!A:A)=TRIM(A49))*(TRIM(Innings!D:D)=TRIM(E49)),0))</f>
        <v>8.82</v>
      </c>
      <c r="AB49" cm="1">
        <f t="array" ref="AB49">INDEX(Innings!J:J,MATCH(1,(TRIM(Innings!A:A)=TRIM(A49))*(TRIM(Innings!D:D)=TRIM(E49)),0))</f>
        <v>35</v>
      </c>
      <c r="AC49" cm="1">
        <f t="array" ref="AC49">INDEX(Innings!N:N,MATCH(1,(TRIM(Innings!A:A)=TRIM(A49))*(TRIM(Innings!D:D)=TRIM(E49)),0))</f>
        <v>68</v>
      </c>
      <c r="AD49" cm="1">
        <f t="array" ref="AD49">INDEX(Innings!S:S,MATCH(1,(TRIM(Innings!A:A)=TRIM(A49))*(TRIM(Innings!D:D)=TRIM(E49)),0))</f>
        <v>33</v>
      </c>
      <c r="AE49" t="str" cm="1">
        <f t="array" ref="AE49">INDEX(Innings!W:W,MATCH(1,(TRIM(Innings!A:A)=TRIM(A49))*(TRIM(Innings!D:D)=TRIM(E49)),0))</f>
        <v>Successful</v>
      </c>
      <c r="AF49">
        <f>IF(UPPER(TRIM(E49))=UPPER(TRIM(W49)),1,0)</f>
        <v>1</v>
      </c>
      <c r="AG49">
        <f t="shared" si="1"/>
        <v>45.5</v>
      </c>
    </row>
    <row r="50" spans="1:33" x14ac:dyDescent="0.3">
      <c r="A50" t="s">
        <v>136</v>
      </c>
      <c r="B50">
        <v>1</v>
      </c>
      <c r="C50" t="s">
        <v>226</v>
      </c>
      <c r="D50" t="s">
        <v>211</v>
      </c>
      <c r="E50" t="s">
        <v>219</v>
      </c>
      <c r="F50" t="s">
        <v>169</v>
      </c>
      <c r="G50" t="s">
        <v>134</v>
      </c>
      <c r="H50">
        <v>59</v>
      </c>
      <c r="I50">
        <v>26</v>
      </c>
      <c r="J50">
        <v>226.9</v>
      </c>
      <c r="K50" t="s">
        <v>96</v>
      </c>
      <c r="L50">
        <v>90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s="8">
        <v>90</v>
      </c>
      <c r="V50" s="8">
        <f t="shared" si="0"/>
        <v>9</v>
      </c>
      <c r="W50" t="str">
        <f>_xlfn.XLOOKUP(A50, Matches!A:A, Matches!L:L, "NA", 0)</f>
        <v>UPW</v>
      </c>
      <c r="X50" t="str">
        <f>_xlfn.XLOOKUP(A50, Matches!A:A, Matches!J:J, "NA", 0)</f>
        <v>GGTW</v>
      </c>
      <c r="Y50" t="str">
        <f>_xlfn.XLOOKUP(A50, Matches!A:A, Matches!F:F, "NA", 0)</f>
        <v>Dr DY Patil Sports </v>
      </c>
      <c r="Z50" cm="1">
        <f t="array" ref="Z50">INDEX(Innings!F:F,MATCH(1,(TRIM(Innings!A:A)=TRIM(A50))*(TRIM(Innings!D:D)=TRIM(E50)),0))</f>
        <v>175</v>
      </c>
      <c r="AA50" cm="1">
        <f t="array" ref="AA50">INDEX(Innings!I:I,MATCH(1,(TRIM(Innings!A:A)=TRIM(A50))*(TRIM(Innings!D:D)=TRIM(E50)),0))</f>
        <v>8.82</v>
      </c>
      <c r="AB50" cm="1">
        <f t="array" ref="AB50">INDEX(Innings!J:J,MATCH(1,(TRIM(Innings!A:A)=TRIM(A50))*(TRIM(Innings!D:D)=TRIM(E50)),0))</f>
        <v>35</v>
      </c>
      <c r="AC50" cm="1">
        <f t="array" ref="AC50">INDEX(Innings!N:N,MATCH(1,(TRIM(Innings!A:A)=TRIM(A50))*(TRIM(Innings!D:D)=TRIM(E50)),0))</f>
        <v>68</v>
      </c>
      <c r="AD50" cm="1">
        <f t="array" ref="AD50">INDEX(Innings!S:S,MATCH(1,(TRIM(Innings!A:A)=TRIM(A50))*(TRIM(Innings!D:D)=TRIM(E50)),0))</f>
        <v>33</v>
      </c>
      <c r="AE50" t="str" cm="1">
        <f t="array" ref="AE50">INDEX(Innings!W:W,MATCH(1,(TRIM(Innings!A:A)=TRIM(A50))*(TRIM(Innings!D:D)=TRIM(E50)),0))</f>
        <v>Successful</v>
      </c>
      <c r="AF50">
        <f>IF(UPPER(TRIM(E50))=UPPER(TRIM(W50)),1,0)</f>
        <v>1</v>
      </c>
      <c r="AG50">
        <f t="shared" si="1"/>
        <v>67.7</v>
      </c>
    </row>
    <row r="51" spans="1:33" x14ac:dyDescent="0.3">
      <c r="A51" t="s">
        <v>136</v>
      </c>
      <c r="B51">
        <v>1</v>
      </c>
      <c r="C51" t="s">
        <v>227</v>
      </c>
      <c r="D51" t="s">
        <v>228</v>
      </c>
      <c r="E51" t="s">
        <v>219</v>
      </c>
      <c r="F51" t="s">
        <v>109</v>
      </c>
      <c r="G51" t="s">
        <v>135</v>
      </c>
      <c r="H51">
        <v>0</v>
      </c>
      <c r="I51">
        <v>1</v>
      </c>
      <c r="J51">
        <v>0</v>
      </c>
      <c r="K51" t="s">
        <v>245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s="8">
        <v>0</v>
      </c>
      <c r="V51" s="8">
        <f t="shared" si="0"/>
        <v>0</v>
      </c>
      <c r="W51" t="str">
        <f>_xlfn.XLOOKUP(A51, Matches!A:A, Matches!L:L, "NA", 0)</f>
        <v>UPW</v>
      </c>
      <c r="X51" t="str">
        <f>_xlfn.XLOOKUP(A51, Matches!A:A, Matches!J:J, "NA", 0)</f>
        <v>GGTW</v>
      </c>
      <c r="Y51" t="str">
        <f>_xlfn.XLOOKUP(A51, Matches!A:A, Matches!F:F, "NA", 0)</f>
        <v>Dr DY Patil Sports </v>
      </c>
      <c r="Z51" cm="1">
        <f t="array" ref="Z51">INDEX(Innings!F:F,MATCH(1,(TRIM(Innings!A:A)=TRIM(A51))*(TRIM(Innings!D:D)=TRIM(E51)),0))</f>
        <v>175</v>
      </c>
      <c r="AA51" cm="1">
        <f t="array" ref="AA51">INDEX(Innings!I:I,MATCH(1,(TRIM(Innings!A:A)=TRIM(A51))*(TRIM(Innings!D:D)=TRIM(E51)),0))</f>
        <v>8.82</v>
      </c>
      <c r="AB51" cm="1">
        <f t="array" ref="AB51">INDEX(Innings!J:J,MATCH(1,(TRIM(Innings!A:A)=TRIM(A51))*(TRIM(Innings!D:D)=TRIM(E51)),0))</f>
        <v>35</v>
      </c>
      <c r="AC51" cm="1">
        <f t="array" ref="AC51">INDEX(Innings!N:N,MATCH(1,(TRIM(Innings!A:A)=TRIM(A51))*(TRIM(Innings!D:D)=TRIM(E51)),0))</f>
        <v>68</v>
      </c>
      <c r="AD51" cm="1">
        <f t="array" ref="AD51">INDEX(Innings!S:S,MATCH(1,(TRIM(Innings!A:A)=TRIM(A51))*(TRIM(Innings!D:D)=TRIM(E51)),0))</f>
        <v>33</v>
      </c>
      <c r="AE51" t="str" cm="1">
        <f t="array" ref="AE51">INDEX(Innings!W:W,MATCH(1,(TRIM(Innings!A:A)=TRIM(A51))*(TRIM(Innings!D:D)=TRIM(E51)),0))</f>
        <v>Successful</v>
      </c>
      <c r="AF51">
        <f>IF(UPPER(TRIM(E51))=UPPER(TRIM(W51)),1,0)</f>
        <v>1</v>
      </c>
      <c r="AG51">
        <f t="shared" si="1"/>
        <v>20</v>
      </c>
    </row>
    <row r="52" spans="1:33" x14ac:dyDescent="0.3">
      <c r="A52" t="s">
        <v>136</v>
      </c>
      <c r="B52">
        <v>1</v>
      </c>
      <c r="C52" t="s">
        <v>229</v>
      </c>
      <c r="D52" t="s">
        <v>230</v>
      </c>
      <c r="E52" t="s">
        <v>219</v>
      </c>
      <c r="F52" t="s">
        <v>109</v>
      </c>
      <c r="G52" t="s">
        <v>92</v>
      </c>
      <c r="H52">
        <v>53</v>
      </c>
      <c r="I52">
        <v>43</v>
      </c>
      <c r="J52">
        <v>123.2</v>
      </c>
      <c r="K52" t="s">
        <v>246</v>
      </c>
      <c r="L52">
        <v>65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s="8">
        <v>65</v>
      </c>
      <c r="V52" s="8">
        <f t="shared" si="0"/>
        <v>7</v>
      </c>
      <c r="W52" t="str">
        <f>_xlfn.XLOOKUP(A52, Matches!A:A, Matches!L:L, "NA", 0)</f>
        <v>UPW</v>
      </c>
      <c r="X52" t="str">
        <f>_xlfn.XLOOKUP(A52, Matches!A:A, Matches!J:J, "NA", 0)</f>
        <v>GGTW</v>
      </c>
      <c r="Y52" t="str">
        <f>_xlfn.XLOOKUP(A52, Matches!A:A, Matches!F:F, "NA", 0)</f>
        <v>Dr DY Patil Sports </v>
      </c>
      <c r="Z52" cm="1">
        <f t="array" ref="Z52">INDEX(Innings!F:F,MATCH(1,(TRIM(Innings!A:A)=TRIM(A52))*(TRIM(Innings!D:D)=TRIM(E52)),0))</f>
        <v>175</v>
      </c>
      <c r="AA52" cm="1">
        <f t="array" ref="AA52">INDEX(Innings!I:I,MATCH(1,(TRIM(Innings!A:A)=TRIM(A52))*(TRIM(Innings!D:D)=TRIM(E52)),0))</f>
        <v>8.82</v>
      </c>
      <c r="AB52" cm="1">
        <f t="array" ref="AB52">INDEX(Innings!J:J,MATCH(1,(TRIM(Innings!A:A)=TRIM(A52))*(TRIM(Innings!D:D)=TRIM(E52)),0))</f>
        <v>35</v>
      </c>
      <c r="AC52" cm="1">
        <f t="array" ref="AC52">INDEX(Innings!N:N,MATCH(1,(TRIM(Innings!A:A)=TRIM(A52))*(TRIM(Innings!D:D)=TRIM(E52)),0))</f>
        <v>68</v>
      </c>
      <c r="AD52" cm="1">
        <f t="array" ref="AD52">INDEX(Innings!S:S,MATCH(1,(TRIM(Innings!A:A)=TRIM(A52))*(TRIM(Innings!D:D)=TRIM(E52)),0))</f>
        <v>33</v>
      </c>
      <c r="AE52" t="str" cm="1">
        <f t="array" ref="AE52">INDEX(Innings!W:W,MATCH(1,(TRIM(Innings!A:A)=TRIM(A52))*(TRIM(Innings!D:D)=TRIM(E52)),0))</f>
        <v>Successful</v>
      </c>
      <c r="AF52">
        <f>IF(UPPER(TRIM(E52))=UPPER(TRIM(W52)),1,0)</f>
        <v>1</v>
      </c>
      <c r="AG52">
        <f t="shared" si="1"/>
        <v>54.6</v>
      </c>
    </row>
    <row r="53" spans="1:33" x14ac:dyDescent="0.3">
      <c r="A53" t="s">
        <v>136</v>
      </c>
      <c r="B53">
        <v>1</v>
      </c>
      <c r="C53" t="s">
        <v>231</v>
      </c>
      <c r="D53" t="s">
        <v>232</v>
      </c>
      <c r="E53" t="s">
        <v>219</v>
      </c>
      <c r="F53" t="s">
        <v>83</v>
      </c>
      <c r="G53" t="s">
        <v>135</v>
      </c>
      <c r="H53">
        <v>4</v>
      </c>
      <c r="I53">
        <v>7</v>
      </c>
      <c r="J53">
        <v>57.1</v>
      </c>
      <c r="K53" t="s">
        <v>246</v>
      </c>
      <c r="L53">
        <v>3</v>
      </c>
      <c r="M53">
        <v>2</v>
      </c>
      <c r="N53">
        <v>0</v>
      </c>
      <c r="O53">
        <v>24</v>
      </c>
      <c r="P53">
        <v>0</v>
      </c>
      <c r="Q53">
        <v>12</v>
      </c>
      <c r="R53">
        <v>0</v>
      </c>
      <c r="S53">
        <v>0</v>
      </c>
      <c r="T53">
        <v>0</v>
      </c>
      <c r="U53" s="8">
        <v>3</v>
      </c>
      <c r="V53" s="8">
        <f t="shared" si="0"/>
        <v>0</v>
      </c>
      <c r="W53" t="str">
        <f>_xlfn.XLOOKUP(A53, Matches!A:A, Matches!L:L, "NA", 0)</f>
        <v>UPW</v>
      </c>
      <c r="X53" t="str">
        <f>_xlfn.XLOOKUP(A53, Matches!A:A, Matches!J:J, "NA", 0)</f>
        <v>GGTW</v>
      </c>
      <c r="Y53" t="str">
        <f>_xlfn.XLOOKUP(A53, Matches!A:A, Matches!F:F, "NA", 0)</f>
        <v>Dr DY Patil Sports </v>
      </c>
      <c r="Z53" cm="1">
        <f t="array" ref="Z53">INDEX(Innings!F:F,MATCH(1,(TRIM(Innings!A:A)=TRIM(A53))*(TRIM(Innings!D:D)=TRIM(E53)),0))</f>
        <v>175</v>
      </c>
      <c r="AA53" cm="1">
        <f t="array" ref="AA53">INDEX(Innings!I:I,MATCH(1,(TRIM(Innings!A:A)=TRIM(A53))*(TRIM(Innings!D:D)=TRIM(E53)),0))</f>
        <v>8.82</v>
      </c>
      <c r="AB53" cm="1">
        <f t="array" ref="AB53">INDEX(Innings!J:J,MATCH(1,(TRIM(Innings!A:A)=TRIM(A53))*(TRIM(Innings!D:D)=TRIM(E53)),0))</f>
        <v>35</v>
      </c>
      <c r="AC53" cm="1">
        <f t="array" ref="AC53">INDEX(Innings!N:N,MATCH(1,(TRIM(Innings!A:A)=TRIM(A53))*(TRIM(Innings!D:D)=TRIM(E53)),0))</f>
        <v>68</v>
      </c>
      <c r="AD53" cm="1">
        <f t="array" ref="AD53">INDEX(Innings!S:S,MATCH(1,(TRIM(Innings!A:A)=TRIM(A53))*(TRIM(Innings!D:D)=TRIM(E53)),0))</f>
        <v>33</v>
      </c>
      <c r="AE53" t="str" cm="1">
        <f t="array" ref="AE53">INDEX(Innings!W:W,MATCH(1,(TRIM(Innings!A:A)=TRIM(A53))*(TRIM(Innings!D:D)=TRIM(E53)),0))</f>
        <v>Successful</v>
      </c>
      <c r="AF53">
        <f>IF(UPPER(TRIM(E53))=UPPER(TRIM(W53)),1,0)</f>
        <v>1</v>
      </c>
      <c r="AG53">
        <f t="shared" si="1"/>
        <v>21.5</v>
      </c>
    </row>
    <row r="54" spans="1:33" x14ac:dyDescent="0.3">
      <c r="A54" t="s">
        <v>136</v>
      </c>
      <c r="B54">
        <v>1</v>
      </c>
      <c r="C54" t="s">
        <v>233</v>
      </c>
      <c r="D54" t="s">
        <v>234</v>
      </c>
      <c r="E54" t="s">
        <v>219</v>
      </c>
      <c r="F54" t="s">
        <v>91</v>
      </c>
      <c r="G54" t="s">
        <v>135</v>
      </c>
      <c r="H54">
        <v>22</v>
      </c>
      <c r="I54">
        <v>12</v>
      </c>
      <c r="J54">
        <v>183.3</v>
      </c>
      <c r="K54" t="s">
        <v>96</v>
      </c>
      <c r="L54">
        <v>28</v>
      </c>
      <c r="M54">
        <v>4</v>
      </c>
      <c r="N54">
        <v>0</v>
      </c>
      <c r="O54">
        <v>25</v>
      </c>
      <c r="P54">
        <v>2</v>
      </c>
      <c r="Q54">
        <v>6.2</v>
      </c>
      <c r="R54">
        <v>40</v>
      </c>
      <c r="S54">
        <v>0</v>
      </c>
      <c r="T54">
        <v>0</v>
      </c>
      <c r="U54" s="8">
        <v>68</v>
      </c>
      <c r="V54" s="8">
        <f t="shared" si="0"/>
        <v>7</v>
      </c>
      <c r="W54" t="str">
        <f>_xlfn.XLOOKUP(A54, Matches!A:A, Matches!L:L, "NA", 0)</f>
        <v>UPW</v>
      </c>
      <c r="X54" t="str">
        <f>_xlfn.XLOOKUP(A54, Matches!A:A, Matches!J:J, "NA", 0)</f>
        <v>GGTW</v>
      </c>
      <c r="Y54" t="str">
        <f>_xlfn.XLOOKUP(A54, Matches!A:A, Matches!F:F, "NA", 0)</f>
        <v>Dr DY Patil Sports </v>
      </c>
      <c r="Z54" cm="1">
        <f t="array" ref="Z54">INDEX(Innings!F:F,MATCH(1,(TRIM(Innings!A:A)=TRIM(A54))*(TRIM(Innings!D:D)=TRIM(E54)),0))</f>
        <v>175</v>
      </c>
      <c r="AA54" cm="1">
        <f t="array" ref="AA54">INDEX(Innings!I:I,MATCH(1,(TRIM(Innings!A:A)=TRIM(A54))*(TRIM(Innings!D:D)=TRIM(E54)),0))</f>
        <v>8.82</v>
      </c>
      <c r="AB54" cm="1">
        <f t="array" ref="AB54">INDEX(Innings!J:J,MATCH(1,(TRIM(Innings!A:A)=TRIM(A54))*(TRIM(Innings!D:D)=TRIM(E54)),0))</f>
        <v>35</v>
      </c>
      <c r="AC54" cm="1">
        <f t="array" ref="AC54">INDEX(Innings!N:N,MATCH(1,(TRIM(Innings!A:A)=TRIM(A54))*(TRIM(Innings!D:D)=TRIM(E54)),0))</f>
        <v>68</v>
      </c>
      <c r="AD54" cm="1">
        <f t="array" ref="AD54">INDEX(Innings!S:S,MATCH(1,(TRIM(Innings!A:A)=TRIM(A54))*(TRIM(Innings!D:D)=TRIM(E54)),0))</f>
        <v>33</v>
      </c>
      <c r="AE54" t="str" cm="1">
        <f t="array" ref="AE54">INDEX(Innings!W:W,MATCH(1,(TRIM(Innings!A:A)=TRIM(A54))*(TRIM(Innings!D:D)=TRIM(E54)),0))</f>
        <v>Successful</v>
      </c>
      <c r="AF54">
        <f>IF(UPPER(TRIM(E54))=UPPER(TRIM(W54)),1,0)</f>
        <v>1</v>
      </c>
      <c r="AG54">
        <f t="shared" si="1"/>
        <v>56.1</v>
      </c>
    </row>
    <row r="55" spans="1:33" x14ac:dyDescent="0.3">
      <c r="A55" t="s">
        <v>136</v>
      </c>
      <c r="B55">
        <v>1</v>
      </c>
      <c r="C55" t="s">
        <v>235</v>
      </c>
      <c r="D55" t="s">
        <v>236</v>
      </c>
      <c r="E55" t="s">
        <v>219</v>
      </c>
      <c r="F55" t="s">
        <v>101</v>
      </c>
      <c r="G55" t="s">
        <v>135</v>
      </c>
      <c r="H55">
        <v>0</v>
      </c>
      <c r="I55">
        <v>0</v>
      </c>
      <c r="J55">
        <v>0</v>
      </c>
      <c r="K55" t="s">
        <v>104</v>
      </c>
      <c r="L55">
        <v>0</v>
      </c>
      <c r="M55">
        <v>4</v>
      </c>
      <c r="N55">
        <v>0</v>
      </c>
      <c r="O55">
        <v>43</v>
      </c>
      <c r="P55">
        <v>1</v>
      </c>
      <c r="Q55">
        <v>10.8</v>
      </c>
      <c r="R55">
        <v>15</v>
      </c>
      <c r="S55">
        <v>0</v>
      </c>
      <c r="T55">
        <v>0</v>
      </c>
      <c r="U55" s="8">
        <v>15</v>
      </c>
      <c r="V55" s="8">
        <f t="shared" si="0"/>
        <v>2</v>
      </c>
      <c r="W55" t="str">
        <f>_xlfn.XLOOKUP(A55, Matches!A:A, Matches!L:L, "NA", 0)</f>
        <v>UPW</v>
      </c>
      <c r="X55" t="str">
        <f>_xlfn.XLOOKUP(A55, Matches!A:A, Matches!J:J, "NA", 0)</f>
        <v>GGTW</v>
      </c>
      <c r="Y55" t="str">
        <f>_xlfn.XLOOKUP(A55, Matches!A:A, Matches!F:F, "NA", 0)</f>
        <v>Dr DY Patil Sports </v>
      </c>
      <c r="Z55" cm="1">
        <f t="array" ref="Z55">INDEX(Innings!F:F,MATCH(1,(TRIM(Innings!A:A)=TRIM(A55))*(TRIM(Innings!D:D)=TRIM(E55)),0))</f>
        <v>175</v>
      </c>
      <c r="AA55" cm="1">
        <f t="array" ref="AA55">INDEX(Innings!I:I,MATCH(1,(TRIM(Innings!A:A)=TRIM(A55))*(TRIM(Innings!D:D)=TRIM(E55)),0))</f>
        <v>8.82</v>
      </c>
      <c r="AB55" cm="1">
        <f t="array" ref="AB55">INDEX(Innings!J:J,MATCH(1,(TRIM(Innings!A:A)=TRIM(A55))*(TRIM(Innings!D:D)=TRIM(E55)),0))</f>
        <v>35</v>
      </c>
      <c r="AC55" cm="1">
        <f t="array" ref="AC55">INDEX(Innings!N:N,MATCH(1,(TRIM(Innings!A:A)=TRIM(A55))*(TRIM(Innings!D:D)=TRIM(E55)),0))</f>
        <v>68</v>
      </c>
      <c r="AD55" cm="1">
        <f t="array" ref="AD55">INDEX(Innings!S:S,MATCH(1,(TRIM(Innings!A:A)=TRIM(A55))*(TRIM(Innings!D:D)=TRIM(E55)),0))</f>
        <v>33</v>
      </c>
      <c r="AE55" t="str" cm="1">
        <f t="array" ref="AE55">INDEX(Innings!W:W,MATCH(1,(TRIM(Innings!A:A)=TRIM(A55))*(TRIM(Innings!D:D)=TRIM(E55)),0))</f>
        <v>Successful</v>
      </c>
      <c r="AF55">
        <f>IF(UPPER(TRIM(E55))=UPPER(TRIM(W55)),1,0)</f>
        <v>1</v>
      </c>
      <c r="AG55">
        <f t="shared" si="1"/>
        <v>28.1</v>
      </c>
    </row>
    <row r="56" spans="1:33" x14ac:dyDescent="0.3">
      <c r="A56" t="s">
        <v>136</v>
      </c>
      <c r="B56">
        <v>1</v>
      </c>
      <c r="C56" t="s">
        <v>237</v>
      </c>
      <c r="D56" t="s">
        <v>238</v>
      </c>
      <c r="E56" t="s">
        <v>219</v>
      </c>
      <c r="F56" t="s">
        <v>101</v>
      </c>
      <c r="G56" t="s">
        <v>135</v>
      </c>
      <c r="H56">
        <v>0</v>
      </c>
      <c r="I56">
        <v>0</v>
      </c>
      <c r="J56">
        <v>0</v>
      </c>
      <c r="K56" t="s">
        <v>104</v>
      </c>
      <c r="L56">
        <v>0</v>
      </c>
      <c r="M56">
        <v>4</v>
      </c>
      <c r="N56">
        <v>0</v>
      </c>
      <c r="O56">
        <v>30</v>
      </c>
      <c r="P56">
        <v>0</v>
      </c>
      <c r="Q56">
        <v>7.5</v>
      </c>
      <c r="R56">
        <v>0</v>
      </c>
      <c r="S56">
        <v>0</v>
      </c>
      <c r="T56">
        <v>0</v>
      </c>
      <c r="U56" s="8">
        <v>0</v>
      </c>
      <c r="V56" s="8">
        <f t="shared" si="0"/>
        <v>0</v>
      </c>
      <c r="W56" t="str">
        <f>_xlfn.XLOOKUP(A56, Matches!A:A, Matches!L:L, "NA", 0)</f>
        <v>UPW</v>
      </c>
      <c r="X56" t="str">
        <f>_xlfn.XLOOKUP(A56, Matches!A:A, Matches!J:J, "NA", 0)</f>
        <v>GGTW</v>
      </c>
      <c r="Y56" t="str">
        <f>_xlfn.XLOOKUP(A56, Matches!A:A, Matches!F:F, "NA", 0)</f>
        <v>Dr DY Patil Sports </v>
      </c>
      <c r="Z56" cm="1">
        <f t="array" ref="Z56">INDEX(Innings!F:F,MATCH(1,(TRIM(Innings!A:A)=TRIM(A56))*(TRIM(Innings!D:D)=TRIM(E56)),0))</f>
        <v>175</v>
      </c>
      <c r="AA56" cm="1">
        <f t="array" ref="AA56">INDEX(Innings!I:I,MATCH(1,(TRIM(Innings!A:A)=TRIM(A56))*(TRIM(Innings!D:D)=TRIM(E56)),0))</f>
        <v>8.82</v>
      </c>
      <c r="AB56" cm="1">
        <f t="array" ref="AB56">INDEX(Innings!J:J,MATCH(1,(TRIM(Innings!A:A)=TRIM(A56))*(TRIM(Innings!D:D)=TRIM(E56)),0))</f>
        <v>35</v>
      </c>
      <c r="AC56" cm="1">
        <f t="array" ref="AC56">INDEX(Innings!N:N,MATCH(1,(TRIM(Innings!A:A)=TRIM(A56))*(TRIM(Innings!D:D)=TRIM(E56)),0))</f>
        <v>68</v>
      </c>
      <c r="AD56" cm="1">
        <f t="array" ref="AD56">INDEX(Innings!S:S,MATCH(1,(TRIM(Innings!A:A)=TRIM(A56))*(TRIM(Innings!D:D)=TRIM(E56)),0))</f>
        <v>33</v>
      </c>
      <c r="AE56" t="str" cm="1">
        <f t="array" ref="AE56">INDEX(Innings!W:W,MATCH(1,(TRIM(Innings!A:A)=TRIM(A56))*(TRIM(Innings!D:D)=TRIM(E56)),0))</f>
        <v>Successful</v>
      </c>
      <c r="AF56">
        <f>IF(UPPER(TRIM(E56))=UPPER(TRIM(W56)),1,0)</f>
        <v>1</v>
      </c>
      <c r="AG56">
        <f t="shared" si="1"/>
        <v>20</v>
      </c>
    </row>
    <row r="57" spans="1:33" x14ac:dyDescent="0.3">
      <c r="A57" t="s">
        <v>136</v>
      </c>
      <c r="B57">
        <v>1</v>
      </c>
      <c r="C57" t="s">
        <v>87</v>
      </c>
      <c r="D57" t="s">
        <v>82</v>
      </c>
      <c r="E57" t="s">
        <v>258</v>
      </c>
      <c r="F57" t="s">
        <v>109</v>
      </c>
      <c r="G57" t="s">
        <v>86</v>
      </c>
      <c r="H57">
        <v>24</v>
      </c>
      <c r="I57">
        <v>15</v>
      </c>
      <c r="J57">
        <v>160</v>
      </c>
      <c r="K57" t="s">
        <v>246</v>
      </c>
      <c r="L57">
        <v>30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s="8">
        <v>30</v>
      </c>
      <c r="V57" s="8">
        <f t="shared" si="0"/>
        <v>3</v>
      </c>
      <c r="W57" t="str">
        <f>_xlfn.XLOOKUP(A57, Matches!A:A, Matches!L:L, "NA", 0)</f>
        <v>UPW</v>
      </c>
      <c r="X57" t="str">
        <f>_xlfn.XLOOKUP(A57, Matches!A:A, Matches!J:J, "NA", 0)</f>
        <v>GGTW</v>
      </c>
      <c r="Y57" t="str">
        <f>_xlfn.XLOOKUP(A57, Matches!A:A, Matches!F:F, "NA", 0)</f>
        <v>Dr DY Patil Sports </v>
      </c>
      <c r="Z57" cm="1">
        <f t="array" ref="Z57">INDEX(Innings!F:F,MATCH(1,(TRIM(Innings!A:A)=TRIM(A57))*(TRIM(Innings!D:D)=TRIM(E57)),0))</f>
        <v>169</v>
      </c>
      <c r="AA57" cm="1">
        <f t="array" ref="AA57">INDEX(Innings!I:I,MATCH(1,(TRIM(Innings!A:A)=TRIM(A57))*(TRIM(Innings!D:D)=TRIM(E57)),0))</f>
        <v>8.4499999999999993</v>
      </c>
      <c r="AB57" cm="1">
        <f t="array" ref="AB57">INDEX(Innings!J:J,MATCH(1,(TRIM(Innings!A:A)=TRIM(A57))*(TRIM(Innings!D:D)=TRIM(E57)),0))</f>
        <v>45</v>
      </c>
      <c r="AC57" cm="1">
        <f t="array" ref="AC57">INDEX(Innings!N:N,MATCH(1,(TRIM(Innings!A:A)=TRIM(A57))*(TRIM(Innings!D:D)=TRIM(E57)),0))</f>
        <v>46</v>
      </c>
      <c r="AD57" cm="1">
        <f t="array" ref="AD57">INDEX(Innings!S:S,MATCH(1,(TRIM(Innings!A:A)=TRIM(A57))*(TRIM(Innings!D:D)=TRIM(E57)),0))</f>
        <v>40</v>
      </c>
      <c r="AE57" t="str" cm="1">
        <f t="array" ref="AE57">INDEX(Innings!W:W,MATCH(1,(TRIM(Innings!A:A)=TRIM(A57))*(TRIM(Innings!D:D)=TRIM(E57)),0))</f>
        <v>NA</v>
      </c>
      <c r="AF57">
        <f>IF(UPPER(TRIM(E57))=UPPER(TRIM(W57)),1,0)</f>
        <v>0</v>
      </c>
      <c r="AG57">
        <f t="shared" si="1"/>
        <v>15.9</v>
      </c>
    </row>
    <row r="58" spans="1:33" x14ac:dyDescent="0.3">
      <c r="A58" t="s">
        <v>136</v>
      </c>
      <c r="B58">
        <v>1</v>
      </c>
      <c r="C58" t="s">
        <v>239</v>
      </c>
      <c r="D58" t="s">
        <v>241</v>
      </c>
      <c r="E58" t="s">
        <v>258</v>
      </c>
      <c r="F58" t="s">
        <v>109</v>
      </c>
      <c r="G58" t="s">
        <v>86</v>
      </c>
      <c r="H58">
        <v>13</v>
      </c>
      <c r="I58">
        <v>11</v>
      </c>
      <c r="J58">
        <v>118.2</v>
      </c>
      <c r="K58" t="s">
        <v>245</v>
      </c>
      <c r="L58">
        <v>14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s="8">
        <v>14</v>
      </c>
      <c r="V58" s="8">
        <f t="shared" si="0"/>
        <v>1</v>
      </c>
      <c r="W58" t="str">
        <f>_xlfn.XLOOKUP(A58, Matches!A:A, Matches!L:L, "NA", 0)</f>
        <v>UPW</v>
      </c>
      <c r="X58" t="str">
        <f>_xlfn.XLOOKUP(A58, Matches!A:A, Matches!J:J, "NA", 0)</f>
        <v>GGTW</v>
      </c>
      <c r="Y58" t="str">
        <f>_xlfn.XLOOKUP(A58, Matches!A:A, Matches!F:F, "NA", 0)</f>
        <v>Dr DY Patil Sports </v>
      </c>
      <c r="Z58" cm="1">
        <f t="array" ref="Z58">INDEX(Innings!F:F,MATCH(1,(TRIM(Innings!A:A)=TRIM(A58))*(TRIM(Innings!D:D)=TRIM(E58)),0))</f>
        <v>169</v>
      </c>
      <c r="AA58" cm="1">
        <f t="array" ref="AA58">INDEX(Innings!I:I,MATCH(1,(TRIM(Innings!A:A)=TRIM(A58))*(TRIM(Innings!D:D)=TRIM(E58)),0))</f>
        <v>8.4499999999999993</v>
      </c>
      <c r="AB58" cm="1">
        <f t="array" ref="AB58">INDEX(Innings!J:J,MATCH(1,(TRIM(Innings!A:A)=TRIM(A58))*(TRIM(Innings!D:D)=TRIM(E58)),0))</f>
        <v>45</v>
      </c>
      <c r="AC58" cm="1">
        <f t="array" ref="AC58">INDEX(Innings!N:N,MATCH(1,(TRIM(Innings!A:A)=TRIM(A58))*(TRIM(Innings!D:D)=TRIM(E58)),0))</f>
        <v>46</v>
      </c>
      <c r="AD58" cm="1">
        <f t="array" ref="AD58">INDEX(Innings!S:S,MATCH(1,(TRIM(Innings!A:A)=TRIM(A58))*(TRIM(Innings!D:D)=TRIM(E58)),0))</f>
        <v>40</v>
      </c>
      <c r="AE58" t="str" cm="1">
        <f t="array" ref="AE58">INDEX(Innings!W:W,MATCH(1,(TRIM(Innings!A:A)=TRIM(A58))*(TRIM(Innings!D:D)=TRIM(E58)),0))</f>
        <v>NA</v>
      </c>
      <c r="AF58">
        <f>IF(UPPER(TRIM(E58))=UPPER(TRIM(W58)),1,0)</f>
        <v>0</v>
      </c>
      <c r="AG58">
        <f t="shared" si="1"/>
        <v>7.3</v>
      </c>
    </row>
    <row r="59" spans="1:33" x14ac:dyDescent="0.3">
      <c r="A59" t="s">
        <v>136</v>
      </c>
      <c r="B59">
        <v>1</v>
      </c>
      <c r="C59" t="s">
        <v>240</v>
      </c>
      <c r="D59" t="s">
        <v>243</v>
      </c>
      <c r="E59" t="s">
        <v>258</v>
      </c>
      <c r="F59" t="s">
        <v>85</v>
      </c>
      <c r="G59" t="s">
        <v>134</v>
      </c>
      <c r="H59">
        <v>9</v>
      </c>
      <c r="I59">
        <v>13</v>
      </c>
      <c r="J59">
        <v>69.2</v>
      </c>
      <c r="K59" t="s">
        <v>246</v>
      </c>
      <c r="L59">
        <v>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s="8">
        <v>6</v>
      </c>
      <c r="V59" s="8">
        <f t="shared" si="0"/>
        <v>1</v>
      </c>
      <c r="W59" t="str">
        <f>_xlfn.XLOOKUP(A59, Matches!A:A, Matches!L:L, "NA", 0)</f>
        <v>UPW</v>
      </c>
      <c r="X59" t="str">
        <f>_xlfn.XLOOKUP(A59, Matches!A:A, Matches!J:J, "NA", 0)</f>
        <v>GGTW</v>
      </c>
      <c r="Y59" t="str">
        <f>_xlfn.XLOOKUP(A59, Matches!A:A, Matches!F:F, "NA", 0)</f>
        <v>Dr DY Patil Sports </v>
      </c>
      <c r="Z59" cm="1">
        <f t="array" ref="Z59">INDEX(Innings!F:F,MATCH(1,(TRIM(Innings!A:A)=TRIM(A59))*(TRIM(Innings!D:D)=TRIM(E59)),0))</f>
        <v>169</v>
      </c>
      <c r="AA59" cm="1">
        <f t="array" ref="AA59">INDEX(Innings!I:I,MATCH(1,(TRIM(Innings!A:A)=TRIM(A59))*(TRIM(Innings!D:D)=TRIM(E59)),0))</f>
        <v>8.4499999999999993</v>
      </c>
      <c r="AB59" cm="1">
        <f t="array" ref="AB59">INDEX(Innings!J:J,MATCH(1,(TRIM(Innings!A:A)=TRIM(A59))*(TRIM(Innings!D:D)=TRIM(E59)),0))</f>
        <v>45</v>
      </c>
      <c r="AC59" cm="1">
        <f t="array" ref="AC59">INDEX(Innings!N:N,MATCH(1,(TRIM(Innings!A:A)=TRIM(A59))*(TRIM(Innings!D:D)=TRIM(E59)),0))</f>
        <v>46</v>
      </c>
      <c r="AD59" cm="1">
        <f t="array" ref="AD59">INDEX(Innings!S:S,MATCH(1,(TRIM(Innings!A:A)=TRIM(A59))*(TRIM(Innings!D:D)=TRIM(E59)),0))</f>
        <v>40</v>
      </c>
      <c r="AE59" t="str" cm="1">
        <f t="array" ref="AE59">INDEX(Innings!W:W,MATCH(1,(TRIM(Innings!A:A)=TRIM(A59))*(TRIM(Innings!D:D)=TRIM(E59)),0))</f>
        <v>NA</v>
      </c>
      <c r="AF59">
        <f>IF(UPPER(TRIM(E59))=UPPER(TRIM(W59)),1,0)</f>
        <v>0</v>
      </c>
      <c r="AG59">
        <f t="shared" si="1"/>
        <v>3.3</v>
      </c>
    </row>
    <row r="60" spans="1:33" x14ac:dyDescent="0.3">
      <c r="A60" t="s">
        <v>136</v>
      </c>
      <c r="B60">
        <v>1</v>
      </c>
      <c r="C60" t="s">
        <v>93</v>
      </c>
      <c r="D60" t="s">
        <v>118</v>
      </c>
      <c r="E60" t="s">
        <v>258</v>
      </c>
      <c r="F60" t="s">
        <v>83</v>
      </c>
      <c r="G60" t="s">
        <v>134</v>
      </c>
      <c r="H60">
        <v>25</v>
      </c>
      <c r="I60">
        <v>19</v>
      </c>
      <c r="J60">
        <v>131.6</v>
      </c>
      <c r="K60" t="s">
        <v>248</v>
      </c>
      <c r="L60">
        <v>32</v>
      </c>
      <c r="M60">
        <v>4</v>
      </c>
      <c r="N60">
        <v>0</v>
      </c>
      <c r="O60">
        <v>34</v>
      </c>
      <c r="P60">
        <v>0</v>
      </c>
      <c r="Q60">
        <v>8.5</v>
      </c>
      <c r="R60">
        <v>0</v>
      </c>
      <c r="S60">
        <v>0</v>
      </c>
      <c r="T60">
        <v>0</v>
      </c>
      <c r="U60" s="8">
        <v>32</v>
      </c>
      <c r="V60" s="8">
        <f t="shared" si="0"/>
        <v>3</v>
      </c>
      <c r="W60" t="str">
        <f>_xlfn.XLOOKUP(A60, Matches!A:A, Matches!L:L, "NA", 0)</f>
        <v>UPW</v>
      </c>
      <c r="X60" t="str">
        <f>_xlfn.XLOOKUP(A60, Matches!A:A, Matches!J:J, "NA", 0)</f>
        <v>GGTW</v>
      </c>
      <c r="Y60" t="str">
        <f>_xlfn.XLOOKUP(A60, Matches!A:A, Matches!F:F, "NA", 0)</f>
        <v>Dr DY Patil Sports </v>
      </c>
      <c r="Z60" cm="1">
        <f t="array" ref="Z60">INDEX(Innings!F:F,MATCH(1,(TRIM(Innings!A:A)=TRIM(A60))*(TRIM(Innings!D:D)=TRIM(E60)),0))</f>
        <v>169</v>
      </c>
      <c r="AA60" cm="1">
        <f t="array" ref="AA60">INDEX(Innings!I:I,MATCH(1,(TRIM(Innings!A:A)=TRIM(A60))*(TRIM(Innings!D:D)=TRIM(E60)),0))</f>
        <v>8.4499999999999993</v>
      </c>
      <c r="AB60" cm="1">
        <f t="array" ref="AB60">INDEX(Innings!J:J,MATCH(1,(TRIM(Innings!A:A)=TRIM(A60))*(TRIM(Innings!D:D)=TRIM(E60)),0))</f>
        <v>45</v>
      </c>
      <c r="AC60" cm="1">
        <f t="array" ref="AC60">INDEX(Innings!N:N,MATCH(1,(TRIM(Innings!A:A)=TRIM(A60))*(TRIM(Innings!D:D)=TRIM(E60)),0))</f>
        <v>46</v>
      </c>
      <c r="AD60" cm="1">
        <f t="array" ref="AD60">INDEX(Innings!S:S,MATCH(1,(TRIM(Innings!A:A)=TRIM(A60))*(TRIM(Innings!D:D)=TRIM(E60)),0))</f>
        <v>40</v>
      </c>
      <c r="AE60" t="str" cm="1">
        <f t="array" ref="AE60">INDEX(Innings!W:W,MATCH(1,(TRIM(Innings!A:A)=TRIM(A60))*(TRIM(Innings!D:D)=TRIM(E60)),0))</f>
        <v>NA</v>
      </c>
      <c r="AF60">
        <f>IF(UPPER(TRIM(E60))=UPPER(TRIM(W60)),1,0)</f>
        <v>0</v>
      </c>
      <c r="AG60">
        <f t="shared" si="1"/>
        <v>16.899999999999999</v>
      </c>
    </row>
    <row r="61" spans="1:33" x14ac:dyDescent="0.3">
      <c r="A61" t="s">
        <v>136</v>
      </c>
      <c r="B61">
        <v>1</v>
      </c>
      <c r="C61" t="s">
        <v>94</v>
      </c>
      <c r="D61" t="s">
        <v>120</v>
      </c>
      <c r="E61" t="s">
        <v>258</v>
      </c>
      <c r="F61" t="s">
        <v>91</v>
      </c>
      <c r="G61" t="s">
        <v>134</v>
      </c>
      <c r="H61">
        <v>8</v>
      </c>
      <c r="I61">
        <v>10</v>
      </c>
      <c r="J61">
        <v>80</v>
      </c>
      <c r="K61" t="s">
        <v>246</v>
      </c>
      <c r="L61">
        <v>10</v>
      </c>
      <c r="M61">
        <v>3.5</v>
      </c>
      <c r="N61">
        <v>0</v>
      </c>
      <c r="O61">
        <v>41</v>
      </c>
      <c r="P61">
        <v>1</v>
      </c>
      <c r="Q61">
        <v>10.7</v>
      </c>
      <c r="R61">
        <v>15</v>
      </c>
      <c r="S61">
        <v>0</v>
      </c>
      <c r="T61">
        <v>0</v>
      </c>
      <c r="U61" s="8">
        <v>25</v>
      </c>
      <c r="V61" s="8">
        <f t="shared" si="0"/>
        <v>3</v>
      </c>
      <c r="W61" t="str">
        <f>_xlfn.XLOOKUP(A61, Matches!A:A, Matches!L:L, "NA", 0)</f>
        <v>UPW</v>
      </c>
      <c r="X61" t="str">
        <f>_xlfn.XLOOKUP(A61, Matches!A:A, Matches!J:J, "NA", 0)</f>
        <v>GGTW</v>
      </c>
      <c r="Y61" t="str">
        <f>_xlfn.XLOOKUP(A61, Matches!A:A, Matches!F:F, "NA", 0)</f>
        <v>Dr DY Patil Sports </v>
      </c>
      <c r="Z61" cm="1">
        <f t="array" ref="Z61">INDEX(Innings!F:F,MATCH(1,(TRIM(Innings!A:A)=TRIM(A61))*(TRIM(Innings!D:D)=TRIM(E61)),0))</f>
        <v>169</v>
      </c>
      <c r="AA61" cm="1">
        <f t="array" ref="AA61">INDEX(Innings!I:I,MATCH(1,(TRIM(Innings!A:A)=TRIM(A61))*(TRIM(Innings!D:D)=TRIM(E61)),0))</f>
        <v>8.4499999999999993</v>
      </c>
      <c r="AB61" cm="1">
        <f t="array" ref="AB61">INDEX(Innings!J:J,MATCH(1,(TRIM(Innings!A:A)=TRIM(A61))*(TRIM(Innings!D:D)=TRIM(E61)),0))</f>
        <v>45</v>
      </c>
      <c r="AC61" cm="1">
        <f t="array" ref="AC61">INDEX(Innings!N:N,MATCH(1,(TRIM(Innings!A:A)=TRIM(A61))*(TRIM(Innings!D:D)=TRIM(E61)),0))</f>
        <v>46</v>
      </c>
      <c r="AD61" cm="1">
        <f t="array" ref="AD61">INDEX(Innings!S:S,MATCH(1,(TRIM(Innings!A:A)=TRIM(A61))*(TRIM(Innings!D:D)=TRIM(E61)),0))</f>
        <v>40</v>
      </c>
      <c r="AE61" t="str" cm="1">
        <f t="array" ref="AE61">INDEX(Innings!W:W,MATCH(1,(TRIM(Innings!A:A)=TRIM(A61))*(TRIM(Innings!D:D)=TRIM(E61)),0))</f>
        <v>NA</v>
      </c>
      <c r="AF61">
        <f>IF(UPPER(TRIM(E61))=UPPER(TRIM(W61)),1,0)</f>
        <v>0</v>
      </c>
      <c r="AG61">
        <f t="shared" si="1"/>
        <v>13.4</v>
      </c>
    </row>
    <row r="62" spans="1:33" x14ac:dyDescent="0.3">
      <c r="A62" t="s">
        <v>136</v>
      </c>
      <c r="B62">
        <v>1</v>
      </c>
      <c r="C62" t="s">
        <v>97</v>
      </c>
      <c r="D62" t="s">
        <v>122</v>
      </c>
      <c r="E62" t="s">
        <v>258</v>
      </c>
      <c r="F62" t="s">
        <v>109</v>
      </c>
      <c r="G62" t="s">
        <v>134</v>
      </c>
      <c r="H62">
        <v>21</v>
      </c>
      <c r="I62">
        <v>13</v>
      </c>
      <c r="J62">
        <v>161.5</v>
      </c>
      <c r="K62" t="s">
        <v>96</v>
      </c>
      <c r="L62">
        <v>35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s="8">
        <v>35</v>
      </c>
      <c r="V62" s="8">
        <f t="shared" si="0"/>
        <v>4</v>
      </c>
      <c r="W62" t="str">
        <f>_xlfn.XLOOKUP(A62, Matches!A:A, Matches!L:L, "NA", 0)</f>
        <v>UPW</v>
      </c>
      <c r="X62" t="str">
        <f>_xlfn.XLOOKUP(A62, Matches!A:A, Matches!J:J, "NA", 0)</f>
        <v>GGTW</v>
      </c>
      <c r="Y62" t="str">
        <f>_xlfn.XLOOKUP(A62, Matches!A:A, Matches!F:F, "NA", 0)</f>
        <v>Dr DY Patil Sports </v>
      </c>
      <c r="Z62" cm="1">
        <f t="array" ref="Z62">INDEX(Innings!F:F,MATCH(1,(TRIM(Innings!A:A)=TRIM(A62))*(TRIM(Innings!D:D)=TRIM(E62)),0))</f>
        <v>169</v>
      </c>
      <c r="AA62" cm="1">
        <f t="array" ref="AA62">INDEX(Innings!I:I,MATCH(1,(TRIM(Innings!A:A)=TRIM(A62))*(TRIM(Innings!D:D)=TRIM(E62)),0))</f>
        <v>8.4499999999999993</v>
      </c>
      <c r="AB62" cm="1">
        <f t="array" ref="AB62">INDEX(Innings!J:J,MATCH(1,(TRIM(Innings!A:A)=TRIM(A62))*(TRIM(Innings!D:D)=TRIM(E62)),0))</f>
        <v>45</v>
      </c>
      <c r="AC62" cm="1">
        <f t="array" ref="AC62">INDEX(Innings!N:N,MATCH(1,(TRIM(Innings!A:A)=TRIM(A62))*(TRIM(Innings!D:D)=TRIM(E62)),0))</f>
        <v>46</v>
      </c>
      <c r="AD62" cm="1">
        <f t="array" ref="AD62">INDEX(Innings!S:S,MATCH(1,(TRIM(Innings!A:A)=TRIM(A62))*(TRIM(Innings!D:D)=TRIM(E62)),0))</f>
        <v>40</v>
      </c>
      <c r="AE62" t="str" cm="1">
        <f t="array" ref="AE62">INDEX(Innings!W:W,MATCH(1,(TRIM(Innings!A:A)=TRIM(A62))*(TRIM(Innings!D:D)=TRIM(E62)),0))</f>
        <v>NA</v>
      </c>
      <c r="AF62">
        <f>IF(UPPER(TRIM(E62))=UPPER(TRIM(W62)),1,0)</f>
        <v>0</v>
      </c>
      <c r="AG62">
        <f t="shared" si="1"/>
        <v>18.7</v>
      </c>
    </row>
    <row r="63" spans="1:33" x14ac:dyDescent="0.3">
      <c r="A63" t="s">
        <v>136</v>
      </c>
      <c r="B63">
        <v>1</v>
      </c>
      <c r="C63" t="s">
        <v>89</v>
      </c>
      <c r="D63" t="s">
        <v>116</v>
      </c>
      <c r="E63" t="s">
        <v>258</v>
      </c>
      <c r="F63" t="s">
        <v>83</v>
      </c>
      <c r="G63" t="s">
        <v>92</v>
      </c>
      <c r="H63">
        <v>46</v>
      </c>
      <c r="I63">
        <v>32</v>
      </c>
      <c r="J63">
        <v>143.80000000000001</v>
      </c>
      <c r="K63" t="s">
        <v>246</v>
      </c>
      <c r="L63">
        <v>55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s="8">
        <v>55</v>
      </c>
      <c r="V63" s="8">
        <f t="shared" si="0"/>
        <v>6</v>
      </c>
      <c r="W63" t="str">
        <f>_xlfn.XLOOKUP(A63, Matches!A:A, Matches!L:L, "NA", 0)</f>
        <v>UPW</v>
      </c>
      <c r="X63" t="str">
        <f>_xlfn.XLOOKUP(A63, Matches!A:A, Matches!J:J, "NA", 0)</f>
        <v>GGTW</v>
      </c>
      <c r="Y63" t="str">
        <f>_xlfn.XLOOKUP(A63, Matches!A:A, Matches!F:F, "NA", 0)</f>
        <v>Dr DY Patil Sports </v>
      </c>
      <c r="Z63" cm="1">
        <f t="array" ref="Z63">INDEX(Innings!F:F,MATCH(1,(TRIM(Innings!A:A)=TRIM(A63))*(TRIM(Innings!D:D)=TRIM(E63)),0))</f>
        <v>169</v>
      </c>
      <c r="AA63" cm="1">
        <f t="array" ref="AA63">INDEX(Innings!I:I,MATCH(1,(TRIM(Innings!A:A)=TRIM(A63))*(TRIM(Innings!D:D)=TRIM(E63)),0))</f>
        <v>8.4499999999999993</v>
      </c>
      <c r="AB63" cm="1">
        <f t="array" ref="AB63">INDEX(Innings!J:J,MATCH(1,(TRIM(Innings!A:A)=TRIM(A63))*(TRIM(Innings!D:D)=TRIM(E63)),0))</f>
        <v>45</v>
      </c>
      <c r="AC63" cm="1">
        <f t="array" ref="AC63">INDEX(Innings!N:N,MATCH(1,(TRIM(Innings!A:A)=TRIM(A63))*(TRIM(Innings!D:D)=TRIM(E63)),0))</f>
        <v>46</v>
      </c>
      <c r="AD63" cm="1">
        <f t="array" ref="AD63">INDEX(Innings!S:S,MATCH(1,(TRIM(Innings!A:A)=TRIM(A63))*(TRIM(Innings!D:D)=TRIM(E63)),0))</f>
        <v>40</v>
      </c>
      <c r="AE63" t="str" cm="1">
        <f t="array" ref="AE63">INDEX(Innings!W:W,MATCH(1,(TRIM(Innings!A:A)=TRIM(A63))*(TRIM(Innings!D:D)=TRIM(E63)),0))</f>
        <v>NA</v>
      </c>
      <c r="AF63">
        <f>IF(UPPER(TRIM(E63))=UPPER(TRIM(W63)),1,0)</f>
        <v>0</v>
      </c>
      <c r="AG63">
        <f t="shared" si="1"/>
        <v>29.3</v>
      </c>
    </row>
    <row r="64" spans="1:33" x14ac:dyDescent="0.3">
      <c r="A64" t="s">
        <v>136</v>
      </c>
      <c r="B64">
        <v>1</v>
      </c>
      <c r="C64" t="s">
        <v>102</v>
      </c>
      <c r="D64" t="s">
        <v>126</v>
      </c>
      <c r="E64" t="s">
        <v>258</v>
      </c>
      <c r="F64" t="s">
        <v>91</v>
      </c>
      <c r="G64" t="s">
        <v>135</v>
      </c>
      <c r="H64">
        <v>9</v>
      </c>
      <c r="I64">
        <v>7</v>
      </c>
      <c r="J64">
        <v>128.6</v>
      </c>
      <c r="K64" t="s">
        <v>96</v>
      </c>
      <c r="L64">
        <v>12</v>
      </c>
      <c r="M64">
        <v>2</v>
      </c>
      <c r="N64">
        <v>0</v>
      </c>
      <c r="O64">
        <v>16</v>
      </c>
      <c r="P64">
        <v>0</v>
      </c>
      <c r="Q64">
        <v>8</v>
      </c>
      <c r="R64">
        <v>0</v>
      </c>
      <c r="S64">
        <v>0</v>
      </c>
      <c r="T64">
        <v>0</v>
      </c>
      <c r="U64" s="8">
        <v>12</v>
      </c>
      <c r="V64" s="8">
        <f t="shared" si="0"/>
        <v>1</v>
      </c>
      <c r="W64" t="str">
        <f>_xlfn.XLOOKUP(A64, Matches!A:A, Matches!L:L, "NA", 0)</f>
        <v>UPW</v>
      </c>
      <c r="X64" t="str">
        <f>_xlfn.XLOOKUP(A64, Matches!A:A, Matches!J:J, "NA", 0)</f>
        <v>GGTW</v>
      </c>
      <c r="Y64" t="str">
        <f>_xlfn.XLOOKUP(A64, Matches!A:A, Matches!F:F, "NA", 0)</f>
        <v>Dr DY Patil Sports </v>
      </c>
      <c r="Z64" cm="1">
        <f t="array" ref="Z64">INDEX(Innings!F:F,MATCH(1,(TRIM(Innings!A:A)=TRIM(A64))*(TRIM(Innings!D:D)=TRIM(E64)),0))</f>
        <v>169</v>
      </c>
      <c r="AA64" cm="1">
        <f t="array" ref="AA64">INDEX(Innings!I:I,MATCH(1,(TRIM(Innings!A:A)=TRIM(A64))*(TRIM(Innings!D:D)=TRIM(E64)),0))</f>
        <v>8.4499999999999993</v>
      </c>
      <c r="AB64" cm="1">
        <f t="array" ref="AB64">INDEX(Innings!J:J,MATCH(1,(TRIM(Innings!A:A)=TRIM(A64))*(TRIM(Innings!D:D)=TRIM(E64)),0))</f>
        <v>45</v>
      </c>
      <c r="AC64" cm="1">
        <f t="array" ref="AC64">INDEX(Innings!N:N,MATCH(1,(TRIM(Innings!A:A)=TRIM(A64))*(TRIM(Innings!D:D)=TRIM(E64)),0))</f>
        <v>46</v>
      </c>
      <c r="AD64" cm="1">
        <f t="array" ref="AD64">INDEX(Innings!S:S,MATCH(1,(TRIM(Innings!A:A)=TRIM(A64))*(TRIM(Innings!D:D)=TRIM(E64)),0))</f>
        <v>40</v>
      </c>
      <c r="AE64" t="str" cm="1">
        <f t="array" ref="AE64">INDEX(Innings!W:W,MATCH(1,(TRIM(Innings!A:A)=TRIM(A64))*(TRIM(Innings!D:D)=TRIM(E64)),0))</f>
        <v>NA</v>
      </c>
      <c r="AF64">
        <f>IF(UPPER(TRIM(E64))=UPPER(TRIM(W64)),1,0)</f>
        <v>0</v>
      </c>
      <c r="AG64">
        <f t="shared" si="1"/>
        <v>6.3</v>
      </c>
    </row>
    <row r="65" spans="1:33" x14ac:dyDescent="0.3">
      <c r="A65" t="s">
        <v>136</v>
      </c>
      <c r="B65">
        <v>1</v>
      </c>
      <c r="C65" t="s">
        <v>242</v>
      </c>
      <c r="D65" t="s">
        <v>244</v>
      </c>
      <c r="E65" t="s">
        <v>258</v>
      </c>
      <c r="F65" t="s">
        <v>101</v>
      </c>
      <c r="G65" t="s">
        <v>135</v>
      </c>
      <c r="H65">
        <v>0</v>
      </c>
      <c r="I65">
        <v>0</v>
      </c>
      <c r="J65">
        <v>0</v>
      </c>
      <c r="K65" t="s">
        <v>104</v>
      </c>
      <c r="L65">
        <v>0</v>
      </c>
      <c r="M65">
        <v>4</v>
      </c>
      <c r="N65">
        <v>0</v>
      </c>
      <c r="O65">
        <v>36</v>
      </c>
      <c r="P65">
        <v>5</v>
      </c>
      <c r="Q65">
        <v>9</v>
      </c>
      <c r="R65">
        <v>100</v>
      </c>
      <c r="S65">
        <v>0</v>
      </c>
      <c r="T65">
        <v>0</v>
      </c>
      <c r="U65" s="8">
        <v>100</v>
      </c>
      <c r="V65" s="8">
        <f t="shared" si="0"/>
        <v>10</v>
      </c>
      <c r="W65" t="str">
        <f>_xlfn.XLOOKUP(A65, Matches!A:A, Matches!L:L, "NA", 0)</f>
        <v>UPW</v>
      </c>
      <c r="X65" t="str">
        <f>_xlfn.XLOOKUP(A65, Matches!A:A, Matches!J:J, "NA", 0)</f>
        <v>GGTW</v>
      </c>
      <c r="Y65" t="str">
        <f>_xlfn.XLOOKUP(A65, Matches!A:A, Matches!F:F, "NA", 0)</f>
        <v>Dr DY Patil Sports </v>
      </c>
      <c r="Z65" cm="1">
        <f t="array" ref="Z65">INDEX(Innings!F:F,MATCH(1,(TRIM(Innings!A:A)=TRIM(A65))*(TRIM(Innings!D:D)=TRIM(E65)),0))</f>
        <v>169</v>
      </c>
      <c r="AA65" cm="1">
        <f t="array" ref="AA65">INDEX(Innings!I:I,MATCH(1,(TRIM(Innings!A:A)=TRIM(A65))*(TRIM(Innings!D:D)=TRIM(E65)),0))</f>
        <v>8.4499999999999993</v>
      </c>
      <c r="AB65" cm="1">
        <f t="array" ref="AB65">INDEX(Innings!J:J,MATCH(1,(TRIM(Innings!A:A)=TRIM(A65))*(TRIM(Innings!D:D)=TRIM(E65)),0))</f>
        <v>45</v>
      </c>
      <c r="AC65" cm="1">
        <f t="array" ref="AC65">INDEX(Innings!N:N,MATCH(1,(TRIM(Innings!A:A)=TRIM(A65))*(TRIM(Innings!D:D)=TRIM(E65)),0))</f>
        <v>46</v>
      </c>
      <c r="AD65" cm="1">
        <f t="array" ref="AD65">INDEX(Innings!S:S,MATCH(1,(TRIM(Innings!A:A)=TRIM(A65))*(TRIM(Innings!D:D)=TRIM(E65)),0))</f>
        <v>40</v>
      </c>
      <c r="AE65" t="str" cm="1">
        <f t="array" ref="AE65">INDEX(Innings!W:W,MATCH(1,(TRIM(Innings!A:A)=TRIM(A65))*(TRIM(Innings!D:D)=TRIM(E65)),0))</f>
        <v>NA</v>
      </c>
      <c r="AF65">
        <f>IF(UPPER(TRIM(E65))=UPPER(TRIM(W65)),1,0)</f>
        <v>0</v>
      </c>
      <c r="AG65">
        <f t="shared" si="1"/>
        <v>53</v>
      </c>
    </row>
    <row r="66" spans="1:33" x14ac:dyDescent="0.3">
      <c r="A66" t="s">
        <v>136</v>
      </c>
      <c r="B66">
        <v>1</v>
      </c>
      <c r="C66" t="s">
        <v>110</v>
      </c>
      <c r="D66" t="s">
        <v>132</v>
      </c>
      <c r="E66" t="s">
        <v>258</v>
      </c>
      <c r="F66" t="s">
        <v>101</v>
      </c>
      <c r="G66" t="s">
        <v>135</v>
      </c>
      <c r="H66">
        <v>0</v>
      </c>
      <c r="I66">
        <v>0</v>
      </c>
      <c r="J66">
        <v>0</v>
      </c>
      <c r="K66" t="s">
        <v>104</v>
      </c>
      <c r="L66">
        <v>0</v>
      </c>
      <c r="M66">
        <v>2</v>
      </c>
      <c r="N66">
        <v>0</v>
      </c>
      <c r="O66">
        <v>15</v>
      </c>
      <c r="P66">
        <v>1</v>
      </c>
      <c r="Q66">
        <v>7.5</v>
      </c>
      <c r="R66">
        <v>15</v>
      </c>
      <c r="S66">
        <v>0</v>
      </c>
      <c r="T66">
        <v>0</v>
      </c>
      <c r="U66" s="8">
        <v>15</v>
      </c>
      <c r="V66" s="8">
        <f t="shared" si="0"/>
        <v>2</v>
      </c>
      <c r="W66" t="str">
        <f>_xlfn.XLOOKUP(A66, Matches!A:A, Matches!L:L, "NA", 0)</f>
        <v>UPW</v>
      </c>
      <c r="X66" t="str">
        <f>_xlfn.XLOOKUP(A66, Matches!A:A, Matches!J:J, "NA", 0)</f>
        <v>GGTW</v>
      </c>
      <c r="Y66" t="str">
        <f>_xlfn.XLOOKUP(A66, Matches!A:A, Matches!F:F, "NA", 0)</f>
        <v>Dr DY Patil Sports </v>
      </c>
      <c r="Z66" cm="1">
        <f t="array" ref="Z66">INDEX(Innings!F:F,MATCH(1,(TRIM(Innings!A:A)=TRIM(A66))*(TRIM(Innings!D:D)=TRIM(E66)),0))</f>
        <v>169</v>
      </c>
      <c r="AA66" cm="1">
        <f t="array" ref="AA66">INDEX(Innings!I:I,MATCH(1,(TRIM(Innings!A:A)=TRIM(A66))*(TRIM(Innings!D:D)=TRIM(E66)),0))</f>
        <v>8.4499999999999993</v>
      </c>
      <c r="AB66" cm="1">
        <f t="array" ref="AB66">INDEX(Innings!J:J,MATCH(1,(TRIM(Innings!A:A)=TRIM(A66))*(TRIM(Innings!D:D)=TRIM(E66)),0))</f>
        <v>45</v>
      </c>
      <c r="AC66" cm="1">
        <f t="array" ref="AC66">INDEX(Innings!N:N,MATCH(1,(TRIM(Innings!A:A)=TRIM(A66))*(TRIM(Innings!D:D)=TRIM(E66)),0))</f>
        <v>46</v>
      </c>
      <c r="AD66" cm="1">
        <f t="array" ref="AD66">INDEX(Innings!S:S,MATCH(1,(TRIM(Innings!A:A)=TRIM(A66))*(TRIM(Innings!D:D)=TRIM(E66)),0))</f>
        <v>40</v>
      </c>
      <c r="AE66" t="str" cm="1">
        <f t="array" ref="AE66">INDEX(Innings!W:W,MATCH(1,(TRIM(Innings!A:A)=TRIM(A66))*(TRIM(Innings!D:D)=TRIM(E66)),0))</f>
        <v>NA</v>
      </c>
      <c r="AF66">
        <f>IF(UPPER(TRIM(E66))=UPPER(TRIM(W66)),1,0)</f>
        <v>0</v>
      </c>
      <c r="AG66">
        <f t="shared" si="1"/>
        <v>8.1</v>
      </c>
    </row>
    <row r="67" spans="1:33" x14ac:dyDescent="0.3">
      <c r="A67" t="s">
        <v>136</v>
      </c>
      <c r="B67">
        <v>1</v>
      </c>
      <c r="C67" t="s">
        <v>105</v>
      </c>
      <c r="D67" t="s">
        <v>128</v>
      </c>
      <c r="E67" t="s">
        <v>258</v>
      </c>
      <c r="F67" t="s">
        <v>101</v>
      </c>
      <c r="G67" t="s">
        <v>135</v>
      </c>
      <c r="H67">
        <v>0</v>
      </c>
      <c r="I67">
        <v>0</v>
      </c>
      <c r="J67">
        <v>0</v>
      </c>
      <c r="K67" t="s">
        <v>104</v>
      </c>
      <c r="L67">
        <v>0</v>
      </c>
      <c r="M67">
        <v>4</v>
      </c>
      <c r="N67">
        <v>0</v>
      </c>
      <c r="O67">
        <v>29</v>
      </c>
      <c r="P67">
        <v>0</v>
      </c>
      <c r="Q67">
        <v>7.2</v>
      </c>
      <c r="R67">
        <v>0</v>
      </c>
      <c r="S67">
        <v>0</v>
      </c>
      <c r="T67">
        <v>0</v>
      </c>
      <c r="U67" s="8">
        <v>0</v>
      </c>
      <c r="V67" s="8">
        <f t="shared" ref="V67:V130" si="2">MIN(10, MAX(0, ROUND(U67/10,0)))</f>
        <v>0</v>
      </c>
      <c r="W67" t="str">
        <f>_xlfn.XLOOKUP(A67, Matches!A:A, Matches!L:L, "NA", 0)</f>
        <v>UPW</v>
      </c>
      <c r="X67" t="str">
        <f>_xlfn.XLOOKUP(A67, Matches!A:A, Matches!J:J, "NA", 0)</f>
        <v>GGTW</v>
      </c>
      <c r="Y67" t="str">
        <f>_xlfn.XLOOKUP(A67, Matches!A:A, Matches!F:F, "NA", 0)</f>
        <v>Dr DY Patil Sports </v>
      </c>
      <c r="Z67" cm="1">
        <f t="array" ref="Z67">INDEX(Innings!F:F,MATCH(1,(TRIM(Innings!A:A)=TRIM(A67))*(TRIM(Innings!D:D)=TRIM(E67)),0))</f>
        <v>169</v>
      </c>
      <c r="AA67" cm="1">
        <f t="array" ref="AA67">INDEX(Innings!I:I,MATCH(1,(TRIM(Innings!A:A)=TRIM(A67))*(TRIM(Innings!D:D)=TRIM(E67)),0))</f>
        <v>8.4499999999999993</v>
      </c>
      <c r="AB67" cm="1">
        <f t="array" ref="AB67">INDEX(Innings!J:J,MATCH(1,(TRIM(Innings!A:A)=TRIM(A67))*(TRIM(Innings!D:D)=TRIM(E67)),0))</f>
        <v>45</v>
      </c>
      <c r="AC67" cm="1">
        <f t="array" ref="AC67">INDEX(Innings!N:N,MATCH(1,(TRIM(Innings!A:A)=TRIM(A67))*(TRIM(Innings!D:D)=TRIM(E67)),0))</f>
        <v>46</v>
      </c>
      <c r="AD67" cm="1">
        <f t="array" ref="AD67">INDEX(Innings!S:S,MATCH(1,(TRIM(Innings!A:A)=TRIM(A67))*(TRIM(Innings!D:D)=TRIM(E67)),0))</f>
        <v>40</v>
      </c>
      <c r="AE67" t="str" cm="1">
        <f t="array" ref="AE67">INDEX(Innings!W:W,MATCH(1,(TRIM(Innings!A:A)=TRIM(A67))*(TRIM(Innings!D:D)=TRIM(E67)),0))</f>
        <v>NA</v>
      </c>
      <c r="AF67">
        <f>IF(UPPER(TRIM(E67))=UPPER(TRIM(W67)),1,0)</f>
        <v>0</v>
      </c>
      <c r="AG67">
        <f t="shared" ref="AG67:AG130" si="3">(0.5*MAX(0,U67) + 0.3*MAX(0,V67) + 0.2*AF67*100)</f>
        <v>0</v>
      </c>
    </row>
    <row r="68" spans="1:33" x14ac:dyDescent="0.3">
      <c r="A68" t="s">
        <v>137</v>
      </c>
      <c r="B68">
        <v>1</v>
      </c>
      <c r="C68" t="s">
        <v>112</v>
      </c>
      <c r="D68" t="s">
        <v>88</v>
      </c>
      <c r="E68" t="s">
        <v>266</v>
      </c>
      <c r="F68" t="s">
        <v>83</v>
      </c>
      <c r="G68" t="s">
        <v>86</v>
      </c>
      <c r="H68">
        <v>77</v>
      </c>
      <c r="I68">
        <v>38</v>
      </c>
      <c r="J68">
        <v>202.63</v>
      </c>
      <c r="K68" t="s">
        <v>96</v>
      </c>
      <c r="L68">
        <v>120</v>
      </c>
      <c r="M68">
        <v>4</v>
      </c>
      <c r="N68">
        <v>0</v>
      </c>
      <c r="O68">
        <v>28</v>
      </c>
      <c r="P68">
        <v>3</v>
      </c>
      <c r="Q68">
        <v>7</v>
      </c>
      <c r="R68">
        <v>60</v>
      </c>
      <c r="S68">
        <v>0</v>
      </c>
      <c r="T68">
        <v>0</v>
      </c>
      <c r="U68" s="8">
        <v>180</v>
      </c>
      <c r="V68" s="8">
        <f t="shared" si="2"/>
        <v>10</v>
      </c>
      <c r="W68" t="str">
        <f>_xlfn.XLOOKUP(A68, Matches!A:A, Matches!L:L, "NA", 0)</f>
        <v>MIW</v>
      </c>
      <c r="X68" t="str">
        <f>_xlfn.XLOOKUP(A68, Matches!A:A, Matches!J:J, "NA", 0)</f>
        <v>RCBW</v>
      </c>
      <c r="Y68" t="str">
        <f>_xlfn.XLOOKUP(A68, Matches!A:A, Matches!F:F, "NA", 0)</f>
        <v> Brabourne Stadium</v>
      </c>
      <c r="Z68" cm="1">
        <f t="array" ref="Z68">INDEX(Innings!F:F,MATCH(1,(TRIM(Innings!A:A)=TRIM(A68))*(TRIM(Innings!D:D)=TRIM(E68)),0))</f>
        <v>159</v>
      </c>
      <c r="AA68" cm="1">
        <f t="array" ref="AA68">INDEX(Innings!I:I,MATCH(1,(TRIM(Innings!A:A)=TRIM(A68))*(TRIM(Innings!D:D)=TRIM(E68)),0))</f>
        <v>11.09</v>
      </c>
      <c r="AB68" cm="1">
        <f t="array" ref="AB68">INDEX(Innings!J:J,MATCH(1,(TRIM(Innings!A:A)=TRIM(A68))*(TRIM(Innings!D:D)=TRIM(E68)),0))</f>
        <v>54</v>
      </c>
      <c r="AC68" cm="1">
        <f t="array" ref="AC68">INDEX(Innings!N:N,MATCH(1,(TRIM(Innings!A:A)=TRIM(A68))*(TRIM(Innings!D:D)=TRIM(E68)),0))</f>
        <v>0</v>
      </c>
      <c r="AD68" cm="1">
        <f t="array" ref="AD68">INDEX(Innings!S:S,MATCH(1,(TRIM(Innings!A:A)=TRIM(A68))*(TRIM(Innings!D:D)=TRIM(E68)),0))</f>
        <v>22</v>
      </c>
      <c r="AE68" t="str" cm="1">
        <f t="array" ref="AE68">INDEX(Innings!W:W,MATCH(1,(TRIM(Innings!A:A)=TRIM(A68))*(TRIM(Innings!D:D)=TRIM(E68)),0))</f>
        <v>Successful</v>
      </c>
      <c r="AF68">
        <f>IF(UPPER(TRIM(E68))=UPPER(TRIM(W68)),1,0)</f>
        <v>1</v>
      </c>
      <c r="AG68">
        <f t="shared" si="3"/>
        <v>113</v>
      </c>
    </row>
    <row r="69" spans="1:33" x14ac:dyDescent="0.3">
      <c r="A69" t="s">
        <v>137</v>
      </c>
      <c r="B69">
        <v>1</v>
      </c>
      <c r="C69" t="s">
        <v>113</v>
      </c>
      <c r="D69" t="s">
        <v>84</v>
      </c>
      <c r="E69" t="s">
        <v>266</v>
      </c>
      <c r="F69" t="s">
        <v>85</v>
      </c>
      <c r="G69" t="s">
        <v>86</v>
      </c>
      <c r="H69">
        <v>23</v>
      </c>
      <c r="I69">
        <v>19</v>
      </c>
      <c r="J69">
        <v>121.05</v>
      </c>
      <c r="K69" t="s">
        <v>247</v>
      </c>
      <c r="L69">
        <v>20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s="8">
        <v>20</v>
      </c>
      <c r="V69" s="8">
        <f t="shared" si="2"/>
        <v>2</v>
      </c>
      <c r="W69" t="str">
        <f>_xlfn.XLOOKUP(A69, Matches!A:A, Matches!L:L, "NA", 0)</f>
        <v>MIW</v>
      </c>
      <c r="X69" t="str">
        <f>_xlfn.XLOOKUP(A69, Matches!A:A, Matches!J:J, "NA", 0)</f>
        <v>RCBW</v>
      </c>
      <c r="Y69" t="str">
        <f>_xlfn.XLOOKUP(A69, Matches!A:A, Matches!F:F, "NA", 0)</f>
        <v> Brabourne Stadium</v>
      </c>
      <c r="Z69" cm="1">
        <f t="array" ref="Z69">INDEX(Innings!F:F,MATCH(1,(TRIM(Innings!A:A)=TRIM(A69))*(TRIM(Innings!D:D)=TRIM(E69)),0))</f>
        <v>159</v>
      </c>
      <c r="AA69" cm="1">
        <f t="array" ref="AA69">INDEX(Innings!I:I,MATCH(1,(TRIM(Innings!A:A)=TRIM(A69))*(TRIM(Innings!D:D)=TRIM(E69)),0))</f>
        <v>11.09</v>
      </c>
      <c r="AB69" cm="1">
        <f t="array" ref="AB69">INDEX(Innings!J:J,MATCH(1,(TRIM(Innings!A:A)=TRIM(A69))*(TRIM(Innings!D:D)=TRIM(E69)),0))</f>
        <v>54</v>
      </c>
      <c r="AC69" cm="1">
        <f t="array" ref="AC69">INDEX(Innings!N:N,MATCH(1,(TRIM(Innings!A:A)=TRIM(A69))*(TRIM(Innings!D:D)=TRIM(E69)),0))</f>
        <v>0</v>
      </c>
      <c r="AD69" cm="1">
        <f t="array" ref="AD69">INDEX(Innings!S:S,MATCH(1,(TRIM(Innings!A:A)=TRIM(A69))*(TRIM(Innings!D:D)=TRIM(E69)),0))</f>
        <v>22</v>
      </c>
      <c r="AE69" t="str" cm="1">
        <f t="array" ref="AE69">INDEX(Innings!W:W,MATCH(1,(TRIM(Innings!A:A)=TRIM(A69))*(TRIM(Innings!D:D)=TRIM(E69)),0))</f>
        <v>Successful</v>
      </c>
      <c r="AF69">
        <f>IF(UPPER(TRIM(E69))=UPPER(TRIM(W69)),1,0)</f>
        <v>1</v>
      </c>
      <c r="AG69">
        <f t="shared" si="3"/>
        <v>30.6</v>
      </c>
    </row>
    <row r="70" spans="1:33" x14ac:dyDescent="0.3">
      <c r="A70" t="s">
        <v>137</v>
      </c>
      <c r="B70">
        <v>1</v>
      </c>
      <c r="C70" t="s">
        <v>117</v>
      </c>
      <c r="D70" t="s">
        <v>90</v>
      </c>
      <c r="E70" t="s">
        <v>266</v>
      </c>
      <c r="F70" t="s">
        <v>91</v>
      </c>
      <c r="G70" t="s">
        <v>92</v>
      </c>
      <c r="H70">
        <v>55</v>
      </c>
      <c r="I70">
        <v>29</v>
      </c>
      <c r="J70">
        <v>189.66</v>
      </c>
      <c r="K70" t="s">
        <v>96</v>
      </c>
      <c r="L70">
        <v>80</v>
      </c>
      <c r="M70">
        <v>3</v>
      </c>
      <c r="N70">
        <v>0</v>
      </c>
      <c r="O70">
        <v>34</v>
      </c>
      <c r="P70">
        <v>1</v>
      </c>
      <c r="Q70">
        <v>11.3</v>
      </c>
      <c r="R70">
        <v>25</v>
      </c>
      <c r="S70">
        <v>0</v>
      </c>
      <c r="T70">
        <v>0</v>
      </c>
      <c r="U70" s="8">
        <v>105</v>
      </c>
      <c r="V70" s="8">
        <f t="shared" si="2"/>
        <v>10</v>
      </c>
      <c r="W70" t="str">
        <f>_xlfn.XLOOKUP(A70, Matches!A:A, Matches!L:L, "NA", 0)</f>
        <v>MIW</v>
      </c>
      <c r="X70" t="str">
        <f>_xlfn.XLOOKUP(A70, Matches!A:A, Matches!J:J, "NA", 0)</f>
        <v>RCBW</v>
      </c>
      <c r="Y70" t="str">
        <f>_xlfn.XLOOKUP(A70, Matches!A:A, Matches!F:F, "NA", 0)</f>
        <v> Brabourne Stadium</v>
      </c>
      <c r="Z70" cm="1">
        <f t="array" ref="Z70">INDEX(Innings!F:F,MATCH(1,(TRIM(Innings!A:A)=TRIM(A70))*(TRIM(Innings!D:D)=TRIM(E70)),0))</f>
        <v>159</v>
      </c>
      <c r="AA70" cm="1">
        <f t="array" ref="AA70">INDEX(Innings!I:I,MATCH(1,(TRIM(Innings!A:A)=TRIM(A70))*(TRIM(Innings!D:D)=TRIM(E70)),0))</f>
        <v>11.09</v>
      </c>
      <c r="AB70" cm="1">
        <f t="array" ref="AB70">INDEX(Innings!J:J,MATCH(1,(TRIM(Innings!A:A)=TRIM(A70))*(TRIM(Innings!D:D)=TRIM(E70)),0))</f>
        <v>54</v>
      </c>
      <c r="AC70" cm="1">
        <f t="array" ref="AC70">INDEX(Innings!N:N,MATCH(1,(TRIM(Innings!A:A)=TRIM(A70))*(TRIM(Innings!D:D)=TRIM(E70)),0))</f>
        <v>0</v>
      </c>
      <c r="AD70" cm="1">
        <f t="array" ref="AD70">INDEX(Innings!S:S,MATCH(1,(TRIM(Innings!A:A)=TRIM(A70))*(TRIM(Innings!D:D)=TRIM(E70)),0))</f>
        <v>22</v>
      </c>
      <c r="AE70" t="str" cm="1">
        <f t="array" ref="AE70">INDEX(Innings!W:W,MATCH(1,(TRIM(Innings!A:A)=TRIM(A70))*(TRIM(Innings!D:D)=TRIM(E70)),0))</f>
        <v>Successful</v>
      </c>
      <c r="AF70">
        <f>IF(UPPER(TRIM(E70))=UPPER(TRIM(W70)),1,0)</f>
        <v>1</v>
      </c>
      <c r="AG70">
        <f t="shared" si="3"/>
        <v>75.5</v>
      </c>
    </row>
    <row r="71" spans="1:33" x14ac:dyDescent="0.3">
      <c r="A71" t="s">
        <v>137</v>
      </c>
      <c r="B71">
        <v>1</v>
      </c>
      <c r="C71" t="s">
        <v>115</v>
      </c>
      <c r="D71" t="s">
        <v>17</v>
      </c>
      <c r="E71" t="s">
        <v>266</v>
      </c>
      <c r="F71" t="s">
        <v>83</v>
      </c>
      <c r="G71" t="s">
        <v>134</v>
      </c>
      <c r="H71">
        <v>0</v>
      </c>
      <c r="I71">
        <v>0</v>
      </c>
      <c r="J71">
        <v>0</v>
      </c>
      <c r="K71" t="s">
        <v>104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s="8">
        <v>0</v>
      </c>
      <c r="V71" s="8">
        <f t="shared" si="2"/>
        <v>0</v>
      </c>
      <c r="W71" t="str">
        <f>_xlfn.XLOOKUP(A71, Matches!A:A, Matches!L:L, "NA", 0)</f>
        <v>MIW</v>
      </c>
      <c r="X71" t="str">
        <f>_xlfn.XLOOKUP(A71, Matches!A:A, Matches!J:J, "NA", 0)</f>
        <v>RCBW</v>
      </c>
      <c r="Y71" t="str">
        <f>_xlfn.XLOOKUP(A71, Matches!A:A, Matches!F:F, "NA", 0)</f>
        <v> Brabourne Stadium</v>
      </c>
      <c r="Z71" cm="1">
        <f t="array" ref="Z71">INDEX(Innings!F:F,MATCH(1,(TRIM(Innings!A:A)=TRIM(A71))*(TRIM(Innings!D:D)=TRIM(E71)),0))</f>
        <v>159</v>
      </c>
      <c r="AA71" cm="1">
        <f t="array" ref="AA71">INDEX(Innings!I:I,MATCH(1,(TRIM(Innings!A:A)=TRIM(A71))*(TRIM(Innings!D:D)=TRIM(E71)),0))</f>
        <v>11.09</v>
      </c>
      <c r="AB71" cm="1">
        <f t="array" ref="AB71">INDEX(Innings!J:J,MATCH(1,(TRIM(Innings!A:A)=TRIM(A71))*(TRIM(Innings!D:D)=TRIM(E71)),0))</f>
        <v>54</v>
      </c>
      <c r="AC71" cm="1">
        <f t="array" ref="AC71">INDEX(Innings!N:N,MATCH(1,(TRIM(Innings!A:A)=TRIM(A71))*(TRIM(Innings!D:D)=TRIM(E71)),0))</f>
        <v>0</v>
      </c>
      <c r="AD71" cm="1">
        <f t="array" ref="AD71">INDEX(Innings!S:S,MATCH(1,(TRIM(Innings!A:A)=TRIM(A71))*(TRIM(Innings!D:D)=TRIM(E71)),0))</f>
        <v>22</v>
      </c>
      <c r="AE71" t="str" cm="1">
        <f t="array" ref="AE71">INDEX(Innings!W:W,MATCH(1,(TRIM(Innings!A:A)=TRIM(A71))*(TRIM(Innings!D:D)=TRIM(E71)),0))</f>
        <v>Successful</v>
      </c>
      <c r="AF71">
        <f>IF(UPPER(TRIM(E71))=UPPER(TRIM(W71)),1,0)</f>
        <v>1</v>
      </c>
      <c r="AG71">
        <f t="shared" si="3"/>
        <v>20</v>
      </c>
    </row>
    <row r="72" spans="1:33" x14ac:dyDescent="0.3">
      <c r="A72" t="s">
        <v>137</v>
      </c>
      <c r="B72">
        <v>1</v>
      </c>
      <c r="C72" t="s">
        <v>119</v>
      </c>
      <c r="D72" t="s">
        <v>95</v>
      </c>
      <c r="E72" t="s">
        <v>266</v>
      </c>
      <c r="F72" t="s">
        <v>91</v>
      </c>
      <c r="G72" t="s">
        <v>135</v>
      </c>
      <c r="H72">
        <v>0</v>
      </c>
      <c r="I72">
        <v>0</v>
      </c>
      <c r="J72">
        <v>0</v>
      </c>
      <c r="K72" t="s">
        <v>104</v>
      </c>
      <c r="L72">
        <v>0</v>
      </c>
      <c r="M72">
        <v>3.4</v>
      </c>
      <c r="N72">
        <v>0</v>
      </c>
      <c r="O72">
        <v>30</v>
      </c>
      <c r="P72">
        <v>2</v>
      </c>
      <c r="Q72">
        <v>8.1999999999999993</v>
      </c>
      <c r="R72">
        <v>40</v>
      </c>
      <c r="S72">
        <v>0</v>
      </c>
      <c r="T72">
        <v>0</v>
      </c>
      <c r="U72" s="8">
        <v>40</v>
      </c>
      <c r="V72" s="8">
        <f t="shared" si="2"/>
        <v>4</v>
      </c>
      <c r="W72" t="str">
        <f>_xlfn.XLOOKUP(A72, Matches!A:A, Matches!L:L, "NA", 0)</f>
        <v>MIW</v>
      </c>
      <c r="X72" t="str">
        <f>_xlfn.XLOOKUP(A72, Matches!A:A, Matches!J:J, "NA", 0)</f>
        <v>RCBW</v>
      </c>
      <c r="Y72" t="str">
        <f>_xlfn.XLOOKUP(A72, Matches!A:A, Matches!F:F, "NA", 0)</f>
        <v> Brabourne Stadium</v>
      </c>
      <c r="Z72" cm="1">
        <f t="array" ref="Z72">INDEX(Innings!F:F,MATCH(1,(TRIM(Innings!A:A)=TRIM(A72))*(TRIM(Innings!D:D)=TRIM(E72)),0))</f>
        <v>159</v>
      </c>
      <c r="AA72" cm="1">
        <f t="array" ref="AA72">INDEX(Innings!I:I,MATCH(1,(TRIM(Innings!A:A)=TRIM(A72))*(TRIM(Innings!D:D)=TRIM(E72)),0))</f>
        <v>11.09</v>
      </c>
      <c r="AB72" cm="1">
        <f t="array" ref="AB72">INDEX(Innings!J:J,MATCH(1,(TRIM(Innings!A:A)=TRIM(A72))*(TRIM(Innings!D:D)=TRIM(E72)),0))</f>
        <v>54</v>
      </c>
      <c r="AC72" cm="1">
        <f t="array" ref="AC72">INDEX(Innings!N:N,MATCH(1,(TRIM(Innings!A:A)=TRIM(A72))*(TRIM(Innings!D:D)=TRIM(E72)),0))</f>
        <v>0</v>
      </c>
      <c r="AD72" cm="1">
        <f t="array" ref="AD72">INDEX(Innings!S:S,MATCH(1,(TRIM(Innings!A:A)=TRIM(A72))*(TRIM(Innings!D:D)=TRIM(E72)),0))</f>
        <v>22</v>
      </c>
      <c r="AE72" t="str" cm="1">
        <f t="array" ref="AE72">INDEX(Innings!W:W,MATCH(1,(TRIM(Innings!A:A)=TRIM(A72))*(TRIM(Innings!D:D)=TRIM(E72)),0))</f>
        <v>Successful</v>
      </c>
      <c r="AF72">
        <f>IF(UPPER(TRIM(E72))=UPPER(TRIM(W72)),1,0)</f>
        <v>1</v>
      </c>
      <c r="AG72">
        <f t="shared" si="3"/>
        <v>41.2</v>
      </c>
    </row>
    <row r="73" spans="1:33" x14ac:dyDescent="0.3">
      <c r="A73" t="s">
        <v>137</v>
      </c>
      <c r="B73">
        <v>1</v>
      </c>
      <c r="C73" t="s">
        <v>123</v>
      </c>
      <c r="D73" t="s">
        <v>98</v>
      </c>
      <c r="E73" t="s">
        <v>266</v>
      </c>
      <c r="F73" t="s">
        <v>91</v>
      </c>
      <c r="G73" t="s">
        <v>135</v>
      </c>
      <c r="H73">
        <v>0</v>
      </c>
      <c r="I73">
        <v>0</v>
      </c>
      <c r="J73">
        <v>0</v>
      </c>
      <c r="K73" t="s">
        <v>104</v>
      </c>
      <c r="L73">
        <v>0</v>
      </c>
      <c r="M73">
        <v>1</v>
      </c>
      <c r="N73">
        <v>0</v>
      </c>
      <c r="O73">
        <v>8</v>
      </c>
      <c r="P73">
        <v>1</v>
      </c>
      <c r="Q73">
        <v>8</v>
      </c>
      <c r="R73">
        <v>20</v>
      </c>
      <c r="S73">
        <v>0</v>
      </c>
      <c r="T73">
        <v>0</v>
      </c>
      <c r="U73" s="8">
        <v>20</v>
      </c>
      <c r="V73" s="8">
        <f t="shared" si="2"/>
        <v>2</v>
      </c>
      <c r="W73" t="str">
        <f>_xlfn.XLOOKUP(A73, Matches!A:A, Matches!L:L, "NA", 0)</f>
        <v>MIW</v>
      </c>
      <c r="X73" t="str">
        <f>_xlfn.XLOOKUP(A73, Matches!A:A, Matches!J:J, "NA", 0)</f>
        <v>RCBW</v>
      </c>
      <c r="Y73" t="str">
        <f>_xlfn.XLOOKUP(A73, Matches!A:A, Matches!F:F, "NA", 0)</f>
        <v> Brabourne Stadium</v>
      </c>
      <c r="Z73" cm="1">
        <f t="array" ref="Z73">INDEX(Innings!F:F,MATCH(1,(TRIM(Innings!A:A)=TRIM(A73))*(TRIM(Innings!D:D)=TRIM(E73)),0))</f>
        <v>159</v>
      </c>
      <c r="AA73" cm="1">
        <f t="array" ref="AA73">INDEX(Innings!I:I,MATCH(1,(TRIM(Innings!A:A)=TRIM(A73))*(TRIM(Innings!D:D)=TRIM(E73)),0))</f>
        <v>11.09</v>
      </c>
      <c r="AB73" cm="1">
        <f t="array" ref="AB73">INDEX(Innings!J:J,MATCH(1,(TRIM(Innings!A:A)=TRIM(A73))*(TRIM(Innings!D:D)=TRIM(E73)),0))</f>
        <v>54</v>
      </c>
      <c r="AC73" cm="1">
        <f t="array" ref="AC73">INDEX(Innings!N:N,MATCH(1,(TRIM(Innings!A:A)=TRIM(A73))*(TRIM(Innings!D:D)=TRIM(E73)),0))</f>
        <v>0</v>
      </c>
      <c r="AD73" cm="1">
        <f t="array" ref="AD73">INDEX(Innings!S:S,MATCH(1,(TRIM(Innings!A:A)=TRIM(A73))*(TRIM(Innings!D:D)=TRIM(E73)),0))</f>
        <v>22</v>
      </c>
      <c r="AE73" t="str" cm="1">
        <f t="array" ref="AE73">INDEX(Innings!W:W,MATCH(1,(TRIM(Innings!A:A)=TRIM(A73))*(TRIM(Innings!D:D)=TRIM(E73)),0))</f>
        <v>Successful</v>
      </c>
      <c r="AF73">
        <f>IF(UPPER(TRIM(E73))=UPPER(TRIM(W73)),1,0)</f>
        <v>1</v>
      </c>
      <c r="AG73">
        <f t="shared" si="3"/>
        <v>30.6</v>
      </c>
    </row>
    <row r="74" spans="1:33" x14ac:dyDescent="0.3">
      <c r="A74" t="s">
        <v>137</v>
      </c>
      <c r="B74">
        <v>1</v>
      </c>
      <c r="C74" t="s">
        <v>127</v>
      </c>
      <c r="D74" t="s">
        <v>100</v>
      </c>
      <c r="E74" t="s">
        <v>266</v>
      </c>
      <c r="F74" t="s">
        <v>101</v>
      </c>
      <c r="G74" t="s">
        <v>135</v>
      </c>
      <c r="H74">
        <v>0</v>
      </c>
      <c r="I74">
        <v>0</v>
      </c>
      <c r="J74">
        <v>0</v>
      </c>
      <c r="K74" t="s">
        <v>104</v>
      </c>
      <c r="L74">
        <v>0</v>
      </c>
      <c r="M74">
        <v>2</v>
      </c>
      <c r="N74">
        <v>0</v>
      </c>
      <c r="O74">
        <v>18</v>
      </c>
      <c r="P74">
        <v>0</v>
      </c>
      <c r="Q74">
        <v>9</v>
      </c>
      <c r="R74">
        <v>0</v>
      </c>
      <c r="S74">
        <v>0</v>
      </c>
      <c r="T74">
        <v>0</v>
      </c>
      <c r="U74" s="8">
        <v>0</v>
      </c>
      <c r="V74" s="8">
        <f t="shared" si="2"/>
        <v>0</v>
      </c>
      <c r="W74" t="str">
        <f>_xlfn.XLOOKUP(A74, Matches!A:A, Matches!L:L, "NA", 0)</f>
        <v>MIW</v>
      </c>
      <c r="X74" t="str">
        <f>_xlfn.XLOOKUP(A74, Matches!A:A, Matches!J:J, "NA", 0)</f>
        <v>RCBW</v>
      </c>
      <c r="Y74" t="str">
        <f>_xlfn.XLOOKUP(A74, Matches!A:A, Matches!F:F, "NA", 0)</f>
        <v> Brabourne Stadium</v>
      </c>
      <c r="Z74" cm="1">
        <f t="array" ref="Z74">INDEX(Innings!F:F,MATCH(1,(TRIM(Innings!A:A)=TRIM(A74))*(TRIM(Innings!D:D)=TRIM(E74)),0))</f>
        <v>159</v>
      </c>
      <c r="AA74" cm="1">
        <f t="array" ref="AA74">INDEX(Innings!I:I,MATCH(1,(TRIM(Innings!A:A)=TRIM(A74))*(TRIM(Innings!D:D)=TRIM(E74)),0))</f>
        <v>11.09</v>
      </c>
      <c r="AB74" cm="1">
        <f t="array" ref="AB74">INDEX(Innings!J:J,MATCH(1,(TRIM(Innings!A:A)=TRIM(A74))*(TRIM(Innings!D:D)=TRIM(E74)),0))</f>
        <v>54</v>
      </c>
      <c r="AC74" cm="1">
        <f t="array" ref="AC74">INDEX(Innings!N:N,MATCH(1,(TRIM(Innings!A:A)=TRIM(A74))*(TRIM(Innings!D:D)=TRIM(E74)),0))</f>
        <v>0</v>
      </c>
      <c r="AD74" cm="1">
        <f t="array" ref="AD74">INDEX(Innings!S:S,MATCH(1,(TRIM(Innings!A:A)=TRIM(A74))*(TRIM(Innings!D:D)=TRIM(E74)),0))</f>
        <v>22</v>
      </c>
      <c r="AE74" t="str" cm="1">
        <f t="array" ref="AE74">INDEX(Innings!W:W,MATCH(1,(TRIM(Innings!A:A)=TRIM(A74))*(TRIM(Innings!D:D)=TRIM(E74)),0))</f>
        <v>Successful</v>
      </c>
      <c r="AF74">
        <f>IF(UPPER(TRIM(E74))=UPPER(TRIM(W74)),1,0)</f>
        <v>1</v>
      </c>
      <c r="AG74">
        <f t="shared" si="3"/>
        <v>20</v>
      </c>
    </row>
    <row r="75" spans="1:33" x14ac:dyDescent="0.3">
      <c r="A75" t="s">
        <v>137</v>
      </c>
      <c r="B75">
        <v>1</v>
      </c>
      <c r="C75" t="s">
        <v>121</v>
      </c>
      <c r="D75" t="s">
        <v>108</v>
      </c>
      <c r="E75" t="s">
        <v>266</v>
      </c>
      <c r="F75" t="s">
        <v>109</v>
      </c>
      <c r="G75" t="s">
        <v>135</v>
      </c>
      <c r="H75">
        <v>0</v>
      </c>
      <c r="I75">
        <v>0</v>
      </c>
      <c r="J75">
        <v>0</v>
      </c>
      <c r="K75" t="s">
        <v>104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 s="8">
        <v>5</v>
      </c>
      <c r="V75" s="8">
        <f t="shared" si="2"/>
        <v>1</v>
      </c>
      <c r="W75" t="str">
        <f>_xlfn.XLOOKUP(A75, Matches!A:A, Matches!L:L, "NA", 0)</f>
        <v>MIW</v>
      </c>
      <c r="X75" t="str">
        <f>_xlfn.XLOOKUP(A75, Matches!A:A, Matches!J:J, "NA", 0)</f>
        <v>RCBW</v>
      </c>
      <c r="Y75" t="str">
        <f>_xlfn.XLOOKUP(A75, Matches!A:A, Matches!F:F, "NA", 0)</f>
        <v> Brabourne Stadium</v>
      </c>
      <c r="Z75" cm="1">
        <f t="array" ref="Z75">INDEX(Innings!F:F,MATCH(1,(TRIM(Innings!A:A)=TRIM(A75))*(TRIM(Innings!D:D)=TRIM(E75)),0))</f>
        <v>159</v>
      </c>
      <c r="AA75" cm="1">
        <f t="array" ref="AA75">INDEX(Innings!I:I,MATCH(1,(TRIM(Innings!A:A)=TRIM(A75))*(TRIM(Innings!D:D)=TRIM(E75)),0))</f>
        <v>11.09</v>
      </c>
      <c r="AB75" cm="1">
        <f t="array" ref="AB75">INDEX(Innings!J:J,MATCH(1,(TRIM(Innings!A:A)=TRIM(A75))*(TRIM(Innings!D:D)=TRIM(E75)),0))</f>
        <v>54</v>
      </c>
      <c r="AC75" cm="1">
        <f t="array" ref="AC75">INDEX(Innings!N:N,MATCH(1,(TRIM(Innings!A:A)=TRIM(A75))*(TRIM(Innings!D:D)=TRIM(E75)),0))</f>
        <v>0</v>
      </c>
      <c r="AD75" cm="1">
        <f t="array" ref="AD75">INDEX(Innings!S:S,MATCH(1,(TRIM(Innings!A:A)=TRIM(A75))*(TRIM(Innings!D:D)=TRIM(E75)),0))</f>
        <v>22</v>
      </c>
      <c r="AE75" t="str" cm="1">
        <f t="array" ref="AE75">INDEX(Innings!W:W,MATCH(1,(TRIM(Innings!A:A)=TRIM(A75))*(TRIM(Innings!D:D)=TRIM(E75)),0))</f>
        <v>Successful</v>
      </c>
      <c r="AF75">
        <f>IF(UPPER(TRIM(E75))=UPPER(TRIM(W75)),1,0)</f>
        <v>1</v>
      </c>
      <c r="AG75">
        <f t="shared" si="3"/>
        <v>22.8</v>
      </c>
    </row>
    <row r="76" spans="1:33" x14ac:dyDescent="0.3">
      <c r="A76" t="s">
        <v>137</v>
      </c>
      <c r="B76">
        <v>1</v>
      </c>
      <c r="C76" t="s">
        <v>125</v>
      </c>
      <c r="D76" t="s">
        <v>111</v>
      </c>
      <c r="E76" t="s">
        <v>266</v>
      </c>
      <c r="F76" t="s">
        <v>83</v>
      </c>
      <c r="G76" t="s">
        <v>135</v>
      </c>
      <c r="H76">
        <v>0</v>
      </c>
      <c r="I76">
        <v>0</v>
      </c>
      <c r="J76">
        <v>0</v>
      </c>
      <c r="K76" t="s">
        <v>104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 s="8">
        <v>5</v>
      </c>
      <c r="V76" s="8">
        <f t="shared" si="2"/>
        <v>1</v>
      </c>
      <c r="W76" t="str">
        <f>_xlfn.XLOOKUP(A76, Matches!A:A, Matches!L:L, "NA", 0)</f>
        <v>MIW</v>
      </c>
      <c r="X76" t="str">
        <f>_xlfn.XLOOKUP(A76, Matches!A:A, Matches!J:J, "NA", 0)</f>
        <v>RCBW</v>
      </c>
      <c r="Y76" t="str">
        <f>_xlfn.XLOOKUP(A76, Matches!A:A, Matches!F:F, "NA", 0)</f>
        <v> Brabourne Stadium</v>
      </c>
      <c r="Z76" cm="1">
        <f t="array" ref="Z76">INDEX(Innings!F:F,MATCH(1,(TRIM(Innings!A:A)=TRIM(A76))*(TRIM(Innings!D:D)=TRIM(E76)),0))</f>
        <v>159</v>
      </c>
      <c r="AA76" cm="1">
        <f t="array" ref="AA76">INDEX(Innings!I:I,MATCH(1,(TRIM(Innings!A:A)=TRIM(A76))*(TRIM(Innings!D:D)=TRIM(E76)),0))</f>
        <v>11.09</v>
      </c>
      <c r="AB76" cm="1">
        <f t="array" ref="AB76">INDEX(Innings!J:J,MATCH(1,(TRIM(Innings!A:A)=TRIM(A76))*(TRIM(Innings!D:D)=TRIM(E76)),0))</f>
        <v>54</v>
      </c>
      <c r="AC76" cm="1">
        <f t="array" ref="AC76">INDEX(Innings!N:N,MATCH(1,(TRIM(Innings!A:A)=TRIM(A76))*(TRIM(Innings!D:D)=TRIM(E76)),0))</f>
        <v>0</v>
      </c>
      <c r="AD76" cm="1">
        <f t="array" ref="AD76">INDEX(Innings!S:S,MATCH(1,(TRIM(Innings!A:A)=TRIM(A76))*(TRIM(Innings!D:D)=TRIM(E76)),0))</f>
        <v>22</v>
      </c>
      <c r="AE76" t="str" cm="1">
        <f t="array" ref="AE76">INDEX(Innings!W:W,MATCH(1,(TRIM(Innings!A:A)=TRIM(A76))*(TRIM(Innings!D:D)=TRIM(E76)),0))</f>
        <v>Successful</v>
      </c>
      <c r="AF76">
        <f>IF(UPPER(TRIM(E76))=UPPER(TRIM(W76)),1,0)</f>
        <v>1</v>
      </c>
      <c r="AG76">
        <f t="shared" si="3"/>
        <v>22.8</v>
      </c>
    </row>
    <row r="77" spans="1:33" x14ac:dyDescent="0.3">
      <c r="A77" t="s">
        <v>137</v>
      </c>
      <c r="B77">
        <v>1</v>
      </c>
      <c r="C77" t="s">
        <v>129</v>
      </c>
      <c r="D77" t="s">
        <v>103</v>
      </c>
      <c r="E77" t="s">
        <v>266</v>
      </c>
      <c r="F77" t="s">
        <v>91</v>
      </c>
      <c r="G77" t="s">
        <v>135</v>
      </c>
      <c r="H77">
        <v>0</v>
      </c>
      <c r="I77">
        <v>0</v>
      </c>
      <c r="J77">
        <v>0</v>
      </c>
      <c r="K77" t="s">
        <v>104</v>
      </c>
      <c r="L77">
        <v>0</v>
      </c>
      <c r="M77">
        <v>1</v>
      </c>
      <c r="N77">
        <v>0</v>
      </c>
      <c r="O77">
        <v>10</v>
      </c>
      <c r="P77">
        <v>0</v>
      </c>
      <c r="Q77">
        <v>10</v>
      </c>
      <c r="R77">
        <v>0</v>
      </c>
      <c r="S77">
        <v>0</v>
      </c>
      <c r="T77">
        <v>0</v>
      </c>
      <c r="U77" s="8">
        <v>0</v>
      </c>
      <c r="V77" s="8">
        <f t="shared" si="2"/>
        <v>0</v>
      </c>
      <c r="W77" t="str">
        <f>_xlfn.XLOOKUP(A77, Matches!A:A, Matches!L:L, "NA", 0)</f>
        <v>MIW</v>
      </c>
      <c r="X77" t="str">
        <f>_xlfn.XLOOKUP(A77, Matches!A:A, Matches!J:J, "NA", 0)</f>
        <v>RCBW</v>
      </c>
      <c r="Y77" t="str">
        <f>_xlfn.XLOOKUP(A77, Matches!A:A, Matches!F:F, "NA", 0)</f>
        <v> Brabourne Stadium</v>
      </c>
      <c r="Z77" cm="1">
        <f t="array" ref="Z77">INDEX(Innings!F:F,MATCH(1,(TRIM(Innings!A:A)=TRIM(A77))*(TRIM(Innings!D:D)=TRIM(E77)),0))</f>
        <v>159</v>
      </c>
      <c r="AA77" cm="1">
        <f t="array" ref="AA77">INDEX(Innings!I:I,MATCH(1,(TRIM(Innings!A:A)=TRIM(A77))*(TRIM(Innings!D:D)=TRIM(E77)),0))</f>
        <v>11.09</v>
      </c>
      <c r="AB77" cm="1">
        <f t="array" ref="AB77">INDEX(Innings!J:J,MATCH(1,(TRIM(Innings!A:A)=TRIM(A77))*(TRIM(Innings!D:D)=TRIM(E77)),0))</f>
        <v>54</v>
      </c>
      <c r="AC77" cm="1">
        <f t="array" ref="AC77">INDEX(Innings!N:N,MATCH(1,(TRIM(Innings!A:A)=TRIM(A77))*(TRIM(Innings!D:D)=TRIM(E77)),0))</f>
        <v>0</v>
      </c>
      <c r="AD77" cm="1">
        <f t="array" ref="AD77">INDEX(Innings!S:S,MATCH(1,(TRIM(Innings!A:A)=TRIM(A77))*(TRIM(Innings!D:D)=TRIM(E77)),0))</f>
        <v>22</v>
      </c>
      <c r="AE77" t="str" cm="1">
        <f t="array" ref="AE77">INDEX(Innings!W:W,MATCH(1,(TRIM(Innings!A:A)=TRIM(A77))*(TRIM(Innings!D:D)=TRIM(E77)),0))</f>
        <v>Successful</v>
      </c>
      <c r="AF77">
        <f>IF(UPPER(TRIM(E77))=UPPER(TRIM(W77)),1,0)</f>
        <v>1</v>
      </c>
      <c r="AG77">
        <f t="shared" si="3"/>
        <v>20</v>
      </c>
    </row>
    <row r="78" spans="1:33" x14ac:dyDescent="0.3">
      <c r="A78" t="s">
        <v>137</v>
      </c>
      <c r="B78">
        <v>1</v>
      </c>
      <c r="C78" t="s">
        <v>131</v>
      </c>
      <c r="D78" t="s">
        <v>106</v>
      </c>
      <c r="E78" t="s">
        <v>266</v>
      </c>
      <c r="F78" t="s">
        <v>101</v>
      </c>
      <c r="G78" t="s">
        <v>135</v>
      </c>
      <c r="H78">
        <v>0</v>
      </c>
      <c r="I78">
        <v>0</v>
      </c>
      <c r="J78">
        <v>0</v>
      </c>
      <c r="K78" t="s">
        <v>104</v>
      </c>
      <c r="L78">
        <v>0</v>
      </c>
      <c r="M78">
        <v>4</v>
      </c>
      <c r="N78">
        <v>0</v>
      </c>
      <c r="O78">
        <v>26</v>
      </c>
      <c r="P78">
        <v>2</v>
      </c>
      <c r="Q78">
        <v>6.5</v>
      </c>
      <c r="R78">
        <v>45</v>
      </c>
      <c r="S78">
        <v>0</v>
      </c>
      <c r="T78">
        <v>0</v>
      </c>
      <c r="U78" s="8">
        <v>45</v>
      </c>
      <c r="V78" s="8">
        <f t="shared" si="2"/>
        <v>5</v>
      </c>
      <c r="W78" t="str">
        <f>_xlfn.XLOOKUP(A78, Matches!A:A, Matches!L:L, "NA", 0)</f>
        <v>MIW</v>
      </c>
      <c r="X78" t="str">
        <f>_xlfn.XLOOKUP(A78, Matches!A:A, Matches!J:J, "NA", 0)</f>
        <v>RCBW</v>
      </c>
      <c r="Y78" t="str">
        <f>_xlfn.XLOOKUP(A78, Matches!A:A, Matches!F:F, "NA", 0)</f>
        <v> Brabourne Stadium</v>
      </c>
      <c r="Z78" cm="1">
        <f t="array" ref="Z78">INDEX(Innings!F:F,MATCH(1,(TRIM(Innings!A:A)=TRIM(A78))*(TRIM(Innings!D:D)=TRIM(E78)),0))</f>
        <v>159</v>
      </c>
      <c r="AA78" cm="1">
        <f t="array" ref="AA78">INDEX(Innings!I:I,MATCH(1,(TRIM(Innings!A:A)=TRIM(A78))*(TRIM(Innings!D:D)=TRIM(E78)),0))</f>
        <v>11.09</v>
      </c>
      <c r="AB78" cm="1">
        <f t="array" ref="AB78">INDEX(Innings!J:J,MATCH(1,(TRIM(Innings!A:A)=TRIM(A78))*(TRIM(Innings!D:D)=TRIM(E78)),0))</f>
        <v>54</v>
      </c>
      <c r="AC78" cm="1">
        <f t="array" ref="AC78">INDEX(Innings!N:N,MATCH(1,(TRIM(Innings!A:A)=TRIM(A78))*(TRIM(Innings!D:D)=TRIM(E78)),0))</f>
        <v>0</v>
      </c>
      <c r="AD78" cm="1">
        <f t="array" ref="AD78">INDEX(Innings!S:S,MATCH(1,(TRIM(Innings!A:A)=TRIM(A78))*(TRIM(Innings!D:D)=TRIM(E78)),0))</f>
        <v>22</v>
      </c>
      <c r="AE78" t="str" cm="1">
        <f t="array" ref="AE78">INDEX(Innings!W:W,MATCH(1,(TRIM(Innings!A:A)=TRIM(A78))*(TRIM(Innings!D:D)=TRIM(E78)),0))</f>
        <v>Successful</v>
      </c>
      <c r="AF78">
        <f>IF(UPPER(TRIM(E78))=UPPER(TRIM(W78)),1,0)</f>
        <v>1</v>
      </c>
      <c r="AG78">
        <f t="shared" si="3"/>
        <v>44</v>
      </c>
    </row>
    <row r="79" spans="1:33" x14ac:dyDescent="0.3">
      <c r="A79" t="s">
        <v>137</v>
      </c>
      <c r="B79">
        <v>1</v>
      </c>
      <c r="C79" t="s">
        <v>165</v>
      </c>
      <c r="D79" t="s">
        <v>166</v>
      </c>
      <c r="E79" t="s">
        <v>159</v>
      </c>
      <c r="F79" t="s">
        <v>109</v>
      </c>
      <c r="G79" t="s">
        <v>86</v>
      </c>
      <c r="H79">
        <v>23</v>
      </c>
      <c r="I79">
        <v>17</v>
      </c>
      <c r="J79">
        <v>135.29</v>
      </c>
      <c r="K79" t="s">
        <v>246</v>
      </c>
      <c r="L79">
        <v>35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 s="8">
        <v>35</v>
      </c>
      <c r="V79" s="8">
        <f t="shared" si="2"/>
        <v>4</v>
      </c>
      <c r="W79" t="str">
        <f>_xlfn.XLOOKUP(A79, Matches!A:A, Matches!L:L, "NA", 0)</f>
        <v>MIW</v>
      </c>
      <c r="X79" t="str">
        <f>_xlfn.XLOOKUP(A79, Matches!A:A, Matches!J:J, "NA", 0)</f>
        <v>RCBW</v>
      </c>
      <c r="Y79" t="str">
        <f>_xlfn.XLOOKUP(A79, Matches!A:A, Matches!F:F, "NA", 0)</f>
        <v> Brabourne Stadium</v>
      </c>
      <c r="Z79" cm="1">
        <f t="array" ref="Z79">INDEX(Innings!F:F,MATCH(1,(TRIM(Innings!A:A)=TRIM(A79))*(TRIM(Innings!D:D)=TRIM(E79)),0))</f>
        <v>155</v>
      </c>
      <c r="AA79" cm="1">
        <f t="array" ref="AA79">INDEX(Innings!I:I,MATCH(1,(TRIM(Innings!A:A)=TRIM(A79))*(TRIM(Innings!D:D)=TRIM(E79)),0))</f>
        <v>8.3000000000000007</v>
      </c>
      <c r="AB79" cm="1">
        <f t="array" ref="AB79">INDEX(Innings!J:J,MATCH(1,(TRIM(Innings!A:A)=TRIM(A79))*(TRIM(Innings!D:D)=TRIM(E79)),0))</f>
        <v>47</v>
      </c>
      <c r="AC79" cm="1">
        <f t="array" ref="AC79">INDEX(Innings!N:N,MATCH(1,(TRIM(Innings!A:A)=TRIM(A79))*(TRIM(Innings!D:D)=TRIM(E79)),0))</f>
        <v>22</v>
      </c>
      <c r="AD79" cm="1">
        <f t="array" ref="AD79">INDEX(Innings!S:S,MATCH(1,(TRIM(Innings!A:A)=TRIM(A79))*(TRIM(Innings!D:D)=TRIM(E79)),0))</f>
        <v>41</v>
      </c>
      <c r="AE79" t="str" cm="1">
        <f t="array" ref="AE79">INDEX(Innings!W:W,MATCH(1,(TRIM(Innings!A:A)=TRIM(A79))*(TRIM(Innings!D:D)=TRIM(E79)),0))</f>
        <v>NA</v>
      </c>
      <c r="AF79">
        <f>IF(UPPER(TRIM(E79))=UPPER(TRIM(W79)),1,0)</f>
        <v>0</v>
      </c>
      <c r="AG79">
        <f t="shared" si="3"/>
        <v>18.7</v>
      </c>
    </row>
    <row r="80" spans="1:33" x14ac:dyDescent="0.3">
      <c r="A80" t="s">
        <v>137</v>
      </c>
      <c r="B80">
        <v>1</v>
      </c>
      <c r="C80" t="s">
        <v>167</v>
      </c>
      <c r="D80" t="s">
        <v>168</v>
      </c>
      <c r="E80" t="s">
        <v>159</v>
      </c>
      <c r="F80" t="s">
        <v>83</v>
      </c>
      <c r="G80" t="s">
        <v>86</v>
      </c>
      <c r="H80">
        <v>16</v>
      </c>
      <c r="I80">
        <v>11</v>
      </c>
      <c r="J80">
        <v>145.44999999999999</v>
      </c>
      <c r="K80" t="s">
        <v>246</v>
      </c>
      <c r="L80">
        <v>25</v>
      </c>
      <c r="M80">
        <v>1</v>
      </c>
      <c r="N80">
        <v>0</v>
      </c>
      <c r="O80">
        <v>11</v>
      </c>
      <c r="P80">
        <v>0</v>
      </c>
      <c r="Q80">
        <v>11</v>
      </c>
      <c r="R80">
        <v>0</v>
      </c>
      <c r="S80">
        <v>0</v>
      </c>
      <c r="T80">
        <v>0</v>
      </c>
      <c r="U80" s="8">
        <v>25</v>
      </c>
      <c r="V80" s="8">
        <f t="shared" si="2"/>
        <v>3</v>
      </c>
      <c r="W80" t="str">
        <f>_xlfn.XLOOKUP(A80, Matches!A:A, Matches!L:L, "NA", 0)</f>
        <v>MIW</v>
      </c>
      <c r="X80" t="str">
        <f>_xlfn.XLOOKUP(A80, Matches!A:A, Matches!J:J, "NA", 0)</f>
        <v>RCBW</v>
      </c>
      <c r="Y80" t="str">
        <f>_xlfn.XLOOKUP(A80, Matches!A:A, Matches!F:F, "NA", 0)</f>
        <v> Brabourne Stadium</v>
      </c>
      <c r="Z80" cm="1">
        <f t="array" ref="Z80">INDEX(Innings!F:F,MATCH(1,(TRIM(Innings!A:A)=TRIM(A80))*(TRIM(Innings!D:D)=TRIM(E80)),0))</f>
        <v>155</v>
      </c>
      <c r="AA80" cm="1">
        <f t="array" ref="AA80">INDEX(Innings!I:I,MATCH(1,(TRIM(Innings!A:A)=TRIM(A80))*(TRIM(Innings!D:D)=TRIM(E80)),0))</f>
        <v>8.3000000000000007</v>
      </c>
      <c r="AB80" cm="1">
        <f t="array" ref="AB80">INDEX(Innings!J:J,MATCH(1,(TRIM(Innings!A:A)=TRIM(A80))*(TRIM(Innings!D:D)=TRIM(E80)),0))</f>
        <v>47</v>
      </c>
      <c r="AC80" cm="1">
        <f t="array" ref="AC80">INDEX(Innings!N:N,MATCH(1,(TRIM(Innings!A:A)=TRIM(A80))*(TRIM(Innings!D:D)=TRIM(E80)),0))</f>
        <v>22</v>
      </c>
      <c r="AD80" cm="1">
        <f t="array" ref="AD80">INDEX(Innings!S:S,MATCH(1,(TRIM(Innings!A:A)=TRIM(A80))*(TRIM(Innings!D:D)=TRIM(E80)),0))</f>
        <v>41</v>
      </c>
      <c r="AE80" t="str" cm="1">
        <f t="array" ref="AE80">INDEX(Innings!W:W,MATCH(1,(TRIM(Innings!A:A)=TRIM(A80))*(TRIM(Innings!D:D)=TRIM(E80)),0))</f>
        <v>NA</v>
      </c>
      <c r="AF80">
        <f>IF(UPPER(TRIM(E80))=UPPER(TRIM(W80)),1,0)</f>
        <v>0</v>
      </c>
      <c r="AG80">
        <f t="shared" si="3"/>
        <v>13.4</v>
      </c>
    </row>
    <row r="81" spans="1:33" x14ac:dyDescent="0.3">
      <c r="A81" t="s">
        <v>137</v>
      </c>
      <c r="B81">
        <v>1</v>
      </c>
      <c r="C81" t="s">
        <v>174</v>
      </c>
      <c r="D81" t="s">
        <v>175</v>
      </c>
      <c r="E81" t="s">
        <v>159</v>
      </c>
      <c r="F81" t="s">
        <v>83</v>
      </c>
      <c r="G81" t="s">
        <v>134</v>
      </c>
      <c r="H81">
        <v>13</v>
      </c>
      <c r="I81">
        <v>7</v>
      </c>
      <c r="J81">
        <v>185.71</v>
      </c>
      <c r="K81" t="s">
        <v>256</v>
      </c>
      <c r="L81">
        <v>22</v>
      </c>
      <c r="M81">
        <v>1.2</v>
      </c>
      <c r="N81">
        <v>0</v>
      </c>
      <c r="O81">
        <v>18</v>
      </c>
      <c r="P81">
        <v>0</v>
      </c>
      <c r="Q81">
        <v>13.5</v>
      </c>
      <c r="R81">
        <v>0</v>
      </c>
      <c r="S81">
        <v>0</v>
      </c>
      <c r="T81">
        <v>0</v>
      </c>
      <c r="U81" s="8">
        <v>22</v>
      </c>
      <c r="V81" s="8">
        <f t="shared" si="2"/>
        <v>2</v>
      </c>
      <c r="W81" t="str">
        <f>_xlfn.XLOOKUP(A81, Matches!A:A, Matches!L:L, "NA", 0)</f>
        <v>MIW</v>
      </c>
      <c r="X81" t="str">
        <f>_xlfn.XLOOKUP(A81, Matches!A:A, Matches!J:J, "NA", 0)</f>
        <v>RCBW</v>
      </c>
      <c r="Y81" t="str">
        <f>_xlfn.XLOOKUP(A81, Matches!A:A, Matches!F:F, "NA", 0)</f>
        <v> Brabourne Stadium</v>
      </c>
      <c r="Z81" cm="1">
        <f t="array" ref="Z81">INDEX(Innings!F:F,MATCH(1,(TRIM(Innings!A:A)=TRIM(A81))*(TRIM(Innings!D:D)=TRIM(E81)),0))</f>
        <v>155</v>
      </c>
      <c r="AA81" cm="1">
        <f t="array" ref="AA81">INDEX(Innings!I:I,MATCH(1,(TRIM(Innings!A:A)=TRIM(A81))*(TRIM(Innings!D:D)=TRIM(E81)),0))</f>
        <v>8.3000000000000007</v>
      </c>
      <c r="AB81" cm="1">
        <f t="array" ref="AB81">INDEX(Innings!J:J,MATCH(1,(TRIM(Innings!A:A)=TRIM(A81))*(TRIM(Innings!D:D)=TRIM(E81)),0))</f>
        <v>47</v>
      </c>
      <c r="AC81" cm="1">
        <f t="array" ref="AC81">INDEX(Innings!N:N,MATCH(1,(TRIM(Innings!A:A)=TRIM(A81))*(TRIM(Innings!D:D)=TRIM(E81)),0))</f>
        <v>22</v>
      </c>
      <c r="AD81" cm="1">
        <f t="array" ref="AD81">INDEX(Innings!S:S,MATCH(1,(TRIM(Innings!A:A)=TRIM(A81))*(TRIM(Innings!D:D)=TRIM(E81)),0))</f>
        <v>41</v>
      </c>
      <c r="AE81" t="str" cm="1">
        <f t="array" ref="AE81">INDEX(Innings!W:W,MATCH(1,(TRIM(Innings!A:A)=TRIM(A81))*(TRIM(Innings!D:D)=TRIM(E81)),0))</f>
        <v>NA</v>
      </c>
      <c r="AF81">
        <f>IF(UPPER(TRIM(E81))=UPPER(TRIM(W81)),1,0)</f>
        <v>0</v>
      </c>
      <c r="AG81">
        <f t="shared" si="3"/>
        <v>11.6</v>
      </c>
    </row>
    <row r="82" spans="1:33" x14ac:dyDescent="0.3">
      <c r="A82" t="s">
        <v>137</v>
      </c>
      <c r="B82">
        <v>1</v>
      </c>
      <c r="C82" t="s">
        <v>172</v>
      </c>
      <c r="D82" t="s">
        <v>173</v>
      </c>
      <c r="E82" t="s">
        <v>159</v>
      </c>
      <c r="F82" t="s">
        <v>109</v>
      </c>
      <c r="G82" t="s">
        <v>134</v>
      </c>
      <c r="H82">
        <v>0</v>
      </c>
      <c r="I82">
        <v>2</v>
      </c>
      <c r="J82">
        <v>0</v>
      </c>
      <c r="K82" t="s">
        <v>245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s="8">
        <v>0</v>
      </c>
      <c r="V82" s="8">
        <f t="shared" si="2"/>
        <v>0</v>
      </c>
      <c r="W82" t="str">
        <f>_xlfn.XLOOKUP(A82, Matches!A:A, Matches!L:L, "NA", 0)</f>
        <v>MIW</v>
      </c>
      <c r="X82" t="str">
        <f>_xlfn.XLOOKUP(A82, Matches!A:A, Matches!J:J, "NA", 0)</f>
        <v>RCBW</v>
      </c>
      <c r="Y82" t="str">
        <f>_xlfn.XLOOKUP(A82, Matches!A:A, Matches!F:F, "NA", 0)</f>
        <v> Brabourne Stadium</v>
      </c>
      <c r="Z82" cm="1">
        <f t="array" ref="Z82">INDEX(Innings!F:F,MATCH(1,(TRIM(Innings!A:A)=TRIM(A82))*(TRIM(Innings!D:D)=TRIM(E82)),0))</f>
        <v>155</v>
      </c>
      <c r="AA82" cm="1">
        <f t="array" ref="AA82">INDEX(Innings!I:I,MATCH(1,(TRIM(Innings!A:A)=TRIM(A82))*(TRIM(Innings!D:D)=TRIM(E82)),0))</f>
        <v>8.3000000000000007</v>
      </c>
      <c r="AB82" cm="1">
        <f t="array" ref="AB82">INDEX(Innings!J:J,MATCH(1,(TRIM(Innings!A:A)=TRIM(A82))*(TRIM(Innings!D:D)=TRIM(E82)),0))</f>
        <v>47</v>
      </c>
      <c r="AC82" cm="1">
        <f t="array" ref="AC82">INDEX(Innings!N:N,MATCH(1,(TRIM(Innings!A:A)=TRIM(A82))*(TRIM(Innings!D:D)=TRIM(E82)),0))</f>
        <v>22</v>
      </c>
      <c r="AD82" cm="1">
        <f t="array" ref="AD82">INDEX(Innings!S:S,MATCH(1,(TRIM(Innings!A:A)=TRIM(A82))*(TRIM(Innings!D:D)=TRIM(E82)),0))</f>
        <v>41</v>
      </c>
      <c r="AE82" t="str" cm="1">
        <f t="array" ref="AE82">INDEX(Innings!W:W,MATCH(1,(TRIM(Innings!A:A)=TRIM(A82))*(TRIM(Innings!D:D)=TRIM(E82)),0))</f>
        <v>NA</v>
      </c>
      <c r="AF82">
        <f>IF(UPPER(TRIM(E82))=UPPER(TRIM(W82)),1,0)</f>
        <v>0</v>
      </c>
      <c r="AG82">
        <f t="shared" si="3"/>
        <v>0</v>
      </c>
    </row>
    <row r="83" spans="1:33" x14ac:dyDescent="0.3">
      <c r="A83" t="s">
        <v>137</v>
      </c>
      <c r="B83">
        <v>1</v>
      </c>
      <c r="C83" t="s">
        <v>170</v>
      </c>
      <c r="D83" t="s">
        <v>171</v>
      </c>
      <c r="E83" t="s">
        <v>159</v>
      </c>
      <c r="F83" t="s">
        <v>83</v>
      </c>
      <c r="G83" t="s">
        <v>134</v>
      </c>
      <c r="H83">
        <v>0</v>
      </c>
      <c r="I83">
        <v>1</v>
      </c>
      <c r="J83">
        <v>0</v>
      </c>
      <c r="K83" t="s">
        <v>245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s="8">
        <v>0</v>
      </c>
      <c r="V83" s="8">
        <f t="shared" si="2"/>
        <v>0</v>
      </c>
      <c r="W83" t="str">
        <f>_xlfn.XLOOKUP(A83, Matches!A:A, Matches!L:L, "NA", 0)</f>
        <v>MIW</v>
      </c>
      <c r="X83" t="str">
        <f>_xlfn.XLOOKUP(A83, Matches!A:A, Matches!J:J, "NA", 0)</f>
        <v>RCBW</v>
      </c>
      <c r="Y83" t="str">
        <f>_xlfn.XLOOKUP(A83, Matches!A:A, Matches!F:F, "NA", 0)</f>
        <v> Brabourne Stadium</v>
      </c>
      <c r="Z83" cm="1">
        <f t="array" ref="Z83">INDEX(Innings!F:F,MATCH(1,(TRIM(Innings!A:A)=TRIM(A83))*(TRIM(Innings!D:D)=TRIM(E83)),0))</f>
        <v>155</v>
      </c>
      <c r="AA83" cm="1">
        <f t="array" ref="AA83">INDEX(Innings!I:I,MATCH(1,(TRIM(Innings!A:A)=TRIM(A83))*(TRIM(Innings!D:D)=TRIM(E83)),0))</f>
        <v>8.3000000000000007</v>
      </c>
      <c r="AB83" cm="1">
        <f t="array" ref="AB83">INDEX(Innings!J:J,MATCH(1,(TRIM(Innings!A:A)=TRIM(A83))*(TRIM(Innings!D:D)=TRIM(E83)),0))</f>
        <v>47</v>
      </c>
      <c r="AC83" cm="1">
        <f t="array" ref="AC83">INDEX(Innings!N:N,MATCH(1,(TRIM(Innings!A:A)=TRIM(A83))*(TRIM(Innings!D:D)=TRIM(E83)),0))</f>
        <v>22</v>
      </c>
      <c r="AD83" cm="1">
        <f t="array" ref="AD83">INDEX(Innings!S:S,MATCH(1,(TRIM(Innings!A:A)=TRIM(A83))*(TRIM(Innings!D:D)=TRIM(E83)),0))</f>
        <v>41</v>
      </c>
      <c r="AE83" t="str" cm="1">
        <f t="array" ref="AE83">INDEX(Innings!W:W,MATCH(1,(TRIM(Innings!A:A)=TRIM(A83))*(TRIM(Innings!D:D)=TRIM(E83)),0))</f>
        <v>NA</v>
      </c>
      <c r="AF83">
        <f>IF(UPPER(TRIM(E83))=UPPER(TRIM(W83)),1,0)</f>
        <v>0</v>
      </c>
      <c r="AG83">
        <f t="shared" si="3"/>
        <v>0</v>
      </c>
    </row>
    <row r="84" spans="1:33" x14ac:dyDescent="0.3">
      <c r="A84" t="s">
        <v>137</v>
      </c>
      <c r="B84">
        <v>1</v>
      </c>
      <c r="C84" t="s">
        <v>176</v>
      </c>
      <c r="D84" t="s">
        <v>177</v>
      </c>
      <c r="E84" t="s">
        <v>159</v>
      </c>
      <c r="F84" t="s">
        <v>85</v>
      </c>
      <c r="G84" t="s">
        <v>134</v>
      </c>
      <c r="H84">
        <v>28</v>
      </c>
      <c r="I84">
        <v>26</v>
      </c>
      <c r="J84">
        <v>107.69</v>
      </c>
      <c r="K84" t="s">
        <v>246</v>
      </c>
      <c r="L84">
        <v>40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s="8">
        <v>40</v>
      </c>
      <c r="V84" s="8">
        <f t="shared" si="2"/>
        <v>4</v>
      </c>
      <c r="W84" t="str">
        <f>_xlfn.XLOOKUP(A84, Matches!A:A, Matches!L:L, "NA", 0)</f>
        <v>MIW</v>
      </c>
      <c r="X84" t="str">
        <f>_xlfn.XLOOKUP(A84, Matches!A:A, Matches!J:J, "NA", 0)</f>
        <v>RCBW</v>
      </c>
      <c r="Y84" t="str">
        <f>_xlfn.XLOOKUP(A84, Matches!A:A, Matches!F:F, "NA", 0)</f>
        <v> Brabourne Stadium</v>
      </c>
      <c r="Z84" cm="1">
        <f t="array" ref="Z84">INDEX(Innings!F:F,MATCH(1,(TRIM(Innings!A:A)=TRIM(A84))*(TRIM(Innings!D:D)=TRIM(E84)),0))</f>
        <v>155</v>
      </c>
      <c r="AA84" cm="1">
        <f t="array" ref="AA84">INDEX(Innings!I:I,MATCH(1,(TRIM(Innings!A:A)=TRIM(A84))*(TRIM(Innings!D:D)=TRIM(E84)),0))</f>
        <v>8.3000000000000007</v>
      </c>
      <c r="AB84" cm="1">
        <f t="array" ref="AB84">INDEX(Innings!J:J,MATCH(1,(TRIM(Innings!A:A)=TRIM(A84))*(TRIM(Innings!D:D)=TRIM(E84)),0))</f>
        <v>47</v>
      </c>
      <c r="AC84" cm="1">
        <f t="array" ref="AC84">INDEX(Innings!N:N,MATCH(1,(TRIM(Innings!A:A)=TRIM(A84))*(TRIM(Innings!D:D)=TRIM(E84)),0))</f>
        <v>22</v>
      </c>
      <c r="AD84" cm="1">
        <f t="array" ref="AD84">INDEX(Innings!S:S,MATCH(1,(TRIM(Innings!A:A)=TRIM(A84))*(TRIM(Innings!D:D)=TRIM(E84)),0))</f>
        <v>41</v>
      </c>
      <c r="AE84" t="str" cm="1">
        <f t="array" ref="AE84">INDEX(Innings!W:W,MATCH(1,(TRIM(Innings!A:A)=TRIM(A84))*(TRIM(Innings!D:D)=TRIM(E84)),0))</f>
        <v>NA</v>
      </c>
      <c r="AF84">
        <f>IF(UPPER(TRIM(E84))=UPPER(TRIM(W84)),1,0)</f>
        <v>0</v>
      </c>
      <c r="AG84">
        <f t="shared" si="3"/>
        <v>21.2</v>
      </c>
    </row>
    <row r="85" spans="1:33" x14ac:dyDescent="0.3">
      <c r="A85" t="s">
        <v>137</v>
      </c>
      <c r="B85">
        <v>1</v>
      </c>
      <c r="C85" t="s">
        <v>178</v>
      </c>
      <c r="D85" t="s">
        <v>179</v>
      </c>
      <c r="E85" t="s">
        <v>159</v>
      </c>
      <c r="F85" t="s">
        <v>83</v>
      </c>
      <c r="G85" t="s">
        <v>135</v>
      </c>
      <c r="H85">
        <v>22</v>
      </c>
      <c r="I85">
        <v>13</v>
      </c>
      <c r="J85">
        <v>169.23</v>
      </c>
      <c r="K85" t="s">
        <v>246</v>
      </c>
      <c r="L85">
        <v>35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s="8">
        <v>35</v>
      </c>
      <c r="V85" s="8">
        <f t="shared" si="2"/>
        <v>4</v>
      </c>
      <c r="W85" t="str">
        <f>_xlfn.XLOOKUP(A85, Matches!A:A, Matches!L:L, "NA", 0)</f>
        <v>MIW</v>
      </c>
      <c r="X85" t="str">
        <f>_xlfn.XLOOKUP(A85, Matches!A:A, Matches!J:J, "NA", 0)</f>
        <v>RCBW</v>
      </c>
      <c r="Y85" t="str">
        <f>_xlfn.XLOOKUP(A85, Matches!A:A, Matches!F:F, "NA", 0)</f>
        <v> Brabourne Stadium</v>
      </c>
      <c r="Z85" cm="1">
        <f t="array" ref="Z85">INDEX(Innings!F:F,MATCH(1,(TRIM(Innings!A:A)=TRIM(A85))*(TRIM(Innings!D:D)=TRIM(E85)),0))</f>
        <v>155</v>
      </c>
      <c r="AA85" cm="1">
        <f t="array" ref="AA85">INDEX(Innings!I:I,MATCH(1,(TRIM(Innings!A:A)=TRIM(A85))*(TRIM(Innings!D:D)=TRIM(E85)),0))</f>
        <v>8.3000000000000007</v>
      </c>
      <c r="AB85" cm="1">
        <f t="array" ref="AB85">INDEX(Innings!J:J,MATCH(1,(TRIM(Innings!A:A)=TRIM(A85))*(TRIM(Innings!D:D)=TRIM(E85)),0))</f>
        <v>47</v>
      </c>
      <c r="AC85" cm="1">
        <f t="array" ref="AC85">INDEX(Innings!N:N,MATCH(1,(TRIM(Innings!A:A)=TRIM(A85))*(TRIM(Innings!D:D)=TRIM(E85)),0))</f>
        <v>22</v>
      </c>
      <c r="AD85" cm="1">
        <f t="array" ref="AD85">INDEX(Innings!S:S,MATCH(1,(TRIM(Innings!A:A)=TRIM(A85))*(TRIM(Innings!D:D)=TRIM(E85)),0))</f>
        <v>41</v>
      </c>
      <c r="AE85" t="str" cm="1">
        <f t="array" ref="AE85">INDEX(Innings!W:W,MATCH(1,(TRIM(Innings!A:A)=TRIM(A85))*(TRIM(Innings!D:D)=TRIM(E85)),0))</f>
        <v>NA</v>
      </c>
      <c r="AF85">
        <f>IF(UPPER(TRIM(E85))=UPPER(TRIM(W85)),1,0)</f>
        <v>0</v>
      </c>
      <c r="AG85">
        <f t="shared" si="3"/>
        <v>18.7</v>
      </c>
    </row>
    <row r="86" spans="1:33" x14ac:dyDescent="0.3">
      <c r="A86" t="s">
        <v>137</v>
      </c>
      <c r="B86">
        <v>1</v>
      </c>
      <c r="C86" t="s">
        <v>259</v>
      </c>
      <c r="D86" t="s">
        <v>257</v>
      </c>
      <c r="E86" t="s">
        <v>159</v>
      </c>
      <c r="F86" t="s">
        <v>101</v>
      </c>
      <c r="G86" t="s">
        <v>135</v>
      </c>
      <c r="H86">
        <v>23</v>
      </c>
      <c r="I86">
        <v>15</v>
      </c>
      <c r="J86">
        <v>153.33000000000001</v>
      </c>
      <c r="K86" t="s">
        <v>247</v>
      </c>
      <c r="L86">
        <v>38</v>
      </c>
      <c r="M86">
        <v>2</v>
      </c>
      <c r="N86">
        <v>0</v>
      </c>
      <c r="O86">
        <v>32</v>
      </c>
      <c r="P86">
        <v>0</v>
      </c>
      <c r="Q86">
        <v>16</v>
      </c>
      <c r="R86">
        <v>0</v>
      </c>
      <c r="S86">
        <v>0</v>
      </c>
      <c r="T86">
        <v>0</v>
      </c>
      <c r="U86" s="8">
        <v>38</v>
      </c>
      <c r="V86" s="8">
        <f t="shared" si="2"/>
        <v>4</v>
      </c>
      <c r="W86" t="str">
        <f>_xlfn.XLOOKUP(A86, Matches!A:A, Matches!L:L, "NA", 0)</f>
        <v>MIW</v>
      </c>
      <c r="X86" t="str">
        <f>_xlfn.XLOOKUP(A86, Matches!A:A, Matches!J:J, "NA", 0)</f>
        <v>RCBW</v>
      </c>
      <c r="Y86" t="str">
        <f>_xlfn.XLOOKUP(A86, Matches!A:A, Matches!F:F, "NA", 0)</f>
        <v> Brabourne Stadium</v>
      </c>
      <c r="Z86" cm="1">
        <f t="array" ref="Z86">INDEX(Innings!F:F,MATCH(1,(TRIM(Innings!A:A)=TRIM(A86))*(TRIM(Innings!D:D)=TRIM(E86)),0))</f>
        <v>155</v>
      </c>
      <c r="AA86" cm="1">
        <f t="array" ref="AA86">INDEX(Innings!I:I,MATCH(1,(TRIM(Innings!A:A)=TRIM(A86))*(TRIM(Innings!D:D)=TRIM(E86)),0))</f>
        <v>8.3000000000000007</v>
      </c>
      <c r="AB86" cm="1">
        <f t="array" ref="AB86">INDEX(Innings!J:J,MATCH(1,(TRIM(Innings!A:A)=TRIM(A86))*(TRIM(Innings!D:D)=TRIM(E86)),0))</f>
        <v>47</v>
      </c>
      <c r="AC86" cm="1">
        <f t="array" ref="AC86">INDEX(Innings!N:N,MATCH(1,(TRIM(Innings!A:A)=TRIM(A86))*(TRIM(Innings!D:D)=TRIM(E86)),0))</f>
        <v>22</v>
      </c>
      <c r="AD86" cm="1">
        <f t="array" ref="AD86">INDEX(Innings!S:S,MATCH(1,(TRIM(Innings!A:A)=TRIM(A86))*(TRIM(Innings!D:D)=TRIM(E86)),0))</f>
        <v>41</v>
      </c>
      <c r="AE86" t="str" cm="1">
        <f t="array" ref="AE86">INDEX(Innings!W:W,MATCH(1,(TRIM(Innings!A:A)=TRIM(A86))*(TRIM(Innings!D:D)=TRIM(E86)),0))</f>
        <v>NA</v>
      </c>
      <c r="AF86">
        <f>IF(UPPER(TRIM(E86))=UPPER(TRIM(W86)),1,0)</f>
        <v>0</v>
      </c>
      <c r="AG86">
        <f t="shared" si="3"/>
        <v>20.2</v>
      </c>
    </row>
    <row r="87" spans="1:33" x14ac:dyDescent="0.3">
      <c r="A87" t="s">
        <v>137</v>
      </c>
      <c r="B87">
        <v>1</v>
      </c>
      <c r="C87" t="s">
        <v>184</v>
      </c>
      <c r="D87" t="s">
        <v>185</v>
      </c>
      <c r="E87" t="s">
        <v>159</v>
      </c>
      <c r="F87" t="s">
        <v>101</v>
      </c>
      <c r="G87" t="s">
        <v>135</v>
      </c>
      <c r="H87">
        <v>20</v>
      </c>
      <c r="I87">
        <v>14</v>
      </c>
      <c r="J87">
        <v>142.86000000000001</v>
      </c>
      <c r="K87" t="s">
        <v>248</v>
      </c>
      <c r="L87">
        <v>30</v>
      </c>
      <c r="M87">
        <v>3</v>
      </c>
      <c r="N87">
        <v>0</v>
      </c>
      <c r="O87">
        <v>32</v>
      </c>
      <c r="P87">
        <v>0</v>
      </c>
      <c r="Q87">
        <v>10.7</v>
      </c>
      <c r="R87">
        <v>0</v>
      </c>
      <c r="S87">
        <v>0</v>
      </c>
      <c r="T87">
        <v>0</v>
      </c>
      <c r="U87" s="8">
        <v>30</v>
      </c>
      <c r="V87" s="8">
        <f t="shared" si="2"/>
        <v>3</v>
      </c>
      <c r="W87" t="str">
        <f>_xlfn.XLOOKUP(A87, Matches!A:A, Matches!L:L, "NA", 0)</f>
        <v>MIW</v>
      </c>
      <c r="X87" t="str">
        <f>_xlfn.XLOOKUP(A87, Matches!A:A, Matches!J:J, "NA", 0)</f>
        <v>RCBW</v>
      </c>
      <c r="Y87" t="str">
        <f>_xlfn.XLOOKUP(A87, Matches!A:A, Matches!F:F, "NA", 0)</f>
        <v> Brabourne Stadium</v>
      </c>
      <c r="Z87" cm="1">
        <f t="array" ref="Z87">INDEX(Innings!F:F,MATCH(1,(TRIM(Innings!A:A)=TRIM(A87))*(TRIM(Innings!D:D)=TRIM(E87)),0))</f>
        <v>155</v>
      </c>
      <c r="AA87" cm="1">
        <f t="array" ref="AA87">INDEX(Innings!I:I,MATCH(1,(TRIM(Innings!A:A)=TRIM(A87))*(TRIM(Innings!D:D)=TRIM(E87)),0))</f>
        <v>8.3000000000000007</v>
      </c>
      <c r="AB87" cm="1">
        <f t="array" ref="AB87">INDEX(Innings!J:J,MATCH(1,(TRIM(Innings!A:A)=TRIM(A87))*(TRIM(Innings!D:D)=TRIM(E87)),0))</f>
        <v>47</v>
      </c>
      <c r="AC87" cm="1">
        <f t="array" ref="AC87">INDEX(Innings!N:N,MATCH(1,(TRIM(Innings!A:A)=TRIM(A87))*(TRIM(Innings!D:D)=TRIM(E87)),0))</f>
        <v>22</v>
      </c>
      <c r="AD87" cm="1">
        <f t="array" ref="AD87">INDEX(Innings!S:S,MATCH(1,(TRIM(Innings!A:A)=TRIM(A87))*(TRIM(Innings!D:D)=TRIM(E87)),0))</f>
        <v>41</v>
      </c>
      <c r="AE87" t="str" cm="1">
        <f t="array" ref="AE87">INDEX(Innings!W:W,MATCH(1,(TRIM(Innings!A:A)=TRIM(A87))*(TRIM(Innings!D:D)=TRIM(E87)),0))</f>
        <v>NA</v>
      </c>
      <c r="AF87">
        <f>IF(UPPER(TRIM(E87))=UPPER(TRIM(W87)),1,0)</f>
        <v>0</v>
      </c>
      <c r="AG87">
        <f t="shared" si="3"/>
        <v>15.9</v>
      </c>
    </row>
    <row r="88" spans="1:33" x14ac:dyDescent="0.3">
      <c r="A88" t="s">
        <v>137</v>
      </c>
      <c r="B88">
        <v>1</v>
      </c>
      <c r="C88" t="s">
        <v>186</v>
      </c>
      <c r="D88" t="s">
        <v>187</v>
      </c>
      <c r="E88" t="s">
        <v>159</v>
      </c>
      <c r="F88" t="s">
        <v>101</v>
      </c>
      <c r="G88" t="s">
        <v>135</v>
      </c>
      <c r="H88">
        <v>2</v>
      </c>
      <c r="I88">
        <v>5</v>
      </c>
      <c r="J88">
        <v>40</v>
      </c>
      <c r="K88" t="s">
        <v>245</v>
      </c>
      <c r="L88">
        <v>5</v>
      </c>
      <c r="M88">
        <v>3</v>
      </c>
      <c r="N88">
        <v>0</v>
      </c>
      <c r="O88">
        <v>28</v>
      </c>
      <c r="P88">
        <v>0</v>
      </c>
      <c r="Q88">
        <v>9.3000000000000007</v>
      </c>
      <c r="R88">
        <v>0</v>
      </c>
      <c r="S88">
        <v>0</v>
      </c>
      <c r="T88">
        <v>0</v>
      </c>
      <c r="U88" s="8">
        <v>5</v>
      </c>
      <c r="V88" s="8">
        <f t="shared" si="2"/>
        <v>1</v>
      </c>
      <c r="W88" t="str">
        <f>_xlfn.XLOOKUP(A88, Matches!A:A, Matches!L:L, "NA", 0)</f>
        <v>MIW</v>
      </c>
      <c r="X88" t="str">
        <f>_xlfn.XLOOKUP(A88, Matches!A:A, Matches!J:J, "NA", 0)</f>
        <v>RCBW</v>
      </c>
      <c r="Y88" t="str">
        <f>_xlfn.XLOOKUP(A88, Matches!A:A, Matches!F:F, "NA", 0)</f>
        <v> Brabourne Stadium</v>
      </c>
      <c r="Z88" cm="1">
        <f t="array" ref="Z88">INDEX(Innings!F:F,MATCH(1,(TRIM(Innings!A:A)=TRIM(A88))*(TRIM(Innings!D:D)=TRIM(E88)),0))</f>
        <v>155</v>
      </c>
      <c r="AA88" cm="1">
        <f t="array" ref="AA88">INDEX(Innings!I:I,MATCH(1,(TRIM(Innings!A:A)=TRIM(A88))*(TRIM(Innings!D:D)=TRIM(E88)),0))</f>
        <v>8.3000000000000007</v>
      </c>
      <c r="AB88" cm="1">
        <f t="array" ref="AB88">INDEX(Innings!J:J,MATCH(1,(TRIM(Innings!A:A)=TRIM(A88))*(TRIM(Innings!D:D)=TRIM(E88)),0))</f>
        <v>47</v>
      </c>
      <c r="AC88" cm="1">
        <f t="array" ref="AC88">INDEX(Innings!N:N,MATCH(1,(TRIM(Innings!A:A)=TRIM(A88))*(TRIM(Innings!D:D)=TRIM(E88)),0))</f>
        <v>22</v>
      </c>
      <c r="AD88" cm="1">
        <f t="array" ref="AD88">INDEX(Innings!S:S,MATCH(1,(TRIM(Innings!A:A)=TRIM(A88))*(TRIM(Innings!D:D)=TRIM(E88)),0))</f>
        <v>41</v>
      </c>
      <c r="AE88" t="str" cm="1">
        <f t="array" ref="AE88">INDEX(Innings!W:W,MATCH(1,(TRIM(Innings!A:A)=TRIM(A88))*(TRIM(Innings!D:D)=TRIM(E88)),0))</f>
        <v>NA</v>
      </c>
      <c r="AF88">
        <f>IF(UPPER(TRIM(E88))=UPPER(TRIM(W88)),1,0)</f>
        <v>0</v>
      </c>
      <c r="AG88">
        <f t="shared" si="3"/>
        <v>2.8</v>
      </c>
    </row>
    <row r="89" spans="1:33" x14ac:dyDescent="0.3">
      <c r="A89" t="s">
        <v>137</v>
      </c>
      <c r="B89">
        <v>1</v>
      </c>
      <c r="C89" t="s">
        <v>182</v>
      </c>
      <c r="D89" t="s">
        <v>183</v>
      </c>
      <c r="E89" t="s">
        <v>159</v>
      </c>
      <c r="F89" t="s">
        <v>101</v>
      </c>
      <c r="G89" t="s">
        <v>135</v>
      </c>
      <c r="H89">
        <v>1</v>
      </c>
      <c r="I89">
        <v>1</v>
      </c>
      <c r="J89">
        <v>100</v>
      </c>
      <c r="K89" t="s">
        <v>96</v>
      </c>
      <c r="L89">
        <v>5</v>
      </c>
      <c r="M89">
        <v>4</v>
      </c>
      <c r="N89">
        <v>0</v>
      </c>
      <c r="O89">
        <v>34</v>
      </c>
      <c r="P89">
        <v>1</v>
      </c>
      <c r="Q89">
        <v>8.5</v>
      </c>
      <c r="R89">
        <v>20</v>
      </c>
      <c r="S89">
        <v>0</v>
      </c>
      <c r="T89">
        <v>0</v>
      </c>
      <c r="U89" s="8">
        <v>25</v>
      </c>
      <c r="V89" s="8">
        <f t="shared" si="2"/>
        <v>3</v>
      </c>
      <c r="W89" t="str">
        <f>_xlfn.XLOOKUP(A89, Matches!A:A, Matches!L:L, "NA", 0)</f>
        <v>MIW</v>
      </c>
      <c r="X89" t="str">
        <f>_xlfn.XLOOKUP(A89, Matches!A:A, Matches!J:J, "NA", 0)</f>
        <v>RCBW</v>
      </c>
      <c r="Y89" t="str">
        <f>_xlfn.XLOOKUP(A89, Matches!A:A, Matches!F:F, "NA", 0)</f>
        <v> Brabourne Stadium</v>
      </c>
      <c r="Z89" cm="1">
        <f t="array" ref="Z89">INDEX(Innings!F:F,MATCH(1,(TRIM(Innings!A:A)=TRIM(A89))*(TRIM(Innings!D:D)=TRIM(E89)),0))</f>
        <v>155</v>
      </c>
      <c r="AA89" cm="1">
        <f t="array" ref="AA89">INDEX(Innings!I:I,MATCH(1,(TRIM(Innings!A:A)=TRIM(A89))*(TRIM(Innings!D:D)=TRIM(E89)),0))</f>
        <v>8.3000000000000007</v>
      </c>
      <c r="AB89" cm="1">
        <f t="array" ref="AB89">INDEX(Innings!J:J,MATCH(1,(TRIM(Innings!A:A)=TRIM(A89))*(TRIM(Innings!D:D)=TRIM(E89)),0))</f>
        <v>47</v>
      </c>
      <c r="AC89" cm="1">
        <f t="array" ref="AC89">INDEX(Innings!N:N,MATCH(1,(TRIM(Innings!A:A)=TRIM(A89))*(TRIM(Innings!D:D)=TRIM(E89)),0))</f>
        <v>22</v>
      </c>
      <c r="AD89" cm="1">
        <f t="array" ref="AD89">INDEX(Innings!S:S,MATCH(1,(TRIM(Innings!A:A)=TRIM(A89))*(TRIM(Innings!D:D)=TRIM(E89)),0))</f>
        <v>41</v>
      </c>
      <c r="AE89" t="str" cm="1">
        <f t="array" ref="AE89">INDEX(Innings!W:W,MATCH(1,(TRIM(Innings!A:A)=TRIM(A89))*(TRIM(Innings!D:D)=TRIM(E89)),0))</f>
        <v>NA</v>
      </c>
      <c r="AF89">
        <f>IF(UPPER(TRIM(E89))=UPPER(TRIM(W89)),1,0)</f>
        <v>0</v>
      </c>
      <c r="AG89">
        <f t="shared" si="3"/>
        <v>13.4</v>
      </c>
    </row>
    <row r="90" spans="1:33" x14ac:dyDescent="0.3">
      <c r="A90" t="s">
        <v>138</v>
      </c>
      <c r="B90">
        <v>1</v>
      </c>
      <c r="C90" t="s">
        <v>190</v>
      </c>
      <c r="D90" t="s">
        <v>191</v>
      </c>
      <c r="E90" t="s">
        <v>158</v>
      </c>
      <c r="F90" t="s">
        <v>109</v>
      </c>
      <c r="G90" t="s">
        <v>86</v>
      </c>
      <c r="H90">
        <v>70</v>
      </c>
      <c r="I90">
        <v>42</v>
      </c>
      <c r="J90">
        <v>166.67</v>
      </c>
      <c r="K90" t="s">
        <v>245</v>
      </c>
      <c r="L90">
        <v>116.67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 s="8">
        <v>116.67</v>
      </c>
      <c r="V90" s="8">
        <f t="shared" si="2"/>
        <v>10</v>
      </c>
      <c r="W90" t="str">
        <f>_xlfn.XLOOKUP(A90, Matches!A:A, Matches!L:L, "NA", 0)</f>
        <v>DCW</v>
      </c>
      <c r="X90" t="str">
        <f>_xlfn.XLOOKUP(A90, Matches!A:A, Matches!J:J, "NA", 0)</f>
        <v>UPW</v>
      </c>
      <c r="Y90" t="str">
        <f>_xlfn.XLOOKUP(A90, Matches!A:A, Matches!F:F, "NA", 0)</f>
        <v>Dr.DY Patil Sports</v>
      </c>
      <c r="Z90" cm="1">
        <f t="array" ref="Z90">INDEX(Innings!F:F,MATCH(1,(TRIM(Innings!A:A)=TRIM(A90))*(TRIM(Innings!D:D)=TRIM(E90)),0))</f>
        <v>211</v>
      </c>
      <c r="AA90" cm="1">
        <f t="array" ref="AA90">INDEX(Innings!I:I,MATCH(1,(TRIM(Innings!A:A)=TRIM(A90))*(TRIM(Innings!D:D)=TRIM(E90)),0))</f>
        <v>10.55</v>
      </c>
      <c r="AB90" cm="1">
        <f t="array" ref="AB90">INDEX(Innings!J:J,MATCH(1,(TRIM(Innings!A:A)=TRIM(A90))*(TRIM(Innings!D:D)=TRIM(E90)),0))</f>
        <v>62</v>
      </c>
      <c r="AC90" cm="1">
        <f t="array" ref="AC90">INDEX(Innings!N:N,MATCH(1,(TRIM(Innings!A:A)=TRIM(A90))*(TRIM(Innings!D:D)=TRIM(E90)),0))</f>
        <v>58</v>
      </c>
      <c r="AD90" cm="1">
        <f t="array" ref="AD90">INDEX(Innings!S:S,MATCH(1,(TRIM(Innings!A:A)=TRIM(A90))*(TRIM(Innings!D:D)=TRIM(E90)),0))</f>
        <v>35</v>
      </c>
      <c r="AE90" t="str" cm="1">
        <f t="array" ref="AE90">INDEX(Innings!W:W,MATCH(1,(TRIM(Innings!A:A)=TRIM(A90))*(TRIM(Innings!D:D)=TRIM(E90)),0))</f>
        <v>NA</v>
      </c>
      <c r="AF90">
        <f>IF(UPPER(TRIM(E90))=UPPER(TRIM(W90)),1,0)</f>
        <v>1</v>
      </c>
      <c r="AG90">
        <f t="shared" si="3"/>
        <v>81.335000000000008</v>
      </c>
    </row>
    <row r="91" spans="1:33" x14ac:dyDescent="0.3">
      <c r="A91" t="s">
        <v>138</v>
      </c>
      <c r="B91">
        <v>1</v>
      </c>
      <c r="C91" t="s">
        <v>188</v>
      </c>
      <c r="D91" t="s">
        <v>189</v>
      </c>
      <c r="E91" t="s">
        <v>158</v>
      </c>
      <c r="F91" t="s">
        <v>83</v>
      </c>
      <c r="G91" t="s">
        <v>86</v>
      </c>
      <c r="H91">
        <v>17</v>
      </c>
      <c r="I91">
        <v>14</v>
      </c>
      <c r="J91">
        <v>121.43</v>
      </c>
      <c r="K91" t="s">
        <v>246</v>
      </c>
      <c r="L91">
        <v>20.71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 s="8">
        <v>20.71</v>
      </c>
      <c r="V91" s="8">
        <f t="shared" si="2"/>
        <v>2</v>
      </c>
      <c r="W91" t="str">
        <f>_xlfn.XLOOKUP(A91, Matches!A:A, Matches!L:L, "NA", 0)</f>
        <v>DCW</v>
      </c>
      <c r="X91" t="str">
        <f>_xlfn.XLOOKUP(A91, Matches!A:A, Matches!J:J, "NA", 0)</f>
        <v>UPW</v>
      </c>
      <c r="Y91" t="str">
        <f>_xlfn.XLOOKUP(A91, Matches!A:A, Matches!F:F, "NA", 0)</f>
        <v>Dr.DY Patil Sports</v>
      </c>
      <c r="Z91" cm="1">
        <f t="array" ref="Z91">INDEX(Innings!F:F,MATCH(1,(TRIM(Innings!A:A)=TRIM(A91))*(TRIM(Innings!D:D)=TRIM(E91)),0))</f>
        <v>211</v>
      </c>
      <c r="AA91" cm="1">
        <f t="array" ref="AA91">INDEX(Innings!I:I,MATCH(1,(TRIM(Innings!A:A)=TRIM(A91))*(TRIM(Innings!D:D)=TRIM(E91)),0))</f>
        <v>10.55</v>
      </c>
      <c r="AB91" cm="1">
        <f t="array" ref="AB91">INDEX(Innings!J:J,MATCH(1,(TRIM(Innings!A:A)=TRIM(A91))*(TRIM(Innings!D:D)=TRIM(E91)),0))</f>
        <v>62</v>
      </c>
      <c r="AC91" cm="1">
        <f t="array" ref="AC91">INDEX(Innings!N:N,MATCH(1,(TRIM(Innings!A:A)=TRIM(A91))*(TRIM(Innings!D:D)=TRIM(E91)),0))</f>
        <v>58</v>
      </c>
      <c r="AD91" cm="1">
        <f t="array" ref="AD91">INDEX(Innings!S:S,MATCH(1,(TRIM(Innings!A:A)=TRIM(A91))*(TRIM(Innings!D:D)=TRIM(E91)),0))</f>
        <v>35</v>
      </c>
      <c r="AE91" t="str" cm="1">
        <f t="array" ref="AE91">INDEX(Innings!W:W,MATCH(1,(TRIM(Innings!A:A)=TRIM(A91))*(TRIM(Innings!D:D)=TRIM(E91)),0))</f>
        <v>NA</v>
      </c>
      <c r="AF91">
        <f>IF(UPPER(TRIM(E91))=UPPER(TRIM(W91)),1,0)</f>
        <v>1</v>
      </c>
      <c r="AG91">
        <f t="shared" si="3"/>
        <v>30.954999999999998</v>
      </c>
    </row>
    <row r="92" spans="1:33" x14ac:dyDescent="0.3">
      <c r="A92" t="s">
        <v>138</v>
      </c>
      <c r="B92">
        <v>1</v>
      </c>
      <c r="C92" t="s">
        <v>192</v>
      </c>
      <c r="D92" t="s">
        <v>193</v>
      </c>
      <c r="E92" t="s">
        <v>158</v>
      </c>
      <c r="F92" t="s">
        <v>169</v>
      </c>
      <c r="G92" t="s">
        <v>92</v>
      </c>
      <c r="H92">
        <v>16</v>
      </c>
      <c r="I92">
        <v>12</v>
      </c>
      <c r="J92">
        <v>133.33000000000001</v>
      </c>
      <c r="K92" t="s">
        <v>246</v>
      </c>
      <c r="L92">
        <v>21.33</v>
      </c>
      <c r="M92">
        <v>4</v>
      </c>
      <c r="N92">
        <v>1</v>
      </c>
      <c r="O92">
        <v>29</v>
      </c>
      <c r="P92">
        <v>1</v>
      </c>
      <c r="Q92">
        <v>7.25</v>
      </c>
      <c r="R92">
        <v>20</v>
      </c>
      <c r="S92">
        <v>0</v>
      </c>
      <c r="T92">
        <v>0</v>
      </c>
      <c r="U92" s="8">
        <v>41.33</v>
      </c>
      <c r="V92" s="8">
        <f t="shared" si="2"/>
        <v>4</v>
      </c>
      <c r="W92" t="str">
        <f>_xlfn.XLOOKUP(A92, Matches!A:A, Matches!L:L, "NA", 0)</f>
        <v>DCW</v>
      </c>
      <c r="X92" t="str">
        <f>_xlfn.XLOOKUP(A92, Matches!A:A, Matches!J:J, "NA", 0)</f>
        <v>UPW</v>
      </c>
      <c r="Y92" t="str">
        <f>_xlfn.XLOOKUP(A92, Matches!A:A, Matches!F:F, "NA", 0)</f>
        <v>Dr.DY Patil Sports</v>
      </c>
      <c r="Z92" cm="1">
        <f t="array" ref="Z92">INDEX(Innings!F:F,MATCH(1,(TRIM(Innings!A:A)=TRIM(A92))*(TRIM(Innings!D:D)=TRIM(E92)),0))</f>
        <v>211</v>
      </c>
      <c r="AA92" cm="1">
        <f t="array" ref="AA92">INDEX(Innings!I:I,MATCH(1,(TRIM(Innings!A:A)=TRIM(A92))*(TRIM(Innings!D:D)=TRIM(E92)),0))</f>
        <v>10.55</v>
      </c>
      <c r="AB92" cm="1">
        <f t="array" ref="AB92">INDEX(Innings!J:J,MATCH(1,(TRIM(Innings!A:A)=TRIM(A92))*(TRIM(Innings!D:D)=TRIM(E92)),0))</f>
        <v>62</v>
      </c>
      <c r="AC92" cm="1">
        <f t="array" ref="AC92">INDEX(Innings!N:N,MATCH(1,(TRIM(Innings!A:A)=TRIM(A92))*(TRIM(Innings!D:D)=TRIM(E92)),0))</f>
        <v>58</v>
      </c>
      <c r="AD92" cm="1">
        <f t="array" ref="AD92">INDEX(Innings!S:S,MATCH(1,(TRIM(Innings!A:A)=TRIM(A92))*(TRIM(Innings!D:D)=TRIM(E92)),0))</f>
        <v>35</v>
      </c>
      <c r="AE92" t="str" cm="1">
        <f t="array" ref="AE92">INDEX(Innings!W:W,MATCH(1,(TRIM(Innings!A:A)=TRIM(A92))*(TRIM(Innings!D:D)=TRIM(E92)),0))</f>
        <v>NA</v>
      </c>
      <c r="AF92">
        <f>IF(UPPER(TRIM(E92))=UPPER(TRIM(W92)),1,0)</f>
        <v>1</v>
      </c>
      <c r="AG92">
        <f t="shared" si="3"/>
        <v>41.864999999999995</v>
      </c>
    </row>
    <row r="93" spans="1:33" x14ac:dyDescent="0.3">
      <c r="A93" t="s">
        <v>138</v>
      </c>
      <c r="B93">
        <v>1</v>
      </c>
      <c r="C93" t="s">
        <v>194</v>
      </c>
      <c r="D93" t="s">
        <v>195</v>
      </c>
      <c r="E93" t="s">
        <v>158</v>
      </c>
      <c r="F93" t="s">
        <v>109</v>
      </c>
      <c r="G93" t="s">
        <v>92</v>
      </c>
      <c r="H93">
        <v>34</v>
      </c>
      <c r="I93">
        <v>22</v>
      </c>
      <c r="J93">
        <v>154.55000000000001</v>
      </c>
      <c r="K93" t="s">
        <v>96</v>
      </c>
      <c r="L93">
        <v>52.55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 s="8">
        <v>52.55</v>
      </c>
      <c r="V93" s="8">
        <f t="shared" si="2"/>
        <v>5</v>
      </c>
      <c r="W93" t="str">
        <f>_xlfn.XLOOKUP(A93, Matches!A:A, Matches!L:L, "NA", 0)</f>
        <v>DCW</v>
      </c>
      <c r="X93" t="str">
        <f>_xlfn.XLOOKUP(A93, Matches!A:A, Matches!J:J, "NA", 0)</f>
        <v>UPW</v>
      </c>
      <c r="Y93" t="str">
        <f>_xlfn.XLOOKUP(A93, Matches!A:A, Matches!F:F, "NA", 0)</f>
        <v>Dr.DY Patil Sports</v>
      </c>
      <c r="Z93" cm="1">
        <f t="array" ref="Z93">INDEX(Innings!F:F,MATCH(1,(TRIM(Innings!A:A)=TRIM(A93))*(TRIM(Innings!D:D)=TRIM(E93)),0))</f>
        <v>211</v>
      </c>
      <c r="AA93" cm="1">
        <f t="array" ref="AA93">INDEX(Innings!I:I,MATCH(1,(TRIM(Innings!A:A)=TRIM(A93))*(TRIM(Innings!D:D)=TRIM(E93)),0))</f>
        <v>10.55</v>
      </c>
      <c r="AB93" cm="1">
        <f t="array" ref="AB93">INDEX(Innings!J:J,MATCH(1,(TRIM(Innings!A:A)=TRIM(A93))*(TRIM(Innings!D:D)=TRIM(E93)),0))</f>
        <v>62</v>
      </c>
      <c r="AC93" cm="1">
        <f t="array" ref="AC93">INDEX(Innings!N:N,MATCH(1,(TRIM(Innings!A:A)=TRIM(A93))*(TRIM(Innings!D:D)=TRIM(E93)),0))</f>
        <v>58</v>
      </c>
      <c r="AD93" cm="1">
        <f t="array" ref="AD93">INDEX(Innings!S:S,MATCH(1,(TRIM(Innings!A:A)=TRIM(A93))*(TRIM(Innings!D:D)=TRIM(E93)),0))</f>
        <v>35</v>
      </c>
      <c r="AE93" t="str" cm="1">
        <f t="array" ref="AE93">INDEX(Innings!W:W,MATCH(1,(TRIM(Innings!A:A)=TRIM(A93))*(TRIM(Innings!D:D)=TRIM(E93)),0))</f>
        <v>NA</v>
      </c>
      <c r="AF93">
        <f>IF(UPPER(TRIM(E93))=UPPER(TRIM(W93)),1,0)</f>
        <v>1</v>
      </c>
      <c r="AG93">
        <f t="shared" si="3"/>
        <v>47.774999999999999</v>
      </c>
    </row>
    <row r="94" spans="1:33" x14ac:dyDescent="0.3">
      <c r="A94" t="s">
        <v>138</v>
      </c>
      <c r="B94">
        <v>1</v>
      </c>
      <c r="C94" t="s">
        <v>196</v>
      </c>
      <c r="D94" t="s">
        <v>197</v>
      </c>
      <c r="E94" t="s">
        <v>158</v>
      </c>
      <c r="F94" t="s">
        <v>83</v>
      </c>
      <c r="G94" t="s">
        <v>134</v>
      </c>
      <c r="H94">
        <v>21</v>
      </c>
      <c r="I94">
        <v>10</v>
      </c>
      <c r="J94">
        <v>210</v>
      </c>
      <c r="K94" t="s">
        <v>246</v>
      </c>
      <c r="L94">
        <v>44.1</v>
      </c>
      <c r="M94">
        <v>4</v>
      </c>
      <c r="N94">
        <v>0</v>
      </c>
      <c r="O94">
        <v>25</v>
      </c>
      <c r="P94">
        <v>0</v>
      </c>
      <c r="Q94">
        <v>6.25</v>
      </c>
      <c r="R94">
        <v>0</v>
      </c>
      <c r="S94">
        <v>0</v>
      </c>
      <c r="T94">
        <v>0</v>
      </c>
      <c r="U94" s="8">
        <v>44.1</v>
      </c>
      <c r="V94" s="8">
        <f t="shared" si="2"/>
        <v>4</v>
      </c>
      <c r="W94" t="str">
        <f>_xlfn.XLOOKUP(A94, Matches!A:A, Matches!L:L, "NA", 0)</f>
        <v>DCW</v>
      </c>
      <c r="X94" t="str">
        <f>_xlfn.XLOOKUP(A94, Matches!A:A, Matches!J:J, "NA", 0)</f>
        <v>UPW</v>
      </c>
      <c r="Y94" t="str">
        <f>_xlfn.XLOOKUP(A94, Matches!A:A, Matches!F:F, "NA", 0)</f>
        <v>Dr.DY Patil Sports</v>
      </c>
      <c r="Z94" cm="1">
        <f t="array" ref="Z94">INDEX(Innings!F:F,MATCH(1,(TRIM(Innings!A:A)=TRIM(A94))*(TRIM(Innings!D:D)=TRIM(E94)),0))</f>
        <v>211</v>
      </c>
      <c r="AA94" cm="1">
        <f t="array" ref="AA94">INDEX(Innings!I:I,MATCH(1,(TRIM(Innings!A:A)=TRIM(A94))*(TRIM(Innings!D:D)=TRIM(E94)),0))</f>
        <v>10.55</v>
      </c>
      <c r="AB94" cm="1">
        <f t="array" ref="AB94">INDEX(Innings!J:J,MATCH(1,(TRIM(Innings!A:A)=TRIM(A94))*(TRIM(Innings!D:D)=TRIM(E94)),0))</f>
        <v>62</v>
      </c>
      <c r="AC94" cm="1">
        <f t="array" ref="AC94">INDEX(Innings!N:N,MATCH(1,(TRIM(Innings!A:A)=TRIM(A94))*(TRIM(Innings!D:D)=TRIM(E94)),0))</f>
        <v>58</v>
      </c>
      <c r="AD94" cm="1">
        <f t="array" ref="AD94">INDEX(Innings!S:S,MATCH(1,(TRIM(Innings!A:A)=TRIM(A94))*(TRIM(Innings!D:D)=TRIM(E94)),0))</f>
        <v>35</v>
      </c>
      <c r="AE94" t="str" cm="1">
        <f t="array" ref="AE94">INDEX(Innings!W:W,MATCH(1,(TRIM(Innings!A:A)=TRIM(A94))*(TRIM(Innings!D:D)=TRIM(E94)),0))</f>
        <v>NA</v>
      </c>
      <c r="AF94">
        <f>IF(UPPER(TRIM(E94))=UPPER(TRIM(W94)),1,0)</f>
        <v>1</v>
      </c>
      <c r="AG94">
        <f t="shared" si="3"/>
        <v>43.25</v>
      </c>
    </row>
    <row r="95" spans="1:33" x14ac:dyDescent="0.3">
      <c r="A95" t="s">
        <v>138</v>
      </c>
      <c r="B95">
        <v>1</v>
      </c>
      <c r="C95" t="s">
        <v>198</v>
      </c>
      <c r="D95" t="s">
        <v>199</v>
      </c>
      <c r="E95" t="s">
        <v>158</v>
      </c>
      <c r="F95" t="s">
        <v>101</v>
      </c>
      <c r="G95" t="s">
        <v>134</v>
      </c>
      <c r="H95">
        <v>42</v>
      </c>
      <c r="I95">
        <v>20</v>
      </c>
      <c r="J95">
        <v>210</v>
      </c>
      <c r="K95" t="s">
        <v>96</v>
      </c>
      <c r="L95">
        <v>88.2</v>
      </c>
      <c r="M95">
        <v>4</v>
      </c>
      <c r="N95">
        <v>0</v>
      </c>
      <c r="O95">
        <v>43</v>
      </c>
      <c r="P95">
        <v>3</v>
      </c>
      <c r="Q95">
        <v>10.75</v>
      </c>
      <c r="R95">
        <v>60</v>
      </c>
      <c r="S95">
        <v>0</v>
      </c>
      <c r="T95">
        <v>0</v>
      </c>
      <c r="U95" s="8">
        <v>148.19999999999999</v>
      </c>
      <c r="V95" s="8">
        <f t="shared" si="2"/>
        <v>10</v>
      </c>
      <c r="W95" t="str">
        <f>_xlfn.XLOOKUP(A95, Matches!A:A, Matches!L:L, "NA", 0)</f>
        <v>DCW</v>
      </c>
      <c r="X95" t="str">
        <f>_xlfn.XLOOKUP(A95, Matches!A:A, Matches!J:J, "NA", 0)</f>
        <v>UPW</v>
      </c>
      <c r="Y95" t="str">
        <f>_xlfn.XLOOKUP(A95, Matches!A:A, Matches!F:F, "NA", 0)</f>
        <v>Dr.DY Patil Sports</v>
      </c>
      <c r="Z95" cm="1">
        <f t="array" ref="Z95">INDEX(Innings!F:F,MATCH(1,(TRIM(Innings!A:A)=TRIM(A95))*(TRIM(Innings!D:D)=TRIM(E95)),0))</f>
        <v>211</v>
      </c>
      <c r="AA95" cm="1">
        <f t="array" ref="AA95">INDEX(Innings!I:I,MATCH(1,(TRIM(Innings!A:A)=TRIM(A95))*(TRIM(Innings!D:D)=TRIM(E95)),0))</f>
        <v>10.55</v>
      </c>
      <c r="AB95" cm="1">
        <f t="array" ref="AB95">INDEX(Innings!J:J,MATCH(1,(TRIM(Innings!A:A)=TRIM(A95))*(TRIM(Innings!D:D)=TRIM(E95)),0))</f>
        <v>62</v>
      </c>
      <c r="AC95" cm="1">
        <f t="array" ref="AC95">INDEX(Innings!N:N,MATCH(1,(TRIM(Innings!A:A)=TRIM(A95))*(TRIM(Innings!D:D)=TRIM(E95)),0))</f>
        <v>58</v>
      </c>
      <c r="AD95" cm="1">
        <f t="array" ref="AD95">INDEX(Innings!S:S,MATCH(1,(TRIM(Innings!A:A)=TRIM(A95))*(TRIM(Innings!D:D)=TRIM(E95)),0))</f>
        <v>35</v>
      </c>
      <c r="AE95" t="str" cm="1">
        <f t="array" ref="AE95">INDEX(Innings!W:W,MATCH(1,(TRIM(Innings!A:A)=TRIM(A95))*(TRIM(Innings!D:D)=TRIM(E95)),0))</f>
        <v>NA</v>
      </c>
      <c r="AF95">
        <f>IF(UPPER(TRIM(E95))=UPPER(TRIM(W95)),1,0)</f>
        <v>1</v>
      </c>
      <c r="AG95">
        <f t="shared" si="3"/>
        <v>97.1</v>
      </c>
    </row>
    <row r="96" spans="1:33" x14ac:dyDescent="0.3">
      <c r="A96" t="s">
        <v>138</v>
      </c>
      <c r="B96">
        <v>1</v>
      </c>
      <c r="C96" t="s">
        <v>208</v>
      </c>
      <c r="D96" t="s">
        <v>160</v>
      </c>
      <c r="E96" t="s">
        <v>158</v>
      </c>
      <c r="F96" t="s">
        <v>101</v>
      </c>
      <c r="G96" t="s">
        <v>135</v>
      </c>
      <c r="H96">
        <v>0</v>
      </c>
      <c r="I96">
        <v>0</v>
      </c>
      <c r="J96">
        <v>0</v>
      </c>
      <c r="K96" t="s">
        <v>104</v>
      </c>
      <c r="L96">
        <v>0</v>
      </c>
      <c r="M96">
        <v>2</v>
      </c>
      <c r="N96">
        <v>0</v>
      </c>
      <c r="O96">
        <v>25</v>
      </c>
      <c r="P96">
        <v>0</v>
      </c>
      <c r="Q96">
        <v>12.5</v>
      </c>
      <c r="R96">
        <v>0</v>
      </c>
      <c r="S96">
        <v>0</v>
      </c>
      <c r="T96">
        <v>0</v>
      </c>
      <c r="U96" s="8">
        <v>0</v>
      </c>
      <c r="V96" s="8">
        <f t="shared" si="2"/>
        <v>0</v>
      </c>
      <c r="W96" t="str">
        <f>_xlfn.XLOOKUP(A96, Matches!A:A, Matches!L:L, "NA", 0)</f>
        <v>DCW</v>
      </c>
      <c r="X96" t="str">
        <f>_xlfn.XLOOKUP(A96, Matches!A:A, Matches!J:J, "NA", 0)</f>
        <v>UPW</v>
      </c>
      <c r="Y96" t="str">
        <f>_xlfn.XLOOKUP(A96, Matches!A:A, Matches!F:F, "NA", 0)</f>
        <v>Dr.DY Patil Sports</v>
      </c>
      <c r="Z96" cm="1">
        <f t="array" ref="Z96">INDEX(Innings!F:F,MATCH(1,(TRIM(Innings!A:A)=TRIM(A96))*(TRIM(Innings!D:D)=TRIM(E96)),0))</f>
        <v>211</v>
      </c>
      <c r="AA96" cm="1">
        <f t="array" ref="AA96">INDEX(Innings!I:I,MATCH(1,(TRIM(Innings!A:A)=TRIM(A96))*(TRIM(Innings!D:D)=TRIM(E96)),0))</f>
        <v>10.55</v>
      </c>
      <c r="AB96" cm="1">
        <f t="array" ref="AB96">INDEX(Innings!J:J,MATCH(1,(TRIM(Innings!A:A)=TRIM(A96))*(TRIM(Innings!D:D)=TRIM(E96)),0))</f>
        <v>62</v>
      </c>
      <c r="AC96" cm="1">
        <f t="array" ref="AC96">INDEX(Innings!N:N,MATCH(1,(TRIM(Innings!A:A)=TRIM(A96))*(TRIM(Innings!D:D)=TRIM(E96)),0))</f>
        <v>58</v>
      </c>
      <c r="AD96" cm="1">
        <f t="array" ref="AD96">INDEX(Innings!S:S,MATCH(1,(TRIM(Innings!A:A)=TRIM(A96))*(TRIM(Innings!D:D)=TRIM(E96)),0))</f>
        <v>35</v>
      </c>
      <c r="AE96" t="str" cm="1">
        <f t="array" ref="AE96">INDEX(Innings!W:W,MATCH(1,(TRIM(Innings!A:A)=TRIM(A96))*(TRIM(Innings!D:D)=TRIM(E96)),0))</f>
        <v>NA</v>
      </c>
      <c r="AF96">
        <f>IF(UPPER(TRIM(E96))=UPPER(TRIM(W96)),1,0)</f>
        <v>1</v>
      </c>
      <c r="AG96">
        <f t="shared" si="3"/>
        <v>20</v>
      </c>
    </row>
    <row r="97" spans="1:33" x14ac:dyDescent="0.3">
      <c r="A97" t="s">
        <v>138</v>
      </c>
      <c r="B97">
        <v>1</v>
      </c>
      <c r="C97" t="s">
        <v>202</v>
      </c>
      <c r="D97" t="s">
        <v>203</v>
      </c>
      <c r="E97" t="s">
        <v>158</v>
      </c>
      <c r="F97" t="s">
        <v>101</v>
      </c>
      <c r="G97" t="s">
        <v>135</v>
      </c>
      <c r="H97">
        <v>0</v>
      </c>
      <c r="I97">
        <v>0</v>
      </c>
      <c r="J97">
        <v>0</v>
      </c>
      <c r="K97" t="s">
        <v>104</v>
      </c>
      <c r="L97">
        <v>0</v>
      </c>
      <c r="M97">
        <v>1</v>
      </c>
      <c r="N97">
        <v>0</v>
      </c>
      <c r="O97">
        <v>14</v>
      </c>
      <c r="P97">
        <v>0</v>
      </c>
      <c r="Q97">
        <v>14</v>
      </c>
      <c r="R97">
        <v>0</v>
      </c>
      <c r="S97">
        <v>0</v>
      </c>
      <c r="T97">
        <v>0</v>
      </c>
      <c r="U97" s="8">
        <v>0</v>
      </c>
      <c r="V97" s="8">
        <f t="shared" si="2"/>
        <v>0</v>
      </c>
      <c r="W97" t="str">
        <f>_xlfn.XLOOKUP(A97, Matches!A:A, Matches!L:L, "NA", 0)</f>
        <v>DCW</v>
      </c>
      <c r="X97" t="str">
        <f>_xlfn.XLOOKUP(A97, Matches!A:A, Matches!J:J, "NA", 0)</f>
        <v>UPW</v>
      </c>
      <c r="Y97" t="str">
        <f>_xlfn.XLOOKUP(A97, Matches!A:A, Matches!F:F, "NA", 0)</f>
        <v>Dr.DY Patil Sports</v>
      </c>
      <c r="Z97" cm="1">
        <f t="array" ref="Z97">INDEX(Innings!F:F,MATCH(1,(TRIM(Innings!A:A)=TRIM(A97))*(TRIM(Innings!D:D)=TRIM(E97)),0))</f>
        <v>211</v>
      </c>
      <c r="AA97" cm="1">
        <f t="array" ref="AA97">INDEX(Innings!I:I,MATCH(1,(TRIM(Innings!A:A)=TRIM(A97))*(TRIM(Innings!D:D)=TRIM(E97)),0))</f>
        <v>10.55</v>
      </c>
      <c r="AB97" cm="1">
        <f t="array" ref="AB97">INDEX(Innings!J:J,MATCH(1,(TRIM(Innings!A:A)=TRIM(A97))*(TRIM(Innings!D:D)=TRIM(E97)),0))</f>
        <v>62</v>
      </c>
      <c r="AC97" cm="1">
        <f t="array" ref="AC97">INDEX(Innings!N:N,MATCH(1,(TRIM(Innings!A:A)=TRIM(A97))*(TRIM(Innings!D:D)=TRIM(E97)),0))</f>
        <v>58</v>
      </c>
      <c r="AD97" cm="1">
        <f t="array" ref="AD97">INDEX(Innings!S:S,MATCH(1,(TRIM(Innings!A:A)=TRIM(A97))*(TRIM(Innings!D:D)=TRIM(E97)),0))</f>
        <v>35</v>
      </c>
      <c r="AE97" t="str" cm="1">
        <f t="array" ref="AE97">INDEX(Innings!W:W,MATCH(1,(TRIM(Innings!A:A)=TRIM(A97))*(TRIM(Innings!D:D)=TRIM(E97)),0))</f>
        <v>NA</v>
      </c>
      <c r="AF97">
        <f>IF(UPPER(TRIM(E97))=UPPER(TRIM(W97)),1,0)</f>
        <v>1</v>
      </c>
      <c r="AG97">
        <f t="shared" si="3"/>
        <v>20</v>
      </c>
    </row>
    <row r="98" spans="1:33" x14ac:dyDescent="0.3">
      <c r="A98" t="s">
        <v>138</v>
      </c>
      <c r="B98">
        <v>1</v>
      </c>
      <c r="C98" t="s">
        <v>204</v>
      </c>
      <c r="D98" t="s">
        <v>205</v>
      </c>
      <c r="E98" t="s">
        <v>158</v>
      </c>
      <c r="F98" t="s">
        <v>91</v>
      </c>
      <c r="G98" t="s">
        <v>135</v>
      </c>
      <c r="H98">
        <v>0</v>
      </c>
      <c r="I98">
        <v>0</v>
      </c>
      <c r="J98">
        <v>0</v>
      </c>
      <c r="K98" t="s">
        <v>104</v>
      </c>
      <c r="L98">
        <v>0</v>
      </c>
      <c r="M98">
        <v>4</v>
      </c>
      <c r="N98">
        <v>0</v>
      </c>
      <c r="O98">
        <v>18</v>
      </c>
      <c r="P98">
        <v>1</v>
      </c>
      <c r="Q98">
        <v>4.5</v>
      </c>
      <c r="R98">
        <v>25</v>
      </c>
      <c r="S98">
        <v>0</v>
      </c>
      <c r="T98">
        <v>0</v>
      </c>
      <c r="U98" s="8">
        <v>25</v>
      </c>
      <c r="V98" s="8">
        <f t="shared" si="2"/>
        <v>3</v>
      </c>
      <c r="W98" t="str">
        <f>_xlfn.XLOOKUP(A98, Matches!A:A, Matches!L:L, "NA", 0)</f>
        <v>DCW</v>
      </c>
      <c r="X98" t="str">
        <f>_xlfn.XLOOKUP(A98, Matches!A:A, Matches!J:J, "NA", 0)</f>
        <v>UPW</v>
      </c>
      <c r="Y98" t="str">
        <f>_xlfn.XLOOKUP(A98, Matches!A:A, Matches!F:F, "NA", 0)</f>
        <v>Dr.DY Patil Sports</v>
      </c>
      <c r="Z98" cm="1">
        <f t="array" ref="Z98">INDEX(Innings!F:F,MATCH(1,(TRIM(Innings!A:A)=TRIM(A98))*(TRIM(Innings!D:D)=TRIM(E98)),0))</f>
        <v>211</v>
      </c>
      <c r="AA98" cm="1">
        <f t="array" ref="AA98">INDEX(Innings!I:I,MATCH(1,(TRIM(Innings!A:A)=TRIM(A98))*(TRIM(Innings!D:D)=TRIM(E98)),0))</f>
        <v>10.55</v>
      </c>
      <c r="AB98" cm="1">
        <f t="array" ref="AB98">INDEX(Innings!J:J,MATCH(1,(TRIM(Innings!A:A)=TRIM(A98))*(TRIM(Innings!D:D)=TRIM(E98)),0))</f>
        <v>62</v>
      </c>
      <c r="AC98" cm="1">
        <f t="array" ref="AC98">INDEX(Innings!N:N,MATCH(1,(TRIM(Innings!A:A)=TRIM(A98))*(TRIM(Innings!D:D)=TRIM(E98)),0))</f>
        <v>58</v>
      </c>
      <c r="AD98" cm="1">
        <f t="array" ref="AD98">INDEX(Innings!S:S,MATCH(1,(TRIM(Innings!A:A)=TRIM(A98))*(TRIM(Innings!D:D)=TRIM(E98)),0))</f>
        <v>35</v>
      </c>
      <c r="AE98" t="str" cm="1">
        <f t="array" ref="AE98">INDEX(Innings!W:W,MATCH(1,(TRIM(Innings!A:A)=TRIM(A98))*(TRIM(Innings!D:D)=TRIM(E98)),0))</f>
        <v>NA</v>
      </c>
      <c r="AF98">
        <f>IF(UPPER(TRIM(E98))=UPPER(TRIM(W98)),1,0)</f>
        <v>1</v>
      </c>
      <c r="AG98">
        <f t="shared" si="3"/>
        <v>33.4</v>
      </c>
    </row>
    <row r="99" spans="1:33" x14ac:dyDescent="0.3">
      <c r="A99" t="s">
        <v>138</v>
      </c>
      <c r="B99">
        <v>1</v>
      </c>
      <c r="C99" t="s">
        <v>206</v>
      </c>
      <c r="D99" t="s">
        <v>207</v>
      </c>
      <c r="E99" t="s">
        <v>158</v>
      </c>
      <c r="F99" t="s">
        <v>101</v>
      </c>
      <c r="G99" t="s">
        <v>135</v>
      </c>
      <c r="H99">
        <v>0</v>
      </c>
      <c r="I99">
        <v>0</v>
      </c>
      <c r="J99">
        <v>0</v>
      </c>
      <c r="K99" t="s">
        <v>104</v>
      </c>
      <c r="L99">
        <v>0</v>
      </c>
      <c r="M99">
        <v>1</v>
      </c>
      <c r="N99">
        <v>0</v>
      </c>
      <c r="O99">
        <v>11</v>
      </c>
      <c r="P99">
        <v>0</v>
      </c>
      <c r="Q99">
        <v>11</v>
      </c>
      <c r="R99">
        <v>0</v>
      </c>
      <c r="S99">
        <v>0</v>
      </c>
      <c r="T99">
        <v>0</v>
      </c>
      <c r="U99" s="8">
        <v>0</v>
      </c>
      <c r="V99" s="8">
        <f t="shared" si="2"/>
        <v>0</v>
      </c>
      <c r="W99" t="str">
        <f>_xlfn.XLOOKUP(A99, Matches!A:A, Matches!L:L, "NA", 0)</f>
        <v>DCW</v>
      </c>
      <c r="X99" t="str">
        <f>_xlfn.XLOOKUP(A99, Matches!A:A, Matches!J:J, "NA", 0)</f>
        <v>UPW</v>
      </c>
      <c r="Y99" t="str">
        <f>_xlfn.XLOOKUP(A99, Matches!A:A, Matches!F:F, "NA", 0)</f>
        <v>Dr.DY Patil Sports</v>
      </c>
      <c r="Z99" cm="1">
        <f t="array" ref="Z99">INDEX(Innings!F:F,MATCH(1,(TRIM(Innings!A:A)=TRIM(A99))*(TRIM(Innings!D:D)=TRIM(E99)),0))</f>
        <v>211</v>
      </c>
      <c r="AA99" cm="1">
        <f t="array" ref="AA99">INDEX(Innings!I:I,MATCH(1,(TRIM(Innings!A:A)=TRIM(A99))*(TRIM(Innings!D:D)=TRIM(E99)),0))</f>
        <v>10.55</v>
      </c>
      <c r="AB99" cm="1">
        <f t="array" ref="AB99">INDEX(Innings!J:J,MATCH(1,(TRIM(Innings!A:A)=TRIM(A99))*(TRIM(Innings!D:D)=TRIM(E99)),0))</f>
        <v>62</v>
      </c>
      <c r="AC99" cm="1">
        <f t="array" ref="AC99">INDEX(Innings!N:N,MATCH(1,(TRIM(Innings!A:A)=TRIM(A99))*(TRIM(Innings!D:D)=TRIM(E99)),0))</f>
        <v>58</v>
      </c>
      <c r="AD99" cm="1">
        <f t="array" ref="AD99">INDEX(Innings!S:S,MATCH(1,(TRIM(Innings!A:A)=TRIM(A99))*(TRIM(Innings!D:D)=TRIM(E99)),0))</f>
        <v>35</v>
      </c>
      <c r="AE99" t="str" cm="1">
        <f t="array" ref="AE99">INDEX(Innings!W:W,MATCH(1,(TRIM(Innings!A:A)=TRIM(A99))*(TRIM(Innings!D:D)=TRIM(E99)),0))</f>
        <v>NA</v>
      </c>
      <c r="AF99">
        <f>IF(UPPER(TRIM(E99))=UPPER(TRIM(W99)),1,0)</f>
        <v>1</v>
      </c>
      <c r="AG99">
        <f t="shared" si="3"/>
        <v>20</v>
      </c>
    </row>
    <row r="100" spans="1:33" x14ac:dyDescent="0.3">
      <c r="A100" t="s">
        <v>138</v>
      </c>
      <c r="B100">
        <v>1</v>
      </c>
      <c r="C100" t="s">
        <v>200</v>
      </c>
      <c r="D100" t="s">
        <v>201</v>
      </c>
      <c r="E100" t="s">
        <v>158</v>
      </c>
      <c r="F100" t="s">
        <v>85</v>
      </c>
      <c r="G100" t="s">
        <v>135</v>
      </c>
      <c r="H100">
        <v>0</v>
      </c>
      <c r="I100">
        <v>0</v>
      </c>
      <c r="J100">
        <v>0</v>
      </c>
      <c r="K100" t="s">
        <v>104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 s="8">
        <v>0</v>
      </c>
      <c r="V100" s="8">
        <f t="shared" si="2"/>
        <v>0</v>
      </c>
      <c r="W100" t="str">
        <f>_xlfn.XLOOKUP(A100, Matches!A:A, Matches!L:L, "NA", 0)</f>
        <v>DCW</v>
      </c>
      <c r="X100" t="str">
        <f>_xlfn.XLOOKUP(A100, Matches!A:A, Matches!J:J, "NA", 0)</f>
        <v>UPW</v>
      </c>
      <c r="Y100" t="str">
        <f>_xlfn.XLOOKUP(A100, Matches!A:A, Matches!F:F, "NA", 0)</f>
        <v>Dr.DY Patil Sports</v>
      </c>
      <c r="Z100" cm="1">
        <f t="array" ref="Z100">INDEX(Innings!F:F,MATCH(1,(TRIM(Innings!A:A)=TRIM(A100))*(TRIM(Innings!D:D)=TRIM(E100)),0))</f>
        <v>211</v>
      </c>
      <c r="AA100" cm="1">
        <f t="array" ref="AA100">INDEX(Innings!I:I,MATCH(1,(TRIM(Innings!A:A)=TRIM(A100))*(TRIM(Innings!D:D)=TRIM(E100)),0))</f>
        <v>10.55</v>
      </c>
      <c r="AB100" cm="1">
        <f t="array" ref="AB100">INDEX(Innings!J:J,MATCH(1,(TRIM(Innings!A:A)=TRIM(A100))*(TRIM(Innings!D:D)=TRIM(E100)),0))</f>
        <v>62</v>
      </c>
      <c r="AC100" cm="1">
        <f t="array" ref="AC100">INDEX(Innings!N:N,MATCH(1,(TRIM(Innings!A:A)=TRIM(A100))*(TRIM(Innings!D:D)=TRIM(E100)),0))</f>
        <v>58</v>
      </c>
      <c r="AD100" cm="1">
        <f t="array" ref="AD100">INDEX(Innings!S:S,MATCH(1,(TRIM(Innings!A:A)=TRIM(A100))*(TRIM(Innings!D:D)=TRIM(E100)),0))</f>
        <v>35</v>
      </c>
      <c r="AE100" t="str" cm="1">
        <f t="array" ref="AE100">INDEX(Innings!W:W,MATCH(1,(TRIM(Innings!A:A)=TRIM(A100))*(TRIM(Innings!D:D)=TRIM(E100)),0))</f>
        <v>NA</v>
      </c>
      <c r="AF100">
        <f>IF(UPPER(TRIM(E100))=UPPER(TRIM(W100)),1,0)</f>
        <v>1</v>
      </c>
      <c r="AG100">
        <f t="shared" si="3"/>
        <v>20</v>
      </c>
    </row>
    <row r="101" spans="1:33" x14ac:dyDescent="0.3">
      <c r="A101" t="s">
        <v>138</v>
      </c>
      <c r="B101">
        <v>1</v>
      </c>
      <c r="C101" t="s">
        <v>217</v>
      </c>
      <c r="D101" t="s">
        <v>218</v>
      </c>
      <c r="E101" t="s">
        <v>219</v>
      </c>
      <c r="F101" t="s">
        <v>85</v>
      </c>
      <c r="G101" t="s">
        <v>86</v>
      </c>
      <c r="H101">
        <v>24</v>
      </c>
      <c r="I101">
        <v>17</v>
      </c>
      <c r="J101">
        <v>141.18</v>
      </c>
      <c r="K101" t="s">
        <v>246</v>
      </c>
      <c r="L101">
        <v>33.880000000000003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 s="8">
        <v>33.880000000000003</v>
      </c>
      <c r="V101" s="8">
        <f t="shared" si="2"/>
        <v>3</v>
      </c>
      <c r="W101" t="str">
        <f>_xlfn.XLOOKUP(A101, Matches!A:A, Matches!L:L, "NA", 0)</f>
        <v>DCW</v>
      </c>
      <c r="X101" t="str">
        <f>_xlfn.XLOOKUP(A101, Matches!A:A, Matches!J:J, "NA", 0)</f>
        <v>UPW</v>
      </c>
      <c r="Y101" t="str">
        <f>_xlfn.XLOOKUP(A101, Matches!A:A, Matches!F:F, "NA", 0)</f>
        <v>Dr.DY Patil Sports</v>
      </c>
      <c r="Z101" cm="1">
        <f t="array" ref="Z101">INDEX(Innings!F:F,MATCH(1,(TRIM(Innings!A:A)=TRIM(A101))*(TRIM(Innings!D:D)=TRIM(E101)),0))</f>
        <v>169</v>
      </c>
      <c r="AA101" cm="1">
        <f t="array" ref="AA101">INDEX(Innings!I:I,MATCH(1,(TRIM(Innings!A:A)=TRIM(A101))*(TRIM(Innings!D:D)=TRIM(E101)),0))</f>
        <v>8.4499999999999993</v>
      </c>
      <c r="AB101" cm="1">
        <f t="array" ref="AB101">INDEX(Innings!J:J,MATCH(1,(TRIM(Innings!A:A)=TRIM(A101))*(TRIM(Innings!D:D)=TRIM(E101)),0))</f>
        <v>33</v>
      </c>
      <c r="AC101" cm="1">
        <f t="array" ref="AC101">INDEX(Innings!N:N,MATCH(1,(TRIM(Innings!A:A)=TRIM(A101))*(TRIM(Innings!D:D)=TRIM(E101)),0))</f>
        <v>56</v>
      </c>
      <c r="AD101" cm="1">
        <f t="array" ref="AD101">INDEX(Innings!S:S,MATCH(1,(TRIM(Innings!A:A)=TRIM(A101))*(TRIM(Innings!D:D)=TRIM(E101)),0))</f>
        <v>45</v>
      </c>
      <c r="AE101" t="str" cm="1">
        <f t="array" ref="AE101">INDEX(Innings!W:W,MATCH(1,(TRIM(Innings!A:A)=TRIM(A101))*(TRIM(Innings!D:D)=TRIM(E101)),0))</f>
        <v>Failed</v>
      </c>
      <c r="AF101">
        <f>IF(UPPER(TRIM(E101))=UPPER(TRIM(W101)),1,0)</f>
        <v>0</v>
      </c>
      <c r="AG101">
        <f t="shared" si="3"/>
        <v>17.84</v>
      </c>
    </row>
    <row r="102" spans="1:33" x14ac:dyDescent="0.3">
      <c r="A102" t="s">
        <v>138</v>
      </c>
      <c r="B102">
        <v>1</v>
      </c>
      <c r="C102" t="s">
        <v>220</v>
      </c>
      <c r="D102" t="s">
        <v>221</v>
      </c>
      <c r="E102" t="s">
        <v>219</v>
      </c>
      <c r="F102" t="s">
        <v>109</v>
      </c>
      <c r="G102" t="s">
        <v>86</v>
      </c>
      <c r="H102">
        <v>1</v>
      </c>
      <c r="I102">
        <v>6</v>
      </c>
      <c r="J102">
        <v>16.670000000000002</v>
      </c>
      <c r="K102" t="s">
        <v>246</v>
      </c>
      <c r="L102">
        <v>0.17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 s="8">
        <v>0.17</v>
      </c>
      <c r="V102" s="8">
        <f t="shared" si="2"/>
        <v>0</v>
      </c>
      <c r="W102" t="str">
        <f>_xlfn.XLOOKUP(A102, Matches!A:A, Matches!L:L, "NA", 0)</f>
        <v>DCW</v>
      </c>
      <c r="X102" t="str">
        <f>_xlfn.XLOOKUP(A102, Matches!A:A, Matches!J:J, "NA", 0)</f>
        <v>UPW</v>
      </c>
      <c r="Y102" t="str">
        <f>_xlfn.XLOOKUP(A102, Matches!A:A, Matches!F:F, "NA", 0)</f>
        <v>Dr.DY Patil Sports</v>
      </c>
      <c r="Z102" cm="1">
        <f t="array" ref="Z102">INDEX(Innings!F:F,MATCH(1,(TRIM(Innings!A:A)=TRIM(A102))*(TRIM(Innings!D:D)=TRIM(E102)),0))</f>
        <v>169</v>
      </c>
      <c r="AA102" cm="1">
        <f t="array" ref="AA102">INDEX(Innings!I:I,MATCH(1,(TRIM(Innings!A:A)=TRIM(A102))*(TRIM(Innings!D:D)=TRIM(E102)),0))</f>
        <v>8.4499999999999993</v>
      </c>
      <c r="AB102" cm="1">
        <f t="array" ref="AB102">INDEX(Innings!J:J,MATCH(1,(TRIM(Innings!A:A)=TRIM(A102))*(TRIM(Innings!D:D)=TRIM(E102)),0))</f>
        <v>33</v>
      </c>
      <c r="AC102" cm="1">
        <f t="array" ref="AC102">INDEX(Innings!N:N,MATCH(1,(TRIM(Innings!A:A)=TRIM(A102))*(TRIM(Innings!D:D)=TRIM(E102)),0))</f>
        <v>56</v>
      </c>
      <c r="AD102" cm="1">
        <f t="array" ref="AD102">INDEX(Innings!S:S,MATCH(1,(TRIM(Innings!A:A)=TRIM(A102))*(TRIM(Innings!D:D)=TRIM(E102)),0))</f>
        <v>45</v>
      </c>
      <c r="AE102" t="str" cm="1">
        <f t="array" ref="AE102">INDEX(Innings!W:W,MATCH(1,(TRIM(Innings!A:A)=TRIM(A102))*(TRIM(Innings!D:D)=TRIM(E102)),0))</f>
        <v>Failed</v>
      </c>
      <c r="AF102">
        <f>IF(UPPER(TRIM(E102))=UPPER(TRIM(W102)),1,0)</f>
        <v>0</v>
      </c>
      <c r="AG102">
        <f t="shared" si="3"/>
        <v>8.5000000000000006E-2</v>
      </c>
    </row>
    <row r="103" spans="1:33" x14ac:dyDescent="0.3">
      <c r="A103" t="s">
        <v>138</v>
      </c>
      <c r="B103">
        <v>1</v>
      </c>
      <c r="C103" t="s">
        <v>229</v>
      </c>
      <c r="D103" t="s">
        <v>230</v>
      </c>
      <c r="E103" t="s">
        <v>219</v>
      </c>
      <c r="F103" t="s">
        <v>109</v>
      </c>
      <c r="G103" t="s">
        <v>92</v>
      </c>
      <c r="H103">
        <v>2</v>
      </c>
      <c r="I103">
        <v>2</v>
      </c>
      <c r="J103">
        <v>100</v>
      </c>
      <c r="K103" t="s">
        <v>246</v>
      </c>
      <c r="L103">
        <v>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 s="8">
        <v>2</v>
      </c>
      <c r="V103" s="8">
        <f t="shared" si="2"/>
        <v>0</v>
      </c>
      <c r="W103" t="str">
        <f>_xlfn.XLOOKUP(A103, Matches!A:A, Matches!L:L, "NA", 0)</f>
        <v>DCW</v>
      </c>
      <c r="X103" t="str">
        <f>_xlfn.XLOOKUP(A103, Matches!A:A, Matches!J:J, "NA", 0)</f>
        <v>UPW</v>
      </c>
      <c r="Y103" t="str">
        <f>_xlfn.XLOOKUP(A103, Matches!A:A, Matches!F:F, "NA", 0)</f>
        <v>Dr.DY Patil Sports</v>
      </c>
      <c r="Z103" cm="1">
        <f t="array" ref="Z103">INDEX(Innings!F:F,MATCH(1,(TRIM(Innings!A:A)=TRIM(A103))*(TRIM(Innings!D:D)=TRIM(E103)),0))</f>
        <v>169</v>
      </c>
      <c r="AA103" cm="1">
        <f t="array" ref="AA103">INDEX(Innings!I:I,MATCH(1,(TRIM(Innings!A:A)=TRIM(A103))*(TRIM(Innings!D:D)=TRIM(E103)),0))</f>
        <v>8.4499999999999993</v>
      </c>
      <c r="AB103" cm="1">
        <f t="array" ref="AB103">INDEX(Innings!J:J,MATCH(1,(TRIM(Innings!A:A)=TRIM(A103))*(TRIM(Innings!D:D)=TRIM(E103)),0))</f>
        <v>33</v>
      </c>
      <c r="AC103" cm="1">
        <f t="array" ref="AC103">INDEX(Innings!N:N,MATCH(1,(TRIM(Innings!A:A)=TRIM(A103))*(TRIM(Innings!D:D)=TRIM(E103)),0))</f>
        <v>56</v>
      </c>
      <c r="AD103" cm="1">
        <f t="array" ref="AD103">INDEX(Innings!S:S,MATCH(1,(TRIM(Innings!A:A)=TRIM(A103))*(TRIM(Innings!D:D)=TRIM(E103)),0))</f>
        <v>45</v>
      </c>
      <c r="AE103" t="str" cm="1">
        <f t="array" ref="AE103">INDEX(Innings!W:W,MATCH(1,(TRIM(Innings!A:A)=TRIM(A103))*(TRIM(Innings!D:D)=TRIM(E103)),0))</f>
        <v>Failed</v>
      </c>
      <c r="AF103">
        <f>IF(UPPER(TRIM(E103))=UPPER(TRIM(W103)),1,0)</f>
        <v>0</v>
      </c>
      <c r="AG103">
        <f t="shared" si="3"/>
        <v>1</v>
      </c>
    </row>
    <row r="104" spans="1:33" x14ac:dyDescent="0.3">
      <c r="A104" t="s">
        <v>138</v>
      </c>
      <c r="B104">
        <v>1</v>
      </c>
      <c r="C104" t="s">
        <v>222</v>
      </c>
      <c r="D104" t="s">
        <v>223</v>
      </c>
      <c r="E104" t="s">
        <v>219</v>
      </c>
      <c r="F104" t="s">
        <v>169</v>
      </c>
      <c r="G104" t="s">
        <v>92</v>
      </c>
      <c r="H104">
        <v>90</v>
      </c>
      <c r="I104">
        <v>50</v>
      </c>
      <c r="J104">
        <v>180</v>
      </c>
      <c r="K104" t="s">
        <v>96</v>
      </c>
      <c r="L104">
        <v>162</v>
      </c>
      <c r="M104">
        <v>3</v>
      </c>
      <c r="N104">
        <v>0</v>
      </c>
      <c r="O104">
        <v>37</v>
      </c>
      <c r="P104">
        <v>1</v>
      </c>
      <c r="Q104">
        <v>12.3</v>
      </c>
      <c r="R104">
        <v>20</v>
      </c>
      <c r="S104">
        <v>0</v>
      </c>
      <c r="T104">
        <v>0</v>
      </c>
      <c r="U104" s="8">
        <v>182</v>
      </c>
      <c r="V104" s="8">
        <f t="shared" si="2"/>
        <v>10</v>
      </c>
      <c r="W104" t="str">
        <f>_xlfn.XLOOKUP(A104, Matches!A:A, Matches!L:L, "NA", 0)</f>
        <v>DCW</v>
      </c>
      <c r="X104" t="str">
        <f>_xlfn.XLOOKUP(A104, Matches!A:A, Matches!J:J, "NA", 0)</f>
        <v>UPW</v>
      </c>
      <c r="Y104" t="str">
        <f>_xlfn.XLOOKUP(A104, Matches!A:A, Matches!F:F, "NA", 0)</f>
        <v>Dr.DY Patil Sports</v>
      </c>
      <c r="Z104" cm="1">
        <f t="array" ref="Z104">INDEX(Innings!F:F,MATCH(1,(TRIM(Innings!A:A)=TRIM(A104))*(TRIM(Innings!D:D)=TRIM(E104)),0))</f>
        <v>169</v>
      </c>
      <c r="AA104" cm="1">
        <f t="array" ref="AA104">INDEX(Innings!I:I,MATCH(1,(TRIM(Innings!A:A)=TRIM(A104))*(TRIM(Innings!D:D)=TRIM(E104)),0))</f>
        <v>8.4499999999999993</v>
      </c>
      <c r="AB104" cm="1">
        <f t="array" ref="AB104">INDEX(Innings!J:J,MATCH(1,(TRIM(Innings!A:A)=TRIM(A104))*(TRIM(Innings!D:D)=TRIM(E104)),0))</f>
        <v>33</v>
      </c>
      <c r="AC104" cm="1">
        <f t="array" ref="AC104">INDEX(Innings!N:N,MATCH(1,(TRIM(Innings!A:A)=TRIM(A104))*(TRIM(Innings!D:D)=TRIM(E104)),0))</f>
        <v>56</v>
      </c>
      <c r="AD104" cm="1">
        <f t="array" ref="AD104">INDEX(Innings!S:S,MATCH(1,(TRIM(Innings!A:A)=TRIM(A104))*(TRIM(Innings!D:D)=TRIM(E104)),0))</f>
        <v>45</v>
      </c>
      <c r="AE104" t="str" cm="1">
        <f t="array" ref="AE104">INDEX(Innings!W:W,MATCH(1,(TRIM(Innings!A:A)=TRIM(A104))*(TRIM(Innings!D:D)=TRIM(E104)),0))</f>
        <v>Failed</v>
      </c>
      <c r="AF104">
        <f>IF(UPPER(TRIM(E104))=UPPER(TRIM(W104)),1,0)</f>
        <v>0</v>
      </c>
      <c r="AG104">
        <f t="shared" si="3"/>
        <v>94</v>
      </c>
    </row>
    <row r="105" spans="1:33" x14ac:dyDescent="0.3">
      <c r="A105" t="s">
        <v>138</v>
      </c>
      <c r="B105">
        <v>1</v>
      </c>
      <c r="C105" t="s">
        <v>224</v>
      </c>
      <c r="D105" t="s">
        <v>225</v>
      </c>
      <c r="E105" t="s">
        <v>219</v>
      </c>
      <c r="F105" t="s">
        <v>83</v>
      </c>
      <c r="G105" t="s">
        <v>134</v>
      </c>
      <c r="H105">
        <v>12</v>
      </c>
      <c r="I105">
        <v>20</v>
      </c>
      <c r="J105">
        <v>60</v>
      </c>
      <c r="K105" t="s">
        <v>246</v>
      </c>
      <c r="L105">
        <v>7.2</v>
      </c>
      <c r="M105">
        <v>4</v>
      </c>
      <c r="N105">
        <v>0</v>
      </c>
      <c r="O105">
        <v>40</v>
      </c>
      <c r="P105">
        <v>0</v>
      </c>
      <c r="Q105">
        <v>10</v>
      </c>
      <c r="R105">
        <v>0</v>
      </c>
      <c r="S105">
        <v>0</v>
      </c>
      <c r="T105">
        <v>0</v>
      </c>
      <c r="U105" s="8">
        <v>7.2</v>
      </c>
      <c r="V105" s="8">
        <f t="shared" si="2"/>
        <v>1</v>
      </c>
      <c r="W105" t="str">
        <f>_xlfn.XLOOKUP(A105, Matches!A:A, Matches!L:L, "NA", 0)</f>
        <v>DCW</v>
      </c>
      <c r="X105" t="str">
        <f>_xlfn.XLOOKUP(A105, Matches!A:A, Matches!J:J, "NA", 0)</f>
        <v>UPW</v>
      </c>
      <c r="Y105" t="str">
        <f>_xlfn.XLOOKUP(A105, Matches!A:A, Matches!F:F, "NA", 0)</f>
        <v>Dr.DY Patil Sports</v>
      </c>
      <c r="Z105" cm="1">
        <f t="array" ref="Z105">INDEX(Innings!F:F,MATCH(1,(TRIM(Innings!A:A)=TRIM(A105))*(TRIM(Innings!D:D)=TRIM(E105)),0))</f>
        <v>169</v>
      </c>
      <c r="AA105" cm="1">
        <f t="array" ref="AA105">INDEX(Innings!I:I,MATCH(1,(TRIM(Innings!A:A)=TRIM(A105))*(TRIM(Innings!D:D)=TRIM(E105)),0))</f>
        <v>8.4499999999999993</v>
      </c>
      <c r="AB105" cm="1">
        <f t="array" ref="AB105">INDEX(Innings!J:J,MATCH(1,(TRIM(Innings!A:A)=TRIM(A105))*(TRIM(Innings!D:D)=TRIM(E105)),0))</f>
        <v>33</v>
      </c>
      <c r="AC105" cm="1">
        <f t="array" ref="AC105">INDEX(Innings!N:N,MATCH(1,(TRIM(Innings!A:A)=TRIM(A105))*(TRIM(Innings!D:D)=TRIM(E105)),0))</f>
        <v>56</v>
      </c>
      <c r="AD105" cm="1">
        <f t="array" ref="AD105">INDEX(Innings!S:S,MATCH(1,(TRIM(Innings!A:A)=TRIM(A105))*(TRIM(Innings!D:D)=TRIM(E105)),0))</f>
        <v>45</v>
      </c>
      <c r="AE105" t="str" cm="1">
        <f t="array" ref="AE105">INDEX(Innings!W:W,MATCH(1,(TRIM(Innings!A:A)=TRIM(A105))*(TRIM(Innings!D:D)=TRIM(E105)),0))</f>
        <v>Failed</v>
      </c>
      <c r="AF105">
        <f>IF(UPPER(TRIM(E105))=UPPER(TRIM(W105)),1,0)</f>
        <v>0</v>
      </c>
      <c r="AG105">
        <f t="shared" si="3"/>
        <v>3.9</v>
      </c>
    </row>
    <row r="106" spans="1:33" x14ac:dyDescent="0.3">
      <c r="A106" t="s">
        <v>138</v>
      </c>
      <c r="B106">
        <v>1</v>
      </c>
      <c r="C106" t="s">
        <v>231</v>
      </c>
      <c r="D106" t="s">
        <v>232</v>
      </c>
      <c r="E106" t="s">
        <v>219</v>
      </c>
      <c r="F106" t="s">
        <v>83</v>
      </c>
      <c r="G106" t="s">
        <v>134</v>
      </c>
      <c r="H106">
        <v>23</v>
      </c>
      <c r="I106">
        <v>21</v>
      </c>
      <c r="J106">
        <v>109.52</v>
      </c>
      <c r="K106" t="s">
        <v>246</v>
      </c>
      <c r="L106">
        <v>25.19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 s="8">
        <v>25.19</v>
      </c>
      <c r="V106" s="8">
        <f t="shared" si="2"/>
        <v>3</v>
      </c>
      <c r="W106" t="str">
        <f>_xlfn.XLOOKUP(A106, Matches!A:A, Matches!L:L, "NA", 0)</f>
        <v>DCW</v>
      </c>
      <c r="X106" t="str">
        <f>_xlfn.XLOOKUP(A106, Matches!A:A, Matches!J:J, "NA", 0)</f>
        <v>UPW</v>
      </c>
      <c r="Y106" t="str">
        <f>_xlfn.XLOOKUP(A106, Matches!A:A, Matches!F:F, "NA", 0)</f>
        <v>Dr.DY Patil Sports</v>
      </c>
      <c r="Z106" cm="1">
        <f t="array" ref="Z106">INDEX(Innings!F:F,MATCH(1,(TRIM(Innings!A:A)=TRIM(A106))*(TRIM(Innings!D:D)=TRIM(E106)),0))</f>
        <v>169</v>
      </c>
      <c r="AA106" cm="1">
        <f t="array" ref="AA106">INDEX(Innings!I:I,MATCH(1,(TRIM(Innings!A:A)=TRIM(A106))*(TRIM(Innings!D:D)=TRIM(E106)),0))</f>
        <v>8.4499999999999993</v>
      </c>
      <c r="AB106" cm="1">
        <f t="array" ref="AB106">INDEX(Innings!J:J,MATCH(1,(TRIM(Innings!A:A)=TRIM(A106))*(TRIM(Innings!D:D)=TRIM(E106)),0))</f>
        <v>33</v>
      </c>
      <c r="AC106" cm="1">
        <f t="array" ref="AC106">INDEX(Innings!N:N,MATCH(1,(TRIM(Innings!A:A)=TRIM(A106))*(TRIM(Innings!D:D)=TRIM(E106)),0))</f>
        <v>56</v>
      </c>
      <c r="AD106" cm="1">
        <f t="array" ref="AD106">INDEX(Innings!S:S,MATCH(1,(TRIM(Innings!A:A)=TRIM(A106))*(TRIM(Innings!D:D)=TRIM(E106)),0))</f>
        <v>45</v>
      </c>
      <c r="AE106" t="str" cm="1">
        <f t="array" ref="AE106">INDEX(Innings!W:W,MATCH(1,(TRIM(Innings!A:A)=TRIM(A106))*(TRIM(Innings!D:D)=TRIM(E106)),0))</f>
        <v>Failed</v>
      </c>
      <c r="AF106">
        <f>IF(UPPER(TRIM(E106))=UPPER(TRIM(W106)),1,0)</f>
        <v>0</v>
      </c>
      <c r="AG106">
        <f t="shared" si="3"/>
        <v>13.495000000000001</v>
      </c>
    </row>
    <row r="107" spans="1:33" x14ac:dyDescent="0.3">
      <c r="A107" t="s">
        <v>138</v>
      </c>
      <c r="B107">
        <v>1</v>
      </c>
      <c r="C107" t="s">
        <v>227</v>
      </c>
      <c r="D107" t="s">
        <v>228</v>
      </c>
      <c r="E107" t="s">
        <v>219</v>
      </c>
      <c r="F107" t="s">
        <v>109</v>
      </c>
      <c r="G107" t="s">
        <v>134</v>
      </c>
      <c r="H107">
        <v>6</v>
      </c>
      <c r="I107">
        <v>4</v>
      </c>
      <c r="J107">
        <v>150</v>
      </c>
      <c r="K107" t="s">
        <v>96</v>
      </c>
      <c r="L107">
        <v>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 s="8">
        <v>9</v>
      </c>
      <c r="V107" s="8">
        <f t="shared" si="2"/>
        <v>1</v>
      </c>
      <c r="W107" t="str">
        <f>_xlfn.XLOOKUP(A107, Matches!A:A, Matches!L:L, "NA", 0)</f>
        <v>DCW</v>
      </c>
      <c r="X107" t="str">
        <f>_xlfn.XLOOKUP(A107, Matches!A:A, Matches!J:J, "NA", 0)</f>
        <v>UPW</v>
      </c>
      <c r="Y107" t="str">
        <f>_xlfn.XLOOKUP(A107, Matches!A:A, Matches!F:F, "NA", 0)</f>
        <v>Dr.DY Patil Sports</v>
      </c>
      <c r="Z107" cm="1">
        <f t="array" ref="Z107">INDEX(Innings!F:F,MATCH(1,(TRIM(Innings!A:A)=TRIM(A107))*(TRIM(Innings!D:D)=TRIM(E107)),0))</f>
        <v>169</v>
      </c>
      <c r="AA107" cm="1">
        <f t="array" ref="AA107">INDEX(Innings!I:I,MATCH(1,(TRIM(Innings!A:A)=TRIM(A107))*(TRIM(Innings!D:D)=TRIM(E107)),0))</f>
        <v>8.4499999999999993</v>
      </c>
      <c r="AB107" cm="1">
        <f t="array" ref="AB107">INDEX(Innings!J:J,MATCH(1,(TRIM(Innings!A:A)=TRIM(A107))*(TRIM(Innings!D:D)=TRIM(E107)),0))</f>
        <v>33</v>
      </c>
      <c r="AC107" cm="1">
        <f t="array" ref="AC107">INDEX(Innings!N:N,MATCH(1,(TRIM(Innings!A:A)=TRIM(A107))*(TRIM(Innings!D:D)=TRIM(E107)),0))</f>
        <v>56</v>
      </c>
      <c r="AD107" cm="1">
        <f t="array" ref="AD107">INDEX(Innings!S:S,MATCH(1,(TRIM(Innings!A:A)=TRIM(A107))*(TRIM(Innings!D:D)=TRIM(E107)),0))</f>
        <v>45</v>
      </c>
      <c r="AE107" t="str" cm="1">
        <f t="array" ref="AE107">INDEX(Innings!W:W,MATCH(1,(TRIM(Innings!A:A)=TRIM(A107))*(TRIM(Innings!D:D)=TRIM(E107)),0))</f>
        <v>Failed</v>
      </c>
      <c r="AF107">
        <f>IF(UPPER(TRIM(E107))=UPPER(TRIM(W107)),1,0)</f>
        <v>0</v>
      </c>
      <c r="AG107">
        <f t="shared" si="3"/>
        <v>4.8</v>
      </c>
    </row>
    <row r="108" spans="1:33" x14ac:dyDescent="0.3">
      <c r="A108" t="s">
        <v>138</v>
      </c>
      <c r="B108">
        <v>1</v>
      </c>
      <c r="C108" t="s">
        <v>233</v>
      </c>
      <c r="D108" t="s">
        <v>234</v>
      </c>
      <c r="E108" t="s">
        <v>219</v>
      </c>
      <c r="F108" t="s">
        <v>101</v>
      </c>
      <c r="G108" t="s">
        <v>135</v>
      </c>
      <c r="H108">
        <v>0</v>
      </c>
      <c r="I108">
        <v>0</v>
      </c>
      <c r="J108">
        <v>0</v>
      </c>
      <c r="K108" t="s">
        <v>104</v>
      </c>
      <c r="L108">
        <v>0</v>
      </c>
      <c r="M108">
        <v>4</v>
      </c>
      <c r="N108">
        <v>0</v>
      </c>
      <c r="O108">
        <v>41</v>
      </c>
      <c r="P108">
        <v>1</v>
      </c>
      <c r="Q108">
        <v>10.25</v>
      </c>
      <c r="R108">
        <v>20</v>
      </c>
      <c r="S108">
        <v>0</v>
      </c>
      <c r="T108">
        <v>0</v>
      </c>
      <c r="U108" s="8">
        <v>20</v>
      </c>
      <c r="V108" s="8">
        <f t="shared" si="2"/>
        <v>2</v>
      </c>
      <c r="W108" t="str">
        <f>_xlfn.XLOOKUP(A108, Matches!A:A, Matches!L:L, "NA", 0)</f>
        <v>DCW</v>
      </c>
      <c r="X108" t="str">
        <f>_xlfn.XLOOKUP(A108, Matches!A:A, Matches!J:J, "NA", 0)</f>
        <v>UPW</v>
      </c>
      <c r="Y108" t="str">
        <f>_xlfn.XLOOKUP(A108, Matches!A:A, Matches!F:F, "NA", 0)</f>
        <v>Dr.DY Patil Sports</v>
      </c>
      <c r="Z108" cm="1">
        <f t="array" ref="Z108">INDEX(Innings!F:F,MATCH(1,(TRIM(Innings!A:A)=TRIM(A108))*(TRIM(Innings!D:D)=TRIM(E108)),0))</f>
        <v>169</v>
      </c>
      <c r="AA108" cm="1">
        <f t="array" ref="AA108">INDEX(Innings!I:I,MATCH(1,(TRIM(Innings!A:A)=TRIM(A108))*(TRIM(Innings!D:D)=TRIM(E108)),0))</f>
        <v>8.4499999999999993</v>
      </c>
      <c r="AB108" cm="1">
        <f t="array" ref="AB108">INDEX(Innings!J:J,MATCH(1,(TRIM(Innings!A:A)=TRIM(A108))*(TRIM(Innings!D:D)=TRIM(E108)),0))</f>
        <v>33</v>
      </c>
      <c r="AC108" cm="1">
        <f t="array" ref="AC108">INDEX(Innings!N:N,MATCH(1,(TRIM(Innings!A:A)=TRIM(A108))*(TRIM(Innings!D:D)=TRIM(E108)),0))</f>
        <v>56</v>
      </c>
      <c r="AD108" cm="1">
        <f t="array" ref="AD108">INDEX(Innings!S:S,MATCH(1,(TRIM(Innings!A:A)=TRIM(A108))*(TRIM(Innings!D:D)=TRIM(E108)),0))</f>
        <v>45</v>
      </c>
      <c r="AE108" t="str" cm="1">
        <f t="array" ref="AE108">INDEX(Innings!W:W,MATCH(1,(TRIM(Innings!A:A)=TRIM(A108))*(TRIM(Innings!D:D)=TRIM(E108)),0))</f>
        <v>Failed</v>
      </c>
      <c r="AF108">
        <f>IF(UPPER(TRIM(E108))=UPPER(TRIM(W108)),1,0)</f>
        <v>0</v>
      </c>
      <c r="AG108">
        <f t="shared" si="3"/>
        <v>10.6</v>
      </c>
    </row>
    <row r="109" spans="1:33" x14ac:dyDescent="0.3">
      <c r="A109" t="s">
        <v>138</v>
      </c>
      <c r="B109">
        <v>1</v>
      </c>
      <c r="C109" t="s">
        <v>265</v>
      </c>
      <c r="D109" t="s">
        <v>264</v>
      </c>
      <c r="E109" t="s">
        <v>219</v>
      </c>
      <c r="F109" t="s">
        <v>101</v>
      </c>
      <c r="G109" t="s">
        <v>135</v>
      </c>
      <c r="H109">
        <v>0</v>
      </c>
      <c r="I109">
        <v>0</v>
      </c>
      <c r="J109">
        <v>0</v>
      </c>
      <c r="K109" t="s">
        <v>104</v>
      </c>
      <c r="L109">
        <v>0</v>
      </c>
      <c r="M109">
        <v>4</v>
      </c>
      <c r="N109">
        <v>0</v>
      </c>
      <c r="O109">
        <v>29</v>
      </c>
      <c r="P109">
        <v>1</v>
      </c>
      <c r="Q109">
        <v>7.25</v>
      </c>
      <c r="R109">
        <v>20</v>
      </c>
      <c r="S109">
        <v>0</v>
      </c>
      <c r="T109">
        <v>0</v>
      </c>
      <c r="U109" s="8">
        <v>20</v>
      </c>
      <c r="V109" s="8">
        <f t="shared" si="2"/>
        <v>2</v>
      </c>
      <c r="W109" t="str">
        <f>_xlfn.XLOOKUP(A109, Matches!A:A, Matches!L:L, "NA", 0)</f>
        <v>DCW</v>
      </c>
      <c r="X109" t="str">
        <f>_xlfn.XLOOKUP(A109, Matches!A:A, Matches!J:J, "NA", 0)</f>
        <v>UPW</v>
      </c>
      <c r="Y109" t="str">
        <f>_xlfn.XLOOKUP(A109, Matches!A:A, Matches!F:F, "NA", 0)</f>
        <v>Dr.DY Patil Sports</v>
      </c>
      <c r="Z109" cm="1">
        <f t="array" ref="Z109">INDEX(Innings!F:F,MATCH(1,(TRIM(Innings!A:A)=TRIM(A109))*(TRIM(Innings!D:D)=TRIM(E109)),0))</f>
        <v>169</v>
      </c>
      <c r="AA109" cm="1">
        <f t="array" ref="AA109">INDEX(Innings!I:I,MATCH(1,(TRIM(Innings!A:A)=TRIM(A109))*(TRIM(Innings!D:D)=TRIM(E109)),0))</f>
        <v>8.4499999999999993</v>
      </c>
      <c r="AB109" cm="1">
        <f t="array" ref="AB109">INDEX(Innings!J:J,MATCH(1,(TRIM(Innings!A:A)=TRIM(A109))*(TRIM(Innings!D:D)=TRIM(E109)),0))</f>
        <v>33</v>
      </c>
      <c r="AC109" cm="1">
        <f t="array" ref="AC109">INDEX(Innings!N:N,MATCH(1,(TRIM(Innings!A:A)=TRIM(A109))*(TRIM(Innings!D:D)=TRIM(E109)),0))</f>
        <v>56</v>
      </c>
      <c r="AD109" cm="1">
        <f t="array" ref="AD109">INDEX(Innings!S:S,MATCH(1,(TRIM(Innings!A:A)=TRIM(A109))*(TRIM(Innings!D:D)=TRIM(E109)),0))</f>
        <v>45</v>
      </c>
      <c r="AE109" t="str" cm="1">
        <f t="array" ref="AE109">INDEX(Innings!W:W,MATCH(1,(TRIM(Innings!A:A)=TRIM(A109))*(TRIM(Innings!D:D)=TRIM(E109)),0))</f>
        <v>Failed</v>
      </c>
      <c r="AF109">
        <f>IF(UPPER(TRIM(E109))=UPPER(TRIM(W109)),1,0)</f>
        <v>0</v>
      </c>
      <c r="AG109">
        <f t="shared" si="3"/>
        <v>10.6</v>
      </c>
    </row>
    <row r="110" spans="1:33" x14ac:dyDescent="0.3">
      <c r="A110" t="s">
        <v>138</v>
      </c>
      <c r="B110">
        <v>1</v>
      </c>
      <c r="C110" t="s">
        <v>235</v>
      </c>
      <c r="D110" t="s">
        <v>236</v>
      </c>
      <c r="E110" t="s">
        <v>219</v>
      </c>
      <c r="F110" t="s">
        <v>101</v>
      </c>
      <c r="G110" t="s">
        <v>135</v>
      </c>
      <c r="H110">
        <v>0</v>
      </c>
      <c r="I110">
        <v>0</v>
      </c>
      <c r="J110">
        <v>0</v>
      </c>
      <c r="K110" t="s">
        <v>104</v>
      </c>
      <c r="L110">
        <v>0</v>
      </c>
      <c r="M110">
        <v>3</v>
      </c>
      <c r="N110">
        <v>0</v>
      </c>
      <c r="O110">
        <v>31</v>
      </c>
      <c r="P110">
        <v>0</v>
      </c>
      <c r="Q110">
        <v>10.3</v>
      </c>
      <c r="R110">
        <v>0</v>
      </c>
      <c r="S110">
        <v>0</v>
      </c>
      <c r="T110">
        <v>0</v>
      </c>
      <c r="U110" s="8">
        <v>0</v>
      </c>
      <c r="V110" s="8">
        <f t="shared" si="2"/>
        <v>0</v>
      </c>
      <c r="W110" t="str">
        <f>_xlfn.XLOOKUP(A110, Matches!A:A, Matches!L:L, "NA", 0)</f>
        <v>DCW</v>
      </c>
      <c r="X110" t="str">
        <f>_xlfn.XLOOKUP(A110, Matches!A:A, Matches!J:J, "NA", 0)</f>
        <v>UPW</v>
      </c>
      <c r="Y110" t="str">
        <f>_xlfn.XLOOKUP(A110, Matches!A:A, Matches!F:F, "NA", 0)</f>
        <v>Dr.DY Patil Sports</v>
      </c>
      <c r="Z110" cm="1">
        <f t="array" ref="Z110">INDEX(Innings!F:F,MATCH(1,(TRIM(Innings!A:A)=TRIM(A110))*(TRIM(Innings!D:D)=TRIM(E110)),0))</f>
        <v>169</v>
      </c>
      <c r="AA110" cm="1">
        <f t="array" ref="AA110">INDEX(Innings!I:I,MATCH(1,(TRIM(Innings!A:A)=TRIM(A110))*(TRIM(Innings!D:D)=TRIM(E110)),0))</f>
        <v>8.4499999999999993</v>
      </c>
      <c r="AB110" cm="1">
        <f t="array" ref="AB110">INDEX(Innings!J:J,MATCH(1,(TRIM(Innings!A:A)=TRIM(A110))*(TRIM(Innings!D:D)=TRIM(E110)),0))</f>
        <v>33</v>
      </c>
      <c r="AC110" cm="1">
        <f t="array" ref="AC110">INDEX(Innings!N:N,MATCH(1,(TRIM(Innings!A:A)=TRIM(A110))*(TRIM(Innings!D:D)=TRIM(E110)),0))</f>
        <v>56</v>
      </c>
      <c r="AD110" cm="1">
        <f t="array" ref="AD110">INDEX(Innings!S:S,MATCH(1,(TRIM(Innings!A:A)=TRIM(A110))*(TRIM(Innings!D:D)=TRIM(E110)),0))</f>
        <v>45</v>
      </c>
      <c r="AE110" t="str" cm="1">
        <f t="array" ref="AE110">INDEX(Innings!W:W,MATCH(1,(TRIM(Innings!A:A)=TRIM(A110))*(TRIM(Innings!D:D)=TRIM(E110)),0))</f>
        <v>Failed</v>
      </c>
      <c r="AF110">
        <f>IF(UPPER(TRIM(E110))=UPPER(TRIM(W110)),1,0)</f>
        <v>0</v>
      </c>
      <c r="AG110">
        <f t="shared" si="3"/>
        <v>0</v>
      </c>
    </row>
    <row r="111" spans="1:33" x14ac:dyDescent="0.3">
      <c r="A111" t="s">
        <v>138</v>
      </c>
      <c r="B111">
        <v>1</v>
      </c>
      <c r="C111" t="s">
        <v>237</v>
      </c>
      <c r="D111" t="s">
        <v>238</v>
      </c>
      <c r="E111" t="s">
        <v>219</v>
      </c>
      <c r="F111" t="s">
        <v>101</v>
      </c>
      <c r="G111" t="s">
        <v>135</v>
      </c>
      <c r="H111">
        <v>0</v>
      </c>
      <c r="I111">
        <v>0</v>
      </c>
      <c r="J111">
        <v>0</v>
      </c>
      <c r="K111" t="s">
        <v>104</v>
      </c>
      <c r="L111">
        <v>0</v>
      </c>
      <c r="M111">
        <v>2</v>
      </c>
      <c r="N111">
        <v>0</v>
      </c>
      <c r="O111">
        <v>31</v>
      </c>
      <c r="P111">
        <v>1</v>
      </c>
      <c r="Q111">
        <v>15.5</v>
      </c>
      <c r="R111">
        <v>15</v>
      </c>
      <c r="S111">
        <v>0</v>
      </c>
      <c r="T111">
        <v>0</v>
      </c>
      <c r="U111" s="8">
        <v>15</v>
      </c>
      <c r="V111" s="8">
        <f t="shared" si="2"/>
        <v>2</v>
      </c>
      <c r="W111" t="str">
        <f>_xlfn.XLOOKUP(A111, Matches!A:A, Matches!L:L, "NA", 0)</f>
        <v>DCW</v>
      </c>
      <c r="X111" t="str">
        <f>_xlfn.XLOOKUP(A111, Matches!A:A, Matches!J:J, "NA", 0)</f>
        <v>UPW</v>
      </c>
      <c r="Y111" t="str">
        <f>_xlfn.XLOOKUP(A111, Matches!A:A, Matches!F:F, "NA", 0)</f>
        <v>Dr.DY Patil Sports</v>
      </c>
      <c r="Z111" cm="1">
        <f t="array" ref="Z111">INDEX(Innings!F:F,MATCH(1,(TRIM(Innings!A:A)=TRIM(A111))*(TRIM(Innings!D:D)=TRIM(E111)),0))</f>
        <v>169</v>
      </c>
      <c r="AA111" cm="1">
        <f t="array" ref="AA111">INDEX(Innings!I:I,MATCH(1,(TRIM(Innings!A:A)=TRIM(A111))*(TRIM(Innings!D:D)=TRIM(E111)),0))</f>
        <v>8.4499999999999993</v>
      </c>
      <c r="AB111" cm="1">
        <f t="array" ref="AB111">INDEX(Innings!J:J,MATCH(1,(TRIM(Innings!A:A)=TRIM(A111))*(TRIM(Innings!D:D)=TRIM(E111)),0))</f>
        <v>33</v>
      </c>
      <c r="AC111" cm="1">
        <f t="array" ref="AC111">INDEX(Innings!N:N,MATCH(1,(TRIM(Innings!A:A)=TRIM(A111))*(TRIM(Innings!D:D)=TRIM(E111)),0))</f>
        <v>56</v>
      </c>
      <c r="AD111" cm="1">
        <f t="array" ref="AD111">INDEX(Innings!S:S,MATCH(1,(TRIM(Innings!A:A)=TRIM(A111))*(TRIM(Innings!D:D)=TRIM(E111)),0))</f>
        <v>45</v>
      </c>
      <c r="AE111" t="str" cm="1">
        <f t="array" ref="AE111">INDEX(Innings!W:W,MATCH(1,(TRIM(Innings!A:A)=TRIM(A111))*(TRIM(Innings!D:D)=TRIM(E111)),0))</f>
        <v>Failed</v>
      </c>
      <c r="AF111">
        <f>IF(UPPER(TRIM(E111))=UPPER(TRIM(W111)),1,0)</f>
        <v>0</v>
      </c>
      <c r="AG111">
        <f t="shared" si="3"/>
        <v>8.1</v>
      </c>
    </row>
    <row r="112" spans="1:33" x14ac:dyDescent="0.3">
      <c r="A112" t="s">
        <v>139</v>
      </c>
      <c r="B112">
        <v>1</v>
      </c>
      <c r="C112" t="s">
        <v>87</v>
      </c>
      <c r="D112" t="s">
        <v>82</v>
      </c>
      <c r="E112" t="s">
        <v>258</v>
      </c>
      <c r="F112" t="s">
        <v>109</v>
      </c>
      <c r="G112" t="s">
        <v>86</v>
      </c>
      <c r="H112">
        <v>8</v>
      </c>
      <c r="I112">
        <v>11</v>
      </c>
      <c r="J112">
        <v>72.73</v>
      </c>
      <c r="K112" t="s">
        <v>246</v>
      </c>
      <c r="L112">
        <v>5.82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 s="8">
        <v>5.82</v>
      </c>
      <c r="V112" s="8">
        <f t="shared" si="2"/>
        <v>1</v>
      </c>
      <c r="W112" t="str">
        <f>_xlfn.XLOOKUP(A112, Matches!A:A, Matches!L:L, "NA", 0)</f>
        <v>GGTW</v>
      </c>
      <c r="X112" t="str">
        <f>_xlfn.XLOOKUP(A112, Matches!A:A, Matches!J:J, "NA", 0)</f>
        <v>GGTW</v>
      </c>
      <c r="Y112" t="str">
        <f>_xlfn.XLOOKUP(A112, Matches!A:A, Matches!F:F, "NA", 0)</f>
        <v>Brabourne Stadium</v>
      </c>
      <c r="Z112" cm="1">
        <f t="array" ref="Z112">INDEX(Innings!F:F,MATCH(1,(TRIM(Innings!A:A)=TRIM(A112))*(TRIM(Innings!D:D)=TRIM(E112)),0))</f>
        <v>201</v>
      </c>
      <c r="AA112" cm="1">
        <f t="array" ref="AA112">INDEX(Innings!I:I,MATCH(1,(TRIM(Innings!A:A)=TRIM(A112))*(TRIM(Innings!D:D)=TRIM(E112)),0))</f>
        <v>10.050000000000001</v>
      </c>
      <c r="AB112" cm="1">
        <f t="array" ref="AB112">INDEX(Innings!J:J,MATCH(1,(TRIM(Innings!A:A)=TRIM(A112))*(TRIM(Innings!D:D)=TRIM(E112)),0))</f>
        <v>64</v>
      </c>
      <c r="AC112" cm="1">
        <f t="array" ref="AC112">INDEX(Innings!N:N,MATCH(1,(TRIM(Innings!A:A)=TRIM(A112))*(TRIM(Innings!D:D)=TRIM(E112)),0))</f>
        <v>40</v>
      </c>
      <c r="AD112" cm="1">
        <f t="array" ref="AD112">INDEX(Innings!S:S,MATCH(1,(TRIM(Innings!A:A)=TRIM(A112))*(TRIM(Innings!D:D)=TRIM(E112)),0))</f>
        <v>38</v>
      </c>
      <c r="AE112" t="str" cm="1">
        <f t="array" ref="AE112">INDEX(Innings!W:W,MATCH(1,(TRIM(Innings!A:A)=TRIM(A112))*(TRIM(Innings!D:D)=TRIM(E112)),0))</f>
        <v>NA</v>
      </c>
      <c r="AF112">
        <f>IF(UPPER(TRIM(E112))=UPPER(TRIM(W112)),1,0)</f>
        <v>1</v>
      </c>
      <c r="AG112">
        <f t="shared" si="3"/>
        <v>23.21</v>
      </c>
    </row>
    <row r="113" spans="1:33" x14ac:dyDescent="0.3">
      <c r="A113" t="s">
        <v>139</v>
      </c>
      <c r="B113">
        <v>1</v>
      </c>
      <c r="C113" t="s">
        <v>239</v>
      </c>
      <c r="D113" t="s">
        <v>241</v>
      </c>
      <c r="E113" t="s">
        <v>258</v>
      </c>
      <c r="F113" t="s">
        <v>83</v>
      </c>
      <c r="G113" t="s">
        <v>86</v>
      </c>
      <c r="H113">
        <v>65</v>
      </c>
      <c r="I113">
        <v>28</v>
      </c>
      <c r="J113">
        <v>232.14</v>
      </c>
      <c r="K113" t="s">
        <v>246</v>
      </c>
      <c r="L113">
        <v>150.88999999999999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 s="8">
        <v>150.88999999999999</v>
      </c>
      <c r="V113" s="8">
        <f t="shared" si="2"/>
        <v>10</v>
      </c>
      <c r="W113" t="str">
        <f>_xlfn.XLOOKUP(A113, Matches!A:A, Matches!L:L, "NA", 0)</f>
        <v>GGTW</v>
      </c>
      <c r="X113" t="str">
        <f>_xlfn.XLOOKUP(A113, Matches!A:A, Matches!J:J, "NA", 0)</f>
        <v>GGTW</v>
      </c>
      <c r="Y113" t="str">
        <f>_xlfn.XLOOKUP(A113, Matches!A:A, Matches!F:F, "NA", 0)</f>
        <v>Brabourne Stadium</v>
      </c>
      <c r="Z113" cm="1">
        <f t="array" ref="Z113">INDEX(Innings!F:F,MATCH(1,(TRIM(Innings!A:A)=TRIM(A113))*(TRIM(Innings!D:D)=TRIM(E113)),0))</f>
        <v>201</v>
      </c>
      <c r="AA113" cm="1">
        <f t="array" ref="AA113">INDEX(Innings!I:I,MATCH(1,(TRIM(Innings!A:A)=TRIM(A113))*(TRIM(Innings!D:D)=TRIM(E113)),0))</f>
        <v>10.050000000000001</v>
      </c>
      <c r="AB113" cm="1">
        <f t="array" ref="AB113">INDEX(Innings!J:J,MATCH(1,(TRIM(Innings!A:A)=TRIM(A113))*(TRIM(Innings!D:D)=TRIM(E113)),0))</f>
        <v>64</v>
      </c>
      <c r="AC113" cm="1">
        <f t="array" ref="AC113">INDEX(Innings!N:N,MATCH(1,(TRIM(Innings!A:A)=TRIM(A113))*(TRIM(Innings!D:D)=TRIM(E113)),0))</f>
        <v>40</v>
      </c>
      <c r="AD113" cm="1">
        <f t="array" ref="AD113">INDEX(Innings!S:S,MATCH(1,(TRIM(Innings!A:A)=TRIM(A113))*(TRIM(Innings!D:D)=TRIM(E113)),0))</f>
        <v>38</v>
      </c>
      <c r="AE113" t="str" cm="1">
        <f t="array" ref="AE113">INDEX(Innings!W:W,MATCH(1,(TRIM(Innings!A:A)=TRIM(A113))*(TRIM(Innings!D:D)=TRIM(E113)),0))</f>
        <v>NA</v>
      </c>
      <c r="AF113">
        <f>IF(UPPER(TRIM(E113))=UPPER(TRIM(W113)),1,0)</f>
        <v>1</v>
      </c>
      <c r="AG113">
        <f t="shared" si="3"/>
        <v>98.444999999999993</v>
      </c>
    </row>
    <row r="114" spans="1:33" x14ac:dyDescent="0.3">
      <c r="A114" t="s">
        <v>139</v>
      </c>
      <c r="B114">
        <v>1</v>
      </c>
      <c r="C114" t="s">
        <v>89</v>
      </c>
      <c r="D114" t="s">
        <v>116</v>
      </c>
      <c r="E114" t="s">
        <v>258</v>
      </c>
      <c r="F114" t="s">
        <v>83</v>
      </c>
      <c r="G114" t="s">
        <v>92</v>
      </c>
      <c r="H114">
        <v>67</v>
      </c>
      <c r="I114">
        <v>45</v>
      </c>
      <c r="J114">
        <v>148.88999999999999</v>
      </c>
      <c r="K114" t="s">
        <v>245</v>
      </c>
      <c r="L114">
        <v>99.76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 s="8">
        <v>99.76</v>
      </c>
      <c r="V114" s="8">
        <f t="shared" si="2"/>
        <v>10</v>
      </c>
      <c r="W114" t="str">
        <f>_xlfn.XLOOKUP(A114, Matches!A:A, Matches!L:L, "NA", 0)</f>
        <v>GGTW</v>
      </c>
      <c r="X114" t="str">
        <f>_xlfn.XLOOKUP(A114, Matches!A:A, Matches!J:J, "NA", 0)</f>
        <v>GGTW</v>
      </c>
      <c r="Y114" t="str">
        <f>_xlfn.XLOOKUP(A114, Matches!A:A, Matches!F:F, "NA", 0)</f>
        <v>Brabourne Stadium</v>
      </c>
      <c r="Z114" cm="1">
        <f t="array" ref="Z114">INDEX(Innings!F:F,MATCH(1,(TRIM(Innings!A:A)=TRIM(A114))*(TRIM(Innings!D:D)=TRIM(E114)),0))</f>
        <v>201</v>
      </c>
      <c r="AA114" cm="1">
        <f t="array" ref="AA114">INDEX(Innings!I:I,MATCH(1,(TRIM(Innings!A:A)=TRIM(A114))*(TRIM(Innings!D:D)=TRIM(E114)),0))</f>
        <v>10.050000000000001</v>
      </c>
      <c r="AB114" cm="1">
        <f t="array" ref="AB114">INDEX(Innings!J:J,MATCH(1,(TRIM(Innings!A:A)=TRIM(A114))*(TRIM(Innings!D:D)=TRIM(E114)),0))</f>
        <v>64</v>
      </c>
      <c r="AC114" cm="1">
        <f t="array" ref="AC114">INDEX(Innings!N:N,MATCH(1,(TRIM(Innings!A:A)=TRIM(A114))*(TRIM(Innings!D:D)=TRIM(E114)),0))</f>
        <v>40</v>
      </c>
      <c r="AD114" cm="1">
        <f t="array" ref="AD114">INDEX(Innings!S:S,MATCH(1,(TRIM(Innings!A:A)=TRIM(A114))*(TRIM(Innings!D:D)=TRIM(E114)),0))</f>
        <v>38</v>
      </c>
      <c r="AE114" t="str" cm="1">
        <f t="array" ref="AE114">INDEX(Innings!W:W,MATCH(1,(TRIM(Innings!A:A)=TRIM(A114))*(TRIM(Innings!D:D)=TRIM(E114)),0))</f>
        <v>NA</v>
      </c>
      <c r="AF114">
        <f>IF(UPPER(TRIM(E114))=UPPER(TRIM(W114)),1,0)</f>
        <v>1</v>
      </c>
      <c r="AG114">
        <f t="shared" si="3"/>
        <v>72.88</v>
      </c>
    </row>
    <row r="115" spans="1:33" x14ac:dyDescent="0.3">
      <c r="A115" t="s">
        <v>139</v>
      </c>
      <c r="B115">
        <v>1</v>
      </c>
      <c r="C115" t="s">
        <v>93</v>
      </c>
      <c r="D115" t="s">
        <v>118</v>
      </c>
      <c r="E115" t="s">
        <v>258</v>
      </c>
      <c r="F115" t="s">
        <v>83</v>
      </c>
      <c r="G115" t="s">
        <v>92</v>
      </c>
      <c r="H115">
        <v>19</v>
      </c>
      <c r="I115">
        <v>15</v>
      </c>
      <c r="J115">
        <v>126.67</v>
      </c>
      <c r="K115" t="s">
        <v>248</v>
      </c>
      <c r="L115">
        <v>24.07</v>
      </c>
      <c r="M115">
        <v>4</v>
      </c>
      <c r="N115">
        <v>0</v>
      </c>
      <c r="O115">
        <v>31</v>
      </c>
      <c r="P115">
        <v>3</v>
      </c>
      <c r="Q115">
        <v>7.8</v>
      </c>
      <c r="R115">
        <v>60</v>
      </c>
      <c r="S115">
        <v>0</v>
      </c>
      <c r="T115">
        <v>0</v>
      </c>
      <c r="U115" s="8">
        <v>84.07</v>
      </c>
      <c r="V115" s="8">
        <f t="shared" si="2"/>
        <v>8</v>
      </c>
      <c r="W115" t="str">
        <f>_xlfn.XLOOKUP(A115, Matches!A:A, Matches!L:L, "NA", 0)</f>
        <v>GGTW</v>
      </c>
      <c r="X115" t="str">
        <f>_xlfn.XLOOKUP(A115, Matches!A:A, Matches!J:J, "NA", 0)</f>
        <v>GGTW</v>
      </c>
      <c r="Y115" t="str">
        <f>_xlfn.XLOOKUP(A115, Matches!A:A, Matches!F:F, "NA", 0)</f>
        <v>Brabourne Stadium</v>
      </c>
      <c r="Z115" cm="1">
        <f t="array" ref="Z115">INDEX(Innings!F:F,MATCH(1,(TRIM(Innings!A:A)=TRIM(A115))*(TRIM(Innings!D:D)=TRIM(E115)),0))</f>
        <v>201</v>
      </c>
      <c r="AA115" cm="1">
        <f t="array" ref="AA115">INDEX(Innings!I:I,MATCH(1,(TRIM(Innings!A:A)=TRIM(A115))*(TRIM(Innings!D:D)=TRIM(E115)),0))</f>
        <v>10.050000000000001</v>
      </c>
      <c r="AB115" cm="1">
        <f t="array" ref="AB115">INDEX(Innings!J:J,MATCH(1,(TRIM(Innings!A:A)=TRIM(A115))*(TRIM(Innings!D:D)=TRIM(E115)),0))</f>
        <v>64</v>
      </c>
      <c r="AC115" cm="1">
        <f t="array" ref="AC115">INDEX(Innings!N:N,MATCH(1,(TRIM(Innings!A:A)=TRIM(A115))*(TRIM(Innings!D:D)=TRIM(E115)),0))</f>
        <v>40</v>
      </c>
      <c r="AD115" cm="1">
        <f t="array" ref="AD115">INDEX(Innings!S:S,MATCH(1,(TRIM(Innings!A:A)=TRIM(A115))*(TRIM(Innings!D:D)=TRIM(E115)),0))</f>
        <v>38</v>
      </c>
      <c r="AE115" t="str" cm="1">
        <f t="array" ref="AE115">INDEX(Innings!W:W,MATCH(1,(TRIM(Innings!A:A)=TRIM(A115))*(TRIM(Innings!D:D)=TRIM(E115)),0))</f>
        <v>NA</v>
      </c>
      <c r="AF115">
        <f>IF(UPPER(TRIM(E115))=UPPER(TRIM(W115)),1,0)</f>
        <v>1</v>
      </c>
      <c r="AG115">
        <f t="shared" si="3"/>
        <v>64.435000000000002</v>
      </c>
    </row>
    <row r="116" spans="1:33" x14ac:dyDescent="0.3">
      <c r="A116" t="s">
        <v>139</v>
      </c>
      <c r="B116">
        <v>1</v>
      </c>
      <c r="C116" t="s">
        <v>97</v>
      </c>
      <c r="D116" t="s">
        <v>122</v>
      </c>
      <c r="E116" t="s">
        <v>258</v>
      </c>
      <c r="F116" t="s">
        <v>109</v>
      </c>
      <c r="G116" t="s">
        <v>134</v>
      </c>
      <c r="H116">
        <v>16</v>
      </c>
      <c r="I116">
        <v>7</v>
      </c>
      <c r="J116">
        <v>228.57</v>
      </c>
      <c r="K116" t="s">
        <v>246</v>
      </c>
      <c r="L116">
        <v>36.57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 s="8">
        <v>36.57</v>
      </c>
      <c r="V116" s="8">
        <f t="shared" si="2"/>
        <v>4</v>
      </c>
      <c r="W116" t="str">
        <f>_xlfn.XLOOKUP(A116, Matches!A:A, Matches!L:L, "NA", 0)</f>
        <v>GGTW</v>
      </c>
      <c r="X116" t="str">
        <f>_xlfn.XLOOKUP(A116, Matches!A:A, Matches!J:J, "NA", 0)</f>
        <v>GGTW</v>
      </c>
      <c r="Y116" t="str">
        <f>_xlfn.XLOOKUP(A116, Matches!A:A, Matches!F:F, "NA", 0)</f>
        <v>Brabourne Stadium</v>
      </c>
      <c r="Z116" cm="1">
        <f t="array" ref="Z116">INDEX(Innings!F:F,MATCH(1,(TRIM(Innings!A:A)=TRIM(A116))*(TRIM(Innings!D:D)=TRIM(E116)),0))</f>
        <v>201</v>
      </c>
      <c r="AA116" cm="1">
        <f t="array" ref="AA116">INDEX(Innings!I:I,MATCH(1,(TRIM(Innings!A:A)=TRIM(A116))*(TRIM(Innings!D:D)=TRIM(E116)),0))</f>
        <v>10.050000000000001</v>
      </c>
      <c r="AB116" cm="1">
        <f t="array" ref="AB116">INDEX(Innings!J:J,MATCH(1,(TRIM(Innings!A:A)=TRIM(A116))*(TRIM(Innings!D:D)=TRIM(E116)),0))</f>
        <v>64</v>
      </c>
      <c r="AC116" cm="1">
        <f t="array" ref="AC116">INDEX(Innings!N:N,MATCH(1,(TRIM(Innings!A:A)=TRIM(A116))*(TRIM(Innings!D:D)=TRIM(E116)),0))</f>
        <v>40</v>
      </c>
      <c r="AD116" cm="1">
        <f t="array" ref="AD116">INDEX(Innings!S:S,MATCH(1,(TRIM(Innings!A:A)=TRIM(A116))*(TRIM(Innings!D:D)=TRIM(E116)),0))</f>
        <v>38</v>
      </c>
      <c r="AE116" t="str" cm="1">
        <f t="array" ref="AE116">INDEX(Innings!W:W,MATCH(1,(TRIM(Innings!A:A)=TRIM(A116))*(TRIM(Innings!D:D)=TRIM(E116)),0))</f>
        <v>NA</v>
      </c>
      <c r="AF116">
        <f>IF(UPPER(TRIM(E116))=UPPER(TRIM(W116)),1,0)</f>
        <v>1</v>
      </c>
      <c r="AG116">
        <f t="shared" si="3"/>
        <v>39.484999999999999</v>
      </c>
    </row>
    <row r="117" spans="1:33" x14ac:dyDescent="0.3">
      <c r="A117" t="s">
        <v>139</v>
      </c>
      <c r="B117">
        <v>1</v>
      </c>
      <c r="C117" t="s">
        <v>94</v>
      </c>
      <c r="D117" t="s">
        <v>120</v>
      </c>
      <c r="E117" t="s">
        <v>258</v>
      </c>
      <c r="F117" t="s">
        <v>91</v>
      </c>
      <c r="G117" t="s">
        <v>134</v>
      </c>
      <c r="H117">
        <v>14</v>
      </c>
      <c r="I117">
        <v>8</v>
      </c>
      <c r="J117">
        <v>175</v>
      </c>
      <c r="K117" t="s">
        <v>246</v>
      </c>
      <c r="L117">
        <v>24.5</v>
      </c>
      <c r="M117">
        <v>4</v>
      </c>
      <c r="N117">
        <v>0</v>
      </c>
      <c r="O117">
        <v>56</v>
      </c>
      <c r="P117">
        <v>2</v>
      </c>
      <c r="Q117">
        <v>14</v>
      </c>
      <c r="R117">
        <v>40</v>
      </c>
      <c r="S117">
        <v>0</v>
      </c>
      <c r="T117">
        <v>0</v>
      </c>
      <c r="U117" s="8">
        <v>64.5</v>
      </c>
      <c r="V117" s="8">
        <f t="shared" si="2"/>
        <v>6</v>
      </c>
      <c r="W117" t="str">
        <f>_xlfn.XLOOKUP(A117, Matches!A:A, Matches!L:L, "NA", 0)</f>
        <v>GGTW</v>
      </c>
      <c r="X117" t="str">
        <f>_xlfn.XLOOKUP(A117, Matches!A:A, Matches!J:J, "NA", 0)</f>
        <v>GGTW</v>
      </c>
      <c r="Y117" t="str">
        <f>_xlfn.XLOOKUP(A117, Matches!A:A, Matches!F:F, "NA", 0)</f>
        <v>Brabourne Stadium</v>
      </c>
      <c r="Z117" cm="1">
        <f t="array" ref="Z117">INDEX(Innings!F:F,MATCH(1,(TRIM(Innings!A:A)=TRIM(A117))*(TRIM(Innings!D:D)=TRIM(E117)),0))</f>
        <v>201</v>
      </c>
      <c r="AA117" cm="1">
        <f t="array" ref="AA117">INDEX(Innings!I:I,MATCH(1,(TRIM(Innings!A:A)=TRIM(A117))*(TRIM(Innings!D:D)=TRIM(E117)),0))</f>
        <v>10.050000000000001</v>
      </c>
      <c r="AB117" cm="1">
        <f t="array" ref="AB117">INDEX(Innings!J:J,MATCH(1,(TRIM(Innings!A:A)=TRIM(A117))*(TRIM(Innings!D:D)=TRIM(E117)),0))</f>
        <v>64</v>
      </c>
      <c r="AC117" cm="1">
        <f t="array" ref="AC117">INDEX(Innings!N:N,MATCH(1,(TRIM(Innings!A:A)=TRIM(A117))*(TRIM(Innings!D:D)=TRIM(E117)),0))</f>
        <v>40</v>
      </c>
      <c r="AD117" cm="1">
        <f t="array" ref="AD117">INDEX(Innings!S:S,MATCH(1,(TRIM(Innings!A:A)=TRIM(A117))*(TRIM(Innings!D:D)=TRIM(E117)),0))</f>
        <v>38</v>
      </c>
      <c r="AE117" t="str" cm="1">
        <f t="array" ref="AE117">INDEX(Innings!W:W,MATCH(1,(TRIM(Innings!A:A)=TRIM(A117))*(TRIM(Innings!D:D)=TRIM(E117)),0))</f>
        <v>NA</v>
      </c>
      <c r="AF117">
        <f>IF(UPPER(TRIM(E117))=UPPER(TRIM(W117)),1,0)</f>
        <v>1</v>
      </c>
      <c r="AG117">
        <f t="shared" si="3"/>
        <v>54.05</v>
      </c>
    </row>
    <row r="118" spans="1:33" x14ac:dyDescent="0.3">
      <c r="A118" t="s">
        <v>139</v>
      </c>
      <c r="B118">
        <v>1</v>
      </c>
      <c r="C118" t="s">
        <v>102</v>
      </c>
      <c r="D118" t="s">
        <v>126</v>
      </c>
      <c r="E118" t="s">
        <v>258</v>
      </c>
      <c r="F118" t="s">
        <v>101</v>
      </c>
      <c r="G118" t="s">
        <v>134</v>
      </c>
      <c r="H118">
        <v>2</v>
      </c>
      <c r="I118">
        <v>3</v>
      </c>
      <c r="J118">
        <v>66.67</v>
      </c>
      <c r="K118" t="s">
        <v>256</v>
      </c>
      <c r="L118">
        <v>1.33</v>
      </c>
      <c r="M118">
        <v>4</v>
      </c>
      <c r="N118">
        <v>0</v>
      </c>
      <c r="O118">
        <v>34</v>
      </c>
      <c r="P118">
        <v>0</v>
      </c>
      <c r="Q118">
        <v>8.5</v>
      </c>
      <c r="R118">
        <v>0</v>
      </c>
      <c r="S118">
        <v>0</v>
      </c>
      <c r="T118">
        <v>1</v>
      </c>
      <c r="U118" s="8">
        <v>1.33</v>
      </c>
      <c r="V118" s="8">
        <f t="shared" si="2"/>
        <v>0</v>
      </c>
      <c r="W118" t="str">
        <f>_xlfn.XLOOKUP(A118, Matches!A:A, Matches!L:L, "NA", 0)</f>
        <v>GGTW</v>
      </c>
      <c r="X118" t="str">
        <f>_xlfn.XLOOKUP(A118, Matches!A:A, Matches!J:J, "NA", 0)</f>
        <v>GGTW</v>
      </c>
      <c r="Y118" t="str">
        <f>_xlfn.XLOOKUP(A118, Matches!A:A, Matches!F:F, "NA", 0)</f>
        <v>Brabourne Stadium</v>
      </c>
      <c r="Z118" cm="1">
        <f t="array" ref="Z118">INDEX(Innings!F:F,MATCH(1,(TRIM(Innings!A:A)=TRIM(A118))*(TRIM(Innings!D:D)=TRIM(E118)),0))</f>
        <v>201</v>
      </c>
      <c r="AA118" cm="1">
        <f t="array" ref="AA118">INDEX(Innings!I:I,MATCH(1,(TRIM(Innings!A:A)=TRIM(A118))*(TRIM(Innings!D:D)=TRIM(E118)),0))</f>
        <v>10.050000000000001</v>
      </c>
      <c r="AB118" cm="1">
        <f t="array" ref="AB118">INDEX(Innings!J:J,MATCH(1,(TRIM(Innings!A:A)=TRIM(A118))*(TRIM(Innings!D:D)=TRIM(E118)),0))</f>
        <v>64</v>
      </c>
      <c r="AC118" cm="1">
        <f t="array" ref="AC118">INDEX(Innings!N:N,MATCH(1,(TRIM(Innings!A:A)=TRIM(A118))*(TRIM(Innings!D:D)=TRIM(E118)),0))</f>
        <v>40</v>
      </c>
      <c r="AD118" cm="1">
        <f t="array" ref="AD118">INDEX(Innings!S:S,MATCH(1,(TRIM(Innings!A:A)=TRIM(A118))*(TRIM(Innings!D:D)=TRIM(E118)),0))</f>
        <v>38</v>
      </c>
      <c r="AE118" t="str" cm="1">
        <f t="array" ref="AE118">INDEX(Innings!W:W,MATCH(1,(TRIM(Innings!A:A)=TRIM(A118))*(TRIM(Innings!D:D)=TRIM(E118)),0))</f>
        <v>NA</v>
      </c>
      <c r="AF118">
        <f>IF(UPPER(TRIM(E118))=UPPER(TRIM(W118)),1,0)</f>
        <v>1</v>
      </c>
      <c r="AG118">
        <f t="shared" si="3"/>
        <v>20.664999999999999</v>
      </c>
    </row>
    <row r="119" spans="1:33" x14ac:dyDescent="0.3">
      <c r="A119" t="s">
        <v>139</v>
      </c>
      <c r="B119">
        <v>1</v>
      </c>
      <c r="C119" t="s">
        <v>242</v>
      </c>
      <c r="D119" t="s">
        <v>244</v>
      </c>
      <c r="E119" t="s">
        <v>258</v>
      </c>
      <c r="F119" t="s">
        <v>101</v>
      </c>
      <c r="G119" t="s">
        <v>135</v>
      </c>
      <c r="H119">
        <v>3</v>
      </c>
      <c r="I119">
        <v>2</v>
      </c>
      <c r="J119">
        <v>150</v>
      </c>
      <c r="K119" t="s">
        <v>96</v>
      </c>
      <c r="L119">
        <v>4.5</v>
      </c>
      <c r="M119">
        <v>3</v>
      </c>
      <c r="N119">
        <v>0</v>
      </c>
      <c r="O119">
        <v>27</v>
      </c>
      <c r="P119">
        <v>0</v>
      </c>
      <c r="Q119">
        <v>9</v>
      </c>
      <c r="R119">
        <v>0</v>
      </c>
      <c r="S119">
        <v>0</v>
      </c>
      <c r="T119">
        <v>0</v>
      </c>
      <c r="U119" s="8">
        <v>4.5</v>
      </c>
      <c r="V119" s="8">
        <f t="shared" si="2"/>
        <v>0</v>
      </c>
      <c r="W119" t="str">
        <f>_xlfn.XLOOKUP(A119, Matches!A:A, Matches!L:L, "NA", 0)</f>
        <v>GGTW</v>
      </c>
      <c r="X119" t="str">
        <f>_xlfn.XLOOKUP(A119, Matches!A:A, Matches!J:J, "NA", 0)</f>
        <v>GGTW</v>
      </c>
      <c r="Y119" t="str">
        <f>_xlfn.XLOOKUP(A119, Matches!A:A, Matches!F:F, "NA", 0)</f>
        <v>Brabourne Stadium</v>
      </c>
      <c r="Z119" cm="1">
        <f t="array" ref="Z119">INDEX(Innings!F:F,MATCH(1,(TRIM(Innings!A:A)=TRIM(A119))*(TRIM(Innings!D:D)=TRIM(E119)),0))</f>
        <v>201</v>
      </c>
      <c r="AA119" cm="1">
        <f t="array" ref="AA119">INDEX(Innings!I:I,MATCH(1,(TRIM(Innings!A:A)=TRIM(A119))*(TRIM(Innings!D:D)=TRIM(E119)),0))</f>
        <v>10.050000000000001</v>
      </c>
      <c r="AB119" cm="1">
        <f t="array" ref="AB119">INDEX(Innings!J:J,MATCH(1,(TRIM(Innings!A:A)=TRIM(A119))*(TRIM(Innings!D:D)=TRIM(E119)),0))</f>
        <v>64</v>
      </c>
      <c r="AC119" cm="1">
        <f t="array" ref="AC119">INDEX(Innings!N:N,MATCH(1,(TRIM(Innings!A:A)=TRIM(A119))*(TRIM(Innings!D:D)=TRIM(E119)),0))</f>
        <v>40</v>
      </c>
      <c r="AD119" cm="1">
        <f t="array" ref="AD119">INDEX(Innings!S:S,MATCH(1,(TRIM(Innings!A:A)=TRIM(A119))*(TRIM(Innings!D:D)=TRIM(E119)),0))</f>
        <v>38</v>
      </c>
      <c r="AE119" t="str" cm="1">
        <f t="array" ref="AE119">INDEX(Innings!W:W,MATCH(1,(TRIM(Innings!A:A)=TRIM(A119))*(TRIM(Innings!D:D)=TRIM(E119)),0))</f>
        <v>NA</v>
      </c>
      <c r="AF119">
        <f>IF(UPPER(TRIM(E119))=UPPER(TRIM(W119)),1,0)</f>
        <v>1</v>
      </c>
      <c r="AG119">
        <f t="shared" si="3"/>
        <v>22.25</v>
      </c>
    </row>
    <row r="120" spans="1:33" x14ac:dyDescent="0.3">
      <c r="A120" t="s">
        <v>139</v>
      </c>
      <c r="B120">
        <v>1</v>
      </c>
      <c r="C120" t="s">
        <v>240</v>
      </c>
      <c r="D120" t="s">
        <v>243</v>
      </c>
      <c r="E120" t="s">
        <v>258</v>
      </c>
      <c r="F120" t="s">
        <v>85</v>
      </c>
      <c r="G120" t="s">
        <v>135</v>
      </c>
      <c r="H120">
        <v>5</v>
      </c>
      <c r="I120">
        <v>2</v>
      </c>
      <c r="J120">
        <v>250</v>
      </c>
      <c r="K120" t="s">
        <v>96</v>
      </c>
      <c r="L120">
        <v>12.5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 s="8">
        <v>12.5</v>
      </c>
      <c r="V120" s="8">
        <f t="shared" si="2"/>
        <v>1</v>
      </c>
      <c r="W120" t="str">
        <f>_xlfn.XLOOKUP(A120, Matches!A:A, Matches!L:L, "NA", 0)</f>
        <v>GGTW</v>
      </c>
      <c r="X120" t="str">
        <f>_xlfn.XLOOKUP(A120, Matches!A:A, Matches!J:J, "NA", 0)</f>
        <v>GGTW</v>
      </c>
      <c r="Y120" t="str">
        <f>_xlfn.XLOOKUP(A120, Matches!A:A, Matches!F:F, "NA", 0)</f>
        <v>Brabourne Stadium</v>
      </c>
      <c r="Z120" cm="1">
        <f t="array" ref="Z120">INDEX(Innings!F:F,MATCH(1,(TRIM(Innings!A:A)=TRIM(A120))*(TRIM(Innings!D:D)=TRIM(E120)),0))</f>
        <v>201</v>
      </c>
      <c r="AA120" cm="1">
        <f t="array" ref="AA120">INDEX(Innings!I:I,MATCH(1,(TRIM(Innings!A:A)=TRIM(A120))*(TRIM(Innings!D:D)=TRIM(E120)),0))</f>
        <v>10.050000000000001</v>
      </c>
      <c r="AB120" cm="1">
        <f t="array" ref="AB120">INDEX(Innings!J:J,MATCH(1,(TRIM(Innings!A:A)=TRIM(A120))*(TRIM(Innings!D:D)=TRIM(E120)),0))</f>
        <v>64</v>
      </c>
      <c r="AC120" cm="1">
        <f t="array" ref="AC120">INDEX(Innings!N:N,MATCH(1,(TRIM(Innings!A:A)=TRIM(A120))*(TRIM(Innings!D:D)=TRIM(E120)),0))</f>
        <v>40</v>
      </c>
      <c r="AD120" cm="1">
        <f t="array" ref="AD120">INDEX(Innings!S:S,MATCH(1,(TRIM(Innings!A:A)=TRIM(A120))*(TRIM(Innings!D:D)=TRIM(E120)),0))</f>
        <v>38</v>
      </c>
      <c r="AE120" t="str" cm="1">
        <f t="array" ref="AE120">INDEX(Innings!W:W,MATCH(1,(TRIM(Innings!A:A)=TRIM(A120))*(TRIM(Innings!D:D)=TRIM(E120)),0))</f>
        <v>NA</v>
      </c>
      <c r="AF120">
        <f>IF(UPPER(TRIM(E120))=UPPER(TRIM(W120)),1,0)</f>
        <v>1</v>
      </c>
      <c r="AG120">
        <f t="shared" si="3"/>
        <v>26.55</v>
      </c>
    </row>
    <row r="121" spans="1:33" x14ac:dyDescent="0.3">
      <c r="A121" t="s">
        <v>139</v>
      </c>
      <c r="B121">
        <v>1</v>
      </c>
      <c r="C121" t="s">
        <v>110</v>
      </c>
      <c r="D121" t="s">
        <v>132</v>
      </c>
      <c r="E121" t="s">
        <v>258</v>
      </c>
      <c r="F121" t="s">
        <v>101</v>
      </c>
      <c r="G121" t="s">
        <v>135</v>
      </c>
      <c r="H121">
        <v>0</v>
      </c>
      <c r="I121">
        <v>0</v>
      </c>
      <c r="J121">
        <v>0</v>
      </c>
      <c r="K121" t="s">
        <v>104</v>
      </c>
      <c r="L121">
        <v>0</v>
      </c>
      <c r="M121">
        <v>1</v>
      </c>
      <c r="N121">
        <v>0</v>
      </c>
      <c r="O121">
        <v>9</v>
      </c>
      <c r="P121">
        <v>1</v>
      </c>
      <c r="Q121">
        <v>9</v>
      </c>
      <c r="R121">
        <v>20</v>
      </c>
      <c r="S121">
        <v>0</v>
      </c>
      <c r="T121">
        <v>0</v>
      </c>
      <c r="U121" s="8">
        <v>20</v>
      </c>
      <c r="V121" s="8">
        <f t="shared" si="2"/>
        <v>2</v>
      </c>
      <c r="W121" t="str">
        <f>_xlfn.XLOOKUP(A121, Matches!A:A, Matches!L:L, "NA", 0)</f>
        <v>GGTW</v>
      </c>
      <c r="X121" t="str">
        <f>_xlfn.XLOOKUP(A121, Matches!A:A, Matches!J:J, "NA", 0)</f>
        <v>GGTW</v>
      </c>
      <c r="Y121" t="str">
        <f>_xlfn.XLOOKUP(A121, Matches!A:A, Matches!F:F, "NA", 0)</f>
        <v>Brabourne Stadium</v>
      </c>
      <c r="Z121" cm="1">
        <f t="array" ref="Z121">INDEX(Innings!F:F,MATCH(1,(TRIM(Innings!A:A)=TRIM(A121))*(TRIM(Innings!D:D)=TRIM(E121)),0))</f>
        <v>201</v>
      </c>
      <c r="AA121" cm="1">
        <f t="array" ref="AA121">INDEX(Innings!I:I,MATCH(1,(TRIM(Innings!A:A)=TRIM(A121))*(TRIM(Innings!D:D)=TRIM(E121)),0))</f>
        <v>10.050000000000001</v>
      </c>
      <c r="AB121" cm="1">
        <f t="array" ref="AB121">INDEX(Innings!J:J,MATCH(1,(TRIM(Innings!A:A)=TRIM(A121))*(TRIM(Innings!D:D)=TRIM(E121)),0))</f>
        <v>64</v>
      </c>
      <c r="AC121" cm="1">
        <f t="array" ref="AC121">INDEX(Innings!N:N,MATCH(1,(TRIM(Innings!A:A)=TRIM(A121))*(TRIM(Innings!D:D)=TRIM(E121)),0))</f>
        <v>40</v>
      </c>
      <c r="AD121" cm="1">
        <f t="array" ref="AD121">INDEX(Innings!S:S,MATCH(1,(TRIM(Innings!A:A)=TRIM(A121))*(TRIM(Innings!D:D)=TRIM(E121)),0))</f>
        <v>38</v>
      </c>
      <c r="AE121" t="str" cm="1">
        <f t="array" ref="AE121">INDEX(Innings!W:W,MATCH(1,(TRIM(Innings!A:A)=TRIM(A121))*(TRIM(Innings!D:D)=TRIM(E121)),0))</f>
        <v>NA</v>
      </c>
      <c r="AF121">
        <f>IF(UPPER(TRIM(E121))=UPPER(TRIM(W121)),1,0)</f>
        <v>1</v>
      </c>
      <c r="AG121">
        <f t="shared" si="3"/>
        <v>30.6</v>
      </c>
    </row>
    <row r="122" spans="1:33" x14ac:dyDescent="0.3">
      <c r="A122" t="s">
        <v>139</v>
      </c>
      <c r="B122">
        <v>1</v>
      </c>
      <c r="C122" t="s">
        <v>105</v>
      </c>
      <c r="D122" t="s">
        <v>128</v>
      </c>
      <c r="E122" t="s">
        <v>258</v>
      </c>
      <c r="F122" t="s">
        <v>101</v>
      </c>
      <c r="G122" t="s">
        <v>135</v>
      </c>
      <c r="H122">
        <v>0</v>
      </c>
      <c r="I122">
        <v>0</v>
      </c>
      <c r="J122">
        <v>0</v>
      </c>
      <c r="K122" t="s">
        <v>104</v>
      </c>
      <c r="L122">
        <v>0</v>
      </c>
      <c r="M122">
        <v>4</v>
      </c>
      <c r="N122">
        <v>0</v>
      </c>
      <c r="O122">
        <v>28</v>
      </c>
      <c r="P122">
        <v>0</v>
      </c>
      <c r="Q122">
        <v>7</v>
      </c>
      <c r="R122">
        <v>0</v>
      </c>
      <c r="S122">
        <v>0</v>
      </c>
      <c r="T122">
        <v>0</v>
      </c>
      <c r="U122" s="8">
        <v>0</v>
      </c>
      <c r="V122" s="8">
        <f t="shared" si="2"/>
        <v>0</v>
      </c>
      <c r="W122" t="str">
        <f>_xlfn.XLOOKUP(A122, Matches!A:A, Matches!L:L, "NA", 0)</f>
        <v>GGTW</v>
      </c>
      <c r="X122" t="str">
        <f>_xlfn.XLOOKUP(A122, Matches!A:A, Matches!J:J, "NA", 0)</f>
        <v>GGTW</v>
      </c>
      <c r="Y122" t="str">
        <f>_xlfn.XLOOKUP(A122, Matches!A:A, Matches!F:F, "NA", 0)</f>
        <v>Brabourne Stadium</v>
      </c>
      <c r="Z122" cm="1">
        <f t="array" ref="Z122">INDEX(Innings!F:F,MATCH(1,(TRIM(Innings!A:A)=TRIM(A122))*(TRIM(Innings!D:D)=TRIM(E122)),0))</f>
        <v>201</v>
      </c>
      <c r="AA122" cm="1">
        <f t="array" ref="AA122">INDEX(Innings!I:I,MATCH(1,(TRIM(Innings!A:A)=TRIM(A122))*(TRIM(Innings!D:D)=TRIM(E122)),0))</f>
        <v>10.050000000000001</v>
      </c>
      <c r="AB122" cm="1">
        <f t="array" ref="AB122">INDEX(Innings!J:J,MATCH(1,(TRIM(Innings!A:A)=TRIM(A122))*(TRIM(Innings!D:D)=TRIM(E122)),0))</f>
        <v>64</v>
      </c>
      <c r="AC122" cm="1">
        <f t="array" ref="AC122">INDEX(Innings!N:N,MATCH(1,(TRIM(Innings!A:A)=TRIM(A122))*(TRIM(Innings!D:D)=TRIM(E122)),0))</f>
        <v>40</v>
      </c>
      <c r="AD122" cm="1">
        <f t="array" ref="AD122">INDEX(Innings!S:S,MATCH(1,(TRIM(Innings!A:A)=TRIM(A122))*(TRIM(Innings!D:D)=TRIM(E122)),0))</f>
        <v>38</v>
      </c>
      <c r="AE122" t="str" cm="1">
        <f t="array" ref="AE122">INDEX(Innings!W:W,MATCH(1,(TRIM(Innings!A:A)=TRIM(A122))*(TRIM(Innings!D:D)=TRIM(E122)),0))</f>
        <v>NA</v>
      </c>
      <c r="AF122">
        <f>IF(UPPER(TRIM(E122))=UPPER(TRIM(W122)),1,0)</f>
        <v>1</v>
      </c>
      <c r="AG122">
        <f t="shared" si="3"/>
        <v>20</v>
      </c>
    </row>
    <row r="123" spans="1:33" x14ac:dyDescent="0.3">
      <c r="A123" t="s">
        <v>139</v>
      </c>
      <c r="B123">
        <v>1</v>
      </c>
      <c r="C123" t="s">
        <v>165</v>
      </c>
      <c r="D123" t="s">
        <v>166</v>
      </c>
      <c r="E123" t="s">
        <v>159</v>
      </c>
      <c r="F123" t="s">
        <v>109</v>
      </c>
      <c r="G123" t="s">
        <v>86</v>
      </c>
      <c r="H123">
        <v>18</v>
      </c>
      <c r="I123">
        <v>14</v>
      </c>
      <c r="J123">
        <v>128.57</v>
      </c>
      <c r="K123" t="s">
        <v>246</v>
      </c>
      <c r="L123">
        <v>23.14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 s="8">
        <v>23.14</v>
      </c>
      <c r="V123" s="8">
        <f t="shared" si="2"/>
        <v>2</v>
      </c>
      <c r="W123" t="str">
        <f>_xlfn.XLOOKUP(A123, Matches!A:A, Matches!L:L, "NA", 0)</f>
        <v>GGTW</v>
      </c>
      <c r="X123" t="str">
        <f>_xlfn.XLOOKUP(A123, Matches!A:A, Matches!J:J, "NA", 0)</f>
        <v>GGTW</v>
      </c>
      <c r="Y123" t="str">
        <f>_xlfn.XLOOKUP(A123, Matches!A:A, Matches!F:F, "NA", 0)</f>
        <v>Brabourne Stadium</v>
      </c>
      <c r="Z123" cm="1">
        <f t="array" ref="Z123">INDEX(Innings!F:F,MATCH(1,(TRIM(Innings!A:A)=TRIM(A123))*(TRIM(Innings!D:D)=TRIM(E123)),0))</f>
        <v>190</v>
      </c>
      <c r="AA123" cm="1">
        <f t="array" ref="AA123">INDEX(Innings!I:I,MATCH(1,(TRIM(Innings!A:A)=TRIM(A123))*(TRIM(Innings!D:D)=TRIM(E123)),0))</f>
        <v>9.5</v>
      </c>
      <c r="AB123" cm="1">
        <f t="array" ref="AB123">INDEX(Innings!J:J,MATCH(1,(TRIM(Innings!A:A)=TRIM(A123))*(TRIM(Innings!D:D)=TRIM(E123)),0))</f>
        <v>59</v>
      </c>
      <c r="AC123" cm="1">
        <f t="array" ref="AC123">INDEX(Innings!N:N,MATCH(1,(TRIM(Innings!A:A)=TRIM(A123))*(TRIM(Innings!D:D)=TRIM(E123)),0))</f>
        <v>55</v>
      </c>
      <c r="AD123" cm="1">
        <f t="array" ref="AD123">INDEX(Innings!S:S,MATCH(1,(TRIM(Innings!A:A)=TRIM(A123))*(TRIM(Innings!D:D)=TRIM(E123)),0))</f>
        <v>40</v>
      </c>
      <c r="AE123" t="str" cm="1">
        <f t="array" ref="AE123">INDEX(Innings!W:W,MATCH(1,(TRIM(Innings!A:A)=TRIM(A123))*(TRIM(Innings!D:D)=TRIM(E123)),0))</f>
        <v>Failed</v>
      </c>
      <c r="AF123">
        <f>IF(UPPER(TRIM(E123))=UPPER(TRIM(W123)),1,0)</f>
        <v>0</v>
      </c>
      <c r="AG123">
        <f t="shared" si="3"/>
        <v>12.17</v>
      </c>
    </row>
    <row r="124" spans="1:33" x14ac:dyDescent="0.3">
      <c r="A124" t="s">
        <v>139</v>
      </c>
      <c r="B124">
        <v>1</v>
      </c>
      <c r="C124" t="s">
        <v>167</v>
      </c>
      <c r="D124" t="s">
        <v>168</v>
      </c>
      <c r="E124" t="s">
        <v>159</v>
      </c>
      <c r="F124" t="s">
        <v>83</v>
      </c>
      <c r="G124" t="s">
        <v>86</v>
      </c>
      <c r="H124">
        <v>66</v>
      </c>
      <c r="I124">
        <v>45</v>
      </c>
      <c r="J124">
        <v>146.66999999999999</v>
      </c>
      <c r="K124" t="s">
        <v>246</v>
      </c>
      <c r="L124">
        <v>96.8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 s="8">
        <v>96.8</v>
      </c>
      <c r="V124" s="8">
        <f t="shared" si="2"/>
        <v>10</v>
      </c>
      <c r="W124" t="str">
        <f>_xlfn.XLOOKUP(A124, Matches!A:A, Matches!L:L, "NA", 0)</f>
        <v>GGTW</v>
      </c>
      <c r="X124" t="str">
        <f>_xlfn.XLOOKUP(A124, Matches!A:A, Matches!J:J, "NA", 0)</f>
        <v>GGTW</v>
      </c>
      <c r="Y124" t="str">
        <f>_xlfn.XLOOKUP(A124, Matches!A:A, Matches!F:F, "NA", 0)</f>
        <v>Brabourne Stadium</v>
      </c>
      <c r="Z124" cm="1">
        <f t="array" ref="Z124">INDEX(Innings!F:F,MATCH(1,(TRIM(Innings!A:A)=TRIM(A124))*(TRIM(Innings!D:D)=TRIM(E124)),0))</f>
        <v>190</v>
      </c>
      <c r="AA124" cm="1">
        <f t="array" ref="AA124">INDEX(Innings!I:I,MATCH(1,(TRIM(Innings!A:A)=TRIM(A124))*(TRIM(Innings!D:D)=TRIM(E124)),0))</f>
        <v>9.5</v>
      </c>
      <c r="AB124" cm="1">
        <f t="array" ref="AB124">INDEX(Innings!J:J,MATCH(1,(TRIM(Innings!A:A)=TRIM(A124))*(TRIM(Innings!D:D)=TRIM(E124)),0))</f>
        <v>59</v>
      </c>
      <c r="AC124" cm="1">
        <f t="array" ref="AC124">INDEX(Innings!N:N,MATCH(1,(TRIM(Innings!A:A)=TRIM(A124))*(TRIM(Innings!D:D)=TRIM(E124)),0))</f>
        <v>55</v>
      </c>
      <c r="AD124" cm="1">
        <f t="array" ref="AD124">INDEX(Innings!S:S,MATCH(1,(TRIM(Innings!A:A)=TRIM(A124))*(TRIM(Innings!D:D)=TRIM(E124)),0))</f>
        <v>40</v>
      </c>
      <c r="AE124" t="str" cm="1">
        <f t="array" ref="AE124">INDEX(Innings!W:W,MATCH(1,(TRIM(Innings!A:A)=TRIM(A124))*(TRIM(Innings!D:D)=TRIM(E124)),0))</f>
        <v>Failed</v>
      </c>
      <c r="AF124">
        <f>IF(UPPER(TRIM(E124))=UPPER(TRIM(W124)),1,0)</f>
        <v>0</v>
      </c>
      <c r="AG124">
        <f t="shared" si="3"/>
        <v>51.4</v>
      </c>
    </row>
    <row r="125" spans="1:33" x14ac:dyDescent="0.3">
      <c r="A125" t="s">
        <v>139</v>
      </c>
      <c r="B125">
        <v>1</v>
      </c>
      <c r="C125" t="s">
        <v>174</v>
      </c>
      <c r="D125" t="s">
        <v>175</v>
      </c>
      <c r="E125" t="s">
        <v>159</v>
      </c>
      <c r="F125" t="s">
        <v>83</v>
      </c>
      <c r="G125" t="s">
        <v>92</v>
      </c>
      <c r="H125">
        <v>32</v>
      </c>
      <c r="I125">
        <v>25</v>
      </c>
      <c r="J125">
        <v>128</v>
      </c>
      <c r="K125" t="s">
        <v>246</v>
      </c>
      <c r="L125">
        <v>40.96</v>
      </c>
      <c r="M125">
        <v>4</v>
      </c>
      <c r="N125">
        <v>0</v>
      </c>
      <c r="O125">
        <v>43</v>
      </c>
      <c r="P125">
        <v>0</v>
      </c>
      <c r="Q125">
        <v>10.8</v>
      </c>
      <c r="R125">
        <v>0</v>
      </c>
      <c r="S125">
        <v>0</v>
      </c>
      <c r="T125">
        <v>0</v>
      </c>
      <c r="U125" s="8">
        <v>40.96</v>
      </c>
      <c r="V125" s="8">
        <f t="shared" si="2"/>
        <v>4</v>
      </c>
      <c r="W125" t="str">
        <f>_xlfn.XLOOKUP(A125, Matches!A:A, Matches!L:L, "NA", 0)</f>
        <v>GGTW</v>
      </c>
      <c r="X125" t="str">
        <f>_xlfn.XLOOKUP(A125, Matches!A:A, Matches!J:J, "NA", 0)</f>
        <v>GGTW</v>
      </c>
      <c r="Y125" t="str">
        <f>_xlfn.XLOOKUP(A125, Matches!A:A, Matches!F:F, "NA", 0)</f>
        <v>Brabourne Stadium</v>
      </c>
      <c r="Z125" cm="1">
        <f t="array" ref="Z125">INDEX(Innings!F:F,MATCH(1,(TRIM(Innings!A:A)=TRIM(A125))*(TRIM(Innings!D:D)=TRIM(E125)),0))</f>
        <v>190</v>
      </c>
      <c r="AA125" cm="1">
        <f t="array" ref="AA125">INDEX(Innings!I:I,MATCH(1,(TRIM(Innings!A:A)=TRIM(A125))*(TRIM(Innings!D:D)=TRIM(E125)),0))</f>
        <v>9.5</v>
      </c>
      <c r="AB125" cm="1">
        <f t="array" ref="AB125">INDEX(Innings!J:J,MATCH(1,(TRIM(Innings!A:A)=TRIM(A125))*(TRIM(Innings!D:D)=TRIM(E125)),0))</f>
        <v>59</v>
      </c>
      <c r="AC125" cm="1">
        <f t="array" ref="AC125">INDEX(Innings!N:N,MATCH(1,(TRIM(Innings!A:A)=TRIM(A125))*(TRIM(Innings!D:D)=TRIM(E125)),0))</f>
        <v>55</v>
      </c>
      <c r="AD125" cm="1">
        <f t="array" ref="AD125">INDEX(Innings!S:S,MATCH(1,(TRIM(Innings!A:A)=TRIM(A125))*(TRIM(Innings!D:D)=TRIM(E125)),0))</f>
        <v>40</v>
      </c>
      <c r="AE125" t="str" cm="1">
        <f t="array" ref="AE125">INDEX(Innings!W:W,MATCH(1,(TRIM(Innings!A:A)=TRIM(A125))*(TRIM(Innings!D:D)=TRIM(E125)),0))</f>
        <v>Failed</v>
      </c>
      <c r="AF125">
        <f>IF(UPPER(TRIM(E125))=UPPER(TRIM(W125)),1,0)</f>
        <v>0</v>
      </c>
      <c r="AG125">
        <f t="shared" si="3"/>
        <v>21.68</v>
      </c>
    </row>
    <row r="126" spans="1:33" x14ac:dyDescent="0.3">
      <c r="A126" t="s">
        <v>139</v>
      </c>
      <c r="B126">
        <v>1</v>
      </c>
      <c r="C126" t="s">
        <v>176</v>
      </c>
      <c r="D126" t="s">
        <v>177</v>
      </c>
      <c r="E126" t="s">
        <v>159</v>
      </c>
      <c r="F126" t="s">
        <v>85</v>
      </c>
      <c r="G126" t="s">
        <v>92</v>
      </c>
      <c r="H126">
        <v>10</v>
      </c>
      <c r="I126">
        <v>10</v>
      </c>
      <c r="J126">
        <v>100</v>
      </c>
      <c r="K126" t="s">
        <v>245</v>
      </c>
      <c r="L126">
        <v>10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 s="8">
        <v>10</v>
      </c>
      <c r="V126" s="8">
        <f t="shared" si="2"/>
        <v>1</v>
      </c>
      <c r="W126" t="str">
        <f>_xlfn.XLOOKUP(A126, Matches!A:A, Matches!L:L, "NA", 0)</f>
        <v>GGTW</v>
      </c>
      <c r="X126" t="str">
        <f>_xlfn.XLOOKUP(A126, Matches!A:A, Matches!J:J, "NA", 0)</f>
        <v>GGTW</v>
      </c>
      <c r="Y126" t="str">
        <f>_xlfn.XLOOKUP(A126, Matches!A:A, Matches!F:F, "NA", 0)</f>
        <v>Brabourne Stadium</v>
      </c>
      <c r="Z126" cm="1">
        <f t="array" ref="Z126">INDEX(Innings!F:F,MATCH(1,(TRIM(Innings!A:A)=TRIM(A126))*(TRIM(Innings!D:D)=TRIM(E126)),0))</f>
        <v>190</v>
      </c>
      <c r="AA126" cm="1">
        <f t="array" ref="AA126">INDEX(Innings!I:I,MATCH(1,(TRIM(Innings!A:A)=TRIM(A126))*(TRIM(Innings!D:D)=TRIM(E126)),0))</f>
        <v>9.5</v>
      </c>
      <c r="AB126" cm="1">
        <f t="array" ref="AB126">INDEX(Innings!J:J,MATCH(1,(TRIM(Innings!A:A)=TRIM(A126))*(TRIM(Innings!D:D)=TRIM(E126)),0))</f>
        <v>59</v>
      </c>
      <c r="AC126" cm="1">
        <f t="array" ref="AC126">INDEX(Innings!N:N,MATCH(1,(TRIM(Innings!A:A)=TRIM(A126))*(TRIM(Innings!D:D)=TRIM(E126)),0))</f>
        <v>55</v>
      </c>
      <c r="AD126" cm="1">
        <f t="array" ref="AD126">INDEX(Innings!S:S,MATCH(1,(TRIM(Innings!A:A)=TRIM(A126))*(TRIM(Innings!D:D)=TRIM(E126)),0))</f>
        <v>40</v>
      </c>
      <c r="AE126" t="str" cm="1">
        <f t="array" ref="AE126">INDEX(Innings!W:W,MATCH(1,(TRIM(Innings!A:A)=TRIM(A126))*(TRIM(Innings!D:D)=TRIM(E126)),0))</f>
        <v>Failed</v>
      </c>
      <c r="AF126">
        <f>IF(UPPER(TRIM(E126))=UPPER(TRIM(W126)),1,0)</f>
        <v>0</v>
      </c>
      <c r="AG126">
        <f t="shared" si="3"/>
        <v>5.3</v>
      </c>
    </row>
    <row r="127" spans="1:33" x14ac:dyDescent="0.3">
      <c r="A127" t="s">
        <v>139</v>
      </c>
      <c r="B127">
        <v>1</v>
      </c>
      <c r="C127" t="s">
        <v>170</v>
      </c>
      <c r="D127" t="s">
        <v>171</v>
      </c>
      <c r="E127" t="s">
        <v>159</v>
      </c>
      <c r="F127" t="s">
        <v>83</v>
      </c>
      <c r="G127" t="s">
        <v>134</v>
      </c>
      <c r="H127">
        <v>30</v>
      </c>
      <c r="I127">
        <v>11</v>
      </c>
      <c r="J127">
        <v>272.73</v>
      </c>
      <c r="K127" t="s">
        <v>96</v>
      </c>
      <c r="L127">
        <v>81.819999999999993</v>
      </c>
      <c r="M127">
        <v>2</v>
      </c>
      <c r="N127">
        <v>0</v>
      </c>
      <c r="O127">
        <v>17</v>
      </c>
      <c r="P127">
        <v>2</v>
      </c>
      <c r="Q127">
        <v>8.5</v>
      </c>
      <c r="R127">
        <v>40</v>
      </c>
      <c r="S127">
        <v>0</v>
      </c>
      <c r="T127">
        <v>0</v>
      </c>
      <c r="U127" s="8">
        <v>121.82</v>
      </c>
      <c r="V127" s="8">
        <f t="shared" si="2"/>
        <v>10</v>
      </c>
      <c r="W127" t="str">
        <f>_xlfn.XLOOKUP(A127, Matches!A:A, Matches!L:L, "NA", 0)</f>
        <v>GGTW</v>
      </c>
      <c r="X127" t="str">
        <f>_xlfn.XLOOKUP(A127, Matches!A:A, Matches!J:J, "NA", 0)</f>
        <v>GGTW</v>
      </c>
      <c r="Y127" t="str">
        <f>_xlfn.XLOOKUP(A127, Matches!A:A, Matches!F:F, "NA", 0)</f>
        <v>Brabourne Stadium</v>
      </c>
      <c r="Z127" cm="1">
        <f t="array" ref="Z127">INDEX(Innings!F:F,MATCH(1,(TRIM(Innings!A:A)=TRIM(A127))*(TRIM(Innings!D:D)=TRIM(E127)),0))</f>
        <v>190</v>
      </c>
      <c r="AA127" cm="1">
        <f t="array" ref="AA127">INDEX(Innings!I:I,MATCH(1,(TRIM(Innings!A:A)=TRIM(A127))*(TRIM(Innings!D:D)=TRIM(E127)),0))</f>
        <v>9.5</v>
      </c>
      <c r="AB127" cm="1">
        <f t="array" ref="AB127">INDEX(Innings!J:J,MATCH(1,(TRIM(Innings!A:A)=TRIM(A127))*(TRIM(Innings!D:D)=TRIM(E127)),0))</f>
        <v>59</v>
      </c>
      <c r="AC127" cm="1">
        <f t="array" ref="AC127">INDEX(Innings!N:N,MATCH(1,(TRIM(Innings!A:A)=TRIM(A127))*(TRIM(Innings!D:D)=TRIM(E127)),0))</f>
        <v>55</v>
      </c>
      <c r="AD127" cm="1">
        <f t="array" ref="AD127">INDEX(Innings!S:S,MATCH(1,(TRIM(Innings!A:A)=TRIM(A127))*(TRIM(Innings!D:D)=TRIM(E127)),0))</f>
        <v>40</v>
      </c>
      <c r="AE127" t="str" cm="1">
        <f t="array" ref="AE127">INDEX(Innings!W:W,MATCH(1,(TRIM(Innings!A:A)=TRIM(A127))*(TRIM(Innings!D:D)=TRIM(E127)),0))</f>
        <v>Failed</v>
      </c>
      <c r="AF127">
        <f>IF(UPPER(TRIM(E127))=UPPER(TRIM(W127)),1,0)</f>
        <v>0</v>
      </c>
      <c r="AG127">
        <f t="shared" si="3"/>
        <v>63.91</v>
      </c>
    </row>
    <row r="128" spans="1:33" x14ac:dyDescent="0.3">
      <c r="A128" t="s">
        <v>139</v>
      </c>
      <c r="B128">
        <v>1</v>
      </c>
      <c r="C128" t="s">
        <v>178</v>
      </c>
      <c r="D128" t="s">
        <v>179</v>
      </c>
      <c r="E128" t="s">
        <v>159</v>
      </c>
      <c r="F128" t="s">
        <v>83</v>
      </c>
      <c r="G128" t="s">
        <v>134</v>
      </c>
      <c r="H128">
        <v>10</v>
      </c>
      <c r="I128">
        <v>7</v>
      </c>
      <c r="J128">
        <v>142.86000000000001</v>
      </c>
      <c r="K128" t="s">
        <v>248</v>
      </c>
      <c r="L128">
        <v>14.29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 s="8">
        <v>14.29</v>
      </c>
      <c r="V128" s="8">
        <f t="shared" si="2"/>
        <v>1</v>
      </c>
      <c r="W128" t="str">
        <f>_xlfn.XLOOKUP(A128, Matches!A:A, Matches!L:L, "NA", 0)</f>
        <v>GGTW</v>
      </c>
      <c r="X128" t="str">
        <f>_xlfn.XLOOKUP(A128, Matches!A:A, Matches!J:J, "NA", 0)</f>
        <v>GGTW</v>
      </c>
      <c r="Y128" t="str">
        <f>_xlfn.XLOOKUP(A128, Matches!A:A, Matches!F:F, "NA", 0)</f>
        <v>Brabourne Stadium</v>
      </c>
      <c r="Z128" cm="1">
        <f t="array" ref="Z128">INDEX(Innings!F:F,MATCH(1,(TRIM(Innings!A:A)=TRIM(A128))*(TRIM(Innings!D:D)=TRIM(E128)),0))</f>
        <v>190</v>
      </c>
      <c r="AA128" cm="1">
        <f t="array" ref="AA128">INDEX(Innings!I:I,MATCH(1,(TRIM(Innings!A:A)=TRIM(A128))*(TRIM(Innings!D:D)=TRIM(E128)),0))</f>
        <v>9.5</v>
      </c>
      <c r="AB128" cm="1">
        <f t="array" ref="AB128">INDEX(Innings!J:J,MATCH(1,(TRIM(Innings!A:A)=TRIM(A128))*(TRIM(Innings!D:D)=TRIM(E128)),0))</f>
        <v>59</v>
      </c>
      <c r="AC128" cm="1">
        <f t="array" ref="AC128">INDEX(Innings!N:N,MATCH(1,(TRIM(Innings!A:A)=TRIM(A128))*(TRIM(Innings!D:D)=TRIM(E128)),0))</f>
        <v>55</v>
      </c>
      <c r="AD128" cm="1">
        <f t="array" ref="AD128">INDEX(Innings!S:S,MATCH(1,(TRIM(Innings!A:A)=TRIM(A128))*(TRIM(Innings!D:D)=TRIM(E128)),0))</f>
        <v>40</v>
      </c>
      <c r="AE128" t="str" cm="1">
        <f t="array" ref="AE128">INDEX(Innings!W:W,MATCH(1,(TRIM(Innings!A:A)=TRIM(A128))*(TRIM(Innings!D:D)=TRIM(E128)),0))</f>
        <v>Failed</v>
      </c>
      <c r="AF128">
        <f>IF(UPPER(TRIM(E128))=UPPER(TRIM(W128)),1,0)</f>
        <v>0</v>
      </c>
      <c r="AG128">
        <f t="shared" si="3"/>
        <v>7.4449999999999994</v>
      </c>
    </row>
    <row r="129" spans="1:33" x14ac:dyDescent="0.3">
      <c r="A129" t="s">
        <v>139</v>
      </c>
      <c r="B129">
        <v>1</v>
      </c>
      <c r="C129" t="s">
        <v>273</v>
      </c>
      <c r="D129" t="s">
        <v>279</v>
      </c>
      <c r="E129" t="s">
        <v>159</v>
      </c>
      <c r="F129" t="s">
        <v>91</v>
      </c>
      <c r="G129" t="s">
        <v>134</v>
      </c>
      <c r="H129">
        <v>2</v>
      </c>
      <c r="I129">
        <v>4</v>
      </c>
      <c r="J129">
        <v>50</v>
      </c>
      <c r="K129" t="s">
        <v>246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 s="8">
        <v>1</v>
      </c>
      <c r="V129" s="8">
        <f t="shared" si="2"/>
        <v>0</v>
      </c>
      <c r="W129" t="str">
        <f>_xlfn.XLOOKUP(A129, Matches!A:A, Matches!L:L, "NA", 0)</f>
        <v>GGTW</v>
      </c>
      <c r="X129" t="str">
        <f>_xlfn.XLOOKUP(A129, Matches!A:A, Matches!J:J, "NA", 0)</f>
        <v>GGTW</v>
      </c>
      <c r="Y129" t="str">
        <f>_xlfn.XLOOKUP(A129, Matches!A:A, Matches!F:F, "NA", 0)</f>
        <v>Brabourne Stadium</v>
      </c>
      <c r="Z129" cm="1">
        <f t="array" ref="Z129">INDEX(Innings!F:F,MATCH(1,(TRIM(Innings!A:A)=TRIM(A129))*(TRIM(Innings!D:D)=TRIM(E129)),0))</f>
        <v>190</v>
      </c>
      <c r="AA129" cm="1">
        <f t="array" ref="AA129">INDEX(Innings!I:I,MATCH(1,(TRIM(Innings!A:A)=TRIM(A129))*(TRIM(Innings!D:D)=TRIM(E129)),0))</f>
        <v>9.5</v>
      </c>
      <c r="AB129" cm="1">
        <f t="array" ref="AB129">INDEX(Innings!J:J,MATCH(1,(TRIM(Innings!A:A)=TRIM(A129))*(TRIM(Innings!D:D)=TRIM(E129)),0))</f>
        <v>59</v>
      </c>
      <c r="AC129" cm="1">
        <f t="array" ref="AC129">INDEX(Innings!N:N,MATCH(1,(TRIM(Innings!A:A)=TRIM(A129))*(TRIM(Innings!D:D)=TRIM(E129)),0))</f>
        <v>55</v>
      </c>
      <c r="AD129" cm="1">
        <f t="array" ref="AD129">INDEX(Innings!S:S,MATCH(1,(TRIM(Innings!A:A)=TRIM(A129))*(TRIM(Innings!D:D)=TRIM(E129)),0))</f>
        <v>40</v>
      </c>
      <c r="AE129" t="str" cm="1">
        <f t="array" ref="AE129">INDEX(Innings!W:W,MATCH(1,(TRIM(Innings!A:A)=TRIM(A129))*(TRIM(Innings!D:D)=TRIM(E129)),0))</f>
        <v>Failed</v>
      </c>
      <c r="AF129">
        <f>IF(UPPER(TRIM(E129))=UPPER(TRIM(W129)),1,0)</f>
        <v>0</v>
      </c>
      <c r="AG129">
        <f t="shared" si="3"/>
        <v>0.5</v>
      </c>
    </row>
    <row r="130" spans="1:33" x14ac:dyDescent="0.3">
      <c r="A130" t="s">
        <v>139</v>
      </c>
      <c r="B130">
        <v>1</v>
      </c>
      <c r="C130" t="s">
        <v>259</v>
      </c>
      <c r="D130" t="s">
        <v>257</v>
      </c>
      <c r="E130" t="s">
        <v>159</v>
      </c>
      <c r="F130" t="s">
        <v>101</v>
      </c>
      <c r="G130" t="s">
        <v>134</v>
      </c>
      <c r="H130">
        <v>11</v>
      </c>
      <c r="I130">
        <v>4</v>
      </c>
      <c r="J130">
        <v>275</v>
      </c>
      <c r="K130" t="s">
        <v>96</v>
      </c>
      <c r="L130">
        <v>30.25</v>
      </c>
      <c r="M130">
        <v>4</v>
      </c>
      <c r="N130">
        <v>0</v>
      </c>
      <c r="O130">
        <v>32</v>
      </c>
      <c r="P130">
        <v>2</v>
      </c>
      <c r="Q130">
        <v>8</v>
      </c>
      <c r="R130">
        <v>40</v>
      </c>
      <c r="S130">
        <v>0</v>
      </c>
      <c r="T130">
        <v>0</v>
      </c>
      <c r="U130" s="8">
        <v>70.25</v>
      </c>
      <c r="V130" s="8">
        <f t="shared" si="2"/>
        <v>7</v>
      </c>
      <c r="W130" t="str">
        <f>_xlfn.XLOOKUP(A130, Matches!A:A, Matches!L:L, "NA", 0)</f>
        <v>GGTW</v>
      </c>
      <c r="X130" t="str">
        <f>_xlfn.XLOOKUP(A130, Matches!A:A, Matches!J:J, "NA", 0)</f>
        <v>GGTW</v>
      </c>
      <c r="Y130" t="str">
        <f>_xlfn.XLOOKUP(A130, Matches!A:A, Matches!F:F, "NA", 0)</f>
        <v>Brabourne Stadium</v>
      </c>
      <c r="Z130" cm="1">
        <f t="array" ref="Z130">INDEX(Innings!F:F,MATCH(1,(TRIM(Innings!A:A)=TRIM(A130))*(TRIM(Innings!D:D)=TRIM(E130)),0))</f>
        <v>190</v>
      </c>
      <c r="AA130" cm="1">
        <f t="array" ref="AA130">INDEX(Innings!I:I,MATCH(1,(TRIM(Innings!A:A)=TRIM(A130))*(TRIM(Innings!D:D)=TRIM(E130)),0))</f>
        <v>9.5</v>
      </c>
      <c r="AB130" cm="1">
        <f t="array" ref="AB130">INDEX(Innings!J:J,MATCH(1,(TRIM(Innings!A:A)=TRIM(A130))*(TRIM(Innings!D:D)=TRIM(E130)),0))</f>
        <v>59</v>
      </c>
      <c r="AC130" cm="1">
        <f t="array" ref="AC130">INDEX(Innings!N:N,MATCH(1,(TRIM(Innings!A:A)=TRIM(A130))*(TRIM(Innings!D:D)=TRIM(E130)),0))</f>
        <v>55</v>
      </c>
      <c r="AD130" cm="1">
        <f t="array" ref="AD130">INDEX(Innings!S:S,MATCH(1,(TRIM(Innings!A:A)=TRIM(A130))*(TRIM(Innings!D:D)=TRIM(E130)),0))</f>
        <v>40</v>
      </c>
      <c r="AE130" t="str" cm="1">
        <f t="array" ref="AE130">INDEX(Innings!W:W,MATCH(1,(TRIM(Innings!A:A)=TRIM(A130))*(TRIM(Innings!D:D)=TRIM(E130)),0))</f>
        <v>Failed</v>
      </c>
      <c r="AF130">
        <f>IF(UPPER(TRIM(E130))=UPPER(TRIM(W130)),1,0)</f>
        <v>0</v>
      </c>
      <c r="AG130">
        <f t="shared" si="3"/>
        <v>37.225000000000001</v>
      </c>
    </row>
    <row r="131" spans="1:33" x14ac:dyDescent="0.3">
      <c r="A131" t="s">
        <v>139</v>
      </c>
      <c r="B131">
        <v>1</v>
      </c>
      <c r="C131" t="s">
        <v>184</v>
      </c>
      <c r="D131" t="s">
        <v>185</v>
      </c>
      <c r="E131" t="s">
        <v>159</v>
      </c>
      <c r="F131" t="s">
        <v>101</v>
      </c>
      <c r="G131" t="s">
        <v>135</v>
      </c>
      <c r="H131">
        <v>0</v>
      </c>
      <c r="I131">
        <v>0</v>
      </c>
      <c r="J131">
        <v>0</v>
      </c>
      <c r="K131" t="s">
        <v>104</v>
      </c>
      <c r="L131">
        <v>0</v>
      </c>
      <c r="M131">
        <v>3</v>
      </c>
      <c r="N131">
        <v>1</v>
      </c>
      <c r="O131">
        <v>26</v>
      </c>
      <c r="P131">
        <v>1</v>
      </c>
      <c r="Q131">
        <v>8.6999999999999993</v>
      </c>
      <c r="R131">
        <v>20</v>
      </c>
      <c r="S131">
        <v>0</v>
      </c>
      <c r="T131">
        <v>0</v>
      </c>
      <c r="U131" s="8">
        <v>20</v>
      </c>
      <c r="V131" s="8">
        <f t="shared" ref="V131:V194" si="4">MIN(10, MAX(0, ROUND(U131/10,0)))</f>
        <v>2</v>
      </c>
      <c r="W131" t="str">
        <f>_xlfn.XLOOKUP(A131, Matches!A:A, Matches!L:L, "NA", 0)</f>
        <v>GGTW</v>
      </c>
      <c r="X131" t="str">
        <f>_xlfn.XLOOKUP(A131, Matches!A:A, Matches!J:J, "NA", 0)</f>
        <v>GGTW</v>
      </c>
      <c r="Y131" t="str">
        <f>_xlfn.XLOOKUP(A131, Matches!A:A, Matches!F:F, "NA", 0)</f>
        <v>Brabourne Stadium</v>
      </c>
      <c r="Z131" cm="1">
        <f t="array" ref="Z131">INDEX(Innings!F:F,MATCH(1,(TRIM(Innings!A:A)=TRIM(A131))*(TRIM(Innings!D:D)=TRIM(E131)),0))</f>
        <v>190</v>
      </c>
      <c r="AA131" cm="1">
        <f t="array" ref="AA131">INDEX(Innings!I:I,MATCH(1,(TRIM(Innings!A:A)=TRIM(A131))*(TRIM(Innings!D:D)=TRIM(E131)),0))</f>
        <v>9.5</v>
      </c>
      <c r="AB131" cm="1">
        <f t="array" ref="AB131">INDEX(Innings!J:J,MATCH(1,(TRIM(Innings!A:A)=TRIM(A131))*(TRIM(Innings!D:D)=TRIM(E131)),0))</f>
        <v>59</v>
      </c>
      <c r="AC131" cm="1">
        <f t="array" ref="AC131">INDEX(Innings!N:N,MATCH(1,(TRIM(Innings!A:A)=TRIM(A131))*(TRIM(Innings!D:D)=TRIM(E131)),0))</f>
        <v>55</v>
      </c>
      <c r="AD131" cm="1">
        <f t="array" ref="AD131">INDEX(Innings!S:S,MATCH(1,(TRIM(Innings!A:A)=TRIM(A131))*(TRIM(Innings!D:D)=TRIM(E131)),0))</f>
        <v>40</v>
      </c>
      <c r="AE131" t="str" cm="1">
        <f t="array" ref="AE131">INDEX(Innings!W:W,MATCH(1,(TRIM(Innings!A:A)=TRIM(A131))*(TRIM(Innings!D:D)=TRIM(E131)),0))</f>
        <v>Failed</v>
      </c>
      <c r="AF131">
        <f>IF(UPPER(TRIM(E131))=UPPER(TRIM(W131)),1,0)</f>
        <v>0</v>
      </c>
      <c r="AG131">
        <f t="shared" ref="AG131:AG194" si="5">(0.5*MAX(0,U131) + 0.3*MAX(0,V131) + 0.2*AF131*100)</f>
        <v>10.6</v>
      </c>
    </row>
    <row r="132" spans="1:33" x14ac:dyDescent="0.3">
      <c r="A132" t="s">
        <v>139</v>
      </c>
      <c r="B132">
        <v>1</v>
      </c>
      <c r="C132" t="s">
        <v>186</v>
      </c>
      <c r="D132" t="s">
        <v>187</v>
      </c>
      <c r="E132" t="s">
        <v>159</v>
      </c>
      <c r="F132" t="s">
        <v>101</v>
      </c>
      <c r="G132" t="s">
        <v>135</v>
      </c>
      <c r="H132">
        <v>0</v>
      </c>
      <c r="I132">
        <v>0</v>
      </c>
      <c r="J132">
        <v>0</v>
      </c>
      <c r="K132" t="s">
        <v>104</v>
      </c>
      <c r="L132">
        <v>0</v>
      </c>
      <c r="M132">
        <v>4</v>
      </c>
      <c r="N132">
        <v>0</v>
      </c>
      <c r="O132">
        <v>36</v>
      </c>
      <c r="P132">
        <v>1</v>
      </c>
      <c r="Q132">
        <v>9</v>
      </c>
      <c r="R132">
        <v>20</v>
      </c>
      <c r="S132">
        <v>0</v>
      </c>
      <c r="T132">
        <v>0</v>
      </c>
      <c r="U132" s="8">
        <v>20</v>
      </c>
      <c r="V132" s="8">
        <f t="shared" si="4"/>
        <v>2</v>
      </c>
      <c r="W132" t="str">
        <f>_xlfn.XLOOKUP(A132, Matches!A:A, Matches!L:L, "NA", 0)</f>
        <v>GGTW</v>
      </c>
      <c r="X132" t="str">
        <f>_xlfn.XLOOKUP(A132, Matches!A:A, Matches!J:J, "NA", 0)</f>
        <v>GGTW</v>
      </c>
      <c r="Y132" t="str">
        <f>_xlfn.XLOOKUP(A132, Matches!A:A, Matches!F:F, "NA", 0)</f>
        <v>Brabourne Stadium</v>
      </c>
      <c r="Z132" cm="1">
        <f t="array" ref="Z132">INDEX(Innings!F:F,MATCH(1,(TRIM(Innings!A:A)=TRIM(A132))*(TRIM(Innings!D:D)=TRIM(E132)),0))</f>
        <v>190</v>
      </c>
      <c r="AA132" cm="1">
        <f t="array" ref="AA132">INDEX(Innings!I:I,MATCH(1,(TRIM(Innings!A:A)=TRIM(A132))*(TRIM(Innings!D:D)=TRIM(E132)),0))</f>
        <v>9.5</v>
      </c>
      <c r="AB132" cm="1">
        <f t="array" ref="AB132">INDEX(Innings!J:J,MATCH(1,(TRIM(Innings!A:A)=TRIM(A132))*(TRIM(Innings!D:D)=TRIM(E132)),0))</f>
        <v>59</v>
      </c>
      <c r="AC132" cm="1">
        <f t="array" ref="AC132">INDEX(Innings!N:N,MATCH(1,(TRIM(Innings!A:A)=TRIM(A132))*(TRIM(Innings!D:D)=TRIM(E132)),0))</f>
        <v>55</v>
      </c>
      <c r="AD132" cm="1">
        <f t="array" ref="AD132">INDEX(Innings!S:S,MATCH(1,(TRIM(Innings!A:A)=TRIM(A132))*(TRIM(Innings!D:D)=TRIM(E132)),0))</f>
        <v>40</v>
      </c>
      <c r="AE132" t="str" cm="1">
        <f t="array" ref="AE132">INDEX(Innings!W:W,MATCH(1,(TRIM(Innings!A:A)=TRIM(A132))*(TRIM(Innings!D:D)=TRIM(E132)),0))</f>
        <v>Failed</v>
      </c>
      <c r="AF132">
        <f>IF(UPPER(TRIM(E132))=UPPER(TRIM(W132)),1,0)</f>
        <v>0</v>
      </c>
      <c r="AG132">
        <f t="shared" si="5"/>
        <v>10.6</v>
      </c>
    </row>
    <row r="133" spans="1:33" x14ac:dyDescent="0.3">
      <c r="A133" t="s">
        <v>139</v>
      </c>
      <c r="B133">
        <v>1</v>
      </c>
      <c r="C133" t="s">
        <v>182</v>
      </c>
      <c r="D133" t="s">
        <v>183</v>
      </c>
      <c r="E133" t="s">
        <v>159</v>
      </c>
      <c r="F133" t="s">
        <v>101</v>
      </c>
      <c r="G133" t="s">
        <v>135</v>
      </c>
      <c r="H133">
        <v>0</v>
      </c>
      <c r="I133">
        <v>0</v>
      </c>
      <c r="J133">
        <v>0</v>
      </c>
      <c r="K133" t="s">
        <v>104</v>
      </c>
      <c r="L133">
        <v>0</v>
      </c>
      <c r="M133">
        <v>3</v>
      </c>
      <c r="N133">
        <v>0</v>
      </c>
      <c r="O133">
        <v>47</v>
      </c>
      <c r="P133">
        <v>0</v>
      </c>
      <c r="Q133">
        <v>15.7</v>
      </c>
      <c r="R133">
        <v>0</v>
      </c>
      <c r="S133">
        <v>0</v>
      </c>
      <c r="T133">
        <v>0</v>
      </c>
      <c r="U133" s="8">
        <v>0</v>
      </c>
      <c r="V133" s="8">
        <f t="shared" si="4"/>
        <v>0</v>
      </c>
      <c r="W133" t="str">
        <f>_xlfn.XLOOKUP(A133, Matches!A:A, Matches!L:L, "NA", 0)</f>
        <v>GGTW</v>
      </c>
      <c r="X133" t="str">
        <f>_xlfn.XLOOKUP(A133, Matches!A:A, Matches!J:J, "NA", 0)</f>
        <v>GGTW</v>
      </c>
      <c r="Y133" t="str">
        <f>_xlfn.XLOOKUP(A133, Matches!A:A, Matches!F:F, "NA", 0)</f>
        <v>Brabourne Stadium</v>
      </c>
      <c r="Z133" cm="1">
        <f t="array" ref="Z133">INDEX(Innings!F:F,MATCH(1,(TRIM(Innings!A:A)=TRIM(A133))*(TRIM(Innings!D:D)=TRIM(E133)),0))</f>
        <v>190</v>
      </c>
      <c r="AA133" cm="1">
        <f t="array" ref="AA133">INDEX(Innings!I:I,MATCH(1,(TRIM(Innings!A:A)=TRIM(A133))*(TRIM(Innings!D:D)=TRIM(E133)),0))</f>
        <v>9.5</v>
      </c>
      <c r="AB133" cm="1">
        <f t="array" ref="AB133">INDEX(Innings!J:J,MATCH(1,(TRIM(Innings!A:A)=TRIM(A133))*(TRIM(Innings!D:D)=TRIM(E133)),0))</f>
        <v>59</v>
      </c>
      <c r="AC133" cm="1">
        <f t="array" ref="AC133">INDEX(Innings!N:N,MATCH(1,(TRIM(Innings!A:A)=TRIM(A133))*(TRIM(Innings!D:D)=TRIM(E133)),0))</f>
        <v>55</v>
      </c>
      <c r="AD133" cm="1">
        <f t="array" ref="AD133">INDEX(Innings!S:S,MATCH(1,(TRIM(Innings!A:A)=TRIM(A133))*(TRIM(Innings!D:D)=TRIM(E133)),0))</f>
        <v>40</v>
      </c>
      <c r="AE133" t="str" cm="1">
        <f t="array" ref="AE133">INDEX(Innings!W:W,MATCH(1,(TRIM(Innings!A:A)=TRIM(A133))*(TRIM(Innings!D:D)=TRIM(E133)),0))</f>
        <v>Failed</v>
      </c>
      <c r="AF133">
        <f>IF(UPPER(TRIM(E133))=UPPER(TRIM(W133)),1,0)</f>
        <v>0</v>
      </c>
      <c r="AG133">
        <f t="shared" si="5"/>
        <v>0</v>
      </c>
    </row>
    <row r="134" spans="1:33" x14ac:dyDescent="0.3">
      <c r="A134" t="s">
        <v>140</v>
      </c>
      <c r="B134">
        <v>1</v>
      </c>
      <c r="C134" t="s">
        <v>190</v>
      </c>
      <c r="D134" t="s">
        <v>191</v>
      </c>
      <c r="E134" t="s">
        <v>158</v>
      </c>
      <c r="F134" t="s">
        <v>109</v>
      </c>
      <c r="G134" t="s">
        <v>86</v>
      </c>
      <c r="H134">
        <v>43</v>
      </c>
      <c r="I134">
        <v>41</v>
      </c>
      <c r="J134">
        <v>104.88</v>
      </c>
      <c r="K134" t="s">
        <v>246</v>
      </c>
      <c r="L134">
        <v>45.1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 s="8">
        <v>45.1</v>
      </c>
      <c r="V134" s="8">
        <f t="shared" si="4"/>
        <v>5</v>
      </c>
      <c r="W134" t="str">
        <f>_xlfn.XLOOKUP(A134, Matches!A:A, Matches!L:L, "NA", 0)</f>
        <v>MIW</v>
      </c>
      <c r="X134" t="str">
        <f>_xlfn.XLOOKUP(A134, Matches!A:A, Matches!J:J, "NA", 0)</f>
        <v>DCW</v>
      </c>
      <c r="Y134" t="str">
        <f>_xlfn.XLOOKUP(A134, Matches!A:A, Matches!F:F, "NA", 0)</f>
        <v>Dr DY Patil Sports </v>
      </c>
      <c r="Z134" cm="1">
        <f t="array" ref="Z134">INDEX(Innings!F:F,MATCH(1,(TRIM(Innings!A:A)=TRIM(A134))*(TRIM(Innings!D:D)=TRIM(E134)),0))</f>
        <v>105</v>
      </c>
      <c r="AA134" cm="1">
        <f t="array" ref="AA134">INDEX(Innings!I:I,MATCH(1,(TRIM(Innings!A:A)=TRIM(A134))*(TRIM(Innings!D:D)=TRIM(E134)),0))</f>
        <v>5.83</v>
      </c>
      <c r="AB134" cm="1">
        <f t="array" ref="AB134">INDEX(Innings!J:J,MATCH(1,(TRIM(Innings!A:A)=TRIM(A134))*(TRIM(Innings!D:D)=TRIM(E134)),0))</f>
        <v>29</v>
      </c>
      <c r="AC134" cm="1">
        <f t="array" ref="AC134">INDEX(Innings!N:N,MATCH(1,(TRIM(Innings!A:A)=TRIM(A134))*(TRIM(Innings!D:D)=TRIM(E134)),0))</f>
        <v>7</v>
      </c>
      <c r="AD134" cm="1">
        <f t="array" ref="AD134">INDEX(Innings!S:S,MATCH(1,(TRIM(Innings!A:A)=TRIM(A134))*(TRIM(Innings!D:D)=TRIM(E134)),0))</f>
        <v>43</v>
      </c>
      <c r="AE134" t="str" cm="1">
        <f t="array" ref="AE134">INDEX(Innings!W:W,MATCH(1,(TRIM(Innings!A:A)=TRIM(A134))*(TRIM(Innings!D:D)=TRIM(E134)),0))</f>
        <v>NA</v>
      </c>
      <c r="AF134">
        <f>IF(UPPER(TRIM(E134))=UPPER(TRIM(W134)),1,0)</f>
        <v>0</v>
      </c>
      <c r="AG134">
        <f t="shared" si="5"/>
        <v>24.05</v>
      </c>
    </row>
    <row r="135" spans="1:33" x14ac:dyDescent="0.3">
      <c r="A135" t="s">
        <v>140</v>
      </c>
      <c r="B135">
        <v>1</v>
      </c>
      <c r="C135" t="s">
        <v>188</v>
      </c>
      <c r="D135" t="s">
        <v>189</v>
      </c>
      <c r="E135" t="s">
        <v>158</v>
      </c>
      <c r="F135" t="s">
        <v>83</v>
      </c>
      <c r="G135" t="s">
        <v>86</v>
      </c>
      <c r="H135">
        <v>2</v>
      </c>
      <c r="I135">
        <v>6</v>
      </c>
      <c r="J135">
        <v>33.33</v>
      </c>
      <c r="K135" t="s">
        <v>245</v>
      </c>
      <c r="L135">
        <v>0.66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 s="8">
        <v>0.66</v>
      </c>
      <c r="V135" s="8">
        <f t="shared" si="4"/>
        <v>0</v>
      </c>
      <c r="W135" t="str">
        <f>_xlfn.XLOOKUP(A135, Matches!A:A, Matches!L:L, "NA", 0)</f>
        <v>MIW</v>
      </c>
      <c r="X135" t="str">
        <f>_xlfn.XLOOKUP(A135, Matches!A:A, Matches!J:J, "NA", 0)</f>
        <v>DCW</v>
      </c>
      <c r="Y135" t="str">
        <f>_xlfn.XLOOKUP(A135, Matches!A:A, Matches!F:F, "NA", 0)</f>
        <v>Dr DY Patil Sports </v>
      </c>
      <c r="Z135" cm="1">
        <f t="array" ref="Z135">INDEX(Innings!F:F,MATCH(1,(TRIM(Innings!A:A)=TRIM(A135))*(TRIM(Innings!D:D)=TRIM(E135)),0))</f>
        <v>105</v>
      </c>
      <c r="AA135" cm="1">
        <f t="array" ref="AA135">INDEX(Innings!I:I,MATCH(1,(TRIM(Innings!A:A)=TRIM(A135))*(TRIM(Innings!D:D)=TRIM(E135)),0))</f>
        <v>5.83</v>
      </c>
      <c r="AB135" cm="1">
        <f t="array" ref="AB135">INDEX(Innings!J:J,MATCH(1,(TRIM(Innings!A:A)=TRIM(A135))*(TRIM(Innings!D:D)=TRIM(E135)),0))</f>
        <v>29</v>
      </c>
      <c r="AC135" cm="1">
        <f t="array" ref="AC135">INDEX(Innings!N:N,MATCH(1,(TRIM(Innings!A:A)=TRIM(A135))*(TRIM(Innings!D:D)=TRIM(E135)),0))</f>
        <v>7</v>
      </c>
      <c r="AD135" cm="1">
        <f t="array" ref="AD135">INDEX(Innings!S:S,MATCH(1,(TRIM(Innings!A:A)=TRIM(A135))*(TRIM(Innings!D:D)=TRIM(E135)),0))</f>
        <v>43</v>
      </c>
      <c r="AE135" t="str" cm="1">
        <f t="array" ref="AE135">INDEX(Innings!W:W,MATCH(1,(TRIM(Innings!A:A)=TRIM(A135))*(TRIM(Innings!D:D)=TRIM(E135)),0))</f>
        <v>NA</v>
      </c>
      <c r="AF135">
        <f>IF(UPPER(TRIM(E135))=UPPER(TRIM(W135)),1,0)</f>
        <v>0</v>
      </c>
      <c r="AG135">
        <f t="shared" si="5"/>
        <v>0.33</v>
      </c>
    </row>
    <row r="136" spans="1:33" x14ac:dyDescent="0.3">
      <c r="A136" t="s">
        <v>140</v>
      </c>
      <c r="B136">
        <v>1</v>
      </c>
      <c r="C136" t="s">
        <v>196</v>
      </c>
      <c r="D136" t="s">
        <v>197</v>
      </c>
      <c r="E136" t="s">
        <v>158</v>
      </c>
      <c r="F136" t="s">
        <v>109</v>
      </c>
      <c r="G136" t="s">
        <v>92</v>
      </c>
      <c r="H136">
        <v>6</v>
      </c>
      <c r="I136">
        <v>7</v>
      </c>
      <c r="J136">
        <v>85.71</v>
      </c>
      <c r="K136" t="s">
        <v>246</v>
      </c>
      <c r="L136">
        <v>5.14</v>
      </c>
      <c r="M136">
        <v>3</v>
      </c>
      <c r="N136">
        <v>0</v>
      </c>
      <c r="O136">
        <v>14</v>
      </c>
      <c r="P136">
        <v>1</v>
      </c>
      <c r="Q136">
        <v>4.7</v>
      </c>
      <c r="R136">
        <v>20</v>
      </c>
      <c r="S136">
        <v>0</v>
      </c>
      <c r="T136">
        <v>0</v>
      </c>
      <c r="U136" s="8">
        <v>25.14</v>
      </c>
      <c r="V136" s="8">
        <f t="shared" si="4"/>
        <v>3</v>
      </c>
      <c r="W136" t="str">
        <f>_xlfn.XLOOKUP(A136, Matches!A:A, Matches!L:L, "NA", 0)</f>
        <v>MIW</v>
      </c>
      <c r="X136" t="str">
        <f>_xlfn.XLOOKUP(A136, Matches!A:A, Matches!J:J, "NA", 0)</f>
        <v>DCW</v>
      </c>
      <c r="Y136" t="str">
        <f>_xlfn.XLOOKUP(A136, Matches!A:A, Matches!F:F, "NA", 0)</f>
        <v>Dr DY Patil Sports </v>
      </c>
      <c r="Z136" cm="1">
        <f t="array" ref="Z136">INDEX(Innings!F:F,MATCH(1,(TRIM(Innings!A:A)=TRIM(A136))*(TRIM(Innings!D:D)=TRIM(E136)),0))</f>
        <v>105</v>
      </c>
      <c r="AA136" cm="1">
        <f t="array" ref="AA136">INDEX(Innings!I:I,MATCH(1,(TRIM(Innings!A:A)=TRIM(A136))*(TRIM(Innings!D:D)=TRIM(E136)),0))</f>
        <v>5.83</v>
      </c>
      <c r="AB136" cm="1">
        <f t="array" ref="AB136">INDEX(Innings!J:J,MATCH(1,(TRIM(Innings!A:A)=TRIM(A136))*(TRIM(Innings!D:D)=TRIM(E136)),0))</f>
        <v>29</v>
      </c>
      <c r="AC136" cm="1">
        <f t="array" ref="AC136">INDEX(Innings!N:N,MATCH(1,(TRIM(Innings!A:A)=TRIM(A136))*(TRIM(Innings!D:D)=TRIM(E136)),0))</f>
        <v>7</v>
      </c>
      <c r="AD136" cm="1">
        <f t="array" ref="AD136">INDEX(Innings!S:S,MATCH(1,(TRIM(Innings!A:A)=TRIM(A136))*(TRIM(Innings!D:D)=TRIM(E136)),0))</f>
        <v>43</v>
      </c>
      <c r="AE136" t="str" cm="1">
        <f t="array" ref="AE136">INDEX(Innings!W:W,MATCH(1,(TRIM(Innings!A:A)=TRIM(A136))*(TRIM(Innings!D:D)=TRIM(E136)),0))</f>
        <v>NA</v>
      </c>
      <c r="AF136">
        <f>IF(UPPER(TRIM(E136))=UPPER(TRIM(W136)),1,0)</f>
        <v>0</v>
      </c>
      <c r="AG136">
        <f t="shared" si="5"/>
        <v>13.47</v>
      </c>
    </row>
    <row r="137" spans="1:33" x14ac:dyDescent="0.3">
      <c r="A137" t="s">
        <v>140</v>
      </c>
      <c r="B137">
        <v>1</v>
      </c>
      <c r="C137" t="s">
        <v>192</v>
      </c>
      <c r="D137" t="s">
        <v>193</v>
      </c>
      <c r="E137" t="s">
        <v>158</v>
      </c>
      <c r="F137" t="s">
        <v>169</v>
      </c>
      <c r="G137" t="s">
        <v>92</v>
      </c>
      <c r="H137">
        <v>2</v>
      </c>
      <c r="I137">
        <v>4</v>
      </c>
      <c r="J137">
        <v>50</v>
      </c>
      <c r="K137" t="s">
        <v>245</v>
      </c>
      <c r="L137">
        <v>1</v>
      </c>
      <c r="M137">
        <v>4</v>
      </c>
      <c r="N137">
        <v>0</v>
      </c>
      <c r="O137">
        <v>25</v>
      </c>
      <c r="P137">
        <v>0</v>
      </c>
      <c r="Q137">
        <v>6.2</v>
      </c>
      <c r="R137">
        <v>0</v>
      </c>
      <c r="S137">
        <v>0</v>
      </c>
      <c r="T137">
        <v>0</v>
      </c>
      <c r="U137" s="8">
        <v>1</v>
      </c>
      <c r="V137" s="8">
        <f t="shared" si="4"/>
        <v>0</v>
      </c>
      <c r="W137" t="str">
        <f>_xlfn.XLOOKUP(A137, Matches!A:A, Matches!L:L, "NA", 0)</f>
        <v>MIW</v>
      </c>
      <c r="X137" t="str">
        <f>_xlfn.XLOOKUP(A137, Matches!A:A, Matches!J:J, "NA", 0)</f>
        <v>DCW</v>
      </c>
      <c r="Y137" t="str">
        <f>_xlfn.XLOOKUP(A137, Matches!A:A, Matches!F:F, "NA", 0)</f>
        <v>Dr DY Patil Sports </v>
      </c>
      <c r="Z137" cm="1">
        <f t="array" ref="Z137">INDEX(Innings!F:F,MATCH(1,(TRIM(Innings!A:A)=TRIM(A137))*(TRIM(Innings!D:D)=TRIM(E137)),0))</f>
        <v>105</v>
      </c>
      <c r="AA137" cm="1">
        <f t="array" ref="AA137">INDEX(Innings!I:I,MATCH(1,(TRIM(Innings!A:A)=TRIM(A137))*(TRIM(Innings!D:D)=TRIM(E137)),0))</f>
        <v>5.83</v>
      </c>
      <c r="AB137" cm="1">
        <f t="array" ref="AB137">INDEX(Innings!J:J,MATCH(1,(TRIM(Innings!A:A)=TRIM(A137))*(TRIM(Innings!D:D)=TRIM(E137)),0))</f>
        <v>29</v>
      </c>
      <c r="AC137" cm="1">
        <f t="array" ref="AC137">INDEX(Innings!N:N,MATCH(1,(TRIM(Innings!A:A)=TRIM(A137))*(TRIM(Innings!D:D)=TRIM(E137)),0))</f>
        <v>7</v>
      </c>
      <c r="AD137" cm="1">
        <f t="array" ref="AD137">INDEX(Innings!S:S,MATCH(1,(TRIM(Innings!A:A)=TRIM(A137))*(TRIM(Innings!D:D)=TRIM(E137)),0))</f>
        <v>43</v>
      </c>
      <c r="AE137" t="str" cm="1">
        <f t="array" ref="AE137">INDEX(Innings!W:W,MATCH(1,(TRIM(Innings!A:A)=TRIM(A137))*(TRIM(Innings!D:D)=TRIM(E137)),0))</f>
        <v>NA</v>
      </c>
      <c r="AF137">
        <f>IF(UPPER(TRIM(E137))=UPPER(TRIM(W137)),1,0)</f>
        <v>0</v>
      </c>
      <c r="AG137">
        <f t="shared" si="5"/>
        <v>0.5</v>
      </c>
    </row>
    <row r="138" spans="1:33" x14ac:dyDescent="0.3">
      <c r="A138" t="s">
        <v>140</v>
      </c>
      <c r="B138">
        <v>1</v>
      </c>
      <c r="C138" t="s">
        <v>194</v>
      </c>
      <c r="D138" t="s">
        <v>195</v>
      </c>
      <c r="E138" t="s">
        <v>158</v>
      </c>
      <c r="F138" t="s">
        <v>109</v>
      </c>
      <c r="G138" t="s">
        <v>134</v>
      </c>
      <c r="H138">
        <v>25</v>
      </c>
      <c r="I138">
        <v>18</v>
      </c>
      <c r="J138">
        <v>138.88999999999999</v>
      </c>
      <c r="K138" t="s">
        <v>245</v>
      </c>
      <c r="L138">
        <v>34.72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 s="8">
        <v>34.72</v>
      </c>
      <c r="V138" s="8">
        <f t="shared" si="4"/>
        <v>3</v>
      </c>
      <c r="W138" t="str">
        <f>_xlfn.XLOOKUP(A138, Matches!A:A, Matches!L:L, "NA", 0)</f>
        <v>MIW</v>
      </c>
      <c r="X138" t="str">
        <f>_xlfn.XLOOKUP(A138, Matches!A:A, Matches!J:J, "NA", 0)</f>
        <v>DCW</v>
      </c>
      <c r="Y138" t="str">
        <f>_xlfn.XLOOKUP(A138, Matches!A:A, Matches!F:F, "NA", 0)</f>
        <v>Dr DY Patil Sports </v>
      </c>
      <c r="Z138" cm="1">
        <f t="array" ref="Z138">INDEX(Innings!F:F,MATCH(1,(TRIM(Innings!A:A)=TRIM(A138))*(TRIM(Innings!D:D)=TRIM(E138)),0))</f>
        <v>105</v>
      </c>
      <c r="AA138" cm="1">
        <f t="array" ref="AA138">INDEX(Innings!I:I,MATCH(1,(TRIM(Innings!A:A)=TRIM(A138))*(TRIM(Innings!D:D)=TRIM(E138)),0))</f>
        <v>5.83</v>
      </c>
      <c r="AB138" cm="1">
        <f t="array" ref="AB138">INDEX(Innings!J:J,MATCH(1,(TRIM(Innings!A:A)=TRIM(A138))*(TRIM(Innings!D:D)=TRIM(E138)),0))</f>
        <v>29</v>
      </c>
      <c r="AC138" cm="1">
        <f t="array" ref="AC138">INDEX(Innings!N:N,MATCH(1,(TRIM(Innings!A:A)=TRIM(A138))*(TRIM(Innings!D:D)=TRIM(E138)),0))</f>
        <v>7</v>
      </c>
      <c r="AD138" cm="1">
        <f t="array" ref="AD138">INDEX(Innings!S:S,MATCH(1,(TRIM(Innings!A:A)=TRIM(A138))*(TRIM(Innings!D:D)=TRIM(E138)),0))</f>
        <v>43</v>
      </c>
      <c r="AE138" t="str" cm="1">
        <f t="array" ref="AE138">INDEX(Innings!W:W,MATCH(1,(TRIM(Innings!A:A)=TRIM(A138))*(TRIM(Innings!D:D)=TRIM(E138)),0))</f>
        <v>NA</v>
      </c>
      <c r="AF138">
        <f>IF(UPPER(TRIM(E138))=UPPER(TRIM(W138)),1,0)</f>
        <v>0</v>
      </c>
      <c r="AG138">
        <f t="shared" si="5"/>
        <v>18.259999999999998</v>
      </c>
    </row>
    <row r="139" spans="1:33" x14ac:dyDescent="0.3">
      <c r="A139" t="s">
        <v>140</v>
      </c>
      <c r="B139">
        <v>1</v>
      </c>
      <c r="C139" t="s">
        <v>198</v>
      </c>
      <c r="D139" t="s">
        <v>199</v>
      </c>
      <c r="E139" t="s">
        <v>158</v>
      </c>
      <c r="F139" t="s">
        <v>101</v>
      </c>
      <c r="G139" t="s">
        <v>134</v>
      </c>
      <c r="H139">
        <v>2</v>
      </c>
      <c r="I139">
        <v>3</v>
      </c>
      <c r="J139">
        <v>66.67</v>
      </c>
      <c r="K139" t="s">
        <v>246</v>
      </c>
      <c r="L139">
        <v>1.33</v>
      </c>
      <c r="M139">
        <v>3</v>
      </c>
      <c r="N139">
        <v>0</v>
      </c>
      <c r="O139">
        <v>25</v>
      </c>
      <c r="P139">
        <v>0</v>
      </c>
      <c r="Q139">
        <v>8.3000000000000007</v>
      </c>
      <c r="R139">
        <v>0</v>
      </c>
      <c r="S139">
        <v>0</v>
      </c>
      <c r="T139">
        <v>0</v>
      </c>
      <c r="U139" s="8">
        <v>1.33</v>
      </c>
      <c r="V139" s="8">
        <f t="shared" si="4"/>
        <v>0</v>
      </c>
      <c r="W139" t="str">
        <f>_xlfn.XLOOKUP(A139, Matches!A:A, Matches!L:L, "NA", 0)</f>
        <v>MIW</v>
      </c>
      <c r="X139" t="str">
        <f>_xlfn.XLOOKUP(A139, Matches!A:A, Matches!J:J, "NA", 0)</f>
        <v>DCW</v>
      </c>
      <c r="Y139" t="str">
        <f>_xlfn.XLOOKUP(A139, Matches!A:A, Matches!F:F, "NA", 0)</f>
        <v>Dr DY Patil Sports </v>
      </c>
      <c r="Z139" cm="1">
        <f t="array" ref="Z139">INDEX(Innings!F:F,MATCH(1,(TRIM(Innings!A:A)=TRIM(A139))*(TRIM(Innings!D:D)=TRIM(E139)),0))</f>
        <v>105</v>
      </c>
      <c r="AA139" cm="1">
        <f t="array" ref="AA139">INDEX(Innings!I:I,MATCH(1,(TRIM(Innings!A:A)=TRIM(A139))*(TRIM(Innings!D:D)=TRIM(E139)),0))</f>
        <v>5.83</v>
      </c>
      <c r="AB139" cm="1">
        <f t="array" ref="AB139">INDEX(Innings!J:J,MATCH(1,(TRIM(Innings!A:A)=TRIM(A139))*(TRIM(Innings!D:D)=TRIM(E139)),0))</f>
        <v>29</v>
      </c>
      <c r="AC139" cm="1">
        <f t="array" ref="AC139">INDEX(Innings!N:N,MATCH(1,(TRIM(Innings!A:A)=TRIM(A139))*(TRIM(Innings!D:D)=TRIM(E139)),0))</f>
        <v>7</v>
      </c>
      <c r="AD139" cm="1">
        <f t="array" ref="AD139">INDEX(Innings!S:S,MATCH(1,(TRIM(Innings!A:A)=TRIM(A139))*(TRIM(Innings!D:D)=TRIM(E139)),0))</f>
        <v>43</v>
      </c>
      <c r="AE139" t="str" cm="1">
        <f t="array" ref="AE139">INDEX(Innings!W:W,MATCH(1,(TRIM(Innings!A:A)=TRIM(A139))*(TRIM(Innings!D:D)=TRIM(E139)),0))</f>
        <v>NA</v>
      </c>
      <c r="AF139">
        <f>IF(UPPER(TRIM(E139))=UPPER(TRIM(W139)),1,0)</f>
        <v>0</v>
      </c>
      <c r="AG139">
        <f t="shared" si="5"/>
        <v>0.66500000000000004</v>
      </c>
    </row>
    <row r="140" spans="1:33" x14ac:dyDescent="0.3">
      <c r="A140" t="s">
        <v>140</v>
      </c>
      <c r="B140">
        <v>1</v>
      </c>
      <c r="C140" t="s">
        <v>200</v>
      </c>
      <c r="D140" t="s">
        <v>201</v>
      </c>
      <c r="E140" t="s">
        <v>158</v>
      </c>
      <c r="F140" t="s">
        <v>85</v>
      </c>
      <c r="G140" t="s">
        <v>134</v>
      </c>
      <c r="H140">
        <v>4</v>
      </c>
      <c r="I140">
        <v>9</v>
      </c>
      <c r="J140">
        <v>44.44</v>
      </c>
      <c r="K140" t="s">
        <v>246</v>
      </c>
      <c r="L140">
        <v>1.78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 s="8">
        <v>1.78</v>
      </c>
      <c r="V140" s="8">
        <f t="shared" si="4"/>
        <v>0</v>
      </c>
      <c r="W140" t="str">
        <f>_xlfn.XLOOKUP(A140, Matches!A:A, Matches!L:L, "NA", 0)</f>
        <v>MIW</v>
      </c>
      <c r="X140" t="str">
        <f>_xlfn.XLOOKUP(A140, Matches!A:A, Matches!J:J, "NA", 0)</f>
        <v>DCW</v>
      </c>
      <c r="Y140" t="str">
        <f>_xlfn.XLOOKUP(A140, Matches!A:A, Matches!F:F, "NA", 0)</f>
        <v>Dr DY Patil Sports </v>
      </c>
      <c r="Z140" cm="1">
        <f t="array" ref="Z140">INDEX(Innings!F:F,MATCH(1,(TRIM(Innings!A:A)=TRIM(A140))*(TRIM(Innings!D:D)=TRIM(E140)),0))</f>
        <v>105</v>
      </c>
      <c r="AA140" cm="1">
        <f t="array" ref="AA140">INDEX(Innings!I:I,MATCH(1,(TRIM(Innings!A:A)=TRIM(A140))*(TRIM(Innings!D:D)=TRIM(E140)),0))</f>
        <v>5.83</v>
      </c>
      <c r="AB140" cm="1">
        <f t="array" ref="AB140">INDEX(Innings!J:J,MATCH(1,(TRIM(Innings!A:A)=TRIM(A140))*(TRIM(Innings!D:D)=TRIM(E140)),0))</f>
        <v>29</v>
      </c>
      <c r="AC140" cm="1">
        <f t="array" ref="AC140">INDEX(Innings!N:N,MATCH(1,(TRIM(Innings!A:A)=TRIM(A140))*(TRIM(Innings!D:D)=TRIM(E140)),0))</f>
        <v>7</v>
      </c>
      <c r="AD140" cm="1">
        <f t="array" ref="AD140">INDEX(Innings!S:S,MATCH(1,(TRIM(Innings!A:A)=TRIM(A140))*(TRIM(Innings!D:D)=TRIM(E140)),0))</f>
        <v>43</v>
      </c>
      <c r="AE140" t="str" cm="1">
        <f t="array" ref="AE140">INDEX(Innings!W:W,MATCH(1,(TRIM(Innings!A:A)=TRIM(A140))*(TRIM(Innings!D:D)=TRIM(E140)),0))</f>
        <v>NA</v>
      </c>
      <c r="AF140">
        <f>IF(UPPER(TRIM(E140))=UPPER(TRIM(W140)),1,0)</f>
        <v>0</v>
      </c>
      <c r="AG140">
        <f t="shared" si="5"/>
        <v>0.89</v>
      </c>
    </row>
    <row r="141" spans="1:33" x14ac:dyDescent="0.3">
      <c r="A141" t="s">
        <v>140</v>
      </c>
      <c r="B141">
        <v>1</v>
      </c>
      <c r="C141" t="s">
        <v>274</v>
      </c>
      <c r="D141" t="s">
        <v>284</v>
      </c>
      <c r="E141" t="s">
        <v>158</v>
      </c>
      <c r="F141" t="s">
        <v>83</v>
      </c>
      <c r="G141" t="s">
        <v>134</v>
      </c>
      <c r="H141">
        <v>0</v>
      </c>
      <c r="I141">
        <v>3</v>
      </c>
      <c r="J141">
        <v>0</v>
      </c>
      <c r="K141" t="s">
        <v>248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 s="8">
        <v>0</v>
      </c>
      <c r="V141" s="8">
        <f t="shared" si="4"/>
        <v>0</v>
      </c>
      <c r="W141" t="str">
        <f>_xlfn.XLOOKUP(A141, Matches!A:A, Matches!L:L, "NA", 0)</f>
        <v>MIW</v>
      </c>
      <c r="X141" t="str">
        <f>_xlfn.XLOOKUP(A141, Matches!A:A, Matches!J:J, "NA", 0)</f>
        <v>DCW</v>
      </c>
      <c r="Y141" t="str">
        <f>_xlfn.XLOOKUP(A141, Matches!A:A, Matches!F:F, "NA", 0)</f>
        <v>Dr DY Patil Sports </v>
      </c>
      <c r="Z141" cm="1">
        <f t="array" ref="Z141">INDEX(Innings!F:F,MATCH(1,(TRIM(Innings!A:A)=TRIM(A141))*(TRIM(Innings!D:D)=TRIM(E141)),0))</f>
        <v>105</v>
      </c>
      <c r="AA141" cm="1">
        <f t="array" ref="AA141">INDEX(Innings!I:I,MATCH(1,(TRIM(Innings!A:A)=TRIM(A141))*(TRIM(Innings!D:D)=TRIM(E141)),0))</f>
        <v>5.83</v>
      </c>
      <c r="AB141" cm="1">
        <f t="array" ref="AB141">INDEX(Innings!J:J,MATCH(1,(TRIM(Innings!A:A)=TRIM(A141))*(TRIM(Innings!D:D)=TRIM(E141)),0))</f>
        <v>29</v>
      </c>
      <c r="AC141" cm="1">
        <f t="array" ref="AC141">INDEX(Innings!N:N,MATCH(1,(TRIM(Innings!A:A)=TRIM(A141))*(TRIM(Innings!D:D)=TRIM(E141)),0))</f>
        <v>7</v>
      </c>
      <c r="AD141" cm="1">
        <f t="array" ref="AD141">INDEX(Innings!S:S,MATCH(1,(TRIM(Innings!A:A)=TRIM(A141))*(TRIM(Innings!D:D)=TRIM(E141)),0))</f>
        <v>43</v>
      </c>
      <c r="AE141" t="str" cm="1">
        <f t="array" ref="AE141">INDEX(Innings!W:W,MATCH(1,(TRIM(Innings!A:A)=TRIM(A141))*(TRIM(Innings!D:D)=TRIM(E141)),0))</f>
        <v>NA</v>
      </c>
      <c r="AF141">
        <f>IF(UPPER(TRIM(E141))=UPPER(TRIM(W141)),1,0)</f>
        <v>0</v>
      </c>
      <c r="AG141">
        <f t="shared" si="5"/>
        <v>0</v>
      </c>
    </row>
    <row r="142" spans="1:33" x14ac:dyDescent="0.3">
      <c r="A142" t="s">
        <v>140</v>
      </c>
      <c r="B142">
        <v>1</v>
      </c>
      <c r="C142" t="s">
        <v>206</v>
      </c>
      <c r="D142" t="s">
        <v>207</v>
      </c>
      <c r="E142" t="s">
        <v>158</v>
      </c>
      <c r="F142" t="s">
        <v>101</v>
      </c>
      <c r="G142" t="s">
        <v>135</v>
      </c>
      <c r="H142">
        <v>10</v>
      </c>
      <c r="I142">
        <v>9</v>
      </c>
      <c r="J142">
        <v>111.11</v>
      </c>
      <c r="K142" t="s">
        <v>246</v>
      </c>
      <c r="L142">
        <v>11.11</v>
      </c>
      <c r="M142">
        <v>1</v>
      </c>
      <c r="N142">
        <v>0</v>
      </c>
      <c r="O142">
        <v>12</v>
      </c>
      <c r="P142">
        <v>0</v>
      </c>
      <c r="Q142">
        <v>12</v>
      </c>
      <c r="R142">
        <v>0</v>
      </c>
      <c r="S142">
        <v>0</v>
      </c>
      <c r="T142">
        <v>0</v>
      </c>
      <c r="U142" s="8">
        <v>11.11</v>
      </c>
      <c r="V142" s="8">
        <f t="shared" si="4"/>
        <v>1</v>
      </c>
      <c r="W142" t="str">
        <f>_xlfn.XLOOKUP(A142, Matches!A:A, Matches!L:L, "NA", 0)</f>
        <v>MIW</v>
      </c>
      <c r="X142" t="str">
        <f>_xlfn.XLOOKUP(A142, Matches!A:A, Matches!J:J, "NA", 0)</f>
        <v>DCW</v>
      </c>
      <c r="Y142" t="str">
        <f>_xlfn.XLOOKUP(A142, Matches!A:A, Matches!F:F, "NA", 0)</f>
        <v>Dr DY Patil Sports </v>
      </c>
      <c r="Z142" cm="1">
        <f t="array" ref="Z142">INDEX(Innings!F:F,MATCH(1,(TRIM(Innings!A:A)=TRIM(A142))*(TRIM(Innings!D:D)=TRIM(E142)),0))</f>
        <v>105</v>
      </c>
      <c r="AA142" cm="1">
        <f t="array" ref="AA142">INDEX(Innings!I:I,MATCH(1,(TRIM(Innings!A:A)=TRIM(A142))*(TRIM(Innings!D:D)=TRIM(E142)),0))</f>
        <v>5.83</v>
      </c>
      <c r="AB142" cm="1">
        <f t="array" ref="AB142">INDEX(Innings!J:J,MATCH(1,(TRIM(Innings!A:A)=TRIM(A142))*(TRIM(Innings!D:D)=TRIM(E142)),0))</f>
        <v>29</v>
      </c>
      <c r="AC142" cm="1">
        <f t="array" ref="AC142">INDEX(Innings!N:N,MATCH(1,(TRIM(Innings!A:A)=TRIM(A142))*(TRIM(Innings!D:D)=TRIM(E142)),0))</f>
        <v>7</v>
      </c>
      <c r="AD142" cm="1">
        <f t="array" ref="AD142">INDEX(Innings!S:S,MATCH(1,(TRIM(Innings!A:A)=TRIM(A142))*(TRIM(Innings!D:D)=TRIM(E142)),0))</f>
        <v>43</v>
      </c>
      <c r="AE142" t="str" cm="1">
        <f t="array" ref="AE142">INDEX(Innings!W:W,MATCH(1,(TRIM(Innings!A:A)=TRIM(A142))*(TRIM(Innings!D:D)=TRIM(E142)),0))</f>
        <v>NA</v>
      </c>
      <c r="AF142">
        <f>IF(UPPER(TRIM(E142))=UPPER(TRIM(W142)),1,0)</f>
        <v>0</v>
      </c>
      <c r="AG142">
        <f t="shared" si="5"/>
        <v>5.8549999999999995</v>
      </c>
    </row>
    <row r="143" spans="1:33" x14ac:dyDescent="0.3">
      <c r="A143" t="s">
        <v>140</v>
      </c>
      <c r="B143">
        <v>1</v>
      </c>
      <c r="C143" t="s">
        <v>204</v>
      </c>
      <c r="D143" t="s">
        <v>205</v>
      </c>
      <c r="E143" t="s">
        <v>158</v>
      </c>
      <c r="F143" t="s">
        <v>91</v>
      </c>
      <c r="G143" t="s">
        <v>135</v>
      </c>
      <c r="H143">
        <v>4</v>
      </c>
      <c r="I143">
        <v>8</v>
      </c>
      <c r="J143">
        <v>50</v>
      </c>
      <c r="K143" t="s">
        <v>96</v>
      </c>
      <c r="L143">
        <v>2</v>
      </c>
      <c r="M143">
        <v>3</v>
      </c>
      <c r="N143">
        <v>0</v>
      </c>
      <c r="O143">
        <v>28</v>
      </c>
      <c r="P143">
        <v>0</v>
      </c>
      <c r="Q143">
        <v>9.3000000000000007</v>
      </c>
      <c r="R143">
        <v>0</v>
      </c>
      <c r="S143">
        <v>0</v>
      </c>
      <c r="T143">
        <v>0</v>
      </c>
      <c r="U143" s="8">
        <v>2</v>
      </c>
      <c r="V143" s="8">
        <f t="shared" si="4"/>
        <v>0</v>
      </c>
      <c r="W143" t="str">
        <f>_xlfn.XLOOKUP(A143, Matches!A:A, Matches!L:L, "NA", 0)</f>
        <v>MIW</v>
      </c>
      <c r="X143" t="str">
        <f>_xlfn.XLOOKUP(A143, Matches!A:A, Matches!J:J, "NA", 0)</f>
        <v>DCW</v>
      </c>
      <c r="Y143" t="str">
        <f>_xlfn.XLOOKUP(A143, Matches!A:A, Matches!F:F, "NA", 0)</f>
        <v>Dr DY Patil Sports </v>
      </c>
      <c r="Z143" cm="1">
        <f t="array" ref="Z143">INDEX(Innings!F:F,MATCH(1,(TRIM(Innings!A:A)=TRIM(A143))*(TRIM(Innings!D:D)=TRIM(E143)),0))</f>
        <v>105</v>
      </c>
      <c r="AA143" cm="1">
        <f t="array" ref="AA143">INDEX(Innings!I:I,MATCH(1,(TRIM(Innings!A:A)=TRIM(A143))*(TRIM(Innings!D:D)=TRIM(E143)),0))</f>
        <v>5.83</v>
      </c>
      <c r="AB143" cm="1">
        <f t="array" ref="AB143">INDEX(Innings!J:J,MATCH(1,(TRIM(Innings!A:A)=TRIM(A143))*(TRIM(Innings!D:D)=TRIM(E143)),0))</f>
        <v>29</v>
      </c>
      <c r="AC143" cm="1">
        <f t="array" ref="AC143">INDEX(Innings!N:N,MATCH(1,(TRIM(Innings!A:A)=TRIM(A143))*(TRIM(Innings!D:D)=TRIM(E143)),0))</f>
        <v>7</v>
      </c>
      <c r="AD143" cm="1">
        <f t="array" ref="AD143">INDEX(Innings!S:S,MATCH(1,(TRIM(Innings!A:A)=TRIM(A143))*(TRIM(Innings!D:D)=TRIM(E143)),0))</f>
        <v>43</v>
      </c>
      <c r="AE143" t="str" cm="1">
        <f t="array" ref="AE143">INDEX(Innings!W:W,MATCH(1,(TRIM(Innings!A:A)=TRIM(A143))*(TRIM(Innings!D:D)=TRIM(E143)),0))</f>
        <v>NA</v>
      </c>
      <c r="AF143">
        <f>IF(UPPER(TRIM(E143))=UPPER(TRIM(W143)),1,0)</f>
        <v>0</v>
      </c>
      <c r="AG143">
        <f t="shared" si="5"/>
        <v>1</v>
      </c>
    </row>
    <row r="144" spans="1:33" x14ac:dyDescent="0.3">
      <c r="A144" t="s">
        <v>140</v>
      </c>
      <c r="B144">
        <v>1</v>
      </c>
      <c r="C144" t="s">
        <v>208</v>
      </c>
      <c r="D144" t="s">
        <v>160</v>
      </c>
      <c r="E144" t="s">
        <v>158</v>
      </c>
      <c r="F144" t="s">
        <v>101</v>
      </c>
      <c r="G144" t="s">
        <v>135</v>
      </c>
      <c r="H144">
        <v>0</v>
      </c>
      <c r="I144">
        <v>1</v>
      </c>
      <c r="J144">
        <v>0</v>
      </c>
      <c r="K144" t="s">
        <v>247</v>
      </c>
      <c r="L144">
        <v>0</v>
      </c>
      <c r="M144">
        <v>1</v>
      </c>
      <c r="N144">
        <v>0</v>
      </c>
      <c r="O144">
        <v>4</v>
      </c>
      <c r="P144">
        <v>1</v>
      </c>
      <c r="Q144">
        <v>4</v>
      </c>
      <c r="R144">
        <v>20</v>
      </c>
      <c r="S144">
        <v>0</v>
      </c>
      <c r="T144">
        <v>0</v>
      </c>
      <c r="U144" s="8">
        <v>20</v>
      </c>
      <c r="V144" s="8">
        <f t="shared" si="4"/>
        <v>2</v>
      </c>
      <c r="W144" t="str">
        <f>_xlfn.XLOOKUP(A144, Matches!A:A, Matches!L:L, "NA", 0)</f>
        <v>MIW</v>
      </c>
      <c r="X144" t="str">
        <f>_xlfn.XLOOKUP(A144, Matches!A:A, Matches!J:J, "NA", 0)</f>
        <v>DCW</v>
      </c>
      <c r="Y144" t="str">
        <f>_xlfn.XLOOKUP(A144, Matches!A:A, Matches!F:F, "NA", 0)</f>
        <v>Dr DY Patil Sports </v>
      </c>
      <c r="Z144" cm="1">
        <f t="array" ref="Z144">INDEX(Innings!F:F,MATCH(1,(TRIM(Innings!A:A)=TRIM(A144))*(TRIM(Innings!D:D)=TRIM(E144)),0))</f>
        <v>105</v>
      </c>
      <c r="AA144" cm="1">
        <f t="array" ref="AA144">INDEX(Innings!I:I,MATCH(1,(TRIM(Innings!A:A)=TRIM(A144))*(TRIM(Innings!D:D)=TRIM(E144)),0))</f>
        <v>5.83</v>
      </c>
      <c r="AB144" cm="1">
        <f t="array" ref="AB144">INDEX(Innings!J:J,MATCH(1,(TRIM(Innings!A:A)=TRIM(A144))*(TRIM(Innings!D:D)=TRIM(E144)),0))</f>
        <v>29</v>
      </c>
      <c r="AC144" cm="1">
        <f t="array" ref="AC144">INDEX(Innings!N:N,MATCH(1,(TRIM(Innings!A:A)=TRIM(A144))*(TRIM(Innings!D:D)=TRIM(E144)),0))</f>
        <v>7</v>
      </c>
      <c r="AD144" cm="1">
        <f t="array" ref="AD144">INDEX(Innings!S:S,MATCH(1,(TRIM(Innings!A:A)=TRIM(A144))*(TRIM(Innings!D:D)=TRIM(E144)),0))</f>
        <v>43</v>
      </c>
      <c r="AE144" t="str" cm="1">
        <f t="array" ref="AE144">INDEX(Innings!W:W,MATCH(1,(TRIM(Innings!A:A)=TRIM(A144))*(TRIM(Innings!D:D)=TRIM(E144)),0))</f>
        <v>NA</v>
      </c>
      <c r="AF144">
        <f>IF(UPPER(TRIM(E144))=UPPER(TRIM(W144)),1,0)</f>
        <v>0</v>
      </c>
      <c r="AG144">
        <f t="shared" si="5"/>
        <v>10.6</v>
      </c>
    </row>
    <row r="145" spans="1:33" x14ac:dyDescent="0.3">
      <c r="A145" t="s">
        <v>140</v>
      </c>
      <c r="B145">
        <v>1</v>
      </c>
      <c r="C145" t="s">
        <v>113</v>
      </c>
      <c r="D145" t="s">
        <v>84</v>
      </c>
      <c r="E145" t="s">
        <v>266</v>
      </c>
      <c r="F145" t="s">
        <v>85</v>
      </c>
      <c r="G145" t="s">
        <v>86</v>
      </c>
      <c r="H145">
        <v>41</v>
      </c>
      <c r="I145">
        <v>32</v>
      </c>
      <c r="J145">
        <v>128.12</v>
      </c>
      <c r="K145" t="s">
        <v>247</v>
      </c>
      <c r="L145">
        <v>52.53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 s="8">
        <v>52.53</v>
      </c>
      <c r="V145" s="8">
        <f t="shared" si="4"/>
        <v>5</v>
      </c>
      <c r="W145" t="str">
        <f>_xlfn.XLOOKUP(A145, Matches!A:A, Matches!L:L, "NA", 0)</f>
        <v>MIW</v>
      </c>
      <c r="X145" t="str">
        <f>_xlfn.XLOOKUP(A145, Matches!A:A, Matches!J:J, "NA", 0)</f>
        <v>DCW</v>
      </c>
      <c r="Y145" t="str">
        <f>_xlfn.XLOOKUP(A145, Matches!A:A, Matches!F:F, "NA", 0)</f>
        <v>Dr DY Patil Sports </v>
      </c>
      <c r="Z145" cm="1">
        <f t="array" ref="Z145">INDEX(Innings!F:F,MATCH(1,(TRIM(Innings!A:A)=TRIM(A145))*(TRIM(Innings!D:D)=TRIM(E145)),0))</f>
        <v>109</v>
      </c>
      <c r="AA145" cm="1">
        <f t="array" ref="AA145">INDEX(Innings!I:I,MATCH(1,(TRIM(Innings!A:A)=TRIM(A145))*(TRIM(Innings!D:D)=TRIM(E145)),0))</f>
        <v>7.27</v>
      </c>
      <c r="AB145" cm="1">
        <f t="array" ref="AB145">INDEX(Innings!J:J,MATCH(1,(TRIM(Innings!A:A)=TRIM(A145))*(TRIM(Innings!D:D)=TRIM(E145)),0))</f>
        <v>47</v>
      </c>
      <c r="AC145" cm="1">
        <f t="array" ref="AC145">INDEX(Innings!N:N,MATCH(1,(TRIM(Innings!A:A)=TRIM(A145))*(TRIM(Innings!D:D)=TRIM(E145)),0))</f>
        <v>0</v>
      </c>
      <c r="AD145" cm="1">
        <f t="array" ref="AD145">INDEX(Innings!S:S,MATCH(1,(TRIM(Innings!A:A)=TRIM(A145))*(TRIM(Innings!D:D)=TRIM(E145)),0))</f>
        <v>45</v>
      </c>
      <c r="AE145" t="str" cm="1">
        <f t="array" ref="AE145">INDEX(Innings!W:W,MATCH(1,(TRIM(Innings!A:A)=TRIM(A145))*(TRIM(Innings!D:D)=TRIM(E145)),0))</f>
        <v>Successful</v>
      </c>
      <c r="AF145">
        <f>IF(UPPER(TRIM(E145))=UPPER(TRIM(W145)),1,0)</f>
        <v>1</v>
      </c>
      <c r="AG145">
        <f t="shared" si="5"/>
        <v>47.765000000000001</v>
      </c>
    </row>
    <row r="146" spans="1:33" x14ac:dyDescent="0.3">
      <c r="A146" t="s">
        <v>140</v>
      </c>
      <c r="B146">
        <v>1</v>
      </c>
      <c r="C146" t="s">
        <v>112</v>
      </c>
      <c r="D146" t="s">
        <v>88</v>
      </c>
      <c r="E146" t="s">
        <v>266</v>
      </c>
      <c r="F146" t="s">
        <v>83</v>
      </c>
      <c r="G146" t="s">
        <v>86</v>
      </c>
      <c r="H146">
        <v>32</v>
      </c>
      <c r="I146">
        <v>31</v>
      </c>
      <c r="J146">
        <v>103.23</v>
      </c>
      <c r="K146" t="s">
        <v>246</v>
      </c>
      <c r="L146">
        <v>33.03</v>
      </c>
      <c r="M146">
        <v>4</v>
      </c>
      <c r="N146">
        <v>0</v>
      </c>
      <c r="O146">
        <v>19</v>
      </c>
      <c r="P146">
        <v>3</v>
      </c>
      <c r="Q146">
        <v>4.8</v>
      </c>
      <c r="R146">
        <v>60</v>
      </c>
      <c r="S146">
        <v>0</v>
      </c>
      <c r="T146">
        <v>0</v>
      </c>
      <c r="U146" s="8">
        <v>93.03</v>
      </c>
      <c r="V146" s="8">
        <f t="shared" si="4"/>
        <v>9</v>
      </c>
      <c r="W146" t="str">
        <f>_xlfn.XLOOKUP(A146, Matches!A:A, Matches!L:L, "NA", 0)</f>
        <v>MIW</v>
      </c>
      <c r="X146" t="str">
        <f>_xlfn.XLOOKUP(A146, Matches!A:A, Matches!J:J, "NA", 0)</f>
        <v>DCW</v>
      </c>
      <c r="Y146" t="str">
        <f>_xlfn.XLOOKUP(A146, Matches!A:A, Matches!F:F, "NA", 0)</f>
        <v>Dr DY Patil Sports </v>
      </c>
      <c r="Z146" cm="1">
        <f t="array" ref="Z146">INDEX(Innings!F:F,MATCH(1,(TRIM(Innings!A:A)=TRIM(A146))*(TRIM(Innings!D:D)=TRIM(E146)),0))</f>
        <v>109</v>
      </c>
      <c r="AA146" cm="1">
        <f t="array" ref="AA146">INDEX(Innings!I:I,MATCH(1,(TRIM(Innings!A:A)=TRIM(A146))*(TRIM(Innings!D:D)=TRIM(E146)),0))</f>
        <v>7.27</v>
      </c>
      <c r="AB146" cm="1">
        <f t="array" ref="AB146">INDEX(Innings!J:J,MATCH(1,(TRIM(Innings!A:A)=TRIM(A146))*(TRIM(Innings!D:D)=TRIM(E146)),0))</f>
        <v>47</v>
      </c>
      <c r="AC146" cm="1">
        <f t="array" ref="AC146">INDEX(Innings!N:N,MATCH(1,(TRIM(Innings!A:A)=TRIM(A146))*(TRIM(Innings!D:D)=TRIM(E146)),0))</f>
        <v>0</v>
      </c>
      <c r="AD146" cm="1">
        <f t="array" ref="AD146">INDEX(Innings!S:S,MATCH(1,(TRIM(Innings!A:A)=TRIM(A146))*(TRIM(Innings!D:D)=TRIM(E146)),0))</f>
        <v>45</v>
      </c>
      <c r="AE146" t="str" cm="1">
        <f t="array" ref="AE146">INDEX(Innings!W:W,MATCH(1,(TRIM(Innings!A:A)=TRIM(A146))*(TRIM(Innings!D:D)=TRIM(E146)),0))</f>
        <v>Successful</v>
      </c>
      <c r="AF146">
        <f>IF(UPPER(TRIM(E146))=UPPER(TRIM(W146)),1,0)</f>
        <v>1</v>
      </c>
      <c r="AG146">
        <f t="shared" si="5"/>
        <v>69.215000000000003</v>
      </c>
    </row>
    <row r="147" spans="1:33" x14ac:dyDescent="0.3">
      <c r="A147" t="s">
        <v>140</v>
      </c>
      <c r="B147">
        <v>1</v>
      </c>
      <c r="C147" t="s">
        <v>117</v>
      </c>
      <c r="D147" t="s">
        <v>90</v>
      </c>
      <c r="E147" t="s">
        <v>266</v>
      </c>
      <c r="F147" t="s">
        <v>91</v>
      </c>
      <c r="G147" t="s">
        <v>92</v>
      </c>
      <c r="H147">
        <v>23</v>
      </c>
      <c r="I147">
        <v>19</v>
      </c>
      <c r="J147">
        <v>121.05</v>
      </c>
      <c r="K147" t="s">
        <v>96</v>
      </c>
      <c r="L147">
        <v>27.84</v>
      </c>
      <c r="M147">
        <v>3</v>
      </c>
      <c r="N147">
        <v>0</v>
      </c>
      <c r="O147">
        <v>22</v>
      </c>
      <c r="P147">
        <v>0</v>
      </c>
      <c r="Q147">
        <v>7.3</v>
      </c>
      <c r="R147">
        <v>0</v>
      </c>
      <c r="S147">
        <v>0</v>
      </c>
      <c r="T147">
        <v>0</v>
      </c>
      <c r="U147" s="8">
        <v>27.84</v>
      </c>
      <c r="V147" s="8">
        <f t="shared" si="4"/>
        <v>3</v>
      </c>
      <c r="W147" t="str">
        <f>_xlfn.XLOOKUP(A147, Matches!A:A, Matches!L:L, "NA", 0)</f>
        <v>MIW</v>
      </c>
      <c r="X147" t="str">
        <f>_xlfn.XLOOKUP(A147, Matches!A:A, Matches!J:J, "NA", 0)</f>
        <v>DCW</v>
      </c>
      <c r="Y147" t="str">
        <f>_xlfn.XLOOKUP(A147, Matches!A:A, Matches!F:F, "NA", 0)</f>
        <v>Dr DY Patil Sports </v>
      </c>
      <c r="Z147" cm="1">
        <f t="array" ref="Z147">INDEX(Innings!F:F,MATCH(1,(TRIM(Innings!A:A)=TRIM(A147))*(TRIM(Innings!D:D)=TRIM(E147)),0))</f>
        <v>109</v>
      </c>
      <c r="AA147" cm="1">
        <f t="array" ref="AA147">INDEX(Innings!I:I,MATCH(1,(TRIM(Innings!A:A)=TRIM(A147))*(TRIM(Innings!D:D)=TRIM(E147)),0))</f>
        <v>7.27</v>
      </c>
      <c r="AB147" cm="1">
        <f t="array" ref="AB147">INDEX(Innings!J:J,MATCH(1,(TRIM(Innings!A:A)=TRIM(A147))*(TRIM(Innings!D:D)=TRIM(E147)),0))</f>
        <v>47</v>
      </c>
      <c r="AC147" cm="1">
        <f t="array" ref="AC147">INDEX(Innings!N:N,MATCH(1,(TRIM(Innings!A:A)=TRIM(A147))*(TRIM(Innings!D:D)=TRIM(E147)),0))</f>
        <v>0</v>
      </c>
      <c r="AD147" cm="1">
        <f t="array" ref="AD147">INDEX(Innings!S:S,MATCH(1,(TRIM(Innings!A:A)=TRIM(A147))*(TRIM(Innings!D:D)=TRIM(E147)),0))</f>
        <v>45</v>
      </c>
      <c r="AE147" t="str" cm="1">
        <f t="array" ref="AE147">INDEX(Innings!W:W,MATCH(1,(TRIM(Innings!A:A)=TRIM(A147))*(TRIM(Innings!D:D)=TRIM(E147)),0))</f>
        <v>Successful</v>
      </c>
      <c r="AF147">
        <f>IF(UPPER(TRIM(E147))=UPPER(TRIM(W147)),1,0)</f>
        <v>1</v>
      </c>
      <c r="AG147">
        <f t="shared" si="5"/>
        <v>34.82</v>
      </c>
    </row>
    <row r="148" spans="1:33" x14ac:dyDescent="0.3">
      <c r="A148" t="s">
        <v>140</v>
      </c>
      <c r="B148">
        <v>1</v>
      </c>
      <c r="C148" t="s">
        <v>115</v>
      </c>
      <c r="D148" t="s">
        <v>17</v>
      </c>
      <c r="E148" t="s">
        <v>266</v>
      </c>
      <c r="F148" t="s">
        <v>83</v>
      </c>
      <c r="G148" t="s">
        <v>92</v>
      </c>
      <c r="H148">
        <v>11</v>
      </c>
      <c r="I148">
        <v>8</v>
      </c>
      <c r="J148">
        <v>137.5</v>
      </c>
      <c r="K148" t="s">
        <v>96</v>
      </c>
      <c r="L148">
        <v>15.13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 s="8">
        <v>15.13</v>
      </c>
      <c r="V148" s="8">
        <f t="shared" si="4"/>
        <v>2</v>
      </c>
      <c r="W148" t="str">
        <f>_xlfn.XLOOKUP(A148, Matches!A:A, Matches!L:L, "NA", 0)</f>
        <v>MIW</v>
      </c>
      <c r="X148" t="str">
        <f>_xlfn.XLOOKUP(A148, Matches!A:A, Matches!J:J, "NA", 0)</f>
        <v>DCW</v>
      </c>
      <c r="Y148" t="str">
        <f>_xlfn.XLOOKUP(A148, Matches!A:A, Matches!F:F, "NA", 0)</f>
        <v>Dr DY Patil Sports </v>
      </c>
      <c r="Z148" cm="1">
        <f t="array" ref="Z148">INDEX(Innings!F:F,MATCH(1,(TRIM(Innings!A:A)=TRIM(A148))*(TRIM(Innings!D:D)=TRIM(E148)),0))</f>
        <v>109</v>
      </c>
      <c r="AA148" cm="1">
        <f t="array" ref="AA148">INDEX(Innings!I:I,MATCH(1,(TRIM(Innings!A:A)=TRIM(A148))*(TRIM(Innings!D:D)=TRIM(E148)),0))</f>
        <v>7.27</v>
      </c>
      <c r="AB148" cm="1">
        <f t="array" ref="AB148">INDEX(Innings!J:J,MATCH(1,(TRIM(Innings!A:A)=TRIM(A148))*(TRIM(Innings!D:D)=TRIM(E148)),0))</f>
        <v>47</v>
      </c>
      <c r="AC148" cm="1">
        <f t="array" ref="AC148">INDEX(Innings!N:N,MATCH(1,(TRIM(Innings!A:A)=TRIM(A148))*(TRIM(Innings!D:D)=TRIM(E148)),0))</f>
        <v>0</v>
      </c>
      <c r="AD148" cm="1">
        <f t="array" ref="AD148">INDEX(Innings!S:S,MATCH(1,(TRIM(Innings!A:A)=TRIM(A148))*(TRIM(Innings!D:D)=TRIM(E148)),0))</f>
        <v>45</v>
      </c>
      <c r="AE148" t="str" cm="1">
        <f t="array" ref="AE148">INDEX(Innings!W:W,MATCH(1,(TRIM(Innings!A:A)=TRIM(A148))*(TRIM(Innings!D:D)=TRIM(E148)),0))</f>
        <v>Successful</v>
      </c>
      <c r="AF148">
        <f>IF(UPPER(TRIM(E148))=UPPER(TRIM(W148)),1,0)</f>
        <v>1</v>
      </c>
      <c r="AG148">
        <f t="shared" si="5"/>
        <v>28.164999999999999</v>
      </c>
    </row>
    <row r="149" spans="1:33" x14ac:dyDescent="0.3">
      <c r="A149" t="s">
        <v>140</v>
      </c>
      <c r="B149">
        <v>1</v>
      </c>
      <c r="C149" t="s">
        <v>119</v>
      </c>
      <c r="D149" t="s">
        <v>95</v>
      </c>
      <c r="E149" t="s">
        <v>266</v>
      </c>
      <c r="F149" t="s">
        <v>101</v>
      </c>
      <c r="G149" t="s">
        <v>134</v>
      </c>
      <c r="H149">
        <v>0</v>
      </c>
      <c r="I149">
        <v>0</v>
      </c>
      <c r="J149">
        <v>0</v>
      </c>
      <c r="K149" t="s">
        <v>104</v>
      </c>
      <c r="L149">
        <v>0</v>
      </c>
      <c r="M149">
        <v>3</v>
      </c>
      <c r="N149">
        <v>0</v>
      </c>
      <c r="O149">
        <v>29</v>
      </c>
      <c r="P149">
        <v>0</v>
      </c>
      <c r="Q149">
        <v>9.6999999999999993</v>
      </c>
      <c r="R149">
        <v>0</v>
      </c>
      <c r="S149">
        <v>0</v>
      </c>
      <c r="T149">
        <v>0</v>
      </c>
      <c r="U149" s="8">
        <v>0</v>
      </c>
      <c r="V149" s="8">
        <f t="shared" si="4"/>
        <v>0</v>
      </c>
      <c r="W149" t="str">
        <f>_xlfn.XLOOKUP(A149, Matches!A:A, Matches!L:L, "NA", 0)</f>
        <v>MIW</v>
      </c>
      <c r="X149" t="str">
        <f>_xlfn.XLOOKUP(A149, Matches!A:A, Matches!J:J, "NA", 0)</f>
        <v>DCW</v>
      </c>
      <c r="Y149" t="str">
        <f>_xlfn.XLOOKUP(A149, Matches!A:A, Matches!F:F, "NA", 0)</f>
        <v>Dr DY Patil Sports </v>
      </c>
      <c r="Z149" cm="1">
        <f t="array" ref="Z149">INDEX(Innings!F:F,MATCH(1,(TRIM(Innings!A:A)=TRIM(A149))*(TRIM(Innings!D:D)=TRIM(E149)),0))</f>
        <v>109</v>
      </c>
      <c r="AA149" cm="1">
        <f t="array" ref="AA149">INDEX(Innings!I:I,MATCH(1,(TRIM(Innings!A:A)=TRIM(A149))*(TRIM(Innings!D:D)=TRIM(E149)),0))</f>
        <v>7.27</v>
      </c>
      <c r="AB149" cm="1">
        <f t="array" ref="AB149">INDEX(Innings!J:J,MATCH(1,(TRIM(Innings!A:A)=TRIM(A149))*(TRIM(Innings!D:D)=TRIM(E149)),0))</f>
        <v>47</v>
      </c>
      <c r="AC149" cm="1">
        <f t="array" ref="AC149">INDEX(Innings!N:N,MATCH(1,(TRIM(Innings!A:A)=TRIM(A149))*(TRIM(Innings!D:D)=TRIM(E149)),0))</f>
        <v>0</v>
      </c>
      <c r="AD149" cm="1">
        <f t="array" ref="AD149">INDEX(Innings!S:S,MATCH(1,(TRIM(Innings!A:A)=TRIM(A149))*(TRIM(Innings!D:D)=TRIM(E149)),0))</f>
        <v>45</v>
      </c>
      <c r="AE149" t="str" cm="1">
        <f t="array" ref="AE149">INDEX(Innings!W:W,MATCH(1,(TRIM(Innings!A:A)=TRIM(A149))*(TRIM(Innings!D:D)=TRIM(E149)),0))</f>
        <v>Successful</v>
      </c>
      <c r="AF149">
        <f>IF(UPPER(TRIM(E149))=UPPER(TRIM(W149)),1,0)</f>
        <v>1</v>
      </c>
      <c r="AG149">
        <f t="shared" si="5"/>
        <v>20</v>
      </c>
    </row>
    <row r="150" spans="1:33" x14ac:dyDescent="0.3">
      <c r="A150" t="s">
        <v>140</v>
      </c>
      <c r="B150">
        <v>1</v>
      </c>
      <c r="C150" t="s">
        <v>123</v>
      </c>
      <c r="D150" t="s">
        <v>98</v>
      </c>
      <c r="E150" t="s">
        <v>266</v>
      </c>
      <c r="F150" t="s">
        <v>91</v>
      </c>
      <c r="G150" t="s">
        <v>134</v>
      </c>
      <c r="H150">
        <v>0</v>
      </c>
      <c r="I150">
        <v>0</v>
      </c>
      <c r="J150">
        <v>0</v>
      </c>
      <c r="K150" t="s">
        <v>104</v>
      </c>
      <c r="L150">
        <v>0</v>
      </c>
      <c r="M150">
        <v>1</v>
      </c>
      <c r="N150">
        <v>0</v>
      </c>
      <c r="O150">
        <v>6</v>
      </c>
      <c r="P150">
        <v>1</v>
      </c>
      <c r="Q150">
        <v>6</v>
      </c>
      <c r="R150">
        <v>20</v>
      </c>
      <c r="S150">
        <v>0</v>
      </c>
      <c r="T150">
        <v>0</v>
      </c>
      <c r="U150" s="8">
        <v>20</v>
      </c>
      <c r="V150" s="8">
        <f t="shared" si="4"/>
        <v>2</v>
      </c>
      <c r="W150" t="str">
        <f>_xlfn.XLOOKUP(A150, Matches!A:A, Matches!L:L, "NA", 0)</f>
        <v>MIW</v>
      </c>
      <c r="X150" t="str">
        <f>_xlfn.XLOOKUP(A150, Matches!A:A, Matches!J:J, "NA", 0)</f>
        <v>DCW</v>
      </c>
      <c r="Y150" t="str">
        <f>_xlfn.XLOOKUP(A150, Matches!A:A, Matches!F:F, "NA", 0)</f>
        <v>Dr DY Patil Sports </v>
      </c>
      <c r="Z150" cm="1">
        <f t="array" ref="Z150">INDEX(Innings!F:F,MATCH(1,(TRIM(Innings!A:A)=TRIM(A150))*(TRIM(Innings!D:D)=TRIM(E150)),0))</f>
        <v>109</v>
      </c>
      <c r="AA150" cm="1">
        <f t="array" ref="AA150">INDEX(Innings!I:I,MATCH(1,(TRIM(Innings!A:A)=TRIM(A150))*(TRIM(Innings!D:D)=TRIM(E150)),0))</f>
        <v>7.27</v>
      </c>
      <c r="AB150" cm="1">
        <f t="array" ref="AB150">INDEX(Innings!J:J,MATCH(1,(TRIM(Innings!A:A)=TRIM(A150))*(TRIM(Innings!D:D)=TRIM(E150)),0))</f>
        <v>47</v>
      </c>
      <c r="AC150" cm="1">
        <f t="array" ref="AC150">INDEX(Innings!N:N,MATCH(1,(TRIM(Innings!A:A)=TRIM(A150))*(TRIM(Innings!D:D)=TRIM(E150)),0))</f>
        <v>0</v>
      </c>
      <c r="AD150" cm="1">
        <f t="array" ref="AD150">INDEX(Innings!S:S,MATCH(1,(TRIM(Innings!A:A)=TRIM(A150))*(TRIM(Innings!D:D)=TRIM(E150)),0))</f>
        <v>45</v>
      </c>
      <c r="AE150" t="str" cm="1">
        <f t="array" ref="AE150">INDEX(Innings!W:W,MATCH(1,(TRIM(Innings!A:A)=TRIM(A150))*(TRIM(Innings!D:D)=TRIM(E150)),0))</f>
        <v>Successful</v>
      </c>
      <c r="AF150">
        <f>IF(UPPER(TRIM(E150))=UPPER(TRIM(W150)),1,0)</f>
        <v>1</v>
      </c>
      <c r="AG150">
        <f t="shared" si="5"/>
        <v>30.6</v>
      </c>
    </row>
    <row r="151" spans="1:33" x14ac:dyDescent="0.3">
      <c r="A151" t="s">
        <v>140</v>
      </c>
      <c r="B151">
        <v>1</v>
      </c>
      <c r="C151" t="s">
        <v>127</v>
      </c>
      <c r="D151" t="s">
        <v>100</v>
      </c>
      <c r="E151" t="s">
        <v>266</v>
      </c>
      <c r="F151" t="s">
        <v>101</v>
      </c>
      <c r="G151" t="s">
        <v>134</v>
      </c>
      <c r="H151">
        <v>0</v>
      </c>
      <c r="I151">
        <v>0</v>
      </c>
      <c r="J151">
        <v>0</v>
      </c>
      <c r="K151" t="s">
        <v>104</v>
      </c>
      <c r="L151">
        <v>0</v>
      </c>
      <c r="M151">
        <v>4</v>
      </c>
      <c r="N151">
        <v>0</v>
      </c>
      <c r="O151">
        <v>10</v>
      </c>
      <c r="P151">
        <v>3</v>
      </c>
      <c r="Q151">
        <v>2.5</v>
      </c>
      <c r="R151">
        <v>60</v>
      </c>
      <c r="S151">
        <v>0</v>
      </c>
      <c r="T151">
        <v>0</v>
      </c>
      <c r="U151" s="8">
        <v>60</v>
      </c>
      <c r="V151" s="8">
        <f t="shared" si="4"/>
        <v>6</v>
      </c>
      <c r="W151" t="str">
        <f>_xlfn.XLOOKUP(A151, Matches!A:A, Matches!L:L, "NA", 0)</f>
        <v>MIW</v>
      </c>
      <c r="X151" t="str">
        <f>_xlfn.XLOOKUP(A151, Matches!A:A, Matches!J:J, "NA", 0)</f>
        <v>DCW</v>
      </c>
      <c r="Y151" t="str">
        <f>_xlfn.XLOOKUP(A151, Matches!A:A, Matches!F:F, "NA", 0)</f>
        <v>Dr DY Patil Sports </v>
      </c>
      <c r="Z151" cm="1">
        <f t="array" ref="Z151">INDEX(Innings!F:F,MATCH(1,(TRIM(Innings!A:A)=TRIM(A151))*(TRIM(Innings!D:D)=TRIM(E151)),0))</f>
        <v>109</v>
      </c>
      <c r="AA151" cm="1">
        <f t="array" ref="AA151">INDEX(Innings!I:I,MATCH(1,(TRIM(Innings!A:A)=TRIM(A151))*(TRIM(Innings!D:D)=TRIM(E151)),0))</f>
        <v>7.27</v>
      </c>
      <c r="AB151" cm="1">
        <f t="array" ref="AB151">INDEX(Innings!J:J,MATCH(1,(TRIM(Innings!A:A)=TRIM(A151))*(TRIM(Innings!D:D)=TRIM(E151)),0))</f>
        <v>47</v>
      </c>
      <c r="AC151" cm="1">
        <f t="array" ref="AC151">INDEX(Innings!N:N,MATCH(1,(TRIM(Innings!A:A)=TRIM(A151))*(TRIM(Innings!D:D)=TRIM(E151)),0))</f>
        <v>0</v>
      </c>
      <c r="AD151" cm="1">
        <f t="array" ref="AD151">INDEX(Innings!S:S,MATCH(1,(TRIM(Innings!A:A)=TRIM(A151))*(TRIM(Innings!D:D)=TRIM(E151)),0))</f>
        <v>45</v>
      </c>
      <c r="AE151" t="str" cm="1">
        <f t="array" ref="AE151">INDEX(Innings!W:W,MATCH(1,(TRIM(Innings!A:A)=TRIM(A151))*(TRIM(Innings!D:D)=TRIM(E151)),0))</f>
        <v>Successful</v>
      </c>
      <c r="AF151">
        <f>IF(UPPER(TRIM(E151))=UPPER(TRIM(W151)),1,0)</f>
        <v>1</v>
      </c>
      <c r="AG151">
        <f t="shared" si="5"/>
        <v>51.8</v>
      </c>
    </row>
    <row r="152" spans="1:33" x14ac:dyDescent="0.3">
      <c r="A152" t="s">
        <v>140</v>
      </c>
      <c r="B152">
        <v>1</v>
      </c>
      <c r="C152" t="s">
        <v>121</v>
      </c>
      <c r="D152" t="s">
        <v>108</v>
      </c>
      <c r="E152" t="s">
        <v>266</v>
      </c>
      <c r="F152" t="s">
        <v>109</v>
      </c>
      <c r="G152" t="s">
        <v>135</v>
      </c>
      <c r="H152">
        <v>0</v>
      </c>
      <c r="I152">
        <v>0</v>
      </c>
      <c r="J152">
        <v>0</v>
      </c>
      <c r="K152" t="s">
        <v>104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 s="8">
        <v>0</v>
      </c>
      <c r="V152" s="8">
        <f t="shared" si="4"/>
        <v>0</v>
      </c>
      <c r="W152" t="str">
        <f>_xlfn.XLOOKUP(A152, Matches!A:A, Matches!L:L, "NA", 0)</f>
        <v>MIW</v>
      </c>
      <c r="X152" t="str">
        <f>_xlfn.XLOOKUP(A152, Matches!A:A, Matches!J:J, "NA", 0)</f>
        <v>DCW</v>
      </c>
      <c r="Y152" t="str">
        <f>_xlfn.XLOOKUP(A152, Matches!A:A, Matches!F:F, "NA", 0)</f>
        <v>Dr DY Patil Sports </v>
      </c>
      <c r="Z152" cm="1">
        <f t="array" ref="Z152">INDEX(Innings!F:F,MATCH(1,(TRIM(Innings!A:A)=TRIM(A152))*(TRIM(Innings!D:D)=TRIM(E152)),0))</f>
        <v>109</v>
      </c>
      <c r="AA152" cm="1">
        <f t="array" ref="AA152">INDEX(Innings!I:I,MATCH(1,(TRIM(Innings!A:A)=TRIM(A152))*(TRIM(Innings!D:D)=TRIM(E152)),0))</f>
        <v>7.27</v>
      </c>
      <c r="AB152" cm="1">
        <f t="array" ref="AB152">INDEX(Innings!J:J,MATCH(1,(TRIM(Innings!A:A)=TRIM(A152))*(TRIM(Innings!D:D)=TRIM(E152)),0))</f>
        <v>47</v>
      </c>
      <c r="AC152" cm="1">
        <f t="array" ref="AC152">INDEX(Innings!N:N,MATCH(1,(TRIM(Innings!A:A)=TRIM(A152))*(TRIM(Innings!D:D)=TRIM(E152)),0))</f>
        <v>0</v>
      </c>
      <c r="AD152" cm="1">
        <f t="array" ref="AD152">INDEX(Innings!S:S,MATCH(1,(TRIM(Innings!A:A)=TRIM(A152))*(TRIM(Innings!D:D)=TRIM(E152)),0))</f>
        <v>45</v>
      </c>
      <c r="AE152" t="str" cm="1">
        <f t="array" ref="AE152">INDEX(Innings!W:W,MATCH(1,(TRIM(Innings!A:A)=TRIM(A152))*(TRIM(Innings!D:D)=TRIM(E152)),0))</f>
        <v>Successful</v>
      </c>
      <c r="AF152">
        <f>IF(UPPER(TRIM(E152))=UPPER(TRIM(W152)),1,0)</f>
        <v>1</v>
      </c>
      <c r="AG152">
        <f t="shared" si="5"/>
        <v>20</v>
      </c>
    </row>
    <row r="153" spans="1:33" x14ac:dyDescent="0.3">
      <c r="A153" t="s">
        <v>140</v>
      </c>
      <c r="B153">
        <v>1</v>
      </c>
      <c r="C153" t="s">
        <v>125</v>
      </c>
      <c r="D153" t="s">
        <v>111</v>
      </c>
      <c r="E153" t="s">
        <v>266</v>
      </c>
      <c r="F153" t="s">
        <v>83</v>
      </c>
      <c r="G153" t="s">
        <v>135</v>
      </c>
      <c r="H153">
        <v>0</v>
      </c>
      <c r="I153">
        <v>0</v>
      </c>
      <c r="J153">
        <v>0</v>
      </c>
      <c r="K153" t="s">
        <v>104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 s="8">
        <v>0</v>
      </c>
      <c r="V153" s="8">
        <f t="shared" si="4"/>
        <v>0</v>
      </c>
      <c r="W153" t="str">
        <f>_xlfn.XLOOKUP(A153, Matches!A:A, Matches!L:L, "NA", 0)</f>
        <v>MIW</v>
      </c>
      <c r="X153" t="str">
        <f>_xlfn.XLOOKUP(A153, Matches!A:A, Matches!J:J, "NA", 0)</f>
        <v>DCW</v>
      </c>
      <c r="Y153" t="str">
        <f>_xlfn.XLOOKUP(A153, Matches!A:A, Matches!F:F, "NA", 0)</f>
        <v>Dr DY Patil Sports </v>
      </c>
      <c r="Z153" cm="1">
        <f t="array" ref="Z153">INDEX(Innings!F:F,MATCH(1,(TRIM(Innings!A:A)=TRIM(A153))*(TRIM(Innings!D:D)=TRIM(E153)),0))</f>
        <v>109</v>
      </c>
      <c r="AA153" cm="1">
        <f t="array" ref="AA153">INDEX(Innings!I:I,MATCH(1,(TRIM(Innings!A:A)=TRIM(A153))*(TRIM(Innings!D:D)=TRIM(E153)),0))</f>
        <v>7.27</v>
      </c>
      <c r="AB153" cm="1">
        <f t="array" ref="AB153">INDEX(Innings!J:J,MATCH(1,(TRIM(Innings!A:A)=TRIM(A153))*(TRIM(Innings!D:D)=TRIM(E153)),0))</f>
        <v>47</v>
      </c>
      <c r="AC153" cm="1">
        <f t="array" ref="AC153">INDEX(Innings!N:N,MATCH(1,(TRIM(Innings!A:A)=TRIM(A153))*(TRIM(Innings!D:D)=TRIM(E153)),0))</f>
        <v>0</v>
      </c>
      <c r="AD153" cm="1">
        <f t="array" ref="AD153">INDEX(Innings!S:S,MATCH(1,(TRIM(Innings!A:A)=TRIM(A153))*(TRIM(Innings!D:D)=TRIM(E153)),0))</f>
        <v>45</v>
      </c>
      <c r="AE153" t="str" cm="1">
        <f t="array" ref="AE153">INDEX(Innings!W:W,MATCH(1,(TRIM(Innings!A:A)=TRIM(A153))*(TRIM(Innings!D:D)=TRIM(E153)),0))</f>
        <v>Successful</v>
      </c>
      <c r="AF153">
        <f>IF(UPPER(TRIM(E153))=UPPER(TRIM(W153)),1,0)</f>
        <v>1</v>
      </c>
      <c r="AG153">
        <f t="shared" si="5"/>
        <v>20</v>
      </c>
    </row>
    <row r="154" spans="1:33" x14ac:dyDescent="0.3">
      <c r="A154" t="s">
        <v>140</v>
      </c>
      <c r="B154">
        <v>1</v>
      </c>
      <c r="C154" t="s">
        <v>129</v>
      </c>
      <c r="D154" t="s">
        <v>103</v>
      </c>
      <c r="E154" t="s">
        <v>266</v>
      </c>
      <c r="F154" t="s">
        <v>91</v>
      </c>
      <c r="G154" t="s">
        <v>135</v>
      </c>
      <c r="H154">
        <v>0</v>
      </c>
      <c r="I154">
        <v>0</v>
      </c>
      <c r="J154">
        <v>0</v>
      </c>
      <c r="K154" t="s">
        <v>104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 s="8">
        <v>0</v>
      </c>
      <c r="V154" s="8">
        <f t="shared" si="4"/>
        <v>0</v>
      </c>
      <c r="W154" t="str">
        <f>_xlfn.XLOOKUP(A154, Matches!A:A, Matches!L:L, "NA", 0)</f>
        <v>MIW</v>
      </c>
      <c r="X154" t="str">
        <f>_xlfn.XLOOKUP(A154, Matches!A:A, Matches!J:J, "NA", 0)</f>
        <v>DCW</v>
      </c>
      <c r="Y154" t="str">
        <f>_xlfn.XLOOKUP(A154, Matches!A:A, Matches!F:F, "NA", 0)</f>
        <v>Dr DY Patil Sports </v>
      </c>
      <c r="Z154" cm="1">
        <f t="array" ref="Z154">INDEX(Innings!F:F,MATCH(1,(TRIM(Innings!A:A)=TRIM(A154))*(TRIM(Innings!D:D)=TRIM(E154)),0))</f>
        <v>109</v>
      </c>
      <c r="AA154" cm="1">
        <f t="array" ref="AA154">INDEX(Innings!I:I,MATCH(1,(TRIM(Innings!A:A)=TRIM(A154))*(TRIM(Innings!D:D)=TRIM(E154)),0))</f>
        <v>7.27</v>
      </c>
      <c r="AB154" cm="1">
        <f t="array" ref="AB154">INDEX(Innings!J:J,MATCH(1,(TRIM(Innings!A:A)=TRIM(A154))*(TRIM(Innings!D:D)=TRIM(E154)),0))</f>
        <v>47</v>
      </c>
      <c r="AC154" cm="1">
        <f t="array" ref="AC154">INDEX(Innings!N:N,MATCH(1,(TRIM(Innings!A:A)=TRIM(A154))*(TRIM(Innings!D:D)=TRIM(E154)),0))</f>
        <v>0</v>
      </c>
      <c r="AD154" cm="1">
        <f t="array" ref="AD154">INDEX(Innings!S:S,MATCH(1,(TRIM(Innings!A:A)=TRIM(A154))*(TRIM(Innings!D:D)=TRIM(E154)),0))</f>
        <v>45</v>
      </c>
      <c r="AE154" t="str" cm="1">
        <f t="array" ref="AE154">INDEX(Innings!W:W,MATCH(1,(TRIM(Innings!A:A)=TRIM(A154))*(TRIM(Innings!D:D)=TRIM(E154)),0))</f>
        <v>Successful</v>
      </c>
      <c r="AF154">
        <f>IF(UPPER(TRIM(E154))=UPPER(TRIM(W154)),1,0)</f>
        <v>1</v>
      </c>
      <c r="AG154">
        <f t="shared" si="5"/>
        <v>20</v>
      </c>
    </row>
    <row r="155" spans="1:33" x14ac:dyDescent="0.3">
      <c r="A155" t="s">
        <v>140</v>
      </c>
      <c r="B155">
        <v>1</v>
      </c>
      <c r="C155" t="s">
        <v>131</v>
      </c>
      <c r="D155" t="s">
        <v>106</v>
      </c>
      <c r="E155" t="s">
        <v>266</v>
      </c>
      <c r="F155" t="s">
        <v>101</v>
      </c>
      <c r="G155" t="s">
        <v>135</v>
      </c>
      <c r="H155">
        <v>0</v>
      </c>
      <c r="I155">
        <v>0</v>
      </c>
      <c r="J155">
        <v>0</v>
      </c>
      <c r="K155" t="s">
        <v>104</v>
      </c>
      <c r="L155">
        <v>0</v>
      </c>
      <c r="M155">
        <v>3</v>
      </c>
      <c r="N155">
        <v>0</v>
      </c>
      <c r="O155">
        <v>13</v>
      </c>
      <c r="P155">
        <v>3</v>
      </c>
      <c r="Q155">
        <v>4.3</v>
      </c>
      <c r="R155">
        <v>60</v>
      </c>
      <c r="S155">
        <v>0</v>
      </c>
      <c r="T155">
        <v>0</v>
      </c>
      <c r="U155" s="8">
        <v>60</v>
      </c>
      <c r="V155" s="8">
        <f t="shared" si="4"/>
        <v>6</v>
      </c>
      <c r="W155" t="str">
        <f>_xlfn.XLOOKUP(A155, Matches!A:A, Matches!L:L, "NA", 0)</f>
        <v>MIW</v>
      </c>
      <c r="X155" t="str">
        <f>_xlfn.XLOOKUP(A155, Matches!A:A, Matches!J:J, "NA", 0)</f>
        <v>DCW</v>
      </c>
      <c r="Y155" t="str">
        <f>_xlfn.XLOOKUP(A155, Matches!A:A, Matches!F:F, "NA", 0)</f>
        <v>Dr DY Patil Sports </v>
      </c>
      <c r="Z155" cm="1">
        <f t="array" ref="Z155">INDEX(Innings!F:F,MATCH(1,(TRIM(Innings!A:A)=TRIM(A155))*(TRIM(Innings!D:D)=TRIM(E155)),0))</f>
        <v>109</v>
      </c>
      <c r="AA155" cm="1">
        <f t="array" ref="AA155">INDEX(Innings!I:I,MATCH(1,(TRIM(Innings!A:A)=TRIM(A155))*(TRIM(Innings!D:D)=TRIM(E155)),0))</f>
        <v>7.27</v>
      </c>
      <c r="AB155" cm="1">
        <f t="array" ref="AB155">INDEX(Innings!J:J,MATCH(1,(TRIM(Innings!A:A)=TRIM(A155))*(TRIM(Innings!D:D)=TRIM(E155)),0))</f>
        <v>47</v>
      </c>
      <c r="AC155" cm="1">
        <f t="array" ref="AC155">INDEX(Innings!N:N,MATCH(1,(TRIM(Innings!A:A)=TRIM(A155))*(TRIM(Innings!D:D)=TRIM(E155)),0))</f>
        <v>0</v>
      </c>
      <c r="AD155" cm="1">
        <f t="array" ref="AD155">INDEX(Innings!S:S,MATCH(1,(TRIM(Innings!A:A)=TRIM(A155))*(TRIM(Innings!D:D)=TRIM(E155)),0))</f>
        <v>45</v>
      </c>
      <c r="AE155" t="str" cm="1">
        <f t="array" ref="AE155">INDEX(Innings!W:W,MATCH(1,(TRIM(Innings!A:A)=TRIM(A155))*(TRIM(Innings!D:D)=TRIM(E155)),0))</f>
        <v>Successful</v>
      </c>
      <c r="AF155">
        <f>IF(UPPER(TRIM(E155))=UPPER(TRIM(W155)),1,0)</f>
        <v>1</v>
      </c>
      <c r="AG155">
        <f t="shared" si="5"/>
        <v>51.8</v>
      </c>
    </row>
    <row r="156" spans="1:33" x14ac:dyDescent="0.3">
      <c r="A156" t="s">
        <v>141</v>
      </c>
      <c r="B156">
        <v>1</v>
      </c>
      <c r="C156" t="s">
        <v>165</v>
      </c>
      <c r="D156" t="s">
        <v>166</v>
      </c>
      <c r="E156" t="s">
        <v>159</v>
      </c>
      <c r="F156" t="s">
        <v>109</v>
      </c>
      <c r="G156" t="s">
        <v>86</v>
      </c>
      <c r="H156">
        <v>4</v>
      </c>
      <c r="I156">
        <v>6</v>
      </c>
      <c r="J156">
        <v>66.67</v>
      </c>
      <c r="K156" t="s">
        <v>246</v>
      </c>
      <c r="L156">
        <v>2.67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 s="8">
        <v>2.67</v>
      </c>
      <c r="V156" s="8">
        <f t="shared" si="4"/>
        <v>0</v>
      </c>
      <c r="W156" t="str">
        <f>_xlfn.XLOOKUP(A156, Matches!A:A, Matches!L:L, "NA", 0)</f>
        <v>UPW</v>
      </c>
      <c r="X156" t="str">
        <f>_xlfn.XLOOKUP(A156, Matches!A:A, Matches!J:J, "NA", 0)</f>
        <v>RCBW</v>
      </c>
      <c r="Y156" t="str">
        <f>_xlfn.XLOOKUP(A156, Matches!A:A, Matches!F:F, "NA", 0)</f>
        <v>Brabourne Stadium</v>
      </c>
      <c r="Z156" cm="1">
        <f t="array" ref="Z156">INDEX(Innings!F:F,MATCH(1,(TRIM(Innings!A:A)=TRIM(A156))*(TRIM(Innings!D:D)=TRIM(E156)),0))</f>
        <v>138</v>
      </c>
      <c r="AA156" cm="1">
        <f t="array" ref="AA156">INDEX(Innings!I:I,MATCH(1,(TRIM(Innings!A:A)=TRIM(A156))*(TRIM(Innings!D:D)=TRIM(E156)),0))</f>
        <v>7.08</v>
      </c>
      <c r="AB156" cm="1">
        <f t="array" ref="AB156">INDEX(Innings!J:J,MATCH(1,(TRIM(Innings!A:A)=TRIM(A156))*(TRIM(Innings!D:D)=TRIM(E156)),0))</f>
        <v>54</v>
      </c>
      <c r="AC156" cm="1">
        <f t="array" ref="AC156">INDEX(Innings!N:N,MATCH(1,(TRIM(Innings!A:A)=TRIM(A156))*(TRIM(Innings!D:D)=TRIM(E156)),0))</f>
        <v>14</v>
      </c>
      <c r="AD156" cm="1">
        <f t="array" ref="AD156">INDEX(Innings!S:S,MATCH(1,(TRIM(Innings!A:A)=TRIM(A156))*(TRIM(Innings!D:D)=TRIM(E156)),0))</f>
        <v>39</v>
      </c>
      <c r="AE156" t="str" cm="1">
        <f t="array" ref="AE156">INDEX(Innings!W:W,MATCH(1,(TRIM(Innings!A:A)=TRIM(A156))*(TRIM(Innings!D:D)=TRIM(E156)),0))</f>
        <v>NA</v>
      </c>
      <c r="AF156">
        <f>IF(UPPER(TRIM(E156))=UPPER(TRIM(W156)),1,0)</f>
        <v>0</v>
      </c>
      <c r="AG156">
        <f t="shared" si="5"/>
        <v>1.335</v>
      </c>
    </row>
    <row r="157" spans="1:33" x14ac:dyDescent="0.3">
      <c r="A157" t="s">
        <v>141</v>
      </c>
      <c r="B157">
        <v>1</v>
      </c>
      <c r="C157" t="s">
        <v>167</v>
      </c>
      <c r="D157" t="s">
        <v>168</v>
      </c>
      <c r="E157" t="s">
        <v>159</v>
      </c>
      <c r="F157" t="s">
        <v>83</v>
      </c>
      <c r="G157" t="s">
        <v>86</v>
      </c>
      <c r="H157">
        <v>36</v>
      </c>
      <c r="I157">
        <v>24</v>
      </c>
      <c r="J157">
        <v>150</v>
      </c>
      <c r="K157" t="s">
        <v>245</v>
      </c>
      <c r="L157">
        <v>54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 s="8">
        <v>54</v>
      </c>
      <c r="V157" s="8">
        <f t="shared" si="4"/>
        <v>5</v>
      </c>
      <c r="W157" t="str">
        <f>_xlfn.XLOOKUP(A157, Matches!A:A, Matches!L:L, "NA", 0)</f>
        <v>UPW</v>
      </c>
      <c r="X157" t="str">
        <f>_xlfn.XLOOKUP(A157, Matches!A:A, Matches!J:J, "NA", 0)</f>
        <v>RCBW</v>
      </c>
      <c r="Y157" t="str">
        <f>_xlfn.XLOOKUP(A157, Matches!A:A, Matches!F:F, "NA", 0)</f>
        <v>Brabourne Stadium</v>
      </c>
      <c r="Z157" cm="1">
        <f t="array" ref="Z157">INDEX(Innings!F:F,MATCH(1,(TRIM(Innings!A:A)=TRIM(A157))*(TRIM(Innings!D:D)=TRIM(E157)),0))</f>
        <v>138</v>
      </c>
      <c r="AA157" cm="1">
        <f t="array" ref="AA157">INDEX(Innings!I:I,MATCH(1,(TRIM(Innings!A:A)=TRIM(A157))*(TRIM(Innings!D:D)=TRIM(E157)),0))</f>
        <v>7.08</v>
      </c>
      <c r="AB157" cm="1">
        <f t="array" ref="AB157">INDEX(Innings!J:J,MATCH(1,(TRIM(Innings!A:A)=TRIM(A157))*(TRIM(Innings!D:D)=TRIM(E157)),0))</f>
        <v>54</v>
      </c>
      <c r="AC157" cm="1">
        <f t="array" ref="AC157">INDEX(Innings!N:N,MATCH(1,(TRIM(Innings!A:A)=TRIM(A157))*(TRIM(Innings!D:D)=TRIM(E157)),0))</f>
        <v>14</v>
      </c>
      <c r="AD157" cm="1">
        <f t="array" ref="AD157">INDEX(Innings!S:S,MATCH(1,(TRIM(Innings!A:A)=TRIM(A157))*(TRIM(Innings!D:D)=TRIM(E157)),0))</f>
        <v>39</v>
      </c>
      <c r="AE157" t="str" cm="1">
        <f t="array" ref="AE157">INDEX(Innings!W:W,MATCH(1,(TRIM(Innings!A:A)=TRIM(A157))*(TRIM(Innings!D:D)=TRIM(E157)),0))</f>
        <v>NA</v>
      </c>
      <c r="AF157">
        <f>IF(UPPER(TRIM(E157))=UPPER(TRIM(W157)),1,0)</f>
        <v>0</v>
      </c>
      <c r="AG157">
        <f t="shared" si="5"/>
        <v>28.5</v>
      </c>
    </row>
    <row r="158" spans="1:33" x14ac:dyDescent="0.3">
      <c r="A158" t="s">
        <v>141</v>
      </c>
      <c r="B158">
        <v>1</v>
      </c>
      <c r="C158" t="s">
        <v>174</v>
      </c>
      <c r="D158" t="s">
        <v>175</v>
      </c>
      <c r="E158" t="s">
        <v>159</v>
      </c>
      <c r="F158" t="s">
        <v>83</v>
      </c>
      <c r="G158" t="s">
        <v>92</v>
      </c>
      <c r="H158">
        <v>52</v>
      </c>
      <c r="I158">
        <v>39</v>
      </c>
      <c r="J158">
        <v>133.33000000000001</v>
      </c>
      <c r="K158" t="s">
        <v>246</v>
      </c>
      <c r="L158">
        <v>69.33</v>
      </c>
      <c r="M158">
        <v>2</v>
      </c>
      <c r="N158">
        <v>0</v>
      </c>
      <c r="O158">
        <v>17</v>
      </c>
      <c r="P158">
        <v>0</v>
      </c>
      <c r="Q158">
        <v>8.5</v>
      </c>
      <c r="R158">
        <v>0</v>
      </c>
      <c r="S158">
        <v>0</v>
      </c>
      <c r="T158">
        <v>0</v>
      </c>
      <c r="U158" s="8">
        <v>69.33</v>
      </c>
      <c r="V158" s="8">
        <f t="shared" si="4"/>
        <v>7</v>
      </c>
      <c r="W158" t="str">
        <f>_xlfn.XLOOKUP(A158, Matches!A:A, Matches!L:L, "NA", 0)</f>
        <v>UPW</v>
      </c>
      <c r="X158" t="str">
        <f>_xlfn.XLOOKUP(A158, Matches!A:A, Matches!J:J, "NA", 0)</f>
        <v>RCBW</v>
      </c>
      <c r="Y158" t="str">
        <f>_xlfn.XLOOKUP(A158, Matches!A:A, Matches!F:F, "NA", 0)</f>
        <v>Brabourne Stadium</v>
      </c>
      <c r="Z158" cm="1">
        <f t="array" ref="Z158">INDEX(Innings!F:F,MATCH(1,(TRIM(Innings!A:A)=TRIM(A158))*(TRIM(Innings!D:D)=TRIM(E158)),0))</f>
        <v>138</v>
      </c>
      <c r="AA158" cm="1">
        <f t="array" ref="AA158">INDEX(Innings!I:I,MATCH(1,(TRIM(Innings!A:A)=TRIM(A158))*(TRIM(Innings!D:D)=TRIM(E158)),0))</f>
        <v>7.08</v>
      </c>
      <c r="AB158" cm="1">
        <f t="array" ref="AB158">INDEX(Innings!J:J,MATCH(1,(TRIM(Innings!A:A)=TRIM(A158))*(TRIM(Innings!D:D)=TRIM(E158)),0))</f>
        <v>54</v>
      </c>
      <c r="AC158" cm="1">
        <f t="array" ref="AC158">INDEX(Innings!N:N,MATCH(1,(TRIM(Innings!A:A)=TRIM(A158))*(TRIM(Innings!D:D)=TRIM(E158)),0))</f>
        <v>14</v>
      </c>
      <c r="AD158" cm="1">
        <f t="array" ref="AD158">INDEX(Innings!S:S,MATCH(1,(TRIM(Innings!A:A)=TRIM(A158))*(TRIM(Innings!D:D)=TRIM(E158)),0))</f>
        <v>39</v>
      </c>
      <c r="AE158" t="str" cm="1">
        <f t="array" ref="AE158">INDEX(Innings!W:W,MATCH(1,(TRIM(Innings!A:A)=TRIM(A158))*(TRIM(Innings!D:D)=TRIM(E158)),0))</f>
        <v>NA</v>
      </c>
      <c r="AF158">
        <f>IF(UPPER(TRIM(E158))=UPPER(TRIM(W158)),1,0)</f>
        <v>0</v>
      </c>
      <c r="AG158">
        <f t="shared" si="5"/>
        <v>36.765000000000001</v>
      </c>
    </row>
    <row r="159" spans="1:33" x14ac:dyDescent="0.3">
      <c r="A159" t="s">
        <v>141</v>
      </c>
      <c r="B159">
        <v>1</v>
      </c>
      <c r="C159" t="s">
        <v>178</v>
      </c>
      <c r="D159" t="s">
        <v>179</v>
      </c>
      <c r="E159" t="s">
        <v>159</v>
      </c>
      <c r="F159" t="s">
        <v>83</v>
      </c>
      <c r="G159" t="s">
        <v>92</v>
      </c>
      <c r="H159">
        <v>8</v>
      </c>
      <c r="I159">
        <v>10</v>
      </c>
      <c r="J159">
        <v>80</v>
      </c>
      <c r="K159" t="s">
        <v>246</v>
      </c>
      <c r="L159">
        <v>6.4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 s="8">
        <v>6.4</v>
      </c>
      <c r="V159" s="8">
        <f t="shared" si="4"/>
        <v>1</v>
      </c>
      <c r="W159" t="str">
        <f>_xlfn.XLOOKUP(A159, Matches!A:A, Matches!L:L, "NA", 0)</f>
        <v>UPW</v>
      </c>
      <c r="X159" t="str">
        <f>_xlfn.XLOOKUP(A159, Matches!A:A, Matches!J:J, "NA", 0)</f>
        <v>RCBW</v>
      </c>
      <c r="Y159" t="str">
        <f>_xlfn.XLOOKUP(A159, Matches!A:A, Matches!F:F, "NA", 0)</f>
        <v>Brabourne Stadium</v>
      </c>
      <c r="Z159" cm="1">
        <f t="array" ref="Z159">INDEX(Innings!F:F,MATCH(1,(TRIM(Innings!A:A)=TRIM(A159))*(TRIM(Innings!D:D)=TRIM(E159)),0))</f>
        <v>138</v>
      </c>
      <c r="AA159" cm="1">
        <f t="array" ref="AA159">INDEX(Innings!I:I,MATCH(1,(TRIM(Innings!A:A)=TRIM(A159))*(TRIM(Innings!D:D)=TRIM(E159)),0))</f>
        <v>7.08</v>
      </c>
      <c r="AB159" cm="1">
        <f t="array" ref="AB159">INDEX(Innings!J:J,MATCH(1,(TRIM(Innings!A:A)=TRIM(A159))*(TRIM(Innings!D:D)=TRIM(E159)),0))</f>
        <v>54</v>
      </c>
      <c r="AC159" cm="1">
        <f t="array" ref="AC159">INDEX(Innings!N:N,MATCH(1,(TRIM(Innings!A:A)=TRIM(A159))*(TRIM(Innings!D:D)=TRIM(E159)),0))</f>
        <v>14</v>
      </c>
      <c r="AD159" cm="1">
        <f t="array" ref="AD159">INDEX(Innings!S:S,MATCH(1,(TRIM(Innings!A:A)=TRIM(A159))*(TRIM(Innings!D:D)=TRIM(E159)),0))</f>
        <v>39</v>
      </c>
      <c r="AE159" t="str" cm="1">
        <f t="array" ref="AE159">INDEX(Innings!W:W,MATCH(1,(TRIM(Innings!A:A)=TRIM(A159))*(TRIM(Innings!D:D)=TRIM(E159)),0))</f>
        <v>NA</v>
      </c>
      <c r="AF159">
        <f>IF(UPPER(TRIM(E159))=UPPER(TRIM(W159)),1,0)</f>
        <v>0</v>
      </c>
      <c r="AG159">
        <f t="shared" si="5"/>
        <v>3.5</v>
      </c>
    </row>
    <row r="160" spans="1:33" x14ac:dyDescent="0.3">
      <c r="A160" t="s">
        <v>141</v>
      </c>
      <c r="B160">
        <v>1</v>
      </c>
      <c r="C160" t="s">
        <v>170</v>
      </c>
      <c r="D160" t="s">
        <v>171</v>
      </c>
      <c r="E160" t="s">
        <v>159</v>
      </c>
      <c r="F160" t="s">
        <v>83</v>
      </c>
      <c r="G160" t="s">
        <v>134</v>
      </c>
      <c r="H160">
        <v>2</v>
      </c>
      <c r="I160">
        <v>2</v>
      </c>
      <c r="J160">
        <v>100</v>
      </c>
      <c r="K160" t="s">
        <v>256</v>
      </c>
      <c r="L160">
        <v>2</v>
      </c>
      <c r="M160">
        <v>1</v>
      </c>
      <c r="N160">
        <v>0</v>
      </c>
      <c r="O160">
        <v>9</v>
      </c>
      <c r="P160">
        <v>0</v>
      </c>
      <c r="Q160">
        <v>9</v>
      </c>
      <c r="R160">
        <v>0</v>
      </c>
      <c r="S160">
        <v>0</v>
      </c>
      <c r="T160">
        <v>1</v>
      </c>
      <c r="U160" s="8">
        <v>2</v>
      </c>
      <c r="V160" s="8">
        <f t="shared" si="4"/>
        <v>0</v>
      </c>
      <c r="W160" t="str">
        <f>_xlfn.XLOOKUP(A160, Matches!A:A, Matches!L:L, "NA", 0)</f>
        <v>UPW</v>
      </c>
      <c r="X160" t="str">
        <f>_xlfn.XLOOKUP(A160, Matches!A:A, Matches!J:J, "NA", 0)</f>
        <v>RCBW</v>
      </c>
      <c r="Y160" t="str">
        <f>_xlfn.XLOOKUP(A160, Matches!A:A, Matches!F:F, "NA", 0)</f>
        <v>Brabourne Stadium</v>
      </c>
      <c r="Z160" cm="1">
        <f t="array" ref="Z160">INDEX(Innings!F:F,MATCH(1,(TRIM(Innings!A:A)=TRIM(A160))*(TRIM(Innings!D:D)=TRIM(E160)),0))</f>
        <v>138</v>
      </c>
      <c r="AA160" cm="1">
        <f t="array" ref="AA160">INDEX(Innings!I:I,MATCH(1,(TRIM(Innings!A:A)=TRIM(A160))*(TRIM(Innings!D:D)=TRIM(E160)),0))</f>
        <v>7.08</v>
      </c>
      <c r="AB160" cm="1">
        <f t="array" ref="AB160">INDEX(Innings!J:J,MATCH(1,(TRIM(Innings!A:A)=TRIM(A160))*(TRIM(Innings!D:D)=TRIM(E160)),0))</f>
        <v>54</v>
      </c>
      <c r="AC160" cm="1">
        <f t="array" ref="AC160">INDEX(Innings!N:N,MATCH(1,(TRIM(Innings!A:A)=TRIM(A160))*(TRIM(Innings!D:D)=TRIM(E160)),0))</f>
        <v>14</v>
      </c>
      <c r="AD160" cm="1">
        <f t="array" ref="AD160">INDEX(Innings!S:S,MATCH(1,(TRIM(Innings!A:A)=TRIM(A160))*(TRIM(Innings!D:D)=TRIM(E160)),0))</f>
        <v>39</v>
      </c>
      <c r="AE160" t="str" cm="1">
        <f t="array" ref="AE160">INDEX(Innings!W:W,MATCH(1,(TRIM(Innings!A:A)=TRIM(A160))*(TRIM(Innings!D:D)=TRIM(E160)),0))</f>
        <v>NA</v>
      </c>
      <c r="AF160">
        <f>IF(UPPER(TRIM(E160))=UPPER(TRIM(W160)),1,0)</f>
        <v>0</v>
      </c>
      <c r="AG160">
        <f t="shared" si="5"/>
        <v>1</v>
      </c>
    </row>
    <row r="161" spans="1:33" x14ac:dyDescent="0.3">
      <c r="A161" t="s">
        <v>141</v>
      </c>
      <c r="B161">
        <v>1</v>
      </c>
      <c r="C161" t="s">
        <v>259</v>
      </c>
      <c r="D161" t="s">
        <v>257</v>
      </c>
      <c r="E161" t="s">
        <v>159</v>
      </c>
      <c r="F161" t="s">
        <v>101</v>
      </c>
      <c r="G161" t="s">
        <v>134</v>
      </c>
      <c r="H161">
        <v>15</v>
      </c>
      <c r="I161">
        <v>10</v>
      </c>
      <c r="J161">
        <v>150</v>
      </c>
      <c r="K161" t="s">
        <v>246</v>
      </c>
      <c r="L161">
        <v>22.5</v>
      </c>
      <c r="M161">
        <v>3</v>
      </c>
      <c r="N161">
        <v>0</v>
      </c>
      <c r="O161">
        <v>36</v>
      </c>
      <c r="P161">
        <v>0</v>
      </c>
      <c r="Q161">
        <v>12</v>
      </c>
      <c r="R161">
        <v>0</v>
      </c>
      <c r="S161">
        <v>0</v>
      </c>
      <c r="T161">
        <v>0</v>
      </c>
      <c r="U161" s="8">
        <v>22.5</v>
      </c>
      <c r="V161" s="8">
        <f t="shared" si="4"/>
        <v>2</v>
      </c>
      <c r="W161" t="str">
        <f>_xlfn.XLOOKUP(A161, Matches!A:A, Matches!L:L, "NA", 0)</f>
        <v>UPW</v>
      </c>
      <c r="X161" t="str">
        <f>_xlfn.XLOOKUP(A161, Matches!A:A, Matches!J:J, "NA", 0)</f>
        <v>RCBW</v>
      </c>
      <c r="Y161" t="str">
        <f>_xlfn.XLOOKUP(A161, Matches!A:A, Matches!F:F, "NA", 0)</f>
        <v>Brabourne Stadium</v>
      </c>
      <c r="Z161" cm="1">
        <f t="array" ref="Z161">INDEX(Innings!F:F,MATCH(1,(TRIM(Innings!A:A)=TRIM(A161))*(TRIM(Innings!D:D)=TRIM(E161)),0))</f>
        <v>138</v>
      </c>
      <c r="AA161" cm="1">
        <f t="array" ref="AA161">INDEX(Innings!I:I,MATCH(1,(TRIM(Innings!A:A)=TRIM(A161))*(TRIM(Innings!D:D)=TRIM(E161)),0))</f>
        <v>7.08</v>
      </c>
      <c r="AB161" cm="1">
        <f t="array" ref="AB161">INDEX(Innings!J:J,MATCH(1,(TRIM(Innings!A:A)=TRIM(A161))*(TRIM(Innings!D:D)=TRIM(E161)),0))</f>
        <v>54</v>
      </c>
      <c r="AC161" cm="1">
        <f t="array" ref="AC161">INDEX(Innings!N:N,MATCH(1,(TRIM(Innings!A:A)=TRIM(A161))*(TRIM(Innings!D:D)=TRIM(E161)),0))</f>
        <v>14</v>
      </c>
      <c r="AD161" cm="1">
        <f t="array" ref="AD161">INDEX(Innings!S:S,MATCH(1,(TRIM(Innings!A:A)=TRIM(A161))*(TRIM(Innings!D:D)=TRIM(E161)),0))</f>
        <v>39</v>
      </c>
      <c r="AE161" t="str" cm="1">
        <f t="array" ref="AE161">INDEX(Innings!W:W,MATCH(1,(TRIM(Innings!A:A)=TRIM(A161))*(TRIM(Innings!D:D)=TRIM(E161)),0))</f>
        <v>NA</v>
      </c>
      <c r="AF161">
        <f>IF(UPPER(TRIM(E161))=UPPER(TRIM(W161)),1,0)</f>
        <v>0</v>
      </c>
      <c r="AG161">
        <f t="shared" si="5"/>
        <v>11.85</v>
      </c>
    </row>
    <row r="162" spans="1:33" x14ac:dyDescent="0.3">
      <c r="A162" t="s">
        <v>141</v>
      </c>
      <c r="B162">
        <v>1</v>
      </c>
      <c r="C162" t="s">
        <v>275</v>
      </c>
      <c r="D162" t="s">
        <v>287</v>
      </c>
      <c r="E162" t="s">
        <v>159</v>
      </c>
      <c r="F162" t="s">
        <v>91</v>
      </c>
      <c r="G162" t="s">
        <v>134</v>
      </c>
      <c r="H162">
        <v>12</v>
      </c>
      <c r="I162">
        <v>9</v>
      </c>
      <c r="J162">
        <v>133.33000000000001</v>
      </c>
      <c r="K162" t="s">
        <v>245</v>
      </c>
      <c r="L162">
        <v>16</v>
      </c>
      <c r="M162">
        <v>2</v>
      </c>
      <c r="N162">
        <v>0</v>
      </c>
      <c r="O162">
        <v>18</v>
      </c>
      <c r="P162">
        <v>0</v>
      </c>
      <c r="Q162">
        <v>9</v>
      </c>
      <c r="R162">
        <v>0</v>
      </c>
      <c r="S162">
        <v>0</v>
      </c>
      <c r="T162">
        <v>0</v>
      </c>
      <c r="U162" s="8">
        <v>16</v>
      </c>
      <c r="V162" s="8">
        <f t="shared" si="4"/>
        <v>2</v>
      </c>
      <c r="W162" t="str">
        <f>_xlfn.XLOOKUP(A162, Matches!A:A, Matches!L:L, "NA", 0)</f>
        <v>UPW</v>
      </c>
      <c r="X162" t="str">
        <f>_xlfn.XLOOKUP(A162, Matches!A:A, Matches!J:J, "NA", 0)</f>
        <v>RCBW</v>
      </c>
      <c r="Y162" t="str">
        <f>_xlfn.XLOOKUP(A162, Matches!A:A, Matches!F:F, "NA", 0)</f>
        <v>Brabourne Stadium</v>
      </c>
      <c r="Z162" cm="1">
        <f t="array" ref="Z162">INDEX(Innings!F:F,MATCH(1,(TRIM(Innings!A:A)=TRIM(A162))*(TRIM(Innings!D:D)=TRIM(E162)),0))</f>
        <v>138</v>
      </c>
      <c r="AA162" cm="1">
        <f t="array" ref="AA162">INDEX(Innings!I:I,MATCH(1,(TRIM(Innings!A:A)=TRIM(A162))*(TRIM(Innings!D:D)=TRIM(E162)),0))</f>
        <v>7.08</v>
      </c>
      <c r="AB162" cm="1">
        <f t="array" ref="AB162">INDEX(Innings!J:J,MATCH(1,(TRIM(Innings!A:A)=TRIM(A162))*(TRIM(Innings!D:D)=TRIM(E162)),0))</f>
        <v>54</v>
      </c>
      <c r="AC162" cm="1">
        <f t="array" ref="AC162">INDEX(Innings!N:N,MATCH(1,(TRIM(Innings!A:A)=TRIM(A162))*(TRIM(Innings!D:D)=TRIM(E162)),0))</f>
        <v>14</v>
      </c>
      <c r="AD162" cm="1">
        <f t="array" ref="AD162">INDEX(Innings!S:S,MATCH(1,(TRIM(Innings!A:A)=TRIM(A162))*(TRIM(Innings!D:D)=TRIM(E162)),0))</f>
        <v>39</v>
      </c>
      <c r="AE162" t="str" cm="1">
        <f t="array" ref="AE162">INDEX(Innings!W:W,MATCH(1,(TRIM(Innings!A:A)=TRIM(A162))*(TRIM(Innings!D:D)=TRIM(E162)),0))</f>
        <v>NA</v>
      </c>
      <c r="AF162">
        <f>IF(UPPER(TRIM(E162))=UPPER(TRIM(W162)),1,0)</f>
        <v>0</v>
      </c>
      <c r="AG162">
        <f t="shared" si="5"/>
        <v>8.6</v>
      </c>
    </row>
    <row r="163" spans="1:33" x14ac:dyDescent="0.3">
      <c r="A163" t="s">
        <v>141</v>
      </c>
      <c r="B163">
        <v>1</v>
      </c>
      <c r="C163" t="s">
        <v>176</v>
      </c>
      <c r="D163" t="s">
        <v>177</v>
      </c>
      <c r="E163" t="s">
        <v>159</v>
      </c>
      <c r="F163" t="s">
        <v>85</v>
      </c>
      <c r="G163" t="s">
        <v>134</v>
      </c>
      <c r="H163">
        <v>1</v>
      </c>
      <c r="I163">
        <v>1</v>
      </c>
      <c r="J163">
        <v>100</v>
      </c>
      <c r="K163" t="s">
        <v>256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 s="8">
        <v>1</v>
      </c>
      <c r="V163" s="8">
        <f t="shared" si="4"/>
        <v>0</v>
      </c>
      <c r="W163" t="str">
        <f>_xlfn.XLOOKUP(A163, Matches!A:A, Matches!L:L, "NA", 0)</f>
        <v>UPW</v>
      </c>
      <c r="X163" t="str">
        <f>_xlfn.XLOOKUP(A163, Matches!A:A, Matches!J:J, "NA", 0)</f>
        <v>RCBW</v>
      </c>
      <c r="Y163" t="str">
        <f>_xlfn.XLOOKUP(A163, Matches!A:A, Matches!F:F, "NA", 0)</f>
        <v>Brabourne Stadium</v>
      </c>
      <c r="Z163" cm="1">
        <f t="array" ref="Z163">INDEX(Innings!F:F,MATCH(1,(TRIM(Innings!A:A)=TRIM(A163))*(TRIM(Innings!D:D)=TRIM(E163)),0))</f>
        <v>138</v>
      </c>
      <c r="AA163" cm="1">
        <f t="array" ref="AA163">INDEX(Innings!I:I,MATCH(1,(TRIM(Innings!A:A)=TRIM(A163))*(TRIM(Innings!D:D)=TRIM(E163)),0))</f>
        <v>7.08</v>
      </c>
      <c r="AB163" cm="1">
        <f t="array" ref="AB163">INDEX(Innings!J:J,MATCH(1,(TRIM(Innings!A:A)=TRIM(A163))*(TRIM(Innings!D:D)=TRIM(E163)),0))</f>
        <v>54</v>
      </c>
      <c r="AC163" cm="1">
        <f t="array" ref="AC163">INDEX(Innings!N:N,MATCH(1,(TRIM(Innings!A:A)=TRIM(A163))*(TRIM(Innings!D:D)=TRIM(E163)),0))</f>
        <v>14</v>
      </c>
      <c r="AD163" cm="1">
        <f t="array" ref="AD163">INDEX(Innings!S:S,MATCH(1,(TRIM(Innings!A:A)=TRIM(A163))*(TRIM(Innings!D:D)=TRIM(E163)),0))</f>
        <v>39</v>
      </c>
      <c r="AE163" t="str" cm="1">
        <f t="array" ref="AE163">INDEX(Innings!W:W,MATCH(1,(TRIM(Innings!A:A)=TRIM(A163))*(TRIM(Innings!D:D)=TRIM(E163)),0))</f>
        <v>NA</v>
      </c>
      <c r="AF163">
        <f>IF(UPPER(TRIM(E163))=UPPER(TRIM(W163)),1,0)</f>
        <v>0</v>
      </c>
      <c r="AG163">
        <f t="shared" si="5"/>
        <v>0.5</v>
      </c>
    </row>
    <row r="164" spans="1:33" x14ac:dyDescent="0.3">
      <c r="A164" t="s">
        <v>141</v>
      </c>
      <c r="B164">
        <v>1</v>
      </c>
      <c r="C164" t="s">
        <v>276</v>
      </c>
      <c r="D164" t="s">
        <v>288</v>
      </c>
      <c r="E164" t="s">
        <v>159</v>
      </c>
      <c r="F164" t="s">
        <v>101</v>
      </c>
      <c r="G164" t="s">
        <v>135</v>
      </c>
      <c r="H164">
        <v>5</v>
      </c>
      <c r="I164">
        <v>7</v>
      </c>
      <c r="J164">
        <v>71.430000000000007</v>
      </c>
      <c r="K164" t="s">
        <v>96</v>
      </c>
      <c r="L164">
        <v>3.57</v>
      </c>
      <c r="M164">
        <v>2</v>
      </c>
      <c r="N164">
        <v>0</v>
      </c>
      <c r="O164">
        <v>22</v>
      </c>
      <c r="P164">
        <v>0</v>
      </c>
      <c r="Q164">
        <v>11</v>
      </c>
      <c r="R164">
        <v>0</v>
      </c>
      <c r="S164">
        <v>0</v>
      </c>
      <c r="T164">
        <v>0</v>
      </c>
      <c r="U164" s="8">
        <v>3.57</v>
      </c>
      <c r="V164" s="8">
        <f t="shared" si="4"/>
        <v>0</v>
      </c>
      <c r="W164" t="str">
        <f>_xlfn.XLOOKUP(A164, Matches!A:A, Matches!L:L, "NA", 0)</f>
        <v>UPW</v>
      </c>
      <c r="X164" t="str">
        <f>_xlfn.XLOOKUP(A164, Matches!A:A, Matches!J:J, "NA", 0)</f>
        <v>RCBW</v>
      </c>
      <c r="Y164" t="str">
        <f>_xlfn.XLOOKUP(A164, Matches!A:A, Matches!F:F, "NA", 0)</f>
        <v>Brabourne Stadium</v>
      </c>
      <c r="Z164" cm="1">
        <f t="array" ref="Z164">INDEX(Innings!F:F,MATCH(1,(TRIM(Innings!A:A)=TRIM(A164))*(TRIM(Innings!D:D)=TRIM(E164)),0))</f>
        <v>138</v>
      </c>
      <c r="AA164" cm="1">
        <f t="array" ref="AA164">INDEX(Innings!I:I,MATCH(1,(TRIM(Innings!A:A)=TRIM(A164))*(TRIM(Innings!D:D)=TRIM(E164)),0))</f>
        <v>7.08</v>
      </c>
      <c r="AB164" cm="1">
        <f t="array" ref="AB164">INDEX(Innings!J:J,MATCH(1,(TRIM(Innings!A:A)=TRIM(A164))*(TRIM(Innings!D:D)=TRIM(E164)),0))</f>
        <v>54</v>
      </c>
      <c r="AC164" cm="1">
        <f t="array" ref="AC164">INDEX(Innings!N:N,MATCH(1,(TRIM(Innings!A:A)=TRIM(A164))*(TRIM(Innings!D:D)=TRIM(E164)),0))</f>
        <v>14</v>
      </c>
      <c r="AD164" cm="1">
        <f t="array" ref="AD164">INDEX(Innings!S:S,MATCH(1,(TRIM(Innings!A:A)=TRIM(A164))*(TRIM(Innings!D:D)=TRIM(E164)),0))</f>
        <v>39</v>
      </c>
      <c r="AE164" t="str" cm="1">
        <f t="array" ref="AE164">INDEX(Innings!W:W,MATCH(1,(TRIM(Innings!A:A)=TRIM(A164))*(TRIM(Innings!D:D)=TRIM(E164)),0))</f>
        <v>NA</v>
      </c>
      <c r="AF164">
        <f>IF(UPPER(TRIM(E164))=UPPER(TRIM(W164)),1,0)</f>
        <v>0</v>
      </c>
      <c r="AG164">
        <f t="shared" si="5"/>
        <v>1.7849999999999999</v>
      </c>
    </row>
    <row r="165" spans="1:33" x14ac:dyDescent="0.3">
      <c r="A165" t="s">
        <v>141</v>
      </c>
      <c r="B165">
        <v>1</v>
      </c>
      <c r="C165" t="s">
        <v>186</v>
      </c>
      <c r="D165" t="s">
        <v>187</v>
      </c>
      <c r="E165" t="s">
        <v>159</v>
      </c>
      <c r="F165" t="s">
        <v>101</v>
      </c>
      <c r="G165" t="s">
        <v>135</v>
      </c>
      <c r="H165">
        <v>3</v>
      </c>
      <c r="I165">
        <v>8</v>
      </c>
      <c r="J165">
        <v>37.5</v>
      </c>
      <c r="K165" t="s">
        <v>245</v>
      </c>
      <c r="L165">
        <v>1.1299999999999999</v>
      </c>
      <c r="M165">
        <v>2</v>
      </c>
      <c r="N165">
        <v>0</v>
      </c>
      <c r="O165">
        <v>20</v>
      </c>
      <c r="P165">
        <v>0</v>
      </c>
      <c r="Q165">
        <v>10</v>
      </c>
      <c r="R165">
        <v>0</v>
      </c>
      <c r="S165">
        <v>0</v>
      </c>
      <c r="T165">
        <v>0</v>
      </c>
      <c r="U165" s="8">
        <v>1.1299999999999999</v>
      </c>
      <c r="V165" s="8">
        <f t="shared" si="4"/>
        <v>0</v>
      </c>
      <c r="W165" t="str">
        <f>_xlfn.XLOOKUP(A165, Matches!A:A, Matches!L:L, "NA", 0)</f>
        <v>UPW</v>
      </c>
      <c r="X165" t="str">
        <f>_xlfn.XLOOKUP(A165, Matches!A:A, Matches!J:J, "NA", 0)</f>
        <v>RCBW</v>
      </c>
      <c r="Y165" t="str">
        <f>_xlfn.XLOOKUP(A165, Matches!A:A, Matches!F:F, "NA", 0)</f>
        <v>Brabourne Stadium</v>
      </c>
      <c r="Z165" cm="1">
        <f t="array" ref="Z165">INDEX(Innings!F:F,MATCH(1,(TRIM(Innings!A:A)=TRIM(A165))*(TRIM(Innings!D:D)=TRIM(E165)),0))</f>
        <v>138</v>
      </c>
      <c r="AA165" cm="1">
        <f t="array" ref="AA165">INDEX(Innings!I:I,MATCH(1,(TRIM(Innings!A:A)=TRIM(A165))*(TRIM(Innings!D:D)=TRIM(E165)),0))</f>
        <v>7.08</v>
      </c>
      <c r="AB165" cm="1">
        <f t="array" ref="AB165">INDEX(Innings!J:J,MATCH(1,(TRIM(Innings!A:A)=TRIM(A165))*(TRIM(Innings!D:D)=TRIM(E165)),0))</f>
        <v>54</v>
      </c>
      <c r="AC165" cm="1">
        <f t="array" ref="AC165">INDEX(Innings!N:N,MATCH(1,(TRIM(Innings!A:A)=TRIM(A165))*(TRIM(Innings!D:D)=TRIM(E165)),0))</f>
        <v>14</v>
      </c>
      <c r="AD165" cm="1">
        <f t="array" ref="AD165">INDEX(Innings!S:S,MATCH(1,(TRIM(Innings!A:A)=TRIM(A165))*(TRIM(Innings!D:D)=TRIM(E165)),0))</f>
        <v>39</v>
      </c>
      <c r="AE165" t="str" cm="1">
        <f t="array" ref="AE165">INDEX(Innings!W:W,MATCH(1,(TRIM(Innings!A:A)=TRIM(A165))*(TRIM(Innings!D:D)=TRIM(E165)),0))</f>
        <v>NA</v>
      </c>
      <c r="AF165">
        <f>IF(UPPER(TRIM(E165))=UPPER(TRIM(W165)),1,0)</f>
        <v>0</v>
      </c>
      <c r="AG165">
        <f t="shared" si="5"/>
        <v>0.56499999999999995</v>
      </c>
    </row>
    <row r="166" spans="1:33" x14ac:dyDescent="0.3">
      <c r="A166" t="s">
        <v>141</v>
      </c>
      <c r="B166">
        <v>1</v>
      </c>
      <c r="C166" t="s">
        <v>277</v>
      </c>
      <c r="D166" t="s">
        <v>289</v>
      </c>
      <c r="E166" t="s">
        <v>159</v>
      </c>
      <c r="F166" t="s">
        <v>101</v>
      </c>
      <c r="G166" t="s">
        <v>135</v>
      </c>
      <c r="H166">
        <v>0</v>
      </c>
      <c r="I166">
        <v>1</v>
      </c>
      <c r="J166">
        <v>0</v>
      </c>
      <c r="K166" t="s">
        <v>247</v>
      </c>
      <c r="L166">
        <v>0</v>
      </c>
      <c r="M166">
        <v>1</v>
      </c>
      <c r="N166">
        <v>0</v>
      </c>
      <c r="O166">
        <v>11</v>
      </c>
      <c r="P166">
        <v>0</v>
      </c>
      <c r="Q166">
        <v>11</v>
      </c>
      <c r="R166">
        <v>0</v>
      </c>
      <c r="S166">
        <v>0</v>
      </c>
      <c r="T166">
        <v>0</v>
      </c>
      <c r="U166" s="8">
        <v>0</v>
      </c>
      <c r="V166" s="8">
        <f t="shared" si="4"/>
        <v>0</v>
      </c>
      <c r="W166" t="str">
        <f>_xlfn.XLOOKUP(A166, Matches!A:A, Matches!L:L, "NA", 0)</f>
        <v>UPW</v>
      </c>
      <c r="X166" t="str">
        <f>_xlfn.XLOOKUP(A166, Matches!A:A, Matches!J:J, "NA", 0)</f>
        <v>RCBW</v>
      </c>
      <c r="Y166" t="str">
        <f>_xlfn.XLOOKUP(A166, Matches!A:A, Matches!F:F, "NA", 0)</f>
        <v>Brabourne Stadium</v>
      </c>
      <c r="Z166" cm="1">
        <f t="array" ref="Z166">INDEX(Innings!F:F,MATCH(1,(TRIM(Innings!A:A)=TRIM(A166))*(TRIM(Innings!D:D)=TRIM(E166)),0))</f>
        <v>138</v>
      </c>
      <c r="AA166" cm="1">
        <f t="array" ref="AA166">INDEX(Innings!I:I,MATCH(1,(TRIM(Innings!A:A)=TRIM(A166))*(TRIM(Innings!D:D)=TRIM(E166)),0))</f>
        <v>7.08</v>
      </c>
      <c r="AB166" cm="1">
        <f t="array" ref="AB166">INDEX(Innings!J:J,MATCH(1,(TRIM(Innings!A:A)=TRIM(A166))*(TRIM(Innings!D:D)=TRIM(E166)),0))</f>
        <v>54</v>
      </c>
      <c r="AC166" cm="1">
        <f t="array" ref="AC166">INDEX(Innings!N:N,MATCH(1,(TRIM(Innings!A:A)=TRIM(A166))*(TRIM(Innings!D:D)=TRIM(E166)),0))</f>
        <v>14</v>
      </c>
      <c r="AD166" cm="1">
        <f t="array" ref="AD166">INDEX(Innings!S:S,MATCH(1,(TRIM(Innings!A:A)=TRIM(A166))*(TRIM(Innings!D:D)=TRIM(E166)),0))</f>
        <v>39</v>
      </c>
      <c r="AE166" t="str" cm="1">
        <f t="array" ref="AE166">INDEX(Innings!W:W,MATCH(1,(TRIM(Innings!A:A)=TRIM(A166))*(TRIM(Innings!D:D)=TRIM(E166)),0))</f>
        <v>NA</v>
      </c>
      <c r="AF166">
        <f>IF(UPPER(TRIM(E166))=UPPER(TRIM(W166)),1,0)</f>
        <v>0</v>
      </c>
      <c r="AG166">
        <f t="shared" si="5"/>
        <v>0</v>
      </c>
    </row>
    <row r="167" spans="1:33" x14ac:dyDescent="0.3">
      <c r="A167" t="s">
        <v>141</v>
      </c>
      <c r="B167">
        <v>1</v>
      </c>
      <c r="C167" t="s">
        <v>231</v>
      </c>
      <c r="D167" t="s">
        <v>232</v>
      </c>
      <c r="E167" t="s">
        <v>219</v>
      </c>
      <c r="F167" t="s">
        <v>109</v>
      </c>
      <c r="G167" t="s">
        <v>86</v>
      </c>
      <c r="H167">
        <v>36</v>
      </c>
      <c r="I167">
        <v>31</v>
      </c>
      <c r="J167">
        <v>116.13</v>
      </c>
      <c r="K167" t="s">
        <v>96</v>
      </c>
      <c r="L167">
        <v>41.81</v>
      </c>
      <c r="M167">
        <v>1</v>
      </c>
      <c r="N167">
        <v>0</v>
      </c>
      <c r="O167">
        <v>12</v>
      </c>
      <c r="P167">
        <v>0</v>
      </c>
      <c r="Q167">
        <v>12</v>
      </c>
      <c r="R167">
        <v>0</v>
      </c>
      <c r="S167">
        <v>0</v>
      </c>
      <c r="T167">
        <v>0</v>
      </c>
      <c r="U167" s="8">
        <v>41.81</v>
      </c>
      <c r="V167" s="8">
        <f t="shared" si="4"/>
        <v>4</v>
      </c>
      <c r="W167" t="str">
        <f>_xlfn.XLOOKUP(A167, Matches!A:A, Matches!L:L, "NA", 0)</f>
        <v>UPW</v>
      </c>
      <c r="X167" t="str">
        <f>_xlfn.XLOOKUP(A167, Matches!A:A, Matches!J:J, "NA", 0)</f>
        <v>RCBW</v>
      </c>
      <c r="Y167" t="str">
        <f>_xlfn.XLOOKUP(A167, Matches!A:A, Matches!F:F, "NA", 0)</f>
        <v>Brabourne Stadium</v>
      </c>
      <c r="Z167" cm="1">
        <f t="array" ref="Z167">INDEX(Innings!F:F,MATCH(1,(TRIM(Innings!A:A)=TRIM(A167))*(TRIM(Innings!D:D)=TRIM(E167)),0))</f>
        <v>139</v>
      </c>
      <c r="AA167" cm="1">
        <f t="array" ref="AA167">INDEX(Innings!I:I,MATCH(1,(TRIM(Innings!A:A)=TRIM(A167))*(TRIM(Innings!D:D)=TRIM(E167)),0))</f>
        <v>10.69</v>
      </c>
      <c r="AB167" cm="1">
        <f t="array" ref="AB167">INDEX(Innings!J:J,MATCH(1,(TRIM(Innings!A:A)=TRIM(A167))*(TRIM(Innings!D:D)=TRIM(E167)),0))</f>
        <v>55</v>
      </c>
      <c r="AC167" cm="1">
        <f t="array" ref="AC167">INDEX(Innings!N:N,MATCH(1,(TRIM(Innings!A:A)=TRIM(A167))*(TRIM(Innings!D:D)=TRIM(E167)),0))</f>
        <v>0</v>
      </c>
      <c r="AD167" cm="1">
        <f t="array" ref="AD167">INDEX(Innings!S:S,MATCH(1,(TRIM(Innings!A:A)=TRIM(A167))*(TRIM(Innings!D:D)=TRIM(E167)),0))</f>
        <v>19</v>
      </c>
      <c r="AE167" t="str" cm="1">
        <f t="array" ref="AE167">INDEX(Innings!W:W,MATCH(1,(TRIM(Innings!A:A)=TRIM(A167))*(TRIM(Innings!D:D)=TRIM(E167)),0))</f>
        <v>Successful</v>
      </c>
      <c r="AF167">
        <f>IF(UPPER(TRIM(E167))=UPPER(TRIM(W167)),1,0)</f>
        <v>1</v>
      </c>
      <c r="AG167">
        <f t="shared" si="5"/>
        <v>42.105000000000004</v>
      </c>
    </row>
    <row r="168" spans="1:33" x14ac:dyDescent="0.3">
      <c r="A168" t="s">
        <v>141</v>
      </c>
      <c r="B168">
        <v>1</v>
      </c>
      <c r="C168" t="s">
        <v>217</v>
      </c>
      <c r="D168" t="s">
        <v>218</v>
      </c>
      <c r="E168" t="s">
        <v>219</v>
      </c>
      <c r="F168" t="s">
        <v>85</v>
      </c>
      <c r="G168" t="s">
        <v>86</v>
      </c>
      <c r="H168">
        <v>96</v>
      </c>
      <c r="I168">
        <v>47</v>
      </c>
      <c r="J168">
        <v>204.26</v>
      </c>
      <c r="K168" t="s">
        <v>96</v>
      </c>
      <c r="L168">
        <v>196.09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 s="8">
        <v>196.09</v>
      </c>
      <c r="V168" s="8">
        <f t="shared" si="4"/>
        <v>10</v>
      </c>
      <c r="W168" t="str">
        <f>_xlfn.XLOOKUP(A168, Matches!A:A, Matches!L:L, "NA", 0)</f>
        <v>UPW</v>
      </c>
      <c r="X168" t="str">
        <f>_xlfn.XLOOKUP(A168, Matches!A:A, Matches!J:J, "NA", 0)</f>
        <v>RCBW</v>
      </c>
      <c r="Y168" t="str">
        <f>_xlfn.XLOOKUP(A168, Matches!A:A, Matches!F:F, "NA", 0)</f>
        <v>Brabourne Stadium</v>
      </c>
      <c r="Z168" cm="1">
        <f t="array" ref="Z168">INDEX(Innings!F:F,MATCH(1,(TRIM(Innings!A:A)=TRIM(A168))*(TRIM(Innings!D:D)=TRIM(E168)),0))</f>
        <v>139</v>
      </c>
      <c r="AA168" cm="1">
        <f t="array" ref="AA168">INDEX(Innings!I:I,MATCH(1,(TRIM(Innings!A:A)=TRIM(A168))*(TRIM(Innings!D:D)=TRIM(E168)),0))</f>
        <v>10.69</v>
      </c>
      <c r="AB168" cm="1">
        <f t="array" ref="AB168">INDEX(Innings!J:J,MATCH(1,(TRIM(Innings!A:A)=TRIM(A168))*(TRIM(Innings!D:D)=TRIM(E168)),0))</f>
        <v>55</v>
      </c>
      <c r="AC168" cm="1">
        <f t="array" ref="AC168">INDEX(Innings!N:N,MATCH(1,(TRIM(Innings!A:A)=TRIM(A168))*(TRIM(Innings!D:D)=TRIM(E168)),0))</f>
        <v>0</v>
      </c>
      <c r="AD168" cm="1">
        <f t="array" ref="AD168">INDEX(Innings!S:S,MATCH(1,(TRIM(Innings!A:A)=TRIM(A168))*(TRIM(Innings!D:D)=TRIM(E168)),0))</f>
        <v>19</v>
      </c>
      <c r="AE168" t="str" cm="1">
        <f t="array" ref="AE168">INDEX(Innings!W:W,MATCH(1,(TRIM(Innings!A:A)=TRIM(A168))*(TRIM(Innings!D:D)=TRIM(E168)),0))</f>
        <v>Successful</v>
      </c>
      <c r="AF168">
        <f>IF(UPPER(TRIM(E168))=UPPER(TRIM(W168)),1,0)</f>
        <v>1</v>
      </c>
      <c r="AG168">
        <f t="shared" si="5"/>
        <v>121.045</v>
      </c>
    </row>
    <row r="169" spans="1:33" x14ac:dyDescent="0.3">
      <c r="A169" t="s">
        <v>141</v>
      </c>
      <c r="B169">
        <v>1</v>
      </c>
      <c r="C169" t="s">
        <v>220</v>
      </c>
      <c r="D169" t="s">
        <v>221</v>
      </c>
      <c r="E169" t="s">
        <v>219</v>
      </c>
      <c r="F169" t="s">
        <v>109</v>
      </c>
      <c r="G169" t="s">
        <v>92</v>
      </c>
      <c r="H169">
        <v>0</v>
      </c>
      <c r="I169">
        <v>0</v>
      </c>
      <c r="J169">
        <v>0</v>
      </c>
      <c r="K169" t="s">
        <v>104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 s="8">
        <v>0</v>
      </c>
      <c r="V169" s="8">
        <f t="shared" si="4"/>
        <v>0</v>
      </c>
      <c r="W169" t="str">
        <f>_xlfn.XLOOKUP(A169, Matches!A:A, Matches!L:L, "NA", 0)</f>
        <v>UPW</v>
      </c>
      <c r="X169" t="str">
        <f>_xlfn.XLOOKUP(A169, Matches!A:A, Matches!J:J, "NA", 0)</f>
        <v>RCBW</v>
      </c>
      <c r="Y169" t="str">
        <f>_xlfn.XLOOKUP(A169, Matches!A:A, Matches!F:F, "NA", 0)</f>
        <v>Brabourne Stadium</v>
      </c>
      <c r="Z169" cm="1">
        <f t="array" ref="Z169">INDEX(Innings!F:F,MATCH(1,(TRIM(Innings!A:A)=TRIM(A169))*(TRIM(Innings!D:D)=TRIM(E169)),0))</f>
        <v>139</v>
      </c>
      <c r="AA169" cm="1">
        <f t="array" ref="AA169">INDEX(Innings!I:I,MATCH(1,(TRIM(Innings!A:A)=TRIM(A169))*(TRIM(Innings!D:D)=TRIM(E169)),0))</f>
        <v>10.69</v>
      </c>
      <c r="AB169" cm="1">
        <f t="array" ref="AB169">INDEX(Innings!J:J,MATCH(1,(TRIM(Innings!A:A)=TRIM(A169))*(TRIM(Innings!D:D)=TRIM(E169)),0))</f>
        <v>55</v>
      </c>
      <c r="AC169" cm="1">
        <f t="array" ref="AC169">INDEX(Innings!N:N,MATCH(1,(TRIM(Innings!A:A)=TRIM(A169))*(TRIM(Innings!D:D)=TRIM(E169)),0))</f>
        <v>0</v>
      </c>
      <c r="AD169" cm="1">
        <f t="array" ref="AD169">INDEX(Innings!S:S,MATCH(1,(TRIM(Innings!A:A)=TRIM(A169))*(TRIM(Innings!D:D)=TRIM(E169)),0))</f>
        <v>19</v>
      </c>
      <c r="AE169" t="str" cm="1">
        <f t="array" ref="AE169">INDEX(Innings!W:W,MATCH(1,(TRIM(Innings!A:A)=TRIM(A169))*(TRIM(Innings!D:D)=TRIM(E169)),0))</f>
        <v>Successful</v>
      </c>
      <c r="AF169">
        <f>IF(UPPER(TRIM(E169))=UPPER(TRIM(W169)),1,0)</f>
        <v>1</v>
      </c>
      <c r="AG169">
        <f t="shared" si="5"/>
        <v>20</v>
      </c>
    </row>
    <row r="170" spans="1:33" x14ac:dyDescent="0.3">
      <c r="A170" t="s">
        <v>141</v>
      </c>
      <c r="B170">
        <v>1</v>
      </c>
      <c r="C170" t="s">
        <v>229</v>
      </c>
      <c r="D170" t="s">
        <v>230</v>
      </c>
      <c r="E170" t="s">
        <v>219</v>
      </c>
      <c r="F170" t="s">
        <v>109</v>
      </c>
      <c r="G170" t="s">
        <v>92</v>
      </c>
      <c r="H170">
        <v>0</v>
      </c>
      <c r="I170">
        <v>0</v>
      </c>
      <c r="J170">
        <v>0</v>
      </c>
      <c r="K170" t="s">
        <v>104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 s="8">
        <v>0</v>
      </c>
      <c r="V170" s="8">
        <f t="shared" si="4"/>
        <v>0</v>
      </c>
      <c r="W170" t="str">
        <f>_xlfn.XLOOKUP(A170, Matches!A:A, Matches!L:L, "NA", 0)</f>
        <v>UPW</v>
      </c>
      <c r="X170" t="str">
        <f>_xlfn.XLOOKUP(A170, Matches!A:A, Matches!J:J, "NA", 0)</f>
        <v>RCBW</v>
      </c>
      <c r="Y170" t="str">
        <f>_xlfn.XLOOKUP(A170, Matches!A:A, Matches!F:F, "NA", 0)</f>
        <v>Brabourne Stadium</v>
      </c>
      <c r="Z170" cm="1">
        <f t="array" ref="Z170">INDEX(Innings!F:F,MATCH(1,(TRIM(Innings!A:A)=TRIM(A170))*(TRIM(Innings!D:D)=TRIM(E170)),0))</f>
        <v>139</v>
      </c>
      <c r="AA170" cm="1">
        <f t="array" ref="AA170">INDEX(Innings!I:I,MATCH(1,(TRIM(Innings!A:A)=TRIM(A170))*(TRIM(Innings!D:D)=TRIM(E170)),0))</f>
        <v>10.69</v>
      </c>
      <c r="AB170" cm="1">
        <f t="array" ref="AB170">INDEX(Innings!J:J,MATCH(1,(TRIM(Innings!A:A)=TRIM(A170))*(TRIM(Innings!D:D)=TRIM(E170)),0))</f>
        <v>55</v>
      </c>
      <c r="AC170" cm="1">
        <f t="array" ref="AC170">INDEX(Innings!N:N,MATCH(1,(TRIM(Innings!A:A)=TRIM(A170))*(TRIM(Innings!D:D)=TRIM(E170)),0))</f>
        <v>0</v>
      </c>
      <c r="AD170" cm="1">
        <f t="array" ref="AD170">INDEX(Innings!S:S,MATCH(1,(TRIM(Innings!A:A)=TRIM(A170))*(TRIM(Innings!D:D)=TRIM(E170)),0))</f>
        <v>19</v>
      </c>
      <c r="AE170" t="str" cm="1">
        <f t="array" ref="AE170">INDEX(Innings!W:W,MATCH(1,(TRIM(Innings!A:A)=TRIM(A170))*(TRIM(Innings!D:D)=TRIM(E170)),0))</f>
        <v>Successful</v>
      </c>
      <c r="AF170">
        <f>IF(UPPER(TRIM(E170))=UPPER(TRIM(W170)),1,0)</f>
        <v>1</v>
      </c>
      <c r="AG170">
        <f t="shared" si="5"/>
        <v>20</v>
      </c>
    </row>
    <row r="171" spans="1:33" x14ac:dyDescent="0.3">
      <c r="A171" t="s">
        <v>141</v>
      </c>
      <c r="B171">
        <v>1</v>
      </c>
      <c r="C171" t="s">
        <v>222</v>
      </c>
      <c r="D171" t="s">
        <v>223</v>
      </c>
      <c r="E171" t="s">
        <v>219</v>
      </c>
      <c r="F171" t="s">
        <v>83</v>
      </c>
      <c r="G171" t="s">
        <v>134</v>
      </c>
      <c r="H171">
        <v>0</v>
      </c>
      <c r="I171">
        <v>0</v>
      </c>
      <c r="J171">
        <v>0</v>
      </c>
      <c r="K171" t="s">
        <v>104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 s="8">
        <v>0</v>
      </c>
      <c r="V171" s="8">
        <f t="shared" si="4"/>
        <v>0</v>
      </c>
      <c r="W171" t="str">
        <f>_xlfn.XLOOKUP(A171, Matches!A:A, Matches!L:L, "NA", 0)</f>
        <v>UPW</v>
      </c>
      <c r="X171" t="str">
        <f>_xlfn.XLOOKUP(A171, Matches!A:A, Matches!J:J, "NA", 0)</f>
        <v>RCBW</v>
      </c>
      <c r="Y171" t="str">
        <f>_xlfn.XLOOKUP(A171, Matches!A:A, Matches!F:F, "NA", 0)</f>
        <v>Brabourne Stadium</v>
      </c>
      <c r="Z171" cm="1">
        <f t="array" ref="Z171">INDEX(Innings!F:F,MATCH(1,(TRIM(Innings!A:A)=TRIM(A171))*(TRIM(Innings!D:D)=TRIM(E171)),0))</f>
        <v>139</v>
      </c>
      <c r="AA171" cm="1">
        <f t="array" ref="AA171">INDEX(Innings!I:I,MATCH(1,(TRIM(Innings!A:A)=TRIM(A171))*(TRIM(Innings!D:D)=TRIM(E171)),0))</f>
        <v>10.69</v>
      </c>
      <c r="AB171" cm="1">
        <f t="array" ref="AB171">INDEX(Innings!J:J,MATCH(1,(TRIM(Innings!A:A)=TRIM(A171))*(TRIM(Innings!D:D)=TRIM(E171)),0))</f>
        <v>55</v>
      </c>
      <c r="AC171" cm="1">
        <f t="array" ref="AC171">INDEX(Innings!N:N,MATCH(1,(TRIM(Innings!A:A)=TRIM(A171))*(TRIM(Innings!D:D)=TRIM(E171)),0))</f>
        <v>0</v>
      </c>
      <c r="AD171" cm="1">
        <f t="array" ref="AD171">INDEX(Innings!S:S,MATCH(1,(TRIM(Innings!A:A)=TRIM(A171))*(TRIM(Innings!D:D)=TRIM(E171)),0))</f>
        <v>19</v>
      </c>
      <c r="AE171" t="str" cm="1">
        <f t="array" ref="AE171">INDEX(Innings!W:W,MATCH(1,(TRIM(Innings!A:A)=TRIM(A171))*(TRIM(Innings!D:D)=TRIM(E171)),0))</f>
        <v>Successful</v>
      </c>
      <c r="AF171">
        <f>IF(UPPER(TRIM(E171))=UPPER(TRIM(W171)),1,0)</f>
        <v>1</v>
      </c>
      <c r="AG171">
        <f t="shared" si="5"/>
        <v>20</v>
      </c>
    </row>
    <row r="172" spans="1:33" x14ac:dyDescent="0.3">
      <c r="A172" t="s">
        <v>141</v>
      </c>
      <c r="B172">
        <v>1</v>
      </c>
      <c r="C172" t="s">
        <v>224</v>
      </c>
      <c r="D172" t="s">
        <v>225</v>
      </c>
      <c r="E172" t="s">
        <v>219</v>
      </c>
      <c r="F172" t="s">
        <v>83</v>
      </c>
      <c r="G172" t="s">
        <v>134</v>
      </c>
      <c r="H172">
        <v>0</v>
      </c>
      <c r="I172">
        <v>0</v>
      </c>
      <c r="J172">
        <v>0</v>
      </c>
      <c r="K172" t="s">
        <v>104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 s="8">
        <v>0</v>
      </c>
      <c r="V172" s="8">
        <f t="shared" si="4"/>
        <v>0</v>
      </c>
      <c r="W172" t="str">
        <f>_xlfn.XLOOKUP(A172, Matches!A:A, Matches!L:L, "NA", 0)</f>
        <v>UPW</v>
      </c>
      <c r="X172" t="str">
        <f>_xlfn.XLOOKUP(A172, Matches!A:A, Matches!J:J, "NA", 0)</f>
        <v>RCBW</v>
      </c>
      <c r="Y172" t="str">
        <f>_xlfn.XLOOKUP(A172, Matches!A:A, Matches!F:F, "NA", 0)</f>
        <v>Brabourne Stadium</v>
      </c>
      <c r="Z172" cm="1">
        <f t="array" ref="Z172">INDEX(Innings!F:F,MATCH(1,(TRIM(Innings!A:A)=TRIM(A172))*(TRIM(Innings!D:D)=TRIM(E172)),0))</f>
        <v>139</v>
      </c>
      <c r="AA172" cm="1">
        <f t="array" ref="AA172">INDEX(Innings!I:I,MATCH(1,(TRIM(Innings!A:A)=TRIM(A172))*(TRIM(Innings!D:D)=TRIM(E172)),0))</f>
        <v>10.69</v>
      </c>
      <c r="AB172" cm="1">
        <f t="array" ref="AB172">INDEX(Innings!J:J,MATCH(1,(TRIM(Innings!A:A)=TRIM(A172))*(TRIM(Innings!D:D)=TRIM(E172)),0))</f>
        <v>55</v>
      </c>
      <c r="AC172" cm="1">
        <f t="array" ref="AC172">INDEX(Innings!N:N,MATCH(1,(TRIM(Innings!A:A)=TRIM(A172))*(TRIM(Innings!D:D)=TRIM(E172)),0))</f>
        <v>0</v>
      </c>
      <c r="AD172" cm="1">
        <f t="array" ref="AD172">INDEX(Innings!S:S,MATCH(1,(TRIM(Innings!A:A)=TRIM(A172))*(TRIM(Innings!D:D)=TRIM(E172)),0))</f>
        <v>19</v>
      </c>
      <c r="AE172" t="str" cm="1">
        <f t="array" ref="AE172">INDEX(Innings!W:W,MATCH(1,(TRIM(Innings!A:A)=TRIM(A172))*(TRIM(Innings!D:D)=TRIM(E172)),0))</f>
        <v>Successful</v>
      </c>
      <c r="AF172">
        <f>IF(UPPER(TRIM(E172))=UPPER(TRIM(W172)),1,0)</f>
        <v>1</v>
      </c>
      <c r="AG172">
        <f t="shared" si="5"/>
        <v>20</v>
      </c>
    </row>
    <row r="173" spans="1:33" x14ac:dyDescent="0.3">
      <c r="A173" t="s">
        <v>141</v>
      </c>
      <c r="B173">
        <v>1</v>
      </c>
      <c r="C173" t="s">
        <v>226</v>
      </c>
      <c r="D173" t="s">
        <v>211</v>
      </c>
      <c r="E173" t="s">
        <v>219</v>
      </c>
      <c r="F173" t="s">
        <v>101</v>
      </c>
      <c r="G173" t="s">
        <v>134</v>
      </c>
      <c r="H173">
        <v>0</v>
      </c>
      <c r="I173">
        <v>0</v>
      </c>
      <c r="J173">
        <v>0</v>
      </c>
      <c r="K173" t="s">
        <v>104</v>
      </c>
      <c r="L173">
        <v>0</v>
      </c>
      <c r="M173">
        <v>4</v>
      </c>
      <c r="N173">
        <v>0</v>
      </c>
      <c r="O173">
        <v>34</v>
      </c>
      <c r="P173">
        <v>0</v>
      </c>
      <c r="Q173">
        <v>8.5</v>
      </c>
      <c r="R173">
        <v>0</v>
      </c>
      <c r="S173">
        <v>0</v>
      </c>
      <c r="T173">
        <v>0</v>
      </c>
      <c r="U173" s="8">
        <v>0</v>
      </c>
      <c r="V173" s="8">
        <f t="shared" si="4"/>
        <v>0</v>
      </c>
      <c r="W173" t="str">
        <f>_xlfn.XLOOKUP(A173, Matches!A:A, Matches!L:L, "NA", 0)</f>
        <v>UPW</v>
      </c>
      <c r="X173" t="str">
        <f>_xlfn.XLOOKUP(A173, Matches!A:A, Matches!J:J, "NA", 0)</f>
        <v>RCBW</v>
      </c>
      <c r="Y173" t="str">
        <f>_xlfn.XLOOKUP(A173, Matches!A:A, Matches!F:F, "NA", 0)</f>
        <v>Brabourne Stadium</v>
      </c>
      <c r="Z173" cm="1">
        <f t="array" ref="Z173">INDEX(Innings!F:F,MATCH(1,(TRIM(Innings!A:A)=TRIM(A173))*(TRIM(Innings!D:D)=TRIM(E173)),0))</f>
        <v>139</v>
      </c>
      <c r="AA173" cm="1">
        <f t="array" ref="AA173">INDEX(Innings!I:I,MATCH(1,(TRIM(Innings!A:A)=TRIM(A173))*(TRIM(Innings!D:D)=TRIM(E173)),0))</f>
        <v>10.69</v>
      </c>
      <c r="AB173" cm="1">
        <f t="array" ref="AB173">INDEX(Innings!J:J,MATCH(1,(TRIM(Innings!A:A)=TRIM(A173))*(TRIM(Innings!D:D)=TRIM(E173)),0))</f>
        <v>55</v>
      </c>
      <c r="AC173" cm="1">
        <f t="array" ref="AC173">INDEX(Innings!N:N,MATCH(1,(TRIM(Innings!A:A)=TRIM(A173))*(TRIM(Innings!D:D)=TRIM(E173)),0))</f>
        <v>0</v>
      </c>
      <c r="AD173" cm="1">
        <f t="array" ref="AD173">INDEX(Innings!S:S,MATCH(1,(TRIM(Innings!A:A)=TRIM(A173))*(TRIM(Innings!D:D)=TRIM(E173)),0))</f>
        <v>19</v>
      </c>
      <c r="AE173" t="str" cm="1">
        <f t="array" ref="AE173">INDEX(Innings!W:W,MATCH(1,(TRIM(Innings!A:A)=TRIM(A173))*(TRIM(Innings!D:D)=TRIM(E173)),0))</f>
        <v>Successful</v>
      </c>
      <c r="AF173">
        <f>IF(UPPER(TRIM(E173))=UPPER(TRIM(W173)),1,0)</f>
        <v>1</v>
      </c>
      <c r="AG173">
        <f t="shared" si="5"/>
        <v>20</v>
      </c>
    </row>
    <row r="174" spans="1:33" x14ac:dyDescent="0.3">
      <c r="A174" t="s">
        <v>141</v>
      </c>
      <c r="B174">
        <v>1</v>
      </c>
      <c r="C174" t="s">
        <v>227</v>
      </c>
      <c r="D174" t="s">
        <v>228</v>
      </c>
      <c r="E174" t="s">
        <v>219</v>
      </c>
      <c r="F174" t="s">
        <v>109</v>
      </c>
      <c r="G174" t="s">
        <v>135</v>
      </c>
      <c r="H174">
        <v>0</v>
      </c>
      <c r="I174">
        <v>0</v>
      </c>
      <c r="J174">
        <v>0</v>
      </c>
      <c r="K174" t="s">
        <v>104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 s="8">
        <v>0</v>
      </c>
      <c r="V174" s="8">
        <f t="shared" si="4"/>
        <v>0</v>
      </c>
      <c r="W174" t="str">
        <f>_xlfn.XLOOKUP(A174, Matches!A:A, Matches!L:L, "NA", 0)</f>
        <v>UPW</v>
      </c>
      <c r="X174" t="str">
        <f>_xlfn.XLOOKUP(A174, Matches!A:A, Matches!J:J, "NA", 0)</f>
        <v>RCBW</v>
      </c>
      <c r="Y174" t="str">
        <f>_xlfn.XLOOKUP(A174, Matches!A:A, Matches!F:F, "NA", 0)</f>
        <v>Brabourne Stadium</v>
      </c>
      <c r="Z174" cm="1">
        <f t="array" ref="Z174">INDEX(Innings!F:F,MATCH(1,(TRIM(Innings!A:A)=TRIM(A174))*(TRIM(Innings!D:D)=TRIM(E174)),0))</f>
        <v>139</v>
      </c>
      <c r="AA174" cm="1">
        <f t="array" ref="AA174">INDEX(Innings!I:I,MATCH(1,(TRIM(Innings!A:A)=TRIM(A174))*(TRIM(Innings!D:D)=TRIM(E174)),0))</f>
        <v>10.69</v>
      </c>
      <c r="AB174" cm="1">
        <f t="array" ref="AB174">INDEX(Innings!J:J,MATCH(1,(TRIM(Innings!A:A)=TRIM(A174))*(TRIM(Innings!D:D)=TRIM(E174)),0))</f>
        <v>55</v>
      </c>
      <c r="AC174" cm="1">
        <f t="array" ref="AC174">INDEX(Innings!N:N,MATCH(1,(TRIM(Innings!A:A)=TRIM(A174))*(TRIM(Innings!D:D)=TRIM(E174)),0))</f>
        <v>0</v>
      </c>
      <c r="AD174" cm="1">
        <f t="array" ref="AD174">INDEX(Innings!S:S,MATCH(1,(TRIM(Innings!A:A)=TRIM(A174))*(TRIM(Innings!D:D)=TRIM(E174)),0))</f>
        <v>19</v>
      </c>
      <c r="AE174" t="str" cm="1">
        <f t="array" ref="AE174">INDEX(Innings!W:W,MATCH(1,(TRIM(Innings!A:A)=TRIM(A174))*(TRIM(Innings!D:D)=TRIM(E174)),0))</f>
        <v>Successful</v>
      </c>
      <c r="AF174">
        <f>IF(UPPER(TRIM(E174))=UPPER(TRIM(W174)),1,0)</f>
        <v>1</v>
      </c>
      <c r="AG174">
        <f t="shared" si="5"/>
        <v>20</v>
      </c>
    </row>
    <row r="175" spans="1:33" x14ac:dyDescent="0.3">
      <c r="A175" t="s">
        <v>141</v>
      </c>
      <c r="B175">
        <v>1</v>
      </c>
      <c r="C175" t="s">
        <v>233</v>
      </c>
      <c r="D175" t="s">
        <v>234</v>
      </c>
      <c r="E175" t="s">
        <v>219</v>
      </c>
      <c r="F175" t="s">
        <v>101</v>
      </c>
      <c r="G175" t="s">
        <v>135</v>
      </c>
      <c r="H175">
        <v>0</v>
      </c>
      <c r="I175">
        <v>0</v>
      </c>
      <c r="J175">
        <v>0</v>
      </c>
      <c r="K175" t="s">
        <v>104</v>
      </c>
      <c r="L175">
        <v>0</v>
      </c>
      <c r="M175">
        <v>3.3</v>
      </c>
      <c r="N175">
        <v>0</v>
      </c>
      <c r="O175">
        <v>13</v>
      </c>
      <c r="P175">
        <v>4</v>
      </c>
      <c r="Q175">
        <v>3.7</v>
      </c>
      <c r="R175">
        <v>80</v>
      </c>
      <c r="S175">
        <v>0</v>
      </c>
      <c r="T175">
        <v>0</v>
      </c>
      <c r="U175" s="8">
        <v>80</v>
      </c>
      <c r="V175" s="8">
        <f t="shared" si="4"/>
        <v>8</v>
      </c>
      <c r="W175" t="str">
        <f>_xlfn.XLOOKUP(A175, Matches!A:A, Matches!L:L, "NA", 0)</f>
        <v>UPW</v>
      </c>
      <c r="X175" t="str">
        <f>_xlfn.XLOOKUP(A175, Matches!A:A, Matches!J:J, "NA", 0)</f>
        <v>RCBW</v>
      </c>
      <c r="Y175" t="str">
        <f>_xlfn.XLOOKUP(A175, Matches!A:A, Matches!F:F, "NA", 0)</f>
        <v>Brabourne Stadium</v>
      </c>
      <c r="Z175" cm="1">
        <f t="array" ref="Z175">INDEX(Innings!F:F,MATCH(1,(TRIM(Innings!A:A)=TRIM(A175))*(TRIM(Innings!D:D)=TRIM(E175)),0))</f>
        <v>139</v>
      </c>
      <c r="AA175" cm="1">
        <f t="array" ref="AA175">INDEX(Innings!I:I,MATCH(1,(TRIM(Innings!A:A)=TRIM(A175))*(TRIM(Innings!D:D)=TRIM(E175)),0))</f>
        <v>10.69</v>
      </c>
      <c r="AB175" cm="1">
        <f t="array" ref="AB175">INDEX(Innings!J:J,MATCH(1,(TRIM(Innings!A:A)=TRIM(A175))*(TRIM(Innings!D:D)=TRIM(E175)),0))</f>
        <v>55</v>
      </c>
      <c r="AC175" cm="1">
        <f t="array" ref="AC175">INDEX(Innings!N:N,MATCH(1,(TRIM(Innings!A:A)=TRIM(A175))*(TRIM(Innings!D:D)=TRIM(E175)),0))</f>
        <v>0</v>
      </c>
      <c r="AD175" cm="1">
        <f t="array" ref="AD175">INDEX(Innings!S:S,MATCH(1,(TRIM(Innings!A:A)=TRIM(A175))*(TRIM(Innings!D:D)=TRIM(E175)),0))</f>
        <v>19</v>
      </c>
      <c r="AE175" t="str" cm="1">
        <f t="array" ref="AE175">INDEX(Innings!W:W,MATCH(1,(TRIM(Innings!A:A)=TRIM(A175))*(TRIM(Innings!D:D)=TRIM(E175)),0))</f>
        <v>Successful</v>
      </c>
      <c r="AF175">
        <f>IF(UPPER(TRIM(E175))=UPPER(TRIM(W175)),1,0)</f>
        <v>1</v>
      </c>
      <c r="AG175">
        <f t="shared" si="5"/>
        <v>62.4</v>
      </c>
    </row>
    <row r="176" spans="1:33" x14ac:dyDescent="0.3">
      <c r="A176" t="s">
        <v>141</v>
      </c>
      <c r="B176">
        <v>1</v>
      </c>
      <c r="C176" t="s">
        <v>235</v>
      </c>
      <c r="D176" t="s">
        <v>236</v>
      </c>
      <c r="E176" t="s">
        <v>219</v>
      </c>
      <c r="F176" t="s">
        <v>101</v>
      </c>
      <c r="G176" t="s">
        <v>135</v>
      </c>
      <c r="H176">
        <v>0</v>
      </c>
      <c r="I176">
        <v>0</v>
      </c>
      <c r="J176">
        <v>0</v>
      </c>
      <c r="K176" t="s">
        <v>104</v>
      </c>
      <c r="L176">
        <v>0</v>
      </c>
      <c r="M176">
        <v>3</v>
      </c>
      <c r="N176">
        <v>0</v>
      </c>
      <c r="O176">
        <v>27</v>
      </c>
      <c r="P176">
        <v>0</v>
      </c>
      <c r="Q176">
        <v>9</v>
      </c>
      <c r="R176">
        <v>0</v>
      </c>
      <c r="S176">
        <v>0</v>
      </c>
      <c r="T176">
        <v>0</v>
      </c>
      <c r="U176" s="8">
        <v>0</v>
      </c>
      <c r="V176" s="8">
        <f t="shared" si="4"/>
        <v>0</v>
      </c>
      <c r="W176" t="str">
        <f>_xlfn.XLOOKUP(A176, Matches!A:A, Matches!L:L, "NA", 0)</f>
        <v>UPW</v>
      </c>
      <c r="X176" t="str">
        <f>_xlfn.XLOOKUP(A176, Matches!A:A, Matches!J:J, "NA", 0)</f>
        <v>RCBW</v>
      </c>
      <c r="Y176" t="str">
        <f>_xlfn.XLOOKUP(A176, Matches!A:A, Matches!F:F, "NA", 0)</f>
        <v>Brabourne Stadium</v>
      </c>
      <c r="Z176" cm="1">
        <f t="array" ref="Z176">INDEX(Innings!F:F,MATCH(1,(TRIM(Innings!A:A)=TRIM(A176))*(TRIM(Innings!D:D)=TRIM(E176)),0))</f>
        <v>139</v>
      </c>
      <c r="AA176" cm="1">
        <f t="array" ref="AA176">INDEX(Innings!I:I,MATCH(1,(TRIM(Innings!A:A)=TRIM(A176))*(TRIM(Innings!D:D)=TRIM(E176)),0))</f>
        <v>10.69</v>
      </c>
      <c r="AB176" cm="1">
        <f t="array" ref="AB176">INDEX(Innings!J:J,MATCH(1,(TRIM(Innings!A:A)=TRIM(A176))*(TRIM(Innings!D:D)=TRIM(E176)),0))</f>
        <v>55</v>
      </c>
      <c r="AC176" cm="1">
        <f t="array" ref="AC176">INDEX(Innings!N:N,MATCH(1,(TRIM(Innings!A:A)=TRIM(A176))*(TRIM(Innings!D:D)=TRIM(E176)),0))</f>
        <v>0</v>
      </c>
      <c r="AD176" cm="1">
        <f t="array" ref="AD176">INDEX(Innings!S:S,MATCH(1,(TRIM(Innings!A:A)=TRIM(A176))*(TRIM(Innings!D:D)=TRIM(E176)),0))</f>
        <v>19</v>
      </c>
      <c r="AE176" t="str" cm="1">
        <f t="array" ref="AE176">INDEX(Innings!W:W,MATCH(1,(TRIM(Innings!A:A)=TRIM(A176))*(TRIM(Innings!D:D)=TRIM(E176)),0))</f>
        <v>Successful</v>
      </c>
      <c r="AF176">
        <f>IF(UPPER(TRIM(E176))=UPPER(TRIM(W176)),1,0)</f>
        <v>1</v>
      </c>
      <c r="AG176">
        <f t="shared" si="5"/>
        <v>20</v>
      </c>
    </row>
    <row r="177" spans="1:33" x14ac:dyDescent="0.3">
      <c r="A177" t="s">
        <v>141</v>
      </c>
      <c r="B177">
        <v>1</v>
      </c>
      <c r="C177" t="s">
        <v>237</v>
      </c>
      <c r="D177" t="s">
        <v>238</v>
      </c>
      <c r="E177" t="s">
        <v>219</v>
      </c>
      <c r="F177" t="s">
        <v>101</v>
      </c>
      <c r="G177" t="s">
        <v>135</v>
      </c>
      <c r="H177">
        <v>0</v>
      </c>
      <c r="I177">
        <v>0</v>
      </c>
      <c r="J177">
        <v>0</v>
      </c>
      <c r="K177" t="s">
        <v>104</v>
      </c>
      <c r="L177">
        <v>0</v>
      </c>
      <c r="M177">
        <v>4</v>
      </c>
      <c r="N177">
        <v>0</v>
      </c>
      <c r="O177">
        <v>26</v>
      </c>
      <c r="P177">
        <v>1</v>
      </c>
      <c r="Q177">
        <v>6.5</v>
      </c>
      <c r="R177">
        <v>20</v>
      </c>
      <c r="S177">
        <v>0</v>
      </c>
      <c r="T177">
        <v>0</v>
      </c>
      <c r="U177" s="8">
        <v>20</v>
      </c>
      <c r="V177" s="8">
        <f t="shared" si="4"/>
        <v>2</v>
      </c>
      <c r="W177" t="str">
        <f>_xlfn.XLOOKUP(A177, Matches!A:A, Matches!L:L, "NA", 0)</f>
        <v>UPW</v>
      </c>
      <c r="X177" t="str">
        <f>_xlfn.XLOOKUP(A177, Matches!A:A, Matches!J:J, "NA", 0)</f>
        <v>RCBW</v>
      </c>
      <c r="Y177" t="str">
        <f>_xlfn.XLOOKUP(A177, Matches!A:A, Matches!F:F, "NA", 0)</f>
        <v>Brabourne Stadium</v>
      </c>
      <c r="Z177" cm="1">
        <f t="array" ref="Z177">INDEX(Innings!F:F,MATCH(1,(TRIM(Innings!A:A)=TRIM(A177))*(TRIM(Innings!D:D)=TRIM(E177)),0))</f>
        <v>139</v>
      </c>
      <c r="AA177" cm="1">
        <f t="array" ref="AA177">INDEX(Innings!I:I,MATCH(1,(TRIM(Innings!A:A)=TRIM(A177))*(TRIM(Innings!D:D)=TRIM(E177)),0))</f>
        <v>10.69</v>
      </c>
      <c r="AB177" cm="1">
        <f t="array" ref="AB177">INDEX(Innings!J:J,MATCH(1,(TRIM(Innings!A:A)=TRIM(A177))*(TRIM(Innings!D:D)=TRIM(E177)),0))</f>
        <v>55</v>
      </c>
      <c r="AC177" cm="1">
        <f t="array" ref="AC177">INDEX(Innings!N:N,MATCH(1,(TRIM(Innings!A:A)=TRIM(A177))*(TRIM(Innings!D:D)=TRIM(E177)),0))</f>
        <v>0</v>
      </c>
      <c r="AD177" cm="1">
        <f t="array" ref="AD177">INDEX(Innings!S:S,MATCH(1,(TRIM(Innings!A:A)=TRIM(A177))*(TRIM(Innings!D:D)=TRIM(E177)),0))</f>
        <v>19</v>
      </c>
      <c r="AE177" t="str" cm="1">
        <f t="array" ref="AE177">INDEX(Innings!W:W,MATCH(1,(TRIM(Innings!A:A)=TRIM(A177))*(TRIM(Innings!D:D)=TRIM(E177)),0))</f>
        <v>Successful</v>
      </c>
      <c r="AF177">
        <f>IF(UPPER(TRIM(E177))=UPPER(TRIM(W177)),1,0)</f>
        <v>1</v>
      </c>
      <c r="AG177">
        <f t="shared" si="5"/>
        <v>30.6</v>
      </c>
    </row>
    <row r="178" spans="1:33" x14ac:dyDescent="0.3">
      <c r="A178" t="s">
        <v>142</v>
      </c>
      <c r="B178">
        <v>1</v>
      </c>
      <c r="C178" t="s">
        <v>87</v>
      </c>
      <c r="D178" t="s">
        <v>82</v>
      </c>
      <c r="E178" t="s">
        <v>258</v>
      </c>
      <c r="F178" t="s">
        <v>109</v>
      </c>
      <c r="G178" t="s">
        <v>86</v>
      </c>
      <c r="H178">
        <v>0</v>
      </c>
      <c r="I178">
        <v>2</v>
      </c>
      <c r="J178">
        <v>0</v>
      </c>
      <c r="K178" t="s">
        <v>245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 s="8">
        <v>0</v>
      </c>
      <c r="V178" s="8">
        <f t="shared" si="4"/>
        <v>0</v>
      </c>
      <c r="W178" t="str">
        <f>_xlfn.XLOOKUP(A178, Matches!A:A, Matches!L:L, "NA", 0)</f>
        <v>DCW</v>
      </c>
      <c r="X178" t="str">
        <f>_xlfn.XLOOKUP(A178, Matches!A:A, Matches!J:J, "NA", 0)</f>
        <v>GGTW</v>
      </c>
      <c r="Y178" t="str">
        <f>_xlfn.XLOOKUP(A178, Matches!A:A, Matches!F:F, "NA", 0)</f>
        <v>Dr DY Patil Sports </v>
      </c>
      <c r="Z178" cm="1">
        <f t="array" ref="Z178">INDEX(Innings!F:F,MATCH(1,(TRIM(Innings!A:A)=TRIM(A178))*(TRIM(Innings!D:D)=TRIM(E178)),0))</f>
        <v>105</v>
      </c>
      <c r="AA178" cm="1">
        <f t="array" ref="AA178">INDEX(Innings!I:I,MATCH(1,(TRIM(Innings!A:A)=TRIM(A178))*(TRIM(Innings!D:D)=TRIM(E178)),0))</f>
        <v>5.25</v>
      </c>
      <c r="AB178" cm="1">
        <f t="array" ref="AB178">INDEX(Innings!J:J,MATCH(1,(TRIM(Innings!A:A)=TRIM(A178))*(TRIM(Innings!D:D)=TRIM(E178)),0))</f>
        <v>31</v>
      </c>
      <c r="AC178" cm="1">
        <f t="array" ref="AC178">INDEX(Innings!N:N,MATCH(1,(TRIM(Innings!A:A)=TRIM(A178))*(TRIM(Innings!D:D)=TRIM(E178)),0))</f>
        <v>27</v>
      </c>
      <c r="AD178" cm="1">
        <f t="array" ref="AD178">INDEX(Innings!S:S,MATCH(1,(TRIM(Innings!A:A)=TRIM(A178))*(TRIM(Innings!D:D)=TRIM(E178)),0))</f>
        <v>63</v>
      </c>
      <c r="AE178" t="str" cm="1">
        <f t="array" ref="AE178">INDEX(Innings!W:W,MATCH(1,(TRIM(Innings!A:A)=TRIM(A178))*(TRIM(Innings!D:D)=TRIM(E178)),0))</f>
        <v>NA</v>
      </c>
      <c r="AF178">
        <f>IF(UPPER(TRIM(E178))=UPPER(TRIM(W178)),1,0)</f>
        <v>0</v>
      </c>
      <c r="AG178">
        <f t="shared" si="5"/>
        <v>0</v>
      </c>
    </row>
    <row r="179" spans="1:33" x14ac:dyDescent="0.3">
      <c r="A179" t="s">
        <v>142</v>
      </c>
      <c r="B179">
        <v>1</v>
      </c>
      <c r="C179" t="s">
        <v>278</v>
      </c>
      <c r="D179" t="s">
        <v>293</v>
      </c>
      <c r="E179" t="s">
        <v>258</v>
      </c>
      <c r="F179" t="s">
        <v>109</v>
      </c>
      <c r="G179" t="s">
        <v>86</v>
      </c>
      <c r="H179">
        <v>1</v>
      </c>
      <c r="I179">
        <v>2</v>
      </c>
      <c r="J179">
        <v>50</v>
      </c>
      <c r="K179" t="s">
        <v>245</v>
      </c>
      <c r="L179">
        <v>0.5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 s="8">
        <v>0.5</v>
      </c>
      <c r="V179" s="8">
        <f t="shared" si="4"/>
        <v>0</v>
      </c>
      <c r="W179" t="str">
        <f>_xlfn.XLOOKUP(A179, Matches!A:A, Matches!L:L, "NA", 0)</f>
        <v>DCW</v>
      </c>
      <c r="X179" t="str">
        <f>_xlfn.XLOOKUP(A179, Matches!A:A, Matches!J:J, "NA", 0)</f>
        <v>GGTW</v>
      </c>
      <c r="Y179" t="str">
        <f>_xlfn.XLOOKUP(A179, Matches!A:A, Matches!F:F, "NA", 0)</f>
        <v>Dr DY Patil Sports </v>
      </c>
      <c r="Z179" cm="1">
        <f t="array" ref="Z179">INDEX(Innings!F:F,MATCH(1,(TRIM(Innings!A:A)=TRIM(A179))*(TRIM(Innings!D:D)=TRIM(E179)),0))</f>
        <v>105</v>
      </c>
      <c r="AA179" cm="1">
        <f t="array" ref="AA179">INDEX(Innings!I:I,MATCH(1,(TRIM(Innings!A:A)=TRIM(A179))*(TRIM(Innings!D:D)=TRIM(E179)),0))</f>
        <v>5.25</v>
      </c>
      <c r="AB179" cm="1">
        <f t="array" ref="AB179">INDEX(Innings!J:J,MATCH(1,(TRIM(Innings!A:A)=TRIM(A179))*(TRIM(Innings!D:D)=TRIM(E179)),0))</f>
        <v>31</v>
      </c>
      <c r="AC179" cm="1">
        <f t="array" ref="AC179">INDEX(Innings!N:N,MATCH(1,(TRIM(Innings!A:A)=TRIM(A179))*(TRIM(Innings!D:D)=TRIM(E179)),0))</f>
        <v>27</v>
      </c>
      <c r="AD179" cm="1">
        <f t="array" ref="AD179">INDEX(Innings!S:S,MATCH(1,(TRIM(Innings!A:A)=TRIM(A179))*(TRIM(Innings!D:D)=TRIM(E179)),0))</f>
        <v>63</v>
      </c>
      <c r="AE179" t="str" cm="1">
        <f t="array" ref="AE179">INDEX(Innings!W:W,MATCH(1,(TRIM(Innings!A:A)=TRIM(A179))*(TRIM(Innings!D:D)=TRIM(E179)),0))</f>
        <v>NA</v>
      </c>
      <c r="AF179">
        <f>IF(UPPER(TRIM(E179))=UPPER(TRIM(W179)),1,0)</f>
        <v>0</v>
      </c>
      <c r="AG179">
        <f t="shared" si="5"/>
        <v>0.25</v>
      </c>
    </row>
    <row r="180" spans="1:33" x14ac:dyDescent="0.3">
      <c r="A180" t="s">
        <v>142</v>
      </c>
      <c r="B180">
        <v>1</v>
      </c>
      <c r="C180" t="s">
        <v>89</v>
      </c>
      <c r="D180" t="s">
        <v>116</v>
      </c>
      <c r="E180" t="s">
        <v>258</v>
      </c>
      <c r="F180" t="s">
        <v>83</v>
      </c>
      <c r="G180" t="s">
        <v>92</v>
      </c>
      <c r="H180">
        <v>20</v>
      </c>
      <c r="I180">
        <v>14</v>
      </c>
      <c r="J180">
        <v>142.86000000000001</v>
      </c>
      <c r="K180" t="s">
        <v>247</v>
      </c>
      <c r="L180">
        <v>28.57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 s="8">
        <v>28.57</v>
      </c>
      <c r="V180" s="8">
        <f t="shared" si="4"/>
        <v>3</v>
      </c>
      <c r="W180" t="str">
        <f>_xlfn.XLOOKUP(A180, Matches!A:A, Matches!L:L, "NA", 0)</f>
        <v>DCW</v>
      </c>
      <c r="X180" t="str">
        <f>_xlfn.XLOOKUP(A180, Matches!A:A, Matches!J:J, "NA", 0)</f>
        <v>GGTW</v>
      </c>
      <c r="Y180" t="str">
        <f>_xlfn.XLOOKUP(A180, Matches!A:A, Matches!F:F, "NA", 0)</f>
        <v>Dr DY Patil Sports </v>
      </c>
      <c r="Z180" cm="1">
        <f t="array" ref="Z180">INDEX(Innings!F:F,MATCH(1,(TRIM(Innings!A:A)=TRIM(A180))*(TRIM(Innings!D:D)=TRIM(E180)),0))</f>
        <v>105</v>
      </c>
      <c r="AA180" cm="1">
        <f t="array" ref="AA180">INDEX(Innings!I:I,MATCH(1,(TRIM(Innings!A:A)=TRIM(A180))*(TRIM(Innings!D:D)=TRIM(E180)),0))</f>
        <v>5.25</v>
      </c>
      <c r="AB180" cm="1">
        <f t="array" ref="AB180">INDEX(Innings!J:J,MATCH(1,(TRIM(Innings!A:A)=TRIM(A180))*(TRIM(Innings!D:D)=TRIM(E180)),0))</f>
        <v>31</v>
      </c>
      <c r="AC180" cm="1">
        <f t="array" ref="AC180">INDEX(Innings!N:N,MATCH(1,(TRIM(Innings!A:A)=TRIM(A180))*(TRIM(Innings!D:D)=TRIM(E180)),0))</f>
        <v>27</v>
      </c>
      <c r="AD180" cm="1">
        <f t="array" ref="AD180">INDEX(Innings!S:S,MATCH(1,(TRIM(Innings!A:A)=TRIM(A180))*(TRIM(Innings!D:D)=TRIM(E180)),0))</f>
        <v>63</v>
      </c>
      <c r="AE180" t="str" cm="1">
        <f t="array" ref="AE180">INDEX(Innings!W:W,MATCH(1,(TRIM(Innings!A:A)=TRIM(A180))*(TRIM(Innings!D:D)=TRIM(E180)),0))</f>
        <v>NA</v>
      </c>
      <c r="AF180">
        <f>IF(UPPER(TRIM(E180))=UPPER(TRIM(W180)),1,0)</f>
        <v>0</v>
      </c>
      <c r="AG180">
        <f t="shared" si="5"/>
        <v>15.185</v>
      </c>
    </row>
    <row r="181" spans="1:33" x14ac:dyDescent="0.3">
      <c r="A181" t="s">
        <v>142</v>
      </c>
      <c r="B181">
        <v>1</v>
      </c>
      <c r="C181" t="s">
        <v>93</v>
      </c>
      <c r="D181" t="s">
        <v>118</v>
      </c>
      <c r="E181" t="s">
        <v>258</v>
      </c>
      <c r="F181" t="s">
        <v>83</v>
      </c>
      <c r="G181" t="s">
        <v>92</v>
      </c>
      <c r="H181">
        <v>0</v>
      </c>
      <c r="I181">
        <v>1</v>
      </c>
      <c r="J181">
        <v>0</v>
      </c>
      <c r="K181" t="s">
        <v>247</v>
      </c>
      <c r="L181">
        <v>0</v>
      </c>
      <c r="M181">
        <v>1</v>
      </c>
      <c r="N181">
        <v>0</v>
      </c>
      <c r="O181">
        <v>22</v>
      </c>
      <c r="P181">
        <v>0</v>
      </c>
      <c r="Q181">
        <v>22</v>
      </c>
      <c r="R181">
        <v>0</v>
      </c>
      <c r="S181">
        <v>0</v>
      </c>
      <c r="T181">
        <v>0</v>
      </c>
      <c r="U181" s="8">
        <v>0</v>
      </c>
      <c r="V181" s="8">
        <f t="shared" si="4"/>
        <v>0</v>
      </c>
      <c r="W181" t="str">
        <f>_xlfn.XLOOKUP(A181, Matches!A:A, Matches!L:L, "NA", 0)</f>
        <v>DCW</v>
      </c>
      <c r="X181" t="str">
        <f>_xlfn.XLOOKUP(A181, Matches!A:A, Matches!J:J, "NA", 0)</f>
        <v>GGTW</v>
      </c>
      <c r="Y181" t="str">
        <f>_xlfn.XLOOKUP(A181, Matches!A:A, Matches!F:F, "NA", 0)</f>
        <v>Dr DY Patil Sports </v>
      </c>
      <c r="Z181" cm="1">
        <f t="array" ref="Z181">INDEX(Innings!F:F,MATCH(1,(TRIM(Innings!A:A)=TRIM(A181))*(TRIM(Innings!D:D)=TRIM(E181)),0))</f>
        <v>105</v>
      </c>
      <c r="AA181" cm="1">
        <f t="array" ref="AA181">INDEX(Innings!I:I,MATCH(1,(TRIM(Innings!A:A)=TRIM(A181))*(TRIM(Innings!D:D)=TRIM(E181)),0))</f>
        <v>5.25</v>
      </c>
      <c r="AB181" cm="1">
        <f t="array" ref="AB181">INDEX(Innings!J:J,MATCH(1,(TRIM(Innings!A:A)=TRIM(A181))*(TRIM(Innings!D:D)=TRIM(E181)),0))</f>
        <v>31</v>
      </c>
      <c r="AC181" cm="1">
        <f t="array" ref="AC181">INDEX(Innings!N:N,MATCH(1,(TRIM(Innings!A:A)=TRIM(A181))*(TRIM(Innings!D:D)=TRIM(E181)),0))</f>
        <v>27</v>
      </c>
      <c r="AD181" cm="1">
        <f t="array" ref="AD181">INDEX(Innings!S:S,MATCH(1,(TRIM(Innings!A:A)=TRIM(A181))*(TRIM(Innings!D:D)=TRIM(E181)),0))</f>
        <v>63</v>
      </c>
      <c r="AE181" t="str" cm="1">
        <f t="array" ref="AE181">INDEX(Innings!W:W,MATCH(1,(TRIM(Innings!A:A)=TRIM(A181))*(TRIM(Innings!D:D)=TRIM(E181)),0))</f>
        <v>NA</v>
      </c>
      <c r="AF181">
        <f>IF(UPPER(TRIM(E181))=UPPER(TRIM(W181)),1,0)</f>
        <v>0</v>
      </c>
      <c r="AG181">
        <f t="shared" si="5"/>
        <v>0</v>
      </c>
    </row>
    <row r="182" spans="1:33" x14ac:dyDescent="0.3">
      <c r="A182" t="s">
        <v>142</v>
      </c>
      <c r="B182">
        <v>1</v>
      </c>
      <c r="C182" t="s">
        <v>97</v>
      </c>
      <c r="D182" t="s">
        <v>122</v>
      </c>
      <c r="E182" t="s">
        <v>258</v>
      </c>
      <c r="F182" t="s">
        <v>109</v>
      </c>
      <c r="G182" t="s">
        <v>134</v>
      </c>
      <c r="H182">
        <v>5</v>
      </c>
      <c r="I182">
        <v>5</v>
      </c>
      <c r="J182">
        <v>100</v>
      </c>
      <c r="K182" t="s">
        <v>246</v>
      </c>
      <c r="L182">
        <v>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 s="8">
        <v>5</v>
      </c>
      <c r="V182" s="8">
        <f t="shared" si="4"/>
        <v>1</v>
      </c>
      <c r="W182" t="str">
        <f>_xlfn.XLOOKUP(A182, Matches!A:A, Matches!L:L, "NA", 0)</f>
        <v>DCW</v>
      </c>
      <c r="X182" t="str">
        <f>_xlfn.XLOOKUP(A182, Matches!A:A, Matches!J:J, "NA", 0)</f>
        <v>GGTW</v>
      </c>
      <c r="Y182" t="str">
        <f>_xlfn.XLOOKUP(A182, Matches!A:A, Matches!F:F, "NA", 0)</f>
        <v>Dr DY Patil Sports </v>
      </c>
      <c r="Z182" cm="1">
        <f t="array" ref="Z182">INDEX(Innings!F:F,MATCH(1,(TRIM(Innings!A:A)=TRIM(A182))*(TRIM(Innings!D:D)=TRIM(E182)),0))</f>
        <v>105</v>
      </c>
      <c r="AA182" cm="1">
        <f t="array" ref="AA182">INDEX(Innings!I:I,MATCH(1,(TRIM(Innings!A:A)=TRIM(A182))*(TRIM(Innings!D:D)=TRIM(E182)),0))</f>
        <v>5.25</v>
      </c>
      <c r="AB182" cm="1">
        <f t="array" ref="AB182">INDEX(Innings!J:J,MATCH(1,(TRIM(Innings!A:A)=TRIM(A182))*(TRIM(Innings!D:D)=TRIM(E182)),0))</f>
        <v>31</v>
      </c>
      <c r="AC182" cm="1">
        <f t="array" ref="AC182">INDEX(Innings!N:N,MATCH(1,(TRIM(Innings!A:A)=TRIM(A182))*(TRIM(Innings!D:D)=TRIM(E182)),0))</f>
        <v>27</v>
      </c>
      <c r="AD182" cm="1">
        <f t="array" ref="AD182">INDEX(Innings!S:S,MATCH(1,(TRIM(Innings!A:A)=TRIM(A182))*(TRIM(Innings!D:D)=TRIM(E182)),0))</f>
        <v>63</v>
      </c>
      <c r="AE182" t="str" cm="1">
        <f t="array" ref="AE182">INDEX(Innings!W:W,MATCH(1,(TRIM(Innings!A:A)=TRIM(A182))*(TRIM(Innings!D:D)=TRIM(E182)),0))</f>
        <v>NA</v>
      </c>
      <c r="AF182">
        <f>IF(UPPER(TRIM(E182))=UPPER(TRIM(W182)),1,0)</f>
        <v>0</v>
      </c>
      <c r="AG182">
        <f t="shared" si="5"/>
        <v>2.8</v>
      </c>
    </row>
    <row r="183" spans="1:33" x14ac:dyDescent="0.3">
      <c r="A183" t="s">
        <v>142</v>
      </c>
      <c r="B183">
        <v>1</v>
      </c>
      <c r="C183" t="s">
        <v>99</v>
      </c>
      <c r="D183" t="s">
        <v>124</v>
      </c>
      <c r="E183" t="s">
        <v>258</v>
      </c>
      <c r="F183" t="s">
        <v>101</v>
      </c>
      <c r="G183" t="s">
        <v>134</v>
      </c>
      <c r="H183">
        <v>22</v>
      </c>
      <c r="I183">
        <v>25</v>
      </c>
      <c r="J183">
        <v>88</v>
      </c>
      <c r="K183" t="s">
        <v>245</v>
      </c>
      <c r="L183">
        <v>19.36</v>
      </c>
      <c r="M183">
        <v>0.1</v>
      </c>
      <c r="N183">
        <v>0</v>
      </c>
      <c r="O183">
        <v>4</v>
      </c>
      <c r="P183">
        <v>0</v>
      </c>
      <c r="Q183">
        <v>24</v>
      </c>
      <c r="R183">
        <v>0</v>
      </c>
      <c r="S183">
        <v>0</v>
      </c>
      <c r="T183">
        <v>0</v>
      </c>
      <c r="U183" s="8">
        <v>19.36</v>
      </c>
      <c r="V183" s="8">
        <f t="shared" si="4"/>
        <v>2</v>
      </c>
      <c r="W183" t="str">
        <f>_xlfn.XLOOKUP(A183, Matches!A:A, Matches!L:L, "NA", 0)</f>
        <v>DCW</v>
      </c>
      <c r="X183" t="str">
        <f>_xlfn.XLOOKUP(A183, Matches!A:A, Matches!J:J, "NA", 0)</f>
        <v>GGTW</v>
      </c>
      <c r="Y183" t="str">
        <f>_xlfn.XLOOKUP(A183, Matches!A:A, Matches!F:F, "NA", 0)</f>
        <v>Dr DY Patil Sports </v>
      </c>
      <c r="Z183" cm="1">
        <f t="array" ref="Z183">INDEX(Innings!F:F,MATCH(1,(TRIM(Innings!A:A)=TRIM(A183))*(TRIM(Innings!D:D)=TRIM(E183)),0))</f>
        <v>105</v>
      </c>
      <c r="AA183" cm="1">
        <f t="array" ref="AA183">INDEX(Innings!I:I,MATCH(1,(TRIM(Innings!A:A)=TRIM(A183))*(TRIM(Innings!D:D)=TRIM(E183)),0))</f>
        <v>5.25</v>
      </c>
      <c r="AB183" cm="1">
        <f t="array" ref="AB183">INDEX(Innings!J:J,MATCH(1,(TRIM(Innings!A:A)=TRIM(A183))*(TRIM(Innings!D:D)=TRIM(E183)),0))</f>
        <v>31</v>
      </c>
      <c r="AC183" cm="1">
        <f t="array" ref="AC183">INDEX(Innings!N:N,MATCH(1,(TRIM(Innings!A:A)=TRIM(A183))*(TRIM(Innings!D:D)=TRIM(E183)),0))</f>
        <v>27</v>
      </c>
      <c r="AD183" cm="1">
        <f t="array" ref="AD183">INDEX(Innings!S:S,MATCH(1,(TRIM(Innings!A:A)=TRIM(A183))*(TRIM(Innings!D:D)=TRIM(E183)),0))</f>
        <v>63</v>
      </c>
      <c r="AE183" t="str" cm="1">
        <f t="array" ref="AE183">INDEX(Innings!W:W,MATCH(1,(TRIM(Innings!A:A)=TRIM(A183))*(TRIM(Innings!D:D)=TRIM(E183)),0))</f>
        <v>NA</v>
      </c>
      <c r="AF183">
        <f>IF(UPPER(TRIM(E183))=UPPER(TRIM(W183)),1,0)</f>
        <v>0</v>
      </c>
      <c r="AG183">
        <f t="shared" si="5"/>
        <v>10.28</v>
      </c>
    </row>
    <row r="184" spans="1:33" x14ac:dyDescent="0.3">
      <c r="A184" t="s">
        <v>142</v>
      </c>
      <c r="B184">
        <v>1</v>
      </c>
      <c r="C184" t="s">
        <v>240</v>
      </c>
      <c r="D184" t="s">
        <v>243</v>
      </c>
      <c r="E184" t="s">
        <v>258</v>
      </c>
      <c r="F184" t="s">
        <v>85</v>
      </c>
      <c r="G184" t="s">
        <v>134</v>
      </c>
      <c r="H184">
        <v>2</v>
      </c>
      <c r="I184">
        <v>10</v>
      </c>
      <c r="J184">
        <v>20</v>
      </c>
      <c r="K184" t="s">
        <v>245</v>
      </c>
      <c r="L184">
        <v>0.4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 s="8">
        <v>0.4</v>
      </c>
      <c r="V184" s="8">
        <f t="shared" si="4"/>
        <v>0</v>
      </c>
      <c r="W184" t="str">
        <f>_xlfn.XLOOKUP(A184, Matches!A:A, Matches!L:L, "NA", 0)</f>
        <v>DCW</v>
      </c>
      <c r="X184" t="str">
        <f>_xlfn.XLOOKUP(A184, Matches!A:A, Matches!J:J, "NA", 0)</f>
        <v>GGTW</v>
      </c>
      <c r="Y184" t="str">
        <f>_xlfn.XLOOKUP(A184, Matches!A:A, Matches!F:F, "NA", 0)</f>
        <v>Dr DY Patil Sports </v>
      </c>
      <c r="Z184" cm="1">
        <f t="array" ref="Z184">INDEX(Innings!F:F,MATCH(1,(TRIM(Innings!A:A)=TRIM(A184))*(TRIM(Innings!D:D)=TRIM(E184)),0))</f>
        <v>105</v>
      </c>
      <c r="AA184" cm="1">
        <f t="array" ref="AA184">INDEX(Innings!I:I,MATCH(1,(TRIM(Innings!A:A)=TRIM(A184))*(TRIM(Innings!D:D)=TRIM(E184)),0))</f>
        <v>5.25</v>
      </c>
      <c r="AB184" cm="1">
        <f t="array" ref="AB184">INDEX(Innings!J:J,MATCH(1,(TRIM(Innings!A:A)=TRIM(A184))*(TRIM(Innings!D:D)=TRIM(E184)),0))</f>
        <v>31</v>
      </c>
      <c r="AC184" cm="1">
        <f t="array" ref="AC184">INDEX(Innings!N:N,MATCH(1,(TRIM(Innings!A:A)=TRIM(A184))*(TRIM(Innings!D:D)=TRIM(E184)),0))</f>
        <v>27</v>
      </c>
      <c r="AD184" cm="1">
        <f t="array" ref="AD184">INDEX(Innings!S:S,MATCH(1,(TRIM(Innings!A:A)=TRIM(A184))*(TRIM(Innings!D:D)=TRIM(E184)),0))</f>
        <v>63</v>
      </c>
      <c r="AE184" t="str" cm="1">
        <f t="array" ref="AE184">INDEX(Innings!W:W,MATCH(1,(TRIM(Innings!A:A)=TRIM(A184))*(TRIM(Innings!D:D)=TRIM(E184)),0))</f>
        <v>NA</v>
      </c>
      <c r="AF184">
        <f>IF(UPPER(TRIM(E184))=UPPER(TRIM(W184)),1,0)</f>
        <v>0</v>
      </c>
      <c r="AG184">
        <f t="shared" si="5"/>
        <v>0.2</v>
      </c>
    </row>
    <row r="185" spans="1:33" x14ac:dyDescent="0.3">
      <c r="A185" t="s">
        <v>142</v>
      </c>
      <c r="B185">
        <v>1</v>
      </c>
      <c r="C185" t="s">
        <v>242</v>
      </c>
      <c r="D185" t="s">
        <v>244</v>
      </c>
      <c r="E185" t="s">
        <v>258</v>
      </c>
      <c r="F185" t="s">
        <v>101</v>
      </c>
      <c r="G185" t="s">
        <v>134</v>
      </c>
      <c r="H185">
        <v>32</v>
      </c>
      <c r="I185">
        <v>37</v>
      </c>
      <c r="J185">
        <v>86.49</v>
      </c>
      <c r="K185" t="s">
        <v>96</v>
      </c>
      <c r="L185">
        <v>27.68</v>
      </c>
      <c r="M185">
        <v>2</v>
      </c>
      <c r="N185">
        <v>0</v>
      </c>
      <c r="O185">
        <v>20</v>
      </c>
      <c r="P185">
        <v>0</v>
      </c>
      <c r="Q185">
        <v>10</v>
      </c>
      <c r="R185">
        <v>0</v>
      </c>
      <c r="S185">
        <v>0</v>
      </c>
      <c r="T185">
        <v>0</v>
      </c>
      <c r="U185" s="8">
        <v>27.68</v>
      </c>
      <c r="V185" s="8">
        <f t="shared" si="4"/>
        <v>3</v>
      </c>
      <c r="W185" t="str">
        <f>_xlfn.XLOOKUP(A185, Matches!A:A, Matches!L:L, "NA", 0)</f>
        <v>DCW</v>
      </c>
      <c r="X185" t="str">
        <f>_xlfn.XLOOKUP(A185, Matches!A:A, Matches!J:J, "NA", 0)</f>
        <v>GGTW</v>
      </c>
      <c r="Y185" t="str">
        <f>_xlfn.XLOOKUP(A185, Matches!A:A, Matches!F:F, "NA", 0)</f>
        <v>Dr DY Patil Sports </v>
      </c>
      <c r="Z185" cm="1">
        <f t="array" ref="Z185">INDEX(Innings!F:F,MATCH(1,(TRIM(Innings!A:A)=TRIM(A185))*(TRIM(Innings!D:D)=TRIM(E185)),0))</f>
        <v>105</v>
      </c>
      <c r="AA185" cm="1">
        <f t="array" ref="AA185">INDEX(Innings!I:I,MATCH(1,(TRIM(Innings!A:A)=TRIM(A185))*(TRIM(Innings!D:D)=TRIM(E185)),0))</f>
        <v>5.25</v>
      </c>
      <c r="AB185" cm="1">
        <f t="array" ref="AB185">INDEX(Innings!J:J,MATCH(1,(TRIM(Innings!A:A)=TRIM(A185))*(TRIM(Innings!D:D)=TRIM(E185)),0))</f>
        <v>31</v>
      </c>
      <c r="AC185" cm="1">
        <f t="array" ref="AC185">INDEX(Innings!N:N,MATCH(1,(TRIM(Innings!A:A)=TRIM(A185))*(TRIM(Innings!D:D)=TRIM(E185)),0))</f>
        <v>27</v>
      </c>
      <c r="AD185" cm="1">
        <f t="array" ref="AD185">INDEX(Innings!S:S,MATCH(1,(TRIM(Innings!A:A)=TRIM(A185))*(TRIM(Innings!D:D)=TRIM(E185)),0))</f>
        <v>63</v>
      </c>
      <c r="AE185" t="str" cm="1">
        <f t="array" ref="AE185">INDEX(Innings!W:W,MATCH(1,(TRIM(Innings!A:A)=TRIM(A185))*(TRIM(Innings!D:D)=TRIM(E185)),0))</f>
        <v>NA</v>
      </c>
      <c r="AF185">
        <f>IF(UPPER(TRIM(E185))=UPPER(TRIM(W185)),1,0)</f>
        <v>0</v>
      </c>
      <c r="AG185">
        <f t="shared" si="5"/>
        <v>14.74</v>
      </c>
    </row>
    <row r="186" spans="1:33" x14ac:dyDescent="0.3">
      <c r="A186" t="s">
        <v>142</v>
      </c>
      <c r="B186">
        <v>1</v>
      </c>
      <c r="C186" t="s">
        <v>105</v>
      </c>
      <c r="D186" t="s">
        <v>128</v>
      </c>
      <c r="E186" t="s">
        <v>258</v>
      </c>
      <c r="F186" t="s">
        <v>101</v>
      </c>
      <c r="G186" t="s">
        <v>135</v>
      </c>
      <c r="H186">
        <v>13</v>
      </c>
      <c r="I186">
        <v>19</v>
      </c>
      <c r="J186">
        <v>68.42</v>
      </c>
      <c r="K186" t="s">
        <v>246</v>
      </c>
      <c r="L186">
        <v>8.89</v>
      </c>
      <c r="M186">
        <v>2</v>
      </c>
      <c r="N186">
        <v>0</v>
      </c>
      <c r="O186">
        <v>27</v>
      </c>
      <c r="P186">
        <v>0</v>
      </c>
      <c r="Q186">
        <v>13.5</v>
      </c>
      <c r="R186">
        <v>0</v>
      </c>
      <c r="S186">
        <v>0</v>
      </c>
      <c r="T186">
        <v>0</v>
      </c>
      <c r="U186" s="8">
        <v>8.89</v>
      </c>
      <c r="V186" s="8">
        <f t="shared" si="4"/>
        <v>1</v>
      </c>
      <c r="W186" t="str">
        <f>_xlfn.XLOOKUP(A186, Matches!A:A, Matches!L:L, "NA", 0)</f>
        <v>DCW</v>
      </c>
      <c r="X186" t="str">
        <f>_xlfn.XLOOKUP(A186, Matches!A:A, Matches!J:J, "NA", 0)</f>
        <v>GGTW</v>
      </c>
      <c r="Y186" t="str">
        <f>_xlfn.XLOOKUP(A186, Matches!A:A, Matches!F:F, "NA", 0)</f>
        <v>Dr DY Patil Sports </v>
      </c>
      <c r="Z186" cm="1">
        <f t="array" ref="Z186">INDEX(Innings!F:F,MATCH(1,(TRIM(Innings!A:A)=TRIM(A186))*(TRIM(Innings!D:D)=TRIM(E186)),0))</f>
        <v>105</v>
      </c>
      <c r="AA186" cm="1">
        <f t="array" ref="AA186">INDEX(Innings!I:I,MATCH(1,(TRIM(Innings!A:A)=TRIM(A186))*(TRIM(Innings!D:D)=TRIM(E186)),0))</f>
        <v>5.25</v>
      </c>
      <c r="AB186" cm="1">
        <f t="array" ref="AB186">INDEX(Innings!J:J,MATCH(1,(TRIM(Innings!A:A)=TRIM(A186))*(TRIM(Innings!D:D)=TRIM(E186)),0))</f>
        <v>31</v>
      </c>
      <c r="AC186" cm="1">
        <f t="array" ref="AC186">INDEX(Innings!N:N,MATCH(1,(TRIM(Innings!A:A)=TRIM(A186))*(TRIM(Innings!D:D)=TRIM(E186)),0))</f>
        <v>27</v>
      </c>
      <c r="AD186" cm="1">
        <f t="array" ref="AD186">INDEX(Innings!S:S,MATCH(1,(TRIM(Innings!A:A)=TRIM(A186))*(TRIM(Innings!D:D)=TRIM(E186)),0))</f>
        <v>63</v>
      </c>
      <c r="AE186" t="str" cm="1">
        <f t="array" ref="AE186">INDEX(Innings!W:W,MATCH(1,(TRIM(Innings!A:A)=TRIM(A186))*(TRIM(Innings!D:D)=TRIM(E186)),0))</f>
        <v>NA</v>
      </c>
      <c r="AF186">
        <f>IF(UPPER(TRIM(E186))=UPPER(TRIM(W186)),1,0)</f>
        <v>0</v>
      </c>
      <c r="AG186">
        <f t="shared" si="5"/>
        <v>4.7450000000000001</v>
      </c>
    </row>
    <row r="187" spans="1:33" x14ac:dyDescent="0.3">
      <c r="A187" t="s">
        <v>142</v>
      </c>
      <c r="B187">
        <v>1</v>
      </c>
      <c r="C187" t="s">
        <v>102</v>
      </c>
      <c r="D187" t="s">
        <v>126</v>
      </c>
      <c r="E187" t="s">
        <v>258</v>
      </c>
      <c r="F187" t="s">
        <v>91</v>
      </c>
      <c r="G187" t="s">
        <v>135</v>
      </c>
      <c r="H187">
        <v>2</v>
      </c>
      <c r="I187">
        <v>3</v>
      </c>
      <c r="J187">
        <v>66.67</v>
      </c>
      <c r="K187" t="s">
        <v>246</v>
      </c>
      <c r="L187">
        <v>1.33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 s="8">
        <v>1.33</v>
      </c>
      <c r="V187" s="8">
        <f t="shared" si="4"/>
        <v>0</v>
      </c>
      <c r="W187" t="str">
        <f>_xlfn.XLOOKUP(A187, Matches!A:A, Matches!L:L, "NA", 0)</f>
        <v>DCW</v>
      </c>
      <c r="X187" t="str">
        <f>_xlfn.XLOOKUP(A187, Matches!A:A, Matches!J:J, "NA", 0)</f>
        <v>GGTW</v>
      </c>
      <c r="Y187" t="str">
        <f>_xlfn.XLOOKUP(A187, Matches!A:A, Matches!F:F, "NA", 0)</f>
        <v>Dr DY Patil Sports </v>
      </c>
      <c r="Z187" cm="1">
        <f t="array" ref="Z187">INDEX(Innings!F:F,MATCH(1,(TRIM(Innings!A:A)=TRIM(A187))*(TRIM(Innings!D:D)=TRIM(E187)),0))</f>
        <v>105</v>
      </c>
      <c r="AA187" cm="1">
        <f t="array" ref="AA187">INDEX(Innings!I:I,MATCH(1,(TRIM(Innings!A:A)=TRIM(A187))*(TRIM(Innings!D:D)=TRIM(E187)),0))</f>
        <v>5.25</v>
      </c>
      <c r="AB187" cm="1">
        <f t="array" ref="AB187">INDEX(Innings!J:J,MATCH(1,(TRIM(Innings!A:A)=TRIM(A187))*(TRIM(Innings!D:D)=TRIM(E187)),0))</f>
        <v>31</v>
      </c>
      <c r="AC187" cm="1">
        <f t="array" ref="AC187">INDEX(Innings!N:N,MATCH(1,(TRIM(Innings!A:A)=TRIM(A187))*(TRIM(Innings!D:D)=TRIM(E187)),0))</f>
        <v>27</v>
      </c>
      <c r="AD187" cm="1">
        <f t="array" ref="AD187">INDEX(Innings!S:S,MATCH(1,(TRIM(Innings!A:A)=TRIM(A187))*(TRIM(Innings!D:D)=TRIM(E187)),0))</f>
        <v>63</v>
      </c>
      <c r="AE187" t="str" cm="1">
        <f t="array" ref="AE187">INDEX(Innings!W:W,MATCH(1,(TRIM(Innings!A:A)=TRIM(A187))*(TRIM(Innings!D:D)=TRIM(E187)),0))</f>
        <v>NA</v>
      </c>
      <c r="AF187">
        <f>IF(UPPER(TRIM(E187))=UPPER(TRIM(W187)),1,0)</f>
        <v>0</v>
      </c>
      <c r="AG187">
        <f t="shared" si="5"/>
        <v>0.66500000000000004</v>
      </c>
    </row>
    <row r="188" spans="1:33" x14ac:dyDescent="0.3">
      <c r="A188" t="s">
        <v>142</v>
      </c>
      <c r="B188">
        <v>1</v>
      </c>
      <c r="C188" t="s">
        <v>110</v>
      </c>
      <c r="D188" t="s">
        <v>132</v>
      </c>
      <c r="E188" t="s">
        <v>258</v>
      </c>
      <c r="F188" t="s">
        <v>101</v>
      </c>
      <c r="G188" t="s">
        <v>135</v>
      </c>
      <c r="H188">
        <v>5</v>
      </c>
      <c r="I188">
        <v>2</v>
      </c>
      <c r="J188">
        <v>250</v>
      </c>
      <c r="K188" t="s">
        <v>96</v>
      </c>
      <c r="L188">
        <v>12.5</v>
      </c>
      <c r="M188">
        <v>2</v>
      </c>
      <c r="N188">
        <v>0</v>
      </c>
      <c r="O188">
        <v>31</v>
      </c>
      <c r="P188">
        <v>0</v>
      </c>
      <c r="Q188">
        <v>15.5</v>
      </c>
      <c r="R188">
        <v>0</v>
      </c>
      <c r="S188">
        <v>0</v>
      </c>
      <c r="T188">
        <v>0</v>
      </c>
      <c r="U188" s="8">
        <v>12.5</v>
      </c>
      <c r="V188" s="8">
        <f t="shared" si="4"/>
        <v>1</v>
      </c>
      <c r="W188" t="str">
        <f>_xlfn.XLOOKUP(A188, Matches!A:A, Matches!L:L, "NA", 0)</f>
        <v>DCW</v>
      </c>
      <c r="X188" t="str">
        <f>_xlfn.XLOOKUP(A188, Matches!A:A, Matches!J:J, "NA", 0)</f>
        <v>GGTW</v>
      </c>
      <c r="Y188" t="str">
        <f>_xlfn.XLOOKUP(A188, Matches!A:A, Matches!F:F, "NA", 0)</f>
        <v>Dr DY Patil Sports </v>
      </c>
      <c r="Z188" cm="1">
        <f t="array" ref="Z188">INDEX(Innings!F:F,MATCH(1,(TRIM(Innings!A:A)=TRIM(A188))*(TRIM(Innings!D:D)=TRIM(E188)),0))</f>
        <v>105</v>
      </c>
      <c r="AA188" cm="1">
        <f t="array" ref="AA188">INDEX(Innings!I:I,MATCH(1,(TRIM(Innings!A:A)=TRIM(A188))*(TRIM(Innings!D:D)=TRIM(E188)),0))</f>
        <v>5.25</v>
      </c>
      <c r="AB188" cm="1">
        <f t="array" ref="AB188">INDEX(Innings!J:J,MATCH(1,(TRIM(Innings!A:A)=TRIM(A188))*(TRIM(Innings!D:D)=TRIM(E188)),0))</f>
        <v>31</v>
      </c>
      <c r="AC188" cm="1">
        <f t="array" ref="AC188">INDEX(Innings!N:N,MATCH(1,(TRIM(Innings!A:A)=TRIM(A188))*(TRIM(Innings!D:D)=TRIM(E188)),0))</f>
        <v>27</v>
      </c>
      <c r="AD188" cm="1">
        <f t="array" ref="AD188">INDEX(Innings!S:S,MATCH(1,(TRIM(Innings!A:A)=TRIM(A188))*(TRIM(Innings!D:D)=TRIM(E188)),0))</f>
        <v>63</v>
      </c>
      <c r="AE188" t="str" cm="1">
        <f t="array" ref="AE188">INDEX(Innings!W:W,MATCH(1,(TRIM(Innings!A:A)=TRIM(A188))*(TRIM(Innings!D:D)=TRIM(E188)),0))</f>
        <v>NA</v>
      </c>
      <c r="AF188">
        <f>IF(UPPER(TRIM(E188))=UPPER(TRIM(W188)),1,0)</f>
        <v>0</v>
      </c>
      <c r="AG188">
        <f t="shared" si="5"/>
        <v>6.55</v>
      </c>
    </row>
    <row r="189" spans="1:33" x14ac:dyDescent="0.3">
      <c r="A189" t="s">
        <v>142</v>
      </c>
      <c r="B189">
        <v>1</v>
      </c>
      <c r="C189" t="s">
        <v>190</v>
      </c>
      <c r="D189" t="s">
        <v>191</v>
      </c>
      <c r="E189" t="s">
        <v>158</v>
      </c>
      <c r="F189" t="s">
        <v>109</v>
      </c>
      <c r="G189" t="s">
        <v>86</v>
      </c>
      <c r="H189">
        <v>21</v>
      </c>
      <c r="I189">
        <v>15</v>
      </c>
      <c r="J189">
        <v>140</v>
      </c>
      <c r="K189" t="s">
        <v>96</v>
      </c>
      <c r="L189">
        <v>29.4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 s="8">
        <v>29.4</v>
      </c>
      <c r="V189" s="8">
        <f t="shared" si="4"/>
        <v>3</v>
      </c>
      <c r="W189" t="str">
        <f>_xlfn.XLOOKUP(A189, Matches!A:A, Matches!L:L, "NA", 0)</f>
        <v>DCW</v>
      </c>
      <c r="X189" t="str">
        <f>_xlfn.XLOOKUP(A189, Matches!A:A, Matches!J:J, "NA", 0)</f>
        <v>GGTW</v>
      </c>
      <c r="Y189" t="str">
        <f>_xlfn.XLOOKUP(A189, Matches!A:A, Matches!F:F, "NA", 0)</f>
        <v>Dr DY Patil Sports </v>
      </c>
      <c r="Z189" cm="1">
        <f t="array" ref="Z189">INDEX(Innings!F:F,MATCH(1,(TRIM(Innings!A:A)=TRIM(A189))*(TRIM(Innings!D:D)=TRIM(E189)),0))</f>
        <v>107</v>
      </c>
      <c r="AA189" cm="1">
        <f t="array" ref="AA189">INDEX(Innings!I:I,MATCH(1,(TRIM(Innings!A:A)=TRIM(A189))*(TRIM(Innings!D:D)=TRIM(E189)),0))</f>
        <v>14.93</v>
      </c>
      <c r="AB189" cm="1">
        <f t="array" ref="AB189">INDEX(Innings!J:J,MATCH(1,(TRIM(Innings!A:A)=TRIM(A189))*(TRIM(Innings!D:D)=TRIM(E189)),0))</f>
        <v>87</v>
      </c>
      <c r="AC189" cm="1">
        <f t="array" ref="AC189">INDEX(Innings!N:N,MATCH(1,(TRIM(Innings!A:A)=TRIM(A189))*(TRIM(Innings!D:D)=TRIM(E189)),0))</f>
        <v>0</v>
      </c>
      <c r="AD189" cm="1">
        <f t="array" ref="AD189">INDEX(Innings!S:S,MATCH(1,(TRIM(Innings!A:A)=TRIM(A189))*(TRIM(Innings!D:D)=TRIM(E189)),0))</f>
        <v>9</v>
      </c>
      <c r="AE189" t="str" cm="1">
        <f t="array" ref="AE189">INDEX(Innings!W:W,MATCH(1,(TRIM(Innings!A:A)=TRIM(A189))*(TRIM(Innings!D:D)=TRIM(E189)),0))</f>
        <v>Successful</v>
      </c>
      <c r="AF189">
        <f>IF(UPPER(TRIM(E189))=UPPER(TRIM(W189)),1,0)</f>
        <v>1</v>
      </c>
      <c r="AG189">
        <f t="shared" si="5"/>
        <v>35.6</v>
      </c>
    </row>
    <row r="190" spans="1:33" x14ac:dyDescent="0.3">
      <c r="A190" t="s">
        <v>142</v>
      </c>
      <c r="B190">
        <v>1</v>
      </c>
      <c r="C190" t="s">
        <v>188</v>
      </c>
      <c r="D190" t="s">
        <v>189</v>
      </c>
      <c r="E190" t="s">
        <v>158</v>
      </c>
      <c r="F190" t="s">
        <v>109</v>
      </c>
      <c r="G190" t="s">
        <v>86</v>
      </c>
      <c r="H190">
        <v>76</v>
      </c>
      <c r="I190">
        <v>28</v>
      </c>
      <c r="J190">
        <v>271.43</v>
      </c>
      <c r="K190" t="s">
        <v>96</v>
      </c>
      <c r="L190">
        <v>206.29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 s="8">
        <v>206.29</v>
      </c>
      <c r="V190" s="8">
        <f t="shared" si="4"/>
        <v>10</v>
      </c>
      <c r="W190" t="str">
        <f>_xlfn.XLOOKUP(A190, Matches!A:A, Matches!L:L, "NA", 0)</f>
        <v>DCW</v>
      </c>
      <c r="X190" t="str">
        <f>_xlfn.XLOOKUP(A190, Matches!A:A, Matches!J:J, "NA", 0)</f>
        <v>GGTW</v>
      </c>
      <c r="Y190" t="str">
        <f>_xlfn.XLOOKUP(A190, Matches!A:A, Matches!F:F, "NA", 0)</f>
        <v>Dr DY Patil Sports </v>
      </c>
      <c r="Z190" cm="1">
        <f t="array" ref="Z190">INDEX(Innings!F:F,MATCH(1,(TRIM(Innings!A:A)=TRIM(A190))*(TRIM(Innings!D:D)=TRIM(E190)),0))</f>
        <v>107</v>
      </c>
      <c r="AA190" cm="1">
        <f t="array" ref="AA190">INDEX(Innings!I:I,MATCH(1,(TRIM(Innings!A:A)=TRIM(A190))*(TRIM(Innings!D:D)=TRIM(E190)),0))</f>
        <v>14.93</v>
      </c>
      <c r="AB190" cm="1">
        <f t="array" ref="AB190">INDEX(Innings!J:J,MATCH(1,(TRIM(Innings!A:A)=TRIM(A190))*(TRIM(Innings!D:D)=TRIM(E190)),0))</f>
        <v>87</v>
      </c>
      <c r="AC190" cm="1">
        <f t="array" ref="AC190">INDEX(Innings!N:N,MATCH(1,(TRIM(Innings!A:A)=TRIM(A190))*(TRIM(Innings!D:D)=TRIM(E190)),0))</f>
        <v>0</v>
      </c>
      <c r="AD190" cm="1">
        <f t="array" ref="AD190">INDEX(Innings!S:S,MATCH(1,(TRIM(Innings!A:A)=TRIM(A190))*(TRIM(Innings!D:D)=TRIM(E190)),0))</f>
        <v>9</v>
      </c>
      <c r="AE190" t="str" cm="1">
        <f t="array" ref="AE190">INDEX(Innings!W:W,MATCH(1,(TRIM(Innings!A:A)=TRIM(A190))*(TRIM(Innings!D:D)=TRIM(E190)),0))</f>
        <v>Successful</v>
      </c>
      <c r="AF190">
        <f>IF(UPPER(TRIM(E190))=UPPER(TRIM(W190)),1,0)</f>
        <v>1</v>
      </c>
      <c r="AG190">
        <f t="shared" si="5"/>
        <v>126.145</v>
      </c>
    </row>
    <row r="191" spans="1:33" x14ac:dyDescent="0.3">
      <c r="A191" t="s">
        <v>142</v>
      </c>
      <c r="B191">
        <v>1</v>
      </c>
      <c r="C191" t="s">
        <v>194</v>
      </c>
      <c r="D191" t="s">
        <v>195</v>
      </c>
      <c r="E191" t="s">
        <v>158</v>
      </c>
      <c r="F191" t="s">
        <v>109</v>
      </c>
      <c r="G191" t="s">
        <v>92</v>
      </c>
      <c r="H191">
        <v>0</v>
      </c>
      <c r="I191">
        <v>0</v>
      </c>
      <c r="J191">
        <v>0</v>
      </c>
      <c r="K191" t="s">
        <v>104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s="8">
        <v>0</v>
      </c>
      <c r="V191" s="8">
        <f t="shared" si="4"/>
        <v>0</v>
      </c>
      <c r="W191" t="str">
        <f>_xlfn.XLOOKUP(A191, Matches!A:A, Matches!L:L, "NA", 0)</f>
        <v>DCW</v>
      </c>
      <c r="X191" t="str">
        <f>_xlfn.XLOOKUP(A191, Matches!A:A, Matches!J:J, "NA", 0)</f>
        <v>GGTW</v>
      </c>
      <c r="Y191" t="str">
        <f>_xlfn.XLOOKUP(A191, Matches!A:A, Matches!F:F, "NA", 0)</f>
        <v>Dr DY Patil Sports </v>
      </c>
      <c r="Z191" cm="1">
        <f t="array" ref="Z191">INDEX(Innings!F:F,MATCH(1,(TRIM(Innings!A:A)=TRIM(A191))*(TRIM(Innings!D:D)=TRIM(E191)),0))</f>
        <v>107</v>
      </c>
      <c r="AA191" cm="1">
        <f t="array" ref="AA191">INDEX(Innings!I:I,MATCH(1,(TRIM(Innings!A:A)=TRIM(A191))*(TRIM(Innings!D:D)=TRIM(E191)),0))</f>
        <v>14.93</v>
      </c>
      <c r="AB191" cm="1">
        <f t="array" ref="AB191">INDEX(Innings!J:J,MATCH(1,(TRIM(Innings!A:A)=TRIM(A191))*(TRIM(Innings!D:D)=TRIM(E191)),0))</f>
        <v>87</v>
      </c>
      <c r="AC191" cm="1">
        <f t="array" ref="AC191">INDEX(Innings!N:N,MATCH(1,(TRIM(Innings!A:A)=TRIM(A191))*(TRIM(Innings!D:D)=TRIM(E191)),0))</f>
        <v>0</v>
      </c>
      <c r="AD191" cm="1">
        <f t="array" ref="AD191">INDEX(Innings!S:S,MATCH(1,(TRIM(Innings!A:A)=TRIM(A191))*(TRIM(Innings!D:D)=TRIM(E191)),0))</f>
        <v>9</v>
      </c>
      <c r="AE191" t="str" cm="1">
        <f t="array" ref="AE191">INDEX(Innings!W:W,MATCH(1,(TRIM(Innings!A:A)=TRIM(A191))*(TRIM(Innings!D:D)=TRIM(E191)),0))</f>
        <v>Successful</v>
      </c>
      <c r="AF191">
        <f>IF(UPPER(TRIM(E191))=UPPER(TRIM(W191)),1,0)</f>
        <v>1</v>
      </c>
      <c r="AG191">
        <f t="shared" si="5"/>
        <v>20</v>
      </c>
    </row>
    <row r="192" spans="1:33" x14ac:dyDescent="0.3">
      <c r="A192" t="s">
        <v>142</v>
      </c>
      <c r="B192">
        <v>1</v>
      </c>
      <c r="C192" t="s">
        <v>192</v>
      </c>
      <c r="D192" t="s">
        <v>193</v>
      </c>
      <c r="E192" t="s">
        <v>158</v>
      </c>
      <c r="F192" t="s">
        <v>169</v>
      </c>
      <c r="G192" t="s">
        <v>92</v>
      </c>
      <c r="H192">
        <v>0</v>
      </c>
      <c r="I192">
        <v>0</v>
      </c>
      <c r="J192">
        <v>0</v>
      </c>
      <c r="K192" t="s">
        <v>104</v>
      </c>
      <c r="L192">
        <v>0</v>
      </c>
      <c r="M192">
        <v>4</v>
      </c>
      <c r="N192">
        <v>0</v>
      </c>
      <c r="O192">
        <v>15</v>
      </c>
      <c r="P192">
        <v>5</v>
      </c>
      <c r="Q192">
        <v>3.8</v>
      </c>
      <c r="R192">
        <v>100</v>
      </c>
      <c r="S192">
        <v>0</v>
      </c>
      <c r="T192">
        <v>0</v>
      </c>
      <c r="U192" s="8">
        <v>100</v>
      </c>
      <c r="V192" s="8">
        <f t="shared" si="4"/>
        <v>10</v>
      </c>
      <c r="W192" t="str">
        <f>_xlfn.XLOOKUP(A192, Matches!A:A, Matches!L:L, "NA", 0)</f>
        <v>DCW</v>
      </c>
      <c r="X192" t="str">
        <f>_xlfn.XLOOKUP(A192, Matches!A:A, Matches!J:J, "NA", 0)</f>
        <v>GGTW</v>
      </c>
      <c r="Y192" t="str">
        <f>_xlfn.XLOOKUP(A192, Matches!A:A, Matches!F:F, "NA", 0)</f>
        <v>Dr DY Patil Sports </v>
      </c>
      <c r="Z192" cm="1">
        <f t="array" ref="Z192">INDEX(Innings!F:F,MATCH(1,(TRIM(Innings!A:A)=TRIM(A192))*(TRIM(Innings!D:D)=TRIM(E192)),0))</f>
        <v>107</v>
      </c>
      <c r="AA192" cm="1">
        <f t="array" ref="AA192">INDEX(Innings!I:I,MATCH(1,(TRIM(Innings!A:A)=TRIM(A192))*(TRIM(Innings!D:D)=TRIM(E192)),0))</f>
        <v>14.93</v>
      </c>
      <c r="AB192" cm="1">
        <f t="array" ref="AB192">INDEX(Innings!J:J,MATCH(1,(TRIM(Innings!A:A)=TRIM(A192))*(TRIM(Innings!D:D)=TRIM(E192)),0))</f>
        <v>87</v>
      </c>
      <c r="AC192" cm="1">
        <f t="array" ref="AC192">INDEX(Innings!N:N,MATCH(1,(TRIM(Innings!A:A)=TRIM(A192))*(TRIM(Innings!D:D)=TRIM(E192)),0))</f>
        <v>0</v>
      </c>
      <c r="AD192" cm="1">
        <f t="array" ref="AD192">INDEX(Innings!S:S,MATCH(1,(TRIM(Innings!A:A)=TRIM(A192))*(TRIM(Innings!D:D)=TRIM(E192)),0))</f>
        <v>9</v>
      </c>
      <c r="AE192" t="str" cm="1">
        <f t="array" ref="AE192">INDEX(Innings!W:W,MATCH(1,(TRIM(Innings!A:A)=TRIM(A192))*(TRIM(Innings!D:D)=TRIM(E192)),0))</f>
        <v>Successful</v>
      </c>
      <c r="AF192">
        <f>IF(UPPER(TRIM(E192))=UPPER(TRIM(W192)),1,0)</f>
        <v>1</v>
      </c>
      <c r="AG192">
        <f t="shared" si="5"/>
        <v>73</v>
      </c>
    </row>
    <row r="193" spans="1:33" x14ac:dyDescent="0.3">
      <c r="A193" t="s">
        <v>142</v>
      </c>
      <c r="B193">
        <v>1</v>
      </c>
      <c r="C193" t="s">
        <v>198</v>
      </c>
      <c r="D193" t="s">
        <v>199</v>
      </c>
      <c r="E193" t="s">
        <v>158</v>
      </c>
      <c r="F193" t="s">
        <v>101</v>
      </c>
      <c r="G193" t="s">
        <v>134</v>
      </c>
      <c r="H193">
        <v>0</v>
      </c>
      <c r="I193">
        <v>0</v>
      </c>
      <c r="J193">
        <v>0</v>
      </c>
      <c r="K193" t="s">
        <v>104</v>
      </c>
      <c r="L193">
        <v>0</v>
      </c>
      <c r="M193">
        <v>4</v>
      </c>
      <c r="N193">
        <v>0</v>
      </c>
      <c r="O193">
        <v>19</v>
      </c>
      <c r="P193">
        <v>0</v>
      </c>
      <c r="Q193">
        <v>4.8</v>
      </c>
      <c r="R193">
        <v>0</v>
      </c>
      <c r="S193">
        <v>0</v>
      </c>
      <c r="T193">
        <v>0</v>
      </c>
      <c r="U193" s="8">
        <v>0</v>
      </c>
      <c r="V193" s="8">
        <f t="shared" si="4"/>
        <v>0</v>
      </c>
      <c r="W193" t="str">
        <f>_xlfn.XLOOKUP(A193, Matches!A:A, Matches!L:L, "NA", 0)</f>
        <v>DCW</v>
      </c>
      <c r="X193" t="str">
        <f>_xlfn.XLOOKUP(A193, Matches!A:A, Matches!J:J, "NA", 0)</f>
        <v>GGTW</v>
      </c>
      <c r="Y193" t="str">
        <f>_xlfn.XLOOKUP(A193, Matches!A:A, Matches!F:F, "NA", 0)</f>
        <v>Dr DY Patil Sports </v>
      </c>
      <c r="Z193" cm="1">
        <f t="array" ref="Z193">INDEX(Innings!F:F,MATCH(1,(TRIM(Innings!A:A)=TRIM(A193))*(TRIM(Innings!D:D)=TRIM(E193)),0))</f>
        <v>107</v>
      </c>
      <c r="AA193" cm="1">
        <f t="array" ref="AA193">INDEX(Innings!I:I,MATCH(1,(TRIM(Innings!A:A)=TRIM(A193))*(TRIM(Innings!D:D)=TRIM(E193)),0))</f>
        <v>14.93</v>
      </c>
      <c r="AB193" cm="1">
        <f t="array" ref="AB193">INDEX(Innings!J:J,MATCH(1,(TRIM(Innings!A:A)=TRIM(A193))*(TRIM(Innings!D:D)=TRIM(E193)),0))</f>
        <v>87</v>
      </c>
      <c r="AC193" cm="1">
        <f t="array" ref="AC193">INDEX(Innings!N:N,MATCH(1,(TRIM(Innings!A:A)=TRIM(A193))*(TRIM(Innings!D:D)=TRIM(E193)),0))</f>
        <v>0</v>
      </c>
      <c r="AD193" cm="1">
        <f t="array" ref="AD193">INDEX(Innings!S:S,MATCH(1,(TRIM(Innings!A:A)=TRIM(A193))*(TRIM(Innings!D:D)=TRIM(E193)),0))</f>
        <v>9</v>
      </c>
      <c r="AE193" t="str" cm="1">
        <f t="array" ref="AE193">INDEX(Innings!W:W,MATCH(1,(TRIM(Innings!A:A)=TRIM(A193))*(TRIM(Innings!D:D)=TRIM(E193)),0))</f>
        <v>Successful</v>
      </c>
      <c r="AF193">
        <f>IF(UPPER(TRIM(E193))=UPPER(TRIM(W193)),1,0)</f>
        <v>1</v>
      </c>
      <c r="AG193">
        <f t="shared" si="5"/>
        <v>20</v>
      </c>
    </row>
    <row r="194" spans="1:33" x14ac:dyDescent="0.3">
      <c r="A194" t="s">
        <v>142</v>
      </c>
      <c r="B194">
        <v>1</v>
      </c>
      <c r="C194" t="s">
        <v>206</v>
      </c>
      <c r="D194" t="s">
        <v>207</v>
      </c>
      <c r="E194" t="s">
        <v>158</v>
      </c>
      <c r="F194" t="s">
        <v>101</v>
      </c>
      <c r="G194" t="s">
        <v>134</v>
      </c>
      <c r="H194">
        <v>0</v>
      </c>
      <c r="I194">
        <v>0</v>
      </c>
      <c r="J194">
        <v>0</v>
      </c>
      <c r="K194" t="s">
        <v>104</v>
      </c>
      <c r="L194">
        <v>0</v>
      </c>
      <c r="M194">
        <v>4</v>
      </c>
      <c r="N194">
        <v>0</v>
      </c>
      <c r="O194">
        <v>19</v>
      </c>
      <c r="P194">
        <v>1</v>
      </c>
      <c r="Q194">
        <v>4.8</v>
      </c>
      <c r="R194">
        <v>20</v>
      </c>
      <c r="S194">
        <v>0</v>
      </c>
      <c r="T194">
        <v>0</v>
      </c>
      <c r="U194" s="8">
        <v>20</v>
      </c>
      <c r="V194" s="8">
        <f t="shared" si="4"/>
        <v>2</v>
      </c>
      <c r="W194" t="str">
        <f>_xlfn.XLOOKUP(A194, Matches!A:A, Matches!L:L, "NA", 0)</f>
        <v>DCW</v>
      </c>
      <c r="X194" t="str">
        <f>_xlfn.XLOOKUP(A194, Matches!A:A, Matches!J:J, "NA", 0)</f>
        <v>GGTW</v>
      </c>
      <c r="Y194" t="str">
        <f>_xlfn.XLOOKUP(A194, Matches!A:A, Matches!F:F, "NA", 0)</f>
        <v>Dr DY Patil Sports </v>
      </c>
      <c r="Z194" cm="1">
        <f t="array" ref="Z194">INDEX(Innings!F:F,MATCH(1,(TRIM(Innings!A:A)=TRIM(A194))*(TRIM(Innings!D:D)=TRIM(E194)),0))</f>
        <v>107</v>
      </c>
      <c r="AA194" cm="1">
        <f t="array" ref="AA194">INDEX(Innings!I:I,MATCH(1,(TRIM(Innings!A:A)=TRIM(A194))*(TRIM(Innings!D:D)=TRIM(E194)),0))</f>
        <v>14.93</v>
      </c>
      <c r="AB194" cm="1">
        <f t="array" ref="AB194">INDEX(Innings!J:J,MATCH(1,(TRIM(Innings!A:A)=TRIM(A194))*(TRIM(Innings!D:D)=TRIM(E194)),0))</f>
        <v>87</v>
      </c>
      <c r="AC194" cm="1">
        <f t="array" ref="AC194">INDEX(Innings!N:N,MATCH(1,(TRIM(Innings!A:A)=TRIM(A194))*(TRIM(Innings!D:D)=TRIM(E194)),0))</f>
        <v>0</v>
      </c>
      <c r="AD194" cm="1">
        <f t="array" ref="AD194">INDEX(Innings!S:S,MATCH(1,(TRIM(Innings!A:A)=TRIM(A194))*(TRIM(Innings!D:D)=TRIM(E194)),0))</f>
        <v>9</v>
      </c>
      <c r="AE194" t="str" cm="1">
        <f t="array" ref="AE194">INDEX(Innings!W:W,MATCH(1,(TRIM(Innings!A:A)=TRIM(A194))*(TRIM(Innings!D:D)=TRIM(E194)),0))</f>
        <v>Successful</v>
      </c>
      <c r="AF194">
        <f>IF(UPPER(TRIM(E194))=UPPER(TRIM(W194)),1,0)</f>
        <v>1</v>
      </c>
      <c r="AG194">
        <f t="shared" si="5"/>
        <v>30.6</v>
      </c>
    </row>
    <row r="195" spans="1:33" x14ac:dyDescent="0.3">
      <c r="A195" t="s">
        <v>142</v>
      </c>
      <c r="B195">
        <v>1</v>
      </c>
      <c r="C195" t="s">
        <v>208</v>
      </c>
      <c r="D195" t="s">
        <v>160</v>
      </c>
      <c r="E195" t="s">
        <v>158</v>
      </c>
      <c r="F195" t="s">
        <v>101</v>
      </c>
      <c r="G195" t="s">
        <v>135</v>
      </c>
      <c r="H195">
        <v>0</v>
      </c>
      <c r="I195">
        <v>0</v>
      </c>
      <c r="J195">
        <v>0</v>
      </c>
      <c r="K195" t="s">
        <v>104</v>
      </c>
      <c r="L195">
        <v>0</v>
      </c>
      <c r="M195">
        <v>1</v>
      </c>
      <c r="N195">
        <v>0</v>
      </c>
      <c r="O195">
        <v>6</v>
      </c>
      <c r="P195">
        <v>0</v>
      </c>
      <c r="Q195">
        <v>6</v>
      </c>
      <c r="R195">
        <v>0</v>
      </c>
      <c r="S195">
        <v>0</v>
      </c>
      <c r="T195">
        <v>0</v>
      </c>
      <c r="U195" s="8">
        <v>0</v>
      </c>
      <c r="V195" s="8">
        <f t="shared" ref="V195:V258" si="6">MIN(10, MAX(0, ROUND(U195/10,0)))</f>
        <v>0</v>
      </c>
      <c r="W195" t="str">
        <f>_xlfn.XLOOKUP(A195, Matches!A:A, Matches!L:L, "NA", 0)</f>
        <v>DCW</v>
      </c>
      <c r="X195" t="str">
        <f>_xlfn.XLOOKUP(A195, Matches!A:A, Matches!J:J, "NA", 0)</f>
        <v>GGTW</v>
      </c>
      <c r="Y195" t="str">
        <f>_xlfn.XLOOKUP(A195, Matches!A:A, Matches!F:F, "NA", 0)</f>
        <v>Dr DY Patil Sports </v>
      </c>
      <c r="Z195" cm="1">
        <f t="array" ref="Z195">INDEX(Innings!F:F,MATCH(1,(TRIM(Innings!A:A)=TRIM(A195))*(TRIM(Innings!D:D)=TRIM(E195)),0))</f>
        <v>107</v>
      </c>
      <c r="AA195" cm="1">
        <f t="array" ref="AA195">INDEX(Innings!I:I,MATCH(1,(TRIM(Innings!A:A)=TRIM(A195))*(TRIM(Innings!D:D)=TRIM(E195)),0))</f>
        <v>14.93</v>
      </c>
      <c r="AB195" cm="1">
        <f t="array" ref="AB195">INDEX(Innings!J:J,MATCH(1,(TRIM(Innings!A:A)=TRIM(A195))*(TRIM(Innings!D:D)=TRIM(E195)),0))</f>
        <v>87</v>
      </c>
      <c r="AC195" cm="1">
        <f t="array" ref="AC195">INDEX(Innings!N:N,MATCH(1,(TRIM(Innings!A:A)=TRIM(A195))*(TRIM(Innings!D:D)=TRIM(E195)),0))</f>
        <v>0</v>
      </c>
      <c r="AD195" cm="1">
        <f t="array" ref="AD195">INDEX(Innings!S:S,MATCH(1,(TRIM(Innings!A:A)=TRIM(A195))*(TRIM(Innings!D:D)=TRIM(E195)),0))</f>
        <v>9</v>
      </c>
      <c r="AE195" t="str" cm="1">
        <f t="array" ref="AE195">INDEX(Innings!W:W,MATCH(1,(TRIM(Innings!A:A)=TRIM(A195))*(TRIM(Innings!D:D)=TRIM(E195)),0))</f>
        <v>Successful</v>
      </c>
      <c r="AF195">
        <f>IF(UPPER(TRIM(E195))=UPPER(TRIM(W195)),1,0)</f>
        <v>1</v>
      </c>
      <c r="AG195">
        <f t="shared" ref="AG195:AG258" si="7">(0.5*MAX(0,U195) + 0.3*MAX(0,V195) + 0.2*AF195*100)</f>
        <v>20</v>
      </c>
    </row>
    <row r="196" spans="1:33" x14ac:dyDescent="0.3">
      <c r="A196" t="s">
        <v>142</v>
      </c>
      <c r="B196">
        <v>1</v>
      </c>
      <c r="C196" t="s">
        <v>204</v>
      </c>
      <c r="D196" t="s">
        <v>205</v>
      </c>
      <c r="E196" t="s">
        <v>158</v>
      </c>
      <c r="F196" t="s">
        <v>91</v>
      </c>
      <c r="G196" t="s">
        <v>135</v>
      </c>
      <c r="H196">
        <v>0</v>
      </c>
      <c r="I196">
        <v>0</v>
      </c>
      <c r="J196">
        <v>0</v>
      </c>
      <c r="K196" t="s">
        <v>104</v>
      </c>
      <c r="L196">
        <v>0</v>
      </c>
      <c r="M196">
        <v>4</v>
      </c>
      <c r="N196">
        <v>0</v>
      </c>
      <c r="O196">
        <v>26</v>
      </c>
      <c r="P196">
        <v>3</v>
      </c>
      <c r="Q196">
        <v>6.5</v>
      </c>
      <c r="R196">
        <v>60</v>
      </c>
      <c r="S196">
        <v>0</v>
      </c>
      <c r="T196">
        <v>0</v>
      </c>
      <c r="U196" s="8">
        <v>60</v>
      </c>
      <c r="V196" s="8">
        <f t="shared" si="6"/>
        <v>6</v>
      </c>
      <c r="W196" t="str">
        <f>_xlfn.XLOOKUP(A196, Matches!A:A, Matches!L:L, "NA", 0)</f>
        <v>DCW</v>
      </c>
      <c r="X196" t="str">
        <f>_xlfn.XLOOKUP(A196, Matches!A:A, Matches!J:J, "NA", 0)</f>
        <v>GGTW</v>
      </c>
      <c r="Y196" t="str">
        <f>_xlfn.XLOOKUP(A196, Matches!A:A, Matches!F:F, "NA", 0)</f>
        <v>Dr DY Patil Sports </v>
      </c>
      <c r="Z196" cm="1">
        <f t="array" ref="Z196">INDEX(Innings!F:F,MATCH(1,(TRIM(Innings!A:A)=TRIM(A196))*(TRIM(Innings!D:D)=TRIM(E196)),0))</f>
        <v>107</v>
      </c>
      <c r="AA196" cm="1">
        <f t="array" ref="AA196">INDEX(Innings!I:I,MATCH(1,(TRIM(Innings!A:A)=TRIM(A196))*(TRIM(Innings!D:D)=TRIM(E196)),0))</f>
        <v>14.93</v>
      </c>
      <c r="AB196" cm="1">
        <f t="array" ref="AB196">INDEX(Innings!J:J,MATCH(1,(TRIM(Innings!A:A)=TRIM(A196))*(TRIM(Innings!D:D)=TRIM(E196)),0))</f>
        <v>87</v>
      </c>
      <c r="AC196" cm="1">
        <f t="array" ref="AC196">INDEX(Innings!N:N,MATCH(1,(TRIM(Innings!A:A)=TRIM(A196))*(TRIM(Innings!D:D)=TRIM(E196)),0))</f>
        <v>0</v>
      </c>
      <c r="AD196" cm="1">
        <f t="array" ref="AD196">INDEX(Innings!S:S,MATCH(1,(TRIM(Innings!A:A)=TRIM(A196))*(TRIM(Innings!D:D)=TRIM(E196)),0))</f>
        <v>9</v>
      </c>
      <c r="AE196" t="str" cm="1">
        <f t="array" ref="AE196">INDEX(Innings!W:W,MATCH(1,(TRIM(Innings!A:A)=TRIM(A196))*(TRIM(Innings!D:D)=TRIM(E196)),0))</f>
        <v>Successful</v>
      </c>
      <c r="AF196">
        <f>IF(UPPER(TRIM(E196))=UPPER(TRIM(W196)),1,0)</f>
        <v>1</v>
      </c>
      <c r="AG196">
        <f t="shared" si="7"/>
        <v>51.8</v>
      </c>
    </row>
    <row r="197" spans="1:33" x14ac:dyDescent="0.3">
      <c r="A197" t="s">
        <v>142</v>
      </c>
      <c r="B197">
        <v>1</v>
      </c>
      <c r="C197" t="s">
        <v>274</v>
      </c>
      <c r="D197" t="s">
        <v>284</v>
      </c>
      <c r="E197" t="s">
        <v>158</v>
      </c>
      <c r="F197" t="s">
        <v>83</v>
      </c>
      <c r="G197" t="s">
        <v>135</v>
      </c>
      <c r="H197">
        <v>0</v>
      </c>
      <c r="I197">
        <v>0</v>
      </c>
      <c r="J197">
        <v>0</v>
      </c>
      <c r="K197" t="s">
        <v>104</v>
      </c>
      <c r="L197">
        <v>0</v>
      </c>
      <c r="M197">
        <v>3</v>
      </c>
      <c r="N197">
        <v>0</v>
      </c>
      <c r="O197">
        <v>18</v>
      </c>
      <c r="P197">
        <v>0</v>
      </c>
      <c r="Q197">
        <v>6</v>
      </c>
      <c r="R197">
        <v>0</v>
      </c>
      <c r="S197">
        <v>0</v>
      </c>
      <c r="T197">
        <v>0</v>
      </c>
      <c r="U197" s="8">
        <v>0</v>
      </c>
      <c r="V197" s="8">
        <f t="shared" si="6"/>
        <v>0</v>
      </c>
      <c r="W197" t="str">
        <f>_xlfn.XLOOKUP(A197, Matches!A:A, Matches!L:L, "NA", 0)</f>
        <v>DCW</v>
      </c>
      <c r="X197" t="str">
        <f>_xlfn.XLOOKUP(A197, Matches!A:A, Matches!J:J, "NA", 0)</f>
        <v>GGTW</v>
      </c>
      <c r="Y197" t="str">
        <f>_xlfn.XLOOKUP(A197, Matches!A:A, Matches!F:F, "NA", 0)</f>
        <v>Dr DY Patil Sports </v>
      </c>
      <c r="Z197" cm="1">
        <f t="array" ref="Z197">INDEX(Innings!F:F,MATCH(1,(TRIM(Innings!A:A)=TRIM(A197))*(TRIM(Innings!D:D)=TRIM(E197)),0))</f>
        <v>107</v>
      </c>
      <c r="AA197" cm="1">
        <f t="array" ref="AA197">INDEX(Innings!I:I,MATCH(1,(TRIM(Innings!A:A)=TRIM(A197))*(TRIM(Innings!D:D)=TRIM(E197)),0))</f>
        <v>14.93</v>
      </c>
      <c r="AB197" cm="1">
        <f t="array" ref="AB197">INDEX(Innings!J:J,MATCH(1,(TRIM(Innings!A:A)=TRIM(A197))*(TRIM(Innings!D:D)=TRIM(E197)),0))</f>
        <v>87</v>
      </c>
      <c r="AC197" cm="1">
        <f t="array" ref="AC197">INDEX(Innings!N:N,MATCH(1,(TRIM(Innings!A:A)=TRIM(A197))*(TRIM(Innings!D:D)=TRIM(E197)),0))</f>
        <v>0</v>
      </c>
      <c r="AD197" cm="1">
        <f t="array" ref="AD197">INDEX(Innings!S:S,MATCH(1,(TRIM(Innings!A:A)=TRIM(A197))*(TRIM(Innings!D:D)=TRIM(E197)),0))</f>
        <v>9</v>
      </c>
      <c r="AE197" t="str" cm="1">
        <f t="array" ref="AE197">INDEX(Innings!W:W,MATCH(1,(TRIM(Innings!A:A)=TRIM(A197))*(TRIM(Innings!D:D)=TRIM(E197)),0))</f>
        <v>Successful</v>
      </c>
      <c r="AF197">
        <f>IF(UPPER(TRIM(E197))=UPPER(TRIM(W197)),1,0)</f>
        <v>1</v>
      </c>
      <c r="AG197">
        <f t="shared" si="7"/>
        <v>20</v>
      </c>
    </row>
    <row r="198" spans="1:33" x14ac:dyDescent="0.3">
      <c r="A198" t="s">
        <v>142</v>
      </c>
      <c r="B198">
        <v>1</v>
      </c>
      <c r="C198" t="s">
        <v>200</v>
      </c>
      <c r="D198" t="s">
        <v>201</v>
      </c>
      <c r="E198" t="s">
        <v>158</v>
      </c>
      <c r="F198" t="s">
        <v>85</v>
      </c>
      <c r="G198" t="s">
        <v>135</v>
      </c>
      <c r="H198">
        <v>0</v>
      </c>
      <c r="I198">
        <v>0</v>
      </c>
      <c r="J198">
        <v>0</v>
      </c>
      <c r="K198" t="s">
        <v>104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s="8">
        <v>0</v>
      </c>
      <c r="V198" s="8">
        <f t="shared" si="6"/>
        <v>0</v>
      </c>
      <c r="W198" t="str">
        <f>_xlfn.XLOOKUP(A198, Matches!A:A, Matches!L:L, "NA", 0)</f>
        <v>DCW</v>
      </c>
      <c r="X198" t="str">
        <f>_xlfn.XLOOKUP(A198, Matches!A:A, Matches!J:J, "NA", 0)</f>
        <v>GGTW</v>
      </c>
      <c r="Y198" t="str">
        <f>_xlfn.XLOOKUP(A198, Matches!A:A, Matches!F:F, "NA", 0)</f>
        <v>Dr DY Patil Sports </v>
      </c>
      <c r="Z198" cm="1">
        <f t="array" ref="Z198">INDEX(Innings!F:F,MATCH(1,(TRIM(Innings!A:A)=TRIM(A198))*(TRIM(Innings!D:D)=TRIM(E198)),0))</f>
        <v>107</v>
      </c>
      <c r="AA198" cm="1">
        <f t="array" ref="AA198">INDEX(Innings!I:I,MATCH(1,(TRIM(Innings!A:A)=TRIM(A198))*(TRIM(Innings!D:D)=TRIM(E198)),0))</f>
        <v>14.93</v>
      </c>
      <c r="AB198" cm="1">
        <f t="array" ref="AB198">INDEX(Innings!J:J,MATCH(1,(TRIM(Innings!A:A)=TRIM(A198))*(TRIM(Innings!D:D)=TRIM(E198)),0))</f>
        <v>87</v>
      </c>
      <c r="AC198" cm="1">
        <f t="array" ref="AC198">INDEX(Innings!N:N,MATCH(1,(TRIM(Innings!A:A)=TRIM(A198))*(TRIM(Innings!D:D)=TRIM(E198)),0))</f>
        <v>0</v>
      </c>
      <c r="AD198" cm="1">
        <f t="array" ref="AD198">INDEX(Innings!S:S,MATCH(1,(TRIM(Innings!A:A)=TRIM(A198))*(TRIM(Innings!D:D)=TRIM(E198)),0))</f>
        <v>9</v>
      </c>
      <c r="AE198" t="str" cm="1">
        <f t="array" ref="AE198">INDEX(Innings!W:W,MATCH(1,(TRIM(Innings!A:A)=TRIM(A198))*(TRIM(Innings!D:D)=TRIM(E198)),0))</f>
        <v>Successful</v>
      </c>
      <c r="AF198">
        <f>IF(UPPER(TRIM(E198))=UPPER(TRIM(W198)),1,0)</f>
        <v>1</v>
      </c>
      <c r="AG198">
        <f t="shared" si="7"/>
        <v>20</v>
      </c>
    </row>
    <row r="199" spans="1:33" x14ac:dyDescent="0.3">
      <c r="A199" t="s">
        <v>142</v>
      </c>
      <c r="B199">
        <v>1</v>
      </c>
      <c r="C199" t="s">
        <v>295</v>
      </c>
      <c r="D199" t="s">
        <v>294</v>
      </c>
      <c r="E199" t="s">
        <v>158</v>
      </c>
      <c r="F199" t="s">
        <v>109</v>
      </c>
      <c r="G199" t="s">
        <v>135</v>
      </c>
      <c r="H199">
        <v>0</v>
      </c>
      <c r="I199">
        <v>0</v>
      </c>
      <c r="J199">
        <v>0</v>
      </c>
      <c r="K199" t="s">
        <v>104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s="8">
        <v>0</v>
      </c>
      <c r="V199" s="8">
        <f t="shared" si="6"/>
        <v>0</v>
      </c>
      <c r="W199" t="str">
        <f>_xlfn.XLOOKUP(A199, Matches!A:A, Matches!L:L, "NA", 0)</f>
        <v>DCW</v>
      </c>
      <c r="X199" t="str">
        <f>_xlfn.XLOOKUP(A199, Matches!A:A, Matches!J:J, "NA", 0)</f>
        <v>GGTW</v>
      </c>
      <c r="Y199" t="str">
        <f>_xlfn.XLOOKUP(A199, Matches!A:A, Matches!F:F, "NA", 0)</f>
        <v>Dr DY Patil Sports </v>
      </c>
      <c r="Z199" cm="1">
        <f t="array" ref="Z199">INDEX(Innings!F:F,MATCH(1,(TRIM(Innings!A:A)=TRIM(A199))*(TRIM(Innings!D:D)=TRIM(E199)),0))</f>
        <v>107</v>
      </c>
      <c r="AA199" cm="1">
        <f t="array" ref="AA199">INDEX(Innings!I:I,MATCH(1,(TRIM(Innings!A:A)=TRIM(A199))*(TRIM(Innings!D:D)=TRIM(E199)),0))</f>
        <v>14.93</v>
      </c>
      <c r="AB199" cm="1">
        <f t="array" ref="AB199">INDEX(Innings!J:J,MATCH(1,(TRIM(Innings!A:A)=TRIM(A199))*(TRIM(Innings!D:D)=TRIM(E199)),0))</f>
        <v>87</v>
      </c>
      <c r="AC199" cm="1">
        <f t="array" ref="AC199">INDEX(Innings!N:N,MATCH(1,(TRIM(Innings!A:A)=TRIM(A199))*(TRIM(Innings!D:D)=TRIM(E199)),0))</f>
        <v>0</v>
      </c>
      <c r="AD199" cm="1">
        <f t="array" ref="AD199">INDEX(Innings!S:S,MATCH(1,(TRIM(Innings!A:A)=TRIM(A199))*(TRIM(Innings!D:D)=TRIM(E199)),0))</f>
        <v>9</v>
      </c>
      <c r="AE199" t="str" cm="1">
        <f t="array" ref="AE199">INDEX(Innings!W:W,MATCH(1,(TRIM(Innings!A:A)=TRIM(A199))*(TRIM(Innings!D:D)=TRIM(E199)),0))</f>
        <v>Successful</v>
      </c>
      <c r="AF199">
        <f>IF(UPPER(TRIM(E199))=UPPER(TRIM(W199)),1,0)</f>
        <v>1</v>
      </c>
      <c r="AG199">
        <f t="shared" si="7"/>
        <v>20</v>
      </c>
    </row>
    <row r="200" spans="1:33" x14ac:dyDescent="0.3">
      <c r="A200" t="s">
        <v>143</v>
      </c>
      <c r="B200">
        <v>1</v>
      </c>
      <c r="C200" t="s">
        <v>217</v>
      </c>
      <c r="D200" t="s">
        <v>218</v>
      </c>
      <c r="E200" t="s">
        <v>219</v>
      </c>
      <c r="F200" t="s">
        <v>85</v>
      </c>
      <c r="G200" t="s">
        <v>86</v>
      </c>
      <c r="H200">
        <v>58</v>
      </c>
      <c r="I200">
        <v>46</v>
      </c>
      <c r="J200">
        <v>126.09</v>
      </c>
      <c r="K200" t="s">
        <v>247</v>
      </c>
      <c r="L200">
        <v>73.13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s="8">
        <v>73.13</v>
      </c>
      <c r="V200" s="8">
        <f t="shared" si="6"/>
        <v>7</v>
      </c>
      <c r="W200" t="str">
        <f>_xlfn.XLOOKUP(A200, Matches!A:A, Matches!L:L, "NA", 0)</f>
        <v>MIW</v>
      </c>
      <c r="X200" t="str">
        <f>_xlfn.XLOOKUP(A200, Matches!A:A, Matches!J:J, "NA", 0)</f>
        <v>UPW</v>
      </c>
      <c r="Y200" t="str">
        <f>_xlfn.XLOOKUP(A200, Matches!A:A, Matches!F:F, "NA", 0)</f>
        <v>Brabourne Stadium</v>
      </c>
      <c r="Z200" cm="1">
        <f t="array" ref="Z200">INDEX(Innings!F:F,MATCH(1,(TRIM(Innings!A:A)=TRIM(A200))*(TRIM(Innings!D:D)=TRIM(E200)),0))</f>
        <v>159</v>
      </c>
      <c r="AA200" cm="1">
        <f t="array" ref="AA200">INDEX(Innings!I:I,MATCH(1,(TRIM(Innings!A:A)=TRIM(A200))*(TRIM(Innings!D:D)=TRIM(E200)),0))</f>
        <v>7.95</v>
      </c>
      <c r="AB200" cm="1">
        <f t="array" ref="AB200">INDEX(Innings!J:J,MATCH(1,(TRIM(Innings!A:A)=TRIM(A200))*(TRIM(Innings!D:D)=TRIM(E200)),0))</f>
        <v>48</v>
      </c>
      <c r="AC200" cm="1">
        <f t="array" ref="AC200">INDEX(Innings!N:N,MATCH(1,(TRIM(Innings!A:A)=TRIM(A200))*(TRIM(Innings!D:D)=TRIM(E200)),0))</f>
        <v>21</v>
      </c>
      <c r="AD200" cm="1">
        <f t="array" ref="AD200">INDEX(Innings!S:S,MATCH(1,(TRIM(Innings!A:A)=TRIM(A200))*(TRIM(Innings!D:D)=TRIM(E200)),0))</f>
        <v>44</v>
      </c>
      <c r="AE200" t="str" cm="1">
        <f t="array" ref="AE200">INDEX(Innings!W:W,MATCH(1,(TRIM(Innings!A:A)=TRIM(A200))*(TRIM(Innings!D:D)=TRIM(E200)),0))</f>
        <v>NA</v>
      </c>
      <c r="AF200">
        <f>IF(UPPER(TRIM(E200))=UPPER(TRIM(W200)),1,0)</f>
        <v>0</v>
      </c>
      <c r="AG200">
        <f t="shared" si="7"/>
        <v>38.664999999999999</v>
      </c>
    </row>
    <row r="201" spans="1:33" x14ac:dyDescent="0.3">
      <c r="A201" t="s">
        <v>143</v>
      </c>
      <c r="B201">
        <v>1</v>
      </c>
      <c r="C201" t="s">
        <v>231</v>
      </c>
      <c r="D201" t="s">
        <v>232</v>
      </c>
      <c r="E201" t="s">
        <v>219</v>
      </c>
      <c r="F201" t="s">
        <v>109</v>
      </c>
      <c r="G201" t="s">
        <v>86</v>
      </c>
      <c r="H201">
        <v>6</v>
      </c>
      <c r="I201">
        <v>5</v>
      </c>
      <c r="J201">
        <v>120</v>
      </c>
      <c r="K201" t="s">
        <v>247</v>
      </c>
      <c r="L201">
        <v>7.2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s="8">
        <v>7.2</v>
      </c>
      <c r="V201" s="8">
        <f t="shared" si="6"/>
        <v>1</v>
      </c>
      <c r="W201" t="str">
        <f>_xlfn.XLOOKUP(A201, Matches!A:A, Matches!L:L, "NA", 0)</f>
        <v>MIW</v>
      </c>
      <c r="X201" t="str">
        <f>_xlfn.XLOOKUP(A201, Matches!A:A, Matches!J:J, "NA", 0)</f>
        <v>UPW</v>
      </c>
      <c r="Y201" t="str">
        <f>_xlfn.XLOOKUP(A201, Matches!A:A, Matches!F:F, "NA", 0)</f>
        <v>Brabourne Stadium</v>
      </c>
      <c r="Z201" cm="1">
        <f t="array" ref="Z201">INDEX(Innings!F:F,MATCH(1,(TRIM(Innings!A:A)=TRIM(A201))*(TRIM(Innings!D:D)=TRIM(E201)),0))</f>
        <v>159</v>
      </c>
      <c r="AA201" cm="1">
        <f t="array" ref="AA201">INDEX(Innings!I:I,MATCH(1,(TRIM(Innings!A:A)=TRIM(A201))*(TRIM(Innings!D:D)=TRIM(E201)),0))</f>
        <v>7.95</v>
      </c>
      <c r="AB201" cm="1">
        <f t="array" ref="AB201">INDEX(Innings!J:J,MATCH(1,(TRIM(Innings!A:A)=TRIM(A201))*(TRIM(Innings!D:D)=TRIM(E201)),0))</f>
        <v>48</v>
      </c>
      <c r="AC201" cm="1">
        <f t="array" ref="AC201">INDEX(Innings!N:N,MATCH(1,(TRIM(Innings!A:A)=TRIM(A201))*(TRIM(Innings!D:D)=TRIM(E201)),0))</f>
        <v>21</v>
      </c>
      <c r="AD201" cm="1">
        <f t="array" ref="AD201">INDEX(Innings!S:S,MATCH(1,(TRIM(Innings!A:A)=TRIM(A201))*(TRIM(Innings!D:D)=TRIM(E201)),0))</f>
        <v>44</v>
      </c>
      <c r="AE201" t="str" cm="1">
        <f t="array" ref="AE201">INDEX(Innings!W:W,MATCH(1,(TRIM(Innings!A:A)=TRIM(A201))*(TRIM(Innings!D:D)=TRIM(E201)),0))</f>
        <v>NA</v>
      </c>
      <c r="AF201">
        <f>IF(UPPER(TRIM(E201))=UPPER(TRIM(W201)),1,0)</f>
        <v>0</v>
      </c>
      <c r="AG201">
        <f t="shared" si="7"/>
        <v>3.9</v>
      </c>
    </row>
    <row r="202" spans="1:33" x14ac:dyDescent="0.3">
      <c r="A202" t="s">
        <v>143</v>
      </c>
      <c r="B202">
        <v>1</v>
      </c>
      <c r="C202" t="s">
        <v>229</v>
      </c>
      <c r="D202" t="s">
        <v>230</v>
      </c>
      <c r="E202" t="s">
        <v>219</v>
      </c>
      <c r="F202" t="s">
        <v>109</v>
      </c>
      <c r="G202" t="s">
        <v>92</v>
      </c>
      <c r="H202">
        <v>17</v>
      </c>
      <c r="I202">
        <v>14</v>
      </c>
      <c r="J202">
        <v>121.43</v>
      </c>
      <c r="K202" t="s">
        <v>246</v>
      </c>
      <c r="L202">
        <v>20.64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s="8">
        <v>20.64</v>
      </c>
      <c r="V202" s="8">
        <f t="shared" si="6"/>
        <v>2</v>
      </c>
      <c r="W202" t="str">
        <f>_xlfn.XLOOKUP(A202, Matches!A:A, Matches!L:L, "NA", 0)</f>
        <v>MIW</v>
      </c>
      <c r="X202" t="str">
        <f>_xlfn.XLOOKUP(A202, Matches!A:A, Matches!J:J, "NA", 0)</f>
        <v>UPW</v>
      </c>
      <c r="Y202" t="str">
        <f>_xlfn.XLOOKUP(A202, Matches!A:A, Matches!F:F, "NA", 0)</f>
        <v>Brabourne Stadium</v>
      </c>
      <c r="Z202" cm="1">
        <f t="array" ref="Z202">INDEX(Innings!F:F,MATCH(1,(TRIM(Innings!A:A)=TRIM(A202))*(TRIM(Innings!D:D)=TRIM(E202)),0))</f>
        <v>159</v>
      </c>
      <c r="AA202" cm="1">
        <f t="array" ref="AA202">INDEX(Innings!I:I,MATCH(1,(TRIM(Innings!A:A)=TRIM(A202))*(TRIM(Innings!D:D)=TRIM(E202)),0))</f>
        <v>7.95</v>
      </c>
      <c r="AB202" cm="1">
        <f t="array" ref="AB202">INDEX(Innings!J:J,MATCH(1,(TRIM(Innings!A:A)=TRIM(A202))*(TRIM(Innings!D:D)=TRIM(E202)),0))</f>
        <v>48</v>
      </c>
      <c r="AC202" cm="1">
        <f t="array" ref="AC202">INDEX(Innings!N:N,MATCH(1,(TRIM(Innings!A:A)=TRIM(A202))*(TRIM(Innings!D:D)=TRIM(E202)),0))</f>
        <v>21</v>
      </c>
      <c r="AD202" cm="1">
        <f t="array" ref="AD202">INDEX(Innings!S:S,MATCH(1,(TRIM(Innings!A:A)=TRIM(A202))*(TRIM(Innings!D:D)=TRIM(E202)),0))</f>
        <v>44</v>
      </c>
      <c r="AE202" t="str" cm="1">
        <f t="array" ref="AE202">INDEX(Innings!W:W,MATCH(1,(TRIM(Innings!A:A)=TRIM(A202))*(TRIM(Innings!D:D)=TRIM(E202)),0))</f>
        <v>NA</v>
      </c>
      <c r="AF202">
        <f>IF(UPPER(TRIM(E202))=UPPER(TRIM(W202)),1,0)</f>
        <v>0</v>
      </c>
      <c r="AG202">
        <f t="shared" si="7"/>
        <v>10.92</v>
      </c>
    </row>
    <row r="203" spans="1:33" x14ac:dyDescent="0.3">
      <c r="A203" t="s">
        <v>143</v>
      </c>
      <c r="B203">
        <v>1</v>
      </c>
      <c r="C203" t="s">
        <v>222</v>
      </c>
      <c r="D203" t="s">
        <v>223</v>
      </c>
      <c r="E203" t="s">
        <v>219</v>
      </c>
      <c r="F203" t="s">
        <v>169</v>
      </c>
      <c r="G203" t="s">
        <v>92</v>
      </c>
      <c r="H203">
        <v>50</v>
      </c>
      <c r="I203">
        <v>37</v>
      </c>
      <c r="J203">
        <v>135.13999999999999</v>
      </c>
      <c r="K203" t="s">
        <v>248</v>
      </c>
      <c r="L203">
        <v>67.569999999999993</v>
      </c>
      <c r="M203">
        <v>1</v>
      </c>
      <c r="N203">
        <v>0</v>
      </c>
      <c r="O203">
        <v>19</v>
      </c>
      <c r="P203">
        <v>0</v>
      </c>
      <c r="Q203">
        <v>19</v>
      </c>
      <c r="R203">
        <v>0</v>
      </c>
      <c r="S203">
        <v>0</v>
      </c>
      <c r="T203">
        <v>0</v>
      </c>
      <c r="U203" s="8">
        <v>67.569999999999993</v>
      </c>
      <c r="V203" s="8">
        <f t="shared" si="6"/>
        <v>7</v>
      </c>
      <c r="W203" t="str">
        <f>_xlfn.XLOOKUP(A203, Matches!A:A, Matches!L:L, "NA", 0)</f>
        <v>MIW</v>
      </c>
      <c r="X203" t="str">
        <f>_xlfn.XLOOKUP(A203, Matches!A:A, Matches!J:J, "NA", 0)</f>
        <v>UPW</v>
      </c>
      <c r="Y203" t="str">
        <f>_xlfn.XLOOKUP(A203, Matches!A:A, Matches!F:F, "NA", 0)</f>
        <v>Brabourne Stadium</v>
      </c>
      <c r="Z203" cm="1">
        <f t="array" ref="Z203">INDEX(Innings!F:F,MATCH(1,(TRIM(Innings!A:A)=TRIM(A203))*(TRIM(Innings!D:D)=TRIM(E203)),0))</f>
        <v>159</v>
      </c>
      <c r="AA203" cm="1">
        <f t="array" ref="AA203">INDEX(Innings!I:I,MATCH(1,(TRIM(Innings!A:A)=TRIM(A203))*(TRIM(Innings!D:D)=TRIM(E203)),0))</f>
        <v>7.95</v>
      </c>
      <c r="AB203" cm="1">
        <f t="array" ref="AB203">INDEX(Innings!J:J,MATCH(1,(TRIM(Innings!A:A)=TRIM(A203))*(TRIM(Innings!D:D)=TRIM(E203)),0))</f>
        <v>48</v>
      </c>
      <c r="AC203" cm="1">
        <f t="array" ref="AC203">INDEX(Innings!N:N,MATCH(1,(TRIM(Innings!A:A)=TRIM(A203))*(TRIM(Innings!D:D)=TRIM(E203)),0))</f>
        <v>21</v>
      </c>
      <c r="AD203" cm="1">
        <f t="array" ref="AD203">INDEX(Innings!S:S,MATCH(1,(TRIM(Innings!A:A)=TRIM(A203))*(TRIM(Innings!D:D)=TRIM(E203)),0))</f>
        <v>44</v>
      </c>
      <c r="AE203" t="str" cm="1">
        <f t="array" ref="AE203">INDEX(Innings!W:W,MATCH(1,(TRIM(Innings!A:A)=TRIM(A203))*(TRIM(Innings!D:D)=TRIM(E203)),0))</f>
        <v>NA</v>
      </c>
      <c r="AF203">
        <f>IF(UPPER(TRIM(E203))=UPPER(TRIM(W203)),1,0)</f>
        <v>0</v>
      </c>
      <c r="AG203">
        <f t="shared" si="7"/>
        <v>35.884999999999998</v>
      </c>
    </row>
    <row r="204" spans="1:33" x14ac:dyDescent="0.3">
      <c r="A204" t="s">
        <v>143</v>
      </c>
      <c r="B204">
        <v>1</v>
      </c>
      <c r="C204" t="s">
        <v>227</v>
      </c>
      <c r="D204" t="s">
        <v>228</v>
      </c>
      <c r="E204" t="s">
        <v>219</v>
      </c>
      <c r="F204" t="s">
        <v>109</v>
      </c>
      <c r="G204" t="s">
        <v>134</v>
      </c>
      <c r="H204">
        <v>9</v>
      </c>
      <c r="I204">
        <v>8</v>
      </c>
      <c r="J204">
        <v>112.5</v>
      </c>
      <c r="K204" t="s">
        <v>96</v>
      </c>
      <c r="L204">
        <v>10.130000000000001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s="8">
        <v>10.130000000000001</v>
      </c>
      <c r="V204" s="8">
        <f t="shared" si="6"/>
        <v>1</v>
      </c>
      <c r="W204" t="str">
        <f>_xlfn.XLOOKUP(A204, Matches!A:A, Matches!L:L, "NA", 0)</f>
        <v>MIW</v>
      </c>
      <c r="X204" t="str">
        <f>_xlfn.XLOOKUP(A204, Matches!A:A, Matches!J:J, "NA", 0)</f>
        <v>UPW</v>
      </c>
      <c r="Y204" t="str">
        <f>_xlfn.XLOOKUP(A204, Matches!A:A, Matches!F:F, "NA", 0)</f>
        <v>Brabourne Stadium</v>
      </c>
      <c r="Z204" cm="1">
        <f t="array" ref="Z204">INDEX(Innings!F:F,MATCH(1,(TRIM(Innings!A:A)=TRIM(A204))*(TRIM(Innings!D:D)=TRIM(E204)),0))</f>
        <v>159</v>
      </c>
      <c r="AA204" cm="1">
        <f t="array" ref="AA204">INDEX(Innings!I:I,MATCH(1,(TRIM(Innings!A:A)=TRIM(A204))*(TRIM(Innings!D:D)=TRIM(E204)),0))</f>
        <v>7.95</v>
      </c>
      <c r="AB204" cm="1">
        <f t="array" ref="AB204">INDEX(Innings!J:J,MATCH(1,(TRIM(Innings!A:A)=TRIM(A204))*(TRIM(Innings!D:D)=TRIM(E204)),0))</f>
        <v>48</v>
      </c>
      <c r="AC204" cm="1">
        <f t="array" ref="AC204">INDEX(Innings!N:N,MATCH(1,(TRIM(Innings!A:A)=TRIM(A204))*(TRIM(Innings!D:D)=TRIM(E204)),0))</f>
        <v>21</v>
      </c>
      <c r="AD204" cm="1">
        <f t="array" ref="AD204">INDEX(Innings!S:S,MATCH(1,(TRIM(Innings!A:A)=TRIM(A204))*(TRIM(Innings!D:D)=TRIM(E204)),0))</f>
        <v>44</v>
      </c>
      <c r="AE204" t="str" cm="1">
        <f t="array" ref="AE204">INDEX(Innings!W:W,MATCH(1,(TRIM(Innings!A:A)=TRIM(A204))*(TRIM(Innings!D:D)=TRIM(E204)),0))</f>
        <v>NA</v>
      </c>
      <c r="AF204">
        <f>IF(UPPER(TRIM(E204))=UPPER(TRIM(W204)),1,0)</f>
        <v>0</v>
      </c>
      <c r="AG204">
        <f t="shared" si="7"/>
        <v>5.3650000000000002</v>
      </c>
    </row>
    <row r="205" spans="1:33" x14ac:dyDescent="0.3">
      <c r="A205" t="s">
        <v>143</v>
      </c>
      <c r="B205">
        <v>1</v>
      </c>
      <c r="C205" t="s">
        <v>233</v>
      </c>
      <c r="D205" t="s">
        <v>234</v>
      </c>
      <c r="E205" t="s">
        <v>219</v>
      </c>
      <c r="F205" t="s">
        <v>101</v>
      </c>
      <c r="G205" t="s">
        <v>134</v>
      </c>
      <c r="H205">
        <v>1</v>
      </c>
      <c r="I205">
        <v>4</v>
      </c>
      <c r="J205">
        <v>25</v>
      </c>
      <c r="K205" t="s">
        <v>246</v>
      </c>
      <c r="L205">
        <v>0.25</v>
      </c>
      <c r="M205">
        <v>4</v>
      </c>
      <c r="N205">
        <v>0</v>
      </c>
      <c r="O205">
        <v>30</v>
      </c>
      <c r="P205">
        <v>1</v>
      </c>
      <c r="Q205">
        <v>7.5</v>
      </c>
      <c r="R205">
        <v>20</v>
      </c>
      <c r="S205">
        <v>0</v>
      </c>
      <c r="T205">
        <v>0</v>
      </c>
      <c r="U205" s="8">
        <v>20.25</v>
      </c>
      <c r="V205" s="8">
        <f t="shared" si="6"/>
        <v>2</v>
      </c>
      <c r="W205" t="str">
        <f>_xlfn.XLOOKUP(A205, Matches!A:A, Matches!L:L, "NA", 0)</f>
        <v>MIW</v>
      </c>
      <c r="X205" t="str">
        <f>_xlfn.XLOOKUP(A205, Matches!A:A, Matches!J:J, "NA", 0)</f>
        <v>UPW</v>
      </c>
      <c r="Y205" t="str">
        <f>_xlfn.XLOOKUP(A205, Matches!A:A, Matches!F:F, "NA", 0)</f>
        <v>Brabourne Stadium</v>
      </c>
      <c r="Z205" cm="1">
        <f t="array" ref="Z205">INDEX(Innings!F:F,MATCH(1,(TRIM(Innings!A:A)=TRIM(A205))*(TRIM(Innings!D:D)=TRIM(E205)),0))</f>
        <v>159</v>
      </c>
      <c r="AA205" cm="1">
        <f t="array" ref="AA205">INDEX(Innings!I:I,MATCH(1,(TRIM(Innings!A:A)=TRIM(A205))*(TRIM(Innings!D:D)=TRIM(E205)),0))</f>
        <v>7.95</v>
      </c>
      <c r="AB205" cm="1">
        <f t="array" ref="AB205">INDEX(Innings!J:J,MATCH(1,(TRIM(Innings!A:A)=TRIM(A205))*(TRIM(Innings!D:D)=TRIM(E205)),0))</f>
        <v>48</v>
      </c>
      <c r="AC205" cm="1">
        <f t="array" ref="AC205">INDEX(Innings!N:N,MATCH(1,(TRIM(Innings!A:A)=TRIM(A205))*(TRIM(Innings!D:D)=TRIM(E205)),0))</f>
        <v>21</v>
      </c>
      <c r="AD205" cm="1">
        <f t="array" ref="AD205">INDEX(Innings!S:S,MATCH(1,(TRIM(Innings!A:A)=TRIM(A205))*(TRIM(Innings!D:D)=TRIM(E205)),0))</f>
        <v>44</v>
      </c>
      <c r="AE205" t="str" cm="1">
        <f t="array" ref="AE205">INDEX(Innings!W:W,MATCH(1,(TRIM(Innings!A:A)=TRIM(A205))*(TRIM(Innings!D:D)=TRIM(E205)),0))</f>
        <v>NA</v>
      </c>
      <c r="AF205">
        <f>IF(UPPER(TRIM(E205))=UPPER(TRIM(W205)),1,0)</f>
        <v>0</v>
      </c>
      <c r="AG205">
        <f t="shared" si="7"/>
        <v>10.725</v>
      </c>
    </row>
    <row r="206" spans="1:33" x14ac:dyDescent="0.3">
      <c r="A206" t="s">
        <v>143</v>
      </c>
      <c r="B206">
        <v>1</v>
      </c>
      <c r="C206" t="s">
        <v>224</v>
      </c>
      <c r="D206" t="s">
        <v>225</v>
      </c>
      <c r="E206" t="s">
        <v>219</v>
      </c>
      <c r="F206" t="s">
        <v>83</v>
      </c>
      <c r="G206" t="s">
        <v>134</v>
      </c>
      <c r="H206">
        <v>7</v>
      </c>
      <c r="I206">
        <v>6</v>
      </c>
      <c r="J206">
        <v>116.67</v>
      </c>
      <c r="K206" t="s">
        <v>248</v>
      </c>
      <c r="L206">
        <v>8.17</v>
      </c>
      <c r="M206">
        <v>3</v>
      </c>
      <c r="N206">
        <v>0</v>
      </c>
      <c r="O206">
        <v>30</v>
      </c>
      <c r="P206">
        <v>0</v>
      </c>
      <c r="Q206">
        <v>10</v>
      </c>
      <c r="R206">
        <v>0</v>
      </c>
      <c r="S206">
        <v>0</v>
      </c>
      <c r="T206">
        <v>0</v>
      </c>
      <c r="U206" s="8">
        <v>8.17</v>
      </c>
      <c r="V206" s="8">
        <f t="shared" si="6"/>
        <v>1</v>
      </c>
      <c r="W206" t="str">
        <f>_xlfn.XLOOKUP(A206, Matches!A:A, Matches!L:L, "NA", 0)</f>
        <v>MIW</v>
      </c>
      <c r="X206" t="str">
        <f>_xlfn.XLOOKUP(A206, Matches!A:A, Matches!J:J, "NA", 0)</f>
        <v>UPW</v>
      </c>
      <c r="Y206" t="str">
        <f>_xlfn.XLOOKUP(A206, Matches!A:A, Matches!F:F, "NA", 0)</f>
        <v>Brabourne Stadium</v>
      </c>
      <c r="Z206" cm="1">
        <f t="array" ref="Z206">INDEX(Innings!F:F,MATCH(1,(TRIM(Innings!A:A)=TRIM(A206))*(TRIM(Innings!D:D)=TRIM(E206)),0))</f>
        <v>159</v>
      </c>
      <c r="AA206" cm="1">
        <f t="array" ref="AA206">INDEX(Innings!I:I,MATCH(1,(TRIM(Innings!A:A)=TRIM(A206))*(TRIM(Innings!D:D)=TRIM(E206)),0))</f>
        <v>7.95</v>
      </c>
      <c r="AB206" cm="1">
        <f t="array" ref="AB206">INDEX(Innings!J:J,MATCH(1,(TRIM(Innings!A:A)=TRIM(A206))*(TRIM(Innings!D:D)=TRIM(E206)),0))</f>
        <v>48</v>
      </c>
      <c r="AC206" cm="1">
        <f t="array" ref="AC206">INDEX(Innings!N:N,MATCH(1,(TRIM(Innings!A:A)=TRIM(A206))*(TRIM(Innings!D:D)=TRIM(E206)),0))</f>
        <v>21</v>
      </c>
      <c r="AD206" cm="1">
        <f t="array" ref="AD206">INDEX(Innings!S:S,MATCH(1,(TRIM(Innings!A:A)=TRIM(A206))*(TRIM(Innings!D:D)=TRIM(E206)),0))</f>
        <v>44</v>
      </c>
      <c r="AE206" t="str" cm="1">
        <f t="array" ref="AE206">INDEX(Innings!W:W,MATCH(1,(TRIM(Innings!A:A)=TRIM(A206))*(TRIM(Innings!D:D)=TRIM(E206)),0))</f>
        <v>NA</v>
      </c>
      <c r="AF206">
        <f>IF(UPPER(TRIM(E206))=UPPER(TRIM(W206)),1,0)</f>
        <v>0</v>
      </c>
      <c r="AG206">
        <f t="shared" si="7"/>
        <v>4.3849999999999998</v>
      </c>
    </row>
    <row r="207" spans="1:33" x14ac:dyDescent="0.3">
      <c r="A207" t="s">
        <v>143</v>
      </c>
      <c r="B207">
        <v>1</v>
      </c>
      <c r="C207" t="s">
        <v>220</v>
      </c>
      <c r="D207" t="s">
        <v>221</v>
      </c>
      <c r="E207" t="s">
        <v>219</v>
      </c>
      <c r="F207" t="s">
        <v>109</v>
      </c>
      <c r="G207" t="s">
        <v>134</v>
      </c>
      <c r="H207">
        <v>2</v>
      </c>
      <c r="I207">
        <v>2</v>
      </c>
      <c r="J207">
        <v>100</v>
      </c>
      <c r="K207" t="s">
        <v>96</v>
      </c>
      <c r="L207">
        <v>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s="8">
        <v>2</v>
      </c>
      <c r="V207" s="8">
        <f t="shared" si="6"/>
        <v>0</v>
      </c>
      <c r="W207" t="str">
        <f>_xlfn.XLOOKUP(A207, Matches!A:A, Matches!L:L, "NA", 0)</f>
        <v>MIW</v>
      </c>
      <c r="X207" t="str">
        <f>_xlfn.XLOOKUP(A207, Matches!A:A, Matches!J:J, "NA", 0)</f>
        <v>UPW</v>
      </c>
      <c r="Y207" t="str">
        <f>_xlfn.XLOOKUP(A207, Matches!A:A, Matches!F:F, "NA", 0)</f>
        <v>Brabourne Stadium</v>
      </c>
      <c r="Z207" cm="1">
        <f t="array" ref="Z207">INDEX(Innings!F:F,MATCH(1,(TRIM(Innings!A:A)=TRIM(A207))*(TRIM(Innings!D:D)=TRIM(E207)),0))</f>
        <v>159</v>
      </c>
      <c r="AA207" cm="1">
        <f t="array" ref="AA207">INDEX(Innings!I:I,MATCH(1,(TRIM(Innings!A:A)=TRIM(A207))*(TRIM(Innings!D:D)=TRIM(E207)),0))</f>
        <v>7.95</v>
      </c>
      <c r="AB207" cm="1">
        <f t="array" ref="AB207">INDEX(Innings!J:J,MATCH(1,(TRIM(Innings!A:A)=TRIM(A207))*(TRIM(Innings!D:D)=TRIM(E207)),0))</f>
        <v>48</v>
      </c>
      <c r="AC207" cm="1">
        <f t="array" ref="AC207">INDEX(Innings!N:N,MATCH(1,(TRIM(Innings!A:A)=TRIM(A207))*(TRIM(Innings!D:D)=TRIM(E207)),0))</f>
        <v>21</v>
      </c>
      <c r="AD207" cm="1">
        <f t="array" ref="AD207">INDEX(Innings!S:S,MATCH(1,(TRIM(Innings!A:A)=TRIM(A207))*(TRIM(Innings!D:D)=TRIM(E207)),0))</f>
        <v>44</v>
      </c>
      <c r="AE207" t="str" cm="1">
        <f t="array" ref="AE207">INDEX(Innings!W:W,MATCH(1,(TRIM(Innings!A:A)=TRIM(A207))*(TRIM(Innings!D:D)=TRIM(E207)),0))</f>
        <v>NA</v>
      </c>
      <c r="AF207">
        <f>IF(UPPER(TRIM(E207))=UPPER(TRIM(W207)),1,0)</f>
        <v>0</v>
      </c>
      <c r="AG207">
        <f t="shared" si="7"/>
        <v>1</v>
      </c>
    </row>
    <row r="208" spans="1:33" x14ac:dyDescent="0.3">
      <c r="A208" t="s">
        <v>143</v>
      </c>
      <c r="B208">
        <v>1</v>
      </c>
      <c r="C208" t="s">
        <v>265</v>
      </c>
      <c r="D208" t="s">
        <v>264</v>
      </c>
      <c r="E208" t="s">
        <v>219</v>
      </c>
      <c r="F208" t="s">
        <v>101</v>
      </c>
      <c r="G208" t="s">
        <v>135</v>
      </c>
      <c r="H208">
        <v>0</v>
      </c>
      <c r="I208">
        <v>0</v>
      </c>
      <c r="J208">
        <v>0</v>
      </c>
      <c r="K208" t="s">
        <v>104</v>
      </c>
      <c r="L208">
        <v>0</v>
      </c>
      <c r="M208">
        <v>3.3</v>
      </c>
      <c r="N208">
        <v>0</v>
      </c>
      <c r="O208">
        <v>34</v>
      </c>
      <c r="P208">
        <v>0</v>
      </c>
      <c r="Q208">
        <v>9.6999999999999993</v>
      </c>
      <c r="R208">
        <v>0</v>
      </c>
      <c r="S208">
        <v>0</v>
      </c>
      <c r="T208">
        <v>0</v>
      </c>
      <c r="U208" s="8">
        <v>0</v>
      </c>
      <c r="V208" s="8">
        <f t="shared" si="6"/>
        <v>0</v>
      </c>
      <c r="W208" t="str">
        <f>_xlfn.XLOOKUP(A208, Matches!A:A, Matches!L:L, "NA", 0)</f>
        <v>MIW</v>
      </c>
      <c r="X208" t="str">
        <f>_xlfn.XLOOKUP(A208, Matches!A:A, Matches!J:J, "NA", 0)</f>
        <v>UPW</v>
      </c>
      <c r="Y208" t="str">
        <f>_xlfn.XLOOKUP(A208, Matches!A:A, Matches!F:F, "NA", 0)</f>
        <v>Brabourne Stadium</v>
      </c>
      <c r="Z208" cm="1">
        <f t="array" ref="Z208">INDEX(Innings!F:F,MATCH(1,(TRIM(Innings!A:A)=TRIM(A208))*(TRIM(Innings!D:D)=TRIM(E208)),0))</f>
        <v>159</v>
      </c>
      <c r="AA208" cm="1">
        <f t="array" ref="AA208">INDEX(Innings!I:I,MATCH(1,(TRIM(Innings!A:A)=TRIM(A208))*(TRIM(Innings!D:D)=TRIM(E208)),0))</f>
        <v>7.95</v>
      </c>
      <c r="AB208" cm="1">
        <f t="array" ref="AB208">INDEX(Innings!J:J,MATCH(1,(TRIM(Innings!A:A)=TRIM(A208))*(TRIM(Innings!D:D)=TRIM(E208)),0))</f>
        <v>48</v>
      </c>
      <c r="AC208" cm="1">
        <f t="array" ref="AC208">INDEX(Innings!N:N,MATCH(1,(TRIM(Innings!A:A)=TRIM(A208))*(TRIM(Innings!D:D)=TRIM(E208)),0))</f>
        <v>21</v>
      </c>
      <c r="AD208" cm="1">
        <f t="array" ref="AD208">INDEX(Innings!S:S,MATCH(1,(TRIM(Innings!A:A)=TRIM(A208))*(TRIM(Innings!D:D)=TRIM(E208)),0))</f>
        <v>44</v>
      </c>
      <c r="AE208" t="str" cm="1">
        <f t="array" ref="AE208">INDEX(Innings!W:W,MATCH(1,(TRIM(Innings!A:A)=TRIM(A208))*(TRIM(Innings!D:D)=TRIM(E208)),0))</f>
        <v>NA</v>
      </c>
      <c r="AF208">
        <f>IF(UPPER(TRIM(E208))=UPPER(TRIM(W208)),1,0)</f>
        <v>0</v>
      </c>
      <c r="AG208">
        <f t="shared" si="7"/>
        <v>0</v>
      </c>
    </row>
    <row r="209" spans="1:33" x14ac:dyDescent="0.3">
      <c r="A209" t="s">
        <v>143</v>
      </c>
      <c r="B209">
        <v>1</v>
      </c>
      <c r="C209" t="s">
        <v>235</v>
      </c>
      <c r="D209" t="s">
        <v>236</v>
      </c>
      <c r="E209" t="s">
        <v>219</v>
      </c>
      <c r="F209" t="s">
        <v>101</v>
      </c>
      <c r="G209" t="s">
        <v>135</v>
      </c>
      <c r="H209">
        <v>0</v>
      </c>
      <c r="I209">
        <v>0</v>
      </c>
      <c r="J209">
        <v>0</v>
      </c>
      <c r="K209" t="s">
        <v>104</v>
      </c>
      <c r="L209">
        <v>0</v>
      </c>
      <c r="M209">
        <v>2</v>
      </c>
      <c r="N209">
        <v>0</v>
      </c>
      <c r="O209">
        <v>14</v>
      </c>
      <c r="P209">
        <v>0</v>
      </c>
      <c r="Q209">
        <v>7</v>
      </c>
      <c r="R209">
        <v>0</v>
      </c>
      <c r="S209">
        <v>0</v>
      </c>
      <c r="T209">
        <v>0</v>
      </c>
      <c r="U209" s="8">
        <v>0</v>
      </c>
      <c r="V209" s="8">
        <f t="shared" si="6"/>
        <v>0</v>
      </c>
      <c r="W209" t="str">
        <f>_xlfn.XLOOKUP(A209, Matches!A:A, Matches!L:L, "NA", 0)</f>
        <v>MIW</v>
      </c>
      <c r="X209" t="str">
        <f>_xlfn.XLOOKUP(A209, Matches!A:A, Matches!J:J, "NA", 0)</f>
        <v>UPW</v>
      </c>
      <c r="Y209" t="str">
        <f>_xlfn.XLOOKUP(A209, Matches!A:A, Matches!F:F, "NA", 0)</f>
        <v>Brabourne Stadium</v>
      </c>
      <c r="Z209" cm="1">
        <f t="array" ref="Z209">INDEX(Innings!F:F,MATCH(1,(TRIM(Innings!A:A)=TRIM(A209))*(TRIM(Innings!D:D)=TRIM(E209)),0))</f>
        <v>159</v>
      </c>
      <c r="AA209" cm="1">
        <f t="array" ref="AA209">INDEX(Innings!I:I,MATCH(1,(TRIM(Innings!A:A)=TRIM(A209))*(TRIM(Innings!D:D)=TRIM(E209)),0))</f>
        <v>7.95</v>
      </c>
      <c r="AB209" cm="1">
        <f t="array" ref="AB209">INDEX(Innings!J:J,MATCH(1,(TRIM(Innings!A:A)=TRIM(A209))*(TRIM(Innings!D:D)=TRIM(E209)),0))</f>
        <v>48</v>
      </c>
      <c r="AC209" cm="1">
        <f t="array" ref="AC209">INDEX(Innings!N:N,MATCH(1,(TRIM(Innings!A:A)=TRIM(A209))*(TRIM(Innings!D:D)=TRIM(E209)),0))</f>
        <v>21</v>
      </c>
      <c r="AD209" cm="1">
        <f t="array" ref="AD209">INDEX(Innings!S:S,MATCH(1,(TRIM(Innings!A:A)=TRIM(A209))*(TRIM(Innings!D:D)=TRIM(E209)),0))</f>
        <v>44</v>
      </c>
      <c r="AE209" t="str" cm="1">
        <f t="array" ref="AE209">INDEX(Innings!W:W,MATCH(1,(TRIM(Innings!A:A)=TRIM(A209))*(TRIM(Innings!D:D)=TRIM(E209)),0))</f>
        <v>NA</v>
      </c>
      <c r="AF209">
        <f>IF(UPPER(TRIM(E209))=UPPER(TRIM(W209)),1,0)</f>
        <v>0</v>
      </c>
      <c r="AG209">
        <f t="shared" si="7"/>
        <v>0</v>
      </c>
    </row>
    <row r="210" spans="1:33" x14ac:dyDescent="0.3">
      <c r="A210" t="s">
        <v>143</v>
      </c>
      <c r="B210">
        <v>1</v>
      </c>
      <c r="C210" t="s">
        <v>237</v>
      </c>
      <c r="D210" t="s">
        <v>238</v>
      </c>
      <c r="E210" t="s">
        <v>219</v>
      </c>
      <c r="F210" t="s">
        <v>101</v>
      </c>
      <c r="G210" t="s">
        <v>135</v>
      </c>
      <c r="H210">
        <v>0</v>
      </c>
      <c r="I210">
        <v>0</v>
      </c>
      <c r="J210">
        <v>0</v>
      </c>
      <c r="K210" t="s">
        <v>104</v>
      </c>
      <c r="L210">
        <v>0</v>
      </c>
      <c r="M210">
        <v>4</v>
      </c>
      <c r="N210">
        <v>0</v>
      </c>
      <c r="O210">
        <v>33</v>
      </c>
      <c r="P210">
        <v>1</v>
      </c>
      <c r="Q210">
        <v>8.1999999999999993</v>
      </c>
      <c r="R210">
        <v>20</v>
      </c>
      <c r="S210">
        <v>0</v>
      </c>
      <c r="T210">
        <v>0</v>
      </c>
      <c r="U210" s="8">
        <v>20</v>
      </c>
      <c r="V210" s="8">
        <f t="shared" si="6"/>
        <v>2</v>
      </c>
      <c r="W210" t="str">
        <f>_xlfn.XLOOKUP(A210, Matches!A:A, Matches!L:L, "NA", 0)</f>
        <v>MIW</v>
      </c>
      <c r="X210" t="str">
        <f>_xlfn.XLOOKUP(A210, Matches!A:A, Matches!J:J, "NA", 0)</f>
        <v>UPW</v>
      </c>
      <c r="Y210" t="str">
        <f>_xlfn.XLOOKUP(A210, Matches!A:A, Matches!F:F, "NA", 0)</f>
        <v>Brabourne Stadium</v>
      </c>
      <c r="Z210" cm="1">
        <f t="array" ref="Z210">INDEX(Innings!F:F,MATCH(1,(TRIM(Innings!A:A)=TRIM(A210))*(TRIM(Innings!D:D)=TRIM(E210)),0))</f>
        <v>159</v>
      </c>
      <c r="AA210" cm="1">
        <f t="array" ref="AA210">INDEX(Innings!I:I,MATCH(1,(TRIM(Innings!A:A)=TRIM(A210))*(TRIM(Innings!D:D)=TRIM(E210)),0))</f>
        <v>7.95</v>
      </c>
      <c r="AB210" cm="1">
        <f t="array" ref="AB210">INDEX(Innings!J:J,MATCH(1,(TRIM(Innings!A:A)=TRIM(A210))*(TRIM(Innings!D:D)=TRIM(E210)),0))</f>
        <v>48</v>
      </c>
      <c r="AC210" cm="1">
        <f t="array" ref="AC210">INDEX(Innings!N:N,MATCH(1,(TRIM(Innings!A:A)=TRIM(A210))*(TRIM(Innings!D:D)=TRIM(E210)),0))</f>
        <v>21</v>
      </c>
      <c r="AD210" cm="1">
        <f t="array" ref="AD210">INDEX(Innings!S:S,MATCH(1,(TRIM(Innings!A:A)=TRIM(A210))*(TRIM(Innings!D:D)=TRIM(E210)),0))</f>
        <v>44</v>
      </c>
      <c r="AE210" t="str" cm="1">
        <f t="array" ref="AE210">INDEX(Innings!W:W,MATCH(1,(TRIM(Innings!A:A)=TRIM(A210))*(TRIM(Innings!D:D)=TRIM(E210)),0))</f>
        <v>NA</v>
      </c>
      <c r="AF210">
        <f>IF(UPPER(TRIM(E210))=UPPER(TRIM(W210)),1,0)</f>
        <v>0</v>
      </c>
      <c r="AG210">
        <f t="shared" si="7"/>
        <v>10.6</v>
      </c>
    </row>
    <row r="211" spans="1:33" x14ac:dyDescent="0.3">
      <c r="A211" t="s">
        <v>143</v>
      </c>
      <c r="B211">
        <v>1</v>
      </c>
      <c r="C211" t="s">
        <v>112</v>
      </c>
      <c r="D211" t="s">
        <v>88</v>
      </c>
      <c r="E211" t="s">
        <v>266</v>
      </c>
      <c r="F211" t="s">
        <v>83</v>
      </c>
      <c r="G211" t="s">
        <v>86</v>
      </c>
      <c r="H211">
        <v>12</v>
      </c>
      <c r="I211">
        <v>17</v>
      </c>
      <c r="J211">
        <v>70.59</v>
      </c>
      <c r="K211" t="s">
        <v>246</v>
      </c>
      <c r="L211">
        <v>8.4700000000000006</v>
      </c>
      <c r="M211">
        <v>4</v>
      </c>
      <c r="N211">
        <v>0</v>
      </c>
      <c r="O211">
        <v>27</v>
      </c>
      <c r="P211">
        <v>1</v>
      </c>
      <c r="Q211">
        <v>6.8</v>
      </c>
      <c r="R211">
        <v>20</v>
      </c>
      <c r="S211">
        <v>0</v>
      </c>
      <c r="T211">
        <v>0</v>
      </c>
      <c r="U211" s="8">
        <v>28.47</v>
      </c>
      <c r="V211" s="8">
        <f t="shared" si="6"/>
        <v>3</v>
      </c>
      <c r="W211" t="str">
        <f>_xlfn.XLOOKUP(A211, Matches!A:A, Matches!L:L, "NA", 0)</f>
        <v>MIW</v>
      </c>
      <c r="X211" t="str">
        <f>_xlfn.XLOOKUP(A211, Matches!A:A, Matches!J:J, "NA", 0)</f>
        <v>UPW</v>
      </c>
      <c r="Y211" t="str">
        <f>_xlfn.XLOOKUP(A211, Matches!A:A, Matches!F:F, "NA", 0)</f>
        <v>Brabourne Stadium</v>
      </c>
      <c r="Z211" cm="1">
        <f t="array" ref="Z211">INDEX(Innings!F:F,MATCH(1,(TRIM(Innings!A:A)=TRIM(A211))*(TRIM(Innings!D:D)=TRIM(E211)),0))</f>
        <v>164</v>
      </c>
      <c r="AA211" cm="1">
        <f t="array" ref="AA211">INDEX(Innings!I:I,MATCH(1,(TRIM(Innings!A:A)=TRIM(A211))*(TRIM(Innings!D:D)=TRIM(E211)),0))</f>
        <v>9.3699999999999992</v>
      </c>
      <c r="AB211" cm="1">
        <f t="array" ref="AB211">INDEX(Innings!J:J,MATCH(1,(TRIM(Innings!A:A)=TRIM(A211))*(TRIM(Innings!D:D)=TRIM(E211)),0))</f>
        <v>51</v>
      </c>
      <c r="AC211" cm="1">
        <f t="array" ref="AC211">INDEX(Innings!N:N,MATCH(1,(TRIM(Innings!A:A)=TRIM(A211))*(TRIM(Innings!D:D)=TRIM(E211)),0))</f>
        <v>22</v>
      </c>
      <c r="AD211" cm="1">
        <f t="array" ref="AD211">INDEX(Innings!S:S,MATCH(1,(TRIM(Innings!A:A)=TRIM(A211))*(TRIM(Innings!D:D)=TRIM(E211)),0))</f>
        <v>48</v>
      </c>
      <c r="AE211" t="str" cm="1">
        <f t="array" ref="AE211">INDEX(Innings!W:W,MATCH(1,(TRIM(Innings!A:A)=TRIM(A211))*(TRIM(Innings!D:D)=TRIM(E211)),0))</f>
        <v>Successful</v>
      </c>
      <c r="AF211">
        <f>IF(UPPER(TRIM(E211))=UPPER(TRIM(W211)),1,0)</f>
        <v>1</v>
      </c>
      <c r="AG211">
        <f t="shared" si="7"/>
        <v>35.134999999999998</v>
      </c>
    </row>
    <row r="212" spans="1:33" x14ac:dyDescent="0.3">
      <c r="A212" t="s">
        <v>143</v>
      </c>
      <c r="B212">
        <v>1</v>
      </c>
      <c r="C212" t="s">
        <v>113</v>
      </c>
      <c r="D212" t="s">
        <v>84</v>
      </c>
      <c r="E212" t="s">
        <v>266</v>
      </c>
      <c r="F212" t="s">
        <v>85</v>
      </c>
      <c r="G212" t="s">
        <v>86</v>
      </c>
      <c r="H212">
        <v>42</v>
      </c>
      <c r="I212">
        <v>27</v>
      </c>
      <c r="J212">
        <v>155.56</v>
      </c>
      <c r="K212" t="s">
        <v>246</v>
      </c>
      <c r="L212">
        <v>65.33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s="8">
        <v>65.33</v>
      </c>
      <c r="V212" s="8">
        <f t="shared" si="6"/>
        <v>7</v>
      </c>
      <c r="W212" t="str">
        <f>_xlfn.XLOOKUP(A212, Matches!A:A, Matches!L:L, "NA", 0)</f>
        <v>MIW</v>
      </c>
      <c r="X212" t="str">
        <f>_xlfn.XLOOKUP(A212, Matches!A:A, Matches!J:J, "NA", 0)</f>
        <v>UPW</v>
      </c>
      <c r="Y212" t="str">
        <f>_xlfn.XLOOKUP(A212, Matches!A:A, Matches!F:F, "NA", 0)</f>
        <v>Brabourne Stadium</v>
      </c>
      <c r="Z212" cm="1">
        <f t="array" ref="Z212">INDEX(Innings!F:F,MATCH(1,(TRIM(Innings!A:A)=TRIM(A212))*(TRIM(Innings!D:D)=TRIM(E212)),0))</f>
        <v>164</v>
      </c>
      <c r="AA212" cm="1">
        <f t="array" ref="AA212">INDEX(Innings!I:I,MATCH(1,(TRIM(Innings!A:A)=TRIM(A212))*(TRIM(Innings!D:D)=TRIM(E212)),0))</f>
        <v>9.3699999999999992</v>
      </c>
      <c r="AB212" cm="1">
        <f t="array" ref="AB212">INDEX(Innings!J:J,MATCH(1,(TRIM(Innings!A:A)=TRIM(A212))*(TRIM(Innings!D:D)=TRIM(E212)),0))</f>
        <v>51</v>
      </c>
      <c r="AC212" cm="1">
        <f t="array" ref="AC212">INDEX(Innings!N:N,MATCH(1,(TRIM(Innings!A:A)=TRIM(A212))*(TRIM(Innings!D:D)=TRIM(E212)),0))</f>
        <v>22</v>
      </c>
      <c r="AD212" cm="1">
        <f t="array" ref="AD212">INDEX(Innings!S:S,MATCH(1,(TRIM(Innings!A:A)=TRIM(A212))*(TRIM(Innings!D:D)=TRIM(E212)),0))</f>
        <v>48</v>
      </c>
      <c r="AE212" t="str" cm="1">
        <f t="array" ref="AE212">INDEX(Innings!W:W,MATCH(1,(TRIM(Innings!A:A)=TRIM(A212))*(TRIM(Innings!D:D)=TRIM(E212)),0))</f>
        <v>Successful</v>
      </c>
      <c r="AF212">
        <f>IF(UPPER(TRIM(E212))=UPPER(TRIM(W212)),1,0)</f>
        <v>1</v>
      </c>
      <c r="AG212">
        <f t="shared" si="7"/>
        <v>54.765000000000001</v>
      </c>
    </row>
    <row r="213" spans="1:33" x14ac:dyDescent="0.3">
      <c r="A213" t="s">
        <v>143</v>
      </c>
      <c r="B213">
        <v>1</v>
      </c>
      <c r="C213" t="s">
        <v>117</v>
      </c>
      <c r="D213" t="s">
        <v>90</v>
      </c>
      <c r="E213" t="s">
        <v>266</v>
      </c>
      <c r="F213" t="s">
        <v>91</v>
      </c>
      <c r="G213" t="s">
        <v>92</v>
      </c>
      <c r="H213">
        <v>45</v>
      </c>
      <c r="I213">
        <v>31</v>
      </c>
      <c r="J213">
        <v>145.16</v>
      </c>
      <c r="K213" t="s">
        <v>96</v>
      </c>
      <c r="L213">
        <v>65.319999999999993</v>
      </c>
      <c r="M213">
        <v>3</v>
      </c>
      <c r="N213">
        <v>0</v>
      </c>
      <c r="O213">
        <v>19</v>
      </c>
      <c r="P213">
        <v>0</v>
      </c>
      <c r="Q213">
        <v>6.3</v>
      </c>
      <c r="R213">
        <v>0</v>
      </c>
      <c r="S213">
        <v>0</v>
      </c>
      <c r="T213">
        <v>0</v>
      </c>
      <c r="U213" s="8">
        <v>65.319999999999993</v>
      </c>
      <c r="V213" s="8">
        <f t="shared" si="6"/>
        <v>7</v>
      </c>
      <c r="W213" t="str">
        <f>_xlfn.XLOOKUP(A213, Matches!A:A, Matches!L:L, "NA", 0)</f>
        <v>MIW</v>
      </c>
      <c r="X213" t="str">
        <f>_xlfn.XLOOKUP(A213, Matches!A:A, Matches!J:J, "NA", 0)</f>
        <v>UPW</v>
      </c>
      <c r="Y213" t="str">
        <f>_xlfn.XLOOKUP(A213, Matches!A:A, Matches!F:F, "NA", 0)</f>
        <v>Brabourne Stadium</v>
      </c>
      <c r="Z213" cm="1">
        <f t="array" ref="Z213">INDEX(Innings!F:F,MATCH(1,(TRIM(Innings!A:A)=TRIM(A213))*(TRIM(Innings!D:D)=TRIM(E213)),0))</f>
        <v>164</v>
      </c>
      <c r="AA213" cm="1">
        <f t="array" ref="AA213">INDEX(Innings!I:I,MATCH(1,(TRIM(Innings!A:A)=TRIM(A213))*(TRIM(Innings!D:D)=TRIM(E213)),0))</f>
        <v>9.3699999999999992</v>
      </c>
      <c r="AB213" cm="1">
        <f t="array" ref="AB213">INDEX(Innings!J:J,MATCH(1,(TRIM(Innings!A:A)=TRIM(A213))*(TRIM(Innings!D:D)=TRIM(E213)),0))</f>
        <v>51</v>
      </c>
      <c r="AC213" cm="1">
        <f t="array" ref="AC213">INDEX(Innings!N:N,MATCH(1,(TRIM(Innings!A:A)=TRIM(A213))*(TRIM(Innings!D:D)=TRIM(E213)),0))</f>
        <v>22</v>
      </c>
      <c r="AD213" cm="1">
        <f t="array" ref="AD213">INDEX(Innings!S:S,MATCH(1,(TRIM(Innings!A:A)=TRIM(A213))*(TRIM(Innings!D:D)=TRIM(E213)),0))</f>
        <v>48</v>
      </c>
      <c r="AE213" t="str" cm="1">
        <f t="array" ref="AE213">INDEX(Innings!W:W,MATCH(1,(TRIM(Innings!A:A)=TRIM(A213))*(TRIM(Innings!D:D)=TRIM(E213)),0))</f>
        <v>Successful</v>
      </c>
      <c r="AF213">
        <f>IF(UPPER(TRIM(E213))=UPPER(TRIM(W213)),1,0)</f>
        <v>1</v>
      </c>
      <c r="AG213">
        <f t="shared" si="7"/>
        <v>54.76</v>
      </c>
    </row>
    <row r="214" spans="1:33" x14ac:dyDescent="0.3">
      <c r="A214" t="s">
        <v>143</v>
      </c>
      <c r="B214">
        <v>1</v>
      </c>
      <c r="C214" t="s">
        <v>115</v>
      </c>
      <c r="D214" t="s">
        <v>17</v>
      </c>
      <c r="E214" t="s">
        <v>266</v>
      </c>
      <c r="F214" t="s">
        <v>83</v>
      </c>
      <c r="G214" t="s">
        <v>92</v>
      </c>
      <c r="H214">
        <v>53</v>
      </c>
      <c r="I214">
        <v>33</v>
      </c>
      <c r="J214">
        <v>160.61000000000001</v>
      </c>
      <c r="K214" t="s">
        <v>96</v>
      </c>
      <c r="L214">
        <v>85.12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s="8">
        <v>85.12</v>
      </c>
      <c r="V214" s="8">
        <f t="shared" si="6"/>
        <v>9</v>
      </c>
      <c r="W214" t="str">
        <f>_xlfn.XLOOKUP(A214, Matches!A:A, Matches!L:L, "NA", 0)</f>
        <v>MIW</v>
      </c>
      <c r="X214" t="str">
        <f>_xlfn.XLOOKUP(A214, Matches!A:A, Matches!J:J, "NA", 0)</f>
        <v>UPW</v>
      </c>
      <c r="Y214" t="str">
        <f>_xlfn.XLOOKUP(A214, Matches!A:A, Matches!F:F, "NA", 0)</f>
        <v>Brabourne Stadium</v>
      </c>
      <c r="Z214" cm="1">
        <f t="array" ref="Z214">INDEX(Innings!F:F,MATCH(1,(TRIM(Innings!A:A)=TRIM(A214))*(TRIM(Innings!D:D)=TRIM(E214)),0))</f>
        <v>164</v>
      </c>
      <c r="AA214" cm="1">
        <f t="array" ref="AA214">INDEX(Innings!I:I,MATCH(1,(TRIM(Innings!A:A)=TRIM(A214))*(TRIM(Innings!D:D)=TRIM(E214)),0))</f>
        <v>9.3699999999999992</v>
      </c>
      <c r="AB214" cm="1">
        <f t="array" ref="AB214">INDEX(Innings!J:J,MATCH(1,(TRIM(Innings!A:A)=TRIM(A214))*(TRIM(Innings!D:D)=TRIM(E214)),0))</f>
        <v>51</v>
      </c>
      <c r="AC214" cm="1">
        <f t="array" ref="AC214">INDEX(Innings!N:N,MATCH(1,(TRIM(Innings!A:A)=TRIM(A214))*(TRIM(Innings!D:D)=TRIM(E214)),0))</f>
        <v>22</v>
      </c>
      <c r="AD214" cm="1">
        <f t="array" ref="AD214">INDEX(Innings!S:S,MATCH(1,(TRIM(Innings!A:A)=TRIM(A214))*(TRIM(Innings!D:D)=TRIM(E214)),0))</f>
        <v>48</v>
      </c>
      <c r="AE214" t="str" cm="1">
        <f t="array" ref="AE214">INDEX(Innings!W:W,MATCH(1,(TRIM(Innings!A:A)=TRIM(A214))*(TRIM(Innings!D:D)=TRIM(E214)),0))</f>
        <v>Successful</v>
      </c>
      <c r="AF214">
        <f>IF(UPPER(TRIM(E214))=UPPER(TRIM(W214)),1,0)</f>
        <v>1</v>
      </c>
      <c r="AG214">
        <f t="shared" si="7"/>
        <v>65.260000000000005</v>
      </c>
    </row>
    <row r="215" spans="1:33" x14ac:dyDescent="0.3">
      <c r="A215" t="s">
        <v>143</v>
      </c>
      <c r="B215">
        <v>1</v>
      </c>
      <c r="C215" t="s">
        <v>119</v>
      </c>
      <c r="D215" t="s">
        <v>95</v>
      </c>
      <c r="E215" t="s">
        <v>266</v>
      </c>
      <c r="F215" t="s">
        <v>101</v>
      </c>
      <c r="G215" t="s">
        <v>134</v>
      </c>
      <c r="H215">
        <v>0</v>
      </c>
      <c r="I215">
        <v>0</v>
      </c>
      <c r="J215">
        <v>0</v>
      </c>
      <c r="K215" t="s">
        <v>104</v>
      </c>
      <c r="L215">
        <v>0</v>
      </c>
      <c r="M215">
        <v>4</v>
      </c>
      <c r="N215">
        <v>0</v>
      </c>
      <c r="O215">
        <v>33</v>
      </c>
      <c r="P215">
        <v>2</v>
      </c>
      <c r="Q215">
        <v>8.1999999999999993</v>
      </c>
      <c r="R215">
        <v>40</v>
      </c>
      <c r="S215">
        <v>0</v>
      </c>
      <c r="T215">
        <v>0</v>
      </c>
      <c r="U215" s="8">
        <v>40</v>
      </c>
      <c r="V215" s="8">
        <f t="shared" si="6"/>
        <v>4</v>
      </c>
      <c r="W215" t="str">
        <f>_xlfn.XLOOKUP(A215, Matches!A:A, Matches!L:L, "NA", 0)</f>
        <v>MIW</v>
      </c>
      <c r="X215" t="str">
        <f>_xlfn.XLOOKUP(A215, Matches!A:A, Matches!J:J, "NA", 0)</f>
        <v>UPW</v>
      </c>
      <c r="Y215" t="str">
        <f>_xlfn.XLOOKUP(A215, Matches!A:A, Matches!F:F, "NA", 0)</f>
        <v>Brabourne Stadium</v>
      </c>
      <c r="Z215" cm="1">
        <f t="array" ref="Z215">INDEX(Innings!F:F,MATCH(1,(TRIM(Innings!A:A)=TRIM(A215))*(TRIM(Innings!D:D)=TRIM(E215)),0))</f>
        <v>164</v>
      </c>
      <c r="AA215" cm="1">
        <f t="array" ref="AA215">INDEX(Innings!I:I,MATCH(1,(TRIM(Innings!A:A)=TRIM(A215))*(TRIM(Innings!D:D)=TRIM(E215)),0))</f>
        <v>9.3699999999999992</v>
      </c>
      <c r="AB215" cm="1">
        <f t="array" ref="AB215">INDEX(Innings!J:J,MATCH(1,(TRIM(Innings!A:A)=TRIM(A215))*(TRIM(Innings!D:D)=TRIM(E215)),0))</f>
        <v>51</v>
      </c>
      <c r="AC215" cm="1">
        <f t="array" ref="AC215">INDEX(Innings!N:N,MATCH(1,(TRIM(Innings!A:A)=TRIM(A215))*(TRIM(Innings!D:D)=TRIM(E215)),0))</f>
        <v>22</v>
      </c>
      <c r="AD215" cm="1">
        <f t="array" ref="AD215">INDEX(Innings!S:S,MATCH(1,(TRIM(Innings!A:A)=TRIM(A215))*(TRIM(Innings!D:D)=TRIM(E215)),0))</f>
        <v>48</v>
      </c>
      <c r="AE215" t="str" cm="1">
        <f t="array" ref="AE215">INDEX(Innings!W:W,MATCH(1,(TRIM(Innings!A:A)=TRIM(A215))*(TRIM(Innings!D:D)=TRIM(E215)),0))</f>
        <v>Successful</v>
      </c>
      <c r="AF215">
        <f>IF(UPPER(TRIM(E215))=UPPER(TRIM(W215)),1,0)</f>
        <v>1</v>
      </c>
      <c r="AG215">
        <f t="shared" si="7"/>
        <v>41.2</v>
      </c>
    </row>
    <row r="216" spans="1:33" x14ac:dyDescent="0.3">
      <c r="A216" t="s">
        <v>143</v>
      </c>
      <c r="B216">
        <v>1</v>
      </c>
      <c r="C216" t="s">
        <v>127</v>
      </c>
      <c r="D216" t="s">
        <v>100</v>
      </c>
      <c r="E216" t="s">
        <v>266</v>
      </c>
      <c r="F216" t="s">
        <v>101</v>
      </c>
      <c r="G216" t="s">
        <v>134</v>
      </c>
      <c r="H216">
        <v>0</v>
      </c>
      <c r="I216">
        <v>0</v>
      </c>
      <c r="J216">
        <v>0</v>
      </c>
      <c r="K216" t="s">
        <v>104</v>
      </c>
      <c r="L216">
        <v>0</v>
      </c>
      <c r="M216">
        <v>4</v>
      </c>
      <c r="N216">
        <v>0</v>
      </c>
      <c r="O216">
        <v>29</v>
      </c>
      <c r="P216">
        <v>0</v>
      </c>
      <c r="Q216">
        <v>7.2</v>
      </c>
      <c r="R216">
        <v>0</v>
      </c>
      <c r="S216">
        <v>0</v>
      </c>
      <c r="T216">
        <v>0</v>
      </c>
      <c r="U216" s="8">
        <v>0</v>
      </c>
      <c r="V216" s="8">
        <f t="shared" si="6"/>
        <v>0</v>
      </c>
      <c r="W216" t="str">
        <f>_xlfn.XLOOKUP(A216, Matches!A:A, Matches!L:L, "NA", 0)</f>
        <v>MIW</v>
      </c>
      <c r="X216" t="str">
        <f>_xlfn.XLOOKUP(A216, Matches!A:A, Matches!J:J, "NA", 0)</f>
        <v>UPW</v>
      </c>
      <c r="Y216" t="str">
        <f>_xlfn.XLOOKUP(A216, Matches!A:A, Matches!F:F, "NA", 0)</f>
        <v>Brabourne Stadium</v>
      </c>
      <c r="Z216" cm="1">
        <f t="array" ref="Z216">INDEX(Innings!F:F,MATCH(1,(TRIM(Innings!A:A)=TRIM(A216))*(TRIM(Innings!D:D)=TRIM(E216)),0))</f>
        <v>164</v>
      </c>
      <c r="AA216" cm="1">
        <f t="array" ref="AA216">INDEX(Innings!I:I,MATCH(1,(TRIM(Innings!A:A)=TRIM(A216))*(TRIM(Innings!D:D)=TRIM(E216)),0))</f>
        <v>9.3699999999999992</v>
      </c>
      <c r="AB216" cm="1">
        <f t="array" ref="AB216">INDEX(Innings!J:J,MATCH(1,(TRIM(Innings!A:A)=TRIM(A216))*(TRIM(Innings!D:D)=TRIM(E216)),0))</f>
        <v>51</v>
      </c>
      <c r="AC216" cm="1">
        <f t="array" ref="AC216">INDEX(Innings!N:N,MATCH(1,(TRIM(Innings!A:A)=TRIM(A216))*(TRIM(Innings!D:D)=TRIM(E216)),0))</f>
        <v>22</v>
      </c>
      <c r="AD216" cm="1">
        <f t="array" ref="AD216">INDEX(Innings!S:S,MATCH(1,(TRIM(Innings!A:A)=TRIM(A216))*(TRIM(Innings!D:D)=TRIM(E216)),0))</f>
        <v>48</v>
      </c>
      <c r="AE216" t="str" cm="1">
        <f t="array" ref="AE216">INDEX(Innings!W:W,MATCH(1,(TRIM(Innings!A:A)=TRIM(A216))*(TRIM(Innings!D:D)=TRIM(E216)),0))</f>
        <v>Successful</v>
      </c>
      <c r="AF216">
        <f>IF(UPPER(TRIM(E216))=UPPER(TRIM(W216)),1,0)</f>
        <v>1</v>
      </c>
      <c r="AG216">
        <f t="shared" si="7"/>
        <v>20</v>
      </c>
    </row>
    <row r="217" spans="1:33" x14ac:dyDescent="0.3">
      <c r="A217" t="s">
        <v>143</v>
      </c>
      <c r="B217">
        <v>1</v>
      </c>
      <c r="C217" t="s">
        <v>129</v>
      </c>
      <c r="D217" t="s">
        <v>103</v>
      </c>
      <c r="E217" t="s">
        <v>266</v>
      </c>
      <c r="F217" t="s">
        <v>91</v>
      </c>
      <c r="G217" t="s">
        <v>134</v>
      </c>
      <c r="H217">
        <v>0</v>
      </c>
      <c r="I217">
        <v>0</v>
      </c>
      <c r="J217">
        <v>0</v>
      </c>
      <c r="K217" t="s">
        <v>104</v>
      </c>
      <c r="L217">
        <v>0</v>
      </c>
      <c r="M217">
        <v>1</v>
      </c>
      <c r="N217">
        <v>0</v>
      </c>
      <c r="O217">
        <v>13</v>
      </c>
      <c r="P217">
        <v>0</v>
      </c>
      <c r="Q217">
        <v>13</v>
      </c>
      <c r="R217">
        <v>0</v>
      </c>
      <c r="S217">
        <v>0</v>
      </c>
      <c r="T217">
        <v>0</v>
      </c>
      <c r="U217" s="8">
        <v>0</v>
      </c>
      <c r="V217" s="8">
        <f t="shared" si="6"/>
        <v>0</v>
      </c>
      <c r="W217" t="str">
        <f>_xlfn.XLOOKUP(A217, Matches!A:A, Matches!L:L, "NA", 0)</f>
        <v>MIW</v>
      </c>
      <c r="X217" t="str">
        <f>_xlfn.XLOOKUP(A217, Matches!A:A, Matches!J:J, "NA", 0)</f>
        <v>UPW</v>
      </c>
      <c r="Y217" t="str">
        <f>_xlfn.XLOOKUP(A217, Matches!A:A, Matches!F:F, "NA", 0)</f>
        <v>Brabourne Stadium</v>
      </c>
      <c r="Z217" cm="1">
        <f t="array" ref="Z217">INDEX(Innings!F:F,MATCH(1,(TRIM(Innings!A:A)=TRIM(A217))*(TRIM(Innings!D:D)=TRIM(E217)),0))</f>
        <v>164</v>
      </c>
      <c r="AA217" cm="1">
        <f t="array" ref="AA217">INDEX(Innings!I:I,MATCH(1,(TRIM(Innings!A:A)=TRIM(A217))*(TRIM(Innings!D:D)=TRIM(E217)),0))</f>
        <v>9.3699999999999992</v>
      </c>
      <c r="AB217" cm="1">
        <f t="array" ref="AB217">INDEX(Innings!J:J,MATCH(1,(TRIM(Innings!A:A)=TRIM(A217))*(TRIM(Innings!D:D)=TRIM(E217)),0))</f>
        <v>51</v>
      </c>
      <c r="AC217" cm="1">
        <f t="array" ref="AC217">INDEX(Innings!N:N,MATCH(1,(TRIM(Innings!A:A)=TRIM(A217))*(TRIM(Innings!D:D)=TRIM(E217)),0))</f>
        <v>22</v>
      </c>
      <c r="AD217" cm="1">
        <f t="array" ref="AD217">INDEX(Innings!S:S,MATCH(1,(TRIM(Innings!A:A)=TRIM(A217))*(TRIM(Innings!D:D)=TRIM(E217)),0))</f>
        <v>48</v>
      </c>
      <c r="AE217" t="str" cm="1">
        <f t="array" ref="AE217">INDEX(Innings!W:W,MATCH(1,(TRIM(Innings!A:A)=TRIM(A217))*(TRIM(Innings!D:D)=TRIM(E217)),0))</f>
        <v>Successful</v>
      </c>
      <c r="AF217">
        <f>IF(UPPER(TRIM(E217))=UPPER(TRIM(W217)),1,0)</f>
        <v>1</v>
      </c>
      <c r="AG217">
        <f t="shared" si="7"/>
        <v>20</v>
      </c>
    </row>
    <row r="218" spans="1:33" x14ac:dyDescent="0.3">
      <c r="A218" t="s">
        <v>143</v>
      </c>
      <c r="B218">
        <v>1</v>
      </c>
      <c r="C218" t="s">
        <v>125</v>
      </c>
      <c r="D218" t="s">
        <v>111</v>
      </c>
      <c r="E218" t="s">
        <v>266</v>
      </c>
      <c r="F218" t="s">
        <v>83</v>
      </c>
      <c r="G218" t="s">
        <v>135</v>
      </c>
      <c r="H218">
        <v>0</v>
      </c>
      <c r="I218">
        <v>0</v>
      </c>
      <c r="J218">
        <v>0</v>
      </c>
      <c r="K218" t="s">
        <v>104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s="8">
        <v>0</v>
      </c>
      <c r="V218" s="8">
        <f t="shared" si="6"/>
        <v>0</v>
      </c>
      <c r="W218" t="str">
        <f>_xlfn.XLOOKUP(A218, Matches!A:A, Matches!L:L, "NA", 0)</f>
        <v>MIW</v>
      </c>
      <c r="X218" t="str">
        <f>_xlfn.XLOOKUP(A218, Matches!A:A, Matches!J:J, "NA", 0)</f>
        <v>UPW</v>
      </c>
      <c r="Y218" t="str">
        <f>_xlfn.XLOOKUP(A218, Matches!A:A, Matches!F:F, "NA", 0)</f>
        <v>Brabourne Stadium</v>
      </c>
      <c r="Z218" cm="1">
        <f t="array" ref="Z218">INDEX(Innings!F:F,MATCH(1,(TRIM(Innings!A:A)=TRIM(A218))*(TRIM(Innings!D:D)=TRIM(E218)),0))</f>
        <v>164</v>
      </c>
      <c r="AA218" cm="1">
        <f t="array" ref="AA218">INDEX(Innings!I:I,MATCH(1,(TRIM(Innings!A:A)=TRIM(A218))*(TRIM(Innings!D:D)=TRIM(E218)),0))</f>
        <v>9.3699999999999992</v>
      </c>
      <c r="AB218" cm="1">
        <f t="array" ref="AB218">INDEX(Innings!J:J,MATCH(1,(TRIM(Innings!A:A)=TRIM(A218))*(TRIM(Innings!D:D)=TRIM(E218)),0))</f>
        <v>51</v>
      </c>
      <c r="AC218" cm="1">
        <f t="array" ref="AC218">INDEX(Innings!N:N,MATCH(1,(TRIM(Innings!A:A)=TRIM(A218))*(TRIM(Innings!D:D)=TRIM(E218)),0))</f>
        <v>22</v>
      </c>
      <c r="AD218" cm="1">
        <f t="array" ref="AD218">INDEX(Innings!S:S,MATCH(1,(TRIM(Innings!A:A)=TRIM(A218))*(TRIM(Innings!D:D)=TRIM(E218)),0))</f>
        <v>48</v>
      </c>
      <c r="AE218" t="str" cm="1">
        <f t="array" ref="AE218">INDEX(Innings!W:W,MATCH(1,(TRIM(Innings!A:A)=TRIM(A218))*(TRIM(Innings!D:D)=TRIM(E218)),0))</f>
        <v>Successful</v>
      </c>
      <c r="AF218">
        <f>IF(UPPER(TRIM(E218))=UPPER(TRIM(W218)),1,0)</f>
        <v>1</v>
      </c>
      <c r="AG218">
        <f t="shared" si="7"/>
        <v>20</v>
      </c>
    </row>
    <row r="219" spans="1:33" x14ac:dyDescent="0.3">
      <c r="A219" t="s">
        <v>143</v>
      </c>
      <c r="B219">
        <v>1</v>
      </c>
      <c r="C219" t="s">
        <v>121</v>
      </c>
      <c r="D219" t="s">
        <v>108</v>
      </c>
      <c r="E219" t="s">
        <v>266</v>
      </c>
      <c r="F219" t="s">
        <v>109</v>
      </c>
      <c r="G219" t="s">
        <v>135</v>
      </c>
      <c r="H219">
        <v>0</v>
      </c>
      <c r="I219">
        <v>0</v>
      </c>
      <c r="J219">
        <v>0</v>
      </c>
      <c r="K219" t="s">
        <v>104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s="8">
        <v>0</v>
      </c>
      <c r="V219" s="8">
        <f t="shared" si="6"/>
        <v>0</v>
      </c>
      <c r="W219" t="str">
        <f>_xlfn.XLOOKUP(A219, Matches!A:A, Matches!L:L, "NA", 0)</f>
        <v>MIW</v>
      </c>
      <c r="X219" t="str">
        <f>_xlfn.XLOOKUP(A219, Matches!A:A, Matches!J:J, "NA", 0)</f>
        <v>UPW</v>
      </c>
      <c r="Y219" t="str">
        <f>_xlfn.XLOOKUP(A219, Matches!A:A, Matches!F:F, "NA", 0)</f>
        <v>Brabourne Stadium</v>
      </c>
      <c r="Z219" cm="1">
        <f t="array" ref="Z219">INDEX(Innings!F:F,MATCH(1,(TRIM(Innings!A:A)=TRIM(A219))*(TRIM(Innings!D:D)=TRIM(E219)),0))</f>
        <v>164</v>
      </c>
      <c r="AA219" cm="1">
        <f t="array" ref="AA219">INDEX(Innings!I:I,MATCH(1,(TRIM(Innings!A:A)=TRIM(A219))*(TRIM(Innings!D:D)=TRIM(E219)),0))</f>
        <v>9.3699999999999992</v>
      </c>
      <c r="AB219" cm="1">
        <f t="array" ref="AB219">INDEX(Innings!J:J,MATCH(1,(TRIM(Innings!A:A)=TRIM(A219))*(TRIM(Innings!D:D)=TRIM(E219)),0))</f>
        <v>51</v>
      </c>
      <c r="AC219" cm="1">
        <f t="array" ref="AC219">INDEX(Innings!N:N,MATCH(1,(TRIM(Innings!A:A)=TRIM(A219))*(TRIM(Innings!D:D)=TRIM(E219)),0))</f>
        <v>22</v>
      </c>
      <c r="AD219" cm="1">
        <f t="array" ref="AD219">INDEX(Innings!S:S,MATCH(1,(TRIM(Innings!A:A)=TRIM(A219))*(TRIM(Innings!D:D)=TRIM(E219)),0))</f>
        <v>48</v>
      </c>
      <c r="AE219" t="str" cm="1">
        <f t="array" ref="AE219">INDEX(Innings!W:W,MATCH(1,(TRIM(Innings!A:A)=TRIM(A219))*(TRIM(Innings!D:D)=TRIM(E219)),0))</f>
        <v>Successful</v>
      </c>
      <c r="AF219">
        <f>IF(UPPER(TRIM(E219))=UPPER(TRIM(W219)),1,0)</f>
        <v>1</v>
      </c>
      <c r="AG219">
        <f t="shared" si="7"/>
        <v>20</v>
      </c>
    </row>
    <row r="220" spans="1:33" x14ac:dyDescent="0.3">
      <c r="A220" t="s">
        <v>143</v>
      </c>
      <c r="B220">
        <v>1</v>
      </c>
      <c r="C220" t="s">
        <v>131</v>
      </c>
      <c r="D220" t="s">
        <v>106</v>
      </c>
      <c r="E220" t="s">
        <v>266</v>
      </c>
      <c r="F220" t="s">
        <v>101</v>
      </c>
      <c r="G220" t="s">
        <v>135</v>
      </c>
      <c r="H220">
        <v>0</v>
      </c>
      <c r="I220">
        <v>0</v>
      </c>
      <c r="J220">
        <v>0</v>
      </c>
      <c r="K220" t="s">
        <v>104</v>
      </c>
      <c r="L220">
        <v>0</v>
      </c>
      <c r="M220">
        <v>4</v>
      </c>
      <c r="N220">
        <v>0</v>
      </c>
      <c r="O220">
        <v>33</v>
      </c>
      <c r="P220">
        <v>3</v>
      </c>
      <c r="Q220">
        <v>8.1999999999999993</v>
      </c>
      <c r="R220">
        <v>60</v>
      </c>
      <c r="S220">
        <v>0</v>
      </c>
      <c r="T220">
        <v>0</v>
      </c>
      <c r="U220" s="8">
        <v>60</v>
      </c>
      <c r="V220" s="8">
        <f t="shared" si="6"/>
        <v>6</v>
      </c>
      <c r="W220" t="str">
        <f>_xlfn.XLOOKUP(A220, Matches!A:A, Matches!L:L, "NA", 0)</f>
        <v>MIW</v>
      </c>
      <c r="X220" t="str">
        <f>_xlfn.XLOOKUP(A220, Matches!A:A, Matches!J:J, "NA", 0)</f>
        <v>UPW</v>
      </c>
      <c r="Y220" t="str">
        <f>_xlfn.XLOOKUP(A220, Matches!A:A, Matches!F:F, "NA", 0)</f>
        <v>Brabourne Stadium</v>
      </c>
      <c r="Z220" cm="1">
        <f t="array" ref="Z220">INDEX(Innings!F:F,MATCH(1,(TRIM(Innings!A:A)=TRIM(A220))*(TRIM(Innings!D:D)=TRIM(E220)),0))</f>
        <v>164</v>
      </c>
      <c r="AA220" cm="1">
        <f t="array" ref="AA220">INDEX(Innings!I:I,MATCH(1,(TRIM(Innings!A:A)=TRIM(A220))*(TRIM(Innings!D:D)=TRIM(E220)),0))</f>
        <v>9.3699999999999992</v>
      </c>
      <c r="AB220" cm="1">
        <f t="array" ref="AB220">INDEX(Innings!J:J,MATCH(1,(TRIM(Innings!A:A)=TRIM(A220))*(TRIM(Innings!D:D)=TRIM(E220)),0))</f>
        <v>51</v>
      </c>
      <c r="AC220" cm="1">
        <f t="array" ref="AC220">INDEX(Innings!N:N,MATCH(1,(TRIM(Innings!A:A)=TRIM(A220))*(TRIM(Innings!D:D)=TRIM(E220)),0))</f>
        <v>22</v>
      </c>
      <c r="AD220" cm="1">
        <f t="array" ref="AD220">INDEX(Innings!S:S,MATCH(1,(TRIM(Innings!A:A)=TRIM(A220))*(TRIM(Innings!D:D)=TRIM(E220)),0))</f>
        <v>48</v>
      </c>
      <c r="AE220" t="str" cm="1">
        <f t="array" ref="AE220">INDEX(Innings!W:W,MATCH(1,(TRIM(Innings!A:A)=TRIM(A220))*(TRIM(Innings!D:D)=TRIM(E220)),0))</f>
        <v>Successful</v>
      </c>
      <c r="AF220">
        <f>IF(UPPER(TRIM(E220))=UPPER(TRIM(W220)),1,0)</f>
        <v>1</v>
      </c>
      <c r="AG220">
        <f t="shared" si="7"/>
        <v>51.8</v>
      </c>
    </row>
    <row r="221" spans="1:33" x14ac:dyDescent="0.3">
      <c r="A221" t="s">
        <v>143</v>
      </c>
      <c r="B221">
        <v>1</v>
      </c>
      <c r="C221" t="s">
        <v>226</v>
      </c>
      <c r="D221" t="s">
        <v>211</v>
      </c>
      <c r="E221" t="s">
        <v>266</v>
      </c>
      <c r="F221" t="s">
        <v>101</v>
      </c>
      <c r="G221" t="s">
        <v>135</v>
      </c>
      <c r="H221">
        <v>0</v>
      </c>
      <c r="I221">
        <v>0</v>
      </c>
      <c r="J221">
        <v>0</v>
      </c>
      <c r="K221" t="s">
        <v>104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s="8">
        <v>0</v>
      </c>
      <c r="V221" s="8">
        <f t="shared" si="6"/>
        <v>0</v>
      </c>
      <c r="W221" t="str">
        <f>_xlfn.XLOOKUP(A221, Matches!A:A, Matches!L:L, "NA", 0)</f>
        <v>MIW</v>
      </c>
      <c r="X221" t="str">
        <f>_xlfn.XLOOKUP(A221, Matches!A:A, Matches!J:J, "NA", 0)</f>
        <v>UPW</v>
      </c>
      <c r="Y221" t="str">
        <f>_xlfn.XLOOKUP(A221, Matches!A:A, Matches!F:F, "NA", 0)</f>
        <v>Brabourne Stadium</v>
      </c>
      <c r="Z221" cm="1">
        <f t="array" ref="Z221">INDEX(Innings!F:F,MATCH(1,(TRIM(Innings!A:A)=TRIM(A221))*(TRIM(Innings!D:D)=TRIM(E221)),0))</f>
        <v>164</v>
      </c>
      <c r="AA221" cm="1">
        <f t="array" ref="AA221">INDEX(Innings!I:I,MATCH(1,(TRIM(Innings!A:A)=TRIM(A221))*(TRIM(Innings!D:D)=TRIM(E221)),0))</f>
        <v>9.3699999999999992</v>
      </c>
      <c r="AB221" cm="1">
        <f t="array" ref="AB221">INDEX(Innings!J:J,MATCH(1,(TRIM(Innings!A:A)=TRIM(A221))*(TRIM(Innings!D:D)=TRIM(E221)),0))</f>
        <v>51</v>
      </c>
      <c r="AC221" cm="1">
        <f t="array" ref="AC221">INDEX(Innings!N:N,MATCH(1,(TRIM(Innings!A:A)=TRIM(A221))*(TRIM(Innings!D:D)=TRIM(E221)),0))</f>
        <v>22</v>
      </c>
      <c r="AD221" cm="1">
        <f t="array" ref="AD221">INDEX(Innings!S:S,MATCH(1,(TRIM(Innings!A:A)=TRIM(A221))*(TRIM(Innings!D:D)=TRIM(E221)),0))</f>
        <v>48</v>
      </c>
      <c r="AE221" t="str" cm="1">
        <f t="array" ref="AE221">INDEX(Innings!W:W,MATCH(1,(TRIM(Innings!A:A)=TRIM(A221))*(TRIM(Innings!D:D)=TRIM(E221)),0))</f>
        <v>Successful</v>
      </c>
      <c r="AF221">
        <f>IF(UPPER(TRIM(E221))=UPPER(TRIM(W221)),1,0)</f>
        <v>1</v>
      </c>
      <c r="AG221">
        <f t="shared" si="7"/>
        <v>20</v>
      </c>
    </row>
    <row r="222" spans="1:33" x14ac:dyDescent="0.3">
      <c r="A222" t="s">
        <v>144</v>
      </c>
      <c r="B222">
        <v>1</v>
      </c>
      <c r="C222" t="s">
        <v>165</v>
      </c>
      <c r="D222" t="s">
        <v>166</v>
      </c>
      <c r="E222" t="s">
        <v>159</v>
      </c>
      <c r="F222" t="s">
        <v>109</v>
      </c>
      <c r="G222" t="s">
        <v>86</v>
      </c>
      <c r="H222">
        <v>8</v>
      </c>
      <c r="I222">
        <v>15</v>
      </c>
      <c r="J222">
        <v>53.33</v>
      </c>
      <c r="K222" t="s">
        <v>246</v>
      </c>
      <c r="L222">
        <v>4.2699999999999996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s="8">
        <v>4.2699999999999996</v>
      </c>
      <c r="V222" s="8">
        <f t="shared" si="6"/>
        <v>0</v>
      </c>
      <c r="W222" t="str">
        <f>_xlfn.XLOOKUP(A222, Matches!A:A, Matches!L:L, "NA", 0)</f>
        <v>DCW</v>
      </c>
      <c r="X222" t="str">
        <f>_xlfn.XLOOKUP(A222, Matches!A:A, Matches!J:J, "NA", 0)</f>
        <v>DCW</v>
      </c>
      <c r="Y222" t="str">
        <f>_xlfn.XLOOKUP(A222, Matches!A:A, Matches!F:F, "NA", 0)</f>
        <v>Dr DY Patil Sports </v>
      </c>
      <c r="Z222" cm="1">
        <f t="array" ref="Z222">INDEX(Innings!F:F,MATCH(1,(TRIM(Innings!A:A)=TRIM(A222))*(TRIM(Innings!D:D)=TRIM(E222)),0))</f>
        <v>150</v>
      </c>
      <c r="AA222" cm="1">
        <f t="array" ref="AA222">INDEX(Innings!I:I,MATCH(1,(TRIM(Innings!A:A)=TRIM(A222))*(TRIM(Innings!D:D)=TRIM(E222)),0))</f>
        <v>7.5</v>
      </c>
      <c r="AB222" cm="1">
        <f t="array" ref="AB222">INDEX(Innings!J:J,MATCH(1,(TRIM(Innings!A:A)=TRIM(A222))*(TRIM(Innings!D:D)=TRIM(E222)),0))</f>
        <v>29</v>
      </c>
      <c r="AC222" cm="1">
        <f t="array" ref="AC222">INDEX(Innings!N:N,MATCH(1,(TRIM(Innings!A:A)=TRIM(A222))*(TRIM(Innings!D:D)=TRIM(E222)),0))</f>
        <v>53</v>
      </c>
      <c r="AD222" cm="1">
        <f t="array" ref="AD222">INDEX(Innings!S:S,MATCH(1,(TRIM(Innings!A:A)=TRIM(A222))*(TRIM(Innings!D:D)=TRIM(E222)),0))</f>
        <v>49</v>
      </c>
      <c r="AE222" t="str" cm="1">
        <f t="array" ref="AE222">INDEX(Innings!W:W,MATCH(1,(TRIM(Innings!A:A)=TRIM(A222))*(TRIM(Innings!D:D)=TRIM(E222)),0))</f>
        <v>NA</v>
      </c>
      <c r="AF222">
        <f>IF(UPPER(TRIM(E222))=UPPER(TRIM(W222)),1,0)</f>
        <v>0</v>
      </c>
      <c r="AG222">
        <f t="shared" si="7"/>
        <v>2.1349999999999998</v>
      </c>
    </row>
    <row r="223" spans="1:33" x14ac:dyDescent="0.3">
      <c r="A223" t="s">
        <v>144</v>
      </c>
      <c r="B223">
        <v>1</v>
      </c>
      <c r="C223" t="s">
        <v>167</v>
      </c>
      <c r="D223" t="s">
        <v>168</v>
      </c>
      <c r="E223" t="s">
        <v>159</v>
      </c>
      <c r="F223" t="s">
        <v>83</v>
      </c>
      <c r="G223" t="s">
        <v>86</v>
      </c>
      <c r="H223">
        <v>21</v>
      </c>
      <c r="I223">
        <v>19</v>
      </c>
      <c r="J223">
        <v>110.53</v>
      </c>
      <c r="K223" t="s">
        <v>245</v>
      </c>
      <c r="L223">
        <v>23.21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s="8">
        <v>23.21</v>
      </c>
      <c r="V223" s="8">
        <f t="shared" si="6"/>
        <v>2</v>
      </c>
      <c r="W223" t="str">
        <f>_xlfn.XLOOKUP(A223, Matches!A:A, Matches!L:L, "NA", 0)</f>
        <v>DCW</v>
      </c>
      <c r="X223" t="str">
        <f>_xlfn.XLOOKUP(A223, Matches!A:A, Matches!J:J, "NA", 0)</f>
        <v>DCW</v>
      </c>
      <c r="Y223" t="str">
        <f>_xlfn.XLOOKUP(A223, Matches!A:A, Matches!F:F, "NA", 0)</f>
        <v>Dr DY Patil Sports </v>
      </c>
      <c r="Z223" cm="1">
        <f t="array" ref="Z223">INDEX(Innings!F:F,MATCH(1,(TRIM(Innings!A:A)=TRIM(A223))*(TRIM(Innings!D:D)=TRIM(E223)),0))</f>
        <v>150</v>
      </c>
      <c r="AA223" cm="1">
        <f t="array" ref="AA223">INDEX(Innings!I:I,MATCH(1,(TRIM(Innings!A:A)=TRIM(A223))*(TRIM(Innings!D:D)=TRIM(E223)),0))</f>
        <v>7.5</v>
      </c>
      <c r="AB223" cm="1">
        <f t="array" ref="AB223">INDEX(Innings!J:J,MATCH(1,(TRIM(Innings!A:A)=TRIM(A223))*(TRIM(Innings!D:D)=TRIM(E223)),0))</f>
        <v>29</v>
      </c>
      <c r="AC223" cm="1">
        <f t="array" ref="AC223">INDEX(Innings!N:N,MATCH(1,(TRIM(Innings!A:A)=TRIM(A223))*(TRIM(Innings!D:D)=TRIM(E223)),0))</f>
        <v>53</v>
      </c>
      <c r="AD223" cm="1">
        <f t="array" ref="AD223">INDEX(Innings!S:S,MATCH(1,(TRIM(Innings!A:A)=TRIM(A223))*(TRIM(Innings!D:D)=TRIM(E223)),0))</f>
        <v>49</v>
      </c>
      <c r="AE223" t="str" cm="1">
        <f t="array" ref="AE223">INDEX(Innings!W:W,MATCH(1,(TRIM(Innings!A:A)=TRIM(A223))*(TRIM(Innings!D:D)=TRIM(E223)),0))</f>
        <v>NA</v>
      </c>
      <c r="AF223">
        <f>IF(UPPER(TRIM(E223))=UPPER(TRIM(W223)),1,0)</f>
        <v>0</v>
      </c>
      <c r="AG223">
        <f t="shared" si="7"/>
        <v>12.205</v>
      </c>
    </row>
    <row r="224" spans="1:33" x14ac:dyDescent="0.3">
      <c r="A224" t="s">
        <v>144</v>
      </c>
      <c r="B224">
        <v>1</v>
      </c>
      <c r="C224" t="s">
        <v>174</v>
      </c>
      <c r="D224" t="s">
        <v>175</v>
      </c>
      <c r="E224" t="s">
        <v>159</v>
      </c>
      <c r="F224" t="s">
        <v>83</v>
      </c>
      <c r="G224" t="s">
        <v>92</v>
      </c>
      <c r="H224">
        <v>67</v>
      </c>
      <c r="I224">
        <v>52</v>
      </c>
      <c r="J224">
        <v>128.85</v>
      </c>
      <c r="K224" t="s">
        <v>96</v>
      </c>
      <c r="L224">
        <v>86.33</v>
      </c>
      <c r="M224">
        <v>4</v>
      </c>
      <c r="N224">
        <v>0</v>
      </c>
      <c r="O224">
        <v>28</v>
      </c>
      <c r="P224">
        <v>0</v>
      </c>
      <c r="Q224">
        <v>7</v>
      </c>
      <c r="R224">
        <v>0</v>
      </c>
      <c r="S224">
        <v>0</v>
      </c>
      <c r="T224">
        <v>0</v>
      </c>
      <c r="U224" s="8">
        <v>86.33</v>
      </c>
      <c r="V224" s="8">
        <f t="shared" si="6"/>
        <v>9</v>
      </c>
      <c r="W224" t="str">
        <f>_xlfn.XLOOKUP(A224, Matches!A:A, Matches!L:L, "NA", 0)</f>
        <v>DCW</v>
      </c>
      <c r="X224" t="str">
        <f>_xlfn.XLOOKUP(A224, Matches!A:A, Matches!J:J, "NA", 0)</f>
        <v>DCW</v>
      </c>
      <c r="Y224" t="str">
        <f>_xlfn.XLOOKUP(A224, Matches!A:A, Matches!F:F, "NA", 0)</f>
        <v>Dr DY Patil Sports </v>
      </c>
      <c r="Z224" cm="1">
        <f t="array" ref="Z224">INDEX(Innings!F:F,MATCH(1,(TRIM(Innings!A:A)=TRIM(A224))*(TRIM(Innings!D:D)=TRIM(E224)),0))</f>
        <v>150</v>
      </c>
      <c r="AA224" cm="1">
        <f t="array" ref="AA224">INDEX(Innings!I:I,MATCH(1,(TRIM(Innings!A:A)=TRIM(A224))*(TRIM(Innings!D:D)=TRIM(E224)),0))</f>
        <v>7.5</v>
      </c>
      <c r="AB224" cm="1">
        <f t="array" ref="AB224">INDEX(Innings!J:J,MATCH(1,(TRIM(Innings!A:A)=TRIM(A224))*(TRIM(Innings!D:D)=TRIM(E224)),0))</f>
        <v>29</v>
      </c>
      <c r="AC224" cm="1">
        <f t="array" ref="AC224">INDEX(Innings!N:N,MATCH(1,(TRIM(Innings!A:A)=TRIM(A224))*(TRIM(Innings!D:D)=TRIM(E224)),0))</f>
        <v>53</v>
      </c>
      <c r="AD224" cm="1">
        <f t="array" ref="AD224">INDEX(Innings!S:S,MATCH(1,(TRIM(Innings!A:A)=TRIM(A224))*(TRIM(Innings!D:D)=TRIM(E224)),0))</f>
        <v>49</v>
      </c>
      <c r="AE224" t="str" cm="1">
        <f t="array" ref="AE224">INDEX(Innings!W:W,MATCH(1,(TRIM(Innings!A:A)=TRIM(A224))*(TRIM(Innings!D:D)=TRIM(E224)),0))</f>
        <v>NA</v>
      </c>
      <c r="AF224">
        <f>IF(UPPER(TRIM(E224))=UPPER(TRIM(W224)),1,0)</f>
        <v>0</v>
      </c>
      <c r="AG224">
        <f t="shared" si="7"/>
        <v>45.865000000000002</v>
      </c>
    </row>
    <row r="225" spans="1:33" x14ac:dyDescent="0.3">
      <c r="A225" t="s">
        <v>144</v>
      </c>
      <c r="B225">
        <v>1</v>
      </c>
      <c r="C225" t="s">
        <v>170</v>
      </c>
      <c r="D225" t="s">
        <v>171</v>
      </c>
      <c r="E225" t="s">
        <v>159</v>
      </c>
      <c r="F225" t="s">
        <v>83</v>
      </c>
      <c r="G225" t="s">
        <v>92</v>
      </c>
      <c r="H225">
        <v>11</v>
      </c>
      <c r="I225">
        <v>12</v>
      </c>
      <c r="J225">
        <v>91.67</v>
      </c>
      <c r="K225" t="s">
        <v>246</v>
      </c>
      <c r="L225">
        <v>10.08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s="8">
        <v>10.08</v>
      </c>
      <c r="V225" s="8">
        <f t="shared" si="6"/>
        <v>1</v>
      </c>
      <c r="W225" t="str">
        <f>_xlfn.XLOOKUP(A225, Matches!A:A, Matches!L:L, "NA", 0)</f>
        <v>DCW</v>
      </c>
      <c r="X225" t="str">
        <f>_xlfn.XLOOKUP(A225, Matches!A:A, Matches!J:J, "NA", 0)</f>
        <v>DCW</v>
      </c>
      <c r="Y225" t="str">
        <f>_xlfn.XLOOKUP(A225, Matches!A:A, Matches!F:F, "NA", 0)</f>
        <v>Dr DY Patil Sports </v>
      </c>
      <c r="Z225" cm="1">
        <f t="array" ref="Z225">INDEX(Innings!F:F,MATCH(1,(TRIM(Innings!A:A)=TRIM(A225))*(TRIM(Innings!D:D)=TRIM(E225)),0))</f>
        <v>150</v>
      </c>
      <c r="AA225" cm="1">
        <f t="array" ref="AA225">INDEX(Innings!I:I,MATCH(1,(TRIM(Innings!A:A)=TRIM(A225))*(TRIM(Innings!D:D)=TRIM(E225)),0))</f>
        <v>7.5</v>
      </c>
      <c r="AB225" cm="1">
        <f t="array" ref="AB225">INDEX(Innings!J:J,MATCH(1,(TRIM(Innings!A:A)=TRIM(A225))*(TRIM(Innings!D:D)=TRIM(E225)),0))</f>
        <v>29</v>
      </c>
      <c r="AC225" cm="1">
        <f t="array" ref="AC225">INDEX(Innings!N:N,MATCH(1,(TRIM(Innings!A:A)=TRIM(A225))*(TRIM(Innings!D:D)=TRIM(E225)),0))</f>
        <v>53</v>
      </c>
      <c r="AD225" cm="1">
        <f t="array" ref="AD225">INDEX(Innings!S:S,MATCH(1,(TRIM(Innings!A:A)=TRIM(A225))*(TRIM(Innings!D:D)=TRIM(E225)),0))</f>
        <v>49</v>
      </c>
      <c r="AE225" t="str" cm="1">
        <f t="array" ref="AE225">INDEX(Innings!W:W,MATCH(1,(TRIM(Innings!A:A)=TRIM(A225))*(TRIM(Innings!D:D)=TRIM(E225)),0))</f>
        <v>NA</v>
      </c>
      <c r="AF225">
        <f>IF(UPPER(TRIM(E225))=UPPER(TRIM(W225)),1,0)</f>
        <v>0</v>
      </c>
      <c r="AG225">
        <f t="shared" si="7"/>
        <v>5.34</v>
      </c>
    </row>
    <row r="226" spans="1:33" x14ac:dyDescent="0.3">
      <c r="A226" t="s">
        <v>144</v>
      </c>
      <c r="B226">
        <v>1</v>
      </c>
      <c r="C226" t="s">
        <v>176</v>
      </c>
      <c r="D226" t="s">
        <v>177</v>
      </c>
      <c r="E226" t="s">
        <v>159</v>
      </c>
      <c r="F226" t="s">
        <v>85</v>
      </c>
      <c r="G226" t="s">
        <v>134</v>
      </c>
      <c r="H226">
        <v>37</v>
      </c>
      <c r="I226">
        <v>16</v>
      </c>
      <c r="J226">
        <v>231.25</v>
      </c>
      <c r="K226" t="s">
        <v>246</v>
      </c>
      <c r="L226">
        <v>85.56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s="8">
        <v>85.56</v>
      </c>
      <c r="V226" s="8">
        <f t="shared" si="6"/>
        <v>9</v>
      </c>
      <c r="W226" t="str">
        <f>_xlfn.XLOOKUP(A226, Matches!A:A, Matches!L:L, "NA", 0)</f>
        <v>DCW</v>
      </c>
      <c r="X226" t="str">
        <f>_xlfn.XLOOKUP(A226, Matches!A:A, Matches!J:J, "NA", 0)</f>
        <v>DCW</v>
      </c>
      <c r="Y226" t="str">
        <f>_xlfn.XLOOKUP(A226, Matches!A:A, Matches!F:F, "NA", 0)</f>
        <v>Dr DY Patil Sports </v>
      </c>
      <c r="Z226" cm="1">
        <f t="array" ref="Z226">INDEX(Innings!F:F,MATCH(1,(TRIM(Innings!A:A)=TRIM(A226))*(TRIM(Innings!D:D)=TRIM(E226)),0))</f>
        <v>150</v>
      </c>
      <c r="AA226" cm="1">
        <f t="array" ref="AA226">INDEX(Innings!I:I,MATCH(1,(TRIM(Innings!A:A)=TRIM(A226))*(TRIM(Innings!D:D)=TRIM(E226)),0))</f>
        <v>7.5</v>
      </c>
      <c r="AB226" cm="1">
        <f t="array" ref="AB226">INDEX(Innings!J:J,MATCH(1,(TRIM(Innings!A:A)=TRIM(A226))*(TRIM(Innings!D:D)=TRIM(E226)),0))</f>
        <v>29</v>
      </c>
      <c r="AC226" cm="1">
        <f t="array" ref="AC226">INDEX(Innings!N:N,MATCH(1,(TRIM(Innings!A:A)=TRIM(A226))*(TRIM(Innings!D:D)=TRIM(E226)),0))</f>
        <v>53</v>
      </c>
      <c r="AD226" cm="1">
        <f t="array" ref="AD226">INDEX(Innings!S:S,MATCH(1,(TRIM(Innings!A:A)=TRIM(A226))*(TRIM(Innings!D:D)=TRIM(E226)),0))</f>
        <v>49</v>
      </c>
      <c r="AE226" t="str" cm="1">
        <f t="array" ref="AE226">INDEX(Innings!W:W,MATCH(1,(TRIM(Innings!A:A)=TRIM(A226))*(TRIM(Innings!D:D)=TRIM(E226)),0))</f>
        <v>NA</v>
      </c>
      <c r="AF226">
        <f>IF(UPPER(TRIM(E226))=UPPER(TRIM(W226)),1,0)</f>
        <v>0</v>
      </c>
      <c r="AG226">
        <f t="shared" si="7"/>
        <v>45.480000000000004</v>
      </c>
    </row>
    <row r="227" spans="1:33" x14ac:dyDescent="0.3">
      <c r="A227" t="s">
        <v>144</v>
      </c>
      <c r="B227">
        <v>1</v>
      </c>
      <c r="C227" t="s">
        <v>259</v>
      </c>
      <c r="D227" t="s">
        <v>257</v>
      </c>
      <c r="E227" t="s">
        <v>159</v>
      </c>
      <c r="F227" t="s">
        <v>101</v>
      </c>
      <c r="G227" t="s">
        <v>134</v>
      </c>
      <c r="H227">
        <v>4</v>
      </c>
      <c r="I227">
        <v>6</v>
      </c>
      <c r="J227">
        <v>66.67</v>
      </c>
      <c r="K227" t="s">
        <v>96</v>
      </c>
      <c r="L227">
        <v>2.67</v>
      </c>
      <c r="M227">
        <v>4</v>
      </c>
      <c r="N227">
        <v>0</v>
      </c>
      <c r="O227">
        <v>28</v>
      </c>
      <c r="P227">
        <v>0</v>
      </c>
      <c r="Q227">
        <v>7</v>
      </c>
      <c r="R227">
        <v>0</v>
      </c>
      <c r="S227">
        <v>0</v>
      </c>
      <c r="T227">
        <v>0</v>
      </c>
      <c r="U227" s="8">
        <v>2.67</v>
      </c>
      <c r="V227" s="8">
        <f t="shared" si="6"/>
        <v>0</v>
      </c>
      <c r="W227" t="str">
        <f>_xlfn.XLOOKUP(A227, Matches!A:A, Matches!L:L, "NA", 0)</f>
        <v>DCW</v>
      </c>
      <c r="X227" t="str">
        <f>_xlfn.XLOOKUP(A227, Matches!A:A, Matches!J:J, "NA", 0)</f>
        <v>DCW</v>
      </c>
      <c r="Y227" t="str">
        <f>_xlfn.XLOOKUP(A227, Matches!A:A, Matches!F:F, "NA", 0)</f>
        <v>Dr DY Patil Sports </v>
      </c>
      <c r="Z227" cm="1">
        <f t="array" ref="Z227">INDEX(Innings!F:F,MATCH(1,(TRIM(Innings!A:A)=TRIM(A227))*(TRIM(Innings!D:D)=TRIM(E227)),0))</f>
        <v>150</v>
      </c>
      <c r="AA227" cm="1">
        <f t="array" ref="AA227">INDEX(Innings!I:I,MATCH(1,(TRIM(Innings!A:A)=TRIM(A227))*(TRIM(Innings!D:D)=TRIM(E227)),0))</f>
        <v>7.5</v>
      </c>
      <c r="AB227" cm="1">
        <f t="array" ref="AB227">INDEX(Innings!J:J,MATCH(1,(TRIM(Innings!A:A)=TRIM(A227))*(TRIM(Innings!D:D)=TRIM(E227)),0))</f>
        <v>29</v>
      </c>
      <c r="AC227" cm="1">
        <f t="array" ref="AC227">INDEX(Innings!N:N,MATCH(1,(TRIM(Innings!A:A)=TRIM(A227))*(TRIM(Innings!D:D)=TRIM(E227)),0))</f>
        <v>53</v>
      </c>
      <c r="AD227" cm="1">
        <f t="array" ref="AD227">INDEX(Innings!S:S,MATCH(1,(TRIM(Innings!A:A)=TRIM(A227))*(TRIM(Innings!D:D)=TRIM(E227)),0))</f>
        <v>49</v>
      </c>
      <c r="AE227" t="str" cm="1">
        <f t="array" ref="AE227">INDEX(Innings!W:W,MATCH(1,(TRIM(Innings!A:A)=TRIM(A227))*(TRIM(Innings!D:D)=TRIM(E227)),0))</f>
        <v>NA</v>
      </c>
      <c r="AF227">
        <f>IF(UPPER(TRIM(E227))=UPPER(TRIM(W227)),1,0)</f>
        <v>0</v>
      </c>
      <c r="AG227">
        <f t="shared" si="7"/>
        <v>1.335</v>
      </c>
    </row>
    <row r="228" spans="1:33" x14ac:dyDescent="0.3">
      <c r="A228" t="s">
        <v>144</v>
      </c>
      <c r="B228">
        <v>1</v>
      </c>
      <c r="C228" t="s">
        <v>172</v>
      </c>
      <c r="D228" t="s">
        <v>173</v>
      </c>
      <c r="E228" t="s">
        <v>159</v>
      </c>
      <c r="F228" t="s">
        <v>109</v>
      </c>
      <c r="G228" t="s">
        <v>135</v>
      </c>
      <c r="H228">
        <v>0</v>
      </c>
      <c r="I228">
        <v>0</v>
      </c>
      <c r="J228">
        <v>0</v>
      </c>
      <c r="K228" t="s">
        <v>104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s="8">
        <v>0</v>
      </c>
      <c r="V228" s="8">
        <f t="shared" si="6"/>
        <v>0</v>
      </c>
      <c r="W228" t="str">
        <f>_xlfn.XLOOKUP(A228, Matches!A:A, Matches!L:L, "NA", 0)</f>
        <v>DCW</v>
      </c>
      <c r="X228" t="str">
        <f>_xlfn.XLOOKUP(A228, Matches!A:A, Matches!J:J, "NA", 0)</f>
        <v>DCW</v>
      </c>
      <c r="Y228" t="str">
        <f>_xlfn.XLOOKUP(A228, Matches!A:A, Matches!F:F, "NA", 0)</f>
        <v>Dr DY Patil Sports </v>
      </c>
      <c r="Z228" cm="1">
        <f t="array" ref="Z228">INDEX(Innings!F:F,MATCH(1,(TRIM(Innings!A:A)=TRIM(A228))*(TRIM(Innings!D:D)=TRIM(E228)),0))</f>
        <v>150</v>
      </c>
      <c r="AA228" cm="1">
        <f t="array" ref="AA228">INDEX(Innings!I:I,MATCH(1,(TRIM(Innings!A:A)=TRIM(A228))*(TRIM(Innings!D:D)=TRIM(E228)),0))</f>
        <v>7.5</v>
      </c>
      <c r="AB228" cm="1">
        <f t="array" ref="AB228">INDEX(Innings!J:J,MATCH(1,(TRIM(Innings!A:A)=TRIM(A228))*(TRIM(Innings!D:D)=TRIM(E228)),0))</f>
        <v>29</v>
      </c>
      <c r="AC228" cm="1">
        <f t="array" ref="AC228">INDEX(Innings!N:N,MATCH(1,(TRIM(Innings!A:A)=TRIM(A228))*(TRIM(Innings!D:D)=TRIM(E228)),0))</f>
        <v>53</v>
      </c>
      <c r="AD228" cm="1">
        <f t="array" ref="AD228">INDEX(Innings!S:S,MATCH(1,(TRIM(Innings!A:A)=TRIM(A228))*(TRIM(Innings!D:D)=TRIM(E228)),0))</f>
        <v>49</v>
      </c>
      <c r="AE228" t="str" cm="1">
        <f t="array" ref="AE228">INDEX(Innings!W:W,MATCH(1,(TRIM(Innings!A:A)=TRIM(A228))*(TRIM(Innings!D:D)=TRIM(E228)),0))</f>
        <v>NA</v>
      </c>
      <c r="AF228">
        <f>IF(UPPER(TRIM(E228))=UPPER(TRIM(W228)),1,0)</f>
        <v>0</v>
      </c>
      <c r="AG228">
        <f t="shared" si="7"/>
        <v>0</v>
      </c>
    </row>
    <row r="229" spans="1:33" x14ac:dyDescent="0.3">
      <c r="A229" t="s">
        <v>144</v>
      </c>
      <c r="B229">
        <v>1</v>
      </c>
      <c r="C229" t="s">
        <v>184</v>
      </c>
      <c r="D229" t="s">
        <v>185</v>
      </c>
      <c r="E229" t="s">
        <v>159</v>
      </c>
      <c r="F229" t="s">
        <v>101</v>
      </c>
      <c r="G229" t="s">
        <v>135</v>
      </c>
      <c r="H229">
        <v>0</v>
      </c>
      <c r="I229">
        <v>0</v>
      </c>
      <c r="J229">
        <v>0</v>
      </c>
      <c r="K229" t="s">
        <v>104</v>
      </c>
      <c r="L229">
        <v>0</v>
      </c>
      <c r="M229">
        <v>4</v>
      </c>
      <c r="N229">
        <v>0</v>
      </c>
      <c r="O229">
        <v>24</v>
      </c>
      <c r="P229">
        <v>1</v>
      </c>
      <c r="Q229">
        <v>6</v>
      </c>
      <c r="R229">
        <v>20</v>
      </c>
      <c r="S229">
        <v>0</v>
      </c>
      <c r="T229">
        <v>0</v>
      </c>
      <c r="U229" s="8">
        <v>20</v>
      </c>
      <c r="V229" s="8">
        <f t="shared" si="6"/>
        <v>2</v>
      </c>
      <c r="W229" t="str">
        <f>_xlfn.XLOOKUP(A229, Matches!A:A, Matches!L:L, "NA", 0)</f>
        <v>DCW</v>
      </c>
      <c r="X229" t="str">
        <f>_xlfn.XLOOKUP(A229, Matches!A:A, Matches!J:J, "NA", 0)</f>
        <v>DCW</v>
      </c>
      <c r="Y229" t="str">
        <f>_xlfn.XLOOKUP(A229, Matches!A:A, Matches!F:F, "NA", 0)</f>
        <v>Dr DY Patil Sports </v>
      </c>
      <c r="Z229" cm="1">
        <f t="array" ref="Z229">INDEX(Innings!F:F,MATCH(1,(TRIM(Innings!A:A)=TRIM(A229))*(TRIM(Innings!D:D)=TRIM(E229)),0))</f>
        <v>150</v>
      </c>
      <c r="AA229" cm="1">
        <f t="array" ref="AA229">INDEX(Innings!I:I,MATCH(1,(TRIM(Innings!A:A)=TRIM(A229))*(TRIM(Innings!D:D)=TRIM(E229)),0))</f>
        <v>7.5</v>
      </c>
      <c r="AB229" cm="1">
        <f t="array" ref="AB229">INDEX(Innings!J:J,MATCH(1,(TRIM(Innings!A:A)=TRIM(A229))*(TRIM(Innings!D:D)=TRIM(E229)),0))</f>
        <v>29</v>
      </c>
      <c r="AC229" cm="1">
        <f t="array" ref="AC229">INDEX(Innings!N:N,MATCH(1,(TRIM(Innings!A:A)=TRIM(A229))*(TRIM(Innings!D:D)=TRIM(E229)),0))</f>
        <v>53</v>
      </c>
      <c r="AD229" cm="1">
        <f t="array" ref="AD229">INDEX(Innings!S:S,MATCH(1,(TRIM(Innings!A:A)=TRIM(A229))*(TRIM(Innings!D:D)=TRIM(E229)),0))</f>
        <v>49</v>
      </c>
      <c r="AE229" t="str" cm="1">
        <f t="array" ref="AE229">INDEX(Innings!W:W,MATCH(1,(TRIM(Innings!A:A)=TRIM(A229))*(TRIM(Innings!D:D)=TRIM(E229)),0))</f>
        <v>NA</v>
      </c>
      <c r="AF229">
        <f>IF(UPPER(TRIM(E229))=UPPER(TRIM(W229)),1,0)</f>
        <v>0</v>
      </c>
      <c r="AG229">
        <f t="shared" si="7"/>
        <v>10.6</v>
      </c>
    </row>
    <row r="230" spans="1:33" x14ac:dyDescent="0.3">
      <c r="A230" t="s">
        <v>144</v>
      </c>
      <c r="B230">
        <v>1</v>
      </c>
      <c r="C230" t="s">
        <v>180</v>
      </c>
      <c r="D230" t="s">
        <v>181</v>
      </c>
      <c r="E230" t="s">
        <v>159</v>
      </c>
      <c r="F230" t="s">
        <v>91</v>
      </c>
      <c r="G230" t="s">
        <v>135</v>
      </c>
      <c r="H230">
        <v>0</v>
      </c>
      <c r="I230">
        <v>0</v>
      </c>
      <c r="J230">
        <v>0</v>
      </c>
      <c r="K230" t="s">
        <v>104</v>
      </c>
      <c r="L230">
        <v>0</v>
      </c>
      <c r="M230">
        <v>4</v>
      </c>
      <c r="N230">
        <v>0</v>
      </c>
      <c r="O230">
        <v>27</v>
      </c>
      <c r="P230">
        <v>2</v>
      </c>
      <c r="Q230">
        <v>6.8</v>
      </c>
      <c r="R230">
        <v>40</v>
      </c>
      <c r="S230">
        <v>0</v>
      </c>
      <c r="T230">
        <v>0</v>
      </c>
      <c r="U230" s="8">
        <v>40</v>
      </c>
      <c r="V230" s="8">
        <f t="shared" si="6"/>
        <v>4</v>
      </c>
      <c r="W230" t="str">
        <f>_xlfn.XLOOKUP(A230, Matches!A:A, Matches!L:L, "NA", 0)</f>
        <v>DCW</v>
      </c>
      <c r="X230" t="str">
        <f>_xlfn.XLOOKUP(A230, Matches!A:A, Matches!J:J, "NA", 0)</f>
        <v>DCW</v>
      </c>
      <c r="Y230" t="str">
        <f>_xlfn.XLOOKUP(A230, Matches!A:A, Matches!F:F, "NA", 0)</f>
        <v>Dr DY Patil Sports </v>
      </c>
      <c r="Z230" cm="1">
        <f t="array" ref="Z230">INDEX(Innings!F:F,MATCH(1,(TRIM(Innings!A:A)=TRIM(A230))*(TRIM(Innings!D:D)=TRIM(E230)),0))</f>
        <v>150</v>
      </c>
      <c r="AA230" cm="1">
        <f t="array" ref="AA230">INDEX(Innings!I:I,MATCH(1,(TRIM(Innings!A:A)=TRIM(A230))*(TRIM(Innings!D:D)=TRIM(E230)),0))</f>
        <v>7.5</v>
      </c>
      <c r="AB230" cm="1">
        <f t="array" ref="AB230">INDEX(Innings!J:J,MATCH(1,(TRIM(Innings!A:A)=TRIM(A230))*(TRIM(Innings!D:D)=TRIM(E230)),0))</f>
        <v>29</v>
      </c>
      <c r="AC230" cm="1">
        <f t="array" ref="AC230">INDEX(Innings!N:N,MATCH(1,(TRIM(Innings!A:A)=TRIM(A230))*(TRIM(Innings!D:D)=TRIM(E230)),0))</f>
        <v>53</v>
      </c>
      <c r="AD230" cm="1">
        <f t="array" ref="AD230">INDEX(Innings!S:S,MATCH(1,(TRIM(Innings!A:A)=TRIM(A230))*(TRIM(Innings!D:D)=TRIM(E230)),0))</f>
        <v>49</v>
      </c>
      <c r="AE230" t="str" cm="1">
        <f t="array" ref="AE230">INDEX(Innings!W:W,MATCH(1,(TRIM(Innings!A:A)=TRIM(A230))*(TRIM(Innings!D:D)=TRIM(E230)),0))</f>
        <v>NA</v>
      </c>
      <c r="AF230">
        <f>IF(UPPER(TRIM(E230))=UPPER(TRIM(W230)),1,0)</f>
        <v>0</v>
      </c>
      <c r="AG230">
        <f t="shared" si="7"/>
        <v>21.2</v>
      </c>
    </row>
    <row r="231" spans="1:33" x14ac:dyDescent="0.3">
      <c r="A231" t="s">
        <v>144</v>
      </c>
      <c r="B231">
        <v>1</v>
      </c>
      <c r="C231" t="s">
        <v>186</v>
      </c>
      <c r="D231" t="s">
        <v>187</v>
      </c>
      <c r="E231" t="s">
        <v>159</v>
      </c>
      <c r="F231" t="s">
        <v>101</v>
      </c>
      <c r="G231" t="s">
        <v>135</v>
      </c>
      <c r="H231">
        <v>0</v>
      </c>
      <c r="I231">
        <v>0</v>
      </c>
      <c r="J231">
        <v>0</v>
      </c>
      <c r="K231" t="s">
        <v>104</v>
      </c>
      <c r="L231">
        <v>0</v>
      </c>
      <c r="M231">
        <v>2.4</v>
      </c>
      <c r="N231">
        <v>0</v>
      </c>
      <c r="O231">
        <v>31</v>
      </c>
      <c r="P231">
        <v>0</v>
      </c>
      <c r="Q231">
        <v>11.6</v>
      </c>
      <c r="R231">
        <v>0</v>
      </c>
      <c r="S231">
        <v>0</v>
      </c>
      <c r="T231">
        <v>0</v>
      </c>
      <c r="U231" s="8">
        <v>0</v>
      </c>
      <c r="V231" s="8">
        <f t="shared" si="6"/>
        <v>0</v>
      </c>
      <c r="W231" t="str">
        <f>_xlfn.XLOOKUP(A231, Matches!A:A, Matches!L:L, "NA", 0)</f>
        <v>DCW</v>
      </c>
      <c r="X231" t="str">
        <f>_xlfn.XLOOKUP(A231, Matches!A:A, Matches!J:J, "NA", 0)</f>
        <v>DCW</v>
      </c>
      <c r="Y231" t="str">
        <f>_xlfn.XLOOKUP(A231, Matches!A:A, Matches!F:F, "NA", 0)</f>
        <v>Dr DY Patil Sports </v>
      </c>
      <c r="Z231" cm="1">
        <f t="array" ref="Z231">INDEX(Innings!F:F,MATCH(1,(TRIM(Innings!A:A)=TRIM(A231))*(TRIM(Innings!D:D)=TRIM(E231)),0))</f>
        <v>150</v>
      </c>
      <c r="AA231" cm="1">
        <f t="array" ref="AA231">INDEX(Innings!I:I,MATCH(1,(TRIM(Innings!A:A)=TRIM(A231))*(TRIM(Innings!D:D)=TRIM(E231)),0))</f>
        <v>7.5</v>
      </c>
      <c r="AB231" cm="1">
        <f t="array" ref="AB231">INDEX(Innings!J:J,MATCH(1,(TRIM(Innings!A:A)=TRIM(A231))*(TRIM(Innings!D:D)=TRIM(E231)),0))</f>
        <v>29</v>
      </c>
      <c r="AC231" cm="1">
        <f t="array" ref="AC231">INDEX(Innings!N:N,MATCH(1,(TRIM(Innings!A:A)=TRIM(A231))*(TRIM(Innings!D:D)=TRIM(E231)),0))</f>
        <v>53</v>
      </c>
      <c r="AD231" cm="1">
        <f t="array" ref="AD231">INDEX(Innings!S:S,MATCH(1,(TRIM(Innings!A:A)=TRIM(A231))*(TRIM(Innings!D:D)=TRIM(E231)),0))</f>
        <v>49</v>
      </c>
      <c r="AE231" t="str" cm="1">
        <f t="array" ref="AE231">INDEX(Innings!W:W,MATCH(1,(TRIM(Innings!A:A)=TRIM(A231))*(TRIM(Innings!D:D)=TRIM(E231)),0))</f>
        <v>NA</v>
      </c>
      <c r="AF231">
        <f>IF(UPPER(TRIM(E231))=UPPER(TRIM(W231)),1,0)</f>
        <v>0</v>
      </c>
      <c r="AG231">
        <f t="shared" si="7"/>
        <v>0</v>
      </c>
    </row>
    <row r="232" spans="1:33" x14ac:dyDescent="0.3">
      <c r="A232" t="s">
        <v>144</v>
      </c>
      <c r="B232">
        <v>1</v>
      </c>
      <c r="C232" t="s">
        <v>182</v>
      </c>
      <c r="D232" t="s">
        <v>183</v>
      </c>
      <c r="E232" t="s">
        <v>159</v>
      </c>
      <c r="F232" t="s">
        <v>101</v>
      </c>
      <c r="G232" t="s">
        <v>135</v>
      </c>
      <c r="H232">
        <v>0</v>
      </c>
      <c r="I232">
        <v>0</v>
      </c>
      <c r="J232">
        <v>0</v>
      </c>
      <c r="K232" t="s">
        <v>104</v>
      </c>
      <c r="L232">
        <v>0</v>
      </c>
      <c r="M232">
        <v>1</v>
      </c>
      <c r="N232">
        <v>0</v>
      </c>
      <c r="O232">
        <v>12</v>
      </c>
      <c r="P232">
        <v>1</v>
      </c>
      <c r="Q232">
        <v>12</v>
      </c>
      <c r="R232">
        <v>20</v>
      </c>
      <c r="S232">
        <v>0</v>
      </c>
      <c r="T232">
        <v>0</v>
      </c>
      <c r="U232" s="8">
        <v>20</v>
      </c>
      <c r="V232" s="8">
        <f t="shared" si="6"/>
        <v>2</v>
      </c>
      <c r="W232" t="str">
        <f>_xlfn.XLOOKUP(A232, Matches!A:A, Matches!L:L, "NA", 0)</f>
        <v>DCW</v>
      </c>
      <c r="X232" t="str">
        <f>_xlfn.XLOOKUP(A232, Matches!A:A, Matches!J:J, "NA", 0)</f>
        <v>DCW</v>
      </c>
      <c r="Y232" t="str">
        <f>_xlfn.XLOOKUP(A232, Matches!A:A, Matches!F:F, "NA", 0)</f>
        <v>Dr DY Patil Sports </v>
      </c>
      <c r="Z232" cm="1">
        <f t="array" ref="Z232">INDEX(Innings!F:F,MATCH(1,(TRIM(Innings!A:A)=TRIM(A232))*(TRIM(Innings!D:D)=TRIM(E232)),0))</f>
        <v>150</v>
      </c>
      <c r="AA232" cm="1">
        <f t="array" ref="AA232">INDEX(Innings!I:I,MATCH(1,(TRIM(Innings!A:A)=TRIM(A232))*(TRIM(Innings!D:D)=TRIM(E232)),0))</f>
        <v>7.5</v>
      </c>
      <c r="AB232" cm="1">
        <f t="array" ref="AB232">INDEX(Innings!J:J,MATCH(1,(TRIM(Innings!A:A)=TRIM(A232))*(TRIM(Innings!D:D)=TRIM(E232)),0))</f>
        <v>29</v>
      </c>
      <c r="AC232" cm="1">
        <f t="array" ref="AC232">INDEX(Innings!N:N,MATCH(1,(TRIM(Innings!A:A)=TRIM(A232))*(TRIM(Innings!D:D)=TRIM(E232)),0))</f>
        <v>53</v>
      </c>
      <c r="AD232" cm="1">
        <f t="array" ref="AD232">INDEX(Innings!S:S,MATCH(1,(TRIM(Innings!A:A)=TRIM(A232))*(TRIM(Innings!D:D)=TRIM(E232)),0))</f>
        <v>49</v>
      </c>
      <c r="AE232" t="str" cm="1">
        <f t="array" ref="AE232">INDEX(Innings!W:W,MATCH(1,(TRIM(Innings!A:A)=TRIM(A232))*(TRIM(Innings!D:D)=TRIM(E232)),0))</f>
        <v>NA</v>
      </c>
      <c r="AF232">
        <f>IF(UPPER(TRIM(E232))=UPPER(TRIM(W232)),1,0)</f>
        <v>0</v>
      </c>
      <c r="AG232">
        <f t="shared" si="7"/>
        <v>10.6</v>
      </c>
    </row>
    <row r="233" spans="1:33" x14ac:dyDescent="0.3">
      <c r="A233" t="s">
        <v>144</v>
      </c>
      <c r="B233">
        <v>1</v>
      </c>
      <c r="C233" t="s">
        <v>190</v>
      </c>
      <c r="D233" t="s">
        <v>191</v>
      </c>
      <c r="E233" t="s">
        <v>158</v>
      </c>
      <c r="F233" t="s">
        <v>109</v>
      </c>
      <c r="G233" t="s">
        <v>86</v>
      </c>
      <c r="H233">
        <v>15</v>
      </c>
      <c r="I233">
        <v>18</v>
      </c>
      <c r="J233">
        <v>83.33</v>
      </c>
      <c r="K233" t="s">
        <v>246</v>
      </c>
      <c r="L233">
        <v>12.5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s="8">
        <v>12.5</v>
      </c>
      <c r="V233" s="8">
        <f t="shared" si="6"/>
        <v>1</v>
      </c>
      <c r="W233" t="str">
        <f>_xlfn.XLOOKUP(A233, Matches!A:A, Matches!L:L, "NA", 0)</f>
        <v>DCW</v>
      </c>
      <c r="X233" t="str">
        <f>_xlfn.XLOOKUP(A233, Matches!A:A, Matches!J:J, "NA", 0)</f>
        <v>DCW</v>
      </c>
      <c r="Y233" t="str">
        <f>_xlfn.XLOOKUP(A233, Matches!A:A, Matches!F:F, "NA", 0)</f>
        <v>Dr DY Patil Sports </v>
      </c>
      <c r="Z233" cm="1">
        <f t="array" ref="Z233">INDEX(Innings!F:F,MATCH(1,(TRIM(Innings!A:A)=TRIM(A233))*(TRIM(Innings!D:D)=TRIM(E233)),0))</f>
        <v>154</v>
      </c>
      <c r="AA233" cm="1">
        <f t="array" ref="AA233">INDEX(Innings!I:I,MATCH(1,(TRIM(Innings!A:A)=TRIM(A233))*(TRIM(Innings!D:D)=TRIM(E233)),0))</f>
        <v>7.83</v>
      </c>
      <c r="AB233" cm="1">
        <f t="array" ref="AB233">INDEX(Innings!J:J,MATCH(1,(TRIM(Innings!A:A)=TRIM(A233))*(TRIM(Innings!D:D)=TRIM(E233)),0))</f>
        <v>52</v>
      </c>
      <c r="AC233" cm="1">
        <f t="array" ref="AC233">INDEX(Innings!N:N,MATCH(1,(TRIM(Innings!A:A)=TRIM(A233))*(TRIM(Innings!D:D)=TRIM(E233)),0))</f>
        <v>32</v>
      </c>
      <c r="AD233" cm="1">
        <f t="array" ref="AD233">INDEX(Innings!S:S,MATCH(1,(TRIM(Innings!A:A)=TRIM(A233))*(TRIM(Innings!D:D)=TRIM(E233)),0))</f>
        <v>41</v>
      </c>
      <c r="AE233" t="str" cm="1">
        <f t="array" ref="AE233">INDEX(Innings!W:W,MATCH(1,(TRIM(Innings!A:A)=TRIM(A233))*(TRIM(Innings!D:D)=TRIM(E233)),0))</f>
        <v>Successful</v>
      </c>
      <c r="AF233">
        <f>IF(UPPER(TRIM(E233))=UPPER(TRIM(W233)),1,0)</f>
        <v>1</v>
      </c>
      <c r="AG233">
        <f t="shared" si="7"/>
        <v>26.55</v>
      </c>
    </row>
    <row r="234" spans="1:33" x14ac:dyDescent="0.3">
      <c r="A234" t="s">
        <v>144</v>
      </c>
      <c r="B234">
        <v>1</v>
      </c>
      <c r="C234" t="s">
        <v>188</v>
      </c>
      <c r="D234" t="s">
        <v>189</v>
      </c>
      <c r="E234" t="s">
        <v>158</v>
      </c>
      <c r="F234" t="s">
        <v>83</v>
      </c>
      <c r="G234" t="s">
        <v>86</v>
      </c>
      <c r="H234">
        <v>0</v>
      </c>
      <c r="I234">
        <v>1</v>
      </c>
      <c r="J234">
        <v>0</v>
      </c>
      <c r="K234" t="s">
        <v>245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s="8">
        <v>0</v>
      </c>
      <c r="V234" s="8">
        <f t="shared" si="6"/>
        <v>0</v>
      </c>
      <c r="W234" t="str">
        <f>_xlfn.XLOOKUP(A234, Matches!A:A, Matches!L:L, "NA", 0)</f>
        <v>DCW</v>
      </c>
      <c r="X234" t="str">
        <f>_xlfn.XLOOKUP(A234, Matches!A:A, Matches!J:J, "NA", 0)</f>
        <v>DCW</v>
      </c>
      <c r="Y234" t="str">
        <f>_xlfn.XLOOKUP(A234, Matches!A:A, Matches!F:F, "NA", 0)</f>
        <v>Dr DY Patil Sports </v>
      </c>
      <c r="Z234" cm="1">
        <f t="array" ref="Z234">INDEX(Innings!F:F,MATCH(1,(TRIM(Innings!A:A)=TRIM(A234))*(TRIM(Innings!D:D)=TRIM(E234)),0))</f>
        <v>154</v>
      </c>
      <c r="AA234" cm="1">
        <f t="array" ref="AA234">INDEX(Innings!I:I,MATCH(1,(TRIM(Innings!A:A)=TRIM(A234))*(TRIM(Innings!D:D)=TRIM(E234)),0))</f>
        <v>7.83</v>
      </c>
      <c r="AB234" cm="1">
        <f t="array" ref="AB234">INDEX(Innings!J:J,MATCH(1,(TRIM(Innings!A:A)=TRIM(A234))*(TRIM(Innings!D:D)=TRIM(E234)),0))</f>
        <v>52</v>
      </c>
      <c r="AC234" cm="1">
        <f t="array" ref="AC234">INDEX(Innings!N:N,MATCH(1,(TRIM(Innings!A:A)=TRIM(A234))*(TRIM(Innings!D:D)=TRIM(E234)),0))</f>
        <v>32</v>
      </c>
      <c r="AD234" cm="1">
        <f t="array" ref="AD234">INDEX(Innings!S:S,MATCH(1,(TRIM(Innings!A:A)=TRIM(A234))*(TRIM(Innings!D:D)=TRIM(E234)),0))</f>
        <v>41</v>
      </c>
      <c r="AE234" t="str" cm="1">
        <f t="array" ref="AE234">INDEX(Innings!W:W,MATCH(1,(TRIM(Innings!A:A)=TRIM(A234))*(TRIM(Innings!D:D)=TRIM(E234)),0))</f>
        <v>Successful</v>
      </c>
      <c r="AF234">
        <f>IF(UPPER(TRIM(E234))=UPPER(TRIM(W234)),1,0)</f>
        <v>1</v>
      </c>
      <c r="AG234">
        <f t="shared" si="7"/>
        <v>20</v>
      </c>
    </row>
    <row r="235" spans="1:33" x14ac:dyDescent="0.3">
      <c r="A235" t="s">
        <v>144</v>
      </c>
      <c r="B235">
        <v>1</v>
      </c>
      <c r="C235" t="s">
        <v>196</v>
      </c>
      <c r="D235" t="s">
        <v>197</v>
      </c>
      <c r="E235" t="s">
        <v>158</v>
      </c>
      <c r="F235" t="s">
        <v>83</v>
      </c>
      <c r="G235" t="s">
        <v>92</v>
      </c>
      <c r="H235">
        <v>38</v>
      </c>
      <c r="I235">
        <v>24</v>
      </c>
      <c r="J235">
        <v>158.33000000000001</v>
      </c>
      <c r="K235" t="s">
        <v>246</v>
      </c>
      <c r="L235">
        <v>60.17</v>
      </c>
      <c r="M235">
        <v>3</v>
      </c>
      <c r="N235">
        <v>0</v>
      </c>
      <c r="O235">
        <v>31</v>
      </c>
      <c r="P235">
        <v>0</v>
      </c>
      <c r="Q235">
        <v>10.3</v>
      </c>
      <c r="R235">
        <v>0</v>
      </c>
      <c r="S235">
        <v>0</v>
      </c>
      <c r="T235">
        <v>0</v>
      </c>
      <c r="U235" s="8">
        <v>60.17</v>
      </c>
      <c r="V235" s="8">
        <f t="shared" si="6"/>
        <v>6</v>
      </c>
      <c r="W235" t="str">
        <f>_xlfn.XLOOKUP(A235, Matches!A:A, Matches!L:L, "NA", 0)</f>
        <v>DCW</v>
      </c>
      <c r="X235" t="str">
        <f>_xlfn.XLOOKUP(A235, Matches!A:A, Matches!J:J, "NA", 0)</f>
        <v>DCW</v>
      </c>
      <c r="Y235" t="str">
        <f>_xlfn.XLOOKUP(A235, Matches!A:A, Matches!F:F, "NA", 0)</f>
        <v>Dr DY Patil Sports </v>
      </c>
      <c r="Z235" cm="1">
        <f t="array" ref="Z235">INDEX(Innings!F:F,MATCH(1,(TRIM(Innings!A:A)=TRIM(A235))*(TRIM(Innings!D:D)=TRIM(E235)),0))</f>
        <v>154</v>
      </c>
      <c r="AA235" cm="1">
        <f t="array" ref="AA235">INDEX(Innings!I:I,MATCH(1,(TRIM(Innings!A:A)=TRIM(A235))*(TRIM(Innings!D:D)=TRIM(E235)),0))</f>
        <v>7.83</v>
      </c>
      <c r="AB235" cm="1">
        <f t="array" ref="AB235">INDEX(Innings!J:J,MATCH(1,(TRIM(Innings!A:A)=TRIM(A235))*(TRIM(Innings!D:D)=TRIM(E235)),0))</f>
        <v>52</v>
      </c>
      <c r="AC235" cm="1">
        <f t="array" ref="AC235">INDEX(Innings!N:N,MATCH(1,(TRIM(Innings!A:A)=TRIM(A235))*(TRIM(Innings!D:D)=TRIM(E235)),0))</f>
        <v>32</v>
      </c>
      <c r="AD235" cm="1">
        <f t="array" ref="AD235">INDEX(Innings!S:S,MATCH(1,(TRIM(Innings!A:A)=TRIM(A235))*(TRIM(Innings!D:D)=TRIM(E235)),0))</f>
        <v>41</v>
      </c>
      <c r="AE235" t="str" cm="1">
        <f t="array" ref="AE235">INDEX(Innings!W:W,MATCH(1,(TRIM(Innings!A:A)=TRIM(A235))*(TRIM(Innings!D:D)=TRIM(E235)),0))</f>
        <v>Successful</v>
      </c>
      <c r="AF235">
        <f>IF(UPPER(TRIM(E235))=UPPER(TRIM(W235)),1,0)</f>
        <v>1</v>
      </c>
      <c r="AG235">
        <f t="shared" si="7"/>
        <v>51.885000000000005</v>
      </c>
    </row>
    <row r="236" spans="1:33" x14ac:dyDescent="0.3">
      <c r="A236" t="s">
        <v>144</v>
      </c>
      <c r="B236">
        <v>1</v>
      </c>
      <c r="C236" t="s">
        <v>194</v>
      </c>
      <c r="D236" t="s">
        <v>195</v>
      </c>
      <c r="E236" t="s">
        <v>158</v>
      </c>
      <c r="F236" t="s">
        <v>109</v>
      </c>
      <c r="G236" t="s">
        <v>92</v>
      </c>
      <c r="H236">
        <v>32</v>
      </c>
      <c r="I236">
        <v>28</v>
      </c>
      <c r="J236">
        <v>114.29</v>
      </c>
      <c r="K236" t="s">
        <v>246</v>
      </c>
      <c r="L236">
        <v>36.57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s="8">
        <v>36.57</v>
      </c>
      <c r="V236" s="8">
        <f t="shared" si="6"/>
        <v>4</v>
      </c>
      <c r="W236" t="str">
        <f>_xlfn.XLOOKUP(A236, Matches!A:A, Matches!L:L, "NA", 0)</f>
        <v>DCW</v>
      </c>
      <c r="X236" t="str">
        <f>_xlfn.XLOOKUP(A236, Matches!A:A, Matches!J:J, "NA", 0)</f>
        <v>DCW</v>
      </c>
      <c r="Y236" t="str">
        <f>_xlfn.XLOOKUP(A236, Matches!A:A, Matches!F:F, "NA", 0)</f>
        <v>Dr DY Patil Sports </v>
      </c>
      <c r="Z236" cm="1">
        <f t="array" ref="Z236">INDEX(Innings!F:F,MATCH(1,(TRIM(Innings!A:A)=TRIM(A236))*(TRIM(Innings!D:D)=TRIM(E236)),0))</f>
        <v>154</v>
      </c>
      <c r="AA236" cm="1">
        <f t="array" ref="AA236">INDEX(Innings!I:I,MATCH(1,(TRIM(Innings!A:A)=TRIM(A236))*(TRIM(Innings!D:D)=TRIM(E236)),0))</f>
        <v>7.83</v>
      </c>
      <c r="AB236" cm="1">
        <f t="array" ref="AB236">INDEX(Innings!J:J,MATCH(1,(TRIM(Innings!A:A)=TRIM(A236))*(TRIM(Innings!D:D)=TRIM(E236)),0))</f>
        <v>52</v>
      </c>
      <c r="AC236" cm="1">
        <f t="array" ref="AC236">INDEX(Innings!N:N,MATCH(1,(TRIM(Innings!A:A)=TRIM(A236))*(TRIM(Innings!D:D)=TRIM(E236)),0))</f>
        <v>32</v>
      </c>
      <c r="AD236" cm="1">
        <f t="array" ref="AD236">INDEX(Innings!S:S,MATCH(1,(TRIM(Innings!A:A)=TRIM(A236))*(TRIM(Innings!D:D)=TRIM(E236)),0))</f>
        <v>41</v>
      </c>
      <c r="AE236" t="str" cm="1">
        <f t="array" ref="AE236">INDEX(Innings!W:W,MATCH(1,(TRIM(Innings!A:A)=TRIM(A236))*(TRIM(Innings!D:D)=TRIM(E236)),0))</f>
        <v>Successful</v>
      </c>
      <c r="AF236">
        <f>IF(UPPER(TRIM(E236))=UPPER(TRIM(W236)),1,0)</f>
        <v>1</v>
      </c>
      <c r="AG236">
        <f t="shared" si="7"/>
        <v>39.484999999999999</v>
      </c>
    </row>
    <row r="237" spans="1:33" x14ac:dyDescent="0.3">
      <c r="A237" t="s">
        <v>144</v>
      </c>
      <c r="B237">
        <v>1</v>
      </c>
      <c r="C237" t="s">
        <v>192</v>
      </c>
      <c r="D237" t="s">
        <v>193</v>
      </c>
      <c r="E237" t="s">
        <v>158</v>
      </c>
      <c r="F237" t="s">
        <v>169</v>
      </c>
      <c r="G237" t="s">
        <v>134</v>
      </c>
      <c r="H237">
        <v>32</v>
      </c>
      <c r="I237">
        <v>32</v>
      </c>
      <c r="J237">
        <v>100</v>
      </c>
      <c r="K237" t="s">
        <v>96</v>
      </c>
      <c r="L237">
        <v>32</v>
      </c>
      <c r="M237">
        <v>4</v>
      </c>
      <c r="N237">
        <v>1</v>
      </c>
      <c r="O237">
        <v>18</v>
      </c>
      <c r="P237">
        <v>0</v>
      </c>
      <c r="Q237">
        <v>4.5</v>
      </c>
      <c r="R237">
        <v>0</v>
      </c>
      <c r="S237">
        <v>0</v>
      </c>
      <c r="T237">
        <v>0</v>
      </c>
      <c r="U237" s="8">
        <v>32</v>
      </c>
      <c r="V237" s="8">
        <f t="shared" si="6"/>
        <v>3</v>
      </c>
      <c r="W237" t="str">
        <f>_xlfn.XLOOKUP(A237, Matches!A:A, Matches!L:L, "NA", 0)</f>
        <v>DCW</v>
      </c>
      <c r="X237" t="str">
        <f>_xlfn.XLOOKUP(A237, Matches!A:A, Matches!J:J, "NA", 0)</f>
        <v>DCW</v>
      </c>
      <c r="Y237" t="str">
        <f>_xlfn.XLOOKUP(A237, Matches!A:A, Matches!F:F, "NA", 0)</f>
        <v>Dr DY Patil Sports </v>
      </c>
      <c r="Z237" cm="1">
        <f t="array" ref="Z237">INDEX(Innings!F:F,MATCH(1,(TRIM(Innings!A:A)=TRIM(A237))*(TRIM(Innings!D:D)=TRIM(E237)),0))</f>
        <v>154</v>
      </c>
      <c r="AA237" cm="1">
        <f t="array" ref="AA237">INDEX(Innings!I:I,MATCH(1,(TRIM(Innings!A:A)=TRIM(A237))*(TRIM(Innings!D:D)=TRIM(E237)),0))</f>
        <v>7.83</v>
      </c>
      <c r="AB237" cm="1">
        <f t="array" ref="AB237">INDEX(Innings!J:J,MATCH(1,(TRIM(Innings!A:A)=TRIM(A237))*(TRIM(Innings!D:D)=TRIM(E237)),0))</f>
        <v>52</v>
      </c>
      <c r="AC237" cm="1">
        <f t="array" ref="AC237">INDEX(Innings!N:N,MATCH(1,(TRIM(Innings!A:A)=TRIM(A237))*(TRIM(Innings!D:D)=TRIM(E237)),0))</f>
        <v>32</v>
      </c>
      <c r="AD237" cm="1">
        <f t="array" ref="AD237">INDEX(Innings!S:S,MATCH(1,(TRIM(Innings!A:A)=TRIM(A237))*(TRIM(Innings!D:D)=TRIM(E237)),0))</f>
        <v>41</v>
      </c>
      <c r="AE237" t="str" cm="1">
        <f t="array" ref="AE237">INDEX(Innings!W:W,MATCH(1,(TRIM(Innings!A:A)=TRIM(A237))*(TRIM(Innings!D:D)=TRIM(E237)),0))</f>
        <v>Successful</v>
      </c>
      <c r="AF237">
        <f>IF(UPPER(TRIM(E237))=UPPER(TRIM(W237)),1,0)</f>
        <v>1</v>
      </c>
      <c r="AG237">
        <f t="shared" si="7"/>
        <v>36.9</v>
      </c>
    </row>
    <row r="238" spans="1:33" x14ac:dyDescent="0.3">
      <c r="A238" t="s">
        <v>144</v>
      </c>
      <c r="B238">
        <v>1</v>
      </c>
      <c r="C238" t="s">
        <v>198</v>
      </c>
      <c r="D238" t="s">
        <v>199</v>
      </c>
      <c r="E238" t="s">
        <v>158</v>
      </c>
      <c r="F238" t="s">
        <v>101</v>
      </c>
      <c r="G238" t="s">
        <v>134</v>
      </c>
      <c r="H238">
        <v>29</v>
      </c>
      <c r="I238">
        <v>15</v>
      </c>
      <c r="J238">
        <v>193.33</v>
      </c>
      <c r="K238" t="s">
        <v>96</v>
      </c>
      <c r="L238">
        <v>56.07</v>
      </c>
      <c r="M238">
        <v>4</v>
      </c>
      <c r="N238">
        <v>0</v>
      </c>
      <c r="O238">
        <v>39</v>
      </c>
      <c r="P238">
        <v>0</v>
      </c>
      <c r="Q238">
        <v>9.8000000000000007</v>
      </c>
      <c r="R238">
        <v>0</v>
      </c>
      <c r="S238">
        <v>0</v>
      </c>
      <c r="T238">
        <v>0</v>
      </c>
      <c r="U238" s="8">
        <v>56.07</v>
      </c>
      <c r="V238" s="8">
        <f t="shared" si="6"/>
        <v>6</v>
      </c>
      <c r="W238" t="str">
        <f>_xlfn.XLOOKUP(A238, Matches!A:A, Matches!L:L, "NA", 0)</f>
        <v>DCW</v>
      </c>
      <c r="X238" t="str">
        <f>_xlfn.XLOOKUP(A238, Matches!A:A, Matches!J:J, "NA", 0)</f>
        <v>DCW</v>
      </c>
      <c r="Y238" t="str">
        <f>_xlfn.XLOOKUP(A238, Matches!A:A, Matches!F:F, "NA", 0)</f>
        <v>Dr DY Patil Sports </v>
      </c>
      <c r="Z238" cm="1">
        <f t="array" ref="Z238">INDEX(Innings!F:F,MATCH(1,(TRIM(Innings!A:A)=TRIM(A238))*(TRIM(Innings!D:D)=TRIM(E238)),0))</f>
        <v>154</v>
      </c>
      <c r="AA238" cm="1">
        <f t="array" ref="AA238">INDEX(Innings!I:I,MATCH(1,(TRIM(Innings!A:A)=TRIM(A238))*(TRIM(Innings!D:D)=TRIM(E238)),0))</f>
        <v>7.83</v>
      </c>
      <c r="AB238" cm="1">
        <f t="array" ref="AB238">INDEX(Innings!J:J,MATCH(1,(TRIM(Innings!A:A)=TRIM(A238))*(TRIM(Innings!D:D)=TRIM(E238)),0))</f>
        <v>52</v>
      </c>
      <c r="AC238" cm="1">
        <f t="array" ref="AC238">INDEX(Innings!N:N,MATCH(1,(TRIM(Innings!A:A)=TRIM(A238))*(TRIM(Innings!D:D)=TRIM(E238)),0))</f>
        <v>32</v>
      </c>
      <c r="AD238" cm="1">
        <f t="array" ref="AD238">INDEX(Innings!S:S,MATCH(1,(TRIM(Innings!A:A)=TRIM(A238))*(TRIM(Innings!D:D)=TRIM(E238)),0))</f>
        <v>41</v>
      </c>
      <c r="AE238" t="str" cm="1">
        <f t="array" ref="AE238">INDEX(Innings!W:W,MATCH(1,(TRIM(Innings!A:A)=TRIM(A238))*(TRIM(Innings!D:D)=TRIM(E238)),0))</f>
        <v>Successful</v>
      </c>
      <c r="AF238">
        <f>IF(UPPER(TRIM(E238))=UPPER(TRIM(W238)),1,0)</f>
        <v>1</v>
      </c>
      <c r="AG238">
        <f t="shared" si="7"/>
        <v>49.835000000000001</v>
      </c>
    </row>
    <row r="239" spans="1:33" x14ac:dyDescent="0.3">
      <c r="A239" t="s">
        <v>144</v>
      </c>
      <c r="B239">
        <v>1</v>
      </c>
      <c r="C239" t="s">
        <v>200</v>
      </c>
      <c r="D239" t="s">
        <v>201</v>
      </c>
      <c r="E239" t="s">
        <v>158</v>
      </c>
      <c r="F239" t="s">
        <v>85</v>
      </c>
      <c r="G239" t="s">
        <v>135</v>
      </c>
      <c r="H239">
        <v>0</v>
      </c>
      <c r="I239">
        <v>0</v>
      </c>
      <c r="J239">
        <v>0</v>
      </c>
      <c r="K239" t="s">
        <v>104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s="8">
        <v>0</v>
      </c>
      <c r="V239" s="8">
        <f t="shared" si="6"/>
        <v>0</v>
      </c>
      <c r="W239" t="str">
        <f>_xlfn.XLOOKUP(A239, Matches!A:A, Matches!L:L, "NA", 0)</f>
        <v>DCW</v>
      </c>
      <c r="X239" t="str">
        <f>_xlfn.XLOOKUP(A239, Matches!A:A, Matches!J:J, "NA", 0)</f>
        <v>DCW</v>
      </c>
      <c r="Y239" t="str">
        <f>_xlfn.XLOOKUP(A239, Matches!A:A, Matches!F:F, "NA", 0)</f>
        <v>Dr DY Patil Sports </v>
      </c>
      <c r="Z239" cm="1">
        <f t="array" ref="Z239">INDEX(Innings!F:F,MATCH(1,(TRIM(Innings!A:A)=TRIM(A239))*(TRIM(Innings!D:D)=TRIM(E239)),0))</f>
        <v>154</v>
      </c>
      <c r="AA239" cm="1">
        <f t="array" ref="AA239">INDEX(Innings!I:I,MATCH(1,(TRIM(Innings!A:A)=TRIM(A239))*(TRIM(Innings!D:D)=TRIM(E239)),0))</f>
        <v>7.83</v>
      </c>
      <c r="AB239" cm="1">
        <f t="array" ref="AB239">INDEX(Innings!J:J,MATCH(1,(TRIM(Innings!A:A)=TRIM(A239))*(TRIM(Innings!D:D)=TRIM(E239)),0))</f>
        <v>52</v>
      </c>
      <c r="AC239" cm="1">
        <f t="array" ref="AC239">INDEX(Innings!N:N,MATCH(1,(TRIM(Innings!A:A)=TRIM(A239))*(TRIM(Innings!D:D)=TRIM(E239)),0))</f>
        <v>32</v>
      </c>
      <c r="AD239" cm="1">
        <f t="array" ref="AD239">INDEX(Innings!S:S,MATCH(1,(TRIM(Innings!A:A)=TRIM(A239))*(TRIM(Innings!D:D)=TRIM(E239)),0))</f>
        <v>41</v>
      </c>
      <c r="AE239" t="str" cm="1">
        <f t="array" ref="AE239">INDEX(Innings!W:W,MATCH(1,(TRIM(Innings!A:A)=TRIM(A239))*(TRIM(Innings!D:D)=TRIM(E239)),0))</f>
        <v>Successful</v>
      </c>
      <c r="AF239">
        <f>IF(UPPER(TRIM(E239))=UPPER(TRIM(W239)),1,0)</f>
        <v>1</v>
      </c>
      <c r="AG239">
        <f t="shared" si="7"/>
        <v>20</v>
      </c>
    </row>
    <row r="240" spans="1:33" x14ac:dyDescent="0.3">
      <c r="A240" t="s">
        <v>144</v>
      </c>
      <c r="B240">
        <v>1</v>
      </c>
      <c r="C240" t="s">
        <v>202</v>
      </c>
      <c r="D240" t="s">
        <v>203</v>
      </c>
      <c r="E240" t="s">
        <v>158</v>
      </c>
      <c r="F240" t="s">
        <v>101</v>
      </c>
      <c r="G240" t="s">
        <v>135</v>
      </c>
      <c r="H240">
        <v>0</v>
      </c>
      <c r="I240">
        <v>0</v>
      </c>
      <c r="J240">
        <v>0</v>
      </c>
      <c r="K240" t="s">
        <v>104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s="8">
        <v>0</v>
      </c>
      <c r="V240" s="8">
        <f t="shared" si="6"/>
        <v>0</v>
      </c>
      <c r="W240" t="str">
        <f>_xlfn.XLOOKUP(A240, Matches!A:A, Matches!L:L, "NA", 0)</f>
        <v>DCW</v>
      </c>
      <c r="X240" t="str">
        <f>_xlfn.XLOOKUP(A240, Matches!A:A, Matches!J:J, "NA", 0)</f>
        <v>DCW</v>
      </c>
      <c r="Y240" t="str">
        <f>_xlfn.XLOOKUP(A240, Matches!A:A, Matches!F:F, "NA", 0)</f>
        <v>Dr DY Patil Sports </v>
      </c>
      <c r="Z240" cm="1">
        <f t="array" ref="Z240">INDEX(Innings!F:F,MATCH(1,(TRIM(Innings!A:A)=TRIM(A240))*(TRIM(Innings!D:D)=TRIM(E240)),0))</f>
        <v>154</v>
      </c>
      <c r="AA240" cm="1">
        <f t="array" ref="AA240">INDEX(Innings!I:I,MATCH(1,(TRIM(Innings!A:A)=TRIM(A240))*(TRIM(Innings!D:D)=TRIM(E240)),0))</f>
        <v>7.83</v>
      </c>
      <c r="AB240" cm="1">
        <f t="array" ref="AB240">INDEX(Innings!J:J,MATCH(1,(TRIM(Innings!A:A)=TRIM(A240))*(TRIM(Innings!D:D)=TRIM(E240)),0))</f>
        <v>52</v>
      </c>
      <c r="AC240" cm="1">
        <f t="array" ref="AC240">INDEX(Innings!N:N,MATCH(1,(TRIM(Innings!A:A)=TRIM(A240))*(TRIM(Innings!D:D)=TRIM(E240)),0))</f>
        <v>32</v>
      </c>
      <c r="AD240" cm="1">
        <f t="array" ref="AD240">INDEX(Innings!S:S,MATCH(1,(TRIM(Innings!A:A)=TRIM(A240))*(TRIM(Innings!D:D)=TRIM(E240)),0))</f>
        <v>41</v>
      </c>
      <c r="AE240" t="str" cm="1">
        <f t="array" ref="AE240">INDEX(Innings!W:W,MATCH(1,(TRIM(Innings!A:A)=TRIM(A240))*(TRIM(Innings!D:D)=TRIM(E240)),0))</f>
        <v>Successful</v>
      </c>
      <c r="AF240">
        <f>IF(UPPER(TRIM(E240))=UPPER(TRIM(W240)),1,0)</f>
        <v>1</v>
      </c>
      <c r="AG240">
        <f t="shared" si="7"/>
        <v>20</v>
      </c>
    </row>
    <row r="241" spans="1:33" x14ac:dyDescent="0.3">
      <c r="A241" t="s">
        <v>144</v>
      </c>
      <c r="B241">
        <v>1</v>
      </c>
      <c r="C241" t="s">
        <v>206</v>
      </c>
      <c r="D241" t="s">
        <v>207</v>
      </c>
      <c r="E241" t="s">
        <v>158</v>
      </c>
      <c r="F241" t="s">
        <v>101</v>
      </c>
      <c r="G241" t="s">
        <v>135</v>
      </c>
      <c r="H241">
        <v>0</v>
      </c>
      <c r="I241">
        <v>0</v>
      </c>
      <c r="J241">
        <v>0</v>
      </c>
      <c r="K241" t="s">
        <v>104</v>
      </c>
      <c r="L241">
        <v>0</v>
      </c>
      <c r="M241">
        <v>2</v>
      </c>
      <c r="N241">
        <v>0</v>
      </c>
      <c r="O241">
        <v>14</v>
      </c>
      <c r="P241">
        <v>0</v>
      </c>
      <c r="Q241">
        <v>7</v>
      </c>
      <c r="R241">
        <v>0</v>
      </c>
      <c r="S241">
        <v>0</v>
      </c>
      <c r="T241">
        <v>0</v>
      </c>
      <c r="U241" s="8">
        <v>0</v>
      </c>
      <c r="V241" s="8">
        <f t="shared" si="6"/>
        <v>0</v>
      </c>
      <c r="W241" t="str">
        <f>_xlfn.XLOOKUP(A241, Matches!A:A, Matches!L:L, "NA", 0)</f>
        <v>DCW</v>
      </c>
      <c r="X241" t="str">
        <f>_xlfn.XLOOKUP(A241, Matches!A:A, Matches!J:J, "NA", 0)</f>
        <v>DCW</v>
      </c>
      <c r="Y241" t="str">
        <f>_xlfn.XLOOKUP(A241, Matches!A:A, Matches!F:F, "NA", 0)</f>
        <v>Dr DY Patil Sports </v>
      </c>
      <c r="Z241" cm="1">
        <f t="array" ref="Z241">INDEX(Innings!F:F,MATCH(1,(TRIM(Innings!A:A)=TRIM(A241))*(TRIM(Innings!D:D)=TRIM(E241)),0))</f>
        <v>154</v>
      </c>
      <c r="AA241" cm="1">
        <f t="array" ref="AA241">INDEX(Innings!I:I,MATCH(1,(TRIM(Innings!A:A)=TRIM(A241))*(TRIM(Innings!D:D)=TRIM(E241)),0))</f>
        <v>7.83</v>
      </c>
      <c r="AB241" cm="1">
        <f t="array" ref="AB241">INDEX(Innings!J:J,MATCH(1,(TRIM(Innings!A:A)=TRIM(A241))*(TRIM(Innings!D:D)=TRIM(E241)),0))</f>
        <v>52</v>
      </c>
      <c r="AC241" cm="1">
        <f t="array" ref="AC241">INDEX(Innings!N:N,MATCH(1,(TRIM(Innings!A:A)=TRIM(A241))*(TRIM(Innings!D:D)=TRIM(E241)),0))</f>
        <v>32</v>
      </c>
      <c r="AD241" cm="1">
        <f t="array" ref="AD241">INDEX(Innings!S:S,MATCH(1,(TRIM(Innings!A:A)=TRIM(A241))*(TRIM(Innings!D:D)=TRIM(E241)),0))</f>
        <v>41</v>
      </c>
      <c r="AE241" t="str" cm="1">
        <f t="array" ref="AE241">INDEX(Innings!W:W,MATCH(1,(TRIM(Innings!A:A)=TRIM(A241))*(TRIM(Innings!D:D)=TRIM(E241)),0))</f>
        <v>Successful</v>
      </c>
      <c r="AF241">
        <f>IF(UPPER(TRIM(E241))=UPPER(TRIM(W241)),1,0)</f>
        <v>1</v>
      </c>
      <c r="AG241">
        <f t="shared" si="7"/>
        <v>20</v>
      </c>
    </row>
    <row r="242" spans="1:33" x14ac:dyDescent="0.3">
      <c r="A242" t="s">
        <v>144</v>
      </c>
      <c r="B242">
        <v>1</v>
      </c>
      <c r="C242" t="s">
        <v>204</v>
      </c>
      <c r="D242" t="s">
        <v>205</v>
      </c>
      <c r="E242" t="s">
        <v>158</v>
      </c>
      <c r="F242" t="s">
        <v>91</v>
      </c>
      <c r="G242" t="s">
        <v>135</v>
      </c>
      <c r="H242">
        <v>0</v>
      </c>
      <c r="I242">
        <v>0</v>
      </c>
      <c r="J242">
        <v>0</v>
      </c>
      <c r="K242" t="s">
        <v>104</v>
      </c>
      <c r="L242">
        <v>0</v>
      </c>
      <c r="M242">
        <v>4</v>
      </c>
      <c r="N242">
        <v>0</v>
      </c>
      <c r="O242">
        <v>23</v>
      </c>
      <c r="P242">
        <v>3</v>
      </c>
      <c r="Q242">
        <v>5.8</v>
      </c>
      <c r="R242">
        <v>60</v>
      </c>
      <c r="S242">
        <v>0</v>
      </c>
      <c r="T242">
        <v>0</v>
      </c>
      <c r="U242" s="8">
        <v>60</v>
      </c>
      <c r="V242" s="8">
        <f t="shared" si="6"/>
        <v>6</v>
      </c>
      <c r="W242" t="str">
        <f>_xlfn.XLOOKUP(A242, Matches!A:A, Matches!L:L, "NA", 0)</f>
        <v>DCW</v>
      </c>
      <c r="X242" t="str">
        <f>_xlfn.XLOOKUP(A242, Matches!A:A, Matches!J:J, "NA", 0)</f>
        <v>DCW</v>
      </c>
      <c r="Y242" t="str">
        <f>_xlfn.XLOOKUP(A242, Matches!A:A, Matches!F:F, "NA", 0)</f>
        <v>Dr DY Patil Sports </v>
      </c>
      <c r="Z242" cm="1">
        <f t="array" ref="Z242">INDEX(Innings!F:F,MATCH(1,(TRIM(Innings!A:A)=TRIM(A242))*(TRIM(Innings!D:D)=TRIM(E242)),0))</f>
        <v>154</v>
      </c>
      <c r="AA242" cm="1">
        <f t="array" ref="AA242">INDEX(Innings!I:I,MATCH(1,(TRIM(Innings!A:A)=TRIM(A242))*(TRIM(Innings!D:D)=TRIM(E242)),0))</f>
        <v>7.83</v>
      </c>
      <c r="AB242" cm="1">
        <f t="array" ref="AB242">INDEX(Innings!J:J,MATCH(1,(TRIM(Innings!A:A)=TRIM(A242))*(TRIM(Innings!D:D)=TRIM(E242)),0))</f>
        <v>52</v>
      </c>
      <c r="AC242" cm="1">
        <f t="array" ref="AC242">INDEX(Innings!N:N,MATCH(1,(TRIM(Innings!A:A)=TRIM(A242))*(TRIM(Innings!D:D)=TRIM(E242)),0))</f>
        <v>32</v>
      </c>
      <c r="AD242" cm="1">
        <f t="array" ref="AD242">INDEX(Innings!S:S,MATCH(1,(TRIM(Innings!A:A)=TRIM(A242))*(TRIM(Innings!D:D)=TRIM(E242)),0))</f>
        <v>41</v>
      </c>
      <c r="AE242" t="str" cm="1">
        <f t="array" ref="AE242">INDEX(Innings!W:W,MATCH(1,(TRIM(Innings!A:A)=TRIM(A242))*(TRIM(Innings!D:D)=TRIM(E242)),0))</f>
        <v>Successful</v>
      </c>
      <c r="AF242">
        <f>IF(UPPER(TRIM(E242))=UPPER(TRIM(W242)),1,0)</f>
        <v>1</v>
      </c>
      <c r="AG242">
        <f t="shared" si="7"/>
        <v>51.8</v>
      </c>
    </row>
    <row r="243" spans="1:33" x14ac:dyDescent="0.3">
      <c r="A243" t="s">
        <v>144</v>
      </c>
      <c r="B243">
        <v>1</v>
      </c>
      <c r="C243" t="s">
        <v>208</v>
      </c>
      <c r="D243" t="s">
        <v>160</v>
      </c>
      <c r="E243" t="s">
        <v>158</v>
      </c>
      <c r="F243" t="s">
        <v>101</v>
      </c>
      <c r="G243" t="s">
        <v>135</v>
      </c>
      <c r="H243">
        <v>0</v>
      </c>
      <c r="I243">
        <v>0</v>
      </c>
      <c r="J243">
        <v>0</v>
      </c>
      <c r="K243" t="s">
        <v>104</v>
      </c>
      <c r="L243">
        <v>0</v>
      </c>
      <c r="M243">
        <v>3</v>
      </c>
      <c r="N243">
        <v>0</v>
      </c>
      <c r="O243">
        <v>25</v>
      </c>
      <c r="P243">
        <v>1</v>
      </c>
      <c r="Q243">
        <v>8.3000000000000007</v>
      </c>
      <c r="R243">
        <v>20</v>
      </c>
      <c r="S243">
        <v>0</v>
      </c>
      <c r="T243">
        <v>0</v>
      </c>
      <c r="U243" s="8">
        <v>20</v>
      </c>
      <c r="V243" s="8">
        <f t="shared" si="6"/>
        <v>2</v>
      </c>
      <c r="W243" t="str">
        <f>_xlfn.XLOOKUP(A243, Matches!A:A, Matches!L:L, "NA", 0)</f>
        <v>DCW</v>
      </c>
      <c r="X243" t="str">
        <f>_xlfn.XLOOKUP(A243, Matches!A:A, Matches!J:J, "NA", 0)</f>
        <v>DCW</v>
      </c>
      <c r="Y243" t="str">
        <f>_xlfn.XLOOKUP(A243, Matches!A:A, Matches!F:F, "NA", 0)</f>
        <v>Dr DY Patil Sports </v>
      </c>
      <c r="Z243" cm="1">
        <f t="array" ref="Z243">INDEX(Innings!F:F,MATCH(1,(TRIM(Innings!A:A)=TRIM(A243))*(TRIM(Innings!D:D)=TRIM(E243)),0))</f>
        <v>154</v>
      </c>
      <c r="AA243" cm="1">
        <f t="array" ref="AA243">INDEX(Innings!I:I,MATCH(1,(TRIM(Innings!A:A)=TRIM(A243))*(TRIM(Innings!D:D)=TRIM(E243)),0))</f>
        <v>7.83</v>
      </c>
      <c r="AB243" cm="1">
        <f t="array" ref="AB243">INDEX(Innings!J:J,MATCH(1,(TRIM(Innings!A:A)=TRIM(A243))*(TRIM(Innings!D:D)=TRIM(E243)),0))</f>
        <v>52</v>
      </c>
      <c r="AC243" cm="1">
        <f t="array" ref="AC243">INDEX(Innings!N:N,MATCH(1,(TRIM(Innings!A:A)=TRIM(A243))*(TRIM(Innings!D:D)=TRIM(E243)),0))</f>
        <v>32</v>
      </c>
      <c r="AD243" cm="1">
        <f t="array" ref="AD243">INDEX(Innings!S:S,MATCH(1,(TRIM(Innings!A:A)=TRIM(A243))*(TRIM(Innings!D:D)=TRIM(E243)),0))</f>
        <v>41</v>
      </c>
      <c r="AE243" t="str" cm="1">
        <f t="array" ref="AE243">INDEX(Innings!W:W,MATCH(1,(TRIM(Innings!A:A)=TRIM(A243))*(TRIM(Innings!D:D)=TRIM(E243)),0))</f>
        <v>Successful</v>
      </c>
      <c r="AF243">
        <f>IF(UPPER(TRIM(E243))=UPPER(TRIM(W243)),1,0)</f>
        <v>1</v>
      </c>
      <c r="AG243">
        <f t="shared" si="7"/>
        <v>30.6</v>
      </c>
    </row>
    <row r="244" spans="1:33" x14ac:dyDescent="0.3">
      <c r="A244" t="s">
        <v>145</v>
      </c>
      <c r="B244">
        <v>1</v>
      </c>
      <c r="C244" t="s">
        <v>113</v>
      </c>
      <c r="D244" t="s">
        <v>84</v>
      </c>
      <c r="E244" t="s">
        <v>266</v>
      </c>
      <c r="F244" t="s">
        <v>85</v>
      </c>
      <c r="G244" t="s">
        <v>86</v>
      </c>
      <c r="H244">
        <v>44</v>
      </c>
      <c r="I244">
        <v>37</v>
      </c>
      <c r="J244">
        <v>118.92</v>
      </c>
      <c r="K244" t="s">
        <v>256</v>
      </c>
      <c r="L244">
        <v>52.32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s="8">
        <v>52.32</v>
      </c>
      <c r="V244" s="8">
        <f t="shared" si="6"/>
        <v>5</v>
      </c>
      <c r="W244" t="str">
        <f>_xlfn.XLOOKUP(A244, Matches!A:A, Matches!L:L, "NA", 0)</f>
        <v>MIW</v>
      </c>
      <c r="X244" t="str">
        <f>_xlfn.XLOOKUP(A244, Matches!A:A, Matches!J:J, "NA", 0)</f>
        <v>GGTW</v>
      </c>
      <c r="Y244" t="str">
        <f>_xlfn.XLOOKUP(A244, Matches!A:A, Matches!F:F, "NA", 0)</f>
        <v>Brabourne Stadium</v>
      </c>
      <c r="Z244" cm="1">
        <f t="array" ref="Z244">INDEX(Innings!F:F,MATCH(1,(TRIM(Innings!A:A)=TRIM(A244))*(TRIM(Innings!D:D)=TRIM(E244)),0))</f>
        <v>162</v>
      </c>
      <c r="AA244" cm="1">
        <f t="array" ref="AA244">INDEX(Innings!I:I,MATCH(1,(TRIM(Innings!A:A)=TRIM(A244))*(TRIM(Innings!D:D)=TRIM(E244)),0))</f>
        <v>8.1</v>
      </c>
      <c r="AB244" cm="1">
        <f t="array" ref="AB244">INDEX(Innings!J:J,MATCH(1,(TRIM(Innings!A:A)=TRIM(A244))*(TRIM(Innings!D:D)=TRIM(E244)),0))</f>
        <v>40</v>
      </c>
      <c r="AC244" cm="1">
        <f t="array" ref="AC244">INDEX(Innings!N:N,MATCH(1,(TRIM(Innings!A:A)=TRIM(A244))*(TRIM(Innings!D:D)=TRIM(E244)),0))</f>
        <v>38</v>
      </c>
      <c r="AD244" cm="1">
        <f t="array" ref="AD244">INDEX(Innings!S:S,MATCH(1,(TRIM(Innings!A:A)=TRIM(A244))*(TRIM(Innings!D:D)=TRIM(E244)),0))</f>
        <v>44</v>
      </c>
      <c r="AE244" t="str" cm="1">
        <f t="array" ref="AE244">INDEX(Innings!W:W,MATCH(1,(TRIM(Innings!A:A)=TRIM(A244))*(TRIM(Innings!D:D)=TRIM(E244)),0))</f>
        <v>NA</v>
      </c>
      <c r="AF244">
        <f>IF(UPPER(TRIM(E244))=UPPER(TRIM(W244)),1,0)</f>
        <v>1</v>
      </c>
      <c r="AG244">
        <f t="shared" si="7"/>
        <v>47.66</v>
      </c>
    </row>
    <row r="245" spans="1:33" x14ac:dyDescent="0.3">
      <c r="A245" t="s">
        <v>145</v>
      </c>
      <c r="B245">
        <v>1</v>
      </c>
      <c r="C245" t="s">
        <v>112</v>
      </c>
      <c r="D245" t="s">
        <v>88</v>
      </c>
      <c r="E245" t="s">
        <v>266</v>
      </c>
      <c r="F245" t="s">
        <v>83</v>
      </c>
      <c r="G245" t="s">
        <v>86</v>
      </c>
      <c r="H245">
        <v>0</v>
      </c>
      <c r="I245">
        <v>3</v>
      </c>
      <c r="J245">
        <v>0</v>
      </c>
      <c r="K245" t="s">
        <v>246</v>
      </c>
      <c r="L245">
        <v>0</v>
      </c>
      <c r="M245">
        <v>4</v>
      </c>
      <c r="N245">
        <v>0</v>
      </c>
      <c r="O245">
        <v>23</v>
      </c>
      <c r="P245">
        <v>3</v>
      </c>
      <c r="Q245">
        <v>5.8</v>
      </c>
      <c r="R245">
        <v>60</v>
      </c>
      <c r="S245">
        <v>0</v>
      </c>
      <c r="T245">
        <v>0</v>
      </c>
      <c r="U245" s="8">
        <v>60</v>
      </c>
      <c r="V245" s="8">
        <f t="shared" si="6"/>
        <v>6</v>
      </c>
      <c r="W245" t="str">
        <f>_xlfn.XLOOKUP(A245, Matches!A:A, Matches!L:L, "NA", 0)</f>
        <v>MIW</v>
      </c>
      <c r="X245" t="str">
        <f>_xlfn.XLOOKUP(A245, Matches!A:A, Matches!J:J, "NA", 0)</f>
        <v>GGTW</v>
      </c>
      <c r="Y245" t="str">
        <f>_xlfn.XLOOKUP(A245, Matches!A:A, Matches!F:F, "NA", 0)</f>
        <v>Brabourne Stadium</v>
      </c>
      <c r="Z245" cm="1">
        <f t="array" ref="Z245">INDEX(Innings!F:F,MATCH(1,(TRIM(Innings!A:A)=TRIM(A245))*(TRIM(Innings!D:D)=TRIM(E245)),0))</f>
        <v>162</v>
      </c>
      <c r="AA245" cm="1">
        <f t="array" ref="AA245">INDEX(Innings!I:I,MATCH(1,(TRIM(Innings!A:A)=TRIM(A245))*(TRIM(Innings!D:D)=TRIM(E245)),0))</f>
        <v>8.1</v>
      </c>
      <c r="AB245" cm="1">
        <f t="array" ref="AB245">INDEX(Innings!J:J,MATCH(1,(TRIM(Innings!A:A)=TRIM(A245))*(TRIM(Innings!D:D)=TRIM(E245)),0))</f>
        <v>40</v>
      </c>
      <c r="AC245" cm="1">
        <f t="array" ref="AC245">INDEX(Innings!N:N,MATCH(1,(TRIM(Innings!A:A)=TRIM(A245))*(TRIM(Innings!D:D)=TRIM(E245)),0))</f>
        <v>38</v>
      </c>
      <c r="AD245" cm="1">
        <f t="array" ref="AD245">INDEX(Innings!S:S,MATCH(1,(TRIM(Innings!A:A)=TRIM(A245))*(TRIM(Innings!D:D)=TRIM(E245)),0))</f>
        <v>44</v>
      </c>
      <c r="AE245" t="str" cm="1">
        <f t="array" ref="AE245">INDEX(Innings!W:W,MATCH(1,(TRIM(Innings!A:A)=TRIM(A245))*(TRIM(Innings!D:D)=TRIM(E245)),0))</f>
        <v>NA</v>
      </c>
      <c r="AF245">
        <f>IF(UPPER(TRIM(E245))=UPPER(TRIM(W245)),1,0)</f>
        <v>1</v>
      </c>
      <c r="AG245">
        <f t="shared" si="7"/>
        <v>51.8</v>
      </c>
    </row>
    <row r="246" spans="1:33" x14ac:dyDescent="0.3">
      <c r="A246" t="s">
        <v>145</v>
      </c>
      <c r="B246">
        <v>1</v>
      </c>
      <c r="C246" t="s">
        <v>117</v>
      </c>
      <c r="D246" t="s">
        <v>90</v>
      </c>
      <c r="E246" t="s">
        <v>266</v>
      </c>
      <c r="F246" t="s">
        <v>91</v>
      </c>
      <c r="G246" t="s">
        <v>92</v>
      </c>
      <c r="H246">
        <v>36</v>
      </c>
      <c r="I246">
        <v>31</v>
      </c>
      <c r="J246">
        <v>116.13</v>
      </c>
      <c r="K246" t="s">
        <v>247</v>
      </c>
      <c r="L246">
        <v>41.81</v>
      </c>
      <c r="M246">
        <v>4</v>
      </c>
      <c r="N246">
        <v>0</v>
      </c>
      <c r="O246">
        <v>21</v>
      </c>
      <c r="P246">
        <v>3</v>
      </c>
      <c r="Q246">
        <v>5.2</v>
      </c>
      <c r="R246">
        <v>60</v>
      </c>
      <c r="S246">
        <v>0</v>
      </c>
      <c r="T246">
        <v>0</v>
      </c>
      <c r="U246" s="8">
        <v>101.81</v>
      </c>
      <c r="V246" s="8">
        <f t="shared" si="6"/>
        <v>10</v>
      </c>
      <c r="W246" t="str">
        <f>_xlfn.XLOOKUP(A246, Matches!A:A, Matches!L:L, "NA", 0)</f>
        <v>MIW</v>
      </c>
      <c r="X246" t="str">
        <f>_xlfn.XLOOKUP(A246, Matches!A:A, Matches!J:J, "NA", 0)</f>
        <v>GGTW</v>
      </c>
      <c r="Y246" t="str">
        <f>_xlfn.XLOOKUP(A246, Matches!A:A, Matches!F:F, "NA", 0)</f>
        <v>Brabourne Stadium</v>
      </c>
      <c r="Z246" cm="1">
        <f t="array" ref="Z246">INDEX(Innings!F:F,MATCH(1,(TRIM(Innings!A:A)=TRIM(A246))*(TRIM(Innings!D:D)=TRIM(E246)),0))</f>
        <v>162</v>
      </c>
      <c r="AA246" cm="1">
        <f t="array" ref="AA246">INDEX(Innings!I:I,MATCH(1,(TRIM(Innings!A:A)=TRIM(A246))*(TRIM(Innings!D:D)=TRIM(E246)),0))</f>
        <v>8.1</v>
      </c>
      <c r="AB246" cm="1">
        <f t="array" ref="AB246">INDEX(Innings!J:J,MATCH(1,(TRIM(Innings!A:A)=TRIM(A246))*(TRIM(Innings!D:D)=TRIM(E246)),0))</f>
        <v>40</v>
      </c>
      <c r="AC246" cm="1">
        <f t="array" ref="AC246">INDEX(Innings!N:N,MATCH(1,(TRIM(Innings!A:A)=TRIM(A246))*(TRIM(Innings!D:D)=TRIM(E246)),0))</f>
        <v>38</v>
      </c>
      <c r="AD246" cm="1">
        <f t="array" ref="AD246">INDEX(Innings!S:S,MATCH(1,(TRIM(Innings!A:A)=TRIM(A246))*(TRIM(Innings!D:D)=TRIM(E246)),0))</f>
        <v>44</v>
      </c>
      <c r="AE246" t="str" cm="1">
        <f t="array" ref="AE246">INDEX(Innings!W:W,MATCH(1,(TRIM(Innings!A:A)=TRIM(A246))*(TRIM(Innings!D:D)=TRIM(E246)),0))</f>
        <v>NA</v>
      </c>
      <c r="AF246">
        <f>IF(UPPER(TRIM(E246))=UPPER(TRIM(W246)),1,0)</f>
        <v>1</v>
      </c>
      <c r="AG246">
        <f t="shared" si="7"/>
        <v>73.905000000000001</v>
      </c>
    </row>
    <row r="247" spans="1:33" x14ac:dyDescent="0.3">
      <c r="A247" t="s">
        <v>145</v>
      </c>
      <c r="B247">
        <v>1</v>
      </c>
      <c r="C247" t="s">
        <v>115</v>
      </c>
      <c r="D247" t="s">
        <v>17</v>
      </c>
      <c r="E247" t="s">
        <v>266</v>
      </c>
      <c r="F247" t="s">
        <v>83</v>
      </c>
      <c r="G247" t="s">
        <v>92</v>
      </c>
      <c r="H247">
        <v>51</v>
      </c>
      <c r="I247">
        <v>30</v>
      </c>
      <c r="J247">
        <v>170</v>
      </c>
      <c r="K247" t="s">
        <v>246</v>
      </c>
      <c r="L247">
        <v>86.7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s="8">
        <v>86.7</v>
      </c>
      <c r="V247" s="8">
        <f t="shared" si="6"/>
        <v>9</v>
      </c>
      <c r="W247" t="str">
        <f>_xlfn.XLOOKUP(A247, Matches!A:A, Matches!L:L, "NA", 0)</f>
        <v>MIW</v>
      </c>
      <c r="X247" t="str">
        <f>_xlfn.XLOOKUP(A247, Matches!A:A, Matches!J:J, "NA", 0)</f>
        <v>GGTW</v>
      </c>
      <c r="Y247" t="str">
        <f>_xlfn.XLOOKUP(A247, Matches!A:A, Matches!F:F, "NA", 0)</f>
        <v>Brabourne Stadium</v>
      </c>
      <c r="Z247" cm="1">
        <f t="array" ref="Z247">INDEX(Innings!F:F,MATCH(1,(TRIM(Innings!A:A)=TRIM(A247))*(TRIM(Innings!D:D)=TRIM(E247)),0))</f>
        <v>162</v>
      </c>
      <c r="AA247" cm="1">
        <f t="array" ref="AA247">INDEX(Innings!I:I,MATCH(1,(TRIM(Innings!A:A)=TRIM(A247))*(TRIM(Innings!D:D)=TRIM(E247)),0))</f>
        <v>8.1</v>
      </c>
      <c r="AB247" cm="1">
        <f t="array" ref="AB247">INDEX(Innings!J:J,MATCH(1,(TRIM(Innings!A:A)=TRIM(A247))*(TRIM(Innings!D:D)=TRIM(E247)),0))</f>
        <v>40</v>
      </c>
      <c r="AC247" cm="1">
        <f t="array" ref="AC247">INDEX(Innings!N:N,MATCH(1,(TRIM(Innings!A:A)=TRIM(A247))*(TRIM(Innings!D:D)=TRIM(E247)),0))</f>
        <v>38</v>
      </c>
      <c r="AD247" cm="1">
        <f t="array" ref="AD247">INDEX(Innings!S:S,MATCH(1,(TRIM(Innings!A:A)=TRIM(A247))*(TRIM(Innings!D:D)=TRIM(E247)),0))</f>
        <v>44</v>
      </c>
      <c r="AE247" t="str" cm="1">
        <f t="array" ref="AE247">INDEX(Innings!W:W,MATCH(1,(TRIM(Innings!A:A)=TRIM(A247))*(TRIM(Innings!D:D)=TRIM(E247)),0))</f>
        <v>NA</v>
      </c>
      <c r="AF247">
        <f>IF(UPPER(TRIM(E247))=UPPER(TRIM(W247)),1,0)</f>
        <v>1</v>
      </c>
      <c r="AG247">
        <f t="shared" si="7"/>
        <v>66.050000000000011</v>
      </c>
    </row>
    <row r="248" spans="1:33" x14ac:dyDescent="0.3">
      <c r="A248" t="s">
        <v>145</v>
      </c>
      <c r="B248">
        <v>1</v>
      </c>
      <c r="C248" t="s">
        <v>119</v>
      </c>
      <c r="D248" t="s">
        <v>95</v>
      </c>
      <c r="E248" t="s">
        <v>266</v>
      </c>
      <c r="F248" t="s">
        <v>91</v>
      </c>
      <c r="G248" t="s">
        <v>134</v>
      </c>
      <c r="H248">
        <v>19</v>
      </c>
      <c r="I248">
        <v>13</v>
      </c>
      <c r="J248">
        <v>146.15</v>
      </c>
      <c r="K248" t="s">
        <v>246</v>
      </c>
      <c r="L248">
        <v>27.77</v>
      </c>
      <c r="M248">
        <v>4</v>
      </c>
      <c r="N248">
        <v>0</v>
      </c>
      <c r="O248">
        <v>18</v>
      </c>
      <c r="P248">
        <v>2</v>
      </c>
      <c r="Q248">
        <v>4.5</v>
      </c>
      <c r="R248">
        <v>40</v>
      </c>
      <c r="S248">
        <v>0</v>
      </c>
      <c r="T248">
        <v>0</v>
      </c>
      <c r="U248" s="8">
        <v>67.77</v>
      </c>
      <c r="V248" s="8">
        <f t="shared" si="6"/>
        <v>7</v>
      </c>
      <c r="W248" t="str">
        <f>_xlfn.XLOOKUP(A248, Matches!A:A, Matches!L:L, "NA", 0)</f>
        <v>MIW</v>
      </c>
      <c r="X248" t="str">
        <f>_xlfn.XLOOKUP(A248, Matches!A:A, Matches!J:J, "NA", 0)</f>
        <v>GGTW</v>
      </c>
      <c r="Y248" t="str">
        <f>_xlfn.XLOOKUP(A248, Matches!A:A, Matches!F:F, "NA", 0)</f>
        <v>Brabourne Stadium</v>
      </c>
      <c r="Z248" cm="1">
        <f t="array" ref="Z248">INDEX(Innings!F:F,MATCH(1,(TRIM(Innings!A:A)=TRIM(A248))*(TRIM(Innings!D:D)=TRIM(E248)),0))</f>
        <v>162</v>
      </c>
      <c r="AA248" cm="1">
        <f t="array" ref="AA248">INDEX(Innings!I:I,MATCH(1,(TRIM(Innings!A:A)=TRIM(A248))*(TRIM(Innings!D:D)=TRIM(E248)),0))</f>
        <v>8.1</v>
      </c>
      <c r="AB248" cm="1">
        <f t="array" ref="AB248">INDEX(Innings!J:J,MATCH(1,(TRIM(Innings!A:A)=TRIM(A248))*(TRIM(Innings!D:D)=TRIM(E248)),0))</f>
        <v>40</v>
      </c>
      <c r="AC248" cm="1">
        <f t="array" ref="AC248">INDEX(Innings!N:N,MATCH(1,(TRIM(Innings!A:A)=TRIM(A248))*(TRIM(Innings!D:D)=TRIM(E248)),0))</f>
        <v>38</v>
      </c>
      <c r="AD248" cm="1">
        <f t="array" ref="AD248">INDEX(Innings!S:S,MATCH(1,(TRIM(Innings!A:A)=TRIM(A248))*(TRIM(Innings!D:D)=TRIM(E248)),0))</f>
        <v>44</v>
      </c>
      <c r="AE248" t="str" cm="1">
        <f t="array" ref="AE248">INDEX(Innings!W:W,MATCH(1,(TRIM(Innings!A:A)=TRIM(A248))*(TRIM(Innings!D:D)=TRIM(E248)),0))</f>
        <v>NA</v>
      </c>
      <c r="AF248">
        <f>IF(UPPER(TRIM(E248))=UPPER(TRIM(W248)),1,0)</f>
        <v>1</v>
      </c>
      <c r="AG248">
        <f t="shared" si="7"/>
        <v>55.984999999999999</v>
      </c>
    </row>
    <row r="249" spans="1:33" x14ac:dyDescent="0.3">
      <c r="A249" t="s">
        <v>145</v>
      </c>
      <c r="B249">
        <v>1</v>
      </c>
      <c r="C249" t="s">
        <v>127</v>
      </c>
      <c r="D249" t="s">
        <v>100</v>
      </c>
      <c r="E249" t="s">
        <v>266</v>
      </c>
      <c r="F249" t="s">
        <v>101</v>
      </c>
      <c r="G249" t="s">
        <v>134</v>
      </c>
      <c r="H249">
        <v>0</v>
      </c>
      <c r="I249">
        <v>1</v>
      </c>
      <c r="J249">
        <v>0</v>
      </c>
      <c r="K249" t="s">
        <v>246</v>
      </c>
      <c r="L249">
        <v>0</v>
      </c>
      <c r="M249">
        <v>3</v>
      </c>
      <c r="N249">
        <v>0</v>
      </c>
      <c r="O249">
        <v>19</v>
      </c>
      <c r="P249">
        <v>1</v>
      </c>
      <c r="Q249">
        <v>6.3</v>
      </c>
      <c r="R249">
        <v>20</v>
      </c>
      <c r="S249">
        <v>0</v>
      </c>
      <c r="T249">
        <v>0</v>
      </c>
      <c r="U249" s="8">
        <v>20</v>
      </c>
      <c r="V249" s="8">
        <f t="shared" si="6"/>
        <v>2</v>
      </c>
      <c r="W249" t="str">
        <f>_xlfn.XLOOKUP(A249, Matches!A:A, Matches!L:L, "NA", 0)</f>
        <v>MIW</v>
      </c>
      <c r="X249" t="str">
        <f>_xlfn.XLOOKUP(A249, Matches!A:A, Matches!J:J, "NA", 0)</f>
        <v>GGTW</v>
      </c>
      <c r="Y249" t="str">
        <f>_xlfn.XLOOKUP(A249, Matches!A:A, Matches!F:F, "NA", 0)</f>
        <v>Brabourne Stadium</v>
      </c>
      <c r="Z249" cm="1">
        <f t="array" ref="Z249">INDEX(Innings!F:F,MATCH(1,(TRIM(Innings!A:A)=TRIM(A249))*(TRIM(Innings!D:D)=TRIM(E249)),0))</f>
        <v>162</v>
      </c>
      <c r="AA249" cm="1">
        <f t="array" ref="AA249">INDEX(Innings!I:I,MATCH(1,(TRIM(Innings!A:A)=TRIM(A249))*(TRIM(Innings!D:D)=TRIM(E249)),0))</f>
        <v>8.1</v>
      </c>
      <c r="AB249" cm="1">
        <f t="array" ref="AB249">INDEX(Innings!J:J,MATCH(1,(TRIM(Innings!A:A)=TRIM(A249))*(TRIM(Innings!D:D)=TRIM(E249)),0))</f>
        <v>40</v>
      </c>
      <c r="AC249" cm="1">
        <f t="array" ref="AC249">INDEX(Innings!N:N,MATCH(1,(TRIM(Innings!A:A)=TRIM(A249))*(TRIM(Innings!D:D)=TRIM(E249)),0))</f>
        <v>38</v>
      </c>
      <c r="AD249" cm="1">
        <f t="array" ref="AD249">INDEX(Innings!S:S,MATCH(1,(TRIM(Innings!A:A)=TRIM(A249))*(TRIM(Innings!D:D)=TRIM(E249)),0))</f>
        <v>44</v>
      </c>
      <c r="AE249" t="str" cm="1">
        <f t="array" ref="AE249">INDEX(Innings!W:W,MATCH(1,(TRIM(Innings!A:A)=TRIM(A249))*(TRIM(Innings!D:D)=TRIM(E249)),0))</f>
        <v>NA</v>
      </c>
      <c r="AF249">
        <f>IF(UPPER(TRIM(E249))=UPPER(TRIM(W249)),1,0)</f>
        <v>1</v>
      </c>
      <c r="AG249">
        <f t="shared" si="7"/>
        <v>30.6</v>
      </c>
    </row>
    <row r="250" spans="1:33" x14ac:dyDescent="0.3">
      <c r="A250" t="s">
        <v>145</v>
      </c>
      <c r="B250">
        <v>1</v>
      </c>
      <c r="C250" t="s">
        <v>125</v>
      </c>
      <c r="D250" t="s">
        <v>111</v>
      </c>
      <c r="E250" t="s">
        <v>266</v>
      </c>
      <c r="F250" t="s">
        <v>83</v>
      </c>
      <c r="G250" t="s">
        <v>134</v>
      </c>
      <c r="H250">
        <v>2</v>
      </c>
      <c r="I250">
        <v>2</v>
      </c>
      <c r="J250">
        <v>100</v>
      </c>
      <c r="K250" t="s">
        <v>256</v>
      </c>
      <c r="L250">
        <v>2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s="8">
        <v>2</v>
      </c>
      <c r="V250" s="8">
        <f t="shared" si="6"/>
        <v>0</v>
      </c>
      <c r="W250" t="str">
        <f>_xlfn.XLOOKUP(A250, Matches!A:A, Matches!L:L, "NA", 0)</f>
        <v>MIW</v>
      </c>
      <c r="X250" t="str">
        <f>_xlfn.XLOOKUP(A250, Matches!A:A, Matches!J:J, "NA", 0)</f>
        <v>GGTW</v>
      </c>
      <c r="Y250" t="str">
        <f>_xlfn.XLOOKUP(A250, Matches!A:A, Matches!F:F, "NA", 0)</f>
        <v>Brabourne Stadium</v>
      </c>
      <c r="Z250" cm="1">
        <f t="array" ref="Z250">INDEX(Innings!F:F,MATCH(1,(TRIM(Innings!A:A)=TRIM(A250))*(TRIM(Innings!D:D)=TRIM(E250)),0))</f>
        <v>162</v>
      </c>
      <c r="AA250" cm="1">
        <f t="array" ref="AA250">INDEX(Innings!I:I,MATCH(1,(TRIM(Innings!A:A)=TRIM(A250))*(TRIM(Innings!D:D)=TRIM(E250)),0))</f>
        <v>8.1</v>
      </c>
      <c r="AB250" cm="1">
        <f t="array" ref="AB250">INDEX(Innings!J:J,MATCH(1,(TRIM(Innings!A:A)=TRIM(A250))*(TRIM(Innings!D:D)=TRIM(E250)),0))</f>
        <v>40</v>
      </c>
      <c r="AC250" cm="1">
        <f t="array" ref="AC250">INDEX(Innings!N:N,MATCH(1,(TRIM(Innings!A:A)=TRIM(A250))*(TRIM(Innings!D:D)=TRIM(E250)),0))</f>
        <v>38</v>
      </c>
      <c r="AD250" cm="1">
        <f t="array" ref="AD250">INDEX(Innings!S:S,MATCH(1,(TRIM(Innings!A:A)=TRIM(A250))*(TRIM(Innings!D:D)=TRIM(E250)),0))</f>
        <v>44</v>
      </c>
      <c r="AE250" t="str" cm="1">
        <f t="array" ref="AE250">INDEX(Innings!W:W,MATCH(1,(TRIM(Innings!A:A)=TRIM(A250))*(TRIM(Innings!D:D)=TRIM(E250)),0))</f>
        <v>NA</v>
      </c>
      <c r="AF250">
        <f>IF(UPPER(TRIM(E250))=UPPER(TRIM(W250)),1,0)</f>
        <v>1</v>
      </c>
      <c r="AG250">
        <f t="shared" si="7"/>
        <v>21</v>
      </c>
    </row>
    <row r="251" spans="1:33" x14ac:dyDescent="0.3">
      <c r="A251" t="s">
        <v>145</v>
      </c>
      <c r="B251">
        <v>1</v>
      </c>
      <c r="C251" t="s">
        <v>303</v>
      </c>
      <c r="D251" t="s">
        <v>304</v>
      </c>
      <c r="E251" t="s">
        <v>266</v>
      </c>
      <c r="F251" t="s">
        <v>109</v>
      </c>
      <c r="G251" t="s">
        <v>134</v>
      </c>
      <c r="H251">
        <v>1</v>
      </c>
      <c r="I251">
        <v>1</v>
      </c>
      <c r="J251">
        <v>100</v>
      </c>
      <c r="K251" t="s">
        <v>96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s="8">
        <v>1</v>
      </c>
      <c r="V251" s="8">
        <f t="shared" si="6"/>
        <v>0</v>
      </c>
      <c r="W251" t="str">
        <f>_xlfn.XLOOKUP(A251, Matches!A:A, Matches!L:L, "NA", 0)</f>
        <v>MIW</v>
      </c>
      <c r="X251" t="str">
        <f>_xlfn.XLOOKUP(A251, Matches!A:A, Matches!J:J, "NA", 0)</f>
        <v>GGTW</v>
      </c>
      <c r="Y251" t="str">
        <f>_xlfn.XLOOKUP(A251, Matches!A:A, Matches!F:F, "NA", 0)</f>
        <v>Brabourne Stadium</v>
      </c>
      <c r="Z251" cm="1">
        <f t="array" ref="Z251">INDEX(Innings!F:F,MATCH(1,(TRIM(Innings!A:A)=TRIM(A251))*(TRIM(Innings!D:D)=TRIM(E251)),0))</f>
        <v>162</v>
      </c>
      <c r="AA251" cm="1">
        <f t="array" ref="AA251">INDEX(Innings!I:I,MATCH(1,(TRIM(Innings!A:A)=TRIM(A251))*(TRIM(Innings!D:D)=TRIM(E251)),0))</f>
        <v>8.1</v>
      </c>
      <c r="AB251" cm="1">
        <f t="array" ref="AB251">INDEX(Innings!J:J,MATCH(1,(TRIM(Innings!A:A)=TRIM(A251))*(TRIM(Innings!D:D)=TRIM(E251)),0))</f>
        <v>40</v>
      </c>
      <c r="AC251" cm="1">
        <f t="array" ref="AC251">INDEX(Innings!N:N,MATCH(1,(TRIM(Innings!A:A)=TRIM(A251))*(TRIM(Innings!D:D)=TRIM(E251)),0))</f>
        <v>38</v>
      </c>
      <c r="AD251" cm="1">
        <f t="array" ref="AD251">INDEX(Innings!S:S,MATCH(1,(TRIM(Innings!A:A)=TRIM(A251))*(TRIM(Innings!D:D)=TRIM(E251)),0))</f>
        <v>44</v>
      </c>
      <c r="AE251" t="str" cm="1">
        <f t="array" ref="AE251">INDEX(Innings!W:W,MATCH(1,(TRIM(Innings!A:A)=TRIM(A251))*(TRIM(Innings!D:D)=TRIM(E251)),0))</f>
        <v>NA</v>
      </c>
      <c r="AF251">
        <f>IF(UPPER(TRIM(E251))=UPPER(TRIM(W251)),1,0)</f>
        <v>1</v>
      </c>
      <c r="AG251">
        <f t="shared" si="7"/>
        <v>20.5</v>
      </c>
    </row>
    <row r="252" spans="1:33" x14ac:dyDescent="0.3">
      <c r="A252" t="s">
        <v>145</v>
      </c>
      <c r="B252">
        <v>1</v>
      </c>
      <c r="C252" t="s">
        <v>121</v>
      </c>
      <c r="D252" t="s">
        <v>108</v>
      </c>
      <c r="E252" t="s">
        <v>266</v>
      </c>
      <c r="F252" t="s">
        <v>109</v>
      </c>
      <c r="G252" t="s">
        <v>135</v>
      </c>
      <c r="H252">
        <v>0</v>
      </c>
      <c r="I252">
        <v>1</v>
      </c>
      <c r="J252">
        <v>0</v>
      </c>
      <c r="K252" t="s">
        <v>246</v>
      </c>
      <c r="L252">
        <v>0</v>
      </c>
      <c r="M252">
        <v>1</v>
      </c>
      <c r="N252">
        <v>0</v>
      </c>
      <c r="O252">
        <v>6</v>
      </c>
      <c r="P252">
        <v>0</v>
      </c>
      <c r="Q252">
        <v>6</v>
      </c>
      <c r="R252">
        <v>0</v>
      </c>
      <c r="S252">
        <v>0</v>
      </c>
      <c r="T252">
        <v>0</v>
      </c>
      <c r="U252" s="8">
        <v>0</v>
      </c>
      <c r="V252" s="8">
        <f t="shared" si="6"/>
        <v>0</v>
      </c>
      <c r="W252" t="str">
        <f>_xlfn.XLOOKUP(A252, Matches!A:A, Matches!L:L, "NA", 0)</f>
        <v>MIW</v>
      </c>
      <c r="X252" t="str">
        <f>_xlfn.XLOOKUP(A252, Matches!A:A, Matches!J:J, "NA", 0)</f>
        <v>GGTW</v>
      </c>
      <c r="Y252" t="str">
        <f>_xlfn.XLOOKUP(A252, Matches!A:A, Matches!F:F, "NA", 0)</f>
        <v>Brabourne Stadium</v>
      </c>
      <c r="Z252" cm="1">
        <f t="array" ref="Z252">INDEX(Innings!F:F,MATCH(1,(TRIM(Innings!A:A)=TRIM(A252))*(TRIM(Innings!D:D)=TRIM(E252)),0))</f>
        <v>162</v>
      </c>
      <c r="AA252" cm="1">
        <f t="array" ref="AA252">INDEX(Innings!I:I,MATCH(1,(TRIM(Innings!A:A)=TRIM(A252))*(TRIM(Innings!D:D)=TRIM(E252)),0))</f>
        <v>8.1</v>
      </c>
      <c r="AB252" cm="1">
        <f t="array" ref="AB252">INDEX(Innings!J:J,MATCH(1,(TRIM(Innings!A:A)=TRIM(A252))*(TRIM(Innings!D:D)=TRIM(E252)),0))</f>
        <v>40</v>
      </c>
      <c r="AC252" cm="1">
        <f t="array" ref="AC252">INDEX(Innings!N:N,MATCH(1,(TRIM(Innings!A:A)=TRIM(A252))*(TRIM(Innings!D:D)=TRIM(E252)),0))</f>
        <v>38</v>
      </c>
      <c r="AD252" cm="1">
        <f t="array" ref="AD252">INDEX(Innings!S:S,MATCH(1,(TRIM(Innings!A:A)=TRIM(A252))*(TRIM(Innings!D:D)=TRIM(E252)),0))</f>
        <v>44</v>
      </c>
      <c r="AE252" t="str" cm="1">
        <f t="array" ref="AE252">INDEX(Innings!W:W,MATCH(1,(TRIM(Innings!A:A)=TRIM(A252))*(TRIM(Innings!D:D)=TRIM(E252)),0))</f>
        <v>NA</v>
      </c>
      <c r="AF252">
        <f>IF(UPPER(TRIM(E252))=UPPER(TRIM(W252)),1,0)</f>
        <v>1</v>
      </c>
      <c r="AG252">
        <f t="shared" si="7"/>
        <v>20</v>
      </c>
    </row>
    <row r="253" spans="1:33" x14ac:dyDescent="0.3">
      <c r="A253" t="s">
        <v>145</v>
      </c>
      <c r="B253">
        <v>1</v>
      </c>
      <c r="C253" t="s">
        <v>129</v>
      </c>
      <c r="D253" t="s">
        <v>103</v>
      </c>
      <c r="E253" t="s">
        <v>266</v>
      </c>
      <c r="F253" t="s">
        <v>91</v>
      </c>
      <c r="G253" t="s">
        <v>135</v>
      </c>
      <c r="H253">
        <v>2</v>
      </c>
      <c r="I253">
        <v>1</v>
      </c>
      <c r="J253">
        <v>200</v>
      </c>
      <c r="K253" t="s">
        <v>96</v>
      </c>
      <c r="L253">
        <v>4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s="8">
        <v>4</v>
      </c>
      <c r="V253" s="8">
        <f t="shared" si="6"/>
        <v>0</v>
      </c>
      <c r="W253" t="str">
        <f>_xlfn.XLOOKUP(A253, Matches!A:A, Matches!L:L, "NA", 0)</f>
        <v>MIW</v>
      </c>
      <c r="X253" t="str">
        <f>_xlfn.XLOOKUP(A253, Matches!A:A, Matches!J:J, "NA", 0)</f>
        <v>GGTW</v>
      </c>
      <c r="Y253" t="str">
        <f>_xlfn.XLOOKUP(A253, Matches!A:A, Matches!F:F, "NA", 0)</f>
        <v>Brabourne Stadium</v>
      </c>
      <c r="Z253" cm="1">
        <f t="array" ref="Z253">INDEX(Innings!F:F,MATCH(1,(TRIM(Innings!A:A)=TRIM(A253))*(TRIM(Innings!D:D)=TRIM(E253)),0))</f>
        <v>162</v>
      </c>
      <c r="AA253" cm="1">
        <f t="array" ref="AA253">INDEX(Innings!I:I,MATCH(1,(TRIM(Innings!A:A)=TRIM(A253))*(TRIM(Innings!D:D)=TRIM(E253)),0))</f>
        <v>8.1</v>
      </c>
      <c r="AB253" cm="1">
        <f t="array" ref="AB253">INDEX(Innings!J:J,MATCH(1,(TRIM(Innings!A:A)=TRIM(A253))*(TRIM(Innings!D:D)=TRIM(E253)),0))</f>
        <v>40</v>
      </c>
      <c r="AC253" cm="1">
        <f t="array" ref="AC253">INDEX(Innings!N:N,MATCH(1,(TRIM(Innings!A:A)=TRIM(A253))*(TRIM(Innings!D:D)=TRIM(E253)),0))</f>
        <v>38</v>
      </c>
      <c r="AD253" cm="1">
        <f t="array" ref="AD253">INDEX(Innings!S:S,MATCH(1,(TRIM(Innings!A:A)=TRIM(A253))*(TRIM(Innings!D:D)=TRIM(E253)),0))</f>
        <v>44</v>
      </c>
      <c r="AE253" t="str" cm="1">
        <f t="array" ref="AE253">INDEX(Innings!W:W,MATCH(1,(TRIM(Innings!A:A)=TRIM(A253))*(TRIM(Innings!D:D)=TRIM(E253)),0))</f>
        <v>NA</v>
      </c>
      <c r="AF253">
        <f>IF(UPPER(TRIM(E253))=UPPER(TRIM(W253)),1,0)</f>
        <v>1</v>
      </c>
      <c r="AG253">
        <f t="shared" si="7"/>
        <v>22</v>
      </c>
    </row>
    <row r="254" spans="1:33" x14ac:dyDescent="0.3">
      <c r="A254" t="s">
        <v>145</v>
      </c>
      <c r="B254">
        <v>1</v>
      </c>
      <c r="C254" t="s">
        <v>131</v>
      </c>
      <c r="D254" t="s">
        <v>106</v>
      </c>
      <c r="E254" t="s">
        <v>266</v>
      </c>
      <c r="F254" t="s">
        <v>101</v>
      </c>
      <c r="G254" t="s">
        <v>135</v>
      </c>
      <c r="H254">
        <v>0</v>
      </c>
      <c r="I254">
        <v>0</v>
      </c>
      <c r="J254">
        <v>0</v>
      </c>
      <c r="K254" t="s">
        <v>104</v>
      </c>
      <c r="L254">
        <v>0</v>
      </c>
      <c r="M254">
        <v>4</v>
      </c>
      <c r="N254">
        <v>0</v>
      </c>
      <c r="O254">
        <v>20</v>
      </c>
      <c r="P254">
        <v>0</v>
      </c>
      <c r="Q254">
        <v>5</v>
      </c>
      <c r="R254">
        <v>0</v>
      </c>
      <c r="S254">
        <v>0</v>
      </c>
      <c r="T254">
        <v>0</v>
      </c>
      <c r="U254" s="8">
        <v>0</v>
      </c>
      <c r="V254" s="8">
        <f t="shared" si="6"/>
        <v>0</v>
      </c>
      <c r="W254" t="str">
        <f>_xlfn.XLOOKUP(A254, Matches!A:A, Matches!L:L, "NA", 0)</f>
        <v>MIW</v>
      </c>
      <c r="X254" t="str">
        <f>_xlfn.XLOOKUP(A254, Matches!A:A, Matches!J:J, "NA", 0)</f>
        <v>GGTW</v>
      </c>
      <c r="Y254" t="str">
        <f>_xlfn.XLOOKUP(A254, Matches!A:A, Matches!F:F, "NA", 0)</f>
        <v>Brabourne Stadium</v>
      </c>
      <c r="Z254" cm="1">
        <f t="array" ref="Z254">INDEX(Innings!F:F,MATCH(1,(TRIM(Innings!A:A)=TRIM(A254))*(TRIM(Innings!D:D)=TRIM(E254)),0))</f>
        <v>162</v>
      </c>
      <c r="AA254" cm="1">
        <f t="array" ref="AA254">INDEX(Innings!I:I,MATCH(1,(TRIM(Innings!A:A)=TRIM(A254))*(TRIM(Innings!D:D)=TRIM(E254)),0))</f>
        <v>8.1</v>
      </c>
      <c r="AB254" cm="1">
        <f t="array" ref="AB254">INDEX(Innings!J:J,MATCH(1,(TRIM(Innings!A:A)=TRIM(A254))*(TRIM(Innings!D:D)=TRIM(E254)),0))</f>
        <v>40</v>
      </c>
      <c r="AC254" cm="1">
        <f t="array" ref="AC254">INDEX(Innings!N:N,MATCH(1,(TRIM(Innings!A:A)=TRIM(A254))*(TRIM(Innings!D:D)=TRIM(E254)),0))</f>
        <v>38</v>
      </c>
      <c r="AD254" cm="1">
        <f t="array" ref="AD254">INDEX(Innings!S:S,MATCH(1,(TRIM(Innings!A:A)=TRIM(A254))*(TRIM(Innings!D:D)=TRIM(E254)),0))</f>
        <v>44</v>
      </c>
      <c r="AE254" t="str" cm="1">
        <f t="array" ref="AE254">INDEX(Innings!W:W,MATCH(1,(TRIM(Innings!A:A)=TRIM(A254))*(TRIM(Innings!D:D)=TRIM(E254)),0))</f>
        <v>NA</v>
      </c>
      <c r="AF254">
        <f>IF(UPPER(TRIM(E254))=UPPER(TRIM(W254)),1,0)</f>
        <v>1</v>
      </c>
      <c r="AG254">
        <f t="shared" si="7"/>
        <v>20</v>
      </c>
    </row>
    <row r="255" spans="1:33" x14ac:dyDescent="0.3">
      <c r="A255" t="s">
        <v>145</v>
      </c>
      <c r="B255">
        <v>1</v>
      </c>
      <c r="C255" t="s">
        <v>239</v>
      </c>
      <c r="D255" t="s">
        <v>241</v>
      </c>
      <c r="E255" t="s">
        <v>258</v>
      </c>
      <c r="F255" t="s">
        <v>109</v>
      </c>
      <c r="G255" t="s">
        <v>86</v>
      </c>
      <c r="H255">
        <v>0</v>
      </c>
      <c r="I255">
        <v>1</v>
      </c>
      <c r="J255">
        <v>0</v>
      </c>
      <c r="K255" t="s">
        <v>247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s="8">
        <v>0</v>
      </c>
      <c r="V255" s="8">
        <f t="shared" si="6"/>
        <v>0</v>
      </c>
      <c r="W255" t="str">
        <f>_xlfn.XLOOKUP(A255, Matches!A:A, Matches!L:L, "NA", 0)</f>
        <v>MIW</v>
      </c>
      <c r="X255" t="str">
        <f>_xlfn.XLOOKUP(A255, Matches!A:A, Matches!J:J, "NA", 0)</f>
        <v>GGTW</v>
      </c>
      <c r="Y255" t="str">
        <f>_xlfn.XLOOKUP(A255, Matches!A:A, Matches!F:F, "NA", 0)</f>
        <v>Brabourne Stadium</v>
      </c>
      <c r="Z255" cm="1">
        <f t="array" ref="Z255">INDEX(Innings!F:F,MATCH(1,(TRIM(Innings!A:A)=TRIM(A255))*(TRIM(Innings!D:D)=TRIM(E255)),0))</f>
        <v>107</v>
      </c>
      <c r="AA255" cm="1">
        <f t="array" ref="AA255">INDEX(Innings!I:I,MATCH(1,(TRIM(Innings!A:A)=TRIM(A255))*(TRIM(Innings!D:D)=TRIM(E255)),0))</f>
        <v>5.35</v>
      </c>
      <c r="AB255" cm="1">
        <f t="array" ref="AB255">INDEX(Innings!J:J,MATCH(1,(TRIM(Innings!A:A)=TRIM(A255))*(TRIM(Innings!D:D)=TRIM(E255)),0))</f>
        <v>34</v>
      </c>
      <c r="AC255" cm="1">
        <f t="array" ref="AC255">INDEX(Innings!N:N,MATCH(1,(TRIM(Innings!A:A)=TRIM(A255))*(TRIM(Innings!D:D)=TRIM(E255)),0))</f>
        <v>14</v>
      </c>
      <c r="AD255" cm="1">
        <f t="array" ref="AD255">INDEX(Innings!S:S,MATCH(1,(TRIM(Innings!A:A)=TRIM(A255))*(TRIM(Innings!D:D)=TRIM(E255)),0))</f>
        <v>54</v>
      </c>
      <c r="AE255" t="str" cm="1">
        <f t="array" ref="AE255">INDEX(Innings!W:W,MATCH(1,(TRIM(Innings!A:A)=TRIM(A255))*(TRIM(Innings!D:D)=TRIM(E255)),0))</f>
        <v>Failed</v>
      </c>
      <c r="AF255">
        <f>IF(UPPER(TRIM(E255))=UPPER(TRIM(W255)),1,0)</f>
        <v>0</v>
      </c>
      <c r="AG255">
        <f t="shared" si="7"/>
        <v>0</v>
      </c>
    </row>
    <row r="256" spans="1:33" x14ac:dyDescent="0.3">
      <c r="A256" t="s">
        <v>145</v>
      </c>
      <c r="B256">
        <v>1</v>
      </c>
      <c r="C256" t="s">
        <v>87</v>
      </c>
      <c r="D256" t="s">
        <v>82</v>
      </c>
      <c r="E256" t="s">
        <v>258</v>
      </c>
      <c r="F256" t="s">
        <v>109</v>
      </c>
      <c r="G256" t="s">
        <v>86</v>
      </c>
      <c r="H256">
        <v>16</v>
      </c>
      <c r="I256">
        <v>17</v>
      </c>
      <c r="J256">
        <v>94.12</v>
      </c>
      <c r="K256" t="s">
        <v>246</v>
      </c>
      <c r="L256">
        <v>15.06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s="8">
        <v>15.06</v>
      </c>
      <c r="V256" s="8">
        <f t="shared" si="6"/>
        <v>2</v>
      </c>
      <c r="W256" t="str">
        <f>_xlfn.XLOOKUP(A256, Matches!A:A, Matches!L:L, "NA", 0)</f>
        <v>MIW</v>
      </c>
      <c r="X256" t="str">
        <f>_xlfn.XLOOKUP(A256, Matches!A:A, Matches!J:J, "NA", 0)</f>
        <v>GGTW</v>
      </c>
      <c r="Y256" t="str">
        <f>_xlfn.XLOOKUP(A256, Matches!A:A, Matches!F:F, "NA", 0)</f>
        <v>Brabourne Stadium</v>
      </c>
      <c r="Z256" cm="1">
        <f t="array" ref="Z256">INDEX(Innings!F:F,MATCH(1,(TRIM(Innings!A:A)=TRIM(A256))*(TRIM(Innings!D:D)=TRIM(E256)),0))</f>
        <v>107</v>
      </c>
      <c r="AA256" cm="1">
        <f t="array" ref="AA256">INDEX(Innings!I:I,MATCH(1,(TRIM(Innings!A:A)=TRIM(A256))*(TRIM(Innings!D:D)=TRIM(E256)),0))</f>
        <v>5.35</v>
      </c>
      <c r="AB256" cm="1">
        <f t="array" ref="AB256">INDEX(Innings!J:J,MATCH(1,(TRIM(Innings!A:A)=TRIM(A256))*(TRIM(Innings!D:D)=TRIM(E256)),0))</f>
        <v>34</v>
      </c>
      <c r="AC256" cm="1">
        <f t="array" ref="AC256">INDEX(Innings!N:N,MATCH(1,(TRIM(Innings!A:A)=TRIM(A256))*(TRIM(Innings!D:D)=TRIM(E256)),0))</f>
        <v>14</v>
      </c>
      <c r="AD256" cm="1">
        <f t="array" ref="AD256">INDEX(Innings!S:S,MATCH(1,(TRIM(Innings!A:A)=TRIM(A256))*(TRIM(Innings!D:D)=TRIM(E256)),0))</f>
        <v>54</v>
      </c>
      <c r="AE256" t="str" cm="1">
        <f t="array" ref="AE256">INDEX(Innings!W:W,MATCH(1,(TRIM(Innings!A:A)=TRIM(A256))*(TRIM(Innings!D:D)=TRIM(E256)),0))</f>
        <v>Failed</v>
      </c>
      <c r="AF256">
        <f>IF(UPPER(TRIM(E256))=UPPER(TRIM(W256)),1,0)</f>
        <v>0</v>
      </c>
      <c r="AG256">
        <f t="shared" si="7"/>
        <v>8.1300000000000008</v>
      </c>
    </row>
    <row r="257" spans="1:33" x14ac:dyDescent="0.3">
      <c r="A257" t="s">
        <v>145</v>
      </c>
      <c r="B257">
        <v>1</v>
      </c>
      <c r="C257" t="s">
        <v>89</v>
      </c>
      <c r="D257" t="s">
        <v>116</v>
      </c>
      <c r="E257" t="s">
        <v>258</v>
      </c>
      <c r="F257" t="s">
        <v>83</v>
      </c>
      <c r="G257" t="s">
        <v>92</v>
      </c>
      <c r="H257">
        <v>22</v>
      </c>
      <c r="I257">
        <v>23</v>
      </c>
      <c r="J257">
        <v>95.65</v>
      </c>
      <c r="K257" t="s">
        <v>247</v>
      </c>
      <c r="L257">
        <v>21.04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s="8">
        <v>21.04</v>
      </c>
      <c r="V257" s="8">
        <f t="shared" si="6"/>
        <v>2</v>
      </c>
      <c r="W257" t="str">
        <f>_xlfn.XLOOKUP(A257, Matches!A:A, Matches!L:L, "NA", 0)</f>
        <v>MIW</v>
      </c>
      <c r="X257" t="str">
        <f>_xlfn.XLOOKUP(A257, Matches!A:A, Matches!J:J, "NA", 0)</f>
        <v>GGTW</v>
      </c>
      <c r="Y257" t="str">
        <f>_xlfn.XLOOKUP(A257, Matches!A:A, Matches!F:F, "NA", 0)</f>
        <v>Brabourne Stadium</v>
      </c>
      <c r="Z257" cm="1">
        <f t="array" ref="Z257">INDEX(Innings!F:F,MATCH(1,(TRIM(Innings!A:A)=TRIM(A257))*(TRIM(Innings!D:D)=TRIM(E257)),0))</f>
        <v>107</v>
      </c>
      <c r="AA257" cm="1">
        <f t="array" ref="AA257">INDEX(Innings!I:I,MATCH(1,(TRIM(Innings!A:A)=TRIM(A257))*(TRIM(Innings!D:D)=TRIM(E257)),0))</f>
        <v>5.35</v>
      </c>
      <c r="AB257" cm="1">
        <f t="array" ref="AB257">INDEX(Innings!J:J,MATCH(1,(TRIM(Innings!A:A)=TRIM(A257))*(TRIM(Innings!D:D)=TRIM(E257)),0))</f>
        <v>34</v>
      </c>
      <c r="AC257" cm="1">
        <f t="array" ref="AC257">INDEX(Innings!N:N,MATCH(1,(TRIM(Innings!A:A)=TRIM(A257))*(TRIM(Innings!D:D)=TRIM(E257)),0))</f>
        <v>14</v>
      </c>
      <c r="AD257" cm="1">
        <f t="array" ref="AD257">INDEX(Innings!S:S,MATCH(1,(TRIM(Innings!A:A)=TRIM(A257))*(TRIM(Innings!D:D)=TRIM(E257)),0))</f>
        <v>54</v>
      </c>
      <c r="AE257" t="str" cm="1">
        <f t="array" ref="AE257">INDEX(Innings!W:W,MATCH(1,(TRIM(Innings!A:A)=TRIM(A257))*(TRIM(Innings!D:D)=TRIM(E257)),0))</f>
        <v>Failed</v>
      </c>
      <c r="AF257">
        <f>IF(UPPER(TRIM(E257))=UPPER(TRIM(W257)),1,0)</f>
        <v>0</v>
      </c>
      <c r="AG257">
        <f t="shared" si="7"/>
        <v>11.12</v>
      </c>
    </row>
    <row r="258" spans="1:33" x14ac:dyDescent="0.3">
      <c r="A258" t="s">
        <v>145</v>
      </c>
      <c r="B258">
        <v>1</v>
      </c>
      <c r="C258" t="s">
        <v>94</v>
      </c>
      <c r="D258" t="s">
        <v>120</v>
      </c>
      <c r="E258" t="s">
        <v>258</v>
      </c>
      <c r="F258" t="s">
        <v>91</v>
      </c>
      <c r="G258" t="s">
        <v>134</v>
      </c>
      <c r="H258">
        <v>0</v>
      </c>
      <c r="I258">
        <v>4</v>
      </c>
      <c r="J258">
        <v>0</v>
      </c>
      <c r="K258" t="s">
        <v>247</v>
      </c>
      <c r="L258">
        <v>0</v>
      </c>
      <c r="M258">
        <v>4</v>
      </c>
      <c r="N258">
        <v>0</v>
      </c>
      <c r="O258">
        <v>42</v>
      </c>
      <c r="P258">
        <v>0</v>
      </c>
      <c r="Q258">
        <v>10.5</v>
      </c>
      <c r="R258">
        <v>0</v>
      </c>
      <c r="S258">
        <v>0</v>
      </c>
      <c r="T258">
        <v>0</v>
      </c>
      <c r="U258" s="8">
        <v>0</v>
      </c>
      <c r="V258" s="8">
        <f t="shared" si="6"/>
        <v>0</v>
      </c>
      <c r="W258" t="str">
        <f>_xlfn.XLOOKUP(A258, Matches!A:A, Matches!L:L, "NA", 0)</f>
        <v>MIW</v>
      </c>
      <c r="X258" t="str">
        <f>_xlfn.XLOOKUP(A258, Matches!A:A, Matches!J:J, "NA", 0)</f>
        <v>GGTW</v>
      </c>
      <c r="Y258" t="str">
        <f>_xlfn.XLOOKUP(A258, Matches!A:A, Matches!F:F, "NA", 0)</f>
        <v>Brabourne Stadium</v>
      </c>
      <c r="Z258" cm="1">
        <f t="array" ref="Z258">INDEX(Innings!F:F,MATCH(1,(TRIM(Innings!A:A)=TRIM(A258))*(TRIM(Innings!D:D)=TRIM(E258)),0))</f>
        <v>107</v>
      </c>
      <c r="AA258" cm="1">
        <f t="array" ref="AA258">INDEX(Innings!I:I,MATCH(1,(TRIM(Innings!A:A)=TRIM(A258))*(TRIM(Innings!D:D)=TRIM(E258)),0))</f>
        <v>5.35</v>
      </c>
      <c r="AB258" cm="1">
        <f t="array" ref="AB258">INDEX(Innings!J:J,MATCH(1,(TRIM(Innings!A:A)=TRIM(A258))*(TRIM(Innings!D:D)=TRIM(E258)),0))</f>
        <v>34</v>
      </c>
      <c r="AC258" cm="1">
        <f t="array" ref="AC258">INDEX(Innings!N:N,MATCH(1,(TRIM(Innings!A:A)=TRIM(A258))*(TRIM(Innings!D:D)=TRIM(E258)),0))</f>
        <v>14</v>
      </c>
      <c r="AD258" cm="1">
        <f t="array" ref="AD258">INDEX(Innings!S:S,MATCH(1,(TRIM(Innings!A:A)=TRIM(A258))*(TRIM(Innings!D:D)=TRIM(E258)),0))</f>
        <v>54</v>
      </c>
      <c r="AE258" t="str" cm="1">
        <f t="array" ref="AE258">INDEX(Innings!W:W,MATCH(1,(TRIM(Innings!A:A)=TRIM(A258))*(TRIM(Innings!D:D)=TRIM(E258)),0))</f>
        <v>Failed</v>
      </c>
      <c r="AF258">
        <f>IF(UPPER(TRIM(E258))=UPPER(TRIM(W258)),1,0)</f>
        <v>0</v>
      </c>
      <c r="AG258">
        <f t="shared" si="7"/>
        <v>0</v>
      </c>
    </row>
    <row r="259" spans="1:33" x14ac:dyDescent="0.3">
      <c r="A259" t="s">
        <v>145</v>
      </c>
      <c r="B259">
        <v>1</v>
      </c>
      <c r="C259" t="s">
        <v>93</v>
      </c>
      <c r="D259" t="s">
        <v>118</v>
      </c>
      <c r="E259" t="s">
        <v>258</v>
      </c>
      <c r="F259" t="s">
        <v>83</v>
      </c>
      <c r="G259" t="s">
        <v>134</v>
      </c>
      <c r="H259">
        <v>8</v>
      </c>
      <c r="I259">
        <v>10</v>
      </c>
      <c r="J259">
        <v>80</v>
      </c>
      <c r="K259" t="s">
        <v>246</v>
      </c>
      <c r="L259">
        <v>6.4</v>
      </c>
      <c r="M259">
        <v>4</v>
      </c>
      <c r="N259">
        <v>0</v>
      </c>
      <c r="O259">
        <v>34</v>
      </c>
      <c r="P259">
        <v>3</v>
      </c>
      <c r="Q259">
        <v>8.5</v>
      </c>
      <c r="R259">
        <v>60</v>
      </c>
      <c r="S259">
        <v>0</v>
      </c>
      <c r="T259">
        <v>0</v>
      </c>
      <c r="U259" s="8">
        <v>66.400000000000006</v>
      </c>
      <c r="V259" s="8">
        <f t="shared" ref="V259:V322" si="8">MIN(10, MAX(0, ROUND(U259/10,0)))</f>
        <v>7</v>
      </c>
      <c r="W259" t="str">
        <f>_xlfn.XLOOKUP(A259, Matches!A:A, Matches!L:L, "NA", 0)</f>
        <v>MIW</v>
      </c>
      <c r="X259" t="str">
        <f>_xlfn.XLOOKUP(A259, Matches!A:A, Matches!J:J, "NA", 0)</f>
        <v>GGTW</v>
      </c>
      <c r="Y259" t="str">
        <f>_xlfn.XLOOKUP(A259, Matches!A:A, Matches!F:F, "NA", 0)</f>
        <v>Brabourne Stadium</v>
      </c>
      <c r="Z259" cm="1">
        <f t="array" ref="Z259">INDEX(Innings!F:F,MATCH(1,(TRIM(Innings!A:A)=TRIM(A259))*(TRIM(Innings!D:D)=TRIM(E259)),0))</f>
        <v>107</v>
      </c>
      <c r="AA259" cm="1">
        <f t="array" ref="AA259">INDEX(Innings!I:I,MATCH(1,(TRIM(Innings!A:A)=TRIM(A259))*(TRIM(Innings!D:D)=TRIM(E259)),0))</f>
        <v>5.35</v>
      </c>
      <c r="AB259" cm="1">
        <f t="array" ref="AB259">INDEX(Innings!J:J,MATCH(1,(TRIM(Innings!A:A)=TRIM(A259))*(TRIM(Innings!D:D)=TRIM(E259)),0))</f>
        <v>34</v>
      </c>
      <c r="AC259" cm="1">
        <f t="array" ref="AC259">INDEX(Innings!N:N,MATCH(1,(TRIM(Innings!A:A)=TRIM(A259))*(TRIM(Innings!D:D)=TRIM(E259)),0))</f>
        <v>14</v>
      </c>
      <c r="AD259" cm="1">
        <f t="array" ref="AD259">INDEX(Innings!S:S,MATCH(1,(TRIM(Innings!A:A)=TRIM(A259))*(TRIM(Innings!D:D)=TRIM(E259)),0))</f>
        <v>54</v>
      </c>
      <c r="AE259" t="str" cm="1">
        <f t="array" ref="AE259">INDEX(Innings!W:W,MATCH(1,(TRIM(Innings!A:A)=TRIM(A259))*(TRIM(Innings!D:D)=TRIM(E259)),0))</f>
        <v>Failed</v>
      </c>
      <c r="AF259">
        <f>IF(UPPER(TRIM(E259))=UPPER(TRIM(W259)),1,0)</f>
        <v>0</v>
      </c>
      <c r="AG259">
        <f t="shared" ref="AG259:AG322" si="9">(0.5*MAX(0,U259) + 0.3*MAX(0,V259) + 0.2*AF259*100)</f>
        <v>35.300000000000004</v>
      </c>
    </row>
    <row r="260" spans="1:33" x14ac:dyDescent="0.3">
      <c r="A260" t="s">
        <v>145</v>
      </c>
      <c r="B260">
        <v>1</v>
      </c>
      <c r="C260" t="s">
        <v>97</v>
      </c>
      <c r="D260" t="s">
        <v>122</v>
      </c>
      <c r="E260" t="s">
        <v>258</v>
      </c>
      <c r="F260" t="s">
        <v>109</v>
      </c>
      <c r="G260" t="s">
        <v>134</v>
      </c>
      <c r="H260">
        <v>6</v>
      </c>
      <c r="I260">
        <v>6</v>
      </c>
      <c r="J260">
        <v>100</v>
      </c>
      <c r="K260" t="s">
        <v>246</v>
      </c>
      <c r="L260">
        <v>6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s="8">
        <v>6</v>
      </c>
      <c r="V260" s="8">
        <f t="shared" si="8"/>
        <v>1</v>
      </c>
      <c r="W260" t="str">
        <f>_xlfn.XLOOKUP(A260, Matches!A:A, Matches!L:L, "NA", 0)</f>
        <v>MIW</v>
      </c>
      <c r="X260" t="str">
        <f>_xlfn.XLOOKUP(A260, Matches!A:A, Matches!J:J, "NA", 0)</f>
        <v>GGTW</v>
      </c>
      <c r="Y260" t="str">
        <f>_xlfn.XLOOKUP(A260, Matches!A:A, Matches!F:F, "NA", 0)</f>
        <v>Brabourne Stadium</v>
      </c>
      <c r="Z260" cm="1">
        <f t="array" ref="Z260">INDEX(Innings!F:F,MATCH(1,(TRIM(Innings!A:A)=TRIM(A260))*(TRIM(Innings!D:D)=TRIM(E260)),0))</f>
        <v>107</v>
      </c>
      <c r="AA260" cm="1">
        <f t="array" ref="AA260">INDEX(Innings!I:I,MATCH(1,(TRIM(Innings!A:A)=TRIM(A260))*(TRIM(Innings!D:D)=TRIM(E260)),0))</f>
        <v>5.35</v>
      </c>
      <c r="AB260" cm="1">
        <f t="array" ref="AB260">INDEX(Innings!J:J,MATCH(1,(TRIM(Innings!A:A)=TRIM(A260))*(TRIM(Innings!D:D)=TRIM(E260)),0))</f>
        <v>34</v>
      </c>
      <c r="AC260" cm="1">
        <f t="array" ref="AC260">INDEX(Innings!N:N,MATCH(1,(TRIM(Innings!A:A)=TRIM(A260))*(TRIM(Innings!D:D)=TRIM(E260)),0))</f>
        <v>14</v>
      </c>
      <c r="AD260" cm="1">
        <f t="array" ref="AD260">INDEX(Innings!S:S,MATCH(1,(TRIM(Innings!A:A)=TRIM(A260))*(TRIM(Innings!D:D)=TRIM(E260)),0))</f>
        <v>54</v>
      </c>
      <c r="AE260" t="str" cm="1">
        <f t="array" ref="AE260">INDEX(Innings!W:W,MATCH(1,(TRIM(Innings!A:A)=TRIM(A260))*(TRIM(Innings!D:D)=TRIM(E260)),0))</f>
        <v>Failed</v>
      </c>
      <c r="AF260">
        <f>IF(UPPER(TRIM(E260))=UPPER(TRIM(W260)),1,0)</f>
        <v>0</v>
      </c>
      <c r="AG260">
        <f t="shared" si="9"/>
        <v>3.3</v>
      </c>
    </row>
    <row r="261" spans="1:33" x14ac:dyDescent="0.3">
      <c r="A261" t="s">
        <v>145</v>
      </c>
      <c r="B261">
        <v>1</v>
      </c>
      <c r="C261" t="s">
        <v>102</v>
      </c>
      <c r="D261" t="s">
        <v>126</v>
      </c>
      <c r="E261" t="s">
        <v>258</v>
      </c>
      <c r="F261" t="s">
        <v>101</v>
      </c>
      <c r="G261" t="s">
        <v>134</v>
      </c>
      <c r="H261">
        <v>20</v>
      </c>
      <c r="I261">
        <v>19</v>
      </c>
      <c r="J261">
        <v>105.26</v>
      </c>
      <c r="K261" t="s">
        <v>247</v>
      </c>
      <c r="L261">
        <v>21.05</v>
      </c>
      <c r="M261">
        <v>4</v>
      </c>
      <c r="N261">
        <v>0</v>
      </c>
      <c r="O261">
        <v>17</v>
      </c>
      <c r="P261">
        <v>1</v>
      </c>
      <c r="Q261">
        <v>4.2</v>
      </c>
      <c r="R261">
        <v>20</v>
      </c>
      <c r="S261">
        <v>0</v>
      </c>
      <c r="T261">
        <v>0</v>
      </c>
      <c r="U261" s="8">
        <v>41.05</v>
      </c>
      <c r="V261" s="8">
        <f t="shared" si="8"/>
        <v>4</v>
      </c>
      <c r="W261" t="str">
        <f>_xlfn.XLOOKUP(A261, Matches!A:A, Matches!L:L, "NA", 0)</f>
        <v>MIW</v>
      </c>
      <c r="X261" t="str">
        <f>_xlfn.XLOOKUP(A261, Matches!A:A, Matches!J:J, "NA", 0)</f>
        <v>GGTW</v>
      </c>
      <c r="Y261" t="str">
        <f>_xlfn.XLOOKUP(A261, Matches!A:A, Matches!F:F, "NA", 0)</f>
        <v>Brabourne Stadium</v>
      </c>
      <c r="Z261" cm="1">
        <f t="array" ref="Z261">INDEX(Innings!F:F,MATCH(1,(TRIM(Innings!A:A)=TRIM(A261))*(TRIM(Innings!D:D)=TRIM(E261)),0))</f>
        <v>107</v>
      </c>
      <c r="AA261" cm="1">
        <f t="array" ref="AA261">INDEX(Innings!I:I,MATCH(1,(TRIM(Innings!A:A)=TRIM(A261))*(TRIM(Innings!D:D)=TRIM(E261)),0))</f>
        <v>5.35</v>
      </c>
      <c r="AB261" cm="1">
        <f t="array" ref="AB261">INDEX(Innings!J:J,MATCH(1,(TRIM(Innings!A:A)=TRIM(A261))*(TRIM(Innings!D:D)=TRIM(E261)),0))</f>
        <v>34</v>
      </c>
      <c r="AC261" cm="1">
        <f t="array" ref="AC261">INDEX(Innings!N:N,MATCH(1,(TRIM(Innings!A:A)=TRIM(A261))*(TRIM(Innings!D:D)=TRIM(E261)),0))</f>
        <v>14</v>
      </c>
      <c r="AD261" cm="1">
        <f t="array" ref="AD261">INDEX(Innings!S:S,MATCH(1,(TRIM(Innings!A:A)=TRIM(A261))*(TRIM(Innings!D:D)=TRIM(E261)),0))</f>
        <v>54</v>
      </c>
      <c r="AE261" t="str" cm="1">
        <f t="array" ref="AE261">INDEX(Innings!W:W,MATCH(1,(TRIM(Innings!A:A)=TRIM(A261))*(TRIM(Innings!D:D)=TRIM(E261)),0))</f>
        <v>Failed</v>
      </c>
      <c r="AF261">
        <f>IF(UPPER(TRIM(E261))=UPPER(TRIM(W261)),1,0)</f>
        <v>0</v>
      </c>
      <c r="AG261">
        <f t="shared" si="9"/>
        <v>21.724999999999998</v>
      </c>
    </row>
    <row r="262" spans="1:33" x14ac:dyDescent="0.3">
      <c r="A262" t="s">
        <v>145</v>
      </c>
      <c r="B262">
        <v>1</v>
      </c>
      <c r="C262" t="s">
        <v>240</v>
      </c>
      <c r="D262" t="s">
        <v>243</v>
      </c>
      <c r="E262" t="s">
        <v>258</v>
      </c>
      <c r="F262" t="s">
        <v>85</v>
      </c>
      <c r="G262" t="s">
        <v>134</v>
      </c>
      <c r="H262">
        <v>18</v>
      </c>
      <c r="I262">
        <v>19</v>
      </c>
      <c r="J262">
        <v>94.74</v>
      </c>
      <c r="K262" t="s">
        <v>96</v>
      </c>
      <c r="L262">
        <v>17.05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s="8">
        <v>17.05</v>
      </c>
      <c r="V262" s="8">
        <f t="shared" si="8"/>
        <v>2</v>
      </c>
      <c r="W262" t="str">
        <f>_xlfn.XLOOKUP(A262, Matches!A:A, Matches!L:L, "NA", 0)</f>
        <v>MIW</v>
      </c>
      <c r="X262" t="str">
        <f>_xlfn.XLOOKUP(A262, Matches!A:A, Matches!J:J, "NA", 0)</f>
        <v>GGTW</v>
      </c>
      <c r="Y262" t="str">
        <f>_xlfn.XLOOKUP(A262, Matches!A:A, Matches!F:F, "NA", 0)</f>
        <v>Brabourne Stadium</v>
      </c>
      <c r="Z262" cm="1">
        <f t="array" ref="Z262">INDEX(Innings!F:F,MATCH(1,(TRIM(Innings!A:A)=TRIM(A262))*(TRIM(Innings!D:D)=TRIM(E262)),0))</f>
        <v>107</v>
      </c>
      <c r="AA262" cm="1">
        <f t="array" ref="AA262">INDEX(Innings!I:I,MATCH(1,(TRIM(Innings!A:A)=TRIM(A262))*(TRIM(Innings!D:D)=TRIM(E262)),0))</f>
        <v>5.35</v>
      </c>
      <c r="AB262" cm="1">
        <f t="array" ref="AB262">INDEX(Innings!J:J,MATCH(1,(TRIM(Innings!A:A)=TRIM(A262))*(TRIM(Innings!D:D)=TRIM(E262)),0))</f>
        <v>34</v>
      </c>
      <c r="AC262" cm="1">
        <f t="array" ref="AC262">INDEX(Innings!N:N,MATCH(1,(TRIM(Innings!A:A)=TRIM(A262))*(TRIM(Innings!D:D)=TRIM(E262)),0))</f>
        <v>14</v>
      </c>
      <c r="AD262" cm="1">
        <f t="array" ref="AD262">INDEX(Innings!S:S,MATCH(1,(TRIM(Innings!A:A)=TRIM(A262))*(TRIM(Innings!D:D)=TRIM(E262)),0))</f>
        <v>54</v>
      </c>
      <c r="AE262" t="str" cm="1">
        <f t="array" ref="AE262">INDEX(Innings!W:W,MATCH(1,(TRIM(Innings!A:A)=TRIM(A262))*(TRIM(Innings!D:D)=TRIM(E262)),0))</f>
        <v>Failed</v>
      </c>
      <c r="AF262">
        <f>IF(UPPER(TRIM(E262))=UPPER(TRIM(W262)),1,0)</f>
        <v>0</v>
      </c>
      <c r="AG262">
        <f t="shared" si="9"/>
        <v>9.125</v>
      </c>
    </row>
    <row r="263" spans="1:33" x14ac:dyDescent="0.3">
      <c r="A263" t="s">
        <v>145</v>
      </c>
      <c r="B263">
        <v>1</v>
      </c>
      <c r="C263" t="s">
        <v>242</v>
      </c>
      <c r="D263" t="s">
        <v>244</v>
      </c>
      <c r="E263" t="s">
        <v>258</v>
      </c>
      <c r="F263" t="s">
        <v>101</v>
      </c>
      <c r="G263" t="s">
        <v>135</v>
      </c>
      <c r="H263">
        <v>8</v>
      </c>
      <c r="I263">
        <v>8</v>
      </c>
      <c r="J263">
        <v>100</v>
      </c>
      <c r="K263" t="s">
        <v>246</v>
      </c>
      <c r="L263">
        <v>8</v>
      </c>
      <c r="M263">
        <v>4</v>
      </c>
      <c r="N263">
        <v>0</v>
      </c>
      <c r="O263">
        <v>31</v>
      </c>
      <c r="P263">
        <v>1</v>
      </c>
      <c r="Q263">
        <v>7.8</v>
      </c>
      <c r="R263">
        <v>20</v>
      </c>
      <c r="S263">
        <v>0</v>
      </c>
      <c r="T263">
        <v>0</v>
      </c>
      <c r="U263" s="8">
        <v>28</v>
      </c>
      <c r="V263" s="8">
        <f t="shared" si="8"/>
        <v>3</v>
      </c>
      <c r="W263" t="str">
        <f>_xlfn.XLOOKUP(A263, Matches!A:A, Matches!L:L, "NA", 0)</f>
        <v>MIW</v>
      </c>
      <c r="X263" t="str">
        <f>_xlfn.XLOOKUP(A263, Matches!A:A, Matches!J:J, "NA", 0)</f>
        <v>GGTW</v>
      </c>
      <c r="Y263" t="str">
        <f>_xlfn.XLOOKUP(A263, Matches!A:A, Matches!F:F, "NA", 0)</f>
        <v>Brabourne Stadium</v>
      </c>
      <c r="Z263" cm="1">
        <f t="array" ref="Z263">INDEX(Innings!F:F,MATCH(1,(TRIM(Innings!A:A)=TRIM(A263))*(TRIM(Innings!D:D)=TRIM(E263)),0))</f>
        <v>107</v>
      </c>
      <c r="AA263" cm="1">
        <f t="array" ref="AA263">INDEX(Innings!I:I,MATCH(1,(TRIM(Innings!A:A)=TRIM(A263))*(TRIM(Innings!D:D)=TRIM(E263)),0))</f>
        <v>5.35</v>
      </c>
      <c r="AB263" cm="1">
        <f t="array" ref="AB263">INDEX(Innings!J:J,MATCH(1,(TRIM(Innings!A:A)=TRIM(A263))*(TRIM(Innings!D:D)=TRIM(E263)),0))</f>
        <v>34</v>
      </c>
      <c r="AC263" cm="1">
        <f t="array" ref="AC263">INDEX(Innings!N:N,MATCH(1,(TRIM(Innings!A:A)=TRIM(A263))*(TRIM(Innings!D:D)=TRIM(E263)),0))</f>
        <v>14</v>
      </c>
      <c r="AD263" cm="1">
        <f t="array" ref="AD263">INDEX(Innings!S:S,MATCH(1,(TRIM(Innings!A:A)=TRIM(A263))*(TRIM(Innings!D:D)=TRIM(E263)),0))</f>
        <v>54</v>
      </c>
      <c r="AE263" t="str" cm="1">
        <f t="array" ref="AE263">INDEX(Innings!W:W,MATCH(1,(TRIM(Innings!A:A)=TRIM(A263))*(TRIM(Innings!D:D)=TRIM(E263)),0))</f>
        <v>Failed</v>
      </c>
      <c r="AF263">
        <f>IF(UPPER(TRIM(E263))=UPPER(TRIM(W263)),1,0)</f>
        <v>0</v>
      </c>
      <c r="AG263">
        <f t="shared" si="9"/>
        <v>14.9</v>
      </c>
    </row>
    <row r="264" spans="1:33" x14ac:dyDescent="0.3">
      <c r="A264" t="s">
        <v>145</v>
      </c>
      <c r="B264">
        <v>1</v>
      </c>
      <c r="C264" t="s">
        <v>105</v>
      </c>
      <c r="D264" t="s">
        <v>128</v>
      </c>
      <c r="E264" t="s">
        <v>258</v>
      </c>
      <c r="F264" t="s">
        <v>101</v>
      </c>
      <c r="G264" t="s">
        <v>135</v>
      </c>
      <c r="H264">
        <v>0</v>
      </c>
      <c r="I264">
        <v>4</v>
      </c>
      <c r="J264">
        <v>0</v>
      </c>
      <c r="K264" t="s">
        <v>246</v>
      </c>
      <c r="L264">
        <v>0</v>
      </c>
      <c r="M264">
        <v>4</v>
      </c>
      <c r="N264">
        <v>0</v>
      </c>
      <c r="O264">
        <v>32</v>
      </c>
      <c r="P264">
        <v>1</v>
      </c>
      <c r="Q264">
        <v>8</v>
      </c>
      <c r="R264">
        <v>20</v>
      </c>
      <c r="S264">
        <v>0</v>
      </c>
      <c r="T264">
        <v>0</v>
      </c>
      <c r="U264" s="8">
        <v>20</v>
      </c>
      <c r="V264" s="8">
        <f t="shared" si="8"/>
        <v>2</v>
      </c>
      <c r="W264" t="str">
        <f>_xlfn.XLOOKUP(A264, Matches!A:A, Matches!L:L, "NA", 0)</f>
        <v>MIW</v>
      </c>
      <c r="X264" t="str">
        <f>_xlfn.XLOOKUP(A264, Matches!A:A, Matches!J:J, "NA", 0)</f>
        <v>GGTW</v>
      </c>
      <c r="Y264" t="str">
        <f>_xlfn.XLOOKUP(A264, Matches!A:A, Matches!F:F, "NA", 0)</f>
        <v>Brabourne Stadium</v>
      </c>
      <c r="Z264" cm="1">
        <f t="array" ref="Z264">INDEX(Innings!F:F,MATCH(1,(TRIM(Innings!A:A)=TRIM(A264))*(TRIM(Innings!D:D)=TRIM(E264)),0))</f>
        <v>107</v>
      </c>
      <c r="AA264" cm="1">
        <f t="array" ref="AA264">INDEX(Innings!I:I,MATCH(1,(TRIM(Innings!A:A)=TRIM(A264))*(TRIM(Innings!D:D)=TRIM(E264)),0))</f>
        <v>5.35</v>
      </c>
      <c r="AB264" cm="1">
        <f t="array" ref="AB264">INDEX(Innings!J:J,MATCH(1,(TRIM(Innings!A:A)=TRIM(A264))*(TRIM(Innings!D:D)=TRIM(E264)),0))</f>
        <v>34</v>
      </c>
      <c r="AC264" cm="1">
        <f t="array" ref="AC264">INDEX(Innings!N:N,MATCH(1,(TRIM(Innings!A:A)=TRIM(A264))*(TRIM(Innings!D:D)=TRIM(E264)),0))</f>
        <v>14</v>
      </c>
      <c r="AD264" cm="1">
        <f t="array" ref="AD264">INDEX(Innings!S:S,MATCH(1,(TRIM(Innings!A:A)=TRIM(A264))*(TRIM(Innings!D:D)=TRIM(E264)),0))</f>
        <v>54</v>
      </c>
      <c r="AE264" t="str" cm="1">
        <f t="array" ref="AE264">INDEX(Innings!W:W,MATCH(1,(TRIM(Innings!A:A)=TRIM(A264))*(TRIM(Innings!D:D)=TRIM(E264)),0))</f>
        <v>Failed</v>
      </c>
      <c r="AF264">
        <f>IF(UPPER(TRIM(E264))=UPPER(TRIM(W264)),1,0)</f>
        <v>0</v>
      </c>
      <c r="AG264">
        <f t="shared" si="9"/>
        <v>10.6</v>
      </c>
    </row>
    <row r="265" spans="1:33" x14ac:dyDescent="0.3">
      <c r="A265" t="s">
        <v>145</v>
      </c>
      <c r="B265">
        <v>1</v>
      </c>
      <c r="C265" t="s">
        <v>110</v>
      </c>
      <c r="D265" t="s">
        <v>132</v>
      </c>
      <c r="E265" t="s">
        <v>258</v>
      </c>
      <c r="F265" t="s">
        <v>101</v>
      </c>
      <c r="G265" t="s">
        <v>135</v>
      </c>
      <c r="H265">
        <v>7</v>
      </c>
      <c r="I265">
        <v>9</v>
      </c>
      <c r="J265">
        <v>77.78</v>
      </c>
      <c r="K265" t="s">
        <v>96</v>
      </c>
      <c r="L265">
        <v>5.44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s="8">
        <v>5.44</v>
      </c>
      <c r="V265" s="8">
        <f t="shared" si="8"/>
        <v>1</v>
      </c>
      <c r="W265" t="str">
        <f>_xlfn.XLOOKUP(A265, Matches!A:A, Matches!L:L, "NA", 0)</f>
        <v>MIW</v>
      </c>
      <c r="X265" t="str">
        <f>_xlfn.XLOOKUP(A265, Matches!A:A, Matches!J:J, "NA", 0)</f>
        <v>GGTW</v>
      </c>
      <c r="Y265" t="str">
        <f>_xlfn.XLOOKUP(A265, Matches!A:A, Matches!F:F, "NA", 0)</f>
        <v>Brabourne Stadium</v>
      </c>
      <c r="Z265" cm="1">
        <f t="array" ref="Z265">INDEX(Innings!F:F,MATCH(1,(TRIM(Innings!A:A)=TRIM(A265))*(TRIM(Innings!D:D)=TRIM(E265)),0))</f>
        <v>107</v>
      </c>
      <c r="AA265" cm="1">
        <f t="array" ref="AA265">INDEX(Innings!I:I,MATCH(1,(TRIM(Innings!A:A)=TRIM(A265))*(TRIM(Innings!D:D)=TRIM(E265)),0))</f>
        <v>5.35</v>
      </c>
      <c r="AB265" cm="1">
        <f t="array" ref="AB265">INDEX(Innings!J:J,MATCH(1,(TRIM(Innings!A:A)=TRIM(A265))*(TRIM(Innings!D:D)=TRIM(E265)),0))</f>
        <v>34</v>
      </c>
      <c r="AC265" cm="1">
        <f t="array" ref="AC265">INDEX(Innings!N:N,MATCH(1,(TRIM(Innings!A:A)=TRIM(A265))*(TRIM(Innings!D:D)=TRIM(E265)),0))</f>
        <v>14</v>
      </c>
      <c r="AD265" cm="1">
        <f t="array" ref="AD265">INDEX(Innings!S:S,MATCH(1,(TRIM(Innings!A:A)=TRIM(A265))*(TRIM(Innings!D:D)=TRIM(E265)),0))</f>
        <v>54</v>
      </c>
      <c r="AE265" t="str" cm="1">
        <f t="array" ref="AE265">INDEX(Innings!W:W,MATCH(1,(TRIM(Innings!A:A)=TRIM(A265))*(TRIM(Innings!D:D)=TRIM(E265)),0))</f>
        <v>Failed</v>
      </c>
      <c r="AF265">
        <f>IF(UPPER(TRIM(E265))=UPPER(TRIM(W265)),1,0)</f>
        <v>0</v>
      </c>
      <c r="AG265">
        <f t="shared" si="9"/>
        <v>3.02</v>
      </c>
    </row>
    <row r="266" spans="1:33" x14ac:dyDescent="0.3">
      <c r="A266" t="s">
        <v>146</v>
      </c>
      <c r="B266">
        <v>1</v>
      </c>
      <c r="C266" t="s">
        <v>217</v>
      </c>
      <c r="D266" t="s">
        <v>218</v>
      </c>
      <c r="E266" t="s">
        <v>219</v>
      </c>
      <c r="F266" t="s">
        <v>85</v>
      </c>
      <c r="G266" t="s">
        <v>86</v>
      </c>
      <c r="H266">
        <v>1</v>
      </c>
      <c r="I266">
        <v>3</v>
      </c>
      <c r="J266">
        <v>33.33</v>
      </c>
      <c r="K266" t="s">
        <v>246</v>
      </c>
      <c r="L266">
        <v>0.33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s="8">
        <v>0.33</v>
      </c>
      <c r="V266" s="8">
        <f t="shared" si="8"/>
        <v>0</v>
      </c>
      <c r="W266" t="str">
        <f>_xlfn.XLOOKUP(A266, Matches!A:A, Matches!L:L, "NA", 0)</f>
        <v>RCBW</v>
      </c>
      <c r="X266" t="str">
        <f>_xlfn.XLOOKUP(A266, Matches!A:A, Matches!J:J, "NA", 0)</f>
        <v>RCBW</v>
      </c>
      <c r="Y266" t="str">
        <f>_xlfn.XLOOKUP(A266, Matches!A:A, Matches!F:F, "NA", 0)</f>
        <v>Dr DY Patil Sports </v>
      </c>
      <c r="Z266" cm="1">
        <f t="array" ref="Z266">INDEX(Innings!F:F,MATCH(1,(TRIM(Innings!A:A)=TRIM(A266))*(TRIM(Innings!D:D)=TRIM(E266)),0))</f>
        <v>135</v>
      </c>
      <c r="AA266" cm="1">
        <f t="array" ref="AA266">INDEX(Innings!I:I,MATCH(1,(TRIM(Innings!A:A)=TRIM(A266))*(TRIM(Innings!D:D)=TRIM(E266)),0))</f>
        <v>6.92</v>
      </c>
      <c r="AB266" cm="1">
        <f t="array" ref="AB266">INDEX(Innings!J:J,MATCH(1,(TRIM(Innings!A:A)=TRIM(A266))*(TRIM(Innings!D:D)=TRIM(E266)),0))</f>
        <v>29</v>
      </c>
      <c r="AC266" cm="1">
        <f t="array" ref="AC266">INDEX(Innings!N:N,MATCH(1,(TRIM(Innings!A:A)=TRIM(A266))*(TRIM(Innings!D:D)=TRIM(E266)),0))</f>
        <v>32</v>
      </c>
      <c r="AD266" cm="1">
        <f t="array" ref="AD266">INDEX(Innings!S:S,MATCH(1,(TRIM(Innings!A:A)=TRIM(A266))*(TRIM(Innings!D:D)=TRIM(E266)),0))</f>
        <v>52</v>
      </c>
      <c r="AE266" t="str" cm="1">
        <f t="array" ref="AE266">INDEX(Innings!W:W,MATCH(1,(TRIM(Innings!A:A)=TRIM(A266))*(TRIM(Innings!D:D)=TRIM(E266)),0))</f>
        <v>NA</v>
      </c>
      <c r="AF266">
        <f>IF(UPPER(TRIM(E266))=UPPER(TRIM(W266)),1,0)</f>
        <v>0</v>
      </c>
      <c r="AG266">
        <f t="shared" si="9"/>
        <v>0.16500000000000001</v>
      </c>
    </row>
    <row r="267" spans="1:33" x14ac:dyDescent="0.3">
      <c r="A267" t="s">
        <v>146</v>
      </c>
      <c r="B267">
        <v>1</v>
      </c>
      <c r="C267" t="s">
        <v>231</v>
      </c>
      <c r="D267" t="s">
        <v>232</v>
      </c>
      <c r="E267" t="s">
        <v>219</v>
      </c>
      <c r="F267" t="s">
        <v>109</v>
      </c>
      <c r="G267" t="s">
        <v>86</v>
      </c>
      <c r="H267">
        <v>0</v>
      </c>
      <c r="I267">
        <v>1</v>
      </c>
      <c r="J267">
        <v>0</v>
      </c>
      <c r="K267" t="s">
        <v>247</v>
      </c>
      <c r="L267">
        <v>0</v>
      </c>
      <c r="M267">
        <v>2</v>
      </c>
      <c r="N267">
        <v>0</v>
      </c>
      <c r="O267">
        <v>19</v>
      </c>
      <c r="P267">
        <v>1</v>
      </c>
      <c r="Q267">
        <v>9.5</v>
      </c>
      <c r="R267">
        <v>20</v>
      </c>
      <c r="S267">
        <v>0</v>
      </c>
      <c r="T267">
        <v>0</v>
      </c>
      <c r="U267" s="8">
        <v>20</v>
      </c>
      <c r="V267" s="8">
        <f t="shared" si="8"/>
        <v>2</v>
      </c>
      <c r="W267" t="str">
        <f>_xlfn.XLOOKUP(A267, Matches!A:A, Matches!L:L, "NA", 0)</f>
        <v>RCBW</v>
      </c>
      <c r="X267" t="str">
        <f>_xlfn.XLOOKUP(A267, Matches!A:A, Matches!J:J, "NA", 0)</f>
        <v>RCBW</v>
      </c>
      <c r="Y267" t="str">
        <f>_xlfn.XLOOKUP(A267, Matches!A:A, Matches!F:F, "NA", 0)</f>
        <v>Dr DY Patil Sports </v>
      </c>
      <c r="Z267" cm="1">
        <f t="array" ref="Z267">INDEX(Innings!F:F,MATCH(1,(TRIM(Innings!A:A)=TRIM(A267))*(TRIM(Innings!D:D)=TRIM(E267)),0))</f>
        <v>135</v>
      </c>
      <c r="AA267" cm="1">
        <f t="array" ref="AA267">INDEX(Innings!I:I,MATCH(1,(TRIM(Innings!A:A)=TRIM(A267))*(TRIM(Innings!D:D)=TRIM(E267)),0))</f>
        <v>6.92</v>
      </c>
      <c r="AB267" cm="1">
        <f t="array" ref="AB267">INDEX(Innings!J:J,MATCH(1,(TRIM(Innings!A:A)=TRIM(A267))*(TRIM(Innings!D:D)=TRIM(E267)),0))</f>
        <v>29</v>
      </c>
      <c r="AC267" cm="1">
        <f t="array" ref="AC267">INDEX(Innings!N:N,MATCH(1,(TRIM(Innings!A:A)=TRIM(A267))*(TRIM(Innings!D:D)=TRIM(E267)),0))</f>
        <v>32</v>
      </c>
      <c r="AD267" cm="1">
        <f t="array" ref="AD267">INDEX(Innings!S:S,MATCH(1,(TRIM(Innings!A:A)=TRIM(A267))*(TRIM(Innings!D:D)=TRIM(E267)),0))</f>
        <v>52</v>
      </c>
      <c r="AE267" t="str" cm="1">
        <f t="array" ref="AE267">INDEX(Innings!W:W,MATCH(1,(TRIM(Innings!A:A)=TRIM(A267))*(TRIM(Innings!D:D)=TRIM(E267)),0))</f>
        <v>NA</v>
      </c>
      <c r="AF267">
        <f>IF(UPPER(TRIM(E267))=UPPER(TRIM(W267)),1,0)</f>
        <v>0</v>
      </c>
      <c r="AG267">
        <f t="shared" si="9"/>
        <v>10.6</v>
      </c>
    </row>
    <row r="268" spans="1:33" x14ac:dyDescent="0.3">
      <c r="A268" t="s">
        <v>146</v>
      </c>
      <c r="B268">
        <v>1</v>
      </c>
      <c r="C268" t="s">
        <v>229</v>
      </c>
      <c r="D268" t="s">
        <v>230</v>
      </c>
      <c r="E268" t="s">
        <v>219</v>
      </c>
      <c r="F268" t="s">
        <v>109</v>
      </c>
      <c r="G268" t="s">
        <v>92</v>
      </c>
      <c r="H268">
        <v>22</v>
      </c>
      <c r="I268">
        <v>26</v>
      </c>
      <c r="J268">
        <v>84.62</v>
      </c>
      <c r="K268" t="s">
        <v>246</v>
      </c>
      <c r="L268">
        <v>18.62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s="8">
        <v>18.62</v>
      </c>
      <c r="V268" s="8">
        <f t="shared" si="8"/>
        <v>2</v>
      </c>
      <c r="W268" t="str">
        <f>_xlfn.XLOOKUP(A268, Matches!A:A, Matches!L:L, "NA", 0)</f>
        <v>RCBW</v>
      </c>
      <c r="X268" t="str">
        <f>_xlfn.XLOOKUP(A268, Matches!A:A, Matches!J:J, "NA", 0)</f>
        <v>RCBW</v>
      </c>
      <c r="Y268" t="str">
        <f>_xlfn.XLOOKUP(A268, Matches!A:A, Matches!F:F, "NA", 0)</f>
        <v>Dr DY Patil Sports </v>
      </c>
      <c r="Z268" cm="1">
        <f t="array" ref="Z268">INDEX(Innings!F:F,MATCH(1,(TRIM(Innings!A:A)=TRIM(A268))*(TRIM(Innings!D:D)=TRIM(E268)),0))</f>
        <v>135</v>
      </c>
      <c r="AA268" cm="1">
        <f t="array" ref="AA268">INDEX(Innings!I:I,MATCH(1,(TRIM(Innings!A:A)=TRIM(A268))*(TRIM(Innings!D:D)=TRIM(E268)),0))</f>
        <v>6.92</v>
      </c>
      <c r="AB268" cm="1">
        <f t="array" ref="AB268">INDEX(Innings!J:J,MATCH(1,(TRIM(Innings!A:A)=TRIM(A268))*(TRIM(Innings!D:D)=TRIM(E268)),0))</f>
        <v>29</v>
      </c>
      <c r="AC268" cm="1">
        <f t="array" ref="AC268">INDEX(Innings!N:N,MATCH(1,(TRIM(Innings!A:A)=TRIM(A268))*(TRIM(Innings!D:D)=TRIM(E268)),0))</f>
        <v>32</v>
      </c>
      <c r="AD268" cm="1">
        <f t="array" ref="AD268">INDEX(Innings!S:S,MATCH(1,(TRIM(Innings!A:A)=TRIM(A268))*(TRIM(Innings!D:D)=TRIM(E268)),0))</f>
        <v>52</v>
      </c>
      <c r="AE268" t="str" cm="1">
        <f t="array" ref="AE268">INDEX(Innings!W:W,MATCH(1,(TRIM(Innings!A:A)=TRIM(A268))*(TRIM(Innings!D:D)=TRIM(E268)),0))</f>
        <v>NA</v>
      </c>
      <c r="AF268">
        <f>IF(UPPER(TRIM(E268))=UPPER(TRIM(W268)),1,0)</f>
        <v>0</v>
      </c>
      <c r="AG268">
        <f t="shared" si="9"/>
        <v>9.91</v>
      </c>
    </row>
    <row r="269" spans="1:33" x14ac:dyDescent="0.3">
      <c r="A269" t="s">
        <v>146</v>
      </c>
      <c r="B269">
        <v>1</v>
      </c>
      <c r="C269" t="s">
        <v>222</v>
      </c>
      <c r="D269" t="s">
        <v>223</v>
      </c>
      <c r="E269" t="s">
        <v>219</v>
      </c>
      <c r="F269" t="s">
        <v>83</v>
      </c>
      <c r="G269" t="s">
        <v>92</v>
      </c>
      <c r="H269">
        <v>2</v>
      </c>
      <c r="I269">
        <v>2</v>
      </c>
      <c r="J269">
        <v>100</v>
      </c>
      <c r="K269" t="s">
        <v>246</v>
      </c>
      <c r="L269">
        <v>2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s="8">
        <v>2</v>
      </c>
      <c r="V269" s="8">
        <f t="shared" si="8"/>
        <v>0</v>
      </c>
      <c r="W269" t="str">
        <f>_xlfn.XLOOKUP(A269, Matches!A:A, Matches!L:L, "NA", 0)</f>
        <v>RCBW</v>
      </c>
      <c r="X269" t="str">
        <f>_xlfn.XLOOKUP(A269, Matches!A:A, Matches!J:J, "NA", 0)</f>
        <v>RCBW</v>
      </c>
      <c r="Y269" t="str">
        <f>_xlfn.XLOOKUP(A269, Matches!A:A, Matches!F:F, "NA", 0)</f>
        <v>Dr DY Patil Sports </v>
      </c>
      <c r="Z269" cm="1">
        <f t="array" ref="Z269">INDEX(Innings!F:F,MATCH(1,(TRIM(Innings!A:A)=TRIM(A269))*(TRIM(Innings!D:D)=TRIM(E269)),0))</f>
        <v>135</v>
      </c>
      <c r="AA269" cm="1">
        <f t="array" ref="AA269">INDEX(Innings!I:I,MATCH(1,(TRIM(Innings!A:A)=TRIM(A269))*(TRIM(Innings!D:D)=TRIM(E269)),0))</f>
        <v>6.92</v>
      </c>
      <c r="AB269" cm="1">
        <f t="array" ref="AB269">INDEX(Innings!J:J,MATCH(1,(TRIM(Innings!A:A)=TRIM(A269))*(TRIM(Innings!D:D)=TRIM(E269)),0))</f>
        <v>29</v>
      </c>
      <c r="AC269" cm="1">
        <f t="array" ref="AC269">INDEX(Innings!N:N,MATCH(1,(TRIM(Innings!A:A)=TRIM(A269))*(TRIM(Innings!D:D)=TRIM(E269)),0))</f>
        <v>32</v>
      </c>
      <c r="AD269" cm="1">
        <f t="array" ref="AD269">INDEX(Innings!S:S,MATCH(1,(TRIM(Innings!A:A)=TRIM(A269))*(TRIM(Innings!D:D)=TRIM(E269)),0))</f>
        <v>52</v>
      </c>
      <c r="AE269" t="str" cm="1">
        <f t="array" ref="AE269">INDEX(Innings!W:W,MATCH(1,(TRIM(Innings!A:A)=TRIM(A269))*(TRIM(Innings!D:D)=TRIM(E269)),0))</f>
        <v>NA</v>
      </c>
      <c r="AF269">
        <f>IF(UPPER(TRIM(E269))=UPPER(TRIM(W269)),1,0)</f>
        <v>0</v>
      </c>
      <c r="AG269">
        <f t="shared" si="9"/>
        <v>1</v>
      </c>
    </row>
    <row r="270" spans="1:33" x14ac:dyDescent="0.3">
      <c r="A270" t="s">
        <v>146</v>
      </c>
      <c r="B270">
        <v>1</v>
      </c>
      <c r="C270" t="s">
        <v>226</v>
      </c>
      <c r="D270" t="s">
        <v>211</v>
      </c>
      <c r="E270" t="s">
        <v>219</v>
      </c>
      <c r="F270" t="s">
        <v>83</v>
      </c>
      <c r="G270" t="s">
        <v>134</v>
      </c>
      <c r="H270">
        <v>46</v>
      </c>
      <c r="I270">
        <v>32</v>
      </c>
      <c r="J270">
        <v>143.75</v>
      </c>
      <c r="K270" t="s">
        <v>246</v>
      </c>
      <c r="L270">
        <v>66.13</v>
      </c>
      <c r="M270">
        <v>3</v>
      </c>
      <c r="N270">
        <v>0</v>
      </c>
      <c r="O270">
        <v>28</v>
      </c>
      <c r="P270">
        <v>1</v>
      </c>
      <c r="Q270">
        <v>9.3000000000000007</v>
      </c>
      <c r="R270">
        <v>20</v>
      </c>
      <c r="S270">
        <v>0</v>
      </c>
      <c r="T270">
        <v>0</v>
      </c>
      <c r="U270" s="8">
        <v>86.13</v>
      </c>
      <c r="V270" s="8">
        <f t="shared" si="8"/>
        <v>9</v>
      </c>
      <c r="W270" t="str">
        <f>_xlfn.XLOOKUP(A270, Matches!A:A, Matches!L:L, "NA", 0)</f>
        <v>RCBW</v>
      </c>
      <c r="X270" t="str">
        <f>_xlfn.XLOOKUP(A270, Matches!A:A, Matches!J:J, "NA", 0)</f>
        <v>RCBW</v>
      </c>
      <c r="Y270" t="str">
        <f>_xlfn.XLOOKUP(A270, Matches!A:A, Matches!F:F, "NA", 0)</f>
        <v>Dr DY Patil Sports </v>
      </c>
      <c r="Z270" cm="1">
        <f t="array" ref="Z270">INDEX(Innings!F:F,MATCH(1,(TRIM(Innings!A:A)=TRIM(A270))*(TRIM(Innings!D:D)=TRIM(E270)),0))</f>
        <v>135</v>
      </c>
      <c r="AA270" cm="1">
        <f t="array" ref="AA270">INDEX(Innings!I:I,MATCH(1,(TRIM(Innings!A:A)=TRIM(A270))*(TRIM(Innings!D:D)=TRIM(E270)),0))</f>
        <v>6.92</v>
      </c>
      <c r="AB270" cm="1">
        <f t="array" ref="AB270">INDEX(Innings!J:J,MATCH(1,(TRIM(Innings!A:A)=TRIM(A270))*(TRIM(Innings!D:D)=TRIM(E270)),0))</f>
        <v>29</v>
      </c>
      <c r="AC270" cm="1">
        <f t="array" ref="AC270">INDEX(Innings!N:N,MATCH(1,(TRIM(Innings!A:A)=TRIM(A270))*(TRIM(Innings!D:D)=TRIM(E270)),0))</f>
        <v>32</v>
      </c>
      <c r="AD270" cm="1">
        <f t="array" ref="AD270">INDEX(Innings!S:S,MATCH(1,(TRIM(Innings!A:A)=TRIM(A270))*(TRIM(Innings!D:D)=TRIM(E270)),0))</f>
        <v>52</v>
      </c>
      <c r="AE270" t="str" cm="1">
        <f t="array" ref="AE270">INDEX(Innings!W:W,MATCH(1,(TRIM(Innings!A:A)=TRIM(A270))*(TRIM(Innings!D:D)=TRIM(E270)),0))</f>
        <v>NA</v>
      </c>
      <c r="AF270">
        <f>IF(UPPER(TRIM(E270))=UPPER(TRIM(W270)),1,0)</f>
        <v>0</v>
      </c>
      <c r="AG270">
        <f t="shared" si="9"/>
        <v>45.765000000000001</v>
      </c>
    </row>
    <row r="271" spans="1:33" x14ac:dyDescent="0.3">
      <c r="A271" t="s">
        <v>146</v>
      </c>
      <c r="B271">
        <v>1</v>
      </c>
      <c r="C271" t="s">
        <v>227</v>
      </c>
      <c r="D271" t="s">
        <v>228</v>
      </c>
      <c r="E271" t="s">
        <v>219</v>
      </c>
      <c r="F271" t="s">
        <v>109</v>
      </c>
      <c r="G271" t="s">
        <v>134</v>
      </c>
      <c r="H271">
        <v>2</v>
      </c>
      <c r="I271">
        <v>9</v>
      </c>
      <c r="J271">
        <v>22.22</v>
      </c>
      <c r="K271" t="s">
        <v>246</v>
      </c>
      <c r="L271">
        <v>0.44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s="8">
        <v>0.44</v>
      </c>
      <c r="V271" s="8">
        <f t="shared" si="8"/>
        <v>0</v>
      </c>
      <c r="W271" t="str">
        <f>_xlfn.XLOOKUP(A271, Matches!A:A, Matches!L:L, "NA", 0)</f>
        <v>RCBW</v>
      </c>
      <c r="X271" t="str">
        <f>_xlfn.XLOOKUP(A271, Matches!A:A, Matches!J:J, "NA", 0)</f>
        <v>RCBW</v>
      </c>
      <c r="Y271" t="str">
        <f>_xlfn.XLOOKUP(A271, Matches!A:A, Matches!F:F, "NA", 0)</f>
        <v>Dr DY Patil Sports </v>
      </c>
      <c r="Z271" cm="1">
        <f t="array" ref="Z271">INDEX(Innings!F:F,MATCH(1,(TRIM(Innings!A:A)=TRIM(A271))*(TRIM(Innings!D:D)=TRIM(E271)),0))</f>
        <v>135</v>
      </c>
      <c r="AA271" cm="1">
        <f t="array" ref="AA271">INDEX(Innings!I:I,MATCH(1,(TRIM(Innings!A:A)=TRIM(A271))*(TRIM(Innings!D:D)=TRIM(E271)),0))</f>
        <v>6.92</v>
      </c>
      <c r="AB271" cm="1">
        <f t="array" ref="AB271">INDEX(Innings!J:J,MATCH(1,(TRIM(Innings!A:A)=TRIM(A271))*(TRIM(Innings!D:D)=TRIM(E271)),0))</f>
        <v>29</v>
      </c>
      <c r="AC271" cm="1">
        <f t="array" ref="AC271">INDEX(Innings!N:N,MATCH(1,(TRIM(Innings!A:A)=TRIM(A271))*(TRIM(Innings!D:D)=TRIM(E271)),0))</f>
        <v>32</v>
      </c>
      <c r="AD271" cm="1">
        <f t="array" ref="AD271">INDEX(Innings!S:S,MATCH(1,(TRIM(Innings!A:A)=TRIM(A271))*(TRIM(Innings!D:D)=TRIM(E271)),0))</f>
        <v>52</v>
      </c>
      <c r="AE271" t="str" cm="1">
        <f t="array" ref="AE271">INDEX(Innings!W:W,MATCH(1,(TRIM(Innings!A:A)=TRIM(A271))*(TRIM(Innings!D:D)=TRIM(E271)),0))</f>
        <v>NA</v>
      </c>
      <c r="AF271">
        <f>IF(UPPER(TRIM(E271))=UPPER(TRIM(W271)),1,0)</f>
        <v>0</v>
      </c>
      <c r="AG271">
        <f t="shared" si="9"/>
        <v>0.22</v>
      </c>
    </row>
    <row r="272" spans="1:33" x14ac:dyDescent="0.3">
      <c r="A272" t="s">
        <v>146</v>
      </c>
      <c r="B272">
        <v>1</v>
      </c>
      <c r="C272" t="s">
        <v>224</v>
      </c>
      <c r="D272" t="s">
        <v>225</v>
      </c>
      <c r="E272" t="s">
        <v>219</v>
      </c>
      <c r="F272" t="s">
        <v>83</v>
      </c>
      <c r="G272" t="s">
        <v>134</v>
      </c>
      <c r="H272">
        <v>22</v>
      </c>
      <c r="I272">
        <v>19</v>
      </c>
      <c r="J272">
        <v>115.79</v>
      </c>
      <c r="K272" t="s">
        <v>246</v>
      </c>
      <c r="L272">
        <v>25.47</v>
      </c>
      <c r="M272">
        <v>4</v>
      </c>
      <c r="N272">
        <v>0</v>
      </c>
      <c r="O272">
        <v>26</v>
      </c>
      <c r="P272">
        <v>2</v>
      </c>
      <c r="Q272">
        <v>6.5</v>
      </c>
      <c r="R272">
        <v>40</v>
      </c>
      <c r="S272">
        <v>0</v>
      </c>
      <c r="T272">
        <v>0</v>
      </c>
      <c r="U272" s="8">
        <v>65.47</v>
      </c>
      <c r="V272" s="8">
        <f t="shared" si="8"/>
        <v>7</v>
      </c>
      <c r="W272" t="str">
        <f>_xlfn.XLOOKUP(A272, Matches!A:A, Matches!L:L, "NA", 0)</f>
        <v>RCBW</v>
      </c>
      <c r="X272" t="str">
        <f>_xlfn.XLOOKUP(A272, Matches!A:A, Matches!J:J, "NA", 0)</f>
        <v>RCBW</v>
      </c>
      <c r="Y272" t="str">
        <f>_xlfn.XLOOKUP(A272, Matches!A:A, Matches!F:F, "NA", 0)</f>
        <v>Dr DY Patil Sports </v>
      </c>
      <c r="Z272" cm="1">
        <f t="array" ref="Z272">INDEX(Innings!F:F,MATCH(1,(TRIM(Innings!A:A)=TRIM(A272))*(TRIM(Innings!D:D)=TRIM(E272)),0))</f>
        <v>135</v>
      </c>
      <c r="AA272" cm="1">
        <f t="array" ref="AA272">INDEX(Innings!I:I,MATCH(1,(TRIM(Innings!A:A)=TRIM(A272))*(TRIM(Innings!D:D)=TRIM(E272)),0))</f>
        <v>6.92</v>
      </c>
      <c r="AB272" cm="1">
        <f t="array" ref="AB272">INDEX(Innings!J:J,MATCH(1,(TRIM(Innings!A:A)=TRIM(A272))*(TRIM(Innings!D:D)=TRIM(E272)),0))</f>
        <v>29</v>
      </c>
      <c r="AC272" cm="1">
        <f t="array" ref="AC272">INDEX(Innings!N:N,MATCH(1,(TRIM(Innings!A:A)=TRIM(A272))*(TRIM(Innings!D:D)=TRIM(E272)),0))</f>
        <v>32</v>
      </c>
      <c r="AD272" cm="1">
        <f t="array" ref="AD272">INDEX(Innings!S:S,MATCH(1,(TRIM(Innings!A:A)=TRIM(A272))*(TRIM(Innings!D:D)=TRIM(E272)),0))</f>
        <v>52</v>
      </c>
      <c r="AE272" t="str" cm="1">
        <f t="array" ref="AE272">INDEX(Innings!W:W,MATCH(1,(TRIM(Innings!A:A)=TRIM(A272))*(TRIM(Innings!D:D)=TRIM(E272)),0))</f>
        <v>NA</v>
      </c>
      <c r="AF272">
        <f>IF(UPPER(TRIM(E272))=UPPER(TRIM(W272)),1,0)</f>
        <v>0</v>
      </c>
      <c r="AG272">
        <f t="shared" si="9"/>
        <v>34.835000000000001</v>
      </c>
    </row>
    <row r="273" spans="1:33" x14ac:dyDescent="0.3">
      <c r="A273" t="s">
        <v>146</v>
      </c>
      <c r="B273">
        <v>1</v>
      </c>
      <c r="C273" t="s">
        <v>220</v>
      </c>
      <c r="D273" t="s">
        <v>221</v>
      </c>
      <c r="E273" t="s">
        <v>219</v>
      </c>
      <c r="F273" t="s">
        <v>109</v>
      </c>
      <c r="G273" t="s">
        <v>134</v>
      </c>
      <c r="H273">
        <v>6</v>
      </c>
      <c r="I273">
        <v>6</v>
      </c>
      <c r="J273">
        <v>100</v>
      </c>
      <c r="K273" t="s">
        <v>245</v>
      </c>
      <c r="L273">
        <v>6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s="8">
        <v>6</v>
      </c>
      <c r="V273" s="8">
        <f t="shared" si="8"/>
        <v>1</v>
      </c>
      <c r="W273" t="str">
        <f>_xlfn.XLOOKUP(A273, Matches!A:A, Matches!L:L, "NA", 0)</f>
        <v>RCBW</v>
      </c>
      <c r="X273" t="str">
        <f>_xlfn.XLOOKUP(A273, Matches!A:A, Matches!J:J, "NA", 0)</f>
        <v>RCBW</v>
      </c>
      <c r="Y273" t="str">
        <f>_xlfn.XLOOKUP(A273, Matches!A:A, Matches!F:F, "NA", 0)</f>
        <v>Dr DY Patil Sports </v>
      </c>
      <c r="Z273" cm="1">
        <f t="array" ref="Z273">INDEX(Innings!F:F,MATCH(1,(TRIM(Innings!A:A)=TRIM(A273))*(TRIM(Innings!D:D)=TRIM(E273)),0))</f>
        <v>135</v>
      </c>
      <c r="AA273" cm="1">
        <f t="array" ref="AA273">INDEX(Innings!I:I,MATCH(1,(TRIM(Innings!A:A)=TRIM(A273))*(TRIM(Innings!D:D)=TRIM(E273)),0))</f>
        <v>6.92</v>
      </c>
      <c r="AB273" cm="1">
        <f t="array" ref="AB273">INDEX(Innings!J:J,MATCH(1,(TRIM(Innings!A:A)=TRIM(A273))*(TRIM(Innings!D:D)=TRIM(E273)),0))</f>
        <v>29</v>
      </c>
      <c r="AC273" cm="1">
        <f t="array" ref="AC273">INDEX(Innings!N:N,MATCH(1,(TRIM(Innings!A:A)=TRIM(A273))*(TRIM(Innings!D:D)=TRIM(E273)),0))</f>
        <v>32</v>
      </c>
      <c r="AD273" cm="1">
        <f t="array" ref="AD273">INDEX(Innings!S:S,MATCH(1,(TRIM(Innings!A:A)=TRIM(A273))*(TRIM(Innings!D:D)=TRIM(E273)),0))</f>
        <v>52</v>
      </c>
      <c r="AE273" t="str" cm="1">
        <f t="array" ref="AE273">INDEX(Innings!W:W,MATCH(1,(TRIM(Innings!A:A)=TRIM(A273))*(TRIM(Innings!D:D)=TRIM(E273)),0))</f>
        <v>NA</v>
      </c>
      <c r="AF273">
        <f>IF(UPPER(TRIM(E273))=UPPER(TRIM(W273)),1,0)</f>
        <v>0</v>
      </c>
      <c r="AG273">
        <f t="shared" si="9"/>
        <v>3.3</v>
      </c>
    </row>
    <row r="274" spans="1:33" x14ac:dyDescent="0.3">
      <c r="A274" t="s">
        <v>146</v>
      </c>
      <c r="B274">
        <v>1</v>
      </c>
      <c r="C274" t="s">
        <v>233</v>
      </c>
      <c r="D274" t="s">
        <v>234</v>
      </c>
      <c r="E274" t="s">
        <v>219</v>
      </c>
      <c r="F274" t="s">
        <v>101</v>
      </c>
      <c r="G274" t="s">
        <v>134</v>
      </c>
      <c r="H274">
        <v>12</v>
      </c>
      <c r="I274">
        <v>9</v>
      </c>
      <c r="J274">
        <v>133.33000000000001</v>
      </c>
      <c r="K274" t="s">
        <v>256</v>
      </c>
      <c r="L274">
        <v>15.99</v>
      </c>
      <c r="M274">
        <v>4</v>
      </c>
      <c r="N274">
        <v>0</v>
      </c>
      <c r="O274">
        <v>20</v>
      </c>
      <c r="P274">
        <v>1</v>
      </c>
      <c r="Q274">
        <v>5</v>
      </c>
      <c r="R274">
        <v>20</v>
      </c>
      <c r="S274">
        <v>0</v>
      </c>
      <c r="T274">
        <v>0</v>
      </c>
      <c r="U274" s="8">
        <v>35.99</v>
      </c>
      <c r="V274" s="8">
        <f t="shared" si="8"/>
        <v>4</v>
      </c>
      <c r="W274" t="str">
        <f>_xlfn.XLOOKUP(A274, Matches!A:A, Matches!L:L, "NA", 0)</f>
        <v>RCBW</v>
      </c>
      <c r="X274" t="str">
        <f>_xlfn.XLOOKUP(A274, Matches!A:A, Matches!J:J, "NA", 0)</f>
        <v>RCBW</v>
      </c>
      <c r="Y274" t="str">
        <f>_xlfn.XLOOKUP(A274, Matches!A:A, Matches!F:F, "NA", 0)</f>
        <v>Dr DY Patil Sports </v>
      </c>
      <c r="Z274" cm="1">
        <f t="array" ref="Z274">INDEX(Innings!F:F,MATCH(1,(TRIM(Innings!A:A)=TRIM(A274))*(TRIM(Innings!D:D)=TRIM(E274)),0))</f>
        <v>135</v>
      </c>
      <c r="AA274" cm="1">
        <f t="array" ref="AA274">INDEX(Innings!I:I,MATCH(1,(TRIM(Innings!A:A)=TRIM(A274))*(TRIM(Innings!D:D)=TRIM(E274)),0))</f>
        <v>6.92</v>
      </c>
      <c r="AB274" cm="1">
        <f t="array" ref="AB274">INDEX(Innings!J:J,MATCH(1,(TRIM(Innings!A:A)=TRIM(A274))*(TRIM(Innings!D:D)=TRIM(E274)),0))</f>
        <v>29</v>
      </c>
      <c r="AC274" cm="1">
        <f t="array" ref="AC274">INDEX(Innings!N:N,MATCH(1,(TRIM(Innings!A:A)=TRIM(A274))*(TRIM(Innings!D:D)=TRIM(E274)),0))</f>
        <v>32</v>
      </c>
      <c r="AD274" cm="1">
        <f t="array" ref="AD274">INDEX(Innings!S:S,MATCH(1,(TRIM(Innings!A:A)=TRIM(A274))*(TRIM(Innings!D:D)=TRIM(E274)),0))</f>
        <v>52</v>
      </c>
      <c r="AE274" t="str" cm="1">
        <f t="array" ref="AE274">INDEX(Innings!W:W,MATCH(1,(TRIM(Innings!A:A)=TRIM(A274))*(TRIM(Innings!D:D)=TRIM(E274)),0))</f>
        <v>NA</v>
      </c>
      <c r="AF274">
        <f>IF(UPPER(TRIM(E274))=UPPER(TRIM(W274)),1,0)</f>
        <v>0</v>
      </c>
      <c r="AG274">
        <f t="shared" si="9"/>
        <v>19.195</v>
      </c>
    </row>
    <row r="275" spans="1:33" x14ac:dyDescent="0.3">
      <c r="A275" t="s">
        <v>146</v>
      </c>
      <c r="B275">
        <v>1</v>
      </c>
      <c r="C275" t="s">
        <v>235</v>
      </c>
      <c r="D275" t="s">
        <v>236</v>
      </c>
      <c r="E275" t="s">
        <v>219</v>
      </c>
      <c r="F275" t="s">
        <v>101</v>
      </c>
      <c r="G275" t="s">
        <v>135</v>
      </c>
      <c r="H275">
        <v>8</v>
      </c>
      <c r="I275">
        <v>9</v>
      </c>
      <c r="J275">
        <v>88.89</v>
      </c>
      <c r="K275" t="s">
        <v>246</v>
      </c>
      <c r="L275">
        <v>7.11</v>
      </c>
      <c r="M275">
        <v>1</v>
      </c>
      <c r="N275">
        <v>0</v>
      </c>
      <c r="O275">
        <v>4</v>
      </c>
      <c r="P275">
        <v>0</v>
      </c>
      <c r="Q275">
        <v>4</v>
      </c>
      <c r="R275">
        <v>0</v>
      </c>
      <c r="S275">
        <v>0</v>
      </c>
      <c r="T275">
        <v>0</v>
      </c>
      <c r="U275" s="8">
        <v>7.11</v>
      </c>
      <c r="V275" s="8">
        <f t="shared" si="8"/>
        <v>1</v>
      </c>
      <c r="W275" t="str">
        <f>_xlfn.XLOOKUP(A275, Matches!A:A, Matches!L:L, "NA", 0)</f>
        <v>RCBW</v>
      </c>
      <c r="X275" t="str">
        <f>_xlfn.XLOOKUP(A275, Matches!A:A, Matches!J:J, "NA", 0)</f>
        <v>RCBW</v>
      </c>
      <c r="Y275" t="str">
        <f>_xlfn.XLOOKUP(A275, Matches!A:A, Matches!F:F, "NA", 0)</f>
        <v>Dr DY Patil Sports </v>
      </c>
      <c r="Z275" cm="1">
        <f t="array" ref="Z275">INDEX(Innings!F:F,MATCH(1,(TRIM(Innings!A:A)=TRIM(A275))*(TRIM(Innings!D:D)=TRIM(E275)),0))</f>
        <v>135</v>
      </c>
      <c r="AA275" cm="1">
        <f t="array" ref="AA275">INDEX(Innings!I:I,MATCH(1,(TRIM(Innings!A:A)=TRIM(A275))*(TRIM(Innings!D:D)=TRIM(E275)),0))</f>
        <v>6.92</v>
      </c>
      <c r="AB275" cm="1">
        <f t="array" ref="AB275">INDEX(Innings!J:J,MATCH(1,(TRIM(Innings!A:A)=TRIM(A275))*(TRIM(Innings!D:D)=TRIM(E275)),0))</f>
        <v>29</v>
      </c>
      <c r="AC275" cm="1">
        <f t="array" ref="AC275">INDEX(Innings!N:N,MATCH(1,(TRIM(Innings!A:A)=TRIM(A275))*(TRIM(Innings!D:D)=TRIM(E275)),0))</f>
        <v>32</v>
      </c>
      <c r="AD275" cm="1">
        <f t="array" ref="AD275">INDEX(Innings!S:S,MATCH(1,(TRIM(Innings!A:A)=TRIM(A275))*(TRIM(Innings!D:D)=TRIM(E275)),0))</f>
        <v>52</v>
      </c>
      <c r="AE275" t="str" cm="1">
        <f t="array" ref="AE275">INDEX(Innings!W:W,MATCH(1,(TRIM(Innings!A:A)=TRIM(A275))*(TRIM(Innings!D:D)=TRIM(E275)),0))</f>
        <v>NA</v>
      </c>
      <c r="AF275">
        <f>IF(UPPER(TRIM(E275))=UPPER(TRIM(W275)),1,0)</f>
        <v>0</v>
      </c>
      <c r="AG275">
        <f t="shared" si="9"/>
        <v>3.855</v>
      </c>
    </row>
    <row r="276" spans="1:33" x14ac:dyDescent="0.3">
      <c r="A276" t="s">
        <v>146</v>
      </c>
      <c r="B276">
        <v>1</v>
      </c>
      <c r="C276" t="s">
        <v>237</v>
      </c>
      <c r="D276" t="s">
        <v>238</v>
      </c>
      <c r="E276" t="s">
        <v>219</v>
      </c>
      <c r="F276" t="s">
        <v>101</v>
      </c>
      <c r="G276" t="s">
        <v>135</v>
      </c>
      <c r="H276">
        <v>2</v>
      </c>
      <c r="I276">
        <v>1</v>
      </c>
      <c r="J276">
        <v>200</v>
      </c>
      <c r="K276" t="s">
        <v>96</v>
      </c>
      <c r="L276">
        <v>4</v>
      </c>
      <c r="M276">
        <v>4</v>
      </c>
      <c r="N276">
        <v>0</v>
      </c>
      <c r="O276">
        <v>35</v>
      </c>
      <c r="P276">
        <v>0</v>
      </c>
      <c r="Q276">
        <v>8.8000000000000007</v>
      </c>
      <c r="R276">
        <v>0</v>
      </c>
      <c r="S276">
        <v>0</v>
      </c>
      <c r="T276">
        <v>0</v>
      </c>
      <c r="U276" s="8">
        <v>4</v>
      </c>
      <c r="V276" s="8">
        <f t="shared" si="8"/>
        <v>0</v>
      </c>
      <c r="W276" t="str">
        <f>_xlfn.XLOOKUP(A276, Matches!A:A, Matches!L:L, "NA", 0)</f>
        <v>RCBW</v>
      </c>
      <c r="X276" t="str">
        <f>_xlfn.XLOOKUP(A276, Matches!A:A, Matches!J:J, "NA", 0)</f>
        <v>RCBW</v>
      </c>
      <c r="Y276" t="str">
        <f>_xlfn.XLOOKUP(A276, Matches!A:A, Matches!F:F, "NA", 0)</f>
        <v>Dr DY Patil Sports </v>
      </c>
      <c r="Z276" cm="1">
        <f t="array" ref="Z276">INDEX(Innings!F:F,MATCH(1,(TRIM(Innings!A:A)=TRIM(A276))*(TRIM(Innings!D:D)=TRIM(E276)),0))</f>
        <v>135</v>
      </c>
      <c r="AA276" cm="1">
        <f t="array" ref="AA276">INDEX(Innings!I:I,MATCH(1,(TRIM(Innings!A:A)=TRIM(A276))*(TRIM(Innings!D:D)=TRIM(E276)),0))</f>
        <v>6.92</v>
      </c>
      <c r="AB276" cm="1">
        <f t="array" ref="AB276">INDEX(Innings!J:J,MATCH(1,(TRIM(Innings!A:A)=TRIM(A276))*(TRIM(Innings!D:D)=TRIM(E276)),0))</f>
        <v>29</v>
      </c>
      <c r="AC276" cm="1">
        <f t="array" ref="AC276">INDEX(Innings!N:N,MATCH(1,(TRIM(Innings!A:A)=TRIM(A276))*(TRIM(Innings!D:D)=TRIM(E276)),0))</f>
        <v>32</v>
      </c>
      <c r="AD276" cm="1">
        <f t="array" ref="AD276">INDEX(Innings!S:S,MATCH(1,(TRIM(Innings!A:A)=TRIM(A276))*(TRIM(Innings!D:D)=TRIM(E276)),0))</f>
        <v>52</v>
      </c>
      <c r="AE276" t="str" cm="1">
        <f t="array" ref="AE276">INDEX(Innings!W:W,MATCH(1,(TRIM(Innings!A:A)=TRIM(A276))*(TRIM(Innings!D:D)=TRIM(E276)),0))</f>
        <v>NA</v>
      </c>
      <c r="AF276">
        <f>IF(UPPER(TRIM(E276))=UPPER(TRIM(W276)),1,0)</f>
        <v>0</v>
      </c>
      <c r="AG276">
        <f t="shared" si="9"/>
        <v>2</v>
      </c>
    </row>
    <row r="277" spans="1:33" x14ac:dyDescent="0.3">
      <c r="A277" t="s">
        <v>146</v>
      </c>
      <c r="B277">
        <v>1</v>
      </c>
      <c r="C277" t="s">
        <v>167</v>
      </c>
      <c r="D277" t="s">
        <v>168</v>
      </c>
      <c r="E277" t="s">
        <v>159</v>
      </c>
      <c r="F277" t="s">
        <v>83</v>
      </c>
      <c r="G277" t="s">
        <v>86</v>
      </c>
      <c r="H277">
        <v>14</v>
      </c>
      <c r="I277">
        <v>6</v>
      </c>
      <c r="J277">
        <v>233.33</v>
      </c>
      <c r="K277" t="s">
        <v>246</v>
      </c>
      <c r="L277">
        <v>32.659999999999997</v>
      </c>
      <c r="M277">
        <v>4</v>
      </c>
      <c r="N277">
        <v>0</v>
      </c>
      <c r="O277">
        <v>23</v>
      </c>
      <c r="P277">
        <v>2</v>
      </c>
      <c r="Q277">
        <v>5.8</v>
      </c>
      <c r="R277">
        <v>40</v>
      </c>
      <c r="S277">
        <v>0</v>
      </c>
      <c r="T277">
        <v>0</v>
      </c>
      <c r="U277" s="8">
        <v>72.66</v>
      </c>
      <c r="V277" s="8">
        <f t="shared" si="8"/>
        <v>7</v>
      </c>
      <c r="W277" t="str">
        <f>_xlfn.XLOOKUP(A277, Matches!A:A, Matches!L:L, "NA", 0)</f>
        <v>RCBW</v>
      </c>
      <c r="X277" t="str">
        <f>_xlfn.XLOOKUP(A277, Matches!A:A, Matches!J:J, "NA", 0)</f>
        <v>RCBW</v>
      </c>
      <c r="Y277" t="str">
        <f>_xlfn.XLOOKUP(A277, Matches!A:A, Matches!F:F, "NA", 0)</f>
        <v>Dr DY Patil Sports </v>
      </c>
      <c r="Z277" cm="1">
        <f t="array" ref="Z277">INDEX(Innings!F:F,MATCH(1,(TRIM(Innings!A:A)=TRIM(A277))*(TRIM(Innings!D:D)=TRIM(E277)),0))</f>
        <v>136</v>
      </c>
      <c r="AA277" cm="1">
        <f t="array" ref="AA277">INDEX(Innings!I:I,MATCH(1,(TRIM(Innings!A:A)=TRIM(A277))*(TRIM(Innings!D:D)=TRIM(E277)),0))</f>
        <v>7.56</v>
      </c>
      <c r="AB277" cm="1">
        <f t="array" ref="AB277">INDEX(Innings!J:J,MATCH(1,(TRIM(Innings!A:A)=TRIM(A277))*(TRIM(Innings!D:D)=TRIM(E277)),0))</f>
        <v>43</v>
      </c>
      <c r="AC277" cm="1">
        <f t="array" ref="AC277">INDEX(Innings!N:N,MATCH(1,(TRIM(Innings!A:A)=TRIM(A277))*(TRIM(Innings!D:D)=TRIM(E277)),0))</f>
        <v>17</v>
      </c>
      <c r="AD277" cm="1">
        <f t="array" ref="AD277">INDEX(Innings!S:S,MATCH(1,(TRIM(Innings!A:A)=TRIM(A277))*(TRIM(Innings!D:D)=TRIM(E277)),0))</f>
        <v>53</v>
      </c>
      <c r="AE277" t="str" cm="1">
        <f t="array" ref="AE277">INDEX(Innings!W:W,MATCH(1,(TRIM(Innings!A:A)=TRIM(A277))*(TRIM(Innings!D:D)=TRIM(E277)),0))</f>
        <v>Successful</v>
      </c>
      <c r="AF277">
        <f>IF(UPPER(TRIM(E277))=UPPER(TRIM(W277)),1,0)</f>
        <v>1</v>
      </c>
      <c r="AG277">
        <f t="shared" si="9"/>
        <v>58.43</v>
      </c>
    </row>
    <row r="278" spans="1:33" x14ac:dyDescent="0.3">
      <c r="A278" t="s">
        <v>146</v>
      </c>
      <c r="B278">
        <v>1</v>
      </c>
      <c r="C278" t="s">
        <v>165</v>
      </c>
      <c r="D278" t="s">
        <v>166</v>
      </c>
      <c r="E278" t="s">
        <v>159</v>
      </c>
      <c r="F278" t="s">
        <v>109</v>
      </c>
      <c r="G278" t="s">
        <v>86</v>
      </c>
      <c r="H278">
        <v>0</v>
      </c>
      <c r="I278">
        <v>3</v>
      </c>
      <c r="J278">
        <v>0</v>
      </c>
      <c r="K278" t="s">
        <v>245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s="8">
        <v>0</v>
      </c>
      <c r="V278" s="8">
        <f t="shared" si="8"/>
        <v>0</v>
      </c>
      <c r="W278" t="str">
        <f>_xlfn.XLOOKUP(A278, Matches!A:A, Matches!L:L, "NA", 0)</f>
        <v>RCBW</v>
      </c>
      <c r="X278" t="str">
        <f>_xlfn.XLOOKUP(A278, Matches!A:A, Matches!J:J, "NA", 0)</f>
        <v>RCBW</v>
      </c>
      <c r="Y278" t="str">
        <f>_xlfn.XLOOKUP(A278, Matches!A:A, Matches!F:F, "NA", 0)</f>
        <v>Dr DY Patil Sports </v>
      </c>
      <c r="Z278" cm="1">
        <f t="array" ref="Z278">INDEX(Innings!F:F,MATCH(1,(TRIM(Innings!A:A)=TRIM(A278))*(TRIM(Innings!D:D)=TRIM(E278)),0))</f>
        <v>136</v>
      </c>
      <c r="AA278" cm="1">
        <f t="array" ref="AA278">INDEX(Innings!I:I,MATCH(1,(TRIM(Innings!A:A)=TRIM(A278))*(TRIM(Innings!D:D)=TRIM(E278)),0))</f>
        <v>7.56</v>
      </c>
      <c r="AB278" cm="1">
        <f t="array" ref="AB278">INDEX(Innings!J:J,MATCH(1,(TRIM(Innings!A:A)=TRIM(A278))*(TRIM(Innings!D:D)=TRIM(E278)),0))</f>
        <v>43</v>
      </c>
      <c r="AC278" cm="1">
        <f t="array" ref="AC278">INDEX(Innings!N:N,MATCH(1,(TRIM(Innings!A:A)=TRIM(A278))*(TRIM(Innings!D:D)=TRIM(E278)),0))</f>
        <v>17</v>
      </c>
      <c r="AD278" cm="1">
        <f t="array" ref="AD278">INDEX(Innings!S:S,MATCH(1,(TRIM(Innings!A:A)=TRIM(A278))*(TRIM(Innings!D:D)=TRIM(E278)),0))</f>
        <v>53</v>
      </c>
      <c r="AE278" t="str" cm="1">
        <f t="array" ref="AE278">INDEX(Innings!W:W,MATCH(1,(TRIM(Innings!A:A)=TRIM(A278))*(TRIM(Innings!D:D)=TRIM(E278)),0))</f>
        <v>Successful</v>
      </c>
      <c r="AF278">
        <f>IF(UPPER(TRIM(E278))=UPPER(TRIM(W278)),1,0)</f>
        <v>1</v>
      </c>
      <c r="AG278">
        <f t="shared" si="9"/>
        <v>20</v>
      </c>
    </row>
    <row r="279" spans="1:33" x14ac:dyDescent="0.3">
      <c r="A279" t="s">
        <v>146</v>
      </c>
      <c r="B279">
        <v>1</v>
      </c>
      <c r="C279" t="s">
        <v>174</v>
      </c>
      <c r="D279" t="s">
        <v>175</v>
      </c>
      <c r="E279" t="s">
        <v>159</v>
      </c>
      <c r="F279" t="s">
        <v>83</v>
      </c>
      <c r="G279" t="s">
        <v>92</v>
      </c>
      <c r="H279">
        <v>10</v>
      </c>
      <c r="I279">
        <v>13</v>
      </c>
      <c r="J279">
        <v>76.92</v>
      </c>
      <c r="K279" t="s">
        <v>246</v>
      </c>
      <c r="L279">
        <v>7.69</v>
      </c>
      <c r="M279">
        <v>4</v>
      </c>
      <c r="N279">
        <v>0</v>
      </c>
      <c r="O279">
        <v>16</v>
      </c>
      <c r="P279">
        <v>3</v>
      </c>
      <c r="Q279">
        <v>4</v>
      </c>
      <c r="R279">
        <v>60</v>
      </c>
      <c r="S279">
        <v>0</v>
      </c>
      <c r="T279">
        <v>0</v>
      </c>
      <c r="U279" s="8">
        <v>67.69</v>
      </c>
      <c r="V279" s="8">
        <f t="shared" si="8"/>
        <v>7</v>
      </c>
      <c r="W279" t="str">
        <f>_xlfn.XLOOKUP(A279, Matches!A:A, Matches!L:L, "NA", 0)</f>
        <v>RCBW</v>
      </c>
      <c r="X279" t="str">
        <f>_xlfn.XLOOKUP(A279, Matches!A:A, Matches!J:J, "NA", 0)</f>
        <v>RCBW</v>
      </c>
      <c r="Y279" t="str">
        <f>_xlfn.XLOOKUP(A279, Matches!A:A, Matches!F:F, "NA", 0)</f>
        <v>Dr DY Patil Sports </v>
      </c>
      <c r="Z279" cm="1">
        <f t="array" ref="Z279">INDEX(Innings!F:F,MATCH(1,(TRIM(Innings!A:A)=TRIM(A279))*(TRIM(Innings!D:D)=TRIM(E279)),0))</f>
        <v>136</v>
      </c>
      <c r="AA279" cm="1">
        <f t="array" ref="AA279">INDEX(Innings!I:I,MATCH(1,(TRIM(Innings!A:A)=TRIM(A279))*(TRIM(Innings!D:D)=TRIM(E279)),0))</f>
        <v>7.56</v>
      </c>
      <c r="AB279" cm="1">
        <f t="array" ref="AB279">INDEX(Innings!J:J,MATCH(1,(TRIM(Innings!A:A)=TRIM(A279))*(TRIM(Innings!D:D)=TRIM(E279)),0))</f>
        <v>43</v>
      </c>
      <c r="AC279" cm="1">
        <f t="array" ref="AC279">INDEX(Innings!N:N,MATCH(1,(TRIM(Innings!A:A)=TRIM(A279))*(TRIM(Innings!D:D)=TRIM(E279)),0))</f>
        <v>17</v>
      </c>
      <c r="AD279" cm="1">
        <f t="array" ref="AD279">INDEX(Innings!S:S,MATCH(1,(TRIM(Innings!A:A)=TRIM(A279))*(TRIM(Innings!D:D)=TRIM(E279)),0))</f>
        <v>53</v>
      </c>
      <c r="AE279" t="str" cm="1">
        <f t="array" ref="AE279">INDEX(Innings!W:W,MATCH(1,(TRIM(Innings!A:A)=TRIM(A279))*(TRIM(Innings!D:D)=TRIM(E279)),0))</f>
        <v>Successful</v>
      </c>
      <c r="AF279">
        <f>IF(UPPER(TRIM(E279))=UPPER(TRIM(W279)),1,0)</f>
        <v>1</v>
      </c>
      <c r="AG279">
        <f t="shared" si="9"/>
        <v>55.945</v>
      </c>
    </row>
    <row r="280" spans="1:33" x14ac:dyDescent="0.3">
      <c r="A280" t="s">
        <v>146</v>
      </c>
      <c r="B280">
        <v>1</v>
      </c>
      <c r="C280" t="s">
        <v>170</v>
      </c>
      <c r="D280" t="s">
        <v>171</v>
      </c>
      <c r="E280" t="s">
        <v>159</v>
      </c>
      <c r="F280" t="s">
        <v>83</v>
      </c>
      <c r="G280" t="s">
        <v>92</v>
      </c>
      <c r="H280">
        <v>24</v>
      </c>
      <c r="I280">
        <v>21</v>
      </c>
      <c r="J280">
        <v>114.29</v>
      </c>
      <c r="K280" t="s">
        <v>246</v>
      </c>
      <c r="L280">
        <v>27.43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s="8">
        <v>27.43</v>
      </c>
      <c r="V280" s="8">
        <f t="shared" si="8"/>
        <v>3</v>
      </c>
      <c r="W280" t="str">
        <f>_xlfn.XLOOKUP(A280, Matches!A:A, Matches!L:L, "NA", 0)</f>
        <v>RCBW</v>
      </c>
      <c r="X280" t="str">
        <f>_xlfn.XLOOKUP(A280, Matches!A:A, Matches!J:J, "NA", 0)</f>
        <v>RCBW</v>
      </c>
      <c r="Y280" t="str">
        <f>_xlfn.XLOOKUP(A280, Matches!A:A, Matches!F:F, "NA", 0)</f>
        <v>Dr DY Patil Sports </v>
      </c>
      <c r="Z280" cm="1">
        <f t="array" ref="Z280">INDEX(Innings!F:F,MATCH(1,(TRIM(Innings!A:A)=TRIM(A280))*(TRIM(Innings!D:D)=TRIM(E280)),0))</f>
        <v>136</v>
      </c>
      <c r="AA280" cm="1">
        <f t="array" ref="AA280">INDEX(Innings!I:I,MATCH(1,(TRIM(Innings!A:A)=TRIM(A280))*(TRIM(Innings!D:D)=TRIM(E280)),0))</f>
        <v>7.56</v>
      </c>
      <c r="AB280" cm="1">
        <f t="array" ref="AB280">INDEX(Innings!J:J,MATCH(1,(TRIM(Innings!A:A)=TRIM(A280))*(TRIM(Innings!D:D)=TRIM(E280)),0))</f>
        <v>43</v>
      </c>
      <c r="AC280" cm="1">
        <f t="array" ref="AC280">INDEX(Innings!N:N,MATCH(1,(TRIM(Innings!A:A)=TRIM(A280))*(TRIM(Innings!D:D)=TRIM(E280)),0))</f>
        <v>17</v>
      </c>
      <c r="AD280" cm="1">
        <f t="array" ref="AD280">INDEX(Innings!S:S,MATCH(1,(TRIM(Innings!A:A)=TRIM(A280))*(TRIM(Innings!D:D)=TRIM(E280)),0))</f>
        <v>53</v>
      </c>
      <c r="AE280" t="str" cm="1">
        <f t="array" ref="AE280">INDEX(Innings!W:W,MATCH(1,(TRIM(Innings!A:A)=TRIM(A280))*(TRIM(Innings!D:D)=TRIM(E280)),0))</f>
        <v>Successful</v>
      </c>
      <c r="AF280">
        <f>IF(UPPER(TRIM(E280))=UPPER(TRIM(W280)),1,0)</f>
        <v>1</v>
      </c>
      <c r="AG280">
        <f t="shared" si="9"/>
        <v>34.615000000000002</v>
      </c>
    </row>
    <row r="281" spans="1:33" x14ac:dyDescent="0.3">
      <c r="A281" t="s">
        <v>146</v>
      </c>
      <c r="B281">
        <v>1</v>
      </c>
      <c r="C281" t="s">
        <v>178</v>
      </c>
      <c r="D281" t="s">
        <v>179</v>
      </c>
      <c r="E281" t="s">
        <v>159</v>
      </c>
      <c r="F281" t="s">
        <v>83</v>
      </c>
      <c r="G281" t="s">
        <v>134</v>
      </c>
      <c r="H281">
        <v>46</v>
      </c>
      <c r="I281">
        <v>30</v>
      </c>
      <c r="J281">
        <v>153.33000000000001</v>
      </c>
      <c r="K281" t="s">
        <v>245</v>
      </c>
      <c r="L281">
        <v>70.53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s="8">
        <v>70.53</v>
      </c>
      <c r="V281" s="8">
        <f t="shared" si="8"/>
        <v>7</v>
      </c>
      <c r="W281" t="str">
        <f>_xlfn.XLOOKUP(A281, Matches!A:A, Matches!L:L, "NA", 0)</f>
        <v>RCBW</v>
      </c>
      <c r="X281" t="str">
        <f>_xlfn.XLOOKUP(A281, Matches!A:A, Matches!J:J, "NA", 0)</f>
        <v>RCBW</v>
      </c>
      <c r="Y281" t="str">
        <f>_xlfn.XLOOKUP(A281, Matches!A:A, Matches!F:F, "NA", 0)</f>
        <v>Dr DY Patil Sports </v>
      </c>
      <c r="Z281" cm="1">
        <f t="array" ref="Z281">INDEX(Innings!F:F,MATCH(1,(TRIM(Innings!A:A)=TRIM(A281))*(TRIM(Innings!D:D)=TRIM(E281)),0))</f>
        <v>136</v>
      </c>
      <c r="AA281" cm="1">
        <f t="array" ref="AA281">INDEX(Innings!I:I,MATCH(1,(TRIM(Innings!A:A)=TRIM(A281))*(TRIM(Innings!D:D)=TRIM(E281)),0))</f>
        <v>7.56</v>
      </c>
      <c r="AB281" cm="1">
        <f t="array" ref="AB281">INDEX(Innings!J:J,MATCH(1,(TRIM(Innings!A:A)=TRIM(A281))*(TRIM(Innings!D:D)=TRIM(E281)),0))</f>
        <v>43</v>
      </c>
      <c r="AC281" cm="1">
        <f t="array" ref="AC281">INDEX(Innings!N:N,MATCH(1,(TRIM(Innings!A:A)=TRIM(A281))*(TRIM(Innings!D:D)=TRIM(E281)),0))</f>
        <v>17</v>
      </c>
      <c r="AD281" cm="1">
        <f t="array" ref="AD281">INDEX(Innings!S:S,MATCH(1,(TRIM(Innings!A:A)=TRIM(A281))*(TRIM(Innings!D:D)=TRIM(E281)),0))</f>
        <v>53</v>
      </c>
      <c r="AE281" t="str" cm="1">
        <f t="array" ref="AE281">INDEX(Innings!W:W,MATCH(1,(TRIM(Innings!A:A)=TRIM(A281))*(TRIM(Innings!D:D)=TRIM(E281)),0))</f>
        <v>Successful</v>
      </c>
      <c r="AF281">
        <f>IF(UPPER(TRIM(E281))=UPPER(TRIM(W281)),1,0)</f>
        <v>1</v>
      </c>
      <c r="AG281">
        <f t="shared" si="9"/>
        <v>57.365000000000002</v>
      </c>
    </row>
    <row r="282" spans="1:33" x14ac:dyDescent="0.3">
      <c r="A282" t="s">
        <v>146</v>
      </c>
      <c r="B282">
        <v>1</v>
      </c>
      <c r="C282" t="s">
        <v>176</v>
      </c>
      <c r="D282" t="s">
        <v>177</v>
      </c>
      <c r="E282" t="s">
        <v>159</v>
      </c>
      <c r="F282" t="s">
        <v>85</v>
      </c>
      <c r="G282" t="s">
        <v>134</v>
      </c>
      <c r="H282">
        <v>31</v>
      </c>
      <c r="I282">
        <v>32</v>
      </c>
      <c r="J282">
        <v>96.88</v>
      </c>
      <c r="K282" t="s">
        <v>96</v>
      </c>
      <c r="L282">
        <v>30.03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s="8">
        <v>30.03</v>
      </c>
      <c r="V282" s="8">
        <f t="shared" si="8"/>
        <v>3</v>
      </c>
      <c r="W282" t="str">
        <f>_xlfn.XLOOKUP(A282, Matches!A:A, Matches!L:L, "NA", 0)</f>
        <v>RCBW</v>
      </c>
      <c r="X282" t="str">
        <f>_xlfn.XLOOKUP(A282, Matches!A:A, Matches!J:J, "NA", 0)</f>
        <v>RCBW</v>
      </c>
      <c r="Y282" t="str">
        <f>_xlfn.XLOOKUP(A282, Matches!A:A, Matches!F:F, "NA", 0)</f>
        <v>Dr DY Patil Sports </v>
      </c>
      <c r="Z282" cm="1">
        <f t="array" ref="Z282">INDEX(Innings!F:F,MATCH(1,(TRIM(Innings!A:A)=TRIM(A282))*(TRIM(Innings!D:D)=TRIM(E282)),0))</f>
        <v>136</v>
      </c>
      <c r="AA282" cm="1">
        <f t="array" ref="AA282">INDEX(Innings!I:I,MATCH(1,(TRIM(Innings!A:A)=TRIM(A282))*(TRIM(Innings!D:D)=TRIM(E282)),0))</f>
        <v>7.56</v>
      </c>
      <c r="AB282" cm="1">
        <f t="array" ref="AB282">INDEX(Innings!J:J,MATCH(1,(TRIM(Innings!A:A)=TRIM(A282))*(TRIM(Innings!D:D)=TRIM(E282)),0))</f>
        <v>43</v>
      </c>
      <c r="AC282" cm="1">
        <f t="array" ref="AC282">INDEX(Innings!N:N,MATCH(1,(TRIM(Innings!A:A)=TRIM(A282))*(TRIM(Innings!D:D)=TRIM(E282)),0))</f>
        <v>17</v>
      </c>
      <c r="AD282" cm="1">
        <f t="array" ref="AD282">INDEX(Innings!S:S,MATCH(1,(TRIM(Innings!A:A)=TRIM(A282))*(TRIM(Innings!D:D)=TRIM(E282)),0))</f>
        <v>53</v>
      </c>
      <c r="AE282" t="str" cm="1">
        <f t="array" ref="AE282">INDEX(Innings!W:W,MATCH(1,(TRIM(Innings!A:A)=TRIM(A282))*(TRIM(Innings!D:D)=TRIM(E282)),0))</f>
        <v>Successful</v>
      </c>
      <c r="AF282">
        <f>IF(UPPER(TRIM(E282))=UPPER(TRIM(W282)),1,0)</f>
        <v>1</v>
      </c>
      <c r="AG282">
        <f t="shared" si="9"/>
        <v>35.914999999999999</v>
      </c>
    </row>
    <row r="283" spans="1:33" x14ac:dyDescent="0.3">
      <c r="A283" t="s">
        <v>146</v>
      </c>
      <c r="B283">
        <v>1</v>
      </c>
      <c r="C283" t="s">
        <v>259</v>
      </c>
      <c r="D283" t="s">
        <v>257</v>
      </c>
      <c r="E283" t="s">
        <v>159</v>
      </c>
      <c r="F283" t="s">
        <v>101</v>
      </c>
      <c r="G283" t="s">
        <v>134</v>
      </c>
      <c r="H283">
        <v>5</v>
      </c>
      <c r="I283">
        <v>3</v>
      </c>
      <c r="J283">
        <v>166.67</v>
      </c>
      <c r="K283" t="s">
        <v>96</v>
      </c>
      <c r="L283">
        <v>8.33</v>
      </c>
      <c r="M283">
        <v>1.3</v>
      </c>
      <c r="N283">
        <v>0</v>
      </c>
      <c r="O283">
        <v>21</v>
      </c>
      <c r="P283">
        <v>1</v>
      </c>
      <c r="Q283">
        <v>14</v>
      </c>
      <c r="R283">
        <v>20</v>
      </c>
      <c r="S283">
        <v>0</v>
      </c>
      <c r="T283">
        <v>0</v>
      </c>
      <c r="U283" s="8">
        <v>28.33</v>
      </c>
      <c r="V283" s="8">
        <f t="shared" si="8"/>
        <v>3</v>
      </c>
      <c r="W283" t="str">
        <f>_xlfn.XLOOKUP(A283, Matches!A:A, Matches!L:L, "NA", 0)</f>
        <v>RCBW</v>
      </c>
      <c r="X283" t="str">
        <f>_xlfn.XLOOKUP(A283, Matches!A:A, Matches!J:J, "NA", 0)</f>
        <v>RCBW</v>
      </c>
      <c r="Y283" t="str">
        <f>_xlfn.XLOOKUP(A283, Matches!A:A, Matches!F:F, "NA", 0)</f>
        <v>Dr DY Patil Sports </v>
      </c>
      <c r="Z283" cm="1">
        <f t="array" ref="Z283">INDEX(Innings!F:F,MATCH(1,(TRIM(Innings!A:A)=TRIM(A283))*(TRIM(Innings!D:D)=TRIM(E283)),0))</f>
        <v>136</v>
      </c>
      <c r="AA283" cm="1">
        <f t="array" ref="AA283">INDEX(Innings!I:I,MATCH(1,(TRIM(Innings!A:A)=TRIM(A283))*(TRIM(Innings!D:D)=TRIM(E283)),0))</f>
        <v>7.56</v>
      </c>
      <c r="AB283" cm="1">
        <f t="array" ref="AB283">INDEX(Innings!J:J,MATCH(1,(TRIM(Innings!A:A)=TRIM(A283))*(TRIM(Innings!D:D)=TRIM(E283)),0))</f>
        <v>43</v>
      </c>
      <c r="AC283" cm="1">
        <f t="array" ref="AC283">INDEX(Innings!N:N,MATCH(1,(TRIM(Innings!A:A)=TRIM(A283))*(TRIM(Innings!D:D)=TRIM(E283)),0))</f>
        <v>17</v>
      </c>
      <c r="AD283" cm="1">
        <f t="array" ref="AD283">INDEX(Innings!S:S,MATCH(1,(TRIM(Innings!A:A)=TRIM(A283))*(TRIM(Innings!D:D)=TRIM(E283)),0))</f>
        <v>53</v>
      </c>
      <c r="AE283" t="str" cm="1">
        <f t="array" ref="AE283">INDEX(Innings!W:W,MATCH(1,(TRIM(Innings!A:A)=TRIM(A283))*(TRIM(Innings!D:D)=TRIM(E283)),0))</f>
        <v>Successful</v>
      </c>
      <c r="AF283">
        <f>IF(UPPER(TRIM(E283))=UPPER(TRIM(W283)),1,0)</f>
        <v>1</v>
      </c>
      <c r="AG283">
        <f t="shared" si="9"/>
        <v>35.064999999999998</v>
      </c>
    </row>
    <row r="284" spans="1:33" x14ac:dyDescent="0.3">
      <c r="A284" t="s">
        <v>146</v>
      </c>
      <c r="B284">
        <v>1</v>
      </c>
      <c r="C284" t="s">
        <v>172</v>
      </c>
      <c r="D284" t="s">
        <v>173</v>
      </c>
      <c r="E284" t="s">
        <v>159</v>
      </c>
      <c r="F284" t="s">
        <v>109</v>
      </c>
      <c r="G284" t="s">
        <v>135</v>
      </c>
      <c r="H284">
        <v>0</v>
      </c>
      <c r="I284">
        <v>0</v>
      </c>
      <c r="J284">
        <v>0</v>
      </c>
      <c r="K284" t="s">
        <v>104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s="8">
        <v>0</v>
      </c>
      <c r="V284" s="8">
        <f t="shared" si="8"/>
        <v>0</v>
      </c>
      <c r="W284" t="str">
        <f>_xlfn.XLOOKUP(A284, Matches!A:A, Matches!L:L, "NA", 0)</f>
        <v>RCBW</v>
      </c>
      <c r="X284" t="str">
        <f>_xlfn.XLOOKUP(A284, Matches!A:A, Matches!J:J, "NA", 0)</f>
        <v>RCBW</v>
      </c>
      <c r="Y284" t="str">
        <f>_xlfn.XLOOKUP(A284, Matches!A:A, Matches!F:F, "NA", 0)</f>
        <v>Dr DY Patil Sports </v>
      </c>
      <c r="Z284" cm="1">
        <f t="array" ref="Z284">INDEX(Innings!F:F,MATCH(1,(TRIM(Innings!A:A)=TRIM(A284))*(TRIM(Innings!D:D)=TRIM(E284)),0))</f>
        <v>136</v>
      </c>
      <c r="AA284" cm="1">
        <f t="array" ref="AA284">INDEX(Innings!I:I,MATCH(1,(TRIM(Innings!A:A)=TRIM(A284))*(TRIM(Innings!D:D)=TRIM(E284)),0))</f>
        <v>7.56</v>
      </c>
      <c r="AB284" cm="1">
        <f t="array" ref="AB284">INDEX(Innings!J:J,MATCH(1,(TRIM(Innings!A:A)=TRIM(A284))*(TRIM(Innings!D:D)=TRIM(E284)),0))</f>
        <v>43</v>
      </c>
      <c r="AC284" cm="1">
        <f t="array" ref="AC284">INDEX(Innings!N:N,MATCH(1,(TRIM(Innings!A:A)=TRIM(A284))*(TRIM(Innings!D:D)=TRIM(E284)),0))</f>
        <v>17</v>
      </c>
      <c r="AD284" cm="1">
        <f t="array" ref="AD284">INDEX(Innings!S:S,MATCH(1,(TRIM(Innings!A:A)=TRIM(A284))*(TRIM(Innings!D:D)=TRIM(E284)),0))</f>
        <v>53</v>
      </c>
      <c r="AE284" t="str" cm="1">
        <f t="array" ref="AE284">INDEX(Innings!W:W,MATCH(1,(TRIM(Innings!A:A)=TRIM(A284))*(TRIM(Innings!D:D)=TRIM(E284)),0))</f>
        <v>Successful</v>
      </c>
      <c r="AF284">
        <f>IF(UPPER(TRIM(E284))=UPPER(TRIM(W284)),1,0)</f>
        <v>1</v>
      </c>
      <c r="AG284">
        <f t="shared" si="9"/>
        <v>20</v>
      </c>
    </row>
    <row r="285" spans="1:33" x14ac:dyDescent="0.3">
      <c r="A285" t="s">
        <v>146</v>
      </c>
      <c r="B285">
        <v>1</v>
      </c>
      <c r="C285" t="s">
        <v>184</v>
      </c>
      <c r="D285" t="s">
        <v>185</v>
      </c>
      <c r="E285" t="s">
        <v>159</v>
      </c>
      <c r="F285" t="s">
        <v>101</v>
      </c>
      <c r="G285" t="s">
        <v>135</v>
      </c>
      <c r="H285">
        <v>0</v>
      </c>
      <c r="I285">
        <v>0</v>
      </c>
      <c r="J285">
        <v>0</v>
      </c>
      <c r="K285" t="s">
        <v>104</v>
      </c>
      <c r="L285">
        <v>0</v>
      </c>
      <c r="M285">
        <v>4</v>
      </c>
      <c r="N285">
        <v>0</v>
      </c>
      <c r="O285">
        <v>21</v>
      </c>
      <c r="P285">
        <v>1</v>
      </c>
      <c r="Q285">
        <v>5.2</v>
      </c>
      <c r="R285">
        <v>20</v>
      </c>
      <c r="S285">
        <v>0</v>
      </c>
      <c r="T285">
        <v>0</v>
      </c>
      <c r="U285" s="8">
        <v>20</v>
      </c>
      <c r="V285" s="8">
        <f t="shared" si="8"/>
        <v>2</v>
      </c>
      <c r="W285" t="str">
        <f>_xlfn.XLOOKUP(A285, Matches!A:A, Matches!L:L, "NA", 0)</f>
        <v>RCBW</v>
      </c>
      <c r="X285" t="str">
        <f>_xlfn.XLOOKUP(A285, Matches!A:A, Matches!J:J, "NA", 0)</f>
        <v>RCBW</v>
      </c>
      <c r="Y285" t="str">
        <f>_xlfn.XLOOKUP(A285, Matches!A:A, Matches!F:F, "NA", 0)</f>
        <v>Dr DY Patil Sports </v>
      </c>
      <c r="Z285" cm="1">
        <f t="array" ref="Z285">INDEX(Innings!F:F,MATCH(1,(TRIM(Innings!A:A)=TRIM(A285))*(TRIM(Innings!D:D)=TRIM(E285)),0))</f>
        <v>136</v>
      </c>
      <c r="AA285" cm="1">
        <f t="array" ref="AA285">INDEX(Innings!I:I,MATCH(1,(TRIM(Innings!A:A)=TRIM(A285))*(TRIM(Innings!D:D)=TRIM(E285)),0))</f>
        <v>7.56</v>
      </c>
      <c r="AB285" cm="1">
        <f t="array" ref="AB285">INDEX(Innings!J:J,MATCH(1,(TRIM(Innings!A:A)=TRIM(A285))*(TRIM(Innings!D:D)=TRIM(E285)),0))</f>
        <v>43</v>
      </c>
      <c r="AC285" cm="1">
        <f t="array" ref="AC285">INDEX(Innings!N:N,MATCH(1,(TRIM(Innings!A:A)=TRIM(A285))*(TRIM(Innings!D:D)=TRIM(E285)),0))</f>
        <v>17</v>
      </c>
      <c r="AD285" cm="1">
        <f t="array" ref="AD285">INDEX(Innings!S:S,MATCH(1,(TRIM(Innings!A:A)=TRIM(A285))*(TRIM(Innings!D:D)=TRIM(E285)),0))</f>
        <v>53</v>
      </c>
      <c r="AE285" t="str" cm="1">
        <f t="array" ref="AE285">INDEX(Innings!W:W,MATCH(1,(TRIM(Innings!A:A)=TRIM(A285))*(TRIM(Innings!D:D)=TRIM(E285)),0))</f>
        <v>Successful</v>
      </c>
      <c r="AF285">
        <f>IF(UPPER(TRIM(E285))=UPPER(TRIM(W285)),1,0)</f>
        <v>1</v>
      </c>
      <c r="AG285">
        <f t="shared" si="9"/>
        <v>30.6</v>
      </c>
    </row>
    <row r="286" spans="1:33" x14ac:dyDescent="0.3">
      <c r="A286" t="s">
        <v>146</v>
      </c>
      <c r="B286">
        <v>1</v>
      </c>
      <c r="C286" t="s">
        <v>180</v>
      </c>
      <c r="D286" t="s">
        <v>181</v>
      </c>
      <c r="E286" t="s">
        <v>159</v>
      </c>
      <c r="F286" t="s">
        <v>91</v>
      </c>
      <c r="G286" t="s">
        <v>135</v>
      </c>
      <c r="H286">
        <v>0</v>
      </c>
      <c r="I286">
        <v>0</v>
      </c>
      <c r="J286">
        <v>0</v>
      </c>
      <c r="K286" t="s">
        <v>104</v>
      </c>
      <c r="L286">
        <v>0</v>
      </c>
      <c r="M286">
        <v>4</v>
      </c>
      <c r="N286">
        <v>0</v>
      </c>
      <c r="O286">
        <v>27</v>
      </c>
      <c r="P286">
        <v>2</v>
      </c>
      <c r="Q286">
        <v>6.8</v>
      </c>
      <c r="R286">
        <v>40</v>
      </c>
      <c r="S286">
        <v>0</v>
      </c>
      <c r="T286">
        <v>0</v>
      </c>
      <c r="U286" s="8">
        <v>40</v>
      </c>
      <c r="V286" s="8">
        <f t="shared" si="8"/>
        <v>4</v>
      </c>
      <c r="W286" t="str">
        <f>_xlfn.XLOOKUP(A286, Matches!A:A, Matches!L:L, "NA", 0)</f>
        <v>RCBW</v>
      </c>
      <c r="X286" t="str">
        <f>_xlfn.XLOOKUP(A286, Matches!A:A, Matches!J:J, "NA", 0)</f>
        <v>RCBW</v>
      </c>
      <c r="Y286" t="str">
        <f>_xlfn.XLOOKUP(A286, Matches!A:A, Matches!F:F, "NA", 0)</f>
        <v>Dr DY Patil Sports </v>
      </c>
      <c r="Z286" cm="1">
        <f t="array" ref="Z286">INDEX(Innings!F:F,MATCH(1,(TRIM(Innings!A:A)=TRIM(A286))*(TRIM(Innings!D:D)=TRIM(E286)),0))</f>
        <v>136</v>
      </c>
      <c r="AA286" cm="1">
        <f t="array" ref="AA286">INDEX(Innings!I:I,MATCH(1,(TRIM(Innings!A:A)=TRIM(A286))*(TRIM(Innings!D:D)=TRIM(E286)),0))</f>
        <v>7.56</v>
      </c>
      <c r="AB286" cm="1">
        <f t="array" ref="AB286">INDEX(Innings!J:J,MATCH(1,(TRIM(Innings!A:A)=TRIM(A286))*(TRIM(Innings!D:D)=TRIM(E286)),0))</f>
        <v>43</v>
      </c>
      <c r="AC286" cm="1">
        <f t="array" ref="AC286">INDEX(Innings!N:N,MATCH(1,(TRIM(Innings!A:A)=TRIM(A286))*(TRIM(Innings!D:D)=TRIM(E286)),0))</f>
        <v>17</v>
      </c>
      <c r="AD286" cm="1">
        <f t="array" ref="AD286">INDEX(Innings!S:S,MATCH(1,(TRIM(Innings!A:A)=TRIM(A286))*(TRIM(Innings!D:D)=TRIM(E286)),0))</f>
        <v>53</v>
      </c>
      <c r="AE286" t="str" cm="1">
        <f t="array" ref="AE286">INDEX(Innings!W:W,MATCH(1,(TRIM(Innings!A:A)=TRIM(A286))*(TRIM(Innings!D:D)=TRIM(E286)),0))</f>
        <v>Successful</v>
      </c>
      <c r="AF286">
        <f>IF(UPPER(TRIM(E286))=UPPER(TRIM(W286)),1,0)</f>
        <v>1</v>
      </c>
      <c r="AG286">
        <f t="shared" si="9"/>
        <v>41.2</v>
      </c>
    </row>
    <row r="287" spans="1:33" x14ac:dyDescent="0.3">
      <c r="A287" t="s">
        <v>146</v>
      </c>
      <c r="B287">
        <v>1</v>
      </c>
      <c r="C287" t="s">
        <v>186</v>
      </c>
      <c r="D287" t="s">
        <v>187</v>
      </c>
      <c r="E287" t="s">
        <v>159</v>
      </c>
      <c r="F287" t="s">
        <v>101</v>
      </c>
      <c r="G287" t="s">
        <v>135</v>
      </c>
      <c r="H287">
        <v>0</v>
      </c>
      <c r="I287">
        <v>0</v>
      </c>
      <c r="J287">
        <v>0</v>
      </c>
      <c r="K287" t="s">
        <v>104</v>
      </c>
      <c r="L287">
        <v>0</v>
      </c>
      <c r="M287">
        <v>2</v>
      </c>
      <c r="N287">
        <v>0</v>
      </c>
      <c r="O287">
        <v>20</v>
      </c>
      <c r="P287">
        <v>0</v>
      </c>
      <c r="Q287">
        <v>10</v>
      </c>
      <c r="R287">
        <v>0</v>
      </c>
      <c r="S287">
        <v>0</v>
      </c>
      <c r="T287">
        <v>0</v>
      </c>
      <c r="U287" s="8">
        <v>0</v>
      </c>
      <c r="V287" s="8">
        <f t="shared" si="8"/>
        <v>0</v>
      </c>
      <c r="W287" t="str">
        <f>_xlfn.XLOOKUP(A287, Matches!A:A, Matches!L:L, "NA", 0)</f>
        <v>RCBW</v>
      </c>
      <c r="X287" t="str">
        <f>_xlfn.XLOOKUP(A287, Matches!A:A, Matches!J:J, "NA", 0)</f>
        <v>RCBW</v>
      </c>
      <c r="Y287" t="str">
        <f>_xlfn.XLOOKUP(A287, Matches!A:A, Matches!F:F, "NA", 0)</f>
        <v>Dr DY Patil Sports </v>
      </c>
      <c r="Z287" cm="1">
        <f t="array" ref="Z287">INDEX(Innings!F:F,MATCH(1,(TRIM(Innings!A:A)=TRIM(A287))*(TRIM(Innings!D:D)=TRIM(E287)),0))</f>
        <v>136</v>
      </c>
      <c r="AA287" cm="1">
        <f t="array" ref="AA287">INDEX(Innings!I:I,MATCH(1,(TRIM(Innings!A:A)=TRIM(A287))*(TRIM(Innings!D:D)=TRIM(E287)),0))</f>
        <v>7.56</v>
      </c>
      <c r="AB287" cm="1">
        <f t="array" ref="AB287">INDEX(Innings!J:J,MATCH(1,(TRIM(Innings!A:A)=TRIM(A287))*(TRIM(Innings!D:D)=TRIM(E287)),0))</f>
        <v>43</v>
      </c>
      <c r="AC287" cm="1">
        <f t="array" ref="AC287">INDEX(Innings!N:N,MATCH(1,(TRIM(Innings!A:A)=TRIM(A287))*(TRIM(Innings!D:D)=TRIM(E287)),0))</f>
        <v>17</v>
      </c>
      <c r="AD287" cm="1">
        <f t="array" ref="AD287">INDEX(Innings!S:S,MATCH(1,(TRIM(Innings!A:A)=TRIM(A287))*(TRIM(Innings!D:D)=TRIM(E287)),0))</f>
        <v>53</v>
      </c>
      <c r="AE287" t="str" cm="1">
        <f t="array" ref="AE287">INDEX(Innings!W:W,MATCH(1,(TRIM(Innings!A:A)=TRIM(A287))*(TRIM(Innings!D:D)=TRIM(E287)),0))</f>
        <v>Successful</v>
      </c>
      <c r="AF287">
        <f>IF(UPPER(TRIM(E287))=UPPER(TRIM(W287)),1,0)</f>
        <v>1</v>
      </c>
      <c r="AG287">
        <f t="shared" si="9"/>
        <v>20</v>
      </c>
    </row>
    <row r="288" spans="1:33" x14ac:dyDescent="0.3">
      <c r="A288" t="s">
        <v>147</v>
      </c>
      <c r="B288">
        <v>1</v>
      </c>
      <c r="C288" t="s">
        <v>239</v>
      </c>
      <c r="D288" t="s">
        <v>241</v>
      </c>
      <c r="E288" t="s">
        <v>258</v>
      </c>
      <c r="F288" t="s">
        <v>109</v>
      </c>
      <c r="G288" t="s">
        <v>86</v>
      </c>
      <c r="H288">
        <v>4</v>
      </c>
      <c r="I288">
        <v>6</v>
      </c>
      <c r="J288">
        <v>66.67</v>
      </c>
      <c r="K288" t="s">
        <v>246</v>
      </c>
      <c r="L288">
        <v>2.67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s="8">
        <v>2.67</v>
      </c>
      <c r="V288" s="8">
        <f t="shared" si="8"/>
        <v>0</v>
      </c>
      <c r="W288" t="str">
        <f>_xlfn.XLOOKUP(A288, Matches!A:A, Matches!L:L, "NA", 0)</f>
        <v>GGTW</v>
      </c>
      <c r="X288" t="str">
        <f>_xlfn.XLOOKUP(A288, Matches!A:A, Matches!J:J, "NA", 0)</f>
        <v>DCW</v>
      </c>
      <c r="Y288" t="str">
        <f>_xlfn.XLOOKUP(A288, Matches!A:A, Matches!F:F, "NA", 0)</f>
        <v>Brabourne Stadium</v>
      </c>
      <c r="Z288" cm="1">
        <f t="array" ref="Z288">INDEX(Innings!F:F,MATCH(1,(TRIM(Innings!A:A)=TRIM(A288))*(TRIM(Innings!D:D)=TRIM(E288)),0))</f>
        <v>147</v>
      </c>
      <c r="AA288" cm="1">
        <f t="array" ref="AA288">INDEX(Innings!I:I,MATCH(1,(TRIM(Innings!A:A)=TRIM(A288))*(TRIM(Innings!D:D)=TRIM(E288)),0))</f>
        <v>7.35</v>
      </c>
      <c r="AB288" cm="1">
        <f t="array" ref="AB288">INDEX(Innings!J:J,MATCH(1,(TRIM(Innings!A:A)=TRIM(A288))*(TRIM(Innings!D:D)=TRIM(E288)),0))</f>
        <v>32</v>
      </c>
      <c r="AC288" cm="1">
        <f t="array" ref="AC288">INDEX(Innings!N:N,MATCH(1,(TRIM(Innings!A:A)=TRIM(A288))*(TRIM(Innings!D:D)=TRIM(E288)),0))</f>
        <v>38</v>
      </c>
      <c r="AD288" cm="1">
        <f t="array" ref="AD288">INDEX(Innings!S:S,MATCH(1,(TRIM(Innings!A:A)=TRIM(A288))*(TRIM(Innings!D:D)=TRIM(E288)),0))</f>
        <v>46</v>
      </c>
      <c r="AE288" t="str" cm="1">
        <f t="array" ref="AE288">INDEX(Innings!W:W,MATCH(1,(TRIM(Innings!A:A)=TRIM(A288))*(TRIM(Innings!D:D)=TRIM(E288)),0))</f>
        <v>NA</v>
      </c>
      <c r="AF288">
        <f>IF(UPPER(TRIM(E288))=UPPER(TRIM(W288)),1,0)</f>
        <v>1</v>
      </c>
      <c r="AG288">
        <f t="shared" si="9"/>
        <v>21.335000000000001</v>
      </c>
    </row>
    <row r="289" spans="1:33" x14ac:dyDescent="0.3">
      <c r="A289" t="s">
        <v>147</v>
      </c>
      <c r="B289">
        <v>1</v>
      </c>
      <c r="C289" t="s">
        <v>278</v>
      </c>
      <c r="D289" t="s">
        <v>293</v>
      </c>
      <c r="E289" t="s">
        <v>258</v>
      </c>
      <c r="F289" t="s">
        <v>109</v>
      </c>
      <c r="G289" t="s">
        <v>86</v>
      </c>
      <c r="H289">
        <v>57</v>
      </c>
      <c r="I289">
        <v>45</v>
      </c>
      <c r="J289">
        <v>126.67</v>
      </c>
      <c r="K289" t="s">
        <v>245</v>
      </c>
      <c r="L289">
        <v>72.2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s="8">
        <v>72.2</v>
      </c>
      <c r="V289" s="8">
        <f t="shared" si="8"/>
        <v>7</v>
      </c>
      <c r="W289" t="str">
        <f>_xlfn.XLOOKUP(A289, Matches!A:A, Matches!L:L, "NA", 0)</f>
        <v>GGTW</v>
      </c>
      <c r="X289" t="str">
        <f>_xlfn.XLOOKUP(A289, Matches!A:A, Matches!J:J, "NA", 0)</f>
        <v>DCW</v>
      </c>
      <c r="Y289" t="str">
        <f>_xlfn.XLOOKUP(A289, Matches!A:A, Matches!F:F, "NA", 0)</f>
        <v>Brabourne Stadium</v>
      </c>
      <c r="Z289" cm="1">
        <f t="array" ref="Z289">INDEX(Innings!F:F,MATCH(1,(TRIM(Innings!A:A)=TRIM(A289))*(TRIM(Innings!D:D)=TRIM(E289)),0))</f>
        <v>147</v>
      </c>
      <c r="AA289" cm="1">
        <f t="array" ref="AA289">INDEX(Innings!I:I,MATCH(1,(TRIM(Innings!A:A)=TRIM(A289))*(TRIM(Innings!D:D)=TRIM(E289)),0))</f>
        <v>7.35</v>
      </c>
      <c r="AB289" cm="1">
        <f t="array" ref="AB289">INDEX(Innings!J:J,MATCH(1,(TRIM(Innings!A:A)=TRIM(A289))*(TRIM(Innings!D:D)=TRIM(E289)),0))</f>
        <v>32</v>
      </c>
      <c r="AC289" cm="1">
        <f t="array" ref="AC289">INDEX(Innings!N:N,MATCH(1,(TRIM(Innings!A:A)=TRIM(A289))*(TRIM(Innings!D:D)=TRIM(E289)),0))</f>
        <v>38</v>
      </c>
      <c r="AD289" cm="1">
        <f t="array" ref="AD289">INDEX(Innings!S:S,MATCH(1,(TRIM(Innings!A:A)=TRIM(A289))*(TRIM(Innings!D:D)=TRIM(E289)),0))</f>
        <v>46</v>
      </c>
      <c r="AE289" t="str" cm="1">
        <f t="array" ref="AE289">INDEX(Innings!W:W,MATCH(1,(TRIM(Innings!A:A)=TRIM(A289))*(TRIM(Innings!D:D)=TRIM(E289)),0))</f>
        <v>NA</v>
      </c>
      <c r="AF289">
        <f>IF(UPPER(TRIM(E289))=UPPER(TRIM(W289)),1,0)</f>
        <v>1</v>
      </c>
      <c r="AG289">
        <f t="shared" si="9"/>
        <v>58.2</v>
      </c>
    </row>
    <row r="290" spans="1:33" x14ac:dyDescent="0.3">
      <c r="A290" t="s">
        <v>147</v>
      </c>
      <c r="B290">
        <v>1</v>
      </c>
      <c r="C290" t="s">
        <v>89</v>
      </c>
      <c r="D290" t="s">
        <v>116</v>
      </c>
      <c r="E290" t="s">
        <v>258</v>
      </c>
      <c r="F290" t="s">
        <v>83</v>
      </c>
      <c r="G290" t="s">
        <v>92</v>
      </c>
      <c r="H290">
        <v>31</v>
      </c>
      <c r="I290">
        <v>33</v>
      </c>
      <c r="J290">
        <v>93.94</v>
      </c>
      <c r="K290" t="s">
        <v>246</v>
      </c>
      <c r="L290">
        <v>29.12</v>
      </c>
      <c r="M290">
        <v>3</v>
      </c>
      <c r="N290">
        <v>0</v>
      </c>
      <c r="O290">
        <v>27</v>
      </c>
      <c r="P290">
        <v>1</v>
      </c>
      <c r="Q290">
        <v>9</v>
      </c>
      <c r="R290">
        <v>20</v>
      </c>
      <c r="S290">
        <v>0</v>
      </c>
      <c r="T290">
        <v>0</v>
      </c>
      <c r="U290" s="8">
        <v>49.12</v>
      </c>
      <c r="V290" s="8">
        <f t="shared" si="8"/>
        <v>5</v>
      </c>
      <c r="W290" t="str">
        <f>_xlfn.XLOOKUP(A290, Matches!A:A, Matches!L:L, "NA", 0)</f>
        <v>GGTW</v>
      </c>
      <c r="X290" t="str">
        <f>_xlfn.XLOOKUP(A290, Matches!A:A, Matches!J:J, "NA", 0)</f>
        <v>DCW</v>
      </c>
      <c r="Y290" t="str">
        <f>_xlfn.XLOOKUP(A290, Matches!A:A, Matches!F:F, "NA", 0)</f>
        <v>Brabourne Stadium</v>
      </c>
      <c r="Z290" cm="1">
        <f t="array" ref="Z290">INDEX(Innings!F:F,MATCH(1,(TRIM(Innings!A:A)=TRIM(A290))*(TRIM(Innings!D:D)=TRIM(E290)),0))</f>
        <v>147</v>
      </c>
      <c r="AA290" cm="1">
        <f t="array" ref="AA290">INDEX(Innings!I:I,MATCH(1,(TRIM(Innings!A:A)=TRIM(A290))*(TRIM(Innings!D:D)=TRIM(E290)),0))</f>
        <v>7.35</v>
      </c>
      <c r="AB290" cm="1">
        <f t="array" ref="AB290">INDEX(Innings!J:J,MATCH(1,(TRIM(Innings!A:A)=TRIM(A290))*(TRIM(Innings!D:D)=TRIM(E290)),0))</f>
        <v>32</v>
      </c>
      <c r="AC290" cm="1">
        <f t="array" ref="AC290">INDEX(Innings!N:N,MATCH(1,(TRIM(Innings!A:A)=TRIM(A290))*(TRIM(Innings!D:D)=TRIM(E290)),0))</f>
        <v>38</v>
      </c>
      <c r="AD290" cm="1">
        <f t="array" ref="AD290">INDEX(Innings!S:S,MATCH(1,(TRIM(Innings!A:A)=TRIM(A290))*(TRIM(Innings!D:D)=TRIM(E290)),0))</f>
        <v>46</v>
      </c>
      <c r="AE290" t="str" cm="1">
        <f t="array" ref="AE290">INDEX(Innings!W:W,MATCH(1,(TRIM(Innings!A:A)=TRIM(A290))*(TRIM(Innings!D:D)=TRIM(E290)),0))</f>
        <v>NA</v>
      </c>
      <c r="AF290">
        <f>IF(UPPER(TRIM(E290))=UPPER(TRIM(W290)),1,0)</f>
        <v>1</v>
      </c>
      <c r="AG290">
        <f t="shared" si="9"/>
        <v>46.06</v>
      </c>
    </row>
    <row r="291" spans="1:33" x14ac:dyDescent="0.3">
      <c r="A291" t="s">
        <v>147</v>
      </c>
      <c r="B291">
        <v>1</v>
      </c>
      <c r="C291" t="s">
        <v>93</v>
      </c>
      <c r="D291" t="s">
        <v>118</v>
      </c>
      <c r="E291" t="s">
        <v>258</v>
      </c>
      <c r="F291" t="s">
        <v>83</v>
      </c>
      <c r="G291" t="s">
        <v>134</v>
      </c>
      <c r="H291">
        <v>51</v>
      </c>
      <c r="I291">
        <v>33</v>
      </c>
      <c r="J291">
        <v>154.55000000000001</v>
      </c>
      <c r="K291" t="s">
        <v>96</v>
      </c>
      <c r="L291">
        <v>78.819999999999993</v>
      </c>
      <c r="M291">
        <v>3.4</v>
      </c>
      <c r="N291">
        <v>0</v>
      </c>
      <c r="O291">
        <v>19</v>
      </c>
      <c r="P291">
        <v>2</v>
      </c>
      <c r="Q291">
        <v>5.2</v>
      </c>
      <c r="R291">
        <v>40</v>
      </c>
      <c r="S291">
        <v>0</v>
      </c>
      <c r="T291">
        <v>0</v>
      </c>
      <c r="U291" s="8">
        <v>118.82</v>
      </c>
      <c r="V291" s="8">
        <f t="shared" si="8"/>
        <v>10</v>
      </c>
      <c r="W291" t="str">
        <f>_xlfn.XLOOKUP(A291, Matches!A:A, Matches!L:L, "NA", 0)</f>
        <v>GGTW</v>
      </c>
      <c r="X291" t="str">
        <f>_xlfn.XLOOKUP(A291, Matches!A:A, Matches!J:J, "NA", 0)</f>
        <v>DCW</v>
      </c>
      <c r="Y291" t="str">
        <f>_xlfn.XLOOKUP(A291, Matches!A:A, Matches!F:F, "NA", 0)</f>
        <v>Brabourne Stadium</v>
      </c>
      <c r="Z291" cm="1">
        <f t="array" ref="Z291">INDEX(Innings!F:F,MATCH(1,(TRIM(Innings!A:A)=TRIM(A291))*(TRIM(Innings!D:D)=TRIM(E291)),0))</f>
        <v>147</v>
      </c>
      <c r="AA291" cm="1">
        <f t="array" ref="AA291">INDEX(Innings!I:I,MATCH(1,(TRIM(Innings!A:A)=TRIM(A291))*(TRIM(Innings!D:D)=TRIM(E291)),0))</f>
        <v>7.35</v>
      </c>
      <c r="AB291" cm="1">
        <f t="array" ref="AB291">INDEX(Innings!J:J,MATCH(1,(TRIM(Innings!A:A)=TRIM(A291))*(TRIM(Innings!D:D)=TRIM(E291)),0))</f>
        <v>32</v>
      </c>
      <c r="AC291" cm="1">
        <f t="array" ref="AC291">INDEX(Innings!N:N,MATCH(1,(TRIM(Innings!A:A)=TRIM(A291))*(TRIM(Innings!D:D)=TRIM(E291)),0))</f>
        <v>38</v>
      </c>
      <c r="AD291" cm="1">
        <f t="array" ref="AD291">INDEX(Innings!S:S,MATCH(1,(TRIM(Innings!A:A)=TRIM(A291))*(TRIM(Innings!D:D)=TRIM(E291)),0))</f>
        <v>46</v>
      </c>
      <c r="AE291" t="str" cm="1">
        <f t="array" ref="AE291">INDEX(Innings!W:W,MATCH(1,(TRIM(Innings!A:A)=TRIM(A291))*(TRIM(Innings!D:D)=TRIM(E291)),0))</f>
        <v>NA</v>
      </c>
      <c r="AF291">
        <f>IF(UPPER(TRIM(E291))=UPPER(TRIM(W291)),1,0)</f>
        <v>1</v>
      </c>
      <c r="AG291">
        <f t="shared" si="9"/>
        <v>82.41</v>
      </c>
    </row>
    <row r="292" spans="1:33" x14ac:dyDescent="0.3">
      <c r="A292" t="s">
        <v>147</v>
      </c>
      <c r="B292">
        <v>1</v>
      </c>
      <c r="C292" t="s">
        <v>97</v>
      </c>
      <c r="D292" t="s">
        <v>122</v>
      </c>
      <c r="E292" t="s">
        <v>258</v>
      </c>
      <c r="F292" t="s">
        <v>109</v>
      </c>
      <c r="G292" t="s">
        <v>134</v>
      </c>
      <c r="H292">
        <v>1</v>
      </c>
      <c r="I292">
        <v>3</v>
      </c>
      <c r="J292">
        <v>33.33</v>
      </c>
      <c r="K292" t="s">
        <v>246</v>
      </c>
      <c r="L292">
        <v>0.33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s="8">
        <v>0.33</v>
      </c>
      <c r="V292" s="8">
        <f t="shared" si="8"/>
        <v>0</v>
      </c>
      <c r="W292" t="str">
        <f>_xlfn.XLOOKUP(A292, Matches!A:A, Matches!L:L, "NA", 0)</f>
        <v>GGTW</v>
      </c>
      <c r="X292" t="str">
        <f>_xlfn.XLOOKUP(A292, Matches!A:A, Matches!J:J, "NA", 0)</f>
        <v>DCW</v>
      </c>
      <c r="Y292" t="str">
        <f>_xlfn.XLOOKUP(A292, Matches!A:A, Matches!F:F, "NA", 0)</f>
        <v>Brabourne Stadium</v>
      </c>
      <c r="Z292" cm="1">
        <f t="array" ref="Z292">INDEX(Innings!F:F,MATCH(1,(TRIM(Innings!A:A)=TRIM(A292))*(TRIM(Innings!D:D)=TRIM(E292)),0))</f>
        <v>147</v>
      </c>
      <c r="AA292" cm="1">
        <f t="array" ref="AA292">INDEX(Innings!I:I,MATCH(1,(TRIM(Innings!A:A)=TRIM(A292))*(TRIM(Innings!D:D)=TRIM(E292)),0))</f>
        <v>7.35</v>
      </c>
      <c r="AB292" cm="1">
        <f t="array" ref="AB292">INDEX(Innings!J:J,MATCH(1,(TRIM(Innings!A:A)=TRIM(A292))*(TRIM(Innings!D:D)=TRIM(E292)),0))</f>
        <v>32</v>
      </c>
      <c r="AC292" cm="1">
        <f t="array" ref="AC292">INDEX(Innings!N:N,MATCH(1,(TRIM(Innings!A:A)=TRIM(A292))*(TRIM(Innings!D:D)=TRIM(E292)),0))</f>
        <v>38</v>
      </c>
      <c r="AD292" cm="1">
        <f t="array" ref="AD292">INDEX(Innings!S:S,MATCH(1,(TRIM(Innings!A:A)=TRIM(A292))*(TRIM(Innings!D:D)=TRIM(E292)),0))</f>
        <v>46</v>
      </c>
      <c r="AE292" t="str" cm="1">
        <f t="array" ref="AE292">INDEX(Innings!W:W,MATCH(1,(TRIM(Innings!A:A)=TRIM(A292))*(TRIM(Innings!D:D)=TRIM(E292)),0))</f>
        <v>NA</v>
      </c>
      <c r="AF292">
        <f>IF(UPPER(TRIM(E292))=UPPER(TRIM(W292)),1,0)</f>
        <v>1</v>
      </c>
      <c r="AG292">
        <f t="shared" si="9"/>
        <v>20.164999999999999</v>
      </c>
    </row>
    <row r="293" spans="1:33" x14ac:dyDescent="0.3">
      <c r="A293" t="s">
        <v>147</v>
      </c>
      <c r="B293">
        <v>1</v>
      </c>
      <c r="C293" t="s">
        <v>102</v>
      </c>
      <c r="D293" t="s">
        <v>126</v>
      </c>
      <c r="E293" t="s">
        <v>258</v>
      </c>
      <c r="F293" t="s">
        <v>101</v>
      </c>
      <c r="G293" t="s">
        <v>104</v>
      </c>
      <c r="H293">
        <v>0</v>
      </c>
      <c r="I293">
        <v>0</v>
      </c>
      <c r="J293">
        <v>0</v>
      </c>
      <c r="K293" t="s">
        <v>104</v>
      </c>
      <c r="L293">
        <v>0</v>
      </c>
      <c r="M293">
        <v>3</v>
      </c>
      <c r="N293">
        <v>0</v>
      </c>
      <c r="O293">
        <v>27</v>
      </c>
      <c r="P293">
        <v>1</v>
      </c>
      <c r="Q293">
        <v>9</v>
      </c>
      <c r="R293">
        <v>20</v>
      </c>
      <c r="S293">
        <v>0</v>
      </c>
      <c r="T293">
        <v>0</v>
      </c>
      <c r="U293" s="8">
        <v>20</v>
      </c>
      <c r="V293" s="8">
        <f t="shared" si="8"/>
        <v>2</v>
      </c>
      <c r="W293" t="str">
        <f>_xlfn.XLOOKUP(A293, Matches!A:A, Matches!L:L, "NA", 0)</f>
        <v>GGTW</v>
      </c>
      <c r="X293" t="str">
        <f>_xlfn.XLOOKUP(A293, Matches!A:A, Matches!J:J, "NA", 0)</f>
        <v>DCW</v>
      </c>
      <c r="Y293" t="str">
        <f>_xlfn.XLOOKUP(A293, Matches!A:A, Matches!F:F, "NA", 0)</f>
        <v>Brabourne Stadium</v>
      </c>
      <c r="Z293" cm="1">
        <f t="array" ref="Z293">INDEX(Innings!F:F,MATCH(1,(TRIM(Innings!A:A)=TRIM(A293))*(TRIM(Innings!D:D)=TRIM(E293)),0))</f>
        <v>147</v>
      </c>
      <c r="AA293" cm="1">
        <f t="array" ref="AA293">INDEX(Innings!I:I,MATCH(1,(TRIM(Innings!A:A)=TRIM(A293))*(TRIM(Innings!D:D)=TRIM(E293)),0))</f>
        <v>7.35</v>
      </c>
      <c r="AB293" cm="1">
        <f t="array" ref="AB293">INDEX(Innings!J:J,MATCH(1,(TRIM(Innings!A:A)=TRIM(A293))*(TRIM(Innings!D:D)=TRIM(E293)),0))</f>
        <v>32</v>
      </c>
      <c r="AC293" cm="1">
        <f t="array" ref="AC293">INDEX(Innings!N:N,MATCH(1,(TRIM(Innings!A:A)=TRIM(A293))*(TRIM(Innings!D:D)=TRIM(E293)),0))</f>
        <v>38</v>
      </c>
      <c r="AD293" cm="1">
        <f t="array" ref="AD293">INDEX(Innings!S:S,MATCH(1,(TRIM(Innings!A:A)=TRIM(A293))*(TRIM(Innings!D:D)=TRIM(E293)),0))</f>
        <v>46</v>
      </c>
      <c r="AE293" t="str" cm="1">
        <f t="array" ref="AE293">INDEX(Innings!W:W,MATCH(1,(TRIM(Innings!A:A)=TRIM(A293))*(TRIM(Innings!D:D)=TRIM(E293)),0))</f>
        <v>NA</v>
      </c>
      <c r="AF293">
        <f>IF(UPPER(TRIM(E293))=UPPER(TRIM(W293)),1,0)</f>
        <v>1</v>
      </c>
      <c r="AG293">
        <f t="shared" si="9"/>
        <v>30.6</v>
      </c>
    </row>
    <row r="294" spans="1:33" x14ac:dyDescent="0.3">
      <c r="A294" t="s">
        <v>147</v>
      </c>
      <c r="B294">
        <v>1</v>
      </c>
      <c r="C294" t="s">
        <v>240</v>
      </c>
      <c r="D294" t="s">
        <v>243</v>
      </c>
      <c r="E294" t="s">
        <v>258</v>
      </c>
      <c r="F294" t="s">
        <v>85</v>
      </c>
      <c r="G294" t="s">
        <v>104</v>
      </c>
      <c r="H294">
        <v>0</v>
      </c>
      <c r="I294">
        <v>0</v>
      </c>
      <c r="J294">
        <v>0</v>
      </c>
      <c r="K294" t="s">
        <v>104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s="8">
        <v>0</v>
      </c>
      <c r="V294" s="8">
        <f t="shared" si="8"/>
        <v>0</v>
      </c>
      <c r="W294" t="str">
        <f>_xlfn.XLOOKUP(A294, Matches!A:A, Matches!L:L, "NA", 0)</f>
        <v>GGTW</v>
      </c>
      <c r="X294" t="str">
        <f>_xlfn.XLOOKUP(A294, Matches!A:A, Matches!J:J, "NA", 0)</f>
        <v>DCW</v>
      </c>
      <c r="Y294" t="str">
        <f>_xlfn.XLOOKUP(A294, Matches!A:A, Matches!F:F, "NA", 0)</f>
        <v>Brabourne Stadium</v>
      </c>
      <c r="Z294" cm="1">
        <f t="array" ref="Z294">INDEX(Innings!F:F,MATCH(1,(TRIM(Innings!A:A)=TRIM(A294))*(TRIM(Innings!D:D)=TRIM(E294)),0))</f>
        <v>147</v>
      </c>
      <c r="AA294" cm="1">
        <f t="array" ref="AA294">INDEX(Innings!I:I,MATCH(1,(TRIM(Innings!A:A)=TRIM(A294))*(TRIM(Innings!D:D)=TRIM(E294)),0))</f>
        <v>7.35</v>
      </c>
      <c r="AB294" cm="1">
        <f t="array" ref="AB294">INDEX(Innings!J:J,MATCH(1,(TRIM(Innings!A:A)=TRIM(A294))*(TRIM(Innings!D:D)=TRIM(E294)),0))</f>
        <v>32</v>
      </c>
      <c r="AC294" cm="1">
        <f t="array" ref="AC294">INDEX(Innings!N:N,MATCH(1,(TRIM(Innings!A:A)=TRIM(A294))*(TRIM(Innings!D:D)=TRIM(E294)),0))</f>
        <v>38</v>
      </c>
      <c r="AD294" cm="1">
        <f t="array" ref="AD294">INDEX(Innings!S:S,MATCH(1,(TRIM(Innings!A:A)=TRIM(A294))*(TRIM(Innings!D:D)=TRIM(E294)),0))</f>
        <v>46</v>
      </c>
      <c r="AE294" t="str" cm="1">
        <f t="array" ref="AE294">INDEX(Innings!W:W,MATCH(1,(TRIM(Innings!A:A)=TRIM(A294))*(TRIM(Innings!D:D)=TRIM(E294)),0))</f>
        <v>NA</v>
      </c>
      <c r="AF294">
        <f>IF(UPPER(TRIM(E294))=UPPER(TRIM(W294)),1,0)</f>
        <v>1</v>
      </c>
      <c r="AG294">
        <f t="shared" si="9"/>
        <v>20</v>
      </c>
    </row>
    <row r="295" spans="1:33" x14ac:dyDescent="0.3">
      <c r="A295" t="s">
        <v>147</v>
      </c>
      <c r="B295">
        <v>1</v>
      </c>
      <c r="C295" t="s">
        <v>242</v>
      </c>
      <c r="D295" t="s">
        <v>244</v>
      </c>
      <c r="E295" t="s">
        <v>258</v>
      </c>
      <c r="F295" t="s">
        <v>101</v>
      </c>
      <c r="G295" t="s">
        <v>104</v>
      </c>
      <c r="H295">
        <v>0</v>
      </c>
      <c r="I295">
        <v>0</v>
      </c>
      <c r="J295">
        <v>0</v>
      </c>
      <c r="K295" t="s">
        <v>104</v>
      </c>
      <c r="L295">
        <v>0</v>
      </c>
      <c r="M295">
        <v>4</v>
      </c>
      <c r="N295">
        <v>0</v>
      </c>
      <c r="O295">
        <v>18</v>
      </c>
      <c r="P295">
        <v>2</v>
      </c>
      <c r="Q295">
        <v>4.5</v>
      </c>
      <c r="R295">
        <v>40</v>
      </c>
      <c r="S295">
        <v>0</v>
      </c>
      <c r="T295">
        <v>0</v>
      </c>
      <c r="U295" s="8">
        <v>40</v>
      </c>
      <c r="V295" s="8">
        <f t="shared" si="8"/>
        <v>4</v>
      </c>
      <c r="W295" t="str">
        <f>_xlfn.XLOOKUP(A295, Matches!A:A, Matches!L:L, "NA", 0)</f>
        <v>GGTW</v>
      </c>
      <c r="X295" t="str">
        <f>_xlfn.XLOOKUP(A295, Matches!A:A, Matches!J:J, "NA", 0)</f>
        <v>DCW</v>
      </c>
      <c r="Y295" t="str">
        <f>_xlfn.XLOOKUP(A295, Matches!A:A, Matches!F:F, "NA", 0)</f>
        <v>Brabourne Stadium</v>
      </c>
      <c r="Z295" cm="1">
        <f t="array" ref="Z295">INDEX(Innings!F:F,MATCH(1,(TRIM(Innings!A:A)=TRIM(A295))*(TRIM(Innings!D:D)=TRIM(E295)),0))</f>
        <v>147</v>
      </c>
      <c r="AA295" cm="1">
        <f t="array" ref="AA295">INDEX(Innings!I:I,MATCH(1,(TRIM(Innings!A:A)=TRIM(A295))*(TRIM(Innings!D:D)=TRIM(E295)),0))</f>
        <v>7.35</v>
      </c>
      <c r="AB295" cm="1">
        <f t="array" ref="AB295">INDEX(Innings!J:J,MATCH(1,(TRIM(Innings!A:A)=TRIM(A295))*(TRIM(Innings!D:D)=TRIM(E295)),0))</f>
        <v>32</v>
      </c>
      <c r="AC295" cm="1">
        <f t="array" ref="AC295">INDEX(Innings!N:N,MATCH(1,(TRIM(Innings!A:A)=TRIM(A295))*(TRIM(Innings!D:D)=TRIM(E295)),0))</f>
        <v>38</v>
      </c>
      <c r="AD295" cm="1">
        <f t="array" ref="AD295">INDEX(Innings!S:S,MATCH(1,(TRIM(Innings!A:A)=TRIM(A295))*(TRIM(Innings!D:D)=TRIM(E295)),0))</f>
        <v>46</v>
      </c>
      <c r="AE295" t="str" cm="1">
        <f t="array" ref="AE295">INDEX(Innings!W:W,MATCH(1,(TRIM(Innings!A:A)=TRIM(A295))*(TRIM(Innings!D:D)=TRIM(E295)),0))</f>
        <v>NA</v>
      </c>
      <c r="AF295">
        <f>IF(UPPER(TRIM(E295))=UPPER(TRIM(W295)),1,0)</f>
        <v>1</v>
      </c>
      <c r="AG295">
        <f t="shared" si="9"/>
        <v>41.2</v>
      </c>
    </row>
    <row r="296" spans="1:33" x14ac:dyDescent="0.3">
      <c r="A296" t="s">
        <v>147</v>
      </c>
      <c r="B296">
        <v>1</v>
      </c>
      <c r="C296" t="s">
        <v>105</v>
      </c>
      <c r="D296" t="s">
        <v>128</v>
      </c>
      <c r="E296" t="s">
        <v>258</v>
      </c>
      <c r="F296" t="s">
        <v>101</v>
      </c>
      <c r="G296" t="s">
        <v>104</v>
      </c>
      <c r="H296">
        <v>0</v>
      </c>
      <c r="I296">
        <v>0</v>
      </c>
      <c r="J296">
        <v>0</v>
      </c>
      <c r="K296" t="s">
        <v>104</v>
      </c>
      <c r="L296">
        <v>0</v>
      </c>
      <c r="M296">
        <v>4</v>
      </c>
      <c r="N296">
        <v>0</v>
      </c>
      <c r="O296">
        <v>29</v>
      </c>
      <c r="P296">
        <v>2</v>
      </c>
      <c r="Q296">
        <v>7.2</v>
      </c>
      <c r="R296">
        <v>40</v>
      </c>
      <c r="S296">
        <v>0</v>
      </c>
      <c r="T296">
        <v>0</v>
      </c>
      <c r="U296" s="8">
        <v>40</v>
      </c>
      <c r="V296" s="8">
        <f t="shared" si="8"/>
        <v>4</v>
      </c>
      <c r="W296" t="str">
        <f>_xlfn.XLOOKUP(A296, Matches!A:A, Matches!L:L, "NA", 0)</f>
        <v>GGTW</v>
      </c>
      <c r="X296" t="str">
        <f>_xlfn.XLOOKUP(A296, Matches!A:A, Matches!J:J, "NA", 0)</f>
        <v>DCW</v>
      </c>
      <c r="Y296" t="str">
        <f>_xlfn.XLOOKUP(A296, Matches!A:A, Matches!F:F, "NA", 0)</f>
        <v>Brabourne Stadium</v>
      </c>
      <c r="Z296" cm="1">
        <f t="array" ref="Z296">INDEX(Innings!F:F,MATCH(1,(TRIM(Innings!A:A)=TRIM(A296))*(TRIM(Innings!D:D)=TRIM(E296)),0))</f>
        <v>147</v>
      </c>
      <c r="AA296" cm="1">
        <f t="array" ref="AA296">INDEX(Innings!I:I,MATCH(1,(TRIM(Innings!A:A)=TRIM(A296))*(TRIM(Innings!D:D)=TRIM(E296)),0))</f>
        <v>7.35</v>
      </c>
      <c r="AB296" cm="1">
        <f t="array" ref="AB296">INDEX(Innings!J:J,MATCH(1,(TRIM(Innings!A:A)=TRIM(A296))*(TRIM(Innings!D:D)=TRIM(E296)),0))</f>
        <v>32</v>
      </c>
      <c r="AC296" cm="1">
        <f t="array" ref="AC296">INDEX(Innings!N:N,MATCH(1,(TRIM(Innings!A:A)=TRIM(A296))*(TRIM(Innings!D:D)=TRIM(E296)),0))</f>
        <v>38</v>
      </c>
      <c r="AD296" cm="1">
        <f t="array" ref="AD296">INDEX(Innings!S:S,MATCH(1,(TRIM(Innings!A:A)=TRIM(A296))*(TRIM(Innings!D:D)=TRIM(E296)),0))</f>
        <v>46</v>
      </c>
      <c r="AE296" t="str" cm="1">
        <f t="array" ref="AE296">INDEX(Innings!W:W,MATCH(1,(TRIM(Innings!A:A)=TRIM(A296))*(TRIM(Innings!D:D)=TRIM(E296)),0))</f>
        <v>NA</v>
      </c>
      <c r="AF296">
        <f>IF(UPPER(TRIM(E296))=UPPER(TRIM(W296)),1,0)</f>
        <v>1</v>
      </c>
      <c r="AG296">
        <f t="shared" si="9"/>
        <v>41.2</v>
      </c>
    </row>
    <row r="297" spans="1:33" x14ac:dyDescent="0.3">
      <c r="A297" t="s">
        <v>147</v>
      </c>
      <c r="B297">
        <v>1</v>
      </c>
      <c r="C297" t="s">
        <v>110</v>
      </c>
      <c r="D297" t="s">
        <v>132</v>
      </c>
      <c r="E297" t="s">
        <v>258</v>
      </c>
      <c r="F297" t="s">
        <v>101</v>
      </c>
      <c r="G297" t="s">
        <v>104</v>
      </c>
      <c r="H297">
        <v>0</v>
      </c>
      <c r="I297">
        <v>0</v>
      </c>
      <c r="J297">
        <v>0</v>
      </c>
      <c r="K297" t="s">
        <v>104</v>
      </c>
      <c r="L297">
        <v>0</v>
      </c>
      <c r="M297">
        <v>1</v>
      </c>
      <c r="N297">
        <v>0</v>
      </c>
      <c r="O297">
        <v>16</v>
      </c>
      <c r="P297">
        <v>0</v>
      </c>
      <c r="Q297">
        <v>16</v>
      </c>
      <c r="R297">
        <v>0</v>
      </c>
      <c r="S297">
        <v>0</v>
      </c>
      <c r="T297">
        <v>0</v>
      </c>
      <c r="U297" s="8">
        <v>0</v>
      </c>
      <c r="V297" s="8">
        <f t="shared" si="8"/>
        <v>0</v>
      </c>
      <c r="W297" t="str">
        <f>_xlfn.XLOOKUP(A297, Matches!A:A, Matches!L:L, "NA", 0)</f>
        <v>GGTW</v>
      </c>
      <c r="X297" t="str">
        <f>_xlfn.XLOOKUP(A297, Matches!A:A, Matches!J:J, "NA", 0)</f>
        <v>DCW</v>
      </c>
      <c r="Y297" t="str">
        <f>_xlfn.XLOOKUP(A297, Matches!A:A, Matches!F:F, "NA", 0)</f>
        <v>Brabourne Stadium</v>
      </c>
      <c r="Z297" cm="1">
        <f t="array" ref="Z297">INDEX(Innings!F:F,MATCH(1,(TRIM(Innings!A:A)=TRIM(A297))*(TRIM(Innings!D:D)=TRIM(E297)),0))</f>
        <v>147</v>
      </c>
      <c r="AA297" cm="1">
        <f t="array" ref="AA297">INDEX(Innings!I:I,MATCH(1,(TRIM(Innings!A:A)=TRIM(A297))*(TRIM(Innings!D:D)=TRIM(E297)),0))</f>
        <v>7.35</v>
      </c>
      <c r="AB297" cm="1">
        <f t="array" ref="AB297">INDEX(Innings!J:J,MATCH(1,(TRIM(Innings!A:A)=TRIM(A297))*(TRIM(Innings!D:D)=TRIM(E297)),0))</f>
        <v>32</v>
      </c>
      <c r="AC297" cm="1">
        <f t="array" ref="AC297">INDEX(Innings!N:N,MATCH(1,(TRIM(Innings!A:A)=TRIM(A297))*(TRIM(Innings!D:D)=TRIM(E297)),0))</f>
        <v>38</v>
      </c>
      <c r="AD297" cm="1">
        <f t="array" ref="AD297">INDEX(Innings!S:S,MATCH(1,(TRIM(Innings!A:A)=TRIM(A297))*(TRIM(Innings!D:D)=TRIM(E297)),0))</f>
        <v>46</v>
      </c>
      <c r="AE297" t="str" cm="1">
        <f t="array" ref="AE297">INDEX(Innings!W:W,MATCH(1,(TRIM(Innings!A:A)=TRIM(A297))*(TRIM(Innings!D:D)=TRIM(E297)),0))</f>
        <v>NA</v>
      </c>
      <c r="AF297">
        <f>IF(UPPER(TRIM(E297))=UPPER(TRIM(W297)),1,0)</f>
        <v>1</v>
      </c>
      <c r="AG297">
        <f t="shared" si="9"/>
        <v>20</v>
      </c>
    </row>
    <row r="298" spans="1:33" x14ac:dyDescent="0.3">
      <c r="A298" t="s">
        <v>147</v>
      </c>
      <c r="B298">
        <v>1</v>
      </c>
      <c r="C298" t="s">
        <v>310</v>
      </c>
      <c r="D298" t="s">
        <v>311</v>
      </c>
      <c r="E298" t="s">
        <v>258</v>
      </c>
      <c r="F298" t="s">
        <v>83</v>
      </c>
      <c r="G298" t="s">
        <v>104</v>
      </c>
      <c r="H298">
        <v>0</v>
      </c>
      <c r="I298">
        <v>0</v>
      </c>
      <c r="J298">
        <v>0</v>
      </c>
      <c r="K298" t="s">
        <v>104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s="8">
        <v>0</v>
      </c>
      <c r="V298" s="8">
        <f t="shared" si="8"/>
        <v>0</v>
      </c>
      <c r="W298" t="str">
        <f>_xlfn.XLOOKUP(A298, Matches!A:A, Matches!L:L, "NA", 0)</f>
        <v>GGTW</v>
      </c>
      <c r="X298" t="str">
        <f>_xlfn.XLOOKUP(A298, Matches!A:A, Matches!J:J, "NA", 0)</f>
        <v>DCW</v>
      </c>
      <c r="Y298" t="str">
        <f>_xlfn.XLOOKUP(A298, Matches!A:A, Matches!F:F, "NA", 0)</f>
        <v>Brabourne Stadium</v>
      </c>
      <c r="Z298" cm="1">
        <f t="array" ref="Z298">INDEX(Innings!F:F,MATCH(1,(TRIM(Innings!A:A)=TRIM(A298))*(TRIM(Innings!D:D)=TRIM(E298)),0))</f>
        <v>147</v>
      </c>
      <c r="AA298" cm="1">
        <f t="array" ref="AA298">INDEX(Innings!I:I,MATCH(1,(TRIM(Innings!A:A)=TRIM(A298))*(TRIM(Innings!D:D)=TRIM(E298)),0))</f>
        <v>7.35</v>
      </c>
      <c r="AB298" cm="1">
        <f t="array" ref="AB298">INDEX(Innings!J:J,MATCH(1,(TRIM(Innings!A:A)=TRIM(A298))*(TRIM(Innings!D:D)=TRIM(E298)),0))</f>
        <v>32</v>
      </c>
      <c r="AC298" cm="1">
        <f t="array" ref="AC298">INDEX(Innings!N:N,MATCH(1,(TRIM(Innings!A:A)=TRIM(A298))*(TRIM(Innings!D:D)=TRIM(E298)),0))</f>
        <v>38</v>
      </c>
      <c r="AD298" cm="1">
        <f t="array" ref="AD298">INDEX(Innings!S:S,MATCH(1,(TRIM(Innings!A:A)=TRIM(A298))*(TRIM(Innings!D:D)=TRIM(E298)),0))</f>
        <v>46</v>
      </c>
      <c r="AE298" t="str" cm="1">
        <f t="array" ref="AE298">INDEX(Innings!W:W,MATCH(1,(TRIM(Innings!A:A)=TRIM(A298))*(TRIM(Innings!D:D)=TRIM(E298)),0))</f>
        <v>NA</v>
      </c>
      <c r="AF298">
        <f>IF(UPPER(TRIM(E298))=UPPER(TRIM(W298)),1,0)</f>
        <v>1</v>
      </c>
      <c r="AG298">
        <f t="shared" si="9"/>
        <v>20</v>
      </c>
    </row>
    <row r="299" spans="1:33" x14ac:dyDescent="0.3">
      <c r="A299" t="s">
        <v>147</v>
      </c>
      <c r="B299">
        <v>1</v>
      </c>
      <c r="C299" t="s">
        <v>190</v>
      </c>
      <c r="D299" t="s">
        <v>191</v>
      </c>
      <c r="E299" t="s">
        <v>158</v>
      </c>
      <c r="F299" t="s">
        <v>109</v>
      </c>
      <c r="G299" t="s">
        <v>86</v>
      </c>
      <c r="H299">
        <v>18</v>
      </c>
      <c r="I299">
        <v>15</v>
      </c>
      <c r="J299">
        <v>120</v>
      </c>
      <c r="K299" t="s">
        <v>247</v>
      </c>
      <c r="L299">
        <v>21.6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s="8">
        <v>21.6</v>
      </c>
      <c r="V299" s="8">
        <f t="shared" si="8"/>
        <v>2</v>
      </c>
      <c r="W299" t="str">
        <f>_xlfn.XLOOKUP(A299, Matches!A:A, Matches!L:L, "NA", 0)</f>
        <v>GGTW</v>
      </c>
      <c r="X299" t="str">
        <f>_xlfn.XLOOKUP(A299, Matches!A:A, Matches!J:J, "NA", 0)</f>
        <v>DCW</v>
      </c>
      <c r="Y299" t="str">
        <f>_xlfn.XLOOKUP(A299, Matches!A:A, Matches!F:F, "NA", 0)</f>
        <v>Brabourne Stadium</v>
      </c>
      <c r="Z299" cm="1">
        <f t="array" ref="Z299">INDEX(Innings!F:F,MATCH(1,(TRIM(Innings!A:A)=TRIM(A299))*(TRIM(Innings!D:D)=TRIM(E299)),0))</f>
        <v>136</v>
      </c>
      <c r="AA299" cm="1">
        <f t="array" ref="AA299">INDEX(Innings!I:I,MATCH(1,(TRIM(Innings!A:A)=TRIM(A299))*(TRIM(Innings!D:D)=TRIM(E299)),0))</f>
        <v>7.29</v>
      </c>
      <c r="AB299" cm="1">
        <f t="array" ref="AB299">INDEX(Innings!J:J,MATCH(1,(TRIM(Innings!A:A)=TRIM(A299))*(TRIM(Innings!D:D)=TRIM(E299)),0))</f>
        <v>51</v>
      </c>
      <c r="AC299" cm="1">
        <f t="array" ref="AC299">INDEX(Innings!N:N,MATCH(1,(TRIM(Innings!A:A)=TRIM(A299))*(TRIM(Innings!D:D)=TRIM(E299)),0))</f>
        <v>21</v>
      </c>
      <c r="AD299" cm="1">
        <f t="array" ref="AD299">INDEX(Innings!S:S,MATCH(1,(TRIM(Innings!A:A)=TRIM(A299))*(TRIM(Innings!D:D)=TRIM(E299)),0))</f>
        <v>52</v>
      </c>
      <c r="AE299" t="str" cm="1">
        <f t="array" ref="AE299">INDEX(Innings!W:W,MATCH(1,(TRIM(Innings!A:A)=TRIM(A299))*(TRIM(Innings!D:D)=TRIM(E299)),0))</f>
        <v>Failed</v>
      </c>
      <c r="AF299">
        <f>IF(UPPER(TRIM(E299))=UPPER(TRIM(W299)),1,0)</f>
        <v>0</v>
      </c>
      <c r="AG299">
        <f t="shared" si="9"/>
        <v>11.4</v>
      </c>
    </row>
    <row r="300" spans="1:33" x14ac:dyDescent="0.3">
      <c r="A300" t="s">
        <v>147</v>
      </c>
      <c r="B300">
        <v>1</v>
      </c>
      <c r="C300" t="s">
        <v>188</v>
      </c>
      <c r="D300" t="s">
        <v>189</v>
      </c>
      <c r="E300" t="s">
        <v>158</v>
      </c>
      <c r="F300" t="s">
        <v>83</v>
      </c>
      <c r="G300" t="s">
        <v>86</v>
      </c>
      <c r="H300">
        <v>8</v>
      </c>
      <c r="I300">
        <v>7</v>
      </c>
      <c r="J300">
        <v>114.29</v>
      </c>
      <c r="K300" t="s">
        <v>245</v>
      </c>
      <c r="L300">
        <v>9.14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s="8">
        <v>9.14</v>
      </c>
      <c r="V300" s="8">
        <f t="shared" si="8"/>
        <v>1</v>
      </c>
      <c r="W300" t="str">
        <f>_xlfn.XLOOKUP(A300, Matches!A:A, Matches!L:L, "NA", 0)</f>
        <v>GGTW</v>
      </c>
      <c r="X300" t="str">
        <f>_xlfn.XLOOKUP(A300, Matches!A:A, Matches!J:J, "NA", 0)</f>
        <v>DCW</v>
      </c>
      <c r="Y300" t="str">
        <f>_xlfn.XLOOKUP(A300, Matches!A:A, Matches!F:F, "NA", 0)</f>
        <v>Brabourne Stadium</v>
      </c>
      <c r="Z300" cm="1">
        <f t="array" ref="Z300">INDEX(Innings!F:F,MATCH(1,(TRIM(Innings!A:A)=TRIM(A300))*(TRIM(Innings!D:D)=TRIM(E300)),0))</f>
        <v>136</v>
      </c>
      <c r="AA300" cm="1">
        <f t="array" ref="AA300">INDEX(Innings!I:I,MATCH(1,(TRIM(Innings!A:A)=TRIM(A300))*(TRIM(Innings!D:D)=TRIM(E300)),0))</f>
        <v>7.29</v>
      </c>
      <c r="AB300" cm="1">
        <f t="array" ref="AB300">INDEX(Innings!J:J,MATCH(1,(TRIM(Innings!A:A)=TRIM(A300))*(TRIM(Innings!D:D)=TRIM(E300)),0))</f>
        <v>51</v>
      </c>
      <c r="AC300" cm="1">
        <f t="array" ref="AC300">INDEX(Innings!N:N,MATCH(1,(TRIM(Innings!A:A)=TRIM(A300))*(TRIM(Innings!D:D)=TRIM(E300)),0))</f>
        <v>21</v>
      </c>
      <c r="AD300" cm="1">
        <f t="array" ref="AD300">INDEX(Innings!S:S,MATCH(1,(TRIM(Innings!A:A)=TRIM(A300))*(TRIM(Innings!D:D)=TRIM(E300)),0))</f>
        <v>52</v>
      </c>
      <c r="AE300" t="str" cm="1">
        <f t="array" ref="AE300">INDEX(Innings!W:W,MATCH(1,(TRIM(Innings!A:A)=TRIM(A300))*(TRIM(Innings!D:D)=TRIM(E300)),0))</f>
        <v>Failed</v>
      </c>
      <c r="AF300">
        <f>IF(UPPER(TRIM(E300))=UPPER(TRIM(W300)),1,0)</f>
        <v>0</v>
      </c>
      <c r="AG300">
        <f t="shared" si="9"/>
        <v>4.87</v>
      </c>
    </row>
    <row r="301" spans="1:33" x14ac:dyDescent="0.3">
      <c r="A301" t="s">
        <v>147</v>
      </c>
      <c r="B301">
        <v>1</v>
      </c>
      <c r="C301" t="s">
        <v>196</v>
      </c>
      <c r="D301" t="s">
        <v>197</v>
      </c>
      <c r="E301" t="s">
        <v>158</v>
      </c>
      <c r="F301" t="s">
        <v>83</v>
      </c>
      <c r="G301" t="s">
        <v>92</v>
      </c>
      <c r="H301">
        <v>22</v>
      </c>
      <c r="I301">
        <v>11</v>
      </c>
      <c r="J301">
        <v>200</v>
      </c>
      <c r="K301" t="s">
        <v>256</v>
      </c>
      <c r="L301">
        <v>44</v>
      </c>
      <c r="M301">
        <v>1</v>
      </c>
      <c r="N301">
        <v>0</v>
      </c>
      <c r="O301">
        <v>7</v>
      </c>
      <c r="P301">
        <v>0</v>
      </c>
      <c r="Q301">
        <v>7</v>
      </c>
      <c r="R301">
        <v>0</v>
      </c>
      <c r="S301">
        <v>0</v>
      </c>
      <c r="T301">
        <v>0</v>
      </c>
      <c r="U301" s="8">
        <v>44</v>
      </c>
      <c r="V301" s="8">
        <f t="shared" si="8"/>
        <v>4</v>
      </c>
      <c r="W301" t="str">
        <f>_xlfn.XLOOKUP(A301, Matches!A:A, Matches!L:L, "NA", 0)</f>
        <v>GGTW</v>
      </c>
      <c r="X301" t="str">
        <f>_xlfn.XLOOKUP(A301, Matches!A:A, Matches!J:J, "NA", 0)</f>
        <v>DCW</v>
      </c>
      <c r="Y301" t="str">
        <f>_xlfn.XLOOKUP(A301, Matches!A:A, Matches!F:F, "NA", 0)</f>
        <v>Brabourne Stadium</v>
      </c>
      <c r="Z301" cm="1">
        <f t="array" ref="Z301">INDEX(Innings!F:F,MATCH(1,(TRIM(Innings!A:A)=TRIM(A301))*(TRIM(Innings!D:D)=TRIM(E301)),0))</f>
        <v>136</v>
      </c>
      <c r="AA301" cm="1">
        <f t="array" ref="AA301">INDEX(Innings!I:I,MATCH(1,(TRIM(Innings!A:A)=TRIM(A301))*(TRIM(Innings!D:D)=TRIM(E301)),0))</f>
        <v>7.29</v>
      </c>
      <c r="AB301" cm="1">
        <f t="array" ref="AB301">INDEX(Innings!J:J,MATCH(1,(TRIM(Innings!A:A)=TRIM(A301))*(TRIM(Innings!D:D)=TRIM(E301)),0))</f>
        <v>51</v>
      </c>
      <c r="AC301" cm="1">
        <f t="array" ref="AC301">INDEX(Innings!N:N,MATCH(1,(TRIM(Innings!A:A)=TRIM(A301))*(TRIM(Innings!D:D)=TRIM(E301)),0))</f>
        <v>21</v>
      </c>
      <c r="AD301" cm="1">
        <f t="array" ref="AD301">INDEX(Innings!S:S,MATCH(1,(TRIM(Innings!A:A)=TRIM(A301))*(TRIM(Innings!D:D)=TRIM(E301)),0))</f>
        <v>52</v>
      </c>
      <c r="AE301" t="str" cm="1">
        <f t="array" ref="AE301">INDEX(Innings!W:W,MATCH(1,(TRIM(Innings!A:A)=TRIM(A301))*(TRIM(Innings!D:D)=TRIM(E301)),0))</f>
        <v>Failed</v>
      </c>
      <c r="AF301">
        <f>IF(UPPER(TRIM(E301))=UPPER(TRIM(W301)),1,0)</f>
        <v>0</v>
      </c>
      <c r="AG301">
        <f t="shared" si="9"/>
        <v>23.2</v>
      </c>
    </row>
    <row r="302" spans="1:33" x14ac:dyDescent="0.3">
      <c r="A302" t="s">
        <v>147</v>
      </c>
      <c r="B302">
        <v>1</v>
      </c>
      <c r="C302" t="s">
        <v>194</v>
      </c>
      <c r="D302" t="s">
        <v>195</v>
      </c>
      <c r="E302" t="s">
        <v>158</v>
      </c>
      <c r="F302" t="s">
        <v>109</v>
      </c>
      <c r="G302" t="s">
        <v>92</v>
      </c>
      <c r="H302">
        <v>1</v>
      </c>
      <c r="I302">
        <v>4</v>
      </c>
      <c r="J302">
        <v>25</v>
      </c>
      <c r="K302" t="s">
        <v>246</v>
      </c>
      <c r="L302">
        <v>0.25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s="8">
        <v>0.25</v>
      </c>
      <c r="V302" s="8">
        <f t="shared" si="8"/>
        <v>0</v>
      </c>
      <c r="W302" t="str">
        <f>_xlfn.XLOOKUP(A302, Matches!A:A, Matches!L:L, "NA", 0)</f>
        <v>GGTW</v>
      </c>
      <c r="X302" t="str">
        <f>_xlfn.XLOOKUP(A302, Matches!A:A, Matches!J:J, "NA", 0)</f>
        <v>DCW</v>
      </c>
      <c r="Y302" t="str">
        <f>_xlfn.XLOOKUP(A302, Matches!A:A, Matches!F:F, "NA", 0)</f>
        <v>Brabourne Stadium</v>
      </c>
      <c r="Z302" cm="1">
        <f t="array" ref="Z302">INDEX(Innings!F:F,MATCH(1,(TRIM(Innings!A:A)=TRIM(A302))*(TRIM(Innings!D:D)=TRIM(E302)),0))</f>
        <v>136</v>
      </c>
      <c r="AA302" cm="1">
        <f t="array" ref="AA302">INDEX(Innings!I:I,MATCH(1,(TRIM(Innings!A:A)=TRIM(A302))*(TRIM(Innings!D:D)=TRIM(E302)),0))</f>
        <v>7.29</v>
      </c>
      <c r="AB302" cm="1">
        <f t="array" ref="AB302">INDEX(Innings!J:J,MATCH(1,(TRIM(Innings!A:A)=TRIM(A302))*(TRIM(Innings!D:D)=TRIM(E302)),0))</f>
        <v>51</v>
      </c>
      <c r="AC302" cm="1">
        <f t="array" ref="AC302">INDEX(Innings!N:N,MATCH(1,(TRIM(Innings!A:A)=TRIM(A302))*(TRIM(Innings!D:D)=TRIM(E302)),0))</f>
        <v>21</v>
      </c>
      <c r="AD302" cm="1">
        <f t="array" ref="AD302">INDEX(Innings!S:S,MATCH(1,(TRIM(Innings!A:A)=TRIM(A302))*(TRIM(Innings!D:D)=TRIM(E302)),0))</f>
        <v>52</v>
      </c>
      <c r="AE302" t="str" cm="1">
        <f t="array" ref="AE302">INDEX(Innings!W:W,MATCH(1,(TRIM(Innings!A:A)=TRIM(A302))*(TRIM(Innings!D:D)=TRIM(E302)),0))</f>
        <v>Failed</v>
      </c>
      <c r="AF302">
        <f>IF(UPPER(TRIM(E302))=UPPER(TRIM(W302)),1,0)</f>
        <v>0</v>
      </c>
      <c r="AG302">
        <f t="shared" si="9"/>
        <v>0.125</v>
      </c>
    </row>
    <row r="303" spans="1:33" x14ac:dyDescent="0.3">
      <c r="A303" t="s">
        <v>147</v>
      </c>
      <c r="B303">
        <v>1</v>
      </c>
      <c r="C303" t="s">
        <v>192</v>
      </c>
      <c r="D303" t="s">
        <v>193</v>
      </c>
      <c r="E303" t="s">
        <v>158</v>
      </c>
      <c r="F303" t="s">
        <v>169</v>
      </c>
      <c r="G303" t="s">
        <v>134</v>
      </c>
      <c r="H303">
        <v>36</v>
      </c>
      <c r="I303">
        <v>29</v>
      </c>
      <c r="J303">
        <v>124.14</v>
      </c>
      <c r="K303" t="s">
        <v>256</v>
      </c>
      <c r="L303">
        <v>44.69</v>
      </c>
      <c r="M303">
        <v>4</v>
      </c>
      <c r="N303">
        <v>0</v>
      </c>
      <c r="O303">
        <v>24</v>
      </c>
      <c r="P303">
        <v>1</v>
      </c>
      <c r="Q303">
        <v>6</v>
      </c>
      <c r="R303">
        <v>20</v>
      </c>
      <c r="S303">
        <v>0</v>
      </c>
      <c r="T303">
        <v>0</v>
      </c>
      <c r="U303" s="8">
        <v>64.69</v>
      </c>
      <c r="V303" s="8">
        <f t="shared" si="8"/>
        <v>6</v>
      </c>
      <c r="W303" t="str">
        <f>_xlfn.XLOOKUP(A303, Matches!A:A, Matches!L:L, "NA", 0)</f>
        <v>GGTW</v>
      </c>
      <c r="X303" t="str">
        <f>_xlfn.XLOOKUP(A303, Matches!A:A, Matches!J:J, "NA", 0)</f>
        <v>DCW</v>
      </c>
      <c r="Y303" t="str">
        <f>_xlfn.XLOOKUP(A303, Matches!A:A, Matches!F:F, "NA", 0)</f>
        <v>Brabourne Stadium</v>
      </c>
      <c r="Z303" cm="1">
        <f t="array" ref="Z303">INDEX(Innings!F:F,MATCH(1,(TRIM(Innings!A:A)=TRIM(A303))*(TRIM(Innings!D:D)=TRIM(E303)),0))</f>
        <v>136</v>
      </c>
      <c r="AA303" cm="1">
        <f t="array" ref="AA303">INDEX(Innings!I:I,MATCH(1,(TRIM(Innings!A:A)=TRIM(A303))*(TRIM(Innings!D:D)=TRIM(E303)),0))</f>
        <v>7.29</v>
      </c>
      <c r="AB303" cm="1">
        <f t="array" ref="AB303">INDEX(Innings!J:J,MATCH(1,(TRIM(Innings!A:A)=TRIM(A303))*(TRIM(Innings!D:D)=TRIM(E303)),0))</f>
        <v>51</v>
      </c>
      <c r="AC303" cm="1">
        <f t="array" ref="AC303">INDEX(Innings!N:N,MATCH(1,(TRIM(Innings!A:A)=TRIM(A303))*(TRIM(Innings!D:D)=TRIM(E303)),0))</f>
        <v>21</v>
      </c>
      <c r="AD303" cm="1">
        <f t="array" ref="AD303">INDEX(Innings!S:S,MATCH(1,(TRIM(Innings!A:A)=TRIM(A303))*(TRIM(Innings!D:D)=TRIM(E303)),0))</f>
        <v>52</v>
      </c>
      <c r="AE303" t="str" cm="1">
        <f t="array" ref="AE303">INDEX(Innings!W:W,MATCH(1,(TRIM(Innings!A:A)=TRIM(A303))*(TRIM(Innings!D:D)=TRIM(E303)),0))</f>
        <v>Failed</v>
      </c>
      <c r="AF303">
        <f>IF(UPPER(TRIM(E303))=UPPER(TRIM(W303)),1,0)</f>
        <v>0</v>
      </c>
      <c r="AG303">
        <f t="shared" si="9"/>
        <v>34.144999999999996</v>
      </c>
    </row>
    <row r="304" spans="1:33" x14ac:dyDescent="0.3">
      <c r="A304" t="s">
        <v>147</v>
      </c>
      <c r="B304">
        <v>1</v>
      </c>
      <c r="C304" t="s">
        <v>198</v>
      </c>
      <c r="D304" t="s">
        <v>199</v>
      </c>
      <c r="E304" t="s">
        <v>158</v>
      </c>
      <c r="F304" t="s">
        <v>101</v>
      </c>
      <c r="G304" t="s">
        <v>134</v>
      </c>
      <c r="H304">
        <v>4</v>
      </c>
      <c r="I304">
        <v>10</v>
      </c>
      <c r="J304">
        <v>40</v>
      </c>
      <c r="K304" t="s">
        <v>246</v>
      </c>
      <c r="L304">
        <v>1.6</v>
      </c>
      <c r="M304">
        <v>4</v>
      </c>
      <c r="N304">
        <v>0</v>
      </c>
      <c r="O304">
        <v>38</v>
      </c>
      <c r="P304">
        <v>2</v>
      </c>
      <c r="Q304">
        <v>9.5</v>
      </c>
      <c r="R304">
        <v>40</v>
      </c>
      <c r="S304">
        <v>0</v>
      </c>
      <c r="T304">
        <v>0</v>
      </c>
      <c r="U304" s="8">
        <v>41.6</v>
      </c>
      <c r="V304" s="8">
        <f t="shared" si="8"/>
        <v>4</v>
      </c>
      <c r="W304" t="str">
        <f>_xlfn.XLOOKUP(A304, Matches!A:A, Matches!L:L, "NA", 0)</f>
        <v>GGTW</v>
      </c>
      <c r="X304" t="str">
        <f>_xlfn.XLOOKUP(A304, Matches!A:A, Matches!J:J, "NA", 0)</f>
        <v>DCW</v>
      </c>
      <c r="Y304" t="str">
        <f>_xlfn.XLOOKUP(A304, Matches!A:A, Matches!F:F, "NA", 0)</f>
        <v>Brabourne Stadium</v>
      </c>
      <c r="Z304" cm="1">
        <f t="array" ref="Z304">INDEX(Innings!F:F,MATCH(1,(TRIM(Innings!A:A)=TRIM(A304))*(TRIM(Innings!D:D)=TRIM(E304)),0))</f>
        <v>136</v>
      </c>
      <c r="AA304" cm="1">
        <f t="array" ref="AA304">INDEX(Innings!I:I,MATCH(1,(TRIM(Innings!A:A)=TRIM(A304))*(TRIM(Innings!D:D)=TRIM(E304)),0))</f>
        <v>7.29</v>
      </c>
      <c r="AB304" cm="1">
        <f t="array" ref="AB304">INDEX(Innings!J:J,MATCH(1,(TRIM(Innings!A:A)=TRIM(A304))*(TRIM(Innings!D:D)=TRIM(E304)),0))</f>
        <v>51</v>
      </c>
      <c r="AC304" cm="1">
        <f t="array" ref="AC304">INDEX(Innings!N:N,MATCH(1,(TRIM(Innings!A:A)=TRIM(A304))*(TRIM(Innings!D:D)=TRIM(E304)),0))</f>
        <v>21</v>
      </c>
      <c r="AD304" cm="1">
        <f t="array" ref="AD304">INDEX(Innings!S:S,MATCH(1,(TRIM(Innings!A:A)=TRIM(A304))*(TRIM(Innings!D:D)=TRIM(E304)),0))</f>
        <v>52</v>
      </c>
      <c r="AE304" t="str" cm="1">
        <f t="array" ref="AE304">INDEX(Innings!W:W,MATCH(1,(TRIM(Innings!A:A)=TRIM(A304))*(TRIM(Innings!D:D)=TRIM(E304)),0))</f>
        <v>Failed</v>
      </c>
      <c r="AF304">
        <f>IF(UPPER(TRIM(E304))=UPPER(TRIM(W304)),1,0)</f>
        <v>0</v>
      </c>
      <c r="AG304">
        <f t="shared" si="9"/>
        <v>22</v>
      </c>
    </row>
    <row r="305" spans="1:33" x14ac:dyDescent="0.3">
      <c r="A305" t="s">
        <v>147</v>
      </c>
      <c r="B305">
        <v>1</v>
      </c>
      <c r="C305" t="s">
        <v>200</v>
      </c>
      <c r="D305" t="s">
        <v>201</v>
      </c>
      <c r="E305" t="s">
        <v>158</v>
      </c>
      <c r="F305" t="s">
        <v>85</v>
      </c>
      <c r="G305" t="s">
        <v>134</v>
      </c>
      <c r="H305">
        <v>1</v>
      </c>
      <c r="I305">
        <v>4</v>
      </c>
      <c r="J305">
        <v>25</v>
      </c>
      <c r="K305" t="s">
        <v>245</v>
      </c>
      <c r="L305">
        <v>0.25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s="8">
        <v>0.25</v>
      </c>
      <c r="V305" s="8">
        <f t="shared" si="8"/>
        <v>0</v>
      </c>
      <c r="W305" t="str">
        <f>_xlfn.XLOOKUP(A305, Matches!A:A, Matches!L:L, "NA", 0)</f>
        <v>GGTW</v>
      </c>
      <c r="X305" t="str">
        <f>_xlfn.XLOOKUP(A305, Matches!A:A, Matches!J:J, "NA", 0)</f>
        <v>DCW</v>
      </c>
      <c r="Y305" t="str">
        <f>_xlfn.XLOOKUP(A305, Matches!A:A, Matches!F:F, "NA", 0)</f>
        <v>Brabourne Stadium</v>
      </c>
      <c r="Z305" cm="1">
        <f t="array" ref="Z305">INDEX(Innings!F:F,MATCH(1,(TRIM(Innings!A:A)=TRIM(A305))*(TRIM(Innings!D:D)=TRIM(E305)),0))</f>
        <v>136</v>
      </c>
      <c r="AA305" cm="1">
        <f t="array" ref="AA305">INDEX(Innings!I:I,MATCH(1,(TRIM(Innings!A:A)=TRIM(A305))*(TRIM(Innings!D:D)=TRIM(E305)),0))</f>
        <v>7.29</v>
      </c>
      <c r="AB305" cm="1">
        <f t="array" ref="AB305">INDEX(Innings!J:J,MATCH(1,(TRIM(Innings!A:A)=TRIM(A305))*(TRIM(Innings!D:D)=TRIM(E305)),0))</f>
        <v>51</v>
      </c>
      <c r="AC305" cm="1">
        <f t="array" ref="AC305">INDEX(Innings!N:N,MATCH(1,(TRIM(Innings!A:A)=TRIM(A305))*(TRIM(Innings!D:D)=TRIM(E305)),0))</f>
        <v>21</v>
      </c>
      <c r="AD305" cm="1">
        <f t="array" ref="AD305">INDEX(Innings!S:S,MATCH(1,(TRIM(Innings!A:A)=TRIM(A305))*(TRIM(Innings!D:D)=TRIM(E305)),0))</f>
        <v>52</v>
      </c>
      <c r="AE305" t="str" cm="1">
        <f t="array" ref="AE305">INDEX(Innings!W:W,MATCH(1,(TRIM(Innings!A:A)=TRIM(A305))*(TRIM(Innings!D:D)=TRIM(E305)),0))</f>
        <v>Failed</v>
      </c>
      <c r="AF305">
        <f>IF(UPPER(TRIM(E305))=UPPER(TRIM(W305)),1,0)</f>
        <v>0</v>
      </c>
      <c r="AG305">
        <f t="shared" si="9"/>
        <v>0.125</v>
      </c>
    </row>
    <row r="306" spans="1:33" x14ac:dyDescent="0.3">
      <c r="A306" t="s">
        <v>147</v>
      </c>
      <c r="B306">
        <v>1</v>
      </c>
      <c r="C306" t="s">
        <v>202</v>
      </c>
      <c r="D306" t="s">
        <v>203</v>
      </c>
      <c r="E306" t="s">
        <v>158</v>
      </c>
      <c r="F306" t="s">
        <v>101</v>
      </c>
      <c r="G306" t="s">
        <v>134</v>
      </c>
      <c r="H306">
        <v>25</v>
      </c>
      <c r="I306">
        <v>17</v>
      </c>
      <c r="J306">
        <v>147.06</v>
      </c>
      <c r="K306" t="s">
        <v>246</v>
      </c>
      <c r="L306">
        <v>36.770000000000003</v>
      </c>
      <c r="M306">
        <v>3</v>
      </c>
      <c r="N306">
        <v>0</v>
      </c>
      <c r="O306">
        <v>25</v>
      </c>
      <c r="P306">
        <v>1</v>
      </c>
      <c r="Q306">
        <v>8.3000000000000007</v>
      </c>
      <c r="R306">
        <v>20</v>
      </c>
      <c r="S306">
        <v>0</v>
      </c>
      <c r="T306">
        <v>0</v>
      </c>
      <c r="U306" s="8">
        <v>56.77</v>
      </c>
      <c r="V306" s="8">
        <f t="shared" si="8"/>
        <v>6</v>
      </c>
      <c r="W306" t="str">
        <f>_xlfn.XLOOKUP(A306, Matches!A:A, Matches!L:L, "NA", 0)</f>
        <v>GGTW</v>
      </c>
      <c r="X306" t="str">
        <f>_xlfn.XLOOKUP(A306, Matches!A:A, Matches!J:J, "NA", 0)</f>
        <v>DCW</v>
      </c>
      <c r="Y306" t="str">
        <f>_xlfn.XLOOKUP(A306, Matches!A:A, Matches!F:F, "NA", 0)</f>
        <v>Brabourne Stadium</v>
      </c>
      <c r="Z306" cm="1">
        <f t="array" ref="Z306">INDEX(Innings!F:F,MATCH(1,(TRIM(Innings!A:A)=TRIM(A306))*(TRIM(Innings!D:D)=TRIM(E306)),0))</f>
        <v>136</v>
      </c>
      <c r="AA306" cm="1">
        <f t="array" ref="AA306">INDEX(Innings!I:I,MATCH(1,(TRIM(Innings!A:A)=TRIM(A306))*(TRIM(Innings!D:D)=TRIM(E306)),0))</f>
        <v>7.29</v>
      </c>
      <c r="AB306" cm="1">
        <f t="array" ref="AB306">INDEX(Innings!J:J,MATCH(1,(TRIM(Innings!A:A)=TRIM(A306))*(TRIM(Innings!D:D)=TRIM(E306)),0))</f>
        <v>51</v>
      </c>
      <c r="AC306" cm="1">
        <f t="array" ref="AC306">INDEX(Innings!N:N,MATCH(1,(TRIM(Innings!A:A)=TRIM(A306))*(TRIM(Innings!D:D)=TRIM(E306)),0))</f>
        <v>21</v>
      </c>
      <c r="AD306" cm="1">
        <f t="array" ref="AD306">INDEX(Innings!S:S,MATCH(1,(TRIM(Innings!A:A)=TRIM(A306))*(TRIM(Innings!D:D)=TRIM(E306)),0))</f>
        <v>52</v>
      </c>
      <c r="AE306" t="str" cm="1">
        <f t="array" ref="AE306">INDEX(Innings!W:W,MATCH(1,(TRIM(Innings!A:A)=TRIM(A306))*(TRIM(Innings!D:D)=TRIM(E306)),0))</f>
        <v>Failed</v>
      </c>
      <c r="AF306">
        <f>IF(UPPER(TRIM(E306))=UPPER(TRIM(W306)),1,0)</f>
        <v>0</v>
      </c>
      <c r="AG306">
        <f t="shared" si="9"/>
        <v>30.185000000000002</v>
      </c>
    </row>
    <row r="307" spans="1:33" x14ac:dyDescent="0.3">
      <c r="A307" t="s">
        <v>147</v>
      </c>
      <c r="B307">
        <v>1</v>
      </c>
      <c r="C307" t="s">
        <v>206</v>
      </c>
      <c r="D307" t="s">
        <v>207</v>
      </c>
      <c r="E307" t="s">
        <v>158</v>
      </c>
      <c r="F307" t="s">
        <v>101</v>
      </c>
      <c r="G307" t="s">
        <v>134</v>
      </c>
      <c r="H307">
        <v>1</v>
      </c>
      <c r="I307">
        <v>3</v>
      </c>
      <c r="J307">
        <v>33.33</v>
      </c>
      <c r="K307" t="s">
        <v>246</v>
      </c>
      <c r="L307">
        <v>0.33</v>
      </c>
      <c r="M307">
        <v>3</v>
      </c>
      <c r="N307">
        <v>0</v>
      </c>
      <c r="O307">
        <v>23</v>
      </c>
      <c r="P307">
        <v>0</v>
      </c>
      <c r="Q307">
        <v>7.7</v>
      </c>
      <c r="R307">
        <v>0</v>
      </c>
      <c r="S307">
        <v>0</v>
      </c>
      <c r="T307">
        <v>0</v>
      </c>
      <c r="U307" s="8">
        <v>0.33</v>
      </c>
      <c r="V307" s="8">
        <f t="shared" si="8"/>
        <v>0</v>
      </c>
      <c r="W307" t="str">
        <f>_xlfn.XLOOKUP(A307, Matches!A:A, Matches!L:L, "NA", 0)</f>
        <v>GGTW</v>
      </c>
      <c r="X307" t="str">
        <f>_xlfn.XLOOKUP(A307, Matches!A:A, Matches!J:J, "NA", 0)</f>
        <v>DCW</v>
      </c>
      <c r="Y307" t="str">
        <f>_xlfn.XLOOKUP(A307, Matches!A:A, Matches!F:F, "NA", 0)</f>
        <v>Brabourne Stadium</v>
      </c>
      <c r="Z307" cm="1">
        <f t="array" ref="Z307">INDEX(Innings!F:F,MATCH(1,(TRIM(Innings!A:A)=TRIM(A307))*(TRIM(Innings!D:D)=TRIM(E307)),0))</f>
        <v>136</v>
      </c>
      <c r="AA307" cm="1">
        <f t="array" ref="AA307">INDEX(Innings!I:I,MATCH(1,(TRIM(Innings!A:A)=TRIM(A307))*(TRIM(Innings!D:D)=TRIM(E307)),0))</f>
        <v>7.29</v>
      </c>
      <c r="AB307" cm="1">
        <f t="array" ref="AB307">INDEX(Innings!J:J,MATCH(1,(TRIM(Innings!A:A)=TRIM(A307))*(TRIM(Innings!D:D)=TRIM(E307)),0))</f>
        <v>51</v>
      </c>
      <c r="AC307" cm="1">
        <f t="array" ref="AC307">INDEX(Innings!N:N,MATCH(1,(TRIM(Innings!A:A)=TRIM(A307))*(TRIM(Innings!D:D)=TRIM(E307)),0))</f>
        <v>21</v>
      </c>
      <c r="AD307" cm="1">
        <f t="array" ref="AD307">INDEX(Innings!S:S,MATCH(1,(TRIM(Innings!A:A)=TRIM(A307))*(TRIM(Innings!D:D)=TRIM(E307)),0))</f>
        <v>52</v>
      </c>
      <c r="AE307" t="str" cm="1">
        <f t="array" ref="AE307">INDEX(Innings!W:W,MATCH(1,(TRIM(Innings!A:A)=TRIM(A307))*(TRIM(Innings!D:D)=TRIM(E307)),0))</f>
        <v>Failed</v>
      </c>
      <c r="AF307">
        <f>IF(UPPER(TRIM(E307))=UPPER(TRIM(W307)),1,0)</f>
        <v>0</v>
      </c>
      <c r="AG307">
        <f t="shared" si="9"/>
        <v>0.16500000000000001</v>
      </c>
    </row>
    <row r="308" spans="1:33" x14ac:dyDescent="0.3">
      <c r="A308" t="s">
        <v>147</v>
      </c>
      <c r="B308">
        <v>1</v>
      </c>
      <c r="C308" t="s">
        <v>204</v>
      </c>
      <c r="D308" t="s">
        <v>205</v>
      </c>
      <c r="E308" t="s">
        <v>158</v>
      </c>
      <c r="F308" t="s">
        <v>91</v>
      </c>
      <c r="G308" t="s">
        <v>134</v>
      </c>
      <c r="H308">
        <v>8</v>
      </c>
      <c r="I308">
        <v>9</v>
      </c>
      <c r="J308">
        <v>88.89</v>
      </c>
      <c r="K308" t="s">
        <v>96</v>
      </c>
      <c r="L308">
        <v>7.11</v>
      </c>
      <c r="M308">
        <v>3</v>
      </c>
      <c r="N308">
        <v>0</v>
      </c>
      <c r="O308">
        <v>21</v>
      </c>
      <c r="P308">
        <v>0</v>
      </c>
      <c r="Q308">
        <v>7</v>
      </c>
      <c r="R308">
        <v>0</v>
      </c>
      <c r="S308">
        <v>0</v>
      </c>
      <c r="T308">
        <v>0</v>
      </c>
      <c r="U308" s="8">
        <v>7.11</v>
      </c>
      <c r="V308" s="8">
        <f t="shared" si="8"/>
        <v>1</v>
      </c>
      <c r="W308" t="str">
        <f>_xlfn.XLOOKUP(A308, Matches!A:A, Matches!L:L, "NA", 0)</f>
        <v>GGTW</v>
      </c>
      <c r="X308" t="str">
        <f>_xlfn.XLOOKUP(A308, Matches!A:A, Matches!J:J, "NA", 0)</f>
        <v>DCW</v>
      </c>
      <c r="Y308" t="str">
        <f>_xlfn.XLOOKUP(A308, Matches!A:A, Matches!F:F, "NA", 0)</f>
        <v>Brabourne Stadium</v>
      </c>
      <c r="Z308" cm="1">
        <f t="array" ref="Z308">INDEX(Innings!F:F,MATCH(1,(TRIM(Innings!A:A)=TRIM(A308))*(TRIM(Innings!D:D)=TRIM(E308)),0))</f>
        <v>136</v>
      </c>
      <c r="AA308" cm="1">
        <f t="array" ref="AA308">INDEX(Innings!I:I,MATCH(1,(TRIM(Innings!A:A)=TRIM(A308))*(TRIM(Innings!D:D)=TRIM(E308)),0))</f>
        <v>7.29</v>
      </c>
      <c r="AB308" cm="1">
        <f t="array" ref="AB308">INDEX(Innings!J:J,MATCH(1,(TRIM(Innings!A:A)=TRIM(A308))*(TRIM(Innings!D:D)=TRIM(E308)),0))</f>
        <v>51</v>
      </c>
      <c r="AC308" cm="1">
        <f t="array" ref="AC308">INDEX(Innings!N:N,MATCH(1,(TRIM(Innings!A:A)=TRIM(A308))*(TRIM(Innings!D:D)=TRIM(E308)),0))</f>
        <v>21</v>
      </c>
      <c r="AD308" cm="1">
        <f t="array" ref="AD308">INDEX(Innings!S:S,MATCH(1,(TRIM(Innings!A:A)=TRIM(A308))*(TRIM(Innings!D:D)=TRIM(E308)),0))</f>
        <v>52</v>
      </c>
      <c r="AE308" t="str" cm="1">
        <f t="array" ref="AE308">INDEX(Innings!W:W,MATCH(1,(TRIM(Innings!A:A)=TRIM(A308))*(TRIM(Innings!D:D)=TRIM(E308)),0))</f>
        <v>Failed</v>
      </c>
      <c r="AF308">
        <f>IF(UPPER(TRIM(E308))=UPPER(TRIM(W308)),1,0)</f>
        <v>0</v>
      </c>
      <c r="AG308">
        <f t="shared" si="9"/>
        <v>3.855</v>
      </c>
    </row>
    <row r="309" spans="1:33" x14ac:dyDescent="0.3">
      <c r="A309" t="s">
        <v>147</v>
      </c>
      <c r="B309">
        <v>1</v>
      </c>
      <c r="C309" t="s">
        <v>332</v>
      </c>
      <c r="D309" t="s">
        <v>312</v>
      </c>
      <c r="E309" t="s">
        <v>158</v>
      </c>
      <c r="F309" t="s">
        <v>101</v>
      </c>
      <c r="G309" t="s">
        <v>135</v>
      </c>
      <c r="H309">
        <v>0</v>
      </c>
      <c r="I309">
        <v>3</v>
      </c>
      <c r="J309">
        <v>0</v>
      </c>
      <c r="K309" t="s">
        <v>246</v>
      </c>
      <c r="L309">
        <v>0</v>
      </c>
      <c r="M309">
        <v>2</v>
      </c>
      <c r="N309">
        <v>0</v>
      </c>
      <c r="O309">
        <v>7</v>
      </c>
      <c r="P309">
        <v>0</v>
      </c>
      <c r="Q309">
        <v>3.5</v>
      </c>
      <c r="R309">
        <v>0</v>
      </c>
      <c r="S309">
        <v>0</v>
      </c>
      <c r="T309">
        <v>0</v>
      </c>
      <c r="U309" s="8">
        <v>0</v>
      </c>
      <c r="V309" s="8">
        <f t="shared" si="8"/>
        <v>0</v>
      </c>
      <c r="W309" t="str">
        <f>_xlfn.XLOOKUP(A309, Matches!A:A, Matches!L:L, "NA", 0)</f>
        <v>GGTW</v>
      </c>
      <c r="X309" t="str">
        <f>_xlfn.XLOOKUP(A309, Matches!A:A, Matches!J:J, "NA", 0)</f>
        <v>DCW</v>
      </c>
      <c r="Y309" t="str">
        <f>_xlfn.XLOOKUP(A309, Matches!A:A, Matches!F:F, "NA", 0)</f>
        <v>Brabourne Stadium</v>
      </c>
      <c r="Z309" cm="1">
        <f t="array" ref="Z309">INDEX(Innings!F:F,MATCH(1,(TRIM(Innings!A:A)=TRIM(A309))*(TRIM(Innings!D:D)=TRIM(E309)),0))</f>
        <v>136</v>
      </c>
      <c r="AA309" cm="1">
        <f t="array" ref="AA309">INDEX(Innings!I:I,MATCH(1,(TRIM(Innings!A:A)=TRIM(A309))*(TRIM(Innings!D:D)=TRIM(E309)),0))</f>
        <v>7.29</v>
      </c>
      <c r="AB309" cm="1">
        <f t="array" ref="AB309">INDEX(Innings!J:J,MATCH(1,(TRIM(Innings!A:A)=TRIM(A309))*(TRIM(Innings!D:D)=TRIM(E309)),0))</f>
        <v>51</v>
      </c>
      <c r="AC309" cm="1">
        <f t="array" ref="AC309">INDEX(Innings!N:N,MATCH(1,(TRIM(Innings!A:A)=TRIM(A309))*(TRIM(Innings!D:D)=TRIM(E309)),0))</f>
        <v>21</v>
      </c>
      <c r="AD309" cm="1">
        <f t="array" ref="AD309">INDEX(Innings!S:S,MATCH(1,(TRIM(Innings!A:A)=TRIM(A309))*(TRIM(Innings!D:D)=TRIM(E309)),0))</f>
        <v>52</v>
      </c>
      <c r="AE309" t="str" cm="1">
        <f t="array" ref="AE309">INDEX(Innings!W:W,MATCH(1,(TRIM(Innings!A:A)=TRIM(A309))*(TRIM(Innings!D:D)=TRIM(E309)),0))</f>
        <v>Failed</v>
      </c>
      <c r="AF309">
        <f>IF(UPPER(TRIM(E309))=UPPER(TRIM(W309)),1,0)</f>
        <v>0</v>
      </c>
      <c r="AG309">
        <f t="shared" si="9"/>
        <v>0</v>
      </c>
    </row>
    <row r="310" spans="1:33" x14ac:dyDescent="0.3">
      <c r="A310" t="s">
        <v>148</v>
      </c>
      <c r="B310">
        <v>1</v>
      </c>
      <c r="C310" t="s">
        <v>112</v>
      </c>
      <c r="D310" t="s">
        <v>88</v>
      </c>
      <c r="E310" t="s">
        <v>266</v>
      </c>
      <c r="F310" t="s">
        <v>83</v>
      </c>
      <c r="G310" t="s">
        <v>86</v>
      </c>
      <c r="H310">
        <v>35</v>
      </c>
      <c r="I310">
        <v>30</v>
      </c>
      <c r="J310">
        <v>116.67</v>
      </c>
      <c r="K310" t="s">
        <v>246</v>
      </c>
      <c r="L310">
        <v>40.83</v>
      </c>
      <c r="M310">
        <v>4</v>
      </c>
      <c r="N310">
        <v>0</v>
      </c>
      <c r="O310">
        <v>26</v>
      </c>
      <c r="P310">
        <v>1</v>
      </c>
      <c r="Q310">
        <v>6.5</v>
      </c>
      <c r="R310">
        <v>20</v>
      </c>
      <c r="S310">
        <v>0</v>
      </c>
      <c r="T310">
        <v>0</v>
      </c>
      <c r="U310" s="8">
        <v>60.83</v>
      </c>
      <c r="V310" s="8">
        <f t="shared" si="8"/>
        <v>6</v>
      </c>
      <c r="W310" t="str">
        <f>_xlfn.XLOOKUP(A310, Matches!A:A, Matches!L:L, "NA", 0)</f>
        <v>UPW</v>
      </c>
      <c r="X310" t="str">
        <f>_xlfn.XLOOKUP(A310, Matches!A:A, Matches!J:J, "NA", 0)</f>
        <v>UPW</v>
      </c>
      <c r="Y310" t="str">
        <f>_xlfn.XLOOKUP(A310, Matches!A:A, Matches!F:F, "NA", 0)</f>
        <v>Dr DY Patil Sports </v>
      </c>
      <c r="Z310" cm="1">
        <f t="array" ref="Z310">INDEX(Innings!F:F,MATCH(1,(TRIM(Innings!A:A)=TRIM(A310))*(TRIM(Innings!D:D)=TRIM(E310)),0))</f>
        <v>127</v>
      </c>
      <c r="AA310" cm="1">
        <f t="array" ref="AA310">INDEX(Innings!I:I,MATCH(1,(TRIM(Innings!A:A)=TRIM(A310))*(TRIM(Innings!D:D)=TRIM(E310)),0))</f>
        <v>6.35</v>
      </c>
      <c r="AB310" cm="1">
        <f t="array" ref="AB310">INDEX(Innings!J:J,MATCH(1,(TRIM(Innings!A:A)=TRIM(A310))*(TRIM(Innings!D:D)=TRIM(E310)),0))</f>
        <v>31</v>
      </c>
      <c r="AC310" cm="1">
        <f t="array" ref="AC310">INDEX(Innings!N:N,MATCH(1,(TRIM(Innings!A:A)=TRIM(A310))*(TRIM(Innings!D:D)=TRIM(E310)),0))</f>
        <v>29</v>
      </c>
      <c r="AD310" cm="1">
        <f t="array" ref="AD310">INDEX(Innings!S:S,MATCH(1,(TRIM(Innings!A:A)=TRIM(A310))*(TRIM(Innings!D:D)=TRIM(E310)),0))</f>
        <v>52</v>
      </c>
      <c r="AE310" t="str" cm="1">
        <f t="array" ref="AE310">INDEX(Innings!W:W,MATCH(1,(TRIM(Innings!A:A)=TRIM(A310))*(TRIM(Innings!D:D)=TRIM(E310)),0))</f>
        <v>NA</v>
      </c>
      <c r="AF310">
        <f>IF(UPPER(TRIM(E310))=UPPER(TRIM(W310)),1,0)</f>
        <v>0</v>
      </c>
      <c r="AG310">
        <f t="shared" si="9"/>
        <v>32.214999999999996</v>
      </c>
    </row>
    <row r="311" spans="1:33" x14ac:dyDescent="0.3">
      <c r="A311" t="s">
        <v>148</v>
      </c>
      <c r="B311">
        <v>1</v>
      </c>
      <c r="C311" t="s">
        <v>113</v>
      </c>
      <c r="D311" t="s">
        <v>84</v>
      </c>
      <c r="E311" t="s">
        <v>266</v>
      </c>
      <c r="F311" t="s">
        <v>85</v>
      </c>
      <c r="G311" t="s">
        <v>86</v>
      </c>
      <c r="H311">
        <v>7</v>
      </c>
      <c r="I311">
        <v>15</v>
      </c>
      <c r="J311">
        <v>46.67</v>
      </c>
      <c r="K311" t="s">
        <v>245</v>
      </c>
      <c r="L311">
        <v>3.27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s="8">
        <v>3.27</v>
      </c>
      <c r="V311" s="8">
        <f t="shared" si="8"/>
        <v>0</v>
      </c>
      <c r="W311" t="str">
        <f>_xlfn.XLOOKUP(A311, Matches!A:A, Matches!L:L, "NA", 0)</f>
        <v>UPW</v>
      </c>
      <c r="X311" t="str">
        <f>_xlfn.XLOOKUP(A311, Matches!A:A, Matches!J:J, "NA", 0)</f>
        <v>UPW</v>
      </c>
      <c r="Y311" t="str">
        <f>_xlfn.XLOOKUP(A311, Matches!A:A, Matches!F:F, "NA", 0)</f>
        <v>Dr DY Patil Sports </v>
      </c>
      <c r="Z311" cm="1">
        <f t="array" ref="Z311">INDEX(Innings!F:F,MATCH(1,(TRIM(Innings!A:A)=TRIM(A311))*(TRIM(Innings!D:D)=TRIM(E311)),0))</f>
        <v>127</v>
      </c>
      <c r="AA311" cm="1">
        <f t="array" ref="AA311">INDEX(Innings!I:I,MATCH(1,(TRIM(Innings!A:A)=TRIM(A311))*(TRIM(Innings!D:D)=TRIM(E311)),0))</f>
        <v>6.35</v>
      </c>
      <c r="AB311" cm="1">
        <f t="array" ref="AB311">INDEX(Innings!J:J,MATCH(1,(TRIM(Innings!A:A)=TRIM(A311))*(TRIM(Innings!D:D)=TRIM(E311)),0))</f>
        <v>31</v>
      </c>
      <c r="AC311" cm="1">
        <f t="array" ref="AC311">INDEX(Innings!N:N,MATCH(1,(TRIM(Innings!A:A)=TRIM(A311))*(TRIM(Innings!D:D)=TRIM(E311)),0))</f>
        <v>29</v>
      </c>
      <c r="AD311" cm="1">
        <f t="array" ref="AD311">INDEX(Innings!S:S,MATCH(1,(TRIM(Innings!A:A)=TRIM(A311))*(TRIM(Innings!D:D)=TRIM(E311)),0))</f>
        <v>52</v>
      </c>
      <c r="AE311" t="str" cm="1">
        <f t="array" ref="AE311">INDEX(Innings!W:W,MATCH(1,(TRIM(Innings!A:A)=TRIM(A311))*(TRIM(Innings!D:D)=TRIM(E311)),0))</f>
        <v>NA</v>
      </c>
      <c r="AF311">
        <f>IF(UPPER(TRIM(E311))=UPPER(TRIM(W311)),1,0)</f>
        <v>0</v>
      </c>
      <c r="AG311">
        <f t="shared" si="9"/>
        <v>1.635</v>
      </c>
    </row>
    <row r="312" spans="1:33" x14ac:dyDescent="0.3">
      <c r="A312" t="s">
        <v>148</v>
      </c>
      <c r="B312">
        <v>1</v>
      </c>
      <c r="C312" t="s">
        <v>117</v>
      </c>
      <c r="D312" t="s">
        <v>90</v>
      </c>
      <c r="E312" t="s">
        <v>266</v>
      </c>
      <c r="F312" t="s">
        <v>169</v>
      </c>
      <c r="G312" t="s">
        <v>92</v>
      </c>
      <c r="H312">
        <v>5</v>
      </c>
      <c r="I312">
        <v>8</v>
      </c>
      <c r="J312">
        <v>62.5</v>
      </c>
      <c r="K312" t="s">
        <v>247</v>
      </c>
      <c r="L312">
        <v>3.12</v>
      </c>
      <c r="M312">
        <v>4</v>
      </c>
      <c r="N312">
        <v>0</v>
      </c>
      <c r="O312">
        <v>24</v>
      </c>
      <c r="P312">
        <v>1</v>
      </c>
      <c r="Q312">
        <v>6</v>
      </c>
      <c r="R312">
        <v>20</v>
      </c>
      <c r="S312">
        <v>0</v>
      </c>
      <c r="T312">
        <v>0</v>
      </c>
      <c r="U312" s="8">
        <v>23.12</v>
      </c>
      <c r="V312" s="8">
        <f t="shared" si="8"/>
        <v>2</v>
      </c>
      <c r="W312" t="str">
        <f>_xlfn.XLOOKUP(A312, Matches!A:A, Matches!L:L, "NA", 0)</f>
        <v>UPW</v>
      </c>
      <c r="X312" t="str">
        <f>_xlfn.XLOOKUP(A312, Matches!A:A, Matches!J:J, "NA", 0)</f>
        <v>UPW</v>
      </c>
      <c r="Y312" t="str">
        <f>_xlfn.XLOOKUP(A312, Matches!A:A, Matches!F:F, "NA", 0)</f>
        <v>Dr DY Patil Sports </v>
      </c>
      <c r="Z312" cm="1">
        <f t="array" ref="Z312">INDEX(Innings!F:F,MATCH(1,(TRIM(Innings!A:A)=TRIM(A312))*(TRIM(Innings!D:D)=TRIM(E312)),0))</f>
        <v>127</v>
      </c>
      <c r="AA312" cm="1">
        <f t="array" ref="AA312">INDEX(Innings!I:I,MATCH(1,(TRIM(Innings!A:A)=TRIM(A312))*(TRIM(Innings!D:D)=TRIM(E312)),0))</f>
        <v>6.35</v>
      </c>
      <c r="AB312" cm="1">
        <f t="array" ref="AB312">INDEX(Innings!J:J,MATCH(1,(TRIM(Innings!A:A)=TRIM(A312))*(TRIM(Innings!D:D)=TRIM(E312)),0))</f>
        <v>31</v>
      </c>
      <c r="AC312" cm="1">
        <f t="array" ref="AC312">INDEX(Innings!N:N,MATCH(1,(TRIM(Innings!A:A)=TRIM(A312))*(TRIM(Innings!D:D)=TRIM(E312)),0))</f>
        <v>29</v>
      </c>
      <c r="AD312" cm="1">
        <f t="array" ref="AD312">INDEX(Innings!S:S,MATCH(1,(TRIM(Innings!A:A)=TRIM(A312))*(TRIM(Innings!D:D)=TRIM(E312)),0))</f>
        <v>52</v>
      </c>
      <c r="AE312" t="str" cm="1">
        <f t="array" ref="AE312">INDEX(Innings!W:W,MATCH(1,(TRIM(Innings!A:A)=TRIM(A312))*(TRIM(Innings!D:D)=TRIM(E312)),0))</f>
        <v>NA</v>
      </c>
      <c r="AF312">
        <f>IF(UPPER(TRIM(E312))=UPPER(TRIM(W312)),1,0)</f>
        <v>0</v>
      </c>
      <c r="AG312">
        <f t="shared" si="9"/>
        <v>12.16</v>
      </c>
    </row>
    <row r="313" spans="1:33" x14ac:dyDescent="0.3">
      <c r="A313" t="s">
        <v>148</v>
      </c>
      <c r="B313">
        <v>1</v>
      </c>
      <c r="C313" t="s">
        <v>115</v>
      </c>
      <c r="D313" t="s">
        <v>17</v>
      </c>
      <c r="E313" t="s">
        <v>266</v>
      </c>
      <c r="F313" t="s">
        <v>83</v>
      </c>
      <c r="G313" t="s">
        <v>134</v>
      </c>
      <c r="H313">
        <v>25</v>
      </c>
      <c r="I313">
        <v>22</v>
      </c>
      <c r="J313">
        <v>113.64</v>
      </c>
      <c r="K313" t="s">
        <v>246</v>
      </c>
      <c r="L313">
        <v>28.41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s="8">
        <v>28.41</v>
      </c>
      <c r="V313" s="8">
        <f t="shared" si="8"/>
        <v>3</v>
      </c>
      <c r="W313" t="str">
        <f>_xlfn.XLOOKUP(A313, Matches!A:A, Matches!L:L, "NA", 0)</f>
        <v>UPW</v>
      </c>
      <c r="X313" t="str">
        <f>_xlfn.XLOOKUP(A313, Matches!A:A, Matches!J:J, "NA", 0)</f>
        <v>UPW</v>
      </c>
      <c r="Y313" t="str">
        <f>_xlfn.XLOOKUP(A313, Matches!A:A, Matches!F:F, "NA", 0)</f>
        <v>Dr DY Patil Sports </v>
      </c>
      <c r="Z313" cm="1">
        <f t="array" ref="Z313">INDEX(Innings!F:F,MATCH(1,(TRIM(Innings!A:A)=TRIM(A313))*(TRIM(Innings!D:D)=TRIM(E313)),0))</f>
        <v>127</v>
      </c>
      <c r="AA313" cm="1">
        <f t="array" ref="AA313">INDEX(Innings!I:I,MATCH(1,(TRIM(Innings!A:A)=TRIM(A313))*(TRIM(Innings!D:D)=TRIM(E313)),0))</f>
        <v>6.35</v>
      </c>
      <c r="AB313" cm="1">
        <f t="array" ref="AB313">INDEX(Innings!J:J,MATCH(1,(TRIM(Innings!A:A)=TRIM(A313))*(TRIM(Innings!D:D)=TRIM(E313)),0))</f>
        <v>31</v>
      </c>
      <c r="AC313" cm="1">
        <f t="array" ref="AC313">INDEX(Innings!N:N,MATCH(1,(TRIM(Innings!A:A)=TRIM(A313))*(TRIM(Innings!D:D)=TRIM(E313)),0))</f>
        <v>29</v>
      </c>
      <c r="AD313" cm="1">
        <f t="array" ref="AD313">INDEX(Innings!S:S,MATCH(1,(TRIM(Innings!A:A)=TRIM(A313))*(TRIM(Innings!D:D)=TRIM(E313)),0))</f>
        <v>52</v>
      </c>
      <c r="AE313" t="str" cm="1">
        <f t="array" ref="AE313">INDEX(Innings!W:W,MATCH(1,(TRIM(Innings!A:A)=TRIM(A313))*(TRIM(Innings!D:D)=TRIM(E313)),0))</f>
        <v>NA</v>
      </c>
      <c r="AF313">
        <f>IF(UPPER(TRIM(E313))=UPPER(TRIM(W313)),1,0)</f>
        <v>0</v>
      </c>
      <c r="AG313">
        <f t="shared" si="9"/>
        <v>15.105</v>
      </c>
    </row>
    <row r="314" spans="1:33" x14ac:dyDescent="0.3">
      <c r="A314" t="s">
        <v>148</v>
      </c>
      <c r="B314">
        <v>1</v>
      </c>
      <c r="C314" t="s">
        <v>119</v>
      </c>
      <c r="D314" t="s">
        <v>95</v>
      </c>
      <c r="E314" t="s">
        <v>266</v>
      </c>
      <c r="F314" t="s">
        <v>91</v>
      </c>
      <c r="G314" t="s">
        <v>134</v>
      </c>
      <c r="H314">
        <v>3</v>
      </c>
      <c r="I314">
        <v>5</v>
      </c>
      <c r="J314">
        <v>60</v>
      </c>
      <c r="K314" t="s">
        <v>246</v>
      </c>
      <c r="L314">
        <v>1.8</v>
      </c>
      <c r="M314">
        <v>4</v>
      </c>
      <c r="N314">
        <v>0</v>
      </c>
      <c r="O314">
        <v>22</v>
      </c>
      <c r="P314">
        <v>2</v>
      </c>
      <c r="Q314">
        <v>5.5</v>
      </c>
      <c r="R314">
        <v>40</v>
      </c>
      <c r="S314">
        <v>0</v>
      </c>
      <c r="T314">
        <v>0</v>
      </c>
      <c r="U314" s="8">
        <v>41.8</v>
      </c>
      <c r="V314" s="8">
        <f t="shared" si="8"/>
        <v>4</v>
      </c>
      <c r="W314" t="str">
        <f>_xlfn.XLOOKUP(A314, Matches!A:A, Matches!L:L, "NA", 0)</f>
        <v>UPW</v>
      </c>
      <c r="X314" t="str">
        <f>_xlfn.XLOOKUP(A314, Matches!A:A, Matches!J:J, "NA", 0)</f>
        <v>UPW</v>
      </c>
      <c r="Y314" t="str">
        <f>_xlfn.XLOOKUP(A314, Matches!A:A, Matches!F:F, "NA", 0)</f>
        <v>Dr DY Patil Sports </v>
      </c>
      <c r="Z314" cm="1">
        <f t="array" ref="Z314">INDEX(Innings!F:F,MATCH(1,(TRIM(Innings!A:A)=TRIM(A314))*(TRIM(Innings!D:D)=TRIM(E314)),0))</f>
        <v>127</v>
      </c>
      <c r="AA314" cm="1">
        <f t="array" ref="AA314">INDEX(Innings!I:I,MATCH(1,(TRIM(Innings!A:A)=TRIM(A314))*(TRIM(Innings!D:D)=TRIM(E314)),0))</f>
        <v>6.35</v>
      </c>
      <c r="AB314" cm="1">
        <f t="array" ref="AB314">INDEX(Innings!J:J,MATCH(1,(TRIM(Innings!A:A)=TRIM(A314))*(TRIM(Innings!D:D)=TRIM(E314)),0))</f>
        <v>31</v>
      </c>
      <c r="AC314" cm="1">
        <f t="array" ref="AC314">INDEX(Innings!N:N,MATCH(1,(TRIM(Innings!A:A)=TRIM(A314))*(TRIM(Innings!D:D)=TRIM(E314)),0))</f>
        <v>29</v>
      </c>
      <c r="AD314" cm="1">
        <f t="array" ref="AD314">INDEX(Innings!S:S,MATCH(1,(TRIM(Innings!A:A)=TRIM(A314))*(TRIM(Innings!D:D)=TRIM(E314)),0))</f>
        <v>52</v>
      </c>
      <c r="AE314" t="str" cm="1">
        <f t="array" ref="AE314">INDEX(Innings!W:W,MATCH(1,(TRIM(Innings!A:A)=TRIM(A314))*(TRIM(Innings!D:D)=TRIM(E314)),0))</f>
        <v>NA</v>
      </c>
      <c r="AF314">
        <f>IF(UPPER(TRIM(E314))=UPPER(TRIM(W314)),1,0)</f>
        <v>0</v>
      </c>
      <c r="AG314">
        <f t="shared" si="9"/>
        <v>22.099999999999998</v>
      </c>
    </row>
    <row r="315" spans="1:33" x14ac:dyDescent="0.3">
      <c r="A315" t="s">
        <v>148</v>
      </c>
      <c r="B315">
        <v>1</v>
      </c>
      <c r="C315" t="s">
        <v>127</v>
      </c>
      <c r="D315" t="s">
        <v>100</v>
      </c>
      <c r="E315" t="s">
        <v>266</v>
      </c>
      <c r="F315" t="s">
        <v>101</v>
      </c>
      <c r="G315" t="s">
        <v>134</v>
      </c>
      <c r="H315">
        <v>32</v>
      </c>
      <c r="I315">
        <v>19</v>
      </c>
      <c r="J315">
        <v>168.42</v>
      </c>
      <c r="K315" t="s">
        <v>256</v>
      </c>
      <c r="L315">
        <v>53.89</v>
      </c>
      <c r="M315">
        <v>2.2999999999999998</v>
      </c>
      <c r="N315">
        <v>0</v>
      </c>
      <c r="O315">
        <v>24</v>
      </c>
      <c r="P315">
        <v>1</v>
      </c>
      <c r="Q315">
        <v>9.6</v>
      </c>
      <c r="R315">
        <v>20</v>
      </c>
      <c r="S315">
        <v>0</v>
      </c>
      <c r="T315">
        <v>1</v>
      </c>
      <c r="U315" s="8">
        <v>73.89</v>
      </c>
      <c r="V315" s="8">
        <f t="shared" si="8"/>
        <v>7</v>
      </c>
      <c r="W315" t="str">
        <f>_xlfn.XLOOKUP(A315, Matches!A:A, Matches!L:L, "NA", 0)</f>
        <v>UPW</v>
      </c>
      <c r="X315" t="str">
        <f>_xlfn.XLOOKUP(A315, Matches!A:A, Matches!J:J, "NA", 0)</f>
        <v>UPW</v>
      </c>
      <c r="Y315" t="str">
        <f>_xlfn.XLOOKUP(A315, Matches!A:A, Matches!F:F, "NA", 0)</f>
        <v>Dr DY Patil Sports </v>
      </c>
      <c r="Z315" cm="1">
        <f t="array" ref="Z315">INDEX(Innings!F:F,MATCH(1,(TRIM(Innings!A:A)=TRIM(A315))*(TRIM(Innings!D:D)=TRIM(E315)),0))</f>
        <v>127</v>
      </c>
      <c r="AA315" cm="1">
        <f t="array" ref="AA315">INDEX(Innings!I:I,MATCH(1,(TRIM(Innings!A:A)=TRIM(A315))*(TRIM(Innings!D:D)=TRIM(E315)),0))</f>
        <v>6.35</v>
      </c>
      <c r="AB315" cm="1">
        <f t="array" ref="AB315">INDEX(Innings!J:J,MATCH(1,(TRIM(Innings!A:A)=TRIM(A315))*(TRIM(Innings!D:D)=TRIM(E315)),0))</f>
        <v>31</v>
      </c>
      <c r="AC315" cm="1">
        <f t="array" ref="AC315">INDEX(Innings!N:N,MATCH(1,(TRIM(Innings!A:A)=TRIM(A315))*(TRIM(Innings!D:D)=TRIM(E315)),0))</f>
        <v>29</v>
      </c>
      <c r="AD315" cm="1">
        <f t="array" ref="AD315">INDEX(Innings!S:S,MATCH(1,(TRIM(Innings!A:A)=TRIM(A315))*(TRIM(Innings!D:D)=TRIM(E315)),0))</f>
        <v>52</v>
      </c>
      <c r="AE315" t="str" cm="1">
        <f t="array" ref="AE315">INDEX(Innings!W:W,MATCH(1,(TRIM(Innings!A:A)=TRIM(A315))*(TRIM(Innings!D:D)=TRIM(E315)),0))</f>
        <v>NA</v>
      </c>
      <c r="AF315">
        <f>IF(UPPER(TRIM(E315))=UPPER(TRIM(W315)),1,0)</f>
        <v>0</v>
      </c>
      <c r="AG315">
        <f t="shared" si="9"/>
        <v>39.045000000000002</v>
      </c>
    </row>
    <row r="316" spans="1:33" x14ac:dyDescent="0.3">
      <c r="A316" t="s">
        <v>148</v>
      </c>
      <c r="B316">
        <v>1</v>
      </c>
      <c r="C316" t="s">
        <v>121</v>
      </c>
      <c r="D316" t="s">
        <v>108</v>
      </c>
      <c r="E316" t="s">
        <v>266</v>
      </c>
      <c r="F316" t="s">
        <v>109</v>
      </c>
      <c r="G316" t="s">
        <v>135</v>
      </c>
      <c r="H316">
        <v>5</v>
      </c>
      <c r="I316">
        <v>7</v>
      </c>
      <c r="J316">
        <v>71.430000000000007</v>
      </c>
      <c r="K316" t="s">
        <v>248</v>
      </c>
      <c r="L316">
        <v>3.57</v>
      </c>
      <c r="M316">
        <v>1</v>
      </c>
      <c r="N316">
        <v>0</v>
      </c>
      <c r="O316">
        <v>11</v>
      </c>
      <c r="P316">
        <v>0</v>
      </c>
      <c r="Q316">
        <v>11</v>
      </c>
      <c r="R316">
        <v>0</v>
      </c>
      <c r="S316">
        <v>0</v>
      </c>
      <c r="T316">
        <v>0</v>
      </c>
      <c r="U316" s="8">
        <v>3.57</v>
      </c>
      <c r="V316" s="8">
        <f t="shared" si="8"/>
        <v>0</v>
      </c>
      <c r="W316" t="str">
        <f>_xlfn.XLOOKUP(A316, Matches!A:A, Matches!L:L, "NA", 0)</f>
        <v>UPW</v>
      </c>
      <c r="X316" t="str">
        <f>_xlfn.XLOOKUP(A316, Matches!A:A, Matches!J:J, "NA", 0)</f>
        <v>UPW</v>
      </c>
      <c r="Y316" t="str">
        <f>_xlfn.XLOOKUP(A316, Matches!A:A, Matches!F:F, "NA", 0)</f>
        <v>Dr DY Patil Sports </v>
      </c>
      <c r="Z316" cm="1">
        <f t="array" ref="Z316">INDEX(Innings!F:F,MATCH(1,(TRIM(Innings!A:A)=TRIM(A316))*(TRIM(Innings!D:D)=TRIM(E316)),0))</f>
        <v>127</v>
      </c>
      <c r="AA316" cm="1">
        <f t="array" ref="AA316">INDEX(Innings!I:I,MATCH(1,(TRIM(Innings!A:A)=TRIM(A316))*(TRIM(Innings!D:D)=TRIM(E316)),0))</f>
        <v>6.35</v>
      </c>
      <c r="AB316" cm="1">
        <f t="array" ref="AB316">INDEX(Innings!J:J,MATCH(1,(TRIM(Innings!A:A)=TRIM(A316))*(TRIM(Innings!D:D)=TRIM(E316)),0))</f>
        <v>31</v>
      </c>
      <c r="AC316" cm="1">
        <f t="array" ref="AC316">INDEX(Innings!N:N,MATCH(1,(TRIM(Innings!A:A)=TRIM(A316))*(TRIM(Innings!D:D)=TRIM(E316)),0))</f>
        <v>29</v>
      </c>
      <c r="AD316" cm="1">
        <f t="array" ref="AD316">INDEX(Innings!S:S,MATCH(1,(TRIM(Innings!A:A)=TRIM(A316))*(TRIM(Innings!D:D)=TRIM(E316)),0))</f>
        <v>52</v>
      </c>
      <c r="AE316" t="str" cm="1">
        <f t="array" ref="AE316">INDEX(Innings!W:W,MATCH(1,(TRIM(Innings!A:A)=TRIM(A316))*(TRIM(Innings!D:D)=TRIM(E316)),0))</f>
        <v>NA</v>
      </c>
      <c r="AF316">
        <f>IF(UPPER(TRIM(E316))=UPPER(TRIM(W316)),1,0)</f>
        <v>0</v>
      </c>
      <c r="AG316">
        <f t="shared" si="9"/>
        <v>1.7849999999999999</v>
      </c>
    </row>
    <row r="317" spans="1:33" x14ac:dyDescent="0.3">
      <c r="A317" t="s">
        <v>148</v>
      </c>
      <c r="B317">
        <v>1</v>
      </c>
      <c r="C317" t="s">
        <v>125</v>
      </c>
      <c r="D317" t="s">
        <v>111</v>
      </c>
      <c r="E317" t="s">
        <v>266</v>
      </c>
      <c r="F317" t="s">
        <v>83</v>
      </c>
      <c r="G317" t="s">
        <v>135</v>
      </c>
      <c r="H317">
        <v>4</v>
      </c>
      <c r="I317">
        <v>6</v>
      </c>
      <c r="J317">
        <v>66.67</v>
      </c>
      <c r="K317" t="s">
        <v>245</v>
      </c>
      <c r="L317">
        <v>2.67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s="8">
        <v>2.67</v>
      </c>
      <c r="V317" s="8">
        <f t="shared" si="8"/>
        <v>0</v>
      </c>
      <c r="W317" t="str">
        <f>_xlfn.XLOOKUP(A317, Matches!A:A, Matches!L:L, "NA", 0)</f>
        <v>UPW</v>
      </c>
      <c r="X317" t="str">
        <f>_xlfn.XLOOKUP(A317, Matches!A:A, Matches!J:J, "NA", 0)</f>
        <v>UPW</v>
      </c>
      <c r="Y317" t="str">
        <f>_xlfn.XLOOKUP(A317, Matches!A:A, Matches!F:F, "NA", 0)</f>
        <v>Dr DY Patil Sports </v>
      </c>
      <c r="Z317" cm="1">
        <f t="array" ref="Z317">INDEX(Innings!F:F,MATCH(1,(TRIM(Innings!A:A)=TRIM(A317))*(TRIM(Innings!D:D)=TRIM(E317)),0))</f>
        <v>127</v>
      </c>
      <c r="AA317" cm="1">
        <f t="array" ref="AA317">INDEX(Innings!I:I,MATCH(1,(TRIM(Innings!A:A)=TRIM(A317))*(TRIM(Innings!D:D)=TRIM(E317)),0))</f>
        <v>6.35</v>
      </c>
      <c r="AB317" cm="1">
        <f t="array" ref="AB317">INDEX(Innings!J:J,MATCH(1,(TRIM(Innings!A:A)=TRIM(A317))*(TRIM(Innings!D:D)=TRIM(E317)),0))</f>
        <v>31</v>
      </c>
      <c r="AC317" cm="1">
        <f t="array" ref="AC317">INDEX(Innings!N:N,MATCH(1,(TRIM(Innings!A:A)=TRIM(A317))*(TRIM(Innings!D:D)=TRIM(E317)),0))</f>
        <v>29</v>
      </c>
      <c r="AD317" cm="1">
        <f t="array" ref="AD317">INDEX(Innings!S:S,MATCH(1,(TRIM(Innings!A:A)=TRIM(A317))*(TRIM(Innings!D:D)=TRIM(E317)),0))</f>
        <v>52</v>
      </c>
      <c r="AE317" t="str" cm="1">
        <f t="array" ref="AE317">INDEX(Innings!W:W,MATCH(1,(TRIM(Innings!A:A)=TRIM(A317))*(TRIM(Innings!D:D)=TRIM(E317)),0))</f>
        <v>NA</v>
      </c>
      <c r="AF317">
        <f>IF(UPPER(TRIM(E317))=UPPER(TRIM(W317)),1,0)</f>
        <v>0</v>
      </c>
      <c r="AG317">
        <f t="shared" si="9"/>
        <v>1.335</v>
      </c>
    </row>
    <row r="318" spans="1:33" x14ac:dyDescent="0.3">
      <c r="A318" t="s">
        <v>148</v>
      </c>
      <c r="B318">
        <v>1</v>
      </c>
      <c r="C318" t="s">
        <v>303</v>
      </c>
      <c r="D318" t="s">
        <v>304</v>
      </c>
      <c r="E318" t="s">
        <v>266</v>
      </c>
      <c r="F318" t="s">
        <v>109</v>
      </c>
      <c r="G318" t="s">
        <v>135</v>
      </c>
      <c r="H318">
        <v>3</v>
      </c>
      <c r="I318">
        <v>3</v>
      </c>
      <c r="J318">
        <v>100</v>
      </c>
      <c r="K318" t="s">
        <v>245</v>
      </c>
      <c r="L318">
        <v>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s="8">
        <v>3</v>
      </c>
      <c r="V318" s="8">
        <f t="shared" si="8"/>
        <v>0</v>
      </c>
      <c r="W318" t="str">
        <f>_xlfn.XLOOKUP(A318, Matches!A:A, Matches!L:L, "NA", 0)</f>
        <v>UPW</v>
      </c>
      <c r="X318" t="str">
        <f>_xlfn.XLOOKUP(A318, Matches!A:A, Matches!J:J, "NA", 0)</f>
        <v>UPW</v>
      </c>
      <c r="Y318" t="str">
        <f>_xlfn.XLOOKUP(A318, Matches!A:A, Matches!F:F, "NA", 0)</f>
        <v>Dr DY Patil Sports </v>
      </c>
      <c r="Z318" cm="1">
        <f t="array" ref="Z318">INDEX(Innings!F:F,MATCH(1,(TRIM(Innings!A:A)=TRIM(A318))*(TRIM(Innings!D:D)=TRIM(E318)),0))</f>
        <v>127</v>
      </c>
      <c r="AA318" cm="1">
        <f t="array" ref="AA318">INDEX(Innings!I:I,MATCH(1,(TRIM(Innings!A:A)=TRIM(A318))*(TRIM(Innings!D:D)=TRIM(E318)),0))</f>
        <v>6.35</v>
      </c>
      <c r="AB318" cm="1">
        <f t="array" ref="AB318">INDEX(Innings!J:J,MATCH(1,(TRIM(Innings!A:A)=TRIM(A318))*(TRIM(Innings!D:D)=TRIM(E318)),0))</f>
        <v>31</v>
      </c>
      <c r="AC318" cm="1">
        <f t="array" ref="AC318">INDEX(Innings!N:N,MATCH(1,(TRIM(Innings!A:A)=TRIM(A318))*(TRIM(Innings!D:D)=TRIM(E318)),0))</f>
        <v>29</v>
      </c>
      <c r="AD318" cm="1">
        <f t="array" ref="AD318">INDEX(Innings!S:S,MATCH(1,(TRIM(Innings!A:A)=TRIM(A318))*(TRIM(Innings!D:D)=TRIM(E318)),0))</f>
        <v>52</v>
      </c>
      <c r="AE318" t="str" cm="1">
        <f t="array" ref="AE318">INDEX(Innings!W:W,MATCH(1,(TRIM(Innings!A:A)=TRIM(A318))*(TRIM(Innings!D:D)=TRIM(E318)),0))</f>
        <v>NA</v>
      </c>
      <c r="AF318">
        <f>IF(UPPER(TRIM(E318))=UPPER(TRIM(W318)),1,0)</f>
        <v>0</v>
      </c>
      <c r="AG318">
        <f t="shared" si="9"/>
        <v>1.5</v>
      </c>
    </row>
    <row r="319" spans="1:33" x14ac:dyDescent="0.3">
      <c r="A319" t="s">
        <v>148</v>
      </c>
      <c r="B319">
        <v>1</v>
      </c>
      <c r="C319" t="s">
        <v>129</v>
      </c>
      <c r="D319" t="s">
        <v>103</v>
      </c>
      <c r="E319" t="s">
        <v>266</v>
      </c>
      <c r="F319" t="s">
        <v>91</v>
      </c>
      <c r="G319" t="s">
        <v>135</v>
      </c>
      <c r="H319">
        <v>3</v>
      </c>
      <c r="I319">
        <v>3</v>
      </c>
      <c r="J319">
        <v>100</v>
      </c>
      <c r="K319" t="s">
        <v>96</v>
      </c>
      <c r="L319">
        <v>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s="8">
        <v>3</v>
      </c>
      <c r="V319" s="8">
        <f t="shared" si="8"/>
        <v>0</v>
      </c>
      <c r="W319" t="str">
        <f>_xlfn.XLOOKUP(A319, Matches!A:A, Matches!L:L, "NA", 0)</f>
        <v>UPW</v>
      </c>
      <c r="X319" t="str">
        <f>_xlfn.XLOOKUP(A319, Matches!A:A, Matches!J:J, "NA", 0)</f>
        <v>UPW</v>
      </c>
      <c r="Y319" t="str">
        <f>_xlfn.XLOOKUP(A319, Matches!A:A, Matches!F:F, "NA", 0)</f>
        <v>Dr DY Patil Sports </v>
      </c>
      <c r="Z319" cm="1">
        <f t="array" ref="Z319">INDEX(Innings!F:F,MATCH(1,(TRIM(Innings!A:A)=TRIM(A319))*(TRIM(Innings!D:D)=TRIM(E319)),0))</f>
        <v>127</v>
      </c>
      <c r="AA319" cm="1">
        <f t="array" ref="AA319">INDEX(Innings!I:I,MATCH(1,(TRIM(Innings!A:A)=TRIM(A319))*(TRIM(Innings!D:D)=TRIM(E319)),0))</f>
        <v>6.35</v>
      </c>
      <c r="AB319" cm="1">
        <f t="array" ref="AB319">INDEX(Innings!J:J,MATCH(1,(TRIM(Innings!A:A)=TRIM(A319))*(TRIM(Innings!D:D)=TRIM(E319)),0))</f>
        <v>31</v>
      </c>
      <c r="AC319" cm="1">
        <f t="array" ref="AC319">INDEX(Innings!N:N,MATCH(1,(TRIM(Innings!A:A)=TRIM(A319))*(TRIM(Innings!D:D)=TRIM(E319)),0))</f>
        <v>29</v>
      </c>
      <c r="AD319" cm="1">
        <f t="array" ref="AD319">INDEX(Innings!S:S,MATCH(1,(TRIM(Innings!A:A)=TRIM(A319))*(TRIM(Innings!D:D)=TRIM(E319)),0))</f>
        <v>52</v>
      </c>
      <c r="AE319" t="str" cm="1">
        <f t="array" ref="AE319">INDEX(Innings!W:W,MATCH(1,(TRIM(Innings!A:A)=TRIM(A319))*(TRIM(Innings!D:D)=TRIM(E319)),0))</f>
        <v>NA</v>
      </c>
      <c r="AF319">
        <f>IF(UPPER(TRIM(E319))=UPPER(TRIM(W319)),1,0)</f>
        <v>0</v>
      </c>
      <c r="AG319">
        <f t="shared" si="9"/>
        <v>1.5</v>
      </c>
    </row>
    <row r="320" spans="1:33" x14ac:dyDescent="0.3">
      <c r="A320" t="s">
        <v>148</v>
      </c>
      <c r="B320">
        <v>1</v>
      </c>
      <c r="C320" t="s">
        <v>131</v>
      </c>
      <c r="D320" t="s">
        <v>106</v>
      </c>
      <c r="E320" t="s">
        <v>266</v>
      </c>
      <c r="F320" t="s">
        <v>101</v>
      </c>
      <c r="G320" t="s">
        <v>135</v>
      </c>
      <c r="H320">
        <v>0</v>
      </c>
      <c r="I320">
        <v>2</v>
      </c>
      <c r="J320">
        <v>0</v>
      </c>
      <c r="K320" t="s">
        <v>256</v>
      </c>
      <c r="L320">
        <v>0</v>
      </c>
      <c r="M320">
        <v>4</v>
      </c>
      <c r="N320">
        <v>0</v>
      </c>
      <c r="O320">
        <v>22</v>
      </c>
      <c r="P320">
        <v>0</v>
      </c>
      <c r="Q320">
        <v>5.5</v>
      </c>
      <c r="R320">
        <v>0</v>
      </c>
      <c r="S320">
        <v>0</v>
      </c>
      <c r="T320">
        <v>0</v>
      </c>
      <c r="U320" s="8">
        <v>0</v>
      </c>
      <c r="V320" s="8">
        <f t="shared" si="8"/>
        <v>0</v>
      </c>
      <c r="W320" t="str">
        <f>_xlfn.XLOOKUP(A320, Matches!A:A, Matches!L:L, "NA", 0)</f>
        <v>UPW</v>
      </c>
      <c r="X320" t="str">
        <f>_xlfn.XLOOKUP(A320, Matches!A:A, Matches!J:J, "NA", 0)</f>
        <v>UPW</v>
      </c>
      <c r="Y320" t="str">
        <f>_xlfn.XLOOKUP(A320, Matches!A:A, Matches!F:F, "NA", 0)</f>
        <v>Dr DY Patil Sports </v>
      </c>
      <c r="Z320" cm="1">
        <f t="array" ref="Z320">INDEX(Innings!F:F,MATCH(1,(TRIM(Innings!A:A)=TRIM(A320))*(TRIM(Innings!D:D)=TRIM(E320)),0))</f>
        <v>127</v>
      </c>
      <c r="AA320" cm="1">
        <f t="array" ref="AA320">INDEX(Innings!I:I,MATCH(1,(TRIM(Innings!A:A)=TRIM(A320))*(TRIM(Innings!D:D)=TRIM(E320)),0))</f>
        <v>6.35</v>
      </c>
      <c r="AB320" cm="1">
        <f t="array" ref="AB320">INDEX(Innings!J:J,MATCH(1,(TRIM(Innings!A:A)=TRIM(A320))*(TRIM(Innings!D:D)=TRIM(E320)),0))</f>
        <v>31</v>
      </c>
      <c r="AC320" cm="1">
        <f t="array" ref="AC320">INDEX(Innings!N:N,MATCH(1,(TRIM(Innings!A:A)=TRIM(A320))*(TRIM(Innings!D:D)=TRIM(E320)),0))</f>
        <v>29</v>
      </c>
      <c r="AD320" cm="1">
        <f t="array" ref="AD320">INDEX(Innings!S:S,MATCH(1,(TRIM(Innings!A:A)=TRIM(A320))*(TRIM(Innings!D:D)=TRIM(E320)),0))</f>
        <v>52</v>
      </c>
      <c r="AE320" t="str" cm="1">
        <f t="array" ref="AE320">INDEX(Innings!W:W,MATCH(1,(TRIM(Innings!A:A)=TRIM(A320))*(TRIM(Innings!D:D)=TRIM(E320)),0))</f>
        <v>NA</v>
      </c>
      <c r="AF320">
        <f>IF(UPPER(TRIM(E320))=UPPER(TRIM(W320)),1,0)</f>
        <v>0</v>
      </c>
      <c r="AG320">
        <f t="shared" si="9"/>
        <v>0</v>
      </c>
    </row>
    <row r="321" spans="1:33" x14ac:dyDescent="0.3">
      <c r="A321" t="s">
        <v>148</v>
      </c>
      <c r="B321">
        <v>1</v>
      </c>
      <c r="C321" t="s">
        <v>231</v>
      </c>
      <c r="D321" t="s">
        <v>232</v>
      </c>
      <c r="E321" t="s">
        <v>219</v>
      </c>
      <c r="F321" t="s">
        <v>83</v>
      </c>
      <c r="G321" t="s">
        <v>86</v>
      </c>
      <c r="H321">
        <v>1</v>
      </c>
      <c r="I321">
        <v>7</v>
      </c>
      <c r="J321">
        <v>14.29</v>
      </c>
      <c r="K321" t="s">
        <v>246</v>
      </c>
      <c r="L321">
        <v>0.14000000000000001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s="8">
        <v>0.14000000000000001</v>
      </c>
      <c r="V321" s="8">
        <f t="shared" si="8"/>
        <v>0</v>
      </c>
      <c r="W321" t="str">
        <f>_xlfn.XLOOKUP(A321, Matches!A:A, Matches!L:L, "NA", 0)</f>
        <v>UPW</v>
      </c>
      <c r="X321" t="str">
        <f>_xlfn.XLOOKUP(A321, Matches!A:A, Matches!J:J, "NA", 0)</f>
        <v>UPW</v>
      </c>
      <c r="Y321" t="str">
        <f>_xlfn.XLOOKUP(A321, Matches!A:A, Matches!F:F, "NA", 0)</f>
        <v>Dr DY Patil Sports </v>
      </c>
      <c r="Z321" cm="1">
        <f t="array" ref="Z321">INDEX(Innings!F:F,MATCH(1,(TRIM(Innings!A:A)=TRIM(A321))*(TRIM(Innings!D:D)=TRIM(E321)),0))</f>
        <v>129</v>
      </c>
      <c r="AA321" cm="1">
        <f t="array" ref="AA321">INDEX(Innings!I:I,MATCH(1,(TRIM(Innings!A:A)=TRIM(A321))*(TRIM(Innings!D:D)=TRIM(E321)),0))</f>
        <v>6.62</v>
      </c>
      <c r="AB321" cm="1">
        <f t="array" ref="AB321">INDEX(Innings!J:J,MATCH(1,(TRIM(Innings!A:A)=TRIM(A321))*(TRIM(Innings!D:D)=TRIM(E321)),0))</f>
        <v>27</v>
      </c>
      <c r="AC321" cm="1">
        <f t="array" ref="AC321">INDEX(Innings!N:N,MATCH(1,(TRIM(Innings!A:A)=TRIM(A321))*(TRIM(Innings!D:D)=TRIM(E321)),0))</f>
        <v>23</v>
      </c>
      <c r="AD321" cm="1">
        <f t="array" ref="AD321">INDEX(Innings!S:S,MATCH(1,(TRIM(Innings!A:A)=TRIM(A321))*(TRIM(Innings!D:D)=TRIM(E321)),0))</f>
        <v>52</v>
      </c>
      <c r="AE321" t="str" cm="1">
        <f t="array" ref="AE321">INDEX(Innings!W:W,MATCH(1,(TRIM(Innings!A:A)=TRIM(A321))*(TRIM(Innings!D:D)=TRIM(E321)),0))</f>
        <v>Successful</v>
      </c>
      <c r="AF321">
        <f>IF(UPPER(TRIM(E321))=UPPER(TRIM(W321)),1,0)</f>
        <v>1</v>
      </c>
      <c r="AG321">
        <f t="shared" si="9"/>
        <v>20.07</v>
      </c>
    </row>
    <row r="322" spans="1:33" x14ac:dyDescent="0.3">
      <c r="A322" t="s">
        <v>148</v>
      </c>
      <c r="B322">
        <v>1</v>
      </c>
      <c r="C322" t="s">
        <v>217</v>
      </c>
      <c r="D322" t="s">
        <v>218</v>
      </c>
      <c r="E322" t="s">
        <v>219</v>
      </c>
      <c r="F322" t="s">
        <v>85</v>
      </c>
      <c r="G322" t="s">
        <v>86</v>
      </c>
      <c r="H322">
        <v>8</v>
      </c>
      <c r="I322">
        <v>10</v>
      </c>
      <c r="J322">
        <v>80</v>
      </c>
      <c r="K322" t="s">
        <v>247</v>
      </c>
      <c r="L322">
        <v>6.4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 s="8">
        <v>6.4</v>
      </c>
      <c r="V322" s="8">
        <f t="shared" si="8"/>
        <v>1</v>
      </c>
      <c r="W322" t="str">
        <f>_xlfn.XLOOKUP(A322, Matches!A:A, Matches!L:L, "NA", 0)</f>
        <v>UPW</v>
      </c>
      <c r="X322" t="str">
        <f>_xlfn.XLOOKUP(A322, Matches!A:A, Matches!J:J, "NA", 0)</f>
        <v>UPW</v>
      </c>
      <c r="Y322" t="str">
        <f>_xlfn.XLOOKUP(A322, Matches!A:A, Matches!F:F, "NA", 0)</f>
        <v>Dr DY Patil Sports </v>
      </c>
      <c r="Z322" cm="1">
        <f t="array" ref="Z322">INDEX(Innings!F:F,MATCH(1,(TRIM(Innings!A:A)=TRIM(A322))*(TRIM(Innings!D:D)=TRIM(E322)),0))</f>
        <v>129</v>
      </c>
      <c r="AA322" cm="1">
        <f t="array" ref="AA322">INDEX(Innings!I:I,MATCH(1,(TRIM(Innings!A:A)=TRIM(A322))*(TRIM(Innings!D:D)=TRIM(E322)),0))</f>
        <v>6.62</v>
      </c>
      <c r="AB322" cm="1">
        <f t="array" ref="AB322">INDEX(Innings!J:J,MATCH(1,(TRIM(Innings!A:A)=TRIM(A322))*(TRIM(Innings!D:D)=TRIM(E322)),0))</f>
        <v>27</v>
      </c>
      <c r="AC322" cm="1">
        <f t="array" ref="AC322">INDEX(Innings!N:N,MATCH(1,(TRIM(Innings!A:A)=TRIM(A322))*(TRIM(Innings!D:D)=TRIM(E322)),0))</f>
        <v>23</v>
      </c>
      <c r="AD322" cm="1">
        <f t="array" ref="AD322">INDEX(Innings!S:S,MATCH(1,(TRIM(Innings!A:A)=TRIM(A322))*(TRIM(Innings!D:D)=TRIM(E322)),0))</f>
        <v>52</v>
      </c>
      <c r="AE322" t="str" cm="1">
        <f t="array" ref="AE322">INDEX(Innings!W:W,MATCH(1,(TRIM(Innings!A:A)=TRIM(A322))*(TRIM(Innings!D:D)=TRIM(E322)),0))</f>
        <v>Successful</v>
      </c>
      <c r="AF322">
        <f>IF(UPPER(TRIM(E322))=UPPER(TRIM(W322)),1,0)</f>
        <v>1</v>
      </c>
      <c r="AG322">
        <f t="shared" si="9"/>
        <v>23.5</v>
      </c>
    </row>
    <row r="323" spans="1:33" x14ac:dyDescent="0.3">
      <c r="A323" t="s">
        <v>148</v>
      </c>
      <c r="B323">
        <v>1</v>
      </c>
      <c r="C323" t="s">
        <v>229</v>
      </c>
      <c r="D323" t="s">
        <v>230</v>
      </c>
      <c r="E323" t="s">
        <v>219</v>
      </c>
      <c r="F323" t="s">
        <v>109</v>
      </c>
      <c r="G323" t="s">
        <v>92</v>
      </c>
      <c r="H323">
        <v>12</v>
      </c>
      <c r="I323">
        <v>16</v>
      </c>
      <c r="J323">
        <v>75</v>
      </c>
      <c r="K323" t="s">
        <v>246</v>
      </c>
      <c r="L323">
        <v>9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s="8">
        <v>9</v>
      </c>
      <c r="V323" s="8">
        <f t="shared" ref="V323:V386" si="10">MIN(10, MAX(0, ROUND(U323/10,0)))</f>
        <v>1</v>
      </c>
      <c r="W323" t="str">
        <f>_xlfn.XLOOKUP(A323, Matches!A:A, Matches!L:L, "NA", 0)</f>
        <v>UPW</v>
      </c>
      <c r="X323" t="str">
        <f>_xlfn.XLOOKUP(A323, Matches!A:A, Matches!J:J, "NA", 0)</f>
        <v>UPW</v>
      </c>
      <c r="Y323" t="str">
        <f>_xlfn.XLOOKUP(A323, Matches!A:A, Matches!F:F, "NA", 0)</f>
        <v>Dr DY Patil Sports </v>
      </c>
      <c r="Z323" cm="1">
        <f t="array" ref="Z323">INDEX(Innings!F:F,MATCH(1,(TRIM(Innings!A:A)=TRIM(A323))*(TRIM(Innings!D:D)=TRIM(E323)),0))</f>
        <v>129</v>
      </c>
      <c r="AA323" cm="1">
        <f t="array" ref="AA323">INDEX(Innings!I:I,MATCH(1,(TRIM(Innings!A:A)=TRIM(A323))*(TRIM(Innings!D:D)=TRIM(E323)),0))</f>
        <v>6.62</v>
      </c>
      <c r="AB323" cm="1">
        <f t="array" ref="AB323">INDEX(Innings!J:J,MATCH(1,(TRIM(Innings!A:A)=TRIM(A323))*(TRIM(Innings!D:D)=TRIM(E323)),0))</f>
        <v>27</v>
      </c>
      <c r="AC323" cm="1">
        <f t="array" ref="AC323">INDEX(Innings!N:N,MATCH(1,(TRIM(Innings!A:A)=TRIM(A323))*(TRIM(Innings!D:D)=TRIM(E323)),0))</f>
        <v>23</v>
      </c>
      <c r="AD323" cm="1">
        <f t="array" ref="AD323">INDEX(Innings!S:S,MATCH(1,(TRIM(Innings!A:A)=TRIM(A323))*(TRIM(Innings!D:D)=TRIM(E323)),0))</f>
        <v>52</v>
      </c>
      <c r="AE323" t="str" cm="1">
        <f t="array" ref="AE323">INDEX(Innings!W:W,MATCH(1,(TRIM(Innings!A:A)=TRIM(A323))*(TRIM(Innings!D:D)=TRIM(E323)),0))</f>
        <v>Successful</v>
      </c>
      <c r="AF323">
        <f>IF(UPPER(TRIM(E323))=UPPER(TRIM(W323)),1,0)</f>
        <v>1</v>
      </c>
      <c r="AG323">
        <f t="shared" ref="AG323:AG386" si="11">(0.5*MAX(0,U323) + 0.3*MAX(0,V323) + 0.2*AF323*100)</f>
        <v>24.8</v>
      </c>
    </row>
    <row r="324" spans="1:33" x14ac:dyDescent="0.3">
      <c r="A324" t="s">
        <v>148</v>
      </c>
      <c r="B324">
        <v>1</v>
      </c>
      <c r="C324" t="s">
        <v>222</v>
      </c>
      <c r="D324" t="s">
        <v>223</v>
      </c>
      <c r="E324" t="s">
        <v>219</v>
      </c>
      <c r="F324" t="s">
        <v>169</v>
      </c>
      <c r="G324" t="s">
        <v>92</v>
      </c>
      <c r="H324">
        <v>38</v>
      </c>
      <c r="I324">
        <v>25</v>
      </c>
      <c r="J324">
        <v>152</v>
      </c>
      <c r="K324" t="s">
        <v>246</v>
      </c>
      <c r="L324">
        <v>57.76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 s="8">
        <v>57.76</v>
      </c>
      <c r="V324" s="8">
        <f t="shared" si="10"/>
        <v>6</v>
      </c>
      <c r="W324" t="str">
        <f>_xlfn.XLOOKUP(A324, Matches!A:A, Matches!L:L, "NA", 0)</f>
        <v>UPW</v>
      </c>
      <c r="X324" t="str">
        <f>_xlfn.XLOOKUP(A324, Matches!A:A, Matches!J:J, "NA", 0)</f>
        <v>UPW</v>
      </c>
      <c r="Y324" t="str">
        <f>_xlfn.XLOOKUP(A324, Matches!A:A, Matches!F:F, "NA", 0)</f>
        <v>Dr DY Patil Sports </v>
      </c>
      <c r="Z324" cm="1">
        <f t="array" ref="Z324">INDEX(Innings!F:F,MATCH(1,(TRIM(Innings!A:A)=TRIM(A324))*(TRIM(Innings!D:D)=TRIM(E324)),0))</f>
        <v>129</v>
      </c>
      <c r="AA324" cm="1">
        <f t="array" ref="AA324">INDEX(Innings!I:I,MATCH(1,(TRIM(Innings!A:A)=TRIM(A324))*(TRIM(Innings!D:D)=TRIM(E324)),0))</f>
        <v>6.62</v>
      </c>
      <c r="AB324" cm="1">
        <f t="array" ref="AB324">INDEX(Innings!J:J,MATCH(1,(TRIM(Innings!A:A)=TRIM(A324))*(TRIM(Innings!D:D)=TRIM(E324)),0))</f>
        <v>27</v>
      </c>
      <c r="AC324" cm="1">
        <f t="array" ref="AC324">INDEX(Innings!N:N,MATCH(1,(TRIM(Innings!A:A)=TRIM(A324))*(TRIM(Innings!D:D)=TRIM(E324)),0))</f>
        <v>23</v>
      </c>
      <c r="AD324" cm="1">
        <f t="array" ref="AD324">INDEX(Innings!S:S,MATCH(1,(TRIM(Innings!A:A)=TRIM(A324))*(TRIM(Innings!D:D)=TRIM(E324)),0))</f>
        <v>52</v>
      </c>
      <c r="AE324" t="str" cm="1">
        <f t="array" ref="AE324">INDEX(Innings!W:W,MATCH(1,(TRIM(Innings!A:A)=TRIM(A324))*(TRIM(Innings!D:D)=TRIM(E324)),0))</f>
        <v>Successful</v>
      </c>
      <c r="AF324">
        <f>IF(UPPER(TRIM(E324))=UPPER(TRIM(W324)),1,0)</f>
        <v>1</v>
      </c>
      <c r="AG324">
        <f t="shared" si="11"/>
        <v>50.68</v>
      </c>
    </row>
    <row r="325" spans="1:33" x14ac:dyDescent="0.3">
      <c r="A325" t="s">
        <v>148</v>
      </c>
      <c r="B325">
        <v>1</v>
      </c>
      <c r="C325" t="s">
        <v>226</v>
      </c>
      <c r="D325" t="s">
        <v>211</v>
      </c>
      <c r="E325" t="s">
        <v>219</v>
      </c>
      <c r="F325" t="s">
        <v>169</v>
      </c>
      <c r="G325" t="s">
        <v>134</v>
      </c>
      <c r="H325">
        <v>39</v>
      </c>
      <c r="I325">
        <v>28</v>
      </c>
      <c r="J325">
        <v>139.29</v>
      </c>
      <c r="K325" t="s">
        <v>246</v>
      </c>
      <c r="L325">
        <v>54.32</v>
      </c>
      <c r="M325">
        <v>2</v>
      </c>
      <c r="N325">
        <v>0</v>
      </c>
      <c r="O325">
        <v>15</v>
      </c>
      <c r="P325">
        <v>0</v>
      </c>
      <c r="Q325">
        <v>7.5</v>
      </c>
      <c r="R325">
        <v>0</v>
      </c>
      <c r="S325">
        <v>0</v>
      </c>
      <c r="T325">
        <v>0</v>
      </c>
      <c r="U325" s="8">
        <v>54.32</v>
      </c>
      <c r="V325" s="8">
        <f t="shared" si="10"/>
        <v>5</v>
      </c>
      <c r="W325" t="str">
        <f>_xlfn.XLOOKUP(A325, Matches!A:A, Matches!L:L, "NA", 0)</f>
        <v>UPW</v>
      </c>
      <c r="X325" t="str">
        <f>_xlfn.XLOOKUP(A325, Matches!A:A, Matches!J:J, "NA", 0)</f>
        <v>UPW</v>
      </c>
      <c r="Y325" t="str">
        <f>_xlfn.XLOOKUP(A325, Matches!A:A, Matches!F:F, "NA", 0)</f>
        <v>Dr DY Patil Sports </v>
      </c>
      <c r="Z325" cm="1">
        <f t="array" ref="Z325">INDEX(Innings!F:F,MATCH(1,(TRIM(Innings!A:A)=TRIM(A325))*(TRIM(Innings!D:D)=TRIM(E325)),0))</f>
        <v>129</v>
      </c>
      <c r="AA325" cm="1">
        <f t="array" ref="AA325">INDEX(Innings!I:I,MATCH(1,(TRIM(Innings!A:A)=TRIM(A325))*(TRIM(Innings!D:D)=TRIM(E325)),0))</f>
        <v>6.62</v>
      </c>
      <c r="AB325" cm="1">
        <f t="array" ref="AB325">INDEX(Innings!J:J,MATCH(1,(TRIM(Innings!A:A)=TRIM(A325))*(TRIM(Innings!D:D)=TRIM(E325)),0))</f>
        <v>27</v>
      </c>
      <c r="AC325" cm="1">
        <f t="array" ref="AC325">INDEX(Innings!N:N,MATCH(1,(TRIM(Innings!A:A)=TRIM(A325))*(TRIM(Innings!D:D)=TRIM(E325)),0))</f>
        <v>23</v>
      </c>
      <c r="AD325" cm="1">
        <f t="array" ref="AD325">INDEX(Innings!S:S,MATCH(1,(TRIM(Innings!A:A)=TRIM(A325))*(TRIM(Innings!D:D)=TRIM(E325)),0))</f>
        <v>52</v>
      </c>
      <c r="AE325" t="str" cm="1">
        <f t="array" ref="AE325">INDEX(Innings!W:W,MATCH(1,(TRIM(Innings!A:A)=TRIM(A325))*(TRIM(Innings!D:D)=TRIM(E325)),0))</f>
        <v>Successful</v>
      </c>
      <c r="AF325">
        <f>IF(UPPER(TRIM(E325))=UPPER(TRIM(W325)),1,0)</f>
        <v>1</v>
      </c>
      <c r="AG325">
        <f t="shared" si="11"/>
        <v>48.66</v>
      </c>
    </row>
    <row r="326" spans="1:33" x14ac:dyDescent="0.3">
      <c r="A326" t="s">
        <v>148</v>
      </c>
      <c r="B326">
        <v>1</v>
      </c>
      <c r="C326" t="s">
        <v>224</v>
      </c>
      <c r="D326" t="s">
        <v>225</v>
      </c>
      <c r="E326" t="s">
        <v>219</v>
      </c>
      <c r="F326" t="s">
        <v>83</v>
      </c>
      <c r="G326" t="s">
        <v>134</v>
      </c>
      <c r="H326">
        <v>13</v>
      </c>
      <c r="I326">
        <v>14</v>
      </c>
      <c r="J326">
        <v>92.86</v>
      </c>
      <c r="K326" t="s">
        <v>96</v>
      </c>
      <c r="L326">
        <v>12.07</v>
      </c>
      <c r="M326">
        <v>4</v>
      </c>
      <c r="N326">
        <v>0</v>
      </c>
      <c r="O326">
        <v>35</v>
      </c>
      <c r="P326">
        <v>2</v>
      </c>
      <c r="Q326">
        <v>8.8000000000000007</v>
      </c>
      <c r="R326">
        <v>40</v>
      </c>
      <c r="S326">
        <v>0</v>
      </c>
      <c r="T326">
        <v>0</v>
      </c>
      <c r="U326" s="8">
        <v>52.07</v>
      </c>
      <c r="V326" s="8">
        <f t="shared" si="10"/>
        <v>5</v>
      </c>
      <c r="W326" t="str">
        <f>_xlfn.XLOOKUP(A326, Matches!A:A, Matches!L:L, "NA", 0)</f>
        <v>UPW</v>
      </c>
      <c r="X326" t="str">
        <f>_xlfn.XLOOKUP(A326, Matches!A:A, Matches!J:J, "NA", 0)</f>
        <v>UPW</v>
      </c>
      <c r="Y326" t="str">
        <f>_xlfn.XLOOKUP(A326, Matches!A:A, Matches!F:F, "NA", 0)</f>
        <v>Dr DY Patil Sports </v>
      </c>
      <c r="Z326" cm="1">
        <f t="array" ref="Z326">INDEX(Innings!F:F,MATCH(1,(TRIM(Innings!A:A)=TRIM(A326))*(TRIM(Innings!D:D)=TRIM(E326)),0))</f>
        <v>129</v>
      </c>
      <c r="AA326" cm="1">
        <f t="array" ref="AA326">INDEX(Innings!I:I,MATCH(1,(TRIM(Innings!A:A)=TRIM(A326))*(TRIM(Innings!D:D)=TRIM(E326)),0))</f>
        <v>6.62</v>
      </c>
      <c r="AB326" cm="1">
        <f t="array" ref="AB326">INDEX(Innings!J:J,MATCH(1,(TRIM(Innings!A:A)=TRIM(A326))*(TRIM(Innings!D:D)=TRIM(E326)),0))</f>
        <v>27</v>
      </c>
      <c r="AC326" cm="1">
        <f t="array" ref="AC326">INDEX(Innings!N:N,MATCH(1,(TRIM(Innings!A:A)=TRIM(A326))*(TRIM(Innings!D:D)=TRIM(E326)),0))</f>
        <v>23</v>
      </c>
      <c r="AD326" cm="1">
        <f t="array" ref="AD326">INDEX(Innings!S:S,MATCH(1,(TRIM(Innings!A:A)=TRIM(A326))*(TRIM(Innings!D:D)=TRIM(E326)),0))</f>
        <v>52</v>
      </c>
      <c r="AE326" t="str" cm="1">
        <f t="array" ref="AE326">INDEX(Innings!W:W,MATCH(1,(TRIM(Innings!A:A)=TRIM(A326))*(TRIM(Innings!D:D)=TRIM(E326)),0))</f>
        <v>Successful</v>
      </c>
      <c r="AF326">
        <f>IF(UPPER(TRIM(E326))=UPPER(TRIM(W326)),1,0)</f>
        <v>1</v>
      </c>
      <c r="AG326">
        <f t="shared" si="11"/>
        <v>47.534999999999997</v>
      </c>
    </row>
    <row r="327" spans="1:33" x14ac:dyDescent="0.3">
      <c r="A327" t="s">
        <v>148</v>
      </c>
      <c r="B327">
        <v>1</v>
      </c>
      <c r="C327" t="s">
        <v>233</v>
      </c>
      <c r="D327" t="s">
        <v>234</v>
      </c>
      <c r="E327" t="s">
        <v>219</v>
      </c>
      <c r="F327" t="s">
        <v>101</v>
      </c>
      <c r="G327" t="s">
        <v>135</v>
      </c>
      <c r="H327">
        <v>16</v>
      </c>
      <c r="I327">
        <v>17</v>
      </c>
      <c r="J327">
        <v>94.12</v>
      </c>
      <c r="K327" t="s">
        <v>96</v>
      </c>
      <c r="L327">
        <v>15.06</v>
      </c>
      <c r="M327">
        <v>4</v>
      </c>
      <c r="N327">
        <v>0</v>
      </c>
      <c r="O327">
        <v>15</v>
      </c>
      <c r="P327">
        <v>3</v>
      </c>
      <c r="Q327">
        <v>3.8</v>
      </c>
      <c r="R327">
        <v>60</v>
      </c>
      <c r="S327">
        <v>0</v>
      </c>
      <c r="T327">
        <v>0</v>
      </c>
      <c r="U327" s="8">
        <v>75.06</v>
      </c>
      <c r="V327" s="8">
        <f t="shared" si="10"/>
        <v>8</v>
      </c>
      <c r="W327" t="str">
        <f>_xlfn.XLOOKUP(A327, Matches!A:A, Matches!L:L, "NA", 0)</f>
        <v>UPW</v>
      </c>
      <c r="X327" t="str">
        <f>_xlfn.XLOOKUP(A327, Matches!A:A, Matches!J:J, "NA", 0)</f>
        <v>UPW</v>
      </c>
      <c r="Y327" t="str">
        <f>_xlfn.XLOOKUP(A327, Matches!A:A, Matches!F:F, "NA", 0)</f>
        <v>Dr DY Patil Sports </v>
      </c>
      <c r="Z327" cm="1">
        <f t="array" ref="Z327">INDEX(Innings!F:F,MATCH(1,(TRIM(Innings!A:A)=TRIM(A327))*(TRIM(Innings!D:D)=TRIM(E327)),0))</f>
        <v>129</v>
      </c>
      <c r="AA327" cm="1">
        <f t="array" ref="AA327">INDEX(Innings!I:I,MATCH(1,(TRIM(Innings!A:A)=TRIM(A327))*(TRIM(Innings!D:D)=TRIM(E327)),0))</f>
        <v>6.62</v>
      </c>
      <c r="AB327" cm="1">
        <f t="array" ref="AB327">INDEX(Innings!J:J,MATCH(1,(TRIM(Innings!A:A)=TRIM(A327))*(TRIM(Innings!D:D)=TRIM(E327)),0))</f>
        <v>27</v>
      </c>
      <c r="AC327" cm="1">
        <f t="array" ref="AC327">INDEX(Innings!N:N,MATCH(1,(TRIM(Innings!A:A)=TRIM(A327))*(TRIM(Innings!D:D)=TRIM(E327)),0))</f>
        <v>23</v>
      </c>
      <c r="AD327" cm="1">
        <f t="array" ref="AD327">INDEX(Innings!S:S,MATCH(1,(TRIM(Innings!A:A)=TRIM(A327))*(TRIM(Innings!D:D)=TRIM(E327)),0))</f>
        <v>52</v>
      </c>
      <c r="AE327" t="str" cm="1">
        <f t="array" ref="AE327">INDEX(Innings!W:W,MATCH(1,(TRIM(Innings!A:A)=TRIM(A327))*(TRIM(Innings!D:D)=TRIM(E327)),0))</f>
        <v>Successful</v>
      </c>
      <c r="AF327">
        <f>IF(UPPER(TRIM(E327))=UPPER(TRIM(W327)),1,0)</f>
        <v>1</v>
      </c>
      <c r="AG327">
        <f t="shared" si="11"/>
        <v>59.93</v>
      </c>
    </row>
    <row r="328" spans="1:33" x14ac:dyDescent="0.3">
      <c r="A328" t="s">
        <v>148</v>
      </c>
      <c r="B328">
        <v>1</v>
      </c>
      <c r="C328" t="s">
        <v>227</v>
      </c>
      <c r="D328" t="s">
        <v>228</v>
      </c>
      <c r="E328" t="s">
        <v>219</v>
      </c>
      <c r="F328" t="s">
        <v>109</v>
      </c>
      <c r="G328" t="s">
        <v>104</v>
      </c>
      <c r="H328">
        <v>0</v>
      </c>
      <c r="I328">
        <v>0</v>
      </c>
      <c r="J328">
        <v>0</v>
      </c>
      <c r="K328" t="s">
        <v>104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 s="8">
        <v>0</v>
      </c>
      <c r="V328" s="8">
        <f t="shared" si="10"/>
        <v>0</v>
      </c>
      <c r="W328" t="str">
        <f>_xlfn.XLOOKUP(A328, Matches!A:A, Matches!L:L, "NA", 0)</f>
        <v>UPW</v>
      </c>
      <c r="X328" t="str">
        <f>_xlfn.XLOOKUP(A328, Matches!A:A, Matches!J:J, "NA", 0)</f>
        <v>UPW</v>
      </c>
      <c r="Y328" t="str">
        <f>_xlfn.XLOOKUP(A328, Matches!A:A, Matches!F:F, "NA", 0)</f>
        <v>Dr DY Patil Sports </v>
      </c>
      <c r="Z328" cm="1">
        <f t="array" ref="Z328">INDEX(Innings!F:F,MATCH(1,(TRIM(Innings!A:A)=TRIM(A328))*(TRIM(Innings!D:D)=TRIM(E328)),0))</f>
        <v>129</v>
      </c>
      <c r="AA328" cm="1">
        <f t="array" ref="AA328">INDEX(Innings!I:I,MATCH(1,(TRIM(Innings!A:A)=TRIM(A328))*(TRIM(Innings!D:D)=TRIM(E328)),0))</f>
        <v>6.62</v>
      </c>
      <c r="AB328" cm="1">
        <f t="array" ref="AB328">INDEX(Innings!J:J,MATCH(1,(TRIM(Innings!A:A)=TRIM(A328))*(TRIM(Innings!D:D)=TRIM(E328)),0))</f>
        <v>27</v>
      </c>
      <c r="AC328" cm="1">
        <f t="array" ref="AC328">INDEX(Innings!N:N,MATCH(1,(TRIM(Innings!A:A)=TRIM(A328))*(TRIM(Innings!D:D)=TRIM(E328)),0))</f>
        <v>23</v>
      </c>
      <c r="AD328" cm="1">
        <f t="array" ref="AD328">INDEX(Innings!S:S,MATCH(1,(TRIM(Innings!A:A)=TRIM(A328))*(TRIM(Innings!D:D)=TRIM(E328)),0))</f>
        <v>52</v>
      </c>
      <c r="AE328" t="str" cm="1">
        <f t="array" ref="AE328">INDEX(Innings!W:W,MATCH(1,(TRIM(Innings!A:A)=TRIM(A328))*(TRIM(Innings!D:D)=TRIM(E328)),0))</f>
        <v>Successful</v>
      </c>
      <c r="AF328">
        <f>IF(UPPER(TRIM(E328))=UPPER(TRIM(W328)),1,0)</f>
        <v>1</v>
      </c>
      <c r="AG328">
        <f t="shared" si="11"/>
        <v>20</v>
      </c>
    </row>
    <row r="329" spans="1:33" x14ac:dyDescent="0.3">
      <c r="A329" t="s">
        <v>148</v>
      </c>
      <c r="B329">
        <v>1</v>
      </c>
      <c r="C329" t="s">
        <v>314</v>
      </c>
      <c r="D329" t="s">
        <v>315</v>
      </c>
      <c r="E329" t="s">
        <v>219</v>
      </c>
      <c r="F329" t="s">
        <v>83</v>
      </c>
      <c r="G329" t="s">
        <v>104</v>
      </c>
      <c r="H329">
        <v>0</v>
      </c>
      <c r="I329">
        <v>0</v>
      </c>
      <c r="J329">
        <v>0</v>
      </c>
      <c r="K329" t="s">
        <v>104</v>
      </c>
      <c r="L329">
        <v>0</v>
      </c>
      <c r="M329">
        <v>4</v>
      </c>
      <c r="N329">
        <v>0</v>
      </c>
      <c r="O329">
        <v>35</v>
      </c>
      <c r="P329">
        <v>0</v>
      </c>
      <c r="Q329">
        <v>8.8000000000000007</v>
      </c>
      <c r="R329">
        <v>0</v>
      </c>
      <c r="S329">
        <v>0</v>
      </c>
      <c r="T329">
        <v>0</v>
      </c>
      <c r="U329" s="8">
        <v>0</v>
      </c>
      <c r="V329" s="8">
        <f t="shared" si="10"/>
        <v>0</v>
      </c>
      <c r="W329" t="str">
        <f>_xlfn.XLOOKUP(A329, Matches!A:A, Matches!L:L, "NA", 0)</f>
        <v>UPW</v>
      </c>
      <c r="X329" t="str">
        <f>_xlfn.XLOOKUP(A329, Matches!A:A, Matches!J:J, "NA", 0)</f>
        <v>UPW</v>
      </c>
      <c r="Y329" t="str">
        <f>_xlfn.XLOOKUP(A329, Matches!A:A, Matches!F:F, "NA", 0)</f>
        <v>Dr DY Patil Sports </v>
      </c>
      <c r="Z329" cm="1">
        <f t="array" ref="Z329">INDEX(Innings!F:F,MATCH(1,(TRIM(Innings!A:A)=TRIM(A329))*(TRIM(Innings!D:D)=TRIM(E329)),0))</f>
        <v>129</v>
      </c>
      <c r="AA329" cm="1">
        <f t="array" ref="AA329">INDEX(Innings!I:I,MATCH(1,(TRIM(Innings!A:A)=TRIM(A329))*(TRIM(Innings!D:D)=TRIM(E329)),0))</f>
        <v>6.62</v>
      </c>
      <c r="AB329" cm="1">
        <f t="array" ref="AB329">INDEX(Innings!J:J,MATCH(1,(TRIM(Innings!A:A)=TRIM(A329))*(TRIM(Innings!D:D)=TRIM(E329)),0))</f>
        <v>27</v>
      </c>
      <c r="AC329" cm="1">
        <f t="array" ref="AC329">INDEX(Innings!N:N,MATCH(1,(TRIM(Innings!A:A)=TRIM(A329))*(TRIM(Innings!D:D)=TRIM(E329)),0))</f>
        <v>23</v>
      </c>
      <c r="AD329" cm="1">
        <f t="array" ref="AD329">INDEX(Innings!S:S,MATCH(1,(TRIM(Innings!A:A)=TRIM(A329))*(TRIM(Innings!D:D)=TRIM(E329)),0))</f>
        <v>52</v>
      </c>
      <c r="AE329" t="str" cm="1">
        <f t="array" ref="AE329">INDEX(Innings!W:W,MATCH(1,(TRIM(Innings!A:A)=TRIM(A329))*(TRIM(Innings!D:D)=TRIM(E329)),0))</f>
        <v>Successful</v>
      </c>
      <c r="AF329">
        <f>IF(UPPER(TRIM(E329))=UPPER(TRIM(W329)),1,0)</f>
        <v>1</v>
      </c>
      <c r="AG329">
        <f t="shared" si="11"/>
        <v>20</v>
      </c>
    </row>
    <row r="330" spans="1:33" x14ac:dyDescent="0.3">
      <c r="A330" t="s">
        <v>148</v>
      </c>
      <c r="B330">
        <v>1</v>
      </c>
      <c r="C330" t="s">
        <v>235</v>
      </c>
      <c r="D330" t="s">
        <v>236</v>
      </c>
      <c r="E330" t="s">
        <v>219</v>
      </c>
      <c r="F330" t="s">
        <v>101</v>
      </c>
      <c r="G330" t="s">
        <v>104</v>
      </c>
      <c r="H330">
        <v>0</v>
      </c>
      <c r="I330">
        <v>0</v>
      </c>
      <c r="J330">
        <v>0</v>
      </c>
      <c r="K330" t="s">
        <v>104</v>
      </c>
      <c r="L330">
        <v>0</v>
      </c>
      <c r="M330">
        <v>2</v>
      </c>
      <c r="N330">
        <v>0</v>
      </c>
      <c r="O330">
        <v>10</v>
      </c>
      <c r="P330">
        <v>1</v>
      </c>
      <c r="Q330">
        <v>5</v>
      </c>
      <c r="R330">
        <v>20</v>
      </c>
      <c r="S330">
        <v>0</v>
      </c>
      <c r="T330">
        <v>0</v>
      </c>
      <c r="U330" s="8">
        <v>20</v>
      </c>
      <c r="V330" s="8">
        <f t="shared" si="10"/>
        <v>2</v>
      </c>
      <c r="W330" t="str">
        <f>_xlfn.XLOOKUP(A330, Matches!A:A, Matches!L:L, "NA", 0)</f>
        <v>UPW</v>
      </c>
      <c r="X330" t="str">
        <f>_xlfn.XLOOKUP(A330, Matches!A:A, Matches!J:J, "NA", 0)</f>
        <v>UPW</v>
      </c>
      <c r="Y330" t="str">
        <f>_xlfn.XLOOKUP(A330, Matches!A:A, Matches!F:F, "NA", 0)</f>
        <v>Dr DY Patil Sports </v>
      </c>
      <c r="Z330" cm="1">
        <f t="array" ref="Z330">INDEX(Innings!F:F,MATCH(1,(TRIM(Innings!A:A)=TRIM(A330))*(TRIM(Innings!D:D)=TRIM(E330)),0))</f>
        <v>129</v>
      </c>
      <c r="AA330" cm="1">
        <f t="array" ref="AA330">INDEX(Innings!I:I,MATCH(1,(TRIM(Innings!A:A)=TRIM(A330))*(TRIM(Innings!D:D)=TRIM(E330)),0))</f>
        <v>6.62</v>
      </c>
      <c r="AB330" cm="1">
        <f t="array" ref="AB330">INDEX(Innings!J:J,MATCH(1,(TRIM(Innings!A:A)=TRIM(A330))*(TRIM(Innings!D:D)=TRIM(E330)),0))</f>
        <v>27</v>
      </c>
      <c r="AC330" cm="1">
        <f t="array" ref="AC330">INDEX(Innings!N:N,MATCH(1,(TRIM(Innings!A:A)=TRIM(A330))*(TRIM(Innings!D:D)=TRIM(E330)),0))</f>
        <v>23</v>
      </c>
      <c r="AD330" cm="1">
        <f t="array" ref="AD330">INDEX(Innings!S:S,MATCH(1,(TRIM(Innings!A:A)=TRIM(A330))*(TRIM(Innings!D:D)=TRIM(E330)),0))</f>
        <v>52</v>
      </c>
      <c r="AE330" t="str" cm="1">
        <f t="array" ref="AE330">INDEX(Innings!W:W,MATCH(1,(TRIM(Innings!A:A)=TRIM(A330))*(TRIM(Innings!D:D)=TRIM(E330)),0))</f>
        <v>Successful</v>
      </c>
      <c r="AF330">
        <f>IF(UPPER(TRIM(E330))=UPPER(TRIM(W330)),1,0)</f>
        <v>1</v>
      </c>
      <c r="AG330">
        <f t="shared" si="11"/>
        <v>30.6</v>
      </c>
    </row>
    <row r="331" spans="1:33" x14ac:dyDescent="0.3">
      <c r="A331" t="s">
        <v>148</v>
      </c>
      <c r="B331">
        <v>1</v>
      </c>
      <c r="C331" t="s">
        <v>237</v>
      </c>
      <c r="D331" t="s">
        <v>238</v>
      </c>
      <c r="E331" t="s">
        <v>219</v>
      </c>
      <c r="F331" t="s">
        <v>101</v>
      </c>
      <c r="G331" t="s">
        <v>104</v>
      </c>
      <c r="H331">
        <v>0</v>
      </c>
      <c r="I331">
        <v>0</v>
      </c>
      <c r="J331">
        <v>0</v>
      </c>
      <c r="K331" t="s">
        <v>104</v>
      </c>
      <c r="L331">
        <v>0</v>
      </c>
      <c r="M331">
        <v>4</v>
      </c>
      <c r="N331">
        <v>0</v>
      </c>
      <c r="O331">
        <v>16</v>
      </c>
      <c r="P331">
        <v>2</v>
      </c>
      <c r="Q331">
        <v>4</v>
      </c>
      <c r="R331">
        <v>40</v>
      </c>
      <c r="S331">
        <v>0</v>
      </c>
      <c r="T331">
        <v>0</v>
      </c>
      <c r="U331" s="8">
        <v>40</v>
      </c>
      <c r="V331" s="8">
        <f t="shared" si="10"/>
        <v>4</v>
      </c>
      <c r="W331" t="str">
        <f>_xlfn.XLOOKUP(A331, Matches!A:A, Matches!L:L, "NA", 0)</f>
        <v>UPW</v>
      </c>
      <c r="X331" t="str">
        <f>_xlfn.XLOOKUP(A331, Matches!A:A, Matches!J:J, "NA", 0)</f>
        <v>UPW</v>
      </c>
      <c r="Y331" t="str">
        <f>_xlfn.XLOOKUP(A331, Matches!A:A, Matches!F:F, "NA", 0)</f>
        <v>Dr DY Patil Sports </v>
      </c>
      <c r="Z331" cm="1">
        <f t="array" ref="Z331">INDEX(Innings!F:F,MATCH(1,(TRIM(Innings!A:A)=TRIM(A331))*(TRIM(Innings!D:D)=TRIM(E331)),0))</f>
        <v>129</v>
      </c>
      <c r="AA331" cm="1">
        <f t="array" ref="AA331">INDEX(Innings!I:I,MATCH(1,(TRIM(Innings!A:A)=TRIM(A331))*(TRIM(Innings!D:D)=TRIM(E331)),0))</f>
        <v>6.62</v>
      </c>
      <c r="AB331" cm="1">
        <f t="array" ref="AB331">INDEX(Innings!J:J,MATCH(1,(TRIM(Innings!A:A)=TRIM(A331))*(TRIM(Innings!D:D)=TRIM(E331)),0))</f>
        <v>27</v>
      </c>
      <c r="AC331" cm="1">
        <f t="array" ref="AC331">INDEX(Innings!N:N,MATCH(1,(TRIM(Innings!A:A)=TRIM(A331))*(TRIM(Innings!D:D)=TRIM(E331)),0))</f>
        <v>23</v>
      </c>
      <c r="AD331" cm="1">
        <f t="array" ref="AD331">INDEX(Innings!S:S,MATCH(1,(TRIM(Innings!A:A)=TRIM(A331))*(TRIM(Innings!D:D)=TRIM(E331)),0))</f>
        <v>52</v>
      </c>
      <c r="AE331" t="str" cm="1">
        <f t="array" ref="AE331">INDEX(Innings!W:W,MATCH(1,(TRIM(Innings!A:A)=TRIM(A331))*(TRIM(Innings!D:D)=TRIM(E331)),0))</f>
        <v>Successful</v>
      </c>
      <c r="AF331">
        <f>IF(UPPER(TRIM(E331))=UPPER(TRIM(W331)),1,0)</f>
        <v>1</v>
      </c>
      <c r="AG331">
        <f t="shared" si="11"/>
        <v>41.2</v>
      </c>
    </row>
    <row r="332" spans="1:33" x14ac:dyDescent="0.3">
      <c r="A332" t="s">
        <v>149</v>
      </c>
      <c r="B332">
        <v>1</v>
      </c>
      <c r="C332" t="s">
        <v>239</v>
      </c>
      <c r="D332" t="s">
        <v>241</v>
      </c>
      <c r="E332" t="s">
        <v>258</v>
      </c>
      <c r="F332" t="s">
        <v>109</v>
      </c>
      <c r="G332" t="s">
        <v>86</v>
      </c>
      <c r="H332">
        <v>16</v>
      </c>
      <c r="I332">
        <v>10</v>
      </c>
      <c r="J332">
        <v>160</v>
      </c>
      <c r="K332" t="s">
        <v>245</v>
      </c>
      <c r="L332">
        <v>25.6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 s="8">
        <v>25.6</v>
      </c>
      <c r="V332" s="8">
        <f t="shared" si="10"/>
        <v>3</v>
      </c>
      <c r="W332" t="str">
        <f>_xlfn.XLOOKUP(A332, Matches!A:A, Matches!L:L, "NA", 0)</f>
        <v>RCBW</v>
      </c>
      <c r="X332" t="str">
        <f>_xlfn.XLOOKUP(A332, Matches!A:A, Matches!J:J, "NA", 0)</f>
        <v>GGTW</v>
      </c>
      <c r="Y332" t="str">
        <f>_xlfn.XLOOKUP(A332, Matches!A:A, Matches!F:F, "NA", 0)</f>
        <v>Brabourne Stadium</v>
      </c>
      <c r="Z332" cm="1">
        <f t="array" ref="Z332">INDEX(Innings!F:F,MATCH(1,(TRIM(Innings!A:A)=TRIM(A332))*(TRIM(Innings!D:D)=TRIM(E332)),0))</f>
        <v>188</v>
      </c>
      <c r="AA332" cm="1">
        <f t="array" ref="AA332">INDEX(Innings!I:I,MATCH(1,(TRIM(Innings!A:A)=TRIM(A332))*(TRIM(Innings!D:D)=TRIM(E332)),0))</f>
        <v>9.4</v>
      </c>
      <c r="AB332" cm="1">
        <f t="array" ref="AB332">INDEX(Innings!J:J,MATCH(1,(TRIM(Innings!A:A)=TRIM(A332))*(TRIM(Innings!D:D)=TRIM(E332)),0))</f>
        <v>45</v>
      </c>
      <c r="AC332" cm="1">
        <f t="array" ref="AC332">INDEX(Innings!N:N,MATCH(1,(TRIM(Innings!A:A)=TRIM(A332))*(TRIM(Innings!D:D)=TRIM(E332)),0))</f>
        <v>53</v>
      </c>
      <c r="AD332" cm="1">
        <f t="array" ref="AD332">INDEX(Innings!S:S,MATCH(1,(TRIM(Innings!A:A)=TRIM(A332))*(TRIM(Innings!D:D)=TRIM(E332)),0))</f>
        <v>45</v>
      </c>
      <c r="AE332" t="str" cm="1">
        <f t="array" ref="AE332">INDEX(Innings!W:W,MATCH(1,(TRIM(Innings!A:A)=TRIM(A332))*(TRIM(Innings!D:D)=TRIM(E332)),0))</f>
        <v>NA</v>
      </c>
      <c r="AF332">
        <f>IF(UPPER(TRIM(E332))=UPPER(TRIM(W332)),1,0)</f>
        <v>0</v>
      </c>
      <c r="AG332">
        <f t="shared" si="11"/>
        <v>13.700000000000001</v>
      </c>
    </row>
    <row r="333" spans="1:33" x14ac:dyDescent="0.3">
      <c r="A333" t="s">
        <v>149</v>
      </c>
      <c r="B333">
        <v>1</v>
      </c>
      <c r="C333" t="s">
        <v>278</v>
      </c>
      <c r="D333" t="s">
        <v>293</v>
      </c>
      <c r="E333" t="s">
        <v>258</v>
      </c>
      <c r="F333" t="s">
        <v>109</v>
      </c>
      <c r="G333" t="s">
        <v>86</v>
      </c>
      <c r="H333">
        <v>68</v>
      </c>
      <c r="I333">
        <v>42</v>
      </c>
      <c r="J333">
        <v>161.9</v>
      </c>
      <c r="K333" t="s">
        <v>246</v>
      </c>
      <c r="L333">
        <v>110.09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 s="8">
        <v>110.09</v>
      </c>
      <c r="V333" s="8">
        <f t="shared" si="10"/>
        <v>10</v>
      </c>
      <c r="W333" t="str">
        <f>_xlfn.XLOOKUP(A333, Matches!A:A, Matches!L:L, "NA", 0)</f>
        <v>RCBW</v>
      </c>
      <c r="X333" t="str">
        <f>_xlfn.XLOOKUP(A333, Matches!A:A, Matches!J:J, "NA", 0)</f>
        <v>GGTW</v>
      </c>
      <c r="Y333" t="str">
        <f>_xlfn.XLOOKUP(A333, Matches!A:A, Matches!F:F, "NA", 0)</f>
        <v>Brabourne Stadium</v>
      </c>
      <c r="Z333" cm="1">
        <f t="array" ref="Z333">INDEX(Innings!F:F,MATCH(1,(TRIM(Innings!A:A)=TRIM(A333))*(TRIM(Innings!D:D)=TRIM(E333)),0))</f>
        <v>188</v>
      </c>
      <c r="AA333" cm="1">
        <f t="array" ref="AA333">INDEX(Innings!I:I,MATCH(1,(TRIM(Innings!A:A)=TRIM(A333))*(TRIM(Innings!D:D)=TRIM(E333)),0))</f>
        <v>9.4</v>
      </c>
      <c r="AB333" cm="1">
        <f t="array" ref="AB333">INDEX(Innings!J:J,MATCH(1,(TRIM(Innings!A:A)=TRIM(A333))*(TRIM(Innings!D:D)=TRIM(E333)),0))</f>
        <v>45</v>
      </c>
      <c r="AC333" cm="1">
        <f t="array" ref="AC333">INDEX(Innings!N:N,MATCH(1,(TRIM(Innings!A:A)=TRIM(A333))*(TRIM(Innings!D:D)=TRIM(E333)),0))</f>
        <v>53</v>
      </c>
      <c r="AD333" cm="1">
        <f t="array" ref="AD333">INDEX(Innings!S:S,MATCH(1,(TRIM(Innings!A:A)=TRIM(A333))*(TRIM(Innings!D:D)=TRIM(E333)),0))</f>
        <v>45</v>
      </c>
      <c r="AE333" t="str" cm="1">
        <f t="array" ref="AE333">INDEX(Innings!W:W,MATCH(1,(TRIM(Innings!A:A)=TRIM(A333))*(TRIM(Innings!D:D)=TRIM(E333)),0))</f>
        <v>NA</v>
      </c>
      <c r="AF333">
        <f>IF(UPPER(TRIM(E333))=UPPER(TRIM(W333)),1,0)</f>
        <v>0</v>
      </c>
      <c r="AG333">
        <f t="shared" si="11"/>
        <v>58.045000000000002</v>
      </c>
    </row>
    <row r="334" spans="1:33" x14ac:dyDescent="0.3">
      <c r="A334" t="s">
        <v>149</v>
      </c>
      <c r="B334">
        <v>1</v>
      </c>
      <c r="C334" t="s">
        <v>87</v>
      </c>
      <c r="D334" t="s">
        <v>82</v>
      </c>
      <c r="E334" t="s">
        <v>258</v>
      </c>
      <c r="F334" t="s">
        <v>109</v>
      </c>
      <c r="G334" t="s">
        <v>92</v>
      </c>
      <c r="H334">
        <v>31</v>
      </c>
      <c r="I334">
        <v>32</v>
      </c>
      <c r="J334">
        <v>96.88</v>
      </c>
      <c r="K334" t="s">
        <v>248</v>
      </c>
      <c r="L334">
        <v>30.03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 s="8">
        <v>30.03</v>
      </c>
      <c r="V334" s="8">
        <f t="shared" si="10"/>
        <v>3</v>
      </c>
      <c r="W334" t="str">
        <f>_xlfn.XLOOKUP(A334, Matches!A:A, Matches!L:L, "NA", 0)</f>
        <v>RCBW</v>
      </c>
      <c r="X334" t="str">
        <f>_xlfn.XLOOKUP(A334, Matches!A:A, Matches!J:J, "NA", 0)</f>
        <v>GGTW</v>
      </c>
      <c r="Y334" t="str">
        <f>_xlfn.XLOOKUP(A334, Matches!A:A, Matches!F:F, "NA", 0)</f>
        <v>Brabourne Stadium</v>
      </c>
      <c r="Z334" cm="1">
        <f t="array" ref="Z334">INDEX(Innings!F:F,MATCH(1,(TRIM(Innings!A:A)=TRIM(A334))*(TRIM(Innings!D:D)=TRIM(E334)),0))</f>
        <v>188</v>
      </c>
      <c r="AA334" cm="1">
        <f t="array" ref="AA334">INDEX(Innings!I:I,MATCH(1,(TRIM(Innings!A:A)=TRIM(A334))*(TRIM(Innings!D:D)=TRIM(E334)),0))</f>
        <v>9.4</v>
      </c>
      <c r="AB334" cm="1">
        <f t="array" ref="AB334">INDEX(Innings!J:J,MATCH(1,(TRIM(Innings!A:A)=TRIM(A334))*(TRIM(Innings!D:D)=TRIM(E334)),0))</f>
        <v>45</v>
      </c>
      <c r="AC334" cm="1">
        <f t="array" ref="AC334">INDEX(Innings!N:N,MATCH(1,(TRIM(Innings!A:A)=TRIM(A334))*(TRIM(Innings!D:D)=TRIM(E334)),0))</f>
        <v>53</v>
      </c>
      <c r="AD334" cm="1">
        <f t="array" ref="AD334">INDEX(Innings!S:S,MATCH(1,(TRIM(Innings!A:A)=TRIM(A334))*(TRIM(Innings!D:D)=TRIM(E334)),0))</f>
        <v>45</v>
      </c>
      <c r="AE334" t="str" cm="1">
        <f t="array" ref="AE334">INDEX(Innings!W:W,MATCH(1,(TRIM(Innings!A:A)=TRIM(A334))*(TRIM(Innings!D:D)=TRIM(E334)),0))</f>
        <v>NA</v>
      </c>
      <c r="AF334">
        <f>IF(UPPER(TRIM(E334))=UPPER(TRIM(W334)),1,0)</f>
        <v>0</v>
      </c>
      <c r="AG334">
        <f t="shared" si="11"/>
        <v>15.915000000000001</v>
      </c>
    </row>
    <row r="335" spans="1:33" x14ac:dyDescent="0.3">
      <c r="A335" t="s">
        <v>149</v>
      </c>
      <c r="B335">
        <v>1</v>
      </c>
      <c r="C335" t="s">
        <v>93</v>
      </c>
      <c r="D335" t="s">
        <v>118</v>
      </c>
      <c r="E335" t="s">
        <v>258</v>
      </c>
      <c r="F335" t="s">
        <v>83</v>
      </c>
      <c r="G335" t="s">
        <v>134</v>
      </c>
      <c r="H335">
        <v>41</v>
      </c>
      <c r="I335">
        <v>26</v>
      </c>
      <c r="J335">
        <v>157.69</v>
      </c>
      <c r="K335" t="s">
        <v>247</v>
      </c>
      <c r="L335">
        <v>64.650000000000006</v>
      </c>
      <c r="M335">
        <v>3</v>
      </c>
      <c r="N335">
        <v>0</v>
      </c>
      <c r="O335">
        <v>48</v>
      </c>
      <c r="P335">
        <v>0</v>
      </c>
      <c r="Q335">
        <v>16</v>
      </c>
      <c r="R335">
        <v>0</v>
      </c>
      <c r="S335">
        <v>0</v>
      </c>
      <c r="T335">
        <v>0</v>
      </c>
      <c r="U335" s="8">
        <v>64.650000000000006</v>
      </c>
      <c r="V335" s="8">
        <f t="shared" si="10"/>
        <v>6</v>
      </c>
      <c r="W335" t="str">
        <f>_xlfn.XLOOKUP(A335, Matches!A:A, Matches!L:L, "NA", 0)</f>
        <v>RCBW</v>
      </c>
      <c r="X335" t="str">
        <f>_xlfn.XLOOKUP(A335, Matches!A:A, Matches!J:J, "NA", 0)</f>
        <v>GGTW</v>
      </c>
      <c r="Y335" t="str">
        <f>_xlfn.XLOOKUP(A335, Matches!A:A, Matches!F:F, "NA", 0)</f>
        <v>Brabourne Stadium</v>
      </c>
      <c r="Z335" cm="1">
        <f t="array" ref="Z335">INDEX(Innings!F:F,MATCH(1,(TRIM(Innings!A:A)=TRIM(A335))*(TRIM(Innings!D:D)=TRIM(E335)),0))</f>
        <v>188</v>
      </c>
      <c r="AA335" cm="1">
        <f t="array" ref="AA335">INDEX(Innings!I:I,MATCH(1,(TRIM(Innings!A:A)=TRIM(A335))*(TRIM(Innings!D:D)=TRIM(E335)),0))</f>
        <v>9.4</v>
      </c>
      <c r="AB335" cm="1">
        <f t="array" ref="AB335">INDEX(Innings!J:J,MATCH(1,(TRIM(Innings!A:A)=TRIM(A335))*(TRIM(Innings!D:D)=TRIM(E335)),0))</f>
        <v>45</v>
      </c>
      <c r="AC335" cm="1">
        <f t="array" ref="AC335">INDEX(Innings!N:N,MATCH(1,(TRIM(Innings!A:A)=TRIM(A335))*(TRIM(Innings!D:D)=TRIM(E335)),0))</f>
        <v>53</v>
      </c>
      <c r="AD335" cm="1">
        <f t="array" ref="AD335">INDEX(Innings!S:S,MATCH(1,(TRIM(Innings!A:A)=TRIM(A335))*(TRIM(Innings!D:D)=TRIM(E335)),0))</f>
        <v>45</v>
      </c>
      <c r="AE335" t="str" cm="1">
        <f t="array" ref="AE335">INDEX(Innings!W:W,MATCH(1,(TRIM(Innings!A:A)=TRIM(A335))*(TRIM(Innings!D:D)=TRIM(E335)),0))</f>
        <v>NA</v>
      </c>
      <c r="AF335">
        <f>IF(UPPER(TRIM(E335))=UPPER(TRIM(W335)),1,0)</f>
        <v>0</v>
      </c>
      <c r="AG335">
        <f t="shared" si="11"/>
        <v>34.125</v>
      </c>
    </row>
    <row r="336" spans="1:33" x14ac:dyDescent="0.3">
      <c r="A336" t="s">
        <v>149</v>
      </c>
      <c r="B336">
        <v>1</v>
      </c>
      <c r="C336" t="s">
        <v>97</v>
      </c>
      <c r="D336" t="s">
        <v>122</v>
      </c>
      <c r="E336" t="s">
        <v>258</v>
      </c>
      <c r="F336" t="s">
        <v>109</v>
      </c>
      <c r="G336" t="s">
        <v>134</v>
      </c>
      <c r="H336">
        <v>16</v>
      </c>
      <c r="I336">
        <v>6</v>
      </c>
      <c r="J336">
        <v>266.67</v>
      </c>
      <c r="K336" t="s">
        <v>96</v>
      </c>
      <c r="L336">
        <v>42.67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 s="8">
        <v>42.67</v>
      </c>
      <c r="V336" s="8">
        <f t="shared" si="10"/>
        <v>4</v>
      </c>
      <c r="W336" t="str">
        <f>_xlfn.XLOOKUP(A336, Matches!A:A, Matches!L:L, "NA", 0)</f>
        <v>RCBW</v>
      </c>
      <c r="X336" t="str">
        <f>_xlfn.XLOOKUP(A336, Matches!A:A, Matches!J:J, "NA", 0)</f>
        <v>GGTW</v>
      </c>
      <c r="Y336" t="str">
        <f>_xlfn.XLOOKUP(A336, Matches!A:A, Matches!F:F, "NA", 0)</f>
        <v>Brabourne Stadium</v>
      </c>
      <c r="Z336" cm="1">
        <f t="array" ref="Z336">INDEX(Innings!F:F,MATCH(1,(TRIM(Innings!A:A)=TRIM(A336))*(TRIM(Innings!D:D)=TRIM(E336)),0))</f>
        <v>188</v>
      </c>
      <c r="AA336" cm="1">
        <f t="array" ref="AA336">INDEX(Innings!I:I,MATCH(1,(TRIM(Innings!A:A)=TRIM(A336))*(TRIM(Innings!D:D)=TRIM(E336)),0))</f>
        <v>9.4</v>
      </c>
      <c r="AB336" cm="1">
        <f t="array" ref="AB336">INDEX(Innings!J:J,MATCH(1,(TRIM(Innings!A:A)=TRIM(A336))*(TRIM(Innings!D:D)=TRIM(E336)),0))</f>
        <v>45</v>
      </c>
      <c r="AC336" cm="1">
        <f t="array" ref="AC336">INDEX(Innings!N:N,MATCH(1,(TRIM(Innings!A:A)=TRIM(A336))*(TRIM(Innings!D:D)=TRIM(E336)),0))</f>
        <v>53</v>
      </c>
      <c r="AD336" cm="1">
        <f t="array" ref="AD336">INDEX(Innings!S:S,MATCH(1,(TRIM(Innings!A:A)=TRIM(A336))*(TRIM(Innings!D:D)=TRIM(E336)),0))</f>
        <v>45</v>
      </c>
      <c r="AE336" t="str" cm="1">
        <f t="array" ref="AE336">INDEX(Innings!W:W,MATCH(1,(TRIM(Innings!A:A)=TRIM(A336))*(TRIM(Innings!D:D)=TRIM(E336)),0))</f>
        <v>NA</v>
      </c>
      <c r="AF336">
        <f>IF(UPPER(TRIM(E336))=UPPER(TRIM(W336)),1,0)</f>
        <v>0</v>
      </c>
      <c r="AG336">
        <f t="shared" si="11"/>
        <v>22.535</v>
      </c>
    </row>
    <row r="337" spans="1:33" x14ac:dyDescent="0.3">
      <c r="A337" t="s">
        <v>149</v>
      </c>
      <c r="B337">
        <v>1</v>
      </c>
      <c r="C337" t="s">
        <v>89</v>
      </c>
      <c r="D337" t="s">
        <v>116</v>
      </c>
      <c r="E337" t="s">
        <v>258</v>
      </c>
      <c r="F337" t="s">
        <v>83</v>
      </c>
      <c r="G337" t="s">
        <v>134</v>
      </c>
      <c r="H337">
        <v>12</v>
      </c>
      <c r="I337">
        <v>5</v>
      </c>
      <c r="J337">
        <v>240</v>
      </c>
      <c r="K337" t="s">
        <v>96</v>
      </c>
      <c r="L337">
        <v>28.8</v>
      </c>
      <c r="M337">
        <v>1</v>
      </c>
      <c r="N337">
        <v>0</v>
      </c>
      <c r="O337">
        <v>10</v>
      </c>
      <c r="P337">
        <v>0</v>
      </c>
      <c r="Q337">
        <v>10</v>
      </c>
      <c r="R337">
        <v>0</v>
      </c>
      <c r="S337">
        <v>0</v>
      </c>
      <c r="T337">
        <v>0</v>
      </c>
      <c r="U337" s="8">
        <v>28.8</v>
      </c>
      <c r="V337" s="8">
        <f t="shared" si="10"/>
        <v>3</v>
      </c>
      <c r="W337" t="str">
        <f>_xlfn.XLOOKUP(A337, Matches!A:A, Matches!L:L, "NA", 0)</f>
        <v>RCBW</v>
      </c>
      <c r="X337" t="str">
        <f>_xlfn.XLOOKUP(A337, Matches!A:A, Matches!J:J, "NA", 0)</f>
        <v>GGTW</v>
      </c>
      <c r="Y337" t="str">
        <f>_xlfn.XLOOKUP(A337, Matches!A:A, Matches!F:F, "NA", 0)</f>
        <v>Brabourne Stadium</v>
      </c>
      <c r="Z337" cm="1">
        <f t="array" ref="Z337">INDEX(Innings!F:F,MATCH(1,(TRIM(Innings!A:A)=TRIM(A337))*(TRIM(Innings!D:D)=TRIM(E337)),0))</f>
        <v>188</v>
      </c>
      <c r="AA337" cm="1">
        <f t="array" ref="AA337">INDEX(Innings!I:I,MATCH(1,(TRIM(Innings!A:A)=TRIM(A337))*(TRIM(Innings!D:D)=TRIM(E337)),0))</f>
        <v>9.4</v>
      </c>
      <c r="AB337" cm="1">
        <f t="array" ref="AB337">INDEX(Innings!J:J,MATCH(1,(TRIM(Innings!A:A)=TRIM(A337))*(TRIM(Innings!D:D)=TRIM(E337)),0))</f>
        <v>45</v>
      </c>
      <c r="AC337" cm="1">
        <f t="array" ref="AC337">INDEX(Innings!N:N,MATCH(1,(TRIM(Innings!A:A)=TRIM(A337))*(TRIM(Innings!D:D)=TRIM(E337)),0))</f>
        <v>53</v>
      </c>
      <c r="AD337" cm="1">
        <f t="array" ref="AD337">INDEX(Innings!S:S,MATCH(1,(TRIM(Innings!A:A)=TRIM(A337))*(TRIM(Innings!D:D)=TRIM(E337)),0))</f>
        <v>45</v>
      </c>
      <c r="AE337" t="str" cm="1">
        <f t="array" ref="AE337">INDEX(Innings!W:W,MATCH(1,(TRIM(Innings!A:A)=TRIM(A337))*(TRIM(Innings!D:D)=TRIM(E337)),0))</f>
        <v>NA</v>
      </c>
      <c r="AF337">
        <f>IF(UPPER(TRIM(E337))=UPPER(TRIM(W337)),1,0)</f>
        <v>0</v>
      </c>
      <c r="AG337">
        <f t="shared" si="11"/>
        <v>15.3</v>
      </c>
    </row>
    <row r="338" spans="1:33" x14ac:dyDescent="0.3">
      <c r="A338" t="s">
        <v>149</v>
      </c>
      <c r="B338">
        <v>1</v>
      </c>
      <c r="C338" t="s">
        <v>240</v>
      </c>
      <c r="D338" t="s">
        <v>243</v>
      </c>
      <c r="E338" t="s">
        <v>258</v>
      </c>
      <c r="F338" t="s">
        <v>85</v>
      </c>
      <c r="G338" t="s">
        <v>104</v>
      </c>
      <c r="H338">
        <v>0</v>
      </c>
      <c r="I338">
        <v>0</v>
      </c>
      <c r="J338">
        <v>0</v>
      </c>
      <c r="K338" t="s">
        <v>104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 s="8">
        <v>0</v>
      </c>
      <c r="V338" s="8">
        <f t="shared" si="10"/>
        <v>0</v>
      </c>
      <c r="W338" t="str">
        <f>_xlfn.XLOOKUP(A338, Matches!A:A, Matches!L:L, "NA", 0)</f>
        <v>RCBW</v>
      </c>
      <c r="X338" t="str">
        <f>_xlfn.XLOOKUP(A338, Matches!A:A, Matches!J:J, "NA", 0)</f>
        <v>GGTW</v>
      </c>
      <c r="Y338" t="str">
        <f>_xlfn.XLOOKUP(A338, Matches!A:A, Matches!F:F, "NA", 0)</f>
        <v>Brabourne Stadium</v>
      </c>
      <c r="Z338" cm="1">
        <f t="array" ref="Z338">INDEX(Innings!F:F,MATCH(1,(TRIM(Innings!A:A)=TRIM(A338))*(TRIM(Innings!D:D)=TRIM(E338)),0))</f>
        <v>188</v>
      </c>
      <c r="AA338" cm="1">
        <f t="array" ref="AA338">INDEX(Innings!I:I,MATCH(1,(TRIM(Innings!A:A)=TRIM(A338))*(TRIM(Innings!D:D)=TRIM(E338)),0))</f>
        <v>9.4</v>
      </c>
      <c r="AB338" cm="1">
        <f t="array" ref="AB338">INDEX(Innings!J:J,MATCH(1,(TRIM(Innings!A:A)=TRIM(A338))*(TRIM(Innings!D:D)=TRIM(E338)),0))</f>
        <v>45</v>
      </c>
      <c r="AC338" cm="1">
        <f t="array" ref="AC338">INDEX(Innings!N:N,MATCH(1,(TRIM(Innings!A:A)=TRIM(A338))*(TRIM(Innings!D:D)=TRIM(E338)),0))</f>
        <v>53</v>
      </c>
      <c r="AD338" cm="1">
        <f t="array" ref="AD338">INDEX(Innings!S:S,MATCH(1,(TRIM(Innings!A:A)=TRIM(A338))*(TRIM(Innings!D:D)=TRIM(E338)),0))</f>
        <v>45</v>
      </c>
      <c r="AE338" t="str" cm="1">
        <f t="array" ref="AE338">INDEX(Innings!W:W,MATCH(1,(TRIM(Innings!A:A)=TRIM(A338))*(TRIM(Innings!D:D)=TRIM(E338)),0))</f>
        <v>NA</v>
      </c>
      <c r="AF338">
        <f>IF(UPPER(TRIM(E338))=UPPER(TRIM(W338)),1,0)</f>
        <v>0</v>
      </c>
      <c r="AG338">
        <f t="shared" si="11"/>
        <v>0</v>
      </c>
    </row>
    <row r="339" spans="1:33" x14ac:dyDescent="0.3">
      <c r="A339" t="s">
        <v>149</v>
      </c>
      <c r="B339">
        <v>1</v>
      </c>
      <c r="C339" t="s">
        <v>242</v>
      </c>
      <c r="D339" t="s">
        <v>244</v>
      </c>
      <c r="E339" t="s">
        <v>258</v>
      </c>
      <c r="F339" t="s">
        <v>101</v>
      </c>
      <c r="G339" t="s">
        <v>104</v>
      </c>
      <c r="H339">
        <v>0</v>
      </c>
      <c r="I339">
        <v>0</v>
      </c>
      <c r="J339">
        <v>0</v>
      </c>
      <c r="K339" t="s">
        <v>104</v>
      </c>
      <c r="L339">
        <v>0</v>
      </c>
      <c r="M339">
        <v>4</v>
      </c>
      <c r="N339">
        <v>0</v>
      </c>
      <c r="O339">
        <v>32</v>
      </c>
      <c r="P339">
        <v>1</v>
      </c>
      <c r="Q339">
        <v>8</v>
      </c>
      <c r="R339">
        <v>20</v>
      </c>
      <c r="S339">
        <v>0</v>
      </c>
      <c r="T339">
        <v>0</v>
      </c>
      <c r="U339" s="8">
        <v>20</v>
      </c>
      <c r="V339" s="8">
        <f t="shared" si="10"/>
        <v>2</v>
      </c>
      <c r="W339" t="str">
        <f>_xlfn.XLOOKUP(A339, Matches!A:A, Matches!L:L, "NA", 0)</f>
        <v>RCBW</v>
      </c>
      <c r="X339" t="str">
        <f>_xlfn.XLOOKUP(A339, Matches!A:A, Matches!J:J, "NA", 0)</f>
        <v>GGTW</v>
      </c>
      <c r="Y339" t="str">
        <f>_xlfn.XLOOKUP(A339, Matches!A:A, Matches!F:F, "NA", 0)</f>
        <v>Brabourne Stadium</v>
      </c>
      <c r="Z339" cm="1">
        <f t="array" ref="Z339">INDEX(Innings!F:F,MATCH(1,(TRIM(Innings!A:A)=TRIM(A339))*(TRIM(Innings!D:D)=TRIM(E339)),0))</f>
        <v>188</v>
      </c>
      <c r="AA339" cm="1">
        <f t="array" ref="AA339">INDEX(Innings!I:I,MATCH(1,(TRIM(Innings!A:A)=TRIM(A339))*(TRIM(Innings!D:D)=TRIM(E339)),0))</f>
        <v>9.4</v>
      </c>
      <c r="AB339" cm="1">
        <f t="array" ref="AB339">INDEX(Innings!J:J,MATCH(1,(TRIM(Innings!A:A)=TRIM(A339))*(TRIM(Innings!D:D)=TRIM(E339)),0))</f>
        <v>45</v>
      </c>
      <c r="AC339" cm="1">
        <f t="array" ref="AC339">INDEX(Innings!N:N,MATCH(1,(TRIM(Innings!A:A)=TRIM(A339))*(TRIM(Innings!D:D)=TRIM(E339)),0))</f>
        <v>53</v>
      </c>
      <c r="AD339" cm="1">
        <f t="array" ref="AD339">INDEX(Innings!S:S,MATCH(1,(TRIM(Innings!A:A)=TRIM(A339))*(TRIM(Innings!D:D)=TRIM(E339)),0))</f>
        <v>45</v>
      </c>
      <c r="AE339" t="str" cm="1">
        <f t="array" ref="AE339">INDEX(Innings!W:W,MATCH(1,(TRIM(Innings!A:A)=TRIM(A339))*(TRIM(Innings!D:D)=TRIM(E339)),0))</f>
        <v>NA</v>
      </c>
      <c r="AF339">
        <f>IF(UPPER(TRIM(E339))=UPPER(TRIM(W339)),1,0)</f>
        <v>0</v>
      </c>
      <c r="AG339">
        <f t="shared" si="11"/>
        <v>10.6</v>
      </c>
    </row>
    <row r="340" spans="1:33" x14ac:dyDescent="0.3">
      <c r="A340" t="s">
        <v>149</v>
      </c>
      <c r="B340">
        <v>1</v>
      </c>
      <c r="C340" t="s">
        <v>102</v>
      </c>
      <c r="D340" t="s">
        <v>126</v>
      </c>
      <c r="E340" t="s">
        <v>258</v>
      </c>
      <c r="F340" t="s">
        <v>101</v>
      </c>
      <c r="G340" t="s">
        <v>104</v>
      </c>
      <c r="H340">
        <v>0</v>
      </c>
      <c r="I340">
        <v>0</v>
      </c>
      <c r="J340">
        <v>0</v>
      </c>
      <c r="K340" t="s">
        <v>104</v>
      </c>
      <c r="L340">
        <v>0</v>
      </c>
      <c r="M340">
        <v>3.3</v>
      </c>
      <c r="N340">
        <v>0</v>
      </c>
      <c r="O340">
        <v>25</v>
      </c>
      <c r="P340">
        <v>1</v>
      </c>
      <c r="Q340">
        <v>7.1</v>
      </c>
      <c r="R340">
        <v>20</v>
      </c>
      <c r="S340">
        <v>0</v>
      </c>
      <c r="T340">
        <v>0</v>
      </c>
      <c r="U340" s="8">
        <v>20</v>
      </c>
      <c r="V340" s="8">
        <f t="shared" si="10"/>
        <v>2</v>
      </c>
      <c r="W340" t="str">
        <f>_xlfn.XLOOKUP(A340, Matches!A:A, Matches!L:L, "NA", 0)</f>
        <v>RCBW</v>
      </c>
      <c r="X340" t="str">
        <f>_xlfn.XLOOKUP(A340, Matches!A:A, Matches!J:J, "NA", 0)</f>
        <v>GGTW</v>
      </c>
      <c r="Y340" t="str">
        <f>_xlfn.XLOOKUP(A340, Matches!A:A, Matches!F:F, "NA", 0)</f>
        <v>Brabourne Stadium</v>
      </c>
      <c r="Z340" cm="1">
        <f t="array" ref="Z340">INDEX(Innings!F:F,MATCH(1,(TRIM(Innings!A:A)=TRIM(A340))*(TRIM(Innings!D:D)=TRIM(E340)),0))</f>
        <v>188</v>
      </c>
      <c r="AA340" cm="1">
        <f t="array" ref="AA340">INDEX(Innings!I:I,MATCH(1,(TRIM(Innings!A:A)=TRIM(A340))*(TRIM(Innings!D:D)=TRIM(E340)),0))</f>
        <v>9.4</v>
      </c>
      <c r="AB340" cm="1">
        <f t="array" ref="AB340">INDEX(Innings!J:J,MATCH(1,(TRIM(Innings!A:A)=TRIM(A340))*(TRIM(Innings!D:D)=TRIM(E340)),0))</f>
        <v>45</v>
      </c>
      <c r="AC340" cm="1">
        <f t="array" ref="AC340">INDEX(Innings!N:N,MATCH(1,(TRIM(Innings!A:A)=TRIM(A340))*(TRIM(Innings!D:D)=TRIM(E340)),0))</f>
        <v>53</v>
      </c>
      <c r="AD340" cm="1">
        <f t="array" ref="AD340">INDEX(Innings!S:S,MATCH(1,(TRIM(Innings!A:A)=TRIM(A340))*(TRIM(Innings!D:D)=TRIM(E340)),0))</f>
        <v>45</v>
      </c>
      <c r="AE340" t="str" cm="1">
        <f t="array" ref="AE340">INDEX(Innings!W:W,MATCH(1,(TRIM(Innings!A:A)=TRIM(A340))*(TRIM(Innings!D:D)=TRIM(E340)),0))</f>
        <v>NA</v>
      </c>
      <c r="AF340">
        <f>IF(UPPER(TRIM(E340))=UPPER(TRIM(W340)),1,0)</f>
        <v>0</v>
      </c>
      <c r="AG340">
        <f t="shared" si="11"/>
        <v>10.6</v>
      </c>
    </row>
    <row r="341" spans="1:33" x14ac:dyDescent="0.3">
      <c r="A341" t="s">
        <v>149</v>
      </c>
      <c r="B341">
        <v>1</v>
      </c>
      <c r="C341" t="s">
        <v>105</v>
      </c>
      <c r="D341" t="s">
        <v>128</v>
      </c>
      <c r="E341" t="s">
        <v>258</v>
      </c>
      <c r="F341" t="s">
        <v>101</v>
      </c>
      <c r="G341" t="s">
        <v>104</v>
      </c>
      <c r="H341">
        <v>0</v>
      </c>
      <c r="I341">
        <v>0</v>
      </c>
      <c r="J341">
        <v>0</v>
      </c>
      <c r="K341" t="s">
        <v>104</v>
      </c>
      <c r="L341">
        <v>0</v>
      </c>
      <c r="M341">
        <v>3</v>
      </c>
      <c r="N341">
        <v>0</v>
      </c>
      <c r="O341">
        <v>50</v>
      </c>
      <c r="P341">
        <v>0</v>
      </c>
      <c r="Q341">
        <v>16.7</v>
      </c>
      <c r="R341">
        <v>0</v>
      </c>
      <c r="S341">
        <v>0</v>
      </c>
      <c r="T341">
        <v>0</v>
      </c>
      <c r="U341" s="8">
        <v>0</v>
      </c>
      <c r="V341" s="8">
        <f t="shared" si="10"/>
        <v>0</v>
      </c>
      <c r="W341" t="str">
        <f>_xlfn.XLOOKUP(A341, Matches!A:A, Matches!L:L, "NA", 0)</f>
        <v>RCBW</v>
      </c>
      <c r="X341" t="str">
        <f>_xlfn.XLOOKUP(A341, Matches!A:A, Matches!J:J, "NA", 0)</f>
        <v>GGTW</v>
      </c>
      <c r="Y341" t="str">
        <f>_xlfn.XLOOKUP(A341, Matches!A:A, Matches!F:F, "NA", 0)</f>
        <v>Brabourne Stadium</v>
      </c>
      <c r="Z341" cm="1">
        <f t="array" ref="Z341">INDEX(Innings!F:F,MATCH(1,(TRIM(Innings!A:A)=TRIM(A341))*(TRIM(Innings!D:D)=TRIM(E341)),0))</f>
        <v>188</v>
      </c>
      <c r="AA341" cm="1">
        <f t="array" ref="AA341">INDEX(Innings!I:I,MATCH(1,(TRIM(Innings!A:A)=TRIM(A341))*(TRIM(Innings!D:D)=TRIM(E341)),0))</f>
        <v>9.4</v>
      </c>
      <c r="AB341" cm="1">
        <f t="array" ref="AB341">INDEX(Innings!J:J,MATCH(1,(TRIM(Innings!A:A)=TRIM(A341))*(TRIM(Innings!D:D)=TRIM(E341)),0))</f>
        <v>45</v>
      </c>
      <c r="AC341" cm="1">
        <f t="array" ref="AC341">INDEX(Innings!N:N,MATCH(1,(TRIM(Innings!A:A)=TRIM(A341))*(TRIM(Innings!D:D)=TRIM(E341)),0))</f>
        <v>53</v>
      </c>
      <c r="AD341" cm="1">
        <f t="array" ref="AD341">INDEX(Innings!S:S,MATCH(1,(TRIM(Innings!A:A)=TRIM(A341))*(TRIM(Innings!D:D)=TRIM(E341)),0))</f>
        <v>45</v>
      </c>
      <c r="AE341" t="str" cm="1">
        <f t="array" ref="AE341">INDEX(Innings!W:W,MATCH(1,(TRIM(Innings!A:A)=TRIM(A341))*(TRIM(Innings!D:D)=TRIM(E341)),0))</f>
        <v>NA</v>
      </c>
      <c r="AF341">
        <f>IF(UPPER(TRIM(E341))=UPPER(TRIM(W341)),1,0)</f>
        <v>0</v>
      </c>
      <c r="AG341">
        <f t="shared" si="11"/>
        <v>0</v>
      </c>
    </row>
    <row r="342" spans="1:33" x14ac:dyDescent="0.3">
      <c r="A342" t="s">
        <v>149</v>
      </c>
      <c r="B342">
        <v>1</v>
      </c>
      <c r="C342" t="s">
        <v>310</v>
      </c>
      <c r="D342" t="s">
        <v>311</v>
      </c>
      <c r="E342" t="s">
        <v>258</v>
      </c>
      <c r="F342" t="s">
        <v>83</v>
      </c>
      <c r="G342" t="s">
        <v>104</v>
      </c>
      <c r="H342">
        <v>0</v>
      </c>
      <c r="I342">
        <v>0</v>
      </c>
      <c r="J342">
        <v>0</v>
      </c>
      <c r="K342" t="s">
        <v>104</v>
      </c>
      <c r="L342">
        <v>0</v>
      </c>
      <c r="M342">
        <v>1</v>
      </c>
      <c r="N342">
        <v>0</v>
      </c>
      <c r="O342">
        <v>18</v>
      </c>
      <c r="P342">
        <v>0</v>
      </c>
      <c r="Q342">
        <v>18</v>
      </c>
      <c r="R342">
        <v>0</v>
      </c>
      <c r="S342">
        <v>0</v>
      </c>
      <c r="T342">
        <v>0</v>
      </c>
      <c r="U342" s="8">
        <v>0</v>
      </c>
      <c r="V342" s="8">
        <f t="shared" si="10"/>
        <v>0</v>
      </c>
      <c r="W342" t="str">
        <f>_xlfn.XLOOKUP(A342, Matches!A:A, Matches!L:L, "NA", 0)</f>
        <v>RCBW</v>
      </c>
      <c r="X342" t="str">
        <f>_xlfn.XLOOKUP(A342, Matches!A:A, Matches!J:J, "NA", 0)</f>
        <v>GGTW</v>
      </c>
      <c r="Y342" t="str">
        <f>_xlfn.XLOOKUP(A342, Matches!A:A, Matches!F:F, "NA", 0)</f>
        <v>Brabourne Stadium</v>
      </c>
      <c r="Z342" cm="1">
        <f t="array" ref="Z342">INDEX(Innings!F:F,MATCH(1,(TRIM(Innings!A:A)=TRIM(A342))*(TRIM(Innings!D:D)=TRIM(E342)),0))</f>
        <v>188</v>
      </c>
      <c r="AA342" cm="1">
        <f t="array" ref="AA342">INDEX(Innings!I:I,MATCH(1,(TRIM(Innings!A:A)=TRIM(A342))*(TRIM(Innings!D:D)=TRIM(E342)),0))</f>
        <v>9.4</v>
      </c>
      <c r="AB342" cm="1">
        <f t="array" ref="AB342">INDEX(Innings!J:J,MATCH(1,(TRIM(Innings!A:A)=TRIM(A342))*(TRIM(Innings!D:D)=TRIM(E342)),0))</f>
        <v>45</v>
      </c>
      <c r="AC342" cm="1">
        <f t="array" ref="AC342">INDEX(Innings!N:N,MATCH(1,(TRIM(Innings!A:A)=TRIM(A342))*(TRIM(Innings!D:D)=TRIM(E342)),0))</f>
        <v>53</v>
      </c>
      <c r="AD342" cm="1">
        <f t="array" ref="AD342">INDEX(Innings!S:S,MATCH(1,(TRIM(Innings!A:A)=TRIM(A342))*(TRIM(Innings!D:D)=TRIM(E342)),0))</f>
        <v>45</v>
      </c>
      <c r="AE342" t="str" cm="1">
        <f t="array" ref="AE342">INDEX(Innings!W:W,MATCH(1,(TRIM(Innings!A:A)=TRIM(A342))*(TRIM(Innings!D:D)=TRIM(E342)),0))</f>
        <v>NA</v>
      </c>
      <c r="AF342">
        <f>IF(UPPER(TRIM(E342))=UPPER(TRIM(W342)),1,0)</f>
        <v>0</v>
      </c>
      <c r="AG342">
        <f t="shared" si="11"/>
        <v>0</v>
      </c>
    </row>
    <row r="343" spans="1:33" x14ac:dyDescent="0.3">
      <c r="A343" t="s">
        <v>149</v>
      </c>
      <c r="B343">
        <v>1</v>
      </c>
      <c r="C343" t="s">
        <v>165</v>
      </c>
      <c r="D343" t="s">
        <v>166</v>
      </c>
      <c r="E343" t="s">
        <v>159</v>
      </c>
      <c r="F343" t="s">
        <v>109</v>
      </c>
      <c r="G343" t="s">
        <v>86</v>
      </c>
      <c r="H343">
        <v>37</v>
      </c>
      <c r="I343">
        <v>31</v>
      </c>
      <c r="J343">
        <v>119.35</v>
      </c>
      <c r="K343" t="s">
        <v>246</v>
      </c>
      <c r="L343">
        <v>44.14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 s="8">
        <v>44.14</v>
      </c>
      <c r="V343" s="8">
        <f t="shared" si="10"/>
        <v>4</v>
      </c>
      <c r="W343" t="str">
        <f>_xlfn.XLOOKUP(A343, Matches!A:A, Matches!L:L, "NA", 0)</f>
        <v>RCBW</v>
      </c>
      <c r="X343" t="str">
        <f>_xlfn.XLOOKUP(A343, Matches!A:A, Matches!J:J, "NA", 0)</f>
        <v>GGTW</v>
      </c>
      <c r="Y343" t="str">
        <f>_xlfn.XLOOKUP(A343, Matches!A:A, Matches!F:F, "NA", 0)</f>
        <v>Brabourne Stadium</v>
      </c>
      <c r="Z343" cm="1">
        <f t="array" ref="Z343">INDEX(Innings!F:F,MATCH(1,(TRIM(Innings!A:A)=TRIM(A343))*(TRIM(Innings!D:D)=TRIM(E343)),0))</f>
        <v>189</v>
      </c>
      <c r="AA343" cm="1">
        <f t="array" ref="AA343">INDEX(Innings!I:I,MATCH(1,(TRIM(Innings!A:A)=TRIM(A343))*(TRIM(Innings!D:D)=TRIM(E343)),0))</f>
        <v>12.19</v>
      </c>
      <c r="AB343" cm="1">
        <f t="array" ref="AB343">INDEX(Innings!J:J,MATCH(1,(TRIM(Innings!A:A)=TRIM(A343))*(TRIM(Innings!D:D)=TRIM(E343)),0))</f>
        <v>77</v>
      </c>
      <c r="AC343" cm="1">
        <f t="array" ref="AC343">INDEX(Innings!N:N,MATCH(1,(TRIM(Innings!A:A)=TRIM(A343))*(TRIM(Innings!D:D)=TRIM(E343)),0))</f>
        <v>0</v>
      </c>
      <c r="AD343" cm="1">
        <f t="array" ref="AD343">INDEX(Innings!S:S,MATCH(1,(TRIM(Innings!A:A)=TRIM(A343))*(TRIM(Innings!D:D)=TRIM(E343)),0))</f>
        <v>28</v>
      </c>
      <c r="AE343" t="str" cm="1">
        <f t="array" ref="AE343">INDEX(Innings!W:W,MATCH(1,(TRIM(Innings!A:A)=TRIM(A343))*(TRIM(Innings!D:D)=TRIM(E343)),0))</f>
        <v>Successful</v>
      </c>
      <c r="AF343">
        <f>IF(UPPER(TRIM(E343))=UPPER(TRIM(W343)),1,0)</f>
        <v>1</v>
      </c>
      <c r="AG343">
        <f t="shared" si="11"/>
        <v>43.269999999999996</v>
      </c>
    </row>
    <row r="344" spans="1:33" x14ac:dyDescent="0.3">
      <c r="A344" t="s">
        <v>149</v>
      </c>
      <c r="B344">
        <v>1</v>
      </c>
      <c r="C344" t="s">
        <v>167</v>
      </c>
      <c r="D344" t="s">
        <v>168</v>
      </c>
      <c r="E344" t="s">
        <v>159</v>
      </c>
      <c r="F344" t="s">
        <v>169</v>
      </c>
      <c r="G344" t="s">
        <v>86</v>
      </c>
      <c r="H344">
        <v>99</v>
      </c>
      <c r="I344">
        <v>36</v>
      </c>
      <c r="J344">
        <v>275</v>
      </c>
      <c r="K344" t="s">
        <v>246</v>
      </c>
      <c r="L344">
        <v>272.25</v>
      </c>
      <c r="M344">
        <v>3</v>
      </c>
      <c r="N344">
        <v>0</v>
      </c>
      <c r="O344">
        <v>23</v>
      </c>
      <c r="P344">
        <v>1</v>
      </c>
      <c r="Q344">
        <v>7.7</v>
      </c>
      <c r="R344">
        <v>20</v>
      </c>
      <c r="S344">
        <v>0</v>
      </c>
      <c r="T344">
        <v>0</v>
      </c>
      <c r="U344" s="8">
        <v>292.25</v>
      </c>
      <c r="V344" s="8">
        <f t="shared" si="10"/>
        <v>10</v>
      </c>
      <c r="W344" t="str">
        <f>_xlfn.XLOOKUP(A344, Matches!A:A, Matches!L:L, "NA", 0)</f>
        <v>RCBW</v>
      </c>
      <c r="X344" t="str">
        <f>_xlfn.XLOOKUP(A344, Matches!A:A, Matches!J:J, "NA", 0)</f>
        <v>GGTW</v>
      </c>
      <c r="Y344" t="str">
        <f>_xlfn.XLOOKUP(A344, Matches!A:A, Matches!F:F, "NA", 0)</f>
        <v>Brabourne Stadium</v>
      </c>
      <c r="Z344" cm="1">
        <f t="array" ref="Z344">INDEX(Innings!F:F,MATCH(1,(TRIM(Innings!A:A)=TRIM(A344))*(TRIM(Innings!D:D)=TRIM(E344)),0))</f>
        <v>189</v>
      </c>
      <c r="AA344" cm="1">
        <f t="array" ref="AA344">INDEX(Innings!I:I,MATCH(1,(TRIM(Innings!A:A)=TRIM(A344))*(TRIM(Innings!D:D)=TRIM(E344)),0))</f>
        <v>12.19</v>
      </c>
      <c r="AB344" cm="1">
        <f t="array" ref="AB344">INDEX(Innings!J:J,MATCH(1,(TRIM(Innings!A:A)=TRIM(A344))*(TRIM(Innings!D:D)=TRIM(E344)),0))</f>
        <v>77</v>
      </c>
      <c r="AC344" cm="1">
        <f t="array" ref="AC344">INDEX(Innings!N:N,MATCH(1,(TRIM(Innings!A:A)=TRIM(A344))*(TRIM(Innings!D:D)=TRIM(E344)),0))</f>
        <v>0</v>
      </c>
      <c r="AD344" cm="1">
        <f t="array" ref="AD344">INDEX(Innings!S:S,MATCH(1,(TRIM(Innings!A:A)=TRIM(A344))*(TRIM(Innings!D:D)=TRIM(E344)),0))</f>
        <v>28</v>
      </c>
      <c r="AE344" t="str" cm="1">
        <f t="array" ref="AE344">INDEX(Innings!W:W,MATCH(1,(TRIM(Innings!A:A)=TRIM(A344))*(TRIM(Innings!D:D)=TRIM(E344)),0))</f>
        <v>Successful</v>
      </c>
      <c r="AF344">
        <f>IF(UPPER(TRIM(E344))=UPPER(TRIM(W344)),1,0)</f>
        <v>1</v>
      </c>
      <c r="AG344">
        <f t="shared" si="11"/>
        <v>169.125</v>
      </c>
    </row>
    <row r="345" spans="1:33" x14ac:dyDescent="0.3">
      <c r="A345" t="s">
        <v>149</v>
      </c>
      <c r="B345">
        <v>1</v>
      </c>
      <c r="C345" t="s">
        <v>174</v>
      </c>
      <c r="D345" t="s">
        <v>175</v>
      </c>
      <c r="E345" t="s">
        <v>159</v>
      </c>
      <c r="F345" t="s">
        <v>83</v>
      </c>
      <c r="G345" t="s">
        <v>134</v>
      </c>
      <c r="H345">
        <v>19</v>
      </c>
      <c r="I345">
        <v>12</v>
      </c>
      <c r="J345">
        <v>158.33000000000001</v>
      </c>
      <c r="K345" t="s">
        <v>96</v>
      </c>
      <c r="L345">
        <v>30.08</v>
      </c>
      <c r="M345">
        <v>3</v>
      </c>
      <c r="N345">
        <v>0</v>
      </c>
      <c r="O345">
        <v>25</v>
      </c>
      <c r="P345">
        <v>0</v>
      </c>
      <c r="Q345">
        <v>8.3000000000000007</v>
      </c>
      <c r="R345">
        <v>0</v>
      </c>
      <c r="S345">
        <v>0</v>
      </c>
      <c r="T345">
        <v>0</v>
      </c>
      <c r="U345" s="8">
        <v>30.08</v>
      </c>
      <c r="V345" s="8">
        <f t="shared" si="10"/>
        <v>3</v>
      </c>
      <c r="W345" t="str">
        <f>_xlfn.XLOOKUP(A345, Matches!A:A, Matches!L:L, "NA", 0)</f>
        <v>RCBW</v>
      </c>
      <c r="X345" t="str">
        <f>_xlfn.XLOOKUP(A345, Matches!A:A, Matches!J:J, "NA", 0)</f>
        <v>GGTW</v>
      </c>
      <c r="Y345" t="str">
        <f>_xlfn.XLOOKUP(A345, Matches!A:A, Matches!F:F, "NA", 0)</f>
        <v>Brabourne Stadium</v>
      </c>
      <c r="Z345" cm="1">
        <f t="array" ref="Z345">INDEX(Innings!F:F,MATCH(1,(TRIM(Innings!A:A)=TRIM(A345))*(TRIM(Innings!D:D)=TRIM(E345)),0))</f>
        <v>189</v>
      </c>
      <c r="AA345" cm="1">
        <f t="array" ref="AA345">INDEX(Innings!I:I,MATCH(1,(TRIM(Innings!A:A)=TRIM(A345))*(TRIM(Innings!D:D)=TRIM(E345)),0))</f>
        <v>12.19</v>
      </c>
      <c r="AB345" cm="1">
        <f t="array" ref="AB345">INDEX(Innings!J:J,MATCH(1,(TRIM(Innings!A:A)=TRIM(A345))*(TRIM(Innings!D:D)=TRIM(E345)),0))</f>
        <v>77</v>
      </c>
      <c r="AC345" cm="1">
        <f t="array" ref="AC345">INDEX(Innings!N:N,MATCH(1,(TRIM(Innings!A:A)=TRIM(A345))*(TRIM(Innings!D:D)=TRIM(E345)),0))</f>
        <v>0</v>
      </c>
      <c r="AD345" cm="1">
        <f t="array" ref="AD345">INDEX(Innings!S:S,MATCH(1,(TRIM(Innings!A:A)=TRIM(A345))*(TRIM(Innings!D:D)=TRIM(E345)),0))</f>
        <v>28</v>
      </c>
      <c r="AE345" t="str" cm="1">
        <f t="array" ref="AE345">INDEX(Innings!W:W,MATCH(1,(TRIM(Innings!A:A)=TRIM(A345))*(TRIM(Innings!D:D)=TRIM(E345)),0))</f>
        <v>Successful</v>
      </c>
      <c r="AF345">
        <f>IF(UPPER(TRIM(E345))=UPPER(TRIM(W345)),1,0)</f>
        <v>1</v>
      </c>
      <c r="AG345">
        <f t="shared" si="11"/>
        <v>35.94</v>
      </c>
    </row>
    <row r="346" spans="1:33" x14ac:dyDescent="0.3">
      <c r="A346" t="s">
        <v>149</v>
      </c>
      <c r="B346">
        <v>1</v>
      </c>
      <c r="C346" t="s">
        <v>170</v>
      </c>
      <c r="D346" t="s">
        <v>171</v>
      </c>
      <c r="E346" t="s">
        <v>159</v>
      </c>
      <c r="F346" t="s">
        <v>83</v>
      </c>
      <c r="G346" t="s">
        <v>134</v>
      </c>
      <c r="H346">
        <v>22</v>
      </c>
      <c r="I346">
        <v>15</v>
      </c>
      <c r="J346">
        <v>146.66999999999999</v>
      </c>
      <c r="K346" t="s">
        <v>96</v>
      </c>
      <c r="L346">
        <v>32.270000000000003</v>
      </c>
      <c r="M346">
        <v>1</v>
      </c>
      <c r="N346">
        <v>0</v>
      </c>
      <c r="O346">
        <v>12</v>
      </c>
      <c r="P346">
        <v>0</v>
      </c>
      <c r="Q346">
        <v>12</v>
      </c>
      <c r="R346">
        <v>0</v>
      </c>
      <c r="S346">
        <v>0</v>
      </c>
      <c r="T346">
        <v>0</v>
      </c>
      <c r="U346" s="8">
        <v>32.270000000000003</v>
      </c>
      <c r="V346" s="8">
        <f t="shared" si="10"/>
        <v>3</v>
      </c>
      <c r="W346" t="str">
        <f>_xlfn.XLOOKUP(A346, Matches!A:A, Matches!L:L, "NA", 0)</f>
        <v>RCBW</v>
      </c>
      <c r="X346" t="str">
        <f>_xlfn.XLOOKUP(A346, Matches!A:A, Matches!J:J, "NA", 0)</f>
        <v>GGTW</v>
      </c>
      <c r="Y346" t="str">
        <f>_xlfn.XLOOKUP(A346, Matches!A:A, Matches!F:F, "NA", 0)</f>
        <v>Brabourne Stadium</v>
      </c>
      <c r="Z346" cm="1">
        <f t="array" ref="Z346">INDEX(Innings!F:F,MATCH(1,(TRIM(Innings!A:A)=TRIM(A346))*(TRIM(Innings!D:D)=TRIM(E346)),0))</f>
        <v>189</v>
      </c>
      <c r="AA346" cm="1">
        <f t="array" ref="AA346">INDEX(Innings!I:I,MATCH(1,(TRIM(Innings!A:A)=TRIM(A346))*(TRIM(Innings!D:D)=TRIM(E346)),0))</f>
        <v>12.19</v>
      </c>
      <c r="AB346" cm="1">
        <f t="array" ref="AB346">INDEX(Innings!J:J,MATCH(1,(TRIM(Innings!A:A)=TRIM(A346))*(TRIM(Innings!D:D)=TRIM(E346)),0))</f>
        <v>77</v>
      </c>
      <c r="AC346" cm="1">
        <f t="array" ref="AC346">INDEX(Innings!N:N,MATCH(1,(TRIM(Innings!A:A)=TRIM(A346))*(TRIM(Innings!D:D)=TRIM(E346)),0))</f>
        <v>0</v>
      </c>
      <c r="AD346" cm="1">
        <f t="array" ref="AD346">INDEX(Innings!S:S,MATCH(1,(TRIM(Innings!A:A)=TRIM(A346))*(TRIM(Innings!D:D)=TRIM(E346)),0))</f>
        <v>28</v>
      </c>
      <c r="AE346" t="str" cm="1">
        <f t="array" ref="AE346">INDEX(Innings!W:W,MATCH(1,(TRIM(Innings!A:A)=TRIM(A346))*(TRIM(Innings!D:D)=TRIM(E346)),0))</f>
        <v>Successful</v>
      </c>
      <c r="AF346">
        <f>IF(UPPER(TRIM(E346))=UPPER(TRIM(W346)),1,0)</f>
        <v>1</v>
      </c>
      <c r="AG346">
        <f t="shared" si="11"/>
        <v>37.034999999999997</v>
      </c>
    </row>
    <row r="347" spans="1:33" x14ac:dyDescent="0.3">
      <c r="A347" t="s">
        <v>149</v>
      </c>
      <c r="B347">
        <v>1</v>
      </c>
      <c r="C347" t="s">
        <v>176</v>
      </c>
      <c r="D347" t="s">
        <v>177</v>
      </c>
      <c r="E347" t="s">
        <v>159</v>
      </c>
      <c r="F347" t="s">
        <v>85</v>
      </c>
      <c r="G347" t="s">
        <v>104</v>
      </c>
      <c r="H347">
        <v>0</v>
      </c>
      <c r="I347">
        <v>0</v>
      </c>
      <c r="J347">
        <v>0</v>
      </c>
      <c r="K347" t="s">
        <v>104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 s="8">
        <v>0</v>
      </c>
      <c r="V347" s="8">
        <f t="shared" si="10"/>
        <v>0</v>
      </c>
      <c r="W347" t="str">
        <f>_xlfn.XLOOKUP(A347, Matches!A:A, Matches!L:L, "NA", 0)</f>
        <v>RCBW</v>
      </c>
      <c r="X347" t="str">
        <f>_xlfn.XLOOKUP(A347, Matches!A:A, Matches!J:J, "NA", 0)</f>
        <v>GGTW</v>
      </c>
      <c r="Y347" t="str">
        <f>_xlfn.XLOOKUP(A347, Matches!A:A, Matches!F:F, "NA", 0)</f>
        <v>Brabourne Stadium</v>
      </c>
      <c r="Z347" cm="1">
        <f t="array" ref="Z347">INDEX(Innings!F:F,MATCH(1,(TRIM(Innings!A:A)=TRIM(A347))*(TRIM(Innings!D:D)=TRIM(E347)),0))</f>
        <v>189</v>
      </c>
      <c r="AA347" cm="1">
        <f t="array" ref="AA347">INDEX(Innings!I:I,MATCH(1,(TRIM(Innings!A:A)=TRIM(A347))*(TRIM(Innings!D:D)=TRIM(E347)),0))</f>
        <v>12.19</v>
      </c>
      <c r="AB347" cm="1">
        <f t="array" ref="AB347">INDEX(Innings!J:J,MATCH(1,(TRIM(Innings!A:A)=TRIM(A347))*(TRIM(Innings!D:D)=TRIM(E347)),0))</f>
        <v>77</v>
      </c>
      <c r="AC347" cm="1">
        <f t="array" ref="AC347">INDEX(Innings!N:N,MATCH(1,(TRIM(Innings!A:A)=TRIM(A347))*(TRIM(Innings!D:D)=TRIM(E347)),0))</f>
        <v>0</v>
      </c>
      <c r="AD347" cm="1">
        <f t="array" ref="AD347">INDEX(Innings!S:S,MATCH(1,(TRIM(Innings!A:A)=TRIM(A347))*(TRIM(Innings!D:D)=TRIM(E347)),0))</f>
        <v>28</v>
      </c>
      <c r="AE347" t="str" cm="1">
        <f t="array" ref="AE347">INDEX(Innings!W:W,MATCH(1,(TRIM(Innings!A:A)=TRIM(A347))*(TRIM(Innings!D:D)=TRIM(E347)),0))</f>
        <v>Successful</v>
      </c>
      <c r="AF347">
        <f>IF(UPPER(TRIM(E347))=UPPER(TRIM(W347)),1,0)</f>
        <v>1</v>
      </c>
      <c r="AG347">
        <f t="shared" si="11"/>
        <v>20</v>
      </c>
    </row>
    <row r="348" spans="1:33" x14ac:dyDescent="0.3">
      <c r="A348" t="s">
        <v>149</v>
      </c>
      <c r="B348">
        <v>1</v>
      </c>
      <c r="C348" t="s">
        <v>178</v>
      </c>
      <c r="D348" t="s">
        <v>179</v>
      </c>
      <c r="E348" t="s">
        <v>159</v>
      </c>
      <c r="F348" t="s">
        <v>83</v>
      </c>
      <c r="G348" t="s">
        <v>104</v>
      </c>
      <c r="H348">
        <v>0</v>
      </c>
      <c r="I348">
        <v>0</v>
      </c>
      <c r="J348">
        <v>0</v>
      </c>
      <c r="K348" t="s">
        <v>104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 s="8">
        <v>0</v>
      </c>
      <c r="V348" s="8">
        <f t="shared" si="10"/>
        <v>0</v>
      </c>
      <c r="W348" t="str">
        <f>_xlfn.XLOOKUP(A348, Matches!A:A, Matches!L:L, "NA", 0)</f>
        <v>RCBW</v>
      </c>
      <c r="X348" t="str">
        <f>_xlfn.XLOOKUP(A348, Matches!A:A, Matches!J:J, "NA", 0)</f>
        <v>GGTW</v>
      </c>
      <c r="Y348" t="str">
        <f>_xlfn.XLOOKUP(A348, Matches!A:A, Matches!F:F, "NA", 0)</f>
        <v>Brabourne Stadium</v>
      </c>
      <c r="Z348" cm="1">
        <f t="array" ref="Z348">INDEX(Innings!F:F,MATCH(1,(TRIM(Innings!A:A)=TRIM(A348))*(TRIM(Innings!D:D)=TRIM(E348)),0))</f>
        <v>189</v>
      </c>
      <c r="AA348" cm="1">
        <f t="array" ref="AA348">INDEX(Innings!I:I,MATCH(1,(TRIM(Innings!A:A)=TRIM(A348))*(TRIM(Innings!D:D)=TRIM(E348)),0))</f>
        <v>12.19</v>
      </c>
      <c r="AB348" cm="1">
        <f t="array" ref="AB348">INDEX(Innings!J:J,MATCH(1,(TRIM(Innings!A:A)=TRIM(A348))*(TRIM(Innings!D:D)=TRIM(E348)),0))</f>
        <v>77</v>
      </c>
      <c r="AC348" cm="1">
        <f t="array" ref="AC348">INDEX(Innings!N:N,MATCH(1,(TRIM(Innings!A:A)=TRIM(A348))*(TRIM(Innings!D:D)=TRIM(E348)),0))</f>
        <v>0</v>
      </c>
      <c r="AD348" cm="1">
        <f t="array" ref="AD348">INDEX(Innings!S:S,MATCH(1,(TRIM(Innings!A:A)=TRIM(A348))*(TRIM(Innings!D:D)=TRIM(E348)),0))</f>
        <v>28</v>
      </c>
      <c r="AE348" t="str" cm="1">
        <f t="array" ref="AE348">INDEX(Innings!W:W,MATCH(1,(TRIM(Innings!A:A)=TRIM(A348))*(TRIM(Innings!D:D)=TRIM(E348)),0))</f>
        <v>Successful</v>
      </c>
      <c r="AF348">
        <f>IF(UPPER(TRIM(E348))=UPPER(TRIM(W348)),1,0)</f>
        <v>1</v>
      </c>
      <c r="AG348">
        <f t="shared" si="11"/>
        <v>20</v>
      </c>
    </row>
    <row r="349" spans="1:33" x14ac:dyDescent="0.3">
      <c r="A349" t="s">
        <v>149</v>
      </c>
      <c r="B349">
        <v>1</v>
      </c>
      <c r="C349" t="s">
        <v>259</v>
      </c>
      <c r="D349" t="s">
        <v>257</v>
      </c>
      <c r="E349" t="s">
        <v>159</v>
      </c>
      <c r="F349" t="s">
        <v>91</v>
      </c>
      <c r="G349" t="s">
        <v>104</v>
      </c>
      <c r="H349">
        <v>0</v>
      </c>
      <c r="I349">
        <v>0</v>
      </c>
      <c r="J349">
        <v>0</v>
      </c>
      <c r="K349" t="s">
        <v>104</v>
      </c>
      <c r="L349">
        <v>0</v>
      </c>
      <c r="M349">
        <v>2</v>
      </c>
      <c r="N349">
        <v>0</v>
      </c>
      <c r="O349">
        <v>17</v>
      </c>
      <c r="P349">
        <v>2</v>
      </c>
      <c r="Q349">
        <v>8.5</v>
      </c>
      <c r="R349">
        <v>40</v>
      </c>
      <c r="S349">
        <v>0</v>
      </c>
      <c r="T349">
        <v>0</v>
      </c>
      <c r="U349" s="8">
        <v>40</v>
      </c>
      <c r="V349" s="8">
        <f t="shared" si="10"/>
        <v>4</v>
      </c>
      <c r="W349" t="str">
        <f>_xlfn.XLOOKUP(A349, Matches!A:A, Matches!L:L, "NA", 0)</f>
        <v>RCBW</v>
      </c>
      <c r="X349" t="str">
        <f>_xlfn.XLOOKUP(A349, Matches!A:A, Matches!J:J, "NA", 0)</f>
        <v>GGTW</v>
      </c>
      <c r="Y349" t="str">
        <f>_xlfn.XLOOKUP(A349, Matches!A:A, Matches!F:F, "NA", 0)</f>
        <v>Brabourne Stadium</v>
      </c>
      <c r="Z349" cm="1">
        <f t="array" ref="Z349">INDEX(Innings!F:F,MATCH(1,(TRIM(Innings!A:A)=TRIM(A349))*(TRIM(Innings!D:D)=TRIM(E349)),0))</f>
        <v>189</v>
      </c>
      <c r="AA349" cm="1">
        <f t="array" ref="AA349">INDEX(Innings!I:I,MATCH(1,(TRIM(Innings!A:A)=TRIM(A349))*(TRIM(Innings!D:D)=TRIM(E349)),0))</f>
        <v>12.19</v>
      </c>
      <c r="AB349" cm="1">
        <f t="array" ref="AB349">INDEX(Innings!J:J,MATCH(1,(TRIM(Innings!A:A)=TRIM(A349))*(TRIM(Innings!D:D)=TRIM(E349)),0))</f>
        <v>77</v>
      </c>
      <c r="AC349" cm="1">
        <f t="array" ref="AC349">INDEX(Innings!N:N,MATCH(1,(TRIM(Innings!A:A)=TRIM(A349))*(TRIM(Innings!D:D)=TRIM(E349)),0))</f>
        <v>0</v>
      </c>
      <c r="AD349" cm="1">
        <f t="array" ref="AD349">INDEX(Innings!S:S,MATCH(1,(TRIM(Innings!A:A)=TRIM(A349))*(TRIM(Innings!D:D)=TRIM(E349)),0))</f>
        <v>28</v>
      </c>
      <c r="AE349" t="str" cm="1">
        <f t="array" ref="AE349">INDEX(Innings!W:W,MATCH(1,(TRIM(Innings!A:A)=TRIM(A349))*(TRIM(Innings!D:D)=TRIM(E349)),0))</f>
        <v>Successful</v>
      </c>
      <c r="AF349">
        <f>IF(UPPER(TRIM(E349))=UPPER(TRIM(W349)),1,0)</f>
        <v>1</v>
      </c>
      <c r="AG349">
        <f t="shared" si="11"/>
        <v>41.2</v>
      </c>
    </row>
    <row r="350" spans="1:33" x14ac:dyDescent="0.3">
      <c r="A350" t="s">
        <v>149</v>
      </c>
      <c r="B350">
        <v>1</v>
      </c>
      <c r="C350" t="s">
        <v>172</v>
      </c>
      <c r="D350" t="s">
        <v>173</v>
      </c>
      <c r="E350" t="s">
        <v>159</v>
      </c>
      <c r="F350" t="s">
        <v>109</v>
      </c>
      <c r="G350" t="s">
        <v>104</v>
      </c>
      <c r="H350">
        <v>0</v>
      </c>
      <c r="I350">
        <v>0</v>
      </c>
      <c r="J350">
        <v>0</v>
      </c>
      <c r="K350" t="s">
        <v>104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 s="8">
        <v>0</v>
      </c>
      <c r="V350" s="8">
        <f t="shared" si="10"/>
        <v>0</v>
      </c>
      <c r="W350" t="str">
        <f>_xlfn.XLOOKUP(A350, Matches!A:A, Matches!L:L, "NA", 0)</f>
        <v>RCBW</v>
      </c>
      <c r="X350" t="str">
        <f>_xlfn.XLOOKUP(A350, Matches!A:A, Matches!J:J, "NA", 0)</f>
        <v>GGTW</v>
      </c>
      <c r="Y350" t="str">
        <f>_xlfn.XLOOKUP(A350, Matches!A:A, Matches!F:F, "NA", 0)</f>
        <v>Brabourne Stadium</v>
      </c>
      <c r="Z350" cm="1">
        <f t="array" ref="Z350">INDEX(Innings!F:F,MATCH(1,(TRIM(Innings!A:A)=TRIM(A350))*(TRIM(Innings!D:D)=TRIM(E350)),0))</f>
        <v>189</v>
      </c>
      <c r="AA350" cm="1">
        <f t="array" ref="AA350">INDEX(Innings!I:I,MATCH(1,(TRIM(Innings!A:A)=TRIM(A350))*(TRIM(Innings!D:D)=TRIM(E350)),0))</f>
        <v>12.19</v>
      </c>
      <c r="AB350" cm="1">
        <f t="array" ref="AB350">INDEX(Innings!J:J,MATCH(1,(TRIM(Innings!A:A)=TRIM(A350))*(TRIM(Innings!D:D)=TRIM(E350)),0))</f>
        <v>77</v>
      </c>
      <c r="AC350" cm="1">
        <f t="array" ref="AC350">INDEX(Innings!N:N,MATCH(1,(TRIM(Innings!A:A)=TRIM(A350))*(TRIM(Innings!D:D)=TRIM(E350)),0))</f>
        <v>0</v>
      </c>
      <c r="AD350" cm="1">
        <f t="array" ref="AD350">INDEX(Innings!S:S,MATCH(1,(TRIM(Innings!A:A)=TRIM(A350))*(TRIM(Innings!D:D)=TRIM(E350)),0))</f>
        <v>28</v>
      </c>
      <c r="AE350" t="str" cm="1">
        <f t="array" ref="AE350">INDEX(Innings!W:W,MATCH(1,(TRIM(Innings!A:A)=TRIM(A350))*(TRIM(Innings!D:D)=TRIM(E350)),0))</f>
        <v>Successful</v>
      </c>
      <c r="AF350">
        <f>IF(UPPER(TRIM(E350))=UPPER(TRIM(W350)),1,0)</f>
        <v>1</v>
      </c>
      <c r="AG350">
        <f t="shared" si="11"/>
        <v>20</v>
      </c>
    </row>
    <row r="351" spans="1:33" x14ac:dyDescent="0.3">
      <c r="A351" t="s">
        <v>149</v>
      </c>
      <c r="B351">
        <v>1</v>
      </c>
      <c r="C351" t="s">
        <v>184</v>
      </c>
      <c r="D351" t="s">
        <v>185</v>
      </c>
      <c r="E351" t="s">
        <v>159</v>
      </c>
      <c r="F351" t="s">
        <v>101</v>
      </c>
      <c r="G351" t="s">
        <v>104</v>
      </c>
      <c r="H351">
        <v>0</v>
      </c>
      <c r="I351">
        <v>0</v>
      </c>
      <c r="J351">
        <v>0</v>
      </c>
      <c r="K351" t="s">
        <v>104</v>
      </c>
      <c r="L351">
        <v>0</v>
      </c>
      <c r="M351">
        <v>4</v>
      </c>
      <c r="N351">
        <v>0</v>
      </c>
      <c r="O351">
        <v>53</v>
      </c>
      <c r="P351">
        <v>0</v>
      </c>
      <c r="Q351">
        <v>13.2</v>
      </c>
      <c r="R351">
        <v>0</v>
      </c>
      <c r="S351">
        <v>0</v>
      </c>
      <c r="T351">
        <v>0</v>
      </c>
      <c r="U351" s="8">
        <v>0</v>
      </c>
      <c r="V351" s="8">
        <f t="shared" si="10"/>
        <v>0</v>
      </c>
      <c r="W351" t="str">
        <f>_xlfn.XLOOKUP(A351, Matches!A:A, Matches!L:L, "NA", 0)</f>
        <v>RCBW</v>
      </c>
      <c r="X351" t="str">
        <f>_xlfn.XLOOKUP(A351, Matches!A:A, Matches!J:J, "NA", 0)</f>
        <v>GGTW</v>
      </c>
      <c r="Y351" t="str">
        <f>_xlfn.XLOOKUP(A351, Matches!A:A, Matches!F:F, "NA", 0)</f>
        <v>Brabourne Stadium</v>
      </c>
      <c r="Z351" cm="1">
        <f t="array" ref="Z351">INDEX(Innings!F:F,MATCH(1,(TRIM(Innings!A:A)=TRIM(A351))*(TRIM(Innings!D:D)=TRIM(E351)),0))</f>
        <v>189</v>
      </c>
      <c r="AA351" cm="1">
        <f t="array" ref="AA351">INDEX(Innings!I:I,MATCH(1,(TRIM(Innings!A:A)=TRIM(A351))*(TRIM(Innings!D:D)=TRIM(E351)),0))</f>
        <v>12.19</v>
      </c>
      <c r="AB351" cm="1">
        <f t="array" ref="AB351">INDEX(Innings!J:J,MATCH(1,(TRIM(Innings!A:A)=TRIM(A351))*(TRIM(Innings!D:D)=TRIM(E351)),0))</f>
        <v>77</v>
      </c>
      <c r="AC351" cm="1">
        <f t="array" ref="AC351">INDEX(Innings!N:N,MATCH(1,(TRIM(Innings!A:A)=TRIM(A351))*(TRIM(Innings!D:D)=TRIM(E351)),0))</f>
        <v>0</v>
      </c>
      <c r="AD351" cm="1">
        <f t="array" ref="AD351">INDEX(Innings!S:S,MATCH(1,(TRIM(Innings!A:A)=TRIM(A351))*(TRIM(Innings!D:D)=TRIM(E351)),0))</f>
        <v>28</v>
      </c>
      <c r="AE351" t="str" cm="1">
        <f t="array" ref="AE351">INDEX(Innings!W:W,MATCH(1,(TRIM(Innings!A:A)=TRIM(A351))*(TRIM(Innings!D:D)=TRIM(E351)),0))</f>
        <v>Successful</v>
      </c>
      <c r="AF351">
        <f>IF(UPPER(TRIM(E351))=UPPER(TRIM(W351)),1,0)</f>
        <v>1</v>
      </c>
      <c r="AG351">
        <f t="shared" si="11"/>
        <v>20</v>
      </c>
    </row>
    <row r="352" spans="1:33" x14ac:dyDescent="0.3">
      <c r="A352" t="s">
        <v>149</v>
      </c>
      <c r="B352">
        <v>1</v>
      </c>
      <c r="C352" t="s">
        <v>180</v>
      </c>
      <c r="D352" t="s">
        <v>181</v>
      </c>
      <c r="E352" t="s">
        <v>159</v>
      </c>
      <c r="F352" t="s">
        <v>91</v>
      </c>
      <c r="G352" t="s">
        <v>104</v>
      </c>
      <c r="H352">
        <v>0</v>
      </c>
      <c r="I352">
        <v>0</v>
      </c>
      <c r="J352">
        <v>0</v>
      </c>
      <c r="K352" t="s">
        <v>104</v>
      </c>
      <c r="L352">
        <v>0</v>
      </c>
      <c r="M352">
        <v>4</v>
      </c>
      <c r="N352">
        <v>0</v>
      </c>
      <c r="O352">
        <v>35</v>
      </c>
      <c r="P352">
        <v>0</v>
      </c>
      <c r="Q352">
        <v>8.8000000000000007</v>
      </c>
      <c r="R352">
        <v>0</v>
      </c>
      <c r="S352">
        <v>0</v>
      </c>
      <c r="T352">
        <v>0</v>
      </c>
      <c r="U352" s="8">
        <v>0</v>
      </c>
      <c r="V352" s="8">
        <f t="shared" si="10"/>
        <v>0</v>
      </c>
      <c r="W352" t="str">
        <f>_xlfn.XLOOKUP(A352, Matches!A:A, Matches!L:L, "NA", 0)</f>
        <v>RCBW</v>
      </c>
      <c r="X352" t="str">
        <f>_xlfn.XLOOKUP(A352, Matches!A:A, Matches!J:J, "NA", 0)</f>
        <v>GGTW</v>
      </c>
      <c r="Y352" t="str">
        <f>_xlfn.XLOOKUP(A352, Matches!A:A, Matches!F:F, "NA", 0)</f>
        <v>Brabourne Stadium</v>
      </c>
      <c r="Z352" cm="1">
        <f t="array" ref="Z352">INDEX(Innings!F:F,MATCH(1,(TRIM(Innings!A:A)=TRIM(A352))*(TRIM(Innings!D:D)=TRIM(E352)),0))</f>
        <v>189</v>
      </c>
      <c r="AA352" cm="1">
        <f t="array" ref="AA352">INDEX(Innings!I:I,MATCH(1,(TRIM(Innings!A:A)=TRIM(A352))*(TRIM(Innings!D:D)=TRIM(E352)),0))</f>
        <v>12.19</v>
      </c>
      <c r="AB352" cm="1">
        <f t="array" ref="AB352">INDEX(Innings!J:J,MATCH(1,(TRIM(Innings!A:A)=TRIM(A352))*(TRIM(Innings!D:D)=TRIM(E352)),0))</f>
        <v>77</v>
      </c>
      <c r="AC352" cm="1">
        <f t="array" ref="AC352">INDEX(Innings!N:N,MATCH(1,(TRIM(Innings!A:A)=TRIM(A352))*(TRIM(Innings!D:D)=TRIM(E352)),0))</f>
        <v>0</v>
      </c>
      <c r="AD352" cm="1">
        <f t="array" ref="AD352">INDEX(Innings!S:S,MATCH(1,(TRIM(Innings!A:A)=TRIM(A352))*(TRIM(Innings!D:D)=TRIM(E352)),0))</f>
        <v>28</v>
      </c>
      <c r="AE352" t="str" cm="1">
        <f t="array" ref="AE352">INDEX(Innings!W:W,MATCH(1,(TRIM(Innings!A:A)=TRIM(A352))*(TRIM(Innings!D:D)=TRIM(E352)),0))</f>
        <v>Successful</v>
      </c>
      <c r="AF352">
        <f>IF(UPPER(TRIM(E352))=UPPER(TRIM(W352)),1,0)</f>
        <v>1</v>
      </c>
      <c r="AG352">
        <f t="shared" si="11"/>
        <v>20</v>
      </c>
    </row>
    <row r="353" spans="1:33" x14ac:dyDescent="0.3">
      <c r="A353" t="s">
        <v>149</v>
      </c>
      <c r="B353">
        <v>1</v>
      </c>
      <c r="C353" t="s">
        <v>182</v>
      </c>
      <c r="D353" t="s">
        <v>183</v>
      </c>
      <c r="E353" t="s">
        <v>159</v>
      </c>
      <c r="F353" t="s">
        <v>101</v>
      </c>
      <c r="G353" t="s">
        <v>104</v>
      </c>
      <c r="H353">
        <v>0</v>
      </c>
      <c r="I353">
        <v>0</v>
      </c>
      <c r="J353">
        <v>0</v>
      </c>
      <c r="K353" t="s">
        <v>104</v>
      </c>
      <c r="L353">
        <v>0</v>
      </c>
      <c r="M353">
        <v>3</v>
      </c>
      <c r="N353">
        <v>0</v>
      </c>
      <c r="O353">
        <v>23</v>
      </c>
      <c r="P353">
        <v>1</v>
      </c>
      <c r="Q353">
        <v>7.7</v>
      </c>
      <c r="R353">
        <v>20</v>
      </c>
      <c r="S353">
        <v>0</v>
      </c>
      <c r="T353">
        <v>0</v>
      </c>
      <c r="U353" s="8">
        <v>20</v>
      </c>
      <c r="V353" s="8">
        <f t="shared" si="10"/>
        <v>2</v>
      </c>
      <c r="W353" t="str">
        <f>_xlfn.XLOOKUP(A353, Matches!A:A, Matches!L:L, "NA", 0)</f>
        <v>RCBW</v>
      </c>
      <c r="X353" t="str">
        <f>_xlfn.XLOOKUP(A353, Matches!A:A, Matches!J:J, "NA", 0)</f>
        <v>GGTW</v>
      </c>
      <c r="Y353" t="str">
        <f>_xlfn.XLOOKUP(A353, Matches!A:A, Matches!F:F, "NA", 0)</f>
        <v>Brabourne Stadium</v>
      </c>
      <c r="Z353" cm="1">
        <f t="array" ref="Z353">INDEX(Innings!F:F,MATCH(1,(TRIM(Innings!A:A)=TRIM(A353))*(TRIM(Innings!D:D)=TRIM(E353)),0))</f>
        <v>189</v>
      </c>
      <c r="AA353" cm="1">
        <f t="array" ref="AA353">INDEX(Innings!I:I,MATCH(1,(TRIM(Innings!A:A)=TRIM(A353))*(TRIM(Innings!D:D)=TRIM(E353)),0))</f>
        <v>12.19</v>
      </c>
      <c r="AB353" cm="1">
        <f t="array" ref="AB353">INDEX(Innings!J:J,MATCH(1,(TRIM(Innings!A:A)=TRIM(A353))*(TRIM(Innings!D:D)=TRIM(E353)),0))</f>
        <v>77</v>
      </c>
      <c r="AC353" cm="1">
        <f t="array" ref="AC353">INDEX(Innings!N:N,MATCH(1,(TRIM(Innings!A:A)=TRIM(A353))*(TRIM(Innings!D:D)=TRIM(E353)),0))</f>
        <v>0</v>
      </c>
      <c r="AD353" cm="1">
        <f t="array" ref="AD353">INDEX(Innings!S:S,MATCH(1,(TRIM(Innings!A:A)=TRIM(A353))*(TRIM(Innings!D:D)=TRIM(E353)),0))</f>
        <v>28</v>
      </c>
      <c r="AE353" t="str" cm="1">
        <f t="array" ref="AE353">INDEX(Innings!W:W,MATCH(1,(TRIM(Innings!A:A)=TRIM(A353))*(TRIM(Innings!D:D)=TRIM(E353)),0))</f>
        <v>Successful</v>
      </c>
      <c r="AF353">
        <f>IF(UPPER(TRIM(E353))=UPPER(TRIM(W353)),1,0)</f>
        <v>1</v>
      </c>
      <c r="AG353">
        <f t="shared" si="11"/>
        <v>30.6</v>
      </c>
    </row>
    <row r="354" spans="1:33" x14ac:dyDescent="0.3">
      <c r="A354" t="s">
        <v>150</v>
      </c>
      <c r="B354">
        <v>1</v>
      </c>
      <c r="C354" t="s">
        <v>239</v>
      </c>
      <c r="D354" t="s">
        <v>241</v>
      </c>
      <c r="E354" t="s">
        <v>258</v>
      </c>
      <c r="F354" t="s">
        <v>83</v>
      </c>
      <c r="G354" t="s">
        <v>86</v>
      </c>
      <c r="H354">
        <v>23</v>
      </c>
      <c r="I354">
        <v>13</v>
      </c>
      <c r="J354">
        <v>176.92</v>
      </c>
      <c r="K354" t="s">
        <v>246</v>
      </c>
      <c r="L354">
        <v>40.69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 s="8">
        <v>40.69</v>
      </c>
      <c r="V354" s="8">
        <f t="shared" si="10"/>
        <v>4</v>
      </c>
      <c r="W354" t="str">
        <f>_xlfn.XLOOKUP(A354, Matches!A:A, Matches!L:L, "NA", 0)</f>
        <v>UPW</v>
      </c>
      <c r="X354" t="str">
        <f>_xlfn.XLOOKUP(A354, Matches!A:A, Matches!J:J, "NA", 0)</f>
        <v>GGTW</v>
      </c>
      <c r="Y354" t="str">
        <f>_xlfn.XLOOKUP(A354, Matches!A:A, Matches!F:F, "NA", 0)</f>
        <v>Brabourne Stadium</v>
      </c>
      <c r="Z354" cm="1">
        <f t="array" ref="Z354">INDEX(Innings!F:F,MATCH(1,(TRIM(Innings!A:A)=TRIM(A354))*(TRIM(Innings!D:D)=TRIM(E354)),0))</f>
        <v>178</v>
      </c>
      <c r="AA354" cm="1">
        <f t="array" ref="AA354">INDEX(Innings!I:I,MATCH(1,(TRIM(Innings!A:A)=TRIM(A354))*(TRIM(Innings!D:D)=TRIM(E354)),0))</f>
        <v>8.9</v>
      </c>
      <c r="AB354" cm="1">
        <f t="array" ref="AB354">INDEX(Innings!J:J,MATCH(1,(TRIM(Innings!A:A)=TRIM(A354))*(TRIM(Innings!D:D)=TRIM(E354)),0))</f>
        <v>50</v>
      </c>
      <c r="AC354" cm="1">
        <f t="array" ref="AC354">INDEX(Innings!N:N,MATCH(1,(TRIM(Innings!A:A)=TRIM(A354))*(TRIM(Innings!D:D)=TRIM(E354)),0))</f>
        <v>35</v>
      </c>
      <c r="AD354" cm="1">
        <f t="array" ref="AD354">INDEX(Innings!S:S,MATCH(1,(TRIM(Innings!A:A)=TRIM(A354))*(TRIM(Innings!D:D)=TRIM(E354)),0))</f>
        <v>44</v>
      </c>
      <c r="AE354" t="str" cm="1">
        <f t="array" ref="AE354">INDEX(Innings!W:W,MATCH(1,(TRIM(Innings!A:A)=TRIM(A354))*(TRIM(Innings!D:D)=TRIM(E354)),0))</f>
        <v>NA</v>
      </c>
      <c r="AF354">
        <f>IF(UPPER(TRIM(E354))=UPPER(TRIM(W354)),1,0)</f>
        <v>0</v>
      </c>
      <c r="AG354">
        <f t="shared" si="11"/>
        <v>21.544999999999998</v>
      </c>
    </row>
    <row r="355" spans="1:33" x14ac:dyDescent="0.3">
      <c r="A355" t="s">
        <v>150</v>
      </c>
      <c r="B355">
        <v>1</v>
      </c>
      <c r="C355" t="s">
        <v>278</v>
      </c>
      <c r="D355" t="s">
        <v>293</v>
      </c>
      <c r="E355" t="s">
        <v>258</v>
      </c>
      <c r="F355" t="s">
        <v>109</v>
      </c>
      <c r="G355" t="s">
        <v>86</v>
      </c>
      <c r="H355">
        <v>17</v>
      </c>
      <c r="I355">
        <v>13</v>
      </c>
      <c r="J355">
        <v>130.77000000000001</v>
      </c>
      <c r="K355" t="s">
        <v>245</v>
      </c>
      <c r="L355">
        <v>22.23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 s="8">
        <v>22.23</v>
      </c>
      <c r="V355" s="8">
        <f t="shared" si="10"/>
        <v>2</v>
      </c>
      <c r="W355" t="str">
        <f>_xlfn.XLOOKUP(A355, Matches!A:A, Matches!L:L, "NA", 0)</f>
        <v>UPW</v>
      </c>
      <c r="X355" t="str">
        <f>_xlfn.XLOOKUP(A355, Matches!A:A, Matches!J:J, "NA", 0)</f>
        <v>GGTW</v>
      </c>
      <c r="Y355" t="str">
        <f>_xlfn.XLOOKUP(A355, Matches!A:A, Matches!F:F, "NA", 0)</f>
        <v>Brabourne Stadium</v>
      </c>
      <c r="Z355" cm="1">
        <f t="array" ref="Z355">INDEX(Innings!F:F,MATCH(1,(TRIM(Innings!A:A)=TRIM(A355))*(TRIM(Innings!D:D)=TRIM(E355)),0))</f>
        <v>178</v>
      </c>
      <c r="AA355" cm="1">
        <f t="array" ref="AA355">INDEX(Innings!I:I,MATCH(1,(TRIM(Innings!A:A)=TRIM(A355))*(TRIM(Innings!D:D)=TRIM(E355)),0))</f>
        <v>8.9</v>
      </c>
      <c r="AB355" cm="1">
        <f t="array" ref="AB355">INDEX(Innings!J:J,MATCH(1,(TRIM(Innings!A:A)=TRIM(A355))*(TRIM(Innings!D:D)=TRIM(E355)),0))</f>
        <v>50</v>
      </c>
      <c r="AC355" cm="1">
        <f t="array" ref="AC355">INDEX(Innings!N:N,MATCH(1,(TRIM(Innings!A:A)=TRIM(A355))*(TRIM(Innings!D:D)=TRIM(E355)),0))</f>
        <v>35</v>
      </c>
      <c r="AD355" cm="1">
        <f t="array" ref="AD355">INDEX(Innings!S:S,MATCH(1,(TRIM(Innings!A:A)=TRIM(A355))*(TRIM(Innings!D:D)=TRIM(E355)),0))</f>
        <v>44</v>
      </c>
      <c r="AE355" t="str" cm="1">
        <f t="array" ref="AE355">INDEX(Innings!W:W,MATCH(1,(TRIM(Innings!A:A)=TRIM(A355))*(TRIM(Innings!D:D)=TRIM(E355)),0))</f>
        <v>NA</v>
      </c>
      <c r="AF355">
        <f>IF(UPPER(TRIM(E355))=UPPER(TRIM(W355)),1,0)</f>
        <v>0</v>
      </c>
      <c r="AG355">
        <f t="shared" si="11"/>
        <v>11.715</v>
      </c>
    </row>
    <row r="356" spans="1:33" x14ac:dyDescent="0.3">
      <c r="A356" t="s">
        <v>150</v>
      </c>
      <c r="B356">
        <v>1</v>
      </c>
      <c r="C356" t="s">
        <v>89</v>
      </c>
      <c r="D356" t="s">
        <v>116</v>
      </c>
      <c r="E356" t="s">
        <v>258</v>
      </c>
      <c r="F356" t="s">
        <v>83</v>
      </c>
      <c r="G356" t="s">
        <v>92</v>
      </c>
      <c r="H356">
        <v>4</v>
      </c>
      <c r="I356">
        <v>7</v>
      </c>
      <c r="J356">
        <v>57.14</v>
      </c>
      <c r="K356" t="s">
        <v>246</v>
      </c>
      <c r="L356">
        <v>2.29</v>
      </c>
      <c r="M356">
        <v>1</v>
      </c>
      <c r="N356">
        <v>0</v>
      </c>
      <c r="O356">
        <v>17</v>
      </c>
      <c r="P356">
        <v>0</v>
      </c>
      <c r="Q356">
        <v>17</v>
      </c>
      <c r="R356">
        <v>0</v>
      </c>
      <c r="S356">
        <v>0</v>
      </c>
      <c r="T356">
        <v>0</v>
      </c>
      <c r="U356" s="8">
        <v>2.29</v>
      </c>
      <c r="V356" s="8">
        <f t="shared" si="10"/>
        <v>0</v>
      </c>
      <c r="W356" t="str">
        <f>_xlfn.XLOOKUP(A356, Matches!A:A, Matches!L:L, "NA", 0)</f>
        <v>UPW</v>
      </c>
      <c r="X356" t="str">
        <f>_xlfn.XLOOKUP(A356, Matches!A:A, Matches!J:J, "NA", 0)</f>
        <v>GGTW</v>
      </c>
      <c r="Y356" t="str">
        <f>_xlfn.XLOOKUP(A356, Matches!A:A, Matches!F:F, "NA", 0)</f>
        <v>Brabourne Stadium</v>
      </c>
      <c r="Z356" cm="1">
        <f t="array" ref="Z356">INDEX(Innings!F:F,MATCH(1,(TRIM(Innings!A:A)=TRIM(A356))*(TRIM(Innings!D:D)=TRIM(E356)),0))</f>
        <v>178</v>
      </c>
      <c r="AA356" cm="1">
        <f t="array" ref="AA356">INDEX(Innings!I:I,MATCH(1,(TRIM(Innings!A:A)=TRIM(A356))*(TRIM(Innings!D:D)=TRIM(E356)),0))</f>
        <v>8.9</v>
      </c>
      <c r="AB356" cm="1">
        <f t="array" ref="AB356">INDEX(Innings!J:J,MATCH(1,(TRIM(Innings!A:A)=TRIM(A356))*(TRIM(Innings!D:D)=TRIM(E356)),0))</f>
        <v>50</v>
      </c>
      <c r="AC356" cm="1">
        <f t="array" ref="AC356">INDEX(Innings!N:N,MATCH(1,(TRIM(Innings!A:A)=TRIM(A356))*(TRIM(Innings!D:D)=TRIM(E356)),0))</f>
        <v>35</v>
      </c>
      <c r="AD356" cm="1">
        <f t="array" ref="AD356">INDEX(Innings!S:S,MATCH(1,(TRIM(Innings!A:A)=TRIM(A356))*(TRIM(Innings!D:D)=TRIM(E356)),0))</f>
        <v>44</v>
      </c>
      <c r="AE356" t="str" cm="1">
        <f t="array" ref="AE356">INDEX(Innings!W:W,MATCH(1,(TRIM(Innings!A:A)=TRIM(A356))*(TRIM(Innings!D:D)=TRIM(E356)),0))</f>
        <v>NA</v>
      </c>
      <c r="AF356">
        <f>IF(UPPER(TRIM(E356))=UPPER(TRIM(W356)),1,0)</f>
        <v>0</v>
      </c>
      <c r="AG356">
        <f t="shared" si="11"/>
        <v>1.145</v>
      </c>
    </row>
    <row r="357" spans="1:33" x14ac:dyDescent="0.3">
      <c r="A357" t="s">
        <v>150</v>
      </c>
      <c r="B357">
        <v>1</v>
      </c>
      <c r="C357" t="s">
        <v>97</v>
      </c>
      <c r="D357" t="s">
        <v>122</v>
      </c>
      <c r="E357" t="s">
        <v>258</v>
      </c>
      <c r="F357" t="s">
        <v>109</v>
      </c>
      <c r="G357" t="s">
        <v>134</v>
      </c>
      <c r="H357">
        <v>57</v>
      </c>
      <c r="I357">
        <v>33</v>
      </c>
      <c r="J357">
        <v>172.73</v>
      </c>
      <c r="K357" t="s">
        <v>246</v>
      </c>
      <c r="L357">
        <v>98.46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 s="8">
        <v>98.46</v>
      </c>
      <c r="V357" s="8">
        <f t="shared" si="10"/>
        <v>10</v>
      </c>
      <c r="W357" t="str">
        <f>_xlfn.XLOOKUP(A357, Matches!A:A, Matches!L:L, "NA", 0)</f>
        <v>UPW</v>
      </c>
      <c r="X357" t="str">
        <f>_xlfn.XLOOKUP(A357, Matches!A:A, Matches!J:J, "NA", 0)</f>
        <v>GGTW</v>
      </c>
      <c r="Y357" t="str">
        <f>_xlfn.XLOOKUP(A357, Matches!A:A, Matches!F:F, "NA", 0)</f>
        <v>Brabourne Stadium</v>
      </c>
      <c r="Z357" cm="1">
        <f t="array" ref="Z357">INDEX(Innings!F:F,MATCH(1,(TRIM(Innings!A:A)=TRIM(A357))*(TRIM(Innings!D:D)=TRIM(E357)),0))</f>
        <v>178</v>
      </c>
      <c r="AA357" cm="1">
        <f t="array" ref="AA357">INDEX(Innings!I:I,MATCH(1,(TRIM(Innings!A:A)=TRIM(A357))*(TRIM(Innings!D:D)=TRIM(E357)),0))</f>
        <v>8.9</v>
      </c>
      <c r="AB357" cm="1">
        <f t="array" ref="AB357">INDEX(Innings!J:J,MATCH(1,(TRIM(Innings!A:A)=TRIM(A357))*(TRIM(Innings!D:D)=TRIM(E357)),0))</f>
        <v>50</v>
      </c>
      <c r="AC357" cm="1">
        <f t="array" ref="AC357">INDEX(Innings!N:N,MATCH(1,(TRIM(Innings!A:A)=TRIM(A357))*(TRIM(Innings!D:D)=TRIM(E357)),0))</f>
        <v>35</v>
      </c>
      <c r="AD357" cm="1">
        <f t="array" ref="AD357">INDEX(Innings!S:S,MATCH(1,(TRIM(Innings!A:A)=TRIM(A357))*(TRIM(Innings!D:D)=TRIM(E357)),0))</f>
        <v>44</v>
      </c>
      <c r="AE357" t="str" cm="1">
        <f t="array" ref="AE357">INDEX(Innings!W:W,MATCH(1,(TRIM(Innings!A:A)=TRIM(A357))*(TRIM(Innings!D:D)=TRIM(E357)),0))</f>
        <v>NA</v>
      </c>
      <c r="AF357">
        <f>IF(UPPER(TRIM(E357))=UPPER(TRIM(W357)),1,0)</f>
        <v>0</v>
      </c>
      <c r="AG357">
        <f t="shared" si="11"/>
        <v>52.23</v>
      </c>
    </row>
    <row r="358" spans="1:33" x14ac:dyDescent="0.3">
      <c r="A358" t="s">
        <v>150</v>
      </c>
      <c r="B358">
        <v>1</v>
      </c>
      <c r="C358" t="s">
        <v>93</v>
      </c>
      <c r="D358" t="s">
        <v>118</v>
      </c>
      <c r="E358" t="s">
        <v>258</v>
      </c>
      <c r="F358" t="s">
        <v>83</v>
      </c>
      <c r="G358" t="s">
        <v>134</v>
      </c>
      <c r="H358">
        <v>60</v>
      </c>
      <c r="I358">
        <v>39</v>
      </c>
      <c r="J358">
        <v>153.85</v>
      </c>
      <c r="K358" t="s">
        <v>248</v>
      </c>
      <c r="L358">
        <v>92.31</v>
      </c>
      <c r="M358">
        <v>4</v>
      </c>
      <c r="N358">
        <v>0</v>
      </c>
      <c r="O358">
        <v>29</v>
      </c>
      <c r="P358">
        <v>1</v>
      </c>
      <c r="Q358">
        <v>7.2</v>
      </c>
      <c r="R358">
        <v>20</v>
      </c>
      <c r="S358">
        <v>0</v>
      </c>
      <c r="T358">
        <v>0</v>
      </c>
      <c r="U358" s="8">
        <v>112.31</v>
      </c>
      <c r="V358" s="8">
        <f t="shared" si="10"/>
        <v>10</v>
      </c>
      <c r="W358" t="str">
        <f>_xlfn.XLOOKUP(A358, Matches!A:A, Matches!L:L, "NA", 0)</f>
        <v>UPW</v>
      </c>
      <c r="X358" t="str">
        <f>_xlfn.XLOOKUP(A358, Matches!A:A, Matches!J:J, "NA", 0)</f>
        <v>GGTW</v>
      </c>
      <c r="Y358" t="str">
        <f>_xlfn.XLOOKUP(A358, Matches!A:A, Matches!F:F, "NA", 0)</f>
        <v>Brabourne Stadium</v>
      </c>
      <c r="Z358" cm="1">
        <f t="array" ref="Z358">INDEX(Innings!F:F,MATCH(1,(TRIM(Innings!A:A)=TRIM(A358))*(TRIM(Innings!D:D)=TRIM(E358)),0))</f>
        <v>178</v>
      </c>
      <c r="AA358" cm="1">
        <f t="array" ref="AA358">INDEX(Innings!I:I,MATCH(1,(TRIM(Innings!A:A)=TRIM(A358))*(TRIM(Innings!D:D)=TRIM(E358)),0))</f>
        <v>8.9</v>
      </c>
      <c r="AB358" cm="1">
        <f t="array" ref="AB358">INDEX(Innings!J:J,MATCH(1,(TRIM(Innings!A:A)=TRIM(A358))*(TRIM(Innings!D:D)=TRIM(E358)),0))</f>
        <v>50</v>
      </c>
      <c r="AC358" cm="1">
        <f t="array" ref="AC358">INDEX(Innings!N:N,MATCH(1,(TRIM(Innings!A:A)=TRIM(A358))*(TRIM(Innings!D:D)=TRIM(E358)),0))</f>
        <v>35</v>
      </c>
      <c r="AD358" cm="1">
        <f t="array" ref="AD358">INDEX(Innings!S:S,MATCH(1,(TRIM(Innings!A:A)=TRIM(A358))*(TRIM(Innings!D:D)=TRIM(E358)),0))</f>
        <v>44</v>
      </c>
      <c r="AE358" t="str" cm="1">
        <f t="array" ref="AE358">INDEX(Innings!W:W,MATCH(1,(TRIM(Innings!A:A)=TRIM(A358))*(TRIM(Innings!D:D)=TRIM(E358)),0))</f>
        <v>NA</v>
      </c>
      <c r="AF358">
        <f>IF(UPPER(TRIM(E358))=UPPER(TRIM(W358)),1,0)</f>
        <v>0</v>
      </c>
      <c r="AG358">
        <f t="shared" si="11"/>
        <v>59.155000000000001</v>
      </c>
    </row>
    <row r="359" spans="1:33" x14ac:dyDescent="0.3">
      <c r="A359" t="s">
        <v>150</v>
      </c>
      <c r="B359">
        <v>1</v>
      </c>
      <c r="C359" t="s">
        <v>240</v>
      </c>
      <c r="D359" t="s">
        <v>243</v>
      </c>
      <c r="E359" t="s">
        <v>258</v>
      </c>
      <c r="F359" t="s">
        <v>85</v>
      </c>
      <c r="G359" t="s">
        <v>134</v>
      </c>
      <c r="H359">
        <v>8</v>
      </c>
      <c r="I359">
        <v>9</v>
      </c>
      <c r="J359">
        <v>88.89</v>
      </c>
      <c r="K359" t="s">
        <v>96</v>
      </c>
      <c r="L359">
        <v>7.11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 s="8">
        <v>7.11</v>
      </c>
      <c r="V359" s="8">
        <f t="shared" si="10"/>
        <v>1</v>
      </c>
      <c r="W359" t="str">
        <f>_xlfn.XLOOKUP(A359, Matches!A:A, Matches!L:L, "NA", 0)</f>
        <v>UPW</v>
      </c>
      <c r="X359" t="str">
        <f>_xlfn.XLOOKUP(A359, Matches!A:A, Matches!J:J, "NA", 0)</f>
        <v>GGTW</v>
      </c>
      <c r="Y359" t="str">
        <f>_xlfn.XLOOKUP(A359, Matches!A:A, Matches!F:F, "NA", 0)</f>
        <v>Brabourne Stadium</v>
      </c>
      <c r="Z359" cm="1">
        <f t="array" ref="Z359">INDEX(Innings!F:F,MATCH(1,(TRIM(Innings!A:A)=TRIM(A359))*(TRIM(Innings!D:D)=TRIM(E359)),0))</f>
        <v>178</v>
      </c>
      <c r="AA359" cm="1">
        <f t="array" ref="AA359">INDEX(Innings!I:I,MATCH(1,(TRIM(Innings!A:A)=TRIM(A359))*(TRIM(Innings!D:D)=TRIM(E359)),0))</f>
        <v>8.9</v>
      </c>
      <c r="AB359" cm="1">
        <f t="array" ref="AB359">INDEX(Innings!J:J,MATCH(1,(TRIM(Innings!A:A)=TRIM(A359))*(TRIM(Innings!D:D)=TRIM(E359)),0))</f>
        <v>50</v>
      </c>
      <c r="AC359" cm="1">
        <f t="array" ref="AC359">INDEX(Innings!N:N,MATCH(1,(TRIM(Innings!A:A)=TRIM(A359))*(TRIM(Innings!D:D)=TRIM(E359)),0))</f>
        <v>35</v>
      </c>
      <c r="AD359" cm="1">
        <f t="array" ref="AD359">INDEX(Innings!S:S,MATCH(1,(TRIM(Innings!A:A)=TRIM(A359))*(TRIM(Innings!D:D)=TRIM(E359)),0))</f>
        <v>44</v>
      </c>
      <c r="AE359" t="str" cm="1">
        <f t="array" ref="AE359">INDEX(Innings!W:W,MATCH(1,(TRIM(Innings!A:A)=TRIM(A359))*(TRIM(Innings!D:D)=TRIM(E359)),0))</f>
        <v>NA</v>
      </c>
      <c r="AF359">
        <f>IF(UPPER(TRIM(E359))=UPPER(TRIM(W359)),1,0)</f>
        <v>0</v>
      </c>
      <c r="AG359">
        <f t="shared" si="11"/>
        <v>3.855</v>
      </c>
    </row>
    <row r="360" spans="1:33" x14ac:dyDescent="0.3">
      <c r="A360" t="s">
        <v>150</v>
      </c>
      <c r="B360">
        <v>1</v>
      </c>
      <c r="C360" t="s">
        <v>310</v>
      </c>
      <c r="D360" t="s">
        <v>311</v>
      </c>
      <c r="E360" t="s">
        <v>258</v>
      </c>
      <c r="F360" t="s">
        <v>83</v>
      </c>
      <c r="G360" t="s">
        <v>135</v>
      </c>
      <c r="H360">
        <v>5</v>
      </c>
      <c r="I360">
        <v>5</v>
      </c>
      <c r="J360">
        <v>100</v>
      </c>
      <c r="K360" t="s">
        <v>247</v>
      </c>
      <c r="L360">
        <v>5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 s="8">
        <v>5</v>
      </c>
      <c r="V360" s="8">
        <f t="shared" si="10"/>
        <v>1</v>
      </c>
      <c r="W360" t="str">
        <f>_xlfn.XLOOKUP(A360, Matches!A:A, Matches!L:L, "NA", 0)</f>
        <v>UPW</v>
      </c>
      <c r="X360" t="str">
        <f>_xlfn.XLOOKUP(A360, Matches!A:A, Matches!J:J, "NA", 0)</f>
        <v>GGTW</v>
      </c>
      <c r="Y360" t="str">
        <f>_xlfn.XLOOKUP(A360, Matches!A:A, Matches!F:F, "NA", 0)</f>
        <v>Brabourne Stadium</v>
      </c>
      <c r="Z360" cm="1">
        <f t="array" ref="Z360">INDEX(Innings!F:F,MATCH(1,(TRIM(Innings!A:A)=TRIM(A360))*(TRIM(Innings!D:D)=TRIM(E360)),0))</f>
        <v>178</v>
      </c>
      <c r="AA360" cm="1">
        <f t="array" ref="AA360">INDEX(Innings!I:I,MATCH(1,(TRIM(Innings!A:A)=TRIM(A360))*(TRIM(Innings!D:D)=TRIM(E360)),0))</f>
        <v>8.9</v>
      </c>
      <c r="AB360" cm="1">
        <f t="array" ref="AB360">INDEX(Innings!J:J,MATCH(1,(TRIM(Innings!A:A)=TRIM(A360))*(TRIM(Innings!D:D)=TRIM(E360)),0))</f>
        <v>50</v>
      </c>
      <c r="AC360" cm="1">
        <f t="array" ref="AC360">INDEX(Innings!N:N,MATCH(1,(TRIM(Innings!A:A)=TRIM(A360))*(TRIM(Innings!D:D)=TRIM(E360)),0))</f>
        <v>35</v>
      </c>
      <c r="AD360" cm="1">
        <f t="array" ref="AD360">INDEX(Innings!S:S,MATCH(1,(TRIM(Innings!A:A)=TRIM(A360))*(TRIM(Innings!D:D)=TRIM(E360)),0))</f>
        <v>44</v>
      </c>
      <c r="AE360" t="str" cm="1">
        <f t="array" ref="AE360">INDEX(Innings!W:W,MATCH(1,(TRIM(Innings!A:A)=TRIM(A360))*(TRIM(Innings!D:D)=TRIM(E360)),0))</f>
        <v>NA</v>
      </c>
      <c r="AF360">
        <f>IF(UPPER(TRIM(E360))=UPPER(TRIM(W360)),1,0)</f>
        <v>0</v>
      </c>
      <c r="AG360">
        <f t="shared" si="11"/>
        <v>2.8</v>
      </c>
    </row>
    <row r="361" spans="1:33" x14ac:dyDescent="0.3">
      <c r="A361" t="s">
        <v>150</v>
      </c>
      <c r="B361">
        <v>1</v>
      </c>
      <c r="C361" t="s">
        <v>242</v>
      </c>
      <c r="D361" t="s">
        <v>244</v>
      </c>
      <c r="E361" t="s">
        <v>258</v>
      </c>
      <c r="F361" t="s">
        <v>109</v>
      </c>
      <c r="G361" t="s">
        <v>135</v>
      </c>
      <c r="H361">
        <v>1</v>
      </c>
      <c r="I361">
        <v>1</v>
      </c>
      <c r="J361">
        <v>100</v>
      </c>
      <c r="K361" t="s">
        <v>96</v>
      </c>
      <c r="L361">
        <v>1</v>
      </c>
      <c r="M361">
        <v>4</v>
      </c>
      <c r="N361">
        <v>0</v>
      </c>
      <c r="O361">
        <v>29</v>
      </c>
      <c r="P361">
        <v>2</v>
      </c>
      <c r="Q361">
        <v>7.2</v>
      </c>
      <c r="R361">
        <v>40</v>
      </c>
      <c r="S361">
        <v>0</v>
      </c>
      <c r="T361">
        <v>0</v>
      </c>
      <c r="U361" s="8">
        <v>41</v>
      </c>
      <c r="V361" s="8">
        <f t="shared" si="10"/>
        <v>4</v>
      </c>
      <c r="W361" t="str">
        <f>_xlfn.XLOOKUP(A361, Matches!A:A, Matches!L:L, "NA", 0)</f>
        <v>UPW</v>
      </c>
      <c r="X361" t="str">
        <f>_xlfn.XLOOKUP(A361, Matches!A:A, Matches!J:J, "NA", 0)</f>
        <v>GGTW</v>
      </c>
      <c r="Y361" t="str">
        <f>_xlfn.XLOOKUP(A361, Matches!A:A, Matches!F:F, "NA", 0)</f>
        <v>Brabourne Stadium</v>
      </c>
      <c r="Z361" cm="1">
        <f t="array" ref="Z361">INDEX(Innings!F:F,MATCH(1,(TRIM(Innings!A:A)=TRIM(A361))*(TRIM(Innings!D:D)=TRIM(E361)),0))</f>
        <v>178</v>
      </c>
      <c r="AA361" cm="1">
        <f t="array" ref="AA361">INDEX(Innings!I:I,MATCH(1,(TRIM(Innings!A:A)=TRIM(A361))*(TRIM(Innings!D:D)=TRIM(E361)),0))</f>
        <v>8.9</v>
      </c>
      <c r="AB361" cm="1">
        <f t="array" ref="AB361">INDEX(Innings!J:J,MATCH(1,(TRIM(Innings!A:A)=TRIM(A361))*(TRIM(Innings!D:D)=TRIM(E361)),0))</f>
        <v>50</v>
      </c>
      <c r="AC361" cm="1">
        <f t="array" ref="AC361">INDEX(Innings!N:N,MATCH(1,(TRIM(Innings!A:A)=TRIM(A361))*(TRIM(Innings!D:D)=TRIM(E361)),0))</f>
        <v>35</v>
      </c>
      <c r="AD361" cm="1">
        <f t="array" ref="AD361">INDEX(Innings!S:S,MATCH(1,(TRIM(Innings!A:A)=TRIM(A361))*(TRIM(Innings!D:D)=TRIM(E361)),0))</f>
        <v>44</v>
      </c>
      <c r="AE361" t="str" cm="1">
        <f t="array" ref="AE361">INDEX(Innings!W:W,MATCH(1,(TRIM(Innings!A:A)=TRIM(A361))*(TRIM(Innings!D:D)=TRIM(E361)),0))</f>
        <v>NA</v>
      </c>
      <c r="AF361">
        <f>IF(UPPER(TRIM(E361))=UPPER(TRIM(W361)),1,0)</f>
        <v>0</v>
      </c>
      <c r="AG361">
        <f t="shared" si="11"/>
        <v>21.7</v>
      </c>
    </row>
    <row r="362" spans="1:33" x14ac:dyDescent="0.3">
      <c r="A362" t="s">
        <v>150</v>
      </c>
      <c r="B362">
        <v>1</v>
      </c>
      <c r="C362" t="s">
        <v>102</v>
      </c>
      <c r="D362" t="s">
        <v>126</v>
      </c>
      <c r="E362" t="s">
        <v>258</v>
      </c>
      <c r="F362" t="s">
        <v>101</v>
      </c>
      <c r="G362" t="s">
        <v>104</v>
      </c>
      <c r="H362">
        <v>0</v>
      </c>
      <c r="I362">
        <v>0</v>
      </c>
      <c r="J362">
        <v>0</v>
      </c>
      <c r="K362" t="s">
        <v>104</v>
      </c>
      <c r="L362">
        <v>0</v>
      </c>
      <c r="M362">
        <v>3.5</v>
      </c>
      <c r="N362">
        <v>0</v>
      </c>
      <c r="O362">
        <v>47</v>
      </c>
      <c r="P362">
        <v>1</v>
      </c>
      <c r="Q362">
        <v>12.3</v>
      </c>
      <c r="R362">
        <v>20</v>
      </c>
      <c r="S362">
        <v>0</v>
      </c>
      <c r="T362">
        <v>0</v>
      </c>
      <c r="U362" s="8">
        <v>20</v>
      </c>
      <c r="V362" s="8">
        <f t="shared" si="10"/>
        <v>2</v>
      </c>
      <c r="W362" t="str">
        <f>_xlfn.XLOOKUP(A362, Matches!A:A, Matches!L:L, "NA", 0)</f>
        <v>UPW</v>
      </c>
      <c r="X362" t="str">
        <f>_xlfn.XLOOKUP(A362, Matches!A:A, Matches!J:J, "NA", 0)</f>
        <v>GGTW</v>
      </c>
      <c r="Y362" t="str">
        <f>_xlfn.XLOOKUP(A362, Matches!A:A, Matches!F:F, "NA", 0)</f>
        <v>Brabourne Stadium</v>
      </c>
      <c r="Z362" cm="1">
        <f t="array" ref="Z362">INDEX(Innings!F:F,MATCH(1,(TRIM(Innings!A:A)=TRIM(A362))*(TRIM(Innings!D:D)=TRIM(E362)),0))</f>
        <v>178</v>
      </c>
      <c r="AA362" cm="1">
        <f t="array" ref="AA362">INDEX(Innings!I:I,MATCH(1,(TRIM(Innings!A:A)=TRIM(A362))*(TRIM(Innings!D:D)=TRIM(E362)),0))</f>
        <v>8.9</v>
      </c>
      <c r="AB362" cm="1">
        <f t="array" ref="AB362">INDEX(Innings!J:J,MATCH(1,(TRIM(Innings!A:A)=TRIM(A362))*(TRIM(Innings!D:D)=TRIM(E362)),0))</f>
        <v>50</v>
      </c>
      <c r="AC362" cm="1">
        <f t="array" ref="AC362">INDEX(Innings!N:N,MATCH(1,(TRIM(Innings!A:A)=TRIM(A362))*(TRIM(Innings!D:D)=TRIM(E362)),0))</f>
        <v>35</v>
      </c>
      <c r="AD362" cm="1">
        <f t="array" ref="AD362">INDEX(Innings!S:S,MATCH(1,(TRIM(Innings!A:A)=TRIM(A362))*(TRIM(Innings!D:D)=TRIM(E362)),0))</f>
        <v>44</v>
      </c>
      <c r="AE362" t="str" cm="1">
        <f t="array" ref="AE362">INDEX(Innings!W:W,MATCH(1,(TRIM(Innings!A:A)=TRIM(A362))*(TRIM(Innings!D:D)=TRIM(E362)),0))</f>
        <v>NA</v>
      </c>
      <c r="AF362">
        <f>IF(UPPER(TRIM(E362))=UPPER(TRIM(W362)),1,0)</f>
        <v>0</v>
      </c>
      <c r="AG362">
        <f t="shared" si="11"/>
        <v>10.6</v>
      </c>
    </row>
    <row r="363" spans="1:33" x14ac:dyDescent="0.3">
      <c r="A363" t="s">
        <v>150</v>
      </c>
      <c r="B363">
        <v>1</v>
      </c>
      <c r="C363" t="s">
        <v>107</v>
      </c>
      <c r="D363" t="s">
        <v>130</v>
      </c>
      <c r="E363" t="s">
        <v>258</v>
      </c>
      <c r="F363" t="s">
        <v>101</v>
      </c>
      <c r="G363" t="s">
        <v>104</v>
      </c>
      <c r="H363">
        <v>0</v>
      </c>
      <c r="I363">
        <v>0</v>
      </c>
      <c r="J363">
        <v>0</v>
      </c>
      <c r="K363" t="s">
        <v>104</v>
      </c>
      <c r="L363">
        <v>0</v>
      </c>
      <c r="M363">
        <v>3</v>
      </c>
      <c r="N363">
        <v>0</v>
      </c>
      <c r="O363">
        <v>27</v>
      </c>
      <c r="P363">
        <v>1</v>
      </c>
      <c r="Q363">
        <v>9</v>
      </c>
      <c r="R363">
        <v>20</v>
      </c>
      <c r="S363">
        <v>0</v>
      </c>
      <c r="T363">
        <v>0</v>
      </c>
      <c r="U363" s="8">
        <v>20</v>
      </c>
      <c r="V363" s="8">
        <f t="shared" si="10"/>
        <v>2</v>
      </c>
      <c r="W363" t="str">
        <f>_xlfn.XLOOKUP(A363, Matches!A:A, Matches!L:L, "NA", 0)</f>
        <v>UPW</v>
      </c>
      <c r="X363" t="str">
        <f>_xlfn.XLOOKUP(A363, Matches!A:A, Matches!J:J, "NA", 0)</f>
        <v>GGTW</v>
      </c>
      <c r="Y363" t="str">
        <f>_xlfn.XLOOKUP(A363, Matches!A:A, Matches!F:F, "NA", 0)</f>
        <v>Brabourne Stadium</v>
      </c>
      <c r="Z363" cm="1">
        <f t="array" ref="Z363">INDEX(Innings!F:F,MATCH(1,(TRIM(Innings!A:A)=TRIM(A363))*(TRIM(Innings!D:D)=TRIM(E363)),0))</f>
        <v>178</v>
      </c>
      <c r="AA363" cm="1">
        <f t="array" ref="AA363">INDEX(Innings!I:I,MATCH(1,(TRIM(Innings!A:A)=TRIM(A363))*(TRIM(Innings!D:D)=TRIM(E363)),0))</f>
        <v>8.9</v>
      </c>
      <c r="AB363" cm="1">
        <f t="array" ref="AB363">INDEX(Innings!J:J,MATCH(1,(TRIM(Innings!A:A)=TRIM(A363))*(TRIM(Innings!D:D)=TRIM(E363)),0))</f>
        <v>50</v>
      </c>
      <c r="AC363" cm="1">
        <f t="array" ref="AC363">INDEX(Innings!N:N,MATCH(1,(TRIM(Innings!A:A)=TRIM(A363))*(TRIM(Innings!D:D)=TRIM(E363)),0))</f>
        <v>35</v>
      </c>
      <c r="AD363" cm="1">
        <f t="array" ref="AD363">INDEX(Innings!S:S,MATCH(1,(TRIM(Innings!A:A)=TRIM(A363))*(TRIM(Innings!D:D)=TRIM(E363)),0))</f>
        <v>44</v>
      </c>
      <c r="AE363" t="str" cm="1">
        <f t="array" ref="AE363">INDEX(Innings!W:W,MATCH(1,(TRIM(Innings!A:A)=TRIM(A363))*(TRIM(Innings!D:D)=TRIM(E363)),0))</f>
        <v>NA</v>
      </c>
      <c r="AF363">
        <f>IF(UPPER(TRIM(E363))=UPPER(TRIM(W363)),1,0)</f>
        <v>0</v>
      </c>
      <c r="AG363">
        <f t="shared" si="11"/>
        <v>10.6</v>
      </c>
    </row>
    <row r="364" spans="1:33" x14ac:dyDescent="0.3">
      <c r="A364" t="s">
        <v>150</v>
      </c>
      <c r="B364">
        <v>1</v>
      </c>
      <c r="C364" t="s">
        <v>105</v>
      </c>
      <c r="D364" t="s">
        <v>128</v>
      </c>
      <c r="E364" t="s">
        <v>258</v>
      </c>
      <c r="F364" t="s">
        <v>101</v>
      </c>
      <c r="G364" t="s">
        <v>104</v>
      </c>
      <c r="H364">
        <v>0</v>
      </c>
      <c r="I364">
        <v>0</v>
      </c>
      <c r="J364">
        <v>0</v>
      </c>
      <c r="K364" t="s">
        <v>104</v>
      </c>
      <c r="L364">
        <v>0</v>
      </c>
      <c r="M364">
        <v>4</v>
      </c>
      <c r="N364">
        <v>0</v>
      </c>
      <c r="O364">
        <v>32</v>
      </c>
      <c r="P364">
        <v>1</v>
      </c>
      <c r="Q364">
        <v>8</v>
      </c>
      <c r="R364">
        <v>20</v>
      </c>
      <c r="S364">
        <v>0</v>
      </c>
      <c r="T364">
        <v>0</v>
      </c>
      <c r="U364" s="8">
        <v>20</v>
      </c>
      <c r="V364" s="8">
        <f t="shared" si="10"/>
        <v>2</v>
      </c>
      <c r="W364" t="str">
        <f>_xlfn.XLOOKUP(A364, Matches!A:A, Matches!L:L, "NA", 0)</f>
        <v>UPW</v>
      </c>
      <c r="X364" t="str">
        <f>_xlfn.XLOOKUP(A364, Matches!A:A, Matches!J:J, "NA", 0)</f>
        <v>GGTW</v>
      </c>
      <c r="Y364" t="str">
        <f>_xlfn.XLOOKUP(A364, Matches!A:A, Matches!F:F, "NA", 0)</f>
        <v>Brabourne Stadium</v>
      </c>
      <c r="Z364" cm="1">
        <f t="array" ref="Z364">INDEX(Innings!F:F,MATCH(1,(TRIM(Innings!A:A)=TRIM(A364))*(TRIM(Innings!D:D)=TRIM(E364)),0))</f>
        <v>178</v>
      </c>
      <c r="AA364" cm="1">
        <f t="array" ref="AA364">INDEX(Innings!I:I,MATCH(1,(TRIM(Innings!A:A)=TRIM(A364))*(TRIM(Innings!D:D)=TRIM(E364)),0))</f>
        <v>8.9</v>
      </c>
      <c r="AB364" cm="1">
        <f t="array" ref="AB364">INDEX(Innings!J:J,MATCH(1,(TRIM(Innings!A:A)=TRIM(A364))*(TRIM(Innings!D:D)=TRIM(E364)),0))</f>
        <v>50</v>
      </c>
      <c r="AC364" cm="1">
        <f t="array" ref="AC364">INDEX(Innings!N:N,MATCH(1,(TRIM(Innings!A:A)=TRIM(A364))*(TRIM(Innings!D:D)=TRIM(E364)),0))</f>
        <v>35</v>
      </c>
      <c r="AD364" cm="1">
        <f t="array" ref="AD364">INDEX(Innings!S:S,MATCH(1,(TRIM(Innings!A:A)=TRIM(A364))*(TRIM(Innings!D:D)=TRIM(E364)),0))</f>
        <v>44</v>
      </c>
      <c r="AE364" t="str" cm="1">
        <f t="array" ref="AE364">INDEX(Innings!W:W,MATCH(1,(TRIM(Innings!A:A)=TRIM(A364))*(TRIM(Innings!D:D)=TRIM(E364)),0))</f>
        <v>NA</v>
      </c>
      <c r="AF364">
        <f>IF(UPPER(TRIM(E364))=UPPER(TRIM(W364)),1,0)</f>
        <v>0</v>
      </c>
      <c r="AG364">
        <f t="shared" si="11"/>
        <v>10.6</v>
      </c>
    </row>
    <row r="365" spans="1:33" x14ac:dyDescent="0.3">
      <c r="A365" t="s">
        <v>150</v>
      </c>
      <c r="B365">
        <v>1</v>
      </c>
      <c r="C365" t="s">
        <v>231</v>
      </c>
      <c r="D365" t="s">
        <v>232</v>
      </c>
      <c r="E365" t="s">
        <v>219</v>
      </c>
      <c r="F365" t="s">
        <v>109</v>
      </c>
      <c r="G365" t="s">
        <v>86</v>
      </c>
      <c r="H365">
        <v>7</v>
      </c>
      <c r="I365">
        <v>8</v>
      </c>
      <c r="J365">
        <v>87.5</v>
      </c>
      <c r="K365" t="s">
        <v>248</v>
      </c>
      <c r="L365">
        <v>6.13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 s="8">
        <v>6.13</v>
      </c>
      <c r="V365" s="8">
        <f t="shared" si="10"/>
        <v>1</v>
      </c>
      <c r="W365" t="str">
        <f>_xlfn.XLOOKUP(A365, Matches!A:A, Matches!L:L, "NA", 0)</f>
        <v>UPW</v>
      </c>
      <c r="X365" t="str">
        <f>_xlfn.XLOOKUP(A365, Matches!A:A, Matches!J:J, "NA", 0)</f>
        <v>GGTW</v>
      </c>
      <c r="Y365" t="str">
        <f>_xlfn.XLOOKUP(A365, Matches!A:A, Matches!F:F, "NA", 0)</f>
        <v>Brabourne Stadium</v>
      </c>
      <c r="Z365" cm="1">
        <f t="array" ref="Z365">INDEX(Innings!F:F,MATCH(1,(TRIM(Innings!A:A)=TRIM(A365))*(TRIM(Innings!D:D)=TRIM(E365)),0))</f>
        <v>181</v>
      </c>
      <c r="AA365" cm="1">
        <f t="array" ref="AA365">INDEX(Innings!I:I,MATCH(1,(TRIM(Innings!A:A)=TRIM(A365))*(TRIM(Innings!D:D)=TRIM(E365)),0))</f>
        <v>9.1300000000000008</v>
      </c>
      <c r="AB365" cm="1">
        <f t="array" ref="AB365">INDEX(Innings!J:J,MATCH(1,(TRIM(Innings!A:A)=TRIM(A365))*(TRIM(Innings!D:D)=TRIM(E365)),0))</f>
        <v>52</v>
      </c>
      <c r="AC365" cm="1">
        <f t="array" ref="AC365">INDEX(Innings!N:N,MATCH(1,(TRIM(Innings!A:A)=TRIM(A365))*(TRIM(Innings!D:D)=TRIM(E365)),0))</f>
        <v>43</v>
      </c>
      <c r="AD365" cm="1">
        <f t="array" ref="AD365">INDEX(Innings!S:S,MATCH(1,(TRIM(Innings!A:A)=TRIM(A365))*(TRIM(Innings!D:D)=TRIM(E365)),0))</f>
        <v>44</v>
      </c>
      <c r="AE365" t="str" cm="1">
        <f t="array" ref="AE365">INDEX(Innings!W:W,MATCH(1,(TRIM(Innings!A:A)=TRIM(A365))*(TRIM(Innings!D:D)=TRIM(E365)),0))</f>
        <v>Successful</v>
      </c>
      <c r="AF365">
        <f>IF(UPPER(TRIM(E365))=UPPER(TRIM(W365)),1,0)</f>
        <v>1</v>
      </c>
      <c r="AG365">
        <f t="shared" si="11"/>
        <v>23.364999999999998</v>
      </c>
    </row>
    <row r="366" spans="1:33" x14ac:dyDescent="0.3">
      <c r="A366" t="s">
        <v>150</v>
      </c>
      <c r="B366">
        <v>1</v>
      </c>
      <c r="C366" t="s">
        <v>217</v>
      </c>
      <c r="D366" t="s">
        <v>218</v>
      </c>
      <c r="E366" t="s">
        <v>219</v>
      </c>
      <c r="F366" t="s">
        <v>85</v>
      </c>
      <c r="G366" t="s">
        <v>86</v>
      </c>
      <c r="H366">
        <v>12</v>
      </c>
      <c r="I366">
        <v>8</v>
      </c>
      <c r="J366">
        <v>150</v>
      </c>
      <c r="K366" t="s">
        <v>246</v>
      </c>
      <c r="L366">
        <v>18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 s="8">
        <v>18</v>
      </c>
      <c r="V366" s="8">
        <f t="shared" si="10"/>
        <v>2</v>
      </c>
      <c r="W366" t="str">
        <f>_xlfn.XLOOKUP(A366, Matches!A:A, Matches!L:L, "NA", 0)</f>
        <v>UPW</v>
      </c>
      <c r="X366" t="str">
        <f>_xlfn.XLOOKUP(A366, Matches!A:A, Matches!J:J, "NA", 0)</f>
        <v>GGTW</v>
      </c>
      <c r="Y366" t="str">
        <f>_xlfn.XLOOKUP(A366, Matches!A:A, Matches!F:F, "NA", 0)</f>
        <v>Brabourne Stadium</v>
      </c>
      <c r="Z366" cm="1">
        <f t="array" ref="Z366">INDEX(Innings!F:F,MATCH(1,(TRIM(Innings!A:A)=TRIM(A366))*(TRIM(Innings!D:D)=TRIM(E366)),0))</f>
        <v>181</v>
      </c>
      <c r="AA366" cm="1">
        <f t="array" ref="AA366">INDEX(Innings!I:I,MATCH(1,(TRIM(Innings!A:A)=TRIM(A366))*(TRIM(Innings!D:D)=TRIM(E366)),0))</f>
        <v>9.1300000000000008</v>
      </c>
      <c r="AB366" cm="1">
        <f t="array" ref="AB366">INDEX(Innings!J:J,MATCH(1,(TRIM(Innings!A:A)=TRIM(A366))*(TRIM(Innings!D:D)=TRIM(E366)),0))</f>
        <v>52</v>
      </c>
      <c r="AC366" cm="1">
        <f t="array" ref="AC366">INDEX(Innings!N:N,MATCH(1,(TRIM(Innings!A:A)=TRIM(A366))*(TRIM(Innings!D:D)=TRIM(E366)),0))</f>
        <v>43</v>
      </c>
      <c r="AD366" cm="1">
        <f t="array" ref="AD366">INDEX(Innings!S:S,MATCH(1,(TRIM(Innings!A:A)=TRIM(A366))*(TRIM(Innings!D:D)=TRIM(E366)),0))</f>
        <v>44</v>
      </c>
      <c r="AE366" t="str" cm="1">
        <f t="array" ref="AE366">INDEX(Innings!W:W,MATCH(1,(TRIM(Innings!A:A)=TRIM(A366))*(TRIM(Innings!D:D)=TRIM(E366)),0))</f>
        <v>Successful</v>
      </c>
      <c r="AF366">
        <f>IF(UPPER(TRIM(E366))=UPPER(TRIM(W366)),1,0)</f>
        <v>1</v>
      </c>
      <c r="AG366">
        <f t="shared" si="11"/>
        <v>29.6</v>
      </c>
    </row>
    <row r="367" spans="1:33" x14ac:dyDescent="0.3">
      <c r="A367" t="s">
        <v>150</v>
      </c>
      <c r="B367">
        <v>1</v>
      </c>
      <c r="C367" t="s">
        <v>229</v>
      </c>
      <c r="D367" t="s">
        <v>230</v>
      </c>
      <c r="E367" t="s">
        <v>219</v>
      </c>
      <c r="F367" t="s">
        <v>109</v>
      </c>
      <c r="G367" t="s">
        <v>92</v>
      </c>
      <c r="H367">
        <v>4</v>
      </c>
      <c r="I367">
        <v>4</v>
      </c>
      <c r="J367">
        <v>100</v>
      </c>
      <c r="K367" t="s">
        <v>246</v>
      </c>
      <c r="L367">
        <v>4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 s="8">
        <v>4</v>
      </c>
      <c r="V367" s="8">
        <f t="shared" si="10"/>
        <v>0</v>
      </c>
      <c r="W367" t="str">
        <f>_xlfn.XLOOKUP(A367, Matches!A:A, Matches!L:L, "NA", 0)</f>
        <v>UPW</v>
      </c>
      <c r="X367" t="str">
        <f>_xlfn.XLOOKUP(A367, Matches!A:A, Matches!J:J, "NA", 0)</f>
        <v>GGTW</v>
      </c>
      <c r="Y367" t="str">
        <f>_xlfn.XLOOKUP(A367, Matches!A:A, Matches!F:F, "NA", 0)</f>
        <v>Brabourne Stadium</v>
      </c>
      <c r="Z367" cm="1">
        <f t="array" ref="Z367">INDEX(Innings!F:F,MATCH(1,(TRIM(Innings!A:A)=TRIM(A367))*(TRIM(Innings!D:D)=TRIM(E367)),0))</f>
        <v>181</v>
      </c>
      <c r="AA367" cm="1">
        <f t="array" ref="AA367">INDEX(Innings!I:I,MATCH(1,(TRIM(Innings!A:A)=TRIM(A367))*(TRIM(Innings!D:D)=TRIM(E367)),0))</f>
        <v>9.1300000000000008</v>
      </c>
      <c r="AB367" cm="1">
        <f t="array" ref="AB367">INDEX(Innings!J:J,MATCH(1,(TRIM(Innings!A:A)=TRIM(A367))*(TRIM(Innings!D:D)=TRIM(E367)),0))</f>
        <v>52</v>
      </c>
      <c r="AC367" cm="1">
        <f t="array" ref="AC367">INDEX(Innings!N:N,MATCH(1,(TRIM(Innings!A:A)=TRIM(A367))*(TRIM(Innings!D:D)=TRIM(E367)),0))</f>
        <v>43</v>
      </c>
      <c r="AD367" cm="1">
        <f t="array" ref="AD367">INDEX(Innings!S:S,MATCH(1,(TRIM(Innings!A:A)=TRIM(A367))*(TRIM(Innings!D:D)=TRIM(E367)),0))</f>
        <v>44</v>
      </c>
      <c r="AE367" t="str" cm="1">
        <f t="array" ref="AE367">INDEX(Innings!W:W,MATCH(1,(TRIM(Innings!A:A)=TRIM(A367))*(TRIM(Innings!D:D)=TRIM(E367)),0))</f>
        <v>Successful</v>
      </c>
      <c r="AF367">
        <f>IF(UPPER(TRIM(E367))=UPPER(TRIM(W367)),1,0)</f>
        <v>1</v>
      </c>
      <c r="AG367">
        <f t="shared" si="11"/>
        <v>22</v>
      </c>
    </row>
    <row r="368" spans="1:33" x14ac:dyDescent="0.3">
      <c r="A368" t="s">
        <v>150</v>
      </c>
      <c r="B368">
        <v>1</v>
      </c>
      <c r="C368" t="s">
        <v>222</v>
      </c>
      <c r="D368" t="s">
        <v>223</v>
      </c>
      <c r="E368" t="s">
        <v>219</v>
      </c>
      <c r="F368" t="s">
        <v>83</v>
      </c>
      <c r="G368" t="s">
        <v>92</v>
      </c>
      <c r="H368">
        <v>57</v>
      </c>
      <c r="I368">
        <v>38</v>
      </c>
      <c r="J368">
        <v>150</v>
      </c>
      <c r="K368" t="s">
        <v>246</v>
      </c>
      <c r="L368">
        <v>85.5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 s="8">
        <v>85.5</v>
      </c>
      <c r="V368" s="8">
        <f t="shared" si="10"/>
        <v>9</v>
      </c>
      <c r="W368" t="str">
        <f>_xlfn.XLOOKUP(A368, Matches!A:A, Matches!L:L, "NA", 0)</f>
        <v>UPW</v>
      </c>
      <c r="X368" t="str">
        <f>_xlfn.XLOOKUP(A368, Matches!A:A, Matches!J:J, "NA", 0)</f>
        <v>GGTW</v>
      </c>
      <c r="Y368" t="str">
        <f>_xlfn.XLOOKUP(A368, Matches!A:A, Matches!F:F, "NA", 0)</f>
        <v>Brabourne Stadium</v>
      </c>
      <c r="Z368" cm="1">
        <f t="array" ref="Z368">INDEX(Innings!F:F,MATCH(1,(TRIM(Innings!A:A)=TRIM(A368))*(TRIM(Innings!D:D)=TRIM(E368)),0))</f>
        <v>181</v>
      </c>
      <c r="AA368" cm="1">
        <f t="array" ref="AA368">INDEX(Innings!I:I,MATCH(1,(TRIM(Innings!A:A)=TRIM(A368))*(TRIM(Innings!D:D)=TRIM(E368)),0))</f>
        <v>9.1300000000000008</v>
      </c>
      <c r="AB368" cm="1">
        <f t="array" ref="AB368">INDEX(Innings!J:J,MATCH(1,(TRIM(Innings!A:A)=TRIM(A368))*(TRIM(Innings!D:D)=TRIM(E368)),0))</f>
        <v>52</v>
      </c>
      <c r="AC368" cm="1">
        <f t="array" ref="AC368">INDEX(Innings!N:N,MATCH(1,(TRIM(Innings!A:A)=TRIM(A368))*(TRIM(Innings!D:D)=TRIM(E368)),0))</f>
        <v>43</v>
      </c>
      <c r="AD368" cm="1">
        <f t="array" ref="AD368">INDEX(Innings!S:S,MATCH(1,(TRIM(Innings!A:A)=TRIM(A368))*(TRIM(Innings!D:D)=TRIM(E368)),0))</f>
        <v>44</v>
      </c>
      <c r="AE368" t="str" cm="1">
        <f t="array" ref="AE368">INDEX(Innings!W:W,MATCH(1,(TRIM(Innings!A:A)=TRIM(A368))*(TRIM(Innings!D:D)=TRIM(E368)),0))</f>
        <v>Successful</v>
      </c>
      <c r="AF368">
        <f>IF(UPPER(TRIM(E368))=UPPER(TRIM(W368)),1,0)</f>
        <v>1</v>
      </c>
      <c r="AG368">
        <f t="shared" si="11"/>
        <v>65.45</v>
      </c>
    </row>
    <row r="369" spans="1:33" x14ac:dyDescent="0.3">
      <c r="A369" t="s">
        <v>150</v>
      </c>
      <c r="B369">
        <v>1</v>
      </c>
      <c r="C369" t="s">
        <v>226</v>
      </c>
      <c r="D369" t="s">
        <v>211</v>
      </c>
      <c r="E369" t="s">
        <v>219</v>
      </c>
      <c r="F369" t="s">
        <v>83</v>
      </c>
      <c r="G369" t="s">
        <v>134</v>
      </c>
      <c r="H369">
        <v>72</v>
      </c>
      <c r="I369">
        <v>41</v>
      </c>
      <c r="J369">
        <v>175.61</v>
      </c>
      <c r="K369" t="s">
        <v>246</v>
      </c>
      <c r="L369">
        <v>126.44</v>
      </c>
      <c r="M369">
        <v>1</v>
      </c>
      <c r="N369">
        <v>0</v>
      </c>
      <c r="O369">
        <v>11</v>
      </c>
      <c r="P369">
        <v>0</v>
      </c>
      <c r="Q369">
        <v>11</v>
      </c>
      <c r="R369">
        <v>0</v>
      </c>
      <c r="S369">
        <v>0</v>
      </c>
      <c r="T369">
        <v>0</v>
      </c>
      <c r="U369" s="8">
        <v>126.44</v>
      </c>
      <c r="V369" s="8">
        <f t="shared" si="10"/>
        <v>10</v>
      </c>
      <c r="W369" t="str">
        <f>_xlfn.XLOOKUP(A369, Matches!A:A, Matches!L:L, "NA", 0)</f>
        <v>UPW</v>
      </c>
      <c r="X369" t="str">
        <f>_xlfn.XLOOKUP(A369, Matches!A:A, Matches!J:J, "NA", 0)</f>
        <v>GGTW</v>
      </c>
      <c r="Y369" t="str">
        <f>_xlfn.XLOOKUP(A369, Matches!A:A, Matches!F:F, "NA", 0)</f>
        <v>Brabourne Stadium</v>
      </c>
      <c r="Z369" cm="1">
        <f t="array" ref="Z369">INDEX(Innings!F:F,MATCH(1,(TRIM(Innings!A:A)=TRIM(A369))*(TRIM(Innings!D:D)=TRIM(E369)),0))</f>
        <v>181</v>
      </c>
      <c r="AA369" cm="1">
        <f t="array" ref="AA369">INDEX(Innings!I:I,MATCH(1,(TRIM(Innings!A:A)=TRIM(A369))*(TRIM(Innings!D:D)=TRIM(E369)),0))</f>
        <v>9.1300000000000008</v>
      </c>
      <c r="AB369" cm="1">
        <f t="array" ref="AB369">INDEX(Innings!J:J,MATCH(1,(TRIM(Innings!A:A)=TRIM(A369))*(TRIM(Innings!D:D)=TRIM(E369)),0))</f>
        <v>52</v>
      </c>
      <c r="AC369" cm="1">
        <f t="array" ref="AC369">INDEX(Innings!N:N,MATCH(1,(TRIM(Innings!A:A)=TRIM(A369))*(TRIM(Innings!D:D)=TRIM(E369)),0))</f>
        <v>43</v>
      </c>
      <c r="AD369" cm="1">
        <f t="array" ref="AD369">INDEX(Innings!S:S,MATCH(1,(TRIM(Innings!A:A)=TRIM(A369))*(TRIM(Innings!D:D)=TRIM(E369)),0))</f>
        <v>44</v>
      </c>
      <c r="AE369" t="str" cm="1">
        <f t="array" ref="AE369">INDEX(Innings!W:W,MATCH(1,(TRIM(Innings!A:A)=TRIM(A369))*(TRIM(Innings!D:D)=TRIM(E369)),0))</f>
        <v>Successful</v>
      </c>
      <c r="AF369">
        <f>IF(UPPER(TRIM(E369))=UPPER(TRIM(W369)),1,0)</f>
        <v>1</v>
      </c>
      <c r="AG369">
        <f t="shared" si="11"/>
        <v>86.22</v>
      </c>
    </row>
    <row r="370" spans="1:33" x14ac:dyDescent="0.3">
      <c r="A370" t="s">
        <v>150</v>
      </c>
      <c r="B370">
        <v>1</v>
      </c>
      <c r="C370" t="s">
        <v>224</v>
      </c>
      <c r="D370" t="s">
        <v>225</v>
      </c>
      <c r="E370" t="s">
        <v>219</v>
      </c>
      <c r="F370" t="s">
        <v>83</v>
      </c>
      <c r="G370" t="s">
        <v>134</v>
      </c>
      <c r="H370">
        <v>6</v>
      </c>
      <c r="I370">
        <v>5</v>
      </c>
      <c r="J370">
        <v>120</v>
      </c>
      <c r="K370" t="s">
        <v>246</v>
      </c>
      <c r="L370">
        <v>7.2</v>
      </c>
      <c r="M370">
        <v>4</v>
      </c>
      <c r="N370">
        <v>0</v>
      </c>
      <c r="O370">
        <v>49</v>
      </c>
      <c r="P370">
        <v>0</v>
      </c>
      <c r="Q370">
        <v>12.2</v>
      </c>
      <c r="R370">
        <v>0</v>
      </c>
      <c r="S370">
        <v>0</v>
      </c>
      <c r="T370">
        <v>0</v>
      </c>
      <c r="U370" s="8">
        <v>7.2</v>
      </c>
      <c r="V370" s="8">
        <f t="shared" si="10"/>
        <v>1</v>
      </c>
      <c r="W370" t="str">
        <f>_xlfn.XLOOKUP(A370, Matches!A:A, Matches!L:L, "NA", 0)</f>
        <v>UPW</v>
      </c>
      <c r="X370" t="str">
        <f>_xlfn.XLOOKUP(A370, Matches!A:A, Matches!J:J, "NA", 0)</f>
        <v>GGTW</v>
      </c>
      <c r="Y370" t="str">
        <f>_xlfn.XLOOKUP(A370, Matches!A:A, Matches!F:F, "NA", 0)</f>
        <v>Brabourne Stadium</v>
      </c>
      <c r="Z370" cm="1">
        <f t="array" ref="Z370">INDEX(Innings!F:F,MATCH(1,(TRIM(Innings!A:A)=TRIM(A370))*(TRIM(Innings!D:D)=TRIM(E370)),0))</f>
        <v>181</v>
      </c>
      <c r="AA370" cm="1">
        <f t="array" ref="AA370">INDEX(Innings!I:I,MATCH(1,(TRIM(Innings!A:A)=TRIM(A370))*(TRIM(Innings!D:D)=TRIM(E370)),0))</f>
        <v>9.1300000000000008</v>
      </c>
      <c r="AB370" cm="1">
        <f t="array" ref="AB370">INDEX(Innings!J:J,MATCH(1,(TRIM(Innings!A:A)=TRIM(A370))*(TRIM(Innings!D:D)=TRIM(E370)),0))</f>
        <v>52</v>
      </c>
      <c r="AC370" cm="1">
        <f t="array" ref="AC370">INDEX(Innings!N:N,MATCH(1,(TRIM(Innings!A:A)=TRIM(A370))*(TRIM(Innings!D:D)=TRIM(E370)),0))</f>
        <v>43</v>
      </c>
      <c r="AD370" cm="1">
        <f t="array" ref="AD370">INDEX(Innings!S:S,MATCH(1,(TRIM(Innings!A:A)=TRIM(A370))*(TRIM(Innings!D:D)=TRIM(E370)),0))</f>
        <v>44</v>
      </c>
      <c r="AE370" t="str" cm="1">
        <f t="array" ref="AE370">INDEX(Innings!W:W,MATCH(1,(TRIM(Innings!A:A)=TRIM(A370))*(TRIM(Innings!D:D)=TRIM(E370)),0))</f>
        <v>Successful</v>
      </c>
      <c r="AF370">
        <f>IF(UPPER(TRIM(E370))=UPPER(TRIM(W370)),1,0)</f>
        <v>1</v>
      </c>
      <c r="AG370">
        <f t="shared" si="11"/>
        <v>23.9</v>
      </c>
    </row>
    <row r="371" spans="1:33" x14ac:dyDescent="0.3">
      <c r="A371" t="s">
        <v>150</v>
      </c>
      <c r="B371">
        <v>1</v>
      </c>
      <c r="C371" t="s">
        <v>233</v>
      </c>
      <c r="D371" t="s">
        <v>234</v>
      </c>
      <c r="E371" t="s">
        <v>219</v>
      </c>
      <c r="F371" t="s">
        <v>101</v>
      </c>
      <c r="G371" t="s">
        <v>134</v>
      </c>
      <c r="H371">
        <v>19</v>
      </c>
      <c r="I371">
        <v>13</v>
      </c>
      <c r="J371">
        <v>146.15</v>
      </c>
      <c r="K371" t="s">
        <v>96</v>
      </c>
      <c r="L371">
        <v>27.77</v>
      </c>
      <c r="M371">
        <v>4</v>
      </c>
      <c r="N371">
        <v>0</v>
      </c>
      <c r="O371">
        <v>27</v>
      </c>
      <c r="P371">
        <v>1</v>
      </c>
      <c r="Q371">
        <v>6.8</v>
      </c>
      <c r="R371">
        <v>20</v>
      </c>
      <c r="S371">
        <v>0</v>
      </c>
      <c r="T371">
        <v>0</v>
      </c>
      <c r="U371" s="8">
        <v>47.77</v>
      </c>
      <c r="V371" s="8">
        <f t="shared" si="10"/>
        <v>5</v>
      </c>
      <c r="W371" t="str">
        <f>_xlfn.XLOOKUP(A371, Matches!A:A, Matches!L:L, "NA", 0)</f>
        <v>UPW</v>
      </c>
      <c r="X371" t="str">
        <f>_xlfn.XLOOKUP(A371, Matches!A:A, Matches!J:J, "NA", 0)</f>
        <v>GGTW</v>
      </c>
      <c r="Y371" t="str">
        <f>_xlfn.XLOOKUP(A371, Matches!A:A, Matches!F:F, "NA", 0)</f>
        <v>Brabourne Stadium</v>
      </c>
      <c r="Z371" cm="1">
        <f t="array" ref="Z371">INDEX(Innings!F:F,MATCH(1,(TRIM(Innings!A:A)=TRIM(A371))*(TRIM(Innings!D:D)=TRIM(E371)),0))</f>
        <v>181</v>
      </c>
      <c r="AA371" cm="1">
        <f t="array" ref="AA371">INDEX(Innings!I:I,MATCH(1,(TRIM(Innings!A:A)=TRIM(A371))*(TRIM(Innings!D:D)=TRIM(E371)),0))</f>
        <v>9.1300000000000008</v>
      </c>
      <c r="AB371" cm="1">
        <f t="array" ref="AB371">INDEX(Innings!J:J,MATCH(1,(TRIM(Innings!A:A)=TRIM(A371))*(TRIM(Innings!D:D)=TRIM(E371)),0))</f>
        <v>52</v>
      </c>
      <c r="AC371" cm="1">
        <f t="array" ref="AC371">INDEX(Innings!N:N,MATCH(1,(TRIM(Innings!A:A)=TRIM(A371))*(TRIM(Innings!D:D)=TRIM(E371)),0))</f>
        <v>43</v>
      </c>
      <c r="AD371" cm="1">
        <f t="array" ref="AD371">INDEX(Innings!S:S,MATCH(1,(TRIM(Innings!A:A)=TRIM(A371))*(TRIM(Innings!D:D)=TRIM(E371)),0))</f>
        <v>44</v>
      </c>
      <c r="AE371" t="str" cm="1">
        <f t="array" ref="AE371">INDEX(Innings!W:W,MATCH(1,(TRIM(Innings!A:A)=TRIM(A371))*(TRIM(Innings!D:D)=TRIM(E371)),0))</f>
        <v>Successful</v>
      </c>
      <c r="AF371">
        <f>IF(UPPER(TRIM(E371))=UPPER(TRIM(W371)),1,0)</f>
        <v>1</v>
      </c>
      <c r="AG371">
        <f t="shared" si="11"/>
        <v>45.385000000000005</v>
      </c>
    </row>
    <row r="372" spans="1:33" x14ac:dyDescent="0.3">
      <c r="A372" t="s">
        <v>150</v>
      </c>
      <c r="B372">
        <v>1</v>
      </c>
      <c r="C372" t="s">
        <v>227</v>
      </c>
      <c r="D372" t="s">
        <v>228</v>
      </c>
      <c r="E372" t="s">
        <v>219</v>
      </c>
      <c r="F372" t="s">
        <v>109</v>
      </c>
      <c r="G372" t="s">
        <v>135</v>
      </c>
      <c r="H372">
        <v>1</v>
      </c>
      <c r="I372">
        <v>2</v>
      </c>
      <c r="J372">
        <v>50</v>
      </c>
      <c r="K372" t="s">
        <v>256</v>
      </c>
      <c r="L372">
        <v>0.5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 s="8">
        <v>1.5</v>
      </c>
      <c r="V372" s="8">
        <f t="shared" si="10"/>
        <v>0</v>
      </c>
      <c r="W372" t="str">
        <f>_xlfn.XLOOKUP(A372, Matches!A:A, Matches!L:L, "NA", 0)</f>
        <v>UPW</v>
      </c>
      <c r="X372" t="str">
        <f>_xlfn.XLOOKUP(A372, Matches!A:A, Matches!J:J, "NA", 0)</f>
        <v>GGTW</v>
      </c>
      <c r="Y372" t="str">
        <f>_xlfn.XLOOKUP(A372, Matches!A:A, Matches!F:F, "NA", 0)</f>
        <v>Brabourne Stadium</v>
      </c>
      <c r="Z372" cm="1">
        <f t="array" ref="Z372">INDEX(Innings!F:F,MATCH(1,(TRIM(Innings!A:A)=TRIM(A372))*(TRIM(Innings!D:D)=TRIM(E372)),0))</f>
        <v>181</v>
      </c>
      <c r="AA372" cm="1">
        <f t="array" ref="AA372">INDEX(Innings!I:I,MATCH(1,(TRIM(Innings!A:A)=TRIM(A372))*(TRIM(Innings!D:D)=TRIM(E372)),0))</f>
        <v>9.1300000000000008</v>
      </c>
      <c r="AB372" cm="1">
        <f t="array" ref="AB372">INDEX(Innings!J:J,MATCH(1,(TRIM(Innings!A:A)=TRIM(A372))*(TRIM(Innings!D:D)=TRIM(E372)),0))</f>
        <v>52</v>
      </c>
      <c r="AC372" cm="1">
        <f t="array" ref="AC372">INDEX(Innings!N:N,MATCH(1,(TRIM(Innings!A:A)=TRIM(A372))*(TRIM(Innings!D:D)=TRIM(E372)),0))</f>
        <v>43</v>
      </c>
      <c r="AD372" cm="1">
        <f t="array" ref="AD372">INDEX(Innings!S:S,MATCH(1,(TRIM(Innings!A:A)=TRIM(A372))*(TRIM(Innings!D:D)=TRIM(E372)),0))</f>
        <v>44</v>
      </c>
      <c r="AE372" t="str" cm="1">
        <f t="array" ref="AE372">INDEX(Innings!W:W,MATCH(1,(TRIM(Innings!A:A)=TRIM(A372))*(TRIM(Innings!D:D)=TRIM(E372)),0))</f>
        <v>Successful</v>
      </c>
      <c r="AF372">
        <f>IF(UPPER(TRIM(E372))=UPPER(TRIM(W372)),1,0)</f>
        <v>1</v>
      </c>
      <c r="AG372">
        <f t="shared" si="11"/>
        <v>20.75</v>
      </c>
    </row>
    <row r="373" spans="1:33" x14ac:dyDescent="0.3">
      <c r="A373" t="s">
        <v>150</v>
      </c>
      <c r="B373">
        <v>1</v>
      </c>
      <c r="C373" t="s">
        <v>235</v>
      </c>
      <c r="D373" t="s">
        <v>236</v>
      </c>
      <c r="E373" t="s">
        <v>219</v>
      </c>
      <c r="F373" t="s">
        <v>101</v>
      </c>
      <c r="G373" t="s">
        <v>135</v>
      </c>
      <c r="H373">
        <v>0</v>
      </c>
      <c r="I373">
        <v>0</v>
      </c>
      <c r="J373">
        <v>0</v>
      </c>
      <c r="K373" t="s">
        <v>96</v>
      </c>
      <c r="L373">
        <v>0</v>
      </c>
      <c r="M373">
        <v>3</v>
      </c>
      <c r="N373">
        <v>0</v>
      </c>
      <c r="O373">
        <v>21</v>
      </c>
      <c r="P373">
        <v>1</v>
      </c>
      <c r="Q373">
        <v>7</v>
      </c>
      <c r="R373">
        <v>20</v>
      </c>
      <c r="S373">
        <v>0</v>
      </c>
      <c r="T373">
        <v>0</v>
      </c>
      <c r="U373" s="8">
        <v>20</v>
      </c>
      <c r="V373" s="8">
        <f t="shared" si="10"/>
        <v>2</v>
      </c>
      <c r="W373" t="str">
        <f>_xlfn.XLOOKUP(A373, Matches!A:A, Matches!L:L, "NA", 0)</f>
        <v>UPW</v>
      </c>
      <c r="X373" t="str">
        <f>_xlfn.XLOOKUP(A373, Matches!A:A, Matches!J:J, "NA", 0)</f>
        <v>GGTW</v>
      </c>
      <c r="Y373" t="str">
        <f>_xlfn.XLOOKUP(A373, Matches!A:A, Matches!F:F, "NA", 0)</f>
        <v>Brabourne Stadium</v>
      </c>
      <c r="Z373" cm="1">
        <f t="array" ref="Z373">INDEX(Innings!F:F,MATCH(1,(TRIM(Innings!A:A)=TRIM(A373))*(TRIM(Innings!D:D)=TRIM(E373)),0))</f>
        <v>181</v>
      </c>
      <c r="AA373" cm="1">
        <f t="array" ref="AA373">INDEX(Innings!I:I,MATCH(1,(TRIM(Innings!A:A)=TRIM(A373))*(TRIM(Innings!D:D)=TRIM(E373)),0))</f>
        <v>9.1300000000000008</v>
      </c>
      <c r="AB373" cm="1">
        <f t="array" ref="AB373">INDEX(Innings!J:J,MATCH(1,(TRIM(Innings!A:A)=TRIM(A373))*(TRIM(Innings!D:D)=TRIM(E373)),0))</f>
        <v>52</v>
      </c>
      <c r="AC373" cm="1">
        <f t="array" ref="AC373">INDEX(Innings!N:N,MATCH(1,(TRIM(Innings!A:A)=TRIM(A373))*(TRIM(Innings!D:D)=TRIM(E373)),0))</f>
        <v>43</v>
      </c>
      <c r="AD373" cm="1">
        <f t="array" ref="AD373">INDEX(Innings!S:S,MATCH(1,(TRIM(Innings!A:A)=TRIM(A373))*(TRIM(Innings!D:D)=TRIM(E373)),0))</f>
        <v>44</v>
      </c>
      <c r="AE373" t="str" cm="1">
        <f t="array" ref="AE373">INDEX(Innings!W:W,MATCH(1,(TRIM(Innings!A:A)=TRIM(A373))*(TRIM(Innings!D:D)=TRIM(E373)),0))</f>
        <v>Successful</v>
      </c>
      <c r="AF373">
        <f>IF(UPPER(TRIM(E373))=UPPER(TRIM(W373)),1,0)</f>
        <v>1</v>
      </c>
      <c r="AG373">
        <f t="shared" si="11"/>
        <v>30.6</v>
      </c>
    </row>
    <row r="374" spans="1:33" x14ac:dyDescent="0.3">
      <c r="A374" t="s">
        <v>150</v>
      </c>
      <c r="B374">
        <v>1</v>
      </c>
      <c r="C374" t="s">
        <v>314</v>
      </c>
      <c r="D374" t="s">
        <v>315</v>
      </c>
      <c r="E374" t="s">
        <v>219</v>
      </c>
      <c r="F374" t="s">
        <v>91</v>
      </c>
      <c r="G374" t="s">
        <v>104</v>
      </c>
      <c r="H374">
        <v>0</v>
      </c>
      <c r="I374">
        <v>0</v>
      </c>
      <c r="J374">
        <v>0</v>
      </c>
      <c r="K374" t="s">
        <v>104</v>
      </c>
      <c r="L374">
        <v>0</v>
      </c>
      <c r="M374">
        <v>4</v>
      </c>
      <c r="N374">
        <v>0</v>
      </c>
      <c r="O374">
        <v>29</v>
      </c>
      <c r="P374">
        <v>2</v>
      </c>
      <c r="Q374">
        <v>7.2</v>
      </c>
      <c r="R374">
        <v>40</v>
      </c>
      <c r="S374">
        <v>0</v>
      </c>
      <c r="T374">
        <v>0</v>
      </c>
      <c r="U374" s="8">
        <v>40</v>
      </c>
      <c r="V374" s="8">
        <f t="shared" si="10"/>
        <v>4</v>
      </c>
      <c r="W374" t="str">
        <f>_xlfn.XLOOKUP(A374, Matches!A:A, Matches!L:L, "NA", 0)</f>
        <v>UPW</v>
      </c>
      <c r="X374" t="str">
        <f>_xlfn.XLOOKUP(A374, Matches!A:A, Matches!J:J, "NA", 0)</f>
        <v>GGTW</v>
      </c>
      <c r="Y374" t="str">
        <f>_xlfn.XLOOKUP(A374, Matches!A:A, Matches!F:F, "NA", 0)</f>
        <v>Brabourne Stadium</v>
      </c>
      <c r="Z374" cm="1">
        <f t="array" ref="Z374">INDEX(Innings!F:F,MATCH(1,(TRIM(Innings!A:A)=TRIM(A374))*(TRIM(Innings!D:D)=TRIM(E374)),0))</f>
        <v>181</v>
      </c>
      <c r="AA374" cm="1">
        <f t="array" ref="AA374">INDEX(Innings!I:I,MATCH(1,(TRIM(Innings!A:A)=TRIM(A374))*(TRIM(Innings!D:D)=TRIM(E374)),0))</f>
        <v>9.1300000000000008</v>
      </c>
      <c r="AB374" cm="1">
        <f t="array" ref="AB374">INDEX(Innings!J:J,MATCH(1,(TRIM(Innings!A:A)=TRIM(A374))*(TRIM(Innings!D:D)=TRIM(E374)),0))</f>
        <v>52</v>
      </c>
      <c r="AC374" cm="1">
        <f t="array" ref="AC374">INDEX(Innings!N:N,MATCH(1,(TRIM(Innings!A:A)=TRIM(A374))*(TRIM(Innings!D:D)=TRIM(E374)),0))</f>
        <v>43</v>
      </c>
      <c r="AD374" cm="1">
        <f t="array" ref="AD374">INDEX(Innings!S:S,MATCH(1,(TRIM(Innings!A:A)=TRIM(A374))*(TRIM(Innings!D:D)=TRIM(E374)),0))</f>
        <v>44</v>
      </c>
      <c r="AE374" t="str" cm="1">
        <f t="array" ref="AE374">INDEX(Innings!W:W,MATCH(1,(TRIM(Innings!A:A)=TRIM(A374))*(TRIM(Innings!D:D)=TRIM(E374)),0))</f>
        <v>Successful</v>
      </c>
      <c r="AF374">
        <f>IF(UPPER(TRIM(E374))=UPPER(TRIM(W374)),1,0)</f>
        <v>1</v>
      </c>
      <c r="AG374">
        <f t="shared" si="11"/>
        <v>41.2</v>
      </c>
    </row>
    <row r="375" spans="1:33" x14ac:dyDescent="0.3">
      <c r="A375" t="s">
        <v>150</v>
      </c>
      <c r="B375">
        <v>1</v>
      </c>
      <c r="C375" t="s">
        <v>237</v>
      </c>
      <c r="D375" t="s">
        <v>238</v>
      </c>
      <c r="E375" t="s">
        <v>219</v>
      </c>
      <c r="F375" t="s">
        <v>101</v>
      </c>
      <c r="G375" t="s">
        <v>104</v>
      </c>
      <c r="H375">
        <v>0</v>
      </c>
      <c r="I375">
        <v>0</v>
      </c>
      <c r="J375">
        <v>0</v>
      </c>
      <c r="K375" t="s">
        <v>104</v>
      </c>
      <c r="L375">
        <v>0</v>
      </c>
      <c r="M375">
        <v>4</v>
      </c>
      <c r="N375">
        <v>0</v>
      </c>
      <c r="O375">
        <v>39</v>
      </c>
      <c r="P375">
        <v>2</v>
      </c>
      <c r="Q375">
        <v>9.8000000000000007</v>
      </c>
      <c r="R375">
        <v>40</v>
      </c>
      <c r="S375">
        <v>0</v>
      </c>
      <c r="T375">
        <v>0</v>
      </c>
      <c r="U375" s="8">
        <v>40</v>
      </c>
      <c r="V375" s="8">
        <f t="shared" si="10"/>
        <v>4</v>
      </c>
      <c r="W375" t="str">
        <f>_xlfn.XLOOKUP(A375, Matches!A:A, Matches!L:L, "NA", 0)</f>
        <v>UPW</v>
      </c>
      <c r="X375" t="str">
        <f>_xlfn.XLOOKUP(A375, Matches!A:A, Matches!J:J, "NA", 0)</f>
        <v>GGTW</v>
      </c>
      <c r="Y375" t="str">
        <f>_xlfn.XLOOKUP(A375, Matches!A:A, Matches!F:F, "NA", 0)</f>
        <v>Brabourne Stadium</v>
      </c>
      <c r="Z375" cm="1">
        <f t="array" ref="Z375">INDEX(Innings!F:F,MATCH(1,(TRIM(Innings!A:A)=TRIM(A375))*(TRIM(Innings!D:D)=TRIM(E375)),0))</f>
        <v>181</v>
      </c>
      <c r="AA375" cm="1">
        <f t="array" ref="AA375">INDEX(Innings!I:I,MATCH(1,(TRIM(Innings!A:A)=TRIM(A375))*(TRIM(Innings!D:D)=TRIM(E375)),0))</f>
        <v>9.1300000000000008</v>
      </c>
      <c r="AB375" cm="1">
        <f t="array" ref="AB375">INDEX(Innings!J:J,MATCH(1,(TRIM(Innings!A:A)=TRIM(A375))*(TRIM(Innings!D:D)=TRIM(E375)),0))</f>
        <v>52</v>
      </c>
      <c r="AC375" cm="1">
        <f t="array" ref="AC375">INDEX(Innings!N:N,MATCH(1,(TRIM(Innings!A:A)=TRIM(A375))*(TRIM(Innings!D:D)=TRIM(E375)),0))</f>
        <v>43</v>
      </c>
      <c r="AD375" cm="1">
        <f t="array" ref="AD375">INDEX(Innings!S:S,MATCH(1,(TRIM(Innings!A:A)=TRIM(A375))*(TRIM(Innings!D:D)=TRIM(E375)),0))</f>
        <v>44</v>
      </c>
      <c r="AE375" t="str" cm="1">
        <f t="array" ref="AE375">INDEX(Innings!W:W,MATCH(1,(TRIM(Innings!A:A)=TRIM(A375))*(TRIM(Innings!D:D)=TRIM(E375)),0))</f>
        <v>Successful</v>
      </c>
      <c r="AF375">
        <f>IF(UPPER(TRIM(E375))=UPPER(TRIM(W375)),1,0)</f>
        <v>1</v>
      </c>
      <c r="AG375">
        <f t="shared" si="11"/>
        <v>41.2</v>
      </c>
    </row>
    <row r="376" spans="1:33" x14ac:dyDescent="0.3">
      <c r="A376" t="s">
        <v>151</v>
      </c>
      <c r="B376">
        <v>1</v>
      </c>
      <c r="C376" t="s">
        <v>113</v>
      </c>
      <c r="D376" t="s">
        <v>84</v>
      </c>
      <c r="E376" t="s">
        <v>266</v>
      </c>
      <c r="F376" t="s">
        <v>85</v>
      </c>
      <c r="G376" t="s">
        <v>86</v>
      </c>
      <c r="H376">
        <v>1</v>
      </c>
      <c r="I376">
        <v>6</v>
      </c>
      <c r="J376">
        <v>16.670000000000002</v>
      </c>
      <c r="K376" t="s">
        <v>246</v>
      </c>
      <c r="L376">
        <v>0.17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 s="8">
        <v>0.17</v>
      </c>
      <c r="V376" s="8">
        <f t="shared" si="10"/>
        <v>0</v>
      </c>
      <c r="W376" t="str">
        <f>_xlfn.XLOOKUP(A376, Matches!A:A, Matches!L:L, "NA", 0)</f>
        <v>DCW</v>
      </c>
      <c r="X376" t="str">
        <f>_xlfn.XLOOKUP(A376, Matches!A:A, Matches!J:J, "NA", 0)</f>
        <v>DCW</v>
      </c>
      <c r="Y376" t="str">
        <f>_xlfn.XLOOKUP(A376, Matches!A:A, Matches!F:F, "NA", 0)</f>
        <v>Dr DY Patil Sports </v>
      </c>
      <c r="Z376" cm="1">
        <f t="array" ref="Z376">INDEX(Innings!F:F,MATCH(1,(TRIM(Innings!A:A)=TRIM(A376))*(TRIM(Innings!D:D)=TRIM(E376)),0))</f>
        <v>109</v>
      </c>
      <c r="AA376" cm="1">
        <f t="array" ref="AA376">INDEX(Innings!I:I,MATCH(1,(TRIM(Innings!A:A)=TRIM(A376))*(TRIM(Innings!D:D)=TRIM(E376)),0))</f>
        <v>5.45</v>
      </c>
      <c r="AB376" cm="1">
        <f t="array" ref="AB376">INDEX(Innings!J:J,MATCH(1,(TRIM(Innings!A:A)=TRIM(A376))*(TRIM(Innings!D:D)=TRIM(E376)),0))</f>
        <v>19</v>
      </c>
      <c r="AC376" cm="1">
        <f t="array" ref="AC376">INDEX(Innings!N:N,MATCH(1,(TRIM(Innings!A:A)=TRIM(A376))*(TRIM(Innings!D:D)=TRIM(E376)),0))</f>
        <v>24</v>
      </c>
      <c r="AD376" cm="1">
        <f t="array" ref="AD376">INDEX(Innings!S:S,MATCH(1,(TRIM(Innings!A:A)=TRIM(A376))*(TRIM(Innings!D:D)=TRIM(E376)),0))</f>
        <v>59</v>
      </c>
      <c r="AE376" t="str" cm="1">
        <f t="array" ref="AE376">INDEX(Innings!W:W,MATCH(1,(TRIM(Innings!A:A)=TRIM(A376))*(TRIM(Innings!D:D)=TRIM(E376)),0))</f>
        <v>NA</v>
      </c>
      <c r="AF376">
        <f>IF(UPPER(TRIM(E376))=UPPER(TRIM(W376)),1,0)</f>
        <v>0</v>
      </c>
      <c r="AG376">
        <f t="shared" si="11"/>
        <v>8.5000000000000006E-2</v>
      </c>
    </row>
    <row r="377" spans="1:33" x14ac:dyDescent="0.3">
      <c r="A377" t="s">
        <v>151</v>
      </c>
      <c r="B377">
        <v>1</v>
      </c>
      <c r="C377" t="s">
        <v>112</v>
      </c>
      <c r="D377" t="s">
        <v>88</v>
      </c>
      <c r="E377" t="s">
        <v>266</v>
      </c>
      <c r="F377" t="s">
        <v>83</v>
      </c>
      <c r="G377" t="s">
        <v>86</v>
      </c>
      <c r="H377">
        <v>5</v>
      </c>
      <c r="I377">
        <v>10</v>
      </c>
      <c r="J377">
        <v>50</v>
      </c>
      <c r="K377" t="s">
        <v>246</v>
      </c>
      <c r="L377">
        <v>2.5</v>
      </c>
      <c r="M377">
        <v>2</v>
      </c>
      <c r="N377">
        <v>0</v>
      </c>
      <c r="O377">
        <v>27</v>
      </c>
      <c r="P377">
        <v>1</v>
      </c>
      <c r="Q377">
        <v>13.5</v>
      </c>
      <c r="R377">
        <v>10</v>
      </c>
      <c r="S377">
        <v>0</v>
      </c>
      <c r="T377">
        <v>0</v>
      </c>
      <c r="U377" s="8">
        <v>12.5</v>
      </c>
      <c r="V377" s="8">
        <f t="shared" si="10"/>
        <v>1</v>
      </c>
      <c r="W377" t="str">
        <f>_xlfn.XLOOKUP(A377, Matches!A:A, Matches!L:L, "NA", 0)</f>
        <v>DCW</v>
      </c>
      <c r="X377" t="str">
        <f>_xlfn.XLOOKUP(A377, Matches!A:A, Matches!J:J, "NA", 0)</f>
        <v>DCW</v>
      </c>
      <c r="Y377" t="str">
        <f>_xlfn.XLOOKUP(A377, Matches!A:A, Matches!F:F, "NA", 0)</f>
        <v>Dr DY Patil Sports </v>
      </c>
      <c r="Z377" cm="1">
        <f t="array" ref="Z377">INDEX(Innings!F:F,MATCH(1,(TRIM(Innings!A:A)=TRIM(A377))*(TRIM(Innings!D:D)=TRIM(E377)),0))</f>
        <v>109</v>
      </c>
      <c r="AA377" cm="1">
        <f t="array" ref="AA377">INDEX(Innings!I:I,MATCH(1,(TRIM(Innings!A:A)=TRIM(A377))*(TRIM(Innings!D:D)=TRIM(E377)),0))</f>
        <v>5.45</v>
      </c>
      <c r="AB377" cm="1">
        <f t="array" ref="AB377">INDEX(Innings!J:J,MATCH(1,(TRIM(Innings!A:A)=TRIM(A377))*(TRIM(Innings!D:D)=TRIM(E377)),0))</f>
        <v>19</v>
      </c>
      <c r="AC377" cm="1">
        <f t="array" ref="AC377">INDEX(Innings!N:N,MATCH(1,(TRIM(Innings!A:A)=TRIM(A377))*(TRIM(Innings!D:D)=TRIM(E377)),0))</f>
        <v>24</v>
      </c>
      <c r="AD377" cm="1">
        <f t="array" ref="AD377">INDEX(Innings!S:S,MATCH(1,(TRIM(Innings!A:A)=TRIM(A377))*(TRIM(Innings!D:D)=TRIM(E377)),0))</f>
        <v>59</v>
      </c>
      <c r="AE377" t="str" cm="1">
        <f t="array" ref="AE377">INDEX(Innings!W:W,MATCH(1,(TRIM(Innings!A:A)=TRIM(A377))*(TRIM(Innings!D:D)=TRIM(E377)),0))</f>
        <v>NA</v>
      </c>
      <c r="AF377">
        <f>IF(UPPER(TRIM(E377))=UPPER(TRIM(W377)),1,0)</f>
        <v>0</v>
      </c>
      <c r="AG377">
        <f t="shared" si="11"/>
        <v>6.55</v>
      </c>
    </row>
    <row r="378" spans="1:33" x14ac:dyDescent="0.3">
      <c r="A378" t="s">
        <v>151</v>
      </c>
      <c r="B378">
        <v>1</v>
      </c>
      <c r="C378" t="s">
        <v>117</v>
      </c>
      <c r="D378" t="s">
        <v>90</v>
      </c>
      <c r="E378" t="s">
        <v>266</v>
      </c>
      <c r="F378" t="s">
        <v>91</v>
      </c>
      <c r="G378" t="s">
        <v>92</v>
      </c>
      <c r="H378">
        <v>0</v>
      </c>
      <c r="I378">
        <v>1</v>
      </c>
      <c r="J378">
        <v>0</v>
      </c>
      <c r="K378" t="s">
        <v>245</v>
      </c>
      <c r="L378">
        <v>0</v>
      </c>
      <c r="M378">
        <v>2</v>
      </c>
      <c r="N378">
        <v>0</v>
      </c>
      <c r="O378">
        <v>21</v>
      </c>
      <c r="P378">
        <v>0</v>
      </c>
      <c r="Q378">
        <v>10.5</v>
      </c>
      <c r="R378">
        <v>0</v>
      </c>
      <c r="S378">
        <v>0</v>
      </c>
      <c r="T378">
        <v>0</v>
      </c>
      <c r="U378" s="8">
        <v>0</v>
      </c>
      <c r="V378" s="8">
        <f t="shared" si="10"/>
        <v>0</v>
      </c>
      <c r="W378" t="str">
        <f>_xlfn.XLOOKUP(A378, Matches!A:A, Matches!L:L, "NA", 0)</f>
        <v>DCW</v>
      </c>
      <c r="X378" t="str">
        <f>_xlfn.XLOOKUP(A378, Matches!A:A, Matches!J:J, "NA", 0)</f>
        <v>DCW</v>
      </c>
      <c r="Y378" t="str">
        <f>_xlfn.XLOOKUP(A378, Matches!A:A, Matches!F:F, "NA", 0)</f>
        <v>Dr DY Patil Sports </v>
      </c>
      <c r="Z378" cm="1">
        <f t="array" ref="Z378">INDEX(Innings!F:F,MATCH(1,(TRIM(Innings!A:A)=TRIM(A378))*(TRIM(Innings!D:D)=TRIM(E378)),0))</f>
        <v>109</v>
      </c>
      <c r="AA378" cm="1">
        <f t="array" ref="AA378">INDEX(Innings!I:I,MATCH(1,(TRIM(Innings!A:A)=TRIM(A378))*(TRIM(Innings!D:D)=TRIM(E378)),0))</f>
        <v>5.45</v>
      </c>
      <c r="AB378" cm="1">
        <f t="array" ref="AB378">INDEX(Innings!J:J,MATCH(1,(TRIM(Innings!A:A)=TRIM(A378))*(TRIM(Innings!D:D)=TRIM(E378)),0))</f>
        <v>19</v>
      </c>
      <c r="AC378" cm="1">
        <f t="array" ref="AC378">INDEX(Innings!N:N,MATCH(1,(TRIM(Innings!A:A)=TRIM(A378))*(TRIM(Innings!D:D)=TRIM(E378)),0))</f>
        <v>24</v>
      </c>
      <c r="AD378" cm="1">
        <f t="array" ref="AD378">INDEX(Innings!S:S,MATCH(1,(TRIM(Innings!A:A)=TRIM(A378))*(TRIM(Innings!D:D)=TRIM(E378)),0))</f>
        <v>59</v>
      </c>
      <c r="AE378" t="str" cm="1">
        <f t="array" ref="AE378">INDEX(Innings!W:W,MATCH(1,(TRIM(Innings!A:A)=TRIM(A378))*(TRIM(Innings!D:D)=TRIM(E378)),0))</f>
        <v>NA</v>
      </c>
      <c r="AF378">
        <f>IF(UPPER(TRIM(E378))=UPPER(TRIM(W378)),1,0)</f>
        <v>0</v>
      </c>
      <c r="AG378">
        <f t="shared" si="11"/>
        <v>0</v>
      </c>
    </row>
    <row r="379" spans="1:33" x14ac:dyDescent="0.3">
      <c r="A379" t="s">
        <v>151</v>
      </c>
      <c r="B379">
        <v>1</v>
      </c>
      <c r="C379" t="s">
        <v>115</v>
      </c>
      <c r="D379" t="s">
        <v>17</v>
      </c>
      <c r="E379" t="s">
        <v>266</v>
      </c>
      <c r="F379" t="s">
        <v>83</v>
      </c>
      <c r="G379" t="s">
        <v>134</v>
      </c>
      <c r="H379">
        <v>23</v>
      </c>
      <c r="I379">
        <v>26</v>
      </c>
      <c r="J379">
        <v>88.46</v>
      </c>
      <c r="K379" t="s">
        <v>246</v>
      </c>
      <c r="L379">
        <v>20.34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 s="8">
        <v>20.34</v>
      </c>
      <c r="V379" s="8">
        <f t="shared" si="10"/>
        <v>2</v>
      </c>
      <c r="W379" t="str">
        <f>_xlfn.XLOOKUP(A379, Matches!A:A, Matches!L:L, "NA", 0)</f>
        <v>DCW</v>
      </c>
      <c r="X379" t="str">
        <f>_xlfn.XLOOKUP(A379, Matches!A:A, Matches!J:J, "NA", 0)</f>
        <v>DCW</v>
      </c>
      <c r="Y379" t="str">
        <f>_xlfn.XLOOKUP(A379, Matches!A:A, Matches!F:F, "NA", 0)</f>
        <v>Dr DY Patil Sports </v>
      </c>
      <c r="Z379" cm="1">
        <f t="array" ref="Z379">INDEX(Innings!F:F,MATCH(1,(TRIM(Innings!A:A)=TRIM(A379))*(TRIM(Innings!D:D)=TRIM(E379)),0))</f>
        <v>109</v>
      </c>
      <c r="AA379" cm="1">
        <f t="array" ref="AA379">INDEX(Innings!I:I,MATCH(1,(TRIM(Innings!A:A)=TRIM(A379))*(TRIM(Innings!D:D)=TRIM(E379)),0))</f>
        <v>5.45</v>
      </c>
      <c r="AB379" cm="1">
        <f t="array" ref="AB379">INDEX(Innings!J:J,MATCH(1,(TRIM(Innings!A:A)=TRIM(A379))*(TRIM(Innings!D:D)=TRIM(E379)),0))</f>
        <v>19</v>
      </c>
      <c r="AC379" cm="1">
        <f t="array" ref="AC379">INDEX(Innings!N:N,MATCH(1,(TRIM(Innings!A:A)=TRIM(A379))*(TRIM(Innings!D:D)=TRIM(E379)),0))</f>
        <v>24</v>
      </c>
      <c r="AD379" cm="1">
        <f t="array" ref="AD379">INDEX(Innings!S:S,MATCH(1,(TRIM(Innings!A:A)=TRIM(A379))*(TRIM(Innings!D:D)=TRIM(E379)),0))</f>
        <v>59</v>
      </c>
      <c r="AE379" t="str" cm="1">
        <f t="array" ref="AE379">INDEX(Innings!W:W,MATCH(1,(TRIM(Innings!A:A)=TRIM(A379))*(TRIM(Innings!D:D)=TRIM(E379)),0))</f>
        <v>NA</v>
      </c>
      <c r="AF379">
        <f>IF(UPPER(TRIM(E379))=UPPER(TRIM(W379)),1,0)</f>
        <v>0</v>
      </c>
      <c r="AG379">
        <f t="shared" si="11"/>
        <v>10.77</v>
      </c>
    </row>
    <row r="380" spans="1:33" x14ac:dyDescent="0.3">
      <c r="A380" t="s">
        <v>151</v>
      </c>
      <c r="B380">
        <v>1</v>
      </c>
      <c r="C380" t="s">
        <v>119</v>
      </c>
      <c r="D380" t="s">
        <v>95</v>
      </c>
      <c r="E380" t="s">
        <v>266</v>
      </c>
      <c r="F380" t="s">
        <v>91</v>
      </c>
      <c r="G380" t="s">
        <v>134</v>
      </c>
      <c r="H380">
        <v>8</v>
      </c>
      <c r="I380">
        <v>16</v>
      </c>
      <c r="J380">
        <v>50</v>
      </c>
      <c r="K380" t="s">
        <v>246</v>
      </c>
      <c r="L380">
        <v>4</v>
      </c>
      <c r="M380">
        <v>1</v>
      </c>
      <c r="N380">
        <v>0</v>
      </c>
      <c r="O380">
        <v>2</v>
      </c>
      <c r="P380">
        <v>0</v>
      </c>
      <c r="Q380">
        <v>2</v>
      </c>
      <c r="R380">
        <v>0</v>
      </c>
      <c r="S380">
        <v>0</v>
      </c>
      <c r="T380">
        <v>0</v>
      </c>
      <c r="U380" s="8">
        <v>4</v>
      </c>
      <c r="V380" s="8">
        <f t="shared" si="10"/>
        <v>0</v>
      </c>
      <c r="W380" t="str">
        <f>_xlfn.XLOOKUP(A380, Matches!A:A, Matches!L:L, "NA", 0)</f>
        <v>DCW</v>
      </c>
      <c r="X380" t="str">
        <f>_xlfn.XLOOKUP(A380, Matches!A:A, Matches!J:J, "NA", 0)</f>
        <v>DCW</v>
      </c>
      <c r="Y380" t="str">
        <f>_xlfn.XLOOKUP(A380, Matches!A:A, Matches!F:F, "NA", 0)</f>
        <v>Dr DY Patil Sports </v>
      </c>
      <c r="Z380" cm="1">
        <f t="array" ref="Z380">INDEX(Innings!F:F,MATCH(1,(TRIM(Innings!A:A)=TRIM(A380))*(TRIM(Innings!D:D)=TRIM(E380)),0))</f>
        <v>109</v>
      </c>
      <c r="AA380" cm="1">
        <f t="array" ref="AA380">INDEX(Innings!I:I,MATCH(1,(TRIM(Innings!A:A)=TRIM(A380))*(TRIM(Innings!D:D)=TRIM(E380)),0))</f>
        <v>5.45</v>
      </c>
      <c r="AB380" cm="1">
        <f t="array" ref="AB380">INDEX(Innings!J:J,MATCH(1,(TRIM(Innings!A:A)=TRIM(A380))*(TRIM(Innings!D:D)=TRIM(E380)),0))</f>
        <v>19</v>
      </c>
      <c r="AC380" cm="1">
        <f t="array" ref="AC380">INDEX(Innings!N:N,MATCH(1,(TRIM(Innings!A:A)=TRIM(A380))*(TRIM(Innings!D:D)=TRIM(E380)),0))</f>
        <v>24</v>
      </c>
      <c r="AD380" cm="1">
        <f t="array" ref="AD380">INDEX(Innings!S:S,MATCH(1,(TRIM(Innings!A:A)=TRIM(A380))*(TRIM(Innings!D:D)=TRIM(E380)),0))</f>
        <v>59</v>
      </c>
      <c r="AE380" t="str" cm="1">
        <f t="array" ref="AE380">INDEX(Innings!W:W,MATCH(1,(TRIM(Innings!A:A)=TRIM(A380))*(TRIM(Innings!D:D)=TRIM(E380)),0))</f>
        <v>NA</v>
      </c>
      <c r="AF380">
        <f>IF(UPPER(TRIM(E380))=UPPER(TRIM(W380)),1,0)</f>
        <v>0</v>
      </c>
      <c r="AG380">
        <f t="shared" si="11"/>
        <v>2</v>
      </c>
    </row>
    <row r="381" spans="1:33" x14ac:dyDescent="0.3">
      <c r="A381" t="s">
        <v>151</v>
      </c>
      <c r="B381">
        <v>1</v>
      </c>
      <c r="C381" t="s">
        <v>123</v>
      </c>
      <c r="D381" t="s">
        <v>98</v>
      </c>
      <c r="E381" t="s">
        <v>266</v>
      </c>
      <c r="F381" t="s">
        <v>91</v>
      </c>
      <c r="G381" t="s">
        <v>134</v>
      </c>
      <c r="H381">
        <v>26</v>
      </c>
      <c r="I381">
        <v>19</v>
      </c>
      <c r="J381">
        <v>136.84</v>
      </c>
      <c r="K381" t="s">
        <v>246</v>
      </c>
      <c r="L381">
        <v>35.57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 s="8">
        <v>35.57</v>
      </c>
      <c r="V381" s="8">
        <f t="shared" si="10"/>
        <v>4</v>
      </c>
      <c r="W381" t="str">
        <f>_xlfn.XLOOKUP(A381, Matches!A:A, Matches!L:L, "NA", 0)</f>
        <v>DCW</v>
      </c>
      <c r="X381" t="str">
        <f>_xlfn.XLOOKUP(A381, Matches!A:A, Matches!J:J, "NA", 0)</f>
        <v>DCW</v>
      </c>
      <c r="Y381" t="str">
        <f>_xlfn.XLOOKUP(A381, Matches!A:A, Matches!F:F, "NA", 0)</f>
        <v>Dr DY Patil Sports </v>
      </c>
      <c r="Z381" cm="1">
        <f t="array" ref="Z381">INDEX(Innings!F:F,MATCH(1,(TRIM(Innings!A:A)=TRIM(A381))*(TRIM(Innings!D:D)=TRIM(E381)),0))</f>
        <v>109</v>
      </c>
      <c r="AA381" cm="1">
        <f t="array" ref="AA381">INDEX(Innings!I:I,MATCH(1,(TRIM(Innings!A:A)=TRIM(A381))*(TRIM(Innings!D:D)=TRIM(E381)),0))</f>
        <v>5.45</v>
      </c>
      <c r="AB381" cm="1">
        <f t="array" ref="AB381">INDEX(Innings!J:J,MATCH(1,(TRIM(Innings!A:A)=TRIM(A381))*(TRIM(Innings!D:D)=TRIM(E381)),0))</f>
        <v>19</v>
      </c>
      <c r="AC381" cm="1">
        <f t="array" ref="AC381">INDEX(Innings!N:N,MATCH(1,(TRIM(Innings!A:A)=TRIM(A381))*(TRIM(Innings!D:D)=TRIM(E381)),0))</f>
        <v>24</v>
      </c>
      <c r="AD381" cm="1">
        <f t="array" ref="AD381">INDEX(Innings!S:S,MATCH(1,(TRIM(Innings!A:A)=TRIM(A381))*(TRIM(Innings!D:D)=TRIM(E381)),0))</f>
        <v>59</v>
      </c>
      <c r="AE381" t="str" cm="1">
        <f t="array" ref="AE381">INDEX(Innings!W:W,MATCH(1,(TRIM(Innings!A:A)=TRIM(A381))*(TRIM(Innings!D:D)=TRIM(E381)),0))</f>
        <v>NA</v>
      </c>
      <c r="AF381">
        <f>IF(UPPER(TRIM(E381))=UPPER(TRIM(W381)),1,0)</f>
        <v>0</v>
      </c>
      <c r="AG381">
        <f t="shared" si="11"/>
        <v>18.984999999999999</v>
      </c>
    </row>
    <row r="382" spans="1:33" x14ac:dyDescent="0.3">
      <c r="A382" t="s">
        <v>151</v>
      </c>
      <c r="B382">
        <v>1</v>
      </c>
      <c r="C382" t="s">
        <v>127</v>
      </c>
      <c r="D382" t="s">
        <v>100</v>
      </c>
      <c r="E382" t="s">
        <v>266</v>
      </c>
      <c r="F382" t="s">
        <v>101</v>
      </c>
      <c r="G382" t="s">
        <v>134</v>
      </c>
      <c r="H382">
        <v>23</v>
      </c>
      <c r="I382">
        <v>24</v>
      </c>
      <c r="J382">
        <v>95.83</v>
      </c>
      <c r="K382" t="s">
        <v>246</v>
      </c>
      <c r="L382">
        <v>22.04</v>
      </c>
      <c r="M382">
        <v>2</v>
      </c>
      <c r="N382">
        <v>0</v>
      </c>
      <c r="O382">
        <v>20</v>
      </c>
      <c r="P382">
        <v>0</v>
      </c>
      <c r="Q382">
        <v>10</v>
      </c>
      <c r="R382">
        <v>0</v>
      </c>
      <c r="S382">
        <v>0</v>
      </c>
      <c r="T382">
        <v>0</v>
      </c>
      <c r="U382" s="8">
        <v>22.04</v>
      </c>
      <c r="V382" s="8">
        <f t="shared" si="10"/>
        <v>2</v>
      </c>
      <c r="W382" t="str">
        <f>_xlfn.XLOOKUP(A382, Matches!A:A, Matches!L:L, "NA", 0)</f>
        <v>DCW</v>
      </c>
      <c r="X382" t="str">
        <f>_xlfn.XLOOKUP(A382, Matches!A:A, Matches!J:J, "NA", 0)</f>
        <v>DCW</v>
      </c>
      <c r="Y382" t="str">
        <f>_xlfn.XLOOKUP(A382, Matches!A:A, Matches!F:F, "NA", 0)</f>
        <v>Dr DY Patil Sports </v>
      </c>
      <c r="Z382" cm="1">
        <f t="array" ref="Z382">INDEX(Innings!F:F,MATCH(1,(TRIM(Innings!A:A)=TRIM(A382))*(TRIM(Innings!D:D)=TRIM(E382)),0))</f>
        <v>109</v>
      </c>
      <c r="AA382" cm="1">
        <f t="array" ref="AA382">INDEX(Innings!I:I,MATCH(1,(TRIM(Innings!A:A)=TRIM(A382))*(TRIM(Innings!D:D)=TRIM(E382)),0))</f>
        <v>5.45</v>
      </c>
      <c r="AB382" cm="1">
        <f t="array" ref="AB382">INDEX(Innings!J:J,MATCH(1,(TRIM(Innings!A:A)=TRIM(A382))*(TRIM(Innings!D:D)=TRIM(E382)),0))</f>
        <v>19</v>
      </c>
      <c r="AC382" cm="1">
        <f t="array" ref="AC382">INDEX(Innings!N:N,MATCH(1,(TRIM(Innings!A:A)=TRIM(A382))*(TRIM(Innings!D:D)=TRIM(E382)),0))</f>
        <v>24</v>
      </c>
      <c r="AD382" cm="1">
        <f t="array" ref="AD382">INDEX(Innings!S:S,MATCH(1,(TRIM(Innings!A:A)=TRIM(A382))*(TRIM(Innings!D:D)=TRIM(E382)),0))</f>
        <v>59</v>
      </c>
      <c r="AE382" t="str" cm="1">
        <f t="array" ref="AE382">INDEX(Innings!W:W,MATCH(1,(TRIM(Innings!A:A)=TRIM(A382))*(TRIM(Innings!D:D)=TRIM(E382)),0))</f>
        <v>NA</v>
      </c>
      <c r="AF382">
        <f>IF(UPPER(TRIM(E382))=UPPER(TRIM(W382)),1,0)</f>
        <v>0</v>
      </c>
      <c r="AG382">
        <f t="shared" si="11"/>
        <v>11.62</v>
      </c>
    </row>
    <row r="383" spans="1:33" x14ac:dyDescent="0.3">
      <c r="A383" t="s">
        <v>151</v>
      </c>
      <c r="B383">
        <v>1</v>
      </c>
      <c r="C383" t="s">
        <v>121</v>
      </c>
      <c r="D383" t="s">
        <v>108</v>
      </c>
      <c r="E383" t="s">
        <v>266</v>
      </c>
      <c r="F383" t="s">
        <v>83</v>
      </c>
      <c r="G383" t="s">
        <v>134</v>
      </c>
      <c r="H383">
        <v>19</v>
      </c>
      <c r="I383">
        <v>16</v>
      </c>
      <c r="J383">
        <v>118.75</v>
      </c>
      <c r="K383" t="s">
        <v>256</v>
      </c>
      <c r="L383">
        <v>22.56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 s="8">
        <v>22.56</v>
      </c>
      <c r="V383" s="8">
        <f t="shared" si="10"/>
        <v>2</v>
      </c>
      <c r="W383" t="str">
        <f>_xlfn.XLOOKUP(A383, Matches!A:A, Matches!L:L, "NA", 0)</f>
        <v>DCW</v>
      </c>
      <c r="X383" t="str">
        <f>_xlfn.XLOOKUP(A383, Matches!A:A, Matches!J:J, "NA", 0)</f>
        <v>DCW</v>
      </c>
      <c r="Y383" t="str">
        <f>_xlfn.XLOOKUP(A383, Matches!A:A, Matches!F:F, "NA", 0)</f>
        <v>Dr DY Patil Sports </v>
      </c>
      <c r="Z383" cm="1">
        <f t="array" ref="Z383">INDEX(Innings!F:F,MATCH(1,(TRIM(Innings!A:A)=TRIM(A383))*(TRIM(Innings!D:D)=TRIM(E383)),0))</f>
        <v>109</v>
      </c>
      <c r="AA383" cm="1">
        <f t="array" ref="AA383">INDEX(Innings!I:I,MATCH(1,(TRIM(Innings!A:A)=TRIM(A383))*(TRIM(Innings!D:D)=TRIM(E383)),0))</f>
        <v>5.45</v>
      </c>
      <c r="AB383" cm="1">
        <f t="array" ref="AB383">INDEX(Innings!J:J,MATCH(1,(TRIM(Innings!A:A)=TRIM(A383))*(TRIM(Innings!D:D)=TRIM(E383)),0))</f>
        <v>19</v>
      </c>
      <c r="AC383" cm="1">
        <f t="array" ref="AC383">INDEX(Innings!N:N,MATCH(1,(TRIM(Innings!A:A)=TRIM(A383))*(TRIM(Innings!D:D)=TRIM(E383)),0))</f>
        <v>24</v>
      </c>
      <c r="AD383" cm="1">
        <f t="array" ref="AD383">INDEX(Innings!S:S,MATCH(1,(TRIM(Innings!A:A)=TRIM(A383))*(TRIM(Innings!D:D)=TRIM(E383)),0))</f>
        <v>59</v>
      </c>
      <c r="AE383" t="str" cm="1">
        <f t="array" ref="AE383">INDEX(Innings!W:W,MATCH(1,(TRIM(Innings!A:A)=TRIM(A383))*(TRIM(Innings!D:D)=TRIM(E383)),0))</f>
        <v>NA</v>
      </c>
      <c r="AF383">
        <f>IF(UPPER(TRIM(E383))=UPPER(TRIM(W383)),1,0)</f>
        <v>0</v>
      </c>
      <c r="AG383">
        <f t="shared" si="11"/>
        <v>11.879999999999999</v>
      </c>
    </row>
    <row r="384" spans="1:33" x14ac:dyDescent="0.3">
      <c r="A384" t="s">
        <v>151</v>
      </c>
      <c r="B384">
        <v>1</v>
      </c>
      <c r="C384" t="s">
        <v>125</v>
      </c>
      <c r="D384" t="s">
        <v>111</v>
      </c>
      <c r="E384" t="s">
        <v>266</v>
      </c>
      <c r="F384" t="s">
        <v>83</v>
      </c>
      <c r="G384" t="s">
        <v>135</v>
      </c>
      <c r="H384">
        <v>2</v>
      </c>
      <c r="I384">
        <v>2</v>
      </c>
      <c r="J384">
        <v>100</v>
      </c>
      <c r="K384" t="s">
        <v>96</v>
      </c>
      <c r="L384">
        <v>2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 s="8">
        <v>2</v>
      </c>
      <c r="V384" s="8">
        <f t="shared" si="10"/>
        <v>0</v>
      </c>
      <c r="W384" t="str">
        <f>_xlfn.XLOOKUP(A384, Matches!A:A, Matches!L:L, "NA", 0)</f>
        <v>DCW</v>
      </c>
      <c r="X384" t="str">
        <f>_xlfn.XLOOKUP(A384, Matches!A:A, Matches!J:J, "NA", 0)</f>
        <v>DCW</v>
      </c>
      <c r="Y384" t="str">
        <f>_xlfn.XLOOKUP(A384, Matches!A:A, Matches!F:F, "NA", 0)</f>
        <v>Dr DY Patil Sports </v>
      </c>
      <c r="Z384" cm="1">
        <f t="array" ref="Z384">INDEX(Innings!F:F,MATCH(1,(TRIM(Innings!A:A)=TRIM(A384))*(TRIM(Innings!D:D)=TRIM(E384)),0))</f>
        <v>109</v>
      </c>
      <c r="AA384" cm="1">
        <f t="array" ref="AA384">INDEX(Innings!I:I,MATCH(1,(TRIM(Innings!A:A)=TRIM(A384))*(TRIM(Innings!D:D)=TRIM(E384)),0))</f>
        <v>5.45</v>
      </c>
      <c r="AB384" cm="1">
        <f t="array" ref="AB384">INDEX(Innings!J:J,MATCH(1,(TRIM(Innings!A:A)=TRIM(A384))*(TRIM(Innings!D:D)=TRIM(E384)),0))</f>
        <v>19</v>
      </c>
      <c r="AC384" cm="1">
        <f t="array" ref="AC384">INDEX(Innings!N:N,MATCH(1,(TRIM(Innings!A:A)=TRIM(A384))*(TRIM(Innings!D:D)=TRIM(E384)),0))</f>
        <v>24</v>
      </c>
      <c r="AD384" cm="1">
        <f t="array" ref="AD384">INDEX(Innings!S:S,MATCH(1,(TRIM(Innings!A:A)=TRIM(A384))*(TRIM(Innings!D:D)=TRIM(E384)),0))</f>
        <v>59</v>
      </c>
      <c r="AE384" t="str" cm="1">
        <f t="array" ref="AE384">INDEX(Innings!W:W,MATCH(1,(TRIM(Innings!A:A)=TRIM(A384))*(TRIM(Innings!D:D)=TRIM(E384)),0))</f>
        <v>NA</v>
      </c>
      <c r="AF384">
        <f>IF(UPPER(TRIM(E384))=UPPER(TRIM(W384)),1,0)</f>
        <v>0</v>
      </c>
      <c r="AG384">
        <f t="shared" si="11"/>
        <v>1</v>
      </c>
    </row>
    <row r="385" spans="1:33" x14ac:dyDescent="0.3">
      <c r="A385" t="s">
        <v>151</v>
      </c>
      <c r="B385">
        <v>1</v>
      </c>
      <c r="C385" t="s">
        <v>129</v>
      </c>
      <c r="D385" t="s">
        <v>103</v>
      </c>
      <c r="E385" t="s">
        <v>266</v>
      </c>
      <c r="F385" t="s">
        <v>91</v>
      </c>
      <c r="G385" t="s">
        <v>135</v>
      </c>
      <c r="H385">
        <v>0</v>
      </c>
      <c r="I385">
        <v>0</v>
      </c>
      <c r="J385">
        <v>0</v>
      </c>
      <c r="K385" t="s">
        <v>104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 s="8">
        <v>0</v>
      </c>
      <c r="V385" s="8">
        <f t="shared" si="10"/>
        <v>0</v>
      </c>
      <c r="W385" t="str">
        <f>_xlfn.XLOOKUP(A385, Matches!A:A, Matches!L:L, "NA", 0)</f>
        <v>DCW</v>
      </c>
      <c r="X385" t="str">
        <f>_xlfn.XLOOKUP(A385, Matches!A:A, Matches!J:J, "NA", 0)</f>
        <v>DCW</v>
      </c>
      <c r="Y385" t="str">
        <f>_xlfn.XLOOKUP(A385, Matches!A:A, Matches!F:F, "NA", 0)</f>
        <v>Dr DY Patil Sports </v>
      </c>
      <c r="Z385" cm="1">
        <f t="array" ref="Z385">INDEX(Innings!F:F,MATCH(1,(TRIM(Innings!A:A)=TRIM(A385))*(TRIM(Innings!D:D)=TRIM(E385)),0))</f>
        <v>109</v>
      </c>
      <c r="AA385" cm="1">
        <f t="array" ref="AA385">INDEX(Innings!I:I,MATCH(1,(TRIM(Innings!A:A)=TRIM(A385))*(TRIM(Innings!D:D)=TRIM(E385)),0))</f>
        <v>5.45</v>
      </c>
      <c r="AB385" cm="1">
        <f t="array" ref="AB385">INDEX(Innings!J:J,MATCH(1,(TRIM(Innings!A:A)=TRIM(A385))*(TRIM(Innings!D:D)=TRIM(E385)),0))</f>
        <v>19</v>
      </c>
      <c r="AC385" cm="1">
        <f t="array" ref="AC385">INDEX(Innings!N:N,MATCH(1,(TRIM(Innings!A:A)=TRIM(A385))*(TRIM(Innings!D:D)=TRIM(E385)),0))</f>
        <v>24</v>
      </c>
      <c r="AD385" cm="1">
        <f t="array" ref="AD385">INDEX(Innings!S:S,MATCH(1,(TRIM(Innings!A:A)=TRIM(A385))*(TRIM(Innings!D:D)=TRIM(E385)),0))</f>
        <v>59</v>
      </c>
      <c r="AE385" t="str" cm="1">
        <f t="array" ref="AE385">INDEX(Innings!W:W,MATCH(1,(TRIM(Innings!A:A)=TRIM(A385))*(TRIM(Innings!D:D)=TRIM(E385)),0))</f>
        <v>NA</v>
      </c>
      <c r="AF385">
        <f>IF(UPPER(TRIM(E385))=UPPER(TRIM(W385)),1,0)</f>
        <v>0</v>
      </c>
      <c r="AG385">
        <f t="shared" si="11"/>
        <v>0</v>
      </c>
    </row>
    <row r="386" spans="1:33" x14ac:dyDescent="0.3">
      <c r="A386" t="s">
        <v>151</v>
      </c>
      <c r="B386">
        <v>1</v>
      </c>
      <c r="C386" t="s">
        <v>131</v>
      </c>
      <c r="D386" t="s">
        <v>106</v>
      </c>
      <c r="E386" t="s">
        <v>266</v>
      </c>
      <c r="F386" t="s">
        <v>101</v>
      </c>
      <c r="G386" t="s">
        <v>135</v>
      </c>
      <c r="H386">
        <v>0</v>
      </c>
      <c r="I386">
        <v>0</v>
      </c>
      <c r="J386">
        <v>0</v>
      </c>
      <c r="K386" t="s">
        <v>104</v>
      </c>
      <c r="L386">
        <v>0</v>
      </c>
      <c r="M386">
        <v>2</v>
      </c>
      <c r="N386">
        <v>0</v>
      </c>
      <c r="O386">
        <v>36</v>
      </c>
      <c r="P386">
        <v>0</v>
      </c>
      <c r="Q386">
        <v>18</v>
      </c>
      <c r="R386">
        <v>0</v>
      </c>
      <c r="S386">
        <v>0</v>
      </c>
      <c r="T386">
        <v>0</v>
      </c>
      <c r="U386" s="8">
        <v>0</v>
      </c>
      <c r="V386" s="8">
        <f t="shared" si="10"/>
        <v>0</v>
      </c>
      <c r="W386" t="str">
        <f>_xlfn.XLOOKUP(A386, Matches!A:A, Matches!L:L, "NA", 0)</f>
        <v>DCW</v>
      </c>
      <c r="X386" t="str">
        <f>_xlfn.XLOOKUP(A386, Matches!A:A, Matches!J:J, "NA", 0)</f>
        <v>DCW</v>
      </c>
      <c r="Y386" t="str">
        <f>_xlfn.XLOOKUP(A386, Matches!A:A, Matches!F:F, "NA", 0)</f>
        <v>Dr DY Patil Sports </v>
      </c>
      <c r="Z386" cm="1">
        <f t="array" ref="Z386">INDEX(Innings!F:F,MATCH(1,(TRIM(Innings!A:A)=TRIM(A386))*(TRIM(Innings!D:D)=TRIM(E386)),0))</f>
        <v>109</v>
      </c>
      <c r="AA386" cm="1">
        <f t="array" ref="AA386">INDEX(Innings!I:I,MATCH(1,(TRIM(Innings!A:A)=TRIM(A386))*(TRIM(Innings!D:D)=TRIM(E386)),0))</f>
        <v>5.45</v>
      </c>
      <c r="AB386" cm="1">
        <f t="array" ref="AB386">INDEX(Innings!J:J,MATCH(1,(TRIM(Innings!A:A)=TRIM(A386))*(TRIM(Innings!D:D)=TRIM(E386)),0))</f>
        <v>19</v>
      </c>
      <c r="AC386" cm="1">
        <f t="array" ref="AC386">INDEX(Innings!N:N,MATCH(1,(TRIM(Innings!A:A)=TRIM(A386))*(TRIM(Innings!D:D)=TRIM(E386)),0))</f>
        <v>24</v>
      </c>
      <c r="AD386" cm="1">
        <f t="array" ref="AD386">INDEX(Innings!S:S,MATCH(1,(TRIM(Innings!A:A)=TRIM(A386))*(TRIM(Innings!D:D)=TRIM(E386)),0))</f>
        <v>59</v>
      </c>
      <c r="AE386" t="str" cm="1">
        <f t="array" ref="AE386">INDEX(Innings!W:W,MATCH(1,(TRIM(Innings!A:A)=TRIM(A386))*(TRIM(Innings!D:D)=TRIM(E386)),0))</f>
        <v>NA</v>
      </c>
      <c r="AF386">
        <f>IF(UPPER(TRIM(E386))=UPPER(TRIM(W386)),1,0)</f>
        <v>0</v>
      </c>
      <c r="AG386">
        <f t="shared" si="11"/>
        <v>0</v>
      </c>
    </row>
    <row r="387" spans="1:33" x14ac:dyDescent="0.3">
      <c r="A387" t="s">
        <v>151</v>
      </c>
      <c r="B387">
        <v>1</v>
      </c>
      <c r="C387" t="s">
        <v>190</v>
      </c>
      <c r="D387" t="s">
        <v>191</v>
      </c>
      <c r="E387" t="s">
        <v>158</v>
      </c>
      <c r="F387" t="s">
        <v>109</v>
      </c>
      <c r="G387" t="s">
        <v>86</v>
      </c>
      <c r="H387">
        <v>32</v>
      </c>
      <c r="I387">
        <v>22</v>
      </c>
      <c r="J387">
        <v>145.44999999999999</v>
      </c>
      <c r="K387" t="s">
        <v>96</v>
      </c>
      <c r="L387">
        <v>46.54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 s="8">
        <v>46.54</v>
      </c>
      <c r="V387" s="8">
        <f t="shared" ref="V387:V450" si="12">MIN(10, MAX(0, ROUND(U387/10,0)))</f>
        <v>5</v>
      </c>
      <c r="W387" t="str">
        <f>_xlfn.XLOOKUP(A387, Matches!A:A, Matches!L:L, "NA", 0)</f>
        <v>DCW</v>
      </c>
      <c r="X387" t="str">
        <f>_xlfn.XLOOKUP(A387, Matches!A:A, Matches!J:J, "NA", 0)</f>
        <v>DCW</v>
      </c>
      <c r="Y387" t="str">
        <f>_xlfn.XLOOKUP(A387, Matches!A:A, Matches!F:F, "NA", 0)</f>
        <v>Dr DY Patil Sports </v>
      </c>
      <c r="Z387" cm="1">
        <f t="array" ref="Z387">INDEX(Innings!F:F,MATCH(1,(TRIM(Innings!A:A)=TRIM(A387))*(TRIM(Innings!D:D)=TRIM(E387)),0))</f>
        <v>110</v>
      </c>
      <c r="AA387" cm="1">
        <f t="array" ref="AA387">INDEX(Innings!I:I,MATCH(1,(TRIM(Innings!A:A)=TRIM(A387))*(TRIM(Innings!D:D)=TRIM(E387)),0))</f>
        <v>12.22</v>
      </c>
      <c r="AB387" cm="1">
        <f t="array" ref="AB387">INDEX(Innings!J:J,MATCH(1,(TRIM(Innings!A:A)=TRIM(A387))*(TRIM(Innings!D:D)=TRIM(E387)),0))</f>
        <v>67</v>
      </c>
      <c r="AC387" cm="1">
        <f t="array" ref="AC387">INDEX(Innings!N:N,MATCH(1,(TRIM(Innings!A:A)=TRIM(A387))*(TRIM(Innings!D:D)=TRIM(E387)),0))</f>
        <v>0</v>
      </c>
      <c r="AD387" cm="1">
        <f t="array" ref="AD387">INDEX(Innings!S:S,MATCH(1,(TRIM(Innings!A:A)=TRIM(A387))*(TRIM(Innings!D:D)=TRIM(E387)),0))</f>
        <v>18</v>
      </c>
      <c r="AE387" t="str" cm="1">
        <f t="array" ref="AE387">INDEX(Innings!W:W,MATCH(1,(TRIM(Innings!A:A)=TRIM(A387))*(TRIM(Innings!D:D)=TRIM(E387)),0))</f>
        <v>Successful</v>
      </c>
      <c r="AF387">
        <f>IF(UPPER(TRIM(E387))=UPPER(TRIM(W387)),1,0)</f>
        <v>1</v>
      </c>
      <c r="AG387">
        <f t="shared" ref="AG387:AG450" si="13">(0.5*MAX(0,U387) + 0.3*MAX(0,V387) + 0.2*AF387*100)</f>
        <v>44.769999999999996</v>
      </c>
    </row>
    <row r="388" spans="1:33" x14ac:dyDescent="0.3">
      <c r="A388" t="s">
        <v>151</v>
      </c>
      <c r="B388">
        <v>1</v>
      </c>
      <c r="C388" t="s">
        <v>188</v>
      </c>
      <c r="D388" t="s">
        <v>189</v>
      </c>
      <c r="E388" t="s">
        <v>158</v>
      </c>
      <c r="F388" t="s">
        <v>83</v>
      </c>
      <c r="G388" t="s">
        <v>86</v>
      </c>
      <c r="H388">
        <v>33</v>
      </c>
      <c r="I388">
        <v>15</v>
      </c>
      <c r="J388">
        <v>220</v>
      </c>
      <c r="K388" t="s">
        <v>248</v>
      </c>
      <c r="L388">
        <v>72.599999999999994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 s="8">
        <v>72.599999999999994</v>
      </c>
      <c r="V388" s="8">
        <f t="shared" si="12"/>
        <v>7</v>
      </c>
      <c r="W388" t="str">
        <f>_xlfn.XLOOKUP(A388, Matches!A:A, Matches!L:L, "NA", 0)</f>
        <v>DCW</v>
      </c>
      <c r="X388" t="str">
        <f>_xlfn.XLOOKUP(A388, Matches!A:A, Matches!J:J, "NA", 0)</f>
        <v>DCW</v>
      </c>
      <c r="Y388" t="str">
        <f>_xlfn.XLOOKUP(A388, Matches!A:A, Matches!F:F, "NA", 0)</f>
        <v>Dr DY Patil Sports </v>
      </c>
      <c r="Z388" cm="1">
        <f t="array" ref="Z388">INDEX(Innings!F:F,MATCH(1,(TRIM(Innings!A:A)=TRIM(A388))*(TRIM(Innings!D:D)=TRIM(E388)),0))</f>
        <v>110</v>
      </c>
      <c r="AA388" cm="1">
        <f t="array" ref="AA388">INDEX(Innings!I:I,MATCH(1,(TRIM(Innings!A:A)=TRIM(A388))*(TRIM(Innings!D:D)=TRIM(E388)),0))</f>
        <v>12.22</v>
      </c>
      <c r="AB388" cm="1">
        <f t="array" ref="AB388">INDEX(Innings!J:J,MATCH(1,(TRIM(Innings!A:A)=TRIM(A388))*(TRIM(Innings!D:D)=TRIM(E388)),0))</f>
        <v>67</v>
      </c>
      <c r="AC388" cm="1">
        <f t="array" ref="AC388">INDEX(Innings!N:N,MATCH(1,(TRIM(Innings!A:A)=TRIM(A388))*(TRIM(Innings!D:D)=TRIM(E388)),0))</f>
        <v>0</v>
      </c>
      <c r="AD388" cm="1">
        <f t="array" ref="AD388">INDEX(Innings!S:S,MATCH(1,(TRIM(Innings!A:A)=TRIM(A388))*(TRIM(Innings!D:D)=TRIM(E388)),0))</f>
        <v>18</v>
      </c>
      <c r="AE388" t="str" cm="1">
        <f t="array" ref="AE388">INDEX(Innings!W:W,MATCH(1,(TRIM(Innings!A:A)=TRIM(A388))*(TRIM(Innings!D:D)=TRIM(E388)),0))</f>
        <v>Successful</v>
      </c>
      <c r="AF388">
        <f>IF(UPPER(TRIM(E388))=UPPER(TRIM(W388)),1,0)</f>
        <v>1</v>
      </c>
      <c r="AG388">
        <f t="shared" si="13"/>
        <v>58.4</v>
      </c>
    </row>
    <row r="389" spans="1:33" x14ac:dyDescent="0.3">
      <c r="A389" t="s">
        <v>151</v>
      </c>
      <c r="B389">
        <v>1</v>
      </c>
      <c r="C389" t="s">
        <v>196</v>
      </c>
      <c r="D389" t="s">
        <v>197</v>
      </c>
      <c r="E389" t="s">
        <v>158</v>
      </c>
      <c r="F389" t="s">
        <v>83</v>
      </c>
      <c r="G389" t="s">
        <v>134</v>
      </c>
      <c r="H389">
        <v>38</v>
      </c>
      <c r="I389">
        <v>17</v>
      </c>
      <c r="J389">
        <v>223.53</v>
      </c>
      <c r="K389" t="s">
        <v>96</v>
      </c>
      <c r="L389">
        <v>84.94</v>
      </c>
      <c r="M389">
        <v>1</v>
      </c>
      <c r="N389">
        <v>0</v>
      </c>
      <c r="O389">
        <v>4</v>
      </c>
      <c r="P389">
        <v>0</v>
      </c>
      <c r="Q389">
        <v>4</v>
      </c>
      <c r="R389">
        <v>0</v>
      </c>
      <c r="S389">
        <v>0</v>
      </c>
      <c r="T389">
        <v>0</v>
      </c>
      <c r="U389" s="8">
        <v>84.94</v>
      </c>
      <c r="V389" s="8">
        <f t="shared" si="12"/>
        <v>8</v>
      </c>
      <c r="W389" t="str">
        <f>_xlfn.XLOOKUP(A389, Matches!A:A, Matches!L:L, "NA", 0)</f>
        <v>DCW</v>
      </c>
      <c r="X389" t="str">
        <f>_xlfn.XLOOKUP(A389, Matches!A:A, Matches!J:J, "NA", 0)</f>
        <v>DCW</v>
      </c>
      <c r="Y389" t="str">
        <f>_xlfn.XLOOKUP(A389, Matches!A:A, Matches!F:F, "NA", 0)</f>
        <v>Dr DY Patil Sports </v>
      </c>
      <c r="Z389" cm="1">
        <f t="array" ref="Z389">INDEX(Innings!F:F,MATCH(1,(TRIM(Innings!A:A)=TRIM(A389))*(TRIM(Innings!D:D)=TRIM(E389)),0))</f>
        <v>110</v>
      </c>
      <c r="AA389" cm="1">
        <f t="array" ref="AA389">INDEX(Innings!I:I,MATCH(1,(TRIM(Innings!A:A)=TRIM(A389))*(TRIM(Innings!D:D)=TRIM(E389)),0))</f>
        <v>12.22</v>
      </c>
      <c r="AB389" cm="1">
        <f t="array" ref="AB389">INDEX(Innings!J:J,MATCH(1,(TRIM(Innings!A:A)=TRIM(A389))*(TRIM(Innings!D:D)=TRIM(E389)),0))</f>
        <v>67</v>
      </c>
      <c r="AC389" cm="1">
        <f t="array" ref="AC389">INDEX(Innings!N:N,MATCH(1,(TRIM(Innings!A:A)=TRIM(A389))*(TRIM(Innings!D:D)=TRIM(E389)),0))</f>
        <v>0</v>
      </c>
      <c r="AD389" cm="1">
        <f t="array" ref="AD389">INDEX(Innings!S:S,MATCH(1,(TRIM(Innings!A:A)=TRIM(A389))*(TRIM(Innings!D:D)=TRIM(E389)),0))</f>
        <v>18</v>
      </c>
      <c r="AE389" t="str" cm="1">
        <f t="array" ref="AE389">INDEX(Innings!W:W,MATCH(1,(TRIM(Innings!A:A)=TRIM(A389))*(TRIM(Innings!D:D)=TRIM(E389)),0))</f>
        <v>Successful</v>
      </c>
      <c r="AF389">
        <f>IF(UPPER(TRIM(E389))=UPPER(TRIM(W389)),1,0)</f>
        <v>1</v>
      </c>
      <c r="AG389">
        <f t="shared" si="13"/>
        <v>64.87</v>
      </c>
    </row>
    <row r="390" spans="1:33" x14ac:dyDescent="0.3">
      <c r="A390" t="s">
        <v>151</v>
      </c>
      <c r="B390">
        <v>1</v>
      </c>
      <c r="C390" t="s">
        <v>194</v>
      </c>
      <c r="D390" t="s">
        <v>195</v>
      </c>
      <c r="E390" t="s">
        <v>158</v>
      </c>
      <c r="F390" t="s">
        <v>109</v>
      </c>
      <c r="G390" t="s">
        <v>135</v>
      </c>
      <c r="H390">
        <v>0</v>
      </c>
      <c r="I390">
        <v>0</v>
      </c>
      <c r="J390">
        <v>0</v>
      </c>
      <c r="K390" t="s">
        <v>104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 s="8">
        <v>0</v>
      </c>
      <c r="V390" s="8">
        <f t="shared" si="12"/>
        <v>0</v>
      </c>
      <c r="W390" t="str">
        <f>_xlfn.XLOOKUP(A390, Matches!A:A, Matches!L:L, "NA", 0)</f>
        <v>DCW</v>
      </c>
      <c r="X390" t="str">
        <f>_xlfn.XLOOKUP(A390, Matches!A:A, Matches!J:J, "NA", 0)</f>
        <v>DCW</v>
      </c>
      <c r="Y390" t="str">
        <f>_xlfn.XLOOKUP(A390, Matches!A:A, Matches!F:F, "NA", 0)</f>
        <v>Dr DY Patil Sports </v>
      </c>
      <c r="Z390" cm="1">
        <f t="array" ref="Z390">INDEX(Innings!F:F,MATCH(1,(TRIM(Innings!A:A)=TRIM(A390))*(TRIM(Innings!D:D)=TRIM(E390)),0))</f>
        <v>110</v>
      </c>
      <c r="AA390" cm="1">
        <f t="array" ref="AA390">INDEX(Innings!I:I,MATCH(1,(TRIM(Innings!A:A)=TRIM(A390))*(TRIM(Innings!D:D)=TRIM(E390)),0))</f>
        <v>12.22</v>
      </c>
      <c r="AB390" cm="1">
        <f t="array" ref="AB390">INDEX(Innings!J:J,MATCH(1,(TRIM(Innings!A:A)=TRIM(A390))*(TRIM(Innings!D:D)=TRIM(E390)),0))</f>
        <v>67</v>
      </c>
      <c r="AC390" cm="1">
        <f t="array" ref="AC390">INDEX(Innings!N:N,MATCH(1,(TRIM(Innings!A:A)=TRIM(A390))*(TRIM(Innings!D:D)=TRIM(E390)),0))</f>
        <v>0</v>
      </c>
      <c r="AD390" cm="1">
        <f t="array" ref="AD390">INDEX(Innings!S:S,MATCH(1,(TRIM(Innings!A:A)=TRIM(A390))*(TRIM(Innings!D:D)=TRIM(E390)),0))</f>
        <v>18</v>
      </c>
      <c r="AE390" t="str" cm="1">
        <f t="array" ref="AE390">INDEX(Innings!W:W,MATCH(1,(TRIM(Innings!A:A)=TRIM(A390))*(TRIM(Innings!D:D)=TRIM(E390)),0))</f>
        <v>Successful</v>
      </c>
      <c r="AF390">
        <f>IF(UPPER(TRIM(E390))=UPPER(TRIM(W390)),1,0)</f>
        <v>1</v>
      </c>
      <c r="AG390">
        <f t="shared" si="13"/>
        <v>20</v>
      </c>
    </row>
    <row r="391" spans="1:33" x14ac:dyDescent="0.3">
      <c r="A391" t="s">
        <v>151</v>
      </c>
      <c r="B391">
        <v>1</v>
      </c>
      <c r="C391" t="s">
        <v>192</v>
      </c>
      <c r="D391" t="s">
        <v>193</v>
      </c>
      <c r="E391" t="s">
        <v>158</v>
      </c>
      <c r="F391" t="s">
        <v>169</v>
      </c>
      <c r="G391" t="s">
        <v>135</v>
      </c>
      <c r="H391">
        <v>0</v>
      </c>
      <c r="I391">
        <v>0</v>
      </c>
      <c r="J391">
        <v>0</v>
      </c>
      <c r="K391" t="s">
        <v>104</v>
      </c>
      <c r="L391">
        <v>0</v>
      </c>
      <c r="M391">
        <v>4</v>
      </c>
      <c r="N391">
        <v>0</v>
      </c>
      <c r="O391">
        <v>13</v>
      </c>
      <c r="P391">
        <v>2</v>
      </c>
      <c r="Q391">
        <v>3.2</v>
      </c>
      <c r="R391">
        <v>40</v>
      </c>
      <c r="S391">
        <v>0</v>
      </c>
      <c r="T391">
        <v>0</v>
      </c>
      <c r="U391" s="8">
        <v>40</v>
      </c>
      <c r="V391" s="8">
        <f t="shared" si="12"/>
        <v>4</v>
      </c>
      <c r="W391" t="str">
        <f>_xlfn.XLOOKUP(A391, Matches!A:A, Matches!L:L, "NA", 0)</f>
        <v>DCW</v>
      </c>
      <c r="X391" t="str">
        <f>_xlfn.XLOOKUP(A391, Matches!A:A, Matches!J:J, "NA", 0)</f>
        <v>DCW</v>
      </c>
      <c r="Y391" t="str">
        <f>_xlfn.XLOOKUP(A391, Matches!A:A, Matches!F:F, "NA", 0)</f>
        <v>Dr DY Patil Sports </v>
      </c>
      <c r="Z391" cm="1">
        <f t="array" ref="Z391">INDEX(Innings!F:F,MATCH(1,(TRIM(Innings!A:A)=TRIM(A391))*(TRIM(Innings!D:D)=TRIM(E391)),0))</f>
        <v>110</v>
      </c>
      <c r="AA391" cm="1">
        <f t="array" ref="AA391">INDEX(Innings!I:I,MATCH(1,(TRIM(Innings!A:A)=TRIM(A391))*(TRIM(Innings!D:D)=TRIM(E391)),0))</f>
        <v>12.22</v>
      </c>
      <c r="AB391" cm="1">
        <f t="array" ref="AB391">INDEX(Innings!J:J,MATCH(1,(TRIM(Innings!A:A)=TRIM(A391))*(TRIM(Innings!D:D)=TRIM(E391)),0))</f>
        <v>67</v>
      </c>
      <c r="AC391" cm="1">
        <f t="array" ref="AC391">INDEX(Innings!N:N,MATCH(1,(TRIM(Innings!A:A)=TRIM(A391))*(TRIM(Innings!D:D)=TRIM(E391)),0))</f>
        <v>0</v>
      </c>
      <c r="AD391" cm="1">
        <f t="array" ref="AD391">INDEX(Innings!S:S,MATCH(1,(TRIM(Innings!A:A)=TRIM(A391))*(TRIM(Innings!D:D)=TRIM(E391)),0))</f>
        <v>18</v>
      </c>
      <c r="AE391" t="str" cm="1">
        <f t="array" ref="AE391">INDEX(Innings!W:W,MATCH(1,(TRIM(Innings!A:A)=TRIM(A391))*(TRIM(Innings!D:D)=TRIM(E391)),0))</f>
        <v>Successful</v>
      </c>
      <c r="AF391">
        <f>IF(UPPER(TRIM(E391))=UPPER(TRIM(W391)),1,0)</f>
        <v>1</v>
      </c>
      <c r="AG391">
        <f t="shared" si="13"/>
        <v>41.2</v>
      </c>
    </row>
    <row r="392" spans="1:33" x14ac:dyDescent="0.3">
      <c r="A392" t="s">
        <v>151</v>
      </c>
      <c r="B392">
        <v>1</v>
      </c>
      <c r="C392" t="s">
        <v>200</v>
      </c>
      <c r="D392" t="s">
        <v>201</v>
      </c>
      <c r="E392" t="s">
        <v>158</v>
      </c>
      <c r="F392" t="s">
        <v>85</v>
      </c>
      <c r="G392" t="s">
        <v>135</v>
      </c>
      <c r="H392">
        <v>0</v>
      </c>
      <c r="I392">
        <v>0</v>
      </c>
      <c r="J392">
        <v>0</v>
      </c>
      <c r="K392" t="s">
        <v>104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 s="8">
        <v>0</v>
      </c>
      <c r="V392" s="8">
        <f t="shared" si="12"/>
        <v>0</v>
      </c>
      <c r="W392" t="str">
        <f>_xlfn.XLOOKUP(A392, Matches!A:A, Matches!L:L, "NA", 0)</f>
        <v>DCW</v>
      </c>
      <c r="X392" t="str">
        <f>_xlfn.XLOOKUP(A392, Matches!A:A, Matches!J:J, "NA", 0)</f>
        <v>DCW</v>
      </c>
      <c r="Y392" t="str">
        <f>_xlfn.XLOOKUP(A392, Matches!A:A, Matches!F:F, "NA", 0)</f>
        <v>Dr DY Patil Sports </v>
      </c>
      <c r="Z392" cm="1">
        <f t="array" ref="Z392">INDEX(Innings!F:F,MATCH(1,(TRIM(Innings!A:A)=TRIM(A392))*(TRIM(Innings!D:D)=TRIM(E392)),0))</f>
        <v>110</v>
      </c>
      <c r="AA392" cm="1">
        <f t="array" ref="AA392">INDEX(Innings!I:I,MATCH(1,(TRIM(Innings!A:A)=TRIM(A392))*(TRIM(Innings!D:D)=TRIM(E392)),0))</f>
        <v>12.22</v>
      </c>
      <c r="AB392" cm="1">
        <f t="array" ref="AB392">INDEX(Innings!J:J,MATCH(1,(TRIM(Innings!A:A)=TRIM(A392))*(TRIM(Innings!D:D)=TRIM(E392)),0))</f>
        <v>67</v>
      </c>
      <c r="AC392" cm="1">
        <f t="array" ref="AC392">INDEX(Innings!N:N,MATCH(1,(TRIM(Innings!A:A)=TRIM(A392))*(TRIM(Innings!D:D)=TRIM(E392)),0))</f>
        <v>0</v>
      </c>
      <c r="AD392" cm="1">
        <f t="array" ref="AD392">INDEX(Innings!S:S,MATCH(1,(TRIM(Innings!A:A)=TRIM(A392))*(TRIM(Innings!D:D)=TRIM(E392)),0))</f>
        <v>18</v>
      </c>
      <c r="AE392" t="str" cm="1">
        <f t="array" ref="AE392">INDEX(Innings!W:W,MATCH(1,(TRIM(Innings!A:A)=TRIM(A392))*(TRIM(Innings!D:D)=TRIM(E392)),0))</f>
        <v>Successful</v>
      </c>
      <c r="AF392">
        <f>IF(UPPER(TRIM(E392))=UPPER(TRIM(W392)),1,0)</f>
        <v>1</v>
      </c>
      <c r="AG392">
        <f t="shared" si="13"/>
        <v>20</v>
      </c>
    </row>
    <row r="393" spans="1:33" x14ac:dyDescent="0.3">
      <c r="A393" t="s">
        <v>151</v>
      </c>
      <c r="B393">
        <v>1</v>
      </c>
      <c r="C393" t="s">
        <v>198</v>
      </c>
      <c r="D393" t="s">
        <v>199</v>
      </c>
      <c r="E393" t="s">
        <v>158</v>
      </c>
      <c r="F393" t="s">
        <v>91</v>
      </c>
      <c r="G393" t="s">
        <v>135</v>
      </c>
      <c r="H393">
        <v>0</v>
      </c>
      <c r="I393">
        <v>0</v>
      </c>
      <c r="J393">
        <v>0</v>
      </c>
      <c r="K393" t="s">
        <v>104</v>
      </c>
      <c r="L393">
        <v>0</v>
      </c>
      <c r="M393">
        <v>4</v>
      </c>
      <c r="N393">
        <v>0</v>
      </c>
      <c r="O393">
        <v>25</v>
      </c>
      <c r="P393">
        <v>2</v>
      </c>
      <c r="Q393">
        <v>6.2</v>
      </c>
      <c r="R393">
        <v>40</v>
      </c>
      <c r="S393">
        <v>0</v>
      </c>
      <c r="T393">
        <v>0</v>
      </c>
      <c r="U393" s="8">
        <v>40</v>
      </c>
      <c r="V393" s="8">
        <f t="shared" si="12"/>
        <v>4</v>
      </c>
      <c r="W393" t="str">
        <f>_xlfn.XLOOKUP(A393, Matches!A:A, Matches!L:L, "NA", 0)</f>
        <v>DCW</v>
      </c>
      <c r="X393" t="str">
        <f>_xlfn.XLOOKUP(A393, Matches!A:A, Matches!J:J, "NA", 0)</f>
        <v>DCW</v>
      </c>
      <c r="Y393" t="str">
        <f>_xlfn.XLOOKUP(A393, Matches!A:A, Matches!F:F, "NA", 0)</f>
        <v>Dr DY Patil Sports </v>
      </c>
      <c r="Z393" cm="1">
        <f t="array" ref="Z393">INDEX(Innings!F:F,MATCH(1,(TRIM(Innings!A:A)=TRIM(A393))*(TRIM(Innings!D:D)=TRIM(E393)),0))</f>
        <v>110</v>
      </c>
      <c r="AA393" cm="1">
        <f t="array" ref="AA393">INDEX(Innings!I:I,MATCH(1,(TRIM(Innings!A:A)=TRIM(A393))*(TRIM(Innings!D:D)=TRIM(E393)),0))</f>
        <v>12.22</v>
      </c>
      <c r="AB393" cm="1">
        <f t="array" ref="AB393">INDEX(Innings!J:J,MATCH(1,(TRIM(Innings!A:A)=TRIM(A393))*(TRIM(Innings!D:D)=TRIM(E393)),0))</f>
        <v>67</v>
      </c>
      <c r="AC393" cm="1">
        <f t="array" ref="AC393">INDEX(Innings!N:N,MATCH(1,(TRIM(Innings!A:A)=TRIM(A393))*(TRIM(Innings!D:D)=TRIM(E393)),0))</f>
        <v>0</v>
      </c>
      <c r="AD393" cm="1">
        <f t="array" ref="AD393">INDEX(Innings!S:S,MATCH(1,(TRIM(Innings!A:A)=TRIM(A393))*(TRIM(Innings!D:D)=TRIM(E393)),0))</f>
        <v>18</v>
      </c>
      <c r="AE393" t="str" cm="1">
        <f t="array" ref="AE393">INDEX(Innings!W:W,MATCH(1,(TRIM(Innings!A:A)=TRIM(A393))*(TRIM(Innings!D:D)=TRIM(E393)),0))</f>
        <v>Successful</v>
      </c>
      <c r="AF393">
        <f>IF(UPPER(TRIM(E393))=UPPER(TRIM(W393)),1,0)</f>
        <v>1</v>
      </c>
      <c r="AG393">
        <f t="shared" si="13"/>
        <v>41.2</v>
      </c>
    </row>
    <row r="394" spans="1:33" x14ac:dyDescent="0.3">
      <c r="A394" t="s">
        <v>151</v>
      </c>
      <c r="B394">
        <v>1</v>
      </c>
      <c r="C394" t="s">
        <v>206</v>
      </c>
      <c r="D394" t="s">
        <v>207</v>
      </c>
      <c r="E394" t="s">
        <v>158</v>
      </c>
      <c r="F394" t="s">
        <v>101</v>
      </c>
      <c r="G394" t="s">
        <v>135</v>
      </c>
      <c r="H394">
        <v>0</v>
      </c>
      <c r="I394">
        <v>0</v>
      </c>
      <c r="J394">
        <v>0</v>
      </c>
      <c r="K394" t="s">
        <v>104</v>
      </c>
      <c r="L394">
        <v>0</v>
      </c>
      <c r="M394">
        <v>3</v>
      </c>
      <c r="N394">
        <v>0</v>
      </c>
      <c r="O394">
        <v>18</v>
      </c>
      <c r="P394">
        <v>0</v>
      </c>
      <c r="Q394">
        <v>6</v>
      </c>
      <c r="R394">
        <v>0</v>
      </c>
      <c r="S394">
        <v>0</v>
      </c>
      <c r="T394">
        <v>0</v>
      </c>
      <c r="U394" s="8">
        <v>0</v>
      </c>
      <c r="V394" s="8">
        <f t="shared" si="12"/>
        <v>0</v>
      </c>
      <c r="W394" t="str">
        <f>_xlfn.XLOOKUP(A394, Matches!A:A, Matches!L:L, "NA", 0)</f>
        <v>DCW</v>
      </c>
      <c r="X394" t="str">
        <f>_xlfn.XLOOKUP(A394, Matches!A:A, Matches!J:J, "NA", 0)</f>
        <v>DCW</v>
      </c>
      <c r="Y394" t="str">
        <f>_xlfn.XLOOKUP(A394, Matches!A:A, Matches!F:F, "NA", 0)</f>
        <v>Dr DY Patil Sports </v>
      </c>
      <c r="Z394" cm="1">
        <f t="array" ref="Z394">INDEX(Innings!F:F,MATCH(1,(TRIM(Innings!A:A)=TRIM(A394))*(TRIM(Innings!D:D)=TRIM(E394)),0))</f>
        <v>110</v>
      </c>
      <c r="AA394" cm="1">
        <f t="array" ref="AA394">INDEX(Innings!I:I,MATCH(1,(TRIM(Innings!A:A)=TRIM(A394))*(TRIM(Innings!D:D)=TRIM(E394)),0))</f>
        <v>12.22</v>
      </c>
      <c r="AB394" cm="1">
        <f t="array" ref="AB394">INDEX(Innings!J:J,MATCH(1,(TRIM(Innings!A:A)=TRIM(A394))*(TRIM(Innings!D:D)=TRIM(E394)),0))</f>
        <v>67</v>
      </c>
      <c r="AC394" cm="1">
        <f t="array" ref="AC394">INDEX(Innings!N:N,MATCH(1,(TRIM(Innings!A:A)=TRIM(A394))*(TRIM(Innings!D:D)=TRIM(E394)),0))</f>
        <v>0</v>
      </c>
      <c r="AD394" cm="1">
        <f t="array" ref="AD394">INDEX(Innings!S:S,MATCH(1,(TRIM(Innings!A:A)=TRIM(A394))*(TRIM(Innings!D:D)=TRIM(E394)),0))</f>
        <v>18</v>
      </c>
      <c r="AE394" t="str" cm="1">
        <f t="array" ref="AE394">INDEX(Innings!W:W,MATCH(1,(TRIM(Innings!A:A)=TRIM(A394))*(TRIM(Innings!D:D)=TRIM(E394)),0))</f>
        <v>Successful</v>
      </c>
      <c r="AF394">
        <f>IF(UPPER(TRIM(E394))=UPPER(TRIM(W394)),1,0)</f>
        <v>1</v>
      </c>
      <c r="AG394">
        <f t="shared" si="13"/>
        <v>20</v>
      </c>
    </row>
    <row r="395" spans="1:33" x14ac:dyDescent="0.3">
      <c r="A395" t="s">
        <v>151</v>
      </c>
      <c r="B395">
        <v>1</v>
      </c>
      <c r="C395" t="s">
        <v>202</v>
      </c>
      <c r="D395" t="s">
        <v>203</v>
      </c>
      <c r="E395" t="s">
        <v>158</v>
      </c>
      <c r="F395" t="s">
        <v>101</v>
      </c>
      <c r="G395" t="s">
        <v>135</v>
      </c>
      <c r="H395">
        <v>0</v>
      </c>
      <c r="I395">
        <v>0</v>
      </c>
      <c r="J395">
        <v>0</v>
      </c>
      <c r="K395" t="s">
        <v>104</v>
      </c>
      <c r="L395">
        <v>0</v>
      </c>
      <c r="M395">
        <v>3</v>
      </c>
      <c r="N395">
        <v>0</v>
      </c>
      <c r="O395">
        <v>10</v>
      </c>
      <c r="P395">
        <v>1</v>
      </c>
      <c r="Q395">
        <v>3.3</v>
      </c>
      <c r="R395">
        <v>20</v>
      </c>
      <c r="S395">
        <v>0</v>
      </c>
      <c r="T395">
        <v>0</v>
      </c>
      <c r="U395" s="8">
        <v>20</v>
      </c>
      <c r="V395" s="8">
        <f t="shared" si="12"/>
        <v>2</v>
      </c>
      <c r="W395" t="str">
        <f>_xlfn.XLOOKUP(A395, Matches!A:A, Matches!L:L, "NA", 0)</f>
        <v>DCW</v>
      </c>
      <c r="X395" t="str">
        <f>_xlfn.XLOOKUP(A395, Matches!A:A, Matches!J:J, "NA", 0)</f>
        <v>DCW</v>
      </c>
      <c r="Y395" t="str">
        <f>_xlfn.XLOOKUP(A395, Matches!A:A, Matches!F:F, "NA", 0)</f>
        <v>Dr DY Patil Sports </v>
      </c>
      <c r="Z395" cm="1">
        <f t="array" ref="Z395">INDEX(Innings!F:F,MATCH(1,(TRIM(Innings!A:A)=TRIM(A395))*(TRIM(Innings!D:D)=TRIM(E395)),0))</f>
        <v>110</v>
      </c>
      <c r="AA395" cm="1">
        <f t="array" ref="AA395">INDEX(Innings!I:I,MATCH(1,(TRIM(Innings!A:A)=TRIM(A395))*(TRIM(Innings!D:D)=TRIM(E395)),0))</f>
        <v>12.22</v>
      </c>
      <c r="AB395" cm="1">
        <f t="array" ref="AB395">INDEX(Innings!J:J,MATCH(1,(TRIM(Innings!A:A)=TRIM(A395))*(TRIM(Innings!D:D)=TRIM(E395)),0))</f>
        <v>67</v>
      </c>
      <c r="AC395" cm="1">
        <f t="array" ref="AC395">INDEX(Innings!N:N,MATCH(1,(TRIM(Innings!A:A)=TRIM(A395))*(TRIM(Innings!D:D)=TRIM(E395)),0))</f>
        <v>0</v>
      </c>
      <c r="AD395" cm="1">
        <f t="array" ref="AD395">INDEX(Innings!S:S,MATCH(1,(TRIM(Innings!A:A)=TRIM(A395))*(TRIM(Innings!D:D)=TRIM(E395)),0))</f>
        <v>18</v>
      </c>
      <c r="AE395" t="str" cm="1">
        <f t="array" ref="AE395">INDEX(Innings!W:W,MATCH(1,(TRIM(Innings!A:A)=TRIM(A395))*(TRIM(Innings!D:D)=TRIM(E395)),0))</f>
        <v>Successful</v>
      </c>
      <c r="AF395">
        <f>IF(UPPER(TRIM(E395))=UPPER(TRIM(W395)),1,0)</f>
        <v>1</v>
      </c>
      <c r="AG395">
        <f t="shared" si="13"/>
        <v>30.6</v>
      </c>
    </row>
    <row r="396" spans="1:33" x14ac:dyDescent="0.3">
      <c r="A396" t="s">
        <v>151</v>
      </c>
      <c r="B396">
        <v>1</v>
      </c>
      <c r="C396" t="s">
        <v>204</v>
      </c>
      <c r="D396" t="s">
        <v>205</v>
      </c>
      <c r="E396" t="s">
        <v>158</v>
      </c>
      <c r="F396" t="s">
        <v>91</v>
      </c>
      <c r="G396" t="s">
        <v>135</v>
      </c>
      <c r="H396">
        <v>0</v>
      </c>
      <c r="I396">
        <v>0</v>
      </c>
      <c r="J396">
        <v>0</v>
      </c>
      <c r="K396" t="s">
        <v>104</v>
      </c>
      <c r="L396">
        <v>0</v>
      </c>
      <c r="M396">
        <v>4</v>
      </c>
      <c r="N396">
        <v>0</v>
      </c>
      <c r="O396">
        <v>21</v>
      </c>
      <c r="P396">
        <v>2</v>
      </c>
      <c r="Q396">
        <v>5.2</v>
      </c>
      <c r="R396">
        <v>40</v>
      </c>
      <c r="S396">
        <v>0</v>
      </c>
      <c r="T396">
        <v>0</v>
      </c>
      <c r="U396" s="8">
        <v>40</v>
      </c>
      <c r="V396" s="8">
        <f t="shared" si="12"/>
        <v>4</v>
      </c>
      <c r="W396" t="str">
        <f>_xlfn.XLOOKUP(A396, Matches!A:A, Matches!L:L, "NA", 0)</f>
        <v>DCW</v>
      </c>
      <c r="X396" t="str">
        <f>_xlfn.XLOOKUP(A396, Matches!A:A, Matches!J:J, "NA", 0)</f>
        <v>DCW</v>
      </c>
      <c r="Y396" t="str">
        <f>_xlfn.XLOOKUP(A396, Matches!A:A, Matches!F:F, "NA", 0)</f>
        <v>Dr DY Patil Sports </v>
      </c>
      <c r="Z396" cm="1">
        <f t="array" ref="Z396">INDEX(Innings!F:F,MATCH(1,(TRIM(Innings!A:A)=TRIM(A396))*(TRIM(Innings!D:D)=TRIM(E396)),0))</f>
        <v>110</v>
      </c>
      <c r="AA396" cm="1">
        <f t="array" ref="AA396">INDEX(Innings!I:I,MATCH(1,(TRIM(Innings!A:A)=TRIM(A396))*(TRIM(Innings!D:D)=TRIM(E396)),0))</f>
        <v>12.22</v>
      </c>
      <c r="AB396" cm="1">
        <f t="array" ref="AB396">INDEX(Innings!J:J,MATCH(1,(TRIM(Innings!A:A)=TRIM(A396))*(TRIM(Innings!D:D)=TRIM(E396)),0))</f>
        <v>67</v>
      </c>
      <c r="AC396" cm="1">
        <f t="array" ref="AC396">INDEX(Innings!N:N,MATCH(1,(TRIM(Innings!A:A)=TRIM(A396))*(TRIM(Innings!D:D)=TRIM(E396)),0))</f>
        <v>0</v>
      </c>
      <c r="AD396" cm="1">
        <f t="array" ref="AD396">INDEX(Innings!S:S,MATCH(1,(TRIM(Innings!A:A)=TRIM(A396))*(TRIM(Innings!D:D)=TRIM(E396)),0))</f>
        <v>18</v>
      </c>
      <c r="AE396" t="str" cm="1">
        <f t="array" ref="AE396">INDEX(Innings!W:W,MATCH(1,(TRIM(Innings!A:A)=TRIM(A396))*(TRIM(Innings!D:D)=TRIM(E396)),0))</f>
        <v>Successful</v>
      </c>
      <c r="AF396">
        <f>IF(UPPER(TRIM(E396))=UPPER(TRIM(W396)),1,0)</f>
        <v>1</v>
      </c>
      <c r="AG396">
        <f t="shared" si="13"/>
        <v>41.2</v>
      </c>
    </row>
    <row r="397" spans="1:33" x14ac:dyDescent="0.3">
      <c r="A397" t="s">
        <v>151</v>
      </c>
      <c r="B397">
        <v>1</v>
      </c>
      <c r="C397" t="s">
        <v>332</v>
      </c>
      <c r="D397" t="s">
        <v>312</v>
      </c>
      <c r="E397" t="s">
        <v>158</v>
      </c>
      <c r="F397" t="s">
        <v>101</v>
      </c>
      <c r="G397" t="s">
        <v>135</v>
      </c>
      <c r="H397">
        <v>0</v>
      </c>
      <c r="I397">
        <v>0</v>
      </c>
      <c r="J397">
        <v>0</v>
      </c>
      <c r="K397" t="s">
        <v>104</v>
      </c>
      <c r="L397">
        <v>0</v>
      </c>
      <c r="M397">
        <v>1</v>
      </c>
      <c r="N397">
        <v>0</v>
      </c>
      <c r="O397">
        <v>18</v>
      </c>
      <c r="P397">
        <v>0</v>
      </c>
      <c r="Q397">
        <v>18</v>
      </c>
      <c r="R397">
        <v>0</v>
      </c>
      <c r="S397">
        <v>0</v>
      </c>
      <c r="T397">
        <v>0</v>
      </c>
      <c r="U397" s="8">
        <v>0</v>
      </c>
      <c r="V397" s="8">
        <f t="shared" si="12"/>
        <v>0</v>
      </c>
      <c r="W397" t="str">
        <f>_xlfn.XLOOKUP(A397, Matches!A:A, Matches!L:L, "NA", 0)</f>
        <v>DCW</v>
      </c>
      <c r="X397" t="str">
        <f>_xlfn.XLOOKUP(A397, Matches!A:A, Matches!J:J, "NA", 0)</f>
        <v>DCW</v>
      </c>
      <c r="Y397" t="str">
        <f>_xlfn.XLOOKUP(A397, Matches!A:A, Matches!F:F, "NA", 0)</f>
        <v>Dr DY Patil Sports </v>
      </c>
      <c r="Z397" cm="1">
        <f t="array" ref="Z397">INDEX(Innings!F:F,MATCH(1,(TRIM(Innings!A:A)=TRIM(A397))*(TRIM(Innings!D:D)=TRIM(E397)),0))</f>
        <v>110</v>
      </c>
      <c r="AA397" cm="1">
        <f t="array" ref="AA397">INDEX(Innings!I:I,MATCH(1,(TRIM(Innings!A:A)=TRIM(A397))*(TRIM(Innings!D:D)=TRIM(E397)),0))</f>
        <v>12.22</v>
      </c>
      <c r="AB397" cm="1">
        <f t="array" ref="AB397">INDEX(Innings!J:J,MATCH(1,(TRIM(Innings!A:A)=TRIM(A397))*(TRIM(Innings!D:D)=TRIM(E397)),0))</f>
        <v>67</v>
      </c>
      <c r="AC397" cm="1">
        <f t="array" ref="AC397">INDEX(Innings!N:N,MATCH(1,(TRIM(Innings!A:A)=TRIM(A397))*(TRIM(Innings!D:D)=TRIM(E397)),0))</f>
        <v>0</v>
      </c>
      <c r="AD397" cm="1">
        <f t="array" ref="AD397">INDEX(Innings!S:S,MATCH(1,(TRIM(Innings!A:A)=TRIM(A397))*(TRIM(Innings!D:D)=TRIM(E397)),0))</f>
        <v>18</v>
      </c>
      <c r="AE397" t="str" cm="1">
        <f t="array" ref="AE397">INDEX(Innings!W:W,MATCH(1,(TRIM(Innings!A:A)=TRIM(A397))*(TRIM(Innings!D:D)=TRIM(E397)),0))</f>
        <v>Successful</v>
      </c>
      <c r="AF397">
        <f>IF(UPPER(TRIM(E397))=UPPER(TRIM(W397)),1,0)</f>
        <v>1</v>
      </c>
      <c r="AG397">
        <f t="shared" si="13"/>
        <v>20</v>
      </c>
    </row>
    <row r="398" spans="1:33" x14ac:dyDescent="0.3">
      <c r="A398" t="s">
        <v>152</v>
      </c>
      <c r="B398">
        <v>1</v>
      </c>
      <c r="C398" t="s">
        <v>165</v>
      </c>
      <c r="D398" t="s">
        <v>166</v>
      </c>
      <c r="E398" t="s">
        <v>159</v>
      </c>
      <c r="F398" t="s">
        <v>109</v>
      </c>
      <c r="G398" t="s">
        <v>86</v>
      </c>
      <c r="H398">
        <v>24</v>
      </c>
      <c r="I398">
        <v>25</v>
      </c>
      <c r="J398">
        <v>96</v>
      </c>
      <c r="K398" t="s">
        <v>246</v>
      </c>
      <c r="L398">
        <v>28.6</v>
      </c>
      <c r="M398">
        <v>0.3</v>
      </c>
      <c r="N398">
        <v>0</v>
      </c>
      <c r="O398">
        <v>9</v>
      </c>
      <c r="P398">
        <v>0</v>
      </c>
      <c r="Q398">
        <v>18</v>
      </c>
      <c r="R398">
        <v>-36</v>
      </c>
      <c r="S398">
        <v>0</v>
      </c>
      <c r="T398">
        <v>0</v>
      </c>
      <c r="U398" s="8">
        <v>-7.4</v>
      </c>
      <c r="V398" s="8">
        <f t="shared" si="12"/>
        <v>0</v>
      </c>
      <c r="W398" t="str">
        <f>_xlfn.XLOOKUP(A398, Matches!A:A, Matches!L:L, "NA", 0)</f>
        <v>MIW</v>
      </c>
      <c r="X398" t="str">
        <f>_xlfn.XLOOKUP(A398, Matches!A:A, Matches!J:J, "NA", 0)</f>
        <v>MIW</v>
      </c>
      <c r="Y398" t="str">
        <f>_xlfn.XLOOKUP(A398, Matches!A:A, Matches!F:F, "NA", 0)</f>
        <v>Dr DY Patil Sports </v>
      </c>
      <c r="Z398" cm="1">
        <f t="array" ref="Z398">INDEX(Innings!F:F,MATCH(1,(TRIM(Innings!A:A)=TRIM(A398))*(TRIM(Innings!D:D)=TRIM(E398)),0))</f>
        <v>125</v>
      </c>
      <c r="AA398" cm="1">
        <f t="array" ref="AA398">INDEX(Innings!I:I,MATCH(1,(TRIM(Innings!A:A)=TRIM(A398))*(TRIM(Innings!D:D)=TRIM(E398)),0))</f>
        <v>6.25</v>
      </c>
      <c r="AB398" cm="1">
        <f t="array" ref="AB398">INDEX(Innings!J:J,MATCH(1,(TRIM(Innings!A:A)=TRIM(A398))*(TRIM(Innings!D:D)=TRIM(E398)),0))</f>
        <v>32</v>
      </c>
      <c r="AC398" cm="1">
        <f t="array" ref="AC398">INDEX(Innings!N:N,MATCH(1,(TRIM(Innings!A:A)=TRIM(A398))*(TRIM(Innings!D:D)=TRIM(E398)),0))</f>
        <v>34</v>
      </c>
      <c r="AD398" cm="1">
        <f t="array" ref="AD398">INDEX(Innings!S:S,MATCH(1,(TRIM(Innings!A:A)=TRIM(A398))*(TRIM(Innings!D:D)=TRIM(E398)),0))</f>
        <v>51</v>
      </c>
      <c r="AE398" t="str" cm="1">
        <f t="array" ref="AE398">INDEX(Innings!W:W,MATCH(1,(TRIM(Innings!A:A)=TRIM(A398))*(TRIM(Innings!D:D)=TRIM(E398)),0))</f>
        <v>NA</v>
      </c>
      <c r="AF398">
        <f>IF(UPPER(TRIM(E398))=UPPER(TRIM(W398)),1,0)</f>
        <v>0</v>
      </c>
      <c r="AG398">
        <f t="shared" si="13"/>
        <v>0</v>
      </c>
    </row>
    <row r="399" spans="1:33" x14ac:dyDescent="0.3">
      <c r="A399" t="s">
        <v>152</v>
      </c>
      <c r="B399">
        <v>1</v>
      </c>
      <c r="C399" t="s">
        <v>167</v>
      </c>
      <c r="D399" t="s">
        <v>168</v>
      </c>
      <c r="E399" t="s">
        <v>159</v>
      </c>
      <c r="F399" t="s">
        <v>169</v>
      </c>
      <c r="G399" t="s">
        <v>86</v>
      </c>
      <c r="H399">
        <v>0</v>
      </c>
      <c r="I399">
        <v>2</v>
      </c>
      <c r="J399">
        <v>0</v>
      </c>
      <c r="K399" t="s">
        <v>256</v>
      </c>
      <c r="L399">
        <v>-5</v>
      </c>
      <c r="M399">
        <v>1</v>
      </c>
      <c r="N399">
        <v>0</v>
      </c>
      <c r="O399">
        <v>17</v>
      </c>
      <c r="P399">
        <v>0</v>
      </c>
      <c r="Q399">
        <v>17</v>
      </c>
      <c r="R399">
        <v>-34</v>
      </c>
      <c r="S399">
        <v>0</v>
      </c>
      <c r="T399">
        <v>0</v>
      </c>
      <c r="U399" s="8">
        <v>-39</v>
      </c>
      <c r="V399" s="8">
        <f t="shared" si="12"/>
        <v>0</v>
      </c>
      <c r="W399" t="str">
        <f>_xlfn.XLOOKUP(A399, Matches!A:A, Matches!L:L, "NA", 0)</f>
        <v>MIW</v>
      </c>
      <c r="X399" t="str">
        <f>_xlfn.XLOOKUP(A399, Matches!A:A, Matches!J:J, "NA", 0)</f>
        <v>MIW</v>
      </c>
      <c r="Y399" t="str">
        <f>_xlfn.XLOOKUP(A399, Matches!A:A, Matches!F:F, "NA", 0)</f>
        <v>Dr DY Patil Sports </v>
      </c>
      <c r="Z399" cm="1">
        <f t="array" ref="Z399">INDEX(Innings!F:F,MATCH(1,(TRIM(Innings!A:A)=TRIM(A399))*(TRIM(Innings!D:D)=TRIM(E399)),0))</f>
        <v>125</v>
      </c>
      <c r="AA399" cm="1">
        <f t="array" ref="AA399">INDEX(Innings!I:I,MATCH(1,(TRIM(Innings!A:A)=TRIM(A399))*(TRIM(Innings!D:D)=TRIM(E399)),0))</f>
        <v>6.25</v>
      </c>
      <c r="AB399" cm="1">
        <f t="array" ref="AB399">INDEX(Innings!J:J,MATCH(1,(TRIM(Innings!A:A)=TRIM(A399))*(TRIM(Innings!D:D)=TRIM(E399)),0))</f>
        <v>32</v>
      </c>
      <c r="AC399" cm="1">
        <f t="array" ref="AC399">INDEX(Innings!N:N,MATCH(1,(TRIM(Innings!A:A)=TRIM(A399))*(TRIM(Innings!D:D)=TRIM(E399)),0))</f>
        <v>34</v>
      </c>
      <c r="AD399" cm="1">
        <f t="array" ref="AD399">INDEX(Innings!S:S,MATCH(1,(TRIM(Innings!A:A)=TRIM(A399))*(TRIM(Innings!D:D)=TRIM(E399)),0))</f>
        <v>51</v>
      </c>
      <c r="AE399" t="str" cm="1">
        <f t="array" ref="AE399">INDEX(Innings!W:W,MATCH(1,(TRIM(Innings!A:A)=TRIM(A399))*(TRIM(Innings!D:D)=TRIM(E399)),0))</f>
        <v>NA</v>
      </c>
      <c r="AF399">
        <f>IF(UPPER(TRIM(E399))=UPPER(TRIM(W399)),1,0)</f>
        <v>0</v>
      </c>
      <c r="AG399">
        <f t="shared" si="13"/>
        <v>0</v>
      </c>
    </row>
    <row r="400" spans="1:33" x14ac:dyDescent="0.3">
      <c r="A400" t="s">
        <v>152</v>
      </c>
      <c r="B400">
        <v>1</v>
      </c>
      <c r="C400" t="s">
        <v>174</v>
      </c>
      <c r="D400" t="s">
        <v>175</v>
      </c>
      <c r="E400" t="s">
        <v>159</v>
      </c>
      <c r="F400" t="s">
        <v>169</v>
      </c>
      <c r="G400" t="s">
        <v>92</v>
      </c>
      <c r="H400">
        <v>29</v>
      </c>
      <c r="I400">
        <v>38</v>
      </c>
      <c r="J400">
        <v>76.319999999999993</v>
      </c>
      <c r="K400" t="s">
        <v>247</v>
      </c>
      <c r="L400">
        <v>31.63</v>
      </c>
      <c r="M400">
        <v>2</v>
      </c>
      <c r="N400">
        <v>0</v>
      </c>
      <c r="O400">
        <v>18</v>
      </c>
      <c r="P400">
        <v>1</v>
      </c>
      <c r="Q400">
        <v>9</v>
      </c>
      <c r="R400">
        <v>2</v>
      </c>
      <c r="S400">
        <v>0</v>
      </c>
      <c r="T400">
        <v>0</v>
      </c>
      <c r="U400" s="8">
        <v>34</v>
      </c>
      <c r="V400" s="8">
        <f t="shared" si="12"/>
        <v>3</v>
      </c>
      <c r="W400" t="str">
        <f>_xlfn.XLOOKUP(A400, Matches!A:A, Matches!L:L, "NA", 0)</f>
        <v>MIW</v>
      </c>
      <c r="X400" t="str">
        <f>_xlfn.XLOOKUP(A400, Matches!A:A, Matches!J:J, "NA", 0)</f>
        <v>MIW</v>
      </c>
      <c r="Y400" t="str">
        <f>_xlfn.XLOOKUP(A400, Matches!A:A, Matches!F:F, "NA", 0)</f>
        <v>Dr DY Patil Sports </v>
      </c>
      <c r="Z400" cm="1">
        <f t="array" ref="Z400">INDEX(Innings!F:F,MATCH(1,(TRIM(Innings!A:A)=TRIM(A400))*(TRIM(Innings!D:D)=TRIM(E400)),0))</f>
        <v>125</v>
      </c>
      <c r="AA400" cm="1">
        <f t="array" ref="AA400">INDEX(Innings!I:I,MATCH(1,(TRIM(Innings!A:A)=TRIM(A400))*(TRIM(Innings!D:D)=TRIM(E400)),0))</f>
        <v>6.25</v>
      </c>
      <c r="AB400" cm="1">
        <f t="array" ref="AB400">INDEX(Innings!J:J,MATCH(1,(TRIM(Innings!A:A)=TRIM(A400))*(TRIM(Innings!D:D)=TRIM(E400)),0))</f>
        <v>32</v>
      </c>
      <c r="AC400" cm="1">
        <f t="array" ref="AC400">INDEX(Innings!N:N,MATCH(1,(TRIM(Innings!A:A)=TRIM(A400))*(TRIM(Innings!D:D)=TRIM(E400)),0))</f>
        <v>34</v>
      </c>
      <c r="AD400" cm="1">
        <f t="array" ref="AD400">INDEX(Innings!S:S,MATCH(1,(TRIM(Innings!A:A)=TRIM(A400))*(TRIM(Innings!D:D)=TRIM(E400)),0))</f>
        <v>51</v>
      </c>
      <c r="AE400" t="str" cm="1">
        <f t="array" ref="AE400">INDEX(Innings!W:W,MATCH(1,(TRIM(Innings!A:A)=TRIM(A400))*(TRIM(Innings!D:D)=TRIM(E400)),0))</f>
        <v>NA</v>
      </c>
      <c r="AF400">
        <f>IF(UPPER(TRIM(E400))=UPPER(TRIM(W400)),1,0)</f>
        <v>0</v>
      </c>
      <c r="AG400">
        <f t="shared" si="13"/>
        <v>17.899999999999999</v>
      </c>
    </row>
    <row r="401" spans="1:33" x14ac:dyDescent="0.3">
      <c r="A401" t="s">
        <v>152</v>
      </c>
      <c r="B401">
        <v>1</v>
      </c>
      <c r="C401" t="s">
        <v>170</v>
      </c>
      <c r="D401" t="s">
        <v>171</v>
      </c>
      <c r="E401" t="s">
        <v>159</v>
      </c>
      <c r="F401" t="s">
        <v>169</v>
      </c>
      <c r="G401" t="s">
        <v>134</v>
      </c>
      <c r="H401">
        <v>12</v>
      </c>
      <c r="I401">
        <v>13</v>
      </c>
      <c r="J401">
        <v>92.31</v>
      </c>
      <c r="K401" t="s">
        <v>246</v>
      </c>
      <c r="L401">
        <v>16.23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 s="8">
        <v>16</v>
      </c>
      <c r="V401" s="8">
        <f t="shared" si="12"/>
        <v>2</v>
      </c>
      <c r="W401" t="str">
        <f>_xlfn.XLOOKUP(A401, Matches!A:A, Matches!L:L, "NA", 0)</f>
        <v>MIW</v>
      </c>
      <c r="X401" t="str">
        <f>_xlfn.XLOOKUP(A401, Matches!A:A, Matches!J:J, "NA", 0)</f>
        <v>MIW</v>
      </c>
      <c r="Y401" t="str">
        <f>_xlfn.XLOOKUP(A401, Matches!A:A, Matches!F:F, "NA", 0)</f>
        <v>Dr DY Patil Sports </v>
      </c>
      <c r="Z401" cm="1">
        <f t="array" ref="Z401">INDEX(Innings!F:F,MATCH(1,(TRIM(Innings!A:A)=TRIM(A401))*(TRIM(Innings!D:D)=TRIM(E401)),0))</f>
        <v>125</v>
      </c>
      <c r="AA401" cm="1">
        <f t="array" ref="AA401">INDEX(Innings!I:I,MATCH(1,(TRIM(Innings!A:A)=TRIM(A401))*(TRIM(Innings!D:D)=TRIM(E401)),0))</f>
        <v>6.25</v>
      </c>
      <c r="AB401" cm="1">
        <f t="array" ref="AB401">INDEX(Innings!J:J,MATCH(1,(TRIM(Innings!A:A)=TRIM(A401))*(TRIM(Innings!D:D)=TRIM(E401)),0))</f>
        <v>32</v>
      </c>
      <c r="AC401" cm="1">
        <f t="array" ref="AC401">INDEX(Innings!N:N,MATCH(1,(TRIM(Innings!A:A)=TRIM(A401))*(TRIM(Innings!D:D)=TRIM(E401)),0))</f>
        <v>34</v>
      </c>
      <c r="AD401" cm="1">
        <f t="array" ref="AD401">INDEX(Innings!S:S,MATCH(1,(TRIM(Innings!A:A)=TRIM(A401))*(TRIM(Innings!D:D)=TRIM(E401)),0))</f>
        <v>51</v>
      </c>
      <c r="AE401" t="str" cm="1">
        <f t="array" ref="AE401">INDEX(Innings!W:W,MATCH(1,(TRIM(Innings!A:A)=TRIM(A401))*(TRIM(Innings!D:D)=TRIM(E401)),0))</f>
        <v>NA</v>
      </c>
      <c r="AF401">
        <f>IF(UPPER(TRIM(E401))=UPPER(TRIM(W401)),1,0)</f>
        <v>0</v>
      </c>
      <c r="AG401">
        <f t="shared" si="13"/>
        <v>8.6</v>
      </c>
    </row>
    <row r="402" spans="1:33" x14ac:dyDescent="0.3">
      <c r="A402" t="s">
        <v>152</v>
      </c>
      <c r="B402">
        <v>1</v>
      </c>
      <c r="C402" t="s">
        <v>176</v>
      </c>
      <c r="D402" t="s">
        <v>177</v>
      </c>
      <c r="E402" t="s">
        <v>159</v>
      </c>
      <c r="F402" t="s">
        <v>85</v>
      </c>
      <c r="G402" t="s">
        <v>134</v>
      </c>
      <c r="H402">
        <v>29</v>
      </c>
      <c r="I402">
        <v>13</v>
      </c>
      <c r="J402">
        <v>223.08</v>
      </c>
      <c r="K402" t="s">
        <v>246</v>
      </c>
      <c r="L402">
        <v>46.31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 s="8">
        <v>46</v>
      </c>
      <c r="V402" s="8">
        <f t="shared" si="12"/>
        <v>5</v>
      </c>
      <c r="W402" t="str">
        <f>_xlfn.XLOOKUP(A402, Matches!A:A, Matches!L:L, "NA", 0)</f>
        <v>MIW</v>
      </c>
      <c r="X402" t="str">
        <f>_xlfn.XLOOKUP(A402, Matches!A:A, Matches!J:J, "NA", 0)</f>
        <v>MIW</v>
      </c>
      <c r="Y402" t="str">
        <f>_xlfn.XLOOKUP(A402, Matches!A:A, Matches!F:F, "NA", 0)</f>
        <v>Dr DY Patil Sports </v>
      </c>
      <c r="Z402" cm="1">
        <f t="array" ref="Z402">INDEX(Innings!F:F,MATCH(1,(TRIM(Innings!A:A)=TRIM(A402))*(TRIM(Innings!D:D)=TRIM(E402)),0))</f>
        <v>125</v>
      </c>
      <c r="AA402" cm="1">
        <f t="array" ref="AA402">INDEX(Innings!I:I,MATCH(1,(TRIM(Innings!A:A)=TRIM(A402))*(TRIM(Innings!D:D)=TRIM(E402)),0))</f>
        <v>6.25</v>
      </c>
      <c r="AB402" cm="1">
        <f t="array" ref="AB402">INDEX(Innings!J:J,MATCH(1,(TRIM(Innings!A:A)=TRIM(A402))*(TRIM(Innings!D:D)=TRIM(E402)),0))</f>
        <v>32</v>
      </c>
      <c r="AC402" cm="1">
        <f t="array" ref="AC402">INDEX(Innings!N:N,MATCH(1,(TRIM(Innings!A:A)=TRIM(A402))*(TRIM(Innings!D:D)=TRIM(E402)),0))</f>
        <v>34</v>
      </c>
      <c r="AD402" cm="1">
        <f t="array" ref="AD402">INDEX(Innings!S:S,MATCH(1,(TRIM(Innings!A:A)=TRIM(A402))*(TRIM(Innings!D:D)=TRIM(E402)),0))</f>
        <v>51</v>
      </c>
      <c r="AE402" t="str" cm="1">
        <f t="array" ref="AE402">INDEX(Innings!W:W,MATCH(1,(TRIM(Innings!A:A)=TRIM(A402))*(TRIM(Innings!D:D)=TRIM(E402)),0))</f>
        <v>NA</v>
      </c>
      <c r="AF402">
        <f>IF(UPPER(TRIM(E402))=UPPER(TRIM(W402)),1,0)</f>
        <v>0</v>
      </c>
      <c r="AG402">
        <f t="shared" si="13"/>
        <v>24.5</v>
      </c>
    </row>
    <row r="403" spans="1:33" x14ac:dyDescent="0.3">
      <c r="A403" t="s">
        <v>152</v>
      </c>
      <c r="B403">
        <v>1</v>
      </c>
      <c r="C403" t="s">
        <v>178</v>
      </c>
      <c r="D403" t="s">
        <v>179</v>
      </c>
      <c r="E403" t="s">
        <v>159</v>
      </c>
      <c r="F403" t="s">
        <v>169</v>
      </c>
      <c r="G403" t="s">
        <v>135</v>
      </c>
      <c r="H403">
        <v>12</v>
      </c>
      <c r="I403">
        <v>13</v>
      </c>
      <c r="J403">
        <v>92.31</v>
      </c>
      <c r="K403" t="s">
        <v>248</v>
      </c>
      <c r="L403">
        <v>16.23</v>
      </c>
      <c r="M403">
        <v>1</v>
      </c>
      <c r="N403">
        <v>0</v>
      </c>
      <c r="O403">
        <v>5</v>
      </c>
      <c r="P403">
        <v>2</v>
      </c>
      <c r="Q403">
        <v>5</v>
      </c>
      <c r="R403">
        <v>30</v>
      </c>
      <c r="S403">
        <v>0</v>
      </c>
      <c r="T403">
        <v>0</v>
      </c>
      <c r="U403" s="8">
        <v>46</v>
      </c>
      <c r="V403" s="8">
        <f t="shared" si="12"/>
        <v>5</v>
      </c>
      <c r="W403" t="str">
        <f>_xlfn.XLOOKUP(A403, Matches!A:A, Matches!L:L, "NA", 0)</f>
        <v>MIW</v>
      </c>
      <c r="X403" t="str">
        <f>_xlfn.XLOOKUP(A403, Matches!A:A, Matches!J:J, "NA", 0)</f>
        <v>MIW</v>
      </c>
      <c r="Y403" t="str">
        <f>_xlfn.XLOOKUP(A403, Matches!A:A, Matches!F:F, "NA", 0)</f>
        <v>Dr DY Patil Sports </v>
      </c>
      <c r="Z403" cm="1">
        <f t="array" ref="Z403">INDEX(Innings!F:F,MATCH(1,(TRIM(Innings!A:A)=TRIM(A403))*(TRIM(Innings!D:D)=TRIM(E403)),0))</f>
        <v>125</v>
      </c>
      <c r="AA403" cm="1">
        <f t="array" ref="AA403">INDEX(Innings!I:I,MATCH(1,(TRIM(Innings!A:A)=TRIM(A403))*(TRIM(Innings!D:D)=TRIM(E403)),0))</f>
        <v>6.25</v>
      </c>
      <c r="AB403" cm="1">
        <f t="array" ref="AB403">INDEX(Innings!J:J,MATCH(1,(TRIM(Innings!A:A)=TRIM(A403))*(TRIM(Innings!D:D)=TRIM(E403)),0))</f>
        <v>32</v>
      </c>
      <c r="AC403" cm="1">
        <f t="array" ref="AC403">INDEX(Innings!N:N,MATCH(1,(TRIM(Innings!A:A)=TRIM(A403))*(TRIM(Innings!D:D)=TRIM(E403)),0))</f>
        <v>34</v>
      </c>
      <c r="AD403" cm="1">
        <f t="array" ref="AD403">INDEX(Innings!S:S,MATCH(1,(TRIM(Innings!A:A)=TRIM(A403))*(TRIM(Innings!D:D)=TRIM(E403)),0))</f>
        <v>51</v>
      </c>
      <c r="AE403" t="str" cm="1">
        <f t="array" ref="AE403">INDEX(Innings!W:W,MATCH(1,(TRIM(Innings!A:A)=TRIM(A403))*(TRIM(Innings!D:D)=TRIM(E403)),0))</f>
        <v>NA</v>
      </c>
      <c r="AF403">
        <f>IF(UPPER(TRIM(E403))=UPPER(TRIM(W403)),1,0)</f>
        <v>0</v>
      </c>
      <c r="AG403">
        <f t="shared" si="13"/>
        <v>24.5</v>
      </c>
    </row>
    <row r="404" spans="1:33" x14ac:dyDescent="0.3">
      <c r="A404" t="s">
        <v>152</v>
      </c>
      <c r="B404">
        <v>1</v>
      </c>
      <c r="C404" t="s">
        <v>259</v>
      </c>
      <c r="D404" t="s">
        <v>257</v>
      </c>
      <c r="E404" t="s">
        <v>159</v>
      </c>
      <c r="F404" t="s">
        <v>101</v>
      </c>
      <c r="G404" t="s">
        <v>134</v>
      </c>
      <c r="H404">
        <v>4</v>
      </c>
      <c r="I404">
        <v>3</v>
      </c>
      <c r="J404">
        <v>133.33000000000001</v>
      </c>
      <c r="K404" t="s">
        <v>245</v>
      </c>
      <c r="L404">
        <v>12.33</v>
      </c>
      <c r="M404">
        <v>3</v>
      </c>
      <c r="N404">
        <v>0</v>
      </c>
      <c r="O404">
        <v>26</v>
      </c>
      <c r="P404">
        <v>1</v>
      </c>
      <c r="Q404">
        <v>8.67</v>
      </c>
      <c r="R404">
        <v>3</v>
      </c>
      <c r="S404">
        <v>0</v>
      </c>
      <c r="T404">
        <v>0</v>
      </c>
      <c r="U404" s="8">
        <v>15</v>
      </c>
      <c r="V404" s="8">
        <f t="shared" si="12"/>
        <v>2</v>
      </c>
      <c r="W404" t="str">
        <f>_xlfn.XLOOKUP(A404, Matches!A:A, Matches!L:L, "NA", 0)</f>
        <v>MIW</v>
      </c>
      <c r="X404" t="str">
        <f>_xlfn.XLOOKUP(A404, Matches!A:A, Matches!J:J, "NA", 0)</f>
        <v>MIW</v>
      </c>
      <c r="Y404" t="str">
        <f>_xlfn.XLOOKUP(A404, Matches!A:A, Matches!F:F, "NA", 0)</f>
        <v>Dr DY Patil Sports </v>
      </c>
      <c r="Z404" cm="1">
        <f t="array" ref="Z404">INDEX(Innings!F:F,MATCH(1,(TRIM(Innings!A:A)=TRIM(A404))*(TRIM(Innings!D:D)=TRIM(E404)),0))</f>
        <v>125</v>
      </c>
      <c r="AA404" cm="1">
        <f t="array" ref="AA404">INDEX(Innings!I:I,MATCH(1,(TRIM(Innings!A:A)=TRIM(A404))*(TRIM(Innings!D:D)=TRIM(E404)),0))</f>
        <v>6.25</v>
      </c>
      <c r="AB404" cm="1">
        <f t="array" ref="AB404">INDEX(Innings!J:J,MATCH(1,(TRIM(Innings!A:A)=TRIM(A404))*(TRIM(Innings!D:D)=TRIM(E404)),0))</f>
        <v>32</v>
      </c>
      <c r="AC404" cm="1">
        <f t="array" ref="AC404">INDEX(Innings!N:N,MATCH(1,(TRIM(Innings!A:A)=TRIM(A404))*(TRIM(Innings!D:D)=TRIM(E404)),0))</f>
        <v>34</v>
      </c>
      <c r="AD404" cm="1">
        <f t="array" ref="AD404">INDEX(Innings!S:S,MATCH(1,(TRIM(Innings!A:A)=TRIM(A404))*(TRIM(Innings!D:D)=TRIM(E404)),0))</f>
        <v>51</v>
      </c>
      <c r="AE404" t="str" cm="1">
        <f t="array" ref="AE404">INDEX(Innings!W:W,MATCH(1,(TRIM(Innings!A:A)=TRIM(A404))*(TRIM(Innings!D:D)=TRIM(E404)),0))</f>
        <v>NA</v>
      </c>
      <c r="AF404">
        <f>IF(UPPER(TRIM(E404))=UPPER(TRIM(W404)),1,0)</f>
        <v>0</v>
      </c>
      <c r="AG404">
        <f t="shared" si="13"/>
        <v>8.1</v>
      </c>
    </row>
    <row r="405" spans="1:33" x14ac:dyDescent="0.3">
      <c r="A405" t="s">
        <v>152</v>
      </c>
      <c r="B405">
        <v>1</v>
      </c>
      <c r="C405" t="s">
        <v>172</v>
      </c>
      <c r="D405" t="s">
        <v>173</v>
      </c>
      <c r="E405" t="s">
        <v>159</v>
      </c>
      <c r="F405" t="s">
        <v>109</v>
      </c>
      <c r="G405" t="s">
        <v>134</v>
      </c>
      <c r="H405">
        <v>2</v>
      </c>
      <c r="I405">
        <v>5</v>
      </c>
      <c r="J405">
        <v>40</v>
      </c>
      <c r="K405" t="s">
        <v>245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 s="8">
        <v>1</v>
      </c>
      <c r="V405" s="8">
        <f t="shared" si="12"/>
        <v>0</v>
      </c>
      <c r="W405" t="str">
        <f>_xlfn.XLOOKUP(A405, Matches!A:A, Matches!L:L, "NA", 0)</f>
        <v>MIW</v>
      </c>
      <c r="X405" t="str">
        <f>_xlfn.XLOOKUP(A405, Matches!A:A, Matches!J:J, "NA", 0)</f>
        <v>MIW</v>
      </c>
      <c r="Y405" t="str">
        <f>_xlfn.XLOOKUP(A405, Matches!A:A, Matches!F:F, "NA", 0)</f>
        <v>Dr DY Patil Sports </v>
      </c>
      <c r="Z405" cm="1">
        <f t="array" ref="Z405">INDEX(Innings!F:F,MATCH(1,(TRIM(Innings!A:A)=TRIM(A405))*(TRIM(Innings!D:D)=TRIM(E405)),0))</f>
        <v>125</v>
      </c>
      <c r="AA405" cm="1">
        <f t="array" ref="AA405">INDEX(Innings!I:I,MATCH(1,(TRIM(Innings!A:A)=TRIM(A405))*(TRIM(Innings!D:D)=TRIM(E405)),0))</f>
        <v>6.25</v>
      </c>
      <c r="AB405" cm="1">
        <f t="array" ref="AB405">INDEX(Innings!J:J,MATCH(1,(TRIM(Innings!A:A)=TRIM(A405))*(TRIM(Innings!D:D)=TRIM(E405)),0))</f>
        <v>32</v>
      </c>
      <c r="AC405" cm="1">
        <f t="array" ref="AC405">INDEX(Innings!N:N,MATCH(1,(TRIM(Innings!A:A)=TRIM(A405))*(TRIM(Innings!D:D)=TRIM(E405)),0))</f>
        <v>34</v>
      </c>
      <c r="AD405" cm="1">
        <f t="array" ref="AD405">INDEX(Innings!S:S,MATCH(1,(TRIM(Innings!A:A)=TRIM(A405))*(TRIM(Innings!D:D)=TRIM(E405)),0))</f>
        <v>51</v>
      </c>
      <c r="AE405" t="str" cm="1">
        <f t="array" ref="AE405">INDEX(Innings!W:W,MATCH(1,(TRIM(Innings!A:A)=TRIM(A405))*(TRIM(Innings!D:D)=TRIM(E405)),0))</f>
        <v>NA</v>
      </c>
      <c r="AF405">
        <f>IF(UPPER(TRIM(E405))=UPPER(TRIM(W405)),1,0)</f>
        <v>0</v>
      </c>
      <c r="AG405">
        <f t="shared" si="13"/>
        <v>0.5</v>
      </c>
    </row>
    <row r="406" spans="1:33" x14ac:dyDescent="0.3">
      <c r="A406" t="s">
        <v>152</v>
      </c>
      <c r="B406">
        <v>1</v>
      </c>
      <c r="C406" t="s">
        <v>184</v>
      </c>
      <c r="D406" t="s">
        <v>185</v>
      </c>
      <c r="E406" t="s">
        <v>159</v>
      </c>
      <c r="F406" t="s">
        <v>101</v>
      </c>
      <c r="G406" t="s">
        <v>135</v>
      </c>
      <c r="H406">
        <v>2</v>
      </c>
      <c r="I406">
        <v>5</v>
      </c>
      <c r="J406">
        <v>40</v>
      </c>
      <c r="K406" t="s">
        <v>247</v>
      </c>
      <c r="L406">
        <v>1</v>
      </c>
      <c r="M406">
        <v>4</v>
      </c>
      <c r="N406">
        <v>0</v>
      </c>
      <c r="O406">
        <v>19</v>
      </c>
      <c r="P406">
        <v>1</v>
      </c>
      <c r="Q406">
        <v>4.75</v>
      </c>
      <c r="R406">
        <v>11</v>
      </c>
      <c r="S406">
        <v>0</v>
      </c>
      <c r="T406">
        <v>0</v>
      </c>
      <c r="U406" s="8">
        <v>12</v>
      </c>
      <c r="V406" s="8">
        <f t="shared" si="12"/>
        <v>1</v>
      </c>
      <c r="W406" t="str">
        <f>_xlfn.XLOOKUP(A406, Matches!A:A, Matches!L:L, "NA", 0)</f>
        <v>MIW</v>
      </c>
      <c r="X406" t="str">
        <f>_xlfn.XLOOKUP(A406, Matches!A:A, Matches!J:J, "NA", 0)</f>
        <v>MIW</v>
      </c>
      <c r="Y406" t="str">
        <f>_xlfn.XLOOKUP(A406, Matches!A:A, Matches!F:F, "NA", 0)</f>
        <v>Dr DY Patil Sports </v>
      </c>
      <c r="Z406" cm="1">
        <f t="array" ref="Z406">INDEX(Innings!F:F,MATCH(1,(TRIM(Innings!A:A)=TRIM(A406))*(TRIM(Innings!D:D)=TRIM(E406)),0))</f>
        <v>125</v>
      </c>
      <c r="AA406" cm="1">
        <f t="array" ref="AA406">INDEX(Innings!I:I,MATCH(1,(TRIM(Innings!A:A)=TRIM(A406))*(TRIM(Innings!D:D)=TRIM(E406)),0))</f>
        <v>6.25</v>
      </c>
      <c r="AB406" cm="1">
        <f t="array" ref="AB406">INDEX(Innings!J:J,MATCH(1,(TRIM(Innings!A:A)=TRIM(A406))*(TRIM(Innings!D:D)=TRIM(E406)),0))</f>
        <v>32</v>
      </c>
      <c r="AC406" cm="1">
        <f t="array" ref="AC406">INDEX(Innings!N:N,MATCH(1,(TRIM(Innings!A:A)=TRIM(A406))*(TRIM(Innings!D:D)=TRIM(E406)),0))</f>
        <v>34</v>
      </c>
      <c r="AD406" cm="1">
        <f t="array" ref="AD406">INDEX(Innings!S:S,MATCH(1,(TRIM(Innings!A:A)=TRIM(A406))*(TRIM(Innings!D:D)=TRIM(E406)),0))</f>
        <v>51</v>
      </c>
      <c r="AE406" t="str" cm="1">
        <f t="array" ref="AE406">INDEX(Innings!W:W,MATCH(1,(TRIM(Innings!A:A)=TRIM(A406))*(TRIM(Innings!D:D)=TRIM(E406)),0))</f>
        <v>NA</v>
      </c>
      <c r="AF406">
        <f>IF(UPPER(TRIM(E406))=UPPER(TRIM(W406)),1,0)</f>
        <v>0</v>
      </c>
      <c r="AG406">
        <f t="shared" si="13"/>
        <v>6.3</v>
      </c>
    </row>
    <row r="407" spans="1:33" x14ac:dyDescent="0.3">
      <c r="A407" t="s">
        <v>152</v>
      </c>
      <c r="B407">
        <v>1</v>
      </c>
      <c r="C407" t="s">
        <v>180</v>
      </c>
      <c r="D407" t="s">
        <v>181</v>
      </c>
      <c r="E407" t="s">
        <v>159</v>
      </c>
      <c r="F407" t="s">
        <v>169</v>
      </c>
      <c r="G407" t="s">
        <v>135</v>
      </c>
      <c r="H407">
        <v>4</v>
      </c>
      <c r="I407">
        <v>3</v>
      </c>
      <c r="J407">
        <v>133.33000000000001</v>
      </c>
      <c r="K407" t="s">
        <v>96</v>
      </c>
      <c r="L407">
        <v>17.329999999999998</v>
      </c>
      <c r="M407">
        <v>3</v>
      </c>
      <c r="N407">
        <v>0</v>
      </c>
      <c r="O407">
        <v>24</v>
      </c>
      <c r="P407">
        <v>1</v>
      </c>
      <c r="Q407">
        <v>8</v>
      </c>
      <c r="R407">
        <v>4</v>
      </c>
      <c r="S407">
        <v>0</v>
      </c>
      <c r="T407">
        <v>0</v>
      </c>
      <c r="U407" s="8">
        <v>21</v>
      </c>
      <c r="V407" s="8">
        <f t="shared" si="12"/>
        <v>2</v>
      </c>
      <c r="W407" t="str">
        <f>_xlfn.XLOOKUP(A407, Matches!A:A, Matches!L:L, "NA", 0)</f>
        <v>MIW</v>
      </c>
      <c r="X407" t="str">
        <f>_xlfn.XLOOKUP(A407, Matches!A:A, Matches!J:J, "NA", 0)</f>
        <v>MIW</v>
      </c>
      <c r="Y407" t="str">
        <f>_xlfn.XLOOKUP(A407, Matches!A:A, Matches!F:F, "NA", 0)</f>
        <v>Dr DY Patil Sports </v>
      </c>
      <c r="Z407" cm="1">
        <f t="array" ref="Z407">INDEX(Innings!F:F,MATCH(1,(TRIM(Innings!A:A)=TRIM(A407))*(TRIM(Innings!D:D)=TRIM(E407)),0))</f>
        <v>125</v>
      </c>
      <c r="AA407" cm="1">
        <f t="array" ref="AA407">INDEX(Innings!I:I,MATCH(1,(TRIM(Innings!A:A)=TRIM(A407))*(TRIM(Innings!D:D)=TRIM(E407)),0))</f>
        <v>6.25</v>
      </c>
      <c r="AB407" cm="1">
        <f t="array" ref="AB407">INDEX(Innings!J:J,MATCH(1,(TRIM(Innings!A:A)=TRIM(A407))*(TRIM(Innings!D:D)=TRIM(E407)),0))</f>
        <v>32</v>
      </c>
      <c r="AC407" cm="1">
        <f t="array" ref="AC407">INDEX(Innings!N:N,MATCH(1,(TRIM(Innings!A:A)=TRIM(A407))*(TRIM(Innings!D:D)=TRIM(E407)),0))</f>
        <v>34</v>
      </c>
      <c r="AD407" cm="1">
        <f t="array" ref="AD407">INDEX(Innings!S:S,MATCH(1,(TRIM(Innings!A:A)=TRIM(A407))*(TRIM(Innings!D:D)=TRIM(E407)),0))</f>
        <v>51</v>
      </c>
      <c r="AE407" t="str" cm="1">
        <f t="array" ref="AE407">INDEX(Innings!W:W,MATCH(1,(TRIM(Innings!A:A)=TRIM(A407))*(TRIM(Innings!D:D)=TRIM(E407)),0))</f>
        <v>NA</v>
      </c>
      <c r="AF407">
        <f>IF(UPPER(TRIM(E407))=UPPER(TRIM(W407)),1,0)</f>
        <v>0</v>
      </c>
      <c r="AG407">
        <f t="shared" si="13"/>
        <v>11.1</v>
      </c>
    </row>
    <row r="408" spans="1:33" x14ac:dyDescent="0.3">
      <c r="A408" t="s">
        <v>152</v>
      </c>
      <c r="B408">
        <v>1</v>
      </c>
      <c r="C408" t="s">
        <v>182</v>
      </c>
      <c r="D408" t="s">
        <v>183</v>
      </c>
      <c r="E408" t="s">
        <v>159</v>
      </c>
      <c r="F408" t="s">
        <v>101</v>
      </c>
      <c r="G408" t="s">
        <v>135</v>
      </c>
      <c r="H408">
        <v>0</v>
      </c>
      <c r="I408">
        <v>0</v>
      </c>
      <c r="J408">
        <v>0</v>
      </c>
      <c r="K408" t="s">
        <v>104</v>
      </c>
      <c r="L408">
        <v>0</v>
      </c>
      <c r="M408">
        <v>2</v>
      </c>
      <c r="N408">
        <v>0</v>
      </c>
      <c r="O408">
        <v>11</v>
      </c>
      <c r="P408">
        <v>0</v>
      </c>
      <c r="Q408">
        <v>5.5</v>
      </c>
      <c r="R408">
        <v>-11</v>
      </c>
      <c r="S408">
        <v>0</v>
      </c>
      <c r="T408">
        <v>0</v>
      </c>
      <c r="U408" s="8">
        <v>-11</v>
      </c>
      <c r="V408" s="8">
        <f t="shared" si="12"/>
        <v>0</v>
      </c>
      <c r="W408" t="str">
        <f>_xlfn.XLOOKUP(A408, Matches!A:A, Matches!L:L, "NA", 0)</f>
        <v>MIW</v>
      </c>
      <c r="X408" t="str">
        <f>_xlfn.XLOOKUP(A408, Matches!A:A, Matches!J:J, "NA", 0)</f>
        <v>MIW</v>
      </c>
      <c r="Y408" t="str">
        <f>_xlfn.XLOOKUP(A408, Matches!A:A, Matches!F:F, "NA", 0)</f>
        <v>Dr DY Patil Sports </v>
      </c>
      <c r="Z408" cm="1">
        <f t="array" ref="Z408">INDEX(Innings!F:F,MATCH(1,(TRIM(Innings!A:A)=TRIM(A408))*(TRIM(Innings!D:D)=TRIM(E408)),0))</f>
        <v>125</v>
      </c>
      <c r="AA408" cm="1">
        <f t="array" ref="AA408">INDEX(Innings!I:I,MATCH(1,(TRIM(Innings!A:A)=TRIM(A408))*(TRIM(Innings!D:D)=TRIM(E408)),0))</f>
        <v>6.25</v>
      </c>
      <c r="AB408" cm="1">
        <f t="array" ref="AB408">INDEX(Innings!J:J,MATCH(1,(TRIM(Innings!A:A)=TRIM(A408))*(TRIM(Innings!D:D)=TRIM(E408)),0))</f>
        <v>32</v>
      </c>
      <c r="AC408" cm="1">
        <f t="array" ref="AC408">INDEX(Innings!N:N,MATCH(1,(TRIM(Innings!A:A)=TRIM(A408))*(TRIM(Innings!D:D)=TRIM(E408)),0))</f>
        <v>34</v>
      </c>
      <c r="AD408" cm="1">
        <f t="array" ref="AD408">INDEX(Innings!S:S,MATCH(1,(TRIM(Innings!A:A)=TRIM(A408))*(TRIM(Innings!D:D)=TRIM(E408)),0))</f>
        <v>51</v>
      </c>
      <c r="AE408" t="str" cm="1">
        <f t="array" ref="AE408">INDEX(Innings!W:W,MATCH(1,(TRIM(Innings!A:A)=TRIM(A408))*(TRIM(Innings!D:D)=TRIM(E408)),0))</f>
        <v>NA</v>
      </c>
      <c r="AF408">
        <f>IF(UPPER(TRIM(E408))=UPPER(TRIM(W408)),1,0)</f>
        <v>0</v>
      </c>
      <c r="AG408">
        <f t="shared" si="13"/>
        <v>0</v>
      </c>
    </row>
    <row r="409" spans="1:33" x14ac:dyDescent="0.3">
      <c r="A409" t="s">
        <v>152</v>
      </c>
      <c r="B409">
        <v>1</v>
      </c>
      <c r="C409" t="s">
        <v>112</v>
      </c>
      <c r="D409" t="s">
        <v>88</v>
      </c>
      <c r="E409" t="s">
        <v>266</v>
      </c>
      <c r="F409" t="s">
        <v>169</v>
      </c>
      <c r="G409" t="s">
        <v>86</v>
      </c>
      <c r="H409">
        <v>24</v>
      </c>
      <c r="I409">
        <v>17</v>
      </c>
      <c r="J409">
        <v>141.18</v>
      </c>
      <c r="K409" t="s">
        <v>246</v>
      </c>
      <c r="L409">
        <v>33.119999999999997</v>
      </c>
      <c r="M409">
        <v>4</v>
      </c>
      <c r="N409">
        <v>0</v>
      </c>
      <c r="O409">
        <v>18</v>
      </c>
      <c r="P409">
        <v>0</v>
      </c>
      <c r="Q409">
        <v>4.5</v>
      </c>
      <c r="R409">
        <v>-9</v>
      </c>
      <c r="S409">
        <v>0</v>
      </c>
      <c r="T409">
        <v>0</v>
      </c>
      <c r="U409" s="8">
        <v>24</v>
      </c>
      <c r="V409" s="8">
        <f t="shared" si="12"/>
        <v>2</v>
      </c>
      <c r="W409" t="str">
        <f>_xlfn.XLOOKUP(A409, Matches!A:A, Matches!L:L, "NA", 0)</f>
        <v>MIW</v>
      </c>
      <c r="X409" t="str">
        <f>_xlfn.XLOOKUP(A409, Matches!A:A, Matches!J:J, "NA", 0)</f>
        <v>MIW</v>
      </c>
      <c r="Y409" t="str">
        <f>_xlfn.XLOOKUP(A409, Matches!A:A, Matches!F:F, "NA", 0)</f>
        <v>Dr DY Patil Sports </v>
      </c>
      <c r="Z409" cm="1">
        <f t="array" ref="Z409">INDEX(Innings!F:F,MATCH(1,(TRIM(Innings!A:A)=TRIM(A409))*(TRIM(Innings!D:D)=TRIM(E409)),0))</f>
        <v>129</v>
      </c>
      <c r="AA409" cm="1">
        <f t="array" ref="AA409">INDEX(Innings!I:I,MATCH(1,(TRIM(Innings!A:A)=TRIM(A409))*(TRIM(Innings!D:D)=TRIM(E409)),0))</f>
        <v>7.82</v>
      </c>
      <c r="AB409" cm="1">
        <f t="array" ref="AB409">INDEX(Innings!J:J,MATCH(1,(TRIM(Innings!A:A)=TRIM(A409))*(TRIM(Innings!D:D)=TRIM(E409)),0))</f>
        <v>53</v>
      </c>
      <c r="AC409" cm="1">
        <f t="array" ref="AC409">INDEX(Innings!N:N,MATCH(1,(TRIM(Innings!A:A)=TRIM(A409))*(TRIM(Innings!D:D)=TRIM(E409)),0))</f>
        <v>9</v>
      </c>
      <c r="AD409" cm="1">
        <f t="array" ref="AD409">INDEX(Innings!S:S,MATCH(1,(TRIM(Innings!A:A)=TRIM(A409))*(TRIM(Innings!D:D)=TRIM(E409)),0))</f>
        <v>42</v>
      </c>
      <c r="AE409" t="str" cm="1">
        <f t="array" ref="AE409">INDEX(Innings!W:W,MATCH(1,(TRIM(Innings!A:A)=TRIM(A409))*(TRIM(Innings!D:D)=TRIM(E409)),0))</f>
        <v>Successful</v>
      </c>
      <c r="AF409">
        <f>IF(UPPER(TRIM(E409))=UPPER(TRIM(W409)),1,0)</f>
        <v>1</v>
      </c>
      <c r="AG409">
        <f t="shared" si="13"/>
        <v>32.6</v>
      </c>
    </row>
    <row r="410" spans="1:33" x14ac:dyDescent="0.3">
      <c r="A410" t="s">
        <v>152</v>
      </c>
      <c r="B410">
        <v>1</v>
      </c>
      <c r="C410" t="s">
        <v>113</v>
      </c>
      <c r="D410" t="s">
        <v>84</v>
      </c>
      <c r="E410" t="s">
        <v>266</v>
      </c>
      <c r="F410" t="s">
        <v>85</v>
      </c>
      <c r="G410" t="s">
        <v>86</v>
      </c>
      <c r="H410">
        <v>30</v>
      </c>
      <c r="I410">
        <v>26</v>
      </c>
      <c r="J410">
        <v>115.38</v>
      </c>
      <c r="K410" t="s">
        <v>246</v>
      </c>
      <c r="L410">
        <v>36.54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 s="8">
        <v>37</v>
      </c>
      <c r="V410" s="8">
        <f t="shared" si="12"/>
        <v>4</v>
      </c>
      <c r="W410" t="str">
        <f>_xlfn.XLOOKUP(A410, Matches!A:A, Matches!L:L, "NA", 0)</f>
        <v>MIW</v>
      </c>
      <c r="X410" t="str">
        <f>_xlfn.XLOOKUP(A410, Matches!A:A, Matches!J:J, "NA", 0)</f>
        <v>MIW</v>
      </c>
      <c r="Y410" t="str">
        <f>_xlfn.XLOOKUP(A410, Matches!A:A, Matches!F:F, "NA", 0)</f>
        <v>Dr DY Patil Sports </v>
      </c>
      <c r="Z410" cm="1">
        <f t="array" ref="Z410">INDEX(Innings!F:F,MATCH(1,(TRIM(Innings!A:A)=TRIM(A410))*(TRIM(Innings!D:D)=TRIM(E410)),0))</f>
        <v>129</v>
      </c>
      <c r="AA410" cm="1">
        <f t="array" ref="AA410">INDEX(Innings!I:I,MATCH(1,(TRIM(Innings!A:A)=TRIM(A410))*(TRIM(Innings!D:D)=TRIM(E410)),0))</f>
        <v>7.82</v>
      </c>
      <c r="AB410" cm="1">
        <f t="array" ref="AB410">INDEX(Innings!J:J,MATCH(1,(TRIM(Innings!A:A)=TRIM(A410))*(TRIM(Innings!D:D)=TRIM(E410)),0))</f>
        <v>53</v>
      </c>
      <c r="AC410" cm="1">
        <f t="array" ref="AC410">INDEX(Innings!N:N,MATCH(1,(TRIM(Innings!A:A)=TRIM(A410))*(TRIM(Innings!D:D)=TRIM(E410)),0))</f>
        <v>9</v>
      </c>
      <c r="AD410" cm="1">
        <f t="array" ref="AD410">INDEX(Innings!S:S,MATCH(1,(TRIM(Innings!A:A)=TRIM(A410))*(TRIM(Innings!D:D)=TRIM(E410)),0))</f>
        <v>42</v>
      </c>
      <c r="AE410" t="str" cm="1">
        <f t="array" ref="AE410">INDEX(Innings!W:W,MATCH(1,(TRIM(Innings!A:A)=TRIM(A410))*(TRIM(Innings!D:D)=TRIM(E410)),0))</f>
        <v>Successful</v>
      </c>
      <c r="AF410">
        <f>IF(UPPER(TRIM(E410))=UPPER(TRIM(W410)),1,0)</f>
        <v>1</v>
      </c>
      <c r="AG410">
        <f t="shared" si="13"/>
        <v>39.700000000000003</v>
      </c>
    </row>
    <row r="411" spans="1:33" x14ac:dyDescent="0.3">
      <c r="A411" t="s">
        <v>152</v>
      </c>
      <c r="B411">
        <v>1</v>
      </c>
      <c r="C411" t="s">
        <v>117</v>
      </c>
      <c r="D411" t="s">
        <v>90</v>
      </c>
      <c r="E411" t="s">
        <v>266</v>
      </c>
      <c r="F411" t="s">
        <v>169</v>
      </c>
      <c r="G411" t="s">
        <v>92</v>
      </c>
      <c r="H411">
        <v>13</v>
      </c>
      <c r="I411">
        <v>7</v>
      </c>
      <c r="J411">
        <v>185.71</v>
      </c>
      <c r="K411" t="s">
        <v>246</v>
      </c>
      <c r="L411">
        <v>26.57</v>
      </c>
      <c r="M411">
        <v>4</v>
      </c>
      <c r="N411">
        <v>0</v>
      </c>
      <c r="O411">
        <v>24</v>
      </c>
      <c r="P411">
        <v>2</v>
      </c>
      <c r="Q411">
        <v>6</v>
      </c>
      <c r="R411">
        <v>28</v>
      </c>
      <c r="S411">
        <v>0</v>
      </c>
      <c r="T411">
        <v>0</v>
      </c>
      <c r="U411" s="8">
        <v>55</v>
      </c>
      <c r="V411" s="8">
        <f t="shared" si="12"/>
        <v>6</v>
      </c>
      <c r="W411" t="str">
        <f>_xlfn.XLOOKUP(A411, Matches!A:A, Matches!L:L, "NA", 0)</f>
        <v>MIW</v>
      </c>
      <c r="X411" t="str">
        <f>_xlfn.XLOOKUP(A411, Matches!A:A, Matches!J:J, "NA", 0)</f>
        <v>MIW</v>
      </c>
      <c r="Y411" t="str">
        <f>_xlfn.XLOOKUP(A411, Matches!A:A, Matches!F:F, "NA", 0)</f>
        <v>Dr DY Patil Sports </v>
      </c>
      <c r="Z411" cm="1">
        <f t="array" ref="Z411">INDEX(Innings!F:F,MATCH(1,(TRIM(Innings!A:A)=TRIM(A411))*(TRIM(Innings!D:D)=TRIM(E411)),0))</f>
        <v>129</v>
      </c>
      <c r="AA411" cm="1">
        <f t="array" ref="AA411">INDEX(Innings!I:I,MATCH(1,(TRIM(Innings!A:A)=TRIM(A411))*(TRIM(Innings!D:D)=TRIM(E411)),0))</f>
        <v>7.82</v>
      </c>
      <c r="AB411" cm="1">
        <f t="array" ref="AB411">INDEX(Innings!J:J,MATCH(1,(TRIM(Innings!A:A)=TRIM(A411))*(TRIM(Innings!D:D)=TRIM(E411)),0))</f>
        <v>53</v>
      </c>
      <c r="AC411" cm="1">
        <f t="array" ref="AC411">INDEX(Innings!N:N,MATCH(1,(TRIM(Innings!A:A)=TRIM(A411))*(TRIM(Innings!D:D)=TRIM(E411)),0))</f>
        <v>9</v>
      </c>
      <c r="AD411" cm="1">
        <f t="array" ref="AD411">INDEX(Innings!S:S,MATCH(1,(TRIM(Innings!A:A)=TRIM(A411))*(TRIM(Innings!D:D)=TRIM(E411)),0))</f>
        <v>42</v>
      </c>
      <c r="AE411" t="str" cm="1">
        <f t="array" ref="AE411">INDEX(Innings!W:W,MATCH(1,(TRIM(Innings!A:A)=TRIM(A411))*(TRIM(Innings!D:D)=TRIM(E411)),0))</f>
        <v>Successful</v>
      </c>
      <c r="AF411">
        <f>IF(UPPER(TRIM(E411))=UPPER(TRIM(W411)),1,0)</f>
        <v>1</v>
      </c>
      <c r="AG411">
        <f t="shared" si="13"/>
        <v>49.3</v>
      </c>
    </row>
    <row r="412" spans="1:33" x14ac:dyDescent="0.3">
      <c r="A412" t="s">
        <v>152</v>
      </c>
      <c r="B412">
        <v>1</v>
      </c>
      <c r="C412" t="s">
        <v>115</v>
      </c>
      <c r="D412" t="s">
        <v>17</v>
      </c>
      <c r="E412" t="s">
        <v>266</v>
      </c>
      <c r="F412" t="s">
        <v>169</v>
      </c>
      <c r="G412" t="s">
        <v>134</v>
      </c>
      <c r="H412">
        <v>2</v>
      </c>
      <c r="I412">
        <v>5</v>
      </c>
      <c r="J412">
        <v>40</v>
      </c>
      <c r="K412" t="s">
        <v>245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 s="8">
        <v>1</v>
      </c>
      <c r="V412" s="8">
        <f t="shared" si="12"/>
        <v>0</v>
      </c>
      <c r="W412" t="str">
        <f>_xlfn.XLOOKUP(A412, Matches!A:A, Matches!L:L, "NA", 0)</f>
        <v>MIW</v>
      </c>
      <c r="X412" t="str">
        <f>_xlfn.XLOOKUP(A412, Matches!A:A, Matches!J:J, "NA", 0)</f>
        <v>MIW</v>
      </c>
      <c r="Y412" t="str">
        <f>_xlfn.XLOOKUP(A412, Matches!A:A, Matches!F:F, "NA", 0)</f>
        <v>Dr DY Patil Sports </v>
      </c>
      <c r="Z412" cm="1">
        <f t="array" ref="Z412">INDEX(Innings!F:F,MATCH(1,(TRIM(Innings!A:A)=TRIM(A412))*(TRIM(Innings!D:D)=TRIM(E412)),0))</f>
        <v>129</v>
      </c>
      <c r="AA412" cm="1">
        <f t="array" ref="AA412">INDEX(Innings!I:I,MATCH(1,(TRIM(Innings!A:A)=TRIM(A412))*(TRIM(Innings!D:D)=TRIM(E412)),0))</f>
        <v>7.82</v>
      </c>
      <c r="AB412" cm="1">
        <f t="array" ref="AB412">INDEX(Innings!J:J,MATCH(1,(TRIM(Innings!A:A)=TRIM(A412))*(TRIM(Innings!D:D)=TRIM(E412)),0))</f>
        <v>53</v>
      </c>
      <c r="AC412" cm="1">
        <f t="array" ref="AC412">INDEX(Innings!N:N,MATCH(1,(TRIM(Innings!A:A)=TRIM(A412))*(TRIM(Innings!D:D)=TRIM(E412)),0))</f>
        <v>9</v>
      </c>
      <c r="AD412" cm="1">
        <f t="array" ref="AD412">INDEX(Innings!S:S,MATCH(1,(TRIM(Innings!A:A)=TRIM(A412))*(TRIM(Innings!D:D)=TRIM(E412)),0))</f>
        <v>42</v>
      </c>
      <c r="AE412" t="str" cm="1">
        <f t="array" ref="AE412">INDEX(Innings!W:W,MATCH(1,(TRIM(Innings!A:A)=TRIM(A412))*(TRIM(Innings!D:D)=TRIM(E412)),0))</f>
        <v>Successful</v>
      </c>
      <c r="AF412">
        <f>IF(UPPER(TRIM(E412))=UPPER(TRIM(W412)),1,0)</f>
        <v>1</v>
      </c>
      <c r="AG412">
        <f t="shared" si="13"/>
        <v>20.5</v>
      </c>
    </row>
    <row r="413" spans="1:33" x14ac:dyDescent="0.3">
      <c r="A413" t="s">
        <v>152</v>
      </c>
      <c r="B413">
        <v>1</v>
      </c>
      <c r="C413" t="s">
        <v>119</v>
      </c>
      <c r="D413" t="s">
        <v>95</v>
      </c>
      <c r="E413" t="s">
        <v>266</v>
      </c>
      <c r="F413" t="s">
        <v>169</v>
      </c>
      <c r="G413" t="s">
        <v>134</v>
      </c>
      <c r="H413">
        <v>31</v>
      </c>
      <c r="I413">
        <v>27</v>
      </c>
      <c r="J413">
        <v>114.81</v>
      </c>
      <c r="K413" t="s">
        <v>96</v>
      </c>
      <c r="L413">
        <v>42.48</v>
      </c>
      <c r="M413">
        <v>4</v>
      </c>
      <c r="N413">
        <v>0</v>
      </c>
      <c r="O413">
        <v>22</v>
      </c>
      <c r="P413">
        <v>3</v>
      </c>
      <c r="Q413">
        <v>5.5</v>
      </c>
      <c r="R413">
        <v>49</v>
      </c>
      <c r="S413">
        <v>0</v>
      </c>
      <c r="T413">
        <v>0</v>
      </c>
      <c r="U413" s="8">
        <v>91</v>
      </c>
      <c r="V413" s="8">
        <f t="shared" si="12"/>
        <v>9</v>
      </c>
      <c r="W413" t="str">
        <f>_xlfn.XLOOKUP(A413, Matches!A:A, Matches!L:L, "NA", 0)</f>
        <v>MIW</v>
      </c>
      <c r="X413" t="str">
        <f>_xlfn.XLOOKUP(A413, Matches!A:A, Matches!J:J, "NA", 0)</f>
        <v>MIW</v>
      </c>
      <c r="Y413" t="str">
        <f>_xlfn.XLOOKUP(A413, Matches!A:A, Matches!F:F, "NA", 0)</f>
        <v>Dr DY Patil Sports </v>
      </c>
      <c r="Z413" cm="1">
        <f t="array" ref="Z413">INDEX(Innings!F:F,MATCH(1,(TRIM(Innings!A:A)=TRIM(A413))*(TRIM(Innings!D:D)=TRIM(E413)),0))</f>
        <v>129</v>
      </c>
      <c r="AA413" cm="1">
        <f t="array" ref="AA413">INDEX(Innings!I:I,MATCH(1,(TRIM(Innings!A:A)=TRIM(A413))*(TRIM(Innings!D:D)=TRIM(E413)),0))</f>
        <v>7.82</v>
      </c>
      <c r="AB413" cm="1">
        <f t="array" ref="AB413">INDEX(Innings!J:J,MATCH(1,(TRIM(Innings!A:A)=TRIM(A413))*(TRIM(Innings!D:D)=TRIM(E413)),0))</f>
        <v>53</v>
      </c>
      <c r="AC413" cm="1">
        <f t="array" ref="AC413">INDEX(Innings!N:N,MATCH(1,(TRIM(Innings!A:A)=TRIM(A413))*(TRIM(Innings!D:D)=TRIM(E413)),0))</f>
        <v>9</v>
      </c>
      <c r="AD413" cm="1">
        <f t="array" ref="AD413">INDEX(Innings!S:S,MATCH(1,(TRIM(Innings!A:A)=TRIM(A413))*(TRIM(Innings!D:D)=TRIM(E413)),0))</f>
        <v>42</v>
      </c>
      <c r="AE413" t="str" cm="1">
        <f t="array" ref="AE413">INDEX(Innings!W:W,MATCH(1,(TRIM(Innings!A:A)=TRIM(A413))*(TRIM(Innings!D:D)=TRIM(E413)),0))</f>
        <v>Successful</v>
      </c>
      <c r="AF413">
        <f>IF(UPPER(TRIM(E413))=UPPER(TRIM(W413)),1,0)</f>
        <v>1</v>
      </c>
      <c r="AG413">
        <f t="shared" si="13"/>
        <v>68.2</v>
      </c>
    </row>
    <row r="414" spans="1:33" x14ac:dyDescent="0.3">
      <c r="A414" t="s">
        <v>152</v>
      </c>
      <c r="B414">
        <v>1</v>
      </c>
      <c r="C414" t="s">
        <v>123</v>
      </c>
      <c r="D414" t="s">
        <v>98</v>
      </c>
      <c r="E414" t="s">
        <v>266</v>
      </c>
      <c r="F414" t="s">
        <v>169</v>
      </c>
      <c r="G414" t="s">
        <v>134</v>
      </c>
      <c r="H414">
        <v>19</v>
      </c>
      <c r="I414">
        <v>18</v>
      </c>
      <c r="J414">
        <v>105.56</v>
      </c>
      <c r="K414" t="s">
        <v>246</v>
      </c>
      <c r="L414">
        <v>24.56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 s="8">
        <v>25</v>
      </c>
      <c r="V414" s="8">
        <f t="shared" si="12"/>
        <v>3</v>
      </c>
      <c r="W414" t="str">
        <f>_xlfn.XLOOKUP(A414, Matches!A:A, Matches!L:L, "NA", 0)</f>
        <v>MIW</v>
      </c>
      <c r="X414" t="str">
        <f>_xlfn.XLOOKUP(A414, Matches!A:A, Matches!J:J, "NA", 0)</f>
        <v>MIW</v>
      </c>
      <c r="Y414" t="str">
        <f>_xlfn.XLOOKUP(A414, Matches!A:A, Matches!F:F, "NA", 0)</f>
        <v>Dr DY Patil Sports </v>
      </c>
      <c r="Z414" cm="1">
        <f t="array" ref="Z414">INDEX(Innings!F:F,MATCH(1,(TRIM(Innings!A:A)=TRIM(A414))*(TRIM(Innings!D:D)=TRIM(E414)),0))</f>
        <v>129</v>
      </c>
      <c r="AA414" cm="1">
        <f t="array" ref="AA414">INDEX(Innings!I:I,MATCH(1,(TRIM(Innings!A:A)=TRIM(A414))*(TRIM(Innings!D:D)=TRIM(E414)),0))</f>
        <v>7.82</v>
      </c>
      <c r="AB414" cm="1">
        <f t="array" ref="AB414">INDEX(Innings!J:J,MATCH(1,(TRIM(Innings!A:A)=TRIM(A414))*(TRIM(Innings!D:D)=TRIM(E414)),0))</f>
        <v>53</v>
      </c>
      <c r="AC414" cm="1">
        <f t="array" ref="AC414">INDEX(Innings!N:N,MATCH(1,(TRIM(Innings!A:A)=TRIM(A414))*(TRIM(Innings!D:D)=TRIM(E414)),0))</f>
        <v>9</v>
      </c>
      <c r="AD414" cm="1">
        <f t="array" ref="AD414">INDEX(Innings!S:S,MATCH(1,(TRIM(Innings!A:A)=TRIM(A414))*(TRIM(Innings!D:D)=TRIM(E414)),0))</f>
        <v>42</v>
      </c>
      <c r="AE414" t="str" cm="1">
        <f t="array" ref="AE414">INDEX(Innings!W:W,MATCH(1,(TRIM(Innings!A:A)=TRIM(A414))*(TRIM(Innings!D:D)=TRIM(E414)),0))</f>
        <v>Successful</v>
      </c>
      <c r="AF414">
        <f>IF(UPPER(TRIM(E414))=UPPER(TRIM(W414)),1,0)</f>
        <v>1</v>
      </c>
      <c r="AG414">
        <f t="shared" si="13"/>
        <v>33.4</v>
      </c>
    </row>
    <row r="415" spans="1:33" x14ac:dyDescent="0.3">
      <c r="A415" t="s">
        <v>152</v>
      </c>
      <c r="B415">
        <v>1</v>
      </c>
      <c r="C415" t="s">
        <v>127</v>
      </c>
      <c r="D415" t="s">
        <v>100</v>
      </c>
      <c r="E415" t="s">
        <v>266</v>
      </c>
      <c r="F415" t="s">
        <v>101</v>
      </c>
      <c r="G415" t="s">
        <v>134</v>
      </c>
      <c r="H415">
        <v>0</v>
      </c>
      <c r="I415">
        <v>1</v>
      </c>
      <c r="J415">
        <v>0</v>
      </c>
      <c r="K415" t="s">
        <v>246</v>
      </c>
      <c r="L415">
        <v>-5</v>
      </c>
      <c r="M415">
        <v>4</v>
      </c>
      <c r="N415">
        <v>0</v>
      </c>
      <c r="O415">
        <v>26</v>
      </c>
      <c r="P415">
        <v>2</v>
      </c>
      <c r="Q415">
        <v>6.5</v>
      </c>
      <c r="R415">
        <v>27</v>
      </c>
      <c r="S415">
        <v>0</v>
      </c>
      <c r="T415">
        <v>0</v>
      </c>
      <c r="U415" s="8">
        <v>22</v>
      </c>
      <c r="V415" s="8">
        <f t="shared" si="12"/>
        <v>2</v>
      </c>
      <c r="W415" t="str">
        <f>_xlfn.XLOOKUP(A415, Matches!A:A, Matches!L:L, "NA", 0)</f>
        <v>MIW</v>
      </c>
      <c r="X415" t="str">
        <f>_xlfn.XLOOKUP(A415, Matches!A:A, Matches!J:J, "NA", 0)</f>
        <v>MIW</v>
      </c>
      <c r="Y415" t="str">
        <f>_xlfn.XLOOKUP(A415, Matches!A:A, Matches!F:F, "NA", 0)</f>
        <v>Dr DY Patil Sports </v>
      </c>
      <c r="Z415" cm="1">
        <f t="array" ref="Z415">INDEX(Innings!F:F,MATCH(1,(TRIM(Innings!A:A)=TRIM(A415))*(TRIM(Innings!D:D)=TRIM(E415)),0))</f>
        <v>129</v>
      </c>
      <c r="AA415" cm="1">
        <f t="array" ref="AA415">INDEX(Innings!I:I,MATCH(1,(TRIM(Innings!A:A)=TRIM(A415))*(TRIM(Innings!D:D)=TRIM(E415)),0))</f>
        <v>7.82</v>
      </c>
      <c r="AB415" cm="1">
        <f t="array" ref="AB415">INDEX(Innings!J:J,MATCH(1,(TRIM(Innings!A:A)=TRIM(A415))*(TRIM(Innings!D:D)=TRIM(E415)),0))</f>
        <v>53</v>
      </c>
      <c r="AC415" cm="1">
        <f t="array" ref="AC415">INDEX(Innings!N:N,MATCH(1,(TRIM(Innings!A:A)=TRIM(A415))*(TRIM(Innings!D:D)=TRIM(E415)),0))</f>
        <v>9</v>
      </c>
      <c r="AD415" cm="1">
        <f t="array" ref="AD415">INDEX(Innings!S:S,MATCH(1,(TRIM(Innings!A:A)=TRIM(A415))*(TRIM(Innings!D:D)=TRIM(E415)),0))</f>
        <v>42</v>
      </c>
      <c r="AE415" t="str" cm="1">
        <f t="array" ref="AE415">INDEX(Innings!W:W,MATCH(1,(TRIM(Innings!A:A)=TRIM(A415))*(TRIM(Innings!D:D)=TRIM(E415)),0))</f>
        <v>Successful</v>
      </c>
      <c r="AF415">
        <f>IF(UPPER(TRIM(E415))=UPPER(TRIM(W415)),1,0)</f>
        <v>1</v>
      </c>
      <c r="AG415">
        <f t="shared" si="13"/>
        <v>31.6</v>
      </c>
    </row>
    <row r="416" spans="1:33" x14ac:dyDescent="0.3">
      <c r="A416" t="s">
        <v>152</v>
      </c>
      <c r="B416">
        <v>1</v>
      </c>
      <c r="C416" t="s">
        <v>121</v>
      </c>
      <c r="D416" t="s">
        <v>108</v>
      </c>
      <c r="E416" t="s">
        <v>266</v>
      </c>
      <c r="F416" t="s">
        <v>109</v>
      </c>
      <c r="G416" t="s">
        <v>135</v>
      </c>
      <c r="H416">
        <v>0</v>
      </c>
      <c r="I416">
        <v>0</v>
      </c>
      <c r="J416">
        <v>0</v>
      </c>
      <c r="K416" t="s">
        <v>96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 s="8">
        <v>0</v>
      </c>
      <c r="V416" s="8">
        <f t="shared" si="12"/>
        <v>0</v>
      </c>
      <c r="W416" t="str">
        <f>_xlfn.XLOOKUP(A416, Matches!A:A, Matches!L:L, "NA", 0)</f>
        <v>MIW</v>
      </c>
      <c r="X416" t="str">
        <f>_xlfn.XLOOKUP(A416, Matches!A:A, Matches!J:J, "NA", 0)</f>
        <v>MIW</v>
      </c>
      <c r="Y416" t="str">
        <f>_xlfn.XLOOKUP(A416, Matches!A:A, Matches!F:F, "NA", 0)</f>
        <v>Dr DY Patil Sports </v>
      </c>
      <c r="Z416" cm="1">
        <f t="array" ref="Z416">INDEX(Innings!F:F,MATCH(1,(TRIM(Innings!A:A)=TRIM(A416))*(TRIM(Innings!D:D)=TRIM(E416)),0))</f>
        <v>129</v>
      </c>
      <c r="AA416" cm="1">
        <f t="array" ref="AA416">INDEX(Innings!I:I,MATCH(1,(TRIM(Innings!A:A)=TRIM(A416))*(TRIM(Innings!D:D)=TRIM(E416)),0))</f>
        <v>7.82</v>
      </c>
      <c r="AB416" cm="1">
        <f t="array" ref="AB416">INDEX(Innings!J:J,MATCH(1,(TRIM(Innings!A:A)=TRIM(A416))*(TRIM(Innings!D:D)=TRIM(E416)),0))</f>
        <v>53</v>
      </c>
      <c r="AC416" cm="1">
        <f t="array" ref="AC416">INDEX(Innings!N:N,MATCH(1,(TRIM(Innings!A:A)=TRIM(A416))*(TRIM(Innings!D:D)=TRIM(E416)),0))</f>
        <v>9</v>
      </c>
      <c r="AD416" cm="1">
        <f t="array" ref="AD416">INDEX(Innings!S:S,MATCH(1,(TRIM(Innings!A:A)=TRIM(A416))*(TRIM(Innings!D:D)=TRIM(E416)),0))</f>
        <v>42</v>
      </c>
      <c r="AE416" t="str" cm="1">
        <f t="array" ref="AE416">INDEX(Innings!W:W,MATCH(1,(TRIM(Innings!A:A)=TRIM(A416))*(TRIM(Innings!D:D)=TRIM(E416)),0))</f>
        <v>Successful</v>
      </c>
      <c r="AF416">
        <f>IF(UPPER(TRIM(E416))=UPPER(TRIM(W416)),1,0)</f>
        <v>1</v>
      </c>
      <c r="AG416">
        <f t="shared" si="13"/>
        <v>20</v>
      </c>
    </row>
    <row r="417" spans="1:33" x14ac:dyDescent="0.3">
      <c r="A417" t="s">
        <v>152</v>
      </c>
      <c r="B417">
        <v>1</v>
      </c>
      <c r="C417" t="s">
        <v>125</v>
      </c>
      <c r="D417" t="s">
        <v>111</v>
      </c>
      <c r="E417" t="s">
        <v>266</v>
      </c>
      <c r="F417" t="s">
        <v>169</v>
      </c>
      <c r="G417" t="s">
        <v>135</v>
      </c>
      <c r="H417">
        <v>0</v>
      </c>
      <c r="I417">
        <v>0</v>
      </c>
      <c r="J417">
        <v>0</v>
      </c>
      <c r="K417" t="s">
        <v>104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 s="8">
        <v>0</v>
      </c>
      <c r="V417" s="8">
        <f t="shared" si="12"/>
        <v>0</v>
      </c>
      <c r="W417" t="str">
        <f>_xlfn.XLOOKUP(A417, Matches!A:A, Matches!L:L, "NA", 0)</f>
        <v>MIW</v>
      </c>
      <c r="X417" t="str">
        <f>_xlfn.XLOOKUP(A417, Matches!A:A, Matches!J:J, "NA", 0)</f>
        <v>MIW</v>
      </c>
      <c r="Y417" t="str">
        <f>_xlfn.XLOOKUP(A417, Matches!A:A, Matches!F:F, "NA", 0)</f>
        <v>Dr DY Patil Sports </v>
      </c>
      <c r="Z417" cm="1">
        <f t="array" ref="Z417">INDEX(Innings!F:F,MATCH(1,(TRIM(Innings!A:A)=TRIM(A417))*(TRIM(Innings!D:D)=TRIM(E417)),0))</f>
        <v>129</v>
      </c>
      <c r="AA417" cm="1">
        <f t="array" ref="AA417">INDEX(Innings!I:I,MATCH(1,(TRIM(Innings!A:A)=TRIM(A417))*(TRIM(Innings!D:D)=TRIM(E417)),0))</f>
        <v>7.82</v>
      </c>
      <c r="AB417" cm="1">
        <f t="array" ref="AB417">INDEX(Innings!J:J,MATCH(1,(TRIM(Innings!A:A)=TRIM(A417))*(TRIM(Innings!D:D)=TRIM(E417)),0))</f>
        <v>53</v>
      </c>
      <c r="AC417" cm="1">
        <f t="array" ref="AC417">INDEX(Innings!N:N,MATCH(1,(TRIM(Innings!A:A)=TRIM(A417))*(TRIM(Innings!D:D)=TRIM(E417)),0))</f>
        <v>9</v>
      </c>
      <c r="AD417" cm="1">
        <f t="array" ref="AD417">INDEX(Innings!S:S,MATCH(1,(TRIM(Innings!A:A)=TRIM(A417))*(TRIM(Innings!D:D)=TRIM(E417)),0))</f>
        <v>42</v>
      </c>
      <c r="AE417" t="str" cm="1">
        <f t="array" ref="AE417">INDEX(Innings!W:W,MATCH(1,(TRIM(Innings!A:A)=TRIM(A417))*(TRIM(Innings!D:D)=TRIM(E417)),0))</f>
        <v>Successful</v>
      </c>
      <c r="AF417">
        <f>IF(UPPER(TRIM(E417))=UPPER(TRIM(W417)),1,0)</f>
        <v>1</v>
      </c>
      <c r="AG417">
        <f t="shared" si="13"/>
        <v>20</v>
      </c>
    </row>
    <row r="418" spans="1:33" x14ac:dyDescent="0.3">
      <c r="A418" t="s">
        <v>152</v>
      </c>
      <c r="B418">
        <v>1</v>
      </c>
      <c r="C418" t="s">
        <v>129</v>
      </c>
      <c r="D418" t="s">
        <v>103</v>
      </c>
      <c r="E418" t="s">
        <v>266</v>
      </c>
      <c r="F418" t="s">
        <v>101</v>
      </c>
      <c r="G418" t="s">
        <v>135</v>
      </c>
      <c r="H418">
        <v>0</v>
      </c>
      <c r="I418">
        <v>0</v>
      </c>
      <c r="J418">
        <v>0</v>
      </c>
      <c r="K418" t="s">
        <v>104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 s="8">
        <v>0</v>
      </c>
      <c r="V418" s="8">
        <f t="shared" si="12"/>
        <v>0</v>
      </c>
      <c r="W418" t="str">
        <f>_xlfn.XLOOKUP(A418, Matches!A:A, Matches!L:L, "NA", 0)</f>
        <v>MIW</v>
      </c>
      <c r="X418" t="str">
        <f>_xlfn.XLOOKUP(A418, Matches!A:A, Matches!J:J, "NA", 0)</f>
        <v>MIW</v>
      </c>
      <c r="Y418" t="str">
        <f>_xlfn.XLOOKUP(A418, Matches!A:A, Matches!F:F, "NA", 0)</f>
        <v>Dr DY Patil Sports </v>
      </c>
      <c r="Z418" cm="1">
        <f t="array" ref="Z418">INDEX(Innings!F:F,MATCH(1,(TRIM(Innings!A:A)=TRIM(A418))*(TRIM(Innings!D:D)=TRIM(E418)),0))</f>
        <v>129</v>
      </c>
      <c r="AA418" cm="1">
        <f t="array" ref="AA418">INDEX(Innings!I:I,MATCH(1,(TRIM(Innings!A:A)=TRIM(A418))*(TRIM(Innings!D:D)=TRIM(E418)),0))</f>
        <v>7.82</v>
      </c>
      <c r="AB418" cm="1">
        <f t="array" ref="AB418">INDEX(Innings!J:J,MATCH(1,(TRIM(Innings!A:A)=TRIM(A418))*(TRIM(Innings!D:D)=TRIM(E418)),0))</f>
        <v>53</v>
      </c>
      <c r="AC418" cm="1">
        <f t="array" ref="AC418">INDEX(Innings!N:N,MATCH(1,(TRIM(Innings!A:A)=TRIM(A418))*(TRIM(Innings!D:D)=TRIM(E418)),0))</f>
        <v>9</v>
      </c>
      <c r="AD418" cm="1">
        <f t="array" ref="AD418">INDEX(Innings!S:S,MATCH(1,(TRIM(Innings!A:A)=TRIM(A418))*(TRIM(Innings!D:D)=TRIM(E418)),0))</f>
        <v>42</v>
      </c>
      <c r="AE418" t="str" cm="1">
        <f t="array" ref="AE418">INDEX(Innings!W:W,MATCH(1,(TRIM(Innings!A:A)=TRIM(A418))*(TRIM(Innings!D:D)=TRIM(E418)),0))</f>
        <v>Successful</v>
      </c>
      <c r="AF418">
        <f>IF(UPPER(TRIM(E418))=UPPER(TRIM(W418)),1,0)</f>
        <v>1</v>
      </c>
      <c r="AG418">
        <f t="shared" si="13"/>
        <v>20</v>
      </c>
    </row>
    <row r="419" spans="1:33" x14ac:dyDescent="0.3">
      <c r="A419" t="s">
        <v>152</v>
      </c>
      <c r="B419">
        <v>1</v>
      </c>
      <c r="C419" t="s">
        <v>131</v>
      </c>
      <c r="D419" t="s">
        <v>106</v>
      </c>
      <c r="E419" t="s">
        <v>266</v>
      </c>
      <c r="F419" t="s">
        <v>101</v>
      </c>
      <c r="G419" t="s">
        <v>135</v>
      </c>
      <c r="H419">
        <v>0</v>
      </c>
      <c r="I419">
        <v>0</v>
      </c>
      <c r="J419">
        <v>0</v>
      </c>
      <c r="K419" t="s">
        <v>104</v>
      </c>
      <c r="L419">
        <v>0</v>
      </c>
      <c r="M419">
        <v>4</v>
      </c>
      <c r="N419">
        <v>0</v>
      </c>
      <c r="O419">
        <v>31</v>
      </c>
      <c r="P419">
        <v>1</v>
      </c>
      <c r="Q419">
        <v>7.75</v>
      </c>
      <c r="R419">
        <v>5</v>
      </c>
      <c r="S419">
        <v>0</v>
      </c>
      <c r="T419">
        <v>0</v>
      </c>
      <c r="U419" s="8">
        <v>5</v>
      </c>
      <c r="V419" s="8">
        <f t="shared" si="12"/>
        <v>1</v>
      </c>
      <c r="W419" t="str">
        <f>_xlfn.XLOOKUP(A419, Matches!A:A, Matches!L:L, "NA", 0)</f>
        <v>MIW</v>
      </c>
      <c r="X419" t="str">
        <f>_xlfn.XLOOKUP(A419, Matches!A:A, Matches!J:J, "NA", 0)</f>
        <v>MIW</v>
      </c>
      <c r="Y419" t="str">
        <f>_xlfn.XLOOKUP(A419, Matches!A:A, Matches!F:F, "NA", 0)</f>
        <v>Dr DY Patil Sports </v>
      </c>
      <c r="Z419" cm="1">
        <f t="array" ref="Z419">INDEX(Innings!F:F,MATCH(1,(TRIM(Innings!A:A)=TRIM(A419))*(TRIM(Innings!D:D)=TRIM(E419)),0))</f>
        <v>129</v>
      </c>
      <c r="AA419" cm="1">
        <f t="array" ref="AA419">INDEX(Innings!I:I,MATCH(1,(TRIM(Innings!A:A)=TRIM(A419))*(TRIM(Innings!D:D)=TRIM(E419)),0))</f>
        <v>7.82</v>
      </c>
      <c r="AB419" cm="1">
        <f t="array" ref="AB419">INDEX(Innings!J:J,MATCH(1,(TRIM(Innings!A:A)=TRIM(A419))*(TRIM(Innings!D:D)=TRIM(E419)),0))</f>
        <v>53</v>
      </c>
      <c r="AC419" cm="1">
        <f t="array" ref="AC419">INDEX(Innings!N:N,MATCH(1,(TRIM(Innings!A:A)=TRIM(A419))*(TRIM(Innings!D:D)=TRIM(E419)),0))</f>
        <v>9</v>
      </c>
      <c r="AD419" cm="1">
        <f t="array" ref="AD419">INDEX(Innings!S:S,MATCH(1,(TRIM(Innings!A:A)=TRIM(A419))*(TRIM(Innings!D:D)=TRIM(E419)),0))</f>
        <v>42</v>
      </c>
      <c r="AE419" t="str" cm="1">
        <f t="array" ref="AE419">INDEX(Innings!W:W,MATCH(1,(TRIM(Innings!A:A)=TRIM(A419))*(TRIM(Innings!D:D)=TRIM(E419)),0))</f>
        <v>Successful</v>
      </c>
      <c r="AF419">
        <f>IF(UPPER(TRIM(E419))=UPPER(TRIM(W419)),1,0)</f>
        <v>1</v>
      </c>
      <c r="AG419">
        <f t="shared" si="13"/>
        <v>22.8</v>
      </c>
    </row>
    <row r="420" spans="1:33" x14ac:dyDescent="0.3">
      <c r="A420" t="s">
        <v>153</v>
      </c>
      <c r="B420">
        <v>1</v>
      </c>
      <c r="C420" t="s">
        <v>217</v>
      </c>
      <c r="D420" t="s">
        <v>218</v>
      </c>
      <c r="E420" t="s">
        <v>219</v>
      </c>
      <c r="F420" t="s">
        <v>85</v>
      </c>
      <c r="G420" t="s">
        <v>86</v>
      </c>
      <c r="H420">
        <v>36</v>
      </c>
      <c r="I420">
        <v>34</v>
      </c>
      <c r="J420">
        <v>105.88</v>
      </c>
      <c r="K420" t="s">
        <v>248</v>
      </c>
      <c r="L420">
        <v>41.59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 s="8">
        <v>41.59</v>
      </c>
      <c r="V420" s="8">
        <f t="shared" si="12"/>
        <v>4</v>
      </c>
      <c r="W420" t="str">
        <f>_xlfn.XLOOKUP(A420, Matches!A:A, Matches!L:L, "NA", 0)</f>
        <v>DCW</v>
      </c>
      <c r="X420" t="str">
        <f>_xlfn.XLOOKUP(A420, Matches!A:A, Matches!J:J, "NA", 0)</f>
        <v>DCW</v>
      </c>
      <c r="Y420" t="str">
        <f>_xlfn.XLOOKUP(A420, Matches!A:A, Matches!F:F, "NA", 0)</f>
        <v>Brabourne Stadium</v>
      </c>
      <c r="Z420" cm="1">
        <f t="array" ref="Z420">INDEX(Innings!F:F,MATCH(1,(TRIM(Innings!A:A)=TRIM(A420))*(TRIM(Innings!D:D)=TRIM(E420)),0))</f>
        <v>138</v>
      </c>
      <c r="AA420" cm="1">
        <f t="array" ref="AA420">INDEX(Innings!I:I,MATCH(1,(TRIM(Innings!A:A)=TRIM(A420))*(TRIM(Innings!D:D)=TRIM(E420)),0))</f>
        <v>6.9</v>
      </c>
      <c r="AB420" cm="1">
        <f t="array" ref="AB420">INDEX(Innings!J:J,MATCH(1,(TRIM(Innings!A:A)=TRIM(A420))*(TRIM(Innings!D:D)=TRIM(E420)),0))</f>
        <v>38</v>
      </c>
      <c r="AC420" cm="1">
        <f t="array" ref="AC420">INDEX(Innings!N:N,MATCH(1,(TRIM(Innings!A:A)=TRIM(A420))*(TRIM(Innings!D:D)=TRIM(E420)),0))</f>
        <v>44</v>
      </c>
      <c r="AD420" cm="1">
        <f t="array" ref="AD420">INDEX(Innings!S:S,MATCH(1,(TRIM(Innings!A:A)=TRIM(A420))*(TRIM(Innings!D:D)=TRIM(E420)),0))</f>
        <v>57</v>
      </c>
      <c r="AE420" t="str" cm="1">
        <f t="array" ref="AE420">INDEX(Innings!W:W,MATCH(1,(TRIM(Innings!A:A)=TRIM(A420))*(TRIM(Innings!D:D)=TRIM(E420)),0))</f>
        <v>NA</v>
      </c>
      <c r="AF420">
        <f>IF(UPPER(TRIM(E420))=UPPER(TRIM(W420)),1,0)</f>
        <v>0</v>
      </c>
      <c r="AG420">
        <f t="shared" si="13"/>
        <v>21.995000000000001</v>
      </c>
    </row>
    <row r="421" spans="1:33" x14ac:dyDescent="0.3">
      <c r="A421" t="s">
        <v>153</v>
      </c>
      <c r="B421">
        <v>1</v>
      </c>
      <c r="C421" t="s">
        <v>220</v>
      </c>
      <c r="D421" t="s">
        <v>221</v>
      </c>
      <c r="E421" t="s">
        <v>219</v>
      </c>
      <c r="F421" t="s">
        <v>109</v>
      </c>
      <c r="G421" t="s">
        <v>92</v>
      </c>
      <c r="H421">
        <v>19</v>
      </c>
      <c r="I421">
        <v>12</v>
      </c>
      <c r="J421">
        <v>158.33000000000001</v>
      </c>
      <c r="K421" t="s">
        <v>246</v>
      </c>
      <c r="L421">
        <v>29.83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 s="8">
        <v>29.83</v>
      </c>
      <c r="V421" s="8">
        <f t="shared" si="12"/>
        <v>3</v>
      </c>
      <c r="W421" t="str">
        <f>_xlfn.XLOOKUP(A421, Matches!A:A, Matches!L:L, "NA", 0)</f>
        <v>DCW</v>
      </c>
      <c r="X421" t="str">
        <f>_xlfn.XLOOKUP(A421, Matches!A:A, Matches!J:J, "NA", 0)</f>
        <v>DCW</v>
      </c>
      <c r="Y421" t="str">
        <f>_xlfn.XLOOKUP(A421, Matches!A:A, Matches!F:F, "NA", 0)</f>
        <v>Brabourne Stadium</v>
      </c>
      <c r="Z421" cm="1">
        <f t="array" ref="Z421">INDEX(Innings!F:F,MATCH(1,(TRIM(Innings!A:A)=TRIM(A421))*(TRIM(Innings!D:D)=TRIM(E421)),0))</f>
        <v>138</v>
      </c>
      <c r="AA421" cm="1">
        <f t="array" ref="AA421">INDEX(Innings!I:I,MATCH(1,(TRIM(Innings!A:A)=TRIM(A421))*(TRIM(Innings!D:D)=TRIM(E421)),0))</f>
        <v>6.9</v>
      </c>
      <c r="AB421" cm="1">
        <f t="array" ref="AB421">INDEX(Innings!J:J,MATCH(1,(TRIM(Innings!A:A)=TRIM(A421))*(TRIM(Innings!D:D)=TRIM(E421)),0))</f>
        <v>38</v>
      </c>
      <c r="AC421" cm="1">
        <f t="array" ref="AC421">INDEX(Innings!N:N,MATCH(1,(TRIM(Innings!A:A)=TRIM(A421))*(TRIM(Innings!D:D)=TRIM(E421)),0))</f>
        <v>44</v>
      </c>
      <c r="AD421" cm="1">
        <f t="array" ref="AD421">INDEX(Innings!S:S,MATCH(1,(TRIM(Innings!A:A)=TRIM(A421))*(TRIM(Innings!D:D)=TRIM(E421)),0))</f>
        <v>57</v>
      </c>
      <c r="AE421" t="str" cm="1">
        <f t="array" ref="AE421">INDEX(Innings!W:W,MATCH(1,(TRIM(Innings!A:A)=TRIM(A421))*(TRIM(Innings!D:D)=TRIM(E421)),0))</f>
        <v>NA</v>
      </c>
      <c r="AF421">
        <f>IF(UPPER(TRIM(E421))=UPPER(TRIM(W421)),1,0)</f>
        <v>0</v>
      </c>
      <c r="AG421">
        <f t="shared" si="13"/>
        <v>15.815</v>
      </c>
    </row>
    <row r="422" spans="1:33" x14ac:dyDescent="0.3">
      <c r="A422" t="s">
        <v>153</v>
      </c>
      <c r="B422">
        <v>1</v>
      </c>
      <c r="C422" t="s">
        <v>227</v>
      </c>
      <c r="D422" t="s">
        <v>228</v>
      </c>
      <c r="E422" t="s">
        <v>219</v>
      </c>
      <c r="F422" t="s">
        <v>109</v>
      </c>
      <c r="G422" t="s">
        <v>134</v>
      </c>
      <c r="H422">
        <v>11</v>
      </c>
      <c r="I422">
        <v>23</v>
      </c>
      <c r="J422">
        <v>47.83</v>
      </c>
      <c r="K422" t="s">
        <v>246</v>
      </c>
      <c r="L422">
        <v>10.78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 s="8">
        <v>10.78</v>
      </c>
      <c r="V422" s="8">
        <f t="shared" si="12"/>
        <v>1</v>
      </c>
      <c r="W422" t="str">
        <f>_xlfn.XLOOKUP(A422, Matches!A:A, Matches!L:L, "NA", 0)</f>
        <v>DCW</v>
      </c>
      <c r="X422" t="str">
        <f>_xlfn.XLOOKUP(A422, Matches!A:A, Matches!J:J, "NA", 0)</f>
        <v>DCW</v>
      </c>
      <c r="Y422" t="str">
        <f>_xlfn.XLOOKUP(A422, Matches!A:A, Matches!F:F, "NA", 0)</f>
        <v>Brabourne Stadium</v>
      </c>
      <c r="Z422" cm="1">
        <f t="array" ref="Z422">INDEX(Innings!F:F,MATCH(1,(TRIM(Innings!A:A)=TRIM(A422))*(TRIM(Innings!D:D)=TRIM(E422)),0))</f>
        <v>138</v>
      </c>
      <c r="AA422" cm="1">
        <f t="array" ref="AA422">INDEX(Innings!I:I,MATCH(1,(TRIM(Innings!A:A)=TRIM(A422))*(TRIM(Innings!D:D)=TRIM(E422)),0))</f>
        <v>6.9</v>
      </c>
      <c r="AB422" cm="1">
        <f t="array" ref="AB422">INDEX(Innings!J:J,MATCH(1,(TRIM(Innings!A:A)=TRIM(A422))*(TRIM(Innings!D:D)=TRIM(E422)),0))</f>
        <v>38</v>
      </c>
      <c r="AC422" cm="1">
        <f t="array" ref="AC422">INDEX(Innings!N:N,MATCH(1,(TRIM(Innings!A:A)=TRIM(A422))*(TRIM(Innings!D:D)=TRIM(E422)),0))</f>
        <v>44</v>
      </c>
      <c r="AD422" cm="1">
        <f t="array" ref="AD422">INDEX(Innings!S:S,MATCH(1,(TRIM(Innings!A:A)=TRIM(A422))*(TRIM(Innings!D:D)=TRIM(E422)),0))</f>
        <v>57</v>
      </c>
      <c r="AE422" t="str" cm="1">
        <f t="array" ref="AE422">INDEX(Innings!W:W,MATCH(1,(TRIM(Innings!A:A)=TRIM(A422))*(TRIM(Innings!D:D)=TRIM(E422)),0))</f>
        <v>NA</v>
      </c>
      <c r="AF422">
        <f>IF(UPPER(TRIM(E422))=UPPER(TRIM(W422)),1,0)</f>
        <v>0</v>
      </c>
      <c r="AG422">
        <f t="shared" si="13"/>
        <v>5.6899999999999995</v>
      </c>
    </row>
    <row r="423" spans="1:33" x14ac:dyDescent="0.3">
      <c r="A423" t="s">
        <v>153</v>
      </c>
      <c r="B423">
        <v>1</v>
      </c>
      <c r="C423" t="s">
        <v>222</v>
      </c>
      <c r="D423" t="s">
        <v>223</v>
      </c>
      <c r="E423" t="s">
        <v>219</v>
      </c>
      <c r="F423" t="s">
        <v>169</v>
      </c>
      <c r="G423" t="s">
        <v>92</v>
      </c>
      <c r="H423">
        <v>58</v>
      </c>
      <c r="I423">
        <v>32</v>
      </c>
      <c r="J423">
        <v>181.25</v>
      </c>
      <c r="K423" t="s">
        <v>96</v>
      </c>
      <c r="L423">
        <v>76.13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 s="8">
        <v>76.13</v>
      </c>
      <c r="V423" s="8">
        <f t="shared" si="12"/>
        <v>8</v>
      </c>
      <c r="W423" t="str">
        <f>_xlfn.XLOOKUP(A423, Matches!A:A, Matches!L:L, "NA", 0)</f>
        <v>DCW</v>
      </c>
      <c r="X423" t="str">
        <f>_xlfn.XLOOKUP(A423, Matches!A:A, Matches!J:J, "NA", 0)</f>
        <v>DCW</v>
      </c>
      <c r="Y423" t="str">
        <f>_xlfn.XLOOKUP(A423, Matches!A:A, Matches!F:F, "NA", 0)</f>
        <v>Brabourne Stadium</v>
      </c>
      <c r="Z423" cm="1">
        <f t="array" ref="Z423">INDEX(Innings!F:F,MATCH(1,(TRIM(Innings!A:A)=TRIM(A423))*(TRIM(Innings!D:D)=TRIM(E423)),0))</f>
        <v>138</v>
      </c>
      <c r="AA423" cm="1">
        <f t="array" ref="AA423">INDEX(Innings!I:I,MATCH(1,(TRIM(Innings!A:A)=TRIM(A423))*(TRIM(Innings!D:D)=TRIM(E423)),0))</f>
        <v>6.9</v>
      </c>
      <c r="AB423" cm="1">
        <f t="array" ref="AB423">INDEX(Innings!J:J,MATCH(1,(TRIM(Innings!A:A)=TRIM(A423))*(TRIM(Innings!D:D)=TRIM(E423)),0))</f>
        <v>38</v>
      </c>
      <c r="AC423" cm="1">
        <f t="array" ref="AC423">INDEX(Innings!N:N,MATCH(1,(TRIM(Innings!A:A)=TRIM(A423))*(TRIM(Innings!D:D)=TRIM(E423)),0))</f>
        <v>44</v>
      </c>
      <c r="AD423" cm="1">
        <f t="array" ref="AD423">INDEX(Innings!S:S,MATCH(1,(TRIM(Innings!A:A)=TRIM(A423))*(TRIM(Innings!D:D)=TRIM(E423)),0))</f>
        <v>57</v>
      </c>
      <c r="AE423" t="str" cm="1">
        <f t="array" ref="AE423">INDEX(Innings!W:W,MATCH(1,(TRIM(Innings!A:A)=TRIM(A423))*(TRIM(Innings!D:D)=TRIM(E423)),0))</f>
        <v>NA</v>
      </c>
      <c r="AF423">
        <f>IF(UPPER(TRIM(E423))=UPPER(TRIM(W423)),1,0)</f>
        <v>0</v>
      </c>
      <c r="AG423">
        <f t="shared" si="13"/>
        <v>40.464999999999996</v>
      </c>
    </row>
    <row r="424" spans="1:33" x14ac:dyDescent="0.3">
      <c r="A424" t="s">
        <v>153</v>
      </c>
      <c r="B424">
        <v>1</v>
      </c>
      <c r="C424" t="s">
        <v>229</v>
      </c>
      <c r="D424" t="s">
        <v>230</v>
      </c>
      <c r="E424" t="s">
        <v>219</v>
      </c>
      <c r="F424" t="s">
        <v>109</v>
      </c>
      <c r="G424" t="s">
        <v>134</v>
      </c>
      <c r="H424">
        <v>2</v>
      </c>
      <c r="I424">
        <v>3</v>
      </c>
      <c r="J424">
        <v>66.67</v>
      </c>
      <c r="K424" t="s">
        <v>248</v>
      </c>
      <c r="L424">
        <v>3.67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 s="8">
        <v>3.67</v>
      </c>
      <c r="V424" s="8">
        <f t="shared" si="12"/>
        <v>0</v>
      </c>
      <c r="W424" t="str">
        <f>_xlfn.XLOOKUP(A424, Matches!A:A, Matches!L:L, "NA", 0)</f>
        <v>DCW</v>
      </c>
      <c r="X424" t="str">
        <f>_xlfn.XLOOKUP(A424, Matches!A:A, Matches!J:J, "NA", 0)</f>
        <v>DCW</v>
      </c>
      <c r="Y424" t="str">
        <f>_xlfn.XLOOKUP(A424, Matches!A:A, Matches!F:F, "NA", 0)</f>
        <v>Brabourne Stadium</v>
      </c>
      <c r="Z424" cm="1">
        <f t="array" ref="Z424">INDEX(Innings!F:F,MATCH(1,(TRIM(Innings!A:A)=TRIM(A424))*(TRIM(Innings!D:D)=TRIM(E424)),0))</f>
        <v>138</v>
      </c>
      <c r="AA424" cm="1">
        <f t="array" ref="AA424">INDEX(Innings!I:I,MATCH(1,(TRIM(Innings!A:A)=TRIM(A424))*(TRIM(Innings!D:D)=TRIM(E424)),0))</f>
        <v>6.9</v>
      </c>
      <c r="AB424" cm="1">
        <f t="array" ref="AB424">INDEX(Innings!J:J,MATCH(1,(TRIM(Innings!A:A)=TRIM(A424))*(TRIM(Innings!D:D)=TRIM(E424)),0))</f>
        <v>38</v>
      </c>
      <c r="AC424" cm="1">
        <f t="array" ref="AC424">INDEX(Innings!N:N,MATCH(1,(TRIM(Innings!A:A)=TRIM(A424))*(TRIM(Innings!D:D)=TRIM(E424)),0))</f>
        <v>44</v>
      </c>
      <c r="AD424" cm="1">
        <f t="array" ref="AD424">INDEX(Innings!S:S,MATCH(1,(TRIM(Innings!A:A)=TRIM(A424))*(TRIM(Innings!D:D)=TRIM(E424)),0))</f>
        <v>57</v>
      </c>
      <c r="AE424" t="str" cm="1">
        <f t="array" ref="AE424">INDEX(Innings!W:W,MATCH(1,(TRIM(Innings!A:A)=TRIM(A424))*(TRIM(Innings!D:D)=TRIM(E424)),0))</f>
        <v>NA</v>
      </c>
      <c r="AF424">
        <f>IF(UPPER(TRIM(E424))=UPPER(TRIM(W424)),1,0)</f>
        <v>0</v>
      </c>
      <c r="AG424">
        <f t="shared" si="13"/>
        <v>1.835</v>
      </c>
    </row>
    <row r="425" spans="1:33" x14ac:dyDescent="0.3">
      <c r="A425" t="s">
        <v>153</v>
      </c>
      <c r="B425">
        <v>1</v>
      </c>
      <c r="C425" t="s">
        <v>224</v>
      </c>
      <c r="D425" t="s">
        <v>225</v>
      </c>
      <c r="E425" t="s">
        <v>219</v>
      </c>
      <c r="F425" t="s">
        <v>169</v>
      </c>
      <c r="G425" t="s">
        <v>134</v>
      </c>
      <c r="H425">
        <v>3</v>
      </c>
      <c r="I425">
        <v>8</v>
      </c>
      <c r="J425">
        <v>37.5</v>
      </c>
      <c r="K425" t="s">
        <v>248</v>
      </c>
      <c r="L425">
        <v>1.75</v>
      </c>
      <c r="M425">
        <v>3.5</v>
      </c>
      <c r="N425">
        <v>0</v>
      </c>
      <c r="O425">
        <v>37</v>
      </c>
      <c r="P425">
        <v>0</v>
      </c>
      <c r="Q425">
        <v>10.57</v>
      </c>
      <c r="R425">
        <v>-21.14</v>
      </c>
      <c r="S425">
        <v>0</v>
      </c>
      <c r="T425">
        <v>0</v>
      </c>
      <c r="U425" s="8">
        <v>-19.39</v>
      </c>
      <c r="V425" s="8">
        <f t="shared" si="12"/>
        <v>0</v>
      </c>
      <c r="W425" t="str">
        <f>_xlfn.XLOOKUP(A425, Matches!A:A, Matches!L:L, "NA", 0)</f>
        <v>DCW</v>
      </c>
      <c r="X425" t="str">
        <f>_xlfn.XLOOKUP(A425, Matches!A:A, Matches!J:J, "NA", 0)</f>
        <v>DCW</v>
      </c>
      <c r="Y425" t="str">
        <f>_xlfn.XLOOKUP(A425, Matches!A:A, Matches!F:F, "NA", 0)</f>
        <v>Brabourne Stadium</v>
      </c>
      <c r="Z425" cm="1">
        <f t="array" ref="Z425">INDEX(Innings!F:F,MATCH(1,(TRIM(Innings!A:A)=TRIM(A425))*(TRIM(Innings!D:D)=TRIM(E425)),0))</f>
        <v>138</v>
      </c>
      <c r="AA425" cm="1">
        <f t="array" ref="AA425">INDEX(Innings!I:I,MATCH(1,(TRIM(Innings!A:A)=TRIM(A425))*(TRIM(Innings!D:D)=TRIM(E425)),0))</f>
        <v>6.9</v>
      </c>
      <c r="AB425" cm="1">
        <f t="array" ref="AB425">INDEX(Innings!J:J,MATCH(1,(TRIM(Innings!A:A)=TRIM(A425))*(TRIM(Innings!D:D)=TRIM(E425)),0))</f>
        <v>38</v>
      </c>
      <c r="AC425" cm="1">
        <f t="array" ref="AC425">INDEX(Innings!N:N,MATCH(1,(TRIM(Innings!A:A)=TRIM(A425))*(TRIM(Innings!D:D)=TRIM(E425)),0))</f>
        <v>44</v>
      </c>
      <c r="AD425" cm="1">
        <f t="array" ref="AD425">INDEX(Innings!S:S,MATCH(1,(TRIM(Innings!A:A)=TRIM(A425))*(TRIM(Innings!D:D)=TRIM(E425)),0))</f>
        <v>57</v>
      </c>
      <c r="AE425" t="str" cm="1">
        <f t="array" ref="AE425">INDEX(Innings!W:W,MATCH(1,(TRIM(Innings!A:A)=TRIM(A425))*(TRIM(Innings!D:D)=TRIM(E425)),0))</f>
        <v>NA</v>
      </c>
      <c r="AF425">
        <f>IF(UPPER(TRIM(E425))=UPPER(TRIM(W425)),1,0)</f>
        <v>0</v>
      </c>
      <c r="AG425">
        <f t="shared" si="13"/>
        <v>0</v>
      </c>
    </row>
    <row r="426" spans="1:33" x14ac:dyDescent="0.3">
      <c r="A426" t="s">
        <v>153</v>
      </c>
      <c r="B426">
        <v>1</v>
      </c>
      <c r="C426" t="s">
        <v>233</v>
      </c>
      <c r="D426" t="s">
        <v>234</v>
      </c>
      <c r="E426" t="s">
        <v>219</v>
      </c>
      <c r="F426" t="s">
        <v>101</v>
      </c>
      <c r="G426" t="s">
        <v>134</v>
      </c>
      <c r="H426">
        <v>0</v>
      </c>
      <c r="I426">
        <v>2</v>
      </c>
      <c r="J426">
        <v>0</v>
      </c>
      <c r="K426" t="s">
        <v>248</v>
      </c>
      <c r="L426">
        <v>-5</v>
      </c>
      <c r="M426">
        <v>4</v>
      </c>
      <c r="N426">
        <v>0</v>
      </c>
      <c r="O426">
        <v>25</v>
      </c>
      <c r="P426">
        <v>1</v>
      </c>
      <c r="Q426">
        <v>6.25</v>
      </c>
      <c r="R426">
        <v>7.5</v>
      </c>
      <c r="S426">
        <v>0</v>
      </c>
      <c r="T426">
        <v>0</v>
      </c>
      <c r="U426" s="8">
        <v>2.5</v>
      </c>
      <c r="V426" s="8">
        <f t="shared" si="12"/>
        <v>0</v>
      </c>
      <c r="W426" t="str">
        <f>_xlfn.XLOOKUP(A426, Matches!A:A, Matches!L:L, "NA", 0)</f>
        <v>DCW</v>
      </c>
      <c r="X426" t="str">
        <f>_xlfn.XLOOKUP(A426, Matches!A:A, Matches!J:J, "NA", 0)</f>
        <v>DCW</v>
      </c>
      <c r="Y426" t="str">
        <f>_xlfn.XLOOKUP(A426, Matches!A:A, Matches!F:F, "NA", 0)</f>
        <v>Brabourne Stadium</v>
      </c>
      <c r="Z426" cm="1">
        <f t="array" ref="Z426">INDEX(Innings!F:F,MATCH(1,(TRIM(Innings!A:A)=TRIM(A426))*(TRIM(Innings!D:D)=TRIM(E426)),0))</f>
        <v>138</v>
      </c>
      <c r="AA426" cm="1">
        <f t="array" ref="AA426">INDEX(Innings!I:I,MATCH(1,(TRIM(Innings!A:A)=TRIM(A426))*(TRIM(Innings!D:D)=TRIM(E426)),0))</f>
        <v>6.9</v>
      </c>
      <c r="AB426" cm="1">
        <f t="array" ref="AB426">INDEX(Innings!J:J,MATCH(1,(TRIM(Innings!A:A)=TRIM(A426))*(TRIM(Innings!D:D)=TRIM(E426)),0))</f>
        <v>38</v>
      </c>
      <c r="AC426" cm="1">
        <f t="array" ref="AC426">INDEX(Innings!N:N,MATCH(1,(TRIM(Innings!A:A)=TRIM(A426))*(TRIM(Innings!D:D)=TRIM(E426)),0))</f>
        <v>44</v>
      </c>
      <c r="AD426" cm="1">
        <f t="array" ref="AD426">INDEX(Innings!S:S,MATCH(1,(TRIM(Innings!A:A)=TRIM(A426))*(TRIM(Innings!D:D)=TRIM(E426)),0))</f>
        <v>57</v>
      </c>
      <c r="AE426" t="str" cm="1">
        <f t="array" ref="AE426">INDEX(Innings!W:W,MATCH(1,(TRIM(Innings!A:A)=TRIM(A426))*(TRIM(Innings!D:D)=TRIM(E426)),0))</f>
        <v>NA</v>
      </c>
      <c r="AF426">
        <f>IF(UPPER(TRIM(E426))=UPPER(TRIM(W426)),1,0)</f>
        <v>0</v>
      </c>
      <c r="AG426">
        <f t="shared" si="13"/>
        <v>1.25</v>
      </c>
    </row>
    <row r="427" spans="1:33" x14ac:dyDescent="0.3">
      <c r="A427" t="s">
        <v>153</v>
      </c>
      <c r="B427">
        <v>1</v>
      </c>
      <c r="C427" t="s">
        <v>235</v>
      </c>
      <c r="D427" t="s">
        <v>236</v>
      </c>
      <c r="E427" t="s">
        <v>219</v>
      </c>
      <c r="F427" t="s">
        <v>101</v>
      </c>
      <c r="G427" t="s">
        <v>135</v>
      </c>
      <c r="H427">
        <v>3</v>
      </c>
      <c r="I427">
        <v>6</v>
      </c>
      <c r="J427">
        <v>50</v>
      </c>
      <c r="K427" t="s">
        <v>96</v>
      </c>
      <c r="L427">
        <v>8</v>
      </c>
      <c r="M427">
        <v>2</v>
      </c>
      <c r="N427">
        <v>0</v>
      </c>
      <c r="O427">
        <v>15</v>
      </c>
      <c r="P427">
        <v>0</v>
      </c>
      <c r="Q427">
        <v>7.5</v>
      </c>
      <c r="R427">
        <v>-15</v>
      </c>
      <c r="S427">
        <v>0</v>
      </c>
      <c r="T427">
        <v>0</v>
      </c>
      <c r="U427" s="8">
        <v>-7</v>
      </c>
      <c r="V427" s="8">
        <f t="shared" si="12"/>
        <v>0</v>
      </c>
      <c r="W427" t="str">
        <f>_xlfn.XLOOKUP(A427, Matches!A:A, Matches!L:L, "NA", 0)</f>
        <v>DCW</v>
      </c>
      <c r="X427" t="str">
        <f>_xlfn.XLOOKUP(A427, Matches!A:A, Matches!J:J, "NA", 0)</f>
        <v>DCW</v>
      </c>
      <c r="Y427" t="str">
        <f>_xlfn.XLOOKUP(A427, Matches!A:A, Matches!F:F, "NA", 0)</f>
        <v>Brabourne Stadium</v>
      </c>
      <c r="Z427" cm="1">
        <f t="array" ref="Z427">INDEX(Innings!F:F,MATCH(1,(TRIM(Innings!A:A)=TRIM(A427))*(TRIM(Innings!D:D)=TRIM(E427)),0))</f>
        <v>138</v>
      </c>
      <c r="AA427" cm="1">
        <f t="array" ref="AA427">INDEX(Innings!I:I,MATCH(1,(TRIM(Innings!A:A)=TRIM(A427))*(TRIM(Innings!D:D)=TRIM(E427)),0))</f>
        <v>6.9</v>
      </c>
      <c r="AB427" cm="1">
        <f t="array" ref="AB427">INDEX(Innings!J:J,MATCH(1,(TRIM(Innings!A:A)=TRIM(A427))*(TRIM(Innings!D:D)=TRIM(E427)),0))</f>
        <v>38</v>
      </c>
      <c r="AC427" cm="1">
        <f t="array" ref="AC427">INDEX(Innings!N:N,MATCH(1,(TRIM(Innings!A:A)=TRIM(A427))*(TRIM(Innings!D:D)=TRIM(E427)),0))</f>
        <v>44</v>
      </c>
      <c r="AD427" cm="1">
        <f t="array" ref="AD427">INDEX(Innings!S:S,MATCH(1,(TRIM(Innings!A:A)=TRIM(A427))*(TRIM(Innings!D:D)=TRIM(E427)),0))</f>
        <v>57</v>
      </c>
      <c r="AE427" t="str" cm="1">
        <f t="array" ref="AE427">INDEX(Innings!W:W,MATCH(1,(TRIM(Innings!A:A)=TRIM(A427))*(TRIM(Innings!D:D)=TRIM(E427)),0))</f>
        <v>NA</v>
      </c>
      <c r="AF427">
        <f>IF(UPPER(TRIM(E427))=UPPER(TRIM(W427)),1,0)</f>
        <v>0</v>
      </c>
      <c r="AG427">
        <f t="shared" si="13"/>
        <v>0</v>
      </c>
    </row>
    <row r="428" spans="1:33" x14ac:dyDescent="0.3">
      <c r="A428" t="s">
        <v>153</v>
      </c>
      <c r="B428">
        <v>1</v>
      </c>
      <c r="C428" t="s">
        <v>314</v>
      </c>
      <c r="D428" t="s">
        <v>315</v>
      </c>
      <c r="E428" t="s">
        <v>219</v>
      </c>
      <c r="F428" t="s">
        <v>91</v>
      </c>
      <c r="G428" t="s">
        <v>104</v>
      </c>
      <c r="H428">
        <v>0</v>
      </c>
      <c r="I428">
        <v>0</v>
      </c>
      <c r="J428">
        <v>0</v>
      </c>
      <c r="K428" t="s">
        <v>104</v>
      </c>
      <c r="L428">
        <v>0</v>
      </c>
      <c r="M428">
        <v>2</v>
      </c>
      <c r="N428">
        <v>0</v>
      </c>
      <c r="O428">
        <v>9</v>
      </c>
      <c r="P428">
        <v>0</v>
      </c>
      <c r="Q428">
        <v>4.5</v>
      </c>
      <c r="R428">
        <v>-9</v>
      </c>
      <c r="S428">
        <v>0</v>
      </c>
      <c r="T428">
        <v>0</v>
      </c>
      <c r="U428" s="8">
        <v>-9</v>
      </c>
      <c r="V428" s="8">
        <f t="shared" si="12"/>
        <v>0</v>
      </c>
      <c r="W428" t="str">
        <f>_xlfn.XLOOKUP(A428, Matches!A:A, Matches!L:L, "NA", 0)</f>
        <v>DCW</v>
      </c>
      <c r="X428" t="str">
        <f>_xlfn.XLOOKUP(A428, Matches!A:A, Matches!J:J, "NA", 0)</f>
        <v>DCW</v>
      </c>
      <c r="Y428" t="str">
        <f>_xlfn.XLOOKUP(A428, Matches!A:A, Matches!F:F, "NA", 0)</f>
        <v>Brabourne Stadium</v>
      </c>
      <c r="Z428" cm="1">
        <f t="array" ref="Z428">INDEX(Innings!F:F,MATCH(1,(TRIM(Innings!A:A)=TRIM(A428))*(TRIM(Innings!D:D)=TRIM(E428)),0))</f>
        <v>138</v>
      </c>
      <c r="AA428" cm="1">
        <f t="array" ref="AA428">INDEX(Innings!I:I,MATCH(1,(TRIM(Innings!A:A)=TRIM(A428))*(TRIM(Innings!D:D)=TRIM(E428)),0))</f>
        <v>6.9</v>
      </c>
      <c r="AB428" cm="1">
        <f t="array" ref="AB428">INDEX(Innings!J:J,MATCH(1,(TRIM(Innings!A:A)=TRIM(A428))*(TRIM(Innings!D:D)=TRIM(E428)),0))</f>
        <v>38</v>
      </c>
      <c r="AC428" cm="1">
        <f t="array" ref="AC428">INDEX(Innings!N:N,MATCH(1,(TRIM(Innings!A:A)=TRIM(A428))*(TRIM(Innings!D:D)=TRIM(E428)),0))</f>
        <v>44</v>
      </c>
      <c r="AD428" cm="1">
        <f t="array" ref="AD428">INDEX(Innings!S:S,MATCH(1,(TRIM(Innings!A:A)=TRIM(A428))*(TRIM(Innings!D:D)=TRIM(E428)),0))</f>
        <v>57</v>
      </c>
      <c r="AE428" t="str" cm="1">
        <f t="array" ref="AE428">INDEX(Innings!W:W,MATCH(1,(TRIM(Innings!A:A)=TRIM(A428))*(TRIM(Innings!D:D)=TRIM(E428)),0))</f>
        <v>NA</v>
      </c>
      <c r="AF428">
        <f>IF(UPPER(TRIM(E428))=UPPER(TRIM(W428)),1,0)</f>
        <v>0</v>
      </c>
      <c r="AG428">
        <f t="shared" si="13"/>
        <v>0</v>
      </c>
    </row>
    <row r="429" spans="1:33" x14ac:dyDescent="0.3">
      <c r="A429" t="s">
        <v>153</v>
      </c>
      <c r="B429">
        <v>1</v>
      </c>
      <c r="C429" t="s">
        <v>265</v>
      </c>
      <c r="D429" t="s">
        <v>264</v>
      </c>
      <c r="E429" t="s">
        <v>219</v>
      </c>
      <c r="F429" t="s">
        <v>101</v>
      </c>
      <c r="G429" t="s">
        <v>104</v>
      </c>
      <c r="H429">
        <v>0</v>
      </c>
      <c r="I429">
        <v>0</v>
      </c>
      <c r="J429">
        <v>0</v>
      </c>
      <c r="K429" t="s">
        <v>104</v>
      </c>
      <c r="L429">
        <v>0</v>
      </c>
      <c r="M429">
        <v>3</v>
      </c>
      <c r="N429">
        <v>0</v>
      </c>
      <c r="O429">
        <v>29</v>
      </c>
      <c r="P429">
        <v>2</v>
      </c>
      <c r="Q429">
        <v>9.67</v>
      </c>
      <c r="R429">
        <v>20.66</v>
      </c>
      <c r="S429">
        <v>0</v>
      </c>
      <c r="T429">
        <v>0</v>
      </c>
      <c r="U429" s="8">
        <v>20.66</v>
      </c>
      <c r="V429" s="8">
        <f t="shared" si="12"/>
        <v>2</v>
      </c>
      <c r="W429" t="str">
        <f>_xlfn.XLOOKUP(A429, Matches!A:A, Matches!L:L, "NA", 0)</f>
        <v>DCW</v>
      </c>
      <c r="X429" t="str">
        <f>_xlfn.XLOOKUP(A429, Matches!A:A, Matches!J:J, "NA", 0)</f>
        <v>DCW</v>
      </c>
      <c r="Y429" t="str">
        <f>_xlfn.XLOOKUP(A429, Matches!A:A, Matches!F:F, "NA", 0)</f>
        <v>Brabourne Stadium</v>
      </c>
      <c r="Z429" cm="1">
        <f t="array" ref="Z429">INDEX(Innings!F:F,MATCH(1,(TRIM(Innings!A:A)=TRIM(A429))*(TRIM(Innings!D:D)=TRIM(E429)),0))</f>
        <v>138</v>
      </c>
      <c r="AA429" cm="1">
        <f t="array" ref="AA429">INDEX(Innings!I:I,MATCH(1,(TRIM(Innings!A:A)=TRIM(A429))*(TRIM(Innings!D:D)=TRIM(E429)),0))</f>
        <v>6.9</v>
      </c>
      <c r="AB429" cm="1">
        <f t="array" ref="AB429">INDEX(Innings!J:J,MATCH(1,(TRIM(Innings!A:A)=TRIM(A429))*(TRIM(Innings!D:D)=TRIM(E429)),0))</f>
        <v>38</v>
      </c>
      <c r="AC429" cm="1">
        <f t="array" ref="AC429">INDEX(Innings!N:N,MATCH(1,(TRIM(Innings!A:A)=TRIM(A429))*(TRIM(Innings!D:D)=TRIM(E429)),0))</f>
        <v>44</v>
      </c>
      <c r="AD429" cm="1">
        <f t="array" ref="AD429">INDEX(Innings!S:S,MATCH(1,(TRIM(Innings!A:A)=TRIM(A429))*(TRIM(Innings!D:D)=TRIM(E429)),0))</f>
        <v>57</v>
      </c>
      <c r="AE429" t="str" cm="1">
        <f t="array" ref="AE429">INDEX(Innings!W:W,MATCH(1,(TRIM(Innings!A:A)=TRIM(A429))*(TRIM(Innings!D:D)=TRIM(E429)),0))</f>
        <v>NA</v>
      </c>
      <c r="AF429">
        <f>IF(UPPER(TRIM(E429))=UPPER(TRIM(W429)),1,0)</f>
        <v>0</v>
      </c>
      <c r="AG429">
        <f t="shared" si="13"/>
        <v>10.93</v>
      </c>
    </row>
    <row r="430" spans="1:33" x14ac:dyDescent="0.3">
      <c r="A430" t="s">
        <v>153</v>
      </c>
      <c r="B430">
        <v>1</v>
      </c>
      <c r="C430" t="s">
        <v>235</v>
      </c>
      <c r="D430" t="s">
        <v>236</v>
      </c>
      <c r="E430" t="s">
        <v>219</v>
      </c>
      <c r="F430" t="s">
        <v>101</v>
      </c>
      <c r="G430" t="s">
        <v>104</v>
      </c>
      <c r="H430">
        <v>0</v>
      </c>
      <c r="I430">
        <v>0</v>
      </c>
      <c r="J430">
        <v>0</v>
      </c>
      <c r="K430" t="s">
        <v>104</v>
      </c>
      <c r="L430">
        <v>0</v>
      </c>
      <c r="M430">
        <v>2</v>
      </c>
      <c r="N430">
        <v>0</v>
      </c>
      <c r="O430">
        <v>15</v>
      </c>
      <c r="P430">
        <v>0</v>
      </c>
      <c r="Q430">
        <v>7.5</v>
      </c>
      <c r="R430">
        <v>-15</v>
      </c>
      <c r="S430">
        <v>0</v>
      </c>
      <c r="T430">
        <v>0</v>
      </c>
      <c r="U430" s="8">
        <v>-15</v>
      </c>
      <c r="V430" s="8">
        <f t="shared" si="12"/>
        <v>0</v>
      </c>
      <c r="W430" t="str">
        <f>_xlfn.XLOOKUP(A430, Matches!A:A, Matches!L:L, "NA", 0)</f>
        <v>DCW</v>
      </c>
      <c r="X430" t="str">
        <f>_xlfn.XLOOKUP(A430, Matches!A:A, Matches!J:J, "NA", 0)</f>
        <v>DCW</v>
      </c>
      <c r="Y430" t="str">
        <f>_xlfn.XLOOKUP(A430, Matches!A:A, Matches!F:F, "NA", 0)</f>
        <v>Brabourne Stadium</v>
      </c>
      <c r="Z430" cm="1">
        <f t="array" ref="Z430">INDEX(Innings!F:F,MATCH(1,(TRIM(Innings!A:A)=TRIM(A430))*(TRIM(Innings!D:D)=TRIM(E430)),0))</f>
        <v>138</v>
      </c>
      <c r="AA430" cm="1">
        <f t="array" ref="AA430">INDEX(Innings!I:I,MATCH(1,(TRIM(Innings!A:A)=TRIM(A430))*(TRIM(Innings!D:D)=TRIM(E430)),0))</f>
        <v>6.9</v>
      </c>
      <c r="AB430" cm="1">
        <f t="array" ref="AB430">INDEX(Innings!J:J,MATCH(1,(TRIM(Innings!A:A)=TRIM(A430))*(TRIM(Innings!D:D)=TRIM(E430)),0))</f>
        <v>38</v>
      </c>
      <c r="AC430" cm="1">
        <f t="array" ref="AC430">INDEX(Innings!N:N,MATCH(1,(TRIM(Innings!A:A)=TRIM(A430))*(TRIM(Innings!D:D)=TRIM(E430)),0))</f>
        <v>44</v>
      </c>
      <c r="AD430" cm="1">
        <f t="array" ref="AD430">INDEX(Innings!S:S,MATCH(1,(TRIM(Innings!A:A)=TRIM(A430))*(TRIM(Innings!D:D)=TRIM(E430)),0))</f>
        <v>57</v>
      </c>
      <c r="AE430" t="str" cm="1">
        <f t="array" ref="AE430">INDEX(Innings!W:W,MATCH(1,(TRIM(Innings!A:A)=TRIM(A430))*(TRIM(Innings!D:D)=TRIM(E430)),0))</f>
        <v>NA</v>
      </c>
      <c r="AF430">
        <f>IF(UPPER(TRIM(E430))=UPPER(TRIM(W430)),1,0)</f>
        <v>0</v>
      </c>
      <c r="AG430">
        <f t="shared" si="13"/>
        <v>0</v>
      </c>
    </row>
    <row r="431" spans="1:33" x14ac:dyDescent="0.3">
      <c r="A431" t="s">
        <v>153</v>
      </c>
      <c r="B431">
        <v>1</v>
      </c>
      <c r="C431" t="s">
        <v>190</v>
      </c>
      <c r="D431" t="s">
        <v>191</v>
      </c>
      <c r="E431" t="s">
        <v>158</v>
      </c>
      <c r="F431" t="s">
        <v>109</v>
      </c>
      <c r="G431" t="s">
        <v>86</v>
      </c>
      <c r="H431">
        <v>39</v>
      </c>
      <c r="I431">
        <v>23</v>
      </c>
      <c r="J431">
        <v>169.57</v>
      </c>
      <c r="K431" t="s">
        <v>246</v>
      </c>
      <c r="L431">
        <v>50.96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 s="8">
        <v>50.96</v>
      </c>
      <c r="V431" s="8">
        <f t="shared" si="12"/>
        <v>5</v>
      </c>
      <c r="W431" t="str">
        <f>_xlfn.XLOOKUP(A431, Matches!A:A, Matches!L:L, "NA", 0)</f>
        <v>DCW</v>
      </c>
      <c r="X431" t="str">
        <f>_xlfn.XLOOKUP(A431, Matches!A:A, Matches!J:J, "NA", 0)</f>
        <v>DCW</v>
      </c>
      <c r="Y431" t="str">
        <f>_xlfn.XLOOKUP(A431, Matches!A:A, Matches!F:F, "NA", 0)</f>
        <v>Brabourne Stadium</v>
      </c>
      <c r="Z431" cm="1">
        <f t="array" ref="Z431">INDEX(Innings!F:F,MATCH(1,(TRIM(Innings!A:A)=TRIM(A431))*(TRIM(Innings!D:D)=TRIM(E431)),0))</f>
        <v>142</v>
      </c>
      <c r="AA431" cm="1">
        <f t="array" ref="AA431">INDEX(Innings!I:I,MATCH(1,(TRIM(Innings!A:A)=TRIM(A431))*(TRIM(Innings!D:D)=TRIM(E431)),0))</f>
        <v>7.96</v>
      </c>
      <c r="AB431" cm="1">
        <f t="array" ref="AB431">INDEX(Innings!J:J,MATCH(1,(TRIM(Innings!A:A)=TRIM(A431))*(TRIM(Innings!D:D)=TRIM(E431)),0))</f>
        <v>67</v>
      </c>
      <c r="AC431" cm="1">
        <f t="array" ref="AC431">INDEX(Innings!N:N,MATCH(1,(TRIM(Innings!A:A)=TRIM(A431))*(TRIM(Innings!D:D)=TRIM(E431)),0))</f>
        <v>12</v>
      </c>
      <c r="AD431" cm="1">
        <f t="array" ref="AD431">INDEX(Innings!S:S,MATCH(1,(TRIM(Innings!A:A)=TRIM(A431))*(TRIM(Innings!D:D)=TRIM(E431)),0))</f>
        <v>50</v>
      </c>
      <c r="AE431" t="str" cm="1">
        <f t="array" ref="AE431">INDEX(Innings!W:W,MATCH(1,(TRIM(Innings!A:A)=TRIM(A431))*(TRIM(Innings!D:D)=TRIM(E431)),0))</f>
        <v>Successful</v>
      </c>
      <c r="AF431">
        <f>IF(UPPER(TRIM(E431))=UPPER(TRIM(W431)),1,0)</f>
        <v>1</v>
      </c>
      <c r="AG431">
        <f t="shared" si="13"/>
        <v>46.980000000000004</v>
      </c>
    </row>
    <row r="432" spans="1:33" x14ac:dyDescent="0.3">
      <c r="A432" t="s">
        <v>153</v>
      </c>
      <c r="B432">
        <v>1</v>
      </c>
      <c r="C432" t="s">
        <v>188</v>
      </c>
      <c r="D432" t="s">
        <v>189</v>
      </c>
      <c r="E432" t="s">
        <v>158</v>
      </c>
      <c r="F432" t="s">
        <v>109</v>
      </c>
      <c r="G432" t="s">
        <v>92</v>
      </c>
      <c r="H432">
        <v>21</v>
      </c>
      <c r="I432">
        <v>16</v>
      </c>
      <c r="J432">
        <v>131.25</v>
      </c>
      <c r="K432" t="s">
        <v>246</v>
      </c>
      <c r="L432">
        <v>29.13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 s="8">
        <v>29.13</v>
      </c>
      <c r="V432" s="8">
        <f t="shared" si="12"/>
        <v>3</v>
      </c>
      <c r="W432" t="str">
        <f>_xlfn.XLOOKUP(A432, Matches!A:A, Matches!L:L, "NA", 0)</f>
        <v>DCW</v>
      </c>
      <c r="X432" t="str">
        <f>_xlfn.XLOOKUP(A432, Matches!A:A, Matches!J:J, "NA", 0)</f>
        <v>DCW</v>
      </c>
      <c r="Y432" t="str">
        <f>_xlfn.XLOOKUP(A432, Matches!A:A, Matches!F:F, "NA", 0)</f>
        <v>Brabourne Stadium</v>
      </c>
      <c r="Z432" cm="1">
        <f t="array" ref="Z432">INDEX(Innings!F:F,MATCH(1,(TRIM(Innings!A:A)=TRIM(A432))*(TRIM(Innings!D:D)=TRIM(E432)),0))</f>
        <v>142</v>
      </c>
      <c r="AA432" cm="1">
        <f t="array" ref="AA432">INDEX(Innings!I:I,MATCH(1,(TRIM(Innings!A:A)=TRIM(A432))*(TRIM(Innings!D:D)=TRIM(E432)),0))</f>
        <v>7.96</v>
      </c>
      <c r="AB432" cm="1">
        <f t="array" ref="AB432">INDEX(Innings!J:J,MATCH(1,(TRIM(Innings!A:A)=TRIM(A432))*(TRIM(Innings!D:D)=TRIM(E432)),0))</f>
        <v>67</v>
      </c>
      <c r="AC432" cm="1">
        <f t="array" ref="AC432">INDEX(Innings!N:N,MATCH(1,(TRIM(Innings!A:A)=TRIM(A432))*(TRIM(Innings!D:D)=TRIM(E432)),0))</f>
        <v>12</v>
      </c>
      <c r="AD432" cm="1">
        <f t="array" ref="AD432">INDEX(Innings!S:S,MATCH(1,(TRIM(Innings!A:A)=TRIM(A432))*(TRIM(Innings!D:D)=TRIM(E432)),0))</f>
        <v>50</v>
      </c>
      <c r="AE432" t="str" cm="1">
        <f t="array" ref="AE432">INDEX(Innings!W:W,MATCH(1,(TRIM(Innings!A:A)=TRIM(A432))*(TRIM(Innings!D:D)=TRIM(E432)),0))</f>
        <v>Successful</v>
      </c>
      <c r="AF432">
        <f>IF(UPPER(TRIM(E432))=UPPER(TRIM(W432)),1,0)</f>
        <v>1</v>
      </c>
      <c r="AG432">
        <f t="shared" si="13"/>
        <v>35.465000000000003</v>
      </c>
    </row>
    <row r="433" spans="1:33" x14ac:dyDescent="0.3">
      <c r="A433" t="s">
        <v>153</v>
      </c>
      <c r="B433">
        <v>1</v>
      </c>
      <c r="C433" t="s">
        <v>194</v>
      </c>
      <c r="D433" t="s">
        <v>195</v>
      </c>
      <c r="E433" t="s">
        <v>158</v>
      </c>
      <c r="F433" t="s">
        <v>109</v>
      </c>
      <c r="G433" t="s">
        <v>134</v>
      </c>
      <c r="H433">
        <v>3</v>
      </c>
      <c r="I433">
        <v>3</v>
      </c>
      <c r="J433">
        <v>100</v>
      </c>
      <c r="K433" t="s">
        <v>247</v>
      </c>
      <c r="L433">
        <v>8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 s="8">
        <v>8</v>
      </c>
      <c r="V433" s="8">
        <f t="shared" si="12"/>
        <v>1</v>
      </c>
      <c r="W433" t="str">
        <f>_xlfn.XLOOKUP(A433, Matches!A:A, Matches!L:L, "NA", 0)</f>
        <v>DCW</v>
      </c>
      <c r="X433" t="str">
        <f>_xlfn.XLOOKUP(A433, Matches!A:A, Matches!J:J, "NA", 0)</f>
        <v>DCW</v>
      </c>
      <c r="Y433" t="str">
        <f>_xlfn.XLOOKUP(A433, Matches!A:A, Matches!F:F, "NA", 0)</f>
        <v>Brabourne Stadium</v>
      </c>
      <c r="Z433" cm="1">
        <f t="array" ref="Z433">INDEX(Innings!F:F,MATCH(1,(TRIM(Innings!A:A)=TRIM(A433))*(TRIM(Innings!D:D)=TRIM(E433)),0))</f>
        <v>142</v>
      </c>
      <c r="AA433" cm="1">
        <f t="array" ref="AA433">INDEX(Innings!I:I,MATCH(1,(TRIM(Innings!A:A)=TRIM(A433))*(TRIM(Innings!D:D)=TRIM(E433)),0))</f>
        <v>7.96</v>
      </c>
      <c r="AB433" cm="1">
        <f t="array" ref="AB433">INDEX(Innings!J:J,MATCH(1,(TRIM(Innings!A:A)=TRIM(A433))*(TRIM(Innings!D:D)=TRIM(E433)),0))</f>
        <v>67</v>
      </c>
      <c r="AC433" cm="1">
        <f t="array" ref="AC433">INDEX(Innings!N:N,MATCH(1,(TRIM(Innings!A:A)=TRIM(A433))*(TRIM(Innings!D:D)=TRIM(E433)),0))</f>
        <v>12</v>
      </c>
      <c r="AD433" cm="1">
        <f t="array" ref="AD433">INDEX(Innings!S:S,MATCH(1,(TRIM(Innings!A:A)=TRIM(A433))*(TRIM(Innings!D:D)=TRIM(E433)),0))</f>
        <v>50</v>
      </c>
      <c r="AE433" t="str" cm="1">
        <f t="array" ref="AE433">INDEX(Innings!W:W,MATCH(1,(TRIM(Innings!A:A)=TRIM(A433))*(TRIM(Innings!D:D)=TRIM(E433)),0))</f>
        <v>Successful</v>
      </c>
      <c r="AF433">
        <f>IF(UPPER(TRIM(E433))=UPPER(TRIM(W433)),1,0)</f>
        <v>1</v>
      </c>
      <c r="AG433">
        <f t="shared" si="13"/>
        <v>24.3</v>
      </c>
    </row>
    <row r="434" spans="1:33" x14ac:dyDescent="0.3">
      <c r="A434" t="s">
        <v>153</v>
      </c>
      <c r="B434">
        <v>1</v>
      </c>
      <c r="C434" t="s">
        <v>192</v>
      </c>
      <c r="D434" t="s">
        <v>193</v>
      </c>
      <c r="E434" t="s">
        <v>158</v>
      </c>
      <c r="F434" t="s">
        <v>169</v>
      </c>
      <c r="G434" t="s">
        <v>134</v>
      </c>
      <c r="H434">
        <v>34</v>
      </c>
      <c r="I434">
        <v>31</v>
      </c>
      <c r="J434">
        <v>109.68</v>
      </c>
      <c r="K434" t="s">
        <v>96</v>
      </c>
      <c r="L434">
        <v>44.97</v>
      </c>
      <c r="M434">
        <v>4</v>
      </c>
      <c r="N434">
        <v>0</v>
      </c>
      <c r="O434">
        <v>24</v>
      </c>
      <c r="P434">
        <v>0</v>
      </c>
      <c r="Q434">
        <v>6</v>
      </c>
      <c r="R434">
        <v>-12</v>
      </c>
      <c r="S434">
        <v>0</v>
      </c>
      <c r="T434">
        <v>0</v>
      </c>
      <c r="U434" s="8">
        <v>32.97</v>
      </c>
      <c r="V434" s="8">
        <f t="shared" si="12"/>
        <v>3</v>
      </c>
      <c r="W434" t="str">
        <f>_xlfn.XLOOKUP(A434, Matches!A:A, Matches!L:L, "NA", 0)</f>
        <v>DCW</v>
      </c>
      <c r="X434" t="str">
        <f>_xlfn.XLOOKUP(A434, Matches!A:A, Matches!J:J, "NA", 0)</f>
        <v>DCW</v>
      </c>
      <c r="Y434" t="str">
        <f>_xlfn.XLOOKUP(A434, Matches!A:A, Matches!F:F, "NA", 0)</f>
        <v>Brabourne Stadium</v>
      </c>
      <c r="Z434" cm="1">
        <f t="array" ref="Z434">INDEX(Innings!F:F,MATCH(1,(TRIM(Innings!A:A)=TRIM(A434))*(TRIM(Innings!D:D)=TRIM(E434)),0))</f>
        <v>142</v>
      </c>
      <c r="AA434" cm="1">
        <f t="array" ref="AA434">INDEX(Innings!I:I,MATCH(1,(TRIM(Innings!A:A)=TRIM(A434))*(TRIM(Innings!D:D)=TRIM(E434)),0))</f>
        <v>7.96</v>
      </c>
      <c r="AB434" cm="1">
        <f t="array" ref="AB434">INDEX(Innings!J:J,MATCH(1,(TRIM(Innings!A:A)=TRIM(A434))*(TRIM(Innings!D:D)=TRIM(E434)),0))</f>
        <v>67</v>
      </c>
      <c r="AC434" cm="1">
        <f t="array" ref="AC434">INDEX(Innings!N:N,MATCH(1,(TRIM(Innings!A:A)=TRIM(A434))*(TRIM(Innings!D:D)=TRIM(E434)),0))</f>
        <v>12</v>
      </c>
      <c r="AD434" cm="1">
        <f t="array" ref="AD434">INDEX(Innings!S:S,MATCH(1,(TRIM(Innings!A:A)=TRIM(A434))*(TRIM(Innings!D:D)=TRIM(E434)),0))</f>
        <v>50</v>
      </c>
      <c r="AE434" t="str" cm="1">
        <f t="array" ref="AE434">INDEX(Innings!W:W,MATCH(1,(TRIM(Innings!A:A)=TRIM(A434))*(TRIM(Innings!D:D)=TRIM(E434)),0))</f>
        <v>Successful</v>
      </c>
      <c r="AF434">
        <f>IF(UPPER(TRIM(E434))=UPPER(TRIM(W434)),1,0)</f>
        <v>1</v>
      </c>
      <c r="AG434">
        <f t="shared" si="13"/>
        <v>37.384999999999998</v>
      </c>
    </row>
    <row r="435" spans="1:33" x14ac:dyDescent="0.3">
      <c r="A435" t="s">
        <v>153</v>
      </c>
      <c r="B435">
        <v>1</v>
      </c>
      <c r="C435" t="s">
        <v>196</v>
      </c>
      <c r="D435" t="s">
        <v>197</v>
      </c>
      <c r="E435" t="s">
        <v>158</v>
      </c>
      <c r="F435" t="s">
        <v>109</v>
      </c>
      <c r="G435" t="s">
        <v>134</v>
      </c>
      <c r="H435">
        <v>34</v>
      </c>
      <c r="I435">
        <v>31</v>
      </c>
      <c r="J435">
        <v>109.68</v>
      </c>
      <c r="K435" t="s">
        <v>248</v>
      </c>
      <c r="L435">
        <v>39.97</v>
      </c>
      <c r="M435">
        <v>4</v>
      </c>
      <c r="N435">
        <v>0</v>
      </c>
      <c r="O435">
        <v>26</v>
      </c>
      <c r="P435">
        <v>3</v>
      </c>
      <c r="Q435">
        <v>6.5</v>
      </c>
      <c r="R435">
        <v>47</v>
      </c>
      <c r="S435">
        <v>0</v>
      </c>
      <c r="T435">
        <v>0</v>
      </c>
      <c r="U435" s="8">
        <v>86.97</v>
      </c>
      <c r="V435" s="8">
        <f t="shared" si="12"/>
        <v>9</v>
      </c>
      <c r="W435" t="str">
        <f>_xlfn.XLOOKUP(A435, Matches!A:A, Matches!L:L, "NA", 0)</f>
        <v>DCW</v>
      </c>
      <c r="X435" t="str">
        <f>_xlfn.XLOOKUP(A435, Matches!A:A, Matches!J:J, "NA", 0)</f>
        <v>DCW</v>
      </c>
      <c r="Y435" t="str">
        <f>_xlfn.XLOOKUP(A435, Matches!A:A, Matches!F:F, "NA", 0)</f>
        <v>Brabourne Stadium</v>
      </c>
      <c r="Z435" cm="1">
        <f t="array" ref="Z435">INDEX(Innings!F:F,MATCH(1,(TRIM(Innings!A:A)=TRIM(A435))*(TRIM(Innings!D:D)=TRIM(E435)),0))</f>
        <v>142</v>
      </c>
      <c r="AA435" cm="1">
        <f t="array" ref="AA435">INDEX(Innings!I:I,MATCH(1,(TRIM(Innings!A:A)=TRIM(A435))*(TRIM(Innings!D:D)=TRIM(E435)),0))</f>
        <v>7.96</v>
      </c>
      <c r="AB435" cm="1">
        <f t="array" ref="AB435">INDEX(Innings!J:J,MATCH(1,(TRIM(Innings!A:A)=TRIM(A435))*(TRIM(Innings!D:D)=TRIM(E435)),0))</f>
        <v>67</v>
      </c>
      <c r="AC435" cm="1">
        <f t="array" ref="AC435">INDEX(Innings!N:N,MATCH(1,(TRIM(Innings!A:A)=TRIM(A435))*(TRIM(Innings!D:D)=TRIM(E435)),0))</f>
        <v>12</v>
      </c>
      <c r="AD435" cm="1">
        <f t="array" ref="AD435">INDEX(Innings!S:S,MATCH(1,(TRIM(Innings!A:A)=TRIM(A435))*(TRIM(Innings!D:D)=TRIM(E435)),0))</f>
        <v>50</v>
      </c>
      <c r="AE435" t="str" cm="1">
        <f t="array" ref="AE435">INDEX(Innings!W:W,MATCH(1,(TRIM(Innings!A:A)=TRIM(A435))*(TRIM(Innings!D:D)=TRIM(E435)),0))</f>
        <v>Successful</v>
      </c>
      <c r="AF435">
        <f>IF(UPPER(TRIM(E435))=UPPER(TRIM(W435)),1,0)</f>
        <v>1</v>
      </c>
      <c r="AG435">
        <f t="shared" si="13"/>
        <v>66.185000000000002</v>
      </c>
    </row>
    <row r="436" spans="1:33" x14ac:dyDescent="0.3">
      <c r="A436" t="s">
        <v>153</v>
      </c>
      <c r="B436">
        <v>1</v>
      </c>
      <c r="C436" t="s">
        <v>198</v>
      </c>
      <c r="D436" t="s">
        <v>199</v>
      </c>
      <c r="E436" t="s">
        <v>158</v>
      </c>
      <c r="F436" t="s">
        <v>101</v>
      </c>
      <c r="G436" t="s">
        <v>134</v>
      </c>
      <c r="H436">
        <v>0</v>
      </c>
      <c r="I436">
        <v>5</v>
      </c>
      <c r="J436">
        <v>0</v>
      </c>
      <c r="K436" t="s">
        <v>256</v>
      </c>
      <c r="L436">
        <v>-5</v>
      </c>
      <c r="M436">
        <v>4</v>
      </c>
      <c r="N436">
        <v>0</v>
      </c>
      <c r="O436">
        <v>24</v>
      </c>
      <c r="P436">
        <v>1</v>
      </c>
      <c r="Q436">
        <v>6</v>
      </c>
      <c r="R436">
        <v>8</v>
      </c>
      <c r="S436">
        <v>0</v>
      </c>
      <c r="T436">
        <v>0</v>
      </c>
      <c r="U436" s="8">
        <v>3</v>
      </c>
      <c r="V436" s="8">
        <f t="shared" si="12"/>
        <v>0</v>
      </c>
      <c r="W436" t="str">
        <f>_xlfn.XLOOKUP(A436, Matches!A:A, Matches!L:L, "NA", 0)</f>
        <v>DCW</v>
      </c>
      <c r="X436" t="str">
        <f>_xlfn.XLOOKUP(A436, Matches!A:A, Matches!J:J, "NA", 0)</f>
        <v>DCW</v>
      </c>
      <c r="Y436" t="str">
        <f>_xlfn.XLOOKUP(A436, Matches!A:A, Matches!F:F, "NA", 0)</f>
        <v>Brabourne Stadium</v>
      </c>
      <c r="Z436" cm="1">
        <f t="array" ref="Z436">INDEX(Innings!F:F,MATCH(1,(TRIM(Innings!A:A)=TRIM(A436))*(TRIM(Innings!D:D)=TRIM(E436)),0))</f>
        <v>142</v>
      </c>
      <c r="AA436" cm="1">
        <f t="array" ref="AA436">INDEX(Innings!I:I,MATCH(1,(TRIM(Innings!A:A)=TRIM(A436))*(TRIM(Innings!D:D)=TRIM(E436)),0))</f>
        <v>7.96</v>
      </c>
      <c r="AB436" cm="1">
        <f t="array" ref="AB436">INDEX(Innings!J:J,MATCH(1,(TRIM(Innings!A:A)=TRIM(A436))*(TRIM(Innings!D:D)=TRIM(E436)),0))</f>
        <v>67</v>
      </c>
      <c r="AC436" cm="1">
        <f t="array" ref="AC436">INDEX(Innings!N:N,MATCH(1,(TRIM(Innings!A:A)=TRIM(A436))*(TRIM(Innings!D:D)=TRIM(E436)),0))</f>
        <v>12</v>
      </c>
      <c r="AD436" cm="1">
        <f t="array" ref="AD436">INDEX(Innings!S:S,MATCH(1,(TRIM(Innings!A:A)=TRIM(A436))*(TRIM(Innings!D:D)=TRIM(E436)),0))</f>
        <v>50</v>
      </c>
      <c r="AE436" t="str" cm="1">
        <f t="array" ref="AE436">INDEX(Innings!W:W,MATCH(1,(TRIM(Innings!A:A)=TRIM(A436))*(TRIM(Innings!D:D)=TRIM(E436)),0))</f>
        <v>Successful</v>
      </c>
      <c r="AF436">
        <f>IF(UPPER(TRIM(E436))=UPPER(TRIM(W436)),1,0)</f>
        <v>1</v>
      </c>
      <c r="AG436">
        <f t="shared" si="13"/>
        <v>21.5</v>
      </c>
    </row>
    <row r="437" spans="1:33" x14ac:dyDescent="0.3">
      <c r="A437" t="s">
        <v>153</v>
      </c>
      <c r="B437">
        <v>1</v>
      </c>
      <c r="C437" t="s">
        <v>202</v>
      </c>
      <c r="D437" t="s">
        <v>203</v>
      </c>
      <c r="E437" t="s">
        <v>158</v>
      </c>
      <c r="F437" t="s">
        <v>101</v>
      </c>
      <c r="G437" t="s">
        <v>135</v>
      </c>
      <c r="H437">
        <v>0</v>
      </c>
      <c r="I437">
        <v>0</v>
      </c>
      <c r="J437">
        <v>0</v>
      </c>
      <c r="K437" t="s">
        <v>96</v>
      </c>
      <c r="L437">
        <v>0</v>
      </c>
      <c r="M437">
        <v>2</v>
      </c>
      <c r="N437">
        <v>0</v>
      </c>
      <c r="O437">
        <v>19</v>
      </c>
      <c r="P437">
        <v>0</v>
      </c>
      <c r="Q437">
        <v>9.5</v>
      </c>
      <c r="R437">
        <v>-19</v>
      </c>
      <c r="S437">
        <v>0</v>
      </c>
      <c r="T437">
        <v>0</v>
      </c>
      <c r="U437" s="8">
        <v>-19</v>
      </c>
      <c r="V437" s="8">
        <f t="shared" si="12"/>
        <v>0</v>
      </c>
      <c r="W437" t="str">
        <f>_xlfn.XLOOKUP(A437, Matches!A:A, Matches!L:L, "NA", 0)</f>
        <v>DCW</v>
      </c>
      <c r="X437" t="str">
        <f>_xlfn.XLOOKUP(A437, Matches!A:A, Matches!J:J, "NA", 0)</f>
        <v>DCW</v>
      </c>
      <c r="Y437" t="str">
        <f>_xlfn.XLOOKUP(A437, Matches!A:A, Matches!F:F, "NA", 0)</f>
        <v>Brabourne Stadium</v>
      </c>
      <c r="Z437" cm="1">
        <f t="array" ref="Z437">INDEX(Innings!F:F,MATCH(1,(TRIM(Innings!A:A)=TRIM(A437))*(TRIM(Innings!D:D)=TRIM(E437)),0))</f>
        <v>142</v>
      </c>
      <c r="AA437" cm="1">
        <f t="array" ref="AA437">INDEX(Innings!I:I,MATCH(1,(TRIM(Innings!A:A)=TRIM(A437))*(TRIM(Innings!D:D)=TRIM(E437)),0))</f>
        <v>7.96</v>
      </c>
      <c r="AB437" cm="1">
        <f t="array" ref="AB437">INDEX(Innings!J:J,MATCH(1,(TRIM(Innings!A:A)=TRIM(A437))*(TRIM(Innings!D:D)=TRIM(E437)),0))</f>
        <v>67</v>
      </c>
      <c r="AC437" cm="1">
        <f t="array" ref="AC437">INDEX(Innings!N:N,MATCH(1,(TRIM(Innings!A:A)=TRIM(A437))*(TRIM(Innings!D:D)=TRIM(E437)),0))</f>
        <v>12</v>
      </c>
      <c r="AD437" cm="1">
        <f t="array" ref="AD437">INDEX(Innings!S:S,MATCH(1,(TRIM(Innings!A:A)=TRIM(A437))*(TRIM(Innings!D:D)=TRIM(E437)),0))</f>
        <v>50</v>
      </c>
      <c r="AE437" t="str" cm="1">
        <f t="array" ref="AE437">INDEX(Innings!W:W,MATCH(1,(TRIM(Innings!A:A)=TRIM(A437))*(TRIM(Innings!D:D)=TRIM(E437)),0))</f>
        <v>Successful</v>
      </c>
      <c r="AF437">
        <f>IF(UPPER(TRIM(E437))=UPPER(TRIM(W437)),1,0)</f>
        <v>1</v>
      </c>
      <c r="AG437">
        <f t="shared" si="13"/>
        <v>20</v>
      </c>
    </row>
    <row r="438" spans="1:33" x14ac:dyDescent="0.3">
      <c r="A438" t="s">
        <v>153</v>
      </c>
      <c r="B438">
        <v>1</v>
      </c>
      <c r="C438" t="s">
        <v>200</v>
      </c>
      <c r="D438" t="s">
        <v>201</v>
      </c>
      <c r="E438" t="s">
        <v>158</v>
      </c>
      <c r="F438" t="s">
        <v>85</v>
      </c>
      <c r="G438" t="s">
        <v>104</v>
      </c>
      <c r="H438">
        <v>0</v>
      </c>
      <c r="I438">
        <v>0</v>
      </c>
      <c r="J438">
        <v>0</v>
      </c>
      <c r="K438" t="s">
        <v>104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 s="8">
        <v>0</v>
      </c>
      <c r="V438" s="8">
        <f t="shared" si="12"/>
        <v>0</v>
      </c>
      <c r="W438" t="str">
        <f>_xlfn.XLOOKUP(A438, Matches!A:A, Matches!L:L, "NA", 0)</f>
        <v>DCW</v>
      </c>
      <c r="X438" t="str">
        <f>_xlfn.XLOOKUP(A438, Matches!A:A, Matches!J:J, "NA", 0)</f>
        <v>DCW</v>
      </c>
      <c r="Y438" t="str">
        <f>_xlfn.XLOOKUP(A438, Matches!A:A, Matches!F:F, "NA", 0)</f>
        <v>Brabourne Stadium</v>
      </c>
      <c r="Z438" cm="1">
        <f t="array" ref="Z438">INDEX(Innings!F:F,MATCH(1,(TRIM(Innings!A:A)=TRIM(A438))*(TRIM(Innings!D:D)=TRIM(E438)),0))</f>
        <v>142</v>
      </c>
      <c r="AA438" cm="1">
        <f t="array" ref="AA438">INDEX(Innings!I:I,MATCH(1,(TRIM(Innings!A:A)=TRIM(A438))*(TRIM(Innings!D:D)=TRIM(E438)),0))</f>
        <v>7.96</v>
      </c>
      <c r="AB438" cm="1">
        <f t="array" ref="AB438">INDEX(Innings!J:J,MATCH(1,(TRIM(Innings!A:A)=TRIM(A438))*(TRIM(Innings!D:D)=TRIM(E438)),0))</f>
        <v>67</v>
      </c>
      <c r="AC438" cm="1">
        <f t="array" ref="AC438">INDEX(Innings!N:N,MATCH(1,(TRIM(Innings!A:A)=TRIM(A438))*(TRIM(Innings!D:D)=TRIM(E438)),0))</f>
        <v>12</v>
      </c>
      <c r="AD438" cm="1">
        <f t="array" ref="AD438">INDEX(Innings!S:S,MATCH(1,(TRIM(Innings!A:A)=TRIM(A438))*(TRIM(Innings!D:D)=TRIM(E438)),0))</f>
        <v>50</v>
      </c>
      <c r="AE438" t="str" cm="1">
        <f t="array" ref="AE438">INDEX(Innings!W:W,MATCH(1,(TRIM(Innings!A:A)=TRIM(A438))*(TRIM(Innings!D:D)=TRIM(E438)),0))</f>
        <v>Successful</v>
      </c>
      <c r="AF438">
        <f>IF(UPPER(TRIM(E438))=UPPER(TRIM(W438)),1,0)</f>
        <v>1</v>
      </c>
      <c r="AG438">
        <f t="shared" si="13"/>
        <v>20</v>
      </c>
    </row>
    <row r="439" spans="1:33" x14ac:dyDescent="0.3">
      <c r="A439" t="s">
        <v>153</v>
      </c>
      <c r="B439">
        <v>1</v>
      </c>
      <c r="C439" t="s">
        <v>206</v>
      </c>
      <c r="D439" t="s">
        <v>207</v>
      </c>
      <c r="E439" t="s">
        <v>158</v>
      </c>
      <c r="F439" t="s">
        <v>101</v>
      </c>
      <c r="G439" t="s">
        <v>104</v>
      </c>
      <c r="H439">
        <v>0</v>
      </c>
      <c r="I439">
        <v>0</v>
      </c>
      <c r="J439">
        <v>0</v>
      </c>
      <c r="K439" t="s">
        <v>104</v>
      </c>
      <c r="L439">
        <v>0</v>
      </c>
      <c r="M439">
        <v>4</v>
      </c>
      <c r="N439">
        <v>0</v>
      </c>
      <c r="O439">
        <v>28</v>
      </c>
      <c r="P439">
        <v>2</v>
      </c>
      <c r="Q439">
        <v>7</v>
      </c>
      <c r="R439">
        <v>26</v>
      </c>
      <c r="S439">
        <v>0</v>
      </c>
      <c r="T439">
        <v>0</v>
      </c>
      <c r="U439" s="8">
        <v>26</v>
      </c>
      <c r="V439" s="8">
        <f t="shared" si="12"/>
        <v>3</v>
      </c>
      <c r="W439" t="str">
        <f>_xlfn.XLOOKUP(A439, Matches!A:A, Matches!L:L, "NA", 0)</f>
        <v>DCW</v>
      </c>
      <c r="X439" t="str">
        <f>_xlfn.XLOOKUP(A439, Matches!A:A, Matches!J:J, "NA", 0)</f>
        <v>DCW</v>
      </c>
      <c r="Y439" t="str">
        <f>_xlfn.XLOOKUP(A439, Matches!A:A, Matches!F:F, "NA", 0)</f>
        <v>Brabourne Stadium</v>
      </c>
      <c r="Z439" cm="1">
        <f t="array" ref="Z439">INDEX(Innings!F:F,MATCH(1,(TRIM(Innings!A:A)=TRIM(A439))*(TRIM(Innings!D:D)=TRIM(E439)),0))</f>
        <v>142</v>
      </c>
      <c r="AA439" cm="1">
        <f t="array" ref="AA439">INDEX(Innings!I:I,MATCH(1,(TRIM(Innings!A:A)=TRIM(A439))*(TRIM(Innings!D:D)=TRIM(E439)),0))</f>
        <v>7.96</v>
      </c>
      <c r="AB439" cm="1">
        <f t="array" ref="AB439">INDEX(Innings!J:J,MATCH(1,(TRIM(Innings!A:A)=TRIM(A439))*(TRIM(Innings!D:D)=TRIM(E439)),0))</f>
        <v>67</v>
      </c>
      <c r="AC439" cm="1">
        <f t="array" ref="AC439">INDEX(Innings!N:N,MATCH(1,(TRIM(Innings!A:A)=TRIM(A439))*(TRIM(Innings!D:D)=TRIM(E439)),0))</f>
        <v>12</v>
      </c>
      <c r="AD439" cm="1">
        <f t="array" ref="AD439">INDEX(Innings!S:S,MATCH(1,(TRIM(Innings!A:A)=TRIM(A439))*(TRIM(Innings!D:D)=TRIM(E439)),0))</f>
        <v>50</v>
      </c>
      <c r="AE439" t="str" cm="1">
        <f t="array" ref="AE439">INDEX(Innings!W:W,MATCH(1,(TRIM(Innings!A:A)=TRIM(A439))*(TRIM(Innings!D:D)=TRIM(E439)),0))</f>
        <v>Successful</v>
      </c>
      <c r="AF439">
        <f>IF(UPPER(TRIM(E439))=UPPER(TRIM(W439)),1,0)</f>
        <v>1</v>
      </c>
      <c r="AG439">
        <f t="shared" si="13"/>
        <v>33.9</v>
      </c>
    </row>
    <row r="440" spans="1:33" x14ac:dyDescent="0.3">
      <c r="A440" t="s">
        <v>153</v>
      </c>
      <c r="B440">
        <v>1</v>
      </c>
      <c r="C440" t="s">
        <v>204</v>
      </c>
      <c r="D440" t="s">
        <v>205</v>
      </c>
      <c r="E440" t="s">
        <v>158</v>
      </c>
      <c r="F440" t="s">
        <v>91</v>
      </c>
      <c r="G440" t="s">
        <v>104</v>
      </c>
      <c r="H440">
        <v>0</v>
      </c>
      <c r="I440">
        <v>0</v>
      </c>
      <c r="J440">
        <v>0</v>
      </c>
      <c r="K440" t="s">
        <v>104</v>
      </c>
      <c r="L440">
        <v>0</v>
      </c>
      <c r="M440">
        <v>2</v>
      </c>
      <c r="N440">
        <v>0</v>
      </c>
      <c r="O440">
        <v>16</v>
      </c>
      <c r="P440">
        <v>0</v>
      </c>
      <c r="Q440">
        <v>8</v>
      </c>
      <c r="R440">
        <v>-16</v>
      </c>
      <c r="S440">
        <v>0</v>
      </c>
      <c r="T440">
        <v>0</v>
      </c>
      <c r="U440" s="8">
        <v>-16</v>
      </c>
      <c r="V440" s="8">
        <f t="shared" si="12"/>
        <v>0</v>
      </c>
      <c r="W440" t="str">
        <f>_xlfn.XLOOKUP(A440, Matches!A:A, Matches!L:L, "NA", 0)</f>
        <v>DCW</v>
      </c>
      <c r="X440" t="str">
        <f>_xlfn.XLOOKUP(A440, Matches!A:A, Matches!J:J, "NA", 0)</f>
        <v>DCW</v>
      </c>
      <c r="Y440" t="str">
        <f>_xlfn.XLOOKUP(A440, Matches!A:A, Matches!F:F, "NA", 0)</f>
        <v>Brabourne Stadium</v>
      </c>
      <c r="Z440" cm="1">
        <f t="array" ref="Z440">INDEX(Innings!F:F,MATCH(1,(TRIM(Innings!A:A)=TRIM(A440))*(TRIM(Innings!D:D)=TRIM(E440)),0))</f>
        <v>142</v>
      </c>
      <c r="AA440" cm="1">
        <f t="array" ref="AA440">INDEX(Innings!I:I,MATCH(1,(TRIM(Innings!A:A)=TRIM(A440))*(TRIM(Innings!D:D)=TRIM(E440)),0))</f>
        <v>7.96</v>
      </c>
      <c r="AB440" cm="1">
        <f t="array" ref="AB440">INDEX(Innings!J:J,MATCH(1,(TRIM(Innings!A:A)=TRIM(A440))*(TRIM(Innings!D:D)=TRIM(E440)),0))</f>
        <v>67</v>
      </c>
      <c r="AC440" cm="1">
        <f t="array" ref="AC440">INDEX(Innings!N:N,MATCH(1,(TRIM(Innings!A:A)=TRIM(A440))*(TRIM(Innings!D:D)=TRIM(E440)),0))</f>
        <v>12</v>
      </c>
      <c r="AD440" cm="1">
        <f t="array" ref="AD440">INDEX(Innings!S:S,MATCH(1,(TRIM(Innings!A:A)=TRIM(A440))*(TRIM(Innings!D:D)=TRIM(E440)),0))</f>
        <v>50</v>
      </c>
      <c r="AE440" t="str" cm="1">
        <f t="array" ref="AE440">INDEX(Innings!W:W,MATCH(1,(TRIM(Innings!A:A)=TRIM(A440))*(TRIM(Innings!D:D)=TRIM(E440)),0))</f>
        <v>Successful</v>
      </c>
      <c r="AF440">
        <f>IF(UPPER(TRIM(E440))=UPPER(TRIM(W440)),1,0)</f>
        <v>1</v>
      </c>
      <c r="AG440">
        <f t="shared" si="13"/>
        <v>20</v>
      </c>
    </row>
    <row r="441" spans="1:33" x14ac:dyDescent="0.3">
      <c r="A441" t="s">
        <v>153</v>
      </c>
      <c r="B441">
        <v>1</v>
      </c>
      <c r="C441" t="s">
        <v>332</v>
      </c>
      <c r="D441" t="s">
        <v>312</v>
      </c>
      <c r="E441" t="s">
        <v>158</v>
      </c>
      <c r="F441" t="s">
        <v>101</v>
      </c>
      <c r="G441" t="s">
        <v>104</v>
      </c>
      <c r="H441">
        <v>0</v>
      </c>
      <c r="I441">
        <v>0</v>
      </c>
      <c r="J441">
        <v>0</v>
      </c>
      <c r="K441" t="s">
        <v>104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 s="8">
        <v>0</v>
      </c>
      <c r="V441" s="8">
        <f t="shared" si="12"/>
        <v>0</v>
      </c>
      <c r="W441" t="str">
        <f>_xlfn.XLOOKUP(A441, Matches!A:A, Matches!L:L, "NA", 0)</f>
        <v>DCW</v>
      </c>
      <c r="X441" t="str">
        <f>_xlfn.XLOOKUP(A441, Matches!A:A, Matches!J:J, "NA", 0)</f>
        <v>DCW</v>
      </c>
      <c r="Y441" t="str">
        <f>_xlfn.XLOOKUP(A441, Matches!A:A, Matches!F:F, "NA", 0)</f>
        <v>Brabourne Stadium</v>
      </c>
      <c r="Z441" cm="1">
        <f t="array" ref="Z441">INDEX(Innings!F:F,MATCH(1,(TRIM(Innings!A:A)=TRIM(A441))*(TRIM(Innings!D:D)=TRIM(E441)),0))</f>
        <v>142</v>
      </c>
      <c r="AA441" cm="1">
        <f t="array" ref="AA441">INDEX(Innings!I:I,MATCH(1,(TRIM(Innings!A:A)=TRIM(A441))*(TRIM(Innings!D:D)=TRIM(E441)),0))</f>
        <v>7.96</v>
      </c>
      <c r="AB441" cm="1">
        <f t="array" ref="AB441">INDEX(Innings!J:J,MATCH(1,(TRIM(Innings!A:A)=TRIM(A441))*(TRIM(Innings!D:D)=TRIM(E441)),0))</f>
        <v>67</v>
      </c>
      <c r="AC441" cm="1">
        <f t="array" ref="AC441">INDEX(Innings!N:N,MATCH(1,(TRIM(Innings!A:A)=TRIM(A441))*(TRIM(Innings!D:D)=TRIM(E441)),0))</f>
        <v>12</v>
      </c>
      <c r="AD441" cm="1">
        <f t="array" ref="AD441">INDEX(Innings!S:S,MATCH(1,(TRIM(Innings!A:A)=TRIM(A441))*(TRIM(Innings!D:D)=TRIM(E441)),0))</f>
        <v>50</v>
      </c>
      <c r="AE441" t="str" cm="1">
        <f t="array" ref="AE441">INDEX(Innings!W:W,MATCH(1,(TRIM(Innings!A:A)=TRIM(A441))*(TRIM(Innings!D:D)=TRIM(E441)),0))</f>
        <v>Successful</v>
      </c>
      <c r="AF441">
        <f>IF(UPPER(TRIM(E441))=UPPER(TRIM(W441)),1,0)</f>
        <v>1</v>
      </c>
      <c r="AG441">
        <f t="shared" si="13"/>
        <v>20</v>
      </c>
    </row>
    <row r="442" spans="1:33" x14ac:dyDescent="0.3">
      <c r="A442" t="s">
        <v>154</v>
      </c>
      <c r="B442">
        <v>1</v>
      </c>
      <c r="C442" t="s">
        <v>113</v>
      </c>
      <c r="D442" t="s">
        <v>84</v>
      </c>
      <c r="E442" t="s">
        <v>266</v>
      </c>
      <c r="F442" t="s">
        <v>85</v>
      </c>
      <c r="G442" t="s">
        <v>86</v>
      </c>
      <c r="H442">
        <v>21</v>
      </c>
      <c r="I442">
        <v>18</v>
      </c>
      <c r="J442">
        <v>116.67</v>
      </c>
      <c r="K442" t="s">
        <v>246</v>
      </c>
      <c r="L442">
        <v>27.67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 s="8">
        <v>27.67</v>
      </c>
      <c r="V442" s="8">
        <f t="shared" si="12"/>
        <v>3</v>
      </c>
      <c r="W442" t="str">
        <f>_xlfn.XLOOKUP(A442, Matches!A:A, Matches!L:L, "NA", 0)</f>
        <v>MIW</v>
      </c>
      <c r="X442" t="str">
        <f>_xlfn.XLOOKUP(A442, Matches!A:A, Matches!J:J, "NA", 0)</f>
        <v>UPW</v>
      </c>
      <c r="Y442" t="str">
        <f>_xlfn.XLOOKUP(A442, Matches!A:A, Matches!F:F, "NA", 0)</f>
        <v>Dr DY Patil Sports </v>
      </c>
      <c r="Z442" cm="1">
        <f t="array" ref="Z442">INDEX(Innings!F:F,MATCH(1,(TRIM(Innings!A:A)=TRIM(A442))*(TRIM(Innings!D:D)=TRIM(E442)),0))</f>
        <v>182</v>
      </c>
      <c r="AA442" cm="1">
        <f t="array" ref="AA442">INDEX(Innings!I:I,MATCH(1,(TRIM(Innings!A:A)=TRIM(A442))*(TRIM(Innings!D:D)=TRIM(E442)),0))</f>
        <v>9.1</v>
      </c>
      <c r="AB442" cm="1">
        <f t="array" ref="AB442">INDEX(Innings!J:J,MATCH(1,(TRIM(Innings!A:A)=TRIM(A442))*(TRIM(Innings!D:D)=TRIM(E442)),0))</f>
        <v>46</v>
      </c>
      <c r="AC442" cm="1">
        <f t="array" ref="AC442">INDEX(Innings!N:N,MATCH(1,(TRIM(Innings!A:A)=TRIM(A442))*(TRIM(Innings!D:D)=TRIM(E442)),0))</f>
        <v>54</v>
      </c>
      <c r="AD442" cm="1">
        <f t="array" ref="AD442">INDEX(Innings!S:S,MATCH(1,(TRIM(Innings!A:A)=TRIM(A442))*(TRIM(Innings!D:D)=TRIM(E442)),0))</f>
        <v>37</v>
      </c>
      <c r="AE442" t="str" cm="1">
        <f t="array" ref="AE442">INDEX(Innings!W:W,MATCH(1,(TRIM(Innings!A:A)=TRIM(A442))*(TRIM(Innings!D:D)=TRIM(E442)),0))</f>
        <v>NA</v>
      </c>
      <c r="AF442">
        <f>IF(UPPER(TRIM(E442))=UPPER(TRIM(W442)),1,0)</f>
        <v>1</v>
      </c>
      <c r="AG442">
        <f t="shared" si="13"/>
        <v>34.734999999999999</v>
      </c>
    </row>
    <row r="443" spans="1:33" x14ac:dyDescent="0.3">
      <c r="A443" t="s">
        <v>154</v>
      </c>
      <c r="B443">
        <v>1</v>
      </c>
      <c r="C443" t="s">
        <v>112</v>
      </c>
      <c r="D443" t="s">
        <v>88</v>
      </c>
      <c r="E443" t="s">
        <v>266</v>
      </c>
      <c r="F443" t="s">
        <v>169</v>
      </c>
      <c r="G443" t="s">
        <v>86</v>
      </c>
      <c r="H443">
        <v>26</v>
      </c>
      <c r="I443">
        <v>26</v>
      </c>
      <c r="J443">
        <v>100</v>
      </c>
      <c r="K443" t="s">
        <v>246</v>
      </c>
      <c r="L443">
        <v>31</v>
      </c>
      <c r="M443">
        <v>3</v>
      </c>
      <c r="N443">
        <v>0</v>
      </c>
      <c r="O443">
        <v>21</v>
      </c>
      <c r="P443">
        <v>1</v>
      </c>
      <c r="Q443">
        <v>7</v>
      </c>
      <c r="R443">
        <v>6</v>
      </c>
      <c r="S443">
        <v>0</v>
      </c>
      <c r="T443">
        <v>0</v>
      </c>
      <c r="U443" s="8">
        <v>37</v>
      </c>
      <c r="V443" s="8">
        <f t="shared" si="12"/>
        <v>4</v>
      </c>
      <c r="W443" t="str">
        <f>_xlfn.XLOOKUP(A443, Matches!A:A, Matches!L:L, "NA", 0)</f>
        <v>MIW</v>
      </c>
      <c r="X443" t="str">
        <f>_xlfn.XLOOKUP(A443, Matches!A:A, Matches!J:J, "NA", 0)</f>
        <v>UPW</v>
      </c>
      <c r="Y443" t="str">
        <f>_xlfn.XLOOKUP(A443, Matches!A:A, Matches!F:F, "NA", 0)</f>
        <v>Dr DY Patil Sports </v>
      </c>
      <c r="Z443" cm="1">
        <f t="array" ref="Z443">INDEX(Innings!F:F,MATCH(1,(TRIM(Innings!A:A)=TRIM(A443))*(TRIM(Innings!D:D)=TRIM(E443)),0))</f>
        <v>182</v>
      </c>
      <c r="AA443" cm="1">
        <f t="array" ref="AA443">INDEX(Innings!I:I,MATCH(1,(TRIM(Innings!A:A)=TRIM(A443))*(TRIM(Innings!D:D)=TRIM(E443)),0))</f>
        <v>9.1</v>
      </c>
      <c r="AB443" cm="1">
        <f t="array" ref="AB443">INDEX(Innings!J:J,MATCH(1,(TRIM(Innings!A:A)=TRIM(A443))*(TRIM(Innings!D:D)=TRIM(E443)),0))</f>
        <v>46</v>
      </c>
      <c r="AC443" cm="1">
        <f t="array" ref="AC443">INDEX(Innings!N:N,MATCH(1,(TRIM(Innings!A:A)=TRIM(A443))*(TRIM(Innings!D:D)=TRIM(E443)),0))</f>
        <v>54</v>
      </c>
      <c r="AD443" cm="1">
        <f t="array" ref="AD443">INDEX(Innings!S:S,MATCH(1,(TRIM(Innings!A:A)=TRIM(A443))*(TRIM(Innings!D:D)=TRIM(E443)),0))</f>
        <v>37</v>
      </c>
      <c r="AE443" t="str" cm="1">
        <f t="array" ref="AE443">INDEX(Innings!W:W,MATCH(1,(TRIM(Innings!A:A)=TRIM(A443))*(TRIM(Innings!D:D)=TRIM(E443)),0))</f>
        <v>NA</v>
      </c>
      <c r="AF443">
        <f>IF(UPPER(TRIM(E443))=UPPER(TRIM(W443)),1,0)</f>
        <v>1</v>
      </c>
      <c r="AG443">
        <f t="shared" si="13"/>
        <v>39.700000000000003</v>
      </c>
    </row>
    <row r="444" spans="1:33" x14ac:dyDescent="0.3">
      <c r="A444" t="s">
        <v>154</v>
      </c>
      <c r="B444">
        <v>1</v>
      </c>
      <c r="C444" t="s">
        <v>117</v>
      </c>
      <c r="D444" t="s">
        <v>90</v>
      </c>
      <c r="E444" t="s">
        <v>266</v>
      </c>
      <c r="F444" t="s">
        <v>169</v>
      </c>
      <c r="G444" t="s">
        <v>92</v>
      </c>
      <c r="H444">
        <v>72</v>
      </c>
      <c r="I444">
        <v>38</v>
      </c>
      <c r="J444">
        <v>189.47</v>
      </c>
      <c r="K444" t="s">
        <v>96</v>
      </c>
      <c r="L444">
        <v>90.95</v>
      </c>
      <c r="M444">
        <v>3</v>
      </c>
      <c r="N444">
        <v>0</v>
      </c>
      <c r="O444">
        <v>21</v>
      </c>
      <c r="P444">
        <v>1</v>
      </c>
      <c r="Q444">
        <v>7</v>
      </c>
      <c r="R444">
        <v>6</v>
      </c>
      <c r="S444">
        <v>0</v>
      </c>
      <c r="T444">
        <v>0</v>
      </c>
      <c r="U444" s="8">
        <v>96.95</v>
      </c>
      <c r="V444" s="8">
        <f t="shared" si="12"/>
        <v>10</v>
      </c>
      <c r="W444" t="str">
        <f>_xlfn.XLOOKUP(A444, Matches!A:A, Matches!L:L, "NA", 0)</f>
        <v>MIW</v>
      </c>
      <c r="X444" t="str">
        <f>_xlfn.XLOOKUP(A444, Matches!A:A, Matches!J:J, "NA", 0)</f>
        <v>UPW</v>
      </c>
      <c r="Y444" t="str">
        <f>_xlfn.XLOOKUP(A444, Matches!A:A, Matches!F:F, "NA", 0)</f>
        <v>Dr DY Patil Sports </v>
      </c>
      <c r="Z444" cm="1">
        <f t="array" ref="Z444">INDEX(Innings!F:F,MATCH(1,(TRIM(Innings!A:A)=TRIM(A444))*(TRIM(Innings!D:D)=TRIM(E444)),0))</f>
        <v>182</v>
      </c>
      <c r="AA444" cm="1">
        <f t="array" ref="AA444">INDEX(Innings!I:I,MATCH(1,(TRIM(Innings!A:A)=TRIM(A444))*(TRIM(Innings!D:D)=TRIM(E444)),0))</f>
        <v>9.1</v>
      </c>
      <c r="AB444" cm="1">
        <f t="array" ref="AB444">INDEX(Innings!J:J,MATCH(1,(TRIM(Innings!A:A)=TRIM(A444))*(TRIM(Innings!D:D)=TRIM(E444)),0))</f>
        <v>46</v>
      </c>
      <c r="AC444" cm="1">
        <f t="array" ref="AC444">INDEX(Innings!N:N,MATCH(1,(TRIM(Innings!A:A)=TRIM(A444))*(TRIM(Innings!D:D)=TRIM(E444)),0))</f>
        <v>54</v>
      </c>
      <c r="AD444" cm="1">
        <f t="array" ref="AD444">INDEX(Innings!S:S,MATCH(1,(TRIM(Innings!A:A)=TRIM(A444))*(TRIM(Innings!D:D)=TRIM(E444)),0))</f>
        <v>37</v>
      </c>
      <c r="AE444" t="str" cm="1">
        <f t="array" ref="AE444">INDEX(Innings!W:W,MATCH(1,(TRIM(Innings!A:A)=TRIM(A444))*(TRIM(Innings!D:D)=TRIM(E444)),0))</f>
        <v>NA</v>
      </c>
      <c r="AF444">
        <f>IF(UPPER(TRIM(E444))=UPPER(TRIM(W444)),1,0)</f>
        <v>1</v>
      </c>
      <c r="AG444">
        <f t="shared" si="13"/>
        <v>71.474999999999994</v>
      </c>
    </row>
    <row r="445" spans="1:33" x14ac:dyDescent="0.3">
      <c r="A445" t="s">
        <v>154</v>
      </c>
      <c r="B445">
        <v>1</v>
      </c>
      <c r="C445" t="s">
        <v>115</v>
      </c>
      <c r="D445" t="s">
        <v>17</v>
      </c>
      <c r="E445" t="s">
        <v>266</v>
      </c>
      <c r="F445" t="s">
        <v>169</v>
      </c>
      <c r="G445" t="s">
        <v>134</v>
      </c>
      <c r="H445">
        <v>14</v>
      </c>
      <c r="I445">
        <v>15</v>
      </c>
      <c r="J445">
        <v>93.33</v>
      </c>
      <c r="K445" t="s">
        <v>245</v>
      </c>
      <c r="L445">
        <v>18.329999999999998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 s="8">
        <v>18.329999999999998</v>
      </c>
      <c r="V445" s="8">
        <f t="shared" si="12"/>
        <v>2</v>
      </c>
      <c r="W445" t="str">
        <f>_xlfn.XLOOKUP(A445, Matches!A:A, Matches!L:L, "NA", 0)</f>
        <v>MIW</v>
      </c>
      <c r="X445" t="str">
        <f>_xlfn.XLOOKUP(A445, Matches!A:A, Matches!J:J, "NA", 0)</f>
        <v>UPW</v>
      </c>
      <c r="Y445" t="str">
        <f>_xlfn.XLOOKUP(A445, Matches!A:A, Matches!F:F, "NA", 0)</f>
        <v>Dr DY Patil Sports </v>
      </c>
      <c r="Z445" cm="1">
        <f t="array" ref="Z445">INDEX(Innings!F:F,MATCH(1,(TRIM(Innings!A:A)=TRIM(A445))*(TRIM(Innings!D:D)=TRIM(E445)),0))</f>
        <v>182</v>
      </c>
      <c r="AA445" cm="1">
        <f t="array" ref="AA445">INDEX(Innings!I:I,MATCH(1,(TRIM(Innings!A:A)=TRIM(A445))*(TRIM(Innings!D:D)=TRIM(E445)),0))</f>
        <v>9.1</v>
      </c>
      <c r="AB445" cm="1">
        <f t="array" ref="AB445">INDEX(Innings!J:J,MATCH(1,(TRIM(Innings!A:A)=TRIM(A445))*(TRIM(Innings!D:D)=TRIM(E445)),0))</f>
        <v>46</v>
      </c>
      <c r="AC445" cm="1">
        <f t="array" ref="AC445">INDEX(Innings!N:N,MATCH(1,(TRIM(Innings!A:A)=TRIM(A445))*(TRIM(Innings!D:D)=TRIM(E445)),0))</f>
        <v>54</v>
      </c>
      <c r="AD445" cm="1">
        <f t="array" ref="AD445">INDEX(Innings!S:S,MATCH(1,(TRIM(Innings!A:A)=TRIM(A445))*(TRIM(Innings!D:D)=TRIM(E445)),0))</f>
        <v>37</v>
      </c>
      <c r="AE445" t="str" cm="1">
        <f t="array" ref="AE445">INDEX(Innings!W:W,MATCH(1,(TRIM(Innings!A:A)=TRIM(A445))*(TRIM(Innings!D:D)=TRIM(E445)),0))</f>
        <v>NA</v>
      </c>
      <c r="AF445">
        <f>IF(UPPER(TRIM(E445))=UPPER(TRIM(W445)),1,0)</f>
        <v>1</v>
      </c>
      <c r="AG445">
        <f t="shared" si="13"/>
        <v>29.765000000000001</v>
      </c>
    </row>
    <row r="446" spans="1:33" x14ac:dyDescent="0.3">
      <c r="A446" t="s">
        <v>154</v>
      </c>
      <c r="B446">
        <v>1</v>
      </c>
      <c r="C446" t="s">
        <v>119</v>
      </c>
      <c r="D446" t="s">
        <v>95</v>
      </c>
      <c r="E446" t="s">
        <v>266</v>
      </c>
      <c r="F446" t="s">
        <v>169</v>
      </c>
      <c r="G446" t="s">
        <v>134</v>
      </c>
      <c r="H446">
        <v>29</v>
      </c>
      <c r="I446">
        <v>19</v>
      </c>
      <c r="J446">
        <v>152.63</v>
      </c>
      <c r="K446" t="s">
        <v>246</v>
      </c>
      <c r="L446">
        <v>39.26</v>
      </c>
      <c r="M446">
        <v>3</v>
      </c>
      <c r="N446">
        <v>0</v>
      </c>
      <c r="O446">
        <v>25</v>
      </c>
      <c r="P446">
        <v>0</v>
      </c>
      <c r="Q446">
        <v>8.33</v>
      </c>
      <c r="R446">
        <v>-16.66</v>
      </c>
      <c r="S446">
        <v>0</v>
      </c>
      <c r="T446">
        <v>0</v>
      </c>
      <c r="U446" s="8">
        <v>22.6</v>
      </c>
      <c r="V446" s="8">
        <f t="shared" si="12"/>
        <v>2</v>
      </c>
      <c r="W446" t="str">
        <f>_xlfn.XLOOKUP(A446, Matches!A:A, Matches!L:L, "NA", 0)</f>
        <v>MIW</v>
      </c>
      <c r="X446" t="str">
        <f>_xlfn.XLOOKUP(A446, Matches!A:A, Matches!J:J, "NA", 0)</f>
        <v>UPW</v>
      </c>
      <c r="Y446" t="str">
        <f>_xlfn.XLOOKUP(A446, Matches!A:A, Matches!F:F, "NA", 0)</f>
        <v>Dr DY Patil Sports </v>
      </c>
      <c r="Z446" cm="1">
        <f t="array" ref="Z446">INDEX(Innings!F:F,MATCH(1,(TRIM(Innings!A:A)=TRIM(A446))*(TRIM(Innings!D:D)=TRIM(E446)),0))</f>
        <v>182</v>
      </c>
      <c r="AA446" cm="1">
        <f t="array" ref="AA446">INDEX(Innings!I:I,MATCH(1,(TRIM(Innings!A:A)=TRIM(A446))*(TRIM(Innings!D:D)=TRIM(E446)),0))</f>
        <v>9.1</v>
      </c>
      <c r="AB446" cm="1">
        <f t="array" ref="AB446">INDEX(Innings!J:J,MATCH(1,(TRIM(Innings!A:A)=TRIM(A446))*(TRIM(Innings!D:D)=TRIM(E446)),0))</f>
        <v>46</v>
      </c>
      <c r="AC446" cm="1">
        <f t="array" ref="AC446">INDEX(Innings!N:N,MATCH(1,(TRIM(Innings!A:A)=TRIM(A446))*(TRIM(Innings!D:D)=TRIM(E446)),0))</f>
        <v>54</v>
      </c>
      <c r="AD446" cm="1">
        <f t="array" ref="AD446">INDEX(Innings!S:S,MATCH(1,(TRIM(Innings!A:A)=TRIM(A446))*(TRIM(Innings!D:D)=TRIM(E446)),0))</f>
        <v>37</v>
      </c>
      <c r="AE446" t="str" cm="1">
        <f t="array" ref="AE446">INDEX(Innings!W:W,MATCH(1,(TRIM(Innings!A:A)=TRIM(A446))*(TRIM(Innings!D:D)=TRIM(E446)),0))</f>
        <v>NA</v>
      </c>
      <c r="AF446">
        <f>IF(UPPER(TRIM(E446))=UPPER(TRIM(W446)),1,0)</f>
        <v>1</v>
      </c>
      <c r="AG446">
        <f t="shared" si="13"/>
        <v>31.9</v>
      </c>
    </row>
    <row r="447" spans="1:33" x14ac:dyDescent="0.3">
      <c r="A447" t="s">
        <v>154</v>
      </c>
      <c r="B447">
        <v>1</v>
      </c>
      <c r="C447" t="s">
        <v>123</v>
      </c>
      <c r="D447" t="s">
        <v>98</v>
      </c>
      <c r="E447" t="s">
        <v>266</v>
      </c>
      <c r="F447" t="s">
        <v>169</v>
      </c>
      <c r="G447" t="s">
        <v>135</v>
      </c>
      <c r="H447">
        <v>11</v>
      </c>
      <c r="I447">
        <v>4</v>
      </c>
      <c r="J447">
        <v>275</v>
      </c>
      <c r="K447" t="s">
        <v>96</v>
      </c>
      <c r="L447">
        <v>38.5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 s="8">
        <v>38.5</v>
      </c>
      <c r="V447" s="8">
        <f t="shared" si="12"/>
        <v>4</v>
      </c>
      <c r="W447" t="str">
        <f>_xlfn.XLOOKUP(A447, Matches!A:A, Matches!L:L, "NA", 0)</f>
        <v>MIW</v>
      </c>
      <c r="X447" t="str">
        <f>_xlfn.XLOOKUP(A447, Matches!A:A, Matches!J:J, "NA", 0)</f>
        <v>UPW</v>
      </c>
      <c r="Y447" t="str">
        <f>_xlfn.XLOOKUP(A447, Matches!A:A, Matches!F:F, "NA", 0)</f>
        <v>Dr DY Patil Sports </v>
      </c>
      <c r="Z447" cm="1">
        <f t="array" ref="Z447">INDEX(Innings!F:F,MATCH(1,(TRIM(Innings!A:A)=TRIM(A447))*(TRIM(Innings!D:D)=TRIM(E447)),0))</f>
        <v>182</v>
      </c>
      <c r="AA447" cm="1">
        <f t="array" ref="AA447">INDEX(Innings!I:I,MATCH(1,(TRIM(Innings!A:A)=TRIM(A447))*(TRIM(Innings!D:D)=TRIM(E447)),0))</f>
        <v>9.1</v>
      </c>
      <c r="AB447" cm="1">
        <f t="array" ref="AB447">INDEX(Innings!J:J,MATCH(1,(TRIM(Innings!A:A)=TRIM(A447))*(TRIM(Innings!D:D)=TRIM(E447)),0))</f>
        <v>46</v>
      </c>
      <c r="AC447" cm="1">
        <f t="array" ref="AC447">INDEX(Innings!N:N,MATCH(1,(TRIM(Innings!A:A)=TRIM(A447))*(TRIM(Innings!D:D)=TRIM(E447)),0))</f>
        <v>54</v>
      </c>
      <c r="AD447" cm="1">
        <f t="array" ref="AD447">INDEX(Innings!S:S,MATCH(1,(TRIM(Innings!A:A)=TRIM(A447))*(TRIM(Innings!D:D)=TRIM(E447)),0))</f>
        <v>37</v>
      </c>
      <c r="AE447" t="str" cm="1">
        <f t="array" ref="AE447">INDEX(Innings!W:W,MATCH(1,(TRIM(Innings!A:A)=TRIM(A447))*(TRIM(Innings!D:D)=TRIM(E447)),0))</f>
        <v>NA</v>
      </c>
      <c r="AF447">
        <f>IF(UPPER(TRIM(E447))=UPPER(TRIM(W447)),1,0)</f>
        <v>1</v>
      </c>
      <c r="AG447">
        <f t="shared" si="13"/>
        <v>40.450000000000003</v>
      </c>
    </row>
    <row r="448" spans="1:33" x14ac:dyDescent="0.3">
      <c r="A448" t="s">
        <v>154</v>
      </c>
      <c r="B448">
        <v>1</v>
      </c>
      <c r="C448" t="s">
        <v>127</v>
      </c>
      <c r="D448" t="s">
        <v>100</v>
      </c>
      <c r="E448" t="s">
        <v>266</v>
      </c>
      <c r="F448" t="s">
        <v>101</v>
      </c>
      <c r="G448" t="s">
        <v>104</v>
      </c>
      <c r="H448">
        <v>0</v>
      </c>
      <c r="I448">
        <v>0</v>
      </c>
      <c r="J448">
        <v>0</v>
      </c>
      <c r="K448" t="s">
        <v>104</v>
      </c>
      <c r="L448">
        <v>0</v>
      </c>
      <c r="M448">
        <v>4</v>
      </c>
      <c r="N448">
        <v>0</v>
      </c>
      <c r="O448">
        <v>15</v>
      </c>
      <c r="P448">
        <v>4</v>
      </c>
      <c r="Q448">
        <v>3.75</v>
      </c>
      <c r="R448">
        <v>65</v>
      </c>
      <c r="S448">
        <v>0</v>
      </c>
      <c r="T448">
        <v>0</v>
      </c>
      <c r="U448" s="8">
        <v>65</v>
      </c>
      <c r="V448" s="8">
        <f t="shared" si="12"/>
        <v>7</v>
      </c>
      <c r="W448" t="str">
        <f>_xlfn.XLOOKUP(A448, Matches!A:A, Matches!L:L, "NA", 0)</f>
        <v>MIW</v>
      </c>
      <c r="X448" t="str">
        <f>_xlfn.XLOOKUP(A448, Matches!A:A, Matches!J:J, "NA", 0)</f>
        <v>UPW</v>
      </c>
      <c r="Y448" t="str">
        <f>_xlfn.XLOOKUP(A448, Matches!A:A, Matches!F:F, "NA", 0)</f>
        <v>Dr DY Patil Sports </v>
      </c>
      <c r="Z448" cm="1">
        <f t="array" ref="Z448">INDEX(Innings!F:F,MATCH(1,(TRIM(Innings!A:A)=TRIM(A448))*(TRIM(Innings!D:D)=TRIM(E448)),0))</f>
        <v>182</v>
      </c>
      <c r="AA448" cm="1">
        <f t="array" ref="AA448">INDEX(Innings!I:I,MATCH(1,(TRIM(Innings!A:A)=TRIM(A448))*(TRIM(Innings!D:D)=TRIM(E448)),0))</f>
        <v>9.1</v>
      </c>
      <c r="AB448" cm="1">
        <f t="array" ref="AB448">INDEX(Innings!J:J,MATCH(1,(TRIM(Innings!A:A)=TRIM(A448))*(TRIM(Innings!D:D)=TRIM(E448)),0))</f>
        <v>46</v>
      </c>
      <c r="AC448" cm="1">
        <f t="array" ref="AC448">INDEX(Innings!N:N,MATCH(1,(TRIM(Innings!A:A)=TRIM(A448))*(TRIM(Innings!D:D)=TRIM(E448)),0))</f>
        <v>54</v>
      </c>
      <c r="AD448" cm="1">
        <f t="array" ref="AD448">INDEX(Innings!S:S,MATCH(1,(TRIM(Innings!A:A)=TRIM(A448))*(TRIM(Innings!D:D)=TRIM(E448)),0))</f>
        <v>37</v>
      </c>
      <c r="AE448" t="str" cm="1">
        <f t="array" ref="AE448">INDEX(Innings!W:W,MATCH(1,(TRIM(Innings!A:A)=TRIM(A448))*(TRIM(Innings!D:D)=TRIM(E448)),0))</f>
        <v>NA</v>
      </c>
      <c r="AF448">
        <f>IF(UPPER(TRIM(E448))=UPPER(TRIM(W448)),1,0)</f>
        <v>1</v>
      </c>
      <c r="AG448">
        <f t="shared" si="13"/>
        <v>54.6</v>
      </c>
    </row>
    <row r="449" spans="1:33" x14ac:dyDescent="0.3">
      <c r="A449" t="s">
        <v>154</v>
      </c>
      <c r="B449">
        <v>1</v>
      </c>
      <c r="C449" t="s">
        <v>121</v>
      </c>
      <c r="D449" t="s">
        <v>108</v>
      </c>
      <c r="E449" t="s">
        <v>266</v>
      </c>
      <c r="F449" t="s">
        <v>169</v>
      </c>
      <c r="G449" t="s">
        <v>104</v>
      </c>
      <c r="H449">
        <v>0</v>
      </c>
      <c r="I449">
        <v>0</v>
      </c>
      <c r="J449">
        <v>0</v>
      </c>
      <c r="K449" t="s">
        <v>104</v>
      </c>
      <c r="L449">
        <v>0</v>
      </c>
      <c r="M449">
        <v>1</v>
      </c>
      <c r="N449">
        <v>0</v>
      </c>
      <c r="O449">
        <v>2</v>
      </c>
      <c r="P449">
        <v>0</v>
      </c>
      <c r="Q449">
        <v>2</v>
      </c>
      <c r="R449">
        <v>-4</v>
      </c>
      <c r="S449">
        <v>0</v>
      </c>
      <c r="T449">
        <v>0</v>
      </c>
      <c r="U449" s="8">
        <v>-4</v>
      </c>
      <c r="V449" s="8">
        <f t="shared" si="12"/>
        <v>0</v>
      </c>
      <c r="W449" t="str">
        <f>_xlfn.XLOOKUP(A449, Matches!A:A, Matches!L:L, "NA", 0)</f>
        <v>MIW</v>
      </c>
      <c r="X449" t="str">
        <f>_xlfn.XLOOKUP(A449, Matches!A:A, Matches!J:J, "NA", 0)</f>
        <v>UPW</v>
      </c>
      <c r="Y449" t="str">
        <f>_xlfn.XLOOKUP(A449, Matches!A:A, Matches!F:F, "NA", 0)</f>
        <v>Dr DY Patil Sports </v>
      </c>
      <c r="Z449" cm="1">
        <f t="array" ref="Z449">INDEX(Innings!F:F,MATCH(1,(TRIM(Innings!A:A)=TRIM(A449))*(TRIM(Innings!D:D)=TRIM(E449)),0))</f>
        <v>182</v>
      </c>
      <c r="AA449" cm="1">
        <f t="array" ref="AA449">INDEX(Innings!I:I,MATCH(1,(TRIM(Innings!A:A)=TRIM(A449))*(TRIM(Innings!D:D)=TRIM(E449)),0))</f>
        <v>9.1</v>
      </c>
      <c r="AB449" cm="1">
        <f t="array" ref="AB449">INDEX(Innings!J:J,MATCH(1,(TRIM(Innings!A:A)=TRIM(A449))*(TRIM(Innings!D:D)=TRIM(E449)),0))</f>
        <v>46</v>
      </c>
      <c r="AC449" cm="1">
        <f t="array" ref="AC449">INDEX(Innings!N:N,MATCH(1,(TRIM(Innings!A:A)=TRIM(A449))*(TRIM(Innings!D:D)=TRIM(E449)),0))</f>
        <v>54</v>
      </c>
      <c r="AD449" cm="1">
        <f t="array" ref="AD449">INDEX(Innings!S:S,MATCH(1,(TRIM(Innings!A:A)=TRIM(A449))*(TRIM(Innings!D:D)=TRIM(E449)),0))</f>
        <v>37</v>
      </c>
      <c r="AE449" t="str" cm="1">
        <f t="array" ref="AE449">INDEX(Innings!W:W,MATCH(1,(TRIM(Innings!A:A)=TRIM(A449))*(TRIM(Innings!D:D)=TRIM(E449)),0))</f>
        <v>NA</v>
      </c>
      <c r="AF449">
        <f>IF(UPPER(TRIM(E449))=UPPER(TRIM(W449)),1,0)</f>
        <v>1</v>
      </c>
      <c r="AG449">
        <f t="shared" si="13"/>
        <v>20</v>
      </c>
    </row>
    <row r="450" spans="1:33" x14ac:dyDescent="0.3">
      <c r="A450" t="s">
        <v>154</v>
      </c>
      <c r="B450">
        <v>1</v>
      </c>
      <c r="C450" t="s">
        <v>125</v>
      </c>
      <c r="D450" t="s">
        <v>111</v>
      </c>
      <c r="E450" t="s">
        <v>266</v>
      </c>
      <c r="F450" t="s">
        <v>169</v>
      </c>
      <c r="G450" t="s">
        <v>104</v>
      </c>
      <c r="H450">
        <v>0</v>
      </c>
      <c r="I450">
        <v>0</v>
      </c>
      <c r="J450">
        <v>0</v>
      </c>
      <c r="K450" t="s">
        <v>104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 s="8">
        <v>0</v>
      </c>
      <c r="V450" s="8">
        <f t="shared" si="12"/>
        <v>0</v>
      </c>
      <c r="W450" t="str">
        <f>_xlfn.XLOOKUP(A450, Matches!A:A, Matches!L:L, "NA", 0)</f>
        <v>MIW</v>
      </c>
      <c r="X450" t="str">
        <f>_xlfn.XLOOKUP(A450, Matches!A:A, Matches!J:J, "NA", 0)</f>
        <v>UPW</v>
      </c>
      <c r="Y450" t="str">
        <f>_xlfn.XLOOKUP(A450, Matches!A:A, Matches!F:F, "NA", 0)</f>
        <v>Dr DY Patil Sports </v>
      </c>
      <c r="Z450" cm="1">
        <f t="array" ref="Z450">INDEX(Innings!F:F,MATCH(1,(TRIM(Innings!A:A)=TRIM(A450))*(TRIM(Innings!D:D)=TRIM(E450)),0))</f>
        <v>182</v>
      </c>
      <c r="AA450" cm="1">
        <f t="array" ref="AA450">INDEX(Innings!I:I,MATCH(1,(TRIM(Innings!A:A)=TRIM(A450))*(TRIM(Innings!D:D)=TRIM(E450)),0))</f>
        <v>9.1</v>
      </c>
      <c r="AB450" cm="1">
        <f t="array" ref="AB450">INDEX(Innings!J:J,MATCH(1,(TRIM(Innings!A:A)=TRIM(A450))*(TRIM(Innings!D:D)=TRIM(E450)),0))</f>
        <v>46</v>
      </c>
      <c r="AC450" cm="1">
        <f t="array" ref="AC450">INDEX(Innings!N:N,MATCH(1,(TRIM(Innings!A:A)=TRIM(A450))*(TRIM(Innings!D:D)=TRIM(E450)),0))</f>
        <v>54</v>
      </c>
      <c r="AD450" cm="1">
        <f t="array" ref="AD450">INDEX(Innings!S:S,MATCH(1,(TRIM(Innings!A:A)=TRIM(A450))*(TRIM(Innings!D:D)=TRIM(E450)),0))</f>
        <v>37</v>
      </c>
      <c r="AE450" t="str" cm="1">
        <f t="array" ref="AE450">INDEX(Innings!W:W,MATCH(1,(TRIM(Innings!A:A)=TRIM(A450))*(TRIM(Innings!D:D)=TRIM(E450)),0))</f>
        <v>NA</v>
      </c>
      <c r="AF450">
        <f>IF(UPPER(TRIM(E450))=UPPER(TRIM(W450)),1,0)</f>
        <v>1</v>
      </c>
      <c r="AG450">
        <f t="shared" si="13"/>
        <v>20</v>
      </c>
    </row>
    <row r="451" spans="1:33" x14ac:dyDescent="0.3">
      <c r="A451" t="s">
        <v>154</v>
      </c>
      <c r="B451">
        <v>1</v>
      </c>
      <c r="C451" t="s">
        <v>129</v>
      </c>
      <c r="D451" t="s">
        <v>103</v>
      </c>
      <c r="E451" t="s">
        <v>266</v>
      </c>
      <c r="F451" t="s">
        <v>101</v>
      </c>
      <c r="G451" t="s">
        <v>104</v>
      </c>
      <c r="H451">
        <v>0</v>
      </c>
      <c r="I451">
        <v>0</v>
      </c>
      <c r="J451">
        <v>0</v>
      </c>
      <c r="K451" t="s">
        <v>104</v>
      </c>
      <c r="L451">
        <v>0</v>
      </c>
      <c r="M451">
        <v>1</v>
      </c>
      <c r="N451">
        <v>0</v>
      </c>
      <c r="O451">
        <v>2</v>
      </c>
      <c r="P451">
        <v>1</v>
      </c>
      <c r="Q451">
        <v>2</v>
      </c>
      <c r="R451">
        <v>16</v>
      </c>
      <c r="S451">
        <v>0</v>
      </c>
      <c r="T451">
        <v>0</v>
      </c>
      <c r="U451" s="8">
        <v>16</v>
      </c>
      <c r="V451" s="8">
        <f t="shared" ref="V451:V514" si="14">MIN(10, MAX(0, ROUND(U451/10,0)))</f>
        <v>2</v>
      </c>
      <c r="W451" t="str">
        <f>_xlfn.XLOOKUP(A451, Matches!A:A, Matches!L:L, "NA", 0)</f>
        <v>MIW</v>
      </c>
      <c r="X451" t="str">
        <f>_xlfn.XLOOKUP(A451, Matches!A:A, Matches!J:J, "NA", 0)</f>
        <v>UPW</v>
      </c>
      <c r="Y451" t="str">
        <f>_xlfn.XLOOKUP(A451, Matches!A:A, Matches!F:F, "NA", 0)</f>
        <v>Dr DY Patil Sports </v>
      </c>
      <c r="Z451" cm="1">
        <f t="array" ref="Z451">INDEX(Innings!F:F,MATCH(1,(TRIM(Innings!A:A)=TRIM(A451))*(TRIM(Innings!D:D)=TRIM(E451)),0))</f>
        <v>182</v>
      </c>
      <c r="AA451" cm="1">
        <f t="array" ref="AA451">INDEX(Innings!I:I,MATCH(1,(TRIM(Innings!A:A)=TRIM(A451))*(TRIM(Innings!D:D)=TRIM(E451)),0))</f>
        <v>9.1</v>
      </c>
      <c r="AB451" cm="1">
        <f t="array" ref="AB451">INDEX(Innings!J:J,MATCH(1,(TRIM(Innings!A:A)=TRIM(A451))*(TRIM(Innings!D:D)=TRIM(E451)),0))</f>
        <v>46</v>
      </c>
      <c r="AC451" cm="1">
        <f t="array" ref="AC451">INDEX(Innings!N:N,MATCH(1,(TRIM(Innings!A:A)=TRIM(A451))*(TRIM(Innings!D:D)=TRIM(E451)),0))</f>
        <v>54</v>
      </c>
      <c r="AD451" cm="1">
        <f t="array" ref="AD451">INDEX(Innings!S:S,MATCH(1,(TRIM(Innings!A:A)=TRIM(A451))*(TRIM(Innings!D:D)=TRIM(E451)),0))</f>
        <v>37</v>
      </c>
      <c r="AE451" t="str" cm="1">
        <f t="array" ref="AE451">INDEX(Innings!W:W,MATCH(1,(TRIM(Innings!A:A)=TRIM(A451))*(TRIM(Innings!D:D)=TRIM(E451)),0))</f>
        <v>NA</v>
      </c>
      <c r="AF451">
        <f>IF(UPPER(TRIM(E451))=UPPER(TRIM(W451)),1,0)</f>
        <v>1</v>
      </c>
      <c r="AG451">
        <f t="shared" ref="AG451:AG513" si="15">(0.5*MAX(0,U451) + 0.3*MAX(0,V451) + 0.2*AF451*100)</f>
        <v>28.6</v>
      </c>
    </row>
    <row r="452" spans="1:33" x14ac:dyDescent="0.3">
      <c r="A452" t="s">
        <v>154</v>
      </c>
      <c r="B452">
        <v>1</v>
      </c>
      <c r="C452" t="s">
        <v>131</v>
      </c>
      <c r="D452" t="s">
        <v>106</v>
      </c>
      <c r="E452" t="s">
        <v>266</v>
      </c>
      <c r="F452" t="s">
        <v>101</v>
      </c>
      <c r="G452" t="s">
        <v>104</v>
      </c>
      <c r="H452">
        <v>0</v>
      </c>
      <c r="I452">
        <v>0</v>
      </c>
      <c r="J452">
        <v>0</v>
      </c>
      <c r="K452" t="s">
        <v>104</v>
      </c>
      <c r="L452">
        <v>0</v>
      </c>
      <c r="M452">
        <v>2.4</v>
      </c>
      <c r="N452">
        <v>1</v>
      </c>
      <c r="O452">
        <v>24</v>
      </c>
      <c r="P452">
        <v>2</v>
      </c>
      <c r="Q452">
        <v>9</v>
      </c>
      <c r="R452">
        <v>22</v>
      </c>
      <c r="S452">
        <v>0</v>
      </c>
      <c r="T452">
        <v>0</v>
      </c>
      <c r="U452" s="8">
        <v>22</v>
      </c>
      <c r="V452" s="8">
        <f t="shared" si="14"/>
        <v>2</v>
      </c>
      <c r="W452" t="str">
        <f>_xlfn.XLOOKUP(A452, Matches!A:A, Matches!L:L, "NA", 0)</f>
        <v>MIW</v>
      </c>
      <c r="X452" t="str">
        <f>_xlfn.XLOOKUP(A452, Matches!A:A, Matches!J:J, "NA", 0)</f>
        <v>UPW</v>
      </c>
      <c r="Y452" t="str">
        <f>_xlfn.XLOOKUP(A452, Matches!A:A, Matches!F:F, "NA", 0)</f>
        <v>Dr DY Patil Sports </v>
      </c>
      <c r="Z452" cm="1">
        <f t="array" ref="Z452">INDEX(Innings!F:F,MATCH(1,(TRIM(Innings!A:A)=TRIM(A452))*(TRIM(Innings!D:D)=TRIM(E452)),0))</f>
        <v>182</v>
      </c>
      <c r="AA452" cm="1">
        <f t="array" ref="AA452">INDEX(Innings!I:I,MATCH(1,(TRIM(Innings!A:A)=TRIM(A452))*(TRIM(Innings!D:D)=TRIM(E452)),0))</f>
        <v>9.1</v>
      </c>
      <c r="AB452" cm="1">
        <f t="array" ref="AB452">INDEX(Innings!J:J,MATCH(1,(TRIM(Innings!A:A)=TRIM(A452))*(TRIM(Innings!D:D)=TRIM(E452)),0))</f>
        <v>46</v>
      </c>
      <c r="AC452" cm="1">
        <f t="array" ref="AC452">INDEX(Innings!N:N,MATCH(1,(TRIM(Innings!A:A)=TRIM(A452))*(TRIM(Innings!D:D)=TRIM(E452)),0))</f>
        <v>54</v>
      </c>
      <c r="AD452" cm="1">
        <f t="array" ref="AD452">INDEX(Innings!S:S,MATCH(1,(TRIM(Innings!A:A)=TRIM(A452))*(TRIM(Innings!D:D)=TRIM(E452)),0))</f>
        <v>37</v>
      </c>
      <c r="AE452" t="str" cm="1">
        <f t="array" ref="AE452">INDEX(Innings!W:W,MATCH(1,(TRIM(Innings!A:A)=TRIM(A452))*(TRIM(Innings!D:D)=TRIM(E452)),0))</f>
        <v>NA</v>
      </c>
      <c r="AF452">
        <f>IF(UPPER(TRIM(E452))=UPPER(TRIM(W452)),1,0)</f>
        <v>1</v>
      </c>
      <c r="AG452">
        <f t="shared" si="15"/>
        <v>31.6</v>
      </c>
    </row>
    <row r="453" spans="1:33" x14ac:dyDescent="0.3">
      <c r="A453" t="s">
        <v>154</v>
      </c>
      <c r="B453">
        <v>1</v>
      </c>
      <c r="C453" t="s">
        <v>217</v>
      </c>
      <c r="D453" t="s">
        <v>218</v>
      </c>
      <c r="E453" t="s">
        <v>219</v>
      </c>
      <c r="F453" t="s">
        <v>85</v>
      </c>
      <c r="G453" t="s">
        <v>86</v>
      </c>
      <c r="H453">
        <v>11</v>
      </c>
      <c r="I453">
        <v>6</v>
      </c>
      <c r="J453">
        <v>183.33</v>
      </c>
      <c r="K453" t="s">
        <v>246</v>
      </c>
      <c r="L453">
        <v>24.33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 s="8">
        <v>24.33</v>
      </c>
      <c r="V453" s="8">
        <f t="shared" si="14"/>
        <v>2</v>
      </c>
      <c r="W453" t="str">
        <f>_xlfn.XLOOKUP(A453, Matches!A:A, Matches!L:L, "NA", 0)</f>
        <v>MIW</v>
      </c>
      <c r="X453" t="str">
        <f>_xlfn.XLOOKUP(A453, Matches!A:A, Matches!J:J, "NA", 0)</f>
        <v>UPW</v>
      </c>
      <c r="Y453" t="str">
        <f>_xlfn.XLOOKUP(A453, Matches!A:A, Matches!F:F, "NA", 0)</f>
        <v>Dr DY Patil Sports </v>
      </c>
      <c r="Z453" cm="1">
        <f t="array" ref="Z453">INDEX(Innings!F:F,MATCH(1,(TRIM(Innings!A:A)=TRIM(A453))*(TRIM(Innings!D:D)=TRIM(E453)),0))</f>
        <v>110</v>
      </c>
      <c r="AA453" cm="1">
        <f t="array" ref="AA453">INDEX(Innings!I:I,MATCH(1,(TRIM(Innings!A:A)=TRIM(A453))*(TRIM(Innings!D:D)=TRIM(E453)),0))</f>
        <v>6.23</v>
      </c>
      <c r="AB453" cm="1">
        <f t="array" ref="AB453">INDEX(Innings!J:J,MATCH(1,(TRIM(Innings!A:A)=TRIM(A453))*(TRIM(Innings!D:D)=TRIM(E453)),0))</f>
        <v>46</v>
      </c>
      <c r="AC453" cm="1">
        <f t="array" ref="AC453">INDEX(Innings!N:N,MATCH(1,(TRIM(Innings!A:A)=TRIM(A453))*(TRIM(Innings!D:D)=TRIM(E453)),0))</f>
        <v>6</v>
      </c>
      <c r="AD453" cm="1">
        <f t="array" ref="AD453">INDEX(Innings!S:S,MATCH(1,(TRIM(Innings!A:A)=TRIM(A453))*(TRIM(Innings!D:D)=TRIM(E453)),0))</f>
        <v>61</v>
      </c>
      <c r="AE453" t="str" cm="1">
        <f t="array" ref="AE453">INDEX(Innings!W:W,MATCH(1,(TRIM(Innings!A:A)=TRIM(A453))*(TRIM(Innings!D:D)=TRIM(E453)),0))</f>
        <v>Failed</v>
      </c>
      <c r="AF453">
        <f>IF(UPPER(TRIM(E453))=UPPER(TRIM(W453)),1,0)</f>
        <v>0</v>
      </c>
      <c r="AG453">
        <f t="shared" si="15"/>
        <v>12.764999999999999</v>
      </c>
    </row>
    <row r="454" spans="1:33" x14ac:dyDescent="0.3">
      <c r="A454" t="s">
        <v>154</v>
      </c>
      <c r="B454">
        <v>1</v>
      </c>
      <c r="C454" t="s">
        <v>220</v>
      </c>
      <c r="D454" t="s">
        <v>221</v>
      </c>
      <c r="E454" t="s">
        <v>219</v>
      </c>
      <c r="F454" t="s">
        <v>109</v>
      </c>
      <c r="G454" t="s">
        <v>92</v>
      </c>
      <c r="H454">
        <v>1</v>
      </c>
      <c r="I454">
        <v>8</v>
      </c>
      <c r="J454">
        <v>12.5</v>
      </c>
      <c r="K454" t="s">
        <v>246</v>
      </c>
      <c r="L454">
        <v>-2.75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 s="8">
        <v>-2.75</v>
      </c>
      <c r="V454" s="8">
        <f t="shared" si="14"/>
        <v>0</v>
      </c>
      <c r="W454" t="str">
        <f>_xlfn.XLOOKUP(A454, Matches!A:A, Matches!L:L, "NA", 0)</f>
        <v>MIW</v>
      </c>
      <c r="X454" t="str">
        <f>_xlfn.XLOOKUP(A454, Matches!A:A, Matches!J:J, "NA", 0)</f>
        <v>UPW</v>
      </c>
      <c r="Y454" t="str">
        <f>_xlfn.XLOOKUP(A454, Matches!A:A, Matches!F:F, "NA", 0)</f>
        <v>Dr DY Patil Sports </v>
      </c>
      <c r="Z454" cm="1">
        <f t="array" ref="Z454">INDEX(Innings!F:F,MATCH(1,(TRIM(Innings!A:A)=TRIM(A454))*(TRIM(Innings!D:D)=TRIM(E454)),0))</f>
        <v>110</v>
      </c>
      <c r="AA454" cm="1">
        <f t="array" ref="AA454">INDEX(Innings!I:I,MATCH(1,(TRIM(Innings!A:A)=TRIM(A454))*(TRIM(Innings!D:D)=TRIM(E454)),0))</f>
        <v>6.23</v>
      </c>
      <c r="AB454" cm="1">
        <f t="array" ref="AB454">INDEX(Innings!J:J,MATCH(1,(TRIM(Innings!A:A)=TRIM(A454))*(TRIM(Innings!D:D)=TRIM(E454)),0))</f>
        <v>46</v>
      </c>
      <c r="AC454" cm="1">
        <f t="array" ref="AC454">INDEX(Innings!N:N,MATCH(1,(TRIM(Innings!A:A)=TRIM(A454))*(TRIM(Innings!D:D)=TRIM(E454)),0))</f>
        <v>6</v>
      </c>
      <c r="AD454" cm="1">
        <f t="array" ref="AD454">INDEX(Innings!S:S,MATCH(1,(TRIM(Innings!A:A)=TRIM(A454))*(TRIM(Innings!D:D)=TRIM(E454)),0))</f>
        <v>61</v>
      </c>
      <c r="AE454" t="str" cm="1">
        <f t="array" ref="AE454">INDEX(Innings!W:W,MATCH(1,(TRIM(Innings!A:A)=TRIM(A454))*(TRIM(Innings!D:D)=TRIM(E454)),0))</f>
        <v>Failed</v>
      </c>
      <c r="AF454">
        <f>IF(UPPER(TRIM(E454))=UPPER(TRIM(W454)),1,0)</f>
        <v>0</v>
      </c>
      <c r="AG454">
        <f t="shared" si="15"/>
        <v>0</v>
      </c>
    </row>
    <row r="455" spans="1:33" x14ac:dyDescent="0.3">
      <c r="A455" t="s">
        <v>154</v>
      </c>
      <c r="B455">
        <v>1</v>
      </c>
      <c r="C455" t="s">
        <v>229</v>
      </c>
      <c r="D455" t="s">
        <v>230</v>
      </c>
      <c r="E455" t="s">
        <v>219</v>
      </c>
      <c r="F455" t="s">
        <v>109</v>
      </c>
      <c r="G455" t="s">
        <v>92</v>
      </c>
      <c r="H455">
        <v>43</v>
      </c>
      <c r="I455">
        <v>27</v>
      </c>
      <c r="J455">
        <v>159.26</v>
      </c>
      <c r="K455" t="s">
        <v>246</v>
      </c>
      <c r="L455">
        <v>53.93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 s="8">
        <v>53.93</v>
      </c>
      <c r="V455" s="8">
        <f t="shared" si="14"/>
        <v>5</v>
      </c>
      <c r="W455" t="str">
        <f>_xlfn.XLOOKUP(A455, Matches!A:A, Matches!L:L, "NA", 0)</f>
        <v>MIW</v>
      </c>
      <c r="X455" t="str">
        <f>_xlfn.XLOOKUP(A455, Matches!A:A, Matches!J:J, "NA", 0)</f>
        <v>UPW</v>
      </c>
      <c r="Y455" t="str">
        <f>_xlfn.XLOOKUP(A455, Matches!A:A, Matches!F:F, "NA", 0)</f>
        <v>Dr DY Patil Sports </v>
      </c>
      <c r="Z455" cm="1">
        <f t="array" ref="Z455">INDEX(Innings!F:F,MATCH(1,(TRIM(Innings!A:A)=TRIM(A455))*(TRIM(Innings!D:D)=TRIM(E455)),0))</f>
        <v>110</v>
      </c>
      <c r="AA455" cm="1">
        <f t="array" ref="AA455">INDEX(Innings!I:I,MATCH(1,(TRIM(Innings!A:A)=TRIM(A455))*(TRIM(Innings!D:D)=TRIM(E455)),0))</f>
        <v>6.23</v>
      </c>
      <c r="AB455" cm="1">
        <f t="array" ref="AB455">INDEX(Innings!J:J,MATCH(1,(TRIM(Innings!A:A)=TRIM(A455))*(TRIM(Innings!D:D)=TRIM(E455)),0))</f>
        <v>46</v>
      </c>
      <c r="AC455" cm="1">
        <f t="array" ref="AC455">INDEX(Innings!N:N,MATCH(1,(TRIM(Innings!A:A)=TRIM(A455))*(TRIM(Innings!D:D)=TRIM(E455)),0))</f>
        <v>6</v>
      </c>
      <c r="AD455" cm="1">
        <f t="array" ref="AD455">INDEX(Innings!S:S,MATCH(1,(TRIM(Innings!A:A)=TRIM(A455))*(TRIM(Innings!D:D)=TRIM(E455)),0))</f>
        <v>61</v>
      </c>
      <c r="AE455" t="str" cm="1">
        <f t="array" ref="AE455">INDEX(Innings!W:W,MATCH(1,(TRIM(Innings!A:A)=TRIM(A455))*(TRIM(Innings!D:D)=TRIM(E455)),0))</f>
        <v>Failed</v>
      </c>
      <c r="AF455">
        <f>IF(UPPER(TRIM(E455))=UPPER(TRIM(W455)),1,0)</f>
        <v>0</v>
      </c>
      <c r="AG455">
        <f t="shared" si="15"/>
        <v>28.465</v>
      </c>
    </row>
    <row r="456" spans="1:33" x14ac:dyDescent="0.3">
      <c r="A456" t="s">
        <v>154</v>
      </c>
      <c r="B456">
        <v>1</v>
      </c>
      <c r="C456" t="s">
        <v>222</v>
      </c>
      <c r="D456" t="s">
        <v>223</v>
      </c>
      <c r="E456" t="s">
        <v>219</v>
      </c>
      <c r="F456" t="s">
        <v>169</v>
      </c>
      <c r="G456" t="s">
        <v>92</v>
      </c>
      <c r="H456">
        <v>7</v>
      </c>
      <c r="I456">
        <v>6</v>
      </c>
      <c r="J456">
        <v>116.67</v>
      </c>
      <c r="K456" t="s">
        <v>256</v>
      </c>
      <c r="L456">
        <v>8.67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 s="8">
        <v>8.67</v>
      </c>
      <c r="V456" s="8">
        <f t="shared" si="14"/>
        <v>1</v>
      </c>
      <c r="W456" t="str">
        <f>_xlfn.XLOOKUP(A456, Matches!A:A, Matches!L:L, "NA", 0)</f>
        <v>MIW</v>
      </c>
      <c r="X456" t="str">
        <f>_xlfn.XLOOKUP(A456, Matches!A:A, Matches!J:J, "NA", 0)</f>
        <v>UPW</v>
      </c>
      <c r="Y456" t="str">
        <f>_xlfn.XLOOKUP(A456, Matches!A:A, Matches!F:F, "NA", 0)</f>
        <v>Dr DY Patil Sports </v>
      </c>
      <c r="Z456" cm="1">
        <f t="array" ref="Z456">INDEX(Innings!F:F,MATCH(1,(TRIM(Innings!A:A)=TRIM(A456))*(TRIM(Innings!D:D)=TRIM(E456)),0))</f>
        <v>110</v>
      </c>
      <c r="AA456" cm="1">
        <f t="array" ref="AA456">INDEX(Innings!I:I,MATCH(1,(TRIM(Innings!A:A)=TRIM(A456))*(TRIM(Innings!D:D)=TRIM(E456)),0))</f>
        <v>6.23</v>
      </c>
      <c r="AB456" cm="1">
        <f t="array" ref="AB456">INDEX(Innings!J:J,MATCH(1,(TRIM(Innings!A:A)=TRIM(A456))*(TRIM(Innings!D:D)=TRIM(E456)),0))</f>
        <v>46</v>
      </c>
      <c r="AC456" cm="1">
        <f t="array" ref="AC456">INDEX(Innings!N:N,MATCH(1,(TRIM(Innings!A:A)=TRIM(A456))*(TRIM(Innings!D:D)=TRIM(E456)),0))</f>
        <v>6</v>
      </c>
      <c r="AD456" cm="1">
        <f t="array" ref="AD456">INDEX(Innings!S:S,MATCH(1,(TRIM(Innings!A:A)=TRIM(A456))*(TRIM(Innings!D:D)=TRIM(E456)),0))</f>
        <v>61</v>
      </c>
      <c r="AE456" t="str" cm="1">
        <f t="array" ref="AE456">INDEX(Innings!W:W,MATCH(1,(TRIM(Innings!A:A)=TRIM(A456))*(TRIM(Innings!D:D)=TRIM(E456)),0))</f>
        <v>Failed</v>
      </c>
      <c r="AF456">
        <f>IF(UPPER(TRIM(E456))=UPPER(TRIM(W456)),1,0)</f>
        <v>0</v>
      </c>
      <c r="AG456">
        <f t="shared" si="15"/>
        <v>4.6349999999999998</v>
      </c>
    </row>
    <row r="457" spans="1:33" x14ac:dyDescent="0.3">
      <c r="A457" t="s">
        <v>154</v>
      </c>
      <c r="B457">
        <v>1</v>
      </c>
      <c r="C457" t="s">
        <v>226</v>
      </c>
      <c r="D457" t="s">
        <v>211</v>
      </c>
      <c r="E457" t="s">
        <v>219</v>
      </c>
      <c r="F457" t="s">
        <v>169</v>
      </c>
      <c r="G457" t="s">
        <v>134</v>
      </c>
      <c r="H457">
        <v>14</v>
      </c>
      <c r="I457">
        <v>12</v>
      </c>
      <c r="J457">
        <v>116.67</v>
      </c>
      <c r="K457" t="s">
        <v>246</v>
      </c>
      <c r="L457">
        <v>20.67</v>
      </c>
      <c r="M457">
        <v>3</v>
      </c>
      <c r="N457">
        <v>0</v>
      </c>
      <c r="O457">
        <v>20</v>
      </c>
      <c r="P457">
        <v>0</v>
      </c>
      <c r="Q457">
        <v>6.67</v>
      </c>
      <c r="R457">
        <v>-13.34</v>
      </c>
      <c r="S457">
        <v>0</v>
      </c>
      <c r="T457">
        <v>0</v>
      </c>
      <c r="U457" s="8">
        <v>7.33</v>
      </c>
      <c r="V457" s="8">
        <f t="shared" si="14"/>
        <v>1</v>
      </c>
      <c r="W457" t="str">
        <f>_xlfn.XLOOKUP(A457, Matches!A:A, Matches!L:L, "NA", 0)</f>
        <v>MIW</v>
      </c>
      <c r="X457" t="str">
        <f>_xlfn.XLOOKUP(A457, Matches!A:A, Matches!J:J, "NA", 0)</f>
        <v>UPW</v>
      </c>
      <c r="Y457" t="str">
        <f>_xlfn.XLOOKUP(A457, Matches!A:A, Matches!F:F, "NA", 0)</f>
        <v>Dr DY Patil Sports </v>
      </c>
      <c r="Z457" cm="1">
        <f t="array" ref="Z457">INDEX(Innings!F:F,MATCH(1,(TRIM(Innings!A:A)=TRIM(A457))*(TRIM(Innings!D:D)=TRIM(E457)),0))</f>
        <v>110</v>
      </c>
      <c r="AA457" cm="1">
        <f t="array" ref="AA457">INDEX(Innings!I:I,MATCH(1,(TRIM(Innings!A:A)=TRIM(A457))*(TRIM(Innings!D:D)=TRIM(E457)),0))</f>
        <v>6.23</v>
      </c>
      <c r="AB457" cm="1">
        <f t="array" ref="AB457">INDEX(Innings!J:J,MATCH(1,(TRIM(Innings!A:A)=TRIM(A457))*(TRIM(Innings!D:D)=TRIM(E457)),0))</f>
        <v>46</v>
      </c>
      <c r="AC457" cm="1">
        <f t="array" ref="AC457">INDEX(Innings!N:N,MATCH(1,(TRIM(Innings!A:A)=TRIM(A457))*(TRIM(Innings!D:D)=TRIM(E457)),0))</f>
        <v>6</v>
      </c>
      <c r="AD457" cm="1">
        <f t="array" ref="AD457">INDEX(Innings!S:S,MATCH(1,(TRIM(Innings!A:A)=TRIM(A457))*(TRIM(Innings!D:D)=TRIM(E457)),0))</f>
        <v>61</v>
      </c>
      <c r="AE457" t="str" cm="1">
        <f t="array" ref="AE457">INDEX(Innings!W:W,MATCH(1,(TRIM(Innings!A:A)=TRIM(A457))*(TRIM(Innings!D:D)=TRIM(E457)),0))</f>
        <v>Failed</v>
      </c>
      <c r="AF457">
        <f>IF(UPPER(TRIM(E457))=UPPER(TRIM(W457)),1,0)</f>
        <v>0</v>
      </c>
      <c r="AG457">
        <f t="shared" si="15"/>
        <v>3.9649999999999999</v>
      </c>
    </row>
    <row r="458" spans="1:33" x14ac:dyDescent="0.3">
      <c r="A458" t="s">
        <v>154</v>
      </c>
      <c r="B458">
        <v>1</v>
      </c>
      <c r="C458" t="s">
        <v>224</v>
      </c>
      <c r="D458" t="s">
        <v>225</v>
      </c>
      <c r="E458" t="s">
        <v>219</v>
      </c>
      <c r="F458" t="s">
        <v>169</v>
      </c>
      <c r="G458" t="s">
        <v>134</v>
      </c>
      <c r="H458">
        <v>16</v>
      </c>
      <c r="I458">
        <v>20</v>
      </c>
      <c r="J458">
        <v>80</v>
      </c>
      <c r="K458" t="s">
        <v>246</v>
      </c>
      <c r="L458">
        <v>19</v>
      </c>
      <c r="M458">
        <v>4</v>
      </c>
      <c r="N458">
        <v>0</v>
      </c>
      <c r="O458">
        <v>39</v>
      </c>
      <c r="P458">
        <v>0</v>
      </c>
      <c r="Q458">
        <v>9.75</v>
      </c>
      <c r="R458">
        <v>-19.5</v>
      </c>
      <c r="S458">
        <v>0</v>
      </c>
      <c r="T458">
        <v>0</v>
      </c>
      <c r="U458" s="8">
        <v>-0.5</v>
      </c>
      <c r="V458" s="8">
        <f t="shared" si="14"/>
        <v>0</v>
      </c>
      <c r="W458" t="str">
        <f>_xlfn.XLOOKUP(A458, Matches!A:A, Matches!L:L, "NA", 0)</f>
        <v>MIW</v>
      </c>
      <c r="X458" t="str">
        <f>_xlfn.XLOOKUP(A458, Matches!A:A, Matches!J:J, "NA", 0)</f>
        <v>UPW</v>
      </c>
      <c r="Y458" t="str">
        <f>_xlfn.XLOOKUP(A458, Matches!A:A, Matches!F:F, "NA", 0)</f>
        <v>Dr DY Patil Sports </v>
      </c>
      <c r="Z458" cm="1">
        <f t="array" ref="Z458">INDEX(Innings!F:F,MATCH(1,(TRIM(Innings!A:A)=TRIM(A458))*(TRIM(Innings!D:D)=TRIM(E458)),0))</f>
        <v>110</v>
      </c>
      <c r="AA458" cm="1">
        <f t="array" ref="AA458">INDEX(Innings!I:I,MATCH(1,(TRIM(Innings!A:A)=TRIM(A458))*(TRIM(Innings!D:D)=TRIM(E458)),0))</f>
        <v>6.23</v>
      </c>
      <c r="AB458" cm="1">
        <f t="array" ref="AB458">INDEX(Innings!J:J,MATCH(1,(TRIM(Innings!A:A)=TRIM(A458))*(TRIM(Innings!D:D)=TRIM(E458)),0))</f>
        <v>46</v>
      </c>
      <c r="AC458" cm="1">
        <f t="array" ref="AC458">INDEX(Innings!N:N,MATCH(1,(TRIM(Innings!A:A)=TRIM(A458))*(TRIM(Innings!D:D)=TRIM(E458)),0))</f>
        <v>6</v>
      </c>
      <c r="AD458" cm="1">
        <f t="array" ref="AD458">INDEX(Innings!S:S,MATCH(1,(TRIM(Innings!A:A)=TRIM(A458))*(TRIM(Innings!D:D)=TRIM(E458)),0))</f>
        <v>61</v>
      </c>
      <c r="AE458" t="str" cm="1">
        <f t="array" ref="AE458">INDEX(Innings!W:W,MATCH(1,(TRIM(Innings!A:A)=TRIM(A458))*(TRIM(Innings!D:D)=TRIM(E458)),0))</f>
        <v>Failed</v>
      </c>
      <c r="AF458">
        <f>IF(UPPER(TRIM(E458))=UPPER(TRIM(W458)),1,0)</f>
        <v>0</v>
      </c>
      <c r="AG458">
        <f t="shared" si="15"/>
        <v>0</v>
      </c>
    </row>
    <row r="459" spans="1:33" x14ac:dyDescent="0.3">
      <c r="A459" t="s">
        <v>154</v>
      </c>
      <c r="B459">
        <v>1</v>
      </c>
      <c r="C459" t="s">
        <v>227</v>
      </c>
      <c r="D459" t="s">
        <v>228</v>
      </c>
      <c r="E459" t="s">
        <v>219</v>
      </c>
      <c r="F459" t="s">
        <v>109</v>
      </c>
      <c r="G459" t="s">
        <v>134</v>
      </c>
      <c r="H459">
        <v>0</v>
      </c>
      <c r="I459">
        <v>1</v>
      </c>
      <c r="J459">
        <v>0</v>
      </c>
      <c r="K459" t="s">
        <v>245</v>
      </c>
      <c r="L459">
        <v>-5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 s="8">
        <v>-5</v>
      </c>
      <c r="V459" s="8">
        <f t="shared" si="14"/>
        <v>0</v>
      </c>
      <c r="W459" t="str">
        <f>_xlfn.XLOOKUP(A459, Matches!A:A, Matches!L:L, "NA", 0)</f>
        <v>MIW</v>
      </c>
      <c r="X459" t="str">
        <f>_xlfn.XLOOKUP(A459, Matches!A:A, Matches!J:J, "NA", 0)</f>
        <v>UPW</v>
      </c>
      <c r="Y459" t="str">
        <f>_xlfn.XLOOKUP(A459, Matches!A:A, Matches!F:F, "NA", 0)</f>
        <v>Dr DY Patil Sports </v>
      </c>
      <c r="Z459" cm="1">
        <f t="array" ref="Z459">INDEX(Innings!F:F,MATCH(1,(TRIM(Innings!A:A)=TRIM(A459))*(TRIM(Innings!D:D)=TRIM(E459)),0))</f>
        <v>110</v>
      </c>
      <c r="AA459" cm="1">
        <f t="array" ref="AA459">INDEX(Innings!I:I,MATCH(1,(TRIM(Innings!A:A)=TRIM(A459))*(TRIM(Innings!D:D)=TRIM(E459)),0))</f>
        <v>6.23</v>
      </c>
      <c r="AB459" cm="1">
        <f t="array" ref="AB459">INDEX(Innings!J:J,MATCH(1,(TRIM(Innings!A:A)=TRIM(A459))*(TRIM(Innings!D:D)=TRIM(E459)),0))</f>
        <v>46</v>
      </c>
      <c r="AC459" cm="1">
        <f t="array" ref="AC459">INDEX(Innings!N:N,MATCH(1,(TRIM(Innings!A:A)=TRIM(A459))*(TRIM(Innings!D:D)=TRIM(E459)),0))</f>
        <v>6</v>
      </c>
      <c r="AD459" cm="1">
        <f t="array" ref="AD459">INDEX(Innings!S:S,MATCH(1,(TRIM(Innings!A:A)=TRIM(A459))*(TRIM(Innings!D:D)=TRIM(E459)),0))</f>
        <v>61</v>
      </c>
      <c r="AE459" t="str" cm="1">
        <f t="array" ref="AE459">INDEX(Innings!W:W,MATCH(1,(TRIM(Innings!A:A)=TRIM(A459))*(TRIM(Innings!D:D)=TRIM(E459)),0))</f>
        <v>Failed</v>
      </c>
      <c r="AF459">
        <f>IF(UPPER(TRIM(E459))=UPPER(TRIM(W459)),1,0)</f>
        <v>0</v>
      </c>
      <c r="AG459">
        <f t="shared" si="15"/>
        <v>0</v>
      </c>
    </row>
    <row r="460" spans="1:33" x14ac:dyDescent="0.3">
      <c r="A460" t="s">
        <v>154</v>
      </c>
      <c r="B460">
        <v>1</v>
      </c>
      <c r="C460" t="s">
        <v>233</v>
      </c>
      <c r="D460" t="s">
        <v>234</v>
      </c>
      <c r="E460" t="s">
        <v>219</v>
      </c>
      <c r="F460" t="s">
        <v>101</v>
      </c>
      <c r="G460" t="s">
        <v>134</v>
      </c>
      <c r="H460">
        <v>0</v>
      </c>
      <c r="I460">
        <v>1</v>
      </c>
      <c r="J460">
        <v>0</v>
      </c>
      <c r="K460" t="s">
        <v>245</v>
      </c>
      <c r="L460">
        <v>-5</v>
      </c>
      <c r="M460">
        <v>4</v>
      </c>
      <c r="N460">
        <v>0</v>
      </c>
      <c r="O460">
        <v>39</v>
      </c>
      <c r="P460">
        <v>2</v>
      </c>
      <c r="Q460">
        <v>9.75</v>
      </c>
      <c r="R460">
        <v>20.5</v>
      </c>
      <c r="S460">
        <v>0</v>
      </c>
      <c r="T460">
        <v>0</v>
      </c>
      <c r="U460" s="8">
        <v>15.5</v>
      </c>
      <c r="V460" s="8">
        <f t="shared" si="14"/>
        <v>2</v>
      </c>
      <c r="W460" t="str">
        <f>_xlfn.XLOOKUP(A460, Matches!A:A, Matches!L:L, "NA", 0)</f>
        <v>MIW</v>
      </c>
      <c r="X460" t="str">
        <f>_xlfn.XLOOKUP(A460, Matches!A:A, Matches!J:J, "NA", 0)</f>
        <v>UPW</v>
      </c>
      <c r="Y460" t="str">
        <f>_xlfn.XLOOKUP(A460, Matches!A:A, Matches!F:F, "NA", 0)</f>
        <v>Dr DY Patil Sports </v>
      </c>
      <c r="Z460" cm="1">
        <f t="array" ref="Z460">INDEX(Innings!F:F,MATCH(1,(TRIM(Innings!A:A)=TRIM(A460))*(TRIM(Innings!D:D)=TRIM(E460)),0))</f>
        <v>110</v>
      </c>
      <c r="AA460" cm="1">
        <f t="array" ref="AA460">INDEX(Innings!I:I,MATCH(1,(TRIM(Innings!A:A)=TRIM(A460))*(TRIM(Innings!D:D)=TRIM(E460)),0))</f>
        <v>6.23</v>
      </c>
      <c r="AB460" cm="1">
        <f t="array" ref="AB460">INDEX(Innings!J:J,MATCH(1,(TRIM(Innings!A:A)=TRIM(A460))*(TRIM(Innings!D:D)=TRIM(E460)),0))</f>
        <v>46</v>
      </c>
      <c r="AC460" cm="1">
        <f t="array" ref="AC460">INDEX(Innings!N:N,MATCH(1,(TRIM(Innings!A:A)=TRIM(A460))*(TRIM(Innings!D:D)=TRIM(E460)),0))</f>
        <v>6</v>
      </c>
      <c r="AD460" cm="1">
        <f t="array" ref="AD460">INDEX(Innings!S:S,MATCH(1,(TRIM(Innings!A:A)=TRIM(A460))*(TRIM(Innings!D:D)=TRIM(E460)),0))</f>
        <v>61</v>
      </c>
      <c r="AE460" t="str" cm="1">
        <f t="array" ref="AE460">INDEX(Innings!W:W,MATCH(1,(TRIM(Innings!A:A)=TRIM(A460))*(TRIM(Innings!D:D)=TRIM(E460)),0))</f>
        <v>Failed</v>
      </c>
      <c r="AF460">
        <f>IF(UPPER(TRIM(E460))=UPPER(TRIM(W460)),1,0)</f>
        <v>0</v>
      </c>
      <c r="AG460">
        <f t="shared" si="15"/>
        <v>8.35</v>
      </c>
    </row>
    <row r="461" spans="1:33" x14ac:dyDescent="0.3">
      <c r="A461" t="s">
        <v>154</v>
      </c>
      <c r="B461">
        <v>1</v>
      </c>
      <c r="C461" t="s">
        <v>235</v>
      </c>
      <c r="D461" t="s">
        <v>236</v>
      </c>
      <c r="E461" t="s">
        <v>219</v>
      </c>
      <c r="F461" t="s">
        <v>101</v>
      </c>
      <c r="G461" t="s">
        <v>134</v>
      </c>
      <c r="H461">
        <v>5</v>
      </c>
      <c r="I461">
        <v>11</v>
      </c>
      <c r="J461">
        <v>45.45</v>
      </c>
      <c r="K461" t="s">
        <v>245</v>
      </c>
      <c r="L461">
        <v>4.55</v>
      </c>
      <c r="M461">
        <v>3</v>
      </c>
      <c r="N461">
        <v>0</v>
      </c>
      <c r="O461">
        <v>17</v>
      </c>
      <c r="P461">
        <v>1</v>
      </c>
      <c r="Q461">
        <v>5.67</v>
      </c>
      <c r="R461">
        <v>8.66</v>
      </c>
      <c r="S461">
        <v>0</v>
      </c>
      <c r="T461">
        <v>0</v>
      </c>
      <c r="U461" s="8">
        <v>13.21</v>
      </c>
      <c r="V461" s="8">
        <f t="shared" si="14"/>
        <v>1</v>
      </c>
      <c r="W461" t="str">
        <f>_xlfn.XLOOKUP(A461, Matches!A:A, Matches!L:L, "NA", 0)</f>
        <v>MIW</v>
      </c>
      <c r="X461" t="str">
        <f>_xlfn.XLOOKUP(A461, Matches!A:A, Matches!J:J, "NA", 0)</f>
        <v>UPW</v>
      </c>
      <c r="Y461" t="str">
        <f>_xlfn.XLOOKUP(A461, Matches!A:A, Matches!F:F, "NA", 0)</f>
        <v>Dr DY Patil Sports </v>
      </c>
      <c r="Z461" cm="1">
        <f t="array" ref="Z461">INDEX(Innings!F:F,MATCH(1,(TRIM(Innings!A:A)=TRIM(A461))*(TRIM(Innings!D:D)=TRIM(E461)),0))</f>
        <v>110</v>
      </c>
      <c r="AA461" cm="1">
        <f t="array" ref="AA461">INDEX(Innings!I:I,MATCH(1,(TRIM(Innings!A:A)=TRIM(A461))*(TRIM(Innings!D:D)=TRIM(E461)),0))</f>
        <v>6.23</v>
      </c>
      <c r="AB461" cm="1">
        <f t="array" ref="AB461">INDEX(Innings!J:J,MATCH(1,(TRIM(Innings!A:A)=TRIM(A461))*(TRIM(Innings!D:D)=TRIM(E461)),0))</f>
        <v>46</v>
      </c>
      <c r="AC461" cm="1">
        <f t="array" ref="AC461">INDEX(Innings!N:N,MATCH(1,(TRIM(Innings!A:A)=TRIM(A461))*(TRIM(Innings!D:D)=TRIM(E461)),0))</f>
        <v>6</v>
      </c>
      <c r="AD461" cm="1">
        <f t="array" ref="AD461">INDEX(Innings!S:S,MATCH(1,(TRIM(Innings!A:A)=TRIM(A461))*(TRIM(Innings!D:D)=TRIM(E461)),0))</f>
        <v>61</v>
      </c>
      <c r="AE461" t="str" cm="1">
        <f t="array" ref="AE461">INDEX(Innings!W:W,MATCH(1,(TRIM(Innings!A:A)=TRIM(A461))*(TRIM(Innings!D:D)=TRIM(E461)),0))</f>
        <v>Failed</v>
      </c>
      <c r="AF461">
        <f>IF(UPPER(TRIM(E461))=UPPER(TRIM(W461)),1,0)</f>
        <v>0</v>
      </c>
      <c r="AG461">
        <f t="shared" si="15"/>
        <v>6.9050000000000002</v>
      </c>
    </row>
    <row r="462" spans="1:33" x14ac:dyDescent="0.3">
      <c r="A462" t="s">
        <v>154</v>
      </c>
      <c r="B462">
        <v>1</v>
      </c>
      <c r="C462" t="s">
        <v>237</v>
      </c>
      <c r="D462" t="s">
        <v>238</v>
      </c>
      <c r="E462" t="s">
        <v>219</v>
      </c>
      <c r="F462" t="s">
        <v>101</v>
      </c>
      <c r="G462" t="s">
        <v>134</v>
      </c>
      <c r="H462">
        <v>5</v>
      </c>
      <c r="I462">
        <v>9</v>
      </c>
      <c r="J462">
        <v>55.56</v>
      </c>
      <c r="K462" t="s">
        <v>247</v>
      </c>
      <c r="L462">
        <v>5.56</v>
      </c>
      <c r="M462">
        <v>4</v>
      </c>
      <c r="N462">
        <v>0</v>
      </c>
      <c r="O462">
        <v>36</v>
      </c>
      <c r="P462">
        <v>0</v>
      </c>
      <c r="Q462">
        <v>9</v>
      </c>
      <c r="R462">
        <v>-18</v>
      </c>
      <c r="S462">
        <v>0</v>
      </c>
      <c r="T462">
        <v>0</v>
      </c>
      <c r="U462" s="8">
        <v>-12.44</v>
      </c>
      <c r="V462" s="8">
        <f t="shared" si="14"/>
        <v>0</v>
      </c>
      <c r="W462" t="str">
        <f>_xlfn.XLOOKUP(A462, Matches!A:A, Matches!L:L, "NA", 0)</f>
        <v>MIW</v>
      </c>
      <c r="X462" t="str">
        <f>_xlfn.XLOOKUP(A462, Matches!A:A, Matches!J:J, "NA", 0)</f>
        <v>UPW</v>
      </c>
      <c r="Y462" t="str">
        <f>_xlfn.XLOOKUP(A462, Matches!A:A, Matches!F:F, "NA", 0)</f>
        <v>Dr DY Patil Sports </v>
      </c>
      <c r="Z462" cm="1">
        <f t="array" ref="Z462">INDEX(Innings!F:F,MATCH(1,(TRIM(Innings!A:A)=TRIM(A462))*(TRIM(Innings!D:D)=TRIM(E462)),0))</f>
        <v>110</v>
      </c>
      <c r="AA462" cm="1">
        <f t="array" ref="AA462">INDEX(Innings!I:I,MATCH(1,(TRIM(Innings!A:A)=TRIM(A462))*(TRIM(Innings!D:D)=TRIM(E462)),0))</f>
        <v>6.23</v>
      </c>
      <c r="AB462" cm="1">
        <f t="array" ref="AB462">INDEX(Innings!J:J,MATCH(1,(TRIM(Innings!A:A)=TRIM(A462))*(TRIM(Innings!D:D)=TRIM(E462)),0))</f>
        <v>46</v>
      </c>
      <c r="AC462" cm="1">
        <f t="array" ref="AC462">INDEX(Innings!N:N,MATCH(1,(TRIM(Innings!A:A)=TRIM(A462))*(TRIM(Innings!D:D)=TRIM(E462)),0))</f>
        <v>6</v>
      </c>
      <c r="AD462" cm="1">
        <f t="array" ref="AD462">INDEX(Innings!S:S,MATCH(1,(TRIM(Innings!A:A)=TRIM(A462))*(TRIM(Innings!D:D)=TRIM(E462)),0))</f>
        <v>61</v>
      </c>
      <c r="AE462" t="str" cm="1">
        <f t="array" ref="AE462">INDEX(Innings!W:W,MATCH(1,(TRIM(Innings!A:A)=TRIM(A462))*(TRIM(Innings!D:D)=TRIM(E462)),0))</f>
        <v>Failed</v>
      </c>
      <c r="AF462">
        <f>IF(UPPER(TRIM(E462))=UPPER(TRIM(W462)),1,0)</f>
        <v>0</v>
      </c>
      <c r="AG462">
        <f t="shared" si="15"/>
        <v>0</v>
      </c>
    </row>
    <row r="463" spans="1:33" x14ac:dyDescent="0.3">
      <c r="A463" t="s">
        <v>154</v>
      </c>
      <c r="B463">
        <v>1</v>
      </c>
      <c r="C463" t="s">
        <v>314</v>
      </c>
      <c r="D463" t="s">
        <v>315</v>
      </c>
      <c r="E463" t="s">
        <v>219</v>
      </c>
      <c r="F463" t="s">
        <v>169</v>
      </c>
      <c r="G463" t="s">
        <v>135</v>
      </c>
      <c r="H463">
        <v>0</v>
      </c>
      <c r="I463">
        <v>5</v>
      </c>
      <c r="J463">
        <v>0</v>
      </c>
      <c r="K463" t="s">
        <v>96</v>
      </c>
      <c r="L463">
        <v>0</v>
      </c>
      <c r="M463">
        <v>2</v>
      </c>
      <c r="N463">
        <v>0</v>
      </c>
      <c r="O463">
        <v>25</v>
      </c>
      <c r="P463">
        <v>1</v>
      </c>
      <c r="Q463">
        <v>12.5</v>
      </c>
      <c r="R463">
        <v>-5</v>
      </c>
      <c r="S463">
        <v>0</v>
      </c>
      <c r="T463">
        <v>0</v>
      </c>
      <c r="U463" s="8">
        <v>-5</v>
      </c>
      <c r="V463" s="8">
        <f t="shared" si="14"/>
        <v>0</v>
      </c>
      <c r="W463" t="str">
        <f>_xlfn.XLOOKUP(A463, Matches!A:A, Matches!L:L, "NA", 0)</f>
        <v>MIW</v>
      </c>
      <c r="X463" t="str">
        <f>_xlfn.XLOOKUP(A463, Matches!A:A, Matches!J:J, "NA", 0)</f>
        <v>UPW</v>
      </c>
      <c r="Y463" t="str">
        <f>_xlfn.XLOOKUP(A463, Matches!A:A, Matches!F:F, "NA", 0)</f>
        <v>Dr DY Patil Sports </v>
      </c>
      <c r="Z463" cm="1">
        <f t="array" ref="Z463">INDEX(Innings!F:F,MATCH(1,(TRIM(Innings!A:A)=TRIM(A463))*(TRIM(Innings!D:D)=TRIM(E463)),0))</f>
        <v>110</v>
      </c>
      <c r="AA463" cm="1">
        <f t="array" ref="AA463">INDEX(Innings!I:I,MATCH(1,(TRIM(Innings!A:A)=TRIM(A463))*(TRIM(Innings!D:D)=TRIM(E463)),0))</f>
        <v>6.23</v>
      </c>
      <c r="AB463" cm="1">
        <f t="array" ref="AB463">INDEX(Innings!J:J,MATCH(1,(TRIM(Innings!A:A)=TRIM(A463))*(TRIM(Innings!D:D)=TRIM(E463)),0))</f>
        <v>46</v>
      </c>
      <c r="AC463" cm="1">
        <f t="array" ref="AC463">INDEX(Innings!N:N,MATCH(1,(TRIM(Innings!A:A)=TRIM(A463))*(TRIM(Innings!D:D)=TRIM(E463)),0))</f>
        <v>6</v>
      </c>
      <c r="AD463" cm="1">
        <f t="array" ref="AD463">INDEX(Innings!S:S,MATCH(1,(TRIM(Innings!A:A)=TRIM(A463))*(TRIM(Innings!D:D)=TRIM(E463)),0))</f>
        <v>61</v>
      </c>
      <c r="AE463" t="str" cm="1">
        <f t="array" ref="AE463">INDEX(Innings!W:W,MATCH(1,(TRIM(Innings!A:A)=TRIM(A463))*(TRIM(Innings!D:D)=TRIM(E463)),0))</f>
        <v>Failed</v>
      </c>
      <c r="AF463">
        <f>IF(UPPER(TRIM(E463))=UPPER(TRIM(W463)),1,0)</f>
        <v>0</v>
      </c>
      <c r="AG463">
        <f t="shared" si="15"/>
        <v>0</v>
      </c>
    </row>
    <row r="464" spans="1:33" x14ac:dyDescent="0.3">
      <c r="A464" t="s">
        <v>327</v>
      </c>
      <c r="B464">
        <v>1</v>
      </c>
      <c r="C464" t="s">
        <v>190</v>
      </c>
      <c r="D464" t="s">
        <v>191</v>
      </c>
      <c r="E464" t="s">
        <v>158</v>
      </c>
      <c r="F464" t="s">
        <v>109</v>
      </c>
      <c r="G464" t="s">
        <v>86</v>
      </c>
      <c r="H464">
        <v>35</v>
      </c>
      <c r="I464">
        <v>29</v>
      </c>
      <c r="J464">
        <v>120.69</v>
      </c>
      <c r="K464" t="s">
        <v>256</v>
      </c>
      <c r="L464">
        <v>42.07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 s="8">
        <v>42.07</v>
      </c>
      <c r="V464" s="8">
        <f t="shared" si="14"/>
        <v>4</v>
      </c>
      <c r="W464" t="str">
        <f>_xlfn.XLOOKUP(A464, Matches!A:A, Matches!L:L, "NA", 0)</f>
        <v>MIW</v>
      </c>
      <c r="X464" t="str">
        <f>_xlfn.XLOOKUP(A464, Matches!A:A, Matches!J:J, "NA", 0)</f>
        <v>DCW</v>
      </c>
      <c r="Y464" t="str">
        <f>_xlfn.XLOOKUP(A464, Matches!A:A, Matches!F:F, "NA", 0)</f>
        <v>Brabourne Stadium</v>
      </c>
      <c r="Z464" cm="1">
        <f t="array" ref="Z464">INDEX(Innings!F:F,MATCH(1,(TRIM(Innings!A:A)=TRIM(A464))*(TRIM(Innings!D:D)=TRIM(E464)),0))</f>
        <v>131</v>
      </c>
      <c r="AA464" cm="1">
        <f t="array" ref="AA464">INDEX(Innings!I:I,MATCH(1,(TRIM(Innings!A:A)=TRIM(A464))*(TRIM(Innings!D:D)=TRIM(E464)),0))</f>
        <v>6.55</v>
      </c>
      <c r="AB464" cm="1">
        <f t="array" ref="AB464">INDEX(Innings!J:J,MATCH(1,(TRIM(Innings!A:A)=TRIM(A464))*(TRIM(Innings!D:D)=TRIM(E464)),0))</f>
        <v>38</v>
      </c>
      <c r="AC464" cm="1">
        <f t="array" ref="AC464">INDEX(Innings!N:N,MATCH(1,(TRIM(Innings!A:A)=TRIM(A464))*(TRIM(Innings!D:D)=TRIM(E464)),0))</f>
        <v>52</v>
      </c>
      <c r="AD464" cm="1">
        <f t="array" ref="AD464">INDEX(Innings!S:S,MATCH(1,(TRIM(Innings!A:A)=TRIM(A464))*(TRIM(Innings!D:D)=TRIM(E464)),0))</f>
        <v>57</v>
      </c>
      <c r="AE464" t="str" cm="1">
        <f t="array" ref="AE464">INDEX(Innings!W:W,MATCH(1,(TRIM(Innings!A:A)=TRIM(A464))*(TRIM(Innings!D:D)=TRIM(E464)),0))</f>
        <v>NA</v>
      </c>
      <c r="AF464">
        <f>IF(UPPER(TRIM(E464))=UPPER(TRIM(W464)),1,0)</f>
        <v>0</v>
      </c>
      <c r="AG464">
        <f t="shared" si="15"/>
        <v>22.234999999999999</v>
      </c>
    </row>
    <row r="465" spans="1:33" x14ac:dyDescent="0.3">
      <c r="A465" t="s">
        <v>327</v>
      </c>
      <c r="B465">
        <v>1</v>
      </c>
      <c r="C465" t="s">
        <v>188</v>
      </c>
      <c r="D465" t="s">
        <v>189</v>
      </c>
      <c r="E465" t="s">
        <v>158</v>
      </c>
      <c r="F465" t="s">
        <v>109</v>
      </c>
      <c r="G465" t="s">
        <v>92</v>
      </c>
      <c r="H465">
        <v>11</v>
      </c>
      <c r="I465">
        <v>4</v>
      </c>
      <c r="J465">
        <v>275</v>
      </c>
      <c r="K465" t="s">
        <v>246</v>
      </c>
      <c r="L465">
        <v>33.5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 s="8">
        <v>33.5</v>
      </c>
      <c r="V465" s="8">
        <f t="shared" si="14"/>
        <v>3</v>
      </c>
      <c r="W465" t="str">
        <f>_xlfn.XLOOKUP(A465, Matches!A:A, Matches!L:L, "NA", 0)</f>
        <v>MIW</v>
      </c>
      <c r="X465" t="str">
        <f>_xlfn.XLOOKUP(A465, Matches!A:A, Matches!J:J, "NA", 0)</f>
        <v>DCW</v>
      </c>
      <c r="Y465" t="str">
        <f>_xlfn.XLOOKUP(A465, Matches!A:A, Matches!F:F, "NA", 0)</f>
        <v>Brabourne Stadium</v>
      </c>
      <c r="Z465" cm="1">
        <f t="array" ref="Z465">INDEX(Innings!F:F,MATCH(1,(TRIM(Innings!A:A)=TRIM(A465))*(TRIM(Innings!D:D)=TRIM(E465)),0))</f>
        <v>131</v>
      </c>
      <c r="AA465" cm="1">
        <f t="array" ref="AA465">INDEX(Innings!I:I,MATCH(1,(TRIM(Innings!A:A)=TRIM(A465))*(TRIM(Innings!D:D)=TRIM(E465)),0))</f>
        <v>6.55</v>
      </c>
      <c r="AB465" cm="1">
        <f t="array" ref="AB465">INDEX(Innings!J:J,MATCH(1,(TRIM(Innings!A:A)=TRIM(A465))*(TRIM(Innings!D:D)=TRIM(E465)),0))</f>
        <v>38</v>
      </c>
      <c r="AC465" cm="1">
        <f t="array" ref="AC465">INDEX(Innings!N:N,MATCH(1,(TRIM(Innings!A:A)=TRIM(A465))*(TRIM(Innings!D:D)=TRIM(E465)),0))</f>
        <v>52</v>
      </c>
      <c r="AD465" cm="1">
        <f t="array" ref="AD465">INDEX(Innings!S:S,MATCH(1,(TRIM(Innings!A:A)=TRIM(A465))*(TRIM(Innings!D:D)=TRIM(E465)),0))</f>
        <v>57</v>
      </c>
      <c r="AE465" t="str" cm="1">
        <f t="array" ref="AE465">INDEX(Innings!W:W,MATCH(1,(TRIM(Innings!A:A)=TRIM(A465))*(TRIM(Innings!D:D)=TRIM(E465)),0))</f>
        <v>NA</v>
      </c>
      <c r="AF465">
        <f>IF(UPPER(TRIM(E465))=UPPER(TRIM(W465)),1,0)</f>
        <v>0</v>
      </c>
      <c r="AG465">
        <f t="shared" si="15"/>
        <v>17.649999999999999</v>
      </c>
    </row>
    <row r="466" spans="1:33" x14ac:dyDescent="0.3">
      <c r="A466" t="s">
        <v>327</v>
      </c>
      <c r="B466">
        <v>1</v>
      </c>
      <c r="C466" t="s">
        <v>196</v>
      </c>
      <c r="D466" t="s">
        <v>197</v>
      </c>
      <c r="E466" t="s">
        <v>158</v>
      </c>
      <c r="F466" t="s">
        <v>109</v>
      </c>
      <c r="G466" t="s">
        <v>92</v>
      </c>
      <c r="H466">
        <v>0</v>
      </c>
      <c r="I466">
        <v>2</v>
      </c>
      <c r="J466">
        <v>0</v>
      </c>
      <c r="K466" t="s">
        <v>246</v>
      </c>
      <c r="L466">
        <v>-5</v>
      </c>
      <c r="M466">
        <v>3.3</v>
      </c>
      <c r="N466">
        <v>0</v>
      </c>
      <c r="O466">
        <v>34</v>
      </c>
      <c r="P466">
        <v>0</v>
      </c>
      <c r="Q466">
        <v>10.3</v>
      </c>
      <c r="R466">
        <v>-20.6</v>
      </c>
      <c r="S466">
        <v>0</v>
      </c>
      <c r="T466">
        <v>0</v>
      </c>
      <c r="U466" s="8">
        <v>-25.6</v>
      </c>
      <c r="V466" s="8">
        <f t="shared" si="14"/>
        <v>0</v>
      </c>
      <c r="W466" t="str">
        <f>_xlfn.XLOOKUP(A466, Matches!A:A, Matches!L:L, "NA", 0)</f>
        <v>MIW</v>
      </c>
      <c r="X466" t="str">
        <f>_xlfn.XLOOKUP(A466, Matches!A:A, Matches!J:J, "NA", 0)</f>
        <v>DCW</v>
      </c>
      <c r="Y466" t="str">
        <f>_xlfn.XLOOKUP(A466, Matches!A:A, Matches!F:F, "NA", 0)</f>
        <v>Brabourne Stadium</v>
      </c>
      <c r="Z466" cm="1">
        <f t="array" ref="Z466">INDEX(Innings!F:F,MATCH(1,(TRIM(Innings!A:A)=TRIM(A466))*(TRIM(Innings!D:D)=TRIM(E466)),0))</f>
        <v>131</v>
      </c>
      <c r="AA466" cm="1">
        <f t="array" ref="AA466">INDEX(Innings!I:I,MATCH(1,(TRIM(Innings!A:A)=TRIM(A466))*(TRIM(Innings!D:D)=TRIM(E466)),0))</f>
        <v>6.55</v>
      </c>
      <c r="AB466" cm="1">
        <f t="array" ref="AB466">INDEX(Innings!J:J,MATCH(1,(TRIM(Innings!A:A)=TRIM(A466))*(TRIM(Innings!D:D)=TRIM(E466)),0))</f>
        <v>38</v>
      </c>
      <c r="AC466" cm="1">
        <f t="array" ref="AC466">INDEX(Innings!N:N,MATCH(1,(TRIM(Innings!A:A)=TRIM(A466))*(TRIM(Innings!D:D)=TRIM(E466)),0))</f>
        <v>52</v>
      </c>
      <c r="AD466" cm="1">
        <f t="array" ref="AD466">INDEX(Innings!S:S,MATCH(1,(TRIM(Innings!A:A)=TRIM(A466))*(TRIM(Innings!D:D)=TRIM(E466)),0))</f>
        <v>57</v>
      </c>
      <c r="AE466" t="str" cm="1">
        <f t="array" ref="AE466">INDEX(Innings!W:W,MATCH(1,(TRIM(Innings!A:A)=TRIM(A466))*(TRIM(Innings!D:D)=TRIM(E466)),0))</f>
        <v>NA</v>
      </c>
      <c r="AF466">
        <f>IF(UPPER(TRIM(E466))=UPPER(TRIM(W466)),1,0)</f>
        <v>0</v>
      </c>
      <c r="AG466">
        <f t="shared" si="15"/>
        <v>0</v>
      </c>
    </row>
    <row r="467" spans="1:33" x14ac:dyDescent="0.3">
      <c r="A467" t="s">
        <v>327</v>
      </c>
      <c r="B467">
        <v>1</v>
      </c>
      <c r="C467" t="s">
        <v>194</v>
      </c>
      <c r="D467" t="s">
        <v>195</v>
      </c>
      <c r="E467" t="s">
        <v>158</v>
      </c>
      <c r="F467" t="s">
        <v>109</v>
      </c>
      <c r="G467" t="s">
        <v>134</v>
      </c>
      <c r="H467">
        <v>9</v>
      </c>
      <c r="I467">
        <v>8</v>
      </c>
      <c r="J467">
        <v>112.5</v>
      </c>
      <c r="K467" t="s">
        <v>246</v>
      </c>
      <c r="L467">
        <v>15.25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 s="8">
        <v>15.25</v>
      </c>
      <c r="V467" s="8">
        <f t="shared" si="14"/>
        <v>2</v>
      </c>
      <c r="W467" t="str">
        <f>_xlfn.XLOOKUP(A467, Matches!A:A, Matches!L:L, "NA", 0)</f>
        <v>MIW</v>
      </c>
      <c r="X467" t="str">
        <f>_xlfn.XLOOKUP(A467, Matches!A:A, Matches!J:J, "NA", 0)</f>
        <v>DCW</v>
      </c>
      <c r="Y467" t="str">
        <f>_xlfn.XLOOKUP(A467, Matches!A:A, Matches!F:F, "NA", 0)</f>
        <v>Brabourne Stadium</v>
      </c>
      <c r="Z467" cm="1">
        <f t="array" ref="Z467">INDEX(Innings!F:F,MATCH(1,(TRIM(Innings!A:A)=TRIM(A467))*(TRIM(Innings!D:D)=TRIM(E467)),0))</f>
        <v>131</v>
      </c>
      <c r="AA467" cm="1">
        <f t="array" ref="AA467">INDEX(Innings!I:I,MATCH(1,(TRIM(Innings!A:A)=TRIM(A467))*(TRIM(Innings!D:D)=TRIM(E467)),0))</f>
        <v>6.55</v>
      </c>
      <c r="AB467" cm="1">
        <f t="array" ref="AB467">INDEX(Innings!J:J,MATCH(1,(TRIM(Innings!A:A)=TRIM(A467))*(TRIM(Innings!D:D)=TRIM(E467)),0))</f>
        <v>38</v>
      </c>
      <c r="AC467" cm="1">
        <f t="array" ref="AC467">INDEX(Innings!N:N,MATCH(1,(TRIM(Innings!A:A)=TRIM(A467))*(TRIM(Innings!D:D)=TRIM(E467)),0))</f>
        <v>52</v>
      </c>
      <c r="AD467" cm="1">
        <f t="array" ref="AD467">INDEX(Innings!S:S,MATCH(1,(TRIM(Innings!A:A)=TRIM(A467))*(TRIM(Innings!D:D)=TRIM(E467)),0))</f>
        <v>57</v>
      </c>
      <c r="AE467" t="str" cm="1">
        <f t="array" ref="AE467">INDEX(Innings!W:W,MATCH(1,(TRIM(Innings!A:A)=TRIM(A467))*(TRIM(Innings!D:D)=TRIM(E467)),0))</f>
        <v>NA</v>
      </c>
      <c r="AF467">
        <f>IF(UPPER(TRIM(E467))=UPPER(TRIM(W467)),1,0)</f>
        <v>0</v>
      </c>
      <c r="AG467">
        <f t="shared" si="15"/>
        <v>8.2249999999999996</v>
      </c>
    </row>
    <row r="468" spans="1:33" x14ac:dyDescent="0.3">
      <c r="A468" t="s">
        <v>327</v>
      </c>
      <c r="B468">
        <v>1</v>
      </c>
      <c r="C468" t="s">
        <v>192</v>
      </c>
      <c r="D468" t="s">
        <v>193</v>
      </c>
      <c r="E468" t="s">
        <v>158</v>
      </c>
      <c r="F468" t="s">
        <v>169</v>
      </c>
      <c r="G468" t="s">
        <v>134</v>
      </c>
      <c r="H468">
        <v>18</v>
      </c>
      <c r="I468">
        <v>21</v>
      </c>
      <c r="J468">
        <v>85.71</v>
      </c>
      <c r="K468" t="s">
        <v>246</v>
      </c>
      <c r="L468">
        <v>21.57</v>
      </c>
      <c r="M468">
        <v>4</v>
      </c>
      <c r="N468">
        <v>0</v>
      </c>
      <c r="O468">
        <v>22</v>
      </c>
      <c r="P468">
        <v>0</v>
      </c>
      <c r="Q468">
        <v>5.5</v>
      </c>
      <c r="R468">
        <v>-11</v>
      </c>
      <c r="S468">
        <v>0</v>
      </c>
      <c r="T468">
        <v>0</v>
      </c>
      <c r="U468" s="8">
        <v>10.57</v>
      </c>
      <c r="V468" s="8">
        <f t="shared" si="14"/>
        <v>1</v>
      </c>
      <c r="W468" t="str">
        <f>_xlfn.XLOOKUP(A468, Matches!A:A, Matches!L:L, "NA", 0)</f>
        <v>MIW</v>
      </c>
      <c r="X468" t="str">
        <f>_xlfn.XLOOKUP(A468, Matches!A:A, Matches!J:J, "NA", 0)</f>
        <v>DCW</v>
      </c>
      <c r="Y468" t="str">
        <f>_xlfn.XLOOKUP(A468, Matches!A:A, Matches!F:F, "NA", 0)</f>
        <v>Brabourne Stadium</v>
      </c>
      <c r="Z468" cm="1">
        <f t="array" ref="Z468">INDEX(Innings!F:F,MATCH(1,(TRIM(Innings!A:A)=TRIM(A468))*(TRIM(Innings!D:D)=TRIM(E468)),0))</f>
        <v>131</v>
      </c>
      <c r="AA468" cm="1">
        <f t="array" ref="AA468">INDEX(Innings!I:I,MATCH(1,(TRIM(Innings!A:A)=TRIM(A468))*(TRIM(Innings!D:D)=TRIM(E468)),0))</f>
        <v>6.55</v>
      </c>
      <c r="AB468" cm="1">
        <f t="array" ref="AB468">INDEX(Innings!J:J,MATCH(1,(TRIM(Innings!A:A)=TRIM(A468))*(TRIM(Innings!D:D)=TRIM(E468)),0))</f>
        <v>38</v>
      </c>
      <c r="AC468" cm="1">
        <f t="array" ref="AC468">INDEX(Innings!N:N,MATCH(1,(TRIM(Innings!A:A)=TRIM(A468))*(TRIM(Innings!D:D)=TRIM(E468)),0))</f>
        <v>52</v>
      </c>
      <c r="AD468" cm="1">
        <f t="array" ref="AD468">INDEX(Innings!S:S,MATCH(1,(TRIM(Innings!A:A)=TRIM(A468))*(TRIM(Innings!D:D)=TRIM(E468)),0))</f>
        <v>57</v>
      </c>
      <c r="AE468" t="str" cm="1">
        <f t="array" ref="AE468">INDEX(Innings!W:W,MATCH(1,(TRIM(Innings!A:A)=TRIM(A468))*(TRIM(Innings!D:D)=TRIM(E468)),0))</f>
        <v>NA</v>
      </c>
      <c r="AF468">
        <f>IF(UPPER(TRIM(E468))=UPPER(TRIM(W468)),1,0)</f>
        <v>0</v>
      </c>
      <c r="AG468">
        <f t="shared" si="15"/>
        <v>5.585</v>
      </c>
    </row>
    <row r="469" spans="1:33" x14ac:dyDescent="0.3">
      <c r="A469" t="s">
        <v>327</v>
      </c>
      <c r="B469">
        <v>1</v>
      </c>
      <c r="C469" t="s">
        <v>198</v>
      </c>
      <c r="D469" t="s">
        <v>199</v>
      </c>
      <c r="E469" t="s">
        <v>158</v>
      </c>
      <c r="F469" t="s">
        <v>101</v>
      </c>
      <c r="G469" t="s">
        <v>134</v>
      </c>
      <c r="H469">
        <v>2</v>
      </c>
      <c r="I469">
        <v>11</v>
      </c>
      <c r="J469">
        <v>18.18</v>
      </c>
      <c r="K469" t="s">
        <v>246</v>
      </c>
      <c r="L469">
        <v>-1.18</v>
      </c>
      <c r="M469">
        <v>4</v>
      </c>
      <c r="N469">
        <v>0</v>
      </c>
      <c r="O469">
        <v>28</v>
      </c>
      <c r="P469">
        <v>1</v>
      </c>
      <c r="Q469">
        <v>7</v>
      </c>
      <c r="R469">
        <v>6</v>
      </c>
      <c r="S469">
        <v>0</v>
      </c>
      <c r="T469">
        <v>0</v>
      </c>
      <c r="U469" s="8">
        <v>4.82</v>
      </c>
      <c r="V469" s="8">
        <f t="shared" si="14"/>
        <v>0</v>
      </c>
      <c r="W469" t="str">
        <f>_xlfn.XLOOKUP(A469, Matches!A:A, Matches!L:L, "NA", 0)</f>
        <v>MIW</v>
      </c>
      <c r="X469" t="str">
        <f>_xlfn.XLOOKUP(A469, Matches!A:A, Matches!J:J, "NA", 0)</f>
        <v>DCW</v>
      </c>
      <c r="Y469" t="str">
        <f>_xlfn.XLOOKUP(A469, Matches!A:A, Matches!F:F, "NA", 0)</f>
        <v>Brabourne Stadium</v>
      </c>
      <c r="Z469" cm="1">
        <f t="array" ref="Z469">INDEX(Innings!F:F,MATCH(1,(TRIM(Innings!A:A)=TRIM(A469))*(TRIM(Innings!D:D)=TRIM(E469)),0))</f>
        <v>131</v>
      </c>
      <c r="AA469" cm="1">
        <f t="array" ref="AA469">INDEX(Innings!I:I,MATCH(1,(TRIM(Innings!A:A)=TRIM(A469))*(TRIM(Innings!D:D)=TRIM(E469)),0))</f>
        <v>6.55</v>
      </c>
      <c r="AB469" cm="1">
        <f t="array" ref="AB469">INDEX(Innings!J:J,MATCH(1,(TRIM(Innings!A:A)=TRIM(A469))*(TRIM(Innings!D:D)=TRIM(E469)),0))</f>
        <v>38</v>
      </c>
      <c r="AC469" cm="1">
        <f t="array" ref="AC469">INDEX(Innings!N:N,MATCH(1,(TRIM(Innings!A:A)=TRIM(A469))*(TRIM(Innings!D:D)=TRIM(E469)),0))</f>
        <v>52</v>
      </c>
      <c r="AD469" cm="1">
        <f t="array" ref="AD469">INDEX(Innings!S:S,MATCH(1,(TRIM(Innings!A:A)=TRIM(A469))*(TRIM(Innings!D:D)=TRIM(E469)),0))</f>
        <v>57</v>
      </c>
      <c r="AE469" t="str" cm="1">
        <f t="array" ref="AE469">INDEX(Innings!W:W,MATCH(1,(TRIM(Innings!A:A)=TRIM(A469))*(TRIM(Innings!D:D)=TRIM(E469)),0))</f>
        <v>NA</v>
      </c>
      <c r="AF469">
        <f>IF(UPPER(TRIM(E469))=UPPER(TRIM(W469)),1,0)</f>
        <v>0</v>
      </c>
      <c r="AG469">
        <f t="shared" si="15"/>
        <v>2.41</v>
      </c>
    </row>
    <row r="470" spans="1:33" x14ac:dyDescent="0.3">
      <c r="A470" t="s">
        <v>327</v>
      </c>
      <c r="B470">
        <v>1</v>
      </c>
      <c r="C470" t="s">
        <v>202</v>
      </c>
      <c r="D470" t="s">
        <v>203</v>
      </c>
      <c r="E470" t="s">
        <v>158</v>
      </c>
      <c r="F470" t="s">
        <v>101</v>
      </c>
      <c r="G470" t="s">
        <v>134</v>
      </c>
      <c r="H470">
        <v>0</v>
      </c>
      <c r="I470">
        <v>5</v>
      </c>
      <c r="J470">
        <v>0</v>
      </c>
      <c r="K470" t="s">
        <v>246</v>
      </c>
      <c r="L470">
        <v>-5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 s="8">
        <v>-5</v>
      </c>
      <c r="V470" s="8">
        <f t="shared" si="14"/>
        <v>0</v>
      </c>
      <c r="W470" t="str">
        <f>_xlfn.XLOOKUP(A470, Matches!A:A, Matches!L:L, "NA", 0)</f>
        <v>MIW</v>
      </c>
      <c r="X470" t="str">
        <f>_xlfn.XLOOKUP(A470, Matches!A:A, Matches!J:J, "NA", 0)</f>
        <v>DCW</v>
      </c>
      <c r="Y470" t="str">
        <f>_xlfn.XLOOKUP(A470, Matches!A:A, Matches!F:F, "NA", 0)</f>
        <v>Brabourne Stadium</v>
      </c>
      <c r="Z470" cm="1">
        <f t="array" ref="Z470">INDEX(Innings!F:F,MATCH(1,(TRIM(Innings!A:A)=TRIM(A470))*(TRIM(Innings!D:D)=TRIM(E470)),0))</f>
        <v>131</v>
      </c>
      <c r="AA470" cm="1">
        <f t="array" ref="AA470">INDEX(Innings!I:I,MATCH(1,(TRIM(Innings!A:A)=TRIM(A470))*(TRIM(Innings!D:D)=TRIM(E470)),0))</f>
        <v>6.55</v>
      </c>
      <c r="AB470" cm="1">
        <f t="array" ref="AB470">INDEX(Innings!J:J,MATCH(1,(TRIM(Innings!A:A)=TRIM(A470))*(TRIM(Innings!D:D)=TRIM(E470)),0))</f>
        <v>38</v>
      </c>
      <c r="AC470" cm="1">
        <f t="array" ref="AC470">INDEX(Innings!N:N,MATCH(1,(TRIM(Innings!A:A)=TRIM(A470))*(TRIM(Innings!D:D)=TRIM(E470)),0))</f>
        <v>52</v>
      </c>
      <c r="AD470" cm="1">
        <f t="array" ref="AD470">INDEX(Innings!S:S,MATCH(1,(TRIM(Innings!A:A)=TRIM(A470))*(TRIM(Innings!D:D)=TRIM(E470)),0))</f>
        <v>57</v>
      </c>
      <c r="AE470" t="str" cm="1">
        <f t="array" ref="AE470">INDEX(Innings!W:W,MATCH(1,(TRIM(Innings!A:A)=TRIM(A470))*(TRIM(Innings!D:D)=TRIM(E470)),0))</f>
        <v>NA</v>
      </c>
      <c r="AF470">
        <f>IF(UPPER(TRIM(E470))=UPPER(TRIM(W470)),1,0)</f>
        <v>0</v>
      </c>
      <c r="AG470">
        <f t="shared" si="15"/>
        <v>0</v>
      </c>
    </row>
    <row r="471" spans="1:33" x14ac:dyDescent="0.3">
      <c r="A471" t="s">
        <v>327</v>
      </c>
      <c r="B471">
        <v>1</v>
      </c>
      <c r="C471" t="s">
        <v>204</v>
      </c>
      <c r="D471" t="s">
        <v>205</v>
      </c>
      <c r="E471" t="s">
        <v>158</v>
      </c>
      <c r="F471" t="s">
        <v>169</v>
      </c>
      <c r="G471" t="s">
        <v>134</v>
      </c>
      <c r="H471">
        <v>27</v>
      </c>
      <c r="I471">
        <v>17</v>
      </c>
      <c r="J471">
        <v>158.82</v>
      </c>
      <c r="K471" t="s">
        <v>96</v>
      </c>
      <c r="L471">
        <v>42.88</v>
      </c>
      <c r="M471">
        <v>4</v>
      </c>
      <c r="N471">
        <v>0</v>
      </c>
      <c r="O471">
        <v>23</v>
      </c>
      <c r="P471">
        <v>0</v>
      </c>
      <c r="Q471">
        <v>5.75</v>
      </c>
      <c r="R471">
        <v>-11.5</v>
      </c>
      <c r="S471">
        <v>0</v>
      </c>
      <c r="T471">
        <v>0</v>
      </c>
      <c r="U471" s="8">
        <v>31.38</v>
      </c>
      <c r="V471" s="8">
        <f t="shared" si="14"/>
        <v>3</v>
      </c>
      <c r="W471" t="str">
        <f>_xlfn.XLOOKUP(A471, Matches!A:A, Matches!L:L, "NA", 0)</f>
        <v>MIW</v>
      </c>
      <c r="X471" t="str">
        <f>_xlfn.XLOOKUP(A471, Matches!A:A, Matches!J:J, "NA", 0)</f>
        <v>DCW</v>
      </c>
      <c r="Y471" t="str">
        <f>_xlfn.XLOOKUP(A471, Matches!A:A, Matches!F:F, "NA", 0)</f>
        <v>Brabourne Stadium</v>
      </c>
      <c r="Z471" cm="1">
        <f t="array" ref="Z471">INDEX(Innings!F:F,MATCH(1,(TRIM(Innings!A:A)=TRIM(A471))*(TRIM(Innings!D:D)=TRIM(E471)),0))</f>
        <v>131</v>
      </c>
      <c r="AA471" cm="1">
        <f t="array" ref="AA471">INDEX(Innings!I:I,MATCH(1,(TRIM(Innings!A:A)=TRIM(A471))*(TRIM(Innings!D:D)=TRIM(E471)),0))</f>
        <v>6.55</v>
      </c>
      <c r="AB471" cm="1">
        <f t="array" ref="AB471">INDEX(Innings!J:J,MATCH(1,(TRIM(Innings!A:A)=TRIM(A471))*(TRIM(Innings!D:D)=TRIM(E471)),0))</f>
        <v>38</v>
      </c>
      <c r="AC471" cm="1">
        <f t="array" ref="AC471">INDEX(Innings!N:N,MATCH(1,(TRIM(Innings!A:A)=TRIM(A471))*(TRIM(Innings!D:D)=TRIM(E471)),0))</f>
        <v>52</v>
      </c>
      <c r="AD471" cm="1">
        <f t="array" ref="AD471">INDEX(Innings!S:S,MATCH(1,(TRIM(Innings!A:A)=TRIM(A471))*(TRIM(Innings!D:D)=TRIM(E471)),0))</f>
        <v>57</v>
      </c>
      <c r="AE471" t="str" cm="1">
        <f t="array" ref="AE471">INDEX(Innings!W:W,MATCH(1,(TRIM(Innings!A:A)=TRIM(A471))*(TRIM(Innings!D:D)=TRIM(E471)),0))</f>
        <v>NA</v>
      </c>
      <c r="AF471">
        <f>IF(UPPER(TRIM(E471))=UPPER(TRIM(W471)),1,0)</f>
        <v>0</v>
      </c>
      <c r="AG471">
        <f t="shared" si="15"/>
        <v>16.59</v>
      </c>
    </row>
    <row r="472" spans="1:33" x14ac:dyDescent="0.3">
      <c r="A472" t="s">
        <v>327</v>
      </c>
      <c r="B472">
        <v>1</v>
      </c>
      <c r="C472" t="s">
        <v>274</v>
      </c>
      <c r="D472" t="s">
        <v>284</v>
      </c>
      <c r="E472" t="s">
        <v>158</v>
      </c>
      <c r="F472" t="s">
        <v>169</v>
      </c>
      <c r="G472" t="s">
        <v>135</v>
      </c>
      <c r="H472">
        <v>1</v>
      </c>
      <c r="I472">
        <v>9</v>
      </c>
      <c r="J472">
        <v>11.11</v>
      </c>
      <c r="K472" t="s">
        <v>248</v>
      </c>
      <c r="L472">
        <v>-2.89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 s="8">
        <v>-2.89</v>
      </c>
      <c r="V472" s="8">
        <f t="shared" si="14"/>
        <v>0</v>
      </c>
      <c r="W472" t="str">
        <f>_xlfn.XLOOKUP(A472, Matches!A:A, Matches!L:L, "NA", 0)</f>
        <v>MIW</v>
      </c>
      <c r="X472" t="str">
        <f>_xlfn.XLOOKUP(A472, Matches!A:A, Matches!J:J, "NA", 0)</f>
        <v>DCW</v>
      </c>
      <c r="Y472" t="str">
        <f>_xlfn.XLOOKUP(A472, Matches!A:A, Matches!F:F, "NA", 0)</f>
        <v>Brabourne Stadium</v>
      </c>
      <c r="Z472" cm="1">
        <f t="array" ref="Z472">INDEX(Innings!F:F,MATCH(1,(TRIM(Innings!A:A)=TRIM(A472))*(TRIM(Innings!D:D)=TRIM(E472)),0))</f>
        <v>131</v>
      </c>
      <c r="AA472" cm="1">
        <f t="array" ref="AA472">INDEX(Innings!I:I,MATCH(1,(TRIM(Innings!A:A)=TRIM(A472))*(TRIM(Innings!D:D)=TRIM(E472)),0))</f>
        <v>6.55</v>
      </c>
      <c r="AB472" cm="1">
        <f t="array" ref="AB472">INDEX(Innings!J:J,MATCH(1,(TRIM(Innings!A:A)=TRIM(A472))*(TRIM(Innings!D:D)=TRIM(E472)),0))</f>
        <v>38</v>
      </c>
      <c r="AC472" cm="1">
        <f t="array" ref="AC472">INDEX(Innings!N:N,MATCH(1,(TRIM(Innings!A:A)=TRIM(A472))*(TRIM(Innings!D:D)=TRIM(E472)),0))</f>
        <v>52</v>
      </c>
      <c r="AD472" cm="1">
        <f t="array" ref="AD472">INDEX(Innings!S:S,MATCH(1,(TRIM(Innings!A:A)=TRIM(A472))*(TRIM(Innings!D:D)=TRIM(E472)),0))</f>
        <v>57</v>
      </c>
      <c r="AE472" t="str" cm="1">
        <f t="array" ref="AE472">INDEX(Innings!W:W,MATCH(1,(TRIM(Innings!A:A)=TRIM(A472))*(TRIM(Innings!D:D)=TRIM(E472)),0))</f>
        <v>NA</v>
      </c>
      <c r="AF472">
        <f>IF(UPPER(TRIM(E472))=UPPER(TRIM(W472)),1,0)</f>
        <v>0</v>
      </c>
      <c r="AG472">
        <f t="shared" si="15"/>
        <v>0</v>
      </c>
    </row>
    <row r="473" spans="1:33" x14ac:dyDescent="0.3">
      <c r="A473" t="s">
        <v>327</v>
      </c>
      <c r="B473">
        <v>1</v>
      </c>
      <c r="C473" t="s">
        <v>200</v>
      </c>
      <c r="D473" t="s">
        <v>201</v>
      </c>
      <c r="E473" t="s">
        <v>158</v>
      </c>
      <c r="F473" t="s">
        <v>85</v>
      </c>
      <c r="G473" t="s">
        <v>135</v>
      </c>
      <c r="H473">
        <v>0</v>
      </c>
      <c r="I473">
        <v>2</v>
      </c>
      <c r="J473">
        <v>0</v>
      </c>
      <c r="K473" t="s">
        <v>245</v>
      </c>
      <c r="L473">
        <v>-5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 s="8">
        <v>-5</v>
      </c>
      <c r="V473" s="8">
        <f t="shared" si="14"/>
        <v>0</v>
      </c>
      <c r="W473" t="str">
        <f>_xlfn.XLOOKUP(A473, Matches!A:A, Matches!L:L, "NA", 0)</f>
        <v>MIW</v>
      </c>
      <c r="X473" t="str">
        <f>_xlfn.XLOOKUP(A473, Matches!A:A, Matches!J:J, "NA", 0)</f>
        <v>DCW</v>
      </c>
      <c r="Y473" t="str">
        <f>_xlfn.XLOOKUP(A473, Matches!A:A, Matches!F:F, "NA", 0)</f>
        <v>Brabourne Stadium</v>
      </c>
      <c r="Z473" cm="1">
        <f t="array" ref="Z473">INDEX(Innings!F:F,MATCH(1,(TRIM(Innings!A:A)=TRIM(A473))*(TRIM(Innings!D:D)=TRIM(E473)),0))</f>
        <v>131</v>
      </c>
      <c r="AA473" cm="1">
        <f t="array" ref="AA473">INDEX(Innings!I:I,MATCH(1,(TRIM(Innings!A:A)=TRIM(A473))*(TRIM(Innings!D:D)=TRIM(E473)),0))</f>
        <v>6.55</v>
      </c>
      <c r="AB473" cm="1">
        <f t="array" ref="AB473">INDEX(Innings!J:J,MATCH(1,(TRIM(Innings!A:A)=TRIM(A473))*(TRIM(Innings!D:D)=TRIM(E473)),0))</f>
        <v>38</v>
      </c>
      <c r="AC473" cm="1">
        <f t="array" ref="AC473">INDEX(Innings!N:N,MATCH(1,(TRIM(Innings!A:A)=TRIM(A473))*(TRIM(Innings!D:D)=TRIM(E473)),0))</f>
        <v>52</v>
      </c>
      <c r="AD473" cm="1">
        <f t="array" ref="AD473">INDEX(Innings!S:S,MATCH(1,(TRIM(Innings!A:A)=TRIM(A473))*(TRIM(Innings!D:D)=TRIM(E473)),0))</f>
        <v>57</v>
      </c>
      <c r="AE473" t="str" cm="1">
        <f t="array" ref="AE473">INDEX(Innings!W:W,MATCH(1,(TRIM(Innings!A:A)=TRIM(A473))*(TRIM(Innings!D:D)=TRIM(E473)),0))</f>
        <v>NA</v>
      </c>
      <c r="AF473">
        <f>IF(UPPER(TRIM(E473))=UPPER(TRIM(W473)),1,0)</f>
        <v>0</v>
      </c>
      <c r="AG473">
        <f t="shared" si="15"/>
        <v>0</v>
      </c>
    </row>
    <row r="474" spans="1:33" x14ac:dyDescent="0.3">
      <c r="A474" t="s">
        <v>327</v>
      </c>
      <c r="B474">
        <v>1</v>
      </c>
      <c r="C474" t="s">
        <v>206</v>
      </c>
      <c r="D474" t="s">
        <v>207</v>
      </c>
      <c r="E474" t="s">
        <v>158</v>
      </c>
      <c r="F474" t="s">
        <v>101</v>
      </c>
      <c r="G474" t="s">
        <v>135</v>
      </c>
      <c r="H474">
        <v>27</v>
      </c>
      <c r="I474">
        <v>12</v>
      </c>
      <c r="J474">
        <v>225</v>
      </c>
      <c r="K474" t="s">
        <v>96</v>
      </c>
      <c r="L474">
        <v>49.5</v>
      </c>
      <c r="M474">
        <v>4</v>
      </c>
      <c r="N474">
        <v>0</v>
      </c>
      <c r="O474">
        <v>24</v>
      </c>
      <c r="P474">
        <v>1</v>
      </c>
      <c r="Q474">
        <v>6</v>
      </c>
      <c r="R474">
        <v>8</v>
      </c>
      <c r="S474">
        <v>0</v>
      </c>
      <c r="T474">
        <v>0</v>
      </c>
      <c r="U474" s="8">
        <v>57.5</v>
      </c>
      <c r="V474" s="8">
        <f t="shared" si="14"/>
        <v>6</v>
      </c>
      <c r="W474" t="str">
        <f>_xlfn.XLOOKUP(A474, Matches!A:A, Matches!L:L, "NA", 0)</f>
        <v>MIW</v>
      </c>
      <c r="X474" t="str">
        <f>_xlfn.XLOOKUP(A474, Matches!A:A, Matches!J:J, "NA", 0)</f>
        <v>DCW</v>
      </c>
      <c r="Y474" t="str">
        <f>_xlfn.XLOOKUP(A474, Matches!A:A, Matches!F:F, "NA", 0)</f>
        <v>Brabourne Stadium</v>
      </c>
      <c r="Z474" cm="1">
        <f t="array" ref="Z474">INDEX(Innings!F:F,MATCH(1,(TRIM(Innings!A:A)=TRIM(A474))*(TRIM(Innings!D:D)=TRIM(E474)),0))</f>
        <v>131</v>
      </c>
      <c r="AA474" cm="1">
        <f t="array" ref="AA474">INDEX(Innings!I:I,MATCH(1,(TRIM(Innings!A:A)=TRIM(A474))*(TRIM(Innings!D:D)=TRIM(E474)),0))</f>
        <v>6.55</v>
      </c>
      <c r="AB474" cm="1">
        <f t="array" ref="AB474">INDEX(Innings!J:J,MATCH(1,(TRIM(Innings!A:A)=TRIM(A474))*(TRIM(Innings!D:D)=TRIM(E474)),0))</f>
        <v>38</v>
      </c>
      <c r="AC474" cm="1">
        <f t="array" ref="AC474">INDEX(Innings!N:N,MATCH(1,(TRIM(Innings!A:A)=TRIM(A474))*(TRIM(Innings!D:D)=TRIM(E474)),0))</f>
        <v>52</v>
      </c>
      <c r="AD474" cm="1">
        <f t="array" ref="AD474">INDEX(Innings!S:S,MATCH(1,(TRIM(Innings!A:A)=TRIM(A474))*(TRIM(Innings!D:D)=TRIM(E474)),0))</f>
        <v>57</v>
      </c>
      <c r="AE474" t="str" cm="1">
        <f t="array" ref="AE474">INDEX(Innings!W:W,MATCH(1,(TRIM(Innings!A:A)=TRIM(A474))*(TRIM(Innings!D:D)=TRIM(E474)),0))</f>
        <v>NA</v>
      </c>
      <c r="AF474">
        <f>IF(UPPER(TRIM(E474))=UPPER(TRIM(W474)),1,0)</f>
        <v>0</v>
      </c>
      <c r="AG474">
        <f t="shared" si="15"/>
        <v>30.55</v>
      </c>
    </row>
    <row r="475" spans="1:33" x14ac:dyDescent="0.3">
      <c r="A475" t="s">
        <v>327</v>
      </c>
      <c r="B475">
        <v>1</v>
      </c>
      <c r="C475" t="s">
        <v>112</v>
      </c>
      <c r="D475" t="s">
        <v>88</v>
      </c>
      <c r="E475" t="s">
        <v>266</v>
      </c>
      <c r="F475" t="s">
        <v>169</v>
      </c>
      <c r="G475" t="s">
        <v>86</v>
      </c>
      <c r="H475">
        <v>13</v>
      </c>
      <c r="I475">
        <v>12</v>
      </c>
      <c r="J475">
        <v>108.33</v>
      </c>
      <c r="K475" t="s">
        <v>246</v>
      </c>
      <c r="L475">
        <v>18.829999999999998</v>
      </c>
      <c r="M475">
        <v>4</v>
      </c>
      <c r="N475">
        <v>2</v>
      </c>
      <c r="O475">
        <v>5</v>
      </c>
      <c r="P475">
        <v>3</v>
      </c>
      <c r="Q475">
        <v>1.25</v>
      </c>
      <c r="R475">
        <v>55</v>
      </c>
      <c r="S475">
        <v>0</v>
      </c>
      <c r="T475">
        <v>0</v>
      </c>
      <c r="U475" s="8">
        <v>73.83</v>
      </c>
      <c r="V475" s="8">
        <f t="shared" si="14"/>
        <v>7</v>
      </c>
      <c r="W475" t="str">
        <f>_xlfn.XLOOKUP(A475, Matches!A:A, Matches!L:L, "NA", 0)</f>
        <v>MIW</v>
      </c>
      <c r="X475" t="str">
        <f>_xlfn.XLOOKUP(A475, Matches!A:A, Matches!J:J, "NA", 0)</f>
        <v>DCW</v>
      </c>
      <c r="Y475" t="str">
        <f>_xlfn.XLOOKUP(A475, Matches!A:A, Matches!F:F, "NA", 0)</f>
        <v>Brabourne Stadium</v>
      </c>
      <c r="Z475" cm="1">
        <f t="array" ref="Z475">INDEX(Innings!F:F,MATCH(1,(TRIM(Innings!A:A)=TRIM(A475))*(TRIM(Innings!D:D)=TRIM(E475)),0))</f>
        <v>134</v>
      </c>
      <c r="AA475" cm="1">
        <f t="array" ref="AA475">INDEX(Innings!I:I,MATCH(1,(TRIM(Innings!A:A)=TRIM(A475))*(TRIM(Innings!D:D)=TRIM(E475)),0))</f>
        <v>6.87</v>
      </c>
      <c r="AB475" cm="1">
        <f t="array" ref="AB475">INDEX(Innings!J:J,MATCH(1,(TRIM(Innings!A:A)=TRIM(A475))*(TRIM(Innings!D:D)=TRIM(E475)),0))</f>
        <v>27</v>
      </c>
      <c r="AC475" cm="1">
        <f t="array" ref="AC475">INDEX(Innings!N:N,MATCH(1,(TRIM(Innings!A:A)=TRIM(A475))*(TRIM(Innings!D:D)=TRIM(E475)),0))</f>
        <v>39</v>
      </c>
      <c r="AD475" cm="1">
        <f t="array" ref="AD475">INDEX(Innings!S:S,MATCH(1,(TRIM(Innings!A:A)=TRIM(A475))*(TRIM(Innings!D:D)=TRIM(E475)),0))</f>
        <v>47</v>
      </c>
      <c r="AE475" t="str" cm="1">
        <f t="array" ref="AE475">INDEX(Innings!W:W,MATCH(1,(TRIM(Innings!A:A)=TRIM(A475))*(TRIM(Innings!D:D)=TRIM(E475)),0))</f>
        <v>Successful</v>
      </c>
      <c r="AF475">
        <f>IF(UPPER(TRIM(E475))=UPPER(TRIM(W475)),1,0)</f>
        <v>1</v>
      </c>
      <c r="AG475">
        <f t="shared" si="15"/>
        <v>59.015000000000001</v>
      </c>
    </row>
    <row r="476" spans="1:33" x14ac:dyDescent="0.3">
      <c r="A476" t="s">
        <v>327</v>
      </c>
      <c r="B476">
        <v>1</v>
      </c>
      <c r="C476" t="s">
        <v>113</v>
      </c>
      <c r="D476" t="s">
        <v>84</v>
      </c>
      <c r="E476" t="s">
        <v>266</v>
      </c>
      <c r="F476" t="s">
        <v>85</v>
      </c>
      <c r="G476" t="s">
        <v>86</v>
      </c>
      <c r="H476">
        <v>4</v>
      </c>
      <c r="I476">
        <v>3</v>
      </c>
      <c r="J476">
        <v>133.33000000000001</v>
      </c>
      <c r="K476" t="s">
        <v>246</v>
      </c>
      <c r="L476">
        <v>12.33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 s="8">
        <v>12.33</v>
      </c>
      <c r="V476" s="8">
        <f t="shared" si="14"/>
        <v>1</v>
      </c>
      <c r="W476" t="str">
        <f>_xlfn.XLOOKUP(A476, Matches!A:A, Matches!L:L, "NA", 0)</f>
        <v>MIW</v>
      </c>
      <c r="X476" t="str">
        <f>_xlfn.XLOOKUP(A476, Matches!A:A, Matches!J:J, "NA", 0)</f>
        <v>DCW</v>
      </c>
      <c r="Y476" t="str">
        <f>_xlfn.XLOOKUP(A476, Matches!A:A, Matches!F:F, "NA", 0)</f>
        <v>Brabourne Stadium</v>
      </c>
      <c r="Z476" cm="1">
        <f t="array" ref="Z476">INDEX(Innings!F:F,MATCH(1,(TRIM(Innings!A:A)=TRIM(A476))*(TRIM(Innings!D:D)=TRIM(E476)),0))</f>
        <v>134</v>
      </c>
      <c r="AA476" cm="1">
        <f t="array" ref="AA476">INDEX(Innings!I:I,MATCH(1,(TRIM(Innings!A:A)=TRIM(A476))*(TRIM(Innings!D:D)=TRIM(E476)),0))</f>
        <v>6.87</v>
      </c>
      <c r="AB476" cm="1">
        <f t="array" ref="AB476">INDEX(Innings!J:J,MATCH(1,(TRIM(Innings!A:A)=TRIM(A476))*(TRIM(Innings!D:D)=TRIM(E476)),0))</f>
        <v>27</v>
      </c>
      <c r="AC476" cm="1">
        <f t="array" ref="AC476">INDEX(Innings!N:N,MATCH(1,(TRIM(Innings!A:A)=TRIM(A476))*(TRIM(Innings!D:D)=TRIM(E476)),0))</f>
        <v>39</v>
      </c>
      <c r="AD476" cm="1">
        <f t="array" ref="AD476">INDEX(Innings!S:S,MATCH(1,(TRIM(Innings!A:A)=TRIM(A476))*(TRIM(Innings!D:D)=TRIM(E476)),0))</f>
        <v>47</v>
      </c>
      <c r="AE476" t="str" cm="1">
        <f t="array" ref="AE476">INDEX(Innings!W:W,MATCH(1,(TRIM(Innings!A:A)=TRIM(A476))*(TRIM(Innings!D:D)=TRIM(E476)),0))</f>
        <v>Successful</v>
      </c>
      <c r="AF476">
        <f>IF(UPPER(TRIM(E476))=UPPER(TRIM(W476)),1,0)</f>
        <v>1</v>
      </c>
      <c r="AG476">
        <f t="shared" si="15"/>
        <v>26.465</v>
      </c>
    </row>
    <row r="477" spans="1:33" x14ac:dyDescent="0.3">
      <c r="A477" t="s">
        <v>327</v>
      </c>
      <c r="B477">
        <v>1</v>
      </c>
      <c r="C477" t="s">
        <v>117</v>
      </c>
      <c r="D477" t="s">
        <v>90</v>
      </c>
      <c r="E477" t="s">
        <v>266</v>
      </c>
      <c r="F477" t="s">
        <v>169</v>
      </c>
      <c r="G477" t="s">
        <v>92</v>
      </c>
      <c r="H477">
        <v>60</v>
      </c>
      <c r="I477">
        <v>55</v>
      </c>
      <c r="J477">
        <v>109.09</v>
      </c>
      <c r="K477" t="s">
        <v>96</v>
      </c>
      <c r="L477">
        <v>70.91</v>
      </c>
      <c r="M477">
        <v>4</v>
      </c>
      <c r="N477">
        <v>0</v>
      </c>
      <c r="O477">
        <v>37</v>
      </c>
      <c r="P477">
        <v>0</v>
      </c>
      <c r="Q477">
        <v>9.25</v>
      </c>
      <c r="R477">
        <v>-18.5</v>
      </c>
      <c r="S477">
        <v>0</v>
      </c>
      <c r="T477">
        <v>0</v>
      </c>
      <c r="U477" s="8">
        <v>52.41</v>
      </c>
      <c r="V477" s="8">
        <f t="shared" si="14"/>
        <v>5</v>
      </c>
      <c r="W477" t="str">
        <f>_xlfn.XLOOKUP(A477, Matches!A:A, Matches!L:L, "NA", 0)</f>
        <v>MIW</v>
      </c>
      <c r="X477" t="str">
        <f>_xlfn.XLOOKUP(A477, Matches!A:A, Matches!J:J, "NA", 0)</f>
        <v>DCW</v>
      </c>
      <c r="Y477" t="str">
        <f>_xlfn.XLOOKUP(A477, Matches!A:A, Matches!F:F, "NA", 0)</f>
        <v>Brabourne Stadium</v>
      </c>
      <c r="Z477" cm="1">
        <f t="array" ref="Z477">INDEX(Innings!F:F,MATCH(1,(TRIM(Innings!A:A)=TRIM(A477))*(TRIM(Innings!D:D)=TRIM(E477)),0))</f>
        <v>134</v>
      </c>
      <c r="AA477" cm="1">
        <f t="array" ref="AA477">INDEX(Innings!I:I,MATCH(1,(TRIM(Innings!A:A)=TRIM(A477))*(TRIM(Innings!D:D)=TRIM(E477)),0))</f>
        <v>6.87</v>
      </c>
      <c r="AB477" cm="1">
        <f t="array" ref="AB477">INDEX(Innings!J:J,MATCH(1,(TRIM(Innings!A:A)=TRIM(A477))*(TRIM(Innings!D:D)=TRIM(E477)),0))</f>
        <v>27</v>
      </c>
      <c r="AC477" cm="1">
        <f t="array" ref="AC477">INDEX(Innings!N:N,MATCH(1,(TRIM(Innings!A:A)=TRIM(A477))*(TRIM(Innings!D:D)=TRIM(E477)),0))</f>
        <v>39</v>
      </c>
      <c r="AD477" cm="1">
        <f t="array" ref="AD477">INDEX(Innings!S:S,MATCH(1,(TRIM(Innings!A:A)=TRIM(A477))*(TRIM(Innings!D:D)=TRIM(E477)),0))</f>
        <v>47</v>
      </c>
      <c r="AE477" t="str" cm="1">
        <f t="array" ref="AE477">INDEX(Innings!W:W,MATCH(1,(TRIM(Innings!A:A)=TRIM(A477))*(TRIM(Innings!D:D)=TRIM(E477)),0))</f>
        <v>Successful</v>
      </c>
      <c r="AF477">
        <f>IF(UPPER(TRIM(E477))=UPPER(TRIM(W477)),1,0)</f>
        <v>1</v>
      </c>
      <c r="AG477">
        <f t="shared" si="15"/>
        <v>47.704999999999998</v>
      </c>
    </row>
    <row r="478" spans="1:33" x14ac:dyDescent="0.3">
      <c r="A478" t="s">
        <v>327</v>
      </c>
      <c r="B478">
        <v>1</v>
      </c>
      <c r="C478" t="s">
        <v>115</v>
      </c>
      <c r="D478" t="s">
        <v>17</v>
      </c>
      <c r="E478" t="s">
        <v>266</v>
      </c>
      <c r="F478" t="s">
        <v>169</v>
      </c>
      <c r="G478" t="s">
        <v>92</v>
      </c>
      <c r="H478">
        <v>37</v>
      </c>
      <c r="I478">
        <v>39</v>
      </c>
      <c r="J478">
        <v>94.87</v>
      </c>
      <c r="K478" t="s">
        <v>256</v>
      </c>
      <c r="L478">
        <v>41.49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 s="8">
        <v>41.49</v>
      </c>
      <c r="V478" s="8">
        <f t="shared" si="14"/>
        <v>4</v>
      </c>
      <c r="W478" t="str">
        <f>_xlfn.XLOOKUP(A478, Matches!A:A, Matches!L:L, "NA", 0)</f>
        <v>MIW</v>
      </c>
      <c r="X478" t="str">
        <f>_xlfn.XLOOKUP(A478, Matches!A:A, Matches!J:J, "NA", 0)</f>
        <v>DCW</v>
      </c>
      <c r="Y478" t="str">
        <f>_xlfn.XLOOKUP(A478, Matches!A:A, Matches!F:F, "NA", 0)</f>
        <v>Brabourne Stadium</v>
      </c>
      <c r="Z478" cm="1">
        <f t="array" ref="Z478">INDEX(Innings!F:F,MATCH(1,(TRIM(Innings!A:A)=TRIM(A478))*(TRIM(Innings!D:D)=TRIM(E478)),0))</f>
        <v>134</v>
      </c>
      <c r="AA478" cm="1">
        <f t="array" ref="AA478">INDEX(Innings!I:I,MATCH(1,(TRIM(Innings!A:A)=TRIM(A478))*(TRIM(Innings!D:D)=TRIM(E478)),0))</f>
        <v>6.87</v>
      </c>
      <c r="AB478" cm="1">
        <f t="array" ref="AB478">INDEX(Innings!J:J,MATCH(1,(TRIM(Innings!A:A)=TRIM(A478))*(TRIM(Innings!D:D)=TRIM(E478)),0))</f>
        <v>27</v>
      </c>
      <c r="AC478" cm="1">
        <f t="array" ref="AC478">INDEX(Innings!N:N,MATCH(1,(TRIM(Innings!A:A)=TRIM(A478))*(TRIM(Innings!D:D)=TRIM(E478)),0))</f>
        <v>39</v>
      </c>
      <c r="AD478" cm="1">
        <f t="array" ref="AD478">INDEX(Innings!S:S,MATCH(1,(TRIM(Innings!A:A)=TRIM(A478))*(TRIM(Innings!D:D)=TRIM(E478)),0))</f>
        <v>47</v>
      </c>
      <c r="AE478" t="str" cm="1">
        <f t="array" ref="AE478">INDEX(Innings!W:W,MATCH(1,(TRIM(Innings!A:A)=TRIM(A478))*(TRIM(Innings!D:D)=TRIM(E478)),0))</f>
        <v>Successful</v>
      </c>
      <c r="AF478">
        <f>IF(UPPER(TRIM(E478))=UPPER(TRIM(W478)),1,0)</f>
        <v>1</v>
      </c>
      <c r="AG478">
        <f t="shared" si="15"/>
        <v>41.945</v>
      </c>
    </row>
    <row r="479" spans="1:33" x14ac:dyDescent="0.3">
      <c r="A479" t="s">
        <v>327</v>
      </c>
      <c r="B479">
        <v>1</v>
      </c>
      <c r="C479" t="s">
        <v>119</v>
      </c>
      <c r="D479" t="s">
        <v>95</v>
      </c>
      <c r="E479" t="s">
        <v>266</v>
      </c>
      <c r="F479" t="s">
        <v>169</v>
      </c>
      <c r="G479" t="s">
        <v>134</v>
      </c>
      <c r="H479">
        <v>14</v>
      </c>
      <c r="I479">
        <v>8</v>
      </c>
      <c r="J479">
        <v>175</v>
      </c>
      <c r="K479" t="s">
        <v>96</v>
      </c>
      <c r="L479">
        <v>31.5</v>
      </c>
      <c r="M479">
        <v>4</v>
      </c>
      <c r="N479">
        <v>0</v>
      </c>
      <c r="O479">
        <v>18</v>
      </c>
      <c r="P479">
        <v>2</v>
      </c>
      <c r="Q479">
        <v>4.5</v>
      </c>
      <c r="R479">
        <v>31</v>
      </c>
      <c r="S479">
        <v>0</v>
      </c>
      <c r="T479">
        <v>0</v>
      </c>
      <c r="U479" s="8">
        <v>62.5</v>
      </c>
      <c r="V479" s="8">
        <f t="shared" si="14"/>
        <v>6</v>
      </c>
      <c r="W479" t="str">
        <f>_xlfn.XLOOKUP(A479, Matches!A:A, Matches!L:L, "NA", 0)</f>
        <v>MIW</v>
      </c>
      <c r="X479" t="str">
        <f>_xlfn.XLOOKUP(A479, Matches!A:A, Matches!J:J, "NA", 0)</f>
        <v>DCW</v>
      </c>
      <c r="Y479" t="str">
        <f>_xlfn.XLOOKUP(A479, Matches!A:A, Matches!F:F, "NA", 0)</f>
        <v>Brabourne Stadium</v>
      </c>
      <c r="Z479" cm="1">
        <f t="array" ref="Z479">INDEX(Innings!F:F,MATCH(1,(TRIM(Innings!A:A)=TRIM(A479))*(TRIM(Innings!D:D)=TRIM(E479)),0))</f>
        <v>134</v>
      </c>
      <c r="AA479" cm="1">
        <f t="array" ref="AA479">INDEX(Innings!I:I,MATCH(1,(TRIM(Innings!A:A)=TRIM(A479))*(TRIM(Innings!D:D)=TRIM(E479)),0))</f>
        <v>6.87</v>
      </c>
      <c r="AB479" cm="1">
        <f t="array" ref="AB479">INDEX(Innings!J:J,MATCH(1,(TRIM(Innings!A:A)=TRIM(A479))*(TRIM(Innings!D:D)=TRIM(E479)),0))</f>
        <v>27</v>
      </c>
      <c r="AC479" cm="1">
        <f t="array" ref="AC479">INDEX(Innings!N:N,MATCH(1,(TRIM(Innings!A:A)=TRIM(A479))*(TRIM(Innings!D:D)=TRIM(E479)),0))</f>
        <v>39</v>
      </c>
      <c r="AD479" cm="1">
        <f t="array" ref="AD479">INDEX(Innings!S:S,MATCH(1,(TRIM(Innings!A:A)=TRIM(A479))*(TRIM(Innings!D:D)=TRIM(E479)),0))</f>
        <v>47</v>
      </c>
      <c r="AE479" t="str" cm="1">
        <f t="array" ref="AE479">INDEX(Innings!W:W,MATCH(1,(TRIM(Innings!A:A)=TRIM(A479))*(TRIM(Innings!D:D)=TRIM(E479)),0))</f>
        <v>Successful</v>
      </c>
      <c r="AF479">
        <f>IF(UPPER(TRIM(E479))=UPPER(TRIM(W479)),1,0)</f>
        <v>1</v>
      </c>
      <c r="AG479">
        <f t="shared" si="15"/>
        <v>53.05</v>
      </c>
    </row>
    <row r="480" spans="1:33" x14ac:dyDescent="0.3">
      <c r="A480" t="s">
        <v>327</v>
      </c>
      <c r="B480">
        <v>1</v>
      </c>
      <c r="C480" t="s">
        <v>123</v>
      </c>
      <c r="D480" t="s">
        <v>98</v>
      </c>
      <c r="E480" t="s">
        <v>266</v>
      </c>
      <c r="F480" t="s">
        <v>169</v>
      </c>
      <c r="G480" t="s">
        <v>104</v>
      </c>
      <c r="H480">
        <v>0</v>
      </c>
      <c r="I480">
        <v>0</v>
      </c>
      <c r="J480">
        <v>0</v>
      </c>
      <c r="K480" t="s">
        <v>104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 s="8">
        <v>0</v>
      </c>
      <c r="V480" s="8">
        <f t="shared" si="14"/>
        <v>0</v>
      </c>
      <c r="W480" t="str">
        <f>_xlfn.XLOOKUP(A480, Matches!A:A, Matches!L:L, "NA", 0)</f>
        <v>MIW</v>
      </c>
      <c r="X480" t="str">
        <f>_xlfn.XLOOKUP(A480, Matches!A:A, Matches!J:J, "NA", 0)</f>
        <v>DCW</v>
      </c>
      <c r="Y480" t="str">
        <f>_xlfn.XLOOKUP(A480, Matches!A:A, Matches!F:F, "NA", 0)</f>
        <v>Brabourne Stadium</v>
      </c>
      <c r="Z480" cm="1">
        <f t="array" ref="Z480">INDEX(Innings!F:F,MATCH(1,(TRIM(Innings!A:A)=TRIM(A480))*(TRIM(Innings!D:D)=TRIM(E480)),0))</f>
        <v>134</v>
      </c>
      <c r="AA480" cm="1">
        <f t="array" ref="AA480">INDEX(Innings!I:I,MATCH(1,(TRIM(Innings!A:A)=TRIM(A480))*(TRIM(Innings!D:D)=TRIM(E480)),0))</f>
        <v>6.87</v>
      </c>
      <c r="AB480" cm="1">
        <f t="array" ref="AB480">INDEX(Innings!J:J,MATCH(1,(TRIM(Innings!A:A)=TRIM(A480))*(TRIM(Innings!D:D)=TRIM(E480)),0))</f>
        <v>27</v>
      </c>
      <c r="AC480" cm="1">
        <f t="array" ref="AC480">INDEX(Innings!N:N,MATCH(1,(TRIM(Innings!A:A)=TRIM(A480))*(TRIM(Innings!D:D)=TRIM(E480)),0))</f>
        <v>39</v>
      </c>
      <c r="AD480" cm="1">
        <f t="array" ref="AD480">INDEX(Innings!S:S,MATCH(1,(TRIM(Innings!A:A)=TRIM(A480))*(TRIM(Innings!D:D)=TRIM(E480)),0))</f>
        <v>47</v>
      </c>
      <c r="AE480" t="str" cm="1">
        <f t="array" ref="AE480">INDEX(Innings!W:W,MATCH(1,(TRIM(Innings!A:A)=TRIM(A480))*(TRIM(Innings!D:D)=TRIM(E480)),0))</f>
        <v>Successful</v>
      </c>
      <c r="AF480">
        <f>IF(UPPER(TRIM(E480))=UPPER(TRIM(W480)),1,0)</f>
        <v>1</v>
      </c>
      <c r="AG480">
        <f t="shared" si="15"/>
        <v>20</v>
      </c>
    </row>
    <row r="481" spans="1:33" x14ac:dyDescent="0.3">
      <c r="A481" t="s">
        <v>327</v>
      </c>
      <c r="B481">
        <v>1</v>
      </c>
      <c r="C481" t="s">
        <v>127</v>
      </c>
      <c r="D481" t="s">
        <v>100</v>
      </c>
      <c r="E481" t="s">
        <v>266</v>
      </c>
      <c r="F481" t="s">
        <v>101</v>
      </c>
      <c r="G481" t="s">
        <v>104</v>
      </c>
      <c r="H481">
        <v>0</v>
      </c>
      <c r="I481">
        <v>0</v>
      </c>
      <c r="J481">
        <v>0</v>
      </c>
      <c r="K481" t="s">
        <v>104</v>
      </c>
      <c r="L481">
        <v>0</v>
      </c>
      <c r="M481">
        <v>4</v>
      </c>
      <c r="N481">
        <v>0</v>
      </c>
      <c r="O481">
        <v>42</v>
      </c>
      <c r="P481">
        <v>3</v>
      </c>
      <c r="Q481">
        <v>10.5</v>
      </c>
      <c r="R481">
        <v>19</v>
      </c>
      <c r="S481">
        <v>0</v>
      </c>
      <c r="T481">
        <v>0</v>
      </c>
      <c r="U481" s="8">
        <v>19</v>
      </c>
      <c r="V481" s="8">
        <f t="shared" si="14"/>
        <v>2</v>
      </c>
      <c r="W481" t="str">
        <f>_xlfn.XLOOKUP(A481, Matches!A:A, Matches!L:L, "NA", 0)</f>
        <v>MIW</v>
      </c>
      <c r="X481" t="str">
        <f>_xlfn.XLOOKUP(A481, Matches!A:A, Matches!J:J, "NA", 0)</f>
        <v>DCW</v>
      </c>
      <c r="Y481" t="str">
        <f>_xlfn.XLOOKUP(A481, Matches!A:A, Matches!F:F, "NA", 0)</f>
        <v>Brabourne Stadium</v>
      </c>
      <c r="Z481" cm="1">
        <f t="array" ref="Z481">INDEX(Innings!F:F,MATCH(1,(TRIM(Innings!A:A)=TRIM(A481))*(TRIM(Innings!D:D)=TRIM(E481)),0))</f>
        <v>134</v>
      </c>
      <c r="AA481" cm="1">
        <f t="array" ref="AA481">INDEX(Innings!I:I,MATCH(1,(TRIM(Innings!A:A)=TRIM(A481))*(TRIM(Innings!D:D)=TRIM(E481)),0))</f>
        <v>6.87</v>
      </c>
      <c r="AB481" cm="1">
        <f t="array" ref="AB481">INDEX(Innings!J:J,MATCH(1,(TRIM(Innings!A:A)=TRIM(A481))*(TRIM(Innings!D:D)=TRIM(E481)),0))</f>
        <v>27</v>
      </c>
      <c r="AC481" cm="1">
        <f t="array" ref="AC481">INDEX(Innings!N:N,MATCH(1,(TRIM(Innings!A:A)=TRIM(A481))*(TRIM(Innings!D:D)=TRIM(E481)),0))</f>
        <v>39</v>
      </c>
      <c r="AD481" cm="1">
        <f t="array" ref="AD481">INDEX(Innings!S:S,MATCH(1,(TRIM(Innings!A:A)=TRIM(A481))*(TRIM(Innings!D:D)=TRIM(E481)),0))</f>
        <v>47</v>
      </c>
      <c r="AE481" t="str" cm="1">
        <f t="array" ref="AE481">INDEX(Innings!W:W,MATCH(1,(TRIM(Innings!A:A)=TRIM(A481))*(TRIM(Innings!D:D)=TRIM(E481)),0))</f>
        <v>Successful</v>
      </c>
      <c r="AF481">
        <f>IF(UPPER(TRIM(E481))=UPPER(TRIM(W481)),1,0)</f>
        <v>1</v>
      </c>
      <c r="AG481">
        <f t="shared" si="15"/>
        <v>30.1</v>
      </c>
    </row>
    <row r="482" spans="1:33" x14ac:dyDescent="0.3">
      <c r="A482" t="s">
        <v>327</v>
      </c>
      <c r="B482">
        <v>1</v>
      </c>
      <c r="C482" t="s">
        <v>121</v>
      </c>
      <c r="D482" t="s">
        <v>108</v>
      </c>
      <c r="E482" t="s">
        <v>266</v>
      </c>
      <c r="F482" t="s">
        <v>169</v>
      </c>
      <c r="G482" t="s">
        <v>104</v>
      </c>
      <c r="H482">
        <v>0</v>
      </c>
      <c r="I482">
        <v>0</v>
      </c>
      <c r="J482">
        <v>0</v>
      </c>
      <c r="K482" t="s">
        <v>104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 s="8">
        <v>0</v>
      </c>
      <c r="V482" s="8">
        <f t="shared" si="14"/>
        <v>0</v>
      </c>
      <c r="W482" t="str">
        <f>_xlfn.XLOOKUP(A482, Matches!A:A, Matches!L:L, "NA", 0)</f>
        <v>MIW</v>
      </c>
      <c r="X482" t="str">
        <f>_xlfn.XLOOKUP(A482, Matches!A:A, Matches!J:J, "NA", 0)</f>
        <v>DCW</v>
      </c>
      <c r="Y482" t="str">
        <f>_xlfn.XLOOKUP(A482, Matches!A:A, Matches!F:F, "NA", 0)</f>
        <v>Brabourne Stadium</v>
      </c>
      <c r="Z482" cm="1">
        <f t="array" ref="Z482">INDEX(Innings!F:F,MATCH(1,(TRIM(Innings!A:A)=TRIM(A482))*(TRIM(Innings!D:D)=TRIM(E482)),0))</f>
        <v>134</v>
      </c>
      <c r="AA482" cm="1">
        <f t="array" ref="AA482">INDEX(Innings!I:I,MATCH(1,(TRIM(Innings!A:A)=TRIM(A482))*(TRIM(Innings!D:D)=TRIM(E482)),0))</f>
        <v>6.87</v>
      </c>
      <c r="AB482" cm="1">
        <f t="array" ref="AB482">INDEX(Innings!J:J,MATCH(1,(TRIM(Innings!A:A)=TRIM(A482))*(TRIM(Innings!D:D)=TRIM(E482)),0))</f>
        <v>27</v>
      </c>
      <c r="AC482" cm="1">
        <f t="array" ref="AC482">INDEX(Innings!N:N,MATCH(1,(TRIM(Innings!A:A)=TRIM(A482))*(TRIM(Innings!D:D)=TRIM(E482)),0))</f>
        <v>39</v>
      </c>
      <c r="AD482" cm="1">
        <f t="array" ref="AD482">INDEX(Innings!S:S,MATCH(1,(TRIM(Innings!A:A)=TRIM(A482))*(TRIM(Innings!D:D)=TRIM(E482)),0))</f>
        <v>47</v>
      </c>
      <c r="AE482" t="str" cm="1">
        <f t="array" ref="AE482">INDEX(Innings!W:W,MATCH(1,(TRIM(Innings!A:A)=TRIM(A482))*(TRIM(Innings!D:D)=TRIM(E482)),0))</f>
        <v>Successful</v>
      </c>
      <c r="AF482">
        <f>IF(UPPER(TRIM(E482))=UPPER(TRIM(W482)),1,0)</f>
        <v>1</v>
      </c>
      <c r="AG482">
        <f t="shared" si="15"/>
        <v>20</v>
      </c>
    </row>
    <row r="483" spans="1:33" x14ac:dyDescent="0.3">
      <c r="A483" t="s">
        <v>327</v>
      </c>
      <c r="B483">
        <v>1</v>
      </c>
      <c r="C483" t="s">
        <v>125</v>
      </c>
      <c r="D483" t="s">
        <v>111</v>
      </c>
      <c r="E483" t="s">
        <v>266</v>
      </c>
      <c r="F483" t="s">
        <v>169</v>
      </c>
      <c r="G483" t="s">
        <v>104</v>
      </c>
      <c r="H483">
        <v>0</v>
      </c>
      <c r="I483">
        <v>0</v>
      </c>
      <c r="J483">
        <v>0</v>
      </c>
      <c r="K483" t="s">
        <v>104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 s="8">
        <v>0</v>
      </c>
      <c r="V483" s="8">
        <f t="shared" si="14"/>
        <v>0</v>
      </c>
      <c r="W483" t="str">
        <f>_xlfn.XLOOKUP(A483, Matches!A:A, Matches!L:L, "NA", 0)</f>
        <v>MIW</v>
      </c>
      <c r="X483" t="str">
        <f>_xlfn.XLOOKUP(A483, Matches!A:A, Matches!J:J, "NA", 0)</f>
        <v>DCW</v>
      </c>
      <c r="Y483" t="str">
        <f>_xlfn.XLOOKUP(A483, Matches!A:A, Matches!F:F, "NA", 0)</f>
        <v>Brabourne Stadium</v>
      </c>
      <c r="Z483" cm="1">
        <f t="array" ref="Z483">INDEX(Innings!F:F,MATCH(1,(TRIM(Innings!A:A)=TRIM(A483))*(TRIM(Innings!D:D)=TRIM(E483)),0))</f>
        <v>134</v>
      </c>
      <c r="AA483" cm="1">
        <f t="array" ref="AA483">INDEX(Innings!I:I,MATCH(1,(TRIM(Innings!A:A)=TRIM(A483))*(TRIM(Innings!D:D)=TRIM(E483)),0))</f>
        <v>6.87</v>
      </c>
      <c r="AB483" cm="1">
        <f t="array" ref="AB483">INDEX(Innings!J:J,MATCH(1,(TRIM(Innings!A:A)=TRIM(A483))*(TRIM(Innings!D:D)=TRIM(E483)),0))</f>
        <v>27</v>
      </c>
      <c r="AC483" cm="1">
        <f t="array" ref="AC483">INDEX(Innings!N:N,MATCH(1,(TRIM(Innings!A:A)=TRIM(A483))*(TRIM(Innings!D:D)=TRIM(E483)),0))</f>
        <v>39</v>
      </c>
      <c r="AD483" cm="1">
        <f t="array" ref="AD483">INDEX(Innings!S:S,MATCH(1,(TRIM(Innings!A:A)=TRIM(A483))*(TRIM(Innings!D:D)=TRIM(E483)),0))</f>
        <v>47</v>
      </c>
      <c r="AE483" t="str" cm="1">
        <f t="array" ref="AE483">INDEX(Innings!W:W,MATCH(1,(TRIM(Innings!A:A)=TRIM(A483))*(TRIM(Innings!D:D)=TRIM(E483)),0))</f>
        <v>Successful</v>
      </c>
      <c r="AF483">
        <f>IF(UPPER(TRIM(E483))=UPPER(TRIM(W483)),1,0)</f>
        <v>1</v>
      </c>
      <c r="AG483">
        <f t="shared" si="15"/>
        <v>20</v>
      </c>
    </row>
    <row r="484" spans="1:33" x14ac:dyDescent="0.3">
      <c r="A484" t="s">
        <v>327</v>
      </c>
      <c r="B484">
        <v>1</v>
      </c>
      <c r="C484" t="s">
        <v>129</v>
      </c>
      <c r="D484" t="s">
        <v>103</v>
      </c>
      <c r="E484" t="s">
        <v>266</v>
      </c>
      <c r="F484" t="s">
        <v>101</v>
      </c>
      <c r="G484" t="s">
        <v>104</v>
      </c>
      <c r="H484">
        <v>0</v>
      </c>
      <c r="I484">
        <v>0</v>
      </c>
      <c r="J484">
        <v>0</v>
      </c>
      <c r="K484" t="s">
        <v>104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 s="8">
        <v>0</v>
      </c>
      <c r="V484" s="8">
        <f t="shared" si="14"/>
        <v>0</v>
      </c>
      <c r="W484" t="str">
        <f>_xlfn.XLOOKUP(A484, Matches!A:A, Matches!L:L, "NA", 0)</f>
        <v>MIW</v>
      </c>
      <c r="X484" t="str">
        <f>_xlfn.XLOOKUP(A484, Matches!A:A, Matches!J:J, "NA", 0)</f>
        <v>DCW</v>
      </c>
      <c r="Y484" t="str">
        <f>_xlfn.XLOOKUP(A484, Matches!A:A, Matches!F:F, "NA", 0)</f>
        <v>Brabourne Stadium</v>
      </c>
      <c r="Z484" cm="1">
        <f t="array" ref="Z484">INDEX(Innings!F:F,MATCH(1,(TRIM(Innings!A:A)=TRIM(A484))*(TRIM(Innings!D:D)=TRIM(E484)),0))</f>
        <v>134</v>
      </c>
      <c r="AA484" cm="1">
        <f t="array" ref="AA484">INDEX(Innings!I:I,MATCH(1,(TRIM(Innings!A:A)=TRIM(A484))*(TRIM(Innings!D:D)=TRIM(E484)),0))</f>
        <v>6.87</v>
      </c>
      <c r="AB484" cm="1">
        <f t="array" ref="AB484">INDEX(Innings!J:J,MATCH(1,(TRIM(Innings!A:A)=TRIM(A484))*(TRIM(Innings!D:D)=TRIM(E484)),0))</f>
        <v>27</v>
      </c>
      <c r="AC484" cm="1">
        <f t="array" ref="AC484">INDEX(Innings!N:N,MATCH(1,(TRIM(Innings!A:A)=TRIM(A484))*(TRIM(Innings!D:D)=TRIM(E484)),0))</f>
        <v>39</v>
      </c>
      <c r="AD484" cm="1">
        <f t="array" ref="AD484">INDEX(Innings!S:S,MATCH(1,(TRIM(Innings!A:A)=TRIM(A484))*(TRIM(Innings!D:D)=TRIM(E484)),0))</f>
        <v>47</v>
      </c>
      <c r="AE484" t="str" cm="1">
        <f t="array" ref="AE484">INDEX(Innings!W:W,MATCH(1,(TRIM(Innings!A:A)=TRIM(A484))*(TRIM(Innings!D:D)=TRIM(E484)),0))</f>
        <v>Successful</v>
      </c>
      <c r="AF484">
        <f>IF(UPPER(TRIM(E484))=UPPER(TRIM(W484)),1,0)</f>
        <v>1</v>
      </c>
      <c r="AG484">
        <f t="shared" si="15"/>
        <v>20</v>
      </c>
    </row>
    <row r="485" spans="1:33" x14ac:dyDescent="0.3">
      <c r="A485" t="s">
        <v>327</v>
      </c>
      <c r="B485">
        <v>1</v>
      </c>
      <c r="C485" t="s">
        <v>131</v>
      </c>
      <c r="D485" t="s">
        <v>106</v>
      </c>
      <c r="E485" t="s">
        <v>266</v>
      </c>
      <c r="F485" t="s">
        <v>101</v>
      </c>
      <c r="G485" t="s">
        <v>104</v>
      </c>
      <c r="H485">
        <v>0</v>
      </c>
      <c r="I485">
        <v>0</v>
      </c>
      <c r="J485">
        <v>0</v>
      </c>
      <c r="K485" t="s">
        <v>104</v>
      </c>
      <c r="L485">
        <v>0</v>
      </c>
      <c r="M485">
        <v>4</v>
      </c>
      <c r="N485">
        <v>0</v>
      </c>
      <c r="O485">
        <v>28</v>
      </c>
      <c r="P485">
        <v>0</v>
      </c>
      <c r="Q485">
        <v>7</v>
      </c>
      <c r="R485">
        <v>-14</v>
      </c>
      <c r="S485">
        <v>0</v>
      </c>
      <c r="T485">
        <v>0</v>
      </c>
      <c r="U485" s="8">
        <v>-14</v>
      </c>
      <c r="V485" s="8">
        <f t="shared" si="14"/>
        <v>0</v>
      </c>
      <c r="W485" t="str">
        <f>_xlfn.XLOOKUP(A485, Matches!A:A, Matches!L:L, "NA", 0)</f>
        <v>MIW</v>
      </c>
      <c r="X485" t="str">
        <f>_xlfn.XLOOKUP(A485, Matches!A:A, Matches!J:J, "NA", 0)</f>
        <v>DCW</v>
      </c>
      <c r="Y485" t="str">
        <f>_xlfn.XLOOKUP(A485, Matches!A:A, Matches!F:F, "NA", 0)</f>
        <v>Brabourne Stadium</v>
      </c>
      <c r="Z485" cm="1">
        <f t="array" ref="Z485">INDEX(Innings!F:F,MATCH(1,(TRIM(Innings!A:A)=TRIM(A485))*(TRIM(Innings!D:D)=TRIM(E485)),0))</f>
        <v>134</v>
      </c>
      <c r="AA485" cm="1">
        <f t="array" ref="AA485">INDEX(Innings!I:I,MATCH(1,(TRIM(Innings!A:A)=TRIM(A485))*(TRIM(Innings!D:D)=TRIM(E485)),0))</f>
        <v>6.87</v>
      </c>
      <c r="AB485" cm="1">
        <f t="array" ref="AB485">INDEX(Innings!J:J,MATCH(1,(TRIM(Innings!A:A)=TRIM(A485))*(TRIM(Innings!D:D)=TRIM(E485)),0))</f>
        <v>27</v>
      </c>
      <c r="AC485" cm="1">
        <f t="array" ref="AC485">INDEX(Innings!N:N,MATCH(1,(TRIM(Innings!A:A)=TRIM(A485))*(TRIM(Innings!D:D)=TRIM(E485)),0))</f>
        <v>39</v>
      </c>
      <c r="AD485" cm="1">
        <f t="array" ref="AD485">INDEX(Innings!S:S,MATCH(1,(TRIM(Innings!A:A)=TRIM(A485))*(TRIM(Innings!D:D)=TRIM(E485)),0))</f>
        <v>47</v>
      </c>
      <c r="AE485" t="str" cm="1">
        <f t="array" ref="AE485">INDEX(Innings!W:W,MATCH(1,(TRIM(Innings!A:A)=TRIM(A485))*(TRIM(Innings!D:D)=TRIM(E485)),0))</f>
        <v>Successful</v>
      </c>
      <c r="AF485">
        <f>IF(UPPER(TRIM(E485))=UPPER(TRIM(W485)),1,0)</f>
        <v>1</v>
      </c>
      <c r="AG485">
        <f t="shared" si="15"/>
        <v>20</v>
      </c>
    </row>
    <row r="486" spans="1:33" x14ac:dyDescent="0.3">
      <c r="A486" t="s">
        <v>338</v>
      </c>
      <c r="B486">
        <v>2</v>
      </c>
      <c r="C486" t="s">
        <v>190</v>
      </c>
      <c r="D486" t="s">
        <v>191</v>
      </c>
      <c r="E486" t="s">
        <v>158</v>
      </c>
      <c r="F486" t="s">
        <v>109</v>
      </c>
      <c r="G486" t="s">
        <v>86</v>
      </c>
      <c r="H486">
        <v>31</v>
      </c>
      <c r="I486">
        <v>25</v>
      </c>
      <c r="J486">
        <v>124</v>
      </c>
      <c r="K486" t="s">
        <v>246</v>
      </c>
      <c r="L486">
        <v>38.4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 s="8">
        <v>38.4</v>
      </c>
      <c r="V486" s="8">
        <f t="shared" si="14"/>
        <v>4</v>
      </c>
      <c r="W486" t="str">
        <f>_xlfn.XLOOKUP(A486, Matches!A:A, Matches!L:L, "NA", 0)</f>
        <v>MIW</v>
      </c>
      <c r="X486" t="str">
        <f>_xlfn.XLOOKUP(A486, Matches!A:A, Matches!J:J, "NA", 0)</f>
        <v>MIW</v>
      </c>
      <c r="Y486" t="str">
        <f>_xlfn.XLOOKUP(A486, Matches!A:A, Matches!F:F, "NA", 0)</f>
        <v>M. Chinnaswamy Stadium</v>
      </c>
      <c r="Z486" cm="1">
        <f t="array" ref="Z486">INDEX(Innings!F:F,MATCH(1,(TRIM(Innings!A:A)=TRIM(A486))*(TRIM(Innings!D:D)=TRIM(E486)),0))</f>
        <v>171</v>
      </c>
      <c r="AA486" cm="1">
        <f t="array" ref="AA486">INDEX(Innings!I:I,MATCH(1,(TRIM(Innings!A:A)=TRIM(A486))*(TRIM(Innings!D:D)=TRIM(E486)),0))</f>
        <v>8.5500000000000007</v>
      </c>
      <c r="AB486" cm="1">
        <f t="array" ref="AB486">INDEX(Innings!J:J,MATCH(1,(TRIM(Innings!A:A)=TRIM(A486))*(TRIM(Innings!D:D)=TRIM(E486)),0))</f>
        <v>26</v>
      </c>
      <c r="AC486" cm="1">
        <f t="array" ref="AC486">INDEX(Innings!N:N,MATCH(1,(TRIM(Innings!A:A)=TRIM(A486))*(TRIM(Innings!D:D)=TRIM(E486)),0))</f>
        <v>44</v>
      </c>
      <c r="AD486" cm="1">
        <f t="array" ref="AD486">INDEX(Innings!S:S,MATCH(1,(TRIM(Innings!A:A)=TRIM(A486))*(TRIM(Innings!D:D)=TRIM(E486)),0))</f>
        <v>51</v>
      </c>
      <c r="AE486" t="str" cm="1">
        <f t="array" ref="AE486">INDEX(Innings!W:W,MATCH(1,(TRIM(Innings!A:A)=TRIM(A486))*(TRIM(Innings!D:D)=TRIM(E486)),0))</f>
        <v>NA</v>
      </c>
      <c r="AF486">
        <f>IF(UPPER(TRIM(E486))=UPPER(TRIM(W486)),1,0)</f>
        <v>0</v>
      </c>
      <c r="AG486">
        <f t="shared" si="15"/>
        <v>20.399999999999999</v>
      </c>
    </row>
    <row r="487" spans="1:33" x14ac:dyDescent="0.3">
      <c r="A487" t="s">
        <v>338</v>
      </c>
      <c r="B487">
        <v>2</v>
      </c>
      <c r="C487" t="s">
        <v>188</v>
      </c>
      <c r="D487" t="s">
        <v>189</v>
      </c>
      <c r="E487" t="s">
        <v>158</v>
      </c>
      <c r="F487" t="s">
        <v>109</v>
      </c>
      <c r="G487" t="s">
        <v>86</v>
      </c>
      <c r="H487">
        <v>1</v>
      </c>
      <c r="I487">
        <v>8</v>
      </c>
      <c r="J487">
        <v>12.5</v>
      </c>
      <c r="K487" t="s">
        <v>245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 s="8">
        <v>0</v>
      </c>
      <c r="V487" s="8">
        <f t="shared" si="14"/>
        <v>0</v>
      </c>
      <c r="W487" t="str">
        <f>_xlfn.XLOOKUP(A487, Matches!A:A, Matches!L:L, "NA", 0)</f>
        <v>MIW</v>
      </c>
      <c r="X487" t="str">
        <f>_xlfn.XLOOKUP(A487, Matches!A:A, Matches!J:J, "NA", 0)</f>
        <v>MIW</v>
      </c>
      <c r="Y487" t="str">
        <f>_xlfn.XLOOKUP(A487, Matches!A:A, Matches!F:F, "NA", 0)</f>
        <v>M. Chinnaswamy Stadium</v>
      </c>
      <c r="Z487" cm="1">
        <f t="array" ref="Z487">INDEX(Innings!F:F,MATCH(1,(TRIM(Innings!A:A)=TRIM(A487))*(TRIM(Innings!D:D)=TRIM(E487)),0))</f>
        <v>171</v>
      </c>
      <c r="AA487" cm="1">
        <f t="array" ref="AA487">INDEX(Innings!I:I,MATCH(1,(TRIM(Innings!A:A)=TRIM(A487))*(TRIM(Innings!D:D)=TRIM(E487)),0))</f>
        <v>8.5500000000000007</v>
      </c>
      <c r="AB487" cm="1">
        <f t="array" ref="AB487">INDEX(Innings!J:J,MATCH(1,(TRIM(Innings!A:A)=TRIM(A487))*(TRIM(Innings!D:D)=TRIM(E487)),0))</f>
        <v>26</v>
      </c>
      <c r="AC487" cm="1">
        <f t="array" ref="AC487">INDEX(Innings!N:N,MATCH(1,(TRIM(Innings!A:A)=TRIM(A487))*(TRIM(Innings!D:D)=TRIM(E487)),0))</f>
        <v>44</v>
      </c>
      <c r="AD487" cm="1">
        <f t="array" ref="AD487">INDEX(Innings!S:S,MATCH(1,(TRIM(Innings!A:A)=TRIM(A487))*(TRIM(Innings!D:D)=TRIM(E487)),0))</f>
        <v>51</v>
      </c>
      <c r="AE487" t="str" cm="1">
        <f t="array" ref="AE487">INDEX(Innings!W:W,MATCH(1,(TRIM(Innings!A:A)=TRIM(A487))*(TRIM(Innings!D:D)=TRIM(E487)),0))</f>
        <v>NA</v>
      </c>
      <c r="AF487">
        <f>IF(UPPER(TRIM(E487))=UPPER(TRIM(W487)),1,0)</f>
        <v>0</v>
      </c>
      <c r="AG487">
        <f t="shared" si="15"/>
        <v>0</v>
      </c>
    </row>
    <row r="488" spans="1:33" x14ac:dyDescent="0.3">
      <c r="A488" t="s">
        <v>338</v>
      </c>
      <c r="B488">
        <v>2</v>
      </c>
      <c r="C488" t="s">
        <v>196</v>
      </c>
      <c r="D488" t="s">
        <v>197</v>
      </c>
      <c r="E488" t="s">
        <v>158</v>
      </c>
      <c r="F488" t="s">
        <v>109</v>
      </c>
      <c r="G488" t="s">
        <v>92</v>
      </c>
      <c r="H488">
        <v>75</v>
      </c>
      <c r="I488">
        <v>53</v>
      </c>
      <c r="J488">
        <v>141.51</v>
      </c>
      <c r="K488" t="s">
        <v>247</v>
      </c>
      <c r="L488">
        <v>84.15</v>
      </c>
      <c r="M488">
        <v>2</v>
      </c>
      <c r="N488">
        <v>0</v>
      </c>
      <c r="O488">
        <v>23</v>
      </c>
      <c r="P488">
        <v>2</v>
      </c>
      <c r="Q488">
        <v>11.5</v>
      </c>
      <c r="R488">
        <v>20</v>
      </c>
      <c r="S488">
        <v>0</v>
      </c>
      <c r="T488">
        <v>0</v>
      </c>
      <c r="U488" s="8">
        <v>104.15</v>
      </c>
      <c r="V488" s="8">
        <f t="shared" si="14"/>
        <v>10</v>
      </c>
      <c r="W488" t="str">
        <f>_xlfn.XLOOKUP(A488, Matches!A:A, Matches!L:L, "NA", 0)</f>
        <v>MIW</v>
      </c>
      <c r="X488" t="str">
        <f>_xlfn.XLOOKUP(A488, Matches!A:A, Matches!J:J, "NA", 0)</f>
        <v>MIW</v>
      </c>
      <c r="Y488" t="str">
        <f>_xlfn.XLOOKUP(A488, Matches!A:A, Matches!F:F, "NA", 0)</f>
        <v>M. Chinnaswamy Stadium</v>
      </c>
      <c r="Z488" cm="1">
        <f t="array" ref="Z488">INDEX(Innings!F:F,MATCH(1,(TRIM(Innings!A:A)=TRIM(A488))*(TRIM(Innings!D:D)=TRIM(E488)),0))</f>
        <v>171</v>
      </c>
      <c r="AA488" cm="1">
        <f t="array" ref="AA488">INDEX(Innings!I:I,MATCH(1,(TRIM(Innings!A:A)=TRIM(A488))*(TRIM(Innings!D:D)=TRIM(E488)),0))</f>
        <v>8.5500000000000007</v>
      </c>
      <c r="AB488" cm="1">
        <f t="array" ref="AB488">INDEX(Innings!J:J,MATCH(1,(TRIM(Innings!A:A)=TRIM(A488))*(TRIM(Innings!D:D)=TRIM(E488)),0))</f>
        <v>26</v>
      </c>
      <c r="AC488" cm="1">
        <f t="array" ref="AC488">INDEX(Innings!N:N,MATCH(1,(TRIM(Innings!A:A)=TRIM(A488))*(TRIM(Innings!D:D)=TRIM(E488)),0))</f>
        <v>44</v>
      </c>
      <c r="AD488" cm="1">
        <f t="array" ref="AD488">INDEX(Innings!S:S,MATCH(1,(TRIM(Innings!A:A)=TRIM(A488))*(TRIM(Innings!D:D)=TRIM(E488)),0))</f>
        <v>51</v>
      </c>
      <c r="AE488" t="str" cm="1">
        <f t="array" ref="AE488">INDEX(Innings!W:W,MATCH(1,(TRIM(Innings!A:A)=TRIM(A488))*(TRIM(Innings!D:D)=TRIM(E488)),0))</f>
        <v>NA</v>
      </c>
      <c r="AF488">
        <f>IF(UPPER(TRIM(E488))=UPPER(TRIM(W488)),1,0)</f>
        <v>0</v>
      </c>
      <c r="AG488">
        <f t="shared" si="15"/>
        <v>55.075000000000003</v>
      </c>
    </row>
    <row r="489" spans="1:33" x14ac:dyDescent="0.3">
      <c r="A489" t="s">
        <v>338</v>
      </c>
      <c r="B489">
        <v>2</v>
      </c>
      <c r="C489" t="s">
        <v>194</v>
      </c>
      <c r="D489" t="s">
        <v>195</v>
      </c>
      <c r="E489" t="s">
        <v>158</v>
      </c>
      <c r="F489" t="s">
        <v>109</v>
      </c>
      <c r="G489" t="s">
        <v>92</v>
      </c>
      <c r="H489">
        <v>42</v>
      </c>
      <c r="I489">
        <v>24</v>
      </c>
      <c r="J489">
        <v>175</v>
      </c>
      <c r="K489" t="s">
        <v>246</v>
      </c>
      <c r="L489">
        <v>54.5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 s="8">
        <v>54.5</v>
      </c>
      <c r="V489" s="8">
        <f t="shared" si="14"/>
        <v>5</v>
      </c>
      <c r="W489" t="str">
        <f>_xlfn.XLOOKUP(A489, Matches!A:A, Matches!L:L, "NA", 0)</f>
        <v>MIW</v>
      </c>
      <c r="X489" t="str">
        <f>_xlfn.XLOOKUP(A489, Matches!A:A, Matches!J:J, "NA", 0)</f>
        <v>MIW</v>
      </c>
      <c r="Y489" t="str">
        <f>_xlfn.XLOOKUP(A489, Matches!A:A, Matches!F:F, "NA", 0)</f>
        <v>M. Chinnaswamy Stadium</v>
      </c>
      <c r="Z489" cm="1">
        <f t="array" ref="Z489">INDEX(Innings!F:F,MATCH(1,(TRIM(Innings!A:A)=TRIM(A489))*(TRIM(Innings!D:D)=TRIM(E489)),0))</f>
        <v>171</v>
      </c>
      <c r="AA489" cm="1">
        <f t="array" ref="AA489">INDEX(Innings!I:I,MATCH(1,(TRIM(Innings!A:A)=TRIM(A489))*(TRIM(Innings!D:D)=TRIM(E489)),0))</f>
        <v>8.5500000000000007</v>
      </c>
      <c r="AB489" cm="1">
        <f t="array" ref="AB489">INDEX(Innings!J:J,MATCH(1,(TRIM(Innings!A:A)=TRIM(A489))*(TRIM(Innings!D:D)=TRIM(E489)),0))</f>
        <v>26</v>
      </c>
      <c r="AC489" cm="1">
        <f t="array" ref="AC489">INDEX(Innings!N:N,MATCH(1,(TRIM(Innings!A:A)=TRIM(A489))*(TRIM(Innings!D:D)=TRIM(E489)),0))</f>
        <v>44</v>
      </c>
      <c r="AD489" cm="1">
        <f t="array" ref="AD489">INDEX(Innings!S:S,MATCH(1,(TRIM(Innings!A:A)=TRIM(A489))*(TRIM(Innings!D:D)=TRIM(E489)),0))</f>
        <v>51</v>
      </c>
      <c r="AE489" t="str" cm="1">
        <f t="array" ref="AE489">INDEX(Innings!W:W,MATCH(1,(TRIM(Innings!A:A)=TRIM(A489))*(TRIM(Innings!D:D)=TRIM(E489)),0))</f>
        <v>NA</v>
      </c>
      <c r="AF489">
        <f>IF(UPPER(TRIM(E489))=UPPER(TRIM(W489)),1,0)</f>
        <v>0</v>
      </c>
      <c r="AG489">
        <f t="shared" si="15"/>
        <v>28.75</v>
      </c>
    </row>
    <row r="490" spans="1:33" x14ac:dyDescent="0.3">
      <c r="A490" t="s">
        <v>338</v>
      </c>
      <c r="B490">
        <v>2</v>
      </c>
      <c r="C490" t="s">
        <v>192</v>
      </c>
      <c r="D490" t="s">
        <v>193</v>
      </c>
      <c r="E490" t="s">
        <v>158</v>
      </c>
      <c r="F490" t="s">
        <v>169</v>
      </c>
      <c r="G490" t="s">
        <v>134</v>
      </c>
      <c r="H490">
        <v>16</v>
      </c>
      <c r="I490">
        <v>9</v>
      </c>
      <c r="J490">
        <v>177.78</v>
      </c>
      <c r="K490" t="s">
        <v>248</v>
      </c>
      <c r="L490">
        <v>28.78</v>
      </c>
      <c r="M490">
        <v>4</v>
      </c>
      <c r="N490">
        <v>0</v>
      </c>
      <c r="O490">
        <v>32</v>
      </c>
      <c r="P490">
        <v>1</v>
      </c>
      <c r="Q490">
        <v>8</v>
      </c>
      <c r="R490">
        <v>16</v>
      </c>
      <c r="S490">
        <v>0</v>
      </c>
      <c r="T490">
        <v>0</v>
      </c>
      <c r="U490" s="8">
        <v>44.78</v>
      </c>
      <c r="V490" s="8">
        <f t="shared" si="14"/>
        <v>4</v>
      </c>
      <c r="W490" t="str">
        <f>_xlfn.XLOOKUP(A490, Matches!A:A, Matches!L:L, "NA", 0)</f>
        <v>MIW</v>
      </c>
      <c r="X490" t="str">
        <f>_xlfn.XLOOKUP(A490, Matches!A:A, Matches!J:J, "NA", 0)</f>
        <v>MIW</v>
      </c>
      <c r="Y490" t="str">
        <f>_xlfn.XLOOKUP(A490, Matches!A:A, Matches!F:F, "NA", 0)</f>
        <v>M. Chinnaswamy Stadium</v>
      </c>
      <c r="Z490" cm="1">
        <f t="array" ref="Z490">INDEX(Innings!F:F,MATCH(1,(TRIM(Innings!A:A)=TRIM(A490))*(TRIM(Innings!D:D)=TRIM(E490)),0))</f>
        <v>171</v>
      </c>
      <c r="AA490" cm="1">
        <f t="array" ref="AA490">INDEX(Innings!I:I,MATCH(1,(TRIM(Innings!A:A)=TRIM(A490))*(TRIM(Innings!D:D)=TRIM(E490)),0))</f>
        <v>8.5500000000000007</v>
      </c>
      <c r="AB490" cm="1">
        <f t="array" ref="AB490">INDEX(Innings!J:J,MATCH(1,(TRIM(Innings!A:A)=TRIM(A490))*(TRIM(Innings!D:D)=TRIM(E490)),0))</f>
        <v>26</v>
      </c>
      <c r="AC490" cm="1">
        <f t="array" ref="AC490">INDEX(Innings!N:N,MATCH(1,(TRIM(Innings!A:A)=TRIM(A490))*(TRIM(Innings!D:D)=TRIM(E490)),0))</f>
        <v>44</v>
      </c>
      <c r="AD490" cm="1">
        <f t="array" ref="AD490">INDEX(Innings!S:S,MATCH(1,(TRIM(Innings!A:A)=TRIM(A490))*(TRIM(Innings!D:D)=TRIM(E490)),0))</f>
        <v>51</v>
      </c>
      <c r="AE490" t="str" cm="1">
        <f t="array" ref="AE490">INDEX(Innings!W:W,MATCH(1,(TRIM(Innings!A:A)=TRIM(A490))*(TRIM(Innings!D:D)=TRIM(E490)),0))</f>
        <v>NA</v>
      </c>
      <c r="AF490">
        <f>IF(UPPER(TRIM(E490))=UPPER(TRIM(W490)),1,0)</f>
        <v>0</v>
      </c>
      <c r="AG490">
        <f t="shared" si="15"/>
        <v>23.59</v>
      </c>
    </row>
    <row r="491" spans="1:33" x14ac:dyDescent="0.3">
      <c r="A491" t="s">
        <v>338</v>
      </c>
      <c r="B491">
        <v>2</v>
      </c>
      <c r="C491" t="s">
        <v>94</v>
      </c>
      <c r="D491" t="s">
        <v>120</v>
      </c>
      <c r="E491" t="s">
        <v>158</v>
      </c>
      <c r="F491" t="s">
        <v>169</v>
      </c>
      <c r="G491" t="s">
        <v>134</v>
      </c>
      <c r="H491">
        <v>1</v>
      </c>
      <c r="I491">
        <v>2</v>
      </c>
      <c r="J491">
        <v>50</v>
      </c>
      <c r="K491" t="s">
        <v>96</v>
      </c>
      <c r="L491">
        <v>0.5</v>
      </c>
      <c r="M491">
        <v>4</v>
      </c>
      <c r="N491">
        <v>0</v>
      </c>
      <c r="O491">
        <v>38</v>
      </c>
      <c r="P491">
        <v>0</v>
      </c>
      <c r="Q491">
        <v>9.5</v>
      </c>
      <c r="R491">
        <v>0</v>
      </c>
      <c r="S491">
        <v>0</v>
      </c>
      <c r="T491">
        <v>0</v>
      </c>
      <c r="U491" s="8">
        <v>0.5</v>
      </c>
      <c r="V491" s="8">
        <f t="shared" si="14"/>
        <v>0</v>
      </c>
      <c r="W491" t="str">
        <f>_xlfn.XLOOKUP(A491, Matches!A:A, Matches!L:L, "NA", 0)</f>
        <v>MIW</v>
      </c>
      <c r="X491" t="str">
        <f>_xlfn.XLOOKUP(A491, Matches!A:A, Matches!J:J, "NA", 0)</f>
        <v>MIW</v>
      </c>
      <c r="Y491" t="str">
        <f>_xlfn.XLOOKUP(A491, Matches!A:A, Matches!F:F, "NA", 0)</f>
        <v>M. Chinnaswamy Stadium</v>
      </c>
      <c r="Z491" cm="1">
        <f t="array" ref="Z491">INDEX(Innings!F:F,MATCH(1,(TRIM(Innings!A:A)=TRIM(A491))*(TRIM(Innings!D:D)=TRIM(E491)),0))</f>
        <v>171</v>
      </c>
      <c r="AA491" cm="1">
        <f t="array" ref="AA491">INDEX(Innings!I:I,MATCH(1,(TRIM(Innings!A:A)=TRIM(A491))*(TRIM(Innings!D:D)=TRIM(E491)),0))</f>
        <v>8.5500000000000007</v>
      </c>
      <c r="AB491" cm="1">
        <f t="array" ref="AB491">INDEX(Innings!J:J,MATCH(1,(TRIM(Innings!A:A)=TRIM(A491))*(TRIM(Innings!D:D)=TRIM(E491)),0))</f>
        <v>26</v>
      </c>
      <c r="AC491" cm="1">
        <f t="array" ref="AC491">INDEX(Innings!N:N,MATCH(1,(TRIM(Innings!A:A)=TRIM(A491))*(TRIM(Innings!D:D)=TRIM(E491)),0))</f>
        <v>44</v>
      </c>
      <c r="AD491" cm="1">
        <f t="array" ref="AD491">INDEX(Innings!S:S,MATCH(1,(TRIM(Innings!A:A)=TRIM(A491))*(TRIM(Innings!D:D)=TRIM(E491)),0))</f>
        <v>51</v>
      </c>
      <c r="AE491" t="str" cm="1">
        <f t="array" ref="AE491">INDEX(Innings!W:W,MATCH(1,(TRIM(Innings!A:A)=TRIM(A491))*(TRIM(Innings!D:D)=TRIM(E491)),0))</f>
        <v>NA</v>
      </c>
      <c r="AF491">
        <f>IF(UPPER(TRIM(E491))=UPPER(TRIM(W491)),1,0)</f>
        <v>0</v>
      </c>
      <c r="AG491">
        <f t="shared" si="15"/>
        <v>0.25</v>
      </c>
    </row>
    <row r="492" spans="1:33" x14ac:dyDescent="0.3">
      <c r="A492" t="s">
        <v>338</v>
      </c>
      <c r="B492">
        <v>2</v>
      </c>
      <c r="C492" t="s">
        <v>202</v>
      </c>
      <c r="D492" t="s">
        <v>203</v>
      </c>
      <c r="E492" t="s">
        <v>158</v>
      </c>
      <c r="F492" t="s">
        <v>101</v>
      </c>
      <c r="G492" t="s">
        <v>104</v>
      </c>
      <c r="H492">
        <v>0</v>
      </c>
      <c r="I492">
        <v>0</v>
      </c>
      <c r="J492">
        <v>0</v>
      </c>
      <c r="K492" t="s">
        <v>104</v>
      </c>
      <c r="L492">
        <v>0</v>
      </c>
      <c r="M492">
        <v>4</v>
      </c>
      <c r="N492">
        <v>0</v>
      </c>
      <c r="O492">
        <v>27</v>
      </c>
      <c r="P492">
        <v>2</v>
      </c>
      <c r="Q492">
        <v>6.75</v>
      </c>
      <c r="R492">
        <v>34.5</v>
      </c>
      <c r="S492">
        <v>0</v>
      </c>
      <c r="T492">
        <v>0</v>
      </c>
      <c r="U492" s="8">
        <v>34.5</v>
      </c>
      <c r="V492" s="8">
        <f t="shared" si="14"/>
        <v>3</v>
      </c>
      <c r="W492" t="str">
        <f>_xlfn.XLOOKUP(A492, Matches!A:A, Matches!L:L, "NA", 0)</f>
        <v>MIW</v>
      </c>
      <c r="X492" t="str">
        <f>_xlfn.XLOOKUP(A492, Matches!A:A, Matches!J:J, "NA", 0)</f>
        <v>MIW</v>
      </c>
      <c r="Y492" t="str">
        <f>_xlfn.XLOOKUP(A492, Matches!A:A, Matches!F:F, "NA", 0)</f>
        <v>M. Chinnaswamy Stadium</v>
      </c>
      <c r="Z492" cm="1">
        <f t="array" ref="Z492">INDEX(Innings!F:F,MATCH(1,(TRIM(Innings!A:A)=TRIM(A492))*(TRIM(Innings!D:D)=TRIM(E492)),0))</f>
        <v>171</v>
      </c>
      <c r="AA492" cm="1">
        <f t="array" ref="AA492">INDEX(Innings!I:I,MATCH(1,(TRIM(Innings!A:A)=TRIM(A492))*(TRIM(Innings!D:D)=TRIM(E492)),0))</f>
        <v>8.5500000000000007</v>
      </c>
      <c r="AB492" cm="1">
        <f t="array" ref="AB492">INDEX(Innings!J:J,MATCH(1,(TRIM(Innings!A:A)=TRIM(A492))*(TRIM(Innings!D:D)=TRIM(E492)),0))</f>
        <v>26</v>
      </c>
      <c r="AC492" cm="1">
        <f t="array" ref="AC492">INDEX(Innings!N:N,MATCH(1,(TRIM(Innings!A:A)=TRIM(A492))*(TRIM(Innings!D:D)=TRIM(E492)),0))</f>
        <v>44</v>
      </c>
      <c r="AD492" cm="1">
        <f t="array" ref="AD492">INDEX(Innings!S:S,MATCH(1,(TRIM(Innings!A:A)=TRIM(A492))*(TRIM(Innings!D:D)=TRIM(E492)),0))</f>
        <v>51</v>
      </c>
      <c r="AE492" t="str" cm="1">
        <f t="array" ref="AE492">INDEX(Innings!W:W,MATCH(1,(TRIM(Innings!A:A)=TRIM(A492))*(TRIM(Innings!D:D)=TRIM(E492)),0))</f>
        <v>NA</v>
      </c>
      <c r="AF492">
        <f>IF(UPPER(TRIM(E492))=UPPER(TRIM(W492)),1,0)</f>
        <v>0</v>
      </c>
      <c r="AG492">
        <f t="shared" si="15"/>
        <v>18.149999999999999</v>
      </c>
    </row>
    <row r="493" spans="1:33" x14ac:dyDescent="0.3">
      <c r="A493" t="s">
        <v>338</v>
      </c>
      <c r="B493">
        <v>2</v>
      </c>
      <c r="C493" t="s">
        <v>274</v>
      </c>
      <c r="D493" t="s">
        <v>284</v>
      </c>
      <c r="E493" t="s">
        <v>158</v>
      </c>
      <c r="F493" t="s">
        <v>169</v>
      </c>
      <c r="G493" t="s">
        <v>104</v>
      </c>
      <c r="H493">
        <v>0</v>
      </c>
      <c r="I493">
        <v>0</v>
      </c>
      <c r="J493">
        <v>0</v>
      </c>
      <c r="K493" t="s">
        <v>104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 s="8">
        <v>0</v>
      </c>
      <c r="V493" s="8">
        <f t="shared" si="14"/>
        <v>0</v>
      </c>
      <c r="W493" t="str">
        <f>_xlfn.XLOOKUP(A493, Matches!A:A, Matches!L:L, "NA", 0)</f>
        <v>MIW</v>
      </c>
      <c r="X493" t="str">
        <f>_xlfn.XLOOKUP(A493, Matches!A:A, Matches!J:J, "NA", 0)</f>
        <v>MIW</v>
      </c>
      <c r="Y493" t="str">
        <f>_xlfn.XLOOKUP(A493, Matches!A:A, Matches!F:F, "NA", 0)</f>
        <v>M. Chinnaswamy Stadium</v>
      </c>
      <c r="Z493" cm="1">
        <f t="array" ref="Z493">INDEX(Innings!F:F,MATCH(1,(TRIM(Innings!A:A)=TRIM(A493))*(TRIM(Innings!D:D)=TRIM(E493)),0))</f>
        <v>171</v>
      </c>
      <c r="AA493" cm="1">
        <f t="array" ref="AA493">INDEX(Innings!I:I,MATCH(1,(TRIM(Innings!A:A)=TRIM(A493))*(TRIM(Innings!D:D)=TRIM(E493)),0))</f>
        <v>8.5500000000000007</v>
      </c>
      <c r="AB493" cm="1">
        <f t="array" ref="AB493">INDEX(Innings!J:J,MATCH(1,(TRIM(Innings!A:A)=TRIM(A493))*(TRIM(Innings!D:D)=TRIM(E493)),0))</f>
        <v>26</v>
      </c>
      <c r="AC493" cm="1">
        <f t="array" ref="AC493">INDEX(Innings!N:N,MATCH(1,(TRIM(Innings!A:A)=TRIM(A493))*(TRIM(Innings!D:D)=TRIM(E493)),0))</f>
        <v>44</v>
      </c>
      <c r="AD493" cm="1">
        <f t="array" ref="AD493">INDEX(Innings!S:S,MATCH(1,(TRIM(Innings!A:A)=TRIM(A493))*(TRIM(Innings!D:D)=TRIM(E493)),0))</f>
        <v>51</v>
      </c>
      <c r="AE493" t="str" cm="1">
        <f t="array" ref="AE493">INDEX(Innings!W:W,MATCH(1,(TRIM(Innings!A:A)=TRIM(A493))*(TRIM(Innings!D:D)=TRIM(E493)),0))</f>
        <v>NA</v>
      </c>
      <c r="AF493">
        <f>IF(UPPER(TRIM(E493))=UPPER(TRIM(W493)),1,0)</f>
        <v>0</v>
      </c>
      <c r="AG493">
        <f t="shared" si="15"/>
        <v>0</v>
      </c>
    </row>
    <row r="494" spans="1:33" x14ac:dyDescent="0.3">
      <c r="A494" t="s">
        <v>338</v>
      </c>
      <c r="B494">
        <v>2</v>
      </c>
      <c r="C494" t="s">
        <v>200</v>
      </c>
      <c r="D494" t="s">
        <v>201</v>
      </c>
      <c r="E494" t="s">
        <v>158</v>
      </c>
      <c r="F494" t="s">
        <v>85</v>
      </c>
      <c r="G494" t="s">
        <v>104</v>
      </c>
      <c r="H494">
        <v>0</v>
      </c>
      <c r="I494">
        <v>0</v>
      </c>
      <c r="J494">
        <v>0</v>
      </c>
      <c r="K494" t="s">
        <v>104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 s="8">
        <v>0</v>
      </c>
      <c r="V494" s="8">
        <f t="shared" si="14"/>
        <v>0</v>
      </c>
      <c r="W494" t="str">
        <f>_xlfn.XLOOKUP(A494, Matches!A:A, Matches!L:L, "NA", 0)</f>
        <v>MIW</v>
      </c>
      <c r="X494" t="str">
        <f>_xlfn.XLOOKUP(A494, Matches!A:A, Matches!J:J, "NA", 0)</f>
        <v>MIW</v>
      </c>
      <c r="Y494" t="str">
        <f>_xlfn.XLOOKUP(A494, Matches!A:A, Matches!F:F, "NA", 0)</f>
        <v>M. Chinnaswamy Stadium</v>
      </c>
      <c r="Z494" cm="1">
        <f t="array" ref="Z494">INDEX(Innings!F:F,MATCH(1,(TRIM(Innings!A:A)=TRIM(A494))*(TRIM(Innings!D:D)=TRIM(E494)),0))</f>
        <v>171</v>
      </c>
      <c r="AA494" cm="1">
        <f t="array" ref="AA494">INDEX(Innings!I:I,MATCH(1,(TRIM(Innings!A:A)=TRIM(A494))*(TRIM(Innings!D:D)=TRIM(E494)),0))</f>
        <v>8.5500000000000007</v>
      </c>
      <c r="AB494" cm="1">
        <f t="array" ref="AB494">INDEX(Innings!J:J,MATCH(1,(TRIM(Innings!A:A)=TRIM(A494))*(TRIM(Innings!D:D)=TRIM(E494)),0))</f>
        <v>26</v>
      </c>
      <c r="AC494" cm="1">
        <f t="array" ref="AC494">INDEX(Innings!N:N,MATCH(1,(TRIM(Innings!A:A)=TRIM(A494))*(TRIM(Innings!D:D)=TRIM(E494)),0))</f>
        <v>44</v>
      </c>
      <c r="AD494" cm="1">
        <f t="array" ref="AD494">INDEX(Innings!S:S,MATCH(1,(TRIM(Innings!A:A)=TRIM(A494))*(TRIM(Innings!D:D)=TRIM(E494)),0))</f>
        <v>51</v>
      </c>
      <c r="AE494" t="str" cm="1">
        <f t="array" ref="AE494">INDEX(Innings!W:W,MATCH(1,(TRIM(Innings!A:A)=TRIM(A494))*(TRIM(Innings!D:D)=TRIM(E494)),0))</f>
        <v>NA</v>
      </c>
      <c r="AF494">
        <f>IF(UPPER(TRIM(E494))=UPPER(TRIM(W494)),1,0)</f>
        <v>0</v>
      </c>
      <c r="AG494">
        <f t="shared" si="15"/>
        <v>0</v>
      </c>
    </row>
    <row r="495" spans="1:33" x14ac:dyDescent="0.3">
      <c r="A495" t="s">
        <v>338</v>
      </c>
      <c r="B495">
        <v>2</v>
      </c>
      <c r="C495" t="s">
        <v>206</v>
      </c>
      <c r="D495" t="s">
        <v>207</v>
      </c>
      <c r="E495" t="s">
        <v>158</v>
      </c>
      <c r="F495" t="s">
        <v>101</v>
      </c>
      <c r="G495" t="s">
        <v>104</v>
      </c>
      <c r="H495">
        <v>0</v>
      </c>
      <c r="I495">
        <v>0</v>
      </c>
      <c r="J495">
        <v>0</v>
      </c>
      <c r="K495" t="s">
        <v>104</v>
      </c>
      <c r="L495">
        <v>0</v>
      </c>
      <c r="M495">
        <v>2</v>
      </c>
      <c r="N495">
        <v>0</v>
      </c>
      <c r="O495">
        <v>18</v>
      </c>
      <c r="P495">
        <v>0</v>
      </c>
      <c r="Q495">
        <v>9</v>
      </c>
      <c r="R495">
        <v>0</v>
      </c>
      <c r="S495">
        <v>0</v>
      </c>
      <c r="T495">
        <v>0</v>
      </c>
      <c r="U495" s="8">
        <v>0</v>
      </c>
      <c r="V495" s="8">
        <f t="shared" si="14"/>
        <v>0</v>
      </c>
      <c r="W495" t="str">
        <f>_xlfn.XLOOKUP(A495, Matches!A:A, Matches!L:L, "NA", 0)</f>
        <v>MIW</v>
      </c>
      <c r="X495" t="str">
        <f>_xlfn.XLOOKUP(A495, Matches!A:A, Matches!J:J, "NA", 0)</f>
        <v>MIW</v>
      </c>
      <c r="Y495" t="str">
        <f>_xlfn.XLOOKUP(A495, Matches!A:A, Matches!F:F, "NA", 0)</f>
        <v>M. Chinnaswamy Stadium</v>
      </c>
      <c r="Z495" cm="1">
        <f t="array" ref="Z495">INDEX(Innings!F:F,MATCH(1,(TRIM(Innings!A:A)=TRIM(A495))*(TRIM(Innings!D:D)=TRIM(E495)),0))</f>
        <v>171</v>
      </c>
      <c r="AA495" cm="1">
        <f t="array" ref="AA495">INDEX(Innings!I:I,MATCH(1,(TRIM(Innings!A:A)=TRIM(A495))*(TRIM(Innings!D:D)=TRIM(E495)),0))</f>
        <v>8.5500000000000007</v>
      </c>
      <c r="AB495" cm="1">
        <f t="array" ref="AB495">INDEX(Innings!J:J,MATCH(1,(TRIM(Innings!A:A)=TRIM(A495))*(TRIM(Innings!D:D)=TRIM(E495)),0))</f>
        <v>26</v>
      </c>
      <c r="AC495" cm="1">
        <f t="array" ref="AC495">INDEX(Innings!N:N,MATCH(1,(TRIM(Innings!A:A)=TRIM(A495))*(TRIM(Innings!D:D)=TRIM(E495)),0))</f>
        <v>44</v>
      </c>
      <c r="AD495" cm="1">
        <f t="array" ref="AD495">INDEX(Innings!S:S,MATCH(1,(TRIM(Innings!A:A)=TRIM(A495))*(TRIM(Innings!D:D)=TRIM(E495)),0))</f>
        <v>51</v>
      </c>
      <c r="AE495" t="str" cm="1">
        <f t="array" ref="AE495">INDEX(Innings!W:W,MATCH(1,(TRIM(Innings!A:A)=TRIM(A495))*(TRIM(Innings!D:D)=TRIM(E495)),0))</f>
        <v>NA</v>
      </c>
      <c r="AF495">
        <f>IF(UPPER(TRIM(E495))=UPPER(TRIM(W495)),1,0)</f>
        <v>0</v>
      </c>
      <c r="AG495">
        <f t="shared" si="15"/>
        <v>0</v>
      </c>
    </row>
    <row r="496" spans="1:33" x14ac:dyDescent="0.3">
      <c r="A496" t="s">
        <v>338</v>
      </c>
      <c r="B496">
        <v>2</v>
      </c>
      <c r="C496" t="s">
        <v>204</v>
      </c>
      <c r="D496" t="s">
        <v>205</v>
      </c>
      <c r="E496" t="s">
        <v>158</v>
      </c>
      <c r="F496" t="s">
        <v>169</v>
      </c>
      <c r="G496" t="s">
        <v>104</v>
      </c>
      <c r="H496">
        <v>0</v>
      </c>
      <c r="I496">
        <v>0</v>
      </c>
      <c r="J496">
        <v>0</v>
      </c>
      <c r="K496" t="s">
        <v>104</v>
      </c>
      <c r="L496">
        <v>0</v>
      </c>
      <c r="M496">
        <v>4</v>
      </c>
      <c r="N496">
        <v>0</v>
      </c>
      <c r="O496">
        <v>32</v>
      </c>
      <c r="P496">
        <v>1</v>
      </c>
      <c r="Q496">
        <v>8</v>
      </c>
      <c r="R496">
        <v>12</v>
      </c>
      <c r="S496">
        <v>0</v>
      </c>
      <c r="T496">
        <v>0</v>
      </c>
      <c r="U496" s="8">
        <v>12</v>
      </c>
      <c r="V496" s="8">
        <f t="shared" si="14"/>
        <v>1</v>
      </c>
      <c r="W496" t="str">
        <f>_xlfn.XLOOKUP(A496, Matches!A:A, Matches!L:L, "NA", 0)</f>
        <v>MIW</v>
      </c>
      <c r="X496" t="str">
        <f>_xlfn.XLOOKUP(A496, Matches!A:A, Matches!J:J, "NA", 0)</f>
        <v>MIW</v>
      </c>
      <c r="Y496" t="str">
        <f>_xlfn.XLOOKUP(A496, Matches!A:A, Matches!F:F, "NA", 0)</f>
        <v>M. Chinnaswamy Stadium</v>
      </c>
      <c r="Z496" cm="1">
        <f t="array" ref="Z496">INDEX(Innings!F:F,MATCH(1,(TRIM(Innings!A:A)=TRIM(A496))*(TRIM(Innings!D:D)=TRIM(E496)),0))</f>
        <v>171</v>
      </c>
      <c r="AA496" cm="1">
        <f t="array" ref="AA496">INDEX(Innings!I:I,MATCH(1,(TRIM(Innings!A:A)=TRIM(A496))*(TRIM(Innings!D:D)=TRIM(E496)),0))</f>
        <v>8.5500000000000007</v>
      </c>
      <c r="AB496" cm="1">
        <f t="array" ref="AB496">INDEX(Innings!J:J,MATCH(1,(TRIM(Innings!A:A)=TRIM(A496))*(TRIM(Innings!D:D)=TRIM(E496)),0))</f>
        <v>26</v>
      </c>
      <c r="AC496" cm="1">
        <f t="array" ref="AC496">INDEX(Innings!N:N,MATCH(1,(TRIM(Innings!A:A)=TRIM(A496))*(TRIM(Innings!D:D)=TRIM(E496)),0))</f>
        <v>44</v>
      </c>
      <c r="AD496" cm="1">
        <f t="array" ref="AD496">INDEX(Innings!S:S,MATCH(1,(TRIM(Innings!A:A)=TRIM(A496))*(TRIM(Innings!D:D)=TRIM(E496)),0))</f>
        <v>51</v>
      </c>
      <c r="AE496" t="str" cm="1">
        <f t="array" ref="AE496">INDEX(Innings!W:W,MATCH(1,(TRIM(Innings!A:A)=TRIM(A496))*(TRIM(Innings!D:D)=TRIM(E496)),0))</f>
        <v>NA</v>
      </c>
      <c r="AF496">
        <f>IF(UPPER(TRIM(E496))=UPPER(TRIM(W496)),1,0)</f>
        <v>0</v>
      </c>
      <c r="AG496">
        <f t="shared" si="15"/>
        <v>6.3</v>
      </c>
    </row>
    <row r="497" spans="1:33" x14ac:dyDescent="0.3">
      <c r="A497" t="s">
        <v>338</v>
      </c>
      <c r="B497">
        <v>2</v>
      </c>
      <c r="C497" t="s">
        <v>112</v>
      </c>
      <c r="D497" t="s">
        <v>88</v>
      </c>
      <c r="E497" t="s">
        <v>266</v>
      </c>
      <c r="F497" t="s">
        <v>169</v>
      </c>
      <c r="G497" t="s">
        <v>86</v>
      </c>
      <c r="H497">
        <v>0</v>
      </c>
      <c r="I497">
        <v>2</v>
      </c>
      <c r="J497">
        <v>0</v>
      </c>
      <c r="K497" t="s">
        <v>246</v>
      </c>
      <c r="L497">
        <v>0</v>
      </c>
      <c r="M497">
        <v>2</v>
      </c>
      <c r="N497">
        <v>0</v>
      </c>
      <c r="O497">
        <v>21</v>
      </c>
      <c r="P497">
        <v>0</v>
      </c>
      <c r="Q497">
        <v>10.5</v>
      </c>
      <c r="R497">
        <v>0</v>
      </c>
      <c r="S497">
        <v>0</v>
      </c>
      <c r="T497">
        <v>0</v>
      </c>
      <c r="U497" s="8">
        <v>0</v>
      </c>
      <c r="V497" s="8">
        <f t="shared" si="14"/>
        <v>0</v>
      </c>
      <c r="W497" t="str">
        <f>_xlfn.XLOOKUP(A497, Matches!A:A, Matches!L:L, "NA", 0)</f>
        <v>MIW</v>
      </c>
      <c r="X497" t="str">
        <f>_xlfn.XLOOKUP(A497, Matches!A:A, Matches!J:J, "NA", 0)</f>
        <v>MIW</v>
      </c>
      <c r="Y497" t="str">
        <f>_xlfn.XLOOKUP(A497, Matches!A:A, Matches!F:F, "NA", 0)</f>
        <v>M. Chinnaswamy Stadium</v>
      </c>
      <c r="Z497" cm="1">
        <f t="array" ref="Z497">INDEX(Innings!F:F,MATCH(1,(TRIM(Innings!A:A)=TRIM(A497))*(TRIM(Innings!D:D)=TRIM(E497)),0))</f>
        <v>173</v>
      </c>
      <c r="AA497" cm="1">
        <f t="array" ref="AA497">INDEX(Innings!I:I,MATCH(1,(TRIM(Innings!A:A)=TRIM(A497))*(TRIM(Innings!D:D)=TRIM(E497)),0))</f>
        <v>8.65</v>
      </c>
      <c r="AB497" cm="1">
        <f t="array" ref="AB497">INDEX(Innings!J:J,MATCH(1,(TRIM(Innings!A:A)=TRIM(A497))*(TRIM(Innings!D:D)=TRIM(E497)),0))</f>
        <v>50</v>
      </c>
      <c r="AC497" cm="1">
        <f t="array" ref="AC497">INDEX(Innings!N:N,MATCH(1,(TRIM(Innings!A:A)=TRIM(A497))*(TRIM(Innings!D:D)=TRIM(E497)),0))</f>
        <v>44</v>
      </c>
      <c r="AD497" cm="1">
        <f t="array" ref="AD497">INDEX(Innings!S:S,MATCH(1,(TRIM(Innings!A:A)=TRIM(A497))*(TRIM(Innings!D:D)=TRIM(E497)),0))</f>
        <v>50</v>
      </c>
      <c r="AE497" t="str" cm="1">
        <f t="array" ref="AE497">INDEX(Innings!W:W,MATCH(1,(TRIM(Innings!A:A)=TRIM(A497))*(TRIM(Innings!D:D)=TRIM(E497)),0))</f>
        <v>Successful</v>
      </c>
      <c r="AF497">
        <f>IF(UPPER(TRIM(E497))=UPPER(TRIM(W497)),1,0)</f>
        <v>1</v>
      </c>
      <c r="AG497">
        <f t="shared" si="15"/>
        <v>20</v>
      </c>
    </row>
    <row r="498" spans="1:33" x14ac:dyDescent="0.3">
      <c r="A498" t="s">
        <v>338</v>
      </c>
      <c r="B498">
        <v>2</v>
      </c>
      <c r="C498" t="s">
        <v>113</v>
      </c>
      <c r="D498" t="s">
        <v>84</v>
      </c>
      <c r="E498" t="s">
        <v>266</v>
      </c>
      <c r="F498" t="s">
        <v>85</v>
      </c>
      <c r="G498" t="s">
        <v>86</v>
      </c>
      <c r="H498">
        <v>57</v>
      </c>
      <c r="I498">
        <v>45</v>
      </c>
      <c r="J498">
        <v>126.67</v>
      </c>
      <c r="K498" t="s">
        <v>246</v>
      </c>
      <c r="L498">
        <v>64.67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 s="8">
        <v>64.67</v>
      </c>
      <c r="V498" s="8">
        <f t="shared" si="14"/>
        <v>6</v>
      </c>
      <c r="W498" t="str">
        <f>_xlfn.XLOOKUP(A498, Matches!A:A, Matches!L:L, "NA", 0)</f>
        <v>MIW</v>
      </c>
      <c r="X498" t="str">
        <f>_xlfn.XLOOKUP(A498, Matches!A:A, Matches!J:J, "NA", 0)</f>
        <v>MIW</v>
      </c>
      <c r="Y498" t="str">
        <f>_xlfn.XLOOKUP(A498, Matches!A:A, Matches!F:F, "NA", 0)</f>
        <v>M. Chinnaswamy Stadium</v>
      </c>
      <c r="Z498" cm="1">
        <f t="array" ref="Z498">INDEX(Innings!F:F,MATCH(1,(TRIM(Innings!A:A)=TRIM(A498))*(TRIM(Innings!D:D)=TRIM(E498)),0))</f>
        <v>173</v>
      </c>
      <c r="AA498" cm="1">
        <f t="array" ref="AA498">INDEX(Innings!I:I,MATCH(1,(TRIM(Innings!A:A)=TRIM(A498))*(TRIM(Innings!D:D)=TRIM(E498)),0))</f>
        <v>8.65</v>
      </c>
      <c r="AB498" cm="1">
        <f t="array" ref="AB498">INDEX(Innings!J:J,MATCH(1,(TRIM(Innings!A:A)=TRIM(A498))*(TRIM(Innings!D:D)=TRIM(E498)),0))</f>
        <v>50</v>
      </c>
      <c r="AC498" cm="1">
        <f t="array" ref="AC498">INDEX(Innings!N:N,MATCH(1,(TRIM(Innings!A:A)=TRIM(A498))*(TRIM(Innings!D:D)=TRIM(E498)),0))</f>
        <v>44</v>
      </c>
      <c r="AD498" cm="1">
        <f t="array" ref="AD498">INDEX(Innings!S:S,MATCH(1,(TRIM(Innings!A:A)=TRIM(A498))*(TRIM(Innings!D:D)=TRIM(E498)),0))</f>
        <v>50</v>
      </c>
      <c r="AE498" t="str" cm="1">
        <f t="array" ref="AE498">INDEX(Innings!W:W,MATCH(1,(TRIM(Innings!A:A)=TRIM(A498))*(TRIM(Innings!D:D)=TRIM(E498)),0))</f>
        <v>Successful</v>
      </c>
      <c r="AF498">
        <f>IF(UPPER(TRIM(E498))=UPPER(TRIM(W498)),1,0)</f>
        <v>1</v>
      </c>
      <c r="AG498">
        <f t="shared" si="15"/>
        <v>54.134999999999998</v>
      </c>
    </row>
    <row r="499" spans="1:33" x14ac:dyDescent="0.3">
      <c r="A499" t="s">
        <v>338</v>
      </c>
      <c r="B499">
        <v>2</v>
      </c>
      <c r="C499" t="s">
        <v>117</v>
      </c>
      <c r="D499" t="s">
        <v>90</v>
      </c>
      <c r="E499" t="s">
        <v>266</v>
      </c>
      <c r="F499" t="s">
        <v>169</v>
      </c>
      <c r="G499" t="s">
        <v>92</v>
      </c>
      <c r="H499">
        <v>19</v>
      </c>
      <c r="I499">
        <v>17</v>
      </c>
      <c r="J499">
        <v>111.76</v>
      </c>
      <c r="K499" t="s">
        <v>245</v>
      </c>
      <c r="L499">
        <v>25.18</v>
      </c>
      <c r="M499">
        <v>4</v>
      </c>
      <c r="N499">
        <v>0</v>
      </c>
      <c r="O499">
        <v>33</v>
      </c>
      <c r="P499">
        <v>2</v>
      </c>
      <c r="Q499">
        <v>8.25</v>
      </c>
      <c r="R499">
        <v>27.5</v>
      </c>
      <c r="S499">
        <v>0</v>
      </c>
      <c r="T499">
        <v>0</v>
      </c>
      <c r="U499" s="8">
        <v>52.68</v>
      </c>
      <c r="V499" s="8">
        <f t="shared" si="14"/>
        <v>5</v>
      </c>
      <c r="W499" t="str">
        <f>_xlfn.XLOOKUP(A499, Matches!A:A, Matches!L:L, "NA", 0)</f>
        <v>MIW</v>
      </c>
      <c r="X499" t="str">
        <f>_xlfn.XLOOKUP(A499, Matches!A:A, Matches!J:J, "NA", 0)</f>
        <v>MIW</v>
      </c>
      <c r="Y499" t="str">
        <f>_xlfn.XLOOKUP(A499, Matches!A:A, Matches!F:F, "NA", 0)</f>
        <v>M. Chinnaswamy Stadium</v>
      </c>
      <c r="Z499" cm="1">
        <f t="array" ref="Z499">INDEX(Innings!F:F,MATCH(1,(TRIM(Innings!A:A)=TRIM(A499))*(TRIM(Innings!D:D)=TRIM(E499)),0))</f>
        <v>173</v>
      </c>
      <c r="AA499" cm="1">
        <f t="array" ref="AA499">INDEX(Innings!I:I,MATCH(1,(TRIM(Innings!A:A)=TRIM(A499))*(TRIM(Innings!D:D)=TRIM(E499)),0))</f>
        <v>8.65</v>
      </c>
      <c r="AB499" cm="1">
        <f t="array" ref="AB499">INDEX(Innings!J:J,MATCH(1,(TRIM(Innings!A:A)=TRIM(A499))*(TRIM(Innings!D:D)=TRIM(E499)),0))</f>
        <v>50</v>
      </c>
      <c r="AC499" cm="1">
        <f t="array" ref="AC499">INDEX(Innings!N:N,MATCH(1,(TRIM(Innings!A:A)=TRIM(A499))*(TRIM(Innings!D:D)=TRIM(E499)),0))</f>
        <v>44</v>
      </c>
      <c r="AD499" cm="1">
        <f t="array" ref="AD499">INDEX(Innings!S:S,MATCH(1,(TRIM(Innings!A:A)=TRIM(A499))*(TRIM(Innings!D:D)=TRIM(E499)),0))</f>
        <v>50</v>
      </c>
      <c r="AE499" t="str" cm="1">
        <f t="array" ref="AE499">INDEX(Innings!W:W,MATCH(1,(TRIM(Innings!A:A)=TRIM(A499))*(TRIM(Innings!D:D)=TRIM(E499)),0))</f>
        <v>Successful</v>
      </c>
      <c r="AF499">
        <f>IF(UPPER(TRIM(E499))=UPPER(TRIM(W499)),1,0)</f>
        <v>1</v>
      </c>
      <c r="AG499">
        <f t="shared" si="15"/>
        <v>47.84</v>
      </c>
    </row>
    <row r="500" spans="1:33" x14ac:dyDescent="0.3">
      <c r="A500" t="s">
        <v>338</v>
      </c>
      <c r="B500">
        <v>2</v>
      </c>
      <c r="C500" t="s">
        <v>115</v>
      </c>
      <c r="D500" t="s">
        <v>17</v>
      </c>
      <c r="E500" t="s">
        <v>266</v>
      </c>
      <c r="F500" t="s">
        <v>169</v>
      </c>
      <c r="G500" t="s">
        <v>92</v>
      </c>
      <c r="H500">
        <v>55</v>
      </c>
      <c r="I500">
        <v>34</v>
      </c>
      <c r="J500">
        <v>161.76</v>
      </c>
      <c r="K500" t="s">
        <v>246</v>
      </c>
      <c r="L500">
        <v>66.180000000000007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 s="8">
        <v>66.180000000000007</v>
      </c>
      <c r="V500" s="8">
        <f t="shared" si="14"/>
        <v>7</v>
      </c>
      <c r="W500" t="str">
        <f>_xlfn.XLOOKUP(A500, Matches!A:A, Matches!L:L, "NA", 0)</f>
        <v>MIW</v>
      </c>
      <c r="X500" t="str">
        <f>_xlfn.XLOOKUP(A500, Matches!A:A, Matches!J:J, "NA", 0)</f>
        <v>MIW</v>
      </c>
      <c r="Y500" t="str">
        <f>_xlfn.XLOOKUP(A500, Matches!A:A, Matches!F:F, "NA", 0)</f>
        <v>M. Chinnaswamy Stadium</v>
      </c>
      <c r="Z500" cm="1">
        <f t="array" ref="Z500">INDEX(Innings!F:F,MATCH(1,(TRIM(Innings!A:A)=TRIM(A500))*(TRIM(Innings!D:D)=TRIM(E500)),0))</f>
        <v>173</v>
      </c>
      <c r="AA500" cm="1">
        <f t="array" ref="AA500">INDEX(Innings!I:I,MATCH(1,(TRIM(Innings!A:A)=TRIM(A500))*(TRIM(Innings!D:D)=TRIM(E500)),0))</f>
        <v>8.65</v>
      </c>
      <c r="AB500" cm="1">
        <f t="array" ref="AB500">INDEX(Innings!J:J,MATCH(1,(TRIM(Innings!A:A)=TRIM(A500))*(TRIM(Innings!D:D)=TRIM(E500)),0))</f>
        <v>50</v>
      </c>
      <c r="AC500" cm="1">
        <f t="array" ref="AC500">INDEX(Innings!N:N,MATCH(1,(TRIM(Innings!A:A)=TRIM(A500))*(TRIM(Innings!D:D)=TRIM(E500)),0))</f>
        <v>44</v>
      </c>
      <c r="AD500" cm="1">
        <f t="array" ref="AD500">INDEX(Innings!S:S,MATCH(1,(TRIM(Innings!A:A)=TRIM(A500))*(TRIM(Innings!D:D)=TRIM(E500)),0))</f>
        <v>50</v>
      </c>
      <c r="AE500" t="str" cm="1">
        <f t="array" ref="AE500">INDEX(Innings!W:W,MATCH(1,(TRIM(Innings!A:A)=TRIM(A500))*(TRIM(Innings!D:D)=TRIM(E500)),0))</f>
        <v>Successful</v>
      </c>
      <c r="AF500">
        <f>IF(UPPER(TRIM(E500))=UPPER(TRIM(W500)),1,0)</f>
        <v>1</v>
      </c>
      <c r="AG500">
        <f t="shared" si="15"/>
        <v>55.190000000000005</v>
      </c>
    </row>
    <row r="501" spans="1:33" x14ac:dyDescent="0.3">
      <c r="A501" t="s">
        <v>338</v>
      </c>
      <c r="B501">
        <v>2</v>
      </c>
      <c r="C501" t="s">
        <v>119</v>
      </c>
      <c r="D501" t="s">
        <v>95</v>
      </c>
      <c r="E501" t="s">
        <v>266</v>
      </c>
      <c r="F501" t="s">
        <v>169</v>
      </c>
      <c r="G501" t="s">
        <v>134</v>
      </c>
      <c r="H501">
        <v>24</v>
      </c>
      <c r="I501">
        <v>18</v>
      </c>
      <c r="J501">
        <v>133.33000000000001</v>
      </c>
      <c r="K501" t="s">
        <v>245</v>
      </c>
      <c r="L501">
        <v>32.33</v>
      </c>
      <c r="M501">
        <v>4</v>
      </c>
      <c r="N501">
        <v>0</v>
      </c>
      <c r="O501">
        <v>43</v>
      </c>
      <c r="P501">
        <v>2</v>
      </c>
      <c r="Q501">
        <v>10.75</v>
      </c>
      <c r="R501">
        <v>23.5</v>
      </c>
      <c r="S501">
        <v>0</v>
      </c>
      <c r="T501">
        <v>0</v>
      </c>
      <c r="U501" s="8">
        <v>55.83</v>
      </c>
      <c r="V501" s="8">
        <f t="shared" si="14"/>
        <v>6</v>
      </c>
      <c r="W501" t="str">
        <f>_xlfn.XLOOKUP(A501, Matches!A:A, Matches!L:L, "NA", 0)</f>
        <v>MIW</v>
      </c>
      <c r="X501" t="str">
        <f>_xlfn.XLOOKUP(A501, Matches!A:A, Matches!J:J, "NA", 0)</f>
        <v>MIW</v>
      </c>
      <c r="Y501" t="str">
        <f>_xlfn.XLOOKUP(A501, Matches!A:A, Matches!F:F, "NA", 0)</f>
        <v>M. Chinnaswamy Stadium</v>
      </c>
      <c r="Z501" cm="1">
        <f t="array" ref="Z501">INDEX(Innings!F:F,MATCH(1,(TRIM(Innings!A:A)=TRIM(A501))*(TRIM(Innings!D:D)=TRIM(E501)),0))</f>
        <v>173</v>
      </c>
      <c r="AA501" cm="1">
        <f t="array" ref="AA501">INDEX(Innings!I:I,MATCH(1,(TRIM(Innings!A:A)=TRIM(A501))*(TRIM(Innings!D:D)=TRIM(E501)),0))</f>
        <v>8.65</v>
      </c>
      <c r="AB501" cm="1">
        <f t="array" ref="AB501">INDEX(Innings!J:J,MATCH(1,(TRIM(Innings!A:A)=TRIM(A501))*(TRIM(Innings!D:D)=TRIM(E501)),0))</f>
        <v>50</v>
      </c>
      <c r="AC501" cm="1">
        <f t="array" ref="AC501">INDEX(Innings!N:N,MATCH(1,(TRIM(Innings!A:A)=TRIM(A501))*(TRIM(Innings!D:D)=TRIM(E501)),0))</f>
        <v>44</v>
      </c>
      <c r="AD501" cm="1">
        <f t="array" ref="AD501">INDEX(Innings!S:S,MATCH(1,(TRIM(Innings!A:A)=TRIM(A501))*(TRIM(Innings!D:D)=TRIM(E501)),0))</f>
        <v>50</v>
      </c>
      <c r="AE501" t="str" cm="1">
        <f t="array" ref="AE501">INDEX(Innings!W:W,MATCH(1,(TRIM(Innings!A:A)=TRIM(A501))*(TRIM(Innings!D:D)=TRIM(E501)),0))</f>
        <v>Successful</v>
      </c>
      <c r="AF501">
        <f>IF(UPPER(TRIM(E501))=UPPER(TRIM(W501)),1,0)</f>
        <v>1</v>
      </c>
      <c r="AG501">
        <f t="shared" si="15"/>
        <v>49.715000000000003</v>
      </c>
    </row>
    <row r="502" spans="1:33" x14ac:dyDescent="0.3">
      <c r="A502" t="s">
        <v>338</v>
      </c>
      <c r="B502">
        <v>2</v>
      </c>
      <c r="C502" t="s">
        <v>123</v>
      </c>
      <c r="D502" t="s">
        <v>98</v>
      </c>
      <c r="E502" t="s">
        <v>266</v>
      </c>
      <c r="F502" t="s">
        <v>169</v>
      </c>
      <c r="G502" t="s">
        <v>134</v>
      </c>
      <c r="H502">
        <v>1</v>
      </c>
      <c r="I502">
        <v>3</v>
      </c>
      <c r="J502">
        <v>33.33</v>
      </c>
      <c r="K502" t="s">
        <v>246</v>
      </c>
      <c r="L502">
        <v>0</v>
      </c>
      <c r="M502">
        <v>2</v>
      </c>
      <c r="N502">
        <v>0</v>
      </c>
      <c r="O502">
        <v>18</v>
      </c>
      <c r="P502">
        <v>0</v>
      </c>
      <c r="Q502">
        <v>9</v>
      </c>
      <c r="R502">
        <v>0</v>
      </c>
      <c r="S502">
        <v>0</v>
      </c>
      <c r="T502">
        <v>0</v>
      </c>
      <c r="U502" s="8">
        <v>0</v>
      </c>
      <c r="V502" s="8">
        <f t="shared" si="14"/>
        <v>0</v>
      </c>
      <c r="W502" t="str">
        <f>_xlfn.XLOOKUP(A502, Matches!A:A, Matches!L:L, "NA", 0)</f>
        <v>MIW</v>
      </c>
      <c r="X502" t="str">
        <f>_xlfn.XLOOKUP(A502, Matches!A:A, Matches!J:J, "NA", 0)</f>
        <v>MIW</v>
      </c>
      <c r="Y502" t="str">
        <f>_xlfn.XLOOKUP(A502, Matches!A:A, Matches!F:F, "NA", 0)</f>
        <v>M. Chinnaswamy Stadium</v>
      </c>
      <c r="Z502" cm="1">
        <f t="array" ref="Z502">INDEX(Innings!F:F,MATCH(1,(TRIM(Innings!A:A)=TRIM(A502))*(TRIM(Innings!D:D)=TRIM(E502)),0))</f>
        <v>173</v>
      </c>
      <c r="AA502" cm="1">
        <f t="array" ref="AA502">INDEX(Innings!I:I,MATCH(1,(TRIM(Innings!A:A)=TRIM(A502))*(TRIM(Innings!D:D)=TRIM(E502)),0))</f>
        <v>8.65</v>
      </c>
      <c r="AB502" cm="1">
        <f t="array" ref="AB502">INDEX(Innings!J:J,MATCH(1,(TRIM(Innings!A:A)=TRIM(A502))*(TRIM(Innings!D:D)=TRIM(E502)),0))</f>
        <v>50</v>
      </c>
      <c r="AC502" cm="1">
        <f t="array" ref="AC502">INDEX(Innings!N:N,MATCH(1,(TRIM(Innings!A:A)=TRIM(A502))*(TRIM(Innings!D:D)=TRIM(E502)),0))</f>
        <v>44</v>
      </c>
      <c r="AD502" cm="1">
        <f t="array" ref="AD502">INDEX(Innings!S:S,MATCH(1,(TRIM(Innings!A:A)=TRIM(A502))*(TRIM(Innings!D:D)=TRIM(E502)),0))</f>
        <v>50</v>
      </c>
      <c r="AE502" t="str" cm="1">
        <f t="array" ref="AE502">INDEX(Innings!W:W,MATCH(1,(TRIM(Innings!A:A)=TRIM(A502))*(TRIM(Innings!D:D)=TRIM(E502)),0))</f>
        <v>Successful</v>
      </c>
      <c r="AF502">
        <f>IF(UPPER(TRIM(E502))=UPPER(TRIM(W502)),1,0)</f>
        <v>1</v>
      </c>
      <c r="AG502">
        <f t="shared" si="15"/>
        <v>20</v>
      </c>
    </row>
    <row r="503" spans="1:33" x14ac:dyDescent="0.3">
      <c r="A503" t="s">
        <v>338</v>
      </c>
      <c r="B503">
        <v>2</v>
      </c>
      <c r="C503" t="s">
        <v>121</v>
      </c>
      <c r="D503" t="s">
        <v>108</v>
      </c>
      <c r="E503" t="s">
        <v>266</v>
      </c>
      <c r="F503" t="s">
        <v>169</v>
      </c>
      <c r="G503" t="s">
        <v>134</v>
      </c>
      <c r="H503">
        <v>3</v>
      </c>
      <c r="I503">
        <v>2</v>
      </c>
      <c r="J503">
        <v>150</v>
      </c>
      <c r="K503" t="s">
        <v>96</v>
      </c>
      <c r="L503">
        <v>4.5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 s="8">
        <v>4.5</v>
      </c>
      <c r="V503" s="8">
        <f t="shared" si="14"/>
        <v>0</v>
      </c>
      <c r="W503" t="str">
        <f>_xlfn.XLOOKUP(A503, Matches!A:A, Matches!L:L, "NA", 0)</f>
        <v>MIW</v>
      </c>
      <c r="X503" t="str">
        <f>_xlfn.XLOOKUP(A503, Matches!A:A, Matches!J:J, "NA", 0)</f>
        <v>MIW</v>
      </c>
      <c r="Y503" t="str">
        <f>_xlfn.XLOOKUP(A503, Matches!A:A, Matches!F:F, "NA", 0)</f>
        <v>M. Chinnaswamy Stadium</v>
      </c>
      <c r="Z503" cm="1">
        <f t="array" ref="Z503">INDEX(Innings!F:F,MATCH(1,(TRIM(Innings!A:A)=TRIM(A503))*(TRIM(Innings!D:D)=TRIM(E503)),0))</f>
        <v>173</v>
      </c>
      <c r="AA503" cm="1">
        <f t="array" ref="AA503">INDEX(Innings!I:I,MATCH(1,(TRIM(Innings!A:A)=TRIM(A503))*(TRIM(Innings!D:D)=TRIM(E503)),0))</f>
        <v>8.65</v>
      </c>
      <c r="AB503" cm="1">
        <f t="array" ref="AB503">INDEX(Innings!J:J,MATCH(1,(TRIM(Innings!A:A)=TRIM(A503))*(TRIM(Innings!D:D)=TRIM(E503)),0))</f>
        <v>50</v>
      </c>
      <c r="AC503" cm="1">
        <f t="array" ref="AC503">INDEX(Innings!N:N,MATCH(1,(TRIM(Innings!A:A)=TRIM(A503))*(TRIM(Innings!D:D)=TRIM(E503)),0))</f>
        <v>44</v>
      </c>
      <c r="AD503" cm="1">
        <f t="array" ref="AD503">INDEX(Innings!S:S,MATCH(1,(TRIM(Innings!A:A)=TRIM(A503))*(TRIM(Innings!D:D)=TRIM(E503)),0))</f>
        <v>50</v>
      </c>
      <c r="AE503" t="str" cm="1">
        <f t="array" ref="AE503">INDEX(Innings!W:W,MATCH(1,(TRIM(Innings!A:A)=TRIM(A503))*(TRIM(Innings!D:D)=TRIM(E503)),0))</f>
        <v>Successful</v>
      </c>
      <c r="AF503">
        <f>IF(UPPER(TRIM(E503))=UPPER(TRIM(W503)),1,0)</f>
        <v>1</v>
      </c>
      <c r="AG503">
        <f t="shared" si="15"/>
        <v>22.25</v>
      </c>
    </row>
    <row r="504" spans="1:33" x14ac:dyDescent="0.3">
      <c r="A504" t="s">
        <v>338</v>
      </c>
      <c r="B504">
        <v>2</v>
      </c>
      <c r="C504" t="s">
        <v>347</v>
      </c>
      <c r="D504" t="s">
        <v>348</v>
      </c>
      <c r="E504" t="s">
        <v>266</v>
      </c>
      <c r="F504" t="s">
        <v>109</v>
      </c>
      <c r="G504" t="s">
        <v>134</v>
      </c>
      <c r="H504">
        <v>6</v>
      </c>
      <c r="I504">
        <v>1</v>
      </c>
      <c r="J504">
        <v>600</v>
      </c>
      <c r="K504" t="s">
        <v>96</v>
      </c>
      <c r="L504">
        <v>36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 s="8">
        <v>36</v>
      </c>
      <c r="V504" s="8">
        <f t="shared" si="14"/>
        <v>4</v>
      </c>
      <c r="W504" t="str">
        <f>_xlfn.XLOOKUP(A504, Matches!A:A, Matches!L:L, "NA", 0)</f>
        <v>MIW</v>
      </c>
      <c r="X504" t="str">
        <f>_xlfn.XLOOKUP(A504, Matches!A:A, Matches!J:J, "NA", 0)</f>
        <v>MIW</v>
      </c>
      <c r="Y504" t="str">
        <f>_xlfn.XLOOKUP(A504, Matches!A:A, Matches!F:F, "NA", 0)</f>
        <v>M. Chinnaswamy Stadium</v>
      </c>
      <c r="Z504" cm="1">
        <f t="array" ref="Z504">INDEX(Innings!F:F,MATCH(1,(TRIM(Innings!A:A)=TRIM(A504))*(TRIM(Innings!D:D)=TRIM(E504)),0))</f>
        <v>173</v>
      </c>
      <c r="AA504" cm="1">
        <f t="array" ref="AA504">INDEX(Innings!I:I,MATCH(1,(TRIM(Innings!A:A)=TRIM(A504))*(TRIM(Innings!D:D)=TRIM(E504)),0))</f>
        <v>8.65</v>
      </c>
      <c r="AB504" cm="1">
        <f t="array" ref="AB504">INDEX(Innings!J:J,MATCH(1,(TRIM(Innings!A:A)=TRIM(A504))*(TRIM(Innings!D:D)=TRIM(E504)),0))</f>
        <v>50</v>
      </c>
      <c r="AC504" cm="1">
        <f t="array" ref="AC504">INDEX(Innings!N:N,MATCH(1,(TRIM(Innings!A:A)=TRIM(A504))*(TRIM(Innings!D:D)=TRIM(E504)),0))</f>
        <v>44</v>
      </c>
      <c r="AD504" cm="1">
        <f t="array" ref="AD504">INDEX(Innings!S:S,MATCH(1,(TRIM(Innings!A:A)=TRIM(A504))*(TRIM(Innings!D:D)=TRIM(E504)),0))</f>
        <v>50</v>
      </c>
      <c r="AE504" t="str" cm="1">
        <f t="array" ref="AE504">INDEX(Innings!W:W,MATCH(1,(TRIM(Innings!A:A)=TRIM(A504))*(TRIM(Innings!D:D)=TRIM(E504)),0))</f>
        <v>Successful</v>
      </c>
      <c r="AF504">
        <f>IF(UPPER(TRIM(E504))=UPPER(TRIM(W504)),1,0)</f>
        <v>1</v>
      </c>
      <c r="AG504">
        <f t="shared" si="15"/>
        <v>39.200000000000003</v>
      </c>
    </row>
    <row r="505" spans="1:33" x14ac:dyDescent="0.3">
      <c r="A505" t="s">
        <v>338</v>
      </c>
      <c r="B505">
        <v>2</v>
      </c>
      <c r="C505" t="s">
        <v>265</v>
      </c>
      <c r="D505" t="s">
        <v>264</v>
      </c>
      <c r="E505" t="s">
        <v>266</v>
      </c>
      <c r="F505" t="s">
        <v>101</v>
      </c>
      <c r="G505" t="s">
        <v>104</v>
      </c>
      <c r="H505">
        <v>0</v>
      </c>
      <c r="I505">
        <v>0</v>
      </c>
      <c r="J505">
        <v>0</v>
      </c>
      <c r="K505" t="s">
        <v>104</v>
      </c>
      <c r="L505">
        <v>0</v>
      </c>
      <c r="M505">
        <v>4</v>
      </c>
      <c r="N505">
        <v>0</v>
      </c>
      <c r="O505">
        <v>24</v>
      </c>
      <c r="P505">
        <v>1</v>
      </c>
      <c r="Q505">
        <v>6</v>
      </c>
      <c r="R505">
        <v>24</v>
      </c>
      <c r="S505">
        <v>0</v>
      </c>
      <c r="T505">
        <v>0</v>
      </c>
      <c r="U505" s="8">
        <v>24</v>
      </c>
      <c r="V505" s="8">
        <f t="shared" si="14"/>
        <v>2</v>
      </c>
      <c r="W505" t="str">
        <f>_xlfn.XLOOKUP(A505, Matches!A:A, Matches!L:L, "NA", 0)</f>
        <v>MIW</v>
      </c>
      <c r="X505" t="str">
        <f>_xlfn.XLOOKUP(A505, Matches!A:A, Matches!J:J, "NA", 0)</f>
        <v>MIW</v>
      </c>
      <c r="Y505" t="str">
        <f>_xlfn.XLOOKUP(A505, Matches!A:A, Matches!F:F, "NA", 0)</f>
        <v>M. Chinnaswamy Stadium</v>
      </c>
      <c r="Z505" cm="1">
        <f t="array" ref="Z505">INDEX(Innings!F:F,MATCH(1,(TRIM(Innings!A:A)=TRIM(A505))*(TRIM(Innings!D:D)=TRIM(E505)),0))</f>
        <v>173</v>
      </c>
      <c r="AA505" cm="1">
        <f t="array" ref="AA505">INDEX(Innings!I:I,MATCH(1,(TRIM(Innings!A:A)=TRIM(A505))*(TRIM(Innings!D:D)=TRIM(E505)),0))</f>
        <v>8.65</v>
      </c>
      <c r="AB505" cm="1">
        <f t="array" ref="AB505">INDEX(Innings!J:J,MATCH(1,(TRIM(Innings!A:A)=TRIM(A505))*(TRIM(Innings!D:D)=TRIM(E505)),0))</f>
        <v>50</v>
      </c>
      <c r="AC505" cm="1">
        <f t="array" ref="AC505">INDEX(Innings!N:N,MATCH(1,(TRIM(Innings!A:A)=TRIM(A505))*(TRIM(Innings!D:D)=TRIM(E505)),0))</f>
        <v>44</v>
      </c>
      <c r="AD505" cm="1">
        <f t="array" ref="AD505">INDEX(Innings!S:S,MATCH(1,(TRIM(Innings!A:A)=TRIM(A505))*(TRIM(Innings!D:D)=TRIM(E505)),0))</f>
        <v>50</v>
      </c>
      <c r="AE505" t="str" cm="1">
        <f t="array" ref="AE505">INDEX(Innings!W:W,MATCH(1,(TRIM(Innings!A:A)=TRIM(A505))*(TRIM(Innings!D:D)=TRIM(E505)),0))</f>
        <v>Successful</v>
      </c>
      <c r="AF505">
        <f>IF(UPPER(TRIM(E505))=UPPER(TRIM(W505)),1,0)</f>
        <v>1</v>
      </c>
      <c r="AG505">
        <f t="shared" si="15"/>
        <v>32.6</v>
      </c>
    </row>
    <row r="506" spans="1:33" x14ac:dyDescent="0.3">
      <c r="A506" t="s">
        <v>338</v>
      </c>
      <c r="B506">
        <v>2</v>
      </c>
      <c r="C506" t="s">
        <v>345</v>
      </c>
      <c r="D506" t="s">
        <v>346</v>
      </c>
      <c r="E506" t="s">
        <v>266</v>
      </c>
      <c r="F506" t="s">
        <v>169</v>
      </c>
      <c r="G506" t="s">
        <v>104</v>
      </c>
      <c r="H506">
        <v>0</v>
      </c>
      <c r="I506">
        <v>0</v>
      </c>
      <c r="J506">
        <v>0</v>
      </c>
      <c r="K506" t="s">
        <v>104</v>
      </c>
      <c r="L506">
        <v>0</v>
      </c>
      <c r="M506">
        <v>1</v>
      </c>
      <c r="N506">
        <v>0</v>
      </c>
      <c r="O506">
        <v>13</v>
      </c>
      <c r="P506">
        <v>0</v>
      </c>
      <c r="Q506">
        <v>13</v>
      </c>
      <c r="R506">
        <v>0</v>
      </c>
      <c r="S506">
        <v>0</v>
      </c>
      <c r="T506">
        <v>0</v>
      </c>
      <c r="U506" s="8">
        <v>0</v>
      </c>
      <c r="V506" s="8">
        <f t="shared" si="14"/>
        <v>0</v>
      </c>
      <c r="W506" t="str">
        <f>_xlfn.XLOOKUP(A506, Matches!A:A, Matches!L:L, "NA", 0)</f>
        <v>MIW</v>
      </c>
      <c r="X506" t="str">
        <f>_xlfn.XLOOKUP(A506, Matches!A:A, Matches!J:J, "NA", 0)</f>
        <v>MIW</v>
      </c>
      <c r="Y506" t="str">
        <f>_xlfn.XLOOKUP(A506, Matches!A:A, Matches!F:F, "NA", 0)</f>
        <v>M. Chinnaswamy Stadium</v>
      </c>
      <c r="Z506" cm="1">
        <f t="array" ref="Z506">INDEX(Innings!F:F,MATCH(1,(TRIM(Innings!A:A)=TRIM(A506))*(TRIM(Innings!D:D)=TRIM(E506)),0))</f>
        <v>173</v>
      </c>
      <c r="AA506" cm="1">
        <f t="array" ref="AA506">INDEX(Innings!I:I,MATCH(1,(TRIM(Innings!A:A)=TRIM(A506))*(TRIM(Innings!D:D)=TRIM(E506)),0))</f>
        <v>8.65</v>
      </c>
      <c r="AB506" cm="1">
        <f t="array" ref="AB506">INDEX(Innings!J:J,MATCH(1,(TRIM(Innings!A:A)=TRIM(A506))*(TRIM(Innings!D:D)=TRIM(E506)),0))</f>
        <v>50</v>
      </c>
      <c r="AC506" cm="1">
        <f t="array" ref="AC506">INDEX(Innings!N:N,MATCH(1,(TRIM(Innings!A:A)=TRIM(A506))*(TRIM(Innings!D:D)=TRIM(E506)),0))</f>
        <v>44</v>
      </c>
      <c r="AD506" cm="1">
        <f t="array" ref="AD506">INDEX(Innings!S:S,MATCH(1,(TRIM(Innings!A:A)=TRIM(A506))*(TRIM(Innings!D:D)=TRIM(E506)),0))</f>
        <v>50</v>
      </c>
      <c r="AE506" t="str" cm="1">
        <f t="array" ref="AE506">INDEX(Innings!W:W,MATCH(1,(TRIM(Innings!A:A)=TRIM(A506))*(TRIM(Innings!D:D)=TRIM(E506)),0))</f>
        <v>Successful</v>
      </c>
      <c r="AF506">
        <f>IF(UPPER(TRIM(E506))=UPPER(TRIM(W506)),1,0)</f>
        <v>1</v>
      </c>
      <c r="AG506">
        <f t="shared" si="15"/>
        <v>20</v>
      </c>
    </row>
    <row r="507" spans="1:33" x14ac:dyDescent="0.3">
      <c r="A507" t="s">
        <v>338</v>
      </c>
      <c r="B507">
        <v>2</v>
      </c>
      <c r="C507" t="s">
        <v>131</v>
      </c>
      <c r="D507" t="s">
        <v>106</v>
      </c>
      <c r="E507" t="s">
        <v>266</v>
      </c>
      <c r="F507" t="s">
        <v>101</v>
      </c>
      <c r="G507" t="s">
        <v>104</v>
      </c>
      <c r="H507">
        <v>0</v>
      </c>
      <c r="I507">
        <v>0</v>
      </c>
      <c r="J507">
        <v>0</v>
      </c>
      <c r="K507" t="s">
        <v>104</v>
      </c>
      <c r="L507">
        <v>0</v>
      </c>
      <c r="M507">
        <v>3</v>
      </c>
      <c r="N507">
        <v>0</v>
      </c>
      <c r="O507">
        <v>17</v>
      </c>
      <c r="P507">
        <v>0</v>
      </c>
      <c r="Q507">
        <v>5.67</v>
      </c>
      <c r="R507">
        <v>0</v>
      </c>
      <c r="S507">
        <v>0</v>
      </c>
      <c r="T507">
        <v>0</v>
      </c>
      <c r="U507" s="8">
        <v>0</v>
      </c>
      <c r="V507" s="8">
        <f t="shared" si="14"/>
        <v>0</v>
      </c>
      <c r="W507" t="str">
        <f>_xlfn.XLOOKUP(A507, Matches!A:A, Matches!L:L, "NA", 0)</f>
        <v>MIW</v>
      </c>
      <c r="X507" t="str">
        <f>_xlfn.XLOOKUP(A507, Matches!A:A, Matches!J:J, "NA", 0)</f>
        <v>MIW</v>
      </c>
      <c r="Y507" t="str">
        <f>_xlfn.XLOOKUP(A507, Matches!A:A, Matches!F:F, "NA", 0)</f>
        <v>M. Chinnaswamy Stadium</v>
      </c>
      <c r="Z507" cm="1">
        <f t="array" ref="Z507">INDEX(Innings!F:F,MATCH(1,(TRIM(Innings!A:A)=TRIM(A507))*(TRIM(Innings!D:D)=TRIM(E507)),0))</f>
        <v>173</v>
      </c>
      <c r="AA507" cm="1">
        <f t="array" ref="AA507">INDEX(Innings!I:I,MATCH(1,(TRIM(Innings!A:A)=TRIM(A507))*(TRIM(Innings!D:D)=TRIM(E507)),0))</f>
        <v>8.65</v>
      </c>
      <c r="AB507" cm="1">
        <f t="array" ref="AB507">INDEX(Innings!J:J,MATCH(1,(TRIM(Innings!A:A)=TRIM(A507))*(TRIM(Innings!D:D)=TRIM(E507)),0))</f>
        <v>50</v>
      </c>
      <c r="AC507" cm="1">
        <f t="array" ref="AC507">INDEX(Innings!N:N,MATCH(1,(TRIM(Innings!A:A)=TRIM(A507))*(TRIM(Innings!D:D)=TRIM(E507)),0))</f>
        <v>44</v>
      </c>
      <c r="AD507" cm="1">
        <f t="array" ref="AD507">INDEX(Innings!S:S,MATCH(1,(TRIM(Innings!A:A)=TRIM(A507))*(TRIM(Innings!D:D)=TRIM(E507)),0))</f>
        <v>50</v>
      </c>
      <c r="AE507" t="str" cm="1">
        <f t="array" ref="AE507">INDEX(Innings!W:W,MATCH(1,(TRIM(Innings!A:A)=TRIM(A507))*(TRIM(Innings!D:D)=TRIM(E507)),0))</f>
        <v>Successful</v>
      </c>
      <c r="AF507">
        <f>IF(UPPER(TRIM(E507))=UPPER(TRIM(W507)),1,0)</f>
        <v>1</v>
      </c>
      <c r="AG507">
        <f t="shared" si="15"/>
        <v>20</v>
      </c>
    </row>
    <row r="508" spans="1:33" x14ac:dyDescent="0.3">
      <c r="A508" t="s">
        <v>349</v>
      </c>
      <c r="B508">
        <v>2</v>
      </c>
      <c r="C508" t="s">
        <v>167</v>
      </c>
      <c r="D508" t="s">
        <v>168</v>
      </c>
      <c r="E508" t="s">
        <v>159</v>
      </c>
      <c r="F508" t="s">
        <v>169</v>
      </c>
      <c r="G508" t="s">
        <v>86</v>
      </c>
      <c r="H508">
        <v>1</v>
      </c>
      <c r="I508">
        <v>5</v>
      </c>
      <c r="J508">
        <v>20</v>
      </c>
      <c r="K508" t="s">
        <v>247</v>
      </c>
      <c r="L508">
        <v>0</v>
      </c>
      <c r="M508">
        <v>1</v>
      </c>
      <c r="N508">
        <v>0</v>
      </c>
      <c r="O508">
        <v>10</v>
      </c>
      <c r="P508">
        <v>0</v>
      </c>
      <c r="Q508">
        <v>10</v>
      </c>
      <c r="R508">
        <v>0</v>
      </c>
      <c r="S508">
        <v>0</v>
      </c>
      <c r="T508">
        <v>0</v>
      </c>
      <c r="U508" s="8">
        <v>0</v>
      </c>
      <c r="V508" s="8">
        <f t="shared" si="14"/>
        <v>0</v>
      </c>
      <c r="W508" t="str">
        <f>_xlfn.XLOOKUP(A508, Matches!A:A, Matches!L:L, "NA", 0)</f>
        <v>RCBW</v>
      </c>
      <c r="X508" t="str">
        <f>_xlfn.XLOOKUP(A508, Matches!A:A, Matches!J:J, "NA", 0)</f>
        <v>UPW</v>
      </c>
      <c r="Y508" t="str">
        <f>_xlfn.XLOOKUP(A508, Matches!A:A, Matches!F:F, "NA", 0)</f>
        <v>M. Chinnaswamy Stadium</v>
      </c>
      <c r="Z508" cm="1">
        <f t="array" ref="Z508">INDEX(Innings!F:F,MATCH(1,(TRIM(Innings!A:A)=TRIM(A508))*(TRIM(Innings!D:D)=TRIM(E508)),0))</f>
        <v>157</v>
      </c>
      <c r="AA508" cm="1">
        <f t="array" ref="AA508">INDEX(Innings!I:I,MATCH(1,(TRIM(Innings!A:A)=TRIM(A508))*(TRIM(Innings!D:D)=TRIM(E508)),0))</f>
        <v>7.85</v>
      </c>
      <c r="AB508" cm="1">
        <f t="array" ref="AB508">INDEX(Innings!J:J,MATCH(1,(TRIM(Innings!A:A)=TRIM(A508))*(TRIM(Innings!D:D)=TRIM(E508)),0))</f>
        <v>40</v>
      </c>
      <c r="AC508" cm="1">
        <f t="array" ref="AC508">INDEX(Innings!N:N,MATCH(1,(TRIM(Innings!A:A)=TRIM(A508))*(TRIM(Innings!D:D)=TRIM(E508)),0))</f>
        <v>32</v>
      </c>
      <c r="AD508" cm="1">
        <f t="array" ref="AD508">INDEX(Innings!S:S,MATCH(1,(TRIM(Innings!A:A)=TRIM(A508))*(TRIM(Innings!D:D)=TRIM(E508)),0))</f>
        <v>43</v>
      </c>
      <c r="AE508" t="str" cm="1">
        <f t="array" ref="AE508">INDEX(Innings!W:W,MATCH(1,(TRIM(Innings!A:A)=TRIM(A508))*(TRIM(Innings!D:D)=TRIM(E508)),0))</f>
        <v>NA</v>
      </c>
      <c r="AF508">
        <f>IF(UPPER(TRIM(E508))=UPPER(TRIM(W508)),1,0)</f>
        <v>1</v>
      </c>
      <c r="AG508">
        <f t="shared" si="15"/>
        <v>20</v>
      </c>
    </row>
    <row r="509" spans="1:33" x14ac:dyDescent="0.3">
      <c r="A509" t="s">
        <v>349</v>
      </c>
      <c r="B509">
        <v>2</v>
      </c>
      <c r="C509" t="s">
        <v>165</v>
      </c>
      <c r="D509" t="s">
        <v>166</v>
      </c>
      <c r="E509" t="s">
        <v>159</v>
      </c>
      <c r="F509" t="s">
        <v>109</v>
      </c>
      <c r="G509" t="s">
        <v>86</v>
      </c>
      <c r="H509">
        <v>13</v>
      </c>
      <c r="I509">
        <v>11</v>
      </c>
      <c r="J509">
        <v>118.18</v>
      </c>
      <c r="K509" t="s">
        <v>246</v>
      </c>
      <c r="L509">
        <v>19.82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 s="8">
        <v>19.82</v>
      </c>
      <c r="V509" s="8">
        <f t="shared" si="14"/>
        <v>2</v>
      </c>
      <c r="W509" t="str">
        <f>_xlfn.XLOOKUP(A509, Matches!A:A, Matches!L:L, "NA", 0)</f>
        <v>RCBW</v>
      </c>
      <c r="X509" t="str">
        <f>_xlfn.XLOOKUP(A509, Matches!A:A, Matches!J:J, "NA", 0)</f>
        <v>UPW</v>
      </c>
      <c r="Y509" t="str">
        <f>_xlfn.XLOOKUP(A509, Matches!A:A, Matches!F:F, "NA", 0)</f>
        <v>M. Chinnaswamy Stadium</v>
      </c>
      <c r="Z509" cm="1">
        <f t="array" ref="Z509">INDEX(Innings!F:F,MATCH(1,(TRIM(Innings!A:A)=TRIM(A509))*(TRIM(Innings!D:D)=TRIM(E509)),0))</f>
        <v>157</v>
      </c>
      <c r="AA509" cm="1">
        <f t="array" ref="AA509">INDEX(Innings!I:I,MATCH(1,(TRIM(Innings!A:A)=TRIM(A509))*(TRIM(Innings!D:D)=TRIM(E509)),0))</f>
        <v>7.85</v>
      </c>
      <c r="AB509" cm="1">
        <f t="array" ref="AB509">INDEX(Innings!J:J,MATCH(1,(TRIM(Innings!A:A)=TRIM(A509))*(TRIM(Innings!D:D)=TRIM(E509)),0))</f>
        <v>40</v>
      </c>
      <c r="AC509" cm="1">
        <f t="array" ref="AC509">INDEX(Innings!N:N,MATCH(1,(TRIM(Innings!A:A)=TRIM(A509))*(TRIM(Innings!D:D)=TRIM(E509)),0))</f>
        <v>32</v>
      </c>
      <c r="AD509" cm="1">
        <f t="array" ref="AD509">INDEX(Innings!S:S,MATCH(1,(TRIM(Innings!A:A)=TRIM(A509))*(TRIM(Innings!D:D)=TRIM(E509)),0))</f>
        <v>43</v>
      </c>
      <c r="AE509" t="str" cm="1">
        <f t="array" ref="AE509">INDEX(Innings!W:W,MATCH(1,(TRIM(Innings!A:A)=TRIM(A509))*(TRIM(Innings!D:D)=TRIM(E509)),0))</f>
        <v>NA</v>
      </c>
      <c r="AF509">
        <f>IF(UPPER(TRIM(E509))=UPPER(TRIM(W509)),1,0)</f>
        <v>1</v>
      </c>
      <c r="AG509">
        <f t="shared" si="15"/>
        <v>30.509999999999998</v>
      </c>
    </row>
    <row r="510" spans="1:33" x14ac:dyDescent="0.3">
      <c r="A510" t="s">
        <v>349</v>
      </c>
      <c r="B510">
        <v>2</v>
      </c>
      <c r="C510" t="s">
        <v>87</v>
      </c>
      <c r="D510" t="s">
        <v>82</v>
      </c>
      <c r="E510" t="s">
        <v>159</v>
      </c>
      <c r="F510" t="s">
        <v>169</v>
      </c>
      <c r="G510" t="s">
        <v>92</v>
      </c>
      <c r="H510">
        <v>53</v>
      </c>
      <c r="I510">
        <v>44</v>
      </c>
      <c r="J510">
        <v>120.45</v>
      </c>
      <c r="K510" t="s">
        <v>248</v>
      </c>
      <c r="L510">
        <v>60.05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 s="8">
        <v>60.05</v>
      </c>
      <c r="V510" s="8">
        <f t="shared" si="14"/>
        <v>6</v>
      </c>
      <c r="W510" t="str">
        <f>_xlfn.XLOOKUP(A510, Matches!A:A, Matches!L:L, "NA", 0)</f>
        <v>RCBW</v>
      </c>
      <c r="X510" t="str">
        <f>_xlfn.XLOOKUP(A510, Matches!A:A, Matches!J:J, "NA", 0)</f>
        <v>UPW</v>
      </c>
      <c r="Y510" t="str">
        <f>_xlfn.XLOOKUP(A510, Matches!A:A, Matches!F:F, "NA", 0)</f>
        <v>M. Chinnaswamy Stadium</v>
      </c>
      <c r="Z510" cm="1">
        <f t="array" ref="Z510">INDEX(Innings!F:F,MATCH(1,(TRIM(Innings!A:A)=TRIM(A510))*(TRIM(Innings!D:D)=TRIM(E510)),0))</f>
        <v>157</v>
      </c>
      <c r="AA510" cm="1">
        <f t="array" ref="AA510">INDEX(Innings!I:I,MATCH(1,(TRIM(Innings!A:A)=TRIM(A510))*(TRIM(Innings!D:D)=TRIM(E510)),0))</f>
        <v>7.85</v>
      </c>
      <c r="AB510" cm="1">
        <f t="array" ref="AB510">INDEX(Innings!J:J,MATCH(1,(TRIM(Innings!A:A)=TRIM(A510))*(TRIM(Innings!D:D)=TRIM(E510)),0))</f>
        <v>40</v>
      </c>
      <c r="AC510" cm="1">
        <f t="array" ref="AC510">INDEX(Innings!N:N,MATCH(1,(TRIM(Innings!A:A)=TRIM(A510))*(TRIM(Innings!D:D)=TRIM(E510)),0))</f>
        <v>32</v>
      </c>
      <c r="AD510" cm="1">
        <f t="array" ref="AD510">INDEX(Innings!S:S,MATCH(1,(TRIM(Innings!A:A)=TRIM(A510))*(TRIM(Innings!D:D)=TRIM(E510)),0))</f>
        <v>43</v>
      </c>
      <c r="AE510" t="str" cm="1">
        <f t="array" ref="AE510">INDEX(Innings!W:W,MATCH(1,(TRIM(Innings!A:A)=TRIM(A510))*(TRIM(Innings!D:D)=TRIM(E510)),0))</f>
        <v>NA</v>
      </c>
      <c r="AF510">
        <f>IF(UPPER(TRIM(E510))=UPPER(TRIM(W510)),1,0)</f>
        <v>1</v>
      </c>
      <c r="AG510">
        <f t="shared" si="15"/>
        <v>51.825000000000003</v>
      </c>
    </row>
    <row r="511" spans="1:33" x14ac:dyDescent="0.3">
      <c r="A511" t="s">
        <v>349</v>
      </c>
      <c r="B511">
        <v>2</v>
      </c>
      <c r="C511" t="s">
        <v>174</v>
      </c>
      <c r="D511" t="s">
        <v>175</v>
      </c>
      <c r="E511" t="s">
        <v>159</v>
      </c>
      <c r="F511" t="s">
        <v>169</v>
      </c>
      <c r="G511" t="s">
        <v>92</v>
      </c>
      <c r="H511">
        <v>8</v>
      </c>
      <c r="I511">
        <v>7</v>
      </c>
      <c r="J511">
        <v>114.29</v>
      </c>
      <c r="K511" t="s">
        <v>246</v>
      </c>
      <c r="L511">
        <v>14.43</v>
      </c>
      <c r="M511">
        <v>2</v>
      </c>
      <c r="N511">
        <v>0</v>
      </c>
      <c r="O511">
        <v>18</v>
      </c>
      <c r="P511">
        <v>0</v>
      </c>
      <c r="Q511">
        <v>9</v>
      </c>
      <c r="R511">
        <v>0</v>
      </c>
      <c r="S511">
        <v>0</v>
      </c>
      <c r="T511">
        <v>0</v>
      </c>
      <c r="U511" s="8">
        <v>14.43</v>
      </c>
      <c r="V511" s="8">
        <f t="shared" si="14"/>
        <v>1</v>
      </c>
      <c r="W511" t="str">
        <f>_xlfn.XLOOKUP(A511, Matches!A:A, Matches!L:L, "NA", 0)</f>
        <v>RCBW</v>
      </c>
      <c r="X511" t="str">
        <f>_xlfn.XLOOKUP(A511, Matches!A:A, Matches!J:J, "NA", 0)</f>
        <v>UPW</v>
      </c>
      <c r="Y511" t="str">
        <f>_xlfn.XLOOKUP(A511, Matches!A:A, Matches!F:F, "NA", 0)</f>
        <v>M. Chinnaswamy Stadium</v>
      </c>
      <c r="Z511" cm="1">
        <f t="array" ref="Z511">INDEX(Innings!F:F,MATCH(1,(TRIM(Innings!A:A)=TRIM(A511))*(TRIM(Innings!D:D)=TRIM(E511)),0))</f>
        <v>157</v>
      </c>
      <c r="AA511" cm="1">
        <f t="array" ref="AA511">INDEX(Innings!I:I,MATCH(1,(TRIM(Innings!A:A)=TRIM(A511))*(TRIM(Innings!D:D)=TRIM(E511)),0))</f>
        <v>7.85</v>
      </c>
      <c r="AB511" cm="1">
        <f t="array" ref="AB511">INDEX(Innings!J:J,MATCH(1,(TRIM(Innings!A:A)=TRIM(A511))*(TRIM(Innings!D:D)=TRIM(E511)),0))</f>
        <v>40</v>
      </c>
      <c r="AC511" cm="1">
        <f t="array" ref="AC511">INDEX(Innings!N:N,MATCH(1,(TRIM(Innings!A:A)=TRIM(A511))*(TRIM(Innings!D:D)=TRIM(E511)),0))</f>
        <v>32</v>
      </c>
      <c r="AD511" cm="1">
        <f t="array" ref="AD511">INDEX(Innings!S:S,MATCH(1,(TRIM(Innings!A:A)=TRIM(A511))*(TRIM(Innings!D:D)=TRIM(E511)),0))</f>
        <v>43</v>
      </c>
      <c r="AE511" t="str" cm="1">
        <f t="array" ref="AE511">INDEX(Innings!W:W,MATCH(1,(TRIM(Innings!A:A)=TRIM(A511))*(TRIM(Innings!D:D)=TRIM(E511)),0))</f>
        <v>NA</v>
      </c>
      <c r="AF511">
        <f>IF(UPPER(TRIM(E511))=UPPER(TRIM(W511)),1,0)</f>
        <v>1</v>
      </c>
      <c r="AG511">
        <f t="shared" si="15"/>
        <v>27.515000000000001</v>
      </c>
    </row>
    <row r="512" spans="1:33" x14ac:dyDescent="0.3">
      <c r="A512" t="s">
        <v>349</v>
      </c>
      <c r="B512">
        <v>2</v>
      </c>
      <c r="C512" t="s">
        <v>176</v>
      </c>
      <c r="D512" t="s">
        <v>177</v>
      </c>
      <c r="E512" t="s">
        <v>159</v>
      </c>
      <c r="F512" t="s">
        <v>85</v>
      </c>
      <c r="G512" t="s">
        <v>134</v>
      </c>
      <c r="H512">
        <v>62</v>
      </c>
      <c r="I512">
        <v>37</v>
      </c>
      <c r="J512">
        <v>167.57</v>
      </c>
      <c r="K512" t="s">
        <v>245</v>
      </c>
      <c r="L512">
        <v>73.760000000000005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 s="8">
        <v>73.760000000000005</v>
      </c>
      <c r="V512" s="8">
        <f t="shared" si="14"/>
        <v>7</v>
      </c>
      <c r="W512" t="str">
        <f>_xlfn.XLOOKUP(A512, Matches!A:A, Matches!L:L, "NA", 0)</f>
        <v>RCBW</v>
      </c>
      <c r="X512" t="str">
        <f>_xlfn.XLOOKUP(A512, Matches!A:A, Matches!J:J, "NA", 0)</f>
        <v>UPW</v>
      </c>
      <c r="Y512" t="str">
        <f>_xlfn.XLOOKUP(A512, Matches!A:A, Matches!F:F, "NA", 0)</f>
        <v>M. Chinnaswamy Stadium</v>
      </c>
      <c r="Z512" cm="1">
        <f t="array" ref="Z512">INDEX(Innings!F:F,MATCH(1,(TRIM(Innings!A:A)=TRIM(A512))*(TRIM(Innings!D:D)=TRIM(E512)),0))</f>
        <v>157</v>
      </c>
      <c r="AA512" cm="1">
        <f t="array" ref="AA512">INDEX(Innings!I:I,MATCH(1,(TRIM(Innings!A:A)=TRIM(A512))*(TRIM(Innings!D:D)=TRIM(E512)),0))</f>
        <v>7.85</v>
      </c>
      <c r="AB512" cm="1">
        <f t="array" ref="AB512">INDEX(Innings!J:J,MATCH(1,(TRIM(Innings!A:A)=TRIM(A512))*(TRIM(Innings!D:D)=TRIM(E512)),0))</f>
        <v>40</v>
      </c>
      <c r="AC512" cm="1">
        <f t="array" ref="AC512">INDEX(Innings!N:N,MATCH(1,(TRIM(Innings!A:A)=TRIM(A512))*(TRIM(Innings!D:D)=TRIM(E512)),0))</f>
        <v>32</v>
      </c>
      <c r="AD512" cm="1">
        <f t="array" ref="AD512">INDEX(Innings!S:S,MATCH(1,(TRIM(Innings!A:A)=TRIM(A512))*(TRIM(Innings!D:D)=TRIM(E512)),0))</f>
        <v>43</v>
      </c>
      <c r="AE512" t="str" cm="1">
        <f t="array" ref="AE512">INDEX(Innings!W:W,MATCH(1,(TRIM(Innings!A:A)=TRIM(A512))*(TRIM(Innings!D:D)=TRIM(E512)),0))</f>
        <v>NA</v>
      </c>
      <c r="AF512">
        <f>IF(UPPER(TRIM(E512))=UPPER(TRIM(W512)),1,0)</f>
        <v>1</v>
      </c>
      <c r="AG512">
        <f t="shared" si="15"/>
        <v>58.980000000000004</v>
      </c>
    </row>
    <row r="513" spans="1:33" x14ac:dyDescent="0.3">
      <c r="A513" t="s">
        <v>349</v>
      </c>
      <c r="B513">
        <v>2</v>
      </c>
      <c r="C513" t="s">
        <v>99</v>
      </c>
      <c r="D513" t="s">
        <v>124</v>
      </c>
      <c r="E513" t="s">
        <v>159</v>
      </c>
      <c r="F513" t="s">
        <v>101</v>
      </c>
      <c r="G513" t="s">
        <v>134</v>
      </c>
      <c r="H513">
        <v>0</v>
      </c>
      <c r="I513">
        <v>3</v>
      </c>
      <c r="J513">
        <v>0</v>
      </c>
      <c r="K513" t="s">
        <v>246</v>
      </c>
      <c r="L513">
        <v>0</v>
      </c>
      <c r="M513">
        <v>3</v>
      </c>
      <c r="N513">
        <v>0</v>
      </c>
      <c r="O513">
        <v>23</v>
      </c>
      <c r="P513">
        <v>1</v>
      </c>
      <c r="Q513">
        <v>7.67</v>
      </c>
      <c r="R513">
        <v>16.66</v>
      </c>
      <c r="S513">
        <v>0</v>
      </c>
      <c r="T513">
        <v>0</v>
      </c>
      <c r="U513" s="8">
        <v>16.66</v>
      </c>
      <c r="V513" s="8">
        <f t="shared" si="14"/>
        <v>2</v>
      </c>
      <c r="W513" t="str">
        <f>_xlfn.XLOOKUP(A513, Matches!A:A, Matches!L:L, "NA", 0)</f>
        <v>RCBW</v>
      </c>
      <c r="X513" t="str">
        <f>_xlfn.XLOOKUP(A513, Matches!A:A, Matches!J:J, "NA", 0)</f>
        <v>UPW</v>
      </c>
      <c r="Y513" t="str">
        <f>_xlfn.XLOOKUP(A513, Matches!A:A, Matches!F:F, "NA", 0)</f>
        <v>M. Chinnaswamy Stadium</v>
      </c>
      <c r="Z513" cm="1">
        <f t="array" ref="Z513">INDEX(Innings!F:F,MATCH(1,(TRIM(Innings!A:A)=TRIM(A513))*(TRIM(Innings!D:D)=TRIM(E513)),0))</f>
        <v>157</v>
      </c>
      <c r="AA513" cm="1">
        <f t="array" ref="AA513">INDEX(Innings!I:I,MATCH(1,(TRIM(Innings!A:A)=TRIM(A513))*(TRIM(Innings!D:D)=TRIM(E513)),0))</f>
        <v>7.85</v>
      </c>
      <c r="AB513" cm="1">
        <f t="array" ref="AB513">INDEX(Innings!J:J,MATCH(1,(TRIM(Innings!A:A)=TRIM(A513))*(TRIM(Innings!D:D)=TRIM(E513)),0))</f>
        <v>40</v>
      </c>
      <c r="AC513" cm="1">
        <f t="array" ref="AC513">INDEX(Innings!N:N,MATCH(1,(TRIM(Innings!A:A)=TRIM(A513))*(TRIM(Innings!D:D)=TRIM(E513)),0))</f>
        <v>32</v>
      </c>
      <c r="AD513" cm="1">
        <f t="array" ref="AD513">INDEX(Innings!S:S,MATCH(1,(TRIM(Innings!A:A)=TRIM(A513))*(TRIM(Innings!D:D)=TRIM(E513)),0))</f>
        <v>43</v>
      </c>
      <c r="AE513" t="str" cm="1">
        <f t="array" ref="AE513">INDEX(Innings!W:W,MATCH(1,(TRIM(Innings!A:A)=TRIM(A513))*(TRIM(Innings!D:D)=TRIM(E513)),0))</f>
        <v>NA</v>
      </c>
      <c r="AF513">
        <f>IF(UPPER(TRIM(E513))=UPPER(TRIM(W513)),1,0)</f>
        <v>1</v>
      </c>
      <c r="AG513">
        <f t="shared" si="15"/>
        <v>28.93</v>
      </c>
    </row>
    <row r="514" spans="1:33" x14ac:dyDescent="0.3">
      <c r="A514" t="s">
        <v>349</v>
      </c>
      <c r="B514">
        <v>2</v>
      </c>
      <c r="C514" t="s">
        <v>371</v>
      </c>
      <c r="D514" t="s">
        <v>372</v>
      </c>
      <c r="E514" t="s">
        <v>159</v>
      </c>
      <c r="F514" t="s">
        <v>169</v>
      </c>
      <c r="G514" t="s">
        <v>134</v>
      </c>
      <c r="H514">
        <v>9</v>
      </c>
      <c r="I514">
        <v>9</v>
      </c>
      <c r="J514">
        <v>100</v>
      </c>
      <c r="K514" t="s">
        <v>96</v>
      </c>
      <c r="L514">
        <v>19</v>
      </c>
      <c r="M514">
        <v>4</v>
      </c>
      <c r="N514">
        <v>0</v>
      </c>
      <c r="O514">
        <v>36</v>
      </c>
      <c r="P514">
        <v>1</v>
      </c>
      <c r="Q514">
        <v>9</v>
      </c>
      <c r="R514">
        <v>12</v>
      </c>
      <c r="S514">
        <v>0</v>
      </c>
      <c r="T514">
        <v>0</v>
      </c>
      <c r="U514" s="8">
        <v>31</v>
      </c>
      <c r="V514" s="8">
        <f t="shared" si="14"/>
        <v>3</v>
      </c>
      <c r="W514" t="str">
        <f>_xlfn.XLOOKUP(A514, Matches!A:A, Matches!L:L, "NA", 0)</f>
        <v>RCBW</v>
      </c>
      <c r="X514" t="str">
        <f>_xlfn.XLOOKUP(A514, Matches!A:A, Matches!J:J, "NA", 0)</f>
        <v>UPW</v>
      </c>
      <c r="Y514" t="str">
        <f>_xlfn.XLOOKUP(A514, Matches!A:A, Matches!F:F, "NA", 0)</f>
        <v>M. Chinnaswamy Stadium</v>
      </c>
      <c r="Z514" cm="1">
        <f t="array" ref="Z514">INDEX(Innings!F:F,MATCH(1,(TRIM(Innings!A:A)=TRIM(A514))*(TRIM(Innings!D:D)=TRIM(E514)),0))</f>
        <v>157</v>
      </c>
      <c r="AA514" cm="1">
        <f t="array" ref="AA514">INDEX(Innings!I:I,MATCH(1,(TRIM(Innings!A:A)=TRIM(A514))*(TRIM(Innings!D:D)=TRIM(E514)),0))</f>
        <v>7.85</v>
      </c>
      <c r="AB514" cm="1">
        <f t="array" ref="AB514">INDEX(Innings!J:J,MATCH(1,(TRIM(Innings!A:A)=TRIM(A514))*(TRIM(Innings!D:D)=TRIM(E514)),0))</f>
        <v>40</v>
      </c>
      <c r="AC514" cm="1">
        <f t="array" ref="AC514">INDEX(Innings!N:N,MATCH(1,(TRIM(Innings!A:A)=TRIM(A514))*(TRIM(Innings!D:D)=TRIM(E514)),0))</f>
        <v>32</v>
      </c>
      <c r="AD514" cm="1">
        <f t="array" ref="AD514">INDEX(Innings!S:S,MATCH(1,(TRIM(Innings!A:A)=TRIM(A514))*(TRIM(Innings!D:D)=TRIM(E514)),0))</f>
        <v>43</v>
      </c>
      <c r="AE514" t="str" cm="1">
        <f t="array" ref="AE514">INDEX(Innings!W:W,MATCH(1,(TRIM(Innings!A:A)=TRIM(A514))*(TRIM(Innings!D:D)=TRIM(E514)),0))</f>
        <v>NA</v>
      </c>
      <c r="AF514">
        <f>IF(UPPER(TRIM(E514))=UPPER(TRIM(W514)),1,0)</f>
        <v>1</v>
      </c>
      <c r="AG514">
        <f t="shared" ref="AG514:AG577" si="16">(0.5*MAX(0,U514) + 0.3*MAX(0,V514) + 0.2*AF514*100)</f>
        <v>36.4</v>
      </c>
    </row>
    <row r="515" spans="1:33" x14ac:dyDescent="0.3">
      <c r="A515" t="s">
        <v>349</v>
      </c>
      <c r="B515">
        <v>2</v>
      </c>
      <c r="C515" t="s">
        <v>259</v>
      </c>
      <c r="D515" t="s">
        <v>257</v>
      </c>
      <c r="E515" t="s">
        <v>159</v>
      </c>
      <c r="F515" t="s">
        <v>101</v>
      </c>
      <c r="G515" t="s">
        <v>135</v>
      </c>
      <c r="H515">
        <v>8</v>
      </c>
      <c r="I515">
        <v>4</v>
      </c>
      <c r="J515">
        <v>200</v>
      </c>
      <c r="K515" t="s">
        <v>96</v>
      </c>
      <c r="L515">
        <v>28</v>
      </c>
      <c r="M515">
        <v>3</v>
      </c>
      <c r="N515">
        <v>0</v>
      </c>
      <c r="O515">
        <v>32</v>
      </c>
      <c r="P515">
        <v>0</v>
      </c>
      <c r="Q515">
        <v>10.67</v>
      </c>
      <c r="R515">
        <v>0</v>
      </c>
      <c r="S515">
        <v>0</v>
      </c>
      <c r="T515">
        <v>0</v>
      </c>
      <c r="U515" s="8">
        <v>28</v>
      </c>
      <c r="V515" s="8">
        <f t="shared" ref="V515:V578" si="17">MIN(10, MAX(0, ROUND(U515/10,0)))</f>
        <v>3</v>
      </c>
      <c r="W515" t="str">
        <f>_xlfn.XLOOKUP(A515, Matches!A:A, Matches!L:L, "NA", 0)</f>
        <v>RCBW</v>
      </c>
      <c r="X515" t="str">
        <f>_xlfn.XLOOKUP(A515, Matches!A:A, Matches!J:J, "NA", 0)</f>
        <v>UPW</v>
      </c>
      <c r="Y515" t="str">
        <f>_xlfn.XLOOKUP(A515, Matches!A:A, Matches!F:F, "NA", 0)</f>
        <v>M. Chinnaswamy Stadium</v>
      </c>
      <c r="Z515" cm="1">
        <f t="array" ref="Z515">INDEX(Innings!F:F,MATCH(1,(TRIM(Innings!A:A)=TRIM(A515))*(TRIM(Innings!D:D)=TRIM(E515)),0))</f>
        <v>157</v>
      </c>
      <c r="AA515" cm="1">
        <f t="array" ref="AA515">INDEX(Innings!I:I,MATCH(1,(TRIM(Innings!A:A)=TRIM(A515))*(TRIM(Innings!D:D)=TRIM(E515)),0))</f>
        <v>7.85</v>
      </c>
      <c r="AB515" cm="1">
        <f t="array" ref="AB515">INDEX(Innings!J:J,MATCH(1,(TRIM(Innings!A:A)=TRIM(A515))*(TRIM(Innings!D:D)=TRIM(E515)),0))</f>
        <v>40</v>
      </c>
      <c r="AC515" cm="1">
        <f t="array" ref="AC515">INDEX(Innings!N:N,MATCH(1,(TRIM(Innings!A:A)=TRIM(A515))*(TRIM(Innings!D:D)=TRIM(E515)),0))</f>
        <v>32</v>
      </c>
      <c r="AD515" cm="1">
        <f t="array" ref="AD515">INDEX(Innings!S:S,MATCH(1,(TRIM(Innings!A:A)=TRIM(A515))*(TRIM(Innings!D:D)=TRIM(E515)),0))</f>
        <v>43</v>
      </c>
      <c r="AE515" t="str" cm="1">
        <f t="array" ref="AE515">INDEX(Innings!W:W,MATCH(1,(TRIM(Innings!A:A)=TRIM(A515))*(TRIM(Innings!D:D)=TRIM(E515)),0))</f>
        <v>NA</v>
      </c>
      <c r="AF515">
        <f>IF(UPPER(TRIM(E515))=UPPER(TRIM(W515)),1,0)</f>
        <v>1</v>
      </c>
      <c r="AG515">
        <f t="shared" si="16"/>
        <v>34.9</v>
      </c>
    </row>
    <row r="516" spans="1:33" x14ac:dyDescent="0.3">
      <c r="A516" t="s">
        <v>349</v>
      </c>
      <c r="B516">
        <v>2</v>
      </c>
      <c r="C516" t="s">
        <v>373</v>
      </c>
      <c r="D516" t="s">
        <v>374</v>
      </c>
      <c r="E516" t="s">
        <v>159</v>
      </c>
      <c r="F516" t="s">
        <v>101</v>
      </c>
      <c r="G516" t="s">
        <v>104</v>
      </c>
      <c r="H516">
        <v>0</v>
      </c>
      <c r="I516">
        <v>0</v>
      </c>
      <c r="J516">
        <v>0</v>
      </c>
      <c r="K516" t="s">
        <v>104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 s="8">
        <v>0</v>
      </c>
      <c r="V516" s="8">
        <f t="shared" si="17"/>
        <v>0</v>
      </c>
      <c r="W516" t="str">
        <f>_xlfn.XLOOKUP(A516, Matches!A:A, Matches!L:L, "NA", 0)</f>
        <v>RCBW</v>
      </c>
      <c r="X516" t="str">
        <f>_xlfn.XLOOKUP(A516, Matches!A:A, Matches!J:J, "NA", 0)</f>
        <v>UPW</v>
      </c>
      <c r="Y516" t="str">
        <f>_xlfn.XLOOKUP(A516, Matches!A:A, Matches!F:F, "NA", 0)</f>
        <v>M. Chinnaswamy Stadium</v>
      </c>
      <c r="Z516" cm="1">
        <f t="array" ref="Z516">INDEX(Innings!F:F,MATCH(1,(TRIM(Innings!A:A)=TRIM(A516))*(TRIM(Innings!D:D)=TRIM(E516)),0))</f>
        <v>157</v>
      </c>
      <c r="AA516" cm="1">
        <f t="array" ref="AA516">INDEX(Innings!I:I,MATCH(1,(TRIM(Innings!A:A)=TRIM(A516))*(TRIM(Innings!D:D)=TRIM(E516)),0))</f>
        <v>7.85</v>
      </c>
      <c r="AB516" cm="1">
        <f t="array" ref="AB516">INDEX(Innings!J:J,MATCH(1,(TRIM(Innings!A:A)=TRIM(A516))*(TRIM(Innings!D:D)=TRIM(E516)),0))</f>
        <v>40</v>
      </c>
      <c r="AC516" cm="1">
        <f t="array" ref="AC516">INDEX(Innings!N:N,MATCH(1,(TRIM(Innings!A:A)=TRIM(A516))*(TRIM(Innings!D:D)=TRIM(E516)),0))</f>
        <v>32</v>
      </c>
      <c r="AD516" cm="1">
        <f t="array" ref="AD516">INDEX(Innings!S:S,MATCH(1,(TRIM(Innings!A:A)=TRIM(A516))*(TRIM(Innings!D:D)=TRIM(E516)),0))</f>
        <v>43</v>
      </c>
      <c r="AE516" t="str" cm="1">
        <f t="array" ref="AE516">INDEX(Innings!W:W,MATCH(1,(TRIM(Innings!A:A)=TRIM(A516))*(TRIM(Innings!D:D)=TRIM(E516)),0))</f>
        <v>NA</v>
      </c>
      <c r="AF516">
        <f>IF(UPPER(TRIM(E516))=UPPER(TRIM(W516)),1,0)</f>
        <v>1</v>
      </c>
      <c r="AG516">
        <f t="shared" si="16"/>
        <v>20</v>
      </c>
    </row>
    <row r="517" spans="1:33" x14ac:dyDescent="0.3">
      <c r="A517" t="s">
        <v>349</v>
      </c>
      <c r="B517">
        <v>2</v>
      </c>
      <c r="C517" t="s">
        <v>180</v>
      </c>
      <c r="D517" t="s">
        <v>181</v>
      </c>
      <c r="E517" t="s">
        <v>159</v>
      </c>
      <c r="F517" t="s">
        <v>169</v>
      </c>
      <c r="G517" t="s">
        <v>104</v>
      </c>
      <c r="H517">
        <v>0</v>
      </c>
      <c r="I517">
        <v>0</v>
      </c>
      <c r="J517">
        <v>0</v>
      </c>
      <c r="K517" t="s">
        <v>104</v>
      </c>
      <c r="L517">
        <v>0</v>
      </c>
      <c r="M517">
        <v>4</v>
      </c>
      <c r="N517">
        <v>0</v>
      </c>
      <c r="O517">
        <v>22</v>
      </c>
      <c r="P517">
        <v>5</v>
      </c>
      <c r="Q517">
        <v>5.5</v>
      </c>
      <c r="R517">
        <v>89</v>
      </c>
      <c r="S517">
        <v>0</v>
      </c>
      <c r="T517">
        <v>0</v>
      </c>
      <c r="U517" s="8">
        <v>89</v>
      </c>
      <c r="V517" s="8">
        <f t="shared" si="17"/>
        <v>9</v>
      </c>
      <c r="W517" t="str">
        <f>_xlfn.XLOOKUP(A517, Matches!A:A, Matches!L:L, "NA", 0)</f>
        <v>RCBW</v>
      </c>
      <c r="X517" t="str">
        <f>_xlfn.XLOOKUP(A517, Matches!A:A, Matches!J:J, "NA", 0)</f>
        <v>UPW</v>
      </c>
      <c r="Y517" t="str">
        <f>_xlfn.XLOOKUP(A517, Matches!A:A, Matches!F:F, "NA", 0)</f>
        <v>M. Chinnaswamy Stadium</v>
      </c>
      <c r="Z517" cm="1">
        <f t="array" ref="Z517">INDEX(Innings!F:F,MATCH(1,(TRIM(Innings!A:A)=TRIM(A517))*(TRIM(Innings!D:D)=TRIM(E517)),0))</f>
        <v>157</v>
      </c>
      <c r="AA517" cm="1">
        <f t="array" ref="AA517">INDEX(Innings!I:I,MATCH(1,(TRIM(Innings!A:A)=TRIM(A517))*(TRIM(Innings!D:D)=TRIM(E517)),0))</f>
        <v>7.85</v>
      </c>
      <c r="AB517" cm="1">
        <f t="array" ref="AB517">INDEX(Innings!J:J,MATCH(1,(TRIM(Innings!A:A)=TRIM(A517))*(TRIM(Innings!D:D)=TRIM(E517)),0))</f>
        <v>40</v>
      </c>
      <c r="AC517" cm="1">
        <f t="array" ref="AC517">INDEX(Innings!N:N,MATCH(1,(TRIM(Innings!A:A)=TRIM(A517))*(TRIM(Innings!D:D)=TRIM(E517)),0))</f>
        <v>32</v>
      </c>
      <c r="AD517" cm="1">
        <f t="array" ref="AD517">INDEX(Innings!S:S,MATCH(1,(TRIM(Innings!A:A)=TRIM(A517))*(TRIM(Innings!D:D)=TRIM(E517)),0))</f>
        <v>43</v>
      </c>
      <c r="AE517" t="str" cm="1">
        <f t="array" ref="AE517">INDEX(Innings!W:W,MATCH(1,(TRIM(Innings!A:A)=TRIM(A517))*(TRIM(Innings!D:D)=TRIM(E517)),0))</f>
        <v>NA</v>
      </c>
      <c r="AF517">
        <f>IF(UPPER(TRIM(E517))=UPPER(TRIM(W517)),1,0)</f>
        <v>1</v>
      </c>
      <c r="AG517">
        <f t="shared" si="16"/>
        <v>67.2</v>
      </c>
    </row>
    <row r="518" spans="1:33" x14ac:dyDescent="0.3">
      <c r="A518" t="s">
        <v>349</v>
      </c>
      <c r="B518">
        <v>2</v>
      </c>
      <c r="C518" t="s">
        <v>186</v>
      </c>
      <c r="D518" t="s">
        <v>187</v>
      </c>
      <c r="E518" t="s">
        <v>159</v>
      </c>
      <c r="F518" t="s">
        <v>101</v>
      </c>
      <c r="G518" t="s">
        <v>104</v>
      </c>
      <c r="H518">
        <v>0</v>
      </c>
      <c r="I518">
        <v>0</v>
      </c>
      <c r="J518">
        <v>0</v>
      </c>
      <c r="K518" t="s">
        <v>104</v>
      </c>
      <c r="L518">
        <v>0</v>
      </c>
      <c r="M518">
        <v>3</v>
      </c>
      <c r="N518">
        <v>0</v>
      </c>
      <c r="O518">
        <v>14</v>
      </c>
      <c r="P518">
        <v>0</v>
      </c>
      <c r="Q518">
        <v>4.67</v>
      </c>
      <c r="R518">
        <v>6</v>
      </c>
      <c r="S518">
        <v>0</v>
      </c>
      <c r="T518">
        <v>0</v>
      </c>
      <c r="U518" s="8">
        <v>6</v>
      </c>
      <c r="V518" s="8">
        <f t="shared" si="17"/>
        <v>1</v>
      </c>
      <c r="W518" t="str">
        <f>_xlfn.XLOOKUP(A518, Matches!A:A, Matches!L:L, "NA", 0)</f>
        <v>RCBW</v>
      </c>
      <c r="X518" t="str">
        <f>_xlfn.XLOOKUP(A518, Matches!A:A, Matches!J:J, "NA", 0)</f>
        <v>UPW</v>
      </c>
      <c r="Y518" t="str">
        <f>_xlfn.XLOOKUP(A518, Matches!A:A, Matches!F:F, "NA", 0)</f>
        <v>M. Chinnaswamy Stadium</v>
      </c>
      <c r="Z518" cm="1">
        <f t="array" ref="Z518">INDEX(Innings!F:F,MATCH(1,(TRIM(Innings!A:A)=TRIM(A518))*(TRIM(Innings!D:D)=TRIM(E518)),0))</f>
        <v>157</v>
      </c>
      <c r="AA518" cm="1">
        <f t="array" ref="AA518">INDEX(Innings!I:I,MATCH(1,(TRIM(Innings!A:A)=TRIM(A518))*(TRIM(Innings!D:D)=TRIM(E518)),0))</f>
        <v>7.85</v>
      </c>
      <c r="AB518" cm="1">
        <f t="array" ref="AB518">INDEX(Innings!J:J,MATCH(1,(TRIM(Innings!A:A)=TRIM(A518))*(TRIM(Innings!D:D)=TRIM(E518)),0))</f>
        <v>40</v>
      </c>
      <c r="AC518" cm="1">
        <f t="array" ref="AC518">INDEX(Innings!N:N,MATCH(1,(TRIM(Innings!A:A)=TRIM(A518))*(TRIM(Innings!D:D)=TRIM(E518)),0))</f>
        <v>32</v>
      </c>
      <c r="AD518" cm="1">
        <f t="array" ref="AD518">INDEX(Innings!S:S,MATCH(1,(TRIM(Innings!A:A)=TRIM(A518))*(TRIM(Innings!D:D)=TRIM(E518)),0))</f>
        <v>43</v>
      </c>
      <c r="AE518" t="str" cm="1">
        <f t="array" ref="AE518">INDEX(Innings!W:W,MATCH(1,(TRIM(Innings!A:A)=TRIM(A518))*(TRIM(Innings!D:D)=TRIM(E518)),0))</f>
        <v>NA</v>
      </c>
      <c r="AF518">
        <f>IF(UPPER(TRIM(E518))=UPPER(TRIM(W518)),1,0)</f>
        <v>1</v>
      </c>
      <c r="AG518">
        <f t="shared" si="16"/>
        <v>23.3</v>
      </c>
    </row>
    <row r="519" spans="1:33" x14ac:dyDescent="0.3">
      <c r="A519" t="s">
        <v>349</v>
      </c>
      <c r="B519">
        <v>2</v>
      </c>
      <c r="C519" t="s">
        <v>217</v>
      </c>
      <c r="D519" t="s">
        <v>218</v>
      </c>
      <c r="E519" t="s">
        <v>219</v>
      </c>
      <c r="F519" t="s">
        <v>85</v>
      </c>
      <c r="G519" t="s">
        <v>86</v>
      </c>
      <c r="H519">
        <v>5</v>
      </c>
      <c r="I519">
        <v>4</v>
      </c>
      <c r="J519">
        <v>125</v>
      </c>
      <c r="K519" t="s">
        <v>245</v>
      </c>
      <c r="L519">
        <v>12.5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 s="8">
        <v>12.5</v>
      </c>
      <c r="V519" s="8">
        <f t="shared" si="17"/>
        <v>1</v>
      </c>
      <c r="W519" t="str">
        <f>_xlfn.XLOOKUP(A519, Matches!A:A, Matches!L:L, "NA", 0)</f>
        <v>RCBW</v>
      </c>
      <c r="X519" t="str">
        <f>_xlfn.XLOOKUP(A519, Matches!A:A, Matches!J:J, "NA", 0)</f>
        <v>UPW</v>
      </c>
      <c r="Y519" t="str">
        <f>_xlfn.XLOOKUP(A519, Matches!A:A, Matches!F:F, "NA", 0)</f>
        <v>M. Chinnaswamy Stadium</v>
      </c>
      <c r="Z519" cm="1">
        <f t="array" ref="Z519">INDEX(Innings!F:F,MATCH(1,(TRIM(Innings!A:A)=TRIM(A519))*(TRIM(Innings!D:D)=TRIM(E519)),0))</f>
        <v>155</v>
      </c>
      <c r="AA519" cm="1">
        <f t="array" ref="AA519">INDEX(Innings!I:I,MATCH(1,(TRIM(Innings!A:A)=TRIM(A519))*(TRIM(Innings!D:D)=TRIM(E519)),0))</f>
        <v>7.75</v>
      </c>
      <c r="AB519" cm="1">
        <f t="array" ref="AB519">INDEX(Innings!J:J,MATCH(1,(TRIM(Innings!A:A)=TRIM(A519))*(TRIM(Innings!D:D)=TRIM(E519)),0))</f>
        <v>36</v>
      </c>
      <c r="AC519" cm="1">
        <f t="array" ref="AC519">INDEX(Innings!N:N,MATCH(1,(TRIM(Innings!A:A)=TRIM(A519))*(TRIM(Innings!D:D)=TRIM(E519)),0))</f>
        <v>29</v>
      </c>
      <c r="AD519" cm="1">
        <f t="array" ref="AD519">INDEX(Innings!S:S,MATCH(1,(TRIM(Innings!A:A)=TRIM(A519))*(TRIM(Innings!D:D)=TRIM(E519)),0))</f>
        <v>52</v>
      </c>
      <c r="AE519" t="str" cm="1">
        <f t="array" ref="AE519">INDEX(Innings!W:W,MATCH(1,(TRIM(Innings!A:A)=TRIM(A519))*(TRIM(Innings!D:D)=TRIM(E519)),0))</f>
        <v>Failed</v>
      </c>
      <c r="AF519">
        <f>IF(UPPER(TRIM(E519))=UPPER(TRIM(W519)),1,0)</f>
        <v>0</v>
      </c>
      <c r="AG519">
        <f t="shared" si="16"/>
        <v>6.55</v>
      </c>
    </row>
    <row r="520" spans="1:33" x14ac:dyDescent="0.3">
      <c r="A520" t="s">
        <v>349</v>
      </c>
      <c r="B520">
        <v>2</v>
      </c>
      <c r="C520" t="s">
        <v>375</v>
      </c>
      <c r="D520" t="s">
        <v>376</v>
      </c>
      <c r="E520" t="s">
        <v>219</v>
      </c>
      <c r="F520" t="s">
        <v>109</v>
      </c>
      <c r="G520" t="s">
        <v>86</v>
      </c>
      <c r="H520">
        <v>18</v>
      </c>
      <c r="I520">
        <v>28</v>
      </c>
      <c r="J520">
        <v>64.290000000000006</v>
      </c>
      <c r="K520" t="s">
        <v>248</v>
      </c>
      <c r="L520">
        <v>19.43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 s="8">
        <v>19.43</v>
      </c>
      <c r="V520" s="8">
        <f t="shared" si="17"/>
        <v>2</v>
      </c>
      <c r="W520" t="str">
        <f>_xlfn.XLOOKUP(A520, Matches!A:A, Matches!L:L, "NA", 0)</f>
        <v>RCBW</v>
      </c>
      <c r="X520" t="str">
        <f>_xlfn.XLOOKUP(A520, Matches!A:A, Matches!J:J, "NA", 0)</f>
        <v>UPW</v>
      </c>
      <c r="Y520" t="str">
        <f>_xlfn.XLOOKUP(A520, Matches!A:A, Matches!F:F, "NA", 0)</f>
        <v>M. Chinnaswamy Stadium</v>
      </c>
      <c r="Z520" cm="1">
        <f t="array" ref="Z520">INDEX(Innings!F:F,MATCH(1,(TRIM(Innings!A:A)=TRIM(A520))*(TRIM(Innings!D:D)=TRIM(E520)),0))</f>
        <v>155</v>
      </c>
      <c r="AA520" cm="1">
        <f t="array" ref="AA520">INDEX(Innings!I:I,MATCH(1,(TRIM(Innings!A:A)=TRIM(A520))*(TRIM(Innings!D:D)=TRIM(E520)),0))</f>
        <v>7.75</v>
      </c>
      <c r="AB520" cm="1">
        <f t="array" ref="AB520">INDEX(Innings!J:J,MATCH(1,(TRIM(Innings!A:A)=TRIM(A520))*(TRIM(Innings!D:D)=TRIM(E520)),0))</f>
        <v>36</v>
      </c>
      <c r="AC520" cm="1">
        <f t="array" ref="AC520">INDEX(Innings!N:N,MATCH(1,(TRIM(Innings!A:A)=TRIM(A520))*(TRIM(Innings!D:D)=TRIM(E520)),0))</f>
        <v>29</v>
      </c>
      <c r="AD520" cm="1">
        <f t="array" ref="AD520">INDEX(Innings!S:S,MATCH(1,(TRIM(Innings!A:A)=TRIM(A520))*(TRIM(Innings!D:D)=TRIM(E520)),0))</f>
        <v>52</v>
      </c>
      <c r="AE520" t="str" cm="1">
        <f t="array" ref="AE520">INDEX(Innings!W:W,MATCH(1,(TRIM(Innings!A:A)=TRIM(A520))*(TRIM(Innings!D:D)=TRIM(E520)),0))</f>
        <v>Failed</v>
      </c>
      <c r="AF520">
        <f>IF(UPPER(TRIM(E520))=UPPER(TRIM(W520)),1,0)</f>
        <v>0</v>
      </c>
      <c r="AG520">
        <f t="shared" si="16"/>
        <v>10.315</v>
      </c>
    </row>
    <row r="521" spans="1:33" x14ac:dyDescent="0.3">
      <c r="A521" t="s">
        <v>349</v>
      </c>
      <c r="B521">
        <v>2</v>
      </c>
      <c r="C521" t="s">
        <v>222</v>
      </c>
      <c r="D521" t="s">
        <v>223</v>
      </c>
      <c r="E521" t="s">
        <v>219</v>
      </c>
      <c r="F521" t="s">
        <v>169</v>
      </c>
      <c r="G521" t="s">
        <v>92</v>
      </c>
      <c r="H521">
        <v>22</v>
      </c>
      <c r="I521">
        <v>18</v>
      </c>
      <c r="J521">
        <v>122.22</v>
      </c>
      <c r="K521" t="s">
        <v>245</v>
      </c>
      <c r="L521">
        <v>29.22</v>
      </c>
      <c r="M521">
        <v>4</v>
      </c>
      <c r="N521">
        <v>0</v>
      </c>
      <c r="O521">
        <v>39</v>
      </c>
      <c r="P521">
        <v>1</v>
      </c>
      <c r="Q521">
        <v>9.75</v>
      </c>
      <c r="R521">
        <v>10.5</v>
      </c>
      <c r="S521">
        <v>0</v>
      </c>
      <c r="T521">
        <v>0</v>
      </c>
      <c r="U521" s="8">
        <v>39.72</v>
      </c>
      <c r="V521" s="8">
        <f t="shared" si="17"/>
        <v>4</v>
      </c>
      <c r="W521" t="str">
        <f>_xlfn.XLOOKUP(A521, Matches!A:A, Matches!L:L, "NA", 0)</f>
        <v>RCBW</v>
      </c>
      <c r="X521" t="str">
        <f>_xlfn.XLOOKUP(A521, Matches!A:A, Matches!J:J, "NA", 0)</f>
        <v>UPW</v>
      </c>
      <c r="Y521" t="str">
        <f>_xlfn.XLOOKUP(A521, Matches!A:A, Matches!F:F, "NA", 0)</f>
        <v>M. Chinnaswamy Stadium</v>
      </c>
      <c r="Z521" cm="1">
        <f t="array" ref="Z521">INDEX(Innings!F:F,MATCH(1,(TRIM(Innings!A:A)=TRIM(A521))*(TRIM(Innings!D:D)=TRIM(E521)),0))</f>
        <v>155</v>
      </c>
      <c r="AA521" cm="1">
        <f t="array" ref="AA521">INDEX(Innings!I:I,MATCH(1,(TRIM(Innings!A:A)=TRIM(A521))*(TRIM(Innings!D:D)=TRIM(E521)),0))</f>
        <v>7.75</v>
      </c>
      <c r="AB521" cm="1">
        <f t="array" ref="AB521">INDEX(Innings!J:J,MATCH(1,(TRIM(Innings!A:A)=TRIM(A521))*(TRIM(Innings!D:D)=TRIM(E521)),0))</f>
        <v>36</v>
      </c>
      <c r="AC521" cm="1">
        <f t="array" ref="AC521">INDEX(Innings!N:N,MATCH(1,(TRIM(Innings!A:A)=TRIM(A521))*(TRIM(Innings!D:D)=TRIM(E521)),0))</f>
        <v>29</v>
      </c>
      <c r="AD521" cm="1">
        <f t="array" ref="AD521">INDEX(Innings!S:S,MATCH(1,(TRIM(Innings!A:A)=TRIM(A521))*(TRIM(Innings!D:D)=TRIM(E521)),0))</f>
        <v>52</v>
      </c>
      <c r="AE521" t="str" cm="1">
        <f t="array" ref="AE521">INDEX(Innings!W:W,MATCH(1,(TRIM(Innings!A:A)=TRIM(A521))*(TRIM(Innings!D:D)=TRIM(E521)),0))</f>
        <v>Failed</v>
      </c>
      <c r="AF521">
        <f>IF(UPPER(TRIM(E521))=UPPER(TRIM(W521)),1,0)</f>
        <v>0</v>
      </c>
      <c r="AG521">
        <f t="shared" si="16"/>
        <v>21.06</v>
      </c>
    </row>
    <row r="522" spans="1:33" x14ac:dyDescent="0.3">
      <c r="A522" t="s">
        <v>349</v>
      </c>
      <c r="B522">
        <v>2</v>
      </c>
      <c r="C522" t="s">
        <v>226</v>
      </c>
      <c r="D522" t="s">
        <v>211</v>
      </c>
      <c r="E522" t="s">
        <v>219</v>
      </c>
      <c r="F522" t="s">
        <v>169</v>
      </c>
      <c r="G522" t="s">
        <v>134</v>
      </c>
      <c r="H522">
        <v>38</v>
      </c>
      <c r="I522">
        <v>23</v>
      </c>
      <c r="J522">
        <v>165.22</v>
      </c>
      <c r="K522" t="s">
        <v>245</v>
      </c>
      <c r="L522">
        <v>49.52</v>
      </c>
      <c r="M522">
        <v>3</v>
      </c>
      <c r="N522">
        <v>0</v>
      </c>
      <c r="O522">
        <v>22</v>
      </c>
      <c r="P522">
        <v>1</v>
      </c>
      <c r="Q522">
        <v>7.33</v>
      </c>
      <c r="R522">
        <v>17.34</v>
      </c>
      <c r="S522">
        <v>0</v>
      </c>
      <c r="T522">
        <v>0</v>
      </c>
      <c r="U522" s="8">
        <v>66.86</v>
      </c>
      <c r="V522" s="8">
        <f t="shared" si="17"/>
        <v>7</v>
      </c>
      <c r="W522" t="str">
        <f>_xlfn.XLOOKUP(A522, Matches!A:A, Matches!L:L, "NA", 0)</f>
        <v>RCBW</v>
      </c>
      <c r="X522" t="str">
        <f>_xlfn.XLOOKUP(A522, Matches!A:A, Matches!J:J, "NA", 0)</f>
        <v>UPW</v>
      </c>
      <c r="Y522" t="str">
        <f>_xlfn.XLOOKUP(A522, Matches!A:A, Matches!F:F, "NA", 0)</f>
        <v>M. Chinnaswamy Stadium</v>
      </c>
      <c r="Z522" cm="1">
        <f t="array" ref="Z522">INDEX(Innings!F:F,MATCH(1,(TRIM(Innings!A:A)=TRIM(A522))*(TRIM(Innings!D:D)=TRIM(E522)),0))</f>
        <v>155</v>
      </c>
      <c r="AA522" cm="1">
        <f t="array" ref="AA522">INDEX(Innings!I:I,MATCH(1,(TRIM(Innings!A:A)=TRIM(A522))*(TRIM(Innings!D:D)=TRIM(E522)),0))</f>
        <v>7.75</v>
      </c>
      <c r="AB522" cm="1">
        <f t="array" ref="AB522">INDEX(Innings!J:J,MATCH(1,(TRIM(Innings!A:A)=TRIM(A522))*(TRIM(Innings!D:D)=TRIM(E522)),0))</f>
        <v>36</v>
      </c>
      <c r="AC522" cm="1">
        <f t="array" ref="AC522">INDEX(Innings!N:N,MATCH(1,(TRIM(Innings!A:A)=TRIM(A522))*(TRIM(Innings!D:D)=TRIM(E522)),0))</f>
        <v>29</v>
      </c>
      <c r="AD522" cm="1">
        <f t="array" ref="AD522">INDEX(Innings!S:S,MATCH(1,(TRIM(Innings!A:A)=TRIM(A522))*(TRIM(Innings!D:D)=TRIM(E522)),0))</f>
        <v>52</v>
      </c>
      <c r="AE522" t="str" cm="1">
        <f t="array" ref="AE522">INDEX(Innings!W:W,MATCH(1,(TRIM(Innings!A:A)=TRIM(A522))*(TRIM(Innings!D:D)=TRIM(E522)),0))</f>
        <v>Failed</v>
      </c>
      <c r="AF522">
        <f>IF(UPPER(TRIM(E522))=UPPER(TRIM(W522)),1,0)</f>
        <v>0</v>
      </c>
      <c r="AG522">
        <f t="shared" si="16"/>
        <v>35.53</v>
      </c>
    </row>
    <row r="523" spans="1:33" x14ac:dyDescent="0.3">
      <c r="A523" t="s">
        <v>349</v>
      </c>
      <c r="B523">
        <v>2</v>
      </c>
      <c r="C523" t="s">
        <v>220</v>
      </c>
      <c r="D523" t="s">
        <v>221</v>
      </c>
      <c r="E523" t="s">
        <v>219</v>
      </c>
      <c r="F523" t="s">
        <v>109</v>
      </c>
      <c r="G523" t="s">
        <v>134</v>
      </c>
      <c r="H523">
        <v>31</v>
      </c>
      <c r="I523">
        <v>25</v>
      </c>
      <c r="J523">
        <v>124</v>
      </c>
      <c r="K523" t="s">
        <v>246</v>
      </c>
      <c r="L523">
        <v>38.4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 s="8">
        <v>38.4</v>
      </c>
      <c r="V523" s="8">
        <f t="shared" si="17"/>
        <v>4</v>
      </c>
      <c r="W523" t="str">
        <f>_xlfn.XLOOKUP(A523, Matches!A:A, Matches!L:L, "NA", 0)</f>
        <v>RCBW</v>
      </c>
      <c r="X523" t="str">
        <f>_xlfn.XLOOKUP(A523, Matches!A:A, Matches!J:J, "NA", 0)</f>
        <v>UPW</v>
      </c>
      <c r="Y523" t="str">
        <f>_xlfn.XLOOKUP(A523, Matches!A:A, Matches!F:F, "NA", 0)</f>
        <v>M. Chinnaswamy Stadium</v>
      </c>
      <c r="Z523" cm="1">
        <f t="array" ref="Z523">INDEX(Innings!F:F,MATCH(1,(TRIM(Innings!A:A)=TRIM(A523))*(TRIM(Innings!D:D)=TRIM(E523)),0))</f>
        <v>155</v>
      </c>
      <c r="AA523" cm="1">
        <f t="array" ref="AA523">INDEX(Innings!I:I,MATCH(1,(TRIM(Innings!A:A)=TRIM(A523))*(TRIM(Innings!D:D)=TRIM(E523)),0))</f>
        <v>7.75</v>
      </c>
      <c r="AB523" cm="1">
        <f t="array" ref="AB523">INDEX(Innings!J:J,MATCH(1,(TRIM(Innings!A:A)=TRIM(A523))*(TRIM(Innings!D:D)=TRIM(E523)),0))</f>
        <v>36</v>
      </c>
      <c r="AC523" cm="1">
        <f t="array" ref="AC523">INDEX(Innings!N:N,MATCH(1,(TRIM(Innings!A:A)=TRIM(A523))*(TRIM(Innings!D:D)=TRIM(E523)),0))</f>
        <v>29</v>
      </c>
      <c r="AD523" cm="1">
        <f t="array" ref="AD523">INDEX(Innings!S:S,MATCH(1,(TRIM(Innings!A:A)=TRIM(A523))*(TRIM(Innings!D:D)=TRIM(E523)),0))</f>
        <v>52</v>
      </c>
      <c r="AE523" t="str" cm="1">
        <f t="array" ref="AE523">INDEX(Innings!W:W,MATCH(1,(TRIM(Innings!A:A)=TRIM(A523))*(TRIM(Innings!D:D)=TRIM(E523)),0))</f>
        <v>Failed</v>
      </c>
      <c r="AF523">
        <f>IF(UPPER(TRIM(E523))=UPPER(TRIM(W523)),1,0)</f>
        <v>0</v>
      </c>
      <c r="AG523">
        <f t="shared" si="16"/>
        <v>20.399999999999999</v>
      </c>
    </row>
    <row r="524" spans="1:33" x14ac:dyDescent="0.3">
      <c r="A524" t="s">
        <v>349</v>
      </c>
      <c r="B524">
        <v>2</v>
      </c>
      <c r="C524" t="s">
        <v>229</v>
      </c>
      <c r="D524" t="s">
        <v>230</v>
      </c>
      <c r="E524" t="s">
        <v>219</v>
      </c>
      <c r="F524" t="s">
        <v>109</v>
      </c>
      <c r="G524" t="s">
        <v>134</v>
      </c>
      <c r="H524">
        <v>1</v>
      </c>
      <c r="I524">
        <v>3</v>
      </c>
      <c r="J524">
        <v>33.33</v>
      </c>
      <c r="K524" t="s">
        <v>248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 s="8">
        <v>0</v>
      </c>
      <c r="V524" s="8">
        <f t="shared" si="17"/>
        <v>0</v>
      </c>
      <c r="W524" t="str">
        <f>_xlfn.XLOOKUP(A524, Matches!A:A, Matches!L:L, "NA", 0)</f>
        <v>RCBW</v>
      </c>
      <c r="X524" t="str">
        <f>_xlfn.XLOOKUP(A524, Matches!A:A, Matches!J:J, "NA", 0)</f>
        <v>UPW</v>
      </c>
      <c r="Y524" t="str">
        <f>_xlfn.XLOOKUP(A524, Matches!A:A, Matches!F:F, "NA", 0)</f>
        <v>M. Chinnaswamy Stadium</v>
      </c>
      <c r="Z524" cm="1">
        <f t="array" ref="Z524">INDEX(Innings!F:F,MATCH(1,(TRIM(Innings!A:A)=TRIM(A524))*(TRIM(Innings!D:D)=TRIM(E524)),0))</f>
        <v>155</v>
      </c>
      <c r="AA524" cm="1">
        <f t="array" ref="AA524">INDEX(Innings!I:I,MATCH(1,(TRIM(Innings!A:A)=TRIM(A524))*(TRIM(Innings!D:D)=TRIM(E524)),0))</f>
        <v>7.75</v>
      </c>
      <c r="AB524" cm="1">
        <f t="array" ref="AB524">INDEX(Innings!J:J,MATCH(1,(TRIM(Innings!A:A)=TRIM(A524))*(TRIM(Innings!D:D)=TRIM(E524)),0))</f>
        <v>36</v>
      </c>
      <c r="AC524" cm="1">
        <f t="array" ref="AC524">INDEX(Innings!N:N,MATCH(1,(TRIM(Innings!A:A)=TRIM(A524))*(TRIM(Innings!D:D)=TRIM(E524)),0))</f>
        <v>29</v>
      </c>
      <c r="AD524" cm="1">
        <f t="array" ref="AD524">INDEX(Innings!S:S,MATCH(1,(TRIM(Innings!A:A)=TRIM(A524))*(TRIM(Innings!D:D)=TRIM(E524)),0))</f>
        <v>52</v>
      </c>
      <c r="AE524" t="str" cm="1">
        <f t="array" ref="AE524">INDEX(Innings!W:W,MATCH(1,(TRIM(Innings!A:A)=TRIM(A524))*(TRIM(Innings!D:D)=TRIM(E524)),0))</f>
        <v>Failed</v>
      </c>
      <c r="AF524">
        <f>IF(UPPER(TRIM(E524))=UPPER(TRIM(W524)),1,0)</f>
        <v>0</v>
      </c>
      <c r="AG524">
        <f t="shared" si="16"/>
        <v>0</v>
      </c>
    </row>
    <row r="525" spans="1:33" x14ac:dyDescent="0.3">
      <c r="A525" t="s">
        <v>349</v>
      </c>
      <c r="B525">
        <v>2</v>
      </c>
      <c r="C525" t="s">
        <v>273</v>
      </c>
      <c r="D525" t="s">
        <v>279</v>
      </c>
      <c r="E525" t="s">
        <v>219</v>
      </c>
      <c r="F525" t="s">
        <v>169</v>
      </c>
      <c r="G525" t="s">
        <v>134</v>
      </c>
      <c r="H525">
        <v>14</v>
      </c>
      <c r="I525">
        <v>7</v>
      </c>
      <c r="J525">
        <v>200</v>
      </c>
      <c r="K525" t="s">
        <v>245</v>
      </c>
      <c r="L525">
        <v>29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 s="8">
        <v>29</v>
      </c>
      <c r="V525" s="8">
        <f t="shared" si="17"/>
        <v>3</v>
      </c>
      <c r="W525" t="str">
        <f>_xlfn.XLOOKUP(A525, Matches!A:A, Matches!L:L, "NA", 0)</f>
        <v>RCBW</v>
      </c>
      <c r="X525" t="str">
        <f>_xlfn.XLOOKUP(A525, Matches!A:A, Matches!J:J, "NA", 0)</f>
        <v>UPW</v>
      </c>
      <c r="Y525" t="str">
        <f>_xlfn.XLOOKUP(A525, Matches!A:A, Matches!F:F, "NA", 0)</f>
        <v>M. Chinnaswamy Stadium</v>
      </c>
      <c r="Z525" cm="1">
        <f t="array" ref="Z525">INDEX(Innings!F:F,MATCH(1,(TRIM(Innings!A:A)=TRIM(A525))*(TRIM(Innings!D:D)=TRIM(E525)),0))</f>
        <v>155</v>
      </c>
      <c r="AA525" cm="1">
        <f t="array" ref="AA525">INDEX(Innings!I:I,MATCH(1,(TRIM(Innings!A:A)=TRIM(A525))*(TRIM(Innings!D:D)=TRIM(E525)),0))</f>
        <v>7.75</v>
      </c>
      <c r="AB525" cm="1">
        <f t="array" ref="AB525">INDEX(Innings!J:J,MATCH(1,(TRIM(Innings!A:A)=TRIM(A525))*(TRIM(Innings!D:D)=TRIM(E525)),0))</f>
        <v>36</v>
      </c>
      <c r="AC525" cm="1">
        <f t="array" ref="AC525">INDEX(Innings!N:N,MATCH(1,(TRIM(Innings!A:A)=TRIM(A525))*(TRIM(Innings!D:D)=TRIM(E525)),0))</f>
        <v>29</v>
      </c>
      <c r="AD525" cm="1">
        <f t="array" ref="AD525">INDEX(Innings!S:S,MATCH(1,(TRIM(Innings!A:A)=TRIM(A525))*(TRIM(Innings!D:D)=TRIM(E525)),0))</f>
        <v>52</v>
      </c>
      <c r="AE525" t="str" cm="1">
        <f t="array" ref="AE525">INDEX(Innings!W:W,MATCH(1,(TRIM(Innings!A:A)=TRIM(A525))*(TRIM(Innings!D:D)=TRIM(E525)),0))</f>
        <v>Failed</v>
      </c>
      <c r="AF525">
        <f>IF(UPPER(TRIM(E525))=UPPER(TRIM(W525)),1,0)</f>
        <v>0</v>
      </c>
      <c r="AG525">
        <f t="shared" si="16"/>
        <v>15.4</v>
      </c>
    </row>
    <row r="526" spans="1:33" x14ac:dyDescent="0.3">
      <c r="A526" t="s">
        <v>349</v>
      </c>
      <c r="B526">
        <v>2</v>
      </c>
      <c r="C526" t="s">
        <v>224</v>
      </c>
      <c r="D526" t="s">
        <v>225</v>
      </c>
      <c r="E526" t="s">
        <v>219</v>
      </c>
      <c r="F526" t="s">
        <v>169</v>
      </c>
      <c r="G526" t="s">
        <v>134</v>
      </c>
      <c r="H526">
        <v>13</v>
      </c>
      <c r="I526">
        <v>9</v>
      </c>
      <c r="J526">
        <v>144.44</v>
      </c>
      <c r="K526" t="s">
        <v>96</v>
      </c>
      <c r="L526">
        <v>27.44</v>
      </c>
      <c r="M526">
        <v>3</v>
      </c>
      <c r="N526">
        <v>0</v>
      </c>
      <c r="O526">
        <v>23</v>
      </c>
      <c r="P526">
        <v>1</v>
      </c>
      <c r="Q526">
        <v>7.67</v>
      </c>
      <c r="R526">
        <v>16.66</v>
      </c>
      <c r="S526">
        <v>0</v>
      </c>
      <c r="T526">
        <v>0</v>
      </c>
      <c r="U526" s="8">
        <v>44.1</v>
      </c>
      <c r="V526" s="8">
        <f t="shared" si="17"/>
        <v>4</v>
      </c>
      <c r="W526" t="str">
        <f>_xlfn.XLOOKUP(A526, Matches!A:A, Matches!L:L, "NA", 0)</f>
        <v>RCBW</v>
      </c>
      <c r="X526" t="str">
        <f>_xlfn.XLOOKUP(A526, Matches!A:A, Matches!J:J, "NA", 0)</f>
        <v>UPW</v>
      </c>
      <c r="Y526" t="str">
        <f>_xlfn.XLOOKUP(A526, Matches!A:A, Matches!F:F, "NA", 0)</f>
        <v>M. Chinnaswamy Stadium</v>
      </c>
      <c r="Z526" cm="1">
        <f t="array" ref="Z526">INDEX(Innings!F:F,MATCH(1,(TRIM(Innings!A:A)=TRIM(A526))*(TRIM(Innings!D:D)=TRIM(E526)),0))</f>
        <v>155</v>
      </c>
      <c r="AA526" cm="1">
        <f t="array" ref="AA526">INDEX(Innings!I:I,MATCH(1,(TRIM(Innings!A:A)=TRIM(A526))*(TRIM(Innings!D:D)=TRIM(E526)),0))</f>
        <v>7.75</v>
      </c>
      <c r="AB526" cm="1">
        <f t="array" ref="AB526">INDEX(Innings!J:J,MATCH(1,(TRIM(Innings!A:A)=TRIM(A526))*(TRIM(Innings!D:D)=TRIM(E526)),0))</f>
        <v>36</v>
      </c>
      <c r="AC526" cm="1">
        <f t="array" ref="AC526">INDEX(Innings!N:N,MATCH(1,(TRIM(Innings!A:A)=TRIM(A526))*(TRIM(Innings!D:D)=TRIM(E526)),0))</f>
        <v>29</v>
      </c>
      <c r="AD526" cm="1">
        <f t="array" ref="AD526">INDEX(Innings!S:S,MATCH(1,(TRIM(Innings!A:A)=TRIM(A526))*(TRIM(Innings!D:D)=TRIM(E526)),0))</f>
        <v>52</v>
      </c>
      <c r="AE526" t="str" cm="1">
        <f t="array" ref="AE526">INDEX(Innings!W:W,MATCH(1,(TRIM(Innings!A:A)=TRIM(A526))*(TRIM(Innings!D:D)=TRIM(E526)),0))</f>
        <v>Failed</v>
      </c>
      <c r="AF526">
        <f>IF(UPPER(TRIM(E526))=UPPER(TRIM(W526)),1,0)</f>
        <v>0</v>
      </c>
      <c r="AG526">
        <f t="shared" si="16"/>
        <v>23.25</v>
      </c>
    </row>
    <row r="527" spans="1:33" x14ac:dyDescent="0.3">
      <c r="A527" t="s">
        <v>349</v>
      </c>
      <c r="B527">
        <v>2</v>
      </c>
      <c r="C527" t="s">
        <v>233</v>
      </c>
      <c r="D527" t="s">
        <v>234</v>
      </c>
      <c r="E527" t="s">
        <v>219</v>
      </c>
      <c r="F527" t="s">
        <v>101</v>
      </c>
      <c r="G527" t="s">
        <v>134</v>
      </c>
      <c r="H527">
        <v>1</v>
      </c>
      <c r="I527">
        <v>3</v>
      </c>
      <c r="J527">
        <v>33.33</v>
      </c>
      <c r="K527" t="s">
        <v>96</v>
      </c>
      <c r="L527">
        <v>4.33</v>
      </c>
      <c r="M527">
        <v>4</v>
      </c>
      <c r="N527">
        <v>0</v>
      </c>
      <c r="O527">
        <v>26</v>
      </c>
      <c r="P527">
        <v>1</v>
      </c>
      <c r="Q527">
        <v>6.5</v>
      </c>
      <c r="R527">
        <v>19</v>
      </c>
      <c r="S527">
        <v>0</v>
      </c>
      <c r="T527">
        <v>0</v>
      </c>
      <c r="U527" s="8">
        <v>23.33</v>
      </c>
      <c r="V527" s="8">
        <f t="shared" si="17"/>
        <v>2</v>
      </c>
      <c r="W527" t="str">
        <f>_xlfn.XLOOKUP(A527, Matches!A:A, Matches!L:L, "NA", 0)</f>
        <v>RCBW</v>
      </c>
      <c r="X527" t="str">
        <f>_xlfn.XLOOKUP(A527, Matches!A:A, Matches!J:J, "NA", 0)</f>
        <v>UPW</v>
      </c>
      <c r="Y527" t="str">
        <f>_xlfn.XLOOKUP(A527, Matches!A:A, Matches!F:F, "NA", 0)</f>
        <v>M. Chinnaswamy Stadium</v>
      </c>
      <c r="Z527" cm="1">
        <f t="array" ref="Z527">INDEX(Innings!F:F,MATCH(1,(TRIM(Innings!A:A)=TRIM(A527))*(TRIM(Innings!D:D)=TRIM(E527)),0))</f>
        <v>155</v>
      </c>
      <c r="AA527" cm="1">
        <f t="array" ref="AA527">INDEX(Innings!I:I,MATCH(1,(TRIM(Innings!A:A)=TRIM(A527))*(TRIM(Innings!D:D)=TRIM(E527)),0))</f>
        <v>7.75</v>
      </c>
      <c r="AB527" cm="1">
        <f t="array" ref="AB527">INDEX(Innings!J:J,MATCH(1,(TRIM(Innings!A:A)=TRIM(A527))*(TRIM(Innings!D:D)=TRIM(E527)),0))</f>
        <v>36</v>
      </c>
      <c r="AC527" cm="1">
        <f t="array" ref="AC527">INDEX(Innings!N:N,MATCH(1,(TRIM(Innings!A:A)=TRIM(A527))*(TRIM(Innings!D:D)=TRIM(E527)),0))</f>
        <v>29</v>
      </c>
      <c r="AD527" cm="1">
        <f t="array" ref="AD527">INDEX(Innings!S:S,MATCH(1,(TRIM(Innings!A:A)=TRIM(A527))*(TRIM(Innings!D:D)=TRIM(E527)),0))</f>
        <v>52</v>
      </c>
      <c r="AE527" t="str" cm="1">
        <f t="array" ref="AE527">INDEX(Innings!W:W,MATCH(1,(TRIM(Innings!A:A)=TRIM(A527))*(TRIM(Innings!D:D)=TRIM(E527)),0))</f>
        <v>Failed</v>
      </c>
      <c r="AF527">
        <f>IF(UPPER(TRIM(E527))=UPPER(TRIM(W527)),1,0)</f>
        <v>0</v>
      </c>
      <c r="AG527">
        <f t="shared" si="16"/>
        <v>12.264999999999999</v>
      </c>
    </row>
    <row r="528" spans="1:33" x14ac:dyDescent="0.3">
      <c r="A528" t="s">
        <v>349</v>
      </c>
      <c r="B528">
        <v>2</v>
      </c>
      <c r="C528" t="s">
        <v>237</v>
      </c>
      <c r="D528" t="s">
        <v>238</v>
      </c>
      <c r="E528" t="s">
        <v>219</v>
      </c>
      <c r="F528" t="s">
        <v>101</v>
      </c>
      <c r="G528" t="s">
        <v>104</v>
      </c>
      <c r="H528">
        <v>0</v>
      </c>
      <c r="I528">
        <v>0</v>
      </c>
      <c r="J528">
        <v>0</v>
      </c>
      <c r="K528" t="s">
        <v>104</v>
      </c>
      <c r="L528">
        <v>0</v>
      </c>
      <c r="M528">
        <v>4</v>
      </c>
      <c r="N528">
        <v>0</v>
      </c>
      <c r="O528">
        <v>24</v>
      </c>
      <c r="P528">
        <v>2</v>
      </c>
      <c r="Q528">
        <v>6</v>
      </c>
      <c r="R528">
        <v>28</v>
      </c>
      <c r="S528">
        <v>0</v>
      </c>
      <c r="T528">
        <v>0</v>
      </c>
      <c r="U528" s="8">
        <v>28</v>
      </c>
      <c r="V528" s="8">
        <f t="shared" si="17"/>
        <v>3</v>
      </c>
      <c r="W528" t="str">
        <f>_xlfn.XLOOKUP(A528, Matches!A:A, Matches!L:L, "NA", 0)</f>
        <v>RCBW</v>
      </c>
      <c r="X528" t="str">
        <f>_xlfn.XLOOKUP(A528, Matches!A:A, Matches!J:J, "NA", 0)</f>
        <v>UPW</v>
      </c>
      <c r="Y528" t="str">
        <f>_xlfn.XLOOKUP(A528, Matches!A:A, Matches!F:F, "NA", 0)</f>
        <v>M. Chinnaswamy Stadium</v>
      </c>
      <c r="Z528" cm="1">
        <f t="array" ref="Z528">INDEX(Innings!F:F,MATCH(1,(TRIM(Innings!A:A)=TRIM(A528))*(TRIM(Innings!D:D)=TRIM(E528)),0))</f>
        <v>155</v>
      </c>
      <c r="AA528" cm="1">
        <f t="array" ref="AA528">INDEX(Innings!I:I,MATCH(1,(TRIM(Innings!A:A)=TRIM(A528))*(TRIM(Innings!D:D)=TRIM(E528)),0))</f>
        <v>7.75</v>
      </c>
      <c r="AB528" cm="1">
        <f t="array" ref="AB528">INDEX(Innings!J:J,MATCH(1,(TRIM(Innings!A:A)=TRIM(A528))*(TRIM(Innings!D:D)=TRIM(E528)),0))</f>
        <v>36</v>
      </c>
      <c r="AC528" cm="1">
        <f t="array" ref="AC528">INDEX(Innings!N:N,MATCH(1,(TRIM(Innings!A:A)=TRIM(A528))*(TRIM(Innings!D:D)=TRIM(E528)),0))</f>
        <v>29</v>
      </c>
      <c r="AD528" cm="1">
        <f t="array" ref="AD528">INDEX(Innings!S:S,MATCH(1,(TRIM(Innings!A:A)=TRIM(A528))*(TRIM(Innings!D:D)=TRIM(E528)),0))</f>
        <v>52</v>
      </c>
      <c r="AE528" t="str" cm="1">
        <f t="array" ref="AE528">INDEX(Innings!W:W,MATCH(1,(TRIM(Innings!A:A)=TRIM(A528))*(TRIM(Innings!D:D)=TRIM(E528)),0))</f>
        <v>Failed</v>
      </c>
      <c r="AF528">
        <f>IF(UPPER(TRIM(E528))=UPPER(TRIM(W528)),1,0)</f>
        <v>0</v>
      </c>
      <c r="AG528">
        <f t="shared" si="16"/>
        <v>14.9</v>
      </c>
    </row>
    <row r="529" spans="1:33" x14ac:dyDescent="0.3">
      <c r="A529" t="s">
        <v>349</v>
      </c>
      <c r="B529">
        <v>2</v>
      </c>
      <c r="C529" t="s">
        <v>377</v>
      </c>
      <c r="D529" t="s">
        <v>378</v>
      </c>
      <c r="E529" t="s">
        <v>219</v>
      </c>
      <c r="F529" t="s">
        <v>101</v>
      </c>
      <c r="G529" t="s">
        <v>104</v>
      </c>
      <c r="H529">
        <v>0</v>
      </c>
      <c r="I529">
        <v>0</v>
      </c>
      <c r="J529">
        <v>0</v>
      </c>
      <c r="K529" t="s">
        <v>104</v>
      </c>
      <c r="L529">
        <v>0</v>
      </c>
      <c r="M529">
        <v>2</v>
      </c>
      <c r="N529">
        <v>0</v>
      </c>
      <c r="O529">
        <v>23</v>
      </c>
      <c r="P529">
        <v>0</v>
      </c>
      <c r="Q529">
        <v>11.5</v>
      </c>
      <c r="R529">
        <v>0</v>
      </c>
      <c r="S529">
        <v>0</v>
      </c>
      <c r="T529">
        <v>0</v>
      </c>
      <c r="U529" s="8">
        <v>0</v>
      </c>
      <c r="V529" s="8">
        <f t="shared" si="17"/>
        <v>0</v>
      </c>
      <c r="W529" t="str">
        <f>_xlfn.XLOOKUP(A529, Matches!A:A, Matches!L:L, "NA", 0)</f>
        <v>RCBW</v>
      </c>
      <c r="X529" t="str">
        <f>_xlfn.XLOOKUP(A529, Matches!A:A, Matches!J:J, "NA", 0)</f>
        <v>UPW</v>
      </c>
      <c r="Y529" t="str">
        <f>_xlfn.XLOOKUP(A529, Matches!A:A, Matches!F:F, "NA", 0)</f>
        <v>M. Chinnaswamy Stadium</v>
      </c>
      <c r="Z529" cm="1">
        <f t="array" ref="Z529">INDEX(Innings!F:F,MATCH(1,(TRIM(Innings!A:A)=TRIM(A529))*(TRIM(Innings!D:D)=TRIM(E529)),0))</f>
        <v>155</v>
      </c>
      <c r="AA529" cm="1">
        <f t="array" ref="AA529">INDEX(Innings!I:I,MATCH(1,(TRIM(Innings!A:A)=TRIM(A529))*(TRIM(Innings!D:D)=TRIM(E529)),0))</f>
        <v>7.75</v>
      </c>
      <c r="AB529" cm="1">
        <f t="array" ref="AB529">INDEX(Innings!J:J,MATCH(1,(TRIM(Innings!A:A)=TRIM(A529))*(TRIM(Innings!D:D)=TRIM(E529)),0))</f>
        <v>36</v>
      </c>
      <c r="AC529" cm="1">
        <f t="array" ref="AC529">INDEX(Innings!N:N,MATCH(1,(TRIM(Innings!A:A)=TRIM(A529))*(TRIM(Innings!D:D)=TRIM(E529)),0))</f>
        <v>29</v>
      </c>
      <c r="AD529" cm="1">
        <f t="array" ref="AD529">INDEX(Innings!S:S,MATCH(1,(TRIM(Innings!A:A)=TRIM(A529))*(TRIM(Innings!D:D)=TRIM(E529)),0))</f>
        <v>52</v>
      </c>
      <c r="AE529" t="str" cm="1">
        <f t="array" ref="AE529">INDEX(Innings!W:W,MATCH(1,(TRIM(Innings!A:A)=TRIM(A529))*(TRIM(Innings!D:D)=TRIM(E529)),0))</f>
        <v>Failed</v>
      </c>
      <c r="AF529">
        <f>IF(UPPER(TRIM(E529))=UPPER(TRIM(W529)),1,0)</f>
        <v>0</v>
      </c>
      <c r="AG529">
        <f t="shared" si="16"/>
        <v>0</v>
      </c>
    </row>
    <row r="530" spans="1:33" x14ac:dyDescent="0.3">
      <c r="A530" t="s">
        <v>350</v>
      </c>
      <c r="B530">
        <v>2</v>
      </c>
      <c r="C530" t="s">
        <v>81</v>
      </c>
      <c r="D530" t="s">
        <v>114</v>
      </c>
      <c r="E530" t="s">
        <v>258</v>
      </c>
      <c r="F530" t="s">
        <v>85</v>
      </c>
      <c r="G530" t="s">
        <v>86</v>
      </c>
      <c r="H530">
        <v>24</v>
      </c>
      <c r="I530">
        <v>22</v>
      </c>
      <c r="J530">
        <v>109.09</v>
      </c>
      <c r="K530" t="s">
        <v>246</v>
      </c>
      <c r="L530">
        <v>29.91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 s="8">
        <v>29.91</v>
      </c>
      <c r="V530" s="8">
        <f t="shared" si="17"/>
        <v>3</v>
      </c>
      <c r="W530" t="str">
        <f>_xlfn.XLOOKUP(A530, Matches!A:A, Matches!L:L, "NA", 0)</f>
        <v>MIW</v>
      </c>
      <c r="X530" t="str">
        <f>_xlfn.XLOOKUP(A530, Matches!A:A, Matches!J:J, "NA", 0)</f>
        <v>MIW</v>
      </c>
      <c r="Y530" t="str">
        <f>_xlfn.XLOOKUP(A530, Matches!A:A, Matches!F:F, "NA", 0)</f>
        <v>M. Chinnaswamy Stadium</v>
      </c>
      <c r="Z530" cm="1">
        <f t="array" ref="Z530">INDEX(Innings!F:F,MATCH(1,(TRIM(Innings!A:A)=TRIM(A530))*(TRIM(Innings!D:D)=TRIM(E530)),0))</f>
        <v>126</v>
      </c>
      <c r="AA530" cm="1">
        <f t="array" ref="AA530">INDEX(Innings!I:I,MATCH(1,(TRIM(Innings!A:A)=TRIM(A530))*(TRIM(Innings!D:D)=TRIM(E530)),0))</f>
        <v>6.3</v>
      </c>
      <c r="AB530" cm="1">
        <f t="array" ref="AB530">INDEX(Innings!J:J,MATCH(1,(TRIM(Innings!A:A)=TRIM(A530))*(TRIM(Innings!D:D)=TRIM(E530)),0))</f>
        <v>43</v>
      </c>
      <c r="AC530" cm="1">
        <f t="array" ref="AC530">INDEX(Innings!N:N,MATCH(1,(TRIM(Innings!A:A)=TRIM(A530))*(TRIM(Innings!D:D)=TRIM(E530)),0))</f>
        <v>33</v>
      </c>
      <c r="AD530" cm="1">
        <f t="array" ref="AD530">INDEX(Innings!S:S,MATCH(1,(TRIM(Innings!A:A)=TRIM(A530))*(TRIM(Innings!D:D)=TRIM(E530)),0))</f>
        <v>53</v>
      </c>
      <c r="AE530" t="str" cm="1">
        <f t="array" ref="AE530">INDEX(Innings!W:W,MATCH(1,(TRIM(Innings!A:A)=TRIM(A530))*(TRIM(Innings!D:D)=TRIM(E530)),0))</f>
        <v>NA</v>
      </c>
      <c r="AF530">
        <f>IF(UPPER(TRIM(E530))=UPPER(TRIM(W530)),1,0)</f>
        <v>0</v>
      </c>
      <c r="AG530">
        <f t="shared" si="16"/>
        <v>15.855</v>
      </c>
    </row>
    <row r="531" spans="1:33" x14ac:dyDescent="0.3">
      <c r="A531" t="s">
        <v>350</v>
      </c>
      <c r="B531">
        <v>2</v>
      </c>
      <c r="C531" t="s">
        <v>408</v>
      </c>
      <c r="D531" t="s">
        <v>382</v>
      </c>
      <c r="E531" t="s">
        <v>258</v>
      </c>
      <c r="F531" t="s">
        <v>109</v>
      </c>
      <c r="G531" t="s">
        <v>86</v>
      </c>
      <c r="H531">
        <v>0</v>
      </c>
      <c r="I531">
        <v>2</v>
      </c>
      <c r="J531">
        <v>0</v>
      </c>
      <c r="K531" t="s">
        <v>247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 s="8">
        <v>0</v>
      </c>
      <c r="V531" s="8">
        <f t="shared" si="17"/>
        <v>0</v>
      </c>
      <c r="W531" t="str">
        <f>_xlfn.XLOOKUP(A531, Matches!A:A, Matches!L:L, "NA", 0)</f>
        <v>MIW</v>
      </c>
      <c r="X531" t="str">
        <f>_xlfn.XLOOKUP(A531, Matches!A:A, Matches!J:J, "NA", 0)</f>
        <v>MIW</v>
      </c>
      <c r="Y531" t="str">
        <f>_xlfn.XLOOKUP(A531, Matches!A:A, Matches!F:F, "NA", 0)</f>
        <v>M. Chinnaswamy Stadium</v>
      </c>
      <c r="Z531" cm="1">
        <f t="array" ref="Z531">INDEX(Innings!F:F,MATCH(1,(TRIM(Innings!A:A)=TRIM(A531))*(TRIM(Innings!D:D)=TRIM(E531)),0))</f>
        <v>126</v>
      </c>
      <c r="AA531" cm="1">
        <f t="array" ref="AA531">INDEX(Innings!I:I,MATCH(1,(TRIM(Innings!A:A)=TRIM(A531))*(TRIM(Innings!D:D)=TRIM(E531)),0))</f>
        <v>6.3</v>
      </c>
      <c r="AB531" cm="1">
        <f t="array" ref="AB531">INDEX(Innings!J:J,MATCH(1,(TRIM(Innings!A:A)=TRIM(A531))*(TRIM(Innings!D:D)=TRIM(E531)),0))</f>
        <v>43</v>
      </c>
      <c r="AC531" cm="1">
        <f t="array" ref="AC531">INDEX(Innings!N:N,MATCH(1,(TRIM(Innings!A:A)=TRIM(A531))*(TRIM(Innings!D:D)=TRIM(E531)),0))</f>
        <v>33</v>
      </c>
      <c r="AD531" cm="1">
        <f t="array" ref="AD531">INDEX(Innings!S:S,MATCH(1,(TRIM(Innings!A:A)=TRIM(A531))*(TRIM(Innings!D:D)=TRIM(E531)),0))</f>
        <v>53</v>
      </c>
      <c r="AE531" t="str" cm="1">
        <f t="array" ref="AE531">INDEX(Innings!W:W,MATCH(1,(TRIM(Innings!A:A)=TRIM(A531))*(TRIM(Innings!D:D)=TRIM(E531)),0))</f>
        <v>NA</v>
      </c>
      <c r="AF531">
        <f>IF(UPPER(TRIM(E531))=UPPER(TRIM(W531)),1,0)</f>
        <v>0</v>
      </c>
      <c r="AG531">
        <f t="shared" si="16"/>
        <v>0</v>
      </c>
    </row>
    <row r="532" spans="1:33" x14ac:dyDescent="0.3">
      <c r="A532" t="s">
        <v>350</v>
      </c>
      <c r="B532">
        <v>2</v>
      </c>
      <c r="C532" t="s">
        <v>89</v>
      </c>
      <c r="D532" t="s">
        <v>116</v>
      </c>
      <c r="E532" t="s">
        <v>258</v>
      </c>
      <c r="F532" t="s">
        <v>169</v>
      </c>
      <c r="G532" t="s">
        <v>92</v>
      </c>
      <c r="H532">
        <v>8</v>
      </c>
      <c r="I532">
        <v>9</v>
      </c>
      <c r="J532">
        <v>88.89</v>
      </c>
      <c r="K532" t="s">
        <v>247</v>
      </c>
      <c r="L532">
        <v>11.89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 s="8">
        <v>11.89</v>
      </c>
      <c r="V532" s="8">
        <f t="shared" si="17"/>
        <v>1</v>
      </c>
      <c r="W532" t="str">
        <f>_xlfn.XLOOKUP(A532, Matches!A:A, Matches!L:L, "NA", 0)</f>
        <v>MIW</v>
      </c>
      <c r="X532" t="str">
        <f>_xlfn.XLOOKUP(A532, Matches!A:A, Matches!J:J, "NA", 0)</f>
        <v>MIW</v>
      </c>
      <c r="Y532" t="str">
        <f>_xlfn.XLOOKUP(A532, Matches!A:A, Matches!F:F, "NA", 0)</f>
        <v>M. Chinnaswamy Stadium</v>
      </c>
      <c r="Z532" cm="1">
        <f t="array" ref="Z532">INDEX(Innings!F:F,MATCH(1,(TRIM(Innings!A:A)=TRIM(A532))*(TRIM(Innings!D:D)=TRIM(E532)),0))</f>
        <v>126</v>
      </c>
      <c r="AA532" cm="1">
        <f t="array" ref="AA532">INDEX(Innings!I:I,MATCH(1,(TRIM(Innings!A:A)=TRIM(A532))*(TRIM(Innings!D:D)=TRIM(E532)),0))</f>
        <v>6.3</v>
      </c>
      <c r="AB532" cm="1">
        <f t="array" ref="AB532">INDEX(Innings!J:J,MATCH(1,(TRIM(Innings!A:A)=TRIM(A532))*(TRIM(Innings!D:D)=TRIM(E532)),0))</f>
        <v>43</v>
      </c>
      <c r="AC532" cm="1">
        <f t="array" ref="AC532">INDEX(Innings!N:N,MATCH(1,(TRIM(Innings!A:A)=TRIM(A532))*(TRIM(Innings!D:D)=TRIM(E532)),0))</f>
        <v>33</v>
      </c>
      <c r="AD532" cm="1">
        <f t="array" ref="AD532">INDEX(Innings!S:S,MATCH(1,(TRIM(Innings!A:A)=TRIM(A532))*(TRIM(Innings!D:D)=TRIM(E532)),0))</f>
        <v>53</v>
      </c>
      <c r="AE532" t="str" cm="1">
        <f t="array" ref="AE532">INDEX(Innings!W:W,MATCH(1,(TRIM(Innings!A:A)=TRIM(A532))*(TRIM(Innings!D:D)=TRIM(E532)),0))</f>
        <v>NA</v>
      </c>
      <c r="AF532">
        <f>IF(UPPER(TRIM(E532))=UPPER(TRIM(W532)),1,0)</f>
        <v>0</v>
      </c>
      <c r="AG532">
        <f t="shared" si="16"/>
        <v>6.2450000000000001</v>
      </c>
    </row>
    <row r="533" spans="1:33" x14ac:dyDescent="0.3">
      <c r="A533" t="s">
        <v>350</v>
      </c>
      <c r="B533">
        <v>2</v>
      </c>
      <c r="C533" t="s">
        <v>383</v>
      </c>
      <c r="D533" t="s">
        <v>384</v>
      </c>
      <c r="E533" t="s">
        <v>258</v>
      </c>
      <c r="F533" t="s">
        <v>109</v>
      </c>
      <c r="G533" t="s">
        <v>92</v>
      </c>
      <c r="H533">
        <v>7</v>
      </c>
      <c r="I533">
        <v>8</v>
      </c>
      <c r="J533">
        <v>87.5</v>
      </c>
      <c r="K533" t="s">
        <v>246</v>
      </c>
      <c r="L533">
        <v>10.75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 s="8">
        <v>10.75</v>
      </c>
      <c r="V533" s="8">
        <f t="shared" si="17"/>
        <v>1</v>
      </c>
      <c r="W533" t="str">
        <f>_xlfn.XLOOKUP(A533, Matches!A:A, Matches!L:L, "NA", 0)</f>
        <v>MIW</v>
      </c>
      <c r="X533" t="str">
        <f>_xlfn.XLOOKUP(A533, Matches!A:A, Matches!J:J, "NA", 0)</f>
        <v>MIW</v>
      </c>
      <c r="Y533" t="str">
        <f>_xlfn.XLOOKUP(A533, Matches!A:A, Matches!F:F, "NA", 0)</f>
        <v>M. Chinnaswamy Stadium</v>
      </c>
      <c r="Z533" cm="1">
        <f t="array" ref="Z533">INDEX(Innings!F:F,MATCH(1,(TRIM(Innings!A:A)=TRIM(A533))*(TRIM(Innings!D:D)=TRIM(E533)),0))</f>
        <v>126</v>
      </c>
      <c r="AA533" cm="1">
        <f t="array" ref="AA533">INDEX(Innings!I:I,MATCH(1,(TRIM(Innings!A:A)=TRIM(A533))*(TRIM(Innings!D:D)=TRIM(E533)),0))</f>
        <v>6.3</v>
      </c>
      <c r="AB533" cm="1">
        <f t="array" ref="AB533">INDEX(Innings!J:J,MATCH(1,(TRIM(Innings!A:A)=TRIM(A533))*(TRIM(Innings!D:D)=TRIM(E533)),0))</f>
        <v>43</v>
      </c>
      <c r="AC533" cm="1">
        <f t="array" ref="AC533">INDEX(Innings!N:N,MATCH(1,(TRIM(Innings!A:A)=TRIM(A533))*(TRIM(Innings!D:D)=TRIM(E533)),0))</f>
        <v>33</v>
      </c>
      <c r="AD533" cm="1">
        <f t="array" ref="AD533">INDEX(Innings!S:S,MATCH(1,(TRIM(Innings!A:A)=TRIM(A533))*(TRIM(Innings!D:D)=TRIM(E533)),0))</f>
        <v>53</v>
      </c>
      <c r="AE533" t="str" cm="1">
        <f t="array" ref="AE533">INDEX(Innings!W:W,MATCH(1,(TRIM(Innings!A:A)=TRIM(A533))*(TRIM(Innings!D:D)=TRIM(E533)),0))</f>
        <v>NA</v>
      </c>
      <c r="AF533">
        <f>IF(UPPER(TRIM(E533))=UPPER(TRIM(W533)),1,0)</f>
        <v>0</v>
      </c>
      <c r="AG533">
        <f t="shared" si="16"/>
        <v>5.6749999999999998</v>
      </c>
    </row>
    <row r="534" spans="1:33" x14ac:dyDescent="0.3">
      <c r="A534" t="s">
        <v>350</v>
      </c>
      <c r="B534">
        <v>2</v>
      </c>
      <c r="C534" t="s">
        <v>97</v>
      </c>
      <c r="D534" t="s">
        <v>122</v>
      </c>
      <c r="E534" t="s">
        <v>258</v>
      </c>
      <c r="F534" t="s">
        <v>109</v>
      </c>
      <c r="G534" t="s">
        <v>134</v>
      </c>
      <c r="H534">
        <v>3</v>
      </c>
      <c r="I534">
        <v>8</v>
      </c>
      <c r="J534">
        <v>37.5</v>
      </c>
      <c r="K534" t="s">
        <v>246</v>
      </c>
      <c r="L534">
        <v>1.75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 s="8">
        <v>1.75</v>
      </c>
      <c r="V534" s="8">
        <f t="shared" si="17"/>
        <v>0</v>
      </c>
      <c r="W534" t="str">
        <f>_xlfn.XLOOKUP(A534, Matches!A:A, Matches!L:L, "NA", 0)</f>
        <v>MIW</v>
      </c>
      <c r="X534" t="str">
        <f>_xlfn.XLOOKUP(A534, Matches!A:A, Matches!J:J, "NA", 0)</f>
        <v>MIW</v>
      </c>
      <c r="Y534" t="str">
        <f>_xlfn.XLOOKUP(A534, Matches!A:A, Matches!F:F, "NA", 0)</f>
        <v>M. Chinnaswamy Stadium</v>
      </c>
      <c r="Z534" cm="1">
        <f t="array" ref="Z534">INDEX(Innings!F:F,MATCH(1,(TRIM(Innings!A:A)=TRIM(A534))*(TRIM(Innings!D:D)=TRIM(E534)),0))</f>
        <v>126</v>
      </c>
      <c r="AA534" cm="1">
        <f t="array" ref="AA534">INDEX(Innings!I:I,MATCH(1,(TRIM(Innings!A:A)=TRIM(A534))*(TRIM(Innings!D:D)=TRIM(E534)),0))</f>
        <v>6.3</v>
      </c>
      <c r="AB534" cm="1">
        <f t="array" ref="AB534">INDEX(Innings!J:J,MATCH(1,(TRIM(Innings!A:A)=TRIM(A534))*(TRIM(Innings!D:D)=TRIM(E534)),0))</f>
        <v>43</v>
      </c>
      <c r="AC534" cm="1">
        <f t="array" ref="AC534">INDEX(Innings!N:N,MATCH(1,(TRIM(Innings!A:A)=TRIM(A534))*(TRIM(Innings!D:D)=TRIM(E534)),0))</f>
        <v>33</v>
      </c>
      <c r="AD534" cm="1">
        <f t="array" ref="AD534">INDEX(Innings!S:S,MATCH(1,(TRIM(Innings!A:A)=TRIM(A534))*(TRIM(Innings!D:D)=TRIM(E534)),0))</f>
        <v>53</v>
      </c>
      <c r="AE534" t="str" cm="1">
        <f t="array" ref="AE534">INDEX(Innings!W:W,MATCH(1,(TRIM(Innings!A:A)=TRIM(A534))*(TRIM(Innings!D:D)=TRIM(E534)),0))</f>
        <v>NA</v>
      </c>
      <c r="AF534">
        <f>IF(UPPER(TRIM(E534))=UPPER(TRIM(W534)),1,0)</f>
        <v>0</v>
      </c>
      <c r="AG534">
        <f t="shared" si="16"/>
        <v>0.875</v>
      </c>
    </row>
    <row r="535" spans="1:33" x14ac:dyDescent="0.3">
      <c r="A535" t="s">
        <v>350</v>
      </c>
      <c r="B535">
        <v>2</v>
      </c>
      <c r="C535" t="s">
        <v>93</v>
      </c>
      <c r="D535" t="s">
        <v>118</v>
      </c>
      <c r="E535" t="s">
        <v>258</v>
      </c>
      <c r="F535" t="s">
        <v>169</v>
      </c>
      <c r="G535" t="s">
        <v>134</v>
      </c>
      <c r="H535">
        <v>15</v>
      </c>
      <c r="I535">
        <v>22</v>
      </c>
      <c r="J535">
        <v>68.180000000000007</v>
      </c>
      <c r="K535" t="s">
        <v>246</v>
      </c>
      <c r="L535">
        <v>16.82</v>
      </c>
      <c r="M535">
        <v>4</v>
      </c>
      <c r="N535">
        <v>0</v>
      </c>
      <c r="O535">
        <v>23</v>
      </c>
      <c r="P535">
        <v>0</v>
      </c>
      <c r="Q535">
        <v>5.75</v>
      </c>
      <c r="R535">
        <v>0</v>
      </c>
      <c r="S535">
        <v>0</v>
      </c>
      <c r="T535">
        <v>0</v>
      </c>
      <c r="U535" s="8">
        <v>16.82</v>
      </c>
      <c r="V535" s="8">
        <f t="shared" si="17"/>
        <v>2</v>
      </c>
      <c r="W535" t="str">
        <f>_xlfn.XLOOKUP(A535, Matches!A:A, Matches!L:L, "NA", 0)</f>
        <v>MIW</v>
      </c>
      <c r="X535" t="str">
        <f>_xlfn.XLOOKUP(A535, Matches!A:A, Matches!J:J, "NA", 0)</f>
        <v>MIW</v>
      </c>
      <c r="Y535" t="str">
        <f>_xlfn.XLOOKUP(A535, Matches!A:A, Matches!F:F, "NA", 0)</f>
        <v>M. Chinnaswamy Stadium</v>
      </c>
      <c r="Z535" cm="1">
        <f t="array" ref="Z535">INDEX(Innings!F:F,MATCH(1,(TRIM(Innings!A:A)=TRIM(A535))*(TRIM(Innings!D:D)=TRIM(E535)),0))</f>
        <v>126</v>
      </c>
      <c r="AA535" cm="1">
        <f t="array" ref="AA535">INDEX(Innings!I:I,MATCH(1,(TRIM(Innings!A:A)=TRIM(A535))*(TRIM(Innings!D:D)=TRIM(E535)),0))</f>
        <v>6.3</v>
      </c>
      <c r="AB535" cm="1">
        <f t="array" ref="AB535">INDEX(Innings!J:J,MATCH(1,(TRIM(Innings!A:A)=TRIM(A535))*(TRIM(Innings!D:D)=TRIM(E535)),0))</f>
        <v>43</v>
      </c>
      <c r="AC535" cm="1">
        <f t="array" ref="AC535">INDEX(Innings!N:N,MATCH(1,(TRIM(Innings!A:A)=TRIM(A535))*(TRIM(Innings!D:D)=TRIM(E535)),0))</f>
        <v>33</v>
      </c>
      <c r="AD535" cm="1">
        <f t="array" ref="AD535">INDEX(Innings!S:S,MATCH(1,(TRIM(Innings!A:A)=TRIM(A535))*(TRIM(Innings!D:D)=TRIM(E535)),0))</f>
        <v>53</v>
      </c>
      <c r="AE535" t="str" cm="1">
        <f t="array" ref="AE535">INDEX(Innings!W:W,MATCH(1,(TRIM(Innings!A:A)=TRIM(A535))*(TRIM(Innings!D:D)=TRIM(E535)),0))</f>
        <v>NA</v>
      </c>
      <c r="AF535">
        <f>IF(UPPER(TRIM(E535))=UPPER(TRIM(W535)),1,0)</f>
        <v>0</v>
      </c>
      <c r="AG535">
        <f t="shared" si="16"/>
        <v>9.01</v>
      </c>
    </row>
    <row r="536" spans="1:33" x14ac:dyDescent="0.3">
      <c r="A536" t="s">
        <v>350</v>
      </c>
      <c r="B536">
        <v>2</v>
      </c>
      <c r="C536" t="s">
        <v>385</v>
      </c>
      <c r="D536" t="s">
        <v>386</v>
      </c>
      <c r="E536" t="s">
        <v>258</v>
      </c>
      <c r="F536" t="s">
        <v>169</v>
      </c>
      <c r="G536" t="s">
        <v>134</v>
      </c>
      <c r="H536">
        <v>25</v>
      </c>
      <c r="I536">
        <v>24</v>
      </c>
      <c r="J536">
        <v>104.17</v>
      </c>
      <c r="K536" t="s">
        <v>96</v>
      </c>
      <c r="L536">
        <v>35.42</v>
      </c>
      <c r="M536">
        <v>3</v>
      </c>
      <c r="N536">
        <v>1</v>
      </c>
      <c r="O536">
        <v>22</v>
      </c>
      <c r="P536">
        <v>1</v>
      </c>
      <c r="Q536">
        <v>7.33</v>
      </c>
      <c r="R536">
        <v>15.34</v>
      </c>
      <c r="S536">
        <v>0</v>
      </c>
      <c r="T536">
        <v>0</v>
      </c>
      <c r="U536" s="8">
        <v>50.76</v>
      </c>
      <c r="V536" s="8">
        <f t="shared" si="17"/>
        <v>5</v>
      </c>
      <c r="W536" t="str">
        <f>_xlfn.XLOOKUP(A536, Matches!A:A, Matches!L:L, "NA", 0)</f>
        <v>MIW</v>
      </c>
      <c r="X536" t="str">
        <f>_xlfn.XLOOKUP(A536, Matches!A:A, Matches!J:J, "NA", 0)</f>
        <v>MIW</v>
      </c>
      <c r="Y536" t="str">
        <f>_xlfn.XLOOKUP(A536, Matches!A:A, Matches!F:F, "NA", 0)</f>
        <v>M. Chinnaswamy Stadium</v>
      </c>
      <c r="Z536" cm="1">
        <f t="array" ref="Z536">INDEX(Innings!F:F,MATCH(1,(TRIM(Innings!A:A)=TRIM(A536))*(TRIM(Innings!D:D)=TRIM(E536)),0))</f>
        <v>126</v>
      </c>
      <c r="AA536" cm="1">
        <f t="array" ref="AA536">INDEX(Innings!I:I,MATCH(1,(TRIM(Innings!A:A)=TRIM(A536))*(TRIM(Innings!D:D)=TRIM(E536)),0))</f>
        <v>6.3</v>
      </c>
      <c r="AB536" cm="1">
        <f t="array" ref="AB536">INDEX(Innings!J:J,MATCH(1,(TRIM(Innings!A:A)=TRIM(A536))*(TRIM(Innings!D:D)=TRIM(E536)),0))</f>
        <v>43</v>
      </c>
      <c r="AC536" cm="1">
        <f t="array" ref="AC536">INDEX(Innings!N:N,MATCH(1,(TRIM(Innings!A:A)=TRIM(A536))*(TRIM(Innings!D:D)=TRIM(E536)),0))</f>
        <v>33</v>
      </c>
      <c r="AD536" cm="1">
        <f t="array" ref="AD536">INDEX(Innings!S:S,MATCH(1,(TRIM(Innings!A:A)=TRIM(A536))*(TRIM(Innings!D:D)=TRIM(E536)),0))</f>
        <v>53</v>
      </c>
      <c r="AE536" t="str" cm="1">
        <f t="array" ref="AE536">INDEX(Innings!W:W,MATCH(1,(TRIM(Innings!A:A)=TRIM(A536))*(TRIM(Innings!D:D)=TRIM(E536)),0))</f>
        <v>NA</v>
      </c>
      <c r="AF536">
        <f>IF(UPPER(TRIM(E536))=UPPER(TRIM(W536)),1,0)</f>
        <v>0</v>
      </c>
      <c r="AG536">
        <f t="shared" si="16"/>
        <v>26.88</v>
      </c>
    </row>
    <row r="537" spans="1:33" x14ac:dyDescent="0.3">
      <c r="A537" t="s">
        <v>350</v>
      </c>
      <c r="B537">
        <v>2</v>
      </c>
      <c r="C537" t="s">
        <v>102</v>
      </c>
      <c r="D537" t="s">
        <v>126</v>
      </c>
      <c r="E537" t="s">
        <v>258</v>
      </c>
      <c r="F537" t="s">
        <v>101</v>
      </c>
      <c r="G537" t="s">
        <v>134</v>
      </c>
      <c r="H537">
        <v>0</v>
      </c>
      <c r="I537">
        <v>2</v>
      </c>
      <c r="J537">
        <v>0</v>
      </c>
      <c r="K537" t="s">
        <v>245</v>
      </c>
      <c r="L537">
        <v>0</v>
      </c>
      <c r="M537">
        <v>2.1</v>
      </c>
      <c r="N537">
        <v>0</v>
      </c>
      <c r="O537">
        <v>21</v>
      </c>
      <c r="P537">
        <v>0</v>
      </c>
      <c r="Q537">
        <v>9.6999999999999993</v>
      </c>
      <c r="R537">
        <v>0</v>
      </c>
      <c r="S537">
        <v>0</v>
      </c>
      <c r="T537">
        <v>0</v>
      </c>
      <c r="U537" s="8">
        <v>0</v>
      </c>
      <c r="V537" s="8">
        <f t="shared" si="17"/>
        <v>0</v>
      </c>
      <c r="W537" t="str">
        <f>_xlfn.XLOOKUP(A537, Matches!A:A, Matches!L:L, "NA", 0)</f>
        <v>MIW</v>
      </c>
      <c r="X537" t="str">
        <f>_xlfn.XLOOKUP(A537, Matches!A:A, Matches!J:J, "NA", 0)</f>
        <v>MIW</v>
      </c>
      <c r="Y537" t="str">
        <f>_xlfn.XLOOKUP(A537, Matches!A:A, Matches!F:F, "NA", 0)</f>
        <v>M. Chinnaswamy Stadium</v>
      </c>
      <c r="Z537" cm="1">
        <f t="array" ref="Z537">INDEX(Innings!F:F,MATCH(1,(TRIM(Innings!A:A)=TRIM(A537))*(TRIM(Innings!D:D)=TRIM(E537)),0))</f>
        <v>126</v>
      </c>
      <c r="AA537" cm="1">
        <f t="array" ref="AA537">INDEX(Innings!I:I,MATCH(1,(TRIM(Innings!A:A)=TRIM(A537))*(TRIM(Innings!D:D)=TRIM(E537)),0))</f>
        <v>6.3</v>
      </c>
      <c r="AB537" cm="1">
        <f t="array" ref="AB537">INDEX(Innings!J:J,MATCH(1,(TRIM(Innings!A:A)=TRIM(A537))*(TRIM(Innings!D:D)=TRIM(E537)),0))</f>
        <v>43</v>
      </c>
      <c r="AC537" cm="1">
        <f t="array" ref="AC537">INDEX(Innings!N:N,MATCH(1,(TRIM(Innings!A:A)=TRIM(A537))*(TRIM(Innings!D:D)=TRIM(E537)),0))</f>
        <v>33</v>
      </c>
      <c r="AD537" cm="1">
        <f t="array" ref="AD537">INDEX(Innings!S:S,MATCH(1,(TRIM(Innings!A:A)=TRIM(A537))*(TRIM(Innings!D:D)=TRIM(E537)),0))</f>
        <v>53</v>
      </c>
      <c r="AE537" t="str" cm="1">
        <f t="array" ref="AE537">INDEX(Innings!W:W,MATCH(1,(TRIM(Innings!A:A)=TRIM(A537))*(TRIM(Innings!D:D)=TRIM(E537)),0))</f>
        <v>NA</v>
      </c>
      <c r="AF537">
        <f>IF(UPPER(TRIM(E537))=UPPER(TRIM(W537)),1,0)</f>
        <v>0</v>
      </c>
      <c r="AG537">
        <f t="shared" si="16"/>
        <v>0</v>
      </c>
    </row>
    <row r="538" spans="1:33" x14ac:dyDescent="0.3">
      <c r="A538" t="s">
        <v>350</v>
      </c>
      <c r="B538">
        <v>2</v>
      </c>
      <c r="C538" t="s">
        <v>105</v>
      </c>
      <c r="D538" t="s">
        <v>128</v>
      </c>
      <c r="E538" t="s">
        <v>258</v>
      </c>
      <c r="F538" t="s">
        <v>101</v>
      </c>
      <c r="G538" t="s">
        <v>134</v>
      </c>
      <c r="H538">
        <v>28</v>
      </c>
      <c r="I538">
        <v>21</v>
      </c>
      <c r="J538">
        <v>133.33000000000001</v>
      </c>
      <c r="K538" t="s">
        <v>248</v>
      </c>
      <c r="L538">
        <v>36.33</v>
      </c>
      <c r="M538">
        <v>4</v>
      </c>
      <c r="N538">
        <v>0</v>
      </c>
      <c r="O538">
        <v>21</v>
      </c>
      <c r="P538">
        <v>2</v>
      </c>
      <c r="Q538">
        <v>5.25</v>
      </c>
      <c r="R538">
        <v>29.5</v>
      </c>
      <c r="S538">
        <v>0</v>
      </c>
      <c r="T538">
        <v>0</v>
      </c>
      <c r="U538" s="8">
        <v>65.83</v>
      </c>
      <c r="V538" s="8">
        <f t="shared" si="17"/>
        <v>7</v>
      </c>
      <c r="W538" t="str">
        <f>_xlfn.XLOOKUP(A538, Matches!A:A, Matches!L:L, "NA", 0)</f>
        <v>MIW</v>
      </c>
      <c r="X538" t="str">
        <f>_xlfn.XLOOKUP(A538, Matches!A:A, Matches!J:J, "NA", 0)</f>
        <v>MIW</v>
      </c>
      <c r="Y538" t="str">
        <f>_xlfn.XLOOKUP(A538, Matches!A:A, Matches!F:F, "NA", 0)</f>
        <v>M. Chinnaswamy Stadium</v>
      </c>
      <c r="Z538" cm="1">
        <f t="array" ref="Z538">INDEX(Innings!F:F,MATCH(1,(TRIM(Innings!A:A)=TRIM(A538))*(TRIM(Innings!D:D)=TRIM(E538)),0))</f>
        <v>126</v>
      </c>
      <c r="AA538" cm="1">
        <f t="array" ref="AA538">INDEX(Innings!I:I,MATCH(1,(TRIM(Innings!A:A)=TRIM(A538))*(TRIM(Innings!D:D)=TRIM(E538)),0))</f>
        <v>6.3</v>
      </c>
      <c r="AB538" cm="1">
        <f t="array" ref="AB538">INDEX(Innings!J:J,MATCH(1,(TRIM(Innings!A:A)=TRIM(A538))*(TRIM(Innings!D:D)=TRIM(E538)),0))</f>
        <v>43</v>
      </c>
      <c r="AC538" cm="1">
        <f t="array" ref="AC538">INDEX(Innings!N:N,MATCH(1,(TRIM(Innings!A:A)=TRIM(A538))*(TRIM(Innings!D:D)=TRIM(E538)),0))</f>
        <v>33</v>
      </c>
      <c r="AD538" cm="1">
        <f t="array" ref="AD538">INDEX(Innings!S:S,MATCH(1,(TRIM(Innings!A:A)=TRIM(A538))*(TRIM(Innings!D:D)=TRIM(E538)),0))</f>
        <v>53</v>
      </c>
      <c r="AE538" t="str" cm="1">
        <f t="array" ref="AE538">INDEX(Innings!W:W,MATCH(1,(TRIM(Innings!A:A)=TRIM(A538))*(TRIM(Innings!D:D)=TRIM(E538)),0))</f>
        <v>NA</v>
      </c>
      <c r="AF538">
        <f>IF(UPPER(TRIM(E538))=UPPER(TRIM(W538)),1,0)</f>
        <v>0</v>
      </c>
      <c r="AG538">
        <f t="shared" si="16"/>
        <v>35.015000000000001</v>
      </c>
    </row>
    <row r="539" spans="1:33" x14ac:dyDescent="0.3">
      <c r="A539" t="s">
        <v>350</v>
      </c>
      <c r="B539">
        <v>2</v>
      </c>
      <c r="C539" t="s">
        <v>387</v>
      </c>
      <c r="D539" t="s">
        <v>388</v>
      </c>
      <c r="E539" t="s">
        <v>258</v>
      </c>
      <c r="F539" t="s">
        <v>101</v>
      </c>
      <c r="G539" t="s">
        <v>134</v>
      </c>
      <c r="H539">
        <v>0</v>
      </c>
      <c r="I539">
        <v>2</v>
      </c>
      <c r="J539">
        <v>0</v>
      </c>
      <c r="K539" t="s">
        <v>248</v>
      </c>
      <c r="L539">
        <v>0</v>
      </c>
      <c r="M539">
        <v>3</v>
      </c>
      <c r="N539">
        <v>0</v>
      </c>
      <c r="O539">
        <v>17</v>
      </c>
      <c r="P539">
        <v>1</v>
      </c>
      <c r="Q539">
        <v>5.67</v>
      </c>
      <c r="R539">
        <v>18.66</v>
      </c>
      <c r="S539">
        <v>0</v>
      </c>
      <c r="T539">
        <v>0</v>
      </c>
      <c r="U539" s="8">
        <v>18.66</v>
      </c>
      <c r="V539" s="8">
        <f t="shared" si="17"/>
        <v>2</v>
      </c>
      <c r="W539" t="str">
        <f>_xlfn.XLOOKUP(A539, Matches!A:A, Matches!L:L, "NA", 0)</f>
        <v>MIW</v>
      </c>
      <c r="X539" t="str">
        <f>_xlfn.XLOOKUP(A539, Matches!A:A, Matches!J:J, "NA", 0)</f>
        <v>MIW</v>
      </c>
      <c r="Y539" t="str">
        <f>_xlfn.XLOOKUP(A539, Matches!A:A, Matches!F:F, "NA", 0)</f>
        <v>M. Chinnaswamy Stadium</v>
      </c>
      <c r="Z539" cm="1">
        <f t="array" ref="Z539">INDEX(Innings!F:F,MATCH(1,(TRIM(Innings!A:A)=TRIM(A539))*(TRIM(Innings!D:D)=TRIM(E539)),0))</f>
        <v>126</v>
      </c>
      <c r="AA539" cm="1">
        <f t="array" ref="AA539">INDEX(Innings!I:I,MATCH(1,(TRIM(Innings!A:A)=TRIM(A539))*(TRIM(Innings!D:D)=TRIM(E539)),0))</f>
        <v>6.3</v>
      </c>
      <c r="AB539" cm="1">
        <f t="array" ref="AB539">INDEX(Innings!J:J,MATCH(1,(TRIM(Innings!A:A)=TRIM(A539))*(TRIM(Innings!D:D)=TRIM(E539)),0))</f>
        <v>43</v>
      </c>
      <c r="AC539" cm="1">
        <f t="array" ref="AC539">INDEX(Innings!N:N,MATCH(1,(TRIM(Innings!A:A)=TRIM(A539))*(TRIM(Innings!D:D)=TRIM(E539)),0))</f>
        <v>33</v>
      </c>
      <c r="AD539" cm="1">
        <f t="array" ref="AD539">INDEX(Innings!S:S,MATCH(1,(TRIM(Innings!A:A)=TRIM(A539))*(TRIM(Innings!D:D)=TRIM(E539)),0))</f>
        <v>53</v>
      </c>
      <c r="AE539" t="str" cm="1">
        <f t="array" ref="AE539">INDEX(Innings!W:W,MATCH(1,(TRIM(Innings!A:A)=TRIM(A539))*(TRIM(Innings!D:D)=TRIM(E539)),0))</f>
        <v>NA</v>
      </c>
      <c r="AF539">
        <f>IF(UPPER(TRIM(E539))=UPPER(TRIM(W539)),1,0)</f>
        <v>0</v>
      </c>
      <c r="AG539">
        <f t="shared" si="16"/>
        <v>9.93</v>
      </c>
    </row>
    <row r="540" spans="1:33" x14ac:dyDescent="0.3">
      <c r="A540" t="s">
        <v>350</v>
      </c>
      <c r="B540">
        <v>2</v>
      </c>
      <c r="C540" t="s">
        <v>389</v>
      </c>
      <c r="D540" t="s">
        <v>390</v>
      </c>
      <c r="E540" t="s">
        <v>258</v>
      </c>
      <c r="F540" t="s">
        <v>101</v>
      </c>
      <c r="G540" t="s">
        <v>104</v>
      </c>
      <c r="H540">
        <v>0</v>
      </c>
      <c r="I540">
        <v>0</v>
      </c>
      <c r="J540">
        <v>0</v>
      </c>
      <c r="K540" t="s">
        <v>104</v>
      </c>
      <c r="L540">
        <v>0</v>
      </c>
      <c r="M540">
        <v>2</v>
      </c>
      <c r="N540">
        <v>0</v>
      </c>
      <c r="O540">
        <v>19</v>
      </c>
      <c r="P540">
        <v>0</v>
      </c>
      <c r="Q540">
        <v>9.5</v>
      </c>
      <c r="R540">
        <v>0</v>
      </c>
      <c r="S540">
        <v>0</v>
      </c>
      <c r="T540">
        <v>0</v>
      </c>
      <c r="U540" s="8">
        <v>0</v>
      </c>
      <c r="V540" s="8">
        <f t="shared" si="17"/>
        <v>0</v>
      </c>
      <c r="W540" t="str">
        <f>_xlfn.XLOOKUP(A540, Matches!A:A, Matches!L:L, "NA", 0)</f>
        <v>MIW</v>
      </c>
      <c r="X540" t="str">
        <f>_xlfn.XLOOKUP(A540, Matches!A:A, Matches!J:J, "NA", 0)</f>
        <v>MIW</v>
      </c>
      <c r="Y540" t="str">
        <f>_xlfn.XLOOKUP(A540, Matches!A:A, Matches!F:F, "NA", 0)</f>
        <v>M. Chinnaswamy Stadium</v>
      </c>
      <c r="Z540" cm="1">
        <f t="array" ref="Z540">INDEX(Innings!F:F,MATCH(1,(TRIM(Innings!A:A)=TRIM(A540))*(TRIM(Innings!D:D)=TRIM(E540)),0))</f>
        <v>126</v>
      </c>
      <c r="AA540" cm="1">
        <f t="array" ref="AA540">INDEX(Innings!I:I,MATCH(1,(TRIM(Innings!A:A)=TRIM(A540))*(TRIM(Innings!D:D)=TRIM(E540)),0))</f>
        <v>6.3</v>
      </c>
      <c r="AB540" cm="1">
        <f t="array" ref="AB540">INDEX(Innings!J:J,MATCH(1,(TRIM(Innings!A:A)=TRIM(A540))*(TRIM(Innings!D:D)=TRIM(E540)),0))</f>
        <v>43</v>
      </c>
      <c r="AC540" cm="1">
        <f t="array" ref="AC540">INDEX(Innings!N:N,MATCH(1,(TRIM(Innings!A:A)=TRIM(A540))*(TRIM(Innings!D:D)=TRIM(E540)),0))</f>
        <v>33</v>
      </c>
      <c r="AD540" cm="1">
        <f t="array" ref="AD540">INDEX(Innings!S:S,MATCH(1,(TRIM(Innings!A:A)=TRIM(A540))*(TRIM(Innings!D:D)=TRIM(E540)),0))</f>
        <v>53</v>
      </c>
      <c r="AE540" t="str" cm="1">
        <f t="array" ref="AE540">INDEX(Innings!W:W,MATCH(1,(TRIM(Innings!A:A)=TRIM(A540))*(TRIM(Innings!D:D)=TRIM(E540)),0))</f>
        <v>NA</v>
      </c>
      <c r="AF540">
        <f>IF(UPPER(TRIM(E540))=UPPER(TRIM(W540)),1,0)</f>
        <v>0</v>
      </c>
      <c r="AG540">
        <f t="shared" si="16"/>
        <v>0</v>
      </c>
    </row>
    <row r="541" spans="1:33" x14ac:dyDescent="0.3">
      <c r="A541" t="s">
        <v>350</v>
      </c>
      <c r="B541">
        <v>2</v>
      </c>
      <c r="C541" t="s">
        <v>113</v>
      </c>
      <c r="D541" t="s">
        <v>84</v>
      </c>
      <c r="E541" t="s">
        <v>266</v>
      </c>
      <c r="F541" t="s">
        <v>85</v>
      </c>
      <c r="G541" t="s">
        <v>86</v>
      </c>
      <c r="H541">
        <v>7</v>
      </c>
      <c r="I541">
        <v>7</v>
      </c>
      <c r="J541">
        <v>100</v>
      </c>
      <c r="K541" t="s">
        <v>246</v>
      </c>
      <c r="L541">
        <v>12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 s="8">
        <v>12</v>
      </c>
      <c r="V541" s="8">
        <f t="shared" si="17"/>
        <v>1</v>
      </c>
      <c r="W541" t="str">
        <f>_xlfn.XLOOKUP(A541, Matches!A:A, Matches!L:L, "NA", 0)</f>
        <v>MIW</v>
      </c>
      <c r="X541" t="str">
        <f>_xlfn.XLOOKUP(A541, Matches!A:A, Matches!J:J, "NA", 0)</f>
        <v>MIW</v>
      </c>
      <c r="Y541" t="str">
        <f>_xlfn.XLOOKUP(A541, Matches!A:A, Matches!F:F, "NA", 0)</f>
        <v>M. Chinnaswamy Stadium</v>
      </c>
      <c r="Z541" cm="1">
        <f t="array" ref="Z541">INDEX(Innings!F:F,MATCH(1,(TRIM(Innings!A:A)=TRIM(A541))*(TRIM(Innings!D:D)=TRIM(E541)),0))</f>
        <v>129</v>
      </c>
      <c r="AA541" cm="1">
        <f t="array" ref="AA541">INDEX(Innings!I:I,MATCH(1,(TRIM(Innings!A:A)=TRIM(A541))*(TRIM(Innings!D:D)=TRIM(E541)),0))</f>
        <v>7.1</v>
      </c>
      <c r="AB541" cm="1">
        <f t="array" ref="AB541">INDEX(Innings!J:J,MATCH(1,(TRIM(Innings!A:A)=TRIM(A541))*(TRIM(Innings!D:D)=TRIM(E541)),0))</f>
        <v>39</v>
      </c>
      <c r="AC541" cm="1">
        <f t="array" ref="AC541">INDEX(Innings!N:N,MATCH(1,(TRIM(Innings!A:A)=TRIM(A541))*(TRIM(Innings!D:D)=TRIM(E541)),0))</f>
        <v>14</v>
      </c>
      <c r="AD541" cm="1">
        <f t="array" ref="AD541">INDEX(Innings!S:S,MATCH(1,(TRIM(Innings!A:A)=TRIM(A541))*(TRIM(Innings!D:D)=TRIM(E541)),0))</f>
        <v>50</v>
      </c>
      <c r="AE541" t="str" cm="1">
        <f t="array" ref="AE541">INDEX(Innings!W:W,MATCH(1,(TRIM(Innings!A:A)=TRIM(A541))*(TRIM(Innings!D:D)=TRIM(E541)),0))</f>
        <v>Successful</v>
      </c>
      <c r="AF541">
        <f>IF(UPPER(TRIM(E541))=UPPER(TRIM(W541)),1,0)</f>
        <v>1</v>
      </c>
      <c r="AG541">
        <f t="shared" si="16"/>
        <v>26.3</v>
      </c>
    </row>
    <row r="542" spans="1:33" x14ac:dyDescent="0.3">
      <c r="A542" t="s">
        <v>350</v>
      </c>
      <c r="B542">
        <v>2</v>
      </c>
      <c r="C542" t="s">
        <v>112</v>
      </c>
      <c r="D542" t="s">
        <v>88</v>
      </c>
      <c r="E542" t="s">
        <v>266</v>
      </c>
      <c r="F542" t="s">
        <v>169</v>
      </c>
      <c r="G542" t="s">
        <v>86</v>
      </c>
      <c r="H542">
        <v>7</v>
      </c>
      <c r="I542">
        <v>11</v>
      </c>
      <c r="J542">
        <v>63.64</v>
      </c>
      <c r="K542" t="s">
        <v>246</v>
      </c>
      <c r="L542">
        <v>8.36</v>
      </c>
      <c r="M542">
        <v>4</v>
      </c>
      <c r="N542">
        <v>0</v>
      </c>
      <c r="O542">
        <v>33</v>
      </c>
      <c r="P542">
        <v>1</v>
      </c>
      <c r="Q542">
        <v>8.25</v>
      </c>
      <c r="R542">
        <v>23.5</v>
      </c>
      <c r="S542">
        <v>0</v>
      </c>
      <c r="T542">
        <v>0</v>
      </c>
      <c r="U542" s="8">
        <v>31.86</v>
      </c>
      <c r="V542" s="8">
        <f t="shared" si="17"/>
        <v>3</v>
      </c>
      <c r="W542" t="str">
        <f>_xlfn.XLOOKUP(A542, Matches!A:A, Matches!L:L, "NA", 0)</f>
        <v>MIW</v>
      </c>
      <c r="X542" t="str">
        <f>_xlfn.XLOOKUP(A542, Matches!A:A, Matches!J:J, "NA", 0)</f>
        <v>MIW</v>
      </c>
      <c r="Y542" t="str">
        <f>_xlfn.XLOOKUP(A542, Matches!A:A, Matches!F:F, "NA", 0)</f>
        <v>M. Chinnaswamy Stadium</v>
      </c>
      <c r="Z542" cm="1">
        <f t="array" ref="Z542">INDEX(Innings!F:F,MATCH(1,(TRIM(Innings!A:A)=TRIM(A542))*(TRIM(Innings!D:D)=TRIM(E542)),0))</f>
        <v>129</v>
      </c>
      <c r="AA542" cm="1">
        <f t="array" ref="AA542">INDEX(Innings!I:I,MATCH(1,(TRIM(Innings!A:A)=TRIM(A542))*(TRIM(Innings!D:D)=TRIM(E542)),0))</f>
        <v>7.1</v>
      </c>
      <c r="AB542" cm="1">
        <f t="array" ref="AB542">INDEX(Innings!J:J,MATCH(1,(TRIM(Innings!A:A)=TRIM(A542))*(TRIM(Innings!D:D)=TRIM(E542)),0))</f>
        <v>39</v>
      </c>
      <c r="AC542" cm="1">
        <f t="array" ref="AC542">INDEX(Innings!N:N,MATCH(1,(TRIM(Innings!A:A)=TRIM(A542))*(TRIM(Innings!D:D)=TRIM(E542)),0))</f>
        <v>14</v>
      </c>
      <c r="AD542" cm="1">
        <f t="array" ref="AD542">INDEX(Innings!S:S,MATCH(1,(TRIM(Innings!A:A)=TRIM(A542))*(TRIM(Innings!D:D)=TRIM(E542)),0))</f>
        <v>50</v>
      </c>
      <c r="AE542" t="str" cm="1">
        <f t="array" ref="AE542">INDEX(Innings!W:W,MATCH(1,(TRIM(Innings!A:A)=TRIM(A542))*(TRIM(Innings!D:D)=TRIM(E542)),0))</f>
        <v>Successful</v>
      </c>
      <c r="AF542">
        <f>IF(UPPER(TRIM(E542))=UPPER(TRIM(W542)),1,0)</f>
        <v>1</v>
      </c>
      <c r="AG542">
        <f t="shared" si="16"/>
        <v>36.83</v>
      </c>
    </row>
    <row r="543" spans="1:33" x14ac:dyDescent="0.3">
      <c r="A543" t="s">
        <v>350</v>
      </c>
      <c r="B543">
        <v>2</v>
      </c>
      <c r="C543" t="s">
        <v>117</v>
      </c>
      <c r="D543" t="s">
        <v>90</v>
      </c>
      <c r="E543" t="s">
        <v>266</v>
      </c>
      <c r="F543" t="s">
        <v>169</v>
      </c>
      <c r="G543" t="s">
        <v>92</v>
      </c>
      <c r="H543">
        <v>22</v>
      </c>
      <c r="I543">
        <v>18</v>
      </c>
      <c r="J543">
        <v>122.22</v>
      </c>
      <c r="K543" t="s">
        <v>256</v>
      </c>
      <c r="L543">
        <v>29.22</v>
      </c>
      <c r="M543">
        <v>2</v>
      </c>
      <c r="N543">
        <v>0</v>
      </c>
      <c r="O543">
        <v>14</v>
      </c>
      <c r="P543">
        <v>1</v>
      </c>
      <c r="Q543">
        <v>7</v>
      </c>
      <c r="R543">
        <v>10</v>
      </c>
      <c r="S543">
        <v>0</v>
      </c>
      <c r="T543">
        <v>0</v>
      </c>
      <c r="U543" s="8">
        <v>39.22</v>
      </c>
      <c r="V543" s="8">
        <f t="shared" si="17"/>
        <v>4</v>
      </c>
      <c r="W543" t="str">
        <f>_xlfn.XLOOKUP(A543, Matches!A:A, Matches!L:L, "NA", 0)</f>
        <v>MIW</v>
      </c>
      <c r="X543" t="str">
        <f>_xlfn.XLOOKUP(A543, Matches!A:A, Matches!J:J, "NA", 0)</f>
        <v>MIW</v>
      </c>
      <c r="Y543" t="str">
        <f>_xlfn.XLOOKUP(A543, Matches!A:A, Matches!F:F, "NA", 0)</f>
        <v>M. Chinnaswamy Stadium</v>
      </c>
      <c r="Z543" cm="1">
        <f t="array" ref="Z543">INDEX(Innings!F:F,MATCH(1,(TRIM(Innings!A:A)=TRIM(A543))*(TRIM(Innings!D:D)=TRIM(E543)),0))</f>
        <v>129</v>
      </c>
      <c r="AA543" cm="1">
        <f t="array" ref="AA543">INDEX(Innings!I:I,MATCH(1,(TRIM(Innings!A:A)=TRIM(A543))*(TRIM(Innings!D:D)=TRIM(E543)),0))</f>
        <v>7.1</v>
      </c>
      <c r="AB543" cm="1">
        <f t="array" ref="AB543">INDEX(Innings!J:J,MATCH(1,(TRIM(Innings!A:A)=TRIM(A543))*(TRIM(Innings!D:D)=TRIM(E543)),0))</f>
        <v>39</v>
      </c>
      <c r="AC543" cm="1">
        <f t="array" ref="AC543">INDEX(Innings!N:N,MATCH(1,(TRIM(Innings!A:A)=TRIM(A543))*(TRIM(Innings!D:D)=TRIM(E543)),0))</f>
        <v>14</v>
      </c>
      <c r="AD543" cm="1">
        <f t="array" ref="AD543">INDEX(Innings!S:S,MATCH(1,(TRIM(Innings!A:A)=TRIM(A543))*(TRIM(Innings!D:D)=TRIM(E543)),0))</f>
        <v>50</v>
      </c>
      <c r="AE543" t="str" cm="1">
        <f t="array" ref="AE543">INDEX(Innings!W:W,MATCH(1,(TRIM(Innings!A:A)=TRIM(A543))*(TRIM(Innings!D:D)=TRIM(E543)),0))</f>
        <v>Successful</v>
      </c>
      <c r="AF543">
        <f>IF(UPPER(TRIM(E543))=UPPER(TRIM(W543)),1,0)</f>
        <v>1</v>
      </c>
      <c r="AG543">
        <f t="shared" si="16"/>
        <v>40.81</v>
      </c>
    </row>
    <row r="544" spans="1:33" x14ac:dyDescent="0.3">
      <c r="A544" t="s">
        <v>350</v>
      </c>
      <c r="B544">
        <v>2</v>
      </c>
      <c r="C544" t="s">
        <v>115</v>
      </c>
      <c r="D544" t="s">
        <v>17</v>
      </c>
      <c r="E544" t="s">
        <v>266</v>
      </c>
      <c r="F544" t="s">
        <v>169</v>
      </c>
      <c r="G544" t="s">
        <v>92</v>
      </c>
      <c r="H544">
        <v>46</v>
      </c>
      <c r="I544">
        <v>41</v>
      </c>
      <c r="J544">
        <v>112.2</v>
      </c>
      <c r="K544" t="s">
        <v>96</v>
      </c>
      <c r="L544">
        <v>57.2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 s="8">
        <v>57.2</v>
      </c>
      <c r="V544" s="8">
        <f t="shared" si="17"/>
        <v>6</v>
      </c>
      <c r="W544" t="str">
        <f>_xlfn.XLOOKUP(A544, Matches!A:A, Matches!L:L, "NA", 0)</f>
        <v>MIW</v>
      </c>
      <c r="X544" t="str">
        <f>_xlfn.XLOOKUP(A544, Matches!A:A, Matches!J:J, "NA", 0)</f>
        <v>MIW</v>
      </c>
      <c r="Y544" t="str">
        <f>_xlfn.XLOOKUP(A544, Matches!A:A, Matches!F:F, "NA", 0)</f>
        <v>M. Chinnaswamy Stadium</v>
      </c>
      <c r="Z544" cm="1">
        <f t="array" ref="Z544">INDEX(Innings!F:F,MATCH(1,(TRIM(Innings!A:A)=TRIM(A544))*(TRIM(Innings!D:D)=TRIM(E544)),0))</f>
        <v>129</v>
      </c>
      <c r="AA544" cm="1">
        <f t="array" ref="AA544">INDEX(Innings!I:I,MATCH(1,(TRIM(Innings!A:A)=TRIM(A544))*(TRIM(Innings!D:D)=TRIM(E544)),0))</f>
        <v>7.1</v>
      </c>
      <c r="AB544" cm="1">
        <f t="array" ref="AB544">INDEX(Innings!J:J,MATCH(1,(TRIM(Innings!A:A)=TRIM(A544))*(TRIM(Innings!D:D)=TRIM(E544)),0))</f>
        <v>39</v>
      </c>
      <c r="AC544" cm="1">
        <f t="array" ref="AC544">INDEX(Innings!N:N,MATCH(1,(TRIM(Innings!A:A)=TRIM(A544))*(TRIM(Innings!D:D)=TRIM(E544)),0))</f>
        <v>14</v>
      </c>
      <c r="AD544" cm="1">
        <f t="array" ref="AD544">INDEX(Innings!S:S,MATCH(1,(TRIM(Innings!A:A)=TRIM(A544))*(TRIM(Innings!D:D)=TRIM(E544)),0))</f>
        <v>50</v>
      </c>
      <c r="AE544" t="str" cm="1">
        <f t="array" ref="AE544">INDEX(Innings!W:W,MATCH(1,(TRIM(Innings!A:A)=TRIM(A544))*(TRIM(Innings!D:D)=TRIM(E544)),0))</f>
        <v>Successful</v>
      </c>
      <c r="AF544">
        <f>IF(UPPER(TRIM(E544))=UPPER(TRIM(W544)),1,0)</f>
        <v>1</v>
      </c>
      <c r="AG544">
        <f t="shared" si="16"/>
        <v>50.400000000000006</v>
      </c>
    </row>
    <row r="545" spans="1:33" x14ac:dyDescent="0.3">
      <c r="A545" t="s">
        <v>350</v>
      </c>
      <c r="B545">
        <v>2</v>
      </c>
      <c r="C545" t="s">
        <v>119</v>
      </c>
      <c r="D545" t="s">
        <v>95</v>
      </c>
      <c r="E545" t="s">
        <v>266</v>
      </c>
      <c r="F545" t="s">
        <v>169</v>
      </c>
      <c r="G545" t="s">
        <v>134</v>
      </c>
      <c r="H545">
        <v>31</v>
      </c>
      <c r="I545">
        <v>25</v>
      </c>
      <c r="J545">
        <v>124</v>
      </c>
      <c r="K545" t="s">
        <v>247</v>
      </c>
      <c r="L545">
        <v>38.4</v>
      </c>
      <c r="M545">
        <v>4</v>
      </c>
      <c r="N545">
        <v>0</v>
      </c>
      <c r="O545">
        <v>17</v>
      </c>
      <c r="P545">
        <v>4</v>
      </c>
      <c r="Q545">
        <v>4.25</v>
      </c>
      <c r="R545">
        <v>63.5</v>
      </c>
      <c r="S545">
        <v>0</v>
      </c>
      <c r="T545">
        <v>0</v>
      </c>
      <c r="U545" s="8">
        <v>101.9</v>
      </c>
      <c r="V545" s="8">
        <f t="shared" si="17"/>
        <v>10</v>
      </c>
      <c r="W545" t="str">
        <f>_xlfn.XLOOKUP(A545, Matches!A:A, Matches!L:L, "NA", 0)</f>
        <v>MIW</v>
      </c>
      <c r="X545" t="str">
        <f>_xlfn.XLOOKUP(A545, Matches!A:A, Matches!J:J, "NA", 0)</f>
        <v>MIW</v>
      </c>
      <c r="Y545" t="str">
        <f>_xlfn.XLOOKUP(A545, Matches!A:A, Matches!F:F, "NA", 0)</f>
        <v>M. Chinnaswamy Stadium</v>
      </c>
      <c r="Z545" cm="1">
        <f t="array" ref="Z545">INDEX(Innings!F:F,MATCH(1,(TRIM(Innings!A:A)=TRIM(A545))*(TRIM(Innings!D:D)=TRIM(E545)),0))</f>
        <v>129</v>
      </c>
      <c r="AA545" cm="1">
        <f t="array" ref="AA545">INDEX(Innings!I:I,MATCH(1,(TRIM(Innings!A:A)=TRIM(A545))*(TRIM(Innings!D:D)=TRIM(E545)),0))</f>
        <v>7.1</v>
      </c>
      <c r="AB545" cm="1">
        <f t="array" ref="AB545">INDEX(Innings!J:J,MATCH(1,(TRIM(Innings!A:A)=TRIM(A545))*(TRIM(Innings!D:D)=TRIM(E545)),0))</f>
        <v>39</v>
      </c>
      <c r="AC545" cm="1">
        <f t="array" ref="AC545">INDEX(Innings!N:N,MATCH(1,(TRIM(Innings!A:A)=TRIM(A545))*(TRIM(Innings!D:D)=TRIM(E545)),0))</f>
        <v>14</v>
      </c>
      <c r="AD545" cm="1">
        <f t="array" ref="AD545">INDEX(Innings!S:S,MATCH(1,(TRIM(Innings!A:A)=TRIM(A545))*(TRIM(Innings!D:D)=TRIM(E545)),0))</f>
        <v>50</v>
      </c>
      <c r="AE545" t="str" cm="1">
        <f t="array" ref="AE545">INDEX(Innings!W:W,MATCH(1,(TRIM(Innings!A:A)=TRIM(A545))*(TRIM(Innings!D:D)=TRIM(E545)),0))</f>
        <v>Successful</v>
      </c>
      <c r="AF545">
        <f>IF(UPPER(TRIM(E545))=UPPER(TRIM(W545)),1,0)</f>
        <v>1</v>
      </c>
      <c r="AG545">
        <f t="shared" si="16"/>
        <v>73.95</v>
      </c>
    </row>
    <row r="546" spans="1:33" x14ac:dyDescent="0.3">
      <c r="A546" t="s">
        <v>350</v>
      </c>
      <c r="B546">
        <v>2</v>
      </c>
      <c r="C546" t="s">
        <v>123</v>
      </c>
      <c r="D546" t="s">
        <v>98</v>
      </c>
      <c r="E546" t="s">
        <v>266</v>
      </c>
      <c r="F546" t="s">
        <v>169</v>
      </c>
      <c r="G546" t="s">
        <v>134</v>
      </c>
      <c r="H546">
        <v>1</v>
      </c>
      <c r="I546">
        <v>2</v>
      </c>
      <c r="J546">
        <v>50</v>
      </c>
      <c r="K546" t="s">
        <v>245</v>
      </c>
      <c r="L546">
        <v>1</v>
      </c>
      <c r="M546">
        <v>2</v>
      </c>
      <c r="N546">
        <v>0</v>
      </c>
      <c r="O546">
        <v>9</v>
      </c>
      <c r="P546">
        <v>0</v>
      </c>
      <c r="Q546">
        <v>4.5</v>
      </c>
      <c r="R546">
        <v>0</v>
      </c>
      <c r="S546">
        <v>0</v>
      </c>
      <c r="T546">
        <v>0</v>
      </c>
      <c r="U546" s="8">
        <v>1</v>
      </c>
      <c r="V546" s="8">
        <f t="shared" si="17"/>
        <v>0</v>
      </c>
      <c r="W546" t="str">
        <f>_xlfn.XLOOKUP(A546, Matches!A:A, Matches!L:L, "NA", 0)</f>
        <v>MIW</v>
      </c>
      <c r="X546" t="str">
        <f>_xlfn.XLOOKUP(A546, Matches!A:A, Matches!J:J, "NA", 0)</f>
        <v>MIW</v>
      </c>
      <c r="Y546" t="str">
        <f>_xlfn.XLOOKUP(A546, Matches!A:A, Matches!F:F, "NA", 0)</f>
        <v>M. Chinnaswamy Stadium</v>
      </c>
      <c r="Z546" cm="1">
        <f t="array" ref="Z546">INDEX(Innings!F:F,MATCH(1,(TRIM(Innings!A:A)=TRIM(A546))*(TRIM(Innings!D:D)=TRIM(E546)),0))</f>
        <v>129</v>
      </c>
      <c r="AA546" cm="1">
        <f t="array" ref="AA546">INDEX(Innings!I:I,MATCH(1,(TRIM(Innings!A:A)=TRIM(A546))*(TRIM(Innings!D:D)=TRIM(E546)),0))</f>
        <v>7.1</v>
      </c>
      <c r="AB546" cm="1">
        <f t="array" ref="AB546">INDEX(Innings!J:J,MATCH(1,(TRIM(Innings!A:A)=TRIM(A546))*(TRIM(Innings!D:D)=TRIM(E546)),0))</f>
        <v>39</v>
      </c>
      <c r="AC546" cm="1">
        <f t="array" ref="AC546">INDEX(Innings!N:N,MATCH(1,(TRIM(Innings!A:A)=TRIM(A546))*(TRIM(Innings!D:D)=TRIM(E546)),0))</f>
        <v>14</v>
      </c>
      <c r="AD546" cm="1">
        <f t="array" ref="AD546">INDEX(Innings!S:S,MATCH(1,(TRIM(Innings!A:A)=TRIM(A546))*(TRIM(Innings!D:D)=TRIM(E546)),0))</f>
        <v>50</v>
      </c>
      <c r="AE546" t="str" cm="1">
        <f t="array" ref="AE546">INDEX(Innings!W:W,MATCH(1,(TRIM(Innings!A:A)=TRIM(A546))*(TRIM(Innings!D:D)=TRIM(E546)),0))</f>
        <v>Successful</v>
      </c>
      <c r="AF546">
        <f>IF(UPPER(TRIM(E546))=UPPER(TRIM(W546)),1,0)</f>
        <v>1</v>
      </c>
      <c r="AG546">
        <f t="shared" si="16"/>
        <v>20.5</v>
      </c>
    </row>
    <row r="547" spans="1:33" x14ac:dyDescent="0.3">
      <c r="A547" t="s">
        <v>350</v>
      </c>
      <c r="B547">
        <v>2</v>
      </c>
      <c r="C547" t="s">
        <v>121</v>
      </c>
      <c r="D547" t="s">
        <v>108</v>
      </c>
      <c r="E547" t="s">
        <v>266</v>
      </c>
      <c r="F547" t="s">
        <v>169</v>
      </c>
      <c r="G547" t="s">
        <v>134</v>
      </c>
      <c r="H547">
        <v>0</v>
      </c>
      <c r="I547">
        <v>5</v>
      </c>
      <c r="J547">
        <v>0</v>
      </c>
      <c r="K547" t="s">
        <v>96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 s="8">
        <v>0</v>
      </c>
      <c r="V547" s="8">
        <f t="shared" si="17"/>
        <v>0</v>
      </c>
      <c r="W547" t="str">
        <f>_xlfn.XLOOKUP(A547, Matches!A:A, Matches!L:L, "NA", 0)</f>
        <v>MIW</v>
      </c>
      <c r="X547" t="str">
        <f>_xlfn.XLOOKUP(A547, Matches!A:A, Matches!J:J, "NA", 0)</f>
        <v>MIW</v>
      </c>
      <c r="Y547" t="str">
        <f>_xlfn.XLOOKUP(A547, Matches!A:A, Matches!F:F, "NA", 0)</f>
        <v>M. Chinnaswamy Stadium</v>
      </c>
      <c r="Z547" cm="1">
        <f t="array" ref="Z547">INDEX(Innings!F:F,MATCH(1,(TRIM(Innings!A:A)=TRIM(A547))*(TRIM(Innings!D:D)=TRIM(E547)),0))</f>
        <v>129</v>
      </c>
      <c r="AA547" cm="1">
        <f t="array" ref="AA547">INDEX(Innings!I:I,MATCH(1,(TRIM(Innings!A:A)=TRIM(A547))*(TRIM(Innings!D:D)=TRIM(E547)),0))</f>
        <v>7.1</v>
      </c>
      <c r="AB547" cm="1">
        <f t="array" ref="AB547">INDEX(Innings!J:J,MATCH(1,(TRIM(Innings!A:A)=TRIM(A547))*(TRIM(Innings!D:D)=TRIM(E547)),0))</f>
        <v>39</v>
      </c>
      <c r="AC547" cm="1">
        <f t="array" ref="AC547">INDEX(Innings!N:N,MATCH(1,(TRIM(Innings!A:A)=TRIM(A547))*(TRIM(Innings!D:D)=TRIM(E547)),0))</f>
        <v>14</v>
      </c>
      <c r="AD547" cm="1">
        <f t="array" ref="AD547">INDEX(Innings!S:S,MATCH(1,(TRIM(Innings!A:A)=TRIM(A547))*(TRIM(Innings!D:D)=TRIM(E547)),0))</f>
        <v>50</v>
      </c>
      <c r="AE547" t="str" cm="1">
        <f t="array" ref="AE547">INDEX(Innings!W:W,MATCH(1,(TRIM(Innings!A:A)=TRIM(A547))*(TRIM(Innings!D:D)=TRIM(E547)),0))</f>
        <v>Successful</v>
      </c>
      <c r="AF547">
        <f>IF(UPPER(TRIM(E547))=UPPER(TRIM(W547)),1,0)</f>
        <v>1</v>
      </c>
      <c r="AG547">
        <f t="shared" si="16"/>
        <v>20</v>
      </c>
    </row>
    <row r="548" spans="1:33" x14ac:dyDescent="0.3">
      <c r="A548" t="s">
        <v>350</v>
      </c>
      <c r="B548">
        <v>2</v>
      </c>
      <c r="C548" t="s">
        <v>347</v>
      </c>
      <c r="D548" t="s">
        <v>348</v>
      </c>
      <c r="E548" t="s">
        <v>266</v>
      </c>
      <c r="F548" t="s">
        <v>109</v>
      </c>
      <c r="G548" t="s">
        <v>104</v>
      </c>
      <c r="H548">
        <v>0</v>
      </c>
      <c r="I548">
        <v>0</v>
      </c>
      <c r="J548">
        <v>0</v>
      </c>
      <c r="K548" t="s">
        <v>104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 s="8">
        <v>0</v>
      </c>
      <c r="V548" s="8">
        <f t="shared" si="17"/>
        <v>0</v>
      </c>
      <c r="W548" t="str">
        <f>_xlfn.XLOOKUP(A548, Matches!A:A, Matches!L:L, "NA", 0)</f>
        <v>MIW</v>
      </c>
      <c r="X548" t="str">
        <f>_xlfn.XLOOKUP(A548, Matches!A:A, Matches!J:J, "NA", 0)</f>
        <v>MIW</v>
      </c>
      <c r="Y548" t="str">
        <f>_xlfn.XLOOKUP(A548, Matches!A:A, Matches!F:F, "NA", 0)</f>
        <v>M. Chinnaswamy Stadium</v>
      </c>
      <c r="Z548" cm="1">
        <f t="array" ref="Z548">INDEX(Innings!F:F,MATCH(1,(TRIM(Innings!A:A)=TRIM(A548))*(TRIM(Innings!D:D)=TRIM(E548)),0))</f>
        <v>129</v>
      </c>
      <c r="AA548" cm="1">
        <f t="array" ref="AA548">INDEX(Innings!I:I,MATCH(1,(TRIM(Innings!A:A)=TRIM(A548))*(TRIM(Innings!D:D)=TRIM(E548)),0))</f>
        <v>7.1</v>
      </c>
      <c r="AB548" cm="1">
        <f t="array" ref="AB548">INDEX(Innings!J:J,MATCH(1,(TRIM(Innings!A:A)=TRIM(A548))*(TRIM(Innings!D:D)=TRIM(E548)),0))</f>
        <v>39</v>
      </c>
      <c r="AC548" cm="1">
        <f t="array" ref="AC548">INDEX(Innings!N:N,MATCH(1,(TRIM(Innings!A:A)=TRIM(A548))*(TRIM(Innings!D:D)=TRIM(E548)),0))</f>
        <v>14</v>
      </c>
      <c r="AD548" cm="1">
        <f t="array" ref="AD548">INDEX(Innings!S:S,MATCH(1,(TRIM(Innings!A:A)=TRIM(A548))*(TRIM(Innings!D:D)=TRIM(E548)),0))</f>
        <v>50</v>
      </c>
      <c r="AE548" t="str" cm="1">
        <f t="array" ref="AE548">INDEX(Innings!W:W,MATCH(1,(TRIM(Innings!A:A)=TRIM(A548))*(TRIM(Innings!D:D)=TRIM(E548)),0))</f>
        <v>Successful</v>
      </c>
      <c r="AF548">
        <f>IF(UPPER(TRIM(E548))=UPPER(TRIM(W548)),1,0)</f>
        <v>1</v>
      </c>
      <c r="AG548">
        <f t="shared" si="16"/>
        <v>20</v>
      </c>
    </row>
    <row r="549" spans="1:33" x14ac:dyDescent="0.3">
      <c r="A549" t="s">
        <v>350</v>
      </c>
      <c r="B549">
        <v>2</v>
      </c>
      <c r="C549" t="s">
        <v>265</v>
      </c>
      <c r="D549" t="s">
        <v>264</v>
      </c>
      <c r="E549" t="s">
        <v>266</v>
      </c>
      <c r="F549" t="s">
        <v>101</v>
      </c>
      <c r="G549" t="s">
        <v>104</v>
      </c>
      <c r="H549">
        <v>0</v>
      </c>
      <c r="I549">
        <v>0</v>
      </c>
      <c r="J549">
        <v>0</v>
      </c>
      <c r="K549" t="s">
        <v>104</v>
      </c>
      <c r="L549">
        <v>0</v>
      </c>
      <c r="M549">
        <v>4</v>
      </c>
      <c r="N549">
        <v>0</v>
      </c>
      <c r="O549">
        <v>18</v>
      </c>
      <c r="P549">
        <v>3</v>
      </c>
      <c r="Q549">
        <v>4.5</v>
      </c>
      <c r="R549">
        <v>51</v>
      </c>
      <c r="S549">
        <v>0</v>
      </c>
      <c r="T549">
        <v>0</v>
      </c>
      <c r="U549" s="8">
        <v>51</v>
      </c>
      <c r="V549" s="8">
        <f t="shared" si="17"/>
        <v>5</v>
      </c>
      <c r="W549" t="str">
        <f>_xlfn.XLOOKUP(A549, Matches!A:A, Matches!L:L, "NA", 0)</f>
        <v>MIW</v>
      </c>
      <c r="X549" t="str">
        <f>_xlfn.XLOOKUP(A549, Matches!A:A, Matches!J:J, "NA", 0)</f>
        <v>MIW</v>
      </c>
      <c r="Y549" t="str">
        <f>_xlfn.XLOOKUP(A549, Matches!A:A, Matches!F:F, "NA", 0)</f>
        <v>M. Chinnaswamy Stadium</v>
      </c>
      <c r="Z549" cm="1">
        <f t="array" ref="Z549">INDEX(Innings!F:F,MATCH(1,(TRIM(Innings!A:A)=TRIM(A549))*(TRIM(Innings!D:D)=TRIM(E549)),0))</f>
        <v>129</v>
      </c>
      <c r="AA549" cm="1">
        <f t="array" ref="AA549">INDEX(Innings!I:I,MATCH(1,(TRIM(Innings!A:A)=TRIM(A549))*(TRIM(Innings!D:D)=TRIM(E549)),0))</f>
        <v>7.1</v>
      </c>
      <c r="AB549" cm="1">
        <f t="array" ref="AB549">INDEX(Innings!J:J,MATCH(1,(TRIM(Innings!A:A)=TRIM(A549))*(TRIM(Innings!D:D)=TRIM(E549)),0))</f>
        <v>39</v>
      </c>
      <c r="AC549" cm="1">
        <f t="array" ref="AC549">INDEX(Innings!N:N,MATCH(1,(TRIM(Innings!A:A)=TRIM(A549))*(TRIM(Innings!D:D)=TRIM(E549)),0))</f>
        <v>14</v>
      </c>
      <c r="AD549" cm="1">
        <f t="array" ref="AD549">INDEX(Innings!S:S,MATCH(1,(TRIM(Innings!A:A)=TRIM(A549))*(TRIM(Innings!D:D)=TRIM(E549)),0))</f>
        <v>50</v>
      </c>
      <c r="AE549" t="str" cm="1">
        <f t="array" ref="AE549">INDEX(Innings!W:W,MATCH(1,(TRIM(Innings!A:A)=TRIM(A549))*(TRIM(Innings!D:D)=TRIM(E549)),0))</f>
        <v>Successful</v>
      </c>
      <c r="AF549">
        <f>IF(UPPER(TRIM(E549))=UPPER(TRIM(W549)),1,0)</f>
        <v>1</v>
      </c>
      <c r="AG549">
        <f t="shared" si="16"/>
        <v>47</v>
      </c>
    </row>
    <row r="550" spans="1:33" x14ac:dyDescent="0.3">
      <c r="A550" t="s">
        <v>350</v>
      </c>
      <c r="B550">
        <v>2</v>
      </c>
      <c r="C550" t="s">
        <v>345</v>
      </c>
      <c r="D550" t="s">
        <v>346</v>
      </c>
      <c r="E550" t="s">
        <v>266</v>
      </c>
      <c r="F550" t="s">
        <v>169</v>
      </c>
      <c r="G550" t="s">
        <v>104</v>
      </c>
      <c r="H550">
        <v>0</v>
      </c>
      <c r="I550">
        <v>0</v>
      </c>
      <c r="J550">
        <v>0</v>
      </c>
      <c r="K550" t="s">
        <v>104</v>
      </c>
      <c r="L550">
        <v>0</v>
      </c>
      <c r="M550">
        <v>3</v>
      </c>
      <c r="N550">
        <v>0</v>
      </c>
      <c r="O550">
        <v>19</v>
      </c>
      <c r="P550">
        <v>0</v>
      </c>
      <c r="Q550">
        <v>6.33</v>
      </c>
      <c r="R550">
        <v>0</v>
      </c>
      <c r="S550">
        <v>0</v>
      </c>
      <c r="T550">
        <v>0</v>
      </c>
      <c r="U550" s="8">
        <v>0</v>
      </c>
      <c r="V550" s="8">
        <f t="shared" si="17"/>
        <v>0</v>
      </c>
      <c r="W550" t="str">
        <f>_xlfn.XLOOKUP(A550, Matches!A:A, Matches!L:L, "NA", 0)</f>
        <v>MIW</v>
      </c>
      <c r="X550" t="str">
        <f>_xlfn.XLOOKUP(A550, Matches!A:A, Matches!J:J, "NA", 0)</f>
        <v>MIW</v>
      </c>
      <c r="Y550" t="str">
        <f>_xlfn.XLOOKUP(A550, Matches!A:A, Matches!F:F, "NA", 0)</f>
        <v>M. Chinnaswamy Stadium</v>
      </c>
      <c r="Z550" cm="1">
        <f t="array" ref="Z550">INDEX(Innings!F:F,MATCH(1,(TRIM(Innings!A:A)=TRIM(A550))*(TRIM(Innings!D:D)=TRIM(E550)),0))</f>
        <v>129</v>
      </c>
      <c r="AA550" cm="1">
        <f t="array" ref="AA550">INDEX(Innings!I:I,MATCH(1,(TRIM(Innings!A:A)=TRIM(A550))*(TRIM(Innings!D:D)=TRIM(E550)),0))</f>
        <v>7.1</v>
      </c>
      <c r="AB550" cm="1">
        <f t="array" ref="AB550">INDEX(Innings!J:J,MATCH(1,(TRIM(Innings!A:A)=TRIM(A550))*(TRIM(Innings!D:D)=TRIM(E550)),0))</f>
        <v>39</v>
      </c>
      <c r="AC550" cm="1">
        <f t="array" ref="AC550">INDEX(Innings!N:N,MATCH(1,(TRIM(Innings!A:A)=TRIM(A550))*(TRIM(Innings!D:D)=TRIM(E550)),0))</f>
        <v>14</v>
      </c>
      <c r="AD550" cm="1">
        <f t="array" ref="AD550">INDEX(Innings!S:S,MATCH(1,(TRIM(Innings!A:A)=TRIM(A550))*(TRIM(Innings!D:D)=TRIM(E550)),0))</f>
        <v>50</v>
      </c>
      <c r="AE550" t="str" cm="1">
        <f t="array" ref="AE550">INDEX(Innings!W:W,MATCH(1,(TRIM(Innings!A:A)=TRIM(A550))*(TRIM(Innings!D:D)=TRIM(E550)),0))</f>
        <v>Successful</v>
      </c>
      <c r="AF550">
        <f>IF(UPPER(TRIM(E550))=UPPER(TRIM(W550)),1,0)</f>
        <v>1</v>
      </c>
      <c r="AG550">
        <f t="shared" si="16"/>
        <v>20</v>
      </c>
    </row>
    <row r="551" spans="1:33" x14ac:dyDescent="0.3">
      <c r="A551" t="s">
        <v>350</v>
      </c>
      <c r="B551">
        <v>2</v>
      </c>
      <c r="C551" t="s">
        <v>131</v>
      </c>
      <c r="D551" t="s">
        <v>106</v>
      </c>
      <c r="E551" t="s">
        <v>266</v>
      </c>
      <c r="F551" t="s">
        <v>101</v>
      </c>
      <c r="G551" t="s">
        <v>104</v>
      </c>
      <c r="H551">
        <v>0</v>
      </c>
      <c r="I551">
        <v>0</v>
      </c>
      <c r="J551">
        <v>0</v>
      </c>
      <c r="K551" t="s">
        <v>104</v>
      </c>
      <c r="L551">
        <v>0</v>
      </c>
      <c r="M551">
        <v>1</v>
      </c>
      <c r="N551">
        <v>0</v>
      </c>
      <c r="O551">
        <v>8</v>
      </c>
      <c r="P551">
        <v>0</v>
      </c>
      <c r="Q551">
        <v>8</v>
      </c>
      <c r="R551">
        <v>0</v>
      </c>
      <c r="S551">
        <v>0</v>
      </c>
      <c r="T551">
        <v>0</v>
      </c>
      <c r="U551" s="8">
        <v>0</v>
      </c>
      <c r="V551" s="8">
        <f t="shared" si="17"/>
        <v>0</v>
      </c>
      <c r="W551" t="str">
        <f>_xlfn.XLOOKUP(A551, Matches!A:A, Matches!L:L, "NA", 0)</f>
        <v>MIW</v>
      </c>
      <c r="X551" t="str">
        <f>_xlfn.XLOOKUP(A551, Matches!A:A, Matches!J:J, "NA", 0)</f>
        <v>MIW</v>
      </c>
      <c r="Y551" t="str">
        <f>_xlfn.XLOOKUP(A551, Matches!A:A, Matches!F:F, "NA", 0)</f>
        <v>M. Chinnaswamy Stadium</v>
      </c>
      <c r="Z551" cm="1">
        <f t="array" ref="Z551">INDEX(Innings!F:F,MATCH(1,(TRIM(Innings!A:A)=TRIM(A551))*(TRIM(Innings!D:D)=TRIM(E551)),0))</f>
        <v>129</v>
      </c>
      <c r="AA551" cm="1">
        <f t="array" ref="AA551">INDEX(Innings!I:I,MATCH(1,(TRIM(Innings!A:A)=TRIM(A551))*(TRIM(Innings!D:D)=TRIM(E551)),0))</f>
        <v>7.1</v>
      </c>
      <c r="AB551" cm="1">
        <f t="array" ref="AB551">INDEX(Innings!J:J,MATCH(1,(TRIM(Innings!A:A)=TRIM(A551))*(TRIM(Innings!D:D)=TRIM(E551)),0))</f>
        <v>39</v>
      </c>
      <c r="AC551" cm="1">
        <f t="array" ref="AC551">INDEX(Innings!N:N,MATCH(1,(TRIM(Innings!A:A)=TRIM(A551))*(TRIM(Innings!D:D)=TRIM(E551)),0))</f>
        <v>14</v>
      </c>
      <c r="AD551" cm="1">
        <f t="array" ref="AD551">INDEX(Innings!S:S,MATCH(1,(TRIM(Innings!A:A)=TRIM(A551))*(TRIM(Innings!D:D)=TRIM(E551)),0))</f>
        <v>50</v>
      </c>
      <c r="AE551" t="str" cm="1">
        <f t="array" ref="AE551">INDEX(Innings!W:W,MATCH(1,(TRIM(Innings!A:A)=TRIM(A551))*(TRIM(Innings!D:D)=TRIM(E551)),0))</f>
        <v>Successful</v>
      </c>
      <c r="AF551">
        <f>IF(UPPER(TRIM(E551))=UPPER(TRIM(W551)),1,0)</f>
        <v>1</v>
      </c>
      <c r="AG551">
        <f t="shared" si="16"/>
        <v>20</v>
      </c>
    </row>
    <row r="552" spans="1:33" x14ac:dyDescent="0.3">
      <c r="A552" t="s">
        <v>351</v>
      </c>
      <c r="B552">
        <v>1</v>
      </c>
      <c r="C552" t="s">
        <v>217</v>
      </c>
      <c r="D552" t="s">
        <v>218</v>
      </c>
      <c r="E552" t="s">
        <v>219</v>
      </c>
      <c r="F552" t="s">
        <v>85</v>
      </c>
      <c r="G552" t="s">
        <v>86</v>
      </c>
      <c r="H552">
        <v>13</v>
      </c>
      <c r="I552">
        <v>15</v>
      </c>
      <c r="J552">
        <v>86.67</v>
      </c>
      <c r="K552" t="s">
        <v>246</v>
      </c>
      <c r="L552">
        <v>16.670000000000002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 s="8">
        <v>16.670000000000002</v>
      </c>
      <c r="V552" s="8">
        <f t="shared" si="17"/>
        <v>2</v>
      </c>
      <c r="W552" t="str">
        <f>_xlfn.XLOOKUP(A552, Matches!A:A, Matches!L:L, "NA", 0)</f>
        <v>DCW</v>
      </c>
      <c r="X552" t="str">
        <f>_xlfn.XLOOKUP(A552, Matches!A:A, Matches!J:J, "NA", 0)</f>
        <v>DCW</v>
      </c>
      <c r="Y552" t="str">
        <f>_xlfn.XLOOKUP(A552, Matches!A:A, Matches!F:F, "NA", 0)</f>
        <v>M. Chinnaswamy Stadium</v>
      </c>
      <c r="Z552" cm="1">
        <f t="array" ref="Z552">INDEX(Innings!F:F,MATCH(1,(TRIM(Innings!A:A)=TRIM(A552))*(TRIM(Innings!D:D)=TRIM(E552)),0))</f>
        <v>119</v>
      </c>
      <c r="AA552" cm="1">
        <f t="array" ref="AA552">INDEX(Innings!I:I,MATCH(1,(TRIM(Innings!A:A)=TRIM(A552))*(TRIM(Innings!D:D)=TRIM(E552)),0))</f>
        <v>5.95</v>
      </c>
      <c r="AB552" cm="1">
        <f t="array" ref="AB552">INDEX(Innings!J:J,MATCH(1,(TRIM(Innings!A:A)=TRIM(A552))*(TRIM(Innings!D:D)=TRIM(E552)),0))</f>
        <v>21</v>
      </c>
      <c r="AC552" cm="1">
        <f t="array" ref="AC552">INDEX(Innings!N:N,MATCH(1,(TRIM(Innings!A:A)=TRIM(A552))*(TRIM(Innings!D:D)=TRIM(E552)),0))</f>
        <v>23</v>
      </c>
      <c r="AD552" cm="1">
        <f t="array" ref="AD552">INDEX(Innings!S:S,MATCH(1,(TRIM(Innings!A:A)=TRIM(A552))*(TRIM(Innings!D:D)=TRIM(E552)),0))</f>
        <v>57</v>
      </c>
      <c r="AE552" t="str" cm="1">
        <f t="array" ref="AE552">INDEX(Innings!W:W,MATCH(1,(TRIM(Innings!A:A)=TRIM(A552))*(TRIM(Innings!D:D)=TRIM(E552)),0))</f>
        <v>NA</v>
      </c>
      <c r="AF552">
        <f>IF(UPPER(TRIM(E552))=UPPER(TRIM(W552)),1,0)</f>
        <v>0</v>
      </c>
      <c r="AG552">
        <f t="shared" si="16"/>
        <v>8.9350000000000005</v>
      </c>
    </row>
    <row r="553" spans="1:33" x14ac:dyDescent="0.3">
      <c r="A553" t="s">
        <v>351</v>
      </c>
      <c r="B553">
        <v>1</v>
      </c>
      <c r="C553" t="s">
        <v>375</v>
      </c>
      <c r="D553" t="s">
        <v>376</v>
      </c>
      <c r="E553" t="s">
        <v>219</v>
      </c>
      <c r="F553" t="s">
        <v>109</v>
      </c>
      <c r="G553" t="s">
        <v>86</v>
      </c>
      <c r="H553">
        <v>0</v>
      </c>
      <c r="I553">
        <v>5</v>
      </c>
      <c r="J553">
        <v>0</v>
      </c>
      <c r="K553" t="s">
        <v>246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 s="8">
        <v>0</v>
      </c>
      <c r="V553" s="8">
        <f t="shared" si="17"/>
        <v>0</v>
      </c>
      <c r="W553" t="str">
        <f>_xlfn.XLOOKUP(A553, Matches!A:A, Matches!L:L, "NA", 0)</f>
        <v>DCW</v>
      </c>
      <c r="X553" t="str">
        <f>_xlfn.XLOOKUP(A553, Matches!A:A, Matches!J:J, "NA", 0)</f>
        <v>DCW</v>
      </c>
      <c r="Y553" t="str">
        <f>_xlfn.XLOOKUP(A553, Matches!A:A, Matches!F:F, "NA", 0)</f>
        <v>M. Chinnaswamy Stadium</v>
      </c>
      <c r="Z553" cm="1">
        <f t="array" ref="Z553">INDEX(Innings!F:F,MATCH(1,(TRIM(Innings!A:A)=TRIM(A553))*(TRIM(Innings!D:D)=TRIM(E553)),0))</f>
        <v>119</v>
      </c>
      <c r="AA553" cm="1">
        <f t="array" ref="AA553">INDEX(Innings!I:I,MATCH(1,(TRIM(Innings!A:A)=TRIM(A553))*(TRIM(Innings!D:D)=TRIM(E553)),0))</f>
        <v>5.95</v>
      </c>
      <c r="AB553" cm="1">
        <f t="array" ref="AB553">INDEX(Innings!J:J,MATCH(1,(TRIM(Innings!A:A)=TRIM(A553))*(TRIM(Innings!D:D)=TRIM(E553)),0))</f>
        <v>21</v>
      </c>
      <c r="AC553" cm="1">
        <f t="array" ref="AC553">INDEX(Innings!N:N,MATCH(1,(TRIM(Innings!A:A)=TRIM(A553))*(TRIM(Innings!D:D)=TRIM(E553)),0))</f>
        <v>23</v>
      </c>
      <c r="AD553" cm="1">
        <f t="array" ref="AD553">INDEX(Innings!S:S,MATCH(1,(TRIM(Innings!A:A)=TRIM(A553))*(TRIM(Innings!D:D)=TRIM(E553)),0))</f>
        <v>57</v>
      </c>
      <c r="AE553" t="str" cm="1">
        <f t="array" ref="AE553">INDEX(Innings!W:W,MATCH(1,(TRIM(Innings!A:A)=TRIM(A553))*(TRIM(Innings!D:D)=TRIM(E553)),0))</f>
        <v>NA</v>
      </c>
      <c r="AF553">
        <f>IF(UPPER(TRIM(E553))=UPPER(TRIM(W553)),1,0)</f>
        <v>0</v>
      </c>
      <c r="AG553">
        <f t="shared" si="16"/>
        <v>0</v>
      </c>
    </row>
    <row r="554" spans="1:33" x14ac:dyDescent="0.3">
      <c r="A554" t="s">
        <v>351</v>
      </c>
      <c r="B554">
        <v>1</v>
      </c>
      <c r="C554" t="s">
        <v>222</v>
      </c>
      <c r="D554" t="s">
        <v>223</v>
      </c>
      <c r="E554" t="s">
        <v>219</v>
      </c>
      <c r="F554" t="s">
        <v>169</v>
      </c>
      <c r="G554" t="s">
        <v>92</v>
      </c>
      <c r="H554">
        <v>1</v>
      </c>
      <c r="I554">
        <v>8</v>
      </c>
      <c r="J554">
        <v>12.5</v>
      </c>
      <c r="K554" t="s">
        <v>245</v>
      </c>
      <c r="L554">
        <v>0</v>
      </c>
      <c r="M554">
        <v>2</v>
      </c>
      <c r="N554">
        <v>0</v>
      </c>
      <c r="O554">
        <v>25</v>
      </c>
      <c r="P554">
        <v>0</v>
      </c>
      <c r="Q554">
        <v>12.5</v>
      </c>
      <c r="R554">
        <v>0</v>
      </c>
      <c r="S554">
        <v>0</v>
      </c>
      <c r="T554">
        <v>0</v>
      </c>
      <c r="U554" s="8">
        <v>0</v>
      </c>
      <c r="V554" s="8">
        <f t="shared" si="17"/>
        <v>0</v>
      </c>
      <c r="W554" t="str">
        <f>_xlfn.XLOOKUP(A554, Matches!A:A, Matches!L:L, "NA", 0)</f>
        <v>DCW</v>
      </c>
      <c r="X554" t="str">
        <f>_xlfn.XLOOKUP(A554, Matches!A:A, Matches!J:J, "NA", 0)</f>
        <v>DCW</v>
      </c>
      <c r="Y554" t="str">
        <f>_xlfn.XLOOKUP(A554, Matches!A:A, Matches!F:F, "NA", 0)</f>
        <v>M. Chinnaswamy Stadium</v>
      </c>
      <c r="Z554" cm="1">
        <f t="array" ref="Z554">INDEX(Innings!F:F,MATCH(1,(TRIM(Innings!A:A)=TRIM(A554))*(TRIM(Innings!D:D)=TRIM(E554)),0))</f>
        <v>119</v>
      </c>
      <c r="AA554" cm="1">
        <f t="array" ref="AA554">INDEX(Innings!I:I,MATCH(1,(TRIM(Innings!A:A)=TRIM(A554))*(TRIM(Innings!D:D)=TRIM(E554)),0))</f>
        <v>5.95</v>
      </c>
      <c r="AB554" cm="1">
        <f t="array" ref="AB554">INDEX(Innings!J:J,MATCH(1,(TRIM(Innings!A:A)=TRIM(A554))*(TRIM(Innings!D:D)=TRIM(E554)),0))</f>
        <v>21</v>
      </c>
      <c r="AC554" cm="1">
        <f t="array" ref="AC554">INDEX(Innings!N:N,MATCH(1,(TRIM(Innings!A:A)=TRIM(A554))*(TRIM(Innings!D:D)=TRIM(E554)),0))</f>
        <v>23</v>
      </c>
      <c r="AD554" cm="1">
        <f t="array" ref="AD554">INDEX(Innings!S:S,MATCH(1,(TRIM(Innings!A:A)=TRIM(A554))*(TRIM(Innings!D:D)=TRIM(E554)),0))</f>
        <v>57</v>
      </c>
      <c r="AE554" t="str" cm="1">
        <f t="array" ref="AE554">INDEX(Innings!W:W,MATCH(1,(TRIM(Innings!A:A)=TRIM(A554))*(TRIM(Innings!D:D)=TRIM(E554)),0))</f>
        <v>NA</v>
      </c>
      <c r="AF554">
        <f>IF(UPPER(TRIM(E554))=UPPER(TRIM(W554)),1,0)</f>
        <v>0</v>
      </c>
      <c r="AG554">
        <f t="shared" si="16"/>
        <v>0</v>
      </c>
    </row>
    <row r="555" spans="1:33" x14ac:dyDescent="0.3">
      <c r="A555" t="s">
        <v>351</v>
      </c>
      <c r="B555">
        <v>1</v>
      </c>
      <c r="C555" t="s">
        <v>226</v>
      </c>
      <c r="D555" t="s">
        <v>211</v>
      </c>
      <c r="E555" t="s">
        <v>219</v>
      </c>
      <c r="F555" t="s">
        <v>169</v>
      </c>
      <c r="G555" t="s">
        <v>134</v>
      </c>
      <c r="H555">
        <v>17</v>
      </c>
      <c r="I555">
        <v>18</v>
      </c>
      <c r="J555">
        <v>94.44</v>
      </c>
      <c r="K555" t="s">
        <v>246</v>
      </c>
      <c r="L555">
        <v>21.44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 s="8">
        <v>21.44</v>
      </c>
      <c r="V555" s="8">
        <f t="shared" si="17"/>
        <v>2</v>
      </c>
      <c r="W555" t="str">
        <f>_xlfn.XLOOKUP(A555, Matches!A:A, Matches!L:L, "NA", 0)</f>
        <v>DCW</v>
      </c>
      <c r="X555" t="str">
        <f>_xlfn.XLOOKUP(A555, Matches!A:A, Matches!J:J, "NA", 0)</f>
        <v>DCW</v>
      </c>
      <c r="Y555" t="str">
        <f>_xlfn.XLOOKUP(A555, Matches!A:A, Matches!F:F, "NA", 0)</f>
        <v>M. Chinnaswamy Stadium</v>
      </c>
      <c r="Z555" cm="1">
        <f t="array" ref="Z555">INDEX(Innings!F:F,MATCH(1,(TRIM(Innings!A:A)=TRIM(A555))*(TRIM(Innings!D:D)=TRIM(E555)),0))</f>
        <v>119</v>
      </c>
      <c r="AA555" cm="1">
        <f t="array" ref="AA555">INDEX(Innings!I:I,MATCH(1,(TRIM(Innings!A:A)=TRIM(A555))*(TRIM(Innings!D:D)=TRIM(E555)),0))</f>
        <v>5.95</v>
      </c>
      <c r="AB555" cm="1">
        <f t="array" ref="AB555">INDEX(Innings!J:J,MATCH(1,(TRIM(Innings!A:A)=TRIM(A555))*(TRIM(Innings!D:D)=TRIM(E555)),0))</f>
        <v>21</v>
      </c>
      <c r="AC555" cm="1">
        <f t="array" ref="AC555">INDEX(Innings!N:N,MATCH(1,(TRIM(Innings!A:A)=TRIM(A555))*(TRIM(Innings!D:D)=TRIM(E555)),0))</f>
        <v>23</v>
      </c>
      <c r="AD555" cm="1">
        <f t="array" ref="AD555">INDEX(Innings!S:S,MATCH(1,(TRIM(Innings!A:A)=TRIM(A555))*(TRIM(Innings!D:D)=TRIM(E555)),0))</f>
        <v>57</v>
      </c>
      <c r="AE555" t="str" cm="1">
        <f t="array" ref="AE555">INDEX(Innings!W:W,MATCH(1,(TRIM(Innings!A:A)=TRIM(A555))*(TRIM(Innings!D:D)=TRIM(E555)),0))</f>
        <v>NA</v>
      </c>
      <c r="AF555">
        <f>IF(UPPER(TRIM(E555))=UPPER(TRIM(W555)),1,0)</f>
        <v>0</v>
      </c>
      <c r="AG555">
        <f t="shared" si="16"/>
        <v>11.32</v>
      </c>
    </row>
    <row r="556" spans="1:33" x14ac:dyDescent="0.3">
      <c r="A556" t="s">
        <v>351</v>
      </c>
      <c r="B556">
        <v>1</v>
      </c>
      <c r="C556" t="s">
        <v>220</v>
      </c>
      <c r="D556" t="s">
        <v>221</v>
      </c>
      <c r="E556" t="s">
        <v>219</v>
      </c>
      <c r="F556" t="s">
        <v>109</v>
      </c>
      <c r="G556" t="s">
        <v>134</v>
      </c>
      <c r="H556">
        <v>45</v>
      </c>
      <c r="I556">
        <v>42</v>
      </c>
      <c r="J556">
        <v>107.14</v>
      </c>
      <c r="K556" t="s">
        <v>248</v>
      </c>
      <c r="L556">
        <v>50.71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 s="8">
        <v>50.71</v>
      </c>
      <c r="V556" s="8">
        <f t="shared" si="17"/>
        <v>5</v>
      </c>
      <c r="W556" t="str">
        <f>_xlfn.XLOOKUP(A556, Matches!A:A, Matches!L:L, "NA", 0)</f>
        <v>DCW</v>
      </c>
      <c r="X556" t="str">
        <f>_xlfn.XLOOKUP(A556, Matches!A:A, Matches!J:J, "NA", 0)</f>
        <v>DCW</v>
      </c>
      <c r="Y556" t="str">
        <f>_xlfn.XLOOKUP(A556, Matches!A:A, Matches!F:F, "NA", 0)</f>
        <v>M. Chinnaswamy Stadium</v>
      </c>
      <c r="Z556" cm="1">
        <f t="array" ref="Z556">INDEX(Innings!F:F,MATCH(1,(TRIM(Innings!A:A)=TRIM(A556))*(TRIM(Innings!D:D)=TRIM(E556)),0))</f>
        <v>119</v>
      </c>
      <c r="AA556" cm="1">
        <f t="array" ref="AA556">INDEX(Innings!I:I,MATCH(1,(TRIM(Innings!A:A)=TRIM(A556))*(TRIM(Innings!D:D)=TRIM(E556)),0))</f>
        <v>5.95</v>
      </c>
      <c r="AB556" cm="1">
        <f t="array" ref="AB556">INDEX(Innings!J:J,MATCH(1,(TRIM(Innings!A:A)=TRIM(A556))*(TRIM(Innings!D:D)=TRIM(E556)),0))</f>
        <v>21</v>
      </c>
      <c r="AC556" cm="1">
        <f t="array" ref="AC556">INDEX(Innings!N:N,MATCH(1,(TRIM(Innings!A:A)=TRIM(A556))*(TRIM(Innings!D:D)=TRIM(E556)),0))</f>
        <v>23</v>
      </c>
      <c r="AD556" cm="1">
        <f t="array" ref="AD556">INDEX(Innings!S:S,MATCH(1,(TRIM(Innings!A:A)=TRIM(A556))*(TRIM(Innings!D:D)=TRIM(E556)),0))</f>
        <v>57</v>
      </c>
      <c r="AE556" t="str" cm="1">
        <f t="array" ref="AE556">INDEX(Innings!W:W,MATCH(1,(TRIM(Innings!A:A)=TRIM(A556))*(TRIM(Innings!D:D)=TRIM(E556)),0))</f>
        <v>NA</v>
      </c>
      <c r="AF556">
        <f>IF(UPPER(TRIM(E556))=UPPER(TRIM(W556)),1,0)</f>
        <v>0</v>
      </c>
      <c r="AG556">
        <f t="shared" si="16"/>
        <v>26.855</v>
      </c>
    </row>
    <row r="557" spans="1:33" x14ac:dyDescent="0.3">
      <c r="A557" t="s">
        <v>351</v>
      </c>
      <c r="B557">
        <v>1</v>
      </c>
      <c r="C557" t="s">
        <v>229</v>
      </c>
      <c r="D557" t="s">
        <v>230</v>
      </c>
      <c r="E557" t="s">
        <v>219</v>
      </c>
      <c r="F557" t="s">
        <v>109</v>
      </c>
      <c r="G557" t="s">
        <v>134</v>
      </c>
      <c r="H557">
        <v>10</v>
      </c>
      <c r="I557">
        <v>7</v>
      </c>
      <c r="J557">
        <v>142.86000000000001</v>
      </c>
      <c r="K557" t="s">
        <v>246</v>
      </c>
      <c r="L557">
        <v>19.29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 s="8">
        <v>19.29</v>
      </c>
      <c r="V557" s="8">
        <f t="shared" si="17"/>
        <v>2</v>
      </c>
      <c r="W557" t="str">
        <f>_xlfn.XLOOKUP(A557, Matches!A:A, Matches!L:L, "NA", 0)</f>
        <v>DCW</v>
      </c>
      <c r="X557" t="str">
        <f>_xlfn.XLOOKUP(A557, Matches!A:A, Matches!J:J, "NA", 0)</f>
        <v>DCW</v>
      </c>
      <c r="Y557" t="str">
        <f>_xlfn.XLOOKUP(A557, Matches!A:A, Matches!F:F, "NA", 0)</f>
        <v>M. Chinnaswamy Stadium</v>
      </c>
      <c r="Z557" cm="1">
        <f t="array" ref="Z557">INDEX(Innings!F:F,MATCH(1,(TRIM(Innings!A:A)=TRIM(A557))*(TRIM(Innings!D:D)=TRIM(E557)),0))</f>
        <v>119</v>
      </c>
      <c r="AA557" cm="1">
        <f t="array" ref="AA557">INDEX(Innings!I:I,MATCH(1,(TRIM(Innings!A:A)=TRIM(A557))*(TRIM(Innings!D:D)=TRIM(E557)),0))</f>
        <v>5.95</v>
      </c>
      <c r="AB557" cm="1">
        <f t="array" ref="AB557">INDEX(Innings!J:J,MATCH(1,(TRIM(Innings!A:A)=TRIM(A557))*(TRIM(Innings!D:D)=TRIM(E557)),0))</f>
        <v>21</v>
      </c>
      <c r="AC557" cm="1">
        <f t="array" ref="AC557">INDEX(Innings!N:N,MATCH(1,(TRIM(Innings!A:A)=TRIM(A557))*(TRIM(Innings!D:D)=TRIM(E557)),0))</f>
        <v>23</v>
      </c>
      <c r="AD557" cm="1">
        <f t="array" ref="AD557">INDEX(Innings!S:S,MATCH(1,(TRIM(Innings!A:A)=TRIM(A557))*(TRIM(Innings!D:D)=TRIM(E557)),0))</f>
        <v>57</v>
      </c>
      <c r="AE557" t="str" cm="1">
        <f t="array" ref="AE557">INDEX(Innings!W:W,MATCH(1,(TRIM(Innings!A:A)=TRIM(A557))*(TRIM(Innings!D:D)=TRIM(E557)),0))</f>
        <v>NA</v>
      </c>
      <c r="AF557">
        <f>IF(UPPER(TRIM(E557))=UPPER(TRIM(W557)),1,0)</f>
        <v>0</v>
      </c>
      <c r="AG557">
        <f t="shared" si="16"/>
        <v>10.244999999999999</v>
      </c>
    </row>
    <row r="558" spans="1:33" x14ac:dyDescent="0.3">
      <c r="A558" t="s">
        <v>351</v>
      </c>
      <c r="B558">
        <v>1</v>
      </c>
      <c r="C558" t="s">
        <v>273</v>
      </c>
      <c r="D558" t="s">
        <v>279</v>
      </c>
      <c r="E558" t="s">
        <v>219</v>
      </c>
      <c r="F558" t="s">
        <v>169</v>
      </c>
      <c r="G558" t="s">
        <v>134</v>
      </c>
      <c r="H558">
        <v>10</v>
      </c>
      <c r="I558">
        <v>9</v>
      </c>
      <c r="J558">
        <v>111.11</v>
      </c>
      <c r="K558" t="s">
        <v>246</v>
      </c>
      <c r="L558">
        <v>16.11</v>
      </c>
      <c r="M558">
        <v>1</v>
      </c>
      <c r="N558">
        <v>0</v>
      </c>
      <c r="O558">
        <v>7</v>
      </c>
      <c r="P558">
        <v>0</v>
      </c>
      <c r="Q558">
        <v>7</v>
      </c>
      <c r="R558">
        <v>0</v>
      </c>
      <c r="S558">
        <v>0</v>
      </c>
      <c r="T558">
        <v>0</v>
      </c>
      <c r="U558" s="8">
        <v>16.11</v>
      </c>
      <c r="V558" s="8">
        <f t="shared" si="17"/>
        <v>2</v>
      </c>
      <c r="W558" t="str">
        <f>_xlfn.XLOOKUP(A558, Matches!A:A, Matches!L:L, "NA", 0)</f>
        <v>DCW</v>
      </c>
      <c r="X558" t="str">
        <f>_xlfn.XLOOKUP(A558, Matches!A:A, Matches!J:J, "NA", 0)</f>
        <v>DCW</v>
      </c>
      <c r="Y558" t="str">
        <f>_xlfn.XLOOKUP(A558, Matches!A:A, Matches!F:F, "NA", 0)</f>
        <v>M. Chinnaswamy Stadium</v>
      </c>
      <c r="Z558" cm="1">
        <f t="array" ref="Z558">INDEX(Innings!F:F,MATCH(1,(TRIM(Innings!A:A)=TRIM(A558))*(TRIM(Innings!D:D)=TRIM(E558)),0))</f>
        <v>119</v>
      </c>
      <c r="AA558" cm="1">
        <f t="array" ref="AA558">INDEX(Innings!I:I,MATCH(1,(TRIM(Innings!A:A)=TRIM(A558))*(TRIM(Innings!D:D)=TRIM(E558)),0))</f>
        <v>5.95</v>
      </c>
      <c r="AB558" cm="1">
        <f t="array" ref="AB558">INDEX(Innings!J:J,MATCH(1,(TRIM(Innings!A:A)=TRIM(A558))*(TRIM(Innings!D:D)=TRIM(E558)),0))</f>
        <v>21</v>
      </c>
      <c r="AC558" cm="1">
        <f t="array" ref="AC558">INDEX(Innings!N:N,MATCH(1,(TRIM(Innings!A:A)=TRIM(A558))*(TRIM(Innings!D:D)=TRIM(E558)),0))</f>
        <v>23</v>
      </c>
      <c r="AD558" cm="1">
        <f t="array" ref="AD558">INDEX(Innings!S:S,MATCH(1,(TRIM(Innings!A:A)=TRIM(A558))*(TRIM(Innings!D:D)=TRIM(E558)),0))</f>
        <v>57</v>
      </c>
      <c r="AE558" t="str" cm="1">
        <f t="array" ref="AE558">INDEX(Innings!W:W,MATCH(1,(TRIM(Innings!A:A)=TRIM(A558))*(TRIM(Innings!D:D)=TRIM(E558)),0))</f>
        <v>NA</v>
      </c>
      <c r="AF558">
        <f>IF(UPPER(TRIM(E558))=UPPER(TRIM(W558)),1,0)</f>
        <v>0</v>
      </c>
      <c r="AG558">
        <f t="shared" si="16"/>
        <v>8.6549999999999994</v>
      </c>
    </row>
    <row r="559" spans="1:33" x14ac:dyDescent="0.3">
      <c r="A559" t="s">
        <v>351</v>
      </c>
      <c r="B559">
        <v>1</v>
      </c>
      <c r="C559" t="s">
        <v>224</v>
      </c>
      <c r="D559" t="s">
        <v>225</v>
      </c>
      <c r="E559" t="s">
        <v>219</v>
      </c>
      <c r="F559" t="s">
        <v>169</v>
      </c>
      <c r="G559" t="s">
        <v>134</v>
      </c>
      <c r="H559">
        <v>5</v>
      </c>
      <c r="I559">
        <v>7</v>
      </c>
      <c r="J559">
        <v>71.430000000000007</v>
      </c>
      <c r="K559" t="s">
        <v>246</v>
      </c>
      <c r="L559">
        <v>7.14</v>
      </c>
      <c r="M559">
        <v>3</v>
      </c>
      <c r="N559">
        <v>0</v>
      </c>
      <c r="O559">
        <v>24</v>
      </c>
      <c r="P559">
        <v>0</v>
      </c>
      <c r="Q559">
        <v>8</v>
      </c>
      <c r="R559">
        <v>0</v>
      </c>
      <c r="S559">
        <v>0</v>
      </c>
      <c r="T559">
        <v>0</v>
      </c>
      <c r="U559" s="8">
        <v>7.14</v>
      </c>
      <c r="V559" s="8">
        <f t="shared" si="17"/>
        <v>1</v>
      </c>
      <c r="W559" t="str">
        <f>_xlfn.XLOOKUP(A559, Matches!A:A, Matches!L:L, "NA", 0)</f>
        <v>DCW</v>
      </c>
      <c r="X559" t="str">
        <f>_xlfn.XLOOKUP(A559, Matches!A:A, Matches!J:J, "NA", 0)</f>
        <v>DCW</v>
      </c>
      <c r="Y559" t="str">
        <f>_xlfn.XLOOKUP(A559, Matches!A:A, Matches!F:F, "NA", 0)</f>
        <v>M. Chinnaswamy Stadium</v>
      </c>
      <c r="Z559" cm="1">
        <f t="array" ref="Z559">INDEX(Innings!F:F,MATCH(1,(TRIM(Innings!A:A)=TRIM(A559))*(TRIM(Innings!D:D)=TRIM(E559)),0))</f>
        <v>119</v>
      </c>
      <c r="AA559" cm="1">
        <f t="array" ref="AA559">INDEX(Innings!I:I,MATCH(1,(TRIM(Innings!A:A)=TRIM(A559))*(TRIM(Innings!D:D)=TRIM(E559)),0))</f>
        <v>5.95</v>
      </c>
      <c r="AB559" cm="1">
        <f t="array" ref="AB559">INDEX(Innings!J:J,MATCH(1,(TRIM(Innings!A:A)=TRIM(A559))*(TRIM(Innings!D:D)=TRIM(E559)),0))</f>
        <v>21</v>
      </c>
      <c r="AC559" cm="1">
        <f t="array" ref="AC559">INDEX(Innings!N:N,MATCH(1,(TRIM(Innings!A:A)=TRIM(A559))*(TRIM(Innings!D:D)=TRIM(E559)),0))</f>
        <v>23</v>
      </c>
      <c r="AD559" cm="1">
        <f t="array" ref="AD559">INDEX(Innings!S:S,MATCH(1,(TRIM(Innings!A:A)=TRIM(A559))*(TRIM(Innings!D:D)=TRIM(E559)),0))</f>
        <v>57</v>
      </c>
      <c r="AE559" t="str" cm="1">
        <f t="array" ref="AE559">INDEX(Innings!W:W,MATCH(1,(TRIM(Innings!A:A)=TRIM(A559))*(TRIM(Innings!D:D)=TRIM(E559)),0))</f>
        <v>NA</v>
      </c>
      <c r="AF559">
        <f>IF(UPPER(TRIM(E559))=UPPER(TRIM(W559)),1,0)</f>
        <v>0</v>
      </c>
      <c r="AG559">
        <f t="shared" si="16"/>
        <v>3.8699999999999997</v>
      </c>
    </row>
    <row r="560" spans="1:33" x14ac:dyDescent="0.3">
      <c r="A560" t="s">
        <v>351</v>
      </c>
      <c r="B560">
        <v>1</v>
      </c>
      <c r="C560" t="s">
        <v>233</v>
      </c>
      <c r="D560" t="s">
        <v>234</v>
      </c>
      <c r="E560" t="s">
        <v>219</v>
      </c>
      <c r="F560" t="s">
        <v>101</v>
      </c>
      <c r="G560" t="s">
        <v>134</v>
      </c>
      <c r="H560">
        <v>6</v>
      </c>
      <c r="I560">
        <v>6</v>
      </c>
      <c r="J560">
        <v>100</v>
      </c>
      <c r="K560" t="s">
        <v>246</v>
      </c>
      <c r="L560">
        <v>11</v>
      </c>
      <c r="M560">
        <v>3.3</v>
      </c>
      <c r="N560">
        <v>0</v>
      </c>
      <c r="O560">
        <v>31</v>
      </c>
      <c r="P560">
        <v>1</v>
      </c>
      <c r="Q560">
        <v>8.9</v>
      </c>
      <c r="R560">
        <v>2.2000000000000002</v>
      </c>
      <c r="S560">
        <v>0</v>
      </c>
      <c r="T560">
        <v>0</v>
      </c>
      <c r="U560" s="8">
        <v>13.2</v>
      </c>
      <c r="V560" s="8">
        <f t="shared" si="17"/>
        <v>1</v>
      </c>
      <c r="W560" t="str">
        <f>_xlfn.XLOOKUP(A560, Matches!A:A, Matches!L:L, "NA", 0)</f>
        <v>DCW</v>
      </c>
      <c r="X560" t="str">
        <f>_xlfn.XLOOKUP(A560, Matches!A:A, Matches!J:J, "NA", 0)</f>
        <v>DCW</v>
      </c>
      <c r="Y560" t="str">
        <f>_xlfn.XLOOKUP(A560, Matches!A:A, Matches!F:F, "NA", 0)</f>
        <v>M. Chinnaswamy Stadium</v>
      </c>
      <c r="Z560" cm="1">
        <f t="array" ref="Z560">INDEX(Innings!F:F,MATCH(1,(TRIM(Innings!A:A)=TRIM(A560))*(TRIM(Innings!D:D)=TRIM(E560)),0))</f>
        <v>119</v>
      </c>
      <c r="AA560" cm="1">
        <f t="array" ref="AA560">INDEX(Innings!I:I,MATCH(1,(TRIM(Innings!A:A)=TRIM(A560))*(TRIM(Innings!D:D)=TRIM(E560)),0))</f>
        <v>5.95</v>
      </c>
      <c r="AB560" cm="1">
        <f t="array" ref="AB560">INDEX(Innings!J:J,MATCH(1,(TRIM(Innings!A:A)=TRIM(A560))*(TRIM(Innings!D:D)=TRIM(E560)),0))</f>
        <v>21</v>
      </c>
      <c r="AC560" cm="1">
        <f t="array" ref="AC560">INDEX(Innings!N:N,MATCH(1,(TRIM(Innings!A:A)=TRIM(A560))*(TRIM(Innings!D:D)=TRIM(E560)),0))</f>
        <v>23</v>
      </c>
      <c r="AD560" cm="1">
        <f t="array" ref="AD560">INDEX(Innings!S:S,MATCH(1,(TRIM(Innings!A:A)=TRIM(A560))*(TRIM(Innings!D:D)=TRIM(E560)),0))</f>
        <v>57</v>
      </c>
      <c r="AE560" t="str" cm="1">
        <f t="array" ref="AE560">INDEX(Innings!W:W,MATCH(1,(TRIM(Innings!A:A)=TRIM(A560))*(TRIM(Innings!D:D)=TRIM(E560)),0))</f>
        <v>NA</v>
      </c>
      <c r="AF560">
        <f>IF(UPPER(TRIM(E560))=UPPER(TRIM(W560)),1,0)</f>
        <v>0</v>
      </c>
      <c r="AG560">
        <f t="shared" si="16"/>
        <v>6.8999999999999995</v>
      </c>
    </row>
    <row r="561" spans="1:33" x14ac:dyDescent="0.3">
      <c r="A561" t="s">
        <v>351</v>
      </c>
      <c r="B561">
        <v>1</v>
      </c>
      <c r="C561" t="s">
        <v>394</v>
      </c>
      <c r="D561" t="s">
        <v>395</v>
      </c>
      <c r="E561" t="s">
        <v>219</v>
      </c>
      <c r="F561" t="s">
        <v>101</v>
      </c>
      <c r="G561" t="s">
        <v>134</v>
      </c>
      <c r="H561">
        <v>2</v>
      </c>
      <c r="I561">
        <v>5</v>
      </c>
      <c r="J561">
        <v>40</v>
      </c>
      <c r="K561" t="s">
        <v>96</v>
      </c>
      <c r="L561">
        <v>6</v>
      </c>
      <c r="M561">
        <v>2</v>
      </c>
      <c r="N561">
        <v>0</v>
      </c>
      <c r="O561">
        <v>15</v>
      </c>
      <c r="P561">
        <v>0</v>
      </c>
      <c r="Q561">
        <v>7.5</v>
      </c>
      <c r="R561">
        <v>0</v>
      </c>
      <c r="S561">
        <v>0</v>
      </c>
      <c r="T561">
        <v>0</v>
      </c>
      <c r="U561" s="8">
        <v>6</v>
      </c>
      <c r="V561" s="8">
        <f t="shared" si="17"/>
        <v>1</v>
      </c>
      <c r="W561" t="str">
        <f>_xlfn.XLOOKUP(A561, Matches!A:A, Matches!L:L, "NA", 0)</f>
        <v>DCW</v>
      </c>
      <c r="X561" t="str">
        <f>_xlfn.XLOOKUP(A561, Matches!A:A, Matches!J:J, "NA", 0)</f>
        <v>DCW</v>
      </c>
      <c r="Y561" t="str">
        <f>_xlfn.XLOOKUP(A561, Matches!A:A, Matches!F:F, "NA", 0)</f>
        <v>M. Chinnaswamy Stadium</v>
      </c>
      <c r="Z561" cm="1">
        <f t="array" ref="Z561">INDEX(Innings!F:F,MATCH(1,(TRIM(Innings!A:A)=TRIM(A561))*(TRIM(Innings!D:D)=TRIM(E561)),0))</f>
        <v>119</v>
      </c>
      <c r="AA561" cm="1">
        <f t="array" ref="AA561">INDEX(Innings!I:I,MATCH(1,(TRIM(Innings!A:A)=TRIM(A561))*(TRIM(Innings!D:D)=TRIM(E561)),0))</f>
        <v>5.95</v>
      </c>
      <c r="AB561" cm="1">
        <f t="array" ref="AB561">INDEX(Innings!J:J,MATCH(1,(TRIM(Innings!A:A)=TRIM(A561))*(TRIM(Innings!D:D)=TRIM(E561)),0))</f>
        <v>21</v>
      </c>
      <c r="AC561" cm="1">
        <f t="array" ref="AC561">INDEX(Innings!N:N,MATCH(1,(TRIM(Innings!A:A)=TRIM(A561))*(TRIM(Innings!D:D)=TRIM(E561)),0))</f>
        <v>23</v>
      </c>
      <c r="AD561" cm="1">
        <f t="array" ref="AD561">INDEX(Innings!S:S,MATCH(1,(TRIM(Innings!A:A)=TRIM(A561))*(TRIM(Innings!D:D)=TRIM(E561)),0))</f>
        <v>57</v>
      </c>
      <c r="AE561" t="str" cm="1">
        <f t="array" ref="AE561">INDEX(Innings!W:W,MATCH(1,(TRIM(Innings!A:A)=TRIM(A561))*(TRIM(Innings!D:D)=TRIM(E561)),0))</f>
        <v>NA</v>
      </c>
      <c r="AF561">
        <f>IF(UPPER(TRIM(E561))=UPPER(TRIM(W561)),1,0)</f>
        <v>0</v>
      </c>
      <c r="AG561">
        <f t="shared" si="16"/>
        <v>3.3</v>
      </c>
    </row>
    <row r="562" spans="1:33" x14ac:dyDescent="0.3">
      <c r="A562" t="s">
        <v>351</v>
      </c>
      <c r="B562">
        <v>1</v>
      </c>
      <c r="C562" t="s">
        <v>237</v>
      </c>
      <c r="D562" t="s">
        <v>238</v>
      </c>
      <c r="E562" t="s">
        <v>219</v>
      </c>
      <c r="F562" t="s">
        <v>101</v>
      </c>
      <c r="G562" t="s">
        <v>104</v>
      </c>
      <c r="H562">
        <v>0</v>
      </c>
      <c r="I562">
        <v>0</v>
      </c>
      <c r="J562">
        <v>0</v>
      </c>
      <c r="K562" t="s">
        <v>104</v>
      </c>
      <c r="L562">
        <v>0</v>
      </c>
      <c r="M562">
        <v>3</v>
      </c>
      <c r="N562">
        <v>0</v>
      </c>
      <c r="O562">
        <v>20</v>
      </c>
      <c r="P562">
        <v>0</v>
      </c>
      <c r="Q562">
        <v>6.67</v>
      </c>
      <c r="R562">
        <v>0</v>
      </c>
      <c r="S562">
        <v>0</v>
      </c>
      <c r="T562">
        <v>0</v>
      </c>
      <c r="U562" s="8">
        <v>0</v>
      </c>
      <c r="V562" s="8">
        <f t="shared" si="17"/>
        <v>0</v>
      </c>
      <c r="W562" t="str">
        <f>_xlfn.XLOOKUP(A562, Matches!A:A, Matches!L:L, "NA", 0)</f>
        <v>DCW</v>
      </c>
      <c r="X562" t="str">
        <f>_xlfn.XLOOKUP(A562, Matches!A:A, Matches!J:J, "NA", 0)</f>
        <v>DCW</v>
      </c>
      <c r="Y562" t="str">
        <f>_xlfn.XLOOKUP(A562, Matches!A:A, Matches!F:F, "NA", 0)</f>
        <v>M. Chinnaswamy Stadium</v>
      </c>
      <c r="Z562" cm="1">
        <f t="array" ref="Z562">INDEX(Innings!F:F,MATCH(1,(TRIM(Innings!A:A)=TRIM(A562))*(TRIM(Innings!D:D)=TRIM(E562)),0))</f>
        <v>119</v>
      </c>
      <c r="AA562" cm="1">
        <f t="array" ref="AA562">INDEX(Innings!I:I,MATCH(1,(TRIM(Innings!A:A)=TRIM(A562))*(TRIM(Innings!D:D)=TRIM(E562)),0))</f>
        <v>5.95</v>
      </c>
      <c r="AB562" cm="1">
        <f t="array" ref="AB562">INDEX(Innings!J:J,MATCH(1,(TRIM(Innings!A:A)=TRIM(A562))*(TRIM(Innings!D:D)=TRIM(E562)),0))</f>
        <v>21</v>
      </c>
      <c r="AC562" cm="1">
        <f t="array" ref="AC562">INDEX(Innings!N:N,MATCH(1,(TRIM(Innings!A:A)=TRIM(A562))*(TRIM(Innings!D:D)=TRIM(E562)),0))</f>
        <v>23</v>
      </c>
      <c r="AD562" cm="1">
        <f t="array" ref="AD562">INDEX(Innings!S:S,MATCH(1,(TRIM(Innings!A:A)=TRIM(A562))*(TRIM(Innings!D:D)=TRIM(E562)),0))</f>
        <v>57</v>
      </c>
      <c r="AE562" t="str" cm="1">
        <f t="array" ref="AE562">INDEX(Innings!W:W,MATCH(1,(TRIM(Innings!A:A)=TRIM(A562))*(TRIM(Innings!D:D)=TRIM(E562)),0))</f>
        <v>NA</v>
      </c>
      <c r="AF562">
        <f>IF(UPPER(TRIM(E562))=UPPER(TRIM(W562)),1,0)</f>
        <v>0</v>
      </c>
      <c r="AG562">
        <f t="shared" si="16"/>
        <v>0</v>
      </c>
    </row>
    <row r="563" spans="1:33" x14ac:dyDescent="0.3">
      <c r="A563" t="s">
        <v>351</v>
      </c>
      <c r="B563">
        <v>1</v>
      </c>
      <c r="C563" t="s">
        <v>190</v>
      </c>
      <c r="D563" t="s">
        <v>191</v>
      </c>
      <c r="E563" t="s">
        <v>158</v>
      </c>
      <c r="F563" t="s">
        <v>109</v>
      </c>
      <c r="G563" t="s">
        <v>86</v>
      </c>
      <c r="H563">
        <v>51</v>
      </c>
      <c r="I563">
        <v>43</v>
      </c>
      <c r="J563">
        <v>118.6</v>
      </c>
      <c r="K563" t="s">
        <v>246</v>
      </c>
      <c r="L563">
        <v>57.86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 s="8">
        <v>57.86</v>
      </c>
      <c r="V563" s="8">
        <f t="shared" si="17"/>
        <v>6</v>
      </c>
      <c r="W563" t="str">
        <f>_xlfn.XLOOKUP(A563, Matches!A:A, Matches!L:L, "NA", 0)</f>
        <v>DCW</v>
      </c>
      <c r="X563" t="str">
        <f>_xlfn.XLOOKUP(A563, Matches!A:A, Matches!J:J, "NA", 0)</f>
        <v>DCW</v>
      </c>
      <c r="Y563" t="str">
        <f>_xlfn.XLOOKUP(A563, Matches!A:A, Matches!F:F, "NA", 0)</f>
        <v>M. Chinnaswamy Stadium</v>
      </c>
      <c r="Z563" cm="1">
        <f t="array" ref="Z563">INDEX(Innings!F:F,MATCH(1,(TRIM(Innings!A:A)=TRIM(A563))*(TRIM(Innings!D:D)=TRIM(E563)),0))</f>
        <v>123</v>
      </c>
      <c r="AA563" cm="1">
        <f t="array" ref="AA563">INDEX(Innings!I:I,MATCH(1,(TRIM(Innings!A:A)=TRIM(A563))*(TRIM(Innings!D:D)=TRIM(E563)),0))</f>
        <v>8.48</v>
      </c>
      <c r="AB563" cm="1">
        <f t="array" ref="AB563">INDEX(Innings!J:J,MATCH(1,(TRIM(Innings!A:A)=TRIM(A563))*(TRIM(Innings!D:D)=TRIM(E563)),0))</f>
        <v>57</v>
      </c>
      <c r="AC563" cm="1">
        <f t="array" ref="AC563">INDEX(Innings!N:N,MATCH(1,(TRIM(Innings!A:A)=TRIM(A563))*(TRIM(Innings!D:D)=TRIM(E563)),0))</f>
        <v>0</v>
      </c>
      <c r="AD563" cm="1">
        <f t="array" ref="AD563">INDEX(Innings!S:S,MATCH(1,(TRIM(Innings!A:A)=TRIM(A563))*(TRIM(Innings!D:D)=TRIM(E563)),0))</f>
        <v>31</v>
      </c>
      <c r="AE563" t="str" cm="1">
        <f t="array" ref="AE563">INDEX(Innings!W:W,MATCH(1,(TRIM(Innings!A:A)=TRIM(A563))*(TRIM(Innings!D:D)=TRIM(E563)),0))</f>
        <v>Successful</v>
      </c>
      <c r="AF563">
        <f>IF(UPPER(TRIM(E563))=UPPER(TRIM(W563)),1,0)</f>
        <v>1</v>
      </c>
      <c r="AG563">
        <f t="shared" si="16"/>
        <v>50.730000000000004</v>
      </c>
    </row>
    <row r="564" spans="1:33" x14ac:dyDescent="0.3">
      <c r="A564" t="s">
        <v>351</v>
      </c>
      <c r="B564">
        <v>1</v>
      </c>
      <c r="C564" t="s">
        <v>188</v>
      </c>
      <c r="D564" t="s">
        <v>189</v>
      </c>
      <c r="E564" t="s">
        <v>158</v>
      </c>
      <c r="F564" t="s">
        <v>109</v>
      </c>
      <c r="G564" t="s">
        <v>86</v>
      </c>
      <c r="H564">
        <v>64</v>
      </c>
      <c r="I564">
        <v>43</v>
      </c>
      <c r="J564">
        <v>148.84</v>
      </c>
      <c r="K564" t="s">
        <v>96</v>
      </c>
      <c r="L564">
        <v>78.88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 s="8">
        <v>78.88</v>
      </c>
      <c r="V564" s="8">
        <f t="shared" si="17"/>
        <v>8</v>
      </c>
      <c r="W564" t="str">
        <f>_xlfn.XLOOKUP(A564, Matches!A:A, Matches!L:L, "NA", 0)</f>
        <v>DCW</v>
      </c>
      <c r="X564" t="str">
        <f>_xlfn.XLOOKUP(A564, Matches!A:A, Matches!J:J, "NA", 0)</f>
        <v>DCW</v>
      </c>
      <c r="Y564" t="str">
        <f>_xlfn.XLOOKUP(A564, Matches!A:A, Matches!F:F, "NA", 0)</f>
        <v>M. Chinnaswamy Stadium</v>
      </c>
      <c r="Z564" cm="1">
        <f t="array" ref="Z564">INDEX(Innings!F:F,MATCH(1,(TRIM(Innings!A:A)=TRIM(A564))*(TRIM(Innings!D:D)=TRIM(E564)),0))</f>
        <v>123</v>
      </c>
      <c r="AA564" cm="1">
        <f t="array" ref="AA564">INDEX(Innings!I:I,MATCH(1,(TRIM(Innings!A:A)=TRIM(A564))*(TRIM(Innings!D:D)=TRIM(E564)),0))</f>
        <v>8.48</v>
      </c>
      <c r="AB564" cm="1">
        <f t="array" ref="AB564">INDEX(Innings!J:J,MATCH(1,(TRIM(Innings!A:A)=TRIM(A564))*(TRIM(Innings!D:D)=TRIM(E564)),0))</f>
        <v>57</v>
      </c>
      <c r="AC564" cm="1">
        <f t="array" ref="AC564">INDEX(Innings!N:N,MATCH(1,(TRIM(Innings!A:A)=TRIM(A564))*(TRIM(Innings!D:D)=TRIM(E564)),0))</f>
        <v>0</v>
      </c>
      <c r="AD564" cm="1">
        <f t="array" ref="AD564">INDEX(Innings!S:S,MATCH(1,(TRIM(Innings!A:A)=TRIM(A564))*(TRIM(Innings!D:D)=TRIM(E564)),0))</f>
        <v>31</v>
      </c>
      <c r="AE564" t="str" cm="1">
        <f t="array" ref="AE564">INDEX(Innings!W:W,MATCH(1,(TRIM(Innings!A:A)=TRIM(A564))*(TRIM(Innings!D:D)=TRIM(E564)),0))</f>
        <v>Successful</v>
      </c>
      <c r="AF564">
        <f>IF(UPPER(TRIM(E564))=UPPER(TRIM(W564)),1,0)</f>
        <v>1</v>
      </c>
      <c r="AG564">
        <f t="shared" si="16"/>
        <v>61.839999999999996</v>
      </c>
    </row>
    <row r="565" spans="1:33" x14ac:dyDescent="0.3">
      <c r="A565" t="s">
        <v>351</v>
      </c>
      <c r="B565">
        <v>1</v>
      </c>
      <c r="C565" t="s">
        <v>194</v>
      </c>
      <c r="D565" t="s">
        <v>195</v>
      </c>
      <c r="E565" t="s">
        <v>158</v>
      </c>
      <c r="F565" t="s">
        <v>109</v>
      </c>
      <c r="G565" t="s">
        <v>92</v>
      </c>
      <c r="H565">
        <v>4</v>
      </c>
      <c r="I565">
        <v>1</v>
      </c>
      <c r="J565">
        <v>400</v>
      </c>
      <c r="K565" t="s">
        <v>96</v>
      </c>
      <c r="L565">
        <v>44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 s="8">
        <v>44</v>
      </c>
      <c r="V565" s="8">
        <f t="shared" si="17"/>
        <v>4</v>
      </c>
      <c r="W565" t="str">
        <f>_xlfn.XLOOKUP(A565, Matches!A:A, Matches!L:L, "NA", 0)</f>
        <v>DCW</v>
      </c>
      <c r="X565" t="str">
        <f>_xlfn.XLOOKUP(A565, Matches!A:A, Matches!J:J, "NA", 0)</f>
        <v>DCW</v>
      </c>
      <c r="Y565" t="str">
        <f>_xlfn.XLOOKUP(A565, Matches!A:A, Matches!F:F, "NA", 0)</f>
        <v>M. Chinnaswamy Stadium</v>
      </c>
      <c r="Z565" cm="1">
        <f t="array" ref="Z565">INDEX(Innings!F:F,MATCH(1,(TRIM(Innings!A:A)=TRIM(A565))*(TRIM(Innings!D:D)=TRIM(E565)),0))</f>
        <v>123</v>
      </c>
      <c r="AA565" cm="1">
        <f t="array" ref="AA565">INDEX(Innings!I:I,MATCH(1,(TRIM(Innings!A:A)=TRIM(A565))*(TRIM(Innings!D:D)=TRIM(E565)),0))</f>
        <v>8.48</v>
      </c>
      <c r="AB565" cm="1">
        <f t="array" ref="AB565">INDEX(Innings!J:J,MATCH(1,(TRIM(Innings!A:A)=TRIM(A565))*(TRIM(Innings!D:D)=TRIM(E565)),0))</f>
        <v>57</v>
      </c>
      <c r="AC565" cm="1">
        <f t="array" ref="AC565">INDEX(Innings!N:N,MATCH(1,(TRIM(Innings!A:A)=TRIM(A565))*(TRIM(Innings!D:D)=TRIM(E565)),0))</f>
        <v>0</v>
      </c>
      <c r="AD565" cm="1">
        <f t="array" ref="AD565">INDEX(Innings!S:S,MATCH(1,(TRIM(Innings!A:A)=TRIM(A565))*(TRIM(Innings!D:D)=TRIM(E565)),0))</f>
        <v>31</v>
      </c>
      <c r="AE565" t="str" cm="1">
        <f t="array" ref="AE565">INDEX(Innings!W:W,MATCH(1,(TRIM(Innings!A:A)=TRIM(A565))*(TRIM(Innings!D:D)=TRIM(E565)),0))</f>
        <v>Successful</v>
      </c>
      <c r="AF565">
        <f>IF(UPPER(TRIM(E565))=UPPER(TRIM(W565)),1,0)</f>
        <v>1</v>
      </c>
      <c r="AG565">
        <f t="shared" si="16"/>
        <v>43.2</v>
      </c>
    </row>
    <row r="566" spans="1:33" x14ac:dyDescent="0.3">
      <c r="A566" t="s">
        <v>351</v>
      </c>
      <c r="B566">
        <v>1</v>
      </c>
      <c r="C566" t="s">
        <v>196</v>
      </c>
      <c r="D566" t="s">
        <v>197</v>
      </c>
      <c r="E566" t="s">
        <v>158</v>
      </c>
      <c r="F566" t="s">
        <v>109</v>
      </c>
      <c r="G566" t="s">
        <v>104</v>
      </c>
      <c r="H566">
        <v>0</v>
      </c>
      <c r="I566">
        <v>0</v>
      </c>
      <c r="J566">
        <v>0</v>
      </c>
      <c r="K566" t="s">
        <v>104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 s="8">
        <v>0</v>
      </c>
      <c r="V566" s="8">
        <f t="shared" si="17"/>
        <v>0</v>
      </c>
      <c r="W566" t="str">
        <f>_xlfn.XLOOKUP(A566, Matches!A:A, Matches!L:L, "NA", 0)</f>
        <v>DCW</v>
      </c>
      <c r="X566" t="str">
        <f>_xlfn.XLOOKUP(A566, Matches!A:A, Matches!J:J, "NA", 0)</f>
        <v>DCW</v>
      </c>
      <c r="Y566" t="str">
        <f>_xlfn.XLOOKUP(A566, Matches!A:A, Matches!F:F, "NA", 0)</f>
        <v>M. Chinnaswamy Stadium</v>
      </c>
      <c r="Z566" cm="1">
        <f t="array" ref="Z566">INDEX(Innings!F:F,MATCH(1,(TRIM(Innings!A:A)=TRIM(A566))*(TRIM(Innings!D:D)=TRIM(E566)),0))</f>
        <v>123</v>
      </c>
      <c r="AA566" cm="1">
        <f t="array" ref="AA566">INDEX(Innings!I:I,MATCH(1,(TRIM(Innings!A:A)=TRIM(A566))*(TRIM(Innings!D:D)=TRIM(E566)),0))</f>
        <v>8.48</v>
      </c>
      <c r="AB566" cm="1">
        <f t="array" ref="AB566">INDEX(Innings!J:J,MATCH(1,(TRIM(Innings!A:A)=TRIM(A566))*(TRIM(Innings!D:D)=TRIM(E566)),0))</f>
        <v>57</v>
      </c>
      <c r="AC566" cm="1">
        <f t="array" ref="AC566">INDEX(Innings!N:N,MATCH(1,(TRIM(Innings!A:A)=TRIM(A566))*(TRIM(Innings!D:D)=TRIM(E566)),0))</f>
        <v>0</v>
      </c>
      <c r="AD566" cm="1">
        <f t="array" ref="AD566">INDEX(Innings!S:S,MATCH(1,(TRIM(Innings!A:A)=TRIM(A566))*(TRIM(Innings!D:D)=TRIM(E566)),0))</f>
        <v>31</v>
      </c>
      <c r="AE566" t="str" cm="1">
        <f t="array" ref="AE566">INDEX(Innings!W:W,MATCH(1,(TRIM(Innings!A:A)=TRIM(A566))*(TRIM(Innings!D:D)=TRIM(E566)),0))</f>
        <v>Successful</v>
      </c>
      <c r="AF566">
        <f>IF(UPPER(TRIM(E566))=UPPER(TRIM(W566)),1,0)</f>
        <v>1</v>
      </c>
      <c r="AG566">
        <f t="shared" si="16"/>
        <v>20</v>
      </c>
    </row>
    <row r="567" spans="1:33" x14ac:dyDescent="0.3">
      <c r="A567" t="s">
        <v>351</v>
      </c>
      <c r="B567">
        <v>1</v>
      </c>
      <c r="C567" t="s">
        <v>192</v>
      </c>
      <c r="D567" t="s">
        <v>193</v>
      </c>
      <c r="E567" t="s">
        <v>158</v>
      </c>
      <c r="F567" t="s">
        <v>169</v>
      </c>
      <c r="G567" t="s">
        <v>104</v>
      </c>
      <c r="H567">
        <v>0</v>
      </c>
      <c r="I567">
        <v>0</v>
      </c>
      <c r="J567">
        <v>0</v>
      </c>
      <c r="K567" t="s">
        <v>104</v>
      </c>
      <c r="L567">
        <v>0</v>
      </c>
      <c r="M567">
        <v>4</v>
      </c>
      <c r="N567">
        <v>1</v>
      </c>
      <c r="O567">
        <v>5</v>
      </c>
      <c r="P567">
        <v>3</v>
      </c>
      <c r="Q567">
        <v>1.25</v>
      </c>
      <c r="R567">
        <v>57.5</v>
      </c>
      <c r="S567">
        <v>0</v>
      </c>
      <c r="T567">
        <v>0</v>
      </c>
      <c r="U567" s="8">
        <v>57.5</v>
      </c>
      <c r="V567" s="8">
        <f t="shared" si="17"/>
        <v>6</v>
      </c>
      <c r="W567" t="str">
        <f>_xlfn.XLOOKUP(A567, Matches!A:A, Matches!L:L, "NA", 0)</f>
        <v>DCW</v>
      </c>
      <c r="X567" t="str">
        <f>_xlfn.XLOOKUP(A567, Matches!A:A, Matches!J:J, "NA", 0)</f>
        <v>DCW</v>
      </c>
      <c r="Y567" t="str">
        <f>_xlfn.XLOOKUP(A567, Matches!A:A, Matches!F:F, "NA", 0)</f>
        <v>M. Chinnaswamy Stadium</v>
      </c>
      <c r="Z567" cm="1">
        <f t="array" ref="Z567">INDEX(Innings!F:F,MATCH(1,(TRIM(Innings!A:A)=TRIM(A567))*(TRIM(Innings!D:D)=TRIM(E567)),0))</f>
        <v>123</v>
      </c>
      <c r="AA567" cm="1">
        <f t="array" ref="AA567">INDEX(Innings!I:I,MATCH(1,(TRIM(Innings!A:A)=TRIM(A567))*(TRIM(Innings!D:D)=TRIM(E567)),0))</f>
        <v>8.48</v>
      </c>
      <c r="AB567" cm="1">
        <f t="array" ref="AB567">INDEX(Innings!J:J,MATCH(1,(TRIM(Innings!A:A)=TRIM(A567))*(TRIM(Innings!D:D)=TRIM(E567)),0))</f>
        <v>57</v>
      </c>
      <c r="AC567" cm="1">
        <f t="array" ref="AC567">INDEX(Innings!N:N,MATCH(1,(TRIM(Innings!A:A)=TRIM(A567))*(TRIM(Innings!D:D)=TRIM(E567)),0))</f>
        <v>0</v>
      </c>
      <c r="AD567" cm="1">
        <f t="array" ref="AD567">INDEX(Innings!S:S,MATCH(1,(TRIM(Innings!A:A)=TRIM(A567))*(TRIM(Innings!D:D)=TRIM(E567)),0))</f>
        <v>31</v>
      </c>
      <c r="AE567" t="str" cm="1">
        <f t="array" ref="AE567">INDEX(Innings!W:W,MATCH(1,(TRIM(Innings!A:A)=TRIM(A567))*(TRIM(Innings!D:D)=TRIM(E567)),0))</f>
        <v>Successful</v>
      </c>
      <c r="AF567">
        <f>IF(UPPER(TRIM(E567))=UPPER(TRIM(W567)),1,0)</f>
        <v>1</v>
      </c>
      <c r="AG567">
        <f t="shared" si="16"/>
        <v>50.55</v>
      </c>
    </row>
    <row r="568" spans="1:33" x14ac:dyDescent="0.3">
      <c r="A568" t="s">
        <v>351</v>
      </c>
      <c r="B568">
        <v>1</v>
      </c>
      <c r="C568" t="s">
        <v>94</v>
      </c>
      <c r="D568" t="s">
        <v>120</v>
      </c>
      <c r="E568" t="s">
        <v>158</v>
      </c>
      <c r="F568" t="s">
        <v>169</v>
      </c>
      <c r="G568" t="s">
        <v>104</v>
      </c>
      <c r="H568">
        <v>0</v>
      </c>
      <c r="I568">
        <v>0</v>
      </c>
      <c r="J568">
        <v>0</v>
      </c>
      <c r="K568" t="s">
        <v>104</v>
      </c>
      <c r="L568">
        <v>0</v>
      </c>
      <c r="M568">
        <v>4</v>
      </c>
      <c r="N568">
        <v>0</v>
      </c>
      <c r="O568">
        <v>32</v>
      </c>
      <c r="P568">
        <v>1</v>
      </c>
      <c r="Q568">
        <v>8</v>
      </c>
      <c r="R568">
        <v>4</v>
      </c>
      <c r="S568">
        <v>0</v>
      </c>
      <c r="T568">
        <v>0</v>
      </c>
      <c r="U568" s="8">
        <v>4</v>
      </c>
      <c r="V568" s="8">
        <f t="shared" si="17"/>
        <v>0</v>
      </c>
      <c r="W568" t="str">
        <f>_xlfn.XLOOKUP(A568, Matches!A:A, Matches!L:L, "NA", 0)</f>
        <v>DCW</v>
      </c>
      <c r="X568" t="str">
        <f>_xlfn.XLOOKUP(A568, Matches!A:A, Matches!J:J, "NA", 0)</f>
        <v>DCW</v>
      </c>
      <c r="Y568" t="str">
        <f>_xlfn.XLOOKUP(A568, Matches!A:A, Matches!F:F, "NA", 0)</f>
        <v>M. Chinnaswamy Stadium</v>
      </c>
      <c r="Z568" cm="1">
        <f t="array" ref="Z568">INDEX(Innings!F:F,MATCH(1,(TRIM(Innings!A:A)=TRIM(A568))*(TRIM(Innings!D:D)=TRIM(E568)),0))</f>
        <v>123</v>
      </c>
      <c r="AA568" cm="1">
        <f t="array" ref="AA568">INDEX(Innings!I:I,MATCH(1,(TRIM(Innings!A:A)=TRIM(A568))*(TRIM(Innings!D:D)=TRIM(E568)),0))</f>
        <v>8.48</v>
      </c>
      <c r="AB568" cm="1">
        <f t="array" ref="AB568">INDEX(Innings!J:J,MATCH(1,(TRIM(Innings!A:A)=TRIM(A568))*(TRIM(Innings!D:D)=TRIM(E568)),0))</f>
        <v>57</v>
      </c>
      <c r="AC568" cm="1">
        <f t="array" ref="AC568">INDEX(Innings!N:N,MATCH(1,(TRIM(Innings!A:A)=TRIM(A568))*(TRIM(Innings!D:D)=TRIM(E568)),0))</f>
        <v>0</v>
      </c>
      <c r="AD568" cm="1">
        <f t="array" ref="AD568">INDEX(Innings!S:S,MATCH(1,(TRIM(Innings!A:A)=TRIM(A568))*(TRIM(Innings!D:D)=TRIM(E568)),0))</f>
        <v>31</v>
      </c>
      <c r="AE568" t="str" cm="1">
        <f t="array" ref="AE568">INDEX(Innings!W:W,MATCH(1,(TRIM(Innings!A:A)=TRIM(A568))*(TRIM(Innings!D:D)=TRIM(E568)),0))</f>
        <v>Successful</v>
      </c>
      <c r="AF568">
        <f>IF(UPPER(TRIM(E568))=UPPER(TRIM(W568)),1,0)</f>
        <v>1</v>
      </c>
      <c r="AG568">
        <f t="shared" si="16"/>
        <v>22</v>
      </c>
    </row>
    <row r="569" spans="1:33" x14ac:dyDescent="0.3">
      <c r="A569" t="s">
        <v>351</v>
      </c>
      <c r="B569">
        <v>1</v>
      </c>
      <c r="C569" t="s">
        <v>202</v>
      </c>
      <c r="D569" t="s">
        <v>203</v>
      </c>
      <c r="E569" t="s">
        <v>158</v>
      </c>
      <c r="F569" t="s">
        <v>101</v>
      </c>
      <c r="G569" t="s">
        <v>104</v>
      </c>
      <c r="H569">
        <v>0</v>
      </c>
      <c r="I569">
        <v>0</v>
      </c>
      <c r="J569">
        <v>0</v>
      </c>
      <c r="K569" t="s">
        <v>104</v>
      </c>
      <c r="L569">
        <v>0</v>
      </c>
      <c r="M569">
        <v>3</v>
      </c>
      <c r="N569">
        <v>0</v>
      </c>
      <c r="O569">
        <v>16</v>
      </c>
      <c r="P569">
        <v>1</v>
      </c>
      <c r="Q569">
        <v>5.33</v>
      </c>
      <c r="R569">
        <v>9.34</v>
      </c>
      <c r="S569">
        <v>0</v>
      </c>
      <c r="T569">
        <v>0</v>
      </c>
      <c r="U569" s="8">
        <v>9.34</v>
      </c>
      <c r="V569" s="8">
        <f t="shared" si="17"/>
        <v>1</v>
      </c>
      <c r="W569" t="str">
        <f>_xlfn.XLOOKUP(A569, Matches!A:A, Matches!L:L, "NA", 0)</f>
        <v>DCW</v>
      </c>
      <c r="X569" t="str">
        <f>_xlfn.XLOOKUP(A569, Matches!A:A, Matches!J:J, "NA", 0)</f>
        <v>DCW</v>
      </c>
      <c r="Y569" t="str">
        <f>_xlfn.XLOOKUP(A569, Matches!A:A, Matches!F:F, "NA", 0)</f>
        <v>M. Chinnaswamy Stadium</v>
      </c>
      <c r="Z569" cm="1">
        <f t="array" ref="Z569">INDEX(Innings!F:F,MATCH(1,(TRIM(Innings!A:A)=TRIM(A569))*(TRIM(Innings!D:D)=TRIM(E569)),0))</f>
        <v>123</v>
      </c>
      <c r="AA569" cm="1">
        <f t="array" ref="AA569">INDEX(Innings!I:I,MATCH(1,(TRIM(Innings!A:A)=TRIM(A569))*(TRIM(Innings!D:D)=TRIM(E569)),0))</f>
        <v>8.48</v>
      </c>
      <c r="AB569" cm="1">
        <f t="array" ref="AB569">INDEX(Innings!J:J,MATCH(1,(TRIM(Innings!A:A)=TRIM(A569))*(TRIM(Innings!D:D)=TRIM(E569)),0))</f>
        <v>57</v>
      </c>
      <c r="AC569" cm="1">
        <f t="array" ref="AC569">INDEX(Innings!N:N,MATCH(1,(TRIM(Innings!A:A)=TRIM(A569))*(TRIM(Innings!D:D)=TRIM(E569)),0))</f>
        <v>0</v>
      </c>
      <c r="AD569" cm="1">
        <f t="array" ref="AD569">INDEX(Innings!S:S,MATCH(1,(TRIM(Innings!A:A)=TRIM(A569))*(TRIM(Innings!D:D)=TRIM(E569)),0))</f>
        <v>31</v>
      </c>
      <c r="AE569" t="str" cm="1">
        <f t="array" ref="AE569">INDEX(Innings!W:W,MATCH(1,(TRIM(Innings!A:A)=TRIM(A569))*(TRIM(Innings!D:D)=TRIM(E569)),0))</f>
        <v>Successful</v>
      </c>
      <c r="AF569">
        <f>IF(UPPER(TRIM(E569))=UPPER(TRIM(W569)),1,0)</f>
        <v>1</v>
      </c>
      <c r="AG569">
        <f t="shared" si="16"/>
        <v>24.97</v>
      </c>
    </row>
    <row r="570" spans="1:33" x14ac:dyDescent="0.3">
      <c r="A570" t="s">
        <v>351</v>
      </c>
      <c r="B570">
        <v>1</v>
      </c>
      <c r="C570" t="s">
        <v>274</v>
      </c>
      <c r="D570" t="s">
        <v>284</v>
      </c>
      <c r="E570" t="s">
        <v>158</v>
      </c>
      <c r="F570" t="s">
        <v>169</v>
      </c>
      <c r="G570" t="s">
        <v>104</v>
      </c>
      <c r="H570">
        <v>0</v>
      </c>
      <c r="I570">
        <v>0</v>
      </c>
      <c r="J570">
        <v>0</v>
      </c>
      <c r="K570" t="s">
        <v>104</v>
      </c>
      <c r="L570">
        <v>0</v>
      </c>
      <c r="M570">
        <v>2</v>
      </c>
      <c r="N570">
        <v>0</v>
      </c>
      <c r="O570">
        <v>14</v>
      </c>
      <c r="P570">
        <v>0</v>
      </c>
      <c r="Q570">
        <v>7</v>
      </c>
      <c r="R570">
        <v>0</v>
      </c>
      <c r="S570">
        <v>0</v>
      </c>
      <c r="T570">
        <v>0</v>
      </c>
      <c r="U570" s="8">
        <v>0</v>
      </c>
      <c r="V570" s="8">
        <f t="shared" si="17"/>
        <v>0</v>
      </c>
      <c r="W570" t="str">
        <f>_xlfn.XLOOKUP(A570, Matches!A:A, Matches!L:L, "NA", 0)</f>
        <v>DCW</v>
      </c>
      <c r="X570" t="str">
        <f>_xlfn.XLOOKUP(A570, Matches!A:A, Matches!J:J, "NA", 0)</f>
        <v>DCW</v>
      </c>
      <c r="Y570" t="str">
        <f>_xlfn.XLOOKUP(A570, Matches!A:A, Matches!F:F, "NA", 0)</f>
        <v>M. Chinnaswamy Stadium</v>
      </c>
      <c r="Z570" cm="1">
        <f t="array" ref="Z570">INDEX(Innings!F:F,MATCH(1,(TRIM(Innings!A:A)=TRIM(A570))*(TRIM(Innings!D:D)=TRIM(E570)),0))</f>
        <v>123</v>
      </c>
      <c r="AA570" cm="1">
        <f t="array" ref="AA570">INDEX(Innings!I:I,MATCH(1,(TRIM(Innings!A:A)=TRIM(A570))*(TRIM(Innings!D:D)=TRIM(E570)),0))</f>
        <v>8.48</v>
      </c>
      <c r="AB570" cm="1">
        <f t="array" ref="AB570">INDEX(Innings!J:J,MATCH(1,(TRIM(Innings!A:A)=TRIM(A570))*(TRIM(Innings!D:D)=TRIM(E570)),0))</f>
        <v>57</v>
      </c>
      <c r="AC570" cm="1">
        <f t="array" ref="AC570">INDEX(Innings!N:N,MATCH(1,(TRIM(Innings!A:A)=TRIM(A570))*(TRIM(Innings!D:D)=TRIM(E570)),0))</f>
        <v>0</v>
      </c>
      <c r="AD570" cm="1">
        <f t="array" ref="AD570">INDEX(Innings!S:S,MATCH(1,(TRIM(Innings!A:A)=TRIM(A570))*(TRIM(Innings!D:D)=TRIM(E570)),0))</f>
        <v>31</v>
      </c>
      <c r="AE570" t="str" cm="1">
        <f t="array" ref="AE570">INDEX(Innings!W:W,MATCH(1,(TRIM(Innings!A:A)=TRIM(A570))*(TRIM(Innings!D:D)=TRIM(E570)),0))</f>
        <v>Successful</v>
      </c>
      <c r="AF570">
        <f>IF(UPPER(TRIM(E570))=UPPER(TRIM(W570)),1,0)</f>
        <v>1</v>
      </c>
      <c r="AG570">
        <f t="shared" si="16"/>
        <v>20</v>
      </c>
    </row>
    <row r="571" spans="1:33" x14ac:dyDescent="0.3">
      <c r="A571" t="s">
        <v>351</v>
      </c>
      <c r="B571">
        <v>1</v>
      </c>
      <c r="C571" t="s">
        <v>200</v>
      </c>
      <c r="D571" t="s">
        <v>201</v>
      </c>
      <c r="E571" t="s">
        <v>158</v>
      </c>
      <c r="F571" t="s">
        <v>85</v>
      </c>
      <c r="G571" t="s">
        <v>104</v>
      </c>
      <c r="H571">
        <v>0</v>
      </c>
      <c r="I571">
        <v>0</v>
      </c>
      <c r="J571">
        <v>0</v>
      </c>
      <c r="K571" t="s">
        <v>104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 s="8">
        <v>0</v>
      </c>
      <c r="V571" s="8">
        <f t="shared" si="17"/>
        <v>0</v>
      </c>
      <c r="W571" t="str">
        <f>_xlfn.XLOOKUP(A571, Matches!A:A, Matches!L:L, "NA", 0)</f>
        <v>DCW</v>
      </c>
      <c r="X571" t="str">
        <f>_xlfn.XLOOKUP(A571, Matches!A:A, Matches!J:J, "NA", 0)</f>
        <v>DCW</v>
      </c>
      <c r="Y571" t="str">
        <f>_xlfn.XLOOKUP(A571, Matches!A:A, Matches!F:F, "NA", 0)</f>
        <v>M. Chinnaswamy Stadium</v>
      </c>
      <c r="Z571" cm="1">
        <f t="array" ref="Z571">INDEX(Innings!F:F,MATCH(1,(TRIM(Innings!A:A)=TRIM(A571))*(TRIM(Innings!D:D)=TRIM(E571)),0))</f>
        <v>123</v>
      </c>
      <c r="AA571" cm="1">
        <f t="array" ref="AA571">INDEX(Innings!I:I,MATCH(1,(TRIM(Innings!A:A)=TRIM(A571))*(TRIM(Innings!D:D)=TRIM(E571)),0))</f>
        <v>8.48</v>
      </c>
      <c r="AB571" cm="1">
        <f t="array" ref="AB571">INDEX(Innings!J:J,MATCH(1,(TRIM(Innings!A:A)=TRIM(A571))*(TRIM(Innings!D:D)=TRIM(E571)),0))</f>
        <v>57</v>
      </c>
      <c r="AC571" cm="1">
        <f t="array" ref="AC571">INDEX(Innings!N:N,MATCH(1,(TRIM(Innings!A:A)=TRIM(A571))*(TRIM(Innings!D:D)=TRIM(E571)),0))</f>
        <v>0</v>
      </c>
      <c r="AD571" cm="1">
        <f t="array" ref="AD571">INDEX(Innings!S:S,MATCH(1,(TRIM(Innings!A:A)=TRIM(A571))*(TRIM(Innings!D:D)=TRIM(E571)),0))</f>
        <v>31</v>
      </c>
      <c r="AE571" t="str" cm="1">
        <f t="array" ref="AE571">INDEX(Innings!W:W,MATCH(1,(TRIM(Innings!A:A)=TRIM(A571))*(TRIM(Innings!D:D)=TRIM(E571)),0))</f>
        <v>Successful</v>
      </c>
      <c r="AF571">
        <f>IF(UPPER(TRIM(E571))=UPPER(TRIM(W571)),1,0)</f>
        <v>1</v>
      </c>
      <c r="AG571">
        <f t="shared" si="16"/>
        <v>20</v>
      </c>
    </row>
    <row r="572" spans="1:33" x14ac:dyDescent="0.3">
      <c r="A572" t="s">
        <v>351</v>
      </c>
      <c r="B572">
        <v>1</v>
      </c>
      <c r="C572" t="s">
        <v>206</v>
      </c>
      <c r="D572" t="s">
        <v>207</v>
      </c>
      <c r="E572" t="s">
        <v>158</v>
      </c>
      <c r="F572" t="s">
        <v>101</v>
      </c>
      <c r="G572" t="s">
        <v>104</v>
      </c>
      <c r="H572">
        <v>0</v>
      </c>
      <c r="I572">
        <v>0</v>
      </c>
      <c r="J572">
        <v>0</v>
      </c>
      <c r="K572" t="s">
        <v>104</v>
      </c>
      <c r="L572">
        <v>0</v>
      </c>
      <c r="M572">
        <v>4</v>
      </c>
      <c r="N572">
        <v>0</v>
      </c>
      <c r="O572">
        <v>20</v>
      </c>
      <c r="P572">
        <v>4</v>
      </c>
      <c r="Q572">
        <v>5</v>
      </c>
      <c r="R572">
        <v>70</v>
      </c>
      <c r="S572">
        <v>0</v>
      </c>
      <c r="T572">
        <v>0</v>
      </c>
      <c r="U572" s="8">
        <v>70</v>
      </c>
      <c r="V572" s="8">
        <f t="shared" si="17"/>
        <v>7</v>
      </c>
      <c r="W572" t="str">
        <f>_xlfn.XLOOKUP(A572, Matches!A:A, Matches!L:L, "NA", 0)</f>
        <v>DCW</v>
      </c>
      <c r="X572" t="str">
        <f>_xlfn.XLOOKUP(A572, Matches!A:A, Matches!J:J, "NA", 0)</f>
        <v>DCW</v>
      </c>
      <c r="Y572" t="str">
        <f>_xlfn.XLOOKUP(A572, Matches!A:A, Matches!F:F, "NA", 0)</f>
        <v>M. Chinnaswamy Stadium</v>
      </c>
      <c r="Z572" cm="1">
        <f t="array" ref="Z572">INDEX(Innings!F:F,MATCH(1,(TRIM(Innings!A:A)=TRIM(A572))*(TRIM(Innings!D:D)=TRIM(E572)),0))</f>
        <v>123</v>
      </c>
      <c r="AA572" cm="1">
        <f t="array" ref="AA572">INDEX(Innings!I:I,MATCH(1,(TRIM(Innings!A:A)=TRIM(A572))*(TRIM(Innings!D:D)=TRIM(E572)),0))</f>
        <v>8.48</v>
      </c>
      <c r="AB572" cm="1">
        <f t="array" ref="AB572">INDEX(Innings!J:J,MATCH(1,(TRIM(Innings!A:A)=TRIM(A572))*(TRIM(Innings!D:D)=TRIM(E572)),0))</f>
        <v>57</v>
      </c>
      <c r="AC572" cm="1">
        <f t="array" ref="AC572">INDEX(Innings!N:N,MATCH(1,(TRIM(Innings!A:A)=TRIM(A572))*(TRIM(Innings!D:D)=TRIM(E572)),0))</f>
        <v>0</v>
      </c>
      <c r="AD572" cm="1">
        <f t="array" ref="AD572">INDEX(Innings!S:S,MATCH(1,(TRIM(Innings!A:A)=TRIM(A572))*(TRIM(Innings!D:D)=TRIM(E572)),0))</f>
        <v>31</v>
      </c>
      <c r="AE572" t="str" cm="1">
        <f t="array" ref="AE572">INDEX(Innings!W:W,MATCH(1,(TRIM(Innings!A:A)=TRIM(A572))*(TRIM(Innings!D:D)=TRIM(E572)),0))</f>
        <v>Successful</v>
      </c>
      <c r="AF572">
        <f>IF(UPPER(TRIM(E572))=UPPER(TRIM(W572)),1,0)</f>
        <v>1</v>
      </c>
      <c r="AG572">
        <f t="shared" si="16"/>
        <v>57.1</v>
      </c>
    </row>
    <row r="573" spans="1:33" x14ac:dyDescent="0.3">
      <c r="A573" t="s">
        <v>351</v>
      </c>
      <c r="B573">
        <v>1</v>
      </c>
      <c r="C573" t="s">
        <v>204</v>
      </c>
      <c r="D573" t="s">
        <v>205</v>
      </c>
      <c r="E573" t="s">
        <v>158</v>
      </c>
      <c r="F573" t="s">
        <v>169</v>
      </c>
      <c r="G573" t="s">
        <v>104</v>
      </c>
      <c r="H573">
        <v>0</v>
      </c>
      <c r="I573">
        <v>0</v>
      </c>
      <c r="J573">
        <v>0</v>
      </c>
      <c r="K573" t="s">
        <v>104</v>
      </c>
      <c r="L573">
        <v>0</v>
      </c>
      <c r="M573">
        <v>3</v>
      </c>
      <c r="N573">
        <v>0</v>
      </c>
      <c r="O573">
        <v>28</v>
      </c>
      <c r="P573">
        <v>0</v>
      </c>
      <c r="Q573">
        <v>9.33</v>
      </c>
      <c r="R573">
        <v>0</v>
      </c>
      <c r="S573">
        <v>0</v>
      </c>
      <c r="T573">
        <v>0</v>
      </c>
      <c r="U573" s="8">
        <v>0</v>
      </c>
      <c r="V573" s="8">
        <f t="shared" si="17"/>
        <v>0</v>
      </c>
      <c r="W573" t="str">
        <f>_xlfn.XLOOKUP(A573, Matches!A:A, Matches!L:L, "NA", 0)</f>
        <v>DCW</v>
      </c>
      <c r="X573" t="str">
        <f>_xlfn.XLOOKUP(A573, Matches!A:A, Matches!J:J, "NA", 0)</f>
        <v>DCW</v>
      </c>
      <c r="Y573" t="str">
        <f>_xlfn.XLOOKUP(A573, Matches!A:A, Matches!F:F, "NA", 0)</f>
        <v>M. Chinnaswamy Stadium</v>
      </c>
      <c r="Z573" cm="1">
        <f t="array" ref="Z573">INDEX(Innings!F:F,MATCH(1,(TRIM(Innings!A:A)=TRIM(A573))*(TRIM(Innings!D:D)=TRIM(E573)),0))</f>
        <v>123</v>
      </c>
      <c r="AA573" cm="1">
        <f t="array" ref="AA573">INDEX(Innings!I:I,MATCH(1,(TRIM(Innings!A:A)=TRIM(A573))*(TRIM(Innings!D:D)=TRIM(E573)),0))</f>
        <v>8.48</v>
      </c>
      <c r="AB573" cm="1">
        <f t="array" ref="AB573">INDEX(Innings!J:J,MATCH(1,(TRIM(Innings!A:A)=TRIM(A573))*(TRIM(Innings!D:D)=TRIM(E573)),0))</f>
        <v>57</v>
      </c>
      <c r="AC573" cm="1">
        <f t="array" ref="AC573">INDEX(Innings!N:N,MATCH(1,(TRIM(Innings!A:A)=TRIM(A573))*(TRIM(Innings!D:D)=TRIM(E573)),0))</f>
        <v>0</v>
      </c>
      <c r="AD573" cm="1">
        <f t="array" ref="AD573">INDEX(Innings!S:S,MATCH(1,(TRIM(Innings!A:A)=TRIM(A573))*(TRIM(Innings!D:D)=TRIM(E573)),0))</f>
        <v>31</v>
      </c>
      <c r="AE573" t="str" cm="1">
        <f t="array" ref="AE573">INDEX(Innings!W:W,MATCH(1,(TRIM(Innings!A:A)=TRIM(A573))*(TRIM(Innings!D:D)=TRIM(E573)),0))</f>
        <v>Successful</v>
      </c>
      <c r="AF573">
        <f>IF(UPPER(TRIM(E573))=UPPER(TRIM(W573)),1,0)</f>
        <v>1</v>
      </c>
      <c r="AG573">
        <f t="shared" si="16"/>
        <v>20</v>
      </c>
    </row>
    <row r="574" spans="1:33" x14ac:dyDescent="0.3">
      <c r="A574" t="s">
        <v>352</v>
      </c>
      <c r="B574">
        <v>2</v>
      </c>
      <c r="C574" t="s">
        <v>165</v>
      </c>
      <c r="D574" t="s">
        <v>166</v>
      </c>
      <c r="E574" t="s">
        <v>159</v>
      </c>
      <c r="F574" t="s">
        <v>109</v>
      </c>
      <c r="G574" t="s">
        <v>86</v>
      </c>
      <c r="H574">
        <v>43</v>
      </c>
      <c r="I574">
        <v>27</v>
      </c>
      <c r="J574">
        <v>159.26</v>
      </c>
      <c r="K574" t="s">
        <v>246</v>
      </c>
      <c r="L574">
        <v>68.48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 s="8">
        <v>68.48</v>
      </c>
      <c r="V574" s="8">
        <f t="shared" si="17"/>
        <v>7</v>
      </c>
      <c r="W574" t="str">
        <f>_xlfn.XLOOKUP(A574, Matches!A:A, Matches!L:L, "NA", 0)</f>
        <v>RCBW</v>
      </c>
      <c r="X574" t="str">
        <f>_xlfn.XLOOKUP(A574, Matches!A:A, Matches!J:J, "NA", 0)</f>
        <v>RCBW</v>
      </c>
      <c r="Y574" t="str">
        <f>_xlfn.XLOOKUP(A574, Matches!A:A, Matches!F:F, "NA", 0)</f>
        <v>M. Chinnaswamy Stadium</v>
      </c>
      <c r="Z574" cm="1">
        <f t="array" ref="Z574">INDEX(Innings!F:F,MATCH(1,(TRIM(Innings!A:A)=TRIM(A574))*(TRIM(Innings!D:D)=TRIM(E574)),0))</f>
        <v>110</v>
      </c>
      <c r="AA574" cm="1">
        <f t="array" ref="AA574">INDEX(Innings!I:I,MATCH(1,(TRIM(Innings!A:A)=TRIM(A574))*(TRIM(Innings!D:D)=TRIM(E574)),0))</f>
        <v>8.8000000000000007</v>
      </c>
      <c r="AB574" cm="1">
        <f t="array" ref="AB574">INDEX(Innings!J:J,MATCH(1,(TRIM(Innings!A:A)=TRIM(A574))*(TRIM(Innings!D:D)=TRIM(E574)),0))</f>
        <v>47</v>
      </c>
      <c r="AC574" cm="1">
        <f t="array" ref="AC574">INDEX(Innings!N:N,MATCH(1,(TRIM(Innings!A:A)=TRIM(A574))*(TRIM(Innings!D:D)=TRIM(E574)),0))</f>
        <v>0</v>
      </c>
      <c r="AD574" cm="1">
        <f t="array" ref="AD574">INDEX(Innings!S:S,MATCH(1,(TRIM(Innings!A:A)=TRIM(A574))*(TRIM(Innings!D:D)=TRIM(E574)),0))</f>
        <v>30</v>
      </c>
      <c r="AE574" t="str" cm="1">
        <f t="array" ref="AE574">INDEX(Innings!W:W,MATCH(1,(TRIM(Innings!A:A)=TRIM(A574))*(TRIM(Innings!D:D)=TRIM(E574)),0))</f>
        <v>Successful</v>
      </c>
      <c r="AF574">
        <f>IF(UPPER(TRIM(E574))=UPPER(TRIM(W574)),1,0)</f>
        <v>1</v>
      </c>
      <c r="AG574">
        <f t="shared" si="16"/>
        <v>56.34</v>
      </c>
    </row>
    <row r="575" spans="1:33" x14ac:dyDescent="0.3">
      <c r="A575" t="s">
        <v>352</v>
      </c>
      <c r="B575">
        <v>2</v>
      </c>
      <c r="C575" t="s">
        <v>87</v>
      </c>
      <c r="D575" t="s">
        <v>82</v>
      </c>
      <c r="E575" t="s">
        <v>159</v>
      </c>
      <c r="F575" t="s">
        <v>83</v>
      </c>
      <c r="G575" t="s">
        <v>92</v>
      </c>
      <c r="H575">
        <v>36</v>
      </c>
      <c r="I575">
        <v>28</v>
      </c>
      <c r="J575">
        <v>128.57</v>
      </c>
      <c r="K575" t="s">
        <v>96</v>
      </c>
      <c r="L575">
        <v>46.29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 s="8">
        <v>46.29</v>
      </c>
      <c r="V575" s="8">
        <f t="shared" si="17"/>
        <v>5</v>
      </c>
      <c r="W575" t="str">
        <f>_xlfn.XLOOKUP(A575, Matches!A:A, Matches!L:L, "NA", 0)</f>
        <v>RCBW</v>
      </c>
      <c r="X575" t="str">
        <f>_xlfn.XLOOKUP(A575, Matches!A:A, Matches!J:J, "NA", 0)</f>
        <v>RCBW</v>
      </c>
      <c r="Y575" t="str">
        <f>_xlfn.XLOOKUP(A575, Matches!A:A, Matches!F:F, "NA", 0)</f>
        <v>M. Chinnaswamy Stadium</v>
      </c>
      <c r="Z575" cm="1">
        <f t="array" ref="Z575">INDEX(Innings!F:F,MATCH(1,(TRIM(Innings!A:A)=TRIM(A575))*(TRIM(Innings!D:D)=TRIM(E575)),0))</f>
        <v>110</v>
      </c>
      <c r="AA575" cm="1">
        <f t="array" ref="AA575">INDEX(Innings!I:I,MATCH(1,(TRIM(Innings!A:A)=TRIM(A575))*(TRIM(Innings!D:D)=TRIM(E575)),0))</f>
        <v>8.8000000000000007</v>
      </c>
      <c r="AB575" cm="1">
        <f t="array" ref="AB575">INDEX(Innings!J:J,MATCH(1,(TRIM(Innings!A:A)=TRIM(A575))*(TRIM(Innings!D:D)=TRIM(E575)),0))</f>
        <v>47</v>
      </c>
      <c r="AC575" cm="1">
        <f t="array" ref="AC575">INDEX(Innings!N:N,MATCH(1,(TRIM(Innings!A:A)=TRIM(A575))*(TRIM(Innings!D:D)=TRIM(E575)),0))</f>
        <v>0</v>
      </c>
      <c r="AD575" cm="1">
        <f t="array" ref="AD575">INDEX(Innings!S:S,MATCH(1,(TRIM(Innings!A:A)=TRIM(A575))*(TRIM(Innings!D:D)=TRIM(E575)),0))</f>
        <v>30</v>
      </c>
      <c r="AE575" t="str" cm="1">
        <f t="array" ref="AE575">INDEX(Innings!W:W,MATCH(1,(TRIM(Innings!A:A)=TRIM(A575))*(TRIM(Innings!D:D)=TRIM(E575)),0))</f>
        <v>Successful</v>
      </c>
      <c r="AF575">
        <f>IF(UPPER(TRIM(E575))=UPPER(TRIM(W575)),1,0)</f>
        <v>1</v>
      </c>
      <c r="AG575">
        <f t="shared" si="16"/>
        <v>44.644999999999996</v>
      </c>
    </row>
    <row r="576" spans="1:33" x14ac:dyDescent="0.3">
      <c r="A576" t="s">
        <v>352</v>
      </c>
      <c r="B576">
        <v>2</v>
      </c>
      <c r="C576" t="s">
        <v>174</v>
      </c>
      <c r="D576" t="s">
        <v>175</v>
      </c>
      <c r="E576" t="s">
        <v>159</v>
      </c>
      <c r="F576" t="s">
        <v>83</v>
      </c>
      <c r="G576" t="s">
        <v>134</v>
      </c>
      <c r="H576">
        <v>23</v>
      </c>
      <c r="I576">
        <v>14</v>
      </c>
      <c r="J576">
        <v>164.29</v>
      </c>
      <c r="K576" t="s">
        <v>96</v>
      </c>
      <c r="L576">
        <v>37.79</v>
      </c>
      <c r="M576">
        <v>1</v>
      </c>
      <c r="N576">
        <v>0</v>
      </c>
      <c r="O576">
        <v>8</v>
      </c>
      <c r="P576">
        <v>0</v>
      </c>
      <c r="Q576">
        <v>8</v>
      </c>
      <c r="R576">
        <v>0</v>
      </c>
      <c r="S576">
        <v>0</v>
      </c>
      <c r="T576">
        <v>0</v>
      </c>
      <c r="U576" s="8">
        <v>37.79</v>
      </c>
      <c r="V576" s="8">
        <f t="shared" si="17"/>
        <v>4</v>
      </c>
      <c r="W576" t="str">
        <f>_xlfn.XLOOKUP(A576, Matches!A:A, Matches!L:L, "NA", 0)</f>
        <v>RCBW</v>
      </c>
      <c r="X576" t="str">
        <f>_xlfn.XLOOKUP(A576, Matches!A:A, Matches!J:J, "NA", 0)</f>
        <v>RCBW</v>
      </c>
      <c r="Y576" t="str">
        <f>_xlfn.XLOOKUP(A576, Matches!A:A, Matches!F:F, "NA", 0)</f>
        <v>M. Chinnaswamy Stadium</v>
      </c>
      <c r="Z576" cm="1">
        <f t="array" ref="Z576">INDEX(Innings!F:F,MATCH(1,(TRIM(Innings!A:A)=TRIM(A576))*(TRIM(Innings!D:D)=TRIM(E576)),0))</f>
        <v>110</v>
      </c>
      <c r="AA576" cm="1">
        <f t="array" ref="AA576">INDEX(Innings!I:I,MATCH(1,(TRIM(Innings!A:A)=TRIM(A576))*(TRIM(Innings!D:D)=TRIM(E576)),0))</f>
        <v>8.8000000000000007</v>
      </c>
      <c r="AB576" cm="1">
        <f t="array" ref="AB576">INDEX(Innings!J:J,MATCH(1,(TRIM(Innings!A:A)=TRIM(A576))*(TRIM(Innings!D:D)=TRIM(E576)),0))</f>
        <v>47</v>
      </c>
      <c r="AC576" cm="1">
        <f t="array" ref="AC576">INDEX(Innings!N:N,MATCH(1,(TRIM(Innings!A:A)=TRIM(A576))*(TRIM(Innings!D:D)=TRIM(E576)),0))</f>
        <v>0</v>
      </c>
      <c r="AD576" cm="1">
        <f t="array" ref="AD576">INDEX(Innings!S:S,MATCH(1,(TRIM(Innings!A:A)=TRIM(A576))*(TRIM(Innings!D:D)=TRIM(E576)),0))</f>
        <v>30</v>
      </c>
      <c r="AE576" t="str" cm="1">
        <f t="array" ref="AE576">INDEX(Innings!W:W,MATCH(1,(TRIM(Innings!A:A)=TRIM(A576))*(TRIM(Innings!D:D)=TRIM(E576)),0))</f>
        <v>Successful</v>
      </c>
      <c r="AF576">
        <f>IF(UPPER(TRIM(E576))=UPPER(TRIM(W576)),1,0)</f>
        <v>1</v>
      </c>
      <c r="AG576">
        <f t="shared" si="16"/>
        <v>40.094999999999999</v>
      </c>
    </row>
    <row r="577" spans="1:33" x14ac:dyDescent="0.3">
      <c r="A577" t="s">
        <v>352</v>
      </c>
      <c r="B577">
        <v>2</v>
      </c>
      <c r="C577" t="s">
        <v>371</v>
      </c>
      <c r="D577" t="s">
        <v>372</v>
      </c>
      <c r="E577" t="s">
        <v>159</v>
      </c>
      <c r="F577" t="s">
        <v>91</v>
      </c>
      <c r="G577" t="s">
        <v>104</v>
      </c>
      <c r="H577">
        <v>0</v>
      </c>
      <c r="I577">
        <v>0</v>
      </c>
      <c r="J577">
        <v>0</v>
      </c>
      <c r="K577" t="s">
        <v>104</v>
      </c>
      <c r="L577">
        <v>0</v>
      </c>
      <c r="M577">
        <v>4</v>
      </c>
      <c r="N577">
        <v>0</v>
      </c>
      <c r="O577">
        <v>25</v>
      </c>
      <c r="P577">
        <v>3</v>
      </c>
      <c r="Q577">
        <v>6.2</v>
      </c>
      <c r="R577">
        <v>35</v>
      </c>
      <c r="S577">
        <v>0</v>
      </c>
      <c r="T577">
        <v>0</v>
      </c>
      <c r="U577" s="8">
        <v>35</v>
      </c>
      <c r="V577" s="8">
        <f t="shared" si="17"/>
        <v>4</v>
      </c>
      <c r="W577" t="str">
        <f>_xlfn.XLOOKUP(A577, Matches!A:A, Matches!L:L, "NA", 0)</f>
        <v>RCBW</v>
      </c>
      <c r="X577" t="str">
        <f>_xlfn.XLOOKUP(A577, Matches!A:A, Matches!J:J, "NA", 0)</f>
        <v>RCBW</v>
      </c>
      <c r="Y577" t="str">
        <f>_xlfn.XLOOKUP(A577, Matches!A:A, Matches!F:F, "NA", 0)</f>
        <v>M. Chinnaswamy Stadium</v>
      </c>
      <c r="Z577" cm="1">
        <f t="array" ref="Z577">INDEX(Innings!F:F,MATCH(1,(TRIM(Innings!A:A)=TRIM(A577))*(TRIM(Innings!D:D)=TRIM(E577)),0))</f>
        <v>110</v>
      </c>
      <c r="AA577" cm="1">
        <f t="array" ref="AA577">INDEX(Innings!I:I,MATCH(1,(TRIM(Innings!A:A)=TRIM(A577))*(TRIM(Innings!D:D)=TRIM(E577)),0))</f>
        <v>8.8000000000000007</v>
      </c>
      <c r="AB577" cm="1">
        <f t="array" ref="AB577">INDEX(Innings!J:J,MATCH(1,(TRIM(Innings!A:A)=TRIM(A577))*(TRIM(Innings!D:D)=TRIM(E577)),0))</f>
        <v>47</v>
      </c>
      <c r="AC577" cm="1">
        <f t="array" ref="AC577">INDEX(Innings!N:N,MATCH(1,(TRIM(Innings!A:A)=TRIM(A577))*(TRIM(Innings!D:D)=TRIM(E577)),0))</f>
        <v>0</v>
      </c>
      <c r="AD577" cm="1">
        <f t="array" ref="AD577">INDEX(Innings!S:S,MATCH(1,(TRIM(Innings!A:A)=TRIM(A577))*(TRIM(Innings!D:D)=TRIM(E577)),0))</f>
        <v>30</v>
      </c>
      <c r="AE577" t="str" cm="1">
        <f t="array" ref="AE577">INDEX(Innings!W:W,MATCH(1,(TRIM(Innings!A:A)=TRIM(A577))*(TRIM(Innings!D:D)=TRIM(E577)),0))</f>
        <v>Successful</v>
      </c>
      <c r="AF577">
        <f>IF(UPPER(TRIM(E577))=UPPER(TRIM(W577)),1,0)</f>
        <v>1</v>
      </c>
      <c r="AG577">
        <f t="shared" si="16"/>
        <v>38.700000000000003</v>
      </c>
    </row>
    <row r="578" spans="1:33" x14ac:dyDescent="0.3">
      <c r="A578" t="s">
        <v>352</v>
      </c>
      <c r="B578">
        <v>2</v>
      </c>
      <c r="C578" t="s">
        <v>176</v>
      </c>
      <c r="D578" t="s">
        <v>177</v>
      </c>
      <c r="E578" t="s">
        <v>159</v>
      </c>
      <c r="F578" t="s">
        <v>85</v>
      </c>
      <c r="G578" t="s">
        <v>104</v>
      </c>
      <c r="H578">
        <v>0</v>
      </c>
      <c r="I578">
        <v>0</v>
      </c>
      <c r="J578">
        <v>0</v>
      </c>
      <c r="K578" t="s">
        <v>104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0</v>
      </c>
      <c r="U578" s="8">
        <v>10</v>
      </c>
      <c r="V578" s="8">
        <f t="shared" si="17"/>
        <v>1</v>
      </c>
      <c r="W578" t="str">
        <f>_xlfn.XLOOKUP(A578, Matches!A:A, Matches!L:L, "NA", 0)</f>
        <v>RCBW</v>
      </c>
      <c r="X578" t="str">
        <f>_xlfn.XLOOKUP(A578, Matches!A:A, Matches!J:J, "NA", 0)</f>
        <v>RCBW</v>
      </c>
      <c r="Y578" t="str">
        <f>_xlfn.XLOOKUP(A578, Matches!A:A, Matches!F:F, "NA", 0)</f>
        <v>M. Chinnaswamy Stadium</v>
      </c>
      <c r="Z578" cm="1">
        <f t="array" ref="Z578">INDEX(Innings!F:F,MATCH(1,(TRIM(Innings!A:A)=TRIM(A578))*(TRIM(Innings!D:D)=TRIM(E578)),0))</f>
        <v>110</v>
      </c>
      <c r="AA578" cm="1">
        <f t="array" ref="AA578">INDEX(Innings!I:I,MATCH(1,(TRIM(Innings!A:A)=TRIM(A578))*(TRIM(Innings!D:D)=TRIM(E578)),0))</f>
        <v>8.8000000000000007</v>
      </c>
      <c r="AB578" cm="1">
        <f t="array" ref="AB578">INDEX(Innings!J:J,MATCH(1,(TRIM(Innings!A:A)=TRIM(A578))*(TRIM(Innings!D:D)=TRIM(E578)),0))</f>
        <v>47</v>
      </c>
      <c r="AC578" cm="1">
        <f t="array" ref="AC578">INDEX(Innings!N:N,MATCH(1,(TRIM(Innings!A:A)=TRIM(A578))*(TRIM(Innings!D:D)=TRIM(E578)),0))</f>
        <v>0</v>
      </c>
      <c r="AD578" cm="1">
        <f t="array" ref="AD578">INDEX(Innings!S:S,MATCH(1,(TRIM(Innings!A:A)=TRIM(A578))*(TRIM(Innings!D:D)=TRIM(E578)),0))</f>
        <v>30</v>
      </c>
      <c r="AE578" t="str" cm="1">
        <f t="array" ref="AE578">INDEX(Innings!W:W,MATCH(1,(TRIM(Innings!A:A)=TRIM(A578))*(TRIM(Innings!D:D)=TRIM(E578)),0))</f>
        <v>Successful</v>
      </c>
      <c r="AF578">
        <f>IF(UPPER(TRIM(E578))=UPPER(TRIM(W578)),1,0)</f>
        <v>1</v>
      </c>
      <c r="AG578">
        <f t="shared" ref="AG578:AG641" si="18">(0.5*MAX(0,U578) + 0.3*MAX(0,V578) + 0.2*AF578*100)</f>
        <v>25.3</v>
      </c>
    </row>
    <row r="579" spans="1:33" x14ac:dyDescent="0.3">
      <c r="A579" t="s">
        <v>352</v>
      </c>
      <c r="B579">
        <v>2</v>
      </c>
      <c r="C579" t="s">
        <v>186</v>
      </c>
      <c r="D579" t="s">
        <v>187</v>
      </c>
      <c r="E579" t="s">
        <v>159</v>
      </c>
      <c r="F579" t="s">
        <v>101</v>
      </c>
      <c r="G579" t="s">
        <v>104</v>
      </c>
      <c r="H579">
        <v>0</v>
      </c>
      <c r="I579">
        <v>0</v>
      </c>
      <c r="J579">
        <v>0</v>
      </c>
      <c r="K579" t="s">
        <v>104</v>
      </c>
      <c r="L579">
        <v>0</v>
      </c>
      <c r="M579">
        <v>4</v>
      </c>
      <c r="N579">
        <v>0</v>
      </c>
      <c r="O579">
        <v>14</v>
      </c>
      <c r="P579">
        <v>2</v>
      </c>
      <c r="Q579">
        <v>3.5</v>
      </c>
      <c r="R579">
        <v>26</v>
      </c>
      <c r="S579">
        <v>0</v>
      </c>
      <c r="T579">
        <v>0</v>
      </c>
      <c r="U579" s="8">
        <v>26</v>
      </c>
      <c r="V579" s="8">
        <f t="shared" ref="V579:V642" si="19">MIN(10, MAX(0, ROUND(U579/10,0)))</f>
        <v>3</v>
      </c>
      <c r="W579" t="str">
        <f>_xlfn.XLOOKUP(A579, Matches!A:A, Matches!L:L, "NA", 0)</f>
        <v>RCBW</v>
      </c>
      <c r="X579" t="str">
        <f>_xlfn.XLOOKUP(A579, Matches!A:A, Matches!J:J, "NA", 0)</f>
        <v>RCBW</v>
      </c>
      <c r="Y579" t="str">
        <f>_xlfn.XLOOKUP(A579, Matches!A:A, Matches!F:F, "NA", 0)</f>
        <v>M. Chinnaswamy Stadium</v>
      </c>
      <c r="Z579" cm="1">
        <f t="array" ref="Z579">INDEX(Innings!F:F,MATCH(1,(TRIM(Innings!A:A)=TRIM(A579))*(TRIM(Innings!D:D)=TRIM(E579)),0))</f>
        <v>110</v>
      </c>
      <c r="AA579" cm="1">
        <f t="array" ref="AA579">INDEX(Innings!I:I,MATCH(1,(TRIM(Innings!A:A)=TRIM(A579))*(TRIM(Innings!D:D)=TRIM(E579)),0))</f>
        <v>8.8000000000000007</v>
      </c>
      <c r="AB579" cm="1">
        <f t="array" ref="AB579">INDEX(Innings!J:J,MATCH(1,(TRIM(Innings!A:A)=TRIM(A579))*(TRIM(Innings!D:D)=TRIM(E579)),0))</f>
        <v>47</v>
      </c>
      <c r="AC579" cm="1">
        <f t="array" ref="AC579">INDEX(Innings!N:N,MATCH(1,(TRIM(Innings!A:A)=TRIM(A579))*(TRIM(Innings!D:D)=TRIM(E579)),0))</f>
        <v>0</v>
      </c>
      <c r="AD579" cm="1">
        <f t="array" ref="AD579">INDEX(Innings!S:S,MATCH(1,(TRIM(Innings!A:A)=TRIM(A579))*(TRIM(Innings!D:D)=TRIM(E579)),0))</f>
        <v>30</v>
      </c>
      <c r="AE579" t="str" cm="1">
        <f t="array" ref="AE579">INDEX(Innings!W:W,MATCH(1,(TRIM(Innings!A:A)=TRIM(A579))*(TRIM(Innings!D:D)=TRIM(E579)),0))</f>
        <v>Successful</v>
      </c>
      <c r="AF579">
        <f>IF(UPPER(TRIM(E579))=UPPER(TRIM(W579)),1,0)</f>
        <v>1</v>
      </c>
      <c r="AG579">
        <f t="shared" si="18"/>
        <v>33.9</v>
      </c>
    </row>
    <row r="580" spans="1:33" x14ac:dyDescent="0.3">
      <c r="A580" t="s">
        <v>352</v>
      </c>
      <c r="B580">
        <v>2</v>
      </c>
      <c r="C580" t="s">
        <v>99</v>
      </c>
      <c r="D580" t="s">
        <v>124</v>
      </c>
      <c r="E580" t="s">
        <v>159</v>
      </c>
      <c r="F580" t="s">
        <v>91</v>
      </c>
      <c r="G580" t="s">
        <v>104</v>
      </c>
      <c r="H580">
        <v>0</v>
      </c>
      <c r="I580">
        <v>0</v>
      </c>
      <c r="J580">
        <v>0</v>
      </c>
      <c r="K580" t="s">
        <v>104</v>
      </c>
      <c r="L580">
        <v>0</v>
      </c>
      <c r="M580">
        <v>3</v>
      </c>
      <c r="N580">
        <v>0</v>
      </c>
      <c r="O580">
        <v>20</v>
      </c>
      <c r="P580">
        <v>1</v>
      </c>
      <c r="Q580">
        <v>6.7</v>
      </c>
      <c r="R580">
        <v>6</v>
      </c>
      <c r="S580">
        <v>0</v>
      </c>
      <c r="T580">
        <v>0</v>
      </c>
      <c r="U580" s="8">
        <v>6</v>
      </c>
      <c r="V580" s="8">
        <f t="shared" si="19"/>
        <v>1</v>
      </c>
      <c r="W580" t="str">
        <f>_xlfn.XLOOKUP(A580, Matches!A:A, Matches!L:L, "NA", 0)</f>
        <v>RCBW</v>
      </c>
      <c r="X580" t="str">
        <f>_xlfn.XLOOKUP(A580, Matches!A:A, Matches!J:J, "NA", 0)</f>
        <v>RCBW</v>
      </c>
      <c r="Y580" t="str">
        <f>_xlfn.XLOOKUP(A580, Matches!A:A, Matches!F:F, "NA", 0)</f>
        <v>M. Chinnaswamy Stadium</v>
      </c>
      <c r="Z580" cm="1">
        <f t="array" ref="Z580">INDEX(Innings!F:F,MATCH(1,(TRIM(Innings!A:A)=TRIM(A580))*(TRIM(Innings!D:D)=TRIM(E580)),0))</f>
        <v>110</v>
      </c>
      <c r="AA580" cm="1">
        <f t="array" ref="AA580">INDEX(Innings!I:I,MATCH(1,(TRIM(Innings!A:A)=TRIM(A580))*(TRIM(Innings!D:D)=TRIM(E580)),0))</f>
        <v>8.8000000000000007</v>
      </c>
      <c r="AB580" cm="1">
        <f t="array" ref="AB580">INDEX(Innings!J:J,MATCH(1,(TRIM(Innings!A:A)=TRIM(A580))*(TRIM(Innings!D:D)=TRIM(E580)),0))</f>
        <v>47</v>
      </c>
      <c r="AC580" cm="1">
        <f t="array" ref="AC580">INDEX(Innings!N:N,MATCH(1,(TRIM(Innings!A:A)=TRIM(A580))*(TRIM(Innings!D:D)=TRIM(E580)),0))</f>
        <v>0</v>
      </c>
      <c r="AD580" cm="1">
        <f t="array" ref="AD580">INDEX(Innings!S:S,MATCH(1,(TRIM(Innings!A:A)=TRIM(A580))*(TRIM(Innings!D:D)=TRIM(E580)),0))</f>
        <v>30</v>
      </c>
      <c r="AE580" t="str" cm="1">
        <f t="array" ref="AE580">INDEX(Innings!W:W,MATCH(1,(TRIM(Innings!A:A)=TRIM(A580))*(TRIM(Innings!D:D)=TRIM(E580)),0))</f>
        <v>Successful</v>
      </c>
      <c r="AF580">
        <f>IF(UPPER(TRIM(E580))=UPPER(TRIM(W580)),1,0)</f>
        <v>1</v>
      </c>
      <c r="AG580">
        <f t="shared" si="18"/>
        <v>23.3</v>
      </c>
    </row>
    <row r="581" spans="1:33" x14ac:dyDescent="0.3">
      <c r="A581" t="s">
        <v>352</v>
      </c>
      <c r="B581">
        <v>2</v>
      </c>
      <c r="C581" t="s">
        <v>167</v>
      </c>
      <c r="D581" t="s">
        <v>168</v>
      </c>
      <c r="E581" t="s">
        <v>159</v>
      </c>
      <c r="F581" t="s">
        <v>83</v>
      </c>
      <c r="G581" t="s">
        <v>86</v>
      </c>
      <c r="H581">
        <v>6</v>
      </c>
      <c r="I581">
        <v>6</v>
      </c>
      <c r="J581">
        <v>100</v>
      </c>
      <c r="K581" t="s">
        <v>246</v>
      </c>
      <c r="L581">
        <v>6</v>
      </c>
      <c r="M581">
        <v>4</v>
      </c>
      <c r="N581">
        <v>0</v>
      </c>
      <c r="O581">
        <v>12</v>
      </c>
      <c r="P581">
        <v>0</v>
      </c>
      <c r="Q581">
        <v>3</v>
      </c>
      <c r="R581">
        <v>0</v>
      </c>
      <c r="S581">
        <v>0</v>
      </c>
      <c r="T581">
        <v>0</v>
      </c>
      <c r="U581" s="8">
        <v>6</v>
      </c>
      <c r="V581" s="8">
        <f t="shared" si="19"/>
        <v>1</v>
      </c>
      <c r="W581" t="str">
        <f>_xlfn.XLOOKUP(A581, Matches!A:A, Matches!L:L, "NA", 0)</f>
        <v>RCBW</v>
      </c>
      <c r="X581" t="str">
        <f>_xlfn.XLOOKUP(A581, Matches!A:A, Matches!J:J, "NA", 0)</f>
        <v>RCBW</v>
      </c>
      <c r="Y581" t="str">
        <f>_xlfn.XLOOKUP(A581, Matches!A:A, Matches!F:F, "NA", 0)</f>
        <v>M. Chinnaswamy Stadium</v>
      </c>
      <c r="Z581" cm="1">
        <f t="array" ref="Z581">INDEX(Innings!F:F,MATCH(1,(TRIM(Innings!A:A)=TRIM(A581))*(TRIM(Innings!D:D)=TRIM(E581)),0))</f>
        <v>110</v>
      </c>
      <c r="AA581" cm="1">
        <f t="array" ref="AA581">INDEX(Innings!I:I,MATCH(1,(TRIM(Innings!A:A)=TRIM(A581))*(TRIM(Innings!D:D)=TRIM(E581)),0))</f>
        <v>8.8000000000000007</v>
      </c>
      <c r="AB581" cm="1">
        <f t="array" ref="AB581">INDEX(Innings!J:J,MATCH(1,(TRIM(Innings!A:A)=TRIM(A581))*(TRIM(Innings!D:D)=TRIM(E581)),0))</f>
        <v>47</v>
      </c>
      <c r="AC581" cm="1">
        <f t="array" ref="AC581">INDEX(Innings!N:N,MATCH(1,(TRIM(Innings!A:A)=TRIM(A581))*(TRIM(Innings!D:D)=TRIM(E581)),0))</f>
        <v>0</v>
      </c>
      <c r="AD581" cm="1">
        <f t="array" ref="AD581">INDEX(Innings!S:S,MATCH(1,(TRIM(Innings!A:A)=TRIM(A581))*(TRIM(Innings!D:D)=TRIM(E581)),0))</f>
        <v>30</v>
      </c>
      <c r="AE581" t="str" cm="1">
        <f t="array" ref="AE581">INDEX(Innings!W:W,MATCH(1,(TRIM(Innings!A:A)=TRIM(A581))*(TRIM(Innings!D:D)=TRIM(E581)),0))</f>
        <v>Successful</v>
      </c>
      <c r="AF581">
        <f>IF(UPPER(TRIM(E581))=UPPER(TRIM(W581)),1,0)</f>
        <v>1</v>
      </c>
      <c r="AG581">
        <f t="shared" si="18"/>
        <v>23.3</v>
      </c>
    </row>
    <row r="582" spans="1:33" x14ac:dyDescent="0.3">
      <c r="A582" t="s">
        <v>352</v>
      </c>
      <c r="B582">
        <v>2</v>
      </c>
      <c r="C582" t="s">
        <v>259</v>
      </c>
      <c r="D582" t="s">
        <v>257</v>
      </c>
      <c r="E582" t="s">
        <v>159</v>
      </c>
      <c r="F582" t="s">
        <v>91</v>
      </c>
      <c r="G582" t="s">
        <v>104</v>
      </c>
      <c r="H582">
        <v>0</v>
      </c>
      <c r="I582">
        <v>0</v>
      </c>
      <c r="J582">
        <v>0</v>
      </c>
      <c r="K582" t="s">
        <v>104</v>
      </c>
      <c r="L582">
        <v>0</v>
      </c>
      <c r="M582">
        <v>1</v>
      </c>
      <c r="N582">
        <v>0</v>
      </c>
      <c r="O582">
        <v>13</v>
      </c>
      <c r="P582">
        <v>0</v>
      </c>
      <c r="Q582">
        <v>13</v>
      </c>
      <c r="R582">
        <v>0</v>
      </c>
      <c r="S582">
        <v>0</v>
      </c>
      <c r="T582">
        <v>0</v>
      </c>
      <c r="U582" s="8">
        <v>0</v>
      </c>
      <c r="V582" s="8">
        <f t="shared" si="19"/>
        <v>0</v>
      </c>
      <c r="W582" t="str">
        <f>_xlfn.XLOOKUP(A582, Matches!A:A, Matches!L:L, "NA", 0)</f>
        <v>RCBW</v>
      </c>
      <c r="X582" t="str">
        <f>_xlfn.XLOOKUP(A582, Matches!A:A, Matches!J:J, "NA", 0)</f>
        <v>RCBW</v>
      </c>
      <c r="Y582" t="str">
        <f>_xlfn.XLOOKUP(A582, Matches!A:A, Matches!F:F, "NA", 0)</f>
        <v>M. Chinnaswamy Stadium</v>
      </c>
      <c r="Z582" cm="1">
        <f t="array" ref="Z582">INDEX(Innings!F:F,MATCH(1,(TRIM(Innings!A:A)=TRIM(A582))*(TRIM(Innings!D:D)=TRIM(E582)),0))</f>
        <v>110</v>
      </c>
      <c r="AA582" cm="1">
        <f t="array" ref="AA582">INDEX(Innings!I:I,MATCH(1,(TRIM(Innings!A:A)=TRIM(A582))*(TRIM(Innings!D:D)=TRIM(E582)),0))</f>
        <v>8.8000000000000007</v>
      </c>
      <c r="AB582" cm="1">
        <f t="array" ref="AB582">INDEX(Innings!J:J,MATCH(1,(TRIM(Innings!A:A)=TRIM(A582))*(TRIM(Innings!D:D)=TRIM(E582)),0))</f>
        <v>47</v>
      </c>
      <c r="AC582" cm="1">
        <f t="array" ref="AC582">INDEX(Innings!N:N,MATCH(1,(TRIM(Innings!A:A)=TRIM(A582))*(TRIM(Innings!D:D)=TRIM(E582)),0))</f>
        <v>0</v>
      </c>
      <c r="AD582" cm="1">
        <f t="array" ref="AD582">INDEX(Innings!S:S,MATCH(1,(TRIM(Innings!A:A)=TRIM(A582))*(TRIM(Innings!D:D)=TRIM(E582)),0))</f>
        <v>30</v>
      </c>
      <c r="AE582" t="str" cm="1">
        <f t="array" ref="AE582">INDEX(Innings!W:W,MATCH(1,(TRIM(Innings!A:A)=TRIM(A582))*(TRIM(Innings!D:D)=TRIM(E582)),0))</f>
        <v>Successful</v>
      </c>
      <c r="AF582">
        <f>IF(UPPER(TRIM(E582))=UPPER(TRIM(W582)),1,0)</f>
        <v>1</v>
      </c>
      <c r="AG582">
        <f t="shared" si="18"/>
        <v>20</v>
      </c>
    </row>
    <row r="583" spans="1:33" x14ac:dyDescent="0.3">
      <c r="A583" t="s">
        <v>352</v>
      </c>
      <c r="B583">
        <v>2</v>
      </c>
      <c r="C583" t="s">
        <v>180</v>
      </c>
      <c r="D583" t="s">
        <v>181</v>
      </c>
      <c r="E583" t="s">
        <v>159</v>
      </c>
      <c r="F583" t="s">
        <v>91</v>
      </c>
      <c r="G583" t="s">
        <v>104</v>
      </c>
      <c r="H583">
        <v>0</v>
      </c>
      <c r="I583">
        <v>0</v>
      </c>
      <c r="J583">
        <v>0</v>
      </c>
      <c r="K583" t="s">
        <v>104</v>
      </c>
      <c r="L583">
        <v>0</v>
      </c>
      <c r="M583">
        <v>3</v>
      </c>
      <c r="N583">
        <v>0</v>
      </c>
      <c r="O583">
        <v>13</v>
      </c>
      <c r="P583">
        <v>0</v>
      </c>
      <c r="Q583">
        <v>4.3</v>
      </c>
      <c r="R583">
        <v>0</v>
      </c>
      <c r="S583">
        <v>0</v>
      </c>
      <c r="T583">
        <v>0</v>
      </c>
      <c r="U583" s="8">
        <v>0</v>
      </c>
      <c r="V583" s="8">
        <f t="shared" si="19"/>
        <v>0</v>
      </c>
      <c r="W583" t="str">
        <f>_xlfn.XLOOKUP(A583, Matches!A:A, Matches!L:L, "NA", 0)</f>
        <v>RCBW</v>
      </c>
      <c r="X583" t="str">
        <f>_xlfn.XLOOKUP(A583, Matches!A:A, Matches!J:J, "NA", 0)</f>
        <v>RCBW</v>
      </c>
      <c r="Y583" t="str">
        <f>_xlfn.XLOOKUP(A583, Matches!A:A, Matches!F:F, "NA", 0)</f>
        <v>M. Chinnaswamy Stadium</v>
      </c>
      <c r="Z583" cm="1">
        <f t="array" ref="Z583">INDEX(Innings!F:F,MATCH(1,(TRIM(Innings!A:A)=TRIM(A583))*(TRIM(Innings!D:D)=TRIM(E583)),0))</f>
        <v>110</v>
      </c>
      <c r="AA583" cm="1">
        <f t="array" ref="AA583">INDEX(Innings!I:I,MATCH(1,(TRIM(Innings!A:A)=TRIM(A583))*(TRIM(Innings!D:D)=TRIM(E583)),0))</f>
        <v>8.8000000000000007</v>
      </c>
      <c r="AB583" cm="1">
        <f t="array" ref="AB583">INDEX(Innings!J:J,MATCH(1,(TRIM(Innings!A:A)=TRIM(A583))*(TRIM(Innings!D:D)=TRIM(E583)),0))</f>
        <v>47</v>
      </c>
      <c r="AC583" cm="1">
        <f t="array" ref="AC583">INDEX(Innings!N:N,MATCH(1,(TRIM(Innings!A:A)=TRIM(A583))*(TRIM(Innings!D:D)=TRIM(E583)),0))</f>
        <v>0</v>
      </c>
      <c r="AD583" cm="1">
        <f t="array" ref="AD583">INDEX(Innings!S:S,MATCH(1,(TRIM(Innings!A:A)=TRIM(A583))*(TRIM(Innings!D:D)=TRIM(E583)),0))</f>
        <v>30</v>
      </c>
      <c r="AE583" t="str" cm="1">
        <f t="array" ref="AE583">INDEX(Innings!W:W,MATCH(1,(TRIM(Innings!A:A)=TRIM(A583))*(TRIM(Innings!D:D)=TRIM(E583)),0))</f>
        <v>Successful</v>
      </c>
      <c r="AF583">
        <f>IF(UPPER(TRIM(E583))=UPPER(TRIM(W583)),1,0)</f>
        <v>1</v>
      </c>
      <c r="AG583">
        <f t="shared" si="18"/>
        <v>20</v>
      </c>
    </row>
    <row r="584" spans="1:33" x14ac:dyDescent="0.3">
      <c r="A584" t="s">
        <v>352</v>
      </c>
      <c r="B584">
        <v>2</v>
      </c>
      <c r="C584" t="s">
        <v>373</v>
      </c>
      <c r="D584" t="s">
        <v>374</v>
      </c>
      <c r="E584" t="s">
        <v>159</v>
      </c>
      <c r="F584" t="s">
        <v>101</v>
      </c>
      <c r="G584" t="s">
        <v>104</v>
      </c>
      <c r="H584">
        <v>0</v>
      </c>
      <c r="I584">
        <v>0</v>
      </c>
      <c r="J584">
        <v>0</v>
      </c>
      <c r="K584" t="s">
        <v>104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 s="8">
        <v>0</v>
      </c>
      <c r="V584" s="8">
        <f t="shared" si="19"/>
        <v>0</v>
      </c>
      <c r="W584" t="str">
        <f>_xlfn.XLOOKUP(A584, Matches!A:A, Matches!L:L, "NA", 0)</f>
        <v>RCBW</v>
      </c>
      <c r="X584" t="str">
        <f>_xlfn.XLOOKUP(A584, Matches!A:A, Matches!J:J, "NA", 0)</f>
        <v>RCBW</v>
      </c>
      <c r="Y584" t="str">
        <f>_xlfn.XLOOKUP(A584, Matches!A:A, Matches!F:F, "NA", 0)</f>
        <v>M. Chinnaswamy Stadium</v>
      </c>
      <c r="Z584" cm="1">
        <f t="array" ref="Z584">INDEX(Innings!F:F,MATCH(1,(TRIM(Innings!A:A)=TRIM(A584))*(TRIM(Innings!D:D)=TRIM(E584)),0))</f>
        <v>110</v>
      </c>
      <c r="AA584" cm="1">
        <f t="array" ref="AA584">INDEX(Innings!I:I,MATCH(1,(TRIM(Innings!A:A)=TRIM(A584))*(TRIM(Innings!D:D)=TRIM(E584)),0))</f>
        <v>8.8000000000000007</v>
      </c>
      <c r="AB584" cm="1">
        <f t="array" ref="AB584">INDEX(Innings!J:J,MATCH(1,(TRIM(Innings!A:A)=TRIM(A584))*(TRIM(Innings!D:D)=TRIM(E584)),0))</f>
        <v>47</v>
      </c>
      <c r="AC584" cm="1">
        <f t="array" ref="AC584">INDEX(Innings!N:N,MATCH(1,(TRIM(Innings!A:A)=TRIM(A584))*(TRIM(Innings!D:D)=TRIM(E584)),0))</f>
        <v>0</v>
      </c>
      <c r="AD584" cm="1">
        <f t="array" ref="AD584">INDEX(Innings!S:S,MATCH(1,(TRIM(Innings!A:A)=TRIM(A584))*(TRIM(Innings!D:D)=TRIM(E584)),0))</f>
        <v>30</v>
      </c>
      <c r="AE584" t="str" cm="1">
        <f t="array" ref="AE584">INDEX(Innings!W:W,MATCH(1,(TRIM(Innings!A:A)=TRIM(A584))*(TRIM(Innings!D:D)=TRIM(E584)),0))</f>
        <v>Successful</v>
      </c>
      <c r="AF584">
        <f>IF(UPPER(TRIM(E584))=UPPER(TRIM(W584)),1,0)</f>
        <v>1</v>
      </c>
      <c r="AG584">
        <f t="shared" si="18"/>
        <v>20</v>
      </c>
    </row>
    <row r="585" spans="1:33" x14ac:dyDescent="0.3">
      <c r="A585" t="s">
        <v>352</v>
      </c>
      <c r="B585">
        <v>2</v>
      </c>
      <c r="C585" t="s">
        <v>97</v>
      </c>
      <c r="D585" t="s">
        <v>122</v>
      </c>
      <c r="E585" t="s">
        <v>258</v>
      </c>
      <c r="F585" t="s">
        <v>109</v>
      </c>
      <c r="G585" t="s">
        <v>134</v>
      </c>
      <c r="H585">
        <v>31</v>
      </c>
      <c r="I585">
        <v>25</v>
      </c>
      <c r="J585">
        <v>124</v>
      </c>
      <c r="K585" t="s">
        <v>96</v>
      </c>
      <c r="L585">
        <v>38.44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 s="8">
        <v>38.44</v>
      </c>
      <c r="V585" s="8">
        <f t="shared" si="19"/>
        <v>4</v>
      </c>
      <c r="W585" t="str">
        <f>_xlfn.XLOOKUP(A585, Matches!A:A, Matches!L:L, "NA", 0)</f>
        <v>RCBW</v>
      </c>
      <c r="X585" t="str">
        <f>_xlfn.XLOOKUP(A585, Matches!A:A, Matches!J:J, "NA", 0)</f>
        <v>RCBW</v>
      </c>
      <c r="Y585" t="str">
        <f>_xlfn.XLOOKUP(A585, Matches!A:A, Matches!F:F, "NA", 0)</f>
        <v>M. Chinnaswamy Stadium</v>
      </c>
      <c r="Z585" cm="1">
        <f t="array" ref="Z585">INDEX(Innings!F:F,MATCH(1,(TRIM(Innings!A:A)=TRIM(A585))*(TRIM(Innings!D:D)=TRIM(E585)),0))</f>
        <v>107</v>
      </c>
      <c r="AA585" cm="1">
        <f t="array" ref="AA585">INDEX(Innings!I:I,MATCH(1,(TRIM(Innings!A:A)=TRIM(A585))*(TRIM(Innings!D:D)=TRIM(E585)),0))</f>
        <v>5.35</v>
      </c>
      <c r="AB585" cm="1">
        <f t="array" ref="AB585">INDEX(Innings!J:J,MATCH(1,(TRIM(Innings!A:A)=TRIM(A585))*(TRIM(Innings!D:D)=TRIM(E585)),0))</f>
        <v>29</v>
      </c>
      <c r="AC585" cm="1">
        <f t="array" ref="AC585">INDEX(Innings!N:N,MATCH(1,(TRIM(Innings!A:A)=TRIM(A585))*(TRIM(Innings!D:D)=TRIM(E585)),0))</f>
        <v>34</v>
      </c>
      <c r="AD585" cm="1">
        <f t="array" ref="AD585">INDEX(Innings!S:S,MATCH(1,(TRIM(Innings!A:A)=TRIM(A585))*(TRIM(Innings!D:D)=TRIM(E585)),0))</f>
        <v>61</v>
      </c>
      <c r="AE585" t="str" cm="1">
        <f t="array" ref="AE585">INDEX(Innings!W:W,MATCH(1,(TRIM(Innings!A:A)=TRIM(A585))*(TRIM(Innings!D:D)=TRIM(E585)),0))</f>
        <v>NA</v>
      </c>
      <c r="AF585">
        <f>IF(UPPER(TRIM(E585))=UPPER(TRIM(W585)),1,0)</f>
        <v>0</v>
      </c>
      <c r="AG585">
        <f t="shared" si="18"/>
        <v>20.419999999999998</v>
      </c>
    </row>
    <row r="586" spans="1:33" x14ac:dyDescent="0.3">
      <c r="A586" t="s">
        <v>352</v>
      </c>
      <c r="B586">
        <v>2</v>
      </c>
      <c r="C586" t="s">
        <v>89</v>
      </c>
      <c r="D586" t="s">
        <v>116</v>
      </c>
      <c r="E586" t="s">
        <v>258</v>
      </c>
      <c r="F586" t="s">
        <v>83</v>
      </c>
      <c r="G586" t="s">
        <v>92</v>
      </c>
      <c r="H586">
        <v>22</v>
      </c>
      <c r="I586">
        <v>31</v>
      </c>
      <c r="J586">
        <v>70.97</v>
      </c>
      <c r="K586" t="s">
        <v>256</v>
      </c>
      <c r="L586">
        <v>15.61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</v>
      </c>
      <c r="U586" s="8">
        <v>25.61</v>
      </c>
      <c r="V586" s="8">
        <f t="shared" si="19"/>
        <v>3</v>
      </c>
      <c r="W586" t="str">
        <f>_xlfn.XLOOKUP(A586, Matches!A:A, Matches!L:L, "NA", 0)</f>
        <v>RCBW</v>
      </c>
      <c r="X586" t="str">
        <f>_xlfn.XLOOKUP(A586, Matches!A:A, Matches!J:J, "NA", 0)</f>
        <v>RCBW</v>
      </c>
      <c r="Y586" t="str">
        <f>_xlfn.XLOOKUP(A586, Matches!A:A, Matches!F:F, "NA", 0)</f>
        <v>M. Chinnaswamy Stadium</v>
      </c>
      <c r="Z586" cm="1">
        <f t="array" ref="Z586">INDEX(Innings!F:F,MATCH(1,(TRIM(Innings!A:A)=TRIM(A586))*(TRIM(Innings!D:D)=TRIM(E586)),0))</f>
        <v>107</v>
      </c>
      <c r="AA586" cm="1">
        <f t="array" ref="AA586">INDEX(Innings!I:I,MATCH(1,(TRIM(Innings!A:A)=TRIM(A586))*(TRIM(Innings!D:D)=TRIM(E586)),0))</f>
        <v>5.35</v>
      </c>
      <c r="AB586" cm="1">
        <f t="array" ref="AB586">INDEX(Innings!J:J,MATCH(1,(TRIM(Innings!A:A)=TRIM(A586))*(TRIM(Innings!D:D)=TRIM(E586)),0))</f>
        <v>29</v>
      </c>
      <c r="AC586" cm="1">
        <f t="array" ref="AC586">INDEX(Innings!N:N,MATCH(1,(TRIM(Innings!A:A)=TRIM(A586))*(TRIM(Innings!D:D)=TRIM(E586)),0))</f>
        <v>34</v>
      </c>
      <c r="AD586" cm="1">
        <f t="array" ref="AD586">INDEX(Innings!S:S,MATCH(1,(TRIM(Innings!A:A)=TRIM(A586))*(TRIM(Innings!D:D)=TRIM(E586)),0))</f>
        <v>61</v>
      </c>
      <c r="AE586" t="str" cm="1">
        <f t="array" ref="AE586">INDEX(Innings!W:W,MATCH(1,(TRIM(Innings!A:A)=TRIM(A586))*(TRIM(Innings!D:D)=TRIM(E586)),0))</f>
        <v>NA</v>
      </c>
      <c r="AF586">
        <f>IF(UPPER(TRIM(E586))=UPPER(TRIM(W586)),1,0)</f>
        <v>0</v>
      </c>
      <c r="AG586">
        <f t="shared" si="18"/>
        <v>13.705</v>
      </c>
    </row>
    <row r="587" spans="1:33" x14ac:dyDescent="0.3">
      <c r="A587" t="s">
        <v>352</v>
      </c>
      <c r="B587">
        <v>2</v>
      </c>
      <c r="C587" t="s">
        <v>105</v>
      </c>
      <c r="D587" t="s">
        <v>128</v>
      </c>
      <c r="E587" t="s">
        <v>258</v>
      </c>
      <c r="F587" t="s">
        <v>101</v>
      </c>
      <c r="G587" t="s">
        <v>135</v>
      </c>
      <c r="H587">
        <v>4</v>
      </c>
      <c r="I587">
        <v>2</v>
      </c>
      <c r="J587">
        <v>200</v>
      </c>
      <c r="K587" t="s">
        <v>96</v>
      </c>
      <c r="L587">
        <v>8</v>
      </c>
      <c r="M587">
        <v>2</v>
      </c>
      <c r="N587">
        <v>0</v>
      </c>
      <c r="O587">
        <v>20</v>
      </c>
      <c r="P587">
        <v>1</v>
      </c>
      <c r="Q587">
        <v>10</v>
      </c>
      <c r="R587">
        <v>0</v>
      </c>
      <c r="S587">
        <v>0</v>
      </c>
      <c r="T587">
        <v>0</v>
      </c>
      <c r="U587" s="8">
        <v>8</v>
      </c>
      <c r="V587" s="8">
        <f t="shared" si="19"/>
        <v>1</v>
      </c>
      <c r="W587" t="str">
        <f>_xlfn.XLOOKUP(A587, Matches!A:A, Matches!L:L, "NA", 0)</f>
        <v>RCBW</v>
      </c>
      <c r="X587" t="str">
        <f>_xlfn.XLOOKUP(A587, Matches!A:A, Matches!J:J, "NA", 0)</f>
        <v>RCBW</v>
      </c>
      <c r="Y587" t="str">
        <f>_xlfn.XLOOKUP(A587, Matches!A:A, Matches!F:F, "NA", 0)</f>
        <v>M. Chinnaswamy Stadium</v>
      </c>
      <c r="Z587" cm="1">
        <f t="array" ref="Z587">INDEX(Innings!F:F,MATCH(1,(TRIM(Innings!A:A)=TRIM(A587))*(TRIM(Innings!D:D)=TRIM(E587)),0))</f>
        <v>107</v>
      </c>
      <c r="AA587" cm="1">
        <f t="array" ref="AA587">INDEX(Innings!I:I,MATCH(1,(TRIM(Innings!A:A)=TRIM(A587))*(TRIM(Innings!D:D)=TRIM(E587)),0))</f>
        <v>5.35</v>
      </c>
      <c r="AB587" cm="1">
        <f t="array" ref="AB587">INDEX(Innings!J:J,MATCH(1,(TRIM(Innings!A:A)=TRIM(A587))*(TRIM(Innings!D:D)=TRIM(E587)),0))</f>
        <v>29</v>
      </c>
      <c r="AC587" cm="1">
        <f t="array" ref="AC587">INDEX(Innings!N:N,MATCH(1,(TRIM(Innings!A:A)=TRIM(A587))*(TRIM(Innings!D:D)=TRIM(E587)),0))</f>
        <v>34</v>
      </c>
      <c r="AD587" cm="1">
        <f t="array" ref="AD587">INDEX(Innings!S:S,MATCH(1,(TRIM(Innings!A:A)=TRIM(A587))*(TRIM(Innings!D:D)=TRIM(E587)),0))</f>
        <v>61</v>
      </c>
      <c r="AE587" t="str" cm="1">
        <f t="array" ref="AE587">INDEX(Innings!W:W,MATCH(1,(TRIM(Innings!A:A)=TRIM(A587))*(TRIM(Innings!D:D)=TRIM(E587)),0))</f>
        <v>NA</v>
      </c>
      <c r="AF587">
        <f>IF(UPPER(TRIM(E587))=UPPER(TRIM(W587)),1,0)</f>
        <v>0</v>
      </c>
      <c r="AG587">
        <f t="shared" si="18"/>
        <v>4.3</v>
      </c>
    </row>
    <row r="588" spans="1:33" x14ac:dyDescent="0.3">
      <c r="A588" t="s">
        <v>352</v>
      </c>
      <c r="B588">
        <v>2</v>
      </c>
      <c r="C588" t="s">
        <v>93</v>
      </c>
      <c r="D588" t="s">
        <v>118</v>
      </c>
      <c r="E588" t="s">
        <v>258</v>
      </c>
      <c r="F588" t="s">
        <v>83</v>
      </c>
      <c r="G588" t="s">
        <v>134</v>
      </c>
      <c r="H588">
        <v>7</v>
      </c>
      <c r="I588">
        <v>12</v>
      </c>
      <c r="J588">
        <v>58.33</v>
      </c>
      <c r="K588" t="s">
        <v>246</v>
      </c>
      <c r="L588">
        <v>4.08</v>
      </c>
      <c r="M588">
        <v>3</v>
      </c>
      <c r="N588">
        <v>0</v>
      </c>
      <c r="O588">
        <v>15</v>
      </c>
      <c r="P588">
        <v>1</v>
      </c>
      <c r="Q588">
        <v>5</v>
      </c>
      <c r="R588">
        <v>5</v>
      </c>
      <c r="S588">
        <v>0</v>
      </c>
      <c r="T588">
        <v>0</v>
      </c>
      <c r="U588" s="8">
        <v>9.08</v>
      </c>
      <c r="V588" s="8">
        <f t="shared" si="19"/>
        <v>1</v>
      </c>
      <c r="W588" t="str">
        <f>_xlfn.XLOOKUP(A588, Matches!A:A, Matches!L:L, "NA", 0)</f>
        <v>RCBW</v>
      </c>
      <c r="X588" t="str">
        <f>_xlfn.XLOOKUP(A588, Matches!A:A, Matches!J:J, "NA", 0)</f>
        <v>RCBW</v>
      </c>
      <c r="Y588" t="str">
        <f>_xlfn.XLOOKUP(A588, Matches!A:A, Matches!F:F, "NA", 0)</f>
        <v>M. Chinnaswamy Stadium</v>
      </c>
      <c r="Z588" cm="1">
        <f t="array" ref="Z588">INDEX(Innings!F:F,MATCH(1,(TRIM(Innings!A:A)=TRIM(A588))*(TRIM(Innings!D:D)=TRIM(E588)),0))</f>
        <v>107</v>
      </c>
      <c r="AA588" cm="1">
        <f t="array" ref="AA588">INDEX(Innings!I:I,MATCH(1,(TRIM(Innings!A:A)=TRIM(A588))*(TRIM(Innings!D:D)=TRIM(E588)),0))</f>
        <v>5.35</v>
      </c>
      <c r="AB588" cm="1">
        <f t="array" ref="AB588">INDEX(Innings!J:J,MATCH(1,(TRIM(Innings!A:A)=TRIM(A588))*(TRIM(Innings!D:D)=TRIM(E588)),0))</f>
        <v>29</v>
      </c>
      <c r="AC588" cm="1">
        <f t="array" ref="AC588">INDEX(Innings!N:N,MATCH(1,(TRIM(Innings!A:A)=TRIM(A588))*(TRIM(Innings!D:D)=TRIM(E588)),0))</f>
        <v>34</v>
      </c>
      <c r="AD588" cm="1">
        <f t="array" ref="AD588">INDEX(Innings!S:S,MATCH(1,(TRIM(Innings!A:A)=TRIM(A588))*(TRIM(Innings!D:D)=TRIM(E588)),0))</f>
        <v>61</v>
      </c>
      <c r="AE588" t="str" cm="1">
        <f t="array" ref="AE588">INDEX(Innings!W:W,MATCH(1,(TRIM(Innings!A:A)=TRIM(A588))*(TRIM(Innings!D:D)=TRIM(E588)),0))</f>
        <v>NA</v>
      </c>
      <c r="AF588">
        <f>IF(UPPER(TRIM(E588))=UPPER(TRIM(W588)),1,0)</f>
        <v>0</v>
      </c>
      <c r="AG588">
        <f t="shared" si="18"/>
        <v>4.84</v>
      </c>
    </row>
    <row r="589" spans="1:33" x14ac:dyDescent="0.3">
      <c r="A589" t="s">
        <v>352</v>
      </c>
      <c r="B589">
        <v>2</v>
      </c>
      <c r="C589" t="s">
        <v>81</v>
      </c>
      <c r="D589" t="s">
        <v>114</v>
      </c>
      <c r="E589" t="s">
        <v>258</v>
      </c>
      <c r="F589" t="s">
        <v>85</v>
      </c>
      <c r="G589" t="s">
        <v>86</v>
      </c>
      <c r="H589">
        <v>8</v>
      </c>
      <c r="I589">
        <v>7</v>
      </c>
      <c r="J589">
        <v>114.29</v>
      </c>
      <c r="K589" t="s">
        <v>245</v>
      </c>
      <c r="L589">
        <v>9.14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 s="8">
        <v>9.14</v>
      </c>
      <c r="V589" s="8">
        <f t="shared" si="19"/>
        <v>1</v>
      </c>
      <c r="W589" t="str">
        <f>_xlfn.XLOOKUP(A589, Matches!A:A, Matches!L:L, "NA", 0)</f>
        <v>RCBW</v>
      </c>
      <c r="X589" t="str">
        <f>_xlfn.XLOOKUP(A589, Matches!A:A, Matches!J:J, "NA", 0)</f>
        <v>RCBW</v>
      </c>
      <c r="Y589" t="str">
        <f>_xlfn.XLOOKUP(A589, Matches!A:A, Matches!F:F, "NA", 0)</f>
        <v>M. Chinnaswamy Stadium</v>
      </c>
      <c r="Z589" cm="1">
        <f t="array" ref="Z589">INDEX(Innings!F:F,MATCH(1,(TRIM(Innings!A:A)=TRIM(A589))*(TRIM(Innings!D:D)=TRIM(E589)),0))</f>
        <v>107</v>
      </c>
      <c r="AA589" cm="1">
        <f t="array" ref="AA589">INDEX(Innings!I:I,MATCH(1,(TRIM(Innings!A:A)=TRIM(A589))*(TRIM(Innings!D:D)=TRIM(E589)),0))</f>
        <v>5.35</v>
      </c>
      <c r="AB589" cm="1">
        <f t="array" ref="AB589">INDEX(Innings!J:J,MATCH(1,(TRIM(Innings!A:A)=TRIM(A589))*(TRIM(Innings!D:D)=TRIM(E589)),0))</f>
        <v>29</v>
      </c>
      <c r="AC589" cm="1">
        <f t="array" ref="AC589">INDEX(Innings!N:N,MATCH(1,(TRIM(Innings!A:A)=TRIM(A589))*(TRIM(Innings!D:D)=TRIM(E589)),0))</f>
        <v>34</v>
      </c>
      <c r="AD589" cm="1">
        <f t="array" ref="AD589">INDEX(Innings!S:S,MATCH(1,(TRIM(Innings!A:A)=TRIM(A589))*(TRIM(Innings!D:D)=TRIM(E589)),0))</f>
        <v>61</v>
      </c>
      <c r="AE589" t="str" cm="1">
        <f t="array" ref="AE589">INDEX(Innings!W:W,MATCH(1,(TRIM(Innings!A:A)=TRIM(A589))*(TRIM(Innings!D:D)=TRIM(E589)),0))</f>
        <v>NA</v>
      </c>
      <c r="AF589">
        <f>IF(UPPER(TRIM(E589))=UPPER(TRIM(W589)),1,0)</f>
        <v>0</v>
      </c>
      <c r="AG589">
        <f t="shared" si="18"/>
        <v>4.87</v>
      </c>
    </row>
    <row r="590" spans="1:33" x14ac:dyDescent="0.3">
      <c r="A590" t="s">
        <v>352</v>
      </c>
      <c r="B590">
        <v>2</v>
      </c>
      <c r="C590" t="s">
        <v>102</v>
      </c>
      <c r="D590" t="s">
        <v>126</v>
      </c>
      <c r="E590" t="s">
        <v>258</v>
      </c>
      <c r="F590" t="s">
        <v>101</v>
      </c>
      <c r="G590" t="s">
        <v>135</v>
      </c>
      <c r="H590">
        <v>12</v>
      </c>
      <c r="I590">
        <v>10</v>
      </c>
      <c r="J590">
        <v>120</v>
      </c>
      <c r="K590" t="s">
        <v>248</v>
      </c>
      <c r="L590">
        <v>14.4</v>
      </c>
      <c r="M590">
        <v>1.3</v>
      </c>
      <c r="N590">
        <v>0</v>
      </c>
      <c r="O590">
        <v>18</v>
      </c>
      <c r="P590">
        <v>0</v>
      </c>
      <c r="Q590">
        <v>12</v>
      </c>
      <c r="R590">
        <v>0</v>
      </c>
      <c r="S590">
        <v>0</v>
      </c>
      <c r="T590">
        <v>0</v>
      </c>
      <c r="U590" s="8">
        <v>14.4</v>
      </c>
      <c r="V590" s="8">
        <f t="shared" si="19"/>
        <v>1</v>
      </c>
      <c r="W590" t="str">
        <f>_xlfn.XLOOKUP(A590, Matches!A:A, Matches!L:L, "NA", 0)</f>
        <v>RCBW</v>
      </c>
      <c r="X590" t="str">
        <f>_xlfn.XLOOKUP(A590, Matches!A:A, Matches!J:J, "NA", 0)</f>
        <v>RCBW</v>
      </c>
      <c r="Y590" t="str">
        <f>_xlfn.XLOOKUP(A590, Matches!A:A, Matches!F:F, "NA", 0)</f>
        <v>M. Chinnaswamy Stadium</v>
      </c>
      <c r="Z590" cm="1">
        <f t="array" ref="Z590">INDEX(Innings!F:F,MATCH(1,(TRIM(Innings!A:A)=TRIM(A590))*(TRIM(Innings!D:D)=TRIM(E590)),0))</f>
        <v>107</v>
      </c>
      <c r="AA590" cm="1">
        <f t="array" ref="AA590">INDEX(Innings!I:I,MATCH(1,(TRIM(Innings!A:A)=TRIM(A590))*(TRIM(Innings!D:D)=TRIM(E590)),0))</f>
        <v>5.35</v>
      </c>
      <c r="AB590" cm="1">
        <f t="array" ref="AB590">INDEX(Innings!J:J,MATCH(1,(TRIM(Innings!A:A)=TRIM(A590))*(TRIM(Innings!D:D)=TRIM(E590)),0))</f>
        <v>29</v>
      </c>
      <c r="AC590" cm="1">
        <f t="array" ref="AC590">INDEX(Innings!N:N,MATCH(1,(TRIM(Innings!A:A)=TRIM(A590))*(TRIM(Innings!D:D)=TRIM(E590)),0))</f>
        <v>34</v>
      </c>
      <c r="AD590" cm="1">
        <f t="array" ref="AD590">INDEX(Innings!S:S,MATCH(1,(TRIM(Innings!A:A)=TRIM(A590))*(TRIM(Innings!D:D)=TRIM(E590)),0))</f>
        <v>61</v>
      </c>
      <c r="AE590" t="str" cm="1">
        <f t="array" ref="AE590">INDEX(Innings!W:W,MATCH(1,(TRIM(Innings!A:A)=TRIM(A590))*(TRIM(Innings!D:D)=TRIM(E590)),0))</f>
        <v>NA</v>
      </c>
      <c r="AF590">
        <f>IF(UPPER(TRIM(E590))=UPPER(TRIM(W590)),1,0)</f>
        <v>0</v>
      </c>
      <c r="AG590">
        <f t="shared" si="18"/>
        <v>7.5</v>
      </c>
    </row>
    <row r="591" spans="1:33" x14ac:dyDescent="0.3">
      <c r="A591" t="s">
        <v>352</v>
      </c>
      <c r="B591">
        <v>2</v>
      </c>
      <c r="C591" t="s">
        <v>408</v>
      </c>
      <c r="D591" t="s">
        <v>382</v>
      </c>
      <c r="E591" t="s">
        <v>258</v>
      </c>
      <c r="F591" t="s">
        <v>109</v>
      </c>
      <c r="G591" t="s">
        <v>92</v>
      </c>
      <c r="H591">
        <v>9</v>
      </c>
      <c r="I591">
        <v>15</v>
      </c>
      <c r="J591">
        <v>60</v>
      </c>
      <c r="K591" t="s">
        <v>246</v>
      </c>
      <c r="L591">
        <v>5.4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 s="8">
        <v>5.4</v>
      </c>
      <c r="V591" s="8">
        <f t="shared" si="19"/>
        <v>1</v>
      </c>
      <c r="W591" t="str">
        <f>_xlfn.XLOOKUP(A591, Matches!A:A, Matches!L:L, "NA", 0)</f>
        <v>RCBW</v>
      </c>
      <c r="X591" t="str">
        <f>_xlfn.XLOOKUP(A591, Matches!A:A, Matches!J:J, "NA", 0)</f>
        <v>RCBW</v>
      </c>
      <c r="Y591" t="str">
        <f>_xlfn.XLOOKUP(A591, Matches!A:A, Matches!F:F, "NA", 0)</f>
        <v>M. Chinnaswamy Stadium</v>
      </c>
      <c r="Z591" cm="1">
        <f t="array" ref="Z591">INDEX(Innings!F:F,MATCH(1,(TRIM(Innings!A:A)=TRIM(A591))*(TRIM(Innings!D:D)=TRIM(E591)),0))</f>
        <v>107</v>
      </c>
      <c r="AA591" cm="1">
        <f t="array" ref="AA591">INDEX(Innings!I:I,MATCH(1,(TRIM(Innings!A:A)=TRIM(A591))*(TRIM(Innings!D:D)=TRIM(E591)),0))</f>
        <v>5.35</v>
      </c>
      <c r="AB591" cm="1">
        <f t="array" ref="AB591">INDEX(Innings!J:J,MATCH(1,(TRIM(Innings!A:A)=TRIM(A591))*(TRIM(Innings!D:D)=TRIM(E591)),0))</f>
        <v>29</v>
      </c>
      <c r="AC591" cm="1">
        <f t="array" ref="AC591">INDEX(Innings!N:N,MATCH(1,(TRIM(Innings!A:A)=TRIM(A591))*(TRIM(Innings!D:D)=TRIM(E591)),0))</f>
        <v>34</v>
      </c>
      <c r="AD591" cm="1">
        <f t="array" ref="AD591">INDEX(Innings!S:S,MATCH(1,(TRIM(Innings!A:A)=TRIM(A591))*(TRIM(Innings!D:D)=TRIM(E591)),0))</f>
        <v>61</v>
      </c>
      <c r="AE591" t="str" cm="1">
        <f t="array" ref="AE591">INDEX(Innings!W:W,MATCH(1,(TRIM(Innings!A:A)=TRIM(A591))*(TRIM(Innings!D:D)=TRIM(E591)),0))</f>
        <v>NA</v>
      </c>
      <c r="AF591">
        <f>IF(UPPER(TRIM(E591))=UPPER(TRIM(W591)),1,0)</f>
        <v>0</v>
      </c>
      <c r="AG591">
        <f t="shared" si="18"/>
        <v>3</v>
      </c>
    </row>
    <row r="592" spans="1:33" x14ac:dyDescent="0.3">
      <c r="A592" t="s">
        <v>352</v>
      </c>
      <c r="B592">
        <v>2</v>
      </c>
      <c r="C592" t="s">
        <v>383</v>
      </c>
      <c r="D592" t="s">
        <v>384</v>
      </c>
      <c r="E592" t="s">
        <v>258</v>
      </c>
      <c r="F592" t="s">
        <v>109</v>
      </c>
      <c r="G592" t="s">
        <v>134</v>
      </c>
      <c r="H592">
        <v>5</v>
      </c>
      <c r="I592">
        <v>12</v>
      </c>
      <c r="J592">
        <v>41.67</v>
      </c>
      <c r="K592" t="s">
        <v>248</v>
      </c>
      <c r="L592">
        <v>2.08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 s="8">
        <v>2.08</v>
      </c>
      <c r="V592" s="8">
        <f t="shared" si="19"/>
        <v>0</v>
      </c>
      <c r="W592" t="str">
        <f>_xlfn.XLOOKUP(A592, Matches!A:A, Matches!L:L, "NA", 0)</f>
        <v>RCBW</v>
      </c>
      <c r="X592" t="str">
        <f>_xlfn.XLOOKUP(A592, Matches!A:A, Matches!J:J, "NA", 0)</f>
        <v>RCBW</v>
      </c>
      <c r="Y592" t="str">
        <f>_xlfn.XLOOKUP(A592, Matches!A:A, Matches!F:F, "NA", 0)</f>
        <v>M. Chinnaswamy Stadium</v>
      </c>
      <c r="Z592" cm="1">
        <f t="array" ref="Z592">INDEX(Innings!F:F,MATCH(1,(TRIM(Innings!A:A)=TRIM(A592))*(TRIM(Innings!D:D)=TRIM(E592)),0))</f>
        <v>107</v>
      </c>
      <c r="AA592" cm="1">
        <f t="array" ref="AA592">INDEX(Innings!I:I,MATCH(1,(TRIM(Innings!A:A)=TRIM(A592))*(TRIM(Innings!D:D)=TRIM(E592)),0))</f>
        <v>5.35</v>
      </c>
      <c r="AB592" cm="1">
        <f t="array" ref="AB592">INDEX(Innings!J:J,MATCH(1,(TRIM(Innings!A:A)=TRIM(A592))*(TRIM(Innings!D:D)=TRIM(E592)),0))</f>
        <v>29</v>
      </c>
      <c r="AC592" cm="1">
        <f t="array" ref="AC592">INDEX(Innings!N:N,MATCH(1,(TRIM(Innings!A:A)=TRIM(A592))*(TRIM(Innings!D:D)=TRIM(E592)),0))</f>
        <v>34</v>
      </c>
      <c r="AD592" cm="1">
        <f t="array" ref="AD592">INDEX(Innings!S:S,MATCH(1,(TRIM(Innings!A:A)=TRIM(A592))*(TRIM(Innings!D:D)=TRIM(E592)),0))</f>
        <v>61</v>
      </c>
      <c r="AE592" t="str" cm="1">
        <f t="array" ref="AE592">INDEX(Innings!W:W,MATCH(1,(TRIM(Innings!A:A)=TRIM(A592))*(TRIM(Innings!D:D)=TRIM(E592)),0))</f>
        <v>NA</v>
      </c>
      <c r="AF592">
        <f>IF(UPPER(TRIM(E592))=UPPER(TRIM(W592)),1,0)</f>
        <v>0</v>
      </c>
      <c r="AG592">
        <f t="shared" si="18"/>
        <v>1.04</v>
      </c>
    </row>
    <row r="593" spans="1:33" x14ac:dyDescent="0.3">
      <c r="A593" t="s">
        <v>352</v>
      </c>
      <c r="B593">
        <v>2</v>
      </c>
      <c r="C593" t="s">
        <v>385</v>
      </c>
      <c r="D593" t="s">
        <v>386</v>
      </c>
      <c r="E593" t="s">
        <v>258</v>
      </c>
      <c r="F593" t="s">
        <v>169</v>
      </c>
      <c r="G593" t="s">
        <v>135</v>
      </c>
      <c r="H593">
        <v>3</v>
      </c>
      <c r="I593">
        <v>6</v>
      </c>
      <c r="J593">
        <v>50</v>
      </c>
      <c r="K593" t="s">
        <v>245</v>
      </c>
      <c r="L593">
        <v>1.5</v>
      </c>
      <c r="M593">
        <v>2</v>
      </c>
      <c r="N593">
        <v>0</v>
      </c>
      <c r="O593">
        <v>17</v>
      </c>
      <c r="P593">
        <v>0</v>
      </c>
      <c r="Q593">
        <v>8.5</v>
      </c>
      <c r="R593">
        <v>0</v>
      </c>
      <c r="S593">
        <v>0</v>
      </c>
      <c r="T593">
        <v>0</v>
      </c>
      <c r="U593" s="8">
        <v>1.5</v>
      </c>
      <c r="V593" s="8">
        <f t="shared" si="19"/>
        <v>0</v>
      </c>
      <c r="W593" t="str">
        <f>_xlfn.XLOOKUP(A593, Matches!A:A, Matches!L:L, "NA", 0)</f>
        <v>RCBW</v>
      </c>
      <c r="X593" t="str">
        <f>_xlfn.XLOOKUP(A593, Matches!A:A, Matches!J:J, "NA", 0)</f>
        <v>RCBW</v>
      </c>
      <c r="Y593" t="str">
        <f>_xlfn.XLOOKUP(A593, Matches!A:A, Matches!F:F, "NA", 0)</f>
        <v>M. Chinnaswamy Stadium</v>
      </c>
      <c r="Z593" cm="1">
        <f t="array" ref="Z593">INDEX(Innings!F:F,MATCH(1,(TRIM(Innings!A:A)=TRIM(A593))*(TRIM(Innings!D:D)=TRIM(E593)),0))</f>
        <v>107</v>
      </c>
      <c r="AA593" cm="1">
        <f t="array" ref="AA593">INDEX(Innings!I:I,MATCH(1,(TRIM(Innings!A:A)=TRIM(A593))*(TRIM(Innings!D:D)=TRIM(E593)),0))</f>
        <v>5.35</v>
      </c>
      <c r="AB593" cm="1">
        <f t="array" ref="AB593">INDEX(Innings!J:J,MATCH(1,(TRIM(Innings!A:A)=TRIM(A593))*(TRIM(Innings!D:D)=TRIM(E593)),0))</f>
        <v>29</v>
      </c>
      <c r="AC593" cm="1">
        <f t="array" ref="AC593">INDEX(Innings!N:N,MATCH(1,(TRIM(Innings!A:A)=TRIM(A593))*(TRIM(Innings!D:D)=TRIM(E593)),0))</f>
        <v>34</v>
      </c>
      <c r="AD593" cm="1">
        <f t="array" ref="AD593">INDEX(Innings!S:S,MATCH(1,(TRIM(Innings!A:A)=TRIM(A593))*(TRIM(Innings!D:D)=TRIM(E593)),0))</f>
        <v>61</v>
      </c>
      <c r="AE593" t="str" cm="1">
        <f t="array" ref="AE593">INDEX(Innings!W:W,MATCH(1,(TRIM(Innings!A:A)=TRIM(A593))*(TRIM(Innings!D:D)=TRIM(E593)),0))</f>
        <v>NA</v>
      </c>
      <c r="AF593">
        <f>IF(UPPER(TRIM(E593))=UPPER(TRIM(W593)),1,0)</f>
        <v>0</v>
      </c>
      <c r="AG593">
        <f t="shared" si="18"/>
        <v>0.75</v>
      </c>
    </row>
    <row r="594" spans="1:33" x14ac:dyDescent="0.3">
      <c r="A594" t="s">
        <v>352</v>
      </c>
      <c r="B594">
        <v>2</v>
      </c>
      <c r="C594" t="s">
        <v>387</v>
      </c>
      <c r="D594" t="s">
        <v>388</v>
      </c>
      <c r="E594" t="s">
        <v>258</v>
      </c>
      <c r="F594" t="s">
        <v>101</v>
      </c>
      <c r="G594" t="s">
        <v>104</v>
      </c>
      <c r="H594">
        <v>0</v>
      </c>
      <c r="I594">
        <v>0</v>
      </c>
      <c r="J594">
        <v>0</v>
      </c>
      <c r="K594" t="s">
        <v>104</v>
      </c>
      <c r="L594">
        <v>0</v>
      </c>
      <c r="M594">
        <v>2</v>
      </c>
      <c r="N594">
        <v>0</v>
      </c>
      <c r="O594">
        <v>21</v>
      </c>
      <c r="P594">
        <v>0</v>
      </c>
      <c r="Q594">
        <v>10.5</v>
      </c>
      <c r="R594">
        <v>0</v>
      </c>
      <c r="S594">
        <v>0</v>
      </c>
      <c r="T594">
        <v>0</v>
      </c>
      <c r="U594" s="8">
        <v>0</v>
      </c>
      <c r="V594" s="8">
        <f t="shared" si="19"/>
        <v>0</v>
      </c>
      <c r="W594" t="str">
        <f>_xlfn.XLOOKUP(A594, Matches!A:A, Matches!L:L, "NA", 0)</f>
        <v>RCBW</v>
      </c>
      <c r="X594" t="str">
        <f>_xlfn.XLOOKUP(A594, Matches!A:A, Matches!J:J, "NA", 0)</f>
        <v>RCBW</v>
      </c>
      <c r="Y594" t="str">
        <f>_xlfn.XLOOKUP(A594, Matches!A:A, Matches!F:F, "NA", 0)</f>
        <v>M. Chinnaswamy Stadium</v>
      </c>
      <c r="Z594" cm="1">
        <f t="array" ref="Z594">INDEX(Innings!F:F,MATCH(1,(TRIM(Innings!A:A)=TRIM(A594))*(TRIM(Innings!D:D)=TRIM(E594)),0))</f>
        <v>107</v>
      </c>
      <c r="AA594" cm="1">
        <f t="array" ref="AA594">INDEX(Innings!I:I,MATCH(1,(TRIM(Innings!A:A)=TRIM(A594))*(TRIM(Innings!D:D)=TRIM(E594)),0))</f>
        <v>5.35</v>
      </c>
      <c r="AB594" cm="1">
        <f t="array" ref="AB594">INDEX(Innings!J:J,MATCH(1,(TRIM(Innings!A:A)=TRIM(A594))*(TRIM(Innings!D:D)=TRIM(E594)),0))</f>
        <v>29</v>
      </c>
      <c r="AC594" cm="1">
        <f t="array" ref="AC594">INDEX(Innings!N:N,MATCH(1,(TRIM(Innings!A:A)=TRIM(A594))*(TRIM(Innings!D:D)=TRIM(E594)),0))</f>
        <v>34</v>
      </c>
      <c r="AD594" cm="1">
        <f t="array" ref="AD594">INDEX(Innings!S:S,MATCH(1,(TRIM(Innings!A:A)=TRIM(A594))*(TRIM(Innings!D:D)=TRIM(E594)),0))</f>
        <v>61</v>
      </c>
      <c r="AE594" t="str" cm="1">
        <f t="array" ref="AE594">INDEX(Innings!W:W,MATCH(1,(TRIM(Innings!A:A)=TRIM(A594))*(TRIM(Innings!D:D)=TRIM(E594)),0))</f>
        <v>NA</v>
      </c>
      <c r="AF594">
        <f>IF(UPPER(TRIM(E594))=UPPER(TRIM(W594)),1,0)</f>
        <v>0</v>
      </c>
      <c r="AG594">
        <f t="shared" si="18"/>
        <v>0</v>
      </c>
    </row>
    <row r="595" spans="1:33" x14ac:dyDescent="0.3">
      <c r="A595" t="s">
        <v>353</v>
      </c>
      <c r="B595">
        <v>2</v>
      </c>
      <c r="C595" t="s">
        <v>112</v>
      </c>
      <c r="D595" t="s">
        <v>88</v>
      </c>
      <c r="E595" t="s">
        <v>266</v>
      </c>
      <c r="F595" t="s">
        <v>169</v>
      </c>
      <c r="G595" t="s">
        <v>86</v>
      </c>
      <c r="H595">
        <v>55</v>
      </c>
      <c r="I595">
        <v>47</v>
      </c>
      <c r="J595">
        <v>117.02</v>
      </c>
      <c r="K595" t="s">
        <v>246</v>
      </c>
      <c r="L595">
        <v>65.849999999999994</v>
      </c>
      <c r="M595">
        <v>3</v>
      </c>
      <c r="N595">
        <v>0</v>
      </c>
      <c r="O595">
        <v>32</v>
      </c>
      <c r="P595">
        <v>0</v>
      </c>
      <c r="Q595">
        <v>10.7</v>
      </c>
      <c r="R595">
        <v>-10</v>
      </c>
      <c r="S595">
        <v>0</v>
      </c>
      <c r="T595">
        <v>0</v>
      </c>
      <c r="U595" s="8">
        <v>55.85</v>
      </c>
      <c r="V595" s="8">
        <f t="shared" si="19"/>
        <v>6</v>
      </c>
      <c r="W595" t="str">
        <f>_xlfn.XLOOKUP(A595, Matches!A:A, Matches!L:L, "NA", 0)</f>
        <v>UPW</v>
      </c>
      <c r="X595" t="str">
        <f>_xlfn.XLOOKUP(A595, Matches!A:A, Matches!J:J, "NA", 0)</f>
        <v>UPW</v>
      </c>
      <c r="Y595" t="str">
        <f>_xlfn.XLOOKUP(A595, Matches!A:A, Matches!F:F, "NA", 0)</f>
        <v>M. Chinnaswamy Stadium</v>
      </c>
      <c r="Z595" cm="1">
        <f t="array" ref="Z595">INDEX(Innings!F:F,MATCH(1,(TRIM(Innings!A:A)=TRIM(A595))*(TRIM(Innings!D:D)=TRIM(E595)),0))</f>
        <v>161</v>
      </c>
      <c r="AA595" cm="1">
        <f t="array" ref="AA595">INDEX(Innings!I:I,MATCH(1,(TRIM(Innings!A:A)=TRIM(A595))*(TRIM(Innings!D:D)=TRIM(E595)),0))</f>
        <v>8.0500000000000007</v>
      </c>
      <c r="AB595" cm="1">
        <f t="array" ref="AB595">INDEX(Innings!J:J,MATCH(1,(TRIM(Innings!A:A)=TRIM(A595))*(TRIM(Innings!D:D)=TRIM(E595)),0))</f>
        <v>36</v>
      </c>
      <c r="AC595" cm="1">
        <f t="array" ref="AC595">INDEX(Innings!N:N,MATCH(1,(TRIM(Innings!A:A)=TRIM(A595))*(TRIM(Innings!D:D)=TRIM(E595)),0))</f>
        <v>48</v>
      </c>
      <c r="AD595" cm="1">
        <f t="array" ref="AD595">INDEX(Innings!S:S,MATCH(1,(TRIM(Innings!A:A)=TRIM(A595))*(TRIM(Innings!D:D)=TRIM(E595)),0))</f>
        <v>46</v>
      </c>
      <c r="AE595" t="str" cm="1">
        <f t="array" ref="AE595">INDEX(Innings!W:W,MATCH(1,(TRIM(Innings!A:A)=TRIM(A595))*(TRIM(Innings!D:D)=TRIM(E595)),0))</f>
        <v>NA</v>
      </c>
      <c r="AF595">
        <f>IF(UPPER(TRIM(E595))=UPPER(TRIM(W595)),1,0)</f>
        <v>0</v>
      </c>
      <c r="AG595">
        <f t="shared" si="18"/>
        <v>29.725000000000001</v>
      </c>
    </row>
    <row r="596" spans="1:33" x14ac:dyDescent="0.3">
      <c r="A596" t="s">
        <v>353</v>
      </c>
      <c r="B596">
        <v>2</v>
      </c>
      <c r="C596" t="s">
        <v>113</v>
      </c>
      <c r="D596" t="s">
        <v>84</v>
      </c>
      <c r="E596" t="s">
        <v>266</v>
      </c>
      <c r="F596" t="s">
        <v>85</v>
      </c>
      <c r="G596" t="s">
        <v>86</v>
      </c>
      <c r="H596">
        <v>26</v>
      </c>
      <c r="I596">
        <v>22</v>
      </c>
      <c r="J596">
        <v>118.18</v>
      </c>
      <c r="K596" t="s">
        <v>246</v>
      </c>
      <c r="L596">
        <v>32.729999999999997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 s="8">
        <v>32.729999999999997</v>
      </c>
      <c r="V596" s="8">
        <f t="shared" si="19"/>
        <v>3</v>
      </c>
      <c r="W596" t="str">
        <f>_xlfn.XLOOKUP(A596, Matches!A:A, Matches!L:L, "NA", 0)</f>
        <v>UPW</v>
      </c>
      <c r="X596" t="str">
        <f>_xlfn.XLOOKUP(A596, Matches!A:A, Matches!J:J, "NA", 0)</f>
        <v>UPW</v>
      </c>
      <c r="Y596" t="str">
        <f>_xlfn.XLOOKUP(A596, Matches!A:A, Matches!F:F, "NA", 0)</f>
        <v>M. Chinnaswamy Stadium</v>
      </c>
      <c r="Z596" cm="1">
        <f t="array" ref="Z596">INDEX(Innings!F:F,MATCH(1,(TRIM(Innings!A:A)=TRIM(A596))*(TRIM(Innings!D:D)=TRIM(E596)),0))</f>
        <v>161</v>
      </c>
      <c r="AA596" cm="1">
        <f t="array" ref="AA596">INDEX(Innings!I:I,MATCH(1,(TRIM(Innings!A:A)=TRIM(A596))*(TRIM(Innings!D:D)=TRIM(E596)),0))</f>
        <v>8.0500000000000007</v>
      </c>
      <c r="AB596" cm="1">
        <f t="array" ref="AB596">INDEX(Innings!J:J,MATCH(1,(TRIM(Innings!A:A)=TRIM(A596))*(TRIM(Innings!D:D)=TRIM(E596)),0))</f>
        <v>36</v>
      </c>
      <c r="AC596" cm="1">
        <f t="array" ref="AC596">INDEX(Innings!N:N,MATCH(1,(TRIM(Innings!A:A)=TRIM(A596))*(TRIM(Innings!D:D)=TRIM(E596)),0))</f>
        <v>48</v>
      </c>
      <c r="AD596" cm="1">
        <f t="array" ref="AD596">INDEX(Innings!S:S,MATCH(1,(TRIM(Innings!A:A)=TRIM(A596))*(TRIM(Innings!D:D)=TRIM(E596)),0))</f>
        <v>46</v>
      </c>
      <c r="AE596" t="str" cm="1">
        <f t="array" ref="AE596">INDEX(Innings!W:W,MATCH(1,(TRIM(Innings!A:A)=TRIM(A596))*(TRIM(Innings!D:D)=TRIM(E596)),0))</f>
        <v>NA</v>
      </c>
      <c r="AF596">
        <f>IF(UPPER(TRIM(E596))=UPPER(TRIM(W596)),1,0)</f>
        <v>0</v>
      </c>
      <c r="AG596">
        <f t="shared" si="18"/>
        <v>17.264999999999997</v>
      </c>
    </row>
    <row r="597" spans="1:33" x14ac:dyDescent="0.3">
      <c r="A597" t="s">
        <v>353</v>
      </c>
      <c r="B597">
        <v>2</v>
      </c>
      <c r="C597" t="s">
        <v>117</v>
      </c>
      <c r="D597" t="s">
        <v>90</v>
      </c>
      <c r="E597" t="s">
        <v>266</v>
      </c>
      <c r="F597" t="s">
        <v>169</v>
      </c>
      <c r="G597" t="s">
        <v>92</v>
      </c>
      <c r="H597">
        <v>19</v>
      </c>
      <c r="I597">
        <v>14</v>
      </c>
      <c r="J597">
        <v>135.71</v>
      </c>
      <c r="K597" t="s">
        <v>256</v>
      </c>
      <c r="L597">
        <v>26.14</v>
      </c>
      <c r="M597">
        <v>3</v>
      </c>
      <c r="N597">
        <v>0</v>
      </c>
      <c r="O597">
        <v>30</v>
      </c>
      <c r="P597">
        <v>0</v>
      </c>
      <c r="Q597">
        <v>10</v>
      </c>
      <c r="R597">
        <v>-6</v>
      </c>
      <c r="S597">
        <v>0</v>
      </c>
      <c r="T597">
        <v>0</v>
      </c>
      <c r="U597" s="8">
        <v>20.14</v>
      </c>
      <c r="V597" s="8">
        <f t="shared" si="19"/>
        <v>2</v>
      </c>
      <c r="W597" t="str">
        <f>_xlfn.XLOOKUP(A597, Matches!A:A, Matches!L:L, "NA", 0)</f>
        <v>UPW</v>
      </c>
      <c r="X597" t="str">
        <f>_xlfn.XLOOKUP(A597, Matches!A:A, Matches!J:J, "NA", 0)</f>
        <v>UPW</v>
      </c>
      <c r="Y597" t="str">
        <f>_xlfn.XLOOKUP(A597, Matches!A:A, Matches!F:F, "NA", 0)</f>
        <v>M. Chinnaswamy Stadium</v>
      </c>
      <c r="Z597" cm="1">
        <f t="array" ref="Z597">INDEX(Innings!F:F,MATCH(1,(TRIM(Innings!A:A)=TRIM(A597))*(TRIM(Innings!D:D)=TRIM(E597)),0))</f>
        <v>161</v>
      </c>
      <c r="AA597" cm="1">
        <f t="array" ref="AA597">INDEX(Innings!I:I,MATCH(1,(TRIM(Innings!A:A)=TRIM(A597))*(TRIM(Innings!D:D)=TRIM(E597)),0))</f>
        <v>8.0500000000000007</v>
      </c>
      <c r="AB597" cm="1">
        <f t="array" ref="AB597">INDEX(Innings!J:J,MATCH(1,(TRIM(Innings!A:A)=TRIM(A597))*(TRIM(Innings!D:D)=TRIM(E597)),0))</f>
        <v>36</v>
      </c>
      <c r="AC597" cm="1">
        <f t="array" ref="AC597">INDEX(Innings!N:N,MATCH(1,(TRIM(Innings!A:A)=TRIM(A597))*(TRIM(Innings!D:D)=TRIM(E597)),0))</f>
        <v>48</v>
      </c>
      <c r="AD597" cm="1">
        <f t="array" ref="AD597">INDEX(Innings!S:S,MATCH(1,(TRIM(Innings!A:A)=TRIM(A597))*(TRIM(Innings!D:D)=TRIM(E597)),0))</f>
        <v>46</v>
      </c>
      <c r="AE597" t="str" cm="1">
        <f t="array" ref="AE597">INDEX(Innings!W:W,MATCH(1,(TRIM(Innings!A:A)=TRIM(A597))*(TRIM(Innings!D:D)=TRIM(E597)),0))</f>
        <v>NA</v>
      </c>
      <c r="AF597">
        <f>IF(UPPER(TRIM(E597))=UPPER(TRIM(W597)),1,0)</f>
        <v>0</v>
      </c>
      <c r="AG597">
        <f t="shared" si="18"/>
        <v>10.67</v>
      </c>
    </row>
    <row r="598" spans="1:33" x14ac:dyDescent="0.3">
      <c r="A598" t="s">
        <v>353</v>
      </c>
      <c r="B598">
        <v>2</v>
      </c>
      <c r="C598" t="s">
        <v>119</v>
      </c>
      <c r="D598" t="s">
        <v>95</v>
      </c>
      <c r="E598" t="s">
        <v>266</v>
      </c>
      <c r="F598" t="s">
        <v>169</v>
      </c>
      <c r="G598" t="s">
        <v>134</v>
      </c>
      <c r="H598">
        <v>23</v>
      </c>
      <c r="I598">
        <v>16</v>
      </c>
      <c r="J598">
        <v>143.75</v>
      </c>
      <c r="K598" t="s">
        <v>247</v>
      </c>
      <c r="L598">
        <v>30.81</v>
      </c>
      <c r="M598">
        <v>4</v>
      </c>
      <c r="N598">
        <v>0</v>
      </c>
      <c r="O598">
        <v>34</v>
      </c>
      <c r="P598">
        <v>1</v>
      </c>
      <c r="Q598">
        <v>8.5</v>
      </c>
      <c r="R598">
        <v>7</v>
      </c>
      <c r="S598">
        <v>0</v>
      </c>
      <c r="T598">
        <v>0</v>
      </c>
      <c r="U598" s="8">
        <v>37.81</v>
      </c>
      <c r="V598" s="8">
        <f t="shared" si="19"/>
        <v>4</v>
      </c>
      <c r="W598" t="str">
        <f>_xlfn.XLOOKUP(A598, Matches!A:A, Matches!L:L, "NA", 0)</f>
        <v>UPW</v>
      </c>
      <c r="X598" t="str">
        <f>_xlfn.XLOOKUP(A598, Matches!A:A, Matches!J:J, "NA", 0)</f>
        <v>UPW</v>
      </c>
      <c r="Y598" t="str">
        <f>_xlfn.XLOOKUP(A598, Matches!A:A, Matches!F:F, "NA", 0)</f>
        <v>M. Chinnaswamy Stadium</v>
      </c>
      <c r="Z598" cm="1">
        <f t="array" ref="Z598">INDEX(Innings!F:F,MATCH(1,(TRIM(Innings!A:A)=TRIM(A598))*(TRIM(Innings!D:D)=TRIM(E598)),0))</f>
        <v>161</v>
      </c>
      <c r="AA598" cm="1">
        <f t="array" ref="AA598">INDEX(Innings!I:I,MATCH(1,(TRIM(Innings!A:A)=TRIM(A598))*(TRIM(Innings!D:D)=TRIM(E598)),0))</f>
        <v>8.0500000000000007</v>
      </c>
      <c r="AB598" cm="1">
        <f t="array" ref="AB598">INDEX(Innings!J:J,MATCH(1,(TRIM(Innings!A:A)=TRIM(A598))*(TRIM(Innings!D:D)=TRIM(E598)),0))</f>
        <v>36</v>
      </c>
      <c r="AC598" cm="1">
        <f t="array" ref="AC598">INDEX(Innings!N:N,MATCH(1,(TRIM(Innings!A:A)=TRIM(A598))*(TRIM(Innings!D:D)=TRIM(E598)),0))</f>
        <v>48</v>
      </c>
      <c r="AD598" cm="1">
        <f t="array" ref="AD598">INDEX(Innings!S:S,MATCH(1,(TRIM(Innings!A:A)=TRIM(A598))*(TRIM(Innings!D:D)=TRIM(E598)),0))</f>
        <v>46</v>
      </c>
      <c r="AE598" t="str" cm="1">
        <f t="array" ref="AE598">INDEX(Innings!W:W,MATCH(1,(TRIM(Innings!A:A)=TRIM(A598))*(TRIM(Innings!D:D)=TRIM(E598)),0))</f>
        <v>NA</v>
      </c>
      <c r="AF598">
        <f>IF(UPPER(TRIM(E598))=UPPER(TRIM(W598)),1,0)</f>
        <v>0</v>
      </c>
      <c r="AG598">
        <f t="shared" si="18"/>
        <v>20.105</v>
      </c>
    </row>
    <row r="599" spans="1:33" x14ac:dyDescent="0.3">
      <c r="A599" t="s">
        <v>353</v>
      </c>
      <c r="B599">
        <v>2</v>
      </c>
      <c r="C599" t="s">
        <v>123</v>
      </c>
      <c r="D599" t="s">
        <v>98</v>
      </c>
      <c r="E599" t="s">
        <v>266</v>
      </c>
      <c r="F599" t="s">
        <v>169</v>
      </c>
      <c r="G599" t="s">
        <v>134</v>
      </c>
      <c r="H599">
        <v>18</v>
      </c>
      <c r="I599">
        <v>12</v>
      </c>
      <c r="J599">
        <v>150</v>
      </c>
      <c r="K599" t="s">
        <v>246</v>
      </c>
      <c r="L599">
        <v>27</v>
      </c>
      <c r="M599">
        <v>1.3</v>
      </c>
      <c r="N599">
        <v>0</v>
      </c>
      <c r="O599">
        <v>18</v>
      </c>
      <c r="P599">
        <v>0</v>
      </c>
      <c r="Q599">
        <v>12</v>
      </c>
      <c r="R599">
        <v>-4</v>
      </c>
      <c r="S599">
        <v>0</v>
      </c>
      <c r="T599">
        <v>0</v>
      </c>
      <c r="U599" s="8">
        <v>23</v>
      </c>
      <c r="V599" s="8">
        <f t="shared" si="19"/>
        <v>2</v>
      </c>
      <c r="W599" t="str">
        <f>_xlfn.XLOOKUP(A599, Matches!A:A, Matches!L:L, "NA", 0)</f>
        <v>UPW</v>
      </c>
      <c r="X599" t="str">
        <f>_xlfn.XLOOKUP(A599, Matches!A:A, Matches!J:J, "NA", 0)</f>
        <v>UPW</v>
      </c>
      <c r="Y599" t="str">
        <f>_xlfn.XLOOKUP(A599, Matches!A:A, Matches!F:F, "NA", 0)</f>
        <v>M. Chinnaswamy Stadium</v>
      </c>
      <c r="Z599" cm="1">
        <f t="array" ref="Z599">INDEX(Innings!F:F,MATCH(1,(TRIM(Innings!A:A)=TRIM(A599))*(TRIM(Innings!D:D)=TRIM(E599)),0))</f>
        <v>161</v>
      </c>
      <c r="AA599" cm="1">
        <f t="array" ref="AA599">INDEX(Innings!I:I,MATCH(1,(TRIM(Innings!A:A)=TRIM(A599))*(TRIM(Innings!D:D)=TRIM(E599)),0))</f>
        <v>8.0500000000000007</v>
      </c>
      <c r="AB599" cm="1">
        <f t="array" ref="AB599">INDEX(Innings!J:J,MATCH(1,(TRIM(Innings!A:A)=TRIM(A599))*(TRIM(Innings!D:D)=TRIM(E599)),0))</f>
        <v>36</v>
      </c>
      <c r="AC599" cm="1">
        <f t="array" ref="AC599">INDEX(Innings!N:N,MATCH(1,(TRIM(Innings!A:A)=TRIM(A599))*(TRIM(Innings!D:D)=TRIM(E599)),0))</f>
        <v>48</v>
      </c>
      <c r="AD599" cm="1">
        <f t="array" ref="AD599">INDEX(Innings!S:S,MATCH(1,(TRIM(Innings!A:A)=TRIM(A599))*(TRIM(Innings!D:D)=TRIM(E599)),0))</f>
        <v>46</v>
      </c>
      <c r="AE599" t="str" cm="1">
        <f t="array" ref="AE599">INDEX(Innings!W:W,MATCH(1,(TRIM(Innings!A:A)=TRIM(A599))*(TRIM(Innings!D:D)=TRIM(E599)),0))</f>
        <v>NA</v>
      </c>
      <c r="AF599">
        <f>IF(UPPER(TRIM(E599))=UPPER(TRIM(W599)),1,0)</f>
        <v>0</v>
      </c>
      <c r="AG599">
        <f t="shared" si="18"/>
        <v>12.1</v>
      </c>
    </row>
    <row r="600" spans="1:33" x14ac:dyDescent="0.3">
      <c r="A600" t="s">
        <v>353</v>
      </c>
      <c r="B600">
        <v>2</v>
      </c>
      <c r="C600" t="s">
        <v>127</v>
      </c>
      <c r="D600" t="s">
        <v>100</v>
      </c>
      <c r="E600" t="s">
        <v>266</v>
      </c>
      <c r="F600" t="s">
        <v>101</v>
      </c>
      <c r="G600" t="s">
        <v>134</v>
      </c>
      <c r="H600">
        <v>15</v>
      </c>
      <c r="I600">
        <v>6</v>
      </c>
      <c r="J600">
        <v>250</v>
      </c>
      <c r="K600" t="s">
        <v>96</v>
      </c>
      <c r="L600">
        <v>30</v>
      </c>
      <c r="M600">
        <v>3</v>
      </c>
      <c r="N600">
        <v>0</v>
      </c>
      <c r="O600">
        <v>30</v>
      </c>
      <c r="P600">
        <v>2</v>
      </c>
      <c r="Q600">
        <v>10</v>
      </c>
      <c r="R600">
        <v>10</v>
      </c>
      <c r="S600">
        <v>0</v>
      </c>
      <c r="T600">
        <v>0</v>
      </c>
      <c r="U600" s="8">
        <v>40</v>
      </c>
      <c r="V600" s="8">
        <f t="shared" si="19"/>
        <v>4</v>
      </c>
      <c r="W600" t="str">
        <f>_xlfn.XLOOKUP(A600, Matches!A:A, Matches!L:L, "NA", 0)</f>
        <v>UPW</v>
      </c>
      <c r="X600" t="str">
        <f>_xlfn.XLOOKUP(A600, Matches!A:A, Matches!J:J, "NA", 0)</f>
        <v>UPW</v>
      </c>
      <c r="Y600" t="str">
        <f>_xlfn.XLOOKUP(A600, Matches!A:A, Matches!F:F, "NA", 0)</f>
        <v>M. Chinnaswamy Stadium</v>
      </c>
      <c r="Z600" cm="1">
        <f t="array" ref="Z600">INDEX(Innings!F:F,MATCH(1,(TRIM(Innings!A:A)=TRIM(A600))*(TRIM(Innings!D:D)=TRIM(E600)),0))</f>
        <v>161</v>
      </c>
      <c r="AA600" cm="1">
        <f t="array" ref="AA600">INDEX(Innings!I:I,MATCH(1,(TRIM(Innings!A:A)=TRIM(A600))*(TRIM(Innings!D:D)=TRIM(E600)),0))</f>
        <v>8.0500000000000007</v>
      </c>
      <c r="AB600" cm="1">
        <f t="array" ref="AB600">INDEX(Innings!J:J,MATCH(1,(TRIM(Innings!A:A)=TRIM(A600))*(TRIM(Innings!D:D)=TRIM(E600)),0))</f>
        <v>36</v>
      </c>
      <c r="AC600" cm="1">
        <f t="array" ref="AC600">INDEX(Innings!N:N,MATCH(1,(TRIM(Innings!A:A)=TRIM(A600))*(TRIM(Innings!D:D)=TRIM(E600)),0))</f>
        <v>48</v>
      </c>
      <c r="AD600" cm="1">
        <f t="array" ref="AD600">INDEX(Innings!S:S,MATCH(1,(TRIM(Innings!A:A)=TRIM(A600))*(TRIM(Innings!D:D)=TRIM(E600)),0))</f>
        <v>46</v>
      </c>
      <c r="AE600" t="str" cm="1">
        <f t="array" ref="AE600">INDEX(Innings!W:W,MATCH(1,(TRIM(Innings!A:A)=TRIM(A600))*(TRIM(Innings!D:D)=TRIM(E600)),0))</f>
        <v>NA</v>
      </c>
      <c r="AF600">
        <f>IF(UPPER(TRIM(E600))=UPPER(TRIM(W600)),1,0)</f>
        <v>0</v>
      </c>
      <c r="AG600">
        <f t="shared" si="18"/>
        <v>21.2</v>
      </c>
    </row>
    <row r="601" spans="1:33" x14ac:dyDescent="0.3">
      <c r="A601" t="s">
        <v>353</v>
      </c>
      <c r="B601">
        <v>2</v>
      </c>
      <c r="C601" t="s">
        <v>347</v>
      </c>
      <c r="D601" t="s">
        <v>348</v>
      </c>
      <c r="E601" t="s">
        <v>266</v>
      </c>
      <c r="F601" t="s">
        <v>109</v>
      </c>
      <c r="G601" t="s">
        <v>134</v>
      </c>
      <c r="H601">
        <v>4</v>
      </c>
      <c r="I601">
        <v>2</v>
      </c>
      <c r="J601">
        <v>200</v>
      </c>
      <c r="K601" t="s">
        <v>245</v>
      </c>
      <c r="L601">
        <v>9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 s="8">
        <v>9</v>
      </c>
      <c r="V601" s="8">
        <f t="shared" si="19"/>
        <v>1</v>
      </c>
      <c r="W601" t="str">
        <f>_xlfn.XLOOKUP(A601, Matches!A:A, Matches!L:L, "NA", 0)</f>
        <v>UPW</v>
      </c>
      <c r="X601" t="str">
        <f>_xlfn.XLOOKUP(A601, Matches!A:A, Matches!J:J, "NA", 0)</f>
        <v>UPW</v>
      </c>
      <c r="Y601" t="str">
        <f>_xlfn.XLOOKUP(A601, Matches!A:A, Matches!F:F, "NA", 0)</f>
        <v>M. Chinnaswamy Stadium</v>
      </c>
      <c r="Z601" cm="1">
        <f t="array" ref="Z601">INDEX(Innings!F:F,MATCH(1,(TRIM(Innings!A:A)=TRIM(A601))*(TRIM(Innings!D:D)=TRIM(E601)),0))</f>
        <v>161</v>
      </c>
      <c r="AA601" cm="1">
        <f t="array" ref="AA601">INDEX(Innings!I:I,MATCH(1,(TRIM(Innings!A:A)=TRIM(A601))*(TRIM(Innings!D:D)=TRIM(E601)),0))</f>
        <v>8.0500000000000007</v>
      </c>
      <c r="AB601" cm="1">
        <f t="array" ref="AB601">INDEX(Innings!J:J,MATCH(1,(TRIM(Innings!A:A)=TRIM(A601))*(TRIM(Innings!D:D)=TRIM(E601)),0))</f>
        <v>36</v>
      </c>
      <c r="AC601" cm="1">
        <f t="array" ref="AC601">INDEX(Innings!N:N,MATCH(1,(TRIM(Innings!A:A)=TRIM(A601))*(TRIM(Innings!D:D)=TRIM(E601)),0))</f>
        <v>48</v>
      </c>
      <c r="AD601" cm="1">
        <f t="array" ref="AD601">INDEX(Innings!S:S,MATCH(1,(TRIM(Innings!A:A)=TRIM(A601))*(TRIM(Innings!D:D)=TRIM(E601)),0))</f>
        <v>46</v>
      </c>
      <c r="AE601" t="str" cm="1">
        <f t="array" ref="AE601">INDEX(Innings!W:W,MATCH(1,(TRIM(Innings!A:A)=TRIM(A601))*(TRIM(Innings!D:D)=TRIM(E601)),0))</f>
        <v>NA</v>
      </c>
      <c r="AF601">
        <f>IF(UPPER(TRIM(E601))=UPPER(TRIM(W601)),1,0)</f>
        <v>0</v>
      </c>
      <c r="AG601">
        <f t="shared" si="18"/>
        <v>4.8</v>
      </c>
    </row>
    <row r="602" spans="1:33" x14ac:dyDescent="0.3">
      <c r="A602" t="s">
        <v>353</v>
      </c>
      <c r="B602">
        <v>2</v>
      </c>
      <c r="C602" t="s">
        <v>121</v>
      </c>
      <c r="D602" t="s">
        <v>108</v>
      </c>
      <c r="E602" t="s">
        <v>266</v>
      </c>
      <c r="F602" t="s">
        <v>169</v>
      </c>
      <c r="G602" t="s">
        <v>134</v>
      </c>
      <c r="H602">
        <v>0</v>
      </c>
      <c r="I602">
        <v>1</v>
      </c>
      <c r="J602">
        <v>0</v>
      </c>
      <c r="K602" t="s">
        <v>96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 s="8">
        <v>0</v>
      </c>
      <c r="V602" s="8">
        <f t="shared" si="19"/>
        <v>0</v>
      </c>
      <c r="W602" t="str">
        <f>_xlfn.XLOOKUP(A602, Matches!A:A, Matches!L:L, "NA", 0)</f>
        <v>UPW</v>
      </c>
      <c r="X602" t="str">
        <f>_xlfn.XLOOKUP(A602, Matches!A:A, Matches!J:J, "NA", 0)</f>
        <v>UPW</v>
      </c>
      <c r="Y602" t="str">
        <f>_xlfn.XLOOKUP(A602, Matches!A:A, Matches!F:F, "NA", 0)</f>
        <v>M. Chinnaswamy Stadium</v>
      </c>
      <c r="Z602" cm="1">
        <f t="array" ref="Z602">INDEX(Innings!F:F,MATCH(1,(TRIM(Innings!A:A)=TRIM(A602))*(TRIM(Innings!D:D)=TRIM(E602)),0))</f>
        <v>161</v>
      </c>
      <c r="AA602" cm="1">
        <f t="array" ref="AA602">INDEX(Innings!I:I,MATCH(1,(TRIM(Innings!A:A)=TRIM(A602))*(TRIM(Innings!D:D)=TRIM(E602)),0))</f>
        <v>8.0500000000000007</v>
      </c>
      <c r="AB602" cm="1">
        <f t="array" ref="AB602">INDEX(Innings!J:J,MATCH(1,(TRIM(Innings!A:A)=TRIM(A602))*(TRIM(Innings!D:D)=TRIM(E602)),0))</f>
        <v>36</v>
      </c>
      <c r="AC602" cm="1">
        <f t="array" ref="AC602">INDEX(Innings!N:N,MATCH(1,(TRIM(Innings!A:A)=TRIM(A602))*(TRIM(Innings!D:D)=TRIM(E602)),0))</f>
        <v>48</v>
      </c>
      <c r="AD602" cm="1">
        <f t="array" ref="AD602">INDEX(Innings!S:S,MATCH(1,(TRIM(Innings!A:A)=TRIM(A602))*(TRIM(Innings!D:D)=TRIM(E602)),0))</f>
        <v>46</v>
      </c>
      <c r="AE602" t="str" cm="1">
        <f t="array" ref="AE602">INDEX(Innings!W:W,MATCH(1,(TRIM(Innings!A:A)=TRIM(A602))*(TRIM(Innings!D:D)=TRIM(E602)),0))</f>
        <v>NA</v>
      </c>
      <c r="AF602">
        <f>IF(UPPER(TRIM(E602))=UPPER(TRIM(W602)),1,0)</f>
        <v>0</v>
      </c>
      <c r="AG602">
        <f t="shared" si="18"/>
        <v>0</v>
      </c>
    </row>
    <row r="603" spans="1:33" x14ac:dyDescent="0.3">
      <c r="A603" t="s">
        <v>353</v>
      </c>
      <c r="B603">
        <v>2</v>
      </c>
      <c r="C603" t="s">
        <v>125</v>
      </c>
      <c r="D603" t="s">
        <v>111</v>
      </c>
      <c r="E603" t="s">
        <v>266</v>
      </c>
      <c r="F603" t="s">
        <v>169</v>
      </c>
      <c r="G603" t="s">
        <v>104</v>
      </c>
      <c r="H603">
        <v>0</v>
      </c>
      <c r="I603">
        <v>0</v>
      </c>
      <c r="J603">
        <v>0</v>
      </c>
      <c r="K603" t="s">
        <v>104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 s="8">
        <v>0</v>
      </c>
      <c r="V603" s="8">
        <f t="shared" si="19"/>
        <v>0</v>
      </c>
      <c r="W603" t="str">
        <f>_xlfn.XLOOKUP(A603, Matches!A:A, Matches!L:L, "NA", 0)</f>
        <v>UPW</v>
      </c>
      <c r="X603" t="str">
        <f>_xlfn.XLOOKUP(A603, Matches!A:A, Matches!J:J, "NA", 0)</f>
        <v>UPW</v>
      </c>
      <c r="Y603" t="str">
        <f>_xlfn.XLOOKUP(A603, Matches!A:A, Matches!F:F, "NA", 0)</f>
        <v>M. Chinnaswamy Stadium</v>
      </c>
      <c r="Z603" cm="1">
        <f t="array" ref="Z603">INDEX(Innings!F:F,MATCH(1,(TRIM(Innings!A:A)=TRIM(A603))*(TRIM(Innings!D:D)=TRIM(E603)),0))</f>
        <v>161</v>
      </c>
      <c r="AA603" cm="1">
        <f t="array" ref="AA603">INDEX(Innings!I:I,MATCH(1,(TRIM(Innings!A:A)=TRIM(A603))*(TRIM(Innings!D:D)=TRIM(E603)),0))</f>
        <v>8.0500000000000007</v>
      </c>
      <c r="AB603" cm="1">
        <f t="array" ref="AB603">INDEX(Innings!J:J,MATCH(1,(TRIM(Innings!A:A)=TRIM(A603))*(TRIM(Innings!D:D)=TRIM(E603)),0))</f>
        <v>36</v>
      </c>
      <c r="AC603" cm="1">
        <f t="array" ref="AC603">INDEX(Innings!N:N,MATCH(1,(TRIM(Innings!A:A)=TRIM(A603))*(TRIM(Innings!D:D)=TRIM(E603)),0))</f>
        <v>48</v>
      </c>
      <c r="AD603" cm="1">
        <f t="array" ref="AD603">INDEX(Innings!S:S,MATCH(1,(TRIM(Innings!A:A)=TRIM(A603))*(TRIM(Innings!D:D)=TRIM(E603)),0))</f>
        <v>46</v>
      </c>
      <c r="AE603" t="str" cm="1">
        <f t="array" ref="AE603">INDEX(Innings!W:W,MATCH(1,(TRIM(Innings!A:A)=TRIM(A603))*(TRIM(Innings!D:D)=TRIM(E603)),0))</f>
        <v>NA</v>
      </c>
      <c r="AF603">
        <f>IF(UPPER(TRIM(E603))=UPPER(TRIM(W603)),1,0)</f>
        <v>0</v>
      </c>
      <c r="AG603">
        <f t="shared" si="18"/>
        <v>0</v>
      </c>
    </row>
    <row r="604" spans="1:33" x14ac:dyDescent="0.3">
      <c r="A604" t="s">
        <v>353</v>
      </c>
      <c r="B604">
        <v>2</v>
      </c>
      <c r="C604" t="s">
        <v>345</v>
      </c>
      <c r="D604" t="s">
        <v>346</v>
      </c>
      <c r="E604" t="s">
        <v>266</v>
      </c>
      <c r="F604" t="s">
        <v>169</v>
      </c>
      <c r="G604" t="s">
        <v>104</v>
      </c>
      <c r="H604">
        <v>0</v>
      </c>
      <c r="I604">
        <v>0</v>
      </c>
      <c r="J604">
        <v>0</v>
      </c>
      <c r="K604" t="s">
        <v>104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 s="8">
        <v>0</v>
      </c>
      <c r="V604" s="8">
        <f t="shared" si="19"/>
        <v>0</v>
      </c>
      <c r="W604" t="str">
        <f>_xlfn.XLOOKUP(A604, Matches!A:A, Matches!L:L, "NA", 0)</f>
        <v>UPW</v>
      </c>
      <c r="X604" t="str">
        <f>_xlfn.XLOOKUP(A604, Matches!A:A, Matches!J:J, "NA", 0)</f>
        <v>UPW</v>
      </c>
      <c r="Y604" t="str">
        <f>_xlfn.XLOOKUP(A604, Matches!A:A, Matches!F:F, "NA", 0)</f>
        <v>M. Chinnaswamy Stadium</v>
      </c>
      <c r="Z604" cm="1">
        <f t="array" ref="Z604">INDEX(Innings!F:F,MATCH(1,(TRIM(Innings!A:A)=TRIM(A604))*(TRIM(Innings!D:D)=TRIM(E604)),0))</f>
        <v>161</v>
      </c>
      <c r="AA604" cm="1">
        <f t="array" ref="AA604">INDEX(Innings!I:I,MATCH(1,(TRIM(Innings!A:A)=TRIM(A604))*(TRIM(Innings!D:D)=TRIM(E604)),0))</f>
        <v>8.0500000000000007</v>
      </c>
      <c r="AB604" cm="1">
        <f t="array" ref="AB604">INDEX(Innings!J:J,MATCH(1,(TRIM(Innings!A:A)=TRIM(A604))*(TRIM(Innings!D:D)=TRIM(E604)),0))</f>
        <v>36</v>
      </c>
      <c r="AC604" cm="1">
        <f t="array" ref="AC604">INDEX(Innings!N:N,MATCH(1,(TRIM(Innings!A:A)=TRIM(A604))*(TRIM(Innings!D:D)=TRIM(E604)),0))</f>
        <v>48</v>
      </c>
      <c r="AD604" cm="1">
        <f t="array" ref="AD604">INDEX(Innings!S:S,MATCH(1,(TRIM(Innings!A:A)=TRIM(A604))*(TRIM(Innings!D:D)=TRIM(E604)),0))</f>
        <v>46</v>
      </c>
      <c r="AE604" t="str" cm="1">
        <f t="array" ref="AE604">INDEX(Innings!W:W,MATCH(1,(TRIM(Innings!A:A)=TRIM(A604))*(TRIM(Innings!D:D)=TRIM(E604)),0))</f>
        <v>NA</v>
      </c>
      <c r="AF604">
        <f>IF(UPPER(TRIM(E604))=UPPER(TRIM(W604)),1,0)</f>
        <v>0</v>
      </c>
      <c r="AG604">
        <f t="shared" si="18"/>
        <v>0</v>
      </c>
    </row>
    <row r="605" spans="1:33" x14ac:dyDescent="0.3">
      <c r="A605" t="s">
        <v>353</v>
      </c>
      <c r="B605">
        <v>2</v>
      </c>
      <c r="C605" t="s">
        <v>131</v>
      </c>
      <c r="D605" t="s">
        <v>106</v>
      </c>
      <c r="E605" t="s">
        <v>266</v>
      </c>
      <c r="F605" t="s">
        <v>101</v>
      </c>
      <c r="G605" t="s">
        <v>104</v>
      </c>
      <c r="H605">
        <v>0</v>
      </c>
      <c r="I605">
        <v>0</v>
      </c>
      <c r="J605">
        <v>0</v>
      </c>
      <c r="K605" t="s">
        <v>104</v>
      </c>
      <c r="L605">
        <v>0</v>
      </c>
      <c r="M605">
        <v>2</v>
      </c>
      <c r="N605">
        <v>0</v>
      </c>
      <c r="O605">
        <v>17</v>
      </c>
      <c r="P605">
        <v>0</v>
      </c>
      <c r="Q605">
        <v>8.5</v>
      </c>
      <c r="R605">
        <v>-8</v>
      </c>
      <c r="S605">
        <v>0</v>
      </c>
      <c r="T605">
        <v>0</v>
      </c>
      <c r="U605" s="8">
        <v>-8</v>
      </c>
      <c r="V605" s="8">
        <f t="shared" si="19"/>
        <v>0</v>
      </c>
      <c r="W605" t="str">
        <f>_xlfn.XLOOKUP(A605, Matches!A:A, Matches!L:L, "NA", 0)</f>
        <v>UPW</v>
      </c>
      <c r="X605" t="str">
        <f>_xlfn.XLOOKUP(A605, Matches!A:A, Matches!J:J, "NA", 0)</f>
        <v>UPW</v>
      </c>
      <c r="Y605" t="str">
        <f>_xlfn.XLOOKUP(A605, Matches!A:A, Matches!F:F, "NA", 0)</f>
        <v>M. Chinnaswamy Stadium</v>
      </c>
      <c r="Z605" cm="1">
        <f t="array" ref="Z605">INDEX(Innings!F:F,MATCH(1,(TRIM(Innings!A:A)=TRIM(A605))*(TRIM(Innings!D:D)=TRIM(E605)),0))</f>
        <v>161</v>
      </c>
      <c r="AA605" cm="1">
        <f t="array" ref="AA605">INDEX(Innings!I:I,MATCH(1,(TRIM(Innings!A:A)=TRIM(A605))*(TRIM(Innings!D:D)=TRIM(E605)),0))</f>
        <v>8.0500000000000007</v>
      </c>
      <c r="AB605" cm="1">
        <f t="array" ref="AB605">INDEX(Innings!J:J,MATCH(1,(TRIM(Innings!A:A)=TRIM(A605))*(TRIM(Innings!D:D)=TRIM(E605)),0))</f>
        <v>36</v>
      </c>
      <c r="AC605" cm="1">
        <f t="array" ref="AC605">INDEX(Innings!N:N,MATCH(1,(TRIM(Innings!A:A)=TRIM(A605))*(TRIM(Innings!D:D)=TRIM(E605)),0))</f>
        <v>48</v>
      </c>
      <c r="AD605" cm="1">
        <f t="array" ref="AD605">INDEX(Innings!S:S,MATCH(1,(TRIM(Innings!A:A)=TRIM(A605))*(TRIM(Innings!D:D)=TRIM(E605)),0))</f>
        <v>46</v>
      </c>
      <c r="AE605" t="str" cm="1">
        <f t="array" ref="AE605">INDEX(Innings!W:W,MATCH(1,(TRIM(Innings!A:A)=TRIM(A605))*(TRIM(Innings!D:D)=TRIM(E605)),0))</f>
        <v>NA</v>
      </c>
      <c r="AF605">
        <f>IF(UPPER(TRIM(E605))=UPPER(TRIM(W605)),1,0)</f>
        <v>0</v>
      </c>
      <c r="AG605">
        <f t="shared" si="18"/>
        <v>0</v>
      </c>
    </row>
    <row r="606" spans="1:33" x14ac:dyDescent="0.3">
      <c r="A606" t="s">
        <v>353</v>
      </c>
      <c r="B606">
        <v>2</v>
      </c>
      <c r="C606" t="s">
        <v>217</v>
      </c>
      <c r="D606" t="s">
        <v>218</v>
      </c>
      <c r="E606" t="s">
        <v>219</v>
      </c>
      <c r="F606" t="s">
        <v>85</v>
      </c>
      <c r="G606" t="s">
        <v>86</v>
      </c>
      <c r="H606">
        <v>33</v>
      </c>
      <c r="I606">
        <v>29</v>
      </c>
      <c r="J606">
        <v>113.79</v>
      </c>
      <c r="K606" t="s">
        <v>246</v>
      </c>
      <c r="L606">
        <v>39.39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 s="8">
        <v>39.39</v>
      </c>
      <c r="V606" s="8">
        <f t="shared" si="19"/>
        <v>4</v>
      </c>
      <c r="W606" t="str">
        <f>_xlfn.XLOOKUP(A606, Matches!A:A, Matches!L:L, "NA", 0)</f>
        <v>UPW</v>
      </c>
      <c r="X606" t="str">
        <f>_xlfn.XLOOKUP(A606, Matches!A:A, Matches!J:J, "NA", 0)</f>
        <v>UPW</v>
      </c>
      <c r="Y606" t="str">
        <f>_xlfn.XLOOKUP(A606, Matches!A:A, Matches!F:F, "NA", 0)</f>
        <v>M. Chinnaswamy Stadium</v>
      </c>
      <c r="Z606" cm="1">
        <f t="array" ref="Z606">INDEX(Innings!F:F,MATCH(1,(TRIM(Innings!A:A)=TRIM(A606))*(TRIM(Innings!D:D)=TRIM(E606)),0))</f>
        <v>163</v>
      </c>
      <c r="AA606" cm="1">
        <f t="array" ref="AA606">INDEX(Innings!I:I,MATCH(1,(TRIM(Innings!A:A)=TRIM(A606))*(TRIM(Innings!D:D)=TRIM(E606)),0))</f>
        <v>9.8800000000000008</v>
      </c>
      <c r="AB606" cm="1">
        <f t="array" ref="AB606">INDEX(Innings!J:J,MATCH(1,(TRIM(Innings!A:A)=TRIM(A606))*(TRIM(Innings!D:D)=TRIM(E606)),0))</f>
        <v>61</v>
      </c>
      <c r="AC606" cm="1">
        <f t="array" ref="AC606">INDEX(Innings!N:N,MATCH(1,(TRIM(Innings!A:A)=TRIM(A606))*(TRIM(Innings!D:D)=TRIM(E606)),0))</f>
        <v>14</v>
      </c>
      <c r="AD606" cm="1">
        <f t="array" ref="AD606">INDEX(Innings!S:S,MATCH(1,(TRIM(Innings!A:A)=TRIM(A606))*(TRIM(Innings!D:D)=TRIM(E606)),0))</f>
        <v>33</v>
      </c>
      <c r="AE606" t="str" cm="1">
        <f t="array" ref="AE606">INDEX(Innings!W:W,MATCH(1,(TRIM(Innings!A:A)=TRIM(A606))*(TRIM(Innings!D:D)=TRIM(E606)),0))</f>
        <v>Successful</v>
      </c>
      <c r="AF606">
        <f>IF(UPPER(TRIM(E606))=UPPER(TRIM(W606)),1,0)</f>
        <v>1</v>
      </c>
      <c r="AG606">
        <f t="shared" si="18"/>
        <v>40.894999999999996</v>
      </c>
    </row>
    <row r="607" spans="1:33" x14ac:dyDescent="0.3">
      <c r="A607" t="s">
        <v>353</v>
      </c>
      <c r="B607">
        <v>2</v>
      </c>
      <c r="C607" t="s">
        <v>229</v>
      </c>
      <c r="D607" t="s">
        <v>230</v>
      </c>
      <c r="E607" t="s">
        <v>219</v>
      </c>
      <c r="F607" t="s">
        <v>109</v>
      </c>
      <c r="G607" t="s">
        <v>134</v>
      </c>
      <c r="H607">
        <v>57</v>
      </c>
      <c r="I607">
        <v>31</v>
      </c>
      <c r="J607">
        <v>183.87</v>
      </c>
      <c r="K607" t="s">
        <v>248</v>
      </c>
      <c r="L607">
        <v>79.81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 s="8">
        <v>79.81</v>
      </c>
      <c r="V607" s="8">
        <f t="shared" si="19"/>
        <v>8</v>
      </c>
      <c r="W607" t="str">
        <f>_xlfn.XLOOKUP(A607, Matches!A:A, Matches!L:L, "NA", 0)</f>
        <v>UPW</v>
      </c>
      <c r="X607" t="str">
        <f>_xlfn.XLOOKUP(A607, Matches!A:A, Matches!J:J, "NA", 0)</f>
        <v>UPW</v>
      </c>
      <c r="Y607" t="str">
        <f>_xlfn.XLOOKUP(A607, Matches!A:A, Matches!F:F, "NA", 0)</f>
        <v>M. Chinnaswamy Stadium</v>
      </c>
      <c r="Z607" cm="1">
        <f t="array" ref="Z607">INDEX(Innings!F:F,MATCH(1,(TRIM(Innings!A:A)=TRIM(A607))*(TRIM(Innings!D:D)=TRIM(E607)),0))</f>
        <v>163</v>
      </c>
      <c r="AA607" cm="1">
        <f t="array" ref="AA607">INDEX(Innings!I:I,MATCH(1,(TRIM(Innings!A:A)=TRIM(A607))*(TRIM(Innings!D:D)=TRIM(E607)),0))</f>
        <v>9.8800000000000008</v>
      </c>
      <c r="AB607" cm="1">
        <f t="array" ref="AB607">INDEX(Innings!J:J,MATCH(1,(TRIM(Innings!A:A)=TRIM(A607))*(TRIM(Innings!D:D)=TRIM(E607)),0))</f>
        <v>61</v>
      </c>
      <c r="AC607" cm="1">
        <f t="array" ref="AC607">INDEX(Innings!N:N,MATCH(1,(TRIM(Innings!A:A)=TRIM(A607))*(TRIM(Innings!D:D)=TRIM(E607)),0))</f>
        <v>14</v>
      </c>
      <c r="AD607" cm="1">
        <f t="array" ref="AD607">INDEX(Innings!S:S,MATCH(1,(TRIM(Innings!A:A)=TRIM(A607))*(TRIM(Innings!D:D)=TRIM(E607)),0))</f>
        <v>33</v>
      </c>
      <c r="AE607" t="str" cm="1">
        <f t="array" ref="AE607">INDEX(Innings!W:W,MATCH(1,(TRIM(Innings!A:A)=TRIM(A607))*(TRIM(Innings!D:D)=TRIM(E607)),0))</f>
        <v>Successful</v>
      </c>
      <c r="AF607">
        <f>IF(UPPER(TRIM(E607))=UPPER(TRIM(W607)),1,0)</f>
        <v>1</v>
      </c>
      <c r="AG607">
        <f t="shared" si="18"/>
        <v>62.305</v>
      </c>
    </row>
    <row r="608" spans="1:33" x14ac:dyDescent="0.3">
      <c r="A608" t="s">
        <v>353</v>
      </c>
      <c r="B608">
        <v>2</v>
      </c>
      <c r="C608" t="s">
        <v>222</v>
      </c>
      <c r="D608" t="s">
        <v>223</v>
      </c>
      <c r="E608" t="s">
        <v>219</v>
      </c>
      <c r="F608" t="s">
        <v>169</v>
      </c>
      <c r="G608" t="s">
        <v>92</v>
      </c>
      <c r="H608">
        <v>1</v>
      </c>
      <c r="I608">
        <v>4</v>
      </c>
      <c r="J608">
        <v>25</v>
      </c>
      <c r="K608" t="s">
        <v>247</v>
      </c>
      <c r="L608">
        <v>-3.75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 s="8">
        <v>-3.75</v>
      </c>
      <c r="V608" s="8">
        <f t="shared" si="19"/>
        <v>0</v>
      </c>
      <c r="W608" t="str">
        <f>_xlfn.XLOOKUP(A608, Matches!A:A, Matches!L:L, "NA", 0)</f>
        <v>UPW</v>
      </c>
      <c r="X608" t="str">
        <f>_xlfn.XLOOKUP(A608, Matches!A:A, Matches!J:J, "NA", 0)</f>
        <v>UPW</v>
      </c>
      <c r="Y608" t="str">
        <f>_xlfn.XLOOKUP(A608, Matches!A:A, Matches!F:F, "NA", 0)</f>
        <v>M. Chinnaswamy Stadium</v>
      </c>
      <c r="Z608" cm="1">
        <f t="array" ref="Z608">INDEX(Innings!F:F,MATCH(1,(TRIM(Innings!A:A)=TRIM(A608))*(TRIM(Innings!D:D)=TRIM(E608)),0))</f>
        <v>163</v>
      </c>
      <c r="AA608" cm="1">
        <f t="array" ref="AA608">INDEX(Innings!I:I,MATCH(1,(TRIM(Innings!A:A)=TRIM(A608))*(TRIM(Innings!D:D)=TRIM(E608)),0))</f>
        <v>9.8800000000000008</v>
      </c>
      <c r="AB608" cm="1">
        <f t="array" ref="AB608">INDEX(Innings!J:J,MATCH(1,(TRIM(Innings!A:A)=TRIM(A608))*(TRIM(Innings!D:D)=TRIM(E608)),0))</f>
        <v>61</v>
      </c>
      <c r="AC608" cm="1">
        <f t="array" ref="AC608">INDEX(Innings!N:N,MATCH(1,(TRIM(Innings!A:A)=TRIM(A608))*(TRIM(Innings!D:D)=TRIM(E608)),0))</f>
        <v>14</v>
      </c>
      <c r="AD608" cm="1">
        <f t="array" ref="AD608">INDEX(Innings!S:S,MATCH(1,(TRIM(Innings!A:A)=TRIM(A608))*(TRIM(Innings!D:D)=TRIM(E608)),0))</f>
        <v>33</v>
      </c>
      <c r="AE608" t="str" cm="1">
        <f t="array" ref="AE608">INDEX(Innings!W:W,MATCH(1,(TRIM(Innings!A:A)=TRIM(A608))*(TRIM(Innings!D:D)=TRIM(E608)),0))</f>
        <v>Successful</v>
      </c>
      <c r="AF608">
        <f>IF(UPPER(TRIM(E608))=UPPER(TRIM(W608)),1,0)</f>
        <v>1</v>
      </c>
      <c r="AG608">
        <f t="shared" si="18"/>
        <v>20</v>
      </c>
    </row>
    <row r="609" spans="1:33" x14ac:dyDescent="0.3">
      <c r="A609" t="s">
        <v>353</v>
      </c>
      <c r="B609">
        <v>2</v>
      </c>
      <c r="C609" t="s">
        <v>226</v>
      </c>
      <c r="D609" t="s">
        <v>211</v>
      </c>
      <c r="E609" t="s">
        <v>219</v>
      </c>
      <c r="F609" t="s">
        <v>169</v>
      </c>
      <c r="G609" t="s">
        <v>134</v>
      </c>
      <c r="H609">
        <v>38</v>
      </c>
      <c r="I609">
        <v>17</v>
      </c>
      <c r="J609">
        <v>223.53</v>
      </c>
      <c r="K609" t="s">
        <v>96</v>
      </c>
      <c r="L609">
        <v>63.18</v>
      </c>
      <c r="M609">
        <v>4</v>
      </c>
      <c r="N609">
        <v>0</v>
      </c>
      <c r="O609">
        <v>20</v>
      </c>
      <c r="P609">
        <v>1</v>
      </c>
      <c r="Q609">
        <v>5</v>
      </c>
      <c r="R609">
        <v>12</v>
      </c>
      <c r="S609">
        <v>0</v>
      </c>
      <c r="T609">
        <v>0</v>
      </c>
      <c r="U609" s="8">
        <v>75.180000000000007</v>
      </c>
      <c r="V609" s="8">
        <f t="shared" si="19"/>
        <v>8</v>
      </c>
      <c r="W609" t="str">
        <f>_xlfn.XLOOKUP(A609, Matches!A:A, Matches!L:L, "NA", 0)</f>
        <v>UPW</v>
      </c>
      <c r="X609" t="str">
        <f>_xlfn.XLOOKUP(A609, Matches!A:A, Matches!J:J, "NA", 0)</f>
        <v>UPW</v>
      </c>
      <c r="Y609" t="str">
        <f>_xlfn.XLOOKUP(A609, Matches!A:A, Matches!F:F, "NA", 0)</f>
        <v>M. Chinnaswamy Stadium</v>
      </c>
      <c r="Z609" cm="1">
        <f t="array" ref="Z609">INDEX(Innings!F:F,MATCH(1,(TRIM(Innings!A:A)=TRIM(A609))*(TRIM(Innings!D:D)=TRIM(E609)),0))</f>
        <v>163</v>
      </c>
      <c r="AA609" cm="1">
        <f t="array" ref="AA609">INDEX(Innings!I:I,MATCH(1,(TRIM(Innings!A:A)=TRIM(A609))*(TRIM(Innings!D:D)=TRIM(E609)),0))</f>
        <v>9.8800000000000008</v>
      </c>
      <c r="AB609" cm="1">
        <f t="array" ref="AB609">INDEX(Innings!J:J,MATCH(1,(TRIM(Innings!A:A)=TRIM(A609))*(TRIM(Innings!D:D)=TRIM(E609)),0))</f>
        <v>61</v>
      </c>
      <c r="AC609" cm="1">
        <f t="array" ref="AC609">INDEX(Innings!N:N,MATCH(1,(TRIM(Innings!A:A)=TRIM(A609))*(TRIM(Innings!D:D)=TRIM(E609)),0))</f>
        <v>14</v>
      </c>
      <c r="AD609" cm="1">
        <f t="array" ref="AD609">INDEX(Innings!S:S,MATCH(1,(TRIM(Innings!A:A)=TRIM(A609))*(TRIM(Innings!D:D)=TRIM(E609)),0))</f>
        <v>33</v>
      </c>
      <c r="AE609" t="str" cm="1">
        <f t="array" ref="AE609">INDEX(Innings!W:W,MATCH(1,(TRIM(Innings!A:A)=TRIM(A609))*(TRIM(Innings!D:D)=TRIM(E609)),0))</f>
        <v>Successful</v>
      </c>
      <c r="AF609">
        <f>IF(UPPER(TRIM(E609))=UPPER(TRIM(W609)),1,0)</f>
        <v>1</v>
      </c>
      <c r="AG609">
        <f t="shared" si="18"/>
        <v>59.99</v>
      </c>
    </row>
    <row r="610" spans="1:33" x14ac:dyDescent="0.3">
      <c r="A610" t="s">
        <v>353</v>
      </c>
      <c r="B610">
        <v>2</v>
      </c>
      <c r="C610" t="s">
        <v>224</v>
      </c>
      <c r="D610" t="s">
        <v>225</v>
      </c>
      <c r="E610" t="s">
        <v>219</v>
      </c>
      <c r="F610" t="s">
        <v>169</v>
      </c>
      <c r="G610" t="s">
        <v>134</v>
      </c>
      <c r="H610">
        <v>27</v>
      </c>
      <c r="I610">
        <v>20</v>
      </c>
      <c r="J610">
        <v>135</v>
      </c>
      <c r="K610" t="s">
        <v>96</v>
      </c>
      <c r="L610">
        <v>36.450000000000003</v>
      </c>
      <c r="M610">
        <v>4</v>
      </c>
      <c r="N610">
        <v>0</v>
      </c>
      <c r="O610">
        <v>40</v>
      </c>
      <c r="P610">
        <v>1</v>
      </c>
      <c r="Q610">
        <v>10</v>
      </c>
      <c r="R610">
        <v>2</v>
      </c>
      <c r="S610">
        <v>0</v>
      </c>
      <c r="T610">
        <v>0</v>
      </c>
      <c r="U610" s="8">
        <v>38.450000000000003</v>
      </c>
      <c r="V610" s="8">
        <f t="shared" si="19"/>
        <v>4</v>
      </c>
      <c r="W610" t="str">
        <f>_xlfn.XLOOKUP(A610, Matches!A:A, Matches!L:L, "NA", 0)</f>
        <v>UPW</v>
      </c>
      <c r="X610" t="str">
        <f>_xlfn.XLOOKUP(A610, Matches!A:A, Matches!J:J, "NA", 0)</f>
        <v>UPW</v>
      </c>
      <c r="Y610" t="str">
        <f>_xlfn.XLOOKUP(A610, Matches!A:A, Matches!F:F, "NA", 0)</f>
        <v>M. Chinnaswamy Stadium</v>
      </c>
      <c r="Z610" cm="1">
        <f t="array" ref="Z610">INDEX(Innings!F:F,MATCH(1,(TRIM(Innings!A:A)=TRIM(A610))*(TRIM(Innings!D:D)=TRIM(E610)),0))</f>
        <v>163</v>
      </c>
      <c r="AA610" cm="1">
        <f t="array" ref="AA610">INDEX(Innings!I:I,MATCH(1,(TRIM(Innings!A:A)=TRIM(A610))*(TRIM(Innings!D:D)=TRIM(E610)),0))</f>
        <v>9.8800000000000008</v>
      </c>
      <c r="AB610" cm="1">
        <f t="array" ref="AB610">INDEX(Innings!J:J,MATCH(1,(TRIM(Innings!A:A)=TRIM(A610))*(TRIM(Innings!D:D)=TRIM(E610)),0))</f>
        <v>61</v>
      </c>
      <c r="AC610" cm="1">
        <f t="array" ref="AC610">INDEX(Innings!N:N,MATCH(1,(TRIM(Innings!A:A)=TRIM(A610))*(TRIM(Innings!D:D)=TRIM(E610)),0))</f>
        <v>14</v>
      </c>
      <c r="AD610" cm="1">
        <f t="array" ref="AD610">INDEX(Innings!S:S,MATCH(1,(TRIM(Innings!A:A)=TRIM(A610))*(TRIM(Innings!D:D)=TRIM(E610)),0))</f>
        <v>33</v>
      </c>
      <c r="AE610" t="str" cm="1">
        <f t="array" ref="AE610">INDEX(Innings!W:W,MATCH(1,(TRIM(Innings!A:A)=TRIM(A610))*(TRIM(Innings!D:D)=TRIM(E610)),0))</f>
        <v>Successful</v>
      </c>
      <c r="AF610">
        <f>IF(UPPER(TRIM(E610))=UPPER(TRIM(W610)),1,0)</f>
        <v>1</v>
      </c>
      <c r="AG610">
        <f t="shared" si="18"/>
        <v>40.424999999999997</v>
      </c>
    </row>
    <row r="611" spans="1:33" x14ac:dyDescent="0.3">
      <c r="A611" t="s">
        <v>353</v>
      </c>
      <c r="B611">
        <v>2</v>
      </c>
      <c r="C611" t="s">
        <v>233</v>
      </c>
      <c r="D611" t="s">
        <v>234</v>
      </c>
      <c r="E611" t="s">
        <v>219</v>
      </c>
      <c r="F611" t="s">
        <v>101</v>
      </c>
      <c r="G611" t="s">
        <v>104</v>
      </c>
      <c r="H611">
        <v>0</v>
      </c>
      <c r="I611">
        <v>0</v>
      </c>
      <c r="J611">
        <v>0</v>
      </c>
      <c r="K611" t="s">
        <v>104</v>
      </c>
      <c r="L611">
        <v>0</v>
      </c>
      <c r="M611">
        <v>4</v>
      </c>
      <c r="N611">
        <v>0</v>
      </c>
      <c r="O611">
        <v>25</v>
      </c>
      <c r="P611">
        <v>1</v>
      </c>
      <c r="Q611">
        <v>6.2</v>
      </c>
      <c r="R611">
        <v>8</v>
      </c>
      <c r="S611">
        <v>0</v>
      </c>
      <c r="T611">
        <v>0</v>
      </c>
      <c r="U611" s="8">
        <v>8</v>
      </c>
      <c r="V611" s="8">
        <f t="shared" si="19"/>
        <v>1</v>
      </c>
      <c r="W611" t="str">
        <f>_xlfn.XLOOKUP(A611, Matches!A:A, Matches!L:L, "NA", 0)</f>
        <v>UPW</v>
      </c>
      <c r="X611" t="str">
        <f>_xlfn.XLOOKUP(A611, Matches!A:A, Matches!J:J, "NA", 0)</f>
        <v>UPW</v>
      </c>
      <c r="Y611" t="str">
        <f>_xlfn.XLOOKUP(A611, Matches!A:A, Matches!F:F, "NA", 0)</f>
        <v>M. Chinnaswamy Stadium</v>
      </c>
      <c r="Z611" cm="1">
        <f t="array" ref="Z611">INDEX(Innings!F:F,MATCH(1,(TRIM(Innings!A:A)=TRIM(A611))*(TRIM(Innings!D:D)=TRIM(E611)),0))</f>
        <v>163</v>
      </c>
      <c r="AA611" cm="1">
        <f t="array" ref="AA611">INDEX(Innings!I:I,MATCH(1,(TRIM(Innings!A:A)=TRIM(A611))*(TRIM(Innings!D:D)=TRIM(E611)),0))</f>
        <v>9.8800000000000008</v>
      </c>
      <c r="AB611" cm="1">
        <f t="array" ref="AB611">INDEX(Innings!J:J,MATCH(1,(TRIM(Innings!A:A)=TRIM(A611))*(TRIM(Innings!D:D)=TRIM(E611)),0))</f>
        <v>61</v>
      </c>
      <c r="AC611" cm="1">
        <f t="array" ref="AC611">INDEX(Innings!N:N,MATCH(1,(TRIM(Innings!A:A)=TRIM(A611))*(TRIM(Innings!D:D)=TRIM(E611)),0))</f>
        <v>14</v>
      </c>
      <c r="AD611" cm="1">
        <f t="array" ref="AD611">INDEX(Innings!S:S,MATCH(1,(TRIM(Innings!A:A)=TRIM(A611))*(TRIM(Innings!D:D)=TRIM(E611)),0))</f>
        <v>33</v>
      </c>
      <c r="AE611" t="str" cm="1">
        <f t="array" ref="AE611">INDEX(Innings!W:W,MATCH(1,(TRIM(Innings!A:A)=TRIM(A611))*(TRIM(Innings!D:D)=TRIM(E611)),0))</f>
        <v>Successful</v>
      </c>
      <c r="AF611">
        <f>IF(UPPER(TRIM(E611))=UPPER(TRIM(W611)),1,0)</f>
        <v>1</v>
      </c>
      <c r="AG611">
        <f t="shared" si="18"/>
        <v>24.3</v>
      </c>
    </row>
    <row r="612" spans="1:33" x14ac:dyDescent="0.3">
      <c r="A612" t="s">
        <v>353</v>
      </c>
      <c r="B612">
        <v>2</v>
      </c>
      <c r="C612" t="s">
        <v>220</v>
      </c>
      <c r="D612" t="s">
        <v>221</v>
      </c>
      <c r="E612" t="s">
        <v>219</v>
      </c>
      <c r="F612" t="s">
        <v>109</v>
      </c>
      <c r="G612" t="s">
        <v>104</v>
      </c>
      <c r="H612">
        <v>0</v>
      </c>
      <c r="I612">
        <v>0</v>
      </c>
      <c r="J612">
        <v>0</v>
      </c>
      <c r="K612" t="s">
        <v>104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 s="8">
        <v>0</v>
      </c>
      <c r="V612" s="8">
        <f t="shared" si="19"/>
        <v>0</v>
      </c>
      <c r="W612" t="str">
        <f>_xlfn.XLOOKUP(A612, Matches!A:A, Matches!L:L, "NA", 0)</f>
        <v>UPW</v>
      </c>
      <c r="X612" t="str">
        <f>_xlfn.XLOOKUP(A612, Matches!A:A, Matches!J:J, "NA", 0)</f>
        <v>UPW</v>
      </c>
      <c r="Y612" t="str">
        <f>_xlfn.XLOOKUP(A612, Matches!A:A, Matches!F:F, "NA", 0)</f>
        <v>M. Chinnaswamy Stadium</v>
      </c>
      <c r="Z612" cm="1">
        <f t="array" ref="Z612">INDEX(Innings!F:F,MATCH(1,(TRIM(Innings!A:A)=TRIM(A612))*(TRIM(Innings!D:D)=TRIM(E612)),0))</f>
        <v>163</v>
      </c>
      <c r="AA612" cm="1">
        <f t="array" ref="AA612">INDEX(Innings!I:I,MATCH(1,(TRIM(Innings!A:A)=TRIM(A612))*(TRIM(Innings!D:D)=TRIM(E612)),0))</f>
        <v>9.8800000000000008</v>
      </c>
      <c r="AB612" cm="1">
        <f t="array" ref="AB612">INDEX(Innings!J:J,MATCH(1,(TRIM(Innings!A:A)=TRIM(A612))*(TRIM(Innings!D:D)=TRIM(E612)),0))</f>
        <v>61</v>
      </c>
      <c r="AC612" cm="1">
        <f t="array" ref="AC612">INDEX(Innings!N:N,MATCH(1,(TRIM(Innings!A:A)=TRIM(A612))*(TRIM(Innings!D:D)=TRIM(E612)),0))</f>
        <v>14</v>
      </c>
      <c r="AD612" cm="1">
        <f t="array" ref="AD612">INDEX(Innings!S:S,MATCH(1,(TRIM(Innings!A:A)=TRIM(A612))*(TRIM(Innings!D:D)=TRIM(E612)),0))</f>
        <v>33</v>
      </c>
      <c r="AE612" t="str" cm="1">
        <f t="array" ref="AE612">INDEX(Innings!W:W,MATCH(1,(TRIM(Innings!A:A)=TRIM(A612))*(TRIM(Innings!D:D)=TRIM(E612)),0))</f>
        <v>Successful</v>
      </c>
      <c r="AF612">
        <f>IF(UPPER(TRIM(E612))=UPPER(TRIM(W612)),1,0)</f>
        <v>1</v>
      </c>
      <c r="AG612">
        <f t="shared" si="18"/>
        <v>20</v>
      </c>
    </row>
    <row r="613" spans="1:33" x14ac:dyDescent="0.3">
      <c r="A613" t="s">
        <v>353</v>
      </c>
      <c r="B613">
        <v>2</v>
      </c>
      <c r="C613" t="s">
        <v>273</v>
      </c>
      <c r="D613" t="s">
        <v>279</v>
      </c>
      <c r="E613" t="s">
        <v>219</v>
      </c>
      <c r="F613" t="s">
        <v>169</v>
      </c>
      <c r="G613" t="s">
        <v>104</v>
      </c>
      <c r="H613">
        <v>0</v>
      </c>
      <c r="I613">
        <v>0</v>
      </c>
      <c r="J613">
        <v>0</v>
      </c>
      <c r="K613" t="s">
        <v>104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 s="8">
        <v>0</v>
      </c>
      <c r="V613" s="8">
        <f t="shared" si="19"/>
        <v>0</v>
      </c>
      <c r="W613" t="str">
        <f>_xlfn.XLOOKUP(A613, Matches!A:A, Matches!L:L, "NA", 0)</f>
        <v>UPW</v>
      </c>
      <c r="X613" t="str">
        <f>_xlfn.XLOOKUP(A613, Matches!A:A, Matches!J:J, "NA", 0)</f>
        <v>UPW</v>
      </c>
      <c r="Y613" t="str">
        <f>_xlfn.XLOOKUP(A613, Matches!A:A, Matches!F:F, "NA", 0)</f>
        <v>M. Chinnaswamy Stadium</v>
      </c>
      <c r="Z613" cm="1">
        <f t="array" ref="Z613">INDEX(Innings!F:F,MATCH(1,(TRIM(Innings!A:A)=TRIM(A613))*(TRIM(Innings!D:D)=TRIM(E613)),0))</f>
        <v>163</v>
      </c>
      <c r="AA613" cm="1">
        <f t="array" ref="AA613">INDEX(Innings!I:I,MATCH(1,(TRIM(Innings!A:A)=TRIM(A613))*(TRIM(Innings!D:D)=TRIM(E613)),0))</f>
        <v>9.8800000000000008</v>
      </c>
      <c r="AB613" cm="1">
        <f t="array" ref="AB613">INDEX(Innings!J:J,MATCH(1,(TRIM(Innings!A:A)=TRIM(A613))*(TRIM(Innings!D:D)=TRIM(E613)),0))</f>
        <v>61</v>
      </c>
      <c r="AC613" cm="1">
        <f t="array" ref="AC613">INDEX(Innings!N:N,MATCH(1,(TRIM(Innings!A:A)=TRIM(A613))*(TRIM(Innings!D:D)=TRIM(E613)),0))</f>
        <v>14</v>
      </c>
      <c r="AD613" cm="1">
        <f t="array" ref="AD613">INDEX(Innings!S:S,MATCH(1,(TRIM(Innings!A:A)=TRIM(A613))*(TRIM(Innings!D:D)=TRIM(E613)),0))</f>
        <v>33</v>
      </c>
      <c r="AE613" t="str" cm="1">
        <f t="array" ref="AE613">INDEX(Innings!W:W,MATCH(1,(TRIM(Innings!A:A)=TRIM(A613))*(TRIM(Innings!D:D)=TRIM(E613)),0))</f>
        <v>Successful</v>
      </c>
      <c r="AF613">
        <f>IF(UPPER(TRIM(E613))=UPPER(TRIM(W613)),1,0)</f>
        <v>1</v>
      </c>
      <c r="AG613">
        <f t="shared" si="18"/>
        <v>20</v>
      </c>
    </row>
    <row r="614" spans="1:33" x14ac:dyDescent="0.3">
      <c r="A614" t="s">
        <v>353</v>
      </c>
      <c r="B614">
        <v>2</v>
      </c>
      <c r="C614" t="s">
        <v>394</v>
      </c>
      <c r="D614" t="s">
        <v>395</v>
      </c>
      <c r="E614" t="s">
        <v>219</v>
      </c>
      <c r="F614" t="s">
        <v>101</v>
      </c>
      <c r="G614" t="s">
        <v>104</v>
      </c>
      <c r="H614">
        <v>0</v>
      </c>
      <c r="I614">
        <v>0</v>
      </c>
      <c r="J614">
        <v>0</v>
      </c>
      <c r="K614" t="s">
        <v>104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 s="8">
        <v>0</v>
      </c>
      <c r="V614" s="8">
        <f t="shared" si="19"/>
        <v>0</v>
      </c>
      <c r="W614" t="str">
        <f>_xlfn.XLOOKUP(A614, Matches!A:A, Matches!L:L, "NA", 0)</f>
        <v>UPW</v>
      </c>
      <c r="X614" t="str">
        <f>_xlfn.XLOOKUP(A614, Matches!A:A, Matches!J:J, "NA", 0)</f>
        <v>UPW</v>
      </c>
      <c r="Y614" t="str">
        <f>_xlfn.XLOOKUP(A614, Matches!A:A, Matches!F:F, "NA", 0)</f>
        <v>M. Chinnaswamy Stadium</v>
      </c>
      <c r="Z614" cm="1">
        <f t="array" ref="Z614">INDEX(Innings!F:F,MATCH(1,(TRIM(Innings!A:A)=TRIM(A614))*(TRIM(Innings!D:D)=TRIM(E614)),0))</f>
        <v>163</v>
      </c>
      <c r="AA614" cm="1">
        <f t="array" ref="AA614">INDEX(Innings!I:I,MATCH(1,(TRIM(Innings!A:A)=TRIM(A614))*(TRIM(Innings!D:D)=TRIM(E614)),0))</f>
        <v>9.8800000000000008</v>
      </c>
      <c r="AB614" cm="1">
        <f t="array" ref="AB614">INDEX(Innings!J:J,MATCH(1,(TRIM(Innings!A:A)=TRIM(A614))*(TRIM(Innings!D:D)=TRIM(E614)),0))</f>
        <v>61</v>
      </c>
      <c r="AC614" cm="1">
        <f t="array" ref="AC614">INDEX(Innings!N:N,MATCH(1,(TRIM(Innings!A:A)=TRIM(A614))*(TRIM(Innings!D:D)=TRIM(E614)),0))</f>
        <v>14</v>
      </c>
      <c r="AD614" cm="1">
        <f t="array" ref="AD614">INDEX(Innings!S:S,MATCH(1,(TRIM(Innings!A:A)=TRIM(A614))*(TRIM(Innings!D:D)=TRIM(E614)),0))</f>
        <v>33</v>
      </c>
      <c r="AE614" t="str" cm="1">
        <f t="array" ref="AE614">INDEX(Innings!W:W,MATCH(1,(TRIM(Innings!A:A)=TRIM(A614))*(TRIM(Innings!D:D)=TRIM(E614)),0))</f>
        <v>Successful</v>
      </c>
      <c r="AF614">
        <f>IF(UPPER(TRIM(E614))=UPPER(TRIM(W614)),1,0)</f>
        <v>1</v>
      </c>
      <c r="AG614">
        <f t="shared" si="18"/>
        <v>20</v>
      </c>
    </row>
    <row r="615" spans="1:33" x14ac:dyDescent="0.3">
      <c r="A615" t="s">
        <v>353</v>
      </c>
      <c r="B615">
        <v>2</v>
      </c>
      <c r="C615" t="s">
        <v>237</v>
      </c>
      <c r="D615" t="s">
        <v>238</v>
      </c>
      <c r="E615" t="s">
        <v>219</v>
      </c>
      <c r="F615" t="s">
        <v>101</v>
      </c>
      <c r="G615" t="s">
        <v>104</v>
      </c>
      <c r="H615">
        <v>0</v>
      </c>
      <c r="I615">
        <v>0</v>
      </c>
      <c r="J615">
        <v>0</v>
      </c>
      <c r="K615" t="s">
        <v>104</v>
      </c>
      <c r="L615">
        <v>0</v>
      </c>
      <c r="M615">
        <v>4</v>
      </c>
      <c r="N615">
        <v>0</v>
      </c>
      <c r="O615">
        <v>38</v>
      </c>
      <c r="P615">
        <v>1</v>
      </c>
      <c r="Q615">
        <v>9.5</v>
      </c>
      <c r="R615">
        <v>0</v>
      </c>
      <c r="S615">
        <v>0</v>
      </c>
      <c r="T615">
        <v>0</v>
      </c>
      <c r="U615" s="8">
        <v>0</v>
      </c>
      <c r="V615" s="8">
        <f t="shared" si="19"/>
        <v>0</v>
      </c>
      <c r="W615" t="str">
        <f>_xlfn.XLOOKUP(A615, Matches!A:A, Matches!L:L, "NA", 0)</f>
        <v>UPW</v>
      </c>
      <c r="X615" t="str">
        <f>_xlfn.XLOOKUP(A615, Matches!A:A, Matches!J:J, "NA", 0)</f>
        <v>UPW</v>
      </c>
      <c r="Y615" t="str">
        <f>_xlfn.XLOOKUP(A615, Matches!A:A, Matches!F:F, "NA", 0)</f>
        <v>M. Chinnaswamy Stadium</v>
      </c>
      <c r="Z615" cm="1">
        <f t="array" ref="Z615">INDEX(Innings!F:F,MATCH(1,(TRIM(Innings!A:A)=TRIM(A615))*(TRIM(Innings!D:D)=TRIM(E615)),0))</f>
        <v>163</v>
      </c>
      <c r="AA615" cm="1">
        <f t="array" ref="AA615">INDEX(Innings!I:I,MATCH(1,(TRIM(Innings!A:A)=TRIM(A615))*(TRIM(Innings!D:D)=TRIM(E615)),0))</f>
        <v>9.8800000000000008</v>
      </c>
      <c r="AB615" cm="1">
        <f t="array" ref="AB615">INDEX(Innings!J:J,MATCH(1,(TRIM(Innings!A:A)=TRIM(A615))*(TRIM(Innings!D:D)=TRIM(E615)),0))</f>
        <v>61</v>
      </c>
      <c r="AC615" cm="1">
        <f t="array" ref="AC615">INDEX(Innings!N:N,MATCH(1,(TRIM(Innings!A:A)=TRIM(A615))*(TRIM(Innings!D:D)=TRIM(E615)),0))</f>
        <v>14</v>
      </c>
      <c r="AD615" cm="1">
        <f t="array" ref="AD615">INDEX(Innings!S:S,MATCH(1,(TRIM(Innings!A:A)=TRIM(A615))*(TRIM(Innings!D:D)=TRIM(E615)),0))</f>
        <v>33</v>
      </c>
      <c r="AE615" t="str" cm="1">
        <f t="array" ref="AE615">INDEX(Innings!W:W,MATCH(1,(TRIM(Innings!A:A)=TRIM(A615))*(TRIM(Innings!D:D)=TRIM(E615)),0))</f>
        <v>Successful</v>
      </c>
      <c r="AF615">
        <f>IF(UPPER(TRIM(E615))=UPPER(TRIM(W615)),1,0)</f>
        <v>1</v>
      </c>
      <c r="AG615">
        <f t="shared" si="18"/>
        <v>20</v>
      </c>
    </row>
    <row r="616" spans="1:33" x14ac:dyDescent="0.3">
      <c r="A616" t="s">
        <v>353</v>
      </c>
      <c r="B616">
        <v>2</v>
      </c>
      <c r="C616" t="s">
        <v>235</v>
      </c>
      <c r="D616" t="s">
        <v>236</v>
      </c>
      <c r="E616" t="s">
        <v>219</v>
      </c>
      <c r="F616" t="s">
        <v>101</v>
      </c>
      <c r="G616" t="s">
        <v>104</v>
      </c>
      <c r="H616">
        <v>0</v>
      </c>
      <c r="I616">
        <v>0</v>
      </c>
      <c r="J616">
        <v>0</v>
      </c>
      <c r="K616" t="s">
        <v>104</v>
      </c>
      <c r="L616">
        <v>0</v>
      </c>
      <c r="M616">
        <v>4</v>
      </c>
      <c r="N616">
        <v>0</v>
      </c>
      <c r="O616">
        <v>38</v>
      </c>
      <c r="P616">
        <v>1</v>
      </c>
      <c r="Q616">
        <v>9.5</v>
      </c>
      <c r="R616">
        <v>0</v>
      </c>
      <c r="S616">
        <v>0</v>
      </c>
      <c r="T616">
        <v>0</v>
      </c>
      <c r="U616" s="8">
        <v>0</v>
      </c>
      <c r="V616" s="8">
        <f t="shared" si="19"/>
        <v>0</v>
      </c>
      <c r="W616" t="str">
        <f>_xlfn.XLOOKUP(A616, Matches!A:A, Matches!L:L, "NA", 0)</f>
        <v>UPW</v>
      </c>
      <c r="X616" t="str">
        <f>_xlfn.XLOOKUP(A616, Matches!A:A, Matches!J:J, "NA", 0)</f>
        <v>UPW</v>
      </c>
      <c r="Y616" t="str">
        <f>_xlfn.XLOOKUP(A616, Matches!A:A, Matches!F:F, "NA", 0)</f>
        <v>M. Chinnaswamy Stadium</v>
      </c>
      <c r="Z616" cm="1">
        <f t="array" ref="Z616">INDEX(Innings!F:F,MATCH(1,(TRIM(Innings!A:A)=TRIM(A616))*(TRIM(Innings!D:D)=TRIM(E616)),0))</f>
        <v>163</v>
      </c>
      <c r="AA616" cm="1">
        <f t="array" ref="AA616">INDEX(Innings!I:I,MATCH(1,(TRIM(Innings!A:A)=TRIM(A616))*(TRIM(Innings!D:D)=TRIM(E616)),0))</f>
        <v>9.8800000000000008</v>
      </c>
      <c r="AB616" cm="1">
        <f t="array" ref="AB616">INDEX(Innings!J:J,MATCH(1,(TRIM(Innings!A:A)=TRIM(A616))*(TRIM(Innings!D:D)=TRIM(E616)),0))</f>
        <v>61</v>
      </c>
      <c r="AC616" cm="1">
        <f t="array" ref="AC616">INDEX(Innings!N:N,MATCH(1,(TRIM(Innings!A:A)=TRIM(A616))*(TRIM(Innings!D:D)=TRIM(E616)),0))</f>
        <v>14</v>
      </c>
      <c r="AD616" cm="1">
        <f t="array" ref="AD616">INDEX(Innings!S:S,MATCH(1,(TRIM(Innings!A:A)=TRIM(A616))*(TRIM(Innings!D:D)=TRIM(E616)),0))</f>
        <v>33</v>
      </c>
      <c r="AE616" t="str" cm="1">
        <f t="array" ref="AE616">INDEX(Innings!W:W,MATCH(1,(TRIM(Innings!A:A)=TRIM(A616))*(TRIM(Innings!D:D)=TRIM(E616)),0))</f>
        <v>Successful</v>
      </c>
      <c r="AF616">
        <f>IF(UPPER(TRIM(E616))=UPPER(TRIM(W616)),1,0)</f>
        <v>1</v>
      </c>
      <c r="AG616">
        <f t="shared" si="18"/>
        <v>20</v>
      </c>
    </row>
    <row r="617" spans="1:33" x14ac:dyDescent="0.3">
      <c r="A617" t="s">
        <v>354</v>
      </c>
      <c r="B617">
        <v>2</v>
      </c>
      <c r="C617" t="s">
        <v>190</v>
      </c>
      <c r="D617" t="s">
        <v>191</v>
      </c>
      <c r="E617" t="s">
        <v>158</v>
      </c>
      <c r="F617" t="s">
        <v>109</v>
      </c>
      <c r="G617" t="s">
        <v>86</v>
      </c>
      <c r="H617">
        <v>11</v>
      </c>
      <c r="I617">
        <v>17</v>
      </c>
      <c r="J617">
        <v>64.709999999999994</v>
      </c>
      <c r="K617" t="s">
        <v>246</v>
      </c>
      <c r="L617">
        <v>12.8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 s="8">
        <v>12.8</v>
      </c>
      <c r="V617" s="8">
        <f t="shared" si="19"/>
        <v>1</v>
      </c>
      <c r="W617" t="str">
        <f>_xlfn.XLOOKUP(A617, Matches!A:A, Matches!L:L, "NA", 0)</f>
        <v>DCW</v>
      </c>
      <c r="X617" t="str">
        <f>_xlfn.XLOOKUP(A617, Matches!A:A, Matches!J:J, "NA", 0)</f>
        <v>RCBW</v>
      </c>
      <c r="Y617" t="str">
        <f>_xlfn.XLOOKUP(A617, Matches!A:A, Matches!F:F, "NA", 0)</f>
        <v>M. Chinnaswamy Stadium</v>
      </c>
      <c r="Z617" cm="1">
        <f t="array" ref="Z617">INDEX(Innings!F:F,MATCH(1,(TRIM(Innings!A:A)=TRIM(A617))*(TRIM(Innings!D:D)=TRIM(E617)),0))</f>
        <v>194</v>
      </c>
      <c r="AA617" cm="1">
        <f t="array" ref="AA617">INDEX(Innings!I:I,MATCH(1,(TRIM(Innings!A:A)=TRIM(A617))*(TRIM(Innings!D:D)=TRIM(E617)),0))</f>
        <v>9.6999999999999993</v>
      </c>
      <c r="AB617" cm="1">
        <f t="array" ref="AB617">INDEX(Innings!J:J,MATCH(1,(TRIM(Innings!A:A)=TRIM(A617))*(TRIM(Innings!D:D)=TRIM(E617)),0))</f>
        <v>45</v>
      </c>
      <c r="AC617" cm="1">
        <f t="array" ref="AC617">INDEX(Innings!N:N,MATCH(1,(TRIM(Innings!A:A)=TRIM(A617))*(TRIM(Innings!D:D)=TRIM(E617)),0))</f>
        <v>61</v>
      </c>
      <c r="AD617" cm="1">
        <f t="array" ref="AD617">INDEX(Innings!S:S,MATCH(1,(TRIM(Innings!A:A)=TRIM(A617))*(TRIM(Innings!D:D)=TRIM(E617)),0))</f>
        <v>43</v>
      </c>
      <c r="AE617" t="str" cm="1">
        <f t="array" ref="AE617">INDEX(Innings!W:W,MATCH(1,(TRIM(Innings!A:A)=TRIM(A617))*(TRIM(Innings!D:D)=TRIM(E617)),0))</f>
        <v>NA</v>
      </c>
      <c r="AF617">
        <f>IF(UPPER(TRIM(E617))=UPPER(TRIM(W617)),1,0)</f>
        <v>1</v>
      </c>
      <c r="AG617">
        <f t="shared" si="18"/>
        <v>26.7</v>
      </c>
    </row>
    <row r="618" spans="1:33" x14ac:dyDescent="0.3">
      <c r="A618" t="s">
        <v>354</v>
      </c>
      <c r="B618">
        <v>2</v>
      </c>
      <c r="C618" t="s">
        <v>188</v>
      </c>
      <c r="D618" t="s">
        <v>189</v>
      </c>
      <c r="E618" t="s">
        <v>158</v>
      </c>
      <c r="F618" t="s">
        <v>109</v>
      </c>
      <c r="G618" t="s">
        <v>86</v>
      </c>
      <c r="H618">
        <v>50</v>
      </c>
      <c r="I618">
        <v>31</v>
      </c>
      <c r="J618">
        <v>161.29</v>
      </c>
      <c r="K618" t="s">
        <v>246</v>
      </c>
      <c r="L618">
        <v>63.9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 s="8">
        <v>63.9</v>
      </c>
      <c r="V618" s="8">
        <f t="shared" si="19"/>
        <v>6</v>
      </c>
      <c r="W618" t="str">
        <f>_xlfn.XLOOKUP(A618, Matches!A:A, Matches!L:L, "NA", 0)</f>
        <v>DCW</v>
      </c>
      <c r="X618" t="str">
        <f>_xlfn.XLOOKUP(A618, Matches!A:A, Matches!J:J, "NA", 0)</f>
        <v>RCBW</v>
      </c>
      <c r="Y618" t="str">
        <f>_xlfn.XLOOKUP(A618, Matches!A:A, Matches!F:F, "NA", 0)</f>
        <v>M. Chinnaswamy Stadium</v>
      </c>
      <c r="Z618" cm="1">
        <f t="array" ref="Z618">INDEX(Innings!F:F,MATCH(1,(TRIM(Innings!A:A)=TRIM(A618))*(TRIM(Innings!D:D)=TRIM(E618)),0))</f>
        <v>194</v>
      </c>
      <c r="AA618" cm="1">
        <f t="array" ref="AA618">INDEX(Innings!I:I,MATCH(1,(TRIM(Innings!A:A)=TRIM(A618))*(TRIM(Innings!D:D)=TRIM(E618)),0))</f>
        <v>9.6999999999999993</v>
      </c>
      <c r="AB618" cm="1">
        <f t="array" ref="AB618">INDEX(Innings!J:J,MATCH(1,(TRIM(Innings!A:A)=TRIM(A618))*(TRIM(Innings!D:D)=TRIM(E618)),0))</f>
        <v>45</v>
      </c>
      <c r="AC618" cm="1">
        <f t="array" ref="AC618">INDEX(Innings!N:N,MATCH(1,(TRIM(Innings!A:A)=TRIM(A618))*(TRIM(Innings!D:D)=TRIM(E618)),0))</f>
        <v>61</v>
      </c>
      <c r="AD618" cm="1">
        <f t="array" ref="AD618">INDEX(Innings!S:S,MATCH(1,(TRIM(Innings!A:A)=TRIM(A618))*(TRIM(Innings!D:D)=TRIM(E618)),0))</f>
        <v>43</v>
      </c>
      <c r="AE618" t="str" cm="1">
        <f t="array" ref="AE618">INDEX(Innings!W:W,MATCH(1,(TRIM(Innings!A:A)=TRIM(A618))*(TRIM(Innings!D:D)=TRIM(E618)),0))</f>
        <v>NA</v>
      </c>
      <c r="AF618">
        <f>IF(UPPER(TRIM(E618))=UPPER(TRIM(W618)),1,0)</f>
        <v>1</v>
      </c>
      <c r="AG618">
        <f t="shared" si="18"/>
        <v>53.75</v>
      </c>
    </row>
    <row r="619" spans="1:33" x14ac:dyDescent="0.3">
      <c r="A619" t="s">
        <v>354</v>
      </c>
      <c r="B619">
        <v>2</v>
      </c>
      <c r="C619" t="s">
        <v>196</v>
      </c>
      <c r="D619" t="s">
        <v>197</v>
      </c>
      <c r="E619" t="s">
        <v>158</v>
      </c>
      <c r="F619" t="s">
        <v>109</v>
      </c>
      <c r="G619" t="s">
        <v>92</v>
      </c>
      <c r="H619">
        <v>46</v>
      </c>
      <c r="I619">
        <v>33</v>
      </c>
      <c r="J619">
        <v>139.38999999999999</v>
      </c>
      <c r="K619" t="s">
        <v>245</v>
      </c>
      <c r="L619">
        <v>56.2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 s="8">
        <v>56.2</v>
      </c>
      <c r="V619" s="8">
        <f t="shared" si="19"/>
        <v>6</v>
      </c>
      <c r="W619" t="str">
        <f>_xlfn.XLOOKUP(A619, Matches!A:A, Matches!L:L, "NA", 0)</f>
        <v>DCW</v>
      </c>
      <c r="X619" t="str">
        <f>_xlfn.XLOOKUP(A619, Matches!A:A, Matches!J:J, "NA", 0)</f>
        <v>RCBW</v>
      </c>
      <c r="Y619" t="str">
        <f>_xlfn.XLOOKUP(A619, Matches!A:A, Matches!F:F, "NA", 0)</f>
        <v>M. Chinnaswamy Stadium</v>
      </c>
      <c r="Z619" cm="1">
        <f t="array" ref="Z619">INDEX(Innings!F:F,MATCH(1,(TRIM(Innings!A:A)=TRIM(A619))*(TRIM(Innings!D:D)=TRIM(E619)),0))</f>
        <v>194</v>
      </c>
      <c r="AA619" cm="1">
        <f t="array" ref="AA619">INDEX(Innings!I:I,MATCH(1,(TRIM(Innings!A:A)=TRIM(A619))*(TRIM(Innings!D:D)=TRIM(E619)),0))</f>
        <v>9.6999999999999993</v>
      </c>
      <c r="AB619" cm="1">
        <f t="array" ref="AB619">INDEX(Innings!J:J,MATCH(1,(TRIM(Innings!A:A)=TRIM(A619))*(TRIM(Innings!D:D)=TRIM(E619)),0))</f>
        <v>45</v>
      </c>
      <c r="AC619" cm="1">
        <f t="array" ref="AC619">INDEX(Innings!N:N,MATCH(1,(TRIM(Innings!A:A)=TRIM(A619))*(TRIM(Innings!D:D)=TRIM(E619)),0))</f>
        <v>61</v>
      </c>
      <c r="AD619" cm="1">
        <f t="array" ref="AD619">INDEX(Innings!S:S,MATCH(1,(TRIM(Innings!A:A)=TRIM(A619))*(TRIM(Innings!D:D)=TRIM(E619)),0))</f>
        <v>43</v>
      </c>
      <c r="AE619" t="str" cm="1">
        <f t="array" ref="AE619">INDEX(Innings!W:W,MATCH(1,(TRIM(Innings!A:A)=TRIM(A619))*(TRIM(Innings!D:D)=TRIM(E619)),0))</f>
        <v>NA</v>
      </c>
      <c r="AF619">
        <f>IF(UPPER(TRIM(E619))=UPPER(TRIM(W619)),1,0)</f>
        <v>1</v>
      </c>
      <c r="AG619">
        <f t="shared" si="18"/>
        <v>49.900000000000006</v>
      </c>
    </row>
    <row r="620" spans="1:33" x14ac:dyDescent="0.3">
      <c r="A620" t="s">
        <v>354</v>
      </c>
      <c r="B620">
        <v>2</v>
      </c>
      <c r="C620" t="s">
        <v>194</v>
      </c>
      <c r="D620" t="s">
        <v>195</v>
      </c>
      <c r="E620" t="s">
        <v>158</v>
      </c>
      <c r="F620" t="s">
        <v>109</v>
      </c>
      <c r="G620" t="s">
        <v>92</v>
      </c>
      <c r="H620">
        <v>0</v>
      </c>
      <c r="I620">
        <v>4</v>
      </c>
      <c r="J620">
        <v>0</v>
      </c>
      <c r="K620" t="s">
        <v>246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 s="8">
        <v>0</v>
      </c>
      <c r="V620" s="8">
        <f t="shared" si="19"/>
        <v>0</v>
      </c>
      <c r="W620" t="str">
        <f>_xlfn.XLOOKUP(A620, Matches!A:A, Matches!L:L, "NA", 0)</f>
        <v>DCW</v>
      </c>
      <c r="X620" t="str">
        <f>_xlfn.XLOOKUP(A620, Matches!A:A, Matches!J:J, "NA", 0)</f>
        <v>RCBW</v>
      </c>
      <c r="Y620" t="str">
        <f>_xlfn.XLOOKUP(A620, Matches!A:A, Matches!F:F, "NA", 0)</f>
        <v>M. Chinnaswamy Stadium</v>
      </c>
      <c r="Z620" cm="1">
        <f t="array" ref="Z620">INDEX(Innings!F:F,MATCH(1,(TRIM(Innings!A:A)=TRIM(A620))*(TRIM(Innings!D:D)=TRIM(E620)),0))</f>
        <v>194</v>
      </c>
      <c r="AA620" cm="1">
        <f t="array" ref="AA620">INDEX(Innings!I:I,MATCH(1,(TRIM(Innings!A:A)=TRIM(A620))*(TRIM(Innings!D:D)=TRIM(E620)),0))</f>
        <v>9.6999999999999993</v>
      </c>
      <c r="AB620" cm="1">
        <f t="array" ref="AB620">INDEX(Innings!J:J,MATCH(1,(TRIM(Innings!A:A)=TRIM(A620))*(TRIM(Innings!D:D)=TRIM(E620)),0))</f>
        <v>45</v>
      </c>
      <c r="AC620" cm="1">
        <f t="array" ref="AC620">INDEX(Innings!N:N,MATCH(1,(TRIM(Innings!A:A)=TRIM(A620))*(TRIM(Innings!D:D)=TRIM(E620)),0))</f>
        <v>61</v>
      </c>
      <c r="AD620" cm="1">
        <f t="array" ref="AD620">INDEX(Innings!S:S,MATCH(1,(TRIM(Innings!A:A)=TRIM(A620))*(TRIM(Innings!D:D)=TRIM(E620)),0))</f>
        <v>43</v>
      </c>
      <c r="AE620" t="str" cm="1">
        <f t="array" ref="AE620">INDEX(Innings!W:W,MATCH(1,(TRIM(Innings!A:A)=TRIM(A620))*(TRIM(Innings!D:D)=TRIM(E620)),0))</f>
        <v>NA</v>
      </c>
      <c r="AF620">
        <f>IF(UPPER(TRIM(E620))=UPPER(TRIM(W620)),1,0)</f>
        <v>1</v>
      </c>
      <c r="AG620">
        <f t="shared" si="18"/>
        <v>20</v>
      </c>
    </row>
    <row r="621" spans="1:33" x14ac:dyDescent="0.3">
      <c r="A621" t="s">
        <v>354</v>
      </c>
      <c r="B621">
        <v>2</v>
      </c>
      <c r="C621" t="s">
        <v>192</v>
      </c>
      <c r="D621" t="s">
        <v>193</v>
      </c>
      <c r="E621" t="s">
        <v>158</v>
      </c>
      <c r="F621" t="s">
        <v>169</v>
      </c>
      <c r="G621" t="s">
        <v>134</v>
      </c>
      <c r="H621">
        <v>32</v>
      </c>
      <c r="I621">
        <v>16</v>
      </c>
      <c r="J621">
        <v>200</v>
      </c>
      <c r="K621" t="s">
        <v>246</v>
      </c>
      <c r="L621">
        <v>52.4</v>
      </c>
      <c r="M621">
        <v>4</v>
      </c>
      <c r="N621">
        <v>0</v>
      </c>
      <c r="O621">
        <v>35</v>
      </c>
      <c r="P621">
        <v>2</v>
      </c>
      <c r="Q621">
        <v>8.8000000000000007</v>
      </c>
      <c r="R621">
        <v>28</v>
      </c>
      <c r="S621">
        <v>0</v>
      </c>
      <c r="T621">
        <v>0</v>
      </c>
      <c r="U621" s="8">
        <v>80.400000000000006</v>
      </c>
      <c r="V621" s="8">
        <f t="shared" si="19"/>
        <v>8</v>
      </c>
      <c r="W621" t="str">
        <f>_xlfn.XLOOKUP(A621, Matches!A:A, Matches!L:L, "NA", 0)</f>
        <v>DCW</v>
      </c>
      <c r="X621" t="str">
        <f>_xlfn.XLOOKUP(A621, Matches!A:A, Matches!J:J, "NA", 0)</f>
        <v>RCBW</v>
      </c>
      <c r="Y621" t="str">
        <f>_xlfn.XLOOKUP(A621, Matches!A:A, Matches!F:F, "NA", 0)</f>
        <v>M. Chinnaswamy Stadium</v>
      </c>
      <c r="Z621" cm="1">
        <f t="array" ref="Z621">INDEX(Innings!F:F,MATCH(1,(TRIM(Innings!A:A)=TRIM(A621))*(TRIM(Innings!D:D)=TRIM(E621)),0))</f>
        <v>194</v>
      </c>
      <c r="AA621" cm="1">
        <f t="array" ref="AA621">INDEX(Innings!I:I,MATCH(1,(TRIM(Innings!A:A)=TRIM(A621))*(TRIM(Innings!D:D)=TRIM(E621)),0))</f>
        <v>9.6999999999999993</v>
      </c>
      <c r="AB621" cm="1">
        <f t="array" ref="AB621">INDEX(Innings!J:J,MATCH(1,(TRIM(Innings!A:A)=TRIM(A621))*(TRIM(Innings!D:D)=TRIM(E621)),0))</f>
        <v>45</v>
      </c>
      <c r="AC621" cm="1">
        <f t="array" ref="AC621">INDEX(Innings!N:N,MATCH(1,(TRIM(Innings!A:A)=TRIM(A621))*(TRIM(Innings!D:D)=TRIM(E621)),0))</f>
        <v>61</v>
      </c>
      <c r="AD621" cm="1">
        <f t="array" ref="AD621">INDEX(Innings!S:S,MATCH(1,(TRIM(Innings!A:A)=TRIM(A621))*(TRIM(Innings!D:D)=TRIM(E621)),0))</f>
        <v>43</v>
      </c>
      <c r="AE621" t="str" cm="1">
        <f t="array" ref="AE621">INDEX(Innings!W:W,MATCH(1,(TRIM(Innings!A:A)=TRIM(A621))*(TRIM(Innings!D:D)=TRIM(E621)),0))</f>
        <v>NA</v>
      </c>
      <c r="AF621">
        <f>IF(UPPER(TRIM(E621))=UPPER(TRIM(W621)),1,0)</f>
        <v>1</v>
      </c>
      <c r="AG621">
        <f t="shared" si="18"/>
        <v>62.6</v>
      </c>
    </row>
    <row r="622" spans="1:33" x14ac:dyDescent="0.3">
      <c r="A622" t="s">
        <v>354</v>
      </c>
      <c r="B622">
        <v>2</v>
      </c>
      <c r="C622" t="s">
        <v>198</v>
      </c>
      <c r="D622" t="s">
        <v>199</v>
      </c>
      <c r="E622" t="s">
        <v>158</v>
      </c>
      <c r="F622" t="s">
        <v>169</v>
      </c>
      <c r="G622" t="s">
        <v>134</v>
      </c>
      <c r="H622">
        <v>36</v>
      </c>
      <c r="I622">
        <v>16</v>
      </c>
      <c r="J622">
        <v>225</v>
      </c>
      <c r="K622" t="s">
        <v>96</v>
      </c>
      <c r="L622">
        <v>64.8</v>
      </c>
      <c r="M622">
        <v>4</v>
      </c>
      <c r="N622">
        <v>0</v>
      </c>
      <c r="O622">
        <v>21</v>
      </c>
      <c r="P622">
        <v>3</v>
      </c>
      <c r="Q622">
        <v>5.2</v>
      </c>
      <c r="R622">
        <v>48</v>
      </c>
      <c r="S622">
        <v>0</v>
      </c>
      <c r="T622">
        <v>0</v>
      </c>
      <c r="U622" s="8">
        <v>112.8</v>
      </c>
      <c r="V622" s="8">
        <f t="shared" si="19"/>
        <v>10</v>
      </c>
      <c r="W622" t="str">
        <f>_xlfn.XLOOKUP(A622, Matches!A:A, Matches!L:L, "NA", 0)</f>
        <v>DCW</v>
      </c>
      <c r="X622" t="str">
        <f>_xlfn.XLOOKUP(A622, Matches!A:A, Matches!J:J, "NA", 0)</f>
        <v>RCBW</v>
      </c>
      <c r="Y622" t="str">
        <f>_xlfn.XLOOKUP(A622, Matches!A:A, Matches!F:F, "NA", 0)</f>
        <v>M. Chinnaswamy Stadium</v>
      </c>
      <c r="Z622" cm="1">
        <f t="array" ref="Z622">INDEX(Innings!F:F,MATCH(1,(TRIM(Innings!A:A)=TRIM(A622))*(TRIM(Innings!D:D)=TRIM(E622)),0))</f>
        <v>194</v>
      </c>
      <c r="AA622" cm="1">
        <f t="array" ref="AA622">INDEX(Innings!I:I,MATCH(1,(TRIM(Innings!A:A)=TRIM(A622))*(TRIM(Innings!D:D)=TRIM(E622)),0))</f>
        <v>9.6999999999999993</v>
      </c>
      <c r="AB622" cm="1">
        <f t="array" ref="AB622">INDEX(Innings!J:J,MATCH(1,(TRIM(Innings!A:A)=TRIM(A622))*(TRIM(Innings!D:D)=TRIM(E622)),0))</f>
        <v>45</v>
      </c>
      <c r="AC622" cm="1">
        <f t="array" ref="AC622">INDEX(Innings!N:N,MATCH(1,(TRIM(Innings!A:A)=TRIM(A622))*(TRIM(Innings!D:D)=TRIM(E622)),0))</f>
        <v>61</v>
      </c>
      <c r="AD622" cm="1">
        <f t="array" ref="AD622">INDEX(Innings!S:S,MATCH(1,(TRIM(Innings!A:A)=TRIM(A622))*(TRIM(Innings!D:D)=TRIM(E622)),0))</f>
        <v>43</v>
      </c>
      <c r="AE622" t="str" cm="1">
        <f t="array" ref="AE622">INDEX(Innings!W:W,MATCH(1,(TRIM(Innings!A:A)=TRIM(A622))*(TRIM(Innings!D:D)=TRIM(E622)),0))</f>
        <v>NA</v>
      </c>
      <c r="AF622">
        <f>IF(UPPER(TRIM(E622))=UPPER(TRIM(W622)),1,0)</f>
        <v>1</v>
      </c>
      <c r="AG622">
        <f t="shared" si="18"/>
        <v>79.400000000000006</v>
      </c>
    </row>
    <row r="623" spans="1:33" x14ac:dyDescent="0.3">
      <c r="A623" t="s">
        <v>354</v>
      </c>
      <c r="B623">
        <v>2</v>
      </c>
      <c r="C623" t="s">
        <v>202</v>
      </c>
      <c r="D623" t="s">
        <v>203</v>
      </c>
      <c r="E623" t="s">
        <v>158</v>
      </c>
      <c r="F623" t="s">
        <v>101</v>
      </c>
      <c r="G623" t="s">
        <v>135</v>
      </c>
      <c r="H623">
        <v>10</v>
      </c>
      <c r="I623">
        <v>4</v>
      </c>
      <c r="J623">
        <v>250</v>
      </c>
      <c r="K623" t="s">
        <v>96</v>
      </c>
      <c r="L623">
        <v>28</v>
      </c>
      <c r="M623">
        <v>4</v>
      </c>
      <c r="N623">
        <v>0</v>
      </c>
      <c r="O623">
        <v>38</v>
      </c>
      <c r="P623">
        <v>2</v>
      </c>
      <c r="Q623">
        <v>9.5</v>
      </c>
      <c r="R623">
        <v>20</v>
      </c>
      <c r="S623">
        <v>0</v>
      </c>
      <c r="T623">
        <v>0</v>
      </c>
      <c r="U623" s="8">
        <v>48</v>
      </c>
      <c r="V623" s="8">
        <f t="shared" si="19"/>
        <v>5</v>
      </c>
      <c r="W623" t="str">
        <f>_xlfn.XLOOKUP(A623, Matches!A:A, Matches!L:L, "NA", 0)</f>
        <v>DCW</v>
      </c>
      <c r="X623" t="str">
        <f>_xlfn.XLOOKUP(A623, Matches!A:A, Matches!J:J, "NA", 0)</f>
        <v>RCBW</v>
      </c>
      <c r="Y623" t="str">
        <f>_xlfn.XLOOKUP(A623, Matches!A:A, Matches!F:F, "NA", 0)</f>
        <v>M. Chinnaswamy Stadium</v>
      </c>
      <c r="Z623" cm="1">
        <f t="array" ref="Z623">INDEX(Innings!F:F,MATCH(1,(TRIM(Innings!A:A)=TRIM(A623))*(TRIM(Innings!D:D)=TRIM(E623)),0))</f>
        <v>194</v>
      </c>
      <c r="AA623" cm="1">
        <f t="array" ref="AA623">INDEX(Innings!I:I,MATCH(1,(TRIM(Innings!A:A)=TRIM(A623))*(TRIM(Innings!D:D)=TRIM(E623)),0))</f>
        <v>9.6999999999999993</v>
      </c>
      <c r="AB623" cm="1">
        <f t="array" ref="AB623">INDEX(Innings!J:J,MATCH(1,(TRIM(Innings!A:A)=TRIM(A623))*(TRIM(Innings!D:D)=TRIM(E623)),0))</f>
        <v>45</v>
      </c>
      <c r="AC623" cm="1">
        <f t="array" ref="AC623">INDEX(Innings!N:N,MATCH(1,(TRIM(Innings!A:A)=TRIM(A623))*(TRIM(Innings!D:D)=TRIM(E623)),0))</f>
        <v>61</v>
      </c>
      <c r="AD623" cm="1">
        <f t="array" ref="AD623">INDEX(Innings!S:S,MATCH(1,(TRIM(Innings!A:A)=TRIM(A623))*(TRIM(Innings!D:D)=TRIM(E623)),0))</f>
        <v>43</v>
      </c>
      <c r="AE623" t="str" cm="1">
        <f t="array" ref="AE623">INDEX(Innings!W:W,MATCH(1,(TRIM(Innings!A:A)=TRIM(A623))*(TRIM(Innings!D:D)=TRIM(E623)),0))</f>
        <v>NA</v>
      </c>
      <c r="AF623">
        <f>IF(UPPER(TRIM(E623))=UPPER(TRIM(W623)),1,0)</f>
        <v>1</v>
      </c>
      <c r="AG623">
        <f t="shared" si="18"/>
        <v>45.5</v>
      </c>
    </row>
    <row r="624" spans="1:33" x14ac:dyDescent="0.3">
      <c r="A624" t="s">
        <v>354</v>
      </c>
      <c r="B624">
        <v>2</v>
      </c>
      <c r="C624" t="s">
        <v>200</v>
      </c>
      <c r="D624" t="s">
        <v>201</v>
      </c>
      <c r="E624" t="s">
        <v>158</v>
      </c>
      <c r="F624" t="s">
        <v>85</v>
      </c>
      <c r="G624" t="s">
        <v>104</v>
      </c>
      <c r="H624">
        <v>0</v>
      </c>
      <c r="I624">
        <v>0</v>
      </c>
      <c r="J624">
        <v>0</v>
      </c>
      <c r="K624" t="s">
        <v>104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 s="8">
        <v>0</v>
      </c>
      <c r="V624" s="8">
        <f t="shared" si="19"/>
        <v>0</v>
      </c>
      <c r="W624" t="str">
        <f>_xlfn.XLOOKUP(A624, Matches!A:A, Matches!L:L, "NA", 0)</f>
        <v>DCW</v>
      </c>
      <c r="X624" t="str">
        <f>_xlfn.XLOOKUP(A624, Matches!A:A, Matches!J:J, "NA", 0)</f>
        <v>RCBW</v>
      </c>
      <c r="Y624" t="str">
        <f>_xlfn.XLOOKUP(A624, Matches!A:A, Matches!F:F, "NA", 0)</f>
        <v>M. Chinnaswamy Stadium</v>
      </c>
      <c r="Z624" cm="1">
        <f t="array" ref="Z624">INDEX(Innings!F:F,MATCH(1,(TRIM(Innings!A:A)=TRIM(A624))*(TRIM(Innings!D:D)=TRIM(E624)),0))</f>
        <v>194</v>
      </c>
      <c r="AA624" cm="1">
        <f t="array" ref="AA624">INDEX(Innings!I:I,MATCH(1,(TRIM(Innings!A:A)=TRIM(A624))*(TRIM(Innings!D:D)=TRIM(E624)),0))</f>
        <v>9.6999999999999993</v>
      </c>
      <c r="AB624" cm="1">
        <f t="array" ref="AB624">INDEX(Innings!J:J,MATCH(1,(TRIM(Innings!A:A)=TRIM(A624))*(TRIM(Innings!D:D)=TRIM(E624)),0))</f>
        <v>45</v>
      </c>
      <c r="AC624" cm="1">
        <f t="array" ref="AC624">INDEX(Innings!N:N,MATCH(1,(TRIM(Innings!A:A)=TRIM(A624))*(TRIM(Innings!D:D)=TRIM(E624)),0))</f>
        <v>61</v>
      </c>
      <c r="AD624" cm="1">
        <f t="array" ref="AD624">INDEX(Innings!S:S,MATCH(1,(TRIM(Innings!A:A)=TRIM(A624))*(TRIM(Innings!D:D)=TRIM(E624)),0))</f>
        <v>43</v>
      </c>
      <c r="AE624" t="str" cm="1">
        <f t="array" ref="AE624">INDEX(Innings!W:W,MATCH(1,(TRIM(Innings!A:A)=TRIM(A624))*(TRIM(Innings!D:D)=TRIM(E624)),0))</f>
        <v>NA</v>
      </c>
      <c r="AF624">
        <f>IF(UPPER(TRIM(E624))=UPPER(TRIM(W624)),1,0)</f>
        <v>1</v>
      </c>
      <c r="AG624">
        <f t="shared" si="18"/>
        <v>20</v>
      </c>
    </row>
    <row r="625" spans="1:33" x14ac:dyDescent="0.3">
      <c r="A625" t="s">
        <v>354</v>
      </c>
      <c r="B625">
        <v>2</v>
      </c>
      <c r="C625" t="s">
        <v>274</v>
      </c>
      <c r="D625" t="s">
        <v>284</v>
      </c>
      <c r="E625" t="s">
        <v>158</v>
      </c>
      <c r="F625" t="s">
        <v>169</v>
      </c>
      <c r="G625" t="s">
        <v>104</v>
      </c>
      <c r="H625">
        <v>0</v>
      </c>
      <c r="I625">
        <v>0</v>
      </c>
      <c r="J625">
        <v>0</v>
      </c>
      <c r="K625" t="s">
        <v>104</v>
      </c>
      <c r="L625">
        <v>0</v>
      </c>
      <c r="M625">
        <v>2</v>
      </c>
      <c r="N625">
        <v>0</v>
      </c>
      <c r="O625">
        <v>28</v>
      </c>
      <c r="P625">
        <v>0</v>
      </c>
      <c r="Q625">
        <v>14</v>
      </c>
      <c r="R625">
        <v>-10</v>
      </c>
      <c r="S625">
        <v>0</v>
      </c>
      <c r="T625">
        <v>0</v>
      </c>
      <c r="U625" s="8">
        <v>-10</v>
      </c>
      <c r="V625" s="8">
        <f t="shared" si="19"/>
        <v>0</v>
      </c>
      <c r="W625" t="str">
        <f>_xlfn.XLOOKUP(A625, Matches!A:A, Matches!L:L, "NA", 0)</f>
        <v>DCW</v>
      </c>
      <c r="X625" t="str">
        <f>_xlfn.XLOOKUP(A625, Matches!A:A, Matches!J:J, "NA", 0)</f>
        <v>RCBW</v>
      </c>
      <c r="Y625" t="str">
        <f>_xlfn.XLOOKUP(A625, Matches!A:A, Matches!F:F, "NA", 0)</f>
        <v>M. Chinnaswamy Stadium</v>
      </c>
      <c r="Z625" cm="1">
        <f t="array" ref="Z625">INDEX(Innings!F:F,MATCH(1,(TRIM(Innings!A:A)=TRIM(A625))*(TRIM(Innings!D:D)=TRIM(E625)),0))</f>
        <v>194</v>
      </c>
      <c r="AA625" cm="1">
        <f t="array" ref="AA625">INDEX(Innings!I:I,MATCH(1,(TRIM(Innings!A:A)=TRIM(A625))*(TRIM(Innings!D:D)=TRIM(E625)),0))</f>
        <v>9.6999999999999993</v>
      </c>
      <c r="AB625" cm="1">
        <f t="array" ref="AB625">INDEX(Innings!J:J,MATCH(1,(TRIM(Innings!A:A)=TRIM(A625))*(TRIM(Innings!D:D)=TRIM(E625)),0))</f>
        <v>45</v>
      </c>
      <c r="AC625" cm="1">
        <f t="array" ref="AC625">INDEX(Innings!N:N,MATCH(1,(TRIM(Innings!A:A)=TRIM(A625))*(TRIM(Innings!D:D)=TRIM(E625)),0))</f>
        <v>61</v>
      </c>
      <c r="AD625" cm="1">
        <f t="array" ref="AD625">INDEX(Innings!S:S,MATCH(1,(TRIM(Innings!A:A)=TRIM(A625))*(TRIM(Innings!D:D)=TRIM(E625)),0))</f>
        <v>43</v>
      </c>
      <c r="AE625" t="str" cm="1">
        <f t="array" ref="AE625">INDEX(Innings!W:W,MATCH(1,(TRIM(Innings!A:A)=TRIM(A625))*(TRIM(Innings!D:D)=TRIM(E625)),0))</f>
        <v>NA</v>
      </c>
      <c r="AF625">
        <f>IF(UPPER(TRIM(E625))=UPPER(TRIM(W625)),1,0)</f>
        <v>1</v>
      </c>
      <c r="AG625">
        <f t="shared" si="18"/>
        <v>20</v>
      </c>
    </row>
    <row r="626" spans="1:33" x14ac:dyDescent="0.3">
      <c r="A626" t="s">
        <v>354</v>
      </c>
      <c r="B626">
        <v>2</v>
      </c>
      <c r="C626" t="s">
        <v>206</v>
      </c>
      <c r="D626" t="s">
        <v>207</v>
      </c>
      <c r="E626" t="s">
        <v>158</v>
      </c>
      <c r="F626" t="s">
        <v>101</v>
      </c>
      <c r="G626" t="s">
        <v>104</v>
      </c>
      <c r="H626">
        <v>0</v>
      </c>
      <c r="I626">
        <v>0</v>
      </c>
      <c r="J626">
        <v>0</v>
      </c>
      <c r="K626" t="s">
        <v>104</v>
      </c>
      <c r="L626">
        <v>0</v>
      </c>
      <c r="M626">
        <v>2</v>
      </c>
      <c r="N626">
        <v>0</v>
      </c>
      <c r="O626">
        <v>19</v>
      </c>
      <c r="P626">
        <v>0</v>
      </c>
      <c r="Q626">
        <v>9.5</v>
      </c>
      <c r="R626">
        <v>5</v>
      </c>
      <c r="S626">
        <v>0</v>
      </c>
      <c r="T626">
        <v>0</v>
      </c>
      <c r="U626" s="8">
        <v>5</v>
      </c>
      <c r="V626" s="8">
        <f t="shared" si="19"/>
        <v>1</v>
      </c>
      <c r="W626" t="str">
        <f>_xlfn.XLOOKUP(A626, Matches!A:A, Matches!L:L, "NA", 0)</f>
        <v>DCW</v>
      </c>
      <c r="X626" t="str">
        <f>_xlfn.XLOOKUP(A626, Matches!A:A, Matches!J:J, "NA", 0)</f>
        <v>RCBW</v>
      </c>
      <c r="Y626" t="str">
        <f>_xlfn.XLOOKUP(A626, Matches!A:A, Matches!F:F, "NA", 0)</f>
        <v>M. Chinnaswamy Stadium</v>
      </c>
      <c r="Z626" cm="1">
        <f t="array" ref="Z626">INDEX(Innings!F:F,MATCH(1,(TRIM(Innings!A:A)=TRIM(A626))*(TRIM(Innings!D:D)=TRIM(E626)),0))</f>
        <v>194</v>
      </c>
      <c r="AA626" cm="1">
        <f t="array" ref="AA626">INDEX(Innings!I:I,MATCH(1,(TRIM(Innings!A:A)=TRIM(A626))*(TRIM(Innings!D:D)=TRIM(E626)),0))</f>
        <v>9.6999999999999993</v>
      </c>
      <c r="AB626" cm="1">
        <f t="array" ref="AB626">INDEX(Innings!J:J,MATCH(1,(TRIM(Innings!A:A)=TRIM(A626))*(TRIM(Innings!D:D)=TRIM(E626)),0))</f>
        <v>45</v>
      </c>
      <c r="AC626" cm="1">
        <f t="array" ref="AC626">INDEX(Innings!N:N,MATCH(1,(TRIM(Innings!A:A)=TRIM(A626))*(TRIM(Innings!D:D)=TRIM(E626)),0))</f>
        <v>61</v>
      </c>
      <c r="AD626" cm="1">
        <f t="array" ref="AD626">INDEX(Innings!S:S,MATCH(1,(TRIM(Innings!A:A)=TRIM(A626))*(TRIM(Innings!D:D)=TRIM(E626)),0))</f>
        <v>43</v>
      </c>
      <c r="AE626" t="str" cm="1">
        <f t="array" ref="AE626">INDEX(Innings!W:W,MATCH(1,(TRIM(Innings!A:A)=TRIM(A626))*(TRIM(Innings!D:D)=TRIM(E626)),0))</f>
        <v>NA</v>
      </c>
      <c r="AF626">
        <f>IF(UPPER(TRIM(E626))=UPPER(TRIM(W626)),1,0)</f>
        <v>1</v>
      </c>
      <c r="AG626">
        <f t="shared" si="18"/>
        <v>22.8</v>
      </c>
    </row>
    <row r="627" spans="1:33" x14ac:dyDescent="0.3">
      <c r="A627" t="s">
        <v>354</v>
      </c>
      <c r="B627">
        <v>2</v>
      </c>
      <c r="C627" t="s">
        <v>204</v>
      </c>
      <c r="D627" t="s">
        <v>205</v>
      </c>
      <c r="E627" t="s">
        <v>158</v>
      </c>
      <c r="F627" t="s">
        <v>169</v>
      </c>
      <c r="G627" t="s">
        <v>104</v>
      </c>
      <c r="H627">
        <v>0</v>
      </c>
      <c r="I627">
        <v>0</v>
      </c>
      <c r="J627">
        <v>0</v>
      </c>
      <c r="K627" t="s">
        <v>104</v>
      </c>
      <c r="L627">
        <v>0</v>
      </c>
      <c r="M627">
        <v>4</v>
      </c>
      <c r="N627">
        <v>0</v>
      </c>
      <c r="O627">
        <v>27</v>
      </c>
      <c r="P627">
        <v>1</v>
      </c>
      <c r="Q627">
        <v>6.8</v>
      </c>
      <c r="R627">
        <v>18</v>
      </c>
      <c r="S627">
        <v>0</v>
      </c>
      <c r="T627">
        <v>0</v>
      </c>
      <c r="U627" s="8">
        <v>18</v>
      </c>
      <c r="V627" s="8">
        <f t="shared" si="19"/>
        <v>2</v>
      </c>
      <c r="W627" t="str">
        <f>_xlfn.XLOOKUP(A627, Matches!A:A, Matches!L:L, "NA", 0)</f>
        <v>DCW</v>
      </c>
      <c r="X627" t="str">
        <f>_xlfn.XLOOKUP(A627, Matches!A:A, Matches!J:J, "NA", 0)</f>
        <v>RCBW</v>
      </c>
      <c r="Y627" t="str">
        <f>_xlfn.XLOOKUP(A627, Matches!A:A, Matches!F:F, "NA", 0)</f>
        <v>M. Chinnaswamy Stadium</v>
      </c>
      <c r="Z627" cm="1">
        <f t="array" ref="Z627">INDEX(Innings!F:F,MATCH(1,(TRIM(Innings!A:A)=TRIM(A627))*(TRIM(Innings!D:D)=TRIM(E627)),0))</f>
        <v>194</v>
      </c>
      <c r="AA627" cm="1">
        <f t="array" ref="AA627">INDEX(Innings!I:I,MATCH(1,(TRIM(Innings!A:A)=TRIM(A627))*(TRIM(Innings!D:D)=TRIM(E627)),0))</f>
        <v>9.6999999999999993</v>
      </c>
      <c r="AB627" cm="1">
        <f t="array" ref="AB627">INDEX(Innings!J:J,MATCH(1,(TRIM(Innings!A:A)=TRIM(A627))*(TRIM(Innings!D:D)=TRIM(E627)),0))</f>
        <v>45</v>
      </c>
      <c r="AC627" cm="1">
        <f t="array" ref="AC627">INDEX(Innings!N:N,MATCH(1,(TRIM(Innings!A:A)=TRIM(A627))*(TRIM(Innings!D:D)=TRIM(E627)),0))</f>
        <v>61</v>
      </c>
      <c r="AD627" cm="1">
        <f t="array" ref="AD627">INDEX(Innings!S:S,MATCH(1,(TRIM(Innings!A:A)=TRIM(A627))*(TRIM(Innings!D:D)=TRIM(E627)),0))</f>
        <v>43</v>
      </c>
      <c r="AE627" t="str" cm="1">
        <f t="array" ref="AE627">INDEX(Innings!W:W,MATCH(1,(TRIM(Innings!A:A)=TRIM(A627))*(TRIM(Innings!D:D)=TRIM(E627)),0))</f>
        <v>NA</v>
      </c>
      <c r="AF627">
        <f>IF(UPPER(TRIM(E627))=UPPER(TRIM(W627)),1,0)</f>
        <v>1</v>
      </c>
      <c r="AG627">
        <f t="shared" si="18"/>
        <v>29.6</v>
      </c>
    </row>
    <row r="628" spans="1:33" x14ac:dyDescent="0.3">
      <c r="A628" t="s">
        <v>354</v>
      </c>
      <c r="B628">
        <v>2</v>
      </c>
      <c r="C628" t="s">
        <v>165</v>
      </c>
      <c r="D628" t="s">
        <v>166</v>
      </c>
      <c r="E628" t="s">
        <v>159</v>
      </c>
      <c r="F628" t="s">
        <v>109</v>
      </c>
      <c r="G628" t="s">
        <v>86</v>
      </c>
      <c r="H628">
        <v>74</v>
      </c>
      <c r="I628">
        <v>43</v>
      </c>
      <c r="J628">
        <v>172.09</v>
      </c>
      <c r="K628" t="s">
        <v>245</v>
      </c>
      <c r="L628">
        <v>96.5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 s="8">
        <v>96.5</v>
      </c>
      <c r="V628" s="8">
        <f t="shared" si="19"/>
        <v>10</v>
      </c>
      <c r="W628" t="str">
        <f>_xlfn.XLOOKUP(A628, Matches!A:A, Matches!L:L, "NA", 0)</f>
        <v>DCW</v>
      </c>
      <c r="X628" t="str">
        <f>_xlfn.XLOOKUP(A628, Matches!A:A, Matches!J:J, "NA", 0)</f>
        <v>RCBW</v>
      </c>
      <c r="Y628" t="str">
        <f>_xlfn.XLOOKUP(A628, Matches!A:A, Matches!F:F, "NA", 0)</f>
        <v>M. Chinnaswamy Stadium</v>
      </c>
      <c r="Z628" cm="1">
        <f t="array" ref="Z628">INDEX(Innings!F:F,MATCH(1,(TRIM(Innings!A:A)=TRIM(A628))*(TRIM(Innings!D:D)=TRIM(E628)),0))</f>
        <v>169</v>
      </c>
      <c r="AA628" cm="1">
        <f t="array" ref="AA628">INDEX(Innings!I:I,MATCH(1,(TRIM(Innings!A:A)=TRIM(A628))*(TRIM(Innings!D:D)=TRIM(E628)),0))</f>
        <v>8.4499999999999993</v>
      </c>
      <c r="AB628" cm="1">
        <f t="array" ref="AB628">INDEX(Innings!J:J,MATCH(1,(TRIM(Innings!A:A)=TRIM(A628))*(TRIM(Innings!D:D)=TRIM(E628)),0))</f>
        <v>52</v>
      </c>
      <c r="AC628" cm="1">
        <f t="array" ref="AC628">INDEX(Innings!N:N,MATCH(1,(TRIM(Innings!A:A)=TRIM(A628))*(TRIM(Innings!D:D)=TRIM(E628)),0))</f>
        <v>25</v>
      </c>
      <c r="AD628" cm="1">
        <f t="array" ref="AD628">INDEX(Innings!S:S,MATCH(1,(TRIM(Innings!A:A)=TRIM(A628))*(TRIM(Innings!D:D)=TRIM(E628)),0))</f>
        <v>47</v>
      </c>
      <c r="AE628" t="str" cm="1">
        <f t="array" ref="AE628">INDEX(Innings!W:W,MATCH(1,(TRIM(Innings!A:A)=TRIM(A628))*(TRIM(Innings!D:D)=TRIM(E628)),0))</f>
        <v>Failed</v>
      </c>
      <c r="AF628">
        <f>IF(UPPER(TRIM(E628))=UPPER(TRIM(W628)),1,0)</f>
        <v>0</v>
      </c>
      <c r="AG628">
        <f t="shared" si="18"/>
        <v>51.25</v>
      </c>
    </row>
    <row r="629" spans="1:33" x14ac:dyDescent="0.3">
      <c r="A629" t="s">
        <v>354</v>
      </c>
      <c r="B629">
        <v>2</v>
      </c>
      <c r="C629" t="s">
        <v>167</v>
      </c>
      <c r="D629" t="s">
        <v>168</v>
      </c>
      <c r="E629" t="s">
        <v>159</v>
      </c>
      <c r="F629" t="s">
        <v>169</v>
      </c>
      <c r="G629" t="s">
        <v>92</v>
      </c>
      <c r="H629">
        <v>23</v>
      </c>
      <c r="I629">
        <v>17</v>
      </c>
      <c r="J629">
        <v>135.29</v>
      </c>
      <c r="K629" t="s">
        <v>246</v>
      </c>
      <c r="L629">
        <v>30.4</v>
      </c>
      <c r="M629">
        <v>3</v>
      </c>
      <c r="N629">
        <v>0</v>
      </c>
      <c r="O629">
        <v>23</v>
      </c>
      <c r="P629">
        <v>2</v>
      </c>
      <c r="Q629">
        <v>7.7</v>
      </c>
      <c r="R629">
        <v>22</v>
      </c>
      <c r="S629">
        <v>0</v>
      </c>
      <c r="T629">
        <v>0</v>
      </c>
      <c r="U629" s="8">
        <v>52.4</v>
      </c>
      <c r="V629" s="8">
        <f t="shared" si="19"/>
        <v>5</v>
      </c>
      <c r="W629" t="str">
        <f>_xlfn.XLOOKUP(A629, Matches!A:A, Matches!L:L, "NA", 0)</f>
        <v>DCW</v>
      </c>
      <c r="X629" t="str">
        <f>_xlfn.XLOOKUP(A629, Matches!A:A, Matches!J:J, "NA", 0)</f>
        <v>RCBW</v>
      </c>
      <c r="Y629" t="str">
        <f>_xlfn.XLOOKUP(A629, Matches!A:A, Matches!F:F, "NA", 0)</f>
        <v>M. Chinnaswamy Stadium</v>
      </c>
      <c r="Z629" cm="1">
        <f t="array" ref="Z629">INDEX(Innings!F:F,MATCH(1,(TRIM(Innings!A:A)=TRIM(A629))*(TRIM(Innings!D:D)=TRIM(E629)),0))</f>
        <v>169</v>
      </c>
      <c r="AA629" cm="1">
        <f t="array" ref="AA629">INDEX(Innings!I:I,MATCH(1,(TRIM(Innings!A:A)=TRIM(A629))*(TRIM(Innings!D:D)=TRIM(E629)),0))</f>
        <v>8.4499999999999993</v>
      </c>
      <c r="AB629" cm="1">
        <f t="array" ref="AB629">INDEX(Innings!J:J,MATCH(1,(TRIM(Innings!A:A)=TRIM(A629))*(TRIM(Innings!D:D)=TRIM(E629)),0))</f>
        <v>52</v>
      </c>
      <c r="AC629" cm="1">
        <f t="array" ref="AC629">INDEX(Innings!N:N,MATCH(1,(TRIM(Innings!A:A)=TRIM(A629))*(TRIM(Innings!D:D)=TRIM(E629)),0))</f>
        <v>25</v>
      </c>
      <c r="AD629" cm="1">
        <f t="array" ref="AD629">INDEX(Innings!S:S,MATCH(1,(TRIM(Innings!A:A)=TRIM(A629))*(TRIM(Innings!D:D)=TRIM(E629)),0))</f>
        <v>47</v>
      </c>
      <c r="AE629" t="str" cm="1">
        <f t="array" ref="AE629">INDEX(Innings!W:W,MATCH(1,(TRIM(Innings!A:A)=TRIM(A629))*(TRIM(Innings!D:D)=TRIM(E629)),0))</f>
        <v>Failed</v>
      </c>
      <c r="AF629">
        <f>IF(UPPER(TRIM(E629))=UPPER(TRIM(W629)),1,0)</f>
        <v>0</v>
      </c>
      <c r="AG629">
        <f t="shared" si="18"/>
        <v>27.7</v>
      </c>
    </row>
    <row r="630" spans="1:33" x14ac:dyDescent="0.3">
      <c r="A630" t="s">
        <v>354</v>
      </c>
      <c r="B630">
        <v>2</v>
      </c>
      <c r="C630" t="s">
        <v>87</v>
      </c>
      <c r="D630" t="s">
        <v>82</v>
      </c>
      <c r="E630" t="s">
        <v>159</v>
      </c>
      <c r="F630" t="s">
        <v>83</v>
      </c>
      <c r="G630" t="s">
        <v>92</v>
      </c>
      <c r="H630">
        <v>36</v>
      </c>
      <c r="I630">
        <v>31</v>
      </c>
      <c r="J630">
        <v>116.13</v>
      </c>
      <c r="K630" t="s">
        <v>256</v>
      </c>
      <c r="L630">
        <v>38.200000000000003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 s="8">
        <v>38.200000000000003</v>
      </c>
      <c r="V630" s="8">
        <f t="shared" si="19"/>
        <v>4</v>
      </c>
      <c r="W630" t="str">
        <f>_xlfn.XLOOKUP(A630, Matches!A:A, Matches!L:L, "NA", 0)</f>
        <v>DCW</v>
      </c>
      <c r="X630" t="str">
        <f>_xlfn.XLOOKUP(A630, Matches!A:A, Matches!J:J, "NA", 0)</f>
        <v>RCBW</v>
      </c>
      <c r="Y630" t="str">
        <f>_xlfn.XLOOKUP(A630, Matches!A:A, Matches!F:F, "NA", 0)</f>
        <v>M. Chinnaswamy Stadium</v>
      </c>
      <c r="Z630" cm="1">
        <f t="array" ref="Z630">INDEX(Innings!F:F,MATCH(1,(TRIM(Innings!A:A)=TRIM(A630))*(TRIM(Innings!D:D)=TRIM(E630)),0))</f>
        <v>169</v>
      </c>
      <c r="AA630" cm="1">
        <f t="array" ref="AA630">INDEX(Innings!I:I,MATCH(1,(TRIM(Innings!A:A)=TRIM(A630))*(TRIM(Innings!D:D)=TRIM(E630)),0))</f>
        <v>8.4499999999999993</v>
      </c>
      <c r="AB630" cm="1">
        <f t="array" ref="AB630">INDEX(Innings!J:J,MATCH(1,(TRIM(Innings!A:A)=TRIM(A630))*(TRIM(Innings!D:D)=TRIM(E630)),0))</f>
        <v>52</v>
      </c>
      <c r="AC630" cm="1">
        <f t="array" ref="AC630">INDEX(Innings!N:N,MATCH(1,(TRIM(Innings!A:A)=TRIM(A630))*(TRIM(Innings!D:D)=TRIM(E630)),0))</f>
        <v>25</v>
      </c>
      <c r="AD630" cm="1">
        <f t="array" ref="AD630">INDEX(Innings!S:S,MATCH(1,(TRIM(Innings!A:A)=TRIM(A630))*(TRIM(Innings!D:D)=TRIM(E630)),0))</f>
        <v>47</v>
      </c>
      <c r="AE630" t="str" cm="1">
        <f t="array" ref="AE630">INDEX(Innings!W:W,MATCH(1,(TRIM(Innings!A:A)=TRIM(A630))*(TRIM(Innings!D:D)=TRIM(E630)),0))</f>
        <v>Failed</v>
      </c>
      <c r="AF630">
        <f>IF(UPPER(TRIM(E630))=UPPER(TRIM(W630)),1,0)</f>
        <v>0</v>
      </c>
      <c r="AG630">
        <f t="shared" si="18"/>
        <v>20.3</v>
      </c>
    </row>
    <row r="631" spans="1:33" x14ac:dyDescent="0.3">
      <c r="A631" t="s">
        <v>354</v>
      </c>
      <c r="B631">
        <v>2</v>
      </c>
      <c r="C631" t="s">
        <v>176</v>
      </c>
      <c r="D631" t="s">
        <v>177</v>
      </c>
      <c r="E631" t="s">
        <v>159</v>
      </c>
      <c r="F631" t="s">
        <v>85</v>
      </c>
      <c r="G631" t="s">
        <v>134</v>
      </c>
      <c r="H631">
        <v>19</v>
      </c>
      <c r="I631">
        <v>13</v>
      </c>
      <c r="J631">
        <v>146.15</v>
      </c>
      <c r="K631" t="s">
        <v>246</v>
      </c>
      <c r="L631">
        <v>27.3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 s="8">
        <v>27.3</v>
      </c>
      <c r="V631" s="8">
        <f t="shared" si="19"/>
        <v>3</v>
      </c>
      <c r="W631" t="str">
        <f>_xlfn.XLOOKUP(A631, Matches!A:A, Matches!L:L, "NA", 0)</f>
        <v>DCW</v>
      </c>
      <c r="X631" t="str">
        <f>_xlfn.XLOOKUP(A631, Matches!A:A, Matches!J:J, "NA", 0)</f>
        <v>RCBW</v>
      </c>
      <c r="Y631" t="str">
        <f>_xlfn.XLOOKUP(A631, Matches!A:A, Matches!F:F, "NA", 0)</f>
        <v>M. Chinnaswamy Stadium</v>
      </c>
      <c r="Z631" cm="1">
        <f t="array" ref="Z631">INDEX(Innings!F:F,MATCH(1,(TRIM(Innings!A:A)=TRIM(A631))*(TRIM(Innings!D:D)=TRIM(E631)),0))</f>
        <v>169</v>
      </c>
      <c r="AA631" cm="1">
        <f t="array" ref="AA631">INDEX(Innings!I:I,MATCH(1,(TRIM(Innings!A:A)=TRIM(A631))*(TRIM(Innings!D:D)=TRIM(E631)),0))</f>
        <v>8.4499999999999993</v>
      </c>
      <c r="AB631" cm="1">
        <f t="array" ref="AB631">INDEX(Innings!J:J,MATCH(1,(TRIM(Innings!A:A)=TRIM(A631))*(TRIM(Innings!D:D)=TRIM(E631)),0))</f>
        <v>52</v>
      </c>
      <c r="AC631" cm="1">
        <f t="array" ref="AC631">INDEX(Innings!N:N,MATCH(1,(TRIM(Innings!A:A)=TRIM(A631))*(TRIM(Innings!D:D)=TRIM(E631)),0))</f>
        <v>25</v>
      </c>
      <c r="AD631" cm="1">
        <f t="array" ref="AD631">INDEX(Innings!S:S,MATCH(1,(TRIM(Innings!A:A)=TRIM(A631))*(TRIM(Innings!D:D)=TRIM(E631)),0))</f>
        <v>47</v>
      </c>
      <c r="AE631" t="str" cm="1">
        <f t="array" ref="AE631">INDEX(Innings!W:W,MATCH(1,(TRIM(Innings!A:A)=TRIM(A631))*(TRIM(Innings!D:D)=TRIM(E631)),0))</f>
        <v>Failed</v>
      </c>
      <c r="AF631">
        <f>IF(UPPER(TRIM(E631))=UPPER(TRIM(W631)),1,0)</f>
        <v>0</v>
      </c>
      <c r="AG631">
        <f t="shared" si="18"/>
        <v>14.55</v>
      </c>
    </row>
    <row r="632" spans="1:33" x14ac:dyDescent="0.3">
      <c r="A632" t="s">
        <v>354</v>
      </c>
      <c r="B632">
        <v>2</v>
      </c>
      <c r="C632" t="s">
        <v>99</v>
      </c>
      <c r="D632" t="s">
        <v>124</v>
      </c>
      <c r="E632" t="s">
        <v>159</v>
      </c>
      <c r="F632" t="s">
        <v>91</v>
      </c>
      <c r="G632" t="s">
        <v>134</v>
      </c>
      <c r="H632">
        <v>6</v>
      </c>
      <c r="I632">
        <v>7</v>
      </c>
      <c r="J632">
        <v>85.71</v>
      </c>
      <c r="K632" t="s">
        <v>246</v>
      </c>
      <c r="L632">
        <v>6.8</v>
      </c>
      <c r="M632">
        <v>1</v>
      </c>
      <c r="N632">
        <v>0</v>
      </c>
      <c r="O632">
        <v>13</v>
      </c>
      <c r="P632">
        <v>0</v>
      </c>
      <c r="Q632">
        <v>13</v>
      </c>
      <c r="R632">
        <v>2</v>
      </c>
      <c r="S632">
        <v>0</v>
      </c>
      <c r="T632">
        <v>0</v>
      </c>
      <c r="U632" s="8">
        <v>8.8000000000000007</v>
      </c>
      <c r="V632" s="8">
        <f t="shared" si="19"/>
        <v>1</v>
      </c>
      <c r="W632" t="str">
        <f>_xlfn.XLOOKUP(A632, Matches!A:A, Matches!L:L, "NA", 0)</f>
        <v>DCW</v>
      </c>
      <c r="X632" t="str">
        <f>_xlfn.XLOOKUP(A632, Matches!A:A, Matches!J:J, "NA", 0)</f>
        <v>RCBW</v>
      </c>
      <c r="Y632" t="str">
        <f>_xlfn.XLOOKUP(A632, Matches!A:A, Matches!F:F, "NA", 0)</f>
        <v>M. Chinnaswamy Stadium</v>
      </c>
      <c r="Z632" cm="1">
        <f t="array" ref="Z632">INDEX(Innings!F:F,MATCH(1,(TRIM(Innings!A:A)=TRIM(A632))*(TRIM(Innings!D:D)=TRIM(E632)),0))</f>
        <v>169</v>
      </c>
      <c r="AA632" cm="1">
        <f t="array" ref="AA632">INDEX(Innings!I:I,MATCH(1,(TRIM(Innings!A:A)=TRIM(A632))*(TRIM(Innings!D:D)=TRIM(E632)),0))</f>
        <v>8.4499999999999993</v>
      </c>
      <c r="AB632" cm="1">
        <f t="array" ref="AB632">INDEX(Innings!J:J,MATCH(1,(TRIM(Innings!A:A)=TRIM(A632))*(TRIM(Innings!D:D)=TRIM(E632)),0))</f>
        <v>52</v>
      </c>
      <c r="AC632" cm="1">
        <f t="array" ref="AC632">INDEX(Innings!N:N,MATCH(1,(TRIM(Innings!A:A)=TRIM(A632))*(TRIM(Innings!D:D)=TRIM(E632)),0))</f>
        <v>25</v>
      </c>
      <c r="AD632" cm="1">
        <f t="array" ref="AD632">INDEX(Innings!S:S,MATCH(1,(TRIM(Innings!A:A)=TRIM(A632))*(TRIM(Innings!D:D)=TRIM(E632)),0))</f>
        <v>47</v>
      </c>
      <c r="AE632" t="str" cm="1">
        <f t="array" ref="AE632">INDEX(Innings!W:W,MATCH(1,(TRIM(Innings!A:A)=TRIM(A632))*(TRIM(Innings!D:D)=TRIM(E632)),0))</f>
        <v>Failed</v>
      </c>
      <c r="AF632">
        <f>IF(UPPER(TRIM(E632))=UPPER(TRIM(W632)),1,0)</f>
        <v>0</v>
      </c>
      <c r="AG632">
        <f t="shared" si="18"/>
        <v>4.7</v>
      </c>
    </row>
    <row r="633" spans="1:33" x14ac:dyDescent="0.3">
      <c r="A633" t="s">
        <v>354</v>
      </c>
      <c r="B633">
        <v>2</v>
      </c>
      <c r="C633" t="s">
        <v>449</v>
      </c>
      <c r="D633" t="s">
        <v>410</v>
      </c>
      <c r="E633" t="s">
        <v>159</v>
      </c>
      <c r="F633" t="s">
        <v>169</v>
      </c>
      <c r="G633" t="s">
        <v>134</v>
      </c>
      <c r="H633">
        <v>1</v>
      </c>
      <c r="I633">
        <v>2</v>
      </c>
      <c r="J633">
        <v>50</v>
      </c>
      <c r="K633" t="s">
        <v>246</v>
      </c>
      <c r="L633">
        <v>2</v>
      </c>
      <c r="M633">
        <v>4</v>
      </c>
      <c r="N633">
        <v>0</v>
      </c>
      <c r="O633">
        <v>35</v>
      </c>
      <c r="P633">
        <v>2</v>
      </c>
      <c r="Q633">
        <v>8.8000000000000007</v>
      </c>
      <c r="R633">
        <v>28</v>
      </c>
      <c r="S633">
        <v>0</v>
      </c>
      <c r="T633">
        <v>0</v>
      </c>
      <c r="U633" s="8">
        <v>30</v>
      </c>
      <c r="V633" s="8">
        <f t="shared" si="19"/>
        <v>3</v>
      </c>
      <c r="W633" t="str">
        <f>_xlfn.XLOOKUP(A633, Matches!A:A, Matches!L:L, "NA", 0)</f>
        <v>DCW</v>
      </c>
      <c r="X633" t="str">
        <f>_xlfn.XLOOKUP(A633, Matches!A:A, Matches!J:J, "NA", 0)</f>
        <v>RCBW</v>
      </c>
      <c r="Y633" t="str">
        <f>_xlfn.XLOOKUP(A633, Matches!A:A, Matches!F:F, "NA", 0)</f>
        <v>M. Chinnaswamy Stadium</v>
      </c>
      <c r="Z633" cm="1">
        <f t="array" ref="Z633">INDEX(Innings!F:F,MATCH(1,(TRIM(Innings!A:A)=TRIM(A633))*(TRIM(Innings!D:D)=TRIM(E633)),0))</f>
        <v>169</v>
      </c>
      <c r="AA633" cm="1">
        <f t="array" ref="AA633">INDEX(Innings!I:I,MATCH(1,(TRIM(Innings!A:A)=TRIM(A633))*(TRIM(Innings!D:D)=TRIM(E633)),0))</f>
        <v>8.4499999999999993</v>
      </c>
      <c r="AB633" cm="1">
        <f t="array" ref="AB633">INDEX(Innings!J:J,MATCH(1,(TRIM(Innings!A:A)=TRIM(A633))*(TRIM(Innings!D:D)=TRIM(E633)),0))</f>
        <v>52</v>
      </c>
      <c r="AC633" cm="1">
        <f t="array" ref="AC633">INDEX(Innings!N:N,MATCH(1,(TRIM(Innings!A:A)=TRIM(A633))*(TRIM(Innings!D:D)=TRIM(E633)),0))</f>
        <v>25</v>
      </c>
      <c r="AD633" cm="1">
        <f t="array" ref="AD633">INDEX(Innings!S:S,MATCH(1,(TRIM(Innings!A:A)=TRIM(A633))*(TRIM(Innings!D:D)=TRIM(E633)),0))</f>
        <v>47</v>
      </c>
      <c r="AE633" t="str" cm="1">
        <f t="array" ref="AE633">INDEX(Innings!W:W,MATCH(1,(TRIM(Innings!A:A)=TRIM(A633))*(TRIM(Innings!D:D)=TRIM(E633)),0))</f>
        <v>Failed</v>
      </c>
      <c r="AF633">
        <f>IF(UPPER(TRIM(E633))=UPPER(TRIM(W633)),1,0)</f>
        <v>0</v>
      </c>
      <c r="AG633">
        <f t="shared" si="18"/>
        <v>15.9</v>
      </c>
    </row>
    <row r="634" spans="1:33" x14ac:dyDescent="0.3">
      <c r="A634" t="s">
        <v>354</v>
      </c>
      <c r="B634">
        <v>2</v>
      </c>
      <c r="C634" t="s">
        <v>373</v>
      </c>
      <c r="D634" t="s">
        <v>374</v>
      </c>
      <c r="E634" t="s">
        <v>159</v>
      </c>
      <c r="F634" t="s">
        <v>101</v>
      </c>
      <c r="G634" t="s">
        <v>135</v>
      </c>
      <c r="H634">
        <v>2</v>
      </c>
      <c r="I634">
        <v>2</v>
      </c>
      <c r="J634">
        <v>100</v>
      </c>
      <c r="K634" t="s">
        <v>246</v>
      </c>
      <c r="L634">
        <v>4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 s="8">
        <v>4</v>
      </c>
      <c r="V634" s="8">
        <f t="shared" si="19"/>
        <v>0</v>
      </c>
      <c r="W634" t="str">
        <f>_xlfn.XLOOKUP(A634, Matches!A:A, Matches!L:L, "NA", 0)</f>
        <v>DCW</v>
      </c>
      <c r="X634" t="str">
        <f>_xlfn.XLOOKUP(A634, Matches!A:A, Matches!J:J, "NA", 0)</f>
        <v>RCBW</v>
      </c>
      <c r="Y634" t="str">
        <f>_xlfn.XLOOKUP(A634, Matches!A:A, Matches!F:F, "NA", 0)</f>
        <v>M. Chinnaswamy Stadium</v>
      </c>
      <c r="Z634" cm="1">
        <f t="array" ref="Z634">INDEX(Innings!F:F,MATCH(1,(TRIM(Innings!A:A)=TRIM(A634))*(TRIM(Innings!D:D)=TRIM(E634)),0))</f>
        <v>169</v>
      </c>
      <c r="AA634" cm="1">
        <f t="array" ref="AA634">INDEX(Innings!I:I,MATCH(1,(TRIM(Innings!A:A)=TRIM(A634))*(TRIM(Innings!D:D)=TRIM(E634)),0))</f>
        <v>8.4499999999999993</v>
      </c>
      <c r="AB634" cm="1">
        <f t="array" ref="AB634">INDEX(Innings!J:J,MATCH(1,(TRIM(Innings!A:A)=TRIM(A634))*(TRIM(Innings!D:D)=TRIM(E634)),0))</f>
        <v>52</v>
      </c>
      <c r="AC634" cm="1">
        <f t="array" ref="AC634">INDEX(Innings!N:N,MATCH(1,(TRIM(Innings!A:A)=TRIM(A634))*(TRIM(Innings!D:D)=TRIM(E634)),0))</f>
        <v>25</v>
      </c>
      <c r="AD634" cm="1">
        <f t="array" ref="AD634">INDEX(Innings!S:S,MATCH(1,(TRIM(Innings!A:A)=TRIM(A634))*(TRIM(Innings!D:D)=TRIM(E634)),0))</f>
        <v>47</v>
      </c>
      <c r="AE634" t="str" cm="1">
        <f t="array" ref="AE634">INDEX(Innings!W:W,MATCH(1,(TRIM(Innings!A:A)=TRIM(A634))*(TRIM(Innings!D:D)=TRIM(E634)),0))</f>
        <v>Failed</v>
      </c>
      <c r="AF634">
        <f>IF(UPPER(TRIM(E634))=UPPER(TRIM(W634)),1,0)</f>
        <v>0</v>
      </c>
      <c r="AG634">
        <f t="shared" si="18"/>
        <v>2</v>
      </c>
    </row>
    <row r="635" spans="1:33" x14ac:dyDescent="0.3">
      <c r="A635" t="s">
        <v>354</v>
      </c>
      <c r="B635">
        <v>2</v>
      </c>
      <c r="C635" t="s">
        <v>371</v>
      </c>
      <c r="D635" t="s">
        <v>372</v>
      </c>
      <c r="E635" t="s">
        <v>159</v>
      </c>
      <c r="F635" t="s">
        <v>169</v>
      </c>
      <c r="G635" t="s">
        <v>135</v>
      </c>
      <c r="H635">
        <v>1</v>
      </c>
      <c r="I635">
        <v>2</v>
      </c>
      <c r="J635">
        <v>50</v>
      </c>
      <c r="K635" t="s">
        <v>246</v>
      </c>
      <c r="L635">
        <v>2</v>
      </c>
      <c r="M635">
        <v>3</v>
      </c>
      <c r="N635">
        <v>0</v>
      </c>
      <c r="O635">
        <v>23</v>
      </c>
      <c r="P635">
        <v>0</v>
      </c>
      <c r="Q635">
        <v>7.7</v>
      </c>
      <c r="R635">
        <v>6</v>
      </c>
      <c r="S635">
        <v>0</v>
      </c>
      <c r="T635">
        <v>0</v>
      </c>
      <c r="U635" s="8">
        <v>8</v>
      </c>
      <c r="V635" s="8">
        <f t="shared" si="19"/>
        <v>1</v>
      </c>
      <c r="W635" t="str">
        <f>_xlfn.XLOOKUP(A635, Matches!A:A, Matches!L:L, "NA", 0)</f>
        <v>DCW</v>
      </c>
      <c r="X635" t="str">
        <f>_xlfn.XLOOKUP(A635, Matches!A:A, Matches!J:J, "NA", 0)</f>
        <v>RCBW</v>
      </c>
      <c r="Y635" t="str">
        <f>_xlfn.XLOOKUP(A635, Matches!A:A, Matches!F:F, "NA", 0)</f>
        <v>M. Chinnaswamy Stadium</v>
      </c>
      <c r="Z635" cm="1">
        <f t="array" ref="Z635">INDEX(Innings!F:F,MATCH(1,(TRIM(Innings!A:A)=TRIM(A635))*(TRIM(Innings!D:D)=TRIM(E635)),0))</f>
        <v>169</v>
      </c>
      <c r="AA635" cm="1">
        <f t="array" ref="AA635">INDEX(Innings!I:I,MATCH(1,(TRIM(Innings!A:A)=TRIM(A635))*(TRIM(Innings!D:D)=TRIM(E635)),0))</f>
        <v>8.4499999999999993</v>
      </c>
      <c r="AB635" cm="1">
        <f t="array" ref="AB635">INDEX(Innings!J:J,MATCH(1,(TRIM(Innings!A:A)=TRIM(A635))*(TRIM(Innings!D:D)=TRIM(E635)),0))</f>
        <v>52</v>
      </c>
      <c r="AC635" cm="1">
        <f t="array" ref="AC635">INDEX(Innings!N:N,MATCH(1,(TRIM(Innings!A:A)=TRIM(A635))*(TRIM(Innings!D:D)=TRIM(E635)),0))</f>
        <v>25</v>
      </c>
      <c r="AD635" cm="1">
        <f t="array" ref="AD635">INDEX(Innings!S:S,MATCH(1,(TRIM(Innings!A:A)=TRIM(A635))*(TRIM(Innings!D:D)=TRIM(E635)),0))</f>
        <v>47</v>
      </c>
      <c r="AE635" t="str" cm="1">
        <f t="array" ref="AE635">INDEX(Innings!W:W,MATCH(1,(TRIM(Innings!A:A)=TRIM(A635))*(TRIM(Innings!D:D)=TRIM(E635)),0))</f>
        <v>Failed</v>
      </c>
      <c r="AF635">
        <f>IF(UPPER(TRIM(E635))=UPPER(TRIM(W635)),1,0)</f>
        <v>0</v>
      </c>
      <c r="AG635">
        <f t="shared" si="18"/>
        <v>4.3</v>
      </c>
    </row>
    <row r="636" spans="1:33" x14ac:dyDescent="0.3">
      <c r="A636" t="s">
        <v>354</v>
      </c>
      <c r="B636">
        <v>2</v>
      </c>
      <c r="C636" t="s">
        <v>259</v>
      </c>
      <c r="D636" t="s">
        <v>257</v>
      </c>
      <c r="E636" t="s">
        <v>159</v>
      </c>
      <c r="F636" t="s">
        <v>91</v>
      </c>
      <c r="G636" t="s">
        <v>135</v>
      </c>
      <c r="H636">
        <v>1</v>
      </c>
      <c r="I636">
        <v>2</v>
      </c>
      <c r="J636">
        <v>50</v>
      </c>
      <c r="K636" t="s">
        <v>96</v>
      </c>
      <c r="L636">
        <v>4</v>
      </c>
      <c r="M636">
        <v>3</v>
      </c>
      <c r="N636">
        <v>0</v>
      </c>
      <c r="O636">
        <v>40</v>
      </c>
      <c r="P636">
        <v>1</v>
      </c>
      <c r="Q636">
        <v>13.3</v>
      </c>
      <c r="R636">
        <v>10</v>
      </c>
      <c r="S636">
        <v>0</v>
      </c>
      <c r="T636">
        <v>0</v>
      </c>
      <c r="U636" s="8">
        <v>14</v>
      </c>
      <c r="V636" s="8">
        <f t="shared" si="19"/>
        <v>1</v>
      </c>
      <c r="W636" t="str">
        <f>_xlfn.XLOOKUP(A636, Matches!A:A, Matches!L:L, "NA", 0)</f>
        <v>DCW</v>
      </c>
      <c r="X636" t="str">
        <f>_xlfn.XLOOKUP(A636, Matches!A:A, Matches!J:J, "NA", 0)</f>
        <v>RCBW</v>
      </c>
      <c r="Y636" t="str">
        <f>_xlfn.XLOOKUP(A636, Matches!A:A, Matches!F:F, "NA", 0)</f>
        <v>M. Chinnaswamy Stadium</v>
      </c>
      <c r="Z636" cm="1">
        <f t="array" ref="Z636">INDEX(Innings!F:F,MATCH(1,(TRIM(Innings!A:A)=TRIM(A636))*(TRIM(Innings!D:D)=TRIM(E636)),0))</f>
        <v>169</v>
      </c>
      <c r="AA636" cm="1">
        <f t="array" ref="AA636">INDEX(Innings!I:I,MATCH(1,(TRIM(Innings!A:A)=TRIM(A636))*(TRIM(Innings!D:D)=TRIM(E636)),0))</f>
        <v>8.4499999999999993</v>
      </c>
      <c r="AB636" cm="1">
        <f t="array" ref="AB636">INDEX(Innings!J:J,MATCH(1,(TRIM(Innings!A:A)=TRIM(A636))*(TRIM(Innings!D:D)=TRIM(E636)),0))</f>
        <v>52</v>
      </c>
      <c r="AC636" cm="1">
        <f t="array" ref="AC636">INDEX(Innings!N:N,MATCH(1,(TRIM(Innings!A:A)=TRIM(A636))*(TRIM(Innings!D:D)=TRIM(E636)),0))</f>
        <v>25</v>
      </c>
      <c r="AD636" cm="1">
        <f t="array" ref="AD636">INDEX(Innings!S:S,MATCH(1,(TRIM(Innings!A:A)=TRIM(A636))*(TRIM(Innings!D:D)=TRIM(E636)),0))</f>
        <v>47</v>
      </c>
      <c r="AE636" t="str" cm="1">
        <f t="array" ref="AE636">INDEX(Innings!W:W,MATCH(1,(TRIM(Innings!A:A)=TRIM(A636))*(TRIM(Innings!D:D)=TRIM(E636)),0))</f>
        <v>Failed</v>
      </c>
      <c r="AF636">
        <f>IF(UPPER(TRIM(E636))=UPPER(TRIM(W636)),1,0)</f>
        <v>0</v>
      </c>
      <c r="AG636">
        <f t="shared" si="18"/>
        <v>7.3</v>
      </c>
    </row>
    <row r="637" spans="1:33" x14ac:dyDescent="0.3">
      <c r="A637" t="s">
        <v>354</v>
      </c>
      <c r="B637">
        <v>2</v>
      </c>
      <c r="C637" t="s">
        <v>180</v>
      </c>
      <c r="D637" t="s">
        <v>181</v>
      </c>
      <c r="E637" t="s">
        <v>159</v>
      </c>
      <c r="F637" t="s">
        <v>91</v>
      </c>
      <c r="G637" t="s">
        <v>135</v>
      </c>
      <c r="H637">
        <v>0</v>
      </c>
      <c r="I637">
        <v>1</v>
      </c>
      <c r="J637">
        <v>0</v>
      </c>
      <c r="K637" t="s">
        <v>246</v>
      </c>
      <c r="L637">
        <v>0</v>
      </c>
      <c r="M637">
        <v>2</v>
      </c>
      <c r="N637">
        <v>0</v>
      </c>
      <c r="O637">
        <v>30</v>
      </c>
      <c r="P637">
        <v>0</v>
      </c>
      <c r="Q637">
        <v>15</v>
      </c>
      <c r="R637">
        <v>-5</v>
      </c>
      <c r="S637">
        <v>0</v>
      </c>
      <c r="T637">
        <v>0</v>
      </c>
      <c r="U637" s="8">
        <v>-5</v>
      </c>
      <c r="V637" s="8">
        <f t="shared" si="19"/>
        <v>0</v>
      </c>
      <c r="W637" t="str">
        <f>_xlfn.XLOOKUP(A637, Matches!A:A, Matches!L:L, "NA", 0)</f>
        <v>DCW</v>
      </c>
      <c r="X637" t="str">
        <f>_xlfn.XLOOKUP(A637, Matches!A:A, Matches!J:J, "NA", 0)</f>
        <v>RCBW</v>
      </c>
      <c r="Y637" t="str">
        <f>_xlfn.XLOOKUP(A637, Matches!A:A, Matches!F:F, "NA", 0)</f>
        <v>M. Chinnaswamy Stadium</v>
      </c>
      <c r="Z637" cm="1">
        <f t="array" ref="Z637">INDEX(Innings!F:F,MATCH(1,(TRIM(Innings!A:A)=TRIM(A637))*(TRIM(Innings!D:D)=TRIM(E637)),0))</f>
        <v>169</v>
      </c>
      <c r="AA637" cm="1">
        <f t="array" ref="AA637">INDEX(Innings!I:I,MATCH(1,(TRIM(Innings!A:A)=TRIM(A637))*(TRIM(Innings!D:D)=TRIM(E637)),0))</f>
        <v>8.4499999999999993</v>
      </c>
      <c r="AB637" cm="1">
        <f t="array" ref="AB637">INDEX(Innings!J:J,MATCH(1,(TRIM(Innings!A:A)=TRIM(A637))*(TRIM(Innings!D:D)=TRIM(E637)),0))</f>
        <v>52</v>
      </c>
      <c r="AC637" cm="1">
        <f t="array" ref="AC637">INDEX(Innings!N:N,MATCH(1,(TRIM(Innings!A:A)=TRIM(A637))*(TRIM(Innings!D:D)=TRIM(E637)),0))</f>
        <v>25</v>
      </c>
      <c r="AD637" cm="1">
        <f t="array" ref="AD637">INDEX(Innings!S:S,MATCH(1,(TRIM(Innings!A:A)=TRIM(A637))*(TRIM(Innings!D:D)=TRIM(E637)),0))</f>
        <v>47</v>
      </c>
      <c r="AE637" t="str" cm="1">
        <f t="array" ref="AE637">INDEX(Innings!W:W,MATCH(1,(TRIM(Innings!A:A)=TRIM(A637))*(TRIM(Innings!D:D)=TRIM(E637)),0))</f>
        <v>Failed</v>
      </c>
      <c r="AF637">
        <f>IF(UPPER(TRIM(E637))=UPPER(TRIM(W637)),1,0)</f>
        <v>0</v>
      </c>
      <c r="AG637">
        <f t="shared" si="18"/>
        <v>0</v>
      </c>
    </row>
    <row r="638" spans="1:33" x14ac:dyDescent="0.3">
      <c r="A638" t="s">
        <v>354</v>
      </c>
      <c r="B638">
        <v>2</v>
      </c>
      <c r="C638" t="s">
        <v>186</v>
      </c>
      <c r="D638" t="s">
        <v>187</v>
      </c>
      <c r="E638" t="s">
        <v>159</v>
      </c>
      <c r="F638" t="s">
        <v>101</v>
      </c>
      <c r="G638" t="s">
        <v>135</v>
      </c>
      <c r="H638">
        <v>1</v>
      </c>
      <c r="I638">
        <v>1</v>
      </c>
      <c r="J638">
        <v>100</v>
      </c>
      <c r="K638" t="s">
        <v>96</v>
      </c>
      <c r="L638">
        <v>4</v>
      </c>
      <c r="M638">
        <v>4</v>
      </c>
      <c r="N638">
        <v>0</v>
      </c>
      <c r="O638">
        <v>28</v>
      </c>
      <c r="P638">
        <v>0</v>
      </c>
      <c r="Q638">
        <v>7</v>
      </c>
      <c r="R638">
        <v>6</v>
      </c>
      <c r="S638">
        <v>0</v>
      </c>
      <c r="T638">
        <v>0</v>
      </c>
      <c r="U638" s="8">
        <v>10</v>
      </c>
      <c r="V638" s="8">
        <f t="shared" si="19"/>
        <v>1</v>
      </c>
      <c r="W638" t="str">
        <f>_xlfn.XLOOKUP(A638, Matches!A:A, Matches!L:L, "NA", 0)</f>
        <v>DCW</v>
      </c>
      <c r="X638" t="str">
        <f>_xlfn.XLOOKUP(A638, Matches!A:A, Matches!J:J, "NA", 0)</f>
        <v>RCBW</v>
      </c>
      <c r="Y638" t="str">
        <f>_xlfn.XLOOKUP(A638, Matches!A:A, Matches!F:F, "NA", 0)</f>
        <v>M. Chinnaswamy Stadium</v>
      </c>
      <c r="Z638" cm="1">
        <f t="array" ref="Z638">INDEX(Innings!F:F,MATCH(1,(TRIM(Innings!A:A)=TRIM(A638))*(TRIM(Innings!D:D)=TRIM(E638)),0))</f>
        <v>169</v>
      </c>
      <c r="AA638" cm="1">
        <f t="array" ref="AA638">INDEX(Innings!I:I,MATCH(1,(TRIM(Innings!A:A)=TRIM(A638))*(TRIM(Innings!D:D)=TRIM(E638)),0))</f>
        <v>8.4499999999999993</v>
      </c>
      <c r="AB638" cm="1">
        <f t="array" ref="AB638">INDEX(Innings!J:J,MATCH(1,(TRIM(Innings!A:A)=TRIM(A638))*(TRIM(Innings!D:D)=TRIM(E638)),0))</f>
        <v>52</v>
      </c>
      <c r="AC638" cm="1">
        <f t="array" ref="AC638">INDEX(Innings!N:N,MATCH(1,(TRIM(Innings!A:A)=TRIM(A638))*(TRIM(Innings!D:D)=TRIM(E638)),0))</f>
        <v>25</v>
      </c>
      <c r="AD638" cm="1">
        <f t="array" ref="AD638">INDEX(Innings!S:S,MATCH(1,(TRIM(Innings!A:A)=TRIM(A638))*(TRIM(Innings!D:D)=TRIM(E638)),0))</f>
        <v>47</v>
      </c>
      <c r="AE638" t="str" cm="1">
        <f t="array" ref="AE638">INDEX(Innings!W:W,MATCH(1,(TRIM(Innings!A:A)=TRIM(A638))*(TRIM(Innings!D:D)=TRIM(E638)),0))</f>
        <v>Failed</v>
      </c>
      <c r="AF638">
        <f>IF(UPPER(TRIM(E638))=UPPER(TRIM(W638)),1,0)</f>
        <v>0</v>
      </c>
      <c r="AG638">
        <f t="shared" si="18"/>
        <v>5.3</v>
      </c>
    </row>
    <row r="639" spans="1:33" x14ac:dyDescent="0.3">
      <c r="A639" t="s">
        <v>355</v>
      </c>
      <c r="B639">
        <v>2</v>
      </c>
      <c r="C639" t="s">
        <v>217</v>
      </c>
      <c r="D639" t="s">
        <v>218</v>
      </c>
      <c r="E639" t="s">
        <v>219</v>
      </c>
      <c r="F639" t="s">
        <v>85</v>
      </c>
      <c r="G639" t="s">
        <v>86</v>
      </c>
      <c r="H639">
        <v>33</v>
      </c>
      <c r="I639">
        <v>21</v>
      </c>
      <c r="J639">
        <v>157.13999999999999</v>
      </c>
      <c r="K639" t="s">
        <v>246</v>
      </c>
      <c r="L639">
        <v>34.9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 s="8">
        <v>34.9</v>
      </c>
      <c r="V639" s="8">
        <f t="shared" si="19"/>
        <v>3</v>
      </c>
      <c r="W639" t="str">
        <f>_xlfn.XLOOKUP(A639, Matches!A:A, Matches!L:L, "NA", 0)</f>
        <v>UPW</v>
      </c>
      <c r="X639" t="str">
        <f>_xlfn.XLOOKUP(A639, Matches!A:A, Matches!J:J, "NA", 0)</f>
        <v>UPW</v>
      </c>
      <c r="Y639" t="str">
        <f>_xlfn.XLOOKUP(A639, Matches!A:A, Matches!F:F, "NA", 0)</f>
        <v>M. Chinnaswamy Stadium</v>
      </c>
      <c r="Z639" cm="1">
        <f t="array" ref="Z639">INDEX(Innings!F:F,MATCH(1,(TRIM(Innings!A:A)=TRIM(A639))*(TRIM(Innings!D:D)=TRIM(E639)),0))</f>
        <v>143</v>
      </c>
      <c r="AA639" cm="1">
        <f t="array" ref="AA639">INDEX(Innings!I:I,MATCH(1,(TRIM(Innings!A:A)=TRIM(A639))*(TRIM(Innings!D:D)=TRIM(E639)),0))</f>
        <v>9.1300000000000008</v>
      </c>
      <c r="AB639" cm="1">
        <f t="array" ref="AB639">INDEX(Innings!J:J,MATCH(1,(TRIM(Innings!A:A)=TRIM(A639))*(TRIM(Innings!D:D)=TRIM(E639)),0))</f>
        <v>59</v>
      </c>
      <c r="AC639" cm="1">
        <f t="array" ref="AC639">INDEX(Innings!N:N,MATCH(1,(TRIM(Innings!A:A)=TRIM(A639))*(TRIM(Innings!D:D)=TRIM(E639)),0))</f>
        <v>0</v>
      </c>
      <c r="AD639" cm="1">
        <f t="array" ref="AD639">INDEX(Innings!S:S,MATCH(1,(TRIM(Innings!A:A)=TRIM(A639))*(TRIM(Innings!D:D)=TRIM(E639)),0))</f>
        <v>39</v>
      </c>
      <c r="AE639" t="str" cm="1">
        <f t="array" ref="AE639">INDEX(Innings!W:W,MATCH(1,(TRIM(Innings!A:A)=TRIM(A639))*(TRIM(Innings!D:D)=TRIM(E639)),0))</f>
        <v>Successful</v>
      </c>
      <c r="AF639">
        <f>IF(UPPER(TRIM(E639))=UPPER(TRIM(W639)),1,0)</f>
        <v>1</v>
      </c>
      <c r="AG639">
        <f t="shared" si="18"/>
        <v>38.349999999999994</v>
      </c>
    </row>
    <row r="640" spans="1:33" x14ac:dyDescent="0.3">
      <c r="A640" t="s">
        <v>355</v>
      </c>
      <c r="B640">
        <v>2</v>
      </c>
      <c r="C640" t="s">
        <v>229</v>
      </c>
      <c r="D640" t="s">
        <v>230</v>
      </c>
      <c r="E640" t="s">
        <v>219</v>
      </c>
      <c r="F640" t="s">
        <v>109</v>
      </c>
      <c r="G640" t="s">
        <v>86</v>
      </c>
      <c r="H640">
        <v>12</v>
      </c>
      <c r="I640">
        <v>8</v>
      </c>
      <c r="J640">
        <v>150</v>
      </c>
      <c r="K640" t="s">
        <v>246</v>
      </c>
      <c r="L640">
        <v>15.4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 s="8">
        <v>15.4</v>
      </c>
      <c r="V640" s="8">
        <f t="shared" si="19"/>
        <v>2</v>
      </c>
      <c r="W640" t="str">
        <f>_xlfn.XLOOKUP(A640, Matches!A:A, Matches!L:L, "NA", 0)</f>
        <v>UPW</v>
      </c>
      <c r="X640" t="str">
        <f>_xlfn.XLOOKUP(A640, Matches!A:A, Matches!J:J, "NA", 0)</f>
        <v>UPW</v>
      </c>
      <c r="Y640" t="str">
        <f>_xlfn.XLOOKUP(A640, Matches!A:A, Matches!F:F, "NA", 0)</f>
        <v>M. Chinnaswamy Stadium</v>
      </c>
      <c r="Z640" cm="1">
        <f t="array" ref="Z640">INDEX(Innings!F:F,MATCH(1,(TRIM(Innings!A:A)=TRIM(A640))*(TRIM(Innings!D:D)=TRIM(E640)),0))</f>
        <v>143</v>
      </c>
      <c r="AA640" cm="1">
        <f t="array" ref="AA640">INDEX(Innings!I:I,MATCH(1,(TRIM(Innings!A:A)=TRIM(A640))*(TRIM(Innings!D:D)=TRIM(E640)),0))</f>
        <v>9.1300000000000008</v>
      </c>
      <c r="AB640" cm="1">
        <f t="array" ref="AB640">INDEX(Innings!J:J,MATCH(1,(TRIM(Innings!A:A)=TRIM(A640))*(TRIM(Innings!D:D)=TRIM(E640)),0))</f>
        <v>59</v>
      </c>
      <c r="AC640" cm="1">
        <f t="array" ref="AC640">INDEX(Innings!N:N,MATCH(1,(TRIM(Innings!A:A)=TRIM(A640))*(TRIM(Innings!D:D)=TRIM(E640)),0))</f>
        <v>0</v>
      </c>
      <c r="AD640" cm="1">
        <f t="array" ref="AD640">INDEX(Innings!S:S,MATCH(1,(TRIM(Innings!A:A)=TRIM(A640))*(TRIM(Innings!D:D)=TRIM(E640)),0))</f>
        <v>39</v>
      </c>
      <c r="AE640" t="str" cm="1">
        <f t="array" ref="AE640">INDEX(Innings!W:W,MATCH(1,(TRIM(Innings!A:A)=TRIM(A640))*(TRIM(Innings!D:D)=TRIM(E640)),0))</f>
        <v>Successful</v>
      </c>
      <c r="AF640">
        <f>IF(UPPER(TRIM(E640))=UPPER(TRIM(W640)),1,0)</f>
        <v>1</v>
      </c>
      <c r="AG640">
        <f t="shared" si="18"/>
        <v>28.3</v>
      </c>
    </row>
    <row r="641" spans="1:33" x14ac:dyDescent="0.3">
      <c r="A641" t="s">
        <v>355</v>
      </c>
      <c r="B641">
        <v>2</v>
      </c>
      <c r="C641" t="s">
        <v>403</v>
      </c>
      <c r="D641" t="s">
        <v>414</v>
      </c>
      <c r="E641" t="s">
        <v>219</v>
      </c>
      <c r="F641" t="s">
        <v>83</v>
      </c>
      <c r="G641" t="s">
        <v>92</v>
      </c>
      <c r="H641">
        <v>17</v>
      </c>
      <c r="I641">
        <v>11</v>
      </c>
      <c r="J641">
        <v>154.55000000000001</v>
      </c>
      <c r="K641" t="s">
        <v>246</v>
      </c>
      <c r="L641">
        <v>23.2</v>
      </c>
      <c r="M641">
        <v>4</v>
      </c>
      <c r="N641">
        <v>0</v>
      </c>
      <c r="O641">
        <v>19</v>
      </c>
      <c r="P641">
        <v>0</v>
      </c>
      <c r="Q641">
        <v>4.8</v>
      </c>
      <c r="R641">
        <v>10</v>
      </c>
      <c r="S641">
        <v>1</v>
      </c>
      <c r="T641">
        <v>0</v>
      </c>
      <c r="U641" s="8">
        <v>41.2</v>
      </c>
      <c r="V641" s="8">
        <f t="shared" si="19"/>
        <v>4</v>
      </c>
      <c r="W641" t="str">
        <f>_xlfn.XLOOKUP(A641, Matches!A:A, Matches!L:L, "NA", 0)</f>
        <v>UPW</v>
      </c>
      <c r="X641" t="str">
        <f>_xlfn.XLOOKUP(A641, Matches!A:A, Matches!J:J, "NA", 0)</f>
        <v>UPW</v>
      </c>
      <c r="Y641" t="str">
        <f>_xlfn.XLOOKUP(A641, Matches!A:A, Matches!F:F, "NA", 0)</f>
        <v>M. Chinnaswamy Stadium</v>
      </c>
      <c r="Z641" cm="1">
        <f t="array" ref="Z641">INDEX(Innings!F:F,MATCH(1,(TRIM(Innings!A:A)=TRIM(A641))*(TRIM(Innings!D:D)=TRIM(E641)),0))</f>
        <v>143</v>
      </c>
      <c r="AA641" cm="1">
        <f t="array" ref="AA641">INDEX(Innings!I:I,MATCH(1,(TRIM(Innings!A:A)=TRIM(A641))*(TRIM(Innings!D:D)=TRIM(E641)),0))</f>
        <v>9.1300000000000008</v>
      </c>
      <c r="AB641" cm="1">
        <f t="array" ref="AB641">INDEX(Innings!J:J,MATCH(1,(TRIM(Innings!A:A)=TRIM(A641))*(TRIM(Innings!D:D)=TRIM(E641)),0))</f>
        <v>59</v>
      </c>
      <c r="AC641" cm="1">
        <f t="array" ref="AC641">INDEX(Innings!N:N,MATCH(1,(TRIM(Innings!A:A)=TRIM(A641))*(TRIM(Innings!D:D)=TRIM(E641)),0))</f>
        <v>0</v>
      </c>
      <c r="AD641" cm="1">
        <f t="array" ref="AD641">INDEX(Innings!S:S,MATCH(1,(TRIM(Innings!A:A)=TRIM(A641))*(TRIM(Innings!D:D)=TRIM(E641)),0))</f>
        <v>39</v>
      </c>
      <c r="AE641" t="str" cm="1">
        <f t="array" ref="AE641">INDEX(Innings!W:W,MATCH(1,(TRIM(Innings!A:A)=TRIM(A641))*(TRIM(Innings!D:D)=TRIM(E641)),0))</f>
        <v>Successful</v>
      </c>
      <c r="AF641">
        <f>IF(UPPER(TRIM(E641))=UPPER(TRIM(W641)),1,0)</f>
        <v>1</v>
      </c>
      <c r="AG641">
        <f t="shared" si="18"/>
        <v>41.8</v>
      </c>
    </row>
    <row r="642" spans="1:33" x14ac:dyDescent="0.3">
      <c r="A642" t="s">
        <v>355</v>
      </c>
      <c r="B642">
        <v>2</v>
      </c>
      <c r="C642" t="s">
        <v>226</v>
      </c>
      <c r="D642" t="s">
        <v>211</v>
      </c>
      <c r="E642" t="s">
        <v>219</v>
      </c>
      <c r="F642" t="s">
        <v>83</v>
      </c>
      <c r="G642" t="s">
        <v>134</v>
      </c>
      <c r="H642">
        <v>60</v>
      </c>
      <c r="I642">
        <v>33</v>
      </c>
      <c r="J642">
        <v>181.82</v>
      </c>
      <c r="K642" t="s">
        <v>96</v>
      </c>
      <c r="L642">
        <v>77.900000000000006</v>
      </c>
      <c r="M642">
        <v>3</v>
      </c>
      <c r="N642">
        <v>0</v>
      </c>
      <c r="O642">
        <v>21</v>
      </c>
      <c r="P642">
        <v>0</v>
      </c>
      <c r="Q642">
        <v>7</v>
      </c>
      <c r="R642">
        <v>5</v>
      </c>
      <c r="S642">
        <v>0</v>
      </c>
      <c r="T642">
        <v>0</v>
      </c>
      <c r="U642" s="8">
        <v>82.9</v>
      </c>
      <c r="V642" s="8">
        <f t="shared" si="19"/>
        <v>8</v>
      </c>
      <c r="W642" t="str">
        <f>_xlfn.XLOOKUP(A642, Matches!A:A, Matches!L:L, "NA", 0)</f>
        <v>UPW</v>
      </c>
      <c r="X642" t="str">
        <f>_xlfn.XLOOKUP(A642, Matches!A:A, Matches!J:J, "NA", 0)</f>
        <v>UPW</v>
      </c>
      <c r="Y642" t="str">
        <f>_xlfn.XLOOKUP(A642, Matches!A:A, Matches!F:F, "NA", 0)</f>
        <v>M. Chinnaswamy Stadium</v>
      </c>
      <c r="Z642" cm="1">
        <f t="array" ref="Z642">INDEX(Innings!F:F,MATCH(1,(TRIM(Innings!A:A)=TRIM(A642))*(TRIM(Innings!D:D)=TRIM(E642)),0))</f>
        <v>143</v>
      </c>
      <c r="AA642" cm="1">
        <f t="array" ref="AA642">INDEX(Innings!I:I,MATCH(1,(TRIM(Innings!A:A)=TRIM(A642))*(TRIM(Innings!D:D)=TRIM(E642)),0))</f>
        <v>9.1300000000000008</v>
      </c>
      <c r="AB642" cm="1">
        <f t="array" ref="AB642">INDEX(Innings!J:J,MATCH(1,(TRIM(Innings!A:A)=TRIM(A642))*(TRIM(Innings!D:D)=TRIM(E642)),0))</f>
        <v>59</v>
      </c>
      <c r="AC642" cm="1">
        <f t="array" ref="AC642">INDEX(Innings!N:N,MATCH(1,(TRIM(Innings!A:A)=TRIM(A642))*(TRIM(Innings!D:D)=TRIM(E642)),0))</f>
        <v>0</v>
      </c>
      <c r="AD642" cm="1">
        <f t="array" ref="AD642">INDEX(Innings!S:S,MATCH(1,(TRIM(Innings!A:A)=TRIM(A642))*(TRIM(Innings!D:D)=TRIM(E642)),0))</f>
        <v>39</v>
      </c>
      <c r="AE642" t="str" cm="1">
        <f t="array" ref="AE642">INDEX(Innings!W:W,MATCH(1,(TRIM(Innings!A:A)=TRIM(A642))*(TRIM(Innings!D:D)=TRIM(E642)),0))</f>
        <v>Successful</v>
      </c>
      <c r="AF642">
        <f>IF(UPPER(TRIM(E642))=UPPER(TRIM(W642)),1,0)</f>
        <v>1</v>
      </c>
      <c r="AG642">
        <f t="shared" ref="AG642:AG705" si="20">(0.5*MAX(0,U642) + 0.3*MAX(0,V642) + 0.2*AF642*100)</f>
        <v>63.85</v>
      </c>
    </row>
    <row r="643" spans="1:33" x14ac:dyDescent="0.3">
      <c r="A643" t="s">
        <v>355</v>
      </c>
      <c r="B643">
        <v>2</v>
      </c>
      <c r="C643" t="s">
        <v>220</v>
      </c>
      <c r="D643" t="s">
        <v>221</v>
      </c>
      <c r="E643" t="s">
        <v>219</v>
      </c>
      <c r="F643" t="s">
        <v>83</v>
      </c>
      <c r="G643" t="s">
        <v>134</v>
      </c>
      <c r="H643">
        <v>2</v>
      </c>
      <c r="I643">
        <v>7</v>
      </c>
      <c r="J643">
        <v>28.57</v>
      </c>
      <c r="K643" t="s">
        <v>245</v>
      </c>
      <c r="L643">
        <v>-1.6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 s="8">
        <v>0</v>
      </c>
      <c r="V643" s="8">
        <f t="shared" ref="V643:V706" si="21">MIN(10, MAX(0, ROUND(U643/10,0)))</f>
        <v>0</v>
      </c>
      <c r="W643" t="str">
        <f>_xlfn.XLOOKUP(A643, Matches!A:A, Matches!L:L, "NA", 0)</f>
        <v>UPW</v>
      </c>
      <c r="X643" t="str">
        <f>_xlfn.XLOOKUP(A643, Matches!A:A, Matches!J:J, "NA", 0)</f>
        <v>UPW</v>
      </c>
      <c r="Y643" t="str">
        <f>_xlfn.XLOOKUP(A643, Matches!A:A, Matches!F:F, "NA", 0)</f>
        <v>M. Chinnaswamy Stadium</v>
      </c>
      <c r="Z643" cm="1">
        <f t="array" ref="Z643">INDEX(Innings!F:F,MATCH(1,(TRIM(Innings!A:A)=TRIM(A643))*(TRIM(Innings!D:D)=TRIM(E643)),0))</f>
        <v>143</v>
      </c>
      <c r="AA643" cm="1">
        <f t="array" ref="AA643">INDEX(Innings!I:I,MATCH(1,(TRIM(Innings!A:A)=TRIM(A643))*(TRIM(Innings!D:D)=TRIM(E643)),0))</f>
        <v>9.1300000000000008</v>
      </c>
      <c r="AB643" cm="1">
        <f t="array" ref="AB643">INDEX(Innings!J:J,MATCH(1,(TRIM(Innings!A:A)=TRIM(A643))*(TRIM(Innings!D:D)=TRIM(E643)),0))</f>
        <v>59</v>
      </c>
      <c r="AC643" cm="1">
        <f t="array" ref="AC643">INDEX(Innings!N:N,MATCH(1,(TRIM(Innings!A:A)=TRIM(A643))*(TRIM(Innings!D:D)=TRIM(E643)),0))</f>
        <v>0</v>
      </c>
      <c r="AD643" cm="1">
        <f t="array" ref="AD643">INDEX(Innings!S:S,MATCH(1,(TRIM(Innings!A:A)=TRIM(A643))*(TRIM(Innings!D:D)=TRIM(E643)),0))</f>
        <v>39</v>
      </c>
      <c r="AE643" t="str" cm="1">
        <f t="array" ref="AE643">INDEX(Innings!W:W,MATCH(1,(TRIM(Innings!A:A)=TRIM(A643))*(TRIM(Innings!D:D)=TRIM(E643)),0))</f>
        <v>Successful</v>
      </c>
      <c r="AF643">
        <f>IF(UPPER(TRIM(E643))=UPPER(TRIM(W643)),1,0)</f>
        <v>1</v>
      </c>
      <c r="AG643">
        <f t="shared" si="20"/>
        <v>20</v>
      </c>
    </row>
    <row r="644" spans="1:33" x14ac:dyDescent="0.3">
      <c r="A644" t="s">
        <v>355</v>
      </c>
      <c r="B644">
        <v>2</v>
      </c>
      <c r="C644" t="s">
        <v>224</v>
      </c>
      <c r="D644" t="s">
        <v>225</v>
      </c>
      <c r="E644" t="s">
        <v>219</v>
      </c>
      <c r="F644" t="s">
        <v>169</v>
      </c>
      <c r="G644" t="s">
        <v>134</v>
      </c>
      <c r="H644">
        <v>17</v>
      </c>
      <c r="I644">
        <v>14</v>
      </c>
      <c r="J644">
        <v>121.43</v>
      </c>
      <c r="K644" t="s">
        <v>96</v>
      </c>
      <c r="L644">
        <v>22.3</v>
      </c>
      <c r="M644">
        <v>4</v>
      </c>
      <c r="N644">
        <v>0</v>
      </c>
      <c r="O644">
        <v>28</v>
      </c>
      <c r="P644">
        <v>0</v>
      </c>
      <c r="Q644">
        <v>7</v>
      </c>
      <c r="R644">
        <v>5</v>
      </c>
      <c r="S644">
        <v>0</v>
      </c>
      <c r="T644">
        <v>0</v>
      </c>
      <c r="U644" s="8">
        <v>27.3</v>
      </c>
      <c r="V644" s="8">
        <f t="shared" si="21"/>
        <v>3</v>
      </c>
      <c r="W644" t="str">
        <f>_xlfn.XLOOKUP(A644, Matches!A:A, Matches!L:L, "NA", 0)</f>
        <v>UPW</v>
      </c>
      <c r="X644" t="str">
        <f>_xlfn.XLOOKUP(A644, Matches!A:A, Matches!J:J, "NA", 0)</f>
        <v>UPW</v>
      </c>
      <c r="Y644" t="str">
        <f>_xlfn.XLOOKUP(A644, Matches!A:A, Matches!F:F, "NA", 0)</f>
        <v>M. Chinnaswamy Stadium</v>
      </c>
      <c r="Z644" cm="1">
        <f t="array" ref="Z644">INDEX(Innings!F:F,MATCH(1,(TRIM(Innings!A:A)=TRIM(A644))*(TRIM(Innings!D:D)=TRIM(E644)),0))</f>
        <v>143</v>
      </c>
      <c r="AA644" cm="1">
        <f t="array" ref="AA644">INDEX(Innings!I:I,MATCH(1,(TRIM(Innings!A:A)=TRIM(A644))*(TRIM(Innings!D:D)=TRIM(E644)),0))</f>
        <v>9.1300000000000008</v>
      </c>
      <c r="AB644" cm="1">
        <f t="array" ref="AB644">INDEX(Innings!J:J,MATCH(1,(TRIM(Innings!A:A)=TRIM(A644))*(TRIM(Innings!D:D)=TRIM(E644)),0))</f>
        <v>59</v>
      </c>
      <c r="AC644" cm="1">
        <f t="array" ref="AC644">INDEX(Innings!N:N,MATCH(1,(TRIM(Innings!A:A)=TRIM(A644))*(TRIM(Innings!D:D)=TRIM(E644)),0))</f>
        <v>0</v>
      </c>
      <c r="AD644" cm="1">
        <f t="array" ref="AD644">INDEX(Innings!S:S,MATCH(1,(TRIM(Innings!A:A)=TRIM(A644))*(TRIM(Innings!D:D)=TRIM(E644)),0))</f>
        <v>39</v>
      </c>
      <c r="AE644" t="str" cm="1">
        <f t="array" ref="AE644">INDEX(Innings!W:W,MATCH(1,(TRIM(Innings!A:A)=TRIM(A644))*(TRIM(Innings!D:D)=TRIM(E644)),0))</f>
        <v>Successful</v>
      </c>
      <c r="AF644">
        <f>IF(UPPER(TRIM(E644))=UPPER(TRIM(W644)),1,0)</f>
        <v>1</v>
      </c>
      <c r="AG644">
        <f t="shared" si="20"/>
        <v>34.549999999999997</v>
      </c>
    </row>
    <row r="645" spans="1:33" x14ac:dyDescent="0.3">
      <c r="A645" t="s">
        <v>355</v>
      </c>
      <c r="B645">
        <v>2</v>
      </c>
      <c r="C645" t="s">
        <v>273</v>
      </c>
      <c r="D645" t="s">
        <v>279</v>
      </c>
      <c r="E645" t="s">
        <v>219</v>
      </c>
      <c r="F645" t="s">
        <v>91</v>
      </c>
      <c r="G645" t="s">
        <v>104</v>
      </c>
      <c r="H645">
        <v>0</v>
      </c>
      <c r="I645">
        <v>0</v>
      </c>
      <c r="J645">
        <v>0</v>
      </c>
      <c r="K645" t="s">
        <v>104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 s="8">
        <v>0</v>
      </c>
      <c r="V645" s="8">
        <f t="shared" si="21"/>
        <v>0</v>
      </c>
      <c r="W645" t="str">
        <f>_xlfn.XLOOKUP(A645, Matches!A:A, Matches!L:L, "NA", 0)</f>
        <v>UPW</v>
      </c>
      <c r="X645" t="str">
        <f>_xlfn.XLOOKUP(A645, Matches!A:A, Matches!J:J, "NA", 0)</f>
        <v>UPW</v>
      </c>
      <c r="Y645" t="str">
        <f>_xlfn.XLOOKUP(A645, Matches!A:A, Matches!F:F, "NA", 0)</f>
        <v>M. Chinnaswamy Stadium</v>
      </c>
      <c r="Z645" cm="1">
        <f t="array" ref="Z645">INDEX(Innings!F:F,MATCH(1,(TRIM(Innings!A:A)=TRIM(A645))*(TRIM(Innings!D:D)=TRIM(E645)),0))</f>
        <v>143</v>
      </c>
      <c r="AA645" cm="1">
        <f t="array" ref="AA645">INDEX(Innings!I:I,MATCH(1,(TRIM(Innings!A:A)=TRIM(A645))*(TRIM(Innings!D:D)=TRIM(E645)),0))</f>
        <v>9.1300000000000008</v>
      </c>
      <c r="AB645" cm="1">
        <f t="array" ref="AB645">INDEX(Innings!J:J,MATCH(1,(TRIM(Innings!A:A)=TRIM(A645))*(TRIM(Innings!D:D)=TRIM(E645)),0))</f>
        <v>59</v>
      </c>
      <c r="AC645" cm="1">
        <f t="array" ref="AC645">INDEX(Innings!N:N,MATCH(1,(TRIM(Innings!A:A)=TRIM(A645))*(TRIM(Innings!D:D)=TRIM(E645)),0))</f>
        <v>0</v>
      </c>
      <c r="AD645" cm="1">
        <f t="array" ref="AD645">INDEX(Innings!S:S,MATCH(1,(TRIM(Innings!A:A)=TRIM(A645))*(TRIM(Innings!D:D)=TRIM(E645)),0))</f>
        <v>39</v>
      </c>
      <c r="AE645" t="str" cm="1">
        <f t="array" ref="AE645">INDEX(Innings!W:W,MATCH(1,(TRIM(Innings!A:A)=TRIM(A645))*(TRIM(Innings!D:D)=TRIM(E645)),0))</f>
        <v>Successful</v>
      </c>
      <c r="AF645">
        <f>IF(UPPER(TRIM(E645))=UPPER(TRIM(W645)),1,0)</f>
        <v>1</v>
      </c>
      <c r="AG645">
        <f t="shared" si="20"/>
        <v>20</v>
      </c>
    </row>
    <row r="646" spans="1:33" x14ac:dyDescent="0.3">
      <c r="A646" t="s">
        <v>355</v>
      </c>
      <c r="B646">
        <v>2</v>
      </c>
      <c r="C646" t="s">
        <v>377</v>
      </c>
      <c r="D646" t="s">
        <v>378</v>
      </c>
      <c r="E646" t="s">
        <v>219</v>
      </c>
      <c r="F646" t="s">
        <v>91</v>
      </c>
      <c r="G646" t="s">
        <v>104</v>
      </c>
      <c r="H646">
        <v>0</v>
      </c>
      <c r="I646">
        <v>0</v>
      </c>
      <c r="J646">
        <v>0</v>
      </c>
      <c r="K646" t="s">
        <v>104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1</v>
      </c>
      <c r="U646" s="8">
        <v>12</v>
      </c>
      <c r="V646" s="8">
        <f t="shared" si="21"/>
        <v>1</v>
      </c>
      <c r="W646" t="str">
        <f>_xlfn.XLOOKUP(A646, Matches!A:A, Matches!L:L, "NA", 0)</f>
        <v>UPW</v>
      </c>
      <c r="X646" t="str">
        <f>_xlfn.XLOOKUP(A646, Matches!A:A, Matches!J:J, "NA", 0)</f>
        <v>UPW</v>
      </c>
      <c r="Y646" t="str">
        <f>_xlfn.XLOOKUP(A646, Matches!A:A, Matches!F:F, "NA", 0)</f>
        <v>M. Chinnaswamy Stadium</v>
      </c>
      <c r="Z646" cm="1">
        <f t="array" ref="Z646">INDEX(Innings!F:F,MATCH(1,(TRIM(Innings!A:A)=TRIM(A646))*(TRIM(Innings!D:D)=TRIM(E646)),0))</f>
        <v>143</v>
      </c>
      <c r="AA646" cm="1">
        <f t="array" ref="AA646">INDEX(Innings!I:I,MATCH(1,(TRIM(Innings!A:A)=TRIM(A646))*(TRIM(Innings!D:D)=TRIM(E646)),0))</f>
        <v>9.1300000000000008</v>
      </c>
      <c r="AB646" cm="1">
        <f t="array" ref="AB646">INDEX(Innings!J:J,MATCH(1,(TRIM(Innings!A:A)=TRIM(A646))*(TRIM(Innings!D:D)=TRIM(E646)),0))</f>
        <v>59</v>
      </c>
      <c r="AC646" cm="1">
        <f t="array" ref="AC646">INDEX(Innings!N:N,MATCH(1,(TRIM(Innings!A:A)=TRIM(A646))*(TRIM(Innings!D:D)=TRIM(E646)),0))</f>
        <v>0</v>
      </c>
      <c r="AD646" cm="1">
        <f t="array" ref="AD646">INDEX(Innings!S:S,MATCH(1,(TRIM(Innings!A:A)=TRIM(A646))*(TRIM(Innings!D:D)=TRIM(E646)),0))</f>
        <v>39</v>
      </c>
      <c r="AE646" t="str" cm="1">
        <f t="array" ref="AE646">INDEX(Innings!W:W,MATCH(1,(TRIM(Innings!A:A)=TRIM(A646))*(TRIM(Innings!D:D)=TRIM(E646)),0))</f>
        <v>Successful</v>
      </c>
      <c r="AF646">
        <f>IF(UPPER(TRIM(E646))=UPPER(TRIM(W646)),1,0)</f>
        <v>1</v>
      </c>
      <c r="AG646">
        <f t="shared" si="20"/>
        <v>26.3</v>
      </c>
    </row>
    <row r="647" spans="1:33" x14ac:dyDescent="0.3">
      <c r="A647" t="s">
        <v>355</v>
      </c>
      <c r="B647">
        <v>2</v>
      </c>
      <c r="C647" t="s">
        <v>233</v>
      </c>
      <c r="D647" t="s">
        <v>234</v>
      </c>
      <c r="E647" t="s">
        <v>219</v>
      </c>
      <c r="F647" t="s">
        <v>101</v>
      </c>
      <c r="G647" t="s">
        <v>104</v>
      </c>
      <c r="H647">
        <v>0</v>
      </c>
      <c r="I647">
        <v>0</v>
      </c>
      <c r="J647">
        <v>0</v>
      </c>
      <c r="K647" t="s">
        <v>104</v>
      </c>
      <c r="L647">
        <v>0</v>
      </c>
      <c r="M647">
        <v>4</v>
      </c>
      <c r="N647">
        <v>0</v>
      </c>
      <c r="O647">
        <v>20</v>
      </c>
      <c r="P647">
        <v>3</v>
      </c>
      <c r="Q647">
        <v>5</v>
      </c>
      <c r="R647">
        <v>55</v>
      </c>
      <c r="S647">
        <v>0</v>
      </c>
      <c r="T647">
        <v>0</v>
      </c>
      <c r="U647" s="8">
        <v>55</v>
      </c>
      <c r="V647" s="8">
        <f t="shared" si="21"/>
        <v>6</v>
      </c>
      <c r="W647" t="str">
        <f>_xlfn.XLOOKUP(A647, Matches!A:A, Matches!L:L, "NA", 0)</f>
        <v>UPW</v>
      </c>
      <c r="X647" t="str">
        <f>_xlfn.XLOOKUP(A647, Matches!A:A, Matches!J:J, "NA", 0)</f>
        <v>UPW</v>
      </c>
      <c r="Y647" t="str">
        <f>_xlfn.XLOOKUP(A647, Matches!A:A, Matches!F:F, "NA", 0)</f>
        <v>M. Chinnaswamy Stadium</v>
      </c>
      <c r="Z647" cm="1">
        <f t="array" ref="Z647">INDEX(Innings!F:F,MATCH(1,(TRIM(Innings!A:A)=TRIM(A647))*(TRIM(Innings!D:D)=TRIM(E647)),0))</f>
        <v>143</v>
      </c>
      <c r="AA647" cm="1">
        <f t="array" ref="AA647">INDEX(Innings!I:I,MATCH(1,(TRIM(Innings!A:A)=TRIM(A647))*(TRIM(Innings!D:D)=TRIM(E647)),0))</f>
        <v>9.1300000000000008</v>
      </c>
      <c r="AB647" cm="1">
        <f t="array" ref="AB647">INDEX(Innings!J:J,MATCH(1,(TRIM(Innings!A:A)=TRIM(A647))*(TRIM(Innings!D:D)=TRIM(E647)),0))</f>
        <v>59</v>
      </c>
      <c r="AC647" cm="1">
        <f t="array" ref="AC647">INDEX(Innings!N:N,MATCH(1,(TRIM(Innings!A:A)=TRIM(A647))*(TRIM(Innings!D:D)=TRIM(E647)),0))</f>
        <v>0</v>
      </c>
      <c r="AD647" cm="1">
        <f t="array" ref="AD647">INDEX(Innings!S:S,MATCH(1,(TRIM(Innings!A:A)=TRIM(A647))*(TRIM(Innings!D:D)=TRIM(E647)),0))</f>
        <v>39</v>
      </c>
      <c r="AE647" t="str" cm="1">
        <f t="array" ref="AE647">INDEX(Innings!W:W,MATCH(1,(TRIM(Innings!A:A)=TRIM(A647))*(TRIM(Innings!D:D)=TRIM(E647)),0))</f>
        <v>Successful</v>
      </c>
      <c r="AF647">
        <f>IF(UPPER(TRIM(E647))=UPPER(TRIM(W647)),1,0)</f>
        <v>1</v>
      </c>
      <c r="AG647">
        <f t="shared" si="20"/>
        <v>49.3</v>
      </c>
    </row>
    <row r="648" spans="1:33" x14ac:dyDescent="0.3">
      <c r="A648" t="s">
        <v>355</v>
      </c>
      <c r="B648">
        <v>2</v>
      </c>
      <c r="C648" t="s">
        <v>235</v>
      </c>
      <c r="D648" t="s">
        <v>236</v>
      </c>
      <c r="E648" t="s">
        <v>219</v>
      </c>
      <c r="F648" t="s">
        <v>101</v>
      </c>
      <c r="G648" t="s">
        <v>104</v>
      </c>
      <c r="H648">
        <v>0</v>
      </c>
      <c r="I648">
        <v>0</v>
      </c>
      <c r="J648">
        <v>0</v>
      </c>
      <c r="K648" t="s">
        <v>104</v>
      </c>
      <c r="L648">
        <v>0</v>
      </c>
      <c r="M648">
        <v>1</v>
      </c>
      <c r="N648">
        <v>0</v>
      </c>
      <c r="O648">
        <v>13</v>
      </c>
      <c r="P648">
        <v>0</v>
      </c>
      <c r="Q648">
        <v>13</v>
      </c>
      <c r="R648">
        <v>0</v>
      </c>
      <c r="S648">
        <v>0</v>
      </c>
      <c r="T648">
        <v>0</v>
      </c>
      <c r="U648" s="8">
        <v>0</v>
      </c>
      <c r="V648" s="8">
        <f t="shared" si="21"/>
        <v>0</v>
      </c>
      <c r="W648" t="str">
        <f>_xlfn.XLOOKUP(A648, Matches!A:A, Matches!L:L, "NA", 0)</f>
        <v>UPW</v>
      </c>
      <c r="X648" t="str">
        <f>_xlfn.XLOOKUP(A648, Matches!A:A, Matches!J:J, "NA", 0)</f>
        <v>UPW</v>
      </c>
      <c r="Y648" t="str">
        <f>_xlfn.XLOOKUP(A648, Matches!A:A, Matches!F:F, "NA", 0)</f>
        <v>M. Chinnaswamy Stadium</v>
      </c>
      <c r="Z648" cm="1">
        <f t="array" ref="Z648">INDEX(Innings!F:F,MATCH(1,(TRIM(Innings!A:A)=TRIM(A648))*(TRIM(Innings!D:D)=TRIM(E648)),0))</f>
        <v>143</v>
      </c>
      <c r="AA648" cm="1">
        <f t="array" ref="AA648">INDEX(Innings!I:I,MATCH(1,(TRIM(Innings!A:A)=TRIM(A648))*(TRIM(Innings!D:D)=TRIM(E648)),0))</f>
        <v>9.1300000000000008</v>
      </c>
      <c r="AB648" cm="1">
        <f t="array" ref="AB648">INDEX(Innings!J:J,MATCH(1,(TRIM(Innings!A:A)=TRIM(A648))*(TRIM(Innings!D:D)=TRIM(E648)),0))</f>
        <v>59</v>
      </c>
      <c r="AC648" cm="1">
        <f t="array" ref="AC648">INDEX(Innings!N:N,MATCH(1,(TRIM(Innings!A:A)=TRIM(A648))*(TRIM(Innings!D:D)=TRIM(E648)),0))</f>
        <v>0</v>
      </c>
      <c r="AD648" cm="1">
        <f t="array" ref="AD648">INDEX(Innings!S:S,MATCH(1,(TRIM(Innings!A:A)=TRIM(A648))*(TRIM(Innings!D:D)=TRIM(E648)),0))</f>
        <v>39</v>
      </c>
      <c r="AE648" t="str" cm="1">
        <f t="array" ref="AE648">INDEX(Innings!W:W,MATCH(1,(TRIM(Innings!A:A)=TRIM(A648))*(TRIM(Innings!D:D)=TRIM(E648)),0))</f>
        <v>Successful</v>
      </c>
      <c r="AF648">
        <f>IF(UPPER(TRIM(E648))=UPPER(TRIM(W648)),1,0)</f>
        <v>1</v>
      </c>
      <c r="AG648">
        <f t="shared" si="20"/>
        <v>20</v>
      </c>
    </row>
    <row r="649" spans="1:33" x14ac:dyDescent="0.3">
      <c r="A649" t="s">
        <v>355</v>
      </c>
      <c r="B649">
        <v>2</v>
      </c>
      <c r="C649" t="s">
        <v>237</v>
      </c>
      <c r="D649" t="s">
        <v>238</v>
      </c>
      <c r="E649" t="s">
        <v>219</v>
      </c>
      <c r="F649" t="s">
        <v>101</v>
      </c>
      <c r="G649" t="s">
        <v>104</v>
      </c>
      <c r="H649">
        <v>0</v>
      </c>
      <c r="I649">
        <v>0</v>
      </c>
      <c r="J649">
        <v>0</v>
      </c>
      <c r="K649" t="s">
        <v>104</v>
      </c>
      <c r="L649">
        <v>0</v>
      </c>
      <c r="M649">
        <v>4</v>
      </c>
      <c r="N649">
        <v>0</v>
      </c>
      <c r="O649">
        <v>33</v>
      </c>
      <c r="P649">
        <v>1</v>
      </c>
      <c r="Q649">
        <v>8.25</v>
      </c>
      <c r="R649">
        <v>14</v>
      </c>
      <c r="S649">
        <v>0</v>
      </c>
      <c r="T649">
        <v>0</v>
      </c>
      <c r="U649" s="8">
        <v>14</v>
      </c>
      <c r="V649" s="8">
        <f t="shared" si="21"/>
        <v>1</v>
      </c>
      <c r="W649" t="str">
        <f>_xlfn.XLOOKUP(A649, Matches!A:A, Matches!L:L, "NA", 0)</f>
        <v>UPW</v>
      </c>
      <c r="X649" t="str">
        <f>_xlfn.XLOOKUP(A649, Matches!A:A, Matches!J:J, "NA", 0)</f>
        <v>UPW</v>
      </c>
      <c r="Y649" t="str">
        <f>_xlfn.XLOOKUP(A649, Matches!A:A, Matches!F:F, "NA", 0)</f>
        <v>M. Chinnaswamy Stadium</v>
      </c>
      <c r="Z649" cm="1">
        <f t="array" ref="Z649">INDEX(Innings!F:F,MATCH(1,(TRIM(Innings!A:A)=TRIM(A649))*(TRIM(Innings!D:D)=TRIM(E649)),0))</f>
        <v>143</v>
      </c>
      <c r="AA649" cm="1">
        <f t="array" ref="AA649">INDEX(Innings!I:I,MATCH(1,(TRIM(Innings!A:A)=TRIM(A649))*(TRIM(Innings!D:D)=TRIM(E649)),0))</f>
        <v>9.1300000000000008</v>
      </c>
      <c r="AB649" cm="1">
        <f t="array" ref="AB649">INDEX(Innings!J:J,MATCH(1,(TRIM(Innings!A:A)=TRIM(A649))*(TRIM(Innings!D:D)=TRIM(E649)),0))</f>
        <v>59</v>
      </c>
      <c r="AC649" cm="1">
        <f t="array" ref="AC649">INDEX(Innings!N:N,MATCH(1,(TRIM(Innings!A:A)=TRIM(A649))*(TRIM(Innings!D:D)=TRIM(E649)),0))</f>
        <v>0</v>
      </c>
      <c r="AD649" cm="1">
        <f t="array" ref="AD649">INDEX(Innings!S:S,MATCH(1,(TRIM(Innings!A:A)=TRIM(A649))*(TRIM(Innings!D:D)=TRIM(E649)),0))</f>
        <v>39</v>
      </c>
      <c r="AE649" t="str" cm="1">
        <f t="array" ref="AE649">INDEX(Innings!W:W,MATCH(1,(TRIM(Innings!A:A)=TRIM(A649))*(TRIM(Innings!D:D)=TRIM(E649)),0))</f>
        <v>Successful</v>
      </c>
      <c r="AF649">
        <f>IF(UPPER(TRIM(E649))=UPPER(TRIM(W649)),1,0)</f>
        <v>1</v>
      </c>
      <c r="AG649">
        <f t="shared" si="20"/>
        <v>27.3</v>
      </c>
    </row>
    <row r="650" spans="1:33" x14ac:dyDescent="0.3">
      <c r="A650" t="s">
        <v>355</v>
      </c>
      <c r="B650">
        <v>2</v>
      </c>
      <c r="C650" t="s">
        <v>278</v>
      </c>
      <c r="D650" t="s">
        <v>293</v>
      </c>
      <c r="E650" t="s">
        <v>258</v>
      </c>
      <c r="F650" t="s">
        <v>109</v>
      </c>
      <c r="G650" t="s">
        <v>86</v>
      </c>
      <c r="H650">
        <v>28</v>
      </c>
      <c r="I650">
        <v>26</v>
      </c>
      <c r="J650">
        <v>107.69</v>
      </c>
      <c r="K650" t="s">
        <v>246</v>
      </c>
      <c r="L650">
        <v>20.100000000000001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 s="8">
        <v>20.100000000000001</v>
      </c>
      <c r="V650" s="8">
        <f t="shared" si="21"/>
        <v>2</v>
      </c>
      <c r="W650" t="str">
        <f>_xlfn.XLOOKUP(A650, Matches!A:A, Matches!L:L, "NA", 0)</f>
        <v>UPW</v>
      </c>
      <c r="X650" t="str">
        <f>_xlfn.XLOOKUP(A650, Matches!A:A, Matches!J:J, "NA", 0)</f>
        <v>UPW</v>
      </c>
      <c r="Y650" t="str">
        <f>_xlfn.XLOOKUP(A650, Matches!A:A, Matches!F:F, "NA", 0)</f>
        <v>M. Chinnaswamy Stadium</v>
      </c>
      <c r="Z650" cm="1">
        <f t="array" ref="Z650">INDEX(Innings!F:F,MATCH(1,(TRIM(Innings!A:A)=TRIM(A650))*(TRIM(Innings!D:D)=TRIM(E650)),0))</f>
        <v>142</v>
      </c>
      <c r="AA650" cm="1">
        <f t="array" ref="AA650">INDEX(Innings!I:I,MATCH(1,(TRIM(Innings!A:A)=TRIM(A650))*(TRIM(Innings!D:D)=TRIM(E650)),0))</f>
        <v>7.1</v>
      </c>
      <c r="AB650" cm="1">
        <f t="array" ref="AB650">INDEX(Innings!J:J,MATCH(1,(TRIM(Innings!A:A)=TRIM(A650))*(TRIM(Innings!D:D)=TRIM(E650)),0))</f>
        <v>41</v>
      </c>
      <c r="AC650" cm="1">
        <f t="array" ref="AC650">INDEX(Innings!N:N,MATCH(1,(TRIM(Innings!A:A)=TRIM(A650))*(TRIM(Innings!D:D)=TRIM(E650)),0))</f>
        <v>34</v>
      </c>
      <c r="AD650" cm="1">
        <f t="array" ref="AD650">INDEX(Innings!S:S,MATCH(1,(TRIM(Innings!A:A)=TRIM(A650))*(TRIM(Innings!D:D)=TRIM(E650)),0))</f>
        <v>45</v>
      </c>
      <c r="AE650" t="str" cm="1">
        <f t="array" ref="AE650">INDEX(Innings!W:W,MATCH(1,(TRIM(Innings!A:A)=TRIM(A650))*(TRIM(Innings!D:D)=TRIM(E650)),0))</f>
        <v>NA</v>
      </c>
      <c r="AF650">
        <f>IF(UPPER(TRIM(E650))=UPPER(TRIM(W650)),1,0)</f>
        <v>0</v>
      </c>
      <c r="AG650">
        <f t="shared" si="20"/>
        <v>10.65</v>
      </c>
    </row>
    <row r="651" spans="1:33" x14ac:dyDescent="0.3">
      <c r="A651" t="s">
        <v>355</v>
      </c>
      <c r="B651">
        <v>2</v>
      </c>
      <c r="C651" t="s">
        <v>81</v>
      </c>
      <c r="D651" t="s">
        <v>114</v>
      </c>
      <c r="E651" t="s">
        <v>258</v>
      </c>
      <c r="F651" t="s">
        <v>85</v>
      </c>
      <c r="G651" t="s">
        <v>86</v>
      </c>
      <c r="H651">
        <v>16</v>
      </c>
      <c r="I651">
        <v>16</v>
      </c>
      <c r="J651">
        <v>100</v>
      </c>
      <c r="K651" t="s">
        <v>246</v>
      </c>
      <c r="L651">
        <v>14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 s="8">
        <v>14</v>
      </c>
      <c r="V651" s="8">
        <f t="shared" si="21"/>
        <v>1</v>
      </c>
      <c r="W651" t="str">
        <f>_xlfn.XLOOKUP(A651, Matches!A:A, Matches!L:L, "NA", 0)</f>
        <v>UPW</v>
      </c>
      <c r="X651" t="str">
        <f>_xlfn.XLOOKUP(A651, Matches!A:A, Matches!J:J, "NA", 0)</f>
        <v>UPW</v>
      </c>
      <c r="Y651" t="str">
        <f>_xlfn.XLOOKUP(A651, Matches!A:A, Matches!F:F, "NA", 0)</f>
        <v>M. Chinnaswamy Stadium</v>
      </c>
      <c r="Z651" cm="1">
        <f t="array" ref="Z651">INDEX(Innings!F:F,MATCH(1,(TRIM(Innings!A:A)=TRIM(A651))*(TRIM(Innings!D:D)=TRIM(E651)),0))</f>
        <v>142</v>
      </c>
      <c r="AA651" cm="1">
        <f t="array" ref="AA651">INDEX(Innings!I:I,MATCH(1,(TRIM(Innings!A:A)=TRIM(A651))*(TRIM(Innings!D:D)=TRIM(E651)),0))</f>
        <v>7.1</v>
      </c>
      <c r="AB651" cm="1">
        <f t="array" ref="AB651">INDEX(Innings!J:J,MATCH(1,(TRIM(Innings!A:A)=TRIM(A651))*(TRIM(Innings!D:D)=TRIM(E651)),0))</f>
        <v>41</v>
      </c>
      <c r="AC651" cm="1">
        <f t="array" ref="AC651">INDEX(Innings!N:N,MATCH(1,(TRIM(Innings!A:A)=TRIM(A651))*(TRIM(Innings!D:D)=TRIM(E651)),0))</f>
        <v>34</v>
      </c>
      <c r="AD651" cm="1">
        <f t="array" ref="AD651">INDEX(Innings!S:S,MATCH(1,(TRIM(Innings!A:A)=TRIM(A651))*(TRIM(Innings!D:D)=TRIM(E651)),0))</f>
        <v>45</v>
      </c>
      <c r="AE651" t="str" cm="1">
        <f t="array" ref="AE651">INDEX(Innings!W:W,MATCH(1,(TRIM(Innings!A:A)=TRIM(A651))*(TRIM(Innings!D:D)=TRIM(E651)),0))</f>
        <v>NA</v>
      </c>
      <c r="AF651">
        <f>IF(UPPER(TRIM(E651))=UPPER(TRIM(W651)),1,0)</f>
        <v>0</v>
      </c>
      <c r="AG651">
        <f t="shared" si="20"/>
        <v>7.3</v>
      </c>
    </row>
    <row r="652" spans="1:33" x14ac:dyDescent="0.3">
      <c r="A652" t="s">
        <v>355</v>
      </c>
      <c r="B652">
        <v>2</v>
      </c>
      <c r="C652" t="s">
        <v>89</v>
      </c>
      <c r="D652" t="s">
        <v>116</v>
      </c>
      <c r="E652" t="s">
        <v>258</v>
      </c>
      <c r="F652" t="s">
        <v>109</v>
      </c>
      <c r="G652" t="s">
        <v>92</v>
      </c>
      <c r="H652">
        <v>18</v>
      </c>
      <c r="I652">
        <v>24</v>
      </c>
      <c r="J652">
        <v>75</v>
      </c>
      <c r="K652" t="s">
        <v>246</v>
      </c>
      <c r="L652">
        <v>8.6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 s="8">
        <v>8.6</v>
      </c>
      <c r="V652" s="8">
        <f t="shared" si="21"/>
        <v>1</v>
      </c>
      <c r="W652" t="str">
        <f>_xlfn.XLOOKUP(A652, Matches!A:A, Matches!L:L, "NA", 0)</f>
        <v>UPW</v>
      </c>
      <c r="X652" t="str">
        <f>_xlfn.XLOOKUP(A652, Matches!A:A, Matches!J:J, "NA", 0)</f>
        <v>UPW</v>
      </c>
      <c r="Y652" t="str">
        <f>_xlfn.XLOOKUP(A652, Matches!A:A, Matches!F:F, "NA", 0)</f>
        <v>M. Chinnaswamy Stadium</v>
      </c>
      <c r="Z652" cm="1">
        <f t="array" ref="Z652">INDEX(Innings!F:F,MATCH(1,(TRIM(Innings!A:A)=TRIM(A652))*(TRIM(Innings!D:D)=TRIM(E652)),0))</f>
        <v>142</v>
      </c>
      <c r="AA652" cm="1">
        <f t="array" ref="AA652">INDEX(Innings!I:I,MATCH(1,(TRIM(Innings!A:A)=TRIM(A652))*(TRIM(Innings!D:D)=TRIM(E652)),0))</f>
        <v>7.1</v>
      </c>
      <c r="AB652" cm="1">
        <f t="array" ref="AB652">INDEX(Innings!J:J,MATCH(1,(TRIM(Innings!A:A)=TRIM(A652))*(TRIM(Innings!D:D)=TRIM(E652)),0))</f>
        <v>41</v>
      </c>
      <c r="AC652" cm="1">
        <f t="array" ref="AC652">INDEX(Innings!N:N,MATCH(1,(TRIM(Innings!A:A)=TRIM(A652))*(TRIM(Innings!D:D)=TRIM(E652)),0))</f>
        <v>34</v>
      </c>
      <c r="AD652" cm="1">
        <f t="array" ref="AD652">INDEX(Innings!S:S,MATCH(1,(TRIM(Innings!A:A)=TRIM(A652))*(TRIM(Innings!D:D)=TRIM(E652)),0))</f>
        <v>45</v>
      </c>
      <c r="AE652" t="str" cm="1">
        <f t="array" ref="AE652">INDEX(Innings!W:W,MATCH(1,(TRIM(Innings!A:A)=TRIM(A652))*(TRIM(Innings!D:D)=TRIM(E652)),0))</f>
        <v>NA</v>
      </c>
      <c r="AF652">
        <f>IF(UPPER(TRIM(E652))=UPPER(TRIM(W652)),1,0)</f>
        <v>0</v>
      </c>
      <c r="AG652">
        <f t="shared" si="20"/>
        <v>4.5999999999999996</v>
      </c>
    </row>
    <row r="653" spans="1:33" x14ac:dyDescent="0.3">
      <c r="A653" t="s">
        <v>355</v>
      </c>
      <c r="B653">
        <v>2</v>
      </c>
      <c r="C653" t="s">
        <v>383</v>
      </c>
      <c r="D653" t="s">
        <v>384</v>
      </c>
      <c r="E653" t="s">
        <v>258</v>
      </c>
      <c r="F653" t="s">
        <v>109</v>
      </c>
      <c r="G653" t="s">
        <v>92</v>
      </c>
      <c r="H653">
        <v>35</v>
      </c>
      <c r="I653">
        <v>26</v>
      </c>
      <c r="J653">
        <v>134.62</v>
      </c>
      <c r="K653" t="s">
        <v>256</v>
      </c>
      <c r="L653">
        <v>33.9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</v>
      </c>
      <c r="U653" s="8">
        <v>45.9</v>
      </c>
      <c r="V653" s="8">
        <f t="shared" si="21"/>
        <v>5</v>
      </c>
      <c r="W653" t="str">
        <f>_xlfn.XLOOKUP(A653, Matches!A:A, Matches!L:L, "NA", 0)</f>
        <v>UPW</v>
      </c>
      <c r="X653" t="str">
        <f>_xlfn.XLOOKUP(A653, Matches!A:A, Matches!J:J, "NA", 0)</f>
        <v>UPW</v>
      </c>
      <c r="Y653" t="str">
        <f>_xlfn.XLOOKUP(A653, Matches!A:A, Matches!F:F, "NA", 0)</f>
        <v>M. Chinnaswamy Stadium</v>
      </c>
      <c r="Z653" cm="1">
        <f t="array" ref="Z653">INDEX(Innings!F:F,MATCH(1,(TRIM(Innings!A:A)=TRIM(A653))*(TRIM(Innings!D:D)=TRIM(E653)),0))</f>
        <v>142</v>
      </c>
      <c r="AA653" cm="1">
        <f t="array" ref="AA653">INDEX(Innings!I:I,MATCH(1,(TRIM(Innings!A:A)=TRIM(A653))*(TRIM(Innings!D:D)=TRIM(E653)),0))</f>
        <v>7.1</v>
      </c>
      <c r="AB653" cm="1">
        <f t="array" ref="AB653">INDEX(Innings!J:J,MATCH(1,(TRIM(Innings!A:A)=TRIM(A653))*(TRIM(Innings!D:D)=TRIM(E653)),0))</f>
        <v>41</v>
      </c>
      <c r="AC653" cm="1">
        <f t="array" ref="AC653">INDEX(Innings!N:N,MATCH(1,(TRIM(Innings!A:A)=TRIM(A653))*(TRIM(Innings!D:D)=TRIM(E653)),0))</f>
        <v>34</v>
      </c>
      <c r="AD653" cm="1">
        <f t="array" ref="AD653">INDEX(Innings!S:S,MATCH(1,(TRIM(Innings!A:A)=TRIM(A653))*(TRIM(Innings!D:D)=TRIM(E653)),0))</f>
        <v>45</v>
      </c>
      <c r="AE653" t="str" cm="1">
        <f t="array" ref="AE653">INDEX(Innings!W:W,MATCH(1,(TRIM(Innings!A:A)=TRIM(A653))*(TRIM(Innings!D:D)=TRIM(E653)),0))</f>
        <v>NA</v>
      </c>
      <c r="AF653">
        <f>IF(UPPER(TRIM(E653))=UPPER(TRIM(W653)),1,0)</f>
        <v>0</v>
      </c>
      <c r="AG653">
        <f t="shared" si="20"/>
        <v>24.45</v>
      </c>
    </row>
    <row r="654" spans="1:33" x14ac:dyDescent="0.3">
      <c r="A654" t="s">
        <v>355</v>
      </c>
      <c r="B654">
        <v>2</v>
      </c>
      <c r="C654" t="s">
        <v>93</v>
      </c>
      <c r="D654" t="s">
        <v>118</v>
      </c>
      <c r="E654" t="s">
        <v>258</v>
      </c>
      <c r="F654" t="s">
        <v>83</v>
      </c>
      <c r="G654" t="s">
        <v>134</v>
      </c>
      <c r="H654">
        <v>30</v>
      </c>
      <c r="I654">
        <v>17</v>
      </c>
      <c r="J654">
        <v>176.47</v>
      </c>
      <c r="K654" t="s">
        <v>246</v>
      </c>
      <c r="L654">
        <v>36.299999999999997</v>
      </c>
      <c r="M654">
        <v>3</v>
      </c>
      <c r="N654">
        <v>0</v>
      </c>
      <c r="O654">
        <v>30</v>
      </c>
      <c r="P654">
        <v>0</v>
      </c>
      <c r="Q654">
        <v>10</v>
      </c>
      <c r="R654">
        <v>0</v>
      </c>
      <c r="S654">
        <v>0</v>
      </c>
      <c r="T654">
        <v>0</v>
      </c>
      <c r="U654" s="8">
        <v>36.299999999999997</v>
      </c>
      <c r="V654" s="8">
        <f t="shared" si="21"/>
        <v>4</v>
      </c>
      <c r="W654" t="str">
        <f>_xlfn.XLOOKUP(A654, Matches!A:A, Matches!L:L, "NA", 0)</f>
        <v>UPW</v>
      </c>
      <c r="X654" t="str">
        <f>_xlfn.XLOOKUP(A654, Matches!A:A, Matches!J:J, "NA", 0)</f>
        <v>UPW</v>
      </c>
      <c r="Y654" t="str">
        <f>_xlfn.XLOOKUP(A654, Matches!A:A, Matches!F:F, "NA", 0)</f>
        <v>M. Chinnaswamy Stadium</v>
      </c>
      <c r="Z654" cm="1">
        <f t="array" ref="Z654">INDEX(Innings!F:F,MATCH(1,(TRIM(Innings!A:A)=TRIM(A654))*(TRIM(Innings!D:D)=TRIM(E654)),0))</f>
        <v>142</v>
      </c>
      <c r="AA654" cm="1">
        <f t="array" ref="AA654">INDEX(Innings!I:I,MATCH(1,(TRIM(Innings!A:A)=TRIM(A654))*(TRIM(Innings!D:D)=TRIM(E654)),0))</f>
        <v>7.1</v>
      </c>
      <c r="AB654" cm="1">
        <f t="array" ref="AB654">INDEX(Innings!J:J,MATCH(1,(TRIM(Innings!A:A)=TRIM(A654))*(TRIM(Innings!D:D)=TRIM(E654)),0))</f>
        <v>41</v>
      </c>
      <c r="AC654" cm="1">
        <f t="array" ref="AC654">INDEX(Innings!N:N,MATCH(1,(TRIM(Innings!A:A)=TRIM(A654))*(TRIM(Innings!D:D)=TRIM(E654)),0))</f>
        <v>34</v>
      </c>
      <c r="AD654" cm="1">
        <f t="array" ref="AD654">INDEX(Innings!S:S,MATCH(1,(TRIM(Innings!A:A)=TRIM(A654))*(TRIM(Innings!D:D)=TRIM(E654)),0))</f>
        <v>45</v>
      </c>
      <c r="AE654" t="str" cm="1">
        <f t="array" ref="AE654">INDEX(Innings!W:W,MATCH(1,(TRIM(Innings!A:A)=TRIM(A654))*(TRIM(Innings!D:D)=TRIM(E654)),0))</f>
        <v>NA</v>
      </c>
      <c r="AF654">
        <f>IF(UPPER(TRIM(E654))=UPPER(TRIM(W654)),1,0)</f>
        <v>0</v>
      </c>
      <c r="AG654">
        <f t="shared" si="20"/>
        <v>19.349999999999998</v>
      </c>
    </row>
    <row r="655" spans="1:33" x14ac:dyDescent="0.3">
      <c r="A655" t="s">
        <v>355</v>
      </c>
      <c r="B655">
        <v>2</v>
      </c>
      <c r="C655" t="s">
        <v>97</v>
      </c>
      <c r="D655" t="s">
        <v>122</v>
      </c>
      <c r="E655" t="s">
        <v>258</v>
      </c>
      <c r="F655" t="s">
        <v>109</v>
      </c>
      <c r="G655" t="s">
        <v>134</v>
      </c>
      <c r="H655">
        <v>2</v>
      </c>
      <c r="I655">
        <v>4</v>
      </c>
      <c r="J655">
        <v>50</v>
      </c>
      <c r="K655" t="s">
        <v>96</v>
      </c>
      <c r="L655">
        <v>7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 s="8">
        <v>7</v>
      </c>
      <c r="V655" s="8">
        <f t="shared" si="21"/>
        <v>1</v>
      </c>
      <c r="W655" t="str">
        <f>_xlfn.XLOOKUP(A655, Matches!A:A, Matches!L:L, "NA", 0)</f>
        <v>UPW</v>
      </c>
      <c r="X655" t="str">
        <f>_xlfn.XLOOKUP(A655, Matches!A:A, Matches!J:J, "NA", 0)</f>
        <v>UPW</v>
      </c>
      <c r="Y655" t="str">
        <f>_xlfn.XLOOKUP(A655, Matches!A:A, Matches!F:F, "NA", 0)</f>
        <v>M. Chinnaswamy Stadium</v>
      </c>
      <c r="Z655" cm="1">
        <f t="array" ref="Z655">INDEX(Innings!F:F,MATCH(1,(TRIM(Innings!A:A)=TRIM(A655))*(TRIM(Innings!D:D)=TRIM(E655)),0))</f>
        <v>142</v>
      </c>
      <c r="AA655" cm="1">
        <f t="array" ref="AA655">INDEX(Innings!I:I,MATCH(1,(TRIM(Innings!A:A)=TRIM(A655))*(TRIM(Innings!D:D)=TRIM(E655)),0))</f>
        <v>7.1</v>
      </c>
      <c r="AB655" cm="1">
        <f t="array" ref="AB655">INDEX(Innings!J:J,MATCH(1,(TRIM(Innings!A:A)=TRIM(A655))*(TRIM(Innings!D:D)=TRIM(E655)),0))</f>
        <v>41</v>
      </c>
      <c r="AC655" cm="1">
        <f t="array" ref="AC655">INDEX(Innings!N:N,MATCH(1,(TRIM(Innings!A:A)=TRIM(A655))*(TRIM(Innings!D:D)=TRIM(E655)),0))</f>
        <v>34</v>
      </c>
      <c r="AD655" cm="1">
        <f t="array" ref="AD655">INDEX(Innings!S:S,MATCH(1,(TRIM(Innings!A:A)=TRIM(A655))*(TRIM(Innings!D:D)=TRIM(E655)),0))</f>
        <v>45</v>
      </c>
      <c r="AE655" t="str" cm="1">
        <f t="array" ref="AE655">INDEX(Innings!W:W,MATCH(1,(TRIM(Innings!A:A)=TRIM(A655))*(TRIM(Innings!D:D)=TRIM(E655)),0))</f>
        <v>NA</v>
      </c>
      <c r="AF655">
        <f>IF(UPPER(TRIM(E655))=UPPER(TRIM(W655)),1,0)</f>
        <v>0</v>
      </c>
      <c r="AG655">
        <f t="shared" si="20"/>
        <v>3.8</v>
      </c>
    </row>
    <row r="656" spans="1:33" x14ac:dyDescent="0.3">
      <c r="A656" t="s">
        <v>355</v>
      </c>
      <c r="B656">
        <v>2</v>
      </c>
      <c r="C656" t="s">
        <v>385</v>
      </c>
      <c r="D656" t="s">
        <v>386</v>
      </c>
      <c r="E656" t="s">
        <v>258</v>
      </c>
      <c r="F656" t="s">
        <v>169</v>
      </c>
      <c r="G656" t="s">
        <v>134</v>
      </c>
      <c r="H656">
        <v>5</v>
      </c>
      <c r="I656">
        <v>7</v>
      </c>
      <c r="J656">
        <v>71.430000000000007</v>
      </c>
      <c r="K656" t="s">
        <v>96</v>
      </c>
      <c r="L656">
        <v>6.3</v>
      </c>
      <c r="M656">
        <v>2</v>
      </c>
      <c r="N656">
        <v>0</v>
      </c>
      <c r="O656">
        <v>19</v>
      </c>
      <c r="P656">
        <v>1</v>
      </c>
      <c r="Q656">
        <v>9.5</v>
      </c>
      <c r="R656">
        <v>18</v>
      </c>
      <c r="S656">
        <v>0</v>
      </c>
      <c r="T656">
        <v>0</v>
      </c>
      <c r="U656" s="8">
        <v>24.3</v>
      </c>
      <c r="V656" s="8">
        <f t="shared" si="21"/>
        <v>2</v>
      </c>
      <c r="W656" t="str">
        <f>_xlfn.XLOOKUP(A656, Matches!A:A, Matches!L:L, "NA", 0)</f>
        <v>UPW</v>
      </c>
      <c r="X656" t="str">
        <f>_xlfn.XLOOKUP(A656, Matches!A:A, Matches!J:J, "NA", 0)</f>
        <v>UPW</v>
      </c>
      <c r="Y656" t="str">
        <f>_xlfn.XLOOKUP(A656, Matches!A:A, Matches!F:F, "NA", 0)</f>
        <v>M. Chinnaswamy Stadium</v>
      </c>
      <c r="Z656" cm="1">
        <f t="array" ref="Z656">INDEX(Innings!F:F,MATCH(1,(TRIM(Innings!A:A)=TRIM(A656))*(TRIM(Innings!D:D)=TRIM(E656)),0))</f>
        <v>142</v>
      </c>
      <c r="AA656" cm="1">
        <f t="array" ref="AA656">INDEX(Innings!I:I,MATCH(1,(TRIM(Innings!A:A)=TRIM(A656))*(TRIM(Innings!D:D)=TRIM(E656)),0))</f>
        <v>7.1</v>
      </c>
      <c r="AB656" cm="1">
        <f t="array" ref="AB656">INDEX(Innings!J:J,MATCH(1,(TRIM(Innings!A:A)=TRIM(A656))*(TRIM(Innings!D:D)=TRIM(E656)),0))</f>
        <v>41</v>
      </c>
      <c r="AC656" cm="1">
        <f t="array" ref="AC656">INDEX(Innings!N:N,MATCH(1,(TRIM(Innings!A:A)=TRIM(A656))*(TRIM(Innings!D:D)=TRIM(E656)),0))</f>
        <v>34</v>
      </c>
      <c r="AD656" cm="1">
        <f t="array" ref="AD656">INDEX(Innings!S:S,MATCH(1,(TRIM(Innings!A:A)=TRIM(A656))*(TRIM(Innings!D:D)=TRIM(E656)),0))</f>
        <v>45</v>
      </c>
      <c r="AE656" t="str" cm="1">
        <f t="array" ref="AE656">INDEX(Innings!W:W,MATCH(1,(TRIM(Innings!A:A)=TRIM(A656))*(TRIM(Innings!D:D)=TRIM(E656)),0))</f>
        <v>NA</v>
      </c>
      <c r="AF656">
        <f>IF(UPPER(TRIM(E656))=UPPER(TRIM(W656)),1,0)</f>
        <v>0</v>
      </c>
      <c r="AG656">
        <f t="shared" si="20"/>
        <v>12.75</v>
      </c>
    </row>
    <row r="657" spans="1:33" x14ac:dyDescent="0.3">
      <c r="A657" t="s">
        <v>355</v>
      </c>
      <c r="B657">
        <v>2</v>
      </c>
      <c r="C657" t="s">
        <v>102</v>
      </c>
      <c r="D657" t="s">
        <v>126</v>
      </c>
      <c r="E657" t="s">
        <v>258</v>
      </c>
      <c r="F657" t="s">
        <v>91</v>
      </c>
      <c r="G657" t="s">
        <v>104</v>
      </c>
      <c r="H657">
        <v>0</v>
      </c>
      <c r="I657">
        <v>0</v>
      </c>
      <c r="J657">
        <v>0</v>
      </c>
      <c r="K657" t="s">
        <v>104</v>
      </c>
      <c r="L657">
        <v>0</v>
      </c>
      <c r="M657">
        <v>2.4</v>
      </c>
      <c r="N657">
        <v>0</v>
      </c>
      <c r="O657">
        <v>17</v>
      </c>
      <c r="P657">
        <v>0</v>
      </c>
      <c r="Q657">
        <v>6.4</v>
      </c>
      <c r="R657">
        <v>9</v>
      </c>
      <c r="S657">
        <v>0</v>
      </c>
      <c r="T657">
        <v>0</v>
      </c>
      <c r="U657" s="8">
        <v>9</v>
      </c>
      <c r="V657" s="8">
        <f t="shared" si="21"/>
        <v>1</v>
      </c>
      <c r="W657" t="str">
        <f>_xlfn.XLOOKUP(A657, Matches!A:A, Matches!L:L, "NA", 0)</f>
        <v>UPW</v>
      </c>
      <c r="X657" t="str">
        <f>_xlfn.XLOOKUP(A657, Matches!A:A, Matches!J:J, "NA", 0)</f>
        <v>UPW</v>
      </c>
      <c r="Y657" t="str">
        <f>_xlfn.XLOOKUP(A657, Matches!A:A, Matches!F:F, "NA", 0)</f>
        <v>M. Chinnaswamy Stadium</v>
      </c>
      <c r="Z657" cm="1">
        <f t="array" ref="Z657">INDEX(Innings!F:F,MATCH(1,(TRIM(Innings!A:A)=TRIM(A657))*(TRIM(Innings!D:D)=TRIM(E657)),0))</f>
        <v>142</v>
      </c>
      <c r="AA657" cm="1">
        <f t="array" ref="AA657">INDEX(Innings!I:I,MATCH(1,(TRIM(Innings!A:A)=TRIM(A657))*(TRIM(Innings!D:D)=TRIM(E657)),0))</f>
        <v>7.1</v>
      </c>
      <c r="AB657" cm="1">
        <f t="array" ref="AB657">INDEX(Innings!J:J,MATCH(1,(TRIM(Innings!A:A)=TRIM(A657))*(TRIM(Innings!D:D)=TRIM(E657)),0))</f>
        <v>41</v>
      </c>
      <c r="AC657" cm="1">
        <f t="array" ref="AC657">INDEX(Innings!N:N,MATCH(1,(TRIM(Innings!A:A)=TRIM(A657))*(TRIM(Innings!D:D)=TRIM(E657)),0))</f>
        <v>34</v>
      </c>
      <c r="AD657" cm="1">
        <f t="array" ref="AD657">INDEX(Innings!S:S,MATCH(1,(TRIM(Innings!A:A)=TRIM(A657))*(TRIM(Innings!D:D)=TRIM(E657)),0))</f>
        <v>45</v>
      </c>
      <c r="AE657" t="str" cm="1">
        <f t="array" ref="AE657">INDEX(Innings!W:W,MATCH(1,(TRIM(Innings!A:A)=TRIM(A657))*(TRIM(Innings!D:D)=TRIM(E657)),0))</f>
        <v>NA</v>
      </c>
      <c r="AF657">
        <f>IF(UPPER(TRIM(E657))=UPPER(TRIM(W657)),1,0)</f>
        <v>0</v>
      </c>
      <c r="AG657">
        <f t="shared" si="20"/>
        <v>4.8</v>
      </c>
    </row>
    <row r="658" spans="1:33" x14ac:dyDescent="0.3">
      <c r="A658" t="s">
        <v>355</v>
      </c>
      <c r="B658">
        <v>2</v>
      </c>
      <c r="C658" t="s">
        <v>105</v>
      </c>
      <c r="D658" t="s">
        <v>128</v>
      </c>
      <c r="E658" t="s">
        <v>258</v>
      </c>
      <c r="F658" t="s">
        <v>101</v>
      </c>
      <c r="G658" t="s">
        <v>104</v>
      </c>
      <c r="H658">
        <v>0</v>
      </c>
      <c r="I658">
        <v>0</v>
      </c>
      <c r="J658">
        <v>0</v>
      </c>
      <c r="K658" t="s">
        <v>104</v>
      </c>
      <c r="L658">
        <v>0</v>
      </c>
      <c r="M658">
        <v>3</v>
      </c>
      <c r="N658">
        <v>0</v>
      </c>
      <c r="O658">
        <v>23</v>
      </c>
      <c r="P658">
        <v>2</v>
      </c>
      <c r="Q658">
        <v>7.7</v>
      </c>
      <c r="R658">
        <v>36</v>
      </c>
      <c r="S658">
        <v>0</v>
      </c>
      <c r="T658">
        <v>0</v>
      </c>
      <c r="U658" s="8">
        <v>36</v>
      </c>
      <c r="V658" s="8">
        <f t="shared" si="21"/>
        <v>4</v>
      </c>
      <c r="W658" t="str">
        <f>_xlfn.XLOOKUP(A658, Matches!A:A, Matches!L:L, "NA", 0)</f>
        <v>UPW</v>
      </c>
      <c r="X658" t="str">
        <f>_xlfn.XLOOKUP(A658, Matches!A:A, Matches!J:J, "NA", 0)</f>
        <v>UPW</v>
      </c>
      <c r="Y658" t="str">
        <f>_xlfn.XLOOKUP(A658, Matches!A:A, Matches!F:F, "NA", 0)</f>
        <v>M. Chinnaswamy Stadium</v>
      </c>
      <c r="Z658" cm="1">
        <f t="array" ref="Z658">INDEX(Innings!F:F,MATCH(1,(TRIM(Innings!A:A)=TRIM(A658))*(TRIM(Innings!D:D)=TRIM(E658)),0))</f>
        <v>142</v>
      </c>
      <c r="AA658" cm="1">
        <f t="array" ref="AA658">INDEX(Innings!I:I,MATCH(1,(TRIM(Innings!A:A)=TRIM(A658))*(TRIM(Innings!D:D)=TRIM(E658)),0))</f>
        <v>7.1</v>
      </c>
      <c r="AB658" cm="1">
        <f t="array" ref="AB658">INDEX(Innings!J:J,MATCH(1,(TRIM(Innings!A:A)=TRIM(A658))*(TRIM(Innings!D:D)=TRIM(E658)),0))</f>
        <v>41</v>
      </c>
      <c r="AC658" cm="1">
        <f t="array" ref="AC658">INDEX(Innings!N:N,MATCH(1,(TRIM(Innings!A:A)=TRIM(A658))*(TRIM(Innings!D:D)=TRIM(E658)),0))</f>
        <v>34</v>
      </c>
      <c r="AD658" cm="1">
        <f t="array" ref="AD658">INDEX(Innings!S:S,MATCH(1,(TRIM(Innings!A:A)=TRIM(A658))*(TRIM(Innings!D:D)=TRIM(E658)),0))</f>
        <v>45</v>
      </c>
      <c r="AE658" t="str" cm="1">
        <f t="array" ref="AE658">INDEX(Innings!W:W,MATCH(1,(TRIM(Innings!A:A)=TRIM(A658))*(TRIM(Innings!D:D)=TRIM(E658)),0))</f>
        <v>NA</v>
      </c>
      <c r="AF658">
        <f>IF(UPPER(TRIM(E658))=UPPER(TRIM(W658)),1,0)</f>
        <v>0</v>
      </c>
      <c r="AG658">
        <f t="shared" si="20"/>
        <v>19.2</v>
      </c>
    </row>
    <row r="659" spans="1:33" x14ac:dyDescent="0.3">
      <c r="A659" t="s">
        <v>355</v>
      </c>
      <c r="B659">
        <v>2</v>
      </c>
      <c r="C659" t="s">
        <v>404</v>
      </c>
      <c r="D659" t="s">
        <v>416</v>
      </c>
      <c r="E659" t="s">
        <v>258</v>
      </c>
      <c r="F659" t="s">
        <v>91</v>
      </c>
      <c r="G659" t="s">
        <v>104</v>
      </c>
      <c r="H659">
        <v>0</v>
      </c>
      <c r="I659">
        <v>0</v>
      </c>
      <c r="J659">
        <v>0</v>
      </c>
      <c r="K659" t="s">
        <v>104</v>
      </c>
      <c r="L659">
        <v>0</v>
      </c>
      <c r="M659">
        <v>1</v>
      </c>
      <c r="N659">
        <v>0</v>
      </c>
      <c r="O659">
        <v>14</v>
      </c>
      <c r="P659">
        <v>0</v>
      </c>
      <c r="Q659">
        <v>14</v>
      </c>
      <c r="R659">
        <v>0</v>
      </c>
      <c r="S659">
        <v>0</v>
      </c>
      <c r="T659">
        <v>0</v>
      </c>
      <c r="U659" s="8">
        <v>0</v>
      </c>
      <c r="V659" s="8">
        <f t="shared" si="21"/>
        <v>0</v>
      </c>
      <c r="W659" t="str">
        <f>_xlfn.XLOOKUP(A659, Matches!A:A, Matches!L:L, "NA", 0)</f>
        <v>UPW</v>
      </c>
      <c r="X659" t="str">
        <f>_xlfn.XLOOKUP(A659, Matches!A:A, Matches!J:J, "NA", 0)</f>
        <v>UPW</v>
      </c>
      <c r="Y659" t="str">
        <f>_xlfn.XLOOKUP(A659, Matches!A:A, Matches!F:F, "NA", 0)</f>
        <v>M. Chinnaswamy Stadium</v>
      </c>
      <c r="Z659" cm="1">
        <f t="array" ref="Z659">INDEX(Innings!F:F,MATCH(1,(TRIM(Innings!A:A)=TRIM(A659))*(TRIM(Innings!D:D)=TRIM(E659)),0))</f>
        <v>142</v>
      </c>
      <c r="AA659" cm="1">
        <f t="array" ref="AA659">INDEX(Innings!I:I,MATCH(1,(TRIM(Innings!A:A)=TRIM(A659))*(TRIM(Innings!D:D)=TRIM(E659)),0))</f>
        <v>7.1</v>
      </c>
      <c r="AB659" cm="1">
        <f t="array" ref="AB659">INDEX(Innings!J:J,MATCH(1,(TRIM(Innings!A:A)=TRIM(A659))*(TRIM(Innings!D:D)=TRIM(E659)),0))</f>
        <v>41</v>
      </c>
      <c r="AC659" cm="1">
        <f t="array" ref="AC659">INDEX(Innings!N:N,MATCH(1,(TRIM(Innings!A:A)=TRIM(A659))*(TRIM(Innings!D:D)=TRIM(E659)),0))</f>
        <v>34</v>
      </c>
      <c r="AD659" cm="1">
        <f t="array" ref="AD659">INDEX(Innings!S:S,MATCH(1,(TRIM(Innings!A:A)=TRIM(A659))*(TRIM(Innings!D:D)=TRIM(E659)),0))</f>
        <v>45</v>
      </c>
      <c r="AE659" t="str" cm="1">
        <f t="array" ref="AE659">INDEX(Innings!W:W,MATCH(1,(TRIM(Innings!A:A)=TRIM(A659))*(TRIM(Innings!D:D)=TRIM(E659)),0))</f>
        <v>NA</v>
      </c>
      <c r="AF659">
        <f>IF(UPPER(TRIM(E659))=UPPER(TRIM(W659)),1,0)</f>
        <v>0</v>
      </c>
      <c r="AG659">
        <f t="shared" si="20"/>
        <v>0</v>
      </c>
    </row>
    <row r="660" spans="1:33" x14ac:dyDescent="0.3">
      <c r="A660" t="s">
        <v>355</v>
      </c>
      <c r="B660">
        <v>2</v>
      </c>
      <c r="C660" t="s">
        <v>389</v>
      </c>
      <c r="D660" t="s">
        <v>390</v>
      </c>
      <c r="E660" t="s">
        <v>258</v>
      </c>
      <c r="F660" t="s">
        <v>101</v>
      </c>
      <c r="G660" t="s">
        <v>104</v>
      </c>
      <c r="H660">
        <v>0</v>
      </c>
      <c r="I660">
        <v>0</v>
      </c>
      <c r="J660">
        <v>0</v>
      </c>
      <c r="K660" t="s">
        <v>104</v>
      </c>
      <c r="L660">
        <v>0</v>
      </c>
      <c r="M660">
        <v>4</v>
      </c>
      <c r="N660">
        <v>1</v>
      </c>
      <c r="O660">
        <v>39</v>
      </c>
      <c r="P660">
        <v>1</v>
      </c>
      <c r="Q660">
        <v>9.8000000000000007</v>
      </c>
      <c r="R660">
        <v>13</v>
      </c>
      <c r="S660">
        <v>0</v>
      </c>
      <c r="T660">
        <v>0</v>
      </c>
      <c r="U660" s="8">
        <v>13</v>
      </c>
      <c r="V660" s="8">
        <f t="shared" si="21"/>
        <v>1</v>
      </c>
      <c r="W660" t="str">
        <f>_xlfn.XLOOKUP(A660, Matches!A:A, Matches!L:L, "NA", 0)</f>
        <v>UPW</v>
      </c>
      <c r="X660" t="str">
        <f>_xlfn.XLOOKUP(A660, Matches!A:A, Matches!J:J, "NA", 0)</f>
        <v>UPW</v>
      </c>
      <c r="Y660" t="str">
        <f>_xlfn.XLOOKUP(A660, Matches!A:A, Matches!F:F, "NA", 0)</f>
        <v>M. Chinnaswamy Stadium</v>
      </c>
      <c r="Z660" cm="1">
        <f t="array" ref="Z660">INDEX(Innings!F:F,MATCH(1,(TRIM(Innings!A:A)=TRIM(A660))*(TRIM(Innings!D:D)=TRIM(E660)),0))</f>
        <v>142</v>
      </c>
      <c r="AA660" cm="1">
        <f t="array" ref="AA660">INDEX(Innings!I:I,MATCH(1,(TRIM(Innings!A:A)=TRIM(A660))*(TRIM(Innings!D:D)=TRIM(E660)),0))</f>
        <v>7.1</v>
      </c>
      <c r="AB660" cm="1">
        <f t="array" ref="AB660">INDEX(Innings!J:J,MATCH(1,(TRIM(Innings!A:A)=TRIM(A660))*(TRIM(Innings!D:D)=TRIM(E660)),0))</f>
        <v>41</v>
      </c>
      <c r="AC660" cm="1">
        <f t="array" ref="AC660">INDEX(Innings!N:N,MATCH(1,(TRIM(Innings!A:A)=TRIM(A660))*(TRIM(Innings!D:D)=TRIM(E660)),0))</f>
        <v>34</v>
      </c>
      <c r="AD660" cm="1">
        <f t="array" ref="AD660">INDEX(Innings!S:S,MATCH(1,(TRIM(Innings!A:A)=TRIM(A660))*(TRIM(Innings!D:D)=TRIM(E660)),0))</f>
        <v>45</v>
      </c>
      <c r="AE660" t="str" cm="1">
        <f t="array" ref="AE660">INDEX(Innings!W:W,MATCH(1,(TRIM(Innings!A:A)=TRIM(A660))*(TRIM(Innings!D:D)=TRIM(E660)),0))</f>
        <v>NA</v>
      </c>
      <c r="AF660">
        <f>IF(UPPER(TRIM(E660))=UPPER(TRIM(W660)),1,0)</f>
        <v>0</v>
      </c>
      <c r="AG660">
        <f t="shared" si="20"/>
        <v>6.8</v>
      </c>
    </row>
    <row r="661" spans="1:33" x14ac:dyDescent="0.3">
      <c r="A661" t="s">
        <v>356</v>
      </c>
      <c r="B661">
        <v>2</v>
      </c>
      <c r="C661" t="s">
        <v>165</v>
      </c>
      <c r="D661" t="s">
        <v>166</v>
      </c>
      <c r="E661" t="s">
        <v>159</v>
      </c>
      <c r="F661" t="s">
        <v>109</v>
      </c>
      <c r="G661" t="s">
        <v>86</v>
      </c>
      <c r="H661">
        <v>9</v>
      </c>
      <c r="I661">
        <v>11</v>
      </c>
      <c r="J661">
        <v>81.819999999999993</v>
      </c>
      <c r="K661" t="s">
        <v>246</v>
      </c>
      <c r="L661">
        <v>6.5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 s="8">
        <v>6.5</v>
      </c>
      <c r="V661" s="8">
        <f t="shared" si="21"/>
        <v>1</v>
      </c>
      <c r="W661" t="str">
        <f>_xlfn.XLOOKUP(A661, Matches!A:A, Matches!L:L, "NA", 0)</f>
        <v>MIW</v>
      </c>
      <c r="X661" t="str">
        <f>_xlfn.XLOOKUP(A661, Matches!A:A, Matches!J:J, "NA", 0)</f>
        <v>MIW</v>
      </c>
      <c r="Y661" t="str">
        <f>_xlfn.XLOOKUP(A661, Matches!A:A, Matches!F:F, "NA", 0)</f>
        <v>M. Chinnaswamy Stadium</v>
      </c>
      <c r="Z661" cm="1">
        <f t="array" ref="Z661">INDEX(Innings!F:F,MATCH(1,(TRIM(Innings!A:A)=TRIM(A661))*(TRIM(Innings!D:D)=TRIM(E661)),0))</f>
        <v>131</v>
      </c>
      <c r="AA661" cm="1">
        <f t="array" ref="AA661">INDEX(Innings!I:I,MATCH(1,(TRIM(Innings!A:A)=TRIM(A661))*(TRIM(Innings!D:D)=TRIM(E661)),0))</f>
        <v>6.55</v>
      </c>
      <c r="AB661" cm="1">
        <f t="array" ref="AB661">INDEX(Innings!J:J,MATCH(1,(TRIM(Innings!A:A)=TRIM(A661))*(TRIM(Innings!D:D)=TRIM(E661)),0))</f>
        <v>34</v>
      </c>
      <c r="AC661" cm="1">
        <f t="array" ref="AC661">INDEX(Innings!N:N,MATCH(1,(TRIM(Innings!A:A)=TRIM(A661))*(TRIM(Innings!D:D)=TRIM(E661)),0))</f>
        <v>25</v>
      </c>
      <c r="AD661" cm="1">
        <f t="array" ref="AD661">INDEX(Innings!S:S,MATCH(1,(TRIM(Innings!A:A)=TRIM(A661))*(TRIM(Innings!D:D)=TRIM(E661)),0))</f>
        <v>45</v>
      </c>
      <c r="AE661" t="str" cm="1">
        <f t="array" ref="AE661">INDEX(Innings!W:W,MATCH(1,(TRIM(Innings!A:A)=TRIM(A661))*(TRIM(Innings!D:D)=TRIM(E661)),0))</f>
        <v>NA</v>
      </c>
      <c r="AF661">
        <f>IF(UPPER(TRIM(E661))=UPPER(TRIM(W661)),1,0)</f>
        <v>0</v>
      </c>
      <c r="AG661">
        <f t="shared" si="20"/>
        <v>3.55</v>
      </c>
    </row>
    <row r="662" spans="1:33" x14ac:dyDescent="0.3">
      <c r="A662" t="s">
        <v>356</v>
      </c>
      <c r="B662">
        <v>2</v>
      </c>
      <c r="C662" t="s">
        <v>167</v>
      </c>
      <c r="D662" t="s">
        <v>168</v>
      </c>
      <c r="E662" t="s">
        <v>159</v>
      </c>
      <c r="F662" t="s">
        <v>169</v>
      </c>
      <c r="G662" t="s">
        <v>92</v>
      </c>
      <c r="H662">
        <v>9</v>
      </c>
      <c r="I662">
        <v>10</v>
      </c>
      <c r="J662">
        <v>90</v>
      </c>
      <c r="K662" t="s">
        <v>247</v>
      </c>
      <c r="L662">
        <v>6.8</v>
      </c>
      <c r="M662">
        <v>2</v>
      </c>
      <c r="N662">
        <v>0</v>
      </c>
      <c r="O662">
        <v>16</v>
      </c>
      <c r="P662">
        <v>1</v>
      </c>
      <c r="Q662">
        <v>8</v>
      </c>
      <c r="R662">
        <v>13</v>
      </c>
      <c r="S662">
        <v>0</v>
      </c>
      <c r="T662">
        <v>0</v>
      </c>
      <c r="U662" s="8">
        <v>19.8</v>
      </c>
      <c r="V662" s="8">
        <f t="shared" si="21"/>
        <v>2</v>
      </c>
      <c r="W662" t="str">
        <f>_xlfn.XLOOKUP(A662, Matches!A:A, Matches!L:L, "NA", 0)</f>
        <v>MIW</v>
      </c>
      <c r="X662" t="str">
        <f>_xlfn.XLOOKUP(A662, Matches!A:A, Matches!J:J, "NA", 0)</f>
        <v>MIW</v>
      </c>
      <c r="Y662" t="str">
        <f>_xlfn.XLOOKUP(A662, Matches!A:A, Matches!F:F, "NA", 0)</f>
        <v>M. Chinnaswamy Stadium</v>
      </c>
      <c r="Z662" cm="1">
        <f t="array" ref="Z662">INDEX(Innings!F:F,MATCH(1,(TRIM(Innings!A:A)=TRIM(A662))*(TRIM(Innings!D:D)=TRIM(E662)),0))</f>
        <v>131</v>
      </c>
      <c r="AA662" cm="1">
        <f t="array" ref="AA662">INDEX(Innings!I:I,MATCH(1,(TRIM(Innings!A:A)=TRIM(A662))*(TRIM(Innings!D:D)=TRIM(E662)),0))</f>
        <v>6.55</v>
      </c>
      <c r="AB662" cm="1">
        <f t="array" ref="AB662">INDEX(Innings!J:J,MATCH(1,(TRIM(Innings!A:A)=TRIM(A662))*(TRIM(Innings!D:D)=TRIM(E662)),0))</f>
        <v>34</v>
      </c>
      <c r="AC662" cm="1">
        <f t="array" ref="AC662">INDEX(Innings!N:N,MATCH(1,(TRIM(Innings!A:A)=TRIM(A662))*(TRIM(Innings!D:D)=TRIM(E662)),0))</f>
        <v>25</v>
      </c>
      <c r="AD662" cm="1">
        <f t="array" ref="AD662">INDEX(Innings!S:S,MATCH(1,(TRIM(Innings!A:A)=TRIM(A662))*(TRIM(Innings!D:D)=TRIM(E662)),0))</f>
        <v>45</v>
      </c>
      <c r="AE662" t="str" cm="1">
        <f t="array" ref="AE662">INDEX(Innings!W:W,MATCH(1,(TRIM(Innings!A:A)=TRIM(A662))*(TRIM(Innings!D:D)=TRIM(E662)),0))</f>
        <v>NA</v>
      </c>
      <c r="AF662">
        <f>IF(UPPER(TRIM(E662))=UPPER(TRIM(W662)),1,0)</f>
        <v>0</v>
      </c>
      <c r="AG662">
        <f t="shared" si="20"/>
        <v>10.5</v>
      </c>
    </row>
    <row r="663" spans="1:33" x14ac:dyDescent="0.3">
      <c r="A663" t="s">
        <v>356</v>
      </c>
      <c r="B663">
        <v>2</v>
      </c>
      <c r="C663" t="s">
        <v>87</v>
      </c>
      <c r="D663" t="s">
        <v>82</v>
      </c>
      <c r="E663" t="s">
        <v>159</v>
      </c>
      <c r="F663" t="s">
        <v>83</v>
      </c>
      <c r="G663" t="s">
        <v>92</v>
      </c>
      <c r="H663">
        <v>11</v>
      </c>
      <c r="I663">
        <v>12</v>
      </c>
      <c r="J663">
        <v>91.67</v>
      </c>
      <c r="K663" t="s">
        <v>246</v>
      </c>
      <c r="L663">
        <v>8.5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 s="8">
        <v>8.5</v>
      </c>
      <c r="V663" s="8">
        <f t="shared" si="21"/>
        <v>1</v>
      </c>
      <c r="W663" t="str">
        <f>_xlfn.XLOOKUP(A663, Matches!A:A, Matches!L:L, "NA", 0)</f>
        <v>MIW</v>
      </c>
      <c r="X663" t="str">
        <f>_xlfn.XLOOKUP(A663, Matches!A:A, Matches!J:J, "NA", 0)</f>
        <v>MIW</v>
      </c>
      <c r="Y663" t="str">
        <f>_xlfn.XLOOKUP(A663, Matches!A:A, Matches!F:F, "NA", 0)</f>
        <v>M. Chinnaswamy Stadium</v>
      </c>
      <c r="Z663" cm="1">
        <f t="array" ref="Z663">INDEX(Innings!F:F,MATCH(1,(TRIM(Innings!A:A)=TRIM(A663))*(TRIM(Innings!D:D)=TRIM(E663)),0))</f>
        <v>131</v>
      </c>
      <c r="AA663" cm="1">
        <f t="array" ref="AA663">INDEX(Innings!I:I,MATCH(1,(TRIM(Innings!A:A)=TRIM(A663))*(TRIM(Innings!D:D)=TRIM(E663)),0))</f>
        <v>6.55</v>
      </c>
      <c r="AB663" cm="1">
        <f t="array" ref="AB663">INDEX(Innings!J:J,MATCH(1,(TRIM(Innings!A:A)=TRIM(A663))*(TRIM(Innings!D:D)=TRIM(E663)),0))</f>
        <v>34</v>
      </c>
      <c r="AC663" cm="1">
        <f t="array" ref="AC663">INDEX(Innings!N:N,MATCH(1,(TRIM(Innings!A:A)=TRIM(A663))*(TRIM(Innings!D:D)=TRIM(E663)),0))</f>
        <v>25</v>
      </c>
      <c r="AD663" cm="1">
        <f t="array" ref="AD663">INDEX(Innings!S:S,MATCH(1,(TRIM(Innings!A:A)=TRIM(A663))*(TRIM(Innings!D:D)=TRIM(E663)),0))</f>
        <v>45</v>
      </c>
      <c r="AE663" t="str" cm="1">
        <f t="array" ref="AE663">INDEX(Innings!W:W,MATCH(1,(TRIM(Innings!A:A)=TRIM(A663))*(TRIM(Innings!D:D)=TRIM(E663)),0))</f>
        <v>NA</v>
      </c>
      <c r="AF663">
        <f>IF(UPPER(TRIM(E663))=UPPER(TRIM(W663)),1,0)</f>
        <v>0</v>
      </c>
      <c r="AG663">
        <f t="shared" si="20"/>
        <v>4.55</v>
      </c>
    </row>
    <row r="664" spans="1:33" x14ac:dyDescent="0.3">
      <c r="A664" t="s">
        <v>356</v>
      </c>
      <c r="B664">
        <v>2</v>
      </c>
      <c r="C664" t="s">
        <v>174</v>
      </c>
      <c r="D664" t="s">
        <v>175</v>
      </c>
      <c r="E664" t="s">
        <v>159</v>
      </c>
      <c r="F664" t="s">
        <v>83</v>
      </c>
      <c r="G664" t="s">
        <v>134</v>
      </c>
      <c r="H664">
        <v>44</v>
      </c>
      <c r="I664">
        <v>38</v>
      </c>
      <c r="J664">
        <v>115.79</v>
      </c>
      <c r="K664" t="s">
        <v>96</v>
      </c>
      <c r="L664">
        <v>46.9</v>
      </c>
      <c r="M664">
        <v>2</v>
      </c>
      <c r="N664">
        <v>0</v>
      </c>
      <c r="O664">
        <v>10</v>
      </c>
      <c r="P664">
        <v>0</v>
      </c>
      <c r="Q664">
        <v>5</v>
      </c>
      <c r="R664">
        <v>15</v>
      </c>
      <c r="S664">
        <v>0</v>
      </c>
      <c r="T664">
        <v>0</v>
      </c>
      <c r="U664" s="8">
        <v>61.9</v>
      </c>
      <c r="V664" s="8">
        <f t="shared" si="21"/>
        <v>6</v>
      </c>
      <c r="W664" t="str">
        <f>_xlfn.XLOOKUP(A664, Matches!A:A, Matches!L:L, "NA", 0)</f>
        <v>MIW</v>
      </c>
      <c r="X664" t="str">
        <f>_xlfn.XLOOKUP(A664, Matches!A:A, Matches!J:J, "NA", 0)</f>
        <v>MIW</v>
      </c>
      <c r="Y664" t="str">
        <f>_xlfn.XLOOKUP(A664, Matches!A:A, Matches!F:F, "NA", 0)</f>
        <v>M. Chinnaswamy Stadium</v>
      </c>
      <c r="Z664" cm="1">
        <f t="array" ref="Z664">INDEX(Innings!F:F,MATCH(1,(TRIM(Innings!A:A)=TRIM(A664))*(TRIM(Innings!D:D)=TRIM(E664)),0))</f>
        <v>131</v>
      </c>
      <c r="AA664" cm="1">
        <f t="array" ref="AA664">INDEX(Innings!I:I,MATCH(1,(TRIM(Innings!A:A)=TRIM(A664))*(TRIM(Innings!D:D)=TRIM(E664)),0))</f>
        <v>6.55</v>
      </c>
      <c r="AB664" cm="1">
        <f t="array" ref="AB664">INDEX(Innings!J:J,MATCH(1,(TRIM(Innings!A:A)=TRIM(A664))*(TRIM(Innings!D:D)=TRIM(E664)),0))</f>
        <v>34</v>
      </c>
      <c r="AC664" cm="1">
        <f t="array" ref="AC664">INDEX(Innings!N:N,MATCH(1,(TRIM(Innings!A:A)=TRIM(A664))*(TRIM(Innings!D:D)=TRIM(E664)),0))</f>
        <v>25</v>
      </c>
      <c r="AD664" cm="1">
        <f t="array" ref="AD664">INDEX(Innings!S:S,MATCH(1,(TRIM(Innings!A:A)=TRIM(A664))*(TRIM(Innings!D:D)=TRIM(E664)),0))</f>
        <v>45</v>
      </c>
      <c r="AE664" t="str" cm="1">
        <f t="array" ref="AE664">INDEX(Innings!W:W,MATCH(1,(TRIM(Innings!A:A)=TRIM(A664))*(TRIM(Innings!D:D)=TRIM(E664)),0))</f>
        <v>NA</v>
      </c>
      <c r="AF664">
        <f>IF(UPPER(TRIM(E664))=UPPER(TRIM(W664)),1,0)</f>
        <v>0</v>
      </c>
      <c r="AG664">
        <f t="shared" si="20"/>
        <v>32.75</v>
      </c>
    </row>
    <row r="665" spans="1:33" x14ac:dyDescent="0.3">
      <c r="A665" t="s">
        <v>356</v>
      </c>
      <c r="B665">
        <v>2</v>
      </c>
      <c r="C665" t="s">
        <v>176</v>
      </c>
      <c r="D665" t="s">
        <v>177</v>
      </c>
      <c r="E665" t="s">
        <v>159</v>
      </c>
      <c r="F665" t="s">
        <v>85</v>
      </c>
      <c r="G665" t="s">
        <v>134</v>
      </c>
      <c r="H665">
        <v>7</v>
      </c>
      <c r="I665">
        <v>10</v>
      </c>
      <c r="J665">
        <v>70</v>
      </c>
      <c r="K665" t="s">
        <v>246</v>
      </c>
      <c r="L665">
        <v>2.4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 s="8">
        <v>2.4</v>
      </c>
      <c r="V665" s="8">
        <f t="shared" si="21"/>
        <v>0</v>
      </c>
      <c r="W665" t="str">
        <f>_xlfn.XLOOKUP(A665, Matches!A:A, Matches!L:L, "NA", 0)</f>
        <v>MIW</v>
      </c>
      <c r="X665" t="str">
        <f>_xlfn.XLOOKUP(A665, Matches!A:A, Matches!J:J, "NA", 0)</f>
        <v>MIW</v>
      </c>
      <c r="Y665" t="str">
        <f>_xlfn.XLOOKUP(A665, Matches!A:A, Matches!F:F, "NA", 0)</f>
        <v>M. Chinnaswamy Stadium</v>
      </c>
      <c r="Z665" cm="1">
        <f t="array" ref="Z665">INDEX(Innings!F:F,MATCH(1,(TRIM(Innings!A:A)=TRIM(A665))*(TRIM(Innings!D:D)=TRIM(E665)),0))</f>
        <v>131</v>
      </c>
      <c r="AA665" cm="1">
        <f t="array" ref="AA665">INDEX(Innings!I:I,MATCH(1,(TRIM(Innings!A:A)=TRIM(A665))*(TRIM(Innings!D:D)=TRIM(E665)),0))</f>
        <v>6.55</v>
      </c>
      <c r="AB665" cm="1">
        <f t="array" ref="AB665">INDEX(Innings!J:J,MATCH(1,(TRIM(Innings!A:A)=TRIM(A665))*(TRIM(Innings!D:D)=TRIM(E665)),0))</f>
        <v>34</v>
      </c>
      <c r="AC665" cm="1">
        <f t="array" ref="AC665">INDEX(Innings!N:N,MATCH(1,(TRIM(Innings!A:A)=TRIM(A665))*(TRIM(Innings!D:D)=TRIM(E665)),0))</f>
        <v>25</v>
      </c>
      <c r="AD665" cm="1">
        <f t="array" ref="AD665">INDEX(Innings!S:S,MATCH(1,(TRIM(Innings!A:A)=TRIM(A665))*(TRIM(Innings!D:D)=TRIM(E665)),0))</f>
        <v>45</v>
      </c>
      <c r="AE665" t="str" cm="1">
        <f t="array" ref="AE665">INDEX(Innings!W:W,MATCH(1,(TRIM(Innings!A:A)=TRIM(A665))*(TRIM(Innings!D:D)=TRIM(E665)),0))</f>
        <v>NA</v>
      </c>
      <c r="AF665">
        <f>IF(UPPER(TRIM(E665))=UPPER(TRIM(W665)),1,0)</f>
        <v>0</v>
      </c>
      <c r="AG665">
        <f t="shared" si="20"/>
        <v>1.2</v>
      </c>
    </row>
    <row r="666" spans="1:33" x14ac:dyDescent="0.3">
      <c r="A666" t="s">
        <v>356</v>
      </c>
      <c r="B666">
        <v>2</v>
      </c>
      <c r="C666" t="s">
        <v>371</v>
      </c>
      <c r="D666" t="s">
        <v>372</v>
      </c>
      <c r="E666" t="s">
        <v>159</v>
      </c>
      <c r="F666" t="s">
        <v>91</v>
      </c>
      <c r="G666" t="s">
        <v>134</v>
      </c>
      <c r="H666">
        <v>12</v>
      </c>
      <c r="I666">
        <v>14</v>
      </c>
      <c r="J666">
        <v>85.71</v>
      </c>
      <c r="K666" t="s">
        <v>245</v>
      </c>
      <c r="L666">
        <v>6.7</v>
      </c>
      <c r="M666">
        <v>3</v>
      </c>
      <c r="N666">
        <v>0</v>
      </c>
      <c r="O666">
        <v>26</v>
      </c>
      <c r="P666">
        <v>0</v>
      </c>
      <c r="Q666">
        <v>8.6999999999999993</v>
      </c>
      <c r="R666">
        <v>3</v>
      </c>
      <c r="S666">
        <v>0</v>
      </c>
      <c r="T666">
        <v>0</v>
      </c>
      <c r="U666" s="8">
        <v>9.6999999999999993</v>
      </c>
      <c r="V666" s="8">
        <f t="shared" si="21"/>
        <v>1</v>
      </c>
      <c r="W666" t="str">
        <f>_xlfn.XLOOKUP(A666, Matches!A:A, Matches!L:L, "NA", 0)</f>
        <v>MIW</v>
      </c>
      <c r="X666" t="str">
        <f>_xlfn.XLOOKUP(A666, Matches!A:A, Matches!J:J, "NA", 0)</f>
        <v>MIW</v>
      </c>
      <c r="Y666" t="str">
        <f>_xlfn.XLOOKUP(A666, Matches!A:A, Matches!F:F, "NA", 0)</f>
        <v>M. Chinnaswamy Stadium</v>
      </c>
      <c r="Z666" cm="1">
        <f t="array" ref="Z666">INDEX(Innings!F:F,MATCH(1,(TRIM(Innings!A:A)=TRIM(A666))*(TRIM(Innings!D:D)=TRIM(E666)),0))</f>
        <v>131</v>
      </c>
      <c r="AA666" cm="1">
        <f t="array" ref="AA666">INDEX(Innings!I:I,MATCH(1,(TRIM(Innings!A:A)=TRIM(A666))*(TRIM(Innings!D:D)=TRIM(E666)),0))</f>
        <v>6.55</v>
      </c>
      <c r="AB666" cm="1">
        <f t="array" ref="AB666">INDEX(Innings!J:J,MATCH(1,(TRIM(Innings!A:A)=TRIM(A666))*(TRIM(Innings!D:D)=TRIM(E666)),0))</f>
        <v>34</v>
      </c>
      <c r="AC666" cm="1">
        <f t="array" ref="AC666">INDEX(Innings!N:N,MATCH(1,(TRIM(Innings!A:A)=TRIM(A666))*(TRIM(Innings!D:D)=TRIM(E666)),0))</f>
        <v>25</v>
      </c>
      <c r="AD666" cm="1">
        <f t="array" ref="AD666">INDEX(Innings!S:S,MATCH(1,(TRIM(Innings!A:A)=TRIM(A666))*(TRIM(Innings!D:D)=TRIM(E666)),0))</f>
        <v>45</v>
      </c>
      <c r="AE666" t="str" cm="1">
        <f t="array" ref="AE666">INDEX(Innings!W:W,MATCH(1,(TRIM(Innings!A:A)=TRIM(A666))*(TRIM(Innings!D:D)=TRIM(E666)),0))</f>
        <v>NA</v>
      </c>
      <c r="AF666">
        <f>IF(UPPER(TRIM(E666))=UPPER(TRIM(W666)),1,0)</f>
        <v>0</v>
      </c>
      <c r="AG666">
        <f t="shared" si="20"/>
        <v>5.1499999999999995</v>
      </c>
    </row>
    <row r="667" spans="1:33" x14ac:dyDescent="0.3">
      <c r="A667" t="s">
        <v>356</v>
      </c>
      <c r="B667">
        <v>2</v>
      </c>
      <c r="C667" t="s">
        <v>99</v>
      </c>
      <c r="D667" t="s">
        <v>124</v>
      </c>
      <c r="E667" t="s">
        <v>159</v>
      </c>
      <c r="F667" t="s">
        <v>91</v>
      </c>
      <c r="G667" t="s">
        <v>134</v>
      </c>
      <c r="H667">
        <v>27</v>
      </c>
      <c r="I667">
        <v>20</v>
      </c>
      <c r="J667">
        <v>135</v>
      </c>
      <c r="K667" t="s">
        <v>246</v>
      </c>
      <c r="L667">
        <v>25</v>
      </c>
      <c r="M667">
        <v>2.1</v>
      </c>
      <c r="N667">
        <v>0</v>
      </c>
      <c r="O667">
        <v>18</v>
      </c>
      <c r="P667">
        <v>1</v>
      </c>
      <c r="Q667">
        <v>8.3000000000000007</v>
      </c>
      <c r="R667">
        <v>16</v>
      </c>
      <c r="S667">
        <v>0</v>
      </c>
      <c r="T667">
        <v>0</v>
      </c>
      <c r="U667" s="8">
        <v>41</v>
      </c>
      <c r="V667" s="8">
        <f t="shared" si="21"/>
        <v>4</v>
      </c>
      <c r="W667" t="str">
        <f>_xlfn.XLOOKUP(A667, Matches!A:A, Matches!L:L, "NA", 0)</f>
        <v>MIW</v>
      </c>
      <c r="X667" t="str">
        <f>_xlfn.XLOOKUP(A667, Matches!A:A, Matches!J:J, "NA", 0)</f>
        <v>MIW</v>
      </c>
      <c r="Y667" t="str">
        <f>_xlfn.XLOOKUP(A667, Matches!A:A, Matches!F:F, "NA", 0)</f>
        <v>M. Chinnaswamy Stadium</v>
      </c>
      <c r="Z667" cm="1">
        <f t="array" ref="Z667">INDEX(Innings!F:F,MATCH(1,(TRIM(Innings!A:A)=TRIM(A667))*(TRIM(Innings!D:D)=TRIM(E667)),0))</f>
        <v>131</v>
      </c>
      <c r="AA667" cm="1">
        <f t="array" ref="AA667">INDEX(Innings!I:I,MATCH(1,(TRIM(Innings!A:A)=TRIM(A667))*(TRIM(Innings!D:D)=TRIM(E667)),0))</f>
        <v>6.55</v>
      </c>
      <c r="AB667" cm="1">
        <f t="array" ref="AB667">INDEX(Innings!J:J,MATCH(1,(TRIM(Innings!A:A)=TRIM(A667))*(TRIM(Innings!D:D)=TRIM(E667)),0))</f>
        <v>34</v>
      </c>
      <c r="AC667" cm="1">
        <f t="array" ref="AC667">INDEX(Innings!N:N,MATCH(1,(TRIM(Innings!A:A)=TRIM(A667))*(TRIM(Innings!D:D)=TRIM(E667)),0))</f>
        <v>25</v>
      </c>
      <c r="AD667" cm="1">
        <f t="array" ref="AD667">INDEX(Innings!S:S,MATCH(1,(TRIM(Innings!A:A)=TRIM(A667))*(TRIM(Innings!D:D)=TRIM(E667)),0))</f>
        <v>45</v>
      </c>
      <c r="AE667" t="str" cm="1">
        <f t="array" ref="AE667">INDEX(Innings!W:W,MATCH(1,(TRIM(Innings!A:A)=TRIM(A667))*(TRIM(Innings!D:D)=TRIM(E667)),0))</f>
        <v>NA</v>
      </c>
      <c r="AF667">
        <f>IF(UPPER(TRIM(E667))=UPPER(TRIM(W667)),1,0)</f>
        <v>0</v>
      </c>
      <c r="AG667">
        <f t="shared" si="20"/>
        <v>21.7</v>
      </c>
    </row>
    <row r="668" spans="1:33" x14ac:dyDescent="0.3">
      <c r="A668" t="s">
        <v>356</v>
      </c>
      <c r="B668">
        <v>2</v>
      </c>
      <c r="C668" t="s">
        <v>259</v>
      </c>
      <c r="D668" t="s">
        <v>257</v>
      </c>
      <c r="E668" t="s">
        <v>159</v>
      </c>
      <c r="F668" t="s">
        <v>91</v>
      </c>
      <c r="G668" t="s">
        <v>134</v>
      </c>
      <c r="H668">
        <v>7</v>
      </c>
      <c r="I668">
        <v>5</v>
      </c>
      <c r="J668">
        <v>140</v>
      </c>
      <c r="K668" t="s">
        <v>96</v>
      </c>
      <c r="L668">
        <v>14.5</v>
      </c>
      <c r="M668">
        <v>2</v>
      </c>
      <c r="N668">
        <v>0</v>
      </c>
      <c r="O668">
        <v>15</v>
      </c>
      <c r="P668">
        <v>1</v>
      </c>
      <c r="Q668">
        <v>7.5</v>
      </c>
      <c r="R668">
        <v>20</v>
      </c>
      <c r="S668">
        <v>0</v>
      </c>
      <c r="T668">
        <v>0</v>
      </c>
      <c r="U668" s="8">
        <v>34.5</v>
      </c>
      <c r="V668" s="8">
        <f t="shared" si="21"/>
        <v>3</v>
      </c>
      <c r="W668" t="str">
        <f>_xlfn.XLOOKUP(A668, Matches!A:A, Matches!L:L, "NA", 0)</f>
        <v>MIW</v>
      </c>
      <c r="X668" t="str">
        <f>_xlfn.XLOOKUP(A668, Matches!A:A, Matches!J:J, "NA", 0)</f>
        <v>MIW</v>
      </c>
      <c r="Y668" t="str">
        <f>_xlfn.XLOOKUP(A668, Matches!A:A, Matches!F:F, "NA", 0)</f>
        <v>M. Chinnaswamy Stadium</v>
      </c>
      <c r="Z668" cm="1">
        <f t="array" ref="Z668">INDEX(Innings!F:F,MATCH(1,(TRIM(Innings!A:A)=TRIM(A668))*(TRIM(Innings!D:D)=TRIM(E668)),0))</f>
        <v>131</v>
      </c>
      <c r="AA668" cm="1">
        <f t="array" ref="AA668">INDEX(Innings!I:I,MATCH(1,(TRIM(Innings!A:A)=TRIM(A668))*(TRIM(Innings!D:D)=TRIM(E668)),0))</f>
        <v>6.55</v>
      </c>
      <c r="AB668" cm="1">
        <f t="array" ref="AB668">INDEX(Innings!J:J,MATCH(1,(TRIM(Innings!A:A)=TRIM(A668))*(TRIM(Innings!D:D)=TRIM(E668)),0))</f>
        <v>34</v>
      </c>
      <c r="AC668" cm="1">
        <f t="array" ref="AC668">INDEX(Innings!N:N,MATCH(1,(TRIM(Innings!A:A)=TRIM(A668))*(TRIM(Innings!D:D)=TRIM(E668)),0))</f>
        <v>25</v>
      </c>
      <c r="AD668" cm="1">
        <f t="array" ref="AD668">INDEX(Innings!S:S,MATCH(1,(TRIM(Innings!A:A)=TRIM(A668))*(TRIM(Innings!D:D)=TRIM(E668)),0))</f>
        <v>45</v>
      </c>
      <c r="AE668" t="str" cm="1">
        <f t="array" ref="AE668">INDEX(Innings!W:W,MATCH(1,(TRIM(Innings!A:A)=TRIM(A668))*(TRIM(Innings!D:D)=TRIM(E668)),0))</f>
        <v>NA</v>
      </c>
      <c r="AF668">
        <f>IF(UPPER(TRIM(E668))=UPPER(TRIM(W668)),1,0)</f>
        <v>0</v>
      </c>
      <c r="AG668">
        <f t="shared" si="20"/>
        <v>18.149999999999999</v>
      </c>
    </row>
    <row r="669" spans="1:33" x14ac:dyDescent="0.3">
      <c r="A669" t="s">
        <v>356</v>
      </c>
      <c r="B669">
        <v>2</v>
      </c>
      <c r="C669" t="s">
        <v>373</v>
      </c>
      <c r="D669" t="s">
        <v>374</v>
      </c>
      <c r="E669" t="s">
        <v>159</v>
      </c>
      <c r="F669" t="s">
        <v>101</v>
      </c>
      <c r="G669" t="s">
        <v>104</v>
      </c>
      <c r="H669">
        <v>0</v>
      </c>
      <c r="I669">
        <v>0</v>
      </c>
      <c r="J669">
        <v>0</v>
      </c>
      <c r="K669" t="s">
        <v>104</v>
      </c>
      <c r="L669">
        <v>0</v>
      </c>
      <c r="M669">
        <v>1</v>
      </c>
      <c r="N669">
        <v>0</v>
      </c>
      <c r="O669">
        <v>11</v>
      </c>
      <c r="P669">
        <v>0</v>
      </c>
      <c r="Q669">
        <v>11</v>
      </c>
      <c r="R669">
        <v>0</v>
      </c>
      <c r="S669">
        <v>0</v>
      </c>
      <c r="T669">
        <v>0</v>
      </c>
      <c r="U669" s="8">
        <v>0</v>
      </c>
      <c r="V669" s="8">
        <f t="shared" si="21"/>
        <v>0</v>
      </c>
      <c r="W669" t="str">
        <f>_xlfn.XLOOKUP(A669, Matches!A:A, Matches!L:L, "NA", 0)</f>
        <v>MIW</v>
      </c>
      <c r="X669" t="str">
        <f>_xlfn.XLOOKUP(A669, Matches!A:A, Matches!J:J, "NA", 0)</f>
        <v>MIW</v>
      </c>
      <c r="Y669" t="str">
        <f>_xlfn.XLOOKUP(A669, Matches!A:A, Matches!F:F, "NA", 0)</f>
        <v>M. Chinnaswamy Stadium</v>
      </c>
      <c r="Z669" cm="1">
        <f t="array" ref="Z669">INDEX(Innings!F:F,MATCH(1,(TRIM(Innings!A:A)=TRIM(A669))*(TRIM(Innings!D:D)=TRIM(E669)),0))</f>
        <v>131</v>
      </c>
      <c r="AA669" cm="1">
        <f t="array" ref="AA669">INDEX(Innings!I:I,MATCH(1,(TRIM(Innings!A:A)=TRIM(A669))*(TRIM(Innings!D:D)=TRIM(E669)),0))</f>
        <v>6.55</v>
      </c>
      <c r="AB669" cm="1">
        <f t="array" ref="AB669">INDEX(Innings!J:J,MATCH(1,(TRIM(Innings!A:A)=TRIM(A669))*(TRIM(Innings!D:D)=TRIM(E669)),0))</f>
        <v>34</v>
      </c>
      <c r="AC669" cm="1">
        <f t="array" ref="AC669">INDEX(Innings!N:N,MATCH(1,(TRIM(Innings!A:A)=TRIM(A669))*(TRIM(Innings!D:D)=TRIM(E669)),0))</f>
        <v>25</v>
      </c>
      <c r="AD669" cm="1">
        <f t="array" ref="AD669">INDEX(Innings!S:S,MATCH(1,(TRIM(Innings!A:A)=TRIM(A669))*(TRIM(Innings!D:D)=TRIM(E669)),0))</f>
        <v>45</v>
      </c>
      <c r="AE669" t="str" cm="1">
        <f t="array" ref="AE669">INDEX(Innings!W:W,MATCH(1,(TRIM(Innings!A:A)=TRIM(A669))*(TRIM(Innings!D:D)=TRIM(E669)),0))</f>
        <v>NA</v>
      </c>
      <c r="AF669">
        <f>IF(UPPER(TRIM(E669))=UPPER(TRIM(W669)),1,0)</f>
        <v>0</v>
      </c>
      <c r="AG669">
        <f t="shared" si="20"/>
        <v>0</v>
      </c>
    </row>
    <row r="670" spans="1:33" x14ac:dyDescent="0.3">
      <c r="A670" t="s">
        <v>356</v>
      </c>
      <c r="B670">
        <v>2</v>
      </c>
      <c r="C670" t="s">
        <v>180</v>
      </c>
      <c r="D670" t="s">
        <v>181</v>
      </c>
      <c r="E670" t="s">
        <v>159</v>
      </c>
      <c r="F670" t="s">
        <v>91</v>
      </c>
      <c r="G670" t="s">
        <v>104</v>
      </c>
      <c r="H670">
        <v>0</v>
      </c>
      <c r="I670">
        <v>0</v>
      </c>
      <c r="J670">
        <v>0</v>
      </c>
      <c r="K670" t="s">
        <v>104</v>
      </c>
      <c r="L670">
        <v>0</v>
      </c>
      <c r="M670">
        <v>1</v>
      </c>
      <c r="N670">
        <v>0</v>
      </c>
      <c r="O670">
        <v>12</v>
      </c>
      <c r="P670">
        <v>0</v>
      </c>
      <c r="Q670">
        <v>12</v>
      </c>
      <c r="R670">
        <v>0</v>
      </c>
      <c r="S670">
        <v>0</v>
      </c>
      <c r="T670">
        <v>0</v>
      </c>
      <c r="U670" s="8">
        <v>0</v>
      </c>
      <c r="V670" s="8">
        <f t="shared" si="21"/>
        <v>0</v>
      </c>
      <c r="W670" t="str">
        <f>_xlfn.XLOOKUP(A670, Matches!A:A, Matches!L:L, "NA", 0)</f>
        <v>MIW</v>
      </c>
      <c r="X670" t="str">
        <f>_xlfn.XLOOKUP(A670, Matches!A:A, Matches!J:J, "NA", 0)</f>
        <v>MIW</v>
      </c>
      <c r="Y670" t="str">
        <f>_xlfn.XLOOKUP(A670, Matches!A:A, Matches!F:F, "NA", 0)</f>
        <v>M. Chinnaswamy Stadium</v>
      </c>
      <c r="Z670" cm="1">
        <f t="array" ref="Z670">INDEX(Innings!F:F,MATCH(1,(TRIM(Innings!A:A)=TRIM(A670))*(TRIM(Innings!D:D)=TRIM(E670)),0))</f>
        <v>131</v>
      </c>
      <c r="AA670" cm="1">
        <f t="array" ref="AA670">INDEX(Innings!I:I,MATCH(1,(TRIM(Innings!A:A)=TRIM(A670))*(TRIM(Innings!D:D)=TRIM(E670)),0))</f>
        <v>6.55</v>
      </c>
      <c r="AB670" cm="1">
        <f t="array" ref="AB670">INDEX(Innings!J:J,MATCH(1,(TRIM(Innings!A:A)=TRIM(A670))*(TRIM(Innings!D:D)=TRIM(E670)),0))</f>
        <v>34</v>
      </c>
      <c r="AC670" cm="1">
        <f t="array" ref="AC670">INDEX(Innings!N:N,MATCH(1,(TRIM(Innings!A:A)=TRIM(A670))*(TRIM(Innings!D:D)=TRIM(E670)),0))</f>
        <v>25</v>
      </c>
      <c r="AD670" cm="1">
        <f t="array" ref="AD670">INDEX(Innings!S:S,MATCH(1,(TRIM(Innings!A:A)=TRIM(A670))*(TRIM(Innings!D:D)=TRIM(E670)),0))</f>
        <v>45</v>
      </c>
      <c r="AE670" t="str" cm="1">
        <f t="array" ref="AE670">INDEX(Innings!W:W,MATCH(1,(TRIM(Innings!A:A)=TRIM(A670))*(TRIM(Innings!D:D)=TRIM(E670)),0))</f>
        <v>NA</v>
      </c>
      <c r="AF670">
        <f>IF(UPPER(TRIM(E670))=UPPER(TRIM(W670)),1,0)</f>
        <v>0</v>
      </c>
      <c r="AG670">
        <f t="shared" si="20"/>
        <v>0</v>
      </c>
    </row>
    <row r="671" spans="1:33" x14ac:dyDescent="0.3">
      <c r="A671" t="s">
        <v>356</v>
      </c>
      <c r="B671">
        <v>2</v>
      </c>
      <c r="C671" t="s">
        <v>186</v>
      </c>
      <c r="D671" t="s">
        <v>187</v>
      </c>
      <c r="E671" t="s">
        <v>159</v>
      </c>
      <c r="F671" t="s">
        <v>101</v>
      </c>
      <c r="G671" t="s">
        <v>104</v>
      </c>
      <c r="H671">
        <v>0</v>
      </c>
      <c r="I671">
        <v>0</v>
      </c>
      <c r="J671">
        <v>0</v>
      </c>
      <c r="K671" t="s">
        <v>104</v>
      </c>
      <c r="L671">
        <v>0</v>
      </c>
      <c r="M671">
        <v>2</v>
      </c>
      <c r="N671">
        <v>0</v>
      </c>
      <c r="O671">
        <v>25</v>
      </c>
      <c r="P671">
        <v>0</v>
      </c>
      <c r="Q671">
        <v>12.5</v>
      </c>
      <c r="R671">
        <v>0</v>
      </c>
      <c r="S671">
        <v>0</v>
      </c>
      <c r="T671">
        <v>0</v>
      </c>
      <c r="U671" s="8">
        <v>0</v>
      </c>
      <c r="V671" s="8">
        <f t="shared" si="21"/>
        <v>0</v>
      </c>
      <c r="W671" t="str">
        <f>_xlfn.XLOOKUP(A671, Matches!A:A, Matches!L:L, "NA", 0)</f>
        <v>MIW</v>
      </c>
      <c r="X671" t="str">
        <f>_xlfn.XLOOKUP(A671, Matches!A:A, Matches!J:J, "NA", 0)</f>
        <v>MIW</v>
      </c>
      <c r="Y671" t="str">
        <f>_xlfn.XLOOKUP(A671, Matches!A:A, Matches!F:F, "NA", 0)</f>
        <v>M. Chinnaswamy Stadium</v>
      </c>
      <c r="Z671" cm="1">
        <f t="array" ref="Z671">INDEX(Innings!F:F,MATCH(1,(TRIM(Innings!A:A)=TRIM(A671))*(TRIM(Innings!D:D)=TRIM(E671)),0))</f>
        <v>131</v>
      </c>
      <c r="AA671" cm="1">
        <f t="array" ref="AA671">INDEX(Innings!I:I,MATCH(1,(TRIM(Innings!A:A)=TRIM(A671))*(TRIM(Innings!D:D)=TRIM(E671)),0))</f>
        <v>6.55</v>
      </c>
      <c r="AB671" cm="1">
        <f t="array" ref="AB671">INDEX(Innings!J:J,MATCH(1,(TRIM(Innings!A:A)=TRIM(A671))*(TRIM(Innings!D:D)=TRIM(E671)),0))</f>
        <v>34</v>
      </c>
      <c r="AC671" cm="1">
        <f t="array" ref="AC671">INDEX(Innings!N:N,MATCH(1,(TRIM(Innings!A:A)=TRIM(A671))*(TRIM(Innings!D:D)=TRIM(E671)),0))</f>
        <v>25</v>
      </c>
      <c r="AD671" cm="1">
        <f t="array" ref="AD671">INDEX(Innings!S:S,MATCH(1,(TRIM(Innings!A:A)=TRIM(A671))*(TRIM(Innings!D:D)=TRIM(E671)),0))</f>
        <v>45</v>
      </c>
      <c r="AE671" t="str" cm="1">
        <f t="array" ref="AE671">INDEX(Innings!W:W,MATCH(1,(TRIM(Innings!A:A)=TRIM(A671))*(TRIM(Innings!D:D)=TRIM(E671)),0))</f>
        <v>NA</v>
      </c>
      <c r="AF671">
        <f>IF(UPPER(TRIM(E671))=UPPER(TRIM(W671)),1,0)</f>
        <v>0</v>
      </c>
      <c r="AG671">
        <f t="shared" si="20"/>
        <v>0</v>
      </c>
    </row>
    <row r="672" spans="1:33" x14ac:dyDescent="0.3">
      <c r="A672" t="s">
        <v>356</v>
      </c>
      <c r="B672">
        <v>2</v>
      </c>
      <c r="C672" t="s">
        <v>113</v>
      </c>
      <c r="D672" t="s">
        <v>84</v>
      </c>
      <c r="E672" t="s">
        <v>266</v>
      </c>
      <c r="F672" t="s">
        <v>85</v>
      </c>
      <c r="G672" t="s">
        <v>86</v>
      </c>
      <c r="H672">
        <v>31</v>
      </c>
      <c r="I672">
        <v>15</v>
      </c>
      <c r="J672">
        <v>206.67</v>
      </c>
      <c r="K672" t="s">
        <v>246</v>
      </c>
      <c r="L672">
        <v>43.1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 s="8">
        <v>43.1</v>
      </c>
      <c r="V672" s="8">
        <f t="shared" si="21"/>
        <v>4</v>
      </c>
      <c r="W672" t="str">
        <f>_xlfn.XLOOKUP(A672, Matches!A:A, Matches!L:L, "NA", 0)</f>
        <v>MIW</v>
      </c>
      <c r="X672" t="str">
        <f>_xlfn.XLOOKUP(A672, Matches!A:A, Matches!J:J, "NA", 0)</f>
        <v>MIW</v>
      </c>
      <c r="Y672" t="str">
        <f>_xlfn.XLOOKUP(A672, Matches!A:A, Matches!F:F, "NA", 0)</f>
        <v>M. Chinnaswamy Stadium</v>
      </c>
      <c r="Z672" cm="1">
        <f t="array" ref="Z672">INDEX(Innings!F:F,MATCH(1,(TRIM(Innings!A:A)=TRIM(A672))*(TRIM(Innings!D:D)=TRIM(E672)),0))</f>
        <v>133</v>
      </c>
      <c r="AA672" cm="1">
        <f t="array" ref="AA672">INDEX(Innings!I:I,MATCH(1,(TRIM(Innings!A:A)=TRIM(A672))*(TRIM(Innings!D:D)=TRIM(E672)),0))</f>
        <v>8.77</v>
      </c>
      <c r="AB672" cm="1">
        <f t="array" ref="AB672">INDEX(Innings!J:J,MATCH(1,(TRIM(Innings!A:A)=TRIM(A672))*(TRIM(Innings!D:D)=TRIM(E672)),0))</f>
        <v>60</v>
      </c>
      <c r="AC672" cm="1">
        <f t="array" ref="AC672">INDEX(Innings!N:N,MATCH(1,(TRIM(Innings!A:A)=TRIM(A672))*(TRIM(Innings!D:D)=TRIM(E672)),0))</f>
        <v>4</v>
      </c>
      <c r="AD672" cm="1">
        <f t="array" ref="AD672">INDEX(Innings!S:S,MATCH(1,(TRIM(Innings!A:A)=TRIM(A672))*(TRIM(Innings!D:D)=TRIM(E672)),0))</f>
        <v>34</v>
      </c>
      <c r="AE672" t="str" cm="1">
        <f t="array" ref="AE672">INDEX(Innings!W:W,MATCH(1,(TRIM(Innings!A:A)=TRIM(A672))*(TRIM(Innings!D:D)=TRIM(E672)),0))</f>
        <v>Successful</v>
      </c>
      <c r="AF672">
        <f>IF(UPPER(TRIM(E672))=UPPER(TRIM(W672)),1,0)</f>
        <v>1</v>
      </c>
      <c r="AG672">
        <f t="shared" si="20"/>
        <v>42.75</v>
      </c>
    </row>
    <row r="673" spans="1:33" x14ac:dyDescent="0.3">
      <c r="A673" t="s">
        <v>356</v>
      </c>
      <c r="B673">
        <v>2</v>
      </c>
      <c r="C673" t="s">
        <v>112</v>
      </c>
      <c r="D673" t="s">
        <v>88</v>
      </c>
      <c r="E673" t="s">
        <v>266</v>
      </c>
      <c r="F673" t="s">
        <v>83</v>
      </c>
      <c r="G673" t="s">
        <v>86</v>
      </c>
      <c r="H673">
        <v>26</v>
      </c>
      <c r="I673">
        <v>21</v>
      </c>
      <c r="J673">
        <v>123.81</v>
      </c>
      <c r="K673" t="s">
        <v>246</v>
      </c>
      <c r="L673">
        <v>23.4</v>
      </c>
      <c r="M673">
        <v>4</v>
      </c>
      <c r="N673">
        <v>0</v>
      </c>
      <c r="O673">
        <v>29</v>
      </c>
      <c r="P673">
        <v>0</v>
      </c>
      <c r="Q673">
        <v>7.2</v>
      </c>
      <c r="R673">
        <v>5</v>
      </c>
      <c r="S673">
        <v>0</v>
      </c>
      <c r="T673">
        <v>0</v>
      </c>
      <c r="U673" s="8">
        <v>28.4</v>
      </c>
      <c r="V673" s="8">
        <f t="shared" si="21"/>
        <v>3</v>
      </c>
      <c r="W673" t="str">
        <f>_xlfn.XLOOKUP(A673, Matches!A:A, Matches!L:L, "NA", 0)</f>
        <v>MIW</v>
      </c>
      <c r="X673" t="str">
        <f>_xlfn.XLOOKUP(A673, Matches!A:A, Matches!J:J, "NA", 0)</f>
        <v>MIW</v>
      </c>
      <c r="Y673" t="str">
        <f>_xlfn.XLOOKUP(A673, Matches!A:A, Matches!F:F, "NA", 0)</f>
        <v>M. Chinnaswamy Stadium</v>
      </c>
      <c r="Z673" cm="1">
        <f t="array" ref="Z673">INDEX(Innings!F:F,MATCH(1,(TRIM(Innings!A:A)=TRIM(A673))*(TRIM(Innings!D:D)=TRIM(E673)),0))</f>
        <v>133</v>
      </c>
      <c r="AA673" cm="1">
        <f t="array" ref="AA673">INDEX(Innings!I:I,MATCH(1,(TRIM(Innings!A:A)=TRIM(A673))*(TRIM(Innings!D:D)=TRIM(E673)),0))</f>
        <v>8.77</v>
      </c>
      <c r="AB673" cm="1">
        <f t="array" ref="AB673">INDEX(Innings!J:J,MATCH(1,(TRIM(Innings!A:A)=TRIM(A673))*(TRIM(Innings!D:D)=TRIM(E673)),0))</f>
        <v>60</v>
      </c>
      <c r="AC673" cm="1">
        <f t="array" ref="AC673">INDEX(Innings!N:N,MATCH(1,(TRIM(Innings!A:A)=TRIM(A673))*(TRIM(Innings!D:D)=TRIM(E673)),0))</f>
        <v>4</v>
      </c>
      <c r="AD673" cm="1">
        <f t="array" ref="AD673">INDEX(Innings!S:S,MATCH(1,(TRIM(Innings!A:A)=TRIM(A673))*(TRIM(Innings!D:D)=TRIM(E673)),0))</f>
        <v>34</v>
      </c>
      <c r="AE673" t="str" cm="1">
        <f t="array" ref="AE673">INDEX(Innings!W:W,MATCH(1,(TRIM(Innings!A:A)=TRIM(A673))*(TRIM(Innings!D:D)=TRIM(E673)),0))</f>
        <v>Successful</v>
      </c>
      <c r="AF673">
        <f>IF(UPPER(TRIM(E673))=UPPER(TRIM(W673)),1,0)</f>
        <v>1</v>
      </c>
      <c r="AG673">
        <f t="shared" si="20"/>
        <v>35.1</v>
      </c>
    </row>
    <row r="674" spans="1:33" x14ac:dyDescent="0.3">
      <c r="A674" t="s">
        <v>356</v>
      </c>
      <c r="B674">
        <v>2</v>
      </c>
      <c r="C674" t="s">
        <v>117</v>
      </c>
      <c r="D674" t="s">
        <v>90</v>
      </c>
      <c r="E674" t="s">
        <v>266</v>
      </c>
      <c r="F674" t="s">
        <v>169</v>
      </c>
      <c r="G674" t="s">
        <v>92</v>
      </c>
      <c r="H674">
        <v>27</v>
      </c>
      <c r="I674">
        <v>25</v>
      </c>
      <c r="J674">
        <v>108</v>
      </c>
      <c r="K674" t="s">
        <v>246</v>
      </c>
      <c r="L674">
        <v>20.6</v>
      </c>
      <c r="M674">
        <v>4</v>
      </c>
      <c r="N674">
        <v>0</v>
      </c>
      <c r="O674">
        <v>27</v>
      </c>
      <c r="P674">
        <v>2</v>
      </c>
      <c r="Q674">
        <v>6.8</v>
      </c>
      <c r="R674">
        <v>42</v>
      </c>
      <c r="S674">
        <v>0</v>
      </c>
      <c r="T674">
        <v>0</v>
      </c>
      <c r="U674" s="8">
        <v>62.6</v>
      </c>
      <c r="V674" s="8">
        <f t="shared" si="21"/>
        <v>6</v>
      </c>
      <c r="W674" t="str">
        <f>_xlfn.XLOOKUP(A674, Matches!A:A, Matches!L:L, "NA", 0)</f>
        <v>MIW</v>
      </c>
      <c r="X674" t="str">
        <f>_xlfn.XLOOKUP(A674, Matches!A:A, Matches!J:J, "NA", 0)</f>
        <v>MIW</v>
      </c>
      <c r="Y674" t="str">
        <f>_xlfn.XLOOKUP(A674, Matches!A:A, Matches!F:F, "NA", 0)</f>
        <v>M. Chinnaswamy Stadium</v>
      </c>
      <c r="Z674" cm="1">
        <f t="array" ref="Z674">INDEX(Innings!F:F,MATCH(1,(TRIM(Innings!A:A)=TRIM(A674))*(TRIM(Innings!D:D)=TRIM(E674)),0))</f>
        <v>133</v>
      </c>
      <c r="AA674" cm="1">
        <f t="array" ref="AA674">INDEX(Innings!I:I,MATCH(1,(TRIM(Innings!A:A)=TRIM(A674))*(TRIM(Innings!D:D)=TRIM(E674)),0))</f>
        <v>8.77</v>
      </c>
      <c r="AB674" cm="1">
        <f t="array" ref="AB674">INDEX(Innings!J:J,MATCH(1,(TRIM(Innings!A:A)=TRIM(A674))*(TRIM(Innings!D:D)=TRIM(E674)),0))</f>
        <v>60</v>
      </c>
      <c r="AC674" cm="1">
        <f t="array" ref="AC674">INDEX(Innings!N:N,MATCH(1,(TRIM(Innings!A:A)=TRIM(A674))*(TRIM(Innings!D:D)=TRIM(E674)),0))</f>
        <v>4</v>
      </c>
      <c r="AD674" cm="1">
        <f t="array" ref="AD674">INDEX(Innings!S:S,MATCH(1,(TRIM(Innings!A:A)=TRIM(A674))*(TRIM(Innings!D:D)=TRIM(E674)),0))</f>
        <v>34</v>
      </c>
      <c r="AE674" t="str" cm="1">
        <f t="array" ref="AE674">INDEX(Innings!W:W,MATCH(1,(TRIM(Innings!A:A)=TRIM(A674))*(TRIM(Innings!D:D)=TRIM(E674)),0))</f>
        <v>Successful</v>
      </c>
      <c r="AF674">
        <f>IF(UPPER(TRIM(E674))=UPPER(TRIM(W674)),1,0)</f>
        <v>1</v>
      </c>
      <c r="AG674">
        <f t="shared" si="20"/>
        <v>53.1</v>
      </c>
    </row>
    <row r="675" spans="1:33" x14ac:dyDescent="0.3">
      <c r="A675" t="s">
        <v>356</v>
      </c>
      <c r="B675">
        <v>2</v>
      </c>
      <c r="C675" t="s">
        <v>119</v>
      </c>
      <c r="D675" t="s">
        <v>95</v>
      </c>
      <c r="E675" t="s">
        <v>266</v>
      </c>
      <c r="F675" t="s">
        <v>169</v>
      </c>
      <c r="G675" t="s">
        <v>134</v>
      </c>
      <c r="H675">
        <v>40</v>
      </c>
      <c r="I675">
        <v>24</v>
      </c>
      <c r="J675">
        <v>166.67</v>
      </c>
      <c r="K675" t="s">
        <v>96</v>
      </c>
      <c r="L675">
        <v>48.3</v>
      </c>
      <c r="M675">
        <v>3</v>
      </c>
      <c r="N675">
        <v>0</v>
      </c>
      <c r="O675">
        <v>20</v>
      </c>
      <c r="P675">
        <v>0</v>
      </c>
      <c r="Q675">
        <v>6.7</v>
      </c>
      <c r="R675">
        <v>5</v>
      </c>
      <c r="S675">
        <v>0</v>
      </c>
      <c r="T675">
        <v>0</v>
      </c>
      <c r="U675" s="8">
        <v>53.3</v>
      </c>
      <c r="V675" s="8">
        <f t="shared" si="21"/>
        <v>5</v>
      </c>
      <c r="W675" t="str">
        <f>_xlfn.XLOOKUP(A675, Matches!A:A, Matches!L:L, "NA", 0)</f>
        <v>MIW</v>
      </c>
      <c r="X675" t="str">
        <f>_xlfn.XLOOKUP(A675, Matches!A:A, Matches!J:J, "NA", 0)</f>
        <v>MIW</v>
      </c>
      <c r="Y675" t="str">
        <f>_xlfn.XLOOKUP(A675, Matches!A:A, Matches!F:F, "NA", 0)</f>
        <v>M. Chinnaswamy Stadium</v>
      </c>
      <c r="Z675" cm="1">
        <f t="array" ref="Z675">INDEX(Innings!F:F,MATCH(1,(TRIM(Innings!A:A)=TRIM(A675))*(TRIM(Innings!D:D)=TRIM(E675)),0))</f>
        <v>133</v>
      </c>
      <c r="AA675" cm="1">
        <f t="array" ref="AA675">INDEX(Innings!I:I,MATCH(1,(TRIM(Innings!A:A)=TRIM(A675))*(TRIM(Innings!D:D)=TRIM(E675)),0))</f>
        <v>8.77</v>
      </c>
      <c r="AB675" cm="1">
        <f t="array" ref="AB675">INDEX(Innings!J:J,MATCH(1,(TRIM(Innings!A:A)=TRIM(A675))*(TRIM(Innings!D:D)=TRIM(E675)),0))</f>
        <v>60</v>
      </c>
      <c r="AC675" cm="1">
        <f t="array" ref="AC675">INDEX(Innings!N:N,MATCH(1,(TRIM(Innings!A:A)=TRIM(A675))*(TRIM(Innings!D:D)=TRIM(E675)),0))</f>
        <v>4</v>
      </c>
      <c r="AD675" cm="1">
        <f t="array" ref="AD675">INDEX(Innings!S:S,MATCH(1,(TRIM(Innings!A:A)=TRIM(A675))*(TRIM(Innings!D:D)=TRIM(E675)),0))</f>
        <v>34</v>
      </c>
      <c r="AE675" t="str" cm="1">
        <f t="array" ref="AE675">INDEX(Innings!W:W,MATCH(1,(TRIM(Innings!A:A)=TRIM(A675))*(TRIM(Innings!D:D)=TRIM(E675)),0))</f>
        <v>Successful</v>
      </c>
      <c r="AF675">
        <f>IF(UPPER(TRIM(E675))=UPPER(TRIM(W675)),1,0)</f>
        <v>1</v>
      </c>
      <c r="AG675">
        <f t="shared" si="20"/>
        <v>48.15</v>
      </c>
    </row>
    <row r="676" spans="1:33" x14ac:dyDescent="0.3">
      <c r="A676" t="s">
        <v>356</v>
      </c>
      <c r="B676">
        <v>2</v>
      </c>
      <c r="C676" t="s">
        <v>123</v>
      </c>
      <c r="D676" t="s">
        <v>98</v>
      </c>
      <c r="E676" t="s">
        <v>266</v>
      </c>
      <c r="F676" t="s">
        <v>91</v>
      </c>
      <c r="G676" t="s">
        <v>134</v>
      </c>
      <c r="H676">
        <v>8</v>
      </c>
      <c r="I676">
        <v>6</v>
      </c>
      <c r="J676">
        <v>133.33000000000001</v>
      </c>
      <c r="K676" t="s">
        <v>96</v>
      </c>
      <c r="L676">
        <v>13.1</v>
      </c>
      <c r="M676">
        <v>3</v>
      </c>
      <c r="N676">
        <v>0</v>
      </c>
      <c r="O676">
        <v>14</v>
      </c>
      <c r="P676">
        <v>2</v>
      </c>
      <c r="Q676">
        <v>4.7</v>
      </c>
      <c r="R676">
        <v>46</v>
      </c>
      <c r="S676">
        <v>0</v>
      </c>
      <c r="T676">
        <v>0</v>
      </c>
      <c r="U676" s="8">
        <v>59.1</v>
      </c>
      <c r="V676" s="8">
        <f t="shared" si="21"/>
        <v>6</v>
      </c>
      <c r="W676" t="str">
        <f>_xlfn.XLOOKUP(A676, Matches!A:A, Matches!L:L, "NA", 0)</f>
        <v>MIW</v>
      </c>
      <c r="X676" t="str">
        <f>_xlfn.XLOOKUP(A676, Matches!A:A, Matches!J:J, "NA", 0)</f>
        <v>MIW</v>
      </c>
      <c r="Y676" t="str">
        <f>_xlfn.XLOOKUP(A676, Matches!A:A, Matches!F:F, "NA", 0)</f>
        <v>M. Chinnaswamy Stadium</v>
      </c>
      <c r="Z676" cm="1">
        <f t="array" ref="Z676">INDEX(Innings!F:F,MATCH(1,(TRIM(Innings!A:A)=TRIM(A676))*(TRIM(Innings!D:D)=TRIM(E676)),0))</f>
        <v>133</v>
      </c>
      <c r="AA676" cm="1">
        <f t="array" ref="AA676">INDEX(Innings!I:I,MATCH(1,(TRIM(Innings!A:A)=TRIM(A676))*(TRIM(Innings!D:D)=TRIM(E676)),0))</f>
        <v>8.77</v>
      </c>
      <c r="AB676" cm="1">
        <f t="array" ref="AB676">INDEX(Innings!J:J,MATCH(1,(TRIM(Innings!A:A)=TRIM(A676))*(TRIM(Innings!D:D)=TRIM(E676)),0))</f>
        <v>60</v>
      </c>
      <c r="AC676" cm="1">
        <f t="array" ref="AC676">INDEX(Innings!N:N,MATCH(1,(TRIM(Innings!A:A)=TRIM(A676))*(TRIM(Innings!D:D)=TRIM(E676)),0))</f>
        <v>4</v>
      </c>
      <c r="AD676" cm="1">
        <f t="array" ref="AD676">INDEX(Innings!S:S,MATCH(1,(TRIM(Innings!A:A)=TRIM(A676))*(TRIM(Innings!D:D)=TRIM(E676)),0))</f>
        <v>34</v>
      </c>
      <c r="AE676" t="str" cm="1">
        <f t="array" ref="AE676">INDEX(Innings!W:W,MATCH(1,(TRIM(Innings!A:A)=TRIM(A676))*(TRIM(Innings!D:D)=TRIM(E676)),0))</f>
        <v>Successful</v>
      </c>
      <c r="AF676">
        <f>IF(UPPER(TRIM(E676))=UPPER(TRIM(W676)),1,0)</f>
        <v>1</v>
      </c>
      <c r="AG676">
        <f t="shared" si="20"/>
        <v>51.35</v>
      </c>
    </row>
    <row r="677" spans="1:33" x14ac:dyDescent="0.3">
      <c r="A677" t="s">
        <v>356</v>
      </c>
      <c r="B677">
        <v>2</v>
      </c>
      <c r="C677" t="s">
        <v>127</v>
      </c>
      <c r="D677" t="s">
        <v>100</v>
      </c>
      <c r="E677" t="s">
        <v>266</v>
      </c>
      <c r="F677" t="s">
        <v>101</v>
      </c>
      <c r="G677" t="s">
        <v>104</v>
      </c>
      <c r="H677">
        <v>0</v>
      </c>
      <c r="I677">
        <v>0</v>
      </c>
      <c r="J677">
        <v>0</v>
      </c>
      <c r="K677" t="s">
        <v>104</v>
      </c>
      <c r="L677">
        <v>0</v>
      </c>
      <c r="M677">
        <v>3</v>
      </c>
      <c r="N677">
        <v>0</v>
      </c>
      <c r="O677">
        <v>20</v>
      </c>
      <c r="P677">
        <v>1</v>
      </c>
      <c r="Q677">
        <v>6.7</v>
      </c>
      <c r="R677">
        <v>21</v>
      </c>
      <c r="S677">
        <v>0</v>
      </c>
      <c r="T677">
        <v>0</v>
      </c>
      <c r="U677" s="8">
        <v>21</v>
      </c>
      <c r="V677" s="8">
        <f t="shared" si="21"/>
        <v>2</v>
      </c>
      <c r="W677" t="str">
        <f>_xlfn.XLOOKUP(A677, Matches!A:A, Matches!L:L, "NA", 0)</f>
        <v>MIW</v>
      </c>
      <c r="X677" t="str">
        <f>_xlfn.XLOOKUP(A677, Matches!A:A, Matches!J:J, "NA", 0)</f>
        <v>MIW</v>
      </c>
      <c r="Y677" t="str">
        <f>_xlfn.XLOOKUP(A677, Matches!A:A, Matches!F:F, "NA", 0)</f>
        <v>M. Chinnaswamy Stadium</v>
      </c>
      <c r="Z677" cm="1">
        <f t="array" ref="Z677">INDEX(Innings!F:F,MATCH(1,(TRIM(Innings!A:A)=TRIM(A677))*(TRIM(Innings!D:D)=TRIM(E677)),0))</f>
        <v>133</v>
      </c>
      <c r="AA677" cm="1">
        <f t="array" ref="AA677">INDEX(Innings!I:I,MATCH(1,(TRIM(Innings!A:A)=TRIM(A677))*(TRIM(Innings!D:D)=TRIM(E677)),0))</f>
        <v>8.77</v>
      </c>
      <c r="AB677" cm="1">
        <f t="array" ref="AB677">INDEX(Innings!J:J,MATCH(1,(TRIM(Innings!A:A)=TRIM(A677))*(TRIM(Innings!D:D)=TRIM(E677)),0))</f>
        <v>60</v>
      </c>
      <c r="AC677" cm="1">
        <f t="array" ref="AC677">INDEX(Innings!N:N,MATCH(1,(TRIM(Innings!A:A)=TRIM(A677))*(TRIM(Innings!D:D)=TRIM(E677)),0))</f>
        <v>4</v>
      </c>
      <c r="AD677" cm="1">
        <f t="array" ref="AD677">INDEX(Innings!S:S,MATCH(1,(TRIM(Innings!A:A)=TRIM(A677))*(TRIM(Innings!D:D)=TRIM(E677)),0))</f>
        <v>34</v>
      </c>
      <c r="AE677" t="str" cm="1">
        <f t="array" ref="AE677">INDEX(Innings!W:W,MATCH(1,(TRIM(Innings!A:A)=TRIM(A677))*(TRIM(Innings!D:D)=TRIM(E677)),0))</f>
        <v>Successful</v>
      </c>
      <c r="AF677">
        <f>IF(UPPER(TRIM(E677))=UPPER(TRIM(W677)),1,0)</f>
        <v>1</v>
      </c>
      <c r="AG677">
        <f t="shared" si="20"/>
        <v>31.1</v>
      </c>
    </row>
    <row r="678" spans="1:33" x14ac:dyDescent="0.3">
      <c r="A678" t="s">
        <v>356</v>
      </c>
      <c r="B678">
        <v>2</v>
      </c>
      <c r="C678" t="s">
        <v>347</v>
      </c>
      <c r="D678" t="s">
        <v>348</v>
      </c>
      <c r="E678" t="s">
        <v>266</v>
      </c>
      <c r="F678" t="s">
        <v>83</v>
      </c>
      <c r="G678" t="s">
        <v>104</v>
      </c>
      <c r="H678">
        <v>0</v>
      </c>
      <c r="I678">
        <v>0</v>
      </c>
      <c r="J678">
        <v>0</v>
      </c>
      <c r="K678" t="s">
        <v>104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 s="8">
        <v>0</v>
      </c>
      <c r="V678" s="8">
        <f t="shared" si="21"/>
        <v>0</v>
      </c>
      <c r="W678" t="str">
        <f>_xlfn.XLOOKUP(A678, Matches!A:A, Matches!L:L, "NA", 0)</f>
        <v>MIW</v>
      </c>
      <c r="X678" t="str">
        <f>_xlfn.XLOOKUP(A678, Matches!A:A, Matches!J:J, "NA", 0)</f>
        <v>MIW</v>
      </c>
      <c r="Y678" t="str">
        <f>_xlfn.XLOOKUP(A678, Matches!A:A, Matches!F:F, "NA", 0)</f>
        <v>M. Chinnaswamy Stadium</v>
      </c>
      <c r="Z678" cm="1">
        <f t="array" ref="Z678">INDEX(Innings!F:F,MATCH(1,(TRIM(Innings!A:A)=TRIM(A678))*(TRIM(Innings!D:D)=TRIM(E678)),0))</f>
        <v>133</v>
      </c>
      <c r="AA678" cm="1">
        <f t="array" ref="AA678">INDEX(Innings!I:I,MATCH(1,(TRIM(Innings!A:A)=TRIM(A678))*(TRIM(Innings!D:D)=TRIM(E678)),0))</f>
        <v>8.77</v>
      </c>
      <c r="AB678" cm="1">
        <f t="array" ref="AB678">INDEX(Innings!J:J,MATCH(1,(TRIM(Innings!A:A)=TRIM(A678))*(TRIM(Innings!D:D)=TRIM(E678)),0))</f>
        <v>60</v>
      </c>
      <c r="AC678" cm="1">
        <f t="array" ref="AC678">INDEX(Innings!N:N,MATCH(1,(TRIM(Innings!A:A)=TRIM(A678))*(TRIM(Innings!D:D)=TRIM(E678)),0))</f>
        <v>4</v>
      </c>
      <c r="AD678" cm="1">
        <f t="array" ref="AD678">INDEX(Innings!S:S,MATCH(1,(TRIM(Innings!A:A)=TRIM(A678))*(TRIM(Innings!D:D)=TRIM(E678)),0))</f>
        <v>34</v>
      </c>
      <c r="AE678" t="str" cm="1">
        <f t="array" ref="AE678">INDEX(Innings!W:W,MATCH(1,(TRIM(Innings!A:A)=TRIM(A678))*(TRIM(Innings!D:D)=TRIM(E678)),0))</f>
        <v>Successful</v>
      </c>
      <c r="AF678">
        <f>IF(UPPER(TRIM(E678))=UPPER(TRIM(W678)),1,0)</f>
        <v>1</v>
      </c>
      <c r="AG678">
        <f t="shared" si="20"/>
        <v>20</v>
      </c>
    </row>
    <row r="679" spans="1:33" x14ac:dyDescent="0.3">
      <c r="A679" t="s">
        <v>356</v>
      </c>
      <c r="B679">
        <v>2</v>
      </c>
      <c r="C679" t="s">
        <v>121</v>
      </c>
      <c r="D679" t="s">
        <v>108</v>
      </c>
      <c r="E679" t="s">
        <v>266</v>
      </c>
      <c r="F679" t="s">
        <v>91</v>
      </c>
      <c r="G679" t="s">
        <v>104</v>
      </c>
      <c r="H679">
        <v>0</v>
      </c>
      <c r="I679">
        <v>0</v>
      </c>
      <c r="J679">
        <v>0</v>
      </c>
      <c r="K679" t="s">
        <v>104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 s="8">
        <v>0</v>
      </c>
      <c r="V679" s="8">
        <f t="shared" si="21"/>
        <v>0</v>
      </c>
      <c r="W679" t="str">
        <f>_xlfn.XLOOKUP(A679, Matches!A:A, Matches!L:L, "NA", 0)</f>
        <v>MIW</v>
      </c>
      <c r="X679" t="str">
        <f>_xlfn.XLOOKUP(A679, Matches!A:A, Matches!J:J, "NA", 0)</f>
        <v>MIW</v>
      </c>
      <c r="Y679" t="str">
        <f>_xlfn.XLOOKUP(A679, Matches!A:A, Matches!F:F, "NA", 0)</f>
        <v>M. Chinnaswamy Stadium</v>
      </c>
      <c r="Z679" cm="1">
        <f t="array" ref="Z679">INDEX(Innings!F:F,MATCH(1,(TRIM(Innings!A:A)=TRIM(A679))*(TRIM(Innings!D:D)=TRIM(E679)),0))</f>
        <v>133</v>
      </c>
      <c r="AA679" cm="1">
        <f t="array" ref="AA679">INDEX(Innings!I:I,MATCH(1,(TRIM(Innings!A:A)=TRIM(A679))*(TRIM(Innings!D:D)=TRIM(E679)),0))</f>
        <v>8.77</v>
      </c>
      <c r="AB679" cm="1">
        <f t="array" ref="AB679">INDEX(Innings!J:J,MATCH(1,(TRIM(Innings!A:A)=TRIM(A679))*(TRIM(Innings!D:D)=TRIM(E679)),0))</f>
        <v>60</v>
      </c>
      <c r="AC679" cm="1">
        <f t="array" ref="AC679">INDEX(Innings!N:N,MATCH(1,(TRIM(Innings!A:A)=TRIM(A679))*(TRIM(Innings!D:D)=TRIM(E679)),0))</f>
        <v>4</v>
      </c>
      <c r="AD679" cm="1">
        <f t="array" ref="AD679">INDEX(Innings!S:S,MATCH(1,(TRIM(Innings!A:A)=TRIM(A679))*(TRIM(Innings!D:D)=TRIM(E679)),0))</f>
        <v>34</v>
      </c>
      <c r="AE679" t="str" cm="1">
        <f t="array" ref="AE679">INDEX(Innings!W:W,MATCH(1,(TRIM(Innings!A:A)=TRIM(A679))*(TRIM(Innings!D:D)=TRIM(E679)),0))</f>
        <v>Successful</v>
      </c>
      <c r="AF679">
        <f>IF(UPPER(TRIM(E679))=UPPER(TRIM(W679)),1,0)</f>
        <v>1</v>
      </c>
      <c r="AG679">
        <f t="shared" si="20"/>
        <v>20</v>
      </c>
    </row>
    <row r="680" spans="1:33" x14ac:dyDescent="0.3">
      <c r="A680" t="s">
        <v>356</v>
      </c>
      <c r="B680">
        <v>2</v>
      </c>
      <c r="C680" t="s">
        <v>125</v>
      </c>
      <c r="D680" t="s">
        <v>111</v>
      </c>
      <c r="E680" t="s">
        <v>266</v>
      </c>
      <c r="F680" t="s">
        <v>83</v>
      </c>
      <c r="G680" t="s">
        <v>104</v>
      </c>
      <c r="H680">
        <v>0</v>
      </c>
      <c r="I680">
        <v>0</v>
      </c>
      <c r="J680">
        <v>0</v>
      </c>
      <c r="K680" t="s">
        <v>104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 s="8">
        <v>0</v>
      </c>
      <c r="V680" s="8">
        <f t="shared" si="21"/>
        <v>0</v>
      </c>
      <c r="W680" t="str">
        <f>_xlfn.XLOOKUP(A680, Matches!A:A, Matches!L:L, "NA", 0)</f>
        <v>MIW</v>
      </c>
      <c r="X680" t="str">
        <f>_xlfn.XLOOKUP(A680, Matches!A:A, Matches!J:J, "NA", 0)</f>
        <v>MIW</v>
      </c>
      <c r="Y680" t="str">
        <f>_xlfn.XLOOKUP(A680, Matches!A:A, Matches!F:F, "NA", 0)</f>
        <v>M. Chinnaswamy Stadium</v>
      </c>
      <c r="Z680" cm="1">
        <f t="array" ref="Z680">INDEX(Innings!F:F,MATCH(1,(TRIM(Innings!A:A)=TRIM(A680))*(TRIM(Innings!D:D)=TRIM(E680)),0))</f>
        <v>133</v>
      </c>
      <c r="AA680" cm="1">
        <f t="array" ref="AA680">INDEX(Innings!I:I,MATCH(1,(TRIM(Innings!A:A)=TRIM(A680))*(TRIM(Innings!D:D)=TRIM(E680)),0))</f>
        <v>8.77</v>
      </c>
      <c r="AB680" cm="1">
        <f t="array" ref="AB680">INDEX(Innings!J:J,MATCH(1,(TRIM(Innings!A:A)=TRIM(A680))*(TRIM(Innings!D:D)=TRIM(E680)),0))</f>
        <v>60</v>
      </c>
      <c r="AC680" cm="1">
        <f t="array" ref="AC680">INDEX(Innings!N:N,MATCH(1,(TRIM(Innings!A:A)=TRIM(A680))*(TRIM(Innings!D:D)=TRIM(E680)),0))</f>
        <v>4</v>
      </c>
      <c r="AD680" cm="1">
        <f t="array" ref="AD680">INDEX(Innings!S:S,MATCH(1,(TRIM(Innings!A:A)=TRIM(A680))*(TRIM(Innings!D:D)=TRIM(E680)),0))</f>
        <v>34</v>
      </c>
      <c r="AE680" t="str" cm="1">
        <f t="array" ref="AE680">INDEX(Innings!W:W,MATCH(1,(TRIM(Innings!A:A)=TRIM(A680))*(TRIM(Innings!D:D)=TRIM(E680)),0))</f>
        <v>Successful</v>
      </c>
      <c r="AF680">
        <f>IF(UPPER(TRIM(E680))=UPPER(TRIM(W680)),1,0)</f>
        <v>1</v>
      </c>
      <c r="AG680">
        <f t="shared" si="20"/>
        <v>20</v>
      </c>
    </row>
    <row r="681" spans="1:33" x14ac:dyDescent="0.3">
      <c r="A681" t="s">
        <v>356</v>
      </c>
      <c r="B681">
        <v>2</v>
      </c>
      <c r="C681" t="s">
        <v>345</v>
      </c>
      <c r="D681" t="s">
        <v>346</v>
      </c>
      <c r="E681" t="s">
        <v>266</v>
      </c>
      <c r="F681" t="s">
        <v>83</v>
      </c>
      <c r="G681" t="s">
        <v>104</v>
      </c>
      <c r="H681">
        <v>0</v>
      </c>
      <c r="I681">
        <v>0</v>
      </c>
      <c r="J681">
        <v>0</v>
      </c>
      <c r="K681" t="s">
        <v>104</v>
      </c>
      <c r="L681">
        <v>0</v>
      </c>
      <c r="M681">
        <v>1</v>
      </c>
      <c r="N681">
        <v>0</v>
      </c>
      <c r="O681">
        <v>11</v>
      </c>
      <c r="P681">
        <v>0</v>
      </c>
      <c r="Q681">
        <v>11</v>
      </c>
      <c r="R681">
        <v>0</v>
      </c>
      <c r="S681">
        <v>0</v>
      </c>
      <c r="T681">
        <v>0</v>
      </c>
      <c r="U681" s="8">
        <v>0</v>
      </c>
      <c r="V681" s="8">
        <f t="shared" si="21"/>
        <v>0</v>
      </c>
      <c r="W681" t="str">
        <f>_xlfn.XLOOKUP(A681, Matches!A:A, Matches!L:L, "NA", 0)</f>
        <v>MIW</v>
      </c>
      <c r="X681" t="str">
        <f>_xlfn.XLOOKUP(A681, Matches!A:A, Matches!J:J, "NA", 0)</f>
        <v>MIW</v>
      </c>
      <c r="Y681" t="str">
        <f>_xlfn.XLOOKUP(A681, Matches!A:A, Matches!F:F, "NA", 0)</f>
        <v>M. Chinnaswamy Stadium</v>
      </c>
      <c r="Z681" cm="1">
        <f t="array" ref="Z681">INDEX(Innings!F:F,MATCH(1,(TRIM(Innings!A:A)=TRIM(A681))*(TRIM(Innings!D:D)=TRIM(E681)),0))</f>
        <v>133</v>
      </c>
      <c r="AA681" cm="1">
        <f t="array" ref="AA681">INDEX(Innings!I:I,MATCH(1,(TRIM(Innings!A:A)=TRIM(A681))*(TRIM(Innings!D:D)=TRIM(E681)),0))</f>
        <v>8.77</v>
      </c>
      <c r="AB681" cm="1">
        <f t="array" ref="AB681">INDEX(Innings!J:J,MATCH(1,(TRIM(Innings!A:A)=TRIM(A681))*(TRIM(Innings!D:D)=TRIM(E681)),0))</f>
        <v>60</v>
      </c>
      <c r="AC681" cm="1">
        <f t="array" ref="AC681">INDEX(Innings!N:N,MATCH(1,(TRIM(Innings!A:A)=TRIM(A681))*(TRIM(Innings!D:D)=TRIM(E681)),0))</f>
        <v>4</v>
      </c>
      <c r="AD681" cm="1">
        <f t="array" ref="AD681">INDEX(Innings!S:S,MATCH(1,(TRIM(Innings!A:A)=TRIM(A681))*(TRIM(Innings!D:D)=TRIM(E681)),0))</f>
        <v>34</v>
      </c>
      <c r="AE681" t="str" cm="1">
        <f t="array" ref="AE681">INDEX(Innings!W:W,MATCH(1,(TRIM(Innings!A:A)=TRIM(A681))*(TRIM(Innings!D:D)=TRIM(E681)),0))</f>
        <v>Successful</v>
      </c>
      <c r="AF681">
        <f>IF(UPPER(TRIM(E681))=UPPER(TRIM(W681)),1,0)</f>
        <v>1</v>
      </c>
      <c r="AG681">
        <f t="shared" si="20"/>
        <v>20</v>
      </c>
    </row>
    <row r="682" spans="1:33" x14ac:dyDescent="0.3">
      <c r="A682" t="s">
        <v>356</v>
      </c>
      <c r="B682">
        <v>2</v>
      </c>
      <c r="C682" t="s">
        <v>131</v>
      </c>
      <c r="D682" t="s">
        <v>106</v>
      </c>
      <c r="E682" t="s">
        <v>266</v>
      </c>
      <c r="F682" t="s">
        <v>101</v>
      </c>
      <c r="G682" t="s">
        <v>104</v>
      </c>
      <c r="H682">
        <v>0</v>
      </c>
      <c r="I682">
        <v>0</v>
      </c>
      <c r="J682">
        <v>0</v>
      </c>
      <c r="K682" t="s">
        <v>104</v>
      </c>
      <c r="L682">
        <v>0</v>
      </c>
      <c r="M682">
        <v>2</v>
      </c>
      <c r="N682">
        <v>0</v>
      </c>
      <c r="O682">
        <v>9</v>
      </c>
      <c r="P682">
        <v>1</v>
      </c>
      <c r="Q682">
        <v>4.5</v>
      </c>
      <c r="R682">
        <v>27</v>
      </c>
      <c r="S682">
        <v>0</v>
      </c>
      <c r="T682">
        <v>0</v>
      </c>
      <c r="U682" s="8">
        <v>27</v>
      </c>
      <c r="V682" s="8">
        <f t="shared" si="21"/>
        <v>3</v>
      </c>
      <c r="W682" t="str">
        <f>_xlfn.XLOOKUP(A682, Matches!A:A, Matches!L:L, "NA", 0)</f>
        <v>MIW</v>
      </c>
      <c r="X682" t="str">
        <f>_xlfn.XLOOKUP(A682, Matches!A:A, Matches!J:J, "NA", 0)</f>
        <v>MIW</v>
      </c>
      <c r="Y682" t="str">
        <f>_xlfn.XLOOKUP(A682, Matches!A:A, Matches!F:F, "NA", 0)</f>
        <v>M. Chinnaswamy Stadium</v>
      </c>
      <c r="Z682" cm="1">
        <f t="array" ref="Z682">INDEX(Innings!F:F,MATCH(1,(TRIM(Innings!A:A)=TRIM(A682))*(TRIM(Innings!D:D)=TRIM(E682)),0))</f>
        <v>133</v>
      </c>
      <c r="AA682" cm="1">
        <f t="array" ref="AA682">INDEX(Innings!I:I,MATCH(1,(TRIM(Innings!A:A)=TRIM(A682))*(TRIM(Innings!D:D)=TRIM(E682)),0))</f>
        <v>8.77</v>
      </c>
      <c r="AB682" cm="1">
        <f t="array" ref="AB682">INDEX(Innings!J:J,MATCH(1,(TRIM(Innings!A:A)=TRIM(A682))*(TRIM(Innings!D:D)=TRIM(E682)),0))</f>
        <v>60</v>
      </c>
      <c r="AC682" cm="1">
        <f t="array" ref="AC682">INDEX(Innings!N:N,MATCH(1,(TRIM(Innings!A:A)=TRIM(A682))*(TRIM(Innings!D:D)=TRIM(E682)),0))</f>
        <v>4</v>
      </c>
      <c r="AD682" cm="1">
        <f t="array" ref="AD682">INDEX(Innings!S:S,MATCH(1,(TRIM(Innings!A:A)=TRIM(A682))*(TRIM(Innings!D:D)=TRIM(E682)),0))</f>
        <v>34</v>
      </c>
      <c r="AE682" t="str" cm="1">
        <f t="array" ref="AE682">INDEX(Innings!W:W,MATCH(1,(TRIM(Innings!A:A)=TRIM(A682))*(TRIM(Innings!D:D)=TRIM(E682)),0))</f>
        <v>Successful</v>
      </c>
      <c r="AF682">
        <f>IF(UPPER(TRIM(E682))=UPPER(TRIM(W682)),1,0)</f>
        <v>1</v>
      </c>
      <c r="AG682">
        <f t="shared" si="20"/>
        <v>34.4</v>
      </c>
    </row>
    <row r="683" spans="1:33" x14ac:dyDescent="0.3">
      <c r="A683" t="s">
        <v>357</v>
      </c>
      <c r="B683">
        <v>2</v>
      </c>
      <c r="C683" t="s">
        <v>190</v>
      </c>
      <c r="D683" t="s">
        <v>191</v>
      </c>
      <c r="E683" t="s">
        <v>158</v>
      </c>
      <c r="F683" t="s">
        <v>109</v>
      </c>
      <c r="G683" t="s">
        <v>86</v>
      </c>
      <c r="H683">
        <v>55</v>
      </c>
      <c r="I683">
        <v>41</v>
      </c>
      <c r="J683">
        <v>134.15</v>
      </c>
      <c r="K683" t="s">
        <v>246</v>
      </c>
      <c r="L683">
        <v>54.6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 s="8">
        <v>54.6</v>
      </c>
      <c r="V683" s="8">
        <f t="shared" si="21"/>
        <v>5</v>
      </c>
      <c r="W683" t="str">
        <f>_xlfn.XLOOKUP(A683, Matches!A:A, Matches!L:L, "NA", 0)</f>
        <v>DCW</v>
      </c>
      <c r="X683" t="str">
        <f>_xlfn.XLOOKUP(A683, Matches!A:A, Matches!J:J, "NA", 0)</f>
        <v>GGTW</v>
      </c>
      <c r="Y683" t="str">
        <f>_xlfn.XLOOKUP(A683, Matches!A:A, Matches!F:F, "NA", 0)</f>
        <v>M. Chinnaswamy Stadium</v>
      </c>
      <c r="Z683" cm="1">
        <f t="array" ref="Z683">INDEX(Innings!F:F,MATCH(1,(TRIM(Innings!A:A)=TRIM(A683))*(TRIM(Innings!D:D)=TRIM(E683)),0))</f>
        <v>163</v>
      </c>
      <c r="AA683" cm="1">
        <f t="array" ref="AA683">INDEX(Innings!I:I,MATCH(1,(TRIM(Innings!A:A)=TRIM(A683))*(TRIM(Innings!D:D)=TRIM(E683)),0))</f>
        <v>8.15</v>
      </c>
      <c r="AB683" cm="1">
        <f t="array" ref="AB683">INDEX(Innings!J:J,MATCH(1,(TRIM(Innings!A:A)=TRIM(A683))*(TRIM(Innings!D:D)=TRIM(E683)),0))</f>
        <v>51</v>
      </c>
      <c r="AC683" cm="1">
        <f t="array" ref="AC683">INDEX(Innings!N:N,MATCH(1,(TRIM(Innings!A:A)=TRIM(A683))*(TRIM(Innings!D:D)=TRIM(E683)),0))</f>
        <v>24</v>
      </c>
      <c r="AD683" cm="1">
        <f t="array" ref="AD683">INDEX(Innings!S:S,MATCH(1,(TRIM(Innings!A:A)=TRIM(A683))*(TRIM(Innings!D:D)=TRIM(E683)),0))</f>
        <v>41</v>
      </c>
      <c r="AE683" t="str" cm="1">
        <f t="array" ref="AE683">INDEX(Innings!W:W,MATCH(1,(TRIM(Innings!A:A)=TRIM(A683))*(TRIM(Innings!D:D)=TRIM(E683)),0))</f>
        <v>NA</v>
      </c>
      <c r="AF683">
        <f>IF(UPPER(TRIM(E683))=UPPER(TRIM(W683)),1,0)</f>
        <v>1</v>
      </c>
      <c r="AG683">
        <f t="shared" si="20"/>
        <v>48.8</v>
      </c>
    </row>
    <row r="684" spans="1:33" x14ac:dyDescent="0.3">
      <c r="A684" t="s">
        <v>357</v>
      </c>
      <c r="B684">
        <v>2</v>
      </c>
      <c r="C684" t="s">
        <v>188</v>
      </c>
      <c r="D684" t="s">
        <v>189</v>
      </c>
      <c r="E684" t="s">
        <v>158</v>
      </c>
      <c r="F684" t="s">
        <v>83</v>
      </c>
      <c r="G684" t="s">
        <v>86</v>
      </c>
      <c r="H684">
        <v>13</v>
      </c>
      <c r="I684">
        <v>9</v>
      </c>
      <c r="J684">
        <v>144.44</v>
      </c>
      <c r="K684" t="s">
        <v>246</v>
      </c>
      <c r="L684">
        <v>18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 s="8">
        <v>18</v>
      </c>
      <c r="V684" s="8">
        <f t="shared" si="21"/>
        <v>2</v>
      </c>
      <c r="W684" t="str">
        <f>_xlfn.XLOOKUP(A684, Matches!A:A, Matches!L:L, "NA", 0)</f>
        <v>DCW</v>
      </c>
      <c r="X684" t="str">
        <f>_xlfn.XLOOKUP(A684, Matches!A:A, Matches!J:J, "NA", 0)</f>
        <v>GGTW</v>
      </c>
      <c r="Y684" t="str">
        <f>_xlfn.XLOOKUP(A684, Matches!A:A, Matches!F:F, "NA", 0)</f>
        <v>M. Chinnaswamy Stadium</v>
      </c>
      <c r="Z684" cm="1">
        <f t="array" ref="Z684">INDEX(Innings!F:F,MATCH(1,(TRIM(Innings!A:A)=TRIM(A684))*(TRIM(Innings!D:D)=TRIM(E684)),0))</f>
        <v>163</v>
      </c>
      <c r="AA684" cm="1">
        <f t="array" ref="AA684">INDEX(Innings!I:I,MATCH(1,(TRIM(Innings!A:A)=TRIM(A684))*(TRIM(Innings!D:D)=TRIM(E684)),0))</f>
        <v>8.15</v>
      </c>
      <c r="AB684" cm="1">
        <f t="array" ref="AB684">INDEX(Innings!J:J,MATCH(1,(TRIM(Innings!A:A)=TRIM(A684))*(TRIM(Innings!D:D)=TRIM(E684)),0))</f>
        <v>51</v>
      </c>
      <c r="AC684" cm="1">
        <f t="array" ref="AC684">INDEX(Innings!N:N,MATCH(1,(TRIM(Innings!A:A)=TRIM(A684))*(TRIM(Innings!D:D)=TRIM(E684)),0))</f>
        <v>24</v>
      </c>
      <c r="AD684" cm="1">
        <f t="array" ref="AD684">INDEX(Innings!S:S,MATCH(1,(TRIM(Innings!A:A)=TRIM(A684))*(TRIM(Innings!D:D)=TRIM(E684)),0))</f>
        <v>41</v>
      </c>
      <c r="AE684" t="str" cm="1">
        <f t="array" ref="AE684">INDEX(Innings!W:W,MATCH(1,(TRIM(Innings!A:A)=TRIM(A684))*(TRIM(Innings!D:D)=TRIM(E684)),0))</f>
        <v>NA</v>
      </c>
      <c r="AF684">
        <f>IF(UPPER(TRIM(E684))=UPPER(TRIM(W684)),1,0)</f>
        <v>1</v>
      </c>
      <c r="AG684">
        <f t="shared" si="20"/>
        <v>29.6</v>
      </c>
    </row>
    <row r="685" spans="1:33" x14ac:dyDescent="0.3">
      <c r="A685" t="s">
        <v>357</v>
      </c>
      <c r="B685">
        <v>2</v>
      </c>
      <c r="C685" t="s">
        <v>196</v>
      </c>
      <c r="D685" t="s">
        <v>197</v>
      </c>
      <c r="E685" t="s">
        <v>158</v>
      </c>
      <c r="F685" t="s">
        <v>109</v>
      </c>
      <c r="G685" t="s">
        <v>92</v>
      </c>
      <c r="H685">
        <v>27</v>
      </c>
      <c r="I685">
        <v>17</v>
      </c>
      <c r="J685">
        <v>158.82</v>
      </c>
      <c r="K685" t="s">
        <v>246</v>
      </c>
      <c r="L685">
        <v>31.8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 s="8">
        <v>31.8</v>
      </c>
      <c r="V685" s="8">
        <f t="shared" si="21"/>
        <v>3</v>
      </c>
      <c r="W685" t="str">
        <f>_xlfn.XLOOKUP(A685, Matches!A:A, Matches!L:L, "NA", 0)</f>
        <v>DCW</v>
      </c>
      <c r="X685" t="str">
        <f>_xlfn.XLOOKUP(A685, Matches!A:A, Matches!J:J, "NA", 0)</f>
        <v>GGTW</v>
      </c>
      <c r="Y685" t="str">
        <f>_xlfn.XLOOKUP(A685, Matches!A:A, Matches!F:F, "NA", 0)</f>
        <v>M. Chinnaswamy Stadium</v>
      </c>
      <c r="Z685" cm="1">
        <f t="array" ref="Z685">INDEX(Innings!F:F,MATCH(1,(TRIM(Innings!A:A)=TRIM(A685))*(TRIM(Innings!D:D)=TRIM(E685)),0))</f>
        <v>163</v>
      </c>
      <c r="AA685" cm="1">
        <f t="array" ref="AA685">INDEX(Innings!I:I,MATCH(1,(TRIM(Innings!A:A)=TRIM(A685))*(TRIM(Innings!D:D)=TRIM(E685)),0))</f>
        <v>8.15</v>
      </c>
      <c r="AB685" cm="1">
        <f t="array" ref="AB685">INDEX(Innings!J:J,MATCH(1,(TRIM(Innings!A:A)=TRIM(A685))*(TRIM(Innings!D:D)=TRIM(E685)),0))</f>
        <v>51</v>
      </c>
      <c r="AC685" cm="1">
        <f t="array" ref="AC685">INDEX(Innings!N:N,MATCH(1,(TRIM(Innings!A:A)=TRIM(A685))*(TRIM(Innings!D:D)=TRIM(E685)),0))</f>
        <v>24</v>
      </c>
      <c r="AD685" cm="1">
        <f t="array" ref="AD685">INDEX(Innings!S:S,MATCH(1,(TRIM(Innings!A:A)=TRIM(A685))*(TRIM(Innings!D:D)=TRIM(E685)),0))</f>
        <v>41</v>
      </c>
      <c r="AE685" t="str" cm="1">
        <f t="array" ref="AE685">INDEX(Innings!W:W,MATCH(1,(TRIM(Innings!A:A)=TRIM(A685))*(TRIM(Innings!D:D)=TRIM(E685)),0))</f>
        <v>NA</v>
      </c>
      <c r="AF685">
        <f>IF(UPPER(TRIM(E685))=UPPER(TRIM(W685)),1,0)</f>
        <v>1</v>
      </c>
      <c r="AG685">
        <f t="shared" si="20"/>
        <v>36.799999999999997</v>
      </c>
    </row>
    <row r="686" spans="1:33" x14ac:dyDescent="0.3">
      <c r="A686" t="s">
        <v>357</v>
      </c>
      <c r="B686">
        <v>2</v>
      </c>
      <c r="C686" t="s">
        <v>194</v>
      </c>
      <c r="D686" t="s">
        <v>195</v>
      </c>
      <c r="E686" t="s">
        <v>158</v>
      </c>
      <c r="F686" t="s">
        <v>109</v>
      </c>
      <c r="G686" t="s">
        <v>92</v>
      </c>
      <c r="H686">
        <v>7</v>
      </c>
      <c r="I686">
        <v>10</v>
      </c>
      <c r="J686">
        <v>70</v>
      </c>
      <c r="K686" t="s">
        <v>246</v>
      </c>
      <c r="L686">
        <v>2.4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 s="8">
        <v>2.4</v>
      </c>
      <c r="V686" s="8">
        <f t="shared" si="21"/>
        <v>0</v>
      </c>
      <c r="W686" t="str">
        <f>_xlfn.XLOOKUP(A686, Matches!A:A, Matches!L:L, "NA", 0)</f>
        <v>DCW</v>
      </c>
      <c r="X686" t="str">
        <f>_xlfn.XLOOKUP(A686, Matches!A:A, Matches!J:J, "NA", 0)</f>
        <v>GGTW</v>
      </c>
      <c r="Y686" t="str">
        <f>_xlfn.XLOOKUP(A686, Matches!A:A, Matches!F:F, "NA", 0)</f>
        <v>M. Chinnaswamy Stadium</v>
      </c>
      <c r="Z686" cm="1">
        <f t="array" ref="Z686">INDEX(Innings!F:F,MATCH(1,(TRIM(Innings!A:A)=TRIM(A686))*(TRIM(Innings!D:D)=TRIM(E686)),0))</f>
        <v>163</v>
      </c>
      <c r="AA686" cm="1">
        <f t="array" ref="AA686">INDEX(Innings!I:I,MATCH(1,(TRIM(Innings!A:A)=TRIM(A686))*(TRIM(Innings!D:D)=TRIM(E686)),0))</f>
        <v>8.15</v>
      </c>
      <c r="AB686" cm="1">
        <f t="array" ref="AB686">INDEX(Innings!J:J,MATCH(1,(TRIM(Innings!A:A)=TRIM(A686))*(TRIM(Innings!D:D)=TRIM(E686)),0))</f>
        <v>51</v>
      </c>
      <c r="AC686" cm="1">
        <f t="array" ref="AC686">INDEX(Innings!N:N,MATCH(1,(TRIM(Innings!A:A)=TRIM(A686))*(TRIM(Innings!D:D)=TRIM(E686)),0))</f>
        <v>24</v>
      </c>
      <c r="AD686" cm="1">
        <f t="array" ref="AD686">INDEX(Innings!S:S,MATCH(1,(TRIM(Innings!A:A)=TRIM(A686))*(TRIM(Innings!D:D)=TRIM(E686)),0))</f>
        <v>41</v>
      </c>
      <c r="AE686" t="str" cm="1">
        <f t="array" ref="AE686">INDEX(Innings!W:W,MATCH(1,(TRIM(Innings!A:A)=TRIM(A686))*(TRIM(Innings!D:D)=TRIM(E686)),0))</f>
        <v>NA</v>
      </c>
      <c r="AF686">
        <f>IF(UPPER(TRIM(E686))=UPPER(TRIM(W686)),1,0)</f>
        <v>1</v>
      </c>
      <c r="AG686">
        <f t="shared" si="20"/>
        <v>21.2</v>
      </c>
    </row>
    <row r="687" spans="1:33" x14ac:dyDescent="0.3">
      <c r="A687" t="s">
        <v>357</v>
      </c>
      <c r="B687">
        <v>2</v>
      </c>
      <c r="C687" t="s">
        <v>94</v>
      </c>
      <c r="D687" t="s">
        <v>120</v>
      </c>
      <c r="E687" t="s">
        <v>158</v>
      </c>
      <c r="F687" t="s">
        <v>91</v>
      </c>
      <c r="G687" t="s">
        <v>134</v>
      </c>
      <c r="H687">
        <v>20</v>
      </c>
      <c r="I687">
        <v>12</v>
      </c>
      <c r="J687">
        <v>166.67</v>
      </c>
      <c r="K687" t="s">
        <v>246</v>
      </c>
      <c r="L687">
        <v>26.3</v>
      </c>
      <c r="M687">
        <v>3</v>
      </c>
      <c r="N687">
        <v>0</v>
      </c>
      <c r="O687">
        <v>20</v>
      </c>
      <c r="P687">
        <v>0</v>
      </c>
      <c r="Q687">
        <v>6.7</v>
      </c>
      <c r="R687">
        <v>5</v>
      </c>
      <c r="S687">
        <v>0</v>
      </c>
      <c r="T687">
        <v>0</v>
      </c>
      <c r="U687" s="8">
        <v>31.3</v>
      </c>
      <c r="V687" s="8">
        <f t="shared" si="21"/>
        <v>3</v>
      </c>
      <c r="W687" t="str">
        <f>_xlfn.XLOOKUP(A687, Matches!A:A, Matches!L:L, "NA", 0)</f>
        <v>DCW</v>
      </c>
      <c r="X687" t="str">
        <f>_xlfn.XLOOKUP(A687, Matches!A:A, Matches!J:J, "NA", 0)</f>
        <v>GGTW</v>
      </c>
      <c r="Y687" t="str">
        <f>_xlfn.XLOOKUP(A687, Matches!A:A, Matches!F:F, "NA", 0)</f>
        <v>M. Chinnaswamy Stadium</v>
      </c>
      <c r="Z687" cm="1">
        <f t="array" ref="Z687">INDEX(Innings!F:F,MATCH(1,(TRIM(Innings!A:A)=TRIM(A687))*(TRIM(Innings!D:D)=TRIM(E687)),0))</f>
        <v>163</v>
      </c>
      <c r="AA687" cm="1">
        <f t="array" ref="AA687">INDEX(Innings!I:I,MATCH(1,(TRIM(Innings!A:A)=TRIM(A687))*(TRIM(Innings!D:D)=TRIM(E687)),0))</f>
        <v>8.15</v>
      </c>
      <c r="AB687" cm="1">
        <f t="array" ref="AB687">INDEX(Innings!J:J,MATCH(1,(TRIM(Innings!A:A)=TRIM(A687))*(TRIM(Innings!D:D)=TRIM(E687)),0))</f>
        <v>51</v>
      </c>
      <c r="AC687" cm="1">
        <f t="array" ref="AC687">INDEX(Innings!N:N,MATCH(1,(TRIM(Innings!A:A)=TRIM(A687))*(TRIM(Innings!D:D)=TRIM(E687)),0))</f>
        <v>24</v>
      </c>
      <c r="AD687" cm="1">
        <f t="array" ref="AD687">INDEX(Innings!S:S,MATCH(1,(TRIM(Innings!A:A)=TRIM(A687))*(TRIM(Innings!D:D)=TRIM(E687)),0))</f>
        <v>41</v>
      </c>
      <c r="AE687" t="str" cm="1">
        <f t="array" ref="AE687">INDEX(Innings!W:W,MATCH(1,(TRIM(Innings!A:A)=TRIM(A687))*(TRIM(Innings!D:D)=TRIM(E687)),0))</f>
        <v>NA</v>
      </c>
      <c r="AF687">
        <f>IF(UPPER(TRIM(E687))=UPPER(TRIM(W687)),1,0)</f>
        <v>1</v>
      </c>
      <c r="AG687">
        <f t="shared" si="20"/>
        <v>36.549999999999997</v>
      </c>
    </row>
    <row r="688" spans="1:33" x14ac:dyDescent="0.3">
      <c r="A688" t="s">
        <v>357</v>
      </c>
      <c r="B688">
        <v>2</v>
      </c>
      <c r="C688" t="s">
        <v>198</v>
      </c>
      <c r="D688" t="s">
        <v>199</v>
      </c>
      <c r="E688" t="s">
        <v>158</v>
      </c>
      <c r="F688" t="s">
        <v>101</v>
      </c>
      <c r="G688" t="s">
        <v>134</v>
      </c>
      <c r="H688">
        <v>11</v>
      </c>
      <c r="I688">
        <v>7</v>
      </c>
      <c r="J688">
        <v>157.13999999999999</v>
      </c>
      <c r="K688" t="s">
        <v>246</v>
      </c>
      <c r="L688">
        <v>13.3</v>
      </c>
      <c r="M688">
        <v>4</v>
      </c>
      <c r="N688">
        <v>0</v>
      </c>
      <c r="O688">
        <v>22</v>
      </c>
      <c r="P688">
        <v>3</v>
      </c>
      <c r="Q688">
        <v>5.5</v>
      </c>
      <c r="R688">
        <v>48</v>
      </c>
      <c r="S688">
        <v>0</v>
      </c>
      <c r="T688">
        <v>0</v>
      </c>
      <c r="U688" s="8">
        <v>61.3</v>
      </c>
      <c r="V688" s="8">
        <f t="shared" si="21"/>
        <v>6</v>
      </c>
      <c r="W688" t="str">
        <f>_xlfn.XLOOKUP(A688, Matches!A:A, Matches!L:L, "NA", 0)</f>
        <v>DCW</v>
      </c>
      <c r="X688" t="str">
        <f>_xlfn.XLOOKUP(A688, Matches!A:A, Matches!J:J, "NA", 0)</f>
        <v>GGTW</v>
      </c>
      <c r="Y688" t="str">
        <f>_xlfn.XLOOKUP(A688, Matches!A:A, Matches!F:F, "NA", 0)</f>
        <v>M. Chinnaswamy Stadium</v>
      </c>
      <c r="Z688" cm="1">
        <f t="array" ref="Z688">INDEX(Innings!F:F,MATCH(1,(TRIM(Innings!A:A)=TRIM(A688))*(TRIM(Innings!D:D)=TRIM(E688)),0))</f>
        <v>163</v>
      </c>
      <c r="AA688" cm="1">
        <f t="array" ref="AA688">INDEX(Innings!I:I,MATCH(1,(TRIM(Innings!A:A)=TRIM(A688))*(TRIM(Innings!D:D)=TRIM(E688)),0))</f>
        <v>8.15</v>
      </c>
      <c r="AB688" cm="1">
        <f t="array" ref="AB688">INDEX(Innings!J:J,MATCH(1,(TRIM(Innings!A:A)=TRIM(A688))*(TRIM(Innings!D:D)=TRIM(E688)),0))</f>
        <v>51</v>
      </c>
      <c r="AC688" cm="1">
        <f t="array" ref="AC688">INDEX(Innings!N:N,MATCH(1,(TRIM(Innings!A:A)=TRIM(A688))*(TRIM(Innings!D:D)=TRIM(E688)),0))</f>
        <v>24</v>
      </c>
      <c r="AD688" cm="1">
        <f t="array" ref="AD688">INDEX(Innings!S:S,MATCH(1,(TRIM(Innings!A:A)=TRIM(A688))*(TRIM(Innings!D:D)=TRIM(E688)),0))</f>
        <v>41</v>
      </c>
      <c r="AE688" t="str" cm="1">
        <f t="array" ref="AE688">INDEX(Innings!W:W,MATCH(1,(TRIM(Innings!A:A)=TRIM(A688))*(TRIM(Innings!D:D)=TRIM(E688)),0))</f>
        <v>NA</v>
      </c>
      <c r="AF688">
        <f>IF(UPPER(TRIM(E688))=UPPER(TRIM(W688)),1,0)</f>
        <v>1</v>
      </c>
      <c r="AG688">
        <f t="shared" si="20"/>
        <v>52.449999999999996</v>
      </c>
    </row>
    <row r="689" spans="1:33" x14ac:dyDescent="0.3">
      <c r="A689" t="s">
        <v>357</v>
      </c>
      <c r="B689">
        <v>2</v>
      </c>
      <c r="C689" t="s">
        <v>202</v>
      </c>
      <c r="D689" t="s">
        <v>203</v>
      </c>
      <c r="E689" t="s">
        <v>158</v>
      </c>
      <c r="F689" t="s">
        <v>101</v>
      </c>
      <c r="G689" t="s">
        <v>134</v>
      </c>
      <c r="H689">
        <v>5</v>
      </c>
      <c r="I689">
        <v>9</v>
      </c>
      <c r="J689">
        <v>55.56</v>
      </c>
      <c r="K689" t="s">
        <v>246</v>
      </c>
      <c r="L689">
        <v>0.6</v>
      </c>
      <c r="M689">
        <v>3</v>
      </c>
      <c r="N689">
        <v>0</v>
      </c>
      <c r="O689">
        <v>27</v>
      </c>
      <c r="P689">
        <v>1</v>
      </c>
      <c r="Q689">
        <v>9</v>
      </c>
      <c r="R689">
        <v>18</v>
      </c>
      <c r="S689">
        <v>0</v>
      </c>
      <c r="T689">
        <v>0</v>
      </c>
      <c r="U689" s="8">
        <v>18.600000000000001</v>
      </c>
      <c r="V689" s="8">
        <f t="shared" si="21"/>
        <v>2</v>
      </c>
      <c r="W689" t="str">
        <f>_xlfn.XLOOKUP(A689, Matches!A:A, Matches!L:L, "NA", 0)</f>
        <v>DCW</v>
      </c>
      <c r="X689" t="str">
        <f>_xlfn.XLOOKUP(A689, Matches!A:A, Matches!J:J, "NA", 0)</f>
        <v>GGTW</v>
      </c>
      <c r="Y689" t="str">
        <f>_xlfn.XLOOKUP(A689, Matches!A:A, Matches!F:F, "NA", 0)</f>
        <v>M. Chinnaswamy Stadium</v>
      </c>
      <c r="Z689" cm="1">
        <f t="array" ref="Z689">INDEX(Innings!F:F,MATCH(1,(TRIM(Innings!A:A)=TRIM(A689))*(TRIM(Innings!D:D)=TRIM(E689)),0))</f>
        <v>163</v>
      </c>
      <c r="AA689" cm="1">
        <f t="array" ref="AA689">INDEX(Innings!I:I,MATCH(1,(TRIM(Innings!A:A)=TRIM(A689))*(TRIM(Innings!D:D)=TRIM(E689)),0))</f>
        <v>8.15</v>
      </c>
      <c r="AB689" cm="1">
        <f t="array" ref="AB689">INDEX(Innings!J:J,MATCH(1,(TRIM(Innings!A:A)=TRIM(A689))*(TRIM(Innings!D:D)=TRIM(E689)),0))</f>
        <v>51</v>
      </c>
      <c r="AC689" cm="1">
        <f t="array" ref="AC689">INDEX(Innings!N:N,MATCH(1,(TRIM(Innings!A:A)=TRIM(A689))*(TRIM(Innings!D:D)=TRIM(E689)),0))</f>
        <v>24</v>
      </c>
      <c r="AD689" cm="1">
        <f t="array" ref="AD689">INDEX(Innings!S:S,MATCH(1,(TRIM(Innings!A:A)=TRIM(A689))*(TRIM(Innings!D:D)=TRIM(E689)),0))</f>
        <v>41</v>
      </c>
      <c r="AE689" t="str" cm="1">
        <f t="array" ref="AE689">INDEX(Innings!W:W,MATCH(1,(TRIM(Innings!A:A)=TRIM(A689))*(TRIM(Innings!D:D)=TRIM(E689)),0))</f>
        <v>NA</v>
      </c>
      <c r="AF689">
        <f>IF(UPPER(TRIM(E689))=UPPER(TRIM(W689)),1,0)</f>
        <v>1</v>
      </c>
      <c r="AG689">
        <f t="shared" si="20"/>
        <v>29.9</v>
      </c>
    </row>
    <row r="690" spans="1:33" x14ac:dyDescent="0.3">
      <c r="A690" t="s">
        <v>357</v>
      </c>
      <c r="B690">
        <v>2</v>
      </c>
      <c r="C690" t="s">
        <v>206</v>
      </c>
      <c r="D690" t="s">
        <v>207</v>
      </c>
      <c r="E690" t="s">
        <v>158</v>
      </c>
      <c r="F690" t="s">
        <v>101</v>
      </c>
      <c r="G690" t="s">
        <v>134</v>
      </c>
      <c r="H690">
        <v>5</v>
      </c>
      <c r="I690">
        <v>7</v>
      </c>
      <c r="J690">
        <v>71.430000000000007</v>
      </c>
      <c r="K690" t="s">
        <v>247</v>
      </c>
      <c r="L690">
        <v>2.8</v>
      </c>
      <c r="M690">
        <v>4</v>
      </c>
      <c r="N690">
        <v>0</v>
      </c>
      <c r="O690">
        <v>20</v>
      </c>
      <c r="P690">
        <v>3</v>
      </c>
      <c r="Q690">
        <v>5</v>
      </c>
      <c r="R690">
        <v>55</v>
      </c>
      <c r="S690">
        <v>0</v>
      </c>
      <c r="T690">
        <v>0</v>
      </c>
      <c r="U690" s="8">
        <v>57.8</v>
      </c>
      <c r="V690" s="8">
        <f t="shared" si="21"/>
        <v>6</v>
      </c>
      <c r="W690" t="str">
        <f>_xlfn.XLOOKUP(A690, Matches!A:A, Matches!L:L, "NA", 0)</f>
        <v>DCW</v>
      </c>
      <c r="X690" t="str">
        <f>_xlfn.XLOOKUP(A690, Matches!A:A, Matches!J:J, "NA", 0)</f>
        <v>GGTW</v>
      </c>
      <c r="Y690" t="str">
        <f>_xlfn.XLOOKUP(A690, Matches!A:A, Matches!F:F, "NA", 0)</f>
        <v>M. Chinnaswamy Stadium</v>
      </c>
      <c r="Z690" cm="1">
        <f t="array" ref="Z690">INDEX(Innings!F:F,MATCH(1,(TRIM(Innings!A:A)=TRIM(A690))*(TRIM(Innings!D:D)=TRIM(E690)),0))</f>
        <v>163</v>
      </c>
      <c r="AA690" cm="1">
        <f t="array" ref="AA690">INDEX(Innings!I:I,MATCH(1,(TRIM(Innings!A:A)=TRIM(A690))*(TRIM(Innings!D:D)=TRIM(E690)),0))</f>
        <v>8.15</v>
      </c>
      <c r="AB690" cm="1">
        <f t="array" ref="AB690">INDEX(Innings!J:J,MATCH(1,(TRIM(Innings!A:A)=TRIM(A690))*(TRIM(Innings!D:D)=TRIM(E690)),0))</f>
        <v>51</v>
      </c>
      <c r="AC690" cm="1">
        <f t="array" ref="AC690">INDEX(Innings!N:N,MATCH(1,(TRIM(Innings!A:A)=TRIM(A690))*(TRIM(Innings!D:D)=TRIM(E690)),0))</f>
        <v>24</v>
      </c>
      <c r="AD690" cm="1">
        <f t="array" ref="AD690">INDEX(Innings!S:S,MATCH(1,(TRIM(Innings!A:A)=TRIM(A690))*(TRIM(Innings!D:D)=TRIM(E690)),0))</f>
        <v>41</v>
      </c>
      <c r="AE690" t="str" cm="1">
        <f t="array" ref="AE690">INDEX(Innings!W:W,MATCH(1,(TRIM(Innings!A:A)=TRIM(A690))*(TRIM(Innings!D:D)=TRIM(E690)),0))</f>
        <v>NA</v>
      </c>
      <c r="AF690">
        <f>IF(UPPER(TRIM(E690))=UPPER(TRIM(W690)),1,0)</f>
        <v>1</v>
      </c>
      <c r="AG690">
        <f t="shared" si="20"/>
        <v>50.7</v>
      </c>
    </row>
    <row r="691" spans="1:33" x14ac:dyDescent="0.3">
      <c r="A691" t="s">
        <v>357</v>
      </c>
      <c r="B691">
        <v>2</v>
      </c>
      <c r="C691" t="s">
        <v>204</v>
      </c>
      <c r="D691" t="s">
        <v>205</v>
      </c>
      <c r="E691" t="s">
        <v>158</v>
      </c>
      <c r="F691" t="s">
        <v>91</v>
      </c>
      <c r="G691" t="s">
        <v>134</v>
      </c>
      <c r="H691">
        <v>14</v>
      </c>
      <c r="I691">
        <v>8</v>
      </c>
      <c r="J691">
        <v>175</v>
      </c>
      <c r="K691" t="s">
        <v>96</v>
      </c>
      <c r="L691">
        <v>23</v>
      </c>
      <c r="M691">
        <v>4</v>
      </c>
      <c r="N691">
        <v>1</v>
      </c>
      <c r="O691">
        <v>28</v>
      </c>
      <c r="P691">
        <v>1</v>
      </c>
      <c r="Q691">
        <v>7</v>
      </c>
      <c r="R691">
        <v>18</v>
      </c>
      <c r="S691">
        <v>0</v>
      </c>
      <c r="T691">
        <v>0</v>
      </c>
      <c r="U691" s="8">
        <v>41</v>
      </c>
      <c r="V691" s="8">
        <f t="shared" si="21"/>
        <v>4</v>
      </c>
      <c r="W691" t="str">
        <f>_xlfn.XLOOKUP(A691, Matches!A:A, Matches!L:L, "NA", 0)</f>
        <v>DCW</v>
      </c>
      <c r="X691" t="str">
        <f>_xlfn.XLOOKUP(A691, Matches!A:A, Matches!J:J, "NA", 0)</f>
        <v>GGTW</v>
      </c>
      <c r="Y691" t="str">
        <f>_xlfn.XLOOKUP(A691, Matches!A:A, Matches!F:F, "NA", 0)</f>
        <v>M. Chinnaswamy Stadium</v>
      </c>
      <c r="Z691" cm="1">
        <f t="array" ref="Z691">INDEX(Innings!F:F,MATCH(1,(TRIM(Innings!A:A)=TRIM(A691))*(TRIM(Innings!D:D)=TRIM(E691)),0))</f>
        <v>163</v>
      </c>
      <c r="AA691" cm="1">
        <f t="array" ref="AA691">INDEX(Innings!I:I,MATCH(1,(TRIM(Innings!A:A)=TRIM(A691))*(TRIM(Innings!D:D)=TRIM(E691)),0))</f>
        <v>8.15</v>
      </c>
      <c r="AB691" cm="1">
        <f t="array" ref="AB691">INDEX(Innings!J:J,MATCH(1,(TRIM(Innings!A:A)=TRIM(A691))*(TRIM(Innings!D:D)=TRIM(E691)),0))</f>
        <v>51</v>
      </c>
      <c r="AC691" cm="1">
        <f t="array" ref="AC691">INDEX(Innings!N:N,MATCH(1,(TRIM(Innings!A:A)=TRIM(A691))*(TRIM(Innings!D:D)=TRIM(E691)),0))</f>
        <v>24</v>
      </c>
      <c r="AD691" cm="1">
        <f t="array" ref="AD691">INDEX(Innings!S:S,MATCH(1,(TRIM(Innings!A:A)=TRIM(A691))*(TRIM(Innings!D:D)=TRIM(E691)),0))</f>
        <v>41</v>
      </c>
      <c r="AE691" t="str" cm="1">
        <f t="array" ref="AE691">INDEX(Innings!W:W,MATCH(1,(TRIM(Innings!A:A)=TRIM(A691))*(TRIM(Innings!D:D)=TRIM(E691)),0))</f>
        <v>NA</v>
      </c>
      <c r="AF691">
        <f>IF(UPPER(TRIM(E691))=UPPER(TRIM(W691)),1,0)</f>
        <v>1</v>
      </c>
      <c r="AG691">
        <f t="shared" si="20"/>
        <v>41.7</v>
      </c>
    </row>
    <row r="692" spans="1:33" x14ac:dyDescent="0.3">
      <c r="A692" t="s">
        <v>357</v>
      </c>
      <c r="B692">
        <v>2</v>
      </c>
      <c r="C692" t="s">
        <v>200</v>
      </c>
      <c r="D692" t="s">
        <v>201</v>
      </c>
      <c r="E692" t="s">
        <v>158</v>
      </c>
      <c r="F692" t="s">
        <v>85</v>
      </c>
      <c r="G692" t="s">
        <v>104</v>
      </c>
      <c r="H692">
        <v>0</v>
      </c>
      <c r="I692">
        <v>0</v>
      </c>
      <c r="J692">
        <v>0</v>
      </c>
      <c r="K692" t="s">
        <v>104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 s="8">
        <v>0</v>
      </c>
      <c r="V692" s="8">
        <f t="shared" si="21"/>
        <v>0</v>
      </c>
      <c r="W692" t="str">
        <f>_xlfn.XLOOKUP(A692, Matches!A:A, Matches!L:L, "NA", 0)</f>
        <v>DCW</v>
      </c>
      <c r="X692" t="str">
        <f>_xlfn.XLOOKUP(A692, Matches!A:A, Matches!J:J, "NA", 0)</f>
        <v>GGTW</v>
      </c>
      <c r="Y692" t="str">
        <f>_xlfn.XLOOKUP(A692, Matches!A:A, Matches!F:F, "NA", 0)</f>
        <v>M. Chinnaswamy Stadium</v>
      </c>
      <c r="Z692" cm="1">
        <f t="array" ref="Z692">INDEX(Innings!F:F,MATCH(1,(TRIM(Innings!A:A)=TRIM(A692))*(TRIM(Innings!D:D)=TRIM(E692)),0))</f>
        <v>163</v>
      </c>
      <c r="AA692" cm="1">
        <f t="array" ref="AA692">INDEX(Innings!I:I,MATCH(1,(TRIM(Innings!A:A)=TRIM(A692))*(TRIM(Innings!D:D)=TRIM(E692)),0))</f>
        <v>8.15</v>
      </c>
      <c r="AB692" cm="1">
        <f t="array" ref="AB692">INDEX(Innings!J:J,MATCH(1,(TRIM(Innings!A:A)=TRIM(A692))*(TRIM(Innings!D:D)=TRIM(E692)),0))</f>
        <v>51</v>
      </c>
      <c r="AC692" cm="1">
        <f t="array" ref="AC692">INDEX(Innings!N:N,MATCH(1,(TRIM(Innings!A:A)=TRIM(A692))*(TRIM(Innings!D:D)=TRIM(E692)),0))</f>
        <v>24</v>
      </c>
      <c r="AD692" cm="1">
        <f t="array" ref="AD692">INDEX(Innings!S:S,MATCH(1,(TRIM(Innings!A:A)=TRIM(A692))*(TRIM(Innings!D:D)=TRIM(E692)),0))</f>
        <v>41</v>
      </c>
      <c r="AE692" t="str" cm="1">
        <f t="array" ref="AE692">INDEX(Innings!W:W,MATCH(1,(TRIM(Innings!A:A)=TRIM(A692))*(TRIM(Innings!D:D)=TRIM(E692)),0))</f>
        <v>NA</v>
      </c>
      <c r="AF692">
        <f>IF(UPPER(TRIM(E692))=UPPER(TRIM(W692)),1,0)</f>
        <v>1</v>
      </c>
      <c r="AG692">
        <f t="shared" si="20"/>
        <v>20</v>
      </c>
    </row>
    <row r="693" spans="1:33" x14ac:dyDescent="0.3">
      <c r="A693" t="s">
        <v>357</v>
      </c>
      <c r="B693">
        <v>2</v>
      </c>
      <c r="C693" t="s">
        <v>413</v>
      </c>
      <c r="D693" t="s">
        <v>423</v>
      </c>
      <c r="E693" t="s">
        <v>158</v>
      </c>
      <c r="F693" t="s">
        <v>101</v>
      </c>
      <c r="G693" t="s">
        <v>104</v>
      </c>
      <c r="H693">
        <v>0</v>
      </c>
      <c r="I693">
        <v>0</v>
      </c>
      <c r="J693">
        <v>0</v>
      </c>
      <c r="K693" t="s">
        <v>104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 s="8">
        <v>0</v>
      </c>
      <c r="V693" s="8">
        <f t="shared" si="21"/>
        <v>0</v>
      </c>
      <c r="W693" t="str">
        <f>_xlfn.XLOOKUP(A693, Matches!A:A, Matches!L:L, "NA", 0)</f>
        <v>DCW</v>
      </c>
      <c r="X693" t="str">
        <f>_xlfn.XLOOKUP(A693, Matches!A:A, Matches!J:J, "NA", 0)</f>
        <v>GGTW</v>
      </c>
      <c r="Y693" t="str">
        <f>_xlfn.XLOOKUP(A693, Matches!A:A, Matches!F:F, "NA", 0)</f>
        <v>M. Chinnaswamy Stadium</v>
      </c>
      <c r="Z693" cm="1">
        <f t="array" ref="Z693">INDEX(Innings!F:F,MATCH(1,(TRIM(Innings!A:A)=TRIM(A693))*(TRIM(Innings!D:D)=TRIM(E693)),0))</f>
        <v>163</v>
      </c>
      <c r="AA693" cm="1">
        <f t="array" ref="AA693">INDEX(Innings!I:I,MATCH(1,(TRIM(Innings!A:A)=TRIM(A693))*(TRIM(Innings!D:D)=TRIM(E693)),0))</f>
        <v>8.15</v>
      </c>
      <c r="AB693" cm="1">
        <f t="array" ref="AB693">INDEX(Innings!J:J,MATCH(1,(TRIM(Innings!A:A)=TRIM(A693))*(TRIM(Innings!D:D)=TRIM(E693)),0))</f>
        <v>51</v>
      </c>
      <c r="AC693" cm="1">
        <f t="array" ref="AC693">INDEX(Innings!N:N,MATCH(1,(TRIM(Innings!A:A)=TRIM(A693))*(TRIM(Innings!D:D)=TRIM(E693)),0))</f>
        <v>24</v>
      </c>
      <c r="AD693" cm="1">
        <f t="array" ref="AD693">INDEX(Innings!S:S,MATCH(1,(TRIM(Innings!A:A)=TRIM(A693))*(TRIM(Innings!D:D)=TRIM(E693)),0))</f>
        <v>41</v>
      </c>
      <c r="AE693" t="str" cm="1">
        <f t="array" ref="AE693">INDEX(Innings!W:W,MATCH(1,(TRIM(Innings!A:A)=TRIM(A693))*(TRIM(Innings!D:D)=TRIM(E693)),0))</f>
        <v>NA</v>
      </c>
      <c r="AF693">
        <f>IF(UPPER(TRIM(E693))=UPPER(TRIM(W693)),1,0)</f>
        <v>1</v>
      </c>
      <c r="AG693">
        <f t="shared" si="20"/>
        <v>20</v>
      </c>
    </row>
    <row r="694" spans="1:33" x14ac:dyDescent="0.3">
      <c r="A694" t="s">
        <v>357</v>
      </c>
      <c r="B694">
        <v>2</v>
      </c>
      <c r="C694" t="s">
        <v>81</v>
      </c>
      <c r="D694" t="s">
        <v>114</v>
      </c>
      <c r="E694" t="s">
        <v>258</v>
      </c>
      <c r="F694" t="s">
        <v>85</v>
      </c>
      <c r="G694" t="s">
        <v>86</v>
      </c>
      <c r="H694">
        <v>12</v>
      </c>
      <c r="I694">
        <v>14</v>
      </c>
      <c r="J694">
        <v>85.71</v>
      </c>
      <c r="K694" t="s">
        <v>247</v>
      </c>
      <c r="L694">
        <v>8.6999999999999993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 s="8">
        <v>8.6999999999999993</v>
      </c>
      <c r="V694" s="8">
        <f t="shared" si="21"/>
        <v>1</v>
      </c>
      <c r="W694" t="str">
        <f>_xlfn.XLOOKUP(A694, Matches!A:A, Matches!L:L, "NA", 0)</f>
        <v>DCW</v>
      </c>
      <c r="X694" t="str">
        <f>_xlfn.XLOOKUP(A694, Matches!A:A, Matches!J:J, "NA", 0)</f>
        <v>GGTW</v>
      </c>
      <c r="Y694" t="str">
        <f>_xlfn.XLOOKUP(A694, Matches!A:A, Matches!F:F, "NA", 0)</f>
        <v>M. Chinnaswamy Stadium</v>
      </c>
      <c r="Z694" cm="1">
        <f t="array" ref="Z694">INDEX(Innings!F:F,MATCH(1,(TRIM(Innings!A:A)=TRIM(A694))*(TRIM(Innings!D:D)=TRIM(E694)),0))</f>
        <v>138</v>
      </c>
      <c r="AA694" cm="1">
        <f t="array" ref="AA694">INDEX(Innings!I:I,MATCH(1,(TRIM(Innings!A:A)=TRIM(A694))*(TRIM(Innings!D:D)=TRIM(E694)),0))</f>
        <v>6.9</v>
      </c>
      <c r="AB694" cm="1">
        <f t="array" ref="AB694">INDEX(Innings!J:J,MATCH(1,(TRIM(Innings!A:A)=TRIM(A694))*(TRIM(Innings!D:D)=TRIM(E694)),0))</f>
        <v>41</v>
      </c>
      <c r="AC694" cm="1">
        <f t="array" ref="AC694">INDEX(Innings!N:N,MATCH(1,(TRIM(Innings!A:A)=TRIM(A694))*(TRIM(Innings!D:D)=TRIM(E694)),0))</f>
        <v>25</v>
      </c>
      <c r="AD694" cm="1">
        <f t="array" ref="AD694">INDEX(Innings!S:S,MATCH(1,(TRIM(Innings!A:A)=TRIM(A694))*(TRIM(Innings!D:D)=TRIM(E694)),0))</f>
        <v>40</v>
      </c>
      <c r="AE694" t="str" cm="1">
        <f t="array" ref="AE694">INDEX(Innings!W:W,MATCH(1,(TRIM(Innings!A:A)=TRIM(A694))*(TRIM(Innings!D:D)=TRIM(E694)),0))</f>
        <v>Failed</v>
      </c>
      <c r="AF694">
        <f>IF(UPPER(TRIM(E694))=UPPER(TRIM(W694)),1,0)</f>
        <v>0</v>
      </c>
      <c r="AG694">
        <f t="shared" si="20"/>
        <v>4.6499999999999995</v>
      </c>
    </row>
    <row r="695" spans="1:33" x14ac:dyDescent="0.3">
      <c r="A695" t="s">
        <v>357</v>
      </c>
      <c r="B695">
        <v>2</v>
      </c>
      <c r="C695" t="s">
        <v>278</v>
      </c>
      <c r="D695" t="s">
        <v>293</v>
      </c>
      <c r="E695" t="s">
        <v>258</v>
      </c>
      <c r="F695" t="s">
        <v>109</v>
      </c>
      <c r="G695" t="s">
        <v>86</v>
      </c>
      <c r="H695">
        <v>0</v>
      </c>
      <c r="I695">
        <v>3</v>
      </c>
      <c r="J695">
        <v>0</v>
      </c>
      <c r="K695" t="s">
        <v>245</v>
      </c>
      <c r="L695">
        <v>-5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 s="8">
        <v>-5</v>
      </c>
      <c r="V695" s="8">
        <f t="shared" si="21"/>
        <v>0</v>
      </c>
      <c r="W695" t="str">
        <f>_xlfn.XLOOKUP(A695, Matches!A:A, Matches!L:L, "NA", 0)</f>
        <v>DCW</v>
      </c>
      <c r="X695" t="str">
        <f>_xlfn.XLOOKUP(A695, Matches!A:A, Matches!J:J, "NA", 0)</f>
        <v>GGTW</v>
      </c>
      <c r="Y695" t="str">
        <f>_xlfn.XLOOKUP(A695, Matches!A:A, Matches!F:F, "NA", 0)</f>
        <v>M. Chinnaswamy Stadium</v>
      </c>
      <c r="Z695" cm="1">
        <f t="array" ref="Z695">INDEX(Innings!F:F,MATCH(1,(TRIM(Innings!A:A)=TRIM(A695))*(TRIM(Innings!D:D)=TRIM(E695)),0))</f>
        <v>138</v>
      </c>
      <c r="AA695" cm="1">
        <f t="array" ref="AA695">INDEX(Innings!I:I,MATCH(1,(TRIM(Innings!A:A)=TRIM(A695))*(TRIM(Innings!D:D)=TRIM(E695)),0))</f>
        <v>6.9</v>
      </c>
      <c r="AB695" cm="1">
        <f t="array" ref="AB695">INDEX(Innings!J:J,MATCH(1,(TRIM(Innings!A:A)=TRIM(A695))*(TRIM(Innings!D:D)=TRIM(E695)),0))</f>
        <v>41</v>
      </c>
      <c r="AC695" cm="1">
        <f t="array" ref="AC695">INDEX(Innings!N:N,MATCH(1,(TRIM(Innings!A:A)=TRIM(A695))*(TRIM(Innings!D:D)=TRIM(E695)),0))</f>
        <v>25</v>
      </c>
      <c r="AD695" cm="1">
        <f t="array" ref="AD695">INDEX(Innings!S:S,MATCH(1,(TRIM(Innings!A:A)=TRIM(A695))*(TRIM(Innings!D:D)=TRIM(E695)),0))</f>
        <v>40</v>
      </c>
      <c r="AE695" t="str" cm="1">
        <f t="array" ref="AE695">INDEX(Innings!W:W,MATCH(1,(TRIM(Innings!A:A)=TRIM(A695))*(TRIM(Innings!D:D)=TRIM(E695)),0))</f>
        <v>Failed</v>
      </c>
      <c r="AF695">
        <f>IF(UPPER(TRIM(E695))=UPPER(TRIM(W695)),1,0)</f>
        <v>0</v>
      </c>
      <c r="AG695">
        <f t="shared" si="20"/>
        <v>0</v>
      </c>
    </row>
    <row r="696" spans="1:33" x14ac:dyDescent="0.3">
      <c r="A696" t="s">
        <v>357</v>
      </c>
      <c r="B696">
        <v>2</v>
      </c>
      <c r="C696" t="s">
        <v>383</v>
      </c>
      <c r="D696" t="s">
        <v>384</v>
      </c>
      <c r="E696" t="s">
        <v>258</v>
      </c>
      <c r="F696" t="s">
        <v>109</v>
      </c>
      <c r="G696" t="s">
        <v>92</v>
      </c>
      <c r="H696">
        <v>15</v>
      </c>
      <c r="I696">
        <v>10</v>
      </c>
      <c r="J696">
        <v>150</v>
      </c>
      <c r="K696" t="s">
        <v>246</v>
      </c>
      <c r="L696">
        <v>19.5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 s="8">
        <v>19.5</v>
      </c>
      <c r="V696" s="8">
        <f t="shared" si="21"/>
        <v>2</v>
      </c>
      <c r="W696" t="str">
        <f>_xlfn.XLOOKUP(A696, Matches!A:A, Matches!L:L, "NA", 0)</f>
        <v>DCW</v>
      </c>
      <c r="X696" t="str">
        <f>_xlfn.XLOOKUP(A696, Matches!A:A, Matches!J:J, "NA", 0)</f>
        <v>GGTW</v>
      </c>
      <c r="Y696" t="str">
        <f>_xlfn.XLOOKUP(A696, Matches!A:A, Matches!F:F, "NA", 0)</f>
        <v>M. Chinnaswamy Stadium</v>
      </c>
      <c r="Z696" cm="1">
        <f t="array" ref="Z696">INDEX(Innings!F:F,MATCH(1,(TRIM(Innings!A:A)=TRIM(A696))*(TRIM(Innings!D:D)=TRIM(E696)),0))</f>
        <v>138</v>
      </c>
      <c r="AA696" cm="1">
        <f t="array" ref="AA696">INDEX(Innings!I:I,MATCH(1,(TRIM(Innings!A:A)=TRIM(A696))*(TRIM(Innings!D:D)=TRIM(E696)),0))</f>
        <v>6.9</v>
      </c>
      <c r="AB696" cm="1">
        <f t="array" ref="AB696">INDEX(Innings!J:J,MATCH(1,(TRIM(Innings!A:A)=TRIM(A696))*(TRIM(Innings!D:D)=TRIM(E696)),0))</f>
        <v>41</v>
      </c>
      <c r="AC696" cm="1">
        <f t="array" ref="AC696">INDEX(Innings!N:N,MATCH(1,(TRIM(Innings!A:A)=TRIM(A696))*(TRIM(Innings!D:D)=TRIM(E696)),0))</f>
        <v>25</v>
      </c>
      <c r="AD696" cm="1">
        <f t="array" ref="AD696">INDEX(Innings!S:S,MATCH(1,(TRIM(Innings!A:A)=TRIM(A696))*(TRIM(Innings!D:D)=TRIM(E696)),0))</f>
        <v>40</v>
      </c>
      <c r="AE696" t="str" cm="1">
        <f t="array" ref="AE696">INDEX(Innings!W:W,MATCH(1,(TRIM(Innings!A:A)=TRIM(A696))*(TRIM(Innings!D:D)=TRIM(E696)),0))</f>
        <v>Failed</v>
      </c>
      <c r="AF696">
        <f>IF(UPPER(TRIM(E696))=UPPER(TRIM(W696)),1,0)</f>
        <v>0</v>
      </c>
      <c r="AG696">
        <f t="shared" si="20"/>
        <v>10.35</v>
      </c>
    </row>
    <row r="697" spans="1:33" x14ac:dyDescent="0.3">
      <c r="A697" t="s">
        <v>357</v>
      </c>
      <c r="B697">
        <v>2</v>
      </c>
      <c r="C697" t="s">
        <v>408</v>
      </c>
      <c r="D697" t="s">
        <v>382</v>
      </c>
      <c r="E697" t="s">
        <v>258</v>
      </c>
      <c r="F697" t="s">
        <v>109</v>
      </c>
      <c r="G697" t="s">
        <v>92</v>
      </c>
      <c r="H697">
        <v>12</v>
      </c>
      <c r="I697">
        <v>13</v>
      </c>
      <c r="J697">
        <v>92.31</v>
      </c>
      <c r="K697" t="s">
        <v>246</v>
      </c>
      <c r="L697">
        <v>7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 s="8">
        <v>7</v>
      </c>
      <c r="V697" s="8">
        <f t="shared" si="21"/>
        <v>1</v>
      </c>
      <c r="W697" t="str">
        <f>_xlfn.XLOOKUP(A697, Matches!A:A, Matches!L:L, "NA", 0)</f>
        <v>DCW</v>
      </c>
      <c r="X697" t="str">
        <f>_xlfn.XLOOKUP(A697, Matches!A:A, Matches!J:J, "NA", 0)</f>
        <v>GGTW</v>
      </c>
      <c r="Y697" t="str">
        <f>_xlfn.XLOOKUP(A697, Matches!A:A, Matches!F:F, "NA", 0)</f>
        <v>M. Chinnaswamy Stadium</v>
      </c>
      <c r="Z697" cm="1">
        <f t="array" ref="Z697">INDEX(Innings!F:F,MATCH(1,(TRIM(Innings!A:A)=TRIM(A697))*(TRIM(Innings!D:D)=TRIM(E697)),0))</f>
        <v>138</v>
      </c>
      <c r="AA697" cm="1">
        <f t="array" ref="AA697">INDEX(Innings!I:I,MATCH(1,(TRIM(Innings!A:A)=TRIM(A697))*(TRIM(Innings!D:D)=TRIM(E697)),0))</f>
        <v>6.9</v>
      </c>
      <c r="AB697" cm="1">
        <f t="array" ref="AB697">INDEX(Innings!J:J,MATCH(1,(TRIM(Innings!A:A)=TRIM(A697))*(TRIM(Innings!D:D)=TRIM(E697)),0))</f>
        <v>41</v>
      </c>
      <c r="AC697" cm="1">
        <f t="array" ref="AC697">INDEX(Innings!N:N,MATCH(1,(TRIM(Innings!A:A)=TRIM(A697))*(TRIM(Innings!D:D)=TRIM(E697)),0))</f>
        <v>25</v>
      </c>
      <c r="AD697" cm="1">
        <f t="array" ref="AD697">INDEX(Innings!S:S,MATCH(1,(TRIM(Innings!A:A)=TRIM(A697))*(TRIM(Innings!D:D)=TRIM(E697)),0))</f>
        <v>40</v>
      </c>
      <c r="AE697" t="str" cm="1">
        <f t="array" ref="AE697">INDEX(Innings!W:W,MATCH(1,(TRIM(Innings!A:A)=TRIM(A697))*(TRIM(Innings!D:D)=TRIM(E697)),0))</f>
        <v>Failed</v>
      </c>
      <c r="AF697">
        <f>IF(UPPER(TRIM(E697))=UPPER(TRIM(W697)),1,0)</f>
        <v>0</v>
      </c>
      <c r="AG697">
        <f t="shared" si="20"/>
        <v>3.8</v>
      </c>
    </row>
    <row r="698" spans="1:33" x14ac:dyDescent="0.3">
      <c r="A698" t="s">
        <v>357</v>
      </c>
      <c r="B698">
        <v>2</v>
      </c>
      <c r="C698" t="s">
        <v>93</v>
      </c>
      <c r="D698" t="s">
        <v>118</v>
      </c>
      <c r="E698" t="s">
        <v>258</v>
      </c>
      <c r="F698" t="s">
        <v>83</v>
      </c>
      <c r="G698" t="s">
        <v>134</v>
      </c>
      <c r="H698">
        <v>40</v>
      </c>
      <c r="I698">
        <v>31</v>
      </c>
      <c r="J698">
        <v>129.03</v>
      </c>
      <c r="K698" t="s">
        <v>248</v>
      </c>
      <c r="L698">
        <v>33.799999999999997</v>
      </c>
      <c r="M698">
        <v>4</v>
      </c>
      <c r="N698">
        <v>0</v>
      </c>
      <c r="O698">
        <v>37</v>
      </c>
      <c r="P698">
        <v>2</v>
      </c>
      <c r="Q698">
        <v>9.1999999999999993</v>
      </c>
      <c r="R698">
        <v>28</v>
      </c>
      <c r="S698">
        <v>0</v>
      </c>
      <c r="T698">
        <v>0</v>
      </c>
      <c r="U698" s="8">
        <v>73.8</v>
      </c>
      <c r="V698" s="8">
        <f t="shared" si="21"/>
        <v>7</v>
      </c>
      <c r="W698" t="str">
        <f>_xlfn.XLOOKUP(A698, Matches!A:A, Matches!L:L, "NA", 0)</f>
        <v>DCW</v>
      </c>
      <c r="X698" t="str">
        <f>_xlfn.XLOOKUP(A698, Matches!A:A, Matches!J:J, "NA", 0)</f>
        <v>GGTW</v>
      </c>
      <c r="Y698" t="str">
        <f>_xlfn.XLOOKUP(A698, Matches!A:A, Matches!F:F, "NA", 0)</f>
        <v>M. Chinnaswamy Stadium</v>
      </c>
      <c r="Z698" cm="1">
        <f t="array" ref="Z698">INDEX(Innings!F:F,MATCH(1,(TRIM(Innings!A:A)=TRIM(A698))*(TRIM(Innings!D:D)=TRIM(E698)),0))</f>
        <v>138</v>
      </c>
      <c r="AA698" cm="1">
        <f t="array" ref="AA698">INDEX(Innings!I:I,MATCH(1,(TRIM(Innings!A:A)=TRIM(A698))*(TRIM(Innings!D:D)=TRIM(E698)),0))</f>
        <v>6.9</v>
      </c>
      <c r="AB698" cm="1">
        <f t="array" ref="AB698">INDEX(Innings!J:J,MATCH(1,(TRIM(Innings!A:A)=TRIM(A698))*(TRIM(Innings!D:D)=TRIM(E698)),0))</f>
        <v>41</v>
      </c>
      <c r="AC698" cm="1">
        <f t="array" ref="AC698">INDEX(Innings!N:N,MATCH(1,(TRIM(Innings!A:A)=TRIM(A698))*(TRIM(Innings!D:D)=TRIM(E698)),0))</f>
        <v>25</v>
      </c>
      <c r="AD698" cm="1">
        <f t="array" ref="AD698">INDEX(Innings!S:S,MATCH(1,(TRIM(Innings!A:A)=TRIM(A698))*(TRIM(Innings!D:D)=TRIM(E698)),0))</f>
        <v>40</v>
      </c>
      <c r="AE698" t="str" cm="1">
        <f t="array" ref="AE698">INDEX(Innings!W:W,MATCH(1,(TRIM(Innings!A:A)=TRIM(A698))*(TRIM(Innings!D:D)=TRIM(E698)),0))</f>
        <v>Failed</v>
      </c>
      <c r="AF698">
        <f>IF(UPPER(TRIM(E698))=UPPER(TRIM(W698)),1,0)</f>
        <v>0</v>
      </c>
      <c r="AG698">
        <f t="shared" si="20"/>
        <v>39</v>
      </c>
    </row>
    <row r="699" spans="1:33" x14ac:dyDescent="0.3">
      <c r="A699" t="s">
        <v>357</v>
      </c>
      <c r="B699">
        <v>2</v>
      </c>
      <c r="C699" t="s">
        <v>385</v>
      </c>
      <c r="D699" t="s">
        <v>386</v>
      </c>
      <c r="E699" t="s">
        <v>258</v>
      </c>
      <c r="F699" t="s">
        <v>91</v>
      </c>
      <c r="G699" t="s">
        <v>134</v>
      </c>
      <c r="H699">
        <v>3</v>
      </c>
      <c r="I699">
        <v>6</v>
      </c>
      <c r="J699">
        <v>50</v>
      </c>
      <c r="K699" t="s">
        <v>247</v>
      </c>
      <c r="L699">
        <v>-1.4</v>
      </c>
      <c r="M699">
        <v>4</v>
      </c>
      <c r="N699">
        <v>0</v>
      </c>
      <c r="O699">
        <v>32</v>
      </c>
      <c r="P699">
        <v>0</v>
      </c>
      <c r="Q699">
        <v>8</v>
      </c>
      <c r="R699">
        <v>5</v>
      </c>
      <c r="S699">
        <v>0</v>
      </c>
      <c r="T699">
        <v>0</v>
      </c>
      <c r="U699" s="8">
        <v>3.6</v>
      </c>
      <c r="V699" s="8">
        <f t="shared" si="21"/>
        <v>0</v>
      </c>
      <c r="W699" t="str">
        <f>_xlfn.XLOOKUP(A699, Matches!A:A, Matches!L:L, "NA", 0)</f>
        <v>DCW</v>
      </c>
      <c r="X699" t="str">
        <f>_xlfn.XLOOKUP(A699, Matches!A:A, Matches!J:J, "NA", 0)</f>
        <v>GGTW</v>
      </c>
      <c r="Y699" t="str">
        <f>_xlfn.XLOOKUP(A699, Matches!A:A, Matches!F:F, "NA", 0)</f>
        <v>M. Chinnaswamy Stadium</v>
      </c>
      <c r="Z699" cm="1">
        <f t="array" ref="Z699">INDEX(Innings!F:F,MATCH(1,(TRIM(Innings!A:A)=TRIM(A699))*(TRIM(Innings!D:D)=TRIM(E699)),0))</f>
        <v>138</v>
      </c>
      <c r="AA699" cm="1">
        <f t="array" ref="AA699">INDEX(Innings!I:I,MATCH(1,(TRIM(Innings!A:A)=TRIM(A699))*(TRIM(Innings!D:D)=TRIM(E699)),0))</f>
        <v>6.9</v>
      </c>
      <c r="AB699" cm="1">
        <f t="array" ref="AB699">INDEX(Innings!J:J,MATCH(1,(TRIM(Innings!A:A)=TRIM(A699))*(TRIM(Innings!D:D)=TRIM(E699)),0))</f>
        <v>41</v>
      </c>
      <c r="AC699" cm="1">
        <f t="array" ref="AC699">INDEX(Innings!N:N,MATCH(1,(TRIM(Innings!A:A)=TRIM(A699))*(TRIM(Innings!D:D)=TRIM(E699)),0))</f>
        <v>25</v>
      </c>
      <c r="AD699" cm="1">
        <f t="array" ref="AD699">INDEX(Innings!S:S,MATCH(1,(TRIM(Innings!A:A)=TRIM(A699))*(TRIM(Innings!D:D)=TRIM(E699)),0))</f>
        <v>40</v>
      </c>
      <c r="AE699" t="str" cm="1">
        <f t="array" ref="AE699">INDEX(Innings!W:W,MATCH(1,(TRIM(Innings!A:A)=TRIM(A699))*(TRIM(Innings!D:D)=TRIM(E699)),0))</f>
        <v>Failed</v>
      </c>
      <c r="AF699">
        <f>IF(UPPER(TRIM(E699))=UPPER(TRIM(W699)),1,0)</f>
        <v>0</v>
      </c>
      <c r="AG699">
        <f t="shared" si="20"/>
        <v>1.8</v>
      </c>
    </row>
    <row r="700" spans="1:33" x14ac:dyDescent="0.3">
      <c r="A700" t="s">
        <v>357</v>
      </c>
      <c r="B700">
        <v>2</v>
      </c>
      <c r="C700" t="s">
        <v>105</v>
      </c>
      <c r="D700" t="s">
        <v>128</v>
      </c>
      <c r="E700" t="s">
        <v>258</v>
      </c>
      <c r="F700" t="s">
        <v>101</v>
      </c>
      <c r="G700" t="s">
        <v>134</v>
      </c>
      <c r="H700">
        <v>13</v>
      </c>
      <c r="I700">
        <v>16</v>
      </c>
      <c r="J700">
        <v>81.25</v>
      </c>
      <c r="K700" t="s">
        <v>246</v>
      </c>
      <c r="L700">
        <v>7.1</v>
      </c>
      <c r="M700">
        <v>4</v>
      </c>
      <c r="N700">
        <v>0</v>
      </c>
      <c r="O700">
        <v>31</v>
      </c>
      <c r="P700">
        <v>1</v>
      </c>
      <c r="Q700">
        <v>7.8</v>
      </c>
      <c r="R700">
        <v>20</v>
      </c>
      <c r="S700">
        <v>0</v>
      </c>
      <c r="T700">
        <v>0</v>
      </c>
      <c r="U700" s="8">
        <v>27.1</v>
      </c>
      <c r="V700" s="8">
        <f t="shared" si="21"/>
        <v>3</v>
      </c>
      <c r="W700" t="str">
        <f>_xlfn.XLOOKUP(A700, Matches!A:A, Matches!L:L, "NA", 0)</f>
        <v>DCW</v>
      </c>
      <c r="X700" t="str">
        <f>_xlfn.XLOOKUP(A700, Matches!A:A, Matches!J:J, "NA", 0)</f>
        <v>GGTW</v>
      </c>
      <c r="Y700" t="str">
        <f>_xlfn.XLOOKUP(A700, Matches!A:A, Matches!F:F, "NA", 0)</f>
        <v>M. Chinnaswamy Stadium</v>
      </c>
      <c r="Z700" cm="1">
        <f t="array" ref="Z700">INDEX(Innings!F:F,MATCH(1,(TRIM(Innings!A:A)=TRIM(A700))*(TRIM(Innings!D:D)=TRIM(E700)),0))</f>
        <v>138</v>
      </c>
      <c r="AA700" cm="1">
        <f t="array" ref="AA700">INDEX(Innings!I:I,MATCH(1,(TRIM(Innings!A:A)=TRIM(A700))*(TRIM(Innings!D:D)=TRIM(E700)),0))</f>
        <v>6.9</v>
      </c>
      <c r="AB700" cm="1">
        <f t="array" ref="AB700">INDEX(Innings!J:J,MATCH(1,(TRIM(Innings!A:A)=TRIM(A700))*(TRIM(Innings!D:D)=TRIM(E700)),0))</f>
        <v>41</v>
      </c>
      <c r="AC700" cm="1">
        <f t="array" ref="AC700">INDEX(Innings!N:N,MATCH(1,(TRIM(Innings!A:A)=TRIM(A700))*(TRIM(Innings!D:D)=TRIM(E700)),0))</f>
        <v>25</v>
      </c>
      <c r="AD700" cm="1">
        <f t="array" ref="AD700">INDEX(Innings!S:S,MATCH(1,(TRIM(Innings!A:A)=TRIM(A700))*(TRIM(Innings!D:D)=TRIM(E700)),0))</f>
        <v>40</v>
      </c>
      <c r="AE700" t="str" cm="1">
        <f t="array" ref="AE700">INDEX(Innings!W:W,MATCH(1,(TRIM(Innings!A:A)=TRIM(A700))*(TRIM(Innings!D:D)=TRIM(E700)),0))</f>
        <v>Failed</v>
      </c>
      <c r="AF700">
        <f>IF(UPPER(TRIM(E700))=UPPER(TRIM(W700)),1,0)</f>
        <v>0</v>
      </c>
      <c r="AG700">
        <f t="shared" si="20"/>
        <v>14.450000000000001</v>
      </c>
    </row>
    <row r="701" spans="1:33" x14ac:dyDescent="0.3">
      <c r="A701" t="s">
        <v>357</v>
      </c>
      <c r="B701">
        <v>2</v>
      </c>
      <c r="C701" t="s">
        <v>409</v>
      </c>
      <c r="D701" t="s">
        <v>424</v>
      </c>
      <c r="E701" t="s">
        <v>258</v>
      </c>
      <c r="F701" t="s">
        <v>91</v>
      </c>
      <c r="G701" t="s">
        <v>134</v>
      </c>
      <c r="H701">
        <v>9</v>
      </c>
      <c r="I701">
        <v>11</v>
      </c>
      <c r="J701">
        <v>81.819999999999993</v>
      </c>
      <c r="K701" t="s">
        <v>247</v>
      </c>
      <c r="L701">
        <v>4</v>
      </c>
      <c r="M701">
        <v>1</v>
      </c>
      <c r="N701">
        <v>0</v>
      </c>
      <c r="O701">
        <v>10</v>
      </c>
      <c r="P701">
        <v>0</v>
      </c>
      <c r="Q701">
        <v>10</v>
      </c>
      <c r="R701">
        <v>0</v>
      </c>
      <c r="S701">
        <v>0</v>
      </c>
      <c r="T701">
        <v>0</v>
      </c>
      <c r="U701" s="8">
        <v>4</v>
      </c>
      <c r="V701" s="8">
        <f t="shared" si="21"/>
        <v>0</v>
      </c>
      <c r="W701" t="str">
        <f>_xlfn.XLOOKUP(A701, Matches!A:A, Matches!L:L, "NA", 0)</f>
        <v>DCW</v>
      </c>
      <c r="X701" t="str">
        <f>_xlfn.XLOOKUP(A701, Matches!A:A, Matches!J:J, "NA", 0)</f>
        <v>GGTW</v>
      </c>
      <c r="Y701" t="str">
        <f>_xlfn.XLOOKUP(A701, Matches!A:A, Matches!F:F, "NA", 0)</f>
        <v>M. Chinnaswamy Stadium</v>
      </c>
      <c r="Z701" cm="1">
        <f t="array" ref="Z701">INDEX(Innings!F:F,MATCH(1,(TRIM(Innings!A:A)=TRIM(A701))*(TRIM(Innings!D:D)=TRIM(E701)),0))</f>
        <v>138</v>
      </c>
      <c r="AA701" cm="1">
        <f t="array" ref="AA701">INDEX(Innings!I:I,MATCH(1,(TRIM(Innings!A:A)=TRIM(A701))*(TRIM(Innings!D:D)=TRIM(E701)),0))</f>
        <v>6.9</v>
      </c>
      <c r="AB701" cm="1">
        <f t="array" ref="AB701">INDEX(Innings!J:J,MATCH(1,(TRIM(Innings!A:A)=TRIM(A701))*(TRIM(Innings!D:D)=TRIM(E701)),0))</f>
        <v>41</v>
      </c>
      <c r="AC701" cm="1">
        <f t="array" ref="AC701">INDEX(Innings!N:N,MATCH(1,(TRIM(Innings!A:A)=TRIM(A701))*(TRIM(Innings!D:D)=TRIM(E701)),0))</f>
        <v>25</v>
      </c>
      <c r="AD701" cm="1">
        <f t="array" ref="AD701">INDEX(Innings!S:S,MATCH(1,(TRIM(Innings!A:A)=TRIM(A701))*(TRIM(Innings!D:D)=TRIM(E701)),0))</f>
        <v>40</v>
      </c>
      <c r="AE701" t="str" cm="1">
        <f t="array" ref="AE701">INDEX(Innings!W:W,MATCH(1,(TRIM(Innings!A:A)=TRIM(A701))*(TRIM(Innings!D:D)=TRIM(E701)),0))</f>
        <v>Failed</v>
      </c>
      <c r="AF701">
        <f>IF(UPPER(TRIM(E701))=UPPER(TRIM(W701)),1,0)</f>
        <v>0</v>
      </c>
      <c r="AG701">
        <f t="shared" si="20"/>
        <v>2</v>
      </c>
    </row>
    <row r="702" spans="1:33" x14ac:dyDescent="0.3">
      <c r="A702" t="s">
        <v>357</v>
      </c>
      <c r="B702">
        <v>2</v>
      </c>
      <c r="C702" t="s">
        <v>389</v>
      </c>
      <c r="D702" t="s">
        <v>390</v>
      </c>
      <c r="E702" t="s">
        <v>258</v>
      </c>
      <c r="F702" t="s">
        <v>101</v>
      </c>
      <c r="G702" t="s">
        <v>134</v>
      </c>
      <c r="H702">
        <v>10</v>
      </c>
      <c r="I702">
        <v>10</v>
      </c>
      <c r="J702">
        <v>100</v>
      </c>
      <c r="K702" t="s">
        <v>96</v>
      </c>
      <c r="L702">
        <v>13</v>
      </c>
      <c r="M702">
        <v>4</v>
      </c>
      <c r="N702">
        <v>0</v>
      </c>
      <c r="O702">
        <v>37</v>
      </c>
      <c r="P702">
        <v>4</v>
      </c>
      <c r="Q702">
        <v>9.1999999999999993</v>
      </c>
      <c r="R702">
        <v>65</v>
      </c>
      <c r="S702">
        <v>0</v>
      </c>
      <c r="T702">
        <v>0</v>
      </c>
      <c r="U702" s="8">
        <v>78</v>
      </c>
      <c r="V702" s="8">
        <f t="shared" si="21"/>
        <v>8</v>
      </c>
      <c r="W702" t="str">
        <f>_xlfn.XLOOKUP(A702, Matches!A:A, Matches!L:L, "NA", 0)</f>
        <v>DCW</v>
      </c>
      <c r="X702" t="str">
        <f>_xlfn.XLOOKUP(A702, Matches!A:A, Matches!J:J, "NA", 0)</f>
        <v>GGTW</v>
      </c>
      <c r="Y702" t="str">
        <f>_xlfn.XLOOKUP(A702, Matches!A:A, Matches!F:F, "NA", 0)</f>
        <v>M. Chinnaswamy Stadium</v>
      </c>
      <c r="Z702" cm="1">
        <f t="array" ref="Z702">INDEX(Innings!F:F,MATCH(1,(TRIM(Innings!A:A)=TRIM(A702))*(TRIM(Innings!D:D)=TRIM(E702)),0))</f>
        <v>138</v>
      </c>
      <c r="AA702" cm="1">
        <f t="array" ref="AA702">INDEX(Innings!I:I,MATCH(1,(TRIM(Innings!A:A)=TRIM(A702))*(TRIM(Innings!D:D)=TRIM(E702)),0))</f>
        <v>6.9</v>
      </c>
      <c r="AB702" cm="1">
        <f t="array" ref="AB702">INDEX(Innings!J:J,MATCH(1,(TRIM(Innings!A:A)=TRIM(A702))*(TRIM(Innings!D:D)=TRIM(E702)),0))</f>
        <v>41</v>
      </c>
      <c r="AC702" cm="1">
        <f t="array" ref="AC702">INDEX(Innings!N:N,MATCH(1,(TRIM(Innings!A:A)=TRIM(A702))*(TRIM(Innings!D:D)=TRIM(E702)),0))</f>
        <v>25</v>
      </c>
      <c r="AD702" cm="1">
        <f t="array" ref="AD702">INDEX(Innings!S:S,MATCH(1,(TRIM(Innings!A:A)=TRIM(A702))*(TRIM(Innings!D:D)=TRIM(E702)),0))</f>
        <v>40</v>
      </c>
      <c r="AE702" t="str" cm="1">
        <f t="array" ref="AE702">INDEX(Innings!W:W,MATCH(1,(TRIM(Innings!A:A)=TRIM(A702))*(TRIM(Innings!D:D)=TRIM(E702)),0))</f>
        <v>Failed</v>
      </c>
      <c r="AF702">
        <f>IF(UPPER(TRIM(E702))=UPPER(TRIM(W702)),1,0)</f>
        <v>0</v>
      </c>
      <c r="AG702">
        <f t="shared" si="20"/>
        <v>41.4</v>
      </c>
    </row>
    <row r="703" spans="1:33" x14ac:dyDescent="0.3">
      <c r="A703" t="s">
        <v>357</v>
      </c>
      <c r="B703">
        <v>2</v>
      </c>
      <c r="C703" t="s">
        <v>415</v>
      </c>
      <c r="D703" t="s">
        <v>425</v>
      </c>
      <c r="E703" t="s">
        <v>258</v>
      </c>
      <c r="F703" t="s">
        <v>83</v>
      </c>
      <c r="G703" t="s">
        <v>134</v>
      </c>
      <c r="H703">
        <v>7</v>
      </c>
      <c r="I703">
        <v>7</v>
      </c>
      <c r="J703">
        <v>100</v>
      </c>
      <c r="K703" t="s">
        <v>96</v>
      </c>
      <c r="L703">
        <v>10.6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 s="8">
        <v>10.6</v>
      </c>
      <c r="V703" s="8">
        <f t="shared" si="21"/>
        <v>1</v>
      </c>
      <c r="W703" t="str">
        <f>_xlfn.XLOOKUP(A703, Matches!A:A, Matches!L:L, "NA", 0)</f>
        <v>DCW</v>
      </c>
      <c r="X703" t="str">
        <f>_xlfn.XLOOKUP(A703, Matches!A:A, Matches!J:J, "NA", 0)</f>
        <v>GGTW</v>
      </c>
      <c r="Y703" t="str">
        <f>_xlfn.XLOOKUP(A703, Matches!A:A, Matches!F:F, "NA", 0)</f>
        <v>M. Chinnaswamy Stadium</v>
      </c>
      <c r="Z703" cm="1">
        <f t="array" ref="Z703">INDEX(Innings!F:F,MATCH(1,(TRIM(Innings!A:A)=TRIM(A703))*(TRIM(Innings!D:D)=TRIM(E703)),0))</f>
        <v>138</v>
      </c>
      <c r="AA703" cm="1">
        <f t="array" ref="AA703">INDEX(Innings!I:I,MATCH(1,(TRIM(Innings!A:A)=TRIM(A703))*(TRIM(Innings!D:D)=TRIM(E703)),0))</f>
        <v>6.9</v>
      </c>
      <c r="AB703" cm="1">
        <f t="array" ref="AB703">INDEX(Innings!J:J,MATCH(1,(TRIM(Innings!A:A)=TRIM(A703))*(TRIM(Innings!D:D)=TRIM(E703)),0))</f>
        <v>41</v>
      </c>
      <c r="AC703" cm="1">
        <f t="array" ref="AC703">INDEX(Innings!N:N,MATCH(1,(TRIM(Innings!A:A)=TRIM(A703))*(TRIM(Innings!D:D)=TRIM(E703)),0))</f>
        <v>25</v>
      </c>
      <c r="AD703" cm="1">
        <f t="array" ref="AD703">INDEX(Innings!S:S,MATCH(1,(TRIM(Innings!A:A)=TRIM(A703))*(TRIM(Innings!D:D)=TRIM(E703)),0))</f>
        <v>40</v>
      </c>
      <c r="AE703" t="str" cm="1">
        <f t="array" ref="AE703">INDEX(Innings!W:W,MATCH(1,(TRIM(Innings!A:A)=TRIM(A703))*(TRIM(Innings!D:D)=TRIM(E703)),0))</f>
        <v>Failed</v>
      </c>
      <c r="AF703">
        <f>IF(UPPER(TRIM(E703))=UPPER(TRIM(W703)),1,0)</f>
        <v>0</v>
      </c>
      <c r="AG703">
        <f t="shared" si="20"/>
        <v>5.6</v>
      </c>
    </row>
    <row r="704" spans="1:33" x14ac:dyDescent="0.3">
      <c r="A704" t="s">
        <v>357</v>
      </c>
      <c r="B704">
        <v>2</v>
      </c>
      <c r="C704" t="s">
        <v>97</v>
      </c>
      <c r="D704" t="s">
        <v>122</v>
      </c>
      <c r="E704" t="s">
        <v>258</v>
      </c>
      <c r="F704" t="s">
        <v>109</v>
      </c>
      <c r="G704" t="s">
        <v>104</v>
      </c>
      <c r="H704">
        <v>0</v>
      </c>
      <c r="I704">
        <v>0</v>
      </c>
      <c r="J704">
        <v>0</v>
      </c>
      <c r="K704" t="s">
        <v>104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 s="8">
        <v>0</v>
      </c>
      <c r="V704" s="8">
        <f t="shared" si="21"/>
        <v>0</v>
      </c>
      <c r="W704" t="str">
        <f>_xlfn.XLOOKUP(A704, Matches!A:A, Matches!L:L, "NA", 0)</f>
        <v>DCW</v>
      </c>
      <c r="X704" t="str">
        <f>_xlfn.XLOOKUP(A704, Matches!A:A, Matches!J:J, "NA", 0)</f>
        <v>GGTW</v>
      </c>
      <c r="Y704" t="str">
        <f>_xlfn.XLOOKUP(A704, Matches!A:A, Matches!F:F, "NA", 0)</f>
        <v>M. Chinnaswamy Stadium</v>
      </c>
      <c r="Z704" cm="1">
        <f t="array" ref="Z704">INDEX(Innings!F:F,MATCH(1,(TRIM(Innings!A:A)=TRIM(A704))*(TRIM(Innings!D:D)=TRIM(E704)),0))</f>
        <v>138</v>
      </c>
      <c r="AA704" cm="1">
        <f t="array" ref="AA704">INDEX(Innings!I:I,MATCH(1,(TRIM(Innings!A:A)=TRIM(A704))*(TRIM(Innings!D:D)=TRIM(E704)),0))</f>
        <v>6.9</v>
      </c>
      <c r="AB704" cm="1">
        <f t="array" ref="AB704">INDEX(Innings!J:J,MATCH(1,(TRIM(Innings!A:A)=TRIM(A704))*(TRIM(Innings!D:D)=TRIM(E704)),0))</f>
        <v>41</v>
      </c>
      <c r="AC704" cm="1">
        <f t="array" ref="AC704">INDEX(Innings!N:N,MATCH(1,(TRIM(Innings!A:A)=TRIM(A704))*(TRIM(Innings!D:D)=TRIM(E704)),0))</f>
        <v>25</v>
      </c>
      <c r="AD704" cm="1">
        <f t="array" ref="AD704">INDEX(Innings!S:S,MATCH(1,(TRIM(Innings!A:A)=TRIM(A704))*(TRIM(Innings!D:D)=TRIM(E704)),0))</f>
        <v>40</v>
      </c>
      <c r="AE704" t="str" cm="1">
        <f t="array" ref="AE704">INDEX(Innings!W:W,MATCH(1,(TRIM(Innings!A:A)=TRIM(A704))*(TRIM(Innings!D:D)=TRIM(E704)),0))</f>
        <v>Failed</v>
      </c>
      <c r="AF704">
        <f>IF(UPPER(TRIM(E704))=UPPER(TRIM(W704)),1,0)</f>
        <v>0</v>
      </c>
      <c r="AG704">
        <f t="shared" si="20"/>
        <v>0</v>
      </c>
    </row>
    <row r="705" spans="1:33" x14ac:dyDescent="0.3">
      <c r="A705" t="s">
        <v>358</v>
      </c>
      <c r="B705">
        <v>2</v>
      </c>
      <c r="C705" t="s">
        <v>87</v>
      </c>
      <c r="D705" t="s">
        <v>82</v>
      </c>
      <c r="E705" t="s">
        <v>159</v>
      </c>
      <c r="F705" t="s">
        <v>83</v>
      </c>
      <c r="G705" t="s">
        <v>86</v>
      </c>
      <c r="H705">
        <v>28</v>
      </c>
      <c r="I705">
        <v>21</v>
      </c>
      <c r="J705">
        <v>133.33000000000001</v>
      </c>
      <c r="K705" t="s">
        <v>246</v>
      </c>
      <c r="L705">
        <v>28.1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 s="8">
        <v>28.1</v>
      </c>
      <c r="V705" s="8">
        <f t="shared" si="21"/>
        <v>3</v>
      </c>
      <c r="W705" t="str">
        <f>_xlfn.XLOOKUP(A705, Matches!A:A, Matches!L:L, "NA", 0)</f>
        <v>RCBW</v>
      </c>
      <c r="X705" t="str">
        <f>_xlfn.XLOOKUP(A705, Matches!A:A, Matches!J:J, "NA", 0)</f>
        <v>UPW</v>
      </c>
      <c r="Y705" t="str">
        <f>_xlfn.XLOOKUP(A705, Matches!A:A, Matches!F:F, "NA", 0)</f>
        <v>M. Chinnaswamy Stadium</v>
      </c>
      <c r="Z705" cm="1">
        <f t="array" ref="Z705">INDEX(Innings!F:F,MATCH(1,(TRIM(Innings!A:A)=TRIM(A705))*(TRIM(Innings!D:D)=TRIM(E705)),0))</f>
        <v>198</v>
      </c>
      <c r="AA705" cm="1">
        <f t="array" ref="AA705">INDEX(Innings!I:I,MATCH(1,(TRIM(Innings!A:A)=TRIM(A705))*(TRIM(Innings!D:D)=TRIM(E705)),0))</f>
        <v>9.9</v>
      </c>
      <c r="AB705" cm="1">
        <f t="array" ref="AB705">INDEX(Innings!J:J,MATCH(1,(TRIM(Innings!A:A)=TRIM(A705))*(TRIM(Innings!D:D)=TRIM(E705)),0))</f>
        <v>57</v>
      </c>
      <c r="AC705" cm="1">
        <f t="array" ref="AC705">INDEX(Innings!N:N,MATCH(1,(TRIM(Innings!A:A)=TRIM(A705))*(TRIM(Innings!D:D)=TRIM(E705)),0))</f>
        <v>52</v>
      </c>
      <c r="AD705" cm="1">
        <f t="array" ref="AD705">INDEX(Innings!S:S,MATCH(1,(TRIM(Innings!A:A)=TRIM(A705))*(TRIM(Innings!D:D)=TRIM(E705)),0))</f>
        <v>45</v>
      </c>
      <c r="AE705" t="str" cm="1">
        <f t="array" ref="AE705">INDEX(Innings!W:W,MATCH(1,(TRIM(Innings!A:A)=TRIM(A705))*(TRIM(Innings!D:D)=TRIM(E705)),0))</f>
        <v>NA</v>
      </c>
      <c r="AF705">
        <f>IF(UPPER(TRIM(E705))=UPPER(TRIM(W705)),1,0)</f>
        <v>1</v>
      </c>
      <c r="AG705">
        <f t="shared" si="20"/>
        <v>34.950000000000003</v>
      </c>
    </row>
    <row r="706" spans="1:33" x14ac:dyDescent="0.3">
      <c r="A706" t="s">
        <v>358</v>
      </c>
      <c r="B706">
        <v>2</v>
      </c>
      <c r="C706" t="s">
        <v>165</v>
      </c>
      <c r="D706" t="s">
        <v>166</v>
      </c>
      <c r="E706" t="s">
        <v>159</v>
      </c>
      <c r="F706" t="s">
        <v>109</v>
      </c>
      <c r="G706" t="s">
        <v>86</v>
      </c>
      <c r="H706">
        <v>80</v>
      </c>
      <c r="I706">
        <v>50</v>
      </c>
      <c r="J706">
        <v>160</v>
      </c>
      <c r="K706" t="s">
        <v>246</v>
      </c>
      <c r="L706">
        <v>92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 s="8">
        <v>92</v>
      </c>
      <c r="V706" s="8">
        <f t="shared" si="21"/>
        <v>9</v>
      </c>
      <c r="W706" t="str">
        <f>_xlfn.XLOOKUP(A706, Matches!A:A, Matches!L:L, "NA", 0)</f>
        <v>RCBW</v>
      </c>
      <c r="X706" t="str">
        <f>_xlfn.XLOOKUP(A706, Matches!A:A, Matches!J:J, "NA", 0)</f>
        <v>UPW</v>
      </c>
      <c r="Y706" t="str">
        <f>_xlfn.XLOOKUP(A706, Matches!A:A, Matches!F:F, "NA", 0)</f>
        <v>M. Chinnaswamy Stadium</v>
      </c>
      <c r="Z706" cm="1">
        <f t="array" ref="Z706">INDEX(Innings!F:F,MATCH(1,(TRIM(Innings!A:A)=TRIM(A706))*(TRIM(Innings!D:D)=TRIM(E706)),0))</f>
        <v>198</v>
      </c>
      <c r="AA706" cm="1">
        <f t="array" ref="AA706">INDEX(Innings!I:I,MATCH(1,(TRIM(Innings!A:A)=TRIM(A706))*(TRIM(Innings!D:D)=TRIM(E706)),0))</f>
        <v>9.9</v>
      </c>
      <c r="AB706" cm="1">
        <f t="array" ref="AB706">INDEX(Innings!J:J,MATCH(1,(TRIM(Innings!A:A)=TRIM(A706))*(TRIM(Innings!D:D)=TRIM(E706)),0))</f>
        <v>57</v>
      </c>
      <c r="AC706" cm="1">
        <f t="array" ref="AC706">INDEX(Innings!N:N,MATCH(1,(TRIM(Innings!A:A)=TRIM(A706))*(TRIM(Innings!D:D)=TRIM(E706)),0))</f>
        <v>52</v>
      </c>
      <c r="AD706" cm="1">
        <f t="array" ref="AD706">INDEX(Innings!S:S,MATCH(1,(TRIM(Innings!A:A)=TRIM(A706))*(TRIM(Innings!D:D)=TRIM(E706)),0))</f>
        <v>45</v>
      </c>
      <c r="AE706" t="str" cm="1">
        <f t="array" ref="AE706">INDEX(Innings!W:W,MATCH(1,(TRIM(Innings!A:A)=TRIM(A706))*(TRIM(Innings!D:D)=TRIM(E706)),0))</f>
        <v>NA</v>
      </c>
      <c r="AF706">
        <f>IF(UPPER(TRIM(E706))=UPPER(TRIM(W706)),1,0)</f>
        <v>1</v>
      </c>
      <c r="AG706">
        <f t="shared" ref="AG706:AG769" si="22">(0.5*MAX(0,U706) + 0.3*MAX(0,V706) + 0.2*AF706*100)</f>
        <v>68.7</v>
      </c>
    </row>
    <row r="707" spans="1:33" x14ac:dyDescent="0.3">
      <c r="A707" t="s">
        <v>358</v>
      </c>
      <c r="B707">
        <v>2</v>
      </c>
      <c r="C707" t="s">
        <v>174</v>
      </c>
      <c r="D707" t="s">
        <v>175</v>
      </c>
      <c r="E707" t="s">
        <v>159</v>
      </c>
      <c r="F707" t="s">
        <v>83</v>
      </c>
      <c r="G707" t="s">
        <v>92</v>
      </c>
      <c r="H707">
        <v>58</v>
      </c>
      <c r="I707">
        <v>37</v>
      </c>
      <c r="J707">
        <v>156.76</v>
      </c>
      <c r="K707" t="s">
        <v>246</v>
      </c>
      <c r="L707">
        <v>66.2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 s="8">
        <v>66.2</v>
      </c>
      <c r="V707" s="8">
        <f t="shared" ref="V707:V770" si="23">MIN(10, MAX(0, ROUND(U707/10,0)))</f>
        <v>7</v>
      </c>
      <c r="W707" t="str">
        <f>_xlfn.XLOOKUP(A707, Matches!A:A, Matches!L:L, "NA", 0)</f>
        <v>RCBW</v>
      </c>
      <c r="X707" t="str">
        <f>_xlfn.XLOOKUP(A707, Matches!A:A, Matches!J:J, "NA", 0)</f>
        <v>UPW</v>
      </c>
      <c r="Y707" t="str">
        <f>_xlfn.XLOOKUP(A707, Matches!A:A, Matches!F:F, "NA", 0)</f>
        <v>M. Chinnaswamy Stadium</v>
      </c>
      <c r="Z707" cm="1">
        <f t="array" ref="Z707">INDEX(Innings!F:F,MATCH(1,(TRIM(Innings!A:A)=TRIM(A707))*(TRIM(Innings!D:D)=TRIM(E707)),0))</f>
        <v>198</v>
      </c>
      <c r="AA707" cm="1">
        <f t="array" ref="AA707">INDEX(Innings!I:I,MATCH(1,(TRIM(Innings!A:A)=TRIM(A707))*(TRIM(Innings!D:D)=TRIM(E707)),0))</f>
        <v>9.9</v>
      </c>
      <c r="AB707" cm="1">
        <f t="array" ref="AB707">INDEX(Innings!J:J,MATCH(1,(TRIM(Innings!A:A)=TRIM(A707))*(TRIM(Innings!D:D)=TRIM(E707)),0))</f>
        <v>57</v>
      </c>
      <c r="AC707" cm="1">
        <f t="array" ref="AC707">INDEX(Innings!N:N,MATCH(1,(TRIM(Innings!A:A)=TRIM(A707))*(TRIM(Innings!D:D)=TRIM(E707)),0))</f>
        <v>52</v>
      </c>
      <c r="AD707" cm="1">
        <f t="array" ref="AD707">INDEX(Innings!S:S,MATCH(1,(TRIM(Innings!A:A)=TRIM(A707))*(TRIM(Innings!D:D)=TRIM(E707)),0))</f>
        <v>45</v>
      </c>
      <c r="AE707" t="str" cm="1">
        <f t="array" ref="AE707">INDEX(Innings!W:W,MATCH(1,(TRIM(Innings!A:A)=TRIM(A707))*(TRIM(Innings!D:D)=TRIM(E707)),0))</f>
        <v>NA</v>
      </c>
      <c r="AF707">
        <f>IF(UPPER(TRIM(E707))=UPPER(TRIM(W707)),1,0)</f>
        <v>1</v>
      </c>
      <c r="AG707">
        <f t="shared" si="22"/>
        <v>55.2</v>
      </c>
    </row>
    <row r="708" spans="1:33" x14ac:dyDescent="0.3">
      <c r="A708" t="s">
        <v>358</v>
      </c>
      <c r="B708">
        <v>2</v>
      </c>
      <c r="C708" t="s">
        <v>176</v>
      </c>
      <c r="D708" t="s">
        <v>177</v>
      </c>
      <c r="E708" t="s">
        <v>159</v>
      </c>
      <c r="F708" t="s">
        <v>85</v>
      </c>
      <c r="G708" t="s">
        <v>134</v>
      </c>
      <c r="H708">
        <v>21</v>
      </c>
      <c r="I708">
        <v>10</v>
      </c>
      <c r="J708">
        <v>210</v>
      </c>
      <c r="K708" t="s">
        <v>96</v>
      </c>
      <c r="L708">
        <v>32.200000000000003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 s="8">
        <v>32.200000000000003</v>
      </c>
      <c r="V708" s="8">
        <f t="shared" si="23"/>
        <v>3</v>
      </c>
      <c r="W708" t="str">
        <f>_xlfn.XLOOKUP(A708, Matches!A:A, Matches!L:L, "NA", 0)</f>
        <v>RCBW</v>
      </c>
      <c r="X708" t="str">
        <f>_xlfn.XLOOKUP(A708, Matches!A:A, Matches!J:J, "NA", 0)</f>
        <v>UPW</v>
      </c>
      <c r="Y708" t="str">
        <f>_xlfn.XLOOKUP(A708, Matches!A:A, Matches!F:F, "NA", 0)</f>
        <v>M. Chinnaswamy Stadium</v>
      </c>
      <c r="Z708" cm="1">
        <f t="array" ref="Z708">INDEX(Innings!F:F,MATCH(1,(TRIM(Innings!A:A)=TRIM(A708))*(TRIM(Innings!D:D)=TRIM(E708)),0))</f>
        <v>198</v>
      </c>
      <c r="AA708" cm="1">
        <f t="array" ref="AA708">INDEX(Innings!I:I,MATCH(1,(TRIM(Innings!A:A)=TRIM(A708))*(TRIM(Innings!D:D)=TRIM(E708)),0))</f>
        <v>9.9</v>
      </c>
      <c r="AB708" cm="1">
        <f t="array" ref="AB708">INDEX(Innings!J:J,MATCH(1,(TRIM(Innings!A:A)=TRIM(A708))*(TRIM(Innings!D:D)=TRIM(E708)),0))</f>
        <v>57</v>
      </c>
      <c r="AC708" cm="1">
        <f t="array" ref="AC708">INDEX(Innings!N:N,MATCH(1,(TRIM(Innings!A:A)=TRIM(A708))*(TRIM(Innings!D:D)=TRIM(E708)),0))</f>
        <v>52</v>
      </c>
      <c r="AD708" cm="1">
        <f t="array" ref="AD708">INDEX(Innings!S:S,MATCH(1,(TRIM(Innings!A:A)=TRIM(A708))*(TRIM(Innings!D:D)=TRIM(E708)),0))</f>
        <v>45</v>
      </c>
      <c r="AE708" t="str" cm="1">
        <f t="array" ref="AE708">INDEX(Innings!W:W,MATCH(1,(TRIM(Innings!A:A)=TRIM(A708))*(TRIM(Innings!D:D)=TRIM(E708)),0))</f>
        <v>NA</v>
      </c>
      <c r="AF708">
        <f>IF(UPPER(TRIM(E708))=UPPER(TRIM(W708)),1,0)</f>
        <v>1</v>
      </c>
      <c r="AG708">
        <f t="shared" si="22"/>
        <v>37</v>
      </c>
    </row>
    <row r="709" spans="1:33" x14ac:dyDescent="0.3">
      <c r="A709" t="s">
        <v>358</v>
      </c>
      <c r="B709">
        <v>2</v>
      </c>
      <c r="C709" t="s">
        <v>167</v>
      </c>
      <c r="D709" t="s">
        <v>168</v>
      </c>
      <c r="E709" t="s">
        <v>159</v>
      </c>
      <c r="F709" t="s">
        <v>169</v>
      </c>
      <c r="G709" t="s">
        <v>134</v>
      </c>
      <c r="H709">
        <v>2</v>
      </c>
      <c r="I709">
        <v>2</v>
      </c>
      <c r="J709">
        <v>100</v>
      </c>
      <c r="K709" t="s">
        <v>96</v>
      </c>
      <c r="L709">
        <v>6.6</v>
      </c>
      <c r="M709">
        <v>4</v>
      </c>
      <c r="N709">
        <v>0</v>
      </c>
      <c r="O709">
        <v>37</v>
      </c>
      <c r="P709">
        <v>2</v>
      </c>
      <c r="Q709">
        <v>9.1999999999999993</v>
      </c>
      <c r="R709">
        <v>18</v>
      </c>
      <c r="S709">
        <v>0</v>
      </c>
      <c r="T709">
        <v>0</v>
      </c>
      <c r="U709" s="8">
        <v>24.6</v>
      </c>
      <c r="V709" s="8">
        <f t="shared" si="23"/>
        <v>2</v>
      </c>
      <c r="W709" t="str">
        <f>_xlfn.XLOOKUP(A709, Matches!A:A, Matches!L:L, "NA", 0)</f>
        <v>RCBW</v>
      </c>
      <c r="X709" t="str">
        <f>_xlfn.XLOOKUP(A709, Matches!A:A, Matches!J:J, "NA", 0)</f>
        <v>UPW</v>
      </c>
      <c r="Y709" t="str">
        <f>_xlfn.XLOOKUP(A709, Matches!A:A, Matches!F:F, "NA", 0)</f>
        <v>M. Chinnaswamy Stadium</v>
      </c>
      <c r="Z709" cm="1">
        <f t="array" ref="Z709">INDEX(Innings!F:F,MATCH(1,(TRIM(Innings!A:A)=TRIM(A709))*(TRIM(Innings!D:D)=TRIM(E709)),0))</f>
        <v>198</v>
      </c>
      <c r="AA709" cm="1">
        <f t="array" ref="AA709">INDEX(Innings!I:I,MATCH(1,(TRIM(Innings!A:A)=TRIM(A709))*(TRIM(Innings!D:D)=TRIM(E709)),0))</f>
        <v>9.9</v>
      </c>
      <c r="AB709" cm="1">
        <f t="array" ref="AB709">INDEX(Innings!J:J,MATCH(1,(TRIM(Innings!A:A)=TRIM(A709))*(TRIM(Innings!D:D)=TRIM(E709)),0))</f>
        <v>57</v>
      </c>
      <c r="AC709" cm="1">
        <f t="array" ref="AC709">INDEX(Innings!N:N,MATCH(1,(TRIM(Innings!A:A)=TRIM(A709))*(TRIM(Innings!D:D)=TRIM(E709)),0))</f>
        <v>52</v>
      </c>
      <c r="AD709" cm="1">
        <f t="array" ref="AD709">INDEX(Innings!S:S,MATCH(1,(TRIM(Innings!A:A)=TRIM(A709))*(TRIM(Innings!D:D)=TRIM(E709)),0))</f>
        <v>45</v>
      </c>
      <c r="AE709" t="str" cm="1">
        <f t="array" ref="AE709">INDEX(Innings!W:W,MATCH(1,(TRIM(Innings!A:A)=TRIM(A709))*(TRIM(Innings!D:D)=TRIM(E709)),0))</f>
        <v>NA</v>
      </c>
      <c r="AF709">
        <f>IF(UPPER(TRIM(E709))=UPPER(TRIM(W709)),1,0)</f>
        <v>1</v>
      </c>
      <c r="AG709">
        <f t="shared" si="22"/>
        <v>32.9</v>
      </c>
    </row>
    <row r="710" spans="1:33" x14ac:dyDescent="0.3">
      <c r="A710" t="s">
        <v>358</v>
      </c>
      <c r="B710">
        <v>2</v>
      </c>
      <c r="C710" t="s">
        <v>371</v>
      </c>
      <c r="D710" t="s">
        <v>372</v>
      </c>
      <c r="E710" t="s">
        <v>159</v>
      </c>
      <c r="F710" t="s">
        <v>91</v>
      </c>
      <c r="G710" t="s">
        <v>104</v>
      </c>
      <c r="H710">
        <v>0</v>
      </c>
      <c r="I710">
        <v>0</v>
      </c>
      <c r="J710">
        <v>0</v>
      </c>
      <c r="K710" t="s">
        <v>104</v>
      </c>
      <c r="L710">
        <v>0</v>
      </c>
      <c r="M710">
        <v>4</v>
      </c>
      <c r="N710">
        <v>0</v>
      </c>
      <c r="O710">
        <v>29</v>
      </c>
      <c r="P710">
        <v>2</v>
      </c>
      <c r="Q710">
        <v>7.2</v>
      </c>
      <c r="R710">
        <v>30</v>
      </c>
      <c r="S710">
        <v>0</v>
      </c>
      <c r="T710">
        <v>0</v>
      </c>
      <c r="U710" s="8">
        <v>30</v>
      </c>
      <c r="V710" s="8">
        <f t="shared" si="23"/>
        <v>3</v>
      </c>
      <c r="W710" t="str">
        <f>_xlfn.XLOOKUP(A710, Matches!A:A, Matches!L:L, "NA", 0)</f>
        <v>RCBW</v>
      </c>
      <c r="X710" t="str">
        <f>_xlfn.XLOOKUP(A710, Matches!A:A, Matches!J:J, "NA", 0)</f>
        <v>UPW</v>
      </c>
      <c r="Y710" t="str">
        <f>_xlfn.XLOOKUP(A710, Matches!A:A, Matches!F:F, "NA", 0)</f>
        <v>M. Chinnaswamy Stadium</v>
      </c>
      <c r="Z710" cm="1">
        <f t="array" ref="Z710">INDEX(Innings!F:F,MATCH(1,(TRIM(Innings!A:A)=TRIM(A710))*(TRIM(Innings!D:D)=TRIM(E710)),0))</f>
        <v>198</v>
      </c>
      <c r="AA710" cm="1">
        <f t="array" ref="AA710">INDEX(Innings!I:I,MATCH(1,(TRIM(Innings!A:A)=TRIM(A710))*(TRIM(Innings!D:D)=TRIM(E710)),0))</f>
        <v>9.9</v>
      </c>
      <c r="AB710" cm="1">
        <f t="array" ref="AB710">INDEX(Innings!J:J,MATCH(1,(TRIM(Innings!A:A)=TRIM(A710))*(TRIM(Innings!D:D)=TRIM(E710)),0))</f>
        <v>57</v>
      </c>
      <c r="AC710" cm="1">
        <f t="array" ref="AC710">INDEX(Innings!N:N,MATCH(1,(TRIM(Innings!A:A)=TRIM(A710))*(TRIM(Innings!D:D)=TRIM(E710)),0))</f>
        <v>52</v>
      </c>
      <c r="AD710" cm="1">
        <f t="array" ref="AD710">INDEX(Innings!S:S,MATCH(1,(TRIM(Innings!A:A)=TRIM(A710))*(TRIM(Innings!D:D)=TRIM(E710)),0))</f>
        <v>45</v>
      </c>
      <c r="AE710" t="str" cm="1">
        <f t="array" ref="AE710">INDEX(Innings!W:W,MATCH(1,(TRIM(Innings!A:A)=TRIM(A710))*(TRIM(Innings!D:D)=TRIM(E710)),0))</f>
        <v>NA</v>
      </c>
      <c r="AF710">
        <f>IF(UPPER(TRIM(E710))=UPPER(TRIM(W710)),1,0)</f>
        <v>1</v>
      </c>
      <c r="AG710">
        <f t="shared" si="22"/>
        <v>35.9</v>
      </c>
    </row>
    <row r="711" spans="1:33" x14ac:dyDescent="0.3">
      <c r="A711" t="s">
        <v>358</v>
      </c>
      <c r="B711">
        <v>2</v>
      </c>
      <c r="C711" t="s">
        <v>99</v>
      </c>
      <c r="D711" t="s">
        <v>124</v>
      </c>
      <c r="E711" t="s">
        <v>159</v>
      </c>
      <c r="F711" t="s">
        <v>91</v>
      </c>
      <c r="G711" t="s">
        <v>104</v>
      </c>
      <c r="H711">
        <v>0</v>
      </c>
      <c r="I711">
        <v>0</v>
      </c>
      <c r="J711">
        <v>0</v>
      </c>
      <c r="K711" t="s">
        <v>104</v>
      </c>
      <c r="L711">
        <v>0</v>
      </c>
      <c r="M711">
        <v>4</v>
      </c>
      <c r="N711">
        <v>0</v>
      </c>
      <c r="O711">
        <v>38</v>
      </c>
      <c r="P711">
        <v>2</v>
      </c>
      <c r="Q711">
        <v>9.5</v>
      </c>
      <c r="R711">
        <v>30</v>
      </c>
      <c r="S711">
        <v>0</v>
      </c>
      <c r="T711">
        <v>0</v>
      </c>
      <c r="U711" s="8">
        <v>30</v>
      </c>
      <c r="V711" s="8">
        <f t="shared" si="23"/>
        <v>3</v>
      </c>
      <c r="W711" t="str">
        <f>_xlfn.XLOOKUP(A711, Matches!A:A, Matches!L:L, "NA", 0)</f>
        <v>RCBW</v>
      </c>
      <c r="X711" t="str">
        <f>_xlfn.XLOOKUP(A711, Matches!A:A, Matches!J:J, "NA", 0)</f>
        <v>UPW</v>
      </c>
      <c r="Y711" t="str">
        <f>_xlfn.XLOOKUP(A711, Matches!A:A, Matches!F:F, "NA", 0)</f>
        <v>M. Chinnaswamy Stadium</v>
      </c>
      <c r="Z711" cm="1">
        <f t="array" ref="Z711">INDEX(Innings!F:F,MATCH(1,(TRIM(Innings!A:A)=TRIM(A711))*(TRIM(Innings!D:D)=TRIM(E711)),0))</f>
        <v>198</v>
      </c>
      <c r="AA711" cm="1">
        <f t="array" ref="AA711">INDEX(Innings!I:I,MATCH(1,(TRIM(Innings!A:A)=TRIM(A711))*(TRIM(Innings!D:D)=TRIM(E711)),0))</f>
        <v>9.9</v>
      </c>
      <c r="AB711" cm="1">
        <f t="array" ref="AB711">INDEX(Innings!J:J,MATCH(1,(TRIM(Innings!A:A)=TRIM(A711))*(TRIM(Innings!D:D)=TRIM(E711)),0))</f>
        <v>57</v>
      </c>
      <c r="AC711" cm="1">
        <f t="array" ref="AC711">INDEX(Innings!N:N,MATCH(1,(TRIM(Innings!A:A)=TRIM(A711))*(TRIM(Innings!D:D)=TRIM(E711)),0))</f>
        <v>52</v>
      </c>
      <c r="AD711" cm="1">
        <f t="array" ref="AD711">INDEX(Innings!S:S,MATCH(1,(TRIM(Innings!A:A)=TRIM(A711))*(TRIM(Innings!D:D)=TRIM(E711)),0))</f>
        <v>45</v>
      </c>
      <c r="AE711" t="str" cm="1">
        <f t="array" ref="AE711">INDEX(Innings!W:W,MATCH(1,(TRIM(Innings!A:A)=TRIM(A711))*(TRIM(Innings!D:D)=TRIM(E711)),0))</f>
        <v>NA</v>
      </c>
      <c r="AF711">
        <f>IF(UPPER(TRIM(E711))=UPPER(TRIM(W711)),1,0)</f>
        <v>1</v>
      </c>
      <c r="AG711">
        <f t="shared" si="22"/>
        <v>35.9</v>
      </c>
    </row>
    <row r="712" spans="1:33" x14ac:dyDescent="0.3">
      <c r="A712" t="s">
        <v>358</v>
      </c>
      <c r="B712">
        <v>2</v>
      </c>
      <c r="C712" t="s">
        <v>429</v>
      </c>
      <c r="D712" t="s">
        <v>430</v>
      </c>
      <c r="E712" t="s">
        <v>159</v>
      </c>
      <c r="F712" t="s">
        <v>101</v>
      </c>
      <c r="G712" t="s">
        <v>104</v>
      </c>
      <c r="H712">
        <v>0</v>
      </c>
      <c r="I712">
        <v>0</v>
      </c>
      <c r="J712">
        <v>0</v>
      </c>
      <c r="K712" t="s">
        <v>104</v>
      </c>
      <c r="L712">
        <v>0</v>
      </c>
      <c r="M712">
        <v>1</v>
      </c>
      <c r="N712">
        <v>0</v>
      </c>
      <c r="O712">
        <v>10</v>
      </c>
      <c r="P712">
        <v>0</v>
      </c>
      <c r="Q712">
        <v>10</v>
      </c>
      <c r="R712">
        <v>0</v>
      </c>
      <c r="S712">
        <v>0</v>
      </c>
      <c r="T712">
        <v>0</v>
      </c>
      <c r="U712" s="8">
        <v>0</v>
      </c>
      <c r="V712" s="8">
        <f t="shared" si="23"/>
        <v>0</v>
      </c>
      <c r="W712" t="str">
        <f>_xlfn.XLOOKUP(A712, Matches!A:A, Matches!L:L, "NA", 0)</f>
        <v>RCBW</v>
      </c>
      <c r="X712" t="str">
        <f>_xlfn.XLOOKUP(A712, Matches!A:A, Matches!J:J, "NA", 0)</f>
        <v>UPW</v>
      </c>
      <c r="Y712" t="str">
        <f>_xlfn.XLOOKUP(A712, Matches!A:A, Matches!F:F, "NA", 0)</f>
        <v>M. Chinnaswamy Stadium</v>
      </c>
      <c r="Z712" cm="1">
        <f t="array" ref="Z712">INDEX(Innings!F:F,MATCH(1,(TRIM(Innings!A:A)=TRIM(A712))*(TRIM(Innings!D:D)=TRIM(E712)),0))</f>
        <v>198</v>
      </c>
      <c r="AA712" cm="1">
        <f t="array" ref="AA712">INDEX(Innings!I:I,MATCH(1,(TRIM(Innings!A:A)=TRIM(A712))*(TRIM(Innings!D:D)=TRIM(E712)),0))</f>
        <v>9.9</v>
      </c>
      <c r="AB712" cm="1">
        <f t="array" ref="AB712">INDEX(Innings!J:J,MATCH(1,(TRIM(Innings!A:A)=TRIM(A712))*(TRIM(Innings!D:D)=TRIM(E712)),0))</f>
        <v>57</v>
      </c>
      <c r="AC712" cm="1">
        <f t="array" ref="AC712">INDEX(Innings!N:N,MATCH(1,(TRIM(Innings!A:A)=TRIM(A712))*(TRIM(Innings!D:D)=TRIM(E712)),0))</f>
        <v>52</v>
      </c>
      <c r="AD712" cm="1">
        <f t="array" ref="AD712">INDEX(Innings!S:S,MATCH(1,(TRIM(Innings!A:A)=TRIM(A712))*(TRIM(Innings!D:D)=TRIM(E712)),0))</f>
        <v>45</v>
      </c>
      <c r="AE712" t="str" cm="1">
        <f t="array" ref="AE712">INDEX(Innings!W:W,MATCH(1,(TRIM(Innings!A:A)=TRIM(A712))*(TRIM(Innings!D:D)=TRIM(E712)),0))</f>
        <v>NA</v>
      </c>
      <c r="AF712">
        <f>IF(UPPER(TRIM(E712))=UPPER(TRIM(W712)),1,0)</f>
        <v>1</v>
      </c>
      <c r="AG712">
        <f t="shared" si="22"/>
        <v>20</v>
      </c>
    </row>
    <row r="713" spans="1:33" x14ac:dyDescent="0.3">
      <c r="A713" t="s">
        <v>358</v>
      </c>
      <c r="B713">
        <v>2</v>
      </c>
      <c r="C713" t="s">
        <v>373</v>
      </c>
      <c r="D713" t="s">
        <v>374</v>
      </c>
      <c r="E713" t="s">
        <v>159</v>
      </c>
      <c r="F713" t="s">
        <v>101</v>
      </c>
      <c r="G713" t="s">
        <v>104</v>
      </c>
      <c r="H713">
        <v>0</v>
      </c>
      <c r="I713">
        <v>0</v>
      </c>
      <c r="J713">
        <v>0</v>
      </c>
      <c r="K713" t="s">
        <v>104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 s="8">
        <v>0</v>
      </c>
      <c r="V713" s="8">
        <f t="shared" si="23"/>
        <v>0</v>
      </c>
      <c r="W713" t="str">
        <f>_xlfn.XLOOKUP(A713, Matches!A:A, Matches!L:L, "NA", 0)</f>
        <v>RCBW</v>
      </c>
      <c r="X713" t="str">
        <f>_xlfn.XLOOKUP(A713, Matches!A:A, Matches!J:J, "NA", 0)</f>
        <v>UPW</v>
      </c>
      <c r="Y713" t="str">
        <f>_xlfn.XLOOKUP(A713, Matches!A:A, Matches!F:F, "NA", 0)</f>
        <v>M. Chinnaswamy Stadium</v>
      </c>
      <c r="Z713" cm="1">
        <f t="array" ref="Z713">INDEX(Innings!F:F,MATCH(1,(TRIM(Innings!A:A)=TRIM(A713))*(TRIM(Innings!D:D)=TRIM(E713)),0))</f>
        <v>198</v>
      </c>
      <c r="AA713" cm="1">
        <f t="array" ref="AA713">INDEX(Innings!I:I,MATCH(1,(TRIM(Innings!A:A)=TRIM(A713))*(TRIM(Innings!D:D)=TRIM(E713)),0))</f>
        <v>9.9</v>
      </c>
      <c r="AB713" cm="1">
        <f t="array" ref="AB713">INDEX(Innings!J:J,MATCH(1,(TRIM(Innings!A:A)=TRIM(A713))*(TRIM(Innings!D:D)=TRIM(E713)),0))</f>
        <v>57</v>
      </c>
      <c r="AC713" cm="1">
        <f t="array" ref="AC713">INDEX(Innings!N:N,MATCH(1,(TRIM(Innings!A:A)=TRIM(A713))*(TRIM(Innings!D:D)=TRIM(E713)),0))</f>
        <v>52</v>
      </c>
      <c r="AD713" cm="1">
        <f t="array" ref="AD713">INDEX(Innings!S:S,MATCH(1,(TRIM(Innings!A:A)=TRIM(A713))*(TRIM(Innings!D:D)=TRIM(E713)),0))</f>
        <v>45</v>
      </c>
      <c r="AE713" t="str" cm="1">
        <f t="array" ref="AE713">INDEX(Innings!W:W,MATCH(1,(TRIM(Innings!A:A)=TRIM(A713))*(TRIM(Innings!D:D)=TRIM(E713)),0))</f>
        <v>NA</v>
      </c>
      <c r="AF713">
        <f>IF(UPPER(TRIM(E713))=UPPER(TRIM(W713)),1,0)</f>
        <v>1</v>
      </c>
      <c r="AG713">
        <f t="shared" si="22"/>
        <v>20</v>
      </c>
    </row>
    <row r="714" spans="1:33" x14ac:dyDescent="0.3">
      <c r="A714" t="s">
        <v>358</v>
      </c>
      <c r="B714">
        <v>2</v>
      </c>
      <c r="C714" t="s">
        <v>180</v>
      </c>
      <c r="D714" t="s">
        <v>181</v>
      </c>
      <c r="E714" t="s">
        <v>159</v>
      </c>
      <c r="F714" t="s">
        <v>91</v>
      </c>
      <c r="G714" t="s">
        <v>104</v>
      </c>
      <c r="H714">
        <v>0</v>
      </c>
      <c r="I714">
        <v>0</v>
      </c>
      <c r="J714">
        <v>0</v>
      </c>
      <c r="K714" t="s">
        <v>104</v>
      </c>
      <c r="L714">
        <v>0</v>
      </c>
      <c r="M714">
        <v>4</v>
      </c>
      <c r="N714">
        <v>0</v>
      </c>
      <c r="O714">
        <v>29</v>
      </c>
      <c r="P714">
        <v>2</v>
      </c>
      <c r="Q714">
        <v>7.2</v>
      </c>
      <c r="R714">
        <v>30</v>
      </c>
      <c r="S714">
        <v>0</v>
      </c>
      <c r="T714">
        <v>0</v>
      </c>
      <c r="U714" s="8">
        <v>30</v>
      </c>
      <c r="V714" s="8">
        <f t="shared" si="23"/>
        <v>3</v>
      </c>
      <c r="W714" t="str">
        <f>_xlfn.XLOOKUP(A714, Matches!A:A, Matches!L:L, "NA", 0)</f>
        <v>RCBW</v>
      </c>
      <c r="X714" t="str">
        <f>_xlfn.XLOOKUP(A714, Matches!A:A, Matches!J:J, "NA", 0)</f>
        <v>UPW</v>
      </c>
      <c r="Y714" t="str">
        <f>_xlfn.XLOOKUP(A714, Matches!A:A, Matches!F:F, "NA", 0)</f>
        <v>M. Chinnaswamy Stadium</v>
      </c>
      <c r="Z714" cm="1">
        <f t="array" ref="Z714">INDEX(Innings!F:F,MATCH(1,(TRIM(Innings!A:A)=TRIM(A714))*(TRIM(Innings!D:D)=TRIM(E714)),0))</f>
        <v>198</v>
      </c>
      <c r="AA714" cm="1">
        <f t="array" ref="AA714">INDEX(Innings!I:I,MATCH(1,(TRIM(Innings!A:A)=TRIM(A714))*(TRIM(Innings!D:D)=TRIM(E714)),0))</f>
        <v>9.9</v>
      </c>
      <c r="AB714" cm="1">
        <f t="array" ref="AB714">INDEX(Innings!J:J,MATCH(1,(TRIM(Innings!A:A)=TRIM(A714))*(TRIM(Innings!D:D)=TRIM(E714)),0))</f>
        <v>57</v>
      </c>
      <c r="AC714" cm="1">
        <f t="array" ref="AC714">INDEX(Innings!N:N,MATCH(1,(TRIM(Innings!A:A)=TRIM(A714))*(TRIM(Innings!D:D)=TRIM(E714)),0))</f>
        <v>52</v>
      </c>
      <c r="AD714" cm="1">
        <f t="array" ref="AD714">INDEX(Innings!S:S,MATCH(1,(TRIM(Innings!A:A)=TRIM(A714))*(TRIM(Innings!D:D)=TRIM(E714)),0))</f>
        <v>45</v>
      </c>
      <c r="AE714" t="str" cm="1">
        <f t="array" ref="AE714">INDEX(Innings!W:W,MATCH(1,(TRIM(Innings!A:A)=TRIM(A714))*(TRIM(Innings!D:D)=TRIM(E714)),0))</f>
        <v>NA</v>
      </c>
      <c r="AF714">
        <f>IF(UPPER(TRIM(E714))=UPPER(TRIM(W714)),1,0)</f>
        <v>1</v>
      </c>
      <c r="AG714">
        <f t="shared" si="22"/>
        <v>35.9</v>
      </c>
    </row>
    <row r="715" spans="1:33" x14ac:dyDescent="0.3">
      <c r="A715" t="s">
        <v>358</v>
      </c>
      <c r="B715">
        <v>2</v>
      </c>
      <c r="C715" t="s">
        <v>186</v>
      </c>
      <c r="D715" t="s">
        <v>187</v>
      </c>
      <c r="E715" t="s">
        <v>159</v>
      </c>
      <c r="F715" t="s">
        <v>101</v>
      </c>
      <c r="G715" t="s">
        <v>104</v>
      </c>
      <c r="H715">
        <v>0</v>
      </c>
      <c r="I715">
        <v>0</v>
      </c>
      <c r="J715">
        <v>0</v>
      </c>
      <c r="K715" t="s">
        <v>104</v>
      </c>
      <c r="L715">
        <v>0</v>
      </c>
      <c r="M715">
        <v>3</v>
      </c>
      <c r="N715">
        <v>1</v>
      </c>
      <c r="O715">
        <v>30</v>
      </c>
      <c r="P715">
        <v>0</v>
      </c>
      <c r="Q715">
        <v>10</v>
      </c>
      <c r="R715">
        <v>0</v>
      </c>
      <c r="S715">
        <v>0</v>
      </c>
      <c r="T715">
        <v>0</v>
      </c>
      <c r="U715" s="8">
        <v>0</v>
      </c>
      <c r="V715" s="8">
        <f t="shared" si="23"/>
        <v>0</v>
      </c>
      <c r="W715" t="str">
        <f>_xlfn.XLOOKUP(A715, Matches!A:A, Matches!L:L, "NA", 0)</f>
        <v>RCBW</v>
      </c>
      <c r="X715" t="str">
        <f>_xlfn.XLOOKUP(A715, Matches!A:A, Matches!J:J, "NA", 0)</f>
        <v>UPW</v>
      </c>
      <c r="Y715" t="str">
        <f>_xlfn.XLOOKUP(A715, Matches!A:A, Matches!F:F, "NA", 0)</f>
        <v>M. Chinnaswamy Stadium</v>
      </c>
      <c r="Z715" cm="1">
        <f t="array" ref="Z715">INDEX(Innings!F:F,MATCH(1,(TRIM(Innings!A:A)=TRIM(A715))*(TRIM(Innings!D:D)=TRIM(E715)),0))</f>
        <v>198</v>
      </c>
      <c r="AA715" cm="1">
        <f t="array" ref="AA715">INDEX(Innings!I:I,MATCH(1,(TRIM(Innings!A:A)=TRIM(A715))*(TRIM(Innings!D:D)=TRIM(E715)),0))</f>
        <v>9.9</v>
      </c>
      <c r="AB715" cm="1">
        <f t="array" ref="AB715">INDEX(Innings!J:J,MATCH(1,(TRIM(Innings!A:A)=TRIM(A715))*(TRIM(Innings!D:D)=TRIM(E715)),0))</f>
        <v>57</v>
      </c>
      <c r="AC715" cm="1">
        <f t="array" ref="AC715">INDEX(Innings!N:N,MATCH(1,(TRIM(Innings!A:A)=TRIM(A715))*(TRIM(Innings!D:D)=TRIM(E715)),0))</f>
        <v>52</v>
      </c>
      <c r="AD715" cm="1">
        <f t="array" ref="AD715">INDEX(Innings!S:S,MATCH(1,(TRIM(Innings!A:A)=TRIM(A715))*(TRIM(Innings!D:D)=TRIM(E715)),0))</f>
        <v>45</v>
      </c>
      <c r="AE715" t="str" cm="1">
        <f t="array" ref="AE715">INDEX(Innings!W:W,MATCH(1,(TRIM(Innings!A:A)=TRIM(A715))*(TRIM(Innings!D:D)=TRIM(E715)),0))</f>
        <v>NA</v>
      </c>
      <c r="AF715">
        <f>IF(UPPER(TRIM(E715))=UPPER(TRIM(W715)),1,0)</f>
        <v>1</v>
      </c>
      <c r="AG715">
        <f t="shared" si="22"/>
        <v>20</v>
      </c>
    </row>
    <row r="716" spans="1:33" x14ac:dyDescent="0.3">
      <c r="A716" t="s">
        <v>358</v>
      </c>
      <c r="B716">
        <v>2</v>
      </c>
      <c r="C716" t="s">
        <v>217</v>
      </c>
      <c r="D716" t="s">
        <v>218</v>
      </c>
      <c r="E716" t="s">
        <v>219</v>
      </c>
      <c r="F716" t="s">
        <v>85</v>
      </c>
      <c r="G716" t="s">
        <v>86</v>
      </c>
      <c r="H716">
        <v>55</v>
      </c>
      <c r="I716">
        <v>38</v>
      </c>
      <c r="J716">
        <v>144.74</v>
      </c>
      <c r="K716" t="s">
        <v>248</v>
      </c>
      <c r="L716">
        <v>57.8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 s="8">
        <v>57.8</v>
      </c>
      <c r="V716" s="8">
        <f t="shared" si="23"/>
        <v>6</v>
      </c>
      <c r="W716" t="str">
        <f>_xlfn.XLOOKUP(A716, Matches!A:A, Matches!L:L, "NA", 0)</f>
        <v>RCBW</v>
      </c>
      <c r="X716" t="str">
        <f>_xlfn.XLOOKUP(A716, Matches!A:A, Matches!J:J, "NA", 0)</f>
        <v>UPW</v>
      </c>
      <c r="Y716" t="str">
        <f>_xlfn.XLOOKUP(A716, Matches!A:A, Matches!F:F, "NA", 0)</f>
        <v>M. Chinnaswamy Stadium</v>
      </c>
      <c r="Z716" cm="1">
        <f t="array" ref="Z716">INDEX(Innings!F:F,MATCH(1,(TRIM(Innings!A:A)=TRIM(A716))*(TRIM(Innings!D:D)=TRIM(E716)),0))</f>
        <v>175</v>
      </c>
      <c r="AA716" cm="1">
        <f t="array" ref="AA716">INDEX(Innings!I:I,MATCH(1,(TRIM(Innings!A:A)=TRIM(A716))*(TRIM(Innings!D:D)=TRIM(E716)),0))</f>
        <v>8.75</v>
      </c>
      <c r="AB716" cm="1">
        <f t="array" ref="AB716">INDEX(Innings!J:J,MATCH(1,(TRIM(Innings!A:A)=TRIM(A716))*(TRIM(Innings!D:D)=TRIM(E716)),0))</f>
        <v>56</v>
      </c>
      <c r="AC716" cm="1">
        <f t="array" ref="AC716">INDEX(Innings!N:N,MATCH(1,(TRIM(Innings!A:A)=TRIM(A716))*(TRIM(Innings!D:D)=TRIM(E716)),0))</f>
        <v>28</v>
      </c>
      <c r="AD716" cm="1">
        <f t="array" ref="AD716">INDEX(Innings!S:S,MATCH(1,(TRIM(Innings!A:A)=TRIM(A716))*(TRIM(Innings!D:D)=TRIM(E716)),0))</f>
        <v>54</v>
      </c>
      <c r="AE716" t="str" cm="1">
        <f t="array" ref="AE716">INDEX(Innings!W:W,MATCH(1,(TRIM(Innings!A:A)=TRIM(A716))*(TRIM(Innings!D:D)=TRIM(E716)),0))</f>
        <v>Failed</v>
      </c>
      <c r="AF716">
        <f>IF(UPPER(TRIM(E716))=UPPER(TRIM(W716)),1,0)</f>
        <v>0</v>
      </c>
      <c r="AG716">
        <f t="shared" si="22"/>
        <v>30.7</v>
      </c>
    </row>
    <row r="717" spans="1:33" x14ac:dyDescent="0.3">
      <c r="A717" t="s">
        <v>358</v>
      </c>
      <c r="B717">
        <v>2</v>
      </c>
      <c r="C717" t="s">
        <v>229</v>
      </c>
      <c r="D717" t="s">
        <v>230</v>
      </c>
      <c r="E717" t="s">
        <v>219</v>
      </c>
      <c r="F717" t="s">
        <v>109</v>
      </c>
      <c r="G717" t="s">
        <v>86</v>
      </c>
      <c r="H717">
        <v>18</v>
      </c>
      <c r="I717">
        <v>11</v>
      </c>
      <c r="J717">
        <v>163.63999999999999</v>
      </c>
      <c r="K717" t="s">
        <v>246</v>
      </c>
      <c r="L717">
        <v>23.9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 s="8">
        <v>23.9</v>
      </c>
      <c r="V717" s="8">
        <f t="shared" si="23"/>
        <v>2</v>
      </c>
      <c r="W717" t="str">
        <f>_xlfn.XLOOKUP(A717, Matches!A:A, Matches!L:L, "NA", 0)</f>
        <v>RCBW</v>
      </c>
      <c r="X717" t="str">
        <f>_xlfn.XLOOKUP(A717, Matches!A:A, Matches!J:J, "NA", 0)</f>
        <v>UPW</v>
      </c>
      <c r="Y717" t="str">
        <f>_xlfn.XLOOKUP(A717, Matches!A:A, Matches!F:F, "NA", 0)</f>
        <v>M. Chinnaswamy Stadium</v>
      </c>
      <c r="Z717" cm="1">
        <f t="array" ref="Z717">INDEX(Innings!F:F,MATCH(1,(TRIM(Innings!A:A)=TRIM(A717))*(TRIM(Innings!D:D)=TRIM(E717)),0))</f>
        <v>175</v>
      </c>
      <c r="AA717" cm="1">
        <f t="array" ref="AA717">INDEX(Innings!I:I,MATCH(1,(TRIM(Innings!A:A)=TRIM(A717))*(TRIM(Innings!D:D)=TRIM(E717)),0))</f>
        <v>8.75</v>
      </c>
      <c r="AB717" cm="1">
        <f t="array" ref="AB717">INDEX(Innings!J:J,MATCH(1,(TRIM(Innings!A:A)=TRIM(A717))*(TRIM(Innings!D:D)=TRIM(E717)),0))</f>
        <v>56</v>
      </c>
      <c r="AC717" cm="1">
        <f t="array" ref="AC717">INDEX(Innings!N:N,MATCH(1,(TRIM(Innings!A:A)=TRIM(A717))*(TRIM(Innings!D:D)=TRIM(E717)),0))</f>
        <v>28</v>
      </c>
      <c r="AD717" cm="1">
        <f t="array" ref="AD717">INDEX(Innings!S:S,MATCH(1,(TRIM(Innings!A:A)=TRIM(A717))*(TRIM(Innings!D:D)=TRIM(E717)),0))</f>
        <v>54</v>
      </c>
      <c r="AE717" t="str" cm="1">
        <f t="array" ref="AE717">INDEX(Innings!W:W,MATCH(1,(TRIM(Innings!A:A)=TRIM(A717))*(TRIM(Innings!D:D)=TRIM(E717)),0))</f>
        <v>Failed</v>
      </c>
      <c r="AF717">
        <f>IF(UPPER(TRIM(E717))=UPPER(TRIM(W717)),1,0)</f>
        <v>0</v>
      </c>
      <c r="AG717">
        <f t="shared" si="22"/>
        <v>12.549999999999999</v>
      </c>
    </row>
    <row r="718" spans="1:33" x14ac:dyDescent="0.3">
      <c r="A718" t="s">
        <v>358</v>
      </c>
      <c r="B718">
        <v>2</v>
      </c>
      <c r="C718" t="s">
        <v>403</v>
      </c>
      <c r="D718" t="s">
        <v>414</v>
      </c>
      <c r="E718" t="s">
        <v>219</v>
      </c>
      <c r="F718" t="s">
        <v>83</v>
      </c>
      <c r="G718" t="s">
        <v>92</v>
      </c>
      <c r="H718">
        <v>8</v>
      </c>
      <c r="I718">
        <v>8</v>
      </c>
      <c r="J718">
        <v>100</v>
      </c>
      <c r="K718" t="s">
        <v>247</v>
      </c>
      <c r="L718">
        <v>5</v>
      </c>
      <c r="M718">
        <v>3</v>
      </c>
      <c r="N718">
        <v>0</v>
      </c>
      <c r="O718">
        <v>32</v>
      </c>
      <c r="P718">
        <v>0</v>
      </c>
      <c r="Q718">
        <v>10.7</v>
      </c>
      <c r="R718">
        <v>0</v>
      </c>
      <c r="S718">
        <v>0</v>
      </c>
      <c r="T718">
        <v>0</v>
      </c>
      <c r="U718" s="8">
        <v>5</v>
      </c>
      <c r="V718" s="8">
        <f t="shared" si="23"/>
        <v>1</v>
      </c>
      <c r="W718" t="str">
        <f>_xlfn.XLOOKUP(A718, Matches!A:A, Matches!L:L, "NA", 0)</f>
        <v>RCBW</v>
      </c>
      <c r="X718" t="str">
        <f>_xlfn.XLOOKUP(A718, Matches!A:A, Matches!J:J, "NA", 0)</f>
        <v>UPW</v>
      </c>
      <c r="Y718" t="str">
        <f>_xlfn.XLOOKUP(A718, Matches!A:A, Matches!F:F, "NA", 0)</f>
        <v>M. Chinnaswamy Stadium</v>
      </c>
      <c r="Z718" cm="1">
        <f t="array" ref="Z718">INDEX(Innings!F:F,MATCH(1,(TRIM(Innings!A:A)=TRIM(A718))*(TRIM(Innings!D:D)=TRIM(E718)),0))</f>
        <v>175</v>
      </c>
      <c r="AA718" cm="1">
        <f t="array" ref="AA718">INDEX(Innings!I:I,MATCH(1,(TRIM(Innings!A:A)=TRIM(A718))*(TRIM(Innings!D:D)=TRIM(E718)),0))</f>
        <v>8.75</v>
      </c>
      <c r="AB718" cm="1">
        <f t="array" ref="AB718">INDEX(Innings!J:J,MATCH(1,(TRIM(Innings!A:A)=TRIM(A718))*(TRIM(Innings!D:D)=TRIM(E718)),0))</f>
        <v>56</v>
      </c>
      <c r="AC718" cm="1">
        <f t="array" ref="AC718">INDEX(Innings!N:N,MATCH(1,(TRIM(Innings!A:A)=TRIM(A718))*(TRIM(Innings!D:D)=TRIM(E718)),0))</f>
        <v>28</v>
      </c>
      <c r="AD718" cm="1">
        <f t="array" ref="AD718">INDEX(Innings!S:S,MATCH(1,(TRIM(Innings!A:A)=TRIM(A718))*(TRIM(Innings!D:D)=TRIM(E718)),0))</f>
        <v>54</v>
      </c>
      <c r="AE718" t="str" cm="1">
        <f t="array" ref="AE718">INDEX(Innings!W:W,MATCH(1,(TRIM(Innings!A:A)=TRIM(A718))*(TRIM(Innings!D:D)=TRIM(E718)),0))</f>
        <v>Failed</v>
      </c>
      <c r="AF718">
        <f>IF(UPPER(TRIM(E718))=UPPER(TRIM(W718)),1,0)</f>
        <v>0</v>
      </c>
      <c r="AG718">
        <f t="shared" si="22"/>
        <v>2.8</v>
      </c>
    </row>
    <row r="719" spans="1:33" x14ac:dyDescent="0.3">
      <c r="A719" t="s">
        <v>358</v>
      </c>
      <c r="B719">
        <v>2</v>
      </c>
      <c r="C719" t="s">
        <v>226</v>
      </c>
      <c r="D719" t="s">
        <v>211</v>
      </c>
      <c r="E719" t="s">
        <v>219</v>
      </c>
      <c r="F719" t="s">
        <v>83</v>
      </c>
      <c r="G719" t="s">
        <v>92</v>
      </c>
      <c r="H719">
        <v>5</v>
      </c>
      <c r="I719">
        <v>5</v>
      </c>
      <c r="J719">
        <v>100</v>
      </c>
      <c r="K719" t="s">
        <v>246</v>
      </c>
      <c r="L719">
        <v>3.5</v>
      </c>
      <c r="M719">
        <v>3</v>
      </c>
      <c r="N719">
        <v>0</v>
      </c>
      <c r="O719">
        <v>25</v>
      </c>
      <c r="P719">
        <v>0</v>
      </c>
      <c r="Q719">
        <v>8.3000000000000007</v>
      </c>
      <c r="R719">
        <v>5</v>
      </c>
      <c r="S719">
        <v>0</v>
      </c>
      <c r="T719">
        <v>0</v>
      </c>
      <c r="U719" s="8">
        <v>8.5</v>
      </c>
      <c r="V719" s="8">
        <f t="shared" si="23"/>
        <v>1</v>
      </c>
      <c r="W719" t="str">
        <f>_xlfn.XLOOKUP(A719, Matches!A:A, Matches!L:L, "NA", 0)</f>
        <v>RCBW</v>
      </c>
      <c r="X719" t="str">
        <f>_xlfn.XLOOKUP(A719, Matches!A:A, Matches!J:J, "NA", 0)</f>
        <v>UPW</v>
      </c>
      <c r="Y719" t="str">
        <f>_xlfn.XLOOKUP(A719, Matches!A:A, Matches!F:F, "NA", 0)</f>
        <v>M. Chinnaswamy Stadium</v>
      </c>
      <c r="Z719" cm="1">
        <f t="array" ref="Z719">INDEX(Innings!F:F,MATCH(1,(TRIM(Innings!A:A)=TRIM(A719))*(TRIM(Innings!D:D)=TRIM(E719)),0))</f>
        <v>175</v>
      </c>
      <c r="AA719" cm="1">
        <f t="array" ref="AA719">INDEX(Innings!I:I,MATCH(1,(TRIM(Innings!A:A)=TRIM(A719))*(TRIM(Innings!D:D)=TRIM(E719)),0))</f>
        <v>8.75</v>
      </c>
      <c r="AB719" cm="1">
        <f t="array" ref="AB719">INDEX(Innings!J:J,MATCH(1,(TRIM(Innings!A:A)=TRIM(A719))*(TRIM(Innings!D:D)=TRIM(E719)),0))</f>
        <v>56</v>
      </c>
      <c r="AC719" cm="1">
        <f t="array" ref="AC719">INDEX(Innings!N:N,MATCH(1,(TRIM(Innings!A:A)=TRIM(A719))*(TRIM(Innings!D:D)=TRIM(E719)),0))</f>
        <v>28</v>
      </c>
      <c r="AD719" cm="1">
        <f t="array" ref="AD719">INDEX(Innings!S:S,MATCH(1,(TRIM(Innings!A:A)=TRIM(A719))*(TRIM(Innings!D:D)=TRIM(E719)),0))</f>
        <v>54</v>
      </c>
      <c r="AE719" t="str" cm="1">
        <f t="array" ref="AE719">INDEX(Innings!W:W,MATCH(1,(TRIM(Innings!A:A)=TRIM(A719))*(TRIM(Innings!D:D)=TRIM(E719)),0))</f>
        <v>Failed</v>
      </c>
      <c r="AF719">
        <f>IF(UPPER(TRIM(E719))=UPPER(TRIM(W719)),1,0)</f>
        <v>0</v>
      </c>
      <c r="AG719">
        <f t="shared" si="22"/>
        <v>4.55</v>
      </c>
    </row>
    <row r="720" spans="1:33" x14ac:dyDescent="0.3">
      <c r="A720" t="s">
        <v>358</v>
      </c>
      <c r="B720">
        <v>2</v>
      </c>
      <c r="C720" t="s">
        <v>220</v>
      </c>
      <c r="D720" t="s">
        <v>221</v>
      </c>
      <c r="E720" t="s">
        <v>219</v>
      </c>
      <c r="F720" t="s">
        <v>83</v>
      </c>
      <c r="G720" t="s">
        <v>134</v>
      </c>
      <c r="H720">
        <v>1</v>
      </c>
      <c r="I720">
        <v>5</v>
      </c>
      <c r="J720">
        <v>20</v>
      </c>
      <c r="K720" t="s">
        <v>246</v>
      </c>
      <c r="L720">
        <v>-2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 s="8">
        <v>-2</v>
      </c>
      <c r="V720" s="8">
        <f t="shared" si="23"/>
        <v>0</v>
      </c>
      <c r="W720" t="str">
        <f>_xlfn.XLOOKUP(A720, Matches!A:A, Matches!L:L, "NA", 0)</f>
        <v>RCBW</v>
      </c>
      <c r="X720" t="str">
        <f>_xlfn.XLOOKUP(A720, Matches!A:A, Matches!J:J, "NA", 0)</f>
        <v>UPW</v>
      </c>
      <c r="Y720" t="str">
        <f>_xlfn.XLOOKUP(A720, Matches!A:A, Matches!F:F, "NA", 0)</f>
        <v>M. Chinnaswamy Stadium</v>
      </c>
      <c r="Z720" cm="1">
        <f t="array" ref="Z720">INDEX(Innings!F:F,MATCH(1,(TRIM(Innings!A:A)=TRIM(A720))*(TRIM(Innings!D:D)=TRIM(E720)),0))</f>
        <v>175</v>
      </c>
      <c r="AA720" cm="1">
        <f t="array" ref="AA720">INDEX(Innings!I:I,MATCH(1,(TRIM(Innings!A:A)=TRIM(A720))*(TRIM(Innings!D:D)=TRIM(E720)),0))</f>
        <v>8.75</v>
      </c>
      <c r="AB720" cm="1">
        <f t="array" ref="AB720">INDEX(Innings!J:J,MATCH(1,(TRIM(Innings!A:A)=TRIM(A720))*(TRIM(Innings!D:D)=TRIM(E720)),0))</f>
        <v>56</v>
      </c>
      <c r="AC720" cm="1">
        <f t="array" ref="AC720">INDEX(Innings!N:N,MATCH(1,(TRIM(Innings!A:A)=TRIM(A720))*(TRIM(Innings!D:D)=TRIM(E720)),0))</f>
        <v>28</v>
      </c>
      <c r="AD720" cm="1">
        <f t="array" ref="AD720">INDEX(Innings!S:S,MATCH(1,(TRIM(Innings!A:A)=TRIM(A720))*(TRIM(Innings!D:D)=TRIM(E720)),0))</f>
        <v>54</v>
      </c>
      <c r="AE720" t="str" cm="1">
        <f t="array" ref="AE720">INDEX(Innings!W:W,MATCH(1,(TRIM(Innings!A:A)=TRIM(A720))*(TRIM(Innings!D:D)=TRIM(E720)),0))</f>
        <v>Failed</v>
      </c>
      <c r="AF720">
        <f>IF(UPPER(TRIM(E720))=UPPER(TRIM(W720)),1,0)</f>
        <v>0</v>
      </c>
      <c r="AG720">
        <f t="shared" si="22"/>
        <v>0</v>
      </c>
    </row>
    <row r="721" spans="1:33" x14ac:dyDescent="0.3">
      <c r="A721" t="s">
        <v>358</v>
      </c>
      <c r="B721">
        <v>2</v>
      </c>
      <c r="C721" t="s">
        <v>224</v>
      </c>
      <c r="D721" t="s">
        <v>225</v>
      </c>
      <c r="E721" t="s">
        <v>219</v>
      </c>
      <c r="F721" t="s">
        <v>169</v>
      </c>
      <c r="G721" t="s">
        <v>134</v>
      </c>
      <c r="H721">
        <v>33</v>
      </c>
      <c r="I721">
        <v>22</v>
      </c>
      <c r="J721">
        <v>150</v>
      </c>
      <c r="K721" t="s">
        <v>246</v>
      </c>
      <c r="L721">
        <v>36.6</v>
      </c>
      <c r="M721">
        <v>4</v>
      </c>
      <c r="N721">
        <v>0</v>
      </c>
      <c r="O721">
        <v>30</v>
      </c>
      <c r="P721">
        <v>1</v>
      </c>
      <c r="Q721">
        <v>7.5</v>
      </c>
      <c r="R721">
        <v>18</v>
      </c>
      <c r="S721">
        <v>0</v>
      </c>
      <c r="T721">
        <v>0</v>
      </c>
      <c r="U721" s="8">
        <v>54.6</v>
      </c>
      <c r="V721" s="8">
        <f t="shared" si="23"/>
        <v>5</v>
      </c>
      <c r="W721" t="str">
        <f>_xlfn.XLOOKUP(A721, Matches!A:A, Matches!L:L, "NA", 0)</f>
        <v>RCBW</v>
      </c>
      <c r="X721" t="str">
        <f>_xlfn.XLOOKUP(A721, Matches!A:A, Matches!J:J, "NA", 0)</f>
        <v>UPW</v>
      </c>
      <c r="Y721" t="str">
        <f>_xlfn.XLOOKUP(A721, Matches!A:A, Matches!F:F, "NA", 0)</f>
        <v>M. Chinnaswamy Stadium</v>
      </c>
      <c r="Z721" cm="1">
        <f t="array" ref="Z721">INDEX(Innings!F:F,MATCH(1,(TRIM(Innings!A:A)=TRIM(A721))*(TRIM(Innings!D:D)=TRIM(E721)),0))</f>
        <v>175</v>
      </c>
      <c r="AA721" cm="1">
        <f t="array" ref="AA721">INDEX(Innings!I:I,MATCH(1,(TRIM(Innings!A:A)=TRIM(A721))*(TRIM(Innings!D:D)=TRIM(E721)),0))</f>
        <v>8.75</v>
      </c>
      <c r="AB721" cm="1">
        <f t="array" ref="AB721">INDEX(Innings!J:J,MATCH(1,(TRIM(Innings!A:A)=TRIM(A721))*(TRIM(Innings!D:D)=TRIM(E721)),0))</f>
        <v>56</v>
      </c>
      <c r="AC721" cm="1">
        <f t="array" ref="AC721">INDEX(Innings!N:N,MATCH(1,(TRIM(Innings!A:A)=TRIM(A721))*(TRIM(Innings!D:D)=TRIM(E721)),0))</f>
        <v>28</v>
      </c>
      <c r="AD721" cm="1">
        <f t="array" ref="AD721">INDEX(Innings!S:S,MATCH(1,(TRIM(Innings!A:A)=TRIM(A721))*(TRIM(Innings!D:D)=TRIM(E721)),0))</f>
        <v>54</v>
      </c>
      <c r="AE721" t="str" cm="1">
        <f t="array" ref="AE721">INDEX(Innings!W:W,MATCH(1,(TRIM(Innings!A:A)=TRIM(A721))*(TRIM(Innings!D:D)=TRIM(E721)),0))</f>
        <v>Failed</v>
      </c>
      <c r="AF721">
        <f>IF(UPPER(TRIM(E721))=UPPER(TRIM(W721)),1,0)</f>
        <v>0</v>
      </c>
      <c r="AG721">
        <f t="shared" si="22"/>
        <v>28.8</v>
      </c>
    </row>
    <row r="722" spans="1:33" x14ac:dyDescent="0.3">
      <c r="A722" t="s">
        <v>358</v>
      </c>
      <c r="B722">
        <v>2</v>
      </c>
      <c r="C722" t="s">
        <v>273</v>
      </c>
      <c r="D722" t="s">
        <v>279</v>
      </c>
      <c r="E722" t="s">
        <v>219</v>
      </c>
      <c r="F722" t="s">
        <v>91</v>
      </c>
      <c r="G722" t="s">
        <v>134</v>
      </c>
      <c r="H722">
        <v>31</v>
      </c>
      <c r="I722">
        <v>24</v>
      </c>
      <c r="J722">
        <v>129.16999999999999</v>
      </c>
      <c r="K722" t="s">
        <v>245</v>
      </c>
      <c r="L722">
        <v>32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 s="8">
        <v>32</v>
      </c>
      <c r="V722" s="8">
        <f t="shared" si="23"/>
        <v>3</v>
      </c>
      <c r="W722" t="str">
        <f>_xlfn.XLOOKUP(A722, Matches!A:A, Matches!L:L, "NA", 0)</f>
        <v>RCBW</v>
      </c>
      <c r="X722" t="str">
        <f>_xlfn.XLOOKUP(A722, Matches!A:A, Matches!J:J, "NA", 0)</f>
        <v>UPW</v>
      </c>
      <c r="Y722" t="str">
        <f>_xlfn.XLOOKUP(A722, Matches!A:A, Matches!F:F, "NA", 0)</f>
        <v>M. Chinnaswamy Stadium</v>
      </c>
      <c r="Z722" cm="1">
        <f t="array" ref="Z722">INDEX(Innings!F:F,MATCH(1,(TRIM(Innings!A:A)=TRIM(A722))*(TRIM(Innings!D:D)=TRIM(E722)),0))</f>
        <v>175</v>
      </c>
      <c r="AA722" cm="1">
        <f t="array" ref="AA722">INDEX(Innings!I:I,MATCH(1,(TRIM(Innings!A:A)=TRIM(A722))*(TRIM(Innings!D:D)=TRIM(E722)),0))</f>
        <v>8.75</v>
      </c>
      <c r="AB722" cm="1">
        <f t="array" ref="AB722">INDEX(Innings!J:J,MATCH(1,(TRIM(Innings!A:A)=TRIM(A722))*(TRIM(Innings!D:D)=TRIM(E722)),0))</f>
        <v>56</v>
      </c>
      <c r="AC722" cm="1">
        <f t="array" ref="AC722">INDEX(Innings!N:N,MATCH(1,(TRIM(Innings!A:A)=TRIM(A722))*(TRIM(Innings!D:D)=TRIM(E722)),0))</f>
        <v>28</v>
      </c>
      <c r="AD722" cm="1">
        <f t="array" ref="AD722">INDEX(Innings!S:S,MATCH(1,(TRIM(Innings!A:A)=TRIM(A722))*(TRIM(Innings!D:D)=TRIM(E722)),0))</f>
        <v>54</v>
      </c>
      <c r="AE722" t="str" cm="1">
        <f t="array" ref="AE722">INDEX(Innings!W:W,MATCH(1,(TRIM(Innings!A:A)=TRIM(A722))*(TRIM(Innings!D:D)=TRIM(E722)),0))</f>
        <v>Failed</v>
      </c>
      <c r="AF722">
        <f>IF(UPPER(TRIM(E722))=UPPER(TRIM(W722)),1,0)</f>
        <v>0</v>
      </c>
      <c r="AG722">
        <f t="shared" si="22"/>
        <v>16.899999999999999</v>
      </c>
    </row>
    <row r="723" spans="1:33" x14ac:dyDescent="0.3">
      <c r="A723" t="s">
        <v>358</v>
      </c>
      <c r="B723">
        <v>2</v>
      </c>
      <c r="C723" t="s">
        <v>233</v>
      </c>
      <c r="D723" t="s">
        <v>234</v>
      </c>
      <c r="E723" t="s">
        <v>219</v>
      </c>
      <c r="F723" t="s">
        <v>101</v>
      </c>
      <c r="G723" t="s">
        <v>134</v>
      </c>
      <c r="H723">
        <v>4</v>
      </c>
      <c r="I723">
        <v>3</v>
      </c>
      <c r="J723">
        <v>133.33000000000001</v>
      </c>
      <c r="K723" t="s">
        <v>245</v>
      </c>
      <c r="L723">
        <v>6.3</v>
      </c>
      <c r="M723">
        <v>4</v>
      </c>
      <c r="N723">
        <v>0</v>
      </c>
      <c r="O723">
        <v>22</v>
      </c>
      <c r="P723">
        <v>1</v>
      </c>
      <c r="Q723">
        <v>5.5</v>
      </c>
      <c r="R723">
        <v>27</v>
      </c>
      <c r="S723">
        <v>0</v>
      </c>
      <c r="T723">
        <v>0</v>
      </c>
      <c r="U723" s="8">
        <v>33.299999999999997</v>
      </c>
      <c r="V723" s="8">
        <f t="shared" si="23"/>
        <v>3</v>
      </c>
      <c r="W723" t="str">
        <f>_xlfn.XLOOKUP(A723, Matches!A:A, Matches!L:L, "NA", 0)</f>
        <v>RCBW</v>
      </c>
      <c r="X723" t="str">
        <f>_xlfn.XLOOKUP(A723, Matches!A:A, Matches!J:J, "NA", 0)</f>
        <v>UPW</v>
      </c>
      <c r="Y723" t="str">
        <f>_xlfn.XLOOKUP(A723, Matches!A:A, Matches!F:F, "NA", 0)</f>
        <v>M. Chinnaswamy Stadium</v>
      </c>
      <c r="Z723" cm="1">
        <f t="array" ref="Z723">INDEX(Innings!F:F,MATCH(1,(TRIM(Innings!A:A)=TRIM(A723))*(TRIM(Innings!D:D)=TRIM(E723)),0))</f>
        <v>175</v>
      </c>
      <c r="AA723" cm="1">
        <f t="array" ref="AA723">INDEX(Innings!I:I,MATCH(1,(TRIM(Innings!A:A)=TRIM(A723))*(TRIM(Innings!D:D)=TRIM(E723)),0))</f>
        <v>8.75</v>
      </c>
      <c r="AB723" cm="1">
        <f t="array" ref="AB723">INDEX(Innings!J:J,MATCH(1,(TRIM(Innings!A:A)=TRIM(A723))*(TRIM(Innings!D:D)=TRIM(E723)),0))</f>
        <v>56</v>
      </c>
      <c r="AC723" cm="1">
        <f t="array" ref="AC723">INDEX(Innings!N:N,MATCH(1,(TRIM(Innings!A:A)=TRIM(A723))*(TRIM(Innings!D:D)=TRIM(E723)),0))</f>
        <v>28</v>
      </c>
      <c r="AD723" cm="1">
        <f t="array" ref="AD723">INDEX(Innings!S:S,MATCH(1,(TRIM(Innings!A:A)=TRIM(A723))*(TRIM(Innings!D:D)=TRIM(E723)),0))</f>
        <v>54</v>
      </c>
      <c r="AE723" t="str" cm="1">
        <f t="array" ref="AE723">INDEX(Innings!W:W,MATCH(1,(TRIM(Innings!A:A)=TRIM(A723))*(TRIM(Innings!D:D)=TRIM(E723)),0))</f>
        <v>Failed</v>
      </c>
      <c r="AF723">
        <f>IF(UPPER(TRIM(E723))=UPPER(TRIM(W723)),1,0)</f>
        <v>0</v>
      </c>
      <c r="AG723">
        <f t="shared" si="22"/>
        <v>17.549999999999997</v>
      </c>
    </row>
    <row r="724" spans="1:33" x14ac:dyDescent="0.3">
      <c r="A724" t="s">
        <v>358</v>
      </c>
      <c r="B724">
        <v>2</v>
      </c>
      <c r="C724" t="s">
        <v>235</v>
      </c>
      <c r="D724" t="s">
        <v>236</v>
      </c>
      <c r="E724" t="s">
        <v>219</v>
      </c>
      <c r="F724" t="s">
        <v>101</v>
      </c>
      <c r="G724" t="s">
        <v>134</v>
      </c>
      <c r="H724">
        <v>3</v>
      </c>
      <c r="I724">
        <v>4</v>
      </c>
      <c r="J724">
        <v>75</v>
      </c>
      <c r="K724" t="s">
        <v>96</v>
      </c>
      <c r="L724">
        <v>6</v>
      </c>
      <c r="M724">
        <v>3</v>
      </c>
      <c r="N724">
        <v>0</v>
      </c>
      <c r="O724">
        <v>41</v>
      </c>
      <c r="P724">
        <v>1</v>
      </c>
      <c r="Q724">
        <v>13.7</v>
      </c>
      <c r="R724">
        <v>0</v>
      </c>
      <c r="S724">
        <v>0</v>
      </c>
      <c r="T724">
        <v>0</v>
      </c>
      <c r="U724" s="8">
        <v>6</v>
      </c>
      <c r="V724" s="8">
        <f t="shared" si="23"/>
        <v>1</v>
      </c>
      <c r="W724" t="str">
        <f>_xlfn.XLOOKUP(A724, Matches!A:A, Matches!L:L, "NA", 0)</f>
        <v>RCBW</v>
      </c>
      <c r="X724" t="str">
        <f>_xlfn.XLOOKUP(A724, Matches!A:A, Matches!J:J, "NA", 0)</f>
        <v>UPW</v>
      </c>
      <c r="Y724" t="str">
        <f>_xlfn.XLOOKUP(A724, Matches!A:A, Matches!F:F, "NA", 0)</f>
        <v>M. Chinnaswamy Stadium</v>
      </c>
      <c r="Z724" cm="1">
        <f t="array" ref="Z724">INDEX(Innings!F:F,MATCH(1,(TRIM(Innings!A:A)=TRIM(A724))*(TRIM(Innings!D:D)=TRIM(E724)),0))</f>
        <v>175</v>
      </c>
      <c r="AA724" cm="1">
        <f t="array" ref="AA724">INDEX(Innings!I:I,MATCH(1,(TRIM(Innings!A:A)=TRIM(A724))*(TRIM(Innings!D:D)=TRIM(E724)),0))</f>
        <v>8.75</v>
      </c>
      <c r="AB724" cm="1">
        <f t="array" ref="AB724">INDEX(Innings!J:J,MATCH(1,(TRIM(Innings!A:A)=TRIM(A724))*(TRIM(Innings!D:D)=TRIM(E724)),0))</f>
        <v>56</v>
      </c>
      <c r="AC724" cm="1">
        <f t="array" ref="AC724">INDEX(Innings!N:N,MATCH(1,(TRIM(Innings!A:A)=TRIM(A724))*(TRIM(Innings!D:D)=TRIM(E724)),0))</f>
        <v>28</v>
      </c>
      <c r="AD724" cm="1">
        <f t="array" ref="AD724">INDEX(Innings!S:S,MATCH(1,(TRIM(Innings!A:A)=TRIM(A724))*(TRIM(Innings!D:D)=TRIM(E724)),0))</f>
        <v>54</v>
      </c>
      <c r="AE724" t="str" cm="1">
        <f t="array" ref="AE724">INDEX(Innings!W:W,MATCH(1,(TRIM(Innings!A:A)=TRIM(A724))*(TRIM(Innings!D:D)=TRIM(E724)),0))</f>
        <v>Failed</v>
      </c>
      <c r="AF724">
        <f>IF(UPPER(TRIM(E724))=UPPER(TRIM(W724)),1,0)</f>
        <v>0</v>
      </c>
      <c r="AG724">
        <f t="shared" si="22"/>
        <v>3.3</v>
      </c>
    </row>
    <row r="725" spans="1:33" x14ac:dyDescent="0.3">
      <c r="A725" t="s">
        <v>358</v>
      </c>
      <c r="B725">
        <v>2</v>
      </c>
      <c r="C725" t="s">
        <v>237</v>
      </c>
      <c r="D725" t="s">
        <v>238</v>
      </c>
      <c r="E725" t="s">
        <v>219</v>
      </c>
      <c r="F725" t="s">
        <v>101</v>
      </c>
      <c r="G725" t="s">
        <v>104</v>
      </c>
      <c r="H725">
        <v>0</v>
      </c>
      <c r="I725">
        <v>0</v>
      </c>
      <c r="J725">
        <v>0</v>
      </c>
      <c r="K725" t="s">
        <v>104</v>
      </c>
      <c r="L725">
        <v>0</v>
      </c>
      <c r="M725">
        <v>3</v>
      </c>
      <c r="N725">
        <v>0</v>
      </c>
      <c r="O725">
        <v>43</v>
      </c>
      <c r="P725">
        <v>0</v>
      </c>
      <c r="Q725">
        <v>14.3</v>
      </c>
      <c r="R725">
        <v>0</v>
      </c>
      <c r="S725">
        <v>0</v>
      </c>
      <c r="T725">
        <v>0</v>
      </c>
      <c r="U725" s="8">
        <v>0</v>
      </c>
      <c r="V725" s="8">
        <f t="shared" si="23"/>
        <v>0</v>
      </c>
      <c r="W725" t="str">
        <f>_xlfn.XLOOKUP(A725, Matches!A:A, Matches!L:L, "NA", 0)</f>
        <v>RCBW</v>
      </c>
      <c r="X725" t="str">
        <f>_xlfn.XLOOKUP(A725, Matches!A:A, Matches!J:J, "NA", 0)</f>
        <v>UPW</v>
      </c>
      <c r="Y725" t="str">
        <f>_xlfn.XLOOKUP(A725, Matches!A:A, Matches!F:F, "NA", 0)</f>
        <v>M. Chinnaswamy Stadium</v>
      </c>
      <c r="Z725" cm="1">
        <f t="array" ref="Z725">INDEX(Innings!F:F,MATCH(1,(TRIM(Innings!A:A)=TRIM(A725))*(TRIM(Innings!D:D)=TRIM(E725)),0))</f>
        <v>175</v>
      </c>
      <c r="AA725" cm="1">
        <f t="array" ref="AA725">INDEX(Innings!I:I,MATCH(1,(TRIM(Innings!A:A)=TRIM(A725))*(TRIM(Innings!D:D)=TRIM(E725)),0))</f>
        <v>8.75</v>
      </c>
      <c r="AB725" cm="1">
        <f t="array" ref="AB725">INDEX(Innings!J:J,MATCH(1,(TRIM(Innings!A:A)=TRIM(A725))*(TRIM(Innings!D:D)=TRIM(E725)),0))</f>
        <v>56</v>
      </c>
      <c r="AC725" cm="1">
        <f t="array" ref="AC725">INDEX(Innings!N:N,MATCH(1,(TRIM(Innings!A:A)=TRIM(A725))*(TRIM(Innings!D:D)=TRIM(E725)),0))</f>
        <v>28</v>
      </c>
      <c r="AD725" cm="1">
        <f t="array" ref="AD725">INDEX(Innings!S:S,MATCH(1,(TRIM(Innings!A:A)=TRIM(A725))*(TRIM(Innings!D:D)=TRIM(E725)),0))</f>
        <v>54</v>
      </c>
      <c r="AE725" t="str" cm="1">
        <f t="array" ref="AE725">INDEX(Innings!W:W,MATCH(1,(TRIM(Innings!A:A)=TRIM(A725))*(TRIM(Innings!D:D)=TRIM(E725)),0))</f>
        <v>Failed</v>
      </c>
      <c r="AF725">
        <f>IF(UPPER(TRIM(E725))=UPPER(TRIM(W725)),1,0)</f>
        <v>0</v>
      </c>
      <c r="AG725">
        <f t="shared" si="22"/>
        <v>0</v>
      </c>
    </row>
    <row r="726" spans="1:33" x14ac:dyDescent="0.3">
      <c r="A726" t="s">
        <v>358</v>
      </c>
      <c r="B726">
        <v>2</v>
      </c>
      <c r="C726" t="s">
        <v>377</v>
      </c>
      <c r="D726" t="s">
        <v>378</v>
      </c>
      <c r="E726" t="s">
        <v>219</v>
      </c>
      <c r="F726" t="s">
        <v>91</v>
      </c>
      <c r="G726" t="s">
        <v>104</v>
      </c>
      <c r="H726">
        <v>0</v>
      </c>
      <c r="I726">
        <v>0</v>
      </c>
      <c r="J726">
        <v>0</v>
      </c>
      <c r="K726" t="s">
        <v>104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 s="8">
        <v>0</v>
      </c>
      <c r="V726" s="8">
        <f t="shared" si="23"/>
        <v>0</v>
      </c>
      <c r="W726" t="str">
        <f>_xlfn.XLOOKUP(A726, Matches!A:A, Matches!L:L, "NA", 0)</f>
        <v>RCBW</v>
      </c>
      <c r="X726" t="str">
        <f>_xlfn.XLOOKUP(A726, Matches!A:A, Matches!J:J, "NA", 0)</f>
        <v>UPW</v>
      </c>
      <c r="Y726" t="str">
        <f>_xlfn.XLOOKUP(A726, Matches!A:A, Matches!F:F, "NA", 0)</f>
        <v>M. Chinnaswamy Stadium</v>
      </c>
      <c r="Z726" cm="1">
        <f t="array" ref="Z726">INDEX(Innings!F:F,MATCH(1,(TRIM(Innings!A:A)=TRIM(A726))*(TRIM(Innings!D:D)=TRIM(E726)),0))</f>
        <v>175</v>
      </c>
      <c r="AA726" cm="1">
        <f t="array" ref="AA726">INDEX(Innings!I:I,MATCH(1,(TRIM(Innings!A:A)=TRIM(A726))*(TRIM(Innings!D:D)=TRIM(E726)),0))</f>
        <v>8.75</v>
      </c>
      <c r="AB726" cm="1">
        <f t="array" ref="AB726">INDEX(Innings!J:J,MATCH(1,(TRIM(Innings!A:A)=TRIM(A726))*(TRIM(Innings!D:D)=TRIM(E726)),0))</f>
        <v>56</v>
      </c>
      <c r="AC726" cm="1">
        <f t="array" ref="AC726">INDEX(Innings!N:N,MATCH(1,(TRIM(Innings!A:A)=TRIM(A726))*(TRIM(Innings!D:D)=TRIM(E726)),0))</f>
        <v>28</v>
      </c>
      <c r="AD726" cm="1">
        <f t="array" ref="AD726">INDEX(Innings!S:S,MATCH(1,(TRIM(Innings!A:A)=TRIM(A726))*(TRIM(Innings!D:D)=TRIM(E726)),0))</f>
        <v>54</v>
      </c>
      <c r="AE726" t="str" cm="1">
        <f t="array" ref="AE726">INDEX(Innings!W:W,MATCH(1,(TRIM(Innings!A:A)=TRIM(A726))*(TRIM(Innings!D:D)=TRIM(E726)),0))</f>
        <v>Failed</v>
      </c>
      <c r="AF726">
        <f>IF(UPPER(TRIM(E726))=UPPER(TRIM(W726)),1,0)</f>
        <v>0</v>
      </c>
      <c r="AG726">
        <f t="shared" si="22"/>
        <v>0</v>
      </c>
    </row>
    <row r="727" spans="1:33" x14ac:dyDescent="0.3">
      <c r="A727" t="s">
        <v>359</v>
      </c>
      <c r="B727">
        <v>2</v>
      </c>
      <c r="C727" t="s">
        <v>190</v>
      </c>
      <c r="D727" t="s">
        <v>191</v>
      </c>
      <c r="E727" t="s">
        <v>158</v>
      </c>
      <c r="F727" t="s">
        <v>109</v>
      </c>
      <c r="G727" t="s">
        <v>86</v>
      </c>
      <c r="H727">
        <v>53</v>
      </c>
      <c r="I727">
        <v>38</v>
      </c>
      <c r="J727">
        <v>139.47</v>
      </c>
      <c r="K727" t="s">
        <v>246</v>
      </c>
      <c r="L727">
        <v>52.4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 s="8">
        <v>52.4</v>
      </c>
      <c r="V727" s="8">
        <f t="shared" si="23"/>
        <v>5</v>
      </c>
      <c r="W727" t="str">
        <f>_xlfn.XLOOKUP(A727, Matches!A:A, Matches!L:L, "NA", 0)</f>
        <v>DCW</v>
      </c>
      <c r="X727" t="str">
        <f>_xlfn.XLOOKUP(A727, Matches!A:A, Matches!J:J, "NA", 0)</f>
        <v>MIW</v>
      </c>
      <c r="Y727" t="str">
        <f>_xlfn.XLOOKUP(A727, Matches!A:A, Matches!F:F, "NA", 0)</f>
        <v xml:space="preserve"> Arun Jaitley Stadium</v>
      </c>
      <c r="Z727" cm="1">
        <f t="array" ref="Z727">INDEX(Innings!F:F,MATCH(1,(TRIM(Innings!A:A)=TRIM(A727))*(TRIM(Innings!D:D)=TRIM(E727)),0))</f>
        <v>192</v>
      </c>
      <c r="AA727" cm="1">
        <f t="array" ref="AA727">INDEX(Innings!I:I,MATCH(1,(TRIM(Innings!A:A)=TRIM(A727))*(TRIM(Innings!D:D)=TRIM(E727)),0))</f>
        <v>9.6</v>
      </c>
      <c r="AB727" cm="1">
        <f t="array" ref="AB727">INDEX(Innings!J:J,MATCH(1,(TRIM(Innings!A:A)=TRIM(A727))*(TRIM(Innings!D:D)=TRIM(E727)),0))</f>
        <v>56</v>
      </c>
      <c r="AC727" cm="1">
        <f t="array" ref="AC727">INDEX(Innings!N:N,MATCH(1,(TRIM(Innings!A:A)=TRIM(A727))*(TRIM(Innings!D:D)=TRIM(E727)),0))</f>
        <v>53</v>
      </c>
      <c r="AD727" cm="1">
        <f t="array" ref="AD727">INDEX(Innings!S:S,MATCH(1,(TRIM(Innings!A:A)=TRIM(A727))*(TRIM(Innings!D:D)=TRIM(E727)),0))</f>
        <v>36</v>
      </c>
      <c r="AE727" t="str" cm="1">
        <f t="array" ref="AE727">INDEX(Innings!W:W,MATCH(1,(TRIM(Innings!A:A)=TRIM(A727))*(TRIM(Innings!D:D)=TRIM(E727)),0))</f>
        <v>NA</v>
      </c>
      <c r="AF727">
        <f>IF(UPPER(TRIM(E727))=UPPER(TRIM(W727)),1,0)</f>
        <v>1</v>
      </c>
      <c r="AG727">
        <f t="shared" si="22"/>
        <v>47.7</v>
      </c>
    </row>
    <row r="728" spans="1:33" x14ac:dyDescent="0.3">
      <c r="A728" t="s">
        <v>359</v>
      </c>
      <c r="B728">
        <v>2</v>
      </c>
      <c r="C728" t="s">
        <v>188</v>
      </c>
      <c r="D728" t="s">
        <v>189</v>
      </c>
      <c r="E728" t="s">
        <v>158</v>
      </c>
      <c r="F728" t="s">
        <v>83</v>
      </c>
      <c r="G728" t="s">
        <v>86</v>
      </c>
      <c r="H728">
        <v>28</v>
      </c>
      <c r="I728">
        <v>12</v>
      </c>
      <c r="J728">
        <v>233.33</v>
      </c>
      <c r="K728" t="s">
        <v>246</v>
      </c>
      <c r="L728">
        <v>41.5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 s="8">
        <v>41.5</v>
      </c>
      <c r="V728" s="8">
        <f t="shared" si="23"/>
        <v>4</v>
      </c>
      <c r="W728" t="str">
        <f>_xlfn.XLOOKUP(A728, Matches!A:A, Matches!L:L, "NA", 0)</f>
        <v>DCW</v>
      </c>
      <c r="X728" t="str">
        <f>_xlfn.XLOOKUP(A728, Matches!A:A, Matches!J:J, "NA", 0)</f>
        <v>MIW</v>
      </c>
      <c r="Y728" t="str">
        <f>_xlfn.XLOOKUP(A728, Matches!A:A, Matches!F:F, "NA", 0)</f>
        <v xml:space="preserve"> Arun Jaitley Stadium</v>
      </c>
      <c r="Z728" cm="1">
        <f t="array" ref="Z728">INDEX(Innings!F:F,MATCH(1,(TRIM(Innings!A:A)=TRIM(A728))*(TRIM(Innings!D:D)=TRIM(E728)),0))</f>
        <v>192</v>
      </c>
      <c r="AA728" cm="1">
        <f t="array" ref="AA728">INDEX(Innings!I:I,MATCH(1,(TRIM(Innings!A:A)=TRIM(A728))*(TRIM(Innings!D:D)=TRIM(E728)),0))</f>
        <v>9.6</v>
      </c>
      <c r="AB728" cm="1">
        <f t="array" ref="AB728">INDEX(Innings!J:J,MATCH(1,(TRIM(Innings!A:A)=TRIM(A728))*(TRIM(Innings!D:D)=TRIM(E728)),0))</f>
        <v>56</v>
      </c>
      <c r="AC728" cm="1">
        <f t="array" ref="AC728">INDEX(Innings!N:N,MATCH(1,(TRIM(Innings!A:A)=TRIM(A728))*(TRIM(Innings!D:D)=TRIM(E728)),0))</f>
        <v>53</v>
      </c>
      <c r="AD728" cm="1">
        <f t="array" ref="AD728">INDEX(Innings!S:S,MATCH(1,(TRIM(Innings!A:A)=TRIM(A728))*(TRIM(Innings!D:D)=TRIM(E728)),0))</f>
        <v>36</v>
      </c>
      <c r="AE728" t="str" cm="1">
        <f t="array" ref="AE728">INDEX(Innings!W:W,MATCH(1,(TRIM(Innings!A:A)=TRIM(A728))*(TRIM(Innings!D:D)=TRIM(E728)),0))</f>
        <v>NA</v>
      </c>
      <c r="AF728">
        <f>IF(UPPER(TRIM(E728))=UPPER(TRIM(W728)),1,0)</f>
        <v>1</v>
      </c>
      <c r="AG728">
        <f t="shared" si="22"/>
        <v>41.95</v>
      </c>
    </row>
    <row r="729" spans="1:33" x14ac:dyDescent="0.3">
      <c r="A729" t="s">
        <v>359</v>
      </c>
      <c r="B729">
        <v>2</v>
      </c>
      <c r="C729" t="s">
        <v>196</v>
      </c>
      <c r="D729" t="s">
        <v>197</v>
      </c>
      <c r="E729" t="s">
        <v>158</v>
      </c>
      <c r="F729" t="s">
        <v>109</v>
      </c>
      <c r="G729" t="s">
        <v>92</v>
      </c>
      <c r="H729">
        <v>19</v>
      </c>
      <c r="I729">
        <v>20</v>
      </c>
      <c r="J729">
        <v>95</v>
      </c>
      <c r="K729" t="s">
        <v>245</v>
      </c>
      <c r="L729">
        <v>12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 s="8">
        <v>12</v>
      </c>
      <c r="V729" s="8">
        <f t="shared" si="23"/>
        <v>1</v>
      </c>
      <c r="W729" t="str">
        <f>_xlfn.XLOOKUP(A729, Matches!A:A, Matches!L:L, "NA", 0)</f>
        <v>DCW</v>
      </c>
      <c r="X729" t="str">
        <f>_xlfn.XLOOKUP(A729, Matches!A:A, Matches!J:J, "NA", 0)</f>
        <v>MIW</v>
      </c>
      <c r="Y729" t="str">
        <f>_xlfn.XLOOKUP(A729, Matches!A:A, Matches!F:F, "NA", 0)</f>
        <v xml:space="preserve"> Arun Jaitley Stadium</v>
      </c>
      <c r="Z729" cm="1">
        <f t="array" ref="Z729">INDEX(Innings!F:F,MATCH(1,(TRIM(Innings!A:A)=TRIM(A729))*(TRIM(Innings!D:D)=TRIM(E729)),0))</f>
        <v>192</v>
      </c>
      <c r="AA729" cm="1">
        <f t="array" ref="AA729">INDEX(Innings!I:I,MATCH(1,(TRIM(Innings!A:A)=TRIM(A729))*(TRIM(Innings!D:D)=TRIM(E729)),0))</f>
        <v>9.6</v>
      </c>
      <c r="AB729" cm="1">
        <f t="array" ref="AB729">INDEX(Innings!J:J,MATCH(1,(TRIM(Innings!A:A)=TRIM(A729))*(TRIM(Innings!D:D)=TRIM(E729)),0))</f>
        <v>56</v>
      </c>
      <c r="AC729" cm="1">
        <f t="array" ref="AC729">INDEX(Innings!N:N,MATCH(1,(TRIM(Innings!A:A)=TRIM(A729))*(TRIM(Innings!D:D)=TRIM(E729)),0))</f>
        <v>53</v>
      </c>
      <c r="AD729" cm="1">
        <f t="array" ref="AD729">INDEX(Innings!S:S,MATCH(1,(TRIM(Innings!A:A)=TRIM(A729))*(TRIM(Innings!D:D)=TRIM(E729)),0))</f>
        <v>36</v>
      </c>
      <c r="AE729" t="str" cm="1">
        <f t="array" ref="AE729">INDEX(Innings!W:W,MATCH(1,(TRIM(Innings!A:A)=TRIM(A729))*(TRIM(Innings!D:D)=TRIM(E729)),0))</f>
        <v>NA</v>
      </c>
      <c r="AF729">
        <f>IF(UPPER(TRIM(E729))=UPPER(TRIM(W729)),1,0)</f>
        <v>1</v>
      </c>
      <c r="AG729">
        <f t="shared" si="22"/>
        <v>26.3</v>
      </c>
    </row>
    <row r="730" spans="1:33" x14ac:dyDescent="0.3">
      <c r="A730" t="s">
        <v>359</v>
      </c>
      <c r="B730">
        <v>2</v>
      </c>
      <c r="C730" t="s">
        <v>194</v>
      </c>
      <c r="D730" t="s">
        <v>195</v>
      </c>
      <c r="E730" t="s">
        <v>158</v>
      </c>
      <c r="F730" t="s">
        <v>109</v>
      </c>
      <c r="G730" t="s">
        <v>92</v>
      </c>
      <c r="H730">
        <v>69</v>
      </c>
      <c r="I730">
        <v>33</v>
      </c>
      <c r="J730">
        <v>209.09</v>
      </c>
      <c r="K730" t="s">
        <v>96</v>
      </c>
      <c r="L730">
        <v>83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 s="8">
        <v>83</v>
      </c>
      <c r="V730" s="8">
        <f t="shared" si="23"/>
        <v>8</v>
      </c>
      <c r="W730" t="str">
        <f>_xlfn.XLOOKUP(A730, Matches!A:A, Matches!L:L, "NA", 0)</f>
        <v>DCW</v>
      </c>
      <c r="X730" t="str">
        <f>_xlfn.XLOOKUP(A730, Matches!A:A, Matches!J:J, "NA", 0)</f>
        <v>MIW</v>
      </c>
      <c r="Y730" t="str">
        <f>_xlfn.XLOOKUP(A730, Matches!A:A, Matches!F:F, "NA", 0)</f>
        <v xml:space="preserve"> Arun Jaitley Stadium</v>
      </c>
      <c r="Z730" cm="1">
        <f t="array" ref="Z730">INDEX(Innings!F:F,MATCH(1,(TRIM(Innings!A:A)=TRIM(A730))*(TRIM(Innings!D:D)=TRIM(E730)),0))</f>
        <v>192</v>
      </c>
      <c r="AA730" cm="1">
        <f t="array" ref="AA730">INDEX(Innings!I:I,MATCH(1,(TRIM(Innings!A:A)=TRIM(A730))*(TRIM(Innings!D:D)=TRIM(E730)),0))</f>
        <v>9.6</v>
      </c>
      <c r="AB730" cm="1">
        <f t="array" ref="AB730">INDEX(Innings!J:J,MATCH(1,(TRIM(Innings!A:A)=TRIM(A730))*(TRIM(Innings!D:D)=TRIM(E730)),0))</f>
        <v>56</v>
      </c>
      <c r="AC730" cm="1">
        <f t="array" ref="AC730">INDEX(Innings!N:N,MATCH(1,(TRIM(Innings!A:A)=TRIM(A730))*(TRIM(Innings!D:D)=TRIM(E730)),0))</f>
        <v>53</v>
      </c>
      <c r="AD730" cm="1">
        <f t="array" ref="AD730">INDEX(Innings!S:S,MATCH(1,(TRIM(Innings!A:A)=TRIM(A730))*(TRIM(Innings!D:D)=TRIM(E730)),0))</f>
        <v>36</v>
      </c>
      <c r="AE730" t="str" cm="1">
        <f t="array" ref="AE730">INDEX(Innings!W:W,MATCH(1,(TRIM(Innings!A:A)=TRIM(A730))*(TRIM(Innings!D:D)=TRIM(E730)),0))</f>
        <v>NA</v>
      </c>
      <c r="AF730">
        <f>IF(UPPER(TRIM(E730))=UPPER(TRIM(W730)),1,0)</f>
        <v>1</v>
      </c>
      <c r="AG730">
        <f t="shared" si="22"/>
        <v>63.9</v>
      </c>
    </row>
    <row r="731" spans="1:33" x14ac:dyDescent="0.3">
      <c r="A731" t="s">
        <v>359</v>
      </c>
      <c r="B731">
        <v>2</v>
      </c>
      <c r="C731" t="s">
        <v>192</v>
      </c>
      <c r="D731" t="s">
        <v>193</v>
      </c>
      <c r="E731" t="s">
        <v>158</v>
      </c>
      <c r="F731" t="s">
        <v>169</v>
      </c>
      <c r="G731" t="s">
        <v>134</v>
      </c>
      <c r="H731">
        <v>11</v>
      </c>
      <c r="I731">
        <v>12</v>
      </c>
      <c r="J731">
        <v>91.67</v>
      </c>
      <c r="K731" t="s">
        <v>246</v>
      </c>
      <c r="L731">
        <v>7.3</v>
      </c>
      <c r="M731">
        <v>4</v>
      </c>
      <c r="N731">
        <v>0</v>
      </c>
      <c r="O731">
        <v>37</v>
      </c>
      <c r="P731">
        <v>2</v>
      </c>
      <c r="Q731">
        <v>9.1999999999999993</v>
      </c>
      <c r="R731">
        <v>28</v>
      </c>
      <c r="S731">
        <v>0</v>
      </c>
      <c r="T731">
        <v>0</v>
      </c>
      <c r="U731" s="8">
        <v>35.299999999999997</v>
      </c>
      <c r="V731" s="8">
        <f t="shared" si="23"/>
        <v>4</v>
      </c>
      <c r="W731" t="str">
        <f>_xlfn.XLOOKUP(A731, Matches!A:A, Matches!L:L, "NA", 0)</f>
        <v>DCW</v>
      </c>
      <c r="X731" t="str">
        <f>_xlfn.XLOOKUP(A731, Matches!A:A, Matches!J:J, "NA", 0)</f>
        <v>MIW</v>
      </c>
      <c r="Y731" t="str">
        <f>_xlfn.XLOOKUP(A731, Matches!A:A, Matches!F:F, "NA", 0)</f>
        <v xml:space="preserve"> Arun Jaitley Stadium</v>
      </c>
      <c r="Z731" cm="1">
        <f t="array" ref="Z731">INDEX(Innings!F:F,MATCH(1,(TRIM(Innings!A:A)=TRIM(A731))*(TRIM(Innings!D:D)=TRIM(E731)),0))</f>
        <v>192</v>
      </c>
      <c r="AA731" cm="1">
        <f t="array" ref="AA731">INDEX(Innings!I:I,MATCH(1,(TRIM(Innings!A:A)=TRIM(A731))*(TRIM(Innings!D:D)=TRIM(E731)),0))</f>
        <v>9.6</v>
      </c>
      <c r="AB731" cm="1">
        <f t="array" ref="AB731">INDEX(Innings!J:J,MATCH(1,(TRIM(Innings!A:A)=TRIM(A731))*(TRIM(Innings!D:D)=TRIM(E731)),0))</f>
        <v>56</v>
      </c>
      <c r="AC731" cm="1">
        <f t="array" ref="AC731">INDEX(Innings!N:N,MATCH(1,(TRIM(Innings!A:A)=TRIM(A731))*(TRIM(Innings!D:D)=TRIM(E731)),0))</f>
        <v>53</v>
      </c>
      <c r="AD731" cm="1">
        <f t="array" ref="AD731">INDEX(Innings!S:S,MATCH(1,(TRIM(Innings!A:A)=TRIM(A731))*(TRIM(Innings!D:D)=TRIM(E731)),0))</f>
        <v>36</v>
      </c>
      <c r="AE731" t="str" cm="1">
        <f t="array" ref="AE731">INDEX(Innings!W:W,MATCH(1,(TRIM(Innings!A:A)=TRIM(A731))*(TRIM(Innings!D:D)=TRIM(E731)),0))</f>
        <v>NA</v>
      </c>
      <c r="AF731">
        <f>IF(UPPER(TRIM(E731))=UPPER(TRIM(W731)),1,0)</f>
        <v>1</v>
      </c>
      <c r="AG731">
        <f t="shared" si="22"/>
        <v>38.849999999999994</v>
      </c>
    </row>
    <row r="732" spans="1:33" x14ac:dyDescent="0.3">
      <c r="A732" t="s">
        <v>359</v>
      </c>
      <c r="B732">
        <v>2</v>
      </c>
      <c r="C732" t="s">
        <v>198</v>
      </c>
      <c r="D732" t="s">
        <v>199</v>
      </c>
      <c r="E732" t="s">
        <v>158</v>
      </c>
      <c r="F732" t="s">
        <v>101</v>
      </c>
      <c r="G732" t="s">
        <v>134</v>
      </c>
      <c r="H732">
        <v>4</v>
      </c>
      <c r="I732">
        <v>5</v>
      </c>
      <c r="J732">
        <v>80</v>
      </c>
      <c r="K732" t="s">
        <v>96</v>
      </c>
      <c r="L732">
        <v>3</v>
      </c>
      <c r="M732">
        <v>4</v>
      </c>
      <c r="N732">
        <v>0</v>
      </c>
      <c r="O732">
        <v>21</v>
      </c>
      <c r="P732">
        <v>3</v>
      </c>
      <c r="Q732">
        <v>5.2</v>
      </c>
      <c r="R732">
        <v>48</v>
      </c>
      <c r="S732">
        <v>0</v>
      </c>
      <c r="T732">
        <v>0</v>
      </c>
      <c r="U732" s="8">
        <v>51</v>
      </c>
      <c r="V732" s="8">
        <f t="shared" si="23"/>
        <v>5</v>
      </c>
      <c r="W732" t="str">
        <f>_xlfn.XLOOKUP(A732, Matches!A:A, Matches!L:L, "NA", 0)</f>
        <v>DCW</v>
      </c>
      <c r="X732" t="str">
        <f>_xlfn.XLOOKUP(A732, Matches!A:A, Matches!J:J, "NA", 0)</f>
        <v>MIW</v>
      </c>
      <c r="Y732" t="str">
        <f>_xlfn.XLOOKUP(A732, Matches!A:A, Matches!F:F, "NA", 0)</f>
        <v xml:space="preserve"> Arun Jaitley Stadium</v>
      </c>
      <c r="Z732" cm="1">
        <f t="array" ref="Z732">INDEX(Innings!F:F,MATCH(1,(TRIM(Innings!A:A)=TRIM(A732))*(TRIM(Innings!D:D)=TRIM(E732)),0))</f>
        <v>192</v>
      </c>
      <c r="AA732" cm="1">
        <f t="array" ref="AA732">INDEX(Innings!I:I,MATCH(1,(TRIM(Innings!A:A)=TRIM(A732))*(TRIM(Innings!D:D)=TRIM(E732)),0))</f>
        <v>9.6</v>
      </c>
      <c r="AB732" cm="1">
        <f t="array" ref="AB732">INDEX(Innings!J:J,MATCH(1,(TRIM(Innings!A:A)=TRIM(A732))*(TRIM(Innings!D:D)=TRIM(E732)),0))</f>
        <v>56</v>
      </c>
      <c r="AC732" cm="1">
        <f t="array" ref="AC732">INDEX(Innings!N:N,MATCH(1,(TRIM(Innings!A:A)=TRIM(A732))*(TRIM(Innings!D:D)=TRIM(E732)),0))</f>
        <v>53</v>
      </c>
      <c r="AD732" cm="1">
        <f t="array" ref="AD732">INDEX(Innings!S:S,MATCH(1,(TRIM(Innings!A:A)=TRIM(A732))*(TRIM(Innings!D:D)=TRIM(E732)),0))</f>
        <v>36</v>
      </c>
      <c r="AE732" t="str" cm="1">
        <f t="array" ref="AE732">INDEX(Innings!W:W,MATCH(1,(TRIM(Innings!A:A)=TRIM(A732))*(TRIM(Innings!D:D)=TRIM(E732)),0))</f>
        <v>NA</v>
      </c>
      <c r="AF732">
        <f>IF(UPPER(TRIM(E732))=UPPER(TRIM(W732)),1,0)</f>
        <v>1</v>
      </c>
      <c r="AG732">
        <f t="shared" si="22"/>
        <v>47</v>
      </c>
    </row>
    <row r="733" spans="1:33" x14ac:dyDescent="0.3">
      <c r="A733" t="s">
        <v>359</v>
      </c>
      <c r="B733">
        <v>2</v>
      </c>
      <c r="C733" t="s">
        <v>200</v>
      </c>
      <c r="D733" t="s">
        <v>201</v>
      </c>
      <c r="E733" t="s">
        <v>158</v>
      </c>
      <c r="F733" t="s">
        <v>85</v>
      </c>
      <c r="G733" t="s">
        <v>104</v>
      </c>
      <c r="H733">
        <v>0</v>
      </c>
      <c r="I733">
        <v>0</v>
      </c>
      <c r="J733">
        <v>0</v>
      </c>
      <c r="K733" t="s">
        <v>104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 s="8">
        <v>0</v>
      </c>
      <c r="V733" s="8">
        <f t="shared" si="23"/>
        <v>0</v>
      </c>
      <c r="W733" t="str">
        <f>_xlfn.XLOOKUP(A733, Matches!A:A, Matches!L:L, "NA", 0)</f>
        <v>DCW</v>
      </c>
      <c r="X733" t="str">
        <f>_xlfn.XLOOKUP(A733, Matches!A:A, Matches!J:J, "NA", 0)</f>
        <v>MIW</v>
      </c>
      <c r="Y733" t="str">
        <f>_xlfn.XLOOKUP(A733, Matches!A:A, Matches!F:F, "NA", 0)</f>
        <v xml:space="preserve"> Arun Jaitley Stadium</v>
      </c>
      <c r="Z733" cm="1">
        <f t="array" ref="Z733">INDEX(Innings!F:F,MATCH(1,(TRIM(Innings!A:A)=TRIM(A733))*(TRIM(Innings!D:D)=TRIM(E733)),0))</f>
        <v>192</v>
      </c>
      <c r="AA733" cm="1">
        <f t="array" ref="AA733">INDEX(Innings!I:I,MATCH(1,(TRIM(Innings!A:A)=TRIM(A733))*(TRIM(Innings!D:D)=TRIM(E733)),0))</f>
        <v>9.6</v>
      </c>
      <c r="AB733" cm="1">
        <f t="array" ref="AB733">INDEX(Innings!J:J,MATCH(1,(TRIM(Innings!A:A)=TRIM(A733))*(TRIM(Innings!D:D)=TRIM(E733)),0))</f>
        <v>56</v>
      </c>
      <c r="AC733" cm="1">
        <f t="array" ref="AC733">INDEX(Innings!N:N,MATCH(1,(TRIM(Innings!A:A)=TRIM(A733))*(TRIM(Innings!D:D)=TRIM(E733)),0))</f>
        <v>53</v>
      </c>
      <c r="AD733" cm="1">
        <f t="array" ref="AD733">INDEX(Innings!S:S,MATCH(1,(TRIM(Innings!A:A)=TRIM(A733))*(TRIM(Innings!D:D)=TRIM(E733)),0))</f>
        <v>36</v>
      </c>
      <c r="AE733" t="str" cm="1">
        <f t="array" ref="AE733">INDEX(Innings!W:W,MATCH(1,(TRIM(Innings!A:A)=TRIM(A733))*(TRIM(Innings!D:D)=TRIM(E733)),0))</f>
        <v>NA</v>
      </c>
      <c r="AF733">
        <f>IF(UPPER(TRIM(E733))=UPPER(TRIM(W733)),1,0)</f>
        <v>1</v>
      </c>
      <c r="AG733">
        <f t="shared" si="22"/>
        <v>20</v>
      </c>
    </row>
    <row r="734" spans="1:33" x14ac:dyDescent="0.3">
      <c r="A734" t="s">
        <v>359</v>
      </c>
      <c r="B734">
        <v>2</v>
      </c>
      <c r="C734" t="s">
        <v>202</v>
      </c>
      <c r="D734" t="s">
        <v>203</v>
      </c>
      <c r="E734" t="s">
        <v>158</v>
      </c>
      <c r="F734" t="s">
        <v>101</v>
      </c>
      <c r="G734" t="s">
        <v>104</v>
      </c>
      <c r="H734">
        <v>0</v>
      </c>
      <c r="I734">
        <v>0</v>
      </c>
      <c r="J734">
        <v>0</v>
      </c>
      <c r="K734" t="s">
        <v>104</v>
      </c>
      <c r="L734">
        <v>0</v>
      </c>
      <c r="M734">
        <v>3</v>
      </c>
      <c r="N734">
        <v>0</v>
      </c>
      <c r="O734">
        <v>32</v>
      </c>
      <c r="P734">
        <v>0</v>
      </c>
      <c r="Q734">
        <v>10.7</v>
      </c>
      <c r="R734">
        <v>0</v>
      </c>
      <c r="S734">
        <v>0</v>
      </c>
      <c r="T734">
        <v>0</v>
      </c>
      <c r="U734" s="8">
        <v>0</v>
      </c>
      <c r="V734" s="8">
        <f t="shared" si="23"/>
        <v>0</v>
      </c>
      <c r="W734" t="str">
        <f>_xlfn.XLOOKUP(A734, Matches!A:A, Matches!L:L, "NA", 0)</f>
        <v>DCW</v>
      </c>
      <c r="X734" t="str">
        <f>_xlfn.XLOOKUP(A734, Matches!A:A, Matches!J:J, "NA", 0)</f>
        <v>MIW</v>
      </c>
      <c r="Y734" t="str">
        <f>_xlfn.XLOOKUP(A734, Matches!A:A, Matches!F:F, "NA", 0)</f>
        <v xml:space="preserve"> Arun Jaitley Stadium</v>
      </c>
      <c r="Z734" cm="1">
        <f t="array" ref="Z734">INDEX(Innings!F:F,MATCH(1,(TRIM(Innings!A:A)=TRIM(A734))*(TRIM(Innings!D:D)=TRIM(E734)),0))</f>
        <v>192</v>
      </c>
      <c r="AA734" cm="1">
        <f t="array" ref="AA734">INDEX(Innings!I:I,MATCH(1,(TRIM(Innings!A:A)=TRIM(A734))*(TRIM(Innings!D:D)=TRIM(E734)),0))</f>
        <v>9.6</v>
      </c>
      <c r="AB734" cm="1">
        <f t="array" ref="AB734">INDEX(Innings!J:J,MATCH(1,(TRIM(Innings!A:A)=TRIM(A734))*(TRIM(Innings!D:D)=TRIM(E734)),0))</f>
        <v>56</v>
      </c>
      <c r="AC734" cm="1">
        <f t="array" ref="AC734">INDEX(Innings!N:N,MATCH(1,(TRIM(Innings!A:A)=TRIM(A734))*(TRIM(Innings!D:D)=TRIM(E734)),0))</f>
        <v>53</v>
      </c>
      <c r="AD734" cm="1">
        <f t="array" ref="AD734">INDEX(Innings!S:S,MATCH(1,(TRIM(Innings!A:A)=TRIM(A734))*(TRIM(Innings!D:D)=TRIM(E734)),0))</f>
        <v>36</v>
      </c>
      <c r="AE734" t="str" cm="1">
        <f t="array" ref="AE734">INDEX(Innings!W:W,MATCH(1,(TRIM(Innings!A:A)=TRIM(A734))*(TRIM(Innings!D:D)=TRIM(E734)),0))</f>
        <v>NA</v>
      </c>
      <c r="AF734">
        <f>IF(UPPER(TRIM(E734))=UPPER(TRIM(W734)),1,0)</f>
        <v>1</v>
      </c>
      <c r="AG734">
        <f t="shared" si="22"/>
        <v>20</v>
      </c>
    </row>
    <row r="735" spans="1:33" x14ac:dyDescent="0.3">
      <c r="A735" t="s">
        <v>359</v>
      </c>
      <c r="B735">
        <v>2</v>
      </c>
      <c r="C735" t="s">
        <v>413</v>
      </c>
      <c r="D735" t="s">
        <v>423</v>
      </c>
      <c r="E735" t="s">
        <v>158</v>
      </c>
      <c r="F735" t="s">
        <v>101</v>
      </c>
      <c r="G735" t="s">
        <v>104</v>
      </c>
      <c r="H735">
        <v>0</v>
      </c>
      <c r="I735">
        <v>0</v>
      </c>
      <c r="J735">
        <v>0</v>
      </c>
      <c r="K735" t="s">
        <v>104</v>
      </c>
      <c r="L735">
        <v>0</v>
      </c>
      <c r="M735">
        <v>3</v>
      </c>
      <c r="N735">
        <v>0</v>
      </c>
      <c r="O735">
        <v>23</v>
      </c>
      <c r="P735">
        <v>1</v>
      </c>
      <c r="Q735">
        <v>7.7</v>
      </c>
      <c r="R735">
        <v>20</v>
      </c>
      <c r="S735">
        <v>0</v>
      </c>
      <c r="T735">
        <v>0</v>
      </c>
      <c r="U735" s="8">
        <v>20</v>
      </c>
      <c r="V735" s="8">
        <f t="shared" si="23"/>
        <v>2</v>
      </c>
      <c r="W735" t="str">
        <f>_xlfn.XLOOKUP(A735, Matches!A:A, Matches!L:L, "NA", 0)</f>
        <v>DCW</v>
      </c>
      <c r="X735" t="str">
        <f>_xlfn.XLOOKUP(A735, Matches!A:A, Matches!J:J, "NA", 0)</f>
        <v>MIW</v>
      </c>
      <c r="Y735" t="str">
        <f>_xlfn.XLOOKUP(A735, Matches!A:A, Matches!F:F, "NA", 0)</f>
        <v xml:space="preserve"> Arun Jaitley Stadium</v>
      </c>
      <c r="Z735" cm="1">
        <f t="array" ref="Z735">INDEX(Innings!F:F,MATCH(1,(TRIM(Innings!A:A)=TRIM(A735))*(TRIM(Innings!D:D)=TRIM(E735)),0))</f>
        <v>192</v>
      </c>
      <c r="AA735" cm="1">
        <f t="array" ref="AA735">INDEX(Innings!I:I,MATCH(1,(TRIM(Innings!A:A)=TRIM(A735))*(TRIM(Innings!D:D)=TRIM(E735)),0))</f>
        <v>9.6</v>
      </c>
      <c r="AB735" cm="1">
        <f t="array" ref="AB735">INDEX(Innings!J:J,MATCH(1,(TRIM(Innings!A:A)=TRIM(A735))*(TRIM(Innings!D:D)=TRIM(E735)),0))</f>
        <v>56</v>
      </c>
      <c r="AC735" cm="1">
        <f t="array" ref="AC735">INDEX(Innings!N:N,MATCH(1,(TRIM(Innings!A:A)=TRIM(A735))*(TRIM(Innings!D:D)=TRIM(E735)),0))</f>
        <v>53</v>
      </c>
      <c r="AD735" cm="1">
        <f t="array" ref="AD735">INDEX(Innings!S:S,MATCH(1,(TRIM(Innings!A:A)=TRIM(A735))*(TRIM(Innings!D:D)=TRIM(E735)),0))</f>
        <v>36</v>
      </c>
      <c r="AE735" t="str" cm="1">
        <f t="array" ref="AE735">INDEX(Innings!W:W,MATCH(1,(TRIM(Innings!A:A)=TRIM(A735))*(TRIM(Innings!D:D)=TRIM(E735)),0))</f>
        <v>NA</v>
      </c>
      <c r="AF735">
        <f>IF(UPPER(TRIM(E735))=UPPER(TRIM(W735)),1,0)</f>
        <v>1</v>
      </c>
      <c r="AG735">
        <f t="shared" si="22"/>
        <v>30.6</v>
      </c>
    </row>
    <row r="736" spans="1:33" x14ac:dyDescent="0.3">
      <c r="A736" t="s">
        <v>359</v>
      </c>
      <c r="B736">
        <v>2</v>
      </c>
      <c r="C736" t="s">
        <v>204</v>
      </c>
      <c r="D736" t="s">
        <v>205</v>
      </c>
      <c r="E736" t="s">
        <v>158</v>
      </c>
      <c r="F736" t="s">
        <v>91</v>
      </c>
      <c r="G736" t="s">
        <v>104</v>
      </c>
      <c r="H736">
        <v>0</v>
      </c>
      <c r="I736">
        <v>0</v>
      </c>
      <c r="J736">
        <v>0</v>
      </c>
      <c r="K736" t="s">
        <v>104</v>
      </c>
      <c r="L736">
        <v>0</v>
      </c>
      <c r="M736">
        <v>3</v>
      </c>
      <c r="N736">
        <v>0</v>
      </c>
      <c r="O736">
        <v>27</v>
      </c>
      <c r="P736">
        <v>1</v>
      </c>
      <c r="Q736">
        <v>9</v>
      </c>
      <c r="R736">
        <v>18</v>
      </c>
      <c r="S736">
        <v>0</v>
      </c>
      <c r="T736">
        <v>0</v>
      </c>
      <c r="U736" s="8">
        <v>18</v>
      </c>
      <c r="V736" s="8">
        <f t="shared" si="23"/>
        <v>2</v>
      </c>
      <c r="W736" t="str">
        <f>_xlfn.XLOOKUP(A736, Matches!A:A, Matches!L:L, "NA", 0)</f>
        <v>DCW</v>
      </c>
      <c r="X736" t="str">
        <f>_xlfn.XLOOKUP(A736, Matches!A:A, Matches!J:J, "NA", 0)</f>
        <v>MIW</v>
      </c>
      <c r="Y736" t="str">
        <f>_xlfn.XLOOKUP(A736, Matches!A:A, Matches!F:F, "NA", 0)</f>
        <v xml:space="preserve"> Arun Jaitley Stadium</v>
      </c>
      <c r="Z736" cm="1">
        <f t="array" ref="Z736">INDEX(Innings!F:F,MATCH(1,(TRIM(Innings!A:A)=TRIM(A736))*(TRIM(Innings!D:D)=TRIM(E736)),0))</f>
        <v>192</v>
      </c>
      <c r="AA736" cm="1">
        <f t="array" ref="AA736">INDEX(Innings!I:I,MATCH(1,(TRIM(Innings!A:A)=TRIM(A736))*(TRIM(Innings!D:D)=TRIM(E736)),0))</f>
        <v>9.6</v>
      </c>
      <c r="AB736" cm="1">
        <f t="array" ref="AB736">INDEX(Innings!J:J,MATCH(1,(TRIM(Innings!A:A)=TRIM(A736))*(TRIM(Innings!D:D)=TRIM(E736)),0))</f>
        <v>56</v>
      </c>
      <c r="AC736" cm="1">
        <f t="array" ref="AC736">INDEX(Innings!N:N,MATCH(1,(TRIM(Innings!A:A)=TRIM(A736))*(TRIM(Innings!D:D)=TRIM(E736)),0))</f>
        <v>53</v>
      </c>
      <c r="AD736" cm="1">
        <f t="array" ref="AD736">INDEX(Innings!S:S,MATCH(1,(TRIM(Innings!A:A)=TRIM(A736))*(TRIM(Innings!D:D)=TRIM(E736)),0))</f>
        <v>36</v>
      </c>
      <c r="AE736" t="str" cm="1">
        <f t="array" ref="AE736">INDEX(Innings!W:W,MATCH(1,(TRIM(Innings!A:A)=TRIM(A736))*(TRIM(Innings!D:D)=TRIM(E736)),0))</f>
        <v>NA</v>
      </c>
      <c r="AF736">
        <f>IF(UPPER(TRIM(E736))=UPPER(TRIM(W736)),1,0)</f>
        <v>1</v>
      </c>
      <c r="AG736">
        <f t="shared" si="22"/>
        <v>29.6</v>
      </c>
    </row>
    <row r="737" spans="1:33" x14ac:dyDescent="0.3">
      <c r="A737" t="s">
        <v>359</v>
      </c>
      <c r="B737">
        <v>2</v>
      </c>
      <c r="C737" t="s">
        <v>206</v>
      </c>
      <c r="D737" t="s">
        <v>207</v>
      </c>
      <c r="E737" t="s">
        <v>158</v>
      </c>
      <c r="F737" t="s">
        <v>101</v>
      </c>
      <c r="G737" t="s">
        <v>104</v>
      </c>
      <c r="H737">
        <v>0</v>
      </c>
      <c r="I737">
        <v>0</v>
      </c>
      <c r="J737">
        <v>0</v>
      </c>
      <c r="K737" t="s">
        <v>104</v>
      </c>
      <c r="L737">
        <v>0</v>
      </c>
      <c r="M737">
        <v>3</v>
      </c>
      <c r="N737">
        <v>0</v>
      </c>
      <c r="O737">
        <v>23</v>
      </c>
      <c r="P737">
        <v>1</v>
      </c>
      <c r="Q737">
        <v>7.7</v>
      </c>
      <c r="R737">
        <v>20</v>
      </c>
      <c r="S737">
        <v>0</v>
      </c>
      <c r="T737">
        <v>0</v>
      </c>
      <c r="U737" s="8">
        <v>20</v>
      </c>
      <c r="V737" s="8">
        <f t="shared" si="23"/>
        <v>2</v>
      </c>
      <c r="W737" t="str">
        <f>_xlfn.XLOOKUP(A737, Matches!A:A, Matches!L:L, "NA", 0)</f>
        <v>DCW</v>
      </c>
      <c r="X737" t="str">
        <f>_xlfn.XLOOKUP(A737, Matches!A:A, Matches!J:J, "NA", 0)</f>
        <v>MIW</v>
      </c>
      <c r="Y737" t="str">
        <f>_xlfn.XLOOKUP(A737, Matches!A:A, Matches!F:F, "NA", 0)</f>
        <v xml:space="preserve"> Arun Jaitley Stadium</v>
      </c>
      <c r="Z737" cm="1">
        <f t="array" ref="Z737">INDEX(Innings!F:F,MATCH(1,(TRIM(Innings!A:A)=TRIM(A737))*(TRIM(Innings!D:D)=TRIM(E737)),0))</f>
        <v>192</v>
      </c>
      <c r="AA737" cm="1">
        <f t="array" ref="AA737">INDEX(Innings!I:I,MATCH(1,(TRIM(Innings!A:A)=TRIM(A737))*(TRIM(Innings!D:D)=TRIM(E737)),0))</f>
        <v>9.6</v>
      </c>
      <c r="AB737" cm="1">
        <f t="array" ref="AB737">INDEX(Innings!J:J,MATCH(1,(TRIM(Innings!A:A)=TRIM(A737))*(TRIM(Innings!D:D)=TRIM(E737)),0))</f>
        <v>56</v>
      </c>
      <c r="AC737" cm="1">
        <f t="array" ref="AC737">INDEX(Innings!N:N,MATCH(1,(TRIM(Innings!A:A)=TRIM(A737))*(TRIM(Innings!D:D)=TRIM(E737)),0))</f>
        <v>53</v>
      </c>
      <c r="AD737" cm="1">
        <f t="array" ref="AD737">INDEX(Innings!S:S,MATCH(1,(TRIM(Innings!A:A)=TRIM(A737))*(TRIM(Innings!D:D)=TRIM(E737)),0))</f>
        <v>36</v>
      </c>
      <c r="AE737" t="str" cm="1">
        <f t="array" ref="AE737">INDEX(Innings!W:W,MATCH(1,(TRIM(Innings!A:A)=TRIM(A737))*(TRIM(Innings!D:D)=TRIM(E737)),0))</f>
        <v>NA</v>
      </c>
      <c r="AF737">
        <f>IF(UPPER(TRIM(E737))=UPPER(TRIM(W737)),1,0)</f>
        <v>1</v>
      </c>
      <c r="AG737">
        <f t="shared" si="22"/>
        <v>30.6</v>
      </c>
    </row>
    <row r="738" spans="1:33" x14ac:dyDescent="0.3">
      <c r="A738" t="s">
        <v>359</v>
      </c>
      <c r="B738">
        <v>2</v>
      </c>
      <c r="C738" t="s">
        <v>112</v>
      </c>
      <c r="D738" t="s">
        <v>88</v>
      </c>
      <c r="E738" t="s">
        <v>266</v>
      </c>
      <c r="F738" t="s">
        <v>83</v>
      </c>
      <c r="G738" t="s">
        <v>86</v>
      </c>
      <c r="H738">
        <v>29</v>
      </c>
      <c r="I738">
        <v>17</v>
      </c>
      <c r="J738">
        <v>170.59</v>
      </c>
      <c r="K738" t="s">
        <v>246</v>
      </c>
      <c r="L738">
        <v>30.8</v>
      </c>
      <c r="M738">
        <v>2</v>
      </c>
      <c r="N738">
        <v>0</v>
      </c>
      <c r="O738">
        <v>23</v>
      </c>
      <c r="P738">
        <v>1</v>
      </c>
      <c r="Q738">
        <v>11.5</v>
      </c>
      <c r="R738">
        <v>18</v>
      </c>
      <c r="S738">
        <v>0</v>
      </c>
      <c r="T738">
        <v>0</v>
      </c>
      <c r="U738" s="8">
        <v>48.8</v>
      </c>
      <c r="V738" s="8">
        <f t="shared" si="23"/>
        <v>5</v>
      </c>
      <c r="W738" t="str">
        <f>_xlfn.XLOOKUP(A738, Matches!A:A, Matches!L:L, "NA", 0)</f>
        <v>DCW</v>
      </c>
      <c r="X738" t="str">
        <f>_xlfn.XLOOKUP(A738, Matches!A:A, Matches!J:J, "NA", 0)</f>
        <v>MIW</v>
      </c>
      <c r="Y738" t="str">
        <f>_xlfn.XLOOKUP(A738, Matches!A:A, Matches!F:F, "NA", 0)</f>
        <v xml:space="preserve"> Arun Jaitley Stadium</v>
      </c>
      <c r="Z738" cm="1">
        <f t="array" ref="Z738">INDEX(Innings!F:F,MATCH(1,(TRIM(Innings!A:A)=TRIM(A738))*(TRIM(Innings!D:D)=TRIM(E738)),0))</f>
        <v>163</v>
      </c>
      <c r="AA738" cm="1">
        <f t="array" ref="AA738">INDEX(Innings!I:I,MATCH(1,(TRIM(Innings!A:A)=TRIM(A738))*(TRIM(Innings!D:D)=TRIM(E738)),0))</f>
        <v>8.15</v>
      </c>
      <c r="AB738" cm="1">
        <f t="array" ref="AB738">INDEX(Innings!J:J,MATCH(1,(TRIM(Innings!A:A)=TRIM(A738))*(TRIM(Innings!D:D)=TRIM(E738)),0))</f>
        <v>54</v>
      </c>
      <c r="AC738" cm="1">
        <f t="array" ref="AC738">INDEX(Innings!N:N,MATCH(1,(TRIM(Innings!A:A)=TRIM(A738))*(TRIM(Innings!D:D)=TRIM(E738)),0))</f>
        <v>43</v>
      </c>
      <c r="AD738" cm="1">
        <f t="array" ref="AD738">INDEX(Innings!S:S,MATCH(1,(TRIM(Innings!A:A)=TRIM(A738))*(TRIM(Innings!D:D)=TRIM(E738)),0))</f>
        <v>42</v>
      </c>
      <c r="AE738" t="str" cm="1">
        <f t="array" ref="AE738">INDEX(Innings!W:W,MATCH(1,(TRIM(Innings!A:A)=TRIM(A738))*(TRIM(Innings!D:D)=TRIM(E738)),0))</f>
        <v>Failed</v>
      </c>
      <c r="AF738">
        <f>IF(UPPER(TRIM(E738))=UPPER(TRIM(W738)),1,0)</f>
        <v>0</v>
      </c>
      <c r="AG738">
        <f t="shared" si="22"/>
        <v>25.9</v>
      </c>
    </row>
    <row r="739" spans="1:33" x14ac:dyDescent="0.3">
      <c r="A739" t="s">
        <v>359</v>
      </c>
      <c r="B739">
        <v>2</v>
      </c>
      <c r="C739" t="s">
        <v>113</v>
      </c>
      <c r="D739" t="s">
        <v>84</v>
      </c>
      <c r="E739" t="s">
        <v>266</v>
      </c>
      <c r="F739" t="s">
        <v>85</v>
      </c>
      <c r="G739" t="s">
        <v>86</v>
      </c>
      <c r="H739">
        <v>6</v>
      </c>
      <c r="I739">
        <v>3</v>
      </c>
      <c r="J739">
        <v>200</v>
      </c>
      <c r="K739" t="s">
        <v>245</v>
      </c>
      <c r="L739">
        <v>10.7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 s="8">
        <v>10.7</v>
      </c>
      <c r="V739" s="8">
        <f t="shared" si="23"/>
        <v>1</v>
      </c>
      <c r="W739" t="str">
        <f>_xlfn.XLOOKUP(A739, Matches!A:A, Matches!L:L, "NA", 0)</f>
        <v>DCW</v>
      </c>
      <c r="X739" t="str">
        <f>_xlfn.XLOOKUP(A739, Matches!A:A, Matches!J:J, "NA", 0)</f>
        <v>MIW</v>
      </c>
      <c r="Y739" t="str">
        <f>_xlfn.XLOOKUP(A739, Matches!A:A, Matches!F:F, "NA", 0)</f>
        <v xml:space="preserve"> Arun Jaitley Stadium</v>
      </c>
      <c r="Z739" cm="1">
        <f t="array" ref="Z739">INDEX(Innings!F:F,MATCH(1,(TRIM(Innings!A:A)=TRIM(A739))*(TRIM(Innings!D:D)=TRIM(E739)),0))</f>
        <v>163</v>
      </c>
      <c r="AA739" cm="1">
        <f t="array" ref="AA739">INDEX(Innings!I:I,MATCH(1,(TRIM(Innings!A:A)=TRIM(A739))*(TRIM(Innings!D:D)=TRIM(E739)),0))</f>
        <v>8.15</v>
      </c>
      <c r="AB739" cm="1">
        <f t="array" ref="AB739">INDEX(Innings!J:J,MATCH(1,(TRIM(Innings!A:A)=TRIM(A739))*(TRIM(Innings!D:D)=TRIM(E739)),0))</f>
        <v>54</v>
      </c>
      <c r="AC739" cm="1">
        <f t="array" ref="AC739">INDEX(Innings!N:N,MATCH(1,(TRIM(Innings!A:A)=TRIM(A739))*(TRIM(Innings!D:D)=TRIM(E739)),0))</f>
        <v>43</v>
      </c>
      <c r="AD739" cm="1">
        <f t="array" ref="AD739">INDEX(Innings!S:S,MATCH(1,(TRIM(Innings!A:A)=TRIM(A739))*(TRIM(Innings!D:D)=TRIM(E739)),0))</f>
        <v>42</v>
      </c>
      <c r="AE739" t="str" cm="1">
        <f t="array" ref="AE739">INDEX(Innings!W:W,MATCH(1,(TRIM(Innings!A:A)=TRIM(A739))*(TRIM(Innings!D:D)=TRIM(E739)),0))</f>
        <v>Failed</v>
      </c>
      <c r="AF739">
        <f>IF(UPPER(TRIM(E739))=UPPER(TRIM(W739)),1,0)</f>
        <v>0</v>
      </c>
      <c r="AG739">
        <f t="shared" si="22"/>
        <v>5.6499999999999995</v>
      </c>
    </row>
    <row r="740" spans="1:33" x14ac:dyDescent="0.3">
      <c r="A740" t="s">
        <v>359</v>
      </c>
      <c r="B740">
        <v>2</v>
      </c>
      <c r="C740" t="s">
        <v>117</v>
      </c>
      <c r="D740" t="s">
        <v>90</v>
      </c>
      <c r="E740" t="s">
        <v>266</v>
      </c>
      <c r="F740" t="s">
        <v>169</v>
      </c>
      <c r="G740" t="s">
        <v>92</v>
      </c>
      <c r="H740">
        <v>5</v>
      </c>
      <c r="I740">
        <v>3</v>
      </c>
      <c r="J740">
        <v>166.67</v>
      </c>
      <c r="K740" t="s">
        <v>245</v>
      </c>
      <c r="L740">
        <v>7.3</v>
      </c>
      <c r="M740">
        <v>4</v>
      </c>
      <c r="N740">
        <v>0</v>
      </c>
      <c r="O740">
        <v>38</v>
      </c>
      <c r="P740">
        <v>0</v>
      </c>
      <c r="Q740">
        <v>9.5</v>
      </c>
      <c r="R740">
        <v>5</v>
      </c>
      <c r="S740">
        <v>0</v>
      </c>
      <c r="T740">
        <v>0</v>
      </c>
      <c r="U740" s="8">
        <v>12.3</v>
      </c>
      <c r="V740" s="8">
        <f t="shared" si="23"/>
        <v>1</v>
      </c>
      <c r="W740" t="str">
        <f>_xlfn.XLOOKUP(A740, Matches!A:A, Matches!L:L, "NA", 0)</f>
        <v>DCW</v>
      </c>
      <c r="X740" t="str">
        <f>_xlfn.XLOOKUP(A740, Matches!A:A, Matches!J:J, "NA", 0)</f>
        <v>MIW</v>
      </c>
      <c r="Y740" t="str">
        <f>_xlfn.XLOOKUP(A740, Matches!A:A, Matches!F:F, "NA", 0)</f>
        <v xml:space="preserve"> Arun Jaitley Stadium</v>
      </c>
      <c r="Z740" cm="1">
        <f t="array" ref="Z740">INDEX(Innings!F:F,MATCH(1,(TRIM(Innings!A:A)=TRIM(A740))*(TRIM(Innings!D:D)=TRIM(E740)),0))</f>
        <v>163</v>
      </c>
      <c r="AA740" cm="1">
        <f t="array" ref="AA740">INDEX(Innings!I:I,MATCH(1,(TRIM(Innings!A:A)=TRIM(A740))*(TRIM(Innings!D:D)=TRIM(E740)),0))</f>
        <v>8.15</v>
      </c>
      <c r="AB740" cm="1">
        <f t="array" ref="AB740">INDEX(Innings!J:J,MATCH(1,(TRIM(Innings!A:A)=TRIM(A740))*(TRIM(Innings!D:D)=TRIM(E740)),0))</f>
        <v>54</v>
      </c>
      <c r="AC740" cm="1">
        <f t="array" ref="AC740">INDEX(Innings!N:N,MATCH(1,(TRIM(Innings!A:A)=TRIM(A740))*(TRIM(Innings!D:D)=TRIM(E740)),0))</f>
        <v>43</v>
      </c>
      <c r="AD740" cm="1">
        <f t="array" ref="AD740">INDEX(Innings!S:S,MATCH(1,(TRIM(Innings!A:A)=TRIM(A740))*(TRIM(Innings!D:D)=TRIM(E740)),0))</f>
        <v>42</v>
      </c>
      <c r="AE740" t="str" cm="1">
        <f t="array" ref="AE740">INDEX(Innings!W:W,MATCH(1,(TRIM(Innings!A:A)=TRIM(A740))*(TRIM(Innings!D:D)=TRIM(E740)),0))</f>
        <v>Failed</v>
      </c>
      <c r="AF740">
        <f>IF(UPPER(TRIM(E740))=UPPER(TRIM(W740)),1,0)</f>
        <v>0</v>
      </c>
      <c r="AG740">
        <f t="shared" si="22"/>
        <v>6.45</v>
      </c>
    </row>
    <row r="741" spans="1:33" x14ac:dyDescent="0.3">
      <c r="A741" t="s">
        <v>359</v>
      </c>
      <c r="B741">
        <v>2</v>
      </c>
      <c r="C741" t="s">
        <v>115</v>
      </c>
      <c r="D741" t="s">
        <v>17</v>
      </c>
      <c r="E741" t="s">
        <v>266</v>
      </c>
      <c r="F741" t="s">
        <v>83</v>
      </c>
      <c r="G741" t="s">
        <v>92</v>
      </c>
      <c r="H741">
        <v>6</v>
      </c>
      <c r="I741">
        <v>6</v>
      </c>
      <c r="J741">
        <v>100</v>
      </c>
      <c r="K741" t="s">
        <v>246</v>
      </c>
      <c r="L741">
        <v>4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 s="8">
        <v>4</v>
      </c>
      <c r="V741" s="8">
        <f t="shared" si="23"/>
        <v>0</v>
      </c>
      <c r="W741" t="str">
        <f>_xlfn.XLOOKUP(A741, Matches!A:A, Matches!L:L, "NA", 0)</f>
        <v>DCW</v>
      </c>
      <c r="X741" t="str">
        <f>_xlfn.XLOOKUP(A741, Matches!A:A, Matches!J:J, "NA", 0)</f>
        <v>MIW</v>
      </c>
      <c r="Y741" t="str">
        <f>_xlfn.XLOOKUP(A741, Matches!A:A, Matches!F:F, "NA", 0)</f>
        <v xml:space="preserve"> Arun Jaitley Stadium</v>
      </c>
      <c r="Z741" cm="1">
        <f t="array" ref="Z741">INDEX(Innings!F:F,MATCH(1,(TRIM(Innings!A:A)=TRIM(A741))*(TRIM(Innings!D:D)=TRIM(E741)),0))</f>
        <v>163</v>
      </c>
      <c r="AA741" cm="1">
        <f t="array" ref="AA741">INDEX(Innings!I:I,MATCH(1,(TRIM(Innings!A:A)=TRIM(A741))*(TRIM(Innings!D:D)=TRIM(E741)),0))</f>
        <v>8.15</v>
      </c>
      <c r="AB741" cm="1">
        <f t="array" ref="AB741">INDEX(Innings!J:J,MATCH(1,(TRIM(Innings!A:A)=TRIM(A741))*(TRIM(Innings!D:D)=TRIM(E741)),0))</f>
        <v>54</v>
      </c>
      <c r="AC741" cm="1">
        <f t="array" ref="AC741">INDEX(Innings!N:N,MATCH(1,(TRIM(Innings!A:A)=TRIM(A741))*(TRIM(Innings!D:D)=TRIM(E741)),0))</f>
        <v>43</v>
      </c>
      <c r="AD741" cm="1">
        <f t="array" ref="AD741">INDEX(Innings!S:S,MATCH(1,(TRIM(Innings!A:A)=TRIM(A741))*(TRIM(Innings!D:D)=TRIM(E741)),0))</f>
        <v>42</v>
      </c>
      <c r="AE741" t="str" cm="1">
        <f t="array" ref="AE741">INDEX(Innings!W:W,MATCH(1,(TRIM(Innings!A:A)=TRIM(A741))*(TRIM(Innings!D:D)=TRIM(E741)),0))</f>
        <v>Failed</v>
      </c>
      <c r="AF741">
        <f>IF(UPPER(TRIM(E741))=UPPER(TRIM(W741)),1,0)</f>
        <v>0</v>
      </c>
      <c r="AG741">
        <f t="shared" si="22"/>
        <v>2</v>
      </c>
    </row>
    <row r="742" spans="1:33" x14ac:dyDescent="0.3">
      <c r="A742" t="s">
        <v>359</v>
      </c>
      <c r="B742">
        <v>2</v>
      </c>
      <c r="C742" t="s">
        <v>119</v>
      </c>
      <c r="D742" t="s">
        <v>95</v>
      </c>
      <c r="E742" t="s">
        <v>266</v>
      </c>
      <c r="F742" t="s">
        <v>169</v>
      </c>
      <c r="G742" t="s">
        <v>134</v>
      </c>
      <c r="H742">
        <v>17</v>
      </c>
      <c r="I742">
        <v>20</v>
      </c>
      <c r="J742">
        <v>85</v>
      </c>
      <c r="K742" t="s">
        <v>246</v>
      </c>
      <c r="L742">
        <v>6.4</v>
      </c>
      <c r="M742">
        <v>2</v>
      </c>
      <c r="N742">
        <v>0</v>
      </c>
      <c r="O742">
        <v>35</v>
      </c>
      <c r="P742">
        <v>0</v>
      </c>
      <c r="Q742">
        <v>17.5</v>
      </c>
      <c r="R742">
        <v>0</v>
      </c>
      <c r="S742">
        <v>0</v>
      </c>
      <c r="T742">
        <v>0</v>
      </c>
      <c r="U742" s="8">
        <v>6.4</v>
      </c>
      <c r="V742" s="8">
        <f t="shared" si="23"/>
        <v>1</v>
      </c>
      <c r="W742" t="str">
        <f>_xlfn.XLOOKUP(A742, Matches!A:A, Matches!L:L, "NA", 0)</f>
        <v>DCW</v>
      </c>
      <c r="X742" t="str">
        <f>_xlfn.XLOOKUP(A742, Matches!A:A, Matches!J:J, "NA", 0)</f>
        <v>MIW</v>
      </c>
      <c r="Y742" t="str">
        <f>_xlfn.XLOOKUP(A742, Matches!A:A, Matches!F:F, "NA", 0)</f>
        <v xml:space="preserve"> Arun Jaitley Stadium</v>
      </c>
      <c r="Z742" cm="1">
        <f t="array" ref="Z742">INDEX(Innings!F:F,MATCH(1,(TRIM(Innings!A:A)=TRIM(A742))*(TRIM(Innings!D:D)=TRIM(E742)),0))</f>
        <v>163</v>
      </c>
      <c r="AA742" cm="1">
        <f t="array" ref="AA742">INDEX(Innings!I:I,MATCH(1,(TRIM(Innings!A:A)=TRIM(A742))*(TRIM(Innings!D:D)=TRIM(E742)),0))</f>
        <v>8.15</v>
      </c>
      <c r="AB742" cm="1">
        <f t="array" ref="AB742">INDEX(Innings!J:J,MATCH(1,(TRIM(Innings!A:A)=TRIM(A742))*(TRIM(Innings!D:D)=TRIM(E742)),0))</f>
        <v>54</v>
      </c>
      <c r="AC742" cm="1">
        <f t="array" ref="AC742">INDEX(Innings!N:N,MATCH(1,(TRIM(Innings!A:A)=TRIM(A742))*(TRIM(Innings!D:D)=TRIM(E742)),0))</f>
        <v>43</v>
      </c>
      <c r="AD742" cm="1">
        <f t="array" ref="AD742">INDEX(Innings!S:S,MATCH(1,(TRIM(Innings!A:A)=TRIM(A742))*(TRIM(Innings!D:D)=TRIM(E742)),0))</f>
        <v>42</v>
      </c>
      <c r="AE742" t="str" cm="1">
        <f t="array" ref="AE742">INDEX(Innings!W:W,MATCH(1,(TRIM(Innings!A:A)=TRIM(A742))*(TRIM(Innings!D:D)=TRIM(E742)),0))</f>
        <v>Failed</v>
      </c>
      <c r="AF742">
        <f>IF(UPPER(TRIM(E742))=UPPER(TRIM(W742)),1,0)</f>
        <v>0</v>
      </c>
      <c r="AG742">
        <f t="shared" si="22"/>
        <v>3.5</v>
      </c>
    </row>
    <row r="743" spans="1:33" x14ac:dyDescent="0.3">
      <c r="A743" t="s">
        <v>359</v>
      </c>
      <c r="B743">
        <v>2</v>
      </c>
      <c r="C743" t="s">
        <v>123</v>
      </c>
      <c r="D743" t="s">
        <v>98</v>
      </c>
      <c r="E743" t="s">
        <v>266</v>
      </c>
      <c r="F743" t="s">
        <v>91</v>
      </c>
      <c r="G743" t="s">
        <v>134</v>
      </c>
      <c r="H743">
        <v>17</v>
      </c>
      <c r="I743">
        <v>22</v>
      </c>
      <c r="J743">
        <v>77.27</v>
      </c>
      <c r="K743" t="s">
        <v>248</v>
      </c>
      <c r="L743">
        <v>5.6</v>
      </c>
      <c r="M743">
        <v>4</v>
      </c>
      <c r="N743">
        <v>0</v>
      </c>
      <c r="O743">
        <v>20</v>
      </c>
      <c r="P743">
        <v>1</v>
      </c>
      <c r="Q743">
        <v>5</v>
      </c>
      <c r="R743">
        <v>27</v>
      </c>
      <c r="S743">
        <v>0</v>
      </c>
      <c r="T743">
        <v>0</v>
      </c>
      <c r="U743" s="8">
        <v>32.6</v>
      </c>
      <c r="V743" s="8">
        <f t="shared" si="23"/>
        <v>3</v>
      </c>
      <c r="W743" t="str">
        <f>_xlfn.XLOOKUP(A743, Matches!A:A, Matches!L:L, "NA", 0)</f>
        <v>DCW</v>
      </c>
      <c r="X743" t="str">
        <f>_xlfn.XLOOKUP(A743, Matches!A:A, Matches!J:J, "NA", 0)</f>
        <v>MIW</v>
      </c>
      <c r="Y743" t="str">
        <f>_xlfn.XLOOKUP(A743, Matches!A:A, Matches!F:F, "NA", 0)</f>
        <v xml:space="preserve"> Arun Jaitley Stadium</v>
      </c>
      <c r="Z743" cm="1">
        <f t="array" ref="Z743">INDEX(Innings!F:F,MATCH(1,(TRIM(Innings!A:A)=TRIM(A743))*(TRIM(Innings!D:D)=TRIM(E743)),0))</f>
        <v>163</v>
      </c>
      <c r="AA743" cm="1">
        <f t="array" ref="AA743">INDEX(Innings!I:I,MATCH(1,(TRIM(Innings!A:A)=TRIM(A743))*(TRIM(Innings!D:D)=TRIM(E743)),0))</f>
        <v>8.15</v>
      </c>
      <c r="AB743" cm="1">
        <f t="array" ref="AB743">INDEX(Innings!J:J,MATCH(1,(TRIM(Innings!A:A)=TRIM(A743))*(TRIM(Innings!D:D)=TRIM(E743)),0))</f>
        <v>54</v>
      </c>
      <c r="AC743" cm="1">
        <f t="array" ref="AC743">INDEX(Innings!N:N,MATCH(1,(TRIM(Innings!A:A)=TRIM(A743))*(TRIM(Innings!D:D)=TRIM(E743)),0))</f>
        <v>43</v>
      </c>
      <c r="AD743" cm="1">
        <f t="array" ref="AD743">INDEX(Innings!S:S,MATCH(1,(TRIM(Innings!A:A)=TRIM(A743))*(TRIM(Innings!D:D)=TRIM(E743)),0))</f>
        <v>42</v>
      </c>
      <c r="AE743" t="str" cm="1">
        <f t="array" ref="AE743">INDEX(Innings!W:W,MATCH(1,(TRIM(Innings!A:A)=TRIM(A743))*(TRIM(Innings!D:D)=TRIM(E743)),0))</f>
        <v>Failed</v>
      </c>
      <c r="AF743">
        <f>IF(UPPER(TRIM(E743))=UPPER(TRIM(W743)),1,0)</f>
        <v>0</v>
      </c>
      <c r="AG743">
        <f t="shared" si="22"/>
        <v>17.2</v>
      </c>
    </row>
    <row r="744" spans="1:33" x14ac:dyDescent="0.3">
      <c r="A744" t="s">
        <v>359</v>
      </c>
      <c r="B744">
        <v>2</v>
      </c>
      <c r="C744" t="s">
        <v>121</v>
      </c>
      <c r="D744" t="s">
        <v>108</v>
      </c>
      <c r="E744" t="s">
        <v>266</v>
      </c>
      <c r="F744" t="s">
        <v>91</v>
      </c>
      <c r="G744" t="s">
        <v>134</v>
      </c>
      <c r="H744">
        <v>42</v>
      </c>
      <c r="I744">
        <v>27</v>
      </c>
      <c r="J744">
        <v>155.56</v>
      </c>
      <c r="K744" t="s">
        <v>245</v>
      </c>
      <c r="L744">
        <v>44.1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 s="8">
        <v>44.1</v>
      </c>
      <c r="V744" s="8">
        <f t="shared" si="23"/>
        <v>4</v>
      </c>
      <c r="W744" t="str">
        <f>_xlfn.XLOOKUP(A744, Matches!A:A, Matches!L:L, "NA", 0)</f>
        <v>DCW</v>
      </c>
      <c r="X744" t="str">
        <f>_xlfn.XLOOKUP(A744, Matches!A:A, Matches!J:J, "NA", 0)</f>
        <v>MIW</v>
      </c>
      <c r="Y744" t="str">
        <f>_xlfn.XLOOKUP(A744, Matches!A:A, Matches!F:F, "NA", 0)</f>
        <v xml:space="preserve"> Arun Jaitley Stadium</v>
      </c>
      <c r="Z744" cm="1">
        <f t="array" ref="Z744">INDEX(Innings!F:F,MATCH(1,(TRIM(Innings!A:A)=TRIM(A744))*(TRIM(Innings!D:D)=TRIM(E744)),0))</f>
        <v>163</v>
      </c>
      <c r="AA744" cm="1">
        <f t="array" ref="AA744">INDEX(Innings!I:I,MATCH(1,(TRIM(Innings!A:A)=TRIM(A744))*(TRIM(Innings!D:D)=TRIM(E744)),0))</f>
        <v>8.15</v>
      </c>
      <c r="AB744" cm="1">
        <f t="array" ref="AB744">INDEX(Innings!J:J,MATCH(1,(TRIM(Innings!A:A)=TRIM(A744))*(TRIM(Innings!D:D)=TRIM(E744)),0))</f>
        <v>54</v>
      </c>
      <c r="AC744" cm="1">
        <f t="array" ref="AC744">INDEX(Innings!N:N,MATCH(1,(TRIM(Innings!A:A)=TRIM(A744))*(TRIM(Innings!D:D)=TRIM(E744)),0))</f>
        <v>43</v>
      </c>
      <c r="AD744" cm="1">
        <f t="array" ref="AD744">INDEX(Innings!S:S,MATCH(1,(TRIM(Innings!A:A)=TRIM(A744))*(TRIM(Innings!D:D)=TRIM(E744)),0))</f>
        <v>42</v>
      </c>
      <c r="AE744" t="str" cm="1">
        <f t="array" ref="AE744">INDEX(Innings!W:W,MATCH(1,(TRIM(Innings!A:A)=TRIM(A744))*(TRIM(Innings!D:D)=TRIM(E744)),0))</f>
        <v>Failed</v>
      </c>
      <c r="AF744">
        <f>IF(UPPER(TRIM(E744))=UPPER(TRIM(W744)),1,0)</f>
        <v>0</v>
      </c>
      <c r="AG744">
        <f t="shared" si="22"/>
        <v>23.25</v>
      </c>
    </row>
    <row r="745" spans="1:33" x14ac:dyDescent="0.3">
      <c r="A745" t="s">
        <v>359</v>
      </c>
      <c r="B745">
        <v>2</v>
      </c>
      <c r="C745" t="s">
        <v>347</v>
      </c>
      <c r="D745" t="s">
        <v>348</v>
      </c>
      <c r="E745" t="s">
        <v>266</v>
      </c>
      <c r="F745" t="s">
        <v>83</v>
      </c>
      <c r="G745" t="s">
        <v>134</v>
      </c>
      <c r="H745">
        <v>24</v>
      </c>
      <c r="I745">
        <v>14</v>
      </c>
      <c r="J745">
        <v>171.43</v>
      </c>
      <c r="K745" t="s">
        <v>96</v>
      </c>
      <c r="L745">
        <v>29.3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 s="8">
        <v>29.3</v>
      </c>
      <c r="V745" s="8">
        <f t="shared" si="23"/>
        <v>3</v>
      </c>
      <c r="W745" t="str">
        <f>_xlfn.XLOOKUP(A745, Matches!A:A, Matches!L:L, "NA", 0)</f>
        <v>DCW</v>
      </c>
      <c r="X745" t="str">
        <f>_xlfn.XLOOKUP(A745, Matches!A:A, Matches!J:J, "NA", 0)</f>
        <v>MIW</v>
      </c>
      <c r="Y745" t="str">
        <f>_xlfn.XLOOKUP(A745, Matches!A:A, Matches!F:F, "NA", 0)</f>
        <v xml:space="preserve"> Arun Jaitley Stadium</v>
      </c>
      <c r="Z745" cm="1">
        <f t="array" ref="Z745">INDEX(Innings!F:F,MATCH(1,(TRIM(Innings!A:A)=TRIM(A745))*(TRIM(Innings!D:D)=TRIM(E745)),0))</f>
        <v>163</v>
      </c>
      <c r="AA745" cm="1">
        <f t="array" ref="AA745">INDEX(Innings!I:I,MATCH(1,(TRIM(Innings!A:A)=TRIM(A745))*(TRIM(Innings!D:D)=TRIM(E745)),0))</f>
        <v>8.15</v>
      </c>
      <c r="AB745" cm="1">
        <f t="array" ref="AB745">INDEX(Innings!J:J,MATCH(1,(TRIM(Innings!A:A)=TRIM(A745))*(TRIM(Innings!D:D)=TRIM(E745)),0))</f>
        <v>54</v>
      </c>
      <c r="AC745" cm="1">
        <f t="array" ref="AC745">INDEX(Innings!N:N,MATCH(1,(TRIM(Innings!A:A)=TRIM(A745))*(TRIM(Innings!D:D)=TRIM(E745)),0))</f>
        <v>43</v>
      </c>
      <c r="AD745" cm="1">
        <f t="array" ref="AD745">INDEX(Innings!S:S,MATCH(1,(TRIM(Innings!A:A)=TRIM(A745))*(TRIM(Innings!D:D)=TRIM(E745)),0))</f>
        <v>42</v>
      </c>
      <c r="AE745" t="str" cm="1">
        <f t="array" ref="AE745">INDEX(Innings!W:W,MATCH(1,(TRIM(Innings!A:A)=TRIM(A745))*(TRIM(Innings!D:D)=TRIM(E745)),0))</f>
        <v>Failed</v>
      </c>
      <c r="AF745">
        <f>IF(UPPER(TRIM(E745))=UPPER(TRIM(W745)),1,0)</f>
        <v>0</v>
      </c>
      <c r="AG745">
        <f t="shared" si="22"/>
        <v>15.55</v>
      </c>
    </row>
    <row r="746" spans="1:33" x14ac:dyDescent="0.3">
      <c r="A746" t="s">
        <v>359</v>
      </c>
      <c r="B746">
        <v>2</v>
      </c>
      <c r="C746" t="s">
        <v>125</v>
      </c>
      <c r="D746" t="s">
        <v>111</v>
      </c>
      <c r="E746" t="s">
        <v>266</v>
      </c>
      <c r="F746" t="s">
        <v>83</v>
      </c>
      <c r="G746" t="s">
        <v>134</v>
      </c>
      <c r="H746">
        <v>6</v>
      </c>
      <c r="I746">
        <v>8</v>
      </c>
      <c r="J746">
        <v>75</v>
      </c>
      <c r="K746" t="s">
        <v>245</v>
      </c>
      <c r="L746">
        <v>2.6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 s="8">
        <v>2.6</v>
      </c>
      <c r="V746" s="8">
        <f t="shared" si="23"/>
        <v>0</v>
      </c>
      <c r="W746" t="str">
        <f>_xlfn.XLOOKUP(A746, Matches!A:A, Matches!L:L, "NA", 0)</f>
        <v>DCW</v>
      </c>
      <c r="X746" t="str">
        <f>_xlfn.XLOOKUP(A746, Matches!A:A, Matches!J:J, "NA", 0)</f>
        <v>MIW</v>
      </c>
      <c r="Y746" t="str">
        <f>_xlfn.XLOOKUP(A746, Matches!A:A, Matches!F:F, "NA", 0)</f>
        <v xml:space="preserve"> Arun Jaitley Stadium</v>
      </c>
      <c r="Z746" cm="1">
        <f t="array" ref="Z746">INDEX(Innings!F:F,MATCH(1,(TRIM(Innings!A:A)=TRIM(A746))*(TRIM(Innings!D:D)=TRIM(E746)),0))</f>
        <v>163</v>
      </c>
      <c r="AA746" cm="1">
        <f t="array" ref="AA746">INDEX(Innings!I:I,MATCH(1,(TRIM(Innings!A:A)=TRIM(A746))*(TRIM(Innings!D:D)=TRIM(E746)),0))</f>
        <v>8.15</v>
      </c>
      <c r="AB746" cm="1">
        <f t="array" ref="AB746">INDEX(Innings!J:J,MATCH(1,(TRIM(Innings!A:A)=TRIM(A746))*(TRIM(Innings!D:D)=TRIM(E746)),0))</f>
        <v>54</v>
      </c>
      <c r="AC746" cm="1">
        <f t="array" ref="AC746">INDEX(Innings!N:N,MATCH(1,(TRIM(Innings!A:A)=TRIM(A746))*(TRIM(Innings!D:D)=TRIM(E746)),0))</f>
        <v>43</v>
      </c>
      <c r="AD746" cm="1">
        <f t="array" ref="AD746">INDEX(Innings!S:S,MATCH(1,(TRIM(Innings!A:A)=TRIM(A746))*(TRIM(Innings!D:D)=TRIM(E746)),0))</f>
        <v>42</v>
      </c>
      <c r="AE746" t="str" cm="1">
        <f t="array" ref="AE746">INDEX(Innings!W:W,MATCH(1,(TRIM(Innings!A:A)=TRIM(A746))*(TRIM(Innings!D:D)=TRIM(E746)),0))</f>
        <v>Failed</v>
      </c>
      <c r="AF746">
        <f>IF(UPPER(TRIM(E746))=UPPER(TRIM(W746)),1,0)</f>
        <v>0</v>
      </c>
      <c r="AG746">
        <f t="shared" si="22"/>
        <v>1.3</v>
      </c>
    </row>
    <row r="747" spans="1:33" x14ac:dyDescent="0.3">
      <c r="A747" t="s">
        <v>359</v>
      </c>
      <c r="B747">
        <v>2</v>
      </c>
      <c r="C747" t="s">
        <v>265</v>
      </c>
      <c r="D747" t="s">
        <v>264</v>
      </c>
      <c r="E747" t="s">
        <v>266</v>
      </c>
      <c r="F747" t="s">
        <v>101</v>
      </c>
      <c r="G747" t="s">
        <v>104</v>
      </c>
      <c r="H747">
        <v>0</v>
      </c>
      <c r="I747">
        <v>0</v>
      </c>
      <c r="J747">
        <v>0</v>
      </c>
      <c r="K747" t="s">
        <v>104</v>
      </c>
      <c r="L747">
        <v>0</v>
      </c>
      <c r="M747">
        <v>4</v>
      </c>
      <c r="N747">
        <v>0</v>
      </c>
      <c r="O747">
        <v>46</v>
      </c>
      <c r="P747">
        <v>1</v>
      </c>
      <c r="Q747">
        <v>11.5</v>
      </c>
      <c r="R747">
        <v>18</v>
      </c>
      <c r="S747">
        <v>0</v>
      </c>
      <c r="T747">
        <v>0</v>
      </c>
      <c r="U747" s="8">
        <v>18</v>
      </c>
      <c r="V747" s="8">
        <f t="shared" si="23"/>
        <v>2</v>
      </c>
      <c r="W747" t="str">
        <f>_xlfn.XLOOKUP(A747, Matches!A:A, Matches!L:L, "NA", 0)</f>
        <v>DCW</v>
      </c>
      <c r="X747" t="str">
        <f>_xlfn.XLOOKUP(A747, Matches!A:A, Matches!J:J, "NA", 0)</f>
        <v>MIW</v>
      </c>
      <c r="Y747" t="str">
        <f>_xlfn.XLOOKUP(A747, Matches!A:A, Matches!F:F, "NA", 0)</f>
        <v xml:space="preserve"> Arun Jaitley Stadium</v>
      </c>
      <c r="Z747" cm="1">
        <f t="array" ref="Z747">INDEX(Innings!F:F,MATCH(1,(TRIM(Innings!A:A)=TRIM(A747))*(TRIM(Innings!D:D)=TRIM(E747)),0))</f>
        <v>163</v>
      </c>
      <c r="AA747" cm="1">
        <f t="array" ref="AA747">INDEX(Innings!I:I,MATCH(1,(TRIM(Innings!A:A)=TRIM(A747))*(TRIM(Innings!D:D)=TRIM(E747)),0))</f>
        <v>8.15</v>
      </c>
      <c r="AB747" cm="1">
        <f t="array" ref="AB747">INDEX(Innings!J:J,MATCH(1,(TRIM(Innings!A:A)=TRIM(A747))*(TRIM(Innings!D:D)=TRIM(E747)),0))</f>
        <v>54</v>
      </c>
      <c r="AC747" cm="1">
        <f t="array" ref="AC747">INDEX(Innings!N:N,MATCH(1,(TRIM(Innings!A:A)=TRIM(A747))*(TRIM(Innings!D:D)=TRIM(E747)),0))</f>
        <v>43</v>
      </c>
      <c r="AD747" cm="1">
        <f t="array" ref="AD747">INDEX(Innings!S:S,MATCH(1,(TRIM(Innings!A:A)=TRIM(A747))*(TRIM(Innings!D:D)=TRIM(E747)),0))</f>
        <v>42</v>
      </c>
      <c r="AE747" t="str" cm="1">
        <f t="array" ref="AE747">INDEX(Innings!W:W,MATCH(1,(TRIM(Innings!A:A)=TRIM(A747))*(TRIM(Innings!D:D)=TRIM(E747)),0))</f>
        <v>Failed</v>
      </c>
      <c r="AF747">
        <f>IF(UPPER(TRIM(E747))=UPPER(TRIM(W747)),1,0)</f>
        <v>0</v>
      </c>
      <c r="AG747">
        <f t="shared" si="22"/>
        <v>9.6</v>
      </c>
    </row>
    <row r="748" spans="1:33" x14ac:dyDescent="0.3">
      <c r="A748" t="s">
        <v>359</v>
      </c>
      <c r="B748">
        <v>2</v>
      </c>
      <c r="C748" t="s">
        <v>131</v>
      </c>
      <c r="D748" t="s">
        <v>106</v>
      </c>
      <c r="E748" t="s">
        <v>266</v>
      </c>
      <c r="F748" t="s">
        <v>101</v>
      </c>
      <c r="G748" t="s">
        <v>104</v>
      </c>
      <c r="H748">
        <v>0</v>
      </c>
      <c r="I748">
        <v>0</v>
      </c>
      <c r="J748">
        <v>0</v>
      </c>
      <c r="K748" t="s">
        <v>104</v>
      </c>
      <c r="L748">
        <v>0</v>
      </c>
      <c r="M748">
        <v>4</v>
      </c>
      <c r="N748">
        <v>0</v>
      </c>
      <c r="O748">
        <v>29</v>
      </c>
      <c r="P748">
        <v>1</v>
      </c>
      <c r="Q748">
        <v>7.2</v>
      </c>
      <c r="R748">
        <v>20</v>
      </c>
      <c r="S748">
        <v>0</v>
      </c>
      <c r="T748">
        <v>0</v>
      </c>
      <c r="U748" s="8">
        <v>20</v>
      </c>
      <c r="V748" s="8">
        <f t="shared" si="23"/>
        <v>2</v>
      </c>
      <c r="W748" t="str">
        <f>_xlfn.XLOOKUP(A748, Matches!A:A, Matches!L:L, "NA", 0)</f>
        <v>DCW</v>
      </c>
      <c r="X748" t="str">
        <f>_xlfn.XLOOKUP(A748, Matches!A:A, Matches!J:J, "NA", 0)</f>
        <v>MIW</v>
      </c>
      <c r="Y748" t="str">
        <f>_xlfn.XLOOKUP(A748, Matches!A:A, Matches!F:F, "NA", 0)</f>
        <v xml:space="preserve"> Arun Jaitley Stadium</v>
      </c>
      <c r="Z748" cm="1">
        <f t="array" ref="Z748">INDEX(Innings!F:F,MATCH(1,(TRIM(Innings!A:A)=TRIM(A748))*(TRIM(Innings!D:D)=TRIM(E748)),0))</f>
        <v>163</v>
      </c>
      <c r="AA748" cm="1">
        <f t="array" ref="AA748">INDEX(Innings!I:I,MATCH(1,(TRIM(Innings!A:A)=TRIM(A748))*(TRIM(Innings!D:D)=TRIM(E748)),0))</f>
        <v>8.15</v>
      </c>
      <c r="AB748" cm="1">
        <f t="array" ref="AB748">INDEX(Innings!J:J,MATCH(1,(TRIM(Innings!A:A)=TRIM(A748))*(TRIM(Innings!D:D)=TRIM(E748)),0))</f>
        <v>54</v>
      </c>
      <c r="AC748" cm="1">
        <f t="array" ref="AC748">INDEX(Innings!N:N,MATCH(1,(TRIM(Innings!A:A)=TRIM(A748))*(TRIM(Innings!D:D)=TRIM(E748)),0))</f>
        <v>43</v>
      </c>
      <c r="AD748" cm="1">
        <f t="array" ref="AD748">INDEX(Innings!S:S,MATCH(1,(TRIM(Innings!A:A)=TRIM(A748))*(TRIM(Innings!D:D)=TRIM(E748)),0))</f>
        <v>42</v>
      </c>
      <c r="AE748" t="str" cm="1">
        <f t="array" ref="AE748">INDEX(Innings!W:W,MATCH(1,(TRIM(Innings!A:A)=TRIM(A748))*(TRIM(Innings!D:D)=TRIM(E748)),0))</f>
        <v>Failed</v>
      </c>
      <c r="AF748">
        <f>IF(UPPER(TRIM(E748))=UPPER(TRIM(W748)),1,0)</f>
        <v>0</v>
      </c>
      <c r="AG748">
        <f t="shared" si="22"/>
        <v>10.6</v>
      </c>
    </row>
    <row r="749" spans="1:33" x14ac:dyDescent="0.3">
      <c r="A749" t="s">
        <v>360</v>
      </c>
      <c r="B749">
        <v>2</v>
      </c>
      <c r="C749" t="s">
        <v>278</v>
      </c>
      <c r="D749" t="s">
        <v>293</v>
      </c>
      <c r="E749" t="s">
        <v>258</v>
      </c>
      <c r="F749" t="s">
        <v>109</v>
      </c>
      <c r="G749" t="s">
        <v>86</v>
      </c>
      <c r="H749">
        <v>76</v>
      </c>
      <c r="I749">
        <v>45</v>
      </c>
      <c r="J749">
        <v>168.89</v>
      </c>
      <c r="K749" t="s">
        <v>256</v>
      </c>
      <c r="L749">
        <v>79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 s="8">
        <v>79</v>
      </c>
      <c r="V749" s="8">
        <f t="shared" si="23"/>
        <v>8</v>
      </c>
      <c r="W749" t="str">
        <f>_xlfn.XLOOKUP(A749, Matches!A:A, Matches!L:L, "NA", 0)</f>
        <v>GGTW</v>
      </c>
      <c r="X749" t="str">
        <f>_xlfn.XLOOKUP(A749, Matches!A:A, Matches!J:J, "NA", 0)</f>
        <v>GGTW</v>
      </c>
      <c r="Y749" t="str">
        <f>_xlfn.XLOOKUP(A749, Matches!A:A, Matches!F:F, "NA", 0)</f>
        <v>Arun Jaitley Stadium</v>
      </c>
      <c r="Z749" cm="1">
        <f t="array" ref="Z749">INDEX(Innings!F:F,MATCH(1,(TRIM(Innings!A:A)=TRIM(A749))*(TRIM(Innings!D:D)=TRIM(E749)),0))</f>
        <v>199</v>
      </c>
      <c r="AA749" cm="1">
        <f t="array" ref="AA749">INDEX(Innings!I:I,MATCH(1,(TRIM(Innings!A:A)=TRIM(A749))*(TRIM(Innings!D:D)=TRIM(E749)),0))</f>
        <v>9.9499999999999993</v>
      </c>
      <c r="AB749" cm="1">
        <f t="array" ref="AB749">INDEX(Innings!J:J,MATCH(1,(TRIM(Innings!A:A)=TRIM(A749))*(TRIM(Innings!D:D)=TRIM(E749)),0))</f>
        <v>59</v>
      </c>
      <c r="AC749" cm="1">
        <f t="array" ref="AC749">INDEX(Innings!N:N,MATCH(1,(TRIM(Innings!A:A)=TRIM(A749))*(TRIM(Innings!D:D)=TRIM(E749)),0))</f>
        <v>29</v>
      </c>
      <c r="AD749" cm="1">
        <f t="array" ref="AD749">INDEX(Innings!S:S,MATCH(1,(TRIM(Innings!A:A)=TRIM(A749))*(TRIM(Innings!D:D)=TRIM(E749)),0))</f>
        <v>37</v>
      </c>
      <c r="AE749" t="str" cm="1">
        <f t="array" ref="AE749">INDEX(Innings!W:W,MATCH(1,(TRIM(Innings!A:A)=TRIM(A749))*(TRIM(Innings!D:D)=TRIM(E749)),0))</f>
        <v>NA</v>
      </c>
      <c r="AF749">
        <f>IF(UPPER(TRIM(E749))=UPPER(TRIM(W749)),1,0)</f>
        <v>1</v>
      </c>
      <c r="AG749">
        <f t="shared" si="22"/>
        <v>61.9</v>
      </c>
    </row>
    <row r="750" spans="1:33" x14ac:dyDescent="0.3">
      <c r="A750" t="s">
        <v>360</v>
      </c>
      <c r="B750">
        <v>2</v>
      </c>
      <c r="C750" t="s">
        <v>81</v>
      </c>
      <c r="D750" t="s">
        <v>114</v>
      </c>
      <c r="E750" t="s">
        <v>258</v>
      </c>
      <c r="F750" t="s">
        <v>85</v>
      </c>
      <c r="G750" t="s">
        <v>86</v>
      </c>
      <c r="H750">
        <v>85</v>
      </c>
      <c r="I750">
        <v>51</v>
      </c>
      <c r="J750">
        <v>166.67</v>
      </c>
      <c r="K750" t="s">
        <v>96</v>
      </c>
      <c r="L750">
        <v>89.3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 s="8">
        <v>89.3</v>
      </c>
      <c r="V750" s="8">
        <f t="shared" si="23"/>
        <v>9</v>
      </c>
      <c r="W750" t="str">
        <f>_xlfn.XLOOKUP(A750, Matches!A:A, Matches!L:L, "NA", 0)</f>
        <v>GGTW</v>
      </c>
      <c r="X750" t="str">
        <f>_xlfn.XLOOKUP(A750, Matches!A:A, Matches!J:J, "NA", 0)</f>
        <v>GGTW</v>
      </c>
      <c r="Y750" t="str">
        <f>_xlfn.XLOOKUP(A750, Matches!A:A, Matches!F:F, "NA", 0)</f>
        <v>Arun Jaitley Stadium</v>
      </c>
      <c r="Z750" cm="1">
        <f t="array" ref="Z750">INDEX(Innings!F:F,MATCH(1,(TRIM(Innings!A:A)=TRIM(A750))*(TRIM(Innings!D:D)=TRIM(E750)),0))</f>
        <v>199</v>
      </c>
      <c r="AA750" cm="1">
        <f t="array" ref="AA750">INDEX(Innings!I:I,MATCH(1,(TRIM(Innings!A:A)=TRIM(A750))*(TRIM(Innings!D:D)=TRIM(E750)),0))</f>
        <v>9.9499999999999993</v>
      </c>
      <c r="AB750" cm="1">
        <f t="array" ref="AB750">INDEX(Innings!J:J,MATCH(1,(TRIM(Innings!A:A)=TRIM(A750))*(TRIM(Innings!D:D)=TRIM(E750)),0))</f>
        <v>59</v>
      </c>
      <c r="AC750" cm="1">
        <f t="array" ref="AC750">INDEX(Innings!N:N,MATCH(1,(TRIM(Innings!A:A)=TRIM(A750))*(TRIM(Innings!D:D)=TRIM(E750)),0))</f>
        <v>29</v>
      </c>
      <c r="AD750" cm="1">
        <f t="array" ref="AD750">INDEX(Innings!S:S,MATCH(1,(TRIM(Innings!A:A)=TRIM(A750))*(TRIM(Innings!D:D)=TRIM(E750)),0))</f>
        <v>37</v>
      </c>
      <c r="AE750" t="str" cm="1">
        <f t="array" ref="AE750">INDEX(Innings!W:W,MATCH(1,(TRIM(Innings!A:A)=TRIM(A750))*(TRIM(Innings!D:D)=TRIM(E750)),0))</f>
        <v>NA</v>
      </c>
      <c r="AF750">
        <f>IF(UPPER(TRIM(E750))=UPPER(TRIM(W750)),1,0)</f>
        <v>1</v>
      </c>
      <c r="AG750">
        <f t="shared" si="22"/>
        <v>67.349999999999994</v>
      </c>
    </row>
    <row r="751" spans="1:33" x14ac:dyDescent="0.3">
      <c r="A751" t="s">
        <v>360</v>
      </c>
      <c r="B751">
        <v>2</v>
      </c>
      <c r="C751" t="s">
        <v>383</v>
      </c>
      <c r="D751" t="s">
        <v>384</v>
      </c>
      <c r="E751" t="s">
        <v>258</v>
      </c>
      <c r="F751" t="s">
        <v>109</v>
      </c>
      <c r="G751" t="s">
        <v>92</v>
      </c>
      <c r="H751">
        <v>18</v>
      </c>
      <c r="I751">
        <v>17</v>
      </c>
      <c r="J751">
        <v>105.88</v>
      </c>
      <c r="K751" t="s">
        <v>256</v>
      </c>
      <c r="L751">
        <v>12.7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 s="8">
        <v>12.7</v>
      </c>
      <c r="V751" s="8">
        <f t="shared" si="23"/>
        <v>1</v>
      </c>
      <c r="W751" t="str">
        <f>_xlfn.XLOOKUP(A751, Matches!A:A, Matches!L:L, "NA", 0)</f>
        <v>GGTW</v>
      </c>
      <c r="X751" t="str">
        <f>_xlfn.XLOOKUP(A751, Matches!A:A, Matches!J:J, "NA", 0)</f>
        <v>GGTW</v>
      </c>
      <c r="Y751" t="str">
        <f>_xlfn.XLOOKUP(A751, Matches!A:A, Matches!F:F, "NA", 0)</f>
        <v>Arun Jaitley Stadium</v>
      </c>
      <c r="Z751" cm="1">
        <f t="array" ref="Z751">INDEX(Innings!F:F,MATCH(1,(TRIM(Innings!A:A)=TRIM(A751))*(TRIM(Innings!D:D)=TRIM(E751)),0))</f>
        <v>199</v>
      </c>
      <c r="AA751" cm="1">
        <f t="array" ref="AA751">INDEX(Innings!I:I,MATCH(1,(TRIM(Innings!A:A)=TRIM(A751))*(TRIM(Innings!D:D)=TRIM(E751)),0))</f>
        <v>9.9499999999999993</v>
      </c>
      <c r="AB751" cm="1">
        <f t="array" ref="AB751">INDEX(Innings!J:J,MATCH(1,(TRIM(Innings!A:A)=TRIM(A751))*(TRIM(Innings!D:D)=TRIM(E751)),0))</f>
        <v>59</v>
      </c>
      <c r="AC751" cm="1">
        <f t="array" ref="AC751">INDEX(Innings!N:N,MATCH(1,(TRIM(Innings!A:A)=TRIM(A751))*(TRIM(Innings!D:D)=TRIM(E751)),0))</f>
        <v>29</v>
      </c>
      <c r="AD751" cm="1">
        <f t="array" ref="AD751">INDEX(Innings!S:S,MATCH(1,(TRIM(Innings!A:A)=TRIM(A751))*(TRIM(Innings!D:D)=TRIM(E751)),0))</f>
        <v>37</v>
      </c>
      <c r="AE751" t="str" cm="1">
        <f t="array" ref="AE751">INDEX(Innings!W:W,MATCH(1,(TRIM(Innings!A:A)=TRIM(A751))*(TRIM(Innings!D:D)=TRIM(E751)),0))</f>
        <v>NA</v>
      </c>
      <c r="AF751">
        <f>IF(UPPER(TRIM(E751))=UPPER(TRIM(W751)),1,0)</f>
        <v>1</v>
      </c>
      <c r="AG751">
        <f t="shared" si="22"/>
        <v>26.65</v>
      </c>
    </row>
    <row r="752" spans="1:33" x14ac:dyDescent="0.3">
      <c r="A752" t="s">
        <v>360</v>
      </c>
      <c r="B752">
        <v>2</v>
      </c>
      <c r="C752" t="s">
        <v>93</v>
      </c>
      <c r="D752" t="s">
        <v>118</v>
      </c>
      <c r="E752" t="s">
        <v>258</v>
      </c>
      <c r="F752" t="s">
        <v>83</v>
      </c>
      <c r="G752" t="s">
        <v>134</v>
      </c>
      <c r="H752">
        <v>0</v>
      </c>
      <c r="I752">
        <v>1</v>
      </c>
      <c r="J752">
        <v>0</v>
      </c>
      <c r="K752" t="s">
        <v>246</v>
      </c>
      <c r="L752">
        <v>-5</v>
      </c>
      <c r="M752">
        <v>4</v>
      </c>
      <c r="N752">
        <v>0</v>
      </c>
      <c r="O752">
        <v>23</v>
      </c>
      <c r="P752">
        <v>2</v>
      </c>
      <c r="Q752">
        <v>5.8</v>
      </c>
      <c r="R752">
        <v>48</v>
      </c>
      <c r="S752">
        <v>0</v>
      </c>
      <c r="T752">
        <v>0</v>
      </c>
      <c r="U752" s="8">
        <v>43</v>
      </c>
      <c r="V752" s="8">
        <f t="shared" si="23"/>
        <v>4</v>
      </c>
      <c r="W752" t="str">
        <f>_xlfn.XLOOKUP(A752, Matches!A:A, Matches!L:L, "NA", 0)</f>
        <v>GGTW</v>
      </c>
      <c r="X752" t="str">
        <f>_xlfn.XLOOKUP(A752, Matches!A:A, Matches!J:J, "NA", 0)</f>
        <v>GGTW</v>
      </c>
      <c r="Y752" t="str">
        <f>_xlfn.XLOOKUP(A752, Matches!A:A, Matches!F:F, "NA", 0)</f>
        <v>Arun Jaitley Stadium</v>
      </c>
      <c r="Z752" cm="1">
        <f t="array" ref="Z752">INDEX(Innings!F:F,MATCH(1,(TRIM(Innings!A:A)=TRIM(A752))*(TRIM(Innings!D:D)=TRIM(E752)),0))</f>
        <v>199</v>
      </c>
      <c r="AA752" cm="1">
        <f t="array" ref="AA752">INDEX(Innings!I:I,MATCH(1,(TRIM(Innings!A:A)=TRIM(A752))*(TRIM(Innings!D:D)=TRIM(E752)),0))</f>
        <v>9.9499999999999993</v>
      </c>
      <c r="AB752" cm="1">
        <f t="array" ref="AB752">INDEX(Innings!J:J,MATCH(1,(TRIM(Innings!A:A)=TRIM(A752))*(TRIM(Innings!D:D)=TRIM(E752)),0))</f>
        <v>59</v>
      </c>
      <c r="AC752" cm="1">
        <f t="array" ref="AC752">INDEX(Innings!N:N,MATCH(1,(TRIM(Innings!A:A)=TRIM(A752))*(TRIM(Innings!D:D)=TRIM(E752)),0))</f>
        <v>29</v>
      </c>
      <c r="AD752" cm="1">
        <f t="array" ref="AD752">INDEX(Innings!S:S,MATCH(1,(TRIM(Innings!A:A)=TRIM(A752))*(TRIM(Innings!D:D)=TRIM(E752)),0))</f>
        <v>37</v>
      </c>
      <c r="AE752" t="str" cm="1">
        <f t="array" ref="AE752">INDEX(Innings!W:W,MATCH(1,(TRIM(Innings!A:A)=TRIM(A752))*(TRIM(Innings!D:D)=TRIM(E752)),0))</f>
        <v>NA</v>
      </c>
      <c r="AF752">
        <f>IF(UPPER(TRIM(E752))=UPPER(TRIM(W752)),1,0)</f>
        <v>1</v>
      </c>
      <c r="AG752">
        <f t="shared" si="22"/>
        <v>42.7</v>
      </c>
    </row>
    <row r="753" spans="1:33" x14ac:dyDescent="0.3">
      <c r="A753" t="s">
        <v>360</v>
      </c>
      <c r="B753">
        <v>2</v>
      </c>
      <c r="C753" t="s">
        <v>97</v>
      </c>
      <c r="D753" t="s">
        <v>122</v>
      </c>
      <c r="E753" t="s">
        <v>258</v>
      </c>
      <c r="F753" t="s">
        <v>109</v>
      </c>
      <c r="G753" t="s">
        <v>134</v>
      </c>
      <c r="H753">
        <v>1</v>
      </c>
      <c r="I753">
        <v>3</v>
      </c>
      <c r="J753">
        <v>33.33</v>
      </c>
      <c r="K753" t="s">
        <v>248</v>
      </c>
      <c r="L753">
        <v>-1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 s="8">
        <v>-1</v>
      </c>
      <c r="V753" s="8">
        <f t="shared" si="23"/>
        <v>0</v>
      </c>
      <c r="W753" t="str">
        <f>_xlfn.XLOOKUP(A753, Matches!A:A, Matches!L:L, "NA", 0)</f>
        <v>GGTW</v>
      </c>
      <c r="X753" t="str">
        <f>_xlfn.XLOOKUP(A753, Matches!A:A, Matches!J:J, "NA", 0)</f>
        <v>GGTW</v>
      </c>
      <c r="Y753" t="str">
        <f>_xlfn.XLOOKUP(A753, Matches!A:A, Matches!F:F, "NA", 0)</f>
        <v>Arun Jaitley Stadium</v>
      </c>
      <c r="Z753" cm="1">
        <f t="array" ref="Z753">INDEX(Innings!F:F,MATCH(1,(TRIM(Innings!A:A)=TRIM(A753))*(TRIM(Innings!D:D)=TRIM(E753)),0))</f>
        <v>199</v>
      </c>
      <c r="AA753" cm="1">
        <f t="array" ref="AA753">INDEX(Innings!I:I,MATCH(1,(TRIM(Innings!A:A)=TRIM(A753))*(TRIM(Innings!D:D)=TRIM(E753)),0))</f>
        <v>9.9499999999999993</v>
      </c>
      <c r="AB753" cm="1">
        <f t="array" ref="AB753">INDEX(Innings!J:J,MATCH(1,(TRIM(Innings!A:A)=TRIM(A753))*(TRIM(Innings!D:D)=TRIM(E753)),0))</f>
        <v>59</v>
      </c>
      <c r="AC753" cm="1">
        <f t="array" ref="AC753">INDEX(Innings!N:N,MATCH(1,(TRIM(Innings!A:A)=TRIM(A753))*(TRIM(Innings!D:D)=TRIM(E753)),0))</f>
        <v>29</v>
      </c>
      <c r="AD753" cm="1">
        <f t="array" ref="AD753">INDEX(Innings!S:S,MATCH(1,(TRIM(Innings!A:A)=TRIM(A753))*(TRIM(Innings!D:D)=TRIM(E753)),0))</f>
        <v>37</v>
      </c>
      <c r="AE753" t="str" cm="1">
        <f t="array" ref="AE753">INDEX(Innings!W:W,MATCH(1,(TRIM(Innings!A:A)=TRIM(A753))*(TRIM(Innings!D:D)=TRIM(E753)),0))</f>
        <v>NA</v>
      </c>
      <c r="AF753">
        <f>IF(UPPER(TRIM(E753))=UPPER(TRIM(W753)),1,0)</f>
        <v>1</v>
      </c>
      <c r="AG753">
        <f t="shared" si="22"/>
        <v>20</v>
      </c>
    </row>
    <row r="754" spans="1:33" x14ac:dyDescent="0.3">
      <c r="A754" t="s">
        <v>360</v>
      </c>
      <c r="B754">
        <v>2</v>
      </c>
      <c r="C754" t="s">
        <v>408</v>
      </c>
      <c r="D754" t="s">
        <v>382</v>
      </c>
      <c r="E754" t="s">
        <v>258</v>
      </c>
      <c r="F754" t="s">
        <v>109</v>
      </c>
      <c r="G754" t="s">
        <v>134</v>
      </c>
      <c r="H754">
        <v>1</v>
      </c>
      <c r="I754">
        <v>2</v>
      </c>
      <c r="J754">
        <v>50</v>
      </c>
      <c r="K754" t="s">
        <v>256</v>
      </c>
      <c r="L754">
        <v>-0.2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 s="8">
        <v>-0.2</v>
      </c>
      <c r="V754" s="8">
        <f t="shared" si="23"/>
        <v>0</v>
      </c>
      <c r="W754" t="str">
        <f>_xlfn.XLOOKUP(A754, Matches!A:A, Matches!L:L, "NA", 0)</f>
        <v>GGTW</v>
      </c>
      <c r="X754" t="str">
        <f>_xlfn.XLOOKUP(A754, Matches!A:A, Matches!J:J, "NA", 0)</f>
        <v>GGTW</v>
      </c>
      <c r="Y754" t="str">
        <f>_xlfn.XLOOKUP(A754, Matches!A:A, Matches!F:F, "NA", 0)</f>
        <v>Arun Jaitley Stadium</v>
      </c>
      <c r="Z754" cm="1">
        <f t="array" ref="Z754">INDEX(Innings!F:F,MATCH(1,(TRIM(Innings!A:A)=TRIM(A754))*(TRIM(Innings!D:D)=TRIM(E754)),0))</f>
        <v>199</v>
      </c>
      <c r="AA754" cm="1">
        <f t="array" ref="AA754">INDEX(Innings!I:I,MATCH(1,(TRIM(Innings!A:A)=TRIM(A754))*(TRIM(Innings!D:D)=TRIM(E754)),0))</f>
        <v>9.9499999999999993</v>
      </c>
      <c r="AB754" cm="1">
        <f t="array" ref="AB754">INDEX(Innings!J:J,MATCH(1,(TRIM(Innings!A:A)=TRIM(A754))*(TRIM(Innings!D:D)=TRIM(E754)),0))</f>
        <v>59</v>
      </c>
      <c r="AC754" cm="1">
        <f t="array" ref="AC754">INDEX(Innings!N:N,MATCH(1,(TRIM(Innings!A:A)=TRIM(A754))*(TRIM(Innings!D:D)=TRIM(E754)),0))</f>
        <v>29</v>
      </c>
      <c r="AD754" cm="1">
        <f t="array" ref="AD754">INDEX(Innings!S:S,MATCH(1,(TRIM(Innings!A:A)=TRIM(A754))*(TRIM(Innings!D:D)=TRIM(E754)),0))</f>
        <v>37</v>
      </c>
      <c r="AE754" t="str" cm="1">
        <f t="array" ref="AE754">INDEX(Innings!W:W,MATCH(1,(TRIM(Innings!A:A)=TRIM(A754))*(TRIM(Innings!D:D)=TRIM(E754)),0))</f>
        <v>NA</v>
      </c>
      <c r="AF754">
        <f>IF(UPPER(TRIM(E754))=UPPER(TRIM(W754)),1,0)</f>
        <v>1</v>
      </c>
      <c r="AG754">
        <f t="shared" si="22"/>
        <v>20</v>
      </c>
    </row>
    <row r="755" spans="1:33" x14ac:dyDescent="0.3">
      <c r="A755" t="s">
        <v>360</v>
      </c>
      <c r="B755">
        <v>2</v>
      </c>
      <c r="C755" t="s">
        <v>385</v>
      </c>
      <c r="D755" t="s">
        <v>386</v>
      </c>
      <c r="E755" t="s">
        <v>258</v>
      </c>
      <c r="F755" t="s">
        <v>91</v>
      </c>
      <c r="G755" t="s">
        <v>134</v>
      </c>
      <c r="H755">
        <v>1</v>
      </c>
      <c r="I755">
        <v>1</v>
      </c>
      <c r="J755">
        <v>100</v>
      </c>
      <c r="K755" t="s">
        <v>96</v>
      </c>
      <c r="L755">
        <v>5.5</v>
      </c>
      <c r="M755">
        <v>4</v>
      </c>
      <c r="N755">
        <v>0</v>
      </c>
      <c r="O755">
        <v>26</v>
      </c>
      <c r="P755">
        <v>1</v>
      </c>
      <c r="Q755">
        <v>6.5</v>
      </c>
      <c r="R755">
        <v>30</v>
      </c>
      <c r="S755">
        <v>0</v>
      </c>
      <c r="T755">
        <v>0</v>
      </c>
      <c r="U755" s="8">
        <v>35.5</v>
      </c>
      <c r="V755" s="8">
        <f t="shared" si="23"/>
        <v>4</v>
      </c>
      <c r="W755" t="str">
        <f>_xlfn.XLOOKUP(A755, Matches!A:A, Matches!L:L, "NA", 0)</f>
        <v>GGTW</v>
      </c>
      <c r="X755" t="str">
        <f>_xlfn.XLOOKUP(A755, Matches!A:A, Matches!J:J, "NA", 0)</f>
        <v>GGTW</v>
      </c>
      <c r="Y755" t="str">
        <f>_xlfn.XLOOKUP(A755, Matches!A:A, Matches!F:F, "NA", 0)</f>
        <v>Arun Jaitley Stadium</v>
      </c>
      <c r="Z755" cm="1">
        <f t="array" ref="Z755">INDEX(Innings!F:F,MATCH(1,(TRIM(Innings!A:A)=TRIM(A755))*(TRIM(Innings!D:D)=TRIM(E755)),0))</f>
        <v>199</v>
      </c>
      <c r="AA755" cm="1">
        <f t="array" ref="AA755">INDEX(Innings!I:I,MATCH(1,(TRIM(Innings!A:A)=TRIM(A755))*(TRIM(Innings!D:D)=TRIM(E755)),0))</f>
        <v>9.9499999999999993</v>
      </c>
      <c r="AB755" cm="1">
        <f t="array" ref="AB755">INDEX(Innings!J:J,MATCH(1,(TRIM(Innings!A:A)=TRIM(A755))*(TRIM(Innings!D:D)=TRIM(E755)),0))</f>
        <v>59</v>
      </c>
      <c r="AC755" cm="1">
        <f t="array" ref="AC755">INDEX(Innings!N:N,MATCH(1,(TRIM(Innings!A:A)=TRIM(A755))*(TRIM(Innings!D:D)=TRIM(E755)),0))</f>
        <v>29</v>
      </c>
      <c r="AD755" cm="1">
        <f t="array" ref="AD755">INDEX(Innings!S:S,MATCH(1,(TRIM(Innings!A:A)=TRIM(A755))*(TRIM(Innings!D:D)=TRIM(E755)),0))</f>
        <v>37</v>
      </c>
      <c r="AE755" t="str" cm="1">
        <f t="array" ref="AE755">INDEX(Innings!W:W,MATCH(1,(TRIM(Innings!A:A)=TRIM(A755))*(TRIM(Innings!D:D)=TRIM(E755)),0))</f>
        <v>NA</v>
      </c>
      <c r="AF755">
        <f>IF(UPPER(TRIM(E755))=UPPER(TRIM(W755)),1,0)</f>
        <v>1</v>
      </c>
      <c r="AG755">
        <f t="shared" si="22"/>
        <v>38.950000000000003</v>
      </c>
    </row>
    <row r="756" spans="1:33" x14ac:dyDescent="0.3">
      <c r="A756" t="s">
        <v>360</v>
      </c>
      <c r="B756">
        <v>2</v>
      </c>
      <c r="C756" t="s">
        <v>105</v>
      </c>
      <c r="D756" t="s">
        <v>128</v>
      </c>
      <c r="E756" t="s">
        <v>258</v>
      </c>
      <c r="F756" t="s">
        <v>101</v>
      </c>
      <c r="G756" t="s">
        <v>104</v>
      </c>
      <c r="H756">
        <v>0</v>
      </c>
      <c r="I756">
        <v>0</v>
      </c>
      <c r="J756">
        <v>0</v>
      </c>
      <c r="K756" t="s">
        <v>104</v>
      </c>
      <c r="L756">
        <v>0</v>
      </c>
      <c r="M756">
        <v>4</v>
      </c>
      <c r="N756">
        <v>0</v>
      </c>
      <c r="O756">
        <v>43</v>
      </c>
      <c r="P756">
        <v>1</v>
      </c>
      <c r="Q756">
        <v>10.8</v>
      </c>
      <c r="R756">
        <v>10</v>
      </c>
      <c r="S756">
        <v>0</v>
      </c>
      <c r="T756">
        <v>0</v>
      </c>
      <c r="U756" s="8">
        <v>10</v>
      </c>
      <c r="V756" s="8">
        <f t="shared" si="23"/>
        <v>1</v>
      </c>
      <c r="W756" t="str">
        <f>_xlfn.XLOOKUP(A756, Matches!A:A, Matches!L:L, "NA", 0)</f>
        <v>GGTW</v>
      </c>
      <c r="X756" t="str">
        <f>_xlfn.XLOOKUP(A756, Matches!A:A, Matches!J:J, "NA", 0)</f>
        <v>GGTW</v>
      </c>
      <c r="Y756" t="str">
        <f>_xlfn.XLOOKUP(A756, Matches!A:A, Matches!F:F, "NA", 0)</f>
        <v>Arun Jaitley Stadium</v>
      </c>
      <c r="Z756" cm="1">
        <f t="array" ref="Z756">INDEX(Innings!F:F,MATCH(1,(TRIM(Innings!A:A)=TRIM(A756))*(TRIM(Innings!D:D)=TRIM(E756)),0))</f>
        <v>199</v>
      </c>
      <c r="AA756" cm="1">
        <f t="array" ref="AA756">INDEX(Innings!I:I,MATCH(1,(TRIM(Innings!A:A)=TRIM(A756))*(TRIM(Innings!D:D)=TRIM(E756)),0))</f>
        <v>9.9499999999999993</v>
      </c>
      <c r="AB756" cm="1">
        <f t="array" ref="AB756">INDEX(Innings!J:J,MATCH(1,(TRIM(Innings!A:A)=TRIM(A756))*(TRIM(Innings!D:D)=TRIM(E756)),0))</f>
        <v>59</v>
      </c>
      <c r="AC756" cm="1">
        <f t="array" ref="AC756">INDEX(Innings!N:N,MATCH(1,(TRIM(Innings!A:A)=TRIM(A756))*(TRIM(Innings!D:D)=TRIM(E756)),0))</f>
        <v>29</v>
      </c>
      <c r="AD756" cm="1">
        <f t="array" ref="AD756">INDEX(Innings!S:S,MATCH(1,(TRIM(Innings!A:A)=TRIM(A756))*(TRIM(Innings!D:D)=TRIM(E756)),0))</f>
        <v>37</v>
      </c>
      <c r="AE756" t="str" cm="1">
        <f t="array" ref="AE756">INDEX(Innings!W:W,MATCH(1,(TRIM(Innings!A:A)=TRIM(A756))*(TRIM(Innings!D:D)=TRIM(E756)),0))</f>
        <v>NA</v>
      </c>
      <c r="AF756">
        <f>IF(UPPER(TRIM(E756))=UPPER(TRIM(W756)),1,0)</f>
        <v>1</v>
      </c>
      <c r="AG756">
        <f t="shared" si="22"/>
        <v>25.3</v>
      </c>
    </row>
    <row r="757" spans="1:33" x14ac:dyDescent="0.3">
      <c r="A757" t="s">
        <v>360</v>
      </c>
      <c r="B757">
        <v>2</v>
      </c>
      <c r="C757" t="s">
        <v>389</v>
      </c>
      <c r="D757" t="s">
        <v>390</v>
      </c>
      <c r="E757" t="s">
        <v>258</v>
      </c>
      <c r="F757" t="s">
        <v>91</v>
      </c>
      <c r="G757" t="s">
        <v>104</v>
      </c>
      <c r="H757">
        <v>0</v>
      </c>
      <c r="I757">
        <v>0</v>
      </c>
      <c r="J757">
        <v>0</v>
      </c>
      <c r="K757" t="s">
        <v>104</v>
      </c>
      <c r="L757">
        <v>0</v>
      </c>
      <c r="M757">
        <v>4</v>
      </c>
      <c r="N757">
        <v>0</v>
      </c>
      <c r="O757">
        <v>42</v>
      </c>
      <c r="P757">
        <v>0</v>
      </c>
      <c r="Q757">
        <v>10.5</v>
      </c>
      <c r="R757">
        <v>0</v>
      </c>
      <c r="S757">
        <v>0</v>
      </c>
      <c r="T757">
        <v>0</v>
      </c>
      <c r="U757" s="8">
        <v>0</v>
      </c>
      <c r="V757" s="8">
        <f t="shared" si="23"/>
        <v>0</v>
      </c>
      <c r="W757" t="str">
        <f>_xlfn.XLOOKUP(A757, Matches!A:A, Matches!L:L, "NA", 0)</f>
        <v>GGTW</v>
      </c>
      <c r="X757" t="str">
        <f>_xlfn.XLOOKUP(A757, Matches!A:A, Matches!J:J, "NA", 0)</f>
        <v>GGTW</v>
      </c>
      <c r="Y757" t="str">
        <f>_xlfn.XLOOKUP(A757, Matches!A:A, Matches!F:F, "NA", 0)</f>
        <v>Arun Jaitley Stadium</v>
      </c>
      <c r="Z757" cm="1">
        <f t="array" ref="Z757">INDEX(Innings!F:F,MATCH(1,(TRIM(Innings!A:A)=TRIM(A757))*(TRIM(Innings!D:D)=TRIM(E757)),0))</f>
        <v>199</v>
      </c>
      <c r="AA757" cm="1">
        <f t="array" ref="AA757">INDEX(Innings!I:I,MATCH(1,(TRIM(Innings!A:A)=TRIM(A757))*(TRIM(Innings!D:D)=TRIM(E757)),0))</f>
        <v>9.9499999999999993</v>
      </c>
      <c r="AB757" cm="1">
        <f t="array" ref="AB757">INDEX(Innings!J:J,MATCH(1,(TRIM(Innings!A:A)=TRIM(A757))*(TRIM(Innings!D:D)=TRIM(E757)),0))</f>
        <v>59</v>
      </c>
      <c r="AC757" cm="1">
        <f t="array" ref="AC757">INDEX(Innings!N:N,MATCH(1,(TRIM(Innings!A:A)=TRIM(A757))*(TRIM(Innings!D:D)=TRIM(E757)),0))</f>
        <v>29</v>
      </c>
      <c r="AD757" cm="1">
        <f t="array" ref="AD757">INDEX(Innings!S:S,MATCH(1,(TRIM(Innings!A:A)=TRIM(A757))*(TRIM(Innings!D:D)=TRIM(E757)),0))</f>
        <v>37</v>
      </c>
      <c r="AE757" t="str" cm="1">
        <f t="array" ref="AE757">INDEX(Innings!W:W,MATCH(1,(TRIM(Innings!A:A)=TRIM(A757))*(TRIM(Innings!D:D)=TRIM(E757)),0))</f>
        <v>NA</v>
      </c>
      <c r="AF757">
        <f>IF(UPPER(TRIM(E757))=UPPER(TRIM(W757)),1,0)</f>
        <v>1</v>
      </c>
      <c r="AG757">
        <f t="shared" si="22"/>
        <v>20</v>
      </c>
    </row>
    <row r="758" spans="1:33" x14ac:dyDescent="0.3">
      <c r="A758" t="s">
        <v>360</v>
      </c>
      <c r="B758">
        <v>2</v>
      </c>
      <c r="C758" t="s">
        <v>404</v>
      </c>
      <c r="D758" t="s">
        <v>416</v>
      </c>
      <c r="E758" t="s">
        <v>258</v>
      </c>
      <c r="F758" t="s">
        <v>91</v>
      </c>
      <c r="G758" t="s">
        <v>104</v>
      </c>
      <c r="H758">
        <v>0</v>
      </c>
      <c r="I758">
        <v>0</v>
      </c>
      <c r="J758">
        <v>0</v>
      </c>
      <c r="K758" t="s">
        <v>104</v>
      </c>
      <c r="L758">
        <v>0</v>
      </c>
      <c r="M758">
        <v>1</v>
      </c>
      <c r="N758">
        <v>0</v>
      </c>
      <c r="O758">
        <v>10</v>
      </c>
      <c r="P758">
        <v>0</v>
      </c>
      <c r="Q758">
        <v>10</v>
      </c>
      <c r="R758">
        <v>0</v>
      </c>
      <c r="S758">
        <v>0</v>
      </c>
      <c r="T758">
        <v>0</v>
      </c>
      <c r="U758" s="8">
        <v>0</v>
      </c>
      <c r="V758" s="8">
        <f t="shared" si="23"/>
        <v>0</v>
      </c>
      <c r="W758" t="str">
        <f>_xlfn.XLOOKUP(A758, Matches!A:A, Matches!L:L, "NA", 0)</f>
        <v>GGTW</v>
      </c>
      <c r="X758" t="str">
        <f>_xlfn.XLOOKUP(A758, Matches!A:A, Matches!J:J, "NA", 0)</f>
        <v>GGTW</v>
      </c>
      <c r="Y758" t="str">
        <f>_xlfn.XLOOKUP(A758, Matches!A:A, Matches!F:F, "NA", 0)</f>
        <v>Arun Jaitley Stadium</v>
      </c>
      <c r="Z758" cm="1">
        <f t="array" ref="Z758">INDEX(Innings!F:F,MATCH(1,(TRIM(Innings!A:A)=TRIM(A758))*(TRIM(Innings!D:D)=TRIM(E758)),0))</f>
        <v>199</v>
      </c>
      <c r="AA758" cm="1">
        <f t="array" ref="AA758">INDEX(Innings!I:I,MATCH(1,(TRIM(Innings!A:A)=TRIM(A758))*(TRIM(Innings!D:D)=TRIM(E758)),0))</f>
        <v>9.9499999999999993</v>
      </c>
      <c r="AB758" cm="1">
        <f t="array" ref="AB758">INDEX(Innings!J:J,MATCH(1,(TRIM(Innings!A:A)=TRIM(A758))*(TRIM(Innings!D:D)=TRIM(E758)),0))</f>
        <v>59</v>
      </c>
      <c r="AC758" cm="1">
        <f t="array" ref="AC758">INDEX(Innings!N:N,MATCH(1,(TRIM(Innings!A:A)=TRIM(A758))*(TRIM(Innings!D:D)=TRIM(E758)),0))</f>
        <v>29</v>
      </c>
      <c r="AD758" cm="1">
        <f t="array" ref="AD758">INDEX(Innings!S:S,MATCH(1,(TRIM(Innings!A:A)=TRIM(A758))*(TRIM(Innings!D:D)=TRIM(E758)),0))</f>
        <v>37</v>
      </c>
      <c r="AE758" t="str" cm="1">
        <f t="array" ref="AE758">INDEX(Innings!W:W,MATCH(1,(TRIM(Innings!A:A)=TRIM(A758))*(TRIM(Innings!D:D)=TRIM(E758)),0))</f>
        <v>NA</v>
      </c>
      <c r="AF758">
        <f>IF(UPPER(TRIM(E758))=UPPER(TRIM(W758)),1,0)</f>
        <v>1</v>
      </c>
      <c r="AG758">
        <f t="shared" si="22"/>
        <v>20</v>
      </c>
    </row>
    <row r="759" spans="1:33" x14ac:dyDescent="0.3">
      <c r="A759" t="s">
        <v>360</v>
      </c>
      <c r="B759">
        <v>2</v>
      </c>
      <c r="C759" t="s">
        <v>438</v>
      </c>
      <c r="D759" t="s">
        <v>439</v>
      </c>
      <c r="E759" t="s">
        <v>258</v>
      </c>
      <c r="F759" t="s">
        <v>101</v>
      </c>
      <c r="G759" t="s">
        <v>104</v>
      </c>
      <c r="H759">
        <v>0</v>
      </c>
      <c r="I759">
        <v>0</v>
      </c>
      <c r="J759">
        <v>0</v>
      </c>
      <c r="K759" t="s">
        <v>104</v>
      </c>
      <c r="L759">
        <v>0</v>
      </c>
      <c r="M759">
        <v>3</v>
      </c>
      <c r="N759">
        <v>0</v>
      </c>
      <c r="O759">
        <v>27</v>
      </c>
      <c r="P759">
        <v>0</v>
      </c>
      <c r="Q759">
        <v>9</v>
      </c>
      <c r="R759">
        <v>0</v>
      </c>
      <c r="S759">
        <v>0</v>
      </c>
      <c r="T759">
        <v>0</v>
      </c>
      <c r="U759" s="8">
        <v>0</v>
      </c>
      <c r="V759" s="8">
        <f t="shared" si="23"/>
        <v>0</v>
      </c>
      <c r="W759" t="str">
        <f>_xlfn.XLOOKUP(A759, Matches!A:A, Matches!L:L, "NA", 0)</f>
        <v>GGTW</v>
      </c>
      <c r="X759" t="str">
        <f>_xlfn.XLOOKUP(A759, Matches!A:A, Matches!J:J, "NA", 0)</f>
        <v>GGTW</v>
      </c>
      <c r="Y759" t="str">
        <f>_xlfn.XLOOKUP(A759, Matches!A:A, Matches!F:F, "NA", 0)</f>
        <v>Arun Jaitley Stadium</v>
      </c>
      <c r="Z759" cm="1">
        <f t="array" ref="Z759">INDEX(Innings!F:F,MATCH(1,(TRIM(Innings!A:A)=TRIM(A759))*(TRIM(Innings!D:D)=TRIM(E759)),0))</f>
        <v>199</v>
      </c>
      <c r="AA759" cm="1">
        <f t="array" ref="AA759">INDEX(Innings!I:I,MATCH(1,(TRIM(Innings!A:A)=TRIM(A759))*(TRIM(Innings!D:D)=TRIM(E759)),0))</f>
        <v>9.9499999999999993</v>
      </c>
      <c r="AB759" cm="1">
        <f t="array" ref="AB759">INDEX(Innings!J:J,MATCH(1,(TRIM(Innings!A:A)=TRIM(A759))*(TRIM(Innings!D:D)=TRIM(E759)),0))</f>
        <v>59</v>
      </c>
      <c r="AC759" cm="1">
        <f t="array" ref="AC759">INDEX(Innings!N:N,MATCH(1,(TRIM(Innings!A:A)=TRIM(A759))*(TRIM(Innings!D:D)=TRIM(E759)),0))</f>
        <v>29</v>
      </c>
      <c r="AD759" cm="1">
        <f t="array" ref="AD759">INDEX(Innings!S:S,MATCH(1,(TRIM(Innings!A:A)=TRIM(A759))*(TRIM(Innings!D:D)=TRIM(E759)),0))</f>
        <v>37</v>
      </c>
      <c r="AE759" t="str" cm="1">
        <f t="array" ref="AE759">INDEX(Innings!W:W,MATCH(1,(TRIM(Innings!A:A)=TRIM(A759))*(TRIM(Innings!D:D)=TRIM(E759)),0))</f>
        <v>NA</v>
      </c>
      <c r="AF759">
        <f>IF(UPPER(TRIM(E759))=UPPER(TRIM(W759)),1,0)</f>
        <v>1</v>
      </c>
      <c r="AG759">
        <f t="shared" si="22"/>
        <v>20</v>
      </c>
    </row>
    <row r="760" spans="1:33" x14ac:dyDescent="0.3">
      <c r="A760" t="s">
        <v>360</v>
      </c>
      <c r="B760">
        <v>2</v>
      </c>
      <c r="C760" t="s">
        <v>87</v>
      </c>
      <c r="D760" t="s">
        <v>82</v>
      </c>
      <c r="E760" t="s">
        <v>159</v>
      </c>
      <c r="F760" t="s">
        <v>83</v>
      </c>
      <c r="G760" t="s">
        <v>86</v>
      </c>
      <c r="H760">
        <v>4</v>
      </c>
      <c r="I760">
        <v>13</v>
      </c>
      <c r="J760">
        <v>30.77</v>
      </c>
      <c r="K760" t="s">
        <v>256</v>
      </c>
      <c r="L760">
        <v>-1.8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 s="8">
        <v>-1.8</v>
      </c>
      <c r="V760" s="8">
        <f t="shared" si="23"/>
        <v>0</v>
      </c>
      <c r="W760" t="str">
        <f>_xlfn.XLOOKUP(A760, Matches!A:A, Matches!L:L, "NA", 0)</f>
        <v>GGTW</v>
      </c>
      <c r="X760" t="str">
        <f>_xlfn.XLOOKUP(A760, Matches!A:A, Matches!J:J, "NA", 0)</f>
        <v>GGTW</v>
      </c>
      <c r="Y760" t="str">
        <f>_xlfn.XLOOKUP(A760, Matches!A:A, Matches!F:F, "NA", 0)</f>
        <v>Arun Jaitley Stadium</v>
      </c>
      <c r="Z760" cm="1">
        <f t="array" ref="Z760">INDEX(Innings!F:F,MATCH(1,(TRIM(Innings!A:A)=TRIM(A760))*(TRIM(Innings!D:D)=TRIM(E760)),0))</f>
        <v>180</v>
      </c>
      <c r="AA760" cm="1">
        <f t="array" ref="AA760">INDEX(Innings!I:I,MATCH(1,(TRIM(Innings!A:A)=TRIM(A760))*(TRIM(Innings!D:D)=TRIM(E760)),0))</f>
        <v>9</v>
      </c>
      <c r="AB760" cm="1">
        <f t="array" ref="AB760">INDEX(Innings!J:J,MATCH(1,(TRIM(Innings!A:A)=TRIM(A760))*(TRIM(Innings!D:D)=TRIM(E760)),0))</f>
        <v>39</v>
      </c>
      <c r="AC760" cm="1">
        <f t="array" ref="AC760">INDEX(Innings!N:N,MATCH(1,(TRIM(Innings!A:A)=TRIM(A760))*(TRIM(Innings!D:D)=TRIM(E760)),0))</f>
        <v>51</v>
      </c>
      <c r="AD760" cm="1">
        <f t="array" ref="AD760">INDEX(Innings!S:S,MATCH(1,(TRIM(Innings!A:A)=TRIM(A760))*(TRIM(Innings!D:D)=TRIM(E760)),0))</f>
        <v>41</v>
      </c>
      <c r="AE760" t="str" cm="1">
        <f t="array" ref="AE760">INDEX(Innings!W:W,MATCH(1,(TRIM(Innings!A:A)=TRIM(A760))*(TRIM(Innings!D:D)=TRIM(E760)),0))</f>
        <v>Failed</v>
      </c>
      <c r="AF760">
        <f>IF(UPPER(TRIM(E760))=UPPER(TRIM(W760)),1,0)</f>
        <v>0</v>
      </c>
      <c r="AG760">
        <f t="shared" si="22"/>
        <v>0</v>
      </c>
    </row>
    <row r="761" spans="1:33" x14ac:dyDescent="0.3">
      <c r="A761" t="s">
        <v>360</v>
      </c>
      <c r="B761">
        <v>2</v>
      </c>
      <c r="C761" t="s">
        <v>165</v>
      </c>
      <c r="D761" t="s">
        <v>166</v>
      </c>
      <c r="E761" t="s">
        <v>159</v>
      </c>
      <c r="F761" t="s">
        <v>109</v>
      </c>
      <c r="G761" t="s">
        <v>86</v>
      </c>
      <c r="H761">
        <v>24</v>
      </c>
      <c r="I761">
        <v>16</v>
      </c>
      <c r="J761">
        <v>150</v>
      </c>
      <c r="K761" t="s">
        <v>247</v>
      </c>
      <c r="L761">
        <v>24.8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 s="8">
        <v>24.8</v>
      </c>
      <c r="V761" s="8">
        <f t="shared" si="23"/>
        <v>2</v>
      </c>
      <c r="W761" t="str">
        <f>_xlfn.XLOOKUP(A761, Matches!A:A, Matches!L:L, "NA", 0)</f>
        <v>GGTW</v>
      </c>
      <c r="X761" t="str">
        <f>_xlfn.XLOOKUP(A761, Matches!A:A, Matches!J:J, "NA", 0)</f>
        <v>GGTW</v>
      </c>
      <c r="Y761" t="str">
        <f>_xlfn.XLOOKUP(A761, Matches!A:A, Matches!F:F, "NA", 0)</f>
        <v>Arun Jaitley Stadium</v>
      </c>
      <c r="Z761" cm="1">
        <f t="array" ref="Z761">INDEX(Innings!F:F,MATCH(1,(TRIM(Innings!A:A)=TRIM(A761))*(TRIM(Innings!D:D)=TRIM(E761)),0))</f>
        <v>180</v>
      </c>
      <c r="AA761" cm="1">
        <f t="array" ref="AA761">INDEX(Innings!I:I,MATCH(1,(TRIM(Innings!A:A)=TRIM(A761))*(TRIM(Innings!D:D)=TRIM(E761)),0))</f>
        <v>9</v>
      </c>
      <c r="AB761" cm="1">
        <f t="array" ref="AB761">INDEX(Innings!J:J,MATCH(1,(TRIM(Innings!A:A)=TRIM(A761))*(TRIM(Innings!D:D)=TRIM(E761)),0))</f>
        <v>39</v>
      </c>
      <c r="AC761" cm="1">
        <f t="array" ref="AC761">INDEX(Innings!N:N,MATCH(1,(TRIM(Innings!A:A)=TRIM(A761))*(TRIM(Innings!D:D)=TRIM(E761)),0))</f>
        <v>51</v>
      </c>
      <c r="AD761" cm="1">
        <f t="array" ref="AD761">INDEX(Innings!S:S,MATCH(1,(TRIM(Innings!A:A)=TRIM(A761))*(TRIM(Innings!D:D)=TRIM(E761)),0))</f>
        <v>41</v>
      </c>
      <c r="AE761" t="str" cm="1">
        <f t="array" ref="AE761">INDEX(Innings!W:W,MATCH(1,(TRIM(Innings!A:A)=TRIM(A761))*(TRIM(Innings!D:D)=TRIM(E761)),0))</f>
        <v>Failed</v>
      </c>
      <c r="AF761">
        <f>IF(UPPER(TRIM(E761))=UPPER(TRIM(W761)),1,0)</f>
        <v>0</v>
      </c>
      <c r="AG761">
        <f t="shared" si="22"/>
        <v>13</v>
      </c>
    </row>
    <row r="762" spans="1:33" x14ac:dyDescent="0.3">
      <c r="A762" t="s">
        <v>360</v>
      </c>
      <c r="B762">
        <v>2</v>
      </c>
      <c r="C762" t="s">
        <v>174</v>
      </c>
      <c r="D762" t="s">
        <v>175</v>
      </c>
      <c r="E762" t="s">
        <v>159</v>
      </c>
      <c r="F762" t="s">
        <v>83</v>
      </c>
      <c r="G762" t="s">
        <v>92</v>
      </c>
      <c r="H762">
        <v>24</v>
      </c>
      <c r="I762">
        <v>23</v>
      </c>
      <c r="J762">
        <v>104.35</v>
      </c>
      <c r="K762" t="s">
        <v>246</v>
      </c>
      <c r="L762">
        <v>18.7</v>
      </c>
      <c r="M762">
        <v>1</v>
      </c>
      <c r="N762">
        <v>0</v>
      </c>
      <c r="O762">
        <v>15</v>
      </c>
      <c r="P762">
        <v>0</v>
      </c>
      <c r="Q762">
        <v>15</v>
      </c>
      <c r="R762">
        <v>0</v>
      </c>
      <c r="S762">
        <v>0</v>
      </c>
      <c r="T762">
        <v>0</v>
      </c>
      <c r="U762" s="8">
        <v>18.7</v>
      </c>
      <c r="V762" s="8">
        <f t="shared" si="23"/>
        <v>2</v>
      </c>
      <c r="W762" t="str">
        <f>_xlfn.XLOOKUP(A762, Matches!A:A, Matches!L:L, "NA", 0)</f>
        <v>GGTW</v>
      </c>
      <c r="X762" t="str">
        <f>_xlfn.XLOOKUP(A762, Matches!A:A, Matches!J:J, "NA", 0)</f>
        <v>GGTW</v>
      </c>
      <c r="Y762" t="str">
        <f>_xlfn.XLOOKUP(A762, Matches!A:A, Matches!F:F, "NA", 0)</f>
        <v>Arun Jaitley Stadium</v>
      </c>
      <c r="Z762" cm="1">
        <f t="array" ref="Z762">INDEX(Innings!F:F,MATCH(1,(TRIM(Innings!A:A)=TRIM(A762))*(TRIM(Innings!D:D)=TRIM(E762)),0))</f>
        <v>180</v>
      </c>
      <c r="AA762" cm="1">
        <f t="array" ref="AA762">INDEX(Innings!I:I,MATCH(1,(TRIM(Innings!A:A)=TRIM(A762))*(TRIM(Innings!D:D)=TRIM(E762)),0))</f>
        <v>9</v>
      </c>
      <c r="AB762" cm="1">
        <f t="array" ref="AB762">INDEX(Innings!J:J,MATCH(1,(TRIM(Innings!A:A)=TRIM(A762))*(TRIM(Innings!D:D)=TRIM(E762)),0))</f>
        <v>39</v>
      </c>
      <c r="AC762" cm="1">
        <f t="array" ref="AC762">INDEX(Innings!N:N,MATCH(1,(TRIM(Innings!A:A)=TRIM(A762))*(TRIM(Innings!D:D)=TRIM(E762)),0))</f>
        <v>51</v>
      </c>
      <c r="AD762" cm="1">
        <f t="array" ref="AD762">INDEX(Innings!S:S,MATCH(1,(TRIM(Innings!A:A)=TRIM(A762))*(TRIM(Innings!D:D)=TRIM(E762)),0))</f>
        <v>41</v>
      </c>
      <c r="AE762" t="str" cm="1">
        <f t="array" ref="AE762">INDEX(Innings!W:W,MATCH(1,(TRIM(Innings!A:A)=TRIM(A762))*(TRIM(Innings!D:D)=TRIM(E762)),0))</f>
        <v>Failed</v>
      </c>
      <c r="AF762">
        <f>IF(UPPER(TRIM(E762))=UPPER(TRIM(W762)),1,0)</f>
        <v>0</v>
      </c>
      <c r="AG762">
        <f t="shared" si="22"/>
        <v>9.9499999999999993</v>
      </c>
    </row>
    <row r="763" spans="1:33" x14ac:dyDescent="0.3">
      <c r="A763" t="s">
        <v>360</v>
      </c>
      <c r="B763">
        <v>2</v>
      </c>
      <c r="C763" t="s">
        <v>167</v>
      </c>
      <c r="D763" t="s">
        <v>168</v>
      </c>
      <c r="E763" t="s">
        <v>159</v>
      </c>
      <c r="F763" t="s">
        <v>169</v>
      </c>
      <c r="G763" t="s">
        <v>92</v>
      </c>
      <c r="H763">
        <v>23</v>
      </c>
      <c r="I763">
        <v>16</v>
      </c>
      <c r="J763">
        <v>143.75</v>
      </c>
      <c r="K763" t="s">
        <v>245</v>
      </c>
      <c r="L763">
        <v>25.3</v>
      </c>
      <c r="M763">
        <v>3</v>
      </c>
      <c r="N763">
        <v>0</v>
      </c>
      <c r="O763">
        <v>37</v>
      </c>
      <c r="P763">
        <v>0</v>
      </c>
      <c r="Q763">
        <v>12.3</v>
      </c>
      <c r="R763">
        <v>0</v>
      </c>
      <c r="S763">
        <v>0</v>
      </c>
      <c r="T763">
        <v>0</v>
      </c>
      <c r="U763" s="8">
        <v>25.3</v>
      </c>
      <c r="V763" s="8">
        <f t="shared" si="23"/>
        <v>3</v>
      </c>
      <c r="W763" t="str">
        <f>_xlfn.XLOOKUP(A763, Matches!A:A, Matches!L:L, "NA", 0)</f>
        <v>GGTW</v>
      </c>
      <c r="X763" t="str">
        <f>_xlfn.XLOOKUP(A763, Matches!A:A, Matches!J:J, "NA", 0)</f>
        <v>GGTW</v>
      </c>
      <c r="Y763" t="str">
        <f>_xlfn.XLOOKUP(A763, Matches!A:A, Matches!F:F, "NA", 0)</f>
        <v>Arun Jaitley Stadium</v>
      </c>
      <c r="Z763" cm="1">
        <f t="array" ref="Z763">INDEX(Innings!F:F,MATCH(1,(TRIM(Innings!A:A)=TRIM(A763))*(TRIM(Innings!D:D)=TRIM(E763)),0))</f>
        <v>180</v>
      </c>
      <c r="AA763" cm="1">
        <f t="array" ref="AA763">INDEX(Innings!I:I,MATCH(1,(TRIM(Innings!A:A)=TRIM(A763))*(TRIM(Innings!D:D)=TRIM(E763)),0))</f>
        <v>9</v>
      </c>
      <c r="AB763" cm="1">
        <f t="array" ref="AB763">INDEX(Innings!J:J,MATCH(1,(TRIM(Innings!A:A)=TRIM(A763))*(TRIM(Innings!D:D)=TRIM(E763)),0))</f>
        <v>39</v>
      </c>
      <c r="AC763" cm="1">
        <f t="array" ref="AC763">INDEX(Innings!N:N,MATCH(1,(TRIM(Innings!A:A)=TRIM(A763))*(TRIM(Innings!D:D)=TRIM(E763)),0))</f>
        <v>51</v>
      </c>
      <c r="AD763" cm="1">
        <f t="array" ref="AD763">INDEX(Innings!S:S,MATCH(1,(TRIM(Innings!A:A)=TRIM(A763))*(TRIM(Innings!D:D)=TRIM(E763)),0))</f>
        <v>41</v>
      </c>
      <c r="AE763" t="str" cm="1">
        <f t="array" ref="AE763">INDEX(Innings!W:W,MATCH(1,(TRIM(Innings!A:A)=TRIM(A763))*(TRIM(Innings!D:D)=TRIM(E763)),0))</f>
        <v>Failed</v>
      </c>
      <c r="AF763">
        <f>IF(UPPER(TRIM(E763))=UPPER(TRIM(W763)),1,0)</f>
        <v>0</v>
      </c>
      <c r="AG763">
        <f t="shared" si="22"/>
        <v>13.55</v>
      </c>
    </row>
    <row r="764" spans="1:33" x14ac:dyDescent="0.3">
      <c r="A764" t="s">
        <v>360</v>
      </c>
      <c r="B764">
        <v>2</v>
      </c>
      <c r="C764" t="s">
        <v>176</v>
      </c>
      <c r="D764" t="s">
        <v>177</v>
      </c>
      <c r="E764" t="s">
        <v>159</v>
      </c>
      <c r="F764" t="s">
        <v>85</v>
      </c>
      <c r="G764" t="s">
        <v>134</v>
      </c>
      <c r="H764">
        <v>30</v>
      </c>
      <c r="I764">
        <v>21</v>
      </c>
      <c r="J764">
        <v>142.86000000000001</v>
      </c>
      <c r="K764" t="s">
        <v>246</v>
      </c>
      <c r="L764">
        <v>31.4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 s="8">
        <v>31.4</v>
      </c>
      <c r="V764" s="8">
        <f t="shared" si="23"/>
        <v>3</v>
      </c>
      <c r="W764" t="str">
        <f>_xlfn.XLOOKUP(A764, Matches!A:A, Matches!L:L, "NA", 0)</f>
        <v>GGTW</v>
      </c>
      <c r="X764" t="str">
        <f>_xlfn.XLOOKUP(A764, Matches!A:A, Matches!J:J, "NA", 0)</f>
        <v>GGTW</v>
      </c>
      <c r="Y764" t="str">
        <f>_xlfn.XLOOKUP(A764, Matches!A:A, Matches!F:F, "NA", 0)</f>
        <v>Arun Jaitley Stadium</v>
      </c>
      <c r="Z764" cm="1">
        <f t="array" ref="Z764">INDEX(Innings!F:F,MATCH(1,(TRIM(Innings!A:A)=TRIM(A764))*(TRIM(Innings!D:D)=TRIM(E764)),0))</f>
        <v>180</v>
      </c>
      <c r="AA764" cm="1">
        <f t="array" ref="AA764">INDEX(Innings!I:I,MATCH(1,(TRIM(Innings!A:A)=TRIM(A764))*(TRIM(Innings!D:D)=TRIM(E764)),0))</f>
        <v>9</v>
      </c>
      <c r="AB764" cm="1">
        <f t="array" ref="AB764">INDEX(Innings!J:J,MATCH(1,(TRIM(Innings!A:A)=TRIM(A764))*(TRIM(Innings!D:D)=TRIM(E764)),0))</f>
        <v>39</v>
      </c>
      <c r="AC764" cm="1">
        <f t="array" ref="AC764">INDEX(Innings!N:N,MATCH(1,(TRIM(Innings!A:A)=TRIM(A764))*(TRIM(Innings!D:D)=TRIM(E764)),0))</f>
        <v>51</v>
      </c>
      <c r="AD764" cm="1">
        <f t="array" ref="AD764">INDEX(Innings!S:S,MATCH(1,(TRIM(Innings!A:A)=TRIM(A764))*(TRIM(Innings!D:D)=TRIM(E764)),0))</f>
        <v>41</v>
      </c>
      <c r="AE764" t="str" cm="1">
        <f t="array" ref="AE764">INDEX(Innings!W:W,MATCH(1,(TRIM(Innings!A:A)=TRIM(A764))*(TRIM(Innings!D:D)=TRIM(E764)),0))</f>
        <v>Failed</v>
      </c>
      <c r="AF764">
        <f>IF(UPPER(TRIM(E764))=UPPER(TRIM(W764)),1,0)</f>
        <v>0</v>
      </c>
      <c r="AG764">
        <f t="shared" si="22"/>
        <v>16.599999999999998</v>
      </c>
    </row>
    <row r="765" spans="1:33" x14ac:dyDescent="0.3">
      <c r="A765" t="s">
        <v>360</v>
      </c>
      <c r="B765">
        <v>2</v>
      </c>
      <c r="C765" t="s">
        <v>99</v>
      </c>
      <c r="D765" t="s">
        <v>124</v>
      </c>
      <c r="E765" t="s">
        <v>159</v>
      </c>
      <c r="F765" t="s">
        <v>91</v>
      </c>
      <c r="G765" t="s">
        <v>134</v>
      </c>
      <c r="H765">
        <v>48</v>
      </c>
      <c r="I765">
        <v>22</v>
      </c>
      <c r="J765">
        <v>218.18</v>
      </c>
      <c r="K765" t="s">
        <v>256</v>
      </c>
      <c r="L765">
        <v>53.6</v>
      </c>
      <c r="M765">
        <v>4</v>
      </c>
      <c r="N765">
        <v>0</v>
      </c>
      <c r="O765">
        <v>36</v>
      </c>
      <c r="P765">
        <v>1</v>
      </c>
      <c r="Q765">
        <v>9</v>
      </c>
      <c r="R765">
        <v>20</v>
      </c>
      <c r="S765">
        <v>0</v>
      </c>
      <c r="T765">
        <v>0</v>
      </c>
      <c r="U765" s="8">
        <v>73.599999999999994</v>
      </c>
      <c r="V765" s="8">
        <f t="shared" si="23"/>
        <v>7</v>
      </c>
      <c r="W765" t="str">
        <f>_xlfn.XLOOKUP(A765, Matches!A:A, Matches!L:L, "NA", 0)</f>
        <v>GGTW</v>
      </c>
      <c r="X765" t="str">
        <f>_xlfn.XLOOKUP(A765, Matches!A:A, Matches!J:J, "NA", 0)</f>
        <v>GGTW</v>
      </c>
      <c r="Y765" t="str">
        <f>_xlfn.XLOOKUP(A765, Matches!A:A, Matches!F:F, "NA", 0)</f>
        <v>Arun Jaitley Stadium</v>
      </c>
      <c r="Z765" cm="1">
        <f t="array" ref="Z765">INDEX(Innings!F:F,MATCH(1,(TRIM(Innings!A:A)=TRIM(A765))*(TRIM(Innings!D:D)=TRIM(E765)),0))</f>
        <v>180</v>
      </c>
      <c r="AA765" cm="1">
        <f t="array" ref="AA765">INDEX(Innings!I:I,MATCH(1,(TRIM(Innings!A:A)=TRIM(A765))*(TRIM(Innings!D:D)=TRIM(E765)),0))</f>
        <v>9</v>
      </c>
      <c r="AB765" cm="1">
        <f t="array" ref="AB765">INDEX(Innings!J:J,MATCH(1,(TRIM(Innings!A:A)=TRIM(A765))*(TRIM(Innings!D:D)=TRIM(E765)),0))</f>
        <v>39</v>
      </c>
      <c r="AC765" cm="1">
        <f t="array" ref="AC765">INDEX(Innings!N:N,MATCH(1,(TRIM(Innings!A:A)=TRIM(A765))*(TRIM(Innings!D:D)=TRIM(E765)),0))</f>
        <v>51</v>
      </c>
      <c r="AD765" cm="1">
        <f t="array" ref="AD765">INDEX(Innings!S:S,MATCH(1,(TRIM(Innings!A:A)=TRIM(A765))*(TRIM(Innings!D:D)=TRIM(E765)),0))</f>
        <v>41</v>
      </c>
      <c r="AE765" t="str" cm="1">
        <f t="array" ref="AE765">INDEX(Innings!W:W,MATCH(1,(TRIM(Innings!A:A)=TRIM(A765))*(TRIM(Innings!D:D)=TRIM(E765)),0))</f>
        <v>Failed</v>
      </c>
      <c r="AF765">
        <f>IF(UPPER(TRIM(E765))=UPPER(TRIM(W765)),1,0)</f>
        <v>0</v>
      </c>
      <c r="AG765">
        <f t="shared" si="22"/>
        <v>38.9</v>
      </c>
    </row>
    <row r="766" spans="1:33" x14ac:dyDescent="0.3">
      <c r="A766" t="s">
        <v>360</v>
      </c>
      <c r="B766">
        <v>2</v>
      </c>
      <c r="C766" t="s">
        <v>371</v>
      </c>
      <c r="D766" t="s">
        <v>372</v>
      </c>
      <c r="E766" t="s">
        <v>159</v>
      </c>
      <c r="F766" t="s">
        <v>91</v>
      </c>
      <c r="G766" t="s">
        <v>134</v>
      </c>
      <c r="H766">
        <v>3</v>
      </c>
      <c r="I766">
        <v>3</v>
      </c>
      <c r="J766">
        <v>100</v>
      </c>
      <c r="K766" t="s">
        <v>256</v>
      </c>
      <c r="L766">
        <v>2.5</v>
      </c>
      <c r="M766">
        <v>4</v>
      </c>
      <c r="N766">
        <v>0</v>
      </c>
      <c r="O766">
        <v>32</v>
      </c>
      <c r="P766">
        <v>1</v>
      </c>
      <c r="Q766">
        <v>8</v>
      </c>
      <c r="R766">
        <v>20</v>
      </c>
      <c r="S766">
        <v>0</v>
      </c>
      <c r="T766">
        <v>0</v>
      </c>
      <c r="U766" s="8">
        <v>22.5</v>
      </c>
      <c r="V766" s="8">
        <f t="shared" si="23"/>
        <v>2</v>
      </c>
      <c r="W766" t="str">
        <f>_xlfn.XLOOKUP(A766, Matches!A:A, Matches!L:L, "NA", 0)</f>
        <v>GGTW</v>
      </c>
      <c r="X766" t="str">
        <f>_xlfn.XLOOKUP(A766, Matches!A:A, Matches!J:J, "NA", 0)</f>
        <v>GGTW</v>
      </c>
      <c r="Y766" t="str">
        <f>_xlfn.XLOOKUP(A766, Matches!A:A, Matches!F:F, "NA", 0)</f>
        <v>Arun Jaitley Stadium</v>
      </c>
      <c r="Z766" cm="1">
        <f t="array" ref="Z766">INDEX(Innings!F:F,MATCH(1,(TRIM(Innings!A:A)=TRIM(A766))*(TRIM(Innings!D:D)=TRIM(E766)),0))</f>
        <v>180</v>
      </c>
      <c r="AA766" cm="1">
        <f t="array" ref="AA766">INDEX(Innings!I:I,MATCH(1,(TRIM(Innings!A:A)=TRIM(A766))*(TRIM(Innings!D:D)=TRIM(E766)),0))</f>
        <v>9</v>
      </c>
      <c r="AB766" cm="1">
        <f t="array" ref="AB766">INDEX(Innings!J:J,MATCH(1,(TRIM(Innings!A:A)=TRIM(A766))*(TRIM(Innings!D:D)=TRIM(E766)),0))</f>
        <v>39</v>
      </c>
      <c r="AC766" cm="1">
        <f t="array" ref="AC766">INDEX(Innings!N:N,MATCH(1,(TRIM(Innings!A:A)=TRIM(A766))*(TRIM(Innings!D:D)=TRIM(E766)),0))</f>
        <v>51</v>
      </c>
      <c r="AD766" cm="1">
        <f t="array" ref="AD766">INDEX(Innings!S:S,MATCH(1,(TRIM(Innings!A:A)=TRIM(A766))*(TRIM(Innings!D:D)=TRIM(E766)),0))</f>
        <v>41</v>
      </c>
      <c r="AE766" t="str" cm="1">
        <f t="array" ref="AE766">INDEX(Innings!W:W,MATCH(1,(TRIM(Innings!A:A)=TRIM(A766))*(TRIM(Innings!D:D)=TRIM(E766)),0))</f>
        <v>Failed</v>
      </c>
      <c r="AF766">
        <f>IF(UPPER(TRIM(E766))=UPPER(TRIM(W766)),1,0)</f>
        <v>0</v>
      </c>
      <c r="AG766">
        <f t="shared" si="22"/>
        <v>11.85</v>
      </c>
    </row>
    <row r="767" spans="1:33" x14ac:dyDescent="0.3">
      <c r="A767" t="s">
        <v>360</v>
      </c>
      <c r="B767">
        <v>2</v>
      </c>
      <c r="C767" t="s">
        <v>373</v>
      </c>
      <c r="D767" t="s">
        <v>374</v>
      </c>
      <c r="E767" t="s">
        <v>159</v>
      </c>
      <c r="F767" t="s">
        <v>101</v>
      </c>
      <c r="G767" t="s">
        <v>134</v>
      </c>
      <c r="H767">
        <v>1</v>
      </c>
      <c r="I767">
        <v>2</v>
      </c>
      <c r="J767">
        <v>50</v>
      </c>
      <c r="K767" t="s">
        <v>96</v>
      </c>
      <c r="L767">
        <v>2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 s="8">
        <v>2</v>
      </c>
      <c r="V767" s="8">
        <f t="shared" si="23"/>
        <v>0</v>
      </c>
      <c r="W767" t="str">
        <f>_xlfn.XLOOKUP(A767, Matches!A:A, Matches!L:L, "NA", 0)</f>
        <v>GGTW</v>
      </c>
      <c r="X767" t="str">
        <f>_xlfn.XLOOKUP(A767, Matches!A:A, Matches!J:J, "NA", 0)</f>
        <v>GGTW</v>
      </c>
      <c r="Y767" t="str">
        <f>_xlfn.XLOOKUP(A767, Matches!A:A, Matches!F:F, "NA", 0)</f>
        <v>Arun Jaitley Stadium</v>
      </c>
      <c r="Z767" cm="1">
        <f t="array" ref="Z767">INDEX(Innings!F:F,MATCH(1,(TRIM(Innings!A:A)=TRIM(A767))*(TRIM(Innings!D:D)=TRIM(E767)),0))</f>
        <v>180</v>
      </c>
      <c r="AA767" cm="1">
        <f t="array" ref="AA767">INDEX(Innings!I:I,MATCH(1,(TRIM(Innings!A:A)=TRIM(A767))*(TRIM(Innings!D:D)=TRIM(E767)),0))</f>
        <v>9</v>
      </c>
      <c r="AB767" cm="1">
        <f t="array" ref="AB767">INDEX(Innings!J:J,MATCH(1,(TRIM(Innings!A:A)=TRIM(A767))*(TRIM(Innings!D:D)=TRIM(E767)),0))</f>
        <v>39</v>
      </c>
      <c r="AC767" cm="1">
        <f t="array" ref="AC767">INDEX(Innings!N:N,MATCH(1,(TRIM(Innings!A:A)=TRIM(A767))*(TRIM(Innings!D:D)=TRIM(E767)),0))</f>
        <v>51</v>
      </c>
      <c r="AD767" cm="1">
        <f t="array" ref="AD767">INDEX(Innings!S:S,MATCH(1,(TRIM(Innings!A:A)=TRIM(A767))*(TRIM(Innings!D:D)=TRIM(E767)),0))</f>
        <v>41</v>
      </c>
      <c r="AE767" t="str" cm="1">
        <f t="array" ref="AE767">INDEX(Innings!W:W,MATCH(1,(TRIM(Innings!A:A)=TRIM(A767))*(TRIM(Innings!D:D)=TRIM(E767)),0))</f>
        <v>Failed</v>
      </c>
      <c r="AF767">
        <f>IF(UPPER(TRIM(E767))=UPPER(TRIM(W767)),1,0)</f>
        <v>0</v>
      </c>
      <c r="AG767">
        <f t="shared" si="22"/>
        <v>1</v>
      </c>
    </row>
    <row r="768" spans="1:33" x14ac:dyDescent="0.3">
      <c r="A768" t="s">
        <v>360</v>
      </c>
      <c r="B768">
        <v>2</v>
      </c>
      <c r="C768" t="s">
        <v>429</v>
      </c>
      <c r="D768" t="s">
        <v>430</v>
      </c>
      <c r="E768" t="s">
        <v>159</v>
      </c>
      <c r="F768" t="s">
        <v>101</v>
      </c>
      <c r="G768" t="s">
        <v>134</v>
      </c>
      <c r="H768">
        <v>12</v>
      </c>
      <c r="I768">
        <v>5</v>
      </c>
      <c r="J768">
        <v>240</v>
      </c>
      <c r="K768" t="s">
        <v>256</v>
      </c>
      <c r="L768">
        <v>18.5</v>
      </c>
      <c r="M768">
        <v>3</v>
      </c>
      <c r="N768">
        <v>0</v>
      </c>
      <c r="O768">
        <v>31</v>
      </c>
      <c r="P768">
        <v>0</v>
      </c>
      <c r="Q768">
        <v>10.3</v>
      </c>
      <c r="R768">
        <v>0</v>
      </c>
      <c r="S768">
        <v>0</v>
      </c>
      <c r="T768">
        <v>0</v>
      </c>
      <c r="U768" s="8">
        <v>18.5</v>
      </c>
      <c r="V768" s="8">
        <f t="shared" si="23"/>
        <v>2</v>
      </c>
      <c r="W768" t="str">
        <f>_xlfn.XLOOKUP(A768, Matches!A:A, Matches!L:L, "NA", 0)</f>
        <v>GGTW</v>
      </c>
      <c r="X768" t="str">
        <f>_xlfn.XLOOKUP(A768, Matches!A:A, Matches!J:J, "NA", 0)</f>
        <v>GGTW</v>
      </c>
      <c r="Y768" t="str">
        <f>_xlfn.XLOOKUP(A768, Matches!A:A, Matches!F:F, "NA", 0)</f>
        <v>Arun Jaitley Stadium</v>
      </c>
      <c r="Z768" cm="1">
        <f t="array" ref="Z768">INDEX(Innings!F:F,MATCH(1,(TRIM(Innings!A:A)=TRIM(A768))*(TRIM(Innings!D:D)=TRIM(E768)),0))</f>
        <v>180</v>
      </c>
      <c r="AA768" cm="1">
        <f t="array" ref="AA768">INDEX(Innings!I:I,MATCH(1,(TRIM(Innings!A:A)=TRIM(A768))*(TRIM(Innings!D:D)=TRIM(E768)),0))</f>
        <v>9</v>
      </c>
      <c r="AB768" cm="1">
        <f t="array" ref="AB768">INDEX(Innings!J:J,MATCH(1,(TRIM(Innings!A:A)=TRIM(A768))*(TRIM(Innings!D:D)=TRIM(E768)),0))</f>
        <v>39</v>
      </c>
      <c r="AC768" cm="1">
        <f t="array" ref="AC768">INDEX(Innings!N:N,MATCH(1,(TRIM(Innings!A:A)=TRIM(A768))*(TRIM(Innings!D:D)=TRIM(E768)),0))</f>
        <v>51</v>
      </c>
      <c r="AD768" cm="1">
        <f t="array" ref="AD768">INDEX(Innings!S:S,MATCH(1,(TRIM(Innings!A:A)=TRIM(A768))*(TRIM(Innings!D:D)=TRIM(E768)),0))</f>
        <v>41</v>
      </c>
      <c r="AE768" t="str" cm="1">
        <f t="array" ref="AE768">INDEX(Innings!W:W,MATCH(1,(TRIM(Innings!A:A)=TRIM(A768))*(TRIM(Innings!D:D)=TRIM(E768)),0))</f>
        <v>Failed</v>
      </c>
      <c r="AF768">
        <f>IF(UPPER(TRIM(E768))=UPPER(TRIM(W768)),1,0)</f>
        <v>0</v>
      </c>
      <c r="AG768">
        <f t="shared" si="22"/>
        <v>9.85</v>
      </c>
    </row>
    <row r="769" spans="1:33" x14ac:dyDescent="0.3">
      <c r="A769" t="s">
        <v>360</v>
      </c>
      <c r="B769">
        <v>2</v>
      </c>
      <c r="C769" t="s">
        <v>180</v>
      </c>
      <c r="D769" t="s">
        <v>181</v>
      </c>
      <c r="E769" t="s">
        <v>159</v>
      </c>
      <c r="F769" t="s">
        <v>91</v>
      </c>
      <c r="G769" t="s">
        <v>104</v>
      </c>
      <c r="H769">
        <v>0</v>
      </c>
      <c r="I769">
        <v>0</v>
      </c>
      <c r="J769">
        <v>0</v>
      </c>
      <c r="K769" t="s">
        <v>104</v>
      </c>
      <c r="L769">
        <v>0</v>
      </c>
      <c r="M769">
        <v>1</v>
      </c>
      <c r="N769">
        <v>0</v>
      </c>
      <c r="O769">
        <v>11</v>
      </c>
      <c r="P769">
        <v>0</v>
      </c>
      <c r="Q769">
        <v>11</v>
      </c>
      <c r="R769">
        <v>0</v>
      </c>
      <c r="S769">
        <v>0</v>
      </c>
      <c r="T769">
        <v>0</v>
      </c>
      <c r="U769" s="8">
        <v>0</v>
      </c>
      <c r="V769" s="8">
        <f t="shared" si="23"/>
        <v>0</v>
      </c>
      <c r="W769" t="str">
        <f>_xlfn.XLOOKUP(A769, Matches!A:A, Matches!L:L, "NA", 0)</f>
        <v>GGTW</v>
      </c>
      <c r="X769" t="str">
        <f>_xlfn.XLOOKUP(A769, Matches!A:A, Matches!J:J, "NA", 0)</f>
        <v>GGTW</v>
      </c>
      <c r="Y769" t="str">
        <f>_xlfn.XLOOKUP(A769, Matches!A:A, Matches!F:F, "NA", 0)</f>
        <v>Arun Jaitley Stadium</v>
      </c>
      <c r="Z769" cm="1">
        <f t="array" ref="Z769">INDEX(Innings!F:F,MATCH(1,(TRIM(Innings!A:A)=TRIM(A769))*(TRIM(Innings!D:D)=TRIM(E769)),0))</f>
        <v>180</v>
      </c>
      <c r="AA769" cm="1">
        <f t="array" ref="AA769">INDEX(Innings!I:I,MATCH(1,(TRIM(Innings!A:A)=TRIM(A769))*(TRIM(Innings!D:D)=TRIM(E769)),0))</f>
        <v>9</v>
      </c>
      <c r="AB769" cm="1">
        <f t="array" ref="AB769">INDEX(Innings!J:J,MATCH(1,(TRIM(Innings!A:A)=TRIM(A769))*(TRIM(Innings!D:D)=TRIM(E769)),0))</f>
        <v>39</v>
      </c>
      <c r="AC769" cm="1">
        <f t="array" ref="AC769">INDEX(Innings!N:N,MATCH(1,(TRIM(Innings!A:A)=TRIM(A769))*(TRIM(Innings!D:D)=TRIM(E769)),0))</f>
        <v>51</v>
      </c>
      <c r="AD769" cm="1">
        <f t="array" ref="AD769">INDEX(Innings!S:S,MATCH(1,(TRIM(Innings!A:A)=TRIM(A769))*(TRIM(Innings!D:D)=TRIM(E769)),0))</f>
        <v>41</v>
      </c>
      <c r="AE769" t="str" cm="1">
        <f t="array" ref="AE769">INDEX(Innings!W:W,MATCH(1,(TRIM(Innings!A:A)=TRIM(A769))*(TRIM(Innings!D:D)=TRIM(E769)),0))</f>
        <v>Failed</v>
      </c>
      <c r="AF769">
        <f>IF(UPPER(TRIM(E769))=UPPER(TRIM(W769)),1,0)</f>
        <v>0</v>
      </c>
      <c r="AG769">
        <f t="shared" si="22"/>
        <v>0</v>
      </c>
    </row>
    <row r="770" spans="1:33" x14ac:dyDescent="0.3">
      <c r="A770" t="s">
        <v>360</v>
      </c>
      <c r="B770">
        <v>2</v>
      </c>
      <c r="C770" t="s">
        <v>186</v>
      </c>
      <c r="D770" t="s">
        <v>187</v>
      </c>
      <c r="E770" t="s">
        <v>159</v>
      </c>
      <c r="F770" t="s">
        <v>101</v>
      </c>
      <c r="G770" t="s">
        <v>104</v>
      </c>
      <c r="H770">
        <v>0</v>
      </c>
      <c r="I770">
        <v>0</v>
      </c>
      <c r="J770">
        <v>0</v>
      </c>
      <c r="K770" t="s">
        <v>104</v>
      </c>
      <c r="L770">
        <v>0</v>
      </c>
      <c r="M770">
        <v>4</v>
      </c>
      <c r="N770">
        <v>0</v>
      </c>
      <c r="O770">
        <v>34</v>
      </c>
      <c r="P770">
        <v>0</v>
      </c>
      <c r="Q770">
        <v>8.5</v>
      </c>
      <c r="R770">
        <v>0</v>
      </c>
      <c r="S770">
        <v>0</v>
      </c>
      <c r="T770">
        <v>0</v>
      </c>
      <c r="U770" s="8">
        <v>0</v>
      </c>
      <c r="V770" s="8">
        <f t="shared" si="23"/>
        <v>0</v>
      </c>
      <c r="W770" t="str">
        <f>_xlfn.XLOOKUP(A770, Matches!A:A, Matches!L:L, "NA", 0)</f>
        <v>GGTW</v>
      </c>
      <c r="X770" t="str">
        <f>_xlfn.XLOOKUP(A770, Matches!A:A, Matches!J:J, "NA", 0)</f>
        <v>GGTW</v>
      </c>
      <c r="Y770" t="str">
        <f>_xlfn.XLOOKUP(A770, Matches!A:A, Matches!F:F, "NA", 0)</f>
        <v>Arun Jaitley Stadium</v>
      </c>
      <c r="Z770" cm="1">
        <f t="array" ref="Z770">INDEX(Innings!F:F,MATCH(1,(TRIM(Innings!A:A)=TRIM(A770))*(TRIM(Innings!D:D)=TRIM(E770)),0))</f>
        <v>180</v>
      </c>
      <c r="AA770" cm="1">
        <f t="array" ref="AA770">INDEX(Innings!I:I,MATCH(1,(TRIM(Innings!A:A)=TRIM(A770))*(TRIM(Innings!D:D)=TRIM(E770)),0))</f>
        <v>9</v>
      </c>
      <c r="AB770" cm="1">
        <f t="array" ref="AB770">INDEX(Innings!J:J,MATCH(1,(TRIM(Innings!A:A)=TRIM(A770))*(TRIM(Innings!D:D)=TRIM(E770)),0))</f>
        <v>39</v>
      </c>
      <c r="AC770" cm="1">
        <f t="array" ref="AC770">INDEX(Innings!N:N,MATCH(1,(TRIM(Innings!A:A)=TRIM(A770))*(TRIM(Innings!D:D)=TRIM(E770)),0))</f>
        <v>51</v>
      </c>
      <c r="AD770" cm="1">
        <f t="array" ref="AD770">INDEX(Innings!S:S,MATCH(1,(TRIM(Innings!A:A)=TRIM(A770))*(TRIM(Innings!D:D)=TRIM(E770)),0))</f>
        <v>41</v>
      </c>
      <c r="AE770" t="str" cm="1">
        <f t="array" ref="AE770">INDEX(Innings!W:W,MATCH(1,(TRIM(Innings!A:A)=TRIM(A770))*(TRIM(Innings!D:D)=TRIM(E770)),0))</f>
        <v>Failed</v>
      </c>
      <c r="AF770">
        <f>IF(UPPER(TRIM(E770))=UPPER(TRIM(W770)),1,0)</f>
        <v>0</v>
      </c>
      <c r="AG770">
        <f t="shared" ref="AG770:AG833" si="24">(0.5*MAX(0,U770) + 0.3*MAX(0,V770) + 0.2*AF770*100)</f>
        <v>0</v>
      </c>
    </row>
    <row r="771" spans="1:33" x14ac:dyDescent="0.3">
      <c r="A771" t="s">
        <v>361</v>
      </c>
      <c r="B771">
        <v>2</v>
      </c>
      <c r="C771" t="s">
        <v>113</v>
      </c>
      <c r="D771" t="s">
        <v>84</v>
      </c>
      <c r="E771" t="s">
        <v>266</v>
      </c>
      <c r="F771" t="s">
        <v>85</v>
      </c>
      <c r="G771" t="s">
        <v>86</v>
      </c>
      <c r="H771">
        <v>9</v>
      </c>
      <c r="I771">
        <v>13</v>
      </c>
      <c r="J771">
        <v>69.23</v>
      </c>
      <c r="K771" t="s">
        <v>246</v>
      </c>
      <c r="L771">
        <v>3.2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 s="8">
        <v>3.2</v>
      </c>
      <c r="V771" s="8">
        <f t="shared" ref="V771:V834" si="25">MIN(10, MAX(0, ROUND(U771/10,0)))</f>
        <v>0</v>
      </c>
      <c r="W771" t="str">
        <f>_xlfn.XLOOKUP(A771, Matches!A:A, Matches!L:L, "NA", 0)</f>
        <v>MIW</v>
      </c>
      <c r="X771" t="str">
        <f>_xlfn.XLOOKUP(A771, Matches!A:A, Matches!J:J, "NA", 0)</f>
        <v>MIW</v>
      </c>
      <c r="Y771" t="str">
        <f>_xlfn.XLOOKUP(A771, Matches!A:A, Matches!F:F, "NA", 0)</f>
        <v>Arun Jaitley Stadium</v>
      </c>
      <c r="Z771" cm="1">
        <f t="array" ref="Z771">INDEX(Innings!F:F,MATCH(1,(TRIM(Innings!A:A)=TRIM(A771))*(TRIM(Innings!D:D)=TRIM(E771)),0))</f>
        <v>160</v>
      </c>
      <c r="AA771" cm="1">
        <f t="array" ref="AA771">INDEX(Innings!I:I,MATCH(1,(TRIM(Innings!A:A)=TRIM(A771))*(TRIM(Innings!D:D)=TRIM(E771)),0))</f>
        <v>8</v>
      </c>
      <c r="AB771" cm="1">
        <f t="array" ref="AB771">INDEX(Innings!J:J,MATCH(1,(TRIM(Innings!A:A)=TRIM(A771))*(TRIM(Innings!D:D)=TRIM(E771)),0))</f>
        <v>37</v>
      </c>
      <c r="AC771" cm="1">
        <f t="array" ref="AC771">INDEX(Innings!N:N,MATCH(1,(TRIM(Innings!A:A)=TRIM(A771))*(TRIM(Innings!D:D)=TRIM(E771)),0))</f>
        <v>38</v>
      </c>
      <c r="AD771" cm="1">
        <f t="array" ref="AD771">INDEX(Innings!S:S,MATCH(1,(TRIM(Innings!A:A)=TRIM(A771))*(TRIM(Innings!D:D)=TRIM(E771)),0))</f>
        <v>40</v>
      </c>
      <c r="AE771" t="str" cm="1">
        <f t="array" ref="AE771">INDEX(Innings!W:W,MATCH(1,(TRIM(Innings!A:A)=TRIM(A771))*(TRIM(Innings!D:D)=TRIM(E771)),0))</f>
        <v>NA</v>
      </c>
      <c r="AF771">
        <f>IF(UPPER(TRIM(E771))=UPPER(TRIM(W771)),1,0)</f>
        <v>1</v>
      </c>
      <c r="AG771">
        <f t="shared" si="24"/>
        <v>21.6</v>
      </c>
    </row>
    <row r="772" spans="1:33" x14ac:dyDescent="0.3">
      <c r="A772" t="s">
        <v>361</v>
      </c>
      <c r="B772">
        <v>2</v>
      </c>
      <c r="C772" t="s">
        <v>112</v>
      </c>
      <c r="D772" t="s">
        <v>88</v>
      </c>
      <c r="E772" t="s">
        <v>266</v>
      </c>
      <c r="F772" t="s">
        <v>83</v>
      </c>
      <c r="G772" t="s">
        <v>86</v>
      </c>
      <c r="H772">
        <v>4</v>
      </c>
      <c r="I772">
        <v>3</v>
      </c>
      <c r="J772">
        <v>133.33000000000001</v>
      </c>
      <c r="K772" t="s">
        <v>246</v>
      </c>
      <c r="L772">
        <v>6.1</v>
      </c>
      <c r="M772">
        <v>4</v>
      </c>
      <c r="N772">
        <v>0</v>
      </c>
      <c r="O772">
        <v>22</v>
      </c>
      <c r="P772">
        <v>1</v>
      </c>
      <c r="Q772">
        <v>5.5</v>
      </c>
      <c r="R772">
        <v>27</v>
      </c>
      <c r="S772">
        <v>0</v>
      </c>
      <c r="T772">
        <v>0</v>
      </c>
      <c r="U772" s="8">
        <v>33.1</v>
      </c>
      <c r="V772" s="8">
        <f t="shared" si="25"/>
        <v>3</v>
      </c>
      <c r="W772" t="str">
        <f>_xlfn.XLOOKUP(A772, Matches!A:A, Matches!L:L, "NA", 0)</f>
        <v>MIW</v>
      </c>
      <c r="X772" t="str">
        <f>_xlfn.XLOOKUP(A772, Matches!A:A, Matches!J:J, "NA", 0)</f>
        <v>MIW</v>
      </c>
      <c r="Y772" t="str">
        <f>_xlfn.XLOOKUP(A772, Matches!A:A, Matches!F:F, "NA", 0)</f>
        <v>Arun Jaitley Stadium</v>
      </c>
      <c r="Z772" cm="1">
        <f t="array" ref="Z772">INDEX(Innings!F:F,MATCH(1,(TRIM(Innings!A:A)=TRIM(A772))*(TRIM(Innings!D:D)=TRIM(E772)),0))</f>
        <v>160</v>
      </c>
      <c r="AA772" cm="1">
        <f t="array" ref="AA772">INDEX(Innings!I:I,MATCH(1,(TRIM(Innings!A:A)=TRIM(A772))*(TRIM(Innings!D:D)=TRIM(E772)),0))</f>
        <v>8</v>
      </c>
      <c r="AB772" cm="1">
        <f t="array" ref="AB772">INDEX(Innings!J:J,MATCH(1,(TRIM(Innings!A:A)=TRIM(A772))*(TRIM(Innings!D:D)=TRIM(E772)),0))</f>
        <v>37</v>
      </c>
      <c r="AC772" cm="1">
        <f t="array" ref="AC772">INDEX(Innings!N:N,MATCH(1,(TRIM(Innings!A:A)=TRIM(A772))*(TRIM(Innings!D:D)=TRIM(E772)),0))</f>
        <v>38</v>
      </c>
      <c r="AD772" cm="1">
        <f t="array" ref="AD772">INDEX(Innings!S:S,MATCH(1,(TRIM(Innings!A:A)=TRIM(A772))*(TRIM(Innings!D:D)=TRIM(E772)),0))</f>
        <v>40</v>
      </c>
      <c r="AE772" t="str" cm="1">
        <f t="array" ref="AE772">INDEX(Innings!W:W,MATCH(1,(TRIM(Innings!A:A)=TRIM(A772))*(TRIM(Innings!D:D)=TRIM(E772)),0))</f>
        <v>NA</v>
      </c>
      <c r="AF772">
        <f>IF(UPPER(TRIM(E772))=UPPER(TRIM(W772)),1,0)</f>
        <v>1</v>
      </c>
      <c r="AG772">
        <f t="shared" si="24"/>
        <v>37.450000000000003</v>
      </c>
    </row>
    <row r="773" spans="1:33" x14ac:dyDescent="0.3">
      <c r="A773" t="s">
        <v>361</v>
      </c>
      <c r="B773">
        <v>2</v>
      </c>
      <c r="C773" t="s">
        <v>117</v>
      </c>
      <c r="D773" t="s">
        <v>90</v>
      </c>
      <c r="E773" t="s">
        <v>266</v>
      </c>
      <c r="F773" t="s">
        <v>169</v>
      </c>
      <c r="G773" t="s">
        <v>92</v>
      </c>
      <c r="H773">
        <v>45</v>
      </c>
      <c r="I773">
        <v>31</v>
      </c>
      <c r="J773">
        <v>145.16</v>
      </c>
      <c r="K773" t="s">
        <v>245</v>
      </c>
      <c r="L773">
        <v>42.8</v>
      </c>
      <c r="M773">
        <v>2</v>
      </c>
      <c r="N773">
        <v>0</v>
      </c>
      <c r="O773">
        <v>14</v>
      </c>
      <c r="P773">
        <v>2</v>
      </c>
      <c r="Q773">
        <v>7</v>
      </c>
      <c r="R773">
        <v>42</v>
      </c>
      <c r="S773">
        <v>0</v>
      </c>
      <c r="T773">
        <v>0</v>
      </c>
      <c r="U773" s="8">
        <v>84.8</v>
      </c>
      <c r="V773" s="8">
        <f t="shared" si="25"/>
        <v>8</v>
      </c>
      <c r="W773" t="str">
        <f>_xlfn.XLOOKUP(A773, Matches!A:A, Matches!L:L, "NA", 0)</f>
        <v>MIW</v>
      </c>
      <c r="X773" t="str">
        <f>_xlfn.XLOOKUP(A773, Matches!A:A, Matches!J:J, "NA", 0)</f>
        <v>MIW</v>
      </c>
      <c r="Y773" t="str">
        <f>_xlfn.XLOOKUP(A773, Matches!A:A, Matches!F:F, "NA", 0)</f>
        <v>Arun Jaitley Stadium</v>
      </c>
      <c r="Z773" cm="1">
        <f t="array" ref="Z773">INDEX(Innings!F:F,MATCH(1,(TRIM(Innings!A:A)=TRIM(A773))*(TRIM(Innings!D:D)=TRIM(E773)),0))</f>
        <v>160</v>
      </c>
      <c r="AA773" cm="1">
        <f t="array" ref="AA773">INDEX(Innings!I:I,MATCH(1,(TRIM(Innings!A:A)=TRIM(A773))*(TRIM(Innings!D:D)=TRIM(E773)),0))</f>
        <v>8</v>
      </c>
      <c r="AB773" cm="1">
        <f t="array" ref="AB773">INDEX(Innings!J:J,MATCH(1,(TRIM(Innings!A:A)=TRIM(A773))*(TRIM(Innings!D:D)=TRIM(E773)),0))</f>
        <v>37</v>
      </c>
      <c r="AC773" cm="1">
        <f t="array" ref="AC773">INDEX(Innings!N:N,MATCH(1,(TRIM(Innings!A:A)=TRIM(A773))*(TRIM(Innings!D:D)=TRIM(E773)),0))</f>
        <v>38</v>
      </c>
      <c r="AD773" cm="1">
        <f t="array" ref="AD773">INDEX(Innings!S:S,MATCH(1,(TRIM(Innings!A:A)=TRIM(A773))*(TRIM(Innings!D:D)=TRIM(E773)),0))</f>
        <v>40</v>
      </c>
      <c r="AE773" t="str" cm="1">
        <f t="array" ref="AE773">INDEX(Innings!W:W,MATCH(1,(TRIM(Innings!A:A)=TRIM(A773))*(TRIM(Innings!D:D)=TRIM(E773)),0))</f>
        <v>NA</v>
      </c>
      <c r="AF773">
        <f>IF(UPPER(TRIM(E773))=UPPER(TRIM(W773)),1,0)</f>
        <v>1</v>
      </c>
      <c r="AG773">
        <f t="shared" si="24"/>
        <v>64.8</v>
      </c>
    </row>
    <row r="774" spans="1:33" x14ac:dyDescent="0.3">
      <c r="A774" t="s">
        <v>361</v>
      </c>
      <c r="B774">
        <v>2</v>
      </c>
      <c r="C774" t="s">
        <v>115</v>
      </c>
      <c r="D774" t="s">
        <v>17</v>
      </c>
      <c r="E774" t="s">
        <v>266</v>
      </c>
      <c r="F774" t="s">
        <v>83</v>
      </c>
      <c r="G774" t="s">
        <v>92</v>
      </c>
      <c r="H774">
        <v>33</v>
      </c>
      <c r="I774">
        <v>30</v>
      </c>
      <c r="J774">
        <v>110</v>
      </c>
      <c r="K774" t="s">
        <v>245</v>
      </c>
      <c r="L774">
        <v>22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 s="8">
        <v>22</v>
      </c>
      <c r="V774" s="8">
        <f t="shared" si="25"/>
        <v>2</v>
      </c>
      <c r="W774" t="str">
        <f>_xlfn.XLOOKUP(A774, Matches!A:A, Matches!L:L, "NA", 0)</f>
        <v>MIW</v>
      </c>
      <c r="X774" t="str">
        <f>_xlfn.XLOOKUP(A774, Matches!A:A, Matches!J:J, "NA", 0)</f>
        <v>MIW</v>
      </c>
      <c r="Y774" t="str">
        <f>_xlfn.XLOOKUP(A774, Matches!A:A, Matches!F:F, "NA", 0)</f>
        <v>Arun Jaitley Stadium</v>
      </c>
      <c r="Z774" cm="1">
        <f t="array" ref="Z774">INDEX(Innings!F:F,MATCH(1,(TRIM(Innings!A:A)=TRIM(A774))*(TRIM(Innings!D:D)=TRIM(E774)),0))</f>
        <v>160</v>
      </c>
      <c r="AA774" cm="1">
        <f t="array" ref="AA774">INDEX(Innings!I:I,MATCH(1,(TRIM(Innings!A:A)=TRIM(A774))*(TRIM(Innings!D:D)=TRIM(E774)),0))</f>
        <v>8</v>
      </c>
      <c r="AB774" cm="1">
        <f t="array" ref="AB774">INDEX(Innings!J:J,MATCH(1,(TRIM(Innings!A:A)=TRIM(A774))*(TRIM(Innings!D:D)=TRIM(E774)),0))</f>
        <v>37</v>
      </c>
      <c r="AC774" cm="1">
        <f t="array" ref="AC774">INDEX(Innings!N:N,MATCH(1,(TRIM(Innings!A:A)=TRIM(A774))*(TRIM(Innings!D:D)=TRIM(E774)),0))</f>
        <v>38</v>
      </c>
      <c r="AD774" cm="1">
        <f t="array" ref="AD774">INDEX(Innings!S:S,MATCH(1,(TRIM(Innings!A:A)=TRIM(A774))*(TRIM(Innings!D:D)=TRIM(E774)),0))</f>
        <v>40</v>
      </c>
      <c r="AE774" t="str" cm="1">
        <f t="array" ref="AE774">INDEX(Innings!W:W,MATCH(1,(TRIM(Innings!A:A)=TRIM(A774))*(TRIM(Innings!D:D)=TRIM(E774)),0))</f>
        <v>NA</v>
      </c>
      <c r="AF774">
        <f>IF(UPPER(TRIM(E774))=UPPER(TRIM(W774)),1,0)</f>
        <v>1</v>
      </c>
      <c r="AG774">
        <f t="shared" si="24"/>
        <v>31.6</v>
      </c>
    </row>
    <row r="775" spans="1:33" x14ac:dyDescent="0.3">
      <c r="A775" t="s">
        <v>361</v>
      </c>
      <c r="B775">
        <v>2</v>
      </c>
      <c r="C775" t="s">
        <v>119</v>
      </c>
      <c r="D775" t="s">
        <v>95</v>
      </c>
      <c r="E775" t="s">
        <v>266</v>
      </c>
      <c r="F775" t="s">
        <v>169</v>
      </c>
      <c r="G775" t="s">
        <v>134</v>
      </c>
      <c r="H775">
        <v>39</v>
      </c>
      <c r="I775">
        <v>23</v>
      </c>
      <c r="J775">
        <v>169.57</v>
      </c>
      <c r="K775" t="s">
        <v>256</v>
      </c>
      <c r="L775">
        <v>45.4</v>
      </c>
      <c r="M775">
        <v>2</v>
      </c>
      <c r="N775">
        <v>0</v>
      </c>
      <c r="O775">
        <v>23</v>
      </c>
      <c r="P775">
        <v>0</v>
      </c>
      <c r="Q775">
        <v>11.5</v>
      </c>
      <c r="R775">
        <v>5</v>
      </c>
      <c r="S775">
        <v>0</v>
      </c>
      <c r="T775">
        <v>0</v>
      </c>
      <c r="U775" s="8">
        <v>50.4</v>
      </c>
      <c r="V775" s="8">
        <f t="shared" si="25"/>
        <v>5</v>
      </c>
      <c r="W775" t="str">
        <f>_xlfn.XLOOKUP(A775, Matches!A:A, Matches!L:L, "NA", 0)</f>
        <v>MIW</v>
      </c>
      <c r="X775" t="str">
        <f>_xlfn.XLOOKUP(A775, Matches!A:A, Matches!J:J, "NA", 0)</f>
        <v>MIW</v>
      </c>
      <c r="Y775" t="str">
        <f>_xlfn.XLOOKUP(A775, Matches!A:A, Matches!F:F, "NA", 0)</f>
        <v>Arun Jaitley Stadium</v>
      </c>
      <c r="Z775" cm="1">
        <f t="array" ref="Z775">INDEX(Innings!F:F,MATCH(1,(TRIM(Innings!A:A)=TRIM(A775))*(TRIM(Innings!D:D)=TRIM(E775)),0))</f>
        <v>160</v>
      </c>
      <c r="AA775" cm="1">
        <f t="array" ref="AA775">INDEX(Innings!I:I,MATCH(1,(TRIM(Innings!A:A)=TRIM(A775))*(TRIM(Innings!D:D)=TRIM(E775)),0))</f>
        <v>8</v>
      </c>
      <c r="AB775" cm="1">
        <f t="array" ref="AB775">INDEX(Innings!J:J,MATCH(1,(TRIM(Innings!A:A)=TRIM(A775))*(TRIM(Innings!D:D)=TRIM(E775)),0))</f>
        <v>37</v>
      </c>
      <c r="AC775" cm="1">
        <f t="array" ref="AC775">INDEX(Innings!N:N,MATCH(1,(TRIM(Innings!A:A)=TRIM(A775))*(TRIM(Innings!D:D)=TRIM(E775)),0))</f>
        <v>38</v>
      </c>
      <c r="AD775" cm="1">
        <f t="array" ref="AD775">INDEX(Innings!S:S,MATCH(1,(TRIM(Innings!A:A)=TRIM(A775))*(TRIM(Innings!D:D)=TRIM(E775)),0))</f>
        <v>40</v>
      </c>
      <c r="AE775" t="str" cm="1">
        <f t="array" ref="AE775">INDEX(Innings!W:W,MATCH(1,(TRIM(Innings!A:A)=TRIM(A775))*(TRIM(Innings!D:D)=TRIM(E775)),0))</f>
        <v>NA</v>
      </c>
      <c r="AF775">
        <f>IF(UPPER(TRIM(E775))=UPPER(TRIM(W775)),1,0)</f>
        <v>1</v>
      </c>
      <c r="AG775">
        <f t="shared" si="24"/>
        <v>46.7</v>
      </c>
    </row>
    <row r="776" spans="1:33" x14ac:dyDescent="0.3">
      <c r="A776" t="s">
        <v>361</v>
      </c>
      <c r="B776">
        <v>2</v>
      </c>
      <c r="C776" t="s">
        <v>121</v>
      </c>
      <c r="D776" t="s">
        <v>108</v>
      </c>
      <c r="E776" t="s">
        <v>266</v>
      </c>
      <c r="F776" t="s">
        <v>91</v>
      </c>
      <c r="G776" t="s">
        <v>134</v>
      </c>
      <c r="H776">
        <v>7</v>
      </c>
      <c r="I776">
        <v>6</v>
      </c>
      <c r="J776">
        <v>116.67</v>
      </c>
      <c r="K776" t="s">
        <v>246</v>
      </c>
      <c r="L776">
        <v>6.5</v>
      </c>
      <c r="M776">
        <v>1</v>
      </c>
      <c r="N776">
        <v>0</v>
      </c>
      <c r="O776">
        <v>5</v>
      </c>
      <c r="P776">
        <v>0</v>
      </c>
      <c r="Q776">
        <v>5</v>
      </c>
      <c r="R776">
        <v>12</v>
      </c>
      <c r="S776">
        <v>0</v>
      </c>
      <c r="T776">
        <v>0</v>
      </c>
      <c r="U776" s="8">
        <v>18.5</v>
      </c>
      <c r="V776" s="8">
        <f t="shared" si="25"/>
        <v>2</v>
      </c>
      <c r="W776" t="str">
        <f>_xlfn.XLOOKUP(A776, Matches!A:A, Matches!L:L, "NA", 0)</f>
        <v>MIW</v>
      </c>
      <c r="X776" t="str">
        <f>_xlfn.XLOOKUP(A776, Matches!A:A, Matches!J:J, "NA", 0)</f>
        <v>MIW</v>
      </c>
      <c r="Y776" t="str">
        <f>_xlfn.XLOOKUP(A776, Matches!A:A, Matches!F:F, "NA", 0)</f>
        <v>Arun Jaitley Stadium</v>
      </c>
      <c r="Z776" cm="1">
        <f t="array" ref="Z776">INDEX(Innings!F:F,MATCH(1,(TRIM(Innings!A:A)=TRIM(A776))*(TRIM(Innings!D:D)=TRIM(E776)),0))</f>
        <v>160</v>
      </c>
      <c r="AA776" cm="1">
        <f t="array" ref="AA776">INDEX(Innings!I:I,MATCH(1,(TRIM(Innings!A:A)=TRIM(A776))*(TRIM(Innings!D:D)=TRIM(E776)),0))</f>
        <v>8</v>
      </c>
      <c r="AB776" cm="1">
        <f t="array" ref="AB776">INDEX(Innings!J:J,MATCH(1,(TRIM(Innings!A:A)=TRIM(A776))*(TRIM(Innings!D:D)=TRIM(E776)),0))</f>
        <v>37</v>
      </c>
      <c r="AC776" cm="1">
        <f t="array" ref="AC776">INDEX(Innings!N:N,MATCH(1,(TRIM(Innings!A:A)=TRIM(A776))*(TRIM(Innings!D:D)=TRIM(E776)),0))</f>
        <v>38</v>
      </c>
      <c r="AD776" cm="1">
        <f t="array" ref="AD776">INDEX(Innings!S:S,MATCH(1,(TRIM(Innings!A:A)=TRIM(A776))*(TRIM(Innings!D:D)=TRIM(E776)),0))</f>
        <v>40</v>
      </c>
      <c r="AE776" t="str" cm="1">
        <f t="array" ref="AE776">INDEX(Innings!W:W,MATCH(1,(TRIM(Innings!A:A)=TRIM(A776))*(TRIM(Innings!D:D)=TRIM(E776)),0))</f>
        <v>NA</v>
      </c>
      <c r="AF776">
        <f>IF(UPPER(TRIM(E776))=UPPER(TRIM(W776)),1,0)</f>
        <v>1</v>
      </c>
      <c r="AG776">
        <f t="shared" si="24"/>
        <v>29.85</v>
      </c>
    </row>
    <row r="777" spans="1:33" x14ac:dyDescent="0.3">
      <c r="A777" t="s">
        <v>361</v>
      </c>
      <c r="B777">
        <v>2</v>
      </c>
      <c r="C777" t="s">
        <v>347</v>
      </c>
      <c r="D777" t="s">
        <v>348</v>
      </c>
      <c r="E777" t="s">
        <v>266</v>
      </c>
      <c r="F777" t="s">
        <v>83</v>
      </c>
      <c r="G777" t="s">
        <v>134</v>
      </c>
      <c r="H777">
        <v>22</v>
      </c>
      <c r="I777">
        <v>14</v>
      </c>
      <c r="J777">
        <v>157.13999999999999</v>
      </c>
      <c r="K777" t="s">
        <v>96</v>
      </c>
      <c r="L777">
        <v>27.8</v>
      </c>
      <c r="M777">
        <v>1</v>
      </c>
      <c r="N777">
        <v>0</v>
      </c>
      <c r="O777">
        <v>12</v>
      </c>
      <c r="P777">
        <v>1</v>
      </c>
      <c r="Q777">
        <v>12</v>
      </c>
      <c r="R777">
        <v>0</v>
      </c>
      <c r="S777">
        <v>0</v>
      </c>
      <c r="T777">
        <v>0</v>
      </c>
      <c r="U777" s="8">
        <v>27.8</v>
      </c>
      <c r="V777" s="8">
        <f t="shared" si="25"/>
        <v>3</v>
      </c>
      <c r="W777" t="str">
        <f>_xlfn.XLOOKUP(A777, Matches!A:A, Matches!L:L, "NA", 0)</f>
        <v>MIW</v>
      </c>
      <c r="X777" t="str">
        <f>_xlfn.XLOOKUP(A777, Matches!A:A, Matches!J:J, "NA", 0)</f>
        <v>MIW</v>
      </c>
      <c r="Y777" t="str">
        <f>_xlfn.XLOOKUP(A777, Matches!A:A, Matches!F:F, "NA", 0)</f>
        <v>Arun Jaitley Stadium</v>
      </c>
      <c r="Z777" cm="1">
        <f t="array" ref="Z777">INDEX(Innings!F:F,MATCH(1,(TRIM(Innings!A:A)=TRIM(A777))*(TRIM(Innings!D:D)=TRIM(E777)),0))</f>
        <v>160</v>
      </c>
      <c r="AA777" cm="1">
        <f t="array" ref="AA777">INDEX(Innings!I:I,MATCH(1,(TRIM(Innings!A:A)=TRIM(A777))*(TRIM(Innings!D:D)=TRIM(E777)),0))</f>
        <v>8</v>
      </c>
      <c r="AB777" cm="1">
        <f t="array" ref="AB777">INDEX(Innings!J:J,MATCH(1,(TRIM(Innings!A:A)=TRIM(A777))*(TRIM(Innings!D:D)=TRIM(E777)),0))</f>
        <v>37</v>
      </c>
      <c r="AC777" cm="1">
        <f t="array" ref="AC777">INDEX(Innings!N:N,MATCH(1,(TRIM(Innings!A:A)=TRIM(A777))*(TRIM(Innings!D:D)=TRIM(E777)),0))</f>
        <v>38</v>
      </c>
      <c r="AD777" cm="1">
        <f t="array" ref="AD777">INDEX(Innings!S:S,MATCH(1,(TRIM(Innings!A:A)=TRIM(A777))*(TRIM(Innings!D:D)=TRIM(E777)),0))</f>
        <v>40</v>
      </c>
      <c r="AE777" t="str" cm="1">
        <f t="array" ref="AE777">INDEX(Innings!W:W,MATCH(1,(TRIM(Innings!A:A)=TRIM(A777))*(TRIM(Innings!D:D)=TRIM(E777)),0))</f>
        <v>NA</v>
      </c>
      <c r="AF777">
        <f>IF(UPPER(TRIM(E777))=UPPER(TRIM(W777)),1,0)</f>
        <v>1</v>
      </c>
      <c r="AG777">
        <f t="shared" si="24"/>
        <v>34.799999999999997</v>
      </c>
    </row>
    <row r="778" spans="1:33" x14ac:dyDescent="0.3">
      <c r="A778" t="s">
        <v>361</v>
      </c>
      <c r="B778">
        <v>2</v>
      </c>
      <c r="C778" t="s">
        <v>123</v>
      </c>
      <c r="D778" t="s">
        <v>98</v>
      </c>
      <c r="E778" t="s">
        <v>266</v>
      </c>
      <c r="F778" t="s">
        <v>91</v>
      </c>
      <c r="G778" t="s">
        <v>104</v>
      </c>
      <c r="H778">
        <v>0</v>
      </c>
      <c r="I778">
        <v>0</v>
      </c>
      <c r="J778">
        <v>0</v>
      </c>
      <c r="K778" t="s">
        <v>104</v>
      </c>
      <c r="L778">
        <v>0</v>
      </c>
      <c r="M778">
        <v>2</v>
      </c>
      <c r="N778">
        <v>0</v>
      </c>
      <c r="O778">
        <v>8</v>
      </c>
      <c r="P778">
        <v>1</v>
      </c>
      <c r="Q778">
        <v>4</v>
      </c>
      <c r="R778">
        <v>27</v>
      </c>
      <c r="S778">
        <v>0</v>
      </c>
      <c r="T778">
        <v>0</v>
      </c>
      <c r="U778" s="8">
        <v>27</v>
      </c>
      <c r="V778" s="8">
        <f t="shared" si="25"/>
        <v>3</v>
      </c>
      <c r="W778" t="str">
        <f>_xlfn.XLOOKUP(A778, Matches!A:A, Matches!L:L, "NA", 0)</f>
        <v>MIW</v>
      </c>
      <c r="X778" t="str">
        <f>_xlfn.XLOOKUP(A778, Matches!A:A, Matches!J:J, "NA", 0)</f>
        <v>MIW</v>
      </c>
      <c r="Y778" t="str">
        <f>_xlfn.XLOOKUP(A778, Matches!A:A, Matches!F:F, "NA", 0)</f>
        <v>Arun Jaitley Stadium</v>
      </c>
      <c r="Z778" cm="1">
        <f t="array" ref="Z778">INDEX(Innings!F:F,MATCH(1,(TRIM(Innings!A:A)=TRIM(A778))*(TRIM(Innings!D:D)=TRIM(E778)),0))</f>
        <v>160</v>
      </c>
      <c r="AA778" cm="1">
        <f t="array" ref="AA778">INDEX(Innings!I:I,MATCH(1,(TRIM(Innings!A:A)=TRIM(A778))*(TRIM(Innings!D:D)=TRIM(E778)),0))</f>
        <v>8</v>
      </c>
      <c r="AB778" cm="1">
        <f t="array" ref="AB778">INDEX(Innings!J:J,MATCH(1,(TRIM(Innings!A:A)=TRIM(A778))*(TRIM(Innings!D:D)=TRIM(E778)),0))</f>
        <v>37</v>
      </c>
      <c r="AC778" cm="1">
        <f t="array" ref="AC778">INDEX(Innings!N:N,MATCH(1,(TRIM(Innings!A:A)=TRIM(A778))*(TRIM(Innings!D:D)=TRIM(E778)),0))</f>
        <v>38</v>
      </c>
      <c r="AD778" cm="1">
        <f t="array" ref="AD778">INDEX(Innings!S:S,MATCH(1,(TRIM(Innings!A:A)=TRIM(A778))*(TRIM(Innings!D:D)=TRIM(E778)),0))</f>
        <v>40</v>
      </c>
      <c r="AE778" t="str" cm="1">
        <f t="array" ref="AE778">INDEX(Innings!W:W,MATCH(1,(TRIM(Innings!A:A)=TRIM(A778))*(TRIM(Innings!D:D)=TRIM(E778)),0))</f>
        <v>NA</v>
      </c>
      <c r="AF778">
        <f>IF(UPPER(TRIM(E778))=UPPER(TRIM(W778)),1,0)</f>
        <v>1</v>
      </c>
      <c r="AG778">
        <f t="shared" si="24"/>
        <v>34.4</v>
      </c>
    </row>
    <row r="779" spans="1:33" x14ac:dyDescent="0.3">
      <c r="A779" t="s">
        <v>361</v>
      </c>
      <c r="B779">
        <v>2</v>
      </c>
      <c r="C779" t="s">
        <v>125</v>
      </c>
      <c r="D779" t="s">
        <v>111</v>
      </c>
      <c r="E779" t="s">
        <v>266</v>
      </c>
      <c r="F779" t="s">
        <v>83</v>
      </c>
      <c r="G779" t="s">
        <v>104</v>
      </c>
      <c r="H779">
        <v>0</v>
      </c>
      <c r="I779">
        <v>0</v>
      </c>
      <c r="J779">
        <v>0</v>
      </c>
      <c r="K779" t="s">
        <v>104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 s="8">
        <v>0</v>
      </c>
      <c r="V779" s="8">
        <f t="shared" si="25"/>
        <v>0</v>
      </c>
      <c r="W779" t="str">
        <f>_xlfn.XLOOKUP(A779, Matches!A:A, Matches!L:L, "NA", 0)</f>
        <v>MIW</v>
      </c>
      <c r="X779" t="str">
        <f>_xlfn.XLOOKUP(A779, Matches!A:A, Matches!J:J, "NA", 0)</f>
        <v>MIW</v>
      </c>
      <c r="Y779" t="str">
        <f>_xlfn.XLOOKUP(A779, Matches!A:A, Matches!F:F, "NA", 0)</f>
        <v>Arun Jaitley Stadium</v>
      </c>
      <c r="Z779" cm="1">
        <f t="array" ref="Z779">INDEX(Innings!F:F,MATCH(1,(TRIM(Innings!A:A)=TRIM(A779))*(TRIM(Innings!D:D)=TRIM(E779)),0))</f>
        <v>160</v>
      </c>
      <c r="AA779" cm="1">
        <f t="array" ref="AA779">INDEX(Innings!I:I,MATCH(1,(TRIM(Innings!A:A)=TRIM(A779))*(TRIM(Innings!D:D)=TRIM(E779)),0))</f>
        <v>8</v>
      </c>
      <c r="AB779" cm="1">
        <f t="array" ref="AB779">INDEX(Innings!J:J,MATCH(1,(TRIM(Innings!A:A)=TRIM(A779))*(TRIM(Innings!D:D)=TRIM(E779)),0))</f>
        <v>37</v>
      </c>
      <c r="AC779" cm="1">
        <f t="array" ref="AC779">INDEX(Innings!N:N,MATCH(1,(TRIM(Innings!A:A)=TRIM(A779))*(TRIM(Innings!D:D)=TRIM(E779)),0))</f>
        <v>38</v>
      </c>
      <c r="AD779" cm="1">
        <f t="array" ref="AD779">INDEX(Innings!S:S,MATCH(1,(TRIM(Innings!A:A)=TRIM(A779))*(TRIM(Innings!D:D)=TRIM(E779)),0))</f>
        <v>40</v>
      </c>
      <c r="AE779" t="str" cm="1">
        <f t="array" ref="AE779">INDEX(Innings!W:W,MATCH(1,(TRIM(Innings!A:A)=TRIM(A779))*(TRIM(Innings!D:D)=TRIM(E779)),0))</f>
        <v>NA</v>
      </c>
      <c r="AF779">
        <f>IF(UPPER(TRIM(E779))=UPPER(TRIM(W779)),1,0)</f>
        <v>1</v>
      </c>
      <c r="AG779">
        <f t="shared" si="24"/>
        <v>20</v>
      </c>
    </row>
    <row r="780" spans="1:33" x14ac:dyDescent="0.3">
      <c r="A780" t="s">
        <v>361</v>
      </c>
      <c r="B780">
        <v>2</v>
      </c>
      <c r="C780" t="s">
        <v>265</v>
      </c>
      <c r="D780" t="s">
        <v>264</v>
      </c>
      <c r="E780" t="s">
        <v>266</v>
      </c>
      <c r="F780" t="s">
        <v>101</v>
      </c>
      <c r="G780" t="s">
        <v>104</v>
      </c>
      <c r="H780">
        <v>0</v>
      </c>
      <c r="I780">
        <v>0</v>
      </c>
      <c r="J780">
        <v>0</v>
      </c>
      <c r="K780" t="s">
        <v>104</v>
      </c>
      <c r="L780">
        <v>0</v>
      </c>
      <c r="M780">
        <v>4</v>
      </c>
      <c r="N780">
        <v>0</v>
      </c>
      <c r="O780">
        <v>6</v>
      </c>
      <c r="P780">
        <v>1</v>
      </c>
      <c r="Q780">
        <v>1.5</v>
      </c>
      <c r="R780">
        <v>55</v>
      </c>
      <c r="S780">
        <v>0</v>
      </c>
      <c r="T780">
        <v>0</v>
      </c>
      <c r="U780" s="8">
        <v>55</v>
      </c>
      <c r="V780" s="8">
        <f t="shared" si="25"/>
        <v>6</v>
      </c>
      <c r="W780" t="str">
        <f>_xlfn.XLOOKUP(A780, Matches!A:A, Matches!L:L, "NA", 0)</f>
        <v>MIW</v>
      </c>
      <c r="X780" t="str">
        <f>_xlfn.XLOOKUP(A780, Matches!A:A, Matches!J:J, "NA", 0)</f>
        <v>MIW</v>
      </c>
      <c r="Y780" t="str">
        <f>_xlfn.XLOOKUP(A780, Matches!A:A, Matches!F:F, "NA", 0)</f>
        <v>Arun Jaitley Stadium</v>
      </c>
      <c r="Z780" cm="1">
        <f t="array" ref="Z780">INDEX(Innings!F:F,MATCH(1,(TRIM(Innings!A:A)=TRIM(A780))*(TRIM(Innings!D:D)=TRIM(E780)),0))</f>
        <v>160</v>
      </c>
      <c r="AA780" cm="1">
        <f t="array" ref="AA780">INDEX(Innings!I:I,MATCH(1,(TRIM(Innings!A:A)=TRIM(A780))*(TRIM(Innings!D:D)=TRIM(E780)),0))</f>
        <v>8</v>
      </c>
      <c r="AB780" cm="1">
        <f t="array" ref="AB780">INDEX(Innings!J:J,MATCH(1,(TRIM(Innings!A:A)=TRIM(A780))*(TRIM(Innings!D:D)=TRIM(E780)),0))</f>
        <v>37</v>
      </c>
      <c r="AC780" cm="1">
        <f t="array" ref="AC780">INDEX(Innings!N:N,MATCH(1,(TRIM(Innings!A:A)=TRIM(A780))*(TRIM(Innings!D:D)=TRIM(E780)),0))</f>
        <v>38</v>
      </c>
      <c r="AD780" cm="1">
        <f t="array" ref="AD780">INDEX(Innings!S:S,MATCH(1,(TRIM(Innings!A:A)=TRIM(A780))*(TRIM(Innings!D:D)=TRIM(E780)),0))</f>
        <v>40</v>
      </c>
      <c r="AE780" t="str" cm="1">
        <f t="array" ref="AE780">INDEX(Innings!W:W,MATCH(1,(TRIM(Innings!A:A)=TRIM(A780))*(TRIM(Innings!D:D)=TRIM(E780)),0))</f>
        <v>NA</v>
      </c>
      <c r="AF780">
        <f>IF(UPPER(TRIM(E780))=UPPER(TRIM(W780)),1,0)</f>
        <v>1</v>
      </c>
      <c r="AG780">
        <f t="shared" si="24"/>
        <v>49.3</v>
      </c>
    </row>
    <row r="781" spans="1:33" x14ac:dyDescent="0.3">
      <c r="A781" t="s">
        <v>361</v>
      </c>
      <c r="B781">
        <v>2</v>
      </c>
      <c r="C781" t="s">
        <v>131</v>
      </c>
      <c r="D781" t="s">
        <v>106</v>
      </c>
      <c r="E781" t="s">
        <v>266</v>
      </c>
      <c r="F781" t="s">
        <v>101</v>
      </c>
      <c r="G781" t="s">
        <v>104</v>
      </c>
      <c r="H781">
        <v>0</v>
      </c>
      <c r="I781">
        <v>0</v>
      </c>
      <c r="J781">
        <v>0</v>
      </c>
      <c r="K781" t="s">
        <v>104</v>
      </c>
      <c r="L781">
        <v>0</v>
      </c>
      <c r="M781">
        <v>4</v>
      </c>
      <c r="N781">
        <v>0</v>
      </c>
      <c r="O781">
        <v>27</v>
      </c>
      <c r="P781">
        <v>3</v>
      </c>
      <c r="Q781">
        <v>6.8</v>
      </c>
      <c r="R781">
        <v>65</v>
      </c>
      <c r="S781">
        <v>0</v>
      </c>
      <c r="T781">
        <v>0</v>
      </c>
      <c r="U781" s="8">
        <v>65</v>
      </c>
      <c r="V781" s="8">
        <f t="shared" si="25"/>
        <v>7</v>
      </c>
      <c r="W781" t="str">
        <f>_xlfn.XLOOKUP(A781, Matches!A:A, Matches!L:L, "NA", 0)</f>
        <v>MIW</v>
      </c>
      <c r="X781" t="str">
        <f>_xlfn.XLOOKUP(A781, Matches!A:A, Matches!J:J, "NA", 0)</f>
        <v>MIW</v>
      </c>
      <c r="Y781" t="str">
        <f>_xlfn.XLOOKUP(A781, Matches!A:A, Matches!F:F, "NA", 0)</f>
        <v>Arun Jaitley Stadium</v>
      </c>
      <c r="Z781" cm="1">
        <f t="array" ref="Z781">INDEX(Innings!F:F,MATCH(1,(TRIM(Innings!A:A)=TRIM(A781))*(TRIM(Innings!D:D)=TRIM(E781)),0))</f>
        <v>160</v>
      </c>
      <c r="AA781" cm="1">
        <f t="array" ref="AA781">INDEX(Innings!I:I,MATCH(1,(TRIM(Innings!A:A)=TRIM(A781))*(TRIM(Innings!D:D)=TRIM(E781)),0))</f>
        <v>8</v>
      </c>
      <c r="AB781" cm="1">
        <f t="array" ref="AB781">INDEX(Innings!J:J,MATCH(1,(TRIM(Innings!A:A)=TRIM(A781))*(TRIM(Innings!D:D)=TRIM(E781)),0))</f>
        <v>37</v>
      </c>
      <c r="AC781" cm="1">
        <f t="array" ref="AC781">INDEX(Innings!N:N,MATCH(1,(TRIM(Innings!A:A)=TRIM(A781))*(TRIM(Innings!D:D)=TRIM(E781)),0))</f>
        <v>38</v>
      </c>
      <c r="AD781" cm="1">
        <f t="array" ref="AD781">INDEX(Innings!S:S,MATCH(1,(TRIM(Innings!A:A)=TRIM(A781))*(TRIM(Innings!D:D)=TRIM(E781)),0))</f>
        <v>40</v>
      </c>
      <c r="AE781" t="str" cm="1">
        <f t="array" ref="AE781">INDEX(Innings!W:W,MATCH(1,(TRIM(Innings!A:A)=TRIM(A781))*(TRIM(Innings!D:D)=TRIM(E781)),0))</f>
        <v>NA</v>
      </c>
      <c r="AF781">
        <f>IF(UPPER(TRIM(E781))=UPPER(TRIM(W781)),1,0)</f>
        <v>1</v>
      </c>
      <c r="AG781">
        <f t="shared" si="24"/>
        <v>54.6</v>
      </c>
    </row>
    <row r="782" spans="1:33" x14ac:dyDescent="0.3">
      <c r="A782" t="s">
        <v>361</v>
      </c>
      <c r="B782">
        <v>2</v>
      </c>
      <c r="C782" t="s">
        <v>217</v>
      </c>
      <c r="D782" t="s">
        <v>218</v>
      </c>
      <c r="E782" t="s">
        <v>219</v>
      </c>
      <c r="F782" t="s">
        <v>85</v>
      </c>
      <c r="G782" t="s">
        <v>86</v>
      </c>
      <c r="H782">
        <v>3</v>
      </c>
      <c r="I782">
        <v>9</v>
      </c>
      <c r="J782">
        <v>33.33</v>
      </c>
      <c r="K782" t="s">
        <v>245</v>
      </c>
      <c r="L782">
        <v>-1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 s="8">
        <v>-1</v>
      </c>
      <c r="V782" s="8">
        <f t="shared" si="25"/>
        <v>0</v>
      </c>
      <c r="W782" t="str">
        <f>_xlfn.XLOOKUP(A782, Matches!A:A, Matches!L:L, "NA", 0)</f>
        <v>MIW</v>
      </c>
      <c r="X782" t="str">
        <f>_xlfn.XLOOKUP(A782, Matches!A:A, Matches!J:J, "NA", 0)</f>
        <v>MIW</v>
      </c>
      <c r="Y782" t="str">
        <f>_xlfn.XLOOKUP(A782, Matches!A:A, Matches!F:F, "NA", 0)</f>
        <v>Arun Jaitley Stadium</v>
      </c>
      <c r="Z782" cm="1">
        <f t="array" ref="Z782">INDEX(Innings!F:F,MATCH(1,(TRIM(Innings!A:A)=TRIM(A782))*(TRIM(Innings!D:D)=TRIM(E782)),0))</f>
        <v>118</v>
      </c>
      <c r="AA782" cm="1">
        <f t="array" ref="AA782">INDEX(Innings!I:I,MATCH(1,(TRIM(Innings!A:A)=TRIM(A782))*(TRIM(Innings!D:D)=TRIM(E782)),0))</f>
        <v>5.9</v>
      </c>
      <c r="AB782" cm="1">
        <f t="array" ref="AB782">INDEX(Innings!J:J,MATCH(1,(TRIM(Innings!A:A)=TRIM(A782))*(TRIM(Innings!D:D)=TRIM(E782)),0))</f>
        <v>17</v>
      </c>
      <c r="AC782" cm="1">
        <f t="array" ref="AC782">INDEX(Innings!N:N,MATCH(1,(TRIM(Innings!A:A)=TRIM(A782))*(TRIM(Innings!D:D)=TRIM(E782)),0))</f>
        <v>34</v>
      </c>
      <c r="AD782" cm="1">
        <f t="array" ref="AD782">INDEX(Innings!S:S,MATCH(1,(TRIM(Innings!A:A)=TRIM(A782))*(TRIM(Innings!D:D)=TRIM(E782)),0))</f>
        <v>63</v>
      </c>
      <c r="AE782" t="str" cm="1">
        <f t="array" ref="AE782">INDEX(Innings!W:W,MATCH(1,(TRIM(Innings!A:A)=TRIM(A782))*(TRIM(Innings!D:D)=TRIM(E782)),0))</f>
        <v>Failed</v>
      </c>
      <c r="AF782">
        <f>IF(UPPER(TRIM(E782))=UPPER(TRIM(W782)),1,0)</f>
        <v>0</v>
      </c>
      <c r="AG782">
        <f t="shared" si="24"/>
        <v>0</v>
      </c>
    </row>
    <row r="783" spans="1:33" x14ac:dyDescent="0.3">
      <c r="A783" t="s">
        <v>361</v>
      </c>
      <c r="B783">
        <v>2</v>
      </c>
      <c r="C783" t="s">
        <v>229</v>
      </c>
      <c r="D783" t="s">
        <v>230</v>
      </c>
      <c r="E783" t="s">
        <v>219</v>
      </c>
      <c r="F783" t="s">
        <v>109</v>
      </c>
      <c r="G783" t="s">
        <v>86</v>
      </c>
      <c r="H783">
        <v>7</v>
      </c>
      <c r="I783">
        <v>8</v>
      </c>
      <c r="J783">
        <v>87.5</v>
      </c>
      <c r="K783" t="s">
        <v>245</v>
      </c>
      <c r="L783">
        <v>2.9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 s="8">
        <v>2.9</v>
      </c>
      <c r="V783" s="8">
        <f t="shared" si="25"/>
        <v>0</v>
      </c>
      <c r="W783" t="str">
        <f>_xlfn.XLOOKUP(A783, Matches!A:A, Matches!L:L, "NA", 0)</f>
        <v>MIW</v>
      </c>
      <c r="X783" t="str">
        <f>_xlfn.XLOOKUP(A783, Matches!A:A, Matches!J:J, "NA", 0)</f>
        <v>MIW</v>
      </c>
      <c r="Y783" t="str">
        <f>_xlfn.XLOOKUP(A783, Matches!A:A, Matches!F:F, "NA", 0)</f>
        <v>Arun Jaitley Stadium</v>
      </c>
      <c r="Z783" cm="1">
        <f t="array" ref="Z783">INDEX(Innings!F:F,MATCH(1,(TRIM(Innings!A:A)=TRIM(A783))*(TRIM(Innings!D:D)=TRIM(E783)),0))</f>
        <v>118</v>
      </c>
      <c r="AA783" cm="1">
        <f t="array" ref="AA783">INDEX(Innings!I:I,MATCH(1,(TRIM(Innings!A:A)=TRIM(A783))*(TRIM(Innings!D:D)=TRIM(E783)),0))</f>
        <v>5.9</v>
      </c>
      <c r="AB783" cm="1">
        <f t="array" ref="AB783">INDEX(Innings!J:J,MATCH(1,(TRIM(Innings!A:A)=TRIM(A783))*(TRIM(Innings!D:D)=TRIM(E783)),0))</f>
        <v>17</v>
      </c>
      <c r="AC783" cm="1">
        <f t="array" ref="AC783">INDEX(Innings!N:N,MATCH(1,(TRIM(Innings!A:A)=TRIM(A783))*(TRIM(Innings!D:D)=TRIM(E783)),0))</f>
        <v>34</v>
      </c>
      <c r="AD783" cm="1">
        <f t="array" ref="AD783">INDEX(Innings!S:S,MATCH(1,(TRIM(Innings!A:A)=TRIM(A783))*(TRIM(Innings!D:D)=TRIM(E783)),0))</f>
        <v>63</v>
      </c>
      <c r="AE783" t="str" cm="1">
        <f t="array" ref="AE783">INDEX(Innings!W:W,MATCH(1,(TRIM(Innings!A:A)=TRIM(A783))*(TRIM(Innings!D:D)=TRIM(E783)),0))</f>
        <v>Failed</v>
      </c>
      <c r="AF783">
        <f>IF(UPPER(TRIM(E783))=UPPER(TRIM(W783)),1,0)</f>
        <v>0</v>
      </c>
      <c r="AG783">
        <f t="shared" si="24"/>
        <v>1.45</v>
      </c>
    </row>
    <row r="784" spans="1:33" x14ac:dyDescent="0.3">
      <c r="A784" t="s">
        <v>361</v>
      </c>
      <c r="B784">
        <v>2</v>
      </c>
      <c r="C784" t="s">
        <v>403</v>
      </c>
      <c r="D784" t="s">
        <v>414</v>
      </c>
      <c r="E784" t="s">
        <v>219</v>
      </c>
      <c r="F784" t="s">
        <v>83</v>
      </c>
      <c r="G784" t="s">
        <v>92</v>
      </c>
      <c r="H784">
        <v>3</v>
      </c>
      <c r="I784">
        <v>5</v>
      </c>
      <c r="J784">
        <v>60</v>
      </c>
      <c r="K784" t="s">
        <v>246</v>
      </c>
      <c r="L784">
        <v>-0.5</v>
      </c>
      <c r="M784">
        <v>4</v>
      </c>
      <c r="N784">
        <v>0</v>
      </c>
      <c r="O784">
        <v>27</v>
      </c>
      <c r="P784">
        <v>2</v>
      </c>
      <c r="Q784">
        <v>6.8</v>
      </c>
      <c r="R784">
        <v>42</v>
      </c>
      <c r="S784">
        <v>0</v>
      </c>
      <c r="T784">
        <v>0</v>
      </c>
      <c r="U784" s="8">
        <v>41.5</v>
      </c>
      <c r="V784" s="8">
        <f t="shared" si="25"/>
        <v>4</v>
      </c>
      <c r="W784" t="str">
        <f>_xlfn.XLOOKUP(A784, Matches!A:A, Matches!L:L, "NA", 0)</f>
        <v>MIW</v>
      </c>
      <c r="X784" t="str">
        <f>_xlfn.XLOOKUP(A784, Matches!A:A, Matches!J:J, "NA", 0)</f>
        <v>MIW</v>
      </c>
      <c r="Y784" t="str">
        <f>_xlfn.XLOOKUP(A784, Matches!A:A, Matches!F:F, "NA", 0)</f>
        <v>Arun Jaitley Stadium</v>
      </c>
      <c r="Z784" cm="1">
        <f t="array" ref="Z784">INDEX(Innings!F:F,MATCH(1,(TRIM(Innings!A:A)=TRIM(A784))*(TRIM(Innings!D:D)=TRIM(E784)),0))</f>
        <v>118</v>
      </c>
      <c r="AA784" cm="1">
        <f t="array" ref="AA784">INDEX(Innings!I:I,MATCH(1,(TRIM(Innings!A:A)=TRIM(A784))*(TRIM(Innings!D:D)=TRIM(E784)),0))</f>
        <v>5.9</v>
      </c>
      <c r="AB784" cm="1">
        <f t="array" ref="AB784">INDEX(Innings!J:J,MATCH(1,(TRIM(Innings!A:A)=TRIM(A784))*(TRIM(Innings!D:D)=TRIM(E784)),0))</f>
        <v>17</v>
      </c>
      <c r="AC784" cm="1">
        <f t="array" ref="AC784">INDEX(Innings!N:N,MATCH(1,(TRIM(Innings!A:A)=TRIM(A784))*(TRIM(Innings!D:D)=TRIM(E784)),0))</f>
        <v>34</v>
      </c>
      <c r="AD784" cm="1">
        <f t="array" ref="AD784">INDEX(Innings!S:S,MATCH(1,(TRIM(Innings!A:A)=TRIM(A784))*(TRIM(Innings!D:D)=TRIM(E784)),0))</f>
        <v>63</v>
      </c>
      <c r="AE784" t="str" cm="1">
        <f t="array" ref="AE784">INDEX(Innings!W:W,MATCH(1,(TRIM(Innings!A:A)=TRIM(A784))*(TRIM(Innings!D:D)=TRIM(E784)),0))</f>
        <v>Failed</v>
      </c>
      <c r="AF784">
        <f>IF(UPPER(TRIM(E784))=UPPER(TRIM(W784)),1,0)</f>
        <v>0</v>
      </c>
      <c r="AG784">
        <f t="shared" si="24"/>
        <v>21.95</v>
      </c>
    </row>
    <row r="785" spans="1:33" x14ac:dyDescent="0.3">
      <c r="A785" t="s">
        <v>361</v>
      </c>
      <c r="B785">
        <v>2</v>
      </c>
      <c r="C785" t="s">
        <v>226</v>
      </c>
      <c r="D785" t="s">
        <v>211</v>
      </c>
      <c r="E785" t="s">
        <v>219</v>
      </c>
      <c r="F785" t="s">
        <v>83</v>
      </c>
      <c r="G785" t="s">
        <v>92</v>
      </c>
      <c r="H785">
        <v>15</v>
      </c>
      <c r="I785">
        <v>23</v>
      </c>
      <c r="J785">
        <v>65.22</v>
      </c>
      <c r="K785" t="s">
        <v>245</v>
      </c>
      <c r="L785">
        <v>4.5</v>
      </c>
      <c r="M785">
        <v>3</v>
      </c>
      <c r="N785">
        <v>0</v>
      </c>
      <c r="O785">
        <v>18</v>
      </c>
      <c r="P785">
        <v>0</v>
      </c>
      <c r="Q785">
        <v>6</v>
      </c>
      <c r="R785">
        <v>10</v>
      </c>
      <c r="S785">
        <v>0</v>
      </c>
      <c r="T785">
        <v>0</v>
      </c>
      <c r="U785" s="8">
        <v>14.5</v>
      </c>
      <c r="V785" s="8">
        <f t="shared" si="25"/>
        <v>1</v>
      </c>
      <c r="W785" t="str">
        <f>_xlfn.XLOOKUP(A785, Matches!A:A, Matches!L:L, "NA", 0)</f>
        <v>MIW</v>
      </c>
      <c r="X785" t="str">
        <f>_xlfn.XLOOKUP(A785, Matches!A:A, Matches!J:J, "NA", 0)</f>
        <v>MIW</v>
      </c>
      <c r="Y785" t="str">
        <f>_xlfn.XLOOKUP(A785, Matches!A:A, Matches!F:F, "NA", 0)</f>
        <v>Arun Jaitley Stadium</v>
      </c>
      <c r="Z785" cm="1">
        <f t="array" ref="Z785">INDEX(Innings!F:F,MATCH(1,(TRIM(Innings!A:A)=TRIM(A785))*(TRIM(Innings!D:D)=TRIM(E785)),0))</f>
        <v>118</v>
      </c>
      <c r="AA785" cm="1">
        <f t="array" ref="AA785">INDEX(Innings!I:I,MATCH(1,(TRIM(Innings!A:A)=TRIM(A785))*(TRIM(Innings!D:D)=TRIM(E785)),0))</f>
        <v>5.9</v>
      </c>
      <c r="AB785" cm="1">
        <f t="array" ref="AB785">INDEX(Innings!J:J,MATCH(1,(TRIM(Innings!A:A)=TRIM(A785))*(TRIM(Innings!D:D)=TRIM(E785)),0))</f>
        <v>17</v>
      </c>
      <c r="AC785" cm="1">
        <f t="array" ref="AC785">INDEX(Innings!N:N,MATCH(1,(TRIM(Innings!A:A)=TRIM(A785))*(TRIM(Innings!D:D)=TRIM(E785)),0))</f>
        <v>34</v>
      </c>
      <c r="AD785" cm="1">
        <f t="array" ref="AD785">INDEX(Innings!S:S,MATCH(1,(TRIM(Innings!A:A)=TRIM(A785))*(TRIM(Innings!D:D)=TRIM(E785)),0))</f>
        <v>63</v>
      </c>
      <c r="AE785" t="str" cm="1">
        <f t="array" ref="AE785">INDEX(Innings!W:W,MATCH(1,(TRIM(Innings!A:A)=TRIM(A785))*(TRIM(Innings!D:D)=TRIM(E785)),0))</f>
        <v>Failed</v>
      </c>
      <c r="AF785">
        <f>IF(UPPER(TRIM(E785))=UPPER(TRIM(W785)),1,0)</f>
        <v>0</v>
      </c>
      <c r="AG785">
        <f t="shared" si="24"/>
        <v>7.55</v>
      </c>
    </row>
    <row r="786" spans="1:33" x14ac:dyDescent="0.3">
      <c r="A786" t="s">
        <v>361</v>
      </c>
      <c r="B786">
        <v>2</v>
      </c>
      <c r="C786" t="s">
        <v>224</v>
      </c>
      <c r="D786" t="s">
        <v>225</v>
      </c>
      <c r="E786" t="s">
        <v>219</v>
      </c>
      <c r="F786" t="s">
        <v>169</v>
      </c>
      <c r="G786" t="s">
        <v>134</v>
      </c>
      <c r="H786">
        <v>53</v>
      </c>
      <c r="I786">
        <v>36</v>
      </c>
      <c r="J786">
        <v>147.22</v>
      </c>
      <c r="K786" t="s">
        <v>96</v>
      </c>
      <c r="L786">
        <v>54.8</v>
      </c>
      <c r="M786">
        <v>4</v>
      </c>
      <c r="N786">
        <v>0</v>
      </c>
      <c r="O786">
        <v>31</v>
      </c>
      <c r="P786">
        <v>1</v>
      </c>
      <c r="Q786">
        <v>7.8</v>
      </c>
      <c r="R786">
        <v>18</v>
      </c>
      <c r="S786">
        <v>0</v>
      </c>
      <c r="T786">
        <v>0</v>
      </c>
      <c r="U786" s="8">
        <v>72.8</v>
      </c>
      <c r="V786" s="8">
        <f t="shared" si="25"/>
        <v>7</v>
      </c>
      <c r="W786" t="str">
        <f>_xlfn.XLOOKUP(A786, Matches!A:A, Matches!L:L, "NA", 0)</f>
        <v>MIW</v>
      </c>
      <c r="X786" t="str">
        <f>_xlfn.XLOOKUP(A786, Matches!A:A, Matches!J:J, "NA", 0)</f>
        <v>MIW</v>
      </c>
      <c r="Y786" t="str">
        <f>_xlfn.XLOOKUP(A786, Matches!A:A, Matches!F:F, "NA", 0)</f>
        <v>Arun Jaitley Stadium</v>
      </c>
      <c r="Z786" cm="1">
        <f t="array" ref="Z786">INDEX(Innings!F:F,MATCH(1,(TRIM(Innings!A:A)=TRIM(A786))*(TRIM(Innings!D:D)=TRIM(E786)),0))</f>
        <v>118</v>
      </c>
      <c r="AA786" cm="1">
        <f t="array" ref="AA786">INDEX(Innings!I:I,MATCH(1,(TRIM(Innings!A:A)=TRIM(A786))*(TRIM(Innings!D:D)=TRIM(E786)),0))</f>
        <v>5.9</v>
      </c>
      <c r="AB786" cm="1">
        <f t="array" ref="AB786">INDEX(Innings!J:J,MATCH(1,(TRIM(Innings!A:A)=TRIM(A786))*(TRIM(Innings!D:D)=TRIM(E786)),0))</f>
        <v>17</v>
      </c>
      <c r="AC786" cm="1">
        <f t="array" ref="AC786">INDEX(Innings!N:N,MATCH(1,(TRIM(Innings!A:A)=TRIM(A786))*(TRIM(Innings!D:D)=TRIM(E786)),0))</f>
        <v>34</v>
      </c>
      <c r="AD786" cm="1">
        <f t="array" ref="AD786">INDEX(Innings!S:S,MATCH(1,(TRIM(Innings!A:A)=TRIM(A786))*(TRIM(Innings!D:D)=TRIM(E786)),0))</f>
        <v>63</v>
      </c>
      <c r="AE786" t="str" cm="1">
        <f t="array" ref="AE786">INDEX(Innings!W:W,MATCH(1,(TRIM(Innings!A:A)=TRIM(A786))*(TRIM(Innings!D:D)=TRIM(E786)),0))</f>
        <v>Failed</v>
      </c>
      <c r="AF786">
        <f>IF(UPPER(TRIM(E786))=UPPER(TRIM(W786)),1,0)</f>
        <v>0</v>
      </c>
      <c r="AG786">
        <f t="shared" si="24"/>
        <v>38.5</v>
      </c>
    </row>
    <row r="787" spans="1:33" x14ac:dyDescent="0.3">
      <c r="A787" t="s">
        <v>361</v>
      </c>
      <c r="B787">
        <v>2</v>
      </c>
      <c r="C787" t="s">
        <v>220</v>
      </c>
      <c r="D787" t="s">
        <v>221</v>
      </c>
      <c r="E787" t="s">
        <v>219</v>
      </c>
      <c r="F787" t="s">
        <v>83</v>
      </c>
      <c r="G787" t="s">
        <v>134</v>
      </c>
      <c r="H787">
        <v>17</v>
      </c>
      <c r="I787">
        <v>15</v>
      </c>
      <c r="J787">
        <v>113.33</v>
      </c>
      <c r="K787" t="s">
        <v>246</v>
      </c>
      <c r="L787">
        <v>15.7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 s="8">
        <v>15.7</v>
      </c>
      <c r="V787" s="8">
        <f t="shared" si="25"/>
        <v>2</v>
      </c>
      <c r="W787" t="str">
        <f>_xlfn.XLOOKUP(A787, Matches!A:A, Matches!L:L, "NA", 0)</f>
        <v>MIW</v>
      </c>
      <c r="X787" t="str">
        <f>_xlfn.XLOOKUP(A787, Matches!A:A, Matches!J:J, "NA", 0)</f>
        <v>MIW</v>
      </c>
      <c r="Y787" t="str">
        <f>_xlfn.XLOOKUP(A787, Matches!A:A, Matches!F:F, "NA", 0)</f>
        <v>Arun Jaitley Stadium</v>
      </c>
      <c r="Z787" cm="1">
        <f t="array" ref="Z787">INDEX(Innings!F:F,MATCH(1,(TRIM(Innings!A:A)=TRIM(A787))*(TRIM(Innings!D:D)=TRIM(E787)),0))</f>
        <v>118</v>
      </c>
      <c r="AA787" cm="1">
        <f t="array" ref="AA787">INDEX(Innings!I:I,MATCH(1,(TRIM(Innings!A:A)=TRIM(A787))*(TRIM(Innings!D:D)=TRIM(E787)),0))</f>
        <v>5.9</v>
      </c>
      <c r="AB787" cm="1">
        <f t="array" ref="AB787">INDEX(Innings!J:J,MATCH(1,(TRIM(Innings!A:A)=TRIM(A787))*(TRIM(Innings!D:D)=TRIM(E787)),0))</f>
        <v>17</v>
      </c>
      <c r="AC787" cm="1">
        <f t="array" ref="AC787">INDEX(Innings!N:N,MATCH(1,(TRIM(Innings!A:A)=TRIM(A787))*(TRIM(Innings!D:D)=TRIM(E787)),0))</f>
        <v>34</v>
      </c>
      <c r="AD787" cm="1">
        <f t="array" ref="AD787">INDEX(Innings!S:S,MATCH(1,(TRIM(Innings!A:A)=TRIM(A787))*(TRIM(Innings!D:D)=TRIM(E787)),0))</f>
        <v>63</v>
      </c>
      <c r="AE787" t="str" cm="1">
        <f t="array" ref="AE787">INDEX(Innings!W:W,MATCH(1,(TRIM(Innings!A:A)=TRIM(A787))*(TRIM(Innings!D:D)=TRIM(E787)),0))</f>
        <v>Failed</v>
      </c>
      <c r="AF787">
        <f>IF(UPPER(TRIM(E787))=UPPER(TRIM(W787)),1,0)</f>
        <v>0</v>
      </c>
      <c r="AG787">
        <f t="shared" si="24"/>
        <v>8.4499999999999993</v>
      </c>
    </row>
    <row r="788" spans="1:33" x14ac:dyDescent="0.3">
      <c r="A788" t="s">
        <v>361</v>
      </c>
      <c r="B788">
        <v>2</v>
      </c>
      <c r="C788" t="s">
        <v>273</v>
      </c>
      <c r="D788" t="s">
        <v>279</v>
      </c>
      <c r="E788" t="s">
        <v>219</v>
      </c>
      <c r="F788" t="s">
        <v>91</v>
      </c>
      <c r="G788" t="s">
        <v>134</v>
      </c>
      <c r="H788">
        <v>7</v>
      </c>
      <c r="I788">
        <v>10</v>
      </c>
      <c r="J788">
        <v>70</v>
      </c>
      <c r="K788" t="s">
        <v>245</v>
      </c>
      <c r="L788">
        <v>2.4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 s="8">
        <v>2.4</v>
      </c>
      <c r="V788" s="8">
        <f t="shared" si="25"/>
        <v>0</v>
      </c>
      <c r="W788" t="str">
        <f>_xlfn.XLOOKUP(A788, Matches!A:A, Matches!L:L, "NA", 0)</f>
        <v>MIW</v>
      </c>
      <c r="X788" t="str">
        <f>_xlfn.XLOOKUP(A788, Matches!A:A, Matches!J:J, "NA", 0)</f>
        <v>MIW</v>
      </c>
      <c r="Y788" t="str">
        <f>_xlfn.XLOOKUP(A788, Matches!A:A, Matches!F:F, "NA", 0)</f>
        <v>Arun Jaitley Stadium</v>
      </c>
      <c r="Z788" cm="1">
        <f t="array" ref="Z788">INDEX(Innings!F:F,MATCH(1,(TRIM(Innings!A:A)=TRIM(A788))*(TRIM(Innings!D:D)=TRIM(E788)),0))</f>
        <v>118</v>
      </c>
      <c r="AA788" cm="1">
        <f t="array" ref="AA788">INDEX(Innings!I:I,MATCH(1,(TRIM(Innings!A:A)=TRIM(A788))*(TRIM(Innings!D:D)=TRIM(E788)),0))</f>
        <v>5.9</v>
      </c>
      <c r="AB788" cm="1">
        <f t="array" ref="AB788">INDEX(Innings!J:J,MATCH(1,(TRIM(Innings!A:A)=TRIM(A788))*(TRIM(Innings!D:D)=TRIM(E788)),0))</f>
        <v>17</v>
      </c>
      <c r="AC788" cm="1">
        <f t="array" ref="AC788">INDEX(Innings!N:N,MATCH(1,(TRIM(Innings!A:A)=TRIM(A788))*(TRIM(Innings!D:D)=TRIM(E788)),0))</f>
        <v>34</v>
      </c>
      <c r="AD788" cm="1">
        <f t="array" ref="AD788">INDEX(Innings!S:S,MATCH(1,(TRIM(Innings!A:A)=TRIM(A788))*(TRIM(Innings!D:D)=TRIM(E788)),0))</f>
        <v>63</v>
      </c>
      <c r="AE788" t="str" cm="1">
        <f t="array" ref="AE788">INDEX(Innings!W:W,MATCH(1,(TRIM(Innings!A:A)=TRIM(A788))*(TRIM(Innings!D:D)=TRIM(E788)),0))</f>
        <v>Failed</v>
      </c>
      <c r="AF788">
        <f>IF(UPPER(TRIM(E788))=UPPER(TRIM(W788)),1,0)</f>
        <v>0</v>
      </c>
      <c r="AG788">
        <f t="shared" si="24"/>
        <v>1.2</v>
      </c>
    </row>
    <row r="789" spans="1:33" x14ac:dyDescent="0.3">
      <c r="A789" t="s">
        <v>361</v>
      </c>
      <c r="B789">
        <v>2</v>
      </c>
      <c r="C789" t="s">
        <v>233</v>
      </c>
      <c r="D789" t="s">
        <v>234</v>
      </c>
      <c r="E789" t="s">
        <v>219</v>
      </c>
      <c r="F789" t="s">
        <v>101</v>
      </c>
      <c r="G789" t="s">
        <v>134</v>
      </c>
      <c r="H789">
        <v>0</v>
      </c>
      <c r="I789">
        <v>1</v>
      </c>
      <c r="J789">
        <v>0</v>
      </c>
      <c r="K789" t="s">
        <v>246</v>
      </c>
      <c r="L789">
        <v>-5</v>
      </c>
      <c r="M789">
        <v>4</v>
      </c>
      <c r="N789">
        <v>0</v>
      </c>
      <c r="O789">
        <v>30</v>
      </c>
      <c r="P789">
        <v>0</v>
      </c>
      <c r="Q789">
        <v>7.5</v>
      </c>
      <c r="R789">
        <v>5</v>
      </c>
      <c r="S789">
        <v>0</v>
      </c>
      <c r="T789">
        <v>0</v>
      </c>
      <c r="U789" s="8">
        <v>0</v>
      </c>
      <c r="V789" s="8">
        <f t="shared" si="25"/>
        <v>0</v>
      </c>
      <c r="W789" t="str">
        <f>_xlfn.XLOOKUP(A789, Matches!A:A, Matches!L:L, "NA", 0)</f>
        <v>MIW</v>
      </c>
      <c r="X789" t="str">
        <f>_xlfn.XLOOKUP(A789, Matches!A:A, Matches!J:J, "NA", 0)</f>
        <v>MIW</v>
      </c>
      <c r="Y789" t="str">
        <f>_xlfn.XLOOKUP(A789, Matches!A:A, Matches!F:F, "NA", 0)</f>
        <v>Arun Jaitley Stadium</v>
      </c>
      <c r="Z789" cm="1">
        <f t="array" ref="Z789">INDEX(Innings!F:F,MATCH(1,(TRIM(Innings!A:A)=TRIM(A789))*(TRIM(Innings!D:D)=TRIM(E789)),0))</f>
        <v>118</v>
      </c>
      <c r="AA789" cm="1">
        <f t="array" ref="AA789">INDEX(Innings!I:I,MATCH(1,(TRIM(Innings!A:A)=TRIM(A789))*(TRIM(Innings!D:D)=TRIM(E789)),0))</f>
        <v>5.9</v>
      </c>
      <c r="AB789" cm="1">
        <f t="array" ref="AB789">INDEX(Innings!J:J,MATCH(1,(TRIM(Innings!A:A)=TRIM(A789))*(TRIM(Innings!D:D)=TRIM(E789)),0))</f>
        <v>17</v>
      </c>
      <c r="AC789" cm="1">
        <f t="array" ref="AC789">INDEX(Innings!N:N,MATCH(1,(TRIM(Innings!A:A)=TRIM(A789))*(TRIM(Innings!D:D)=TRIM(E789)),0))</f>
        <v>34</v>
      </c>
      <c r="AD789" cm="1">
        <f t="array" ref="AD789">INDEX(Innings!S:S,MATCH(1,(TRIM(Innings!A:A)=TRIM(A789))*(TRIM(Innings!D:D)=TRIM(E789)),0))</f>
        <v>63</v>
      </c>
      <c r="AE789" t="str" cm="1">
        <f t="array" ref="AE789">INDEX(Innings!W:W,MATCH(1,(TRIM(Innings!A:A)=TRIM(A789))*(TRIM(Innings!D:D)=TRIM(E789)),0))</f>
        <v>Failed</v>
      </c>
      <c r="AF789">
        <f>IF(UPPER(TRIM(E789))=UPPER(TRIM(W789)),1,0)</f>
        <v>0</v>
      </c>
      <c r="AG789">
        <f t="shared" si="24"/>
        <v>0</v>
      </c>
    </row>
    <row r="790" spans="1:33" x14ac:dyDescent="0.3">
      <c r="A790" t="s">
        <v>361</v>
      </c>
      <c r="B790">
        <v>2</v>
      </c>
      <c r="C790" t="s">
        <v>442</v>
      </c>
      <c r="D790" t="s">
        <v>443</v>
      </c>
      <c r="E790" t="s">
        <v>219</v>
      </c>
      <c r="F790" t="s">
        <v>85</v>
      </c>
      <c r="G790" t="s">
        <v>134</v>
      </c>
      <c r="H790">
        <v>8</v>
      </c>
      <c r="I790">
        <v>10</v>
      </c>
      <c r="J790">
        <v>80</v>
      </c>
      <c r="K790" t="s">
        <v>246</v>
      </c>
      <c r="L790">
        <v>6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 s="8">
        <v>6</v>
      </c>
      <c r="V790" s="8">
        <f t="shared" si="25"/>
        <v>1</v>
      </c>
      <c r="W790" t="str">
        <f>_xlfn.XLOOKUP(A790, Matches!A:A, Matches!L:L, "NA", 0)</f>
        <v>MIW</v>
      </c>
      <c r="X790" t="str">
        <f>_xlfn.XLOOKUP(A790, Matches!A:A, Matches!J:J, "NA", 0)</f>
        <v>MIW</v>
      </c>
      <c r="Y790" t="str">
        <f>_xlfn.XLOOKUP(A790, Matches!A:A, Matches!F:F, "NA", 0)</f>
        <v>Arun Jaitley Stadium</v>
      </c>
      <c r="Z790" cm="1">
        <f t="array" ref="Z790">INDEX(Innings!F:F,MATCH(1,(TRIM(Innings!A:A)=TRIM(A790))*(TRIM(Innings!D:D)=TRIM(E790)),0))</f>
        <v>118</v>
      </c>
      <c r="AA790" cm="1">
        <f t="array" ref="AA790">INDEX(Innings!I:I,MATCH(1,(TRIM(Innings!A:A)=TRIM(A790))*(TRIM(Innings!D:D)=TRIM(E790)),0))</f>
        <v>5.9</v>
      </c>
      <c r="AB790" cm="1">
        <f t="array" ref="AB790">INDEX(Innings!J:J,MATCH(1,(TRIM(Innings!A:A)=TRIM(A790))*(TRIM(Innings!D:D)=TRIM(E790)),0))</f>
        <v>17</v>
      </c>
      <c r="AC790" cm="1">
        <f t="array" ref="AC790">INDEX(Innings!N:N,MATCH(1,(TRIM(Innings!A:A)=TRIM(A790))*(TRIM(Innings!D:D)=TRIM(E790)),0))</f>
        <v>34</v>
      </c>
      <c r="AD790" cm="1">
        <f t="array" ref="AD790">INDEX(Innings!S:S,MATCH(1,(TRIM(Innings!A:A)=TRIM(A790))*(TRIM(Innings!D:D)=TRIM(E790)),0))</f>
        <v>63</v>
      </c>
      <c r="AE790" t="str" cm="1">
        <f t="array" ref="AE790">INDEX(Innings!W:W,MATCH(1,(TRIM(Innings!A:A)=TRIM(A790))*(TRIM(Innings!D:D)=TRIM(E790)),0))</f>
        <v>Failed</v>
      </c>
      <c r="AF790">
        <f>IF(UPPER(TRIM(E790))=UPPER(TRIM(W790)),1,0)</f>
        <v>0</v>
      </c>
      <c r="AG790">
        <f t="shared" si="24"/>
        <v>3.3</v>
      </c>
    </row>
    <row r="791" spans="1:33" x14ac:dyDescent="0.3">
      <c r="A791" t="s">
        <v>361</v>
      </c>
      <c r="B791">
        <v>2</v>
      </c>
      <c r="C791" t="s">
        <v>377</v>
      </c>
      <c r="D791" t="s">
        <v>378</v>
      </c>
      <c r="E791" t="s">
        <v>219</v>
      </c>
      <c r="F791" t="s">
        <v>91</v>
      </c>
      <c r="G791" t="s">
        <v>134</v>
      </c>
      <c r="H791">
        <v>0</v>
      </c>
      <c r="I791">
        <v>1</v>
      </c>
      <c r="J791">
        <v>0</v>
      </c>
      <c r="K791" t="s">
        <v>246</v>
      </c>
      <c r="L791">
        <v>-5</v>
      </c>
      <c r="M791">
        <v>2</v>
      </c>
      <c r="N791">
        <v>0</v>
      </c>
      <c r="O791">
        <v>19</v>
      </c>
      <c r="P791">
        <v>1</v>
      </c>
      <c r="Q791">
        <v>9.5</v>
      </c>
      <c r="R791">
        <v>18</v>
      </c>
      <c r="S791">
        <v>0</v>
      </c>
      <c r="T791">
        <v>0</v>
      </c>
      <c r="U791" s="8">
        <v>13</v>
      </c>
      <c r="V791" s="8">
        <f t="shared" si="25"/>
        <v>1</v>
      </c>
      <c r="W791" t="str">
        <f>_xlfn.XLOOKUP(A791, Matches!A:A, Matches!L:L, "NA", 0)</f>
        <v>MIW</v>
      </c>
      <c r="X791" t="str">
        <f>_xlfn.XLOOKUP(A791, Matches!A:A, Matches!J:J, "NA", 0)</f>
        <v>MIW</v>
      </c>
      <c r="Y791" t="str">
        <f>_xlfn.XLOOKUP(A791, Matches!A:A, Matches!F:F, "NA", 0)</f>
        <v>Arun Jaitley Stadium</v>
      </c>
      <c r="Z791" cm="1">
        <f t="array" ref="Z791">INDEX(Innings!F:F,MATCH(1,(TRIM(Innings!A:A)=TRIM(A791))*(TRIM(Innings!D:D)=TRIM(E791)),0))</f>
        <v>118</v>
      </c>
      <c r="AA791" cm="1">
        <f t="array" ref="AA791">INDEX(Innings!I:I,MATCH(1,(TRIM(Innings!A:A)=TRIM(A791))*(TRIM(Innings!D:D)=TRIM(E791)),0))</f>
        <v>5.9</v>
      </c>
      <c r="AB791" cm="1">
        <f t="array" ref="AB791">INDEX(Innings!J:J,MATCH(1,(TRIM(Innings!A:A)=TRIM(A791))*(TRIM(Innings!D:D)=TRIM(E791)),0))</f>
        <v>17</v>
      </c>
      <c r="AC791" cm="1">
        <f t="array" ref="AC791">INDEX(Innings!N:N,MATCH(1,(TRIM(Innings!A:A)=TRIM(A791))*(TRIM(Innings!D:D)=TRIM(E791)),0))</f>
        <v>34</v>
      </c>
      <c r="AD791" cm="1">
        <f t="array" ref="AD791">INDEX(Innings!S:S,MATCH(1,(TRIM(Innings!A:A)=TRIM(A791))*(TRIM(Innings!D:D)=TRIM(E791)),0))</f>
        <v>63</v>
      </c>
      <c r="AE791" t="str" cm="1">
        <f t="array" ref="AE791">INDEX(Innings!W:W,MATCH(1,(TRIM(Innings!A:A)=TRIM(A791))*(TRIM(Innings!D:D)=TRIM(E791)),0))</f>
        <v>Failed</v>
      </c>
      <c r="AF791">
        <f>IF(UPPER(TRIM(E791))=UPPER(TRIM(W791)),1,0)</f>
        <v>0</v>
      </c>
      <c r="AG791">
        <f t="shared" si="24"/>
        <v>6.8</v>
      </c>
    </row>
    <row r="792" spans="1:33" x14ac:dyDescent="0.3">
      <c r="A792" t="s">
        <v>361</v>
      </c>
      <c r="B792">
        <v>2</v>
      </c>
      <c r="C792" t="s">
        <v>237</v>
      </c>
      <c r="D792" t="s">
        <v>238</v>
      </c>
      <c r="E792" t="s">
        <v>219</v>
      </c>
      <c r="F792" t="s">
        <v>101</v>
      </c>
      <c r="G792" t="s">
        <v>134</v>
      </c>
      <c r="H792">
        <v>1</v>
      </c>
      <c r="I792">
        <v>2</v>
      </c>
      <c r="J792">
        <v>50</v>
      </c>
      <c r="K792" t="s">
        <v>96</v>
      </c>
      <c r="L792">
        <v>2</v>
      </c>
      <c r="M792">
        <v>3</v>
      </c>
      <c r="N792">
        <v>0</v>
      </c>
      <c r="O792">
        <v>34</v>
      </c>
      <c r="P792">
        <v>1</v>
      </c>
      <c r="Q792">
        <v>11.3</v>
      </c>
      <c r="R792">
        <v>18</v>
      </c>
      <c r="S792">
        <v>0</v>
      </c>
      <c r="T792">
        <v>0</v>
      </c>
      <c r="U792" s="8">
        <v>20</v>
      </c>
      <c r="V792" s="8">
        <f t="shared" si="25"/>
        <v>2</v>
      </c>
      <c r="W792" t="str">
        <f>_xlfn.XLOOKUP(A792, Matches!A:A, Matches!L:L, "NA", 0)</f>
        <v>MIW</v>
      </c>
      <c r="X792" t="str">
        <f>_xlfn.XLOOKUP(A792, Matches!A:A, Matches!J:J, "NA", 0)</f>
        <v>MIW</v>
      </c>
      <c r="Y792" t="str">
        <f>_xlfn.XLOOKUP(A792, Matches!A:A, Matches!F:F, "NA", 0)</f>
        <v>Arun Jaitley Stadium</v>
      </c>
      <c r="Z792" cm="1">
        <f t="array" ref="Z792">INDEX(Innings!F:F,MATCH(1,(TRIM(Innings!A:A)=TRIM(A792))*(TRIM(Innings!D:D)=TRIM(E792)),0))</f>
        <v>118</v>
      </c>
      <c r="AA792" cm="1">
        <f t="array" ref="AA792">INDEX(Innings!I:I,MATCH(1,(TRIM(Innings!A:A)=TRIM(A792))*(TRIM(Innings!D:D)=TRIM(E792)),0))</f>
        <v>5.9</v>
      </c>
      <c r="AB792" cm="1">
        <f t="array" ref="AB792">INDEX(Innings!J:J,MATCH(1,(TRIM(Innings!A:A)=TRIM(A792))*(TRIM(Innings!D:D)=TRIM(E792)),0))</f>
        <v>17</v>
      </c>
      <c r="AC792" cm="1">
        <f t="array" ref="AC792">INDEX(Innings!N:N,MATCH(1,(TRIM(Innings!A:A)=TRIM(A792))*(TRIM(Innings!D:D)=TRIM(E792)),0))</f>
        <v>34</v>
      </c>
      <c r="AD792" cm="1">
        <f t="array" ref="AD792">INDEX(Innings!S:S,MATCH(1,(TRIM(Innings!A:A)=TRIM(A792))*(TRIM(Innings!D:D)=TRIM(E792)),0))</f>
        <v>63</v>
      </c>
      <c r="AE792" t="str" cm="1">
        <f t="array" ref="AE792">INDEX(Innings!W:W,MATCH(1,(TRIM(Innings!A:A)=TRIM(A792))*(TRIM(Innings!D:D)=TRIM(E792)),0))</f>
        <v>Failed</v>
      </c>
      <c r="AF792">
        <f>IF(UPPER(TRIM(E792))=UPPER(TRIM(W792)),1,0)</f>
        <v>0</v>
      </c>
      <c r="AG792">
        <f t="shared" si="24"/>
        <v>10.6</v>
      </c>
    </row>
    <row r="793" spans="1:33" x14ac:dyDescent="0.3">
      <c r="A793" t="s">
        <v>362</v>
      </c>
      <c r="B793">
        <v>2</v>
      </c>
      <c r="C793" t="s">
        <v>217</v>
      </c>
      <c r="D793" t="s">
        <v>218</v>
      </c>
      <c r="E793" t="s">
        <v>219</v>
      </c>
      <c r="F793" t="s">
        <v>85</v>
      </c>
      <c r="G793" t="s">
        <v>86</v>
      </c>
      <c r="H793">
        <v>29</v>
      </c>
      <c r="I793">
        <v>30</v>
      </c>
      <c r="J793">
        <v>96.67</v>
      </c>
      <c r="K793" t="s">
        <v>246</v>
      </c>
      <c r="L793">
        <v>20.8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20.8</v>
      </c>
      <c r="V793" s="8">
        <f t="shared" si="25"/>
        <v>2</v>
      </c>
      <c r="W793" t="str">
        <f>_xlfn.XLOOKUP(A793, Matches!A:A, Matches!L:L, "NA", 0)</f>
        <v>UPW</v>
      </c>
      <c r="X793" t="str">
        <f>_xlfn.XLOOKUP(A793, Matches!A:A, Matches!J:J, "NA", 0)</f>
        <v>UPW</v>
      </c>
      <c r="Y793" t="str">
        <f>_xlfn.XLOOKUP(A793, Matches!A:A, Matches!F:F, "NA", 0)</f>
        <v>Arun Jaitley Stadium</v>
      </c>
      <c r="Z793" cm="1">
        <f t="array" ref="Z793">INDEX(Innings!F:F,MATCH(1,(TRIM(Innings!A:A)=TRIM(A793))*(TRIM(Innings!D:D)=TRIM(E793)),0))</f>
        <v>138</v>
      </c>
      <c r="AA793" cm="1">
        <f t="array" ref="AA793">INDEX(Innings!I:I,MATCH(1,(TRIM(Innings!A:A)=TRIM(A793))*(TRIM(Innings!D:D)=TRIM(E793)),0))</f>
        <v>6.9</v>
      </c>
      <c r="AB793" cm="1">
        <f t="array" ref="AB793">INDEX(Innings!J:J,MATCH(1,(TRIM(Innings!A:A)=TRIM(A793))*(TRIM(Innings!D:D)=TRIM(E793)),0))</f>
        <v>44</v>
      </c>
      <c r="AC793" cm="1">
        <f t="array" ref="AC793">INDEX(Innings!N:N,MATCH(1,(TRIM(Innings!A:A)=TRIM(A793))*(TRIM(Innings!D:D)=TRIM(E793)),0))</f>
        <v>29</v>
      </c>
      <c r="AD793" cm="1">
        <f t="array" ref="AD793">INDEX(Innings!S:S,MATCH(1,(TRIM(Innings!A:A)=TRIM(A793))*(TRIM(Innings!D:D)=TRIM(E793)),0))</f>
        <v>40</v>
      </c>
      <c r="AE793" t="str" cm="1">
        <f t="array" ref="AE793">INDEX(Innings!W:W,MATCH(1,(TRIM(Innings!A:A)=TRIM(A793))*(TRIM(Innings!D:D)=TRIM(E793)),0))</f>
        <v>NA</v>
      </c>
      <c r="AF793">
        <f>IF(UPPER(TRIM(E793))=UPPER(TRIM(W793)),1,0)</f>
        <v>1</v>
      </c>
      <c r="AG793">
        <f t="shared" si="24"/>
        <v>31</v>
      </c>
    </row>
    <row r="794" spans="1:33" x14ac:dyDescent="0.3">
      <c r="A794" t="s">
        <v>362</v>
      </c>
      <c r="B794">
        <v>2</v>
      </c>
      <c r="C794" t="s">
        <v>229</v>
      </c>
      <c r="D794" t="s">
        <v>230</v>
      </c>
      <c r="E794" t="s">
        <v>219</v>
      </c>
      <c r="F794" t="s">
        <v>109</v>
      </c>
      <c r="G794" t="s">
        <v>86</v>
      </c>
      <c r="H794">
        <v>5</v>
      </c>
      <c r="I794">
        <v>5</v>
      </c>
      <c r="J794">
        <v>100</v>
      </c>
      <c r="K794" t="s">
        <v>245</v>
      </c>
      <c r="L794">
        <v>7.5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7.5</v>
      </c>
      <c r="V794" s="8">
        <f t="shared" si="25"/>
        <v>1</v>
      </c>
      <c r="W794" t="str">
        <f>_xlfn.XLOOKUP(A794, Matches!A:A, Matches!L:L, "NA", 0)</f>
        <v>UPW</v>
      </c>
      <c r="X794" t="str">
        <f>_xlfn.XLOOKUP(A794, Matches!A:A, Matches!J:J, "NA", 0)</f>
        <v>UPW</v>
      </c>
      <c r="Y794" t="str">
        <f>_xlfn.XLOOKUP(A794, Matches!A:A, Matches!F:F, "NA", 0)</f>
        <v>Arun Jaitley Stadium</v>
      </c>
      <c r="Z794" cm="1">
        <f t="array" ref="Z794">INDEX(Innings!F:F,MATCH(1,(TRIM(Innings!A:A)=TRIM(A794))*(TRIM(Innings!D:D)=TRIM(E794)),0))</f>
        <v>138</v>
      </c>
      <c r="AA794" cm="1">
        <f t="array" ref="AA794">INDEX(Innings!I:I,MATCH(1,(TRIM(Innings!A:A)=TRIM(A794))*(TRIM(Innings!D:D)=TRIM(E794)),0))</f>
        <v>6.9</v>
      </c>
      <c r="AB794" cm="1">
        <f t="array" ref="AB794">INDEX(Innings!J:J,MATCH(1,(TRIM(Innings!A:A)=TRIM(A794))*(TRIM(Innings!D:D)=TRIM(E794)),0))</f>
        <v>44</v>
      </c>
      <c r="AC794" cm="1">
        <f t="array" ref="AC794">INDEX(Innings!N:N,MATCH(1,(TRIM(Innings!A:A)=TRIM(A794))*(TRIM(Innings!D:D)=TRIM(E794)),0))</f>
        <v>29</v>
      </c>
      <c r="AD794" cm="1">
        <f t="array" ref="AD794">INDEX(Innings!S:S,MATCH(1,(TRIM(Innings!A:A)=TRIM(A794))*(TRIM(Innings!D:D)=TRIM(E794)),0))</f>
        <v>40</v>
      </c>
      <c r="AE794" t="str" cm="1">
        <f t="array" ref="AE794">INDEX(Innings!W:W,MATCH(1,(TRIM(Innings!A:A)=TRIM(A794))*(TRIM(Innings!D:D)=TRIM(E794)),0))</f>
        <v>NA</v>
      </c>
      <c r="AF794">
        <f>IF(UPPER(TRIM(E794))=UPPER(TRIM(W794)),1,0)</f>
        <v>1</v>
      </c>
      <c r="AG794">
        <f t="shared" si="24"/>
        <v>24.05</v>
      </c>
    </row>
    <row r="795" spans="1:33" x14ac:dyDescent="0.3">
      <c r="A795" t="s">
        <v>362</v>
      </c>
      <c r="B795">
        <v>2</v>
      </c>
      <c r="C795" t="s">
        <v>224</v>
      </c>
      <c r="D795" t="s">
        <v>225</v>
      </c>
      <c r="E795" t="s">
        <v>219</v>
      </c>
      <c r="F795" t="s">
        <v>169</v>
      </c>
      <c r="G795" t="s">
        <v>92</v>
      </c>
      <c r="H795">
        <v>59</v>
      </c>
      <c r="I795">
        <v>48</v>
      </c>
      <c r="J795">
        <v>122.92</v>
      </c>
      <c r="K795" t="s">
        <v>246</v>
      </c>
      <c r="L795">
        <v>66.2</v>
      </c>
      <c r="M795">
        <v>4</v>
      </c>
      <c r="N795">
        <v>0</v>
      </c>
      <c r="O795">
        <v>19</v>
      </c>
      <c r="P795">
        <v>4</v>
      </c>
      <c r="Q795">
        <v>4.8</v>
      </c>
      <c r="R795">
        <v>110</v>
      </c>
      <c r="S795">
        <v>0</v>
      </c>
      <c r="T795">
        <v>0</v>
      </c>
      <c r="U795">
        <v>176.2</v>
      </c>
      <c r="V795" s="8">
        <f t="shared" si="25"/>
        <v>10</v>
      </c>
      <c r="W795" t="str">
        <f>_xlfn.XLOOKUP(A795, Matches!A:A, Matches!L:L, "NA", 0)</f>
        <v>UPW</v>
      </c>
      <c r="X795" t="str">
        <f>_xlfn.XLOOKUP(A795, Matches!A:A, Matches!J:J, "NA", 0)</f>
        <v>UPW</v>
      </c>
      <c r="Y795" t="str">
        <f>_xlfn.XLOOKUP(A795, Matches!A:A, Matches!F:F, "NA", 0)</f>
        <v>Arun Jaitley Stadium</v>
      </c>
      <c r="Z795" cm="1">
        <f t="array" ref="Z795">INDEX(Innings!F:F,MATCH(1,(TRIM(Innings!A:A)=TRIM(A795))*(TRIM(Innings!D:D)=TRIM(E795)),0))</f>
        <v>138</v>
      </c>
      <c r="AA795" cm="1">
        <f t="array" ref="AA795">INDEX(Innings!I:I,MATCH(1,(TRIM(Innings!A:A)=TRIM(A795))*(TRIM(Innings!D:D)=TRIM(E795)),0))</f>
        <v>6.9</v>
      </c>
      <c r="AB795" cm="1">
        <f t="array" ref="AB795">INDEX(Innings!J:J,MATCH(1,(TRIM(Innings!A:A)=TRIM(A795))*(TRIM(Innings!D:D)=TRIM(E795)),0))</f>
        <v>44</v>
      </c>
      <c r="AC795" cm="1">
        <f t="array" ref="AC795">INDEX(Innings!N:N,MATCH(1,(TRIM(Innings!A:A)=TRIM(A795))*(TRIM(Innings!D:D)=TRIM(E795)),0))</f>
        <v>29</v>
      </c>
      <c r="AD795" cm="1">
        <f t="array" ref="AD795">INDEX(Innings!S:S,MATCH(1,(TRIM(Innings!A:A)=TRIM(A795))*(TRIM(Innings!D:D)=TRIM(E795)),0))</f>
        <v>40</v>
      </c>
      <c r="AE795" t="str" cm="1">
        <f t="array" ref="AE795">INDEX(Innings!W:W,MATCH(1,(TRIM(Innings!A:A)=TRIM(A795))*(TRIM(Innings!D:D)=TRIM(E795)),0))</f>
        <v>NA</v>
      </c>
      <c r="AF795">
        <f>IF(UPPER(TRIM(E795))=UPPER(TRIM(W795)),1,0)</f>
        <v>1</v>
      </c>
      <c r="AG795">
        <f t="shared" si="24"/>
        <v>111.1</v>
      </c>
    </row>
    <row r="796" spans="1:33" x14ac:dyDescent="0.3">
      <c r="A796" t="s">
        <v>362</v>
      </c>
      <c r="B796">
        <v>2</v>
      </c>
      <c r="C796" t="s">
        <v>222</v>
      </c>
      <c r="D796" t="s">
        <v>223</v>
      </c>
      <c r="E796" t="s">
        <v>219</v>
      </c>
      <c r="F796" t="s">
        <v>169</v>
      </c>
      <c r="G796" t="s">
        <v>92</v>
      </c>
      <c r="H796">
        <v>3</v>
      </c>
      <c r="I796">
        <v>4</v>
      </c>
      <c r="J796">
        <v>75</v>
      </c>
      <c r="K796" t="s">
        <v>245</v>
      </c>
      <c r="L796">
        <v>3.4</v>
      </c>
      <c r="M796">
        <v>2</v>
      </c>
      <c r="N796">
        <v>0</v>
      </c>
      <c r="O796">
        <v>19</v>
      </c>
      <c r="P796">
        <v>0</v>
      </c>
      <c r="Q796">
        <v>9.5</v>
      </c>
      <c r="R796">
        <v>0</v>
      </c>
      <c r="S796">
        <v>0</v>
      </c>
      <c r="T796">
        <v>0</v>
      </c>
      <c r="U796">
        <v>3.4</v>
      </c>
      <c r="V796" s="8">
        <f t="shared" si="25"/>
        <v>0</v>
      </c>
      <c r="W796" t="str">
        <f>_xlfn.XLOOKUP(A796, Matches!A:A, Matches!L:L, "NA", 0)</f>
        <v>UPW</v>
      </c>
      <c r="X796" t="str">
        <f>_xlfn.XLOOKUP(A796, Matches!A:A, Matches!J:J, "NA", 0)</f>
        <v>UPW</v>
      </c>
      <c r="Y796" t="str">
        <f>_xlfn.XLOOKUP(A796, Matches!A:A, Matches!F:F, "NA", 0)</f>
        <v>Arun Jaitley Stadium</v>
      </c>
      <c r="Z796" cm="1">
        <f t="array" ref="Z796">INDEX(Innings!F:F,MATCH(1,(TRIM(Innings!A:A)=TRIM(A796))*(TRIM(Innings!D:D)=TRIM(E796)),0))</f>
        <v>138</v>
      </c>
      <c r="AA796" cm="1">
        <f t="array" ref="AA796">INDEX(Innings!I:I,MATCH(1,(TRIM(Innings!A:A)=TRIM(A796))*(TRIM(Innings!D:D)=TRIM(E796)),0))</f>
        <v>6.9</v>
      </c>
      <c r="AB796" cm="1">
        <f t="array" ref="AB796">INDEX(Innings!J:J,MATCH(1,(TRIM(Innings!A:A)=TRIM(A796))*(TRIM(Innings!D:D)=TRIM(E796)),0))</f>
        <v>44</v>
      </c>
      <c r="AC796" cm="1">
        <f t="array" ref="AC796">INDEX(Innings!N:N,MATCH(1,(TRIM(Innings!A:A)=TRIM(A796))*(TRIM(Innings!D:D)=TRIM(E796)),0))</f>
        <v>29</v>
      </c>
      <c r="AD796" cm="1">
        <f t="array" ref="AD796">INDEX(Innings!S:S,MATCH(1,(TRIM(Innings!A:A)=TRIM(A796))*(TRIM(Innings!D:D)=TRIM(E796)),0))</f>
        <v>40</v>
      </c>
      <c r="AE796" t="str" cm="1">
        <f t="array" ref="AE796">INDEX(Innings!W:W,MATCH(1,(TRIM(Innings!A:A)=TRIM(A796))*(TRIM(Innings!D:D)=TRIM(E796)),0))</f>
        <v>NA</v>
      </c>
      <c r="AF796">
        <f>IF(UPPER(TRIM(E796))=UPPER(TRIM(W796)),1,0)</f>
        <v>1</v>
      </c>
      <c r="AG796">
        <f t="shared" si="24"/>
        <v>21.7</v>
      </c>
    </row>
    <row r="797" spans="1:33" x14ac:dyDescent="0.3">
      <c r="A797" t="s">
        <v>362</v>
      </c>
      <c r="B797">
        <v>2</v>
      </c>
      <c r="C797" t="s">
        <v>226</v>
      </c>
      <c r="D797" t="s">
        <v>211</v>
      </c>
      <c r="E797" t="s">
        <v>219</v>
      </c>
      <c r="F797" t="s">
        <v>169</v>
      </c>
      <c r="G797" t="s">
        <v>134</v>
      </c>
      <c r="H797">
        <v>14</v>
      </c>
      <c r="I797">
        <v>12</v>
      </c>
      <c r="J797">
        <v>116.67</v>
      </c>
      <c r="K797" t="s">
        <v>246</v>
      </c>
      <c r="L797">
        <v>16.5</v>
      </c>
      <c r="M797">
        <v>0.5</v>
      </c>
      <c r="N797">
        <v>0</v>
      </c>
      <c r="O797">
        <v>8</v>
      </c>
      <c r="P797">
        <v>2</v>
      </c>
      <c r="Q797">
        <v>9.6</v>
      </c>
      <c r="R797">
        <v>60</v>
      </c>
      <c r="S797">
        <v>0</v>
      </c>
      <c r="T797">
        <v>0</v>
      </c>
      <c r="U797">
        <v>76.5</v>
      </c>
      <c r="V797" s="8">
        <f t="shared" si="25"/>
        <v>8</v>
      </c>
      <c r="W797" t="str">
        <f>_xlfn.XLOOKUP(A797, Matches!A:A, Matches!L:L, "NA", 0)</f>
        <v>UPW</v>
      </c>
      <c r="X797" t="str">
        <f>_xlfn.XLOOKUP(A797, Matches!A:A, Matches!J:J, "NA", 0)</f>
        <v>UPW</v>
      </c>
      <c r="Y797" t="str">
        <f>_xlfn.XLOOKUP(A797, Matches!A:A, Matches!F:F, "NA", 0)</f>
        <v>Arun Jaitley Stadium</v>
      </c>
      <c r="Z797" cm="1">
        <f t="array" ref="Z797">INDEX(Innings!F:F,MATCH(1,(TRIM(Innings!A:A)=TRIM(A797))*(TRIM(Innings!D:D)=TRIM(E797)),0))</f>
        <v>138</v>
      </c>
      <c r="AA797" cm="1">
        <f t="array" ref="AA797">INDEX(Innings!I:I,MATCH(1,(TRIM(Innings!A:A)=TRIM(A797))*(TRIM(Innings!D:D)=TRIM(E797)),0))</f>
        <v>6.9</v>
      </c>
      <c r="AB797" cm="1">
        <f t="array" ref="AB797">INDEX(Innings!J:J,MATCH(1,(TRIM(Innings!A:A)=TRIM(A797))*(TRIM(Innings!D:D)=TRIM(E797)),0))</f>
        <v>44</v>
      </c>
      <c r="AC797" cm="1">
        <f t="array" ref="AC797">INDEX(Innings!N:N,MATCH(1,(TRIM(Innings!A:A)=TRIM(A797))*(TRIM(Innings!D:D)=TRIM(E797)),0))</f>
        <v>29</v>
      </c>
      <c r="AD797" cm="1">
        <f t="array" ref="AD797">INDEX(Innings!S:S,MATCH(1,(TRIM(Innings!A:A)=TRIM(A797))*(TRIM(Innings!D:D)=TRIM(E797)),0))</f>
        <v>40</v>
      </c>
      <c r="AE797" t="str" cm="1">
        <f t="array" ref="AE797">INDEX(Innings!W:W,MATCH(1,(TRIM(Innings!A:A)=TRIM(A797))*(TRIM(Innings!D:D)=TRIM(E797)),0))</f>
        <v>NA</v>
      </c>
      <c r="AF797">
        <f>IF(UPPER(TRIM(E797))=UPPER(TRIM(W797)),1,0)</f>
        <v>1</v>
      </c>
      <c r="AG797">
        <f t="shared" si="24"/>
        <v>60.65</v>
      </c>
    </row>
    <row r="798" spans="1:33" x14ac:dyDescent="0.3">
      <c r="A798" t="s">
        <v>362</v>
      </c>
      <c r="B798">
        <v>2</v>
      </c>
      <c r="C798" t="s">
        <v>220</v>
      </c>
      <c r="D798" t="s">
        <v>221</v>
      </c>
      <c r="E798" t="s">
        <v>219</v>
      </c>
      <c r="F798" t="s">
        <v>109</v>
      </c>
      <c r="G798" t="s">
        <v>134</v>
      </c>
      <c r="H798">
        <v>4</v>
      </c>
      <c r="I798">
        <v>3</v>
      </c>
      <c r="J798">
        <v>133.33000000000001</v>
      </c>
      <c r="K798" t="s">
        <v>245</v>
      </c>
      <c r="L798">
        <v>5.6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5.6</v>
      </c>
      <c r="V798" s="8">
        <f t="shared" si="25"/>
        <v>1</v>
      </c>
      <c r="W798" t="str">
        <f>_xlfn.XLOOKUP(A798, Matches!A:A, Matches!L:L, "NA", 0)</f>
        <v>UPW</v>
      </c>
      <c r="X798" t="str">
        <f>_xlfn.XLOOKUP(A798, Matches!A:A, Matches!J:J, "NA", 0)</f>
        <v>UPW</v>
      </c>
      <c r="Y798" t="str">
        <f>_xlfn.XLOOKUP(A798, Matches!A:A, Matches!F:F, "NA", 0)</f>
        <v>Arun Jaitley Stadium</v>
      </c>
      <c r="Z798" cm="1">
        <f t="array" ref="Z798">INDEX(Innings!F:F,MATCH(1,(TRIM(Innings!A:A)=TRIM(A798))*(TRIM(Innings!D:D)=TRIM(E798)),0))</f>
        <v>138</v>
      </c>
      <c r="AA798" cm="1">
        <f t="array" ref="AA798">INDEX(Innings!I:I,MATCH(1,(TRIM(Innings!A:A)=TRIM(A798))*(TRIM(Innings!D:D)=TRIM(E798)),0))</f>
        <v>6.9</v>
      </c>
      <c r="AB798" cm="1">
        <f t="array" ref="AB798">INDEX(Innings!J:J,MATCH(1,(TRIM(Innings!A:A)=TRIM(A798))*(TRIM(Innings!D:D)=TRIM(E798)),0))</f>
        <v>44</v>
      </c>
      <c r="AC798" cm="1">
        <f t="array" ref="AC798">INDEX(Innings!N:N,MATCH(1,(TRIM(Innings!A:A)=TRIM(A798))*(TRIM(Innings!D:D)=TRIM(E798)),0))</f>
        <v>29</v>
      </c>
      <c r="AD798" cm="1">
        <f t="array" ref="AD798">INDEX(Innings!S:S,MATCH(1,(TRIM(Innings!A:A)=TRIM(A798))*(TRIM(Innings!D:D)=TRIM(E798)),0))</f>
        <v>40</v>
      </c>
      <c r="AE798" t="str" cm="1">
        <f t="array" ref="AE798">INDEX(Innings!W:W,MATCH(1,(TRIM(Innings!A:A)=TRIM(A798))*(TRIM(Innings!D:D)=TRIM(E798)),0))</f>
        <v>NA</v>
      </c>
      <c r="AF798">
        <f>IF(UPPER(TRIM(E798))=UPPER(TRIM(W798)),1,0)</f>
        <v>1</v>
      </c>
      <c r="AG798">
        <f t="shared" si="24"/>
        <v>23.1</v>
      </c>
    </row>
    <row r="799" spans="1:33" x14ac:dyDescent="0.3">
      <c r="A799" t="s">
        <v>362</v>
      </c>
      <c r="B799">
        <v>2</v>
      </c>
      <c r="C799" t="s">
        <v>273</v>
      </c>
      <c r="D799" t="s">
        <v>279</v>
      </c>
      <c r="E799" t="s">
        <v>219</v>
      </c>
      <c r="F799" t="s">
        <v>169</v>
      </c>
      <c r="G799" t="s">
        <v>134</v>
      </c>
      <c r="H799">
        <v>1</v>
      </c>
      <c r="I799">
        <v>4</v>
      </c>
      <c r="J799">
        <v>25</v>
      </c>
      <c r="K799" t="s">
        <v>246</v>
      </c>
      <c r="L799">
        <v>-5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 s="8">
        <f t="shared" si="25"/>
        <v>0</v>
      </c>
      <c r="W799" t="str">
        <f>_xlfn.XLOOKUP(A799, Matches!A:A, Matches!L:L, "NA", 0)</f>
        <v>UPW</v>
      </c>
      <c r="X799" t="str">
        <f>_xlfn.XLOOKUP(A799, Matches!A:A, Matches!J:J, "NA", 0)</f>
        <v>UPW</v>
      </c>
      <c r="Y799" t="str">
        <f>_xlfn.XLOOKUP(A799, Matches!A:A, Matches!F:F, "NA", 0)</f>
        <v>Arun Jaitley Stadium</v>
      </c>
      <c r="Z799" cm="1">
        <f t="array" ref="Z799">INDEX(Innings!F:F,MATCH(1,(TRIM(Innings!A:A)=TRIM(A799))*(TRIM(Innings!D:D)=TRIM(E799)),0))</f>
        <v>138</v>
      </c>
      <c r="AA799" cm="1">
        <f t="array" ref="AA799">INDEX(Innings!I:I,MATCH(1,(TRIM(Innings!A:A)=TRIM(A799))*(TRIM(Innings!D:D)=TRIM(E799)),0))</f>
        <v>6.9</v>
      </c>
      <c r="AB799" cm="1">
        <f t="array" ref="AB799">INDEX(Innings!J:J,MATCH(1,(TRIM(Innings!A:A)=TRIM(A799))*(TRIM(Innings!D:D)=TRIM(E799)),0))</f>
        <v>44</v>
      </c>
      <c r="AC799" cm="1">
        <f t="array" ref="AC799">INDEX(Innings!N:N,MATCH(1,(TRIM(Innings!A:A)=TRIM(A799))*(TRIM(Innings!D:D)=TRIM(E799)),0))</f>
        <v>29</v>
      </c>
      <c r="AD799" cm="1">
        <f t="array" ref="AD799">INDEX(Innings!S:S,MATCH(1,(TRIM(Innings!A:A)=TRIM(A799))*(TRIM(Innings!D:D)=TRIM(E799)),0))</f>
        <v>40</v>
      </c>
      <c r="AE799" t="str" cm="1">
        <f t="array" ref="AE799">INDEX(Innings!W:W,MATCH(1,(TRIM(Innings!A:A)=TRIM(A799))*(TRIM(Innings!D:D)=TRIM(E799)),0))</f>
        <v>NA</v>
      </c>
      <c r="AF799">
        <f>IF(UPPER(TRIM(E799))=UPPER(TRIM(W799)),1,0)</f>
        <v>1</v>
      </c>
      <c r="AG799">
        <f t="shared" si="24"/>
        <v>20</v>
      </c>
    </row>
    <row r="800" spans="1:33" x14ac:dyDescent="0.3">
      <c r="A800" t="s">
        <v>362</v>
      </c>
      <c r="B800">
        <v>2</v>
      </c>
      <c r="C800" t="s">
        <v>233</v>
      </c>
      <c r="D800" t="s">
        <v>234</v>
      </c>
      <c r="E800" t="s">
        <v>219</v>
      </c>
      <c r="F800" t="s">
        <v>101</v>
      </c>
      <c r="G800" t="s">
        <v>134</v>
      </c>
      <c r="H800">
        <v>8</v>
      </c>
      <c r="I800">
        <v>7</v>
      </c>
      <c r="J800">
        <v>114.29</v>
      </c>
      <c r="K800" t="s">
        <v>248</v>
      </c>
      <c r="L800">
        <v>9.6</v>
      </c>
      <c r="M800">
        <v>4</v>
      </c>
      <c r="N800">
        <v>0</v>
      </c>
      <c r="O800">
        <v>15</v>
      </c>
      <c r="P800">
        <v>1</v>
      </c>
      <c r="Q800">
        <v>3.8</v>
      </c>
      <c r="R800">
        <v>35</v>
      </c>
      <c r="S800">
        <v>0</v>
      </c>
      <c r="T800">
        <v>0</v>
      </c>
      <c r="U800">
        <v>44.6</v>
      </c>
      <c r="V800" s="8">
        <f t="shared" si="25"/>
        <v>4</v>
      </c>
      <c r="W800" t="str">
        <f>_xlfn.XLOOKUP(A800, Matches!A:A, Matches!L:L, "NA", 0)</f>
        <v>UPW</v>
      </c>
      <c r="X800" t="str">
        <f>_xlfn.XLOOKUP(A800, Matches!A:A, Matches!J:J, "NA", 0)</f>
        <v>UPW</v>
      </c>
      <c r="Y800" t="str">
        <f>_xlfn.XLOOKUP(A800, Matches!A:A, Matches!F:F, "NA", 0)</f>
        <v>Arun Jaitley Stadium</v>
      </c>
      <c r="Z800" cm="1">
        <f t="array" ref="Z800">INDEX(Innings!F:F,MATCH(1,(TRIM(Innings!A:A)=TRIM(A800))*(TRIM(Innings!D:D)=TRIM(E800)),0))</f>
        <v>138</v>
      </c>
      <c r="AA800" cm="1">
        <f t="array" ref="AA800">INDEX(Innings!I:I,MATCH(1,(TRIM(Innings!A:A)=TRIM(A800))*(TRIM(Innings!D:D)=TRIM(E800)),0))</f>
        <v>6.9</v>
      </c>
      <c r="AB800" cm="1">
        <f t="array" ref="AB800">INDEX(Innings!J:J,MATCH(1,(TRIM(Innings!A:A)=TRIM(A800))*(TRIM(Innings!D:D)=TRIM(E800)),0))</f>
        <v>44</v>
      </c>
      <c r="AC800" cm="1">
        <f t="array" ref="AC800">INDEX(Innings!N:N,MATCH(1,(TRIM(Innings!A:A)=TRIM(A800))*(TRIM(Innings!D:D)=TRIM(E800)),0))</f>
        <v>29</v>
      </c>
      <c r="AD800" cm="1">
        <f t="array" ref="AD800">INDEX(Innings!S:S,MATCH(1,(TRIM(Innings!A:A)=TRIM(A800))*(TRIM(Innings!D:D)=TRIM(E800)),0))</f>
        <v>40</v>
      </c>
      <c r="AE800" t="str" cm="1">
        <f t="array" ref="AE800">INDEX(Innings!W:W,MATCH(1,(TRIM(Innings!A:A)=TRIM(A800))*(TRIM(Innings!D:D)=TRIM(E800)),0))</f>
        <v>NA</v>
      </c>
      <c r="AF800">
        <f>IF(UPPER(TRIM(E800))=UPPER(TRIM(W800)),1,0)</f>
        <v>1</v>
      </c>
      <c r="AG800">
        <f t="shared" si="24"/>
        <v>43.5</v>
      </c>
    </row>
    <row r="801" spans="1:33" x14ac:dyDescent="0.3">
      <c r="A801" t="s">
        <v>362</v>
      </c>
      <c r="B801">
        <v>2</v>
      </c>
      <c r="C801" t="s">
        <v>377</v>
      </c>
      <c r="D801" t="s">
        <v>378</v>
      </c>
      <c r="E801" t="s">
        <v>219</v>
      </c>
      <c r="F801" t="s">
        <v>169</v>
      </c>
      <c r="G801" t="s">
        <v>134</v>
      </c>
      <c r="H801">
        <v>5</v>
      </c>
      <c r="I801">
        <v>7</v>
      </c>
      <c r="J801">
        <v>71.430000000000007</v>
      </c>
      <c r="K801" t="s">
        <v>96</v>
      </c>
      <c r="L801">
        <v>6.3</v>
      </c>
      <c r="M801">
        <v>4</v>
      </c>
      <c r="N801">
        <v>0</v>
      </c>
      <c r="O801">
        <v>30</v>
      </c>
      <c r="P801">
        <v>2</v>
      </c>
      <c r="Q801">
        <v>7.5</v>
      </c>
      <c r="R801">
        <v>50</v>
      </c>
      <c r="S801">
        <v>0</v>
      </c>
      <c r="T801">
        <v>0</v>
      </c>
      <c r="U801">
        <v>56.3</v>
      </c>
      <c r="V801" s="8">
        <f t="shared" si="25"/>
        <v>6</v>
      </c>
      <c r="W801" t="str">
        <f>_xlfn.XLOOKUP(A801, Matches!A:A, Matches!L:L, "NA", 0)</f>
        <v>UPW</v>
      </c>
      <c r="X801" t="str">
        <f>_xlfn.XLOOKUP(A801, Matches!A:A, Matches!J:J, "NA", 0)</f>
        <v>UPW</v>
      </c>
      <c r="Y801" t="str">
        <f>_xlfn.XLOOKUP(A801, Matches!A:A, Matches!F:F, "NA", 0)</f>
        <v>Arun Jaitley Stadium</v>
      </c>
      <c r="Z801" cm="1">
        <f t="array" ref="Z801">INDEX(Innings!F:F,MATCH(1,(TRIM(Innings!A:A)=TRIM(A801))*(TRIM(Innings!D:D)=TRIM(E801)),0))</f>
        <v>138</v>
      </c>
      <c r="AA801" cm="1">
        <f t="array" ref="AA801">INDEX(Innings!I:I,MATCH(1,(TRIM(Innings!A:A)=TRIM(A801))*(TRIM(Innings!D:D)=TRIM(E801)),0))</f>
        <v>6.9</v>
      </c>
      <c r="AB801" cm="1">
        <f t="array" ref="AB801">INDEX(Innings!J:J,MATCH(1,(TRIM(Innings!A:A)=TRIM(A801))*(TRIM(Innings!D:D)=TRIM(E801)),0))</f>
        <v>44</v>
      </c>
      <c r="AC801" cm="1">
        <f t="array" ref="AC801">INDEX(Innings!N:N,MATCH(1,(TRIM(Innings!A:A)=TRIM(A801))*(TRIM(Innings!D:D)=TRIM(E801)),0))</f>
        <v>29</v>
      </c>
      <c r="AD801" cm="1">
        <f t="array" ref="AD801">INDEX(Innings!S:S,MATCH(1,(TRIM(Innings!A:A)=TRIM(A801))*(TRIM(Innings!D:D)=TRIM(E801)),0))</f>
        <v>40</v>
      </c>
      <c r="AE801" t="str" cm="1">
        <f t="array" ref="AE801">INDEX(Innings!W:W,MATCH(1,(TRIM(Innings!A:A)=TRIM(A801))*(TRIM(Innings!D:D)=TRIM(E801)),0))</f>
        <v>NA</v>
      </c>
      <c r="AF801">
        <f>IF(UPPER(TRIM(E801))=UPPER(TRIM(W801)),1,0)</f>
        <v>1</v>
      </c>
      <c r="AG801">
        <f t="shared" si="24"/>
        <v>49.95</v>
      </c>
    </row>
    <row r="802" spans="1:33" x14ac:dyDescent="0.3">
      <c r="A802" t="s">
        <v>362</v>
      </c>
      <c r="B802">
        <v>2</v>
      </c>
      <c r="C802" t="s">
        <v>394</v>
      </c>
      <c r="D802" t="s">
        <v>395</v>
      </c>
      <c r="E802" t="s">
        <v>219</v>
      </c>
      <c r="F802" t="s">
        <v>101</v>
      </c>
      <c r="G802" t="s">
        <v>134</v>
      </c>
      <c r="H802">
        <v>1</v>
      </c>
      <c r="I802">
        <v>1</v>
      </c>
      <c r="J802">
        <v>100</v>
      </c>
      <c r="K802" t="s">
        <v>96</v>
      </c>
      <c r="L802">
        <v>5</v>
      </c>
      <c r="M802">
        <v>3</v>
      </c>
      <c r="N802">
        <v>0</v>
      </c>
      <c r="O802">
        <v>29</v>
      </c>
      <c r="P802">
        <v>0</v>
      </c>
      <c r="Q802">
        <v>9.6999999999999993</v>
      </c>
      <c r="R802">
        <v>0</v>
      </c>
      <c r="S802">
        <v>0</v>
      </c>
      <c r="T802">
        <v>0</v>
      </c>
      <c r="U802">
        <v>5</v>
      </c>
      <c r="V802" s="8">
        <f t="shared" si="25"/>
        <v>1</v>
      </c>
      <c r="W802" t="str">
        <f>_xlfn.XLOOKUP(A802, Matches!A:A, Matches!L:L, "NA", 0)</f>
        <v>UPW</v>
      </c>
      <c r="X802" t="str">
        <f>_xlfn.XLOOKUP(A802, Matches!A:A, Matches!J:J, "NA", 0)</f>
        <v>UPW</v>
      </c>
      <c r="Y802" t="str">
        <f>_xlfn.XLOOKUP(A802, Matches!A:A, Matches!F:F, "NA", 0)</f>
        <v>Arun Jaitley Stadium</v>
      </c>
      <c r="Z802" cm="1">
        <f t="array" ref="Z802">INDEX(Innings!F:F,MATCH(1,(TRIM(Innings!A:A)=TRIM(A802))*(TRIM(Innings!D:D)=TRIM(E802)),0))</f>
        <v>138</v>
      </c>
      <c r="AA802" cm="1">
        <f t="array" ref="AA802">INDEX(Innings!I:I,MATCH(1,(TRIM(Innings!A:A)=TRIM(A802))*(TRIM(Innings!D:D)=TRIM(E802)),0))</f>
        <v>6.9</v>
      </c>
      <c r="AB802" cm="1">
        <f t="array" ref="AB802">INDEX(Innings!J:J,MATCH(1,(TRIM(Innings!A:A)=TRIM(A802))*(TRIM(Innings!D:D)=TRIM(E802)),0))</f>
        <v>44</v>
      </c>
      <c r="AC802" cm="1">
        <f t="array" ref="AC802">INDEX(Innings!N:N,MATCH(1,(TRIM(Innings!A:A)=TRIM(A802))*(TRIM(Innings!D:D)=TRIM(E802)),0))</f>
        <v>29</v>
      </c>
      <c r="AD802" cm="1">
        <f t="array" ref="AD802">INDEX(Innings!S:S,MATCH(1,(TRIM(Innings!A:A)=TRIM(A802))*(TRIM(Innings!D:D)=TRIM(E802)),0))</f>
        <v>40</v>
      </c>
      <c r="AE802" t="str" cm="1">
        <f t="array" ref="AE802">INDEX(Innings!W:W,MATCH(1,(TRIM(Innings!A:A)=TRIM(A802))*(TRIM(Innings!D:D)=TRIM(E802)),0))</f>
        <v>NA</v>
      </c>
      <c r="AF802">
        <f>IF(UPPER(TRIM(E802))=UPPER(TRIM(W802)),1,0)</f>
        <v>1</v>
      </c>
      <c r="AG802">
        <f t="shared" si="24"/>
        <v>22.8</v>
      </c>
    </row>
    <row r="803" spans="1:33" x14ac:dyDescent="0.3">
      <c r="A803" t="s">
        <v>362</v>
      </c>
      <c r="B803">
        <v>2</v>
      </c>
      <c r="C803" t="s">
        <v>237</v>
      </c>
      <c r="D803" t="s">
        <v>238</v>
      </c>
      <c r="E803" t="s">
        <v>219</v>
      </c>
      <c r="F803" t="s">
        <v>101</v>
      </c>
      <c r="G803" t="s">
        <v>104</v>
      </c>
      <c r="H803">
        <v>0</v>
      </c>
      <c r="I803">
        <v>0</v>
      </c>
      <c r="J803">
        <v>0</v>
      </c>
      <c r="K803" t="s">
        <v>104</v>
      </c>
      <c r="L803">
        <v>0</v>
      </c>
      <c r="M803">
        <v>2</v>
      </c>
      <c r="N803">
        <v>0</v>
      </c>
      <c r="O803">
        <v>17</v>
      </c>
      <c r="P803">
        <v>0</v>
      </c>
      <c r="Q803">
        <v>8.5</v>
      </c>
      <c r="R803">
        <v>0</v>
      </c>
      <c r="S803">
        <v>0</v>
      </c>
      <c r="T803">
        <v>0</v>
      </c>
      <c r="U803">
        <v>0</v>
      </c>
      <c r="V803" s="8">
        <f t="shared" si="25"/>
        <v>0</v>
      </c>
      <c r="W803" t="str">
        <f>_xlfn.XLOOKUP(A803, Matches!A:A, Matches!L:L, "NA", 0)</f>
        <v>UPW</v>
      </c>
      <c r="X803" t="str">
        <f>_xlfn.XLOOKUP(A803, Matches!A:A, Matches!J:J, "NA", 0)</f>
        <v>UPW</v>
      </c>
      <c r="Y803" t="str">
        <f>_xlfn.XLOOKUP(A803, Matches!A:A, Matches!F:F, "NA", 0)</f>
        <v>Arun Jaitley Stadium</v>
      </c>
      <c r="Z803" cm="1">
        <f t="array" ref="Z803">INDEX(Innings!F:F,MATCH(1,(TRIM(Innings!A:A)=TRIM(A803))*(TRIM(Innings!D:D)=TRIM(E803)),0))</f>
        <v>138</v>
      </c>
      <c r="AA803" cm="1">
        <f t="array" ref="AA803">INDEX(Innings!I:I,MATCH(1,(TRIM(Innings!A:A)=TRIM(A803))*(TRIM(Innings!D:D)=TRIM(E803)),0))</f>
        <v>6.9</v>
      </c>
      <c r="AB803" cm="1">
        <f t="array" ref="AB803">INDEX(Innings!J:J,MATCH(1,(TRIM(Innings!A:A)=TRIM(A803))*(TRIM(Innings!D:D)=TRIM(E803)),0))</f>
        <v>44</v>
      </c>
      <c r="AC803" cm="1">
        <f t="array" ref="AC803">INDEX(Innings!N:N,MATCH(1,(TRIM(Innings!A:A)=TRIM(A803))*(TRIM(Innings!D:D)=TRIM(E803)),0))</f>
        <v>29</v>
      </c>
      <c r="AD803" cm="1">
        <f t="array" ref="AD803">INDEX(Innings!S:S,MATCH(1,(TRIM(Innings!A:A)=TRIM(A803))*(TRIM(Innings!D:D)=TRIM(E803)),0))</f>
        <v>40</v>
      </c>
      <c r="AE803" t="str" cm="1">
        <f t="array" ref="AE803">INDEX(Innings!W:W,MATCH(1,(TRIM(Innings!A:A)=TRIM(A803))*(TRIM(Innings!D:D)=TRIM(E803)),0))</f>
        <v>NA</v>
      </c>
      <c r="AF803">
        <f>IF(UPPER(TRIM(E803))=UPPER(TRIM(W803)),1,0)</f>
        <v>1</v>
      </c>
      <c r="AG803">
        <f t="shared" si="24"/>
        <v>20</v>
      </c>
    </row>
    <row r="804" spans="1:33" x14ac:dyDescent="0.3">
      <c r="A804" t="s">
        <v>362</v>
      </c>
      <c r="B804">
        <v>2</v>
      </c>
      <c r="C804" t="s">
        <v>190</v>
      </c>
      <c r="D804" t="s">
        <v>191</v>
      </c>
      <c r="E804" t="s">
        <v>158</v>
      </c>
      <c r="F804" t="s">
        <v>109</v>
      </c>
      <c r="G804" t="s">
        <v>86</v>
      </c>
      <c r="H804">
        <v>60</v>
      </c>
      <c r="I804">
        <v>46</v>
      </c>
      <c r="J804">
        <v>130.43</v>
      </c>
      <c r="K804" t="s">
        <v>247</v>
      </c>
      <c r="L804">
        <v>64.7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64.7</v>
      </c>
      <c r="V804" s="8">
        <f t="shared" si="25"/>
        <v>6</v>
      </c>
      <c r="W804" t="str">
        <f>_xlfn.XLOOKUP(A804, Matches!A:A, Matches!L:L, "NA", 0)</f>
        <v>UPW</v>
      </c>
      <c r="X804" t="str">
        <f>_xlfn.XLOOKUP(A804, Matches!A:A, Matches!J:J, "NA", 0)</f>
        <v>UPW</v>
      </c>
      <c r="Y804" t="str">
        <f>_xlfn.XLOOKUP(A804, Matches!A:A, Matches!F:F, "NA", 0)</f>
        <v>Arun Jaitley Stadium</v>
      </c>
      <c r="Z804" cm="1">
        <f t="array" ref="Z804">INDEX(Innings!F:F,MATCH(1,(TRIM(Innings!A:A)=TRIM(A804))*(TRIM(Innings!D:D)=TRIM(E804)),0))</f>
        <v>137</v>
      </c>
      <c r="AA804" cm="1">
        <f t="array" ref="AA804">INDEX(Innings!I:I,MATCH(1,(TRIM(Innings!A:A)=TRIM(A804))*(TRIM(Innings!D:D)=TRIM(E804)),0))</f>
        <v>6.91</v>
      </c>
      <c r="AB804" cm="1">
        <f t="array" ref="AB804">INDEX(Innings!J:J,MATCH(1,(TRIM(Innings!A:A)=TRIM(A804))*(TRIM(Innings!D:D)=TRIM(E804)),0))</f>
        <v>35</v>
      </c>
      <c r="AC804" cm="1">
        <f t="array" ref="AC804">INDEX(Innings!N:N,MATCH(1,(TRIM(Innings!A:A)=TRIM(A804))*(TRIM(Innings!D:D)=TRIM(E804)),0))</f>
        <v>26</v>
      </c>
      <c r="AD804" cm="1">
        <f t="array" ref="AD804">INDEX(Innings!S:S,MATCH(1,(TRIM(Innings!A:A)=TRIM(A804))*(TRIM(Innings!D:D)=TRIM(E804)),0))</f>
        <v>48</v>
      </c>
      <c r="AE804" t="str" cm="1">
        <f t="array" ref="AE804">INDEX(Innings!W:W,MATCH(1,(TRIM(Innings!A:A)=TRIM(A804))*(TRIM(Innings!D:D)=TRIM(E804)),0))</f>
        <v>Failed</v>
      </c>
      <c r="AF804">
        <f>IF(UPPER(TRIM(E804))=UPPER(TRIM(W804)),1,0)</f>
        <v>0</v>
      </c>
      <c r="AG804">
        <f t="shared" si="24"/>
        <v>34.15</v>
      </c>
    </row>
    <row r="805" spans="1:33" x14ac:dyDescent="0.3">
      <c r="A805" t="s">
        <v>362</v>
      </c>
      <c r="B805">
        <v>2</v>
      </c>
      <c r="C805" t="s">
        <v>188</v>
      </c>
      <c r="D805" t="s">
        <v>189</v>
      </c>
      <c r="E805" t="s">
        <v>158</v>
      </c>
      <c r="F805" t="s">
        <v>109</v>
      </c>
      <c r="G805" t="s">
        <v>86</v>
      </c>
      <c r="H805">
        <v>15</v>
      </c>
      <c r="I805">
        <v>12</v>
      </c>
      <c r="J805">
        <v>125</v>
      </c>
      <c r="K805" t="s">
        <v>245</v>
      </c>
      <c r="L805">
        <v>16.5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16.5</v>
      </c>
      <c r="V805" s="8">
        <f t="shared" si="25"/>
        <v>2</v>
      </c>
      <c r="W805" t="str">
        <f>_xlfn.XLOOKUP(A805, Matches!A:A, Matches!L:L, "NA", 0)</f>
        <v>UPW</v>
      </c>
      <c r="X805" t="str">
        <f>_xlfn.XLOOKUP(A805, Matches!A:A, Matches!J:J, "NA", 0)</f>
        <v>UPW</v>
      </c>
      <c r="Y805" t="str">
        <f>_xlfn.XLOOKUP(A805, Matches!A:A, Matches!F:F, "NA", 0)</f>
        <v>Arun Jaitley Stadium</v>
      </c>
      <c r="Z805" cm="1">
        <f t="array" ref="Z805">INDEX(Innings!F:F,MATCH(1,(TRIM(Innings!A:A)=TRIM(A805))*(TRIM(Innings!D:D)=TRIM(E805)),0))</f>
        <v>137</v>
      </c>
      <c r="AA805" cm="1">
        <f t="array" ref="AA805">INDEX(Innings!I:I,MATCH(1,(TRIM(Innings!A:A)=TRIM(A805))*(TRIM(Innings!D:D)=TRIM(E805)),0))</f>
        <v>6.91</v>
      </c>
      <c r="AB805" cm="1">
        <f t="array" ref="AB805">INDEX(Innings!J:J,MATCH(1,(TRIM(Innings!A:A)=TRIM(A805))*(TRIM(Innings!D:D)=TRIM(E805)),0))</f>
        <v>35</v>
      </c>
      <c r="AC805" cm="1">
        <f t="array" ref="AC805">INDEX(Innings!N:N,MATCH(1,(TRIM(Innings!A:A)=TRIM(A805))*(TRIM(Innings!D:D)=TRIM(E805)),0))</f>
        <v>26</v>
      </c>
      <c r="AD805" cm="1">
        <f t="array" ref="AD805">INDEX(Innings!S:S,MATCH(1,(TRIM(Innings!A:A)=TRIM(A805))*(TRIM(Innings!D:D)=TRIM(E805)),0))</f>
        <v>48</v>
      </c>
      <c r="AE805" t="str" cm="1">
        <f t="array" ref="AE805">INDEX(Innings!W:W,MATCH(1,(TRIM(Innings!A:A)=TRIM(A805))*(TRIM(Innings!D:D)=TRIM(E805)),0))</f>
        <v>Failed</v>
      </c>
      <c r="AF805">
        <f>IF(UPPER(TRIM(E805))=UPPER(TRIM(W805)),1,0)</f>
        <v>0</v>
      </c>
      <c r="AG805">
        <f t="shared" si="24"/>
        <v>8.85</v>
      </c>
    </row>
    <row r="806" spans="1:33" x14ac:dyDescent="0.3">
      <c r="A806" t="s">
        <v>362</v>
      </c>
      <c r="B806">
        <v>2</v>
      </c>
      <c r="C806" t="s">
        <v>196</v>
      </c>
      <c r="D806" t="s">
        <v>197</v>
      </c>
      <c r="E806" t="s">
        <v>158</v>
      </c>
      <c r="F806" t="s">
        <v>109</v>
      </c>
      <c r="G806" t="s">
        <v>92</v>
      </c>
      <c r="H806">
        <v>15</v>
      </c>
      <c r="I806">
        <v>23</v>
      </c>
      <c r="J806">
        <v>65.22</v>
      </c>
      <c r="K806" t="s">
        <v>246</v>
      </c>
      <c r="L806">
        <v>4.5</v>
      </c>
      <c r="M806">
        <v>1</v>
      </c>
      <c r="N806">
        <v>0</v>
      </c>
      <c r="O806">
        <v>5</v>
      </c>
      <c r="P806">
        <v>1</v>
      </c>
      <c r="Q806">
        <v>5</v>
      </c>
      <c r="R806">
        <v>35</v>
      </c>
      <c r="S806">
        <v>0</v>
      </c>
      <c r="T806">
        <v>0</v>
      </c>
      <c r="U806">
        <v>39.5</v>
      </c>
      <c r="V806" s="8">
        <f t="shared" si="25"/>
        <v>4</v>
      </c>
      <c r="W806" t="str">
        <f>_xlfn.XLOOKUP(A806, Matches!A:A, Matches!L:L, "NA", 0)</f>
        <v>UPW</v>
      </c>
      <c r="X806" t="str">
        <f>_xlfn.XLOOKUP(A806, Matches!A:A, Matches!J:J, "NA", 0)</f>
        <v>UPW</v>
      </c>
      <c r="Y806" t="str">
        <f>_xlfn.XLOOKUP(A806, Matches!A:A, Matches!F:F, "NA", 0)</f>
        <v>Arun Jaitley Stadium</v>
      </c>
      <c r="Z806" cm="1">
        <f t="array" ref="Z806">INDEX(Innings!F:F,MATCH(1,(TRIM(Innings!A:A)=TRIM(A806))*(TRIM(Innings!D:D)=TRIM(E806)),0))</f>
        <v>137</v>
      </c>
      <c r="AA806" cm="1">
        <f t="array" ref="AA806">INDEX(Innings!I:I,MATCH(1,(TRIM(Innings!A:A)=TRIM(A806))*(TRIM(Innings!D:D)=TRIM(E806)),0))</f>
        <v>6.91</v>
      </c>
      <c r="AB806" cm="1">
        <f t="array" ref="AB806">INDEX(Innings!J:J,MATCH(1,(TRIM(Innings!A:A)=TRIM(A806))*(TRIM(Innings!D:D)=TRIM(E806)),0))</f>
        <v>35</v>
      </c>
      <c r="AC806" cm="1">
        <f t="array" ref="AC806">INDEX(Innings!N:N,MATCH(1,(TRIM(Innings!A:A)=TRIM(A806))*(TRIM(Innings!D:D)=TRIM(E806)),0))</f>
        <v>26</v>
      </c>
      <c r="AD806" cm="1">
        <f t="array" ref="AD806">INDEX(Innings!S:S,MATCH(1,(TRIM(Innings!A:A)=TRIM(A806))*(TRIM(Innings!D:D)=TRIM(E806)),0))</f>
        <v>48</v>
      </c>
      <c r="AE806" t="str" cm="1">
        <f t="array" ref="AE806">INDEX(Innings!W:W,MATCH(1,(TRIM(Innings!A:A)=TRIM(A806))*(TRIM(Innings!D:D)=TRIM(E806)),0))</f>
        <v>Failed</v>
      </c>
      <c r="AF806">
        <f>IF(UPPER(TRIM(E806))=UPPER(TRIM(W806)),1,0)</f>
        <v>0</v>
      </c>
      <c r="AG806">
        <f t="shared" si="24"/>
        <v>20.95</v>
      </c>
    </row>
    <row r="807" spans="1:33" x14ac:dyDescent="0.3">
      <c r="A807" t="s">
        <v>362</v>
      </c>
      <c r="B807">
        <v>2</v>
      </c>
      <c r="C807" t="s">
        <v>194</v>
      </c>
      <c r="D807" t="s">
        <v>195</v>
      </c>
      <c r="E807" t="s">
        <v>158</v>
      </c>
      <c r="F807" t="s">
        <v>109</v>
      </c>
      <c r="G807" t="s">
        <v>92</v>
      </c>
      <c r="H807">
        <v>17</v>
      </c>
      <c r="I807">
        <v>15</v>
      </c>
      <c r="J807">
        <v>113.33</v>
      </c>
      <c r="K807" t="s">
        <v>246</v>
      </c>
      <c r="L807">
        <v>18.100000000000001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18.100000000000001</v>
      </c>
      <c r="V807" s="8">
        <f t="shared" si="25"/>
        <v>2</v>
      </c>
      <c r="W807" t="str">
        <f>_xlfn.XLOOKUP(A807, Matches!A:A, Matches!L:L, "NA", 0)</f>
        <v>UPW</v>
      </c>
      <c r="X807" t="str">
        <f>_xlfn.XLOOKUP(A807, Matches!A:A, Matches!J:J, "NA", 0)</f>
        <v>UPW</v>
      </c>
      <c r="Y807" t="str">
        <f>_xlfn.XLOOKUP(A807, Matches!A:A, Matches!F:F, "NA", 0)</f>
        <v>Arun Jaitley Stadium</v>
      </c>
      <c r="Z807" cm="1">
        <f t="array" ref="Z807">INDEX(Innings!F:F,MATCH(1,(TRIM(Innings!A:A)=TRIM(A807))*(TRIM(Innings!D:D)=TRIM(E807)),0))</f>
        <v>137</v>
      </c>
      <c r="AA807" cm="1">
        <f t="array" ref="AA807">INDEX(Innings!I:I,MATCH(1,(TRIM(Innings!A:A)=TRIM(A807))*(TRIM(Innings!D:D)=TRIM(E807)),0))</f>
        <v>6.91</v>
      </c>
      <c r="AB807" cm="1">
        <f t="array" ref="AB807">INDEX(Innings!J:J,MATCH(1,(TRIM(Innings!A:A)=TRIM(A807))*(TRIM(Innings!D:D)=TRIM(E807)),0))</f>
        <v>35</v>
      </c>
      <c r="AC807" cm="1">
        <f t="array" ref="AC807">INDEX(Innings!N:N,MATCH(1,(TRIM(Innings!A:A)=TRIM(A807))*(TRIM(Innings!D:D)=TRIM(E807)),0))</f>
        <v>26</v>
      </c>
      <c r="AD807" cm="1">
        <f t="array" ref="AD807">INDEX(Innings!S:S,MATCH(1,(TRIM(Innings!A:A)=TRIM(A807))*(TRIM(Innings!D:D)=TRIM(E807)),0))</f>
        <v>48</v>
      </c>
      <c r="AE807" t="str" cm="1">
        <f t="array" ref="AE807">INDEX(Innings!W:W,MATCH(1,(TRIM(Innings!A:A)=TRIM(A807))*(TRIM(Innings!D:D)=TRIM(E807)),0))</f>
        <v>Failed</v>
      </c>
      <c r="AF807">
        <f>IF(UPPER(TRIM(E807))=UPPER(TRIM(W807)),1,0)</f>
        <v>0</v>
      </c>
      <c r="AG807">
        <f t="shared" si="24"/>
        <v>9.65</v>
      </c>
    </row>
    <row r="808" spans="1:33" x14ac:dyDescent="0.3">
      <c r="A808" t="s">
        <v>362</v>
      </c>
      <c r="B808">
        <v>2</v>
      </c>
      <c r="C808" t="s">
        <v>94</v>
      </c>
      <c r="D808" t="s">
        <v>120</v>
      </c>
      <c r="E808" t="s">
        <v>158</v>
      </c>
      <c r="F808" t="s">
        <v>169</v>
      </c>
      <c r="G808" t="s">
        <v>134</v>
      </c>
      <c r="H808">
        <v>6</v>
      </c>
      <c r="I808">
        <v>9</v>
      </c>
      <c r="J808">
        <v>66.67</v>
      </c>
      <c r="K808" t="s">
        <v>245</v>
      </c>
      <c r="L808">
        <v>3</v>
      </c>
      <c r="M808">
        <v>2</v>
      </c>
      <c r="N808">
        <v>0</v>
      </c>
      <c r="O808">
        <v>12</v>
      </c>
      <c r="P808">
        <v>0</v>
      </c>
      <c r="Q808">
        <v>6</v>
      </c>
      <c r="R808">
        <v>10</v>
      </c>
      <c r="S808">
        <v>0</v>
      </c>
      <c r="T808">
        <v>0</v>
      </c>
      <c r="U808">
        <v>13</v>
      </c>
      <c r="V808" s="8">
        <f t="shared" si="25"/>
        <v>1</v>
      </c>
      <c r="W808" t="str">
        <f>_xlfn.XLOOKUP(A808, Matches!A:A, Matches!L:L, "NA", 0)</f>
        <v>UPW</v>
      </c>
      <c r="X808" t="str">
        <f>_xlfn.XLOOKUP(A808, Matches!A:A, Matches!J:J, "NA", 0)</f>
        <v>UPW</v>
      </c>
      <c r="Y808" t="str">
        <f>_xlfn.XLOOKUP(A808, Matches!A:A, Matches!F:F, "NA", 0)</f>
        <v>Arun Jaitley Stadium</v>
      </c>
      <c r="Z808" cm="1">
        <f t="array" ref="Z808">INDEX(Innings!F:F,MATCH(1,(TRIM(Innings!A:A)=TRIM(A808))*(TRIM(Innings!D:D)=TRIM(E808)),0))</f>
        <v>137</v>
      </c>
      <c r="AA808" cm="1">
        <f t="array" ref="AA808">INDEX(Innings!I:I,MATCH(1,(TRIM(Innings!A:A)=TRIM(A808))*(TRIM(Innings!D:D)=TRIM(E808)),0))</f>
        <v>6.91</v>
      </c>
      <c r="AB808" cm="1">
        <f t="array" ref="AB808">INDEX(Innings!J:J,MATCH(1,(TRIM(Innings!A:A)=TRIM(A808))*(TRIM(Innings!D:D)=TRIM(E808)),0))</f>
        <v>35</v>
      </c>
      <c r="AC808" cm="1">
        <f t="array" ref="AC808">INDEX(Innings!N:N,MATCH(1,(TRIM(Innings!A:A)=TRIM(A808))*(TRIM(Innings!D:D)=TRIM(E808)),0))</f>
        <v>26</v>
      </c>
      <c r="AD808" cm="1">
        <f t="array" ref="AD808">INDEX(Innings!S:S,MATCH(1,(TRIM(Innings!A:A)=TRIM(A808))*(TRIM(Innings!D:D)=TRIM(E808)),0))</f>
        <v>48</v>
      </c>
      <c r="AE808" t="str" cm="1">
        <f t="array" ref="AE808">INDEX(Innings!W:W,MATCH(1,(TRIM(Innings!A:A)=TRIM(A808))*(TRIM(Innings!D:D)=TRIM(E808)),0))</f>
        <v>Failed</v>
      </c>
      <c r="AF808">
        <f>IF(UPPER(TRIM(E808))=UPPER(TRIM(W808)),1,0)</f>
        <v>0</v>
      </c>
      <c r="AG808">
        <f t="shared" si="24"/>
        <v>6.8</v>
      </c>
    </row>
    <row r="809" spans="1:33" x14ac:dyDescent="0.3">
      <c r="A809" t="s">
        <v>362</v>
      </c>
      <c r="B809">
        <v>2</v>
      </c>
      <c r="C809" t="s">
        <v>198</v>
      </c>
      <c r="D809" t="s">
        <v>199</v>
      </c>
      <c r="E809" t="s">
        <v>158</v>
      </c>
      <c r="F809" t="s">
        <v>101</v>
      </c>
      <c r="G809" t="s">
        <v>134</v>
      </c>
      <c r="H809">
        <v>11</v>
      </c>
      <c r="I809">
        <v>5</v>
      </c>
      <c r="J809">
        <v>220</v>
      </c>
      <c r="K809" t="s">
        <v>256</v>
      </c>
      <c r="L809">
        <v>18</v>
      </c>
      <c r="M809">
        <v>4</v>
      </c>
      <c r="N809">
        <v>0</v>
      </c>
      <c r="O809">
        <v>31</v>
      </c>
      <c r="P809">
        <v>1</v>
      </c>
      <c r="Q809">
        <v>7.8</v>
      </c>
      <c r="R809">
        <v>25</v>
      </c>
      <c r="S809">
        <v>0</v>
      </c>
      <c r="T809">
        <v>0</v>
      </c>
      <c r="U809">
        <v>43</v>
      </c>
      <c r="V809" s="8">
        <f t="shared" si="25"/>
        <v>4</v>
      </c>
      <c r="W809" t="str">
        <f>_xlfn.XLOOKUP(A809, Matches!A:A, Matches!L:L, "NA", 0)</f>
        <v>UPW</v>
      </c>
      <c r="X809" t="str">
        <f>_xlfn.XLOOKUP(A809, Matches!A:A, Matches!J:J, "NA", 0)</f>
        <v>UPW</v>
      </c>
      <c r="Y809" t="str">
        <f>_xlfn.XLOOKUP(A809, Matches!A:A, Matches!F:F, "NA", 0)</f>
        <v>Arun Jaitley Stadium</v>
      </c>
      <c r="Z809" cm="1">
        <f t="array" ref="Z809">INDEX(Innings!F:F,MATCH(1,(TRIM(Innings!A:A)=TRIM(A809))*(TRIM(Innings!D:D)=TRIM(E809)),0))</f>
        <v>137</v>
      </c>
      <c r="AA809" cm="1">
        <f t="array" ref="AA809">INDEX(Innings!I:I,MATCH(1,(TRIM(Innings!A:A)=TRIM(A809))*(TRIM(Innings!D:D)=TRIM(E809)),0))</f>
        <v>6.91</v>
      </c>
      <c r="AB809" cm="1">
        <f t="array" ref="AB809">INDEX(Innings!J:J,MATCH(1,(TRIM(Innings!A:A)=TRIM(A809))*(TRIM(Innings!D:D)=TRIM(E809)),0))</f>
        <v>35</v>
      </c>
      <c r="AC809" cm="1">
        <f t="array" ref="AC809">INDEX(Innings!N:N,MATCH(1,(TRIM(Innings!A:A)=TRIM(A809))*(TRIM(Innings!D:D)=TRIM(E809)),0))</f>
        <v>26</v>
      </c>
      <c r="AD809" cm="1">
        <f t="array" ref="AD809">INDEX(Innings!S:S,MATCH(1,(TRIM(Innings!A:A)=TRIM(A809))*(TRIM(Innings!D:D)=TRIM(E809)),0))</f>
        <v>48</v>
      </c>
      <c r="AE809" t="str" cm="1">
        <f t="array" ref="AE809">INDEX(Innings!W:W,MATCH(1,(TRIM(Innings!A:A)=TRIM(A809))*(TRIM(Innings!D:D)=TRIM(E809)),0))</f>
        <v>Failed</v>
      </c>
      <c r="AF809">
        <f>IF(UPPER(TRIM(E809))=UPPER(TRIM(W809)),1,0)</f>
        <v>0</v>
      </c>
      <c r="AG809">
        <f t="shared" si="24"/>
        <v>22.7</v>
      </c>
    </row>
    <row r="810" spans="1:33" x14ac:dyDescent="0.3">
      <c r="A810" t="s">
        <v>362</v>
      </c>
      <c r="B810">
        <v>2</v>
      </c>
      <c r="C810" t="s">
        <v>202</v>
      </c>
      <c r="D810" t="s">
        <v>203</v>
      </c>
      <c r="E810" t="s">
        <v>158</v>
      </c>
      <c r="F810" t="s">
        <v>101</v>
      </c>
      <c r="G810" t="s">
        <v>134</v>
      </c>
      <c r="H810">
        <v>0</v>
      </c>
      <c r="I810">
        <v>1</v>
      </c>
      <c r="J810">
        <v>0</v>
      </c>
      <c r="K810" t="s">
        <v>246</v>
      </c>
      <c r="L810">
        <v>-5</v>
      </c>
      <c r="M810">
        <v>3</v>
      </c>
      <c r="N810">
        <v>0</v>
      </c>
      <c r="O810">
        <v>15</v>
      </c>
      <c r="P810">
        <v>1</v>
      </c>
      <c r="Q810">
        <v>5</v>
      </c>
      <c r="R810">
        <v>35</v>
      </c>
      <c r="S810">
        <v>0</v>
      </c>
      <c r="T810">
        <v>0</v>
      </c>
      <c r="U810">
        <v>30</v>
      </c>
      <c r="V810" s="8">
        <f t="shared" si="25"/>
        <v>3</v>
      </c>
      <c r="W810" t="str">
        <f>_xlfn.XLOOKUP(A810, Matches!A:A, Matches!L:L, "NA", 0)</f>
        <v>UPW</v>
      </c>
      <c r="X810" t="str">
        <f>_xlfn.XLOOKUP(A810, Matches!A:A, Matches!J:J, "NA", 0)</f>
        <v>UPW</v>
      </c>
      <c r="Y810" t="str">
        <f>_xlfn.XLOOKUP(A810, Matches!A:A, Matches!F:F, "NA", 0)</f>
        <v>Arun Jaitley Stadium</v>
      </c>
      <c r="Z810" cm="1">
        <f t="array" ref="Z810">INDEX(Innings!F:F,MATCH(1,(TRIM(Innings!A:A)=TRIM(A810))*(TRIM(Innings!D:D)=TRIM(E810)),0))</f>
        <v>137</v>
      </c>
      <c r="AA810" cm="1">
        <f t="array" ref="AA810">INDEX(Innings!I:I,MATCH(1,(TRIM(Innings!A:A)=TRIM(A810))*(TRIM(Innings!D:D)=TRIM(E810)),0))</f>
        <v>6.91</v>
      </c>
      <c r="AB810" cm="1">
        <f t="array" ref="AB810">INDEX(Innings!J:J,MATCH(1,(TRIM(Innings!A:A)=TRIM(A810))*(TRIM(Innings!D:D)=TRIM(E810)),0))</f>
        <v>35</v>
      </c>
      <c r="AC810" cm="1">
        <f t="array" ref="AC810">INDEX(Innings!N:N,MATCH(1,(TRIM(Innings!A:A)=TRIM(A810))*(TRIM(Innings!D:D)=TRIM(E810)),0))</f>
        <v>26</v>
      </c>
      <c r="AD810" cm="1">
        <f t="array" ref="AD810">INDEX(Innings!S:S,MATCH(1,(TRIM(Innings!A:A)=TRIM(A810))*(TRIM(Innings!D:D)=TRIM(E810)),0))</f>
        <v>48</v>
      </c>
      <c r="AE810" t="str" cm="1">
        <f t="array" ref="AE810">INDEX(Innings!W:W,MATCH(1,(TRIM(Innings!A:A)=TRIM(A810))*(TRIM(Innings!D:D)=TRIM(E810)),0))</f>
        <v>Failed</v>
      </c>
      <c r="AF810">
        <f>IF(UPPER(TRIM(E810))=UPPER(TRIM(W810)),1,0)</f>
        <v>0</v>
      </c>
      <c r="AG810">
        <f t="shared" si="24"/>
        <v>15.9</v>
      </c>
    </row>
    <row r="811" spans="1:33" x14ac:dyDescent="0.3">
      <c r="A811" t="s">
        <v>362</v>
      </c>
      <c r="B811">
        <v>2</v>
      </c>
      <c r="C811" t="s">
        <v>204</v>
      </c>
      <c r="D811" t="s">
        <v>205</v>
      </c>
      <c r="E811" t="s">
        <v>158</v>
      </c>
      <c r="F811" t="s">
        <v>101</v>
      </c>
      <c r="G811" t="s">
        <v>134</v>
      </c>
      <c r="H811">
        <v>4</v>
      </c>
      <c r="I811">
        <v>2</v>
      </c>
      <c r="J811">
        <v>200</v>
      </c>
      <c r="K811" t="s">
        <v>246</v>
      </c>
      <c r="L811">
        <v>8.6</v>
      </c>
      <c r="M811">
        <v>4</v>
      </c>
      <c r="N811">
        <v>0</v>
      </c>
      <c r="O811">
        <v>34</v>
      </c>
      <c r="P811">
        <v>1</v>
      </c>
      <c r="Q811">
        <v>8.5</v>
      </c>
      <c r="R811">
        <v>25</v>
      </c>
      <c r="S811">
        <v>0</v>
      </c>
      <c r="T811">
        <v>0</v>
      </c>
      <c r="U811">
        <v>33.6</v>
      </c>
      <c r="V811" s="8">
        <f t="shared" si="25"/>
        <v>3</v>
      </c>
      <c r="W811" t="str">
        <f>_xlfn.XLOOKUP(A811, Matches!A:A, Matches!L:L, "NA", 0)</f>
        <v>UPW</v>
      </c>
      <c r="X811" t="str">
        <f>_xlfn.XLOOKUP(A811, Matches!A:A, Matches!J:J, "NA", 0)</f>
        <v>UPW</v>
      </c>
      <c r="Y811" t="str">
        <f>_xlfn.XLOOKUP(A811, Matches!A:A, Matches!F:F, "NA", 0)</f>
        <v>Arun Jaitley Stadium</v>
      </c>
      <c r="Z811" cm="1">
        <f t="array" ref="Z811">INDEX(Innings!F:F,MATCH(1,(TRIM(Innings!A:A)=TRIM(A811))*(TRIM(Innings!D:D)=TRIM(E811)),0))</f>
        <v>137</v>
      </c>
      <c r="AA811" cm="1">
        <f t="array" ref="AA811">INDEX(Innings!I:I,MATCH(1,(TRIM(Innings!A:A)=TRIM(A811))*(TRIM(Innings!D:D)=TRIM(E811)),0))</f>
        <v>6.91</v>
      </c>
      <c r="AB811" cm="1">
        <f t="array" ref="AB811">INDEX(Innings!J:J,MATCH(1,(TRIM(Innings!A:A)=TRIM(A811))*(TRIM(Innings!D:D)=TRIM(E811)),0))</f>
        <v>35</v>
      </c>
      <c r="AC811" cm="1">
        <f t="array" ref="AC811">INDEX(Innings!N:N,MATCH(1,(TRIM(Innings!A:A)=TRIM(A811))*(TRIM(Innings!D:D)=TRIM(E811)),0))</f>
        <v>26</v>
      </c>
      <c r="AD811" cm="1">
        <f t="array" ref="AD811">INDEX(Innings!S:S,MATCH(1,(TRIM(Innings!A:A)=TRIM(A811))*(TRIM(Innings!D:D)=TRIM(E811)),0))</f>
        <v>48</v>
      </c>
      <c r="AE811" t="str" cm="1">
        <f t="array" ref="AE811">INDEX(Innings!W:W,MATCH(1,(TRIM(Innings!A:A)=TRIM(A811))*(TRIM(Innings!D:D)=TRIM(E811)),0))</f>
        <v>Failed</v>
      </c>
      <c r="AF811">
        <f>IF(UPPER(TRIM(E811))=UPPER(TRIM(W811)),1,0)</f>
        <v>0</v>
      </c>
      <c r="AG811">
        <f t="shared" si="24"/>
        <v>17.7</v>
      </c>
    </row>
    <row r="812" spans="1:33" x14ac:dyDescent="0.3">
      <c r="A812" t="s">
        <v>362</v>
      </c>
      <c r="B812">
        <v>2</v>
      </c>
      <c r="C812" t="s">
        <v>206</v>
      </c>
      <c r="D812" t="s">
        <v>207</v>
      </c>
      <c r="E812" t="s">
        <v>158</v>
      </c>
      <c r="F812" t="s">
        <v>101</v>
      </c>
      <c r="G812" t="s">
        <v>134</v>
      </c>
      <c r="H812">
        <v>9</v>
      </c>
      <c r="I812">
        <v>4</v>
      </c>
      <c r="J812">
        <v>225</v>
      </c>
      <c r="K812" t="s">
        <v>245</v>
      </c>
      <c r="L812">
        <v>16.2</v>
      </c>
      <c r="M812">
        <v>3</v>
      </c>
      <c r="N812">
        <v>0</v>
      </c>
      <c r="O812">
        <v>16</v>
      </c>
      <c r="P812">
        <v>2</v>
      </c>
      <c r="Q812">
        <v>5.3</v>
      </c>
      <c r="R812">
        <v>60</v>
      </c>
      <c r="S812">
        <v>0</v>
      </c>
      <c r="T812">
        <v>0</v>
      </c>
      <c r="U812">
        <v>76.2</v>
      </c>
      <c r="V812" s="8">
        <f t="shared" si="25"/>
        <v>8</v>
      </c>
      <c r="W812" t="str">
        <f>_xlfn.XLOOKUP(A812, Matches!A:A, Matches!L:L, "NA", 0)</f>
        <v>UPW</v>
      </c>
      <c r="X812" t="str">
        <f>_xlfn.XLOOKUP(A812, Matches!A:A, Matches!J:J, "NA", 0)</f>
        <v>UPW</v>
      </c>
      <c r="Y812" t="str">
        <f>_xlfn.XLOOKUP(A812, Matches!A:A, Matches!F:F, "NA", 0)</f>
        <v>Arun Jaitley Stadium</v>
      </c>
      <c r="Z812" cm="1">
        <f t="array" ref="Z812">INDEX(Innings!F:F,MATCH(1,(TRIM(Innings!A:A)=TRIM(A812))*(TRIM(Innings!D:D)=TRIM(E812)),0))</f>
        <v>137</v>
      </c>
      <c r="AA812" cm="1">
        <f t="array" ref="AA812">INDEX(Innings!I:I,MATCH(1,(TRIM(Innings!A:A)=TRIM(A812))*(TRIM(Innings!D:D)=TRIM(E812)),0))</f>
        <v>6.91</v>
      </c>
      <c r="AB812" cm="1">
        <f t="array" ref="AB812">INDEX(Innings!J:J,MATCH(1,(TRIM(Innings!A:A)=TRIM(A812))*(TRIM(Innings!D:D)=TRIM(E812)),0))</f>
        <v>35</v>
      </c>
      <c r="AC812" cm="1">
        <f t="array" ref="AC812">INDEX(Innings!N:N,MATCH(1,(TRIM(Innings!A:A)=TRIM(A812))*(TRIM(Innings!D:D)=TRIM(E812)),0))</f>
        <v>26</v>
      </c>
      <c r="AD812" cm="1">
        <f t="array" ref="AD812">INDEX(Innings!S:S,MATCH(1,(TRIM(Innings!A:A)=TRIM(A812))*(TRIM(Innings!D:D)=TRIM(E812)),0))</f>
        <v>48</v>
      </c>
      <c r="AE812" t="str" cm="1">
        <f t="array" ref="AE812">INDEX(Innings!W:W,MATCH(1,(TRIM(Innings!A:A)=TRIM(A812))*(TRIM(Innings!D:D)=TRIM(E812)),0))</f>
        <v>Failed</v>
      </c>
      <c r="AF812">
        <f>IF(UPPER(TRIM(E812))=UPPER(TRIM(W812)),1,0)</f>
        <v>0</v>
      </c>
      <c r="AG812">
        <f t="shared" si="24"/>
        <v>40.5</v>
      </c>
    </row>
    <row r="813" spans="1:33" x14ac:dyDescent="0.3">
      <c r="A813" t="s">
        <v>362</v>
      </c>
      <c r="B813">
        <v>2</v>
      </c>
      <c r="C813" t="s">
        <v>200</v>
      </c>
      <c r="D813" t="s">
        <v>201</v>
      </c>
      <c r="E813" t="s">
        <v>158</v>
      </c>
      <c r="F813" t="s">
        <v>85</v>
      </c>
      <c r="G813" t="s">
        <v>134</v>
      </c>
      <c r="H813">
        <v>0</v>
      </c>
      <c r="I813">
        <v>1</v>
      </c>
      <c r="J813">
        <v>0</v>
      </c>
      <c r="K813" t="s">
        <v>96</v>
      </c>
      <c r="L813">
        <v>5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5</v>
      </c>
      <c r="V813" s="8">
        <f t="shared" si="25"/>
        <v>1</v>
      </c>
      <c r="W813" t="str">
        <f>_xlfn.XLOOKUP(A813, Matches!A:A, Matches!L:L, "NA", 0)</f>
        <v>UPW</v>
      </c>
      <c r="X813" t="str">
        <f>_xlfn.XLOOKUP(A813, Matches!A:A, Matches!J:J, "NA", 0)</f>
        <v>UPW</v>
      </c>
      <c r="Y813" t="str">
        <f>_xlfn.XLOOKUP(A813, Matches!A:A, Matches!F:F, "NA", 0)</f>
        <v>Arun Jaitley Stadium</v>
      </c>
      <c r="Z813" cm="1">
        <f t="array" ref="Z813">INDEX(Innings!F:F,MATCH(1,(TRIM(Innings!A:A)=TRIM(A813))*(TRIM(Innings!D:D)=TRIM(E813)),0))</f>
        <v>137</v>
      </c>
      <c r="AA813" cm="1">
        <f t="array" ref="AA813">INDEX(Innings!I:I,MATCH(1,(TRIM(Innings!A:A)=TRIM(A813))*(TRIM(Innings!D:D)=TRIM(E813)),0))</f>
        <v>6.91</v>
      </c>
      <c r="AB813" cm="1">
        <f t="array" ref="AB813">INDEX(Innings!J:J,MATCH(1,(TRIM(Innings!A:A)=TRIM(A813))*(TRIM(Innings!D:D)=TRIM(E813)),0))</f>
        <v>35</v>
      </c>
      <c r="AC813" cm="1">
        <f t="array" ref="AC813">INDEX(Innings!N:N,MATCH(1,(TRIM(Innings!A:A)=TRIM(A813))*(TRIM(Innings!D:D)=TRIM(E813)),0))</f>
        <v>26</v>
      </c>
      <c r="AD813" cm="1">
        <f t="array" ref="AD813">INDEX(Innings!S:S,MATCH(1,(TRIM(Innings!A:A)=TRIM(A813))*(TRIM(Innings!D:D)=TRIM(E813)),0))</f>
        <v>48</v>
      </c>
      <c r="AE813" t="str" cm="1">
        <f t="array" ref="AE813">INDEX(Innings!W:W,MATCH(1,(TRIM(Innings!A:A)=TRIM(A813))*(TRIM(Innings!D:D)=TRIM(E813)),0))</f>
        <v>Failed</v>
      </c>
      <c r="AF813">
        <f>IF(UPPER(TRIM(E813))=UPPER(TRIM(W813)),1,0)</f>
        <v>0</v>
      </c>
      <c r="AG813">
        <f t="shared" si="24"/>
        <v>2.8</v>
      </c>
    </row>
    <row r="814" spans="1:33" x14ac:dyDescent="0.3">
      <c r="A814" t="s">
        <v>362</v>
      </c>
      <c r="B814">
        <v>2</v>
      </c>
      <c r="C814" t="s">
        <v>413</v>
      </c>
      <c r="D814" t="s">
        <v>423</v>
      </c>
      <c r="E814" t="s">
        <v>158</v>
      </c>
      <c r="F814" t="s">
        <v>101</v>
      </c>
      <c r="G814" t="s">
        <v>134</v>
      </c>
      <c r="H814">
        <v>0</v>
      </c>
      <c r="I814">
        <v>1</v>
      </c>
      <c r="J814">
        <v>0</v>
      </c>
      <c r="K814" t="s">
        <v>246</v>
      </c>
      <c r="L814">
        <v>-5</v>
      </c>
      <c r="M814">
        <v>3</v>
      </c>
      <c r="N814">
        <v>0</v>
      </c>
      <c r="O814">
        <v>23</v>
      </c>
      <c r="P814">
        <v>1</v>
      </c>
      <c r="Q814">
        <v>7.7</v>
      </c>
      <c r="R814">
        <v>25</v>
      </c>
      <c r="S814">
        <v>0</v>
      </c>
      <c r="T814">
        <v>0</v>
      </c>
      <c r="U814">
        <v>20</v>
      </c>
      <c r="V814" s="8">
        <f t="shared" si="25"/>
        <v>2</v>
      </c>
      <c r="W814" t="str">
        <f>_xlfn.XLOOKUP(A814, Matches!A:A, Matches!L:L, "NA", 0)</f>
        <v>UPW</v>
      </c>
      <c r="X814" t="str">
        <f>_xlfn.XLOOKUP(A814, Matches!A:A, Matches!J:J, "NA", 0)</f>
        <v>UPW</v>
      </c>
      <c r="Y814" t="str">
        <f>_xlfn.XLOOKUP(A814, Matches!A:A, Matches!F:F, "NA", 0)</f>
        <v>Arun Jaitley Stadium</v>
      </c>
      <c r="Z814" cm="1">
        <f t="array" ref="Z814">INDEX(Innings!F:F,MATCH(1,(TRIM(Innings!A:A)=TRIM(A814))*(TRIM(Innings!D:D)=TRIM(E814)),0))</f>
        <v>137</v>
      </c>
      <c r="AA814" cm="1">
        <f t="array" ref="AA814">INDEX(Innings!I:I,MATCH(1,(TRIM(Innings!A:A)=TRIM(A814))*(TRIM(Innings!D:D)=TRIM(E814)),0))</f>
        <v>6.91</v>
      </c>
      <c r="AB814" cm="1">
        <f t="array" ref="AB814">INDEX(Innings!J:J,MATCH(1,(TRIM(Innings!A:A)=TRIM(A814))*(TRIM(Innings!D:D)=TRIM(E814)),0))</f>
        <v>35</v>
      </c>
      <c r="AC814" cm="1">
        <f t="array" ref="AC814">INDEX(Innings!N:N,MATCH(1,(TRIM(Innings!A:A)=TRIM(A814))*(TRIM(Innings!D:D)=TRIM(E814)),0))</f>
        <v>26</v>
      </c>
      <c r="AD814" cm="1">
        <f t="array" ref="AD814">INDEX(Innings!S:S,MATCH(1,(TRIM(Innings!A:A)=TRIM(A814))*(TRIM(Innings!D:D)=TRIM(E814)),0))</f>
        <v>48</v>
      </c>
      <c r="AE814" t="str" cm="1">
        <f t="array" ref="AE814">INDEX(Innings!W:W,MATCH(1,(TRIM(Innings!A:A)=TRIM(A814))*(TRIM(Innings!D:D)=TRIM(E814)),0))</f>
        <v>Failed</v>
      </c>
      <c r="AF814">
        <f>IF(UPPER(TRIM(E814))=UPPER(TRIM(W814)),1,0)</f>
        <v>0</v>
      </c>
      <c r="AG814">
        <f t="shared" si="24"/>
        <v>10.6</v>
      </c>
    </row>
    <row r="815" spans="1:33" x14ac:dyDescent="0.3">
      <c r="A815" t="s">
        <v>363</v>
      </c>
      <c r="B815">
        <v>2</v>
      </c>
      <c r="C815" t="s">
        <v>278</v>
      </c>
      <c r="D815" t="s">
        <v>293</v>
      </c>
      <c r="E815" t="s">
        <v>258</v>
      </c>
      <c r="F815" t="s">
        <v>109</v>
      </c>
      <c r="G815" t="s">
        <v>86</v>
      </c>
      <c r="H815">
        <v>13</v>
      </c>
      <c r="I815">
        <v>14</v>
      </c>
      <c r="J815">
        <v>92.86</v>
      </c>
      <c r="K815" t="s">
        <v>246</v>
      </c>
      <c r="L815">
        <v>17.899999999999999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 s="8">
        <v>17.899999999999999</v>
      </c>
      <c r="V815" s="8">
        <f t="shared" si="25"/>
        <v>2</v>
      </c>
      <c r="W815" t="str">
        <f>_xlfn.XLOOKUP(A815, Matches!A:A, Matches!L:L, "NA", 0)</f>
        <v>MIW</v>
      </c>
      <c r="X815" t="str">
        <f>_xlfn.XLOOKUP(A815, Matches!A:A, Matches!J:J, "NA", 0)</f>
        <v>GGTW</v>
      </c>
      <c r="Y815" t="str">
        <f>_xlfn.XLOOKUP(A815, Matches!A:A, Matches!F:F, "NA", 0)</f>
        <v>Arun Jaitley Stadium</v>
      </c>
      <c r="Z815" cm="1">
        <f t="array" ref="Z815">INDEX(Innings!F:F,MATCH(1,(TRIM(Innings!A:A)=TRIM(A815))*(TRIM(Innings!D:D)=TRIM(E815)),0))</f>
        <v>190</v>
      </c>
      <c r="AA815" cm="1">
        <f t="array" ref="AA815">INDEX(Innings!I:I,MATCH(1,(TRIM(Innings!A:A)=TRIM(A815))*(TRIM(Innings!D:D)=TRIM(E815)),0))</f>
        <v>9.5</v>
      </c>
      <c r="AB815" cm="1">
        <f t="array" ref="AB815">INDEX(Innings!J:J,MATCH(1,(TRIM(Innings!A:A)=TRIM(A815))*(TRIM(Innings!D:D)=TRIM(E815)),0))</f>
        <v>52</v>
      </c>
      <c r="AC815" cm="1">
        <f t="array" ref="AC815">INDEX(Innings!N:N,MATCH(1,(TRIM(Innings!A:A)=TRIM(A815))*(TRIM(Innings!D:D)=TRIM(E815)),0))</f>
        <v>30</v>
      </c>
      <c r="AD815" cm="1">
        <f t="array" ref="AD815">INDEX(Innings!S:S,MATCH(1,(TRIM(Innings!A:A)=TRIM(A815))*(TRIM(Innings!D:D)=TRIM(E815)),0))</f>
        <v>34</v>
      </c>
      <c r="AE815" t="str" cm="1">
        <f t="array" ref="AE815">INDEX(Innings!W:W,MATCH(1,(TRIM(Innings!A:A)=TRIM(A815))*(TRIM(Innings!D:D)=TRIM(E815)),0))</f>
        <v>NA</v>
      </c>
      <c r="AF815">
        <f>IF(UPPER(TRIM(E815))=UPPER(TRIM(W815)),1,0)</f>
        <v>0</v>
      </c>
      <c r="AG815">
        <f t="shared" si="24"/>
        <v>9.5499999999999989</v>
      </c>
    </row>
    <row r="816" spans="1:33" x14ac:dyDescent="0.3">
      <c r="A816" t="s">
        <v>363</v>
      </c>
      <c r="B816">
        <v>2</v>
      </c>
      <c r="C816" t="s">
        <v>81</v>
      </c>
      <c r="D816" t="s">
        <v>114</v>
      </c>
      <c r="E816" t="s">
        <v>258</v>
      </c>
      <c r="F816" t="s">
        <v>85</v>
      </c>
      <c r="G816" t="s">
        <v>86</v>
      </c>
      <c r="H816">
        <v>66</v>
      </c>
      <c r="I816">
        <v>35</v>
      </c>
      <c r="J816">
        <v>188.57</v>
      </c>
      <c r="K816" t="s">
        <v>245</v>
      </c>
      <c r="L816">
        <v>77.400000000000006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 s="8">
        <v>77.400000000000006</v>
      </c>
      <c r="V816" s="8">
        <f t="shared" si="25"/>
        <v>8</v>
      </c>
      <c r="W816" t="str">
        <f>_xlfn.XLOOKUP(A816, Matches!A:A, Matches!L:L, "NA", 0)</f>
        <v>MIW</v>
      </c>
      <c r="X816" t="str">
        <f>_xlfn.XLOOKUP(A816, Matches!A:A, Matches!J:J, "NA", 0)</f>
        <v>GGTW</v>
      </c>
      <c r="Y816" t="str">
        <f>_xlfn.XLOOKUP(A816, Matches!A:A, Matches!F:F, "NA", 0)</f>
        <v>Arun Jaitley Stadium</v>
      </c>
      <c r="Z816" cm="1">
        <f t="array" ref="Z816">INDEX(Innings!F:F,MATCH(1,(TRIM(Innings!A:A)=TRIM(A816))*(TRIM(Innings!D:D)=TRIM(E816)),0))</f>
        <v>190</v>
      </c>
      <c r="AA816" cm="1">
        <f t="array" ref="AA816">INDEX(Innings!I:I,MATCH(1,(TRIM(Innings!A:A)=TRIM(A816))*(TRIM(Innings!D:D)=TRIM(E816)),0))</f>
        <v>9.5</v>
      </c>
      <c r="AB816" cm="1">
        <f t="array" ref="AB816">INDEX(Innings!J:J,MATCH(1,(TRIM(Innings!A:A)=TRIM(A816))*(TRIM(Innings!D:D)=TRIM(E816)),0))</f>
        <v>52</v>
      </c>
      <c r="AC816" cm="1">
        <f t="array" ref="AC816">INDEX(Innings!N:N,MATCH(1,(TRIM(Innings!A:A)=TRIM(A816))*(TRIM(Innings!D:D)=TRIM(E816)),0))</f>
        <v>30</v>
      </c>
      <c r="AD816" cm="1">
        <f t="array" ref="AD816">INDEX(Innings!S:S,MATCH(1,(TRIM(Innings!A:A)=TRIM(A816))*(TRIM(Innings!D:D)=TRIM(E816)),0))</f>
        <v>34</v>
      </c>
      <c r="AE816" t="str" cm="1">
        <f t="array" ref="AE816">INDEX(Innings!W:W,MATCH(1,(TRIM(Innings!A:A)=TRIM(A816))*(TRIM(Innings!D:D)=TRIM(E816)),0))</f>
        <v>NA</v>
      </c>
      <c r="AF816">
        <f>IF(UPPER(TRIM(E816))=UPPER(TRIM(W816)),1,0)</f>
        <v>0</v>
      </c>
      <c r="AG816">
        <f t="shared" si="24"/>
        <v>41.1</v>
      </c>
    </row>
    <row r="817" spans="1:33" x14ac:dyDescent="0.3">
      <c r="A817" t="s">
        <v>363</v>
      </c>
      <c r="B817">
        <v>2</v>
      </c>
      <c r="C817" t="s">
        <v>97</v>
      </c>
      <c r="D817" t="s">
        <v>122</v>
      </c>
      <c r="E817" t="s">
        <v>258</v>
      </c>
      <c r="F817" t="s">
        <v>109</v>
      </c>
      <c r="G817" t="s">
        <v>92</v>
      </c>
      <c r="H817">
        <v>74</v>
      </c>
      <c r="I817">
        <v>40</v>
      </c>
      <c r="J817">
        <v>185</v>
      </c>
      <c r="K817" t="s">
        <v>246</v>
      </c>
      <c r="L817">
        <v>82.5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 s="8">
        <v>82.5</v>
      </c>
      <c r="V817" s="8">
        <f t="shared" si="25"/>
        <v>8</v>
      </c>
      <c r="W817" t="str">
        <f>_xlfn.XLOOKUP(A817, Matches!A:A, Matches!L:L, "NA", 0)</f>
        <v>MIW</v>
      </c>
      <c r="X817" t="str">
        <f>_xlfn.XLOOKUP(A817, Matches!A:A, Matches!J:J, "NA", 0)</f>
        <v>GGTW</v>
      </c>
      <c r="Y817" t="str">
        <f>_xlfn.XLOOKUP(A817, Matches!A:A, Matches!F:F, "NA", 0)</f>
        <v>Arun Jaitley Stadium</v>
      </c>
      <c r="Z817" cm="1">
        <f t="array" ref="Z817">INDEX(Innings!F:F,MATCH(1,(TRIM(Innings!A:A)=TRIM(A817))*(TRIM(Innings!D:D)=TRIM(E817)),0))</f>
        <v>190</v>
      </c>
      <c r="AA817" cm="1">
        <f t="array" ref="AA817">INDEX(Innings!I:I,MATCH(1,(TRIM(Innings!A:A)=TRIM(A817))*(TRIM(Innings!D:D)=TRIM(E817)),0))</f>
        <v>9.5</v>
      </c>
      <c r="AB817" cm="1">
        <f t="array" ref="AB817">INDEX(Innings!J:J,MATCH(1,(TRIM(Innings!A:A)=TRIM(A817))*(TRIM(Innings!D:D)=TRIM(E817)),0))</f>
        <v>52</v>
      </c>
      <c r="AC817" cm="1">
        <f t="array" ref="AC817">INDEX(Innings!N:N,MATCH(1,(TRIM(Innings!A:A)=TRIM(A817))*(TRIM(Innings!D:D)=TRIM(E817)),0))</f>
        <v>30</v>
      </c>
      <c r="AD817" cm="1">
        <f t="array" ref="AD817">INDEX(Innings!S:S,MATCH(1,(TRIM(Innings!A:A)=TRIM(A817))*(TRIM(Innings!D:D)=TRIM(E817)),0))</f>
        <v>34</v>
      </c>
      <c r="AE817" t="str" cm="1">
        <f t="array" ref="AE817">INDEX(Innings!W:W,MATCH(1,(TRIM(Innings!A:A)=TRIM(A817))*(TRIM(Innings!D:D)=TRIM(E817)),0))</f>
        <v>NA</v>
      </c>
      <c r="AF817">
        <f>IF(UPPER(TRIM(E817))=UPPER(TRIM(W817)),1,0)</f>
        <v>0</v>
      </c>
      <c r="AG817">
        <f t="shared" si="24"/>
        <v>43.65</v>
      </c>
    </row>
    <row r="818" spans="1:33" x14ac:dyDescent="0.3">
      <c r="A818" t="s">
        <v>363</v>
      </c>
      <c r="B818">
        <v>2</v>
      </c>
      <c r="C818" t="s">
        <v>383</v>
      </c>
      <c r="D818" t="s">
        <v>384</v>
      </c>
      <c r="E818" t="s">
        <v>258</v>
      </c>
      <c r="F818" t="s">
        <v>109</v>
      </c>
      <c r="G818" t="s">
        <v>134</v>
      </c>
      <c r="H818">
        <v>3</v>
      </c>
      <c r="I818">
        <v>4</v>
      </c>
      <c r="J818">
        <v>75</v>
      </c>
      <c r="K818" t="s">
        <v>246</v>
      </c>
      <c r="L818">
        <v>2.4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 s="8">
        <v>2.4</v>
      </c>
      <c r="V818" s="8">
        <f t="shared" si="25"/>
        <v>0</v>
      </c>
      <c r="W818" t="str">
        <f>_xlfn.XLOOKUP(A818, Matches!A:A, Matches!L:L, "NA", 0)</f>
        <v>MIW</v>
      </c>
      <c r="X818" t="str">
        <f>_xlfn.XLOOKUP(A818, Matches!A:A, Matches!J:J, "NA", 0)</f>
        <v>GGTW</v>
      </c>
      <c r="Y818" t="str">
        <f>_xlfn.XLOOKUP(A818, Matches!A:A, Matches!F:F, "NA", 0)</f>
        <v>Arun Jaitley Stadium</v>
      </c>
      <c r="Z818" cm="1">
        <f t="array" ref="Z818">INDEX(Innings!F:F,MATCH(1,(TRIM(Innings!A:A)=TRIM(A818))*(TRIM(Innings!D:D)=TRIM(E818)),0))</f>
        <v>190</v>
      </c>
      <c r="AA818" cm="1">
        <f t="array" ref="AA818">INDEX(Innings!I:I,MATCH(1,(TRIM(Innings!A:A)=TRIM(A818))*(TRIM(Innings!D:D)=TRIM(E818)),0))</f>
        <v>9.5</v>
      </c>
      <c r="AB818" cm="1">
        <f t="array" ref="AB818">INDEX(Innings!J:J,MATCH(1,(TRIM(Innings!A:A)=TRIM(A818))*(TRIM(Innings!D:D)=TRIM(E818)),0))</f>
        <v>52</v>
      </c>
      <c r="AC818" cm="1">
        <f t="array" ref="AC818">INDEX(Innings!N:N,MATCH(1,(TRIM(Innings!A:A)=TRIM(A818))*(TRIM(Innings!D:D)=TRIM(E818)),0))</f>
        <v>30</v>
      </c>
      <c r="AD818" cm="1">
        <f t="array" ref="AD818">INDEX(Innings!S:S,MATCH(1,(TRIM(Innings!A:A)=TRIM(A818))*(TRIM(Innings!D:D)=TRIM(E818)),0))</f>
        <v>34</v>
      </c>
      <c r="AE818" t="str" cm="1">
        <f t="array" ref="AE818">INDEX(Innings!W:W,MATCH(1,(TRIM(Innings!A:A)=TRIM(A818))*(TRIM(Innings!D:D)=TRIM(E818)),0))</f>
        <v>NA</v>
      </c>
      <c r="AF818">
        <f>IF(UPPER(TRIM(E818))=UPPER(TRIM(W818)),1,0)</f>
        <v>0</v>
      </c>
      <c r="AG818">
        <f t="shared" si="24"/>
        <v>1.2</v>
      </c>
    </row>
    <row r="819" spans="1:33" x14ac:dyDescent="0.3">
      <c r="A819" t="s">
        <v>363</v>
      </c>
      <c r="B819">
        <v>2</v>
      </c>
      <c r="C819" t="s">
        <v>93</v>
      </c>
      <c r="D819" t="s">
        <v>118</v>
      </c>
      <c r="E819" t="s">
        <v>258</v>
      </c>
      <c r="F819" t="s">
        <v>169</v>
      </c>
      <c r="G819" t="s">
        <v>134</v>
      </c>
      <c r="H819">
        <v>1</v>
      </c>
      <c r="I819">
        <v>3</v>
      </c>
      <c r="J819">
        <v>33.33</v>
      </c>
      <c r="K819" t="s">
        <v>245</v>
      </c>
      <c r="L819">
        <v>1.5</v>
      </c>
      <c r="M819">
        <v>3.5</v>
      </c>
      <c r="N819">
        <v>0</v>
      </c>
      <c r="O819">
        <v>22</v>
      </c>
      <c r="P819">
        <v>1</v>
      </c>
      <c r="Q819">
        <v>5.7</v>
      </c>
      <c r="R819">
        <v>15</v>
      </c>
      <c r="S819">
        <v>0</v>
      </c>
      <c r="T819">
        <v>0</v>
      </c>
      <c r="U819" s="8">
        <v>16.5</v>
      </c>
      <c r="V819" s="8">
        <f t="shared" si="25"/>
        <v>2</v>
      </c>
      <c r="W819" t="str">
        <f>_xlfn.XLOOKUP(A819, Matches!A:A, Matches!L:L, "NA", 0)</f>
        <v>MIW</v>
      </c>
      <c r="X819" t="str">
        <f>_xlfn.XLOOKUP(A819, Matches!A:A, Matches!J:J, "NA", 0)</f>
        <v>GGTW</v>
      </c>
      <c r="Y819" t="str">
        <f>_xlfn.XLOOKUP(A819, Matches!A:A, Matches!F:F, "NA", 0)</f>
        <v>Arun Jaitley Stadium</v>
      </c>
      <c r="Z819" cm="1">
        <f t="array" ref="Z819">INDEX(Innings!F:F,MATCH(1,(TRIM(Innings!A:A)=TRIM(A819))*(TRIM(Innings!D:D)=TRIM(E819)),0))</f>
        <v>190</v>
      </c>
      <c r="AA819" cm="1">
        <f t="array" ref="AA819">INDEX(Innings!I:I,MATCH(1,(TRIM(Innings!A:A)=TRIM(A819))*(TRIM(Innings!D:D)=TRIM(E819)),0))</f>
        <v>9.5</v>
      </c>
      <c r="AB819" cm="1">
        <f t="array" ref="AB819">INDEX(Innings!J:J,MATCH(1,(TRIM(Innings!A:A)=TRIM(A819))*(TRIM(Innings!D:D)=TRIM(E819)),0))</f>
        <v>52</v>
      </c>
      <c r="AC819" cm="1">
        <f t="array" ref="AC819">INDEX(Innings!N:N,MATCH(1,(TRIM(Innings!A:A)=TRIM(A819))*(TRIM(Innings!D:D)=TRIM(E819)),0))</f>
        <v>30</v>
      </c>
      <c r="AD819" cm="1">
        <f t="array" ref="AD819">INDEX(Innings!S:S,MATCH(1,(TRIM(Innings!A:A)=TRIM(A819))*(TRIM(Innings!D:D)=TRIM(E819)),0))</f>
        <v>34</v>
      </c>
      <c r="AE819" t="str" cm="1">
        <f t="array" ref="AE819">INDEX(Innings!W:W,MATCH(1,(TRIM(Innings!A:A)=TRIM(A819))*(TRIM(Innings!D:D)=TRIM(E819)),0))</f>
        <v>NA</v>
      </c>
      <c r="AF819">
        <f>IF(UPPER(TRIM(E819))=UPPER(TRIM(W819)),1,0)</f>
        <v>0</v>
      </c>
      <c r="AG819">
        <f t="shared" si="24"/>
        <v>8.85</v>
      </c>
    </row>
    <row r="820" spans="1:33" x14ac:dyDescent="0.3">
      <c r="A820" t="s">
        <v>363</v>
      </c>
      <c r="B820">
        <v>2</v>
      </c>
      <c r="C820" t="s">
        <v>447</v>
      </c>
      <c r="D820" t="s">
        <v>448</v>
      </c>
      <c r="E820" t="s">
        <v>258</v>
      </c>
      <c r="F820" t="s">
        <v>101</v>
      </c>
      <c r="G820" t="s">
        <v>134</v>
      </c>
      <c r="H820">
        <v>21</v>
      </c>
      <c r="I820">
        <v>13</v>
      </c>
      <c r="J820">
        <v>161.54</v>
      </c>
      <c r="K820" t="s">
        <v>96</v>
      </c>
      <c r="L820">
        <v>43.3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 s="8">
        <v>43.3</v>
      </c>
      <c r="V820" s="8">
        <f t="shared" si="25"/>
        <v>4</v>
      </c>
      <c r="W820" t="str">
        <f>_xlfn.XLOOKUP(A820, Matches!A:A, Matches!L:L, "NA", 0)</f>
        <v>MIW</v>
      </c>
      <c r="X820" t="str">
        <f>_xlfn.XLOOKUP(A820, Matches!A:A, Matches!J:J, "NA", 0)</f>
        <v>GGTW</v>
      </c>
      <c r="Y820" t="str">
        <f>_xlfn.XLOOKUP(A820, Matches!A:A, Matches!F:F, "NA", 0)</f>
        <v>Arun Jaitley Stadium</v>
      </c>
      <c r="Z820" cm="1">
        <f t="array" ref="Z820">INDEX(Innings!F:F,MATCH(1,(TRIM(Innings!A:A)=TRIM(A820))*(TRIM(Innings!D:D)=TRIM(E820)),0))</f>
        <v>190</v>
      </c>
      <c r="AA820" cm="1">
        <f t="array" ref="AA820">INDEX(Innings!I:I,MATCH(1,(TRIM(Innings!A:A)=TRIM(A820))*(TRIM(Innings!D:D)=TRIM(E820)),0))</f>
        <v>9.5</v>
      </c>
      <c r="AB820" cm="1">
        <f t="array" ref="AB820">INDEX(Innings!J:J,MATCH(1,(TRIM(Innings!A:A)=TRIM(A820))*(TRIM(Innings!D:D)=TRIM(E820)),0))</f>
        <v>52</v>
      </c>
      <c r="AC820" cm="1">
        <f t="array" ref="AC820">INDEX(Innings!N:N,MATCH(1,(TRIM(Innings!A:A)=TRIM(A820))*(TRIM(Innings!D:D)=TRIM(E820)),0))</f>
        <v>30</v>
      </c>
      <c r="AD820" cm="1">
        <f t="array" ref="AD820">INDEX(Innings!S:S,MATCH(1,(TRIM(Innings!A:A)=TRIM(A820))*(TRIM(Innings!D:D)=TRIM(E820)),0))</f>
        <v>34</v>
      </c>
      <c r="AE820" t="str" cm="1">
        <f t="array" ref="AE820">INDEX(Innings!W:W,MATCH(1,(TRIM(Innings!A:A)=TRIM(A820))*(TRIM(Innings!D:D)=TRIM(E820)),0))</f>
        <v>NA</v>
      </c>
      <c r="AF820">
        <f>IF(UPPER(TRIM(E820))=UPPER(TRIM(W820)),1,0)</f>
        <v>0</v>
      </c>
      <c r="AG820">
        <f t="shared" si="24"/>
        <v>22.849999999999998</v>
      </c>
    </row>
    <row r="821" spans="1:33" x14ac:dyDescent="0.3">
      <c r="A821" t="s">
        <v>363</v>
      </c>
      <c r="B821">
        <v>2</v>
      </c>
      <c r="C821" t="s">
        <v>385</v>
      </c>
      <c r="D821" t="s">
        <v>386</v>
      </c>
      <c r="E821" t="s">
        <v>258</v>
      </c>
      <c r="F821" t="s">
        <v>169</v>
      </c>
      <c r="G821" t="s">
        <v>134</v>
      </c>
      <c r="H821">
        <v>7</v>
      </c>
      <c r="I821">
        <v>8</v>
      </c>
      <c r="J821">
        <v>87.5</v>
      </c>
      <c r="K821" t="s">
        <v>256</v>
      </c>
      <c r="L821">
        <v>10</v>
      </c>
      <c r="M821">
        <v>2</v>
      </c>
      <c r="N821">
        <v>0</v>
      </c>
      <c r="O821">
        <v>24</v>
      </c>
      <c r="P821">
        <v>0</v>
      </c>
      <c r="Q821">
        <v>12</v>
      </c>
      <c r="R821">
        <v>0</v>
      </c>
      <c r="S821">
        <v>0</v>
      </c>
      <c r="T821">
        <v>0</v>
      </c>
      <c r="U821" s="8">
        <v>10</v>
      </c>
      <c r="V821" s="8">
        <f t="shared" si="25"/>
        <v>1</v>
      </c>
      <c r="W821" t="str">
        <f>_xlfn.XLOOKUP(A821, Matches!A:A, Matches!L:L, "NA", 0)</f>
        <v>MIW</v>
      </c>
      <c r="X821" t="str">
        <f>_xlfn.XLOOKUP(A821, Matches!A:A, Matches!J:J, "NA", 0)</f>
        <v>GGTW</v>
      </c>
      <c r="Y821" t="str">
        <f>_xlfn.XLOOKUP(A821, Matches!A:A, Matches!F:F, "NA", 0)</f>
        <v>Arun Jaitley Stadium</v>
      </c>
      <c r="Z821" cm="1">
        <f t="array" ref="Z821">INDEX(Innings!F:F,MATCH(1,(TRIM(Innings!A:A)=TRIM(A821))*(TRIM(Innings!D:D)=TRIM(E821)),0))</f>
        <v>190</v>
      </c>
      <c r="AA821" cm="1">
        <f t="array" ref="AA821">INDEX(Innings!I:I,MATCH(1,(TRIM(Innings!A:A)=TRIM(A821))*(TRIM(Innings!D:D)=TRIM(E821)),0))</f>
        <v>9.5</v>
      </c>
      <c r="AB821" cm="1">
        <f t="array" ref="AB821">INDEX(Innings!J:J,MATCH(1,(TRIM(Innings!A:A)=TRIM(A821))*(TRIM(Innings!D:D)=TRIM(E821)),0))</f>
        <v>52</v>
      </c>
      <c r="AC821" cm="1">
        <f t="array" ref="AC821">INDEX(Innings!N:N,MATCH(1,(TRIM(Innings!A:A)=TRIM(A821))*(TRIM(Innings!D:D)=TRIM(E821)),0))</f>
        <v>30</v>
      </c>
      <c r="AD821" cm="1">
        <f t="array" ref="AD821">INDEX(Innings!S:S,MATCH(1,(TRIM(Innings!A:A)=TRIM(A821))*(TRIM(Innings!D:D)=TRIM(E821)),0))</f>
        <v>34</v>
      </c>
      <c r="AE821" t="str" cm="1">
        <f t="array" ref="AE821">INDEX(Innings!W:W,MATCH(1,(TRIM(Innings!A:A)=TRIM(A821))*(TRIM(Innings!D:D)=TRIM(E821)),0))</f>
        <v>NA</v>
      </c>
      <c r="AF821">
        <f>IF(UPPER(TRIM(E821))=UPPER(TRIM(W821)),1,0)</f>
        <v>0</v>
      </c>
      <c r="AG821">
        <f t="shared" si="24"/>
        <v>5.3</v>
      </c>
    </row>
    <row r="822" spans="1:33" x14ac:dyDescent="0.3">
      <c r="A822" t="s">
        <v>363</v>
      </c>
      <c r="B822">
        <v>2</v>
      </c>
      <c r="C822" t="s">
        <v>102</v>
      </c>
      <c r="D822" t="s">
        <v>126</v>
      </c>
      <c r="E822" t="s">
        <v>258</v>
      </c>
      <c r="F822" t="s">
        <v>101</v>
      </c>
      <c r="G822" t="s">
        <v>134</v>
      </c>
      <c r="H822">
        <v>1</v>
      </c>
      <c r="I822">
        <v>2</v>
      </c>
      <c r="J822">
        <v>50</v>
      </c>
      <c r="K822" t="s">
        <v>246</v>
      </c>
      <c r="L822">
        <v>1.5</v>
      </c>
      <c r="M822">
        <v>4</v>
      </c>
      <c r="N822">
        <v>0</v>
      </c>
      <c r="O822">
        <v>48</v>
      </c>
      <c r="P822">
        <v>0</v>
      </c>
      <c r="Q822">
        <v>12</v>
      </c>
      <c r="R822">
        <v>0</v>
      </c>
      <c r="S822">
        <v>0</v>
      </c>
      <c r="T822">
        <v>0</v>
      </c>
      <c r="U822" s="8">
        <v>1.5</v>
      </c>
      <c r="V822" s="8">
        <f t="shared" si="25"/>
        <v>0</v>
      </c>
      <c r="W822" t="str">
        <f>_xlfn.XLOOKUP(A822, Matches!A:A, Matches!L:L, "NA", 0)</f>
        <v>MIW</v>
      </c>
      <c r="X822" t="str">
        <f>_xlfn.XLOOKUP(A822, Matches!A:A, Matches!J:J, "NA", 0)</f>
        <v>GGTW</v>
      </c>
      <c r="Y822" t="str">
        <f>_xlfn.XLOOKUP(A822, Matches!A:A, Matches!F:F, "NA", 0)</f>
        <v>Arun Jaitley Stadium</v>
      </c>
      <c r="Z822" cm="1">
        <f t="array" ref="Z822">INDEX(Innings!F:F,MATCH(1,(TRIM(Innings!A:A)=TRIM(A822))*(TRIM(Innings!D:D)=TRIM(E822)),0))</f>
        <v>190</v>
      </c>
      <c r="AA822" cm="1">
        <f t="array" ref="AA822">INDEX(Innings!I:I,MATCH(1,(TRIM(Innings!A:A)=TRIM(A822))*(TRIM(Innings!D:D)=TRIM(E822)),0))</f>
        <v>9.5</v>
      </c>
      <c r="AB822" cm="1">
        <f t="array" ref="AB822">INDEX(Innings!J:J,MATCH(1,(TRIM(Innings!A:A)=TRIM(A822))*(TRIM(Innings!D:D)=TRIM(E822)),0))</f>
        <v>52</v>
      </c>
      <c r="AC822" cm="1">
        <f t="array" ref="AC822">INDEX(Innings!N:N,MATCH(1,(TRIM(Innings!A:A)=TRIM(A822))*(TRIM(Innings!D:D)=TRIM(E822)),0))</f>
        <v>30</v>
      </c>
      <c r="AD822" cm="1">
        <f t="array" ref="AD822">INDEX(Innings!S:S,MATCH(1,(TRIM(Innings!A:A)=TRIM(A822))*(TRIM(Innings!D:D)=TRIM(E822)),0))</f>
        <v>34</v>
      </c>
      <c r="AE822" t="str" cm="1">
        <f t="array" ref="AE822">INDEX(Innings!W:W,MATCH(1,(TRIM(Innings!A:A)=TRIM(A822))*(TRIM(Innings!D:D)=TRIM(E822)),0))</f>
        <v>NA</v>
      </c>
      <c r="AF822">
        <f>IF(UPPER(TRIM(E822))=UPPER(TRIM(W822)),1,0)</f>
        <v>0</v>
      </c>
      <c r="AG822">
        <f t="shared" si="24"/>
        <v>0.75</v>
      </c>
    </row>
    <row r="823" spans="1:33" x14ac:dyDescent="0.3">
      <c r="A823" t="s">
        <v>363</v>
      </c>
      <c r="B823">
        <v>2</v>
      </c>
      <c r="C823" t="s">
        <v>105</v>
      </c>
      <c r="D823" t="s">
        <v>128</v>
      </c>
      <c r="E823" t="s">
        <v>258</v>
      </c>
      <c r="F823" t="s">
        <v>101</v>
      </c>
      <c r="G823" t="s">
        <v>134</v>
      </c>
      <c r="H823">
        <v>0</v>
      </c>
      <c r="I823">
        <v>1</v>
      </c>
      <c r="J823">
        <v>0</v>
      </c>
      <c r="K823" t="s">
        <v>96</v>
      </c>
      <c r="L823">
        <v>5</v>
      </c>
      <c r="M823">
        <v>4</v>
      </c>
      <c r="N823">
        <v>0</v>
      </c>
      <c r="O823">
        <v>21</v>
      </c>
      <c r="P823">
        <v>1</v>
      </c>
      <c r="Q823">
        <v>5.2</v>
      </c>
      <c r="R823">
        <v>15</v>
      </c>
      <c r="S823">
        <v>0</v>
      </c>
      <c r="T823">
        <v>0</v>
      </c>
      <c r="U823" s="8">
        <v>20</v>
      </c>
      <c r="V823" s="8">
        <f t="shared" si="25"/>
        <v>2</v>
      </c>
      <c r="W823" t="str">
        <f>_xlfn.XLOOKUP(A823, Matches!A:A, Matches!L:L, "NA", 0)</f>
        <v>MIW</v>
      </c>
      <c r="X823" t="str">
        <f>_xlfn.XLOOKUP(A823, Matches!A:A, Matches!J:J, "NA", 0)</f>
        <v>GGTW</v>
      </c>
      <c r="Y823" t="str">
        <f>_xlfn.XLOOKUP(A823, Matches!A:A, Matches!F:F, "NA", 0)</f>
        <v>Arun Jaitley Stadium</v>
      </c>
      <c r="Z823" cm="1">
        <f t="array" ref="Z823">INDEX(Innings!F:F,MATCH(1,(TRIM(Innings!A:A)=TRIM(A823))*(TRIM(Innings!D:D)=TRIM(E823)),0))</f>
        <v>190</v>
      </c>
      <c r="AA823" cm="1">
        <f t="array" ref="AA823">INDEX(Innings!I:I,MATCH(1,(TRIM(Innings!A:A)=TRIM(A823))*(TRIM(Innings!D:D)=TRIM(E823)),0))</f>
        <v>9.5</v>
      </c>
      <c r="AB823" cm="1">
        <f t="array" ref="AB823">INDEX(Innings!J:J,MATCH(1,(TRIM(Innings!A:A)=TRIM(A823))*(TRIM(Innings!D:D)=TRIM(E823)),0))</f>
        <v>52</v>
      </c>
      <c r="AC823" cm="1">
        <f t="array" ref="AC823">INDEX(Innings!N:N,MATCH(1,(TRIM(Innings!A:A)=TRIM(A823))*(TRIM(Innings!D:D)=TRIM(E823)),0))</f>
        <v>30</v>
      </c>
      <c r="AD823" cm="1">
        <f t="array" ref="AD823">INDEX(Innings!S:S,MATCH(1,(TRIM(Innings!A:A)=TRIM(A823))*(TRIM(Innings!D:D)=TRIM(E823)),0))</f>
        <v>34</v>
      </c>
      <c r="AE823" t="str" cm="1">
        <f t="array" ref="AE823">INDEX(Innings!W:W,MATCH(1,(TRIM(Innings!A:A)=TRIM(A823))*(TRIM(Innings!D:D)=TRIM(E823)),0))</f>
        <v>NA</v>
      </c>
      <c r="AF823">
        <f>IF(UPPER(TRIM(E823))=UPPER(TRIM(W823)),1,0)</f>
        <v>0</v>
      </c>
      <c r="AG823">
        <f t="shared" si="24"/>
        <v>10.6</v>
      </c>
    </row>
    <row r="824" spans="1:33" x14ac:dyDescent="0.3">
      <c r="A824" t="s">
        <v>363</v>
      </c>
      <c r="B824">
        <v>2</v>
      </c>
      <c r="C824" t="s">
        <v>389</v>
      </c>
      <c r="D824" t="s">
        <v>390</v>
      </c>
      <c r="E824" t="s">
        <v>258</v>
      </c>
      <c r="F824" t="s">
        <v>91</v>
      </c>
      <c r="G824" t="s">
        <v>104</v>
      </c>
      <c r="H824">
        <v>0</v>
      </c>
      <c r="I824">
        <v>0</v>
      </c>
      <c r="J824">
        <v>0</v>
      </c>
      <c r="K824" t="s">
        <v>104</v>
      </c>
      <c r="L824">
        <v>0</v>
      </c>
      <c r="M824">
        <v>3</v>
      </c>
      <c r="N824">
        <v>0</v>
      </c>
      <c r="O824">
        <v>37</v>
      </c>
      <c r="P824">
        <v>0</v>
      </c>
      <c r="Q824">
        <v>12.3</v>
      </c>
      <c r="R824">
        <v>0</v>
      </c>
      <c r="S824">
        <v>0</v>
      </c>
      <c r="T824">
        <v>0</v>
      </c>
      <c r="U824" s="8">
        <v>0</v>
      </c>
      <c r="V824" s="8">
        <f t="shared" si="25"/>
        <v>0</v>
      </c>
      <c r="W824" t="str">
        <f>_xlfn.XLOOKUP(A824, Matches!A:A, Matches!L:L, "NA", 0)</f>
        <v>MIW</v>
      </c>
      <c r="X824" t="str">
        <f>_xlfn.XLOOKUP(A824, Matches!A:A, Matches!J:J, "NA", 0)</f>
        <v>GGTW</v>
      </c>
      <c r="Y824" t="str">
        <f>_xlfn.XLOOKUP(A824, Matches!A:A, Matches!F:F, "NA", 0)</f>
        <v>Arun Jaitley Stadium</v>
      </c>
      <c r="Z824" cm="1">
        <f t="array" ref="Z824">INDEX(Innings!F:F,MATCH(1,(TRIM(Innings!A:A)=TRIM(A824))*(TRIM(Innings!D:D)=TRIM(E824)),0))</f>
        <v>190</v>
      </c>
      <c r="AA824" cm="1">
        <f t="array" ref="AA824">INDEX(Innings!I:I,MATCH(1,(TRIM(Innings!A:A)=TRIM(A824))*(TRIM(Innings!D:D)=TRIM(E824)),0))</f>
        <v>9.5</v>
      </c>
      <c r="AB824" cm="1">
        <f t="array" ref="AB824">INDEX(Innings!J:J,MATCH(1,(TRIM(Innings!A:A)=TRIM(A824))*(TRIM(Innings!D:D)=TRIM(E824)),0))</f>
        <v>52</v>
      </c>
      <c r="AC824" cm="1">
        <f t="array" ref="AC824">INDEX(Innings!N:N,MATCH(1,(TRIM(Innings!A:A)=TRIM(A824))*(TRIM(Innings!D:D)=TRIM(E824)),0))</f>
        <v>30</v>
      </c>
      <c r="AD824" cm="1">
        <f t="array" ref="AD824">INDEX(Innings!S:S,MATCH(1,(TRIM(Innings!A:A)=TRIM(A824))*(TRIM(Innings!D:D)=TRIM(E824)),0))</f>
        <v>34</v>
      </c>
      <c r="AE824" t="str" cm="1">
        <f t="array" ref="AE824">INDEX(Innings!W:W,MATCH(1,(TRIM(Innings!A:A)=TRIM(A824))*(TRIM(Innings!D:D)=TRIM(E824)),0))</f>
        <v>NA</v>
      </c>
      <c r="AF824">
        <f>IF(UPPER(TRIM(E824))=UPPER(TRIM(W824)),1,0)</f>
        <v>0</v>
      </c>
      <c r="AG824">
        <f t="shared" si="24"/>
        <v>0</v>
      </c>
    </row>
    <row r="825" spans="1:33" x14ac:dyDescent="0.3">
      <c r="A825" t="s">
        <v>363</v>
      </c>
      <c r="B825">
        <v>2</v>
      </c>
      <c r="C825" t="s">
        <v>438</v>
      </c>
      <c r="D825" t="s">
        <v>439</v>
      </c>
      <c r="E825" t="s">
        <v>258</v>
      </c>
      <c r="F825" t="s">
        <v>101</v>
      </c>
      <c r="G825" t="s">
        <v>104</v>
      </c>
      <c r="H825">
        <v>0</v>
      </c>
      <c r="I825">
        <v>0</v>
      </c>
      <c r="J825">
        <v>0</v>
      </c>
      <c r="K825" t="s">
        <v>104</v>
      </c>
      <c r="L825">
        <v>0</v>
      </c>
      <c r="M825">
        <v>3</v>
      </c>
      <c r="N825">
        <v>0</v>
      </c>
      <c r="O825">
        <v>31</v>
      </c>
      <c r="P825">
        <v>1</v>
      </c>
      <c r="Q825">
        <v>10.3</v>
      </c>
      <c r="R825">
        <v>15</v>
      </c>
      <c r="S825">
        <v>0</v>
      </c>
      <c r="T825">
        <v>0</v>
      </c>
      <c r="U825" s="8">
        <v>15</v>
      </c>
      <c r="V825" s="8">
        <f t="shared" si="25"/>
        <v>2</v>
      </c>
      <c r="W825" t="str">
        <f>_xlfn.XLOOKUP(A825, Matches!A:A, Matches!L:L, "NA", 0)</f>
        <v>MIW</v>
      </c>
      <c r="X825" t="str">
        <f>_xlfn.XLOOKUP(A825, Matches!A:A, Matches!J:J, "NA", 0)</f>
        <v>GGTW</v>
      </c>
      <c r="Y825" t="str">
        <f>_xlfn.XLOOKUP(A825, Matches!A:A, Matches!F:F, "NA", 0)</f>
        <v>Arun Jaitley Stadium</v>
      </c>
      <c r="Z825" cm="1">
        <f t="array" ref="Z825">INDEX(Innings!F:F,MATCH(1,(TRIM(Innings!A:A)=TRIM(A825))*(TRIM(Innings!D:D)=TRIM(E825)),0))</f>
        <v>190</v>
      </c>
      <c r="AA825" cm="1">
        <f t="array" ref="AA825">INDEX(Innings!I:I,MATCH(1,(TRIM(Innings!A:A)=TRIM(A825))*(TRIM(Innings!D:D)=TRIM(E825)),0))</f>
        <v>9.5</v>
      </c>
      <c r="AB825" cm="1">
        <f t="array" ref="AB825">INDEX(Innings!J:J,MATCH(1,(TRIM(Innings!A:A)=TRIM(A825))*(TRIM(Innings!D:D)=TRIM(E825)),0))</f>
        <v>52</v>
      </c>
      <c r="AC825" cm="1">
        <f t="array" ref="AC825">INDEX(Innings!N:N,MATCH(1,(TRIM(Innings!A:A)=TRIM(A825))*(TRIM(Innings!D:D)=TRIM(E825)),0))</f>
        <v>30</v>
      </c>
      <c r="AD825" cm="1">
        <f t="array" ref="AD825">INDEX(Innings!S:S,MATCH(1,(TRIM(Innings!A:A)=TRIM(A825))*(TRIM(Innings!D:D)=TRIM(E825)),0))</f>
        <v>34</v>
      </c>
      <c r="AE825" t="str" cm="1">
        <f t="array" ref="AE825">INDEX(Innings!W:W,MATCH(1,(TRIM(Innings!A:A)=TRIM(A825))*(TRIM(Innings!D:D)=TRIM(E825)),0))</f>
        <v>NA</v>
      </c>
      <c r="AF825">
        <f>IF(UPPER(TRIM(E825))=UPPER(TRIM(W825)),1,0)</f>
        <v>0</v>
      </c>
      <c r="AG825">
        <f t="shared" si="24"/>
        <v>8.1</v>
      </c>
    </row>
    <row r="826" spans="1:33" x14ac:dyDescent="0.3">
      <c r="A826" t="s">
        <v>363</v>
      </c>
      <c r="B826">
        <v>2</v>
      </c>
      <c r="C826" t="s">
        <v>113</v>
      </c>
      <c r="D826" t="s">
        <v>84</v>
      </c>
      <c r="E826" t="s">
        <v>266</v>
      </c>
      <c r="F826" t="s">
        <v>85</v>
      </c>
      <c r="G826" t="s">
        <v>86</v>
      </c>
      <c r="H826">
        <v>49</v>
      </c>
      <c r="I826">
        <v>36</v>
      </c>
      <c r="J826">
        <v>136.11000000000001</v>
      </c>
      <c r="K826" t="s">
        <v>246</v>
      </c>
      <c r="L826">
        <v>54.9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 s="8">
        <v>54.9</v>
      </c>
      <c r="V826" s="8">
        <f t="shared" si="25"/>
        <v>5</v>
      </c>
      <c r="W826" t="str">
        <f>_xlfn.XLOOKUP(A826, Matches!A:A, Matches!L:L, "NA", 0)</f>
        <v>MIW</v>
      </c>
      <c r="X826" t="str">
        <f>_xlfn.XLOOKUP(A826, Matches!A:A, Matches!J:J, "NA", 0)</f>
        <v>GGTW</v>
      </c>
      <c r="Y826" t="str">
        <f>_xlfn.XLOOKUP(A826, Matches!A:A, Matches!F:F, "NA", 0)</f>
        <v>Arun Jaitley Stadium</v>
      </c>
      <c r="Z826" cm="1">
        <f t="array" ref="Z826">INDEX(Innings!F:F,MATCH(1,(TRIM(Innings!A:A)=TRIM(A826))*(TRIM(Innings!D:D)=TRIM(E826)),0))</f>
        <v>191</v>
      </c>
      <c r="AA826" cm="1">
        <f t="array" ref="AA826">INDEX(Innings!I:I,MATCH(1,(TRIM(Innings!A:A)=TRIM(A826))*(TRIM(Innings!D:D)=TRIM(E826)),0))</f>
        <v>9.6300000000000008</v>
      </c>
      <c r="AB826" cm="1">
        <f t="array" ref="AB826">INDEX(Innings!J:J,MATCH(1,(TRIM(Innings!A:A)=TRIM(A826))*(TRIM(Innings!D:D)=TRIM(E826)),0))</f>
        <v>50</v>
      </c>
      <c r="AC826" cm="1">
        <f t="array" ref="AC826">INDEX(Innings!N:N,MATCH(1,(TRIM(Innings!A:A)=TRIM(A826))*(TRIM(Innings!D:D)=TRIM(E826)),0))</f>
        <v>65</v>
      </c>
      <c r="AD826" cm="1">
        <f t="array" ref="AD826">INDEX(Innings!S:S,MATCH(1,(TRIM(Innings!A:A)=TRIM(A826))*(TRIM(Innings!D:D)=TRIM(E826)),0))</f>
        <v>43</v>
      </c>
      <c r="AE826" t="str" cm="1">
        <f t="array" ref="AE826">INDEX(Innings!W:W,MATCH(1,(TRIM(Innings!A:A)=TRIM(A826))*(TRIM(Innings!D:D)=TRIM(E826)),0))</f>
        <v>Successful</v>
      </c>
      <c r="AF826">
        <f>IF(UPPER(TRIM(E826))=UPPER(TRIM(W826)),1,0)</f>
        <v>1</v>
      </c>
      <c r="AG826">
        <f t="shared" si="24"/>
        <v>48.95</v>
      </c>
    </row>
    <row r="827" spans="1:33" x14ac:dyDescent="0.3">
      <c r="A827" t="s">
        <v>363</v>
      </c>
      <c r="B827">
        <v>2</v>
      </c>
      <c r="C827" t="s">
        <v>112</v>
      </c>
      <c r="D827" t="s">
        <v>88</v>
      </c>
      <c r="E827" t="s">
        <v>266</v>
      </c>
      <c r="F827" t="s">
        <v>169</v>
      </c>
      <c r="G827" t="s">
        <v>86</v>
      </c>
      <c r="H827">
        <v>18</v>
      </c>
      <c r="I827">
        <v>21</v>
      </c>
      <c r="J827">
        <v>85.71</v>
      </c>
      <c r="K827" t="s">
        <v>246</v>
      </c>
      <c r="L827">
        <v>18.399999999999999</v>
      </c>
      <c r="M827">
        <v>3</v>
      </c>
      <c r="N827">
        <v>0</v>
      </c>
      <c r="O827">
        <v>22</v>
      </c>
      <c r="P827">
        <v>1</v>
      </c>
      <c r="Q827">
        <v>7.3</v>
      </c>
      <c r="R827">
        <v>20</v>
      </c>
      <c r="S827">
        <v>0</v>
      </c>
      <c r="T827">
        <v>0</v>
      </c>
      <c r="U827" s="8">
        <v>38.4</v>
      </c>
      <c r="V827" s="8">
        <f t="shared" si="25"/>
        <v>4</v>
      </c>
      <c r="W827" t="str">
        <f>_xlfn.XLOOKUP(A827, Matches!A:A, Matches!L:L, "NA", 0)</f>
        <v>MIW</v>
      </c>
      <c r="X827" t="str">
        <f>_xlfn.XLOOKUP(A827, Matches!A:A, Matches!J:J, "NA", 0)</f>
        <v>GGTW</v>
      </c>
      <c r="Y827" t="str">
        <f>_xlfn.XLOOKUP(A827, Matches!A:A, Matches!F:F, "NA", 0)</f>
        <v>Arun Jaitley Stadium</v>
      </c>
      <c r="Z827" cm="1">
        <f t="array" ref="Z827">INDEX(Innings!F:F,MATCH(1,(TRIM(Innings!A:A)=TRIM(A827))*(TRIM(Innings!D:D)=TRIM(E827)),0))</f>
        <v>191</v>
      </c>
      <c r="AA827" cm="1">
        <f t="array" ref="AA827">INDEX(Innings!I:I,MATCH(1,(TRIM(Innings!A:A)=TRIM(A827))*(TRIM(Innings!D:D)=TRIM(E827)),0))</f>
        <v>9.6300000000000008</v>
      </c>
      <c r="AB827" cm="1">
        <f t="array" ref="AB827">INDEX(Innings!J:J,MATCH(1,(TRIM(Innings!A:A)=TRIM(A827))*(TRIM(Innings!D:D)=TRIM(E827)),0))</f>
        <v>50</v>
      </c>
      <c r="AC827" cm="1">
        <f t="array" ref="AC827">INDEX(Innings!N:N,MATCH(1,(TRIM(Innings!A:A)=TRIM(A827))*(TRIM(Innings!D:D)=TRIM(E827)),0))</f>
        <v>65</v>
      </c>
      <c r="AD827" cm="1">
        <f t="array" ref="AD827">INDEX(Innings!S:S,MATCH(1,(TRIM(Innings!A:A)=TRIM(A827))*(TRIM(Innings!D:D)=TRIM(E827)),0))</f>
        <v>43</v>
      </c>
      <c r="AE827" t="str" cm="1">
        <f t="array" ref="AE827">INDEX(Innings!W:W,MATCH(1,(TRIM(Innings!A:A)=TRIM(A827))*(TRIM(Innings!D:D)=TRIM(E827)),0))</f>
        <v>Successful</v>
      </c>
      <c r="AF827">
        <f>IF(UPPER(TRIM(E827))=UPPER(TRIM(W827)),1,0)</f>
        <v>1</v>
      </c>
      <c r="AG827">
        <f t="shared" si="24"/>
        <v>40.4</v>
      </c>
    </row>
    <row r="828" spans="1:33" x14ac:dyDescent="0.3">
      <c r="A828" t="s">
        <v>363</v>
      </c>
      <c r="B828">
        <v>2</v>
      </c>
      <c r="C828" t="s">
        <v>117</v>
      </c>
      <c r="D828" t="s">
        <v>90</v>
      </c>
      <c r="E828" t="s">
        <v>266</v>
      </c>
      <c r="F828" t="s">
        <v>169</v>
      </c>
      <c r="G828" t="s">
        <v>92</v>
      </c>
      <c r="H828">
        <v>2</v>
      </c>
      <c r="I828">
        <v>4</v>
      </c>
      <c r="J828">
        <v>50</v>
      </c>
      <c r="K828" t="s">
        <v>246</v>
      </c>
      <c r="L828">
        <v>1</v>
      </c>
      <c r="M828">
        <v>2</v>
      </c>
      <c r="N828">
        <v>0</v>
      </c>
      <c r="O828">
        <v>23</v>
      </c>
      <c r="P828">
        <v>0</v>
      </c>
      <c r="Q828">
        <v>11.5</v>
      </c>
      <c r="R828">
        <v>0</v>
      </c>
      <c r="S828">
        <v>0</v>
      </c>
      <c r="T828">
        <v>0</v>
      </c>
      <c r="U828" s="8">
        <v>1</v>
      </c>
      <c r="V828" s="8">
        <f t="shared" si="25"/>
        <v>0</v>
      </c>
      <c r="W828" t="str">
        <f>_xlfn.XLOOKUP(A828, Matches!A:A, Matches!L:L, "NA", 0)</f>
        <v>MIW</v>
      </c>
      <c r="X828" t="str">
        <f>_xlfn.XLOOKUP(A828, Matches!A:A, Matches!J:J, "NA", 0)</f>
        <v>GGTW</v>
      </c>
      <c r="Y828" t="str">
        <f>_xlfn.XLOOKUP(A828, Matches!A:A, Matches!F:F, "NA", 0)</f>
        <v>Arun Jaitley Stadium</v>
      </c>
      <c r="Z828" cm="1">
        <f t="array" ref="Z828">INDEX(Innings!F:F,MATCH(1,(TRIM(Innings!A:A)=TRIM(A828))*(TRIM(Innings!D:D)=TRIM(E828)),0))</f>
        <v>191</v>
      </c>
      <c r="AA828" cm="1">
        <f t="array" ref="AA828">INDEX(Innings!I:I,MATCH(1,(TRIM(Innings!A:A)=TRIM(A828))*(TRIM(Innings!D:D)=TRIM(E828)),0))</f>
        <v>9.6300000000000008</v>
      </c>
      <c r="AB828" cm="1">
        <f t="array" ref="AB828">INDEX(Innings!J:J,MATCH(1,(TRIM(Innings!A:A)=TRIM(A828))*(TRIM(Innings!D:D)=TRIM(E828)),0))</f>
        <v>50</v>
      </c>
      <c r="AC828" cm="1">
        <f t="array" ref="AC828">INDEX(Innings!N:N,MATCH(1,(TRIM(Innings!A:A)=TRIM(A828))*(TRIM(Innings!D:D)=TRIM(E828)),0))</f>
        <v>65</v>
      </c>
      <c r="AD828" cm="1">
        <f t="array" ref="AD828">INDEX(Innings!S:S,MATCH(1,(TRIM(Innings!A:A)=TRIM(A828))*(TRIM(Innings!D:D)=TRIM(E828)),0))</f>
        <v>43</v>
      </c>
      <c r="AE828" t="str" cm="1">
        <f t="array" ref="AE828">INDEX(Innings!W:W,MATCH(1,(TRIM(Innings!A:A)=TRIM(A828))*(TRIM(Innings!D:D)=TRIM(E828)),0))</f>
        <v>Successful</v>
      </c>
      <c r="AF828">
        <f>IF(UPPER(TRIM(E828))=UPPER(TRIM(W828)),1,0)</f>
        <v>1</v>
      </c>
      <c r="AG828">
        <f t="shared" si="24"/>
        <v>20.5</v>
      </c>
    </row>
    <row r="829" spans="1:33" x14ac:dyDescent="0.3">
      <c r="A829" t="s">
        <v>363</v>
      </c>
      <c r="B829">
        <v>2</v>
      </c>
      <c r="C829" t="s">
        <v>115</v>
      </c>
      <c r="D829" t="s">
        <v>17</v>
      </c>
      <c r="E829" t="s">
        <v>266</v>
      </c>
      <c r="F829" t="s">
        <v>169</v>
      </c>
      <c r="G829" t="s">
        <v>134</v>
      </c>
      <c r="H829">
        <v>95</v>
      </c>
      <c r="I829">
        <v>48</v>
      </c>
      <c r="J829">
        <v>197.92</v>
      </c>
      <c r="K829" t="s">
        <v>96</v>
      </c>
      <c r="L829">
        <v>118.6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 s="8">
        <v>118.6</v>
      </c>
      <c r="V829" s="8">
        <f t="shared" si="25"/>
        <v>10</v>
      </c>
      <c r="W829" t="str">
        <f>_xlfn.XLOOKUP(A829, Matches!A:A, Matches!L:L, "NA", 0)</f>
        <v>MIW</v>
      </c>
      <c r="X829" t="str">
        <f>_xlfn.XLOOKUP(A829, Matches!A:A, Matches!J:J, "NA", 0)</f>
        <v>GGTW</v>
      </c>
      <c r="Y829" t="str">
        <f>_xlfn.XLOOKUP(A829, Matches!A:A, Matches!F:F, "NA", 0)</f>
        <v>Arun Jaitley Stadium</v>
      </c>
      <c r="Z829" cm="1">
        <f t="array" ref="Z829">INDEX(Innings!F:F,MATCH(1,(TRIM(Innings!A:A)=TRIM(A829))*(TRIM(Innings!D:D)=TRIM(E829)),0))</f>
        <v>191</v>
      </c>
      <c r="AA829" cm="1">
        <f t="array" ref="AA829">INDEX(Innings!I:I,MATCH(1,(TRIM(Innings!A:A)=TRIM(A829))*(TRIM(Innings!D:D)=TRIM(E829)),0))</f>
        <v>9.6300000000000008</v>
      </c>
      <c r="AB829" cm="1">
        <f t="array" ref="AB829">INDEX(Innings!J:J,MATCH(1,(TRIM(Innings!A:A)=TRIM(A829))*(TRIM(Innings!D:D)=TRIM(E829)),0))</f>
        <v>50</v>
      </c>
      <c r="AC829" cm="1">
        <f t="array" ref="AC829">INDEX(Innings!N:N,MATCH(1,(TRIM(Innings!A:A)=TRIM(A829))*(TRIM(Innings!D:D)=TRIM(E829)),0))</f>
        <v>65</v>
      </c>
      <c r="AD829" cm="1">
        <f t="array" ref="AD829">INDEX(Innings!S:S,MATCH(1,(TRIM(Innings!A:A)=TRIM(A829))*(TRIM(Innings!D:D)=TRIM(E829)),0))</f>
        <v>43</v>
      </c>
      <c r="AE829" t="str" cm="1">
        <f t="array" ref="AE829">INDEX(Innings!W:W,MATCH(1,(TRIM(Innings!A:A)=TRIM(A829))*(TRIM(Innings!D:D)=TRIM(E829)),0))</f>
        <v>Successful</v>
      </c>
      <c r="AF829">
        <f>IF(UPPER(TRIM(E829))=UPPER(TRIM(W829)),1,0)</f>
        <v>1</v>
      </c>
      <c r="AG829">
        <f t="shared" si="24"/>
        <v>82.3</v>
      </c>
    </row>
    <row r="830" spans="1:33" x14ac:dyDescent="0.3">
      <c r="A830" t="s">
        <v>363</v>
      </c>
      <c r="B830">
        <v>2</v>
      </c>
      <c r="C830" t="s">
        <v>119</v>
      </c>
      <c r="D830" t="s">
        <v>95</v>
      </c>
      <c r="E830" t="s">
        <v>266</v>
      </c>
      <c r="F830" t="s">
        <v>169</v>
      </c>
      <c r="G830" t="s">
        <v>134</v>
      </c>
      <c r="H830">
        <v>12</v>
      </c>
      <c r="I830">
        <v>10</v>
      </c>
      <c r="J830">
        <v>120</v>
      </c>
      <c r="K830" t="s">
        <v>96</v>
      </c>
      <c r="L830">
        <v>15.2</v>
      </c>
      <c r="M830">
        <v>1</v>
      </c>
      <c r="N830">
        <v>0</v>
      </c>
      <c r="O830">
        <v>15</v>
      </c>
      <c r="P830">
        <v>0</v>
      </c>
      <c r="Q830">
        <v>15</v>
      </c>
      <c r="R830">
        <v>0</v>
      </c>
      <c r="S830">
        <v>0</v>
      </c>
      <c r="T830">
        <v>0</v>
      </c>
      <c r="U830" s="8">
        <v>15.2</v>
      </c>
      <c r="V830" s="8">
        <f t="shared" si="25"/>
        <v>2</v>
      </c>
      <c r="W830" t="str">
        <f>_xlfn.XLOOKUP(A830, Matches!A:A, Matches!L:L, "NA", 0)</f>
        <v>MIW</v>
      </c>
      <c r="X830" t="str">
        <f>_xlfn.XLOOKUP(A830, Matches!A:A, Matches!J:J, "NA", 0)</f>
        <v>GGTW</v>
      </c>
      <c r="Y830" t="str">
        <f>_xlfn.XLOOKUP(A830, Matches!A:A, Matches!F:F, "NA", 0)</f>
        <v>Arun Jaitley Stadium</v>
      </c>
      <c r="Z830" cm="1">
        <f t="array" ref="Z830">INDEX(Innings!F:F,MATCH(1,(TRIM(Innings!A:A)=TRIM(A830))*(TRIM(Innings!D:D)=TRIM(E830)),0))</f>
        <v>191</v>
      </c>
      <c r="AA830" cm="1">
        <f t="array" ref="AA830">INDEX(Innings!I:I,MATCH(1,(TRIM(Innings!A:A)=TRIM(A830))*(TRIM(Innings!D:D)=TRIM(E830)),0))</f>
        <v>9.6300000000000008</v>
      </c>
      <c r="AB830" cm="1">
        <f t="array" ref="AB830">INDEX(Innings!J:J,MATCH(1,(TRIM(Innings!A:A)=TRIM(A830))*(TRIM(Innings!D:D)=TRIM(E830)),0))</f>
        <v>50</v>
      </c>
      <c r="AC830" cm="1">
        <f t="array" ref="AC830">INDEX(Innings!N:N,MATCH(1,(TRIM(Innings!A:A)=TRIM(A830))*(TRIM(Innings!D:D)=TRIM(E830)),0))</f>
        <v>65</v>
      </c>
      <c r="AD830" cm="1">
        <f t="array" ref="AD830">INDEX(Innings!S:S,MATCH(1,(TRIM(Innings!A:A)=TRIM(A830))*(TRIM(Innings!D:D)=TRIM(E830)),0))</f>
        <v>43</v>
      </c>
      <c r="AE830" t="str" cm="1">
        <f t="array" ref="AE830">INDEX(Innings!W:W,MATCH(1,(TRIM(Innings!A:A)=TRIM(A830))*(TRIM(Innings!D:D)=TRIM(E830)),0))</f>
        <v>Successful</v>
      </c>
      <c r="AF830">
        <f>IF(UPPER(TRIM(E830))=UPPER(TRIM(W830)),1,0)</f>
        <v>1</v>
      </c>
      <c r="AG830">
        <f t="shared" si="24"/>
        <v>28.2</v>
      </c>
    </row>
    <row r="831" spans="1:33" x14ac:dyDescent="0.3">
      <c r="A831" t="s">
        <v>363</v>
      </c>
      <c r="B831">
        <v>2</v>
      </c>
      <c r="C831" t="s">
        <v>123</v>
      </c>
      <c r="D831" t="s">
        <v>98</v>
      </c>
      <c r="E831" t="s">
        <v>266</v>
      </c>
      <c r="F831" t="s">
        <v>169</v>
      </c>
      <c r="G831" t="s">
        <v>134</v>
      </c>
      <c r="H831">
        <v>0</v>
      </c>
      <c r="I831">
        <v>0</v>
      </c>
      <c r="J831">
        <v>0</v>
      </c>
      <c r="K831" t="s">
        <v>104</v>
      </c>
      <c r="L831">
        <v>0</v>
      </c>
      <c r="M831">
        <v>4</v>
      </c>
      <c r="N831">
        <v>0</v>
      </c>
      <c r="O831">
        <v>45</v>
      </c>
      <c r="P831">
        <v>1</v>
      </c>
      <c r="Q831">
        <v>11.2</v>
      </c>
      <c r="R831">
        <v>15</v>
      </c>
      <c r="S831">
        <v>0</v>
      </c>
      <c r="T831">
        <v>0</v>
      </c>
      <c r="U831" s="8">
        <v>15</v>
      </c>
      <c r="V831" s="8">
        <f t="shared" si="25"/>
        <v>2</v>
      </c>
      <c r="W831" t="str">
        <f>_xlfn.XLOOKUP(A831, Matches!A:A, Matches!L:L, "NA", 0)</f>
        <v>MIW</v>
      </c>
      <c r="X831" t="str">
        <f>_xlfn.XLOOKUP(A831, Matches!A:A, Matches!J:J, "NA", 0)</f>
        <v>GGTW</v>
      </c>
      <c r="Y831" t="str">
        <f>_xlfn.XLOOKUP(A831, Matches!A:A, Matches!F:F, "NA", 0)</f>
        <v>Arun Jaitley Stadium</v>
      </c>
      <c r="Z831" cm="1">
        <f t="array" ref="Z831">INDEX(Innings!F:F,MATCH(1,(TRIM(Innings!A:A)=TRIM(A831))*(TRIM(Innings!D:D)=TRIM(E831)),0))</f>
        <v>191</v>
      </c>
      <c r="AA831" cm="1">
        <f t="array" ref="AA831">INDEX(Innings!I:I,MATCH(1,(TRIM(Innings!A:A)=TRIM(A831))*(TRIM(Innings!D:D)=TRIM(E831)),0))</f>
        <v>9.6300000000000008</v>
      </c>
      <c r="AB831" cm="1">
        <f t="array" ref="AB831">INDEX(Innings!J:J,MATCH(1,(TRIM(Innings!A:A)=TRIM(A831))*(TRIM(Innings!D:D)=TRIM(E831)),0))</f>
        <v>50</v>
      </c>
      <c r="AC831" cm="1">
        <f t="array" ref="AC831">INDEX(Innings!N:N,MATCH(1,(TRIM(Innings!A:A)=TRIM(A831))*(TRIM(Innings!D:D)=TRIM(E831)),0))</f>
        <v>65</v>
      </c>
      <c r="AD831" cm="1">
        <f t="array" ref="AD831">INDEX(Innings!S:S,MATCH(1,(TRIM(Innings!A:A)=TRIM(A831))*(TRIM(Innings!D:D)=TRIM(E831)),0))</f>
        <v>43</v>
      </c>
      <c r="AE831" t="str" cm="1">
        <f t="array" ref="AE831">INDEX(Innings!W:W,MATCH(1,(TRIM(Innings!A:A)=TRIM(A831))*(TRIM(Innings!D:D)=TRIM(E831)),0))</f>
        <v>Successful</v>
      </c>
      <c r="AF831">
        <f>IF(UPPER(TRIM(E831))=UPPER(TRIM(W831)),1,0)</f>
        <v>1</v>
      </c>
      <c r="AG831">
        <f t="shared" si="24"/>
        <v>28.1</v>
      </c>
    </row>
    <row r="832" spans="1:33" x14ac:dyDescent="0.3">
      <c r="A832" t="s">
        <v>363</v>
      </c>
      <c r="B832">
        <v>2</v>
      </c>
      <c r="C832" t="s">
        <v>121</v>
      </c>
      <c r="D832" t="s">
        <v>108</v>
      </c>
      <c r="E832" t="s">
        <v>266</v>
      </c>
      <c r="F832" t="s">
        <v>169</v>
      </c>
      <c r="G832" t="s">
        <v>104</v>
      </c>
      <c r="H832">
        <v>0</v>
      </c>
      <c r="I832">
        <v>0</v>
      </c>
      <c r="J832">
        <v>0</v>
      </c>
      <c r="K832" t="s">
        <v>104</v>
      </c>
      <c r="L832">
        <v>0</v>
      </c>
      <c r="M832">
        <v>1</v>
      </c>
      <c r="N832">
        <v>0</v>
      </c>
      <c r="O832">
        <v>10</v>
      </c>
      <c r="P832">
        <v>0</v>
      </c>
      <c r="Q832">
        <v>10</v>
      </c>
      <c r="R832">
        <v>0</v>
      </c>
      <c r="S832">
        <v>0</v>
      </c>
      <c r="T832">
        <v>0</v>
      </c>
      <c r="U832" s="8">
        <v>0</v>
      </c>
      <c r="V832" s="8">
        <f t="shared" si="25"/>
        <v>0</v>
      </c>
      <c r="W832" t="str">
        <f>_xlfn.XLOOKUP(A832, Matches!A:A, Matches!L:L, "NA", 0)</f>
        <v>MIW</v>
      </c>
      <c r="X832" t="str">
        <f>_xlfn.XLOOKUP(A832, Matches!A:A, Matches!J:J, "NA", 0)</f>
        <v>GGTW</v>
      </c>
      <c r="Y832" t="str">
        <f>_xlfn.XLOOKUP(A832, Matches!A:A, Matches!F:F, "NA", 0)</f>
        <v>Arun Jaitley Stadium</v>
      </c>
      <c r="Z832" cm="1">
        <f t="array" ref="Z832">INDEX(Innings!F:F,MATCH(1,(TRIM(Innings!A:A)=TRIM(A832))*(TRIM(Innings!D:D)=TRIM(E832)),0))</f>
        <v>191</v>
      </c>
      <c r="AA832" cm="1">
        <f t="array" ref="AA832">INDEX(Innings!I:I,MATCH(1,(TRIM(Innings!A:A)=TRIM(A832))*(TRIM(Innings!D:D)=TRIM(E832)),0))</f>
        <v>9.6300000000000008</v>
      </c>
      <c r="AB832" cm="1">
        <f t="array" ref="AB832">INDEX(Innings!J:J,MATCH(1,(TRIM(Innings!A:A)=TRIM(A832))*(TRIM(Innings!D:D)=TRIM(E832)),0))</f>
        <v>50</v>
      </c>
      <c r="AC832" cm="1">
        <f t="array" ref="AC832">INDEX(Innings!N:N,MATCH(1,(TRIM(Innings!A:A)=TRIM(A832))*(TRIM(Innings!D:D)=TRIM(E832)),0))</f>
        <v>65</v>
      </c>
      <c r="AD832" cm="1">
        <f t="array" ref="AD832">INDEX(Innings!S:S,MATCH(1,(TRIM(Innings!A:A)=TRIM(A832))*(TRIM(Innings!D:D)=TRIM(E832)),0))</f>
        <v>43</v>
      </c>
      <c r="AE832" t="str" cm="1">
        <f t="array" ref="AE832">INDEX(Innings!W:W,MATCH(1,(TRIM(Innings!A:A)=TRIM(A832))*(TRIM(Innings!D:D)=TRIM(E832)),0))</f>
        <v>Successful</v>
      </c>
      <c r="AF832">
        <f>IF(UPPER(TRIM(E832))=UPPER(TRIM(W832)),1,0)</f>
        <v>1</v>
      </c>
      <c r="AG832">
        <f t="shared" si="24"/>
        <v>20</v>
      </c>
    </row>
    <row r="833" spans="1:33" x14ac:dyDescent="0.3">
      <c r="A833" t="s">
        <v>363</v>
      </c>
      <c r="B833">
        <v>2</v>
      </c>
      <c r="C833" t="s">
        <v>347</v>
      </c>
      <c r="D833" t="s">
        <v>348</v>
      </c>
      <c r="E833" t="s">
        <v>266</v>
      </c>
      <c r="F833" t="s">
        <v>169</v>
      </c>
      <c r="G833" t="s">
        <v>104</v>
      </c>
      <c r="H833">
        <v>0</v>
      </c>
      <c r="I833">
        <v>0</v>
      </c>
      <c r="J833">
        <v>0</v>
      </c>
      <c r="K833" t="s">
        <v>104</v>
      </c>
      <c r="L833">
        <v>0</v>
      </c>
      <c r="M833">
        <v>1</v>
      </c>
      <c r="N833">
        <v>0</v>
      </c>
      <c r="O833">
        <v>11</v>
      </c>
      <c r="P833">
        <v>1</v>
      </c>
      <c r="Q833">
        <v>11</v>
      </c>
      <c r="R833">
        <v>15</v>
      </c>
      <c r="S833">
        <v>0</v>
      </c>
      <c r="T833">
        <v>0</v>
      </c>
      <c r="U833" s="8">
        <v>15</v>
      </c>
      <c r="V833" s="8">
        <f t="shared" si="25"/>
        <v>2</v>
      </c>
      <c r="W833" t="str">
        <f>_xlfn.XLOOKUP(A833, Matches!A:A, Matches!L:L, "NA", 0)</f>
        <v>MIW</v>
      </c>
      <c r="X833" t="str">
        <f>_xlfn.XLOOKUP(A833, Matches!A:A, Matches!J:J, "NA", 0)</f>
        <v>GGTW</v>
      </c>
      <c r="Y833" t="str">
        <f>_xlfn.XLOOKUP(A833, Matches!A:A, Matches!F:F, "NA", 0)</f>
        <v>Arun Jaitley Stadium</v>
      </c>
      <c r="Z833" cm="1">
        <f t="array" ref="Z833">INDEX(Innings!F:F,MATCH(1,(TRIM(Innings!A:A)=TRIM(A833))*(TRIM(Innings!D:D)=TRIM(E833)),0))</f>
        <v>191</v>
      </c>
      <c r="AA833" cm="1">
        <f t="array" ref="AA833">INDEX(Innings!I:I,MATCH(1,(TRIM(Innings!A:A)=TRIM(A833))*(TRIM(Innings!D:D)=TRIM(E833)),0))</f>
        <v>9.6300000000000008</v>
      </c>
      <c r="AB833" cm="1">
        <f t="array" ref="AB833">INDEX(Innings!J:J,MATCH(1,(TRIM(Innings!A:A)=TRIM(A833))*(TRIM(Innings!D:D)=TRIM(E833)),0))</f>
        <v>50</v>
      </c>
      <c r="AC833" cm="1">
        <f t="array" ref="AC833">INDEX(Innings!N:N,MATCH(1,(TRIM(Innings!A:A)=TRIM(A833))*(TRIM(Innings!D:D)=TRIM(E833)),0))</f>
        <v>65</v>
      </c>
      <c r="AD833" cm="1">
        <f t="array" ref="AD833">INDEX(Innings!S:S,MATCH(1,(TRIM(Innings!A:A)=TRIM(A833))*(TRIM(Innings!D:D)=TRIM(E833)),0))</f>
        <v>43</v>
      </c>
      <c r="AE833" t="str" cm="1">
        <f t="array" ref="AE833">INDEX(Innings!W:W,MATCH(1,(TRIM(Innings!A:A)=TRIM(A833))*(TRIM(Innings!D:D)=TRIM(E833)),0))</f>
        <v>Successful</v>
      </c>
      <c r="AF833">
        <f>IF(UPPER(TRIM(E833))=UPPER(TRIM(W833)),1,0)</f>
        <v>1</v>
      </c>
      <c r="AG833">
        <f t="shared" si="24"/>
        <v>28.1</v>
      </c>
    </row>
    <row r="834" spans="1:33" x14ac:dyDescent="0.3">
      <c r="A834" t="s">
        <v>363</v>
      </c>
      <c r="B834">
        <v>2</v>
      </c>
      <c r="C834" t="s">
        <v>125</v>
      </c>
      <c r="D834" t="s">
        <v>111</v>
      </c>
      <c r="E834" t="s">
        <v>266</v>
      </c>
      <c r="F834" t="s">
        <v>169</v>
      </c>
      <c r="G834" t="s">
        <v>104</v>
      </c>
      <c r="H834">
        <v>0</v>
      </c>
      <c r="I834">
        <v>0</v>
      </c>
      <c r="J834">
        <v>0</v>
      </c>
      <c r="K834" t="s">
        <v>104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 s="8">
        <v>0</v>
      </c>
      <c r="V834" s="8">
        <f t="shared" si="25"/>
        <v>0</v>
      </c>
      <c r="W834" t="str">
        <f>_xlfn.XLOOKUP(A834, Matches!A:A, Matches!L:L, "NA", 0)</f>
        <v>MIW</v>
      </c>
      <c r="X834" t="str">
        <f>_xlfn.XLOOKUP(A834, Matches!A:A, Matches!J:J, "NA", 0)</f>
        <v>GGTW</v>
      </c>
      <c r="Y834" t="str">
        <f>_xlfn.XLOOKUP(A834, Matches!A:A, Matches!F:F, "NA", 0)</f>
        <v>Arun Jaitley Stadium</v>
      </c>
      <c r="Z834" cm="1">
        <f t="array" ref="Z834">INDEX(Innings!F:F,MATCH(1,(TRIM(Innings!A:A)=TRIM(A834))*(TRIM(Innings!D:D)=TRIM(E834)),0))</f>
        <v>191</v>
      </c>
      <c r="AA834" cm="1">
        <f t="array" ref="AA834">INDEX(Innings!I:I,MATCH(1,(TRIM(Innings!A:A)=TRIM(A834))*(TRIM(Innings!D:D)=TRIM(E834)),0))</f>
        <v>9.6300000000000008</v>
      </c>
      <c r="AB834" cm="1">
        <f t="array" ref="AB834">INDEX(Innings!J:J,MATCH(1,(TRIM(Innings!A:A)=TRIM(A834))*(TRIM(Innings!D:D)=TRIM(E834)),0))</f>
        <v>50</v>
      </c>
      <c r="AC834" cm="1">
        <f t="array" ref="AC834">INDEX(Innings!N:N,MATCH(1,(TRIM(Innings!A:A)=TRIM(A834))*(TRIM(Innings!D:D)=TRIM(E834)),0))</f>
        <v>65</v>
      </c>
      <c r="AD834" cm="1">
        <f t="array" ref="AD834">INDEX(Innings!S:S,MATCH(1,(TRIM(Innings!A:A)=TRIM(A834))*(TRIM(Innings!D:D)=TRIM(E834)),0))</f>
        <v>43</v>
      </c>
      <c r="AE834" t="str" cm="1">
        <f t="array" ref="AE834">INDEX(Innings!W:W,MATCH(1,(TRIM(Innings!A:A)=TRIM(A834))*(TRIM(Innings!D:D)=TRIM(E834)),0))</f>
        <v>Successful</v>
      </c>
      <c r="AF834">
        <f>IF(UPPER(TRIM(E834))=UPPER(TRIM(W834)),1,0)</f>
        <v>1</v>
      </c>
      <c r="AG834">
        <f t="shared" ref="AG834:AG897" si="26">(0.5*MAX(0,U834) + 0.3*MAX(0,V834) + 0.2*AF834*100)</f>
        <v>20</v>
      </c>
    </row>
    <row r="835" spans="1:33" x14ac:dyDescent="0.3">
      <c r="A835" t="s">
        <v>363</v>
      </c>
      <c r="B835">
        <v>2</v>
      </c>
      <c r="C835" t="s">
        <v>265</v>
      </c>
      <c r="D835" t="s">
        <v>264</v>
      </c>
      <c r="E835" t="s">
        <v>266</v>
      </c>
      <c r="F835" t="s">
        <v>101</v>
      </c>
      <c r="G835" t="s">
        <v>104</v>
      </c>
      <c r="H835">
        <v>0</v>
      </c>
      <c r="I835">
        <v>0</v>
      </c>
      <c r="J835">
        <v>0</v>
      </c>
      <c r="K835" t="s">
        <v>104</v>
      </c>
      <c r="L835">
        <v>0</v>
      </c>
      <c r="M835">
        <v>4</v>
      </c>
      <c r="N835">
        <v>0</v>
      </c>
      <c r="O835">
        <v>30</v>
      </c>
      <c r="P835">
        <v>1</v>
      </c>
      <c r="Q835">
        <v>7.5</v>
      </c>
      <c r="R835">
        <v>20</v>
      </c>
      <c r="S835">
        <v>0</v>
      </c>
      <c r="T835">
        <v>0</v>
      </c>
      <c r="U835" s="8">
        <v>20</v>
      </c>
      <c r="V835" s="8">
        <f t="shared" ref="V835:V898" si="27">MIN(10, MAX(0, ROUND(U835/10,0)))</f>
        <v>2</v>
      </c>
      <c r="W835" t="str">
        <f>_xlfn.XLOOKUP(A835, Matches!A:A, Matches!L:L, "NA", 0)</f>
        <v>MIW</v>
      </c>
      <c r="X835" t="str">
        <f>_xlfn.XLOOKUP(A835, Matches!A:A, Matches!J:J, "NA", 0)</f>
        <v>GGTW</v>
      </c>
      <c r="Y835" t="str">
        <f>_xlfn.XLOOKUP(A835, Matches!A:A, Matches!F:F, "NA", 0)</f>
        <v>Arun Jaitley Stadium</v>
      </c>
      <c r="Z835" cm="1">
        <f t="array" ref="Z835">INDEX(Innings!F:F,MATCH(1,(TRIM(Innings!A:A)=TRIM(A835))*(TRIM(Innings!D:D)=TRIM(E835)),0))</f>
        <v>191</v>
      </c>
      <c r="AA835" cm="1">
        <f t="array" ref="AA835">INDEX(Innings!I:I,MATCH(1,(TRIM(Innings!A:A)=TRIM(A835))*(TRIM(Innings!D:D)=TRIM(E835)),0))</f>
        <v>9.6300000000000008</v>
      </c>
      <c r="AB835" cm="1">
        <f t="array" ref="AB835">INDEX(Innings!J:J,MATCH(1,(TRIM(Innings!A:A)=TRIM(A835))*(TRIM(Innings!D:D)=TRIM(E835)),0))</f>
        <v>50</v>
      </c>
      <c r="AC835" cm="1">
        <f t="array" ref="AC835">INDEX(Innings!N:N,MATCH(1,(TRIM(Innings!A:A)=TRIM(A835))*(TRIM(Innings!D:D)=TRIM(E835)),0))</f>
        <v>65</v>
      </c>
      <c r="AD835" cm="1">
        <f t="array" ref="AD835">INDEX(Innings!S:S,MATCH(1,(TRIM(Innings!A:A)=TRIM(A835))*(TRIM(Innings!D:D)=TRIM(E835)),0))</f>
        <v>43</v>
      </c>
      <c r="AE835" t="str" cm="1">
        <f t="array" ref="AE835">INDEX(Innings!W:W,MATCH(1,(TRIM(Innings!A:A)=TRIM(A835))*(TRIM(Innings!D:D)=TRIM(E835)),0))</f>
        <v>Successful</v>
      </c>
      <c r="AF835">
        <f>IF(UPPER(TRIM(E835))=UPPER(TRIM(W835)),1,0)</f>
        <v>1</v>
      </c>
      <c r="AG835">
        <f t="shared" si="26"/>
        <v>30.6</v>
      </c>
    </row>
    <row r="836" spans="1:33" x14ac:dyDescent="0.3">
      <c r="A836" t="s">
        <v>363</v>
      </c>
      <c r="B836">
        <v>2</v>
      </c>
      <c r="C836" t="s">
        <v>131</v>
      </c>
      <c r="D836" t="s">
        <v>106</v>
      </c>
      <c r="E836" t="s">
        <v>266</v>
      </c>
      <c r="F836" t="s">
        <v>101</v>
      </c>
      <c r="G836" t="s">
        <v>104</v>
      </c>
      <c r="H836">
        <v>0</v>
      </c>
      <c r="I836">
        <v>0</v>
      </c>
      <c r="J836">
        <v>0</v>
      </c>
      <c r="K836" t="s">
        <v>104</v>
      </c>
      <c r="L836">
        <v>0</v>
      </c>
      <c r="M836">
        <v>4</v>
      </c>
      <c r="N836">
        <v>0</v>
      </c>
      <c r="O836">
        <v>31</v>
      </c>
      <c r="P836">
        <v>2</v>
      </c>
      <c r="Q836">
        <v>7.8</v>
      </c>
      <c r="R836">
        <v>40</v>
      </c>
      <c r="S836">
        <v>0</v>
      </c>
      <c r="T836">
        <v>0</v>
      </c>
      <c r="U836" s="8">
        <v>40</v>
      </c>
      <c r="V836" s="8">
        <f t="shared" si="27"/>
        <v>4</v>
      </c>
      <c r="W836" t="str">
        <f>_xlfn.XLOOKUP(A836, Matches!A:A, Matches!L:L, "NA", 0)</f>
        <v>MIW</v>
      </c>
      <c r="X836" t="str">
        <f>_xlfn.XLOOKUP(A836, Matches!A:A, Matches!J:J, "NA", 0)</f>
        <v>GGTW</v>
      </c>
      <c r="Y836" t="str">
        <f>_xlfn.XLOOKUP(A836, Matches!A:A, Matches!F:F, "NA", 0)</f>
        <v>Arun Jaitley Stadium</v>
      </c>
      <c r="Z836" cm="1">
        <f t="array" ref="Z836">INDEX(Innings!F:F,MATCH(1,(TRIM(Innings!A:A)=TRIM(A836))*(TRIM(Innings!D:D)=TRIM(E836)),0))</f>
        <v>191</v>
      </c>
      <c r="AA836" cm="1">
        <f t="array" ref="AA836">INDEX(Innings!I:I,MATCH(1,(TRIM(Innings!A:A)=TRIM(A836))*(TRIM(Innings!D:D)=TRIM(E836)),0))</f>
        <v>9.6300000000000008</v>
      </c>
      <c r="AB836" cm="1">
        <f t="array" ref="AB836">INDEX(Innings!J:J,MATCH(1,(TRIM(Innings!A:A)=TRIM(A836))*(TRIM(Innings!D:D)=TRIM(E836)),0))</f>
        <v>50</v>
      </c>
      <c r="AC836" cm="1">
        <f t="array" ref="AC836">INDEX(Innings!N:N,MATCH(1,(TRIM(Innings!A:A)=TRIM(A836))*(TRIM(Innings!D:D)=TRIM(E836)),0))</f>
        <v>65</v>
      </c>
      <c r="AD836" cm="1">
        <f t="array" ref="AD836">INDEX(Innings!S:S,MATCH(1,(TRIM(Innings!A:A)=TRIM(A836))*(TRIM(Innings!D:D)=TRIM(E836)),0))</f>
        <v>43</v>
      </c>
      <c r="AE836" t="str" cm="1">
        <f t="array" ref="AE836">INDEX(Innings!W:W,MATCH(1,(TRIM(Innings!A:A)=TRIM(A836))*(TRIM(Innings!D:D)=TRIM(E836)),0))</f>
        <v>Successful</v>
      </c>
      <c r="AF836">
        <f>IF(UPPER(TRIM(E836))=UPPER(TRIM(W836)),1,0)</f>
        <v>1</v>
      </c>
      <c r="AG836">
        <f t="shared" si="26"/>
        <v>41.2</v>
      </c>
    </row>
    <row r="837" spans="1:33" x14ac:dyDescent="0.3">
      <c r="A837" t="s">
        <v>364</v>
      </c>
      <c r="B837">
        <v>2</v>
      </c>
      <c r="C837" t="s">
        <v>190</v>
      </c>
      <c r="D837" t="s">
        <v>191</v>
      </c>
      <c r="E837" t="s">
        <v>158</v>
      </c>
      <c r="F837" t="s">
        <v>109</v>
      </c>
      <c r="G837" t="s">
        <v>86</v>
      </c>
      <c r="H837">
        <v>29</v>
      </c>
      <c r="I837">
        <v>26</v>
      </c>
      <c r="J837">
        <v>111.54</v>
      </c>
      <c r="K837" t="s">
        <v>247</v>
      </c>
      <c r="L837">
        <v>28.6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 s="8">
        <v>28.6</v>
      </c>
      <c r="V837" s="8">
        <f t="shared" si="27"/>
        <v>3</v>
      </c>
      <c r="W837" t="str">
        <f>_xlfn.XLOOKUP(A837, Matches!A:A, Matches!L:L, "NA", 0)</f>
        <v>DCW</v>
      </c>
      <c r="X837" t="str">
        <f>_xlfn.XLOOKUP(A837, Matches!A:A, Matches!J:J, "NA", 0)</f>
        <v>DCW</v>
      </c>
      <c r="Y837" t="str">
        <f>_xlfn.XLOOKUP(A837, Matches!A:A, Matches!F:F, "NA", 0)</f>
        <v>Arun Jaitley Stadium</v>
      </c>
      <c r="Z837" cm="1">
        <f t="array" ref="Z837">INDEX(Innings!F:F,MATCH(1,(TRIM(Innings!A:A)=TRIM(A837))*(TRIM(Innings!D:D)=TRIM(E837)),0))</f>
        <v>181</v>
      </c>
      <c r="AA837" cm="1">
        <f t="array" ref="AA837">INDEX(Innings!I:I,MATCH(1,(TRIM(Innings!A:A)=TRIM(A837))*(TRIM(Innings!D:D)=TRIM(E837)),0))</f>
        <v>9.0500000000000007</v>
      </c>
      <c r="AB837" cm="1">
        <f t="array" ref="AB837">INDEX(Innings!J:J,MATCH(1,(TRIM(Innings!A:A)=TRIM(A837))*(TRIM(Innings!D:D)=TRIM(E837)),0))</f>
        <v>53</v>
      </c>
      <c r="AC837" cm="1">
        <f t="array" ref="AC837">INDEX(Innings!N:N,MATCH(1,(TRIM(Innings!A:A)=TRIM(A837))*(TRIM(Innings!D:D)=TRIM(E837)),0))</f>
        <v>38</v>
      </c>
      <c r="AD837" cm="1">
        <f t="array" ref="AD837">INDEX(Innings!S:S,MATCH(1,(TRIM(Innings!A:A)=TRIM(A837))*(TRIM(Innings!D:D)=TRIM(E837)),0))</f>
        <v>34</v>
      </c>
      <c r="AE837" t="str" cm="1">
        <f t="array" ref="AE837">INDEX(Innings!W:W,MATCH(1,(TRIM(Innings!A:A)=TRIM(A837))*(TRIM(Innings!D:D)=TRIM(E837)),0))</f>
        <v>NA</v>
      </c>
      <c r="AF837">
        <f>IF(UPPER(TRIM(E837))=UPPER(TRIM(W837)),1,0)</f>
        <v>1</v>
      </c>
      <c r="AG837">
        <f t="shared" si="26"/>
        <v>35.200000000000003</v>
      </c>
    </row>
    <row r="838" spans="1:33" x14ac:dyDescent="0.3">
      <c r="A838" t="s">
        <v>364</v>
      </c>
      <c r="B838">
        <v>2</v>
      </c>
      <c r="C838" t="s">
        <v>188</v>
      </c>
      <c r="D838" t="s">
        <v>189</v>
      </c>
      <c r="E838" t="s">
        <v>158</v>
      </c>
      <c r="F838" t="s">
        <v>83</v>
      </c>
      <c r="G838" t="s">
        <v>86</v>
      </c>
      <c r="H838">
        <v>23</v>
      </c>
      <c r="I838">
        <v>18</v>
      </c>
      <c r="J838">
        <v>127.78</v>
      </c>
      <c r="K838" t="s">
        <v>246</v>
      </c>
      <c r="L838">
        <v>26.6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 s="8">
        <v>26.6</v>
      </c>
      <c r="V838" s="8">
        <f t="shared" si="27"/>
        <v>3</v>
      </c>
      <c r="W838" t="str">
        <f>_xlfn.XLOOKUP(A838, Matches!A:A, Matches!L:L, "NA", 0)</f>
        <v>DCW</v>
      </c>
      <c r="X838" t="str">
        <f>_xlfn.XLOOKUP(A838, Matches!A:A, Matches!J:J, "NA", 0)</f>
        <v>DCW</v>
      </c>
      <c r="Y838" t="str">
        <f>_xlfn.XLOOKUP(A838, Matches!A:A, Matches!F:F, "NA", 0)</f>
        <v>Arun Jaitley Stadium</v>
      </c>
      <c r="Z838" cm="1">
        <f t="array" ref="Z838">INDEX(Innings!F:F,MATCH(1,(TRIM(Innings!A:A)=TRIM(A838))*(TRIM(Innings!D:D)=TRIM(E838)),0))</f>
        <v>181</v>
      </c>
      <c r="AA838" cm="1">
        <f t="array" ref="AA838">INDEX(Innings!I:I,MATCH(1,(TRIM(Innings!A:A)=TRIM(A838))*(TRIM(Innings!D:D)=TRIM(E838)),0))</f>
        <v>9.0500000000000007</v>
      </c>
      <c r="AB838" cm="1">
        <f t="array" ref="AB838">INDEX(Innings!J:J,MATCH(1,(TRIM(Innings!A:A)=TRIM(A838))*(TRIM(Innings!D:D)=TRIM(E838)),0))</f>
        <v>53</v>
      </c>
      <c r="AC838" cm="1">
        <f t="array" ref="AC838">INDEX(Innings!N:N,MATCH(1,(TRIM(Innings!A:A)=TRIM(A838))*(TRIM(Innings!D:D)=TRIM(E838)),0))</f>
        <v>38</v>
      </c>
      <c r="AD838" cm="1">
        <f t="array" ref="AD838">INDEX(Innings!S:S,MATCH(1,(TRIM(Innings!A:A)=TRIM(A838))*(TRIM(Innings!D:D)=TRIM(E838)),0))</f>
        <v>34</v>
      </c>
      <c r="AE838" t="str" cm="1">
        <f t="array" ref="AE838">INDEX(Innings!W:W,MATCH(1,(TRIM(Innings!A:A)=TRIM(A838))*(TRIM(Innings!D:D)=TRIM(E838)),0))</f>
        <v>NA</v>
      </c>
      <c r="AF838">
        <f>IF(UPPER(TRIM(E838))=UPPER(TRIM(W838)),1,0)</f>
        <v>1</v>
      </c>
      <c r="AG838">
        <f t="shared" si="26"/>
        <v>34.200000000000003</v>
      </c>
    </row>
    <row r="839" spans="1:33" x14ac:dyDescent="0.3">
      <c r="A839" t="s">
        <v>364</v>
      </c>
      <c r="B839">
        <v>2</v>
      </c>
      <c r="C839" t="s">
        <v>194</v>
      </c>
      <c r="D839" t="s">
        <v>195</v>
      </c>
      <c r="E839" t="s">
        <v>158</v>
      </c>
      <c r="F839" t="s">
        <v>109</v>
      </c>
      <c r="G839" t="s">
        <v>134</v>
      </c>
      <c r="H839">
        <v>58</v>
      </c>
      <c r="I839">
        <v>36</v>
      </c>
      <c r="J839">
        <v>161.11000000000001</v>
      </c>
      <c r="K839" t="s">
        <v>245</v>
      </c>
      <c r="L839">
        <v>63.4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 s="8">
        <v>63.4</v>
      </c>
      <c r="V839" s="8">
        <f t="shared" si="27"/>
        <v>6</v>
      </c>
      <c r="W839" t="str">
        <f>_xlfn.XLOOKUP(A839, Matches!A:A, Matches!L:L, "NA", 0)</f>
        <v>DCW</v>
      </c>
      <c r="X839" t="str">
        <f>_xlfn.XLOOKUP(A839, Matches!A:A, Matches!J:J, "NA", 0)</f>
        <v>DCW</v>
      </c>
      <c r="Y839" t="str">
        <f>_xlfn.XLOOKUP(A839, Matches!A:A, Matches!F:F, "NA", 0)</f>
        <v>Arun Jaitley Stadium</v>
      </c>
      <c r="Z839" cm="1">
        <f t="array" ref="Z839">INDEX(Innings!F:F,MATCH(1,(TRIM(Innings!A:A)=TRIM(A839))*(TRIM(Innings!D:D)=TRIM(E839)),0))</f>
        <v>181</v>
      </c>
      <c r="AA839" cm="1">
        <f t="array" ref="AA839">INDEX(Innings!I:I,MATCH(1,(TRIM(Innings!A:A)=TRIM(A839))*(TRIM(Innings!D:D)=TRIM(E839)),0))</f>
        <v>9.0500000000000007</v>
      </c>
      <c r="AB839" cm="1">
        <f t="array" ref="AB839">INDEX(Innings!J:J,MATCH(1,(TRIM(Innings!A:A)=TRIM(A839))*(TRIM(Innings!D:D)=TRIM(E839)),0))</f>
        <v>53</v>
      </c>
      <c r="AC839" cm="1">
        <f t="array" ref="AC839">INDEX(Innings!N:N,MATCH(1,(TRIM(Innings!A:A)=TRIM(A839))*(TRIM(Innings!D:D)=TRIM(E839)),0))</f>
        <v>38</v>
      </c>
      <c r="AD839" cm="1">
        <f t="array" ref="AD839">INDEX(Innings!S:S,MATCH(1,(TRIM(Innings!A:A)=TRIM(A839))*(TRIM(Innings!D:D)=TRIM(E839)),0))</f>
        <v>34</v>
      </c>
      <c r="AE839" t="str" cm="1">
        <f t="array" ref="AE839">INDEX(Innings!W:W,MATCH(1,(TRIM(Innings!A:A)=TRIM(A839))*(TRIM(Innings!D:D)=TRIM(E839)),0))</f>
        <v>NA</v>
      </c>
      <c r="AF839">
        <f>IF(UPPER(TRIM(E839))=UPPER(TRIM(W839)),1,0)</f>
        <v>1</v>
      </c>
      <c r="AG839">
        <f t="shared" si="26"/>
        <v>53.5</v>
      </c>
    </row>
    <row r="840" spans="1:33" x14ac:dyDescent="0.3">
      <c r="A840" t="s">
        <v>364</v>
      </c>
      <c r="B840">
        <v>2</v>
      </c>
      <c r="C840" t="s">
        <v>196</v>
      </c>
      <c r="D840" t="s">
        <v>197</v>
      </c>
      <c r="E840" t="s">
        <v>158</v>
      </c>
      <c r="F840" t="s">
        <v>109</v>
      </c>
      <c r="G840" t="s">
        <v>134</v>
      </c>
      <c r="H840">
        <v>48</v>
      </c>
      <c r="I840">
        <v>32</v>
      </c>
      <c r="J840">
        <v>150</v>
      </c>
      <c r="K840" t="s">
        <v>245</v>
      </c>
      <c r="L840">
        <v>87</v>
      </c>
      <c r="M840">
        <v>1</v>
      </c>
      <c r="N840">
        <v>0</v>
      </c>
      <c r="O840">
        <v>5</v>
      </c>
      <c r="P840">
        <v>1</v>
      </c>
      <c r="Q840">
        <v>5</v>
      </c>
      <c r="R840">
        <v>15</v>
      </c>
      <c r="S840">
        <v>0</v>
      </c>
      <c r="T840">
        <v>0</v>
      </c>
      <c r="U840" s="8">
        <v>87</v>
      </c>
      <c r="V840" s="8">
        <f t="shared" si="27"/>
        <v>9</v>
      </c>
      <c r="W840" t="str">
        <f>_xlfn.XLOOKUP(A840, Matches!A:A, Matches!L:L, "NA", 0)</f>
        <v>DCW</v>
      </c>
      <c r="X840" t="str">
        <f>_xlfn.XLOOKUP(A840, Matches!A:A, Matches!J:J, "NA", 0)</f>
        <v>DCW</v>
      </c>
      <c r="Y840" t="str">
        <f>_xlfn.XLOOKUP(A840, Matches!A:A, Matches!F:F, "NA", 0)</f>
        <v>Arun Jaitley Stadium</v>
      </c>
      <c r="Z840" cm="1">
        <f t="array" ref="Z840">INDEX(Innings!F:F,MATCH(1,(TRIM(Innings!A:A)=TRIM(A840))*(TRIM(Innings!D:D)=TRIM(E840)),0))</f>
        <v>181</v>
      </c>
      <c r="AA840" cm="1">
        <f t="array" ref="AA840">INDEX(Innings!I:I,MATCH(1,(TRIM(Innings!A:A)=TRIM(A840))*(TRIM(Innings!D:D)=TRIM(E840)),0))</f>
        <v>9.0500000000000007</v>
      </c>
      <c r="AB840" cm="1">
        <f t="array" ref="AB840">INDEX(Innings!J:J,MATCH(1,(TRIM(Innings!A:A)=TRIM(A840))*(TRIM(Innings!D:D)=TRIM(E840)),0))</f>
        <v>53</v>
      </c>
      <c r="AC840" cm="1">
        <f t="array" ref="AC840">INDEX(Innings!N:N,MATCH(1,(TRIM(Innings!A:A)=TRIM(A840))*(TRIM(Innings!D:D)=TRIM(E840)),0))</f>
        <v>38</v>
      </c>
      <c r="AD840" cm="1">
        <f t="array" ref="AD840">INDEX(Innings!S:S,MATCH(1,(TRIM(Innings!A:A)=TRIM(A840))*(TRIM(Innings!D:D)=TRIM(E840)),0))</f>
        <v>34</v>
      </c>
      <c r="AE840" t="str" cm="1">
        <f t="array" ref="AE840">INDEX(Innings!W:W,MATCH(1,(TRIM(Innings!A:A)=TRIM(A840))*(TRIM(Innings!D:D)=TRIM(E840)),0))</f>
        <v>NA</v>
      </c>
      <c r="AF840">
        <f>IF(UPPER(TRIM(E840))=UPPER(TRIM(W840)),1,0)</f>
        <v>1</v>
      </c>
      <c r="AG840">
        <f t="shared" si="26"/>
        <v>66.2</v>
      </c>
    </row>
    <row r="841" spans="1:33" x14ac:dyDescent="0.3">
      <c r="A841" t="s">
        <v>364</v>
      </c>
      <c r="B841">
        <v>2</v>
      </c>
      <c r="C841" t="s">
        <v>192</v>
      </c>
      <c r="D841" t="s">
        <v>193</v>
      </c>
      <c r="E841" t="s">
        <v>158</v>
      </c>
      <c r="F841" t="s">
        <v>169</v>
      </c>
      <c r="G841" t="s">
        <v>134</v>
      </c>
      <c r="H841">
        <v>12</v>
      </c>
      <c r="I841">
        <v>6</v>
      </c>
      <c r="J841">
        <v>200</v>
      </c>
      <c r="K841" t="s">
        <v>96</v>
      </c>
      <c r="L841">
        <v>45.8</v>
      </c>
      <c r="M841">
        <v>4</v>
      </c>
      <c r="N841">
        <v>0</v>
      </c>
      <c r="O841">
        <v>30</v>
      </c>
      <c r="P841">
        <v>1</v>
      </c>
      <c r="Q841">
        <v>7.5</v>
      </c>
      <c r="R841">
        <v>25</v>
      </c>
      <c r="S841">
        <v>0</v>
      </c>
      <c r="T841">
        <v>0</v>
      </c>
      <c r="U841" s="8">
        <v>45.8</v>
      </c>
      <c r="V841" s="8">
        <f t="shared" si="27"/>
        <v>5</v>
      </c>
      <c r="W841" t="str">
        <f>_xlfn.XLOOKUP(A841, Matches!A:A, Matches!L:L, "NA", 0)</f>
        <v>DCW</v>
      </c>
      <c r="X841" t="str">
        <f>_xlfn.XLOOKUP(A841, Matches!A:A, Matches!J:J, "NA", 0)</f>
        <v>DCW</v>
      </c>
      <c r="Y841" t="str">
        <f>_xlfn.XLOOKUP(A841, Matches!A:A, Matches!F:F, "NA", 0)</f>
        <v>Arun Jaitley Stadium</v>
      </c>
      <c r="Z841" cm="1">
        <f t="array" ref="Z841">INDEX(Innings!F:F,MATCH(1,(TRIM(Innings!A:A)=TRIM(A841))*(TRIM(Innings!D:D)=TRIM(E841)),0))</f>
        <v>181</v>
      </c>
      <c r="AA841" cm="1">
        <f t="array" ref="AA841">INDEX(Innings!I:I,MATCH(1,(TRIM(Innings!A:A)=TRIM(A841))*(TRIM(Innings!D:D)=TRIM(E841)),0))</f>
        <v>9.0500000000000007</v>
      </c>
      <c r="AB841" cm="1">
        <f t="array" ref="AB841">INDEX(Innings!J:J,MATCH(1,(TRIM(Innings!A:A)=TRIM(A841))*(TRIM(Innings!D:D)=TRIM(E841)),0))</f>
        <v>53</v>
      </c>
      <c r="AC841" cm="1">
        <f t="array" ref="AC841">INDEX(Innings!N:N,MATCH(1,(TRIM(Innings!A:A)=TRIM(A841))*(TRIM(Innings!D:D)=TRIM(E841)),0))</f>
        <v>38</v>
      </c>
      <c r="AD841" cm="1">
        <f t="array" ref="AD841">INDEX(Innings!S:S,MATCH(1,(TRIM(Innings!A:A)=TRIM(A841))*(TRIM(Innings!D:D)=TRIM(E841)),0))</f>
        <v>34</v>
      </c>
      <c r="AE841" t="str" cm="1">
        <f t="array" ref="AE841">INDEX(Innings!W:W,MATCH(1,(TRIM(Innings!A:A)=TRIM(A841))*(TRIM(Innings!D:D)=TRIM(E841)),0))</f>
        <v>NA</v>
      </c>
      <c r="AF841">
        <f>IF(UPPER(TRIM(E841))=UPPER(TRIM(W841)),1,0)</f>
        <v>1</v>
      </c>
      <c r="AG841">
        <f t="shared" si="26"/>
        <v>44.4</v>
      </c>
    </row>
    <row r="842" spans="1:33" x14ac:dyDescent="0.3">
      <c r="A842" t="s">
        <v>364</v>
      </c>
      <c r="B842">
        <v>2</v>
      </c>
      <c r="C842" t="s">
        <v>198</v>
      </c>
      <c r="D842" t="s">
        <v>199</v>
      </c>
      <c r="E842" t="s">
        <v>158</v>
      </c>
      <c r="F842" t="s">
        <v>169</v>
      </c>
      <c r="G842" t="s">
        <v>135</v>
      </c>
      <c r="H842">
        <v>1</v>
      </c>
      <c r="I842">
        <v>2</v>
      </c>
      <c r="J842">
        <v>50</v>
      </c>
      <c r="K842" t="s">
        <v>248</v>
      </c>
      <c r="L842">
        <v>0</v>
      </c>
      <c r="M842">
        <v>3</v>
      </c>
      <c r="N842">
        <v>0</v>
      </c>
      <c r="O842">
        <v>39</v>
      </c>
      <c r="P842">
        <v>0</v>
      </c>
      <c r="Q842">
        <v>13</v>
      </c>
      <c r="R842">
        <v>0</v>
      </c>
      <c r="S842">
        <v>0</v>
      </c>
      <c r="T842">
        <v>0</v>
      </c>
      <c r="U842" s="8">
        <v>0</v>
      </c>
      <c r="V842" s="8">
        <f t="shared" si="27"/>
        <v>0</v>
      </c>
      <c r="W842" t="str">
        <f>_xlfn.XLOOKUP(A842, Matches!A:A, Matches!L:L, "NA", 0)</f>
        <v>DCW</v>
      </c>
      <c r="X842" t="str">
        <f>_xlfn.XLOOKUP(A842, Matches!A:A, Matches!J:J, "NA", 0)</f>
        <v>DCW</v>
      </c>
      <c r="Y842" t="str">
        <f>_xlfn.XLOOKUP(A842, Matches!A:A, Matches!F:F, "NA", 0)</f>
        <v>Arun Jaitley Stadium</v>
      </c>
      <c r="Z842" cm="1">
        <f t="array" ref="Z842">INDEX(Innings!F:F,MATCH(1,(TRIM(Innings!A:A)=TRIM(A842))*(TRIM(Innings!D:D)=TRIM(E842)),0))</f>
        <v>181</v>
      </c>
      <c r="AA842" cm="1">
        <f t="array" ref="AA842">INDEX(Innings!I:I,MATCH(1,(TRIM(Innings!A:A)=TRIM(A842))*(TRIM(Innings!D:D)=TRIM(E842)),0))</f>
        <v>9.0500000000000007</v>
      </c>
      <c r="AB842" cm="1">
        <f t="array" ref="AB842">INDEX(Innings!J:J,MATCH(1,(TRIM(Innings!A:A)=TRIM(A842))*(TRIM(Innings!D:D)=TRIM(E842)),0))</f>
        <v>53</v>
      </c>
      <c r="AC842" cm="1">
        <f t="array" ref="AC842">INDEX(Innings!N:N,MATCH(1,(TRIM(Innings!A:A)=TRIM(A842))*(TRIM(Innings!D:D)=TRIM(E842)),0))</f>
        <v>38</v>
      </c>
      <c r="AD842" cm="1">
        <f t="array" ref="AD842">INDEX(Innings!S:S,MATCH(1,(TRIM(Innings!A:A)=TRIM(A842))*(TRIM(Innings!D:D)=TRIM(E842)),0))</f>
        <v>34</v>
      </c>
      <c r="AE842" t="str" cm="1">
        <f t="array" ref="AE842">INDEX(Innings!W:W,MATCH(1,(TRIM(Innings!A:A)=TRIM(A842))*(TRIM(Innings!D:D)=TRIM(E842)),0))</f>
        <v>NA</v>
      </c>
      <c r="AF842">
        <f>IF(UPPER(TRIM(E842))=UPPER(TRIM(W842)),1,0)</f>
        <v>1</v>
      </c>
      <c r="AG842">
        <f t="shared" si="26"/>
        <v>20</v>
      </c>
    </row>
    <row r="843" spans="1:33" x14ac:dyDescent="0.3">
      <c r="A843" t="s">
        <v>364</v>
      </c>
      <c r="B843">
        <v>2</v>
      </c>
      <c r="C843" t="s">
        <v>206</v>
      </c>
      <c r="D843" t="s">
        <v>207</v>
      </c>
      <c r="E843" t="s">
        <v>158</v>
      </c>
      <c r="F843" t="s">
        <v>101</v>
      </c>
      <c r="G843" t="s">
        <v>135</v>
      </c>
      <c r="H843">
        <v>1</v>
      </c>
      <c r="I843">
        <v>1</v>
      </c>
      <c r="J843">
        <v>100</v>
      </c>
      <c r="K843" t="s">
        <v>96</v>
      </c>
      <c r="L843">
        <v>5</v>
      </c>
      <c r="M843">
        <v>4</v>
      </c>
      <c r="N843">
        <v>0</v>
      </c>
      <c r="O843">
        <v>36</v>
      </c>
      <c r="P843">
        <v>0</v>
      </c>
      <c r="Q843">
        <v>9</v>
      </c>
      <c r="R843">
        <v>0</v>
      </c>
      <c r="S843">
        <v>0</v>
      </c>
      <c r="T843">
        <v>0</v>
      </c>
      <c r="U843" s="8">
        <v>5</v>
      </c>
      <c r="V843" s="8">
        <f t="shared" si="27"/>
        <v>1</v>
      </c>
      <c r="W843" t="str">
        <f>_xlfn.XLOOKUP(A843, Matches!A:A, Matches!L:L, "NA", 0)</f>
        <v>DCW</v>
      </c>
      <c r="X843" t="str">
        <f>_xlfn.XLOOKUP(A843, Matches!A:A, Matches!J:J, "NA", 0)</f>
        <v>DCW</v>
      </c>
      <c r="Y843" t="str">
        <f>_xlfn.XLOOKUP(A843, Matches!A:A, Matches!F:F, "NA", 0)</f>
        <v>Arun Jaitley Stadium</v>
      </c>
      <c r="Z843" cm="1">
        <f t="array" ref="Z843">INDEX(Innings!F:F,MATCH(1,(TRIM(Innings!A:A)=TRIM(A843))*(TRIM(Innings!D:D)=TRIM(E843)),0))</f>
        <v>181</v>
      </c>
      <c r="AA843" cm="1">
        <f t="array" ref="AA843">INDEX(Innings!I:I,MATCH(1,(TRIM(Innings!A:A)=TRIM(A843))*(TRIM(Innings!D:D)=TRIM(E843)),0))</f>
        <v>9.0500000000000007</v>
      </c>
      <c r="AB843" cm="1">
        <f t="array" ref="AB843">INDEX(Innings!J:J,MATCH(1,(TRIM(Innings!A:A)=TRIM(A843))*(TRIM(Innings!D:D)=TRIM(E843)),0))</f>
        <v>53</v>
      </c>
      <c r="AC843" cm="1">
        <f t="array" ref="AC843">INDEX(Innings!N:N,MATCH(1,(TRIM(Innings!A:A)=TRIM(A843))*(TRIM(Innings!D:D)=TRIM(E843)),0))</f>
        <v>38</v>
      </c>
      <c r="AD843" cm="1">
        <f t="array" ref="AD843">INDEX(Innings!S:S,MATCH(1,(TRIM(Innings!A:A)=TRIM(A843))*(TRIM(Innings!D:D)=TRIM(E843)),0))</f>
        <v>34</v>
      </c>
      <c r="AE843" t="str" cm="1">
        <f t="array" ref="AE843">INDEX(Innings!W:W,MATCH(1,(TRIM(Innings!A:A)=TRIM(A843))*(TRIM(Innings!D:D)=TRIM(E843)),0))</f>
        <v>NA</v>
      </c>
      <c r="AF843">
        <f>IF(UPPER(TRIM(E843))=UPPER(TRIM(W843)),1,0)</f>
        <v>1</v>
      </c>
      <c r="AG843">
        <f t="shared" si="26"/>
        <v>22.8</v>
      </c>
    </row>
    <row r="844" spans="1:33" x14ac:dyDescent="0.3">
      <c r="A844" t="s">
        <v>364</v>
      </c>
      <c r="B844">
        <v>2</v>
      </c>
      <c r="C844" t="s">
        <v>202</v>
      </c>
      <c r="D844" t="s">
        <v>203</v>
      </c>
      <c r="E844" t="s">
        <v>158</v>
      </c>
      <c r="F844" t="s">
        <v>101</v>
      </c>
      <c r="G844" t="s">
        <v>104</v>
      </c>
      <c r="H844">
        <v>0</v>
      </c>
      <c r="I844">
        <v>0</v>
      </c>
      <c r="J844">
        <v>0</v>
      </c>
      <c r="K844" t="s">
        <v>104</v>
      </c>
      <c r="L844">
        <v>25</v>
      </c>
      <c r="M844">
        <v>3</v>
      </c>
      <c r="N844">
        <v>0</v>
      </c>
      <c r="O844">
        <v>24</v>
      </c>
      <c r="P844">
        <v>1</v>
      </c>
      <c r="Q844">
        <v>8</v>
      </c>
      <c r="R844">
        <v>25</v>
      </c>
      <c r="S844">
        <v>0</v>
      </c>
      <c r="T844">
        <v>0</v>
      </c>
      <c r="U844" s="8">
        <v>25</v>
      </c>
      <c r="V844" s="8">
        <f t="shared" si="27"/>
        <v>3</v>
      </c>
      <c r="W844" t="str">
        <f>_xlfn.XLOOKUP(A844, Matches!A:A, Matches!L:L, "NA", 0)</f>
        <v>DCW</v>
      </c>
      <c r="X844" t="str">
        <f>_xlfn.XLOOKUP(A844, Matches!A:A, Matches!J:J, "NA", 0)</f>
        <v>DCW</v>
      </c>
      <c r="Y844" t="str">
        <f>_xlfn.XLOOKUP(A844, Matches!A:A, Matches!F:F, "NA", 0)</f>
        <v>Arun Jaitley Stadium</v>
      </c>
      <c r="Z844" cm="1">
        <f t="array" ref="Z844">INDEX(Innings!F:F,MATCH(1,(TRIM(Innings!A:A)=TRIM(A844))*(TRIM(Innings!D:D)=TRIM(E844)),0))</f>
        <v>181</v>
      </c>
      <c r="AA844" cm="1">
        <f t="array" ref="AA844">INDEX(Innings!I:I,MATCH(1,(TRIM(Innings!A:A)=TRIM(A844))*(TRIM(Innings!D:D)=TRIM(E844)),0))</f>
        <v>9.0500000000000007</v>
      </c>
      <c r="AB844" cm="1">
        <f t="array" ref="AB844">INDEX(Innings!J:J,MATCH(1,(TRIM(Innings!A:A)=TRIM(A844))*(TRIM(Innings!D:D)=TRIM(E844)),0))</f>
        <v>53</v>
      </c>
      <c r="AC844" cm="1">
        <f t="array" ref="AC844">INDEX(Innings!N:N,MATCH(1,(TRIM(Innings!A:A)=TRIM(A844))*(TRIM(Innings!D:D)=TRIM(E844)),0))</f>
        <v>38</v>
      </c>
      <c r="AD844" cm="1">
        <f t="array" ref="AD844">INDEX(Innings!S:S,MATCH(1,(TRIM(Innings!A:A)=TRIM(A844))*(TRIM(Innings!D:D)=TRIM(E844)),0))</f>
        <v>34</v>
      </c>
      <c r="AE844" t="str" cm="1">
        <f t="array" ref="AE844">INDEX(Innings!W:W,MATCH(1,(TRIM(Innings!A:A)=TRIM(A844))*(TRIM(Innings!D:D)=TRIM(E844)),0))</f>
        <v>NA</v>
      </c>
      <c r="AF844">
        <f>IF(UPPER(TRIM(E844))=UPPER(TRIM(W844)),1,0)</f>
        <v>1</v>
      </c>
      <c r="AG844">
        <f t="shared" si="26"/>
        <v>33.4</v>
      </c>
    </row>
    <row r="845" spans="1:33" x14ac:dyDescent="0.3">
      <c r="A845" t="s">
        <v>364</v>
      </c>
      <c r="B845">
        <v>2</v>
      </c>
      <c r="C845" t="s">
        <v>204</v>
      </c>
      <c r="D845" t="s">
        <v>205</v>
      </c>
      <c r="E845" t="s">
        <v>158</v>
      </c>
      <c r="F845" t="s">
        <v>101</v>
      </c>
      <c r="G845" t="s">
        <v>104</v>
      </c>
      <c r="H845">
        <v>0</v>
      </c>
      <c r="I845">
        <v>0</v>
      </c>
      <c r="J845">
        <v>0</v>
      </c>
      <c r="K845" t="s">
        <v>104</v>
      </c>
      <c r="L845">
        <v>0</v>
      </c>
      <c r="M845">
        <v>4</v>
      </c>
      <c r="N845">
        <v>0</v>
      </c>
      <c r="O845">
        <v>34</v>
      </c>
      <c r="P845">
        <v>1</v>
      </c>
      <c r="Q845">
        <v>8.5</v>
      </c>
      <c r="R845">
        <v>20</v>
      </c>
      <c r="S845">
        <v>0</v>
      </c>
      <c r="T845">
        <v>0</v>
      </c>
      <c r="U845" s="8">
        <v>25</v>
      </c>
      <c r="V845" s="8">
        <f t="shared" si="27"/>
        <v>3</v>
      </c>
      <c r="W845" t="str">
        <f>_xlfn.XLOOKUP(A845, Matches!A:A, Matches!L:L, "NA", 0)</f>
        <v>DCW</v>
      </c>
      <c r="X845" t="str">
        <f>_xlfn.XLOOKUP(A845, Matches!A:A, Matches!J:J, "NA", 0)</f>
        <v>DCW</v>
      </c>
      <c r="Y845" t="str">
        <f>_xlfn.XLOOKUP(A845, Matches!A:A, Matches!F:F, "NA", 0)</f>
        <v>Arun Jaitley Stadium</v>
      </c>
      <c r="Z845" cm="1">
        <f t="array" ref="Z845">INDEX(Innings!F:F,MATCH(1,(TRIM(Innings!A:A)=TRIM(A845))*(TRIM(Innings!D:D)=TRIM(E845)),0))</f>
        <v>181</v>
      </c>
      <c r="AA845" cm="1">
        <f t="array" ref="AA845">INDEX(Innings!I:I,MATCH(1,(TRIM(Innings!A:A)=TRIM(A845))*(TRIM(Innings!D:D)=TRIM(E845)),0))</f>
        <v>9.0500000000000007</v>
      </c>
      <c r="AB845" cm="1">
        <f t="array" ref="AB845">INDEX(Innings!J:J,MATCH(1,(TRIM(Innings!A:A)=TRIM(A845))*(TRIM(Innings!D:D)=TRIM(E845)),0))</f>
        <v>53</v>
      </c>
      <c r="AC845" cm="1">
        <f t="array" ref="AC845">INDEX(Innings!N:N,MATCH(1,(TRIM(Innings!A:A)=TRIM(A845))*(TRIM(Innings!D:D)=TRIM(E845)),0))</f>
        <v>38</v>
      </c>
      <c r="AD845" cm="1">
        <f t="array" ref="AD845">INDEX(Innings!S:S,MATCH(1,(TRIM(Innings!A:A)=TRIM(A845))*(TRIM(Innings!D:D)=TRIM(E845)),0))</f>
        <v>34</v>
      </c>
      <c r="AE845" t="str" cm="1">
        <f t="array" ref="AE845">INDEX(Innings!W:W,MATCH(1,(TRIM(Innings!A:A)=TRIM(A845))*(TRIM(Innings!D:D)=TRIM(E845)),0))</f>
        <v>NA</v>
      </c>
      <c r="AF845">
        <f>IF(UPPER(TRIM(E845))=UPPER(TRIM(W845)),1,0)</f>
        <v>1</v>
      </c>
      <c r="AG845">
        <f t="shared" si="26"/>
        <v>33.4</v>
      </c>
    </row>
    <row r="846" spans="1:33" x14ac:dyDescent="0.3">
      <c r="A846" t="s">
        <v>364</v>
      </c>
      <c r="B846">
        <v>2</v>
      </c>
      <c r="C846" t="s">
        <v>200</v>
      </c>
      <c r="D846" t="s">
        <v>201</v>
      </c>
      <c r="E846" t="s">
        <v>158</v>
      </c>
      <c r="F846" t="s">
        <v>85</v>
      </c>
      <c r="G846" t="s">
        <v>104</v>
      </c>
      <c r="H846">
        <v>0</v>
      </c>
      <c r="I846">
        <v>0</v>
      </c>
      <c r="J846">
        <v>0</v>
      </c>
      <c r="K846" t="s">
        <v>104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 s="8">
        <v>0</v>
      </c>
      <c r="V846" s="8">
        <f t="shared" si="27"/>
        <v>0</v>
      </c>
      <c r="W846" t="str">
        <f>_xlfn.XLOOKUP(A846, Matches!A:A, Matches!L:L, "NA", 0)</f>
        <v>DCW</v>
      </c>
      <c r="X846" t="str">
        <f>_xlfn.XLOOKUP(A846, Matches!A:A, Matches!J:J, "NA", 0)</f>
        <v>DCW</v>
      </c>
      <c r="Y846" t="str">
        <f>_xlfn.XLOOKUP(A846, Matches!A:A, Matches!F:F, "NA", 0)</f>
        <v>Arun Jaitley Stadium</v>
      </c>
      <c r="Z846" cm="1">
        <f t="array" ref="Z846">INDEX(Innings!F:F,MATCH(1,(TRIM(Innings!A:A)=TRIM(A846))*(TRIM(Innings!D:D)=TRIM(E846)),0))</f>
        <v>181</v>
      </c>
      <c r="AA846" cm="1">
        <f t="array" ref="AA846">INDEX(Innings!I:I,MATCH(1,(TRIM(Innings!A:A)=TRIM(A846))*(TRIM(Innings!D:D)=TRIM(E846)),0))</f>
        <v>9.0500000000000007</v>
      </c>
      <c r="AB846" cm="1">
        <f t="array" ref="AB846">INDEX(Innings!J:J,MATCH(1,(TRIM(Innings!A:A)=TRIM(A846))*(TRIM(Innings!D:D)=TRIM(E846)),0))</f>
        <v>53</v>
      </c>
      <c r="AC846" cm="1">
        <f t="array" ref="AC846">INDEX(Innings!N:N,MATCH(1,(TRIM(Innings!A:A)=TRIM(A846))*(TRIM(Innings!D:D)=TRIM(E846)),0))</f>
        <v>38</v>
      </c>
      <c r="AD846" cm="1">
        <f t="array" ref="AD846">INDEX(Innings!S:S,MATCH(1,(TRIM(Innings!A:A)=TRIM(A846))*(TRIM(Innings!D:D)=TRIM(E846)),0))</f>
        <v>34</v>
      </c>
      <c r="AE846" t="str" cm="1">
        <f t="array" ref="AE846">INDEX(Innings!W:W,MATCH(1,(TRIM(Innings!A:A)=TRIM(A846))*(TRIM(Innings!D:D)=TRIM(E846)),0))</f>
        <v>NA</v>
      </c>
      <c r="AF846">
        <f>IF(UPPER(TRIM(E846))=UPPER(TRIM(W846)),1,0)</f>
        <v>1</v>
      </c>
      <c r="AG846">
        <f t="shared" si="26"/>
        <v>20</v>
      </c>
    </row>
    <row r="847" spans="1:33" x14ac:dyDescent="0.3">
      <c r="A847" t="s">
        <v>364</v>
      </c>
      <c r="B847">
        <v>2</v>
      </c>
      <c r="C847" t="s">
        <v>413</v>
      </c>
      <c r="D847" t="s">
        <v>423</v>
      </c>
      <c r="E847" t="s">
        <v>158</v>
      </c>
      <c r="F847" t="s">
        <v>101</v>
      </c>
      <c r="G847" t="s">
        <v>104</v>
      </c>
      <c r="H847">
        <v>0</v>
      </c>
      <c r="I847">
        <v>0</v>
      </c>
      <c r="J847">
        <v>0</v>
      </c>
      <c r="K847" t="s">
        <v>104</v>
      </c>
      <c r="L847">
        <v>0</v>
      </c>
      <c r="M847">
        <v>1</v>
      </c>
      <c r="N847">
        <v>0</v>
      </c>
      <c r="O847">
        <v>12</v>
      </c>
      <c r="P847">
        <v>0</v>
      </c>
      <c r="Q847">
        <v>12</v>
      </c>
      <c r="R847">
        <v>0</v>
      </c>
      <c r="S847">
        <v>0</v>
      </c>
      <c r="T847">
        <v>0</v>
      </c>
      <c r="U847" s="8">
        <v>0</v>
      </c>
      <c r="V847" s="8">
        <f t="shared" si="27"/>
        <v>0</v>
      </c>
      <c r="W847" t="str">
        <f>_xlfn.XLOOKUP(A847, Matches!A:A, Matches!L:L, "NA", 0)</f>
        <v>DCW</v>
      </c>
      <c r="X847" t="str">
        <f>_xlfn.XLOOKUP(A847, Matches!A:A, Matches!J:J, "NA", 0)</f>
        <v>DCW</v>
      </c>
      <c r="Y847" t="str">
        <f>_xlfn.XLOOKUP(A847, Matches!A:A, Matches!F:F, "NA", 0)</f>
        <v>Arun Jaitley Stadium</v>
      </c>
      <c r="Z847" cm="1">
        <f t="array" ref="Z847">INDEX(Innings!F:F,MATCH(1,(TRIM(Innings!A:A)=TRIM(A847))*(TRIM(Innings!D:D)=TRIM(E847)),0))</f>
        <v>181</v>
      </c>
      <c r="AA847" cm="1">
        <f t="array" ref="AA847">INDEX(Innings!I:I,MATCH(1,(TRIM(Innings!A:A)=TRIM(A847))*(TRIM(Innings!D:D)=TRIM(E847)),0))</f>
        <v>9.0500000000000007</v>
      </c>
      <c r="AB847" cm="1">
        <f t="array" ref="AB847">INDEX(Innings!J:J,MATCH(1,(TRIM(Innings!A:A)=TRIM(A847))*(TRIM(Innings!D:D)=TRIM(E847)),0))</f>
        <v>53</v>
      </c>
      <c r="AC847" cm="1">
        <f t="array" ref="AC847">INDEX(Innings!N:N,MATCH(1,(TRIM(Innings!A:A)=TRIM(A847))*(TRIM(Innings!D:D)=TRIM(E847)),0))</f>
        <v>38</v>
      </c>
      <c r="AD847" cm="1">
        <f t="array" ref="AD847">INDEX(Innings!S:S,MATCH(1,(TRIM(Innings!A:A)=TRIM(A847))*(TRIM(Innings!D:D)=TRIM(E847)),0))</f>
        <v>34</v>
      </c>
      <c r="AE847" t="str" cm="1">
        <f t="array" ref="AE847">INDEX(Innings!W:W,MATCH(1,(TRIM(Innings!A:A)=TRIM(A847))*(TRIM(Innings!D:D)=TRIM(E847)),0))</f>
        <v>NA</v>
      </c>
      <c r="AF847">
        <f>IF(UPPER(TRIM(E847))=UPPER(TRIM(W847)),1,0)</f>
        <v>1</v>
      </c>
      <c r="AG847">
        <f t="shared" si="26"/>
        <v>20</v>
      </c>
    </row>
    <row r="848" spans="1:33" x14ac:dyDescent="0.3">
      <c r="A848" t="s">
        <v>364</v>
      </c>
      <c r="B848">
        <v>2</v>
      </c>
      <c r="C848" t="s">
        <v>165</v>
      </c>
      <c r="D848" t="s">
        <v>166</v>
      </c>
      <c r="E848" t="s">
        <v>159</v>
      </c>
      <c r="F848" t="s">
        <v>109</v>
      </c>
      <c r="G848" t="s">
        <v>86</v>
      </c>
      <c r="H848">
        <v>5</v>
      </c>
      <c r="I848">
        <v>7</v>
      </c>
      <c r="J848">
        <v>71.430000000000007</v>
      </c>
      <c r="K848" t="s">
        <v>247</v>
      </c>
      <c r="L848">
        <v>2.9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 s="8">
        <v>2.9</v>
      </c>
      <c r="V848" s="8">
        <f t="shared" si="27"/>
        <v>0</v>
      </c>
      <c r="W848" t="str">
        <f>_xlfn.XLOOKUP(A848, Matches!A:A, Matches!L:L, "NA", 0)</f>
        <v>DCW</v>
      </c>
      <c r="X848" t="str">
        <f>_xlfn.XLOOKUP(A848, Matches!A:A, Matches!J:J, "NA", 0)</f>
        <v>DCW</v>
      </c>
      <c r="Y848" t="str">
        <f>_xlfn.XLOOKUP(A848, Matches!A:A, Matches!F:F, "NA", 0)</f>
        <v>Arun Jaitley Stadium</v>
      </c>
      <c r="Z848" cm="1">
        <f t="array" ref="Z848">INDEX(Innings!F:F,MATCH(1,(TRIM(Innings!A:A)=TRIM(A848))*(TRIM(Innings!D:D)=TRIM(E848)),0))</f>
        <v>180</v>
      </c>
      <c r="AA848" cm="1">
        <f t="array" ref="AA848">INDEX(Innings!I:I,MATCH(1,(TRIM(Innings!A:A)=TRIM(A848))*(TRIM(Innings!D:D)=TRIM(E848)),0))</f>
        <v>9</v>
      </c>
      <c r="AB848" cm="1">
        <f t="array" ref="AB848">INDEX(Innings!J:J,MATCH(1,(TRIM(Innings!A:A)=TRIM(A848))*(TRIM(Innings!D:D)=TRIM(E848)),0))</f>
        <v>42</v>
      </c>
      <c r="AC848" cm="1">
        <f t="array" ref="AC848">INDEX(Innings!N:N,MATCH(1,(TRIM(Innings!A:A)=TRIM(A848))*(TRIM(Innings!D:D)=TRIM(E848)),0))</f>
        <v>43</v>
      </c>
      <c r="AD848" cm="1">
        <f t="array" ref="AD848">INDEX(Innings!S:S,MATCH(1,(TRIM(Innings!A:A)=TRIM(A848))*(TRIM(Innings!D:D)=TRIM(E848)),0))</f>
        <v>35</v>
      </c>
      <c r="AE848" t="str" cm="1">
        <f t="array" ref="AE848">INDEX(Innings!W:W,MATCH(1,(TRIM(Innings!A:A)=TRIM(A848))*(TRIM(Innings!D:D)=TRIM(E848)),0))</f>
        <v>Failed</v>
      </c>
      <c r="AF848">
        <f>IF(UPPER(TRIM(E848))=UPPER(TRIM(W848)),1,0)</f>
        <v>0</v>
      </c>
      <c r="AG848">
        <f t="shared" si="26"/>
        <v>1.45</v>
      </c>
    </row>
    <row r="849" spans="1:33" x14ac:dyDescent="0.3">
      <c r="A849" t="s">
        <v>364</v>
      </c>
      <c r="B849">
        <v>2</v>
      </c>
      <c r="C849" t="s">
        <v>371</v>
      </c>
      <c r="D849" t="s">
        <v>372</v>
      </c>
      <c r="E849" t="s">
        <v>159</v>
      </c>
      <c r="F849" t="s">
        <v>169</v>
      </c>
      <c r="G849" t="s">
        <v>134</v>
      </c>
      <c r="H849">
        <v>33</v>
      </c>
      <c r="I849">
        <v>30</v>
      </c>
      <c r="J849">
        <v>110</v>
      </c>
      <c r="K849" t="s">
        <v>246</v>
      </c>
      <c r="L849">
        <v>29</v>
      </c>
      <c r="M849">
        <v>4</v>
      </c>
      <c r="N849">
        <v>0</v>
      </c>
      <c r="O849">
        <v>45</v>
      </c>
      <c r="P849">
        <v>0</v>
      </c>
      <c r="Q849">
        <v>11.2</v>
      </c>
      <c r="R849">
        <v>0</v>
      </c>
      <c r="S849">
        <v>0</v>
      </c>
      <c r="T849">
        <v>0</v>
      </c>
      <c r="U849" s="8">
        <v>29</v>
      </c>
      <c r="V849" s="8">
        <f t="shared" si="27"/>
        <v>3</v>
      </c>
      <c r="W849" t="str">
        <f>_xlfn.XLOOKUP(A849, Matches!A:A, Matches!L:L, "NA", 0)</f>
        <v>DCW</v>
      </c>
      <c r="X849" t="str">
        <f>_xlfn.XLOOKUP(A849, Matches!A:A, Matches!J:J, "NA", 0)</f>
        <v>DCW</v>
      </c>
      <c r="Y849" t="str">
        <f>_xlfn.XLOOKUP(A849, Matches!A:A, Matches!F:F, "NA", 0)</f>
        <v>Arun Jaitley Stadium</v>
      </c>
      <c r="Z849" cm="1">
        <f t="array" ref="Z849">INDEX(Innings!F:F,MATCH(1,(TRIM(Innings!A:A)=TRIM(A849))*(TRIM(Innings!D:D)=TRIM(E849)),0))</f>
        <v>180</v>
      </c>
      <c r="AA849" cm="1">
        <f t="array" ref="AA849">INDEX(Innings!I:I,MATCH(1,(TRIM(Innings!A:A)=TRIM(A849))*(TRIM(Innings!D:D)=TRIM(E849)),0))</f>
        <v>9</v>
      </c>
      <c r="AB849" cm="1">
        <f t="array" ref="AB849">INDEX(Innings!J:J,MATCH(1,(TRIM(Innings!A:A)=TRIM(A849))*(TRIM(Innings!D:D)=TRIM(E849)),0))</f>
        <v>42</v>
      </c>
      <c r="AC849" cm="1">
        <f t="array" ref="AC849">INDEX(Innings!N:N,MATCH(1,(TRIM(Innings!A:A)=TRIM(A849))*(TRIM(Innings!D:D)=TRIM(E849)),0))</f>
        <v>43</v>
      </c>
      <c r="AD849" cm="1">
        <f t="array" ref="AD849">INDEX(Innings!S:S,MATCH(1,(TRIM(Innings!A:A)=TRIM(A849))*(TRIM(Innings!D:D)=TRIM(E849)),0))</f>
        <v>35</v>
      </c>
      <c r="AE849" t="str" cm="1">
        <f t="array" ref="AE849">INDEX(Innings!W:W,MATCH(1,(TRIM(Innings!A:A)=TRIM(A849))*(TRIM(Innings!D:D)=TRIM(E849)),0))</f>
        <v>Failed</v>
      </c>
      <c r="AF849">
        <f>IF(UPPER(TRIM(E849))=UPPER(TRIM(W849)),1,0)</f>
        <v>0</v>
      </c>
      <c r="AG849">
        <f t="shared" si="26"/>
        <v>15.4</v>
      </c>
    </row>
    <row r="850" spans="1:33" x14ac:dyDescent="0.3">
      <c r="A850" t="s">
        <v>364</v>
      </c>
      <c r="B850">
        <v>2</v>
      </c>
      <c r="C850" t="s">
        <v>174</v>
      </c>
      <c r="D850" t="s">
        <v>175</v>
      </c>
      <c r="E850" t="s">
        <v>159</v>
      </c>
      <c r="F850" t="s">
        <v>169</v>
      </c>
      <c r="G850" t="s">
        <v>134</v>
      </c>
      <c r="H850">
        <v>49</v>
      </c>
      <c r="I850">
        <v>32</v>
      </c>
      <c r="J850">
        <v>153.12</v>
      </c>
      <c r="K850" t="s">
        <v>256</v>
      </c>
      <c r="L850">
        <v>55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 s="8">
        <v>55</v>
      </c>
      <c r="V850" s="8">
        <f t="shared" si="27"/>
        <v>6</v>
      </c>
      <c r="W850" t="str">
        <f>_xlfn.XLOOKUP(A850, Matches!A:A, Matches!L:L, "NA", 0)</f>
        <v>DCW</v>
      </c>
      <c r="X850" t="str">
        <f>_xlfn.XLOOKUP(A850, Matches!A:A, Matches!J:J, "NA", 0)</f>
        <v>DCW</v>
      </c>
      <c r="Y850" t="str">
        <f>_xlfn.XLOOKUP(A850, Matches!A:A, Matches!F:F, "NA", 0)</f>
        <v>Arun Jaitley Stadium</v>
      </c>
      <c r="Z850" cm="1">
        <f t="array" ref="Z850">INDEX(Innings!F:F,MATCH(1,(TRIM(Innings!A:A)=TRIM(A850))*(TRIM(Innings!D:D)=TRIM(E850)),0))</f>
        <v>180</v>
      </c>
      <c r="AA850" cm="1">
        <f t="array" ref="AA850">INDEX(Innings!I:I,MATCH(1,(TRIM(Innings!A:A)=TRIM(A850))*(TRIM(Innings!D:D)=TRIM(E850)),0))</f>
        <v>9</v>
      </c>
      <c r="AB850" cm="1">
        <f t="array" ref="AB850">INDEX(Innings!J:J,MATCH(1,(TRIM(Innings!A:A)=TRIM(A850))*(TRIM(Innings!D:D)=TRIM(E850)),0))</f>
        <v>42</v>
      </c>
      <c r="AC850" cm="1">
        <f t="array" ref="AC850">INDEX(Innings!N:N,MATCH(1,(TRIM(Innings!A:A)=TRIM(A850))*(TRIM(Innings!D:D)=TRIM(E850)),0))</f>
        <v>43</v>
      </c>
      <c r="AD850" cm="1">
        <f t="array" ref="AD850">INDEX(Innings!S:S,MATCH(1,(TRIM(Innings!A:A)=TRIM(A850))*(TRIM(Innings!D:D)=TRIM(E850)),0))</f>
        <v>35</v>
      </c>
      <c r="AE850" t="str" cm="1">
        <f t="array" ref="AE850">INDEX(Innings!W:W,MATCH(1,(TRIM(Innings!A:A)=TRIM(A850))*(TRIM(Innings!D:D)=TRIM(E850)),0))</f>
        <v>Failed</v>
      </c>
      <c r="AF850">
        <f>IF(UPPER(TRIM(E850))=UPPER(TRIM(W850)),1,0)</f>
        <v>0</v>
      </c>
      <c r="AG850">
        <f t="shared" si="26"/>
        <v>29.3</v>
      </c>
    </row>
    <row r="851" spans="1:33" x14ac:dyDescent="0.3">
      <c r="A851" t="s">
        <v>364</v>
      </c>
      <c r="B851">
        <v>2</v>
      </c>
      <c r="C851" t="s">
        <v>167</v>
      </c>
      <c r="D851" t="s">
        <v>168</v>
      </c>
      <c r="E851" t="s">
        <v>159</v>
      </c>
      <c r="F851" t="s">
        <v>169</v>
      </c>
      <c r="G851" t="s">
        <v>134</v>
      </c>
      <c r="H851">
        <v>26</v>
      </c>
      <c r="I851">
        <v>16</v>
      </c>
      <c r="J851">
        <v>162.5</v>
      </c>
      <c r="K851" t="s">
        <v>246</v>
      </c>
      <c r="L851">
        <v>30.1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 s="8">
        <v>30.1</v>
      </c>
      <c r="V851" s="8">
        <f t="shared" si="27"/>
        <v>3</v>
      </c>
      <c r="W851" t="str">
        <f>_xlfn.XLOOKUP(A851, Matches!A:A, Matches!L:L, "NA", 0)</f>
        <v>DCW</v>
      </c>
      <c r="X851" t="str">
        <f>_xlfn.XLOOKUP(A851, Matches!A:A, Matches!J:J, "NA", 0)</f>
        <v>DCW</v>
      </c>
      <c r="Y851" t="str">
        <f>_xlfn.XLOOKUP(A851, Matches!A:A, Matches!F:F, "NA", 0)</f>
        <v>Arun Jaitley Stadium</v>
      </c>
      <c r="Z851" cm="1">
        <f t="array" ref="Z851">INDEX(Innings!F:F,MATCH(1,(TRIM(Innings!A:A)=TRIM(A851))*(TRIM(Innings!D:D)=TRIM(E851)),0))</f>
        <v>180</v>
      </c>
      <c r="AA851" cm="1">
        <f t="array" ref="AA851">INDEX(Innings!I:I,MATCH(1,(TRIM(Innings!A:A)=TRIM(A851))*(TRIM(Innings!D:D)=TRIM(E851)),0))</f>
        <v>9</v>
      </c>
      <c r="AB851" cm="1">
        <f t="array" ref="AB851">INDEX(Innings!J:J,MATCH(1,(TRIM(Innings!A:A)=TRIM(A851))*(TRIM(Innings!D:D)=TRIM(E851)),0))</f>
        <v>42</v>
      </c>
      <c r="AC851" cm="1">
        <f t="array" ref="AC851">INDEX(Innings!N:N,MATCH(1,(TRIM(Innings!A:A)=TRIM(A851))*(TRIM(Innings!D:D)=TRIM(E851)),0))</f>
        <v>43</v>
      </c>
      <c r="AD851" cm="1">
        <f t="array" ref="AD851">INDEX(Innings!S:S,MATCH(1,(TRIM(Innings!A:A)=TRIM(A851))*(TRIM(Innings!D:D)=TRIM(E851)),0))</f>
        <v>35</v>
      </c>
      <c r="AE851" t="str" cm="1">
        <f t="array" ref="AE851">INDEX(Innings!W:W,MATCH(1,(TRIM(Innings!A:A)=TRIM(A851))*(TRIM(Innings!D:D)=TRIM(E851)),0))</f>
        <v>Failed</v>
      </c>
      <c r="AF851">
        <f>IF(UPPER(TRIM(E851))=UPPER(TRIM(W851)),1,0)</f>
        <v>0</v>
      </c>
      <c r="AG851">
        <f t="shared" si="26"/>
        <v>15.950000000000001</v>
      </c>
    </row>
    <row r="852" spans="1:33" x14ac:dyDescent="0.3">
      <c r="A852" t="s">
        <v>364</v>
      </c>
      <c r="B852">
        <v>2</v>
      </c>
      <c r="C852" t="s">
        <v>176</v>
      </c>
      <c r="D852" t="s">
        <v>177</v>
      </c>
      <c r="E852" t="s">
        <v>159</v>
      </c>
      <c r="F852" t="s">
        <v>85</v>
      </c>
      <c r="G852" t="s">
        <v>134</v>
      </c>
      <c r="H852">
        <v>51</v>
      </c>
      <c r="I852">
        <v>29</v>
      </c>
      <c r="J852">
        <v>175.86</v>
      </c>
      <c r="K852" t="s">
        <v>256</v>
      </c>
      <c r="L852">
        <v>60.5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 s="8">
        <v>60.5</v>
      </c>
      <c r="V852" s="8">
        <f t="shared" si="27"/>
        <v>6</v>
      </c>
      <c r="W852" t="str">
        <f>_xlfn.XLOOKUP(A852, Matches!A:A, Matches!L:L, "NA", 0)</f>
        <v>DCW</v>
      </c>
      <c r="X852" t="str">
        <f>_xlfn.XLOOKUP(A852, Matches!A:A, Matches!J:J, "NA", 0)</f>
        <v>DCW</v>
      </c>
      <c r="Y852" t="str">
        <f>_xlfn.XLOOKUP(A852, Matches!A:A, Matches!F:F, "NA", 0)</f>
        <v>Arun Jaitley Stadium</v>
      </c>
      <c r="Z852" cm="1">
        <f t="array" ref="Z852">INDEX(Innings!F:F,MATCH(1,(TRIM(Innings!A:A)=TRIM(A852))*(TRIM(Innings!D:D)=TRIM(E852)),0))</f>
        <v>180</v>
      </c>
      <c r="AA852" cm="1">
        <f t="array" ref="AA852">INDEX(Innings!I:I,MATCH(1,(TRIM(Innings!A:A)=TRIM(A852))*(TRIM(Innings!D:D)=TRIM(E852)),0))</f>
        <v>9</v>
      </c>
      <c r="AB852" cm="1">
        <f t="array" ref="AB852">INDEX(Innings!J:J,MATCH(1,(TRIM(Innings!A:A)=TRIM(A852))*(TRIM(Innings!D:D)=TRIM(E852)),0))</f>
        <v>42</v>
      </c>
      <c r="AC852" cm="1">
        <f t="array" ref="AC852">INDEX(Innings!N:N,MATCH(1,(TRIM(Innings!A:A)=TRIM(A852))*(TRIM(Innings!D:D)=TRIM(E852)),0))</f>
        <v>43</v>
      </c>
      <c r="AD852" cm="1">
        <f t="array" ref="AD852">INDEX(Innings!S:S,MATCH(1,(TRIM(Innings!A:A)=TRIM(A852))*(TRIM(Innings!D:D)=TRIM(E852)),0))</f>
        <v>35</v>
      </c>
      <c r="AE852" t="str" cm="1">
        <f t="array" ref="AE852">INDEX(Innings!W:W,MATCH(1,(TRIM(Innings!A:A)=TRIM(A852))*(TRIM(Innings!D:D)=TRIM(E852)),0))</f>
        <v>Failed</v>
      </c>
      <c r="AF852">
        <f>IF(UPPER(TRIM(E852))=UPPER(TRIM(W852)),1,0)</f>
        <v>0</v>
      </c>
      <c r="AG852">
        <f t="shared" si="26"/>
        <v>32.049999999999997</v>
      </c>
    </row>
    <row r="853" spans="1:33" x14ac:dyDescent="0.3">
      <c r="A853" t="s">
        <v>364</v>
      </c>
      <c r="B853">
        <v>2</v>
      </c>
      <c r="C853" t="s">
        <v>99</v>
      </c>
      <c r="D853" t="s">
        <v>124</v>
      </c>
      <c r="E853" t="s">
        <v>159</v>
      </c>
      <c r="F853" t="s">
        <v>169</v>
      </c>
      <c r="G853" t="s">
        <v>135</v>
      </c>
      <c r="H853">
        <v>12</v>
      </c>
      <c r="I853">
        <v>6</v>
      </c>
      <c r="J853">
        <v>200</v>
      </c>
      <c r="K853" t="s">
        <v>246</v>
      </c>
      <c r="L853">
        <v>20.8</v>
      </c>
      <c r="M853">
        <v>2</v>
      </c>
      <c r="N853">
        <v>0</v>
      </c>
      <c r="O853">
        <v>23</v>
      </c>
      <c r="P853">
        <v>0</v>
      </c>
      <c r="Q853">
        <v>11.5</v>
      </c>
      <c r="R853">
        <v>0</v>
      </c>
      <c r="S853">
        <v>0</v>
      </c>
      <c r="T853">
        <v>0</v>
      </c>
      <c r="U853" s="8">
        <v>20.8</v>
      </c>
      <c r="V853" s="8">
        <f t="shared" si="27"/>
        <v>2</v>
      </c>
      <c r="W853" t="str">
        <f>_xlfn.XLOOKUP(A853, Matches!A:A, Matches!L:L, "NA", 0)</f>
        <v>DCW</v>
      </c>
      <c r="X853" t="str">
        <f>_xlfn.XLOOKUP(A853, Matches!A:A, Matches!J:J, "NA", 0)</f>
        <v>DCW</v>
      </c>
      <c r="Y853" t="str">
        <f>_xlfn.XLOOKUP(A853, Matches!A:A, Matches!F:F, "NA", 0)</f>
        <v>Arun Jaitley Stadium</v>
      </c>
      <c r="Z853" cm="1">
        <f t="array" ref="Z853">INDEX(Innings!F:F,MATCH(1,(TRIM(Innings!A:A)=TRIM(A853))*(TRIM(Innings!D:D)=TRIM(E853)),0))</f>
        <v>180</v>
      </c>
      <c r="AA853" cm="1">
        <f t="array" ref="AA853">INDEX(Innings!I:I,MATCH(1,(TRIM(Innings!A:A)=TRIM(A853))*(TRIM(Innings!D:D)=TRIM(E853)),0))</f>
        <v>9</v>
      </c>
      <c r="AB853" cm="1">
        <f t="array" ref="AB853">INDEX(Innings!J:J,MATCH(1,(TRIM(Innings!A:A)=TRIM(A853))*(TRIM(Innings!D:D)=TRIM(E853)),0))</f>
        <v>42</v>
      </c>
      <c r="AC853" cm="1">
        <f t="array" ref="AC853">INDEX(Innings!N:N,MATCH(1,(TRIM(Innings!A:A)=TRIM(A853))*(TRIM(Innings!D:D)=TRIM(E853)),0))</f>
        <v>43</v>
      </c>
      <c r="AD853" cm="1">
        <f t="array" ref="AD853">INDEX(Innings!S:S,MATCH(1,(TRIM(Innings!A:A)=TRIM(A853))*(TRIM(Innings!D:D)=TRIM(E853)),0))</f>
        <v>35</v>
      </c>
      <c r="AE853" t="str" cm="1">
        <f t="array" ref="AE853">INDEX(Innings!W:W,MATCH(1,(TRIM(Innings!A:A)=TRIM(A853))*(TRIM(Innings!D:D)=TRIM(E853)),0))</f>
        <v>Failed</v>
      </c>
      <c r="AF853">
        <f>IF(UPPER(TRIM(E853))=UPPER(TRIM(W853)),1,0)</f>
        <v>0</v>
      </c>
      <c r="AG853">
        <f t="shared" si="26"/>
        <v>11</v>
      </c>
    </row>
    <row r="854" spans="1:33" x14ac:dyDescent="0.3">
      <c r="A854" t="s">
        <v>364</v>
      </c>
      <c r="B854">
        <v>2</v>
      </c>
      <c r="C854" t="s">
        <v>172</v>
      </c>
      <c r="D854" t="s">
        <v>173</v>
      </c>
      <c r="E854" t="s">
        <v>159</v>
      </c>
      <c r="F854" t="s">
        <v>109</v>
      </c>
      <c r="G854" t="s">
        <v>135</v>
      </c>
      <c r="H854">
        <v>0</v>
      </c>
      <c r="I854">
        <v>0</v>
      </c>
      <c r="J854">
        <v>0</v>
      </c>
      <c r="K854" t="s">
        <v>256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 s="8">
        <v>0</v>
      </c>
      <c r="V854" s="8">
        <f t="shared" si="27"/>
        <v>0</v>
      </c>
      <c r="W854" t="str">
        <f>_xlfn.XLOOKUP(A854, Matches!A:A, Matches!L:L, "NA", 0)</f>
        <v>DCW</v>
      </c>
      <c r="X854" t="str">
        <f>_xlfn.XLOOKUP(A854, Matches!A:A, Matches!J:J, "NA", 0)</f>
        <v>DCW</v>
      </c>
      <c r="Y854" t="str">
        <f>_xlfn.XLOOKUP(A854, Matches!A:A, Matches!F:F, "NA", 0)</f>
        <v>Arun Jaitley Stadium</v>
      </c>
      <c r="Z854" cm="1">
        <f t="array" ref="Z854">INDEX(Innings!F:F,MATCH(1,(TRIM(Innings!A:A)=TRIM(A854))*(TRIM(Innings!D:D)=TRIM(E854)),0))</f>
        <v>180</v>
      </c>
      <c r="AA854" cm="1">
        <f t="array" ref="AA854">INDEX(Innings!I:I,MATCH(1,(TRIM(Innings!A:A)=TRIM(A854))*(TRIM(Innings!D:D)=TRIM(E854)),0))</f>
        <v>9</v>
      </c>
      <c r="AB854" cm="1">
        <f t="array" ref="AB854">INDEX(Innings!J:J,MATCH(1,(TRIM(Innings!A:A)=TRIM(A854))*(TRIM(Innings!D:D)=TRIM(E854)),0))</f>
        <v>42</v>
      </c>
      <c r="AC854" cm="1">
        <f t="array" ref="AC854">INDEX(Innings!N:N,MATCH(1,(TRIM(Innings!A:A)=TRIM(A854))*(TRIM(Innings!D:D)=TRIM(E854)),0))</f>
        <v>43</v>
      </c>
      <c r="AD854" cm="1">
        <f t="array" ref="AD854">INDEX(Innings!S:S,MATCH(1,(TRIM(Innings!A:A)=TRIM(A854))*(TRIM(Innings!D:D)=TRIM(E854)),0))</f>
        <v>35</v>
      </c>
      <c r="AE854" t="str" cm="1">
        <f t="array" ref="AE854">INDEX(Innings!W:W,MATCH(1,(TRIM(Innings!A:A)=TRIM(A854))*(TRIM(Innings!D:D)=TRIM(E854)),0))</f>
        <v>Failed</v>
      </c>
      <c r="AF854">
        <f>IF(UPPER(TRIM(E854))=UPPER(TRIM(W854)),1,0)</f>
        <v>0</v>
      </c>
      <c r="AG854">
        <f t="shared" si="26"/>
        <v>0</v>
      </c>
    </row>
    <row r="855" spans="1:33" x14ac:dyDescent="0.3">
      <c r="A855" t="s">
        <v>364</v>
      </c>
      <c r="B855">
        <v>2</v>
      </c>
      <c r="C855" t="s">
        <v>259</v>
      </c>
      <c r="D855" t="s">
        <v>257</v>
      </c>
      <c r="E855" t="s">
        <v>159</v>
      </c>
      <c r="F855" t="s">
        <v>169</v>
      </c>
      <c r="G855" t="s">
        <v>135</v>
      </c>
      <c r="H855">
        <v>0</v>
      </c>
      <c r="I855">
        <v>0</v>
      </c>
      <c r="J855">
        <v>0</v>
      </c>
      <c r="K855" t="s">
        <v>96</v>
      </c>
      <c r="L855">
        <v>115</v>
      </c>
      <c r="M855">
        <v>4</v>
      </c>
      <c r="N855">
        <v>0</v>
      </c>
      <c r="O855">
        <v>26</v>
      </c>
      <c r="P855">
        <v>4</v>
      </c>
      <c r="Q855">
        <v>6.5</v>
      </c>
      <c r="R855">
        <v>60</v>
      </c>
      <c r="S855">
        <v>0</v>
      </c>
      <c r="T855">
        <v>0</v>
      </c>
      <c r="U855" s="8">
        <v>115</v>
      </c>
      <c r="V855" s="8">
        <f t="shared" si="27"/>
        <v>10</v>
      </c>
      <c r="W855" t="str">
        <f>_xlfn.XLOOKUP(A855, Matches!A:A, Matches!L:L, "NA", 0)</f>
        <v>DCW</v>
      </c>
      <c r="X855" t="str">
        <f>_xlfn.XLOOKUP(A855, Matches!A:A, Matches!J:J, "NA", 0)</f>
        <v>DCW</v>
      </c>
      <c r="Y855" t="str">
        <f>_xlfn.XLOOKUP(A855, Matches!A:A, Matches!F:F, "NA", 0)</f>
        <v>Arun Jaitley Stadium</v>
      </c>
      <c r="Z855" cm="1">
        <f t="array" ref="Z855">INDEX(Innings!F:F,MATCH(1,(TRIM(Innings!A:A)=TRIM(A855))*(TRIM(Innings!D:D)=TRIM(E855)),0))</f>
        <v>180</v>
      </c>
      <c r="AA855" cm="1">
        <f t="array" ref="AA855">INDEX(Innings!I:I,MATCH(1,(TRIM(Innings!A:A)=TRIM(A855))*(TRIM(Innings!D:D)=TRIM(E855)),0))</f>
        <v>9</v>
      </c>
      <c r="AB855" cm="1">
        <f t="array" ref="AB855">INDEX(Innings!J:J,MATCH(1,(TRIM(Innings!A:A)=TRIM(A855))*(TRIM(Innings!D:D)=TRIM(E855)),0))</f>
        <v>42</v>
      </c>
      <c r="AC855" cm="1">
        <f t="array" ref="AC855">INDEX(Innings!N:N,MATCH(1,(TRIM(Innings!A:A)=TRIM(A855))*(TRIM(Innings!D:D)=TRIM(E855)),0))</f>
        <v>43</v>
      </c>
      <c r="AD855" cm="1">
        <f t="array" ref="AD855">INDEX(Innings!S:S,MATCH(1,(TRIM(Innings!A:A)=TRIM(A855))*(TRIM(Innings!D:D)=TRIM(E855)),0))</f>
        <v>35</v>
      </c>
      <c r="AE855" t="str" cm="1">
        <f t="array" ref="AE855">INDEX(Innings!W:W,MATCH(1,(TRIM(Innings!A:A)=TRIM(A855))*(TRIM(Innings!D:D)=TRIM(E855)),0))</f>
        <v>Failed</v>
      </c>
      <c r="AF855">
        <f>IF(UPPER(TRIM(E855))=UPPER(TRIM(W855)),1,0)</f>
        <v>0</v>
      </c>
      <c r="AG855">
        <f t="shared" si="26"/>
        <v>60.5</v>
      </c>
    </row>
    <row r="856" spans="1:33" x14ac:dyDescent="0.3">
      <c r="A856" t="s">
        <v>364</v>
      </c>
      <c r="B856">
        <v>2</v>
      </c>
      <c r="C856" t="s">
        <v>180</v>
      </c>
      <c r="D856" t="s">
        <v>181</v>
      </c>
      <c r="E856" t="s">
        <v>159</v>
      </c>
      <c r="F856" t="s">
        <v>101</v>
      </c>
      <c r="G856" t="s">
        <v>104</v>
      </c>
      <c r="H856">
        <v>0</v>
      </c>
      <c r="I856">
        <v>0</v>
      </c>
      <c r="J856">
        <v>0</v>
      </c>
      <c r="K856" t="s">
        <v>104</v>
      </c>
      <c r="L856">
        <v>25</v>
      </c>
      <c r="M856">
        <v>4</v>
      </c>
      <c r="N856">
        <v>0</v>
      </c>
      <c r="O856">
        <v>29</v>
      </c>
      <c r="P856">
        <v>1</v>
      </c>
      <c r="Q856">
        <v>7.2</v>
      </c>
      <c r="R856">
        <v>25</v>
      </c>
      <c r="S856">
        <v>0</v>
      </c>
      <c r="T856">
        <v>0</v>
      </c>
      <c r="U856" s="8">
        <v>25</v>
      </c>
      <c r="V856" s="8">
        <f t="shared" si="27"/>
        <v>3</v>
      </c>
      <c r="W856" t="str">
        <f>_xlfn.XLOOKUP(A856, Matches!A:A, Matches!L:L, "NA", 0)</f>
        <v>DCW</v>
      </c>
      <c r="X856" t="str">
        <f>_xlfn.XLOOKUP(A856, Matches!A:A, Matches!J:J, "NA", 0)</f>
        <v>DCW</v>
      </c>
      <c r="Y856" t="str">
        <f>_xlfn.XLOOKUP(A856, Matches!A:A, Matches!F:F, "NA", 0)</f>
        <v>Arun Jaitley Stadium</v>
      </c>
      <c r="Z856" cm="1">
        <f t="array" ref="Z856">INDEX(Innings!F:F,MATCH(1,(TRIM(Innings!A:A)=TRIM(A856))*(TRIM(Innings!D:D)=TRIM(E856)),0))</f>
        <v>180</v>
      </c>
      <c r="AA856" cm="1">
        <f t="array" ref="AA856">INDEX(Innings!I:I,MATCH(1,(TRIM(Innings!A:A)=TRIM(A856))*(TRIM(Innings!D:D)=TRIM(E856)),0))</f>
        <v>9</v>
      </c>
      <c r="AB856" cm="1">
        <f t="array" ref="AB856">INDEX(Innings!J:J,MATCH(1,(TRIM(Innings!A:A)=TRIM(A856))*(TRIM(Innings!D:D)=TRIM(E856)),0))</f>
        <v>42</v>
      </c>
      <c r="AC856" cm="1">
        <f t="array" ref="AC856">INDEX(Innings!N:N,MATCH(1,(TRIM(Innings!A:A)=TRIM(A856))*(TRIM(Innings!D:D)=TRIM(E856)),0))</f>
        <v>43</v>
      </c>
      <c r="AD856" cm="1">
        <f t="array" ref="AD856">INDEX(Innings!S:S,MATCH(1,(TRIM(Innings!A:A)=TRIM(A856))*(TRIM(Innings!D:D)=TRIM(E856)),0))</f>
        <v>35</v>
      </c>
      <c r="AE856" t="str" cm="1">
        <f t="array" ref="AE856">INDEX(Innings!W:W,MATCH(1,(TRIM(Innings!A:A)=TRIM(A856))*(TRIM(Innings!D:D)=TRIM(E856)),0))</f>
        <v>Failed</v>
      </c>
      <c r="AF856">
        <f>IF(UPPER(TRIM(E856))=UPPER(TRIM(W856)),1,0)</f>
        <v>0</v>
      </c>
      <c r="AG856">
        <f t="shared" si="26"/>
        <v>13.4</v>
      </c>
    </row>
    <row r="857" spans="1:33" x14ac:dyDescent="0.3">
      <c r="A857" t="s">
        <v>364</v>
      </c>
      <c r="B857">
        <v>2</v>
      </c>
      <c r="C857" t="s">
        <v>589</v>
      </c>
      <c r="D857" t="s">
        <v>452</v>
      </c>
      <c r="E857" t="s">
        <v>159</v>
      </c>
      <c r="F857" t="s">
        <v>101</v>
      </c>
      <c r="G857" t="s">
        <v>104</v>
      </c>
      <c r="H857">
        <v>0</v>
      </c>
      <c r="I857">
        <v>0</v>
      </c>
      <c r="J857">
        <v>0</v>
      </c>
      <c r="K857" t="s">
        <v>104</v>
      </c>
      <c r="L857">
        <v>0</v>
      </c>
      <c r="M857">
        <v>3</v>
      </c>
      <c r="N857">
        <v>0</v>
      </c>
      <c r="O857">
        <v>26</v>
      </c>
      <c r="P857">
        <v>0</v>
      </c>
      <c r="Q857">
        <v>8.6999999999999993</v>
      </c>
      <c r="R857">
        <v>0</v>
      </c>
      <c r="S857">
        <v>0</v>
      </c>
      <c r="T857">
        <v>0</v>
      </c>
      <c r="U857" s="8">
        <v>0</v>
      </c>
      <c r="V857" s="8">
        <f t="shared" si="27"/>
        <v>0</v>
      </c>
      <c r="W857" t="str">
        <f>_xlfn.XLOOKUP(A857, Matches!A:A, Matches!L:L, "NA", 0)</f>
        <v>DCW</v>
      </c>
      <c r="X857" t="str">
        <f>_xlfn.XLOOKUP(A857, Matches!A:A, Matches!J:J, "NA", 0)</f>
        <v>DCW</v>
      </c>
      <c r="Y857" t="str">
        <f>_xlfn.XLOOKUP(A857, Matches!A:A, Matches!F:F, "NA", 0)</f>
        <v>Arun Jaitley Stadium</v>
      </c>
      <c r="Z857" cm="1">
        <f t="array" ref="Z857">INDEX(Innings!F:F,MATCH(1,(TRIM(Innings!A:A)=TRIM(A857))*(TRIM(Innings!D:D)=TRIM(E857)),0))</f>
        <v>180</v>
      </c>
      <c r="AA857" cm="1">
        <f t="array" ref="AA857">INDEX(Innings!I:I,MATCH(1,(TRIM(Innings!A:A)=TRIM(A857))*(TRIM(Innings!D:D)=TRIM(E857)),0))</f>
        <v>9</v>
      </c>
      <c r="AB857" cm="1">
        <f t="array" ref="AB857">INDEX(Innings!J:J,MATCH(1,(TRIM(Innings!A:A)=TRIM(A857))*(TRIM(Innings!D:D)=TRIM(E857)),0))</f>
        <v>42</v>
      </c>
      <c r="AC857" cm="1">
        <f t="array" ref="AC857">INDEX(Innings!N:N,MATCH(1,(TRIM(Innings!A:A)=TRIM(A857))*(TRIM(Innings!D:D)=TRIM(E857)),0))</f>
        <v>43</v>
      </c>
      <c r="AD857" cm="1">
        <f t="array" ref="AD857">INDEX(Innings!S:S,MATCH(1,(TRIM(Innings!A:A)=TRIM(A857))*(TRIM(Innings!D:D)=TRIM(E857)),0))</f>
        <v>35</v>
      </c>
      <c r="AE857" t="str" cm="1">
        <f t="array" ref="AE857">INDEX(Innings!W:W,MATCH(1,(TRIM(Innings!A:A)=TRIM(A857))*(TRIM(Innings!D:D)=TRIM(E857)),0))</f>
        <v>Failed</v>
      </c>
      <c r="AF857">
        <f>IF(UPPER(TRIM(E857))=UPPER(TRIM(W857)),1,0)</f>
        <v>0</v>
      </c>
      <c r="AG857">
        <f t="shared" si="26"/>
        <v>0</v>
      </c>
    </row>
    <row r="858" spans="1:33" x14ac:dyDescent="0.3">
      <c r="A858" t="s">
        <v>364</v>
      </c>
      <c r="B858">
        <v>2</v>
      </c>
      <c r="C858" t="s">
        <v>186</v>
      </c>
      <c r="D858" t="s">
        <v>187</v>
      </c>
      <c r="E858" t="s">
        <v>159</v>
      </c>
      <c r="F858" t="s">
        <v>101</v>
      </c>
      <c r="G858" t="s">
        <v>104</v>
      </c>
      <c r="H858">
        <v>0</v>
      </c>
      <c r="I858">
        <v>0</v>
      </c>
      <c r="J858">
        <v>0</v>
      </c>
      <c r="K858" t="s">
        <v>104</v>
      </c>
      <c r="L858">
        <v>0</v>
      </c>
      <c r="M858">
        <v>3</v>
      </c>
      <c r="N858">
        <v>0</v>
      </c>
      <c r="O858">
        <v>31</v>
      </c>
      <c r="P858">
        <v>0</v>
      </c>
      <c r="Q858">
        <v>10.3</v>
      </c>
      <c r="R858">
        <v>0</v>
      </c>
      <c r="S858">
        <v>0</v>
      </c>
      <c r="T858">
        <v>0</v>
      </c>
      <c r="U858" s="8">
        <v>0</v>
      </c>
      <c r="V858" s="8">
        <f t="shared" si="27"/>
        <v>0</v>
      </c>
      <c r="W858" t="str">
        <f>_xlfn.XLOOKUP(A858, Matches!A:A, Matches!L:L, "NA", 0)</f>
        <v>DCW</v>
      </c>
      <c r="X858" t="str">
        <f>_xlfn.XLOOKUP(A858, Matches!A:A, Matches!J:J, "NA", 0)</f>
        <v>DCW</v>
      </c>
      <c r="Y858" t="str">
        <f>_xlfn.XLOOKUP(A858, Matches!A:A, Matches!F:F, "NA", 0)</f>
        <v>Arun Jaitley Stadium</v>
      </c>
      <c r="Z858" cm="1">
        <f t="array" ref="Z858">INDEX(Innings!F:F,MATCH(1,(TRIM(Innings!A:A)=TRIM(A858))*(TRIM(Innings!D:D)=TRIM(E858)),0))</f>
        <v>180</v>
      </c>
      <c r="AA858" cm="1">
        <f t="array" ref="AA858">INDEX(Innings!I:I,MATCH(1,(TRIM(Innings!A:A)=TRIM(A858))*(TRIM(Innings!D:D)=TRIM(E858)),0))</f>
        <v>9</v>
      </c>
      <c r="AB858" cm="1">
        <f t="array" ref="AB858">INDEX(Innings!J:J,MATCH(1,(TRIM(Innings!A:A)=TRIM(A858))*(TRIM(Innings!D:D)=TRIM(E858)),0))</f>
        <v>42</v>
      </c>
      <c r="AC858" cm="1">
        <f t="array" ref="AC858">INDEX(Innings!N:N,MATCH(1,(TRIM(Innings!A:A)=TRIM(A858))*(TRIM(Innings!D:D)=TRIM(E858)),0))</f>
        <v>43</v>
      </c>
      <c r="AD858" cm="1">
        <f t="array" ref="AD858">INDEX(Innings!S:S,MATCH(1,(TRIM(Innings!A:A)=TRIM(A858))*(TRIM(Innings!D:D)=TRIM(E858)),0))</f>
        <v>35</v>
      </c>
      <c r="AE858" t="str" cm="1">
        <f t="array" ref="AE858">INDEX(Innings!W:W,MATCH(1,(TRIM(Innings!A:A)=TRIM(A858))*(TRIM(Innings!D:D)=TRIM(E858)),0))</f>
        <v>Failed</v>
      </c>
      <c r="AF858">
        <f>IF(UPPER(TRIM(E858))=UPPER(TRIM(W858)),1,0)</f>
        <v>0</v>
      </c>
      <c r="AG858">
        <f t="shared" si="26"/>
        <v>0</v>
      </c>
    </row>
    <row r="859" spans="1:33" x14ac:dyDescent="0.3">
      <c r="A859" t="s">
        <v>365</v>
      </c>
      <c r="B859">
        <v>2</v>
      </c>
      <c r="C859" t="s">
        <v>278</v>
      </c>
      <c r="D859" t="s">
        <v>293</v>
      </c>
      <c r="E859" t="s">
        <v>258</v>
      </c>
      <c r="F859" t="s">
        <v>109</v>
      </c>
      <c r="G859" t="s">
        <v>86</v>
      </c>
      <c r="H859">
        <v>43</v>
      </c>
      <c r="I859">
        <v>30</v>
      </c>
      <c r="J859">
        <v>143.33000000000001</v>
      </c>
      <c r="K859" t="s">
        <v>246</v>
      </c>
      <c r="L859">
        <v>38.700000000000003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 s="8">
        <v>38.700000000000003</v>
      </c>
      <c r="V859" s="8">
        <f t="shared" si="27"/>
        <v>4</v>
      </c>
      <c r="W859" t="str">
        <f>_xlfn.XLOOKUP(A859, Matches!A:A, Matches!L:L, "NA", 0)</f>
        <v>GGTW</v>
      </c>
      <c r="X859" t="str">
        <f>_xlfn.XLOOKUP(A859, Matches!A:A, Matches!J:J, "NA", 0)</f>
        <v>GGTW</v>
      </c>
      <c r="Y859" t="str">
        <f>_xlfn.XLOOKUP(A859, Matches!A:A, Matches!F:F, "NA", 0)</f>
        <v>Arun Jaitley Stadium</v>
      </c>
      <c r="Z859" cm="1">
        <f t="array" ref="Z859">INDEX(Innings!F:F,MATCH(1,(TRIM(Innings!A:A)=TRIM(A859))*(TRIM(Innings!D:D)=TRIM(E859)),0))</f>
        <v>152</v>
      </c>
      <c r="AA859" cm="1">
        <f t="array" ref="AA859">INDEX(Innings!I:I,MATCH(1,(TRIM(Innings!A:A)=TRIM(A859))*(TRIM(Innings!D:D)=TRIM(E859)),0))</f>
        <v>7.6</v>
      </c>
      <c r="AB859" cm="1">
        <f t="array" ref="AB859">INDEX(Innings!J:J,MATCH(1,(TRIM(Innings!A:A)=TRIM(A859))*(TRIM(Innings!D:D)=TRIM(E859)),0))</f>
        <v>53</v>
      </c>
      <c r="AC859" cm="1">
        <f t="array" ref="AC859">INDEX(Innings!N:N,MATCH(1,(TRIM(Innings!A:A)=TRIM(A859))*(TRIM(Innings!D:D)=TRIM(E859)),0))</f>
        <v>41</v>
      </c>
      <c r="AD859" cm="1">
        <f t="array" ref="AD859">INDEX(Innings!S:S,MATCH(1,(TRIM(Innings!A:A)=TRIM(A859))*(TRIM(Innings!D:D)=TRIM(E859)),0))</f>
        <v>44</v>
      </c>
      <c r="AE859" t="str" cm="1">
        <f t="array" ref="AE859">INDEX(Innings!W:W,MATCH(1,(TRIM(Innings!A:A)=TRIM(A859))*(TRIM(Innings!D:D)=TRIM(E859)),0))</f>
        <v>NA</v>
      </c>
      <c r="AF859">
        <f>IF(UPPER(TRIM(E859))=UPPER(TRIM(W859)),1,0)</f>
        <v>1</v>
      </c>
      <c r="AG859">
        <f t="shared" si="26"/>
        <v>40.549999999999997</v>
      </c>
    </row>
    <row r="860" spans="1:33" x14ac:dyDescent="0.3">
      <c r="A860" t="s">
        <v>365</v>
      </c>
      <c r="B860">
        <v>2</v>
      </c>
      <c r="C860" t="s">
        <v>81</v>
      </c>
      <c r="D860" t="s">
        <v>114</v>
      </c>
      <c r="E860" t="s">
        <v>258</v>
      </c>
      <c r="F860" t="s">
        <v>85</v>
      </c>
      <c r="G860" t="s">
        <v>86</v>
      </c>
      <c r="H860">
        <v>74</v>
      </c>
      <c r="I860">
        <v>52</v>
      </c>
      <c r="J860">
        <v>142.31</v>
      </c>
      <c r="K860" t="s">
        <v>96</v>
      </c>
      <c r="L860">
        <v>78.599999999999994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 s="8">
        <v>78.599999999999994</v>
      </c>
      <c r="V860" s="8">
        <f t="shared" si="27"/>
        <v>8</v>
      </c>
      <c r="W860" t="str">
        <f>_xlfn.XLOOKUP(A860, Matches!A:A, Matches!L:L, "NA", 0)</f>
        <v>GGTW</v>
      </c>
      <c r="X860" t="str">
        <f>_xlfn.XLOOKUP(A860, Matches!A:A, Matches!J:J, "NA", 0)</f>
        <v>GGTW</v>
      </c>
      <c r="Y860" t="str">
        <f>_xlfn.XLOOKUP(A860, Matches!A:A, Matches!F:F, "NA", 0)</f>
        <v>Arun Jaitley Stadium</v>
      </c>
      <c r="Z860" cm="1">
        <f t="array" ref="Z860">INDEX(Innings!F:F,MATCH(1,(TRIM(Innings!A:A)=TRIM(A860))*(TRIM(Innings!D:D)=TRIM(E860)),0))</f>
        <v>152</v>
      </c>
      <c r="AA860" cm="1">
        <f t="array" ref="AA860">INDEX(Innings!I:I,MATCH(1,(TRIM(Innings!A:A)=TRIM(A860))*(TRIM(Innings!D:D)=TRIM(E860)),0))</f>
        <v>7.6</v>
      </c>
      <c r="AB860" cm="1">
        <f t="array" ref="AB860">INDEX(Innings!J:J,MATCH(1,(TRIM(Innings!A:A)=TRIM(A860))*(TRIM(Innings!D:D)=TRIM(E860)),0))</f>
        <v>53</v>
      </c>
      <c r="AC860" cm="1">
        <f t="array" ref="AC860">INDEX(Innings!N:N,MATCH(1,(TRIM(Innings!A:A)=TRIM(A860))*(TRIM(Innings!D:D)=TRIM(E860)),0))</f>
        <v>41</v>
      </c>
      <c r="AD860" cm="1">
        <f t="array" ref="AD860">INDEX(Innings!S:S,MATCH(1,(TRIM(Innings!A:A)=TRIM(A860))*(TRIM(Innings!D:D)=TRIM(E860)),0))</f>
        <v>44</v>
      </c>
      <c r="AE860" t="str" cm="1">
        <f t="array" ref="AE860">INDEX(Innings!W:W,MATCH(1,(TRIM(Innings!A:A)=TRIM(A860))*(TRIM(Innings!D:D)=TRIM(E860)),0))</f>
        <v>NA</v>
      </c>
      <c r="AF860">
        <f>IF(UPPER(TRIM(E860))=UPPER(TRIM(W860)),1,0)</f>
        <v>1</v>
      </c>
      <c r="AG860">
        <f t="shared" si="26"/>
        <v>61.699999999999996</v>
      </c>
    </row>
    <row r="861" spans="1:33" x14ac:dyDescent="0.3">
      <c r="A861" t="s">
        <v>365</v>
      </c>
      <c r="B861">
        <v>2</v>
      </c>
      <c r="C861" t="s">
        <v>97</v>
      </c>
      <c r="D861" t="s">
        <v>122</v>
      </c>
      <c r="E861" t="s">
        <v>258</v>
      </c>
      <c r="F861" t="s">
        <v>109</v>
      </c>
      <c r="G861" t="s">
        <v>92</v>
      </c>
      <c r="H861">
        <v>0</v>
      </c>
      <c r="I861">
        <v>2</v>
      </c>
      <c r="J861">
        <v>0</v>
      </c>
      <c r="K861" t="s">
        <v>246</v>
      </c>
      <c r="L861">
        <v>-5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 s="8">
        <v>-5</v>
      </c>
      <c r="V861" s="8">
        <f t="shared" si="27"/>
        <v>0</v>
      </c>
      <c r="W861" t="str">
        <f>_xlfn.XLOOKUP(A861, Matches!A:A, Matches!L:L, "NA", 0)</f>
        <v>GGTW</v>
      </c>
      <c r="X861" t="str">
        <f>_xlfn.XLOOKUP(A861, Matches!A:A, Matches!J:J, "NA", 0)</f>
        <v>GGTW</v>
      </c>
      <c r="Y861" t="str">
        <f>_xlfn.XLOOKUP(A861, Matches!A:A, Matches!F:F, "NA", 0)</f>
        <v>Arun Jaitley Stadium</v>
      </c>
      <c r="Z861" cm="1">
        <f t="array" ref="Z861">INDEX(Innings!F:F,MATCH(1,(TRIM(Innings!A:A)=TRIM(A861))*(TRIM(Innings!D:D)=TRIM(E861)),0))</f>
        <v>152</v>
      </c>
      <c r="AA861" cm="1">
        <f t="array" ref="AA861">INDEX(Innings!I:I,MATCH(1,(TRIM(Innings!A:A)=TRIM(A861))*(TRIM(Innings!D:D)=TRIM(E861)),0))</f>
        <v>7.6</v>
      </c>
      <c r="AB861" cm="1">
        <f t="array" ref="AB861">INDEX(Innings!J:J,MATCH(1,(TRIM(Innings!A:A)=TRIM(A861))*(TRIM(Innings!D:D)=TRIM(E861)),0))</f>
        <v>53</v>
      </c>
      <c r="AC861" cm="1">
        <f t="array" ref="AC861">INDEX(Innings!N:N,MATCH(1,(TRIM(Innings!A:A)=TRIM(A861))*(TRIM(Innings!D:D)=TRIM(E861)),0))</f>
        <v>41</v>
      </c>
      <c r="AD861" cm="1">
        <f t="array" ref="AD861">INDEX(Innings!S:S,MATCH(1,(TRIM(Innings!A:A)=TRIM(A861))*(TRIM(Innings!D:D)=TRIM(E861)),0))</f>
        <v>44</v>
      </c>
      <c r="AE861" t="str" cm="1">
        <f t="array" ref="AE861">INDEX(Innings!W:W,MATCH(1,(TRIM(Innings!A:A)=TRIM(A861))*(TRIM(Innings!D:D)=TRIM(E861)),0))</f>
        <v>NA</v>
      </c>
      <c r="AF861">
        <f>IF(UPPER(TRIM(E861))=UPPER(TRIM(W861)),1,0)</f>
        <v>1</v>
      </c>
      <c r="AG861">
        <f t="shared" si="26"/>
        <v>20</v>
      </c>
    </row>
    <row r="862" spans="1:33" x14ac:dyDescent="0.3">
      <c r="A862" t="s">
        <v>365</v>
      </c>
      <c r="B862">
        <v>2</v>
      </c>
      <c r="C862" t="s">
        <v>383</v>
      </c>
      <c r="D862" t="s">
        <v>384</v>
      </c>
      <c r="E862" t="s">
        <v>258</v>
      </c>
      <c r="F862" t="s">
        <v>109</v>
      </c>
      <c r="G862" t="s">
        <v>134</v>
      </c>
      <c r="H862">
        <v>4</v>
      </c>
      <c r="I862">
        <v>8</v>
      </c>
      <c r="J862">
        <v>50</v>
      </c>
      <c r="K862" t="s">
        <v>246</v>
      </c>
      <c r="L862">
        <v>-1.6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 s="8">
        <v>-1.6</v>
      </c>
      <c r="V862" s="8">
        <f t="shared" si="27"/>
        <v>0</v>
      </c>
      <c r="W862" t="str">
        <f>_xlfn.XLOOKUP(A862, Matches!A:A, Matches!L:L, "NA", 0)</f>
        <v>GGTW</v>
      </c>
      <c r="X862" t="str">
        <f>_xlfn.XLOOKUP(A862, Matches!A:A, Matches!J:J, "NA", 0)</f>
        <v>GGTW</v>
      </c>
      <c r="Y862" t="str">
        <f>_xlfn.XLOOKUP(A862, Matches!A:A, Matches!F:F, "NA", 0)</f>
        <v>Arun Jaitley Stadium</v>
      </c>
      <c r="Z862" cm="1">
        <f t="array" ref="Z862">INDEX(Innings!F:F,MATCH(1,(TRIM(Innings!A:A)=TRIM(A862))*(TRIM(Innings!D:D)=TRIM(E862)),0))</f>
        <v>152</v>
      </c>
      <c r="AA862" cm="1">
        <f t="array" ref="AA862">INDEX(Innings!I:I,MATCH(1,(TRIM(Innings!A:A)=TRIM(A862))*(TRIM(Innings!D:D)=TRIM(E862)),0))</f>
        <v>7.6</v>
      </c>
      <c r="AB862" cm="1">
        <f t="array" ref="AB862">INDEX(Innings!J:J,MATCH(1,(TRIM(Innings!A:A)=TRIM(A862))*(TRIM(Innings!D:D)=TRIM(E862)),0))</f>
        <v>53</v>
      </c>
      <c r="AC862" cm="1">
        <f t="array" ref="AC862">INDEX(Innings!N:N,MATCH(1,(TRIM(Innings!A:A)=TRIM(A862))*(TRIM(Innings!D:D)=TRIM(E862)),0))</f>
        <v>41</v>
      </c>
      <c r="AD862" cm="1">
        <f t="array" ref="AD862">INDEX(Innings!S:S,MATCH(1,(TRIM(Innings!A:A)=TRIM(A862))*(TRIM(Innings!D:D)=TRIM(E862)),0))</f>
        <v>44</v>
      </c>
      <c r="AE862" t="str" cm="1">
        <f t="array" ref="AE862">INDEX(Innings!W:W,MATCH(1,(TRIM(Innings!A:A)=TRIM(A862))*(TRIM(Innings!D:D)=TRIM(E862)),0))</f>
        <v>NA</v>
      </c>
      <c r="AF862">
        <f>IF(UPPER(TRIM(E862))=UPPER(TRIM(W862)),1,0)</f>
        <v>1</v>
      </c>
      <c r="AG862">
        <f t="shared" si="26"/>
        <v>20</v>
      </c>
    </row>
    <row r="863" spans="1:33" x14ac:dyDescent="0.3">
      <c r="A863" t="s">
        <v>365</v>
      </c>
      <c r="B863">
        <v>2</v>
      </c>
      <c r="C863" t="s">
        <v>93</v>
      </c>
      <c r="D863" t="s">
        <v>118</v>
      </c>
      <c r="E863" t="s">
        <v>258</v>
      </c>
      <c r="F863" t="s">
        <v>169</v>
      </c>
      <c r="G863" t="s">
        <v>134</v>
      </c>
      <c r="H863">
        <v>15</v>
      </c>
      <c r="I863">
        <v>10</v>
      </c>
      <c r="J863">
        <v>150</v>
      </c>
      <c r="K863" t="s">
        <v>246</v>
      </c>
      <c r="L863">
        <v>14</v>
      </c>
      <c r="M863">
        <v>3</v>
      </c>
      <c r="N863">
        <v>0</v>
      </c>
      <c r="O863">
        <v>30</v>
      </c>
      <c r="P863">
        <v>1</v>
      </c>
      <c r="Q863">
        <v>10</v>
      </c>
      <c r="R863">
        <v>15</v>
      </c>
      <c r="S863">
        <v>0</v>
      </c>
      <c r="T863">
        <v>0</v>
      </c>
      <c r="U863" s="8">
        <v>29</v>
      </c>
      <c r="V863" s="8">
        <f t="shared" si="27"/>
        <v>3</v>
      </c>
      <c r="W863" t="str">
        <f>_xlfn.XLOOKUP(A863, Matches!A:A, Matches!L:L, "NA", 0)</f>
        <v>GGTW</v>
      </c>
      <c r="X863" t="str">
        <f>_xlfn.XLOOKUP(A863, Matches!A:A, Matches!J:J, "NA", 0)</f>
        <v>GGTW</v>
      </c>
      <c r="Y863" t="str">
        <f>_xlfn.XLOOKUP(A863, Matches!A:A, Matches!F:F, "NA", 0)</f>
        <v>Arun Jaitley Stadium</v>
      </c>
      <c r="Z863" cm="1">
        <f t="array" ref="Z863">INDEX(Innings!F:F,MATCH(1,(TRIM(Innings!A:A)=TRIM(A863))*(TRIM(Innings!D:D)=TRIM(E863)),0))</f>
        <v>152</v>
      </c>
      <c r="AA863" cm="1">
        <f t="array" ref="AA863">INDEX(Innings!I:I,MATCH(1,(TRIM(Innings!A:A)=TRIM(A863))*(TRIM(Innings!D:D)=TRIM(E863)),0))</f>
        <v>7.6</v>
      </c>
      <c r="AB863" cm="1">
        <f t="array" ref="AB863">INDEX(Innings!J:J,MATCH(1,(TRIM(Innings!A:A)=TRIM(A863))*(TRIM(Innings!D:D)=TRIM(E863)),0))</f>
        <v>53</v>
      </c>
      <c r="AC863" cm="1">
        <f t="array" ref="AC863">INDEX(Innings!N:N,MATCH(1,(TRIM(Innings!A:A)=TRIM(A863))*(TRIM(Innings!D:D)=TRIM(E863)),0))</f>
        <v>41</v>
      </c>
      <c r="AD863" cm="1">
        <f t="array" ref="AD863">INDEX(Innings!S:S,MATCH(1,(TRIM(Innings!A:A)=TRIM(A863))*(TRIM(Innings!D:D)=TRIM(E863)),0))</f>
        <v>44</v>
      </c>
      <c r="AE863" t="str" cm="1">
        <f t="array" ref="AE863">INDEX(Innings!W:W,MATCH(1,(TRIM(Innings!A:A)=TRIM(A863))*(TRIM(Innings!D:D)=TRIM(E863)),0))</f>
        <v>NA</v>
      </c>
      <c r="AF863">
        <f>IF(UPPER(TRIM(E863))=UPPER(TRIM(W863)),1,0)</f>
        <v>1</v>
      </c>
      <c r="AG863">
        <f t="shared" si="26"/>
        <v>35.4</v>
      </c>
    </row>
    <row r="864" spans="1:33" x14ac:dyDescent="0.3">
      <c r="A864" t="s">
        <v>365</v>
      </c>
      <c r="B864">
        <v>2</v>
      </c>
      <c r="C864" t="s">
        <v>447</v>
      </c>
      <c r="D864" t="s">
        <v>448</v>
      </c>
      <c r="E864" t="s">
        <v>258</v>
      </c>
      <c r="F864" t="s">
        <v>101</v>
      </c>
      <c r="G864" t="s">
        <v>134</v>
      </c>
      <c r="H864">
        <v>1</v>
      </c>
      <c r="I864">
        <v>4</v>
      </c>
      <c r="J864">
        <v>25</v>
      </c>
      <c r="K864" t="s">
        <v>246</v>
      </c>
      <c r="L864">
        <v>-2.2000000000000002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 s="8">
        <v>-2.2000000000000002</v>
      </c>
      <c r="V864" s="8">
        <f t="shared" si="27"/>
        <v>0</v>
      </c>
      <c r="W864" t="str">
        <f>_xlfn.XLOOKUP(A864, Matches!A:A, Matches!L:L, "NA", 0)</f>
        <v>GGTW</v>
      </c>
      <c r="X864" t="str">
        <f>_xlfn.XLOOKUP(A864, Matches!A:A, Matches!J:J, "NA", 0)</f>
        <v>GGTW</v>
      </c>
      <c r="Y864" t="str">
        <f>_xlfn.XLOOKUP(A864, Matches!A:A, Matches!F:F, "NA", 0)</f>
        <v>Arun Jaitley Stadium</v>
      </c>
      <c r="Z864" cm="1">
        <f t="array" ref="Z864">INDEX(Innings!F:F,MATCH(1,(TRIM(Innings!A:A)=TRIM(A864))*(TRIM(Innings!D:D)=TRIM(E864)),0))</f>
        <v>152</v>
      </c>
      <c r="AA864" cm="1">
        <f t="array" ref="AA864">INDEX(Innings!I:I,MATCH(1,(TRIM(Innings!A:A)=TRIM(A864))*(TRIM(Innings!D:D)=TRIM(E864)),0))</f>
        <v>7.6</v>
      </c>
      <c r="AB864" cm="1">
        <f t="array" ref="AB864">INDEX(Innings!J:J,MATCH(1,(TRIM(Innings!A:A)=TRIM(A864))*(TRIM(Innings!D:D)=TRIM(E864)),0))</f>
        <v>53</v>
      </c>
      <c r="AC864" cm="1">
        <f t="array" ref="AC864">INDEX(Innings!N:N,MATCH(1,(TRIM(Innings!A:A)=TRIM(A864))*(TRIM(Innings!D:D)=TRIM(E864)),0))</f>
        <v>41</v>
      </c>
      <c r="AD864" cm="1">
        <f t="array" ref="AD864">INDEX(Innings!S:S,MATCH(1,(TRIM(Innings!A:A)=TRIM(A864))*(TRIM(Innings!D:D)=TRIM(E864)),0))</f>
        <v>44</v>
      </c>
      <c r="AE864" t="str" cm="1">
        <f t="array" ref="AE864">INDEX(Innings!W:W,MATCH(1,(TRIM(Innings!A:A)=TRIM(A864))*(TRIM(Innings!D:D)=TRIM(E864)),0))</f>
        <v>NA</v>
      </c>
      <c r="AF864">
        <f>IF(UPPER(TRIM(E864))=UPPER(TRIM(W864)),1,0)</f>
        <v>1</v>
      </c>
      <c r="AG864">
        <f t="shared" si="26"/>
        <v>20</v>
      </c>
    </row>
    <row r="865" spans="1:33" x14ac:dyDescent="0.3">
      <c r="A865" t="s">
        <v>365</v>
      </c>
      <c r="B865">
        <v>2</v>
      </c>
      <c r="C865" t="s">
        <v>385</v>
      </c>
      <c r="D865" t="s">
        <v>386</v>
      </c>
      <c r="E865" t="s">
        <v>258</v>
      </c>
      <c r="F865" t="s">
        <v>169</v>
      </c>
      <c r="G865" t="s">
        <v>134</v>
      </c>
      <c r="H865">
        <v>11</v>
      </c>
      <c r="I865">
        <v>11</v>
      </c>
      <c r="J865">
        <v>100</v>
      </c>
      <c r="K865" t="s">
        <v>246</v>
      </c>
      <c r="L865">
        <v>6.9</v>
      </c>
      <c r="M865">
        <v>3</v>
      </c>
      <c r="N865">
        <v>0</v>
      </c>
      <c r="O865">
        <v>26</v>
      </c>
      <c r="P865">
        <v>1</v>
      </c>
      <c r="Q865">
        <v>8.6999999999999993</v>
      </c>
      <c r="R865">
        <v>15</v>
      </c>
      <c r="S865">
        <v>0</v>
      </c>
      <c r="T865">
        <v>0</v>
      </c>
      <c r="U865" s="8">
        <v>21.9</v>
      </c>
      <c r="V865" s="8">
        <f t="shared" si="27"/>
        <v>2</v>
      </c>
      <c r="W865" t="str">
        <f>_xlfn.XLOOKUP(A865, Matches!A:A, Matches!L:L, "NA", 0)</f>
        <v>GGTW</v>
      </c>
      <c r="X865" t="str">
        <f>_xlfn.XLOOKUP(A865, Matches!A:A, Matches!J:J, "NA", 0)</f>
        <v>GGTW</v>
      </c>
      <c r="Y865" t="str">
        <f>_xlfn.XLOOKUP(A865, Matches!A:A, Matches!F:F, "NA", 0)</f>
        <v>Arun Jaitley Stadium</v>
      </c>
      <c r="Z865" cm="1">
        <f t="array" ref="Z865">INDEX(Innings!F:F,MATCH(1,(TRIM(Innings!A:A)=TRIM(A865))*(TRIM(Innings!D:D)=TRIM(E865)),0))</f>
        <v>152</v>
      </c>
      <c r="AA865" cm="1">
        <f t="array" ref="AA865">INDEX(Innings!I:I,MATCH(1,(TRIM(Innings!A:A)=TRIM(A865))*(TRIM(Innings!D:D)=TRIM(E865)),0))</f>
        <v>7.6</v>
      </c>
      <c r="AB865" cm="1">
        <f t="array" ref="AB865">INDEX(Innings!J:J,MATCH(1,(TRIM(Innings!A:A)=TRIM(A865))*(TRIM(Innings!D:D)=TRIM(E865)),0))</f>
        <v>53</v>
      </c>
      <c r="AC865" cm="1">
        <f t="array" ref="AC865">INDEX(Innings!N:N,MATCH(1,(TRIM(Innings!A:A)=TRIM(A865))*(TRIM(Innings!D:D)=TRIM(E865)),0))</f>
        <v>41</v>
      </c>
      <c r="AD865" cm="1">
        <f t="array" ref="AD865">INDEX(Innings!S:S,MATCH(1,(TRIM(Innings!A:A)=TRIM(A865))*(TRIM(Innings!D:D)=TRIM(E865)),0))</f>
        <v>44</v>
      </c>
      <c r="AE865" t="str" cm="1">
        <f t="array" ref="AE865">INDEX(Innings!W:W,MATCH(1,(TRIM(Innings!A:A)=TRIM(A865))*(TRIM(Innings!D:D)=TRIM(E865)),0))</f>
        <v>NA</v>
      </c>
      <c r="AF865">
        <f>IF(UPPER(TRIM(E865))=UPPER(TRIM(W865)),1,0)</f>
        <v>1</v>
      </c>
      <c r="AG865">
        <f t="shared" si="26"/>
        <v>31.549999999999997</v>
      </c>
    </row>
    <row r="866" spans="1:33" x14ac:dyDescent="0.3">
      <c r="A866" t="s">
        <v>365</v>
      </c>
      <c r="B866">
        <v>2</v>
      </c>
      <c r="C866" t="s">
        <v>105</v>
      </c>
      <c r="D866" t="s">
        <v>128</v>
      </c>
      <c r="E866" t="s">
        <v>258</v>
      </c>
      <c r="F866" t="s">
        <v>101</v>
      </c>
      <c r="G866" t="s">
        <v>134</v>
      </c>
      <c r="H866">
        <v>1</v>
      </c>
      <c r="I866">
        <v>3</v>
      </c>
      <c r="J866">
        <v>33.33</v>
      </c>
      <c r="K866" t="s">
        <v>245</v>
      </c>
      <c r="L866">
        <v>-2.2999999999999998</v>
      </c>
      <c r="M866">
        <v>4</v>
      </c>
      <c r="N866">
        <v>0</v>
      </c>
      <c r="O866">
        <v>28</v>
      </c>
      <c r="P866">
        <v>0</v>
      </c>
      <c r="Q866">
        <v>7</v>
      </c>
      <c r="R866">
        <v>5</v>
      </c>
      <c r="S866">
        <v>0</v>
      </c>
      <c r="T866">
        <v>0</v>
      </c>
      <c r="U866" s="8">
        <v>2.7</v>
      </c>
      <c r="V866" s="8">
        <f t="shared" si="27"/>
        <v>0</v>
      </c>
      <c r="W866" t="str">
        <f>_xlfn.XLOOKUP(A866, Matches!A:A, Matches!L:L, "NA", 0)</f>
        <v>GGTW</v>
      </c>
      <c r="X866" t="str">
        <f>_xlfn.XLOOKUP(A866, Matches!A:A, Matches!J:J, "NA", 0)</f>
        <v>GGTW</v>
      </c>
      <c r="Y866" t="str">
        <f>_xlfn.XLOOKUP(A866, Matches!A:A, Matches!F:F, "NA", 0)</f>
        <v>Arun Jaitley Stadium</v>
      </c>
      <c r="Z866" cm="1">
        <f t="array" ref="Z866">INDEX(Innings!F:F,MATCH(1,(TRIM(Innings!A:A)=TRIM(A866))*(TRIM(Innings!D:D)=TRIM(E866)),0))</f>
        <v>152</v>
      </c>
      <c r="AA866" cm="1">
        <f t="array" ref="AA866">INDEX(Innings!I:I,MATCH(1,(TRIM(Innings!A:A)=TRIM(A866))*(TRIM(Innings!D:D)=TRIM(E866)),0))</f>
        <v>7.6</v>
      </c>
      <c r="AB866" cm="1">
        <f t="array" ref="AB866">INDEX(Innings!J:J,MATCH(1,(TRIM(Innings!A:A)=TRIM(A866))*(TRIM(Innings!D:D)=TRIM(E866)),0))</f>
        <v>53</v>
      </c>
      <c r="AC866" cm="1">
        <f t="array" ref="AC866">INDEX(Innings!N:N,MATCH(1,(TRIM(Innings!A:A)=TRIM(A866))*(TRIM(Innings!D:D)=TRIM(E866)),0))</f>
        <v>41</v>
      </c>
      <c r="AD866" cm="1">
        <f t="array" ref="AD866">INDEX(Innings!S:S,MATCH(1,(TRIM(Innings!A:A)=TRIM(A866))*(TRIM(Innings!D:D)=TRIM(E866)),0))</f>
        <v>44</v>
      </c>
      <c r="AE866" t="str" cm="1">
        <f t="array" ref="AE866">INDEX(Innings!W:W,MATCH(1,(TRIM(Innings!A:A)=TRIM(A866))*(TRIM(Innings!D:D)=TRIM(E866)),0))</f>
        <v>NA</v>
      </c>
      <c r="AF866">
        <f>IF(UPPER(TRIM(E866))=UPPER(TRIM(W866)),1,0)</f>
        <v>1</v>
      </c>
      <c r="AG866">
        <f t="shared" si="26"/>
        <v>21.35</v>
      </c>
    </row>
    <row r="867" spans="1:33" x14ac:dyDescent="0.3">
      <c r="A867" t="s">
        <v>365</v>
      </c>
      <c r="B867">
        <v>2</v>
      </c>
      <c r="C867" t="s">
        <v>438</v>
      </c>
      <c r="D867" t="s">
        <v>439</v>
      </c>
      <c r="E867" t="s">
        <v>258</v>
      </c>
      <c r="F867" t="s">
        <v>101</v>
      </c>
      <c r="G867" t="s">
        <v>134</v>
      </c>
      <c r="H867">
        <v>0</v>
      </c>
      <c r="I867">
        <v>0</v>
      </c>
      <c r="J867">
        <v>0</v>
      </c>
      <c r="K867" t="s">
        <v>256</v>
      </c>
      <c r="L867">
        <v>0</v>
      </c>
      <c r="M867">
        <v>4</v>
      </c>
      <c r="N867">
        <v>0</v>
      </c>
      <c r="O867">
        <v>11</v>
      </c>
      <c r="P867">
        <v>3</v>
      </c>
      <c r="Q867">
        <v>2.8</v>
      </c>
      <c r="R867">
        <v>85</v>
      </c>
      <c r="S867">
        <v>0</v>
      </c>
      <c r="T867">
        <v>0</v>
      </c>
      <c r="U867" s="8">
        <v>85</v>
      </c>
      <c r="V867" s="8">
        <f t="shared" si="27"/>
        <v>9</v>
      </c>
      <c r="W867" t="str">
        <f>_xlfn.XLOOKUP(A867, Matches!A:A, Matches!L:L, "NA", 0)</f>
        <v>GGTW</v>
      </c>
      <c r="X867" t="str">
        <f>_xlfn.XLOOKUP(A867, Matches!A:A, Matches!J:J, "NA", 0)</f>
        <v>GGTW</v>
      </c>
      <c r="Y867" t="str">
        <f>_xlfn.XLOOKUP(A867, Matches!A:A, Matches!F:F, "NA", 0)</f>
        <v>Arun Jaitley Stadium</v>
      </c>
      <c r="Z867" cm="1">
        <f t="array" ref="Z867">INDEX(Innings!F:F,MATCH(1,(TRIM(Innings!A:A)=TRIM(A867))*(TRIM(Innings!D:D)=TRIM(E867)),0))</f>
        <v>152</v>
      </c>
      <c r="AA867" cm="1">
        <f t="array" ref="AA867">INDEX(Innings!I:I,MATCH(1,(TRIM(Innings!A:A)=TRIM(A867))*(TRIM(Innings!D:D)=TRIM(E867)),0))</f>
        <v>7.6</v>
      </c>
      <c r="AB867" cm="1">
        <f t="array" ref="AB867">INDEX(Innings!J:J,MATCH(1,(TRIM(Innings!A:A)=TRIM(A867))*(TRIM(Innings!D:D)=TRIM(E867)),0))</f>
        <v>53</v>
      </c>
      <c r="AC867" cm="1">
        <f t="array" ref="AC867">INDEX(Innings!N:N,MATCH(1,(TRIM(Innings!A:A)=TRIM(A867))*(TRIM(Innings!D:D)=TRIM(E867)),0))</f>
        <v>41</v>
      </c>
      <c r="AD867" cm="1">
        <f t="array" ref="AD867">INDEX(Innings!S:S,MATCH(1,(TRIM(Innings!A:A)=TRIM(A867))*(TRIM(Innings!D:D)=TRIM(E867)),0))</f>
        <v>44</v>
      </c>
      <c r="AE867" t="str" cm="1">
        <f t="array" ref="AE867">INDEX(Innings!W:W,MATCH(1,(TRIM(Innings!A:A)=TRIM(A867))*(TRIM(Innings!D:D)=TRIM(E867)),0))</f>
        <v>NA</v>
      </c>
      <c r="AF867">
        <f>IF(UPPER(TRIM(E867))=UPPER(TRIM(W867)),1,0)</f>
        <v>1</v>
      </c>
      <c r="AG867">
        <f t="shared" si="26"/>
        <v>65.2</v>
      </c>
    </row>
    <row r="868" spans="1:33" x14ac:dyDescent="0.3">
      <c r="A868" t="s">
        <v>365</v>
      </c>
      <c r="B868">
        <v>2</v>
      </c>
      <c r="C868" t="s">
        <v>389</v>
      </c>
      <c r="D868" t="s">
        <v>390</v>
      </c>
      <c r="E868" t="s">
        <v>258</v>
      </c>
      <c r="F868" t="s">
        <v>91</v>
      </c>
      <c r="G868" t="s">
        <v>134</v>
      </c>
      <c r="H868">
        <v>0</v>
      </c>
      <c r="I868">
        <v>0</v>
      </c>
      <c r="J868">
        <v>0</v>
      </c>
      <c r="K868" t="s">
        <v>96</v>
      </c>
      <c r="L868">
        <v>5</v>
      </c>
      <c r="M868">
        <v>3</v>
      </c>
      <c r="N868">
        <v>0</v>
      </c>
      <c r="O868">
        <v>23</v>
      </c>
      <c r="P868">
        <v>0</v>
      </c>
      <c r="Q868">
        <v>7.7</v>
      </c>
      <c r="R868">
        <v>5</v>
      </c>
      <c r="S868">
        <v>0</v>
      </c>
      <c r="T868">
        <v>0</v>
      </c>
      <c r="U868" s="8">
        <v>10</v>
      </c>
      <c r="V868" s="8">
        <f t="shared" si="27"/>
        <v>1</v>
      </c>
      <c r="W868" t="str">
        <f>_xlfn.XLOOKUP(A868, Matches!A:A, Matches!L:L, "NA", 0)</f>
        <v>GGTW</v>
      </c>
      <c r="X868" t="str">
        <f>_xlfn.XLOOKUP(A868, Matches!A:A, Matches!J:J, "NA", 0)</f>
        <v>GGTW</v>
      </c>
      <c r="Y868" t="str">
        <f>_xlfn.XLOOKUP(A868, Matches!A:A, Matches!F:F, "NA", 0)</f>
        <v>Arun Jaitley Stadium</v>
      </c>
      <c r="Z868" cm="1">
        <f t="array" ref="Z868">INDEX(Innings!F:F,MATCH(1,(TRIM(Innings!A:A)=TRIM(A868))*(TRIM(Innings!D:D)=TRIM(E868)),0))</f>
        <v>152</v>
      </c>
      <c r="AA868" cm="1">
        <f t="array" ref="AA868">INDEX(Innings!I:I,MATCH(1,(TRIM(Innings!A:A)=TRIM(A868))*(TRIM(Innings!D:D)=TRIM(E868)),0))</f>
        <v>7.6</v>
      </c>
      <c r="AB868" cm="1">
        <f t="array" ref="AB868">INDEX(Innings!J:J,MATCH(1,(TRIM(Innings!A:A)=TRIM(A868))*(TRIM(Innings!D:D)=TRIM(E868)),0))</f>
        <v>53</v>
      </c>
      <c r="AC868" cm="1">
        <f t="array" ref="AC868">INDEX(Innings!N:N,MATCH(1,(TRIM(Innings!A:A)=TRIM(A868))*(TRIM(Innings!D:D)=TRIM(E868)),0))</f>
        <v>41</v>
      </c>
      <c r="AD868" cm="1">
        <f t="array" ref="AD868">INDEX(Innings!S:S,MATCH(1,(TRIM(Innings!A:A)=TRIM(A868))*(TRIM(Innings!D:D)=TRIM(E868)),0))</f>
        <v>44</v>
      </c>
      <c r="AE868" t="str" cm="1">
        <f t="array" ref="AE868">INDEX(Innings!W:W,MATCH(1,(TRIM(Innings!A:A)=TRIM(A868))*(TRIM(Innings!D:D)=TRIM(E868)),0))</f>
        <v>NA</v>
      </c>
      <c r="AF868">
        <f>IF(UPPER(TRIM(E868))=UPPER(TRIM(W868)),1,0)</f>
        <v>1</v>
      </c>
      <c r="AG868">
        <f t="shared" si="26"/>
        <v>25.3</v>
      </c>
    </row>
    <row r="869" spans="1:33" x14ac:dyDescent="0.3">
      <c r="A869" t="s">
        <v>365</v>
      </c>
      <c r="B869">
        <v>2</v>
      </c>
      <c r="C869" t="s">
        <v>404</v>
      </c>
      <c r="D869" t="s">
        <v>416</v>
      </c>
      <c r="E869" t="s">
        <v>258</v>
      </c>
      <c r="F869" t="s">
        <v>91</v>
      </c>
      <c r="G869" t="s">
        <v>104</v>
      </c>
      <c r="H869">
        <v>0</v>
      </c>
      <c r="I869">
        <v>0</v>
      </c>
      <c r="J869">
        <v>0</v>
      </c>
      <c r="K869" t="s">
        <v>104</v>
      </c>
      <c r="L869">
        <v>0</v>
      </c>
      <c r="M869">
        <v>3</v>
      </c>
      <c r="N869">
        <v>0</v>
      </c>
      <c r="O869">
        <v>21</v>
      </c>
      <c r="P869">
        <v>0</v>
      </c>
      <c r="Q869">
        <v>7</v>
      </c>
      <c r="R869">
        <v>0</v>
      </c>
      <c r="S869">
        <v>0</v>
      </c>
      <c r="T869">
        <v>0</v>
      </c>
      <c r="U869" s="8">
        <v>0</v>
      </c>
      <c r="V869" s="8">
        <f t="shared" si="27"/>
        <v>0</v>
      </c>
      <c r="W869" t="str">
        <f>_xlfn.XLOOKUP(A869, Matches!A:A, Matches!L:L, "NA", 0)</f>
        <v>GGTW</v>
      </c>
      <c r="X869" t="str">
        <f>_xlfn.XLOOKUP(A869, Matches!A:A, Matches!J:J, "NA", 0)</f>
        <v>GGTW</v>
      </c>
      <c r="Y869" t="str">
        <f>_xlfn.XLOOKUP(A869, Matches!A:A, Matches!F:F, "NA", 0)</f>
        <v>Arun Jaitley Stadium</v>
      </c>
      <c r="Z869" cm="1">
        <f t="array" ref="Z869">INDEX(Innings!F:F,MATCH(1,(TRIM(Innings!A:A)=TRIM(A869))*(TRIM(Innings!D:D)=TRIM(E869)),0))</f>
        <v>152</v>
      </c>
      <c r="AA869" cm="1">
        <f t="array" ref="AA869">INDEX(Innings!I:I,MATCH(1,(TRIM(Innings!A:A)=TRIM(A869))*(TRIM(Innings!D:D)=TRIM(E869)),0))</f>
        <v>7.6</v>
      </c>
      <c r="AB869" cm="1">
        <f t="array" ref="AB869">INDEX(Innings!J:J,MATCH(1,(TRIM(Innings!A:A)=TRIM(A869))*(TRIM(Innings!D:D)=TRIM(E869)),0))</f>
        <v>53</v>
      </c>
      <c r="AC869" cm="1">
        <f t="array" ref="AC869">INDEX(Innings!N:N,MATCH(1,(TRIM(Innings!A:A)=TRIM(A869))*(TRIM(Innings!D:D)=TRIM(E869)),0))</f>
        <v>41</v>
      </c>
      <c r="AD869" cm="1">
        <f t="array" ref="AD869">INDEX(Innings!S:S,MATCH(1,(TRIM(Innings!A:A)=TRIM(A869))*(TRIM(Innings!D:D)=TRIM(E869)),0))</f>
        <v>44</v>
      </c>
      <c r="AE869" t="str" cm="1">
        <f t="array" ref="AE869">INDEX(Innings!W:W,MATCH(1,(TRIM(Innings!A:A)=TRIM(A869))*(TRIM(Innings!D:D)=TRIM(E869)),0))</f>
        <v>NA</v>
      </c>
      <c r="AF869">
        <f>IF(UPPER(TRIM(E869))=UPPER(TRIM(W869)),1,0)</f>
        <v>1</v>
      </c>
      <c r="AG869">
        <f t="shared" si="26"/>
        <v>20</v>
      </c>
    </row>
    <row r="870" spans="1:33" x14ac:dyDescent="0.3">
      <c r="A870" t="s">
        <v>365</v>
      </c>
      <c r="B870">
        <v>2</v>
      </c>
      <c r="C870" t="s">
        <v>217</v>
      </c>
      <c r="D870" t="s">
        <v>218</v>
      </c>
      <c r="E870" t="s">
        <v>219</v>
      </c>
      <c r="F870" t="s">
        <v>85</v>
      </c>
      <c r="G870" t="s">
        <v>86</v>
      </c>
      <c r="H870">
        <v>4</v>
      </c>
      <c r="I870">
        <v>3</v>
      </c>
      <c r="J870">
        <v>133.33000000000001</v>
      </c>
      <c r="K870" t="s">
        <v>246</v>
      </c>
      <c r="L870">
        <v>5.7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 s="8">
        <v>5.7</v>
      </c>
      <c r="V870" s="8">
        <f t="shared" si="27"/>
        <v>1</v>
      </c>
      <c r="W870" t="str">
        <f>_xlfn.XLOOKUP(A870, Matches!A:A, Matches!L:L, "NA", 0)</f>
        <v>GGTW</v>
      </c>
      <c r="X870" t="str">
        <f>_xlfn.XLOOKUP(A870, Matches!A:A, Matches!J:J, "NA", 0)</f>
        <v>GGTW</v>
      </c>
      <c r="Y870" t="str">
        <f>_xlfn.XLOOKUP(A870, Matches!A:A, Matches!F:F, "NA", 0)</f>
        <v>Arun Jaitley Stadium</v>
      </c>
      <c r="Z870" cm="1">
        <f t="array" ref="Z870">INDEX(Innings!F:F,MATCH(1,(TRIM(Innings!A:A)=TRIM(A870))*(TRIM(Innings!D:D)=TRIM(E870)),0))</f>
        <v>144</v>
      </c>
      <c r="AA870" cm="1">
        <f t="array" ref="AA870">INDEX(Innings!I:I,MATCH(1,(TRIM(Innings!A:A)=TRIM(A870))*(TRIM(Innings!D:D)=TRIM(E870)),0))</f>
        <v>7.2</v>
      </c>
      <c r="AB870" cm="1">
        <f t="array" ref="AB870">INDEX(Innings!J:J,MATCH(1,(TRIM(Innings!A:A)=TRIM(A870))*(TRIM(Innings!D:D)=TRIM(E870)),0))</f>
        <v>30</v>
      </c>
      <c r="AC870" cm="1">
        <f t="array" ref="AC870">INDEX(Innings!N:N,MATCH(1,(TRIM(Innings!A:A)=TRIM(A870))*(TRIM(Innings!D:D)=TRIM(E870)),0))</f>
        <v>46</v>
      </c>
      <c r="AD870" cm="1">
        <f t="array" ref="AD870">INDEX(Innings!S:S,MATCH(1,(TRIM(Innings!A:A)=TRIM(A870))*(TRIM(Innings!D:D)=TRIM(E870)),0))</f>
        <v>51</v>
      </c>
      <c r="AE870" t="str" cm="1">
        <f t="array" ref="AE870">INDEX(Innings!W:W,MATCH(1,(TRIM(Innings!A:A)=TRIM(A870))*(TRIM(Innings!D:D)=TRIM(E870)),0))</f>
        <v>Failed</v>
      </c>
      <c r="AF870">
        <f>IF(UPPER(TRIM(E870))=UPPER(TRIM(W870)),1,0)</f>
        <v>0</v>
      </c>
      <c r="AG870">
        <f t="shared" si="26"/>
        <v>3.15</v>
      </c>
    </row>
    <row r="871" spans="1:33" x14ac:dyDescent="0.3">
      <c r="A871" t="s">
        <v>365</v>
      </c>
      <c r="B871">
        <v>2</v>
      </c>
      <c r="C871" t="s">
        <v>229</v>
      </c>
      <c r="D871" t="s">
        <v>230</v>
      </c>
      <c r="E871" t="s">
        <v>219</v>
      </c>
      <c r="F871" t="s">
        <v>109</v>
      </c>
      <c r="G871" t="s">
        <v>92</v>
      </c>
      <c r="H871">
        <v>0</v>
      </c>
      <c r="I871">
        <v>2</v>
      </c>
      <c r="J871">
        <v>0</v>
      </c>
      <c r="K871" t="s">
        <v>246</v>
      </c>
      <c r="L871">
        <v>-5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 s="8">
        <v>-5</v>
      </c>
      <c r="V871" s="8">
        <f t="shared" si="27"/>
        <v>0</v>
      </c>
      <c r="W871" t="str">
        <f>_xlfn.XLOOKUP(A871, Matches!A:A, Matches!L:L, "NA", 0)</f>
        <v>GGTW</v>
      </c>
      <c r="X871" t="str">
        <f>_xlfn.XLOOKUP(A871, Matches!A:A, Matches!J:J, "NA", 0)</f>
        <v>GGTW</v>
      </c>
      <c r="Y871" t="str">
        <f>_xlfn.XLOOKUP(A871, Matches!A:A, Matches!F:F, "NA", 0)</f>
        <v>Arun Jaitley Stadium</v>
      </c>
      <c r="Z871" cm="1">
        <f t="array" ref="Z871">INDEX(Innings!F:F,MATCH(1,(TRIM(Innings!A:A)=TRIM(A871))*(TRIM(Innings!D:D)=TRIM(E871)),0))</f>
        <v>144</v>
      </c>
      <c r="AA871" cm="1">
        <f t="array" ref="AA871">INDEX(Innings!I:I,MATCH(1,(TRIM(Innings!A:A)=TRIM(A871))*(TRIM(Innings!D:D)=TRIM(E871)),0))</f>
        <v>7.2</v>
      </c>
      <c r="AB871" cm="1">
        <f t="array" ref="AB871">INDEX(Innings!J:J,MATCH(1,(TRIM(Innings!A:A)=TRIM(A871))*(TRIM(Innings!D:D)=TRIM(E871)),0))</f>
        <v>30</v>
      </c>
      <c r="AC871" cm="1">
        <f t="array" ref="AC871">INDEX(Innings!N:N,MATCH(1,(TRIM(Innings!A:A)=TRIM(A871))*(TRIM(Innings!D:D)=TRIM(E871)),0))</f>
        <v>46</v>
      </c>
      <c r="AD871" cm="1">
        <f t="array" ref="AD871">INDEX(Innings!S:S,MATCH(1,(TRIM(Innings!A:A)=TRIM(A871))*(TRIM(Innings!D:D)=TRIM(E871)),0))</f>
        <v>51</v>
      </c>
      <c r="AE871" t="str" cm="1">
        <f t="array" ref="AE871">INDEX(Innings!W:W,MATCH(1,(TRIM(Innings!A:A)=TRIM(A871))*(TRIM(Innings!D:D)=TRIM(E871)),0))</f>
        <v>Failed</v>
      </c>
      <c r="AF871">
        <f>IF(UPPER(TRIM(E871))=UPPER(TRIM(W871)),1,0)</f>
        <v>0</v>
      </c>
      <c r="AG871">
        <f t="shared" si="26"/>
        <v>0</v>
      </c>
    </row>
    <row r="872" spans="1:33" x14ac:dyDescent="0.3">
      <c r="A872" t="s">
        <v>365</v>
      </c>
      <c r="B872">
        <v>2</v>
      </c>
      <c r="C872" t="s">
        <v>403</v>
      </c>
      <c r="D872" t="s">
        <v>414</v>
      </c>
      <c r="E872" t="s">
        <v>219</v>
      </c>
      <c r="F872" t="s">
        <v>169</v>
      </c>
      <c r="G872" t="s">
        <v>92</v>
      </c>
      <c r="H872">
        <v>0</v>
      </c>
      <c r="I872">
        <v>3</v>
      </c>
      <c r="J872">
        <v>0</v>
      </c>
      <c r="K872" t="s">
        <v>246</v>
      </c>
      <c r="L872">
        <v>-5</v>
      </c>
      <c r="M872">
        <v>4</v>
      </c>
      <c r="N872">
        <v>0</v>
      </c>
      <c r="O872">
        <v>25</v>
      </c>
      <c r="P872">
        <v>1</v>
      </c>
      <c r="Q872">
        <v>6.2</v>
      </c>
      <c r="R872">
        <v>25</v>
      </c>
      <c r="S872">
        <v>0</v>
      </c>
      <c r="T872">
        <v>0</v>
      </c>
      <c r="U872" s="8">
        <v>20</v>
      </c>
      <c r="V872" s="8">
        <f t="shared" si="27"/>
        <v>2</v>
      </c>
      <c r="W872" t="str">
        <f>_xlfn.XLOOKUP(A872, Matches!A:A, Matches!L:L, "NA", 0)</f>
        <v>GGTW</v>
      </c>
      <c r="X872" t="str">
        <f>_xlfn.XLOOKUP(A872, Matches!A:A, Matches!J:J, "NA", 0)</f>
        <v>GGTW</v>
      </c>
      <c r="Y872" t="str">
        <f>_xlfn.XLOOKUP(A872, Matches!A:A, Matches!F:F, "NA", 0)</f>
        <v>Arun Jaitley Stadium</v>
      </c>
      <c r="Z872" cm="1">
        <f t="array" ref="Z872">INDEX(Innings!F:F,MATCH(1,(TRIM(Innings!A:A)=TRIM(A872))*(TRIM(Innings!D:D)=TRIM(E872)),0))</f>
        <v>144</v>
      </c>
      <c r="AA872" cm="1">
        <f t="array" ref="AA872">INDEX(Innings!I:I,MATCH(1,(TRIM(Innings!A:A)=TRIM(A872))*(TRIM(Innings!D:D)=TRIM(E872)),0))</f>
        <v>7.2</v>
      </c>
      <c r="AB872" cm="1">
        <f t="array" ref="AB872">INDEX(Innings!J:J,MATCH(1,(TRIM(Innings!A:A)=TRIM(A872))*(TRIM(Innings!D:D)=TRIM(E872)),0))</f>
        <v>30</v>
      </c>
      <c r="AC872" cm="1">
        <f t="array" ref="AC872">INDEX(Innings!N:N,MATCH(1,(TRIM(Innings!A:A)=TRIM(A872))*(TRIM(Innings!D:D)=TRIM(E872)),0))</f>
        <v>46</v>
      </c>
      <c r="AD872" cm="1">
        <f t="array" ref="AD872">INDEX(Innings!S:S,MATCH(1,(TRIM(Innings!A:A)=TRIM(A872))*(TRIM(Innings!D:D)=TRIM(E872)),0))</f>
        <v>51</v>
      </c>
      <c r="AE872" t="str" cm="1">
        <f t="array" ref="AE872">INDEX(Innings!W:W,MATCH(1,(TRIM(Innings!A:A)=TRIM(A872))*(TRIM(Innings!D:D)=TRIM(E872)),0))</f>
        <v>Failed</v>
      </c>
      <c r="AF872">
        <f>IF(UPPER(TRIM(E872))=UPPER(TRIM(W872)),1,0)</f>
        <v>0</v>
      </c>
      <c r="AG872">
        <f t="shared" si="26"/>
        <v>10.6</v>
      </c>
    </row>
    <row r="873" spans="1:33" x14ac:dyDescent="0.3">
      <c r="A873" t="s">
        <v>365</v>
      </c>
      <c r="B873">
        <v>2</v>
      </c>
      <c r="C873" t="s">
        <v>224</v>
      </c>
      <c r="D873" t="s">
        <v>225</v>
      </c>
      <c r="E873" t="s">
        <v>219</v>
      </c>
      <c r="F873" t="s">
        <v>169</v>
      </c>
      <c r="G873" t="s">
        <v>134</v>
      </c>
      <c r="H873">
        <v>88</v>
      </c>
      <c r="I873">
        <v>60</v>
      </c>
      <c r="J873">
        <v>146.66999999999999</v>
      </c>
      <c r="K873" t="s">
        <v>96</v>
      </c>
      <c r="L873">
        <v>88.3</v>
      </c>
      <c r="M873">
        <v>4</v>
      </c>
      <c r="N873">
        <v>0</v>
      </c>
      <c r="O873">
        <v>22</v>
      </c>
      <c r="P873">
        <v>2</v>
      </c>
      <c r="Q873">
        <v>5.5</v>
      </c>
      <c r="R873">
        <v>65</v>
      </c>
      <c r="S873">
        <v>0</v>
      </c>
      <c r="T873">
        <v>0</v>
      </c>
      <c r="U873" s="8">
        <v>153.30000000000001</v>
      </c>
      <c r="V873" s="8">
        <f t="shared" si="27"/>
        <v>10</v>
      </c>
      <c r="W873" t="str">
        <f>_xlfn.XLOOKUP(A873, Matches!A:A, Matches!L:L, "NA", 0)</f>
        <v>GGTW</v>
      </c>
      <c r="X873" t="str">
        <f>_xlfn.XLOOKUP(A873, Matches!A:A, Matches!J:J, "NA", 0)</f>
        <v>GGTW</v>
      </c>
      <c r="Y873" t="str">
        <f>_xlfn.XLOOKUP(A873, Matches!A:A, Matches!F:F, "NA", 0)</f>
        <v>Arun Jaitley Stadium</v>
      </c>
      <c r="Z873" cm="1">
        <f t="array" ref="Z873">INDEX(Innings!F:F,MATCH(1,(TRIM(Innings!A:A)=TRIM(A873))*(TRIM(Innings!D:D)=TRIM(E873)),0))</f>
        <v>144</v>
      </c>
      <c r="AA873" cm="1">
        <f t="array" ref="AA873">INDEX(Innings!I:I,MATCH(1,(TRIM(Innings!A:A)=TRIM(A873))*(TRIM(Innings!D:D)=TRIM(E873)),0))</f>
        <v>7.2</v>
      </c>
      <c r="AB873" cm="1">
        <f t="array" ref="AB873">INDEX(Innings!J:J,MATCH(1,(TRIM(Innings!A:A)=TRIM(A873))*(TRIM(Innings!D:D)=TRIM(E873)),0))</f>
        <v>30</v>
      </c>
      <c r="AC873" cm="1">
        <f t="array" ref="AC873">INDEX(Innings!N:N,MATCH(1,(TRIM(Innings!A:A)=TRIM(A873))*(TRIM(Innings!D:D)=TRIM(E873)),0))</f>
        <v>46</v>
      </c>
      <c r="AD873" cm="1">
        <f t="array" ref="AD873">INDEX(Innings!S:S,MATCH(1,(TRIM(Innings!A:A)=TRIM(A873))*(TRIM(Innings!D:D)=TRIM(E873)),0))</f>
        <v>51</v>
      </c>
      <c r="AE873" t="str" cm="1">
        <f t="array" ref="AE873">INDEX(Innings!W:W,MATCH(1,(TRIM(Innings!A:A)=TRIM(A873))*(TRIM(Innings!D:D)=TRIM(E873)),0))</f>
        <v>Failed</v>
      </c>
      <c r="AF873">
        <f>IF(UPPER(TRIM(E873))=UPPER(TRIM(W873)),1,0)</f>
        <v>0</v>
      </c>
      <c r="AG873">
        <f t="shared" si="26"/>
        <v>79.650000000000006</v>
      </c>
    </row>
    <row r="874" spans="1:33" x14ac:dyDescent="0.3">
      <c r="A874" t="s">
        <v>365</v>
      </c>
      <c r="B874">
        <v>2</v>
      </c>
      <c r="C874" t="s">
        <v>226</v>
      </c>
      <c r="D874" t="s">
        <v>211</v>
      </c>
      <c r="E874" t="s">
        <v>219</v>
      </c>
      <c r="F874" t="s">
        <v>169</v>
      </c>
      <c r="G874" t="s">
        <v>134</v>
      </c>
      <c r="H874">
        <v>1</v>
      </c>
      <c r="I874">
        <v>7</v>
      </c>
      <c r="J874">
        <v>14.29</v>
      </c>
      <c r="K874" t="s">
        <v>246</v>
      </c>
      <c r="L874">
        <v>-3.4</v>
      </c>
      <c r="M874">
        <v>1</v>
      </c>
      <c r="N874">
        <v>0</v>
      </c>
      <c r="O874">
        <v>9</v>
      </c>
      <c r="P874">
        <v>0</v>
      </c>
      <c r="Q874">
        <v>9</v>
      </c>
      <c r="R874">
        <v>0</v>
      </c>
      <c r="S874">
        <v>0</v>
      </c>
      <c r="T874">
        <v>0</v>
      </c>
      <c r="U874" s="8">
        <v>-3.4</v>
      </c>
      <c r="V874" s="8">
        <f t="shared" si="27"/>
        <v>0</v>
      </c>
      <c r="W874" t="str">
        <f>_xlfn.XLOOKUP(A874, Matches!A:A, Matches!L:L, "NA", 0)</f>
        <v>GGTW</v>
      </c>
      <c r="X874" t="str">
        <f>_xlfn.XLOOKUP(A874, Matches!A:A, Matches!J:J, "NA", 0)</f>
        <v>GGTW</v>
      </c>
      <c r="Y874" t="str">
        <f>_xlfn.XLOOKUP(A874, Matches!A:A, Matches!F:F, "NA", 0)</f>
        <v>Arun Jaitley Stadium</v>
      </c>
      <c r="Z874" cm="1">
        <f t="array" ref="Z874">INDEX(Innings!F:F,MATCH(1,(TRIM(Innings!A:A)=TRIM(A874))*(TRIM(Innings!D:D)=TRIM(E874)),0))</f>
        <v>144</v>
      </c>
      <c r="AA874" cm="1">
        <f t="array" ref="AA874">INDEX(Innings!I:I,MATCH(1,(TRIM(Innings!A:A)=TRIM(A874))*(TRIM(Innings!D:D)=TRIM(E874)),0))</f>
        <v>7.2</v>
      </c>
      <c r="AB874" cm="1">
        <f t="array" ref="AB874">INDEX(Innings!J:J,MATCH(1,(TRIM(Innings!A:A)=TRIM(A874))*(TRIM(Innings!D:D)=TRIM(E874)),0))</f>
        <v>30</v>
      </c>
      <c r="AC874" cm="1">
        <f t="array" ref="AC874">INDEX(Innings!N:N,MATCH(1,(TRIM(Innings!A:A)=TRIM(A874))*(TRIM(Innings!D:D)=TRIM(E874)),0))</f>
        <v>46</v>
      </c>
      <c r="AD874" cm="1">
        <f t="array" ref="AD874">INDEX(Innings!S:S,MATCH(1,(TRIM(Innings!A:A)=TRIM(A874))*(TRIM(Innings!D:D)=TRIM(E874)),0))</f>
        <v>51</v>
      </c>
      <c r="AE874" t="str" cm="1">
        <f t="array" ref="AE874">INDEX(Innings!W:W,MATCH(1,(TRIM(Innings!A:A)=TRIM(A874))*(TRIM(Innings!D:D)=TRIM(E874)),0))</f>
        <v>Failed</v>
      </c>
      <c r="AF874">
        <f>IF(UPPER(TRIM(E874))=UPPER(TRIM(W874)),1,0)</f>
        <v>0</v>
      </c>
      <c r="AG874">
        <f t="shared" si="26"/>
        <v>0</v>
      </c>
    </row>
    <row r="875" spans="1:33" x14ac:dyDescent="0.3">
      <c r="A875" t="s">
        <v>365</v>
      </c>
      <c r="B875">
        <v>2</v>
      </c>
      <c r="C875" t="s">
        <v>220</v>
      </c>
      <c r="D875" t="s">
        <v>221</v>
      </c>
      <c r="E875" t="s">
        <v>219</v>
      </c>
      <c r="F875" t="s">
        <v>169</v>
      </c>
      <c r="G875" t="s">
        <v>134</v>
      </c>
      <c r="H875">
        <v>8</v>
      </c>
      <c r="I875">
        <v>9</v>
      </c>
      <c r="J875">
        <v>88.89</v>
      </c>
      <c r="K875" t="s">
        <v>245</v>
      </c>
      <c r="L875">
        <v>1.3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 s="8">
        <v>1.3</v>
      </c>
      <c r="V875" s="8">
        <f t="shared" si="27"/>
        <v>0</v>
      </c>
      <c r="W875" t="str">
        <f>_xlfn.XLOOKUP(A875, Matches!A:A, Matches!L:L, "NA", 0)</f>
        <v>GGTW</v>
      </c>
      <c r="X875" t="str">
        <f>_xlfn.XLOOKUP(A875, Matches!A:A, Matches!J:J, "NA", 0)</f>
        <v>GGTW</v>
      </c>
      <c r="Y875" t="str">
        <f>_xlfn.XLOOKUP(A875, Matches!A:A, Matches!F:F, "NA", 0)</f>
        <v>Arun Jaitley Stadium</v>
      </c>
      <c r="Z875" cm="1">
        <f t="array" ref="Z875">INDEX(Innings!F:F,MATCH(1,(TRIM(Innings!A:A)=TRIM(A875))*(TRIM(Innings!D:D)=TRIM(E875)),0))</f>
        <v>144</v>
      </c>
      <c r="AA875" cm="1">
        <f t="array" ref="AA875">INDEX(Innings!I:I,MATCH(1,(TRIM(Innings!A:A)=TRIM(A875))*(TRIM(Innings!D:D)=TRIM(E875)),0))</f>
        <v>7.2</v>
      </c>
      <c r="AB875" cm="1">
        <f t="array" ref="AB875">INDEX(Innings!J:J,MATCH(1,(TRIM(Innings!A:A)=TRIM(A875))*(TRIM(Innings!D:D)=TRIM(E875)),0))</f>
        <v>30</v>
      </c>
      <c r="AC875" cm="1">
        <f t="array" ref="AC875">INDEX(Innings!N:N,MATCH(1,(TRIM(Innings!A:A)=TRIM(A875))*(TRIM(Innings!D:D)=TRIM(E875)),0))</f>
        <v>46</v>
      </c>
      <c r="AD875" cm="1">
        <f t="array" ref="AD875">INDEX(Innings!S:S,MATCH(1,(TRIM(Innings!A:A)=TRIM(A875))*(TRIM(Innings!D:D)=TRIM(E875)),0))</f>
        <v>51</v>
      </c>
      <c r="AE875" t="str" cm="1">
        <f t="array" ref="AE875">INDEX(Innings!W:W,MATCH(1,(TRIM(Innings!A:A)=TRIM(A875))*(TRIM(Innings!D:D)=TRIM(E875)),0))</f>
        <v>Failed</v>
      </c>
      <c r="AF875">
        <f>IF(UPPER(TRIM(E875))=UPPER(TRIM(W875)),1,0)</f>
        <v>0</v>
      </c>
      <c r="AG875">
        <f t="shared" si="26"/>
        <v>0.65</v>
      </c>
    </row>
    <row r="876" spans="1:33" x14ac:dyDescent="0.3">
      <c r="A876" t="s">
        <v>365</v>
      </c>
      <c r="B876">
        <v>2</v>
      </c>
      <c r="C876" t="s">
        <v>273</v>
      </c>
      <c r="D876" t="s">
        <v>279</v>
      </c>
      <c r="E876" t="s">
        <v>219</v>
      </c>
      <c r="F876" t="s">
        <v>169</v>
      </c>
      <c r="G876" t="s">
        <v>134</v>
      </c>
      <c r="H876">
        <v>36</v>
      </c>
      <c r="I876">
        <v>36</v>
      </c>
      <c r="J876">
        <v>100</v>
      </c>
      <c r="K876" t="s">
        <v>96</v>
      </c>
      <c r="L876">
        <v>38.799999999999997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 s="8">
        <v>38.799999999999997</v>
      </c>
      <c r="V876" s="8">
        <f t="shared" si="27"/>
        <v>4</v>
      </c>
      <c r="W876" t="str">
        <f>_xlfn.XLOOKUP(A876, Matches!A:A, Matches!L:L, "NA", 0)</f>
        <v>GGTW</v>
      </c>
      <c r="X876" t="str">
        <f>_xlfn.XLOOKUP(A876, Matches!A:A, Matches!J:J, "NA", 0)</f>
        <v>GGTW</v>
      </c>
      <c r="Y876" t="str">
        <f>_xlfn.XLOOKUP(A876, Matches!A:A, Matches!F:F, "NA", 0)</f>
        <v>Arun Jaitley Stadium</v>
      </c>
      <c r="Z876" cm="1">
        <f t="array" ref="Z876">INDEX(Innings!F:F,MATCH(1,(TRIM(Innings!A:A)=TRIM(A876))*(TRIM(Innings!D:D)=TRIM(E876)),0))</f>
        <v>144</v>
      </c>
      <c r="AA876" cm="1">
        <f t="array" ref="AA876">INDEX(Innings!I:I,MATCH(1,(TRIM(Innings!A:A)=TRIM(A876))*(TRIM(Innings!D:D)=TRIM(E876)),0))</f>
        <v>7.2</v>
      </c>
      <c r="AB876" cm="1">
        <f t="array" ref="AB876">INDEX(Innings!J:J,MATCH(1,(TRIM(Innings!A:A)=TRIM(A876))*(TRIM(Innings!D:D)=TRIM(E876)),0))</f>
        <v>30</v>
      </c>
      <c r="AC876" cm="1">
        <f t="array" ref="AC876">INDEX(Innings!N:N,MATCH(1,(TRIM(Innings!A:A)=TRIM(A876))*(TRIM(Innings!D:D)=TRIM(E876)),0))</f>
        <v>46</v>
      </c>
      <c r="AD876" cm="1">
        <f t="array" ref="AD876">INDEX(Innings!S:S,MATCH(1,(TRIM(Innings!A:A)=TRIM(A876))*(TRIM(Innings!D:D)=TRIM(E876)),0))</f>
        <v>51</v>
      </c>
      <c r="AE876" t="str" cm="1">
        <f t="array" ref="AE876">INDEX(Innings!W:W,MATCH(1,(TRIM(Innings!A:A)=TRIM(A876))*(TRIM(Innings!D:D)=TRIM(E876)),0))</f>
        <v>Failed</v>
      </c>
      <c r="AF876">
        <f>IF(UPPER(TRIM(E876))=UPPER(TRIM(W876)),1,0)</f>
        <v>0</v>
      </c>
      <c r="AG876">
        <f t="shared" si="26"/>
        <v>20.599999999999998</v>
      </c>
    </row>
    <row r="877" spans="1:33" x14ac:dyDescent="0.3">
      <c r="A877" t="s">
        <v>365</v>
      </c>
      <c r="B877">
        <v>2</v>
      </c>
      <c r="C877" t="s">
        <v>233</v>
      </c>
      <c r="D877" t="s">
        <v>234</v>
      </c>
      <c r="E877" t="s">
        <v>219</v>
      </c>
      <c r="F877" t="s">
        <v>101</v>
      </c>
      <c r="G877" t="s">
        <v>104</v>
      </c>
      <c r="H877">
        <v>0</v>
      </c>
      <c r="I877">
        <v>0</v>
      </c>
      <c r="J877">
        <v>0</v>
      </c>
      <c r="K877" t="s">
        <v>104</v>
      </c>
      <c r="L877">
        <v>0</v>
      </c>
      <c r="M877">
        <v>4</v>
      </c>
      <c r="N877">
        <v>0</v>
      </c>
      <c r="O877">
        <v>38</v>
      </c>
      <c r="P877">
        <v>3</v>
      </c>
      <c r="Q877">
        <v>9.5</v>
      </c>
      <c r="R877">
        <v>65</v>
      </c>
      <c r="S877">
        <v>0</v>
      </c>
      <c r="T877">
        <v>0</v>
      </c>
      <c r="U877" s="8">
        <v>65</v>
      </c>
      <c r="V877" s="8">
        <f t="shared" si="27"/>
        <v>7</v>
      </c>
      <c r="W877" t="str">
        <f>_xlfn.XLOOKUP(A877, Matches!A:A, Matches!L:L, "NA", 0)</f>
        <v>GGTW</v>
      </c>
      <c r="X877" t="str">
        <f>_xlfn.XLOOKUP(A877, Matches!A:A, Matches!J:J, "NA", 0)</f>
        <v>GGTW</v>
      </c>
      <c r="Y877" t="str">
        <f>_xlfn.XLOOKUP(A877, Matches!A:A, Matches!F:F, "NA", 0)</f>
        <v>Arun Jaitley Stadium</v>
      </c>
      <c r="Z877" cm="1">
        <f t="array" ref="Z877">INDEX(Innings!F:F,MATCH(1,(TRIM(Innings!A:A)=TRIM(A877))*(TRIM(Innings!D:D)=TRIM(E877)),0))</f>
        <v>144</v>
      </c>
      <c r="AA877" cm="1">
        <f t="array" ref="AA877">INDEX(Innings!I:I,MATCH(1,(TRIM(Innings!A:A)=TRIM(A877))*(TRIM(Innings!D:D)=TRIM(E877)),0))</f>
        <v>7.2</v>
      </c>
      <c r="AB877" cm="1">
        <f t="array" ref="AB877">INDEX(Innings!J:J,MATCH(1,(TRIM(Innings!A:A)=TRIM(A877))*(TRIM(Innings!D:D)=TRIM(E877)),0))</f>
        <v>30</v>
      </c>
      <c r="AC877" cm="1">
        <f t="array" ref="AC877">INDEX(Innings!N:N,MATCH(1,(TRIM(Innings!A:A)=TRIM(A877))*(TRIM(Innings!D:D)=TRIM(E877)),0))</f>
        <v>46</v>
      </c>
      <c r="AD877" cm="1">
        <f t="array" ref="AD877">INDEX(Innings!S:S,MATCH(1,(TRIM(Innings!A:A)=TRIM(A877))*(TRIM(Innings!D:D)=TRIM(E877)),0))</f>
        <v>51</v>
      </c>
      <c r="AE877" t="str" cm="1">
        <f t="array" ref="AE877">INDEX(Innings!W:W,MATCH(1,(TRIM(Innings!A:A)=TRIM(A877))*(TRIM(Innings!D:D)=TRIM(E877)),0))</f>
        <v>Failed</v>
      </c>
      <c r="AF877">
        <f>IF(UPPER(TRIM(E877))=UPPER(TRIM(W877)),1,0)</f>
        <v>0</v>
      </c>
      <c r="AG877">
        <f t="shared" si="26"/>
        <v>34.6</v>
      </c>
    </row>
    <row r="878" spans="1:33" x14ac:dyDescent="0.3">
      <c r="A878" t="s">
        <v>365</v>
      </c>
      <c r="B878">
        <v>2</v>
      </c>
      <c r="C878" t="s">
        <v>377</v>
      </c>
      <c r="D878" t="s">
        <v>378</v>
      </c>
      <c r="E878" t="s">
        <v>219</v>
      </c>
      <c r="F878" t="s">
        <v>91</v>
      </c>
      <c r="G878" t="s">
        <v>104</v>
      </c>
      <c r="H878">
        <v>0</v>
      </c>
      <c r="I878">
        <v>0</v>
      </c>
      <c r="J878">
        <v>0</v>
      </c>
      <c r="K878" t="s">
        <v>104</v>
      </c>
      <c r="L878">
        <v>0</v>
      </c>
      <c r="M878">
        <v>2</v>
      </c>
      <c r="N878">
        <v>0</v>
      </c>
      <c r="O878">
        <v>19</v>
      </c>
      <c r="P878">
        <v>0</v>
      </c>
      <c r="Q878">
        <v>9.5</v>
      </c>
      <c r="R878">
        <v>0</v>
      </c>
      <c r="S878">
        <v>0</v>
      </c>
      <c r="T878">
        <v>0</v>
      </c>
      <c r="U878" s="8">
        <v>0</v>
      </c>
      <c r="V878" s="8">
        <f t="shared" si="27"/>
        <v>0</v>
      </c>
      <c r="W878" t="str">
        <f>_xlfn.XLOOKUP(A878, Matches!A:A, Matches!L:L, "NA", 0)</f>
        <v>GGTW</v>
      </c>
      <c r="X878" t="str">
        <f>_xlfn.XLOOKUP(A878, Matches!A:A, Matches!J:J, "NA", 0)</f>
        <v>GGTW</v>
      </c>
      <c r="Y878" t="str">
        <f>_xlfn.XLOOKUP(A878, Matches!A:A, Matches!F:F, "NA", 0)</f>
        <v>Arun Jaitley Stadium</v>
      </c>
      <c r="Z878" cm="1">
        <f t="array" ref="Z878">INDEX(Innings!F:F,MATCH(1,(TRIM(Innings!A:A)=TRIM(A878))*(TRIM(Innings!D:D)=TRIM(E878)),0))</f>
        <v>144</v>
      </c>
      <c r="AA878" cm="1">
        <f t="array" ref="AA878">INDEX(Innings!I:I,MATCH(1,(TRIM(Innings!A:A)=TRIM(A878))*(TRIM(Innings!D:D)=TRIM(E878)),0))</f>
        <v>7.2</v>
      </c>
      <c r="AB878" cm="1">
        <f t="array" ref="AB878">INDEX(Innings!J:J,MATCH(1,(TRIM(Innings!A:A)=TRIM(A878))*(TRIM(Innings!D:D)=TRIM(E878)),0))</f>
        <v>30</v>
      </c>
      <c r="AC878" cm="1">
        <f t="array" ref="AC878">INDEX(Innings!N:N,MATCH(1,(TRIM(Innings!A:A)=TRIM(A878))*(TRIM(Innings!D:D)=TRIM(E878)),0))</f>
        <v>46</v>
      </c>
      <c r="AD878" cm="1">
        <f t="array" ref="AD878">INDEX(Innings!S:S,MATCH(1,(TRIM(Innings!A:A)=TRIM(A878))*(TRIM(Innings!D:D)=TRIM(E878)),0))</f>
        <v>51</v>
      </c>
      <c r="AE878" t="str" cm="1">
        <f t="array" ref="AE878">INDEX(Innings!W:W,MATCH(1,(TRIM(Innings!A:A)=TRIM(A878))*(TRIM(Innings!D:D)=TRIM(E878)),0))</f>
        <v>Failed</v>
      </c>
      <c r="AF878">
        <f>IF(UPPER(TRIM(E878))=UPPER(TRIM(W878)),1,0)</f>
        <v>0</v>
      </c>
      <c r="AG878">
        <f t="shared" si="26"/>
        <v>0</v>
      </c>
    </row>
    <row r="879" spans="1:33" x14ac:dyDescent="0.3">
      <c r="A879" t="s">
        <v>365</v>
      </c>
      <c r="B879">
        <v>2</v>
      </c>
      <c r="C879" t="s">
        <v>237</v>
      </c>
      <c r="D879" t="s">
        <v>238</v>
      </c>
      <c r="E879" t="s">
        <v>219</v>
      </c>
      <c r="F879" t="s">
        <v>101</v>
      </c>
      <c r="G879" t="s">
        <v>104</v>
      </c>
      <c r="H879">
        <v>0</v>
      </c>
      <c r="I879">
        <v>0</v>
      </c>
      <c r="J879">
        <v>0</v>
      </c>
      <c r="K879" t="s">
        <v>104</v>
      </c>
      <c r="L879">
        <v>0</v>
      </c>
      <c r="M879">
        <v>4</v>
      </c>
      <c r="N879">
        <v>0</v>
      </c>
      <c r="O879">
        <v>28</v>
      </c>
      <c r="P879">
        <v>1</v>
      </c>
      <c r="Q879">
        <v>7</v>
      </c>
      <c r="R879">
        <v>25</v>
      </c>
      <c r="S879">
        <v>0</v>
      </c>
      <c r="T879">
        <v>0</v>
      </c>
      <c r="U879" s="8">
        <v>25</v>
      </c>
      <c r="V879" s="8">
        <f t="shared" si="27"/>
        <v>3</v>
      </c>
      <c r="W879" t="str">
        <f>_xlfn.XLOOKUP(A879, Matches!A:A, Matches!L:L, "NA", 0)</f>
        <v>GGTW</v>
      </c>
      <c r="X879" t="str">
        <f>_xlfn.XLOOKUP(A879, Matches!A:A, Matches!J:J, "NA", 0)</f>
        <v>GGTW</v>
      </c>
      <c r="Y879" t="str">
        <f>_xlfn.XLOOKUP(A879, Matches!A:A, Matches!F:F, "NA", 0)</f>
        <v>Arun Jaitley Stadium</v>
      </c>
      <c r="Z879" cm="1">
        <f t="array" ref="Z879">INDEX(Innings!F:F,MATCH(1,(TRIM(Innings!A:A)=TRIM(A879))*(TRIM(Innings!D:D)=TRIM(E879)),0))</f>
        <v>144</v>
      </c>
      <c r="AA879" cm="1">
        <f t="array" ref="AA879">INDEX(Innings!I:I,MATCH(1,(TRIM(Innings!A:A)=TRIM(A879))*(TRIM(Innings!D:D)=TRIM(E879)),0))</f>
        <v>7.2</v>
      </c>
      <c r="AB879" cm="1">
        <f t="array" ref="AB879">INDEX(Innings!J:J,MATCH(1,(TRIM(Innings!A:A)=TRIM(A879))*(TRIM(Innings!D:D)=TRIM(E879)),0))</f>
        <v>30</v>
      </c>
      <c r="AC879" cm="1">
        <f t="array" ref="AC879">INDEX(Innings!N:N,MATCH(1,(TRIM(Innings!A:A)=TRIM(A879))*(TRIM(Innings!D:D)=TRIM(E879)),0))</f>
        <v>46</v>
      </c>
      <c r="AD879" cm="1">
        <f t="array" ref="AD879">INDEX(Innings!S:S,MATCH(1,(TRIM(Innings!A:A)=TRIM(A879))*(TRIM(Innings!D:D)=TRIM(E879)),0))</f>
        <v>51</v>
      </c>
      <c r="AE879" t="str" cm="1">
        <f t="array" ref="AE879">INDEX(Innings!W:W,MATCH(1,(TRIM(Innings!A:A)=TRIM(A879))*(TRIM(Innings!D:D)=TRIM(E879)),0))</f>
        <v>Failed</v>
      </c>
      <c r="AF879">
        <f>IF(UPPER(TRIM(E879))=UPPER(TRIM(W879)),1,0)</f>
        <v>0</v>
      </c>
      <c r="AG879">
        <f t="shared" si="26"/>
        <v>13.4</v>
      </c>
    </row>
    <row r="880" spans="1:33" x14ac:dyDescent="0.3">
      <c r="A880" t="s">
        <v>365</v>
      </c>
      <c r="B880">
        <v>2</v>
      </c>
      <c r="C880" t="s">
        <v>235</v>
      </c>
      <c r="D880" t="s">
        <v>236</v>
      </c>
      <c r="E880" t="s">
        <v>219</v>
      </c>
      <c r="F880" t="s">
        <v>101</v>
      </c>
      <c r="G880" t="s">
        <v>104</v>
      </c>
      <c r="H880">
        <v>0</v>
      </c>
      <c r="I880">
        <v>0</v>
      </c>
      <c r="J880">
        <v>0</v>
      </c>
      <c r="K880" t="s">
        <v>104</v>
      </c>
      <c r="L880">
        <v>0</v>
      </c>
      <c r="M880">
        <v>1</v>
      </c>
      <c r="N880">
        <v>0</v>
      </c>
      <c r="O880">
        <v>11</v>
      </c>
      <c r="P880">
        <v>0</v>
      </c>
      <c r="Q880">
        <v>11</v>
      </c>
      <c r="R880">
        <v>0</v>
      </c>
      <c r="S880">
        <v>0</v>
      </c>
      <c r="T880">
        <v>0</v>
      </c>
      <c r="U880" s="8">
        <v>0</v>
      </c>
      <c r="V880" s="8">
        <f t="shared" si="27"/>
        <v>0</v>
      </c>
      <c r="W880" t="str">
        <f>_xlfn.XLOOKUP(A880, Matches!A:A, Matches!L:L, "NA", 0)</f>
        <v>GGTW</v>
      </c>
      <c r="X880" t="str">
        <f>_xlfn.XLOOKUP(A880, Matches!A:A, Matches!J:J, "NA", 0)</f>
        <v>GGTW</v>
      </c>
      <c r="Y880" t="str">
        <f>_xlfn.XLOOKUP(A880, Matches!A:A, Matches!F:F, "NA", 0)</f>
        <v>Arun Jaitley Stadium</v>
      </c>
      <c r="Z880" cm="1">
        <f t="array" ref="Z880">INDEX(Innings!F:F,MATCH(1,(TRIM(Innings!A:A)=TRIM(A880))*(TRIM(Innings!D:D)=TRIM(E880)),0))</f>
        <v>144</v>
      </c>
      <c r="AA880" cm="1">
        <f t="array" ref="AA880">INDEX(Innings!I:I,MATCH(1,(TRIM(Innings!A:A)=TRIM(A880))*(TRIM(Innings!D:D)=TRIM(E880)),0))</f>
        <v>7.2</v>
      </c>
      <c r="AB880" cm="1">
        <f t="array" ref="AB880">INDEX(Innings!J:J,MATCH(1,(TRIM(Innings!A:A)=TRIM(A880))*(TRIM(Innings!D:D)=TRIM(E880)),0))</f>
        <v>30</v>
      </c>
      <c r="AC880" cm="1">
        <f t="array" ref="AC880">INDEX(Innings!N:N,MATCH(1,(TRIM(Innings!A:A)=TRIM(A880))*(TRIM(Innings!D:D)=TRIM(E880)),0))</f>
        <v>46</v>
      </c>
      <c r="AD880" cm="1">
        <f t="array" ref="AD880">INDEX(Innings!S:S,MATCH(1,(TRIM(Innings!A:A)=TRIM(A880))*(TRIM(Innings!D:D)=TRIM(E880)),0))</f>
        <v>51</v>
      </c>
      <c r="AE880" t="str" cm="1">
        <f t="array" ref="AE880">INDEX(Innings!W:W,MATCH(1,(TRIM(Innings!A:A)=TRIM(A880))*(TRIM(Innings!D:D)=TRIM(E880)),0))</f>
        <v>Failed</v>
      </c>
      <c r="AF880">
        <f>IF(UPPER(TRIM(E880))=UPPER(TRIM(W880)),1,0)</f>
        <v>0</v>
      </c>
      <c r="AG880">
        <f t="shared" si="26"/>
        <v>0</v>
      </c>
    </row>
    <row r="881" spans="1:33" x14ac:dyDescent="0.3">
      <c r="A881" t="s">
        <v>366</v>
      </c>
      <c r="B881">
        <v>2</v>
      </c>
      <c r="C881" t="s">
        <v>112</v>
      </c>
      <c r="D881" t="s">
        <v>88</v>
      </c>
      <c r="E881" t="s">
        <v>266</v>
      </c>
      <c r="F881" t="s">
        <v>169</v>
      </c>
      <c r="G881" t="s">
        <v>86</v>
      </c>
      <c r="H881">
        <v>26</v>
      </c>
      <c r="I881">
        <v>23</v>
      </c>
      <c r="J881">
        <v>113.04</v>
      </c>
      <c r="K881" t="s">
        <v>246</v>
      </c>
      <c r="L881">
        <v>17.3</v>
      </c>
      <c r="M881">
        <v>2</v>
      </c>
      <c r="N881">
        <v>0</v>
      </c>
      <c r="O881">
        <v>11</v>
      </c>
      <c r="P881">
        <v>1</v>
      </c>
      <c r="Q881">
        <v>5.5</v>
      </c>
      <c r="R881">
        <v>30</v>
      </c>
      <c r="S881">
        <v>0</v>
      </c>
      <c r="T881">
        <v>0</v>
      </c>
      <c r="U881" s="8">
        <v>47.3</v>
      </c>
      <c r="V881" s="8">
        <f t="shared" si="27"/>
        <v>5</v>
      </c>
      <c r="W881" t="str">
        <f>_xlfn.XLOOKUP(A881, Matches!A:A, Matches!L:L, "NA", 0)</f>
        <v>RCBW</v>
      </c>
      <c r="X881" t="str">
        <f>_xlfn.XLOOKUP(A881, Matches!A:A, Matches!J:J, "NA", 0)</f>
        <v>RCBW</v>
      </c>
      <c r="Y881" t="str">
        <f>_xlfn.XLOOKUP(A881, Matches!A:A, Matches!F:F, "NA", 0)</f>
        <v>Arun Jaitley Stadium</v>
      </c>
      <c r="Z881" cm="1">
        <f t="array" ref="Z881">INDEX(Innings!F:F,MATCH(1,(TRIM(Innings!A:A)=TRIM(A881))*(TRIM(Innings!D:D)=TRIM(E881)),0))</f>
        <v>113</v>
      </c>
      <c r="AA881" cm="1">
        <f t="array" ref="AA881">INDEX(Innings!I:I,MATCH(1,(TRIM(Innings!A:A)=TRIM(A881))*(TRIM(Innings!D:D)=TRIM(E881)),0))</f>
        <v>5.95</v>
      </c>
      <c r="AB881" cm="1">
        <f t="array" ref="AB881">INDEX(Innings!J:J,MATCH(1,(TRIM(Innings!A:A)=TRIM(A881))*(TRIM(Innings!D:D)=TRIM(E881)),0))</f>
        <v>43</v>
      </c>
      <c r="AC881" cm="1">
        <f t="array" ref="AC881">INDEX(Innings!N:N,MATCH(1,(TRIM(Innings!A:A)=TRIM(A881))*(TRIM(Innings!D:D)=TRIM(E881)),0))</f>
        <v>14</v>
      </c>
      <c r="AD881" cm="1">
        <f t="array" ref="AD881">INDEX(Innings!S:S,MATCH(1,(TRIM(Innings!A:A)=TRIM(A881))*(TRIM(Innings!D:D)=TRIM(E881)),0))</f>
        <v>55</v>
      </c>
      <c r="AE881" t="str" cm="1">
        <f t="array" ref="AE881">INDEX(Innings!W:W,MATCH(1,(TRIM(Innings!A:A)=TRIM(A881))*(TRIM(Innings!D:D)=TRIM(E881)),0))</f>
        <v>NA</v>
      </c>
      <c r="AF881">
        <f>IF(UPPER(TRIM(E881))=UPPER(TRIM(W881)),1,0)</f>
        <v>0</v>
      </c>
      <c r="AG881">
        <f t="shared" si="26"/>
        <v>25.15</v>
      </c>
    </row>
    <row r="882" spans="1:33" x14ac:dyDescent="0.3">
      <c r="A882" t="s">
        <v>366</v>
      </c>
      <c r="B882">
        <v>2</v>
      </c>
      <c r="C882" t="s">
        <v>347</v>
      </c>
      <c r="D882" t="s">
        <v>348</v>
      </c>
      <c r="E882" t="s">
        <v>266</v>
      </c>
      <c r="F882" t="s">
        <v>169</v>
      </c>
      <c r="G882" t="s">
        <v>92</v>
      </c>
      <c r="H882">
        <v>30</v>
      </c>
      <c r="I882">
        <v>21</v>
      </c>
      <c r="J882">
        <v>142.86000000000001</v>
      </c>
      <c r="K882" t="s">
        <v>245</v>
      </c>
      <c r="L882">
        <v>28.6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 s="8">
        <v>28.6</v>
      </c>
      <c r="V882" s="8">
        <f t="shared" si="27"/>
        <v>3</v>
      </c>
      <c r="W882" t="str">
        <f>_xlfn.XLOOKUP(A882, Matches!A:A, Matches!L:L, "NA", 0)</f>
        <v>RCBW</v>
      </c>
      <c r="X882" t="str">
        <f>_xlfn.XLOOKUP(A882, Matches!A:A, Matches!J:J, "NA", 0)</f>
        <v>RCBW</v>
      </c>
      <c r="Y882" t="str">
        <f>_xlfn.XLOOKUP(A882, Matches!A:A, Matches!F:F, "NA", 0)</f>
        <v>Arun Jaitley Stadium</v>
      </c>
      <c r="Z882" cm="1">
        <f t="array" ref="Z882">INDEX(Innings!F:F,MATCH(1,(TRIM(Innings!A:A)=TRIM(A882))*(TRIM(Innings!D:D)=TRIM(E882)),0))</f>
        <v>113</v>
      </c>
      <c r="AA882" cm="1">
        <f t="array" ref="AA882">INDEX(Innings!I:I,MATCH(1,(TRIM(Innings!A:A)=TRIM(A882))*(TRIM(Innings!D:D)=TRIM(E882)),0))</f>
        <v>5.95</v>
      </c>
      <c r="AB882" cm="1">
        <f t="array" ref="AB882">INDEX(Innings!J:J,MATCH(1,(TRIM(Innings!A:A)=TRIM(A882))*(TRIM(Innings!D:D)=TRIM(E882)),0))</f>
        <v>43</v>
      </c>
      <c r="AC882" cm="1">
        <f t="array" ref="AC882">INDEX(Innings!N:N,MATCH(1,(TRIM(Innings!A:A)=TRIM(A882))*(TRIM(Innings!D:D)=TRIM(E882)),0))</f>
        <v>14</v>
      </c>
      <c r="AD882" cm="1">
        <f t="array" ref="AD882">INDEX(Innings!S:S,MATCH(1,(TRIM(Innings!A:A)=TRIM(A882))*(TRIM(Innings!D:D)=TRIM(E882)),0))</f>
        <v>55</v>
      </c>
      <c r="AE882" t="str" cm="1">
        <f t="array" ref="AE882">INDEX(Innings!W:W,MATCH(1,(TRIM(Innings!A:A)=TRIM(A882))*(TRIM(Innings!D:D)=TRIM(E882)),0))</f>
        <v>NA</v>
      </c>
      <c r="AF882">
        <f>IF(UPPER(TRIM(E882))=UPPER(TRIM(W882)),1,0)</f>
        <v>0</v>
      </c>
      <c r="AG882">
        <f t="shared" si="26"/>
        <v>15.200000000000001</v>
      </c>
    </row>
    <row r="883" spans="1:33" x14ac:dyDescent="0.3">
      <c r="A883" t="s">
        <v>366</v>
      </c>
      <c r="B883">
        <v>2</v>
      </c>
      <c r="C883" t="s">
        <v>117</v>
      </c>
      <c r="D883" t="s">
        <v>90</v>
      </c>
      <c r="E883" t="s">
        <v>266</v>
      </c>
      <c r="F883" t="s">
        <v>169</v>
      </c>
      <c r="G883" t="s">
        <v>92</v>
      </c>
      <c r="H883">
        <v>10</v>
      </c>
      <c r="I883">
        <v>15</v>
      </c>
      <c r="J883">
        <v>66.67</v>
      </c>
      <c r="K883" t="s">
        <v>247</v>
      </c>
      <c r="L883">
        <v>2.2999999999999998</v>
      </c>
      <c r="M883">
        <v>2</v>
      </c>
      <c r="N883">
        <v>0</v>
      </c>
      <c r="O883">
        <v>18</v>
      </c>
      <c r="P883">
        <v>1</v>
      </c>
      <c r="Q883">
        <v>9</v>
      </c>
      <c r="R883">
        <v>15</v>
      </c>
      <c r="S883">
        <v>0</v>
      </c>
      <c r="T883">
        <v>0</v>
      </c>
      <c r="U883" s="8">
        <v>17.3</v>
      </c>
      <c r="V883" s="8">
        <f t="shared" si="27"/>
        <v>2</v>
      </c>
      <c r="W883" t="str">
        <f>_xlfn.XLOOKUP(A883, Matches!A:A, Matches!L:L, "NA", 0)</f>
        <v>RCBW</v>
      </c>
      <c r="X883" t="str">
        <f>_xlfn.XLOOKUP(A883, Matches!A:A, Matches!J:J, "NA", 0)</f>
        <v>RCBW</v>
      </c>
      <c r="Y883" t="str">
        <f>_xlfn.XLOOKUP(A883, Matches!A:A, Matches!F:F, "NA", 0)</f>
        <v>Arun Jaitley Stadium</v>
      </c>
      <c r="Z883" cm="1">
        <f t="array" ref="Z883">INDEX(Innings!F:F,MATCH(1,(TRIM(Innings!A:A)=TRIM(A883))*(TRIM(Innings!D:D)=TRIM(E883)),0))</f>
        <v>113</v>
      </c>
      <c r="AA883" cm="1">
        <f t="array" ref="AA883">INDEX(Innings!I:I,MATCH(1,(TRIM(Innings!A:A)=TRIM(A883))*(TRIM(Innings!D:D)=TRIM(E883)),0))</f>
        <v>5.95</v>
      </c>
      <c r="AB883" cm="1">
        <f t="array" ref="AB883">INDEX(Innings!J:J,MATCH(1,(TRIM(Innings!A:A)=TRIM(A883))*(TRIM(Innings!D:D)=TRIM(E883)),0))</f>
        <v>43</v>
      </c>
      <c r="AC883" cm="1">
        <f t="array" ref="AC883">INDEX(Innings!N:N,MATCH(1,(TRIM(Innings!A:A)=TRIM(A883))*(TRIM(Innings!D:D)=TRIM(E883)),0))</f>
        <v>14</v>
      </c>
      <c r="AD883" cm="1">
        <f t="array" ref="AD883">INDEX(Innings!S:S,MATCH(1,(TRIM(Innings!A:A)=TRIM(A883))*(TRIM(Innings!D:D)=TRIM(E883)),0))</f>
        <v>55</v>
      </c>
      <c r="AE883" t="str" cm="1">
        <f t="array" ref="AE883">INDEX(Innings!W:W,MATCH(1,(TRIM(Innings!A:A)=TRIM(A883))*(TRIM(Innings!D:D)=TRIM(E883)),0))</f>
        <v>NA</v>
      </c>
      <c r="AF883">
        <f>IF(UPPER(TRIM(E883))=UPPER(TRIM(W883)),1,0)</f>
        <v>0</v>
      </c>
      <c r="AG883">
        <f t="shared" si="26"/>
        <v>9.25</v>
      </c>
    </row>
    <row r="884" spans="1:33" x14ac:dyDescent="0.3">
      <c r="A884" t="s">
        <v>366</v>
      </c>
      <c r="B884">
        <v>2</v>
      </c>
      <c r="C884" t="s">
        <v>115</v>
      </c>
      <c r="D884" t="s">
        <v>17</v>
      </c>
      <c r="E884" t="s">
        <v>266</v>
      </c>
      <c r="F884" t="s">
        <v>169</v>
      </c>
      <c r="G884" t="s">
        <v>134</v>
      </c>
      <c r="H884">
        <v>0</v>
      </c>
      <c r="I884">
        <v>1</v>
      </c>
      <c r="J884">
        <v>0</v>
      </c>
      <c r="K884" t="s">
        <v>245</v>
      </c>
      <c r="L884">
        <v>-5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 s="8">
        <v>-5</v>
      </c>
      <c r="V884" s="8">
        <f t="shared" si="27"/>
        <v>0</v>
      </c>
      <c r="W884" t="str">
        <f>_xlfn.XLOOKUP(A884, Matches!A:A, Matches!L:L, "NA", 0)</f>
        <v>RCBW</v>
      </c>
      <c r="X884" t="str">
        <f>_xlfn.XLOOKUP(A884, Matches!A:A, Matches!J:J, "NA", 0)</f>
        <v>RCBW</v>
      </c>
      <c r="Y884" t="str">
        <f>_xlfn.XLOOKUP(A884, Matches!A:A, Matches!F:F, "NA", 0)</f>
        <v>Arun Jaitley Stadium</v>
      </c>
      <c r="Z884" cm="1">
        <f t="array" ref="Z884">INDEX(Innings!F:F,MATCH(1,(TRIM(Innings!A:A)=TRIM(A884))*(TRIM(Innings!D:D)=TRIM(E884)),0))</f>
        <v>113</v>
      </c>
      <c r="AA884" cm="1">
        <f t="array" ref="AA884">INDEX(Innings!I:I,MATCH(1,(TRIM(Innings!A:A)=TRIM(A884))*(TRIM(Innings!D:D)=TRIM(E884)),0))</f>
        <v>5.95</v>
      </c>
      <c r="AB884" cm="1">
        <f t="array" ref="AB884">INDEX(Innings!J:J,MATCH(1,(TRIM(Innings!A:A)=TRIM(A884))*(TRIM(Innings!D:D)=TRIM(E884)),0))</f>
        <v>43</v>
      </c>
      <c r="AC884" cm="1">
        <f t="array" ref="AC884">INDEX(Innings!N:N,MATCH(1,(TRIM(Innings!A:A)=TRIM(A884))*(TRIM(Innings!D:D)=TRIM(E884)),0))</f>
        <v>14</v>
      </c>
      <c r="AD884" cm="1">
        <f t="array" ref="AD884">INDEX(Innings!S:S,MATCH(1,(TRIM(Innings!A:A)=TRIM(A884))*(TRIM(Innings!D:D)=TRIM(E884)),0))</f>
        <v>55</v>
      </c>
      <c r="AE884" t="str" cm="1">
        <f t="array" ref="AE884">INDEX(Innings!W:W,MATCH(1,(TRIM(Innings!A:A)=TRIM(A884))*(TRIM(Innings!D:D)=TRIM(E884)),0))</f>
        <v>NA</v>
      </c>
      <c r="AF884">
        <f>IF(UPPER(TRIM(E884))=UPPER(TRIM(W884)),1,0)</f>
        <v>0</v>
      </c>
      <c r="AG884">
        <f t="shared" si="26"/>
        <v>0</v>
      </c>
    </row>
    <row r="885" spans="1:33" x14ac:dyDescent="0.3">
      <c r="A885" t="s">
        <v>366</v>
      </c>
      <c r="B885">
        <v>2</v>
      </c>
      <c r="C885" t="s">
        <v>119</v>
      </c>
      <c r="D885" t="s">
        <v>95</v>
      </c>
      <c r="E885" t="s">
        <v>266</v>
      </c>
      <c r="F885" t="s">
        <v>169</v>
      </c>
      <c r="G885" t="s">
        <v>134</v>
      </c>
      <c r="H885">
        <v>2</v>
      </c>
      <c r="I885">
        <v>5</v>
      </c>
      <c r="J885">
        <v>40</v>
      </c>
      <c r="K885" t="s">
        <v>247</v>
      </c>
      <c r="L885">
        <v>-2</v>
      </c>
      <c r="M885">
        <v>2</v>
      </c>
      <c r="N885">
        <v>0</v>
      </c>
      <c r="O885">
        <v>13</v>
      </c>
      <c r="P885">
        <v>0</v>
      </c>
      <c r="Q885">
        <v>6.5</v>
      </c>
      <c r="R885">
        <v>5</v>
      </c>
      <c r="S885">
        <v>0</v>
      </c>
      <c r="T885">
        <v>0</v>
      </c>
      <c r="U885" s="8">
        <v>3</v>
      </c>
      <c r="V885" s="8">
        <f t="shared" si="27"/>
        <v>0</v>
      </c>
      <c r="W885" t="str">
        <f>_xlfn.XLOOKUP(A885, Matches!A:A, Matches!L:L, "NA", 0)</f>
        <v>RCBW</v>
      </c>
      <c r="X885" t="str">
        <f>_xlfn.XLOOKUP(A885, Matches!A:A, Matches!J:J, "NA", 0)</f>
        <v>RCBW</v>
      </c>
      <c r="Y885" t="str">
        <f>_xlfn.XLOOKUP(A885, Matches!A:A, Matches!F:F, "NA", 0)</f>
        <v>Arun Jaitley Stadium</v>
      </c>
      <c r="Z885" cm="1">
        <f t="array" ref="Z885">INDEX(Innings!F:F,MATCH(1,(TRIM(Innings!A:A)=TRIM(A885))*(TRIM(Innings!D:D)=TRIM(E885)),0))</f>
        <v>113</v>
      </c>
      <c r="AA885" cm="1">
        <f t="array" ref="AA885">INDEX(Innings!I:I,MATCH(1,(TRIM(Innings!A:A)=TRIM(A885))*(TRIM(Innings!D:D)=TRIM(E885)),0))</f>
        <v>5.95</v>
      </c>
      <c r="AB885" cm="1">
        <f t="array" ref="AB885">INDEX(Innings!J:J,MATCH(1,(TRIM(Innings!A:A)=TRIM(A885))*(TRIM(Innings!D:D)=TRIM(E885)),0))</f>
        <v>43</v>
      </c>
      <c r="AC885" cm="1">
        <f t="array" ref="AC885">INDEX(Innings!N:N,MATCH(1,(TRIM(Innings!A:A)=TRIM(A885))*(TRIM(Innings!D:D)=TRIM(E885)),0))</f>
        <v>14</v>
      </c>
      <c r="AD885" cm="1">
        <f t="array" ref="AD885">INDEX(Innings!S:S,MATCH(1,(TRIM(Innings!A:A)=TRIM(A885))*(TRIM(Innings!D:D)=TRIM(E885)),0))</f>
        <v>55</v>
      </c>
      <c r="AE885" t="str" cm="1">
        <f t="array" ref="AE885">INDEX(Innings!W:W,MATCH(1,(TRIM(Innings!A:A)=TRIM(A885))*(TRIM(Innings!D:D)=TRIM(E885)),0))</f>
        <v>NA</v>
      </c>
      <c r="AF885">
        <f>IF(UPPER(TRIM(E885))=UPPER(TRIM(W885)),1,0)</f>
        <v>0</v>
      </c>
      <c r="AG885">
        <f t="shared" si="26"/>
        <v>1.5</v>
      </c>
    </row>
    <row r="886" spans="1:33" x14ac:dyDescent="0.3">
      <c r="A886" t="s">
        <v>366</v>
      </c>
      <c r="B886">
        <v>2</v>
      </c>
      <c r="C886" t="s">
        <v>121</v>
      </c>
      <c r="D886" t="s">
        <v>108</v>
      </c>
      <c r="E886" t="s">
        <v>266</v>
      </c>
      <c r="F886" t="s">
        <v>169</v>
      </c>
      <c r="G886" t="s">
        <v>134</v>
      </c>
      <c r="H886">
        <v>4</v>
      </c>
      <c r="I886">
        <v>2</v>
      </c>
      <c r="J886">
        <v>200</v>
      </c>
      <c r="K886" t="s">
        <v>245</v>
      </c>
      <c r="L886">
        <v>8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 s="8">
        <v>8</v>
      </c>
      <c r="V886" s="8">
        <f t="shared" si="27"/>
        <v>1</v>
      </c>
      <c r="W886" t="str">
        <f>_xlfn.XLOOKUP(A886, Matches!A:A, Matches!L:L, "NA", 0)</f>
        <v>RCBW</v>
      </c>
      <c r="X886" t="str">
        <f>_xlfn.XLOOKUP(A886, Matches!A:A, Matches!J:J, "NA", 0)</f>
        <v>RCBW</v>
      </c>
      <c r="Y886" t="str">
        <f>_xlfn.XLOOKUP(A886, Matches!A:A, Matches!F:F, "NA", 0)</f>
        <v>Arun Jaitley Stadium</v>
      </c>
      <c r="Z886" cm="1">
        <f t="array" ref="Z886">INDEX(Innings!F:F,MATCH(1,(TRIM(Innings!A:A)=TRIM(A886))*(TRIM(Innings!D:D)=TRIM(E886)),0))</f>
        <v>113</v>
      </c>
      <c r="AA886" cm="1">
        <f t="array" ref="AA886">INDEX(Innings!I:I,MATCH(1,(TRIM(Innings!A:A)=TRIM(A886))*(TRIM(Innings!D:D)=TRIM(E886)),0))</f>
        <v>5.95</v>
      </c>
      <c r="AB886" cm="1">
        <f t="array" ref="AB886">INDEX(Innings!J:J,MATCH(1,(TRIM(Innings!A:A)=TRIM(A886))*(TRIM(Innings!D:D)=TRIM(E886)),0))</f>
        <v>43</v>
      </c>
      <c r="AC886" cm="1">
        <f t="array" ref="AC886">INDEX(Innings!N:N,MATCH(1,(TRIM(Innings!A:A)=TRIM(A886))*(TRIM(Innings!D:D)=TRIM(E886)),0))</f>
        <v>14</v>
      </c>
      <c r="AD886" cm="1">
        <f t="array" ref="AD886">INDEX(Innings!S:S,MATCH(1,(TRIM(Innings!A:A)=TRIM(A886))*(TRIM(Innings!D:D)=TRIM(E886)),0))</f>
        <v>55</v>
      </c>
      <c r="AE886" t="str" cm="1">
        <f t="array" ref="AE886">INDEX(Innings!W:W,MATCH(1,(TRIM(Innings!A:A)=TRIM(A886))*(TRIM(Innings!D:D)=TRIM(E886)),0))</f>
        <v>NA</v>
      </c>
      <c r="AF886">
        <f>IF(UPPER(TRIM(E886))=UPPER(TRIM(W886)),1,0)</f>
        <v>0</v>
      </c>
      <c r="AG886">
        <f t="shared" si="26"/>
        <v>4.3</v>
      </c>
    </row>
    <row r="887" spans="1:33" x14ac:dyDescent="0.3">
      <c r="A887" t="s">
        <v>366</v>
      </c>
      <c r="B887">
        <v>2</v>
      </c>
      <c r="C887" t="s">
        <v>123</v>
      </c>
      <c r="D887" t="s">
        <v>98</v>
      </c>
      <c r="E887" t="s">
        <v>266</v>
      </c>
      <c r="F887" t="s">
        <v>169</v>
      </c>
      <c r="G887" t="s">
        <v>134</v>
      </c>
      <c r="H887">
        <v>6</v>
      </c>
      <c r="I887">
        <v>10</v>
      </c>
      <c r="J887">
        <v>60</v>
      </c>
      <c r="K887" t="s">
        <v>245</v>
      </c>
      <c r="L887">
        <v>0.2</v>
      </c>
      <c r="M887">
        <v>3</v>
      </c>
      <c r="N887">
        <v>0</v>
      </c>
      <c r="O887">
        <v>26</v>
      </c>
      <c r="P887">
        <v>0</v>
      </c>
      <c r="Q887">
        <v>8.6999999999999993</v>
      </c>
      <c r="R887">
        <v>3</v>
      </c>
      <c r="S887">
        <v>0</v>
      </c>
      <c r="T887">
        <v>0</v>
      </c>
      <c r="U887" s="8">
        <v>3.2</v>
      </c>
      <c r="V887" s="8">
        <f t="shared" si="27"/>
        <v>0</v>
      </c>
      <c r="W887" t="str">
        <f>_xlfn.XLOOKUP(A887, Matches!A:A, Matches!L:L, "NA", 0)</f>
        <v>RCBW</v>
      </c>
      <c r="X887" t="str">
        <f>_xlfn.XLOOKUP(A887, Matches!A:A, Matches!J:J, "NA", 0)</f>
        <v>RCBW</v>
      </c>
      <c r="Y887" t="str">
        <f>_xlfn.XLOOKUP(A887, Matches!A:A, Matches!F:F, "NA", 0)</f>
        <v>Arun Jaitley Stadium</v>
      </c>
      <c r="Z887" cm="1">
        <f t="array" ref="Z887">INDEX(Innings!F:F,MATCH(1,(TRIM(Innings!A:A)=TRIM(A887))*(TRIM(Innings!D:D)=TRIM(E887)),0))</f>
        <v>113</v>
      </c>
      <c r="AA887" cm="1">
        <f t="array" ref="AA887">INDEX(Innings!I:I,MATCH(1,(TRIM(Innings!A:A)=TRIM(A887))*(TRIM(Innings!D:D)=TRIM(E887)),0))</f>
        <v>5.95</v>
      </c>
      <c r="AB887" cm="1">
        <f t="array" ref="AB887">INDEX(Innings!J:J,MATCH(1,(TRIM(Innings!A:A)=TRIM(A887))*(TRIM(Innings!D:D)=TRIM(E887)),0))</f>
        <v>43</v>
      </c>
      <c r="AC887" cm="1">
        <f t="array" ref="AC887">INDEX(Innings!N:N,MATCH(1,(TRIM(Innings!A:A)=TRIM(A887))*(TRIM(Innings!D:D)=TRIM(E887)),0))</f>
        <v>14</v>
      </c>
      <c r="AD887" cm="1">
        <f t="array" ref="AD887">INDEX(Innings!S:S,MATCH(1,(TRIM(Innings!A:A)=TRIM(A887))*(TRIM(Innings!D:D)=TRIM(E887)),0))</f>
        <v>55</v>
      </c>
      <c r="AE887" t="str" cm="1">
        <f t="array" ref="AE887">INDEX(Innings!W:W,MATCH(1,(TRIM(Innings!A:A)=TRIM(A887))*(TRIM(Innings!D:D)=TRIM(E887)),0))</f>
        <v>NA</v>
      </c>
      <c r="AF887">
        <f>IF(UPPER(TRIM(E887))=UPPER(TRIM(W887)),1,0)</f>
        <v>0</v>
      </c>
      <c r="AG887">
        <f t="shared" si="26"/>
        <v>1.6</v>
      </c>
    </row>
    <row r="888" spans="1:33" x14ac:dyDescent="0.3">
      <c r="A888" t="s">
        <v>366</v>
      </c>
      <c r="B888">
        <v>2</v>
      </c>
      <c r="C888" t="s">
        <v>125</v>
      </c>
      <c r="D888" t="s">
        <v>111</v>
      </c>
      <c r="E888" t="s">
        <v>266</v>
      </c>
      <c r="F888" t="s">
        <v>169</v>
      </c>
      <c r="G888" t="s">
        <v>134</v>
      </c>
      <c r="H888">
        <v>4</v>
      </c>
      <c r="I888">
        <v>7</v>
      </c>
      <c r="J888">
        <v>57.14</v>
      </c>
      <c r="K888" t="s">
        <v>246</v>
      </c>
      <c r="L888">
        <v>-0.1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 s="8">
        <v>-0.1</v>
      </c>
      <c r="V888" s="8">
        <f t="shared" si="27"/>
        <v>0</v>
      </c>
      <c r="W888" t="str">
        <f>_xlfn.XLOOKUP(A888, Matches!A:A, Matches!L:L, "NA", 0)</f>
        <v>RCBW</v>
      </c>
      <c r="X888" t="str">
        <f>_xlfn.XLOOKUP(A888, Matches!A:A, Matches!J:J, "NA", 0)</f>
        <v>RCBW</v>
      </c>
      <c r="Y888" t="str">
        <f>_xlfn.XLOOKUP(A888, Matches!A:A, Matches!F:F, "NA", 0)</f>
        <v>Arun Jaitley Stadium</v>
      </c>
      <c r="Z888" cm="1">
        <f t="array" ref="Z888">INDEX(Innings!F:F,MATCH(1,(TRIM(Innings!A:A)=TRIM(A888))*(TRIM(Innings!D:D)=TRIM(E888)),0))</f>
        <v>113</v>
      </c>
      <c r="AA888" cm="1">
        <f t="array" ref="AA888">INDEX(Innings!I:I,MATCH(1,(TRIM(Innings!A:A)=TRIM(A888))*(TRIM(Innings!D:D)=TRIM(E888)),0))</f>
        <v>5.95</v>
      </c>
      <c r="AB888" cm="1">
        <f t="array" ref="AB888">INDEX(Innings!J:J,MATCH(1,(TRIM(Innings!A:A)=TRIM(A888))*(TRIM(Innings!D:D)=TRIM(E888)),0))</f>
        <v>43</v>
      </c>
      <c r="AC888" cm="1">
        <f t="array" ref="AC888">INDEX(Innings!N:N,MATCH(1,(TRIM(Innings!A:A)=TRIM(A888))*(TRIM(Innings!D:D)=TRIM(E888)),0))</f>
        <v>14</v>
      </c>
      <c r="AD888" cm="1">
        <f t="array" ref="AD888">INDEX(Innings!S:S,MATCH(1,(TRIM(Innings!A:A)=TRIM(A888))*(TRIM(Innings!D:D)=TRIM(E888)),0))</f>
        <v>55</v>
      </c>
      <c r="AE888" t="str" cm="1">
        <f t="array" ref="AE888">INDEX(Innings!W:W,MATCH(1,(TRIM(Innings!A:A)=TRIM(A888))*(TRIM(Innings!D:D)=TRIM(E888)),0))</f>
        <v>NA</v>
      </c>
      <c r="AF888">
        <f>IF(UPPER(TRIM(E888))=UPPER(TRIM(W888)),1,0)</f>
        <v>0</v>
      </c>
      <c r="AG888">
        <f t="shared" si="26"/>
        <v>0</v>
      </c>
    </row>
    <row r="889" spans="1:33" x14ac:dyDescent="0.3">
      <c r="A889" t="s">
        <v>366</v>
      </c>
      <c r="B889">
        <v>2</v>
      </c>
      <c r="C889" t="s">
        <v>590</v>
      </c>
      <c r="D889" t="s">
        <v>456</v>
      </c>
      <c r="E889" t="s">
        <v>266</v>
      </c>
      <c r="F889" t="s">
        <v>85</v>
      </c>
      <c r="G889" t="s">
        <v>134</v>
      </c>
      <c r="H889">
        <v>19</v>
      </c>
      <c r="I889">
        <v>18</v>
      </c>
      <c r="J889">
        <v>105.56</v>
      </c>
      <c r="K889" t="s">
        <v>96</v>
      </c>
      <c r="L889">
        <v>16.100000000000001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 s="8">
        <v>16.100000000000001</v>
      </c>
      <c r="V889" s="8">
        <f t="shared" si="27"/>
        <v>2</v>
      </c>
      <c r="W889" t="str">
        <f>_xlfn.XLOOKUP(A889, Matches!A:A, Matches!L:L, "NA", 0)</f>
        <v>RCBW</v>
      </c>
      <c r="X889" t="str">
        <f>_xlfn.XLOOKUP(A889, Matches!A:A, Matches!J:J, "NA", 0)</f>
        <v>RCBW</v>
      </c>
      <c r="Y889" t="str">
        <f>_xlfn.XLOOKUP(A889, Matches!A:A, Matches!F:F, "NA", 0)</f>
        <v>Arun Jaitley Stadium</v>
      </c>
      <c r="Z889" cm="1">
        <f t="array" ref="Z889">INDEX(Innings!F:F,MATCH(1,(TRIM(Innings!A:A)=TRIM(A889))*(TRIM(Innings!D:D)=TRIM(E889)),0))</f>
        <v>113</v>
      </c>
      <c r="AA889" cm="1">
        <f t="array" ref="AA889">INDEX(Innings!I:I,MATCH(1,(TRIM(Innings!A:A)=TRIM(A889))*(TRIM(Innings!D:D)=TRIM(E889)),0))</f>
        <v>5.95</v>
      </c>
      <c r="AB889" cm="1">
        <f t="array" ref="AB889">INDEX(Innings!J:J,MATCH(1,(TRIM(Innings!A:A)=TRIM(A889))*(TRIM(Innings!D:D)=TRIM(E889)),0))</f>
        <v>43</v>
      </c>
      <c r="AC889" cm="1">
        <f t="array" ref="AC889">INDEX(Innings!N:N,MATCH(1,(TRIM(Innings!A:A)=TRIM(A889))*(TRIM(Innings!D:D)=TRIM(E889)),0))</f>
        <v>14</v>
      </c>
      <c r="AD889" cm="1">
        <f t="array" ref="AD889">INDEX(Innings!S:S,MATCH(1,(TRIM(Innings!A:A)=TRIM(A889))*(TRIM(Innings!D:D)=TRIM(E889)),0))</f>
        <v>55</v>
      </c>
      <c r="AE889" t="str" cm="1">
        <f t="array" ref="AE889">INDEX(Innings!W:W,MATCH(1,(TRIM(Innings!A:A)=TRIM(A889))*(TRIM(Innings!D:D)=TRIM(E889)),0))</f>
        <v>NA</v>
      </c>
      <c r="AF889">
        <f>IF(UPPER(TRIM(E889))=UPPER(TRIM(W889)),1,0)</f>
        <v>0</v>
      </c>
      <c r="AG889">
        <f t="shared" si="26"/>
        <v>8.65</v>
      </c>
    </row>
    <row r="890" spans="1:33" x14ac:dyDescent="0.3">
      <c r="A890" t="s">
        <v>366</v>
      </c>
      <c r="B890">
        <v>2</v>
      </c>
      <c r="C890" t="s">
        <v>265</v>
      </c>
      <c r="D890" t="s">
        <v>264</v>
      </c>
      <c r="E890" t="s">
        <v>266</v>
      </c>
      <c r="F890" t="s">
        <v>101</v>
      </c>
      <c r="G890" t="s">
        <v>134</v>
      </c>
      <c r="H890">
        <v>8</v>
      </c>
      <c r="I890">
        <v>8</v>
      </c>
      <c r="J890">
        <v>100</v>
      </c>
      <c r="K890" t="s">
        <v>248</v>
      </c>
      <c r="L890">
        <v>6.8</v>
      </c>
      <c r="M890">
        <v>4</v>
      </c>
      <c r="N890">
        <v>0</v>
      </c>
      <c r="O890">
        <v>19</v>
      </c>
      <c r="P890">
        <v>1</v>
      </c>
      <c r="Q890">
        <v>4.8</v>
      </c>
      <c r="R890">
        <v>30</v>
      </c>
      <c r="S890">
        <v>0</v>
      </c>
      <c r="T890">
        <v>0</v>
      </c>
      <c r="U890" s="8">
        <v>36.799999999999997</v>
      </c>
      <c r="V890" s="8">
        <f t="shared" si="27"/>
        <v>4</v>
      </c>
      <c r="W890" t="str">
        <f>_xlfn.XLOOKUP(A890, Matches!A:A, Matches!L:L, "NA", 0)</f>
        <v>RCBW</v>
      </c>
      <c r="X890" t="str">
        <f>_xlfn.XLOOKUP(A890, Matches!A:A, Matches!J:J, "NA", 0)</f>
        <v>RCBW</v>
      </c>
      <c r="Y890" t="str">
        <f>_xlfn.XLOOKUP(A890, Matches!A:A, Matches!F:F, "NA", 0)</f>
        <v>Arun Jaitley Stadium</v>
      </c>
      <c r="Z890" cm="1">
        <f t="array" ref="Z890">INDEX(Innings!F:F,MATCH(1,(TRIM(Innings!A:A)=TRIM(A890))*(TRIM(Innings!D:D)=TRIM(E890)),0))</f>
        <v>113</v>
      </c>
      <c r="AA890" cm="1">
        <f t="array" ref="AA890">INDEX(Innings!I:I,MATCH(1,(TRIM(Innings!A:A)=TRIM(A890))*(TRIM(Innings!D:D)=TRIM(E890)),0))</f>
        <v>5.95</v>
      </c>
      <c r="AB890" cm="1">
        <f t="array" ref="AB890">INDEX(Innings!J:J,MATCH(1,(TRIM(Innings!A:A)=TRIM(A890))*(TRIM(Innings!D:D)=TRIM(E890)),0))</f>
        <v>43</v>
      </c>
      <c r="AC890" cm="1">
        <f t="array" ref="AC890">INDEX(Innings!N:N,MATCH(1,(TRIM(Innings!A:A)=TRIM(A890))*(TRIM(Innings!D:D)=TRIM(E890)),0))</f>
        <v>14</v>
      </c>
      <c r="AD890" cm="1">
        <f t="array" ref="AD890">INDEX(Innings!S:S,MATCH(1,(TRIM(Innings!A:A)=TRIM(A890))*(TRIM(Innings!D:D)=TRIM(E890)),0))</f>
        <v>55</v>
      </c>
      <c r="AE890" t="str" cm="1">
        <f t="array" ref="AE890">INDEX(Innings!W:W,MATCH(1,(TRIM(Innings!A:A)=TRIM(A890))*(TRIM(Innings!D:D)=TRIM(E890)),0))</f>
        <v>NA</v>
      </c>
      <c r="AF890">
        <f>IF(UPPER(TRIM(E890))=UPPER(TRIM(W890)),1,0)</f>
        <v>0</v>
      </c>
      <c r="AG890">
        <f t="shared" si="26"/>
        <v>19.599999999999998</v>
      </c>
    </row>
    <row r="891" spans="1:33" x14ac:dyDescent="0.3">
      <c r="A891" t="s">
        <v>366</v>
      </c>
      <c r="B891">
        <v>2</v>
      </c>
      <c r="C891" t="s">
        <v>131</v>
      </c>
      <c r="D891" t="s">
        <v>106</v>
      </c>
      <c r="E891" t="s">
        <v>266</v>
      </c>
      <c r="F891" t="s">
        <v>101</v>
      </c>
      <c r="G891" t="s">
        <v>134</v>
      </c>
      <c r="H891">
        <v>1</v>
      </c>
      <c r="I891">
        <v>4</v>
      </c>
      <c r="J891">
        <v>25</v>
      </c>
      <c r="K891" t="s">
        <v>247</v>
      </c>
      <c r="L891">
        <v>-2.7</v>
      </c>
      <c r="M891">
        <v>2</v>
      </c>
      <c r="N891">
        <v>0</v>
      </c>
      <c r="O891">
        <v>24</v>
      </c>
      <c r="P891">
        <v>0</v>
      </c>
      <c r="Q891">
        <v>12</v>
      </c>
      <c r="R891">
        <v>0</v>
      </c>
      <c r="S891">
        <v>0</v>
      </c>
      <c r="T891">
        <v>0</v>
      </c>
      <c r="U891" s="8">
        <v>-2.7</v>
      </c>
      <c r="V891" s="8">
        <f t="shared" si="27"/>
        <v>0</v>
      </c>
      <c r="W891" t="str">
        <f>_xlfn.XLOOKUP(A891, Matches!A:A, Matches!L:L, "NA", 0)</f>
        <v>RCBW</v>
      </c>
      <c r="X891" t="str">
        <f>_xlfn.XLOOKUP(A891, Matches!A:A, Matches!J:J, "NA", 0)</f>
        <v>RCBW</v>
      </c>
      <c r="Y891" t="str">
        <f>_xlfn.XLOOKUP(A891, Matches!A:A, Matches!F:F, "NA", 0)</f>
        <v>Arun Jaitley Stadium</v>
      </c>
      <c r="Z891" cm="1">
        <f t="array" ref="Z891">INDEX(Innings!F:F,MATCH(1,(TRIM(Innings!A:A)=TRIM(A891))*(TRIM(Innings!D:D)=TRIM(E891)),0))</f>
        <v>113</v>
      </c>
      <c r="AA891" cm="1">
        <f t="array" ref="AA891">INDEX(Innings!I:I,MATCH(1,(TRIM(Innings!A:A)=TRIM(A891))*(TRIM(Innings!D:D)=TRIM(E891)),0))</f>
        <v>5.95</v>
      </c>
      <c r="AB891" cm="1">
        <f t="array" ref="AB891">INDEX(Innings!J:J,MATCH(1,(TRIM(Innings!A:A)=TRIM(A891))*(TRIM(Innings!D:D)=TRIM(E891)),0))</f>
        <v>43</v>
      </c>
      <c r="AC891" cm="1">
        <f t="array" ref="AC891">INDEX(Innings!N:N,MATCH(1,(TRIM(Innings!A:A)=TRIM(A891))*(TRIM(Innings!D:D)=TRIM(E891)),0))</f>
        <v>14</v>
      </c>
      <c r="AD891" cm="1">
        <f t="array" ref="AD891">INDEX(Innings!S:S,MATCH(1,(TRIM(Innings!A:A)=TRIM(A891))*(TRIM(Innings!D:D)=TRIM(E891)),0))</f>
        <v>55</v>
      </c>
      <c r="AE891" t="str" cm="1">
        <f t="array" ref="AE891">INDEX(Innings!W:W,MATCH(1,(TRIM(Innings!A:A)=TRIM(A891))*(TRIM(Innings!D:D)=TRIM(E891)),0))</f>
        <v>NA</v>
      </c>
      <c r="AF891">
        <f>IF(UPPER(TRIM(E891))=UPPER(TRIM(W891)),1,0)</f>
        <v>0</v>
      </c>
      <c r="AG891">
        <f t="shared" si="26"/>
        <v>0</v>
      </c>
    </row>
    <row r="892" spans="1:33" x14ac:dyDescent="0.3">
      <c r="A892" t="s">
        <v>366</v>
      </c>
      <c r="B892">
        <v>2</v>
      </c>
      <c r="C892" t="s">
        <v>165</v>
      </c>
      <c r="D892" t="s">
        <v>166</v>
      </c>
      <c r="E892" t="s">
        <v>159</v>
      </c>
      <c r="F892" t="s">
        <v>109</v>
      </c>
      <c r="G892" t="s">
        <v>86</v>
      </c>
      <c r="H892">
        <v>11</v>
      </c>
      <c r="I892">
        <v>13</v>
      </c>
      <c r="J892">
        <v>84.62</v>
      </c>
      <c r="K892" t="s">
        <v>246</v>
      </c>
      <c r="L892">
        <v>3.2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 s="8">
        <v>3.2</v>
      </c>
      <c r="V892" s="8">
        <f t="shared" si="27"/>
        <v>0</v>
      </c>
      <c r="W892" t="str">
        <f>_xlfn.XLOOKUP(A892, Matches!A:A, Matches!L:L, "NA", 0)</f>
        <v>RCBW</v>
      </c>
      <c r="X892" t="str">
        <f>_xlfn.XLOOKUP(A892, Matches!A:A, Matches!J:J, "NA", 0)</f>
        <v>RCBW</v>
      </c>
      <c r="Y892" t="str">
        <f>_xlfn.XLOOKUP(A892, Matches!A:A, Matches!F:F, "NA", 0)</f>
        <v>Arun Jaitley Stadium</v>
      </c>
      <c r="Z892" cm="1">
        <f t="array" ref="Z892">INDEX(Innings!F:F,MATCH(1,(TRIM(Innings!A:A)=TRIM(A892))*(TRIM(Innings!D:D)=TRIM(E892)),0))</f>
        <v>115</v>
      </c>
      <c r="AA892" cm="1">
        <f t="array" ref="AA892">INDEX(Innings!I:I,MATCH(1,(TRIM(Innings!A:A)=TRIM(A892))*(TRIM(Innings!D:D)=TRIM(E892)),0))</f>
        <v>7.67</v>
      </c>
      <c r="AB892" cm="1">
        <f t="array" ref="AB892">INDEX(Innings!J:J,MATCH(1,(TRIM(Innings!A:A)=TRIM(A892))*(TRIM(Innings!D:D)=TRIM(E892)),0))</f>
        <v>39</v>
      </c>
      <c r="AC892" cm="1">
        <f t="array" ref="AC892">INDEX(Innings!N:N,MATCH(1,(TRIM(Innings!A:A)=TRIM(A892))*(TRIM(Innings!D:D)=TRIM(E892)),0))</f>
        <v>0</v>
      </c>
      <c r="AD892" cm="1">
        <f t="array" ref="AD892">INDEX(Innings!S:S,MATCH(1,(TRIM(Innings!A:A)=TRIM(A892))*(TRIM(Innings!D:D)=TRIM(E892)),0))</f>
        <v>44</v>
      </c>
      <c r="AE892" t="str" cm="1">
        <f t="array" ref="AE892">INDEX(Innings!W:W,MATCH(1,(TRIM(Innings!A:A)=TRIM(A892))*(TRIM(Innings!D:D)=TRIM(E892)),0))</f>
        <v>Successful</v>
      </c>
      <c r="AF892">
        <f>IF(UPPER(TRIM(E892))=UPPER(TRIM(W892)),1,0)</f>
        <v>1</v>
      </c>
      <c r="AG892">
        <f t="shared" si="26"/>
        <v>21.6</v>
      </c>
    </row>
    <row r="893" spans="1:33" x14ac:dyDescent="0.3">
      <c r="A893" t="s">
        <v>366</v>
      </c>
      <c r="B893">
        <v>2</v>
      </c>
      <c r="C893" t="s">
        <v>371</v>
      </c>
      <c r="D893" t="s">
        <v>372</v>
      </c>
      <c r="E893" t="s">
        <v>159</v>
      </c>
      <c r="F893" t="s">
        <v>169</v>
      </c>
      <c r="G893" t="s">
        <v>92</v>
      </c>
      <c r="H893">
        <v>9</v>
      </c>
      <c r="I893">
        <v>9</v>
      </c>
      <c r="J893">
        <v>100</v>
      </c>
      <c r="K893" t="s">
        <v>248</v>
      </c>
      <c r="L893">
        <v>4.5</v>
      </c>
      <c r="M893">
        <v>4</v>
      </c>
      <c r="N893">
        <v>0</v>
      </c>
      <c r="O893">
        <v>26</v>
      </c>
      <c r="P893">
        <v>1</v>
      </c>
      <c r="Q893">
        <v>6.5</v>
      </c>
      <c r="R893">
        <v>30</v>
      </c>
      <c r="S893">
        <v>0</v>
      </c>
      <c r="T893">
        <v>0</v>
      </c>
      <c r="U893" s="8">
        <v>34.5</v>
      </c>
      <c r="V893" s="8">
        <f t="shared" si="27"/>
        <v>3</v>
      </c>
      <c r="W893" t="str">
        <f>_xlfn.XLOOKUP(A893, Matches!A:A, Matches!L:L, "NA", 0)</f>
        <v>RCBW</v>
      </c>
      <c r="X893" t="str">
        <f>_xlfn.XLOOKUP(A893, Matches!A:A, Matches!J:J, "NA", 0)</f>
        <v>RCBW</v>
      </c>
      <c r="Y893" t="str">
        <f>_xlfn.XLOOKUP(A893, Matches!A:A, Matches!F:F, "NA", 0)</f>
        <v>Arun Jaitley Stadium</v>
      </c>
      <c r="Z893" cm="1">
        <f t="array" ref="Z893">INDEX(Innings!F:F,MATCH(1,(TRIM(Innings!A:A)=TRIM(A893))*(TRIM(Innings!D:D)=TRIM(E893)),0))</f>
        <v>115</v>
      </c>
      <c r="AA893" cm="1">
        <f t="array" ref="AA893">INDEX(Innings!I:I,MATCH(1,(TRIM(Innings!A:A)=TRIM(A893))*(TRIM(Innings!D:D)=TRIM(E893)),0))</f>
        <v>7.67</v>
      </c>
      <c r="AB893" cm="1">
        <f t="array" ref="AB893">INDEX(Innings!J:J,MATCH(1,(TRIM(Innings!A:A)=TRIM(A893))*(TRIM(Innings!D:D)=TRIM(E893)),0))</f>
        <v>39</v>
      </c>
      <c r="AC893" cm="1">
        <f t="array" ref="AC893">INDEX(Innings!N:N,MATCH(1,(TRIM(Innings!A:A)=TRIM(A893))*(TRIM(Innings!D:D)=TRIM(E893)),0))</f>
        <v>0</v>
      </c>
      <c r="AD893" cm="1">
        <f t="array" ref="AD893">INDEX(Innings!S:S,MATCH(1,(TRIM(Innings!A:A)=TRIM(A893))*(TRIM(Innings!D:D)=TRIM(E893)),0))</f>
        <v>44</v>
      </c>
      <c r="AE893" t="str" cm="1">
        <f t="array" ref="AE893">INDEX(Innings!W:W,MATCH(1,(TRIM(Innings!A:A)=TRIM(A893))*(TRIM(Innings!D:D)=TRIM(E893)),0))</f>
        <v>Successful</v>
      </c>
      <c r="AF893">
        <f>IF(UPPER(TRIM(E893))=UPPER(TRIM(W893)),1,0)</f>
        <v>1</v>
      </c>
      <c r="AG893">
        <f t="shared" si="26"/>
        <v>38.15</v>
      </c>
    </row>
    <row r="894" spans="1:33" x14ac:dyDescent="0.3">
      <c r="A894" t="s">
        <v>366</v>
      </c>
      <c r="B894">
        <v>2</v>
      </c>
      <c r="C894" t="s">
        <v>174</v>
      </c>
      <c r="D894" t="s">
        <v>175</v>
      </c>
      <c r="E894" t="s">
        <v>159</v>
      </c>
      <c r="F894" t="s">
        <v>169</v>
      </c>
      <c r="G894" t="s">
        <v>92</v>
      </c>
      <c r="H894">
        <v>40</v>
      </c>
      <c r="I894">
        <v>38</v>
      </c>
      <c r="J894">
        <v>105.26</v>
      </c>
      <c r="K894" t="s">
        <v>96</v>
      </c>
      <c r="L894">
        <v>39.5</v>
      </c>
      <c r="M894">
        <v>4</v>
      </c>
      <c r="N894">
        <v>0</v>
      </c>
      <c r="O894">
        <v>15</v>
      </c>
      <c r="P894">
        <v>6</v>
      </c>
      <c r="Q894">
        <v>3.8</v>
      </c>
      <c r="R894">
        <v>175</v>
      </c>
      <c r="S894">
        <v>0</v>
      </c>
      <c r="T894">
        <v>0</v>
      </c>
      <c r="U894" s="8">
        <v>214.5</v>
      </c>
      <c r="V894" s="8">
        <f t="shared" si="27"/>
        <v>10</v>
      </c>
      <c r="W894" t="str">
        <f>_xlfn.XLOOKUP(A894, Matches!A:A, Matches!L:L, "NA", 0)</f>
        <v>RCBW</v>
      </c>
      <c r="X894" t="str">
        <f>_xlfn.XLOOKUP(A894, Matches!A:A, Matches!J:J, "NA", 0)</f>
        <v>RCBW</v>
      </c>
      <c r="Y894" t="str">
        <f>_xlfn.XLOOKUP(A894, Matches!A:A, Matches!F:F, "NA", 0)</f>
        <v>Arun Jaitley Stadium</v>
      </c>
      <c r="Z894" cm="1">
        <f t="array" ref="Z894">INDEX(Innings!F:F,MATCH(1,(TRIM(Innings!A:A)=TRIM(A894))*(TRIM(Innings!D:D)=TRIM(E894)),0))</f>
        <v>115</v>
      </c>
      <c r="AA894" cm="1">
        <f t="array" ref="AA894">INDEX(Innings!I:I,MATCH(1,(TRIM(Innings!A:A)=TRIM(A894))*(TRIM(Innings!D:D)=TRIM(E894)),0))</f>
        <v>7.67</v>
      </c>
      <c r="AB894" cm="1">
        <f t="array" ref="AB894">INDEX(Innings!J:J,MATCH(1,(TRIM(Innings!A:A)=TRIM(A894))*(TRIM(Innings!D:D)=TRIM(E894)),0))</f>
        <v>39</v>
      </c>
      <c r="AC894" cm="1">
        <f t="array" ref="AC894">INDEX(Innings!N:N,MATCH(1,(TRIM(Innings!A:A)=TRIM(A894))*(TRIM(Innings!D:D)=TRIM(E894)),0))</f>
        <v>0</v>
      </c>
      <c r="AD894" cm="1">
        <f t="array" ref="AD894">INDEX(Innings!S:S,MATCH(1,(TRIM(Innings!A:A)=TRIM(A894))*(TRIM(Innings!D:D)=TRIM(E894)),0))</f>
        <v>44</v>
      </c>
      <c r="AE894" t="str" cm="1">
        <f t="array" ref="AE894">INDEX(Innings!W:W,MATCH(1,(TRIM(Innings!A:A)=TRIM(A894))*(TRIM(Innings!D:D)=TRIM(E894)),0))</f>
        <v>Successful</v>
      </c>
      <c r="AF894">
        <f>IF(UPPER(TRIM(E894))=UPPER(TRIM(W894)),1,0)</f>
        <v>1</v>
      </c>
      <c r="AG894">
        <f t="shared" si="26"/>
        <v>130.25</v>
      </c>
    </row>
    <row r="895" spans="1:33" x14ac:dyDescent="0.3">
      <c r="A895" t="s">
        <v>366</v>
      </c>
      <c r="B895">
        <v>2</v>
      </c>
      <c r="C895" t="s">
        <v>167</v>
      </c>
      <c r="D895" t="s">
        <v>168</v>
      </c>
      <c r="E895" t="s">
        <v>159</v>
      </c>
      <c r="F895" t="s">
        <v>169</v>
      </c>
      <c r="G895" t="s">
        <v>134</v>
      </c>
      <c r="H895">
        <v>4</v>
      </c>
      <c r="I895">
        <v>2</v>
      </c>
      <c r="J895">
        <v>200</v>
      </c>
      <c r="K895" t="s">
        <v>245</v>
      </c>
      <c r="L895">
        <v>7.4</v>
      </c>
      <c r="M895">
        <v>3</v>
      </c>
      <c r="N895">
        <v>0</v>
      </c>
      <c r="O895">
        <v>21</v>
      </c>
      <c r="P895">
        <v>1</v>
      </c>
      <c r="Q895">
        <v>7</v>
      </c>
      <c r="R895">
        <v>15</v>
      </c>
      <c r="S895">
        <v>0</v>
      </c>
      <c r="T895">
        <v>0</v>
      </c>
      <c r="U895" s="8">
        <v>22.4</v>
      </c>
      <c r="V895" s="8">
        <f t="shared" si="27"/>
        <v>2</v>
      </c>
      <c r="W895" t="str">
        <f>_xlfn.XLOOKUP(A895, Matches!A:A, Matches!L:L, "NA", 0)</f>
        <v>RCBW</v>
      </c>
      <c r="X895" t="str">
        <f>_xlfn.XLOOKUP(A895, Matches!A:A, Matches!J:J, "NA", 0)</f>
        <v>RCBW</v>
      </c>
      <c r="Y895" t="str">
        <f>_xlfn.XLOOKUP(A895, Matches!A:A, Matches!F:F, "NA", 0)</f>
        <v>Arun Jaitley Stadium</v>
      </c>
      <c r="Z895" cm="1">
        <f t="array" ref="Z895">INDEX(Innings!F:F,MATCH(1,(TRIM(Innings!A:A)=TRIM(A895))*(TRIM(Innings!D:D)=TRIM(E895)),0))</f>
        <v>115</v>
      </c>
      <c r="AA895" cm="1">
        <f t="array" ref="AA895">INDEX(Innings!I:I,MATCH(1,(TRIM(Innings!A:A)=TRIM(A895))*(TRIM(Innings!D:D)=TRIM(E895)),0))</f>
        <v>7.67</v>
      </c>
      <c r="AB895" cm="1">
        <f t="array" ref="AB895">INDEX(Innings!J:J,MATCH(1,(TRIM(Innings!A:A)=TRIM(A895))*(TRIM(Innings!D:D)=TRIM(E895)),0))</f>
        <v>39</v>
      </c>
      <c r="AC895" cm="1">
        <f t="array" ref="AC895">INDEX(Innings!N:N,MATCH(1,(TRIM(Innings!A:A)=TRIM(A895))*(TRIM(Innings!D:D)=TRIM(E895)),0))</f>
        <v>0</v>
      </c>
      <c r="AD895" cm="1">
        <f t="array" ref="AD895">INDEX(Innings!S:S,MATCH(1,(TRIM(Innings!A:A)=TRIM(A895))*(TRIM(Innings!D:D)=TRIM(E895)),0))</f>
        <v>44</v>
      </c>
      <c r="AE895" t="str" cm="1">
        <f t="array" ref="AE895">INDEX(Innings!W:W,MATCH(1,(TRIM(Innings!A:A)=TRIM(A895))*(TRIM(Innings!D:D)=TRIM(E895)),0))</f>
        <v>Successful</v>
      </c>
      <c r="AF895">
        <f>IF(UPPER(TRIM(E895))=UPPER(TRIM(W895)),1,0)</f>
        <v>1</v>
      </c>
      <c r="AG895">
        <f t="shared" si="26"/>
        <v>31.799999999999997</v>
      </c>
    </row>
    <row r="896" spans="1:33" x14ac:dyDescent="0.3">
      <c r="A896" t="s">
        <v>366</v>
      </c>
      <c r="B896">
        <v>2</v>
      </c>
      <c r="C896" t="s">
        <v>176</v>
      </c>
      <c r="D896" t="s">
        <v>177</v>
      </c>
      <c r="E896" t="s">
        <v>159</v>
      </c>
      <c r="F896" t="s">
        <v>85</v>
      </c>
      <c r="G896" t="s">
        <v>134</v>
      </c>
      <c r="H896">
        <v>36</v>
      </c>
      <c r="I896">
        <v>28</v>
      </c>
      <c r="J896">
        <v>128.57</v>
      </c>
      <c r="K896" t="s">
        <v>96</v>
      </c>
      <c r="L896">
        <v>32.700000000000003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 s="8">
        <v>32.700000000000003</v>
      </c>
      <c r="V896" s="8">
        <f t="shared" si="27"/>
        <v>3</v>
      </c>
      <c r="W896" t="str">
        <f>_xlfn.XLOOKUP(A896, Matches!A:A, Matches!L:L, "NA", 0)</f>
        <v>RCBW</v>
      </c>
      <c r="X896" t="str">
        <f>_xlfn.XLOOKUP(A896, Matches!A:A, Matches!J:J, "NA", 0)</f>
        <v>RCBW</v>
      </c>
      <c r="Y896" t="str">
        <f>_xlfn.XLOOKUP(A896, Matches!A:A, Matches!F:F, "NA", 0)</f>
        <v>Arun Jaitley Stadium</v>
      </c>
      <c r="Z896" cm="1">
        <f t="array" ref="Z896">INDEX(Innings!F:F,MATCH(1,(TRIM(Innings!A:A)=TRIM(A896))*(TRIM(Innings!D:D)=TRIM(E896)),0))</f>
        <v>115</v>
      </c>
      <c r="AA896" cm="1">
        <f t="array" ref="AA896">INDEX(Innings!I:I,MATCH(1,(TRIM(Innings!A:A)=TRIM(A896))*(TRIM(Innings!D:D)=TRIM(E896)),0))</f>
        <v>7.67</v>
      </c>
      <c r="AB896" cm="1">
        <f t="array" ref="AB896">INDEX(Innings!J:J,MATCH(1,(TRIM(Innings!A:A)=TRIM(A896))*(TRIM(Innings!D:D)=TRIM(E896)),0))</f>
        <v>39</v>
      </c>
      <c r="AC896" cm="1">
        <f t="array" ref="AC896">INDEX(Innings!N:N,MATCH(1,(TRIM(Innings!A:A)=TRIM(A896))*(TRIM(Innings!D:D)=TRIM(E896)),0))</f>
        <v>0</v>
      </c>
      <c r="AD896" cm="1">
        <f t="array" ref="AD896">INDEX(Innings!S:S,MATCH(1,(TRIM(Innings!A:A)=TRIM(A896))*(TRIM(Innings!D:D)=TRIM(E896)),0))</f>
        <v>44</v>
      </c>
      <c r="AE896" t="str" cm="1">
        <f t="array" ref="AE896">INDEX(Innings!W:W,MATCH(1,(TRIM(Innings!A:A)=TRIM(A896))*(TRIM(Innings!D:D)=TRIM(E896)),0))</f>
        <v>Successful</v>
      </c>
      <c r="AF896">
        <f>IF(UPPER(TRIM(E896))=UPPER(TRIM(W896)),1,0)</f>
        <v>1</v>
      </c>
      <c r="AG896">
        <f t="shared" si="26"/>
        <v>37.25</v>
      </c>
    </row>
    <row r="897" spans="1:33" x14ac:dyDescent="0.3">
      <c r="A897" t="s">
        <v>366</v>
      </c>
      <c r="B897">
        <v>2</v>
      </c>
      <c r="C897" t="s">
        <v>99</v>
      </c>
      <c r="D897" t="s">
        <v>124</v>
      </c>
      <c r="E897" t="s">
        <v>159</v>
      </c>
      <c r="F897" t="s">
        <v>169</v>
      </c>
      <c r="G897" t="s">
        <v>104</v>
      </c>
      <c r="H897">
        <v>0</v>
      </c>
      <c r="I897">
        <v>0</v>
      </c>
      <c r="J897">
        <v>0</v>
      </c>
      <c r="K897" t="s">
        <v>104</v>
      </c>
      <c r="L897">
        <v>0</v>
      </c>
      <c r="M897">
        <v>2</v>
      </c>
      <c r="N897">
        <v>0</v>
      </c>
      <c r="O897">
        <v>8</v>
      </c>
      <c r="P897">
        <v>0</v>
      </c>
      <c r="Q897">
        <v>4</v>
      </c>
      <c r="R897">
        <v>5</v>
      </c>
      <c r="S897">
        <v>0</v>
      </c>
      <c r="T897">
        <v>0</v>
      </c>
      <c r="U897" s="8">
        <v>5</v>
      </c>
      <c r="V897" s="8">
        <f t="shared" si="27"/>
        <v>1</v>
      </c>
      <c r="W897" t="str">
        <f>_xlfn.XLOOKUP(A897, Matches!A:A, Matches!L:L, "NA", 0)</f>
        <v>RCBW</v>
      </c>
      <c r="X897" t="str">
        <f>_xlfn.XLOOKUP(A897, Matches!A:A, Matches!J:J, "NA", 0)</f>
        <v>RCBW</v>
      </c>
      <c r="Y897" t="str">
        <f>_xlfn.XLOOKUP(A897, Matches!A:A, Matches!F:F, "NA", 0)</f>
        <v>Arun Jaitley Stadium</v>
      </c>
      <c r="Z897" cm="1">
        <f t="array" ref="Z897">INDEX(Innings!F:F,MATCH(1,(TRIM(Innings!A:A)=TRIM(A897))*(TRIM(Innings!D:D)=TRIM(E897)),0))</f>
        <v>115</v>
      </c>
      <c r="AA897" cm="1">
        <f t="array" ref="AA897">INDEX(Innings!I:I,MATCH(1,(TRIM(Innings!A:A)=TRIM(A897))*(TRIM(Innings!D:D)=TRIM(E897)),0))</f>
        <v>7.67</v>
      </c>
      <c r="AB897" cm="1">
        <f t="array" ref="AB897">INDEX(Innings!J:J,MATCH(1,(TRIM(Innings!A:A)=TRIM(A897))*(TRIM(Innings!D:D)=TRIM(E897)),0))</f>
        <v>39</v>
      </c>
      <c r="AC897" cm="1">
        <f t="array" ref="AC897">INDEX(Innings!N:N,MATCH(1,(TRIM(Innings!A:A)=TRIM(A897))*(TRIM(Innings!D:D)=TRIM(E897)),0))</f>
        <v>0</v>
      </c>
      <c r="AD897" cm="1">
        <f t="array" ref="AD897">INDEX(Innings!S:S,MATCH(1,(TRIM(Innings!A:A)=TRIM(A897))*(TRIM(Innings!D:D)=TRIM(E897)),0))</f>
        <v>44</v>
      </c>
      <c r="AE897" t="str" cm="1">
        <f t="array" ref="AE897">INDEX(Innings!W:W,MATCH(1,(TRIM(Innings!A:A)=TRIM(A897))*(TRIM(Innings!D:D)=TRIM(E897)),0))</f>
        <v>Successful</v>
      </c>
      <c r="AF897">
        <f>IF(UPPER(TRIM(E897))=UPPER(TRIM(W897)),1,0)</f>
        <v>1</v>
      </c>
      <c r="AG897">
        <f t="shared" si="26"/>
        <v>22.8</v>
      </c>
    </row>
    <row r="898" spans="1:33" x14ac:dyDescent="0.3">
      <c r="A898" t="s">
        <v>366</v>
      </c>
      <c r="B898">
        <v>2</v>
      </c>
      <c r="C898" t="s">
        <v>172</v>
      </c>
      <c r="D898" t="s">
        <v>173</v>
      </c>
      <c r="E898" t="s">
        <v>159</v>
      </c>
      <c r="F898" t="s">
        <v>109</v>
      </c>
      <c r="G898" t="s">
        <v>104</v>
      </c>
      <c r="H898">
        <v>0</v>
      </c>
      <c r="I898">
        <v>0</v>
      </c>
      <c r="J898">
        <v>0</v>
      </c>
      <c r="K898" t="s">
        <v>104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 s="8">
        <v>0</v>
      </c>
      <c r="V898" s="8">
        <f t="shared" si="27"/>
        <v>0</v>
      </c>
      <c r="W898" t="str">
        <f>_xlfn.XLOOKUP(A898, Matches!A:A, Matches!L:L, "NA", 0)</f>
        <v>RCBW</v>
      </c>
      <c r="X898" t="str">
        <f>_xlfn.XLOOKUP(A898, Matches!A:A, Matches!J:J, "NA", 0)</f>
        <v>RCBW</v>
      </c>
      <c r="Y898" t="str">
        <f>_xlfn.XLOOKUP(A898, Matches!A:A, Matches!F:F, "NA", 0)</f>
        <v>Arun Jaitley Stadium</v>
      </c>
      <c r="Z898" cm="1">
        <f t="array" ref="Z898">INDEX(Innings!F:F,MATCH(1,(TRIM(Innings!A:A)=TRIM(A898))*(TRIM(Innings!D:D)=TRIM(E898)),0))</f>
        <v>115</v>
      </c>
      <c r="AA898" cm="1">
        <f t="array" ref="AA898">INDEX(Innings!I:I,MATCH(1,(TRIM(Innings!A:A)=TRIM(A898))*(TRIM(Innings!D:D)=TRIM(E898)),0))</f>
        <v>7.67</v>
      </c>
      <c r="AB898" cm="1">
        <f t="array" ref="AB898">INDEX(Innings!J:J,MATCH(1,(TRIM(Innings!A:A)=TRIM(A898))*(TRIM(Innings!D:D)=TRIM(E898)),0))</f>
        <v>39</v>
      </c>
      <c r="AC898" cm="1">
        <f t="array" ref="AC898">INDEX(Innings!N:N,MATCH(1,(TRIM(Innings!A:A)=TRIM(A898))*(TRIM(Innings!D:D)=TRIM(E898)),0))</f>
        <v>0</v>
      </c>
      <c r="AD898" cm="1">
        <f t="array" ref="AD898">INDEX(Innings!S:S,MATCH(1,(TRIM(Innings!A:A)=TRIM(A898))*(TRIM(Innings!D:D)=TRIM(E898)),0))</f>
        <v>44</v>
      </c>
      <c r="AE898" t="str" cm="1">
        <f t="array" ref="AE898">INDEX(Innings!W:W,MATCH(1,(TRIM(Innings!A:A)=TRIM(A898))*(TRIM(Innings!D:D)=TRIM(E898)),0))</f>
        <v>Successful</v>
      </c>
      <c r="AF898">
        <f>IF(UPPER(TRIM(E898))=UPPER(TRIM(W898)),1,0)</f>
        <v>1</v>
      </c>
      <c r="AG898">
        <f t="shared" ref="AG898:AG961" si="28">(0.5*MAX(0,U898) + 0.3*MAX(0,V898) + 0.2*AF898*100)</f>
        <v>20</v>
      </c>
    </row>
    <row r="899" spans="1:33" x14ac:dyDescent="0.3">
      <c r="A899" t="s">
        <v>366</v>
      </c>
      <c r="B899">
        <v>2</v>
      </c>
      <c r="C899" t="s">
        <v>259</v>
      </c>
      <c r="D899" t="s">
        <v>257</v>
      </c>
      <c r="E899" t="s">
        <v>159</v>
      </c>
      <c r="F899" t="s">
        <v>169</v>
      </c>
      <c r="G899" t="s">
        <v>104</v>
      </c>
      <c r="H899">
        <v>0</v>
      </c>
      <c r="I899">
        <v>0</v>
      </c>
      <c r="J899">
        <v>0</v>
      </c>
      <c r="K899" t="s">
        <v>104</v>
      </c>
      <c r="L899">
        <v>0</v>
      </c>
      <c r="M899">
        <v>1</v>
      </c>
      <c r="N899">
        <v>0</v>
      </c>
      <c r="O899">
        <v>3</v>
      </c>
      <c r="P899">
        <v>1</v>
      </c>
      <c r="Q899">
        <v>3</v>
      </c>
      <c r="R899">
        <v>30</v>
      </c>
      <c r="S899">
        <v>0</v>
      </c>
      <c r="T899">
        <v>0</v>
      </c>
      <c r="U899" s="8">
        <v>30</v>
      </c>
      <c r="V899" s="8">
        <f t="shared" ref="V899:V962" si="29">MIN(10, MAX(0, ROUND(U899/10,0)))</f>
        <v>3</v>
      </c>
      <c r="W899" t="str">
        <f>_xlfn.XLOOKUP(A899, Matches!A:A, Matches!L:L, "NA", 0)</f>
        <v>RCBW</v>
      </c>
      <c r="X899" t="str">
        <f>_xlfn.XLOOKUP(A899, Matches!A:A, Matches!J:J, "NA", 0)</f>
        <v>RCBW</v>
      </c>
      <c r="Y899" t="str">
        <f>_xlfn.XLOOKUP(A899, Matches!A:A, Matches!F:F, "NA", 0)</f>
        <v>Arun Jaitley Stadium</v>
      </c>
      <c r="Z899" cm="1">
        <f t="array" ref="Z899">INDEX(Innings!F:F,MATCH(1,(TRIM(Innings!A:A)=TRIM(A899))*(TRIM(Innings!D:D)=TRIM(E899)),0))</f>
        <v>115</v>
      </c>
      <c r="AA899" cm="1">
        <f t="array" ref="AA899">INDEX(Innings!I:I,MATCH(1,(TRIM(Innings!A:A)=TRIM(A899))*(TRIM(Innings!D:D)=TRIM(E899)),0))</f>
        <v>7.67</v>
      </c>
      <c r="AB899" cm="1">
        <f t="array" ref="AB899">INDEX(Innings!J:J,MATCH(1,(TRIM(Innings!A:A)=TRIM(A899))*(TRIM(Innings!D:D)=TRIM(E899)),0))</f>
        <v>39</v>
      </c>
      <c r="AC899" cm="1">
        <f t="array" ref="AC899">INDEX(Innings!N:N,MATCH(1,(TRIM(Innings!A:A)=TRIM(A899))*(TRIM(Innings!D:D)=TRIM(E899)),0))</f>
        <v>0</v>
      </c>
      <c r="AD899" cm="1">
        <f t="array" ref="AD899">INDEX(Innings!S:S,MATCH(1,(TRIM(Innings!A:A)=TRIM(A899))*(TRIM(Innings!D:D)=TRIM(E899)),0))</f>
        <v>44</v>
      </c>
      <c r="AE899" t="str" cm="1">
        <f t="array" ref="AE899">INDEX(Innings!W:W,MATCH(1,(TRIM(Innings!A:A)=TRIM(A899))*(TRIM(Innings!D:D)=TRIM(E899)),0))</f>
        <v>Successful</v>
      </c>
      <c r="AF899">
        <f>IF(UPPER(TRIM(E899))=UPPER(TRIM(W899)),1,0)</f>
        <v>1</v>
      </c>
      <c r="AG899">
        <f t="shared" si="28"/>
        <v>35.9</v>
      </c>
    </row>
    <row r="900" spans="1:33" x14ac:dyDescent="0.3">
      <c r="A900" t="s">
        <v>366</v>
      </c>
      <c r="B900">
        <v>2</v>
      </c>
      <c r="C900" t="s">
        <v>180</v>
      </c>
      <c r="D900" t="s">
        <v>181</v>
      </c>
      <c r="E900" t="s">
        <v>159</v>
      </c>
      <c r="F900" t="s">
        <v>169</v>
      </c>
      <c r="G900" t="s">
        <v>104</v>
      </c>
      <c r="H900">
        <v>0</v>
      </c>
      <c r="I900">
        <v>0</v>
      </c>
      <c r="J900">
        <v>0</v>
      </c>
      <c r="K900" t="s">
        <v>104</v>
      </c>
      <c r="L900">
        <v>0</v>
      </c>
      <c r="M900">
        <v>2</v>
      </c>
      <c r="N900">
        <v>0</v>
      </c>
      <c r="O900">
        <v>12</v>
      </c>
      <c r="P900">
        <v>1</v>
      </c>
      <c r="Q900">
        <v>6</v>
      </c>
      <c r="R900">
        <v>15</v>
      </c>
      <c r="S900">
        <v>0</v>
      </c>
      <c r="T900">
        <v>0</v>
      </c>
      <c r="U900" s="8">
        <v>15</v>
      </c>
      <c r="V900" s="8">
        <f t="shared" si="29"/>
        <v>2</v>
      </c>
      <c r="W900" t="str">
        <f>_xlfn.XLOOKUP(A900, Matches!A:A, Matches!L:L, "NA", 0)</f>
        <v>RCBW</v>
      </c>
      <c r="X900" t="str">
        <f>_xlfn.XLOOKUP(A900, Matches!A:A, Matches!J:J, "NA", 0)</f>
        <v>RCBW</v>
      </c>
      <c r="Y900" t="str">
        <f>_xlfn.XLOOKUP(A900, Matches!A:A, Matches!F:F, "NA", 0)</f>
        <v>Arun Jaitley Stadium</v>
      </c>
      <c r="Z900" cm="1">
        <f t="array" ref="Z900">INDEX(Innings!F:F,MATCH(1,(TRIM(Innings!A:A)=TRIM(A900))*(TRIM(Innings!D:D)=TRIM(E900)),0))</f>
        <v>115</v>
      </c>
      <c r="AA900" cm="1">
        <f t="array" ref="AA900">INDEX(Innings!I:I,MATCH(1,(TRIM(Innings!A:A)=TRIM(A900))*(TRIM(Innings!D:D)=TRIM(E900)),0))</f>
        <v>7.67</v>
      </c>
      <c r="AB900" cm="1">
        <f t="array" ref="AB900">INDEX(Innings!J:J,MATCH(1,(TRIM(Innings!A:A)=TRIM(A900))*(TRIM(Innings!D:D)=TRIM(E900)),0))</f>
        <v>39</v>
      </c>
      <c r="AC900" cm="1">
        <f t="array" ref="AC900">INDEX(Innings!N:N,MATCH(1,(TRIM(Innings!A:A)=TRIM(A900))*(TRIM(Innings!D:D)=TRIM(E900)),0))</f>
        <v>0</v>
      </c>
      <c r="AD900" cm="1">
        <f t="array" ref="AD900">INDEX(Innings!S:S,MATCH(1,(TRIM(Innings!A:A)=TRIM(A900))*(TRIM(Innings!D:D)=TRIM(E900)),0))</f>
        <v>44</v>
      </c>
      <c r="AE900" t="str" cm="1">
        <f t="array" ref="AE900">INDEX(Innings!W:W,MATCH(1,(TRIM(Innings!A:A)=TRIM(A900))*(TRIM(Innings!D:D)=TRIM(E900)),0))</f>
        <v>Successful</v>
      </c>
      <c r="AF900">
        <f>IF(UPPER(TRIM(E900))=UPPER(TRIM(W900)),1,0)</f>
        <v>1</v>
      </c>
      <c r="AG900">
        <f t="shared" si="28"/>
        <v>28.1</v>
      </c>
    </row>
    <row r="901" spans="1:33" x14ac:dyDescent="0.3">
      <c r="A901" t="s">
        <v>366</v>
      </c>
      <c r="B901">
        <v>2</v>
      </c>
      <c r="C901" t="s">
        <v>589</v>
      </c>
      <c r="D901" t="s">
        <v>452</v>
      </c>
      <c r="E901" t="s">
        <v>159</v>
      </c>
      <c r="F901" t="s">
        <v>101</v>
      </c>
      <c r="G901" t="s">
        <v>104</v>
      </c>
      <c r="H901">
        <v>0</v>
      </c>
      <c r="I901">
        <v>0</v>
      </c>
      <c r="J901">
        <v>0</v>
      </c>
      <c r="K901" t="s">
        <v>104</v>
      </c>
      <c r="L901">
        <v>0</v>
      </c>
      <c r="M901">
        <v>1</v>
      </c>
      <c r="N901">
        <v>0</v>
      </c>
      <c r="O901">
        <v>9</v>
      </c>
      <c r="P901">
        <v>0</v>
      </c>
      <c r="Q901">
        <v>9</v>
      </c>
      <c r="R901">
        <v>0</v>
      </c>
      <c r="S901">
        <v>0</v>
      </c>
      <c r="T901">
        <v>0</v>
      </c>
      <c r="U901" s="8">
        <v>0</v>
      </c>
      <c r="V901" s="8">
        <f t="shared" si="29"/>
        <v>0</v>
      </c>
      <c r="W901" t="str">
        <f>_xlfn.XLOOKUP(A901, Matches!A:A, Matches!L:L, "NA", 0)</f>
        <v>RCBW</v>
      </c>
      <c r="X901" t="str">
        <f>_xlfn.XLOOKUP(A901, Matches!A:A, Matches!J:J, "NA", 0)</f>
        <v>RCBW</v>
      </c>
      <c r="Y901" t="str">
        <f>_xlfn.XLOOKUP(A901, Matches!A:A, Matches!F:F, "NA", 0)</f>
        <v>Arun Jaitley Stadium</v>
      </c>
      <c r="Z901" cm="1">
        <f t="array" ref="Z901">INDEX(Innings!F:F,MATCH(1,(TRIM(Innings!A:A)=TRIM(A901))*(TRIM(Innings!D:D)=TRIM(E901)),0))</f>
        <v>115</v>
      </c>
      <c r="AA901" cm="1">
        <f t="array" ref="AA901">INDEX(Innings!I:I,MATCH(1,(TRIM(Innings!A:A)=TRIM(A901))*(TRIM(Innings!D:D)=TRIM(E901)),0))</f>
        <v>7.67</v>
      </c>
      <c r="AB901" cm="1">
        <f t="array" ref="AB901">INDEX(Innings!J:J,MATCH(1,(TRIM(Innings!A:A)=TRIM(A901))*(TRIM(Innings!D:D)=TRIM(E901)),0))</f>
        <v>39</v>
      </c>
      <c r="AC901" cm="1">
        <f t="array" ref="AC901">INDEX(Innings!N:N,MATCH(1,(TRIM(Innings!A:A)=TRIM(A901))*(TRIM(Innings!D:D)=TRIM(E901)),0))</f>
        <v>0</v>
      </c>
      <c r="AD901" cm="1">
        <f t="array" ref="AD901">INDEX(Innings!S:S,MATCH(1,(TRIM(Innings!A:A)=TRIM(A901))*(TRIM(Innings!D:D)=TRIM(E901)),0))</f>
        <v>44</v>
      </c>
      <c r="AE901" t="str" cm="1">
        <f t="array" ref="AE901">INDEX(Innings!W:W,MATCH(1,(TRIM(Innings!A:A)=TRIM(A901))*(TRIM(Innings!D:D)=TRIM(E901)),0))</f>
        <v>Successful</v>
      </c>
      <c r="AF901">
        <f>IF(UPPER(TRIM(E901))=UPPER(TRIM(W901)),1,0)</f>
        <v>1</v>
      </c>
      <c r="AG901">
        <f t="shared" si="28"/>
        <v>20</v>
      </c>
    </row>
    <row r="902" spans="1:33" x14ac:dyDescent="0.3">
      <c r="A902" t="s">
        <v>366</v>
      </c>
      <c r="B902">
        <v>2</v>
      </c>
      <c r="C902" t="s">
        <v>186</v>
      </c>
      <c r="D902" t="s">
        <v>187</v>
      </c>
      <c r="E902" t="s">
        <v>159</v>
      </c>
      <c r="F902" t="s">
        <v>101</v>
      </c>
      <c r="G902" t="s">
        <v>104</v>
      </c>
      <c r="H902">
        <v>0</v>
      </c>
      <c r="I902">
        <v>0</v>
      </c>
      <c r="J902">
        <v>0</v>
      </c>
      <c r="K902" t="s">
        <v>104</v>
      </c>
      <c r="L902">
        <v>0</v>
      </c>
      <c r="M902">
        <v>2</v>
      </c>
      <c r="N902">
        <v>0</v>
      </c>
      <c r="O902">
        <v>16</v>
      </c>
      <c r="P902">
        <v>0</v>
      </c>
      <c r="Q902">
        <v>8</v>
      </c>
      <c r="R902">
        <v>0</v>
      </c>
      <c r="S902">
        <v>0</v>
      </c>
      <c r="T902">
        <v>0</v>
      </c>
      <c r="U902" s="8">
        <v>0</v>
      </c>
      <c r="V902" s="8">
        <f t="shared" si="29"/>
        <v>0</v>
      </c>
      <c r="W902" t="str">
        <f>_xlfn.XLOOKUP(A902, Matches!A:A, Matches!L:L, "NA", 0)</f>
        <v>RCBW</v>
      </c>
      <c r="X902" t="str">
        <f>_xlfn.XLOOKUP(A902, Matches!A:A, Matches!J:J, "NA", 0)</f>
        <v>RCBW</v>
      </c>
      <c r="Y902" t="str">
        <f>_xlfn.XLOOKUP(A902, Matches!A:A, Matches!F:F, "NA", 0)</f>
        <v>Arun Jaitley Stadium</v>
      </c>
      <c r="Z902" cm="1">
        <f t="array" ref="Z902">INDEX(Innings!F:F,MATCH(1,(TRIM(Innings!A:A)=TRIM(A902))*(TRIM(Innings!D:D)=TRIM(E902)),0))</f>
        <v>115</v>
      </c>
      <c r="AA902" cm="1">
        <f t="array" ref="AA902">INDEX(Innings!I:I,MATCH(1,(TRIM(Innings!A:A)=TRIM(A902))*(TRIM(Innings!D:D)=TRIM(E902)),0))</f>
        <v>7.67</v>
      </c>
      <c r="AB902" cm="1">
        <f t="array" ref="AB902">INDEX(Innings!J:J,MATCH(1,(TRIM(Innings!A:A)=TRIM(A902))*(TRIM(Innings!D:D)=TRIM(E902)),0))</f>
        <v>39</v>
      </c>
      <c r="AC902" cm="1">
        <f t="array" ref="AC902">INDEX(Innings!N:N,MATCH(1,(TRIM(Innings!A:A)=TRIM(A902))*(TRIM(Innings!D:D)=TRIM(E902)),0))</f>
        <v>0</v>
      </c>
      <c r="AD902" cm="1">
        <f t="array" ref="AD902">INDEX(Innings!S:S,MATCH(1,(TRIM(Innings!A:A)=TRIM(A902))*(TRIM(Innings!D:D)=TRIM(E902)),0))</f>
        <v>44</v>
      </c>
      <c r="AE902" t="str" cm="1">
        <f t="array" ref="AE902">INDEX(Innings!W:W,MATCH(1,(TRIM(Innings!A:A)=TRIM(A902))*(TRIM(Innings!D:D)=TRIM(E902)),0))</f>
        <v>Successful</v>
      </c>
      <c r="AF902">
        <f>IF(UPPER(TRIM(E902))=UPPER(TRIM(W902)),1,0)</f>
        <v>1</v>
      </c>
      <c r="AG902">
        <f t="shared" si="28"/>
        <v>20</v>
      </c>
    </row>
    <row r="903" spans="1:33" x14ac:dyDescent="0.3">
      <c r="A903" t="s">
        <v>367</v>
      </c>
      <c r="B903">
        <v>2</v>
      </c>
      <c r="C903" t="s">
        <v>278</v>
      </c>
      <c r="D903" t="s">
        <v>293</v>
      </c>
      <c r="E903" t="s">
        <v>258</v>
      </c>
      <c r="F903" t="s">
        <v>109</v>
      </c>
      <c r="G903" t="s">
        <v>86</v>
      </c>
      <c r="H903">
        <v>7</v>
      </c>
      <c r="I903">
        <v>11</v>
      </c>
      <c r="J903">
        <v>63.64</v>
      </c>
      <c r="K903" t="s">
        <v>246</v>
      </c>
      <c r="L903">
        <v>-1.1000000000000001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 s="8">
        <v>-1.1000000000000001</v>
      </c>
      <c r="V903" s="8">
        <f t="shared" si="29"/>
        <v>0</v>
      </c>
      <c r="W903" t="str">
        <f>_xlfn.XLOOKUP(A903, Matches!A:A, Matches!L:L, "NA", 0)</f>
        <v>DCW</v>
      </c>
      <c r="X903" t="str">
        <f>_xlfn.XLOOKUP(A903, Matches!A:A, Matches!J:J, "NA", 0)</f>
        <v>GGTW</v>
      </c>
      <c r="Y903" t="str">
        <f>_xlfn.XLOOKUP(A903, Matches!A:A, Matches!F:F, "NA", 0)</f>
        <v>Arun Jaitley Stadium</v>
      </c>
      <c r="Z903" cm="1">
        <f t="array" ref="Z903">INDEX(Innings!F:F,MATCH(1,(TRIM(Innings!A:A)=TRIM(A903))*(TRIM(Innings!D:D)=TRIM(E903)),0))</f>
        <v>126</v>
      </c>
      <c r="AA903" cm="1">
        <f t="array" ref="AA903">INDEX(Innings!I:I,MATCH(1,(TRIM(Innings!A:A)=TRIM(A903))*(TRIM(Innings!D:D)=TRIM(E903)),0))</f>
        <v>6.3</v>
      </c>
      <c r="AB903" cm="1">
        <f t="array" ref="AB903">INDEX(Innings!J:J,MATCH(1,(TRIM(Innings!A:A)=TRIM(A903))*(TRIM(Innings!D:D)=TRIM(E903)),0))</f>
        <v>23</v>
      </c>
      <c r="AC903" cm="1">
        <f t="array" ref="AC903">INDEX(Innings!N:N,MATCH(1,(TRIM(Innings!A:A)=TRIM(A903))*(TRIM(Innings!D:D)=TRIM(E903)),0))</f>
        <v>36</v>
      </c>
      <c r="AD903" cm="1">
        <f t="array" ref="AD903">INDEX(Innings!S:S,MATCH(1,(TRIM(Innings!A:A)=TRIM(A903))*(TRIM(Innings!D:D)=TRIM(E903)),0))</f>
        <v>57</v>
      </c>
      <c r="AE903" t="str" cm="1">
        <f t="array" ref="AE903">INDEX(Innings!W:W,MATCH(1,(TRIM(Innings!A:A)=TRIM(A903))*(TRIM(Innings!D:D)=TRIM(E903)),0))</f>
        <v>NA</v>
      </c>
      <c r="AF903">
        <f>IF(UPPER(TRIM(E903))=UPPER(TRIM(W903)),1,0)</f>
        <v>0</v>
      </c>
      <c r="AG903">
        <f t="shared" si="28"/>
        <v>0</v>
      </c>
    </row>
    <row r="904" spans="1:33" x14ac:dyDescent="0.3">
      <c r="A904" t="s">
        <v>367</v>
      </c>
      <c r="B904">
        <v>2</v>
      </c>
      <c r="C904" t="s">
        <v>81</v>
      </c>
      <c r="D904" t="s">
        <v>114</v>
      </c>
      <c r="E904" t="s">
        <v>258</v>
      </c>
      <c r="F904" t="s">
        <v>85</v>
      </c>
      <c r="G904" t="s">
        <v>86</v>
      </c>
      <c r="H904">
        <v>0</v>
      </c>
      <c r="I904">
        <v>5</v>
      </c>
      <c r="J904">
        <v>0</v>
      </c>
      <c r="K904" t="s">
        <v>245</v>
      </c>
      <c r="L904">
        <v>-5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 s="8">
        <v>-5</v>
      </c>
      <c r="V904" s="8">
        <f t="shared" si="29"/>
        <v>0</v>
      </c>
      <c r="W904" t="str">
        <f>_xlfn.XLOOKUP(A904, Matches!A:A, Matches!L:L, "NA", 0)</f>
        <v>DCW</v>
      </c>
      <c r="X904" t="str">
        <f>_xlfn.XLOOKUP(A904, Matches!A:A, Matches!J:J, "NA", 0)</f>
        <v>GGTW</v>
      </c>
      <c r="Y904" t="str">
        <f>_xlfn.XLOOKUP(A904, Matches!A:A, Matches!F:F, "NA", 0)</f>
        <v>Arun Jaitley Stadium</v>
      </c>
      <c r="Z904" cm="1">
        <f t="array" ref="Z904">INDEX(Innings!F:F,MATCH(1,(TRIM(Innings!A:A)=TRIM(A904))*(TRIM(Innings!D:D)=TRIM(E904)),0))</f>
        <v>126</v>
      </c>
      <c r="AA904" cm="1">
        <f t="array" ref="AA904">INDEX(Innings!I:I,MATCH(1,(TRIM(Innings!A:A)=TRIM(A904))*(TRIM(Innings!D:D)=TRIM(E904)),0))</f>
        <v>6.3</v>
      </c>
      <c r="AB904" cm="1">
        <f t="array" ref="AB904">INDEX(Innings!J:J,MATCH(1,(TRIM(Innings!A:A)=TRIM(A904))*(TRIM(Innings!D:D)=TRIM(E904)),0))</f>
        <v>23</v>
      </c>
      <c r="AC904" cm="1">
        <f t="array" ref="AC904">INDEX(Innings!N:N,MATCH(1,(TRIM(Innings!A:A)=TRIM(A904))*(TRIM(Innings!D:D)=TRIM(E904)),0))</f>
        <v>36</v>
      </c>
      <c r="AD904" cm="1">
        <f t="array" ref="AD904">INDEX(Innings!S:S,MATCH(1,(TRIM(Innings!A:A)=TRIM(A904))*(TRIM(Innings!D:D)=TRIM(E904)),0))</f>
        <v>57</v>
      </c>
      <c r="AE904" t="str" cm="1">
        <f t="array" ref="AE904">INDEX(Innings!W:W,MATCH(1,(TRIM(Innings!A:A)=TRIM(A904))*(TRIM(Innings!D:D)=TRIM(E904)),0))</f>
        <v>NA</v>
      </c>
      <c r="AF904">
        <f>IF(UPPER(TRIM(E904))=UPPER(TRIM(W904)),1,0)</f>
        <v>0</v>
      </c>
      <c r="AG904">
        <f t="shared" si="28"/>
        <v>0</v>
      </c>
    </row>
    <row r="905" spans="1:33" x14ac:dyDescent="0.3">
      <c r="A905" t="s">
        <v>367</v>
      </c>
      <c r="B905">
        <v>2</v>
      </c>
      <c r="C905" t="s">
        <v>97</v>
      </c>
      <c r="D905" t="s">
        <v>122</v>
      </c>
      <c r="E905" t="s">
        <v>258</v>
      </c>
      <c r="F905" t="s">
        <v>109</v>
      </c>
      <c r="G905" t="s">
        <v>92</v>
      </c>
      <c r="H905">
        <v>4</v>
      </c>
      <c r="I905">
        <v>7</v>
      </c>
      <c r="J905">
        <v>57.14</v>
      </c>
      <c r="K905" t="s">
        <v>245</v>
      </c>
      <c r="L905">
        <v>-2.1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 s="8">
        <v>-2.1</v>
      </c>
      <c r="V905" s="8">
        <f t="shared" si="29"/>
        <v>0</v>
      </c>
      <c r="W905" t="str">
        <f>_xlfn.XLOOKUP(A905, Matches!A:A, Matches!L:L, "NA", 0)</f>
        <v>DCW</v>
      </c>
      <c r="X905" t="str">
        <f>_xlfn.XLOOKUP(A905, Matches!A:A, Matches!J:J, "NA", 0)</f>
        <v>GGTW</v>
      </c>
      <c r="Y905" t="str">
        <f>_xlfn.XLOOKUP(A905, Matches!A:A, Matches!F:F, "NA", 0)</f>
        <v>Arun Jaitley Stadium</v>
      </c>
      <c r="Z905" cm="1">
        <f t="array" ref="Z905">INDEX(Innings!F:F,MATCH(1,(TRIM(Innings!A:A)=TRIM(A905))*(TRIM(Innings!D:D)=TRIM(E905)),0))</f>
        <v>126</v>
      </c>
      <c r="AA905" cm="1">
        <f t="array" ref="AA905">INDEX(Innings!I:I,MATCH(1,(TRIM(Innings!A:A)=TRIM(A905))*(TRIM(Innings!D:D)=TRIM(E905)),0))</f>
        <v>6.3</v>
      </c>
      <c r="AB905" cm="1">
        <f t="array" ref="AB905">INDEX(Innings!J:J,MATCH(1,(TRIM(Innings!A:A)=TRIM(A905))*(TRIM(Innings!D:D)=TRIM(E905)),0))</f>
        <v>23</v>
      </c>
      <c r="AC905" cm="1">
        <f t="array" ref="AC905">INDEX(Innings!N:N,MATCH(1,(TRIM(Innings!A:A)=TRIM(A905))*(TRIM(Innings!D:D)=TRIM(E905)),0))</f>
        <v>36</v>
      </c>
      <c r="AD905" cm="1">
        <f t="array" ref="AD905">INDEX(Innings!S:S,MATCH(1,(TRIM(Innings!A:A)=TRIM(A905))*(TRIM(Innings!D:D)=TRIM(E905)),0))</f>
        <v>57</v>
      </c>
      <c r="AE905" t="str" cm="1">
        <f t="array" ref="AE905">INDEX(Innings!W:W,MATCH(1,(TRIM(Innings!A:A)=TRIM(A905))*(TRIM(Innings!D:D)=TRIM(E905)),0))</f>
        <v>NA</v>
      </c>
      <c r="AF905">
        <f>IF(UPPER(TRIM(E905))=UPPER(TRIM(W905)),1,0)</f>
        <v>0</v>
      </c>
      <c r="AG905">
        <f t="shared" si="28"/>
        <v>0</v>
      </c>
    </row>
    <row r="906" spans="1:33" x14ac:dyDescent="0.3">
      <c r="A906" t="s">
        <v>367</v>
      </c>
      <c r="B906">
        <v>2</v>
      </c>
      <c r="C906" t="s">
        <v>383</v>
      </c>
      <c r="D906" t="s">
        <v>384</v>
      </c>
      <c r="E906" t="s">
        <v>258</v>
      </c>
      <c r="F906" t="s">
        <v>109</v>
      </c>
      <c r="G906" t="s">
        <v>134</v>
      </c>
      <c r="H906">
        <v>21</v>
      </c>
      <c r="I906">
        <v>22</v>
      </c>
      <c r="J906">
        <v>95.45</v>
      </c>
      <c r="K906" t="s">
        <v>246</v>
      </c>
      <c r="L906">
        <v>14.1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 s="8">
        <v>14.1</v>
      </c>
      <c r="V906" s="8">
        <f t="shared" si="29"/>
        <v>1</v>
      </c>
      <c r="W906" t="str">
        <f>_xlfn.XLOOKUP(A906, Matches!A:A, Matches!L:L, "NA", 0)</f>
        <v>DCW</v>
      </c>
      <c r="X906" t="str">
        <f>_xlfn.XLOOKUP(A906, Matches!A:A, Matches!J:J, "NA", 0)</f>
        <v>GGTW</v>
      </c>
      <c r="Y906" t="str">
        <f>_xlfn.XLOOKUP(A906, Matches!A:A, Matches!F:F, "NA", 0)</f>
        <v>Arun Jaitley Stadium</v>
      </c>
      <c r="Z906" cm="1">
        <f t="array" ref="Z906">INDEX(Innings!F:F,MATCH(1,(TRIM(Innings!A:A)=TRIM(A906))*(TRIM(Innings!D:D)=TRIM(E906)),0))</f>
        <v>126</v>
      </c>
      <c r="AA906" cm="1">
        <f t="array" ref="AA906">INDEX(Innings!I:I,MATCH(1,(TRIM(Innings!A:A)=TRIM(A906))*(TRIM(Innings!D:D)=TRIM(E906)),0))</f>
        <v>6.3</v>
      </c>
      <c r="AB906" cm="1">
        <f t="array" ref="AB906">INDEX(Innings!J:J,MATCH(1,(TRIM(Innings!A:A)=TRIM(A906))*(TRIM(Innings!D:D)=TRIM(E906)),0))</f>
        <v>23</v>
      </c>
      <c r="AC906" cm="1">
        <f t="array" ref="AC906">INDEX(Innings!N:N,MATCH(1,(TRIM(Innings!A:A)=TRIM(A906))*(TRIM(Innings!D:D)=TRIM(E906)),0))</f>
        <v>36</v>
      </c>
      <c r="AD906" cm="1">
        <f t="array" ref="AD906">INDEX(Innings!S:S,MATCH(1,(TRIM(Innings!A:A)=TRIM(A906))*(TRIM(Innings!D:D)=TRIM(E906)),0))</f>
        <v>57</v>
      </c>
      <c r="AE906" t="str" cm="1">
        <f t="array" ref="AE906">INDEX(Innings!W:W,MATCH(1,(TRIM(Innings!A:A)=TRIM(A906))*(TRIM(Innings!D:D)=TRIM(E906)),0))</f>
        <v>NA</v>
      </c>
      <c r="AF906">
        <f>IF(UPPER(TRIM(E906))=UPPER(TRIM(W906)),1,0)</f>
        <v>0</v>
      </c>
      <c r="AG906">
        <f t="shared" si="28"/>
        <v>7.35</v>
      </c>
    </row>
    <row r="907" spans="1:33" x14ac:dyDescent="0.3">
      <c r="A907" t="s">
        <v>367</v>
      </c>
      <c r="B907">
        <v>2</v>
      </c>
      <c r="C907" t="s">
        <v>93</v>
      </c>
      <c r="D907" t="s">
        <v>118</v>
      </c>
      <c r="E907" t="s">
        <v>258</v>
      </c>
      <c r="F907" t="s">
        <v>169</v>
      </c>
      <c r="G907" t="s">
        <v>134</v>
      </c>
      <c r="H907">
        <v>12</v>
      </c>
      <c r="I907">
        <v>12</v>
      </c>
      <c r="J907">
        <v>100</v>
      </c>
      <c r="K907" t="s">
        <v>245</v>
      </c>
      <c r="L907">
        <v>9.6</v>
      </c>
      <c r="M907">
        <v>2</v>
      </c>
      <c r="N907">
        <v>0</v>
      </c>
      <c r="O907">
        <v>28</v>
      </c>
      <c r="P907">
        <v>0</v>
      </c>
      <c r="Q907">
        <v>14</v>
      </c>
      <c r="R907">
        <v>0</v>
      </c>
      <c r="S907">
        <v>0</v>
      </c>
      <c r="T907">
        <v>0</v>
      </c>
      <c r="U907" s="8">
        <v>9.6</v>
      </c>
      <c r="V907" s="8">
        <f t="shared" si="29"/>
        <v>1</v>
      </c>
      <c r="W907" t="str">
        <f>_xlfn.XLOOKUP(A907, Matches!A:A, Matches!L:L, "NA", 0)</f>
        <v>DCW</v>
      </c>
      <c r="X907" t="str">
        <f>_xlfn.XLOOKUP(A907, Matches!A:A, Matches!J:J, "NA", 0)</f>
        <v>GGTW</v>
      </c>
      <c r="Y907" t="str">
        <f>_xlfn.XLOOKUP(A907, Matches!A:A, Matches!F:F, "NA", 0)</f>
        <v>Arun Jaitley Stadium</v>
      </c>
      <c r="Z907" cm="1">
        <f t="array" ref="Z907">INDEX(Innings!F:F,MATCH(1,(TRIM(Innings!A:A)=TRIM(A907))*(TRIM(Innings!D:D)=TRIM(E907)),0))</f>
        <v>126</v>
      </c>
      <c r="AA907" cm="1">
        <f t="array" ref="AA907">INDEX(Innings!I:I,MATCH(1,(TRIM(Innings!A:A)=TRIM(A907))*(TRIM(Innings!D:D)=TRIM(E907)),0))</f>
        <v>6.3</v>
      </c>
      <c r="AB907" cm="1">
        <f t="array" ref="AB907">INDEX(Innings!J:J,MATCH(1,(TRIM(Innings!A:A)=TRIM(A907))*(TRIM(Innings!D:D)=TRIM(E907)),0))</f>
        <v>23</v>
      </c>
      <c r="AC907" cm="1">
        <f t="array" ref="AC907">INDEX(Innings!N:N,MATCH(1,(TRIM(Innings!A:A)=TRIM(A907))*(TRIM(Innings!D:D)=TRIM(E907)),0))</f>
        <v>36</v>
      </c>
      <c r="AD907" cm="1">
        <f t="array" ref="AD907">INDEX(Innings!S:S,MATCH(1,(TRIM(Innings!A:A)=TRIM(A907))*(TRIM(Innings!D:D)=TRIM(E907)),0))</f>
        <v>57</v>
      </c>
      <c r="AE907" t="str" cm="1">
        <f t="array" ref="AE907">INDEX(Innings!W:W,MATCH(1,(TRIM(Innings!A:A)=TRIM(A907))*(TRIM(Innings!D:D)=TRIM(E907)),0))</f>
        <v>NA</v>
      </c>
      <c r="AF907">
        <f>IF(UPPER(TRIM(E907))=UPPER(TRIM(W907)),1,0)</f>
        <v>0</v>
      </c>
      <c r="AG907">
        <f t="shared" si="28"/>
        <v>5.0999999999999996</v>
      </c>
    </row>
    <row r="908" spans="1:33" x14ac:dyDescent="0.3">
      <c r="A908" t="s">
        <v>367</v>
      </c>
      <c r="B908">
        <v>2</v>
      </c>
      <c r="C908" t="s">
        <v>447</v>
      </c>
      <c r="D908" t="s">
        <v>448</v>
      </c>
      <c r="E908" t="s">
        <v>258</v>
      </c>
      <c r="F908" t="s">
        <v>101</v>
      </c>
      <c r="G908" t="s">
        <v>134</v>
      </c>
      <c r="H908">
        <v>42</v>
      </c>
      <c r="I908">
        <v>36</v>
      </c>
      <c r="J908">
        <v>116.67</v>
      </c>
      <c r="K908" t="s">
        <v>245</v>
      </c>
      <c r="L908">
        <v>35.700000000000003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 s="8">
        <v>35.700000000000003</v>
      </c>
      <c r="V908" s="8">
        <f t="shared" si="29"/>
        <v>4</v>
      </c>
      <c r="W908" t="str">
        <f>_xlfn.XLOOKUP(A908, Matches!A:A, Matches!L:L, "NA", 0)</f>
        <v>DCW</v>
      </c>
      <c r="X908" t="str">
        <f>_xlfn.XLOOKUP(A908, Matches!A:A, Matches!J:J, "NA", 0)</f>
        <v>GGTW</v>
      </c>
      <c r="Y908" t="str">
        <f>_xlfn.XLOOKUP(A908, Matches!A:A, Matches!F:F, "NA", 0)</f>
        <v>Arun Jaitley Stadium</v>
      </c>
      <c r="Z908" cm="1">
        <f t="array" ref="Z908">INDEX(Innings!F:F,MATCH(1,(TRIM(Innings!A:A)=TRIM(A908))*(TRIM(Innings!D:D)=TRIM(E908)),0))</f>
        <v>126</v>
      </c>
      <c r="AA908" cm="1">
        <f t="array" ref="AA908">INDEX(Innings!I:I,MATCH(1,(TRIM(Innings!A:A)=TRIM(A908))*(TRIM(Innings!D:D)=TRIM(E908)),0))</f>
        <v>6.3</v>
      </c>
      <c r="AB908" cm="1">
        <f t="array" ref="AB908">INDEX(Innings!J:J,MATCH(1,(TRIM(Innings!A:A)=TRIM(A908))*(TRIM(Innings!D:D)=TRIM(E908)),0))</f>
        <v>23</v>
      </c>
      <c r="AC908" cm="1">
        <f t="array" ref="AC908">INDEX(Innings!N:N,MATCH(1,(TRIM(Innings!A:A)=TRIM(A908))*(TRIM(Innings!D:D)=TRIM(E908)),0))</f>
        <v>36</v>
      </c>
      <c r="AD908" cm="1">
        <f t="array" ref="AD908">INDEX(Innings!S:S,MATCH(1,(TRIM(Innings!A:A)=TRIM(A908))*(TRIM(Innings!D:D)=TRIM(E908)),0))</f>
        <v>57</v>
      </c>
      <c r="AE908" t="str" cm="1">
        <f t="array" ref="AE908">INDEX(Innings!W:W,MATCH(1,(TRIM(Innings!A:A)=TRIM(A908))*(TRIM(Innings!D:D)=TRIM(E908)),0))</f>
        <v>NA</v>
      </c>
      <c r="AF908">
        <f>IF(UPPER(TRIM(E908))=UPPER(TRIM(W908)),1,0)</f>
        <v>0</v>
      </c>
      <c r="AG908">
        <f t="shared" si="28"/>
        <v>19.05</v>
      </c>
    </row>
    <row r="909" spans="1:33" x14ac:dyDescent="0.3">
      <c r="A909" t="s">
        <v>367</v>
      </c>
      <c r="B909">
        <v>2</v>
      </c>
      <c r="C909" t="s">
        <v>385</v>
      </c>
      <c r="D909" t="s">
        <v>386</v>
      </c>
      <c r="E909" t="s">
        <v>258</v>
      </c>
      <c r="F909" t="s">
        <v>169</v>
      </c>
      <c r="G909" t="s">
        <v>134</v>
      </c>
      <c r="H909">
        <v>28</v>
      </c>
      <c r="I909">
        <v>22</v>
      </c>
      <c r="J909">
        <v>127.27</v>
      </c>
      <c r="K909" t="s">
        <v>96</v>
      </c>
      <c r="L909">
        <v>35.5</v>
      </c>
      <c r="M909">
        <v>1</v>
      </c>
      <c r="N909">
        <v>0</v>
      </c>
      <c r="O909">
        <v>16</v>
      </c>
      <c r="P909">
        <v>0</v>
      </c>
      <c r="Q909">
        <v>16</v>
      </c>
      <c r="R909">
        <v>0</v>
      </c>
      <c r="S909">
        <v>0</v>
      </c>
      <c r="T909">
        <v>0</v>
      </c>
      <c r="U909" s="8">
        <v>35.5</v>
      </c>
      <c r="V909" s="8">
        <f t="shared" si="29"/>
        <v>4</v>
      </c>
      <c r="W909" t="str">
        <f>_xlfn.XLOOKUP(A909, Matches!A:A, Matches!L:L, "NA", 0)</f>
        <v>DCW</v>
      </c>
      <c r="X909" t="str">
        <f>_xlfn.XLOOKUP(A909, Matches!A:A, Matches!J:J, "NA", 0)</f>
        <v>GGTW</v>
      </c>
      <c r="Y909" t="str">
        <f>_xlfn.XLOOKUP(A909, Matches!A:A, Matches!F:F, "NA", 0)</f>
        <v>Arun Jaitley Stadium</v>
      </c>
      <c r="Z909" cm="1">
        <f t="array" ref="Z909">INDEX(Innings!F:F,MATCH(1,(TRIM(Innings!A:A)=TRIM(A909))*(TRIM(Innings!D:D)=TRIM(E909)),0))</f>
        <v>126</v>
      </c>
      <c r="AA909" cm="1">
        <f t="array" ref="AA909">INDEX(Innings!I:I,MATCH(1,(TRIM(Innings!A:A)=TRIM(A909))*(TRIM(Innings!D:D)=TRIM(E909)),0))</f>
        <v>6.3</v>
      </c>
      <c r="AB909" cm="1">
        <f t="array" ref="AB909">INDEX(Innings!J:J,MATCH(1,(TRIM(Innings!A:A)=TRIM(A909))*(TRIM(Innings!D:D)=TRIM(E909)),0))</f>
        <v>23</v>
      </c>
      <c r="AC909" cm="1">
        <f t="array" ref="AC909">INDEX(Innings!N:N,MATCH(1,(TRIM(Innings!A:A)=TRIM(A909))*(TRIM(Innings!D:D)=TRIM(E909)),0))</f>
        <v>36</v>
      </c>
      <c r="AD909" cm="1">
        <f t="array" ref="AD909">INDEX(Innings!S:S,MATCH(1,(TRIM(Innings!A:A)=TRIM(A909))*(TRIM(Innings!D:D)=TRIM(E909)),0))</f>
        <v>57</v>
      </c>
      <c r="AE909" t="str" cm="1">
        <f t="array" ref="AE909">INDEX(Innings!W:W,MATCH(1,(TRIM(Innings!A:A)=TRIM(A909))*(TRIM(Innings!D:D)=TRIM(E909)),0))</f>
        <v>NA</v>
      </c>
      <c r="AF909">
        <f>IF(UPPER(TRIM(E909))=UPPER(TRIM(W909)),1,0)</f>
        <v>0</v>
      </c>
      <c r="AG909">
        <f t="shared" si="28"/>
        <v>18.95</v>
      </c>
    </row>
    <row r="910" spans="1:33" x14ac:dyDescent="0.3">
      <c r="A910" t="s">
        <v>367</v>
      </c>
      <c r="B910">
        <v>2</v>
      </c>
      <c r="C910" t="s">
        <v>105</v>
      </c>
      <c r="D910" t="s">
        <v>128</v>
      </c>
      <c r="E910" t="s">
        <v>258</v>
      </c>
      <c r="F910" t="s">
        <v>101</v>
      </c>
      <c r="G910" t="s">
        <v>134</v>
      </c>
      <c r="H910">
        <v>0</v>
      </c>
      <c r="I910">
        <v>1</v>
      </c>
      <c r="J910">
        <v>0</v>
      </c>
      <c r="K910" t="s">
        <v>245</v>
      </c>
      <c r="L910">
        <v>-5</v>
      </c>
      <c r="M910">
        <v>4</v>
      </c>
      <c r="N910">
        <v>1</v>
      </c>
      <c r="O910">
        <v>20</v>
      </c>
      <c r="P910">
        <v>2</v>
      </c>
      <c r="Q910">
        <v>5</v>
      </c>
      <c r="R910">
        <v>55</v>
      </c>
      <c r="S910">
        <v>0</v>
      </c>
      <c r="T910">
        <v>0</v>
      </c>
      <c r="U910" s="8">
        <v>50</v>
      </c>
      <c r="V910" s="8">
        <f t="shared" si="29"/>
        <v>5</v>
      </c>
      <c r="W910" t="str">
        <f>_xlfn.XLOOKUP(A910, Matches!A:A, Matches!L:L, "NA", 0)</f>
        <v>DCW</v>
      </c>
      <c r="X910" t="str">
        <f>_xlfn.XLOOKUP(A910, Matches!A:A, Matches!J:J, "NA", 0)</f>
        <v>GGTW</v>
      </c>
      <c r="Y910" t="str">
        <f>_xlfn.XLOOKUP(A910, Matches!A:A, Matches!F:F, "NA", 0)</f>
        <v>Arun Jaitley Stadium</v>
      </c>
      <c r="Z910" cm="1">
        <f t="array" ref="Z910">INDEX(Innings!F:F,MATCH(1,(TRIM(Innings!A:A)=TRIM(A910))*(TRIM(Innings!D:D)=TRIM(E910)),0))</f>
        <v>126</v>
      </c>
      <c r="AA910" cm="1">
        <f t="array" ref="AA910">INDEX(Innings!I:I,MATCH(1,(TRIM(Innings!A:A)=TRIM(A910))*(TRIM(Innings!D:D)=TRIM(E910)),0))</f>
        <v>6.3</v>
      </c>
      <c r="AB910" cm="1">
        <f t="array" ref="AB910">INDEX(Innings!J:J,MATCH(1,(TRIM(Innings!A:A)=TRIM(A910))*(TRIM(Innings!D:D)=TRIM(E910)),0))</f>
        <v>23</v>
      </c>
      <c r="AC910" cm="1">
        <f t="array" ref="AC910">INDEX(Innings!N:N,MATCH(1,(TRIM(Innings!A:A)=TRIM(A910))*(TRIM(Innings!D:D)=TRIM(E910)),0))</f>
        <v>36</v>
      </c>
      <c r="AD910" cm="1">
        <f t="array" ref="AD910">INDEX(Innings!S:S,MATCH(1,(TRIM(Innings!A:A)=TRIM(A910))*(TRIM(Innings!D:D)=TRIM(E910)),0))</f>
        <v>57</v>
      </c>
      <c r="AE910" t="str" cm="1">
        <f t="array" ref="AE910">INDEX(Innings!W:W,MATCH(1,(TRIM(Innings!A:A)=TRIM(A910))*(TRIM(Innings!D:D)=TRIM(E910)),0))</f>
        <v>NA</v>
      </c>
      <c r="AF910">
        <f>IF(UPPER(TRIM(E910))=UPPER(TRIM(W910)),1,0)</f>
        <v>0</v>
      </c>
      <c r="AG910">
        <f t="shared" si="28"/>
        <v>26.5</v>
      </c>
    </row>
    <row r="911" spans="1:33" x14ac:dyDescent="0.3">
      <c r="A911" t="s">
        <v>367</v>
      </c>
      <c r="B911">
        <v>2</v>
      </c>
      <c r="C911" t="s">
        <v>438</v>
      </c>
      <c r="D911" t="s">
        <v>439</v>
      </c>
      <c r="E911" t="s">
        <v>258</v>
      </c>
      <c r="F911" t="s">
        <v>101</v>
      </c>
      <c r="G911" t="s">
        <v>134</v>
      </c>
      <c r="H911">
        <v>1</v>
      </c>
      <c r="I911">
        <v>2</v>
      </c>
      <c r="J911">
        <v>50</v>
      </c>
      <c r="K911" t="s">
        <v>256</v>
      </c>
      <c r="L911">
        <v>-3.5</v>
      </c>
      <c r="M911">
        <v>2</v>
      </c>
      <c r="N911">
        <v>0</v>
      </c>
      <c r="O911">
        <v>15</v>
      </c>
      <c r="P911">
        <v>0</v>
      </c>
      <c r="Q911">
        <v>7.5</v>
      </c>
      <c r="R911">
        <v>0</v>
      </c>
      <c r="S911">
        <v>0</v>
      </c>
      <c r="T911">
        <v>0</v>
      </c>
      <c r="U911" s="8">
        <v>-3.5</v>
      </c>
      <c r="V911" s="8">
        <f t="shared" si="29"/>
        <v>0</v>
      </c>
      <c r="W911" t="str">
        <f>_xlfn.XLOOKUP(A911, Matches!A:A, Matches!L:L, "NA", 0)</f>
        <v>DCW</v>
      </c>
      <c r="X911" t="str">
        <f>_xlfn.XLOOKUP(A911, Matches!A:A, Matches!J:J, "NA", 0)</f>
        <v>GGTW</v>
      </c>
      <c r="Y911" t="str">
        <f>_xlfn.XLOOKUP(A911, Matches!A:A, Matches!F:F, "NA", 0)</f>
        <v>Arun Jaitley Stadium</v>
      </c>
      <c r="Z911" cm="1">
        <f t="array" ref="Z911">INDEX(Innings!F:F,MATCH(1,(TRIM(Innings!A:A)=TRIM(A911))*(TRIM(Innings!D:D)=TRIM(E911)),0))</f>
        <v>126</v>
      </c>
      <c r="AA911" cm="1">
        <f t="array" ref="AA911">INDEX(Innings!I:I,MATCH(1,(TRIM(Innings!A:A)=TRIM(A911))*(TRIM(Innings!D:D)=TRIM(E911)),0))</f>
        <v>6.3</v>
      </c>
      <c r="AB911" cm="1">
        <f t="array" ref="AB911">INDEX(Innings!J:J,MATCH(1,(TRIM(Innings!A:A)=TRIM(A911))*(TRIM(Innings!D:D)=TRIM(E911)),0))</f>
        <v>23</v>
      </c>
      <c r="AC911" cm="1">
        <f t="array" ref="AC911">INDEX(Innings!N:N,MATCH(1,(TRIM(Innings!A:A)=TRIM(A911))*(TRIM(Innings!D:D)=TRIM(E911)),0))</f>
        <v>36</v>
      </c>
      <c r="AD911" cm="1">
        <f t="array" ref="AD911">INDEX(Innings!S:S,MATCH(1,(TRIM(Innings!A:A)=TRIM(A911))*(TRIM(Innings!D:D)=TRIM(E911)),0))</f>
        <v>57</v>
      </c>
      <c r="AE911" t="str" cm="1">
        <f t="array" ref="AE911">INDEX(Innings!W:W,MATCH(1,(TRIM(Innings!A:A)=TRIM(A911))*(TRIM(Innings!D:D)=TRIM(E911)),0))</f>
        <v>NA</v>
      </c>
      <c r="AF911">
        <f>IF(UPPER(TRIM(E911))=UPPER(TRIM(W911)),1,0)</f>
        <v>0</v>
      </c>
      <c r="AG911">
        <f t="shared" si="28"/>
        <v>0</v>
      </c>
    </row>
    <row r="912" spans="1:33" x14ac:dyDescent="0.3">
      <c r="A912" t="s">
        <v>367</v>
      </c>
      <c r="B912">
        <v>2</v>
      </c>
      <c r="C912" t="s">
        <v>389</v>
      </c>
      <c r="D912" t="s">
        <v>390</v>
      </c>
      <c r="E912" t="s">
        <v>258</v>
      </c>
      <c r="F912" t="s">
        <v>91</v>
      </c>
      <c r="G912" t="s">
        <v>134</v>
      </c>
      <c r="H912">
        <v>4</v>
      </c>
      <c r="I912">
        <v>2</v>
      </c>
      <c r="J912">
        <v>200</v>
      </c>
      <c r="K912" t="s">
        <v>256</v>
      </c>
      <c r="L912">
        <v>7</v>
      </c>
      <c r="M912">
        <v>2</v>
      </c>
      <c r="N912">
        <v>0</v>
      </c>
      <c r="O912">
        <v>28</v>
      </c>
      <c r="P912">
        <v>0</v>
      </c>
      <c r="Q912">
        <v>14</v>
      </c>
      <c r="R912">
        <v>0</v>
      </c>
      <c r="S912">
        <v>0</v>
      </c>
      <c r="T912">
        <v>0</v>
      </c>
      <c r="U912" s="8">
        <v>7</v>
      </c>
      <c r="V912" s="8">
        <f t="shared" si="29"/>
        <v>1</v>
      </c>
      <c r="W912" t="str">
        <f>_xlfn.XLOOKUP(A912, Matches!A:A, Matches!L:L, "NA", 0)</f>
        <v>DCW</v>
      </c>
      <c r="X912" t="str">
        <f>_xlfn.XLOOKUP(A912, Matches!A:A, Matches!J:J, "NA", 0)</f>
        <v>GGTW</v>
      </c>
      <c r="Y912" t="str">
        <f>_xlfn.XLOOKUP(A912, Matches!A:A, Matches!F:F, "NA", 0)</f>
        <v>Arun Jaitley Stadium</v>
      </c>
      <c r="Z912" cm="1">
        <f t="array" ref="Z912">INDEX(Innings!F:F,MATCH(1,(TRIM(Innings!A:A)=TRIM(A912))*(TRIM(Innings!D:D)=TRIM(E912)),0))</f>
        <v>126</v>
      </c>
      <c r="AA912" cm="1">
        <f t="array" ref="AA912">INDEX(Innings!I:I,MATCH(1,(TRIM(Innings!A:A)=TRIM(A912))*(TRIM(Innings!D:D)=TRIM(E912)),0))</f>
        <v>6.3</v>
      </c>
      <c r="AB912" cm="1">
        <f t="array" ref="AB912">INDEX(Innings!J:J,MATCH(1,(TRIM(Innings!A:A)=TRIM(A912))*(TRIM(Innings!D:D)=TRIM(E912)),0))</f>
        <v>23</v>
      </c>
      <c r="AC912" cm="1">
        <f t="array" ref="AC912">INDEX(Innings!N:N,MATCH(1,(TRIM(Innings!A:A)=TRIM(A912))*(TRIM(Innings!D:D)=TRIM(E912)),0))</f>
        <v>36</v>
      </c>
      <c r="AD912" cm="1">
        <f t="array" ref="AD912">INDEX(Innings!S:S,MATCH(1,(TRIM(Innings!A:A)=TRIM(A912))*(TRIM(Innings!D:D)=TRIM(E912)),0))</f>
        <v>57</v>
      </c>
      <c r="AE912" t="str" cm="1">
        <f t="array" ref="AE912">INDEX(Innings!W:W,MATCH(1,(TRIM(Innings!A:A)=TRIM(A912))*(TRIM(Innings!D:D)=TRIM(E912)),0))</f>
        <v>NA</v>
      </c>
      <c r="AF912">
        <f>IF(UPPER(TRIM(E912))=UPPER(TRIM(W912)),1,0)</f>
        <v>0</v>
      </c>
      <c r="AG912">
        <f t="shared" si="28"/>
        <v>3.8</v>
      </c>
    </row>
    <row r="913" spans="1:33" x14ac:dyDescent="0.3">
      <c r="A913" t="s">
        <v>367</v>
      </c>
      <c r="B913">
        <v>2</v>
      </c>
      <c r="C913" t="s">
        <v>404</v>
      </c>
      <c r="D913" t="s">
        <v>416</v>
      </c>
      <c r="E913" t="s">
        <v>258</v>
      </c>
      <c r="F913" t="s">
        <v>91</v>
      </c>
      <c r="G913" t="s">
        <v>134</v>
      </c>
      <c r="H913">
        <v>0</v>
      </c>
      <c r="I913">
        <v>0</v>
      </c>
      <c r="J913">
        <v>0</v>
      </c>
      <c r="K913" t="s">
        <v>96</v>
      </c>
      <c r="L913">
        <v>5</v>
      </c>
      <c r="M913">
        <v>2.1</v>
      </c>
      <c r="N913">
        <v>0</v>
      </c>
      <c r="O913">
        <v>22</v>
      </c>
      <c r="P913">
        <v>0</v>
      </c>
      <c r="Q913">
        <v>10.199999999999999</v>
      </c>
      <c r="R913">
        <v>0</v>
      </c>
      <c r="S913">
        <v>0</v>
      </c>
      <c r="T913">
        <v>0</v>
      </c>
      <c r="U913" s="8">
        <v>5</v>
      </c>
      <c r="V913" s="8">
        <f t="shared" si="29"/>
        <v>1</v>
      </c>
      <c r="W913" t="str">
        <f>_xlfn.XLOOKUP(A913, Matches!A:A, Matches!L:L, "NA", 0)</f>
        <v>DCW</v>
      </c>
      <c r="X913" t="str">
        <f>_xlfn.XLOOKUP(A913, Matches!A:A, Matches!J:J, "NA", 0)</f>
        <v>GGTW</v>
      </c>
      <c r="Y913" t="str">
        <f>_xlfn.XLOOKUP(A913, Matches!A:A, Matches!F:F, "NA", 0)</f>
        <v>Arun Jaitley Stadium</v>
      </c>
      <c r="Z913" cm="1">
        <f t="array" ref="Z913">INDEX(Innings!F:F,MATCH(1,(TRIM(Innings!A:A)=TRIM(A913))*(TRIM(Innings!D:D)=TRIM(E913)),0))</f>
        <v>126</v>
      </c>
      <c r="AA913" cm="1">
        <f t="array" ref="AA913">INDEX(Innings!I:I,MATCH(1,(TRIM(Innings!A:A)=TRIM(A913))*(TRIM(Innings!D:D)=TRIM(E913)),0))</f>
        <v>6.3</v>
      </c>
      <c r="AB913" cm="1">
        <f t="array" ref="AB913">INDEX(Innings!J:J,MATCH(1,(TRIM(Innings!A:A)=TRIM(A913))*(TRIM(Innings!D:D)=TRIM(E913)),0))</f>
        <v>23</v>
      </c>
      <c r="AC913" cm="1">
        <f t="array" ref="AC913">INDEX(Innings!N:N,MATCH(1,(TRIM(Innings!A:A)=TRIM(A913))*(TRIM(Innings!D:D)=TRIM(E913)),0))</f>
        <v>36</v>
      </c>
      <c r="AD913" cm="1">
        <f t="array" ref="AD913">INDEX(Innings!S:S,MATCH(1,(TRIM(Innings!A:A)=TRIM(A913))*(TRIM(Innings!D:D)=TRIM(E913)),0))</f>
        <v>57</v>
      </c>
      <c r="AE913" t="str" cm="1">
        <f t="array" ref="AE913">INDEX(Innings!W:W,MATCH(1,(TRIM(Innings!A:A)=TRIM(A913))*(TRIM(Innings!D:D)=TRIM(E913)),0))</f>
        <v>NA</v>
      </c>
      <c r="AF913">
        <f>IF(UPPER(TRIM(E913))=UPPER(TRIM(W913)),1,0)</f>
        <v>0</v>
      </c>
      <c r="AG913">
        <f t="shared" si="28"/>
        <v>2.8</v>
      </c>
    </row>
    <row r="914" spans="1:33" x14ac:dyDescent="0.3">
      <c r="A914" t="s">
        <v>367</v>
      </c>
      <c r="B914">
        <v>2</v>
      </c>
      <c r="C914" t="s">
        <v>190</v>
      </c>
      <c r="D914" t="s">
        <v>191</v>
      </c>
      <c r="E914" t="s">
        <v>158</v>
      </c>
      <c r="F914" t="s">
        <v>109</v>
      </c>
      <c r="G914" t="s">
        <v>86</v>
      </c>
      <c r="H914">
        <v>18</v>
      </c>
      <c r="I914">
        <v>10</v>
      </c>
      <c r="J914">
        <v>180</v>
      </c>
      <c r="K914" t="s">
        <v>256</v>
      </c>
      <c r="L914">
        <v>21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 s="8">
        <v>21</v>
      </c>
      <c r="V914" s="8">
        <f t="shared" si="29"/>
        <v>2</v>
      </c>
      <c r="W914" t="str">
        <f>_xlfn.XLOOKUP(A914, Matches!A:A, Matches!L:L, "NA", 0)</f>
        <v>DCW</v>
      </c>
      <c r="X914" t="str">
        <f>_xlfn.XLOOKUP(A914, Matches!A:A, Matches!J:J, "NA", 0)</f>
        <v>GGTW</v>
      </c>
      <c r="Y914" t="str">
        <f>_xlfn.XLOOKUP(A914, Matches!A:A, Matches!F:F, "NA", 0)</f>
        <v>Arun Jaitley Stadium</v>
      </c>
      <c r="Z914" cm="1">
        <f t="array" ref="Z914">INDEX(Innings!F:F,MATCH(1,(TRIM(Innings!A:A)=TRIM(A914))*(TRIM(Innings!D:D)=TRIM(E914)),0))</f>
        <v>129</v>
      </c>
      <c r="AA914" cm="1">
        <f t="array" ref="AA914">INDEX(Innings!I:I,MATCH(1,(TRIM(Innings!A:A)=TRIM(A914))*(TRIM(Innings!D:D)=TRIM(E914)),0))</f>
        <v>9.8000000000000007</v>
      </c>
      <c r="AB914" cm="1">
        <f t="array" ref="AB914">INDEX(Innings!J:J,MATCH(1,(TRIM(Innings!A:A)=TRIM(A914))*(TRIM(Innings!D:D)=TRIM(E914)),0))</f>
        <v>45</v>
      </c>
      <c r="AC914" cm="1">
        <f t="array" ref="AC914">INDEX(Innings!N:N,MATCH(1,(TRIM(Innings!A:A)=TRIM(A914))*(TRIM(Innings!D:D)=TRIM(E914)),0))</f>
        <v>0</v>
      </c>
      <c r="AD914" cm="1">
        <f t="array" ref="AD914">INDEX(Innings!S:S,MATCH(1,(TRIM(Innings!A:A)=TRIM(A914))*(TRIM(Innings!D:D)=TRIM(E914)),0))</f>
        <v>30</v>
      </c>
      <c r="AE914" t="str" cm="1">
        <f t="array" ref="AE914">INDEX(Innings!W:W,MATCH(1,(TRIM(Innings!A:A)=TRIM(A914))*(TRIM(Innings!D:D)=TRIM(E914)),0))</f>
        <v>Successful</v>
      </c>
      <c r="AF914">
        <f>IF(UPPER(TRIM(E914))=UPPER(TRIM(W914)),1,0)</f>
        <v>1</v>
      </c>
      <c r="AG914">
        <f t="shared" si="28"/>
        <v>31.1</v>
      </c>
    </row>
    <row r="915" spans="1:33" x14ac:dyDescent="0.3">
      <c r="A915" t="s">
        <v>367</v>
      </c>
      <c r="B915">
        <v>2</v>
      </c>
      <c r="C915" t="s">
        <v>188</v>
      </c>
      <c r="D915" t="s">
        <v>189</v>
      </c>
      <c r="E915" t="s">
        <v>158</v>
      </c>
      <c r="F915" t="s">
        <v>83</v>
      </c>
      <c r="G915" t="s">
        <v>92</v>
      </c>
      <c r="H915">
        <v>71</v>
      </c>
      <c r="I915">
        <v>37</v>
      </c>
      <c r="J915">
        <v>191.89</v>
      </c>
      <c r="K915" t="s">
        <v>246</v>
      </c>
      <c r="L915">
        <v>67.7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 s="8">
        <v>67.7</v>
      </c>
      <c r="V915" s="8">
        <f t="shared" si="29"/>
        <v>7</v>
      </c>
      <c r="W915" t="str">
        <f>_xlfn.XLOOKUP(A915, Matches!A:A, Matches!L:L, "NA", 0)</f>
        <v>DCW</v>
      </c>
      <c r="X915" t="str">
        <f>_xlfn.XLOOKUP(A915, Matches!A:A, Matches!J:J, "NA", 0)</f>
        <v>GGTW</v>
      </c>
      <c r="Y915" t="str">
        <f>_xlfn.XLOOKUP(A915, Matches!A:A, Matches!F:F, "NA", 0)</f>
        <v>Arun Jaitley Stadium</v>
      </c>
      <c r="Z915" cm="1">
        <f t="array" ref="Z915">INDEX(Innings!F:F,MATCH(1,(TRIM(Innings!A:A)=TRIM(A915))*(TRIM(Innings!D:D)=TRIM(E915)),0))</f>
        <v>129</v>
      </c>
      <c r="AA915" cm="1">
        <f t="array" ref="AA915">INDEX(Innings!I:I,MATCH(1,(TRIM(Innings!A:A)=TRIM(A915))*(TRIM(Innings!D:D)=TRIM(E915)),0))</f>
        <v>9.8000000000000007</v>
      </c>
      <c r="AB915" cm="1">
        <f t="array" ref="AB915">INDEX(Innings!J:J,MATCH(1,(TRIM(Innings!A:A)=TRIM(A915))*(TRIM(Innings!D:D)=TRIM(E915)),0))</f>
        <v>45</v>
      </c>
      <c r="AC915" cm="1">
        <f t="array" ref="AC915">INDEX(Innings!N:N,MATCH(1,(TRIM(Innings!A:A)=TRIM(A915))*(TRIM(Innings!D:D)=TRIM(E915)),0))</f>
        <v>0</v>
      </c>
      <c r="AD915" cm="1">
        <f t="array" ref="AD915">INDEX(Innings!S:S,MATCH(1,(TRIM(Innings!A:A)=TRIM(A915))*(TRIM(Innings!D:D)=TRIM(E915)),0))</f>
        <v>30</v>
      </c>
      <c r="AE915" t="str" cm="1">
        <f t="array" ref="AE915">INDEX(Innings!W:W,MATCH(1,(TRIM(Innings!A:A)=TRIM(A915))*(TRIM(Innings!D:D)=TRIM(E915)),0))</f>
        <v>Successful</v>
      </c>
      <c r="AF915">
        <f>IF(UPPER(TRIM(E915))=UPPER(TRIM(W915)),1,0)</f>
        <v>1</v>
      </c>
      <c r="AG915">
        <f t="shared" si="28"/>
        <v>55.95</v>
      </c>
    </row>
    <row r="916" spans="1:33" x14ac:dyDescent="0.3">
      <c r="A916" t="s">
        <v>367</v>
      </c>
      <c r="B916">
        <v>2</v>
      </c>
      <c r="C916" t="s">
        <v>196</v>
      </c>
      <c r="D916" t="s">
        <v>197</v>
      </c>
      <c r="E916" t="s">
        <v>158</v>
      </c>
      <c r="F916" t="s">
        <v>109</v>
      </c>
      <c r="G916" t="s">
        <v>134</v>
      </c>
      <c r="H916">
        <v>0</v>
      </c>
      <c r="I916">
        <v>4</v>
      </c>
      <c r="J916">
        <v>0</v>
      </c>
      <c r="K916" t="s">
        <v>246</v>
      </c>
      <c r="L916">
        <v>-5</v>
      </c>
      <c r="M916">
        <v>1</v>
      </c>
      <c r="N916">
        <v>0</v>
      </c>
      <c r="O916">
        <v>3</v>
      </c>
      <c r="P916">
        <v>0</v>
      </c>
      <c r="Q916">
        <v>3</v>
      </c>
      <c r="R916">
        <v>5</v>
      </c>
      <c r="S916">
        <v>0</v>
      </c>
      <c r="T916">
        <v>0</v>
      </c>
      <c r="U916" s="8">
        <v>0</v>
      </c>
      <c r="V916" s="8">
        <f t="shared" si="29"/>
        <v>0</v>
      </c>
      <c r="W916" t="str">
        <f>_xlfn.XLOOKUP(A916, Matches!A:A, Matches!L:L, "NA", 0)</f>
        <v>DCW</v>
      </c>
      <c r="X916" t="str">
        <f>_xlfn.XLOOKUP(A916, Matches!A:A, Matches!J:J, "NA", 0)</f>
        <v>GGTW</v>
      </c>
      <c r="Y916" t="str">
        <f>_xlfn.XLOOKUP(A916, Matches!A:A, Matches!F:F, "NA", 0)</f>
        <v>Arun Jaitley Stadium</v>
      </c>
      <c r="Z916" cm="1">
        <f t="array" ref="Z916">INDEX(Innings!F:F,MATCH(1,(TRIM(Innings!A:A)=TRIM(A916))*(TRIM(Innings!D:D)=TRIM(E916)),0))</f>
        <v>129</v>
      </c>
      <c r="AA916" cm="1">
        <f t="array" ref="AA916">INDEX(Innings!I:I,MATCH(1,(TRIM(Innings!A:A)=TRIM(A916))*(TRIM(Innings!D:D)=TRIM(E916)),0))</f>
        <v>9.8000000000000007</v>
      </c>
      <c r="AB916" cm="1">
        <f t="array" ref="AB916">INDEX(Innings!J:J,MATCH(1,(TRIM(Innings!A:A)=TRIM(A916))*(TRIM(Innings!D:D)=TRIM(E916)),0))</f>
        <v>45</v>
      </c>
      <c r="AC916" cm="1">
        <f t="array" ref="AC916">INDEX(Innings!N:N,MATCH(1,(TRIM(Innings!A:A)=TRIM(A916))*(TRIM(Innings!D:D)=TRIM(E916)),0))</f>
        <v>0</v>
      </c>
      <c r="AD916" cm="1">
        <f t="array" ref="AD916">INDEX(Innings!S:S,MATCH(1,(TRIM(Innings!A:A)=TRIM(A916))*(TRIM(Innings!D:D)=TRIM(E916)),0))</f>
        <v>30</v>
      </c>
      <c r="AE916" t="str" cm="1">
        <f t="array" ref="AE916">INDEX(Innings!W:W,MATCH(1,(TRIM(Innings!A:A)=TRIM(A916))*(TRIM(Innings!D:D)=TRIM(E916)),0))</f>
        <v>Successful</v>
      </c>
      <c r="AF916">
        <f>IF(UPPER(TRIM(E916))=UPPER(TRIM(W916)),1,0)</f>
        <v>1</v>
      </c>
      <c r="AG916">
        <f t="shared" si="28"/>
        <v>20</v>
      </c>
    </row>
    <row r="917" spans="1:33" x14ac:dyDescent="0.3">
      <c r="A917" t="s">
        <v>367</v>
      </c>
      <c r="B917">
        <v>2</v>
      </c>
      <c r="C917" t="s">
        <v>194</v>
      </c>
      <c r="D917" t="s">
        <v>195</v>
      </c>
      <c r="E917" t="s">
        <v>158</v>
      </c>
      <c r="F917" t="s">
        <v>109</v>
      </c>
      <c r="G917" t="s">
        <v>134</v>
      </c>
      <c r="H917">
        <v>38</v>
      </c>
      <c r="I917">
        <v>28</v>
      </c>
      <c r="J917">
        <v>135.71</v>
      </c>
      <c r="K917" t="s">
        <v>96</v>
      </c>
      <c r="L917">
        <v>35.5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 s="8">
        <v>35.5</v>
      </c>
      <c r="V917" s="8">
        <f t="shared" si="29"/>
        <v>4</v>
      </c>
      <c r="W917" t="str">
        <f>_xlfn.XLOOKUP(A917, Matches!A:A, Matches!L:L, "NA", 0)</f>
        <v>DCW</v>
      </c>
      <c r="X917" t="str">
        <f>_xlfn.XLOOKUP(A917, Matches!A:A, Matches!J:J, "NA", 0)</f>
        <v>GGTW</v>
      </c>
      <c r="Y917" t="str">
        <f>_xlfn.XLOOKUP(A917, Matches!A:A, Matches!F:F, "NA", 0)</f>
        <v>Arun Jaitley Stadium</v>
      </c>
      <c r="Z917" cm="1">
        <f t="array" ref="Z917">INDEX(Innings!F:F,MATCH(1,(TRIM(Innings!A:A)=TRIM(A917))*(TRIM(Innings!D:D)=TRIM(E917)),0))</f>
        <v>129</v>
      </c>
      <c r="AA917" cm="1">
        <f t="array" ref="AA917">INDEX(Innings!I:I,MATCH(1,(TRIM(Innings!A:A)=TRIM(A917))*(TRIM(Innings!D:D)=TRIM(E917)),0))</f>
        <v>9.8000000000000007</v>
      </c>
      <c r="AB917" cm="1">
        <f t="array" ref="AB917">INDEX(Innings!J:J,MATCH(1,(TRIM(Innings!A:A)=TRIM(A917))*(TRIM(Innings!D:D)=TRIM(E917)),0))</f>
        <v>45</v>
      </c>
      <c r="AC917" cm="1">
        <f t="array" ref="AC917">INDEX(Innings!N:N,MATCH(1,(TRIM(Innings!A:A)=TRIM(A917))*(TRIM(Innings!D:D)=TRIM(E917)),0))</f>
        <v>0</v>
      </c>
      <c r="AD917" cm="1">
        <f t="array" ref="AD917">INDEX(Innings!S:S,MATCH(1,(TRIM(Innings!A:A)=TRIM(A917))*(TRIM(Innings!D:D)=TRIM(E917)),0))</f>
        <v>30</v>
      </c>
      <c r="AE917" t="str" cm="1">
        <f t="array" ref="AE917">INDEX(Innings!W:W,MATCH(1,(TRIM(Innings!A:A)=TRIM(A917))*(TRIM(Innings!D:D)=TRIM(E917)),0))</f>
        <v>Successful</v>
      </c>
      <c r="AF917">
        <f>IF(UPPER(TRIM(E917))=UPPER(TRIM(W917)),1,0)</f>
        <v>1</v>
      </c>
      <c r="AG917">
        <f t="shared" si="28"/>
        <v>38.950000000000003</v>
      </c>
    </row>
    <row r="918" spans="1:33" x14ac:dyDescent="0.3">
      <c r="A918" t="s">
        <v>367</v>
      </c>
      <c r="B918">
        <v>2</v>
      </c>
      <c r="C918" t="s">
        <v>192</v>
      </c>
      <c r="D918" t="s">
        <v>193</v>
      </c>
      <c r="E918" t="s">
        <v>158</v>
      </c>
      <c r="F918" t="s">
        <v>169</v>
      </c>
      <c r="G918" t="s">
        <v>134</v>
      </c>
      <c r="H918">
        <v>0</v>
      </c>
      <c r="I918">
        <v>0</v>
      </c>
      <c r="J918">
        <v>0</v>
      </c>
      <c r="K918" t="s">
        <v>96</v>
      </c>
      <c r="L918">
        <v>5</v>
      </c>
      <c r="M918">
        <v>4</v>
      </c>
      <c r="N918">
        <v>0</v>
      </c>
      <c r="O918">
        <v>17</v>
      </c>
      <c r="P918">
        <v>2</v>
      </c>
      <c r="Q918">
        <v>4.2</v>
      </c>
      <c r="R918">
        <v>65</v>
      </c>
      <c r="S918">
        <v>0</v>
      </c>
      <c r="T918">
        <v>0</v>
      </c>
      <c r="U918" s="8">
        <v>70</v>
      </c>
      <c r="V918" s="8">
        <f t="shared" si="29"/>
        <v>7</v>
      </c>
      <c r="W918" t="str">
        <f>_xlfn.XLOOKUP(A918, Matches!A:A, Matches!L:L, "NA", 0)</f>
        <v>DCW</v>
      </c>
      <c r="X918" t="str">
        <f>_xlfn.XLOOKUP(A918, Matches!A:A, Matches!J:J, "NA", 0)</f>
        <v>GGTW</v>
      </c>
      <c r="Y918" t="str">
        <f>_xlfn.XLOOKUP(A918, Matches!A:A, Matches!F:F, "NA", 0)</f>
        <v>Arun Jaitley Stadium</v>
      </c>
      <c r="Z918" cm="1">
        <f t="array" ref="Z918">INDEX(Innings!F:F,MATCH(1,(TRIM(Innings!A:A)=TRIM(A918))*(TRIM(Innings!D:D)=TRIM(E918)),0))</f>
        <v>129</v>
      </c>
      <c r="AA918" cm="1">
        <f t="array" ref="AA918">INDEX(Innings!I:I,MATCH(1,(TRIM(Innings!A:A)=TRIM(A918))*(TRIM(Innings!D:D)=TRIM(E918)),0))</f>
        <v>9.8000000000000007</v>
      </c>
      <c r="AB918" cm="1">
        <f t="array" ref="AB918">INDEX(Innings!J:J,MATCH(1,(TRIM(Innings!A:A)=TRIM(A918))*(TRIM(Innings!D:D)=TRIM(E918)),0))</f>
        <v>45</v>
      </c>
      <c r="AC918" cm="1">
        <f t="array" ref="AC918">INDEX(Innings!N:N,MATCH(1,(TRIM(Innings!A:A)=TRIM(A918))*(TRIM(Innings!D:D)=TRIM(E918)),0))</f>
        <v>0</v>
      </c>
      <c r="AD918" cm="1">
        <f t="array" ref="AD918">INDEX(Innings!S:S,MATCH(1,(TRIM(Innings!A:A)=TRIM(A918))*(TRIM(Innings!D:D)=TRIM(E918)),0))</f>
        <v>30</v>
      </c>
      <c r="AE918" t="str" cm="1">
        <f t="array" ref="AE918">INDEX(Innings!W:W,MATCH(1,(TRIM(Innings!A:A)=TRIM(A918))*(TRIM(Innings!D:D)=TRIM(E918)),0))</f>
        <v>Successful</v>
      </c>
      <c r="AF918">
        <f>IF(UPPER(TRIM(E918))=UPPER(TRIM(W918)),1,0)</f>
        <v>1</v>
      </c>
      <c r="AG918">
        <f t="shared" si="28"/>
        <v>57.1</v>
      </c>
    </row>
    <row r="919" spans="1:33" x14ac:dyDescent="0.3">
      <c r="A919" t="s">
        <v>367</v>
      </c>
      <c r="B919">
        <v>2</v>
      </c>
      <c r="C919" t="s">
        <v>198</v>
      </c>
      <c r="D919" t="s">
        <v>199</v>
      </c>
      <c r="E919" t="s">
        <v>158</v>
      </c>
      <c r="F919" t="s">
        <v>101</v>
      </c>
      <c r="G919" t="s">
        <v>104</v>
      </c>
      <c r="H919">
        <v>0</v>
      </c>
      <c r="I919">
        <v>0</v>
      </c>
      <c r="J919">
        <v>0</v>
      </c>
      <c r="K919" t="s">
        <v>104</v>
      </c>
      <c r="L919">
        <v>0</v>
      </c>
      <c r="M919">
        <v>4</v>
      </c>
      <c r="N919">
        <v>0</v>
      </c>
      <c r="O919">
        <v>32</v>
      </c>
      <c r="P919">
        <v>1</v>
      </c>
      <c r="Q919">
        <v>8</v>
      </c>
      <c r="R919">
        <v>25</v>
      </c>
      <c r="S919">
        <v>0</v>
      </c>
      <c r="T919">
        <v>0</v>
      </c>
      <c r="U919" s="8">
        <v>25</v>
      </c>
      <c r="V919" s="8">
        <f t="shared" si="29"/>
        <v>3</v>
      </c>
      <c r="W919" t="str">
        <f>_xlfn.XLOOKUP(A919, Matches!A:A, Matches!L:L, "NA", 0)</f>
        <v>DCW</v>
      </c>
      <c r="X919" t="str">
        <f>_xlfn.XLOOKUP(A919, Matches!A:A, Matches!J:J, "NA", 0)</f>
        <v>GGTW</v>
      </c>
      <c r="Y919" t="str">
        <f>_xlfn.XLOOKUP(A919, Matches!A:A, Matches!F:F, "NA", 0)</f>
        <v>Arun Jaitley Stadium</v>
      </c>
      <c r="Z919" cm="1">
        <f t="array" ref="Z919">INDEX(Innings!F:F,MATCH(1,(TRIM(Innings!A:A)=TRIM(A919))*(TRIM(Innings!D:D)=TRIM(E919)),0))</f>
        <v>129</v>
      </c>
      <c r="AA919" cm="1">
        <f t="array" ref="AA919">INDEX(Innings!I:I,MATCH(1,(TRIM(Innings!A:A)=TRIM(A919))*(TRIM(Innings!D:D)=TRIM(E919)),0))</f>
        <v>9.8000000000000007</v>
      </c>
      <c r="AB919" cm="1">
        <f t="array" ref="AB919">INDEX(Innings!J:J,MATCH(1,(TRIM(Innings!A:A)=TRIM(A919))*(TRIM(Innings!D:D)=TRIM(E919)),0))</f>
        <v>45</v>
      </c>
      <c r="AC919" cm="1">
        <f t="array" ref="AC919">INDEX(Innings!N:N,MATCH(1,(TRIM(Innings!A:A)=TRIM(A919))*(TRIM(Innings!D:D)=TRIM(E919)),0))</f>
        <v>0</v>
      </c>
      <c r="AD919" cm="1">
        <f t="array" ref="AD919">INDEX(Innings!S:S,MATCH(1,(TRIM(Innings!A:A)=TRIM(A919))*(TRIM(Innings!D:D)=TRIM(E919)),0))</f>
        <v>30</v>
      </c>
      <c r="AE919" t="str" cm="1">
        <f t="array" ref="AE919">INDEX(Innings!W:W,MATCH(1,(TRIM(Innings!A:A)=TRIM(A919))*(TRIM(Innings!D:D)=TRIM(E919)),0))</f>
        <v>Successful</v>
      </c>
      <c r="AF919">
        <f>IF(UPPER(TRIM(E919))=UPPER(TRIM(W919)),1,0)</f>
        <v>1</v>
      </c>
      <c r="AG919">
        <f t="shared" si="28"/>
        <v>33.4</v>
      </c>
    </row>
    <row r="920" spans="1:33" x14ac:dyDescent="0.3">
      <c r="A920" t="s">
        <v>367</v>
      </c>
      <c r="B920">
        <v>2</v>
      </c>
      <c r="C920" t="s">
        <v>206</v>
      </c>
      <c r="D920" t="s">
        <v>207</v>
      </c>
      <c r="E920" t="s">
        <v>158</v>
      </c>
      <c r="F920" t="s">
        <v>101</v>
      </c>
      <c r="G920" t="s">
        <v>104</v>
      </c>
      <c r="H920">
        <v>0</v>
      </c>
      <c r="I920">
        <v>0</v>
      </c>
      <c r="J920">
        <v>0</v>
      </c>
      <c r="K920" t="s">
        <v>104</v>
      </c>
      <c r="L920">
        <v>0</v>
      </c>
      <c r="M920">
        <v>2</v>
      </c>
      <c r="N920">
        <v>0</v>
      </c>
      <c r="O920">
        <v>17</v>
      </c>
      <c r="P920">
        <v>0</v>
      </c>
      <c r="Q920">
        <v>8.5</v>
      </c>
      <c r="R920">
        <v>0</v>
      </c>
      <c r="S920">
        <v>0</v>
      </c>
      <c r="T920">
        <v>0</v>
      </c>
      <c r="U920" s="8">
        <v>0</v>
      </c>
      <c r="V920" s="8">
        <f t="shared" si="29"/>
        <v>0</v>
      </c>
      <c r="W920" t="str">
        <f>_xlfn.XLOOKUP(A920, Matches!A:A, Matches!L:L, "NA", 0)</f>
        <v>DCW</v>
      </c>
      <c r="X920" t="str">
        <f>_xlfn.XLOOKUP(A920, Matches!A:A, Matches!J:J, "NA", 0)</f>
        <v>GGTW</v>
      </c>
      <c r="Y920" t="str">
        <f>_xlfn.XLOOKUP(A920, Matches!A:A, Matches!F:F, "NA", 0)</f>
        <v>Arun Jaitley Stadium</v>
      </c>
      <c r="Z920" cm="1">
        <f t="array" ref="Z920">INDEX(Innings!F:F,MATCH(1,(TRIM(Innings!A:A)=TRIM(A920))*(TRIM(Innings!D:D)=TRIM(E920)),0))</f>
        <v>129</v>
      </c>
      <c r="AA920" cm="1">
        <f t="array" ref="AA920">INDEX(Innings!I:I,MATCH(1,(TRIM(Innings!A:A)=TRIM(A920))*(TRIM(Innings!D:D)=TRIM(E920)),0))</f>
        <v>9.8000000000000007</v>
      </c>
      <c r="AB920" cm="1">
        <f t="array" ref="AB920">INDEX(Innings!J:J,MATCH(1,(TRIM(Innings!A:A)=TRIM(A920))*(TRIM(Innings!D:D)=TRIM(E920)),0))</f>
        <v>45</v>
      </c>
      <c r="AC920" cm="1">
        <f t="array" ref="AC920">INDEX(Innings!N:N,MATCH(1,(TRIM(Innings!A:A)=TRIM(A920))*(TRIM(Innings!D:D)=TRIM(E920)),0))</f>
        <v>0</v>
      </c>
      <c r="AD920" cm="1">
        <f t="array" ref="AD920">INDEX(Innings!S:S,MATCH(1,(TRIM(Innings!A:A)=TRIM(A920))*(TRIM(Innings!D:D)=TRIM(E920)),0))</f>
        <v>30</v>
      </c>
      <c r="AE920" t="str" cm="1">
        <f t="array" ref="AE920">INDEX(Innings!W:W,MATCH(1,(TRIM(Innings!A:A)=TRIM(A920))*(TRIM(Innings!D:D)=TRIM(E920)),0))</f>
        <v>Successful</v>
      </c>
      <c r="AF920">
        <f>IF(UPPER(TRIM(E920))=UPPER(TRIM(W920)),1,0)</f>
        <v>1</v>
      </c>
      <c r="AG920">
        <f t="shared" si="28"/>
        <v>20</v>
      </c>
    </row>
    <row r="921" spans="1:33" x14ac:dyDescent="0.3">
      <c r="A921" t="s">
        <v>367</v>
      </c>
      <c r="B921">
        <v>2</v>
      </c>
      <c r="C921" t="s">
        <v>202</v>
      </c>
      <c r="D921" t="s">
        <v>203</v>
      </c>
      <c r="E921" t="s">
        <v>158</v>
      </c>
      <c r="F921" t="s">
        <v>101</v>
      </c>
      <c r="G921" t="s">
        <v>104</v>
      </c>
      <c r="H921">
        <v>0</v>
      </c>
      <c r="I921">
        <v>0</v>
      </c>
      <c r="J921">
        <v>0</v>
      </c>
      <c r="K921" t="s">
        <v>104</v>
      </c>
      <c r="L921">
        <v>0</v>
      </c>
      <c r="M921">
        <v>3</v>
      </c>
      <c r="N921">
        <v>0</v>
      </c>
      <c r="O921">
        <v>20</v>
      </c>
      <c r="P921">
        <v>0</v>
      </c>
      <c r="Q921">
        <v>6.7</v>
      </c>
      <c r="R921">
        <v>0</v>
      </c>
      <c r="S921">
        <v>0</v>
      </c>
      <c r="T921">
        <v>0</v>
      </c>
      <c r="U921" s="8">
        <v>0</v>
      </c>
      <c r="V921" s="8">
        <f t="shared" si="29"/>
        <v>0</v>
      </c>
      <c r="W921" t="str">
        <f>_xlfn.XLOOKUP(A921, Matches!A:A, Matches!L:L, "NA", 0)</f>
        <v>DCW</v>
      </c>
      <c r="X921" t="str">
        <f>_xlfn.XLOOKUP(A921, Matches!A:A, Matches!J:J, "NA", 0)</f>
        <v>GGTW</v>
      </c>
      <c r="Y921" t="str">
        <f>_xlfn.XLOOKUP(A921, Matches!A:A, Matches!F:F, "NA", 0)</f>
        <v>Arun Jaitley Stadium</v>
      </c>
      <c r="Z921" cm="1">
        <f t="array" ref="Z921">INDEX(Innings!F:F,MATCH(1,(TRIM(Innings!A:A)=TRIM(A921))*(TRIM(Innings!D:D)=TRIM(E921)),0))</f>
        <v>129</v>
      </c>
      <c r="AA921" cm="1">
        <f t="array" ref="AA921">INDEX(Innings!I:I,MATCH(1,(TRIM(Innings!A:A)=TRIM(A921))*(TRIM(Innings!D:D)=TRIM(E921)),0))</f>
        <v>9.8000000000000007</v>
      </c>
      <c r="AB921" cm="1">
        <f t="array" ref="AB921">INDEX(Innings!J:J,MATCH(1,(TRIM(Innings!A:A)=TRIM(A921))*(TRIM(Innings!D:D)=TRIM(E921)),0))</f>
        <v>45</v>
      </c>
      <c r="AC921" cm="1">
        <f t="array" ref="AC921">INDEX(Innings!N:N,MATCH(1,(TRIM(Innings!A:A)=TRIM(A921))*(TRIM(Innings!D:D)=TRIM(E921)),0))</f>
        <v>0</v>
      </c>
      <c r="AD921" cm="1">
        <f t="array" ref="AD921">INDEX(Innings!S:S,MATCH(1,(TRIM(Innings!A:A)=TRIM(A921))*(TRIM(Innings!D:D)=TRIM(E921)),0))</f>
        <v>30</v>
      </c>
      <c r="AE921" t="str" cm="1">
        <f t="array" ref="AE921">INDEX(Innings!W:W,MATCH(1,(TRIM(Innings!A:A)=TRIM(A921))*(TRIM(Innings!D:D)=TRIM(E921)),0))</f>
        <v>Successful</v>
      </c>
      <c r="AF921">
        <f>IF(UPPER(TRIM(E921))=UPPER(TRIM(W921)),1,0)</f>
        <v>1</v>
      </c>
      <c r="AG921">
        <f t="shared" si="28"/>
        <v>20</v>
      </c>
    </row>
    <row r="922" spans="1:33" x14ac:dyDescent="0.3">
      <c r="A922" t="s">
        <v>367</v>
      </c>
      <c r="B922">
        <v>2</v>
      </c>
      <c r="C922" t="s">
        <v>200</v>
      </c>
      <c r="D922" t="s">
        <v>201</v>
      </c>
      <c r="E922" t="s">
        <v>158</v>
      </c>
      <c r="F922" t="s">
        <v>85</v>
      </c>
      <c r="G922" t="s">
        <v>104</v>
      </c>
      <c r="H922">
        <v>0</v>
      </c>
      <c r="I922">
        <v>0</v>
      </c>
      <c r="J922">
        <v>0</v>
      </c>
      <c r="K922" t="s">
        <v>104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 s="8">
        <v>0</v>
      </c>
      <c r="V922" s="8">
        <f t="shared" si="29"/>
        <v>0</v>
      </c>
      <c r="W922" t="str">
        <f>_xlfn.XLOOKUP(A922, Matches!A:A, Matches!L:L, "NA", 0)</f>
        <v>DCW</v>
      </c>
      <c r="X922" t="str">
        <f>_xlfn.XLOOKUP(A922, Matches!A:A, Matches!J:J, "NA", 0)</f>
        <v>GGTW</v>
      </c>
      <c r="Y922" t="str">
        <f>_xlfn.XLOOKUP(A922, Matches!A:A, Matches!F:F, "NA", 0)</f>
        <v>Arun Jaitley Stadium</v>
      </c>
      <c r="Z922" cm="1">
        <f t="array" ref="Z922">INDEX(Innings!F:F,MATCH(1,(TRIM(Innings!A:A)=TRIM(A922))*(TRIM(Innings!D:D)=TRIM(E922)),0))</f>
        <v>129</v>
      </c>
      <c r="AA922" cm="1">
        <f t="array" ref="AA922">INDEX(Innings!I:I,MATCH(1,(TRIM(Innings!A:A)=TRIM(A922))*(TRIM(Innings!D:D)=TRIM(E922)),0))</f>
        <v>9.8000000000000007</v>
      </c>
      <c r="AB922" cm="1">
        <f t="array" ref="AB922">INDEX(Innings!J:J,MATCH(1,(TRIM(Innings!A:A)=TRIM(A922))*(TRIM(Innings!D:D)=TRIM(E922)),0))</f>
        <v>45</v>
      </c>
      <c r="AC922" cm="1">
        <f t="array" ref="AC922">INDEX(Innings!N:N,MATCH(1,(TRIM(Innings!A:A)=TRIM(A922))*(TRIM(Innings!D:D)=TRIM(E922)),0))</f>
        <v>0</v>
      </c>
      <c r="AD922" cm="1">
        <f t="array" ref="AD922">INDEX(Innings!S:S,MATCH(1,(TRIM(Innings!A:A)=TRIM(A922))*(TRIM(Innings!D:D)=TRIM(E922)),0))</f>
        <v>30</v>
      </c>
      <c r="AE922" t="str" cm="1">
        <f t="array" ref="AE922">INDEX(Innings!W:W,MATCH(1,(TRIM(Innings!A:A)=TRIM(A922))*(TRIM(Innings!D:D)=TRIM(E922)),0))</f>
        <v>Successful</v>
      </c>
      <c r="AF922">
        <f>IF(UPPER(TRIM(E922))=UPPER(TRIM(W922)),1,0)</f>
        <v>1</v>
      </c>
      <c r="AG922">
        <f t="shared" si="28"/>
        <v>20</v>
      </c>
    </row>
    <row r="923" spans="1:33" x14ac:dyDescent="0.3">
      <c r="A923" t="s">
        <v>367</v>
      </c>
      <c r="B923">
        <v>2</v>
      </c>
      <c r="C923" t="s">
        <v>204</v>
      </c>
      <c r="D923" t="s">
        <v>205</v>
      </c>
      <c r="E923" t="s">
        <v>158</v>
      </c>
      <c r="F923" t="s">
        <v>91</v>
      </c>
      <c r="G923" t="s">
        <v>104</v>
      </c>
      <c r="H923">
        <v>0</v>
      </c>
      <c r="I923">
        <v>0</v>
      </c>
      <c r="J923">
        <v>0</v>
      </c>
      <c r="K923" t="s">
        <v>104</v>
      </c>
      <c r="L923">
        <v>0</v>
      </c>
      <c r="M923">
        <v>4</v>
      </c>
      <c r="N923">
        <v>0</v>
      </c>
      <c r="O923">
        <v>23</v>
      </c>
      <c r="P923">
        <v>2</v>
      </c>
      <c r="Q923">
        <v>5.8</v>
      </c>
      <c r="R923">
        <v>55</v>
      </c>
      <c r="S923">
        <v>0</v>
      </c>
      <c r="T923">
        <v>0</v>
      </c>
      <c r="U923" s="8">
        <v>55</v>
      </c>
      <c r="V923" s="8">
        <f t="shared" si="29"/>
        <v>6</v>
      </c>
      <c r="W923" t="str">
        <f>_xlfn.XLOOKUP(A923, Matches!A:A, Matches!L:L, "NA", 0)</f>
        <v>DCW</v>
      </c>
      <c r="X923" t="str">
        <f>_xlfn.XLOOKUP(A923, Matches!A:A, Matches!J:J, "NA", 0)</f>
        <v>GGTW</v>
      </c>
      <c r="Y923" t="str">
        <f>_xlfn.XLOOKUP(A923, Matches!A:A, Matches!F:F, "NA", 0)</f>
        <v>Arun Jaitley Stadium</v>
      </c>
      <c r="Z923" cm="1">
        <f t="array" ref="Z923">INDEX(Innings!F:F,MATCH(1,(TRIM(Innings!A:A)=TRIM(A923))*(TRIM(Innings!D:D)=TRIM(E923)),0))</f>
        <v>129</v>
      </c>
      <c r="AA923" cm="1">
        <f t="array" ref="AA923">INDEX(Innings!I:I,MATCH(1,(TRIM(Innings!A:A)=TRIM(A923))*(TRIM(Innings!D:D)=TRIM(E923)),0))</f>
        <v>9.8000000000000007</v>
      </c>
      <c r="AB923" cm="1">
        <f t="array" ref="AB923">INDEX(Innings!J:J,MATCH(1,(TRIM(Innings!A:A)=TRIM(A923))*(TRIM(Innings!D:D)=TRIM(E923)),0))</f>
        <v>45</v>
      </c>
      <c r="AC923" cm="1">
        <f t="array" ref="AC923">INDEX(Innings!N:N,MATCH(1,(TRIM(Innings!A:A)=TRIM(A923))*(TRIM(Innings!D:D)=TRIM(E923)),0))</f>
        <v>0</v>
      </c>
      <c r="AD923" cm="1">
        <f t="array" ref="AD923">INDEX(Innings!S:S,MATCH(1,(TRIM(Innings!A:A)=TRIM(A923))*(TRIM(Innings!D:D)=TRIM(E923)),0))</f>
        <v>30</v>
      </c>
      <c r="AE923" t="str" cm="1">
        <f t="array" ref="AE923">INDEX(Innings!W:W,MATCH(1,(TRIM(Innings!A:A)=TRIM(A923))*(TRIM(Innings!D:D)=TRIM(E923)),0))</f>
        <v>Successful</v>
      </c>
      <c r="AF923">
        <f>IF(UPPER(TRIM(E923))=UPPER(TRIM(W923)),1,0)</f>
        <v>1</v>
      </c>
      <c r="AG923">
        <f t="shared" si="28"/>
        <v>49.3</v>
      </c>
    </row>
    <row r="924" spans="1:33" x14ac:dyDescent="0.3">
      <c r="A924" t="s">
        <v>367</v>
      </c>
      <c r="B924">
        <v>2</v>
      </c>
      <c r="C924" t="s">
        <v>274</v>
      </c>
      <c r="D924" t="s">
        <v>284</v>
      </c>
      <c r="E924" t="s">
        <v>158</v>
      </c>
      <c r="F924" t="s">
        <v>169</v>
      </c>
      <c r="G924" t="s">
        <v>104</v>
      </c>
      <c r="H924">
        <v>0</v>
      </c>
      <c r="I924">
        <v>0</v>
      </c>
      <c r="J924">
        <v>0</v>
      </c>
      <c r="K924" t="s">
        <v>104</v>
      </c>
      <c r="L924">
        <v>0</v>
      </c>
      <c r="M924">
        <v>2</v>
      </c>
      <c r="N924">
        <v>0</v>
      </c>
      <c r="O924">
        <v>9</v>
      </c>
      <c r="P924">
        <v>2</v>
      </c>
      <c r="Q924">
        <v>4.5</v>
      </c>
      <c r="R924">
        <v>65</v>
      </c>
      <c r="S924">
        <v>0</v>
      </c>
      <c r="T924">
        <v>0</v>
      </c>
      <c r="U924" s="8">
        <v>65</v>
      </c>
      <c r="V924" s="8">
        <f t="shared" si="29"/>
        <v>7</v>
      </c>
      <c r="W924" t="str">
        <f>_xlfn.XLOOKUP(A924, Matches!A:A, Matches!L:L, "NA", 0)</f>
        <v>DCW</v>
      </c>
      <c r="X924" t="str">
        <f>_xlfn.XLOOKUP(A924, Matches!A:A, Matches!J:J, "NA", 0)</f>
        <v>GGTW</v>
      </c>
      <c r="Y924" t="str">
        <f>_xlfn.XLOOKUP(A924, Matches!A:A, Matches!F:F, "NA", 0)</f>
        <v>Arun Jaitley Stadium</v>
      </c>
      <c r="Z924" cm="1">
        <f t="array" ref="Z924">INDEX(Innings!F:F,MATCH(1,(TRIM(Innings!A:A)=TRIM(A924))*(TRIM(Innings!D:D)=TRIM(E924)),0))</f>
        <v>129</v>
      </c>
      <c r="AA924" cm="1">
        <f t="array" ref="AA924">INDEX(Innings!I:I,MATCH(1,(TRIM(Innings!A:A)=TRIM(A924))*(TRIM(Innings!D:D)=TRIM(E924)),0))</f>
        <v>9.8000000000000007</v>
      </c>
      <c r="AB924" cm="1">
        <f t="array" ref="AB924">INDEX(Innings!J:J,MATCH(1,(TRIM(Innings!A:A)=TRIM(A924))*(TRIM(Innings!D:D)=TRIM(E924)),0))</f>
        <v>45</v>
      </c>
      <c r="AC924" cm="1">
        <f t="array" ref="AC924">INDEX(Innings!N:N,MATCH(1,(TRIM(Innings!A:A)=TRIM(A924))*(TRIM(Innings!D:D)=TRIM(E924)),0))</f>
        <v>0</v>
      </c>
      <c r="AD924" cm="1">
        <f t="array" ref="AD924">INDEX(Innings!S:S,MATCH(1,(TRIM(Innings!A:A)=TRIM(A924))*(TRIM(Innings!D:D)=TRIM(E924)),0))</f>
        <v>30</v>
      </c>
      <c r="AE924" t="str" cm="1">
        <f t="array" ref="AE924">INDEX(Innings!W:W,MATCH(1,(TRIM(Innings!A:A)=TRIM(A924))*(TRIM(Innings!D:D)=TRIM(E924)),0))</f>
        <v>Successful</v>
      </c>
      <c r="AF924">
        <f>IF(UPPER(TRIM(E924))=UPPER(TRIM(W924)),1,0)</f>
        <v>1</v>
      </c>
      <c r="AG924">
        <f t="shared" si="28"/>
        <v>54.6</v>
      </c>
    </row>
    <row r="925" spans="1:33" x14ac:dyDescent="0.3">
      <c r="A925" t="s">
        <v>368</v>
      </c>
      <c r="B925">
        <v>2</v>
      </c>
      <c r="C925" t="s">
        <v>165</v>
      </c>
      <c r="D925" t="s">
        <v>166</v>
      </c>
      <c r="E925" t="s">
        <v>159</v>
      </c>
      <c r="F925" t="s">
        <v>109</v>
      </c>
      <c r="G925" t="s">
        <v>86</v>
      </c>
      <c r="H925">
        <v>10</v>
      </c>
      <c r="I925">
        <v>7</v>
      </c>
      <c r="J925">
        <v>142.86000000000001</v>
      </c>
      <c r="K925" t="s">
        <v>246</v>
      </c>
      <c r="L925">
        <v>10.1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 s="8">
        <v>10.1</v>
      </c>
      <c r="V925" s="8">
        <f t="shared" si="29"/>
        <v>1</v>
      </c>
      <c r="W925" t="str">
        <f>_xlfn.XLOOKUP(A925, Matches!A:A, Matches!L:L, "NA", 0)</f>
        <v>RCBW</v>
      </c>
      <c r="X925" t="str">
        <f>_xlfn.XLOOKUP(A925, Matches!A:A, Matches!J:J, "NA", 0)</f>
        <v>RCBW</v>
      </c>
      <c r="Y925" t="str">
        <f>_xlfn.XLOOKUP(A925, Matches!A:A, Matches!F:F, "NA", 0)</f>
        <v>Arun Jaitley Stadium</v>
      </c>
      <c r="Z925" cm="1">
        <f t="array" ref="Z925">INDEX(Innings!F:F,MATCH(1,(TRIM(Innings!A:A)=TRIM(A925))*(TRIM(Innings!D:D)=TRIM(E925)),0))</f>
        <v>135</v>
      </c>
      <c r="AA925" cm="1">
        <f t="array" ref="AA925">INDEX(Innings!I:I,MATCH(1,(TRIM(Innings!A:A)=TRIM(A925))*(TRIM(Innings!D:D)=TRIM(E925)),0))</f>
        <v>6.75</v>
      </c>
      <c r="AB925" cm="1">
        <f t="array" ref="AB925">INDEX(Innings!J:J,MATCH(1,(TRIM(Innings!A:A)=TRIM(A925))*(TRIM(Innings!D:D)=TRIM(E925)),0))</f>
        <v>34</v>
      </c>
      <c r="AC925" cm="1">
        <f t="array" ref="AC925">INDEX(Innings!N:N,MATCH(1,(TRIM(Innings!A:A)=TRIM(A925))*(TRIM(Innings!D:D)=TRIM(E925)),0))</f>
        <v>45</v>
      </c>
      <c r="AD925" cm="1">
        <f t="array" ref="AD925">INDEX(Innings!S:S,MATCH(1,(TRIM(Innings!A:A)=TRIM(A925))*(TRIM(Innings!D:D)=TRIM(E925)),0))</f>
        <v>48</v>
      </c>
      <c r="AE925" t="str" cm="1">
        <f t="array" ref="AE925">INDEX(Innings!W:W,MATCH(1,(TRIM(Innings!A:A)=TRIM(A925))*(TRIM(Innings!D:D)=TRIM(E925)),0))</f>
        <v>NA</v>
      </c>
      <c r="AF925">
        <f>IF(UPPER(TRIM(E925))=UPPER(TRIM(W925)),1,0)</f>
        <v>1</v>
      </c>
      <c r="AG925">
        <f t="shared" si="28"/>
        <v>25.35</v>
      </c>
    </row>
    <row r="926" spans="1:33" x14ac:dyDescent="0.3">
      <c r="A926" t="s">
        <v>368</v>
      </c>
      <c r="B926">
        <v>2</v>
      </c>
      <c r="C926" t="s">
        <v>167</v>
      </c>
      <c r="D926" t="s">
        <v>168</v>
      </c>
      <c r="E926" t="s">
        <v>159</v>
      </c>
      <c r="F926" t="s">
        <v>169</v>
      </c>
      <c r="G926" t="s">
        <v>92</v>
      </c>
      <c r="H926">
        <v>10</v>
      </c>
      <c r="I926">
        <v>7</v>
      </c>
      <c r="J926">
        <v>142.86000000000001</v>
      </c>
      <c r="K926" t="s">
        <v>245</v>
      </c>
      <c r="L926">
        <v>10.1</v>
      </c>
      <c r="M926">
        <v>1</v>
      </c>
      <c r="N926">
        <v>0</v>
      </c>
      <c r="O926">
        <v>9</v>
      </c>
      <c r="P926">
        <v>0</v>
      </c>
      <c r="Q926">
        <v>9</v>
      </c>
      <c r="R926">
        <v>0</v>
      </c>
      <c r="S926">
        <v>0</v>
      </c>
      <c r="T926">
        <v>0</v>
      </c>
      <c r="U926" s="8">
        <v>10.1</v>
      </c>
      <c r="V926" s="8">
        <f t="shared" si="29"/>
        <v>1</v>
      </c>
      <c r="W926" t="str">
        <f>_xlfn.XLOOKUP(A926, Matches!A:A, Matches!L:L, "NA", 0)</f>
        <v>RCBW</v>
      </c>
      <c r="X926" t="str">
        <f>_xlfn.XLOOKUP(A926, Matches!A:A, Matches!J:J, "NA", 0)</f>
        <v>RCBW</v>
      </c>
      <c r="Y926" t="str">
        <f>_xlfn.XLOOKUP(A926, Matches!A:A, Matches!F:F, "NA", 0)</f>
        <v>Arun Jaitley Stadium</v>
      </c>
      <c r="Z926" cm="1">
        <f t="array" ref="Z926">INDEX(Innings!F:F,MATCH(1,(TRIM(Innings!A:A)=TRIM(A926))*(TRIM(Innings!D:D)=TRIM(E926)),0))</f>
        <v>135</v>
      </c>
      <c r="AA926" cm="1">
        <f t="array" ref="AA926">INDEX(Innings!I:I,MATCH(1,(TRIM(Innings!A:A)=TRIM(A926))*(TRIM(Innings!D:D)=TRIM(E926)),0))</f>
        <v>6.75</v>
      </c>
      <c r="AB926" cm="1">
        <f t="array" ref="AB926">INDEX(Innings!J:J,MATCH(1,(TRIM(Innings!A:A)=TRIM(A926))*(TRIM(Innings!D:D)=TRIM(E926)),0))</f>
        <v>34</v>
      </c>
      <c r="AC926" cm="1">
        <f t="array" ref="AC926">INDEX(Innings!N:N,MATCH(1,(TRIM(Innings!A:A)=TRIM(A926))*(TRIM(Innings!D:D)=TRIM(E926)),0))</f>
        <v>45</v>
      </c>
      <c r="AD926" cm="1">
        <f t="array" ref="AD926">INDEX(Innings!S:S,MATCH(1,(TRIM(Innings!A:A)=TRIM(A926))*(TRIM(Innings!D:D)=TRIM(E926)),0))</f>
        <v>48</v>
      </c>
      <c r="AE926" t="str" cm="1">
        <f t="array" ref="AE926">INDEX(Innings!W:W,MATCH(1,(TRIM(Innings!A:A)=TRIM(A926))*(TRIM(Innings!D:D)=TRIM(E926)),0))</f>
        <v>NA</v>
      </c>
      <c r="AF926">
        <f>IF(UPPER(TRIM(E926))=UPPER(TRIM(W926)),1,0)</f>
        <v>1</v>
      </c>
      <c r="AG926">
        <f t="shared" si="28"/>
        <v>25.35</v>
      </c>
    </row>
    <row r="927" spans="1:33" x14ac:dyDescent="0.3">
      <c r="A927" t="s">
        <v>368</v>
      </c>
      <c r="B927">
        <v>2</v>
      </c>
      <c r="C927" t="s">
        <v>174</v>
      </c>
      <c r="D927" t="s">
        <v>175</v>
      </c>
      <c r="E927" t="s">
        <v>159</v>
      </c>
      <c r="F927" t="s">
        <v>169</v>
      </c>
      <c r="G927" t="s">
        <v>92</v>
      </c>
      <c r="H927">
        <v>66</v>
      </c>
      <c r="I927">
        <v>50</v>
      </c>
      <c r="J927">
        <v>132</v>
      </c>
      <c r="K927" t="s">
        <v>246</v>
      </c>
      <c r="L927">
        <v>56.4</v>
      </c>
      <c r="M927">
        <v>4</v>
      </c>
      <c r="N927">
        <v>0</v>
      </c>
      <c r="O927">
        <v>29</v>
      </c>
      <c r="P927">
        <v>1</v>
      </c>
      <c r="Q927">
        <v>7.2</v>
      </c>
      <c r="R927">
        <v>17.5</v>
      </c>
      <c r="S927">
        <v>0</v>
      </c>
      <c r="T927">
        <v>0</v>
      </c>
      <c r="U927" s="8">
        <v>73.900000000000006</v>
      </c>
      <c r="V927" s="8">
        <f t="shared" si="29"/>
        <v>7</v>
      </c>
      <c r="W927" t="str">
        <f>_xlfn.XLOOKUP(A927, Matches!A:A, Matches!L:L, "NA", 0)</f>
        <v>RCBW</v>
      </c>
      <c r="X927" t="str">
        <f>_xlfn.XLOOKUP(A927, Matches!A:A, Matches!J:J, "NA", 0)</f>
        <v>RCBW</v>
      </c>
      <c r="Y927" t="str">
        <f>_xlfn.XLOOKUP(A927, Matches!A:A, Matches!F:F, "NA", 0)</f>
        <v>Arun Jaitley Stadium</v>
      </c>
      <c r="Z927" cm="1">
        <f t="array" ref="Z927">INDEX(Innings!F:F,MATCH(1,(TRIM(Innings!A:A)=TRIM(A927))*(TRIM(Innings!D:D)=TRIM(E927)),0))</f>
        <v>135</v>
      </c>
      <c r="AA927" cm="1">
        <f t="array" ref="AA927">INDEX(Innings!I:I,MATCH(1,(TRIM(Innings!A:A)=TRIM(A927))*(TRIM(Innings!D:D)=TRIM(E927)),0))</f>
        <v>6.75</v>
      </c>
      <c r="AB927" cm="1">
        <f t="array" ref="AB927">INDEX(Innings!J:J,MATCH(1,(TRIM(Innings!A:A)=TRIM(A927))*(TRIM(Innings!D:D)=TRIM(E927)),0))</f>
        <v>34</v>
      </c>
      <c r="AC927" cm="1">
        <f t="array" ref="AC927">INDEX(Innings!N:N,MATCH(1,(TRIM(Innings!A:A)=TRIM(A927))*(TRIM(Innings!D:D)=TRIM(E927)),0))</f>
        <v>45</v>
      </c>
      <c r="AD927" cm="1">
        <f t="array" ref="AD927">INDEX(Innings!S:S,MATCH(1,(TRIM(Innings!A:A)=TRIM(A927))*(TRIM(Innings!D:D)=TRIM(E927)),0))</f>
        <v>48</v>
      </c>
      <c r="AE927" t="str" cm="1">
        <f t="array" ref="AE927">INDEX(Innings!W:W,MATCH(1,(TRIM(Innings!A:A)=TRIM(A927))*(TRIM(Innings!D:D)=TRIM(E927)),0))</f>
        <v>NA</v>
      </c>
      <c r="AF927">
        <f>IF(UPPER(TRIM(E927))=UPPER(TRIM(W927)),1,0)</f>
        <v>1</v>
      </c>
      <c r="AG927">
        <f t="shared" si="28"/>
        <v>59.050000000000004</v>
      </c>
    </row>
    <row r="928" spans="1:33" x14ac:dyDescent="0.3">
      <c r="A928" t="s">
        <v>368</v>
      </c>
      <c r="B928">
        <v>2</v>
      </c>
      <c r="C928" t="s">
        <v>172</v>
      </c>
      <c r="D928" t="s">
        <v>173</v>
      </c>
      <c r="E928" t="s">
        <v>159</v>
      </c>
      <c r="F928" t="s">
        <v>109</v>
      </c>
      <c r="G928" t="s">
        <v>134</v>
      </c>
      <c r="H928">
        <v>0</v>
      </c>
      <c r="I928">
        <v>7</v>
      </c>
      <c r="J928">
        <v>0</v>
      </c>
      <c r="K928" t="s">
        <v>246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 s="8">
        <v>0</v>
      </c>
      <c r="V928" s="8">
        <f t="shared" si="29"/>
        <v>0</v>
      </c>
      <c r="W928" t="str">
        <f>_xlfn.XLOOKUP(A928, Matches!A:A, Matches!L:L, "NA", 0)</f>
        <v>RCBW</v>
      </c>
      <c r="X928" t="str">
        <f>_xlfn.XLOOKUP(A928, Matches!A:A, Matches!J:J, "NA", 0)</f>
        <v>RCBW</v>
      </c>
      <c r="Y928" t="str">
        <f>_xlfn.XLOOKUP(A928, Matches!A:A, Matches!F:F, "NA", 0)</f>
        <v>Arun Jaitley Stadium</v>
      </c>
      <c r="Z928" cm="1">
        <f t="array" ref="Z928">INDEX(Innings!F:F,MATCH(1,(TRIM(Innings!A:A)=TRIM(A928))*(TRIM(Innings!D:D)=TRIM(E928)),0))</f>
        <v>135</v>
      </c>
      <c r="AA928" cm="1">
        <f t="array" ref="AA928">INDEX(Innings!I:I,MATCH(1,(TRIM(Innings!A:A)=TRIM(A928))*(TRIM(Innings!D:D)=TRIM(E928)),0))</f>
        <v>6.75</v>
      </c>
      <c r="AB928" cm="1">
        <f t="array" ref="AB928">INDEX(Innings!J:J,MATCH(1,(TRIM(Innings!A:A)=TRIM(A928))*(TRIM(Innings!D:D)=TRIM(E928)),0))</f>
        <v>34</v>
      </c>
      <c r="AC928" cm="1">
        <f t="array" ref="AC928">INDEX(Innings!N:N,MATCH(1,(TRIM(Innings!A:A)=TRIM(A928))*(TRIM(Innings!D:D)=TRIM(E928)),0))</f>
        <v>45</v>
      </c>
      <c r="AD928" cm="1">
        <f t="array" ref="AD928">INDEX(Innings!S:S,MATCH(1,(TRIM(Innings!A:A)=TRIM(A928))*(TRIM(Innings!D:D)=TRIM(E928)),0))</f>
        <v>48</v>
      </c>
      <c r="AE928" t="str" cm="1">
        <f t="array" ref="AE928">INDEX(Innings!W:W,MATCH(1,(TRIM(Innings!A:A)=TRIM(A928))*(TRIM(Innings!D:D)=TRIM(E928)),0))</f>
        <v>NA</v>
      </c>
      <c r="AF928">
        <f>IF(UPPER(TRIM(E928))=UPPER(TRIM(W928)),1,0)</f>
        <v>1</v>
      </c>
      <c r="AG928">
        <f t="shared" si="28"/>
        <v>20</v>
      </c>
    </row>
    <row r="929" spans="1:33" x14ac:dyDescent="0.3">
      <c r="A929" t="s">
        <v>368</v>
      </c>
      <c r="B929">
        <v>2</v>
      </c>
      <c r="C929" t="s">
        <v>176</v>
      </c>
      <c r="D929" t="s">
        <v>177</v>
      </c>
      <c r="E929" t="s">
        <v>159</v>
      </c>
      <c r="F929" t="s">
        <v>85</v>
      </c>
      <c r="G929" t="s">
        <v>134</v>
      </c>
      <c r="H929">
        <v>14</v>
      </c>
      <c r="I929">
        <v>19</v>
      </c>
      <c r="J929">
        <v>73.680000000000007</v>
      </c>
      <c r="K929" t="s">
        <v>246</v>
      </c>
      <c r="L929">
        <v>1.6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 s="8">
        <v>1.6</v>
      </c>
      <c r="V929" s="8">
        <f t="shared" si="29"/>
        <v>0</v>
      </c>
      <c r="W929" t="str">
        <f>_xlfn.XLOOKUP(A929, Matches!A:A, Matches!L:L, "NA", 0)</f>
        <v>RCBW</v>
      </c>
      <c r="X929" t="str">
        <f>_xlfn.XLOOKUP(A929, Matches!A:A, Matches!J:J, "NA", 0)</f>
        <v>RCBW</v>
      </c>
      <c r="Y929" t="str">
        <f>_xlfn.XLOOKUP(A929, Matches!A:A, Matches!F:F, "NA", 0)</f>
        <v>Arun Jaitley Stadium</v>
      </c>
      <c r="Z929" cm="1">
        <f t="array" ref="Z929">INDEX(Innings!F:F,MATCH(1,(TRIM(Innings!A:A)=TRIM(A929))*(TRIM(Innings!D:D)=TRIM(E929)),0))</f>
        <v>135</v>
      </c>
      <c r="AA929" cm="1">
        <f t="array" ref="AA929">INDEX(Innings!I:I,MATCH(1,(TRIM(Innings!A:A)=TRIM(A929))*(TRIM(Innings!D:D)=TRIM(E929)),0))</f>
        <v>6.75</v>
      </c>
      <c r="AB929" cm="1">
        <f t="array" ref="AB929">INDEX(Innings!J:J,MATCH(1,(TRIM(Innings!A:A)=TRIM(A929))*(TRIM(Innings!D:D)=TRIM(E929)),0))</f>
        <v>34</v>
      </c>
      <c r="AC929" cm="1">
        <f t="array" ref="AC929">INDEX(Innings!N:N,MATCH(1,(TRIM(Innings!A:A)=TRIM(A929))*(TRIM(Innings!D:D)=TRIM(E929)),0))</f>
        <v>45</v>
      </c>
      <c r="AD929" cm="1">
        <f t="array" ref="AD929">INDEX(Innings!S:S,MATCH(1,(TRIM(Innings!A:A)=TRIM(A929))*(TRIM(Innings!D:D)=TRIM(E929)),0))</f>
        <v>48</v>
      </c>
      <c r="AE929" t="str" cm="1">
        <f t="array" ref="AE929">INDEX(Innings!W:W,MATCH(1,(TRIM(Innings!A:A)=TRIM(A929))*(TRIM(Innings!D:D)=TRIM(E929)),0))</f>
        <v>NA</v>
      </c>
      <c r="AF929">
        <f>IF(UPPER(TRIM(E929))=UPPER(TRIM(W929)),1,0)</f>
        <v>1</v>
      </c>
      <c r="AG929">
        <f t="shared" si="28"/>
        <v>20.8</v>
      </c>
    </row>
    <row r="930" spans="1:33" x14ac:dyDescent="0.3">
      <c r="A930" t="s">
        <v>368</v>
      </c>
      <c r="B930">
        <v>2</v>
      </c>
      <c r="C930" t="s">
        <v>371</v>
      </c>
      <c r="D930" t="s">
        <v>372</v>
      </c>
      <c r="E930" t="s">
        <v>159</v>
      </c>
      <c r="F930" t="s">
        <v>169</v>
      </c>
      <c r="G930" t="s">
        <v>134</v>
      </c>
      <c r="H930">
        <v>11</v>
      </c>
      <c r="I930">
        <v>17</v>
      </c>
      <c r="J930">
        <v>64.709999999999994</v>
      </c>
      <c r="K930" t="s">
        <v>245</v>
      </c>
      <c r="L930">
        <v>0.9</v>
      </c>
      <c r="M930">
        <v>4</v>
      </c>
      <c r="N930">
        <v>0</v>
      </c>
      <c r="O930">
        <v>16</v>
      </c>
      <c r="P930">
        <v>1</v>
      </c>
      <c r="Q930">
        <v>4</v>
      </c>
      <c r="R930">
        <v>35</v>
      </c>
      <c r="S930">
        <v>0</v>
      </c>
      <c r="T930">
        <v>0</v>
      </c>
      <c r="U930" s="8">
        <v>35.9</v>
      </c>
      <c r="V930" s="8">
        <f t="shared" si="29"/>
        <v>4</v>
      </c>
      <c r="W930" t="str">
        <f>_xlfn.XLOOKUP(A930, Matches!A:A, Matches!L:L, "NA", 0)</f>
        <v>RCBW</v>
      </c>
      <c r="X930" t="str">
        <f>_xlfn.XLOOKUP(A930, Matches!A:A, Matches!J:J, "NA", 0)</f>
        <v>RCBW</v>
      </c>
      <c r="Y930" t="str">
        <f>_xlfn.XLOOKUP(A930, Matches!A:A, Matches!F:F, "NA", 0)</f>
        <v>Arun Jaitley Stadium</v>
      </c>
      <c r="Z930" cm="1">
        <f t="array" ref="Z930">INDEX(Innings!F:F,MATCH(1,(TRIM(Innings!A:A)=TRIM(A930))*(TRIM(Innings!D:D)=TRIM(E930)),0))</f>
        <v>135</v>
      </c>
      <c r="AA930" cm="1">
        <f t="array" ref="AA930">INDEX(Innings!I:I,MATCH(1,(TRIM(Innings!A:A)=TRIM(A930))*(TRIM(Innings!D:D)=TRIM(E930)),0))</f>
        <v>6.75</v>
      </c>
      <c r="AB930" cm="1">
        <f t="array" ref="AB930">INDEX(Innings!J:J,MATCH(1,(TRIM(Innings!A:A)=TRIM(A930))*(TRIM(Innings!D:D)=TRIM(E930)),0))</f>
        <v>34</v>
      </c>
      <c r="AC930" cm="1">
        <f t="array" ref="AC930">INDEX(Innings!N:N,MATCH(1,(TRIM(Innings!A:A)=TRIM(A930))*(TRIM(Innings!D:D)=TRIM(E930)),0))</f>
        <v>45</v>
      </c>
      <c r="AD930" cm="1">
        <f t="array" ref="AD930">INDEX(Innings!S:S,MATCH(1,(TRIM(Innings!A:A)=TRIM(A930))*(TRIM(Innings!D:D)=TRIM(E930)),0))</f>
        <v>48</v>
      </c>
      <c r="AE930" t="str" cm="1">
        <f t="array" ref="AE930">INDEX(Innings!W:W,MATCH(1,(TRIM(Innings!A:A)=TRIM(A930))*(TRIM(Innings!D:D)=TRIM(E930)),0))</f>
        <v>NA</v>
      </c>
      <c r="AF930">
        <f>IF(UPPER(TRIM(E930))=UPPER(TRIM(W930)),1,0)</f>
        <v>1</v>
      </c>
      <c r="AG930">
        <f t="shared" si="28"/>
        <v>39.15</v>
      </c>
    </row>
    <row r="931" spans="1:33" x14ac:dyDescent="0.3">
      <c r="A931" t="s">
        <v>368</v>
      </c>
      <c r="B931">
        <v>2</v>
      </c>
      <c r="C931" t="s">
        <v>99</v>
      </c>
      <c r="D931" t="s">
        <v>124</v>
      </c>
      <c r="E931" t="s">
        <v>159</v>
      </c>
      <c r="F931" t="s">
        <v>169</v>
      </c>
      <c r="G931" t="s">
        <v>135</v>
      </c>
      <c r="H931">
        <v>18</v>
      </c>
      <c r="I931">
        <v>10</v>
      </c>
      <c r="J931">
        <v>180</v>
      </c>
      <c r="K931" t="s">
        <v>96</v>
      </c>
      <c r="L931">
        <v>25</v>
      </c>
      <c r="M931">
        <v>4</v>
      </c>
      <c r="N931">
        <v>0</v>
      </c>
      <c r="O931">
        <v>37</v>
      </c>
      <c r="P931">
        <v>1</v>
      </c>
      <c r="Q931">
        <v>9.1999999999999993</v>
      </c>
      <c r="R931">
        <v>6.5</v>
      </c>
      <c r="S931">
        <v>0</v>
      </c>
      <c r="T931">
        <v>0</v>
      </c>
      <c r="U931" s="8">
        <v>31.5</v>
      </c>
      <c r="V931" s="8">
        <f t="shared" si="29"/>
        <v>3</v>
      </c>
      <c r="W931" t="str">
        <f>_xlfn.XLOOKUP(A931, Matches!A:A, Matches!L:L, "NA", 0)</f>
        <v>RCBW</v>
      </c>
      <c r="X931" t="str">
        <f>_xlfn.XLOOKUP(A931, Matches!A:A, Matches!J:J, "NA", 0)</f>
        <v>RCBW</v>
      </c>
      <c r="Y931" t="str">
        <f>_xlfn.XLOOKUP(A931, Matches!A:A, Matches!F:F, "NA", 0)</f>
        <v>Arun Jaitley Stadium</v>
      </c>
      <c r="Z931" cm="1">
        <f t="array" ref="Z931">INDEX(Innings!F:F,MATCH(1,(TRIM(Innings!A:A)=TRIM(A931))*(TRIM(Innings!D:D)=TRIM(E931)),0))</f>
        <v>135</v>
      </c>
      <c r="AA931" cm="1">
        <f t="array" ref="AA931">INDEX(Innings!I:I,MATCH(1,(TRIM(Innings!A:A)=TRIM(A931))*(TRIM(Innings!D:D)=TRIM(E931)),0))</f>
        <v>6.75</v>
      </c>
      <c r="AB931" cm="1">
        <f t="array" ref="AB931">INDEX(Innings!J:J,MATCH(1,(TRIM(Innings!A:A)=TRIM(A931))*(TRIM(Innings!D:D)=TRIM(E931)),0))</f>
        <v>34</v>
      </c>
      <c r="AC931" cm="1">
        <f t="array" ref="AC931">INDEX(Innings!N:N,MATCH(1,(TRIM(Innings!A:A)=TRIM(A931))*(TRIM(Innings!D:D)=TRIM(E931)),0))</f>
        <v>45</v>
      </c>
      <c r="AD931" cm="1">
        <f t="array" ref="AD931">INDEX(Innings!S:S,MATCH(1,(TRIM(Innings!A:A)=TRIM(A931))*(TRIM(Innings!D:D)=TRIM(E931)),0))</f>
        <v>48</v>
      </c>
      <c r="AE931" t="str" cm="1">
        <f t="array" ref="AE931">INDEX(Innings!W:W,MATCH(1,(TRIM(Innings!A:A)=TRIM(A931))*(TRIM(Innings!D:D)=TRIM(E931)),0))</f>
        <v>NA</v>
      </c>
      <c r="AF931">
        <f>IF(UPPER(TRIM(E931))=UPPER(TRIM(W931)),1,0)</f>
        <v>1</v>
      </c>
      <c r="AG931">
        <f t="shared" si="28"/>
        <v>36.65</v>
      </c>
    </row>
    <row r="932" spans="1:33" x14ac:dyDescent="0.3">
      <c r="A932" t="s">
        <v>368</v>
      </c>
      <c r="B932">
        <v>2</v>
      </c>
      <c r="C932" t="s">
        <v>259</v>
      </c>
      <c r="D932" t="s">
        <v>257</v>
      </c>
      <c r="E932" t="s">
        <v>159</v>
      </c>
      <c r="F932" t="s">
        <v>169</v>
      </c>
      <c r="G932" t="s">
        <v>135</v>
      </c>
      <c r="H932">
        <v>3</v>
      </c>
      <c r="I932">
        <v>3</v>
      </c>
      <c r="J932">
        <v>100</v>
      </c>
      <c r="K932" t="s">
        <v>96</v>
      </c>
      <c r="L932">
        <v>6.5</v>
      </c>
      <c r="M932">
        <v>4</v>
      </c>
      <c r="N932">
        <v>0</v>
      </c>
      <c r="O932">
        <v>16</v>
      </c>
      <c r="P932">
        <v>2</v>
      </c>
      <c r="Q932">
        <v>4</v>
      </c>
      <c r="R932">
        <v>60</v>
      </c>
      <c r="S932">
        <v>0</v>
      </c>
      <c r="T932">
        <v>0</v>
      </c>
      <c r="U932" s="8">
        <v>66.5</v>
      </c>
      <c r="V932" s="8">
        <f t="shared" si="29"/>
        <v>7</v>
      </c>
      <c r="W932" t="str">
        <f>_xlfn.XLOOKUP(A932, Matches!A:A, Matches!L:L, "NA", 0)</f>
        <v>RCBW</v>
      </c>
      <c r="X932" t="str">
        <f>_xlfn.XLOOKUP(A932, Matches!A:A, Matches!J:J, "NA", 0)</f>
        <v>RCBW</v>
      </c>
      <c r="Y932" t="str">
        <f>_xlfn.XLOOKUP(A932, Matches!A:A, Matches!F:F, "NA", 0)</f>
        <v>Arun Jaitley Stadium</v>
      </c>
      <c r="Z932" cm="1">
        <f t="array" ref="Z932">INDEX(Innings!F:F,MATCH(1,(TRIM(Innings!A:A)=TRIM(A932))*(TRIM(Innings!D:D)=TRIM(E932)),0))</f>
        <v>135</v>
      </c>
      <c r="AA932" cm="1">
        <f t="array" ref="AA932">INDEX(Innings!I:I,MATCH(1,(TRIM(Innings!A:A)=TRIM(A932))*(TRIM(Innings!D:D)=TRIM(E932)),0))</f>
        <v>6.75</v>
      </c>
      <c r="AB932" cm="1">
        <f t="array" ref="AB932">INDEX(Innings!J:J,MATCH(1,(TRIM(Innings!A:A)=TRIM(A932))*(TRIM(Innings!D:D)=TRIM(E932)),0))</f>
        <v>34</v>
      </c>
      <c r="AC932" cm="1">
        <f t="array" ref="AC932">INDEX(Innings!N:N,MATCH(1,(TRIM(Innings!A:A)=TRIM(A932))*(TRIM(Innings!D:D)=TRIM(E932)),0))</f>
        <v>45</v>
      </c>
      <c r="AD932" cm="1">
        <f t="array" ref="AD932">INDEX(Innings!S:S,MATCH(1,(TRIM(Innings!A:A)=TRIM(A932))*(TRIM(Innings!D:D)=TRIM(E932)),0))</f>
        <v>48</v>
      </c>
      <c r="AE932" t="str" cm="1">
        <f t="array" ref="AE932">INDEX(Innings!W:W,MATCH(1,(TRIM(Innings!A:A)=TRIM(A932))*(TRIM(Innings!D:D)=TRIM(E932)),0))</f>
        <v>NA</v>
      </c>
      <c r="AF932">
        <f>IF(UPPER(TRIM(E932))=UPPER(TRIM(W932)),1,0)</f>
        <v>1</v>
      </c>
      <c r="AG932">
        <f t="shared" si="28"/>
        <v>55.35</v>
      </c>
    </row>
    <row r="933" spans="1:33" x14ac:dyDescent="0.3">
      <c r="A933" t="s">
        <v>368</v>
      </c>
      <c r="B933">
        <v>2</v>
      </c>
      <c r="C933" t="s">
        <v>180</v>
      </c>
      <c r="D933" t="s">
        <v>181</v>
      </c>
      <c r="E933" t="s">
        <v>159</v>
      </c>
      <c r="F933" t="s">
        <v>169</v>
      </c>
      <c r="G933" t="s">
        <v>104</v>
      </c>
      <c r="H933">
        <v>0</v>
      </c>
      <c r="I933">
        <v>0</v>
      </c>
      <c r="J933">
        <v>0</v>
      </c>
      <c r="K933" t="s">
        <v>104</v>
      </c>
      <c r="L933">
        <v>0</v>
      </c>
      <c r="M933">
        <v>2</v>
      </c>
      <c r="N933">
        <v>0</v>
      </c>
      <c r="O933">
        <v>13</v>
      </c>
      <c r="P933">
        <v>1</v>
      </c>
      <c r="Q933">
        <v>6.5</v>
      </c>
      <c r="R933">
        <v>18.5</v>
      </c>
      <c r="S933">
        <v>0</v>
      </c>
      <c r="T933">
        <v>0</v>
      </c>
      <c r="U933" s="8">
        <v>18.5</v>
      </c>
      <c r="V933" s="8">
        <f t="shared" si="29"/>
        <v>2</v>
      </c>
      <c r="W933" t="str">
        <f>_xlfn.XLOOKUP(A933, Matches!A:A, Matches!L:L, "NA", 0)</f>
        <v>RCBW</v>
      </c>
      <c r="X933" t="str">
        <f>_xlfn.XLOOKUP(A933, Matches!A:A, Matches!J:J, "NA", 0)</f>
        <v>RCBW</v>
      </c>
      <c r="Y933" t="str">
        <f>_xlfn.XLOOKUP(A933, Matches!A:A, Matches!F:F, "NA", 0)</f>
        <v>Arun Jaitley Stadium</v>
      </c>
      <c r="Z933" cm="1">
        <f t="array" ref="Z933">INDEX(Innings!F:F,MATCH(1,(TRIM(Innings!A:A)=TRIM(A933))*(TRIM(Innings!D:D)=TRIM(E933)),0))</f>
        <v>135</v>
      </c>
      <c r="AA933" cm="1">
        <f t="array" ref="AA933">INDEX(Innings!I:I,MATCH(1,(TRIM(Innings!A:A)=TRIM(A933))*(TRIM(Innings!D:D)=TRIM(E933)),0))</f>
        <v>6.75</v>
      </c>
      <c r="AB933" cm="1">
        <f t="array" ref="AB933">INDEX(Innings!J:J,MATCH(1,(TRIM(Innings!A:A)=TRIM(A933))*(TRIM(Innings!D:D)=TRIM(E933)),0))</f>
        <v>34</v>
      </c>
      <c r="AC933" cm="1">
        <f t="array" ref="AC933">INDEX(Innings!N:N,MATCH(1,(TRIM(Innings!A:A)=TRIM(A933))*(TRIM(Innings!D:D)=TRIM(E933)),0))</f>
        <v>45</v>
      </c>
      <c r="AD933" cm="1">
        <f t="array" ref="AD933">INDEX(Innings!S:S,MATCH(1,(TRIM(Innings!A:A)=TRIM(A933))*(TRIM(Innings!D:D)=TRIM(E933)),0))</f>
        <v>48</v>
      </c>
      <c r="AE933" t="str" cm="1">
        <f t="array" ref="AE933">INDEX(Innings!W:W,MATCH(1,(TRIM(Innings!A:A)=TRIM(A933))*(TRIM(Innings!D:D)=TRIM(E933)),0))</f>
        <v>NA</v>
      </c>
      <c r="AF933">
        <f>IF(UPPER(TRIM(E933))=UPPER(TRIM(W933)),1,0)</f>
        <v>1</v>
      </c>
      <c r="AG933">
        <f t="shared" si="28"/>
        <v>29.85</v>
      </c>
    </row>
    <row r="934" spans="1:33" x14ac:dyDescent="0.3">
      <c r="A934" t="s">
        <v>368</v>
      </c>
      <c r="B934">
        <v>2</v>
      </c>
      <c r="C934" t="s">
        <v>589</v>
      </c>
      <c r="D934" t="s">
        <v>452</v>
      </c>
      <c r="E934" t="s">
        <v>159</v>
      </c>
      <c r="F934" t="s">
        <v>101</v>
      </c>
      <c r="G934" t="s">
        <v>104</v>
      </c>
      <c r="H934">
        <v>0</v>
      </c>
      <c r="I934">
        <v>0</v>
      </c>
      <c r="J934">
        <v>0</v>
      </c>
      <c r="K934" t="s">
        <v>104</v>
      </c>
      <c r="L934">
        <v>0</v>
      </c>
      <c r="M934">
        <v>1</v>
      </c>
      <c r="N934">
        <v>0</v>
      </c>
      <c r="O934">
        <v>9</v>
      </c>
      <c r="P934">
        <v>0</v>
      </c>
      <c r="Q934">
        <v>9</v>
      </c>
      <c r="R934">
        <v>0</v>
      </c>
      <c r="S934">
        <v>0</v>
      </c>
      <c r="T934">
        <v>0</v>
      </c>
      <c r="U934" s="8">
        <v>0</v>
      </c>
      <c r="V934" s="8">
        <f t="shared" si="29"/>
        <v>0</v>
      </c>
      <c r="W934" t="str">
        <f>_xlfn.XLOOKUP(A934, Matches!A:A, Matches!L:L, "NA", 0)</f>
        <v>RCBW</v>
      </c>
      <c r="X934" t="str">
        <f>_xlfn.XLOOKUP(A934, Matches!A:A, Matches!J:J, "NA", 0)</f>
        <v>RCBW</v>
      </c>
      <c r="Y934" t="str">
        <f>_xlfn.XLOOKUP(A934, Matches!A:A, Matches!F:F, "NA", 0)</f>
        <v>Arun Jaitley Stadium</v>
      </c>
      <c r="Z934" cm="1">
        <f t="array" ref="Z934">INDEX(Innings!F:F,MATCH(1,(TRIM(Innings!A:A)=TRIM(A934))*(TRIM(Innings!D:D)=TRIM(E934)),0))</f>
        <v>135</v>
      </c>
      <c r="AA934" cm="1">
        <f t="array" ref="AA934">INDEX(Innings!I:I,MATCH(1,(TRIM(Innings!A:A)=TRIM(A934))*(TRIM(Innings!D:D)=TRIM(E934)),0))</f>
        <v>6.75</v>
      </c>
      <c r="AB934" cm="1">
        <f t="array" ref="AB934">INDEX(Innings!J:J,MATCH(1,(TRIM(Innings!A:A)=TRIM(A934))*(TRIM(Innings!D:D)=TRIM(E934)),0))</f>
        <v>34</v>
      </c>
      <c r="AC934" cm="1">
        <f t="array" ref="AC934">INDEX(Innings!N:N,MATCH(1,(TRIM(Innings!A:A)=TRIM(A934))*(TRIM(Innings!D:D)=TRIM(E934)),0))</f>
        <v>45</v>
      </c>
      <c r="AD934" cm="1">
        <f t="array" ref="AD934">INDEX(Innings!S:S,MATCH(1,(TRIM(Innings!A:A)=TRIM(A934))*(TRIM(Innings!D:D)=TRIM(E934)),0))</f>
        <v>48</v>
      </c>
      <c r="AE934" t="str" cm="1">
        <f t="array" ref="AE934">INDEX(Innings!W:W,MATCH(1,(TRIM(Innings!A:A)=TRIM(A934))*(TRIM(Innings!D:D)=TRIM(E934)),0))</f>
        <v>NA</v>
      </c>
      <c r="AF934">
        <f>IF(UPPER(TRIM(E934))=UPPER(TRIM(W934)),1,0)</f>
        <v>1</v>
      </c>
      <c r="AG934">
        <f t="shared" si="28"/>
        <v>20</v>
      </c>
    </row>
    <row r="935" spans="1:33" x14ac:dyDescent="0.3">
      <c r="A935" t="s">
        <v>368</v>
      </c>
      <c r="B935">
        <v>2</v>
      </c>
      <c r="C935" t="s">
        <v>186</v>
      </c>
      <c r="D935" t="s">
        <v>187</v>
      </c>
      <c r="E935" t="s">
        <v>159</v>
      </c>
      <c r="F935" t="s">
        <v>101</v>
      </c>
      <c r="G935" t="s">
        <v>104</v>
      </c>
      <c r="H935">
        <v>0</v>
      </c>
      <c r="I935">
        <v>0</v>
      </c>
      <c r="J935">
        <v>0</v>
      </c>
      <c r="K935" t="s">
        <v>104</v>
      </c>
      <c r="L935">
        <v>0</v>
      </c>
      <c r="M935">
        <v>1</v>
      </c>
      <c r="N935">
        <v>0</v>
      </c>
      <c r="O935">
        <v>6</v>
      </c>
      <c r="P935">
        <v>0</v>
      </c>
      <c r="Q935">
        <v>6</v>
      </c>
      <c r="R935">
        <v>0</v>
      </c>
      <c r="S935">
        <v>0</v>
      </c>
      <c r="T935">
        <v>0</v>
      </c>
      <c r="U935" s="8">
        <v>0</v>
      </c>
      <c r="V935" s="8">
        <f t="shared" si="29"/>
        <v>0</v>
      </c>
      <c r="W935" t="str">
        <f>_xlfn.XLOOKUP(A935, Matches!A:A, Matches!L:L, "NA", 0)</f>
        <v>RCBW</v>
      </c>
      <c r="X935" t="str">
        <f>_xlfn.XLOOKUP(A935, Matches!A:A, Matches!J:J, "NA", 0)</f>
        <v>RCBW</v>
      </c>
      <c r="Y935" t="str">
        <f>_xlfn.XLOOKUP(A935, Matches!A:A, Matches!F:F, "NA", 0)</f>
        <v>Arun Jaitley Stadium</v>
      </c>
      <c r="Z935" cm="1">
        <f t="array" ref="Z935">INDEX(Innings!F:F,MATCH(1,(TRIM(Innings!A:A)=TRIM(A935))*(TRIM(Innings!D:D)=TRIM(E935)),0))</f>
        <v>135</v>
      </c>
      <c r="AA935" cm="1">
        <f t="array" ref="AA935">INDEX(Innings!I:I,MATCH(1,(TRIM(Innings!A:A)=TRIM(A935))*(TRIM(Innings!D:D)=TRIM(E935)),0))</f>
        <v>6.75</v>
      </c>
      <c r="AB935" cm="1">
        <f t="array" ref="AB935">INDEX(Innings!J:J,MATCH(1,(TRIM(Innings!A:A)=TRIM(A935))*(TRIM(Innings!D:D)=TRIM(E935)),0))</f>
        <v>34</v>
      </c>
      <c r="AC935" cm="1">
        <f t="array" ref="AC935">INDEX(Innings!N:N,MATCH(1,(TRIM(Innings!A:A)=TRIM(A935))*(TRIM(Innings!D:D)=TRIM(E935)),0))</f>
        <v>45</v>
      </c>
      <c r="AD935" cm="1">
        <f t="array" ref="AD935">INDEX(Innings!S:S,MATCH(1,(TRIM(Innings!A:A)=TRIM(A935))*(TRIM(Innings!D:D)=TRIM(E935)),0))</f>
        <v>48</v>
      </c>
      <c r="AE935" t="str" cm="1">
        <f t="array" ref="AE935">INDEX(Innings!W:W,MATCH(1,(TRIM(Innings!A:A)=TRIM(A935))*(TRIM(Innings!D:D)=TRIM(E935)),0))</f>
        <v>NA</v>
      </c>
      <c r="AF935">
        <f>IF(UPPER(TRIM(E935))=UPPER(TRIM(W935)),1,0)</f>
        <v>1</v>
      </c>
      <c r="AG935">
        <f t="shared" si="28"/>
        <v>20</v>
      </c>
    </row>
    <row r="936" spans="1:33" x14ac:dyDescent="0.3">
      <c r="A936" t="s">
        <v>368</v>
      </c>
      <c r="B936">
        <v>2</v>
      </c>
      <c r="C936" t="s">
        <v>113</v>
      </c>
      <c r="D936" t="s">
        <v>84</v>
      </c>
      <c r="E936" t="s">
        <v>266</v>
      </c>
      <c r="F936" t="s">
        <v>85</v>
      </c>
      <c r="G936" t="s">
        <v>86</v>
      </c>
      <c r="H936">
        <v>19</v>
      </c>
      <c r="I936">
        <v>27</v>
      </c>
      <c r="J936">
        <v>70.37</v>
      </c>
      <c r="K936" t="s">
        <v>245</v>
      </c>
      <c r="L936">
        <v>4.5999999999999996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 s="8">
        <v>4.5999999999999996</v>
      </c>
      <c r="V936" s="8">
        <f t="shared" si="29"/>
        <v>0</v>
      </c>
      <c r="W936" t="str">
        <f>_xlfn.XLOOKUP(A936, Matches!A:A, Matches!L:L, "NA", 0)</f>
        <v>RCBW</v>
      </c>
      <c r="X936" t="str">
        <f>_xlfn.XLOOKUP(A936, Matches!A:A, Matches!J:J, "NA", 0)</f>
        <v>RCBW</v>
      </c>
      <c r="Y936" t="str">
        <f>_xlfn.XLOOKUP(A936, Matches!A:A, Matches!F:F, "NA", 0)</f>
        <v>Arun Jaitley Stadium</v>
      </c>
      <c r="Z936" cm="1">
        <f t="array" ref="Z936">INDEX(Innings!F:F,MATCH(1,(TRIM(Innings!A:A)=TRIM(A936))*(TRIM(Innings!D:D)=TRIM(E936)),0))</f>
        <v>130</v>
      </c>
      <c r="AA936" cm="1">
        <f t="array" ref="AA936">INDEX(Innings!I:I,MATCH(1,(TRIM(Innings!A:A)=TRIM(A936))*(TRIM(Innings!D:D)=TRIM(E936)),0))</f>
        <v>6.5</v>
      </c>
      <c r="AB936" cm="1">
        <f t="array" ref="AB936">INDEX(Innings!J:J,MATCH(1,(TRIM(Innings!A:A)=TRIM(A936))*(TRIM(Innings!D:D)=TRIM(E936)),0))</f>
        <v>37</v>
      </c>
      <c r="AC936" cm="1">
        <f t="array" ref="AC936">INDEX(Innings!N:N,MATCH(1,(TRIM(Innings!A:A)=TRIM(A936))*(TRIM(Innings!D:D)=TRIM(E936)),0))</f>
        <v>26</v>
      </c>
      <c r="AD936" cm="1">
        <f t="array" ref="AD936">INDEX(Innings!S:S,MATCH(1,(TRIM(Innings!A:A)=TRIM(A936))*(TRIM(Innings!D:D)=TRIM(E936)),0))</f>
        <v>45</v>
      </c>
      <c r="AE936" t="str" cm="1">
        <f t="array" ref="AE936">INDEX(Innings!W:W,MATCH(1,(TRIM(Innings!A:A)=TRIM(A936))*(TRIM(Innings!D:D)=TRIM(E936)),0))</f>
        <v>Failed</v>
      </c>
      <c r="AF936">
        <f>IF(UPPER(TRIM(E936))=UPPER(TRIM(W936)),1,0)</f>
        <v>0</v>
      </c>
      <c r="AG936">
        <f t="shared" si="28"/>
        <v>2.2999999999999998</v>
      </c>
    </row>
    <row r="937" spans="1:33" x14ac:dyDescent="0.3">
      <c r="A937" t="s">
        <v>368</v>
      </c>
      <c r="B937">
        <v>2</v>
      </c>
      <c r="C937" t="s">
        <v>112</v>
      </c>
      <c r="D937" t="s">
        <v>88</v>
      </c>
      <c r="E937" t="s">
        <v>266</v>
      </c>
      <c r="F937" t="s">
        <v>169</v>
      </c>
      <c r="G937" t="s">
        <v>86</v>
      </c>
      <c r="H937">
        <v>15</v>
      </c>
      <c r="I937">
        <v>14</v>
      </c>
      <c r="J937">
        <v>107.14</v>
      </c>
      <c r="K937" t="s">
        <v>246</v>
      </c>
      <c r="L937">
        <v>11.4</v>
      </c>
      <c r="M937">
        <v>4</v>
      </c>
      <c r="N937">
        <v>0</v>
      </c>
      <c r="O937">
        <v>18</v>
      </c>
      <c r="P937">
        <v>2</v>
      </c>
      <c r="Q937">
        <v>4.5</v>
      </c>
      <c r="R937">
        <v>65</v>
      </c>
      <c r="S937">
        <v>0</v>
      </c>
      <c r="T937">
        <v>0</v>
      </c>
      <c r="U937" s="8">
        <v>76.400000000000006</v>
      </c>
      <c r="V937" s="8">
        <f t="shared" si="29"/>
        <v>8</v>
      </c>
      <c r="W937" t="str">
        <f>_xlfn.XLOOKUP(A937, Matches!A:A, Matches!L:L, "NA", 0)</f>
        <v>RCBW</v>
      </c>
      <c r="X937" t="str">
        <f>_xlfn.XLOOKUP(A937, Matches!A:A, Matches!J:J, "NA", 0)</f>
        <v>RCBW</v>
      </c>
      <c r="Y937" t="str">
        <f>_xlfn.XLOOKUP(A937, Matches!A:A, Matches!F:F, "NA", 0)</f>
        <v>Arun Jaitley Stadium</v>
      </c>
      <c r="Z937" cm="1">
        <f t="array" ref="Z937">INDEX(Innings!F:F,MATCH(1,(TRIM(Innings!A:A)=TRIM(A937))*(TRIM(Innings!D:D)=TRIM(E937)),0))</f>
        <v>130</v>
      </c>
      <c r="AA937" cm="1">
        <f t="array" ref="AA937">INDEX(Innings!I:I,MATCH(1,(TRIM(Innings!A:A)=TRIM(A937))*(TRIM(Innings!D:D)=TRIM(E937)),0))</f>
        <v>6.5</v>
      </c>
      <c r="AB937" cm="1">
        <f t="array" ref="AB937">INDEX(Innings!J:J,MATCH(1,(TRIM(Innings!A:A)=TRIM(A937))*(TRIM(Innings!D:D)=TRIM(E937)),0))</f>
        <v>37</v>
      </c>
      <c r="AC937" cm="1">
        <f t="array" ref="AC937">INDEX(Innings!N:N,MATCH(1,(TRIM(Innings!A:A)=TRIM(A937))*(TRIM(Innings!D:D)=TRIM(E937)),0))</f>
        <v>26</v>
      </c>
      <c r="AD937" cm="1">
        <f t="array" ref="AD937">INDEX(Innings!S:S,MATCH(1,(TRIM(Innings!A:A)=TRIM(A937))*(TRIM(Innings!D:D)=TRIM(E937)),0))</f>
        <v>45</v>
      </c>
      <c r="AE937" t="str" cm="1">
        <f t="array" ref="AE937">INDEX(Innings!W:W,MATCH(1,(TRIM(Innings!A:A)=TRIM(A937))*(TRIM(Innings!D:D)=TRIM(E937)),0))</f>
        <v>Failed</v>
      </c>
      <c r="AF937">
        <f>IF(UPPER(TRIM(E937))=UPPER(TRIM(W937)),1,0)</f>
        <v>0</v>
      </c>
      <c r="AG937">
        <f t="shared" si="28"/>
        <v>40.6</v>
      </c>
    </row>
    <row r="938" spans="1:33" x14ac:dyDescent="0.3">
      <c r="A938" t="s">
        <v>368</v>
      </c>
      <c r="B938">
        <v>2</v>
      </c>
      <c r="C938" t="s">
        <v>117</v>
      </c>
      <c r="D938" t="s">
        <v>90</v>
      </c>
      <c r="E938" t="s">
        <v>266</v>
      </c>
      <c r="F938" t="s">
        <v>169</v>
      </c>
      <c r="G938" t="s">
        <v>92</v>
      </c>
      <c r="H938">
        <v>23</v>
      </c>
      <c r="I938">
        <v>17</v>
      </c>
      <c r="J938">
        <v>135.29</v>
      </c>
      <c r="K938" t="s">
        <v>245</v>
      </c>
      <c r="L938">
        <v>21.6</v>
      </c>
      <c r="M938">
        <v>4</v>
      </c>
      <c r="N938">
        <v>0</v>
      </c>
      <c r="O938">
        <v>18</v>
      </c>
      <c r="P938">
        <v>2</v>
      </c>
      <c r="Q938">
        <v>4.5</v>
      </c>
      <c r="R938">
        <v>65</v>
      </c>
      <c r="S938">
        <v>0</v>
      </c>
      <c r="T938">
        <v>0</v>
      </c>
      <c r="U938" s="8">
        <v>86.6</v>
      </c>
      <c r="V938" s="8">
        <f t="shared" si="29"/>
        <v>9</v>
      </c>
      <c r="W938" t="str">
        <f>_xlfn.XLOOKUP(A938, Matches!A:A, Matches!L:L, "NA", 0)</f>
        <v>RCBW</v>
      </c>
      <c r="X938" t="str">
        <f>_xlfn.XLOOKUP(A938, Matches!A:A, Matches!J:J, "NA", 0)</f>
        <v>RCBW</v>
      </c>
      <c r="Y938" t="str">
        <f>_xlfn.XLOOKUP(A938, Matches!A:A, Matches!F:F, "NA", 0)</f>
        <v>Arun Jaitley Stadium</v>
      </c>
      <c r="Z938" cm="1">
        <f t="array" ref="Z938">INDEX(Innings!F:F,MATCH(1,(TRIM(Innings!A:A)=TRIM(A938))*(TRIM(Innings!D:D)=TRIM(E938)),0))</f>
        <v>130</v>
      </c>
      <c r="AA938" cm="1">
        <f t="array" ref="AA938">INDEX(Innings!I:I,MATCH(1,(TRIM(Innings!A:A)=TRIM(A938))*(TRIM(Innings!D:D)=TRIM(E938)),0))</f>
        <v>6.5</v>
      </c>
      <c r="AB938" cm="1">
        <f t="array" ref="AB938">INDEX(Innings!J:J,MATCH(1,(TRIM(Innings!A:A)=TRIM(A938))*(TRIM(Innings!D:D)=TRIM(E938)),0))</f>
        <v>37</v>
      </c>
      <c r="AC938" cm="1">
        <f t="array" ref="AC938">INDEX(Innings!N:N,MATCH(1,(TRIM(Innings!A:A)=TRIM(A938))*(TRIM(Innings!D:D)=TRIM(E938)),0))</f>
        <v>26</v>
      </c>
      <c r="AD938" cm="1">
        <f t="array" ref="AD938">INDEX(Innings!S:S,MATCH(1,(TRIM(Innings!A:A)=TRIM(A938))*(TRIM(Innings!D:D)=TRIM(E938)),0))</f>
        <v>45</v>
      </c>
      <c r="AE938" t="str" cm="1">
        <f t="array" ref="AE938">INDEX(Innings!W:W,MATCH(1,(TRIM(Innings!A:A)=TRIM(A938))*(TRIM(Innings!D:D)=TRIM(E938)),0))</f>
        <v>Failed</v>
      </c>
      <c r="AF938">
        <f>IF(UPPER(TRIM(E938))=UPPER(TRIM(W938)),1,0)</f>
        <v>0</v>
      </c>
      <c r="AG938">
        <f t="shared" si="28"/>
        <v>46</v>
      </c>
    </row>
    <row r="939" spans="1:33" x14ac:dyDescent="0.3">
      <c r="A939" t="s">
        <v>368</v>
      </c>
      <c r="B939">
        <v>2</v>
      </c>
      <c r="C939" t="s">
        <v>115</v>
      </c>
      <c r="D939" t="s">
        <v>17</v>
      </c>
      <c r="E939" t="s">
        <v>266</v>
      </c>
      <c r="F939" t="s">
        <v>169</v>
      </c>
      <c r="G939" t="s">
        <v>134</v>
      </c>
      <c r="H939">
        <v>33</v>
      </c>
      <c r="I939">
        <v>30</v>
      </c>
      <c r="J939">
        <v>110</v>
      </c>
      <c r="K939" t="s">
        <v>246</v>
      </c>
      <c r="L939">
        <v>24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 s="8">
        <v>24</v>
      </c>
      <c r="V939" s="8">
        <f t="shared" si="29"/>
        <v>2</v>
      </c>
      <c r="W939" t="str">
        <f>_xlfn.XLOOKUP(A939, Matches!A:A, Matches!L:L, "NA", 0)</f>
        <v>RCBW</v>
      </c>
      <c r="X939" t="str">
        <f>_xlfn.XLOOKUP(A939, Matches!A:A, Matches!J:J, "NA", 0)</f>
        <v>RCBW</v>
      </c>
      <c r="Y939" t="str">
        <f>_xlfn.XLOOKUP(A939, Matches!A:A, Matches!F:F, "NA", 0)</f>
        <v>Arun Jaitley Stadium</v>
      </c>
      <c r="Z939" cm="1">
        <f t="array" ref="Z939">INDEX(Innings!F:F,MATCH(1,(TRIM(Innings!A:A)=TRIM(A939))*(TRIM(Innings!D:D)=TRIM(E939)),0))</f>
        <v>130</v>
      </c>
      <c r="AA939" cm="1">
        <f t="array" ref="AA939">INDEX(Innings!I:I,MATCH(1,(TRIM(Innings!A:A)=TRIM(A939))*(TRIM(Innings!D:D)=TRIM(E939)),0))</f>
        <v>6.5</v>
      </c>
      <c r="AB939" cm="1">
        <f t="array" ref="AB939">INDEX(Innings!J:J,MATCH(1,(TRIM(Innings!A:A)=TRIM(A939))*(TRIM(Innings!D:D)=TRIM(E939)),0))</f>
        <v>37</v>
      </c>
      <c r="AC939" cm="1">
        <f t="array" ref="AC939">INDEX(Innings!N:N,MATCH(1,(TRIM(Innings!A:A)=TRIM(A939))*(TRIM(Innings!D:D)=TRIM(E939)),0))</f>
        <v>26</v>
      </c>
      <c r="AD939" cm="1">
        <f t="array" ref="AD939">INDEX(Innings!S:S,MATCH(1,(TRIM(Innings!A:A)=TRIM(A939))*(TRIM(Innings!D:D)=TRIM(E939)),0))</f>
        <v>45</v>
      </c>
      <c r="AE939" t="str" cm="1">
        <f t="array" ref="AE939">INDEX(Innings!W:W,MATCH(1,(TRIM(Innings!A:A)=TRIM(A939))*(TRIM(Innings!D:D)=TRIM(E939)),0))</f>
        <v>Failed</v>
      </c>
      <c r="AF939">
        <f>IF(UPPER(TRIM(E939))=UPPER(TRIM(W939)),1,0)</f>
        <v>0</v>
      </c>
      <c r="AG939">
        <f t="shared" si="28"/>
        <v>12.6</v>
      </c>
    </row>
    <row r="940" spans="1:33" x14ac:dyDescent="0.3">
      <c r="A940" t="s">
        <v>368</v>
      </c>
      <c r="B940">
        <v>2</v>
      </c>
      <c r="C940" t="s">
        <v>119</v>
      </c>
      <c r="D940" t="s">
        <v>95</v>
      </c>
      <c r="E940" t="s">
        <v>266</v>
      </c>
      <c r="F940" t="s">
        <v>169</v>
      </c>
      <c r="G940" t="s">
        <v>134</v>
      </c>
      <c r="H940">
        <v>27</v>
      </c>
      <c r="I940">
        <v>25</v>
      </c>
      <c r="J940">
        <v>108</v>
      </c>
      <c r="K940" t="s">
        <v>96</v>
      </c>
      <c r="L940">
        <v>26.1</v>
      </c>
      <c r="M940">
        <v>2</v>
      </c>
      <c r="N940">
        <v>0</v>
      </c>
      <c r="O940">
        <v>18</v>
      </c>
      <c r="P940">
        <v>0</v>
      </c>
      <c r="Q940">
        <v>9</v>
      </c>
      <c r="R940">
        <v>0</v>
      </c>
      <c r="S940">
        <v>0</v>
      </c>
      <c r="T940">
        <v>0</v>
      </c>
      <c r="U940" s="8">
        <v>26.1</v>
      </c>
      <c r="V940" s="8">
        <f t="shared" si="29"/>
        <v>3</v>
      </c>
      <c r="W940" t="str">
        <f>_xlfn.XLOOKUP(A940, Matches!A:A, Matches!L:L, "NA", 0)</f>
        <v>RCBW</v>
      </c>
      <c r="X940" t="str">
        <f>_xlfn.XLOOKUP(A940, Matches!A:A, Matches!J:J, "NA", 0)</f>
        <v>RCBW</v>
      </c>
      <c r="Y940" t="str">
        <f>_xlfn.XLOOKUP(A940, Matches!A:A, Matches!F:F, "NA", 0)</f>
        <v>Arun Jaitley Stadium</v>
      </c>
      <c r="Z940" cm="1">
        <f t="array" ref="Z940">INDEX(Innings!F:F,MATCH(1,(TRIM(Innings!A:A)=TRIM(A940))*(TRIM(Innings!D:D)=TRIM(E940)),0))</f>
        <v>130</v>
      </c>
      <c r="AA940" cm="1">
        <f t="array" ref="AA940">INDEX(Innings!I:I,MATCH(1,(TRIM(Innings!A:A)=TRIM(A940))*(TRIM(Innings!D:D)=TRIM(E940)),0))</f>
        <v>6.5</v>
      </c>
      <c r="AB940" cm="1">
        <f t="array" ref="AB940">INDEX(Innings!J:J,MATCH(1,(TRIM(Innings!A:A)=TRIM(A940))*(TRIM(Innings!D:D)=TRIM(E940)),0))</f>
        <v>37</v>
      </c>
      <c r="AC940" cm="1">
        <f t="array" ref="AC940">INDEX(Innings!N:N,MATCH(1,(TRIM(Innings!A:A)=TRIM(A940))*(TRIM(Innings!D:D)=TRIM(E940)),0))</f>
        <v>26</v>
      </c>
      <c r="AD940" cm="1">
        <f t="array" ref="AD940">INDEX(Innings!S:S,MATCH(1,(TRIM(Innings!A:A)=TRIM(A940))*(TRIM(Innings!D:D)=TRIM(E940)),0))</f>
        <v>45</v>
      </c>
      <c r="AE940" t="str" cm="1">
        <f t="array" ref="AE940">INDEX(Innings!W:W,MATCH(1,(TRIM(Innings!A:A)=TRIM(A940))*(TRIM(Innings!D:D)=TRIM(E940)),0))</f>
        <v>Failed</v>
      </c>
      <c r="AF940">
        <f>IF(UPPER(TRIM(E940))=UPPER(TRIM(W940)),1,0)</f>
        <v>0</v>
      </c>
      <c r="AG940">
        <f t="shared" si="28"/>
        <v>13.950000000000001</v>
      </c>
    </row>
    <row r="941" spans="1:33" x14ac:dyDescent="0.3">
      <c r="A941" t="s">
        <v>368</v>
      </c>
      <c r="B941">
        <v>2</v>
      </c>
      <c r="C941" t="s">
        <v>347</v>
      </c>
      <c r="D941" t="s">
        <v>348</v>
      </c>
      <c r="E941" t="s">
        <v>266</v>
      </c>
      <c r="F941" t="s">
        <v>169</v>
      </c>
      <c r="G941" t="s">
        <v>134</v>
      </c>
      <c r="H941">
        <v>1</v>
      </c>
      <c r="I941">
        <v>3</v>
      </c>
      <c r="J941">
        <v>33.33</v>
      </c>
      <c r="K941" t="s">
        <v>248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 s="8">
        <v>0</v>
      </c>
      <c r="V941" s="8">
        <f t="shared" si="29"/>
        <v>0</v>
      </c>
      <c r="W941" t="str">
        <f>_xlfn.XLOOKUP(A941, Matches!A:A, Matches!L:L, "NA", 0)</f>
        <v>RCBW</v>
      </c>
      <c r="X941" t="str">
        <f>_xlfn.XLOOKUP(A941, Matches!A:A, Matches!J:J, "NA", 0)</f>
        <v>RCBW</v>
      </c>
      <c r="Y941" t="str">
        <f>_xlfn.XLOOKUP(A941, Matches!A:A, Matches!F:F, "NA", 0)</f>
        <v>Arun Jaitley Stadium</v>
      </c>
      <c r="Z941" cm="1">
        <f t="array" ref="Z941">INDEX(Innings!F:F,MATCH(1,(TRIM(Innings!A:A)=TRIM(A941))*(TRIM(Innings!D:D)=TRIM(E941)),0))</f>
        <v>130</v>
      </c>
      <c r="AA941" cm="1">
        <f t="array" ref="AA941">INDEX(Innings!I:I,MATCH(1,(TRIM(Innings!A:A)=TRIM(A941))*(TRIM(Innings!D:D)=TRIM(E941)),0))</f>
        <v>6.5</v>
      </c>
      <c r="AB941" cm="1">
        <f t="array" ref="AB941">INDEX(Innings!J:J,MATCH(1,(TRIM(Innings!A:A)=TRIM(A941))*(TRIM(Innings!D:D)=TRIM(E941)),0))</f>
        <v>37</v>
      </c>
      <c r="AC941" cm="1">
        <f t="array" ref="AC941">INDEX(Innings!N:N,MATCH(1,(TRIM(Innings!A:A)=TRIM(A941))*(TRIM(Innings!D:D)=TRIM(E941)),0))</f>
        <v>26</v>
      </c>
      <c r="AD941" cm="1">
        <f t="array" ref="AD941">INDEX(Innings!S:S,MATCH(1,(TRIM(Innings!A:A)=TRIM(A941))*(TRIM(Innings!D:D)=TRIM(E941)),0))</f>
        <v>45</v>
      </c>
      <c r="AE941" t="str" cm="1">
        <f t="array" ref="AE941">INDEX(Innings!W:W,MATCH(1,(TRIM(Innings!A:A)=TRIM(A941))*(TRIM(Innings!D:D)=TRIM(E941)),0))</f>
        <v>Failed</v>
      </c>
      <c r="AF941">
        <f>IF(UPPER(TRIM(E941))=UPPER(TRIM(W941)),1,0)</f>
        <v>0</v>
      </c>
      <c r="AG941">
        <f t="shared" si="28"/>
        <v>0</v>
      </c>
    </row>
    <row r="942" spans="1:33" x14ac:dyDescent="0.3">
      <c r="A942" t="s">
        <v>368</v>
      </c>
      <c r="B942">
        <v>2</v>
      </c>
      <c r="C942" t="s">
        <v>123</v>
      </c>
      <c r="D942" t="s">
        <v>98</v>
      </c>
      <c r="E942" t="s">
        <v>266</v>
      </c>
      <c r="F942" t="s">
        <v>169</v>
      </c>
      <c r="G942" t="s">
        <v>134</v>
      </c>
      <c r="H942">
        <v>4</v>
      </c>
      <c r="I942">
        <v>4</v>
      </c>
      <c r="J942">
        <v>100</v>
      </c>
      <c r="K942" t="s">
        <v>248</v>
      </c>
      <c r="L942">
        <v>1</v>
      </c>
      <c r="M942">
        <v>3</v>
      </c>
      <c r="N942">
        <v>0</v>
      </c>
      <c r="O942">
        <v>21</v>
      </c>
      <c r="P942">
        <v>0</v>
      </c>
      <c r="Q942">
        <v>7</v>
      </c>
      <c r="R942">
        <v>0</v>
      </c>
      <c r="S942">
        <v>0</v>
      </c>
      <c r="T942">
        <v>0</v>
      </c>
      <c r="U942" s="8">
        <v>1</v>
      </c>
      <c r="V942" s="8">
        <f t="shared" si="29"/>
        <v>0</v>
      </c>
      <c r="W942" t="str">
        <f>_xlfn.XLOOKUP(A942, Matches!A:A, Matches!L:L, "NA", 0)</f>
        <v>RCBW</v>
      </c>
      <c r="X942" t="str">
        <f>_xlfn.XLOOKUP(A942, Matches!A:A, Matches!J:J, "NA", 0)</f>
        <v>RCBW</v>
      </c>
      <c r="Y942" t="str">
        <f>_xlfn.XLOOKUP(A942, Matches!A:A, Matches!F:F, "NA", 0)</f>
        <v>Arun Jaitley Stadium</v>
      </c>
      <c r="Z942" cm="1">
        <f t="array" ref="Z942">INDEX(Innings!F:F,MATCH(1,(TRIM(Innings!A:A)=TRIM(A942))*(TRIM(Innings!D:D)=TRIM(E942)),0))</f>
        <v>130</v>
      </c>
      <c r="AA942" cm="1">
        <f t="array" ref="AA942">INDEX(Innings!I:I,MATCH(1,(TRIM(Innings!A:A)=TRIM(A942))*(TRIM(Innings!D:D)=TRIM(E942)),0))</f>
        <v>6.5</v>
      </c>
      <c r="AB942" cm="1">
        <f t="array" ref="AB942">INDEX(Innings!J:J,MATCH(1,(TRIM(Innings!A:A)=TRIM(A942))*(TRIM(Innings!D:D)=TRIM(E942)),0))</f>
        <v>37</v>
      </c>
      <c r="AC942" cm="1">
        <f t="array" ref="AC942">INDEX(Innings!N:N,MATCH(1,(TRIM(Innings!A:A)=TRIM(A942))*(TRIM(Innings!D:D)=TRIM(E942)),0))</f>
        <v>26</v>
      </c>
      <c r="AD942" cm="1">
        <f t="array" ref="AD942">INDEX(Innings!S:S,MATCH(1,(TRIM(Innings!A:A)=TRIM(A942))*(TRIM(Innings!D:D)=TRIM(E942)),0))</f>
        <v>45</v>
      </c>
      <c r="AE942" t="str" cm="1">
        <f t="array" ref="AE942">INDEX(Innings!W:W,MATCH(1,(TRIM(Innings!A:A)=TRIM(A942))*(TRIM(Innings!D:D)=TRIM(E942)),0))</f>
        <v>Failed</v>
      </c>
      <c r="AF942">
        <f>IF(UPPER(TRIM(E942))=UPPER(TRIM(W942)),1,0)</f>
        <v>0</v>
      </c>
      <c r="AG942">
        <f t="shared" si="28"/>
        <v>0.5</v>
      </c>
    </row>
    <row r="943" spans="1:33" x14ac:dyDescent="0.3">
      <c r="A943" t="s">
        <v>368</v>
      </c>
      <c r="B943">
        <v>2</v>
      </c>
      <c r="C943" t="s">
        <v>121</v>
      </c>
      <c r="D943" t="s">
        <v>108</v>
      </c>
      <c r="E943" t="s">
        <v>266</v>
      </c>
      <c r="F943" t="s">
        <v>169</v>
      </c>
      <c r="G943" t="s">
        <v>134</v>
      </c>
      <c r="H943">
        <v>1</v>
      </c>
      <c r="I943">
        <v>1</v>
      </c>
      <c r="J943">
        <v>100</v>
      </c>
      <c r="K943" t="s">
        <v>96</v>
      </c>
      <c r="L943">
        <v>5.3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 s="8">
        <v>5.3</v>
      </c>
      <c r="V943" s="8">
        <f t="shared" si="29"/>
        <v>1</v>
      </c>
      <c r="W943" t="str">
        <f>_xlfn.XLOOKUP(A943, Matches!A:A, Matches!L:L, "NA", 0)</f>
        <v>RCBW</v>
      </c>
      <c r="X943" t="str">
        <f>_xlfn.XLOOKUP(A943, Matches!A:A, Matches!J:J, "NA", 0)</f>
        <v>RCBW</v>
      </c>
      <c r="Y943" t="str">
        <f>_xlfn.XLOOKUP(A943, Matches!A:A, Matches!F:F, "NA", 0)</f>
        <v>Arun Jaitley Stadium</v>
      </c>
      <c r="Z943" cm="1">
        <f t="array" ref="Z943">INDEX(Innings!F:F,MATCH(1,(TRIM(Innings!A:A)=TRIM(A943))*(TRIM(Innings!D:D)=TRIM(E943)),0))</f>
        <v>130</v>
      </c>
      <c r="AA943" cm="1">
        <f t="array" ref="AA943">INDEX(Innings!I:I,MATCH(1,(TRIM(Innings!A:A)=TRIM(A943))*(TRIM(Innings!D:D)=TRIM(E943)),0))</f>
        <v>6.5</v>
      </c>
      <c r="AB943" cm="1">
        <f t="array" ref="AB943">INDEX(Innings!J:J,MATCH(1,(TRIM(Innings!A:A)=TRIM(A943))*(TRIM(Innings!D:D)=TRIM(E943)),0))</f>
        <v>37</v>
      </c>
      <c r="AC943" cm="1">
        <f t="array" ref="AC943">INDEX(Innings!N:N,MATCH(1,(TRIM(Innings!A:A)=TRIM(A943))*(TRIM(Innings!D:D)=TRIM(E943)),0))</f>
        <v>26</v>
      </c>
      <c r="AD943" cm="1">
        <f t="array" ref="AD943">INDEX(Innings!S:S,MATCH(1,(TRIM(Innings!A:A)=TRIM(A943))*(TRIM(Innings!D:D)=TRIM(E943)),0))</f>
        <v>45</v>
      </c>
      <c r="AE943" t="str" cm="1">
        <f t="array" ref="AE943">INDEX(Innings!W:W,MATCH(1,(TRIM(Innings!A:A)=TRIM(A943))*(TRIM(Innings!D:D)=TRIM(E943)),0))</f>
        <v>Failed</v>
      </c>
      <c r="AF943">
        <f>IF(UPPER(TRIM(E943))=UPPER(TRIM(W943)),1,0)</f>
        <v>0</v>
      </c>
      <c r="AG943">
        <f t="shared" si="28"/>
        <v>2.9499999999999997</v>
      </c>
    </row>
    <row r="944" spans="1:33" x14ac:dyDescent="0.3">
      <c r="A944" t="s">
        <v>368</v>
      </c>
      <c r="B944">
        <v>2</v>
      </c>
      <c r="C944" t="s">
        <v>265</v>
      </c>
      <c r="D944" t="s">
        <v>264</v>
      </c>
      <c r="E944" t="s">
        <v>266</v>
      </c>
      <c r="F944" t="s">
        <v>101</v>
      </c>
      <c r="G944" t="s">
        <v>104</v>
      </c>
      <c r="H944">
        <v>0</v>
      </c>
      <c r="I944">
        <v>0</v>
      </c>
      <c r="J944">
        <v>0</v>
      </c>
      <c r="K944" t="s">
        <v>104</v>
      </c>
      <c r="L944">
        <v>0</v>
      </c>
      <c r="M944">
        <v>4</v>
      </c>
      <c r="N944">
        <v>1</v>
      </c>
      <c r="O944">
        <v>30</v>
      </c>
      <c r="P944">
        <v>0</v>
      </c>
      <c r="Q944">
        <v>7.5</v>
      </c>
      <c r="R944">
        <v>0</v>
      </c>
      <c r="S944">
        <v>0</v>
      </c>
      <c r="T944">
        <v>0</v>
      </c>
      <c r="U944" s="8">
        <v>0</v>
      </c>
      <c r="V944" s="8">
        <f t="shared" si="29"/>
        <v>0</v>
      </c>
      <c r="W944" t="str">
        <f>_xlfn.XLOOKUP(A944, Matches!A:A, Matches!L:L, "NA", 0)</f>
        <v>RCBW</v>
      </c>
      <c r="X944" t="str">
        <f>_xlfn.XLOOKUP(A944, Matches!A:A, Matches!J:J, "NA", 0)</f>
        <v>RCBW</v>
      </c>
      <c r="Y944" t="str">
        <f>_xlfn.XLOOKUP(A944, Matches!A:A, Matches!F:F, "NA", 0)</f>
        <v>Arun Jaitley Stadium</v>
      </c>
      <c r="Z944" cm="1">
        <f t="array" ref="Z944">INDEX(Innings!F:F,MATCH(1,(TRIM(Innings!A:A)=TRIM(A944))*(TRIM(Innings!D:D)=TRIM(E944)),0))</f>
        <v>130</v>
      </c>
      <c r="AA944" cm="1">
        <f t="array" ref="AA944">INDEX(Innings!I:I,MATCH(1,(TRIM(Innings!A:A)=TRIM(A944))*(TRIM(Innings!D:D)=TRIM(E944)),0))</f>
        <v>6.5</v>
      </c>
      <c r="AB944" cm="1">
        <f t="array" ref="AB944">INDEX(Innings!J:J,MATCH(1,(TRIM(Innings!A:A)=TRIM(A944))*(TRIM(Innings!D:D)=TRIM(E944)),0))</f>
        <v>37</v>
      </c>
      <c r="AC944" cm="1">
        <f t="array" ref="AC944">INDEX(Innings!N:N,MATCH(1,(TRIM(Innings!A:A)=TRIM(A944))*(TRIM(Innings!D:D)=TRIM(E944)),0))</f>
        <v>26</v>
      </c>
      <c r="AD944" cm="1">
        <f t="array" ref="AD944">INDEX(Innings!S:S,MATCH(1,(TRIM(Innings!A:A)=TRIM(A944))*(TRIM(Innings!D:D)=TRIM(E944)),0))</f>
        <v>45</v>
      </c>
      <c r="AE944" t="str" cm="1">
        <f t="array" ref="AE944">INDEX(Innings!W:W,MATCH(1,(TRIM(Innings!A:A)=TRIM(A944))*(TRIM(Innings!D:D)=TRIM(E944)),0))</f>
        <v>Failed</v>
      </c>
      <c r="AF944">
        <f>IF(UPPER(TRIM(E944))=UPPER(TRIM(W944)),1,0)</f>
        <v>0</v>
      </c>
      <c r="AG944">
        <f t="shared" si="28"/>
        <v>0</v>
      </c>
    </row>
    <row r="945" spans="1:33" x14ac:dyDescent="0.3">
      <c r="A945" t="s">
        <v>368</v>
      </c>
      <c r="B945">
        <v>2</v>
      </c>
      <c r="C945" t="s">
        <v>131</v>
      </c>
      <c r="D945" t="s">
        <v>106</v>
      </c>
      <c r="E945" t="s">
        <v>266</v>
      </c>
      <c r="F945" t="s">
        <v>101</v>
      </c>
      <c r="G945" t="s">
        <v>104</v>
      </c>
      <c r="H945">
        <v>0</v>
      </c>
      <c r="I945">
        <v>0</v>
      </c>
      <c r="J945">
        <v>0</v>
      </c>
      <c r="K945" t="s">
        <v>104</v>
      </c>
      <c r="L945">
        <v>0</v>
      </c>
      <c r="M945">
        <v>3</v>
      </c>
      <c r="N945">
        <v>0</v>
      </c>
      <c r="O945">
        <v>27</v>
      </c>
      <c r="P945">
        <v>2</v>
      </c>
      <c r="Q945">
        <v>9</v>
      </c>
      <c r="R945">
        <v>50</v>
      </c>
      <c r="S945">
        <v>0</v>
      </c>
      <c r="T945">
        <v>0</v>
      </c>
      <c r="U945" s="8">
        <v>50</v>
      </c>
      <c r="V945" s="8">
        <f t="shared" si="29"/>
        <v>5</v>
      </c>
      <c r="W945" t="str">
        <f>_xlfn.XLOOKUP(A945, Matches!A:A, Matches!L:L, "NA", 0)</f>
        <v>RCBW</v>
      </c>
      <c r="X945" t="str">
        <f>_xlfn.XLOOKUP(A945, Matches!A:A, Matches!J:J, "NA", 0)</f>
        <v>RCBW</v>
      </c>
      <c r="Y945" t="str">
        <f>_xlfn.XLOOKUP(A945, Matches!A:A, Matches!F:F, "NA", 0)</f>
        <v>Arun Jaitley Stadium</v>
      </c>
      <c r="Z945" cm="1">
        <f t="array" ref="Z945">INDEX(Innings!F:F,MATCH(1,(TRIM(Innings!A:A)=TRIM(A945))*(TRIM(Innings!D:D)=TRIM(E945)),0))</f>
        <v>130</v>
      </c>
      <c r="AA945" cm="1">
        <f t="array" ref="AA945">INDEX(Innings!I:I,MATCH(1,(TRIM(Innings!A:A)=TRIM(A945))*(TRIM(Innings!D:D)=TRIM(E945)),0))</f>
        <v>6.5</v>
      </c>
      <c r="AB945" cm="1">
        <f t="array" ref="AB945">INDEX(Innings!J:J,MATCH(1,(TRIM(Innings!A:A)=TRIM(A945))*(TRIM(Innings!D:D)=TRIM(E945)),0))</f>
        <v>37</v>
      </c>
      <c r="AC945" cm="1">
        <f t="array" ref="AC945">INDEX(Innings!N:N,MATCH(1,(TRIM(Innings!A:A)=TRIM(A945))*(TRIM(Innings!D:D)=TRIM(E945)),0))</f>
        <v>26</v>
      </c>
      <c r="AD945" cm="1">
        <f t="array" ref="AD945">INDEX(Innings!S:S,MATCH(1,(TRIM(Innings!A:A)=TRIM(A945))*(TRIM(Innings!D:D)=TRIM(E945)),0))</f>
        <v>45</v>
      </c>
      <c r="AE945" t="str" cm="1">
        <f t="array" ref="AE945">INDEX(Innings!W:W,MATCH(1,(TRIM(Innings!A:A)=TRIM(A945))*(TRIM(Innings!D:D)=TRIM(E945)),0))</f>
        <v>Failed</v>
      </c>
      <c r="AF945">
        <f>IF(UPPER(TRIM(E945))=UPPER(TRIM(W945)),1,0)</f>
        <v>0</v>
      </c>
      <c r="AG945">
        <f t="shared" si="28"/>
        <v>26.5</v>
      </c>
    </row>
    <row r="946" spans="1:33" x14ac:dyDescent="0.3">
      <c r="A946" t="s">
        <v>368</v>
      </c>
      <c r="B946">
        <v>2</v>
      </c>
      <c r="C946" t="s">
        <v>125</v>
      </c>
      <c r="D946" t="s">
        <v>111</v>
      </c>
      <c r="E946" t="s">
        <v>266</v>
      </c>
      <c r="F946" t="s">
        <v>169</v>
      </c>
      <c r="G946" t="s">
        <v>104</v>
      </c>
      <c r="H946">
        <v>0</v>
      </c>
      <c r="I946">
        <v>0</v>
      </c>
      <c r="J946">
        <v>0</v>
      </c>
      <c r="K946" t="s">
        <v>104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 s="8">
        <v>0</v>
      </c>
      <c r="V946" s="8">
        <f t="shared" si="29"/>
        <v>0</v>
      </c>
      <c r="W946" t="str">
        <f>_xlfn.XLOOKUP(A946, Matches!A:A, Matches!L:L, "NA", 0)</f>
        <v>RCBW</v>
      </c>
      <c r="X946" t="str">
        <f>_xlfn.XLOOKUP(A946, Matches!A:A, Matches!J:J, "NA", 0)</f>
        <v>RCBW</v>
      </c>
      <c r="Y946" t="str">
        <f>_xlfn.XLOOKUP(A946, Matches!A:A, Matches!F:F, "NA", 0)</f>
        <v>Arun Jaitley Stadium</v>
      </c>
      <c r="Z946" cm="1">
        <f t="array" ref="Z946">INDEX(Innings!F:F,MATCH(1,(TRIM(Innings!A:A)=TRIM(A946))*(TRIM(Innings!D:D)=TRIM(E946)),0))</f>
        <v>130</v>
      </c>
      <c r="AA946" cm="1">
        <f t="array" ref="AA946">INDEX(Innings!I:I,MATCH(1,(TRIM(Innings!A:A)=TRIM(A946))*(TRIM(Innings!D:D)=TRIM(E946)),0))</f>
        <v>6.5</v>
      </c>
      <c r="AB946" cm="1">
        <f t="array" ref="AB946">INDEX(Innings!J:J,MATCH(1,(TRIM(Innings!A:A)=TRIM(A946))*(TRIM(Innings!D:D)=TRIM(E946)),0))</f>
        <v>37</v>
      </c>
      <c r="AC946" cm="1">
        <f t="array" ref="AC946">INDEX(Innings!N:N,MATCH(1,(TRIM(Innings!A:A)=TRIM(A946))*(TRIM(Innings!D:D)=TRIM(E946)),0))</f>
        <v>26</v>
      </c>
      <c r="AD946" cm="1">
        <f t="array" ref="AD946">INDEX(Innings!S:S,MATCH(1,(TRIM(Innings!A:A)=TRIM(A946))*(TRIM(Innings!D:D)=TRIM(E946)),0))</f>
        <v>45</v>
      </c>
      <c r="AE946" t="str" cm="1">
        <f t="array" ref="AE946">INDEX(Innings!W:W,MATCH(1,(TRIM(Innings!A:A)=TRIM(A946))*(TRIM(Innings!D:D)=TRIM(E946)),0))</f>
        <v>Failed</v>
      </c>
      <c r="AF946">
        <f>IF(UPPER(TRIM(E946))=UPPER(TRIM(W946)),1,0)</f>
        <v>0</v>
      </c>
      <c r="AG946">
        <f t="shared" si="28"/>
        <v>0</v>
      </c>
    </row>
    <row r="947" spans="1:33" x14ac:dyDescent="0.3">
      <c r="A947" t="s">
        <v>444</v>
      </c>
      <c r="B947">
        <v>2</v>
      </c>
      <c r="C947" t="s">
        <v>190</v>
      </c>
      <c r="D947" t="s">
        <v>191</v>
      </c>
      <c r="E947" t="s">
        <v>158</v>
      </c>
      <c r="F947" t="s">
        <v>109</v>
      </c>
      <c r="G947" t="s">
        <v>86</v>
      </c>
      <c r="H947">
        <v>23</v>
      </c>
      <c r="I947">
        <v>23</v>
      </c>
      <c r="J947">
        <v>100</v>
      </c>
      <c r="K947" t="s">
        <v>247</v>
      </c>
      <c r="L947">
        <v>23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 s="8">
        <v>23</v>
      </c>
      <c r="V947" s="8">
        <f t="shared" si="29"/>
        <v>2</v>
      </c>
      <c r="W947" t="str">
        <f>_xlfn.XLOOKUP(A947, Matches!A:A, Matches!L:L, "NA", 0)</f>
        <v>RCBW</v>
      </c>
      <c r="X947" t="str">
        <f>_xlfn.XLOOKUP(A947, Matches!A:A, Matches!J:J, "NA", 0)</f>
        <v>DCW</v>
      </c>
      <c r="Y947" t="str">
        <f>_xlfn.XLOOKUP(A947, Matches!A:A, Matches!F:F, "NA", 0)</f>
        <v>Arun Jaitley Stadium</v>
      </c>
      <c r="Z947" cm="1">
        <f t="array" ref="Z947">INDEX(Innings!F:F,MATCH(1,(TRIM(Innings!A:A)=TRIM(A947))*(TRIM(Innings!D:D)=TRIM(E947)),0))</f>
        <v>113</v>
      </c>
      <c r="AA947" cm="1">
        <f t="array" ref="AA947">INDEX(Innings!I:I,MATCH(1,(TRIM(Innings!A:A)=TRIM(A947))*(TRIM(Innings!D:D)=TRIM(E947)),0))</f>
        <v>6.11</v>
      </c>
      <c r="AB947" cm="1">
        <f t="array" ref="AB947">INDEX(Innings!J:J,MATCH(1,(TRIM(Innings!A:A)=TRIM(A947))*(TRIM(Innings!D:D)=TRIM(E947)),0))</f>
        <v>61</v>
      </c>
      <c r="AC947" cm="1">
        <f t="array" ref="AC947">INDEX(Innings!N:N,MATCH(1,(TRIM(Innings!A:A)=TRIM(A947))*(TRIM(Innings!D:D)=TRIM(E947)),0))</f>
        <v>13</v>
      </c>
      <c r="AD947" cm="1">
        <f t="array" ref="AD947">INDEX(Innings!S:S,MATCH(1,(TRIM(Innings!A:A)=TRIM(A947))*(TRIM(Innings!D:D)=TRIM(E947)),0))</f>
        <v>46</v>
      </c>
      <c r="AE947" t="str" cm="1">
        <f t="array" ref="AE947">INDEX(Innings!W:W,MATCH(1,(TRIM(Innings!A:A)=TRIM(A947))*(TRIM(Innings!D:D)=TRIM(E947)),0))</f>
        <v>NA</v>
      </c>
      <c r="AF947">
        <f>IF(UPPER(TRIM(E947))=UPPER(TRIM(W947)),1,0)</f>
        <v>0</v>
      </c>
      <c r="AG947">
        <f t="shared" si="28"/>
        <v>12.1</v>
      </c>
    </row>
    <row r="948" spans="1:33" x14ac:dyDescent="0.3">
      <c r="A948" t="s">
        <v>444</v>
      </c>
      <c r="B948">
        <v>2</v>
      </c>
      <c r="C948" t="s">
        <v>188</v>
      </c>
      <c r="D948" t="s">
        <v>189</v>
      </c>
      <c r="E948" t="s">
        <v>158</v>
      </c>
      <c r="F948" t="s">
        <v>83</v>
      </c>
      <c r="G948" t="s">
        <v>86</v>
      </c>
      <c r="H948">
        <v>44</v>
      </c>
      <c r="I948">
        <v>27</v>
      </c>
      <c r="J948">
        <v>162.96</v>
      </c>
      <c r="K948" t="s">
        <v>246</v>
      </c>
      <c r="L948">
        <v>52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 s="8">
        <v>52</v>
      </c>
      <c r="V948" s="8">
        <f t="shared" si="29"/>
        <v>5</v>
      </c>
      <c r="W948" t="str">
        <f>_xlfn.XLOOKUP(A948, Matches!A:A, Matches!L:L, "NA", 0)</f>
        <v>RCBW</v>
      </c>
      <c r="X948" t="str">
        <f>_xlfn.XLOOKUP(A948, Matches!A:A, Matches!J:J, "NA", 0)</f>
        <v>DCW</v>
      </c>
      <c r="Y948" t="str">
        <f>_xlfn.XLOOKUP(A948, Matches!A:A, Matches!F:F, "NA", 0)</f>
        <v>Arun Jaitley Stadium</v>
      </c>
      <c r="Z948" cm="1">
        <f t="array" ref="Z948">INDEX(Innings!F:F,MATCH(1,(TRIM(Innings!A:A)=TRIM(A948))*(TRIM(Innings!D:D)=TRIM(E948)),0))</f>
        <v>113</v>
      </c>
      <c r="AA948" cm="1">
        <f t="array" ref="AA948">INDEX(Innings!I:I,MATCH(1,(TRIM(Innings!A:A)=TRIM(A948))*(TRIM(Innings!D:D)=TRIM(E948)),0))</f>
        <v>6.11</v>
      </c>
      <c r="AB948" cm="1">
        <f t="array" ref="AB948">INDEX(Innings!J:J,MATCH(1,(TRIM(Innings!A:A)=TRIM(A948))*(TRIM(Innings!D:D)=TRIM(E948)),0))</f>
        <v>61</v>
      </c>
      <c r="AC948" cm="1">
        <f t="array" ref="AC948">INDEX(Innings!N:N,MATCH(1,(TRIM(Innings!A:A)=TRIM(A948))*(TRIM(Innings!D:D)=TRIM(E948)),0))</f>
        <v>13</v>
      </c>
      <c r="AD948" cm="1">
        <f t="array" ref="AD948">INDEX(Innings!S:S,MATCH(1,(TRIM(Innings!A:A)=TRIM(A948))*(TRIM(Innings!D:D)=TRIM(E948)),0))</f>
        <v>46</v>
      </c>
      <c r="AE948" t="str" cm="1">
        <f t="array" ref="AE948">INDEX(Innings!W:W,MATCH(1,(TRIM(Innings!A:A)=TRIM(A948))*(TRIM(Innings!D:D)=TRIM(E948)),0))</f>
        <v>NA</v>
      </c>
      <c r="AF948">
        <f>IF(UPPER(TRIM(E948))=UPPER(TRIM(W948)),1,0)</f>
        <v>0</v>
      </c>
      <c r="AG948">
        <f t="shared" si="28"/>
        <v>27.5</v>
      </c>
    </row>
    <row r="949" spans="1:33" x14ac:dyDescent="0.3">
      <c r="A949" t="s">
        <v>444</v>
      </c>
      <c r="B949">
        <v>2</v>
      </c>
      <c r="C949" t="s">
        <v>194</v>
      </c>
      <c r="D949" t="s">
        <v>195</v>
      </c>
      <c r="E949" t="s">
        <v>158</v>
      </c>
      <c r="F949" t="s">
        <v>109</v>
      </c>
      <c r="G949" t="s">
        <v>92</v>
      </c>
      <c r="H949">
        <v>0</v>
      </c>
      <c r="I949">
        <v>2</v>
      </c>
      <c r="J949">
        <v>0</v>
      </c>
      <c r="K949" t="s">
        <v>245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 s="8">
        <v>0</v>
      </c>
      <c r="V949" s="8">
        <f t="shared" si="29"/>
        <v>0</v>
      </c>
      <c r="W949" t="str">
        <f>_xlfn.XLOOKUP(A949, Matches!A:A, Matches!L:L, "NA", 0)</f>
        <v>RCBW</v>
      </c>
      <c r="X949" t="str">
        <f>_xlfn.XLOOKUP(A949, Matches!A:A, Matches!J:J, "NA", 0)</f>
        <v>DCW</v>
      </c>
      <c r="Y949" t="str">
        <f>_xlfn.XLOOKUP(A949, Matches!A:A, Matches!F:F, "NA", 0)</f>
        <v>Arun Jaitley Stadium</v>
      </c>
      <c r="Z949" cm="1">
        <f t="array" ref="Z949">INDEX(Innings!F:F,MATCH(1,(TRIM(Innings!A:A)=TRIM(A949))*(TRIM(Innings!D:D)=TRIM(E949)),0))</f>
        <v>113</v>
      </c>
      <c r="AA949" cm="1">
        <f t="array" ref="AA949">INDEX(Innings!I:I,MATCH(1,(TRIM(Innings!A:A)=TRIM(A949))*(TRIM(Innings!D:D)=TRIM(E949)),0))</f>
        <v>6.11</v>
      </c>
      <c r="AB949" cm="1">
        <f t="array" ref="AB949">INDEX(Innings!J:J,MATCH(1,(TRIM(Innings!A:A)=TRIM(A949))*(TRIM(Innings!D:D)=TRIM(E949)),0))</f>
        <v>61</v>
      </c>
      <c r="AC949" cm="1">
        <f t="array" ref="AC949">INDEX(Innings!N:N,MATCH(1,(TRIM(Innings!A:A)=TRIM(A949))*(TRIM(Innings!D:D)=TRIM(E949)),0))</f>
        <v>13</v>
      </c>
      <c r="AD949" cm="1">
        <f t="array" ref="AD949">INDEX(Innings!S:S,MATCH(1,(TRIM(Innings!A:A)=TRIM(A949))*(TRIM(Innings!D:D)=TRIM(E949)),0))</f>
        <v>46</v>
      </c>
      <c r="AE949" t="str" cm="1">
        <f t="array" ref="AE949">INDEX(Innings!W:W,MATCH(1,(TRIM(Innings!A:A)=TRIM(A949))*(TRIM(Innings!D:D)=TRIM(E949)),0))</f>
        <v>NA</v>
      </c>
      <c r="AF949">
        <f>IF(UPPER(TRIM(E949))=UPPER(TRIM(W949)),1,0)</f>
        <v>0</v>
      </c>
      <c r="AG949">
        <f t="shared" si="28"/>
        <v>0</v>
      </c>
    </row>
    <row r="950" spans="1:33" x14ac:dyDescent="0.3">
      <c r="A950" t="s">
        <v>444</v>
      </c>
      <c r="B950">
        <v>2</v>
      </c>
      <c r="C950" t="s">
        <v>196</v>
      </c>
      <c r="D950" t="s">
        <v>197</v>
      </c>
      <c r="E950" t="s">
        <v>158</v>
      </c>
      <c r="F950" t="s">
        <v>109</v>
      </c>
      <c r="G950" t="s">
        <v>92</v>
      </c>
      <c r="H950">
        <v>0</v>
      </c>
      <c r="I950">
        <v>1</v>
      </c>
      <c r="J950">
        <v>0</v>
      </c>
      <c r="K950" t="s">
        <v>245</v>
      </c>
      <c r="L950">
        <v>0</v>
      </c>
      <c r="M950">
        <v>3</v>
      </c>
      <c r="N950">
        <v>0</v>
      </c>
      <c r="O950">
        <v>13</v>
      </c>
      <c r="P950">
        <v>0</v>
      </c>
      <c r="Q950">
        <v>4.3</v>
      </c>
      <c r="R950">
        <v>6.5</v>
      </c>
      <c r="S950">
        <v>0</v>
      </c>
      <c r="T950">
        <v>0</v>
      </c>
      <c r="U950" s="8">
        <v>6.5</v>
      </c>
      <c r="V950" s="8">
        <f t="shared" si="29"/>
        <v>1</v>
      </c>
      <c r="W950" t="str">
        <f>_xlfn.XLOOKUP(A950, Matches!A:A, Matches!L:L, "NA", 0)</f>
        <v>RCBW</v>
      </c>
      <c r="X950" t="str">
        <f>_xlfn.XLOOKUP(A950, Matches!A:A, Matches!J:J, "NA", 0)</f>
        <v>DCW</v>
      </c>
      <c r="Y950" t="str">
        <f>_xlfn.XLOOKUP(A950, Matches!A:A, Matches!F:F, "NA", 0)</f>
        <v>Arun Jaitley Stadium</v>
      </c>
      <c r="Z950" cm="1">
        <f t="array" ref="Z950">INDEX(Innings!F:F,MATCH(1,(TRIM(Innings!A:A)=TRIM(A950))*(TRIM(Innings!D:D)=TRIM(E950)),0))</f>
        <v>113</v>
      </c>
      <c r="AA950" cm="1">
        <f t="array" ref="AA950">INDEX(Innings!I:I,MATCH(1,(TRIM(Innings!A:A)=TRIM(A950))*(TRIM(Innings!D:D)=TRIM(E950)),0))</f>
        <v>6.11</v>
      </c>
      <c r="AB950" cm="1">
        <f t="array" ref="AB950">INDEX(Innings!J:J,MATCH(1,(TRIM(Innings!A:A)=TRIM(A950))*(TRIM(Innings!D:D)=TRIM(E950)),0))</f>
        <v>61</v>
      </c>
      <c r="AC950" cm="1">
        <f t="array" ref="AC950">INDEX(Innings!N:N,MATCH(1,(TRIM(Innings!A:A)=TRIM(A950))*(TRIM(Innings!D:D)=TRIM(E950)),0))</f>
        <v>13</v>
      </c>
      <c r="AD950" cm="1">
        <f t="array" ref="AD950">INDEX(Innings!S:S,MATCH(1,(TRIM(Innings!A:A)=TRIM(A950))*(TRIM(Innings!D:D)=TRIM(E950)),0))</f>
        <v>46</v>
      </c>
      <c r="AE950" t="str" cm="1">
        <f t="array" ref="AE950">INDEX(Innings!W:W,MATCH(1,(TRIM(Innings!A:A)=TRIM(A950))*(TRIM(Innings!D:D)=TRIM(E950)),0))</f>
        <v>NA</v>
      </c>
      <c r="AF950">
        <f>IF(UPPER(TRIM(E950))=UPPER(TRIM(W950)),1,0)</f>
        <v>0</v>
      </c>
      <c r="AG950">
        <f t="shared" si="28"/>
        <v>3.55</v>
      </c>
    </row>
    <row r="951" spans="1:33" x14ac:dyDescent="0.3">
      <c r="A951" t="s">
        <v>444</v>
      </c>
      <c r="B951">
        <v>2</v>
      </c>
      <c r="C951" t="s">
        <v>192</v>
      </c>
      <c r="D951" t="s">
        <v>193</v>
      </c>
      <c r="E951" t="s">
        <v>158</v>
      </c>
      <c r="F951" t="s">
        <v>169</v>
      </c>
      <c r="G951" t="s">
        <v>134</v>
      </c>
      <c r="H951">
        <v>8</v>
      </c>
      <c r="I951">
        <v>16</v>
      </c>
      <c r="J951">
        <v>50</v>
      </c>
      <c r="K951" t="s">
        <v>246</v>
      </c>
      <c r="L951">
        <v>1</v>
      </c>
      <c r="M951">
        <v>4</v>
      </c>
      <c r="N951">
        <v>0</v>
      </c>
      <c r="O951">
        <v>20</v>
      </c>
      <c r="P951">
        <v>0</v>
      </c>
      <c r="Q951">
        <v>5</v>
      </c>
      <c r="R951">
        <v>0</v>
      </c>
      <c r="S951">
        <v>0</v>
      </c>
      <c r="T951">
        <v>0</v>
      </c>
      <c r="U951" s="8">
        <v>1</v>
      </c>
      <c r="V951" s="8">
        <f t="shared" si="29"/>
        <v>0</v>
      </c>
      <c r="W951" t="str">
        <f>_xlfn.XLOOKUP(A951, Matches!A:A, Matches!L:L, "NA", 0)</f>
        <v>RCBW</v>
      </c>
      <c r="X951" t="str">
        <f>_xlfn.XLOOKUP(A951, Matches!A:A, Matches!J:J, "NA", 0)</f>
        <v>DCW</v>
      </c>
      <c r="Y951" t="str">
        <f>_xlfn.XLOOKUP(A951, Matches!A:A, Matches!F:F, "NA", 0)</f>
        <v>Arun Jaitley Stadium</v>
      </c>
      <c r="Z951" cm="1">
        <f t="array" ref="Z951">INDEX(Innings!F:F,MATCH(1,(TRIM(Innings!A:A)=TRIM(A951))*(TRIM(Innings!D:D)=TRIM(E951)),0))</f>
        <v>113</v>
      </c>
      <c r="AA951" cm="1">
        <f t="array" ref="AA951">INDEX(Innings!I:I,MATCH(1,(TRIM(Innings!A:A)=TRIM(A951))*(TRIM(Innings!D:D)=TRIM(E951)),0))</f>
        <v>6.11</v>
      </c>
      <c r="AB951" cm="1">
        <f t="array" ref="AB951">INDEX(Innings!J:J,MATCH(1,(TRIM(Innings!A:A)=TRIM(A951))*(TRIM(Innings!D:D)=TRIM(E951)),0))</f>
        <v>61</v>
      </c>
      <c r="AC951" cm="1">
        <f t="array" ref="AC951">INDEX(Innings!N:N,MATCH(1,(TRIM(Innings!A:A)=TRIM(A951))*(TRIM(Innings!D:D)=TRIM(E951)),0))</f>
        <v>13</v>
      </c>
      <c r="AD951" cm="1">
        <f t="array" ref="AD951">INDEX(Innings!S:S,MATCH(1,(TRIM(Innings!A:A)=TRIM(A951))*(TRIM(Innings!D:D)=TRIM(E951)),0))</f>
        <v>46</v>
      </c>
      <c r="AE951" t="str" cm="1">
        <f t="array" ref="AE951">INDEX(Innings!W:W,MATCH(1,(TRIM(Innings!A:A)=TRIM(A951))*(TRIM(Innings!D:D)=TRIM(E951)),0))</f>
        <v>NA</v>
      </c>
      <c r="AF951">
        <f>IF(UPPER(TRIM(E951))=UPPER(TRIM(W951)),1,0)</f>
        <v>0</v>
      </c>
      <c r="AG951">
        <f t="shared" si="28"/>
        <v>0.5</v>
      </c>
    </row>
    <row r="952" spans="1:33" x14ac:dyDescent="0.3">
      <c r="A952" t="s">
        <v>444</v>
      </c>
      <c r="B952">
        <v>2</v>
      </c>
      <c r="C952" t="s">
        <v>198</v>
      </c>
      <c r="D952" t="s">
        <v>199</v>
      </c>
      <c r="E952" t="s">
        <v>158</v>
      </c>
      <c r="F952" t="s">
        <v>101</v>
      </c>
      <c r="G952" t="s">
        <v>134</v>
      </c>
      <c r="H952">
        <v>3</v>
      </c>
      <c r="I952">
        <v>11</v>
      </c>
      <c r="J952">
        <v>27.27</v>
      </c>
      <c r="K952" t="s">
        <v>246</v>
      </c>
      <c r="L952">
        <v>-2</v>
      </c>
      <c r="M952">
        <v>2</v>
      </c>
      <c r="N952">
        <v>0</v>
      </c>
      <c r="O952">
        <v>15</v>
      </c>
      <c r="P952">
        <v>0</v>
      </c>
      <c r="Q952">
        <v>7.5</v>
      </c>
      <c r="R952">
        <v>0</v>
      </c>
      <c r="S952">
        <v>0</v>
      </c>
      <c r="T952">
        <v>0</v>
      </c>
      <c r="U952" s="8">
        <v>-2</v>
      </c>
      <c r="V952" s="8">
        <f t="shared" si="29"/>
        <v>0</v>
      </c>
      <c r="W952" t="str">
        <f>_xlfn.XLOOKUP(A952, Matches!A:A, Matches!L:L, "NA", 0)</f>
        <v>RCBW</v>
      </c>
      <c r="X952" t="str">
        <f>_xlfn.XLOOKUP(A952, Matches!A:A, Matches!J:J, "NA", 0)</f>
        <v>DCW</v>
      </c>
      <c r="Y952" t="str">
        <f>_xlfn.XLOOKUP(A952, Matches!A:A, Matches!F:F, "NA", 0)</f>
        <v>Arun Jaitley Stadium</v>
      </c>
      <c r="Z952" cm="1">
        <f t="array" ref="Z952">INDEX(Innings!F:F,MATCH(1,(TRIM(Innings!A:A)=TRIM(A952))*(TRIM(Innings!D:D)=TRIM(E952)),0))</f>
        <v>113</v>
      </c>
      <c r="AA952" cm="1">
        <f t="array" ref="AA952">INDEX(Innings!I:I,MATCH(1,(TRIM(Innings!A:A)=TRIM(A952))*(TRIM(Innings!D:D)=TRIM(E952)),0))</f>
        <v>6.11</v>
      </c>
      <c r="AB952" cm="1">
        <f t="array" ref="AB952">INDEX(Innings!J:J,MATCH(1,(TRIM(Innings!A:A)=TRIM(A952))*(TRIM(Innings!D:D)=TRIM(E952)),0))</f>
        <v>61</v>
      </c>
      <c r="AC952" cm="1">
        <f t="array" ref="AC952">INDEX(Innings!N:N,MATCH(1,(TRIM(Innings!A:A)=TRIM(A952))*(TRIM(Innings!D:D)=TRIM(E952)),0))</f>
        <v>13</v>
      </c>
      <c r="AD952" cm="1">
        <f t="array" ref="AD952">INDEX(Innings!S:S,MATCH(1,(TRIM(Innings!A:A)=TRIM(A952))*(TRIM(Innings!D:D)=TRIM(E952)),0))</f>
        <v>46</v>
      </c>
      <c r="AE952" t="str" cm="1">
        <f t="array" ref="AE952">INDEX(Innings!W:W,MATCH(1,(TRIM(Innings!A:A)=TRIM(A952))*(TRIM(Innings!D:D)=TRIM(E952)),0))</f>
        <v>NA</v>
      </c>
      <c r="AF952">
        <f>IF(UPPER(TRIM(E952))=UPPER(TRIM(W952)),1,0)</f>
        <v>0</v>
      </c>
      <c r="AG952">
        <f t="shared" si="28"/>
        <v>0</v>
      </c>
    </row>
    <row r="953" spans="1:33" x14ac:dyDescent="0.3">
      <c r="A953" t="s">
        <v>444</v>
      </c>
      <c r="B953">
        <v>2</v>
      </c>
      <c r="C953" t="s">
        <v>206</v>
      </c>
      <c r="D953" t="s">
        <v>207</v>
      </c>
      <c r="E953" t="s">
        <v>158</v>
      </c>
      <c r="F953" t="s">
        <v>101</v>
      </c>
      <c r="G953" t="s">
        <v>134</v>
      </c>
      <c r="H953">
        <v>12</v>
      </c>
      <c r="I953">
        <v>9</v>
      </c>
      <c r="J953">
        <v>133.33000000000001</v>
      </c>
      <c r="K953" t="s">
        <v>256</v>
      </c>
      <c r="L953">
        <v>14</v>
      </c>
      <c r="M953">
        <v>1</v>
      </c>
      <c r="N953">
        <v>0</v>
      </c>
      <c r="O953">
        <v>18</v>
      </c>
      <c r="P953">
        <v>0</v>
      </c>
      <c r="Q953">
        <v>18</v>
      </c>
      <c r="R953">
        <v>0</v>
      </c>
      <c r="S953">
        <v>0</v>
      </c>
      <c r="T953">
        <v>0</v>
      </c>
      <c r="U953" s="8">
        <v>14</v>
      </c>
      <c r="V953" s="8">
        <f t="shared" si="29"/>
        <v>1</v>
      </c>
      <c r="W953" t="str">
        <f>_xlfn.XLOOKUP(A953, Matches!A:A, Matches!L:L, "NA", 0)</f>
        <v>RCBW</v>
      </c>
      <c r="X953" t="str">
        <f>_xlfn.XLOOKUP(A953, Matches!A:A, Matches!J:J, "NA", 0)</f>
        <v>DCW</v>
      </c>
      <c r="Y953" t="str">
        <f>_xlfn.XLOOKUP(A953, Matches!A:A, Matches!F:F, "NA", 0)</f>
        <v>Arun Jaitley Stadium</v>
      </c>
      <c r="Z953" cm="1">
        <f t="array" ref="Z953">INDEX(Innings!F:F,MATCH(1,(TRIM(Innings!A:A)=TRIM(A953))*(TRIM(Innings!D:D)=TRIM(E953)),0))</f>
        <v>113</v>
      </c>
      <c r="AA953" cm="1">
        <f t="array" ref="AA953">INDEX(Innings!I:I,MATCH(1,(TRIM(Innings!A:A)=TRIM(A953))*(TRIM(Innings!D:D)=TRIM(E953)),0))</f>
        <v>6.11</v>
      </c>
      <c r="AB953" cm="1">
        <f t="array" ref="AB953">INDEX(Innings!J:J,MATCH(1,(TRIM(Innings!A:A)=TRIM(A953))*(TRIM(Innings!D:D)=TRIM(E953)),0))</f>
        <v>61</v>
      </c>
      <c r="AC953" cm="1">
        <f t="array" ref="AC953">INDEX(Innings!N:N,MATCH(1,(TRIM(Innings!A:A)=TRIM(A953))*(TRIM(Innings!D:D)=TRIM(E953)),0))</f>
        <v>13</v>
      </c>
      <c r="AD953" cm="1">
        <f t="array" ref="AD953">INDEX(Innings!S:S,MATCH(1,(TRIM(Innings!A:A)=TRIM(A953))*(TRIM(Innings!D:D)=TRIM(E953)),0))</f>
        <v>46</v>
      </c>
      <c r="AE953" t="str" cm="1">
        <f t="array" ref="AE953">INDEX(Innings!W:W,MATCH(1,(TRIM(Innings!A:A)=TRIM(A953))*(TRIM(Innings!D:D)=TRIM(E953)),0))</f>
        <v>NA</v>
      </c>
      <c r="AF953">
        <f>IF(UPPER(TRIM(E953))=UPPER(TRIM(W953)),1,0)</f>
        <v>0</v>
      </c>
      <c r="AG953">
        <f t="shared" si="28"/>
        <v>7.3</v>
      </c>
    </row>
    <row r="954" spans="1:33" x14ac:dyDescent="0.3">
      <c r="A954" t="s">
        <v>444</v>
      </c>
      <c r="B954">
        <v>2</v>
      </c>
      <c r="C954" t="s">
        <v>274</v>
      </c>
      <c r="D954" t="s">
        <v>284</v>
      </c>
      <c r="E954" t="s">
        <v>158</v>
      </c>
      <c r="F954" t="s">
        <v>83</v>
      </c>
      <c r="G954" t="s">
        <v>134</v>
      </c>
      <c r="H954">
        <v>5</v>
      </c>
      <c r="I954">
        <v>3</v>
      </c>
      <c r="J954">
        <v>166.67</v>
      </c>
      <c r="K954" t="s">
        <v>247</v>
      </c>
      <c r="L954">
        <v>9</v>
      </c>
      <c r="M954">
        <v>2</v>
      </c>
      <c r="N954">
        <v>0</v>
      </c>
      <c r="O954">
        <v>12</v>
      </c>
      <c r="P954">
        <v>1</v>
      </c>
      <c r="Q954">
        <v>6</v>
      </c>
      <c r="R954">
        <v>25</v>
      </c>
      <c r="S954">
        <v>0</v>
      </c>
      <c r="T954">
        <v>0</v>
      </c>
      <c r="U954" s="8">
        <v>34</v>
      </c>
      <c r="V954" s="8">
        <f t="shared" si="29"/>
        <v>3</v>
      </c>
      <c r="W954" t="str">
        <f>_xlfn.XLOOKUP(A954, Matches!A:A, Matches!L:L, "NA", 0)</f>
        <v>RCBW</v>
      </c>
      <c r="X954" t="str">
        <f>_xlfn.XLOOKUP(A954, Matches!A:A, Matches!J:J, "NA", 0)</f>
        <v>DCW</v>
      </c>
      <c r="Y954" t="str">
        <f>_xlfn.XLOOKUP(A954, Matches!A:A, Matches!F:F, "NA", 0)</f>
        <v>Arun Jaitley Stadium</v>
      </c>
      <c r="Z954" cm="1">
        <f t="array" ref="Z954">INDEX(Innings!F:F,MATCH(1,(TRIM(Innings!A:A)=TRIM(A954))*(TRIM(Innings!D:D)=TRIM(E954)),0))</f>
        <v>113</v>
      </c>
      <c r="AA954" cm="1">
        <f t="array" ref="AA954">INDEX(Innings!I:I,MATCH(1,(TRIM(Innings!A:A)=TRIM(A954))*(TRIM(Innings!D:D)=TRIM(E954)),0))</f>
        <v>6.11</v>
      </c>
      <c r="AB954" cm="1">
        <f t="array" ref="AB954">INDEX(Innings!J:J,MATCH(1,(TRIM(Innings!A:A)=TRIM(A954))*(TRIM(Innings!D:D)=TRIM(E954)),0))</f>
        <v>61</v>
      </c>
      <c r="AC954" cm="1">
        <f t="array" ref="AC954">INDEX(Innings!N:N,MATCH(1,(TRIM(Innings!A:A)=TRIM(A954))*(TRIM(Innings!D:D)=TRIM(E954)),0))</f>
        <v>13</v>
      </c>
      <c r="AD954" cm="1">
        <f t="array" ref="AD954">INDEX(Innings!S:S,MATCH(1,(TRIM(Innings!A:A)=TRIM(A954))*(TRIM(Innings!D:D)=TRIM(E954)),0))</f>
        <v>46</v>
      </c>
      <c r="AE954" t="str" cm="1">
        <f t="array" ref="AE954">INDEX(Innings!W:W,MATCH(1,(TRIM(Innings!A:A)=TRIM(A954))*(TRIM(Innings!D:D)=TRIM(E954)),0))</f>
        <v>NA</v>
      </c>
      <c r="AF954">
        <f>IF(UPPER(TRIM(E954))=UPPER(TRIM(W954)),1,0)</f>
        <v>0</v>
      </c>
      <c r="AG954">
        <f t="shared" si="28"/>
        <v>17.899999999999999</v>
      </c>
    </row>
    <row r="955" spans="1:33" x14ac:dyDescent="0.3">
      <c r="A955" t="s">
        <v>444</v>
      </c>
      <c r="B955">
        <v>2</v>
      </c>
      <c r="C955" t="s">
        <v>202</v>
      </c>
      <c r="D955" t="s">
        <v>203</v>
      </c>
      <c r="E955" t="s">
        <v>158</v>
      </c>
      <c r="F955" t="s">
        <v>101</v>
      </c>
      <c r="G955" t="s">
        <v>135</v>
      </c>
      <c r="H955">
        <v>10</v>
      </c>
      <c r="I955">
        <v>13</v>
      </c>
      <c r="J955">
        <v>76.92</v>
      </c>
      <c r="K955" t="s">
        <v>245</v>
      </c>
      <c r="L955">
        <v>5</v>
      </c>
      <c r="M955">
        <v>3.3</v>
      </c>
      <c r="N955">
        <v>0</v>
      </c>
      <c r="O955">
        <v>26</v>
      </c>
      <c r="P955">
        <v>0</v>
      </c>
      <c r="Q955">
        <v>7.4</v>
      </c>
      <c r="R955">
        <v>0</v>
      </c>
      <c r="S955">
        <v>0</v>
      </c>
      <c r="T955">
        <v>0</v>
      </c>
      <c r="U955" s="8">
        <v>5</v>
      </c>
      <c r="V955" s="8">
        <f t="shared" si="29"/>
        <v>1</v>
      </c>
      <c r="W955" t="str">
        <f>_xlfn.XLOOKUP(A955, Matches!A:A, Matches!L:L, "NA", 0)</f>
        <v>RCBW</v>
      </c>
      <c r="X955" t="str">
        <f>_xlfn.XLOOKUP(A955, Matches!A:A, Matches!J:J, "NA", 0)</f>
        <v>DCW</v>
      </c>
      <c r="Y955" t="str">
        <f>_xlfn.XLOOKUP(A955, Matches!A:A, Matches!F:F, "NA", 0)</f>
        <v>Arun Jaitley Stadium</v>
      </c>
      <c r="Z955" cm="1">
        <f t="array" ref="Z955">INDEX(Innings!F:F,MATCH(1,(TRIM(Innings!A:A)=TRIM(A955))*(TRIM(Innings!D:D)=TRIM(E955)),0))</f>
        <v>113</v>
      </c>
      <c r="AA955" cm="1">
        <f t="array" ref="AA955">INDEX(Innings!I:I,MATCH(1,(TRIM(Innings!A:A)=TRIM(A955))*(TRIM(Innings!D:D)=TRIM(E955)),0))</f>
        <v>6.11</v>
      </c>
      <c r="AB955" cm="1">
        <f t="array" ref="AB955">INDEX(Innings!J:J,MATCH(1,(TRIM(Innings!A:A)=TRIM(A955))*(TRIM(Innings!D:D)=TRIM(E955)),0))</f>
        <v>61</v>
      </c>
      <c r="AC955" cm="1">
        <f t="array" ref="AC955">INDEX(Innings!N:N,MATCH(1,(TRIM(Innings!A:A)=TRIM(A955))*(TRIM(Innings!D:D)=TRIM(E955)),0))</f>
        <v>13</v>
      </c>
      <c r="AD955" cm="1">
        <f t="array" ref="AD955">INDEX(Innings!S:S,MATCH(1,(TRIM(Innings!A:A)=TRIM(A955))*(TRIM(Innings!D:D)=TRIM(E955)),0))</f>
        <v>46</v>
      </c>
      <c r="AE955" t="str" cm="1">
        <f t="array" ref="AE955">INDEX(Innings!W:W,MATCH(1,(TRIM(Innings!A:A)=TRIM(A955))*(TRIM(Innings!D:D)=TRIM(E955)),0))</f>
        <v>NA</v>
      </c>
      <c r="AF955">
        <f>IF(UPPER(TRIM(E955))=UPPER(TRIM(W955)),1,0)</f>
        <v>0</v>
      </c>
      <c r="AG955">
        <f t="shared" si="28"/>
        <v>2.8</v>
      </c>
    </row>
    <row r="956" spans="1:33" x14ac:dyDescent="0.3">
      <c r="A956" t="s">
        <v>444</v>
      </c>
      <c r="B956">
        <v>2</v>
      </c>
      <c r="C956" t="s">
        <v>204</v>
      </c>
      <c r="D956" t="s">
        <v>205</v>
      </c>
      <c r="E956" t="s">
        <v>158</v>
      </c>
      <c r="F956" t="s">
        <v>91</v>
      </c>
      <c r="G956" t="s">
        <v>135</v>
      </c>
      <c r="H956">
        <v>5</v>
      </c>
      <c r="I956">
        <v>5</v>
      </c>
      <c r="J956">
        <v>100</v>
      </c>
      <c r="K956" t="s">
        <v>96</v>
      </c>
      <c r="L956">
        <v>5</v>
      </c>
      <c r="M956">
        <v>4</v>
      </c>
      <c r="N956">
        <v>0</v>
      </c>
      <c r="O956">
        <v>11</v>
      </c>
      <c r="P956">
        <v>1</v>
      </c>
      <c r="Q956">
        <v>2.8</v>
      </c>
      <c r="R956">
        <v>30</v>
      </c>
      <c r="S956">
        <v>0</v>
      </c>
      <c r="T956">
        <v>0</v>
      </c>
      <c r="U956" s="8">
        <v>35</v>
      </c>
      <c r="V956" s="8">
        <f t="shared" si="29"/>
        <v>4</v>
      </c>
      <c r="W956" t="str">
        <f>_xlfn.XLOOKUP(A956, Matches!A:A, Matches!L:L, "NA", 0)</f>
        <v>RCBW</v>
      </c>
      <c r="X956" t="str">
        <f>_xlfn.XLOOKUP(A956, Matches!A:A, Matches!J:J, "NA", 0)</f>
        <v>DCW</v>
      </c>
      <c r="Y956" t="str">
        <f>_xlfn.XLOOKUP(A956, Matches!A:A, Matches!F:F, "NA", 0)</f>
        <v>Arun Jaitley Stadium</v>
      </c>
      <c r="Z956" cm="1">
        <f t="array" ref="Z956">INDEX(Innings!F:F,MATCH(1,(TRIM(Innings!A:A)=TRIM(A956))*(TRIM(Innings!D:D)=TRIM(E956)),0))</f>
        <v>113</v>
      </c>
      <c r="AA956" cm="1">
        <f t="array" ref="AA956">INDEX(Innings!I:I,MATCH(1,(TRIM(Innings!A:A)=TRIM(A956))*(TRIM(Innings!D:D)=TRIM(E956)),0))</f>
        <v>6.11</v>
      </c>
      <c r="AB956" cm="1">
        <f t="array" ref="AB956">INDEX(Innings!J:J,MATCH(1,(TRIM(Innings!A:A)=TRIM(A956))*(TRIM(Innings!D:D)=TRIM(E956)),0))</f>
        <v>61</v>
      </c>
      <c r="AC956" cm="1">
        <f t="array" ref="AC956">INDEX(Innings!N:N,MATCH(1,(TRIM(Innings!A:A)=TRIM(A956))*(TRIM(Innings!D:D)=TRIM(E956)),0))</f>
        <v>13</v>
      </c>
      <c r="AD956" cm="1">
        <f t="array" ref="AD956">INDEX(Innings!S:S,MATCH(1,(TRIM(Innings!A:A)=TRIM(A956))*(TRIM(Innings!D:D)=TRIM(E956)),0))</f>
        <v>46</v>
      </c>
      <c r="AE956" t="str" cm="1">
        <f t="array" ref="AE956">INDEX(Innings!W:W,MATCH(1,(TRIM(Innings!A:A)=TRIM(A956))*(TRIM(Innings!D:D)=TRIM(E956)),0))</f>
        <v>NA</v>
      </c>
      <c r="AF956">
        <f>IF(UPPER(TRIM(E956))=UPPER(TRIM(W956)),1,0)</f>
        <v>0</v>
      </c>
      <c r="AG956">
        <f t="shared" si="28"/>
        <v>18.7</v>
      </c>
    </row>
    <row r="957" spans="1:33" x14ac:dyDescent="0.3">
      <c r="A957" t="s">
        <v>444</v>
      </c>
      <c r="B957">
        <v>2</v>
      </c>
      <c r="C957" t="s">
        <v>200</v>
      </c>
      <c r="D957" t="s">
        <v>201</v>
      </c>
      <c r="E957" t="s">
        <v>158</v>
      </c>
      <c r="F957" t="s">
        <v>85</v>
      </c>
      <c r="G957" t="s">
        <v>135</v>
      </c>
      <c r="H957">
        <v>0</v>
      </c>
      <c r="I957">
        <v>1</v>
      </c>
      <c r="J957">
        <v>0</v>
      </c>
      <c r="K957" t="s">
        <v>246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 s="8">
        <v>0</v>
      </c>
      <c r="V957" s="8">
        <f t="shared" si="29"/>
        <v>0</v>
      </c>
      <c r="W957" t="str">
        <f>_xlfn.XLOOKUP(A957, Matches!A:A, Matches!L:L, "NA", 0)</f>
        <v>RCBW</v>
      </c>
      <c r="X957" t="str">
        <f>_xlfn.XLOOKUP(A957, Matches!A:A, Matches!J:J, "NA", 0)</f>
        <v>DCW</v>
      </c>
      <c r="Y957" t="str">
        <f>_xlfn.XLOOKUP(A957, Matches!A:A, Matches!F:F, "NA", 0)</f>
        <v>Arun Jaitley Stadium</v>
      </c>
      <c r="Z957" cm="1">
        <f t="array" ref="Z957">INDEX(Innings!F:F,MATCH(1,(TRIM(Innings!A:A)=TRIM(A957))*(TRIM(Innings!D:D)=TRIM(E957)),0))</f>
        <v>113</v>
      </c>
      <c r="AA957" cm="1">
        <f t="array" ref="AA957">INDEX(Innings!I:I,MATCH(1,(TRIM(Innings!A:A)=TRIM(A957))*(TRIM(Innings!D:D)=TRIM(E957)),0))</f>
        <v>6.11</v>
      </c>
      <c r="AB957" cm="1">
        <f t="array" ref="AB957">INDEX(Innings!J:J,MATCH(1,(TRIM(Innings!A:A)=TRIM(A957))*(TRIM(Innings!D:D)=TRIM(E957)),0))</f>
        <v>61</v>
      </c>
      <c r="AC957" cm="1">
        <f t="array" ref="AC957">INDEX(Innings!N:N,MATCH(1,(TRIM(Innings!A:A)=TRIM(A957))*(TRIM(Innings!D:D)=TRIM(E957)),0))</f>
        <v>13</v>
      </c>
      <c r="AD957" cm="1">
        <f t="array" ref="AD957">INDEX(Innings!S:S,MATCH(1,(TRIM(Innings!A:A)=TRIM(A957))*(TRIM(Innings!D:D)=TRIM(E957)),0))</f>
        <v>46</v>
      </c>
      <c r="AE957" t="str" cm="1">
        <f t="array" ref="AE957">INDEX(Innings!W:W,MATCH(1,(TRIM(Innings!A:A)=TRIM(A957))*(TRIM(Innings!D:D)=TRIM(E957)),0))</f>
        <v>NA</v>
      </c>
      <c r="AF957">
        <f>IF(UPPER(TRIM(E957))=UPPER(TRIM(W957)),1,0)</f>
        <v>0</v>
      </c>
      <c r="AG957">
        <f t="shared" si="28"/>
        <v>0</v>
      </c>
    </row>
    <row r="958" spans="1:33" x14ac:dyDescent="0.3">
      <c r="A958" t="s">
        <v>444</v>
      </c>
      <c r="B958">
        <v>2</v>
      </c>
      <c r="C958" t="s">
        <v>165</v>
      </c>
      <c r="D958" t="s">
        <v>166</v>
      </c>
      <c r="E958" t="s">
        <v>159</v>
      </c>
      <c r="F958" t="s">
        <v>109</v>
      </c>
      <c r="G958" t="s">
        <v>86</v>
      </c>
      <c r="H958">
        <v>31</v>
      </c>
      <c r="I958">
        <v>39</v>
      </c>
      <c r="J958">
        <v>79.489999999999995</v>
      </c>
      <c r="K958" t="s">
        <v>246</v>
      </c>
      <c r="L958">
        <v>25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 s="8">
        <v>25</v>
      </c>
      <c r="V958" s="8">
        <f t="shared" si="29"/>
        <v>3</v>
      </c>
      <c r="W958" t="str">
        <f>_xlfn.XLOOKUP(A958, Matches!A:A, Matches!L:L, "NA", 0)</f>
        <v>RCBW</v>
      </c>
      <c r="X958" t="str">
        <f>_xlfn.XLOOKUP(A958, Matches!A:A, Matches!J:J, "NA", 0)</f>
        <v>DCW</v>
      </c>
      <c r="Y958" t="str">
        <f>_xlfn.XLOOKUP(A958, Matches!A:A, Matches!F:F, "NA", 0)</f>
        <v>Arun Jaitley Stadium</v>
      </c>
      <c r="Z958" cm="1">
        <f t="array" ref="Z958">INDEX(Innings!F:F,MATCH(1,(TRIM(Innings!A:A)=TRIM(A958))*(TRIM(Innings!D:D)=TRIM(E958)),0))</f>
        <v>115</v>
      </c>
      <c r="AA958" cm="1">
        <f t="array" ref="AA958">INDEX(Innings!I:I,MATCH(1,(TRIM(Innings!A:A)=TRIM(A958))*(TRIM(Innings!D:D)=TRIM(E958)),0))</f>
        <v>5.9</v>
      </c>
      <c r="AB958" cm="1">
        <f t="array" ref="AB958">INDEX(Innings!J:J,MATCH(1,(TRIM(Innings!A:A)=TRIM(A958))*(TRIM(Innings!D:D)=TRIM(E958)),0))</f>
        <v>25</v>
      </c>
      <c r="AC958" cm="1">
        <f t="array" ref="AC958">INDEX(Innings!N:N,MATCH(1,(TRIM(Innings!A:A)=TRIM(A958))*(TRIM(Innings!D:D)=TRIM(E958)),0))</f>
        <v>29</v>
      </c>
      <c r="AD958" cm="1">
        <f t="array" ref="AD958">INDEX(Innings!S:S,MATCH(1,(TRIM(Innings!A:A)=TRIM(A958))*(TRIM(Innings!D:D)=TRIM(E958)),0))</f>
        <v>49</v>
      </c>
      <c r="AE958" t="str" cm="1">
        <f t="array" ref="AE958">INDEX(Innings!W:W,MATCH(1,(TRIM(Innings!A:A)=TRIM(A958))*(TRIM(Innings!D:D)=TRIM(E958)),0))</f>
        <v>Successful</v>
      </c>
      <c r="AF958">
        <f>IF(UPPER(TRIM(E958))=UPPER(TRIM(W958)),1,0)</f>
        <v>1</v>
      </c>
      <c r="AG958">
        <f t="shared" si="28"/>
        <v>33.4</v>
      </c>
    </row>
    <row r="959" spans="1:33" x14ac:dyDescent="0.3">
      <c r="A959" t="s">
        <v>444</v>
      </c>
      <c r="B959">
        <v>2</v>
      </c>
      <c r="C959" t="s">
        <v>167</v>
      </c>
      <c r="D959" t="s">
        <v>168</v>
      </c>
      <c r="E959" t="s">
        <v>159</v>
      </c>
      <c r="F959" t="s">
        <v>169</v>
      </c>
      <c r="G959" t="s">
        <v>92</v>
      </c>
      <c r="H959">
        <v>32</v>
      </c>
      <c r="I959">
        <v>27</v>
      </c>
      <c r="J959">
        <v>118.52</v>
      </c>
      <c r="K959" t="s">
        <v>247</v>
      </c>
      <c r="L959">
        <v>33</v>
      </c>
      <c r="M959">
        <v>1</v>
      </c>
      <c r="N959">
        <v>0</v>
      </c>
      <c r="O959">
        <v>9</v>
      </c>
      <c r="P959">
        <v>0</v>
      </c>
      <c r="Q959">
        <v>9</v>
      </c>
      <c r="R959">
        <v>0</v>
      </c>
      <c r="S959">
        <v>0</v>
      </c>
      <c r="T959">
        <v>0</v>
      </c>
      <c r="U959" s="8">
        <v>33</v>
      </c>
      <c r="V959" s="8">
        <f t="shared" si="29"/>
        <v>3</v>
      </c>
      <c r="W959" t="str">
        <f>_xlfn.XLOOKUP(A959, Matches!A:A, Matches!L:L, "NA", 0)</f>
        <v>RCBW</v>
      </c>
      <c r="X959" t="str">
        <f>_xlfn.XLOOKUP(A959, Matches!A:A, Matches!J:J, "NA", 0)</f>
        <v>DCW</v>
      </c>
      <c r="Y959" t="str">
        <f>_xlfn.XLOOKUP(A959, Matches!A:A, Matches!F:F, "NA", 0)</f>
        <v>Arun Jaitley Stadium</v>
      </c>
      <c r="Z959" cm="1">
        <f t="array" ref="Z959">INDEX(Innings!F:F,MATCH(1,(TRIM(Innings!A:A)=TRIM(A959))*(TRIM(Innings!D:D)=TRIM(E959)),0))</f>
        <v>115</v>
      </c>
      <c r="AA959" cm="1">
        <f t="array" ref="AA959">INDEX(Innings!I:I,MATCH(1,(TRIM(Innings!A:A)=TRIM(A959))*(TRIM(Innings!D:D)=TRIM(E959)),0))</f>
        <v>5.9</v>
      </c>
      <c r="AB959" cm="1">
        <f t="array" ref="AB959">INDEX(Innings!J:J,MATCH(1,(TRIM(Innings!A:A)=TRIM(A959))*(TRIM(Innings!D:D)=TRIM(E959)),0))</f>
        <v>25</v>
      </c>
      <c r="AC959" cm="1">
        <f t="array" ref="AC959">INDEX(Innings!N:N,MATCH(1,(TRIM(Innings!A:A)=TRIM(A959))*(TRIM(Innings!D:D)=TRIM(E959)),0))</f>
        <v>29</v>
      </c>
      <c r="AD959" cm="1">
        <f t="array" ref="AD959">INDEX(Innings!S:S,MATCH(1,(TRIM(Innings!A:A)=TRIM(A959))*(TRIM(Innings!D:D)=TRIM(E959)),0))</f>
        <v>49</v>
      </c>
      <c r="AE959" t="str" cm="1">
        <f t="array" ref="AE959">INDEX(Innings!W:W,MATCH(1,(TRIM(Innings!A:A)=TRIM(A959))*(TRIM(Innings!D:D)=TRIM(E959)),0))</f>
        <v>Successful</v>
      </c>
      <c r="AF959">
        <f>IF(UPPER(TRIM(E959))=UPPER(TRIM(W959)),1,0)</f>
        <v>1</v>
      </c>
      <c r="AG959">
        <f t="shared" si="28"/>
        <v>37.4</v>
      </c>
    </row>
    <row r="960" spans="1:33" x14ac:dyDescent="0.3">
      <c r="A960" t="s">
        <v>444</v>
      </c>
      <c r="B960">
        <v>2</v>
      </c>
      <c r="C960" t="s">
        <v>87</v>
      </c>
      <c r="D960" t="s">
        <v>82</v>
      </c>
      <c r="E960" t="s">
        <v>159</v>
      </c>
      <c r="F960" t="s">
        <v>83</v>
      </c>
      <c r="G960" t="s">
        <v>104</v>
      </c>
      <c r="H960">
        <v>0</v>
      </c>
      <c r="I960">
        <v>0</v>
      </c>
      <c r="J960">
        <v>0</v>
      </c>
      <c r="K960" t="s">
        <v>104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 s="8">
        <v>0</v>
      </c>
      <c r="V960" s="8">
        <f t="shared" si="29"/>
        <v>0</v>
      </c>
      <c r="W960" t="str">
        <f>_xlfn.XLOOKUP(A960, Matches!A:A, Matches!L:L, "NA", 0)</f>
        <v>RCBW</v>
      </c>
      <c r="X960" t="str">
        <f>_xlfn.XLOOKUP(A960, Matches!A:A, Matches!J:J, "NA", 0)</f>
        <v>DCW</v>
      </c>
      <c r="Y960" t="str">
        <f>_xlfn.XLOOKUP(A960, Matches!A:A, Matches!F:F, "NA", 0)</f>
        <v>Arun Jaitley Stadium</v>
      </c>
      <c r="Z960" cm="1">
        <f t="array" ref="Z960">INDEX(Innings!F:F,MATCH(1,(TRIM(Innings!A:A)=TRIM(A960))*(TRIM(Innings!D:D)=TRIM(E960)),0))</f>
        <v>115</v>
      </c>
      <c r="AA960" cm="1">
        <f t="array" ref="AA960">INDEX(Innings!I:I,MATCH(1,(TRIM(Innings!A:A)=TRIM(A960))*(TRIM(Innings!D:D)=TRIM(E960)),0))</f>
        <v>5.9</v>
      </c>
      <c r="AB960" cm="1">
        <f t="array" ref="AB960">INDEX(Innings!J:J,MATCH(1,(TRIM(Innings!A:A)=TRIM(A960))*(TRIM(Innings!D:D)=TRIM(E960)),0))</f>
        <v>25</v>
      </c>
      <c r="AC960" cm="1">
        <f t="array" ref="AC960">INDEX(Innings!N:N,MATCH(1,(TRIM(Innings!A:A)=TRIM(A960))*(TRIM(Innings!D:D)=TRIM(E960)),0))</f>
        <v>29</v>
      </c>
      <c r="AD960" cm="1">
        <f t="array" ref="AD960">INDEX(Innings!S:S,MATCH(1,(TRIM(Innings!A:A)=TRIM(A960))*(TRIM(Innings!D:D)=TRIM(E960)),0))</f>
        <v>49</v>
      </c>
      <c r="AE960" t="str" cm="1">
        <f t="array" ref="AE960">INDEX(Innings!W:W,MATCH(1,(TRIM(Innings!A:A)=TRIM(A960))*(TRIM(Innings!D:D)=TRIM(E960)),0))</f>
        <v>Successful</v>
      </c>
      <c r="AF960">
        <f>IF(UPPER(TRIM(E960))=UPPER(TRIM(W960)),1,0)</f>
        <v>1</v>
      </c>
      <c r="AG960">
        <f t="shared" si="28"/>
        <v>20</v>
      </c>
    </row>
    <row r="961" spans="1:33" x14ac:dyDescent="0.3">
      <c r="A961" t="s">
        <v>444</v>
      </c>
      <c r="B961">
        <v>2</v>
      </c>
      <c r="C961" t="s">
        <v>174</v>
      </c>
      <c r="D961" t="s">
        <v>175</v>
      </c>
      <c r="E961" t="s">
        <v>159</v>
      </c>
      <c r="F961" t="s">
        <v>169</v>
      </c>
      <c r="G961" t="s">
        <v>92</v>
      </c>
      <c r="H961">
        <v>35</v>
      </c>
      <c r="I961">
        <v>37</v>
      </c>
      <c r="J961">
        <v>94.59</v>
      </c>
      <c r="K961" t="s">
        <v>96</v>
      </c>
      <c r="L961">
        <v>32</v>
      </c>
      <c r="M961">
        <v>2</v>
      </c>
      <c r="N961">
        <v>0</v>
      </c>
      <c r="O961">
        <v>14</v>
      </c>
      <c r="P961">
        <v>0</v>
      </c>
      <c r="Q961">
        <v>7</v>
      </c>
      <c r="R961">
        <v>0</v>
      </c>
      <c r="S961">
        <v>0</v>
      </c>
      <c r="T961">
        <v>0</v>
      </c>
      <c r="U961" s="8">
        <v>32</v>
      </c>
      <c r="V961" s="8">
        <f t="shared" si="29"/>
        <v>3</v>
      </c>
      <c r="W961" t="str">
        <f>_xlfn.XLOOKUP(A961, Matches!A:A, Matches!L:L, "NA", 0)</f>
        <v>RCBW</v>
      </c>
      <c r="X961" t="str">
        <f>_xlfn.XLOOKUP(A961, Matches!A:A, Matches!J:J, "NA", 0)</f>
        <v>DCW</v>
      </c>
      <c r="Y961" t="str">
        <f>_xlfn.XLOOKUP(A961, Matches!A:A, Matches!F:F, "NA", 0)</f>
        <v>Arun Jaitley Stadium</v>
      </c>
      <c r="Z961" cm="1">
        <f t="array" ref="Z961">INDEX(Innings!F:F,MATCH(1,(TRIM(Innings!A:A)=TRIM(A961))*(TRIM(Innings!D:D)=TRIM(E961)),0))</f>
        <v>115</v>
      </c>
      <c r="AA961" cm="1">
        <f t="array" ref="AA961">INDEX(Innings!I:I,MATCH(1,(TRIM(Innings!A:A)=TRIM(A961))*(TRIM(Innings!D:D)=TRIM(E961)),0))</f>
        <v>5.9</v>
      </c>
      <c r="AB961" cm="1">
        <f t="array" ref="AB961">INDEX(Innings!J:J,MATCH(1,(TRIM(Innings!A:A)=TRIM(A961))*(TRIM(Innings!D:D)=TRIM(E961)),0))</f>
        <v>25</v>
      </c>
      <c r="AC961" cm="1">
        <f t="array" ref="AC961">INDEX(Innings!N:N,MATCH(1,(TRIM(Innings!A:A)=TRIM(A961))*(TRIM(Innings!D:D)=TRIM(E961)),0))</f>
        <v>29</v>
      </c>
      <c r="AD961" cm="1">
        <f t="array" ref="AD961">INDEX(Innings!S:S,MATCH(1,(TRIM(Innings!A:A)=TRIM(A961))*(TRIM(Innings!D:D)=TRIM(E961)),0))</f>
        <v>49</v>
      </c>
      <c r="AE961" t="str" cm="1">
        <f t="array" ref="AE961">INDEX(Innings!W:W,MATCH(1,(TRIM(Innings!A:A)=TRIM(A961))*(TRIM(Innings!D:D)=TRIM(E961)),0))</f>
        <v>Successful</v>
      </c>
      <c r="AF961">
        <f>IF(UPPER(TRIM(E961))=UPPER(TRIM(W961)),1,0)</f>
        <v>1</v>
      </c>
      <c r="AG961">
        <f t="shared" si="28"/>
        <v>36.9</v>
      </c>
    </row>
    <row r="962" spans="1:33" x14ac:dyDescent="0.3">
      <c r="A962" t="s">
        <v>444</v>
      </c>
      <c r="B962">
        <v>2</v>
      </c>
      <c r="C962" t="s">
        <v>176</v>
      </c>
      <c r="D962" t="s">
        <v>177</v>
      </c>
      <c r="E962" t="s">
        <v>159</v>
      </c>
      <c r="F962" t="s">
        <v>85</v>
      </c>
      <c r="G962" t="s">
        <v>134</v>
      </c>
      <c r="H962">
        <v>17</v>
      </c>
      <c r="I962">
        <v>14</v>
      </c>
      <c r="J962">
        <v>121.43</v>
      </c>
      <c r="K962" t="s">
        <v>96</v>
      </c>
      <c r="L962">
        <v>18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 s="8">
        <v>18</v>
      </c>
      <c r="V962" s="8">
        <f t="shared" si="29"/>
        <v>2</v>
      </c>
      <c r="W962" t="str">
        <f>_xlfn.XLOOKUP(A962, Matches!A:A, Matches!L:L, "NA", 0)</f>
        <v>RCBW</v>
      </c>
      <c r="X962" t="str">
        <f>_xlfn.XLOOKUP(A962, Matches!A:A, Matches!J:J, "NA", 0)</f>
        <v>DCW</v>
      </c>
      <c r="Y962" t="str">
        <f>_xlfn.XLOOKUP(A962, Matches!A:A, Matches!F:F, "NA", 0)</f>
        <v>Arun Jaitley Stadium</v>
      </c>
      <c r="Z962" cm="1">
        <f t="array" ref="Z962">INDEX(Innings!F:F,MATCH(1,(TRIM(Innings!A:A)=TRIM(A962))*(TRIM(Innings!D:D)=TRIM(E962)),0))</f>
        <v>115</v>
      </c>
      <c r="AA962" cm="1">
        <f t="array" ref="AA962">INDEX(Innings!I:I,MATCH(1,(TRIM(Innings!A:A)=TRIM(A962))*(TRIM(Innings!D:D)=TRIM(E962)),0))</f>
        <v>5.9</v>
      </c>
      <c r="AB962" cm="1">
        <f t="array" ref="AB962">INDEX(Innings!J:J,MATCH(1,(TRIM(Innings!A:A)=TRIM(A962))*(TRIM(Innings!D:D)=TRIM(E962)),0))</f>
        <v>25</v>
      </c>
      <c r="AC962" cm="1">
        <f t="array" ref="AC962">INDEX(Innings!N:N,MATCH(1,(TRIM(Innings!A:A)=TRIM(A962))*(TRIM(Innings!D:D)=TRIM(E962)),0))</f>
        <v>29</v>
      </c>
      <c r="AD962" cm="1">
        <f t="array" ref="AD962">INDEX(Innings!S:S,MATCH(1,(TRIM(Innings!A:A)=TRIM(A962))*(TRIM(Innings!D:D)=TRIM(E962)),0))</f>
        <v>49</v>
      </c>
      <c r="AE962" t="str" cm="1">
        <f t="array" ref="AE962">INDEX(Innings!W:W,MATCH(1,(TRIM(Innings!A:A)=TRIM(A962))*(TRIM(Innings!D:D)=TRIM(E962)),0))</f>
        <v>Successful</v>
      </c>
      <c r="AF962">
        <f>IF(UPPER(TRIM(E962))=UPPER(TRIM(W962)),1,0)</f>
        <v>1</v>
      </c>
      <c r="AG962">
        <f t="shared" ref="AG962:AG1024" si="30">(0.5*MAX(0,U962) + 0.3*MAX(0,V962) + 0.2*AF962*100)</f>
        <v>29.6</v>
      </c>
    </row>
    <row r="963" spans="1:33" x14ac:dyDescent="0.3">
      <c r="A963" t="s">
        <v>444</v>
      </c>
      <c r="B963">
        <v>2</v>
      </c>
      <c r="C963" t="s">
        <v>371</v>
      </c>
      <c r="D963" t="s">
        <v>372</v>
      </c>
      <c r="E963" t="s">
        <v>159</v>
      </c>
      <c r="F963" t="s">
        <v>169</v>
      </c>
      <c r="G963" t="s">
        <v>104</v>
      </c>
      <c r="H963">
        <v>0</v>
      </c>
      <c r="I963">
        <v>0</v>
      </c>
      <c r="J963">
        <v>0</v>
      </c>
      <c r="K963" t="s">
        <v>104</v>
      </c>
      <c r="L963">
        <v>0</v>
      </c>
      <c r="M963">
        <v>4</v>
      </c>
      <c r="N963">
        <v>0</v>
      </c>
      <c r="O963">
        <v>20</v>
      </c>
      <c r="P963">
        <v>3</v>
      </c>
      <c r="Q963">
        <v>5</v>
      </c>
      <c r="R963">
        <v>75</v>
      </c>
      <c r="S963">
        <v>0</v>
      </c>
      <c r="T963">
        <v>0</v>
      </c>
      <c r="U963" s="8">
        <v>75</v>
      </c>
      <c r="V963" s="8">
        <f t="shared" ref="V963:V1026" si="31">MIN(10, MAX(0, ROUND(U963/10,0)))</f>
        <v>8</v>
      </c>
      <c r="W963" t="str">
        <f>_xlfn.XLOOKUP(A963, Matches!A:A, Matches!L:L, "NA", 0)</f>
        <v>RCBW</v>
      </c>
      <c r="X963" t="str">
        <f>_xlfn.XLOOKUP(A963, Matches!A:A, Matches!J:J, "NA", 0)</f>
        <v>DCW</v>
      </c>
      <c r="Y963" t="str">
        <f>_xlfn.XLOOKUP(A963, Matches!A:A, Matches!F:F, "NA", 0)</f>
        <v>Arun Jaitley Stadium</v>
      </c>
      <c r="Z963" cm="1">
        <f t="array" ref="Z963">INDEX(Innings!F:F,MATCH(1,(TRIM(Innings!A:A)=TRIM(A963))*(TRIM(Innings!D:D)=TRIM(E963)),0))</f>
        <v>115</v>
      </c>
      <c r="AA963" cm="1">
        <f t="array" ref="AA963">INDEX(Innings!I:I,MATCH(1,(TRIM(Innings!A:A)=TRIM(A963))*(TRIM(Innings!D:D)=TRIM(E963)),0))</f>
        <v>5.9</v>
      </c>
      <c r="AB963" cm="1">
        <f t="array" ref="AB963">INDEX(Innings!J:J,MATCH(1,(TRIM(Innings!A:A)=TRIM(A963))*(TRIM(Innings!D:D)=TRIM(E963)),0))</f>
        <v>25</v>
      </c>
      <c r="AC963" cm="1">
        <f t="array" ref="AC963">INDEX(Innings!N:N,MATCH(1,(TRIM(Innings!A:A)=TRIM(A963))*(TRIM(Innings!D:D)=TRIM(E963)),0))</f>
        <v>29</v>
      </c>
      <c r="AD963" cm="1">
        <f t="array" ref="AD963">INDEX(Innings!S:S,MATCH(1,(TRIM(Innings!A:A)=TRIM(A963))*(TRIM(Innings!D:D)=TRIM(E963)),0))</f>
        <v>49</v>
      </c>
      <c r="AE963" t="str" cm="1">
        <f t="array" ref="AE963">INDEX(Innings!W:W,MATCH(1,(TRIM(Innings!A:A)=TRIM(A963))*(TRIM(Innings!D:D)=TRIM(E963)),0))</f>
        <v>Successful</v>
      </c>
      <c r="AF963">
        <f>IF(UPPER(TRIM(E963))=UPPER(TRIM(W963)),1,0)</f>
        <v>1</v>
      </c>
      <c r="AG963">
        <f t="shared" si="30"/>
        <v>59.9</v>
      </c>
    </row>
    <row r="964" spans="1:33" x14ac:dyDescent="0.3">
      <c r="A964" t="s">
        <v>444</v>
      </c>
      <c r="B964">
        <v>2</v>
      </c>
      <c r="C964" t="s">
        <v>99</v>
      </c>
      <c r="D964" t="s">
        <v>124</v>
      </c>
      <c r="E964" t="s">
        <v>159</v>
      </c>
      <c r="F964" t="s">
        <v>169</v>
      </c>
      <c r="G964" t="s">
        <v>104</v>
      </c>
      <c r="H964">
        <v>0</v>
      </c>
      <c r="I964">
        <v>0</v>
      </c>
      <c r="J964">
        <v>0</v>
      </c>
      <c r="K964" t="s">
        <v>104</v>
      </c>
      <c r="L964">
        <v>0</v>
      </c>
      <c r="M964">
        <v>3</v>
      </c>
      <c r="N964">
        <v>0</v>
      </c>
      <c r="O964">
        <v>16</v>
      </c>
      <c r="P964">
        <v>0</v>
      </c>
      <c r="Q964">
        <v>5.3</v>
      </c>
      <c r="R964">
        <v>0</v>
      </c>
      <c r="S964">
        <v>0</v>
      </c>
      <c r="T964">
        <v>0</v>
      </c>
      <c r="U964" s="8">
        <v>0</v>
      </c>
      <c r="V964" s="8">
        <f t="shared" si="31"/>
        <v>0</v>
      </c>
      <c r="W964" t="str">
        <f>_xlfn.XLOOKUP(A964, Matches!A:A, Matches!L:L, "NA", 0)</f>
        <v>RCBW</v>
      </c>
      <c r="X964" t="str">
        <f>_xlfn.XLOOKUP(A964, Matches!A:A, Matches!J:J, "NA", 0)</f>
        <v>DCW</v>
      </c>
      <c r="Y964" t="str">
        <f>_xlfn.XLOOKUP(A964, Matches!A:A, Matches!F:F, "NA", 0)</f>
        <v>Arun Jaitley Stadium</v>
      </c>
      <c r="Z964" cm="1">
        <f t="array" ref="Z964">INDEX(Innings!F:F,MATCH(1,(TRIM(Innings!A:A)=TRIM(A964))*(TRIM(Innings!D:D)=TRIM(E964)),0))</f>
        <v>115</v>
      </c>
      <c r="AA964" cm="1">
        <f t="array" ref="AA964">INDEX(Innings!I:I,MATCH(1,(TRIM(Innings!A:A)=TRIM(A964))*(TRIM(Innings!D:D)=TRIM(E964)),0))</f>
        <v>5.9</v>
      </c>
      <c r="AB964" cm="1">
        <f t="array" ref="AB964">INDEX(Innings!J:J,MATCH(1,(TRIM(Innings!A:A)=TRIM(A964))*(TRIM(Innings!D:D)=TRIM(E964)),0))</f>
        <v>25</v>
      </c>
      <c r="AC964" cm="1">
        <f t="array" ref="AC964">INDEX(Innings!N:N,MATCH(1,(TRIM(Innings!A:A)=TRIM(A964))*(TRIM(Innings!D:D)=TRIM(E964)),0))</f>
        <v>29</v>
      </c>
      <c r="AD964" cm="1">
        <f t="array" ref="AD964">INDEX(Innings!S:S,MATCH(1,(TRIM(Innings!A:A)=TRIM(A964))*(TRIM(Innings!D:D)=TRIM(E964)),0))</f>
        <v>49</v>
      </c>
      <c r="AE964" t="str" cm="1">
        <f t="array" ref="AE964">INDEX(Innings!W:W,MATCH(1,(TRIM(Innings!A:A)=TRIM(A964))*(TRIM(Innings!D:D)=TRIM(E964)),0))</f>
        <v>Successful</v>
      </c>
      <c r="AF964">
        <f>IF(UPPER(TRIM(E964))=UPPER(TRIM(W964)),1,0)</f>
        <v>1</v>
      </c>
      <c r="AG964">
        <f t="shared" si="30"/>
        <v>20</v>
      </c>
    </row>
    <row r="965" spans="1:33" x14ac:dyDescent="0.3">
      <c r="A965" t="s">
        <v>444</v>
      </c>
      <c r="B965">
        <v>2</v>
      </c>
      <c r="C965" t="s">
        <v>259</v>
      </c>
      <c r="D965" t="s">
        <v>257</v>
      </c>
      <c r="E965" t="s">
        <v>159</v>
      </c>
      <c r="F965" t="s">
        <v>169</v>
      </c>
      <c r="G965" t="s">
        <v>104</v>
      </c>
      <c r="H965">
        <v>0</v>
      </c>
      <c r="I965">
        <v>0</v>
      </c>
      <c r="J965">
        <v>0</v>
      </c>
      <c r="K965" t="s">
        <v>104</v>
      </c>
      <c r="L965">
        <v>0</v>
      </c>
      <c r="M965">
        <v>3.3</v>
      </c>
      <c r="N965">
        <v>0</v>
      </c>
      <c r="O965">
        <v>12</v>
      </c>
      <c r="P965">
        <v>4</v>
      </c>
      <c r="Q965">
        <v>3.4</v>
      </c>
      <c r="R965">
        <v>100</v>
      </c>
      <c r="S965">
        <v>0</v>
      </c>
      <c r="T965">
        <v>0</v>
      </c>
      <c r="U965" s="8">
        <v>100</v>
      </c>
      <c r="V965" s="8">
        <f t="shared" si="31"/>
        <v>10</v>
      </c>
      <c r="W965" t="str">
        <f>_xlfn.XLOOKUP(A965, Matches!A:A, Matches!L:L, "NA", 0)</f>
        <v>RCBW</v>
      </c>
      <c r="X965" t="str">
        <f>_xlfn.XLOOKUP(A965, Matches!A:A, Matches!J:J, "NA", 0)</f>
        <v>DCW</v>
      </c>
      <c r="Y965" t="str">
        <f>_xlfn.XLOOKUP(A965, Matches!A:A, Matches!F:F, "NA", 0)</f>
        <v>Arun Jaitley Stadium</v>
      </c>
      <c r="Z965" cm="1">
        <f t="array" ref="Z965">INDEX(Innings!F:F,MATCH(1,(TRIM(Innings!A:A)=TRIM(A965))*(TRIM(Innings!D:D)=TRIM(E965)),0))</f>
        <v>115</v>
      </c>
      <c r="AA965" cm="1">
        <f t="array" ref="AA965">INDEX(Innings!I:I,MATCH(1,(TRIM(Innings!A:A)=TRIM(A965))*(TRIM(Innings!D:D)=TRIM(E965)),0))</f>
        <v>5.9</v>
      </c>
      <c r="AB965" cm="1">
        <f t="array" ref="AB965">INDEX(Innings!J:J,MATCH(1,(TRIM(Innings!A:A)=TRIM(A965))*(TRIM(Innings!D:D)=TRIM(E965)),0))</f>
        <v>25</v>
      </c>
      <c r="AC965" cm="1">
        <f t="array" ref="AC965">INDEX(Innings!N:N,MATCH(1,(TRIM(Innings!A:A)=TRIM(A965))*(TRIM(Innings!D:D)=TRIM(E965)),0))</f>
        <v>29</v>
      </c>
      <c r="AD965" cm="1">
        <f t="array" ref="AD965">INDEX(Innings!S:S,MATCH(1,(TRIM(Innings!A:A)=TRIM(A965))*(TRIM(Innings!D:D)=TRIM(E965)),0))</f>
        <v>49</v>
      </c>
      <c r="AE965" t="str" cm="1">
        <f t="array" ref="AE965">INDEX(Innings!W:W,MATCH(1,(TRIM(Innings!A:A)=TRIM(A965))*(TRIM(Innings!D:D)=TRIM(E965)),0))</f>
        <v>Successful</v>
      </c>
      <c r="AF965">
        <f>IF(UPPER(TRIM(E965))=UPPER(TRIM(W965)),1,0)</f>
        <v>1</v>
      </c>
      <c r="AG965">
        <f t="shared" si="30"/>
        <v>73</v>
      </c>
    </row>
    <row r="966" spans="1:33" x14ac:dyDescent="0.3">
      <c r="A966" t="s">
        <v>444</v>
      </c>
      <c r="B966">
        <v>2</v>
      </c>
      <c r="C966" t="s">
        <v>172</v>
      </c>
      <c r="D966" t="s">
        <v>173</v>
      </c>
      <c r="E966" t="s">
        <v>159</v>
      </c>
      <c r="F966" t="s">
        <v>109</v>
      </c>
      <c r="G966" t="s">
        <v>104</v>
      </c>
      <c r="H966">
        <v>0</v>
      </c>
      <c r="I966">
        <v>0</v>
      </c>
      <c r="J966">
        <v>0</v>
      </c>
      <c r="K966" t="s">
        <v>104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 s="8">
        <v>0</v>
      </c>
      <c r="V966" s="8">
        <f t="shared" si="31"/>
        <v>0</v>
      </c>
      <c r="W966" t="str">
        <f>_xlfn.XLOOKUP(A966, Matches!A:A, Matches!L:L, "NA", 0)</f>
        <v>RCBW</v>
      </c>
      <c r="X966" t="str">
        <f>_xlfn.XLOOKUP(A966, Matches!A:A, Matches!J:J, "NA", 0)</f>
        <v>DCW</v>
      </c>
      <c r="Y966" t="str">
        <f>_xlfn.XLOOKUP(A966, Matches!A:A, Matches!F:F, "NA", 0)</f>
        <v>Arun Jaitley Stadium</v>
      </c>
      <c r="Z966" cm="1">
        <f t="array" ref="Z966">INDEX(Innings!F:F,MATCH(1,(TRIM(Innings!A:A)=TRIM(A966))*(TRIM(Innings!D:D)=TRIM(E966)),0))</f>
        <v>115</v>
      </c>
      <c r="AA966" cm="1">
        <f t="array" ref="AA966">INDEX(Innings!I:I,MATCH(1,(TRIM(Innings!A:A)=TRIM(A966))*(TRIM(Innings!D:D)=TRIM(E966)),0))</f>
        <v>5.9</v>
      </c>
      <c r="AB966" cm="1">
        <f t="array" ref="AB966">INDEX(Innings!J:J,MATCH(1,(TRIM(Innings!A:A)=TRIM(A966))*(TRIM(Innings!D:D)=TRIM(E966)),0))</f>
        <v>25</v>
      </c>
      <c r="AC966" cm="1">
        <f t="array" ref="AC966">INDEX(Innings!N:N,MATCH(1,(TRIM(Innings!A:A)=TRIM(A966))*(TRIM(Innings!D:D)=TRIM(E966)),0))</f>
        <v>29</v>
      </c>
      <c r="AD966" cm="1">
        <f t="array" ref="AD966">INDEX(Innings!S:S,MATCH(1,(TRIM(Innings!A:A)=TRIM(A966))*(TRIM(Innings!D:D)=TRIM(E966)),0))</f>
        <v>49</v>
      </c>
      <c r="AE966" t="str" cm="1">
        <f t="array" ref="AE966">INDEX(Innings!W:W,MATCH(1,(TRIM(Innings!A:A)=TRIM(A966))*(TRIM(Innings!D:D)=TRIM(E966)),0))</f>
        <v>Successful</v>
      </c>
      <c r="AF966">
        <f>IF(UPPER(TRIM(E966))=UPPER(TRIM(W966)),1,0)</f>
        <v>1</v>
      </c>
      <c r="AG966">
        <f t="shared" si="30"/>
        <v>20</v>
      </c>
    </row>
    <row r="967" spans="1:33" x14ac:dyDescent="0.3">
      <c r="A967" t="s">
        <v>444</v>
      </c>
      <c r="B967">
        <v>2</v>
      </c>
      <c r="C967" t="s">
        <v>180</v>
      </c>
      <c r="D967" t="s">
        <v>181</v>
      </c>
      <c r="E967" t="s">
        <v>159</v>
      </c>
      <c r="F967" t="s">
        <v>91</v>
      </c>
      <c r="G967" t="s">
        <v>104</v>
      </c>
      <c r="H967">
        <v>0</v>
      </c>
      <c r="I967">
        <v>0</v>
      </c>
      <c r="J967">
        <v>0</v>
      </c>
      <c r="K967" t="s">
        <v>104</v>
      </c>
      <c r="L967">
        <v>0</v>
      </c>
      <c r="M967">
        <v>3</v>
      </c>
      <c r="N967">
        <v>0</v>
      </c>
      <c r="O967">
        <v>14</v>
      </c>
      <c r="P967">
        <v>2</v>
      </c>
      <c r="Q967">
        <v>4.7</v>
      </c>
      <c r="R967">
        <v>50</v>
      </c>
      <c r="S967">
        <v>0</v>
      </c>
      <c r="T967">
        <v>0</v>
      </c>
      <c r="U967" s="8">
        <v>50</v>
      </c>
      <c r="V967" s="8">
        <f t="shared" si="31"/>
        <v>5</v>
      </c>
      <c r="W967" t="str">
        <f>_xlfn.XLOOKUP(A967, Matches!A:A, Matches!L:L, "NA", 0)</f>
        <v>RCBW</v>
      </c>
      <c r="X967" t="str">
        <f>_xlfn.XLOOKUP(A967, Matches!A:A, Matches!J:J, "NA", 0)</f>
        <v>DCW</v>
      </c>
      <c r="Y967" t="str">
        <f>_xlfn.XLOOKUP(A967, Matches!A:A, Matches!F:F, "NA", 0)</f>
        <v>Arun Jaitley Stadium</v>
      </c>
      <c r="Z967" cm="1">
        <f t="array" ref="Z967">INDEX(Innings!F:F,MATCH(1,(TRIM(Innings!A:A)=TRIM(A967))*(TRIM(Innings!D:D)=TRIM(E967)),0))</f>
        <v>115</v>
      </c>
      <c r="AA967" cm="1">
        <f t="array" ref="AA967">INDEX(Innings!I:I,MATCH(1,(TRIM(Innings!A:A)=TRIM(A967))*(TRIM(Innings!D:D)=TRIM(E967)),0))</f>
        <v>5.9</v>
      </c>
      <c r="AB967" cm="1">
        <f t="array" ref="AB967">INDEX(Innings!J:J,MATCH(1,(TRIM(Innings!A:A)=TRIM(A967))*(TRIM(Innings!D:D)=TRIM(E967)),0))</f>
        <v>25</v>
      </c>
      <c r="AC967" cm="1">
        <f t="array" ref="AC967">INDEX(Innings!N:N,MATCH(1,(TRIM(Innings!A:A)=TRIM(A967))*(TRIM(Innings!D:D)=TRIM(E967)),0))</f>
        <v>29</v>
      </c>
      <c r="AD967" cm="1">
        <f t="array" ref="AD967">INDEX(Innings!S:S,MATCH(1,(TRIM(Innings!A:A)=TRIM(A967))*(TRIM(Innings!D:D)=TRIM(E967)),0))</f>
        <v>49</v>
      </c>
      <c r="AE967" t="str" cm="1">
        <f t="array" ref="AE967">INDEX(Innings!W:W,MATCH(1,(TRIM(Innings!A:A)=TRIM(A967))*(TRIM(Innings!D:D)=TRIM(E967)),0))</f>
        <v>Successful</v>
      </c>
      <c r="AF967">
        <f>IF(UPPER(TRIM(E967))=UPPER(TRIM(W967)),1,0)</f>
        <v>1</v>
      </c>
      <c r="AG967">
        <f t="shared" si="30"/>
        <v>46.5</v>
      </c>
    </row>
    <row r="968" spans="1:33" x14ac:dyDescent="0.3">
      <c r="A968" t="s">
        <v>444</v>
      </c>
      <c r="B968">
        <v>2</v>
      </c>
      <c r="C968" t="s">
        <v>186</v>
      </c>
      <c r="D968" t="s">
        <v>187</v>
      </c>
      <c r="E968" t="s">
        <v>159</v>
      </c>
      <c r="F968" t="s">
        <v>101</v>
      </c>
      <c r="G968" t="s">
        <v>104</v>
      </c>
      <c r="H968">
        <v>0</v>
      </c>
      <c r="I968">
        <v>0</v>
      </c>
      <c r="J968">
        <v>0</v>
      </c>
      <c r="K968" t="s">
        <v>104</v>
      </c>
      <c r="L968">
        <v>0</v>
      </c>
      <c r="M968">
        <v>2</v>
      </c>
      <c r="N968">
        <v>0</v>
      </c>
      <c r="O968">
        <v>28</v>
      </c>
      <c r="P968">
        <v>0</v>
      </c>
      <c r="Q968">
        <v>14</v>
      </c>
      <c r="R968">
        <v>0</v>
      </c>
      <c r="S968">
        <v>0</v>
      </c>
      <c r="T968">
        <v>0</v>
      </c>
      <c r="U968">
        <v>0</v>
      </c>
      <c r="V968" s="8">
        <f t="shared" si="31"/>
        <v>0</v>
      </c>
      <c r="W968" t="str">
        <f>_xlfn.XLOOKUP(A968, Matches!A:A, Matches!L:L, "NA", 0)</f>
        <v>RCBW</v>
      </c>
      <c r="X968" t="str">
        <f>_xlfn.XLOOKUP(A968, Matches!A:A, Matches!J:J, "NA", 0)</f>
        <v>DCW</v>
      </c>
      <c r="Y968" t="str">
        <f>_xlfn.XLOOKUP(A968, Matches!A:A, Matches!F:F, "NA", 0)</f>
        <v>Arun Jaitley Stadium</v>
      </c>
      <c r="Z968" cm="1">
        <f t="array" ref="Z968">INDEX(Innings!F:F,MATCH(1,(TRIM(Innings!A:A)=TRIM(A968))*(TRIM(Innings!D:D)=TRIM(E968)),0))</f>
        <v>115</v>
      </c>
      <c r="AA968" cm="1">
        <f t="array" ref="AA968">INDEX(Innings!I:I,MATCH(1,(TRIM(Innings!A:A)=TRIM(A968))*(TRIM(Innings!D:D)=TRIM(E968)),0))</f>
        <v>5.9</v>
      </c>
      <c r="AB968" cm="1">
        <f t="array" ref="AB968">INDEX(Innings!J:J,MATCH(1,(TRIM(Innings!A:A)=TRIM(A968))*(TRIM(Innings!D:D)=TRIM(E968)),0))</f>
        <v>25</v>
      </c>
      <c r="AC968" cm="1">
        <f t="array" ref="AC968">INDEX(Innings!N:N,MATCH(1,(TRIM(Innings!A:A)=TRIM(A968))*(TRIM(Innings!D:D)=TRIM(E968)),0))</f>
        <v>29</v>
      </c>
      <c r="AD968" cm="1">
        <f t="array" ref="AD968">INDEX(Innings!S:S,MATCH(1,(TRIM(Innings!A:A)=TRIM(A968))*(TRIM(Innings!D:D)=TRIM(E968)),0))</f>
        <v>49</v>
      </c>
      <c r="AE968" t="str" cm="1">
        <f t="array" ref="AE968">INDEX(Innings!W:W,MATCH(1,(TRIM(Innings!A:A)=TRIM(A968))*(TRIM(Innings!D:D)=TRIM(E968)),0))</f>
        <v>Successful</v>
      </c>
      <c r="AF968">
        <f>IF(UPPER(TRIM(E968))=UPPER(TRIM(W968)),1,0)</f>
        <v>1</v>
      </c>
      <c r="AG968">
        <f t="shared" si="30"/>
        <v>20</v>
      </c>
    </row>
    <row r="969" spans="1:33" x14ac:dyDescent="0.3">
      <c r="A969" t="s">
        <v>462</v>
      </c>
      <c r="B969">
        <v>3</v>
      </c>
      <c r="C969" t="s">
        <v>81</v>
      </c>
      <c r="D969" t="s">
        <v>114</v>
      </c>
      <c r="E969" t="s">
        <v>258</v>
      </c>
      <c r="F969" t="s">
        <v>85</v>
      </c>
      <c r="G969" t="s">
        <v>86</v>
      </c>
      <c r="H969">
        <v>56</v>
      </c>
      <c r="I969">
        <v>42</v>
      </c>
      <c r="J969">
        <v>133.33000000000001</v>
      </c>
      <c r="K969" t="s">
        <v>246</v>
      </c>
      <c r="L969">
        <v>62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 s="8">
        <v>62</v>
      </c>
      <c r="V969" s="8">
        <f t="shared" si="31"/>
        <v>6</v>
      </c>
      <c r="W969" t="str">
        <f>_xlfn.XLOOKUP(A969, Matches!A:A, Matches!L:L, "NA", 0)</f>
        <v>RCBW</v>
      </c>
      <c r="X969" t="str">
        <f>_xlfn.XLOOKUP(A969, Matches!A:A, Matches!J:J, "NA", 0)</f>
        <v>RCBW</v>
      </c>
      <c r="Y969" t="str">
        <f>_xlfn.XLOOKUP(A969, Matches!A:A, Matches!F:F, "NA", 0)</f>
        <v>BCA Stadium, Kotambi</v>
      </c>
      <c r="Z969" cm="1">
        <f t="array" ref="Z969">INDEX(Innings!F:F,MATCH(1,(TRIM(Innings!A:A)=TRIM(A969))*(TRIM(Innings!D:D)=TRIM(E969)),0))</f>
        <v>201</v>
      </c>
      <c r="AA969" cm="1">
        <f t="array" ref="AA969">INDEX(Innings!I:I,MATCH(1,(TRIM(Innings!A:A)=TRIM(A969))*(TRIM(Innings!D:D)=TRIM(E969)),0))</f>
        <v>10.050000000000001</v>
      </c>
      <c r="AB969" cm="1">
        <f t="array" ref="AB969">INDEX(Innings!J:J,MATCH(1,(TRIM(Innings!A:A)=TRIM(A969))*(TRIM(Innings!D:D)=TRIM(E969)),0))</f>
        <v>39</v>
      </c>
      <c r="AC969" cm="1">
        <f t="array" ref="AC969">INDEX(Innings!N:N,MATCH(1,(TRIM(Innings!A:A)=TRIM(A969))*(TRIM(Innings!D:D)=TRIM(E969)),0))</f>
        <v>53</v>
      </c>
      <c r="AD969" cm="1">
        <f t="array" ref="AD969">INDEX(Innings!S:S,MATCH(1,(TRIM(Innings!A:A)=TRIM(A969))*(TRIM(Innings!D:D)=TRIM(E969)),0))</f>
        <v>35</v>
      </c>
      <c r="AE969" t="str" cm="1">
        <f t="array" ref="AE969">INDEX(Innings!W:W,MATCH(1,(TRIM(Innings!A:A)=TRIM(A969))*(TRIM(Innings!D:D)=TRIM(E969)),0))</f>
        <v>NA</v>
      </c>
      <c r="AF969">
        <f>IF(UPPER(TRIM(E969))=UPPER(TRIM(W969)),1,0)</f>
        <v>0</v>
      </c>
      <c r="AG969">
        <f t="shared" si="30"/>
        <v>32.799999999999997</v>
      </c>
    </row>
    <row r="970" spans="1:33" x14ac:dyDescent="0.3">
      <c r="A970" t="s">
        <v>462</v>
      </c>
      <c r="B970">
        <v>3</v>
      </c>
      <c r="C970" t="s">
        <v>278</v>
      </c>
      <c r="D970" t="s">
        <v>293</v>
      </c>
      <c r="E970" t="s">
        <v>258</v>
      </c>
      <c r="F970" t="s">
        <v>109</v>
      </c>
      <c r="G970" t="s">
        <v>86</v>
      </c>
      <c r="H970">
        <v>6</v>
      </c>
      <c r="I970">
        <v>10</v>
      </c>
      <c r="J970">
        <v>60</v>
      </c>
      <c r="K970" t="s">
        <v>245</v>
      </c>
      <c r="L970">
        <v>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 s="8">
        <v>3</v>
      </c>
      <c r="V970" s="8">
        <f t="shared" si="31"/>
        <v>0</v>
      </c>
      <c r="W970" t="str">
        <f>_xlfn.XLOOKUP(A970, Matches!A:A, Matches!L:L, "NA", 0)</f>
        <v>RCBW</v>
      </c>
      <c r="X970" t="str">
        <f>_xlfn.XLOOKUP(A970, Matches!A:A, Matches!J:J, "NA", 0)</f>
        <v>RCBW</v>
      </c>
      <c r="Y970" t="str">
        <f>_xlfn.XLOOKUP(A970, Matches!A:A, Matches!F:F, "NA", 0)</f>
        <v>BCA Stadium, Kotambi</v>
      </c>
      <c r="Z970" cm="1">
        <f t="array" ref="Z970">INDEX(Innings!F:F,MATCH(1,(TRIM(Innings!A:A)=TRIM(A970))*(TRIM(Innings!D:D)=TRIM(E970)),0))</f>
        <v>201</v>
      </c>
      <c r="AA970" cm="1">
        <f t="array" ref="AA970">INDEX(Innings!I:I,MATCH(1,(TRIM(Innings!A:A)=TRIM(A970))*(TRIM(Innings!D:D)=TRIM(E970)),0))</f>
        <v>10.050000000000001</v>
      </c>
      <c r="AB970" cm="1">
        <f t="array" ref="AB970">INDEX(Innings!J:J,MATCH(1,(TRIM(Innings!A:A)=TRIM(A970))*(TRIM(Innings!D:D)=TRIM(E970)),0))</f>
        <v>39</v>
      </c>
      <c r="AC970" cm="1">
        <f t="array" ref="AC970">INDEX(Innings!N:N,MATCH(1,(TRIM(Innings!A:A)=TRIM(A970))*(TRIM(Innings!D:D)=TRIM(E970)),0))</f>
        <v>53</v>
      </c>
      <c r="AD970" cm="1">
        <f t="array" ref="AD970">INDEX(Innings!S:S,MATCH(1,(TRIM(Innings!A:A)=TRIM(A970))*(TRIM(Innings!D:D)=TRIM(E970)),0))</f>
        <v>35</v>
      </c>
      <c r="AE970" t="str" cm="1">
        <f t="array" ref="AE970">INDEX(Innings!W:W,MATCH(1,(TRIM(Innings!A:A)=TRIM(A970))*(TRIM(Innings!D:D)=TRIM(E970)),0))</f>
        <v>NA</v>
      </c>
      <c r="AF970">
        <f>IF(UPPER(TRIM(E970))=UPPER(TRIM(W970)),1,0)</f>
        <v>0</v>
      </c>
      <c r="AG970">
        <f t="shared" si="30"/>
        <v>1.5</v>
      </c>
    </row>
    <row r="971" spans="1:33" x14ac:dyDescent="0.3">
      <c r="A971" t="s">
        <v>462</v>
      </c>
      <c r="B971">
        <v>3</v>
      </c>
      <c r="C971" t="s">
        <v>97</v>
      </c>
      <c r="D971" t="s">
        <v>122</v>
      </c>
      <c r="E971" t="s">
        <v>258</v>
      </c>
      <c r="F971" t="s">
        <v>109</v>
      </c>
      <c r="G971" t="s">
        <v>92</v>
      </c>
      <c r="H971">
        <v>4</v>
      </c>
      <c r="I971">
        <v>9</v>
      </c>
      <c r="J971">
        <v>44.44</v>
      </c>
      <c r="K971" t="s">
        <v>246</v>
      </c>
      <c r="L971">
        <v>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 s="8">
        <v>1</v>
      </c>
      <c r="V971" s="8">
        <f t="shared" si="31"/>
        <v>0</v>
      </c>
      <c r="W971" t="str">
        <f>_xlfn.XLOOKUP(A971, Matches!A:A, Matches!L:L, "NA", 0)</f>
        <v>RCBW</v>
      </c>
      <c r="X971" t="str">
        <f>_xlfn.XLOOKUP(A971, Matches!A:A, Matches!J:J, "NA", 0)</f>
        <v>RCBW</v>
      </c>
      <c r="Y971" t="str">
        <f>_xlfn.XLOOKUP(A971, Matches!A:A, Matches!F:F, "NA", 0)</f>
        <v>BCA Stadium, Kotambi</v>
      </c>
      <c r="Z971" cm="1">
        <f t="array" ref="Z971">INDEX(Innings!F:F,MATCH(1,(TRIM(Innings!A:A)=TRIM(A971))*(TRIM(Innings!D:D)=TRIM(E971)),0))</f>
        <v>201</v>
      </c>
      <c r="AA971" cm="1">
        <f t="array" ref="AA971">INDEX(Innings!I:I,MATCH(1,(TRIM(Innings!A:A)=TRIM(A971))*(TRIM(Innings!D:D)=TRIM(E971)),0))</f>
        <v>10.050000000000001</v>
      </c>
      <c r="AB971" cm="1">
        <f t="array" ref="AB971">INDEX(Innings!J:J,MATCH(1,(TRIM(Innings!A:A)=TRIM(A971))*(TRIM(Innings!D:D)=TRIM(E971)),0))</f>
        <v>39</v>
      </c>
      <c r="AC971" cm="1">
        <f t="array" ref="AC971">INDEX(Innings!N:N,MATCH(1,(TRIM(Innings!A:A)=TRIM(A971))*(TRIM(Innings!D:D)=TRIM(E971)),0))</f>
        <v>53</v>
      </c>
      <c r="AD971" cm="1">
        <f t="array" ref="AD971">INDEX(Innings!S:S,MATCH(1,(TRIM(Innings!A:A)=TRIM(A971))*(TRIM(Innings!D:D)=TRIM(E971)),0))</f>
        <v>35</v>
      </c>
      <c r="AE971" t="str" cm="1">
        <f t="array" ref="AE971">INDEX(Innings!W:W,MATCH(1,(TRIM(Innings!A:A)=TRIM(A971))*(TRIM(Innings!D:D)=TRIM(E971)),0))</f>
        <v>NA</v>
      </c>
      <c r="AF971">
        <f>IF(UPPER(TRIM(E971))=UPPER(TRIM(W971)),1,0)</f>
        <v>0</v>
      </c>
      <c r="AG971">
        <f t="shared" si="30"/>
        <v>0.5</v>
      </c>
    </row>
    <row r="972" spans="1:33" x14ac:dyDescent="0.3">
      <c r="A972" t="s">
        <v>462</v>
      </c>
      <c r="B972">
        <v>3</v>
      </c>
      <c r="C972" t="s">
        <v>93</v>
      </c>
      <c r="D972" t="s">
        <v>118</v>
      </c>
      <c r="E972" t="s">
        <v>258</v>
      </c>
      <c r="F972" t="s">
        <v>169</v>
      </c>
      <c r="G972" t="s">
        <v>134</v>
      </c>
      <c r="H972">
        <v>79</v>
      </c>
      <c r="I972">
        <v>37</v>
      </c>
      <c r="J972">
        <v>213.51</v>
      </c>
      <c r="K972" t="s">
        <v>96</v>
      </c>
      <c r="L972">
        <v>95</v>
      </c>
      <c r="M972">
        <v>3</v>
      </c>
      <c r="N972">
        <v>0</v>
      </c>
      <c r="O972">
        <v>33</v>
      </c>
      <c r="P972">
        <v>2</v>
      </c>
      <c r="Q972">
        <v>11</v>
      </c>
      <c r="R972">
        <v>50</v>
      </c>
      <c r="S972">
        <v>0</v>
      </c>
      <c r="T972">
        <v>0</v>
      </c>
      <c r="U972" s="8">
        <v>145</v>
      </c>
      <c r="V972" s="8">
        <f t="shared" si="31"/>
        <v>10</v>
      </c>
      <c r="W972" t="str">
        <f>_xlfn.XLOOKUP(A972, Matches!A:A, Matches!L:L, "NA", 0)</f>
        <v>RCBW</v>
      </c>
      <c r="X972" t="str">
        <f>_xlfn.XLOOKUP(A972, Matches!A:A, Matches!J:J, "NA", 0)</f>
        <v>RCBW</v>
      </c>
      <c r="Y972" t="str">
        <f>_xlfn.XLOOKUP(A972, Matches!A:A, Matches!F:F, "NA", 0)</f>
        <v>BCA Stadium, Kotambi</v>
      </c>
      <c r="Z972" cm="1">
        <f t="array" ref="Z972">INDEX(Innings!F:F,MATCH(1,(TRIM(Innings!A:A)=TRIM(A972))*(TRIM(Innings!D:D)=TRIM(E972)),0))</f>
        <v>201</v>
      </c>
      <c r="AA972" cm="1">
        <f t="array" ref="AA972">INDEX(Innings!I:I,MATCH(1,(TRIM(Innings!A:A)=TRIM(A972))*(TRIM(Innings!D:D)=TRIM(E972)),0))</f>
        <v>10.050000000000001</v>
      </c>
      <c r="AB972" cm="1">
        <f t="array" ref="AB972">INDEX(Innings!J:J,MATCH(1,(TRIM(Innings!A:A)=TRIM(A972))*(TRIM(Innings!D:D)=TRIM(E972)),0))</f>
        <v>39</v>
      </c>
      <c r="AC972" cm="1">
        <f t="array" ref="AC972">INDEX(Innings!N:N,MATCH(1,(TRIM(Innings!A:A)=TRIM(A972))*(TRIM(Innings!D:D)=TRIM(E972)),0))</f>
        <v>53</v>
      </c>
      <c r="AD972" cm="1">
        <f t="array" ref="AD972">INDEX(Innings!S:S,MATCH(1,(TRIM(Innings!A:A)=TRIM(A972))*(TRIM(Innings!D:D)=TRIM(E972)),0))</f>
        <v>35</v>
      </c>
      <c r="AE972" t="str" cm="1">
        <f t="array" ref="AE972">INDEX(Innings!W:W,MATCH(1,(TRIM(Innings!A:A)=TRIM(A972))*(TRIM(Innings!D:D)=TRIM(E972)),0))</f>
        <v>NA</v>
      </c>
      <c r="AF972">
        <f>IF(UPPER(TRIM(E972))=UPPER(TRIM(W972)),1,0)</f>
        <v>0</v>
      </c>
      <c r="AG972">
        <f t="shared" si="30"/>
        <v>75.5</v>
      </c>
    </row>
    <row r="973" spans="1:33" x14ac:dyDescent="0.3">
      <c r="A973" t="s">
        <v>462</v>
      </c>
      <c r="B973">
        <v>3</v>
      </c>
      <c r="C973" t="s">
        <v>530</v>
      </c>
      <c r="D973" t="s">
        <v>502</v>
      </c>
      <c r="E973" t="s">
        <v>258</v>
      </c>
      <c r="F973" t="s">
        <v>169</v>
      </c>
      <c r="G973" t="s">
        <v>134</v>
      </c>
      <c r="H973">
        <v>25</v>
      </c>
      <c r="I973">
        <v>13</v>
      </c>
      <c r="J973">
        <v>192.31</v>
      </c>
      <c r="K973" t="s">
        <v>246</v>
      </c>
      <c r="L973">
        <v>28</v>
      </c>
      <c r="M973">
        <v>3.3</v>
      </c>
      <c r="N973">
        <v>0</v>
      </c>
      <c r="O973">
        <v>41</v>
      </c>
      <c r="P973">
        <v>1</v>
      </c>
      <c r="Q973">
        <v>11.7</v>
      </c>
      <c r="R973">
        <v>25</v>
      </c>
      <c r="S973">
        <v>0</v>
      </c>
      <c r="T973">
        <v>0</v>
      </c>
      <c r="U973" s="8">
        <v>53</v>
      </c>
      <c r="V973" s="8">
        <f t="shared" si="31"/>
        <v>5</v>
      </c>
      <c r="W973" t="str">
        <f>_xlfn.XLOOKUP(A973, Matches!A:A, Matches!L:L, "NA", 0)</f>
        <v>RCBW</v>
      </c>
      <c r="X973" t="str">
        <f>_xlfn.XLOOKUP(A973, Matches!A:A, Matches!J:J, "NA", 0)</f>
        <v>RCBW</v>
      </c>
      <c r="Y973" t="str">
        <f>_xlfn.XLOOKUP(A973, Matches!A:A, Matches!F:F, "NA", 0)</f>
        <v>BCA Stadium, Kotambi</v>
      </c>
      <c r="Z973" cm="1">
        <f t="array" ref="Z973">INDEX(Innings!F:F,MATCH(1,(TRIM(Innings!A:A)=TRIM(A973))*(TRIM(Innings!D:D)=TRIM(E973)),0))</f>
        <v>201</v>
      </c>
      <c r="AA973" cm="1">
        <f t="array" ref="AA973">INDEX(Innings!I:I,MATCH(1,(TRIM(Innings!A:A)=TRIM(A973))*(TRIM(Innings!D:D)=TRIM(E973)),0))</f>
        <v>10.050000000000001</v>
      </c>
      <c r="AB973" cm="1">
        <f t="array" ref="AB973">INDEX(Innings!J:J,MATCH(1,(TRIM(Innings!A:A)=TRIM(A973))*(TRIM(Innings!D:D)=TRIM(E973)),0))</f>
        <v>39</v>
      </c>
      <c r="AC973" cm="1">
        <f t="array" ref="AC973">INDEX(Innings!N:N,MATCH(1,(TRIM(Innings!A:A)=TRIM(A973))*(TRIM(Innings!D:D)=TRIM(E973)),0))</f>
        <v>53</v>
      </c>
      <c r="AD973" cm="1">
        <f t="array" ref="AD973">INDEX(Innings!S:S,MATCH(1,(TRIM(Innings!A:A)=TRIM(A973))*(TRIM(Innings!D:D)=TRIM(E973)),0))</f>
        <v>35</v>
      </c>
      <c r="AE973" t="str" cm="1">
        <f t="array" ref="AE973">INDEX(Innings!W:W,MATCH(1,(TRIM(Innings!A:A)=TRIM(A973))*(TRIM(Innings!D:D)=TRIM(E973)),0))</f>
        <v>NA</v>
      </c>
      <c r="AF973">
        <f>IF(UPPER(TRIM(E973))=UPPER(TRIM(W973)),1,0)</f>
        <v>0</v>
      </c>
      <c r="AG973">
        <f t="shared" si="30"/>
        <v>28</v>
      </c>
    </row>
    <row r="974" spans="1:33" x14ac:dyDescent="0.3">
      <c r="A974" t="s">
        <v>462</v>
      </c>
      <c r="B974">
        <v>3</v>
      </c>
      <c r="C974" t="s">
        <v>89</v>
      </c>
      <c r="D974" t="s">
        <v>116</v>
      </c>
      <c r="E974" t="s">
        <v>258</v>
      </c>
      <c r="F974" t="s">
        <v>83</v>
      </c>
      <c r="G974" t="s">
        <v>134</v>
      </c>
      <c r="H974">
        <v>9</v>
      </c>
      <c r="I974">
        <v>4</v>
      </c>
      <c r="J974">
        <v>225</v>
      </c>
      <c r="K974" t="s">
        <v>96</v>
      </c>
      <c r="L974">
        <v>18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 s="8">
        <v>18</v>
      </c>
      <c r="V974" s="8">
        <f t="shared" si="31"/>
        <v>2</v>
      </c>
      <c r="W974" t="str">
        <f>_xlfn.XLOOKUP(A974, Matches!A:A, Matches!L:L, "NA", 0)</f>
        <v>RCBW</v>
      </c>
      <c r="X974" t="str">
        <f>_xlfn.XLOOKUP(A974, Matches!A:A, Matches!J:J, "NA", 0)</f>
        <v>RCBW</v>
      </c>
      <c r="Y974" t="str">
        <f>_xlfn.XLOOKUP(A974, Matches!A:A, Matches!F:F, "NA", 0)</f>
        <v>BCA Stadium, Kotambi</v>
      </c>
      <c r="Z974" cm="1">
        <f t="array" ref="Z974">INDEX(Innings!F:F,MATCH(1,(TRIM(Innings!A:A)=TRIM(A974))*(TRIM(Innings!D:D)=TRIM(E974)),0))</f>
        <v>201</v>
      </c>
      <c r="AA974" cm="1">
        <f t="array" ref="AA974">INDEX(Innings!I:I,MATCH(1,(TRIM(Innings!A:A)=TRIM(A974))*(TRIM(Innings!D:D)=TRIM(E974)),0))</f>
        <v>10.050000000000001</v>
      </c>
      <c r="AB974" cm="1">
        <f t="array" ref="AB974">INDEX(Innings!J:J,MATCH(1,(TRIM(Innings!A:A)=TRIM(A974))*(TRIM(Innings!D:D)=TRIM(E974)),0))</f>
        <v>39</v>
      </c>
      <c r="AC974" cm="1">
        <f t="array" ref="AC974">INDEX(Innings!N:N,MATCH(1,(TRIM(Innings!A:A)=TRIM(A974))*(TRIM(Innings!D:D)=TRIM(E974)),0))</f>
        <v>53</v>
      </c>
      <c r="AD974" cm="1">
        <f t="array" ref="AD974">INDEX(Innings!S:S,MATCH(1,(TRIM(Innings!A:A)=TRIM(A974))*(TRIM(Innings!D:D)=TRIM(E974)),0))</f>
        <v>35</v>
      </c>
      <c r="AE974" t="str" cm="1">
        <f t="array" ref="AE974">INDEX(Innings!W:W,MATCH(1,(TRIM(Innings!A:A)=TRIM(A974))*(TRIM(Innings!D:D)=TRIM(E974)),0))</f>
        <v>NA</v>
      </c>
      <c r="AF974">
        <f>IF(UPPER(TRIM(E974))=UPPER(TRIM(W974)),1,0)</f>
        <v>0</v>
      </c>
      <c r="AG974">
        <f t="shared" si="30"/>
        <v>9.6</v>
      </c>
    </row>
    <row r="975" spans="1:33" x14ac:dyDescent="0.3">
      <c r="A975" t="s">
        <v>462</v>
      </c>
      <c r="B975">
        <v>3</v>
      </c>
      <c r="C975" t="s">
        <v>227</v>
      </c>
      <c r="D975" t="s">
        <v>228</v>
      </c>
      <c r="E975" t="s">
        <v>258</v>
      </c>
      <c r="F975" t="s">
        <v>109</v>
      </c>
      <c r="G975" t="s">
        <v>134</v>
      </c>
      <c r="H975">
        <v>11</v>
      </c>
      <c r="I975">
        <v>5</v>
      </c>
      <c r="J975">
        <v>220</v>
      </c>
      <c r="K975" t="s">
        <v>245</v>
      </c>
      <c r="L975">
        <v>14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 s="8">
        <v>14</v>
      </c>
      <c r="V975" s="8">
        <f t="shared" si="31"/>
        <v>1</v>
      </c>
      <c r="W975" t="str">
        <f>_xlfn.XLOOKUP(A975, Matches!A:A, Matches!L:L, "NA", 0)</f>
        <v>RCBW</v>
      </c>
      <c r="X975" t="str">
        <f>_xlfn.XLOOKUP(A975, Matches!A:A, Matches!J:J, "NA", 0)</f>
        <v>RCBW</v>
      </c>
      <c r="Y975" t="str">
        <f>_xlfn.XLOOKUP(A975, Matches!A:A, Matches!F:F, "NA", 0)</f>
        <v>BCA Stadium, Kotambi</v>
      </c>
      <c r="Z975" cm="1">
        <f t="array" ref="Z975">INDEX(Innings!F:F,MATCH(1,(TRIM(Innings!A:A)=TRIM(A975))*(TRIM(Innings!D:D)=TRIM(E975)),0))</f>
        <v>201</v>
      </c>
      <c r="AA975" cm="1">
        <f t="array" ref="AA975">INDEX(Innings!I:I,MATCH(1,(TRIM(Innings!A:A)=TRIM(A975))*(TRIM(Innings!D:D)=TRIM(E975)),0))</f>
        <v>10.050000000000001</v>
      </c>
      <c r="AB975" cm="1">
        <f t="array" ref="AB975">INDEX(Innings!J:J,MATCH(1,(TRIM(Innings!A:A)=TRIM(A975))*(TRIM(Innings!D:D)=TRIM(E975)),0))</f>
        <v>39</v>
      </c>
      <c r="AC975" cm="1">
        <f t="array" ref="AC975">INDEX(Innings!N:N,MATCH(1,(TRIM(Innings!A:A)=TRIM(A975))*(TRIM(Innings!D:D)=TRIM(E975)),0))</f>
        <v>53</v>
      </c>
      <c r="AD975" cm="1">
        <f t="array" ref="AD975">INDEX(Innings!S:S,MATCH(1,(TRIM(Innings!A:A)=TRIM(A975))*(TRIM(Innings!D:D)=TRIM(E975)),0))</f>
        <v>35</v>
      </c>
      <c r="AE975" t="str" cm="1">
        <f t="array" ref="AE975">INDEX(Innings!W:W,MATCH(1,(TRIM(Innings!A:A)=TRIM(A975))*(TRIM(Innings!D:D)=TRIM(E975)),0))</f>
        <v>NA</v>
      </c>
      <c r="AF975">
        <f>IF(UPPER(TRIM(E975))=UPPER(TRIM(W975)),1,0)</f>
        <v>0</v>
      </c>
      <c r="AG975">
        <f t="shared" si="30"/>
        <v>7.3</v>
      </c>
    </row>
    <row r="976" spans="1:33" x14ac:dyDescent="0.3">
      <c r="A976" t="s">
        <v>462</v>
      </c>
      <c r="B976">
        <v>3</v>
      </c>
      <c r="C976" t="s">
        <v>105</v>
      </c>
      <c r="D976" t="s">
        <v>128</v>
      </c>
      <c r="E976" t="s">
        <v>258</v>
      </c>
      <c r="F976" t="s">
        <v>101</v>
      </c>
      <c r="G976" t="s">
        <v>104</v>
      </c>
      <c r="H976">
        <v>0</v>
      </c>
      <c r="I976">
        <v>0</v>
      </c>
      <c r="J976">
        <v>0</v>
      </c>
      <c r="K976" t="s">
        <v>104</v>
      </c>
      <c r="L976">
        <v>0</v>
      </c>
      <c r="M976">
        <v>3</v>
      </c>
      <c r="N976">
        <v>0</v>
      </c>
      <c r="O976">
        <v>29</v>
      </c>
      <c r="P976">
        <v>0</v>
      </c>
      <c r="Q976">
        <v>9.6999999999999993</v>
      </c>
      <c r="R976">
        <v>0</v>
      </c>
      <c r="S976">
        <v>0</v>
      </c>
      <c r="T976">
        <v>0</v>
      </c>
      <c r="U976" s="8">
        <v>0</v>
      </c>
      <c r="V976" s="8">
        <f t="shared" si="31"/>
        <v>0</v>
      </c>
      <c r="W976" t="str">
        <f>_xlfn.XLOOKUP(A976, Matches!A:A, Matches!L:L, "NA", 0)</f>
        <v>RCBW</v>
      </c>
      <c r="X976" t="str">
        <f>_xlfn.XLOOKUP(A976, Matches!A:A, Matches!J:J, "NA", 0)</f>
        <v>RCBW</v>
      </c>
      <c r="Y976" t="str">
        <f>_xlfn.XLOOKUP(A976, Matches!A:A, Matches!F:F, "NA", 0)</f>
        <v>BCA Stadium, Kotambi</v>
      </c>
      <c r="Z976" cm="1">
        <f t="array" ref="Z976">INDEX(Innings!F:F,MATCH(1,(TRIM(Innings!A:A)=TRIM(A976))*(TRIM(Innings!D:D)=TRIM(E976)),0))</f>
        <v>201</v>
      </c>
      <c r="AA976" cm="1">
        <f t="array" ref="AA976">INDEX(Innings!I:I,MATCH(1,(TRIM(Innings!A:A)=TRIM(A976))*(TRIM(Innings!D:D)=TRIM(E976)),0))</f>
        <v>10.050000000000001</v>
      </c>
      <c r="AB976" cm="1">
        <f t="array" ref="AB976">INDEX(Innings!J:J,MATCH(1,(TRIM(Innings!A:A)=TRIM(A976))*(TRIM(Innings!D:D)=TRIM(E976)),0))</f>
        <v>39</v>
      </c>
      <c r="AC976" cm="1">
        <f t="array" ref="AC976">INDEX(Innings!N:N,MATCH(1,(TRIM(Innings!A:A)=TRIM(A976))*(TRIM(Innings!D:D)=TRIM(E976)),0))</f>
        <v>53</v>
      </c>
      <c r="AD976" cm="1">
        <f t="array" ref="AD976">INDEX(Innings!S:S,MATCH(1,(TRIM(Innings!A:A)=TRIM(A976))*(TRIM(Innings!D:D)=TRIM(E976)),0))</f>
        <v>35</v>
      </c>
      <c r="AE976" t="str" cm="1">
        <f t="array" ref="AE976">INDEX(Innings!W:W,MATCH(1,(TRIM(Innings!A:A)=TRIM(A976))*(TRIM(Innings!D:D)=TRIM(E976)),0))</f>
        <v>NA</v>
      </c>
      <c r="AF976">
        <f>IF(UPPER(TRIM(E976))=UPPER(TRIM(W976)),1,0)</f>
        <v>0</v>
      </c>
      <c r="AG976">
        <f t="shared" si="30"/>
        <v>0</v>
      </c>
    </row>
    <row r="977" spans="1:33" x14ac:dyDescent="0.3">
      <c r="A977" t="s">
        <v>462</v>
      </c>
      <c r="B977">
        <v>3</v>
      </c>
      <c r="C977" t="s">
        <v>415</v>
      </c>
      <c r="D977" t="s">
        <v>425</v>
      </c>
      <c r="E977" t="s">
        <v>258</v>
      </c>
      <c r="F977" t="s">
        <v>169</v>
      </c>
      <c r="G977" t="s">
        <v>104</v>
      </c>
      <c r="H977">
        <v>0</v>
      </c>
      <c r="I977">
        <v>0</v>
      </c>
      <c r="J977">
        <v>0</v>
      </c>
      <c r="K977" t="s">
        <v>104</v>
      </c>
      <c r="L977">
        <v>0</v>
      </c>
      <c r="M977">
        <v>4</v>
      </c>
      <c r="N977">
        <v>0</v>
      </c>
      <c r="O977">
        <v>44</v>
      </c>
      <c r="P977">
        <v>1</v>
      </c>
      <c r="Q977">
        <v>11</v>
      </c>
      <c r="R977">
        <v>25</v>
      </c>
      <c r="S977">
        <v>0</v>
      </c>
      <c r="T977">
        <v>0</v>
      </c>
      <c r="U977" s="8">
        <v>25</v>
      </c>
      <c r="V977" s="8">
        <f t="shared" si="31"/>
        <v>3</v>
      </c>
      <c r="W977" t="str">
        <f>_xlfn.XLOOKUP(A977, Matches!A:A, Matches!L:L, "NA", 0)</f>
        <v>RCBW</v>
      </c>
      <c r="X977" t="str">
        <f>_xlfn.XLOOKUP(A977, Matches!A:A, Matches!J:J, "NA", 0)</f>
        <v>RCBW</v>
      </c>
      <c r="Y977" t="str">
        <f>_xlfn.XLOOKUP(A977, Matches!A:A, Matches!F:F, "NA", 0)</f>
        <v>BCA Stadium, Kotambi</v>
      </c>
      <c r="Z977" cm="1">
        <f t="array" ref="Z977">INDEX(Innings!F:F,MATCH(1,(TRIM(Innings!A:A)=TRIM(A977))*(TRIM(Innings!D:D)=TRIM(E977)),0))</f>
        <v>201</v>
      </c>
      <c r="AA977" cm="1">
        <f t="array" ref="AA977">INDEX(Innings!I:I,MATCH(1,(TRIM(Innings!A:A)=TRIM(A977))*(TRIM(Innings!D:D)=TRIM(E977)),0))</f>
        <v>10.050000000000001</v>
      </c>
      <c r="AB977" cm="1">
        <f t="array" ref="AB977">INDEX(Innings!J:J,MATCH(1,(TRIM(Innings!A:A)=TRIM(A977))*(TRIM(Innings!D:D)=TRIM(E977)),0))</f>
        <v>39</v>
      </c>
      <c r="AC977" cm="1">
        <f t="array" ref="AC977">INDEX(Innings!N:N,MATCH(1,(TRIM(Innings!A:A)=TRIM(A977))*(TRIM(Innings!D:D)=TRIM(E977)),0))</f>
        <v>53</v>
      </c>
      <c r="AD977" cm="1">
        <f t="array" ref="AD977">INDEX(Innings!S:S,MATCH(1,(TRIM(Innings!A:A)=TRIM(A977))*(TRIM(Innings!D:D)=TRIM(E977)),0))</f>
        <v>35</v>
      </c>
      <c r="AE977" t="str" cm="1">
        <f t="array" ref="AE977">INDEX(Innings!W:W,MATCH(1,(TRIM(Innings!A:A)=TRIM(A977))*(TRIM(Innings!D:D)=TRIM(E977)),0))</f>
        <v>NA</v>
      </c>
      <c r="AF977">
        <f>IF(UPPER(TRIM(E977))=UPPER(TRIM(W977)),1,0)</f>
        <v>0</v>
      </c>
      <c r="AG977">
        <f t="shared" si="30"/>
        <v>13.4</v>
      </c>
    </row>
    <row r="978" spans="1:33" x14ac:dyDescent="0.3">
      <c r="A978" t="s">
        <v>462</v>
      </c>
      <c r="B978">
        <v>3</v>
      </c>
      <c r="C978" t="s">
        <v>494</v>
      </c>
      <c r="D978" t="s">
        <v>501</v>
      </c>
      <c r="E978" t="s">
        <v>258</v>
      </c>
      <c r="F978" t="s">
        <v>101</v>
      </c>
      <c r="G978" t="s">
        <v>104</v>
      </c>
      <c r="H978">
        <v>0</v>
      </c>
      <c r="I978">
        <v>0</v>
      </c>
      <c r="J978">
        <v>0</v>
      </c>
      <c r="K978" t="s">
        <v>104</v>
      </c>
      <c r="L978">
        <v>0</v>
      </c>
      <c r="M978">
        <v>3</v>
      </c>
      <c r="N978">
        <v>0</v>
      </c>
      <c r="O978">
        <v>29</v>
      </c>
      <c r="P978">
        <v>0</v>
      </c>
      <c r="Q978">
        <v>9.6999999999999993</v>
      </c>
      <c r="R978">
        <v>0</v>
      </c>
      <c r="S978">
        <v>0</v>
      </c>
      <c r="T978">
        <v>0</v>
      </c>
      <c r="U978" s="8">
        <v>0</v>
      </c>
      <c r="V978" s="8">
        <f t="shared" si="31"/>
        <v>0</v>
      </c>
      <c r="W978" t="str">
        <f>_xlfn.XLOOKUP(A978, Matches!A:A, Matches!L:L, "NA", 0)</f>
        <v>RCBW</v>
      </c>
      <c r="X978" t="str">
        <f>_xlfn.XLOOKUP(A978, Matches!A:A, Matches!J:J, "NA", 0)</f>
        <v>RCBW</v>
      </c>
      <c r="Y978" t="str">
        <f>_xlfn.XLOOKUP(A978, Matches!A:A, Matches!F:F, "NA", 0)</f>
        <v>BCA Stadium, Kotambi</v>
      </c>
      <c r="Z978" cm="1">
        <f t="array" ref="Z978">INDEX(Innings!F:F,MATCH(1,(TRIM(Innings!A:A)=TRIM(A978))*(TRIM(Innings!D:D)=TRIM(E978)),0))</f>
        <v>201</v>
      </c>
      <c r="AA978" cm="1">
        <f t="array" ref="AA978">INDEX(Innings!I:I,MATCH(1,(TRIM(Innings!A:A)=TRIM(A978))*(TRIM(Innings!D:D)=TRIM(E978)),0))</f>
        <v>10.050000000000001</v>
      </c>
      <c r="AB978" cm="1">
        <f t="array" ref="AB978">INDEX(Innings!J:J,MATCH(1,(TRIM(Innings!A:A)=TRIM(A978))*(TRIM(Innings!D:D)=TRIM(E978)),0))</f>
        <v>39</v>
      </c>
      <c r="AC978" cm="1">
        <f t="array" ref="AC978">INDEX(Innings!N:N,MATCH(1,(TRIM(Innings!A:A)=TRIM(A978))*(TRIM(Innings!D:D)=TRIM(E978)),0))</f>
        <v>53</v>
      </c>
      <c r="AD978" cm="1">
        <f t="array" ref="AD978">INDEX(Innings!S:S,MATCH(1,(TRIM(Innings!A:A)=TRIM(A978))*(TRIM(Innings!D:D)=TRIM(E978)),0))</f>
        <v>35</v>
      </c>
      <c r="AE978" t="str" cm="1">
        <f t="array" ref="AE978">INDEX(Innings!W:W,MATCH(1,(TRIM(Innings!A:A)=TRIM(A978))*(TRIM(Innings!D:D)=TRIM(E978)),0))</f>
        <v>NA</v>
      </c>
      <c r="AF978">
        <f>IF(UPPER(TRIM(E978))=UPPER(TRIM(W978)),1,0)</f>
        <v>0</v>
      </c>
      <c r="AG978">
        <f t="shared" si="30"/>
        <v>0</v>
      </c>
    </row>
    <row r="979" spans="1:33" x14ac:dyDescent="0.3">
      <c r="A979" t="s">
        <v>462</v>
      </c>
      <c r="B979">
        <v>3</v>
      </c>
      <c r="C979" t="s">
        <v>493</v>
      </c>
      <c r="D979" t="s">
        <v>500</v>
      </c>
      <c r="E979" t="s">
        <v>258</v>
      </c>
      <c r="F979" t="s">
        <v>169</v>
      </c>
      <c r="G979" t="s">
        <v>104</v>
      </c>
      <c r="H979">
        <v>0</v>
      </c>
      <c r="I979">
        <v>0</v>
      </c>
      <c r="J979">
        <v>0</v>
      </c>
      <c r="K979" t="s">
        <v>104</v>
      </c>
      <c r="L979">
        <v>0</v>
      </c>
      <c r="M979">
        <v>2</v>
      </c>
      <c r="N979">
        <v>0</v>
      </c>
      <c r="O979">
        <v>22</v>
      </c>
      <c r="P979">
        <v>0</v>
      </c>
      <c r="Q979">
        <v>11</v>
      </c>
      <c r="R979">
        <v>0</v>
      </c>
      <c r="S979">
        <v>0</v>
      </c>
      <c r="T979">
        <v>0</v>
      </c>
      <c r="U979" s="8">
        <v>0</v>
      </c>
      <c r="V979" s="8">
        <f t="shared" si="31"/>
        <v>0</v>
      </c>
      <c r="W979" t="str">
        <f>_xlfn.XLOOKUP(A979, Matches!A:A, Matches!L:L, "NA", 0)</f>
        <v>RCBW</v>
      </c>
      <c r="X979" t="str">
        <f>_xlfn.XLOOKUP(A979, Matches!A:A, Matches!J:J, "NA", 0)</f>
        <v>RCBW</v>
      </c>
      <c r="Y979" t="str">
        <f>_xlfn.XLOOKUP(A979, Matches!A:A, Matches!F:F, "NA", 0)</f>
        <v>BCA Stadium, Kotambi</v>
      </c>
      <c r="Z979" cm="1">
        <f t="array" ref="Z979">INDEX(Innings!F:F,MATCH(1,(TRIM(Innings!A:A)=TRIM(A979))*(TRIM(Innings!D:D)=TRIM(E979)),0))</f>
        <v>201</v>
      </c>
      <c r="AA979" cm="1">
        <f t="array" ref="AA979">INDEX(Innings!I:I,MATCH(1,(TRIM(Innings!A:A)=TRIM(A979))*(TRIM(Innings!D:D)=TRIM(E979)),0))</f>
        <v>10.050000000000001</v>
      </c>
      <c r="AB979" cm="1">
        <f t="array" ref="AB979">INDEX(Innings!J:J,MATCH(1,(TRIM(Innings!A:A)=TRIM(A979))*(TRIM(Innings!D:D)=TRIM(E979)),0))</f>
        <v>39</v>
      </c>
      <c r="AC979" cm="1">
        <f t="array" ref="AC979">INDEX(Innings!N:N,MATCH(1,(TRIM(Innings!A:A)=TRIM(A979))*(TRIM(Innings!D:D)=TRIM(E979)),0))</f>
        <v>53</v>
      </c>
      <c r="AD979" cm="1">
        <f t="array" ref="AD979">INDEX(Innings!S:S,MATCH(1,(TRIM(Innings!A:A)=TRIM(A979))*(TRIM(Innings!D:D)=TRIM(E979)),0))</f>
        <v>35</v>
      </c>
      <c r="AE979" t="str" cm="1">
        <f t="array" ref="AE979">INDEX(Innings!W:W,MATCH(1,(TRIM(Innings!A:A)=TRIM(A979))*(TRIM(Innings!D:D)=TRIM(E979)),0))</f>
        <v>NA</v>
      </c>
      <c r="AF979">
        <f>IF(UPPER(TRIM(E979))=UPPER(TRIM(W979)),1,0)</f>
        <v>0</v>
      </c>
      <c r="AG979">
        <f t="shared" si="30"/>
        <v>0</v>
      </c>
    </row>
    <row r="980" spans="1:33" x14ac:dyDescent="0.3">
      <c r="A980" t="s">
        <v>462</v>
      </c>
      <c r="B980">
        <v>3</v>
      </c>
      <c r="C980" t="s">
        <v>165</v>
      </c>
      <c r="D980" t="s">
        <v>166</v>
      </c>
      <c r="E980" t="s">
        <v>159</v>
      </c>
      <c r="F980" t="s">
        <v>109</v>
      </c>
      <c r="G980" t="s">
        <v>86</v>
      </c>
      <c r="H980">
        <v>9</v>
      </c>
      <c r="I980">
        <v>7</v>
      </c>
      <c r="J980">
        <v>128.57</v>
      </c>
      <c r="K980" t="s">
        <v>247</v>
      </c>
      <c r="L980">
        <v>6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 s="8">
        <v>6</v>
      </c>
      <c r="V980" s="8">
        <f t="shared" si="31"/>
        <v>1</v>
      </c>
      <c r="W980" t="str">
        <f>_xlfn.XLOOKUP(A980, Matches!A:A, Matches!L:L, "NA", 0)</f>
        <v>RCBW</v>
      </c>
      <c r="X980" t="str">
        <f>_xlfn.XLOOKUP(A980, Matches!A:A, Matches!J:J, "NA", 0)</f>
        <v>RCBW</v>
      </c>
      <c r="Y980" t="str">
        <f>_xlfn.XLOOKUP(A980, Matches!A:A, Matches!F:F, "NA", 0)</f>
        <v>BCA Stadium, Kotambi</v>
      </c>
      <c r="Z980" cm="1">
        <f t="array" ref="Z980">INDEX(Innings!F:F,MATCH(1,(TRIM(Innings!A:A)=TRIM(A980))*(TRIM(Innings!D:D)=TRIM(E980)),0))</f>
        <v>202</v>
      </c>
      <c r="AA980" cm="1">
        <f t="array" ref="AA980">INDEX(Innings!I:I,MATCH(1,(TRIM(Innings!A:A)=TRIM(A980))*(TRIM(Innings!D:D)=TRIM(E980)),0))</f>
        <v>10.92</v>
      </c>
      <c r="AB980" cm="1">
        <f t="array" ref="AB980">INDEX(Innings!J:J,MATCH(1,(TRIM(Innings!A:A)=TRIM(A980))*(TRIM(Innings!D:D)=TRIM(E980)),0))</f>
        <v>51</v>
      </c>
      <c r="AC980" cm="1">
        <f t="array" ref="AC980">INDEX(Innings!N:N,MATCH(1,(TRIM(Innings!A:A)=TRIM(A980))*(TRIM(Innings!D:D)=TRIM(E980)),0))</f>
        <v>40</v>
      </c>
      <c r="AD980" cm="1">
        <f t="array" ref="AD980">INDEX(Innings!S:S,MATCH(1,(TRIM(Innings!A:A)=TRIM(A980))*(TRIM(Innings!D:D)=TRIM(E980)),0))</f>
        <v>23</v>
      </c>
      <c r="AE980" t="str" cm="1">
        <f t="array" ref="AE980">INDEX(Innings!W:W,MATCH(1,(TRIM(Innings!A:A)=TRIM(A980))*(TRIM(Innings!D:D)=TRIM(E980)),0))</f>
        <v>Successful</v>
      </c>
      <c r="AF980">
        <f>IF(UPPER(TRIM(E980))=UPPER(TRIM(W980)),1,0)</f>
        <v>1</v>
      </c>
      <c r="AG980">
        <f t="shared" si="30"/>
        <v>23.3</v>
      </c>
    </row>
    <row r="981" spans="1:33" x14ac:dyDescent="0.3">
      <c r="A981" t="s">
        <v>462</v>
      </c>
      <c r="B981">
        <v>3</v>
      </c>
      <c r="C981" t="s">
        <v>489</v>
      </c>
      <c r="D981" t="s">
        <v>488</v>
      </c>
      <c r="E981" t="s">
        <v>159</v>
      </c>
      <c r="F981" t="s">
        <v>109</v>
      </c>
      <c r="G981" t="s">
        <v>92</v>
      </c>
      <c r="H981">
        <v>4</v>
      </c>
      <c r="I981">
        <v>4</v>
      </c>
      <c r="J981">
        <v>100</v>
      </c>
      <c r="K981" t="s">
        <v>245</v>
      </c>
      <c r="L981">
        <v>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 s="8">
        <v>1</v>
      </c>
      <c r="V981" s="8">
        <f t="shared" si="31"/>
        <v>0</v>
      </c>
      <c r="W981" t="str">
        <f>_xlfn.XLOOKUP(A981, Matches!A:A, Matches!L:L, "NA", 0)</f>
        <v>RCBW</v>
      </c>
      <c r="X981" t="str">
        <f>_xlfn.XLOOKUP(A981, Matches!A:A, Matches!J:J, "NA", 0)</f>
        <v>RCBW</v>
      </c>
      <c r="Y981" t="str">
        <f>_xlfn.XLOOKUP(A981, Matches!A:A, Matches!F:F, "NA", 0)</f>
        <v>BCA Stadium, Kotambi</v>
      </c>
      <c r="Z981" cm="1">
        <f t="array" ref="Z981">INDEX(Innings!F:F,MATCH(1,(TRIM(Innings!A:A)=TRIM(A981))*(TRIM(Innings!D:D)=TRIM(E981)),0))</f>
        <v>202</v>
      </c>
      <c r="AA981" cm="1">
        <f t="array" ref="AA981">INDEX(Innings!I:I,MATCH(1,(TRIM(Innings!A:A)=TRIM(A981))*(TRIM(Innings!D:D)=TRIM(E981)),0))</f>
        <v>10.92</v>
      </c>
      <c r="AB981" cm="1">
        <f t="array" ref="AB981">INDEX(Innings!J:J,MATCH(1,(TRIM(Innings!A:A)=TRIM(A981))*(TRIM(Innings!D:D)=TRIM(E981)),0))</f>
        <v>51</v>
      </c>
      <c r="AC981" cm="1">
        <f t="array" ref="AC981">INDEX(Innings!N:N,MATCH(1,(TRIM(Innings!A:A)=TRIM(A981))*(TRIM(Innings!D:D)=TRIM(E981)),0))</f>
        <v>40</v>
      </c>
      <c r="AD981" cm="1">
        <f t="array" ref="AD981">INDEX(Innings!S:S,MATCH(1,(TRIM(Innings!A:A)=TRIM(A981))*(TRIM(Innings!D:D)=TRIM(E981)),0))</f>
        <v>23</v>
      </c>
      <c r="AE981" t="str" cm="1">
        <f t="array" ref="AE981">INDEX(Innings!W:W,MATCH(1,(TRIM(Innings!A:A)=TRIM(A981))*(TRIM(Innings!D:D)=TRIM(E981)),0))</f>
        <v>Successful</v>
      </c>
      <c r="AF981">
        <f>IF(UPPER(TRIM(E981))=UPPER(TRIM(W981)),1,0)</f>
        <v>1</v>
      </c>
      <c r="AG981">
        <f t="shared" si="30"/>
        <v>20.5</v>
      </c>
    </row>
    <row r="982" spans="1:33" x14ac:dyDescent="0.3">
      <c r="A982" t="s">
        <v>462</v>
      </c>
      <c r="B982">
        <v>3</v>
      </c>
      <c r="C982" t="s">
        <v>174</v>
      </c>
      <c r="D982" t="s">
        <v>175</v>
      </c>
      <c r="E982" t="s">
        <v>159</v>
      </c>
      <c r="F982" t="s">
        <v>169</v>
      </c>
      <c r="G982" t="s">
        <v>92</v>
      </c>
      <c r="H982">
        <v>57</v>
      </c>
      <c r="I982">
        <v>34</v>
      </c>
      <c r="J982">
        <v>167.65</v>
      </c>
      <c r="K982" t="s">
        <v>246</v>
      </c>
      <c r="L982">
        <v>65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 s="8">
        <v>65</v>
      </c>
      <c r="V982" s="8">
        <f t="shared" si="31"/>
        <v>7</v>
      </c>
      <c r="W982" t="str">
        <f>_xlfn.XLOOKUP(A982, Matches!A:A, Matches!L:L, "NA", 0)</f>
        <v>RCBW</v>
      </c>
      <c r="X982" t="str">
        <f>_xlfn.XLOOKUP(A982, Matches!A:A, Matches!J:J, "NA", 0)</f>
        <v>RCBW</v>
      </c>
      <c r="Y982" t="str">
        <f>_xlfn.XLOOKUP(A982, Matches!A:A, Matches!F:F, "NA", 0)</f>
        <v>BCA Stadium, Kotambi</v>
      </c>
      <c r="Z982" cm="1">
        <f t="array" ref="Z982">INDEX(Innings!F:F,MATCH(1,(TRIM(Innings!A:A)=TRIM(A982))*(TRIM(Innings!D:D)=TRIM(E982)),0))</f>
        <v>202</v>
      </c>
      <c r="AA982" cm="1">
        <f t="array" ref="AA982">INDEX(Innings!I:I,MATCH(1,(TRIM(Innings!A:A)=TRIM(A982))*(TRIM(Innings!D:D)=TRIM(E982)),0))</f>
        <v>10.92</v>
      </c>
      <c r="AB982" cm="1">
        <f t="array" ref="AB982">INDEX(Innings!J:J,MATCH(1,(TRIM(Innings!A:A)=TRIM(A982))*(TRIM(Innings!D:D)=TRIM(E982)),0))</f>
        <v>51</v>
      </c>
      <c r="AC982" cm="1">
        <f t="array" ref="AC982">INDEX(Innings!N:N,MATCH(1,(TRIM(Innings!A:A)=TRIM(A982))*(TRIM(Innings!D:D)=TRIM(E982)),0))</f>
        <v>40</v>
      </c>
      <c r="AD982" cm="1">
        <f t="array" ref="AD982">INDEX(Innings!S:S,MATCH(1,(TRIM(Innings!A:A)=TRIM(A982))*(TRIM(Innings!D:D)=TRIM(E982)),0))</f>
        <v>23</v>
      </c>
      <c r="AE982" t="str" cm="1">
        <f t="array" ref="AE982">INDEX(Innings!W:W,MATCH(1,(TRIM(Innings!A:A)=TRIM(A982))*(TRIM(Innings!D:D)=TRIM(E982)),0))</f>
        <v>Successful</v>
      </c>
      <c r="AF982">
        <f>IF(UPPER(TRIM(E982))=UPPER(TRIM(W982)),1,0)</f>
        <v>1</v>
      </c>
      <c r="AG982">
        <f t="shared" si="30"/>
        <v>54.6</v>
      </c>
    </row>
    <row r="983" spans="1:33" x14ac:dyDescent="0.3">
      <c r="A983" t="s">
        <v>462</v>
      </c>
      <c r="B983">
        <v>3</v>
      </c>
      <c r="C983" t="s">
        <v>490</v>
      </c>
      <c r="D983" t="s">
        <v>497</v>
      </c>
      <c r="E983" t="s">
        <v>159</v>
      </c>
      <c r="F983" t="s">
        <v>83</v>
      </c>
      <c r="G983" t="s">
        <v>134</v>
      </c>
      <c r="H983">
        <v>25</v>
      </c>
      <c r="I983">
        <v>27</v>
      </c>
      <c r="J983">
        <v>92.59</v>
      </c>
      <c r="K983" t="s">
        <v>246</v>
      </c>
      <c r="L983">
        <v>20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 s="8">
        <v>20</v>
      </c>
      <c r="V983" s="8">
        <f t="shared" si="31"/>
        <v>2</v>
      </c>
      <c r="W983" t="str">
        <f>_xlfn.XLOOKUP(A983, Matches!A:A, Matches!L:L, "NA", 0)</f>
        <v>RCBW</v>
      </c>
      <c r="X983" t="str">
        <f>_xlfn.XLOOKUP(A983, Matches!A:A, Matches!J:J, "NA", 0)</f>
        <v>RCBW</v>
      </c>
      <c r="Y983" t="str">
        <f>_xlfn.XLOOKUP(A983, Matches!A:A, Matches!F:F, "NA", 0)</f>
        <v>BCA Stadium, Kotambi</v>
      </c>
      <c r="Z983" cm="1">
        <f t="array" ref="Z983">INDEX(Innings!F:F,MATCH(1,(TRIM(Innings!A:A)=TRIM(A983))*(TRIM(Innings!D:D)=TRIM(E983)),0))</f>
        <v>202</v>
      </c>
      <c r="AA983" cm="1">
        <f t="array" ref="AA983">INDEX(Innings!I:I,MATCH(1,(TRIM(Innings!A:A)=TRIM(A983))*(TRIM(Innings!D:D)=TRIM(E983)),0))</f>
        <v>10.92</v>
      </c>
      <c r="AB983" cm="1">
        <f t="array" ref="AB983">INDEX(Innings!J:J,MATCH(1,(TRIM(Innings!A:A)=TRIM(A983))*(TRIM(Innings!D:D)=TRIM(E983)),0))</f>
        <v>51</v>
      </c>
      <c r="AC983" cm="1">
        <f t="array" ref="AC983">INDEX(Innings!N:N,MATCH(1,(TRIM(Innings!A:A)=TRIM(A983))*(TRIM(Innings!D:D)=TRIM(E983)),0))</f>
        <v>40</v>
      </c>
      <c r="AD983" cm="1">
        <f t="array" ref="AD983">INDEX(Innings!S:S,MATCH(1,(TRIM(Innings!A:A)=TRIM(A983))*(TRIM(Innings!D:D)=TRIM(E983)),0))</f>
        <v>23</v>
      </c>
      <c r="AE983" t="str" cm="1">
        <f t="array" ref="AE983">INDEX(Innings!W:W,MATCH(1,(TRIM(Innings!A:A)=TRIM(A983))*(TRIM(Innings!D:D)=TRIM(E983)),0))</f>
        <v>Successful</v>
      </c>
      <c r="AF983">
        <f>IF(UPPER(TRIM(E983))=UPPER(TRIM(W983)),1,0)</f>
        <v>1</v>
      </c>
      <c r="AG983">
        <f t="shared" si="30"/>
        <v>30.6</v>
      </c>
    </row>
    <row r="984" spans="1:33" x14ac:dyDescent="0.3">
      <c r="A984" t="s">
        <v>462</v>
      </c>
      <c r="B984">
        <v>3</v>
      </c>
      <c r="C984" t="s">
        <v>176</v>
      </c>
      <c r="D984" t="s">
        <v>177</v>
      </c>
      <c r="E984" t="s">
        <v>159</v>
      </c>
      <c r="F984" t="s">
        <v>85</v>
      </c>
      <c r="G984" t="s">
        <v>134</v>
      </c>
      <c r="H984">
        <v>64</v>
      </c>
      <c r="I984">
        <v>27</v>
      </c>
      <c r="J984">
        <v>237.04</v>
      </c>
      <c r="K984" t="s">
        <v>96</v>
      </c>
      <c r="L984">
        <v>90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 s="8">
        <v>90</v>
      </c>
      <c r="V984" s="8">
        <f t="shared" si="31"/>
        <v>9</v>
      </c>
      <c r="W984" t="str">
        <f>_xlfn.XLOOKUP(A984, Matches!A:A, Matches!L:L, "NA", 0)</f>
        <v>RCBW</v>
      </c>
      <c r="X984" t="str">
        <f>_xlfn.XLOOKUP(A984, Matches!A:A, Matches!J:J, "NA", 0)</f>
        <v>RCBW</v>
      </c>
      <c r="Y984" t="str">
        <f>_xlfn.XLOOKUP(A984, Matches!A:A, Matches!F:F, "NA", 0)</f>
        <v>BCA Stadium, Kotambi</v>
      </c>
      <c r="Z984" cm="1">
        <f t="array" ref="Z984">INDEX(Innings!F:F,MATCH(1,(TRIM(Innings!A:A)=TRIM(A984))*(TRIM(Innings!D:D)=TRIM(E984)),0))</f>
        <v>202</v>
      </c>
      <c r="AA984" cm="1">
        <f t="array" ref="AA984">INDEX(Innings!I:I,MATCH(1,(TRIM(Innings!A:A)=TRIM(A984))*(TRIM(Innings!D:D)=TRIM(E984)),0))</f>
        <v>10.92</v>
      </c>
      <c r="AB984" cm="1">
        <f t="array" ref="AB984">INDEX(Innings!J:J,MATCH(1,(TRIM(Innings!A:A)=TRIM(A984))*(TRIM(Innings!D:D)=TRIM(E984)),0))</f>
        <v>51</v>
      </c>
      <c r="AC984" cm="1">
        <f t="array" ref="AC984">INDEX(Innings!N:N,MATCH(1,(TRIM(Innings!A:A)=TRIM(A984))*(TRIM(Innings!D:D)=TRIM(E984)),0))</f>
        <v>40</v>
      </c>
      <c r="AD984" cm="1">
        <f t="array" ref="AD984">INDEX(Innings!S:S,MATCH(1,(TRIM(Innings!A:A)=TRIM(A984))*(TRIM(Innings!D:D)=TRIM(E984)),0))</f>
        <v>23</v>
      </c>
      <c r="AE984" t="str" cm="1">
        <f t="array" ref="AE984">INDEX(Innings!W:W,MATCH(1,(TRIM(Innings!A:A)=TRIM(A984))*(TRIM(Innings!D:D)=TRIM(E984)),0))</f>
        <v>Successful</v>
      </c>
      <c r="AF984">
        <f>IF(UPPER(TRIM(E984))=UPPER(TRIM(W984)),1,0)</f>
        <v>1</v>
      </c>
      <c r="AG984">
        <f t="shared" si="30"/>
        <v>67.7</v>
      </c>
    </row>
    <row r="985" spans="1:33" x14ac:dyDescent="0.3">
      <c r="A985" t="s">
        <v>462</v>
      </c>
      <c r="B985">
        <v>3</v>
      </c>
      <c r="C985" t="s">
        <v>178</v>
      </c>
      <c r="D985" t="s">
        <v>179</v>
      </c>
      <c r="E985" t="s">
        <v>159</v>
      </c>
      <c r="F985" t="s">
        <v>83</v>
      </c>
      <c r="G985" t="s">
        <v>134</v>
      </c>
      <c r="H985">
        <v>30</v>
      </c>
      <c r="I985">
        <v>13</v>
      </c>
      <c r="J985">
        <v>230.77</v>
      </c>
      <c r="K985" t="s">
        <v>96</v>
      </c>
      <c r="L985">
        <v>45</v>
      </c>
      <c r="M985">
        <v>3</v>
      </c>
      <c r="N985">
        <v>0</v>
      </c>
      <c r="O985">
        <v>19</v>
      </c>
      <c r="P985">
        <v>1</v>
      </c>
      <c r="Q985">
        <v>6.3</v>
      </c>
      <c r="R985">
        <v>25</v>
      </c>
      <c r="S985">
        <v>0</v>
      </c>
      <c r="T985">
        <v>0</v>
      </c>
      <c r="U985" s="8">
        <v>70</v>
      </c>
      <c r="V985" s="8">
        <f t="shared" si="31"/>
        <v>7</v>
      </c>
      <c r="W985" t="str">
        <f>_xlfn.XLOOKUP(A985, Matches!A:A, Matches!L:L, "NA", 0)</f>
        <v>RCBW</v>
      </c>
      <c r="X985" t="str">
        <f>_xlfn.XLOOKUP(A985, Matches!A:A, Matches!J:J, "NA", 0)</f>
        <v>RCBW</v>
      </c>
      <c r="Y985" t="str">
        <f>_xlfn.XLOOKUP(A985, Matches!A:A, Matches!F:F, "NA", 0)</f>
        <v>BCA Stadium, Kotambi</v>
      </c>
      <c r="Z985" cm="1">
        <f t="array" ref="Z985">INDEX(Innings!F:F,MATCH(1,(TRIM(Innings!A:A)=TRIM(A985))*(TRIM(Innings!D:D)=TRIM(E985)),0))</f>
        <v>202</v>
      </c>
      <c r="AA985" cm="1">
        <f t="array" ref="AA985">INDEX(Innings!I:I,MATCH(1,(TRIM(Innings!A:A)=TRIM(A985))*(TRIM(Innings!D:D)=TRIM(E985)),0))</f>
        <v>10.92</v>
      </c>
      <c r="AB985" cm="1">
        <f t="array" ref="AB985">INDEX(Innings!J:J,MATCH(1,(TRIM(Innings!A:A)=TRIM(A985))*(TRIM(Innings!D:D)=TRIM(E985)),0))</f>
        <v>51</v>
      </c>
      <c r="AC985" cm="1">
        <f t="array" ref="AC985">INDEX(Innings!N:N,MATCH(1,(TRIM(Innings!A:A)=TRIM(A985))*(TRIM(Innings!D:D)=TRIM(E985)),0))</f>
        <v>40</v>
      </c>
      <c r="AD985" cm="1">
        <f t="array" ref="AD985">INDEX(Innings!S:S,MATCH(1,(TRIM(Innings!A:A)=TRIM(A985))*(TRIM(Innings!D:D)=TRIM(E985)),0))</f>
        <v>23</v>
      </c>
      <c r="AE985" t="str" cm="1">
        <f t="array" ref="AE985">INDEX(Innings!W:W,MATCH(1,(TRIM(Innings!A:A)=TRIM(A985))*(TRIM(Innings!D:D)=TRIM(E985)),0))</f>
        <v>Successful</v>
      </c>
      <c r="AF985">
        <f>IF(UPPER(TRIM(E985))=UPPER(TRIM(W985)),1,0)</f>
        <v>1</v>
      </c>
      <c r="AG985">
        <f t="shared" si="30"/>
        <v>57.1</v>
      </c>
    </row>
    <row r="986" spans="1:33" x14ac:dyDescent="0.3">
      <c r="A986" t="s">
        <v>462</v>
      </c>
      <c r="B986">
        <v>3</v>
      </c>
      <c r="C986" t="s">
        <v>99</v>
      </c>
      <c r="D986" t="s">
        <v>124</v>
      </c>
      <c r="E986" t="s">
        <v>159</v>
      </c>
      <c r="F986" t="s">
        <v>169</v>
      </c>
      <c r="G986" t="s">
        <v>104</v>
      </c>
      <c r="H986">
        <v>0</v>
      </c>
      <c r="I986">
        <v>0</v>
      </c>
      <c r="J986">
        <v>0</v>
      </c>
      <c r="K986" t="s">
        <v>104</v>
      </c>
      <c r="L986">
        <v>0</v>
      </c>
      <c r="M986">
        <v>3</v>
      </c>
      <c r="N986">
        <v>0</v>
      </c>
      <c r="O986">
        <v>50</v>
      </c>
      <c r="P986">
        <v>1</v>
      </c>
      <c r="Q986">
        <v>16.7</v>
      </c>
      <c r="R986">
        <v>25</v>
      </c>
      <c r="S986">
        <v>0</v>
      </c>
      <c r="T986">
        <v>0</v>
      </c>
      <c r="U986" s="8">
        <v>25</v>
      </c>
      <c r="V986" s="8">
        <f t="shared" si="31"/>
        <v>3</v>
      </c>
      <c r="W986" t="str">
        <f>_xlfn.XLOOKUP(A986, Matches!A:A, Matches!L:L, "NA", 0)</f>
        <v>RCBW</v>
      </c>
      <c r="X986" t="str">
        <f>_xlfn.XLOOKUP(A986, Matches!A:A, Matches!J:J, "NA", 0)</f>
        <v>RCBW</v>
      </c>
      <c r="Y986" t="str">
        <f>_xlfn.XLOOKUP(A986, Matches!A:A, Matches!F:F, "NA", 0)</f>
        <v>BCA Stadium, Kotambi</v>
      </c>
      <c r="Z986" cm="1">
        <f t="array" ref="Z986">INDEX(Innings!F:F,MATCH(1,(TRIM(Innings!A:A)=TRIM(A986))*(TRIM(Innings!D:D)=TRIM(E986)),0))</f>
        <v>202</v>
      </c>
      <c r="AA986" cm="1">
        <f t="array" ref="AA986">INDEX(Innings!I:I,MATCH(1,(TRIM(Innings!A:A)=TRIM(A986))*(TRIM(Innings!D:D)=TRIM(E986)),0))</f>
        <v>10.92</v>
      </c>
      <c r="AB986" cm="1">
        <f t="array" ref="AB986">INDEX(Innings!J:J,MATCH(1,(TRIM(Innings!A:A)=TRIM(A986))*(TRIM(Innings!D:D)=TRIM(E986)),0))</f>
        <v>51</v>
      </c>
      <c r="AC986" cm="1">
        <f t="array" ref="AC986">INDEX(Innings!N:N,MATCH(1,(TRIM(Innings!A:A)=TRIM(A986))*(TRIM(Innings!D:D)=TRIM(E986)),0))</f>
        <v>40</v>
      </c>
      <c r="AD986" cm="1">
        <f t="array" ref="AD986">INDEX(Innings!S:S,MATCH(1,(TRIM(Innings!A:A)=TRIM(A986))*(TRIM(Innings!D:D)=TRIM(E986)),0))</f>
        <v>23</v>
      </c>
      <c r="AE986" t="str" cm="1">
        <f t="array" ref="AE986">INDEX(Innings!W:W,MATCH(1,(TRIM(Innings!A:A)=TRIM(A986))*(TRIM(Innings!D:D)=TRIM(E986)),0))</f>
        <v>Successful</v>
      </c>
      <c r="AF986">
        <f>IF(UPPER(TRIM(E986))=UPPER(TRIM(W986)),1,0)</f>
        <v>1</v>
      </c>
      <c r="AG986">
        <f t="shared" si="30"/>
        <v>33.4</v>
      </c>
    </row>
    <row r="987" spans="1:33" x14ac:dyDescent="0.3">
      <c r="A987" t="s">
        <v>462</v>
      </c>
      <c r="B987">
        <v>3</v>
      </c>
      <c r="C987" t="s">
        <v>242</v>
      </c>
      <c r="D987" t="s">
        <v>244</v>
      </c>
      <c r="E987" t="s">
        <v>159</v>
      </c>
      <c r="F987" t="s">
        <v>101</v>
      </c>
      <c r="G987" t="s">
        <v>104</v>
      </c>
      <c r="H987">
        <v>0</v>
      </c>
      <c r="I987">
        <v>0</v>
      </c>
      <c r="J987">
        <v>0</v>
      </c>
      <c r="K987" t="s">
        <v>104</v>
      </c>
      <c r="L987">
        <v>0</v>
      </c>
      <c r="M987">
        <v>4</v>
      </c>
      <c r="N987">
        <v>0</v>
      </c>
      <c r="O987">
        <v>34</v>
      </c>
      <c r="P987">
        <v>0</v>
      </c>
      <c r="Q987">
        <v>8.5</v>
      </c>
      <c r="R987">
        <v>0</v>
      </c>
      <c r="S987">
        <v>0</v>
      </c>
      <c r="T987">
        <v>0</v>
      </c>
      <c r="U987" s="8">
        <v>0</v>
      </c>
      <c r="V987" s="8">
        <f t="shared" si="31"/>
        <v>0</v>
      </c>
      <c r="W987" t="str">
        <f>_xlfn.XLOOKUP(A987, Matches!A:A, Matches!L:L, "NA", 0)</f>
        <v>RCBW</v>
      </c>
      <c r="X987" t="str">
        <f>_xlfn.XLOOKUP(A987, Matches!A:A, Matches!J:J, "NA", 0)</f>
        <v>RCBW</v>
      </c>
      <c r="Y987" t="str">
        <f>_xlfn.XLOOKUP(A987, Matches!A:A, Matches!F:F, "NA", 0)</f>
        <v>BCA Stadium, Kotambi</v>
      </c>
      <c r="Z987" cm="1">
        <f t="array" ref="Z987">INDEX(Innings!F:F,MATCH(1,(TRIM(Innings!A:A)=TRIM(A987))*(TRIM(Innings!D:D)=TRIM(E987)),0))</f>
        <v>202</v>
      </c>
      <c r="AA987" cm="1">
        <f t="array" ref="AA987">INDEX(Innings!I:I,MATCH(1,(TRIM(Innings!A:A)=TRIM(A987))*(TRIM(Innings!D:D)=TRIM(E987)),0))</f>
        <v>10.92</v>
      </c>
      <c r="AB987" cm="1">
        <f t="array" ref="AB987">INDEX(Innings!J:J,MATCH(1,(TRIM(Innings!A:A)=TRIM(A987))*(TRIM(Innings!D:D)=TRIM(E987)),0))</f>
        <v>51</v>
      </c>
      <c r="AC987" cm="1">
        <f t="array" ref="AC987">INDEX(Innings!N:N,MATCH(1,(TRIM(Innings!A:A)=TRIM(A987))*(TRIM(Innings!D:D)=TRIM(E987)),0))</f>
        <v>40</v>
      </c>
      <c r="AD987" cm="1">
        <f t="array" ref="AD987">INDEX(Innings!S:S,MATCH(1,(TRIM(Innings!A:A)=TRIM(A987))*(TRIM(Innings!D:D)=TRIM(E987)),0))</f>
        <v>23</v>
      </c>
      <c r="AE987" t="str" cm="1">
        <f t="array" ref="AE987">INDEX(Innings!W:W,MATCH(1,(TRIM(Innings!A:A)=TRIM(A987))*(TRIM(Innings!D:D)=TRIM(E987)),0))</f>
        <v>Successful</v>
      </c>
      <c r="AF987">
        <f>IF(UPPER(TRIM(E987))=UPPER(TRIM(W987)),1,0)</f>
        <v>1</v>
      </c>
      <c r="AG987">
        <f t="shared" si="30"/>
        <v>20</v>
      </c>
    </row>
    <row r="988" spans="1:33" x14ac:dyDescent="0.3">
      <c r="A988" t="s">
        <v>462</v>
      </c>
      <c r="B988">
        <v>3</v>
      </c>
      <c r="C988" t="s">
        <v>491</v>
      </c>
      <c r="D988" t="s">
        <v>498</v>
      </c>
      <c r="E988" t="s">
        <v>159</v>
      </c>
      <c r="F988" t="s">
        <v>169</v>
      </c>
      <c r="G988" t="s">
        <v>104</v>
      </c>
      <c r="H988">
        <v>0</v>
      </c>
      <c r="I988">
        <v>0</v>
      </c>
      <c r="J988">
        <v>0</v>
      </c>
      <c r="K988" t="s">
        <v>104</v>
      </c>
      <c r="L988">
        <v>0</v>
      </c>
      <c r="M988">
        <v>2</v>
      </c>
      <c r="N988">
        <v>0</v>
      </c>
      <c r="O988">
        <v>26</v>
      </c>
      <c r="P988">
        <v>1</v>
      </c>
      <c r="Q988">
        <v>13</v>
      </c>
      <c r="R988">
        <v>25</v>
      </c>
      <c r="S988">
        <v>0</v>
      </c>
      <c r="T988">
        <v>0</v>
      </c>
      <c r="U988" s="8">
        <v>25</v>
      </c>
      <c r="V988" s="8">
        <f t="shared" si="31"/>
        <v>3</v>
      </c>
      <c r="W988" t="str">
        <f>_xlfn.XLOOKUP(A988, Matches!A:A, Matches!L:L, "NA", 0)</f>
        <v>RCBW</v>
      </c>
      <c r="X988" t="str">
        <f>_xlfn.XLOOKUP(A988, Matches!A:A, Matches!J:J, "NA", 0)</f>
        <v>RCBW</v>
      </c>
      <c r="Y988" t="str">
        <f>_xlfn.XLOOKUP(A988, Matches!A:A, Matches!F:F, "NA", 0)</f>
        <v>BCA Stadium, Kotambi</v>
      </c>
      <c r="Z988" cm="1">
        <f t="array" ref="Z988">INDEX(Innings!F:F,MATCH(1,(TRIM(Innings!A:A)=TRIM(A988))*(TRIM(Innings!D:D)=TRIM(E988)),0))</f>
        <v>202</v>
      </c>
      <c r="AA988" cm="1">
        <f t="array" ref="AA988">INDEX(Innings!I:I,MATCH(1,(TRIM(Innings!A:A)=TRIM(A988))*(TRIM(Innings!D:D)=TRIM(E988)),0))</f>
        <v>10.92</v>
      </c>
      <c r="AB988" cm="1">
        <f t="array" ref="AB988">INDEX(Innings!J:J,MATCH(1,(TRIM(Innings!A:A)=TRIM(A988))*(TRIM(Innings!D:D)=TRIM(E988)),0))</f>
        <v>51</v>
      </c>
      <c r="AC988" cm="1">
        <f t="array" ref="AC988">INDEX(Innings!N:N,MATCH(1,(TRIM(Innings!A:A)=TRIM(A988))*(TRIM(Innings!D:D)=TRIM(E988)),0))</f>
        <v>40</v>
      </c>
      <c r="AD988" cm="1">
        <f t="array" ref="AD988">INDEX(Innings!S:S,MATCH(1,(TRIM(Innings!A:A)=TRIM(A988))*(TRIM(Innings!D:D)=TRIM(E988)),0))</f>
        <v>23</v>
      </c>
      <c r="AE988" t="str" cm="1">
        <f t="array" ref="AE988">INDEX(Innings!W:W,MATCH(1,(TRIM(Innings!A:A)=TRIM(A988))*(TRIM(Innings!D:D)=TRIM(E988)),0))</f>
        <v>Successful</v>
      </c>
      <c r="AF988">
        <f>IF(UPPER(TRIM(E988))=UPPER(TRIM(W988)),1,0)</f>
        <v>1</v>
      </c>
      <c r="AG988">
        <f t="shared" si="30"/>
        <v>33.4</v>
      </c>
    </row>
    <row r="989" spans="1:33" x14ac:dyDescent="0.3">
      <c r="A989" t="s">
        <v>462</v>
      </c>
      <c r="B989">
        <v>3</v>
      </c>
      <c r="C989" t="s">
        <v>492</v>
      </c>
      <c r="D989" t="s">
        <v>499</v>
      </c>
      <c r="E989" t="s">
        <v>159</v>
      </c>
      <c r="F989" t="s">
        <v>169</v>
      </c>
      <c r="G989" t="s">
        <v>104</v>
      </c>
      <c r="H989">
        <v>0</v>
      </c>
      <c r="I989">
        <v>0</v>
      </c>
      <c r="J989">
        <v>0</v>
      </c>
      <c r="K989" t="s">
        <v>104</v>
      </c>
      <c r="L989">
        <v>0</v>
      </c>
      <c r="M989">
        <v>4</v>
      </c>
      <c r="N989">
        <v>0</v>
      </c>
      <c r="O989">
        <v>43</v>
      </c>
      <c r="P989">
        <v>0</v>
      </c>
      <c r="Q989">
        <v>10.8</v>
      </c>
      <c r="R989">
        <v>0</v>
      </c>
      <c r="S989">
        <v>0</v>
      </c>
      <c r="T989">
        <v>0</v>
      </c>
      <c r="U989" s="8">
        <v>0</v>
      </c>
      <c r="V989" s="8">
        <f t="shared" si="31"/>
        <v>0</v>
      </c>
      <c r="W989" t="str">
        <f>_xlfn.XLOOKUP(A989, Matches!A:A, Matches!L:L, "NA", 0)</f>
        <v>RCBW</v>
      </c>
      <c r="X989" t="str">
        <f>_xlfn.XLOOKUP(A989, Matches!A:A, Matches!J:J, "NA", 0)</f>
        <v>RCBW</v>
      </c>
      <c r="Y989" t="str">
        <f>_xlfn.XLOOKUP(A989, Matches!A:A, Matches!F:F, "NA", 0)</f>
        <v>BCA Stadium, Kotambi</v>
      </c>
      <c r="Z989" cm="1">
        <f t="array" ref="Z989">INDEX(Innings!F:F,MATCH(1,(TRIM(Innings!A:A)=TRIM(A989))*(TRIM(Innings!D:D)=TRIM(E989)),0))</f>
        <v>202</v>
      </c>
      <c r="AA989" cm="1">
        <f t="array" ref="AA989">INDEX(Innings!I:I,MATCH(1,(TRIM(Innings!A:A)=TRIM(A989))*(TRIM(Innings!D:D)=TRIM(E989)),0))</f>
        <v>10.92</v>
      </c>
      <c r="AB989" cm="1">
        <f t="array" ref="AB989">INDEX(Innings!J:J,MATCH(1,(TRIM(Innings!A:A)=TRIM(A989))*(TRIM(Innings!D:D)=TRIM(E989)),0))</f>
        <v>51</v>
      </c>
      <c r="AC989" cm="1">
        <f t="array" ref="AC989">INDEX(Innings!N:N,MATCH(1,(TRIM(Innings!A:A)=TRIM(A989))*(TRIM(Innings!D:D)=TRIM(E989)),0))</f>
        <v>40</v>
      </c>
      <c r="AD989" cm="1">
        <f t="array" ref="AD989">INDEX(Innings!S:S,MATCH(1,(TRIM(Innings!A:A)=TRIM(A989))*(TRIM(Innings!D:D)=TRIM(E989)),0))</f>
        <v>23</v>
      </c>
      <c r="AE989" t="str" cm="1">
        <f t="array" ref="AE989">INDEX(Innings!W:W,MATCH(1,(TRIM(Innings!A:A)=TRIM(A989))*(TRIM(Innings!D:D)=TRIM(E989)),0))</f>
        <v>Successful</v>
      </c>
      <c r="AF989">
        <f>IF(UPPER(TRIM(E989))=UPPER(TRIM(W989)),1,0)</f>
        <v>1</v>
      </c>
      <c r="AG989">
        <f t="shared" si="30"/>
        <v>20</v>
      </c>
    </row>
    <row r="990" spans="1:33" x14ac:dyDescent="0.3">
      <c r="A990" t="s">
        <v>462</v>
      </c>
      <c r="B990">
        <v>3</v>
      </c>
      <c r="C990" t="s">
        <v>186</v>
      </c>
      <c r="D990" t="s">
        <v>187</v>
      </c>
      <c r="E990" t="s">
        <v>159</v>
      </c>
      <c r="F990" t="s">
        <v>101</v>
      </c>
      <c r="G990" t="s">
        <v>104</v>
      </c>
      <c r="H990">
        <v>0</v>
      </c>
      <c r="I990">
        <v>0</v>
      </c>
      <c r="J990">
        <v>0</v>
      </c>
      <c r="K990" t="s">
        <v>104</v>
      </c>
      <c r="L990">
        <v>0</v>
      </c>
      <c r="M990">
        <v>4</v>
      </c>
      <c r="N990">
        <v>0</v>
      </c>
      <c r="O990">
        <v>25</v>
      </c>
      <c r="P990">
        <v>2</v>
      </c>
      <c r="Q990">
        <v>6.2</v>
      </c>
      <c r="R990">
        <v>50</v>
      </c>
      <c r="S990">
        <v>0</v>
      </c>
      <c r="T990">
        <v>0</v>
      </c>
      <c r="U990" s="8">
        <v>50</v>
      </c>
      <c r="V990" s="8">
        <f t="shared" si="31"/>
        <v>5</v>
      </c>
      <c r="W990" t="str">
        <f>_xlfn.XLOOKUP(A990, Matches!A:A, Matches!L:L, "NA", 0)</f>
        <v>RCBW</v>
      </c>
      <c r="X990" t="str">
        <f>_xlfn.XLOOKUP(A990, Matches!A:A, Matches!J:J, "NA", 0)</f>
        <v>RCBW</v>
      </c>
      <c r="Y990" t="str">
        <f>_xlfn.XLOOKUP(A990, Matches!A:A, Matches!F:F, "NA", 0)</f>
        <v>BCA Stadium, Kotambi</v>
      </c>
      <c r="Z990" cm="1">
        <f t="array" ref="Z990">INDEX(Innings!F:F,MATCH(1,(TRIM(Innings!A:A)=TRIM(A990))*(TRIM(Innings!D:D)=TRIM(E990)),0))</f>
        <v>202</v>
      </c>
      <c r="AA990" cm="1">
        <f t="array" ref="AA990">INDEX(Innings!I:I,MATCH(1,(TRIM(Innings!A:A)=TRIM(A990))*(TRIM(Innings!D:D)=TRIM(E990)),0))</f>
        <v>10.92</v>
      </c>
      <c r="AB990" cm="1">
        <f t="array" ref="AB990">INDEX(Innings!J:J,MATCH(1,(TRIM(Innings!A:A)=TRIM(A990))*(TRIM(Innings!D:D)=TRIM(E990)),0))</f>
        <v>51</v>
      </c>
      <c r="AC990" cm="1">
        <f t="array" ref="AC990">INDEX(Innings!N:N,MATCH(1,(TRIM(Innings!A:A)=TRIM(A990))*(TRIM(Innings!D:D)=TRIM(E990)),0))</f>
        <v>40</v>
      </c>
      <c r="AD990" cm="1">
        <f t="array" ref="AD990">INDEX(Innings!S:S,MATCH(1,(TRIM(Innings!A:A)=TRIM(A990))*(TRIM(Innings!D:D)=TRIM(E990)),0))</f>
        <v>23</v>
      </c>
      <c r="AE990" t="str" cm="1">
        <f t="array" ref="AE990">INDEX(Innings!W:W,MATCH(1,(TRIM(Innings!A:A)=TRIM(A990))*(TRIM(Innings!D:D)=TRIM(E990)),0))</f>
        <v>Successful</v>
      </c>
      <c r="AF990">
        <f>IF(UPPER(TRIM(E990))=UPPER(TRIM(W990)),1,0)</f>
        <v>1</v>
      </c>
      <c r="AG990">
        <f t="shared" si="30"/>
        <v>46.5</v>
      </c>
    </row>
    <row r="991" spans="1:33" x14ac:dyDescent="0.3">
      <c r="A991" t="s">
        <v>463</v>
      </c>
      <c r="B991">
        <v>3</v>
      </c>
      <c r="C991" t="s">
        <v>113</v>
      </c>
      <c r="D991" t="s">
        <v>84</v>
      </c>
      <c r="E991" t="s">
        <v>266</v>
      </c>
      <c r="F991" t="s">
        <v>85</v>
      </c>
      <c r="G991" t="s">
        <v>86</v>
      </c>
      <c r="H991">
        <v>11</v>
      </c>
      <c r="I991">
        <v>9</v>
      </c>
      <c r="J991">
        <v>122.22</v>
      </c>
      <c r="K991" t="s">
        <v>245</v>
      </c>
      <c r="L991">
        <v>9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 s="8">
        <v>9</v>
      </c>
      <c r="V991" s="8">
        <f t="shared" si="31"/>
        <v>1</v>
      </c>
      <c r="W991" t="str">
        <f>_xlfn.XLOOKUP(A991, Matches!A:A, Matches!L:L, "NA", 0)</f>
        <v>DCW</v>
      </c>
      <c r="X991" t="str">
        <f>_xlfn.XLOOKUP(A991, Matches!A:A, Matches!J:J, "NA", 0)</f>
        <v>DCW</v>
      </c>
      <c r="Y991" t="str">
        <f>_xlfn.XLOOKUP(A991, Matches!A:A, Matches!F:F, "NA", 0)</f>
        <v>BCA Stadium, Kotambi</v>
      </c>
      <c r="Z991" cm="1">
        <f t="array" ref="Z991">INDEX(Innings!F:F,MATCH(1,(TRIM(Innings!A:A)=TRIM(A991))*(TRIM(Innings!D:D)=TRIM(E991)),0))</f>
        <v>164</v>
      </c>
      <c r="AA991" cm="1">
        <f t="array" ref="AA991">INDEX(Innings!I:I,MATCH(1,(TRIM(Innings!A:A)=TRIM(A991))*(TRIM(Innings!D:D)=TRIM(E991)),0))</f>
        <v>8.56</v>
      </c>
      <c r="AB991" cm="1">
        <f t="array" ref="AB991">INDEX(Innings!J:J,MATCH(1,(TRIM(Innings!A:A)=TRIM(A991))*(TRIM(Innings!D:D)=TRIM(E991)),0))</f>
        <v>41</v>
      </c>
      <c r="AC991" cm="1">
        <f t="array" ref="AC991">INDEX(Innings!N:N,MATCH(1,(TRIM(Innings!A:A)=TRIM(A991))*(TRIM(Innings!D:D)=TRIM(E991)),0))</f>
        <v>18</v>
      </c>
      <c r="AD991" cm="1">
        <f t="array" ref="AD991">INDEX(Innings!S:S,MATCH(1,(TRIM(Innings!A:A)=TRIM(A991))*(TRIM(Innings!D:D)=TRIM(E991)),0))</f>
        <v>39</v>
      </c>
      <c r="AE991" t="str" cm="1">
        <f t="array" ref="AE991">INDEX(Innings!W:W,MATCH(1,(TRIM(Innings!A:A)=TRIM(A991))*(TRIM(Innings!D:D)=TRIM(E991)),0))</f>
        <v>NA</v>
      </c>
      <c r="AF991">
        <f>IF(UPPER(TRIM(E991))=UPPER(TRIM(W991)),1,0)</f>
        <v>0</v>
      </c>
      <c r="AG991">
        <f t="shared" si="30"/>
        <v>4.8</v>
      </c>
    </row>
    <row r="992" spans="1:33" x14ac:dyDescent="0.3">
      <c r="A992" t="s">
        <v>463</v>
      </c>
      <c r="B992">
        <v>3</v>
      </c>
      <c r="C992" t="s">
        <v>112</v>
      </c>
      <c r="D992" t="s">
        <v>88</v>
      </c>
      <c r="E992" t="s">
        <v>266</v>
      </c>
      <c r="F992" t="s">
        <v>169</v>
      </c>
      <c r="G992" t="s">
        <v>86</v>
      </c>
      <c r="H992">
        <v>0</v>
      </c>
      <c r="I992">
        <v>2</v>
      </c>
      <c r="J992">
        <v>0</v>
      </c>
      <c r="K992" t="s">
        <v>246</v>
      </c>
      <c r="L992">
        <v>0</v>
      </c>
      <c r="M992">
        <v>4</v>
      </c>
      <c r="N992">
        <v>0</v>
      </c>
      <c r="O992">
        <v>32</v>
      </c>
      <c r="P992">
        <v>2</v>
      </c>
      <c r="Q992">
        <v>8</v>
      </c>
      <c r="R992">
        <v>50</v>
      </c>
      <c r="S992">
        <v>0</v>
      </c>
      <c r="T992">
        <v>0</v>
      </c>
      <c r="U992" s="8">
        <v>50</v>
      </c>
      <c r="V992" s="8">
        <f t="shared" si="31"/>
        <v>5</v>
      </c>
      <c r="W992" t="str">
        <f>_xlfn.XLOOKUP(A992, Matches!A:A, Matches!L:L, "NA", 0)</f>
        <v>DCW</v>
      </c>
      <c r="X992" t="str">
        <f>_xlfn.XLOOKUP(A992, Matches!A:A, Matches!J:J, "NA", 0)</f>
        <v>DCW</v>
      </c>
      <c r="Y992" t="str">
        <f>_xlfn.XLOOKUP(A992, Matches!A:A, Matches!F:F, "NA", 0)</f>
        <v>BCA Stadium, Kotambi</v>
      </c>
      <c r="Z992" cm="1">
        <f t="array" ref="Z992">INDEX(Innings!F:F,MATCH(1,(TRIM(Innings!A:A)=TRIM(A992))*(TRIM(Innings!D:D)=TRIM(E992)),0))</f>
        <v>164</v>
      </c>
      <c r="AA992" cm="1">
        <f t="array" ref="AA992">INDEX(Innings!I:I,MATCH(1,(TRIM(Innings!A:A)=TRIM(A992))*(TRIM(Innings!D:D)=TRIM(E992)),0))</f>
        <v>8.56</v>
      </c>
      <c r="AB992" cm="1">
        <f t="array" ref="AB992">INDEX(Innings!J:J,MATCH(1,(TRIM(Innings!A:A)=TRIM(A992))*(TRIM(Innings!D:D)=TRIM(E992)),0))</f>
        <v>41</v>
      </c>
      <c r="AC992" cm="1">
        <f t="array" ref="AC992">INDEX(Innings!N:N,MATCH(1,(TRIM(Innings!A:A)=TRIM(A992))*(TRIM(Innings!D:D)=TRIM(E992)),0))</f>
        <v>18</v>
      </c>
      <c r="AD992" cm="1">
        <f t="array" ref="AD992">INDEX(Innings!S:S,MATCH(1,(TRIM(Innings!A:A)=TRIM(A992))*(TRIM(Innings!D:D)=TRIM(E992)),0))</f>
        <v>39</v>
      </c>
      <c r="AE992" t="str" cm="1">
        <f t="array" ref="AE992">INDEX(Innings!W:W,MATCH(1,(TRIM(Innings!A:A)=TRIM(A992))*(TRIM(Innings!D:D)=TRIM(E992)),0))</f>
        <v>NA</v>
      </c>
      <c r="AF992">
        <f>IF(UPPER(TRIM(E992))=UPPER(TRIM(W992)),1,0)</f>
        <v>0</v>
      </c>
      <c r="AG992">
        <f t="shared" si="30"/>
        <v>26.5</v>
      </c>
    </row>
    <row r="993" spans="1:33" x14ac:dyDescent="0.3">
      <c r="A993" t="s">
        <v>463</v>
      </c>
      <c r="B993">
        <v>3</v>
      </c>
      <c r="C993" t="s">
        <v>117</v>
      </c>
      <c r="D993" t="s">
        <v>90</v>
      </c>
      <c r="E993" t="s">
        <v>266</v>
      </c>
      <c r="F993" t="s">
        <v>169</v>
      </c>
      <c r="G993" t="s">
        <v>92</v>
      </c>
      <c r="H993">
        <v>80</v>
      </c>
      <c r="I993">
        <v>59</v>
      </c>
      <c r="J993">
        <v>135.59</v>
      </c>
      <c r="K993" t="s">
        <v>96</v>
      </c>
      <c r="L993">
        <v>85</v>
      </c>
      <c r="M993">
        <v>4</v>
      </c>
      <c r="N993">
        <v>0</v>
      </c>
      <c r="O993">
        <v>38</v>
      </c>
      <c r="P993">
        <v>1</v>
      </c>
      <c r="Q993">
        <v>9.5</v>
      </c>
      <c r="R993">
        <v>25</v>
      </c>
      <c r="S993">
        <v>0</v>
      </c>
      <c r="T993">
        <v>0</v>
      </c>
      <c r="U993" s="8">
        <v>110</v>
      </c>
      <c r="V993" s="8">
        <f t="shared" si="31"/>
        <v>10</v>
      </c>
      <c r="W993" t="str">
        <f>_xlfn.XLOOKUP(A993, Matches!A:A, Matches!L:L, "NA", 0)</f>
        <v>DCW</v>
      </c>
      <c r="X993" t="str">
        <f>_xlfn.XLOOKUP(A993, Matches!A:A, Matches!J:J, "NA", 0)</f>
        <v>DCW</v>
      </c>
      <c r="Y993" t="str">
        <f>_xlfn.XLOOKUP(A993, Matches!A:A, Matches!F:F, "NA", 0)</f>
        <v>BCA Stadium, Kotambi</v>
      </c>
      <c r="Z993" cm="1">
        <f t="array" ref="Z993">INDEX(Innings!F:F,MATCH(1,(TRIM(Innings!A:A)=TRIM(A993))*(TRIM(Innings!D:D)=TRIM(E993)),0))</f>
        <v>164</v>
      </c>
      <c r="AA993" cm="1">
        <f t="array" ref="AA993">INDEX(Innings!I:I,MATCH(1,(TRIM(Innings!A:A)=TRIM(A993))*(TRIM(Innings!D:D)=TRIM(E993)),0))</f>
        <v>8.56</v>
      </c>
      <c r="AB993" cm="1">
        <f t="array" ref="AB993">INDEX(Innings!J:J,MATCH(1,(TRIM(Innings!A:A)=TRIM(A993))*(TRIM(Innings!D:D)=TRIM(E993)),0))</f>
        <v>41</v>
      </c>
      <c r="AC993" cm="1">
        <f t="array" ref="AC993">INDEX(Innings!N:N,MATCH(1,(TRIM(Innings!A:A)=TRIM(A993))*(TRIM(Innings!D:D)=TRIM(E993)),0))</f>
        <v>18</v>
      </c>
      <c r="AD993" cm="1">
        <f t="array" ref="AD993">INDEX(Innings!S:S,MATCH(1,(TRIM(Innings!A:A)=TRIM(A993))*(TRIM(Innings!D:D)=TRIM(E993)),0))</f>
        <v>39</v>
      </c>
      <c r="AE993" t="str" cm="1">
        <f t="array" ref="AE993">INDEX(Innings!W:W,MATCH(1,(TRIM(Innings!A:A)=TRIM(A993))*(TRIM(Innings!D:D)=TRIM(E993)),0))</f>
        <v>NA</v>
      </c>
      <c r="AF993">
        <f>IF(UPPER(TRIM(E993))=UPPER(TRIM(W993)),1,0)</f>
        <v>0</v>
      </c>
      <c r="AG993">
        <f t="shared" si="30"/>
        <v>58</v>
      </c>
    </row>
    <row r="994" spans="1:33" x14ac:dyDescent="0.3">
      <c r="A994" t="s">
        <v>463</v>
      </c>
      <c r="B994">
        <v>3</v>
      </c>
      <c r="C994" t="s">
        <v>115</v>
      </c>
      <c r="D994" t="s">
        <v>17</v>
      </c>
      <c r="E994" t="s">
        <v>266</v>
      </c>
      <c r="F994" t="s">
        <v>169</v>
      </c>
      <c r="G994" t="s">
        <v>134</v>
      </c>
      <c r="H994">
        <v>42</v>
      </c>
      <c r="I994">
        <v>22</v>
      </c>
      <c r="J994">
        <v>190.91</v>
      </c>
      <c r="K994" t="s">
        <v>246</v>
      </c>
      <c r="L994">
        <v>60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 s="8">
        <v>60</v>
      </c>
      <c r="V994" s="8">
        <f t="shared" si="31"/>
        <v>6</v>
      </c>
      <c r="W994" t="str">
        <f>_xlfn.XLOOKUP(A994, Matches!A:A, Matches!L:L, "NA", 0)</f>
        <v>DCW</v>
      </c>
      <c r="X994" t="str">
        <f>_xlfn.XLOOKUP(A994, Matches!A:A, Matches!J:J, "NA", 0)</f>
        <v>DCW</v>
      </c>
      <c r="Y994" t="str">
        <f>_xlfn.XLOOKUP(A994, Matches!A:A, Matches!F:F, "NA", 0)</f>
        <v>BCA Stadium, Kotambi</v>
      </c>
      <c r="Z994" cm="1">
        <f t="array" ref="Z994">INDEX(Innings!F:F,MATCH(1,(TRIM(Innings!A:A)=TRIM(A994))*(TRIM(Innings!D:D)=TRIM(E994)),0))</f>
        <v>164</v>
      </c>
      <c r="AA994" cm="1">
        <f t="array" ref="AA994">INDEX(Innings!I:I,MATCH(1,(TRIM(Innings!A:A)=TRIM(A994))*(TRIM(Innings!D:D)=TRIM(E994)),0))</f>
        <v>8.56</v>
      </c>
      <c r="AB994" cm="1">
        <f t="array" ref="AB994">INDEX(Innings!J:J,MATCH(1,(TRIM(Innings!A:A)=TRIM(A994))*(TRIM(Innings!D:D)=TRIM(E994)),0))</f>
        <v>41</v>
      </c>
      <c r="AC994" cm="1">
        <f t="array" ref="AC994">INDEX(Innings!N:N,MATCH(1,(TRIM(Innings!A:A)=TRIM(A994))*(TRIM(Innings!D:D)=TRIM(E994)),0))</f>
        <v>18</v>
      </c>
      <c r="AD994" cm="1">
        <f t="array" ref="AD994">INDEX(Innings!S:S,MATCH(1,(TRIM(Innings!A:A)=TRIM(A994))*(TRIM(Innings!D:D)=TRIM(E994)),0))</f>
        <v>39</v>
      </c>
      <c r="AE994" t="str" cm="1">
        <f t="array" ref="AE994">INDEX(Innings!W:W,MATCH(1,(TRIM(Innings!A:A)=TRIM(A994))*(TRIM(Innings!D:D)=TRIM(E994)),0))</f>
        <v>NA</v>
      </c>
      <c r="AF994">
        <f>IF(UPPER(TRIM(E994))=UPPER(TRIM(W994)),1,0)</f>
        <v>0</v>
      </c>
      <c r="AG994">
        <f t="shared" si="30"/>
        <v>31.8</v>
      </c>
    </row>
    <row r="995" spans="1:33" x14ac:dyDescent="0.3">
      <c r="A995" t="s">
        <v>463</v>
      </c>
      <c r="B995">
        <v>3</v>
      </c>
      <c r="C995" t="s">
        <v>119</v>
      </c>
      <c r="D995" t="s">
        <v>95</v>
      </c>
      <c r="E995" t="s">
        <v>266</v>
      </c>
      <c r="F995" t="s">
        <v>169</v>
      </c>
      <c r="G995" t="s">
        <v>134</v>
      </c>
      <c r="H995">
        <v>9</v>
      </c>
      <c r="I995">
        <v>9</v>
      </c>
      <c r="J995">
        <v>100</v>
      </c>
      <c r="K995" t="s">
        <v>256</v>
      </c>
      <c r="L995">
        <v>8</v>
      </c>
      <c r="M995">
        <v>4</v>
      </c>
      <c r="N995">
        <v>0</v>
      </c>
      <c r="O995">
        <v>21</v>
      </c>
      <c r="P995">
        <v>2</v>
      </c>
      <c r="Q995">
        <v>5.2</v>
      </c>
      <c r="R995">
        <v>50</v>
      </c>
      <c r="S995">
        <v>0</v>
      </c>
      <c r="T995">
        <v>0</v>
      </c>
      <c r="U995" s="8">
        <v>58</v>
      </c>
      <c r="V995" s="8">
        <f t="shared" si="31"/>
        <v>6</v>
      </c>
      <c r="W995" t="str">
        <f>_xlfn.XLOOKUP(A995, Matches!A:A, Matches!L:L, "NA", 0)</f>
        <v>DCW</v>
      </c>
      <c r="X995" t="str">
        <f>_xlfn.XLOOKUP(A995, Matches!A:A, Matches!J:J, "NA", 0)</f>
        <v>DCW</v>
      </c>
      <c r="Y995" t="str">
        <f>_xlfn.XLOOKUP(A995, Matches!A:A, Matches!F:F, "NA", 0)</f>
        <v>BCA Stadium, Kotambi</v>
      </c>
      <c r="Z995" cm="1">
        <f t="array" ref="Z995">INDEX(Innings!F:F,MATCH(1,(TRIM(Innings!A:A)=TRIM(A995))*(TRIM(Innings!D:D)=TRIM(E995)),0))</f>
        <v>164</v>
      </c>
      <c r="AA995" cm="1">
        <f t="array" ref="AA995">INDEX(Innings!I:I,MATCH(1,(TRIM(Innings!A:A)=TRIM(A995))*(TRIM(Innings!D:D)=TRIM(E995)),0))</f>
        <v>8.56</v>
      </c>
      <c r="AB995" cm="1">
        <f t="array" ref="AB995">INDEX(Innings!J:J,MATCH(1,(TRIM(Innings!A:A)=TRIM(A995))*(TRIM(Innings!D:D)=TRIM(E995)),0))</f>
        <v>41</v>
      </c>
      <c r="AC995" cm="1">
        <f t="array" ref="AC995">INDEX(Innings!N:N,MATCH(1,(TRIM(Innings!A:A)=TRIM(A995))*(TRIM(Innings!D:D)=TRIM(E995)),0))</f>
        <v>18</v>
      </c>
      <c r="AD995" cm="1">
        <f t="array" ref="AD995">INDEX(Innings!S:S,MATCH(1,(TRIM(Innings!A:A)=TRIM(A995))*(TRIM(Innings!D:D)=TRIM(E995)),0))</f>
        <v>39</v>
      </c>
      <c r="AE995" t="str" cm="1">
        <f t="array" ref="AE995">INDEX(Innings!W:W,MATCH(1,(TRIM(Innings!A:A)=TRIM(A995))*(TRIM(Innings!D:D)=TRIM(E995)),0))</f>
        <v>NA</v>
      </c>
      <c r="AF995">
        <f>IF(UPPER(TRIM(E995))=UPPER(TRIM(W995)),1,0)</f>
        <v>0</v>
      </c>
      <c r="AG995">
        <f t="shared" si="30"/>
        <v>30.8</v>
      </c>
    </row>
    <row r="996" spans="1:33" x14ac:dyDescent="0.3">
      <c r="A996" t="s">
        <v>463</v>
      </c>
      <c r="B996">
        <v>3</v>
      </c>
      <c r="C996" t="s">
        <v>347</v>
      </c>
      <c r="D996" t="s">
        <v>348</v>
      </c>
      <c r="E996" t="s">
        <v>266</v>
      </c>
      <c r="F996" t="s">
        <v>169</v>
      </c>
      <c r="G996" t="s">
        <v>134</v>
      </c>
      <c r="H996">
        <v>1</v>
      </c>
      <c r="I996">
        <v>2</v>
      </c>
      <c r="J996">
        <v>50</v>
      </c>
      <c r="K996" t="s">
        <v>246</v>
      </c>
      <c r="L996">
        <v>0.5</v>
      </c>
      <c r="M996">
        <v>1</v>
      </c>
      <c r="N996">
        <v>0</v>
      </c>
      <c r="O996">
        <v>10</v>
      </c>
      <c r="P996">
        <v>1</v>
      </c>
      <c r="Q996">
        <v>10</v>
      </c>
      <c r="R996">
        <v>25</v>
      </c>
      <c r="S996">
        <v>0</v>
      </c>
      <c r="T996">
        <v>0</v>
      </c>
      <c r="U996" s="8">
        <v>25.5</v>
      </c>
      <c r="V996" s="8">
        <f t="shared" si="31"/>
        <v>3</v>
      </c>
      <c r="W996" t="str">
        <f>_xlfn.XLOOKUP(A996, Matches!A:A, Matches!L:L, "NA", 0)</f>
        <v>DCW</v>
      </c>
      <c r="X996" t="str">
        <f>_xlfn.XLOOKUP(A996, Matches!A:A, Matches!J:J, "NA", 0)</f>
        <v>DCW</v>
      </c>
      <c r="Y996" t="str">
        <f>_xlfn.XLOOKUP(A996, Matches!A:A, Matches!F:F, "NA", 0)</f>
        <v>BCA Stadium, Kotambi</v>
      </c>
      <c r="Z996" cm="1">
        <f t="array" ref="Z996">INDEX(Innings!F:F,MATCH(1,(TRIM(Innings!A:A)=TRIM(A996))*(TRIM(Innings!D:D)=TRIM(E996)),0))</f>
        <v>164</v>
      </c>
      <c r="AA996" cm="1">
        <f t="array" ref="AA996">INDEX(Innings!I:I,MATCH(1,(TRIM(Innings!A:A)=TRIM(A996))*(TRIM(Innings!D:D)=TRIM(E996)),0))</f>
        <v>8.56</v>
      </c>
      <c r="AB996" cm="1">
        <f t="array" ref="AB996">INDEX(Innings!J:J,MATCH(1,(TRIM(Innings!A:A)=TRIM(A996))*(TRIM(Innings!D:D)=TRIM(E996)),0))</f>
        <v>41</v>
      </c>
      <c r="AC996" cm="1">
        <f t="array" ref="AC996">INDEX(Innings!N:N,MATCH(1,(TRIM(Innings!A:A)=TRIM(A996))*(TRIM(Innings!D:D)=TRIM(E996)),0))</f>
        <v>18</v>
      </c>
      <c r="AD996" cm="1">
        <f t="array" ref="AD996">INDEX(Innings!S:S,MATCH(1,(TRIM(Innings!A:A)=TRIM(A996))*(TRIM(Innings!D:D)=TRIM(E996)),0))</f>
        <v>39</v>
      </c>
      <c r="AE996" t="str" cm="1">
        <f t="array" ref="AE996">INDEX(Innings!W:W,MATCH(1,(TRIM(Innings!A:A)=TRIM(A996))*(TRIM(Innings!D:D)=TRIM(E996)),0))</f>
        <v>NA</v>
      </c>
      <c r="AF996">
        <f>IF(UPPER(TRIM(E996))=UPPER(TRIM(W996)),1,0)</f>
        <v>0</v>
      </c>
      <c r="AG996">
        <f t="shared" si="30"/>
        <v>13.65</v>
      </c>
    </row>
    <row r="997" spans="1:33" x14ac:dyDescent="0.3">
      <c r="A997" t="s">
        <v>463</v>
      </c>
      <c r="B997">
        <v>3</v>
      </c>
      <c r="C997" t="s">
        <v>121</v>
      </c>
      <c r="D997" t="s">
        <v>108</v>
      </c>
      <c r="E997" t="s">
        <v>266</v>
      </c>
      <c r="F997" t="s">
        <v>169</v>
      </c>
      <c r="G997" t="s">
        <v>134</v>
      </c>
      <c r="H997">
        <v>7</v>
      </c>
      <c r="I997">
        <v>7</v>
      </c>
      <c r="J997">
        <v>100</v>
      </c>
      <c r="K997" t="s">
        <v>245</v>
      </c>
      <c r="L997">
        <v>6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 s="8">
        <v>6</v>
      </c>
      <c r="V997" s="8">
        <f t="shared" si="31"/>
        <v>1</v>
      </c>
      <c r="W997" t="str">
        <f>_xlfn.XLOOKUP(A997, Matches!A:A, Matches!L:L, "NA", 0)</f>
        <v>DCW</v>
      </c>
      <c r="X997" t="str">
        <f>_xlfn.XLOOKUP(A997, Matches!A:A, Matches!J:J, "NA", 0)</f>
        <v>DCW</v>
      </c>
      <c r="Y997" t="str">
        <f>_xlfn.XLOOKUP(A997, Matches!A:A, Matches!F:F, "NA", 0)</f>
        <v>BCA Stadium, Kotambi</v>
      </c>
      <c r="Z997" cm="1">
        <f t="array" ref="Z997">INDEX(Innings!F:F,MATCH(1,(TRIM(Innings!A:A)=TRIM(A997))*(TRIM(Innings!D:D)=TRIM(E997)),0))</f>
        <v>164</v>
      </c>
      <c r="AA997" cm="1">
        <f t="array" ref="AA997">INDEX(Innings!I:I,MATCH(1,(TRIM(Innings!A:A)=TRIM(A997))*(TRIM(Innings!D:D)=TRIM(E997)),0))</f>
        <v>8.56</v>
      </c>
      <c r="AB997" cm="1">
        <f t="array" ref="AB997">INDEX(Innings!J:J,MATCH(1,(TRIM(Innings!A:A)=TRIM(A997))*(TRIM(Innings!D:D)=TRIM(E997)),0))</f>
        <v>41</v>
      </c>
      <c r="AC997" cm="1">
        <f t="array" ref="AC997">INDEX(Innings!N:N,MATCH(1,(TRIM(Innings!A:A)=TRIM(A997))*(TRIM(Innings!D:D)=TRIM(E997)),0))</f>
        <v>18</v>
      </c>
      <c r="AD997" cm="1">
        <f t="array" ref="AD997">INDEX(Innings!S:S,MATCH(1,(TRIM(Innings!A:A)=TRIM(A997))*(TRIM(Innings!D:D)=TRIM(E997)),0))</f>
        <v>39</v>
      </c>
      <c r="AE997" t="str" cm="1">
        <f t="array" ref="AE997">INDEX(Innings!W:W,MATCH(1,(TRIM(Innings!A:A)=TRIM(A997))*(TRIM(Innings!D:D)=TRIM(E997)),0))</f>
        <v>NA</v>
      </c>
      <c r="AF997">
        <f>IF(UPPER(TRIM(E997))=UPPER(TRIM(W997)),1,0)</f>
        <v>0</v>
      </c>
      <c r="AG997">
        <f t="shared" si="30"/>
        <v>3.3</v>
      </c>
    </row>
    <row r="998" spans="1:33" x14ac:dyDescent="0.3">
      <c r="A998" t="s">
        <v>463</v>
      </c>
      <c r="B998">
        <v>3</v>
      </c>
      <c r="C998" t="s">
        <v>507</v>
      </c>
      <c r="D998" t="s">
        <v>519</v>
      </c>
      <c r="E998" t="s">
        <v>266</v>
      </c>
      <c r="F998" t="s">
        <v>169</v>
      </c>
      <c r="G998" t="s">
        <v>134</v>
      </c>
      <c r="H998">
        <v>2</v>
      </c>
      <c r="I998">
        <v>5</v>
      </c>
      <c r="J998">
        <v>40</v>
      </c>
      <c r="K998" t="s">
        <v>246</v>
      </c>
      <c r="L998">
        <v>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 s="8">
        <v>1</v>
      </c>
      <c r="V998" s="8">
        <f t="shared" si="31"/>
        <v>0</v>
      </c>
      <c r="W998" t="str">
        <f>_xlfn.XLOOKUP(A998, Matches!A:A, Matches!L:L, "NA", 0)</f>
        <v>DCW</v>
      </c>
      <c r="X998" t="str">
        <f>_xlfn.XLOOKUP(A998, Matches!A:A, Matches!J:J, "NA", 0)</f>
        <v>DCW</v>
      </c>
      <c r="Y998" t="str">
        <f>_xlfn.XLOOKUP(A998, Matches!A:A, Matches!F:F, "NA", 0)</f>
        <v>BCA Stadium, Kotambi</v>
      </c>
      <c r="Z998" cm="1">
        <f t="array" ref="Z998">INDEX(Innings!F:F,MATCH(1,(TRIM(Innings!A:A)=TRIM(A998))*(TRIM(Innings!D:D)=TRIM(E998)),0))</f>
        <v>164</v>
      </c>
      <c r="AA998" cm="1">
        <f t="array" ref="AA998">INDEX(Innings!I:I,MATCH(1,(TRIM(Innings!A:A)=TRIM(A998))*(TRIM(Innings!D:D)=TRIM(E998)),0))</f>
        <v>8.56</v>
      </c>
      <c r="AB998" cm="1">
        <f t="array" ref="AB998">INDEX(Innings!J:J,MATCH(1,(TRIM(Innings!A:A)=TRIM(A998))*(TRIM(Innings!D:D)=TRIM(E998)),0))</f>
        <v>41</v>
      </c>
      <c r="AC998" cm="1">
        <f t="array" ref="AC998">INDEX(Innings!N:N,MATCH(1,(TRIM(Innings!A:A)=TRIM(A998))*(TRIM(Innings!D:D)=TRIM(E998)),0))</f>
        <v>18</v>
      </c>
      <c r="AD998" cm="1">
        <f t="array" ref="AD998">INDEX(Innings!S:S,MATCH(1,(TRIM(Innings!A:A)=TRIM(A998))*(TRIM(Innings!D:D)=TRIM(E998)),0))</f>
        <v>39</v>
      </c>
      <c r="AE998" t="str" cm="1">
        <f t="array" ref="AE998">INDEX(Innings!W:W,MATCH(1,(TRIM(Innings!A:A)=TRIM(A998))*(TRIM(Innings!D:D)=TRIM(E998)),0))</f>
        <v>NA</v>
      </c>
      <c r="AF998">
        <f>IF(UPPER(TRIM(E998))=UPPER(TRIM(W998)),1,0)</f>
        <v>0</v>
      </c>
      <c r="AG998">
        <f t="shared" si="30"/>
        <v>0.5</v>
      </c>
    </row>
    <row r="999" spans="1:33" x14ac:dyDescent="0.3">
      <c r="A999" t="s">
        <v>463</v>
      </c>
      <c r="B999">
        <v>3</v>
      </c>
      <c r="C999" t="s">
        <v>129</v>
      </c>
      <c r="D999" t="s">
        <v>103</v>
      </c>
      <c r="E999" t="s">
        <v>266</v>
      </c>
      <c r="F999" t="s">
        <v>101</v>
      </c>
      <c r="G999" t="s">
        <v>134</v>
      </c>
      <c r="H999">
        <v>1</v>
      </c>
      <c r="I999">
        <v>1</v>
      </c>
      <c r="J999">
        <v>100</v>
      </c>
      <c r="K999" t="s">
        <v>256</v>
      </c>
      <c r="L999">
        <v>2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 s="8">
        <v>2</v>
      </c>
      <c r="V999" s="8">
        <f t="shared" si="31"/>
        <v>0</v>
      </c>
      <c r="W999" t="str">
        <f>_xlfn.XLOOKUP(A999, Matches!A:A, Matches!L:L, "NA", 0)</f>
        <v>DCW</v>
      </c>
      <c r="X999" t="str">
        <f>_xlfn.XLOOKUP(A999, Matches!A:A, Matches!J:J, "NA", 0)</f>
        <v>DCW</v>
      </c>
      <c r="Y999" t="str">
        <f>_xlfn.XLOOKUP(A999, Matches!A:A, Matches!F:F, "NA", 0)</f>
        <v>BCA Stadium, Kotambi</v>
      </c>
      <c r="Z999" cm="1">
        <f t="array" ref="Z999">INDEX(Innings!F:F,MATCH(1,(TRIM(Innings!A:A)=TRIM(A999))*(TRIM(Innings!D:D)=TRIM(E999)),0))</f>
        <v>164</v>
      </c>
      <c r="AA999" cm="1">
        <f t="array" ref="AA999">INDEX(Innings!I:I,MATCH(1,(TRIM(Innings!A:A)=TRIM(A999))*(TRIM(Innings!D:D)=TRIM(E999)),0))</f>
        <v>8.56</v>
      </c>
      <c r="AB999" cm="1">
        <f t="array" ref="AB999">INDEX(Innings!J:J,MATCH(1,(TRIM(Innings!A:A)=TRIM(A999))*(TRIM(Innings!D:D)=TRIM(E999)),0))</f>
        <v>41</v>
      </c>
      <c r="AC999" cm="1">
        <f t="array" ref="AC999">INDEX(Innings!N:N,MATCH(1,(TRIM(Innings!A:A)=TRIM(A999))*(TRIM(Innings!D:D)=TRIM(E999)),0))</f>
        <v>18</v>
      </c>
      <c r="AD999" cm="1">
        <f t="array" ref="AD999">INDEX(Innings!S:S,MATCH(1,(TRIM(Innings!A:A)=TRIM(A999))*(TRIM(Innings!D:D)=TRIM(E999)),0))</f>
        <v>39</v>
      </c>
      <c r="AE999" t="str" cm="1">
        <f t="array" ref="AE999">INDEX(Innings!W:W,MATCH(1,(TRIM(Innings!A:A)=TRIM(A999))*(TRIM(Innings!D:D)=TRIM(E999)),0))</f>
        <v>NA</v>
      </c>
      <c r="AF999">
        <f>IF(UPPER(TRIM(E999))=UPPER(TRIM(W999)),1,0)</f>
        <v>0</v>
      </c>
      <c r="AG999">
        <f t="shared" si="30"/>
        <v>1</v>
      </c>
    </row>
    <row r="1000" spans="1:33" x14ac:dyDescent="0.3">
      <c r="A1000" t="s">
        <v>463</v>
      </c>
      <c r="B1000">
        <v>3</v>
      </c>
      <c r="C1000" t="s">
        <v>265</v>
      </c>
      <c r="D1000" t="s">
        <v>264</v>
      </c>
      <c r="E1000" t="s">
        <v>266</v>
      </c>
      <c r="F1000" t="s">
        <v>101</v>
      </c>
      <c r="G1000" t="s">
        <v>134</v>
      </c>
      <c r="H1000">
        <v>0</v>
      </c>
      <c r="I1000">
        <v>0</v>
      </c>
      <c r="J1000">
        <v>0</v>
      </c>
      <c r="K1000" t="s">
        <v>256</v>
      </c>
      <c r="L1000">
        <v>0</v>
      </c>
      <c r="M1000">
        <v>4</v>
      </c>
      <c r="N1000">
        <v>0</v>
      </c>
      <c r="O1000">
        <v>18</v>
      </c>
      <c r="P1000">
        <v>1</v>
      </c>
      <c r="Q1000">
        <v>4.5</v>
      </c>
      <c r="R1000">
        <v>25</v>
      </c>
      <c r="S1000">
        <v>0</v>
      </c>
      <c r="T1000">
        <v>0</v>
      </c>
      <c r="U1000" s="8">
        <v>25</v>
      </c>
      <c r="V1000" s="8">
        <f t="shared" si="31"/>
        <v>3</v>
      </c>
      <c r="W1000" t="str">
        <f>_xlfn.XLOOKUP(A1000, Matches!A:A, Matches!L:L, "NA", 0)</f>
        <v>DCW</v>
      </c>
      <c r="X1000" t="str">
        <f>_xlfn.XLOOKUP(A1000, Matches!A:A, Matches!J:J, "NA", 0)</f>
        <v>DCW</v>
      </c>
      <c r="Y1000" t="str">
        <f>_xlfn.XLOOKUP(A1000, Matches!A:A, Matches!F:F, "NA", 0)</f>
        <v>BCA Stadium, Kotambi</v>
      </c>
      <c r="Z1000" cm="1">
        <f t="array" ref="Z1000">INDEX(Innings!F:F,MATCH(1,(TRIM(Innings!A:A)=TRIM(A1000))*(TRIM(Innings!D:D)=TRIM(E1000)),0))</f>
        <v>164</v>
      </c>
      <c r="AA1000" cm="1">
        <f t="array" ref="AA1000">INDEX(Innings!I:I,MATCH(1,(TRIM(Innings!A:A)=TRIM(A1000))*(TRIM(Innings!D:D)=TRIM(E1000)),0))</f>
        <v>8.56</v>
      </c>
      <c r="AB1000" cm="1">
        <f t="array" ref="AB1000">INDEX(Innings!J:J,MATCH(1,(TRIM(Innings!A:A)=TRIM(A1000))*(TRIM(Innings!D:D)=TRIM(E1000)),0))</f>
        <v>41</v>
      </c>
      <c r="AC1000" cm="1">
        <f t="array" ref="AC1000">INDEX(Innings!N:N,MATCH(1,(TRIM(Innings!A:A)=TRIM(A1000))*(TRIM(Innings!D:D)=TRIM(E1000)),0))</f>
        <v>18</v>
      </c>
      <c r="AD1000" cm="1">
        <f t="array" ref="AD1000">INDEX(Innings!S:S,MATCH(1,(TRIM(Innings!A:A)=TRIM(A1000))*(TRIM(Innings!D:D)=TRIM(E1000)),0))</f>
        <v>39</v>
      </c>
      <c r="AE1000" t="str" cm="1">
        <f t="array" ref="AE1000">INDEX(Innings!W:W,MATCH(1,(TRIM(Innings!A:A)=TRIM(A1000))*(TRIM(Innings!D:D)=TRIM(E1000)),0))</f>
        <v>NA</v>
      </c>
      <c r="AF1000">
        <f>IF(UPPER(TRIM(E1000))=UPPER(TRIM(W1000)),1,0)</f>
        <v>0</v>
      </c>
      <c r="AG1000">
        <f t="shared" si="30"/>
        <v>13.4</v>
      </c>
    </row>
    <row r="1001" spans="1:33" x14ac:dyDescent="0.3">
      <c r="A1001" t="s">
        <v>463</v>
      </c>
      <c r="B1001">
        <v>3</v>
      </c>
      <c r="C1001" t="s">
        <v>131</v>
      </c>
      <c r="D1001" t="s">
        <v>106</v>
      </c>
      <c r="E1001" t="s">
        <v>266</v>
      </c>
      <c r="F1001" t="s">
        <v>101</v>
      </c>
      <c r="G1001" t="s">
        <v>134</v>
      </c>
      <c r="H1001">
        <v>0</v>
      </c>
      <c r="I1001">
        <v>1</v>
      </c>
      <c r="J1001">
        <v>0</v>
      </c>
      <c r="K1001" t="s">
        <v>245</v>
      </c>
      <c r="L1001">
        <v>0</v>
      </c>
      <c r="M1001">
        <v>3</v>
      </c>
      <c r="N1001">
        <v>0</v>
      </c>
      <c r="O1001">
        <v>43</v>
      </c>
      <c r="P1001">
        <v>0</v>
      </c>
      <c r="Q1001">
        <v>14.3</v>
      </c>
      <c r="R1001">
        <v>0</v>
      </c>
      <c r="S1001">
        <v>0</v>
      </c>
      <c r="T1001">
        <v>0</v>
      </c>
      <c r="U1001" s="8">
        <v>0</v>
      </c>
      <c r="V1001" s="8">
        <f t="shared" si="31"/>
        <v>0</v>
      </c>
      <c r="W1001" t="str">
        <f>_xlfn.XLOOKUP(A1001, Matches!A:A, Matches!L:L, "NA", 0)</f>
        <v>DCW</v>
      </c>
      <c r="X1001" t="str">
        <f>_xlfn.XLOOKUP(A1001, Matches!A:A, Matches!J:J, "NA", 0)</f>
        <v>DCW</v>
      </c>
      <c r="Y1001" t="str">
        <f>_xlfn.XLOOKUP(A1001, Matches!A:A, Matches!F:F, "NA", 0)</f>
        <v>BCA Stadium, Kotambi</v>
      </c>
      <c r="Z1001" cm="1">
        <f t="array" ref="Z1001">INDEX(Innings!F:F,MATCH(1,(TRIM(Innings!A:A)=TRIM(A1001))*(TRIM(Innings!D:D)=TRIM(E1001)),0))</f>
        <v>164</v>
      </c>
      <c r="AA1001" cm="1">
        <f t="array" ref="AA1001">INDEX(Innings!I:I,MATCH(1,(TRIM(Innings!A:A)=TRIM(A1001))*(TRIM(Innings!D:D)=TRIM(E1001)),0))</f>
        <v>8.56</v>
      </c>
      <c r="AB1001" cm="1">
        <f t="array" ref="AB1001">INDEX(Innings!J:J,MATCH(1,(TRIM(Innings!A:A)=TRIM(A1001))*(TRIM(Innings!D:D)=TRIM(E1001)),0))</f>
        <v>41</v>
      </c>
      <c r="AC1001" cm="1">
        <f t="array" ref="AC1001">INDEX(Innings!N:N,MATCH(1,(TRIM(Innings!A:A)=TRIM(A1001))*(TRIM(Innings!D:D)=TRIM(E1001)),0))</f>
        <v>18</v>
      </c>
      <c r="AD1001" cm="1">
        <f t="array" ref="AD1001">INDEX(Innings!S:S,MATCH(1,(TRIM(Innings!A:A)=TRIM(A1001))*(TRIM(Innings!D:D)=TRIM(E1001)),0))</f>
        <v>39</v>
      </c>
      <c r="AE1001" t="str" cm="1">
        <f t="array" ref="AE1001">INDEX(Innings!W:W,MATCH(1,(TRIM(Innings!A:A)=TRIM(A1001))*(TRIM(Innings!D:D)=TRIM(E1001)),0))</f>
        <v>NA</v>
      </c>
      <c r="AF1001">
        <f>IF(UPPER(TRIM(E1001))=UPPER(TRIM(W1001)),1,0)</f>
        <v>0</v>
      </c>
      <c r="AG1001">
        <f t="shared" si="30"/>
        <v>0</v>
      </c>
    </row>
    <row r="1002" spans="1:33" x14ac:dyDescent="0.3">
      <c r="A1002" t="s">
        <v>463</v>
      </c>
      <c r="B1002">
        <v>3</v>
      </c>
      <c r="C1002" t="s">
        <v>190</v>
      </c>
      <c r="D1002" t="s">
        <v>191</v>
      </c>
      <c r="E1002" t="s">
        <v>158</v>
      </c>
      <c r="F1002" t="s">
        <v>109</v>
      </c>
      <c r="G1002" t="s">
        <v>86</v>
      </c>
      <c r="H1002">
        <v>15</v>
      </c>
      <c r="I1002">
        <v>19</v>
      </c>
      <c r="J1002">
        <v>78.95</v>
      </c>
      <c r="K1002" t="s">
        <v>245</v>
      </c>
      <c r="L1002">
        <v>10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 s="8">
        <v>10</v>
      </c>
      <c r="V1002" s="8">
        <f t="shared" si="31"/>
        <v>1</v>
      </c>
      <c r="W1002" t="str">
        <f>_xlfn.XLOOKUP(A1002, Matches!A:A, Matches!L:L, "NA", 0)</f>
        <v>DCW</v>
      </c>
      <c r="X1002" t="str">
        <f>_xlfn.XLOOKUP(A1002, Matches!A:A, Matches!J:J, "NA", 0)</f>
        <v>DCW</v>
      </c>
      <c r="Y1002" t="str">
        <f>_xlfn.XLOOKUP(A1002, Matches!A:A, Matches!F:F, "NA", 0)</f>
        <v>BCA Stadium, Kotambi</v>
      </c>
      <c r="Z1002" cm="1">
        <f t="array" ref="Z1002">INDEX(Innings!F:F,MATCH(1,(TRIM(Innings!A:A)=TRIM(A1002))*(TRIM(Innings!D:D)=TRIM(E1002)),0))</f>
        <v>165</v>
      </c>
      <c r="AA1002" cm="1">
        <f t="array" ref="AA1002">INDEX(Innings!I:I,MATCH(1,(TRIM(Innings!A:A)=TRIM(A1002))*(TRIM(Innings!D:D)=TRIM(E1002)),0))</f>
        <v>8.25</v>
      </c>
      <c r="AB1002" cm="1">
        <f t="array" ref="AB1002">INDEX(Innings!J:J,MATCH(1,(TRIM(Innings!A:A)=TRIM(A1002))*(TRIM(Innings!D:D)=TRIM(E1002)),0))</f>
        <v>60</v>
      </c>
      <c r="AC1002" cm="1">
        <f t="array" ref="AC1002">INDEX(Innings!N:N,MATCH(1,(TRIM(Innings!A:A)=TRIM(A1002))*(TRIM(Innings!D:D)=TRIM(E1002)),0))</f>
        <v>44</v>
      </c>
      <c r="AD1002" cm="1">
        <f t="array" ref="AD1002">INDEX(Innings!S:S,MATCH(1,(TRIM(Innings!A:A)=TRIM(A1002))*(TRIM(Innings!D:D)=TRIM(E1002)),0))</f>
        <v>40</v>
      </c>
      <c r="AE1002" t="str" cm="1">
        <f t="array" ref="AE1002">INDEX(Innings!W:W,MATCH(1,(TRIM(Innings!A:A)=TRIM(A1002))*(TRIM(Innings!D:D)=TRIM(E1002)),0))</f>
        <v>Successful</v>
      </c>
      <c r="AF1002">
        <f>IF(UPPER(TRIM(E1002))=UPPER(TRIM(W1002)),1,0)</f>
        <v>1</v>
      </c>
      <c r="AG1002">
        <f t="shared" si="30"/>
        <v>25.3</v>
      </c>
    </row>
    <row r="1003" spans="1:33" x14ac:dyDescent="0.3">
      <c r="A1003" t="s">
        <v>463</v>
      </c>
      <c r="B1003">
        <v>3</v>
      </c>
      <c r="C1003" t="s">
        <v>188</v>
      </c>
      <c r="D1003" t="s">
        <v>189</v>
      </c>
      <c r="E1003" t="s">
        <v>158</v>
      </c>
      <c r="F1003" t="s">
        <v>83</v>
      </c>
      <c r="G1003" t="s">
        <v>86</v>
      </c>
      <c r="H1003">
        <v>43</v>
      </c>
      <c r="I1003">
        <v>18</v>
      </c>
      <c r="J1003">
        <v>238.89</v>
      </c>
      <c r="K1003" t="s">
        <v>246</v>
      </c>
      <c r="L1003">
        <v>65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 s="8">
        <v>65</v>
      </c>
      <c r="V1003" s="8">
        <f t="shared" si="31"/>
        <v>7</v>
      </c>
      <c r="W1003" t="str">
        <f>_xlfn.XLOOKUP(A1003, Matches!A:A, Matches!L:L, "NA", 0)</f>
        <v>DCW</v>
      </c>
      <c r="X1003" t="str">
        <f>_xlfn.XLOOKUP(A1003, Matches!A:A, Matches!J:J, "NA", 0)</f>
        <v>DCW</v>
      </c>
      <c r="Y1003" t="str">
        <f>_xlfn.XLOOKUP(A1003, Matches!A:A, Matches!F:F, "NA", 0)</f>
        <v>BCA Stadium, Kotambi</v>
      </c>
      <c r="Z1003" cm="1">
        <f t="array" ref="Z1003">INDEX(Innings!F:F,MATCH(1,(TRIM(Innings!A:A)=TRIM(A1003))*(TRIM(Innings!D:D)=TRIM(E1003)),0))</f>
        <v>165</v>
      </c>
      <c r="AA1003" cm="1">
        <f t="array" ref="AA1003">INDEX(Innings!I:I,MATCH(1,(TRIM(Innings!A:A)=TRIM(A1003))*(TRIM(Innings!D:D)=TRIM(E1003)),0))</f>
        <v>8.25</v>
      </c>
      <c r="AB1003" cm="1">
        <f t="array" ref="AB1003">INDEX(Innings!J:J,MATCH(1,(TRIM(Innings!A:A)=TRIM(A1003))*(TRIM(Innings!D:D)=TRIM(E1003)),0))</f>
        <v>60</v>
      </c>
      <c r="AC1003" cm="1">
        <f t="array" ref="AC1003">INDEX(Innings!N:N,MATCH(1,(TRIM(Innings!A:A)=TRIM(A1003))*(TRIM(Innings!D:D)=TRIM(E1003)),0))</f>
        <v>44</v>
      </c>
      <c r="AD1003" cm="1">
        <f t="array" ref="AD1003">INDEX(Innings!S:S,MATCH(1,(TRIM(Innings!A:A)=TRIM(A1003))*(TRIM(Innings!D:D)=TRIM(E1003)),0))</f>
        <v>40</v>
      </c>
      <c r="AE1003" t="str" cm="1">
        <f t="array" ref="AE1003">INDEX(Innings!W:W,MATCH(1,(TRIM(Innings!A:A)=TRIM(A1003))*(TRIM(Innings!D:D)=TRIM(E1003)),0))</f>
        <v>Successful</v>
      </c>
      <c r="AF1003">
        <f>IF(UPPER(TRIM(E1003))=UPPER(TRIM(W1003)),1,0)</f>
        <v>1</v>
      </c>
      <c r="AG1003">
        <f t="shared" si="30"/>
        <v>54.6</v>
      </c>
    </row>
    <row r="1004" spans="1:33" x14ac:dyDescent="0.3">
      <c r="A1004" t="s">
        <v>463</v>
      </c>
      <c r="B1004">
        <v>3</v>
      </c>
      <c r="C1004" t="s">
        <v>194</v>
      </c>
      <c r="D1004" t="s">
        <v>195</v>
      </c>
      <c r="E1004" t="s">
        <v>158</v>
      </c>
      <c r="F1004" t="s">
        <v>109</v>
      </c>
      <c r="G1004" t="s">
        <v>92</v>
      </c>
      <c r="H1004">
        <v>2</v>
      </c>
      <c r="I1004">
        <v>5</v>
      </c>
      <c r="J1004">
        <v>40</v>
      </c>
      <c r="K1004" t="s">
        <v>246</v>
      </c>
      <c r="L1004">
        <v>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 s="8">
        <v>1</v>
      </c>
      <c r="V1004" s="8">
        <f t="shared" si="31"/>
        <v>0</v>
      </c>
      <c r="W1004" t="str">
        <f>_xlfn.XLOOKUP(A1004, Matches!A:A, Matches!L:L, "NA", 0)</f>
        <v>DCW</v>
      </c>
      <c r="X1004" t="str">
        <f>_xlfn.XLOOKUP(A1004, Matches!A:A, Matches!J:J, "NA", 0)</f>
        <v>DCW</v>
      </c>
      <c r="Y1004" t="str">
        <f>_xlfn.XLOOKUP(A1004, Matches!A:A, Matches!F:F, "NA", 0)</f>
        <v>BCA Stadium, Kotambi</v>
      </c>
      <c r="Z1004" cm="1">
        <f t="array" ref="Z1004">INDEX(Innings!F:F,MATCH(1,(TRIM(Innings!A:A)=TRIM(A1004))*(TRIM(Innings!D:D)=TRIM(E1004)),0))</f>
        <v>165</v>
      </c>
      <c r="AA1004" cm="1">
        <f t="array" ref="AA1004">INDEX(Innings!I:I,MATCH(1,(TRIM(Innings!A:A)=TRIM(A1004))*(TRIM(Innings!D:D)=TRIM(E1004)),0))</f>
        <v>8.25</v>
      </c>
      <c r="AB1004" cm="1">
        <f t="array" ref="AB1004">INDEX(Innings!J:J,MATCH(1,(TRIM(Innings!A:A)=TRIM(A1004))*(TRIM(Innings!D:D)=TRIM(E1004)),0))</f>
        <v>60</v>
      </c>
      <c r="AC1004" cm="1">
        <f t="array" ref="AC1004">INDEX(Innings!N:N,MATCH(1,(TRIM(Innings!A:A)=TRIM(A1004))*(TRIM(Innings!D:D)=TRIM(E1004)),0))</f>
        <v>44</v>
      </c>
      <c r="AD1004" cm="1">
        <f t="array" ref="AD1004">INDEX(Innings!S:S,MATCH(1,(TRIM(Innings!A:A)=TRIM(A1004))*(TRIM(Innings!D:D)=TRIM(E1004)),0))</f>
        <v>40</v>
      </c>
      <c r="AE1004" t="str" cm="1">
        <f t="array" ref="AE1004">INDEX(Innings!W:W,MATCH(1,(TRIM(Innings!A:A)=TRIM(A1004))*(TRIM(Innings!D:D)=TRIM(E1004)),0))</f>
        <v>Successful</v>
      </c>
      <c r="AF1004">
        <f>IF(UPPER(TRIM(E1004))=UPPER(TRIM(W1004)),1,0)</f>
        <v>1</v>
      </c>
      <c r="AG1004">
        <f t="shared" si="30"/>
        <v>20.5</v>
      </c>
    </row>
    <row r="1005" spans="1:33" x14ac:dyDescent="0.3">
      <c r="A1005" t="s">
        <v>463</v>
      </c>
      <c r="B1005">
        <v>3</v>
      </c>
      <c r="C1005" t="s">
        <v>94</v>
      </c>
      <c r="D1005" t="s">
        <v>120</v>
      </c>
      <c r="E1005" t="s">
        <v>158</v>
      </c>
      <c r="F1005" t="s">
        <v>169</v>
      </c>
      <c r="G1005" t="s">
        <v>92</v>
      </c>
      <c r="H1005">
        <v>13</v>
      </c>
      <c r="I1005">
        <v>10</v>
      </c>
      <c r="J1005">
        <v>130</v>
      </c>
      <c r="K1005" t="s">
        <v>245</v>
      </c>
      <c r="L1005">
        <v>12</v>
      </c>
      <c r="M1005">
        <v>3.1</v>
      </c>
      <c r="N1005">
        <v>0</v>
      </c>
      <c r="O1005">
        <v>34</v>
      </c>
      <c r="P1005">
        <v>3</v>
      </c>
      <c r="Q1005">
        <v>10.7</v>
      </c>
      <c r="R1005">
        <v>75</v>
      </c>
      <c r="S1005">
        <v>0</v>
      </c>
      <c r="T1005">
        <v>0</v>
      </c>
      <c r="U1005" s="8">
        <v>87</v>
      </c>
      <c r="V1005" s="8">
        <f t="shared" si="31"/>
        <v>9</v>
      </c>
      <c r="W1005" t="str">
        <f>_xlfn.XLOOKUP(A1005, Matches!A:A, Matches!L:L, "NA", 0)</f>
        <v>DCW</v>
      </c>
      <c r="X1005" t="str">
        <f>_xlfn.XLOOKUP(A1005, Matches!A:A, Matches!J:J, "NA", 0)</f>
        <v>DCW</v>
      </c>
      <c r="Y1005" t="str">
        <f>_xlfn.XLOOKUP(A1005, Matches!A:A, Matches!F:F, "NA", 0)</f>
        <v>BCA Stadium, Kotambi</v>
      </c>
      <c r="Z1005" cm="1">
        <f t="array" ref="Z1005">INDEX(Innings!F:F,MATCH(1,(TRIM(Innings!A:A)=TRIM(A1005))*(TRIM(Innings!D:D)=TRIM(E1005)),0))</f>
        <v>165</v>
      </c>
      <c r="AA1005" cm="1">
        <f t="array" ref="AA1005">INDEX(Innings!I:I,MATCH(1,(TRIM(Innings!A:A)=TRIM(A1005))*(TRIM(Innings!D:D)=TRIM(E1005)),0))</f>
        <v>8.25</v>
      </c>
      <c r="AB1005" cm="1">
        <f t="array" ref="AB1005">INDEX(Innings!J:J,MATCH(1,(TRIM(Innings!A:A)=TRIM(A1005))*(TRIM(Innings!D:D)=TRIM(E1005)),0))</f>
        <v>60</v>
      </c>
      <c r="AC1005" cm="1">
        <f t="array" ref="AC1005">INDEX(Innings!N:N,MATCH(1,(TRIM(Innings!A:A)=TRIM(A1005))*(TRIM(Innings!D:D)=TRIM(E1005)),0))</f>
        <v>44</v>
      </c>
      <c r="AD1005" cm="1">
        <f t="array" ref="AD1005">INDEX(Innings!S:S,MATCH(1,(TRIM(Innings!A:A)=TRIM(A1005))*(TRIM(Innings!D:D)=TRIM(E1005)),0))</f>
        <v>40</v>
      </c>
      <c r="AE1005" t="str" cm="1">
        <f t="array" ref="AE1005">INDEX(Innings!W:W,MATCH(1,(TRIM(Innings!A:A)=TRIM(A1005))*(TRIM(Innings!D:D)=TRIM(E1005)),0))</f>
        <v>Successful</v>
      </c>
      <c r="AF1005">
        <f>IF(UPPER(TRIM(E1005))=UPPER(TRIM(W1005)),1,0)</f>
        <v>1</v>
      </c>
      <c r="AG1005">
        <f t="shared" si="30"/>
        <v>66.2</v>
      </c>
    </row>
    <row r="1006" spans="1:33" x14ac:dyDescent="0.3">
      <c r="A1006" t="s">
        <v>463</v>
      </c>
      <c r="B1006">
        <v>3</v>
      </c>
      <c r="C1006" t="s">
        <v>196</v>
      </c>
      <c r="D1006" t="s">
        <v>197</v>
      </c>
      <c r="E1006" t="s">
        <v>158</v>
      </c>
      <c r="F1006" t="s">
        <v>109</v>
      </c>
      <c r="G1006" t="s">
        <v>134</v>
      </c>
      <c r="H1006">
        <v>16</v>
      </c>
      <c r="I1006">
        <v>18</v>
      </c>
      <c r="J1006">
        <v>88.89</v>
      </c>
      <c r="K1006" t="s">
        <v>246</v>
      </c>
      <c r="L1006">
        <v>12</v>
      </c>
      <c r="M1006">
        <v>2</v>
      </c>
      <c r="N1006">
        <v>0</v>
      </c>
      <c r="O1006">
        <v>25</v>
      </c>
      <c r="P1006">
        <v>1</v>
      </c>
      <c r="Q1006">
        <v>12.5</v>
      </c>
      <c r="R1006">
        <v>25</v>
      </c>
      <c r="S1006">
        <v>0</v>
      </c>
      <c r="T1006">
        <v>0</v>
      </c>
      <c r="U1006" s="8">
        <v>37</v>
      </c>
      <c r="V1006" s="8">
        <f t="shared" si="31"/>
        <v>4</v>
      </c>
      <c r="W1006" t="str">
        <f>_xlfn.XLOOKUP(A1006, Matches!A:A, Matches!L:L, "NA", 0)</f>
        <v>DCW</v>
      </c>
      <c r="X1006" t="str">
        <f>_xlfn.XLOOKUP(A1006, Matches!A:A, Matches!J:J, "NA", 0)</f>
        <v>DCW</v>
      </c>
      <c r="Y1006" t="str">
        <f>_xlfn.XLOOKUP(A1006, Matches!A:A, Matches!F:F, "NA", 0)</f>
        <v>BCA Stadium, Kotambi</v>
      </c>
      <c r="Z1006" cm="1">
        <f t="array" ref="Z1006">INDEX(Innings!F:F,MATCH(1,(TRIM(Innings!A:A)=TRIM(A1006))*(TRIM(Innings!D:D)=TRIM(E1006)),0))</f>
        <v>165</v>
      </c>
      <c r="AA1006" cm="1">
        <f t="array" ref="AA1006">INDEX(Innings!I:I,MATCH(1,(TRIM(Innings!A:A)=TRIM(A1006))*(TRIM(Innings!D:D)=TRIM(E1006)),0))</f>
        <v>8.25</v>
      </c>
      <c r="AB1006" cm="1">
        <f t="array" ref="AB1006">INDEX(Innings!J:J,MATCH(1,(TRIM(Innings!A:A)=TRIM(A1006))*(TRIM(Innings!D:D)=TRIM(E1006)),0))</f>
        <v>60</v>
      </c>
      <c r="AC1006" cm="1">
        <f t="array" ref="AC1006">INDEX(Innings!N:N,MATCH(1,(TRIM(Innings!A:A)=TRIM(A1006))*(TRIM(Innings!D:D)=TRIM(E1006)),0))</f>
        <v>44</v>
      </c>
      <c r="AD1006" cm="1">
        <f t="array" ref="AD1006">INDEX(Innings!S:S,MATCH(1,(TRIM(Innings!A:A)=TRIM(A1006))*(TRIM(Innings!D:D)=TRIM(E1006)),0))</f>
        <v>40</v>
      </c>
      <c r="AE1006" t="str" cm="1">
        <f t="array" ref="AE1006">INDEX(Innings!W:W,MATCH(1,(TRIM(Innings!A:A)=TRIM(A1006))*(TRIM(Innings!D:D)=TRIM(E1006)),0))</f>
        <v>Successful</v>
      </c>
      <c r="AF1006">
        <f>IF(UPPER(TRIM(E1006))=UPPER(TRIM(W1006)),1,0)</f>
        <v>1</v>
      </c>
      <c r="AG1006">
        <f t="shared" si="30"/>
        <v>39.700000000000003</v>
      </c>
    </row>
    <row r="1007" spans="1:33" x14ac:dyDescent="0.3">
      <c r="A1007" t="s">
        <v>463</v>
      </c>
      <c r="B1007">
        <v>3</v>
      </c>
      <c r="C1007" t="s">
        <v>495</v>
      </c>
      <c r="D1007" t="s">
        <v>503</v>
      </c>
      <c r="E1007" t="s">
        <v>158</v>
      </c>
      <c r="F1007" t="s">
        <v>83</v>
      </c>
      <c r="G1007" t="s">
        <v>134</v>
      </c>
      <c r="H1007">
        <v>35</v>
      </c>
      <c r="I1007">
        <v>33</v>
      </c>
      <c r="J1007">
        <v>106.06</v>
      </c>
      <c r="K1007" t="s">
        <v>246</v>
      </c>
      <c r="L1007">
        <v>40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 s="8">
        <v>40</v>
      </c>
      <c r="V1007" s="8">
        <f t="shared" si="31"/>
        <v>4</v>
      </c>
      <c r="W1007" t="str">
        <f>_xlfn.XLOOKUP(A1007, Matches!A:A, Matches!L:L, "NA", 0)</f>
        <v>DCW</v>
      </c>
      <c r="X1007" t="str">
        <f>_xlfn.XLOOKUP(A1007, Matches!A:A, Matches!J:J, "NA", 0)</f>
        <v>DCW</v>
      </c>
      <c r="Y1007" t="str">
        <f>_xlfn.XLOOKUP(A1007, Matches!A:A, Matches!F:F, "NA", 0)</f>
        <v>BCA Stadium, Kotambi</v>
      </c>
      <c r="Z1007" cm="1">
        <f t="array" ref="Z1007">INDEX(Innings!F:F,MATCH(1,(TRIM(Innings!A:A)=TRIM(A1007))*(TRIM(Innings!D:D)=TRIM(E1007)),0))</f>
        <v>165</v>
      </c>
      <c r="AA1007" cm="1">
        <f t="array" ref="AA1007">INDEX(Innings!I:I,MATCH(1,(TRIM(Innings!A:A)=TRIM(A1007))*(TRIM(Innings!D:D)=TRIM(E1007)),0))</f>
        <v>8.25</v>
      </c>
      <c r="AB1007" cm="1">
        <f t="array" ref="AB1007">INDEX(Innings!J:J,MATCH(1,(TRIM(Innings!A:A)=TRIM(A1007))*(TRIM(Innings!D:D)=TRIM(E1007)),0))</f>
        <v>60</v>
      </c>
      <c r="AC1007" cm="1">
        <f t="array" ref="AC1007">INDEX(Innings!N:N,MATCH(1,(TRIM(Innings!A:A)=TRIM(A1007))*(TRIM(Innings!D:D)=TRIM(E1007)),0))</f>
        <v>44</v>
      </c>
      <c r="AD1007" cm="1">
        <f t="array" ref="AD1007">INDEX(Innings!S:S,MATCH(1,(TRIM(Innings!A:A)=TRIM(A1007))*(TRIM(Innings!D:D)=TRIM(E1007)),0))</f>
        <v>40</v>
      </c>
      <c r="AE1007" t="str" cm="1">
        <f t="array" ref="AE1007">INDEX(Innings!W:W,MATCH(1,(TRIM(Innings!A:A)=TRIM(A1007))*(TRIM(Innings!D:D)=TRIM(E1007)),0))</f>
        <v>Successful</v>
      </c>
      <c r="AF1007">
        <f>IF(UPPER(TRIM(E1007))=UPPER(TRIM(W1007)),1,0)</f>
        <v>1</v>
      </c>
      <c r="AG1007">
        <f t="shared" si="30"/>
        <v>41.2</v>
      </c>
    </row>
    <row r="1008" spans="1:33" x14ac:dyDescent="0.3">
      <c r="A1008" t="s">
        <v>463</v>
      </c>
      <c r="B1008">
        <v>3</v>
      </c>
      <c r="C1008" t="s">
        <v>496</v>
      </c>
      <c r="D1008" t="s">
        <v>518</v>
      </c>
      <c r="E1008" t="s">
        <v>158</v>
      </c>
      <c r="F1008" t="s">
        <v>85</v>
      </c>
      <c r="G1008" t="s">
        <v>134</v>
      </c>
      <c r="H1008">
        <v>21</v>
      </c>
      <c r="I1008">
        <v>10</v>
      </c>
      <c r="J1008">
        <v>210</v>
      </c>
      <c r="K1008" t="s">
        <v>246</v>
      </c>
      <c r="L1008">
        <v>35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 s="8">
        <v>35</v>
      </c>
      <c r="V1008" s="8">
        <f t="shared" si="31"/>
        <v>4</v>
      </c>
      <c r="W1008" t="str">
        <f>_xlfn.XLOOKUP(A1008, Matches!A:A, Matches!L:L, "NA", 0)</f>
        <v>DCW</v>
      </c>
      <c r="X1008" t="str">
        <f>_xlfn.XLOOKUP(A1008, Matches!A:A, Matches!J:J, "NA", 0)</f>
        <v>DCW</v>
      </c>
      <c r="Y1008" t="str">
        <f>_xlfn.XLOOKUP(A1008, Matches!A:A, Matches!F:F, "NA", 0)</f>
        <v>BCA Stadium, Kotambi</v>
      </c>
      <c r="Z1008" cm="1">
        <f t="array" ref="Z1008">INDEX(Innings!F:F,MATCH(1,(TRIM(Innings!A:A)=TRIM(A1008))*(TRIM(Innings!D:D)=TRIM(E1008)),0))</f>
        <v>165</v>
      </c>
      <c r="AA1008" cm="1">
        <f t="array" ref="AA1008">INDEX(Innings!I:I,MATCH(1,(TRIM(Innings!A:A)=TRIM(A1008))*(TRIM(Innings!D:D)=TRIM(E1008)),0))</f>
        <v>8.25</v>
      </c>
      <c r="AB1008" cm="1">
        <f t="array" ref="AB1008">INDEX(Innings!J:J,MATCH(1,(TRIM(Innings!A:A)=TRIM(A1008))*(TRIM(Innings!D:D)=TRIM(E1008)),0))</f>
        <v>60</v>
      </c>
      <c r="AC1008" cm="1">
        <f t="array" ref="AC1008">INDEX(Innings!N:N,MATCH(1,(TRIM(Innings!A:A)=TRIM(A1008))*(TRIM(Innings!D:D)=TRIM(E1008)),0))</f>
        <v>44</v>
      </c>
      <c r="AD1008" cm="1">
        <f t="array" ref="AD1008">INDEX(Innings!S:S,MATCH(1,(TRIM(Innings!A:A)=TRIM(A1008))*(TRIM(Innings!D:D)=TRIM(E1008)),0))</f>
        <v>40</v>
      </c>
      <c r="AE1008" t="str" cm="1">
        <f t="array" ref="AE1008">INDEX(Innings!W:W,MATCH(1,(TRIM(Innings!A:A)=TRIM(A1008))*(TRIM(Innings!D:D)=TRIM(E1008)),0))</f>
        <v>Successful</v>
      </c>
      <c r="AF1008">
        <f>IF(UPPER(TRIM(E1008))=UPPER(TRIM(W1008)),1,0)</f>
        <v>1</v>
      </c>
      <c r="AG1008">
        <f t="shared" si="30"/>
        <v>38.700000000000003</v>
      </c>
    </row>
    <row r="1009" spans="1:33" x14ac:dyDescent="0.3">
      <c r="A1009" t="s">
        <v>463</v>
      </c>
      <c r="B1009">
        <v>3</v>
      </c>
      <c r="C1009" t="s">
        <v>204</v>
      </c>
      <c r="D1009" t="s">
        <v>205</v>
      </c>
      <c r="E1009" t="s">
        <v>158</v>
      </c>
      <c r="F1009" t="s">
        <v>169</v>
      </c>
      <c r="G1009" t="s">
        <v>134</v>
      </c>
      <c r="H1009">
        <v>2</v>
      </c>
      <c r="I1009">
        <v>3</v>
      </c>
      <c r="J1009">
        <v>66.67</v>
      </c>
      <c r="K1009" t="s">
        <v>256</v>
      </c>
      <c r="L1009">
        <v>1</v>
      </c>
      <c r="M1009">
        <v>4</v>
      </c>
      <c r="N1009">
        <v>0</v>
      </c>
      <c r="O1009">
        <v>14</v>
      </c>
      <c r="P1009">
        <v>2</v>
      </c>
      <c r="Q1009">
        <v>3.5</v>
      </c>
      <c r="R1009">
        <v>50</v>
      </c>
      <c r="S1009">
        <v>0</v>
      </c>
      <c r="T1009">
        <v>0</v>
      </c>
      <c r="U1009" s="8">
        <v>51</v>
      </c>
      <c r="V1009" s="8">
        <f t="shared" si="31"/>
        <v>5</v>
      </c>
      <c r="W1009" t="str">
        <f>_xlfn.XLOOKUP(A1009, Matches!A:A, Matches!L:L, "NA", 0)</f>
        <v>DCW</v>
      </c>
      <c r="X1009" t="str">
        <f>_xlfn.XLOOKUP(A1009, Matches!A:A, Matches!J:J, "NA", 0)</f>
        <v>DCW</v>
      </c>
      <c r="Y1009" t="str">
        <f>_xlfn.XLOOKUP(A1009, Matches!A:A, Matches!F:F, "NA", 0)</f>
        <v>BCA Stadium, Kotambi</v>
      </c>
      <c r="Z1009" cm="1">
        <f t="array" ref="Z1009">INDEX(Innings!F:F,MATCH(1,(TRIM(Innings!A:A)=TRIM(A1009))*(TRIM(Innings!D:D)=TRIM(E1009)),0))</f>
        <v>165</v>
      </c>
      <c r="AA1009" cm="1">
        <f t="array" ref="AA1009">INDEX(Innings!I:I,MATCH(1,(TRIM(Innings!A:A)=TRIM(A1009))*(TRIM(Innings!D:D)=TRIM(E1009)),0))</f>
        <v>8.25</v>
      </c>
      <c r="AB1009" cm="1">
        <f t="array" ref="AB1009">INDEX(Innings!J:J,MATCH(1,(TRIM(Innings!A:A)=TRIM(A1009))*(TRIM(Innings!D:D)=TRIM(E1009)),0))</f>
        <v>60</v>
      </c>
      <c r="AC1009" cm="1">
        <f t="array" ref="AC1009">INDEX(Innings!N:N,MATCH(1,(TRIM(Innings!A:A)=TRIM(A1009))*(TRIM(Innings!D:D)=TRIM(E1009)),0))</f>
        <v>44</v>
      </c>
      <c r="AD1009" cm="1">
        <f t="array" ref="AD1009">INDEX(Innings!S:S,MATCH(1,(TRIM(Innings!A:A)=TRIM(A1009))*(TRIM(Innings!D:D)=TRIM(E1009)),0))</f>
        <v>40</v>
      </c>
      <c r="AE1009" t="str" cm="1">
        <f t="array" ref="AE1009">INDEX(Innings!W:W,MATCH(1,(TRIM(Innings!A:A)=TRIM(A1009))*(TRIM(Innings!D:D)=TRIM(E1009)),0))</f>
        <v>Successful</v>
      </c>
      <c r="AF1009">
        <f>IF(UPPER(TRIM(E1009))=UPPER(TRIM(W1009)),1,0)</f>
        <v>1</v>
      </c>
      <c r="AG1009">
        <f t="shared" si="30"/>
        <v>47</v>
      </c>
    </row>
    <row r="1010" spans="1:33" x14ac:dyDescent="0.3">
      <c r="A1010" t="s">
        <v>463</v>
      </c>
      <c r="B1010">
        <v>3</v>
      </c>
      <c r="C1010" t="s">
        <v>206</v>
      </c>
      <c r="D1010" t="s">
        <v>207</v>
      </c>
      <c r="E1010" t="s">
        <v>158</v>
      </c>
      <c r="F1010" t="s">
        <v>101</v>
      </c>
      <c r="G1010" t="s">
        <v>134</v>
      </c>
      <c r="H1010">
        <v>9</v>
      </c>
      <c r="I1010">
        <v>4</v>
      </c>
      <c r="J1010">
        <v>225</v>
      </c>
      <c r="K1010" t="s">
        <v>96</v>
      </c>
      <c r="L1010">
        <v>18</v>
      </c>
      <c r="M1010">
        <v>2</v>
      </c>
      <c r="N1010">
        <v>0</v>
      </c>
      <c r="O1010">
        <v>26</v>
      </c>
      <c r="P1010">
        <v>0</v>
      </c>
      <c r="Q1010">
        <v>13</v>
      </c>
      <c r="R1010">
        <v>0</v>
      </c>
      <c r="S1010">
        <v>0</v>
      </c>
      <c r="T1010">
        <v>0</v>
      </c>
      <c r="U1010" s="8">
        <v>18</v>
      </c>
      <c r="V1010" s="8">
        <f t="shared" si="31"/>
        <v>2</v>
      </c>
      <c r="W1010" t="str">
        <f>_xlfn.XLOOKUP(A1010, Matches!A:A, Matches!L:L, "NA", 0)</f>
        <v>DCW</v>
      </c>
      <c r="X1010" t="str">
        <f>_xlfn.XLOOKUP(A1010, Matches!A:A, Matches!J:J, "NA", 0)</f>
        <v>DCW</v>
      </c>
      <c r="Y1010" t="str">
        <f>_xlfn.XLOOKUP(A1010, Matches!A:A, Matches!F:F, "NA", 0)</f>
        <v>BCA Stadium, Kotambi</v>
      </c>
      <c r="Z1010" cm="1">
        <f t="array" ref="Z1010">INDEX(Innings!F:F,MATCH(1,(TRIM(Innings!A:A)=TRIM(A1010))*(TRIM(Innings!D:D)=TRIM(E1010)),0))</f>
        <v>165</v>
      </c>
      <c r="AA1010" cm="1">
        <f t="array" ref="AA1010">INDEX(Innings!I:I,MATCH(1,(TRIM(Innings!A:A)=TRIM(A1010))*(TRIM(Innings!D:D)=TRIM(E1010)),0))</f>
        <v>8.25</v>
      </c>
      <c r="AB1010" cm="1">
        <f t="array" ref="AB1010">INDEX(Innings!J:J,MATCH(1,(TRIM(Innings!A:A)=TRIM(A1010))*(TRIM(Innings!D:D)=TRIM(E1010)),0))</f>
        <v>60</v>
      </c>
      <c r="AC1010" cm="1">
        <f t="array" ref="AC1010">INDEX(Innings!N:N,MATCH(1,(TRIM(Innings!A:A)=TRIM(A1010))*(TRIM(Innings!D:D)=TRIM(E1010)),0))</f>
        <v>44</v>
      </c>
      <c r="AD1010" cm="1">
        <f t="array" ref="AD1010">INDEX(Innings!S:S,MATCH(1,(TRIM(Innings!A:A)=TRIM(A1010))*(TRIM(Innings!D:D)=TRIM(E1010)),0))</f>
        <v>40</v>
      </c>
      <c r="AE1010" t="str" cm="1">
        <f t="array" ref="AE1010">INDEX(Innings!W:W,MATCH(1,(TRIM(Innings!A:A)=TRIM(A1010))*(TRIM(Innings!D:D)=TRIM(E1010)),0))</f>
        <v>Successful</v>
      </c>
      <c r="AF1010">
        <f>IF(UPPER(TRIM(E1010))=UPPER(TRIM(W1010)),1,0)</f>
        <v>1</v>
      </c>
      <c r="AG1010">
        <f t="shared" si="30"/>
        <v>29.6</v>
      </c>
    </row>
    <row r="1011" spans="1:33" x14ac:dyDescent="0.3">
      <c r="A1011" t="s">
        <v>463</v>
      </c>
      <c r="B1011">
        <v>3</v>
      </c>
      <c r="C1011" t="s">
        <v>202</v>
      </c>
      <c r="D1011" t="s">
        <v>203</v>
      </c>
      <c r="E1011" t="s">
        <v>158</v>
      </c>
      <c r="F1011" t="s">
        <v>101</v>
      </c>
      <c r="G1011" t="s">
        <v>134</v>
      </c>
      <c r="H1011">
        <v>2</v>
      </c>
      <c r="I1011">
        <v>1</v>
      </c>
      <c r="J1011">
        <v>200</v>
      </c>
      <c r="K1011" t="s">
        <v>96</v>
      </c>
      <c r="L1011">
        <v>5</v>
      </c>
      <c r="M1011">
        <v>4</v>
      </c>
      <c r="N1011">
        <v>0</v>
      </c>
      <c r="O1011">
        <v>40</v>
      </c>
      <c r="P1011">
        <v>0</v>
      </c>
      <c r="Q1011">
        <v>10</v>
      </c>
      <c r="R1011">
        <v>0</v>
      </c>
      <c r="S1011">
        <v>0</v>
      </c>
      <c r="T1011">
        <v>0</v>
      </c>
      <c r="U1011" s="8">
        <v>5</v>
      </c>
      <c r="V1011" s="8">
        <f t="shared" si="31"/>
        <v>1</v>
      </c>
      <c r="W1011" t="str">
        <f>_xlfn.XLOOKUP(A1011, Matches!A:A, Matches!L:L, "NA", 0)</f>
        <v>DCW</v>
      </c>
      <c r="X1011" t="str">
        <f>_xlfn.XLOOKUP(A1011, Matches!A:A, Matches!J:J, "NA", 0)</f>
        <v>DCW</v>
      </c>
      <c r="Y1011" t="str">
        <f>_xlfn.XLOOKUP(A1011, Matches!A:A, Matches!F:F, "NA", 0)</f>
        <v>BCA Stadium, Kotambi</v>
      </c>
      <c r="Z1011" cm="1">
        <f t="array" ref="Z1011">INDEX(Innings!F:F,MATCH(1,(TRIM(Innings!A:A)=TRIM(A1011))*(TRIM(Innings!D:D)=TRIM(E1011)),0))</f>
        <v>165</v>
      </c>
      <c r="AA1011" cm="1">
        <f t="array" ref="AA1011">INDEX(Innings!I:I,MATCH(1,(TRIM(Innings!A:A)=TRIM(A1011))*(TRIM(Innings!D:D)=TRIM(E1011)),0))</f>
        <v>8.25</v>
      </c>
      <c r="AB1011" cm="1">
        <f t="array" ref="AB1011">INDEX(Innings!J:J,MATCH(1,(TRIM(Innings!A:A)=TRIM(A1011))*(TRIM(Innings!D:D)=TRIM(E1011)),0))</f>
        <v>60</v>
      </c>
      <c r="AC1011" cm="1">
        <f t="array" ref="AC1011">INDEX(Innings!N:N,MATCH(1,(TRIM(Innings!A:A)=TRIM(A1011))*(TRIM(Innings!D:D)=TRIM(E1011)),0))</f>
        <v>44</v>
      </c>
      <c r="AD1011" cm="1">
        <f t="array" ref="AD1011">INDEX(Innings!S:S,MATCH(1,(TRIM(Innings!A:A)=TRIM(A1011))*(TRIM(Innings!D:D)=TRIM(E1011)),0))</f>
        <v>40</v>
      </c>
      <c r="AE1011" t="str" cm="1">
        <f t="array" ref="AE1011">INDEX(Innings!W:W,MATCH(1,(TRIM(Innings!A:A)=TRIM(A1011))*(TRIM(Innings!D:D)=TRIM(E1011)),0))</f>
        <v>Successful</v>
      </c>
      <c r="AF1011">
        <f>IF(UPPER(TRIM(E1011))=UPPER(TRIM(W1011)),1,0)</f>
        <v>1</v>
      </c>
      <c r="AG1011">
        <f t="shared" si="30"/>
        <v>22.8</v>
      </c>
    </row>
    <row r="1012" spans="1:33" x14ac:dyDescent="0.3">
      <c r="A1012" t="s">
        <v>463</v>
      </c>
      <c r="B1012">
        <v>3</v>
      </c>
      <c r="C1012" t="s">
        <v>274</v>
      </c>
      <c r="D1012" t="s">
        <v>284</v>
      </c>
      <c r="E1012" t="s">
        <v>158</v>
      </c>
      <c r="F1012" t="s">
        <v>83</v>
      </c>
      <c r="G1012" t="s">
        <v>104</v>
      </c>
      <c r="H1012">
        <v>0</v>
      </c>
      <c r="I1012">
        <v>0</v>
      </c>
      <c r="J1012">
        <v>0</v>
      </c>
      <c r="K1012" t="s">
        <v>104</v>
      </c>
      <c r="L1012">
        <v>0</v>
      </c>
      <c r="M1012">
        <v>4</v>
      </c>
      <c r="N1012">
        <v>0</v>
      </c>
      <c r="O1012">
        <v>23</v>
      </c>
      <c r="P1012">
        <v>1</v>
      </c>
      <c r="Q1012">
        <v>5.8</v>
      </c>
      <c r="R1012">
        <v>25</v>
      </c>
      <c r="S1012">
        <v>0</v>
      </c>
      <c r="T1012">
        <v>0</v>
      </c>
      <c r="U1012" s="8">
        <v>25</v>
      </c>
      <c r="V1012" s="8">
        <f t="shared" si="31"/>
        <v>3</v>
      </c>
      <c r="W1012" t="str">
        <f>_xlfn.XLOOKUP(A1012, Matches!A:A, Matches!L:L, "NA", 0)</f>
        <v>DCW</v>
      </c>
      <c r="X1012" t="str">
        <f>_xlfn.XLOOKUP(A1012, Matches!A:A, Matches!J:J, "NA", 0)</f>
        <v>DCW</v>
      </c>
      <c r="Y1012" t="str">
        <f>_xlfn.XLOOKUP(A1012, Matches!A:A, Matches!F:F, "NA", 0)</f>
        <v>BCA Stadium, Kotambi</v>
      </c>
      <c r="Z1012" cm="1">
        <f t="array" ref="Z1012">INDEX(Innings!F:F,MATCH(1,(TRIM(Innings!A:A)=TRIM(A1012))*(TRIM(Innings!D:D)=TRIM(E1012)),0))</f>
        <v>165</v>
      </c>
      <c r="AA1012" cm="1">
        <f t="array" ref="AA1012">INDEX(Innings!I:I,MATCH(1,(TRIM(Innings!A:A)=TRIM(A1012))*(TRIM(Innings!D:D)=TRIM(E1012)),0))</f>
        <v>8.25</v>
      </c>
      <c r="AB1012" cm="1">
        <f t="array" ref="AB1012">INDEX(Innings!J:J,MATCH(1,(TRIM(Innings!A:A)=TRIM(A1012))*(TRIM(Innings!D:D)=TRIM(E1012)),0))</f>
        <v>60</v>
      </c>
      <c r="AC1012" cm="1">
        <f t="array" ref="AC1012">INDEX(Innings!N:N,MATCH(1,(TRIM(Innings!A:A)=TRIM(A1012))*(TRIM(Innings!D:D)=TRIM(E1012)),0))</f>
        <v>44</v>
      </c>
      <c r="AD1012" cm="1">
        <f t="array" ref="AD1012">INDEX(Innings!S:S,MATCH(1,(TRIM(Innings!A:A)=TRIM(A1012))*(TRIM(Innings!D:D)=TRIM(E1012)),0))</f>
        <v>40</v>
      </c>
      <c r="AE1012" t="str" cm="1">
        <f t="array" ref="AE1012">INDEX(Innings!W:W,MATCH(1,(TRIM(Innings!A:A)=TRIM(A1012))*(TRIM(Innings!D:D)=TRIM(E1012)),0))</f>
        <v>Successful</v>
      </c>
      <c r="AF1012">
        <f>IF(UPPER(TRIM(E1012))=UPPER(TRIM(W1012)),1,0)</f>
        <v>1</v>
      </c>
      <c r="AG1012">
        <f t="shared" si="30"/>
        <v>33.4</v>
      </c>
    </row>
    <row r="1013" spans="1:33" x14ac:dyDescent="0.3">
      <c r="A1013" t="s">
        <v>464</v>
      </c>
      <c r="B1013">
        <v>3</v>
      </c>
      <c r="C1013" t="s">
        <v>229</v>
      </c>
      <c r="D1013" t="s">
        <v>230</v>
      </c>
      <c r="E1013" t="s">
        <v>219</v>
      </c>
      <c r="F1013" t="s">
        <v>109</v>
      </c>
      <c r="G1013" t="s">
        <v>86</v>
      </c>
      <c r="H1013">
        <v>15</v>
      </c>
      <c r="I1013">
        <v>8</v>
      </c>
      <c r="J1013">
        <v>187.5</v>
      </c>
      <c r="K1013" t="s">
        <v>247</v>
      </c>
      <c r="L1013">
        <v>20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 s="8">
        <v>20</v>
      </c>
      <c r="V1013" s="8">
        <f t="shared" si="31"/>
        <v>2</v>
      </c>
      <c r="W1013" t="str">
        <f>_xlfn.XLOOKUP(A1013, Matches!A:A, Matches!L:L, "NA", 0)</f>
        <v>GGTW</v>
      </c>
      <c r="X1013" t="str">
        <f>_xlfn.XLOOKUP(A1013, Matches!A:A, Matches!J:J, "NA", 0)</f>
        <v>GGTW</v>
      </c>
      <c r="Y1013" t="str">
        <f>_xlfn.XLOOKUP(A1013, Matches!A:A, Matches!F:F, "NA", 0)</f>
        <v>BCA Stadium, Kotambi</v>
      </c>
      <c r="Z1013" cm="1">
        <f t="array" ref="Z1013">INDEX(Innings!F:F,MATCH(1,(TRIM(Innings!A:A)=TRIM(A1013))*(TRIM(Innings!D:D)=TRIM(E1013)),0))</f>
        <v>143</v>
      </c>
      <c r="AA1013" cm="1">
        <f t="array" ref="AA1013">INDEX(Innings!I:I,MATCH(1,(TRIM(Innings!A:A)=TRIM(A1013))*(TRIM(Innings!D:D)=TRIM(E1013)),0))</f>
        <v>7.15</v>
      </c>
      <c r="AB1013" cm="1">
        <f t="array" ref="AB1013">INDEX(Innings!J:J,MATCH(1,(TRIM(Innings!A:A)=TRIM(A1013))*(TRIM(Innings!D:D)=TRIM(E1013)),0))</f>
        <v>41</v>
      </c>
      <c r="AC1013" cm="1">
        <f t="array" ref="AC1013">INDEX(Innings!N:N,MATCH(1,(TRIM(Innings!A:A)=TRIM(A1013))*(TRIM(Innings!D:D)=TRIM(E1013)),0))</f>
        <v>32</v>
      </c>
      <c r="AD1013" cm="1">
        <f t="array" ref="AD1013">INDEX(Innings!S:S,MATCH(1,(TRIM(Innings!A:A)=TRIM(A1013))*(TRIM(Innings!D:D)=TRIM(E1013)),0))</f>
        <v>40</v>
      </c>
      <c r="AE1013" t="str" cm="1">
        <f t="array" ref="AE1013">INDEX(Innings!W:W,MATCH(1,(TRIM(Innings!A:A)=TRIM(A1013))*(TRIM(Innings!D:D)=TRIM(E1013)),0))</f>
        <v>NA</v>
      </c>
      <c r="AF1013">
        <f>IF(UPPER(TRIM(E1013))=UPPER(TRIM(W1013)),1,0)</f>
        <v>0</v>
      </c>
      <c r="AG1013">
        <f t="shared" si="30"/>
        <v>10.6</v>
      </c>
    </row>
    <row r="1014" spans="1:33" x14ac:dyDescent="0.3">
      <c r="A1014" t="s">
        <v>464</v>
      </c>
      <c r="B1014">
        <v>3</v>
      </c>
      <c r="C1014" t="s">
        <v>375</v>
      </c>
      <c r="D1014" t="s">
        <v>376</v>
      </c>
      <c r="E1014" t="s">
        <v>219</v>
      </c>
      <c r="F1014" t="s">
        <v>109</v>
      </c>
      <c r="G1014" t="s">
        <v>86</v>
      </c>
      <c r="H1014">
        <v>6</v>
      </c>
      <c r="I1014">
        <v>8</v>
      </c>
      <c r="J1014">
        <v>75</v>
      </c>
      <c r="K1014" t="s">
        <v>245</v>
      </c>
      <c r="L1014">
        <v>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 s="8">
        <v>3</v>
      </c>
      <c r="V1014" s="8">
        <f t="shared" si="31"/>
        <v>0</v>
      </c>
      <c r="W1014" t="str">
        <f>_xlfn.XLOOKUP(A1014, Matches!A:A, Matches!L:L, "NA", 0)</f>
        <v>GGTW</v>
      </c>
      <c r="X1014" t="str">
        <f>_xlfn.XLOOKUP(A1014, Matches!A:A, Matches!J:J, "NA", 0)</f>
        <v>GGTW</v>
      </c>
      <c r="Y1014" t="str">
        <f>_xlfn.XLOOKUP(A1014, Matches!A:A, Matches!F:F, "NA", 0)</f>
        <v>BCA Stadium, Kotambi</v>
      </c>
      <c r="Z1014" cm="1">
        <f t="array" ref="Z1014">INDEX(Innings!F:F,MATCH(1,(TRIM(Innings!A:A)=TRIM(A1014))*(TRIM(Innings!D:D)=TRIM(E1014)),0))</f>
        <v>143</v>
      </c>
      <c r="AA1014" cm="1">
        <f t="array" ref="AA1014">INDEX(Innings!I:I,MATCH(1,(TRIM(Innings!A:A)=TRIM(A1014))*(TRIM(Innings!D:D)=TRIM(E1014)),0))</f>
        <v>7.15</v>
      </c>
      <c r="AB1014" cm="1">
        <f t="array" ref="AB1014">INDEX(Innings!J:J,MATCH(1,(TRIM(Innings!A:A)=TRIM(A1014))*(TRIM(Innings!D:D)=TRIM(E1014)),0))</f>
        <v>41</v>
      </c>
      <c r="AC1014" cm="1">
        <f t="array" ref="AC1014">INDEX(Innings!N:N,MATCH(1,(TRIM(Innings!A:A)=TRIM(A1014))*(TRIM(Innings!D:D)=TRIM(E1014)),0))</f>
        <v>32</v>
      </c>
      <c r="AD1014" cm="1">
        <f t="array" ref="AD1014">INDEX(Innings!S:S,MATCH(1,(TRIM(Innings!A:A)=TRIM(A1014))*(TRIM(Innings!D:D)=TRIM(E1014)),0))</f>
        <v>40</v>
      </c>
      <c r="AE1014" t="str" cm="1">
        <f t="array" ref="AE1014">INDEX(Innings!W:W,MATCH(1,(TRIM(Innings!A:A)=TRIM(A1014))*(TRIM(Innings!D:D)=TRIM(E1014)),0))</f>
        <v>NA</v>
      </c>
      <c r="AF1014">
        <f>IF(UPPER(TRIM(E1014))=UPPER(TRIM(W1014)),1,0)</f>
        <v>0</v>
      </c>
      <c r="AG1014">
        <f t="shared" si="30"/>
        <v>1.5</v>
      </c>
    </row>
    <row r="1015" spans="1:33" x14ac:dyDescent="0.3">
      <c r="A1015" t="s">
        <v>464</v>
      </c>
      <c r="B1015">
        <v>3</v>
      </c>
      <c r="C1015" t="s">
        <v>442</v>
      </c>
      <c r="D1015" t="s">
        <v>443</v>
      </c>
      <c r="E1015" t="s">
        <v>219</v>
      </c>
      <c r="F1015" t="s">
        <v>85</v>
      </c>
      <c r="G1015" t="s">
        <v>92</v>
      </c>
      <c r="H1015">
        <v>24</v>
      </c>
      <c r="I1015">
        <v>27</v>
      </c>
      <c r="J1015">
        <v>88.89</v>
      </c>
      <c r="K1015" t="s">
        <v>246</v>
      </c>
      <c r="L1015">
        <v>20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 s="8">
        <v>20</v>
      </c>
      <c r="V1015" s="8">
        <f t="shared" si="31"/>
        <v>2</v>
      </c>
      <c r="W1015" t="str">
        <f>_xlfn.XLOOKUP(A1015, Matches!A:A, Matches!L:L, "NA", 0)</f>
        <v>GGTW</v>
      </c>
      <c r="X1015" t="str">
        <f>_xlfn.XLOOKUP(A1015, Matches!A:A, Matches!J:J, "NA", 0)</f>
        <v>GGTW</v>
      </c>
      <c r="Y1015" t="str">
        <f>_xlfn.XLOOKUP(A1015, Matches!A:A, Matches!F:F, "NA", 0)</f>
        <v>BCA Stadium, Kotambi</v>
      </c>
      <c r="Z1015" cm="1">
        <f t="array" ref="Z1015">INDEX(Innings!F:F,MATCH(1,(TRIM(Innings!A:A)=TRIM(A1015))*(TRIM(Innings!D:D)=TRIM(E1015)),0))</f>
        <v>143</v>
      </c>
      <c r="AA1015" cm="1">
        <f t="array" ref="AA1015">INDEX(Innings!I:I,MATCH(1,(TRIM(Innings!A:A)=TRIM(A1015))*(TRIM(Innings!D:D)=TRIM(E1015)),0))</f>
        <v>7.15</v>
      </c>
      <c r="AB1015" cm="1">
        <f t="array" ref="AB1015">INDEX(Innings!J:J,MATCH(1,(TRIM(Innings!A:A)=TRIM(A1015))*(TRIM(Innings!D:D)=TRIM(E1015)),0))</f>
        <v>41</v>
      </c>
      <c r="AC1015" cm="1">
        <f t="array" ref="AC1015">INDEX(Innings!N:N,MATCH(1,(TRIM(Innings!A:A)=TRIM(A1015))*(TRIM(Innings!D:D)=TRIM(E1015)),0))</f>
        <v>32</v>
      </c>
      <c r="AD1015" cm="1">
        <f t="array" ref="AD1015">INDEX(Innings!S:S,MATCH(1,(TRIM(Innings!A:A)=TRIM(A1015))*(TRIM(Innings!D:D)=TRIM(E1015)),0))</f>
        <v>40</v>
      </c>
      <c r="AE1015" t="str" cm="1">
        <f t="array" ref="AE1015">INDEX(Innings!W:W,MATCH(1,(TRIM(Innings!A:A)=TRIM(A1015))*(TRIM(Innings!D:D)=TRIM(E1015)),0))</f>
        <v>NA</v>
      </c>
      <c r="AF1015">
        <f>IF(UPPER(TRIM(E1015))=UPPER(TRIM(W1015)),1,0)</f>
        <v>0</v>
      </c>
      <c r="AG1015">
        <f t="shared" si="30"/>
        <v>10.6</v>
      </c>
    </row>
    <row r="1016" spans="1:33" x14ac:dyDescent="0.3">
      <c r="A1016" t="s">
        <v>464</v>
      </c>
      <c r="B1016">
        <v>3</v>
      </c>
      <c r="C1016" t="s">
        <v>224</v>
      </c>
      <c r="D1016" t="s">
        <v>225</v>
      </c>
      <c r="E1016" t="s">
        <v>219</v>
      </c>
      <c r="F1016" t="s">
        <v>169</v>
      </c>
      <c r="G1016" t="s">
        <v>92</v>
      </c>
      <c r="H1016">
        <v>39</v>
      </c>
      <c r="I1016">
        <v>27</v>
      </c>
      <c r="J1016">
        <v>144.44</v>
      </c>
      <c r="K1016" t="s">
        <v>246</v>
      </c>
      <c r="L1016">
        <v>50</v>
      </c>
      <c r="M1016">
        <v>4</v>
      </c>
      <c r="N1016">
        <v>0</v>
      </c>
      <c r="O1016">
        <v>32</v>
      </c>
      <c r="P1016">
        <v>0</v>
      </c>
      <c r="Q1016">
        <v>8</v>
      </c>
      <c r="R1016">
        <v>0</v>
      </c>
      <c r="S1016">
        <v>0</v>
      </c>
      <c r="T1016">
        <v>0</v>
      </c>
      <c r="U1016" s="8">
        <v>50</v>
      </c>
      <c r="V1016" s="8">
        <f t="shared" si="31"/>
        <v>5</v>
      </c>
      <c r="W1016" t="str">
        <f>_xlfn.XLOOKUP(A1016, Matches!A:A, Matches!L:L, "NA", 0)</f>
        <v>GGTW</v>
      </c>
      <c r="X1016" t="str">
        <f>_xlfn.XLOOKUP(A1016, Matches!A:A, Matches!J:J, "NA", 0)</f>
        <v>GGTW</v>
      </c>
      <c r="Y1016" t="str">
        <f>_xlfn.XLOOKUP(A1016, Matches!A:A, Matches!F:F, "NA", 0)</f>
        <v>BCA Stadium, Kotambi</v>
      </c>
      <c r="Z1016" cm="1">
        <f t="array" ref="Z1016">INDEX(Innings!F:F,MATCH(1,(TRIM(Innings!A:A)=TRIM(A1016))*(TRIM(Innings!D:D)=TRIM(E1016)),0))</f>
        <v>143</v>
      </c>
      <c r="AA1016" cm="1">
        <f t="array" ref="AA1016">INDEX(Innings!I:I,MATCH(1,(TRIM(Innings!A:A)=TRIM(A1016))*(TRIM(Innings!D:D)=TRIM(E1016)),0))</f>
        <v>7.15</v>
      </c>
      <c r="AB1016" cm="1">
        <f t="array" ref="AB1016">INDEX(Innings!J:J,MATCH(1,(TRIM(Innings!A:A)=TRIM(A1016))*(TRIM(Innings!D:D)=TRIM(E1016)),0))</f>
        <v>41</v>
      </c>
      <c r="AC1016" cm="1">
        <f t="array" ref="AC1016">INDEX(Innings!N:N,MATCH(1,(TRIM(Innings!A:A)=TRIM(A1016))*(TRIM(Innings!D:D)=TRIM(E1016)),0))</f>
        <v>32</v>
      </c>
      <c r="AD1016" cm="1">
        <f t="array" ref="AD1016">INDEX(Innings!S:S,MATCH(1,(TRIM(Innings!A:A)=TRIM(A1016))*(TRIM(Innings!D:D)=TRIM(E1016)),0))</f>
        <v>40</v>
      </c>
      <c r="AE1016" t="str" cm="1">
        <f t="array" ref="AE1016">INDEX(Innings!W:W,MATCH(1,(TRIM(Innings!A:A)=TRIM(A1016))*(TRIM(Innings!D:D)=TRIM(E1016)),0))</f>
        <v>NA</v>
      </c>
      <c r="AF1016">
        <f>IF(UPPER(TRIM(E1016))=UPPER(TRIM(W1016)),1,0)</f>
        <v>0</v>
      </c>
      <c r="AG1016">
        <f t="shared" si="30"/>
        <v>26.5</v>
      </c>
    </row>
    <row r="1017" spans="1:33" x14ac:dyDescent="0.3">
      <c r="A1017" t="s">
        <v>464</v>
      </c>
      <c r="B1017">
        <v>3</v>
      </c>
      <c r="C1017" t="s">
        <v>222</v>
      </c>
      <c r="D1017" t="s">
        <v>223</v>
      </c>
      <c r="E1017" t="s">
        <v>219</v>
      </c>
      <c r="F1017" t="s">
        <v>169</v>
      </c>
      <c r="G1017" t="s">
        <v>134</v>
      </c>
      <c r="H1017">
        <v>0</v>
      </c>
      <c r="I1017">
        <v>2</v>
      </c>
      <c r="J1017">
        <v>0</v>
      </c>
      <c r="K1017" t="s">
        <v>247</v>
      </c>
      <c r="L1017">
        <v>0</v>
      </c>
      <c r="M1017">
        <v>3</v>
      </c>
      <c r="N1017">
        <v>0</v>
      </c>
      <c r="O1017">
        <v>21</v>
      </c>
      <c r="P1017">
        <v>1</v>
      </c>
      <c r="Q1017">
        <v>7</v>
      </c>
      <c r="R1017">
        <v>25</v>
      </c>
      <c r="S1017">
        <v>0</v>
      </c>
      <c r="T1017">
        <v>0</v>
      </c>
      <c r="U1017" s="8">
        <v>25</v>
      </c>
      <c r="V1017" s="8">
        <f t="shared" si="31"/>
        <v>3</v>
      </c>
      <c r="W1017" t="str">
        <f>_xlfn.XLOOKUP(A1017, Matches!A:A, Matches!L:L, "NA", 0)</f>
        <v>GGTW</v>
      </c>
      <c r="X1017" t="str">
        <f>_xlfn.XLOOKUP(A1017, Matches!A:A, Matches!J:J, "NA", 0)</f>
        <v>GGTW</v>
      </c>
      <c r="Y1017" t="str">
        <f>_xlfn.XLOOKUP(A1017, Matches!A:A, Matches!F:F, "NA", 0)</f>
        <v>BCA Stadium, Kotambi</v>
      </c>
      <c r="Z1017" cm="1">
        <f t="array" ref="Z1017">INDEX(Innings!F:F,MATCH(1,(TRIM(Innings!A:A)=TRIM(A1017))*(TRIM(Innings!D:D)=TRIM(E1017)),0))</f>
        <v>143</v>
      </c>
      <c r="AA1017" cm="1">
        <f t="array" ref="AA1017">INDEX(Innings!I:I,MATCH(1,(TRIM(Innings!A:A)=TRIM(A1017))*(TRIM(Innings!D:D)=TRIM(E1017)),0))</f>
        <v>7.15</v>
      </c>
      <c r="AB1017" cm="1">
        <f t="array" ref="AB1017">INDEX(Innings!J:J,MATCH(1,(TRIM(Innings!A:A)=TRIM(A1017))*(TRIM(Innings!D:D)=TRIM(E1017)),0))</f>
        <v>41</v>
      </c>
      <c r="AC1017" cm="1">
        <f t="array" ref="AC1017">INDEX(Innings!N:N,MATCH(1,(TRIM(Innings!A:A)=TRIM(A1017))*(TRIM(Innings!D:D)=TRIM(E1017)),0))</f>
        <v>32</v>
      </c>
      <c r="AD1017" cm="1">
        <f t="array" ref="AD1017">INDEX(Innings!S:S,MATCH(1,(TRIM(Innings!A:A)=TRIM(A1017))*(TRIM(Innings!D:D)=TRIM(E1017)),0))</f>
        <v>40</v>
      </c>
      <c r="AE1017" t="str" cm="1">
        <f t="array" ref="AE1017">INDEX(Innings!W:W,MATCH(1,(TRIM(Innings!A:A)=TRIM(A1017))*(TRIM(Innings!D:D)=TRIM(E1017)),0))</f>
        <v>NA</v>
      </c>
      <c r="AF1017">
        <f>IF(UPPER(TRIM(E1017))=UPPER(TRIM(W1017)),1,0)</f>
        <v>0</v>
      </c>
      <c r="AG1017">
        <f t="shared" si="30"/>
        <v>13.4</v>
      </c>
    </row>
    <row r="1018" spans="1:33" x14ac:dyDescent="0.3">
      <c r="A1018" t="s">
        <v>464</v>
      </c>
      <c r="B1018">
        <v>3</v>
      </c>
      <c r="C1018" t="s">
        <v>226</v>
      </c>
      <c r="D1018" t="s">
        <v>211</v>
      </c>
      <c r="E1018" t="s">
        <v>219</v>
      </c>
      <c r="F1018" t="s">
        <v>169</v>
      </c>
      <c r="G1018" t="s">
        <v>134</v>
      </c>
      <c r="H1018">
        <v>4</v>
      </c>
      <c r="I1018">
        <v>2</v>
      </c>
      <c r="J1018">
        <v>200</v>
      </c>
      <c r="K1018" t="s">
        <v>245</v>
      </c>
      <c r="L1018">
        <v>5</v>
      </c>
      <c r="M1018">
        <v>1</v>
      </c>
      <c r="N1018">
        <v>0</v>
      </c>
      <c r="O1018">
        <v>1</v>
      </c>
      <c r="P1018">
        <v>1</v>
      </c>
      <c r="Q1018">
        <v>1</v>
      </c>
      <c r="R1018">
        <v>25</v>
      </c>
      <c r="S1018">
        <v>0</v>
      </c>
      <c r="T1018">
        <v>0</v>
      </c>
      <c r="U1018" s="8">
        <v>30</v>
      </c>
      <c r="V1018" s="8">
        <f t="shared" si="31"/>
        <v>3</v>
      </c>
      <c r="W1018" t="str">
        <f>_xlfn.XLOOKUP(A1018, Matches!A:A, Matches!L:L, "NA", 0)</f>
        <v>GGTW</v>
      </c>
      <c r="X1018" t="str">
        <f>_xlfn.XLOOKUP(A1018, Matches!A:A, Matches!J:J, "NA", 0)</f>
        <v>GGTW</v>
      </c>
      <c r="Y1018" t="str">
        <f>_xlfn.XLOOKUP(A1018, Matches!A:A, Matches!F:F, "NA", 0)</f>
        <v>BCA Stadium, Kotambi</v>
      </c>
      <c r="Z1018" cm="1">
        <f t="array" ref="Z1018">INDEX(Innings!F:F,MATCH(1,(TRIM(Innings!A:A)=TRIM(A1018))*(TRIM(Innings!D:D)=TRIM(E1018)),0))</f>
        <v>143</v>
      </c>
      <c r="AA1018" cm="1">
        <f t="array" ref="AA1018">INDEX(Innings!I:I,MATCH(1,(TRIM(Innings!A:A)=TRIM(A1018))*(TRIM(Innings!D:D)=TRIM(E1018)),0))</f>
        <v>7.15</v>
      </c>
      <c r="AB1018" cm="1">
        <f t="array" ref="AB1018">INDEX(Innings!J:J,MATCH(1,(TRIM(Innings!A:A)=TRIM(A1018))*(TRIM(Innings!D:D)=TRIM(E1018)),0))</f>
        <v>41</v>
      </c>
      <c r="AC1018" cm="1">
        <f t="array" ref="AC1018">INDEX(Innings!N:N,MATCH(1,(TRIM(Innings!A:A)=TRIM(A1018))*(TRIM(Innings!D:D)=TRIM(E1018)),0))</f>
        <v>32</v>
      </c>
      <c r="AD1018" cm="1">
        <f t="array" ref="AD1018">INDEX(Innings!S:S,MATCH(1,(TRIM(Innings!A:A)=TRIM(A1018))*(TRIM(Innings!D:D)=TRIM(E1018)),0))</f>
        <v>40</v>
      </c>
      <c r="AE1018" t="str" cm="1">
        <f t="array" ref="AE1018">INDEX(Innings!W:W,MATCH(1,(TRIM(Innings!A:A)=TRIM(A1018))*(TRIM(Innings!D:D)=TRIM(E1018)),0))</f>
        <v>NA</v>
      </c>
      <c r="AF1018">
        <f>IF(UPPER(TRIM(E1018))=UPPER(TRIM(W1018)),1,0)</f>
        <v>0</v>
      </c>
      <c r="AG1018">
        <f t="shared" si="30"/>
        <v>15.9</v>
      </c>
    </row>
    <row r="1019" spans="1:33" x14ac:dyDescent="0.3">
      <c r="A1019" t="s">
        <v>464</v>
      </c>
      <c r="B1019">
        <v>3</v>
      </c>
      <c r="C1019" t="s">
        <v>220</v>
      </c>
      <c r="D1019" t="s">
        <v>221</v>
      </c>
      <c r="E1019" t="s">
        <v>219</v>
      </c>
      <c r="F1019" t="s">
        <v>109</v>
      </c>
      <c r="G1019" t="s">
        <v>134</v>
      </c>
      <c r="H1019">
        <v>16</v>
      </c>
      <c r="I1019">
        <v>18</v>
      </c>
      <c r="J1019">
        <v>88.89</v>
      </c>
      <c r="K1019" t="s">
        <v>245</v>
      </c>
      <c r="L1019">
        <v>10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 s="8">
        <v>10</v>
      </c>
      <c r="V1019" s="8">
        <f t="shared" si="31"/>
        <v>1</v>
      </c>
      <c r="W1019" t="str">
        <f>_xlfn.XLOOKUP(A1019, Matches!A:A, Matches!L:L, "NA", 0)</f>
        <v>GGTW</v>
      </c>
      <c r="X1019" t="str">
        <f>_xlfn.XLOOKUP(A1019, Matches!A:A, Matches!J:J, "NA", 0)</f>
        <v>GGTW</v>
      </c>
      <c r="Y1019" t="str">
        <f>_xlfn.XLOOKUP(A1019, Matches!A:A, Matches!F:F, "NA", 0)</f>
        <v>BCA Stadium, Kotambi</v>
      </c>
      <c r="Z1019" cm="1">
        <f t="array" ref="Z1019">INDEX(Innings!F:F,MATCH(1,(TRIM(Innings!A:A)=TRIM(A1019))*(TRIM(Innings!D:D)=TRIM(E1019)),0))</f>
        <v>143</v>
      </c>
      <c r="AA1019" cm="1">
        <f t="array" ref="AA1019">INDEX(Innings!I:I,MATCH(1,(TRIM(Innings!A:A)=TRIM(A1019))*(TRIM(Innings!D:D)=TRIM(E1019)),0))</f>
        <v>7.15</v>
      </c>
      <c r="AB1019" cm="1">
        <f t="array" ref="AB1019">INDEX(Innings!J:J,MATCH(1,(TRIM(Innings!A:A)=TRIM(A1019))*(TRIM(Innings!D:D)=TRIM(E1019)),0))</f>
        <v>41</v>
      </c>
      <c r="AC1019" cm="1">
        <f t="array" ref="AC1019">INDEX(Innings!N:N,MATCH(1,(TRIM(Innings!A:A)=TRIM(A1019))*(TRIM(Innings!D:D)=TRIM(E1019)),0))</f>
        <v>32</v>
      </c>
      <c r="AD1019" cm="1">
        <f t="array" ref="AD1019">INDEX(Innings!S:S,MATCH(1,(TRIM(Innings!A:A)=TRIM(A1019))*(TRIM(Innings!D:D)=TRIM(E1019)),0))</f>
        <v>40</v>
      </c>
      <c r="AE1019" t="str" cm="1">
        <f t="array" ref="AE1019">INDEX(Innings!W:W,MATCH(1,(TRIM(Innings!A:A)=TRIM(A1019))*(TRIM(Innings!D:D)=TRIM(E1019)),0))</f>
        <v>NA</v>
      </c>
      <c r="AF1019">
        <f>IF(UPPER(TRIM(E1019))=UPPER(TRIM(W1019)),1,0)</f>
        <v>0</v>
      </c>
      <c r="AG1019">
        <f t="shared" si="30"/>
        <v>5.3</v>
      </c>
    </row>
    <row r="1020" spans="1:33" x14ac:dyDescent="0.3">
      <c r="A1020" t="s">
        <v>464</v>
      </c>
      <c r="B1020">
        <v>3</v>
      </c>
      <c r="C1020" t="s">
        <v>508</v>
      </c>
      <c r="D1020" t="s">
        <v>522</v>
      </c>
      <c r="E1020" t="s">
        <v>219</v>
      </c>
      <c r="F1020" t="s">
        <v>101</v>
      </c>
      <c r="G1020" t="s">
        <v>134</v>
      </c>
      <c r="H1020">
        <v>19</v>
      </c>
      <c r="I1020">
        <v>14</v>
      </c>
      <c r="J1020">
        <v>135.71</v>
      </c>
      <c r="K1020" t="s">
        <v>96</v>
      </c>
      <c r="L1020">
        <v>18</v>
      </c>
      <c r="M1020">
        <v>3</v>
      </c>
      <c r="N1020">
        <v>0</v>
      </c>
      <c r="O1020">
        <v>38</v>
      </c>
      <c r="P1020">
        <v>0</v>
      </c>
      <c r="Q1020">
        <v>12.7</v>
      </c>
      <c r="R1020">
        <v>0</v>
      </c>
      <c r="S1020">
        <v>0</v>
      </c>
      <c r="T1020">
        <v>0</v>
      </c>
      <c r="U1020" s="8">
        <v>18</v>
      </c>
      <c r="V1020" s="8">
        <f t="shared" si="31"/>
        <v>2</v>
      </c>
      <c r="W1020" t="str">
        <f>_xlfn.XLOOKUP(A1020, Matches!A:A, Matches!L:L, "NA", 0)</f>
        <v>GGTW</v>
      </c>
      <c r="X1020" t="str">
        <f>_xlfn.XLOOKUP(A1020, Matches!A:A, Matches!J:J, "NA", 0)</f>
        <v>GGTW</v>
      </c>
      <c r="Y1020" t="str">
        <f>_xlfn.XLOOKUP(A1020, Matches!A:A, Matches!F:F, "NA", 0)</f>
        <v>BCA Stadium, Kotambi</v>
      </c>
      <c r="Z1020" cm="1">
        <f t="array" ref="Z1020">INDEX(Innings!F:F,MATCH(1,(TRIM(Innings!A:A)=TRIM(A1020))*(TRIM(Innings!D:D)=TRIM(E1020)),0))</f>
        <v>143</v>
      </c>
      <c r="AA1020" cm="1">
        <f t="array" ref="AA1020">INDEX(Innings!I:I,MATCH(1,(TRIM(Innings!A:A)=TRIM(A1020))*(TRIM(Innings!D:D)=TRIM(E1020)),0))</f>
        <v>7.15</v>
      </c>
      <c r="AB1020" cm="1">
        <f t="array" ref="AB1020">INDEX(Innings!J:J,MATCH(1,(TRIM(Innings!A:A)=TRIM(A1020))*(TRIM(Innings!D:D)=TRIM(E1020)),0))</f>
        <v>41</v>
      </c>
      <c r="AC1020" cm="1">
        <f t="array" ref="AC1020">INDEX(Innings!N:N,MATCH(1,(TRIM(Innings!A:A)=TRIM(A1020))*(TRIM(Innings!D:D)=TRIM(E1020)),0))</f>
        <v>32</v>
      </c>
      <c r="AD1020" cm="1">
        <f t="array" ref="AD1020">INDEX(Innings!S:S,MATCH(1,(TRIM(Innings!A:A)=TRIM(A1020))*(TRIM(Innings!D:D)=TRIM(E1020)),0))</f>
        <v>40</v>
      </c>
      <c r="AE1020" t="str" cm="1">
        <f t="array" ref="AE1020">INDEX(Innings!W:W,MATCH(1,(TRIM(Innings!A:A)=TRIM(A1020))*(TRIM(Innings!D:D)=TRIM(E1020)),0))</f>
        <v>NA</v>
      </c>
      <c r="AF1020">
        <f>IF(UPPER(TRIM(E1020))=UPPER(TRIM(W1020)),1,0)</f>
        <v>0</v>
      </c>
      <c r="AG1020">
        <f t="shared" si="30"/>
        <v>9.6</v>
      </c>
    </row>
    <row r="1021" spans="1:33" x14ac:dyDescent="0.3">
      <c r="A1021" t="s">
        <v>464</v>
      </c>
      <c r="B1021">
        <v>3</v>
      </c>
      <c r="C1021" t="s">
        <v>233</v>
      </c>
      <c r="D1021" t="s">
        <v>234</v>
      </c>
      <c r="E1021" t="s">
        <v>219</v>
      </c>
      <c r="F1021" t="s">
        <v>101</v>
      </c>
      <c r="G1021" t="s">
        <v>134</v>
      </c>
      <c r="H1021">
        <v>2</v>
      </c>
      <c r="I1021">
        <v>7</v>
      </c>
      <c r="J1021">
        <v>28.57</v>
      </c>
      <c r="K1021" t="s">
        <v>245</v>
      </c>
      <c r="L1021">
        <v>1</v>
      </c>
      <c r="M1021">
        <v>4</v>
      </c>
      <c r="N1021">
        <v>0</v>
      </c>
      <c r="O1021">
        <v>16</v>
      </c>
      <c r="P1021">
        <v>2</v>
      </c>
      <c r="Q1021">
        <v>4</v>
      </c>
      <c r="R1021">
        <v>50</v>
      </c>
      <c r="S1021">
        <v>0</v>
      </c>
      <c r="T1021">
        <v>0</v>
      </c>
      <c r="U1021" s="8">
        <v>51</v>
      </c>
      <c r="V1021" s="8">
        <f t="shared" si="31"/>
        <v>5</v>
      </c>
      <c r="W1021" t="str">
        <f>_xlfn.XLOOKUP(A1021, Matches!A:A, Matches!L:L, "NA", 0)</f>
        <v>GGTW</v>
      </c>
      <c r="X1021" t="str">
        <f>_xlfn.XLOOKUP(A1021, Matches!A:A, Matches!J:J, "NA", 0)</f>
        <v>GGTW</v>
      </c>
      <c r="Y1021" t="str">
        <f>_xlfn.XLOOKUP(A1021, Matches!A:A, Matches!F:F, "NA", 0)</f>
        <v>BCA Stadium, Kotambi</v>
      </c>
      <c r="Z1021" cm="1">
        <f t="array" ref="Z1021">INDEX(Innings!F:F,MATCH(1,(TRIM(Innings!A:A)=TRIM(A1021))*(TRIM(Innings!D:D)=TRIM(E1021)),0))</f>
        <v>143</v>
      </c>
      <c r="AA1021" cm="1">
        <f t="array" ref="AA1021">INDEX(Innings!I:I,MATCH(1,(TRIM(Innings!A:A)=TRIM(A1021))*(TRIM(Innings!D:D)=TRIM(E1021)),0))</f>
        <v>7.15</v>
      </c>
      <c r="AB1021" cm="1">
        <f t="array" ref="AB1021">INDEX(Innings!J:J,MATCH(1,(TRIM(Innings!A:A)=TRIM(A1021))*(TRIM(Innings!D:D)=TRIM(E1021)),0))</f>
        <v>41</v>
      </c>
      <c r="AC1021" cm="1">
        <f t="array" ref="AC1021">INDEX(Innings!N:N,MATCH(1,(TRIM(Innings!A:A)=TRIM(A1021))*(TRIM(Innings!D:D)=TRIM(E1021)),0))</f>
        <v>32</v>
      </c>
      <c r="AD1021" cm="1">
        <f t="array" ref="AD1021">INDEX(Innings!S:S,MATCH(1,(TRIM(Innings!A:A)=TRIM(A1021))*(TRIM(Innings!D:D)=TRIM(E1021)),0))</f>
        <v>40</v>
      </c>
      <c r="AE1021" t="str" cm="1">
        <f t="array" ref="AE1021">INDEX(Innings!W:W,MATCH(1,(TRIM(Innings!A:A)=TRIM(A1021))*(TRIM(Innings!D:D)=TRIM(E1021)),0))</f>
        <v>NA</v>
      </c>
      <c r="AF1021">
        <f>IF(UPPER(TRIM(E1021))=UPPER(TRIM(W1021)),1,0)</f>
        <v>0</v>
      </c>
      <c r="AG1021">
        <f t="shared" si="30"/>
        <v>27</v>
      </c>
    </row>
    <row r="1022" spans="1:33" x14ac:dyDescent="0.3">
      <c r="A1022" t="s">
        <v>464</v>
      </c>
      <c r="B1022">
        <v>3</v>
      </c>
      <c r="C1022" t="s">
        <v>377</v>
      </c>
      <c r="D1022" t="s">
        <v>378</v>
      </c>
      <c r="E1022" t="s">
        <v>219</v>
      </c>
      <c r="F1022" t="s">
        <v>169</v>
      </c>
      <c r="G1022" t="s">
        <v>134</v>
      </c>
      <c r="H1022">
        <v>15</v>
      </c>
      <c r="I1022">
        <v>7</v>
      </c>
      <c r="J1022">
        <v>214.29</v>
      </c>
      <c r="K1022" t="s">
        <v>256</v>
      </c>
      <c r="L1022">
        <v>20</v>
      </c>
      <c r="M1022">
        <v>1</v>
      </c>
      <c r="N1022">
        <v>0</v>
      </c>
      <c r="O1022">
        <v>20</v>
      </c>
      <c r="P1022">
        <v>0</v>
      </c>
      <c r="Q1022">
        <v>20</v>
      </c>
      <c r="R1022">
        <v>0</v>
      </c>
      <c r="S1022">
        <v>0</v>
      </c>
      <c r="T1022">
        <v>0</v>
      </c>
      <c r="U1022" s="8">
        <v>20</v>
      </c>
      <c r="V1022" s="8">
        <f t="shared" si="31"/>
        <v>2</v>
      </c>
      <c r="W1022" t="str">
        <f>_xlfn.XLOOKUP(A1022, Matches!A:A, Matches!L:L, "NA", 0)</f>
        <v>GGTW</v>
      </c>
      <c r="X1022" t="str">
        <f>_xlfn.XLOOKUP(A1022, Matches!A:A, Matches!J:J, "NA", 0)</f>
        <v>GGTW</v>
      </c>
      <c r="Y1022" t="str">
        <f>_xlfn.XLOOKUP(A1022, Matches!A:A, Matches!F:F, "NA", 0)</f>
        <v>BCA Stadium, Kotambi</v>
      </c>
      <c r="Z1022" cm="1">
        <f t="array" ref="Z1022">INDEX(Innings!F:F,MATCH(1,(TRIM(Innings!A:A)=TRIM(A1022))*(TRIM(Innings!D:D)=TRIM(E1022)),0))</f>
        <v>143</v>
      </c>
      <c r="AA1022" cm="1">
        <f t="array" ref="AA1022">INDEX(Innings!I:I,MATCH(1,(TRIM(Innings!A:A)=TRIM(A1022))*(TRIM(Innings!D:D)=TRIM(E1022)),0))</f>
        <v>7.15</v>
      </c>
      <c r="AB1022" cm="1">
        <f t="array" ref="AB1022">INDEX(Innings!J:J,MATCH(1,(TRIM(Innings!A:A)=TRIM(A1022))*(TRIM(Innings!D:D)=TRIM(E1022)),0))</f>
        <v>41</v>
      </c>
      <c r="AC1022" cm="1">
        <f t="array" ref="AC1022">INDEX(Innings!N:N,MATCH(1,(TRIM(Innings!A:A)=TRIM(A1022))*(TRIM(Innings!D:D)=TRIM(E1022)),0))</f>
        <v>32</v>
      </c>
      <c r="AD1022" cm="1">
        <f t="array" ref="AD1022">INDEX(Innings!S:S,MATCH(1,(TRIM(Innings!A:A)=TRIM(A1022))*(TRIM(Innings!D:D)=TRIM(E1022)),0))</f>
        <v>40</v>
      </c>
      <c r="AE1022" t="str" cm="1">
        <f t="array" ref="AE1022">INDEX(Innings!W:W,MATCH(1,(TRIM(Innings!A:A)=TRIM(A1022))*(TRIM(Innings!D:D)=TRIM(E1022)),0))</f>
        <v>NA</v>
      </c>
      <c r="AF1022">
        <f>IF(UPPER(TRIM(E1022))=UPPER(TRIM(W1022)),1,0)</f>
        <v>0</v>
      </c>
      <c r="AG1022">
        <f t="shared" si="30"/>
        <v>10.6</v>
      </c>
    </row>
    <row r="1023" spans="1:33" x14ac:dyDescent="0.3">
      <c r="A1023" t="s">
        <v>464</v>
      </c>
      <c r="B1023">
        <v>3</v>
      </c>
      <c r="C1023" t="s">
        <v>509</v>
      </c>
      <c r="D1023" t="s">
        <v>523</v>
      </c>
      <c r="E1023" t="s">
        <v>219</v>
      </c>
      <c r="F1023" t="s">
        <v>169</v>
      </c>
      <c r="G1023" t="s">
        <v>104</v>
      </c>
      <c r="H1023">
        <v>0</v>
      </c>
      <c r="I1023">
        <v>0</v>
      </c>
      <c r="J1023">
        <v>0</v>
      </c>
      <c r="K1023" t="s">
        <v>104</v>
      </c>
      <c r="L1023">
        <v>0</v>
      </c>
      <c r="M1023">
        <v>2</v>
      </c>
      <c r="N1023">
        <v>0</v>
      </c>
      <c r="O1023">
        <v>15</v>
      </c>
      <c r="P1023">
        <v>0</v>
      </c>
      <c r="Q1023">
        <v>7.5</v>
      </c>
      <c r="R1023">
        <v>0</v>
      </c>
      <c r="S1023">
        <v>0</v>
      </c>
      <c r="T1023">
        <v>0</v>
      </c>
      <c r="U1023" s="8">
        <v>0</v>
      </c>
      <c r="V1023" s="8">
        <f t="shared" si="31"/>
        <v>0</v>
      </c>
      <c r="W1023" t="str">
        <f>_xlfn.XLOOKUP(A1023, Matches!A:A, Matches!L:L, "NA", 0)</f>
        <v>GGTW</v>
      </c>
      <c r="X1023" t="str">
        <f>_xlfn.XLOOKUP(A1023, Matches!A:A, Matches!J:J, "NA", 0)</f>
        <v>GGTW</v>
      </c>
      <c r="Y1023" t="str">
        <f>_xlfn.XLOOKUP(A1023, Matches!A:A, Matches!F:F, "NA", 0)</f>
        <v>BCA Stadium, Kotambi</v>
      </c>
      <c r="Z1023" cm="1">
        <f t="array" ref="Z1023">INDEX(Innings!F:F,MATCH(1,(TRIM(Innings!A:A)=TRIM(A1023))*(TRIM(Innings!D:D)=TRIM(E1023)),0))</f>
        <v>143</v>
      </c>
      <c r="AA1023" cm="1">
        <f t="array" ref="AA1023">INDEX(Innings!I:I,MATCH(1,(TRIM(Innings!A:A)=TRIM(A1023))*(TRIM(Innings!D:D)=TRIM(E1023)),0))</f>
        <v>7.15</v>
      </c>
      <c r="AB1023" cm="1">
        <f t="array" ref="AB1023">INDEX(Innings!J:J,MATCH(1,(TRIM(Innings!A:A)=TRIM(A1023))*(TRIM(Innings!D:D)=TRIM(E1023)),0))</f>
        <v>41</v>
      </c>
      <c r="AC1023" cm="1">
        <f t="array" ref="AC1023">INDEX(Innings!N:N,MATCH(1,(TRIM(Innings!A:A)=TRIM(A1023))*(TRIM(Innings!D:D)=TRIM(E1023)),0))</f>
        <v>32</v>
      </c>
      <c r="AD1023" cm="1">
        <f t="array" ref="AD1023">INDEX(Innings!S:S,MATCH(1,(TRIM(Innings!A:A)=TRIM(A1023))*(TRIM(Innings!D:D)=TRIM(E1023)),0))</f>
        <v>40</v>
      </c>
      <c r="AE1023" t="str" cm="1">
        <f t="array" ref="AE1023">INDEX(Innings!W:W,MATCH(1,(TRIM(Innings!A:A)=TRIM(A1023))*(TRIM(Innings!D:D)=TRIM(E1023)),0))</f>
        <v>NA</v>
      </c>
      <c r="AF1023">
        <f>IF(UPPER(TRIM(E1023))=UPPER(TRIM(W1023)),1,0)</f>
        <v>0</v>
      </c>
      <c r="AG1023">
        <f t="shared" si="30"/>
        <v>0</v>
      </c>
    </row>
    <row r="1024" spans="1:33" x14ac:dyDescent="0.3">
      <c r="A1024" t="s">
        <v>464</v>
      </c>
      <c r="B1024">
        <v>3</v>
      </c>
      <c r="C1024" t="s">
        <v>278</v>
      </c>
      <c r="D1024" t="s">
        <v>293</v>
      </c>
      <c r="E1024" t="s">
        <v>258</v>
      </c>
      <c r="F1024" t="s">
        <v>109</v>
      </c>
      <c r="G1024" t="s">
        <v>86</v>
      </c>
      <c r="H1024">
        <v>22</v>
      </c>
      <c r="I1024">
        <v>24</v>
      </c>
      <c r="J1024">
        <v>91.67</v>
      </c>
      <c r="K1024" t="s">
        <v>245</v>
      </c>
      <c r="L1024">
        <v>18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 s="8">
        <v>18</v>
      </c>
      <c r="V1024" s="8">
        <f t="shared" si="31"/>
        <v>2</v>
      </c>
      <c r="W1024" t="str">
        <f>_xlfn.XLOOKUP(A1024, Matches!A:A, Matches!L:L, "NA", 0)</f>
        <v>GGTW</v>
      </c>
      <c r="X1024" t="str">
        <f>_xlfn.XLOOKUP(A1024, Matches!A:A, Matches!J:J, "NA", 0)</f>
        <v>GGTW</v>
      </c>
      <c r="Y1024" t="str">
        <f>_xlfn.XLOOKUP(A1024, Matches!A:A, Matches!F:F, "NA", 0)</f>
        <v>BCA Stadium, Kotambi</v>
      </c>
      <c r="Z1024" cm="1">
        <f t="array" ref="Z1024">INDEX(Innings!F:F,MATCH(1,(TRIM(Innings!A:A)=TRIM(A1024))*(TRIM(Innings!D:D)=TRIM(E1024)),0))</f>
        <v>144</v>
      </c>
      <c r="AA1024" cm="1">
        <f t="array" ref="AA1024">INDEX(Innings!I:I,MATCH(1,(TRIM(Innings!A:A)=TRIM(A1024))*(TRIM(Innings!D:D)=TRIM(E1024)),0))</f>
        <v>8</v>
      </c>
      <c r="AB1024" cm="1">
        <f t="array" ref="AB1024">INDEX(Innings!J:J,MATCH(1,(TRIM(Innings!A:A)=TRIM(A1024))*(TRIM(Innings!D:D)=TRIM(E1024)),0))</f>
        <v>41</v>
      </c>
      <c r="AC1024" cm="1">
        <f t="array" ref="AC1024">INDEX(Innings!N:N,MATCH(1,(TRIM(Innings!A:A)=TRIM(A1024))*(TRIM(Innings!D:D)=TRIM(E1024)),0))</f>
        <v>20</v>
      </c>
      <c r="AD1024" cm="1">
        <f t="array" ref="AD1024">INDEX(Innings!S:S,MATCH(1,(TRIM(Innings!A:A)=TRIM(A1024))*(TRIM(Innings!D:D)=TRIM(E1024)),0))</f>
        <v>44</v>
      </c>
      <c r="AE1024" t="str" cm="1">
        <f t="array" ref="AE1024">INDEX(Innings!W:W,MATCH(1,(TRIM(Innings!A:A)=TRIM(A1024))*(TRIM(Innings!D:D)=TRIM(E1024)),0))</f>
        <v>Successful</v>
      </c>
      <c r="AF1024">
        <f>IF(UPPER(TRIM(E1024))=UPPER(TRIM(W1024)),1,0)</f>
        <v>1</v>
      </c>
      <c r="AG1024">
        <f t="shared" si="30"/>
        <v>29.6</v>
      </c>
    </row>
    <row r="1025" spans="1:33" x14ac:dyDescent="0.3">
      <c r="A1025" t="s">
        <v>464</v>
      </c>
      <c r="B1025">
        <v>3</v>
      </c>
      <c r="C1025" t="s">
        <v>81</v>
      </c>
      <c r="D1025" t="s">
        <v>114</v>
      </c>
      <c r="E1025" t="s">
        <v>258</v>
      </c>
      <c r="F1025" t="s">
        <v>85</v>
      </c>
      <c r="G1025" t="s">
        <v>86</v>
      </c>
      <c r="H1025">
        <v>0</v>
      </c>
      <c r="I1025">
        <v>1</v>
      </c>
      <c r="J1025">
        <v>0</v>
      </c>
      <c r="K1025" t="s">
        <v>246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 s="8">
        <v>0</v>
      </c>
      <c r="V1025" s="8">
        <f t="shared" si="31"/>
        <v>0</v>
      </c>
      <c r="W1025" t="str">
        <f>_xlfn.XLOOKUP(A1025, Matches!A:A, Matches!L:L, "NA", 0)</f>
        <v>GGTW</v>
      </c>
      <c r="X1025" t="str">
        <f>_xlfn.XLOOKUP(A1025, Matches!A:A, Matches!J:J, "NA", 0)</f>
        <v>GGTW</v>
      </c>
      <c r="Y1025" t="str">
        <f>_xlfn.XLOOKUP(A1025, Matches!A:A, Matches!F:F, "NA", 0)</f>
        <v>BCA Stadium, Kotambi</v>
      </c>
      <c r="Z1025" cm="1">
        <f t="array" ref="Z1025">INDEX(Innings!F:F,MATCH(1,(TRIM(Innings!A:A)=TRIM(A1025))*(TRIM(Innings!D:D)=TRIM(E1025)),0))</f>
        <v>144</v>
      </c>
      <c r="AA1025" cm="1">
        <f t="array" ref="AA1025">INDEX(Innings!I:I,MATCH(1,(TRIM(Innings!A:A)=TRIM(A1025))*(TRIM(Innings!D:D)=TRIM(E1025)),0))</f>
        <v>8</v>
      </c>
      <c r="AB1025" cm="1">
        <f t="array" ref="AB1025">INDEX(Innings!J:J,MATCH(1,(TRIM(Innings!A:A)=TRIM(A1025))*(TRIM(Innings!D:D)=TRIM(E1025)),0))</f>
        <v>41</v>
      </c>
      <c r="AC1025" cm="1">
        <f t="array" ref="AC1025">INDEX(Innings!N:N,MATCH(1,(TRIM(Innings!A:A)=TRIM(A1025))*(TRIM(Innings!D:D)=TRIM(E1025)),0))</f>
        <v>20</v>
      </c>
      <c r="AD1025" cm="1">
        <f t="array" ref="AD1025">INDEX(Innings!S:S,MATCH(1,(TRIM(Innings!A:A)=TRIM(A1025))*(TRIM(Innings!D:D)=TRIM(E1025)),0))</f>
        <v>44</v>
      </c>
      <c r="AE1025" t="str" cm="1">
        <f t="array" ref="AE1025">INDEX(Innings!W:W,MATCH(1,(TRIM(Innings!A:A)=TRIM(A1025))*(TRIM(Innings!D:D)=TRIM(E1025)),0))</f>
        <v>Successful</v>
      </c>
      <c r="AF1025">
        <f>IF(UPPER(TRIM(E1025))=UPPER(TRIM(W1025)),1,0)</f>
        <v>1</v>
      </c>
      <c r="AG1025">
        <f t="shared" ref="AG1025:AG1088" si="32">(0.5*MAX(0,U1025) + 0.3*MAX(0,V1025) + 0.2*AF1025*100)</f>
        <v>20</v>
      </c>
    </row>
    <row r="1026" spans="1:33" x14ac:dyDescent="0.3">
      <c r="A1026" t="s">
        <v>464</v>
      </c>
      <c r="B1026">
        <v>3</v>
      </c>
      <c r="C1026" t="s">
        <v>97</v>
      </c>
      <c r="D1026" t="s">
        <v>122</v>
      </c>
      <c r="E1026" t="s">
        <v>258</v>
      </c>
      <c r="F1026" t="s">
        <v>109</v>
      </c>
      <c r="G1026" t="s">
        <v>92</v>
      </c>
      <c r="H1026">
        <v>0</v>
      </c>
      <c r="I1026">
        <v>3</v>
      </c>
      <c r="J1026">
        <v>0</v>
      </c>
      <c r="K1026" t="s">
        <v>245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 s="8">
        <v>0</v>
      </c>
      <c r="V1026" s="8">
        <f t="shared" si="31"/>
        <v>0</v>
      </c>
      <c r="W1026" t="str">
        <f>_xlfn.XLOOKUP(A1026, Matches!A:A, Matches!L:L, "NA", 0)</f>
        <v>GGTW</v>
      </c>
      <c r="X1026" t="str">
        <f>_xlfn.XLOOKUP(A1026, Matches!A:A, Matches!J:J, "NA", 0)</f>
        <v>GGTW</v>
      </c>
      <c r="Y1026" t="str">
        <f>_xlfn.XLOOKUP(A1026, Matches!A:A, Matches!F:F, "NA", 0)</f>
        <v>BCA Stadium, Kotambi</v>
      </c>
      <c r="Z1026" cm="1">
        <f t="array" ref="Z1026">INDEX(Innings!F:F,MATCH(1,(TRIM(Innings!A:A)=TRIM(A1026))*(TRIM(Innings!D:D)=TRIM(E1026)),0))</f>
        <v>144</v>
      </c>
      <c r="AA1026" cm="1">
        <f t="array" ref="AA1026">INDEX(Innings!I:I,MATCH(1,(TRIM(Innings!A:A)=TRIM(A1026))*(TRIM(Innings!D:D)=TRIM(E1026)),0))</f>
        <v>8</v>
      </c>
      <c r="AB1026" cm="1">
        <f t="array" ref="AB1026">INDEX(Innings!J:J,MATCH(1,(TRIM(Innings!A:A)=TRIM(A1026))*(TRIM(Innings!D:D)=TRIM(E1026)),0))</f>
        <v>41</v>
      </c>
      <c r="AC1026" cm="1">
        <f t="array" ref="AC1026">INDEX(Innings!N:N,MATCH(1,(TRIM(Innings!A:A)=TRIM(A1026))*(TRIM(Innings!D:D)=TRIM(E1026)),0))</f>
        <v>20</v>
      </c>
      <c r="AD1026" cm="1">
        <f t="array" ref="AD1026">INDEX(Innings!S:S,MATCH(1,(TRIM(Innings!A:A)=TRIM(A1026))*(TRIM(Innings!D:D)=TRIM(E1026)),0))</f>
        <v>44</v>
      </c>
      <c r="AE1026" t="str" cm="1">
        <f t="array" ref="AE1026">INDEX(Innings!W:W,MATCH(1,(TRIM(Innings!A:A)=TRIM(A1026))*(TRIM(Innings!D:D)=TRIM(E1026)),0))</f>
        <v>Successful</v>
      </c>
      <c r="AF1026">
        <f>IF(UPPER(TRIM(E1026))=UPPER(TRIM(W1026)),1,0)</f>
        <v>1</v>
      </c>
      <c r="AG1026">
        <f t="shared" si="32"/>
        <v>20</v>
      </c>
    </row>
    <row r="1027" spans="1:33" x14ac:dyDescent="0.3">
      <c r="A1027" t="s">
        <v>464</v>
      </c>
      <c r="B1027">
        <v>3</v>
      </c>
      <c r="C1027" t="s">
        <v>93</v>
      </c>
      <c r="D1027" t="s">
        <v>118</v>
      </c>
      <c r="E1027" t="s">
        <v>258</v>
      </c>
      <c r="F1027" t="s">
        <v>169</v>
      </c>
      <c r="G1027" t="s">
        <v>134</v>
      </c>
      <c r="H1027">
        <v>52</v>
      </c>
      <c r="I1027">
        <v>32</v>
      </c>
      <c r="J1027">
        <v>162.5</v>
      </c>
      <c r="K1027" t="s">
        <v>246</v>
      </c>
      <c r="L1027">
        <v>60</v>
      </c>
      <c r="M1027">
        <v>4</v>
      </c>
      <c r="N1027">
        <v>0</v>
      </c>
      <c r="O1027">
        <v>39</v>
      </c>
      <c r="P1027">
        <v>2</v>
      </c>
      <c r="Q1027">
        <v>9.8000000000000007</v>
      </c>
      <c r="R1027">
        <v>50</v>
      </c>
      <c r="S1027">
        <v>0</v>
      </c>
      <c r="T1027">
        <v>0</v>
      </c>
      <c r="U1027" s="8">
        <v>110</v>
      </c>
      <c r="V1027" s="8">
        <f t="shared" ref="V1027:V1090" si="33">MIN(10, MAX(0, ROUND(U1027/10,0)))</f>
        <v>10</v>
      </c>
      <c r="W1027" t="str">
        <f>_xlfn.XLOOKUP(A1027, Matches!A:A, Matches!L:L, "NA", 0)</f>
        <v>GGTW</v>
      </c>
      <c r="X1027" t="str">
        <f>_xlfn.XLOOKUP(A1027, Matches!A:A, Matches!J:J, "NA", 0)</f>
        <v>GGTW</v>
      </c>
      <c r="Y1027" t="str">
        <f>_xlfn.XLOOKUP(A1027, Matches!A:A, Matches!F:F, "NA", 0)</f>
        <v>BCA Stadium, Kotambi</v>
      </c>
      <c r="Z1027" cm="1">
        <f t="array" ref="Z1027">INDEX(Innings!F:F,MATCH(1,(TRIM(Innings!A:A)=TRIM(A1027))*(TRIM(Innings!D:D)=TRIM(E1027)),0))</f>
        <v>144</v>
      </c>
      <c r="AA1027" cm="1">
        <f t="array" ref="AA1027">INDEX(Innings!I:I,MATCH(1,(TRIM(Innings!A:A)=TRIM(A1027))*(TRIM(Innings!D:D)=TRIM(E1027)),0))</f>
        <v>8</v>
      </c>
      <c r="AB1027" cm="1">
        <f t="array" ref="AB1027">INDEX(Innings!J:J,MATCH(1,(TRIM(Innings!A:A)=TRIM(A1027))*(TRIM(Innings!D:D)=TRIM(E1027)),0))</f>
        <v>41</v>
      </c>
      <c r="AC1027" cm="1">
        <f t="array" ref="AC1027">INDEX(Innings!N:N,MATCH(1,(TRIM(Innings!A:A)=TRIM(A1027))*(TRIM(Innings!D:D)=TRIM(E1027)),0))</f>
        <v>20</v>
      </c>
      <c r="AD1027" cm="1">
        <f t="array" ref="AD1027">INDEX(Innings!S:S,MATCH(1,(TRIM(Innings!A:A)=TRIM(A1027))*(TRIM(Innings!D:D)=TRIM(E1027)),0))</f>
        <v>44</v>
      </c>
      <c r="AE1027" t="str" cm="1">
        <f t="array" ref="AE1027">INDEX(Innings!W:W,MATCH(1,(TRIM(Innings!A:A)=TRIM(A1027))*(TRIM(Innings!D:D)=TRIM(E1027)),0))</f>
        <v>Successful</v>
      </c>
      <c r="AF1027">
        <f>IF(UPPER(TRIM(E1027))=UPPER(TRIM(W1027)),1,0)</f>
        <v>1</v>
      </c>
      <c r="AG1027">
        <f t="shared" si="32"/>
        <v>78</v>
      </c>
    </row>
    <row r="1028" spans="1:33" x14ac:dyDescent="0.3">
      <c r="A1028" t="s">
        <v>464</v>
      </c>
      <c r="B1028">
        <v>3</v>
      </c>
      <c r="C1028" t="s">
        <v>89</v>
      </c>
      <c r="D1028" t="s">
        <v>116</v>
      </c>
      <c r="E1028" t="s">
        <v>258</v>
      </c>
      <c r="F1028" t="s">
        <v>169</v>
      </c>
      <c r="G1028" t="s">
        <v>134</v>
      </c>
      <c r="H1028">
        <v>34</v>
      </c>
      <c r="I1028">
        <v>30</v>
      </c>
      <c r="J1028">
        <v>113.33</v>
      </c>
      <c r="K1028" t="s">
        <v>96</v>
      </c>
      <c r="L1028">
        <v>40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 s="8">
        <v>40</v>
      </c>
      <c r="V1028" s="8">
        <f t="shared" si="33"/>
        <v>4</v>
      </c>
      <c r="W1028" t="str">
        <f>_xlfn.XLOOKUP(A1028, Matches!A:A, Matches!L:L, "NA", 0)</f>
        <v>GGTW</v>
      </c>
      <c r="X1028" t="str">
        <f>_xlfn.XLOOKUP(A1028, Matches!A:A, Matches!J:J, "NA", 0)</f>
        <v>GGTW</v>
      </c>
      <c r="Y1028" t="str">
        <f>_xlfn.XLOOKUP(A1028, Matches!A:A, Matches!F:F, "NA", 0)</f>
        <v>BCA Stadium, Kotambi</v>
      </c>
      <c r="Z1028" cm="1">
        <f t="array" ref="Z1028">INDEX(Innings!F:F,MATCH(1,(TRIM(Innings!A:A)=TRIM(A1028))*(TRIM(Innings!D:D)=TRIM(E1028)),0))</f>
        <v>144</v>
      </c>
      <c r="AA1028" cm="1">
        <f t="array" ref="AA1028">INDEX(Innings!I:I,MATCH(1,(TRIM(Innings!A:A)=TRIM(A1028))*(TRIM(Innings!D:D)=TRIM(E1028)),0))</f>
        <v>8</v>
      </c>
      <c r="AB1028" cm="1">
        <f t="array" ref="AB1028">INDEX(Innings!J:J,MATCH(1,(TRIM(Innings!A:A)=TRIM(A1028))*(TRIM(Innings!D:D)=TRIM(E1028)),0))</f>
        <v>41</v>
      </c>
      <c r="AC1028" cm="1">
        <f t="array" ref="AC1028">INDEX(Innings!N:N,MATCH(1,(TRIM(Innings!A:A)=TRIM(A1028))*(TRIM(Innings!D:D)=TRIM(E1028)),0))</f>
        <v>20</v>
      </c>
      <c r="AD1028" cm="1">
        <f t="array" ref="AD1028">INDEX(Innings!S:S,MATCH(1,(TRIM(Innings!A:A)=TRIM(A1028))*(TRIM(Innings!D:D)=TRIM(E1028)),0))</f>
        <v>44</v>
      </c>
      <c r="AE1028" t="str" cm="1">
        <f t="array" ref="AE1028">INDEX(Innings!W:W,MATCH(1,(TRIM(Innings!A:A)=TRIM(A1028))*(TRIM(Innings!D:D)=TRIM(E1028)),0))</f>
        <v>Successful</v>
      </c>
      <c r="AF1028">
        <f>IF(UPPER(TRIM(E1028))=UPPER(TRIM(W1028)),1,0)</f>
        <v>1</v>
      </c>
      <c r="AG1028">
        <f t="shared" si="32"/>
        <v>41.2</v>
      </c>
    </row>
    <row r="1029" spans="1:33" x14ac:dyDescent="0.3">
      <c r="A1029" t="s">
        <v>464</v>
      </c>
      <c r="B1029">
        <v>3</v>
      </c>
      <c r="C1029" t="s">
        <v>530</v>
      </c>
      <c r="D1029" t="s">
        <v>502</v>
      </c>
      <c r="E1029" t="s">
        <v>258</v>
      </c>
      <c r="F1029" t="s">
        <v>169</v>
      </c>
      <c r="G1029" t="s">
        <v>134</v>
      </c>
      <c r="H1029">
        <v>33</v>
      </c>
      <c r="I1029">
        <v>18</v>
      </c>
      <c r="J1029">
        <v>183.33</v>
      </c>
      <c r="K1029" t="s">
        <v>96</v>
      </c>
      <c r="L1029">
        <v>45</v>
      </c>
      <c r="M1029">
        <v>4</v>
      </c>
      <c r="N1029">
        <v>0</v>
      </c>
      <c r="O1029">
        <v>34</v>
      </c>
      <c r="P1029">
        <v>2</v>
      </c>
      <c r="Q1029">
        <v>8.5</v>
      </c>
      <c r="R1029">
        <v>50</v>
      </c>
      <c r="S1029">
        <v>0</v>
      </c>
      <c r="T1029">
        <v>0</v>
      </c>
      <c r="U1029" s="8">
        <v>95</v>
      </c>
      <c r="V1029" s="8">
        <f t="shared" si="33"/>
        <v>10</v>
      </c>
      <c r="W1029" t="str">
        <f>_xlfn.XLOOKUP(A1029, Matches!A:A, Matches!L:L, "NA", 0)</f>
        <v>GGTW</v>
      </c>
      <c r="X1029" t="str">
        <f>_xlfn.XLOOKUP(A1029, Matches!A:A, Matches!J:J, "NA", 0)</f>
        <v>GGTW</v>
      </c>
      <c r="Y1029" t="str">
        <f>_xlfn.XLOOKUP(A1029, Matches!A:A, Matches!F:F, "NA", 0)</f>
        <v>BCA Stadium, Kotambi</v>
      </c>
      <c r="Z1029" cm="1">
        <f t="array" ref="Z1029">INDEX(Innings!F:F,MATCH(1,(TRIM(Innings!A:A)=TRIM(A1029))*(TRIM(Innings!D:D)=TRIM(E1029)),0))</f>
        <v>144</v>
      </c>
      <c r="AA1029" cm="1">
        <f t="array" ref="AA1029">INDEX(Innings!I:I,MATCH(1,(TRIM(Innings!A:A)=TRIM(A1029))*(TRIM(Innings!D:D)=TRIM(E1029)),0))</f>
        <v>8</v>
      </c>
      <c r="AB1029" cm="1">
        <f t="array" ref="AB1029">INDEX(Innings!J:J,MATCH(1,(TRIM(Innings!A:A)=TRIM(A1029))*(TRIM(Innings!D:D)=TRIM(E1029)),0))</f>
        <v>41</v>
      </c>
      <c r="AC1029" cm="1">
        <f t="array" ref="AC1029">INDEX(Innings!N:N,MATCH(1,(TRIM(Innings!A:A)=TRIM(A1029))*(TRIM(Innings!D:D)=TRIM(E1029)),0))</f>
        <v>20</v>
      </c>
      <c r="AD1029" cm="1">
        <f t="array" ref="AD1029">INDEX(Innings!S:S,MATCH(1,(TRIM(Innings!A:A)=TRIM(A1029))*(TRIM(Innings!D:D)=TRIM(E1029)),0))</f>
        <v>44</v>
      </c>
      <c r="AE1029" t="str" cm="1">
        <f t="array" ref="AE1029">INDEX(Innings!W:W,MATCH(1,(TRIM(Innings!A:A)=TRIM(A1029))*(TRIM(Innings!D:D)=TRIM(E1029)),0))</f>
        <v>Successful</v>
      </c>
      <c r="AF1029">
        <f>IF(UPPER(TRIM(E1029))=UPPER(TRIM(W1029)),1,0)</f>
        <v>1</v>
      </c>
      <c r="AG1029">
        <f t="shared" si="32"/>
        <v>70.5</v>
      </c>
    </row>
    <row r="1030" spans="1:33" x14ac:dyDescent="0.3">
      <c r="A1030" t="s">
        <v>464</v>
      </c>
      <c r="B1030">
        <v>3</v>
      </c>
      <c r="C1030" t="s">
        <v>227</v>
      </c>
      <c r="D1030" t="s">
        <v>228</v>
      </c>
      <c r="E1030" t="s">
        <v>258</v>
      </c>
      <c r="F1030" t="s">
        <v>109</v>
      </c>
      <c r="G1030" t="s">
        <v>104</v>
      </c>
      <c r="H1030">
        <v>0</v>
      </c>
      <c r="I1030">
        <v>0</v>
      </c>
      <c r="J1030">
        <v>0</v>
      </c>
      <c r="K1030" t="s">
        <v>104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 s="8">
        <v>0</v>
      </c>
      <c r="V1030" s="8">
        <f t="shared" si="33"/>
        <v>0</v>
      </c>
      <c r="W1030" t="str">
        <f>_xlfn.XLOOKUP(A1030, Matches!A:A, Matches!L:L, "NA", 0)</f>
        <v>GGTW</v>
      </c>
      <c r="X1030" t="str">
        <f>_xlfn.XLOOKUP(A1030, Matches!A:A, Matches!J:J, "NA", 0)</f>
        <v>GGTW</v>
      </c>
      <c r="Y1030" t="str">
        <f>_xlfn.XLOOKUP(A1030, Matches!A:A, Matches!F:F, "NA", 0)</f>
        <v>BCA Stadium, Kotambi</v>
      </c>
      <c r="Z1030" cm="1">
        <f t="array" ref="Z1030">INDEX(Innings!F:F,MATCH(1,(TRIM(Innings!A:A)=TRIM(A1030))*(TRIM(Innings!D:D)=TRIM(E1030)),0))</f>
        <v>144</v>
      </c>
      <c r="AA1030" cm="1">
        <f t="array" ref="AA1030">INDEX(Innings!I:I,MATCH(1,(TRIM(Innings!A:A)=TRIM(A1030))*(TRIM(Innings!D:D)=TRIM(E1030)),0))</f>
        <v>8</v>
      </c>
      <c r="AB1030" cm="1">
        <f t="array" ref="AB1030">INDEX(Innings!J:J,MATCH(1,(TRIM(Innings!A:A)=TRIM(A1030))*(TRIM(Innings!D:D)=TRIM(E1030)),0))</f>
        <v>41</v>
      </c>
      <c r="AC1030" cm="1">
        <f t="array" ref="AC1030">INDEX(Innings!N:N,MATCH(1,(TRIM(Innings!A:A)=TRIM(A1030))*(TRIM(Innings!D:D)=TRIM(E1030)),0))</f>
        <v>20</v>
      </c>
      <c r="AD1030" cm="1">
        <f t="array" ref="AD1030">INDEX(Innings!S:S,MATCH(1,(TRIM(Innings!A:A)=TRIM(A1030))*(TRIM(Innings!D:D)=TRIM(E1030)),0))</f>
        <v>44</v>
      </c>
      <c r="AE1030" t="str" cm="1">
        <f t="array" ref="AE1030">INDEX(Innings!W:W,MATCH(1,(TRIM(Innings!A:A)=TRIM(A1030))*(TRIM(Innings!D:D)=TRIM(E1030)),0))</f>
        <v>Successful</v>
      </c>
      <c r="AF1030">
        <f>IF(UPPER(TRIM(E1030))=UPPER(TRIM(W1030)),1,0)</f>
        <v>1</v>
      </c>
      <c r="AG1030">
        <f t="shared" si="32"/>
        <v>20</v>
      </c>
    </row>
    <row r="1031" spans="1:33" x14ac:dyDescent="0.3">
      <c r="A1031" t="s">
        <v>464</v>
      </c>
      <c r="B1031">
        <v>3</v>
      </c>
      <c r="C1031" t="s">
        <v>105</v>
      </c>
      <c r="D1031" t="s">
        <v>128</v>
      </c>
      <c r="E1031" t="s">
        <v>258</v>
      </c>
      <c r="F1031" t="s">
        <v>101</v>
      </c>
      <c r="G1031" t="s">
        <v>104</v>
      </c>
      <c r="H1031">
        <v>0</v>
      </c>
      <c r="I1031">
        <v>0</v>
      </c>
      <c r="J1031">
        <v>0</v>
      </c>
      <c r="K1031" t="s">
        <v>104</v>
      </c>
      <c r="L1031">
        <v>0</v>
      </c>
      <c r="M1031">
        <v>2</v>
      </c>
      <c r="N1031">
        <v>0</v>
      </c>
      <c r="O1031">
        <v>10</v>
      </c>
      <c r="P1031">
        <v>0</v>
      </c>
      <c r="Q1031">
        <v>5</v>
      </c>
      <c r="R1031">
        <v>0</v>
      </c>
      <c r="S1031">
        <v>0</v>
      </c>
      <c r="T1031">
        <v>0</v>
      </c>
      <c r="U1031" s="8">
        <v>0</v>
      </c>
      <c r="V1031" s="8">
        <f t="shared" si="33"/>
        <v>0</v>
      </c>
      <c r="W1031" t="str">
        <f>_xlfn.XLOOKUP(A1031, Matches!A:A, Matches!L:L, "NA", 0)</f>
        <v>GGTW</v>
      </c>
      <c r="X1031" t="str">
        <f>_xlfn.XLOOKUP(A1031, Matches!A:A, Matches!J:J, "NA", 0)</f>
        <v>GGTW</v>
      </c>
      <c r="Y1031" t="str">
        <f>_xlfn.XLOOKUP(A1031, Matches!A:A, Matches!F:F, "NA", 0)</f>
        <v>BCA Stadium, Kotambi</v>
      </c>
      <c r="Z1031" cm="1">
        <f t="array" ref="Z1031">INDEX(Innings!F:F,MATCH(1,(TRIM(Innings!A:A)=TRIM(A1031))*(TRIM(Innings!D:D)=TRIM(E1031)),0))</f>
        <v>144</v>
      </c>
      <c r="AA1031" cm="1">
        <f t="array" ref="AA1031">INDEX(Innings!I:I,MATCH(1,(TRIM(Innings!A:A)=TRIM(A1031))*(TRIM(Innings!D:D)=TRIM(E1031)),0))</f>
        <v>8</v>
      </c>
      <c r="AB1031" cm="1">
        <f t="array" ref="AB1031">INDEX(Innings!J:J,MATCH(1,(TRIM(Innings!A:A)=TRIM(A1031))*(TRIM(Innings!D:D)=TRIM(E1031)),0))</f>
        <v>41</v>
      </c>
      <c r="AC1031" cm="1">
        <f t="array" ref="AC1031">INDEX(Innings!N:N,MATCH(1,(TRIM(Innings!A:A)=TRIM(A1031))*(TRIM(Innings!D:D)=TRIM(E1031)),0))</f>
        <v>20</v>
      </c>
      <c r="AD1031" cm="1">
        <f t="array" ref="AD1031">INDEX(Innings!S:S,MATCH(1,(TRIM(Innings!A:A)=TRIM(A1031))*(TRIM(Innings!D:D)=TRIM(E1031)),0))</f>
        <v>44</v>
      </c>
      <c r="AE1031" t="str" cm="1">
        <f t="array" ref="AE1031">INDEX(Innings!W:W,MATCH(1,(TRIM(Innings!A:A)=TRIM(A1031))*(TRIM(Innings!D:D)=TRIM(E1031)),0))</f>
        <v>Successful</v>
      </c>
      <c r="AF1031">
        <f>IF(UPPER(TRIM(E1031))=UPPER(TRIM(W1031)),1,0)</f>
        <v>1</v>
      </c>
      <c r="AG1031">
        <f t="shared" si="32"/>
        <v>20</v>
      </c>
    </row>
    <row r="1032" spans="1:33" x14ac:dyDescent="0.3">
      <c r="A1032" t="s">
        <v>464</v>
      </c>
      <c r="B1032">
        <v>3</v>
      </c>
      <c r="C1032" t="s">
        <v>415</v>
      </c>
      <c r="D1032" t="s">
        <v>425</v>
      </c>
      <c r="E1032" t="s">
        <v>258</v>
      </c>
      <c r="F1032" t="s">
        <v>169</v>
      </c>
      <c r="G1032" t="s">
        <v>104</v>
      </c>
      <c r="H1032">
        <v>0</v>
      </c>
      <c r="I1032">
        <v>0</v>
      </c>
      <c r="J1032">
        <v>0</v>
      </c>
      <c r="K1032" t="s">
        <v>104</v>
      </c>
      <c r="L1032">
        <v>0</v>
      </c>
      <c r="M1032">
        <v>2</v>
      </c>
      <c r="N1032">
        <v>0</v>
      </c>
      <c r="O1032">
        <v>20</v>
      </c>
      <c r="P1032">
        <v>0</v>
      </c>
      <c r="Q1032">
        <v>10</v>
      </c>
      <c r="R1032">
        <v>0</v>
      </c>
      <c r="S1032">
        <v>0</v>
      </c>
      <c r="T1032">
        <v>0</v>
      </c>
      <c r="U1032" s="8">
        <v>0</v>
      </c>
      <c r="V1032" s="8">
        <f t="shared" si="33"/>
        <v>0</v>
      </c>
      <c r="W1032" t="str">
        <f>_xlfn.XLOOKUP(A1032, Matches!A:A, Matches!L:L, "NA", 0)</f>
        <v>GGTW</v>
      </c>
      <c r="X1032" t="str">
        <f>_xlfn.XLOOKUP(A1032, Matches!A:A, Matches!J:J, "NA", 0)</f>
        <v>GGTW</v>
      </c>
      <c r="Y1032" t="str">
        <f>_xlfn.XLOOKUP(A1032, Matches!A:A, Matches!F:F, "NA", 0)</f>
        <v>BCA Stadium, Kotambi</v>
      </c>
      <c r="Z1032" cm="1">
        <f t="array" ref="Z1032">INDEX(Innings!F:F,MATCH(1,(TRIM(Innings!A:A)=TRIM(A1032))*(TRIM(Innings!D:D)=TRIM(E1032)),0))</f>
        <v>144</v>
      </c>
      <c r="AA1032" cm="1">
        <f t="array" ref="AA1032">INDEX(Innings!I:I,MATCH(1,(TRIM(Innings!A:A)=TRIM(A1032))*(TRIM(Innings!D:D)=TRIM(E1032)),0))</f>
        <v>8</v>
      </c>
      <c r="AB1032" cm="1">
        <f t="array" ref="AB1032">INDEX(Innings!J:J,MATCH(1,(TRIM(Innings!A:A)=TRIM(A1032))*(TRIM(Innings!D:D)=TRIM(E1032)),0))</f>
        <v>41</v>
      </c>
      <c r="AC1032" cm="1">
        <f t="array" ref="AC1032">INDEX(Innings!N:N,MATCH(1,(TRIM(Innings!A:A)=TRIM(A1032))*(TRIM(Innings!D:D)=TRIM(E1032)),0))</f>
        <v>20</v>
      </c>
      <c r="AD1032" cm="1">
        <f t="array" ref="AD1032">INDEX(Innings!S:S,MATCH(1,(TRIM(Innings!A:A)=TRIM(A1032))*(TRIM(Innings!D:D)=TRIM(E1032)),0))</f>
        <v>44</v>
      </c>
      <c r="AE1032" t="str" cm="1">
        <f t="array" ref="AE1032">INDEX(Innings!W:W,MATCH(1,(TRIM(Innings!A:A)=TRIM(A1032))*(TRIM(Innings!D:D)=TRIM(E1032)),0))</f>
        <v>Successful</v>
      </c>
      <c r="AF1032">
        <f>IF(UPPER(TRIM(E1032))=UPPER(TRIM(W1032)),1,0)</f>
        <v>1</v>
      </c>
      <c r="AG1032">
        <f t="shared" si="32"/>
        <v>20</v>
      </c>
    </row>
    <row r="1033" spans="1:33" x14ac:dyDescent="0.3">
      <c r="A1033" t="s">
        <v>464</v>
      </c>
      <c r="B1033">
        <v>3</v>
      </c>
      <c r="C1033" t="s">
        <v>494</v>
      </c>
      <c r="D1033" t="s">
        <v>501</v>
      </c>
      <c r="E1033" t="s">
        <v>258</v>
      </c>
      <c r="F1033" t="s">
        <v>101</v>
      </c>
      <c r="G1033" t="s">
        <v>104</v>
      </c>
      <c r="H1033">
        <v>0</v>
      </c>
      <c r="I1033">
        <v>0</v>
      </c>
      <c r="J1033">
        <v>0</v>
      </c>
      <c r="K1033" t="s">
        <v>104</v>
      </c>
      <c r="L1033">
        <v>0</v>
      </c>
      <c r="M1033">
        <v>4</v>
      </c>
      <c r="N1033">
        <v>0</v>
      </c>
      <c r="O1033">
        <v>25</v>
      </c>
      <c r="P1033">
        <v>3</v>
      </c>
      <c r="Q1033">
        <v>6.2</v>
      </c>
      <c r="R1033">
        <v>75</v>
      </c>
      <c r="S1033">
        <v>0</v>
      </c>
      <c r="T1033">
        <v>0</v>
      </c>
      <c r="U1033" s="8">
        <v>75</v>
      </c>
      <c r="V1033" s="8">
        <f t="shared" si="33"/>
        <v>8</v>
      </c>
      <c r="W1033" t="str">
        <f>_xlfn.XLOOKUP(A1033, Matches!A:A, Matches!L:L, "NA", 0)</f>
        <v>GGTW</v>
      </c>
      <c r="X1033" t="str">
        <f>_xlfn.XLOOKUP(A1033, Matches!A:A, Matches!J:J, "NA", 0)</f>
        <v>GGTW</v>
      </c>
      <c r="Y1033" t="str">
        <f>_xlfn.XLOOKUP(A1033, Matches!A:A, Matches!F:F, "NA", 0)</f>
        <v>BCA Stadium, Kotambi</v>
      </c>
      <c r="Z1033" cm="1">
        <f t="array" ref="Z1033">INDEX(Innings!F:F,MATCH(1,(TRIM(Innings!A:A)=TRIM(A1033))*(TRIM(Innings!D:D)=TRIM(E1033)),0))</f>
        <v>144</v>
      </c>
      <c r="AA1033" cm="1">
        <f t="array" ref="AA1033">INDEX(Innings!I:I,MATCH(1,(TRIM(Innings!A:A)=TRIM(A1033))*(TRIM(Innings!D:D)=TRIM(E1033)),0))</f>
        <v>8</v>
      </c>
      <c r="AB1033" cm="1">
        <f t="array" ref="AB1033">INDEX(Innings!J:J,MATCH(1,(TRIM(Innings!A:A)=TRIM(A1033))*(TRIM(Innings!D:D)=TRIM(E1033)),0))</f>
        <v>41</v>
      </c>
      <c r="AC1033" cm="1">
        <f t="array" ref="AC1033">INDEX(Innings!N:N,MATCH(1,(TRIM(Innings!A:A)=TRIM(A1033))*(TRIM(Innings!D:D)=TRIM(E1033)),0))</f>
        <v>20</v>
      </c>
      <c r="AD1033" cm="1">
        <f t="array" ref="AD1033">INDEX(Innings!S:S,MATCH(1,(TRIM(Innings!A:A)=TRIM(A1033))*(TRIM(Innings!D:D)=TRIM(E1033)),0))</f>
        <v>44</v>
      </c>
      <c r="AE1033" t="str" cm="1">
        <f t="array" ref="AE1033">INDEX(Innings!W:W,MATCH(1,(TRIM(Innings!A:A)=TRIM(A1033))*(TRIM(Innings!D:D)=TRIM(E1033)),0))</f>
        <v>Successful</v>
      </c>
      <c r="AF1033">
        <f>IF(UPPER(TRIM(E1033))=UPPER(TRIM(W1033)),1,0)</f>
        <v>1</v>
      </c>
      <c r="AG1033">
        <f t="shared" si="32"/>
        <v>59.9</v>
      </c>
    </row>
    <row r="1034" spans="1:33" x14ac:dyDescent="0.3">
      <c r="A1034" t="s">
        <v>464</v>
      </c>
      <c r="B1034">
        <v>3</v>
      </c>
      <c r="C1034" t="s">
        <v>493</v>
      </c>
      <c r="D1034" t="s">
        <v>500</v>
      </c>
      <c r="E1034" t="s">
        <v>258</v>
      </c>
      <c r="F1034" t="s">
        <v>169</v>
      </c>
      <c r="G1034" t="s">
        <v>104</v>
      </c>
      <c r="H1034">
        <v>0</v>
      </c>
      <c r="I1034">
        <v>0</v>
      </c>
      <c r="J1034">
        <v>0</v>
      </c>
      <c r="K1034" t="s">
        <v>104</v>
      </c>
      <c r="L1034">
        <v>0</v>
      </c>
      <c r="M1034">
        <v>4</v>
      </c>
      <c r="N1034">
        <v>0</v>
      </c>
      <c r="O1034">
        <v>15</v>
      </c>
      <c r="P1034">
        <v>1</v>
      </c>
      <c r="Q1034">
        <v>3.8</v>
      </c>
      <c r="R1034">
        <v>25</v>
      </c>
      <c r="S1034">
        <v>0</v>
      </c>
      <c r="T1034">
        <v>0</v>
      </c>
      <c r="U1034" s="8">
        <v>25</v>
      </c>
      <c r="V1034" s="8">
        <f t="shared" si="33"/>
        <v>3</v>
      </c>
      <c r="W1034" t="str">
        <f>_xlfn.XLOOKUP(A1034, Matches!A:A, Matches!L:L, "NA", 0)</f>
        <v>GGTW</v>
      </c>
      <c r="X1034" t="str">
        <f>_xlfn.XLOOKUP(A1034, Matches!A:A, Matches!J:J, "NA", 0)</f>
        <v>GGTW</v>
      </c>
      <c r="Y1034" t="str">
        <f>_xlfn.XLOOKUP(A1034, Matches!A:A, Matches!F:F, "NA", 0)</f>
        <v>BCA Stadium, Kotambi</v>
      </c>
      <c r="Z1034" cm="1">
        <f t="array" ref="Z1034">INDEX(Innings!F:F,MATCH(1,(TRIM(Innings!A:A)=TRIM(A1034))*(TRIM(Innings!D:D)=TRIM(E1034)),0))</f>
        <v>144</v>
      </c>
      <c r="AA1034" cm="1">
        <f t="array" ref="AA1034">INDEX(Innings!I:I,MATCH(1,(TRIM(Innings!A:A)=TRIM(A1034))*(TRIM(Innings!D:D)=TRIM(E1034)),0))</f>
        <v>8</v>
      </c>
      <c r="AB1034" cm="1">
        <f t="array" ref="AB1034">INDEX(Innings!J:J,MATCH(1,(TRIM(Innings!A:A)=TRIM(A1034))*(TRIM(Innings!D:D)=TRIM(E1034)),0))</f>
        <v>41</v>
      </c>
      <c r="AC1034" cm="1">
        <f t="array" ref="AC1034">INDEX(Innings!N:N,MATCH(1,(TRIM(Innings!A:A)=TRIM(A1034))*(TRIM(Innings!D:D)=TRIM(E1034)),0))</f>
        <v>20</v>
      </c>
      <c r="AD1034" cm="1">
        <f t="array" ref="AD1034">INDEX(Innings!S:S,MATCH(1,(TRIM(Innings!A:A)=TRIM(A1034))*(TRIM(Innings!D:D)=TRIM(E1034)),0))</f>
        <v>44</v>
      </c>
      <c r="AE1034" t="str" cm="1">
        <f t="array" ref="AE1034">INDEX(Innings!W:W,MATCH(1,(TRIM(Innings!A:A)=TRIM(A1034))*(TRIM(Innings!D:D)=TRIM(E1034)),0))</f>
        <v>Successful</v>
      </c>
      <c r="AF1034">
        <f>IF(UPPER(TRIM(E1034))=UPPER(TRIM(W1034)),1,0)</f>
        <v>1</v>
      </c>
      <c r="AG1034">
        <f t="shared" si="32"/>
        <v>33.4</v>
      </c>
    </row>
    <row r="1035" spans="1:33" x14ac:dyDescent="0.3">
      <c r="A1035" t="s">
        <v>465</v>
      </c>
      <c r="B1035">
        <v>3</v>
      </c>
      <c r="C1035" t="s">
        <v>190</v>
      </c>
      <c r="D1035" t="s">
        <v>191</v>
      </c>
      <c r="E1035" t="s">
        <v>158</v>
      </c>
      <c r="F1035" t="s">
        <v>109</v>
      </c>
      <c r="G1035" t="s">
        <v>86</v>
      </c>
      <c r="H1035">
        <v>17</v>
      </c>
      <c r="I1035">
        <v>19</v>
      </c>
      <c r="J1035">
        <v>89.47</v>
      </c>
      <c r="K1035" t="s">
        <v>246</v>
      </c>
      <c r="L1035">
        <v>20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 s="8">
        <v>20</v>
      </c>
      <c r="V1035" s="8">
        <f t="shared" si="33"/>
        <v>2</v>
      </c>
      <c r="W1035" t="str">
        <f>_xlfn.XLOOKUP(A1035, Matches!A:A, Matches!L:L, "NA", 0)</f>
        <v>RCBW</v>
      </c>
      <c r="X1035" t="str">
        <f>_xlfn.XLOOKUP(A1035, Matches!A:A, Matches!J:J, "NA", 0)</f>
        <v>RCBW</v>
      </c>
      <c r="Y1035" t="str">
        <f>_xlfn.XLOOKUP(A1035, Matches!A:A, Matches!F:F, "NA", 0)</f>
        <v>BCA Stadium, Kotambi</v>
      </c>
      <c r="Z1035" cm="1">
        <f t="array" ref="Z1035">INDEX(Innings!F:F,MATCH(1,(TRIM(Innings!A:A)=TRIM(A1035))*(TRIM(Innings!D:D)=TRIM(E1035)),0))</f>
        <v>141</v>
      </c>
      <c r="AA1035" cm="1">
        <f t="array" ref="AA1035">INDEX(Innings!I:I,MATCH(1,(TRIM(Innings!A:A)=TRIM(A1035))*(TRIM(Innings!D:D)=TRIM(E1035)),0))</f>
        <v>7.23</v>
      </c>
      <c r="AB1035" cm="1">
        <f t="array" ref="AB1035">INDEX(Innings!J:J,MATCH(1,(TRIM(Innings!A:A)=TRIM(A1035))*(TRIM(Innings!D:D)=TRIM(E1035)),0))</f>
        <v>55</v>
      </c>
      <c r="AC1035" cm="1">
        <f t="array" ref="AC1035">INDEX(Innings!N:N,MATCH(1,(TRIM(Innings!A:A)=TRIM(A1035))*(TRIM(Innings!D:D)=TRIM(E1035)),0))</f>
        <v>24</v>
      </c>
      <c r="AD1035" cm="1">
        <f t="array" ref="AD1035">INDEX(Innings!S:S,MATCH(1,(TRIM(Innings!A:A)=TRIM(A1035))*(TRIM(Innings!D:D)=TRIM(E1035)),0))</f>
        <v>36</v>
      </c>
      <c r="AE1035" t="str" cm="1">
        <f t="array" ref="AE1035">INDEX(Innings!W:W,MATCH(1,(TRIM(Innings!A:A)=TRIM(A1035))*(TRIM(Innings!D:D)=TRIM(E1035)),0))</f>
        <v>NA</v>
      </c>
      <c r="AF1035">
        <f>IF(UPPER(TRIM(E1035))=UPPER(TRIM(W1035)),1,0)</f>
        <v>0</v>
      </c>
      <c r="AG1035">
        <f t="shared" si="32"/>
        <v>10.6</v>
      </c>
    </row>
    <row r="1036" spans="1:33" x14ac:dyDescent="0.3">
      <c r="A1036" t="s">
        <v>465</v>
      </c>
      <c r="B1036">
        <v>3</v>
      </c>
      <c r="C1036" t="s">
        <v>188</v>
      </c>
      <c r="D1036" t="s">
        <v>189</v>
      </c>
      <c r="E1036" t="s">
        <v>158</v>
      </c>
      <c r="F1036" t="s">
        <v>169</v>
      </c>
      <c r="G1036" t="s">
        <v>86</v>
      </c>
      <c r="H1036">
        <v>0</v>
      </c>
      <c r="I1036">
        <v>1</v>
      </c>
      <c r="J1036">
        <v>0</v>
      </c>
      <c r="K1036" t="s">
        <v>246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 s="8">
        <v>0</v>
      </c>
      <c r="V1036" s="8">
        <f t="shared" si="33"/>
        <v>0</v>
      </c>
      <c r="W1036" t="str">
        <f>_xlfn.XLOOKUP(A1036, Matches!A:A, Matches!L:L, "NA", 0)</f>
        <v>RCBW</v>
      </c>
      <c r="X1036" t="str">
        <f>_xlfn.XLOOKUP(A1036, Matches!A:A, Matches!J:J, "NA", 0)</f>
        <v>RCBW</v>
      </c>
      <c r="Y1036" t="str">
        <f>_xlfn.XLOOKUP(A1036, Matches!A:A, Matches!F:F, "NA", 0)</f>
        <v>BCA Stadium, Kotambi</v>
      </c>
      <c r="Z1036" cm="1">
        <f t="array" ref="Z1036">INDEX(Innings!F:F,MATCH(1,(TRIM(Innings!A:A)=TRIM(A1036))*(TRIM(Innings!D:D)=TRIM(E1036)),0))</f>
        <v>141</v>
      </c>
      <c r="AA1036" cm="1">
        <f t="array" ref="AA1036">INDEX(Innings!I:I,MATCH(1,(TRIM(Innings!A:A)=TRIM(A1036))*(TRIM(Innings!D:D)=TRIM(E1036)),0))</f>
        <v>7.23</v>
      </c>
      <c r="AB1036" cm="1">
        <f t="array" ref="AB1036">INDEX(Innings!J:J,MATCH(1,(TRIM(Innings!A:A)=TRIM(A1036))*(TRIM(Innings!D:D)=TRIM(E1036)),0))</f>
        <v>55</v>
      </c>
      <c r="AC1036" cm="1">
        <f t="array" ref="AC1036">INDEX(Innings!N:N,MATCH(1,(TRIM(Innings!A:A)=TRIM(A1036))*(TRIM(Innings!D:D)=TRIM(E1036)),0))</f>
        <v>24</v>
      </c>
      <c r="AD1036" cm="1">
        <f t="array" ref="AD1036">INDEX(Innings!S:S,MATCH(1,(TRIM(Innings!A:A)=TRIM(A1036))*(TRIM(Innings!D:D)=TRIM(E1036)),0))</f>
        <v>36</v>
      </c>
      <c r="AE1036" t="str" cm="1">
        <f t="array" ref="AE1036">INDEX(Innings!W:W,MATCH(1,(TRIM(Innings!A:A)=TRIM(A1036))*(TRIM(Innings!D:D)=TRIM(E1036)),0))</f>
        <v>NA</v>
      </c>
      <c r="AF1036">
        <f>IF(UPPER(TRIM(E1036))=UPPER(TRIM(W1036)),1,0)</f>
        <v>0</v>
      </c>
      <c r="AG1036">
        <f t="shared" si="32"/>
        <v>0</v>
      </c>
    </row>
    <row r="1037" spans="1:33" x14ac:dyDescent="0.3">
      <c r="A1037" t="s">
        <v>465</v>
      </c>
      <c r="B1037">
        <v>3</v>
      </c>
      <c r="C1037" t="s">
        <v>194</v>
      </c>
      <c r="D1037" t="s">
        <v>195</v>
      </c>
      <c r="E1037" t="s">
        <v>158</v>
      </c>
      <c r="F1037" t="s">
        <v>109</v>
      </c>
      <c r="G1037" t="s">
        <v>92</v>
      </c>
      <c r="H1037">
        <v>34</v>
      </c>
      <c r="I1037">
        <v>22</v>
      </c>
      <c r="J1037">
        <v>154.55000000000001</v>
      </c>
      <c r="K1037" t="s">
        <v>248</v>
      </c>
      <c r="L1037">
        <v>40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 s="8">
        <v>40</v>
      </c>
      <c r="V1037" s="8">
        <f t="shared" si="33"/>
        <v>4</v>
      </c>
      <c r="W1037" t="str">
        <f>_xlfn.XLOOKUP(A1037, Matches!A:A, Matches!L:L, "NA", 0)</f>
        <v>RCBW</v>
      </c>
      <c r="X1037" t="str">
        <f>_xlfn.XLOOKUP(A1037, Matches!A:A, Matches!J:J, "NA", 0)</f>
        <v>RCBW</v>
      </c>
      <c r="Y1037" t="str">
        <f>_xlfn.XLOOKUP(A1037, Matches!A:A, Matches!F:F, "NA", 0)</f>
        <v>BCA Stadium, Kotambi</v>
      </c>
      <c r="Z1037" cm="1">
        <f t="array" ref="Z1037">INDEX(Innings!F:F,MATCH(1,(TRIM(Innings!A:A)=TRIM(A1037))*(TRIM(Innings!D:D)=TRIM(E1037)),0))</f>
        <v>141</v>
      </c>
      <c r="AA1037" cm="1">
        <f t="array" ref="AA1037">INDEX(Innings!I:I,MATCH(1,(TRIM(Innings!A:A)=TRIM(A1037))*(TRIM(Innings!D:D)=TRIM(E1037)),0))</f>
        <v>7.23</v>
      </c>
      <c r="AB1037" cm="1">
        <f t="array" ref="AB1037">INDEX(Innings!J:J,MATCH(1,(TRIM(Innings!A:A)=TRIM(A1037))*(TRIM(Innings!D:D)=TRIM(E1037)),0))</f>
        <v>55</v>
      </c>
      <c r="AC1037" cm="1">
        <f t="array" ref="AC1037">INDEX(Innings!N:N,MATCH(1,(TRIM(Innings!A:A)=TRIM(A1037))*(TRIM(Innings!D:D)=TRIM(E1037)),0))</f>
        <v>24</v>
      </c>
      <c r="AD1037" cm="1">
        <f t="array" ref="AD1037">INDEX(Innings!S:S,MATCH(1,(TRIM(Innings!A:A)=TRIM(A1037))*(TRIM(Innings!D:D)=TRIM(E1037)),0))</f>
        <v>36</v>
      </c>
      <c r="AE1037" t="str" cm="1">
        <f t="array" ref="AE1037">INDEX(Innings!W:W,MATCH(1,(TRIM(Innings!A:A)=TRIM(A1037))*(TRIM(Innings!D:D)=TRIM(E1037)),0))</f>
        <v>NA</v>
      </c>
      <c r="AF1037">
        <f>IF(UPPER(TRIM(E1037))=UPPER(TRIM(W1037)),1,0)</f>
        <v>0</v>
      </c>
      <c r="AG1037">
        <f t="shared" si="32"/>
        <v>21.2</v>
      </c>
    </row>
    <row r="1038" spans="1:33" x14ac:dyDescent="0.3">
      <c r="A1038" t="s">
        <v>465</v>
      </c>
      <c r="B1038">
        <v>3</v>
      </c>
      <c r="C1038" t="s">
        <v>94</v>
      </c>
      <c r="D1038" t="s">
        <v>120</v>
      </c>
      <c r="E1038" t="s">
        <v>158</v>
      </c>
      <c r="F1038" t="s">
        <v>169</v>
      </c>
      <c r="G1038" t="s">
        <v>92</v>
      </c>
      <c r="H1038">
        <v>19</v>
      </c>
      <c r="I1038">
        <v>13</v>
      </c>
      <c r="J1038">
        <v>146.15</v>
      </c>
      <c r="K1038" t="s">
        <v>246</v>
      </c>
      <c r="L1038">
        <v>30</v>
      </c>
      <c r="M1038">
        <v>2</v>
      </c>
      <c r="N1038">
        <v>0</v>
      </c>
      <c r="O1038">
        <v>18</v>
      </c>
      <c r="P1038">
        <v>0</v>
      </c>
      <c r="Q1038">
        <v>9</v>
      </c>
      <c r="R1038">
        <v>0</v>
      </c>
      <c r="S1038">
        <v>0</v>
      </c>
      <c r="T1038">
        <v>0</v>
      </c>
      <c r="U1038" s="8">
        <v>30</v>
      </c>
      <c r="V1038" s="8">
        <f t="shared" si="33"/>
        <v>3</v>
      </c>
      <c r="W1038" t="str">
        <f>_xlfn.XLOOKUP(A1038, Matches!A:A, Matches!L:L, "NA", 0)</f>
        <v>RCBW</v>
      </c>
      <c r="X1038" t="str">
        <f>_xlfn.XLOOKUP(A1038, Matches!A:A, Matches!J:J, "NA", 0)</f>
        <v>RCBW</v>
      </c>
      <c r="Y1038" t="str">
        <f>_xlfn.XLOOKUP(A1038, Matches!A:A, Matches!F:F, "NA", 0)</f>
        <v>BCA Stadium, Kotambi</v>
      </c>
      <c r="Z1038" cm="1">
        <f t="array" ref="Z1038">INDEX(Innings!F:F,MATCH(1,(TRIM(Innings!A:A)=TRIM(A1038))*(TRIM(Innings!D:D)=TRIM(E1038)),0))</f>
        <v>141</v>
      </c>
      <c r="AA1038" cm="1">
        <f t="array" ref="AA1038">INDEX(Innings!I:I,MATCH(1,(TRIM(Innings!A:A)=TRIM(A1038))*(TRIM(Innings!D:D)=TRIM(E1038)),0))</f>
        <v>7.23</v>
      </c>
      <c r="AB1038" cm="1">
        <f t="array" ref="AB1038">INDEX(Innings!J:J,MATCH(1,(TRIM(Innings!A:A)=TRIM(A1038))*(TRIM(Innings!D:D)=TRIM(E1038)),0))</f>
        <v>55</v>
      </c>
      <c r="AC1038" cm="1">
        <f t="array" ref="AC1038">INDEX(Innings!N:N,MATCH(1,(TRIM(Innings!A:A)=TRIM(A1038))*(TRIM(Innings!D:D)=TRIM(E1038)),0))</f>
        <v>24</v>
      </c>
      <c r="AD1038" cm="1">
        <f t="array" ref="AD1038">INDEX(Innings!S:S,MATCH(1,(TRIM(Innings!A:A)=TRIM(A1038))*(TRIM(Innings!D:D)=TRIM(E1038)),0))</f>
        <v>36</v>
      </c>
      <c r="AE1038" t="str" cm="1">
        <f t="array" ref="AE1038">INDEX(Innings!W:W,MATCH(1,(TRIM(Innings!A:A)=TRIM(A1038))*(TRIM(Innings!D:D)=TRIM(E1038)),0))</f>
        <v>NA</v>
      </c>
      <c r="AF1038">
        <f>IF(UPPER(TRIM(E1038))=UPPER(TRIM(W1038)),1,0)</f>
        <v>0</v>
      </c>
      <c r="AG1038">
        <f t="shared" si="32"/>
        <v>15.9</v>
      </c>
    </row>
    <row r="1039" spans="1:33" x14ac:dyDescent="0.3">
      <c r="A1039" t="s">
        <v>465</v>
      </c>
      <c r="B1039">
        <v>3</v>
      </c>
      <c r="C1039" t="s">
        <v>192</v>
      </c>
      <c r="D1039" t="s">
        <v>193</v>
      </c>
      <c r="E1039" t="s">
        <v>158</v>
      </c>
      <c r="F1039" t="s">
        <v>169</v>
      </c>
      <c r="G1039" t="s">
        <v>134</v>
      </c>
      <c r="H1039">
        <v>12</v>
      </c>
      <c r="I1039">
        <v>13</v>
      </c>
      <c r="J1039">
        <v>92.31</v>
      </c>
      <c r="K1039" t="s">
        <v>246</v>
      </c>
      <c r="L1039">
        <v>15</v>
      </c>
      <c r="M1039">
        <v>2</v>
      </c>
      <c r="N1039">
        <v>0</v>
      </c>
      <c r="O1039">
        <v>27</v>
      </c>
      <c r="P1039">
        <v>0</v>
      </c>
      <c r="Q1039">
        <v>13.5</v>
      </c>
      <c r="R1039">
        <v>0</v>
      </c>
      <c r="S1039">
        <v>0</v>
      </c>
      <c r="T1039">
        <v>0</v>
      </c>
      <c r="U1039" s="8">
        <v>15</v>
      </c>
      <c r="V1039" s="8">
        <f t="shared" si="33"/>
        <v>2</v>
      </c>
      <c r="W1039" t="str">
        <f>_xlfn.XLOOKUP(A1039, Matches!A:A, Matches!L:L, "NA", 0)</f>
        <v>RCBW</v>
      </c>
      <c r="X1039" t="str">
        <f>_xlfn.XLOOKUP(A1039, Matches!A:A, Matches!J:J, "NA", 0)</f>
        <v>RCBW</v>
      </c>
      <c r="Y1039" t="str">
        <f>_xlfn.XLOOKUP(A1039, Matches!A:A, Matches!F:F, "NA", 0)</f>
        <v>BCA Stadium, Kotambi</v>
      </c>
      <c r="Z1039" cm="1">
        <f t="array" ref="Z1039">INDEX(Innings!F:F,MATCH(1,(TRIM(Innings!A:A)=TRIM(A1039))*(TRIM(Innings!D:D)=TRIM(E1039)),0))</f>
        <v>141</v>
      </c>
      <c r="AA1039" cm="1">
        <f t="array" ref="AA1039">INDEX(Innings!I:I,MATCH(1,(TRIM(Innings!A:A)=TRIM(A1039))*(TRIM(Innings!D:D)=TRIM(E1039)),0))</f>
        <v>7.23</v>
      </c>
      <c r="AB1039" cm="1">
        <f t="array" ref="AB1039">INDEX(Innings!J:J,MATCH(1,(TRIM(Innings!A:A)=TRIM(A1039))*(TRIM(Innings!D:D)=TRIM(E1039)),0))</f>
        <v>55</v>
      </c>
      <c r="AC1039" cm="1">
        <f t="array" ref="AC1039">INDEX(Innings!N:N,MATCH(1,(TRIM(Innings!A:A)=TRIM(A1039))*(TRIM(Innings!D:D)=TRIM(E1039)),0))</f>
        <v>24</v>
      </c>
      <c r="AD1039" cm="1">
        <f t="array" ref="AD1039">INDEX(Innings!S:S,MATCH(1,(TRIM(Innings!A:A)=TRIM(A1039))*(TRIM(Innings!D:D)=TRIM(E1039)),0))</f>
        <v>36</v>
      </c>
      <c r="AE1039" t="str" cm="1">
        <f t="array" ref="AE1039">INDEX(Innings!W:W,MATCH(1,(TRIM(Innings!A:A)=TRIM(A1039))*(TRIM(Innings!D:D)=TRIM(E1039)),0))</f>
        <v>NA</v>
      </c>
      <c r="AF1039">
        <f>IF(UPPER(TRIM(E1039))=UPPER(TRIM(W1039)),1,0)</f>
        <v>0</v>
      </c>
      <c r="AG1039">
        <f t="shared" si="32"/>
        <v>8.1</v>
      </c>
    </row>
    <row r="1040" spans="1:33" x14ac:dyDescent="0.3">
      <c r="A1040" t="s">
        <v>465</v>
      </c>
      <c r="B1040">
        <v>3</v>
      </c>
      <c r="C1040" t="s">
        <v>198</v>
      </c>
      <c r="D1040" t="s">
        <v>199</v>
      </c>
      <c r="E1040" t="s">
        <v>158</v>
      </c>
      <c r="F1040" t="s">
        <v>101</v>
      </c>
      <c r="G1040" t="s">
        <v>134</v>
      </c>
      <c r="H1040">
        <v>1</v>
      </c>
      <c r="I1040">
        <v>4</v>
      </c>
      <c r="J1040">
        <v>25</v>
      </c>
      <c r="K1040" t="s">
        <v>246</v>
      </c>
      <c r="L1040">
        <v>2</v>
      </c>
      <c r="M1040">
        <v>4</v>
      </c>
      <c r="N1040">
        <v>0</v>
      </c>
      <c r="O1040">
        <v>37</v>
      </c>
      <c r="P1040">
        <v>0</v>
      </c>
      <c r="Q1040">
        <v>9.1999999999999993</v>
      </c>
      <c r="R1040">
        <v>0</v>
      </c>
      <c r="S1040">
        <v>0</v>
      </c>
      <c r="T1040">
        <v>0</v>
      </c>
      <c r="U1040" s="8">
        <v>2</v>
      </c>
      <c r="V1040" s="8">
        <f t="shared" si="33"/>
        <v>0</v>
      </c>
      <c r="W1040" t="str">
        <f>_xlfn.XLOOKUP(A1040, Matches!A:A, Matches!L:L, "NA", 0)</f>
        <v>RCBW</v>
      </c>
      <c r="X1040" t="str">
        <f>_xlfn.XLOOKUP(A1040, Matches!A:A, Matches!J:J, "NA", 0)</f>
        <v>RCBW</v>
      </c>
      <c r="Y1040" t="str">
        <f>_xlfn.XLOOKUP(A1040, Matches!A:A, Matches!F:F, "NA", 0)</f>
        <v>BCA Stadium, Kotambi</v>
      </c>
      <c r="Z1040" cm="1">
        <f t="array" ref="Z1040">INDEX(Innings!F:F,MATCH(1,(TRIM(Innings!A:A)=TRIM(A1040))*(TRIM(Innings!D:D)=TRIM(E1040)),0))</f>
        <v>141</v>
      </c>
      <c r="AA1040" cm="1">
        <f t="array" ref="AA1040">INDEX(Innings!I:I,MATCH(1,(TRIM(Innings!A:A)=TRIM(A1040))*(TRIM(Innings!D:D)=TRIM(E1040)),0))</f>
        <v>7.23</v>
      </c>
      <c r="AB1040" cm="1">
        <f t="array" ref="AB1040">INDEX(Innings!J:J,MATCH(1,(TRIM(Innings!A:A)=TRIM(A1040))*(TRIM(Innings!D:D)=TRIM(E1040)),0))</f>
        <v>55</v>
      </c>
      <c r="AC1040" cm="1">
        <f t="array" ref="AC1040">INDEX(Innings!N:N,MATCH(1,(TRIM(Innings!A:A)=TRIM(A1040))*(TRIM(Innings!D:D)=TRIM(E1040)),0))</f>
        <v>24</v>
      </c>
      <c r="AD1040" cm="1">
        <f t="array" ref="AD1040">INDEX(Innings!S:S,MATCH(1,(TRIM(Innings!A:A)=TRIM(A1040))*(TRIM(Innings!D:D)=TRIM(E1040)),0))</f>
        <v>36</v>
      </c>
      <c r="AE1040" t="str" cm="1">
        <f t="array" ref="AE1040">INDEX(Innings!W:W,MATCH(1,(TRIM(Innings!A:A)=TRIM(A1040))*(TRIM(Innings!D:D)=TRIM(E1040)),0))</f>
        <v>NA</v>
      </c>
      <c r="AF1040">
        <f>IF(UPPER(TRIM(E1040))=UPPER(TRIM(W1040)),1,0)</f>
        <v>0</v>
      </c>
      <c r="AG1040">
        <f t="shared" si="32"/>
        <v>1</v>
      </c>
    </row>
    <row r="1041" spans="1:33" x14ac:dyDescent="0.3">
      <c r="A1041" t="s">
        <v>465</v>
      </c>
      <c r="B1041">
        <v>3</v>
      </c>
      <c r="C1041" t="s">
        <v>496</v>
      </c>
      <c r="D1041" t="s">
        <v>518</v>
      </c>
      <c r="E1041" t="s">
        <v>158</v>
      </c>
      <c r="F1041" t="s">
        <v>85</v>
      </c>
      <c r="G1041" t="s">
        <v>134</v>
      </c>
      <c r="H1041">
        <v>23</v>
      </c>
      <c r="I1041">
        <v>19</v>
      </c>
      <c r="J1041">
        <v>121.05</v>
      </c>
      <c r="K1041" t="s">
        <v>248</v>
      </c>
      <c r="L1041">
        <v>25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 s="8">
        <v>25</v>
      </c>
      <c r="V1041" s="8">
        <f t="shared" si="33"/>
        <v>3</v>
      </c>
      <c r="W1041" t="str">
        <f>_xlfn.XLOOKUP(A1041, Matches!A:A, Matches!L:L, "NA", 0)</f>
        <v>RCBW</v>
      </c>
      <c r="X1041" t="str">
        <f>_xlfn.XLOOKUP(A1041, Matches!A:A, Matches!J:J, "NA", 0)</f>
        <v>RCBW</v>
      </c>
      <c r="Y1041" t="str">
        <f>_xlfn.XLOOKUP(A1041, Matches!A:A, Matches!F:F, "NA", 0)</f>
        <v>BCA Stadium, Kotambi</v>
      </c>
      <c r="Z1041" cm="1">
        <f t="array" ref="Z1041">INDEX(Innings!F:F,MATCH(1,(TRIM(Innings!A:A)=TRIM(A1041))*(TRIM(Innings!D:D)=TRIM(E1041)),0))</f>
        <v>141</v>
      </c>
      <c r="AA1041" cm="1">
        <f t="array" ref="AA1041">INDEX(Innings!I:I,MATCH(1,(TRIM(Innings!A:A)=TRIM(A1041))*(TRIM(Innings!D:D)=TRIM(E1041)),0))</f>
        <v>7.23</v>
      </c>
      <c r="AB1041" cm="1">
        <f t="array" ref="AB1041">INDEX(Innings!J:J,MATCH(1,(TRIM(Innings!A:A)=TRIM(A1041))*(TRIM(Innings!D:D)=TRIM(E1041)),0))</f>
        <v>55</v>
      </c>
      <c r="AC1041" cm="1">
        <f t="array" ref="AC1041">INDEX(Innings!N:N,MATCH(1,(TRIM(Innings!A:A)=TRIM(A1041))*(TRIM(Innings!D:D)=TRIM(E1041)),0))</f>
        <v>24</v>
      </c>
      <c r="AD1041" cm="1">
        <f t="array" ref="AD1041">INDEX(Innings!S:S,MATCH(1,(TRIM(Innings!A:A)=TRIM(A1041))*(TRIM(Innings!D:D)=TRIM(E1041)),0))</f>
        <v>36</v>
      </c>
      <c r="AE1041" t="str" cm="1">
        <f t="array" ref="AE1041">INDEX(Innings!W:W,MATCH(1,(TRIM(Innings!A:A)=TRIM(A1041))*(TRIM(Innings!D:D)=TRIM(E1041)),0))</f>
        <v>NA</v>
      </c>
      <c r="AF1041">
        <f>IF(UPPER(TRIM(E1041))=UPPER(TRIM(W1041)),1,0)</f>
        <v>0</v>
      </c>
      <c r="AG1041">
        <f t="shared" si="32"/>
        <v>13.4</v>
      </c>
    </row>
    <row r="1042" spans="1:33" x14ac:dyDescent="0.3">
      <c r="A1042" t="s">
        <v>465</v>
      </c>
      <c r="B1042">
        <v>3</v>
      </c>
      <c r="C1042" t="s">
        <v>204</v>
      </c>
      <c r="D1042" t="s">
        <v>205</v>
      </c>
      <c r="E1042" t="s">
        <v>158</v>
      </c>
      <c r="F1042" t="s">
        <v>169</v>
      </c>
      <c r="G1042" t="s">
        <v>134</v>
      </c>
      <c r="H1042">
        <v>14</v>
      </c>
      <c r="I1042">
        <v>15</v>
      </c>
      <c r="J1042">
        <v>93.33</v>
      </c>
      <c r="K1042" t="s">
        <v>246</v>
      </c>
      <c r="L1042">
        <v>15</v>
      </c>
      <c r="M1042">
        <v>4</v>
      </c>
      <c r="N1042">
        <v>0</v>
      </c>
      <c r="O1042">
        <v>27</v>
      </c>
      <c r="P1042">
        <v>1</v>
      </c>
      <c r="Q1042">
        <v>6.8</v>
      </c>
      <c r="R1042">
        <v>25</v>
      </c>
      <c r="S1042">
        <v>0</v>
      </c>
      <c r="T1042">
        <v>0</v>
      </c>
      <c r="U1042" s="8">
        <v>40</v>
      </c>
      <c r="V1042" s="8">
        <f t="shared" si="33"/>
        <v>4</v>
      </c>
      <c r="W1042" t="str">
        <f>_xlfn.XLOOKUP(A1042, Matches!A:A, Matches!L:L, "NA", 0)</f>
        <v>RCBW</v>
      </c>
      <c r="X1042" t="str">
        <f>_xlfn.XLOOKUP(A1042, Matches!A:A, Matches!J:J, "NA", 0)</f>
        <v>RCBW</v>
      </c>
      <c r="Y1042" t="str">
        <f>_xlfn.XLOOKUP(A1042, Matches!A:A, Matches!F:F, "NA", 0)</f>
        <v>BCA Stadium, Kotambi</v>
      </c>
      <c r="Z1042" cm="1">
        <f t="array" ref="Z1042">INDEX(Innings!F:F,MATCH(1,(TRIM(Innings!A:A)=TRIM(A1042))*(TRIM(Innings!D:D)=TRIM(E1042)),0))</f>
        <v>141</v>
      </c>
      <c r="AA1042" cm="1">
        <f t="array" ref="AA1042">INDEX(Innings!I:I,MATCH(1,(TRIM(Innings!A:A)=TRIM(A1042))*(TRIM(Innings!D:D)=TRIM(E1042)),0))</f>
        <v>7.23</v>
      </c>
      <c r="AB1042" cm="1">
        <f t="array" ref="AB1042">INDEX(Innings!J:J,MATCH(1,(TRIM(Innings!A:A)=TRIM(A1042))*(TRIM(Innings!D:D)=TRIM(E1042)),0))</f>
        <v>55</v>
      </c>
      <c r="AC1042" cm="1">
        <f t="array" ref="AC1042">INDEX(Innings!N:N,MATCH(1,(TRIM(Innings!A:A)=TRIM(A1042))*(TRIM(Innings!D:D)=TRIM(E1042)),0))</f>
        <v>24</v>
      </c>
      <c r="AD1042" cm="1">
        <f t="array" ref="AD1042">INDEX(Innings!S:S,MATCH(1,(TRIM(Innings!A:A)=TRIM(A1042))*(TRIM(Innings!D:D)=TRIM(E1042)),0))</f>
        <v>36</v>
      </c>
      <c r="AE1042" t="str" cm="1">
        <f t="array" ref="AE1042">INDEX(Innings!W:W,MATCH(1,(TRIM(Innings!A:A)=TRIM(A1042))*(TRIM(Innings!D:D)=TRIM(E1042)),0))</f>
        <v>NA</v>
      </c>
      <c r="AF1042">
        <f>IF(UPPER(TRIM(E1042))=UPPER(TRIM(W1042)),1,0)</f>
        <v>0</v>
      </c>
      <c r="AG1042">
        <f t="shared" si="32"/>
        <v>21.2</v>
      </c>
    </row>
    <row r="1043" spans="1:33" x14ac:dyDescent="0.3">
      <c r="A1043" t="s">
        <v>465</v>
      </c>
      <c r="B1043">
        <v>3</v>
      </c>
      <c r="C1043" t="s">
        <v>206</v>
      </c>
      <c r="D1043" t="s">
        <v>207</v>
      </c>
      <c r="E1043" t="s">
        <v>158</v>
      </c>
      <c r="F1043" t="s">
        <v>101</v>
      </c>
      <c r="G1043" t="s">
        <v>134</v>
      </c>
      <c r="H1043">
        <v>0</v>
      </c>
      <c r="I1043">
        <v>2</v>
      </c>
      <c r="J1043">
        <v>0</v>
      </c>
      <c r="K1043" t="s">
        <v>246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 s="8">
        <v>0</v>
      </c>
      <c r="V1043" s="8">
        <f t="shared" si="33"/>
        <v>0</v>
      </c>
      <c r="W1043" t="str">
        <f>_xlfn.XLOOKUP(A1043, Matches!A:A, Matches!L:L, "NA", 0)</f>
        <v>RCBW</v>
      </c>
      <c r="X1043" t="str">
        <f>_xlfn.XLOOKUP(A1043, Matches!A:A, Matches!J:J, "NA", 0)</f>
        <v>RCBW</v>
      </c>
      <c r="Y1043" t="str">
        <f>_xlfn.XLOOKUP(A1043, Matches!A:A, Matches!F:F, "NA", 0)</f>
        <v>BCA Stadium, Kotambi</v>
      </c>
      <c r="Z1043" cm="1">
        <f t="array" ref="Z1043">INDEX(Innings!F:F,MATCH(1,(TRIM(Innings!A:A)=TRIM(A1043))*(TRIM(Innings!D:D)=TRIM(E1043)),0))</f>
        <v>141</v>
      </c>
      <c r="AA1043" cm="1">
        <f t="array" ref="AA1043">INDEX(Innings!I:I,MATCH(1,(TRIM(Innings!A:A)=TRIM(A1043))*(TRIM(Innings!D:D)=TRIM(E1043)),0))</f>
        <v>7.23</v>
      </c>
      <c r="AB1043" cm="1">
        <f t="array" ref="AB1043">INDEX(Innings!J:J,MATCH(1,(TRIM(Innings!A:A)=TRIM(A1043))*(TRIM(Innings!D:D)=TRIM(E1043)),0))</f>
        <v>55</v>
      </c>
      <c r="AC1043" cm="1">
        <f t="array" ref="AC1043">INDEX(Innings!N:N,MATCH(1,(TRIM(Innings!A:A)=TRIM(A1043))*(TRIM(Innings!D:D)=TRIM(E1043)),0))</f>
        <v>24</v>
      </c>
      <c r="AD1043" cm="1">
        <f t="array" ref="AD1043">INDEX(Innings!S:S,MATCH(1,(TRIM(Innings!A:A)=TRIM(A1043))*(TRIM(Innings!D:D)=TRIM(E1043)),0))</f>
        <v>36</v>
      </c>
      <c r="AE1043" t="str" cm="1">
        <f t="array" ref="AE1043">INDEX(Innings!W:W,MATCH(1,(TRIM(Innings!A:A)=TRIM(A1043))*(TRIM(Innings!D:D)=TRIM(E1043)),0))</f>
        <v>NA</v>
      </c>
      <c r="AF1043">
        <f>IF(UPPER(TRIM(E1043))=UPPER(TRIM(W1043)),1,0)</f>
        <v>0</v>
      </c>
      <c r="AG1043">
        <f t="shared" si="32"/>
        <v>0</v>
      </c>
    </row>
    <row r="1044" spans="1:33" x14ac:dyDescent="0.3">
      <c r="A1044" t="s">
        <v>465</v>
      </c>
      <c r="B1044">
        <v>3</v>
      </c>
      <c r="C1044" t="s">
        <v>202</v>
      </c>
      <c r="D1044" t="s">
        <v>203</v>
      </c>
      <c r="E1044" t="s">
        <v>158</v>
      </c>
      <c r="F1044" t="s">
        <v>101</v>
      </c>
      <c r="G1044" t="s">
        <v>134</v>
      </c>
      <c r="H1044">
        <v>4</v>
      </c>
      <c r="I1044">
        <v>5</v>
      </c>
      <c r="J1044">
        <v>80</v>
      </c>
      <c r="K1044" t="s">
        <v>246</v>
      </c>
      <c r="L1044">
        <v>5</v>
      </c>
      <c r="M1044">
        <v>3.2</v>
      </c>
      <c r="N1044">
        <v>0</v>
      </c>
      <c r="O1044">
        <v>25</v>
      </c>
      <c r="P1044">
        <v>1</v>
      </c>
      <c r="Q1044">
        <v>7.5</v>
      </c>
      <c r="R1044">
        <v>25</v>
      </c>
      <c r="S1044">
        <v>0</v>
      </c>
      <c r="T1044">
        <v>0</v>
      </c>
      <c r="U1044" s="8">
        <v>30</v>
      </c>
      <c r="V1044" s="8">
        <f t="shared" si="33"/>
        <v>3</v>
      </c>
      <c r="W1044" t="str">
        <f>_xlfn.XLOOKUP(A1044, Matches!A:A, Matches!L:L, "NA", 0)</f>
        <v>RCBW</v>
      </c>
      <c r="X1044" t="str">
        <f>_xlfn.XLOOKUP(A1044, Matches!A:A, Matches!J:J, "NA", 0)</f>
        <v>RCBW</v>
      </c>
      <c r="Y1044" t="str">
        <f>_xlfn.XLOOKUP(A1044, Matches!A:A, Matches!F:F, "NA", 0)</f>
        <v>BCA Stadium, Kotambi</v>
      </c>
      <c r="Z1044" cm="1">
        <f t="array" ref="Z1044">INDEX(Innings!F:F,MATCH(1,(TRIM(Innings!A:A)=TRIM(A1044))*(TRIM(Innings!D:D)=TRIM(E1044)),0))</f>
        <v>141</v>
      </c>
      <c r="AA1044" cm="1">
        <f t="array" ref="AA1044">INDEX(Innings!I:I,MATCH(1,(TRIM(Innings!A:A)=TRIM(A1044))*(TRIM(Innings!D:D)=TRIM(E1044)),0))</f>
        <v>7.23</v>
      </c>
      <c r="AB1044" cm="1">
        <f t="array" ref="AB1044">INDEX(Innings!J:J,MATCH(1,(TRIM(Innings!A:A)=TRIM(A1044))*(TRIM(Innings!D:D)=TRIM(E1044)),0))</f>
        <v>55</v>
      </c>
      <c r="AC1044" cm="1">
        <f t="array" ref="AC1044">INDEX(Innings!N:N,MATCH(1,(TRIM(Innings!A:A)=TRIM(A1044))*(TRIM(Innings!D:D)=TRIM(E1044)),0))</f>
        <v>24</v>
      </c>
      <c r="AD1044" cm="1">
        <f t="array" ref="AD1044">INDEX(Innings!S:S,MATCH(1,(TRIM(Innings!A:A)=TRIM(A1044))*(TRIM(Innings!D:D)=TRIM(E1044)),0))</f>
        <v>36</v>
      </c>
      <c r="AE1044" t="str" cm="1">
        <f t="array" ref="AE1044">INDEX(Innings!W:W,MATCH(1,(TRIM(Innings!A:A)=TRIM(A1044))*(TRIM(Innings!D:D)=TRIM(E1044)),0))</f>
        <v>NA</v>
      </c>
      <c r="AF1044">
        <f>IF(UPPER(TRIM(E1044))=UPPER(TRIM(W1044)),1,0)</f>
        <v>0</v>
      </c>
      <c r="AG1044">
        <f t="shared" si="32"/>
        <v>15.9</v>
      </c>
    </row>
    <row r="1045" spans="1:33" x14ac:dyDescent="0.3">
      <c r="A1045" t="s">
        <v>465</v>
      </c>
      <c r="B1045">
        <v>3</v>
      </c>
      <c r="C1045" t="s">
        <v>274</v>
      </c>
      <c r="D1045" t="s">
        <v>284</v>
      </c>
      <c r="E1045" t="s">
        <v>158</v>
      </c>
      <c r="F1045" t="s">
        <v>169</v>
      </c>
      <c r="G1045" t="s">
        <v>134</v>
      </c>
      <c r="H1045">
        <v>5</v>
      </c>
      <c r="I1045">
        <v>4</v>
      </c>
      <c r="J1045">
        <v>125</v>
      </c>
      <c r="K1045" t="s">
        <v>96</v>
      </c>
      <c r="L1045">
        <v>8</v>
      </c>
      <c r="M1045">
        <v>1</v>
      </c>
      <c r="N1045">
        <v>0</v>
      </c>
      <c r="O1045">
        <v>10</v>
      </c>
      <c r="P1045">
        <v>0</v>
      </c>
      <c r="Q1045">
        <v>10</v>
      </c>
      <c r="R1045">
        <v>0</v>
      </c>
      <c r="S1045">
        <v>0</v>
      </c>
      <c r="T1045">
        <v>0</v>
      </c>
      <c r="U1045" s="8">
        <v>8</v>
      </c>
      <c r="V1045" s="8">
        <f t="shared" si="33"/>
        <v>1</v>
      </c>
      <c r="W1045" t="str">
        <f>_xlfn.XLOOKUP(A1045, Matches!A:A, Matches!L:L, "NA", 0)</f>
        <v>RCBW</v>
      </c>
      <c r="X1045" t="str">
        <f>_xlfn.XLOOKUP(A1045, Matches!A:A, Matches!J:J, "NA", 0)</f>
        <v>RCBW</v>
      </c>
      <c r="Y1045" t="str">
        <f>_xlfn.XLOOKUP(A1045, Matches!A:A, Matches!F:F, "NA", 0)</f>
        <v>BCA Stadium, Kotambi</v>
      </c>
      <c r="Z1045" cm="1">
        <f t="array" ref="Z1045">INDEX(Innings!F:F,MATCH(1,(TRIM(Innings!A:A)=TRIM(A1045))*(TRIM(Innings!D:D)=TRIM(E1045)),0))</f>
        <v>141</v>
      </c>
      <c r="AA1045" cm="1">
        <f t="array" ref="AA1045">INDEX(Innings!I:I,MATCH(1,(TRIM(Innings!A:A)=TRIM(A1045))*(TRIM(Innings!D:D)=TRIM(E1045)),0))</f>
        <v>7.23</v>
      </c>
      <c r="AB1045" cm="1">
        <f t="array" ref="AB1045">INDEX(Innings!J:J,MATCH(1,(TRIM(Innings!A:A)=TRIM(A1045))*(TRIM(Innings!D:D)=TRIM(E1045)),0))</f>
        <v>55</v>
      </c>
      <c r="AC1045" cm="1">
        <f t="array" ref="AC1045">INDEX(Innings!N:N,MATCH(1,(TRIM(Innings!A:A)=TRIM(A1045))*(TRIM(Innings!D:D)=TRIM(E1045)),0))</f>
        <v>24</v>
      </c>
      <c r="AD1045" cm="1">
        <f t="array" ref="AD1045">INDEX(Innings!S:S,MATCH(1,(TRIM(Innings!A:A)=TRIM(A1045))*(TRIM(Innings!D:D)=TRIM(E1045)),0))</f>
        <v>36</v>
      </c>
      <c r="AE1045" t="str" cm="1">
        <f t="array" ref="AE1045">INDEX(Innings!W:W,MATCH(1,(TRIM(Innings!A:A)=TRIM(A1045))*(TRIM(Innings!D:D)=TRIM(E1045)),0))</f>
        <v>NA</v>
      </c>
      <c r="AF1045">
        <f>IF(UPPER(TRIM(E1045))=UPPER(TRIM(W1045)),1,0)</f>
        <v>0</v>
      </c>
      <c r="AG1045">
        <f t="shared" si="32"/>
        <v>4.3</v>
      </c>
    </row>
    <row r="1046" spans="1:33" x14ac:dyDescent="0.3">
      <c r="A1046" t="s">
        <v>465</v>
      </c>
      <c r="B1046">
        <v>3</v>
      </c>
      <c r="C1046" t="s">
        <v>165</v>
      </c>
      <c r="D1046" t="s">
        <v>166</v>
      </c>
      <c r="E1046" t="s">
        <v>159</v>
      </c>
      <c r="F1046" t="s">
        <v>109</v>
      </c>
      <c r="G1046" t="s">
        <v>86</v>
      </c>
      <c r="H1046">
        <v>81</v>
      </c>
      <c r="I1046">
        <v>47</v>
      </c>
      <c r="J1046">
        <v>172.34</v>
      </c>
      <c r="K1046" t="s">
        <v>246</v>
      </c>
      <c r="L1046">
        <v>95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 s="8">
        <v>95</v>
      </c>
      <c r="V1046" s="8">
        <f t="shared" si="33"/>
        <v>10</v>
      </c>
      <c r="W1046" t="str">
        <f>_xlfn.XLOOKUP(A1046, Matches!A:A, Matches!L:L, "NA", 0)</f>
        <v>RCBW</v>
      </c>
      <c r="X1046" t="str">
        <f>_xlfn.XLOOKUP(A1046, Matches!A:A, Matches!J:J, "NA", 0)</f>
        <v>RCBW</v>
      </c>
      <c r="Y1046" t="str">
        <f>_xlfn.XLOOKUP(A1046, Matches!A:A, Matches!F:F, "NA", 0)</f>
        <v>BCA Stadium, Kotambi</v>
      </c>
      <c r="Z1046" cm="1">
        <f t="array" ref="Z1046">INDEX(Innings!F:F,MATCH(1,(TRIM(Innings!A:A)=TRIM(A1046))*(TRIM(Innings!D:D)=TRIM(E1046)),0))</f>
        <v>146</v>
      </c>
      <c r="AA1046" cm="1">
        <f t="array" ref="AA1046">INDEX(Innings!I:I,MATCH(1,(TRIM(Innings!A:A)=TRIM(A1046))*(TRIM(Innings!D:D)=TRIM(E1046)),0))</f>
        <v>8.94</v>
      </c>
      <c r="AB1046" cm="1">
        <f t="array" ref="AB1046">INDEX(Innings!J:J,MATCH(1,(TRIM(Innings!A:A)=TRIM(A1046))*(TRIM(Innings!D:D)=TRIM(E1046)),0))</f>
        <v>57</v>
      </c>
      <c r="AC1046" cm="1">
        <f t="array" ref="AC1046">INDEX(Innings!N:N,MATCH(1,(TRIM(Innings!A:A)=TRIM(A1046))*(TRIM(Innings!D:D)=TRIM(E1046)),0))</f>
        <v>7</v>
      </c>
      <c r="AD1046" cm="1">
        <f t="array" ref="AD1046">INDEX(Innings!S:S,MATCH(1,(TRIM(Innings!A:A)=TRIM(A1046))*(TRIM(Innings!D:D)=TRIM(E1046)),0))</f>
        <v>30</v>
      </c>
      <c r="AE1046" t="str" cm="1">
        <f t="array" ref="AE1046">INDEX(Innings!W:W,MATCH(1,(TRIM(Innings!A:A)=TRIM(A1046))*(TRIM(Innings!D:D)=TRIM(E1046)),0))</f>
        <v>Successful</v>
      </c>
      <c r="AF1046">
        <f>IF(UPPER(TRIM(E1046))=UPPER(TRIM(W1046)),1,0)</f>
        <v>1</v>
      </c>
      <c r="AG1046">
        <f t="shared" si="32"/>
        <v>70.5</v>
      </c>
    </row>
    <row r="1047" spans="1:33" x14ac:dyDescent="0.3">
      <c r="A1047" t="s">
        <v>465</v>
      </c>
      <c r="B1047">
        <v>3</v>
      </c>
      <c r="C1047" t="s">
        <v>489</v>
      </c>
      <c r="D1047" t="s">
        <v>488</v>
      </c>
      <c r="E1047" t="s">
        <v>159</v>
      </c>
      <c r="F1047" t="s">
        <v>109</v>
      </c>
      <c r="G1047" t="s">
        <v>86</v>
      </c>
      <c r="H1047">
        <v>42</v>
      </c>
      <c r="I1047">
        <v>33</v>
      </c>
      <c r="J1047">
        <v>127.27</v>
      </c>
      <c r="K1047" t="s">
        <v>246</v>
      </c>
      <c r="L1047">
        <v>55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 s="8">
        <v>55</v>
      </c>
      <c r="V1047" s="8">
        <f t="shared" si="33"/>
        <v>6</v>
      </c>
      <c r="W1047" t="str">
        <f>_xlfn.XLOOKUP(A1047, Matches!A:A, Matches!L:L, "NA", 0)</f>
        <v>RCBW</v>
      </c>
      <c r="X1047" t="str">
        <f>_xlfn.XLOOKUP(A1047, Matches!A:A, Matches!J:J, "NA", 0)</f>
        <v>RCBW</v>
      </c>
      <c r="Y1047" t="str">
        <f>_xlfn.XLOOKUP(A1047, Matches!A:A, Matches!F:F, "NA", 0)</f>
        <v>BCA Stadium, Kotambi</v>
      </c>
      <c r="Z1047" cm="1">
        <f t="array" ref="Z1047">INDEX(Innings!F:F,MATCH(1,(TRIM(Innings!A:A)=TRIM(A1047))*(TRIM(Innings!D:D)=TRIM(E1047)),0))</f>
        <v>146</v>
      </c>
      <c r="AA1047" cm="1">
        <f t="array" ref="AA1047">INDEX(Innings!I:I,MATCH(1,(TRIM(Innings!A:A)=TRIM(A1047))*(TRIM(Innings!D:D)=TRIM(E1047)),0))</f>
        <v>8.94</v>
      </c>
      <c r="AB1047" cm="1">
        <f t="array" ref="AB1047">INDEX(Innings!J:J,MATCH(1,(TRIM(Innings!A:A)=TRIM(A1047))*(TRIM(Innings!D:D)=TRIM(E1047)),0))</f>
        <v>57</v>
      </c>
      <c r="AC1047" cm="1">
        <f t="array" ref="AC1047">INDEX(Innings!N:N,MATCH(1,(TRIM(Innings!A:A)=TRIM(A1047))*(TRIM(Innings!D:D)=TRIM(E1047)),0))</f>
        <v>7</v>
      </c>
      <c r="AD1047" cm="1">
        <f t="array" ref="AD1047">INDEX(Innings!S:S,MATCH(1,(TRIM(Innings!A:A)=TRIM(A1047))*(TRIM(Innings!D:D)=TRIM(E1047)),0))</f>
        <v>30</v>
      </c>
      <c r="AE1047" t="str" cm="1">
        <f t="array" ref="AE1047">INDEX(Innings!W:W,MATCH(1,(TRIM(Innings!A:A)=TRIM(A1047))*(TRIM(Innings!D:D)=TRIM(E1047)),0))</f>
        <v>Successful</v>
      </c>
      <c r="AF1047">
        <f>IF(UPPER(TRIM(E1047))=UPPER(TRIM(W1047)),1,0)</f>
        <v>1</v>
      </c>
      <c r="AG1047">
        <f t="shared" si="32"/>
        <v>49.3</v>
      </c>
    </row>
    <row r="1048" spans="1:33" x14ac:dyDescent="0.3">
      <c r="A1048" t="s">
        <v>465</v>
      </c>
      <c r="B1048">
        <v>3</v>
      </c>
      <c r="C1048" t="s">
        <v>174</v>
      </c>
      <c r="D1048" t="s">
        <v>175</v>
      </c>
      <c r="E1048" t="s">
        <v>159</v>
      </c>
      <c r="F1048" t="s">
        <v>169</v>
      </c>
      <c r="G1048" t="s">
        <v>92</v>
      </c>
      <c r="H1048">
        <v>7</v>
      </c>
      <c r="I1048">
        <v>13</v>
      </c>
      <c r="J1048">
        <v>53.85</v>
      </c>
      <c r="K1048" t="s">
        <v>96</v>
      </c>
      <c r="L1048">
        <v>10</v>
      </c>
      <c r="M1048">
        <v>2</v>
      </c>
      <c r="N1048">
        <v>0</v>
      </c>
      <c r="O1048">
        <v>14</v>
      </c>
      <c r="P1048">
        <v>0</v>
      </c>
      <c r="Q1048">
        <v>7</v>
      </c>
      <c r="R1048">
        <v>0</v>
      </c>
      <c r="S1048">
        <v>0</v>
      </c>
      <c r="T1048">
        <v>0</v>
      </c>
      <c r="U1048" s="8">
        <v>10</v>
      </c>
      <c r="V1048" s="8">
        <f t="shared" si="33"/>
        <v>1</v>
      </c>
      <c r="W1048" t="str">
        <f>_xlfn.XLOOKUP(A1048, Matches!A:A, Matches!L:L, "NA", 0)</f>
        <v>RCBW</v>
      </c>
      <c r="X1048" t="str">
        <f>_xlfn.XLOOKUP(A1048, Matches!A:A, Matches!J:J, "NA", 0)</f>
        <v>RCBW</v>
      </c>
      <c r="Y1048" t="str">
        <f>_xlfn.XLOOKUP(A1048, Matches!A:A, Matches!F:F, "NA", 0)</f>
        <v>BCA Stadium, Kotambi</v>
      </c>
      <c r="Z1048" cm="1">
        <f t="array" ref="Z1048">INDEX(Innings!F:F,MATCH(1,(TRIM(Innings!A:A)=TRIM(A1048))*(TRIM(Innings!D:D)=TRIM(E1048)),0))</f>
        <v>146</v>
      </c>
      <c r="AA1048" cm="1">
        <f t="array" ref="AA1048">INDEX(Innings!I:I,MATCH(1,(TRIM(Innings!A:A)=TRIM(A1048))*(TRIM(Innings!D:D)=TRIM(E1048)),0))</f>
        <v>8.94</v>
      </c>
      <c r="AB1048" cm="1">
        <f t="array" ref="AB1048">INDEX(Innings!J:J,MATCH(1,(TRIM(Innings!A:A)=TRIM(A1048))*(TRIM(Innings!D:D)=TRIM(E1048)),0))</f>
        <v>57</v>
      </c>
      <c r="AC1048" cm="1">
        <f t="array" ref="AC1048">INDEX(Innings!N:N,MATCH(1,(TRIM(Innings!A:A)=TRIM(A1048))*(TRIM(Innings!D:D)=TRIM(E1048)),0))</f>
        <v>7</v>
      </c>
      <c r="AD1048" cm="1">
        <f t="array" ref="AD1048">INDEX(Innings!S:S,MATCH(1,(TRIM(Innings!A:A)=TRIM(A1048))*(TRIM(Innings!D:D)=TRIM(E1048)),0))</f>
        <v>30</v>
      </c>
      <c r="AE1048" t="str" cm="1">
        <f t="array" ref="AE1048">INDEX(Innings!W:W,MATCH(1,(TRIM(Innings!A:A)=TRIM(A1048))*(TRIM(Innings!D:D)=TRIM(E1048)),0))</f>
        <v>Successful</v>
      </c>
      <c r="AF1048">
        <f>IF(UPPER(TRIM(E1048))=UPPER(TRIM(W1048)),1,0)</f>
        <v>1</v>
      </c>
      <c r="AG1048">
        <f t="shared" si="32"/>
        <v>25.3</v>
      </c>
    </row>
    <row r="1049" spans="1:33" x14ac:dyDescent="0.3">
      <c r="A1049" t="s">
        <v>465</v>
      </c>
      <c r="B1049">
        <v>3</v>
      </c>
      <c r="C1049" t="s">
        <v>176</v>
      </c>
      <c r="D1049" t="s">
        <v>177</v>
      </c>
      <c r="E1049" t="s">
        <v>159</v>
      </c>
      <c r="F1049" t="s">
        <v>85</v>
      </c>
      <c r="G1049" t="s">
        <v>134</v>
      </c>
      <c r="H1049">
        <v>11</v>
      </c>
      <c r="I1049">
        <v>5</v>
      </c>
      <c r="J1049">
        <v>220</v>
      </c>
      <c r="K1049" t="s">
        <v>96</v>
      </c>
      <c r="L1049">
        <v>15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 s="8">
        <v>15</v>
      </c>
      <c r="V1049" s="8">
        <f t="shared" si="33"/>
        <v>2</v>
      </c>
      <c r="W1049" t="str">
        <f>_xlfn.XLOOKUP(A1049, Matches!A:A, Matches!L:L, "NA", 0)</f>
        <v>RCBW</v>
      </c>
      <c r="X1049" t="str">
        <f>_xlfn.XLOOKUP(A1049, Matches!A:A, Matches!J:J, "NA", 0)</f>
        <v>RCBW</v>
      </c>
      <c r="Y1049" t="str">
        <f>_xlfn.XLOOKUP(A1049, Matches!A:A, Matches!F:F, "NA", 0)</f>
        <v>BCA Stadium, Kotambi</v>
      </c>
      <c r="Z1049" cm="1">
        <f t="array" ref="Z1049">INDEX(Innings!F:F,MATCH(1,(TRIM(Innings!A:A)=TRIM(A1049))*(TRIM(Innings!D:D)=TRIM(E1049)),0))</f>
        <v>146</v>
      </c>
      <c r="AA1049" cm="1">
        <f t="array" ref="AA1049">INDEX(Innings!I:I,MATCH(1,(TRIM(Innings!A:A)=TRIM(A1049))*(TRIM(Innings!D:D)=TRIM(E1049)),0))</f>
        <v>8.94</v>
      </c>
      <c r="AB1049" cm="1">
        <f t="array" ref="AB1049">INDEX(Innings!J:J,MATCH(1,(TRIM(Innings!A:A)=TRIM(A1049))*(TRIM(Innings!D:D)=TRIM(E1049)),0))</f>
        <v>57</v>
      </c>
      <c r="AC1049" cm="1">
        <f t="array" ref="AC1049">INDEX(Innings!N:N,MATCH(1,(TRIM(Innings!A:A)=TRIM(A1049))*(TRIM(Innings!D:D)=TRIM(E1049)),0))</f>
        <v>7</v>
      </c>
      <c r="AD1049" cm="1">
        <f t="array" ref="AD1049">INDEX(Innings!S:S,MATCH(1,(TRIM(Innings!A:A)=TRIM(A1049))*(TRIM(Innings!D:D)=TRIM(E1049)),0))</f>
        <v>30</v>
      </c>
      <c r="AE1049" t="str" cm="1">
        <f t="array" ref="AE1049">INDEX(Innings!W:W,MATCH(1,(TRIM(Innings!A:A)=TRIM(A1049))*(TRIM(Innings!D:D)=TRIM(E1049)),0))</f>
        <v>Successful</v>
      </c>
      <c r="AF1049">
        <f>IF(UPPER(TRIM(E1049))=UPPER(TRIM(W1049)),1,0)</f>
        <v>1</v>
      </c>
      <c r="AG1049">
        <f t="shared" si="32"/>
        <v>28.1</v>
      </c>
    </row>
    <row r="1050" spans="1:33" x14ac:dyDescent="0.3">
      <c r="A1050" t="s">
        <v>465</v>
      </c>
      <c r="B1050">
        <v>3</v>
      </c>
      <c r="C1050" t="s">
        <v>490</v>
      </c>
      <c r="D1050" t="s">
        <v>497</v>
      </c>
      <c r="E1050" t="s">
        <v>159</v>
      </c>
      <c r="F1050" t="s">
        <v>169</v>
      </c>
      <c r="G1050" t="s">
        <v>104</v>
      </c>
      <c r="H1050">
        <v>0</v>
      </c>
      <c r="I1050">
        <v>0</v>
      </c>
      <c r="J1050">
        <v>0</v>
      </c>
      <c r="K1050" t="s">
        <v>104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 s="8">
        <v>0</v>
      </c>
      <c r="V1050" s="8">
        <f t="shared" si="33"/>
        <v>0</v>
      </c>
      <c r="W1050" t="str">
        <f>_xlfn.XLOOKUP(A1050, Matches!A:A, Matches!L:L, "NA", 0)</f>
        <v>RCBW</v>
      </c>
      <c r="X1050" t="str">
        <f>_xlfn.XLOOKUP(A1050, Matches!A:A, Matches!J:J, "NA", 0)</f>
        <v>RCBW</v>
      </c>
      <c r="Y1050" t="str">
        <f>_xlfn.XLOOKUP(A1050, Matches!A:A, Matches!F:F, "NA", 0)</f>
        <v>BCA Stadium, Kotambi</v>
      </c>
      <c r="Z1050" cm="1">
        <f t="array" ref="Z1050">INDEX(Innings!F:F,MATCH(1,(TRIM(Innings!A:A)=TRIM(A1050))*(TRIM(Innings!D:D)=TRIM(E1050)),0))</f>
        <v>146</v>
      </c>
      <c r="AA1050" cm="1">
        <f t="array" ref="AA1050">INDEX(Innings!I:I,MATCH(1,(TRIM(Innings!A:A)=TRIM(A1050))*(TRIM(Innings!D:D)=TRIM(E1050)),0))</f>
        <v>8.94</v>
      </c>
      <c r="AB1050" cm="1">
        <f t="array" ref="AB1050">INDEX(Innings!J:J,MATCH(1,(TRIM(Innings!A:A)=TRIM(A1050))*(TRIM(Innings!D:D)=TRIM(E1050)),0))</f>
        <v>57</v>
      </c>
      <c r="AC1050" cm="1">
        <f t="array" ref="AC1050">INDEX(Innings!N:N,MATCH(1,(TRIM(Innings!A:A)=TRIM(A1050))*(TRIM(Innings!D:D)=TRIM(E1050)),0))</f>
        <v>7</v>
      </c>
      <c r="AD1050" cm="1">
        <f t="array" ref="AD1050">INDEX(Innings!S:S,MATCH(1,(TRIM(Innings!A:A)=TRIM(A1050))*(TRIM(Innings!D:D)=TRIM(E1050)),0))</f>
        <v>30</v>
      </c>
      <c r="AE1050" t="str" cm="1">
        <f t="array" ref="AE1050">INDEX(Innings!W:W,MATCH(1,(TRIM(Innings!A:A)=TRIM(A1050))*(TRIM(Innings!D:D)=TRIM(E1050)),0))</f>
        <v>Successful</v>
      </c>
      <c r="AF1050">
        <f>IF(UPPER(TRIM(E1050))=UPPER(TRIM(W1050)),1,0)</f>
        <v>1</v>
      </c>
      <c r="AG1050">
        <f t="shared" si="32"/>
        <v>20</v>
      </c>
    </row>
    <row r="1051" spans="1:33" x14ac:dyDescent="0.3">
      <c r="A1051" t="s">
        <v>465</v>
      </c>
      <c r="B1051">
        <v>3</v>
      </c>
      <c r="C1051" t="s">
        <v>178</v>
      </c>
      <c r="D1051" t="s">
        <v>179</v>
      </c>
      <c r="E1051" t="s">
        <v>159</v>
      </c>
      <c r="F1051" t="s">
        <v>169</v>
      </c>
      <c r="G1051" t="s">
        <v>104</v>
      </c>
      <c r="H1051">
        <v>0</v>
      </c>
      <c r="I1051">
        <v>0</v>
      </c>
      <c r="J1051">
        <v>0</v>
      </c>
      <c r="K1051" t="s">
        <v>104</v>
      </c>
      <c r="L1051">
        <v>0</v>
      </c>
      <c r="M1051">
        <v>2</v>
      </c>
      <c r="N1051">
        <v>0</v>
      </c>
      <c r="O1051">
        <v>13</v>
      </c>
      <c r="P1051">
        <v>0</v>
      </c>
      <c r="Q1051">
        <v>6.5</v>
      </c>
      <c r="R1051">
        <v>0</v>
      </c>
      <c r="S1051">
        <v>0</v>
      </c>
      <c r="T1051">
        <v>0</v>
      </c>
      <c r="U1051" s="8">
        <v>0</v>
      </c>
      <c r="V1051" s="8">
        <f t="shared" si="33"/>
        <v>0</v>
      </c>
      <c r="W1051" t="str">
        <f>_xlfn.XLOOKUP(A1051, Matches!A:A, Matches!L:L, "NA", 0)</f>
        <v>RCBW</v>
      </c>
      <c r="X1051" t="str">
        <f>_xlfn.XLOOKUP(A1051, Matches!A:A, Matches!J:J, "NA", 0)</f>
        <v>RCBW</v>
      </c>
      <c r="Y1051" t="str">
        <f>_xlfn.XLOOKUP(A1051, Matches!A:A, Matches!F:F, "NA", 0)</f>
        <v>BCA Stadium, Kotambi</v>
      </c>
      <c r="Z1051" cm="1">
        <f t="array" ref="Z1051">INDEX(Innings!F:F,MATCH(1,(TRIM(Innings!A:A)=TRIM(A1051))*(TRIM(Innings!D:D)=TRIM(E1051)),0))</f>
        <v>146</v>
      </c>
      <c r="AA1051" cm="1">
        <f t="array" ref="AA1051">INDEX(Innings!I:I,MATCH(1,(TRIM(Innings!A:A)=TRIM(A1051))*(TRIM(Innings!D:D)=TRIM(E1051)),0))</f>
        <v>8.94</v>
      </c>
      <c r="AB1051" cm="1">
        <f t="array" ref="AB1051">INDEX(Innings!J:J,MATCH(1,(TRIM(Innings!A:A)=TRIM(A1051))*(TRIM(Innings!D:D)=TRIM(E1051)),0))</f>
        <v>57</v>
      </c>
      <c r="AC1051" cm="1">
        <f t="array" ref="AC1051">INDEX(Innings!N:N,MATCH(1,(TRIM(Innings!A:A)=TRIM(A1051))*(TRIM(Innings!D:D)=TRIM(E1051)),0))</f>
        <v>7</v>
      </c>
      <c r="AD1051" cm="1">
        <f t="array" ref="AD1051">INDEX(Innings!S:S,MATCH(1,(TRIM(Innings!A:A)=TRIM(A1051))*(TRIM(Innings!D:D)=TRIM(E1051)),0))</f>
        <v>30</v>
      </c>
      <c r="AE1051" t="str" cm="1">
        <f t="array" ref="AE1051">INDEX(Innings!W:W,MATCH(1,(TRIM(Innings!A:A)=TRIM(A1051))*(TRIM(Innings!D:D)=TRIM(E1051)),0))</f>
        <v>Successful</v>
      </c>
      <c r="AF1051">
        <f>IF(UPPER(TRIM(E1051))=UPPER(TRIM(W1051)),1,0)</f>
        <v>1</v>
      </c>
      <c r="AG1051">
        <f t="shared" si="32"/>
        <v>20</v>
      </c>
    </row>
    <row r="1052" spans="1:33" x14ac:dyDescent="0.3">
      <c r="A1052" t="s">
        <v>465</v>
      </c>
      <c r="B1052">
        <v>3</v>
      </c>
      <c r="C1052" t="s">
        <v>99</v>
      </c>
      <c r="D1052" t="s">
        <v>124</v>
      </c>
      <c r="E1052" t="s">
        <v>159</v>
      </c>
      <c r="F1052" t="s">
        <v>169</v>
      </c>
      <c r="G1052" t="s">
        <v>104</v>
      </c>
      <c r="H1052">
        <v>0</v>
      </c>
      <c r="I1052">
        <v>0</v>
      </c>
      <c r="J1052">
        <v>0</v>
      </c>
      <c r="K1052" t="s">
        <v>104</v>
      </c>
      <c r="L1052">
        <v>0</v>
      </c>
      <c r="M1052">
        <v>4</v>
      </c>
      <c r="N1052">
        <v>0</v>
      </c>
      <c r="O1052">
        <v>25</v>
      </c>
      <c r="P1052">
        <v>3</v>
      </c>
      <c r="Q1052">
        <v>6.2</v>
      </c>
      <c r="R1052">
        <v>75</v>
      </c>
      <c r="S1052">
        <v>0</v>
      </c>
      <c r="T1052">
        <v>0</v>
      </c>
      <c r="U1052" s="8">
        <v>75</v>
      </c>
      <c r="V1052" s="8">
        <f t="shared" si="33"/>
        <v>8</v>
      </c>
      <c r="W1052" t="str">
        <f>_xlfn.XLOOKUP(A1052, Matches!A:A, Matches!L:L, "NA", 0)</f>
        <v>RCBW</v>
      </c>
      <c r="X1052" t="str">
        <f>_xlfn.XLOOKUP(A1052, Matches!A:A, Matches!J:J, "NA", 0)</f>
        <v>RCBW</v>
      </c>
      <c r="Y1052" t="str">
        <f>_xlfn.XLOOKUP(A1052, Matches!A:A, Matches!F:F, "NA", 0)</f>
        <v>BCA Stadium, Kotambi</v>
      </c>
      <c r="Z1052" cm="1">
        <f t="array" ref="Z1052">INDEX(Innings!F:F,MATCH(1,(TRIM(Innings!A:A)=TRIM(A1052))*(TRIM(Innings!D:D)=TRIM(E1052)),0))</f>
        <v>146</v>
      </c>
      <c r="AA1052" cm="1">
        <f t="array" ref="AA1052">INDEX(Innings!I:I,MATCH(1,(TRIM(Innings!A:A)=TRIM(A1052))*(TRIM(Innings!D:D)=TRIM(E1052)),0))</f>
        <v>8.94</v>
      </c>
      <c r="AB1052" cm="1">
        <f t="array" ref="AB1052">INDEX(Innings!J:J,MATCH(1,(TRIM(Innings!A:A)=TRIM(A1052))*(TRIM(Innings!D:D)=TRIM(E1052)),0))</f>
        <v>57</v>
      </c>
      <c r="AC1052" cm="1">
        <f t="array" ref="AC1052">INDEX(Innings!N:N,MATCH(1,(TRIM(Innings!A:A)=TRIM(A1052))*(TRIM(Innings!D:D)=TRIM(E1052)),0))</f>
        <v>7</v>
      </c>
      <c r="AD1052" cm="1">
        <f t="array" ref="AD1052">INDEX(Innings!S:S,MATCH(1,(TRIM(Innings!A:A)=TRIM(A1052))*(TRIM(Innings!D:D)=TRIM(E1052)),0))</f>
        <v>30</v>
      </c>
      <c r="AE1052" t="str" cm="1">
        <f t="array" ref="AE1052">INDEX(Innings!W:W,MATCH(1,(TRIM(Innings!A:A)=TRIM(A1052))*(TRIM(Innings!D:D)=TRIM(E1052)),0))</f>
        <v>Successful</v>
      </c>
      <c r="AF1052">
        <f>IF(UPPER(TRIM(E1052))=UPPER(TRIM(W1052)),1,0)</f>
        <v>1</v>
      </c>
      <c r="AG1052">
        <f t="shared" si="32"/>
        <v>59.9</v>
      </c>
    </row>
    <row r="1053" spans="1:33" x14ac:dyDescent="0.3">
      <c r="A1053" t="s">
        <v>465</v>
      </c>
      <c r="B1053">
        <v>3</v>
      </c>
      <c r="C1053" t="s">
        <v>242</v>
      </c>
      <c r="D1053" t="s">
        <v>244</v>
      </c>
      <c r="E1053" t="s">
        <v>159</v>
      </c>
      <c r="F1053" t="s">
        <v>101</v>
      </c>
      <c r="G1053" t="s">
        <v>104</v>
      </c>
      <c r="H1053">
        <v>0</v>
      </c>
      <c r="I1053">
        <v>0</v>
      </c>
      <c r="J1053">
        <v>0</v>
      </c>
      <c r="K1053" t="s">
        <v>104</v>
      </c>
      <c r="L1053">
        <v>0</v>
      </c>
      <c r="M1053">
        <v>3.3</v>
      </c>
      <c r="N1053">
        <v>0</v>
      </c>
      <c r="O1053">
        <v>19</v>
      </c>
      <c r="P1053">
        <v>2</v>
      </c>
      <c r="Q1053">
        <v>5.4</v>
      </c>
      <c r="R1053">
        <v>50</v>
      </c>
      <c r="S1053">
        <v>0</v>
      </c>
      <c r="T1053">
        <v>0</v>
      </c>
      <c r="U1053" s="8">
        <v>50</v>
      </c>
      <c r="V1053" s="8">
        <f t="shared" si="33"/>
        <v>5</v>
      </c>
      <c r="W1053" t="str">
        <f>_xlfn.XLOOKUP(A1053, Matches!A:A, Matches!L:L, "NA", 0)</f>
        <v>RCBW</v>
      </c>
      <c r="X1053" t="str">
        <f>_xlfn.XLOOKUP(A1053, Matches!A:A, Matches!J:J, "NA", 0)</f>
        <v>RCBW</v>
      </c>
      <c r="Y1053" t="str">
        <f>_xlfn.XLOOKUP(A1053, Matches!A:A, Matches!F:F, "NA", 0)</f>
        <v>BCA Stadium, Kotambi</v>
      </c>
      <c r="Z1053" cm="1">
        <f t="array" ref="Z1053">INDEX(Innings!F:F,MATCH(1,(TRIM(Innings!A:A)=TRIM(A1053))*(TRIM(Innings!D:D)=TRIM(E1053)),0))</f>
        <v>146</v>
      </c>
      <c r="AA1053" cm="1">
        <f t="array" ref="AA1053">INDEX(Innings!I:I,MATCH(1,(TRIM(Innings!A:A)=TRIM(A1053))*(TRIM(Innings!D:D)=TRIM(E1053)),0))</f>
        <v>8.94</v>
      </c>
      <c r="AB1053" cm="1">
        <f t="array" ref="AB1053">INDEX(Innings!J:J,MATCH(1,(TRIM(Innings!A:A)=TRIM(A1053))*(TRIM(Innings!D:D)=TRIM(E1053)),0))</f>
        <v>57</v>
      </c>
      <c r="AC1053" cm="1">
        <f t="array" ref="AC1053">INDEX(Innings!N:N,MATCH(1,(TRIM(Innings!A:A)=TRIM(A1053))*(TRIM(Innings!D:D)=TRIM(E1053)),0))</f>
        <v>7</v>
      </c>
      <c r="AD1053" cm="1">
        <f t="array" ref="AD1053">INDEX(Innings!S:S,MATCH(1,(TRIM(Innings!A:A)=TRIM(A1053))*(TRIM(Innings!D:D)=TRIM(E1053)),0))</f>
        <v>30</v>
      </c>
      <c r="AE1053" t="str" cm="1">
        <f t="array" ref="AE1053">INDEX(Innings!W:W,MATCH(1,(TRIM(Innings!A:A)=TRIM(A1053))*(TRIM(Innings!D:D)=TRIM(E1053)),0))</f>
        <v>Successful</v>
      </c>
      <c r="AF1053">
        <f>IF(UPPER(TRIM(E1053))=UPPER(TRIM(W1053)),1,0)</f>
        <v>1</v>
      </c>
      <c r="AG1053">
        <f t="shared" si="32"/>
        <v>46.5</v>
      </c>
    </row>
    <row r="1054" spans="1:33" x14ac:dyDescent="0.3">
      <c r="A1054" t="s">
        <v>465</v>
      </c>
      <c r="B1054">
        <v>3</v>
      </c>
      <c r="C1054" t="s">
        <v>429</v>
      </c>
      <c r="D1054" t="s">
        <v>430</v>
      </c>
      <c r="E1054" t="s">
        <v>159</v>
      </c>
      <c r="F1054" t="s">
        <v>101</v>
      </c>
      <c r="G1054" t="s">
        <v>104</v>
      </c>
      <c r="H1054">
        <v>0</v>
      </c>
      <c r="I1054">
        <v>0</v>
      </c>
      <c r="J1054">
        <v>0</v>
      </c>
      <c r="K1054" t="s">
        <v>104</v>
      </c>
      <c r="L1054">
        <v>0</v>
      </c>
      <c r="M1054">
        <v>4</v>
      </c>
      <c r="N1054">
        <v>0</v>
      </c>
      <c r="O1054">
        <v>35</v>
      </c>
      <c r="P1054">
        <v>2</v>
      </c>
      <c r="Q1054">
        <v>8.8000000000000007</v>
      </c>
      <c r="R1054">
        <v>50</v>
      </c>
      <c r="S1054">
        <v>0</v>
      </c>
      <c r="T1054">
        <v>0</v>
      </c>
      <c r="U1054" s="8">
        <v>50</v>
      </c>
      <c r="V1054" s="8">
        <f t="shared" si="33"/>
        <v>5</v>
      </c>
      <c r="W1054" t="str">
        <f>_xlfn.XLOOKUP(A1054, Matches!A:A, Matches!L:L, "NA", 0)</f>
        <v>RCBW</v>
      </c>
      <c r="X1054" t="str">
        <f>_xlfn.XLOOKUP(A1054, Matches!A:A, Matches!J:J, "NA", 0)</f>
        <v>RCBW</v>
      </c>
      <c r="Y1054" t="str">
        <f>_xlfn.XLOOKUP(A1054, Matches!A:A, Matches!F:F, "NA", 0)</f>
        <v>BCA Stadium, Kotambi</v>
      </c>
      <c r="Z1054" cm="1">
        <f t="array" ref="Z1054">INDEX(Innings!F:F,MATCH(1,(TRIM(Innings!A:A)=TRIM(A1054))*(TRIM(Innings!D:D)=TRIM(E1054)),0))</f>
        <v>146</v>
      </c>
      <c r="AA1054" cm="1">
        <f t="array" ref="AA1054">INDEX(Innings!I:I,MATCH(1,(TRIM(Innings!A:A)=TRIM(A1054))*(TRIM(Innings!D:D)=TRIM(E1054)),0))</f>
        <v>8.94</v>
      </c>
      <c r="AB1054" cm="1">
        <f t="array" ref="AB1054">INDEX(Innings!J:J,MATCH(1,(TRIM(Innings!A:A)=TRIM(A1054))*(TRIM(Innings!D:D)=TRIM(E1054)),0))</f>
        <v>57</v>
      </c>
      <c r="AC1054" cm="1">
        <f t="array" ref="AC1054">INDEX(Innings!N:N,MATCH(1,(TRIM(Innings!A:A)=TRIM(A1054))*(TRIM(Innings!D:D)=TRIM(E1054)),0))</f>
        <v>7</v>
      </c>
      <c r="AD1054" cm="1">
        <f t="array" ref="AD1054">INDEX(Innings!S:S,MATCH(1,(TRIM(Innings!A:A)=TRIM(A1054))*(TRIM(Innings!D:D)=TRIM(E1054)),0))</f>
        <v>30</v>
      </c>
      <c r="AE1054" t="str" cm="1">
        <f t="array" ref="AE1054">INDEX(Innings!W:W,MATCH(1,(TRIM(Innings!A:A)=TRIM(A1054))*(TRIM(Innings!D:D)=TRIM(E1054)),0))</f>
        <v>Successful</v>
      </c>
      <c r="AF1054">
        <f>IF(UPPER(TRIM(E1054))=UPPER(TRIM(W1054)),1,0)</f>
        <v>1</v>
      </c>
      <c r="AG1054">
        <f t="shared" si="32"/>
        <v>46.5</v>
      </c>
    </row>
    <row r="1055" spans="1:33" x14ac:dyDescent="0.3">
      <c r="A1055" t="s">
        <v>465</v>
      </c>
      <c r="B1055">
        <v>3</v>
      </c>
      <c r="C1055" t="s">
        <v>492</v>
      </c>
      <c r="D1055" t="s">
        <v>499</v>
      </c>
      <c r="E1055" t="s">
        <v>159</v>
      </c>
      <c r="F1055" t="s">
        <v>169</v>
      </c>
      <c r="G1055" t="s">
        <v>104</v>
      </c>
      <c r="H1055">
        <v>0</v>
      </c>
      <c r="I1055">
        <v>0</v>
      </c>
      <c r="J1055">
        <v>0</v>
      </c>
      <c r="K1055" t="s">
        <v>104</v>
      </c>
      <c r="L1055">
        <v>0</v>
      </c>
      <c r="M1055">
        <v>2</v>
      </c>
      <c r="N1055">
        <v>0</v>
      </c>
      <c r="O1055">
        <v>21</v>
      </c>
      <c r="P1055">
        <v>0</v>
      </c>
      <c r="Q1055">
        <v>10.5</v>
      </c>
      <c r="R1055">
        <v>0</v>
      </c>
      <c r="S1055">
        <v>0</v>
      </c>
      <c r="T1055">
        <v>0</v>
      </c>
      <c r="U1055" s="8">
        <v>0</v>
      </c>
      <c r="V1055" s="8">
        <f t="shared" si="33"/>
        <v>0</v>
      </c>
      <c r="W1055" t="str">
        <f>_xlfn.XLOOKUP(A1055, Matches!A:A, Matches!L:L, "NA", 0)</f>
        <v>RCBW</v>
      </c>
      <c r="X1055" t="str">
        <f>_xlfn.XLOOKUP(A1055, Matches!A:A, Matches!J:J, "NA", 0)</f>
        <v>RCBW</v>
      </c>
      <c r="Y1055" t="str">
        <f>_xlfn.XLOOKUP(A1055, Matches!A:A, Matches!F:F, "NA", 0)</f>
        <v>BCA Stadium, Kotambi</v>
      </c>
      <c r="Z1055" cm="1">
        <f t="array" ref="Z1055">INDEX(Innings!F:F,MATCH(1,(TRIM(Innings!A:A)=TRIM(A1055))*(TRIM(Innings!D:D)=TRIM(E1055)),0))</f>
        <v>146</v>
      </c>
      <c r="AA1055" cm="1">
        <f t="array" ref="AA1055">INDEX(Innings!I:I,MATCH(1,(TRIM(Innings!A:A)=TRIM(A1055))*(TRIM(Innings!D:D)=TRIM(E1055)),0))</f>
        <v>8.94</v>
      </c>
      <c r="AB1055" cm="1">
        <f t="array" ref="AB1055">INDEX(Innings!J:J,MATCH(1,(TRIM(Innings!A:A)=TRIM(A1055))*(TRIM(Innings!D:D)=TRIM(E1055)),0))</f>
        <v>57</v>
      </c>
      <c r="AC1055" cm="1">
        <f t="array" ref="AC1055">INDEX(Innings!N:N,MATCH(1,(TRIM(Innings!A:A)=TRIM(A1055))*(TRIM(Innings!D:D)=TRIM(E1055)),0))</f>
        <v>7</v>
      </c>
      <c r="AD1055" cm="1">
        <f t="array" ref="AD1055">INDEX(Innings!S:S,MATCH(1,(TRIM(Innings!A:A)=TRIM(A1055))*(TRIM(Innings!D:D)=TRIM(E1055)),0))</f>
        <v>30</v>
      </c>
      <c r="AE1055" t="str" cm="1">
        <f t="array" ref="AE1055">INDEX(Innings!W:W,MATCH(1,(TRIM(Innings!A:A)=TRIM(A1055))*(TRIM(Innings!D:D)=TRIM(E1055)),0))</f>
        <v>Successful</v>
      </c>
      <c r="AF1055">
        <f>IF(UPPER(TRIM(E1055))=UPPER(TRIM(W1055)),1,0)</f>
        <v>1</v>
      </c>
      <c r="AG1055">
        <f t="shared" si="32"/>
        <v>20</v>
      </c>
    </row>
    <row r="1056" spans="1:33" x14ac:dyDescent="0.3">
      <c r="A1056" t="s">
        <v>465</v>
      </c>
      <c r="B1056">
        <v>3</v>
      </c>
      <c r="C1056" t="s">
        <v>186</v>
      </c>
      <c r="D1056" t="s">
        <v>187</v>
      </c>
      <c r="E1056" t="s">
        <v>159</v>
      </c>
      <c r="F1056" t="s">
        <v>101</v>
      </c>
      <c r="G1056" t="s">
        <v>104</v>
      </c>
      <c r="H1056">
        <v>0</v>
      </c>
      <c r="I1056">
        <v>0</v>
      </c>
      <c r="J1056">
        <v>0</v>
      </c>
      <c r="K1056" t="s">
        <v>104</v>
      </c>
      <c r="L1056">
        <v>0</v>
      </c>
      <c r="M1056">
        <v>4</v>
      </c>
      <c r="N1056">
        <v>0</v>
      </c>
      <c r="O1056">
        <v>23</v>
      </c>
      <c r="P1056">
        <v>3</v>
      </c>
      <c r="Q1056">
        <v>5.8</v>
      </c>
      <c r="R1056">
        <v>75</v>
      </c>
      <c r="S1056">
        <v>0</v>
      </c>
      <c r="T1056">
        <v>0</v>
      </c>
      <c r="U1056" s="8">
        <v>75</v>
      </c>
      <c r="V1056" s="8">
        <f t="shared" si="33"/>
        <v>8</v>
      </c>
      <c r="W1056" t="str">
        <f>_xlfn.XLOOKUP(A1056, Matches!A:A, Matches!L:L, "NA", 0)</f>
        <v>RCBW</v>
      </c>
      <c r="X1056" t="str">
        <f>_xlfn.XLOOKUP(A1056, Matches!A:A, Matches!J:J, "NA", 0)</f>
        <v>RCBW</v>
      </c>
      <c r="Y1056" t="str">
        <f>_xlfn.XLOOKUP(A1056, Matches!A:A, Matches!F:F, "NA", 0)</f>
        <v>BCA Stadium, Kotambi</v>
      </c>
      <c r="Z1056" cm="1">
        <f t="array" ref="Z1056">INDEX(Innings!F:F,MATCH(1,(TRIM(Innings!A:A)=TRIM(A1056))*(TRIM(Innings!D:D)=TRIM(E1056)),0))</f>
        <v>146</v>
      </c>
      <c r="AA1056" cm="1">
        <f t="array" ref="AA1056">INDEX(Innings!I:I,MATCH(1,(TRIM(Innings!A:A)=TRIM(A1056))*(TRIM(Innings!D:D)=TRIM(E1056)),0))</f>
        <v>8.94</v>
      </c>
      <c r="AB1056" cm="1">
        <f t="array" ref="AB1056">INDEX(Innings!J:J,MATCH(1,(TRIM(Innings!A:A)=TRIM(A1056))*(TRIM(Innings!D:D)=TRIM(E1056)),0))</f>
        <v>57</v>
      </c>
      <c r="AC1056" cm="1">
        <f t="array" ref="AC1056">INDEX(Innings!N:N,MATCH(1,(TRIM(Innings!A:A)=TRIM(A1056))*(TRIM(Innings!D:D)=TRIM(E1056)),0))</f>
        <v>7</v>
      </c>
      <c r="AD1056" cm="1">
        <f t="array" ref="AD1056">INDEX(Innings!S:S,MATCH(1,(TRIM(Innings!A:A)=TRIM(A1056))*(TRIM(Innings!D:D)=TRIM(E1056)),0))</f>
        <v>30</v>
      </c>
      <c r="AE1056" t="str" cm="1">
        <f t="array" ref="AE1056">INDEX(Innings!W:W,MATCH(1,(TRIM(Innings!A:A)=TRIM(A1056))*(TRIM(Innings!D:D)=TRIM(E1056)),0))</f>
        <v>Successful</v>
      </c>
      <c r="AF1056">
        <f>IF(UPPER(TRIM(E1056))=UPPER(TRIM(W1056)),1,0)</f>
        <v>1</v>
      </c>
      <c r="AG1056">
        <f t="shared" si="32"/>
        <v>59.9</v>
      </c>
    </row>
    <row r="1057" spans="1:33" x14ac:dyDescent="0.3">
      <c r="A1057" t="s">
        <v>466</v>
      </c>
      <c r="B1057">
        <v>3</v>
      </c>
      <c r="C1057" t="s">
        <v>81</v>
      </c>
      <c r="D1057" t="s">
        <v>114</v>
      </c>
      <c r="E1057" t="s">
        <v>258</v>
      </c>
      <c r="F1057" t="s">
        <v>85</v>
      </c>
      <c r="G1057" t="s">
        <v>86</v>
      </c>
      <c r="H1057">
        <v>1</v>
      </c>
      <c r="I1057">
        <v>3</v>
      </c>
      <c r="J1057">
        <v>33.33</v>
      </c>
      <c r="K1057" t="s">
        <v>246</v>
      </c>
      <c r="L1057">
        <v>2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 s="8">
        <v>2</v>
      </c>
      <c r="V1057" s="8">
        <f t="shared" si="33"/>
        <v>0</v>
      </c>
      <c r="W1057" t="str">
        <f>_xlfn.XLOOKUP(A1057, Matches!A:A, Matches!L:L, "NA", 0)</f>
        <v>MIW</v>
      </c>
      <c r="X1057" t="str">
        <f>_xlfn.XLOOKUP(A1057, Matches!A:A, Matches!J:J, "NA", 0)</f>
        <v>MIW</v>
      </c>
      <c r="Y1057" t="str">
        <f>_xlfn.XLOOKUP(A1057, Matches!A:A, Matches!F:F, "NA", 0)</f>
        <v>BCA Stadium, Kotambi</v>
      </c>
      <c r="Z1057" cm="1">
        <f t="array" ref="Z1057">INDEX(Innings!F:F,MATCH(1,(TRIM(Innings!A:A)=TRIM(A1057))*(TRIM(Innings!D:D)=TRIM(E1057)),0))</f>
        <v>120</v>
      </c>
      <c r="AA1057" cm="1">
        <f t="array" ref="AA1057">INDEX(Innings!I:I,MATCH(1,(TRIM(Innings!A:A)=TRIM(A1057))*(TRIM(Innings!D:D)=TRIM(E1057)),0))</f>
        <v>6</v>
      </c>
      <c r="AB1057" cm="1">
        <f t="array" ref="AB1057">INDEX(Innings!J:J,MATCH(1,(TRIM(Innings!A:A)=TRIM(A1057))*(TRIM(Innings!D:D)=TRIM(E1057)),0))</f>
        <v>28</v>
      </c>
      <c r="AC1057" cm="1">
        <f t="array" ref="AC1057">INDEX(Innings!N:N,MATCH(1,(TRIM(Innings!A:A)=TRIM(A1057))*(TRIM(Innings!D:D)=TRIM(E1057)),0))</f>
        <v>23</v>
      </c>
      <c r="AD1057" cm="1">
        <f t="array" ref="AD1057">INDEX(Innings!S:S,MATCH(1,(TRIM(Innings!A:A)=TRIM(A1057))*(TRIM(Innings!D:D)=TRIM(E1057)),0))</f>
        <v>47</v>
      </c>
      <c r="AE1057" t="str" cm="1">
        <f t="array" ref="AE1057">INDEX(Innings!W:W,MATCH(1,(TRIM(Innings!A:A)=TRIM(A1057))*(TRIM(Innings!D:D)=TRIM(E1057)),0))</f>
        <v>NA</v>
      </c>
      <c r="AF1057">
        <f>IF(UPPER(TRIM(E1057))=UPPER(TRIM(W1057)),1,0)</f>
        <v>0</v>
      </c>
      <c r="AG1057">
        <f t="shared" si="32"/>
        <v>1</v>
      </c>
    </row>
    <row r="1058" spans="1:33" x14ac:dyDescent="0.3">
      <c r="A1058" t="s">
        <v>466</v>
      </c>
      <c r="B1058">
        <v>3</v>
      </c>
      <c r="C1058" t="s">
        <v>278</v>
      </c>
      <c r="D1058" t="s">
        <v>293</v>
      </c>
      <c r="E1058" t="s">
        <v>258</v>
      </c>
      <c r="F1058" t="s">
        <v>109</v>
      </c>
      <c r="G1058" t="s">
        <v>86</v>
      </c>
      <c r="H1058">
        <v>4</v>
      </c>
      <c r="I1058">
        <v>7</v>
      </c>
      <c r="J1058">
        <v>57.14</v>
      </c>
      <c r="K1058" t="s">
        <v>246</v>
      </c>
      <c r="L1058">
        <v>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 s="8">
        <v>3</v>
      </c>
      <c r="V1058" s="8">
        <f t="shared" si="33"/>
        <v>0</v>
      </c>
      <c r="W1058" t="str">
        <f>_xlfn.XLOOKUP(A1058, Matches!A:A, Matches!L:L, "NA", 0)</f>
        <v>MIW</v>
      </c>
      <c r="X1058" t="str">
        <f>_xlfn.XLOOKUP(A1058, Matches!A:A, Matches!J:J, "NA", 0)</f>
        <v>MIW</v>
      </c>
      <c r="Y1058" t="str">
        <f>_xlfn.XLOOKUP(A1058, Matches!A:A, Matches!F:F, "NA", 0)</f>
        <v>BCA Stadium, Kotambi</v>
      </c>
      <c r="Z1058" cm="1">
        <f t="array" ref="Z1058">INDEX(Innings!F:F,MATCH(1,(TRIM(Innings!A:A)=TRIM(A1058))*(TRIM(Innings!D:D)=TRIM(E1058)),0))</f>
        <v>120</v>
      </c>
      <c r="AA1058" cm="1">
        <f t="array" ref="AA1058">INDEX(Innings!I:I,MATCH(1,(TRIM(Innings!A:A)=TRIM(A1058))*(TRIM(Innings!D:D)=TRIM(E1058)),0))</f>
        <v>6</v>
      </c>
      <c r="AB1058" cm="1">
        <f t="array" ref="AB1058">INDEX(Innings!J:J,MATCH(1,(TRIM(Innings!A:A)=TRIM(A1058))*(TRIM(Innings!D:D)=TRIM(E1058)),0))</f>
        <v>28</v>
      </c>
      <c r="AC1058" cm="1">
        <f t="array" ref="AC1058">INDEX(Innings!N:N,MATCH(1,(TRIM(Innings!A:A)=TRIM(A1058))*(TRIM(Innings!D:D)=TRIM(E1058)),0))</f>
        <v>23</v>
      </c>
      <c r="AD1058" cm="1">
        <f t="array" ref="AD1058">INDEX(Innings!S:S,MATCH(1,(TRIM(Innings!A:A)=TRIM(A1058))*(TRIM(Innings!D:D)=TRIM(E1058)),0))</f>
        <v>47</v>
      </c>
      <c r="AE1058" t="str" cm="1">
        <f t="array" ref="AE1058">INDEX(Innings!W:W,MATCH(1,(TRIM(Innings!A:A)=TRIM(A1058))*(TRIM(Innings!D:D)=TRIM(E1058)),0))</f>
        <v>NA</v>
      </c>
      <c r="AF1058">
        <f>IF(UPPER(TRIM(E1058))=UPPER(TRIM(W1058)),1,0)</f>
        <v>0</v>
      </c>
      <c r="AG1058">
        <f t="shared" si="32"/>
        <v>1.5</v>
      </c>
    </row>
    <row r="1059" spans="1:33" x14ac:dyDescent="0.3">
      <c r="A1059" t="s">
        <v>466</v>
      </c>
      <c r="B1059">
        <v>3</v>
      </c>
      <c r="C1059" t="s">
        <v>97</v>
      </c>
      <c r="D1059" t="s">
        <v>122</v>
      </c>
      <c r="E1059" t="s">
        <v>258</v>
      </c>
      <c r="F1059" t="s">
        <v>109</v>
      </c>
      <c r="G1059" t="s">
        <v>92</v>
      </c>
      <c r="H1059">
        <v>9</v>
      </c>
      <c r="I1059">
        <v>11</v>
      </c>
      <c r="J1059">
        <v>81.819999999999993</v>
      </c>
      <c r="K1059" t="s">
        <v>246</v>
      </c>
      <c r="L1059">
        <v>8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 s="8">
        <v>8</v>
      </c>
      <c r="V1059" s="8">
        <f t="shared" si="33"/>
        <v>1</v>
      </c>
      <c r="W1059" t="str">
        <f>_xlfn.XLOOKUP(A1059, Matches!A:A, Matches!L:L, "NA", 0)</f>
        <v>MIW</v>
      </c>
      <c r="X1059" t="str">
        <f>_xlfn.XLOOKUP(A1059, Matches!A:A, Matches!J:J, "NA", 0)</f>
        <v>MIW</v>
      </c>
      <c r="Y1059" t="str">
        <f>_xlfn.XLOOKUP(A1059, Matches!A:A, Matches!F:F, "NA", 0)</f>
        <v>BCA Stadium, Kotambi</v>
      </c>
      <c r="Z1059" cm="1">
        <f t="array" ref="Z1059">INDEX(Innings!F:F,MATCH(1,(TRIM(Innings!A:A)=TRIM(A1059))*(TRIM(Innings!D:D)=TRIM(E1059)),0))</f>
        <v>120</v>
      </c>
      <c r="AA1059" cm="1">
        <f t="array" ref="AA1059">INDEX(Innings!I:I,MATCH(1,(TRIM(Innings!A:A)=TRIM(A1059))*(TRIM(Innings!D:D)=TRIM(E1059)),0))</f>
        <v>6</v>
      </c>
      <c r="AB1059" cm="1">
        <f t="array" ref="AB1059">INDEX(Innings!J:J,MATCH(1,(TRIM(Innings!A:A)=TRIM(A1059))*(TRIM(Innings!D:D)=TRIM(E1059)),0))</f>
        <v>28</v>
      </c>
      <c r="AC1059" cm="1">
        <f t="array" ref="AC1059">INDEX(Innings!N:N,MATCH(1,(TRIM(Innings!A:A)=TRIM(A1059))*(TRIM(Innings!D:D)=TRIM(E1059)),0))</f>
        <v>23</v>
      </c>
      <c r="AD1059" cm="1">
        <f t="array" ref="AD1059">INDEX(Innings!S:S,MATCH(1,(TRIM(Innings!A:A)=TRIM(A1059))*(TRIM(Innings!D:D)=TRIM(E1059)),0))</f>
        <v>47</v>
      </c>
      <c r="AE1059" t="str" cm="1">
        <f t="array" ref="AE1059">INDEX(Innings!W:W,MATCH(1,(TRIM(Innings!A:A)=TRIM(A1059))*(TRIM(Innings!D:D)=TRIM(E1059)),0))</f>
        <v>NA</v>
      </c>
      <c r="AF1059">
        <f>IF(UPPER(TRIM(E1059))=UPPER(TRIM(W1059)),1,0)</f>
        <v>0</v>
      </c>
      <c r="AG1059">
        <f t="shared" si="32"/>
        <v>4.3</v>
      </c>
    </row>
    <row r="1060" spans="1:33" x14ac:dyDescent="0.3">
      <c r="A1060" t="s">
        <v>466</v>
      </c>
      <c r="B1060">
        <v>3</v>
      </c>
      <c r="C1060" t="s">
        <v>93</v>
      </c>
      <c r="D1060" t="s">
        <v>118</v>
      </c>
      <c r="E1060" t="s">
        <v>258</v>
      </c>
      <c r="F1060" t="s">
        <v>169</v>
      </c>
      <c r="G1060" t="s">
        <v>134</v>
      </c>
      <c r="H1060">
        <v>10</v>
      </c>
      <c r="I1060">
        <v>10</v>
      </c>
      <c r="J1060">
        <v>100</v>
      </c>
      <c r="K1060" t="s">
        <v>246</v>
      </c>
      <c r="L1060">
        <v>12</v>
      </c>
      <c r="M1060">
        <v>3</v>
      </c>
      <c r="N1060">
        <v>0</v>
      </c>
      <c r="O1060">
        <v>21</v>
      </c>
      <c r="P1060">
        <v>0</v>
      </c>
      <c r="Q1060">
        <v>7</v>
      </c>
      <c r="R1060">
        <v>0</v>
      </c>
      <c r="S1060">
        <v>0</v>
      </c>
      <c r="T1060">
        <v>0</v>
      </c>
      <c r="U1060" s="8">
        <v>12</v>
      </c>
      <c r="V1060" s="8">
        <f t="shared" si="33"/>
        <v>1</v>
      </c>
      <c r="W1060" t="str">
        <f>_xlfn.XLOOKUP(A1060, Matches!A:A, Matches!L:L, "NA", 0)</f>
        <v>MIW</v>
      </c>
      <c r="X1060" t="str">
        <f>_xlfn.XLOOKUP(A1060, Matches!A:A, Matches!J:J, "NA", 0)</f>
        <v>MIW</v>
      </c>
      <c r="Y1060" t="str">
        <f>_xlfn.XLOOKUP(A1060, Matches!A:A, Matches!F:F, "NA", 0)</f>
        <v>BCA Stadium, Kotambi</v>
      </c>
      <c r="Z1060" cm="1">
        <f t="array" ref="Z1060">INDEX(Innings!F:F,MATCH(1,(TRIM(Innings!A:A)=TRIM(A1060))*(TRIM(Innings!D:D)=TRIM(E1060)),0))</f>
        <v>120</v>
      </c>
      <c r="AA1060" cm="1">
        <f t="array" ref="AA1060">INDEX(Innings!I:I,MATCH(1,(TRIM(Innings!A:A)=TRIM(A1060))*(TRIM(Innings!D:D)=TRIM(E1060)),0))</f>
        <v>6</v>
      </c>
      <c r="AB1060" cm="1">
        <f t="array" ref="AB1060">INDEX(Innings!J:J,MATCH(1,(TRIM(Innings!A:A)=TRIM(A1060))*(TRIM(Innings!D:D)=TRIM(E1060)),0))</f>
        <v>28</v>
      </c>
      <c r="AC1060" cm="1">
        <f t="array" ref="AC1060">INDEX(Innings!N:N,MATCH(1,(TRIM(Innings!A:A)=TRIM(A1060))*(TRIM(Innings!D:D)=TRIM(E1060)),0))</f>
        <v>23</v>
      </c>
      <c r="AD1060" cm="1">
        <f t="array" ref="AD1060">INDEX(Innings!S:S,MATCH(1,(TRIM(Innings!A:A)=TRIM(A1060))*(TRIM(Innings!D:D)=TRIM(E1060)),0))</f>
        <v>47</v>
      </c>
      <c r="AE1060" t="str" cm="1">
        <f t="array" ref="AE1060">INDEX(Innings!W:W,MATCH(1,(TRIM(Innings!A:A)=TRIM(A1060))*(TRIM(Innings!D:D)=TRIM(E1060)),0))</f>
        <v>NA</v>
      </c>
      <c r="AF1060">
        <f>IF(UPPER(TRIM(E1060))=UPPER(TRIM(W1060)),1,0)</f>
        <v>0</v>
      </c>
      <c r="AG1060">
        <f t="shared" si="32"/>
        <v>6.3</v>
      </c>
    </row>
    <row r="1061" spans="1:33" x14ac:dyDescent="0.3">
      <c r="A1061" t="s">
        <v>466</v>
      </c>
      <c r="B1061">
        <v>3</v>
      </c>
      <c r="C1061" t="s">
        <v>89</v>
      </c>
      <c r="D1061" t="s">
        <v>116</v>
      </c>
      <c r="E1061" t="s">
        <v>258</v>
      </c>
      <c r="F1061" t="s">
        <v>169</v>
      </c>
      <c r="G1061" t="s">
        <v>134</v>
      </c>
      <c r="H1061">
        <v>32</v>
      </c>
      <c r="I1061">
        <v>31</v>
      </c>
      <c r="J1061">
        <v>103.23</v>
      </c>
      <c r="K1061" t="s">
        <v>246</v>
      </c>
      <c r="L1061">
        <v>35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 s="8">
        <v>35</v>
      </c>
      <c r="V1061" s="8">
        <f t="shared" si="33"/>
        <v>4</v>
      </c>
      <c r="W1061" t="str">
        <f>_xlfn.XLOOKUP(A1061, Matches!A:A, Matches!L:L, "NA", 0)</f>
        <v>MIW</v>
      </c>
      <c r="X1061" t="str">
        <f>_xlfn.XLOOKUP(A1061, Matches!A:A, Matches!J:J, "NA", 0)</f>
        <v>MIW</v>
      </c>
      <c r="Y1061" t="str">
        <f>_xlfn.XLOOKUP(A1061, Matches!A:A, Matches!F:F, "NA", 0)</f>
        <v>BCA Stadium, Kotambi</v>
      </c>
      <c r="Z1061" cm="1">
        <f t="array" ref="Z1061">INDEX(Innings!F:F,MATCH(1,(TRIM(Innings!A:A)=TRIM(A1061))*(TRIM(Innings!D:D)=TRIM(E1061)),0))</f>
        <v>120</v>
      </c>
      <c r="AA1061" cm="1">
        <f t="array" ref="AA1061">INDEX(Innings!I:I,MATCH(1,(TRIM(Innings!A:A)=TRIM(A1061))*(TRIM(Innings!D:D)=TRIM(E1061)),0))</f>
        <v>6</v>
      </c>
      <c r="AB1061" cm="1">
        <f t="array" ref="AB1061">INDEX(Innings!J:J,MATCH(1,(TRIM(Innings!A:A)=TRIM(A1061))*(TRIM(Innings!D:D)=TRIM(E1061)),0))</f>
        <v>28</v>
      </c>
      <c r="AC1061" cm="1">
        <f t="array" ref="AC1061">INDEX(Innings!N:N,MATCH(1,(TRIM(Innings!A:A)=TRIM(A1061))*(TRIM(Innings!D:D)=TRIM(E1061)),0))</f>
        <v>23</v>
      </c>
      <c r="AD1061" cm="1">
        <f t="array" ref="AD1061">INDEX(Innings!S:S,MATCH(1,(TRIM(Innings!A:A)=TRIM(A1061))*(TRIM(Innings!D:D)=TRIM(E1061)),0))</f>
        <v>47</v>
      </c>
      <c r="AE1061" t="str" cm="1">
        <f t="array" ref="AE1061">INDEX(Innings!W:W,MATCH(1,(TRIM(Innings!A:A)=TRIM(A1061))*(TRIM(Innings!D:D)=TRIM(E1061)),0))</f>
        <v>NA</v>
      </c>
      <c r="AF1061">
        <f>IF(UPPER(TRIM(E1061))=UPPER(TRIM(W1061)),1,0)</f>
        <v>0</v>
      </c>
      <c r="AG1061">
        <f t="shared" si="32"/>
        <v>18.7</v>
      </c>
    </row>
    <row r="1062" spans="1:33" x14ac:dyDescent="0.3">
      <c r="A1062" t="s">
        <v>466</v>
      </c>
      <c r="B1062">
        <v>3</v>
      </c>
      <c r="C1062" t="s">
        <v>530</v>
      </c>
      <c r="D1062" t="s">
        <v>502</v>
      </c>
      <c r="E1062" t="s">
        <v>258</v>
      </c>
      <c r="F1062" t="s">
        <v>169</v>
      </c>
      <c r="G1062" t="s">
        <v>134</v>
      </c>
      <c r="H1062">
        <v>7</v>
      </c>
      <c r="I1062">
        <v>6</v>
      </c>
      <c r="J1062">
        <v>116.67</v>
      </c>
      <c r="K1062" t="s">
        <v>248</v>
      </c>
      <c r="L1062">
        <v>10</v>
      </c>
      <c r="M1062">
        <v>3.1</v>
      </c>
      <c r="N1062">
        <v>0</v>
      </c>
      <c r="O1062">
        <v>19</v>
      </c>
      <c r="P1062">
        <v>0</v>
      </c>
      <c r="Q1062">
        <v>6</v>
      </c>
      <c r="R1062">
        <v>0</v>
      </c>
      <c r="S1062">
        <v>0</v>
      </c>
      <c r="T1062">
        <v>0</v>
      </c>
      <c r="U1062" s="8">
        <v>10</v>
      </c>
      <c r="V1062" s="8">
        <f t="shared" si="33"/>
        <v>1</v>
      </c>
      <c r="W1062" t="str">
        <f>_xlfn.XLOOKUP(A1062, Matches!A:A, Matches!L:L, "NA", 0)</f>
        <v>MIW</v>
      </c>
      <c r="X1062" t="str">
        <f>_xlfn.XLOOKUP(A1062, Matches!A:A, Matches!J:J, "NA", 0)</f>
        <v>MIW</v>
      </c>
      <c r="Y1062" t="str">
        <f>_xlfn.XLOOKUP(A1062, Matches!A:A, Matches!F:F, "NA", 0)</f>
        <v>BCA Stadium, Kotambi</v>
      </c>
      <c r="Z1062" cm="1">
        <f t="array" ref="Z1062">INDEX(Innings!F:F,MATCH(1,(TRIM(Innings!A:A)=TRIM(A1062))*(TRIM(Innings!D:D)=TRIM(E1062)),0))</f>
        <v>120</v>
      </c>
      <c r="AA1062" cm="1">
        <f t="array" ref="AA1062">INDEX(Innings!I:I,MATCH(1,(TRIM(Innings!A:A)=TRIM(A1062))*(TRIM(Innings!D:D)=TRIM(E1062)),0))</f>
        <v>6</v>
      </c>
      <c r="AB1062" cm="1">
        <f t="array" ref="AB1062">INDEX(Innings!J:J,MATCH(1,(TRIM(Innings!A:A)=TRIM(A1062))*(TRIM(Innings!D:D)=TRIM(E1062)),0))</f>
        <v>28</v>
      </c>
      <c r="AC1062" cm="1">
        <f t="array" ref="AC1062">INDEX(Innings!N:N,MATCH(1,(TRIM(Innings!A:A)=TRIM(A1062))*(TRIM(Innings!D:D)=TRIM(E1062)),0))</f>
        <v>23</v>
      </c>
      <c r="AD1062" cm="1">
        <f t="array" ref="AD1062">INDEX(Innings!S:S,MATCH(1,(TRIM(Innings!A:A)=TRIM(A1062))*(TRIM(Innings!D:D)=TRIM(E1062)),0))</f>
        <v>47</v>
      </c>
      <c r="AE1062" t="str" cm="1">
        <f t="array" ref="AE1062">INDEX(Innings!W:W,MATCH(1,(TRIM(Innings!A:A)=TRIM(A1062))*(TRIM(Innings!D:D)=TRIM(E1062)),0))</f>
        <v>NA</v>
      </c>
      <c r="AF1062">
        <f>IF(UPPER(TRIM(E1062))=UPPER(TRIM(W1062)),1,0)</f>
        <v>0</v>
      </c>
      <c r="AG1062">
        <f t="shared" si="32"/>
        <v>5.3</v>
      </c>
    </row>
    <row r="1063" spans="1:33" x14ac:dyDescent="0.3">
      <c r="A1063" t="s">
        <v>466</v>
      </c>
      <c r="B1063">
        <v>3</v>
      </c>
      <c r="C1063" t="s">
        <v>493</v>
      </c>
      <c r="D1063" t="s">
        <v>500</v>
      </c>
      <c r="E1063" t="s">
        <v>258</v>
      </c>
      <c r="F1063" t="s">
        <v>169</v>
      </c>
      <c r="G1063" t="s">
        <v>134</v>
      </c>
      <c r="H1063">
        <v>20</v>
      </c>
      <c r="I1063">
        <v>15</v>
      </c>
      <c r="J1063">
        <v>133.33000000000001</v>
      </c>
      <c r="K1063" t="s">
        <v>246</v>
      </c>
      <c r="L1063">
        <v>25</v>
      </c>
      <c r="M1063">
        <v>3</v>
      </c>
      <c r="N1063">
        <v>0</v>
      </c>
      <c r="O1063">
        <v>15</v>
      </c>
      <c r="P1063">
        <v>2</v>
      </c>
      <c r="Q1063">
        <v>5</v>
      </c>
      <c r="R1063">
        <v>50</v>
      </c>
      <c r="S1063">
        <v>0</v>
      </c>
      <c r="T1063">
        <v>0</v>
      </c>
      <c r="U1063" s="8">
        <v>75</v>
      </c>
      <c r="V1063" s="8">
        <f t="shared" si="33"/>
        <v>8</v>
      </c>
      <c r="W1063" t="str">
        <f>_xlfn.XLOOKUP(A1063, Matches!A:A, Matches!L:L, "NA", 0)</f>
        <v>MIW</v>
      </c>
      <c r="X1063" t="str">
        <f>_xlfn.XLOOKUP(A1063, Matches!A:A, Matches!J:J, "NA", 0)</f>
        <v>MIW</v>
      </c>
      <c r="Y1063" t="str">
        <f>_xlfn.XLOOKUP(A1063, Matches!A:A, Matches!F:F, "NA", 0)</f>
        <v>BCA Stadium, Kotambi</v>
      </c>
      <c r="Z1063" cm="1">
        <f t="array" ref="Z1063">INDEX(Innings!F:F,MATCH(1,(TRIM(Innings!A:A)=TRIM(A1063))*(TRIM(Innings!D:D)=TRIM(E1063)),0))</f>
        <v>120</v>
      </c>
      <c r="AA1063" cm="1">
        <f t="array" ref="AA1063">INDEX(Innings!I:I,MATCH(1,(TRIM(Innings!A:A)=TRIM(A1063))*(TRIM(Innings!D:D)=TRIM(E1063)),0))</f>
        <v>6</v>
      </c>
      <c r="AB1063" cm="1">
        <f t="array" ref="AB1063">INDEX(Innings!J:J,MATCH(1,(TRIM(Innings!A:A)=TRIM(A1063))*(TRIM(Innings!D:D)=TRIM(E1063)),0))</f>
        <v>28</v>
      </c>
      <c r="AC1063" cm="1">
        <f t="array" ref="AC1063">INDEX(Innings!N:N,MATCH(1,(TRIM(Innings!A:A)=TRIM(A1063))*(TRIM(Innings!D:D)=TRIM(E1063)),0))</f>
        <v>23</v>
      </c>
      <c r="AD1063" cm="1">
        <f t="array" ref="AD1063">INDEX(Innings!S:S,MATCH(1,(TRIM(Innings!A:A)=TRIM(A1063))*(TRIM(Innings!D:D)=TRIM(E1063)),0))</f>
        <v>47</v>
      </c>
      <c r="AE1063" t="str" cm="1">
        <f t="array" ref="AE1063">INDEX(Innings!W:W,MATCH(1,(TRIM(Innings!A:A)=TRIM(A1063))*(TRIM(Innings!D:D)=TRIM(E1063)),0))</f>
        <v>NA</v>
      </c>
      <c r="AF1063">
        <f>IF(UPPER(TRIM(E1063))=UPPER(TRIM(W1063)),1,0)</f>
        <v>0</v>
      </c>
      <c r="AG1063">
        <f t="shared" si="32"/>
        <v>39.9</v>
      </c>
    </row>
    <row r="1064" spans="1:33" x14ac:dyDescent="0.3">
      <c r="A1064" t="s">
        <v>466</v>
      </c>
      <c r="B1064">
        <v>3</v>
      </c>
      <c r="C1064" t="s">
        <v>227</v>
      </c>
      <c r="D1064" t="s">
        <v>228</v>
      </c>
      <c r="E1064" t="s">
        <v>258</v>
      </c>
      <c r="F1064" t="s">
        <v>109</v>
      </c>
      <c r="G1064" t="s">
        <v>134</v>
      </c>
      <c r="H1064">
        <v>3</v>
      </c>
      <c r="I1064">
        <v>8</v>
      </c>
      <c r="J1064">
        <v>37.5</v>
      </c>
      <c r="K1064" t="s">
        <v>246</v>
      </c>
      <c r="L1064">
        <v>2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 s="8">
        <v>2</v>
      </c>
      <c r="V1064" s="8">
        <f t="shared" si="33"/>
        <v>0</v>
      </c>
      <c r="W1064" t="str">
        <f>_xlfn.XLOOKUP(A1064, Matches!A:A, Matches!L:L, "NA", 0)</f>
        <v>MIW</v>
      </c>
      <c r="X1064" t="str">
        <f>_xlfn.XLOOKUP(A1064, Matches!A:A, Matches!J:J, "NA", 0)</f>
        <v>MIW</v>
      </c>
      <c r="Y1064" t="str">
        <f>_xlfn.XLOOKUP(A1064, Matches!A:A, Matches!F:F, "NA", 0)</f>
        <v>BCA Stadium, Kotambi</v>
      </c>
      <c r="Z1064" cm="1">
        <f t="array" ref="Z1064">INDEX(Innings!F:F,MATCH(1,(TRIM(Innings!A:A)=TRIM(A1064))*(TRIM(Innings!D:D)=TRIM(E1064)),0))</f>
        <v>120</v>
      </c>
      <c r="AA1064" cm="1">
        <f t="array" ref="AA1064">INDEX(Innings!I:I,MATCH(1,(TRIM(Innings!A:A)=TRIM(A1064))*(TRIM(Innings!D:D)=TRIM(E1064)),0))</f>
        <v>6</v>
      </c>
      <c r="AB1064" cm="1">
        <f t="array" ref="AB1064">INDEX(Innings!J:J,MATCH(1,(TRIM(Innings!A:A)=TRIM(A1064))*(TRIM(Innings!D:D)=TRIM(E1064)),0))</f>
        <v>28</v>
      </c>
      <c r="AC1064" cm="1">
        <f t="array" ref="AC1064">INDEX(Innings!N:N,MATCH(1,(TRIM(Innings!A:A)=TRIM(A1064))*(TRIM(Innings!D:D)=TRIM(E1064)),0))</f>
        <v>23</v>
      </c>
      <c r="AD1064" cm="1">
        <f t="array" ref="AD1064">INDEX(Innings!S:S,MATCH(1,(TRIM(Innings!A:A)=TRIM(A1064))*(TRIM(Innings!D:D)=TRIM(E1064)),0))</f>
        <v>47</v>
      </c>
      <c r="AE1064" t="str" cm="1">
        <f t="array" ref="AE1064">INDEX(Innings!W:W,MATCH(1,(TRIM(Innings!A:A)=TRIM(A1064))*(TRIM(Innings!D:D)=TRIM(E1064)),0))</f>
        <v>NA</v>
      </c>
      <c r="AF1064">
        <f>IF(UPPER(TRIM(E1064))=UPPER(TRIM(W1064)),1,0)</f>
        <v>0</v>
      </c>
      <c r="AG1064">
        <f t="shared" si="32"/>
        <v>1</v>
      </c>
    </row>
    <row r="1065" spans="1:33" x14ac:dyDescent="0.3">
      <c r="A1065" t="s">
        <v>466</v>
      </c>
      <c r="B1065">
        <v>3</v>
      </c>
      <c r="C1065" t="s">
        <v>105</v>
      </c>
      <c r="D1065" t="s">
        <v>128</v>
      </c>
      <c r="E1065" t="s">
        <v>258</v>
      </c>
      <c r="F1065" t="s">
        <v>101</v>
      </c>
      <c r="G1065" t="s">
        <v>134</v>
      </c>
      <c r="H1065">
        <v>13</v>
      </c>
      <c r="I1065">
        <v>12</v>
      </c>
      <c r="J1065">
        <v>108.33</v>
      </c>
      <c r="K1065" t="s">
        <v>246</v>
      </c>
      <c r="L1065">
        <v>15</v>
      </c>
      <c r="M1065">
        <v>3</v>
      </c>
      <c r="N1065">
        <v>0</v>
      </c>
      <c r="O1065">
        <v>25</v>
      </c>
      <c r="P1065">
        <v>1</v>
      </c>
      <c r="Q1065">
        <v>8.3000000000000007</v>
      </c>
      <c r="R1065">
        <v>25</v>
      </c>
      <c r="S1065">
        <v>0</v>
      </c>
      <c r="T1065">
        <v>0</v>
      </c>
      <c r="U1065" s="8">
        <v>40</v>
      </c>
      <c r="V1065" s="8">
        <f t="shared" si="33"/>
        <v>4</v>
      </c>
      <c r="W1065" t="str">
        <f>_xlfn.XLOOKUP(A1065, Matches!A:A, Matches!L:L, "NA", 0)</f>
        <v>MIW</v>
      </c>
      <c r="X1065" t="str">
        <f>_xlfn.XLOOKUP(A1065, Matches!A:A, Matches!J:J, "NA", 0)</f>
        <v>MIW</v>
      </c>
      <c r="Y1065" t="str">
        <f>_xlfn.XLOOKUP(A1065, Matches!A:A, Matches!F:F, "NA", 0)</f>
        <v>BCA Stadium, Kotambi</v>
      </c>
      <c r="Z1065" cm="1">
        <f t="array" ref="Z1065">INDEX(Innings!F:F,MATCH(1,(TRIM(Innings!A:A)=TRIM(A1065))*(TRIM(Innings!D:D)=TRIM(E1065)),0))</f>
        <v>120</v>
      </c>
      <c r="AA1065" cm="1">
        <f t="array" ref="AA1065">INDEX(Innings!I:I,MATCH(1,(TRIM(Innings!A:A)=TRIM(A1065))*(TRIM(Innings!D:D)=TRIM(E1065)),0))</f>
        <v>6</v>
      </c>
      <c r="AB1065" cm="1">
        <f t="array" ref="AB1065">INDEX(Innings!J:J,MATCH(1,(TRIM(Innings!A:A)=TRIM(A1065))*(TRIM(Innings!D:D)=TRIM(E1065)),0))</f>
        <v>28</v>
      </c>
      <c r="AC1065" cm="1">
        <f t="array" ref="AC1065">INDEX(Innings!N:N,MATCH(1,(TRIM(Innings!A:A)=TRIM(A1065))*(TRIM(Innings!D:D)=TRIM(E1065)),0))</f>
        <v>23</v>
      </c>
      <c r="AD1065" cm="1">
        <f t="array" ref="AD1065">INDEX(Innings!S:S,MATCH(1,(TRIM(Innings!A:A)=TRIM(A1065))*(TRIM(Innings!D:D)=TRIM(E1065)),0))</f>
        <v>47</v>
      </c>
      <c r="AE1065" t="str" cm="1">
        <f t="array" ref="AE1065">INDEX(Innings!W:W,MATCH(1,(TRIM(Innings!A:A)=TRIM(A1065))*(TRIM(Innings!D:D)=TRIM(E1065)),0))</f>
        <v>NA</v>
      </c>
      <c r="AF1065">
        <f>IF(UPPER(TRIM(E1065))=UPPER(TRIM(W1065)),1,0)</f>
        <v>0</v>
      </c>
      <c r="AG1065">
        <f t="shared" si="32"/>
        <v>21.2</v>
      </c>
    </row>
    <row r="1066" spans="1:33" x14ac:dyDescent="0.3">
      <c r="A1066" t="s">
        <v>466</v>
      </c>
      <c r="B1066">
        <v>3</v>
      </c>
      <c r="C1066" t="s">
        <v>415</v>
      </c>
      <c r="D1066" t="s">
        <v>425</v>
      </c>
      <c r="E1066" t="s">
        <v>258</v>
      </c>
      <c r="F1066" t="s">
        <v>169</v>
      </c>
      <c r="G1066" t="s">
        <v>134</v>
      </c>
      <c r="H1066">
        <v>13</v>
      </c>
      <c r="I1066">
        <v>11</v>
      </c>
      <c r="J1066">
        <v>118.18</v>
      </c>
      <c r="K1066" t="s">
        <v>96</v>
      </c>
      <c r="L1066">
        <v>18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 s="8">
        <v>18</v>
      </c>
      <c r="V1066" s="8">
        <f t="shared" si="33"/>
        <v>2</v>
      </c>
      <c r="W1066" t="str">
        <f>_xlfn.XLOOKUP(A1066, Matches!A:A, Matches!L:L, "NA", 0)</f>
        <v>MIW</v>
      </c>
      <c r="X1066" t="str">
        <f>_xlfn.XLOOKUP(A1066, Matches!A:A, Matches!J:J, "NA", 0)</f>
        <v>MIW</v>
      </c>
      <c r="Y1066" t="str">
        <f>_xlfn.XLOOKUP(A1066, Matches!A:A, Matches!F:F, "NA", 0)</f>
        <v>BCA Stadium, Kotambi</v>
      </c>
      <c r="Z1066" cm="1">
        <f t="array" ref="Z1066">INDEX(Innings!F:F,MATCH(1,(TRIM(Innings!A:A)=TRIM(A1066))*(TRIM(Innings!D:D)=TRIM(E1066)),0))</f>
        <v>120</v>
      </c>
      <c r="AA1066" cm="1">
        <f t="array" ref="AA1066">INDEX(Innings!I:I,MATCH(1,(TRIM(Innings!A:A)=TRIM(A1066))*(TRIM(Innings!D:D)=TRIM(E1066)),0))</f>
        <v>6</v>
      </c>
      <c r="AB1066" cm="1">
        <f t="array" ref="AB1066">INDEX(Innings!J:J,MATCH(1,(TRIM(Innings!A:A)=TRIM(A1066))*(TRIM(Innings!D:D)=TRIM(E1066)),0))</f>
        <v>28</v>
      </c>
      <c r="AC1066" cm="1">
        <f t="array" ref="AC1066">INDEX(Innings!N:N,MATCH(1,(TRIM(Innings!A:A)=TRIM(A1066))*(TRIM(Innings!D:D)=TRIM(E1066)),0))</f>
        <v>23</v>
      </c>
      <c r="AD1066" cm="1">
        <f t="array" ref="AD1066">INDEX(Innings!S:S,MATCH(1,(TRIM(Innings!A:A)=TRIM(A1066))*(TRIM(Innings!D:D)=TRIM(E1066)),0))</f>
        <v>47</v>
      </c>
      <c r="AE1066" t="str" cm="1">
        <f t="array" ref="AE1066">INDEX(Innings!W:W,MATCH(1,(TRIM(Innings!A:A)=TRIM(A1066))*(TRIM(Innings!D:D)=TRIM(E1066)),0))</f>
        <v>NA</v>
      </c>
      <c r="AF1066">
        <f>IF(UPPER(TRIM(E1066))=UPPER(TRIM(W1066)),1,0)</f>
        <v>0</v>
      </c>
      <c r="AG1066">
        <f t="shared" si="32"/>
        <v>9.6</v>
      </c>
    </row>
    <row r="1067" spans="1:33" x14ac:dyDescent="0.3">
      <c r="A1067" t="s">
        <v>466</v>
      </c>
      <c r="B1067">
        <v>3</v>
      </c>
      <c r="C1067" t="s">
        <v>494</v>
      </c>
      <c r="D1067" t="s">
        <v>501</v>
      </c>
      <c r="E1067" t="s">
        <v>258</v>
      </c>
      <c r="F1067" t="s">
        <v>101</v>
      </c>
      <c r="G1067" t="s">
        <v>134</v>
      </c>
      <c r="H1067">
        <v>2</v>
      </c>
      <c r="I1067">
        <v>7</v>
      </c>
      <c r="J1067">
        <v>28.57</v>
      </c>
      <c r="K1067" t="s">
        <v>256</v>
      </c>
      <c r="L1067">
        <v>2</v>
      </c>
      <c r="M1067">
        <v>4</v>
      </c>
      <c r="N1067">
        <v>0</v>
      </c>
      <c r="O1067">
        <v>40</v>
      </c>
      <c r="P1067">
        <v>2</v>
      </c>
      <c r="Q1067">
        <v>10</v>
      </c>
      <c r="R1067">
        <v>50</v>
      </c>
      <c r="S1067">
        <v>0</v>
      </c>
      <c r="T1067">
        <v>0</v>
      </c>
      <c r="U1067" s="8">
        <v>52</v>
      </c>
      <c r="V1067" s="8">
        <f t="shared" si="33"/>
        <v>5</v>
      </c>
      <c r="W1067" t="str">
        <f>_xlfn.XLOOKUP(A1067, Matches!A:A, Matches!L:L, "NA", 0)</f>
        <v>MIW</v>
      </c>
      <c r="X1067" t="str">
        <f>_xlfn.XLOOKUP(A1067, Matches!A:A, Matches!J:J, "NA", 0)</f>
        <v>MIW</v>
      </c>
      <c r="Y1067" t="str">
        <f>_xlfn.XLOOKUP(A1067, Matches!A:A, Matches!F:F, "NA", 0)</f>
        <v>BCA Stadium, Kotambi</v>
      </c>
      <c r="Z1067" cm="1">
        <f t="array" ref="Z1067">INDEX(Innings!F:F,MATCH(1,(TRIM(Innings!A:A)=TRIM(A1067))*(TRIM(Innings!D:D)=TRIM(E1067)),0))</f>
        <v>120</v>
      </c>
      <c r="AA1067" cm="1">
        <f t="array" ref="AA1067">INDEX(Innings!I:I,MATCH(1,(TRIM(Innings!A:A)=TRIM(A1067))*(TRIM(Innings!D:D)=TRIM(E1067)),0))</f>
        <v>6</v>
      </c>
      <c r="AB1067" cm="1">
        <f t="array" ref="AB1067">INDEX(Innings!J:J,MATCH(1,(TRIM(Innings!A:A)=TRIM(A1067))*(TRIM(Innings!D:D)=TRIM(E1067)),0))</f>
        <v>28</v>
      </c>
      <c r="AC1067" cm="1">
        <f t="array" ref="AC1067">INDEX(Innings!N:N,MATCH(1,(TRIM(Innings!A:A)=TRIM(A1067))*(TRIM(Innings!D:D)=TRIM(E1067)),0))</f>
        <v>23</v>
      </c>
      <c r="AD1067" cm="1">
        <f t="array" ref="AD1067">INDEX(Innings!S:S,MATCH(1,(TRIM(Innings!A:A)=TRIM(A1067))*(TRIM(Innings!D:D)=TRIM(E1067)),0))</f>
        <v>47</v>
      </c>
      <c r="AE1067" t="str" cm="1">
        <f t="array" ref="AE1067">INDEX(Innings!W:W,MATCH(1,(TRIM(Innings!A:A)=TRIM(A1067))*(TRIM(Innings!D:D)=TRIM(E1067)),0))</f>
        <v>NA</v>
      </c>
      <c r="AF1067">
        <f>IF(UPPER(TRIM(E1067))=UPPER(TRIM(W1067)),1,0)</f>
        <v>0</v>
      </c>
      <c r="AG1067">
        <f t="shared" si="32"/>
        <v>27.5</v>
      </c>
    </row>
    <row r="1068" spans="1:33" x14ac:dyDescent="0.3">
      <c r="A1068" t="s">
        <v>466</v>
      </c>
      <c r="B1068">
        <v>3</v>
      </c>
      <c r="C1068" t="s">
        <v>112</v>
      </c>
      <c r="D1068" t="s">
        <v>88</v>
      </c>
      <c r="E1068" t="s">
        <v>266</v>
      </c>
      <c r="F1068" t="s">
        <v>169</v>
      </c>
      <c r="G1068" t="s">
        <v>86</v>
      </c>
      <c r="H1068">
        <v>17</v>
      </c>
      <c r="I1068">
        <v>19</v>
      </c>
      <c r="J1068">
        <v>89.47</v>
      </c>
      <c r="K1068" t="s">
        <v>246</v>
      </c>
      <c r="L1068">
        <v>20</v>
      </c>
      <c r="M1068">
        <v>4</v>
      </c>
      <c r="N1068">
        <v>0</v>
      </c>
      <c r="O1068">
        <v>16</v>
      </c>
      <c r="P1068">
        <v>3</v>
      </c>
      <c r="Q1068">
        <v>4</v>
      </c>
      <c r="R1068">
        <v>75</v>
      </c>
      <c r="S1068">
        <v>0</v>
      </c>
      <c r="T1068">
        <v>0</v>
      </c>
      <c r="U1068" s="8">
        <v>95</v>
      </c>
      <c r="V1068" s="8">
        <f t="shared" si="33"/>
        <v>10</v>
      </c>
      <c r="W1068" t="str">
        <f>_xlfn.XLOOKUP(A1068, Matches!A:A, Matches!L:L, "NA", 0)</f>
        <v>MIW</v>
      </c>
      <c r="X1068" t="str">
        <f>_xlfn.XLOOKUP(A1068, Matches!A:A, Matches!J:J, "NA", 0)</f>
        <v>MIW</v>
      </c>
      <c r="Y1068" t="str">
        <f>_xlfn.XLOOKUP(A1068, Matches!A:A, Matches!F:F, "NA", 0)</f>
        <v>BCA Stadium, Kotambi</v>
      </c>
      <c r="Z1068" cm="1">
        <f t="array" ref="Z1068">INDEX(Innings!F:F,MATCH(1,(TRIM(Innings!A:A)=TRIM(A1068))*(TRIM(Innings!D:D)=TRIM(E1068)),0))</f>
        <v>122</v>
      </c>
      <c r="AA1068" cm="1">
        <f t="array" ref="AA1068">INDEX(Innings!I:I,MATCH(1,(TRIM(Innings!A:A)=TRIM(A1068))*(TRIM(Innings!D:D)=TRIM(E1068)),0))</f>
        <v>7.55</v>
      </c>
      <c r="AB1068" cm="1">
        <f t="array" ref="AB1068">INDEX(Innings!J:J,MATCH(1,(TRIM(Innings!A:A)=TRIM(A1068))*(TRIM(Innings!D:D)=TRIM(E1068)),0))</f>
        <v>37</v>
      </c>
      <c r="AC1068" cm="1">
        <f t="array" ref="AC1068">INDEX(Innings!N:N,MATCH(1,(TRIM(Innings!A:A)=TRIM(A1068))*(TRIM(Innings!D:D)=TRIM(E1068)),0))</f>
        <v>4</v>
      </c>
      <c r="AD1068" cm="1">
        <f t="array" ref="AD1068">INDEX(Innings!S:S,MATCH(1,(TRIM(Innings!A:A)=TRIM(A1068))*(TRIM(Innings!D:D)=TRIM(E1068)),0))</f>
        <v>34</v>
      </c>
      <c r="AE1068" t="str" cm="1">
        <f t="array" ref="AE1068">INDEX(Innings!W:W,MATCH(1,(TRIM(Innings!A:A)=TRIM(A1068))*(TRIM(Innings!D:D)=TRIM(E1068)),0))</f>
        <v>Successful</v>
      </c>
      <c r="AF1068">
        <f>IF(UPPER(TRIM(E1068))=UPPER(TRIM(W1068)),1,0)</f>
        <v>1</v>
      </c>
      <c r="AG1068">
        <f t="shared" si="32"/>
        <v>70.5</v>
      </c>
    </row>
    <row r="1069" spans="1:33" x14ac:dyDescent="0.3">
      <c r="A1069" t="s">
        <v>466</v>
      </c>
      <c r="B1069">
        <v>3</v>
      </c>
      <c r="C1069" t="s">
        <v>113</v>
      </c>
      <c r="D1069" t="s">
        <v>84</v>
      </c>
      <c r="E1069" t="s">
        <v>266</v>
      </c>
      <c r="F1069" t="s">
        <v>85</v>
      </c>
      <c r="G1069" t="s">
        <v>86</v>
      </c>
      <c r="H1069">
        <v>8</v>
      </c>
      <c r="I1069">
        <v>10</v>
      </c>
      <c r="J1069">
        <v>80</v>
      </c>
      <c r="K1069" t="s">
        <v>246</v>
      </c>
      <c r="L1069">
        <v>6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 s="8">
        <v>6</v>
      </c>
      <c r="V1069" s="8">
        <f t="shared" si="33"/>
        <v>1</v>
      </c>
      <c r="W1069" t="str">
        <f>_xlfn.XLOOKUP(A1069, Matches!A:A, Matches!L:L, "NA", 0)</f>
        <v>MIW</v>
      </c>
      <c r="X1069" t="str">
        <f>_xlfn.XLOOKUP(A1069, Matches!A:A, Matches!J:J, "NA", 0)</f>
        <v>MIW</v>
      </c>
      <c r="Y1069" t="str">
        <f>_xlfn.XLOOKUP(A1069, Matches!A:A, Matches!F:F, "NA", 0)</f>
        <v>BCA Stadium, Kotambi</v>
      </c>
      <c r="Z1069" cm="1">
        <f t="array" ref="Z1069">INDEX(Innings!F:F,MATCH(1,(TRIM(Innings!A:A)=TRIM(A1069))*(TRIM(Innings!D:D)=TRIM(E1069)),0))</f>
        <v>122</v>
      </c>
      <c r="AA1069" cm="1">
        <f t="array" ref="AA1069">INDEX(Innings!I:I,MATCH(1,(TRIM(Innings!A:A)=TRIM(A1069))*(TRIM(Innings!D:D)=TRIM(E1069)),0))</f>
        <v>7.55</v>
      </c>
      <c r="AB1069" cm="1">
        <f t="array" ref="AB1069">INDEX(Innings!J:J,MATCH(1,(TRIM(Innings!A:A)=TRIM(A1069))*(TRIM(Innings!D:D)=TRIM(E1069)),0))</f>
        <v>37</v>
      </c>
      <c r="AC1069" cm="1">
        <f t="array" ref="AC1069">INDEX(Innings!N:N,MATCH(1,(TRIM(Innings!A:A)=TRIM(A1069))*(TRIM(Innings!D:D)=TRIM(E1069)),0))</f>
        <v>4</v>
      </c>
      <c r="AD1069" cm="1">
        <f t="array" ref="AD1069">INDEX(Innings!S:S,MATCH(1,(TRIM(Innings!A:A)=TRIM(A1069))*(TRIM(Innings!D:D)=TRIM(E1069)),0))</f>
        <v>34</v>
      </c>
      <c r="AE1069" t="str" cm="1">
        <f t="array" ref="AE1069">INDEX(Innings!W:W,MATCH(1,(TRIM(Innings!A:A)=TRIM(A1069))*(TRIM(Innings!D:D)=TRIM(E1069)),0))</f>
        <v>Successful</v>
      </c>
      <c r="AF1069">
        <f>IF(UPPER(TRIM(E1069))=UPPER(TRIM(W1069)),1,0)</f>
        <v>1</v>
      </c>
      <c r="AG1069">
        <f t="shared" si="32"/>
        <v>23.3</v>
      </c>
    </row>
    <row r="1070" spans="1:33" x14ac:dyDescent="0.3">
      <c r="A1070" t="s">
        <v>466</v>
      </c>
      <c r="B1070">
        <v>3</v>
      </c>
      <c r="C1070" t="s">
        <v>117</v>
      </c>
      <c r="D1070" t="s">
        <v>90</v>
      </c>
      <c r="E1070" t="s">
        <v>266</v>
      </c>
      <c r="F1070" t="s">
        <v>169</v>
      </c>
      <c r="G1070" t="s">
        <v>92</v>
      </c>
      <c r="H1070">
        <v>57</v>
      </c>
      <c r="I1070">
        <v>39</v>
      </c>
      <c r="J1070">
        <v>146.15</v>
      </c>
      <c r="K1070" t="s">
        <v>245</v>
      </c>
      <c r="L1070">
        <v>70</v>
      </c>
      <c r="M1070">
        <v>4</v>
      </c>
      <c r="N1070">
        <v>0</v>
      </c>
      <c r="O1070">
        <v>26</v>
      </c>
      <c r="P1070">
        <v>2</v>
      </c>
      <c r="Q1070">
        <v>6.5</v>
      </c>
      <c r="R1070">
        <v>50</v>
      </c>
      <c r="S1070">
        <v>0</v>
      </c>
      <c r="T1070">
        <v>0</v>
      </c>
      <c r="U1070" s="8">
        <v>120</v>
      </c>
      <c r="V1070" s="8">
        <f t="shared" si="33"/>
        <v>10</v>
      </c>
      <c r="W1070" t="str">
        <f>_xlfn.XLOOKUP(A1070, Matches!A:A, Matches!L:L, "NA", 0)</f>
        <v>MIW</v>
      </c>
      <c r="X1070" t="str">
        <f>_xlfn.XLOOKUP(A1070, Matches!A:A, Matches!J:J, "NA", 0)</f>
        <v>MIW</v>
      </c>
      <c r="Y1070" t="str">
        <f>_xlfn.XLOOKUP(A1070, Matches!A:A, Matches!F:F, "NA", 0)</f>
        <v>BCA Stadium, Kotambi</v>
      </c>
      <c r="Z1070" cm="1">
        <f t="array" ref="Z1070">INDEX(Innings!F:F,MATCH(1,(TRIM(Innings!A:A)=TRIM(A1070))*(TRIM(Innings!D:D)=TRIM(E1070)),0))</f>
        <v>122</v>
      </c>
      <c r="AA1070" cm="1">
        <f t="array" ref="AA1070">INDEX(Innings!I:I,MATCH(1,(TRIM(Innings!A:A)=TRIM(A1070))*(TRIM(Innings!D:D)=TRIM(E1070)),0))</f>
        <v>7.55</v>
      </c>
      <c r="AB1070" cm="1">
        <f t="array" ref="AB1070">INDEX(Innings!J:J,MATCH(1,(TRIM(Innings!A:A)=TRIM(A1070))*(TRIM(Innings!D:D)=TRIM(E1070)),0))</f>
        <v>37</v>
      </c>
      <c r="AC1070" cm="1">
        <f t="array" ref="AC1070">INDEX(Innings!N:N,MATCH(1,(TRIM(Innings!A:A)=TRIM(A1070))*(TRIM(Innings!D:D)=TRIM(E1070)),0))</f>
        <v>4</v>
      </c>
      <c r="AD1070" cm="1">
        <f t="array" ref="AD1070">INDEX(Innings!S:S,MATCH(1,(TRIM(Innings!A:A)=TRIM(A1070))*(TRIM(Innings!D:D)=TRIM(E1070)),0))</f>
        <v>34</v>
      </c>
      <c r="AE1070" t="str" cm="1">
        <f t="array" ref="AE1070">INDEX(Innings!W:W,MATCH(1,(TRIM(Innings!A:A)=TRIM(A1070))*(TRIM(Innings!D:D)=TRIM(E1070)),0))</f>
        <v>Successful</v>
      </c>
      <c r="AF1070">
        <f>IF(UPPER(TRIM(E1070))=UPPER(TRIM(W1070)),1,0)</f>
        <v>1</v>
      </c>
      <c r="AG1070">
        <f t="shared" si="32"/>
        <v>83</v>
      </c>
    </row>
    <row r="1071" spans="1:33" x14ac:dyDescent="0.3">
      <c r="A1071" t="s">
        <v>466</v>
      </c>
      <c r="B1071">
        <v>3</v>
      </c>
      <c r="C1071" t="s">
        <v>115</v>
      </c>
      <c r="D1071" t="s">
        <v>17</v>
      </c>
      <c r="E1071" t="s">
        <v>266</v>
      </c>
      <c r="F1071" t="s">
        <v>169</v>
      </c>
      <c r="G1071" t="s">
        <v>134</v>
      </c>
      <c r="H1071">
        <v>4</v>
      </c>
      <c r="I1071">
        <v>2</v>
      </c>
      <c r="J1071">
        <v>200</v>
      </c>
      <c r="K1071" t="s">
        <v>247</v>
      </c>
      <c r="L1071">
        <v>5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 s="8">
        <v>5</v>
      </c>
      <c r="V1071" s="8">
        <f t="shared" si="33"/>
        <v>1</v>
      </c>
      <c r="W1071" t="str">
        <f>_xlfn.XLOOKUP(A1071, Matches!A:A, Matches!L:L, "NA", 0)</f>
        <v>MIW</v>
      </c>
      <c r="X1071" t="str">
        <f>_xlfn.XLOOKUP(A1071, Matches!A:A, Matches!J:J, "NA", 0)</f>
        <v>MIW</v>
      </c>
      <c r="Y1071" t="str">
        <f>_xlfn.XLOOKUP(A1071, Matches!A:A, Matches!F:F, "NA", 0)</f>
        <v>BCA Stadium, Kotambi</v>
      </c>
      <c r="Z1071" cm="1">
        <f t="array" ref="Z1071">INDEX(Innings!F:F,MATCH(1,(TRIM(Innings!A:A)=TRIM(A1071))*(TRIM(Innings!D:D)=TRIM(E1071)),0))</f>
        <v>122</v>
      </c>
      <c r="AA1071" cm="1">
        <f t="array" ref="AA1071">INDEX(Innings!I:I,MATCH(1,(TRIM(Innings!A:A)=TRIM(A1071))*(TRIM(Innings!D:D)=TRIM(E1071)),0))</f>
        <v>7.55</v>
      </c>
      <c r="AB1071" cm="1">
        <f t="array" ref="AB1071">INDEX(Innings!J:J,MATCH(1,(TRIM(Innings!A:A)=TRIM(A1071))*(TRIM(Innings!D:D)=TRIM(E1071)),0))</f>
        <v>37</v>
      </c>
      <c r="AC1071" cm="1">
        <f t="array" ref="AC1071">INDEX(Innings!N:N,MATCH(1,(TRIM(Innings!A:A)=TRIM(A1071))*(TRIM(Innings!D:D)=TRIM(E1071)),0))</f>
        <v>4</v>
      </c>
      <c r="AD1071" cm="1">
        <f t="array" ref="AD1071">INDEX(Innings!S:S,MATCH(1,(TRIM(Innings!A:A)=TRIM(A1071))*(TRIM(Innings!D:D)=TRIM(E1071)),0))</f>
        <v>34</v>
      </c>
      <c r="AE1071" t="str" cm="1">
        <f t="array" ref="AE1071">INDEX(Innings!W:W,MATCH(1,(TRIM(Innings!A:A)=TRIM(A1071))*(TRIM(Innings!D:D)=TRIM(E1071)),0))</f>
        <v>Successful</v>
      </c>
      <c r="AF1071">
        <f>IF(UPPER(TRIM(E1071))=UPPER(TRIM(W1071)),1,0)</f>
        <v>1</v>
      </c>
      <c r="AG1071">
        <f t="shared" si="32"/>
        <v>22.8</v>
      </c>
    </row>
    <row r="1072" spans="1:33" x14ac:dyDescent="0.3">
      <c r="A1072" t="s">
        <v>466</v>
      </c>
      <c r="B1072">
        <v>3</v>
      </c>
      <c r="C1072" t="s">
        <v>119</v>
      </c>
      <c r="D1072" t="s">
        <v>95</v>
      </c>
      <c r="E1072" t="s">
        <v>266</v>
      </c>
      <c r="F1072" t="s">
        <v>169</v>
      </c>
      <c r="G1072" t="s">
        <v>134</v>
      </c>
      <c r="H1072">
        <v>19</v>
      </c>
      <c r="I1072">
        <v>20</v>
      </c>
      <c r="J1072">
        <v>95</v>
      </c>
      <c r="K1072" t="s">
        <v>247</v>
      </c>
      <c r="L1072">
        <v>18</v>
      </c>
      <c r="M1072">
        <v>4</v>
      </c>
      <c r="N1072">
        <v>0</v>
      </c>
      <c r="O1072">
        <v>22</v>
      </c>
      <c r="P1072">
        <v>2</v>
      </c>
      <c r="Q1072">
        <v>5.5</v>
      </c>
      <c r="R1072">
        <v>50</v>
      </c>
      <c r="S1072">
        <v>0</v>
      </c>
      <c r="T1072">
        <v>0</v>
      </c>
      <c r="U1072" s="8">
        <v>68</v>
      </c>
      <c r="V1072" s="8">
        <f t="shared" si="33"/>
        <v>7</v>
      </c>
      <c r="W1072" t="str">
        <f>_xlfn.XLOOKUP(A1072, Matches!A:A, Matches!L:L, "NA", 0)</f>
        <v>MIW</v>
      </c>
      <c r="X1072" t="str">
        <f>_xlfn.XLOOKUP(A1072, Matches!A:A, Matches!J:J, "NA", 0)</f>
        <v>MIW</v>
      </c>
      <c r="Y1072" t="str">
        <f>_xlfn.XLOOKUP(A1072, Matches!A:A, Matches!F:F, "NA", 0)</f>
        <v>BCA Stadium, Kotambi</v>
      </c>
      <c r="Z1072" cm="1">
        <f t="array" ref="Z1072">INDEX(Innings!F:F,MATCH(1,(TRIM(Innings!A:A)=TRIM(A1072))*(TRIM(Innings!D:D)=TRIM(E1072)),0))</f>
        <v>122</v>
      </c>
      <c r="AA1072" cm="1">
        <f t="array" ref="AA1072">INDEX(Innings!I:I,MATCH(1,(TRIM(Innings!A:A)=TRIM(A1072))*(TRIM(Innings!D:D)=TRIM(E1072)),0))</f>
        <v>7.55</v>
      </c>
      <c r="AB1072" cm="1">
        <f t="array" ref="AB1072">INDEX(Innings!J:J,MATCH(1,(TRIM(Innings!A:A)=TRIM(A1072))*(TRIM(Innings!D:D)=TRIM(E1072)),0))</f>
        <v>37</v>
      </c>
      <c r="AC1072" cm="1">
        <f t="array" ref="AC1072">INDEX(Innings!N:N,MATCH(1,(TRIM(Innings!A:A)=TRIM(A1072))*(TRIM(Innings!D:D)=TRIM(E1072)),0))</f>
        <v>4</v>
      </c>
      <c r="AD1072" cm="1">
        <f t="array" ref="AD1072">INDEX(Innings!S:S,MATCH(1,(TRIM(Innings!A:A)=TRIM(A1072))*(TRIM(Innings!D:D)=TRIM(E1072)),0))</f>
        <v>34</v>
      </c>
      <c r="AE1072" t="str" cm="1">
        <f t="array" ref="AE1072">INDEX(Innings!W:W,MATCH(1,(TRIM(Innings!A:A)=TRIM(A1072))*(TRIM(Innings!D:D)=TRIM(E1072)),0))</f>
        <v>Successful</v>
      </c>
      <c r="AF1072">
        <f>IF(UPPER(TRIM(E1072))=UPPER(TRIM(W1072)),1,0)</f>
        <v>1</v>
      </c>
      <c r="AG1072">
        <f t="shared" si="32"/>
        <v>56.1</v>
      </c>
    </row>
    <row r="1073" spans="1:33" x14ac:dyDescent="0.3">
      <c r="A1073" t="s">
        <v>466</v>
      </c>
      <c r="B1073">
        <v>3</v>
      </c>
      <c r="C1073" t="s">
        <v>347</v>
      </c>
      <c r="D1073" t="s">
        <v>348</v>
      </c>
      <c r="E1073" t="s">
        <v>266</v>
      </c>
      <c r="F1073" t="s">
        <v>169</v>
      </c>
      <c r="G1073" t="s">
        <v>134</v>
      </c>
      <c r="H1073">
        <v>10</v>
      </c>
      <c r="I1073">
        <v>6</v>
      </c>
      <c r="J1073">
        <v>166.67</v>
      </c>
      <c r="K1073" t="s">
        <v>96</v>
      </c>
      <c r="L1073">
        <v>12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 s="8">
        <v>12</v>
      </c>
      <c r="V1073" s="8">
        <f t="shared" si="33"/>
        <v>1</v>
      </c>
      <c r="W1073" t="str">
        <f>_xlfn.XLOOKUP(A1073, Matches!A:A, Matches!L:L, "NA", 0)</f>
        <v>MIW</v>
      </c>
      <c r="X1073" t="str">
        <f>_xlfn.XLOOKUP(A1073, Matches!A:A, Matches!J:J, "NA", 0)</f>
        <v>MIW</v>
      </c>
      <c r="Y1073" t="str">
        <f>_xlfn.XLOOKUP(A1073, Matches!A:A, Matches!F:F, "NA", 0)</f>
        <v>BCA Stadium, Kotambi</v>
      </c>
      <c r="Z1073" cm="1">
        <f t="array" ref="Z1073">INDEX(Innings!F:F,MATCH(1,(TRIM(Innings!A:A)=TRIM(A1073))*(TRIM(Innings!D:D)=TRIM(E1073)),0))</f>
        <v>122</v>
      </c>
      <c r="AA1073" cm="1">
        <f t="array" ref="AA1073">INDEX(Innings!I:I,MATCH(1,(TRIM(Innings!A:A)=TRIM(A1073))*(TRIM(Innings!D:D)=TRIM(E1073)),0))</f>
        <v>7.55</v>
      </c>
      <c r="AB1073" cm="1">
        <f t="array" ref="AB1073">INDEX(Innings!J:J,MATCH(1,(TRIM(Innings!A:A)=TRIM(A1073))*(TRIM(Innings!D:D)=TRIM(E1073)),0))</f>
        <v>37</v>
      </c>
      <c r="AC1073" cm="1">
        <f t="array" ref="AC1073">INDEX(Innings!N:N,MATCH(1,(TRIM(Innings!A:A)=TRIM(A1073))*(TRIM(Innings!D:D)=TRIM(E1073)),0))</f>
        <v>4</v>
      </c>
      <c r="AD1073" cm="1">
        <f t="array" ref="AD1073">INDEX(Innings!S:S,MATCH(1,(TRIM(Innings!A:A)=TRIM(A1073))*(TRIM(Innings!D:D)=TRIM(E1073)),0))</f>
        <v>34</v>
      </c>
      <c r="AE1073" t="str" cm="1">
        <f t="array" ref="AE1073">INDEX(Innings!W:W,MATCH(1,(TRIM(Innings!A:A)=TRIM(A1073))*(TRIM(Innings!D:D)=TRIM(E1073)),0))</f>
        <v>Successful</v>
      </c>
      <c r="AF1073">
        <f>IF(UPPER(TRIM(E1073))=UPPER(TRIM(W1073)),1,0)</f>
        <v>1</v>
      </c>
      <c r="AG1073">
        <f t="shared" si="32"/>
        <v>26.3</v>
      </c>
    </row>
    <row r="1074" spans="1:33" x14ac:dyDescent="0.3">
      <c r="A1074" t="s">
        <v>466</v>
      </c>
      <c r="B1074">
        <v>3</v>
      </c>
      <c r="C1074" t="s">
        <v>510</v>
      </c>
      <c r="D1074" t="s">
        <v>538</v>
      </c>
      <c r="E1074" t="s">
        <v>266</v>
      </c>
      <c r="F1074" t="s">
        <v>85</v>
      </c>
      <c r="G1074" t="s">
        <v>134</v>
      </c>
      <c r="H1074">
        <v>4</v>
      </c>
      <c r="I1074">
        <v>1</v>
      </c>
      <c r="J1074">
        <v>400</v>
      </c>
      <c r="K1074" t="s">
        <v>96</v>
      </c>
      <c r="L1074">
        <v>8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 s="8">
        <v>8</v>
      </c>
      <c r="V1074" s="8">
        <f t="shared" si="33"/>
        <v>1</v>
      </c>
      <c r="W1074" t="str">
        <f>_xlfn.XLOOKUP(A1074, Matches!A:A, Matches!L:L, "NA", 0)</f>
        <v>MIW</v>
      </c>
      <c r="X1074" t="str">
        <f>_xlfn.XLOOKUP(A1074, Matches!A:A, Matches!J:J, "NA", 0)</f>
        <v>MIW</v>
      </c>
      <c r="Y1074" t="str">
        <f>_xlfn.XLOOKUP(A1074, Matches!A:A, Matches!F:F, "NA", 0)</f>
        <v>BCA Stadium, Kotambi</v>
      </c>
      <c r="Z1074" cm="1">
        <f t="array" ref="Z1074">INDEX(Innings!F:F,MATCH(1,(TRIM(Innings!A:A)=TRIM(A1074))*(TRIM(Innings!D:D)=TRIM(E1074)),0))</f>
        <v>122</v>
      </c>
      <c r="AA1074" cm="1">
        <f t="array" ref="AA1074">INDEX(Innings!I:I,MATCH(1,(TRIM(Innings!A:A)=TRIM(A1074))*(TRIM(Innings!D:D)=TRIM(E1074)),0))</f>
        <v>7.55</v>
      </c>
      <c r="AB1074" cm="1">
        <f t="array" ref="AB1074">INDEX(Innings!J:J,MATCH(1,(TRIM(Innings!A:A)=TRIM(A1074))*(TRIM(Innings!D:D)=TRIM(E1074)),0))</f>
        <v>37</v>
      </c>
      <c r="AC1074" cm="1">
        <f t="array" ref="AC1074">INDEX(Innings!N:N,MATCH(1,(TRIM(Innings!A:A)=TRIM(A1074))*(TRIM(Innings!D:D)=TRIM(E1074)),0))</f>
        <v>4</v>
      </c>
      <c r="AD1074" cm="1">
        <f t="array" ref="AD1074">INDEX(Innings!S:S,MATCH(1,(TRIM(Innings!A:A)=TRIM(A1074))*(TRIM(Innings!D:D)=TRIM(E1074)),0))</f>
        <v>34</v>
      </c>
      <c r="AE1074" t="str" cm="1">
        <f t="array" ref="AE1074">INDEX(Innings!W:W,MATCH(1,(TRIM(Innings!A:A)=TRIM(A1074))*(TRIM(Innings!D:D)=TRIM(E1074)),0))</f>
        <v>Successful</v>
      </c>
      <c r="AF1074">
        <f>IF(UPPER(TRIM(E1074))=UPPER(TRIM(W1074)),1,0)</f>
        <v>1</v>
      </c>
      <c r="AG1074">
        <f t="shared" si="32"/>
        <v>24.3</v>
      </c>
    </row>
    <row r="1075" spans="1:33" x14ac:dyDescent="0.3">
      <c r="A1075" t="s">
        <v>466</v>
      </c>
      <c r="B1075">
        <v>3</v>
      </c>
      <c r="C1075" t="s">
        <v>121</v>
      </c>
      <c r="D1075" t="s">
        <v>108</v>
      </c>
      <c r="E1075" t="s">
        <v>266</v>
      </c>
      <c r="F1075" t="s">
        <v>169</v>
      </c>
      <c r="G1075" t="s">
        <v>104</v>
      </c>
      <c r="H1075">
        <v>0</v>
      </c>
      <c r="I1075">
        <v>0</v>
      </c>
      <c r="J1075">
        <v>0</v>
      </c>
      <c r="K1075" t="s">
        <v>104</v>
      </c>
      <c r="L1075">
        <v>0</v>
      </c>
      <c r="M1075">
        <v>2</v>
      </c>
      <c r="N1075">
        <v>0</v>
      </c>
      <c r="O1075">
        <v>17</v>
      </c>
      <c r="P1075">
        <v>1</v>
      </c>
      <c r="Q1075">
        <v>8.5</v>
      </c>
      <c r="R1075">
        <v>25</v>
      </c>
      <c r="S1075">
        <v>0</v>
      </c>
      <c r="T1075">
        <v>0</v>
      </c>
      <c r="U1075" s="8">
        <v>25</v>
      </c>
      <c r="V1075" s="8">
        <f t="shared" si="33"/>
        <v>3</v>
      </c>
      <c r="W1075" t="str">
        <f>_xlfn.XLOOKUP(A1075, Matches!A:A, Matches!L:L, "NA", 0)</f>
        <v>MIW</v>
      </c>
      <c r="X1075" t="str">
        <f>_xlfn.XLOOKUP(A1075, Matches!A:A, Matches!J:J, "NA", 0)</f>
        <v>MIW</v>
      </c>
      <c r="Y1075" t="str">
        <f>_xlfn.XLOOKUP(A1075, Matches!A:A, Matches!F:F, "NA", 0)</f>
        <v>BCA Stadium, Kotambi</v>
      </c>
      <c r="Z1075" cm="1">
        <f t="array" ref="Z1075">INDEX(Innings!F:F,MATCH(1,(TRIM(Innings!A:A)=TRIM(A1075))*(TRIM(Innings!D:D)=TRIM(E1075)),0))</f>
        <v>122</v>
      </c>
      <c r="AA1075" cm="1">
        <f t="array" ref="AA1075">INDEX(Innings!I:I,MATCH(1,(TRIM(Innings!A:A)=TRIM(A1075))*(TRIM(Innings!D:D)=TRIM(E1075)),0))</f>
        <v>7.55</v>
      </c>
      <c r="AB1075" cm="1">
        <f t="array" ref="AB1075">INDEX(Innings!J:J,MATCH(1,(TRIM(Innings!A:A)=TRIM(A1075))*(TRIM(Innings!D:D)=TRIM(E1075)),0))</f>
        <v>37</v>
      </c>
      <c r="AC1075" cm="1">
        <f t="array" ref="AC1075">INDEX(Innings!N:N,MATCH(1,(TRIM(Innings!A:A)=TRIM(A1075))*(TRIM(Innings!D:D)=TRIM(E1075)),0))</f>
        <v>4</v>
      </c>
      <c r="AD1075" cm="1">
        <f t="array" ref="AD1075">INDEX(Innings!S:S,MATCH(1,(TRIM(Innings!A:A)=TRIM(A1075))*(TRIM(Innings!D:D)=TRIM(E1075)),0))</f>
        <v>34</v>
      </c>
      <c r="AE1075" t="str" cm="1">
        <f t="array" ref="AE1075">INDEX(Innings!W:W,MATCH(1,(TRIM(Innings!A:A)=TRIM(A1075))*(TRIM(Innings!D:D)=TRIM(E1075)),0))</f>
        <v>Successful</v>
      </c>
      <c r="AF1075">
        <f>IF(UPPER(TRIM(E1075))=UPPER(TRIM(W1075)),1,0)</f>
        <v>1</v>
      </c>
      <c r="AG1075">
        <f t="shared" si="32"/>
        <v>33.4</v>
      </c>
    </row>
    <row r="1076" spans="1:33" x14ac:dyDescent="0.3">
      <c r="A1076" t="s">
        <v>466</v>
      </c>
      <c r="B1076">
        <v>3</v>
      </c>
      <c r="C1076" t="s">
        <v>507</v>
      </c>
      <c r="D1076" t="s">
        <v>519</v>
      </c>
      <c r="E1076" t="s">
        <v>266</v>
      </c>
      <c r="F1076" t="s">
        <v>169</v>
      </c>
      <c r="G1076" t="s">
        <v>104</v>
      </c>
      <c r="H1076">
        <v>0</v>
      </c>
      <c r="I1076">
        <v>0</v>
      </c>
      <c r="J1076">
        <v>0</v>
      </c>
      <c r="K1076" t="s">
        <v>104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 s="8">
        <v>0</v>
      </c>
      <c r="V1076" s="8">
        <f t="shared" si="33"/>
        <v>0</v>
      </c>
      <c r="W1076" t="str">
        <f>_xlfn.XLOOKUP(A1076, Matches!A:A, Matches!L:L, "NA", 0)</f>
        <v>MIW</v>
      </c>
      <c r="X1076" t="str">
        <f>_xlfn.XLOOKUP(A1076, Matches!A:A, Matches!J:J, "NA", 0)</f>
        <v>MIW</v>
      </c>
      <c r="Y1076" t="str">
        <f>_xlfn.XLOOKUP(A1076, Matches!A:A, Matches!F:F, "NA", 0)</f>
        <v>BCA Stadium, Kotambi</v>
      </c>
      <c r="Z1076" cm="1">
        <f t="array" ref="Z1076">INDEX(Innings!F:F,MATCH(1,(TRIM(Innings!A:A)=TRIM(A1076))*(TRIM(Innings!D:D)=TRIM(E1076)),0))</f>
        <v>122</v>
      </c>
      <c r="AA1076" cm="1">
        <f t="array" ref="AA1076">INDEX(Innings!I:I,MATCH(1,(TRIM(Innings!A:A)=TRIM(A1076))*(TRIM(Innings!D:D)=TRIM(E1076)),0))</f>
        <v>7.55</v>
      </c>
      <c r="AB1076" cm="1">
        <f t="array" ref="AB1076">INDEX(Innings!J:J,MATCH(1,(TRIM(Innings!A:A)=TRIM(A1076))*(TRIM(Innings!D:D)=TRIM(E1076)),0))</f>
        <v>37</v>
      </c>
      <c r="AC1076" cm="1">
        <f t="array" ref="AC1076">INDEX(Innings!N:N,MATCH(1,(TRIM(Innings!A:A)=TRIM(A1076))*(TRIM(Innings!D:D)=TRIM(E1076)),0))</f>
        <v>4</v>
      </c>
      <c r="AD1076" cm="1">
        <f t="array" ref="AD1076">INDEX(Innings!S:S,MATCH(1,(TRIM(Innings!A:A)=TRIM(A1076))*(TRIM(Innings!D:D)=TRIM(E1076)),0))</f>
        <v>34</v>
      </c>
      <c r="AE1076" t="str" cm="1">
        <f t="array" ref="AE1076">INDEX(Innings!W:W,MATCH(1,(TRIM(Innings!A:A)=TRIM(A1076))*(TRIM(Innings!D:D)=TRIM(E1076)),0))</f>
        <v>Successful</v>
      </c>
      <c r="AF1076">
        <f>IF(UPPER(TRIM(E1076))=UPPER(TRIM(W1076)),1,0)</f>
        <v>1</v>
      </c>
      <c r="AG1076">
        <f t="shared" si="32"/>
        <v>20</v>
      </c>
    </row>
    <row r="1077" spans="1:33" x14ac:dyDescent="0.3">
      <c r="A1077" t="s">
        <v>466</v>
      </c>
      <c r="B1077">
        <v>3</v>
      </c>
      <c r="C1077" t="s">
        <v>265</v>
      </c>
      <c r="D1077" t="s">
        <v>264</v>
      </c>
      <c r="E1077" t="s">
        <v>266</v>
      </c>
      <c r="F1077" t="s">
        <v>101</v>
      </c>
      <c r="G1077" t="s">
        <v>104</v>
      </c>
      <c r="H1077">
        <v>0</v>
      </c>
      <c r="I1077">
        <v>0</v>
      </c>
      <c r="J1077">
        <v>0</v>
      </c>
      <c r="K1077" t="s">
        <v>104</v>
      </c>
      <c r="L1077">
        <v>0</v>
      </c>
      <c r="M1077">
        <v>4</v>
      </c>
      <c r="N1077">
        <v>1</v>
      </c>
      <c r="O1077">
        <v>17</v>
      </c>
      <c r="P1077">
        <v>1</v>
      </c>
      <c r="Q1077">
        <v>4.2</v>
      </c>
      <c r="R1077">
        <v>25</v>
      </c>
      <c r="S1077">
        <v>0</v>
      </c>
      <c r="T1077">
        <v>0</v>
      </c>
      <c r="U1077" s="8">
        <v>25</v>
      </c>
      <c r="V1077" s="8">
        <f t="shared" si="33"/>
        <v>3</v>
      </c>
      <c r="W1077" t="str">
        <f>_xlfn.XLOOKUP(A1077, Matches!A:A, Matches!L:L, "NA", 0)</f>
        <v>MIW</v>
      </c>
      <c r="X1077" t="str">
        <f>_xlfn.XLOOKUP(A1077, Matches!A:A, Matches!J:J, "NA", 0)</f>
        <v>MIW</v>
      </c>
      <c r="Y1077" t="str">
        <f>_xlfn.XLOOKUP(A1077, Matches!A:A, Matches!F:F, "NA", 0)</f>
        <v>BCA Stadium, Kotambi</v>
      </c>
      <c r="Z1077" cm="1">
        <f t="array" ref="Z1077">INDEX(Innings!F:F,MATCH(1,(TRIM(Innings!A:A)=TRIM(A1077))*(TRIM(Innings!D:D)=TRIM(E1077)),0))</f>
        <v>122</v>
      </c>
      <c r="AA1077" cm="1">
        <f t="array" ref="AA1077">INDEX(Innings!I:I,MATCH(1,(TRIM(Innings!A:A)=TRIM(A1077))*(TRIM(Innings!D:D)=TRIM(E1077)),0))</f>
        <v>7.55</v>
      </c>
      <c r="AB1077" cm="1">
        <f t="array" ref="AB1077">INDEX(Innings!J:J,MATCH(1,(TRIM(Innings!A:A)=TRIM(A1077))*(TRIM(Innings!D:D)=TRIM(E1077)),0))</f>
        <v>37</v>
      </c>
      <c r="AC1077" cm="1">
        <f t="array" ref="AC1077">INDEX(Innings!N:N,MATCH(1,(TRIM(Innings!A:A)=TRIM(A1077))*(TRIM(Innings!D:D)=TRIM(E1077)),0))</f>
        <v>4</v>
      </c>
      <c r="AD1077" cm="1">
        <f t="array" ref="AD1077">INDEX(Innings!S:S,MATCH(1,(TRIM(Innings!A:A)=TRIM(A1077))*(TRIM(Innings!D:D)=TRIM(E1077)),0))</f>
        <v>34</v>
      </c>
      <c r="AE1077" t="str" cm="1">
        <f t="array" ref="AE1077">INDEX(Innings!W:W,MATCH(1,(TRIM(Innings!A:A)=TRIM(A1077))*(TRIM(Innings!D:D)=TRIM(E1077)),0))</f>
        <v>Successful</v>
      </c>
      <c r="AF1077">
        <f>IF(UPPER(TRIM(E1077))=UPPER(TRIM(W1077)),1,0)</f>
        <v>1</v>
      </c>
      <c r="AG1077">
        <f t="shared" si="32"/>
        <v>33.4</v>
      </c>
    </row>
    <row r="1078" spans="1:33" x14ac:dyDescent="0.3">
      <c r="A1078" t="s">
        <v>466</v>
      </c>
      <c r="B1078">
        <v>3</v>
      </c>
      <c r="C1078" t="s">
        <v>511</v>
      </c>
      <c r="D1078" t="s">
        <v>539</v>
      </c>
      <c r="E1078" t="s">
        <v>266</v>
      </c>
      <c r="F1078" t="s">
        <v>101</v>
      </c>
      <c r="G1078" t="s">
        <v>104</v>
      </c>
      <c r="H1078">
        <v>0</v>
      </c>
      <c r="I1078">
        <v>0</v>
      </c>
      <c r="J1078">
        <v>0</v>
      </c>
      <c r="K1078" t="s">
        <v>104</v>
      </c>
      <c r="L1078">
        <v>0</v>
      </c>
      <c r="M1078">
        <v>2</v>
      </c>
      <c r="N1078">
        <v>0</v>
      </c>
      <c r="O1078">
        <v>20</v>
      </c>
      <c r="P1078">
        <v>0</v>
      </c>
      <c r="Q1078">
        <v>10</v>
      </c>
      <c r="R1078">
        <v>0</v>
      </c>
      <c r="S1078">
        <v>0</v>
      </c>
      <c r="T1078">
        <v>0</v>
      </c>
      <c r="U1078" s="8">
        <v>0</v>
      </c>
      <c r="V1078" s="8">
        <f t="shared" si="33"/>
        <v>0</v>
      </c>
      <c r="W1078" t="str">
        <f>_xlfn.XLOOKUP(A1078, Matches!A:A, Matches!L:L, "NA", 0)</f>
        <v>MIW</v>
      </c>
      <c r="X1078" t="str">
        <f>_xlfn.XLOOKUP(A1078, Matches!A:A, Matches!J:J, "NA", 0)</f>
        <v>MIW</v>
      </c>
      <c r="Y1078" t="str">
        <f>_xlfn.XLOOKUP(A1078, Matches!A:A, Matches!F:F, "NA", 0)</f>
        <v>BCA Stadium, Kotambi</v>
      </c>
      <c r="Z1078" cm="1">
        <f t="array" ref="Z1078">INDEX(Innings!F:F,MATCH(1,(TRIM(Innings!A:A)=TRIM(A1078))*(TRIM(Innings!D:D)=TRIM(E1078)),0))</f>
        <v>122</v>
      </c>
      <c r="AA1078" cm="1">
        <f t="array" ref="AA1078">INDEX(Innings!I:I,MATCH(1,(TRIM(Innings!A:A)=TRIM(A1078))*(TRIM(Innings!D:D)=TRIM(E1078)),0))</f>
        <v>7.55</v>
      </c>
      <c r="AB1078" cm="1">
        <f t="array" ref="AB1078">INDEX(Innings!J:J,MATCH(1,(TRIM(Innings!A:A)=TRIM(A1078))*(TRIM(Innings!D:D)=TRIM(E1078)),0))</f>
        <v>37</v>
      </c>
      <c r="AC1078" cm="1">
        <f t="array" ref="AC1078">INDEX(Innings!N:N,MATCH(1,(TRIM(Innings!A:A)=TRIM(A1078))*(TRIM(Innings!D:D)=TRIM(E1078)),0))</f>
        <v>4</v>
      </c>
      <c r="AD1078" cm="1">
        <f t="array" ref="AD1078">INDEX(Innings!S:S,MATCH(1,(TRIM(Innings!A:A)=TRIM(A1078))*(TRIM(Innings!D:D)=TRIM(E1078)),0))</f>
        <v>34</v>
      </c>
      <c r="AE1078" t="str" cm="1">
        <f t="array" ref="AE1078">INDEX(Innings!W:W,MATCH(1,(TRIM(Innings!A:A)=TRIM(A1078))*(TRIM(Innings!D:D)=TRIM(E1078)),0))</f>
        <v>Successful</v>
      </c>
      <c r="AF1078">
        <f>IF(UPPER(TRIM(E1078))=UPPER(TRIM(W1078)),1,0)</f>
        <v>1</v>
      </c>
      <c r="AG1078">
        <f t="shared" si="32"/>
        <v>20</v>
      </c>
    </row>
    <row r="1079" spans="1:33" x14ac:dyDescent="0.3">
      <c r="A1079" t="s">
        <v>467</v>
      </c>
      <c r="B1079">
        <v>3</v>
      </c>
      <c r="C1079" t="s">
        <v>229</v>
      </c>
      <c r="D1079" t="s">
        <v>230</v>
      </c>
      <c r="E1079" t="s">
        <v>219</v>
      </c>
      <c r="F1079" t="s">
        <v>109</v>
      </c>
      <c r="G1079" t="s">
        <v>86</v>
      </c>
      <c r="H1079">
        <v>51</v>
      </c>
      <c r="I1079">
        <v>27</v>
      </c>
      <c r="J1079">
        <v>188.89</v>
      </c>
      <c r="K1079" t="s">
        <v>246</v>
      </c>
      <c r="L1079">
        <v>60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 s="8">
        <v>60</v>
      </c>
      <c r="V1079" s="8">
        <f t="shared" si="33"/>
        <v>6</v>
      </c>
      <c r="W1079" t="str">
        <f>_xlfn.XLOOKUP(A1079, Matches!A:A, Matches!L:L, "NA", 0)</f>
        <v>DCW</v>
      </c>
      <c r="X1079" t="str">
        <f>_xlfn.XLOOKUP(A1079, Matches!A:A, Matches!J:J, "NA", 0)</f>
        <v>DCW</v>
      </c>
      <c r="Y1079" t="str">
        <f>_xlfn.XLOOKUP(A1079, Matches!A:A, Matches!F:F, "NA", 0)</f>
        <v>BCA Stadium, Kotambi</v>
      </c>
      <c r="Z1079" cm="1">
        <f t="array" ref="Z1079">INDEX(Innings!F:F,MATCH(1,(TRIM(Innings!A:A)=TRIM(A1079))*(TRIM(Innings!D:D)=TRIM(E1079)),0))</f>
        <v>166</v>
      </c>
      <c r="AA1079" cm="1">
        <f t="array" ref="AA1079">INDEX(Innings!I:I,MATCH(1,(TRIM(Innings!A:A)=TRIM(A1079))*(TRIM(Innings!D:D)=TRIM(E1079)),0))</f>
        <v>8.3000000000000007</v>
      </c>
      <c r="AB1079" cm="1">
        <f t="array" ref="AB1079">INDEX(Innings!J:J,MATCH(1,(TRIM(Innings!A:A)=TRIM(A1079))*(TRIM(Innings!D:D)=TRIM(E1079)),0))</f>
        <v>66</v>
      </c>
      <c r="AC1079" cm="1">
        <f t="array" ref="AC1079">INDEX(Innings!N:N,MATCH(1,(TRIM(Innings!A:A)=TRIM(A1079))*(TRIM(Innings!D:D)=TRIM(E1079)),0))</f>
        <v>39</v>
      </c>
      <c r="AD1079" cm="1">
        <f t="array" ref="AD1079">INDEX(Innings!S:S,MATCH(1,(TRIM(Innings!A:A)=TRIM(A1079))*(TRIM(Innings!D:D)=TRIM(E1079)),0))</f>
        <v>43</v>
      </c>
      <c r="AE1079" t="str" cm="1">
        <f t="array" ref="AE1079">INDEX(Innings!W:W,MATCH(1,(TRIM(Innings!A:A)=TRIM(A1079))*(TRIM(Innings!D:D)=TRIM(E1079)),0))</f>
        <v>NA</v>
      </c>
      <c r="AF1079">
        <f>IF(UPPER(TRIM(E1079))=UPPER(TRIM(W1079)),1,0)</f>
        <v>0</v>
      </c>
      <c r="AG1079">
        <f t="shared" si="32"/>
        <v>31.8</v>
      </c>
    </row>
    <row r="1080" spans="1:33" x14ac:dyDescent="0.3">
      <c r="A1080" t="s">
        <v>467</v>
      </c>
      <c r="B1080">
        <v>3</v>
      </c>
      <c r="C1080" t="s">
        <v>375</v>
      </c>
      <c r="D1080" t="s">
        <v>376</v>
      </c>
      <c r="E1080" t="s">
        <v>219</v>
      </c>
      <c r="F1080" t="s">
        <v>109</v>
      </c>
      <c r="G1080" t="s">
        <v>86</v>
      </c>
      <c r="H1080">
        <v>16</v>
      </c>
      <c r="I1080">
        <v>15</v>
      </c>
      <c r="J1080">
        <v>106.67</v>
      </c>
      <c r="K1080" t="s">
        <v>246</v>
      </c>
      <c r="L1080">
        <v>15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 s="8">
        <v>15</v>
      </c>
      <c r="V1080" s="8">
        <f t="shared" si="33"/>
        <v>2</v>
      </c>
      <c r="W1080" t="str">
        <f>_xlfn.XLOOKUP(A1080, Matches!A:A, Matches!L:L, "NA", 0)</f>
        <v>DCW</v>
      </c>
      <c r="X1080" t="str">
        <f>_xlfn.XLOOKUP(A1080, Matches!A:A, Matches!J:J, "NA", 0)</f>
        <v>DCW</v>
      </c>
      <c r="Y1080" t="str">
        <f>_xlfn.XLOOKUP(A1080, Matches!A:A, Matches!F:F, "NA", 0)</f>
        <v>BCA Stadium, Kotambi</v>
      </c>
      <c r="Z1080" cm="1">
        <f t="array" ref="Z1080">INDEX(Innings!F:F,MATCH(1,(TRIM(Innings!A:A)=TRIM(A1080))*(TRIM(Innings!D:D)=TRIM(E1080)),0))</f>
        <v>166</v>
      </c>
      <c r="AA1080" cm="1">
        <f t="array" ref="AA1080">INDEX(Innings!I:I,MATCH(1,(TRIM(Innings!A:A)=TRIM(A1080))*(TRIM(Innings!D:D)=TRIM(E1080)),0))</f>
        <v>8.3000000000000007</v>
      </c>
      <c r="AB1080" cm="1">
        <f t="array" ref="AB1080">INDEX(Innings!J:J,MATCH(1,(TRIM(Innings!A:A)=TRIM(A1080))*(TRIM(Innings!D:D)=TRIM(E1080)),0))</f>
        <v>66</v>
      </c>
      <c r="AC1080" cm="1">
        <f t="array" ref="AC1080">INDEX(Innings!N:N,MATCH(1,(TRIM(Innings!A:A)=TRIM(A1080))*(TRIM(Innings!D:D)=TRIM(E1080)),0))</f>
        <v>39</v>
      </c>
      <c r="AD1080" cm="1">
        <f t="array" ref="AD1080">INDEX(Innings!S:S,MATCH(1,(TRIM(Innings!A:A)=TRIM(A1080))*(TRIM(Innings!D:D)=TRIM(E1080)),0))</f>
        <v>43</v>
      </c>
      <c r="AE1080" t="str" cm="1">
        <f t="array" ref="AE1080">INDEX(Innings!W:W,MATCH(1,(TRIM(Innings!A:A)=TRIM(A1080))*(TRIM(Innings!D:D)=TRIM(E1080)),0))</f>
        <v>NA</v>
      </c>
      <c r="AF1080">
        <f>IF(UPPER(TRIM(E1080))=UPPER(TRIM(W1080)),1,0)</f>
        <v>0</v>
      </c>
      <c r="AG1080">
        <f t="shared" si="32"/>
        <v>8.1</v>
      </c>
    </row>
    <row r="1081" spans="1:33" x14ac:dyDescent="0.3">
      <c r="A1081" t="s">
        <v>467</v>
      </c>
      <c r="B1081">
        <v>3</v>
      </c>
      <c r="C1081" t="s">
        <v>442</v>
      </c>
      <c r="D1081" t="s">
        <v>443</v>
      </c>
      <c r="E1081" t="s">
        <v>219</v>
      </c>
      <c r="F1081" t="s">
        <v>85</v>
      </c>
      <c r="G1081" t="s">
        <v>92</v>
      </c>
      <c r="H1081">
        <v>0</v>
      </c>
      <c r="I1081">
        <v>0</v>
      </c>
      <c r="J1081">
        <v>0</v>
      </c>
      <c r="K1081" t="s">
        <v>104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 s="8">
        <v>0</v>
      </c>
      <c r="V1081" s="8">
        <f t="shared" si="33"/>
        <v>0</v>
      </c>
      <c r="W1081" t="str">
        <f>_xlfn.XLOOKUP(A1081, Matches!A:A, Matches!L:L, "NA", 0)</f>
        <v>DCW</v>
      </c>
      <c r="X1081" t="str">
        <f>_xlfn.XLOOKUP(A1081, Matches!A:A, Matches!J:J, "NA", 0)</f>
        <v>DCW</v>
      </c>
      <c r="Y1081" t="str">
        <f>_xlfn.XLOOKUP(A1081, Matches!A:A, Matches!F:F, "NA", 0)</f>
        <v>BCA Stadium, Kotambi</v>
      </c>
      <c r="Z1081" cm="1">
        <f t="array" ref="Z1081">INDEX(Innings!F:F,MATCH(1,(TRIM(Innings!A:A)=TRIM(A1081))*(TRIM(Innings!D:D)=TRIM(E1081)),0))</f>
        <v>166</v>
      </c>
      <c r="AA1081" cm="1">
        <f t="array" ref="AA1081">INDEX(Innings!I:I,MATCH(1,(TRIM(Innings!A:A)=TRIM(A1081))*(TRIM(Innings!D:D)=TRIM(E1081)),0))</f>
        <v>8.3000000000000007</v>
      </c>
      <c r="AB1081" cm="1">
        <f t="array" ref="AB1081">INDEX(Innings!J:J,MATCH(1,(TRIM(Innings!A:A)=TRIM(A1081))*(TRIM(Innings!D:D)=TRIM(E1081)),0))</f>
        <v>66</v>
      </c>
      <c r="AC1081" cm="1">
        <f t="array" ref="AC1081">INDEX(Innings!N:N,MATCH(1,(TRIM(Innings!A:A)=TRIM(A1081))*(TRIM(Innings!D:D)=TRIM(E1081)),0))</f>
        <v>39</v>
      </c>
      <c r="AD1081" cm="1">
        <f t="array" ref="AD1081">INDEX(Innings!S:S,MATCH(1,(TRIM(Innings!A:A)=TRIM(A1081))*(TRIM(Innings!D:D)=TRIM(E1081)),0))</f>
        <v>43</v>
      </c>
      <c r="AE1081" t="str" cm="1">
        <f t="array" ref="AE1081">INDEX(Innings!W:W,MATCH(1,(TRIM(Innings!A:A)=TRIM(A1081))*(TRIM(Innings!D:D)=TRIM(E1081)),0))</f>
        <v>NA</v>
      </c>
      <c r="AF1081">
        <f>IF(UPPER(TRIM(E1081))=UPPER(TRIM(W1081)),1,0)</f>
        <v>0</v>
      </c>
      <c r="AG1081">
        <f t="shared" si="32"/>
        <v>0</v>
      </c>
    </row>
    <row r="1082" spans="1:33" x14ac:dyDescent="0.3">
      <c r="A1082" t="s">
        <v>467</v>
      </c>
      <c r="B1082">
        <v>3</v>
      </c>
      <c r="C1082" t="s">
        <v>224</v>
      </c>
      <c r="D1082" t="s">
        <v>225</v>
      </c>
      <c r="E1082" t="s">
        <v>219</v>
      </c>
      <c r="F1082" t="s">
        <v>169</v>
      </c>
      <c r="G1082" t="s">
        <v>92</v>
      </c>
      <c r="H1082">
        <v>7</v>
      </c>
      <c r="I1082">
        <v>7</v>
      </c>
      <c r="J1082">
        <v>100</v>
      </c>
      <c r="K1082" t="s">
        <v>248</v>
      </c>
      <c r="L1082">
        <v>10</v>
      </c>
      <c r="M1082">
        <v>4</v>
      </c>
      <c r="N1082">
        <v>0</v>
      </c>
      <c r="O1082">
        <v>27</v>
      </c>
      <c r="P1082">
        <v>1</v>
      </c>
      <c r="Q1082">
        <v>6.8</v>
      </c>
      <c r="R1082">
        <v>25</v>
      </c>
      <c r="S1082">
        <v>0</v>
      </c>
      <c r="T1082">
        <v>0</v>
      </c>
      <c r="U1082" s="8">
        <v>35</v>
      </c>
      <c r="V1082" s="8">
        <f t="shared" si="33"/>
        <v>4</v>
      </c>
      <c r="W1082" t="str">
        <f>_xlfn.XLOOKUP(A1082, Matches!A:A, Matches!L:L, "NA", 0)</f>
        <v>DCW</v>
      </c>
      <c r="X1082" t="str">
        <f>_xlfn.XLOOKUP(A1082, Matches!A:A, Matches!J:J, "NA", 0)</f>
        <v>DCW</v>
      </c>
      <c r="Y1082" t="str">
        <f>_xlfn.XLOOKUP(A1082, Matches!A:A, Matches!F:F, "NA", 0)</f>
        <v>BCA Stadium, Kotambi</v>
      </c>
      <c r="Z1082" cm="1">
        <f t="array" ref="Z1082">INDEX(Innings!F:F,MATCH(1,(TRIM(Innings!A:A)=TRIM(A1082))*(TRIM(Innings!D:D)=TRIM(E1082)),0))</f>
        <v>166</v>
      </c>
      <c r="AA1082" cm="1">
        <f t="array" ref="AA1082">INDEX(Innings!I:I,MATCH(1,(TRIM(Innings!A:A)=TRIM(A1082))*(TRIM(Innings!D:D)=TRIM(E1082)),0))</f>
        <v>8.3000000000000007</v>
      </c>
      <c r="AB1082" cm="1">
        <f t="array" ref="AB1082">INDEX(Innings!J:J,MATCH(1,(TRIM(Innings!A:A)=TRIM(A1082))*(TRIM(Innings!D:D)=TRIM(E1082)),0))</f>
        <v>66</v>
      </c>
      <c r="AC1082" cm="1">
        <f t="array" ref="AC1082">INDEX(Innings!N:N,MATCH(1,(TRIM(Innings!A:A)=TRIM(A1082))*(TRIM(Innings!D:D)=TRIM(E1082)),0))</f>
        <v>39</v>
      </c>
      <c r="AD1082" cm="1">
        <f t="array" ref="AD1082">INDEX(Innings!S:S,MATCH(1,(TRIM(Innings!A:A)=TRIM(A1082))*(TRIM(Innings!D:D)=TRIM(E1082)),0))</f>
        <v>43</v>
      </c>
      <c r="AE1082" t="str" cm="1">
        <f t="array" ref="AE1082">INDEX(Innings!W:W,MATCH(1,(TRIM(Innings!A:A)=TRIM(A1082))*(TRIM(Innings!D:D)=TRIM(E1082)),0))</f>
        <v>NA</v>
      </c>
      <c r="AF1082">
        <f>IF(UPPER(TRIM(E1082))=UPPER(TRIM(W1082)),1,0)</f>
        <v>0</v>
      </c>
      <c r="AG1082">
        <f t="shared" si="32"/>
        <v>18.7</v>
      </c>
    </row>
    <row r="1083" spans="1:33" x14ac:dyDescent="0.3">
      <c r="A1083" t="s">
        <v>467</v>
      </c>
      <c r="B1083">
        <v>3</v>
      </c>
      <c r="C1083" t="s">
        <v>222</v>
      </c>
      <c r="D1083" t="s">
        <v>223</v>
      </c>
      <c r="E1083" t="s">
        <v>219</v>
      </c>
      <c r="F1083" t="s">
        <v>169</v>
      </c>
      <c r="G1083" t="s">
        <v>134</v>
      </c>
      <c r="H1083">
        <v>1</v>
      </c>
      <c r="I1083">
        <v>6</v>
      </c>
      <c r="J1083">
        <v>16.670000000000002</v>
      </c>
      <c r="K1083" t="s">
        <v>248</v>
      </c>
      <c r="L1083">
        <v>2</v>
      </c>
      <c r="M1083">
        <v>2.5</v>
      </c>
      <c r="N1083">
        <v>0</v>
      </c>
      <c r="O1083">
        <v>26</v>
      </c>
      <c r="P1083">
        <v>0</v>
      </c>
      <c r="Q1083">
        <v>9.1999999999999993</v>
      </c>
      <c r="R1083">
        <v>0</v>
      </c>
      <c r="S1083">
        <v>0</v>
      </c>
      <c r="T1083">
        <v>0</v>
      </c>
      <c r="U1083" s="8">
        <v>2</v>
      </c>
      <c r="V1083" s="8">
        <f t="shared" si="33"/>
        <v>0</v>
      </c>
      <c r="W1083" t="str">
        <f>_xlfn.XLOOKUP(A1083, Matches!A:A, Matches!L:L, "NA", 0)</f>
        <v>DCW</v>
      </c>
      <c r="X1083" t="str">
        <f>_xlfn.XLOOKUP(A1083, Matches!A:A, Matches!J:J, "NA", 0)</f>
        <v>DCW</v>
      </c>
      <c r="Y1083" t="str">
        <f>_xlfn.XLOOKUP(A1083, Matches!A:A, Matches!F:F, "NA", 0)</f>
        <v>BCA Stadium, Kotambi</v>
      </c>
      <c r="Z1083" cm="1">
        <f t="array" ref="Z1083">INDEX(Innings!F:F,MATCH(1,(TRIM(Innings!A:A)=TRIM(A1083))*(TRIM(Innings!D:D)=TRIM(E1083)),0))</f>
        <v>166</v>
      </c>
      <c r="AA1083" cm="1">
        <f t="array" ref="AA1083">INDEX(Innings!I:I,MATCH(1,(TRIM(Innings!A:A)=TRIM(A1083))*(TRIM(Innings!D:D)=TRIM(E1083)),0))</f>
        <v>8.3000000000000007</v>
      </c>
      <c r="AB1083" cm="1">
        <f t="array" ref="AB1083">INDEX(Innings!J:J,MATCH(1,(TRIM(Innings!A:A)=TRIM(A1083))*(TRIM(Innings!D:D)=TRIM(E1083)),0))</f>
        <v>66</v>
      </c>
      <c r="AC1083" cm="1">
        <f t="array" ref="AC1083">INDEX(Innings!N:N,MATCH(1,(TRIM(Innings!A:A)=TRIM(A1083))*(TRIM(Innings!D:D)=TRIM(E1083)),0))</f>
        <v>39</v>
      </c>
      <c r="AD1083" cm="1">
        <f t="array" ref="AD1083">INDEX(Innings!S:S,MATCH(1,(TRIM(Innings!A:A)=TRIM(A1083))*(TRIM(Innings!D:D)=TRIM(E1083)),0))</f>
        <v>43</v>
      </c>
      <c r="AE1083" t="str" cm="1">
        <f t="array" ref="AE1083">INDEX(Innings!W:W,MATCH(1,(TRIM(Innings!A:A)=TRIM(A1083))*(TRIM(Innings!D:D)=TRIM(E1083)),0))</f>
        <v>NA</v>
      </c>
      <c r="AF1083">
        <f>IF(UPPER(TRIM(E1083))=UPPER(TRIM(W1083)),1,0)</f>
        <v>0</v>
      </c>
      <c r="AG1083">
        <f t="shared" si="32"/>
        <v>1</v>
      </c>
    </row>
    <row r="1084" spans="1:33" x14ac:dyDescent="0.3">
      <c r="A1084" t="s">
        <v>467</v>
      </c>
      <c r="B1084">
        <v>3</v>
      </c>
      <c r="C1084" t="s">
        <v>226</v>
      </c>
      <c r="D1084" t="s">
        <v>211</v>
      </c>
      <c r="E1084" t="s">
        <v>219</v>
      </c>
      <c r="F1084" t="s">
        <v>169</v>
      </c>
      <c r="G1084" t="s">
        <v>134</v>
      </c>
      <c r="H1084">
        <v>12</v>
      </c>
      <c r="I1084">
        <v>14</v>
      </c>
      <c r="J1084">
        <v>85.71</v>
      </c>
      <c r="K1084" t="s">
        <v>246</v>
      </c>
      <c r="L1084">
        <v>12</v>
      </c>
      <c r="M1084">
        <v>2</v>
      </c>
      <c r="N1084">
        <v>0</v>
      </c>
      <c r="O1084">
        <v>11</v>
      </c>
      <c r="P1084">
        <v>1</v>
      </c>
      <c r="Q1084">
        <v>5.5</v>
      </c>
      <c r="R1084">
        <v>25</v>
      </c>
      <c r="S1084">
        <v>0</v>
      </c>
      <c r="T1084">
        <v>0</v>
      </c>
      <c r="U1084" s="8">
        <v>37</v>
      </c>
      <c r="V1084" s="8">
        <f t="shared" si="33"/>
        <v>4</v>
      </c>
      <c r="W1084" t="str">
        <f>_xlfn.XLOOKUP(A1084, Matches!A:A, Matches!L:L, "NA", 0)</f>
        <v>DCW</v>
      </c>
      <c r="X1084" t="str">
        <f>_xlfn.XLOOKUP(A1084, Matches!A:A, Matches!J:J, "NA", 0)</f>
        <v>DCW</v>
      </c>
      <c r="Y1084" t="str">
        <f>_xlfn.XLOOKUP(A1084, Matches!A:A, Matches!F:F, "NA", 0)</f>
        <v>BCA Stadium, Kotambi</v>
      </c>
      <c r="Z1084" cm="1">
        <f t="array" ref="Z1084">INDEX(Innings!F:F,MATCH(1,(TRIM(Innings!A:A)=TRIM(A1084))*(TRIM(Innings!D:D)=TRIM(E1084)),0))</f>
        <v>166</v>
      </c>
      <c r="AA1084" cm="1">
        <f t="array" ref="AA1084">INDEX(Innings!I:I,MATCH(1,(TRIM(Innings!A:A)=TRIM(A1084))*(TRIM(Innings!D:D)=TRIM(E1084)),0))</f>
        <v>8.3000000000000007</v>
      </c>
      <c r="AB1084" cm="1">
        <f t="array" ref="AB1084">INDEX(Innings!J:J,MATCH(1,(TRIM(Innings!A:A)=TRIM(A1084))*(TRIM(Innings!D:D)=TRIM(E1084)),0))</f>
        <v>66</v>
      </c>
      <c r="AC1084" cm="1">
        <f t="array" ref="AC1084">INDEX(Innings!N:N,MATCH(1,(TRIM(Innings!A:A)=TRIM(A1084))*(TRIM(Innings!D:D)=TRIM(E1084)),0))</f>
        <v>39</v>
      </c>
      <c r="AD1084" cm="1">
        <f t="array" ref="AD1084">INDEX(Innings!S:S,MATCH(1,(TRIM(Innings!A:A)=TRIM(A1084))*(TRIM(Innings!D:D)=TRIM(E1084)),0))</f>
        <v>43</v>
      </c>
      <c r="AE1084" t="str" cm="1">
        <f t="array" ref="AE1084">INDEX(Innings!W:W,MATCH(1,(TRIM(Innings!A:A)=TRIM(A1084))*(TRIM(Innings!D:D)=TRIM(E1084)),0))</f>
        <v>NA</v>
      </c>
      <c r="AF1084">
        <f>IF(UPPER(TRIM(E1084))=UPPER(TRIM(W1084)),1,0)</f>
        <v>0</v>
      </c>
      <c r="AG1084">
        <f t="shared" si="32"/>
        <v>19.7</v>
      </c>
    </row>
    <row r="1085" spans="1:33" x14ac:dyDescent="0.3">
      <c r="A1085" t="s">
        <v>467</v>
      </c>
      <c r="B1085">
        <v>3</v>
      </c>
      <c r="C1085" t="s">
        <v>512</v>
      </c>
      <c r="D1085" t="s">
        <v>542</v>
      </c>
      <c r="E1085" t="s">
        <v>219</v>
      </c>
      <c r="F1085" t="s">
        <v>169</v>
      </c>
      <c r="G1085" t="s">
        <v>134</v>
      </c>
      <c r="H1085">
        <v>33</v>
      </c>
      <c r="I1085">
        <v>15</v>
      </c>
      <c r="J1085">
        <v>220</v>
      </c>
      <c r="K1085" t="s">
        <v>96</v>
      </c>
      <c r="L1085">
        <v>45</v>
      </c>
      <c r="M1085">
        <v>3</v>
      </c>
      <c r="N1085">
        <v>0</v>
      </c>
      <c r="O1085">
        <v>26</v>
      </c>
      <c r="P1085">
        <v>0</v>
      </c>
      <c r="Q1085">
        <v>8.6999999999999993</v>
      </c>
      <c r="R1085">
        <v>0</v>
      </c>
      <c r="S1085">
        <v>0</v>
      </c>
      <c r="T1085">
        <v>0</v>
      </c>
      <c r="U1085" s="8">
        <v>45</v>
      </c>
      <c r="V1085" s="8">
        <f t="shared" si="33"/>
        <v>5</v>
      </c>
      <c r="W1085" t="str">
        <f>_xlfn.XLOOKUP(A1085, Matches!A:A, Matches!L:L, "NA", 0)</f>
        <v>DCW</v>
      </c>
      <c r="X1085" t="str">
        <f>_xlfn.XLOOKUP(A1085, Matches!A:A, Matches!J:J, "NA", 0)</f>
        <v>DCW</v>
      </c>
      <c r="Y1085" t="str">
        <f>_xlfn.XLOOKUP(A1085, Matches!A:A, Matches!F:F, "NA", 0)</f>
        <v>BCA Stadium, Kotambi</v>
      </c>
      <c r="Z1085" cm="1">
        <f t="array" ref="Z1085">INDEX(Innings!F:F,MATCH(1,(TRIM(Innings!A:A)=TRIM(A1085))*(TRIM(Innings!D:D)=TRIM(E1085)),0))</f>
        <v>166</v>
      </c>
      <c r="AA1085" cm="1">
        <f t="array" ref="AA1085">INDEX(Innings!I:I,MATCH(1,(TRIM(Innings!A:A)=TRIM(A1085))*(TRIM(Innings!D:D)=TRIM(E1085)),0))</f>
        <v>8.3000000000000007</v>
      </c>
      <c r="AB1085" cm="1">
        <f t="array" ref="AB1085">INDEX(Innings!J:J,MATCH(1,(TRIM(Innings!A:A)=TRIM(A1085))*(TRIM(Innings!D:D)=TRIM(E1085)),0))</f>
        <v>66</v>
      </c>
      <c r="AC1085" cm="1">
        <f t="array" ref="AC1085">INDEX(Innings!N:N,MATCH(1,(TRIM(Innings!A:A)=TRIM(A1085))*(TRIM(Innings!D:D)=TRIM(E1085)),0))</f>
        <v>39</v>
      </c>
      <c r="AD1085" cm="1">
        <f t="array" ref="AD1085">INDEX(Innings!S:S,MATCH(1,(TRIM(Innings!A:A)=TRIM(A1085))*(TRIM(Innings!D:D)=TRIM(E1085)),0))</f>
        <v>43</v>
      </c>
      <c r="AE1085" t="str" cm="1">
        <f t="array" ref="AE1085">INDEX(Innings!W:W,MATCH(1,(TRIM(Innings!A:A)=TRIM(A1085))*(TRIM(Innings!D:D)=TRIM(E1085)),0))</f>
        <v>NA</v>
      </c>
      <c r="AF1085">
        <f>IF(UPPER(TRIM(E1085))=UPPER(TRIM(W1085)),1,0)</f>
        <v>0</v>
      </c>
      <c r="AG1085">
        <f t="shared" si="32"/>
        <v>24</v>
      </c>
    </row>
    <row r="1086" spans="1:33" x14ac:dyDescent="0.3">
      <c r="A1086" t="s">
        <v>467</v>
      </c>
      <c r="B1086">
        <v>3</v>
      </c>
      <c r="C1086" t="s">
        <v>220</v>
      </c>
      <c r="D1086" t="s">
        <v>221</v>
      </c>
      <c r="E1086" t="s">
        <v>219</v>
      </c>
      <c r="F1086" t="s">
        <v>109</v>
      </c>
      <c r="G1086" t="s">
        <v>134</v>
      </c>
      <c r="H1086">
        <v>37</v>
      </c>
      <c r="I1086">
        <v>33</v>
      </c>
      <c r="J1086">
        <v>112.12</v>
      </c>
      <c r="K1086" t="s">
        <v>246</v>
      </c>
      <c r="L1086">
        <v>35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 s="8">
        <v>35</v>
      </c>
      <c r="V1086" s="8">
        <f t="shared" si="33"/>
        <v>4</v>
      </c>
      <c r="W1086" t="str">
        <f>_xlfn.XLOOKUP(A1086, Matches!A:A, Matches!L:L, "NA", 0)</f>
        <v>DCW</v>
      </c>
      <c r="X1086" t="str">
        <f>_xlfn.XLOOKUP(A1086, Matches!A:A, Matches!J:J, "NA", 0)</f>
        <v>DCW</v>
      </c>
      <c r="Y1086" t="str">
        <f>_xlfn.XLOOKUP(A1086, Matches!A:A, Matches!F:F, "NA", 0)</f>
        <v>BCA Stadium, Kotambi</v>
      </c>
      <c r="Z1086" cm="1">
        <f t="array" ref="Z1086">INDEX(Innings!F:F,MATCH(1,(TRIM(Innings!A:A)=TRIM(A1086))*(TRIM(Innings!D:D)=TRIM(E1086)),0))</f>
        <v>166</v>
      </c>
      <c r="AA1086" cm="1">
        <f t="array" ref="AA1086">INDEX(Innings!I:I,MATCH(1,(TRIM(Innings!A:A)=TRIM(A1086))*(TRIM(Innings!D:D)=TRIM(E1086)),0))</f>
        <v>8.3000000000000007</v>
      </c>
      <c r="AB1086" cm="1">
        <f t="array" ref="AB1086">INDEX(Innings!J:J,MATCH(1,(TRIM(Innings!A:A)=TRIM(A1086))*(TRIM(Innings!D:D)=TRIM(E1086)),0))</f>
        <v>66</v>
      </c>
      <c r="AC1086" cm="1">
        <f t="array" ref="AC1086">INDEX(Innings!N:N,MATCH(1,(TRIM(Innings!A:A)=TRIM(A1086))*(TRIM(Innings!D:D)=TRIM(E1086)),0))</f>
        <v>39</v>
      </c>
      <c r="AD1086" cm="1">
        <f t="array" ref="AD1086">INDEX(Innings!S:S,MATCH(1,(TRIM(Innings!A:A)=TRIM(A1086))*(TRIM(Innings!D:D)=TRIM(E1086)),0))</f>
        <v>43</v>
      </c>
      <c r="AE1086" t="str" cm="1">
        <f t="array" ref="AE1086">INDEX(Innings!W:W,MATCH(1,(TRIM(Innings!A:A)=TRIM(A1086))*(TRIM(Innings!D:D)=TRIM(E1086)),0))</f>
        <v>NA</v>
      </c>
      <c r="AF1086">
        <f>IF(UPPER(TRIM(E1086))=UPPER(TRIM(W1086)),1,0)</f>
        <v>0</v>
      </c>
      <c r="AG1086">
        <f t="shared" si="32"/>
        <v>18.7</v>
      </c>
    </row>
    <row r="1087" spans="1:33" x14ac:dyDescent="0.3">
      <c r="A1087" t="s">
        <v>467</v>
      </c>
      <c r="B1087">
        <v>3</v>
      </c>
      <c r="C1087" t="s">
        <v>233</v>
      </c>
      <c r="D1087" t="s">
        <v>234</v>
      </c>
      <c r="E1087" t="s">
        <v>219</v>
      </c>
      <c r="F1087" t="s">
        <v>101</v>
      </c>
      <c r="G1087" t="s">
        <v>134</v>
      </c>
      <c r="H1087">
        <v>2</v>
      </c>
      <c r="I1087">
        <v>3</v>
      </c>
      <c r="J1087">
        <v>66.67</v>
      </c>
      <c r="K1087" t="s">
        <v>256</v>
      </c>
      <c r="L1087">
        <v>2</v>
      </c>
      <c r="M1087">
        <v>4</v>
      </c>
      <c r="N1087">
        <v>0</v>
      </c>
      <c r="O1087">
        <v>31</v>
      </c>
      <c r="P1087">
        <v>1</v>
      </c>
      <c r="Q1087">
        <v>7.8</v>
      </c>
      <c r="R1087">
        <v>25</v>
      </c>
      <c r="S1087">
        <v>0</v>
      </c>
      <c r="T1087">
        <v>0</v>
      </c>
      <c r="U1087" s="8">
        <v>27</v>
      </c>
      <c r="V1087" s="8">
        <f t="shared" si="33"/>
        <v>3</v>
      </c>
      <c r="W1087" t="str">
        <f>_xlfn.XLOOKUP(A1087, Matches!A:A, Matches!L:L, "NA", 0)</f>
        <v>DCW</v>
      </c>
      <c r="X1087" t="str">
        <f>_xlfn.XLOOKUP(A1087, Matches!A:A, Matches!J:J, "NA", 0)</f>
        <v>DCW</v>
      </c>
      <c r="Y1087" t="str">
        <f>_xlfn.XLOOKUP(A1087, Matches!A:A, Matches!F:F, "NA", 0)</f>
        <v>BCA Stadium, Kotambi</v>
      </c>
      <c r="Z1087" cm="1">
        <f t="array" ref="Z1087">INDEX(Innings!F:F,MATCH(1,(TRIM(Innings!A:A)=TRIM(A1087))*(TRIM(Innings!D:D)=TRIM(E1087)),0))</f>
        <v>166</v>
      </c>
      <c r="AA1087" cm="1">
        <f t="array" ref="AA1087">INDEX(Innings!I:I,MATCH(1,(TRIM(Innings!A:A)=TRIM(A1087))*(TRIM(Innings!D:D)=TRIM(E1087)),0))</f>
        <v>8.3000000000000007</v>
      </c>
      <c r="AB1087" cm="1">
        <f t="array" ref="AB1087">INDEX(Innings!J:J,MATCH(1,(TRIM(Innings!A:A)=TRIM(A1087))*(TRIM(Innings!D:D)=TRIM(E1087)),0))</f>
        <v>66</v>
      </c>
      <c r="AC1087" cm="1">
        <f t="array" ref="AC1087">INDEX(Innings!N:N,MATCH(1,(TRIM(Innings!A:A)=TRIM(A1087))*(TRIM(Innings!D:D)=TRIM(E1087)),0))</f>
        <v>39</v>
      </c>
      <c r="AD1087" cm="1">
        <f t="array" ref="AD1087">INDEX(Innings!S:S,MATCH(1,(TRIM(Innings!A:A)=TRIM(A1087))*(TRIM(Innings!D:D)=TRIM(E1087)),0))</f>
        <v>43</v>
      </c>
      <c r="AE1087" t="str" cm="1">
        <f t="array" ref="AE1087">INDEX(Innings!W:W,MATCH(1,(TRIM(Innings!A:A)=TRIM(A1087))*(TRIM(Innings!D:D)=TRIM(E1087)),0))</f>
        <v>NA</v>
      </c>
      <c r="AF1087">
        <f>IF(UPPER(TRIM(E1087))=UPPER(TRIM(W1087)),1,0)</f>
        <v>0</v>
      </c>
      <c r="AG1087">
        <f t="shared" si="32"/>
        <v>14.4</v>
      </c>
    </row>
    <row r="1088" spans="1:33" x14ac:dyDescent="0.3">
      <c r="A1088" t="s">
        <v>467</v>
      </c>
      <c r="B1088">
        <v>3</v>
      </c>
      <c r="C1088" t="s">
        <v>509</v>
      </c>
      <c r="D1088" t="s">
        <v>523</v>
      </c>
      <c r="E1088" t="s">
        <v>219</v>
      </c>
      <c r="F1088" t="s">
        <v>169</v>
      </c>
      <c r="G1088" t="s">
        <v>104</v>
      </c>
      <c r="H1088">
        <v>0</v>
      </c>
      <c r="I1088">
        <v>0</v>
      </c>
      <c r="J1088">
        <v>0</v>
      </c>
      <c r="K1088" t="s">
        <v>104</v>
      </c>
      <c r="L1088">
        <v>0</v>
      </c>
      <c r="M1088">
        <v>2</v>
      </c>
      <c r="N1088">
        <v>0</v>
      </c>
      <c r="O1088">
        <v>22</v>
      </c>
      <c r="P1088">
        <v>0</v>
      </c>
      <c r="Q1088">
        <v>11</v>
      </c>
      <c r="R1088">
        <v>0</v>
      </c>
      <c r="S1088">
        <v>0</v>
      </c>
      <c r="T1088">
        <v>0</v>
      </c>
      <c r="U1088" s="8">
        <v>0</v>
      </c>
      <c r="V1088" s="8">
        <f t="shared" si="33"/>
        <v>0</v>
      </c>
      <c r="W1088" t="str">
        <f>_xlfn.XLOOKUP(A1088, Matches!A:A, Matches!L:L, "NA", 0)</f>
        <v>DCW</v>
      </c>
      <c r="X1088" t="str">
        <f>_xlfn.XLOOKUP(A1088, Matches!A:A, Matches!J:J, "NA", 0)</f>
        <v>DCW</v>
      </c>
      <c r="Y1088" t="str">
        <f>_xlfn.XLOOKUP(A1088, Matches!A:A, Matches!F:F, "NA", 0)</f>
        <v>BCA Stadium, Kotambi</v>
      </c>
      <c r="Z1088" cm="1">
        <f t="array" ref="Z1088">INDEX(Innings!F:F,MATCH(1,(TRIM(Innings!A:A)=TRIM(A1088))*(TRIM(Innings!D:D)=TRIM(E1088)),0))</f>
        <v>166</v>
      </c>
      <c r="AA1088" cm="1">
        <f t="array" ref="AA1088">INDEX(Innings!I:I,MATCH(1,(TRIM(Innings!A:A)=TRIM(A1088))*(TRIM(Innings!D:D)=TRIM(E1088)),0))</f>
        <v>8.3000000000000007</v>
      </c>
      <c r="AB1088" cm="1">
        <f t="array" ref="AB1088">INDEX(Innings!J:J,MATCH(1,(TRIM(Innings!A:A)=TRIM(A1088))*(TRIM(Innings!D:D)=TRIM(E1088)),0))</f>
        <v>66</v>
      </c>
      <c r="AC1088" cm="1">
        <f t="array" ref="AC1088">INDEX(Innings!N:N,MATCH(1,(TRIM(Innings!A:A)=TRIM(A1088))*(TRIM(Innings!D:D)=TRIM(E1088)),0))</f>
        <v>39</v>
      </c>
      <c r="AD1088" cm="1">
        <f t="array" ref="AD1088">INDEX(Innings!S:S,MATCH(1,(TRIM(Innings!A:A)=TRIM(A1088))*(TRIM(Innings!D:D)=TRIM(E1088)),0))</f>
        <v>43</v>
      </c>
      <c r="AE1088" t="str" cm="1">
        <f t="array" ref="AE1088">INDEX(Innings!W:W,MATCH(1,(TRIM(Innings!A:A)=TRIM(A1088))*(TRIM(Innings!D:D)=TRIM(E1088)),0))</f>
        <v>NA</v>
      </c>
      <c r="AF1088">
        <f>IF(UPPER(TRIM(E1088))=UPPER(TRIM(W1088)),1,0)</f>
        <v>0</v>
      </c>
      <c r="AG1088">
        <f t="shared" si="32"/>
        <v>0</v>
      </c>
    </row>
    <row r="1089" spans="1:33" x14ac:dyDescent="0.3">
      <c r="A1089" t="s">
        <v>467</v>
      </c>
      <c r="B1089">
        <v>3</v>
      </c>
      <c r="C1089" t="s">
        <v>237</v>
      </c>
      <c r="D1089" t="s">
        <v>238</v>
      </c>
      <c r="E1089" t="s">
        <v>219</v>
      </c>
      <c r="F1089" t="s">
        <v>101</v>
      </c>
      <c r="G1089" t="s">
        <v>104</v>
      </c>
      <c r="H1089">
        <v>0</v>
      </c>
      <c r="I1089">
        <v>0</v>
      </c>
      <c r="J1089">
        <v>0</v>
      </c>
      <c r="K1089" t="s">
        <v>104</v>
      </c>
      <c r="L1089">
        <v>0</v>
      </c>
      <c r="M1089">
        <v>2</v>
      </c>
      <c r="N1089">
        <v>0</v>
      </c>
      <c r="O1089">
        <v>24</v>
      </c>
      <c r="P1089">
        <v>0</v>
      </c>
      <c r="Q1089">
        <v>12</v>
      </c>
      <c r="R1089">
        <v>0</v>
      </c>
      <c r="S1089">
        <v>0</v>
      </c>
      <c r="T1089">
        <v>0</v>
      </c>
      <c r="U1089" s="8">
        <v>0</v>
      </c>
      <c r="V1089" s="8">
        <f t="shared" si="33"/>
        <v>0</v>
      </c>
      <c r="W1089" t="str">
        <f>_xlfn.XLOOKUP(A1089, Matches!A:A, Matches!L:L, "NA", 0)</f>
        <v>DCW</v>
      </c>
      <c r="X1089" t="str">
        <f>_xlfn.XLOOKUP(A1089, Matches!A:A, Matches!J:J, "NA", 0)</f>
        <v>DCW</v>
      </c>
      <c r="Y1089" t="str">
        <f>_xlfn.XLOOKUP(A1089, Matches!A:A, Matches!F:F, "NA", 0)</f>
        <v>BCA Stadium, Kotambi</v>
      </c>
      <c r="Z1089" cm="1">
        <f t="array" ref="Z1089">INDEX(Innings!F:F,MATCH(1,(TRIM(Innings!A:A)=TRIM(A1089))*(TRIM(Innings!D:D)=TRIM(E1089)),0))</f>
        <v>166</v>
      </c>
      <c r="AA1089" cm="1">
        <f t="array" ref="AA1089">INDEX(Innings!I:I,MATCH(1,(TRIM(Innings!A:A)=TRIM(A1089))*(TRIM(Innings!D:D)=TRIM(E1089)),0))</f>
        <v>8.3000000000000007</v>
      </c>
      <c r="AB1089" cm="1">
        <f t="array" ref="AB1089">INDEX(Innings!J:J,MATCH(1,(TRIM(Innings!A:A)=TRIM(A1089))*(TRIM(Innings!D:D)=TRIM(E1089)),0))</f>
        <v>66</v>
      </c>
      <c r="AC1089" cm="1">
        <f t="array" ref="AC1089">INDEX(Innings!N:N,MATCH(1,(TRIM(Innings!A:A)=TRIM(A1089))*(TRIM(Innings!D:D)=TRIM(E1089)),0))</f>
        <v>39</v>
      </c>
      <c r="AD1089" cm="1">
        <f t="array" ref="AD1089">INDEX(Innings!S:S,MATCH(1,(TRIM(Innings!A:A)=TRIM(A1089))*(TRIM(Innings!D:D)=TRIM(E1089)),0))</f>
        <v>43</v>
      </c>
      <c r="AE1089" t="str" cm="1">
        <f t="array" ref="AE1089">INDEX(Innings!W:W,MATCH(1,(TRIM(Innings!A:A)=TRIM(A1089))*(TRIM(Innings!D:D)=TRIM(E1089)),0))</f>
        <v>NA</v>
      </c>
      <c r="AF1089">
        <f>IF(UPPER(TRIM(E1089))=UPPER(TRIM(W1089)),1,0)</f>
        <v>0</v>
      </c>
      <c r="AG1089">
        <f t="shared" ref="AG1089:AG1152" si="34">(0.5*MAX(0,U1089) + 0.3*MAX(0,V1089) + 0.2*AF1089*100)</f>
        <v>0</v>
      </c>
    </row>
    <row r="1090" spans="1:33" x14ac:dyDescent="0.3">
      <c r="A1090" t="s">
        <v>467</v>
      </c>
      <c r="B1090">
        <v>3</v>
      </c>
      <c r="C1090" t="s">
        <v>188</v>
      </c>
      <c r="D1090" t="s">
        <v>189</v>
      </c>
      <c r="E1090" t="s">
        <v>158</v>
      </c>
      <c r="F1090" t="s">
        <v>109</v>
      </c>
      <c r="G1090" t="s">
        <v>86</v>
      </c>
      <c r="H1090">
        <v>26</v>
      </c>
      <c r="I1090">
        <v>16</v>
      </c>
      <c r="J1090">
        <v>162.5</v>
      </c>
      <c r="K1090" t="s">
        <v>246</v>
      </c>
      <c r="L1090">
        <v>30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 s="8">
        <v>30</v>
      </c>
      <c r="V1090" s="8">
        <f t="shared" si="33"/>
        <v>3</v>
      </c>
      <c r="W1090" t="str">
        <f>_xlfn.XLOOKUP(A1090, Matches!A:A, Matches!L:L, "NA", 0)</f>
        <v>DCW</v>
      </c>
      <c r="X1090" t="str">
        <f>_xlfn.XLOOKUP(A1090, Matches!A:A, Matches!J:J, "NA", 0)</f>
        <v>DCW</v>
      </c>
      <c r="Y1090" t="str">
        <f>_xlfn.XLOOKUP(A1090, Matches!A:A, Matches!F:F, "NA", 0)</f>
        <v>BCA Stadium, Kotambi</v>
      </c>
      <c r="Z1090" cm="1">
        <f t="array" ref="Z1090">INDEX(Innings!F:F,MATCH(1,(TRIM(Innings!A:A)=TRIM(A1090))*(TRIM(Innings!D:D)=TRIM(E1090)),0))</f>
        <v>167</v>
      </c>
      <c r="AA1090" cm="1">
        <f t="array" ref="AA1090">INDEX(Innings!I:I,MATCH(1,(TRIM(Innings!A:A)=TRIM(A1090))*(TRIM(Innings!D:D)=TRIM(E1090)),0))</f>
        <v>8.42</v>
      </c>
      <c r="AB1090" cm="1">
        <f t="array" ref="AB1090">INDEX(Innings!J:J,MATCH(1,(TRIM(Innings!A:A)=TRIM(A1090))*(TRIM(Innings!D:D)=TRIM(E1090)),0))</f>
        <v>59</v>
      </c>
      <c r="AC1090" cm="1">
        <f t="array" ref="AC1090">INDEX(Innings!N:N,MATCH(1,(TRIM(Innings!A:A)=TRIM(A1090))*(TRIM(Innings!D:D)=TRIM(E1090)),0))</f>
        <v>39</v>
      </c>
      <c r="AD1090" cm="1">
        <f t="array" ref="AD1090">INDEX(Innings!S:S,MATCH(1,(TRIM(Innings!A:A)=TRIM(A1090))*(TRIM(Innings!D:D)=TRIM(E1090)),0))</f>
        <v>36</v>
      </c>
      <c r="AE1090" t="str" cm="1">
        <f t="array" ref="AE1090">INDEX(Innings!W:W,MATCH(1,(TRIM(Innings!A:A)=TRIM(A1090))*(TRIM(Innings!D:D)=TRIM(E1090)),0))</f>
        <v>Successful</v>
      </c>
      <c r="AF1090">
        <f>IF(UPPER(TRIM(E1090))=UPPER(TRIM(W1090)),1,0)</f>
        <v>1</v>
      </c>
      <c r="AG1090">
        <f t="shared" si="34"/>
        <v>35.9</v>
      </c>
    </row>
    <row r="1091" spans="1:33" x14ac:dyDescent="0.3">
      <c r="A1091" t="s">
        <v>467</v>
      </c>
      <c r="B1091">
        <v>3</v>
      </c>
      <c r="C1091" t="s">
        <v>190</v>
      </c>
      <c r="D1091" t="s">
        <v>191</v>
      </c>
      <c r="E1091" t="s">
        <v>158</v>
      </c>
      <c r="F1091" t="s">
        <v>109</v>
      </c>
      <c r="G1091" t="s">
        <v>86</v>
      </c>
      <c r="H1091">
        <v>69</v>
      </c>
      <c r="I1091">
        <v>49</v>
      </c>
      <c r="J1091">
        <v>140.82</v>
      </c>
      <c r="K1091" t="s">
        <v>245</v>
      </c>
      <c r="L1091">
        <v>85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 s="8">
        <v>85</v>
      </c>
      <c r="V1091" s="8">
        <f t="shared" ref="V1091:V1154" si="35">MIN(10, MAX(0, ROUND(U1091/10,0)))</f>
        <v>9</v>
      </c>
      <c r="W1091" t="str">
        <f>_xlfn.XLOOKUP(A1091, Matches!A:A, Matches!L:L, "NA", 0)</f>
        <v>DCW</v>
      </c>
      <c r="X1091" t="str">
        <f>_xlfn.XLOOKUP(A1091, Matches!A:A, Matches!J:J, "NA", 0)</f>
        <v>DCW</v>
      </c>
      <c r="Y1091" t="str">
        <f>_xlfn.XLOOKUP(A1091, Matches!A:A, Matches!F:F, "NA", 0)</f>
        <v>BCA Stadium, Kotambi</v>
      </c>
      <c r="Z1091" cm="1">
        <f t="array" ref="Z1091">INDEX(Innings!F:F,MATCH(1,(TRIM(Innings!A:A)=TRIM(A1091))*(TRIM(Innings!D:D)=TRIM(E1091)),0))</f>
        <v>167</v>
      </c>
      <c r="AA1091" cm="1">
        <f t="array" ref="AA1091">INDEX(Innings!I:I,MATCH(1,(TRIM(Innings!A:A)=TRIM(A1091))*(TRIM(Innings!D:D)=TRIM(E1091)),0))</f>
        <v>8.42</v>
      </c>
      <c r="AB1091" cm="1">
        <f t="array" ref="AB1091">INDEX(Innings!J:J,MATCH(1,(TRIM(Innings!A:A)=TRIM(A1091))*(TRIM(Innings!D:D)=TRIM(E1091)),0))</f>
        <v>59</v>
      </c>
      <c r="AC1091" cm="1">
        <f t="array" ref="AC1091">INDEX(Innings!N:N,MATCH(1,(TRIM(Innings!A:A)=TRIM(A1091))*(TRIM(Innings!D:D)=TRIM(E1091)),0))</f>
        <v>39</v>
      </c>
      <c r="AD1091" cm="1">
        <f t="array" ref="AD1091">INDEX(Innings!S:S,MATCH(1,(TRIM(Innings!A:A)=TRIM(A1091))*(TRIM(Innings!D:D)=TRIM(E1091)),0))</f>
        <v>36</v>
      </c>
      <c r="AE1091" t="str" cm="1">
        <f t="array" ref="AE1091">INDEX(Innings!W:W,MATCH(1,(TRIM(Innings!A:A)=TRIM(A1091))*(TRIM(Innings!D:D)=TRIM(E1091)),0))</f>
        <v>Successful</v>
      </c>
      <c r="AF1091">
        <f>IF(UPPER(TRIM(E1091))=UPPER(TRIM(W1091)),1,0)</f>
        <v>1</v>
      </c>
      <c r="AG1091">
        <f t="shared" si="34"/>
        <v>65.2</v>
      </c>
    </row>
    <row r="1092" spans="1:33" x14ac:dyDescent="0.3">
      <c r="A1092" t="s">
        <v>467</v>
      </c>
      <c r="B1092">
        <v>3</v>
      </c>
      <c r="C1092" t="s">
        <v>194</v>
      </c>
      <c r="D1092" t="s">
        <v>195</v>
      </c>
      <c r="E1092" t="s">
        <v>158</v>
      </c>
      <c r="F1092" t="s">
        <v>109</v>
      </c>
      <c r="G1092" t="s">
        <v>92</v>
      </c>
      <c r="H1092">
        <v>0</v>
      </c>
      <c r="I1092">
        <v>2</v>
      </c>
      <c r="J1092">
        <v>0</v>
      </c>
      <c r="K1092" t="s">
        <v>246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 s="8">
        <v>0</v>
      </c>
      <c r="V1092" s="8">
        <f t="shared" si="35"/>
        <v>0</v>
      </c>
      <c r="W1092" t="str">
        <f>_xlfn.XLOOKUP(A1092, Matches!A:A, Matches!L:L, "NA", 0)</f>
        <v>DCW</v>
      </c>
      <c r="X1092" t="str">
        <f>_xlfn.XLOOKUP(A1092, Matches!A:A, Matches!J:J, "NA", 0)</f>
        <v>DCW</v>
      </c>
      <c r="Y1092" t="str">
        <f>_xlfn.XLOOKUP(A1092, Matches!A:A, Matches!F:F, "NA", 0)</f>
        <v>BCA Stadium, Kotambi</v>
      </c>
      <c r="Z1092" cm="1">
        <f t="array" ref="Z1092">INDEX(Innings!F:F,MATCH(1,(TRIM(Innings!A:A)=TRIM(A1092))*(TRIM(Innings!D:D)=TRIM(E1092)),0))</f>
        <v>167</v>
      </c>
      <c r="AA1092" cm="1">
        <f t="array" ref="AA1092">INDEX(Innings!I:I,MATCH(1,(TRIM(Innings!A:A)=TRIM(A1092))*(TRIM(Innings!D:D)=TRIM(E1092)),0))</f>
        <v>8.42</v>
      </c>
      <c r="AB1092" cm="1">
        <f t="array" ref="AB1092">INDEX(Innings!J:J,MATCH(1,(TRIM(Innings!A:A)=TRIM(A1092))*(TRIM(Innings!D:D)=TRIM(E1092)),0))</f>
        <v>59</v>
      </c>
      <c r="AC1092" cm="1">
        <f t="array" ref="AC1092">INDEX(Innings!N:N,MATCH(1,(TRIM(Innings!A:A)=TRIM(A1092))*(TRIM(Innings!D:D)=TRIM(E1092)),0))</f>
        <v>39</v>
      </c>
      <c r="AD1092" cm="1">
        <f t="array" ref="AD1092">INDEX(Innings!S:S,MATCH(1,(TRIM(Innings!A:A)=TRIM(A1092))*(TRIM(Innings!D:D)=TRIM(E1092)),0))</f>
        <v>36</v>
      </c>
      <c r="AE1092" t="str" cm="1">
        <f t="array" ref="AE1092">INDEX(Innings!W:W,MATCH(1,(TRIM(Innings!A:A)=TRIM(A1092))*(TRIM(Innings!D:D)=TRIM(E1092)),0))</f>
        <v>Successful</v>
      </c>
      <c r="AF1092">
        <f>IF(UPPER(TRIM(E1092))=UPPER(TRIM(W1092)),1,0)</f>
        <v>1</v>
      </c>
      <c r="AG1092">
        <f t="shared" si="34"/>
        <v>20</v>
      </c>
    </row>
    <row r="1093" spans="1:33" x14ac:dyDescent="0.3">
      <c r="A1093" t="s">
        <v>467</v>
      </c>
      <c r="B1093">
        <v>3</v>
      </c>
      <c r="C1093" t="s">
        <v>94</v>
      </c>
      <c r="D1093" t="s">
        <v>120</v>
      </c>
      <c r="E1093" t="s">
        <v>158</v>
      </c>
      <c r="F1093" t="s">
        <v>169</v>
      </c>
      <c r="G1093" t="s">
        <v>92</v>
      </c>
      <c r="H1093">
        <v>41</v>
      </c>
      <c r="I1093">
        <v>35</v>
      </c>
      <c r="J1093">
        <v>117.14</v>
      </c>
      <c r="K1093" t="s">
        <v>96</v>
      </c>
      <c r="L1093">
        <v>50</v>
      </c>
      <c r="M1093">
        <v>4</v>
      </c>
      <c r="N1093">
        <v>0</v>
      </c>
      <c r="O1093">
        <v>26</v>
      </c>
      <c r="P1093">
        <v>2</v>
      </c>
      <c r="Q1093">
        <v>6.5</v>
      </c>
      <c r="R1093">
        <v>50</v>
      </c>
      <c r="S1093">
        <v>0</v>
      </c>
      <c r="T1093">
        <v>0</v>
      </c>
      <c r="U1093" s="8">
        <v>100</v>
      </c>
      <c r="V1093" s="8">
        <f t="shared" si="35"/>
        <v>10</v>
      </c>
      <c r="W1093" t="str">
        <f>_xlfn.XLOOKUP(A1093, Matches!A:A, Matches!L:L, "NA", 0)</f>
        <v>DCW</v>
      </c>
      <c r="X1093" t="str">
        <f>_xlfn.XLOOKUP(A1093, Matches!A:A, Matches!J:J, "NA", 0)</f>
        <v>DCW</v>
      </c>
      <c r="Y1093" t="str">
        <f>_xlfn.XLOOKUP(A1093, Matches!A:A, Matches!F:F, "NA", 0)</f>
        <v>BCA Stadium, Kotambi</v>
      </c>
      <c r="Z1093" cm="1">
        <f t="array" ref="Z1093">INDEX(Innings!F:F,MATCH(1,(TRIM(Innings!A:A)=TRIM(A1093))*(TRIM(Innings!D:D)=TRIM(E1093)),0))</f>
        <v>167</v>
      </c>
      <c r="AA1093" cm="1">
        <f t="array" ref="AA1093">INDEX(Innings!I:I,MATCH(1,(TRIM(Innings!A:A)=TRIM(A1093))*(TRIM(Innings!D:D)=TRIM(E1093)),0))</f>
        <v>8.42</v>
      </c>
      <c r="AB1093" cm="1">
        <f t="array" ref="AB1093">INDEX(Innings!J:J,MATCH(1,(TRIM(Innings!A:A)=TRIM(A1093))*(TRIM(Innings!D:D)=TRIM(E1093)),0))</f>
        <v>59</v>
      </c>
      <c r="AC1093" cm="1">
        <f t="array" ref="AC1093">INDEX(Innings!N:N,MATCH(1,(TRIM(Innings!A:A)=TRIM(A1093))*(TRIM(Innings!D:D)=TRIM(E1093)),0))</f>
        <v>39</v>
      </c>
      <c r="AD1093" cm="1">
        <f t="array" ref="AD1093">INDEX(Innings!S:S,MATCH(1,(TRIM(Innings!A:A)=TRIM(A1093))*(TRIM(Innings!D:D)=TRIM(E1093)),0))</f>
        <v>36</v>
      </c>
      <c r="AE1093" t="str" cm="1">
        <f t="array" ref="AE1093">INDEX(Innings!W:W,MATCH(1,(TRIM(Innings!A:A)=TRIM(A1093))*(TRIM(Innings!D:D)=TRIM(E1093)),0))</f>
        <v>Successful</v>
      </c>
      <c r="AF1093">
        <f>IF(UPPER(TRIM(E1093))=UPPER(TRIM(W1093)),1,0)</f>
        <v>1</v>
      </c>
      <c r="AG1093">
        <f t="shared" si="34"/>
        <v>73</v>
      </c>
    </row>
    <row r="1094" spans="1:33" x14ac:dyDescent="0.3">
      <c r="A1094" t="s">
        <v>467</v>
      </c>
      <c r="B1094">
        <v>3</v>
      </c>
      <c r="C1094" t="s">
        <v>192</v>
      </c>
      <c r="D1094" t="s">
        <v>193</v>
      </c>
      <c r="E1094" t="s">
        <v>158</v>
      </c>
      <c r="F1094" t="s">
        <v>169</v>
      </c>
      <c r="G1094" t="s">
        <v>134</v>
      </c>
      <c r="H1094">
        <v>29</v>
      </c>
      <c r="I1094">
        <v>17</v>
      </c>
      <c r="J1094">
        <v>170.59</v>
      </c>
      <c r="K1094" t="s">
        <v>96</v>
      </c>
      <c r="L1094">
        <v>40</v>
      </c>
      <c r="M1094">
        <v>4</v>
      </c>
      <c r="N1094">
        <v>0</v>
      </c>
      <c r="O1094">
        <v>30</v>
      </c>
      <c r="P1094">
        <v>1</v>
      </c>
      <c r="Q1094">
        <v>7.5</v>
      </c>
      <c r="R1094">
        <v>25</v>
      </c>
      <c r="S1094">
        <v>0</v>
      </c>
      <c r="T1094">
        <v>0</v>
      </c>
      <c r="U1094" s="8">
        <v>65</v>
      </c>
      <c r="V1094" s="8">
        <f t="shared" si="35"/>
        <v>7</v>
      </c>
      <c r="W1094" t="str">
        <f>_xlfn.XLOOKUP(A1094, Matches!A:A, Matches!L:L, "NA", 0)</f>
        <v>DCW</v>
      </c>
      <c r="X1094" t="str">
        <f>_xlfn.XLOOKUP(A1094, Matches!A:A, Matches!J:J, "NA", 0)</f>
        <v>DCW</v>
      </c>
      <c r="Y1094" t="str">
        <f>_xlfn.XLOOKUP(A1094, Matches!A:A, Matches!F:F, "NA", 0)</f>
        <v>BCA Stadium, Kotambi</v>
      </c>
      <c r="Z1094" cm="1">
        <f t="array" ref="Z1094">INDEX(Innings!F:F,MATCH(1,(TRIM(Innings!A:A)=TRIM(A1094))*(TRIM(Innings!D:D)=TRIM(E1094)),0))</f>
        <v>167</v>
      </c>
      <c r="AA1094" cm="1">
        <f t="array" ref="AA1094">INDEX(Innings!I:I,MATCH(1,(TRIM(Innings!A:A)=TRIM(A1094))*(TRIM(Innings!D:D)=TRIM(E1094)),0))</f>
        <v>8.42</v>
      </c>
      <c r="AB1094" cm="1">
        <f t="array" ref="AB1094">INDEX(Innings!J:J,MATCH(1,(TRIM(Innings!A:A)=TRIM(A1094))*(TRIM(Innings!D:D)=TRIM(E1094)),0))</f>
        <v>59</v>
      </c>
      <c r="AC1094" cm="1">
        <f t="array" ref="AC1094">INDEX(Innings!N:N,MATCH(1,(TRIM(Innings!A:A)=TRIM(A1094))*(TRIM(Innings!D:D)=TRIM(E1094)),0))</f>
        <v>39</v>
      </c>
      <c r="AD1094" cm="1">
        <f t="array" ref="AD1094">INDEX(Innings!S:S,MATCH(1,(TRIM(Innings!A:A)=TRIM(A1094))*(TRIM(Innings!D:D)=TRIM(E1094)),0))</f>
        <v>36</v>
      </c>
      <c r="AE1094" t="str" cm="1">
        <f t="array" ref="AE1094">INDEX(Innings!W:W,MATCH(1,(TRIM(Innings!A:A)=TRIM(A1094))*(TRIM(Innings!D:D)=TRIM(E1094)),0))</f>
        <v>Successful</v>
      </c>
      <c r="AF1094">
        <f>IF(UPPER(TRIM(E1094))=UPPER(TRIM(W1094)),1,0)</f>
        <v>1</v>
      </c>
      <c r="AG1094">
        <f t="shared" si="34"/>
        <v>54.6</v>
      </c>
    </row>
    <row r="1095" spans="1:33" x14ac:dyDescent="0.3">
      <c r="A1095" t="s">
        <v>467</v>
      </c>
      <c r="B1095">
        <v>3</v>
      </c>
      <c r="C1095" t="s">
        <v>495</v>
      </c>
      <c r="D1095" t="s">
        <v>503</v>
      </c>
      <c r="E1095" t="s">
        <v>158</v>
      </c>
      <c r="F1095" t="s">
        <v>169</v>
      </c>
      <c r="G1095" t="s">
        <v>104</v>
      </c>
      <c r="H1095">
        <v>0</v>
      </c>
      <c r="I1095">
        <v>0</v>
      </c>
      <c r="J1095">
        <v>0</v>
      </c>
      <c r="K1095" t="s">
        <v>104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 s="8">
        <v>0</v>
      </c>
      <c r="V1095" s="8">
        <f t="shared" si="35"/>
        <v>0</v>
      </c>
      <c r="W1095" t="str">
        <f>_xlfn.XLOOKUP(A1095, Matches!A:A, Matches!L:L, "NA", 0)</f>
        <v>DCW</v>
      </c>
      <c r="X1095" t="str">
        <f>_xlfn.XLOOKUP(A1095, Matches!A:A, Matches!J:J, "NA", 0)</f>
        <v>DCW</v>
      </c>
      <c r="Y1095" t="str">
        <f>_xlfn.XLOOKUP(A1095, Matches!A:A, Matches!F:F, "NA", 0)</f>
        <v>BCA Stadium, Kotambi</v>
      </c>
      <c r="Z1095" cm="1">
        <f t="array" ref="Z1095">INDEX(Innings!F:F,MATCH(1,(TRIM(Innings!A:A)=TRIM(A1095))*(TRIM(Innings!D:D)=TRIM(E1095)),0))</f>
        <v>167</v>
      </c>
      <c r="AA1095" cm="1">
        <f t="array" ref="AA1095">INDEX(Innings!I:I,MATCH(1,(TRIM(Innings!A:A)=TRIM(A1095))*(TRIM(Innings!D:D)=TRIM(E1095)),0))</f>
        <v>8.42</v>
      </c>
      <c r="AB1095" cm="1">
        <f t="array" ref="AB1095">INDEX(Innings!J:J,MATCH(1,(TRIM(Innings!A:A)=TRIM(A1095))*(TRIM(Innings!D:D)=TRIM(E1095)),0))</f>
        <v>59</v>
      </c>
      <c r="AC1095" cm="1">
        <f t="array" ref="AC1095">INDEX(Innings!N:N,MATCH(1,(TRIM(Innings!A:A)=TRIM(A1095))*(TRIM(Innings!D:D)=TRIM(E1095)),0))</f>
        <v>39</v>
      </c>
      <c r="AD1095" cm="1">
        <f t="array" ref="AD1095">INDEX(Innings!S:S,MATCH(1,(TRIM(Innings!A:A)=TRIM(A1095))*(TRIM(Innings!D:D)=TRIM(E1095)),0))</f>
        <v>36</v>
      </c>
      <c r="AE1095" t="str" cm="1">
        <f t="array" ref="AE1095">INDEX(Innings!W:W,MATCH(1,(TRIM(Innings!A:A)=TRIM(A1095))*(TRIM(Innings!D:D)=TRIM(E1095)),0))</f>
        <v>Successful</v>
      </c>
      <c r="AF1095">
        <f>IF(UPPER(TRIM(E1095))=UPPER(TRIM(W1095)),1,0)</f>
        <v>1</v>
      </c>
      <c r="AG1095">
        <f t="shared" si="34"/>
        <v>20</v>
      </c>
    </row>
    <row r="1096" spans="1:33" x14ac:dyDescent="0.3">
      <c r="A1096" t="s">
        <v>467</v>
      </c>
      <c r="B1096">
        <v>3</v>
      </c>
      <c r="C1096" t="s">
        <v>496</v>
      </c>
      <c r="D1096" t="s">
        <v>518</v>
      </c>
      <c r="E1096" t="s">
        <v>158</v>
      </c>
      <c r="F1096" t="s">
        <v>85</v>
      </c>
      <c r="G1096" t="s">
        <v>104</v>
      </c>
      <c r="H1096">
        <v>0</v>
      </c>
      <c r="I1096">
        <v>0</v>
      </c>
      <c r="J1096">
        <v>0</v>
      </c>
      <c r="K1096" t="s">
        <v>104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 s="8">
        <v>0</v>
      </c>
      <c r="V1096" s="8">
        <f t="shared" si="35"/>
        <v>0</v>
      </c>
      <c r="W1096" t="str">
        <f>_xlfn.XLOOKUP(A1096, Matches!A:A, Matches!L:L, "NA", 0)</f>
        <v>DCW</v>
      </c>
      <c r="X1096" t="str">
        <f>_xlfn.XLOOKUP(A1096, Matches!A:A, Matches!J:J, "NA", 0)</f>
        <v>DCW</v>
      </c>
      <c r="Y1096" t="str">
        <f>_xlfn.XLOOKUP(A1096, Matches!A:A, Matches!F:F, "NA", 0)</f>
        <v>BCA Stadium, Kotambi</v>
      </c>
      <c r="Z1096" cm="1">
        <f t="array" ref="Z1096">INDEX(Innings!F:F,MATCH(1,(TRIM(Innings!A:A)=TRIM(A1096))*(TRIM(Innings!D:D)=TRIM(E1096)),0))</f>
        <v>167</v>
      </c>
      <c r="AA1096" cm="1">
        <f t="array" ref="AA1096">INDEX(Innings!I:I,MATCH(1,(TRIM(Innings!A:A)=TRIM(A1096))*(TRIM(Innings!D:D)=TRIM(E1096)),0))</f>
        <v>8.42</v>
      </c>
      <c r="AB1096" cm="1">
        <f t="array" ref="AB1096">INDEX(Innings!J:J,MATCH(1,(TRIM(Innings!A:A)=TRIM(A1096))*(TRIM(Innings!D:D)=TRIM(E1096)),0))</f>
        <v>59</v>
      </c>
      <c r="AC1096" cm="1">
        <f t="array" ref="AC1096">INDEX(Innings!N:N,MATCH(1,(TRIM(Innings!A:A)=TRIM(A1096))*(TRIM(Innings!D:D)=TRIM(E1096)),0))</f>
        <v>39</v>
      </c>
      <c r="AD1096" cm="1">
        <f t="array" ref="AD1096">INDEX(Innings!S:S,MATCH(1,(TRIM(Innings!A:A)=TRIM(A1096))*(TRIM(Innings!D:D)=TRIM(E1096)),0))</f>
        <v>36</v>
      </c>
      <c r="AE1096" t="str" cm="1">
        <f t="array" ref="AE1096">INDEX(Innings!W:W,MATCH(1,(TRIM(Innings!A:A)=TRIM(A1096))*(TRIM(Innings!D:D)=TRIM(E1096)),0))</f>
        <v>Successful</v>
      </c>
      <c r="AF1096">
        <f>IF(UPPER(TRIM(E1096))=UPPER(TRIM(W1096)),1,0)</f>
        <v>1</v>
      </c>
      <c r="AG1096">
        <f t="shared" si="34"/>
        <v>20</v>
      </c>
    </row>
    <row r="1097" spans="1:33" x14ac:dyDescent="0.3">
      <c r="A1097" t="s">
        <v>467</v>
      </c>
      <c r="B1097">
        <v>3</v>
      </c>
      <c r="C1097" t="s">
        <v>198</v>
      </c>
      <c r="D1097" t="s">
        <v>199</v>
      </c>
      <c r="E1097" t="s">
        <v>158</v>
      </c>
      <c r="F1097" t="s">
        <v>101</v>
      </c>
      <c r="G1097" t="s">
        <v>104</v>
      </c>
      <c r="H1097">
        <v>0</v>
      </c>
      <c r="I1097">
        <v>0</v>
      </c>
      <c r="J1097">
        <v>0</v>
      </c>
      <c r="K1097" t="s">
        <v>104</v>
      </c>
      <c r="L1097">
        <v>0</v>
      </c>
      <c r="M1097">
        <v>4</v>
      </c>
      <c r="N1097">
        <v>0</v>
      </c>
      <c r="O1097">
        <v>21</v>
      </c>
      <c r="P1097">
        <v>1</v>
      </c>
      <c r="Q1097">
        <v>5.2</v>
      </c>
      <c r="R1097">
        <v>25</v>
      </c>
      <c r="S1097">
        <v>0</v>
      </c>
      <c r="T1097">
        <v>0</v>
      </c>
      <c r="U1097" s="8">
        <v>25</v>
      </c>
      <c r="V1097" s="8">
        <f t="shared" si="35"/>
        <v>3</v>
      </c>
      <c r="W1097" t="str">
        <f>_xlfn.XLOOKUP(A1097, Matches!A:A, Matches!L:L, "NA", 0)</f>
        <v>DCW</v>
      </c>
      <c r="X1097" t="str">
        <f>_xlfn.XLOOKUP(A1097, Matches!A:A, Matches!J:J, "NA", 0)</f>
        <v>DCW</v>
      </c>
      <c r="Y1097" t="str">
        <f>_xlfn.XLOOKUP(A1097, Matches!A:A, Matches!F:F, "NA", 0)</f>
        <v>BCA Stadium, Kotambi</v>
      </c>
      <c r="Z1097" cm="1">
        <f t="array" ref="Z1097">INDEX(Innings!F:F,MATCH(1,(TRIM(Innings!A:A)=TRIM(A1097))*(TRIM(Innings!D:D)=TRIM(E1097)),0))</f>
        <v>167</v>
      </c>
      <c r="AA1097" cm="1">
        <f t="array" ref="AA1097">INDEX(Innings!I:I,MATCH(1,(TRIM(Innings!A:A)=TRIM(A1097))*(TRIM(Innings!D:D)=TRIM(E1097)),0))</f>
        <v>8.42</v>
      </c>
      <c r="AB1097" cm="1">
        <f t="array" ref="AB1097">INDEX(Innings!J:J,MATCH(1,(TRIM(Innings!A:A)=TRIM(A1097))*(TRIM(Innings!D:D)=TRIM(E1097)),0))</f>
        <v>59</v>
      </c>
      <c r="AC1097" cm="1">
        <f t="array" ref="AC1097">INDEX(Innings!N:N,MATCH(1,(TRIM(Innings!A:A)=TRIM(A1097))*(TRIM(Innings!D:D)=TRIM(E1097)),0))</f>
        <v>39</v>
      </c>
      <c r="AD1097" cm="1">
        <f t="array" ref="AD1097">INDEX(Innings!S:S,MATCH(1,(TRIM(Innings!A:A)=TRIM(A1097))*(TRIM(Innings!D:D)=TRIM(E1097)),0))</f>
        <v>36</v>
      </c>
      <c r="AE1097" t="str" cm="1">
        <f t="array" ref="AE1097">INDEX(Innings!W:W,MATCH(1,(TRIM(Innings!A:A)=TRIM(A1097))*(TRIM(Innings!D:D)=TRIM(E1097)),0))</f>
        <v>Successful</v>
      </c>
      <c r="AF1097">
        <f>IF(UPPER(TRIM(E1097))=UPPER(TRIM(W1097)),1,0)</f>
        <v>1</v>
      </c>
      <c r="AG1097">
        <f t="shared" si="34"/>
        <v>33.4</v>
      </c>
    </row>
    <row r="1098" spans="1:33" x14ac:dyDescent="0.3">
      <c r="A1098" t="s">
        <v>467</v>
      </c>
      <c r="B1098">
        <v>3</v>
      </c>
      <c r="C1098" t="s">
        <v>204</v>
      </c>
      <c r="D1098" t="s">
        <v>205</v>
      </c>
      <c r="E1098" t="s">
        <v>158</v>
      </c>
      <c r="F1098" t="s">
        <v>169</v>
      </c>
      <c r="G1098" t="s">
        <v>104</v>
      </c>
      <c r="H1098">
        <v>0</v>
      </c>
      <c r="I1098">
        <v>0</v>
      </c>
      <c r="J1098">
        <v>0</v>
      </c>
      <c r="K1098" t="s">
        <v>104</v>
      </c>
      <c r="L1098">
        <v>0</v>
      </c>
      <c r="M1098">
        <v>3</v>
      </c>
      <c r="N1098">
        <v>0</v>
      </c>
      <c r="O1098">
        <v>43</v>
      </c>
      <c r="P1098">
        <v>0</v>
      </c>
      <c r="Q1098">
        <v>14.3</v>
      </c>
      <c r="R1098">
        <v>0</v>
      </c>
      <c r="S1098">
        <v>0</v>
      </c>
      <c r="T1098">
        <v>0</v>
      </c>
      <c r="U1098" s="8">
        <v>0</v>
      </c>
      <c r="V1098" s="8">
        <f t="shared" si="35"/>
        <v>0</v>
      </c>
      <c r="W1098" t="str">
        <f>_xlfn.XLOOKUP(A1098, Matches!A:A, Matches!L:L, "NA", 0)</f>
        <v>DCW</v>
      </c>
      <c r="X1098" t="str">
        <f>_xlfn.XLOOKUP(A1098, Matches!A:A, Matches!J:J, "NA", 0)</f>
        <v>DCW</v>
      </c>
      <c r="Y1098" t="str">
        <f>_xlfn.XLOOKUP(A1098, Matches!A:A, Matches!F:F, "NA", 0)</f>
        <v>BCA Stadium, Kotambi</v>
      </c>
      <c r="Z1098" cm="1">
        <f t="array" ref="Z1098">INDEX(Innings!F:F,MATCH(1,(TRIM(Innings!A:A)=TRIM(A1098))*(TRIM(Innings!D:D)=TRIM(E1098)),0))</f>
        <v>167</v>
      </c>
      <c r="AA1098" cm="1">
        <f t="array" ref="AA1098">INDEX(Innings!I:I,MATCH(1,(TRIM(Innings!A:A)=TRIM(A1098))*(TRIM(Innings!D:D)=TRIM(E1098)),0))</f>
        <v>8.42</v>
      </c>
      <c r="AB1098" cm="1">
        <f t="array" ref="AB1098">INDEX(Innings!J:J,MATCH(1,(TRIM(Innings!A:A)=TRIM(A1098))*(TRIM(Innings!D:D)=TRIM(E1098)),0))</f>
        <v>59</v>
      </c>
      <c r="AC1098" cm="1">
        <f t="array" ref="AC1098">INDEX(Innings!N:N,MATCH(1,(TRIM(Innings!A:A)=TRIM(A1098))*(TRIM(Innings!D:D)=TRIM(E1098)),0))</f>
        <v>39</v>
      </c>
      <c r="AD1098" cm="1">
        <f t="array" ref="AD1098">INDEX(Innings!S:S,MATCH(1,(TRIM(Innings!A:A)=TRIM(A1098))*(TRIM(Innings!D:D)=TRIM(E1098)),0))</f>
        <v>36</v>
      </c>
      <c r="AE1098" t="str" cm="1">
        <f t="array" ref="AE1098">INDEX(Innings!W:W,MATCH(1,(TRIM(Innings!A:A)=TRIM(A1098))*(TRIM(Innings!D:D)=TRIM(E1098)),0))</f>
        <v>Successful</v>
      </c>
      <c r="AF1098">
        <f>IF(UPPER(TRIM(E1098))=UPPER(TRIM(W1098)),1,0)</f>
        <v>1</v>
      </c>
      <c r="AG1098">
        <f t="shared" si="34"/>
        <v>20</v>
      </c>
    </row>
    <row r="1099" spans="1:33" x14ac:dyDescent="0.3">
      <c r="A1099" t="s">
        <v>467</v>
      </c>
      <c r="B1099">
        <v>3</v>
      </c>
      <c r="C1099" t="s">
        <v>202</v>
      </c>
      <c r="D1099" t="s">
        <v>203</v>
      </c>
      <c r="E1099" t="s">
        <v>158</v>
      </c>
      <c r="F1099" t="s">
        <v>101</v>
      </c>
      <c r="G1099" t="s">
        <v>104</v>
      </c>
      <c r="H1099">
        <v>0</v>
      </c>
      <c r="I1099">
        <v>0</v>
      </c>
      <c r="J1099">
        <v>0</v>
      </c>
      <c r="K1099" t="s">
        <v>104</v>
      </c>
      <c r="L1099">
        <v>0</v>
      </c>
      <c r="M1099">
        <v>3</v>
      </c>
      <c r="N1099">
        <v>0</v>
      </c>
      <c r="O1099">
        <v>26</v>
      </c>
      <c r="P1099">
        <v>1</v>
      </c>
      <c r="Q1099">
        <v>8.6999999999999993</v>
      </c>
      <c r="R1099">
        <v>25</v>
      </c>
      <c r="S1099">
        <v>0</v>
      </c>
      <c r="T1099">
        <v>0</v>
      </c>
      <c r="U1099" s="8">
        <v>25</v>
      </c>
      <c r="V1099" s="8">
        <f t="shared" si="35"/>
        <v>3</v>
      </c>
      <c r="W1099" t="str">
        <f>_xlfn.XLOOKUP(A1099, Matches!A:A, Matches!L:L, "NA", 0)</f>
        <v>DCW</v>
      </c>
      <c r="X1099" t="str">
        <f>_xlfn.XLOOKUP(A1099, Matches!A:A, Matches!J:J, "NA", 0)</f>
        <v>DCW</v>
      </c>
      <c r="Y1099" t="str">
        <f>_xlfn.XLOOKUP(A1099, Matches!A:A, Matches!F:F, "NA", 0)</f>
        <v>BCA Stadium, Kotambi</v>
      </c>
      <c r="Z1099" cm="1">
        <f t="array" ref="Z1099">INDEX(Innings!F:F,MATCH(1,(TRIM(Innings!A:A)=TRIM(A1099))*(TRIM(Innings!D:D)=TRIM(E1099)),0))</f>
        <v>167</v>
      </c>
      <c r="AA1099" cm="1">
        <f t="array" ref="AA1099">INDEX(Innings!I:I,MATCH(1,(TRIM(Innings!A:A)=TRIM(A1099))*(TRIM(Innings!D:D)=TRIM(E1099)),0))</f>
        <v>8.42</v>
      </c>
      <c r="AB1099" cm="1">
        <f t="array" ref="AB1099">INDEX(Innings!J:J,MATCH(1,(TRIM(Innings!A:A)=TRIM(A1099))*(TRIM(Innings!D:D)=TRIM(E1099)),0))</f>
        <v>59</v>
      </c>
      <c r="AC1099" cm="1">
        <f t="array" ref="AC1099">INDEX(Innings!N:N,MATCH(1,(TRIM(Innings!A:A)=TRIM(A1099))*(TRIM(Innings!D:D)=TRIM(E1099)),0))</f>
        <v>39</v>
      </c>
      <c r="AD1099" cm="1">
        <f t="array" ref="AD1099">INDEX(Innings!S:S,MATCH(1,(TRIM(Innings!A:A)=TRIM(A1099))*(TRIM(Innings!D:D)=TRIM(E1099)),0))</f>
        <v>36</v>
      </c>
      <c r="AE1099" t="str" cm="1">
        <f t="array" ref="AE1099">INDEX(Innings!W:W,MATCH(1,(TRIM(Innings!A:A)=TRIM(A1099))*(TRIM(Innings!D:D)=TRIM(E1099)),0))</f>
        <v>Successful</v>
      </c>
      <c r="AF1099">
        <f>IF(UPPER(TRIM(E1099))=UPPER(TRIM(W1099)),1,0)</f>
        <v>1</v>
      </c>
      <c r="AG1099">
        <f t="shared" si="34"/>
        <v>33.4</v>
      </c>
    </row>
    <row r="1100" spans="1:33" x14ac:dyDescent="0.3">
      <c r="A1100" t="s">
        <v>467</v>
      </c>
      <c r="B1100">
        <v>3</v>
      </c>
      <c r="C1100" t="s">
        <v>274</v>
      </c>
      <c r="D1100" t="s">
        <v>284</v>
      </c>
      <c r="E1100" t="s">
        <v>158</v>
      </c>
      <c r="F1100" t="s">
        <v>169</v>
      </c>
      <c r="G1100" t="s">
        <v>104</v>
      </c>
      <c r="H1100">
        <v>0</v>
      </c>
      <c r="I1100">
        <v>0</v>
      </c>
      <c r="J1100">
        <v>0</v>
      </c>
      <c r="K1100" t="s">
        <v>104</v>
      </c>
      <c r="L1100">
        <v>0</v>
      </c>
      <c r="M1100">
        <v>2</v>
      </c>
      <c r="N1100">
        <v>0</v>
      </c>
      <c r="O1100">
        <v>16</v>
      </c>
      <c r="P1100">
        <v>1</v>
      </c>
      <c r="Q1100">
        <v>8</v>
      </c>
      <c r="R1100">
        <v>25</v>
      </c>
      <c r="S1100">
        <v>0</v>
      </c>
      <c r="T1100">
        <v>0</v>
      </c>
      <c r="U1100" s="8">
        <v>25</v>
      </c>
      <c r="V1100" s="8">
        <f t="shared" si="35"/>
        <v>3</v>
      </c>
      <c r="W1100" t="str">
        <f>_xlfn.XLOOKUP(A1100, Matches!A:A, Matches!L:L, "NA", 0)</f>
        <v>DCW</v>
      </c>
      <c r="X1100" t="str">
        <f>_xlfn.XLOOKUP(A1100, Matches!A:A, Matches!J:J, "NA", 0)</f>
        <v>DCW</v>
      </c>
      <c r="Y1100" t="str">
        <f>_xlfn.XLOOKUP(A1100, Matches!A:A, Matches!F:F, "NA", 0)</f>
        <v>BCA Stadium, Kotambi</v>
      </c>
      <c r="Z1100" cm="1">
        <f t="array" ref="Z1100">INDEX(Innings!F:F,MATCH(1,(TRIM(Innings!A:A)=TRIM(A1100))*(TRIM(Innings!D:D)=TRIM(E1100)),0))</f>
        <v>167</v>
      </c>
      <c r="AA1100" cm="1">
        <f t="array" ref="AA1100">INDEX(Innings!I:I,MATCH(1,(TRIM(Innings!A:A)=TRIM(A1100))*(TRIM(Innings!D:D)=TRIM(E1100)),0))</f>
        <v>8.42</v>
      </c>
      <c r="AB1100" cm="1">
        <f t="array" ref="AB1100">INDEX(Innings!J:J,MATCH(1,(TRIM(Innings!A:A)=TRIM(A1100))*(TRIM(Innings!D:D)=TRIM(E1100)),0))</f>
        <v>59</v>
      </c>
      <c r="AC1100" cm="1">
        <f t="array" ref="AC1100">INDEX(Innings!N:N,MATCH(1,(TRIM(Innings!A:A)=TRIM(A1100))*(TRIM(Innings!D:D)=TRIM(E1100)),0))</f>
        <v>39</v>
      </c>
      <c r="AD1100" cm="1">
        <f t="array" ref="AD1100">INDEX(Innings!S:S,MATCH(1,(TRIM(Innings!A:A)=TRIM(A1100))*(TRIM(Innings!D:D)=TRIM(E1100)),0))</f>
        <v>36</v>
      </c>
      <c r="AE1100" t="str" cm="1">
        <f t="array" ref="AE1100">INDEX(Innings!W:W,MATCH(1,(TRIM(Innings!A:A)=TRIM(A1100))*(TRIM(Innings!D:D)=TRIM(E1100)),0))</f>
        <v>Successful</v>
      </c>
      <c r="AF1100">
        <f>IF(UPPER(TRIM(E1100))=UPPER(TRIM(W1100)),1,0)</f>
        <v>1</v>
      </c>
      <c r="AG1100">
        <f t="shared" si="34"/>
        <v>33.4</v>
      </c>
    </row>
    <row r="1101" spans="1:33" x14ac:dyDescent="0.3">
      <c r="A1101" t="s">
        <v>468</v>
      </c>
      <c r="B1101">
        <v>3</v>
      </c>
      <c r="C1101" t="s">
        <v>165</v>
      </c>
      <c r="D1101" t="s">
        <v>166</v>
      </c>
      <c r="E1101" t="s">
        <v>159</v>
      </c>
      <c r="F1101" t="s">
        <v>109</v>
      </c>
      <c r="G1101" t="s">
        <v>86</v>
      </c>
      <c r="H1101">
        <v>26</v>
      </c>
      <c r="I1101">
        <v>13</v>
      </c>
      <c r="J1101">
        <v>200</v>
      </c>
      <c r="K1101" t="s">
        <v>246</v>
      </c>
      <c r="L1101">
        <v>30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 s="8">
        <v>30</v>
      </c>
      <c r="V1101" s="8">
        <f t="shared" si="35"/>
        <v>3</v>
      </c>
      <c r="W1101" t="str">
        <f>_xlfn.XLOOKUP(A1101, Matches!A:A, Matches!L:L, "NA", 0)</f>
        <v>MIW</v>
      </c>
      <c r="X1101" t="str">
        <f>_xlfn.XLOOKUP(A1101, Matches!A:A, Matches!J:J, "NA", 0)</f>
        <v>MIW</v>
      </c>
      <c r="Y1101" t="str">
        <f>_xlfn.XLOOKUP(A1101, Matches!A:A, Matches!F:F, "NA", 0)</f>
        <v>M. Chinnaswamy Stadium</v>
      </c>
      <c r="Z1101" cm="1">
        <f t="array" ref="Z1101">INDEX(Innings!F:F,MATCH(1,(TRIM(Innings!A:A)=TRIM(A1101))*(TRIM(Innings!D:D)=TRIM(E1101)),0))</f>
        <v>167</v>
      </c>
      <c r="AA1101" cm="1">
        <f t="array" ref="AA1101">INDEX(Innings!I:I,MATCH(1,(TRIM(Innings!A:A)=TRIM(A1101))*(TRIM(Innings!D:D)=TRIM(E1101)),0))</f>
        <v>8.35</v>
      </c>
      <c r="AB1101" cm="1">
        <f t="array" ref="AB1101">INDEX(Innings!J:J,MATCH(1,(TRIM(Innings!A:A)=TRIM(A1101))*(TRIM(Innings!D:D)=TRIM(E1101)),0))</f>
        <v>54</v>
      </c>
      <c r="AC1101" cm="1">
        <f t="array" ref="AC1101">INDEX(Innings!N:N,MATCH(1,(TRIM(Innings!A:A)=TRIM(A1101))*(TRIM(Innings!D:D)=TRIM(E1101)),0))</f>
        <v>45</v>
      </c>
      <c r="AD1101" cm="1">
        <f t="array" ref="AD1101">INDEX(Innings!S:S,MATCH(1,(TRIM(Innings!A:A)=TRIM(A1101))*(TRIM(Innings!D:D)=TRIM(E1101)),0))</f>
        <v>36</v>
      </c>
      <c r="AE1101" t="str" cm="1">
        <f t="array" ref="AE1101">INDEX(Innings!W:W,MATCH(1,(TRIM(Innings!A:A)=TRIM(A1101))*(TRIM(Innings!D:D)=TRIM(E1101)),0))</f>
        <v>NA</v>
      </c>
      <c r="AF1101">
        <f>IF(UPPER(TRIM(E1101))=UPPER(TRIM(W1101)),1,0)</f>
        <v>0</v>
      </c>
      <c r="AG1101">
        <f t="shared" si="34"/>
        <v>15.9</v>
      </c>
    </row>
    <row r="1102" spans="1:33" x14ac:dyDescent="0.3">
      <c r="A1102" t="s">
        <v>468</v>
      </c>
      <c r="B1102">
        <v>3</v>
      </c>
      <c r="C1102" t="s">
        <v>489</v>
      </c>
      <c r="D1102" t="s">
        <v>488</v>
      </c>
      <c r="E1102" t="s">
        <v>159</v>
      </c>
      <c r="F1102" t="s">
        <v>109</v>
      </c>
      <c r="G1102" t="s">
        <v>86</v>
      </c>
      <c r="H1102">
        <v>9</v>
      </c>
      <c r="I1102">
        <v>9</v>
      </c>
      <c r="J1102">
        <v>100</v>
      </c>
      <c r="K1102" t="s">
        <v>246</v>
      </c>
      <c r="L1102">
        <v>8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 s="8">
        <v>8</v>
      </c>
      <c r="V1102" s="8">
        <f t="shared" si="35"/>
        <v>1</v>
      </c>
      <c r="W1102" t="str">
        <f>_xlfn.XLOOKUP(A1102, Matches!A:A, Matches!L:L, "NA", 0)</f>
        <v>MIW</v>
      </c>
      <c r="X1102" t="str">
        <f>_xlfn.XLOOKUP(A1102, Matches!A:A, Matches!J:J, "NA", 0)</f>
        <v>MIW</v>
      </c>
      <c r="Y1102" t="str">
        <f>_xlfn.XLOOKUP(A1102, Matches!A:A, Matches!F:F, "NA", 0)</f>
        <v>M. Chinnaswamy Stadium</v>
      </c>
      <c r="Z1102" cm="1">
        <f t="array" ref="Z1102">INDEX(Innings!F:F,MATCH(1,(TRIM(Innings!A:A)=TRIM(A1102))*(TRIM(Innings!D:D)=TRIM(E1102)),0))</f>
        <v>167</v>
      </c>
      <c r="AA1102" cm="1">
        <f t="array" ref="AA1102">INDEX(Innings!I:I,MATCH(1,(TRIM(Innings!A:A)=TRIM(A1102))*(TRIM(Innings!D:D)=TRIM(E1102)),0))</f>
        <v>8.35</v>
      </c>
      <c r="AB1102" cm="1">
        <f t="array" ref="AB1102">INDEX(Innings!J:J,MATCH(1,(TRIM(Innings!A:A)=TRIM(A1102))*(TRIM(Innings!D:D)=TRIM(E1102)),0))</f>
        <v>54</v>
      </c>
      <c r="AC1102" cm="1">
        <f t="array" ref="AC1102">INDEX(Innings!N:N,MATCH(1,(TRIM(Innings!A:A)=TRIM(A1102))*(TRIM(Innings!D:D)=TRIM(E1102)),0))</f>
        <v>45</v>
      </c>
      <c r="AD1102" cm="1">
        <f t="array" ref="AD1102">INDEX(Innings!S:S,MATCH(1,(TRIM(Innings!A:A)=TRIM(A1102))*(TRIM(Innings!D:D)=TRIM(E1102)),0))</f>
        <v>36</v>
      </c>
      <c r="AE1102" t="str" cm="1">
        <f t="array" ref="AE1102">INDEX(Innings!W:W,MATCH(1,(TRIM(Innings!A:A)=TRIM(A1102))*(TRIM(Innings!D:D)=TRIM(E1102)),0))</f>
        <v>NA</v>
      </c>
      <c r="AF1102">
        <f>IF(UPPER(TRIM(E1102))=UPPER(TRIM(W1102)),1,0)</f>
        <v>0</v>
      </c>
      <c r="AG1102">
        <f t="shared" si="34"/>
        <v>4.3</v>
      </c>
    </row>
    <row r="1103" spans="1:33" x14ac:dyDescent="0.3">
      <c r="A1103" t="s">
        <v>468</v>
      </c>
      <c r="B1103">
        <v>3</v>
      </c>
      <c r="C1103" t="s">
        <v>174</v>
      </c>
      <c r="D1103" t="s">
        <v>175</v>
      </c>
      <c r="E1103" t="s">
        <v>159</v>
      </c>
      <c r="F1103" t="s">
        <v>169</v>
      </c>
      <c r="G1103" t="s">
        <v>92</v>
      </c>
      <c r="H1103">
        <v>81</v>
      </c>
      <c r="I1103">
        <v>43</v>
      </c>
      <c r="J1103">
        <v>188.37</v>
      </c>
      <c r="K1103" t="s">
        <v>246</v>
      </c>
      <c r="L1103">
        <v>95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 s="8">
        <v>95</v>
      </c>
      <c r="V1103" s="8">
        <f t="shared" si="35"/>
        <v>10</v>
      </c>
      <c r="W1103" t="str">
        <f>_xlfn.XLOOKUP(A1103, Matches!A:A, Matches!L:L, "NA", 0)</f>
        <v>MIW</v>
      </c>
      <c r="X1103" t="str">
        <f>_xlfn.XLOOKUP(A1103, Matches!A:A, Matches!J:J, "NA", 0)</f>
        <v>MIW</v>
      </c>
      <c r="Y1103" t="str">
        <f>_xlfn.XLOOKUP(A1103, Matches!A:A, Matches!F:F, "NA", 0)</f>
        <v>M. Chinnaswamy Stadium</v>
      </c>
      <c r="Z1103" cm="1">
        <f t="array" ref="Z1103">INDEX(Innings!F:F,MATCH(1,(TRIM(Innings!A:A)=TRIM(A1103))*(TRIM(Innings!D:D)=TRIM(E1103)),0))</f>
        <v>167</v>
      </c>
      <c r="AA1103" cm="1">
        <f t="array" ref="AA1103">INDEX(Innings!I:I,MATCH(1,(TRIM(Innings!A:A)=TRIM(A1103))*(TRIM(Innings!D:D)=TRIM(E1103)),0))</f>
        <v>8.35</v>
      </c>
      <c r="AB1103" cm="1">
        <f t="array" ref="AB1103">INDEX(Innings!J:J,MATCH(1,(TRIM(Innings!A:A)=TRIM(A1103))*(TRIM(Innings!D:D)=TRIM(E1103)),0))</f>
        <v>54</v>
      </c>
      <c r="AC1103" cm="1">
        <f t="array" ref="AC1103">INDEX(Innings!N:N,MATCH(1,(TRIM(Innings!A:A)=TRIM(A1103))*(TRIM(Innings!D:D)=TRIM(E1103)),0))</f>
        <v>45</v>
      </c>
      <c r="AD1103" cm="1">
        <f t="array" ref="AD1103">INDEX(Innings!S:S,MATCH(1,(TRIM(Innings!A:A)=TRIM(A1103))*(TRIM(Innings!D:D)=TRIM(E1103)),0))</f>
        <v>36</v>
      </c>
      <c r="AE1103" t="str" cm="1">
        <f t="array" ref="AE1103">INDEX(Innings!W:W,MATCH(1,(TRIM(Innings!A:A)=TRIM(A1103))*(TRIM(Innings!D:D)=TRIM(E1103)),0))</f>
        <v>NA</v>
      </c>
      <c r="AF1103">
        <f>IF(UPPER(TRIM(E1103))=UPPER(TRIM(W1103)),1,0)</f>
        <v>0</v>
      </c>
      <c r="AG1103">
        <f t="shared" si="34"/>
        <v>50.5</v>
      </c>
    </row>
    <row r="1104" spans="1:33" x14ac:dyDescent="0.3">
      <c r="A1104" t="s">
        <v>468</v>
      </c>
      <c r="B1104">
        <v>3</v>
      </c>
      <c r="C1104" t="s">
        <v>490</v>
      </c>
      <c r="D1104" t="s">
        <v>497</v>
      </c>
      <c r="E1104" t="s">
        <v>159</v>
      </c>
      <c r="F1104" t="s">
        <v>169</v>
      </c>
      <c r="G1104" t="s">
        <v>92</v>
      </c>
      <c r="H1104">
        <v>1</v>
      </c>
      <c r="I1104">
        <v>3</v>
      </c>
      <c r="J1104">
        <v>33.33</v>
      </c>
      <c r="K1104" t="s">
        <v>246</v>
      </c>
      <c r="L1104">
        <v>1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 s="8">
        <v>1</v>
      </c>
      <c r="V1104" s="8">
        <f t="shared" si="35"/>
        <v>0</v>
      </c>
      <c r="W1104" t="str">
        <f>_xlfn.XLOOKUP(A1104, Matches!A:A, Matches!L:L, "NA", 0)</f>
        <v>MIW</v>
      </c>
      <c r="X1104" t="str">
        <f>_xlfn.XLOOKUP(A1104, Matches!A:A, Matches!J:J, "NA", 0)</f>
        <v>MIW</v>
      </c>
      <c r="Y1104" t="str">
        <f>_xlfn.XLOOKUP(A1104, Matches!A:A, Matches!F:F, "NA", 0)</f>
        <v>M. Chinnaswamy Stadium</v>
      </c>
      <c r="Z1104" cm="1">
        <f t="array" ref="Z1104">INDEX(Innings!F:F,MATCH(1,(TRIM(Innings!A:A)=TRIM(A1104))*(TRIM(Innings!D:D)=TRIM(E1104)),0))</f>
        <v>167</v>
      </c>
      <c r="AA1104" cm="1">
        <f t="array" ref="AA1104">INDEX(Innings!I:I,MATCH(1,(TRIM(Innings!A:A)=TRIM(A1104))*(TRIM(Innings!D:D)=TRIM(E1104)),0))</f>
        <v>8.35</v>
      </c>
      <c r="AB1104" cm="1">
        <f t="array" ref="AB1104">INDEX(Innings!J:J,MATCH(1,(TRIM(Innings!A:A)=TRIM(A1104))*(TRIM(Innings!D:D)=TRIM(E1104)),0))</f>
        <v>54</v>
      </c>
      <c r="AC1104" cm="1">
        <f t="array" ref="AC1104">INDEX(Innings!N:N,MATCH(1,(TRIM(Innings!A:A)=TRIM(A1104))*(TRIM(Innings!D:D)=TRIM(E1104)),0))</f>
        <v>45</v>
      </c>
      <c r="AD1104" cm="1">
        <f t="array" ref="AD1104">INDEX(Innings!S:S,MATCH(1,(TRIM(Innings!A:A)=TRIM(A1104))*(TRIM(Innings!D:D)=TRIM(E1104)),0))</f>
        <v>36</v>
      </c>
      <c r="AE1104" t="str" cm="1">
        <f t="array" ref="AE1104">INDEX(Innings!W:W,MATCH(1,(TRIM(Innings!A:A)=TRIM(A1104))*(TRIM(Innings!D:D)=TRIM(E1104)),0))</f>
        <v>NA</v>
      </c>
      <c r="AF1104">
        <f>IF(UPPER(TRIM(E1104))=UPPER(TRIM(W1104)),1,0)</f>
        <v>0</v>
      </c>
      <c r="AG1104">
        <f t="shared" si="34"/>
        <v>0.5</v>
      </c>
    </row>
    <row r="1105" spans="1:33" x14ac:dyDescent="0.3">
      <c r="A1105" t="s">
        <v>468</v>
      </c>
      <c r="B1105">
        <v>3</v>
      </c>
      <c r="C1105" t="s">
        <v>178</v>
      </c>
      <c r="D1105" t="s">
        <v>179</v>
      </c>
      <c r="E1105" t="s">
        <v>159</v>
      </c>
      <c r="F1105" t="s">
        <v>169</v>
      </c>
      <c r="G1105" t="s">
        <v>134</v>
      </c>
      <c r="H1105">
        <v>3</v>
      </c>
      <c r="I1105">
        <v>9</v>
      </c>
      <c r="J1105">
        <v>33.33</v>
      </c>
      <c r="K1105" t="s">
        <v>245</v>
      </c>
      <c r="L1105">
        <v>3</v>
      </c>
      <c r="M1105">
        <v>2</v>
      </c>
      <c r="N1105">
        <v>0</v>
      </c>
      <c r="O1105">
        <v>28</v>
      </c>
      <c r="P1105">
        <v>0</v>
      </c>
      <c r="Q1105">
        <v>14</v>
      </c>
      <c r="R1105">
        <v>0</v>
      </c>
      <c r="S1105">
        <v>0</v>
      </c>
      <c r="T1105">
        <v>0</v>
      </c>
      <c r="U1105" s="8">
        <v>3</v>
      </c>
      <c r="V1105" s="8">
        <f t="shared" si="35"/>
        <v>0</v>
      </c>
      <c r="W1105" t="str">
        <f>_xlfn.XLOOKUP(A1105, Matches!A:A, Matches!L:L, "NA", 0)</f>
        <v>MIW</v>
      </c>
      <c r="X1105" t="str">
        <f>_xlfn.XLOOKUP(A1105, Matches!A:A, Matches!J:J, "NA", 0)</f>
        <v>MIW</v>
      </c>
      <c r="Y1105" t="str">
        <f>_xlfn.XLOOKUP(A1105, Matches!A:A, Matches!F:F, "NA", 0)</f>
        <v>M. Chinnaswamy Stadium</v>
      </c>
      <c r="Z1105" cm="1">
        <f t="array" ref="Z1105">INDEX(Innings!F:F,MATCH(1,(TRIM(Innings!A:A)=TRIM(A1105))*(TRIM(Innings!D:D)=TRIM(E1105)),0))</f>
        <v>167</v>
      </c>
      <c r="AA1105" cm="1">
        <f t="array" ref="AA1105">INDEX(Innings!I:I,MATCH(1,(TRIM(Innings!A:A)=TRIM(A1105))*(TRIM(Innings!D:D)=TRIM(E1105)),0))</f>
        <v>8.35</v>
      </c>
      <c r="AB1105" cm="1">
        <f t="array" ref="AB1105">INDEX(Innings!J:J,MATCH(1,(TRIM(Innings!A:A)=TRIM(A1105))*(TRIM(Innings!D:D)=TRIM(E1105)),0))</f>
        <v>54</v>
      </c>
      <c r="AC1105" cm="1">
        <f t="array" ref="AC1105">INDEX(Innings!N:N,MATCH(1,(TRIM(Innings!A:A)=TRIM(A1105))*(TRIM(Innings!D:D)=TRIM(E1105)),0))</f>
        <v>45</v>
      </c>
      <c r="AD1105" cm="1">
        <f t="array" ref="AD1105">INDEX(Innings!S:S,MATCH(1,(TRIM(Innings!A:A)=TRIM(A1105))*(TRIM(Innings!D:D)=TRIM(E1105)),0))</f>
        <v>36</v>
      </c>
      <c r="AE1105" t="str" cm="1">
        <f t="array" ref="AE1105">INDEX(Innings!W:W,MATCH(1,(TRIM(Innings!A:A)=TRIM(A1105))*(TRIM(Innings!D:D)=TRIM(E1105)),0))</f>
        <v>NA</v>
      </c>
      <c r="AF1105">
        <f>IF(UPPER(TRIM(E1105))=UPPER(TRIM(W1105)),1,0)</f>
        <v>0</v>
      </c>
      <c r="AG1105">
        <f t="shared" si="34"/>
        <v>1.5</v>
      </c>
    </row>
    <row r="1106" spans="1:33" x14ac:dyDescent="0.3">
      <c r="A1106" t="s">
        <v>468</v>
      </c>
      <c r="B1106">
        <v>3</v>
      </c>
      <c r="C1106" t="s">
        <v>176</v>
      </c>
      <c r="D1106" t="s">
        <v>177</v>
      </c>
      <c r="E1106" t="s">
        <v>159</v>
      </c>
      <c r="F1106" t="s">
        <v>85</v>
      </c>
      <c r="G1106" t="s">
        <v>134</v>
      </c>
      <c r="H1106">
        <v>28</v>
      </c>
      <c r="I1106">
        <v>25</v>
      </c>
      <c r="J1106">
        <v>112</v>
      </c>
      <c r="K1106" t="s">
        <v>245</v>
      </c>
      <c r="L1106">
        <v>30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 s="8">
        <v>30</v>
      </c>
      <c r="V1106" s="8">
        <f t="shared" si="35"/>
        <v>3</v>
      </c>
      <c r="W1106" t="str">
        <f>_xlfn.XLOOKUP(A1106, Matches!A:A, Matches!L:L, "NA", 0)</f>
        <v>MIW</v>
      </c>
      <c r="X1106" t="str">
        <f>_xlfn.XLOOKUP(A1106, Matches!A:A, Matches!J:J, "NA", 0)</f>
        <v>MIW</v>
      </c>
      <c r="Y1106" t="str">
        <f>_xlfn.XLOOKUP(A1106, Matches!A:A, Matches!F:F, "NA", 0)</f>
        <v>M. Chinnaswamy Stadium</v>
      </c>
      <c r="Z1106" cm="1">
        <f t="array" ref="Z1106">INDEX(Innings!F:F,MATCH(1,(TRIM(Innings!A:A)=TRIM(A1106))*(TRIM(Innings!D:D)=TRIM(E1106)),0))</f>
        <v>167</v>
      </c>
      <c r="AA1106" cm="1">
        <f t="array" ref="AA1106">INDEX(Innings!I:I,MATCH(1,(TRIM(Innings!A:A)=TRIM(A1106))*(TRIM(Innings!D:D)=TRIM(E1106)),0))</f>
        <v>8.35</v>
      </c>
      <c r="AB1106" cm="1">
        <f t="array" ref="AB1106">INDEX(Innings!J:J,MATCH(1,(TRIM(Innings!A:A)=TRIM(A1106))*(TRIM(Innings!D:D)=TRIM(E1106)),0))</f>
        <v>54</v>
      </c>
      <c r="AC1106" cm="1">
        <f t="array" ref="AC1106">INDEX(Innings!N:N,MATCH(1,(TRIM(Innings!A:A)=TRIM(A1106))*(TRIM(Innings!D:D)=TRIM(E1106)),0))</f>
        <v>45</v>
      </c>
      <c r="AD1106" cm="1">
        <f t="array" ref="AD1106">INDEX(Innings!S:S,MATCH(1,(TRIM(Innings!A:A)=TRIM(A1106))*(TRIM(Innings!D:D)=TRIM(E1106)),0))</f>
        <v>36</v>
      </c>
      <c r="AE1106" t="str" cm="1">
        <f t="array" ref="AE1106">INDEX(Innings!W:W,MATCH(1,(TRIM(Innings!A:A)=TRIM(A1106))*(TRIM(Innings!D:D)=TRIM(E1106)),0))</f>
        <v>NA</v>
      </c>
      <c r="AF1106">
        <f>IF(UPPER(TRIM(E1106))=UPPER(TRIM(W1106)),1,0)</f>
        <v>0</v>
      </c>
      <c r="AG1106">
        <f t="shared" si="34"/>
        <v>15.9</v>
      </c>
    </row>
    <row r="1107" spans="1:33" x14ac:dyDescent="0.3">
      <c r="A1107" t="s">
        <v>468</v>
      </c>
      <c r="B1107">
        <v>3</v>
      </c>
      <c r="C1107" t="s">
        <v>99</v>
      </c>
      <c r="D1107" t="s">
        <v>124</v>
      </c>
      <c r="E1107" t="s">
        <v>159</v>
      </c>
      <c r="F1107" t="s">
        <v>169</v>
      </c>
      <c r="G1107" t="s">
        <v>134</v>
      </c>
      <c r="H1107">
        <v>6</v>
      </c>
      <c r="I1107">
        <v>7</v>
      </c>
      <c r="J1107">
        <v>85.71</v>
      </c>
      <c r="K1107" t="s">
        <v>246</v>
      </c>
      <c r="L1107">
        <v>8</v>
      </c>
      <c r="M1107">
        <v>4</v>
      </c>
      <c r="N1107">
        <v>1</v>
      </c>
      <c r="O1107">
        <v>21</v>
      </c>
      <c r="P1107">
        <v>3</v>
      </c>
      <c r="Q1107">
        <v>5.2</v>
      </c>
      <c r="R1107">
        <v>75</v>
      </c>
      <c r="S1107">
        <v>0</v>
      </c>
      <c r="T1107">
        <v>0</v>
      </c>
      <c r="U1107" s="8">
        <v>83</v>
      </c>
      <c r="V1107" s="8">
        <f t="shared" si="35"/>
        <v>8</v>
      </c>
      <c r="W1107" t="str">
        <f>_xlfn.XLOOKUP(A1107, Matches!A:A, Matches!L:L, "NA", 0)</f>
        <v>MIW</v>
      </c>
      <c r="X1107" t="str">
        <f>_xlfn.XLOOKUP(A1107, Matches!A:A, Matches!J:J, "NA", 0)</f>
        <v>MIW</v>
      </c>
      <c r="Y1107" t="str">
        <f>_xlfn.XLOOKUP(A1107, Matches!A:A, Matches!F:F, "NA", 0)</f>
        <v>M. Chinnaswamy Stadium</v>
      </c>
      <c r="Z1107" cm="1">
        <f t="array" ref="Z1107">INDEX(Innings!F:F,MATCH(1,(TRIM(Innings!A:A)=TRIM(A1107))*(TRIM(Innings!D:D)=TRIM(E1107)),0))</f>
        <v>167</v>
      </c>
      <c r="AA1107" cm="1">
        <f t="array" ref="AA1107">INDEX(Innings!I:I,MATCH(1,(TRIM(Innings!A:A)=TRIM(A1107))*(TRIM(Innings!D:D)=TRIM(E1107)),0))</f>
        <v>8.35</v>
      </c>
      <c r="AB1107" cm="1">
        <f t="array" ref="AB1107">INDEX(Innings!J:J,MATCH(1,(TRIM(Innings!A:A)=TRIM(A1107))*(TRIM(Innings!D:D)=TRIM(E1107)),0))</f>
        <v>54</v>
      </c>
      <c r="AC1107" cm="1">
        <f t="array" ref="AC1107">INDEX(Innings!N:N,MATCH(1,(TRIM(Innings!A:A)=TRIM(A1107))*(TRIM(Innings!D:D)=TRIM(E1107)),0))</f>
        <v>45</v>
      </c>
      <c r="AD1107" cm="1">
        <f t="array" ref="AD1107">INDEX(Innings!S:S,MATCH(1,(TRIM(Innings!A:A)=TRIM(A1107))*(TRIM(Innings!D:D)=TRIM(E1107)),0))</f>
        <v>36</v>
      </c>
      <c r="AE1107" t="str" cm="1">
        <f t="array" ref="AE1107">INDEX(Innings!W:W,MATCH(1,(TRIM(Innings!A:A)=TRIM(A1107))*(TRIM(Innings!D:D)=TRIM(E1107)),0))</f>
        <v>NA</v>
      </c>
      <c r="AF1107">
        <f>IF(UPPER(TRIM(E1107))=UPPER(TRIM(W1107)),1,0)</f>
        <v>0</v>
      </c>
      <c r="AG1107">
        <f t="shared" si="34"/>
        <v>43.9</v>
      </c>
    </row>
    <row r="1108" spans="1:33" x14ac:dyDescent="0.3">
      <c r="A1108" t="s">
        <v>468</v>
      </c>
      <c r="B1108">
        <v>3</v>
      </c>
      <c r="C1108" t="s">
        <v>242</v>
      </c>
      <c r="D1108" t="s">
        <v>244</v>
      </c>
      <c r="E1108" t="s">
        <v>159</v>
      </c>
      <c r="F1108" t="s">
        <v>101</v>
      </c>
      <c r="G1108" t="s">
        <v>134</v>
      </c>
      <c r="H1108">
        <v>8</v>
      </c>
      <c r="I1108">
        <v>10</v>
      </c>
      <c r="J1108">
        <v>80</v>
      </c>
      <c r="K1108" t="s">
        <v>96</v>
      </c>
      <c r="L1108">
        <v>10</v>
      </c>
      <c r="M1108">
        <v>4</v>
      </c>
      <c r="N1108">
        <v>0</v>
      </c>
      <c r="O1108">
        <v>30</v>
      </c>
      <c r="P1108">
        <v>2</v>
      </c>
      <c r="Q1108">
        <v>7.5</v>
      </c>
      <c r="R1108">
        <v>50</v>
      </c>
      <c r="S1108">
        <v>0</v>
      </c>
      <c r="T1108">
        <v>0</v>
      </c>
      <c r="U1108" s="8">
        <v>60</v>
      </c>
      <c r="V1108" s="8">
        <f t="shared" si="35"/>
        <v>6</v>
      </c>
      <c r="W1108" t="str">
        <f>_xlfn.XLOOKUP(A1108, Matches!A:A, Matches!L:L, "NA", 0)</f>
        <v>MIW</v>
      </c>
      <c r="X1108" t="str">
        <f>_xlfn.XLOOKUP(A1108, Matches!A:A, Matches!J:J, "NA", 0)</f>
        <v>MIW</v>
      </c>
      <c r="Y1108" t="str">
        <f>_xlfn.XLOOKUP(A1108, Matches!A:A, Matches!F:F, "NA", 0)</f>
        <v>M. Chinnaswamy Stadium</v>
      </c>
      <c r="Z1108" cm="1">
        <f t="array" ref="Z1108">INDEX(Innings!F:F,MATCH(1,(TRIM(Innings!A:A)=TRIM(A1108))*(TRIM(Innings!D:D)=TRIM(E1108)),0))</f>
        <v>167</v>
      </c>
      <c r="AA1108" cm="1">
        <f t="array" ref="AA1108">INDEX(Innings!I:I,MATCH(1,(TRIM(Innings!A:A)=TRIM(A1108))*(TRIM(Innings!D:D)=TRIM(E1108)),0))</f>
        <v>8.35</v>
      </c>
      <c r="AB1108" cm="1">
        <f t="array" ref="AB1108">INDEX(Innings!J:J,MATCH(1,(TRIM(Innings!A:A)=TRIM(A1108))*(TRIM(Innings!D:D)=TRIM(E1108)),0))</f>
        <v>54</v>
      </c>
      <c r="AC1108" cm="1">
        <f t="array" ref="AC1108">INDEX(Innings!N:N,MATCH(1,(TRIM(Innings!A:A)=TRIM(A1108))*(TRIM(Innings!D:D)=TRIM(E1108)),0))</f>
        <v>45</v>
      </c>
      <c r="AD1108" cm="1">
        <f t="array" ref="AD1108">INDEX(Innings!S:S,MATCH(1,(TRIM(Innings!A:A)=TRIM(A1108))*(TRIM(Innings!D:D)=TRIM(E1108)),0))</f>
        <v>36</v>
      </c>
      <c r="AE1108" t="str" cm="1">
        <f t="array" ref="AE1108">INDEX(Innings!W:W,MATCH(1,(TRIM(Innings!A:A)=TRIM(A1108))*(TRIM(Innings!D:D)=TRIM(E1108)),0))</f>
        <v>NA</v>
      </c>
      <c r="AF1108">
        <f>IF(UPPER(TRIM(E1108))=UPPER(TRIM(W1108)),1,0)</f>
        <v>0</v>
      </c>
      <c r="AG1108">
        <f t="shared" si="34"/>
        <v>31.8</v>
      </c>
    </row>
    <row r="1109" spans="1:33" x14ac:dyDescent="0.3">
      <c r="A1109" t="s">
        <v>468</v>
      </c>
      <c r="B1109">
        <v>3</v>
      </c>
      <c r="C1109" t="s">
        <v>429</v>
      </c>
      <c r="D1109" t="s">
        <v>430</v>
      </c>
      <c r="E1109" t="s">
        <v>159</v>
      </c>
      <c r="F1109" t="s">
        <v>101</v>
      </c>
      <c r="G1109" t="s">
        <v>134</v>
      </c>
      <c r="H1109">
        <v>2</v>
      </c>
      <c r="I1109">
        <v>1</v>
      </c>
      <c r="J1109">
        <v>200</v>
      </c>
      <c r="K1109" t="s">
        <v>96</v>
      </c>
      <c r="L1109">
        <v>5</v>
      </c>
      <c r="M1109">
        <v>3.5</v>
      </c>
      <c r="N1109">
        <v>0</v>
      </c>
      <c r="O1109">
        <v>37</v>
      </c>
      <c r="P1109">
        <v>1</v>
      </c>
      <c r="Q1109">
        <v>9.6999999999999993</v>
      </c>
      <c r="R1109">
        <v>25</v>
      </c>
      <c r="S1109">
        <v>0</v>
      </c>
      <c r="T1109">
        <v>0</v>
      </c>
      <c r="U1109" s="8">
        <v>30</v>
      </c>
      <c r="V1109" s="8">
        <f t="shared" si="35"/>
        <v>3</v>
      </c>
      <c r="W1109" t="str">
        <f>_xlfn.XLOOKUP(A1109, Matches!A:A, Matches!L:L, "NA", 0)</f>
        <v>MIW</v>
      </c>
      <c r="X1109" t="str">
        <f>_xlfn.XLOOKUP(A1109, Matches!A:A, Matches!J:J, "NA", 0)</f>
        <v>MIW</v>
      </c>
      <c r="Y1109" t="str">
        <f>_xlfn.XLOOKUP(A1109, Matches!A:A, Matches!F:F, "NA", 0)</f>
        <v>M. Chinnaswamy Stadium</v>
      </c>
      <c r="Z1109" cm="1">
        <f t="array" ref="Z1109">INDEX(Innings!F:F,MATCH(1,(TRIM(Innings!A:A)=TRIM(A1109))*(TRIM(Innings!D:D)=TRIM(E1109)),0))</f>
        <v>167</v>
      </c>
      <c r="AA1109" cm="1">
        <f t="array" ref="AA1109">INDEX(Innings!I:I,MATCH(1,(TRIM(Innings!A:A)=TRIM(A1109))*(TRIM(Innings!D:D)=TRIM(E1109)),0))</f>
        <v>8.35</v>
      </c>
      <c r="AB1109" cm="1">
        <f t="array" ref="AB1109">INDEX(Innings!J:J,MATCH(1,(TRIM(Innings!A:A)=TRIM(A1109))*(TRIM(Innings!D:D)=TRIM(E1109)),0))</f>
        <v>54</v>
      </c>
      <c r="AC1109" cm="1">
        <f t="array" ref="AC1109">INDEX(Innings!N:N,MATCH(1,(TRIM(Innings!A:A)=TRIM(A1109))*(TRIM(Innings!D:D)=TRIM(E1109)),0))</f>
        <v>45</v>
      </c>
      <c r="AD1109" cm="1">
        <f t="array" ref="AD1109">INDEX(Innings!S:S,MATCH(1,(TRIM(Innings!A:A)=TRIM(A1109))*(TRIM(Innings!D:D)=TRIM(E1109)),0))</f>
        <v>36</v>
      </c>
      <c r="AE1109" t="str" cm="1">
        <f t="array" ref="AE1109">INDEX(Innings!W:W,MATCH(1,(TRIM(Innings!A:A)=TRIM(A1109))*(TRIM(Innings!D:D)=TRIM(E1109)),0))</f>
        <v>NA</v>
      </c>
      <c r="AF1109">
        <f>IF(UPPER(TRIM(E1109))=UPPER(TRIM(W1109)),1,0)</f>
        <v>0</v>
      </c>
      <c r="AG1109">
        <f t="shared" si="34"/>
        <v>15.9</v>
      </c>
    </row>
    <row r="1110" spans="1:33" x14ac:dyDescent="0.3">
      <c r="A1110" t="s">
        <v>468</v>
      </c>
      <c r="B1110">
        <v>3</v>
      </c>
      <c r="C1110" t="s">
        <v>492</v>
      </c>
      <c r="D1110" t="s">
        <v>499</v>
      </c>
      <c r="E1110" t="s">
        <v>159</v>
      </c>
      <c r="F1110" t="s">
        <v>169</v>
      </c>
      <c r="G1110" t="s">
        <v>104</v>
      </c>
      <c r="H1110">
        <v>0</v>
      </c>
      <c r="I1110">
        <v>0</v>
      </c>
      <c r="J1110">
        <v>0</v>
      </c>
      <c r="K1110" t="s">
        <v>104</v>
      </c>
      <c r="L1110">
        <v>0</v>
      </c>
      <c r="M1110">
        <v>2</v>
      </c>
      <c r="N1110">
        <v>0</v>
      </c>
      <c r="O1110">
        <v>19</v>
      </c>
      <c r="P1110">
        <v>0</v>
      </c>
      <c r="Q1110">
        <v>9.5</v>
      </c>
      <c r="R1110">
        <v>0</v>
      </c>
      <c r="S1110">
        <v>0</v>
      </c>
      <c r="T1110">
        <v>0</v>
      </c>
      <c r="U1110" s="8">
        <v>0</v>
      </c>
      <c r="V1110" s="8">
        <f t="shared" si="35"/>
        <v>0</v>
      </c>
      <c r="W1110" t="str">
        <f>_xlfn.XLOOKUP(A1110, Matches!A:A, Matches!L:L, "NA", 0)</f>
        <v>MIW</v>
      </c>
      <c r="X1110" t="str">
        <f>_xlfn.XLOOKUP(A1110, Matches!A:A, Matches!J:J, "NA", 0)</f>
        <v>MIW</v>
      </c>
      <c r="Y1110" t="str">
        <f>_xlfn.XLOOKUP(A1110, Matches!A:A, Matches!F:F, "NA", 0)</f>
        <v>M. Chinnaswamy Stadium</v>
      </c>
      <c r="Z1110" cm="1">
        <f t="array" ref="Z1110">INDEX(Innings!F:F,MATCH(1,(TRIM(Innings!A:A)=TRIM(A1110))*(TRIM(Innings!D:D)=TRIM(E1110)),0))</f>
        <v>167</v>
      </c>
      <c r="AA1110" cm="1">
        <f t="array" ref="AA1110">INDEX(Innings!I:I,MATCH(1,(TRIM(Innings!A:A)=TRIM(A1110))*(TRIM(Innings!D:D)=TRIM(E1110)),0))</f>
        <v>8.35</v>
      </c>
      <c r="AB1110" cm="1">
        <f t="array" ref="AB1110">INDEX(Innings!J:J,MATCH(1,(TRIM(Innings!A:A)=TRIM(A1110))*(TRIM(Innings!D:D)=TRIM(E1110)),0))</f>
        <v>54</v>
      </c>
      <c r="AC1110" cm="1">
        <f t="array" ref="AC1110">INDEX(Innings!N:N,MATCH(1,(TRIM(Innings!A:A)=TRIM(A1110))*(TRIM(Innings!D:D)=TRIM(E1110)),0))</f>
        <v>45</v>
      </c>
      <c r="AD1110" cm="1">
        <f t="array" ref="AD1110">INDEX(Innings!S:S,MATCH(1,(TRIM(Innings!A:A)=TRIM(A1110))*(TRIM(Innings!D:D)=TRIM(E1110)),0))</f>
        <v>36</v>
      </c>
      <c r="AE1110" t="str" cm="1">
        <f t="array" ref="AE1110">INDEX(Innings!W:W,MATCH(1,(TRIM(Innings!A:A)=TRIM(A1110))*(TRIM(Innings!D:D)=TRIM(E1110)),0))</f>
        <v>NA</v>
      </c>
      <c r="AF1110">
        <f>IF(UPPER(TRIM(E1110))=UPPER(TRIM(W1110)),1,0)</f>
        <v>0</v>
      </c>
      <c r="AG1110">
        <f t="shared" si="34"/>
        <v>0</v>
      </c>
    </row>
    <row r="1111" spans="1:33" x14ac:dyDescent="0.3">
      <c r="A1111" t="s">
        <v>468</v>
      </c>
      <c r="B1111">
        <v>3</v>
      </c>
      <c r="C1111" t="s">
        <v>186</v>
      </c>
      <c r="D1111" t="s">
        <v>187</v>
      </c>
      <c r="E1111" t="s">
        <v>159</v>
      </c>
      <c r="F1111" t="s">
        <v>101</v>
      </c>
      <c r="G1111" t="s">
        <v>104</v>
      </c>
      <c r="H1111">
        <v>0</v>
      </c>
      <c r="I1111">
        <v>0</v>
      </c>
      <c r="J1111">
        <v>0</v>
      </c>
      <c r="K1111" t="s">
        <v>104</v>
      </c>
      <c r="L1111">
        <v>0</v>
      </c>
      <c r="M1111">
        <v>4</v>
      </c>
      <c r="N1111">
        <v>0</v>
      </c>
      <c r="O1111">
        <v>35</v>
      </c>
      <c r="P1111">
        <v>0</v>
      </c>
      <c r="Q1111">
        <v>8.8000000000000007</v>
      </c>
      <c r="R1111">
        <v>0</v>
      </c>
      <c r="S1111">
        <v>0</v>
      </c>
      <c r="T1111">
        <v>0</v>
      </c>
      <c r="U1111" s="8">
        <v>0</v>
      </c>
      <c r="V1111" s="8">
        <f t="shared" si="35"/>
        <v>0</v>
      </c>
      <c r="W1111" t="str">
        <f>_xlfn.XLOOKUP(A1111, Matches!A:A, Matches!L:L, "NA", 0)</f>
        <v>MIW</v>
      </c>
      <c r="X1111" t="str">
        <f>_xlfn.XLOOKUP(A1111, Matches!A:A, Matches!J:J, "NA", 0)</f>
        <v>MIW</v>
      </c>
      <c r="Y1111" t="str">
        <f>_xlfn.XLOOKUP(A1111, Matches!A:A, Matches!F:F, "NA", 0)</f>
        <v>M. Chinnaswamy Stadium</v>
      </c>
      <c r="Z1111" cm="1">
        <f t="array" ref="Z1111">INDEX(Innings!F:F,MATCH(1,(TRIM(Innings!A:A)=TRIM(A1111))*(TRIM(Innings!D:D)=TRIM(E1111)),0))</f>
        <v>167</v>
      </c>
      <c r="AA1111" cm="1">
        <f t="array" ref="AA1111">INDEX(Innings!I:I,MATCH(1,(TRIM(Innings!A:A)=TRIM(A1111))*(TRIM(Innings!D:D)=TRIM(E1111)),0))</f>
        <v>8.35</v>
      </c>
      <c r="AB1111" cm="1">
        <f t="array" ref="AB1111">INDEX(Innings!J:J,MATCH(1,(TRIM(Innings!A:A)=TRIM(A1111))*(TRIM(Innings!D:D)=TRIM(E1111)),0))</f>
        <v>54</v>
      </c>
      <c r="AC1111" cm="1">
        <f t="array" ref="AC1111">INDEX(Innings!N:N,MATCH(1,(TRIM(Innings!A:A)=TRIM(A1111))*(TRIM(Innings!D:D)=TRIM(E1111)),0))</f>
        <v>45</v>
      </c>
      <c r="AD1111" cm="1">
        <f t="array" ref="AD1111">INDEX(Innings!S:S,MATCH(1,(TRIM(Innings!A:A)=TRIM(A1111))*(TRIM(Innings!D:D)=TRIM(E1111)),0))</f>
        <v>36</v>
      </c>
      <c r="AE1111" t="str" cm="1">
        <f t="array" ref="AE1111">INDEX(Innings!W:W,MATCH(1,(TRIM(Innings!A:A)=TRIM(A1111))*(TRIM(Innings!D:D)=TRIM(E1111)),0))</f>
        <v>NA</v>
      </c>
      <c r="AF1111">
        <f>IF(UPPER(TRIM(E1111))=UPPER(TRIM(W1111)),1,0)</f>
        <v>0</v>
      </c>
      <c r="AG1111">
        <f t="shared" si="34"/>
        <v>0</v>
      </c>
    </row>
    <row r="1112" spans="1:33" x14ac:dyDescent="0.3">
      <c r="A1112" t="s">
        <v>468</v>
      </c>
      <c r="B1112">
        <v>3</v>
      </c>
      <c r="C1112" t="s">
        <v>113</v>
      </c>
      <c r="D1112" t="s">
        <v>84</v>
      </c>
      <c r="E1112" t="s">
        <v>266</v>
      </c>
      <c r="F1112" t="s">
        <v>85</v>
      </c>
      <c r="G1112" t="s">
        <v>86</v>
      </c>
      <c r="H1112">
        <v>8</v>
      </c>
      <c r="I1112">
        <v>8</v>
      </c>
      <c r="J1112">
        <v>100</v>
      </c>
      <c r="K1112" t="s">
        <v>247</v>
      </c>
      <c r="L1112">
        <v>6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 s="8">
        <v>6</v>
      </c>
      <c r="V1112" s="8">
        <f t="shared" si="35"/>
        <v>1</v>
      </c>
      <c r="W1112" t="str">
        <f>_xlfn.XLOOKUP(A1112, Matches!A:A, Matches!L:L, "NA", 0)</f>
        <v>MIW</v>
      </c>
      <c r="X1112" t="str">
        <f>_xlfn.XLOOKUP(A1112, Matches!A:A, Matches!J:J, "NA", 0)</f>
        <v>MIW</v>
      </c>
      <c r="Y1112" t="str">
        <f>_xlfn.XLOOKUP(A1112, Matches!A:A, Matches!F:F, "NA", 0)</f>
        <v>M. Chinnaswamy Stadium</v>
      </c>
      <c r="Z1112" cm="1">
        <f t="array" ref="Z1112">INDEX(Innings!F:F,MATCH(1,(TRIM(Innings!A:A)=TRIM(A1112))*(TRIM(Innings!D:D)=TRIM(E1112)),0))</f>
        <v>170</v>
      </c>
      <c r="AA1112" cm="1">
        <f t="array" ref="AA1112">INDEX(Innings!I:I,MATCH(1,(TRIM(Innings!A:A)=TRIM(A1112))*(TRIM(Innings!D:D)=TRIM(E1112)),0))</f>
        <v>8.57</v>
      </c>
      <c r="AB1112" cm="1">
        <f t="array" ref="AB1112">INDEX(Innings!J:J,MATCH(1,(TRIM(Innings!A:A)=TRIM(A1112))*(TRIM(Innings!D:D)=TRIM(E1112)),0))</f>
        <v>66</v>
      </c>
      <c r="AC1112" cm="1">
        <f t="array" ref="AC1112">INDEX(Innings!N:N,MATCH(1,(TRIM(Innings!A:A)=TRIM(A1112))*(TRIM(Innings!D:D)=TRIM(E1112)),0))</f>
        <v>36</v>
      </c>
      <c r="AD1112" cm="1">
        <f t="array" ref="AD1112">INDEX(Innings!S:S,MATCH(1,(TRIM(Innings!A:A)=TRIM(A1112))*(TRIM(Innings!D:D)=TRIM(E1112)),0))</f>
        <v>49</v>
      </c>
      <c r="AE1112" t="str" cm="1">
        <f t="array" ref="AE1112">INDEX(Innings!W:W,MATCH(1,(TRIM(Innings!A:A)=TRIM(A1112))*(TRIM(Innings!D:D)=TRIM(E1112)),0))</f>
        <v>Successful</v>
      </c>
      <c r="AF1112">
        <f>IF(UPPER(TRIM(E1112))=UPPER(TRIM(W1112)),1,0)</f>
        <v>1</v>
      </c>
      <c r="AG1112">
        <f t="shared" si="34"/>
        <v>23.3</v>
      </c>
    </row>
    <row r="1113" spans="1:33" x14ac:dyDescent="0.3">
      <c r="A1113" t="s">
        <v>468</v>
      </c>
      <c r="B1113">
        <v>3</v>
      </c>
      <c r="C1113" t="s">
        <v>112</v>
      </c>
      <c r="D1113" t="s">
        <v>88</v>
      </c>
      <c r="E1113" t="s">
        <v>266</v>
      </c>
      <c r="F1113" t="s">
        <v>169</v>
      </c>
      <c r="G1113" t="s">
        <v>86</v>
      </c>
      <c r="H1113">
        <v>15</v>
      </c>
      <c r="I1113">
        <v>10</v>
      </c>
      <c r="J1113">
        <v>150</v>
      </c>
      <c r="K1113" t="s">
        <v>247</v>
      </c>
      <c r="L1113">
        <v>18</v>
      </c>
      <c r="M1113">
        <v>4</v>
      </c>
      <c r="N1113">
        <v>0</v>
      </c>
      <c r="O1113">
        <v>37</v>
      </c>
      <c r="P1113">
        <v>1</v>
      </c>
      <c r="Q1113">
        <v>9.1999999999999993</v>
      </c>
      <c r="R1113">
        <v>25</v>
      </c>
      <c r="S1113">
        <v>0</v>
      </c>
      <c r="T1113">
        <v>0</v>
      </c>
      <c r="U1113" s="8">
        <v>43</v>
      </c>
      <c r="V1113" s="8">
        <f t="shared" si="35"/>
        <v>4</v>
      </c>
      <c r="W1113" t="str">
        <f>_xlfn.XLOOKUP(A1113, Matches!A:A, Matches!L:L, "NA", 0)</f>
        <v>MIW</v>
      </c>
      <c r="X1113" t="str">
        <f>_xlfn.XLOOKUP(A1113, Matches!A:A, Matches!J:J, "NA", 0)</f>
        <v>MIW</v>
      </c>
      <c r="Y1113" t="str">
        <f>_xlfn.XLOOKUP(A1113, Matches!A:A, Matches!F:F, "NA", 0)</f>
        <v>M. Chinnaswamy Stadium</v>
      </c>
      <c r="Z1113" cm="1">
        <f t="array" ref="Z1113">INDEX(Innings!F:F,MATCH(1,(TRIM(Innings!A:A)=TRIM(A1113))*(TRIM(Innings!D:D)=TRIM(E1113)),0))</f>
        <v>170</v>
      </c>
      <c r="AA1113" cm="1">
        <f t="array" ref="AA1113">INDEX(Innings!I:I,MATCH(1,(TRIM(Innings!A:A)=TRIM(A1113))*(TRIM(Innings!D:D)=TRIM(E1113)),0))</f>
        <v>8.57</v>
      </c>
      <c r="AB1113" cm="1">
        <f t="array" ref="AB1113">INDEX(Innings!J:J,MATCH(1,(TRIM(Innings!A:A)=TRIM(A1113))*(TRIM(Innings!D:D)=TRIM(E1113)),0))</f>
        <v>66</v>
      </c>
      <c r="AC1113" cm="1">
        <f t="array" ref="AC1113">INDEX(Innings!N:N,MATCH(1,(TRIM(Innings!A:A)=TRIM(A1113))*(TRIM(Innings!D:D)=TRIM(E1113)),0))</f>
        <v>36</v>
      </c>
      <c r="AD1113" cm="1">
        <f t="array" ref="AD1113">INDEX(Innings!S:S,MATCH(1,(TRIM(Innings!A:A)=TRIM(A1113))*(TRIM(Innings!D:D)=TRIM(E1113)),0))</f>
        <v>49</v>
      </c>
      <c r="AE1113" t="str" cm="1">
        <f t="array" ref="AE1113">INDEX(Innings!W:W,MATCH(1,(TRIM(Innings!A:A)=TRIM(A1113))*(TRIM(Innings!D:D)=TRIM(E1113)),0))</f>
        <v>Successful</v>
      </c>
      <c r="AF1113">
        <f>IF(UPPER(TRIM(E1113))=UPPER(TRIM(W1113)),1,0)</f>
        <v>1</v>
      </c>
      <c r="AG1113">
        <f t="shared" si="34"/>
        <v>42.7</v>
      </c>
    </row>
    <row r="1114" spans="1:33" x14ac:dyDescent="0.3">
      <c r="A1114" t="s">
        <v>468</v>
      </c>
      <c r="B1114">
        <v>3</v>
      </c>
      <c r="C1114" t="s">
        <v>117</v>
      </c>
      <c r="D1114" t="s">
        <v>90</v>
      </c>
      <c r="E1114" t="s">
        <v>266</v>
      </c>
      <c r="F1114" t="s">
        <v>169</v>
      </c>
      <c r="G1114" t="s">
        <v>92</v>
      </c>
      <c r="H1114">
        <v>42</v>
      </c>
      <c r="I1114">
        <v>21</v>
      </c>
      <c r="J1114">
        <v>200</v>
      </c>
      <c r="K1114" t="s">
        <v>245</v>
      </c>
      <c r="L1114">
        <v>55</v>
      </c>
      <c r="M1114">
        <v>4</v>
      </c>
      <c r="N1114">
        <v>0</v>
      </c>
      <c r="O1114">
        <v>40</v>
      </c>
      <c r="P1114">
        <v>1</v>
      </c>
      <c r="Q1114">
        <v>10</v>
      </c>
      <c r="R1114">
        <v>25</v>
      </c>
      <c r="S1114">
        <v>0</v>
      </c>
      <c r="T1114">
        <v>0</v>
      </c>
      <c r="U1114" s="8">
        <v>80</v>
      </c>
      <c r="V1114" s="8">
        <f t="shared" si="35"/>
        <v>8</v>
      </c>
      <c r="W1114" t="str">
        <f>_xlfn.XLOOKUP(A1114, Matches!A:A, Matches!L:L, "NA", 0)</f>
        <v>MIW</v>
      </c>
      <c r="X1114" t="str">
        <f>_xlfn.XLOOKUP(A1114, Matches!A:A, Matches!J:J, "NA", 0)</f>
        <v>MIW</v>
      </c>
      <c r="Y1114" t="str">
        <f>_xlfn.XLOOKUP(A1114, Matches!A:A, Matches!F:F, "NA", 0)</f>
        <v>M. Chinnaswamy Stadium</v>
      </c>
      <c r="Z1114" cm="1">
        <f t="array" ref="Z1114">INDEX(Innings!F:F,MATCH(1,(TRIM(Innings!A:A)=TRIM(A1114))*(TRIM(Innings!D:D)=TRIM(E1114)),0))</f>
        <v>170</v>
      </c>
      <c r="AA1114" cm="1">
        <f t="array" ref="AA1114">INDEX(Innings!I:I,MATCH(1,(TRIM(Innings!A:A)=TRIM(A1114))*(TRIM(Innings!D:D)=TRIM(E1114)),0))</f>
        <v>8.57</v>
      </c>
      <c r="AB1114" cm="1">
        <f t="array" ref="AB1114">INDEX(Innings!J:J,MATCH(1,(TRIM(Innings!A:A)=TRIM(A1114))*(TRIM(Innings!D:D)=TRIM(E1114)),0))</f>
        <v>66</v>
      </c>
      <c r="AC1114" cm="1">
        <f t="array" ref="AC1114">INDEX(Innings!N:N,MATCH(1,(TRIM(Innings!A:A)=TRIM(A1114))*(TRIM(Innings!D:D)=TRIM(E1114)),0))</f>
        <v>36</v>
      </c>
      <c r="AD1114" cm="1">
        <f t="array" ref="AD1114">INDEX(Innings!S:S,MATCH(1,(TRIM(Innings!A:A)=TRIM(A1114))*(TRIM(Innings!D:D)=TRIM(E1114)),0))</f>
        <v>49</v>
      </c>
      <c r="AE1114" t="str" cm="1">
        <f t="array" ref="AE1114">INDEX(Innings!W:W,MATCH(1,(TRIM(Innings!A:A)=TRIM(A1114))*(TRIM(Innings!D:D)=TRIM(E1114)),0))</f>
        <v>Successful</v>
      </c>
      <c r="AF1114">
        <f>IF(UPPER(TRIM(E1114))=UPPER(TRIM(W1114)),1,0)</f>
        <v>1</v>
      </c>
      <c r="AG1114">
        <f t="shared" si="34"/>
        <v>62.4</v>
      </c>
    </row>
    <row r="1115" spans="1:33" x14ac:dyDescent="0.3">
      <c r="A1115" t="s">
        <v>468</v>
      </c>
      <c r="B1115">
        <v>3</v>
      </c>
      <c r="C1115" t="s">
        <v>115</v>
      </c>
      <c r="D1115" t="s">
        <v>17</v>
      </c>
      <c r="E1115" t="s">
        <v>266</v>
      </c>
      <c r="F1115" t="s">
        <v>169</v>
      </c>
      <c r="G1115" t="s">
        <v>134</v>
      </c>
      <c r="H1115">
        <v>50</v>
      </c>
      <c r="I1115">
        <v>38</v>
      </c>
      <c r="J1115">
        <v>131.58000000000001</v>
      </c>
      <c r="K1115" t="s">
        <v>246</v>
      </c>
      <c r="L1115">
        <v>60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 s="8">
        <v>60</v>
      </c>
      <c r="V1115" s="8">
        <f t="shared" si="35"/>
        <v>6</v>
      </c>
      <c r="W1115" t="str">
        <f>_xlfn.XLOOKUP(A1115, Matches!A:A, Matches!L:L, "NA", 0)</f>
        <v>MIW</v>
      </c>
      <c r="X1115" t="str">
        <f>_xlfn.XLOOKUP(A1115, Matches!A:A, Matches!J:J, "NA", 0)</f>
        <v>MIW</v>
      </c>
      <c r="Y1115" t="str">
        <f>_xlfn.XLOOKUP(A1115, Matches!A:A, Matches!F:F, "NA", 0)</f>
        <v>M. Chinnaswamy Stadium</v>
      </c>
      <c r="Z1115" cm="1">
        <f t="array" ref="Z1115">INDEX(Innings!F:F,MATCH(1,(TRIM(Innings!A:A)=TRIM(A1115))*(TRIM(Innings!D:D)=TRIM(E1115)),0))</f>
        <v>170</v>
      </c>
      <c r="AA1115" cm="1">
        <f t="array" ref="AA1115">INDEX(Innings!I:I,MATCH(1,(TRIM(Innings!A:A)=TRIM(A1115))*(TRIM(Innings!D:D)=TRIM(E1115)),0))</f>
        <v>8.57</v>
      </c>
      <c r="AB1115" cm="1">
        <f t="array" ref="AB1115">INDEX(Innings!J:J,MATCH(1,(TRIM(Innings!A:A)=TRIM(A1115))*(TRIM(Innings!D:D)=TRIM(E1115)),0))</f>
        <v>66</v>
      </c>
      <c r="AC1115" cm="1">
        <f t="array" ref="AC1115">INDEX(Innings!N:N,MATCH(1,(TRIM(Innings!A:A)=TRIM(A1115))*(TRIM(Innings!D:D)=TRIM(E1115)),0))</f>
        <v>36</v>
      </c>
      <c r="AD1115" cm="1">
        <f t="array" ref="AD1115">INDEX(Innings!S:S,MATCH(1,(TRIM(Innings!A:A)=TRIM(A1115))*(TRIM(Innings!D:D)=TRIM(E1115)),0))</f>
        <v>49</v>
      </c>
      <c r="AE1115" t="str" cm="1">
        <f t="array" ref="AE1115">INDEX(Innings!W:W,MATCH(1,(TRIM(Innings!A:A)=TRIM(A1115))*(TRIM(Innings!D:D)=TRIM(E1115)),0))</f>
        <v>Successful</v>
      </c>
      <c r="AF1115">
        <f>IF(UPPER(TRIM(E1115))=UPPER(TRIM(W1115)),1,0)</f>
        <v>1</v>
      </c>
      <c r="AG1115">
        <f t="shared" si="34"/>
        <v>51.8</v>
      </c>
    </row>
    <row r="1116" spans="1:33" x14ac:dyDescent="0.3">
      <c r="A1116" t="s">
        <v>468</v>
      </c>
      <c r="B1116">
        <v>3</v>
      </c>
      <c r="C1116" t="s">
        <v>119</v>
      </c>
      <c r="D1116" t="s">
        <v>95</v>
      </c>
      <c r="E1116" t="s">
        <v>266</v>
      </c>
      <c r="F1116" t="s">
        <v>169</v>
      </c>
      <c r="G1116" t="s">
        <v>134</v>
      </c>
      <c r="H1116">
        <v>2</v>
      </c>
      <c r="I1116">
        <v>6</v>
      </c>
      <c r="J1116">
        <v>33.33</v>
      </c>
      <c r="K1116" t="s">
        <v>246</v>
      </c>
      <c r="L1116">
        <v>2</v>
      </c>
      <c r="M1116">
        <v>4</v>
      </c>
      <c r="N1116">
        <v>0</v>
      </c>
      <c r="O1116">
        <v>28</v>
      </c>
      <c r="P1116">
        <v>0</v>
      </c>
      <c r="Q1116">
        <v>7</v>
      </c>
      <c r="R1116">
        <v>0</v>
      </c>
      <c r="S1116">
        <v>0</v>
      </c>
      <c r="T1116">
        <v>0</v>
      </c>
      <c r="U1116" s="8">
        <v>2</v>
      </c>
      <c r="V1116" s="8">
        <f t="shared" si="35"/>
        <v>0</v>
      </c>
      <c r="W1116" t="str">
        <f>_xlfn.XLOOKUP(A1116, Matches!A:A, Matches!L:L, "NA", 0)</f>
        <v>MIW</v>
      </c>
      <c r="X1116" t="str">
        <f>_xlfn.XLOOKUP(A1116, Matches!A:A, Matches!J:J, "NA", 0)</f>
        <v>MIW</v>
      </c>
      <c r="Y1116" t="str">
        <f>_xlfn.XLOOKUP(A1116, Matches!A:A, Matches!F:F, "NA", 0)</f>
        <v>M. Chinnaswamy Stadium</v>
      </c>
      <c r="Z1116" cm="1">
        <f t="array" ref="Z1116">INDEX(Innings!F:F,MATCH(1,(TRIM(Innings!A:A)=TRIM(A1116))*(TRIM(Innings!D:D)=TRIM(E1116)),0))</f>
        <v>170</v>
      </c>
      <c r="AA1116" cm="1">
        <f t="array" ref="AA1116">INDEX(Innings!I:I,MATCH(1,(TRIM(Innings!A:A)=TRIM(A1116))*(TRIM(Innings!D:D)=TRIM(E1116)),0))</f>
        <v>8.57</v>
      </c>
      <c r="AB1116" cm="1">
        <f t="array" ref="AB1116">INDEX(Innings!J:J,MATCH(1,(TRIM(Innings!A:A)=TRIM(A1116))*(TRIM(Innings!D:D)=TRIM(E1116)),0))</f>
        <v>66</v>
      </c>
      <c r="AC1116" cm="1">
        <f t="array" ref="AC1116">INDEX(Innings!N:N,MATCH(1,(TRIM(Innings!A:A)=TRIM(A1116))*(TRIM(Innings!D:D)=TRIM(E1116)),0))</f>
        <v>36</v>
      </c>
      <c r="AD1116" cm="1">
        <f t="array" ref="AD1116">INDEX(Innings!S:S,MATCH(1,(TRIM(Innings!A:A)=TRIM(A1116))*(TRIM(Innings!D:D)=TRIM(E1116)),0))</f>
        <v>49</v>
      </c>
      <c r="AE1116" t="str" cm="1">
        <f t="array" ref="AE1116">INDEX(Innings!W:W,MATCH(1,(TRIM(Innings!A:A)=TRIM(A1116))*(TRIM(Innings!D:D)=TRIM(E1116)),0))</f>
        <v>Successful</v>
      </c>
      <c r="AF1116">
        <f>IF(UPPER(TRIM(E1116))=UPPER(TRIM(W1116)),1,0)</f>
        <v>1</v>
      </c>
      <c r="AG1116">
        <f t="shared" si="34"/>
        <v>21</v>
      </c>
    </row>
    <row r="1117" spans="1:33" x14ac:dyDescent="0.3">
      <c r="A1117" t="s">
        <v>468</v>
      </c>
      <c r="B1117">
        <v>3</v>
      </c>
      <c r="C1117" t="s">
        <v>121</v>
      </c>
      <c r="D1117" t="s">
        <v>108</v>
      </c>
      <c r="E1117" t="s">
        <v>266</v>
      </c>
      <c r="F1117" t="s">
        <v>169</v>
      </c>
      <c r="G1117" t="s">
        <v>134</v>
      </c>
      <c r="H1117">
        <v>34</v>
      </c>
      <c r="I1117">
        <v>27</v>
      </c>
      <c r="J1117">
        <v>125.93</v>
      </c>
      <c r="K1117" t="s">
        <v>96</v>
      </c>
      <c r="L1117">
        <v>40</v>
      </c>
      <c r="M1117">
        <v>3</v>
      </c>
      <c r="N1117">
        <v>0</v>
      </c>
      <c r="O1117">
        <v>22</v>
      </c>
      <c r="P1117">
        <v>3</v>
      </c>
      <c r="Q1117">
        <v>7.3</v>
      </c>
      <c r="R1117">
        <v>75</v>
      </c>
      <c r="S1117">
        <v>0</v>
      </c>
      <c r="T1117">
        <v>0</v>
      </c>
      <c r="U1117" s="8">
        <v>115</v>
      </c>
      <c r="V1117" s="8">
        <f t="shared" si="35"/>
        <v>10</v>
      </c>
      <c r="W1117" t="str">
        <f>_xlfn.XLOOKUP(A1117, Matches!A:A, Matches!L:L, "NA", 0)</f>
        <v>MIW</v>
      </c>
      <c r="X1117" t="str">
        <f>_xlfn.XLOOKUP(A1117, Matches!A:A, Matches!J:J, "NA", 0)</f>
        <v>MIW</v>
      </c>
      <c r="Y1117" t="str">
        <f>_xlfn.XLOOKUP(A1117, Matches!A:A, Matches!F:F, "NA", 0)</f>
        <v>M. Chinnaswamy Stadium</v>
      </c>
      <c r="Z1117" cm="1">
        <f t="array" ref="Z1117">INDEX(Innings!F:F,MATCH(1,(TRIM(Innings!A:A)=TRIM(A1117))*(TRIM(Innings!D:D)=TRIM(E1117)),0))</f>
        <v>170</v>
      </c>
      <c r="AA1117" cm="1">
        <f t="array" ref="AA1117">INDEX(Innings!I:I,MATCH(1,(TRIM(Innings!A:A)=TRIM(A1117))*(TRIM(Innings!D:D)=TRIM(E1117)),0))</f>
        <v>8.57</v>
      </c>
      <c r="AB1117" cm="1">
        <f t="array" ref="AB1117">INDEX(Innings!J:J,MATCH(1,(TRIM(Innings!A:A)=TRIM(A1117))*(TRIM(Innings!D:D)=TRIM(E1117)),0))</f>
        <v>66</v>
      </c>
      <c r="AC1117" cm="1">
        <f t="array" ref="AC1117">INDEX(Innings!N:N,MATCH(1,(TRIM(Innings!A:A)=TRIM(A1117))*(TRIM(Innings!D:D)=TRIM(E1117)),0))</f>
        <v>36</v>
      </c>
      <c r="AD1117" cm="1">
        <f t="array" ref="AD1117">INDEX(Innings!S:S,MATCH(1,(TRIM(Innings!A:A)=TRIM(A1117))*(TRIM(Innings!D:D)=TRIM(E1117)),0))</f>
        <v>49</v>
      </c>
      <c r="AE1117" t="str" cm="1">
        <f t="array" ref="AE1117">INDEX(Innings!W:W,MATCH(1,(TRIM(Innings!A:A)=TRIM(A1117))*(TRIM(Innings!D:D)=TRIM(E1117)),0))</f>
        <v>Successful</v>
      </c>
      <c r="AF1117">
        <f>IF(UPPER(TRIM(E1117))=UPPER(TRIM(W1117)),1,0)</f>
        <v>1</v>
      </c>
      <c r="AG1117">
        <f t="shared" si="34"/>
        <v>80.5</v>
      </c>
    </row>
    <row r="1118" spans="1:33" x14ac:dyDescent="0.3">
      <c r="A1118" t="s">
        <v>468</v>
      </c>
      <c r="B1118">
        <v>3</v>
      </c>
      <c r="C1118" t="s">
        <v>347</v>
      </c>
      <c r="D1118" t="s">
        <v>348</v>
      </c>
      <c r="E1118" t="s">
        <v>266</v>
      </c>
      <c r="F1118" t="s">
        <v>169</v>
      </c>
      <c r="G1118" t="s">
        <v>134</v>
      </c>
      <c r="H1118">
        <v>0</v>
      </c>
      <c r="I1118">
        <v>1</v>
      </c>
      <c r="J1118">
        <v>0</v>
      </c>
      <c r="K1118" t="s">
        <v>247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 s="8">
        <v>0</v>
      </c>
      <c r="V1118" s="8">
        <f t="shared" si="35"/>
        <v>0</v>
      </c>
      <c r="W1118" t="str">
        <f>_xlfn.XLOOKUP(A1118, Matches!A:A, Matches!L:L, "NA", 0)</f>
        <v>MIW</v>
      </c>
      <c r="X1118" t="str">
        <f>_xlfn.XLOOKUP(A1118, Matches!A:A, Matches!J:J, "NA", 0)</f>
        <v>MIW</v>
      </c>
      <c r="Y1118" t="str">
        <f>_xlfn.XLOOKUP(A1118, Matches!A:A, Matches!F:F, "NA", 0)</f>
        <v>M. Chinnaswamy Stadium</v>
      </c>
      <c r="Z1118" cm="1">
        <f t="array" ref="Z1118">INDEX(Innings!F:F,MATCH(1,(TRIM(Innings!A:A)=TRIM(A1118))*(TRIM(Innings!D:D)=TRIM(E1118)),0))</f>
        <v>170</v>
      </c>
      <c r="AA1118" cm="1">
        <f t="array" ref="AA1118">INDEX(Innings!I:I,MATCH(1,(TRIM(Innings!A:A)=TRIM(A1118))*(TRIM(Innings!D:D)=TRIM(E1118)),0))</f>
        <v>8.57</v>
      </c>
      <c r="AB1118" cm="1">
        <f t="array" ref="AB1118">INDEX(Innings!J:J,MATCH(1,(TRIM(Innings!A:A)=TRIM(A1118))*(TRIM(Innings!D:D)=TRIM(E1118)),0))</f>
        <v>66</v>
      </c>
      <c r="AC1118" cm="1">
        <f t="array" ref="AC1118">INDEX(Innings!N:N,MATCH(1,(TRIM(Innings!A:A)=TRIM(A1118))*(TRIM(Innings!D:D)=TRIM(E1118)),0))</f>
        <v>36</v>
      </c>
      <c r="AD1118" cm="1">
        <f t="array" ref="AD1118">INDEX(Innings!S:S,MATCH(1,(TRIM(Innings!A:A)=TRIM(A1118))*(TRIM(Innings!D:D)=TRIM(E1118)),0))</f>
        <v>49</v>
      </c>
      <c r="AE1118" t="str" cm="1">
        <f t="array" ref="AE1118">INDEX(Innings!W:W,MATCH(1,(TRIM(Innings!A:A)=TRIM(A1118))*(TRIM(Innings!D:D)=TRIM(E1118)),0))</f>
        <v>Successful</v>
      </c>
      <c r="AF1118">
        <f>IF(UPPER(TRIM(E1118))=UPPER(TRIM(W1118)),1,0)</f>
        <v>1</v>
      </c>
      <c r="AG1118">
        <f t="shared" si="34"/>
        <v>20</v>
      </c>
    </row>
    <row r="1119" spans="1:33" x14ac:dyDescent="0.3">
      <c r="A1119" t="s">
        <v>468</v>
      </c>
      <c r="B1119">
        <v>3</v>
      </c>
      <c r="C1119" t="s">
        <v>510</v>
      </c>
      <c r="D1119" t="s">
        <v>538</v>
      </c>
      <c r="E1119" t="s">
        <v>266</v>
      </c>
      <c r="F1119" t="s">
        <v>85</v>
      </c>
      <c r="G1119" t="s">
        <v>134</v>
      </c>
      <c r="H1119">
        <v>11</v>
      </c>
      <c r="I1119">
        <v>8</v>
      </c>
      <c r="J1119">
        <v>137.5</v>
      </c>
      <c r="K1119" t="s">
        <v>96</v>
      </c>
      <c r="L1119">
        <v>15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 s="8">
        <v>15</v>
      </c>
      <c r="V1119" s="8">
        <f t="shared" si="35"/>
        <v>2</v>
      </c>
      <c r="W1119" t="str">
        <f>_xlfn.XLOOKUP(A1119, Matches!A:A, Matches!L:L, "NA", 0)</f>
        <v>MIW</v>
      </c>
      <c r="X1119" t="str">
        <f>_xlfn.XLOOKUP(A1119, Matches!A:A, Matches!J:J, "NA", 0)</f>
        <v>MIW</v>
      </c>
      <c r="Y1119" t="str">
        <f>_xlfn.XLOOKUP(A1119, Matches!A:A, Matches!F:F, "NA", 0)</f>
        <v>M. Chinnaswamy Stadium</v>
      </c>
      <c r="Z1119" cm="1">
        <f t="array" ref="Z1119">INDEX(Innings!F:F,MATCH(1,(TRIM(Innings!A:A)=TRIM(A1119))*(TRIM(Innings!D:D)=TRIM(E1119)),0))</f>
        <v>170</v>
      </c>
      <c r="AA1119" cm="1">
        <f t="array" ref="AA1119">INDEX(Innings!I:I,MATCH(1,(TRIM(Innings!A:A)=TRIM(A1119))*(TRIM(Innings!D:D)=TRIM(E1119)),0))</f>
        <v>8.57</v>
      </c>
      <c r="AB1119" cm="1">
        <f t="array" ref="AB1119">INDEX(Innings!J:J,MATCH(1,(TRIM(Innings!A:A)=TRIM(A1119))*(TRIM(Innings!D:D)=TRIM(E1119)),0))</f>
        <v>66</v>
      </c>
      <c r="AC1119" cm="1">
        <f t="array" ref="AC1119">INDEX(Innings!N:N,MATCH(1,(TRIM(Innings!A:A)=TRIM(A1119))*(TRIM(Innings!D:D)=TRIM(E1119)),0))</f>
        <v>36</v>
      </c>
      <c r="AD1119" cm="1">
        <f t="array" ref="AD1119">INDEX(Innings!S:S,MATCH(1,(TRIM(Innings!A:A)=TRIM(A1119))*(TRIM(Innings!D:D)=TRIM(E1119)),0))</f>
        <v>49</v>
      </c>
      <c r="AE1119" t="str" cm="1">
        <f t="array" ref="AE1119">INDEX(Innings!W:W,MATCH(1,(TRIM(Innings!A:A)=TRIM(A1119))*(TRIM(Innings!D:D)=TRIM(E1119)),0))</f>
        <v>Successful</v>
      </c>
      <c r="AF1119">
        <f>IF(UPPER(TRIM(E1119))=UPPER(TRIM(W1119)),1,0)</f>
        <v>1</v>
      </c>
      <c r="AG1119">
        <f t="shared" si="34"/>
        <v>28.1</v>
      </c>
    </row>
    <row r="1120" spans="1:33" x14ac:dyDescent="0.3">
      <c r="A1120" t="s">
        <v>468</v>
      </c>
      <c r="B1120">
        <v>3</v>
      </c>
      <c r="C1120" t="s">
        <v>507</v>
      </c>
      <c r="D1120" t="s">
        <v>519</v>
      </c>
      <c r="E1120" t="s">
        <v>266</v>
      </c>
      <c r="F1120" t="s">
        <v>169</v>
      </c>
      <c r="G1120" t="s">
        <v>104</v>
      </c>
      <c r="H1120">
        <v>0</v>
      </c>
      <c r="I1120">
        <v>0</v>
      </c>
      <c r="J1120">
        <v>0</v>
      </c>
      <c r="K1120" t="s">
        <v>104</v>
      </c>
      <c r="L1120">
        <v>0</v>
      </c>
      <c r="M1120">
        <v>1</v>
      </c>
      <c r="N1120">
        <v>0</v>
      </c>
      <c r="O1120">
        <v>3</v>
      </c>
      <c r="P1120">
        <v>1</v>
      </c>
      <c r="Q1120">
        <v>3</v>
      </c>
      <c r="R1120">
        <v>25</v>
      </c>
      <c r="S1120">
        <v>0</v>
      </c>
      <c r="T1120">
        <v>0</v>
      </c>
      <c r="U1120" s="8">
        <v>25</v>
      </c>
      <c r="V1120" s="8">
        <f t="shared" si="35"/>
        <v>3</v>
      </c>
      <c r="W1120" t="str">
        <f>_xlfn.XLOOKUP(A1120, Matches!A:A, Matches!L:L, "NA", 0)</f>
        <v>MIW</v>
      </c>
      <c r="X1120" t="str">
        <f>_xlfn.XLOOKUP(A1120, Matches!A:A, Matches!J:J, "NA", 0)</f>
        <v>MIW</v>
      </c>
      <c r="Y1120" t="str">
        <f>_xlfn.XLOOKUP(A1120, Matches!A:A, Matches!F:F, "NA", 0)</f>
        <v>M. Chinnaswamy Stadium</v>
      </c>
      <c r="Z1120" cm="1">
        <f t="array" ref="Z1120">INDEX(Innings!F:F,MATCH(1,(TRIM(Innings!A:A)=TRIM(A1120))*(TRIM(Innings!D:D)=TRIM(E1120)),0))</f>
        <v>170</v>
      </c>
      <c r="AA1120" cm="1">
        <f t="array" ref="AA1120">INDEX(Innings!I:I,MATCH(1,(TRIM(Innings!A:A)=TRIM(A1120))*(TRIM(Innings!D:D)=TRIM(E1120)),0))</f>
        <v>8.57</v>
      </c>
      <c r="AB1120" cm="1">
        <f t="array" ref="AB1120">INDEX(Innings!J:J,MATCH(1,(TRIM(Innings!A:A)=TRIM(A1120))*(TRIM(Innings!D:D)=TRIM(E1120)),0))</f>
        <v>66</v>
      </c>
      <c r="AC1120" cm="1">
        <f t="array" ref="AC1120">INDEX(Innings!N:N,MATCH(1,(TRIM(Innings!A:A)=TRIM(A1120))*(TRIM(Innings!D:D)=TRIM(E1120)),0))</f>
        <v>36</v>
      </c>
      <c r="AD1120" cm="1">
        <f t="array" ref="AD1120">INDEX(Innings!S:S,MATCH(1,(TRIM(Innings!A:A)=TRIM(A1120))*(TRIM(Innings!D:D)=TRIM(E1120)),0))</f>
        <v>49</v>
      </c>
      <c r="AE1120" t="str" cm="1">
        <f t="array" ref="AE1120">INDEX(Innings!W:W,MATCH(1,(TRIM(Innings!A:A)=TRIM(A1120))*(TRIM(Innings!D:D)=TRIM(E1120)),0))</f>
        <v>Successful</v>
      </c>
      <c r="AF1120">
        <f>IF(UPPER(TRIM(E1120))=UPPER(TRIM(W1120)),1,0)</f>
        <v>1</v>
      </c>
      <c r="AG1120">
        <f t="shared" si="34"/>
        <v>33.4</v>
      </c>
    </row>
    <row r="1121" spans="1:33" x14ac:dyDescent="0.3">
      <c r="A1121" t="s">
        <v>468</v>
      </c>
      <c r="B1121">
        <v>3</v>
      </c>
      <c r="C1121" t="s">
        <v>265</v>
      </c>
      <c r="D1121" t="s">
        <v>264</v>
      </c>
      <c r="E1121" t="s">
        <v>266</v>
      </c>
      <c r="F1121" t="s">
        <v>101</v>
      </c>
      <c r="G1121" t="s">
        <v>104</v>
      </c>
      <c r="H1121">
        <v>0</v>
      </c>
      <c r="I1121">
        <v>0</v>
      </c>
      <c r="J1121">
        <v>0</v>
      </c>
      <c r="K1121" t="s">
        <v>104</v>
      </c>
      <c r="L1121">
        <v>0</v>
      </c>
      <c r="M1121">
        <v>4</v>
      </c>
      <c r="N1121">
        <v>0</v>
      </c>
      <c r="O1121">
        <v>36</v>
      </c>
      <c r="P1121">
        <v>1</v>
      </c>
      <c r="Q1121">
        <v>9</v>
      </c>
      <c r="R1121">
        <v>25</v>
      </c>
      <c r="S1121">
        <v>0</v>
      </c>
      <c r="T1121">
        <v>0</v>
      </c>
      <c r="U1121" s="8">
        <v>25</v>
      </c>
      <c r="V1121" s="8">
        <f t="shared" si="35"/>
        <v>3</v>
      </c>
      <c r="W1121" t="str">
        <f>_xlfn.XLOOKUP(A1121, Matches!A:A, Matches!L:L, "NA", 0)</f>
        <v>MIW</v>
      </c>
      <c r="X1121" t="str">
        <f>_xlfn.XLOOKUP(A1121, Matches!A:A, Matches!J:J, "NA", 0)</f>
        <v>MIW</v>
      </c>
      <c r="Y1121" t="str">
        <f>_xlfn.XLOOKUP(A1121, Matches!A:A, Matches!F:F, "NA", 0)</f>
        <v>M. Chinnaswamy Stadium</v>
      </c>
      <c r="Z1121" cm="1">
        <f t="array" ref="Z1121">INDEX(Innings!F:F,MATCH(1,(TRIM(Innings!A:A)=TRIM(A1121))*(TRIM(Innings!D:D)=TRIM(E1121)),0))</f>
        <v>170</v>
      </c>
      <c r="AA1121" cm="1">
        <f t="array" ref="AA1121">INDEX(Innings!I:I,MATCH(1,(TRIM(Innings!A:A)=TRIM(A1121))*(TRIM(Innings!D:D)=TRIM(E1121)),0))</f>
        <v>8.57</v>
      </c>
      <c r="AB1121" cm="1">
        <f t="array" ref="AB1121">INDEX(Innings!J:J,MATCH(1,(TRIM(Innings!A:A)=TRIM(A1121))*(TRIM(Innings!D:D)=TRIM(E1121)),0))</f>
        <v>66</v>
      </c>
      <c r="AC1121" cm="1">
        <f t="array" ref="AC1121">INDEX(Innings!N:N,MATCH(1,(TRIM(Innings!A:A)=TRIM(A1121))*(TRIM(Innings!D:D)=TRIM(E1121)),0))</f>
        <v>36</v>
      </c>
      <c r="AD1121" cm="1">
        <f t="array" ref="AD1121">INDEX(Innings!S:S,MATCH(1,(TRIM(Innings!A:A)=TRIM(A1121))*(TRIM(Innings!D:D)=TRIM(E1121)),0))</f>
        <v>49</v>
      </c>
      <c r="AE1121" t="str" cm="1">
        <f t="array" ref="AE1121">INDEX(Innings!W:W,MATCH(1,(TRIM(Innings!A:A)=TRIM(A1121))*(TRIM(Innings!D:D)=TRIM(E1121)),0))</f>
        <v>Successful</v>
      </c>
      <c r="AF1121">
        <f>IF(UPPER(TRIM(E1121))=UPPER(TRIM(W1121)),1,0)</f>
        <v>1</v>
      </c>
      <c r="AG1121">
        <f t="shared" si="34"/>
        <v>33.4</v>
      </c>
    </row>
    <row r="1122" spans="1:33" x14ac:dyDescent="0.3">
      <c r="A1122" t="s">
        <v>468</v>
      </c>
      <c r="B1122">
        <v>3</v>
      </c>
      <c r="C1122" t="s">
        <v>511</v>
      </c>
      <c r="D1122" t="s">
        <v>539</v>
      </c>
      <c r="E1122" t="s">
        <v>266</v>
      </c>
      <c r="F1122" t="s">
        <v>101</v>
      </c>
      <c r="G1122" t="s">
        <v>104</v>
      </c>
      <c r="H1122">
        <v>0</v>
      </c>
      <c r="I1122">
        <v>0</v>
      </c>
      <c r="J1122">
        <v>0</v>
      </c>
      <c r="K1122" t="s">
        <v>104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 s="8">
        <v>0</v>
      </c>
      <c r="V1122" s="8">
        <f t="shared" si="35"/>
        <v>0</v>
      </c>
      <c r="W1122" t="str">
        <f>_xlfn.XLOOKUP(A1122, Matches!A:A, Matches!L:L, "NA", 0)</f>
        <v>MIW</v>
      </c>
      <c r="X1122" t="str">
        <f>_xlfn.XLOOKUP(A1122, Matches!A:A, Matches!J:J, "NA", 0)</f>
        <v>MIW</v>
      </c>
      <c r="Y1122" t="str">
        <f>_xlfn.XLOOKUP(A1122, Matches!A:A, Matches!F:F, "NA", 0)</f>
        <v>M. Chinnaswamy Stadium</v>
      </c>
      <c r="Z1122" cm="1">
        <f t="array" ref="Z1122">INDEX(Innings!F:F,MATCH(1,(TRIM(Innings!A:A)=TRIM(A1122))*(TRIM(Innings!D:D)=TRIM(E1122)),0))</f>
        <v>170</v>
      </c>
      <c r="AA1122" cm="1">
        <f t="array" ref="AA1122">INDEX(Innings!I:I,MATCH(1,(TRIM(Innings!A:A)=TRIM(A1122))*(TRIM(Innings!D:D)=TRIM(E1122)),0))</f>
        <v>8.57</v>
      </c>
      <c r="AB1122" cm="1">
        <f t="array" ref="AB1122">INDEX(Innings!J:J,MATCH(1,(TRIM(Innings!A:A)=TRIM(A1122))*(TRIM(Innings!D:D)=TRIM(E1122)),0))</f>
        <v>66</v>
      </c>
      <c r="AC1122" cm="1">
        <f t="array" ref="AC1122">INDEX(Innings!N:N,MATCH(1,(TRIM(Innings!A:A)=TRIM(A1122))*(TRIM(Innings!D:D)=TRIM(E1122)),0))</f>
        <v>36</v>
      </c>
      <c r="AD1122" cm="1">
        <f t="array" ref="AD1122">INDEX(Innings!S:S,MATCH(1,(TRIM(Innings!A:A)=TRIM(A1122))*(TRIM(Innings!D:D)=TRIM(E1122)),0))</f>
        <v>49</v>
      </c>
      <c r="AE1122" t="str" cm="1">
        <f t="array" ref="AE1122">INDEX(Innings!W:W,MATCH(1,(TRIM(Innings!A:A)=TRIM(A1122))*(TRIM(Innings!D:D)=TRIM(E1122)),0))</f>
        <v>Successful</v>
      </c>
      <c r="AF1122">
        <f>IF(UPPER(TRIM(E1122))=UPPER(TRIM(W1122)),1,0)</f>
        <v>1</v>
      </c>
      <c r="AG1122">
        <f t="shared" si="34"/>
        <v>20</v>
      </c>
    </row>
    <row r="1123" spans="1:33" x14ac:dyDescent="0.3">
      <c r="A1123" t="s">
        <v>469</v>
      </c>
      <c r="B1123">
        <v>3</v>
      </c>
      <c r="C1123" t="s">
        <v>229</v>
      </c>
      <c r="D1123" t="s">
        <v>230</v>
      </c>
      <c r="E1123" t="s">
        <v>219</v>
      </c>
      <c r="F1123" t="s">
        <v>109</v>
      </c>
      <c r="G1123" t="s">
        <v>86</v>
      </c>
      <c r="H1123">
        <v>17</v>
      </c>
      <c r="I1123">
        <v>20</v>
      </c>
      <c r="J1123">
        <v>85</v>
      </c>
      <c r="K1123" t="s">
        <v>246</v>
      </c>
      <c r="L1123">
        <v>18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 s="8">
        <v>18</v>
      </c>
      <c r="V1123" s="8">
        <f t="shared" si="35"/>
        <v>2</v>
      </c>
      <c r="W1123" t="str">
        <f>_xlfn.XLOOKUP(A1123, Matches!A:A, Matches!L:L, "NA", 0)</f>
        <v>UPW</v>
      </c>
      <c r="X1123" t="str">
        <f>_xlfn.XLOOKUP(A1123, Matches!A:A, Matches!J:J, "NA", 0)</f>
        <v>DCW</v>
      </c>
      <c r="Y1123" t="str">
        <f>_xlfn.XLOOKUP(A1123, Matches!A:A, Matches!F:F, "NA", 0)</f>
        <v>M. Chinnaswamy Stadium</v>
      </c>
      <c r="Z1123" cm="1">
        <f t="array" ref="Z1123">INDEX(Innings!F:F,MATCH(1,(TRIM(Innings!A:A)=TRIM(A1123))*(TRIM(Innings!D:D)=TRIM(E1123)),0))</f>
        <v>177</v>
      </c>
      <c r="AA1123" cm="1">
        <f t="array" ref="AA1123">INDEX(Innings!I:I,MATCH(1,(TRIM(Innings!A:A)=TRIM(A1123))*(TRIM(Innings!D:D)=TRIM(E1123)),0))</f>
        <v>8.85</v>
      </c>
      <c r="AB1123" cm="1">
        <f t="array" ref="AB1123">INDEX(Innings!J:J,MATCH(1,(TRIM(Innings!A:A)=TRIM(A1123))*(TRIM(Innings!D:D)=TRIM(E1123)),0))</f>
        <v>38</v>
      </c>
      <c r="AC1123" cm="1">
        <f t="array" ref="AC1123">INDEX(Innings!N:N,MATCH(1,(TRIM(Innings!A:A)=TRIM(A1123))*(TRIM(Innings!D:D)=TRIM(E1123)),0))</f>
        <v>67</v>
      </c>
      <c r="AD1123" cm="1">
        <f t="array" ref="AD1123">INDEX(Innings!S:S,MATCH(1,(TRIM(Innings!A:A)=TRIM(A1123))*(TRIM(Innings!D:D)=TRIM(E1123)),0))</f>
        <v>57</v>
      </c>
      <c r="AE1123" t="str" cm="1">
        <f t="array" ref="AE1123">INDEX(Innings!W:W,MATCH(1,(TRIM(Innings!A:A)=TRIM(A1123))*(TRIM(Innings!D:D)=TRIM(E1123)),0))</f>
        <v>NA</v>
      </c>
      <c r="AF1123">
        <f>IF(UPPER(TRIM(E1123))=UPPER(TRIM(W1123)),1,0)</f>
        <v>1</v>
      </c>
      <c r="AG1123">
        <f t="shared" si="34"/>
        <v>29.6</v>
      </c>
    </row>
    <row r="1124" spans="1:33" x14ac:dyDescent="0.3">
      <c r="A1124" t="s">
        <v>469</v>
      </c>
      <c r="B1124">
        <v>3</v>
      </c>
      <c r="C1124" t="s">
        <v>375</v>
      </c>
      <c r="D1124" t="s">
        <v>376</v>
      </c>
      <c r="E1124" t="s">
        <v>219</v>
      </c>
      <c r="F1124" t="s">
        <v>109</v>
      </c>
      <c r="G1124" t="s">
        <v>86</v>
      </c>
      <c r="H1124">
        <v>4</v>
      </c>
      <c r="I1124">
        <v>7</v>
      </c>
      <c r="J1124">
        <v>57.14</v>
      </c>
      <c r="K1124" t="s">
        <v>246</v>
      </c>
      <c r="L1124">
        <v>3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 s="8">
        <v>3</v>
      </c>
      <c r="V1124" s="8">
        <f t="shared" si="35"/>
        <v>0</v>
      </c>
      <c r="W1124" t="str">
        <f>_xlfn.XLOOKUP(A1124, Matches!A:A, Matches!L:L, "NA", 0)</f>
        <v>UPW</v>
      </c>
      <c r="X1124" t="str">
        <f>_xlfn.XLOOKUP(A1124, Matches!A:A, Matches!J:J, "NA", 0)</f>
        <v>DCW</v>
      </c>
      <c r="Y1124" t="str">
        <f>_xlfn.XLOOKUP(A1124, Matches!A:A, Matches!F:F, "NA", 0)</f>
        <v>M. Chinnaswamy Stadium</v>
      </c>
      <c r="Z1124" cm="1">
        <f t="array" ref="Z1124">INDEX(Innings!F:F,MATCH(1,(TRIM(Innings!A:A)=TRIM(A1124))*(TRIM(Innings!D:D)=TRIM(E1124)),0))</f>
        <v>177</v>
      </c>
      <c r="AA1124" cm="1">
        <f t="array" ref="AA1124">INDEX(Innings!I:I,MATCH(1,(TRIM(Innings!A:A)=TRIM(A1124))*(TRIM(Innings!D:D)=TRIM(E1124)),0))</f>
        <v>8.85</v>
      </c>
      <c r="AB1124" cm="1">
        <f t="array" ref="AB1124">INDEX(Innings!J:J,MATCH(1,(TRIM(Innings!A:A)=TRIM(A1124))*(TRIM(Innings!D:D)=TRIM(E1124)),0))</f>
        <v>38</v>
      </c>
      <c r="AC1124" cm="1">
        <f t="array" ref="AC1124">INDEX(Innings!N:N,MATCH(1,(TRIM(Innings!A:A)=TRIM(A1124))*(TRIM(Innings!D:D)=TRIM(E1124)),0))</f>
        <v>67</v>
      </c>
      <c r="AD1124" cm="1">
        <f t="array" ref="AD1124">INDEX(Innings!S:S,MATCH(1,(TRIM(Innings!A:A)=TRIM(A1124))*(TRIM(Innings!D:D)=TRIM(E1124)),0))</f>
        <v>57</v>
      </c>
      <c r="AE1124" t="str" cm="1">
        <f t="array" ref="AE1124">INDEX(Innings!W:W,MATCH(1,(TRIM(Innings!A:A)=TRIM(A1124))*(TRIM(Innings!D:D)=TRIM(E1124)),0))</f>
        <v>NA</v>
      </c>
      <c r="AF1124">
        <f>IF(UPPER(TRIM(E1124))=UPPER(TRIM(W1124)),1,0)</f>
        <v>1</v>
      </c>
      <c r="AG1124">
        <f t="shared" si="34"/>
        <v>21.5</v>
      </c>
    </row>
    <row r="1125" spans="1:33" x14ac:dyDescent="0.3">
      <c r="A1125" t="s">
        <v>469</v>
      </c>
      <c r="B1125">
        <v>3</v>
      </c>
      <c r="C1125" t="s">
        <v>224</v>
      </c>
      <c r="D1125" t="s">
        <v>225</v>
      </c>
      <c r="E1125" t="s">
        <v>219</v>
      </c>
      <c r="F1125" t="s">
        <v>169</v>
      </c>
      <c r="G1125" t="s">
        <v>92</v>
      </c>
      <c r="H1125">
        <v>13</v>
      </c>
      <c r="I1125">
        <v>19</v>
      </c>
      <c r="J1125">
        <v>68.42</v>
      </c>
      <c r="K1125" t="s">
        <v>246</v>
      </c>
      <c r="L1125">
        <v>15</v>
      </c>
      <c r="M1125">
        <v>4</v>
      </c>
      <c r="N1125">
        <v>0</v>
      </c>
      <c r="O1125">
        <v>25</v>
      </c>
      <c r="P1125">
        <v>1</v>
      </c>
      <c r="Q1125">
        <v>6.2</v>
      </c>
      <c r="R1125">
        <v>25</v>
      </c>
      <c r="S1125">
        <v>0</v>
      </c>
      <c r="T1125">
        <v>0</v>
      </c>
      <c r="U1125" s="8">
        <v>40</v>
      </c>
      <c r="V1125" s="8">
        <f t="shared" si="35"/>
        <v>4</v>
      </c>
      <c r="W1125" t="str">
        <f>_xlfn.XLOOKUP(A1125, Matches!A:A, Matches!L:L, "NA", 0)</f>
        <v>UPW</v>
      </c>
      <c r="X1125" t="str">
        <f>_xlfn.XLOOKUP(A1125, Matches!A:A, Matches!J:J, "NA", 0)</f>
        <v>DCW</v>
      </c>
      <c r="Y1125" t="str">
        <f>_xlfn.XLOOKUP(A1125, Matches!A:A, Matches!F:F, "NA", 0)</f>
        <v>M. Chinnaswamy Stadium</v>
      </c>
      <c r="Z1125" cm="1">
        <f t="array" ref="Z1125">INDEX(Innings!F:F,MATCH(1,(TRIM(Innings!A:A)=TRIM(A1125))*(TRIM(Innings!D:D)=TRIM(E1125)),0))</f>
        <v>177</v>
      </c>
      <c r="AA1125" cm="1">
        <f t="array" ref="AA1125">INDEX(Innings!I:I,MATCH(1,(TRIM(Innings!A:A)=TRIM(A1125))*(TRIM(Innings!D:D)=TRIM(E1125)),0))</f>
        <v>8.85</v>
      </c>
      <c r="AB1125" cm="1">
        <f t="array" ref="AB1125">INDEX(Innings!J:J,MATCH(1,(TRIM(Innings!A:A)=TRIM(A1125))*(TRIM(Innings!D:D)=TRIM(E1125)),0))</f>
        <v>38</v>
      </c>
      <c r="AC1125" cm="1">
        <f t="array" ref="AC1125">INDEX(Innings!N:N,MATCH(1,(TRIM(Innings!A:A)=TRIM(A1125))*(TRIM(Innings!D:D)=TRIM(E1125)),0))</f>
        <v>67</v>
      </c>
      <c r="AD1125" cm="1">
        <f t="array" ref="AD1125">INDEX(Innings!S:S,MATCH(1,(TRIM(Innings!A:A)=TRIM(A1125))*(TRIM(Innings!D:D)=TRIM(E1125)),0))</f>
        <v>57</v>
      </c>
      <c r="AE1125" t="str" cm="1">
        <f t="array" ref="AE1125">INDEX(Innings!W:W,MATCH(1,(TRIM(Innings!A:A)=TRIM(A1125))*(TRIM(Innings!D:D)=TRIM(E1125)),0))</f>
        <v>NA</v>
      </c>
      <c r="AF1125">
        <f>IF(UPPER(TRIM(E1125))=UPPER(TRIM(W1125)),1,0)</f>
        <v>1</v>
      </c>
      <c r="AG1125">
        <f t="shared" si="34"/>
        <v>41.2</v>
      </c>
    </row>
    <row r="1126" spans="1:33" x14ac:dyDescent="0.3">
      <c r="A1126" t="s">
        <v>469</v>
      </c>
      <c r="B1126">
        <v>3</v>
      </c>
      <c r="C1126" t="s">
        <v>222</v>
      </c>
      <c r="D1126" t="s">
        <v>223</v>
      </c>
      <c r="E1126" t="s">
        <v>219</v>
      </c>
      <c r="F1126" t="s">
        <v>169</v>
      </c>
      <c r="G1126" t="s">
        <v>92</v>
      </c>
      <c r="H1126">
        <v>24</v>
      </c>
      <c r="I1126">
        <v>23</v>
      </c>
      <c r="J1126">
        <v>104.35</v>
      </c>
      <c r="K1126" t="s">
        <v>246</v>
      </c>
      <c r="L1126">
        <v>25</v>
      </c>
      <c r="M1126">
        <v>1</v>
      </c>
      <c r="N1126">
        <v>0</v>
      </c>
      <c r="O1126">
        <v>9</v>
      </c>
      <c r="P1126">
        <v>0</v>
      </c>
      <c r="Q1126">
        <v>9</v>
      </c>
      <c r="R1126">
        <v>0</v>
      </c>
      <c r="S1126">
        <v>0</v>
      </c>
      <c r="T1126">
        <v>0</v>
      </c>
      <c r="U1126" s="8">
        <v>25</v>
      </c>
      <c r="V1126" s="8">
        <f t="shared" si="35"/>
        <v>3</v>
      </c>
      <c r="W1126" t="str">
        <f>_xlfn.XLOOKUP(A1126, Matches!A:A, Matches!L:L, "NA", 0)</f>
        <v>UPW</v>
      </c>
      <c r="X1126" t="str">
        <f>_xlfn.XLOOKUP(A1126, Matches!A:A, Matches!J:J, "NA", 0)</f>
        <v>DCW</v>
      </c>
      <c r="Y1126" t="str">
        <f>_xlfn.XLOOKUP(A1126, Matches!A:A, Matches!F:F, "NA", 0)</f>
        <v>M. Chinnaswamy Stadium</v>
      </c>
      <c r="Z1126" cm="1">
        <f t="array" ref="Z1126">INDEX(Innings!F:F,MATCH(1,(TRIM(Innings!A:A)=TRIM(A1126))*(TRIM(Innings!D:D)=TRIM(E1126)),0))</f>
        <v>177</v>
      </c>
      <c r="AA1126" cm="1">
        <f t="array" ref="AA1126">INDEX(Innings!I:I,MATCH(1,(TRIM(Innings!A:A)=TRIM(A1126))*(TRIM(Innings!D:D)=TRIM(E1126)),0))</f>
        <v>8.85</v>
      </c>
      <c r="AB1126" cm="1">
        <f t="array" ref="AB1126">INDEX(Innings!J:J,MATCH(1,(TRIM(Innings!A:A)=TRIM(A1126))*(TRIM(Innings!D:D)=TRIM(E1126)),0))</f>
        <v>38</v>
      </c>
      <c r="AC1126" cm="1">
        <f t="array" ref="AC1126">INDEX(Innings!N:N,MATCH(1,(TRIM(Innings!A:A)=TRIM(A1126))*(TRIM(Innings!D:D)=TRIM(E1126)),0))</f>
        <v>67</v>
      </c>
      <c r="AD1126" cm="1">
        <f t="array" ref="AD1126">INDEX(Innings!S:S,MATCH(1,(TRIM(Innings!A:A)=TRIM(A1126))*(TRIM(Innings!D:D)=TRIM(E1126)),0))</f>
        <v>57</v>
      </c>
      <c r="AE1126" t="str" cm="1">
        <f t="array" ref="AE1126">INDEX(Innings!W:W,MATCH(1,(TRIM(Innings!A:A)=TRIM(A1126))*(TRIM(Innings!D:D)=TRIM(E1126)),0))</f>
        <v>NA</v>
      </c>
      <c r="AF1126">
        <f>IF(UPPER(TRIM(E1126))=UPPER(TRIM(W1126)),1,0)</f>
        <v>1</v>
      </c>
      <c r="AG1126">
        <f t="shared" si="34"/>
        <v>33.4</v>
      </c>
    </row>
    <row r="1127" spans="1:33" x14ac:dyDescent="0.3">
      <c r="A1127" t="s">
        <v>469</v>
      </c>
      <c r="B1127">
        <v>3</v>
      </c>
      <c r="C1127" t="s">
        <v>220</v>
      </c>
      <c r="D1127" t="s">
        <v>221</v>
      </c>
      <c r="E1127" t="s">
        <v>219</v>
      </c>
      <c r="F1127" t="s">
        <v>109</v>
      </c>
      <c r="G1127" t="s">
        <v>134</v>
      </c>
      <c r="H1127">
        <v>11</v>
      </c>
      <c r="I1127">
        <v>6</v>
      </c>
      <c r="J1127">
        <v>183.33</v>
      </c>
      <c r="K1127" t="s">
        <v>245</v>
      </c>
      <c r="L1127">
        <v>15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 s="8">
        <v>15</v>
      </c>
      <c r="V1127" s="8">
        <f t="shared" si="35"/>
        <v>2</v>
      </c>
      <c r="W1127" t="str">
        <f>_xlfn.XLOOKUP(A1127, Matches!A:A, Matches!L:L, "NA", 0)</f>
        <v>UPW</v>
      </c>
      <c r="X1127" t="str">
        <f>_xlfn.XLOOKUP(A1127, Matches!A:A, Matches!J:J, "NA", 0)</f>
        <v>DCW</v>
      </c>
      <c r="Y1127" t="str">
        <f>_xlfn.XLOOKUP(A1127, Matches!A:A, Matches!F:F, "NA", 0)</f>
        <v>M. Chinnaswamy Stadium</v>
      </c>
      <c r="Z1127" cm="1">
        <f t="array" ref="Z1127">INDEX(Innings!F:F,MATCH(1,(TRIM(Innings!A:A)=TRIM(A1127))*(TRIM(Innings!D:D)=TRIM(E1127)),0))</f>
        <v>177</v>
      </c>
      <c r="AA1127" cm="1">
        <f t="array" ref="AA1127">INDEX(Innings!I:I,MATCH(1,(TRIM(Innings!A:A)=TRIM(A1127))*(TRIM(Innings!D:D)=TRIM(E1127)),0))</f>
        <v>8.85</v>
      </c>
      <c r="AB1127" cm="1">
        <f t="array" ref="AB1127">INDEX(Innings!J:J,MATCH(1,(TRIM(Innings!A:A)=TRIM(A1127))*(TRIM(Innings!D:D)=TRIM(E1127)),0))</f>
        <v>38</v>
      </c>
      <c r="AC1127" cm="1">
        <f t="array" ref="AC1127">INDEX(Innings!N:N,MATCH(1,(TRIM(Innings!A:A)=TRIM(A1127))*(TRIM(Innings!D:D)=TRIM(E1127)),0))</f>
        <v>67</v>
      </c>
      <c r="AD1127" cm="1">
        <f t="array" ref="AD1127">INDEX(Innings!S:S,MATCH(1,(TRIM(Innings!A:A)=TRIM(A1127))*(TRIM(Innings!D:D)=TRIM(E1127)),0))</f>
        <v>57</v>
      </c>
      <c r="AE1127" t="str" cm="1">
        <f t="array" ref="AE1127">INDEX(Innings!W:W,MATCH(1,(TRIM(Innings!A:A)=TRIM(A1127))*(TRIM(Innings!D:D)=TRIM(E1127)),0))</f>
        <v>NA</v>
      </c>
      <c r="AF1127">
        <f>IF(UPPER(TRIM(E1127))=UPPER(TRIM(W1127)),1,0)</f>
        <v>1</v>
      </c>
      <c r="AG1127">
        <f t="shared" si="34"/>
        <v>28.1</v>
      </c>
    </row>
    <row r="1128" spans="1:33" x14ac:dyDescent="0.3">
      <c r="A1128" t="s">
        <v>469</v>
      </c>
      <c r="B1128">
        <v>3</v>
      </c>
      <c r="C1128" t="s">
        <v>226</v>
      </c>
      <c r="D1128" t="s">
        <v>211</v>
      </c>
      <c r="E1128" t="s">
        <v>219</v>
      </c>
      <c r="F1128" t="s">
        <v>169</v>
      </c>
      <c r="G1128" t="s">
        <v>134</v>
      </c>
      <c r="H1128">
        <v>2</v>
      </c>
      <c r="I1128">
        <v>8</v>
      </c>
      <c r="J1128">
        <v>25</v>
      </c>
      <c r="K1128" t="s">
        <v>245</v>
      </c>
      <c r="L1128">
        <v>2</v>
      </c>
      <c r="M1128">
        <v>2.2999999999999998</v>
      </c>
      <c r="N1128">
        <v>0</v>
      </c>
      <c r="O1128">
        <v>15</v>
      </c>
      <c r="P1128">
        <v>4</v>
      </c>
      <c r="Q1128">
        <v>6</v>
      </c>
      <c r="R1128">
        <v>100</v>
      </c>
      <c r="S1128">
        <v>0</v>
      </c>
      <c r="T1128">
        <v>0</v>
      </c>
      <c r="U1128" s="8">
        <v>102</v>
      </c>
      <c r="V1128" s="8">
        <f t="shared" si="35"/>
        <v>10</v>
      </c>
      <c r="W1128" t="str">
        <f>_xlfn.XLOOKUP(A1128, Matches!A:A, Matches!L:L, "NA", 0)</f>
        <v>UPW</v>
      </c>
      <c r="X1128" t="str">
        <f>_xlfn.XLOOKUP(A1128, Matches!A:A, Matches!J:J, "NA", 0)</f>
        <v>DCW</v>
      </c>
      <c r="Y1128" t="str">
        <f>_xlfn.XLOOKUP(A1128, Matches!A:A, Matches!F:F, "NA", 0)</f>
        <v>M. Chinnaswamy Stadium</v>
      </c>
      <c r="Z1128" cm="1">
        <f t="array" ref="Z1128">INDEX(Innings!F:F,MATCH(1,(TRIM(Innings!A:A)=TRIM(A1128))*(TRIM(Innings!D:D)=TRIM(E1128)),0))</f>
        <v>177</v>
      </c>
      <c r="AA1128" cm="1">
        <f t="array" ref="AA1128">INDEX(Innings!I:I,MATCH(1,(TRIM(Innings!A:A)=TRIM(A1128))*(TRIM(Innings!D:D)=TRIM(E1128)),0))</f>
        <v>8.85</v>
      </c>
      <c r="AB1128" cm="1">
        <f t="array" ref="AB1128">INDEX(Innings!J:J,MATCH(1,(TRIM(Innings!A:A)=TRIM(A1128))*(TRIM(Innings!D:D)=TRIM(E1128)),0))</f>
        <v>38</v>
      </c>
      <c r="AC1128" cm="1">
        <f t="array" ref="AC1128">INDEX(Innings!N:N,MATCH(1,(TRIM(Innings!A:A)=TRIM(A1128))*(TRIM(Innings!D:D)=TRIM(E1128)),0))</f>
        <v>67</v>
      </c>
      <c r="AD1128" cm="1">
        <f t="array" ref="AD1128">INDEX(Innings!S:S,MATCH(1,(TRIM(Innings!A:A)=TRIM(A1128))*(TRIM(Innings!D:D)=TRIM(E1128)),0))</f>
        <v>57</v>
      </c>
      <c r="AE1128" t="str" cm="1">
        <f t="array" ref="AE1128">INDEX(Innings!W:W,MATCH(1,(TRIM(Innings!A:A)=TRIM(A1128))*(TRIM(Innings!D:D)=TRIM(E1128)),0))</f>
        <v>NA</v>
      </c>
      <c r="AF1128">
        <f>IF(UPPER(TRIM(E1128))=UPPER(TRIM(W1128)),1,0)</f>
        <v>1</v>
      </c>
      <c r="AG1128">
        <f t="shared" si="34"/>
        <v>74</v>
      </c>
    </row>
    <row r="1129" spans="1:33" x14ac:dyDescent="0.3">
      <c r="A1129" t="s">
        <v>469</v>
      </c>
      <c r="B1129">
        <v>3</v>
      </c>
      <c r="C1129" t="s">
        <v>442</v>
      </c>
      <c r="D1129" t="s">
        <v>443</v>
      </c>
      <c r="E1129" t="s">
        <v>219</v>
      </c>
      <c r="F1129" t="s">
        <v>85</v>
      </c>
      <c r="G1129" t="s">
        <v>134</v>
      </c>
      <c r="H1129">
        <v>3</v>
      </c>
      <c r="I1129">
        <v>5</v>
      </c>
      <c r="J1129">
        <v>60</v>
      </c>
      <c r="K1129" t="s">
        <v>246</v>
      </c>
      <c r="L1129">
        <v>2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 s="8">
        <v>2</v>
      </c>
      <c r="V1129" s="8">
        <f t="shared" si="35"/>
        <v>0</v>
      </c>
      <c r="W1129" t="str">
        <f>_xlfn.XLOOKUP(A1129, Matches!A:A, Matches!L:L, "NA", 0)</f>
        <v>UPW</v>
      </c>
      <c r="X1129" t="str">
        <f>_xlfn.XLOOKUP(A1129, Matches!A:A, Matches!J:J, "NA", 0)</f>
        <v>DCW</v>
      </c>
      <c r="Y1129" t="str">
        <f>_xlfn.XLOOKUP(A1129, Matches!A:A, Matches!F:F, "NA", 0)</f>
        <v>M. Chinnaswamy Stadium</v>
      </c>
      <c r="Z1129" cm="1">
        <f t="array" ref="Z1129">INDEX(Innings!F:F,MATCH(1,(TRIM(Innings!A:A)=TRIM(A1129))*(TRIM(Innings!D:D)=TRIM(E1129)),0))</f>
        <v>177</v>
      </c>
      <c r="AA1129" cm="1">
        <f t="array" ref="AA1129">INDEX(Innings!I:I,MATCH(1,(TRIM(Innings!A:A)=TRIM(A1129))*(TRIM(Innings!D:D)=TRIM(E1129)),0))</f>
        <v>8.85</v>
      </c>
      <c r="AB1129" cm="1">
        <f t="array" ref="AB1129">INDEX(Innings!J:J,MATCH(1,(TRIM(Innings!A:A)=TRIM(A1129))*(TRIM(Innings!D:D)=TRIM(E1129)),0))</f>
        <v>38</v>
      </c>
      <c r="AC1129" cm="1">
        <f t="array" ref="AC1129">INDEX(Innings!N:N,MATCH(1,(TRIM(Innings!A:A)=TRIM(A1129))*(TRIM(Innings!D:D)=TRIM(E1129)),0))</f>
        <v>67</v>
      </c>
      <c r="AD1129" cm="1">
        <f t="array" ref="AD1129">INDEX(Innings!S:S,MATCH(1,(TRIM(Innings!A:A)=TRIM(A1129))*(TRIM(Innings!D:D)=TRIM(E1129)),0))</f>
        <v>57</v>
      </c>
      <c r="AE1129" t="str" cm="1">
        <f t="array" ref="AE1129">INDEX(Innings!W:W,MATCH(1,(TRIM(Innings!A:A)=TRIM(A1129))*(TRIM(Innings!D:D)=TRIM(E1129)),0))</f>
        <v>NA</v>
      </c>
      <c r="AF1129">
        <f>IF(UPPER(TRIM(E1129))=UPPER(TRIM(W1129)),1,0)</f>
        <v>1</v>
      </c>
      <c r="AG1129">
        <f t="shared" si="34"/>
        <v>21</v>
      </c>
    </row>
    <row r="1130" spans="1:33" x14ac:dyDescent="0.3">
      <c r="A1130" t="s">
        <v>469</v>
      </c>
      <c r="B1130">
        <v>3</v>
      </c>
      <c r="C1130" t="s">
        <v>512</v>
      </c>
      <c r="D1130" t="s">
        <v>542</v>
      </c>
      <c r="E1130" t="s">
        <v>219</v>
      </c>
      <c r="F1130" t="s">
        <v>169</v>
      </c>
      <c r="G1130" t="s">
        <v>134</v>
      </c>
      <c r="H1130">
        <v>62</v>
      </c>
      <c r="I1130">
        <v>23</v>
      </c>
      <c r="J1130">
        <v>269.57</v>
      </c>
      <c r="K1130" t="s">
        <v>246</v>
      </c>
      <c r="L1130">
        <v>80</v>
      </c>
      <c r="M1130">
        <v>4</v>
      </c>
      <c r="N1130">
        <v>0</v>
      </c>
      <c r="O1130">
        <v>42</v>
      </c>
      <c r="P1130">
        <v>1</v>
      </c>
      <c r="Q1130">
        <v>10.5</v>
      </c>
      <c r="R1130">
        <v>25</v>
      </c>
      <c r="S1130">
        <v>0</v>
      </c>
      <c r="T1130">
        <v>0</v>
      </c>
      <c r="U1130" s="8">
        <v>105</v>
      </c>
      <c r="V1130" s="8">
        <f t="shared" si="35"/>
        <v>10</v>
      </c>
      <c r="W1130" t="str">
        <f>_xlfn.XLOOKUP(A1130, Matches!A:A, Matches!L:L, "NA", 0)</f>
        <v>UPW</v>
      </c>
      <c r="X1130" t="str">
        <f>_xlfn.XLOOKUP(A1130, Matches!A:A, Matches!J:J, "NA", 0)</f>
        <v>DCW</v>
      </c>
      <c r="Y1130" t="str">
        <f>_xlfn.XLOOKUP(A1130, Matches!A:A, Matches!F:F, "NA", 0)</f>
        <v>M. Chinnaswamy Stadium</v>
      </c>
      <c r="Z1130" cm="1">
        <f t="array" ref="Z1130">INDEX(Innings!F:F,MATCH(1,(TRIM(Innings!A:A)=TRIM(A1130))*(TRIM(Innings!D:D)=TRIM(E1130)),0))</f>
        <v>177</v>
      </c>
      <c r="AA1130" cm="1">
        <f t="array" ref="AA1130">INDEX(Innings!I:I,MATCH(1,(TRIM(Innings!A:A)=TRIM(A1130))*(TRIM(Innings!D:D)=TRIM(E1130)),0))</f>
        <v>8.85</v>
      </c>
      <c r="AB1130" cm="1">
        <f t="array" ref="AB1130">INDEX(Innings!J:J,MATCH(1,(TRIM(Innings!A:A)=TRIM(A1130))*(TRIM(Innings!D:D)=TRIM(E1130)),0))</f>
        <v>38</v>
      </c>
      <c r="AC1130" cm="1">
        <f t="array" ref="AC1130">INDEX(Innings!N:N,MATCH(1,(TRIM(Innings!A:A)=TRIM(A1130))*(TRIM(Innings!D:D)=TRIM(E1130)),0))</f>
        <v>67</v>
      </c>
      <c r="AD1130" cm="1">
        <f t="array" ref="AD1130">INDEX(Innings!S:S,MATCH(1,(TRIM(Innings!A:A)=TRIM(A1130))*(TRIM(Innings!D:D)=TRIM(E1130)),0))</f>
        <v>57</v>
      </c>
      <c r="AE1130" t="str" cm="1">
        <f t="array" ref="AE1130">INDEX(Innings!W:W,MATCH(1,(TRIM(Innings!A:A)=TRIM(A1130))*(TRIM(Innings!D:D)=TRIM(E1130)),0))</f>
        <v>NA</v>
      </c>
      <c r="AF1130">
        <f>IF(UPPER(TRIM(E1130))=UPPER(TRIM(W1130)),1,0)</f>
        <v>1</v>
      </c>
      <c r="AG1130">
        <f t="shared" si="34"/>
        <v>75.5</v>
      </c>
    </row>
    <row r="1131" spans="1:33" x14ac:dyDescent="0.3">
      <c r="A1131" t="s">
        <v>469</v>
      </c>
      <c r="B1131">
        <v>3</v>
      </c>
      <c r="C1131" t="s">
        <v>233</v>
      </c>
      <c r="D1131" t="s">
        <v>234</v>
      </c>
      <c r="E1131" t="s">
        <v>219</v>
      </c>
      <c r="F1131" t="s">
        <v>101</v>
      </c>
      <c r="G1131" t="s">
        <v>134</v>
      </c>
      <c r="H1131">
        <v>12</v>
      </c>
      <c r="I1131">
        <v>8</v>
      </c>
      <c r="J1131">
        <v>150</v>
      </c>
      <c r="K1131" t="s">
        <v>246</v>
      </c>
      <c r="L1131">
        <v>15</v>
      </c>
      <c r="M1131">
        <v>4</v>
      </c>
      <c r="N1131">
        <v>0</v>
      </c>
      <c r="O1131">
        <v>28</v>
      </c>
      <c r="P1131">
        <v>0</v>
      </c>
      <c r="Q1131">
        <v>7</v>
      </c>
      <c r="R1131">
        <v>0</v>
      </c>
      <c r="S1131">
        <v>0</v>
      </c>
      <c r="T1131">
        <v>0</v>
      </c>
      <c r="U1131" s="8">
        <v>15</v>
      </c>
      <c r="V1131" s="8">
        <f t="shared" si="35"/>
        <v>2</v>
      </c>
      <c r="W1131" t="str">
        <f>_xlfn.XLOOKUP(A1131, Matches!A:A, Matches!L:L, "NA", 0)</f>
        <v>UPW</v>
      </c>
      <c r="X1131" t="str">
        <f>_xlfn.XLOOKUP(A1131, Matches!A:A, Matches!J:J, "NA", 0)</f>
        <v>DCW</v>
      </c>
      <c r="Y1131" t="str">
        <f>_xlfn.XLOOKUP(A1131, Matches!A:A, Matches!F:F, "NA", 0)</f>
        <v>M. Chinnaswamy Stadium</v>
      </c>
      <c r="Z1131" cm="1">
        <f t="array" ref="Z1131">INDEX(Innings!F:F,MATCH(1,(TRIM(Innings!A:A)=TRIM(A1131))*(TRIM(Innings!D:D)=TRIM(E1131)),0))</f>
        <v>177</v>
      </c>
      <c r="AA1131" cm="1">
        <f t="array" ref="AA1131">INDEX(Innings!I:I,MATCH(1,(TRIM(Innings!A:A)=TRIM(A1131))*(TRIM(Innings!D:D)=TRIM(E1131)),0))</f>
        <v>8.85</v>
      </c>
      <c r="AB1131" cm="1">
        <f t="array" ref="AB1131">INDEX(Innings!J:J,MATCH(1,(TRIM(Innings!A:A)=TRIM(A1131))*(TRIM(Innings!D:D)=TRIM(E1131)),0))</f>
        <v>38</v>
      </c>
      <c r="AC1131" cm="1">
        <f t="array" ref="AC1131">INDEX(Innings!N:N,MATCH(1,(TRIM(Innings!A:A)=TRIM(A1131))*(TRIM(Innings!D:D)=TRIM(E1131)),0))</f>
        <v>67</v>
      </c>
      <c r="AD1131" cm="1">
        <f t="array" ref="AD1131">INDEX(Innings!S:S,MATCH(1,(TRIM(Innings!A:A)=TRIM(A1131))*(TRIM(Innings!D:D)=TRIM(E1131)),0))</f>
        <v>57</v>
      </c>
      <c r="AE1131" t="str" cm="1">
        <f t="array" ref="AE1131">INDEX(Innings!W:W,MATCH(1,(TRIM(Innings!A:A)=TRIM(A1131))*(TRIM(Innings!D:D)=TRIM(E1131)),0))</f>
        <v>NA</v>
      </c>
      <c r="AF1131">
        <f>IF(UPPER(TRIM(E1131))=UPPER(TRIM(W1131)),1,0)</f>
        <v>1</v>
      </c>
      <c r="AG1131">
        <f t="shared" si="34"/>
        <v>28.1</v>
      </c>
    </row>
    <row r="1132" spans="1:33" x14ac:dyDescent="0.3">
      <c r="A1132" t="s">
        <v>469</v>
      </c>
      <c r="B1132">
        <v>3</v>
      </c>
      <c r="C1132" t="s">
        <v>377</v>
      </c>
      <c r="D1132" t="s">
        <v>378</v>
      </c>
      <c r="E1132" t="s">
        <v>219</v>
      </c>
      <c r="F1132" t="s">
        <v>169</v>
      </c>
      <c r="G1132" t="s">
        <v>134</v>
      </c>
      <c r="H1132">
        <v>4</v>
      </c>
      <c r="I1132">
        <v>2</v>
      </c>
      <c r="J1132">
        <v>200</v>
      </c>
      <c r="K1132" t="s">
        <v>96</v>
      </c>
      <c r="L1132">
        <v>8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 s="8">
        <v>8</v>
      </c>
      <c r="V1132" s="8">
        <f t="shared" si="35"/>
        <v>1</v>
      </c>
      <c r="W1132" t="str">
        <f>_xlfn.XLOOKUP(A1132, Matches!A:A, Matches!L:L, "NA", 0)</f>
        <v>UPW</v>
      </c>
      <c r="X1132" t="str">
        <f>_xlfn.XLOOKUP(A1132, Matches!A:A, Matches!J:J, "NA", 0)</f>
        <v>DCW</v>
      </c>
      <c r="Y1132" t="str">
        <f>_xlfn.XLOOKUP(A1132, Matches!A:A, Matches!F:F, "NA", 0)</f>
        <v>M. Chinnaswamy Stadium</v>
      </c>
      <c r="Z1132" cm="1">
        <f t="array" ref="Z1132">INDEX(Innings!F:F,MATCH(1,(TRIM(Innings!A:A)=TRIM(A1132))*(TRIM(Innings!D:D)=TRIM(E1132)),0))</f>
        <v>177</v>
      </c>
      <c r="AA1132" cm="1">
        <f t="array" ref="AA1132">INDEX(Innings!I:I,MATCH(1,(TRIM(Innings!A:A)=TRIM(A1132))*(TRIM(Innings!D:D)=TRIM(E1132)),0))</f>
        <v>8.85</v>
      </c>
      <c r="AB1132" cm="1">
        <f t="array" ref="AB1132">INDEX(Innings!J:J,MATCH(1,(TRIM(Innings!A:A)=TRIM(A1132))*(TRIM(Innings!D:D)=TRIM(E1132)),0))</f>
        <v>38</v>
      </c>
      <c r="AC1132" cm="1">
        <f t="array" ref="AC1132">INDEX(Innings!N:N,MATCH(1,(TRIM(Innings!A:A)=TRIM(A1132))*(TRIM(Innings!D:D)=TRIM(E1132)),0))</f>
        <v>67</v>
      </c>
      <c r="AD1132" cm="1">
        <f t="array" ref="AD1132">INDEX(Innings!S:S,MATCH(1,(TRIM(Innings!A:A)=TRIM(A1132))*(TRIM(Innings!D:D)=TRIM(E1132)),0))</f>
        <v>57</v>
      </c>
      <c r="AE1132" t="str" cm="1">
        <f t="array" ref="AE1132">INDEX(Innings!W:W,MATCH(1,(TRIM(Innings!A:A)=TRIM(A1132))*(TRIM(Innings!D:D)=TRIM(E1132)),0))</f>
        <v>NA</v>
      </c>
      <c r="AF1132">
        <f>IF(UPPER(TRIM(E1132))=UPPER(TRIM(W1132)),1,0)</f>
        <v>1</v>
      </c>
      <c r="AG1132">
        <f t="shared" si="34"/>
        <v>24.3</v>
      </c>
    </row>
    <row r="1133" spans="1:33" x14ac:dyDescent="0.3">
      <c r="A1133" t="s">
        <v>469</v>
      </c>
      <c r="B1133">
        <v>3</v>
      </c>
      <c r="C1133" t="s">
        <v>509</v>
      </c>
      <c r="D1133" t="s">
        <v>523</v>
      </c>
      <c r="E1133" t="s">
        <v>219</v>
      </c>
      <c r="F1133" t="s">
        <v>169</v>
      </c>
      <c r="G1133" t="s">
        <v>104</v>
      </c>
      <c r="H1133">
        <v>0</v>
      </c>
      <c r="I1133">
        <v>0</v>
      </c>
      <c r="J1133">
        <v>0</v>
      </c>
      <c r="K1133" t="s">
        <v>104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 s="8">
        <v>0</v>
      </c>
      <c r="V1133" s="8">
        <f t="shared" si="35"/>
        <v>0</v>
      </c>
      <c r="W1133" t="str">
        <f>_xlfn.XLOOKUP(A1133, Matches!A:A, Matches!L:L, "NA", 0)</f>
        <v>UPW</v>
      </c>
      <c r="X1133" t="str">
        <f>_xlfn.XLOOKUP(A1133, Matches!A:A, Matches!J:J, "NA", 0)</f>
        <v>DCW</v>
      </c>
      <c r="Y1133" t="str">
        <f>_xlfn.XLOOKUP(A1133, Matches!A:A, Matches!F:F, "NA", 0)</f>
        <v>M. Chinnaswamy Stadium</v>
      </c>
      <c r="Z1133" cm="1">
        <f t="array" ref="Z1133">INDEX(Innings!F:F,MATCH(1,(TRIM(Innings!A:A)=TRIM(A1133))*(TRIM(Innings!D:D)=TRIM(E1133)),0))</f>
        <v>177</v>
      </c>
      <c r="AA1133" cm="1">
        <f t="array" ref="AA1133">INDEX(Innings!I:I,MATCH(1,(TRIM(Innings!A:A)=TRIM(A1133))*(TRIM(Innings!D:D)=TRIM(E1133)),0))</f>
        <v>8.85</v>
      </c>
      <c r="AB1133" cm="1">
        <f t="array" ref="AB1133">INDEX(Innings!J:J,MATCH(1,(TRIM(Innings!A:A)=TRIM(A1133))*(TRIM(Innings!D:D)=TRIM(E1133)),0))</f>
        <v>38</v>
      </c>
      <c r="AC1133" cm="1">
        <f t="array" ref="AC1133">INDEX(Innings!N:N,MATCH(1,(TRIM(Innings!A:A)=TRIM(A1133))*(TRIM(Innings!D:D)=TRIM(E1133)),0))</f>
        <v>67</v>
      </c>
      <c r="AD1133" cm="1">
        <f t="array" ref="AD1133">INDEX(Innings!S:S,MATCH(1,(TRIM(Innings!A:A)=TRIM(A1133))*(TRIM(Innings!D:D)=TRIM(E1133)),0))</f>
        <v>57</v>
      </c>
      <c r="AE1133" t="str" cm="1">
        <f t="array" ref="AE1133">INDEX(Innings!W:W,MATCH(1,(TRIM(Innings!A:A)=TRIM(A1133))*(TRIM(Innings!D:D)=TRIM(E1133)),0))</f>
        <v>NA</v>
      </c>
      <c r="AF1133">
        <f>IF(UPPER(TRIM(E1133))=UPPER(TRIM(W1133)),1,0)</f>
        <v>1</v>
      </c>
      <c r="AG1133">
        <f t="shared" si="34"/>
        <v>20</v>
      </c>
    </row>
    <row r="1134" spans="1:33" x14ac:dyDescent="0.3">
      <c r="A1134" t="s">
        <v>469</v>
      </c>
      <c r="B1134">
        <v>3</v>
      </c>
      <c r="C1134" t="s">
        <v>188</v>
      </c>
      <c r="D1134" t="s">
        <v>189</v>
      </c>
      <c r="E1134" t="s">
        <v>158</v>
      </c>
      <c r="F1134" t="s">
        <v>109</v>
      </c>
      <c r="G1134" t="s">
        <v>86</v>
      </c>
      <c r="H1134">
        <v>24</v>
      </c>
      <c r="I1134">
        <v>30</v>
      </c>
      <c r="J1134">
        <v>80</v>
      </c>
      <c r="K1134" t="s">
        <v>246</v>
      </c>
      <c r="L1134">
        <v>25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 s="8">
        <v>25</v>
      </c>
      <c r="V1134" s="8">
        <f t="shared" si="35"/>
        <v>3</v>
      </c>
      <c r="W1134" t="str">
        <f>_xlfn.XLOOKUP(A1134, Matches!A:A, Matches!L:L, "NA", 0)</f>
        <v>UPW</v>
      </c>
      <c r="X1134" t="str">
        <f>_xlfn.XLOOKUP(A1134, Matches!A:A, Matches!J:J, "NA", 0)</f>
        <v>DCW</v>
      </c>
      <c r="Y1134" t="str">
        <f>_xlfn.XLOOKUP(A1134, Matches!A:A, Matches!F:F, "NA", 0)</f>
        <v>M. Chinnaswamy Stadium</v>
      </c>
      <c r="Z1134" cm="1">
        <f t="array" ref="Z1134">INDEX(Innings!F:F,MATCH(1,(TRIM(Innings!A:A)=TRIM(A1134))*(TRIM(Innings!D:D)=TRIM(E1134)),0))</f>
        <v>144</v>
      </c>
      <c r="AA1134" cm="1">
        <f t="array" ref="AA1134">INDEX(Innings!I:I,MATCH(1,(TRIM(Innings!A:A)=TRIM(A1134))*(TRIM(Innings!D:D)=TRIM(E1134)),0))</f>
        <v>7.38</v>
      </c>
      <c r="AB1134" cm="1">
        <f t="array" ref="AB1134">INDEX(Innings!J:J,MATCH(1,(TRIM(Innings!A:A)=TRIM(A1134))*(TRIM(Innings!D:D)=TRIM(E1134)),0))</f>
        <v>37</v>
      </c>
      <c r="AC1134" cm="1">
        <f t="array" ref="AC1134">INDEX(Innings!N:N,MATCH(1,(TRIM(Innings!A:A)=TRIM(A1134))*(TRIM(Innings!D:D)=TRIM(E1134)),0))</f>
        <v>32</v>
      </c>
      <c r="AD1134" cm="1">
        <f t="array" ref="AD1134">INDEX(Innings!S:S,MATCH(1,(TRIM(Innings!A:A)=TRIM(A1134))*(TRIM(Innings!D:D)=TRIM(E1134)),0))</f>
        <v>63</v>
      </c>
      <c r="AE1134" t="str" cm="1">
        <f t="array" ref="AE1134">INDEX(Innings!W:W,MATCH(1,(TRIM(Innings!A:A)=TRIM(A1134))*(TRIM(Innings!D:D)=TRIM(E1134)),0))</f>
        <v>Failed</v>
      </c>
      <c r="AF1134">
        <f>IF(UPPER(TRIM(E1134))=UPPER(TRIM(W1134)),1,0)</f>
        <v>0</v>
      </c>
      <c r="AG1134">
        <f t="shared" si="34"/>
        <v>13.4</v>
      </c>
    </row>
    <row r="1135" spans="1:33" x14ac:dyDescent="0.3">
      <c r="A1135" t="s">
        <v>469</v>
      </c>
      <c r="B1135">
        <v>3</v>
      </c>
      <c r="C1135" t="s">
        <v>190</v>
      </c>
      <c r="D1135" t="s">
        <v>191</v>
      </c>
      <c r="E1135" t="s">
        <v>158</v>
      </c>
      <c r="F1135" t="s">
        <v>109</v>
      </c>
      <c r="G1135" t="s">
        <v>86</v>
      </c>
      <c r="H1135">
        <v>5</v>
      </c>
      <c r="I1135">
        <v>5</v>
      </c>
      <c r="J1135">
        <v>100</v>
      </c>
      <c r="K1135" t="s">
        <v>245</v>
      </c>
      <c r="L1135">
        <v>5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 s="8">
        <v>5</v>
      </c>
      <c r="V1135" s="8">
        <f t="shared" si="35"/>
        <v>1</v>
      </c>
      <c r="W1135" t="str">
        <f>_xlfn.XLOOKUP(A1135, Matches!A:A, Matches!L:L, "NA", 0)</f>
        <v>UPW</v>
      </c>
      <c r="X1135" t="str">
        <f>_xlfn.XLOOKUP(A1135, Matches!A:A, Matches!J:J, "NA", 0)</f>
        <v>DCW</v>
      </c>
      <c r="Y1135" t="str">
        <f>_xlfn.XLOOKUP(A1135, Matches!A:A, Matches!F:F, "NA", 0)</f>
        <v>M. Chinnaswamy Stadium</v>
      </c>
      <c r="Z1135" cm="1">
        <f t="array" ref="Z1135">INDEX(Innings!F:F,MATCH(1,(TRIM(Innings!A:A)=TRIM(A1135))*(TRIM(Innings!D:D)=TRIM(E1135)),0))</f>
        <v>144</v>
      </c>
      <c r="AA1135" cm="1">
        <f t="array" ref="AA1135">INDEX(Innings!I:I,MATCH(1,(TRIM(Innings!A:A)=TRIM(A1135))*(TRIM(Innings!D:D)=TRIM(E1135)),0))</f>
        <v>7.38</v>
      </c>
      <c r="AB1135" cm="1">
        <f t="array" ref="AB1135">INDEX(Innings!J:J,MATCH(1,(TRIM(Innings!A:A)=TRIM(A1135))*(TRIM(Innings!D:D)=TRIM(E1135)),0))</f>
        <v>37</v>
      </c>
      <c r="AC1135" cm="1">
        <f t="array" ref="AC1135">INDEX(Innings!N:N,MATCH(1,(TRIM(Innings!A:A)=TRIM(A1135))*(TRIM(Innings!D:D)=TRIM(E1135)),0))</f>
        <v>32</v>
      </c>
      <c r="AD1135" cm="1">
        <f t="array" ref="AD1135">INDEX(Innings!S:S,MATCH(1,(TRIM(Innings!A:A)=TRIM(A1135))*(TRIM(Innings!D:D)=TRIM(E1135)),0))</f>
        <v>63</v>
      </c>
      <c r="AE1135" t="str" cm="1">
        <f t="array" ref="AE1135">INDEX(Innings!W:W,MATCH(1,(TRIM(Innings!A:A)=TRIM(A1135))*(TRIM(Innings!D:D)=TRIM(E1135)),0))</f>
        <v>Failed</v>
      </c>
      <c r="AF1135">
        <f>IF(UPPER(TRIM(E1135))=UPPER(TRIM(W1135)),1,0)</f>
        <v>0</v>
      </c>
      <c r="AG1135">
        <f t="shared" si="34"/>
        <v>2.8</v>
      </c>
    </row>
    <row r="1136" spans="1:33" x14ac:dyDescent="0.3">
      <c r="A1136" t="s">
        <v>469</v>
      </c>
      <c r="B1136">
        <v>3</v>
      </c>
      <c r="C1136" t="s">
        <v>194</v>
      </c>
      <c r="D1136" t="s">
        <v>195</v>
      </c>
      <c r="E1136" t="s">
        <v>158</v>
      </c>
      <c r="F1136" t="s">
        <v>109</v>
      </c>
      <c r="G1136" t="s">
        <v>92</v>
      </c>
      <c r="H1136">
        <v>56</v>
      </c>
      <c r="I1136">
        <v>35</v>
      </c>
      <c r="J1136">
        <v>160</v>
      </c>
      <c r="K1136" t="s">
        <v>246</v>
      </c>
      <c r="L1136">
        <v>65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 s="8">
        <v>65</v>
      </c>
      <c r="V1136" s="8">
        <f t="shared" si="35"/>
        <v>7</v>
      </c>
      <c r="W1136" t="str">
        <f>_xlfn.XLOOKUP(A1136, Matches!A:A, Matches!L:L, "NA", 0)</f>
        <v>UPW</v>
      </c>
      <c r="X1136" t="str">
        <f>_xlfn.XLOOKUP(A1136, Matches!A:A, Matches!J:J, "NA", 0)</f>
        <v>DCW</v>
      </c>
      <c r="Y1136" t="str">
        <f>_xlfn.XLOOKUP(A1136, Matches!A:A, Matches!F:F, "NA", 0)</f>
        <v>M. Chinnaswamy Stadium</v>
      </c>
      <c r="Z1136" cm="1">
        <f t="array" ref="Z1136">INDEX(Innings!F:F,MATCH(1,(TRIM(Innings!A:A)=TRIM(A1136))*(TRIM(Innings!D:D)=TRIM(E1136)),0))</f>
        <v>144</v>
      </c>
      <c r="AA1136" cm="1">
        <f t="array" ref="AA1136">INDEX(Innings!I:I,MATCH(1,(TRIM(Innings!A:A)=TRIM(A1136))*(TRIM(Innings!D:D)=TRIM(E1136)),0))</f>
        <v>7.38</v>
      </c>
      <c r="AB1136" cm="1">
        <f t="array" ref="AB1136">INDEX(Innings!J:J,MATCH(1,(TRIM(Innings!A:A)=TRIM(A1136))*(TRIM(Innings!D:D)=TRIM(E1136)),0))</f>
        <v>37</v>
      </c>
      <c r="AC1136" cm="1">
        <f t="array" ref="AC1136">INDEX(Innings!N:N,MATCH(1,(TRIM(Innings!A:A)=TRIM(A1136))*(TRIM(Innings!D:D)=TRIM(E1136)),0))</f>
        <v>32</v>
      </c>
      <c r="AD1136" cm="1">
        <f t="array" ref="AD1136">INDEX(Innings!S:S,MATCH(1,(TRIM(Innings!A:A)=TRIM(A1136))*(TRIM(Innings!D:D)=TRIM(E1136)),0))</f>
        <v>63</v>
      </c>
      <c r="AE1136" t="str" cm="1">
        <f t="array" ref="AE1136">INDEX(Innings!W:W,MATCH(1,(TRIM(Innings!A:A)=TRIM(A1136))*(TRIM(Innings!D:D)=TRIM(E1136)),0))</f>
        <v>Failed</v>
      </c>
      <c r="AF1136">
        <f>IF(UPPER(TRIM(E1136))=UPPER(TRIM(W1136)),1,0)</f>
        <v>0</v>
      </c>
      <c r="AG1136">
        <f t="shared" si="34"/>
        <v>34.6</v>
      </c>
    </row>
    <row r="1137" spans="1:33" x14ac:dyDescent="0.3">
      <c r="A1137" t="s">
        <v>469</v>
      </c>
      <c r="B1137">
        <v>3</v>
      </c>
      <c r="C1137" t="s">
        <v>192</v>
      </c>
      <c r="D1137" t="s">
        <v>193</v>
      </c>
      <c r="E1137" t="s">
        <v>158</v>
      </c>
      <c r="F1137" t="s">
        <v>169</v>
      </c>
      <c r="G1137" t="s">
        <v>134</v>
      </c>
      <c r="H1137">
        <v>9</v>
      </c>
      <c r="I1137">
        <v>9</v>
      </c>
      <c r="J1137">
        <v>100</v>
      </c>
      <c r="K1137" t="s">
        <v>246</v>
      </c>
      <c r="L1137">
        <v>10</v>
      </c>
      <c r="M1137">
        <v>4</v>
      </c>
      <c r="N1137">
        <v>0</v>
      </c>
      <c r="O1137">
        <v>18</v>
      </c>
      <c r="P1137">
        <v>2</v>
      </c>
      <c r="Q1137">
        <v>4.5</v>
      </c>
      <c r="R1137">
        <v>50</v>
      </c>
      <c r="S1137">
        <v>0</v>
      </c>
      <c r="T1137">
        <v>0</v>
      </c>
      <c r="U1137" s="8">
        <v>60</v>
      </c>
      <c r="V1137" s="8">
        <f t="shared" si="35"/>
        <v>6</v>
      </c>
      <c r="W1137" t="str">
        <f>_xlfn.XLOOKUP(A1137, Matches!A:A, Matches!L:L, "NA", 0)</f>
        <v>UPW</v>
      </c>
      <c r="X1137" t="str">
        <f>_xlfn.XLOOKUP(A1137, Matches!A:A, Matches!J:J, "NA", 0)</f>
        <v>DCW</v>
      </c>
      <c r="Y1137" t="str">
        <f>_xlfn.XLOOKUP(A1137, Matches!A:A, Matches!F:F, "NA", 0)</f>
        <v>M. Chinnaswamy Stadium</v>
      </c>
      <c r="Z1137" cm="1">
        <f t="array" ref="Z1137">INDEX(Innings!F:F,MATCH(1,(TRIM(Innings!A:A)=TRIM(A1137))*(TRIM(Innings!D:D)=TRIM(E1137)),0))</f>
        <v>144</v>
      </c>
      <c r="AA1137" cm="1">
        <f t="array" ref="AA1137">INDEX(Innings!I:I,MATCH(1,(TRIM(Innings!A:A)=TRIM(A1137))*(TRIM(Innings!D:D)=TRIM(E1137)),0))</f>
        <v>7.38</v>
      </c>
      <c r="AB1137" cm="1">
        <f t="array" ref="AB1137">INDEX(Innings!J:J,MATCH(1,(TRIM(Innings!A:A)=TRIM(A1137))*(TRIM(Innings!D:D)=TRIM(E1137)),0))</f>
        <v>37</v>
      </c>
      <c r="AC1137" cm="1">
        <f t="array" ref="AC1137">INDEX(Innings!N:N,MATCH(1,(TRIM(Innings!A:A)=TRIM(A1137))*(TRIM(Innings!D:D)=TRIM(E1137)),0))</f>
        <v>32</v>
      </c>
      <c r="AD1137" cm="1">
        <f t="array" ref="AD1137">INDEX(Innings!S:S,MATCH(1,(TRIM(Innings!A:A)=TRIM(A1137))*(TRIM(Innings!D:D)=TRIM(E1137)),0))</f>
        <v>63</v>
      </c>
      <c r="AE1137" t="str" cm="1">
        <f t="array" ref="AE1137">INDEX(Innings!W:W,MATCH(1,(TRIM(Innings!A:A)=TRIM(A1137))*(TRIM(Innings!D:D)=TRIM(E1137)),0))</f>
        <v>Failed</v>
      </c>
      <c r="AF1137">
        <f>IF(UPPER(TRIM(E1137))=UPPER(TRIM(W1137)),1,0)</f>
        <v>0</v>
      </c>
      <c r="AG1137">
        <f t="shared" si="34"/>
        <v>31.8</v>
      </c>
    </row>
    <row r="1138" spans="1:33" x14ac:dyDescent="0.3">
      <c r="A1138" t="s">
        <v>469</v>
      </c>
      <c r="B1138">
        <v>3</v>
      </c>
      <c r="C1138" t="s">
        <v>94</v>
      </c>
      <c r="D1138" t="s">
        <v>120</v>
      </c>
      <c r="E1138" t="s">
        <v>158</v>
      </c>
      <c r="F1138" t="s">
        <v>169</v>
      </c>
      <c r="G1138" t="s">
        <v>134</v>
      </c>
      <c r="H1138">
        <v>5</v>
      </c>
      <c r="I1138">
        <v>5</v>
      </c>
      <c r="J1138">
        <v>100</v>
      </c>
      <c r="K1138" t="s">
        <v>246</v>
      </c>
      <c r="L1138">
        <v>5</v>
      </c>
      <c r="M1138">
        <v>4</v>
      </c>
      <c r="N1138">
        <v>0</v>
      </c>
      <c r="O1138">
        <v>30</v>
      </c>
      <c r="P1138">
        <v>0</v>
      </c>
      <c r="Q1138">
        <v>7.5</v>
      </c>
      <c r="R1138">
        <v>0</v>
      </c>
      <c r="S1138">
        <v>0</v>
      </c>
      <c r="T1138">
        <v>0</v>
      </c>
      <c r="U1138" s="8">
        <v>5</v>
      </c>
      <c r="V1138" s="8">
        <f t="shared" si="35"/>
        <v>1</v>
      </c>
      <c r="W1138" t="str">
        <f>_xlfn.XLOOKUP(A1138, Matches!A:A, Matches!L:L, "NA", 0)</f>
        <v>UPW</v>
      </c>
      <c r="X1138" t="str">
        <f>_xlfn.XLOOKUP(A1138, Matches!A:A, Matches!J:J, "NA", 0)</f>
        <v>DCW</v>
      </c>
      <c r="Y1138" t="str">
        <f>_xlfn.XLOOKUP(A1138, Matches!A:A, Matches!F:F, "NA", 0)</f>
        <v>M. Chinnaswamy Stadium</v>
      </c>
      <c r="Z1138" cm="1">
        <f t="array" ref="Z1138">INDEX(Innings!F:F,MATCH(1,(TRIM(Innings!A:A)=TRIM(A1138))*(TRIM(Innings!D:D)=TRIM(E1138)),0))</f>
        <v>144</v>
      </c>
      <c r="AA1138" cm="1">
        <f t="array" ref="AA1138">INDEX(Innings!I:I,MATCH(1,(TRIM(Innings!A:A)=TRIM(A1138))*(TRIM(Innings!D:D)=TRIM(E1138)),0))</f>
        <v>7.38</v>
      </c>
      <c r="AB1138" cm="1">
        <f t="array" ref="AB1138">INDEX(Innings!J:J,MATCH(1,(TRIM(Innings!A:A)=TRIM(A1138))*(TRIM(Innings!D:D)=TRIM(E1138)),0))</f>
        <v>37</v>
      </c>
      <c r="AC1138" cm="1">
        <f t="array" ref="AC1138">INDEX(Innings!N:N,MATCH(1,(TRIM(Innings!A:A)=TRIM(A1138))*(TRIM(Innings!D:D)=TRIM(E1138)),0))</f>
        <v>32</v>
      </c>
      <c r="AD1138" cm="1">
        <f t="array" ref="AD1138">INDEX(Innings!S:S,MATCH(1,(TRIM(Innings!A:A)=TRIM(A1138))*(TRIM(Innings!D:D)=TRIM(E1138)),0))</f>
        <v>63</v>
      </c>
      <c r="AE1138" t="str" cm="1">
        <f t="array" ref="AE1138">INDEX(Innings!W:W,MATCH(1,(TRIM(Innings!A:A)=TRIM(A1138))*(TRIM(Innings!D:D)=TRIM(E1138)),0))</f>
        <v>Failed</v>
      </c>
      <c r="AF1138">
        <f>IF(UPPER(TRIM(E1138))=UPPER(TRIM(W1138)),1,0)</f>
        <v>0</v>
      </c>
      <c r="AG1138">
        <f t="shared" si="34"/>
        <v>2.8</v>
      </c>
    </row>
    <row r="1139" spans="1:33" x14ac:dyDescent="0.3">
      <c r="A1139" t="s">
        <v>469</v>
      </c>
      <c r="B1139">
        <v>3</v>
      </c>
      <c r="C1139" t="s">
        <v>198</v>
      </c>
      <c r="D1139" t="s">
        <v>199</v>
      </c>
      <c r="E1139" t="s">
        <v>158</v>
      </c>
      <c r="F1139" t="s">
        <v>101</v>
      </c>
      <c r="G1139" t="s">
        <v>134</v>
      </c>
      <c r="H1139">
        <v>5</v>
      </c>
      <c r="I1139">
        <v>4</v>
      </c>
      <c r="J1139">
        <v>125</v>
      </c>
      <c r="K1139" t="s">
        <v>246</v>
      </c>
      <c r="L1139">
        <v>5</v>
      </c>
      <c r="M1139">
        <v>4</v>
      </c>
      <c r="N1139">
        <v>0</v>
      </c>
      <c r="O1139">
        <v>31</v>
      </c>
      <c r="P1139">
        <v>4</v>
      </c>
      <c r="Q1139">
        <v>7.8</v>
      </c>
      <c r="R1139">
        <v>100</v>
      </c>
      <c r="S1139">
        <v>0</v>
      </c>
      <c r="T1139">
        <v>0</v>
      </c>
      <c r="U1139" s="8">
        <v>105</v>
      </c>
      <c r="V1139" s="8">
        <f t="shared" si="35"/>
        <v>10</v>
      </c>
      <c r="W1139" t="str">
        <f>_xlfn.XLOOKUP(A1139, Matches!A:A, Matches!L:L, "NA", 0)</f>
        <v>UPW</v>
      </c>
      <c r="X1139" t="str">
        <f>_xlfn.XLOOKUP(A1139, Matches!A:A, Matches!J:J, "NA", 0)</f>
        <v>DCW</v>
      </c>
      <c r="Y1139" t="str">
        <f>_xlfn.XLOOKUP(A1139, Matches!A:A, Matches!F:F, "NA", 0)</f>
        <v>M. Chinnaswamy Stadium</v>
      </c>
      <c r="Z1139" cm="1">
        <f t="array" ref="Z1139">INDEX(Innings!F:F,MATCH(1,(TRIM(Innings!A:A)=TRIM(A1139))*(TRIM(Innings!D:D)=TRIM(E1139)),0))</f>
        <v>144</v>
      </c>
      <c r="AA1139" cm="1">
        <f t="array" ref="AA1139">INDEX(Innings!I:I,MATCH(1,(TRIM(Innings!A:A)=TRIM(A1139))*(TRIM(Innings!D:D)=TRIM(E1139)),0))</f>
        <v>7.38</v>
      </c>
      <c r="AB1139" cm="1">
        <f t="array" ref="AB1139">INDEX(Innings!J:J,MATCH(1,(TRIM(Innings!A:A)=TRIM(A1139))*(TRIM(Innings!D:D)=TRIM(E1139)),0))</f>
        <v>37</v>
      </c>
      <c r="AC1139" cm="1">
        <f t="array" ref="AC1139">INDEX(Innings!N:N,MATCH(1,(TRIM(Innings!A:A)=TRIM(A1139))*(TRIM(Innings!D:D)=TRIM(E1139)),0))</f>
        <v>32</v>
      </c>
      <c r="AD1139" cm="1">
        <f t="array" ref="AD1139">INDEX(Innings!S:S,MATCH(1,(TRIM(Innings!A:A)=TRIM(A1139))*(TRIM(Innings!D:D)=TRIM(E1139)),0))</f>
        <v>63</v>
      </c>
      <c r="AE1139" t="str" cm="1">
        <f t="array" ref="AE1139">INDEX(Innings!W:W,MATCH(1,(TRIM(Innings!A:A)=TRIM(A1139))*(TRIM(Innings!D:D)=TRIM(E1139)),0))</f>
        <v>Failed</v>
      </c>
      <c r="AF1139">
        <f>IF(UPPER(TRIM(E1139))=UPPER(TRIM(W1139)),1,0)</f>
        <v>0</v>
      </c>
      <c r="AG1139">
        <f t="shared" si="34"/>
        <v>55.5</v>
      </c>
    </row>
    <row r="1140" spans="1:33" x14ac:dyDescent="0.3">
      <c r="A1140" t="s">
        <v>469</v>
      </c>
      <c r="B1140">
        <v>3</v>
      </c>
      <c r="C1140" t="s">
        <v>496</v>
      </c>
      <c r="D1140" t="s">
        <v>518</v>
      </c>
      <c r="E1140" t="s">
        <v>158</v>
      </c>
      <c r="F1140" t="s">
        <v>85</v>
      </c>
      <c r="G1140" t="s">
        <v>134</v>
      </c>
      <c r="H1140">
        <v>5</v>
      </c>
      <c r="I1140">
        <v>5</v>
      </c>
      <c r="J1140">
        <v>100</v>
      </c>
      <c r="K1140" t="s">
        <v>248</v>
      </c>
      <c r="L1140">
        <v>5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 s="8">
        <v>5</v>
      </c>
      <c r="V1140" s="8">
        <f t="shared" si="35"/>
        <v>1</v>
      </c>
      <c r="W1140" t="str">
        <f>_xlfn.XLOOKUP(A1140, Matches!A:A, Matches!L:L, "NA", 0)</f>
        <v>UPW</v>
      </c>
      <c r="X1140" t="str">
        <f>_xlfn.XLOOKUP(A1140, Matches!A:A, Matches!J:J, "NA", 0)</f>
        <v>DCW</v>
      </c>
      <c r="Y1140" t="str">
        <f>_xlfn.XLOOKUP(A1140, Matches!A:A, Matches!F:F, "NA", 0)</f>
        <v>M. Chinnaswamy Stadium</v>
      </c>
      <c r="Z1140" cm="1">
        <f t="array" ref="Z1140">INDEX(Innings!F:F,MATCH(1,(TRIM(Innings!A:A)=TRIM(A1140))*(TRIM(Innings!D:D)=TRIM(E1140)),0))</f>
        <v>144</v>
      </c>
      <c r="AA1140" cm="1">
        <f t="array" ref="AA1140">INDEX(Innings!I:I,MATCH(1,(TRIM(Innings!A:A)=TRIM(A1140))*(TRIM(Innings!D:D)=TRIM(E1140)),0))</f>
        <v>7.38</v>
      </c>
      <c r="AB1140" cm="1">
        <f t="array" ref="AB1140">INDEX(Innings!J:J,MATCH(1,(TRIM(Innings!A:A)=TRIM(A1140))*(TRIM(Innings!D:D)=TRIM(E1140)),0))</f>
        <v>37</v>
      </c>
      <c r="AC1140" cm="1">
        <f t="array" ref="AC1140">INDEX(Innings!N:N,MATCH(1,(TRIM(Innings!A:A)=TRIM(A1140))*(TRIM(Innings!D:D)=TRIM(E1140)),0))</f>
        <v>32</v>
      </c>
      <c r="AD1140" cm="1">
        <f t="array" ref="AD1140">INDEX(Innings!S:S,MATCH(1,(TRIM(Innings!A:A)=TRIM(A1140))*(TRIM(Innings!D:D)=TRIM(E1140)),0))</f>
        <v>63</v>
      </c>
      <c r="AE1140" t="str" cm="1">
        <f t="array" ref="AE1140">INDEX(Innings!W:W,MATCH(1,(TRIM(Innings!A:A)=TRIM(A1140))*(TRIM(Innings!D:D)=TRIM(E1140)),0))</f>
        <v>Failed</v>
      </c>
      <c r="AF1140">
        <f>IF(UPPER(TRIM(E1140))=UPPER(TRIM(W1140)),1,0)</f>
        <v>0</v>
      </c>
      <c r="AG1140">
        <f t="shared" si="34"/>
        <v>2.8</v>
      </c>
    </row>
    <row r="1141" spans="1:33" x14ac:dyDescent="0.3">
      <c r="A1141" t="s">
        <v>469</v>
      </c>
      <c r="B1141">
        <v>3</v>
      </c>
      <c r="C1141" t="s">
        <v>495</v>
      </c>
      <c r="D1141" t="s">
        <v>503</v>
      </c>
      <c r="E1141" t="s">
        <v>158</v>
      </c>
      <c r="F1141" t="s">
        <v>169</v>
      </c>
      <c r="G1141" t="s">
        <v>134</v>
      </c>
      <c r="H1141">
        <v>18</v>
      </c>
      <c r="I1141">
        <v>10</v>
      </c>
      <c r="J1141">
        <v>180</v>
      </c>
      <c r="K1141" t="s">
        <v>246</v>
      </c>
      <c r="L1141">
        <v>20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 s="8">
        <v>20</v>
      </c>
      <c r="V1141" s="8">
        <f t="shared" si="35"/>
        <v>2</v>
      </c>
      <c r="W1141" t="str">
        <f>_xlfn.XLOOKUP(A1141, Matches!A:A, Matches!L:L, "NA", 0)</f>
        <v>UPW</v>
      </c>
      <c r="X1141" t="str">
        <f>_xlfn.XLOOKUP(A1141, Matches!A:A, Matches!J:J, "NA", 0)</f>
        <v>DCW</v>
      </c>
      <c r="Y1141" t="str">
        <f>_xlfn.XLOOKUP(A1141, Matches!A:A, Matches!F:F, "NA", 0)</f>
        <v>M. Chinnaswamy Stadium</v>
      </c>
      <c r="Z1141" cm="1">
        <f t="array" ref="Z1141">INDEX(Innings!F:F,MATCH(1,(TRIM(Innings!A:A)=TRIM(A1141))*(TRIM(Innings!D:D)=TRIM(E1141)),0))</f>
        <v>144</v>
      </c>
      <c r="AA1141" cm="1">
        <f t="array" ref="AA1141">INDEX(Innings!I:I,MATCH(1,(TRIM(Innings!A:A)=TRIM(A1141))*(TRIM(Innings!D:D)=TRIM(E1141)),0))</f>
        <v>7.38</v>
      </c>
      <c r="AB1141" cm="1">
        <f t="array" ref="AB1141">INDEX(Innings!J:J,MATCH(1,(TRIM(Innings!A:A)=TRIM(A1141))*(TRIM(Innings!D:D)=TRIM(E1141)),0))</f>
        <v>37</v>
      </c>
      <c r="AC1141" cm="1">
        <f t="array" ref="AC1141">INDEX(Innings!N:N,MATCH(1,(TRIM(Innings!A:A)=TRIM(A1141))*(TRIM(Innings!D:D)=TRIM(E1141)),0))</f>
        <v>32</v>
      </c>
      <c r="AD1141" cm="1">
        <f t="array" ref="AD1141">INDEX(Innings!S:S,MATCH(1,(TRIM(Innings!A:A)=TRIM(A1141))*(TRIM(Innings!D:D)=TRIM(E1141)),0))</f>
        <v>63</v>
      </c>
      <c r="AE1141" t="str" cm="1">
        <f t="array" ref="AE1141">INDEX(Innings!W:W,MATCH(1,(TRIM(Innings!A:A)=TRIM(A1141))*(TRIM(Innings!D:D)=TRIM(E1141)),0))</f>
        <v>Failed</v>
      </c>
      <c r="AF1141">
        <f>IF(UPPER(TRIM(E1141))=UPPER(TRIM(W1141)),1,0)</f>
        <v>0</v>
      </c>
      <c r="AG1141">
        <f t="shared" si="34"/>
        <v>10.6</v>
      </c>
    </row>
    <row r="1142" spans="1:33" x14ac:dyDescent="0.3">
      <c r="A1142" t="s">
        <v>469</v>
      </c>
      <c r="B1142">
        <v>3</v>
      </c>
      <c r="C1142" t="s">
        <v>204</v>
      </c>
      <c r="D1142" t="s">
        <v>205</v>
      </c>
      <c r="E1142" t="s">
        <v>158</v>
      </c>
      <c r="F1142" t="s">
        <v>169</v>
      </c>
      <c r="G1142" t="s">
        <v>134</v>
      </c>
      <c r="H1142">
        <v>15</v>
      </c>
      <c r="I1142">
        <v>13</v>
      </c>
      <c r="J1142">
        <v>115.38</v>
      </c>
      <c r="K1142" t="s">
        <v>96</v>
      </c>
      <c r="L1142">
        <v>20</v>
      </c>
      <c r="M1142">
        <v>4</v>
      </c>
      <c r="N1142">
        <v>0</v>
      </c>
      <c r="O1142">
        <v>39</v>
      </c>
      <c r="P1142">
        <v>1</v>
      </c>
      <c r="Q1142">
        <v>9.8000000000000007</v>
      </c>
      <c r="R1142">
        <v>25</v>
      </c>
      <c r="S1142">
        <v>0</v>
      </c>
      <c r="T1142">
        <v>0</v>
      </c>
      <c r="U1142" s="8">
        <v>45</v>
      </c>
      <c r="V1142" s="8">
        <f t="shared" si="35"/>
        <v>5</v>
      </c>
      <c r="W1142" t="str">
        <f>_xlfn.XLOOKUP(A1142, Matches!A:A, Matches!L:L, "NA", 0)</f>
        <v>UPW</v>
      </c>
      <c r="X1142" t="str">
        <f>_xlfn.XLOOKUP(A1142, Matches!A:A, Matches!J:J, "NA", 0)</f>
        <v>DCW</v>
      </c>
      <c r="Y1142" t="str">
        <f>_xlfn.XLOOKUP(A1142, Matches!A:A, Matches!F:F, "NA", 0)</f>
        <v>M. Chinnaswamy Stadium</v>
      </c>
      <c r="Z1142" cm="1">
        <f t="array" ref="Z1142">INDEX(Innings!F:F,MATCH(1,(TRIM(Innings!A:A)=TRIM(A1142))*(TRIM(Innings!D:D)=TRIM(E1142)),0))</f>
        <v>144</v>
      </c>
      <c r="AA1142" cm="1">
        <f t="array" ref="AA1142">INDEX(Innings!I:I,MATCH(1,(TRIM(Innings!A:A)=TRIM(A1142))*(TRIM(Innings!D:D)=TRIM(E1142)),0))</f>
        <v>7.38</v>
      </c>
      <c r="AB1142" cm="1">
        <f t="array" ref="AB1142">INDEX(Innings!J:J,MATCH(1,(TRIM(Innings!A:A)=TRIM(A1142))*(TRIM(Innings!D:D)=TRIM(E1142)),0))</f>
        <v>37</v>
      </c>
      <c r="AC1142" cm="1">
        <f t="array" ref="AC1142">INDEX(Innings!N:N,MATCH(1,(TRIM(Innings!A:A)=TRIM(A1142))*(TRIM(Innings!D:D)=TRIM(E1142)),0))</f>
        <v>32</v>
      </c>
      <c r="AD1142" cm="1">
        <f t="array" ref="AD1142">INDEX(Innings!S:S,MATCH(1,(TRIM(Innings!A:A)=TRIM(A1142))*(TRIM(Innings!D:D)=TRIM(E1142)),0))</f>
        <v>63</v>
      </c>
      <c r="AE1142" t="str" cm="1">
        <f t="array" ref="AE1142">INDEX(Innings!W:W,MATCH(1,(TRIM(Innings!A:A)=TRIM(A1142))*(TRIM(Innings!D:D)=TRIM(E1142)),0))</f>
        <v>Failed</v>
      </c>
      <c r="AF1142">
        <f>IF(UPPER(TRIM(E1142))=UPPER(TRIM(W1142)),1,0)</f>
        <v>0</v>
      </c>
      <c r="AG1142">
        <f t="shared" si="34"/>
        <v>24</v>
      </c>
    </row>
    <row r="1143" spans="1:33" x14ac:dyDescent="0.3">
      <c r="A1143" t="s">
        <v>469</v>
      </c>
      <c r="B1143">
        <v>3</v>
      </c>
      <c r="C1143" t="s">
        <v>202</v>
      </c>
      <c r="D1143" t="s">
        <v>203</v>
      </c>
      <c r="E1143" t="s">
        <v>158</v>
      </c>
      <c r="F1143" t="s">
        <v>101</v>
      </c>
      <c r="G1143" t="s">
        <v>134</v>
      </c>
      <c r="H1143">
        <v>0</v>
      </c>
      <c r="I1143">
        <v>1</v>
      </c>
      <c r="J1143">
        <v>0</v>
      </c>
      <c r="K1143" t="s">
        <v>246</v>
      </c>
      <c r="L1143">
        <v>0</v>
      </c>
      <c r="M1143">
        <v>4</v>
      </c>
      <c r="N1143">
        <v>0</v>
      </c>
      <c r="O1143">
        <v>52</v>
      </c>
      <c r="P1143">
        <v>2</v>
      </c>
      <c r="Q1143">
        <v>13</v>
      </c>
      <c r="R1143">
        <v>50</v>
      </c>
      <c r="S1143">
        <v>0</v>
      </c>
      <c r="T1143">
        <v>0</v>
      </c>
      <c r="U1143" s="8">
        <v>50</v>
      </c>
      <c r="V1143" s="8">
        <f t="shared" si="35"/>
        <v>5</v>
      </c>
      <c r="W1143" t="str">
        <f>_xlfn.XLOOKUP(A1143, Matches!A:A, Matches!L:L, "NA", 0)</f>
        <v>UPW</v>
      </c>
      <c r="X1143" t="str">
        <f>_xlfn.XLOOKUP(A1143, Matches!A:A, Matches!J:J, "NA", 0)</f>
        <v>DCW</v>
      </c>
      <c r="Y1143" t="str">
        <f>_xlfn.XLOOKUP(A1143, Matches!A:A, Matches!F:F, "NA", 0)</f>
        <v>M. Chinnaswamy Stadium</v>
      </c>
      <c r="Z1143" cm="1">
        <f t="array" ref="Z1143">INDEX(Innings!F:F,MATCH(1,(TRIM(Innings!A:A)=TRIM(A1143))*(TRIM(Innings!D:D)=TRIM(E1143)),0))</f>
        <v>144</v>
      </c>
      <c r="AA1143" cm="1">
        <f t="array" ref="AA1143">INDEX(Innings!I:I,MATCH(1,(TRIM(Innings!A:A)=TRIM(A1143))*(TRIM(Innings!D:D)=TRIM(E1143)),0))</f>
        <v>7.38</v>
      </c>
      <c r="AB1143" cm="1">
        <f t="array" ref="AB1143">INDEX(Innings!J:J,MATCH(1,(TRIM(Innings!A:A)=TRIM(A1143))*(TRIM(Innings!D:D)=TRIM(E1143)),0))</f>
        <v>37</v>
      </c>
      <c r="AC1143" cm="1">
        <f t="array" ref="AC1143">INDEX(Innings!N:N,MATCH(1,(TRIM(Innings!A:A)=TRIM(A1143))*(TRIM(Innings!D:D)=TRIM(E1143)),0))</f>
        <v>32</v>
      </c>
      <c r="AD1143" cm="1">
        <f t="array" ref="AD1143">INDEX(Innings!S:S,MATCH(1,(TRIM(Innings!A:A)=TRIM(A1143))*(TRIM(Innings!D:D)=TRIM(E1143)),0))</f>
        <v>63</v>
      </c>
      <c r="AE1143" t="str" cm="1">
        <f t="array" ref="AE1143">INDEX(Innings!W:W,MATCH(1,(TRIM(Innings!A:A)=TRIM(A1143))*(TRIM(Innings!D:D)=TRIM(E1143)),0))</f>
        <v>Failed</v>
      </c>
      <c r="AF1143">
        <f>IF(UPPER(TRIM(E1143))=UPPER(TRIM(W1143)),1,0)</f>
        <v>0</v>
      </c>
      <c r="AG1143">
        <f t="shared" si="34"/>
        <v>26.5</v>
      </c>
    </row>
    <row r="1144" spans="1:33" x14ac:dyDescent="0.3">
      <c r="A1144" t="s">
        <v>469</v>
      </c>
      <c r="B1144">
        <v>3</v>
      </c>
      <c r="C1144" t="s">
        <v>274</v>
      </c>
      <c r="D1144" t="s">
        <v>284</v>
      </c>
      <c r="E1144" t="s">
        <v>158</v>
      </c>
      <c r="F1144" t="s">
        <v>169</v>
      </c>
      <c r="G1144" t="s">
        <v>134</v>
      </c>
      <c r="H1144">
        <v>0</v>
      </c>
      <c r="I1144">
        <v>1</v>
      </c>
      <c r="J1144">
        <v>0</v>
      </c>
      <c r="K1144" t="s">
        <v>246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 s="8">
        <f t="shared" si="35"/>
        <v>0</v>
      </c>
      <c r="W1144" t="str">
        <f>_xlfn.XLOOKUP(A1144, Matches!A:A, Matches!L:L, "NA", 0)</f>
        <v>UPW</v>
      </c>
      <c r="X1144" t="str">
        <f>_xlfn.XLOOKUP(A1144, Matches!A:A, Matches!J:J, "NA", 0)</f>
        <v>DCW</v>
      </c>
      <c r="Y1144" t="str">
        <f>_xlfn.XLOOKUP(A1144, Matches!A:A, Matches!F:F, "NA", 0)</f>
        <v>M. Chinnaswamy Stadium</v>
      </c>
      <c r="Z1144" cm="1">
        <f t="array" ref="Z1144">INDEX(Innings!F:F,MATCH(1,(TRIM(Innings!A:A)=TRIM(A1144))*(TRIM(Innings!D:D)=TRIM(E1144)),0))</f>
        <v>144</v>
      </c>
      <c r="AA1144" cm="1">
        <f t="array" ref="AA1144">INDEX(Innings!I:I,MATCH(1,(TRIM(Innings!A:A)=TRIM(A1144))*(TRIM(Innings!D:D)=TRIM(E1144)),0))</f>
        <v>7.38</v>
      </c>
      <c r="AB1144" cm="1">
        <f t="array" ref="AB1144">INDEX(Innings!J:J,MATCH(1,(TRIM(Innings!A:A)=TRIM(A1144))*(TRIM(Innings!D:D)=TRIM(E1144)),0))</f>
        <v>37</v>
      </c>
      <c r="AC1144" cm="1">
        <f t="array" ref="AC1144">INDEX(Innings!N:N,MATCH(1,(TRIM(Innings!A:A)=TRIM(A1144))*(TRIM(Innings!D:D)=TRIM(E1144)),0))</f>
        <v>32</v>
      </c>
      <c r="AD1144" cm="1">
        <f t="array" ref="AD1144">INDEX(Innings!S:S,MATCH(1,(TRIM(Innings!A:A)=TRIM(A1144))*(TRIM(Innings!D:D)=TRIM(E1144)),0))</f>
        <v>63</v>
      </c>
      <c r="AE1144" t="str" cm="1">
        <f t="array" ref="AE1144">INDEX(Innings!W:W,MATCH(1,(TRIM(Innings!A:A)=TRIM(A1144))*(TRIM(Innings!D:D)=TRIM(E1144)),0))</f>
        <v>Failed</v>
      </c>
      <c r="AF1144">
        <f>IF(UPPER(TRIM(E1144))=UPPER(TRIM(W1144)),1,0)</f>
        <v>0</v>
      </c>
      <c r="AG1144">
        <f t="shared" si="34"/>
        <v>0</v>
      </c>
    </row>
    <row r="1145" spans="1:33" x14ac:dyDescent="0.3">
      <c r="A1145" t="s">
        <v>470</v>
      </c>
      <c r="B1145">
        <v>3</v>
      </c>
      <c r="C1145" t="s">
        <v>165</v>
      </c>
      <c r="D1145" t="s">
        <v>166</v>
      </c>
      <c r="E1145" t="s">
        <v>159</v>
      </c>
      <c r="F1145" t="s">
        <v>109</v>
      </c>
      <c r="G1145" t="s">
        <v>86</v>
      </c>
      <c r="H1145">
        <v>6</v>
      </c>
      <c r="I1145">
        <v>9</v>
      </c>
      <c r="J1145">
        <v>66.67</v>
      </c>
      <c r="K1145" t="s">
        <v>245</v>
      </c>
      <c r="L1145">
        <v>5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 s="8">
        <v>5</v>
      </c>
      <c r="V1145" s="8">
        <f t="shared" si="35"/>
        <v>1</v>
      </c>
      <c r="W1145" t="str">
        <f>_xlfn.XLOOKUP(A1145, Matches!A:A, Matches!L:L, "NA", 0)</f>
        <v>UPW</v>
      </c>
      <c r="X1145" t="str">
        <f>_xlfn.XLOOKUP(A1145, Matches!A:A, Matches!J:J, "NA", 0)</f>
        <v>UPW</v>
      </c>
      <c r="Y1145" t="str">
        <f>_xlfn.XLOOKUP(A1145, Matches!A:A, Matches!F:F, "NA", 0)</f>
        <v>M. Chinnaswamy Stadium</v>
      </c>
      <c r="Z1145" cm="1">
        <f t="array" ref="Z1145">INDEX(Innings!F:F,MATCH(1,(TRIM(Innings!A:A)=TRIM(A1145))*(TRIM(Innings!D:D)=TRIM(E1145)),0))</f>
        <v>180</v>
      </c>
      <c r="AA1145" cm="1">
        <f t="array" ref="AA1145">INDEX(Innings!I:I,MATCH(1,(TRIM(Innings!A:A)=TRIM(A1145))*(TRIM(Innings!D:D)=TRIM(E1145)),0))</f>
        <v>9</v>
      </c>
      <c r="AB1145" cm="1">
        <f t="array" ref="AB1145">INDEX(Innings!J:J,MATCH(1,(TRIM(Innings!A:A)=TRIM(A1145))*(TRIM(Innings!D:D)=TRIM(E1145)),0))</f>
        <v>42</v>
      </c>
      <c r="AC1145" cm="1">
        <f t="array" ref="AC1145">INDEX(Innings!N:N,MATCH(1,(TRIM(Innings!A:A)=TRIM(A1145))*(TRIM(Innings!D:D)=TRIM(E1145)),0))</f>
        <v>44</v>
      </c>
      <c r="AD1145" cm="1">
        <f t="array" ref="AD1145">INDEX(Innings!S:S,MATCH(1,(TRIM(Innings!A:A)=TRIM(A1145))*(TRIM(Innings!D:D)=TRIM(E1145)),0))</f>
        <v>45</v>
      </c>
      <c r="AE1145" t="str" cm="1">
        <f t="array" ref="AE1145">INDEX(Innings!W:W,MATCH(1,(TRIM(Innings!A:A)=TRIM(A1145))*(TRIM(Innings!D:D)=TRIM(E1145)),0))</f>
        <v>NA</v>
      </c>
      <c r="AF1145">
        <f>IF(UPPER(TRIM(E1145))=UPPER(TRIM(W1145)),1,0)</f>
        <v>0</v>
      </c>
      <c r="AG1145">
        <f t="shared" si="34"/>
        <v>2.8</v>
      </c>
    </row>
    <row r="1146" spans="1:33" x14ac:dyDescent="0.3">
      <c r="A1146" t="s">
        <v>470</v>
      </c>
      <c r="B1146">
        <v>3</v>
      </c>
      <c r="C1146" t="s">
        <v>489</v>
      </c>
      <c r="D1146" t="s">
        <v>488</v>
      </c>
      <c r="E1146" t="s">
        <v>159</v>
      </c>
      <c r="F1146" t="s">
        <v>109</v>
      </c>
      <c r="G1146" t="s">
        <v>86</v>
      </c>
      <c r="H1146">
        <v>57</v>
      </c>
      <c r="I1146">
        <v>41</v>
      </c>
      <c r="J1146">
        <v>139.02000000000001</v>
      </c>
      <c r="K1146" t="s">
        <v>246</v>
      </c>
      <c r="L1146">
        <v>65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 s="8">
        <v>65</v>
      </c>
      <c r="V1146" s="8">
        <f t="shared" si="35"/>
        <v>7</v>
      </c>
      <c r="W1146" t="str">
        <f>_xlfn.XLOOKUP(A1146, Matches!A:A, Matches!L:L, "NA", 0)</f>
        <v>UPW</v>
      </c>
      <c r="X1146" t="str">
        <f>_xlfn.XLOOKUP(A1146, Matches!A:A, Matches!J:J, "NA", 0)</f>
        <v>UPW</v>
      </c>
      <c r="Y1146" t="str">
        <f>_xlfn.XLOOKUP(A1146, Matches!A:A, Matches!F:F, "NA", 0)</f>
        <v>M. Chinnaswamy Stadium</v>
      </c>
      <c r="Z1146" cm="1">
        <f t="array" ref="Z1146">INDEX(Innings!F:F,MATCH(1,(TRIM(Innings!A:A)=TRIM(A1146))*(TRIM(Innings!D:D)=TRIM(E1146)),0))</f>
        <v>180</v>
      </c>
      <c r="AA1146" cm="1">
        <f t="array" ref="AA1146">INDEX(Innings!I:I,MATCH(1,(TRIM(Innings!A:A)=TRIM(A1146))*(TRIM(Innings!D:D)=TRIM(E1146)),0))</f>
        <v>9</v>
      </c>
      <c r="AB1146" cm="1">
        <f t="array" ref="AB1146">INDEX(Innings!J:J,MATCH(1,(TRIM(Innings!A:A)=TRIM(A1146))*(TRIM(Innings!D:D)=TRIM(E1146)),0))</f>
        <v>42</v>
      </c>
      <c r="AC1146" cm="1">
        <f t="array" ref="AC1146">INDEX(Innings!N:N,MATCH(1,(TRIM(Innings!A:A)=TRIM(A1146))*(TRIM(Innings!D:D)=TRIM(E1146)),0))</f>
        <v>44</v>
      </c>
      <c r="AD1146" cm="1">
        <f t="array" ref="AD1146">INDEX(Innings!S:S,MATCH(1,(TRIM(Innings!A:A)=TRIM(A1146))*(TRIM(Innings!D:D)=TRIM(E1146)),0))</f>
        <v>45</v>
      </c>
      <c r="AE1146" t="str" cm="1">
        <f t="array" ref="AE1146">INDEX(Innings!W:W,MATCH(1,(TRIM(Innings!A:A)=TRIM(A1146))*(TRIM(Innings!D:D)=TRIM(E1146)),0))</f>
        <v>NA</v>
      </c>
      <c r="AF1146">
        <f>IF(UPPER(TRIM(E1146))=UPPER(TRIM(W1146)),1,0)</f>
        <v>0</v>
      </c>
      <c r="AG1146">
        <f t="shared" si="34"/>
        <v>34.6</v>
      </c>
    </row>
    <row r="1147" spans="1:33" x14ac:dyDescent="0.3">
      <c r="A1147" t="s">
        <v>470</v>
      </c>
      <c r="B1147">
        <v>3</v>
      </c>
      <c r="C1147" t="s">
        <v>174</v>
      </c>
      <c r="D1147" t="s">
        <v>175</v>
      </c>
      <c r="E1147" t="s">
        <v>159</v>
      </c>
      <c r="F1147" t="s">
        <v>169</v>
      </c>
      <c r="G1147" t="s">
        <v>92</v>
      </c>
      <c r="H1147">
        <v>90</v>
      </c>
      <c r="I1147">
        <v>56</v>
      </c>
      <c r="J1147">
        <v>160.71</v>
      </c>
      <c r="K1147" t="s">
        <v>96</v>
      </c>
      <c r="L1147">
        <v>110</v>
      </c>
      <c r="M1147">
        <v>2</v>
      </c>
      <c r="N1147">
        <v>0</v>
      </c>
      <c r="O1147">
        <v>10</v>
      </c>
      <c r="P1147">
        <v>1</v>
      </c>
      <c r="Q1147">
        <v>5</v>
      </c>
      <c r="R1147">
        <v>25</v>
      </c>
      <c r="S1147">
        <v>0</v>
      </c>
      <c r="T1147">
        <v>0</v>
      </c>
      <c r="U1147" s="8">
        <v>135</v>
      </c>
      <c r="V1147" s="8">
        <f t="shared" si="35"/>
        <v>10</v>
      </c>
      <c r="W1147" t="str">
        <f>_xlfn.XLOOKUP(A1147, Matches!A:A, Matches!L:L, "NA", 0)</f>
        <v>UPW</v>
      </c>
      <c r="X1147" t="str">
        <f>_xlfn.XLOOKUP(A1147, Matches!A:A, Matches!J:J, "NA", 0)</f>
        <v>UPW</v>
      </c>
      <c r="Y1147" t="str">
        <f>_xlfn.XLOOKUP(A1147, Matches!A:A, Matches!F:F, "NA", 0)</f>
        <v>M. Chinnaswamy Stadium</v>
      </c>
      <c r="Z1147" cm="1">
        <f t="array" ref="Z1147">INDEX(Innings!F:F,MATCH(1,(TRIM(Innings!A:A)=TRIM(A1147))*(TRIM(Innings!D:D)=TRIM(E1147)),0))</f>
        <v>180</v>
      </c>
      <c r="AA1147" cm="1">
        <f t="array" ref="AA1147">INDEX(Innings!I:I,MATCH(1,(TRIM(Innings!A:A)=TRIM(A1147))*(TRIM(Innings!D:D)=TRIM(E1147)),0))</f>
        <v>9</v>
      </c>
      <c r="AB1147" cm="1">
        <f t="array" ref="AB1147">INDEX(Innings!J:J,MATCH(1,(TRIM(Innings!A:A)=TRIM(A1147))*(TRIM(Innings!D:D)=TRIM(E1147)),0))</f>
        <v>42</v>
      </c>
      <c r="AC1147" cm="1">
        <f t="array" ref="AC1147">INDEX(Innings!N:N,MATCH(1,(TRIM(Innings!A:A)=TRIM(A1147))*(TRIM(Innings!D:D)=TRIM(E1147)),0))</f>
        <v>44</v>
      </c>
      <c r="AD1147" cm="1">
        <f t="array" ref="AD1147">INDEX(Innings!S:S,MATCH(1,(TRIM(Innings!A:A)=TRIM(A1147))*(TRIM(Innings!D:D)=TRIM(E1147)),0))</f>
        <v>45</v>
      </c>
      <c r="AE1147" t="str" cm="1">
        <f t="array" ref="AE1147">INDEX(Innings!W:W,MATCH(1,(TRIM(Innings!A:A)=TRIM(A1147))*(TRIM(Innings!D:D)=TRIM(E1147)),0))</f>
        <v>NA</v>
      </c>
      <c r="AF1147">
        <f>IF(UPPER(TRIM(E1147))=UPPER(TRIM(W1147)),1,0)</f>
        <v>0</v>
      </c>
      <c r="AG1147">
        <f t="shared" si="34"/>
        <v>70.5</v>
      </c>
    </row>
    <row r="1148" spans="1:33" x14ac:dyDescent="0.3">
      <c r="A1148" t="s">
        <v>470</v>
      </c>
      <c r="B1148">
        <v>3</v>
      </c>
      <c r="C1148" t="s">
        <v>490</v>
      </c>
      <c r="D1148" t="s">
        <v>497</v>
      </c>
      <c r="E1148" t="s">
        <v>159</v>
      </c>
      <c r="F1148" t="s">
        <v>169</v>
      </c>
      <c r="G1148" t="s">
        <v>104</v>
      </c>
      <c r="H1148">
        <v>0</v>
      </c>
      <c r="I1148">
        <v>0</v>
      </c>
      <c r="J1148">
        <v>0</v>
      </c>
      <c r="K1148" t="s">
        <v>104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 s="8">
        <v>0</v>
      </c>
      <c r="V1148" s="8">
        <f t="shared" si="35"/>
        <v>0</v>
      </c>
      <c r="W1148" t="str">
        <f>_xlfn.XLOOKUP(A1148, Matches!A:A, Matches!L:L, "NA", 0)</f>
        <v>UPW</v>
      </c>
      <c r="X1148" t="str">
        <f>_xlfn.XLOOKUP(A1148, Matches!A:A, Matches!J:J, "NA", 0)</f>
        <v>UPW</v>
      </c>
      <c r="Y1148" t="str">
        <f>_xlfn.XLOOKUP(A1148, Matches!A:A, Matches!F:F, "NA", 0)</f>
        <v>M. Chinnaswamy Stadium</v>
      </c>
      <c r="Z1148" cm="1">
        <f t="array" ref="Z1148">INDEX(Innings!F:F,MATCH(1,(TRIM(Innings!A:A)=TRIM(A1148))*(TRIM(Innings!D:D)=TRIM(E1148)),0))</f>
        <v>180</v>
      </c>
      <c r="AA1148" cm="1">
        <f t="array" ref="AA1148">INDEX(Innings!I:I,MATCH(1,(TRIM(Innings!A:A)=TRIM(A1148))*(TRIM(Innings!D:D)=TRIM(E1148)),0))</f>
        <v>9</v>
      </c>
      <c r="AB1148" cm="1">
        <f t="array" ref="AB1148">INDEX(Innings!J:J,MATCH(1,(TRIM(Innings!A:A)=TRIM(A1148))*(TRIM(Innings!D:D)=TRIM(E1148)),0))</f>
        <v>42</v>
      </c>
      <c r="AC1148" cm="1">
        <f t="array" ref="AC1148">INDEX(Innings!N:N,MATCH(1,(TRIM(Innings!A:A)=TRIM(A1148))*(TRIM(Innings!D:D)=TRIM(E1148)),0))</f>
        <v>44</v>
      </c>
      <c r="AD1148" cm="1">
        <f t="array" ref="AD1148">INDEX(Innings!S:S,MATCH(1,(TRIM(Innings!A:A)=TRIM(A1148))*(TRIM(Innings!D:D)=TRIM(E1148)),0))</f>
        <v>45</v>
      </c>
      <c r="AE1148" t="str" cm="1">
        <f t="array" ref="AE1148">INDEX(Innings!W:W,MATCH(1,(TRIM(Innings!A:A)=TRIM(A1148))*(TRIM(Innings!D:D)=TRIM(E1148)),0))</f>
        <v>NA</v>
      </c>
      <c r="AF1148">
        <f>IF(UPPER(TRIM(E1148))=UPPER(TRIM(W1148)),1,0)</f>
        <v>0</v>
      </c>
      <c r="AG1148">
        <f t="shared" si="34"/>
        <v>0</v>
      </c>
    </row>
    <row r="1149" spans="1:33" x14ac:dyDescent="0.3">
      <c r="A1149" t="s">
        <v>470</v>
      </c>
      <c r="B1149">
        <v>3</v>
      </c>
      <c r="C1149" t="s">
        <v>176</v>
      </c>
      <c r="D1149" t="s">
        <v>177</v>
      </c>
      <c r="E1149" t="s">
        <v>159</v>
      </c>
      <c r="F1149" t="s">
        <v>85</v>
      </c>
      <c r="G1149" t="s">
        <v>134</v>
      </c>
      <c r="H1149">
        <v>8</v>
      </c>
      <c r="I1149">
        <v>6</v>
      </c>
      <c r="J1149">
        <v>133.33000000000001</v>
      </c>
      <c r="K1149" t="s">
        <v>246</v>
      </c>
      <c r="L1149">
        <v>10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 s="8">
        <v>10</v>
      </c>
      <c r="V1149" s="8">
        <f t="shared" si="35"/>
        <v>1</v>
      </c>
      <c r="W1149" t="str">
        <f>_xlfn.XLOOKUP(A1149, Matches!A:A, Matches!L:L, "NA", 0)</f>
        <v>UPW</v>
      </c>
      <c r="X1149" t="str">
        <f>_xlfn.XLOOKUP(A1149, Matches!A:A, Matches!J:J, "NA", 0)</f>
        <v>UPW</v>
      </c>
      <c r="Y1149" t="str">
        <f>_xlfn.XLOOKUP(A1149, Matches!A:A, Matches!F:F, "NA", 0)</f>
        <v>M. Chinnaswamy Stadium</v>
      </c>
      <c r="Z1149" cm="1">
        <f t="array" ref="Z1149">INDEX(Innings!F:F,MATCH(1,(TRIM(Innings!A:A)=TRIM(A1149))*(TRIM(Innings!D:D)=TRIM(E1149)),0))</f>
        <v>180</v>
      </c>
      <c r="AA1149" cm="1">
        <f t="array" ref="AA1149">INDEX(Innings!I:I,MATCH(1,(TRIM(Innings!A:A)=TRIM(A1149))*(TRIM(Innings!D:D)=TRIM(E1149)),0))</f>
        <v>9</v>
      </c>
      <c r="AB1149" cm="1">
        <f t="array" ref="AB1149">INDEX(Innings!J:J,MATCH(1,(TRIM(Innings!A:A)=TRIM(A1149))*(TRIM(Innings!D:D)=TRIM(E1149)),0))</f>
        <v>42</v>
      </c>
      <c r="AC1149" cm="1">
        <f t="array" ref="AC1149">INDEX(Innings!N:N,MATCH(1,(TRIM(Innings!A:A)=TRIM(A1149))*(TRIM(Innings!D:D)=TRIM(E1149)),0))</f>
        <v>44</v>
      </c>
      <c r="AD1149" cm="1">
        <f t="array" ref="AD1149">INDEX(Innings!S:S,MATCH(1,(TRIM(Innings!A:A)=TRIM(A1149))*(TRIM(Innings!D:D)=TRIM(E1149)),0))</f>
        <v>45</v>
      </c>
      <c r="AE1149" t="str" cm="1">
        <f t="array" ref="AE1149">INDEX(Innings!W:W,MATCH(1,(TRIM(Innings!A:A)=TRIM(A1149))*(TRIM(Innings!D:D)=TRIM(E1149)),0))</f>
        <v>NA</v>
      </c>
      <c r="AF1149">
        <f>IF(UPPER(TRIM(E1149))=UPPER(TRIM(W1149)),1,0)</f>
        <v>0</v>
      </c>
      <c r="AG1149">
        <f t="shared" si="34"/>
        <v>5.3</v>
      </c>
    </row>
    <row r="1150" spans="1:33" x14ac:dyDescent="0.3">
      <c r="A1150" t="s">
        <v>470</v>
      </c>
      <c r="B1150">
        <v>3</v>
      </c>
      <c r="C1150" t="s">
        <v>178</v>
      </c>
      <c r="D1150" t="s">
        <v>179</v>
      </c>
      <c r="E1150" t="s">
        <v>159</v>
      </c>
      <c r="F1150" t="s">
        <v>169</v>
      </c>
      <c r="G1150" t="s">
        <v>134</v>
      </c>
      <c r="H1150">
        <v>5</v>
      </c>
      <c r="I1150">
        <v>3</v>
      </c>
      <c r="J1150">
        <v>166.67</v>
      </c>
      <c r="K1150" t="s">
        <v>256</v>
      </c>
      <c r="L1150">
        <v>5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 s="8">
        <v>5</v>
      </c>
      <c r="V1150" s="8">
        <f t="shared" si="35"/>
        <v>1</v>
      </c>
      <c r="W1150" t="str">
        <f>_xlfn.XLOOKUP(A1150, Matches!A:A, Matches!L:L, "NA", 0)</f>
        <v>UPW</v>
      </c>
      <c r="X1150" t="str">
        <f>_xlfn.XLOOKUP(A1150, Matches!A:A, Matches!J:J, "NA", 0)</f>
        <v>UPW</v>
      </c>
      <c r="Y1150" t="str">
        <f>_xlfn.XLOOKUP(A1150, Matches!A:A, Matches!F:F, "NA", 0)</f>
        <v>M. Chinnaswamy Stadium</v>
      </c>
      <c r="Z1150" cm="1">
        <f t="array" ref="Z1150">INDEX(Innings!F:F,MATCH(1,(TRIM(Innings!A:A)=TRIM(A1150))*(TRIM(Innings!D:D)=TRIM(E1150)),0))</f>
        <v>180</v>
      </c>
      <c r="AA1150" cm="1">
        <f t="array" ref="AA1150">INDEX(Innings!I:I,MATCH(1,(TRIM(Innings!A:A)=TRIM(A1150))*(TRIM(Innings!D:D)=TRIM(E1150)),0))</f>
        <v>9</v>
      </c>
      <c r="AB1150" cm="1">
        <f t="array" ref="AB1150">INDEX(Innings!J:J,MATCH(1,(TRIM(Innings!A:A)=TRIM(A1150))*(TRIM(Innings!D:D)=TRIM(E1150)),0))</f>
        <v>42</v>
      </c>
      <c r="AC1150" cm="1">
        <f t="array" ref="AC1150">INDEX(Innings!N:N,MATCH(1,(TRIM(Innings!A:A)=TRIM(A1150))*(TRIM(Innings!D:D)=TRIM(E1150)),0))</f>
        <v>44</v>
      </c>
      <c r="AD1150" cm="1">
        <f t="array" ref="AD1150">INDEX(Innings!S:S,MATCH(1,(TRIM(Innings!A:A)=TRIM(A1150))*(TRIM(Innings!D:D)=TRIM(E1150)),0))</f>
        <v>45</v>
      </c>
      <c r="AE1150" t="str" cm="1">
        <f t="array" ref="AE1150">INDEX(Innings!W:W,MATCH(1,(TRIM(Innings!A:A)=TRIM(A1150))*(TRIM(Innings!D:D)=TRIM(E1150)),0))</f>
        <v>NA</v>
      </c>
      <c r="AF1150">
        <f>IF(UPPER(TRIM(E1150))=UPPER(TRIM(W1150)),1,0)</f>
        <v>0</v>
      </c>
      <c r="AG1150">
        <f t="shared" si="34"/>
        <v>2.8</v>
      </c>
    </row>
    <row r="1151" spans="1:33" x14ac:dyDescent="0.3">
      <c r="A1151" t="s">
        <v>470</v>
      </c>
      <c r="B1151">
        <v>3</v>
      </c>
      <c r="C1151" t="s">
        <v>99</v>
      </c>
      <c r="D1151" t="s">
        <v>124</v>
      </c>
      <c r="E1151" t="s">
        <v>159</v>
      </c>
      <c r="F1151" t="s">
        <v>169</v>
      </c>
      <c r="G1151" t="s">
        <v>134</v>
      </c>
      <c r="H1151">
        <v>7</v>
      </c>
      <c r="I1151">
        <v>5</v>
      </c>
      <c r="J1151">
        <v>140</v>
      </c>
      <c r="K1151" t="s">
        <v>256</v>
      </c>
      <c r="L1151">
        <v>8</v>
      </c>
      <c r="M1151">
        <v>4</v>
      </c>
      <c r="N1151">
        <v>0</v>
      </c>
      <c r="O1151">
        <v>40</v>
      </c>
      <c r="P1151">
        <v>0</v>
      </c>
      <c r="Q1151">
        <v>10</v>
      </c>
      <c r="R1151">
        <v>0</v>
      </c>
      <c r="S1151">
        <v>0</v>
      </c>
      <c r="T1151">
        <v>0</v>
      </c>
      <c r="U1151" s="8">
        <v>8</v>
      </c>
      <c r="V1151" s="8">
        <f t="shared" si="35"/>
        <v>1</v>
      </c>
      <c r="W1151" t="str">
        <f>_xlfn.XLOOKUP(A1151, Matches!A:A, Matches!L:L, "NA", 0)</f>
        <v>UPW</v>
      </c>
      <c r="X1151" t="str">
        <f>_xlfn.XLOOKUP(A1151, Matches!A:A, Matches!J:J, "NA", 0)</f>
        <v>UPW</v>
      </c>
      <c r="Y1151" t="str">
        <f>_xlfn.XLOOKUP(A1151, Matches!A:A, Matches!F:F, "NA", 0)</f>
        <v>M. Chinnaswamy Stadium</v>
      </c>
      <c r="Z1151" cm="1">
        <f t="array" ref="Z1151">INDEX(Innings!F:F,MATCH(1,(TRIM(Innings!A:A)=TRIM(A1151))*(TRIM(Innings!D:D)=TRIM(E1151)),0))</f>
        <v>180</v>
      </c>
      <c r="AA1151" cm="1">
        <f t="array" ref="AA1151">INDEX(Innings!I:I,MATCH(1,(TRIM(Innings!A:A)=TRIM(A1151))*(TRIM(Innings!D:D)=TRIM(E1151)),0))</f>
        <v>9</v>
      </c>
      <c r="AB1151" cm="1">
        <f t="array" ref="AB1151">INDEX(Innings!J:J,MATCH(1,(TRIM(Innings!A:A)=TRIM(A1151))*(TRIM(Innings!D:D)=TRIM(E1151)),0))</f>
        <v>42</v>
      </c>
      <c r="AC1151" cm="1">
        <f t="array" ref="AC1151">INDEX(Innings!N:N,MATCH(1,(TRIM(Innings!A:A)=TRIM(A1151))*(TRIM(Innings!D:D)=TRIM(E1151)),0))</f>
        <v>44</v>
      </c>
      <c r="AD1151" cm="1">
        <f t="array" ref="AD1151">INDEX(Innings!S:S,MATCH(1,(TRIM(Innings!A:A)=TRIM(A1151))*(TRIM(Innings!D:D)=TRIM(E1151)),0))</f>
        <v>45</v>
      </c>
      <c r="AE1151" t="str" cm="1">
        <f t="array" ref="AE1151">INDEX(Innings!W:W,MATCH(1,(TRIM(Innings!A:A)=TRIM(A1151))*(TRIM(Innings!D:D)=TRIM(E1151)),0))</f>
        <v>NA</v>
      </c>
      <c r="AF1151">
        <f>IF(UPPER(TRIM(E1151))=UPPER(TRIM(W1151)),1,0)</f>
        <v>0</v>
      </c>
      <c r="AG1151">
        <f t="shared" si="34"/>
        <v>4.3</v>
      </c>
    </row>
    <row r="1152" spans="1:33" x14ac:dyDescent="0.3">
      <c r="A1152" t="s">
        <v>470</v>
      </c>
      <c r="B1152">
        <v>3</v>
      </c>
      <c r="C1152" t="s">
        <v>242</v>
      </c>
      <c r="D1152" t="s">
        <v>244</v>
      </c>
      <c r="E1152" t="s">
        <v>159</v>
      </c>
      <c r="F1152" t="s">
        <v>101</v>
      </c>
      <c r="G1152" t="s">
        <v>134</v>
      </c>
      <c r="H1152">
        <v>2</v>
      </c>
      <c r="I1152">
        <v>2</v>
      </c>
      <c r="J1152">
        <v>100</v>
      </c>
      <c r="K1152" t="s">
        <v>256</v>
      </c>
      <c r="L1152">
        <v>2</v>
      </c>
      <c r="M1152">
        <v>4</v>
      </c>
      <c r="N1152">
        <v>0</v>
      </c>
      <c r="O1152">
        <v>40</v>
      </c>
      <c r="P1152">
        <v>2</v>
      </c>
      <c r="Q1152">
        <v>10</v>
      </c>
      <c r="R1152">
        <v>50</v>
      </c>
      <c r="S1152">
        <v>0</v>
      </c>
      <c r="T1152">
        <v>0</v>
      </c>
      <c r="U1152" s="8">
        <v>52</v>
      </c>
      <c r="V1152" s="8">
        <f t="shared" si="35"/>
        <v>5</v>
      </c>
      <c r="W1152" t="str">
        <f>_xlfn.XLOOKUP(A1152, Matches!A:A, Matches!L:L, "NA", 0)</f>
        <v>UPW</v>
      </c>
      <c r="X1152" t="str">
        <f>_xlfn.XLOOKUP(A1152, Matches!A:A, Matches!J:J, "NA", 0)</f>
        <v>UPW</v>
      </c>
      <c r="Y1152" t="str">
        <f>_xlfn.XLOOKUP(A1152, Matches!A:A, Matches!F:F, "NA", 0)</f>
        <v>M. Chinnaswamy Stadium</v>
      </c>
      <c r="Z1152" cm="1">
        <f t="array" ref="Z1152">INDEX(Innings!F:F,MATCH(1,(TRIM(Innings!A:A)=TRIM(A1152))*(TRIM(Innings!D:D)=TRIM(E1152)),0))</f>
        <v>180</v>
      </c>
      <c r="AA1152" cm="1">
        <f t="array" ref="AA1152">INDEX(Innings!I:I,MATCH(1,(TRIM(Innings!A:A)=TRIM(A1152))*(TRIM(Innings!D:D)=TRIM(E1152)),0))</f>
        <v>9</v>
      </c>
      <c r="AB1152" cm="1">
        <f t="array" ref="AB1152">INDEX(Innings!J:J,MATCH(1,(TRIM(Innings!A:A)=TRIM(A1152))*(TRIM(Innings!D:D)=TRIM(E1152)),0))</f>
        <v>42</v>
      </c>
      <c r="AC1152" cm="1">
        <f t="array" ref="AC1152">INDEX(Innings!N:N,MATCH(1,(TRIM(Innings!A:A)=TRIM(A1152))*(TRIM(Innings!D:D)=TRIM(E1152)),0))</f>
        <v>44</v>
      </c>
      <c r="AD1152" cm="1">
        <f t="array" ref="AD1152">INDEX(Innings!S:S,MATCH(1,(TRIM(Innings!A:A)=TRIM(A1152))*(TRIM(Innings!D:D)=TRIM(E1152)),0))</f>
        <v>45</v>
      </c>
      <c r="AE1152" t="str" cm="1">
        <f t="array" ref="AE1152">INDEX(Innings!W:W,MATCH(1,(TRIM(Innings!A:A)=TRIM(A1152))*(TRIM(Innings!D:D)=TRIM(E1152)),0))</f>
        <v>NA</v>
      </c>
      <c r="AF1152">
        <f>IF(UPPER(TRIM(E1152))=UPPER(TRIM(W1152)),1,0)</f>
        <v>0</v>
      </c>
      <c r="AG1152">
        <f t="shared" si="34"/>
        <v>27.5</v>
      </c>
    </row>
    <row r="1153" spans="1:33" x14ac:dyDescent="0.3">
      <c r="A1153" t="s">
        <v>470</v>
      </c>
      <c r="B1153">
        <v>3</v>
      </c>
      <c r="C1153" t="s">
        <v>102</v>
      </c>
      <c r="D1153" t="s">
        <v>126</v>
      </c>
      <c r="E1153" t="s">
        <v>159</v>
      </c>
      <c r="F1153" t="s">
        <v>169</v>
      </c>
      <c r="G1153" t="s">
        <v>104</v>
      </c>
      <c r="H1153">
        <v>0</v>
      </c>
      <c r="I1153">
        <v>0</v>
      </c>
      <c r="J1153">
        <v>0</v>
      </c>
      <c r="K1153" t="s">
        <v>104</v>
      </c>
      <c r="L1153">
        <v>0</v>
      </c>
      <c r="M1153">
        <v>3</v>
      </c>
      <c r="N1153">
        <v>0</v>
      </c>
      <c r="O1153">
        <v>27</v>
      </c>
      <c r="P1153">
        <v>3</v>
      </c>
      <c r="Q1153">
        <v>9</v>
      </c>
      <c r="R1153">
        <v>75</v>
      </c>
      <c r="S1153">
        <v>0</v>
      </c>
      <c r="T1153">
        <v>0</v>
      </c>
      <c r="U1153" s="8">
        <v>75</v>
      </c>
      <c r="V1153" s="8">
        <f t="shared" si="35"/>
        <v>8</v>
      </c>
      <c r="W1153" t="str">
        <f>_xlfn.XLOOKUP(A1153, Matches!A:A, Matches!L:L, "NA", 0)</f>
        <v>UPW</v>
      </c>
      <c r="X1153" t="str">
        <f>_xlfn.XLOOKUP(A1153, Matches!A:A, Matches!J:J, "NA", 0)</f>
        <v>UPW</v>
      </c>
      <c r="Y1153" t="str">
        <f>_xlfn.XLOOKUP(A1153, Matches!A:A, Matches!F:F, "NA", 0)</f>
        <v>M. Chinnaswamy Stadium</v>
      </c>
      <c r="Z1153" cm="1">
        <f t="array" ref="Z1153">INDEX(Innings!F:F,MATCH(1,(TRIM(Innings!A:A)=TRIM(A1153))*(TRIM(Innings!D:D)=TRIM(E1153)),0))</f>
        <v>180</v>
      </c>
      <c r="AA1153" cm="1">
        <f t="array" ref="AA1153">INDEX(Innings!I:I,MATCH(1,(TRIM(Innings!A:A)=TRIM(A1153))*(TRIM(Innings!D:D)=TRIM(E1153)),0))</f>
        <v>9</v>
      </c>
      <c r="AB1153" cm="1">
        <f t="array" ref="AB1153">INDEX(Innings!J:J,MATCH(1,(TRIM(Innings!A:A)=TRIM(A1153))*(TRIM(Innings!D:D)=TRIM(E1153)),0))</f>
        <v>42</v>
      </c>
      <c r="AC1153" cm="1">
        <f t="array" ref="AC1153">INDEX(Innings!N:N,MATCH(1,(TRIM(Innings!A:A)=TRIM(A1153))*(TRIM(Innings!D:D)=TRIM(E1153)),0))</f>
        <v>44</v>
      </c>
      <c r="AD1153" cm="1">
        <f t="array" ref="AD1153">INDEX(Innings!S:S,MATCH(1,(TRIM(Innings!A:A)=TRIM(A1153))*(TRIM(Innings!D:D)=TRIM(E1153)),0))</f>
        <v>45</v>
      </c>
      <c r="AE1153" t="str" cm="1">
        <f t="array" ref="AE1153">INDEX(Innings!W:W,MATCH(1,(TRIM(Innings!A:A)=TRIM(A1153))*(TRIM(Innings!D:D)=TRIM(E1153)),0))</f>
        <v>NA</v>
      </c>
      <c r="AF1153">
        <f>IF(UPPER(TRIM(E1153))=UPPER(TRIM(W1153)),1,0)</f>
        <v>0</v>
      </c>
      <c r="AG1153">
        <f t="shared" ref="AG1153:AG1216" si="36">(0.5*MAX(0,U1153) + 0.3*MAX(0,V1153) + 0.2*AF1153*100)</f>
        <v>39.9</v>
      </c>
    </row>
    <row r="1154" spans="1:33" x14ac:dyDescent="0.3">
      <c r="A1154" t="s">
        <v>470</v>
      </c>
      <c r="B1154">
        <v>3</v>
      </c>
      <c r="C1154" t="s">
        <v>429</v>
      </c>
      <c r="D1154" t="s">
        <v>430</v>
      </c>
      <c r="E1154" t="s">
        <v>159</v>
      </c>
      <c r="F1154" t="s">
        <v>101</v>
      </c>
      <c r="G1154" t="s">
        <v>104</v>
      </c>
      <c r="H1154">
        <v>0</v>
      </c>
      <c r="I1154">
        <v>0</v>
      </c>
      <c r="J1154">
        <v>0</v>
      </c>
      <c r="K1154" t="s">
        <v>104</v>
      </c>
      <c r="L1154">
        <v>0</v>
      </c>
      <c r="M1154">
        <v>3</v>
      </c>
      <c r="N1154">
        <v>0</v>
      </c>
      <c r="O1154">
        <v>26</v>
      </c>
      <c r="P1154">
        <v>0</v>
      </c>
      <c r="Q1154">
        <v>8.6999999999999993</v>
      </c>
      <c r="R1154">
        <v>0</v>
      </c>
      <c r="S1154">
        <v>0</v>
      </c>
      <c r="T1154">
        <v>0</v>
      </c>
      <c r="U1154" s="8">
        <v>0</v>
      </c>
      <c r="V1154" s="8">
        <f t="shared" si="35"/>
        <v>0</v>
      </c>
      <c r="W1154" t="str">
        <f>_xlfn.XLOOKUP(A1154, Matches!A:A, Matches!L:L, "NA", 0)</f>
        <v>UPW</v>
      </c>
      <c r="X1154" t="str">
        <f>_xlfn.XLOOKUP(A1154, Matches!A:A, Matches!J:J, "NA", 0)</f>
        <v>UPW</v>
      </c>
      <c r="Y1154" t="str">
        <f>_xlfn.XLOOKUP(A1154, Matches!A:A, Matches!F:F, "NA", 0)</f>
        <v>M. Chinnaswamy Stadium</v>
      </c>
      <c r="Z1154" cm="1">
        <f t="array" ref="Z1154">INDEX(Innings!F:F,MATCH(1,(TRIM(Innings!A:A)=TRIM(A1154))*(TRIM(Innings!D:D)=TRIM(E1154)),0))</f>
        <v>180</v>
      </c>
      <c r="AA1154" cm="1">
        <f t="array" ref="AA1154">INDEX(Innings!I:I,MATCH(1,(TRIM(Innings!A:A)=TRIM(A1154))*(TRIM(Innings!D:D)=TRIM(E1154)),0))</f>
        <v>9</v>
      </c>
      <c r="AB1154" cm="1">
        <f t="array" ref="AB1154">INDEX(Innings!J:J,MATCH(1,(TRIM(Innings!A:A)=TRIM(A1154))*(TRIM(Innings!D:D)=TRIM(E1154)),0))</f>
        <v>42</v>
      </c>
      <c r="AC1154" cm="1">
        <f t="array" ref="AC1154">INDEX(Innings!N:N,MATCH(1,(TRIM(Innings!A:A)=TRIM(A1154))*(TRIM(Innings!D:D)=TRIM(E1154)),0))</f>
        <v>44</v>
      </c>
      <c r="AD1154" cm="1">
        <f t="array" ref="AD1154">INDEX(Innings!S:S,MATCH(1,(TRIM(Innings!A:A)=TRIM(A1154))*(TRIM(Innings!D:D)=TRIM(E1154)),0))</f>
        <v>45</v>
      </c>
      <c r="AE1154" t="str" cm="1">
        <f t="array" ref="AE1154">INDEX(Innings!W:W,MATCH(1,(TRIM(Innings!A:A)=TRIM(A1154))*(TRIM(Innings!D:D)=TRIM(E1154)),0))</f>
        <v>NA</v>
      </c>
      <c r="AF1154">
        <f>IF(UPPER(TRIM(E1154))=UPPER(TRIM(W1154)),1,0)</f>
        <v>0</v>
      </c>
      <c r="AG1154">
        <f t="shared" si="36"/>
        <v>0</v>
      </c>
    </row>
    <row r="1155" spans="1:33" x14ac:dyDescent="0.3">
      <c r="A1155" t="s">
        <v>470</v>
      </c>
      <c r="B1155">
        <v>3</v>
      </c>
      <c r="C1155" t="s">
        <v>186</v>
      </c>
      <c r="D1155" t="s">
        <v>187</v>
      </c>
      <c r="E1155" t="s">
        <v>159</v>
      </c>
      <c r="F1155" t="s">
        <v>101</v>
      </c>
      <c r="G1155" t="s">
        <v>104</v>
      </c>
      <c r="H1155">
        <v>0</v>
      </c>
      <c r="I1155">
        <v>0</v>
      </c>
      <c r="J1155">
        <v>0</v>
      </c>
      <c r="K1155" t="s">
        <v>104</v>
      </c>
      <c r="L1155">
        <v>0</v>
      </c>
      <c r="M1155">
        <v>4</v>
      </c>
      <c r="N1155">
        <v>0</v>
      </c>
      <c r="O1155">
        <v>36</v>
      </c>
      <c r="P1155">
        <v>2</v>
      </c>
      <c r="Q1155">
        <v>9</v>
      </c>
      <c r="R1155">
        <v>50</v>
      </c>
      <c r="S1155">
        <v>0</v>
      </c>
      <c r="T1155">
        <v>0</v>
      </c>
      <c r="U1155" s="8">
        <v>50</v>
      </c>
      <c r="V1155" s="8">
        <f t="shared" ref="V1155:V1218" si="37">MIN(10, MAX(0, ROUND(U1155/10,0)))</f>
        <v>5</v>
      </c>
      <c r="W1155" t="str">
        <f>_xlfn.XLOOKUP(A1155, Matches!A:A, Matches!L:L, "NA", 0)</f>
        <v>UPW</v>
      </c>
      <c r="X1155" t="str">
        <f>_xlfn.XLOOKUP(A1155, Matches!A:A, Matches!J:J, "NA", 0)</f>
        <v>UPW</v>
      </c>
      <c r="Y1155" t="str">
        <f>_xlfn.XLOOKUP(A1155, Matches!A:A, Matches!F:F, "NA", 0)</f>
        <v>M. Chinnaswamy Stadium</v>
      </c>
      <c r="Z1155" cm="1">
        <f t="array" ref="Z1155">INDEX(Innings!F:F,MATCH(1,(TRIM(Innings!A:A)=TRIM(A1155))*(TRIM(Innings!D:D)=TRIM(E1155)),0))</f>
        <v>180</v>
      </c>
      <c r="AA1155" cm="1">
        <f t="array" ref="AA1155">INDEX(Innings!I:I,MATCH(1,(TRIM(Innings!A:A)=TRIM(A1155))*(TRIM(Innings!D:D)=TRIM(E1155)),0))</f>
        <v>9</v>
      </c>
      <c r="AB1155" cm="1">
        <f t="array" ref="AB1155">INDEX(Innings!J:J,MATCH(1,(TRIM(Innings!A:A)=TRIM(A1155))*(TRIM(Innings!D:D)=TRIM(E1155)),0))</f>
        <v>42</v>
      </c>
      <c r="AC1155" cm="1">
        <f t="array" ref="AC1155">INDEX(Innings!N:N,MATCH(1,(TRIM(Innings!A:A)=TRIM(A1155))*(TRIM(Innings!D:D)=TRIM(E1155)),0))</f>
        <v>44</v>
      </c>
      <c r="AD1155" cm="1">
        <f t="array" ref="AD1155">INDEX(Innings!S:S,MATCH(1,(TRIM(Innings!A:A)=TRIM(A1155))*(TRIM(Innings!D:D)=TRIM(E1155)),0))</f>
        <v>45</v>
      </c>
      <c r="AE1155" t="str" cm="1">
        <f t="array" ref="AE1155">INDEX(Innings!W:W,MATCH(1,(TRIM(Innings!A:A)=TRIM(A1155))*(TRIM(Innings!D:D)=TRIM(E1155)),0))</f>
        <v>NA</v>
      </c>
      <c r="AF1155">
        <f>IF(UPPER(TRIM(E1155))=UPPER(TRIM(W1155)),1,0)</f>
        <v>0</v>
      </c>
      <c r="AG1155">
        <f t="shared" si="36"/>
        <v>26.5</v>
      </c>
    </row>
    <row r="1156" spans="1:33" x14ac:dyDescent="0.3">
      <c r="A1156" t="s">
        <v>470</v>
      </c>
      <c r="B1156">
        <v>3</v>
      </c>
      <c r="C1156" t="s">
        <v>229</v>
      </c>
      <c r="D1156" t="s">
        <v>230</v>
      </c>
      <c r="E1156" t="s">
        <v>219</v>
      </c>
      <c r="F1156" t="s">
        <v>109</v>
      </c>
      <c r="G1156" t="s">
        <v>86</v>
      </c>
      <c r="H1156">
        <v>24</v>
      </c>
      <c r="I1156">
        <v>12</v>
      </c>
      <c r="J1156">
        <v>200</v>
      </c>
      <c r="K1156" t="s">
        <v>245</v>
      </c>
      <c r="L1156">
        <v>30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 s="8">
        <v>30</v>
      </c>
      <c r="V1156" s="8">
        <f t="shared" si="37"/>
        <v>3</v>
      </c>
      <c r="W1156" t="str">
        <f>_xlfn.XLOOKUP(A1156, Matches!A:A, Matches!L:L, "NA", 0)</f>
        <v>UPW</v>
      </c>
      <c r="X1156" t="str">
        <f>_xlfn.XLOOKUP(A1156, Matches!A:A, Matches!J:J, "NA", 0)</f>
        <v>UPW</v>
      </c>
      <c r="Y1156" t="str">
        <f>_xlfn.XLOOKUP(A1156, Matches!A:A, Matches!F:F, "NA", 0)</f>
        <v>M. Chinnaswamy Stadium</v>
      </c>
      <c r="Z1156" cm="1">
        <f t="array" ref="Z1156">INDEX(Innings!F:F,MATCH(1,(TRIM(Innings!A:A)=TRIM(A1156))*(TRIM(Innings!D:D)=TRIM(E1156)),0))</f>
        <v>190</v>
      </c>
      <c r="AA1156" cm="1">
        <f t="array" ref="AA1156">INDEX(Innings!I:I,MATCH(1,(TRIM(Innings!A:A)=TRIM(A1156))*(TRIM(Innings!D:D)=TRIM(E1156)),0))</f>
        <v>9</v>
      </c>
      <c r="AB1156" cm="1">
        <f t="array" ref="AB1156">INDEX(Innings!J:J,MATCH(1,(TRIM(Innings!A:A)=TRIM(A1156))*(TRIM(Innings!D:D)=TRIM(E1156)),0))</f>
        <v>57</v>
      </c>
      <c r="AC1156" cm="1">
        <f t="array" ref="AC1156">INDEX(Innings!N:N,MATCH(1,(TRIM(Innings!A:A)=TRIM(A1156))*(TRIM(Innings!D:D)=TRIM(E1156)),0))</f>
        <v>47</v>
      </c>
      <c r="AD1156" cm="1">
        <f t="array" ref="AD1156">INDEX(Innings!S:S,MATCH(1,(TRIM(Innings!A:A)=TRIM(A1156))*(TRIM(Innings!D:D)=TRIM(E1156)),0))</f>
        <v>53</v>
      </c>
      <c r="AE1156" t="str" cm="1">
        <f t="array" ref="AE1156">INDEX(Innings!W:W,MATCH(1,(TRIM(Innings!A:A)=TRIM(A1156))*(TRIM(Innings!D:D)=TRIM(E1156)),0))</f>
        <v>Successful</v>
      </c>
      <c r="AF1156">
        <f>IF(UPPER(TRIM(E1156))=UPPER(TRIM(W1156)),1,0)</f>
        <v>1</v>
      </c>
      <c r="AG1156">
        <f t="shared" si="36"/>
        <v>35.9</v>
      </c>
    </row>
    <row r="1157" spans="1:33" x14ac:dyDescent="0.3">
      <c r="A1157" t="s">
        <v>470</v>
      </c>
      <c r="B1157">
        <v>3</v>
      </c>
      <c r="C1157" t="s">
        <v>375</v>
      </c>
      <c r="D1157" t="s">
        <v>376</v>
      </c>
      <c r="E1157" t="s">
        <v>219</v>
      </c>
      <c r="F1157" t="s">
        <v>109</v>
      </c>
      <c r="G1157" t="s">
        <v>86</v>
      </c>
      <c r="H1157">
        <v>14</v>
      </c>
      <c r="I1157">
        <v>10</v>
      </c>
      <c r="J1157">
        <v>140</v>
      </c>
      <c r="K1157" t="s">
        <v>246</v>
      </c>
      <c r="L1157">
        <v>15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 s="8">
        <v>15</v>
      </c>
      <c r="V1157" s="8">
        <f t="shared" si="37"/>
        <v>2</v>
      </c>
      <c r="W1157" t="str">
        <f>_xlfn.XLOOKUP(A1157, Matches!A:A, Matches!L:L, "NA", 0)</f>
        <v>UPW</v>
      </c>
      <c r="X1157" t="str">
        <f>_xlfn.XLOOKUP(A1157, Matches!A:A, Matches!J:J, "NA", 0)</f>
        <v>UPW</v>
      </c>
      <c r="Y1157" t="str">
        <f>_xlfn.XLOOKUP(A1157, Matches!A:A, Matches!F:F, "NA", 0)</f>
        <v>M. Chinnaswamy Stadium</v>
      </c>
      <c r="Z1157" cm="1">
        <f t="array" ref="Z1157">INDEX(Innings!F:F,MATCH(1,(TRIM(Innings!A:A)=TRIM(A1157))*(TRIM(Innings!D:D)=TRIM(E1157)),0))</f>
        <v>190</v>
      </c>
      <c r="AA1157" cm="1">
        <f t="array" ref="AA1157">INDEX(Innings!I:I,MATCH(1,(TRIM(Innings!A:A)=TRIM(A1157))*(TRIM(Innings!D:D)=TRIM(E1157)),0))</f>
        <v>9</v>
      </c>
      <c r="AB1157" cm="1">
        <f t="array" ref="AB1157">INDEX(Innings!J:J,MATCH(1,(TRIM(Innings!A:A)=TRIM(A1157))*(TRIM(Innings!D:D)=TRIM(E1157)),0))</f>
        <v>57</v>
      </c>
      <c r="AC1157" cm="1">
        <f t="array" ref="AC1157">INDEX(Innings!N:N,MATCH(1,(TRIM(Innings!A:A)=TRIM(A1157))*(TRIM(Innings!D:D)=TRIM(E1157)),0))</f>
        <v>47</v>
      </c>
      <c r="AD1157" cm="1">
        <f t="array" ref="AD1157">INDEX(Innings!S:S,MATCH(1,(TRIM(Innings!A:A)=TRIM(A1157))*(TRIM(Innings!D:D)=TRIM(E1157)),0))</f>
        <v>53</v>
      </c>
      <c r="AE1157" t="str" cm="1">
        <f t="array" ref="AE1157">INDEX(Innings!W:W,MATCH(1,(TRIM(Innings!A:A)=TRIM(A1157))*(TRIM(Innings!D:D)=TRIM(E1157)),0))</f>
        <v>Successful</v>
      </c>
      <c r="AF1157">
        <f>IF(UPPER(TRIM(E1157))=UPPER(TRIM(W1157)),1,0)</f>
        <v>1</v>
      </c>
      <c r="AG1157">
        <f t="shared" si="36"/>
        <v>28.1</v>
      </c>
    </row>
    <row r="1158" spans="1:33" x14ac:dyDescent="0.3">
      <c r="A1158" t="s">
        <v>470</v>
      </c>
      <c r="B1158">
        <v>3</v>
      </c>
      <c r="C1158" t="s">
        <v>224</v>
      </c>
      <c r="D1158" t="s">
        <v>225</v>
      </c>
      <c r="E1158" t="s">
        <v>219</v>
      </c>
      <c r="F1158" t="s">
        <v>169</v>
      </c>
      <c r="G1158" t="s">
        <v>92</v>
      </c>
      <c r="H1158">
        <v>25</v>
      </c>
      <c r="I1158">
        <v>13</v>
      </c>
      <c r="J1158">
        <v>192.31</v>
      </c>
      <c r="K1158" t="s">
        <v>246</v>
      </c>
      <c r="L1158">
        <v>30</v>
      </c>
      <c r="M1158">
        <v>4</v>
      </c>
      <c r="N1158">
        <v>0</v>
      </c>
      <c r="O1158">
        <v>42</v>
      </c>
      <c r="P1158">
        <v>1</v>
      </c>
      <c r="Q1158">
        <v>10.5</v>
      </c>
      <c r="R1158">
        <v>25</v>
      </c>
      <c r="S1158">
        <v>0</v>
      </c>
      <c r="T1158">
        <v>0</v>
      </c>
      <c r="U1158" s="8">
        <v>55</v>
      </c>
      <c r="V1158" s="8">
        <f t="shared" si="37"/>
        <v>6</v>
      </c>
      <c r="W1158" t="str">
        <f>_xlfn.XLOOKUP(A1158, Matches!A:A, Matches!L:L, "NA", 0)</f>
        <v>UPW</v>
      </c>
      <c r="X1158" t="str">
        <f>_xlfn.XLOOKUP(A1158, Matches!A:A, Matches!J:J, "NA", 0)</f>
        <v>UPW</v>
      </c>
      <c r="Y1158" t="str">
        <f>_xlfn.XLOOKUP(A1158, Matches!A:A, Matches!F:F, "NA", 0)</f>
        <v>M. Chinnaswamy Stadium</v>
      </c>
      <c r="Z1158" cm="1">
        <f t="array" ref="Z1158">INDEX(Innings!F:F,MATCH(1,(TRIM(Innings!A:A)=TRIM(A1158))*(TRIM(Innings!D:D)=TRIM(E1158)),0))</f>
        <v>190</v>
      </c>
      <c r="AA1158" cm="1">
        <f t="array" ref="AA1158">INDEX(Innings!I:I,MATCH(1,(TRIM(Innings!A:A)=TRIM(A1158))*(TRIM(Innings!D:D)=TRIM(E1158)),0))</f>
        <v>9</v>
      </c>
      <c r="AB1158" cm="1">
        <f t="array" ref="AB1158">INDEX(Innings!J:J,MATCH(1,(TRIM(Innings!A:A)=TRIM(A1158))*(TRIM(Innings!D:D)=TRIM(E1158)),0))</f>
        <v>57</v>
      </c>
      <c r="AC1158" cm="1">
        <f t="array" ref="AC1158">INDEX(Innings!N:N,MATCH(1,(TRIM(Innings!A:A)=TRIM(A1158))*(TRIM(Innings!D:D)=TRIM(E1158)),0))</f>
        <v>47</v>
      </c>
      <c r="AD1158" cm="1">
        <f t="array" ref="AD1158">INDEX(Innings!S:S,MATCH(1,(TRIM(Innings!A:A)=TRIM(A1158))*(TRIM(Innings!D:D)=TRIM(E1158)),0))</f>
        <v>53</v>
      </c>
      <c r="AE1158" t="str" cm="1">
        <f t="array" ref="AE1158">INDEX(Innings!W:W,MATCH(1,(TRIM(Innings!A:A)=TRIM(A1158))*(TRIM(Innings!D:D)=TRIM(E1158)),0))</f>
        <v>Successful</v>
      </c>
      <c r="AF1158">
        <f>IF(UPPER(TRIM(E1158))=UPPER(TRIM(W1158)),1,0)</f>
        <v>1</v>
      </c>
      <c r="AG1158">
        <f t="shared" si="36"/>
        <v>49.3</v>
      </c>
    </row>
    <row r="1159" spans="1:33" x14ac:dyDescent="0.3">
      <c r="A1159" t="s">
        <v>470</v>
      </c>
      <c r="B1159">
        <v>3</v>
      </c>
      <c r="C1159" t="s">
        <v>222</v>
      </c>
      <c r="D1159" t="s">
        <v>223</v>
      </c>
      <c r="E1159" t="s">
        <v>219</v>
      </c>
      <c r="F1159" t="s">
        <v>169</v>
      </c>
      <c r="G1159" t="s">
        <v>92</v>
      </c>
      <c r="H1159">
        <v>0</v>
      </c>
      <c r="I1159">
        <v>4</v>
      </c>
      <c r="J1159">
        <v>0</v>
      </c>
      <c r="K1159" t="s">
        <v>248</v>
      </c>
      <c r="L1159">
        <v>0</v>
      </c>
      <c r="M1159">
        <v>3</v>
      </c>
      <c r="N1159">
        <v>0</v>
      </c>
      <c r="O1159">
        <v>30</v>
      </c>
      <c r="P1159">
        <v>1</v>
      </c>
      <c r="Q1159">
        <v>10</v>
      </c>
      <c r="R1159">
        <v>25</v>
      </c>
      <c r="S1159">
        <v>0</v>
      </c>
      <c r="T1159">
        <v>0</v>
      </c>
      <c r="U1159" s="8">
        <v>25</v>
      </c>
      <c r="V1159" s="8">
        <f t="shared" si="37"/>
        <v>3</v>
      </c>
      <c r="W1159" t="str">
        <f>_xlfn.XLOOKUP(A1159, Matches!A:A, Matches!L:L, "NA", 0)</f>
        <v>UPW</v>
      </c>
      <c r="X1159" t="str">
        <f>_xlfn.XLOOKUP(A1159, Matches!A:A, Matches!J:J, "NA", 0)</f>
        <v>UPW</v>
      </c>
      <c r="Y1159" t="str">
        <f>_xlfn.XLOOKUP(A1159, Matches!A:A, Matches!F:F, "NA", 0)</f>
        <v>M. Chinnaswamy Stadium</v>
      </c>
      <c r="Z1159" cm="1">
        <f t="array" ref="Z1159">INDEX(Innings!F:F,MATCH(1,(TRIM(Innings!A:A)=TRIM(A1159))*(TRIM(Innings!D:D)=TRIM(E1159)),0))</f>
        <v>190</v>
      </c>
      <c r="AA1159" cm="1">
        <f t="array" ref="AA1159">INDEX(Innings!I:I,MATCH(1,(TRIM(Innings!A:A)=TRIM(A1159))*(TRIM(Innings!D:D)=TRIM(E1159)),0))</f>
        <v>9</v>
      </c>
      <c r="AB1159" cm="1">
        <f t="array" ref="AB1159">INDEX(Innings!J:J,MATCH(1,(TRIM(Innings!A:A)=TRIM(A1159))*(TRIM(Innings!D:D)=TRIM(E1159)),0))</f>
        <v>57</v>
      </c>
      <c r="AC1159" cm="1">
        <f t="array" ref="AC1159">INDEX(Innings!N:N,MATCH(1,(TRIM(Innings!A:A)=TRIM(A1159))*(TRIM(Innings!D:D)=TRIM(E1159)),0))</f>
        <v>47</v>
      </c>
      <c r="AD1159" cm="1">
        <f t="array" ref="AD1159">INDEX(Innings!S:S,MATCH(1,(TRIM(Innings!A:A)=TRIM(A1159))*(TRIM(Innings!D:D)=TRIM(E1159)),0))</f>
        <v>53</v>
      </c>
      <c r="AE1159" t="str" cm="1">
        <f t="array" ref="AE1159">INDEX(Innings!W:W,MATCH(1,(TRIM(Innings!A:A)=TRIM(A1159))*(TRIM(Innings!D:D)=TRIM(E1159)),0))</f>
        <v>Successful</v>
      </c>
      <c r="AF1159">
        <f>IF(UPPER(TRIM(E1159))=UPPER(TRIM(W1159)),1,0)</f>
        <v>1</v>
      </c>
      <c r="AG1159">
        <f t="shared" si="36"/>
        <v>33.4</v>
      </c>
    </row>
    <row r="1160" spans="1:33" x14ac:dyDescent="0.3">
      <c r="A1160" t="s">
        <v>470</v>
      </c>
      <c r="B1160">
        <v>3</v>
      </c>
      <c r="C1160" t="s">
        <v>220</v>
      </c>
      <c r="D1160" t="s">
        <v>221</v>
      </c>
      <c r="E1160" t="s">
        <v>219</v>
      </c>
      <c r="F1160" t="s">
        <v>109</v>
      </c>
      <c r="G1160" t="s">
        <v>134</v>
      </c>
      <c r="H1160">
        <v>31</v>
      </c>
      <c r="I1160">
        <v>25</v>
      </c>
      <c r="J1160">
        <v>124</v>
      </c>
      <c r="K1160" t="s">
        <v>246</v>
      </c>
      <c r="L1160">
        <v>35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 s="8">
        <v>35</v>
      </c>
      <c r="V1160" s="8">
        <f t="shared" si="37"/>
        <v>4</v>
      </c>
      <c r="W1160" t="str">
        <f>_xlfn.XLOOKUP(A1160, Matches!A:A, Matches!L:L, "NA", 0)</f>
        <v>UPW</v>
      </c>
      <c r="X1160" t="str">
        <f>_xlfn.XLOOKUP(A1160, Matches!A:A, Matches!J:J, "NA", 0)</f>
        <v>UPW</v>
      </c>
      <c r="Y1160" t="str">
        <f>_xlfn.XLOOKUP(A1160, Matches!A:A, Matches!F:F, "NA", 0)</f>
        <v>M. Chinnaswamy Stadium</v>
      </c>
      <c r="Z1160" cm="1">
        <f t="array" ref="Z1160">INDEX(Innings!F:F,MATCH(1,(TRIM(Innings!A:A)=TRIM(A1160))*(TRIM(Innings!D:D)=TRIM(E1160)),0))</f>
        <v>190</v>
      </c>
      <c r="AA1160" cm="1">
        <f t="array" ref="AA1160">INDEX(Innings!I:I,MATCH(1,(TRIM(Innings!A:A)=TRIM(A1160))*(TRIM(Innings!D:D)=TRIM(E1160)),0))</f>
        <v>9</v>
      </c>
      <c r="AB1160" cm="1">
        <f t="array" ref="AB1160">INDEX(Innings!J:J,MATCH(1,(TRIM(Innings!A:A)=TRIM(A1160))*(TRIM(Innings!D:D)=TRIM(E1160)),0))</f>
        <v>57</v>
      </c>
      <c r="AC1160" cm="1">
        <f t="array" ref="AC1160">INDEX(Innings!N:N,MATCH(1,(TRIM(Innings!A:A)=TRIM(A1160))*(TRIM(Innings!D:D)=TRIM(E1160)),0))</f>
        <v>47</v>
      </c>
      <c r="AD1160" cm="1">
        <f t="array" ref="AD1160">INDEX(Innings!S:S,MATCH(1,(TRIM(Innings!A:A)=TRIM(A1160))*(TRIM(Innings!D:D)=TRIM(E1160)),0))</f>
        <v>53</v>
      </c>
      <c r="AE1160" t="str" cm="1">
        <f t="array" ref="AE1160">INDEX(Innings!W:W,MATCH(1,(TRIM(Innings!A:A)=TRIM(A1160))*(TRIM(Innings!D:D)=TRIM(E1160)),0))</f>
        <v>Successful</v>
      </c>
      <c r="AF1160">
        <f>IF(UPPER(TRIM(E1160))=UPPER(TRIM(W1160)),1,0)</f>
        <v>1</v>
      </c>
      <c r="AG1160">
        <f t="shared" si="36"/>
        <v>38.700000000000003</v>
      </c>
    </row>
    <row r="1161" spans="1:33" x14ac:dyDescent="0.3">
      <c r="A1161" t="s">
        <v>470</v>
      </c>
      <c r="B1161">
        <v>3</v>
      </c>
      <c r="C1161" t="s">
        <v>226</v>
      </c>
      <c r="D1161" t="s">
        <v>211</v>
      </c>
      <c r="E1161" t="s">
        <v>219</v>
      </c>
      <c r="F1161" t="s">
        <v>169</v>
      </c>
      <c r="G1161" t="s">
        <v>134</v>
      </c>
      <c r="H1161">
        <v>8</v>
      </c>
      <c r="I1161">
        <v>10</v>
      </c>
      <c r="J1161">
        <v>80</v>
      </c>
      <c r="K1161" t="s">
        <v>246</v>
      </c>
      <c r="L1161">
        <v>10</v>
      </c>
      <c r="M1161">
        <v>1</v>
      </c>
      <c r="N1161">
        <v>0</v>
      </c>
      <c r="O1161">
        <v>11</v>
      </c>
      <c r="P1161">
        <v>0</v>
      </c>
      <c r="Q1161">
        <v>11</v>
      </c>
      <c r="R1161">
        <v>0</v>
      </c>
      <c r="S1161">
        <v>0</v>
      </c>
      <c r="T1161">
        <v>0</v>
      </c>
      <c r="U1161" s="8">
        <v>10</v>
      </c>
      <c r="V1161" s="8">
        <f t="shared" si="37"/>
        <v>1</v>
      </c>
      <c r="W1161" t="str">
        <f>_xlfn.XLOOKUP(A1161, Matches!A:A, Matches!L:L, "NA", 0)</f>
        <v>UPW</v>
      </c>
      <c r="X1161" t="str">
        <f>_xlfn.XLOOKUP(A1161, Matches!A:A, Matches!J:J, "NA", 0)</f>
        <v>UPW</v>
      </c>
      <c r="Y1161" t="str">
        <f>_xlfn.XLOOKUP(A1161, Matches!A:A, Matches!F:F, "NA", 0)</f>
        <v>M. Chinnaswamy Stadium</v>
      </c>
      <c r="Z1161" cm="1">
        <f t="array" ref="Z1161">INDEX(Innings!F:F,MATCH(1,(TRIM(Innings!A:A)=TRIM(A1161))*(TRIM(Innings!D:D)=TRIM(E1161)),0))</f>
        <v>190</v>
      </c>
      <c r="AA1161" cm="1">
        <f t="array" ref="AA1161">INDEX(Innings!I:I,MATCH(1,(TRIM(Innings!A:A)=TRIM(A1161))*(TRIM(Innings!D:D)=TRIM(E1161)),0))</f>
        <v>9</v>
      </c>
      <c r="AB1161" cm="1">
        <f t="array" ref="AB1161">INDEX(Innings!J:J,MATCH(1,(TRIM(Innings!A:A)=TRIM(A1161))*(TRIM(Innings!D:D)=TRIM(E1161)),0))</f>
        <v>57</v>
      </c>
      <c r="AC1161" cm="1">
        <f t="array" ref="AC1161">INDEX(Innings!N:N,MATCH(1,(TRIM(Innings!A:A)=TRIM(A1161))*(TRIM(Innings!D:D)=TRIM(E1161)),0))</f>
        <v>47</v>
      </c>
      <c r="AD1161" cm="1">
        <f t="array" ref="AD1161">INDEX(Innings!S:S,MATCH(1,(TRIM(Innings!A:A)=TRIM(A1161))*(TRIM(Innings!D:D)=TRIM(E1161)),0))</f>
        <v>53</v>
      </c>
      <c r="AE1161" t="str" cm="1">
        <f t="array" ref="AE1161">INDEX(Innings!W:W,MATCH(1,(TRIM(Innings!A:A)=TRIM(A1161))*(TRIM(Innings!D:D)=TRIM(E1161)),0))</f>
        <v>Successful</v>
      </c>
      <c r="AF1161">
        <f>IF(UPPER(TRIM(E1161))=UPPER(TRIM(W1161)),1,0)</f>
        <v>1</v>
      </c>
      <c r="AG1161">
        <f t="shared" si="36"/>
        <v>25.3</v>
      </c>
    </row>
    <row r="1162" spans="1:33" x14ac:dyDescent="0.3">
      <c r="A1162" t="s">
        <v>470</v>
      </c>
      <c r="B1162">
        <v>3</v>
      </c>
      <c r="C1162" t="s">
        <v>442</v>
      </c>
      <c r="D1162" t="s">
        <v>443</v>
      </c>
      <c r="E1162" t="s">
        <v>219</v>
      </c>
      <c r="F1162" t="s">
        <v>85</v>
      </c>
      <c r="G1162" t="s">
        <v>134</v>
      </c>
      <c r="H1162">
        <v>14</v>
      </c>
      <c r="I1162">
        <v>11</v>
      </c>
      <c r="J1162">
        <v>127.27</v>
      </c>
      <c r="K1162" t="s">
        <v>246</v>
      </c>
      <c r="L1162">
        <v>15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 s="8">
        <v>15</v>
      </c>
      <c r="V1162" s="8">
        <f t="shared" si="37"/>
        <v>2</v>
      </c>
      <c r="W1162" t="str">
        <f>_xlfn.XLOOKUP(A1162, Matches!A:A, Matches!L:L, "NA", 0)</f>
        <v>UPW</v>
      </c>
      <c r="X1162" t="str">
        <f>_xlfn.XLOOKUP(A1162, Matches!A:A, Matches!J:J, "NA", 0)</f>
        <v>UPW</v>
      </c>
      <c r="Y1162" t="str">
        <f>_xlfn.XLOOKUP(A1162, Matches!A:A, Matches!F:F, "NA", 0)</f>
        <v>M. Chinnaswamy Stadium</v>
      </c>
      <c r="Z1162" cm="1">
        <f t="array" ref="Z1162">INDEX(Innings!F:F,MATCH(1,(TRIM(Innings!A:A)=TRIM(A1162))*(TRIM(Innings!D:D)=TRIM(E1162)),0))</f>
        <v>190</v>
      </c>
      <c r="AA1162" cm="1">
        <f t="array" ref="AA1162">INDEX(Innings!I:I,MATCH(1,(TRIM(Innings!A:A)=TRIM(A1162))*(TRIM(Innings!D:D)=TRIM(E1162)),0))</f>
        <v>9</v>
      </c>
      <c r="AB1162" cm="1">
        <f t="array" ref="AB1162">INDEX(Innings!J:J,MATCH(1,(TRIM(Innings!A:A)=TRIM(A1162))*(TRIM(Innings!D:D)=TRIM(E1162)),0))</f>
        <v>57</v>
      </c>
      <c r="AC1162" cm="1">
        <f t="array" ref="AC1162">INDEX(Innings!N:N,MATCH(1,(TRIM(Innings!A:A)=TRIM(A1162))*(TRIM(Innings!D:D)=TRIM(E1162)),0))</f>
        <v>47</v>
      </c>
      <c r="AD1162" cm="1">
        <f t="array" ref="AD1162">INDEX(Innings!S:S,MATCH(1,(TRIM(Innings!A:A)=TRIM(A1162))*(TRIM(Innings!D:D)=TRIM(E1162)),0))</f>
        <v>53</v>
      </c>
      <c r="AE1162" t="str" cm="1">
        <f t="array" ref="AE1162">INDEX(Innings!W:W,MATCH(1,(TRIM(Innings!A:A)=TRIM(A1162))*(TRIM(Innings!D:D)=TRIM(E1162)),0))</f>
        <v>Successful</v>
      </c>
      <c r="AF1162">
        <f>IF(UPPER(TRIM(E1162))=UPPER(TRIM(W1162)),1,0)</f>
        <v>1</v>
      </c>
      <c r="AG1162">
        <f t="shared" si="36"/>
        <v>28.1</v>
      </c>
    </row>
    <row r="1163" spans="1:33" x14ac:dyDescent="0.3">
      <c r="A1163" t="s">
        <v>470</v>
      </c>
      <c r="B1163">
        <v>3</v>
      </c>
      <c r="C1163" t="s">
        <v>512</v>
      </c>
      <c r="D1163" t="s">
        <v>542</v>
      </c>
      <c r="E1163" t="s">
        <v>219</v>
      </c>
      <c r="F1163" t="s">
        <v>169</v>
      </c>
      <c r="G1163" t="s">
        <v>134</v>
      </c>
      <c r="H1163">
        <v>8</v>
      </c>
      <c r="I1163">
        <v>6</v>
      </c>
      <c r="J1163">
        <v>133.33000000000001</v>
      </c>
      <c r="K1163" t="s">
        <v>245</v>
      </c>
      <c r="L1163">
        <v>10</v>
      </c>
      <c r="M1163">
        <v>4</v>
      </c>
      <c r="N1163">
        <v>0</v>
      </c>
      <c r="O1163">
        <v>34</v>
      </c>
      <c r="P1163">
        <v>1</v>
      </c>
      <c r="Q1163">
        <v>8.5</v>
      </c>
      <c r="R1163">
        <v>25</v>
      </c>
      <c r="S1163">
        <v>0</v>
      </c>
      <c r="T1163">
        <v>0</v>
      </c>
      <c r="U1163" s="8">
        <v>35</v>
      </c>
      <c r="V1163" s="8">
        <f t="shared" si="37"/>
        <v>4</v>
      </c>
      <c r="W1163" t="str">
        <f>_xlfn.XLOOKUP(A1163, Matches!A:A, Matches!L:L, "NA", 0)</f>
        <v>UPW</v>
      </c>
      <c r="X1163" t="str">
        <f>_xlfn.XLOOKUP(A1163, Matches!A:A, Matches!J:J, "NA", 0)</f>
        <v>UPW</v>
      </c>
      <c r="Y1163" t="str">
        <f>_xlfn.XLOOKUP(A1163, Matches!A:A, Matches!F:F, "NA", 0)</f>
        <v>M. Chinnaswamy Stadium</v>
      </c>
      <c r="Z1163" cm="1">
        <f t="array" ref="Z1163">INDEX(Innings!F:F,MATCH(1,(TRIM(Innings!A:A)=TRIM(A1163))*(TRIM(Innings!D:D)=TRIM(E1163)),0))</f>
        <v>190</v>
      </c>
      <c r="AA1163" cm="1">
        <f t="array" ref="AA1163">INDEX(Innings!I:I,MATCH(1,(TRIM(Innings!A:A)=TRIM(A1163))*(TRIM(Innings!D:D)=TRIM(E1163)),0))</f>
        <v>9</v>
      </c>
      <c r="AB1163" cm="1">
        <f t="array" ref="AB1163">INDEX(Innings!J:J,MATCH(1,(TRIM(Innings!A:A)=TRIM(A1163))*(TRIM(Innings!D:D)=TRIM(E1163)),0))</f>
        <v>57</v>
      </c>
      <c r="AC1163" cm="1">
        <f t="array" ref="AC1163">INDEX(Innings!N:N,MATCH(1,(TRIM(Innings!A:A)=TRIM(A1163))*(TRIM(Innings!D:D)=TRIM(E1163)),0))</f>
        <v>47</v>
      </c>
      <c r="AD1163" cm="1">
        <f t="array" ref="AD1163">INDEX(Innings!S:S,MATCH(1,(TRIM(Innings!A:A)=TRIM(A1163))*(TRIM(Innings!D:D)=TRIM(E1163)),0))</f>
        <v>53</v>
      </c>
      <c r="AE1163" t="str" cm="1">
        <f t="array" ref="AE1163">INDEX(Innings!W:W,MATCH(1,(TRIM(Innings!A:A)=TRIM(A1163))*(TRIM(Innings!D:D)=TRIM(E1163)),0))</f>
        <v>Successful</v>
      </c>
      <c r="AF1163">
        <f>IF(UPPER(TRIM(E1163))=UPPER(TRIM(W1163)),1,0)</f>
        <v>1</v>
      </c>
      <c r="AG1163">
        <f t="shared" si="36"/>
        <v>38.700000000000003</v>
      </c>
    </row>
    <row r="1164" spans="1:33" x14ac:dyDescent="0.3">
      <c r="A1164" t="s">
        <v>470</v>
      </c>
      <c r="B1164">
        <v>3</v>
      </c>
      <c r="C1164" t="s">
        <v>233</v>
      </c>
      <c r="D1164" t="s">
        <v>234</v>
      </c>
      <c r="E1164" t="s">
        <v>219</v>
      </c>
      <c r="F1164" t="s">
        <v>101</v>
      </c>
      <c r="G1164" t="s">
        <v>134</v>
      </c>
      <c r="H1164">
        <v>33</v>
      </c>
      <c r="I1164">
        <v>19</v>
      </c>
      <c r="J1164">
        <v>173.68</v>
      </c>
      <c r="K1164" t="s">
        <v>256</v>
      </c>
      <c r="L1164">
        <v>35</v>
      </c>
      <c r="M1164">
        <v>4</v>
      </c>
      <c r="N1164">
        <v>0</v>
      </c>
      <c r="O1164">
        <v>29</v>
      </c>
      <c r="P1164">
        <v>0</v>
      </c>
      <c r="Q1164">
        <v>7.2</v>
      </c>
      <c r="R1164">
        <v>0</v>
      </c>
      <c r="S1164">
        <v>0</v>
      </c>
      <c r="T1164">
        <v>0</v>
      </c>
      <c r="U1164" s="8">
        <v>35</v>
      </c>
      <c r="V1164" s="8">
        <f t="shared" si="37"/>
        <v>4</v>
      </c>
      <c r="W1164" t="str">
        <f>_xlfn.XLOOKUP(A1164, Matches!A:A, Matches!L:L, "NA", 0)</f>
        <v>UPW</v>
      </c>
      <c r="X1164" t="str">
        <f>_xlfn.XLOOKUP(A1164, Matches!A:A, Matches!J:J, "NA", 0)</f>
        <v>UPW</v>
      </c>
      <c r="Y1164" t="str">
        <f>_xlfn.XLOOKUP(A1164, Matches!A:A, Matches!F:F, "NA", 0)</f>
        <v>M. Chinnaswamy Stadium</v>
      </c>
      <c r="Z1164" cm="1">
        <f t="array" ref="Z1164">INDEX(Innings!F:F,MATCH(1,(TRIM(Innings!A:A)=TRIM(A1164))*(TRIM(Innings!D:D)=TRIM(E1164)),0))</f>
        <v>190</v>
      </c>
      <c r="AA1164" cm="1">
        <f t="array" ref="AA1164">INDEX(Innings!I:I,MATCH(1,(TRIM(Innings!A:A)=TRIM(A1164))*(TRIM(Innings!D:D)=TRIM(E1164)),0))</f>
        <v>9</v>
      </c>
      <c r="AB1164" cm="1">
        <f t="array" ref="AB1164">INDEX(Innings!J:J,MATCH(1,(TRIM(Innings!A:A)=TRIM(A1164))*(TRIM(Innings!D:D)=TRIM(E1164)),0))</f>
        <v>57</v>
      </c>
      <c r="AC1164" cm="1">
        <f t="array" ref="AC1164">INDEX(Innings!N:N,MATCH(1,(TRIM(Innings!A:A)=TRIM(A1164))*(TRIM(Innings!D:D)=TRIM(E1164)),0))</f>
        <v>47</v>
      </c>
      <c r="AD1164" cm="1">
        <f t="array" ref="AD1164">INDEX(Innings!S:S,MATCH(1,(TRIM(Innings!A:A)=TRIM(A1164))*(TRIM(Innings!D:D)=TRIM(E1164)),0))</f>
        <v>53</v>
      </c>
      <c r="AE1164" t="str" cm="1">
        <f t="array" ref="AE1164">INDEX(Innings!W:W,MATCH(1,(TRIM(Innings!A:A)=TRIM(A1164))*(TRIM(Innings!D:D)=TRIM(E1164)),0))</f>
        <v>Successful</v>
      </c>
      <c r="AF1164">
        <f>IF(UPPER(TRIM(E1164))=UPPER(TRIM(W1164)),1,0)</f>
        <v>1</v>
      </c>
      <c r="AG1164">
        <f t="shared" si="36"/>
        <v>38.700000000000003</v>
      </c>
    </row>
    <row r="1165" spans="1:33" x14ac:dyDescent="0.3">
      <c r="A1165" t="s">
        <v>470</v>
      </c>
      <c r="B1165">
        <v>3</v>
      </c>
      <c r="C1165" t="s">
        <v>377</v>
      </c>
      <c r="D1165" t="s">
        <v>378</v>
      </c>
      <c r="E1165" t="s">
        <v>219</v>
      </c>
      <c r="F1165" t="s">
        <v>169</v>
      </c>
      <c r="G1165" t="s">
        <v>134</v>
      </c>
      <c r="H1165">
        <v>14</v>
      </c>
      <c r="I1165">
        <v>8</v>
      </c>
      <c r="J1165">
        <v>175</v>
      </c>
      <c r="K1165" t="s">
        <v>256</v>
      </c>
      <c r="L1165">
        <v>15</v>
      </c>
      <c r="M1165">
        <v>1</v>
      </c>
      <c r="N1165">
        <v>0</v>
      </c>
      <c r="O1165">
        <v>8</v>
      </c>
      <c r="P1165">
        <v>0</v>
      </c>
      <c r="Q1165">
        <v>8</v>
      </c>
      <c r="R1165">
        <v>0</v>
      </c>
      <c r="S1165">
        <v>0</v>
      </c>
      <c r="T1165">
        <v>0</v>
      </c>
      <c r="U1165" s="8">
        <v>15</v>
      </c>
      <c r="V1165" s="8">
        <f t="shared" si="37"/>
        <v>2</v>
      </c>
      <c r="W1165" t="str">
        <f>_xlfn.XLOOKUP(A1165, Matches!A:A, Matches!L:L, "NA", 0)</f>
        <v>UPW</v>
      </c>
      <c r="X1165" t="str">
        <f>_xlfn.XLOOKUP(A1165, Matches!A:A, Matches!J:J, "NA", 0)</f>
        <v>UPW</v>
      </c>
      <c r="Y1165" t="str">
        <f>_xlfn.XLOOKUP(A1165, Matches!A:A, Matches!F:F, "NA", 0)</f>
        <v>M. Chinnaswamy Stadium</v>
      </c>
      <c r="Z1165" cm="1">
        <f t="array" ref="Z1165">INDEX(Innings!F:F,MATCH(1,(TRIM(Innings!A:A)=TRIM(A1165))*(TRIM(Innings!D:D)=TRIM(E1165)),0))</f>
        <v>190</v>
      </c>
      <c r="AA1165" cm="1">
        <f t="array" ref="AA1165">INDEX(Innings!I:I,MATCH(1,(TRIM(Innings!A:A)=TRIM(A1165))*(TRIM(Innings!D:D)=TRIM(E1165)),0))</f>
        <v>9</v>
      </c>
      <c r="AB1165" cm="1">
        <f t="array" ref="AB1165">INDEX(Innings!J:J,MATCH(1,(TRIM(Innings!A:A)=TRIM(A1165))*(TRIM(Innings!D:D)=TRIM(E1165)),0))</f>
        <v>57</v>
      </c>
      <c r="AC1165" cm="1">
        <f t="array" ref="AC1165">INDEX(Innings!N:N,MATCH(1,(TRIM(Innings!A:A)=TRIM(A1165))*(TRIM(Innings!D:D)=TRIM(E1165)),0))</f>
        <v>47</v>
      </c>
      <c r="AD1165" cm="1">
        <f t="array" ref="AD1165">INDEX(Innings!S:S,MATCH(1,(TRIM(Innings!A:A)=TRIM(A1165))*(TRIM(Innings!D:D)=TRIM(E1165)),0))</f>
        <v>53</v>
      </c>
      <c r="AE1165" t="str" cm="1">
        <f t="array" ref="AE1165">INDEX(Innings!W:W,MATCH(1,(TRIM(Innings!A:A)=TRIM(A1165))*(TRIM(Innings!D:D)=TRIM(E1165)),0))</f>
        <v>Successful</v>
      </c>
      <c r="AF1165">
        <f>IF(UPPER(TRIM(E1165))=UPPER(TRIM(W1165)),1,0)</f>
        <v>1</v>
      </c>
      <c r="AG1165">
        <f t="shared" si="36"/>
        <v>28.1</v>
      </c>
    </row>
    <row r="1166" spans="1:33" x14ac:dyDescent="0.3">
      <c r="A1166" t="s">
        <v>470</v>
      </c>
      <c r="B1166">
        <v>3</v>
      </c>
      <c r="C1166" t="s">
        <v>509</v>
      </c>
      <c r="D1166" t="s">
        <v>523</v>
      </c>
      <c r="E1166" t="s">
        <v>219</v>
      </c>
      <c r="F1166" t="s">
        <v>169</v>
      </c>
      <c r="G1166" t="s">
        <v>134</v>
      </c>
      <c r="H1166">
        <v>2</v>
      </c>
      <c r="I1166">
        <v>2</v>
      </c>
      <c r="J1166">
        <v>100</v>
      </c>
      <c r="K1166" t="s">
        <v>96</v>
      </c>
      <c r="L1166">
        <v>5</v>
      </c>
      <c r="M1166">
        <v>3</v>
      </c>
      <c r="N1166">
        <v>0</v>
      </c>
      <c r="O1166">
        <v>26</v>
      </c>
      <c r="P1166">
        <v>0</v>
      </c>
      <c r="Q1166">
        <v>8.6999999999999993</v>
      </c>
      <c r="R1166">
        <v>0</v>
      </c>
      <c r="S1166">
        <v>0</v>
      </c>
      <c r="T1166">
        <v>0</v>
      </c>
      <c r="U1166" s="8">
        <v>5</v>
      </c>
      <c r="V1166" s="8">
        <f t="shared" si="37"/>
        <v>1</v>
      </c>
      <c r="W1166" t="str">
        <f>_xlfn.XLOOKUP(A1166, Matches!A:A, Matches!L:L, "NA", 0)</f>
        <v>UPW</v>
      </c>
      <c r="X1166" t="str">
        <f>_xlfn.XLOOKUP(A1166, Matches!A:A, Matches!J:J, "NA", 0)</f>
        <v>UPW</v>
      </c>
      <c r="Y1166" t="str">
        <f>_xlfn.XLOOKUP(A1166, Matches!A:A, Matches!F:F, "NA", 0)</f>
        <v>M. Chinnaswamy Stadium</v>
      </c>
      <c r="Z1166" cm="1">
        <f t="array" ref="Z1166">INDEX(Innings!F:F,MATCH(1,(TRIM(Innings!A:A)=TRIM(A1166))*(TRIM(Innings!D:D)=TRIM(E1166)),0))</f>
        <v>190</v>
      </c>
      <c r="AA1166" cm="1">
        <f t="array" ref="AA1166">INDEX(Innings!I:I,MATCH(1,(TRIM(Innings!A:A)=TRIM(A1166))*(TRIM(Innings!D:D)=TRIM(E1166)),0))</f>
        <v>9</v>
      </c>
      <c r="AB1166" cm="1">
        <f t="array" ref="AB1166">INDEX(Innings!J:J,MATCH(1,(TRIM(Innings!A:A)=TRIM(A1166))*(TRIM(Innings!D:D)=TRIM(E1166)),0))</f>
        <v>57</v>
      </c>
      <c r="AC1166" cm="1">
        <f t="array" ref="AC1166">INDEX(Innings!N:N,MATCH(1,(TRIM(Innings!A:A)=TRIM(A1166))*(TRIM(Innings!D:D)=TRIM(E1166)),0))</f>
        <v>47</v>
      </c>
      <c r="AD1166" cm="1">
        <f t="array" ref="AD1166">INDEX(Innings!S:S,MATCH(1,(TRIM(Innings!A:A)=TRIM(A1166))*(TRIM(Innings!D:D)=TRIM(E1166)),0))</f>
        <v>53</v>
      </c>
      <c r="AE1166" t="str" cm="1">
        <f t="array" ref="AE1166">INDEX(Innings!W:W,MATCH(1,(TRIM(Innings!A:A)=TRIM(A1166))*(TRIM(Innings!D:D)=TRIM(E1166)),0))</f>
        <v>Successful</v>
      </c>
      <c r="AF1166">
        <f>IF(UPPER(TRIM(E1166))=UPPER(TRIM(W1166)),1,0)</f>
        <v>1</v>
      </c>
      <c r="AG1166">
        <f t="shared" si="36"/>
        <v>22.8</v>
      </c>
    </row>
    <row r="1167" spans="1:33" x14ac:dyDescent="0.3">
      <c r="A1167" t="s">
        <v>471</v>
      </c>
      <c r="B1167">
        <v>3</v>
      </c>
      <c r="C1167" t="s">
        <v>81</v>
      </c>
      <c r="D1167" t="s">
        <v>114</v>
      </c>
      <c r="E1167" t="s">
        <v>258</v>
      </c>
      <c r="F1167" t="s">
        <v>85</v>
      </c>
      <c r="G1167" t="s">
        <v>86</v>
      </c>
      <c r="H1167">
        <v>10</v>
      </c>
      <c r="I1167">
        <v>11</v>
      </c>
      <c r="J1167">
        <v>90.91</v>
      </c>
      <c r="K1167" t="s">
        <v>246</v>
      </c>
      <c r="L1167">
        <v>12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 s="8">
        <v>12</v>
      </c>
      <c r="V1167" s="8">
        <f t="shared" si="37"/>
        <v>1</v>
      </c>
      <c r="W1167" t="str">
        <f>_xlfn.XLOOKUP(A1167, Matches!A:A, Matches!L:L, "NA", 0)</f>
        <v>DCW</v>
      </c>
      <c r="X1167" t="str">
        <f>_xlfn.XLOOKUP(A1167, Matches!A:A, Matches!J:J, "NA", 0)</f>
        <v>DCW</v>
      </c>
      <c r="Y1167" t="str">
        <f>_xlfn.XLOOKUP(A1167, Matches!A:A, Matches!F:F, "NA", 0)</f>
        <v>M. Chinnaswamy Stadium</v>
      </c>
      <c r="Z1167" cm="1">
        <f t="array" ref="Z1167">INDEX(Innings!F:F,MATCH(1,(TRIM(Innings!A:A)=TRIM(A1167))*(TRIM(Innings!D:D)=TRIM(E1167)),0))</f>
        <v>127</v>
      </c>
      <c r="AA1167" cm="1">
        <f t="array" ref="AA1167">INDEX(Innings!I:I,MATCH(1,(TRIM(Innings!A:A)=TRIM(A1167))*(TRIM(Innings!D:D)=TRIM(E1167)),0))</f>
        <v>6.35</v>
      </c>
      <c r="AB1167" cm="1">
        <f t="array" ref="AB1167">INDEX(Innings!J:J,MATCH(1,(TRIM(Innings!A:A)=TRIM(A1167))*(TRIM(Innings!D:D)=TRIM(E1167)),0))</f>
        <v>31</v>
      </c>
      <c r="AC1167" cm="1">
        <f t="array" ref="AC1167">INDEX(Innings!N:N,MATCH(1,(TRIM(Innings!A:A)=TRIM(A1167))*(TRIM(Innings!D:D)=TRIM(E1167)),0))</f>
        <v>27</v>
      </c>
      <c r="AD1167" cm="1">
        <f t="array" ref="AD1167">INDEX(Innings!S:S,MATCH(1,(TRIM(Innings!A:A)=TRIM(A1167))*(TRIM(Innings!D:D)=TRIM(E1167)),0))</f>
        <v>64</v>
      </c>
      <c r="AE1167" t="str" cm="1">
        <f t="array" ref="AE1167">INDEX(Innings!W:W,MATCH(1,(TRIM(Innings!A:A)=TRIM(A1167))*(TRIM(Innings!D:D)=TRIM(E1167)),0))</f>
        <v>NA</v>
      </c>
      <c r="AF1167">
        <f>IF(UPPER(TRIM(E1167))=UPPER(TRIM(W1167)),1,0)</f>
        <v>0</v>
      </c>
      <c r="AG1167">
        <f t="shared" si="36"/>
        <v>6.3</v>
      </c>
    </row>
    <row r="1168" spans="1:33" x14ac:dyDescent="0.3">
      <c r="A1168" t="s">
        <v>471</v>
      </c>
      <c r="B1168">
        <v>3</v>
      </c>
      <c r="C1168" t="s">
        <v>89</v>
      </c>
      <c r="D1168" t="s">
        <v>116</v>
      </c>
      <c r="E1168" t="s">
        <v>258</v>
      </c>
      <c r="F1168" t="s">
        <v>169</v>
      </c>
      <c r="G1168" t="s">
        <v>86</v>
      </c>
      <c r="H1168">
        <v>5</v>
      </c>
      <c r="I1168">
        <v>10</v>
      </c>
      <c r="J1168">
        <v>50</v>
      </c>
      <c r="K1168" t="s">
        <v>246</v>
      </c>
      <c r="L1168">
        <v>5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 s="8">
        <v>5</v>
      </c>
      <c r="V1168" s="8">
        <f t="shared" si="37"/>
        <v>1</v>
      </c>
      <c r="W1168" t="str">
        <f>_xlfn.XLOOKUP(A1168, Matches!A:A, Matches!L:L, "NA", 0)</f>
        <v>DCW</v>
      </c>
      <c r="X1168" t="str">
        <f>_xlfn.XLOOKUP(A1168, Matches!A:A, Matches!J:J, "NA", 0)</f>
        <v>DCW</v>
      </c>
      <c r="Y1168" t="str">
        <f>_xlfn.XLOOKUP(A1168, Matches!A:A, Matches!F:F, "NA", 0)</f>
        <v>M. Chinnaswamy Stadium</v>
      </c>
      <c r="Z1168" cm="1">
        <f t="array" ref="Z1168">INDEX(Innings!F:F,MATCH(1,(TRIM(Innings!A:A)=TRIM(A1168))*(TRIM(Innings!D:D)=TRIM(E1168)),0))</f>
        <v>127</v>
      </c>
      <c r="AA1168" cm="1">
        <f t="array" ref="AA1168">INDEX(Innings!I:I,MATCH(1,(TRIM(Innings!A:A)=TRIM(A1168))*(TRIM(Innings!D:D)=TRIM(E1168)),0))</f>
        <v>6.35</v>
      </c>
      <c r="AB1168" cm="1">
        <f t="array" ref="AB1168">INDEX(Innings!J:J,MATCH(1,(TRIM(Innings!A:A)=TRIM(A1168))*(TRIM(Innings!D:D)=TRIM(E1168)),0))</f>
        <v>31</v>
      </c>
      <c r="AC1168" cm="1">
        <f t="array" ref="AC1168">INDEX(Innings!N:N,MATCH(1,(TRIM(Innings!A:A)=TRIM(A1168))*(TRIM(Innings!D:D)=TRIM(E1168)),0))</f>
        <v>27</v>
      </c>
      <c r="AD1168" cm="1">
        <f t="array" ref="AD1168">INDEX(Innings!S:S,MATCH(1,(TRIM(Innings!A:A)=TRIM(A1168))*(TRIM(Innings!D:D)=TRIM(E1168)),0))</f>
        <v>64</v>
      </c>
      <c r="AE1168" t="str" cm="1">
        <f t="array" ref="AE1168">INDEX(Innings!W:W,MATCH(1,(TRIM(Innings!A:A)=TRIM(A1168))*(TRIM(Innings!D:D)=TRIM(E1168)),0))</f>
        <v>NA</v>
      </c>
      <c r="AF1168">
        <f>IF(UPPER(TRIM(E1168))=UPPER(TRIM(W1168)),1,0)</f>
        <v>0</v>
      </c>
      <c r="AG1168">
        <f t="shared" si="36"/>
        <v>2.8</v>
      </c>
    </row>
    <row r="1169" spans="1:33" x14ac:dyDescent="0.3">
      <c r="A1169" t="s">
        <v>471</v>
      </c>
      <c r="B1169">
        <v>3</v>
      </c>
      <c r="C1169" t="s">
        <v>383</v>
      </c>
      <c r="D1169" t="s">
        <v>384</v>
      </c>
      <c r="E1169" t="s">
        <v>258</v>
      </c>
      <c r="F1169" t="s">
        <v>109</v>
      </c>
      <c r="G1169" t="s">
        <v>92</v>
      </c>
      <c r="H1169">
        <v>0</v>
      </c>
      <c r="I1169">
        <v>3</v>
      </c>
      <c r="J1169">
        <v>0</v>
      </c>
      <c r="K1169" t="s">
        <v>247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 s="8">
        <v>0</v>
      </c>
      <c r="V1169" s="8">
        <f t="shared" si="37"/>
        <v>0</v>
      </c>
      <c r="W1169" t="str">
        <f>_xlfn.XLOOKUP(A1169, Matches!A:A, Matches!L:L, "NA", 0)</f>
        <v>DCW</v>
      </c>
      <c r="X1169" t="str">
        <f>_xlfn.XLOOKUP(A1169, Matches!A:A, Matches!J:J, "NA", 0)</f>
        <v>DCW</v>
      </c>
      <c r="Y1169" t="str">
        <f>_xlfn.XLOOKUP(A1169, Matches!A:A, Matches!F:F, "NA", 0)</f>
        <v>M. Chinnaswamy Stadium</v>
      </c>
      <c r="Z1169" cm="1">
        <f t="array" ref="Z1169">INDEX(Innings!F:F,MATCH(1,(TRIM(Innings!A:A)=TRIM(A1169))*(TRIM(Innings!D:D)=TRIM(E1169)),0))</f>
        <v>127</v>
      </c>
      <c r="AA1169" cm="1">
        <f t="array" ref="AA1169">INDEX(Innings!I:I,MATCH(1,(TRIM(Innings!A:A)=TRIM(A1169))*(TRIM(Innings!D:D)=TRIM(E1169)),0))</f>
        <v>6.35</v>
      </c>
      <c r="AB1169" cm="1">
        <f t="array" ref="AB1169">INDEX(Innings!J:J,MATCH(1,(TRIM(Innings!A:A)=TRIM(A1169))*(TRIM(Innings!D:D)=TRIM(E1169)),0))</f>
        <v>31</v>
      </c>
      <c r="AC1169" cm="1">
        <f t="array" ref="AC1169">INDEX(Innings!N:N,MATCH(1,(TRIM(Innings!A:A)=TRIM(A1169))*(TRIM(Innings!D:D)=TRIM(E1169)),0))</f>
        <v>27</v>
      </c>
      <c r="AD1169" cm="1">
        <f t="array" ref="AD1169">INDEX(Innings!S:S,MATCH(1,(TRIM(Innings!A:A)=TRIM(A1169))*(TRIM(Innings!D:D)=TRIM(E1169)),0))</f>
        <v>64</v>
      </c>
      <c r="AE1169" t="str" cm="1">
        <f t="array" ref="AE1169">INDEX(Innings!W:W,MATCH(1,(TRIM(Innings!A:A)=TRIM(A1169))*(TRIM(Innings!D:D)=TRIM(E1169)),0))</f>
        <v>NA</v>
      </c>
      <c r="AF1169">
        <f>IF(UPPER(TRIM(E1169))=UPPER(TRIM(W1169)),1,0)</f>
        <v>0</v>
      </c>
      <c r="AG1169">
        <f t="shared" si="36"/>
        <v>0</v>
      </c>
    </row>
    <row r="1170" spans="1:33" x14ac:dyDescent="0.3">
      <c r="A1170" t="s">
        <v>471</v>
      </c>
      <c r="B1170">
        <v>3</v>
      </c>
      <c r="C1170" t="s">
        <v>93</v>
      </c>
      <c r="D1170" t="s">
        <v>118</v>
      </c>
      <c r="E1170" t="s">
        <v>258</v>
      </c>
      <c r="F1170" t="s">
        <v>169</v>
      </c>
      <c r="G1170" t="s">
        <v>134</v>
      </c>
      <c r="H1170">
        <v>3</v>
      </c>
      <c r="I1170">
        <v>9</v>
      </c>
      <c r="J1170">
        <v>33.33</v>
      </c>
      <c r="K1170" t="s">
        <v>245</v>
      </c>
      <c r="L1170">
        <v>3</v>
      </c>
      <c r="M1170">
        <v>3</v>
      </c>
      <c r="N1170">
        <v>0</v>
      </c>
      <c r="O1170">
        <v>33</v>
      </c>
      <c r="P1170">
        <v>1</v>
      </c>
      <c r="Q1170">
        <v>11</v>
      </c>
      <c r="R1170">
        <v>25</v>
      </c>
      <c r="S1170">
        <v>0</v>
      </c>
      <c r="T1170">
        <v>0</v>
      </c>
      <c r="U1170" s="8">
        <v>28</v>
      </c>
      <c r="V1170" s="8">
        <f t="shared" si="37"/>
        <v>3</v>
      </c>
      <c r="W1170" t="str">
        <f>_xlfn.XLOOKUP(A1170, Matches!A:A, Matches!L:L, "NA", 0)</f>
        <v>DCW</v>
      </c>
      <c r="X1170" t="str">
        <f>_xlfn.XLOOKUP(A1170, Matches!A:A, Matches!J:J, "NA", 0)</f>
        <v>DCW</v>
      </c>
      <c r="Y1170" t="str">
        <f>_xlfn.XLOOKUP(A1170, Matches!A:A, Matches!F:F, "NA", 0)</f>
        <v>M. Chinnaswamy Stadium</v>
      </c>
      <c r="Z1170" cm="1">
        <f t="array" ref="Z1170">INDEX(Innings!F:F,MATCH(1,(TRIM(Innings!A:A)=TRIM(A1170))*(TRIM(Innings!D:D)=TRIM(E1170)),0))</f>
        <v>127</v>
      </c>
      <c r="AA1170" cm="1">
        <f t="array" ref="AA1170">INDEX(Innings!I:I,MATCH(1,(TRIM(Innings!A:A)=TRIM(A1170))*(TRIM(Innings!D:D)=TRIM(E1170)),0))</f>
        <v>6.35</v>
      </c>
      <c r="AB1170" cm="1">
        <f t="array" ref="AB1170">INDEX(Innings!J:J,MATCH(1,(TRIM(Innings!A:A)=TRIM(A1170))*(TRIM(Innings!D:D)=TRIM(E1170)),0))</f>
        <v>31</v>
      </c>
      <c r="AC1170" cm="1">
        <f t="array" ref="AC1170">INDEX(Innings!N:N,MATCH(1,(TRIM(Innings!A:A)=TRIM(A1170))*(TRIM(Innings!D:D)=TRIM(E1170)),0))</f>
        <v>27</v>
      </c>
      <c r="AD1170" cm="1">
        <f t="array" ref="AD1170">INDEX(Innings!S:S,MATCH(1,(TRIM(Innings!A:A)=TRIM(A1170))*(TRIM(Innings!D:D)=TRIM(E1170)),0))</f>
        <v>64</v>
      </c>
      <c r="AE1170" t="str" cm="1">
        <f t="array" ref="AE1170">INDEX(Innings!W:W,MATCH(1,(TRIM(Innings!A:A)=TRIM(A1170))*(TRIM(Innings!D:D)=TRIM(E1170)),0))</f>
        <v>NA</v>
      </c>
      <c r="AF1170">
        <f>IF(UPPER(TRIM(E1170))=UPPER(TRIM(W1170)),1,0)</f>
        <v>0</v>
      </c>
      <c r="AG1170">
        <f t="shared" si="36"/>
        <v>14.9</v>
      </c>
    </row>
    <row r="1171" spans="1:33" x14ac:dyDescent="0.3">
      <c r="A1171" t="s">
        <v>471</v>
      </c>
      <c r="B1171">
        <v>3</v>
      </c>
      <c r="C1171" t="s">
        <v>493</v>
      </c>
      <c r="D1171" t="s">
        <v>500</v>
      </c>
      <c r="E1171" t="s">
        <v>258</v>
      </c>
      <c r="F1171" t="s">
        <v>169</v>
      </c>
      <c r="G1171" t="s">
        <v>134</v>
      </c>
      <c r="H1171">
        <v>0</v>
      </c>
      <c r="I1171">
        <v>1</v>
      </c>
      <c r="J1171">
        <v>0</v>
      </c>
      <c r="K1171" t="s">
        <v>246</v>
      </c>
      <c r="L1171">
        <v>0</v>
      </c>
      <c r="M1171">
        <v>4</v>
      </c>
      <c r="N1171">
        <v>0</v>
      </c>
      <c r="O1171">
        <v>26</v>
      </c>
      <c r="P1171">
        <v>2</v>
      </c>
      <c r="Q1171">
        <v>6.5</v>
      </c>
      <c r="R1171">
        <v>50</v>
      </c>
      <c r="S1171">
        <v>0</v>
      </c>
      <c r="T1171">
        <v>0</v>
      </c>
      <c r="U1171" s="8">
        <v>50</v>
      </c>
      <c r="V1171" s="8">
        <f t="shared" si="37"/>
        <v>5</v>
      </c>
      <c r="W1171" t="str">
        <f>_xlfn.XLOOKUP(A1171, Matches!A:A, Matches!L:L, "NA", 0)</f>
        <v>DCW</v>
      </c>
      <c r="X1171" t="str">
        <f>_xlfn.XLOOKUP(A1171, Matches!A:A, Matches!J:J, "NA", 0)</f>
        <v>DCW</v>
      </c>
      <c r="Y1171" t="str">
        <f>_xlfn.XLOOKUP(A1171, Matches!A:A, Matches!F:F, "NA", 0)</f>
        <v>M. Chinnaswamy Stadium</v>
      </c>
      <c r="Z1171" cm="1">
        <f t="array" ref="Z1171">INDEX(Innings!F:F,MATCH(1,(TRIM(Innings!A:A)=TRIM(A1171))*(TRIM(Innings!D:D)=TRIM(E1171)),0))</f>
        <v>127</v>
      </c>
      <c r="AA1171" cm="1">
        <f t="array" ref="AA1171">INDEX(Innings!I:I,MATCH(1,(TRIM(Innings!A:A)=TRIM(A1171))*(TRIM(Innings!D:D)=TRIM(E1171)),0))</f>
        <v>6.35</v>
      </c>
      <c r="AB1171" cm="1">
        <f t="array" ref="AB1171">INDEX(Innings!J:J,MATCH(1,(TRIM(Innings!A:A)=TRIM(A1171))*(TRIM(Innings!D:D)=TRIM(E1171)),0))</f>
        <v>31</v>
      </c>
      <c r="AC1171" cm="1">
        <f t="array" ref="AC1171">INDEX(Innings!N:N,MATCH(1,(TRIM(Innings!A:A)=TRIM(A1171))*(TRIM(Innings!D:D)=TRIM(E1171)),0))</f>
        <v>27</v>
      </c>
      <c r="AD1171" cm="1">
        <f t="array" ref="AD1171">INDEX(Innings!S:S,MATCH(1,(TRIM(Innings!A:A)=TRIM(A1171))*(TRIM(Innings!D:D)=TRIM(E1171)),0))</f>
        <v>64</v>
      </c>
      <c r="AE1171" t="str" cm="1">
        <f t="array" ref="AE1171">INDEX(Innings!W:W,MATCH(1,(TRIM(Innings!A:A)=TRIM(A1171))*(TRIM(Innings!D:D)=TRIM(E1171)),0))</f>
        <v>NA</v>
      </c>
      <c r="AF1171">
        <f>IF(UPPER(TRIM(E1171))=UPPER(TRIM(W1171)),1,0)</f>
        <v>0</v>
      </c>
      <c r="AG1171">
        <f t="shared" si="36"/>
        <v>26.5</v>
      </c>
    </row>
    <row r="1172" spans="1:33" x14ac:dyDescent="0.3">
      <c r="A1172" t="s">
        <v>471</v>
      </c>
      <c r="B1172">
        <v>3</v>
      </c>
      <c r="C1172" t="s">
        <v>530</v>
      </c>
      <c r="D1172" t="s">
        <v>502</v>
      </c>
      <c r="E1172" t="s">
        <v>258</v>
      </c>
      <c r="F1172" t="s">
        <v>169</v>
      </c>
      <c r="G1172" t="s">
        <v>134</v>
      </c>
      <c r="H1172">
        <v>26</v>
      </c>
      <c r="I1172">
        <v>24</v>
      </c>
      <c r="J1172">
        <v>108.33</v>
      </c>
      <c r="K1172" t="s">
        <v>245</v>
      </c>
      <c r="L1172">
        <v>30</v>
      </c>
      <c r="M1172">
        <v>4</v>
      </c>
      <c r="N1172">
        <v>0</v>
      </c>
      <c r="O1172">
        <v>30</v>
      </c>
      <c r="P1172">
        <v>0</v>
      </c>
      <c r="Q1172">
        <v>7.5</v>
      </c>
      <c r="R1172">
        <v>0</v>
      </c>
      <c r="S1172">
        <v>0</v>
      </c>
      <c r="T1172">
        <v>0</v>
      </c>
      <c r="U1172" s="8">
        <v>30</v>
      </c>
      <c r="V1172" s="8">
        <f t="shared" si="37"/>
        <v>3</v>
      </c>
      <c r="W1172" t="str">
        <f>_xlfn.XLOOKUP(A1172, Matches!A:A, Matches!L:L, "NA", 0)</f>
        <v>DCW</v>
      </c>
      <c r="X1172" t="str">
        <f>_xlfn.XLOOKUP(A1172, Matches!A:A, Matches!J:J, "NA", 0)</f>
        <v>DCW</v>
      </c>
      <c r="Y1172" t="str">
        <f>_xlfn.XLOOKUP(A1172, Matches!A:A, Matches!F:F, "NA", 0)</f>
        <v>M. Chinnaswamy Stadium</v>
      </c>
      <c r="Z1172" cm="1">
        <f t="array" ref="Z1172">INDEX(Innings!F:F,MATCH(1,(TRIM(Innings!A:A)=TRIM(A1172))*(TRIM(Innings!D:D)=TRIM(E1172)),0))</f>
        <v>127</v>
      </c>
      <c r="AA1172" cm="1">
        <f t="array" ref="AA1172">INDEX(Innings!I:I,MATCH(1,(TRIM(Innings!A:A)=TRIM(A1172))*(TRIM(Innings!D:D)=TRIM(E1172)),0))</f>
        <v>6.35</v>
      </c>
      <c r="AB1172" cm="1">
        <f t="array" ref="AB1172">INDEX(Innings!J:J,MATCH(1,(TRIM(Innings!A:A)=TRIM(A1172))*(TRIM(Innings!D:D)=TRIM(E1172)),0))</f>
        <v>31</v>
      </c>
      <c r="AC1172" cm="1">
        <f t="array" ref="AC1172">INDEX(Innings!N:N,MATCH(1,(TRIM(Innings!A:A)=TRIM(A1172))*(TRIM(Innings!D:D)=TRIM(E1172)),0))</f>
        <v>27</v>
      </c>
      <c r="AD1172" cm="1">
        <f t="array" ref="AD1172">INDEX(Innings!S:S,MATCH(1,(TRIM(Innings!A:A)=TRIM(A1172))*(TRIM(Innings!D:D)=TRIM(E1172)),0))</f>
        <v>64</v>
      </c>
      <c r="AE1172" t="str" cm="1">
        <f t="array" ref="AE1172">INDEX(Innings!W:W,MATCH(1,(TRIM(Innings!A:A)=TRIM(A1172))*(TRIM(Innings!D:D)=TRIM(E1172)),0))</f>
        <v>NA</v>
      </c>
      <c r="AF1172">
        <f>IF(UPPER(TRIM(E1172))=UPPER(TRIM(W1172)),1,0)</f>
        <v>0</v>
      </c>
      <c r="AG1172">
        <f t="shared" si="36"/>
        <v>15.9</v>
      </c>
    </row>
    <row r="1173" spans="1:33" x14ac:dyDescent="0.3">
      <c r="A1173" t="s">
        <v>471</v>
      </c>
      <c r="B1173">
        <v>3</v>
      </c>
      <c r="C1173" t="s">
        <v>105</v>
      </c>
      <c r="D1173" t="s">
        <v>128</v>
      </c>
      <c r="E1173" t="s">
        <v>258</v>
      </c>
      <c r="F1173" t="s">
        <v>101</v>
      </c>
      <c r="G1173" t="s">
        <v>134</v>
      </c>
      <c r="H1173">
        <v>16</v>
      </c>
      <c r="I1173">
        <v>24</v>
      </c>
      <c r="J1173">
        <v>66.67</v>
      </c>
      <c r="K1173" t="s">
        <v>256</v>
      </c>
      <c r="L1173">
        <v>15</v>
      </c>
      <c r="M1173">
        <v>2</v>
      </c>
      <c r="N1173">
        <v>0</v>
      </c>
      <c r="O1173">
        <v>13</v>
      </c>
      <c r="P1173">
        <v>1</v>
      </c>
      <c r="Q1173">
        <v>6.5</v>
      </c>
      <c r="R1173">
        <v>25</v>
      </c>
      <c r="S1173">
        <v>0</v>
      </c>
      <c r="T1173">
        <v>0</v>
      </c>
      <c r="U1173" s="8">
        <v>40</v>
      </c>
      <c r="V1173" s="8">
        <f t="shared" si="37"/>
        <v>4</v>
      </c>
      <c r="W1173" t="str">
        <f>_xlfn.XLOOKUP(A1173, Matches!A:A, Matches!L:L, "NA", 0)</f>
        <v>DCW</v>
      </c>
      <c r="X1173" t="str">
        <f>_xlfn.XLOOKUP(A1173, Matches!A:A, Matches!J:J, "NA", 0)</f>
        <v>DCW</v>
      </c>
      <c r="Y1173" t="str">
        <f>_xlfn.XLOOKUP(A1173, Matches!A:A, Matches!F:F, "NA", 0)</f>
        <v>M. Chinnaswamy Stadium</v>
      </c>
      <c r="Z1173" cm="1">
        <f t="array" ref="Z1173">INDEX(Innings!F:F,MATCH(1,(TRIM(Innings!A:A)=TRIM(A1173))*(TRIM(Innings!D:D)=TRIM(E1173)),0))</f>
        <v>127</v>
      </c>
      <c r="AA1173" cm="1">
        <f t="array" ref="AA1173">INDEX(Innings!I:I,MATCH(1,(TRIM(Innings!A:A)=TRIM(A1173))*(TRIM(Innings!D:D)=TRIM(E1173)),0))</f>
        <v>6.35</v>
      </c>
      <c r="AB1173" cm="1">
        <f t="array" ref="AB1173">INDEX(Innings!J:J,MATCH(1,(TRIM(Innings!A:A)=TRIM(A1173))*(TRIM(Innings!D:D)=TRIM(E1173)),0))</f>
        <v>31</v>
      </c>
      <c r="AC1173" cm="1">
        <f t="array" ref="AC1173">INDEX(Innings!N:N,MATCH(1,(TRIM(Innings!A:A)=TRIM(A1173))*(TRIM(Innings!D:D)=TRIM(E1173)),0))</f>
        <v>27</v>
      </c>
      <c r="AD1173" cm="1">
        <f t="array" ref="AD1173">INDEX(Innings!S:S,MATCH(1,(TRIM(Innings!A:A)=TRIM(A1173))*(TRIM(Innings!D:D)=TRIM(E1173)),0))</f>
        <v>64</v>
      </c>
      <c r="AE1173" t="str" cm="1">
        <f t="array" ref="AE1173">INDEX(Innings!W:W,MATCH(1,(TRIM(Innings!A:A)=TRIM(A1173))*(TRIM(Innings!D:D)=TRIM(E1173)),0))</f>
        <v>NA</v>
      </c>
      <c r="AF1173">
        <f>IF(UPPER(TRIM(E1173))=UPPER(TRIM(W1173)),1,0)</f>
        <v>0</v>
      </c>
      <c r="AG1173">
        <f t="shared" si="36"/>
        <v>21.2</v>
      </c>
    </row>
    <row r="1174" spans="1:33" x14ac:dyDescent="0.3">
      <c r="A1174" t="s">
        <v>471</v>
      </c>
      <c r="B1174">
        <v>3</v>
      </c>
      <c r="C1174" t="s">
        <v>447</v>
      </c>
      <c r="D1174" t="s">
        <v>448</v>
      </c>
      <c r="E1174" t="s">
        <v>258</v>
      </c>
      <c r="F1174" t="s">
        <v>109</v>
      </c>
      <c r="G1174" t="s">
        <v>134</v>
      </c>
      <c r="H1174">
        <v>40</v>
      </c>
      <c r="I1174">
        <v>29</v>
      </c>
      <c r="J1174">
        <v>137.93</v>
      </c>
      <c r="K1174" t="s">
        <v>96</v>
      </c>
      <c r="L1174">
        <v>50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 s="8">
        <v>50</v>
      </c>
      <c r="V1174" s="8">
        <f t="shared" si="37"/>
        <v>5</v>
      </c>
      <c r="W1174" t="str">
        <f>_xlfn.XLOOKUP(A1174, Matches!A:A, Matches!L:L, "NA", 0)</f>
        <v>DCW</v>
      </c>
      <c r="X1174" t="str">
        <f>_xlfn.XLOOKUP(A1174, Matches!A:A, Matches!J:J, "NA", 0)</f>
        <v>DCW</v>
      </c>
      <c r="Y1174" t="str">
        <f>_xlfn.XLOOKUP(A1174, Matches!A:A, Matches!F:F, "NA", 0)</f>
        <v>M. Chinnaswamy Stadium</v>
      </c>
      <c r="Z1174" cm="1">
        <f t="array" ref="Z1174">INDEX(Innings!F:F,MATCH(1,(TRIM(Innings!A:A)=TRIM(A1174))*(TRIM(Innings!D:D)=TRIM(E1174)),0))</f>
        <v>127</v>
      </c>
      <c r="AA1174" cm="1">
        <f t="array" ref="AA1174">INDEX(Innings!I:I,MATCH(1,(TRIM(Innings!A:A)=TRIM(A1174))*(TRIM(Innings!D:D)=TRIM(E1174)),0))</f>
        <v>6.35</v>
      </c>
      <c r="AB1174" cm="1">
        <f t="array" ref="AB1174">INDEX(Innings!J:J,MATCH(1,(TRIM(Innings!A:A)=TRIM(A1174))*(TRIM(Innings!D:D)=TRIM(E1174)),0))</f>
        <v>31</v>
      </c>
      <c r="AC1174" cm="1">
        <f t="array" ref="AC1174">INDEX(Innings!N:N,MATCH(1,(TRIM(Innings!A:A)=TRIM(A1174))*(TRIM(Innings!D:D)=TRIM(E1174)),0))</f>
        <v>27</v>
      </c>
      <c r="AD1174" cm="1">
        <f t="array" ref="AD1174">INDEX(Innings!S:S,MATCH(1,(TRIM(Innings!A:A)=TRIM(A1174))*(TRIM(Innings!D:D)=TRIM(E1174)),0))</f>
        <v>64</v>
      </c>
      <c r="AE1174" t="str" cm="1">
        <f t="array" ref="AE1174">INDEX(Innings!W:W,MATCH(1,(TRIM(Innings!A:A)=TRIM(A1174))*(TRIM(Innings!D:D)=TRIM(E1174)),0))</f>
        <v>NA</v>
      </c>
      <c r="AF1174">
        <f>IF(UPPER(TRIM(E1174))=UPPER(TRIM(W1174)),1,0)</f>
        <v>0</v>
      </c>
      <c r="AG1174">
        <f t="shared" si="36"/>
        <v>26.5</v>
      </c>
    </row>
    <row r="1175" spans="1:33" x14ac:dyDescent="0.3">
      <c r="A1175" t="s">
        <v>471</v>
      </c>
      <c r="B1175">
        <v>3</v>
      </c>
      <c r="C1175" t="s">
        <v>227</v>
      </c>
      <c r="D1175" t="s">
        <v>228</v>
      </c>
      <c r="E1175" t="s">
        <v>258</v>
      </c>
      <c r="F1175" t="s">
        <v>109</v>
      </c>
      <c r="G1175" t="s">
        <v>134</v>
      </c>
      <c r="H1175">
        <v>5</v>
      </c>
      <c r="I1175">
        <v>7</v>
      </c>
      <c r="J1175">
        <v>71.430000000000007</v>
      </c>
      <c r="K1175" t="s">
        <v>246</v>
      </c>
      <c r="L1175">
        <v>5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 s="8">
        <v>5</v>
      </c>
      <c r="V1175" s="8">
        <f t="shared" si="37"/>
        <v>1</v>
      </c>
      <c r="W1175" t="str">
        <f>_xlfn.XLOOKUP(A1175, Matches!A:A, Matches!L:L, "NA", 0)</f>
        <v>DCW</v>
      </c>
      <c r="X1175" t="str">
        <f>_xlfn.XLOOKUP(A1175, Matches!A:A, Matches!J:J, "NA", 0)</f>
        <v>DCW</v>
      </c>
      <c r="Y1175" t="str">
        <f>_xlfn.XLOOKUP(A1175, Matches!A:A, Matches!F:F, "NA", 0)</f>
        <v>M. Chinnaswamy Stadium</v>
      </c>
      <c r="Z1175" cm="1">
        <f t="array" ref="Z1175">INDEX(Innings!F:F,MATCH(1,(TRIM(Innings!A:A)=TRIM(A1175))*(TRIM(Innings!D:D)=TRIM(E1175)),0))</f>
        <v>127</v>
      </c>
      <c r="AA1175" cm="1">
        <f t="array" ref="AA1175">INDEX(Innings!I:I,MATCH(1,(TRIM(Innings!A:A)=TRIM(A1175))*(TRIM(Innings!D:D)=TRIM(E1175)),0))</f>
        <v>6.35</v>
      </c>
      <c r="AB1175" cm="1">
        <f t="array" ref="AB1175">INDEX(Innings!J:J,MATCH(1,(TRIM(Innings!A:A)=TRIM(A1175))*(TRIM(Innings!D:D)=TRIM(E1175)),0))</f>
        <v>31</v>
      </c>
      <c r="AC1175" cm="1">
        <f t="array" ref="AC1175">INDEX(Innings!N:N,MATCH(1,(TRIM(Innings!A:A)=TRIM(A1175))*(TRIM(Innings!D:D)=TRIM(E1175)),0))</f>
        <v>27</v>
      </c>
      <c r="AD1175" cm="1">
        <f t="array" ref="AD1175">INDEX(Innings!S:S,MATCH(1,(TRIM(Innings!A:A)=TRIM(A1175))*(TRIM(Innings!D:D)=TRIM(E1175)),0))</f>
        <v>64</v>
      </c>
      <c r="AE1175" t="str" cm="1">
        <f t="array" ref="AE1175">INDEX(Innings!W:W,MATCH(1,(TRIM(Innings!A:A)=TRIM(A1175))*(TRIM(Innings!D:D)=TRIM(E1175)),0))</f>
        <v>NA</v>
      </c>
      <c r="AF1175">
        <f>IF(UPPER(TRIM(E1175))=UPPER(TRIM(W1175)),1,0)</f>
        <v>0</v>
      </c>
      <c r="AG1175">
        <f t="shared" si="36"/>
        <v>2.8</v>
      </c>
    </row>
    <row r="1176" spans="1:33" x14ac:dyDescent="0.3">
      <c r="A1176" t="s">
        <v>471</v>
      </c>
      <c r="B1176">
        <v>3</v>
      </c>
      <c r="C1176" t="s">
        <v>389</v>
      </c>
      <c r="D1176" t="s">
        <v>390</v>
      </c>
      <c r="E1176" t="s">
        <v>258</v>
      </c>
      <c r="F1176" t="s">
        <v>101</v>
      </c>
      <c r="G1176" t="s">
        <v>134</v>
      </c>
      <c r="H1176">
        <v>0</v>
      </c>
      <c r="I1176">
        <v>1</v>
      </c>
      <c r="J1176">
        <v>0</v>
      </c>
      <c r="K1176" t="s">
        <v>245</v>
      </c>
      <c r="L1176">
        <v>0</v>
      </c>
      <c r="M1176">
        <v>1</v>
      </c>
      <c r="N1176">
        <v>0</v>
      </c>
      <c r="O1176">
        <v>8</v>
      </c>
      <c r="P1176">
        <v>0</v>
      </c>
      <c r="Q1176">
        <v>8</v>
      </c>
      <c r="R1176">
        <v>0</v>
      </c>
      <c r="S1176">
        <v>0</v>
      </c>
      <c r="T1176">
        <v>0</v>
      </c>
      <c r="U1176" s="8">
        <v>0</v>
      </c>
      <c r="V1176" s="8">
        <f t="shared" si="37"/>
        <v>0</v>
      </c>
      <c r="W1176" t="str">
        <f>_xlfn.XLOOKUP(A1176, Matches!A:A, Matches!L:L, "NA", 0)</f>
        <v>DCW</v>
      </c>
      <c r="X1176" t="str">
        <f>_xlfn.XLOOKUP(A1176, Matches!A:A, Matches!J:J, "NA", 0)</f>
        <v>DCW</v>
      </c>
      <c r="Y1176" t="str">
        <f>_xlfn.XLOOKUP(A1176, Matches!A:A, Matches!F:F, "NA", 0)</f>
        <v>M. Chinnaswamy Stadium</v>
      </c>
      <c r="Z1176" cm="1">
        <f t="array" ref="Z1176">INDEX(Innings!F:F,MATCH(1,(TRIM(Innings!A:A)=TRIM(A1176))*(TRIM(Innings!D:D)=TRIM(E1176)),0))</f>
        <v>127</v>
      </c>
      <c r="AA1176" cm="1">
        <f t="array" ref="AA1176">INDEX(Innings!I:I,MATCH(1,(TRIM(Innings!A:A)=TRIM(A1176))*(TRIM(Innings!D:D)=TRIM(E1176)),0))</f>
        <v>6.35</v>
      </c>
      <c r="AB1176" cm="1">
        <f t="array" ref="AB1176">INDEX(Innings!J:J,MATCH(1,(TRIM(Innings!A:A)=TRIM(A1176))*(TRIM(Innings!D:D)=TRIM(E1176)),0))</f>
        <v>31</v>
      </c>
      <c r="AC1176" cm="1">
        <f t="array" ref="AC1176">INDEX(Innings!N:N,MATCH(1,(TRIM(Innings!A:A)=TRIM(A1176))*(TRIM(Innings!D:D)=TRIM(E1176)),0))</f>
        <v>27</v>
      </c>
      <c r="AD1176" cm="1">
        <f t="array" ref="AD1176">INDEX(Innings!S:S,MATCH(1,(TRIM(Innings!A:A)=TRIM(A1176))*(TRIM(Innings!D:D)=TRIM(E1176)),0))</f>
        <v>64</v>
      </c>
      <c r="AE1176" t="str" cm="1">
        <f t="array" ref="AE1176">INDEX(Innings!W:W,MATCH(1,(TRIM(Innings!A:A)=TRIM(A1176))*(TRIM(Innings!D:D)=TRIM(E1176)),0))</f>
        <v>NA</v>
      </c>
      <c r="AF1176">
        <f>IF(UPPER(TRIM(E1176))=UPPER(TRIM(W1176)),1,0)</f>
        <v>0</v>
      </c>
      <c r="AG1176">
        <f t="shared" si="36"/>
        <v>0</v>
      </c>
    </row>
    <row r="1177" spans="1:33" x14ac:dyDescent="0.3">
      <c r="A1177" t="s">
        <v>471</v>
      </c>
      <c r="B1177">
        <v>3</v>
      </c>
      <c r="C1177" t="s">
        <v>494</v>
      </c>
      <c r="D1177" t="s">
        <v>501</v>
      </c>
      <c r="E1177" t="s">
        <v>258</v>
      </c>
      <c r="F1177" t="s">
        <v>101</v>
      </c>
      <c r="G1177" t="s">
        <v>134</v>
      </c>
      <c r="H1177">
        <v>1</v>
      </c>
      <c r="I1177">
        <v>1</v>
      </c>
      <c r="J1177">
        <v>100</v>
      </c>
      <c r="K1177" t="s">
        <v>96</v>
      </c>
      <c r="L1177">
        <v>2</v>
      </c>
      <c r="M1177">
        <v>1.1000000000000001</v>
      </c>
      <c r="N1177">
        <v>0</v>
      </c>
      <c r="O1177">
        <v>18</v>
      </c>
      <c r="P1177">
        <v>0</v>
      </c>
      <c r="Q1177">
        <v>15.4</v>
      </c>
      <c r="R1177">
        <v>0</v>
      </c>
      <c r="S1177">
        <v>0</v>
      </c>
      <c r="T1177">
        <v>0</v>
      </c>
      <c r="U1177" s="8">
        <v>2</v>
      </c>
      <c r="V1177" s="8">
        <f t="shared" si="37"/>
        <v>0</v>
      </c>
      <c r="W1177" t="str">
        <f>_xlfn.XLOOKUP(A1177, Matches!A:A, Matches!L:L, "NA", 0)</f>
        <v>DCW</v>
      </c>
      <c r="X1177" t="str">
        <f>_xlfn.XLOOKUP(A1177, Matches!A:A, Matches!J:J, "NA", 0)</f>
        <v>DCW</v>
      </c>
      <c r="Y1177" t="str">
        <f>_xlfn.XLOOKUP(A1177, Matches!A:A, Matches!F:F, "NA", 0)</f>
        <v>M. Chinnaswamy Stadium</v>
      </c>
      <c r="Z1177" cm="1">
        <f t="array" ref="Z1177">INDEX(Innings!F:F,MATCH(1,(TRIM(Innings!A:A)=TRIM(A1177))*(TRIM(Innings!D:D)=TRIM(E1177)),0))</f>
        <v>127</v>
      </c>
      <c r="AA1177" cm="1">
        <f t="array" ref="AA1177">INDEX(Innings!I:I,MATCH(1,(TRIM(Innings!A:A)=TRIM(A1177))*(TRIM(Innings!D:D)=TRIM(E1177)),0))</f>
        <v>6.35</v>
      </c>
      <c r="AB1177" cm="1">
        <f t="array" ref="AB1177">INDEX(Innings!J:J,MATCH(1,(TRIM(Innings!A:A)=TRIM(A1177))*(TRIM(Innings!D:D)=TRIM(E1177)),0))</f>
        <v>31</v>
      </c>
      <c r="AC1177" cm="1">
        <f t="array" ref="AC1177">INDEX(Innings!N:N,MATCH(1,(TRIM(Innings!A:A)=TRIM(A1177))*(TRIM(Innings!D:D)=TRIM(E1177)),0))</f>
        <v>27</v>
      </c>
      <c r="AD1177" cm="1">
        <f t="array" ref="AD1177">INDEX(Innings!S:S,MATCH(1,(TRIM(Innings!A:A)=TRIM(A1177))*(TRIM(Innings!D:D)=TRIM(E1177)),0))</f>
        <v>64</v>
      </c>
      <c r="AE1177" t="str" cm="1">
        <f t="array" ref="AE1177">INDEX(Innings!W:W,MATCH(1,(TRIM(Innings!A:A)=TRIM(A1177))*(TRIM(Innings!D:D)=TRIM(E1177)),0))</f>
        <v>NA</v>
      </c>
      <c r="AF1177">
        <f>IF(UPPER(TRIM(E1177))=UPPER(TRIM(W1177)),1,0)</f>
        <v>0</v>
      </c>
      <c r="AG1177">
        <f t="shared" si="36"/>
        <v>1</v>
      </c>
    </row>
    <row r="1178" spans="1:33" x14ac:dyDescent="0.3">
      <c r="A1178" t="s">
        <v>471</v>
      </c>
      <c r="B1178">
        <v>3</v>
      </c>
      <c r="C1178" t="s">
        <v>190</v>
      </c>
      <c r="D1178" t="s">
        <v>191</v>
      </c>
      <c r="E1178" t="s">
        <v>158</v>
      </c>
      <c r="F1178" t="s">
        <v>109</v>
      </c>
      <c r="G1178" t="s">
        <v>86</v>
      </c>
      <c r="H1178">
        <v>3</v>
      </c>
      <c r="I1178">
        <v>13</v>
      </c>
      <c r="J1178">
        <v>23.08</v>
      </c>
      <c r="K1178" t="s">
        <v>245</v>
      </c>
      <c r="L1178">
        <v>2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 s="8">
        <v>2</v>
      </c>
      <c r="V1178" s="8">
        <f t="shared" si="37"/>
        <v>0</v>
      </c>
      <c r="W1178" t="str">
        <f>_xlfn.XLOOKUP(A1178, Matches!A:A, Matches!L:L, "NA", 0)</f>
        <v>DCW</v>
      </c>
      <c r="X1178" t="str">
        <f>_xlfn.XLOOKUP(A1178, Matches!A:A, Matches!J:J, "NA", 0)</f>
        <v>DCW</v>
      </c>
      <c r="Y1178" t="str">
        <f>_xlfn.XLOOKUP(A1178, Matches!A:A, Matches!F:F, "NA", 0)</f>
        <v>M. Chinnaswamy Stadium</v>
      </c>
      <c r="Z1178" cm="1">
        <f t="array" ref="Z1178">INDEX(Innings!F:F,MATCH(1,(TRIM(Innings!A:A)=TRIM(A1178))*(TRIM(Innings!D:D)=TRIM(E1178)),0))</f>
        <v>131</v>
      </c>
      <c r="AA1178" cm="1">
        <f t="array" ref="AA1178">INDEX(Innings!I:I,MATCH(1,(TRIM(Innings!A:A)=TRIM(A1178))*(TRIM(Innings!D:D)=TRIM(E1178)),0))</f>
        <v>8.64</v>
      </c>
      <c r="AB1178" cm="1">
        <f t="array" ref="AB1178">INDEX(Innings!J:J,MATCH(1,(TRIM(Innings!A:A)=TRIM(A1178))*(TRIM(Innings!D:D)=TRIM(E1178)),0))</f>
        <v>46</v>
      </c>
      <c r="AC1178" cm="1">
        <f t="array" ref="AC1178">INDEX(Innings!N:N,MATCH(1,(TRIM(Innings!A:A)=TRIM(A1178))*(TRIM(Innings!D:D)=TRIM(E1178)),0))</f>
        <v>0</v>
      </c>
      <c r="AD1178" cm="1">
        <f t="array" ref="AD1178">INDEX(Innings!S:S,MATCH(1,(TRIM(Innings!A:A)=TRIM(A1178))*(TRIM(Innings!D:D)=TRIM(E1178)),0))</f>
        <v>43</v>
      </c>
      <c r="AE1178" t="str" cm="1">
        <f t="array" ref="AE1178">INDEX(Innings!W:W,MATCH(1,(TRIM(Innings!A:A)=TRIM(A1178))*(TRIM(Innings!D:D)=TRIM(E1178)),0))</f>
        <v>Successful</v>
      </c>
      <c r="AF1178">
        <f>IF(UPPER(TRIM(E1178))=UPPER(TRIM(W1178)),1,0)</f>
        <v>1</v>
      </c>
      <c r="AG1178">
        <f t="shared" si="36"/>
        <v>21</v>
      </c>
    </row>
    <row r="1179" spans="1:33" x14ac:dyDescent="0.3">
      <c r="A1179" t="s">
        <v>471</v>
      </c>
      <c r="B1179">
        <v>3</v>
      </c>
      <c r="C1179" t="s">
        <v>188</v>
      </c>
      <c r="D1179" t="s">
        <v>189</v>
      </c>
      <c r="E1179" t="s">
        <v>158</v>
      </c>
      <c r="F1179" t="s">
        <v>109</v>
      </c>
      <c r="G1179" t="s">
        <v>86</v>
      </c>
      <c r="H1179">
        <v>44</v>
      </c>
      <c r="I1179">
        <v>27</v>
      </c>
      <c r="J1179">
        <v>162.96</v>
      </c>
      <c r="K1179" t="s">
        <v>247</v>
      </c>
      <c r="L1179">
        <v>55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 s="8">
        <v>55</v>
      </c>
      <c r="V1179" s="8">
        <f t="shared" si="37"/>
        <v>6</v>
      </c>
      <c r="W1179" t="str">
        <f>_xlfn.XLOOKUP(A1179, Matches!A:A, Matches!L:L, "NA", 0)</f>
        <v>DCW</v>
      </c>
      <c r="X1179" t="str">
        <f>_xlfn.XLOOKUP(A1179, Matches!A:A, Matches!J:J, "NA", 0)</f>
        <v>DCW</v>
      </c>
      <c r="Y1179" t="str">
        <f>_xlfn.XLOOKUP(A1179, Matches!A:A, Matches!F:F, "NA", 0)</f>
        <v>M. Chinnaswamy Stadium</v>
      </c>
      <c r="Z1179" cm="1">
        <f t="array" ref="Z1179">INDEX(Innings!F:F,MATCH(1,(TRIM(Innings!A:A)=TRIM(A1179))*(TRIM(Innings!D:D)=TRIM(E1179)),0))</f>
        <v>131</v>
      </c>
      <c r="AA1179" cm="1">
        <f t="array" ref="AA1179">INDEX(Innings!I:I,MATCH(1,(TRIM(Innings!A:A)=TRIM(A1179))*(TRIM(Innings!D:D)=TRIM(E1179)),0))</f>
        <v>8.64</v>
      </c>
      <c r="AB1179" cm="1">
        <f t="array" ref="AB1179">INDEX(Innings!J:J,MATCH(1,(TRIM(Innings!A:A)=TRIM(A1179))*(TRIM(Innings!D:D)=TRIM(E1179)),0))</f>
        <v>46</v>
      </c>
      <c r="AC1179" cm="1">
        <f t="array" ref="AC1179">INDEX(Innings!N:N,MATCH(1,(TRIM(Innings!A:A)=TRIM(A1179))*(TRIM(Innings!D:D)=TRIM(E1179)),0))</f>
        <v>0</v>
      </c>
      <c r="AD1179" cm="1">
        <f t="array" ref="AD1179">INDEX(Innings!S:S,MATCH(1,(TRIM(Innings!A:A)=TRIM(A1179))*(TRIM(Innings!D:D)=TRIM(E1179)),0))</f>
        <v>43</v>
      </c>
      <c r="AE1179" t="str" cm="1">
        <f t="array" ref="AE1179">INDEX(Innings!W:W,MATCH(1,(TRIM(Innings!A:A)=TRIM(A1179))*(TRIM(Innings!D:D)=TRIM(E1179)),0))</f>
        <v>Successful</v>
      </c>
      <c r="AF1179">
        <f>IF(UPPER(TRIM(E1179))=UPPER(TRIM(W1179)),1,0)</f>
        <v>1</v>
      </c>
      <c r="AG1179">
        <f t="shared" si="36"/>
        <v>49.3</v>
      </c>
    </row>
    <row r="1180" spans="1:33" x14ac:dyDescent="0.3">
      <c r="A1180" t="s">
        <v>471</v>
      </c>
      <c r="B1180">
        <v>3</v>
      </c>
      <c r="C1180" t="s">
        <v>198</v>
      </c>
      <c r="D1180" t="s">
        <v>199</v>
      </c>
      <c r="E1180" t="s">
        <v>158</v>
      </c>
      <c r="F1180" t="s">
        <v>101</v>
      </c>
      <c r="G1180" t="s">
        <v>92</v>
      </c>
      <c r="H1180">
        <v>61</v>
      </c>
      <c r="I1180">
        <v>32</v>
      </c>
      <c r="J1180">
        <v>190.62</v>
      </c>
      <c r="K1180" t="s">
        <v>96</v>
      </c>
      <c r="L1180">
        <v>75</v>
      </c>
      <c r="M1180">
        <v>3</v>
      </c>
      <c r="N1180">
        <v>0</v>
      </c>
      <c r="O1180">
        <v>24</v>
      </c>
      <c r="P1180">
        <v>1</v>
      </c>
      <c r="Q1180">
        <v>8</v>
      </c>
      <c r="R1180">
        <v>25</v>
      </c>
      <c r="S1180">
        <v>0</v>
      </c>
      <c r="T1180">
        <v>0</v>
      </c>
      <c r="U1180" s="8">
        <v>100</v>
      </c>
      <c r="V1180" s="8">
        <f t="shared" si="37"/>
        <v>10</v>
      </c>
      <c r="W1180" t="str">
        <f>_xlfn.XLOOKUP(A1180, Matches!A:A, Matches!L:L, "NA", 0)</f>
        <v>DCW</v>
      </c>
      <c r="X1180" t="str">
        <f>_xlfn.XLOOKUP(A1180, Matches!A:A, Matches!J:J, "NA", 0)</f>
        <v>DCW</v>
      </c>
      <c r="Y1180" t="str">
        <f>_xlfn.XLOOKUP(A1180, Matches!A:A, Matches!F:F, "NA", 0)</f>
        <v>M. Chinnaswamy Stadium</v>
      </c>
      <c r="Z1180" cm="1">
        <f t="array" ref="Z1180">INDEX(Innings!F:F,MATCH(1,(TRIM(Innings!A:A)=TRIM(A1180))*(TRIM(Innings!D:D)=TRIM(E1180)),0))</f>
        <v>131</v>
      </c>
      <c r="AA1180" cm="1">
        <f t="array" ref="AA1180">INDEX(Innings!I:I,MATCH(1,(TRIM(Innings!A:A)=TRIM(A1180))*(TRIM(Innings!D:D)=TRIM(E1180)),0))</f>
        <v>8.64</v>
      </c>
      <c r="AB1180" cm="1">
        <f t="array" ref="AB1180">INDEX(Innings!J:J,MATCH(1,(TRIM(Innings!A:A)=TRIM(A1180))*(TRIM(Innings!D:D)=TRIM(E1180)),0))</f>
        <v>46</v>
      </c>
      <c r="AC1180" cm="1">
        <f t="array" ref="AC1180">INDEX(Innings!N:N,MATCH(1,(TRIM(Innings!A:A)=TRIM(A1180))*(TRIM(Innings!D:D)=TRIM(E1180)),0))</f>
        <v>0</v>
      </c>
      <c r="AD1180" cm="1">
        <f t="array" ref="AD1180">INDEX(Innings!S:S,MATCH(1,(TRIM(Innings!A:A)=TRIM(A1180))*(TRIM(Innings!D:D)=TRIM(E1180)),0))</f>
        <v>43</v>
      </c>
      <c r="AE1180" t="str" cm="1">
        <f t="array" ref="AE1180">INDEX(Innings!W:W,MATCH(1,(TRIM(Innings!A:A)=TRIM(A1180))*(TRIM(Innings!D:D)=TRIM(E1180)),0))</f>
        <v>Successful</v>
      </c>
      <c r="AF1180">
        <f>IF(UPPER(TRIM(E1180))=UPPER(TRIM(W1180)),1,0)</f>
        <v>1</v>
      </c>
      <c r="AG1180">
        <f t="shared" si="36"/>
        <v>73</v>
      </c>
    </row>
    <row r="1181" spans="1:33" x14ac:dyDescent="0.3">
      <c r="A1181" t="s">
        <v>471</v>
      </c>
      <c r="B1181">
        <v>3</v>
      </c>
      <c r="C1181" t="s">
        <v>194</v>
      </c>
      <c r="D1181" t="s">
        <v>195</v>
      </c>
      <c r="E1181" t="s">
        <v>158</v>
      </c>
      <c r="F1181" t="s">
        <v>109</v>
      </c>
      <c r="G1181" t="s">
        <v>134</v>
      </c>
      <c r="H1181">
        <v>5</v>
      </c>
      <c r="I1181">
        <v>9</v>
      </c>
      <c r="J1181">
        <v>55.56</v>
      </c>
      <c r="K1181" t="s">
        <v>246</v>
      </c>
      <c r="L1181">
        <v>5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 s="8">
        <v>5</v>
      </c>
      <c r="V1181" s="8">
        <f t="shared" si="37"/>
        <v>1</v>
      </c>
      <c r="W1181" t="str">
        <f>_xlfn.XLOOKUP(A1181, Matches!A:A, Matches!L:L, "NA", 0)</f>
        <v>DCW</v>
      </c>
      <c r="X1181" t="str">
        <f>_xlfn.XLOOKUP(A1181, Matches!A:A, Matches!J:J, "NA", 0)</f>
        <v>DCW</v>
      </c>
      <c r="Y1181" t="str">
        <f>_xlfn.XLOOKUP(A1181, Matches!A:A, Matches!F:F, "NA", 0)</f>
        <v>M. Chinnaswamy Stadium</v>
      </c>
      <c r="Z1181" cm="1">
        <f t="array" ref="Z1181">INDEX(Innings!F:F,MATCH(1,(TRIM(Innings!A:A)=TRIM(A1181))*(TRIM(Innings!D:D)=TRIM(E1181)),0))</f>
        <v>131</v>
      </c>
      <c r="AA1181" cm="1">
        <f t="array" ref="AA1181">INDEX(Innings!I:I,MATCH(1,(TRIM(Innings!A:A)=TRIM(A1181))*(TRIM(Innings!D:D)=TRIM(E1181)),0))</f>
        <v>8.64</v>
      </c>
      <c r="AB1181" cm="1">
        <f t="array" ref="AB1181">INDEX(Innings!J:J,MATCH(1,(TRIM(Innings!A:A)=TRIM(A1181))*(TRIM(Innings!D:D)=TRIM(E1181)),0))</f>
        <v>46</v>
      </c>
      <c r="AC1181" cm="1">
        <f t="array" ref="AC1181">INDEX(Innings!N:N,MATCH(1,(TRIM(Innings!A:A)=TRIM(A1181))*(TRIM(Innings!D:D)=TRIM(E1181)),0))</f>
        <v>0</v>
      </c>
      <c r="AD1181" cm="1">
        <f t="array" ref="AD1181">INDEX(Innings!S:S,MATCH(1,(TRIM(Innings!A:A)=TRIM(A1181))*(TRIM(Innings!D:D)=TRIM(E1181)),0))</f>
        <v>43</v>
      </c>
      <c r="AE1181" t="str" cm="1">
        <f t="array" ref="AE1181">INDEX(Innings!W:W,MATCH(1,(TRIM(Innings!A:A)=TRIM(A1181))*(TRIM(Innings!D:D)=TRIM(E1181)),0))</f>
        <v>Successful</v>
      </c>
      <c r="AF1181">
        <f>IF(UPPER(TRIM(E1181))=UPPER(TRIM(W1181)),1,0)</f>
        <v>1</v>
      </c>
      <c r="AG1181">
        <f t="shared" si="36"/>
        <v>22.8</v>
      </c>
    </row>
    <row r="1182" spans="1:33" x14ac:dyDescent="0.3">
      <c r="A1182" t="s">
        <v>471</v>
      </c>
      <c r="B1182">
        <v>3</v>
      </c>
      <c r="C1182" t="s">
        <v>94</v>
      </c>
      <c r="D1182" t="s">
        <v>120</v>
      </c>
      <c r="E1182" t="s">
        <v>158</v>
      </c>
      <c r="F1182" t="s">
        <v>169</v>
      </c>
      <c r="G1182" t="s">
        <v>134</v>
      </c>
      <c r="H1182">
        <v>1</v>
      </c>
      <c r="I1182">
        <v>2</v>
      </c>
      <c r="J1182">
        <v>50</v>
      </c>
      <c r="K1182" t="s">
        <v>246</v>
      </c>
      <c r="L1182">
        <v>2</v>
      </c>
      <c r="M1182">
        <v>4</v>
      </c>
      <c r="N1182">
        <v>0</v>
      </c>
      <c r="O1182">
        <v>20</v>
      </c>
      <c r="P1182">
        <v>2</v>
      </c>
      <c r="Q1182">
        <v>5</v>
      </c>
      <c r="R1182">
        <v>50</v>
      </c>
      <c r="S1182">
        <v>0</v>
      </c>
      <c r="T1182">
        <v>0</v>
      </c>
      <c r="U1182" s="8">
        <v>52</v>
      </c>
      <c r="V1182" s="8">
        <f t="shared" si="37"/>
        <v>5</v>
      </c>
      <c r="W1182" t="str">
        <f>_xlfn.XLOOKUP(A1182, Matches!A:A, Matches!L:L, "NA", 0)</f>
        <v>DCW</v>
      </c>
      <c r="X1182" t="str">
        <f>_xlfn.XLOOKUP(A1182, Matches!A:A, Matches!J:J, "NA", 0)</f>
        <v>DCW</v>
      </c>
      <c r="Y1182" t="str">
        <f>_xlfn.XLOOKUP(A1182, Matches!A:A, Matches!F:F, "NA", 0)</f>
        <v>M. Chinnaswamy Stadium</v>
      </c>
      <c r="Z1182" cm="1">
        <f t="array" ref="Z1182">INDEX(Innings!F:F,MATCH(1,(TRIM(Innings!A:A)=TRIM(A1182))*(TRIM(Innings!D:D)=TRIM(E1182)),0))</f>
        <v>131</v>
      </c>
      <c r="AA1182" cm="1">
        <f t="array" ref="AA1182">INDEX(Innings!I:I,MATCH(1,(TRIM(Innings!A:A)=TRIM(A1182))*(TRIM(Innings!D:D)=TRIM(E1182)),0))</f>
        <v>8.64</v>
      </c>
      <c r="AB1182" cm="1">
        <f t="array" ref="AB1182">INDEX(Innings!J:J,MATCH(1,(TRIM(Innings!A:A)=TRIM(A1182))*(TRIM(Innings!D:D)=TRIM(E1182)),0))</f>
        <v>46</v>
      </c>
      <c r="AC1182" cm="1">
        <f t="array" ref="AC1182">INDEX(Innings!N:N,MATCH(1,(TRIM(Innings!A:A)=TRIM(A1182))*(TRIM(Innings!D:D)=TRIM(E1182)),0))</f>
        <v>0</v>
      </c>
      <c r="AD1182" cm="1">
        <f t="array" ref="AD1182">INDEX(Innings!S:S,MATCH(1,(TRIM(Innings!A:A)=TRIM(A1182))*(TRIM(Innings!D:D)=TRIM(E1182)),0))</f>
        <v>43</v>
      </c>
      <c r="AE1182" t="str" cm="1">
        <f t="array" ref="AE1182">INDEX(Innings!W:W,MATCH(1,(TRIM(Innings!A:A)=TRIM(A1182))*(TRIM(Innings!D:D)=TRIM(E1182)),0))</f>
        <v>Successful</v>
      </c>
      <c r="AF1182">
        <f>IF(UPPER(TRIM(E1182))=UPPER(TRIM(W1182)),1,0)</f>
        <v>1</v>
      </c>
      <c r="AG1182">
        <f t="shared" si="36"/>
        <v>47.5</v>
      </c>
    </row>
    <row r="1183" spans="1:33" x14ac:dyDescent="0.3">
      <c r="A1183" t="s">
        <v>471</v>
      </c>
      <c r="B1183">
        <v>3</v>
      </c>
      <c r="C1183" t="s">
        <v>192</v>
      </c>
      <c r="D1183" t="s">
        <v>193</v>
      </c>
      <c r="E1183" t="s">
        <v>158</v>
      </c>
      <c r="F1183" t="s">
        <v>169</v>
      </c>
      <c r="G1183" t="s">
        <v>134</v>
      </c>
      <c r="H1183">
        <v>9</v>
      </c>
      <c r="I1183">
        <v>8</v>
      </c>
      <c r="J1183">
        <v>112.5</v>
      </c>
      <c r="K1183" t="s">
        <v>96</v>
      </c>
      <c r="L1183">
        <v>10</v>
      </c>
      <c r="M1183">
        <v>4</v>
      </c>
      <c r="N1183">
        <v>1</v>
      </c>
      <c r="O1183">
        <v>17</v>
      </c>
      <c r="P1183">
        <v>2</v>
      </c>
      <c r="Q1183">
        <v>4.2</v>
      </c>
      <c r="R1183">
        <v>50</v>
      </c>
      <c r="S1183">
        <v>0</v>
      </c>
      <c r="T1183">
        <v>0</v>
      </c>
      <c r="U1183" s="8">
        <v>60</v>
      </c>
      <c r="V1183" s="8">
        <f t="shared" si="37"/>
        <v>6</v>
      </c>
      <c r="W1183" t="str">
        <f>_xlfn.XLOOKUP(A1183, Matches!A:A, Matches!L:L, "NA", 0)</f>
        <v>DCW</v>
      </c>
      <c r="X1183" t="str">
        <f>_xlfn.XLOOKUP(A1183, Matches!A:A, Matches!J:J, "NA", 0)</f>
        <v>DCW</v>
      </c>
      <c r="Y1183" t="str">
        <f>_xlfn.XLOOKUP(A1183, Matches!A:A, Matches!F:F, "NA", 0)</f>
        <v>M. Chinnaswamy Stadium</v>
      </c>
      <c r="Z1183" cm="1">
        <f t="array" ref="Z1183">INDEX(Innings!F:F,MATCH(1,(TRIM(Innings!A:A)=TRIM(A1183))*(TRIM(Innings!D:D)=TRIM(E1183)),0))</f>
        <v>131</v>
      </c>
      <c r="AA1183" cm="1">
        <f t="array" ref="AA1183">INDEX(Innings!I:I,MATCH(1,(TRIM(Innings!A:A)=TRIM(A1183))*(TRIM(Innings!D:D)=TRIM(E1183)),0))</f>
        <v>8.64</v>
      </c>
      <c r="AB1183" cm="1">
        <f t="array" ref="AB1183">INDEX(Innings!J:J,MATCH(1,(TRIM(Innings!A:A)=TRIM(A1183))*(TRIM(Innings!D:D)=TRIM(E1183)),0))</f>
        <v>46</v>
      </c>
      <c r="AC1183" cm="1">
        <f t="array" ref="AC1183">INDEX(Innings!N:N,MATCH(1,(TRIM(Innings!A:A)=TRIM(A1183))*(TRIM(Innings!D:D)=TRIM(E1183)),0))</f>
        <v>0</v>
      </c>
      <c r="AD1183" cm="1">
        <f t="array" ref="AD1183">INDEX(Innings!S:S,MATCH(1,(TRIM(Innings!A:A)=TRIM(A1183))*(TRIM(Innings!D:D)=TRIM(E1183)),0))</f>
        <v>43</v>
      </c>
      <c r="AE1183" t="str" cm="1">
        <f t="array" ref="AE1183">INDEX(Innings!W:W,MATCH(1,(TRIM(Innings!A:A)=TRIM(A1183))*(TRIM(Innings!D:D)=TRIM(E1183)),0))</f>
        <v>Successful</v>
      </c>
      <c r="AF1183">
        <f>IF(UPPER(TRIM(E1183))=UPPER(TRIM(W1183)),1,0)</f>
        <v>1</v>
      </c>
      <c r="AG1183">
        <f t="shared" si="36"/>
        <v>51.8</v>
      </c>
    </row>
    <row r="1184" spans="1:33" x14ac:dyDescent="0.3">
      <c r="A1184" t="s">
        <v>471</v>
      </c>
      <c r="B1184">
        <v>3</v>
      </c>
      <c r="C1184" t="s">
        <v>496</v>
      </c>
      <c r="D1184" t="s">
        <v>518</v>
      </c>
      <c r="E1184" t="s">
        <v>158</v>
      </c>
      <c r="F1184" t="s">
        <v>85</v>
      </c>
      <c r="G1184" t="s">
        <v>104</v>
      </c>
      <c r="H1184">
        <v>0</v>
      </c>
      <c r="I1184">
        <v>0</v>
      </c>
      <c r="J1184">
        <v>0</v>
      </c>
      <c r="K1184" t="s">
        <v>104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 s="8">
        <v>0</v>
      </c>
      <c r="V1184" s="8">
        <f t="shared" si="37"/>
        <v>0</v>
      </c>
      <c r="W1184" t="str">
        <f>_xlfn.XLOOKUP(A1184, Matches!A:A, Matches!L:L, "NA", 0)</f>
        <v>DCW</v>
      </c>
      <c r="X1184" t="str">
        <f>_xlfn.XLOOKUP(A1184, Matches!A:A, Matches!J:J, "NA", 0)</f>
        <v>DCW</v>
      </c>
      <c r="Y1184" t="str">
        <f>_xlfn.XLOOKUP(A1184, Matches!A:A, Matches!F:F, "NA", 0)</f>
        <v>M. Chinnaswamy Stadium</v>
      </c>
      <c r="Z1184" cm="1">
        <f t="array" ref="Z1184">INDEX(Innings!F:F,MATCH(1,(TRIM(Innings!A:A)=TRIM(A1184))*(TRIM(Innings!D:D)=TRIM(E1184)),0))</f>
        <v>131</v>
      </c>
      <c r="AA1184" cm="1">
        <f t="array" ref="AA1184">INDEX(Innings!I:I,MATCH(1,(TRIM(Innings!A:A)=TRIM(A1184))*(TRIM(Innings!D:D)=TRIM(E1184)),0))</f>
        <v>8.64</v>
      </c>
      <c r="AB1184" cm="1">
        <f t="array" ref="AB1184">INDEX(Innings!J:J,MATCH(1,(TRIM(Innings!A:A)=TRIM(A1184))*(TRIM(Innings!D:D)=TRIM(E1184)),0))</f>
        <v>46</v>
      </c>
      <c r="AC1184" cm="1">
        <f t="array" ref="AC1184">INDEX(Innings!N:N,MATCH(1,(TRIM(Innings!A:A)=TRIM(A1184))*(TRIM(Innings!D:D)=TRIM(E1184)),0))</f>
        <v>0</v>
      </c>
      <c r="AD1184" cm="1">
        <f t="array" ref="AD1184">INDEX(Innings!S:S,MATCH(1,(TRIM(Innings!A:A)=TRIM(A1184))*(TRIM(Innings!D:D)=TRIM(E1184)),0))</f>
        <v>43</v>
      </c>
      <c r="AE1184" t="str" cm="1">
        <f t="array" ref="AE1184">INDEX(Innings!W:W,MATCH(1,(TRIM(Innings!A:A)=TRIM(A1184))*(TRIM(Innings!D:D)=TRIM(E1184)),0))</f>
        <v>Successful</v>
      </c>
      <c r="AF1184">
        <f>IF(UPPER(TRIM(E1184))=UPPER(TRIM(W1184)),1,0)</f>
        <v>1</v>
      </c>
      <c r="AG1184">
        <f t="shared" si="36"/>
        <v>20</v>
      </c>
    </row>
    <row r="1185" spans="1:33" x14ac:dyDescent="0.3">
      <c r="A1185" t="s">
        <v>471</v>
      </c>
      <c r="B1185">
        <v>3</v>
      </c>
      <c r="C1185" t="s">
        <v>495</v>
      </c>
      <c r="D1185" t="s">
        <v>503</v>
      </c>
      <c r="E1185" t="s">
        <v>158</v>
      </c>
      <c r="F1185" t="s">
        <v>169</v>
      </c>
      <c r="G1185" t="s">
        <v>104</v>
      </c>
      <c r="H1185">
        <v>0</v>
      </c>
      <c r="I1185">
        <v>0</v>
      </c>
      <c r="J1185">
        <v>0</v>
      </c>
      <c r="K1185" t="s">
        <v>104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 s="8">
        <v>0</v>
      </c>
      <c r="V1185" s="8">
        <f t="shared" si="37"/>
        <v>0</v>
      </c>
      <c r="W1185" t="str">
        <f>_xlfn.XLOOKUP(A1185, Matches!A:A, Matches!L:L, "NA", 0)</f>
        <v>DCW</v>
      </c>
      <c r="X1185" t="str">
        <f>_xlfn.XLOOKUP(A1185, Matches!A:A, Matches!J:J, "NA", 0)</f>
        <v>DCW</v>
      </c>
      <c r="Y1185" t="str">
        <f>_xlfn.XLOOKUP(A1185, Matches!A:A, Matches!F:F, "NA", 0)</f>
        <v>M. Chinnaswamy Stadium</v>
      </c>
      <c r="Z1185" cm="1">
        <f t="array" ref="Z1185">INDEX(Innings!F:F,MATCH(1,(TRIM(Innings!A:A)=TRIM(A1185))*(TRIM(Innings!D:D)=TRIM(E1185)),0))</f>
        <v>131</v>
      </c>
      <c r="AA1185" cm="1">
        <f t="array" ref="AA1185">INDEX(Innings!I:I,MATCH(1,(TRIM(Innings!A:A)=TRIM(A1185))*(TRIM(Innings!D:D)=TRIM(E1185)),0))</f>
        <v>8.64</v>
      </c>
      <c r="AB1185" cm="1">
        <f t="array" ref="AB1185">INDEX(Innings!J:J,MATCH(1,(TRIM(Innings!A:A)=TRIM(A1185))*(TRIM(Innings!D:D)=TRIM(E1185)),0))</f>
        <v>46</v>
      </c>
      <c r="AC1185" cm="1">
        <f t="array" ref="AC1185">INDEX(Innings!N:N,MATCH(1,(TRIM(Innings!A:A)=TRIM(A1185))*(TRIM(Innings!D:D)=TRIM(E1185)),0))</f>
        <v>0</v>
      </c>
      <c r="AD1185" cm="1">
        <f t="array" ref="AD1185">INDEX(Innings!S:S,MATCH(1,(TRIM(Innings!A:A)=TRIM(A1185))*(TRIM(Innings!D:D)=TRIM(E1185)),0))</f>
        <v>43</v>
      </c>
      <c r="AE1185" t="str" cm="1">
        <f t="array" ref="AE1185">INDEX(Innings!W:W,MATCH(1,(TRIM(Innings!A:A)=TRIM(A1185))*(TRIM(Innings!D:D)=TRIM(E1185)),0))</f>
        <v>Successful</v>
      </c>
      <c r="AF1185">
        <f>IF(UPPER(TRIM(E1185))=UPPER(TRIM(W1185)),1,0)</f>
        <v>1</v>
      </c>
      <c r="AG1185">
        <f t="shared" si="36"/>
        <v>20</v>
      </c>
    </row>
    <row r="1186" spans="1:33" x14ac:dyDescent="0.3">
      <c r="A1186" t="s">
        <v>471</v>
      </c>
      <c r="B1186">
        <v>3</v>
      </c>
      <c r="C1186" t="s">
        <v>204</v>
      </c>
      <c r="D1186" t="s">
        <v>205</v>
      </c>
      <c r="E1186" t="s">
        <v>158</v>
      </c>
      <c r="F1186" t="s">
        <v>169</v>
      </c>
      <c r="G1186" t="s">
        <v>104</v>
      </c>
      <c r="H1186">
        <v>0</v>
      </c>
      <c r="I1186">
        <v>0</v>
      </c>
      <c r="J1186">
        <v>0</v>
      </c>
      <c r="K1186" t="s">
        <v>104</v>
      </c>
      <c r="L1186">
        <v>0</v>
      </c>
      <c r="M1186">
        <v>3</v>
      </c>
      <c r="N1186">
        <v>0</v>
      </c>
      <c r="O1186">
        <v>18</v>
      </c>
      <c r="P1186">
        <v>2</v>
      </c>
      <c r="Q1186">
        <v>6</v>
      </c>
      <c r="R1186">
        <v>50</v>
      </c>
      <c r="S1186">
        <v>0</v>
      </c>
      <c r="T1186">
        <v>0</v>
      </c>
      <c r="U1186" s="8">
        <v>50</v>
      </c>
      <c r="V1186" s="8">
        <f t="shared" si="37"/>
        <v>5</v>
      </c>
      <c r="W1186" t="str">
        <f>_xlfn.XLOOKUP(A1186, Matches!A:A, Matches!L:L, "NA", 0)</f>
        <v>DCW</v>
      </c>
      <c r="X1186" t="str">
        <f>_xlfn.XLOOKUP(A1186, Matches!A:A, Matches!J:J, "NA", 0)</f>
        <v>DCW</v>
      </c>
      <c r="Y1186" t="str">
        <f>_xlfn.XLOOKUP(A1186, Matches!A:A, Matches!F:F, "NA", 0)</f>
        <v>M. Chinnaswamy Stadium</v>
      </c>
      <c r="Z1186" cm="1">
        <f t="array" ref="Z1186">INDEX(Innings!F:F,MATCH(1,(TRIM(Innings!A:A)=TRIM(A1186))*(TRIM(Innings!D:D)=TRIM(E1186)),0))</f>
        <v>131</v>
      </c>
      <c r="AA1186" cm="1">
        <f t="array" ref="AA1186">INDEX(Innings!I:I,MATCH(1,(TRIM(Innings!A:A)=TRIM(A1186))*(TRIM(Innings!D:D)=TRIM(E1186)),0))</f>
        <v>8.64</v>
      </c>
      <c r="AB1186" cm="1">
        <f t="array" ref="AB1186">INDEX(Innings!J:J,MATCH(1,(TRIM(Innings!A:A)=TRIM(A1186))*(TRIM(Innings!D:D)=TRIM(E1186)),0))</f>
        <v>46</v>
      </c>
      <c r="AC1186" cm="1">
        <f t="array" ref="AC1186">INDEX(Innings!N:N,MATCH(1,(TRIM(Innings!A:A)=TRIM(A1186))*(TRIM(Innings!D:D)=TRIM(E1186)),0))</f>
        <v>0</v>
      </c>
      <c r="AD1186" cm="1">
        <f t="array" ref="AD1186">INDEX(Innings!S:S,MATCH(1,(TRIM(Innings!A:A)=TRIM(A1186))*(TRIM(Innings!D:D)=TRIM(E1186)),0))</f>
        <v>43</v>
      </c>
      <c r="AE1186" t="str" cm="1">
        <f t="array" ref="AE1186">INDEX(Innings!W:W,MATCH(1,(TRIM(Innings!A:A)=TRIM(A1186))*(TRIM(Innings!D:D)=TRIM(E1186)),0))</f>
        <v>Successful</v>
      </c>
      <c r="AF1186">
        <f>IF(UPPER(TRIM(E1186))=UPPER(TRIM(W1186)),1,0)</f>
        <v>1</v>
      </c>
      <c r="AG1186">
        <f t="shared" si="36"/>
        <v>46.5</v>
      </c>
    </row>
    <row r="1187" spans="1:33" x14ac:dyDescent="0.3">
      <c r="A1187" t="s">
        <v>471</v>
      </c>
      <c r="B1187">
        <v>3</v>
      </c>
      <c r="C1187" t="s">
        <v>274</v>
      </c>
      <c r="D1187" t="s">
        <v>284</v>
      </c>
      <c r="E1187" t="s">
        <v>158</v>
      </c>
      <c r="F1187" t="s">
        <v>169</v>
      </c>
      <c r="G1187" t="s">
        <v>104</v>
      </c>
      <c r="H1187">
        <v>0</v>
      </c>
      <c r="I1187">
        <v>0</v>
      </c>
      <c r="J1187">
        <v>0</v>
      </c>
      <c r="K1187" t="s">
        <v>104</v>
      </c>
      <c r="L1187">
        <v>0</v>
      </c>
      <c r="M1187">
        <v>4</v>
      </c>
      <c r="N1187">
        <v>0</v>
      </c>
      <c r="O1187">
        <v>21</v>
      </c>
      <c r="P1187">
        <v>0</v>
      </c>
      <c r="Q1187">
        <v>5.2</v>
      </c>
      <c r="R1187">
        <v>15</v>
      </c>
      <c r="S1187">
        <v>0</v>
      </c>
      <c r="T1187">
        <v>0</v>
      </c>
      <c r="U1187" s="8">
        <v>15</v>
      </c>
      <c r="V1187" s="8">
        <f t="shared" si="37"/>
        <v>2</v>
      </c>
      <c r="W1187" t="str">
        <f>_xlfn.XLOOKUP(A1187, Matches!A:A, Matches!L:L, "NA", 0)</f>
        <v>DCW</v>
      </c>
      <c r="X1187" t="str">
        <f>_xlfn.XLOOKUP(A1187, Matches!A:A, Matches!J:J, "NA", 0)</f>
        <v>DCW</v>
      </c>
      <c r="Y1187" t="str">
        <f>_xlfn.XLOOKUP(A1187, Matches!A:A, Matches!F:F, "NA", 0)</f>
        <v>M. Chinnaswamy Stadium</v>
      </c>
      <c r="Z1187" cm="1">
        <f t="array" ref="Z1187">INDEX(Innings!F:F,MATCH(1,(TRIM(Innings!A:A)=TRIM(A1187))*(TRIM(Innings!D:D)=TRIM(E1187)),0))</f>
        <v>131</v>
      </c>
      <c r="AA1187" cm="1">
        <f t="array" ref="AA1187">INDEX(Innings!I:I,MATCH(1,(TRIM(Innings!A:A)=TRIM(A1187))*(TRIM(Innings!D:D)=TRIM(E1187)),0))</f>
        <v>8.64</v>
      </c>
      <c r="AB1187" cm="1">
        <f t="array" ref="AB1187">INDEX(Innings!J:J,MATCH(1,(TRIM(Innings!A:A)=TRIM(A1187))*(TRIM(Innings!D:D)=TRIM(E1187)),0))</f>
        <v>46</v>
      </c>
      <c r="AC1187" cm="1">
        <f t="array" ref="AC1187">INDEX(Innings!N:N,MATCH(1,(TRIM(Innings!A:A)=TRIM(A1187))*(TRIM(Innings!D:D)=TRIM(E1187)),0))</f>
        <v>0</v>
      </c>
      <c r="AD1187" cm="1">
        <f t="array" ref="AD1187">INDEX(Innings!S:S,MATCH(1,(TRIM(Innings!A:A)=TRIM(A1187))*(TRIM(Innings!D:D)=TRIM(E1187)),0))</f>
        <v>43</v>
      </c>
      <c r="AE1187" t="str" cm="1">
        <f t="array" ref="AE1187">INDEX(Innings!W:W,MATCH(1,(TRIM(Innings!A:A)=TRIM(A1187))*(TRIM(Innings!D:D)=TRIM(E1187)),0))</f>
        <v>Successful</v>
      </c>
      <c r="AF1187">
        <f>IF(UPPER(TRIM(E1187))=UPPER(TRIM(W1187)),1,0)</f>
        <v>1</v>
      </c>
      <c r="AG1187">
        <f t="shared" si="36"/>
        <v>28.1</v>
      </c>
    </row>
    <row r="1188" spans="1:33" x14ac:dyDescent="0.3">
      <c r="A1188" t="s">
        <v>471</v>
      </c>
      <c r="B1188">
        <v>3</v>
      </c>
      <c r="C1188" t="s">
        <v>413</v>
      </c>
      <c r="D1188" t="s">
        <v>423</v>
      </c>
      <c r="E1188" t="s">
        <v>158</v>
      </c>
      <c r="F1188" t="s">
        <v>101</v>
      </c>
      <c r="G1188" t="s">
        <v>104</v>
      </c>
      <c r="H1188">
        <v>0</v>
      </c>
      <c r="I1188">
        <v>0</v>
      </c>
      <c r="J1188">
        <v>0</v>
      </c>
      <c r="K1188" t="s">
        <v>104</v>
      </c>
      <c r="L1188">
        <v>0</v>
      </c>
      <c r="M1188">
        <v>2</v>
      </c>
      <c r="N1188">
        <v>0</v>
      </c>
      <c r="O1188">
        <v>15</v>
      </c>
      <c r="P1188">
        <v>1</v>
      </c>
      <c r="Q1188">
        <v>7.5</v>
      </c>
      <c r="R1188">
        <v>25</v>
      </c>
      <c r="S1188">
        <v>0</v>
      </c>
      <c r="T1188">
        <v>0</v>
      </c>
      <c r="U1188" s="8">
        <v>25</v>
      </c>
      <c r="V1188" s="8">
        <f t="shared" si="37"/>
        <v>3</v>
      </c>
      <c r="W1188" t="str">
        <f>_xlfn.XLOOKUP(A1188, Matches!A:A, Matches!L:L, "NA", 0)</f>
        <v>DCW</v>
      </c>
      <c r="X1188" t="str">
        <f>_xlfn.XLOOKUP(A1188, Matches!A:A, Matches!J:J, "NA", 0)</f>
        <v>DCW</v>
      </c>
      <c r="Y1188" t="str">
        <f>_xlfn.XLOOKUP(A1188, Matches!A:A, Matches!F:F, "NA", 0)</f>
        <v>M. Chinnaswamy Stadium</v>
      </c>
      <c r="Z1188" cm="1">
        <f t="array" ref="Z1188">INDEX(Innings!F:F,MATCH(1,(TRIM(Innings!A:A)=TRIM(A1188))*(TRIM(Innings!D:D)=TRIM(E1188)),0))</f>
        <v>131</v>
      </c>
      <c r="AA1188" cm="1">
        <f t="array" ref="AA1188">INDEX(Innings!I:I,MATCH(1,(TRIM(Innings!A:A)=TRIM(A1188))*(TRIM(Innings!D:D)=TRIM(E1188)),0))</f>
        <v>8.64</v>
      </c>
      <c r="AB1188" cm="1">
        <f t="array" ref="AB1188">INDEX(Innings!J:J,MATCH(1,(TRIM(Innings!A:A)=TRIM(A1188))*(TRIM(Innings!D:D)=TRIM(E1188)),0))</f>
        <v>46</v>
      </c>
      <c r="AC1188" cm="1">
        <f t="array" ref="AC1188">INDEX(Innings!N:N,MATCH(1,(TRIM(Innings!A:A)=TRIM(A1188))*(TRIM(Innings!D:D)=TRIM(E1188)),0))</f>
        <v>0</v>
      </c>
      <c r="AD1188" cm="1">
        <f t="array" ref="AD1188">INDEX(Innings!S:S,MATCH(1,(TRIM(Innings!A:A)=TRIM(A1188))*(TRIM(Innings!D:D)=TRIM(E1188)),0))</f>
        <v>43</v>
      </c>
      <c r="AE1188" t="str" cm="1">
        <f t="array" ref="AE1188">INDEX(Innings!W:W,MATCH(1,(TRIM(Innings!A:A)=TRIM(A1188))*(TRIM(Innings!D:D)=TRIM(E1188)),0))</f>
        <v>Successful</v>
      </c>
      <c r="AF1188">
        <f>IF(UPPER(TRIM(E1188))=UPPER(TRIM(W1188)),1,0)</f>
        <v>1</v>
      </c>
      <c r="AG1188">
        <f t="shared" si="36"/>
        <v>33.4</v>
      </c>
    </row>
    <row r="1189" spans="1:33" x14ac:dyDescent="0.3">
      <c r="A1189" t="s">
        <v>472</v>
      </c>
      <c r="B1189">
        <v>3</v>
      </c>
      <c r="C1189" t="s">
        <v>229</v>
      </c>
      <c r="D1189" t="s">
        <v>230</v>
      </c>
      <c r="E1189" t="s">
        <v>219</v>
      </c>
      <c r="F1189" t="s">
        <v>109</v>
      </c>
      <c r="G1189" t="s">
        <v>86</v>
      </c>
      <c r="H1189">
        <v>1</v>
      </c>
      <c r="I1189">
        <v>3</v>
      </c>
      <c r="J1189">
        <v>33.33</v>
      </c>
      <c r="K1189" t="s">
        <v>246</v>
      </c>
      <c r="L1189">
        <v>2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 s="8">
        <v>2</v>
      </c>
      <c r="V1189" s="8">
        <f t="shared" si="37"/>
        <v>0</v>
      </c>
      <c r="W1189" t="str">
        <f>_xlfn.XLOOKUP(A1189, Matches!A:A, Matches!L:L, "NA", 0)</f>
        <v>MIW</v>
      </c>
      <c r="X1189" t="str">
        <f>_xlfn.XLOOKUP(A1189, Matches!A:A, Matches!J:J, "NA", 0)</f>
        <v>MIW</v>
      </c>
      <c r="Y1189" t="str">
        <f>_xlfn.XLOOKUP(A1189, Matches!A:A, Matches!F:F, "NA", 0)</f>
        <v>M. Chinnaswamy Stadium</v>
      </c>
      <c r="Z1189" cm="1">
        <f t="array" ref="Z1189">INDEX(Innings!F:F,MATCH(1,(TRIM(Innings!A:A)=TRIM(A1189))*(TRIM(Innings!D:D)=TRIM(E1189)),0))</f>
        <v>142</v>
      </c>
      <c r="AA1189" cm="1">
        <f t="array" ref="AA1189">INDEX(Innings!I:I,MATCH(1,(TRIM(Innings!A:A)=TRIM(A1189))*(TRIM(Innings!D:D)=TRIM(E1189)),0))</f>
        <v>7.1</v>
      </c>
      <c r="AB1189" cm="1">
        <f t="array" ref="AB1189">INDEX(Innings!J:J,MATCH(1,(TRIM(Innings!A:A)=TRIM(A1189))*(TRIM(Innings!D:D)=TRIM(E1189)),0))</f>
        <v>62</v>
      </c>
      <c r="AC1189" cm="1">
        <f t="array" ref="AC1189">INDEX(Innings!N:N,MATCH(1,(TRIM(Innings!A:A)=TRIM(A1189))*(TRIM(Innings!D:D)=TRIM(E1189)),0))</f>
        <v>23</v>
      </c>
      <c r="AD1189" cm="1">
        <f t="array" ref="AD1189">INDEX(Innings!S:S,MATCH(1,(TRIM(Innings!A:A)=TRIM(A1189))*(TRIM(Innings!D:D)=TRIM(E1189)),0))</f>
        <v>52</v>
      </c>
      <c r="AE1189" t="str" cm="1">
        <f t="array" ref="AE1189">INDEX(Innings!W:W,MATCH(1,(TRIM(Innings!A:A)=TRIM(A1189))*(TRIM(Innings!D:D)=TRIM(E1189)),0))</f>
        <v>NA</v>
      </c>
      <c r="AF1189">
        <f>IF(UPPER(TRIM(E1189))=UPPER(TRIM(W1189)),1,0)</f>
        <v>0</v>
      </c>
      <c r="AG1189">
        <f t="shared" si="36"/>
        <v>1</v>
      </c>
    </row>
    <row r="1190" spans="1:33" x14ac:dyDescent="0.3">
      <c r="A1190" t="s">
        <v>472</v>
      </c>
      <c r="B1190">
        <v>3</v>
      </c>
      <c r="C1190" t="s">
        <v>226</v>
      </c>
      <c r="D1190" t="s">
        <v>211</v>
      </c>
      <c r="E1190" t="s">
        <v>219</v>
      </c>
      <c r="F1190" t="s">
        <v>169</v>
      </c>
      <c r="G1190" t="s">
        <v>92</v>
      </c>
      <c r="H1190">
        <v>45</v>
      </c>
      <c r="I1190">
        <v>26</v>
      </c>
      <c r="J1190">
        <v>173.08</v>
      </c>
      <c r="K1190" t="s">
        <v>246</v>
      </c>
      <c r="L1190">
        <v>55</v>
      </c>
      <c r="M1190">
        <v>2</v>
      </c>
      <c r="N1190">
        <v>0</v>
      </c>
      <c r="O1190">
        <v>29</v>
      </c>
      <c r="P1190">
        <v>0</v>
      </c>
      <c r="Q1190">
        <v>14.5</v>
      </c>
      <c r="R1190">
        <v>0</v>
      </c>
      <c r="S1190">
        <v>0</v>
      </c>
      <c r="T1190">
        <v>0</v>
      </c>
      <c r="U1190" s="8">
        <v>55</v>
      </c>
      <c r="V1190" s="8">
        <f t="shared" si="37"/>
        <v>6</v>
      </c>
      <c r="W1190" t="str">
        <f>_xlfn.XLOOKUP(A1190, Matches!A:A, Matches!L:L, "NA", 0)</f>
        <v>MIW</v>
      </c>
      <c r="X1190" t="str">
        <f>_xlfn.XLOOKUP(A1190, Matches!A:A, Matches!J:J, "NA", 0)</f>
        <v>MIW</v>
      </c>
      <c r="Y1190" t="str">
        <f>_xlfn.XLOOKUP(A1190, Matches!A:A, Matches!F:F, "NA", 0)</f>
        <v>M. Chinnaswamy Stadium</v>
      </c>
      <c r="Z1190" cm="1">
        <f t="array" ref="Z1190">INDEX(Innings!F:F,MATCH(1,(TRIM(Innings!A:A)=TRIM(A1190))*(TRIM(Innings!D:D)=TRIM(E1190)),0))</f>
        <v>142</v>
      </c>
      <c r="AA1190" cm="1">
        <f t="array" ref="AA1190">INDEX(Innings!I:I,MATCH(1,(TRIM(Innings!A:A)=TRIM(A1190))*(TRIM(Innings!D:D)=TRIM(E1190)),0))</f>
        <v>7.1</v>
      </c>
      <c r="AB1190" cm="1">
        <f t="array" ref="AB1190">INDEX(Innings!J:J,MATCH(1,(TRIM(Innings!A:A)=TRIM(A1190))*(TRIM(Innings!D:D)=TRIM(E1190)),0))</f>
        <v>62</v>
      </c>
      <c r="AC1190" cm="1">
        <f t="array" ref="AC1190">INDEX(Innings!N:N,MATCH(1,(TRIM(Innings!A:A)=TRIM(A1190))*(TRIM(Innings!D:D)=TRIM(E1190)),0))</f>
        <v>23</v>
      </c>
      <c r="AD1190" cm="1">
        <f t="array" ref="AD1190">INDEX(Innings!S:S,MATCH(1,(TRIM(Innings!A:A)=TRIM(A1190))*(TRIM(Innings!D:D)=TRIM(E1190)),0))</f>
        <v>52</v>
      </c>
      <c r="AE1190" t="str" cm="1">
        <f t="array" ref="AE1190">INDEX(Innings!W:W,MATCH(1,(TRIM(Innings!A:A)=TRIM(A1190))*(TRIM(Innings!D:D)=TRIM(E1190)),0))</f>
        <v>NA</v>
      </c>
      <c r="AF1190">
        <f>IF(UPPER(TRIM(E1190))=UPPER(TRIM(W1190)),1,0)</f>
        <v>0</v>
      </c>
      <c r="AG1190">
        <f t="shared" si="36"/>
        <v>29.3</v>
      </c>
    </row>
    <row r="1191" spans="1:33" x14ac:dyDescent="0.3">
      <c r="A1191" t="s">
        <v>472</v>
      </c>
      <c r="B1191">
        <v>3</v>
      </c>
      <c r="C1191" t="s">
        <v>375</v>
      </c>
      <c r="D1191" t="s">
        <v>376</v>
      </c>
      <c r="E1191" t="s">
        <v>219</v>
      </c>
      <c r="F1191" t="s">
        <v>109</v>
      </c>
      <c r="G1191" t="s">
        <v>92</v>
      </c>
      <c r="H1191">
        <v>33</v>
      </c>
      <c r="I1191">
        <v>30</v>
      </c>
      <c r="J1191">
        <v>110</v>
      </c>
      <c r="K1191" t="s">
        <v>246</v>
      </c>
      <c r="L1191">
        <v>40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 s="8">
        <v>40</v>
      </c>
      <c r="V1191" s="8">
        <f t="shared" si="37"/>
        <v>4</v>
      </c>
      <c r="W1191" t="str">
        <f>_xlfn.XLOOKUP(A1191, Matches!A:A, Matches!L:L, "NA", 0)</f>
        <v>MIW</v>
      </c>
      <c r="X1191" t="str">
        <f>_xlfn.XLOOKUP(A1191, Matches!A:A, Matches!J:J, "NA", 0)</f>
        <v>MIW</v>
      </c>
      <c r="Y1191" t="str">
        <f>_xlfn.XLOOKUP(A1191, Matches!A:A, Matches!F:F, "NA", 0)</f>
        <v>M. Chinnaswamy Stadium</v>
      </c>
      <c r="Z1191" cm="1">
        <f t="array" ref="Z1191">INDEX(Innings!F:F,MATCH(1,(TRIM(Innings!A:A)=TRIM(A1191))*(TRIM(Innings!D:D)=TRIM(E1191)),0))</f>
        <v>142</v>
      </c>
      <c r="AA1191" cm="1">
        <f t="array" ref="AA1191">INDEX(Innings!I:I,MATCH(1,(TRIM(Innings!A:A)=TRIM(A1191))*(TRIM(Innings!D:D)=TRIM(E1191)),0))</f>
        <v>7.1</v>
      </c>
      <c r="AB1191" cm="1">
        <f t="array" ref="AB1191">INDEX(Innings!J:J,MATCH(1,(TRIM(Innings!A:A)=TRIM(A1191))*(TRIM(Innings!D:D)=TRIM(E1191)),0))</f>
        <v>62</v>
      </c>
      <c r="AC1191" cm="1">
        <f t="array" ref="AC1191">INDEX(Innings!N:N,MATCH(1,(TRIM(Innings!A:A)=TRIM(A1191))*(TRIM(Innings!D:D)=TRIM(E1191)),0))</f>
        <v>23</v>
      </c>
      <c r="AD1191" cm="1">
        <f t="array" ref="AD1191">INDEX(Innings!S:S,MATCH(1,(TRIM(Innings!A:A)=TRIM(A1191))*(TRIM(Innings!D:D)=TRIM(E1191)),0))</f>
        <v>52</v>
      </c>
      <c r="AE1191" t="str" cm="1">
        <f t="array" ref="AE1191">INDEX(Innings!W:W,MATCH(1,(TRIM(Innings!A:A)=TRIM(A1191))*(TRIM(Innings!D:D)=TRIM(E1191)),0))</f>
        <v>NA</v>
      </c>
      <c r="AF1191">
        <f>IF(UPPER(TRIM(E1191))=UPPER(TRIM(W1191)),1,0)</f>
        <v>0</v>
      </c>
      <c r="AG1191">
        <f t="shared" si="36"/>
        <v>21.2</v>
      </c>
    </row>
    <row r="1192" spans="1:33" x14ac:dyDescent="0.3">
      <c r="A1192" t="s">
        <v>472</v>
      </c>
      <c r="B1192">
        <v>3</v>
      </c>
      <c r="C1192" t="s">
        <v>224</v>
      </c>
      <c r="D1192" t="s">
        <v>225</v>
      </c>
      <c r="E1192" t="s">
        <v>219</v>
      </c>
      <c r="F1192" t="s">
        <v>169</v>
      </c>
      <c r="G1192" t="s">
        <v>134</v>
      </c>
      <c r="H1192">
        <v>4</v>
      </c>
      <c r="I1192">
        <v>6</v>
      </c>
      <c r="J1192">
        <v>66.67</v>
      </c>
      <c r="K1192" t="s">
        <v>246</v>
      </c>
      <c r="L1192">
        <v>5</v>
      </c>
      <c r="M1192">
        <v>3</v>
      </c>
      <c r="N1192">
        <v>0</v>
      </c>
      <c r="O1192">
        <v>25</v>
      </c>
      <c r="P1192">
        <v>1</v>
      </c>
      <c r="Q1192">
        <v>8.3000000000000007</v>
      </c>
      <c r="R1192">
        <v>25</v>
      </c>
      <c r="S1192">
        <v>0</v>
      </c>
      <c r="T1192">
        <v>0</v>
      </c>
      <c r="U1192" s="8">
        <v>30</v>
      </c>
      <c r="V1192" s="8">
        <f t="shared" si="37"/>
        <v>3</v>
      </c>
      <c r="W1192" t="str">
        <f>_xlfn.XLOOKUP(A1192, Matches!A:A, Matches!L:L, "NA", 0)</f>
        <v>MIW</v>
      </c>
      <c r="X1192" t="str">
        <f>_xlfn.XLOOKUP(A1192, Matches!A:A, Matches!J:J, "NA", 0)</f>
        <v>MIW</v>
      </c>
      <c r="Y1192" t="str">
        <f>_xlfn.XLOOKUP(A1192, Matches!A:A, Matches!F:F, "NA", 0)</f>
        <v>M. Chinnaswamy Stadium</v>
      </c>
      <c r="Z1192" cm="1">
        <f t="array" ref="Z1192">INDEX(Innings!F:F,MATCH(1,(TRIM(Innings!A:A)=TRIM(A1192))*(TRIM(Innings!D:D)=TRIM(E1192)),0))</f>
        <v>142</v>
      </c>
      <c r="AA1192" cm="1">
        <f t="array" ref="AA1192">INDEX(Innings!I:I,MATCH(1,(TRIM(Innings!A:A)=TRIM(A1192))*(TRIM(Innings!D:D)=TRIM(E1192)),0))</f>
        <v>7.1</v>
      </c>
      <c r="AB1192" cm="1">
        <f t="array" ref="AB1192">INDEX(Innings!J:J,MATCH(1,(TRIM(Innings!A:A)=TRIM(A1192))*(TRIM(Innings!D:D)=TRIM(E1192)),0))</f>
        <v>62</v>
      </c>
      <c r="AC1192" cm="1">
        <f t="array" ref="AC1192">INDEX(Innings!N:N,MATCH(1,(TRIM(Innings!A:A)=TRIM(A1192))*(TRIM(Innings!D:D)=TRIM(E1192)),0))</f>
        <v>23</v>
      </c>
      <c r="AD1192" cm="1">
        <f t="array" ref="AD1192">INDEX(Innings!S:S,MATCH(1,(TRIM(Innings!A:A)=TRIM(A1192))*(TRIM(Innings!D:D)=TRIM(E1192)),0))</f>
        <v>52</v>
      </c>
      <c r="AE1192" t="str" cm="1">
        <f t="array" ref="AE1192">INDEX(Innings!W:W,MATCH(1,(TRIM(Innings!A:A)=TRIM(A1192))*(TRIM(Innings!D:D)=TRIM(E1192)),0))</f>
        <v>NA</v>
      </c>
      <c r="AF1192">
        <f>IF(UPPER(TRIM(E1192))=UPPER(TRIM(W1192)),1,0)</f>
        <v>0</v>
      </c>
      <c r="AG1192">
        <f t="shared" si="36"/>
        <v>15.9</v>
      </c>
    </row>
    <row r="1193" spans="1:33" x14ac:dyDescent="0.3">
      <c r="A1193" t="s">
        <v>472</v>
      </c>
      <c r="B1193">
        <v>3</v>
      </c>
      <c r="C1193" t="s">
        <v>222</v>
      </c>
      <c r="D1193" t="s">
        <v>223</v>
      </c>
      <c r="E1193" t="s">
        <v>219</v>
      </c>
      <c r="F1193" t="s">
        <v>169</v>
      </c>
      <c r="G1193" t="s">
        <v>134</v>
      </c>
      <c r="H1193">
        <v>1</v>
      </c>
      <c r="I1193">
        <v>2</v>
      </c>
      <c r="J1193">
        <v>50</v>
      </c>
      <c r="K1193" t="s">
        <v>245</v>
      </c>
      <c r="L1193">
        <v>2</v>
      </c>
      <c r="M1193">
        <v>2</v>
      </c>
      <c r="N1193">
        <v>0</v>
      </c>
      <c r="O1193">
        <v>11</v>
      </c>
      <c r="P1193">
        <v>0</v>
      </c>
      <c r="Q1193">
        <v>5.5</v>
      </c>
      <c r="R1193">
        <v>0</v>
      </c>
      <c r="S1193">
        <v>0</v>
      </c>
      <c r="T1193">
        <v>0</v>
      </c>
      <c r="U1193" s="8">
        <v>2</v>
      </c>
      <c r="V1193" s="8">
        <f t="shared" si="37"/>
        <v>0</v>
      </c>
      <c r="W1193" t="str">
        <f>_xlfn.XLOOKUP(A1193, Matches!A:A, Matches!L:L, "NA", 0)</f>
        <v>MIW</v>
      </c>
      <c r="X1193" t="str">
        <f>_xlfn.XLOOKUP(A1193, Matches!A:A, Matches!J:J, "NA", 0)</f>
        <v>MIW</v>
      </c>
      <c r="Y1193" t="str">
        <f>_xlfn.XLOOKUP(A1193, Matches!A:A, Matches!F:F, "NA", 0)</f>
        <v>M. Chinnaswamy Stadium</v>
      </c>
      <c r="Z1193" cm="1">
        <f t="array" ref="Z1193">INDEX(Innings!F:F,MATCH(1,(TRIM(Innings!A:A)=TRIM(A1193))*(TRIM(Innings!D:D)=TRIM(E1193)),0))</f>
        <v>142</v>
      </c>
      <c r="AA1193" cm="1">
        <f t="array" ref="AA1193">INDEX(Innings!I:I,MATCH(1,(TRIM(Innings!A:A)=TRIM(A1193))*(TRIM(Innings!D:D)=TRIM(E1193)),0))</f>
        <v>7.1</v>
      </c>
      <c r="AB1193" cm="1">
        <f t="array" ref="AB1193">INDEX(Innings!J:J,MATCH(1,(TRIM(Innings!A:A)=TRIM(A1193))*(TRIM(Innings!D:D)=TRIM(E1193)),0))</f>
        <v>62</v>
      </c>
      <c r="AC1193" cm="1">
        <f t="array" ref="AC1193">INDEX(Innings!N:N,MATCH(1,(TRIM(Innings!A:A)=TRIM(A1193))*(TRIM(Innings!D:D)=TRIM(E1193)),0))</f>
        <v>23</v>
      </c>
      <c r="AD1193" cm="1">
        <f t="array" ref="AD1193">INDEX(Innings!S:S,MATCH(1,(TRIM(Innings!A:A)=TRIM(A1193))*(TRIM(Innings!D:D)=TRIM(E1193)),0))</f>
        <v>52</v>
      </c>
      <c r="AE1193" t="str" cm="1">
        <f t="array" ref="AE1193">INDEX(Innings!W:W,MATCH(1,(TRIM(Innings!A:A)=TRIM(A1193))*(TRIM(Innings!D:D)=TRIM(E1193)),0))</f>
        <v>NA</v>
      </c>
      <c r="AF1193">
        <f>IF(UPPER(TRIM(E1193))=UPPER(TRIM(W1193)),1,0)</f>
        <v>0</v>
      </c>
      <c r="AG1193">
        <f t="shared" si="36"/>
        <v>1</v>
      </c>
    </row>
    <row r="1194" spans="1:33" x14ac:dyDescent="0.3">
      <c r="A1194" t="s">
        <v>472</v>
      </c>
      <c r="B1194">
        <v>3</v>
      </c>
      <c r="C1194" t="s">
        <v>220</v>
      </c>
      <c r="D1194" t="s">
        <v>221</v>
      </c>
      <c r="E1194" t="s">
        <v>219</v>
      </c>
      <c r="F1194" t="s">
        <v>109</v>
      </c>
      <c r="G1194" t="s">
        <v>134</v>
      </c>
      <c r="H1194">
        <v>19</v>
      </c>
      <c r="I1194">
        <v>13</v>
      </c>
      <c r="J1194">
        <v>146.15</v>
      </c>
      <c r="K1194" t="s">
        <v>246</v>
      </c>
      <c r="L1194">
        <v>25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 s="8">
        <v>25</v>
      </c>
      <c r="V1194" s="8">
        <f t="shared" si="37"/>
        <v>3</v>
      </c>
      <c r="W1194" t="str">
        <f>_xlfn.XLOOKUP(A1194, Matches!A:A, Matches!L:L, "NA", 0)</f>
        <v>MIW</v>
      </c>
      <c r="X1194" t="str">
        <f>_xlfn.XLOOKUP(A1194, Matches!A:A, Matches!J:J, "NA", 0)</f>
        <v>MIW</v>
      </c>
      <c r="Y1194" t="str">
        <f>_xlfn.XLOOKUP(A1194, Matches!A:A, Matches!F:F, "NA", 0)</f>
        <v>M. Chinnaswamy Stadium</v>
      </c>
      <c r="Z1194" cm="1">
        <f t="array" ref="Z1194">INDEX(Innings!F:F,MATCH(1,(TRIM(Innings!A:A)=TRIM(A1194))*(TRIM(Innings!D:D)=TRIM(E1194)),0))</f>
        <v>142</v>
      </c>
      <c r="AA1194" cm="1">
        <f t="array" ref="AA1194">INDEX(Innings!I:I,MATCH(1,(TRIM(Innings!A:A)=TRIM(A1194))*(TRIM(Innings!D:D)=TRIM(E1194)),0))</f>
        <v>7.1</v>
      </c>
      <c r="AB1194" cm="1">
        <f t="array" ref="AB1194">INDEX(Innings!J:J,MATCH(1,(TRIM(Innings!A:A)=TRIM(A1194))*(TRIM(Innings!D:D)=TRIM(E1194)),0))</f>
        <v>62</v>
      </c>
      <c r="AC1194" cm="1">
        <f t="array" ref="AC1194">INDEX(Innings!N:N,MATCH(1,(TRIM(Innings!A:A)=TRIM(A1194))*(TRIM(Innings!D:D)=TRIM(E1194)),0))</f>
        <v>23</v>
      </c>
      <c r="AD1194" cm="1">
        <f t="array" ref="AD1194">INDEX(Innings!S:S,MATCH(1,(TRIM(Innings!A:A)=TRIM(A1194))*(TRIM(Innings!D:D)=TRIM(E1194)),0))</f>
        <v>52</v>
      </c>
      <c r="AE1194" t="str" cm="1">
        <f t="array" ref="AE1194">INDEX(Innings!W:W,MATCH(1,(TRIM(Innings!A:A)=TRIM(A1194))*(TRIM(Innings!D:D)=TRIM(E1194)),0))</f>
        <v>NA</v>
      </c>
      <c r="AF1194">
        <f>IF(UPPER(TRIM(E1194))=UPPER(TRIM(W1194)),1,0)</f>
        <v>0</v>
      </c>
      <c r="AG1194">
        <f t="shared" si="36"/>
        <v>13.4</v>
      </c>
    </row>
    <row r="1195" spans="1:33" x14ac:dyDescent="0.3">
      <c r="A1195" t="s">
        <v>472</v>
      </c>
      <c r="B1195">
        <v>3</v>
      </c>
      <c r="C1195" t="s">
        <v>442</v>
      </c>
      <c r="D1195" t="s">
        <v>443</v>
      </c>
      <c r="E1195" t="s">
        <v>219</v>
      </c>
      <c r="F1195" t="s">
        <v>85</v>
      </c>
      <c r="G1195" t="s">
        <v>134</v>
      </c>
      <c r="H1195">
        <v>13</v>
      </c>
      <c r="I1195">
        <v>20</v>
      </c>
      <c r="J1195">
        <v>65</v>
      </c>
      <c r="K1195" t="s">
        <v>96</v>
      </c>
      <c r="L1195">
        <v>15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 s="8">
        <v>15</v>
      </c>
      <c r="V1195" s="8">
        <f t="shared" si="37"/>
        <v>2</v>
      </c>
      <c r="W1195" t="str">
        <f>_xlfn.XLOOKUP(A1195, Matches!A:A, Matches!L:L, "NA", 0)</f>
        <v>MIW</v>
      </c>
      <c r="X1195" t="str">
        <f>_xlfn.XLOOKUP(A1195, Matches!A:A, Matches!J:J, "NA", 0)</f>
        <v>MIW</v>
      </c>
      <c r="Y1195" t="str">
        <f>_xlfn.XLOOKUP(A1195, Matches!A:A, Matches!F:F, "NA", 0)</f>
        <v>M. Chinnaswamy Stadium</v>
      </c>
      <c r="Z1195" cm="1">
        <f t="array" ref="Z1195">INDEX(Innings!F:F,MATCH(1,(TRIM(Innings!A:A)=TRIM(A1195))*(TRIM(Innings!D:D)=TRIM(E1195)),0))</f>
        <v>142</v>
      </c>
      <c r="AA1195" cm="1">
        <f t="array" ref="AA1195">INDEX(Innings!I:I,MATCH(1,(TRIM(Innings!A:A)=TRIM(A1195))*(TRIM(Innings!D:D)=TRIM(E1195)),0))</f>
        <v>7.1</v>
      </c>
      <c r="AB1195" cm="1">
        <f t="array" ref="AB1195">INDEX(Innings!J:J,MATCH(1,(TRIM(Innings!A:A)=TRIM(A1195))*(TRIM(Innings!D:D)=TRIM(E1195)),0))</f>
        <v>62</v>
      </c>
      <c r="AC1195" cm="1">
        <f t="array" ref="AC1195">INDEX(Innings!N:N,MATCH(1,(TRIM(Innings!A:A)=TRIM(A1195))*(TRIM(Innings!D:D)=TRIM(E1195)),0))</f>
        <v>23</v>
      </c>
      <c r="AD1195" cm="1">
        <f t="array" ref="AD1195">INDEX(Innings!S:S,MATCH(1,(TRIM(Innings!A:A)=TRIM(A1195))*(TRIM(Innings!D:D)=TRIM(E1195)),0))</f>
        <v>52</v>
      </c>
      <c r="AE1195" t="str" cm="1">
        <f t="array" ref="AE1195">INDEX(Innings!W:W,MATCH(1,(TRIM(Innings!A:A)=TRIM(A1195))*(TRIM(Innings!D:D)=TRIM(E1195)),0))</f>
        <v>NA</v>
      </c>
      <c r="AF1195">
        <f>IF(UPPER(TRIM(E1195))=UPPER(TRIM(W1195)),1,0)</f>
        <v>0</v>
      </c>
      <c r="AG1195">
        <f t="shared" si="36"/>
        <v>8.1</v>
      </c>
    </row>
    <row r="1196" spans="1:33" x14ac:dyDescent="0.3">
      <c r="A1196" t="s">
        <v>472</v>
      </c>
      <c r="B1196">
        <v>3</v>
      </c>
      <c r="C1196" t="s">
        <v>512</v>
      </c>
      <c r="D1196" t="s">
        <v>542</v>
      </c>
      <c r="E1196" t="s">
        <v>219</v>
      </c>
      <c r="F1196" t="s">
        <v>169</v>
      </c>
      <c r="G1196" t="s">
        <v>134</v>
      </c>
      <c r="H1196">
        <v>7</v>
      </c>
      <c r="I1196">
        <v>8</v>
      </c>
      <c r="J1196">
        <v>87.5</v>
      </c>
      <c r="K1196" t="s">
        <v>246</v>
      </c>
      <c r="L1196">
        <v>8</v>
      </c>
      <c r="M1196">
        <v>4</v>
      </c>
      <c r="N1196">
        <v>0</v>
      </c>
      <c r="O1196">
        <v>24</v>
      </c>
      <c r="P1196">
        <v>0</v>
      </c>
      <c r="Q1196">
        <v>6</v>
      </c>
      <c r="R1196">
        <v>0</v>
      </c>
      <c r="S1196">
        <v>0</v>
      </c>
      <c r="T1196">
        <v>0</v>
      </c>
      <c r="U1196" s="8">
        <v>8</v>
      </c>
      <c r="V1196" s="8">
        <f t="shared" si="37"/>
        <v>1</v>
      </c>
      <c r="W1196" t="str">
        <f>_xlfn.XLOOKUP(A1196, Matches!A:A, Matches!L:L, "NA", 0)</f>
        <v>MIW</v>
      </c>
      <c r="X1196" t="str">
        <f>_xlfn.XLOOKUP(A1196, Matches!A:A, Matches!J:J, "NA", 0)</f>
        <v>MIW</v>
      </c>
      <c r="Y1196" t="str">
        <f>_xlfn.XLOOKUP(A1196, Matches!A:A, Matches!F:F, "NA", 0)</f>
        <v>M. Chinnaswamy Stadium</v>
      </c>
      <c r="Z1196" cm="1">
        <f t="array" ref="Z1196">INDEX(Innings!F:F,MATCH(1,(TRIM(Innings!A:A)=TRIM(A1196))*(TRIM(Innings!D:D)=TRIM(E1196)),0))</f>
        <v>142</v>
      </c>
      <c r="AA1196" cm="1">
        <f t="array" ref="AA1196">INDEX(Innings!I:I,MATCH(1,(TRIM(Innings!A:A)=TRIM(A1196))*(TRIM(Innings!D:D)=TRIM(E1196)),0))</f>
        <v>7.1</v>
      </c>
      <c r="AB1196" cm="1">
        <f t="array" ref="AB1196">INDEX(Innings!J:J,MATCH(1,(TRIM(Innings!A:A)=TRIM(A1196))*(TRIM(Innings!D:D)=TRIM(E1196)),0))</f>
        <v>62</v>
      </c>
      <c r="AC1196" cm="1">
        <f t="array" ref="AC1196">INDEX(Innings!N:N,MATCH(1,(TRIM(Innings!A:A)=TRIM(A1196))*(TRIM(Innings!D:D)=TRIM(E1196)),0))</f>
        <v>23</v>
      </c>
      <c r="AD1196" cm="1">
        <f t="array" ref="AD1196">INDEX(Innings!S:S,MATCH(1,(TRIM(Innings!A:A)=TRIM(A1196))*(TRIM(Innings!D:D)=TRIM(E1196)),0))</f>
        <v>52</v>
      </c>
      <c r="AE1196" t="str" cm="1">
        <f t="array" ref="AE1196">INDEX(Innings!W:W,MATCH(1,(TRIM(Innings!A:A)=TRIM(A1196))*(TRIM(Innings!D:D)=TRIM(E1196)),0))</f>
        <v>NA</v>
      </c>
      <c r="AF1196">
        <f>IF(UPPER(TRIM(E1196))=UPPER(TRIM(W1196)),1,0)</f>
        <v>0</v>
      </c>
      <c r="AG1196">
        <f t="shared" si="36"/>
        <v>4.3</v>
      </c>
    </row>
    <row r="1197" spans="1:33" x14ac:dyDescent="0.3">
      <c r="A1197" t="s">
        <v>472</v>
      </c>
      <c r="B1197">
        <v>3</v>
      </c>
      <c r="C1197" t="s">
        <v>233</v>
      </c>
      <c r="D1197" t="s">
        <v>234</v>
      </c>
      <c r="E1197" t="s">
        <v>219</v>
      </c>
      <c r="F1197" t="s">
        <v>101</v>
      </c>
      <c r="G1197" t="s">
        <v>134</v>
      </c>
      <c r="H1197">
        <v>6</v>
      </c>
      <c r="I1197">
        <v>8</v>
      </c>
      <c r="J1197">
        <v>75</v>
      </c>
      <c r="K1197" t="s">
        <v>245</v>
      </c>
      <c r="L1197">
        <v>8</v>
      </c>
      <c r="M1197">
        <v>4</v>
      </c>
      <c r="N1197">
        <v>0</v>
      </c>
      <c r="O1197">
        <v>29</v>
      </c>
      <c r="P1197">
        <v>1</v>
      </c>
      <c r="Q1197">
        <v>7.2</v>
      </c>
      <c r="R1197">
        <v>25</v>
      </c>
      <c r="S1197">
        <v>0</v>
      </c>
      <c r="T1197">
        <v>0</v>
      </c>
      <c r="U1197" s="8">
        <v>33</v>
      </c>
      <c r="V1197" s="8">
        <f t="shared" si="37"/>
        <v>3</v>
      </c>
      <c r="W1197" t="str">
        <f>_xlfn.XLOOKUP(A1197, Matches!A:A, Matches!L:L, "NA", 0)</f>
        <v>MIW</v>
      </c>
      <c r="X1197" t="str">
        <f>_xlfn.XLOOKUP(A1197, Matches!A:A, Matches!J:J, "NA", 0)</f>
        <v>MIW</v>
      </c>
      <c r="Y1197" t="str">
        <f>_xlfn.XLOOKUP(A1197, Matches!A:A, Matches!F:F, "NA", 0)</f>
        <v>M. Chinnaswamy Stadium</v>
      </c>
      <c r="Z1197" cm="1">
        <f t="array" ref="Z1197">INDEX(Innings!F:F,MATCH(1,(TRIM(Innings!A:A)=TRIM(A1197))*(TRIM(Innings!D:D)=TRIM(E1197)),0))</f>
        <v>142</v>
      </c>
      <c r="AA1197" cm="1">
        <f t="array" ref="AA1197">INDEX(Innings!I:I,MATCH(1,(TRIM(Innings!A:A)=TRIM(A1197))*(TRIM(Innings!D:D)=TRIM(E1197)),0))</f>
        <v>7.1</v>
      </c>
      <c r="AB1197" cm="1">
        <f t="array" ref="AB1197">INDEX(Innings!J:J,MATCH(1,(TRIM(Innings!A:A)=TRIM(A1197))*(TRIM(Innings!D:D)=TRIM(E1197)),0))</f>
        <v>62</v>
      </c>
      <c r="AC1197" cm="1">
        <f t="array" ref="AC1197">INDEX(Innings!N:N,MATCH(1,(TRIM(Innings!A:A)=TRIM(A1197))*(TRIM(Innings!D:D)=TRIM(E1197)),0))</f>
        <v>23</v>
      </c>
      <c r="AD1197" cm="1">
        <f t="array" ref="AD1197">INDEX(Innings!S:S,MATCH(1,(TRIM(Innings!A:A)=TRIM(A1197))*(TRIM(Innings!D:D)=TRIM(E1197)),0))</f>
        <v>52</v>
      </c>
      <c r="AE1197" t="str" cm="1">
        <f t="array" ref="AE1197">INDEX(Innings!W:W,MATCH(1,(TRIM(Innings!A:A)=TRIM(A1197))*(TRIM(Innings!D:D)=TRIM(E1197)),0))</f>
        <v>NA</v>
      </c>
      <c r="AF1197">
        <f>IF(UPPER(TRIM(E1197))=UPPER(TRIM(W1197)),1,0)</f>
        <v>0</v>
      </c>
      <c r="AG1197">
        <f t="shared" si="36"/>
        <v>17.399999999999999</v>
      </c>
    </row>
    <row r="1198" spans="1:33" x14ac:dyDescent="0.3">
      <c r="A1198" t="s">
        <v>472</v>
      </c>
      <c r="B1198">
        <v>3</v>
      </c>
      <c r="C1198" t="s">
        <v>377</v>
      </c>
      <c r="D1198" t="s">
        <v>378</v>
      </c>
      <c r="E1198" t="s">
        <v>219</v>
      </c>
      <c r="F1198" t="s">
        <v>169</v>
      </c>
      <c r="G1198" t="s">
        <v>134</v>
      </c>
      <c r="H1198">
        <v>0</v>
      </c>
      <c r="I1198">
        <v>2</v>
      </c>
      <c r="J1198">
        <v>0</v>
      </c>
      <c r="K1198" t="s">
        <v>245</v>
      </c>
      <c r="L1198">
        <v>0</v>
      </c>
      <c r="M1198">
        <v>1</v>
      </c>
      <c r="N1198">
        <v>0</v>
      </c>
      <c r="O1198">
        <v>15</v>
      </c>
      <c r="P1198">
        <v>0</v>
      </c>
      <c r="Q1198">
        <v>15</v>
      </c>
      <c r="R1198">
        <v>0</v>
      </c>
      <c r="S1198">
        <v>0</v>
      </c>
      <c r="T1198">
        <v>0</v>
      </c>
      <c r="U1198" s="8">
        <v>0</v>
      </c>
      <c r="V1198" s="8">
        <f t="shared" si="37"/>
        <v>0</v>
      </c>
      <c r="W1198" t="str">
        <f>_xlfn.XLOOKUP(A1198, Matches!A:A, Matches!L:L, "NA", 0)</f>
        <v>MIW</v>
      </c>
      <c r="X1198" t="str">
        <f>_xlfn.XLOOKUP(A1198, Matches!A:A, Matches!J:J, "NA", 0)</f>
        <v>MIW</v>
      </c>
      <c r="Y1198" t="str">
        <f>_xlfn.XLOOKUP(A1198, Matches!A:A, Matches!F:F, "NA", 0)</f>
        <v>M. Chinnaswamy Stadium</v>
      </c>
      <c r="Z1198" cm="1">
        <f t="array" ref="Z1198">INDEX(Innings!F:F,MATCH(1,(TRIM(Innings!A:A)=TRIM(A1198))*(TRIM(Innings!D:D)=TRIM(E1198)),0))</f>
        <v>142</v>
      </c>
      <c r="AA1198" cm="1">
        <f t="array" ref="AA1198">INDEX(Innings!I:I,MATCH(1,(TRIM(Innings!A:A)=TRIM(A1198))*(TRIM(Innings!D:D)=TRIM(E1198)),0))</f>
        <v>7.1</v>
      </c>
      <c r="AB1198" cm="1">
        <f t="array" ref="AB1198">INDEX(Innings!J:J,MATCH(1,(TRIM(Innings!A:A)=TRIM(A1198))*(TRIM(Innings!D:D)=TRIM(E1198)),0))</f>
        <v>62</v>
      </c>
      <c r="AC1198" cm="1">
        <f t="array" ref="AC1198">INDEX(Innings!N:N,MATCH(1,(TRIM(Innings!A:A)=TRIM(A1198))*(TRIM(Innings!D:D)=TRIM(E1198)),0))</f>
        <v>23</v>
      </c>
      <c r="AD1198" cm="1">
        <f t="array" ref="AD1198">INDEX(Innings!S:S,MATCH(1,(TRIM(Innings!A:A)=TRIM(A1198))*(TRIM(Innings!D:D)=TRIM(E1198)),0))</f>
        <v>52</v>
      </c>
      <c r="AE1198" t="str" cm="1">
        <f t="array" ref="AE1198">INDEX(Innings!W:W,MATCH(1,(TRIM(Innings!A:A)=TRIM(A1198))*(TRIM(Innings!D:D)=TRIM(E1198)),0))</f>
        <v>NA</v>
      </c>
      <c r="AF1198">
        <f>IF(UPPER(TRIM(E1198))=UPPER(TRIM(W1198)),1,0)</f>
        <v>0</v>
      </c>
      <c r="AG1198">
        <f t="shared" si="36"/>
        <v>0</v>
      </c>
    </row>
    <row r="1199" spans="1:33" x14ac:dyDescent="0.3">
      <c r="A1199" t="s">
        <v>472</v>
      </c>
      <c r="B1199">
        <v>3</v>
      </c>
      <c r="C1199" t="s">
        <v>509</v>
      </c>
      <c r="D1199" t="s">
        <v>523</v>
      </c>
      <c r="E1199" t="s">
        <v>219</v>
      </c>
      <c r="F1199" t="s">
        <v>169</v>
      </c>
      <c r="G1199" t="s">
        <v>134</v>
      </c>
      <c r="H1199">
        <v>5</v>
      </c>
      <c r="I1199">
        <v>2</v>
      </c>
      <c r="J1199">
        <v>250</v>
      </c>
      <c r="K1199" t="s">
        <v>96</v>
      </c>
      <c r="L1199">
        <v>10</v>
      </c>
      <c r="M1199">
        <v>1</v>
      </c>
      <c r="N1199">
        <v>0</v>
      </c>
      <c r="O1199">
        <v>8</v>
      </c>
      <c r="P1199">
        <v>0</v>
      </c>
      <c r="Q1199">
        <v>8</v>
      </c>
      <c r="R1199">
        <v>0</v>
      </c>
      <c r="S1199">
        <v>0</v>
      </c>
      <c r="T1199">
        <v>0</v>
      </c>
      <c r="U1199" s="8">
        <v>10</v>
      </c>
      <c r="V1199" s="8">
        <f t="shared" si="37"/>
        <v>1</v>
      </c>
      <c r="W1199" t="str">
        <f>_xlfn.XLOOKUP(A1199, Matches!A:A, Matches!L:L, "NA", 0)</f>
        <v>MIW</v>
      </c>
      <c r="X1199" t="str">
        <f>_xlfn.XLOOKUP(A1199, Matches!A:A, Matches!J:J, "NA", 0)</f>
        <v>MIW</v>
      </c>
      <c r="Y1199" t="str">
        <f>_xlfn.XLOOKUP(A1199, Matches!A:A, Matches!F:F, "NA", 0)</f>
        <v>M. Chinnaswamy Stadium</v>
      </c>
      <c r="Z1199" cm="1">
        <f t="array" ref="Z1199">INDEX(Innings!F:F,MATCH(1,(TRIM(Innings!A:A)=TRIM(A1199))*(TRIM(Innings!D:D)=TRIM(E1199)),0))</f>
        <v>142</v>
      </c>
      <c r="AA1199" cm="1">
        <f t="array" ref="AA1199">INDEX(Innings!I:I,MATCH(1,(TRIM(Innings!A:A)=TRIM(A1199))*(TRIM(Innings!D:D)=TRIM(E1199)),0))</f>
        <v>7.1</v>
      </c>
      <c r="AB1199" cm="1">
        <f t="array" ref="AB1199">INDEX(Innings!J:J,MATCH(1,(TRIM(Innings!A:A)=TRIM(A1199))*(TRIM(Innings!D:D)=TRIM(E1199)),0))</f>
        <v>62</v>
      </c>
      <c r="AC1199" cm="1">
        <f t="array" ref="AC1199">INDEX(Innings!N:N,MATCH(1,(TRIM(Innings!A:A)=TRIM(A1199))*(TRIM(Innings!D:D)=TRIM(E1199)),0))</f>
        <v>23</v>
      </c>
      <c r="AD1199" cm="1">
        <f t="array" ref="AD1199">INDEX(Innings!S:S,MATCH(1,(TRIM(Innings!A:A)=TRIM(A1199))*(TRIM(Innings!D:D)=TRIM(E1199)),0))</f>
        <v>52</v>
      </c>
      <c r="AE1199" t="str" cm="1">
        <f t="array" ref="AE1199">INDEX(Innings!W:W,MATCH(1,(TRIM(Innings!A:A)=TRIM(A1199))*(TRIM(Innings!D:D)=TRIM(E1199)),0))</f>
        <v>NA</v>
      </c>
      <c r="AF1199">
        <f>IF(UPPER(TRIM(E1199))=UPPER(TRIM(W1199)),1,0)</f>
        <v>0</v>
      </c>
      <c r="AG1199">
        <f t="shared" si="36"/>
        <v>5.3</v>
      </c>
    </row>
    <row r="1200" spans="1:33" x14ac:dyDescent="0.3">
      <c r="A1200" t="s">
        <v>472</v>
      </c>
      <c r="B1200">
        <v>3</v>
      </c>
      <c r="C1200" t="s">
        <v>112</v>
      </c>
      <c r="D1200" t="s">
        <v>88</v>
      </c>
      <c r="E1200" t="s">
        <v>266</v>
      </c>
      <c r="F1200" t="s">
        <v>169</v>
      </c>
      <c r="G1200" t="s">
        <v>86</v>
      </c>
      <c r="H1200">
        <v>59</v>
      </c>
      <c r="I1200">
        <v>50</v>
      </c>
      <c r="J1200">
        <v>118</v>
      </c>
      <c r="K1200" t="s">
        <v>246</v>
      </c>
      <c r="L1200">
        <v>70</v>
      </c>
      <c r="M1200">
        <v>4</v>
      </c>
      <c r="N1200">
        <v>0</v>
      </c>
      <c r="O1200">
        <v>38</v>
      </c>
      <c r="P1200">
        <v>1</v>
      </c>
      <c r="Q1200">
        <v>9.5</v>
      </c>
      <c r="R1200">
        <v>25</v>
      </c>
      <c r="S1200">
        <v>0</v>
      </c>
      <c r="T1200">
        <v>0</v>
      </c>
      <c r="U1200" s="8">
        <v>95</v>
      </c>
      <c r="V1200" s="8">
        <f t="shared" si="37"/>
        <v>10</v>
      </c>
      <c r="W1200" t="str">
        <f>_xlfn.XLOOKUP(A1200, Matches!A:A, Matches!L:L, "NA", 0)</f>
        <v>MIW</v>
      </c>
      <c r="X1200" t="str">
        <f>_xlfn.XLOOKUP(A1200, Matches!A:A, Matches!J:J, "NA", 0)</f>
        <v>MIW</v>
      </c>
      <c r="Y1200" t="str">
        <f>_xlfn.XLOOKUP(A1200, Matches!A:A, Matches!F:F, "NA", 0)</f>
        <v>M. Chinnaswamy Stadium</v>
      </c>
      <c r="Z1200" cm="1">
        <f t="array" ref="Z1200">INDEX(Innings!F:F,MATCH(1,(TRIM(Innings!A:A)=TRIM(A1200))*(TRIM(Innings!D:D)=TRIM(E1200)),0))</f>
        <v>143</v>
      </c>
      <c r="AA1200" cm="1">
        <f t="array" ref="AA1200">INDEX(Innings!I:I,MATCH(1,(TRIM(Innings!A:A)=TRIM(A1200))*(TRIM(Innings!D:D)=TRIM(E1200)),0))</f>
        <v>8.41</v>
      </c>
      <c r="AB1200" cm="1">
        <f t="array" ref="AB1200">INDEX(Innings!J:J,MATCH(1,(TRIM(Innings!A:A)=TRIM(A1200))*(TRIM(Innings!D:D)=TRIM(E1200)),0))</f>
        <v>33</v>
      </c>
      <c r="AC1200" cm="1">
        <f t="array" ref="AC1200">INDEX(Innings!N:N,MATCH(1,(TRIM(Innings!A:A)=TRIM(A1200))*(TRIM(Innings!D:D)=TRIM(E1200)),0))</f>
        <v>7</v>
      </c>
      <c r="AD1200" cm="1">
        <f t="array" ref="AD1200">INDEX(Innings!S:S,MATCH(1,(TRIM(Innings!A:A)=TRIM(A1200))*(TRIM(Innings!D:D)=TRIM(E1200)),0))</f>
        <v>43</v>
      </c>
      <c r="AE1200" t="str" cm="1">
        <f t="array" ref="AE1200">INDEX(Innings!W:W,MATCH(1,(TRIM(Innings!A:A)=TRIM(A1200))*(TRIM(Innings!D:D)=TRIM(E1200)),0))</f>
        <v>Successful</v>
      </c>
      <c r="AF1200">
        <f>IF(UPPER(TRIM(E1200))=UPPER(TRIM(W1200)),1,0)</f>
        <v>1</v>
      </c>
      <c r="AG1200">
        <f t="shared" si="36"/>
        <v>70.5</v>
      </c>
    </row>
    <row r="1201" spans="1:33" x14ac:dyDescent="0.3">
      <c r="A1201" t="s">
        <v>472</v>
      </c>
      <c r="B1201">
        <v>3</v>
      </c>
      <c r="C1201" t="s">
        <v>113</v>
      </c>
      <c r="D1201" t="s">
        <v>84</v>
      </c>
      <c r="E1201" t="s">
        <v>266</v>
      </c>
      <c r="F1201" t="s">
        <v>85</v>
      </c>
      <c r="G1201" t="s">
        <v>86</v>
      </c>
      <c r="H1201">
        <v>0</v>
      </c>
      <c r="I1201">
        <v>8</v>
      </c>
      <c r="J1201">
        <v>0</v>
      </c>
      <c r="K1201" t="s">
        <v>246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 s="8">
        <v>0</v>
      </c>
      <c r="V1201" s="8">
        <f t="shared" si="37"/>
        <v>0</v>
      </c>
      <c r="W1201" t="str">
        <f>_xlfn.XLOOKUP(A1201, Matches!A:A, Matches!L:L, "NA", 0)</f>
        <v>MIW</v>
      </c>
      <c r="X1201" t="str">
        <f>_xlfn.XLOOKUP(A1201, Matches!A:A, Matches!J:J, "NA", 0)</f>
        <v>MIW</v>
      </c>
      <c r="Y1201" t="str">
        <f>_xlfn.XLOOKUP(A1201, Matches!A:A, Matches!F:F, "NA", 0)</f>
        <v>M. Chinnaswamy Stadium</v>
      </c>
      <c r="Z1201" cm="1">
        <f t="array" ref="Z1201">INDEX(Innings!F:F,MATCH(1,(TRIM(Innings!A:A)=TRIM(A1201))*(TRIM(Innings!D:D)=TRIM(E1201)),0))</f>
        <v>143</v>
      </c>
      <c r="AA1201" cm="1">
        <f t="array" ref="AA1201">INDEX(Innings!I:I,MATCH(1,(TRIM(Innings!A:A)=TRIM(A1201))*(TRIM(Innings!D:D)=TRIM(E1201)),0))</f>
        <v>8.41</v>
      </c>
      <c r="AB1201" cm="1">
        <f t="array" ref="AB1201">INDEX(Innings!J:J,MATCH(1,(TRIM(Innings!A:A)=TRIM(A1201))*(TRIM(Innings!D:D)=TRIM(E1201)),0))</f>
        <v>33</v>
      </c>
      <c r="AC1201" cm="1">
        <f t="array" ref="AC1201">INDEX(Innings!N:N,MATCH(1,(TRIM(Innings!A:A)=TRIM(A1201))*(TRIM(Innings!D:D)=TRIM(E1201)),0))</f>
        <v>7</v>
      </c>
      <c r="AD1201" cm="1">
        <f t="array" ref="AD1201">INDEX(Innings!S:S,MATCH(1,(TRIM(Innings!A:A)=TRIM(A1201))*(TRIM(Innings!D:D)=TRIM(E1201)),0))</f>
        <v>43</v>
      </c>
      <c r="AE1201" t="str" cm="1">
        <f t="array" ref="AE1201">INDEX(Innings!W:W,MATCH(1,(TRIM(Innings!A:A)=TRIM(A1201))*(TRIM(Innings!D:D)=TRIM(E1201)),0))</f>
        <v>Successful</v>
      </c>
      <c r="AF1201">
        <f>IF(UPPER(TRIM(E1201))=UPPER(TRIM(W1201)),1,0)</f>
        <v>1</v>
      </c>
      <c r="AG1201">
        <f t="shared" si="36"/>
        <v>20</v>
      </c>
    </row>
    <row r="1202" spans="1:33" x14ac:dyDescent="0.3">
      <c r="A1202" t="s">
        <v>472</v>
      </c>
      <c r="B1202">
        <v>3</v>
      </c>
      <c r="C1202" t="s">
        <v>117</v>
      </c>
      <c r="D1202" t="s">
        <v>90</v>
      </c>
      <c r="E1202" t="s">
        <v>266</v>
      </c>
      <c r="F1202" t="s">
        <v>169</v>
      </c>
      <c r="G1202" t="s">
        <v>92</v>
      </c>
      <c r="H1202">
        <v>75</v>
      </c>
      <c r="I1202">
        <v>44</v>
      </c>
      <c r="J1202">
        <v>170.45</v>
      </c>
      <c r="K1202" t="s">
        <v>96</v>
      </c>
      <c r="L1202">
        <v>90</v>
      </c>
      <c r="M1202">
        <v>4</v>
      </c>
      <c r="N1202">
        <v>0</v>
      </c>
      <c r="O1202">
        <v>18</v>
      </c>
      <c r="P1202">
        <v>3</v>
      </c>
      <c r="Q1202">
        <v>4.5</v>
      </c>
      <c r="R1202">
        <v>75</v>
      </c>
      <c r="S1202">
        <v>0</v>
      </c>
      <c r="T1202">
        <v>0</v>
      </c>
      <c r="U1202" s="8">
        <v>165</v>
      </c>
      <c r="V1202" s="8">
        <f t="shared" si="37"/>
        <v>10</v>
      </c>
      <c r="W1202" t="str">
        <f>_xlfn.XLOOKUP(A1202, Matches!A:A, Matches!L:L, "NA", 0)</f>
        <v>MIW</v>
      </c>
      <c r="X1202" t="str">
        <f>_xlfn.XLOOKUP(A1202, Matches!A:A, Matches!J:J, "NA", 0)</f>
        <v>MIW</v>
      </c>
      <c r="Y1202" t="str">
        <f>_xlfn.XLOOKUP(A1202, Matches!A:A, Matches!F:F, "NA", 0)</f>
        <v>M. Chinnaswamy Stadium</v>
      </c>
      <c r="Z1202" cm="1">
        <f t="array" ref="Z1202">INDEX(Innings!F:F,MATCH(1,(TRIM(Innings!A:A)=TRIM(A1202))*(TRIM(Innings!D:D)=TRIM(E1202)),0))</f>
        <v>143</v>
      </c>
      <c r="AA1202" cm="1">
        <f t="array" ref="AA1202">INDEX(Innings!I:I,MATCH(1,(TRIM(Innings!A:A)=TRIM(A1202))*(TRIM(Innings!D:D)=TRIM(E1202)),0))</f>
        <v>8.41</v>
      </c>
      <c r="AB1202" cm="1">
        <f t="array" ref="AB1202">INDEX(Innings!J:J,MATCH(1,(TRIM(Innings!A:A)=TRIM(A1202))*(TRIM(Innings!D:D)=TRIM(E1202)),0))</f>
        <v>33</v>
      </c>
      <c r="AC1202" cm="1">
        <f t="array" ref="AC1202">INDEX(Innings!N:N,MATCH(1,(TRIM(Innings!A:A)=TRIM(A1202))*(TRIM(Innings!D:D)=TRIM(E1202)),0))</f>
        <v>7</v>
      </c>
      <c r="AD1202" cm="1">
        <f t="array" ref="AD1202">INDEX(Innings!S:S,MATCH(1,(TRIM(Innings!A:A)=TRIM(A1202))*(TRIM(Innings!D:D)=TRIM(E1202)),0))</f>
        <v>43</v>
      </c>
      <c r="AE1202" t="str" cm="1">
        <f t="array" ref="AE1202">INDEX(Innings!W:W,MATCH(1,(TRIM(Innings!A:A)=TRIM(A1202))*(TRIM(Innings!D:D)=TRIM(E1202)),0))</f>
        <v>Successful</v>
      </c>
      <c r="AF1202">
        <f>IF(UPPER(TRIM(E1202))=UPPER(TRIM(W1202)),1,0)</f>
        <v>1</v>
      </c>
      <c r="AG1202">
        <f t="shared" si="36"/>
        <v>105.5</v>
      </c>
    </row>
    <row r="1203" spans="1:33" x14ac:dyDescent="0.3">
      <c r="A1203" t="s">
        <v>472</v>
      </c>
      <c r="B1203">
        <v>3</v>
      </c>
      <c r="C1203" t="s">
        <v>115</v>
      </c>
      <c r="D1203" t="s">
        <v>17</v>
      </c>
      <c r="E1203" t="s">
        <v>266</v>
      </c>
      <c r="F1203" t="s">
        <v>169</v>
      </c>
      <c r="G1203" t="s">
        <v>134</v>
      </c>
      <c r="H1203">
        <v>4</v>
      </c>
      <c r="I1203">
        <v>1</v>
      </c>
      <c r="J1203">
        <v>400</v>
      </c>
      <c r="K1203" t="s">
        <v>96</v>
      </c>
      <c r="L1203">
        <v>5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 s="8">
        <v>5</v>
      </c>
      <c r="V1203" s="8">
        <f t="shared" si="37"/>
        <v>1</v>
      </c>
      <c r="W1203" t="str">
        <f>_xlfn.XLOOKUP(A1203, Matches!A:A, Matches!L:L, "NA", 0)</f>
        <v>MIW</v>
      </c>
      <c r="X1203" t="str">
        <f>_xlfn.XLOOKUP(A1203, Matches!A:A, Matches!J:J, "NA", 0)</f>
        <v>MIW</v>
      </c>
      <c r="Y1203" t="str">
        <f>_xlfn.XLOOKUP(A1203, Matches!A:A, Matches!F:F, "NA", 0)</f>
        <v>M. Chinnaswamy Stadium</v>
      </c>
      <c r="Z1203" cm="1">
        <f t="array" ref="Z1203">INDEX(Innings!F:F,MATCH(1,(TRIM(Innings!A:A)=TRIM(A1203))*(TRIM(Innings!D:D)=TRIM(E1203)),0))</f>
        <v>143</v>
      </c>
      <c r="AA1203" cm="1">
        <f t="array" ref="AA1203">INDEX(Innings!I:I,MATCH(1,(TRIM(Innings!A:A)=TRIM(A1203))*(TRIM(Innings!D:D)=TRIM(E1203)),0))</f>
        <v>8.41</v>
      </c>
      <c r="AB1203" cm="1">
        <f t="array" ref="AB1203">INDEX(Innings!J:J,MATCH(1,(TRIM(Innings!A:A)=TRIM(A1203))*(TRIM(Innings!D:D)=TRIM(E1203)),0))</f>
        <v>33</v>
      </c>
      <c r="AC1203" cm="1">
        <f t="array" ref="AC1203">INDEX(Innings!N:N,MATCH(1,(TRIM(Innings!A:A)=TRIM(A1203))*(TRIM(Innings!D:D)=TRIM(E1203)),0))</f>
        <v>7</v>
      </c>
      <c r="AD1203" cm="1">
        <f t="array" ref="AD1203">INDEX(Innings!S:S,MATCH(1,(TRIM(Innings!A:A)=TRIM(A1203))*(TRIM(Innings!D:D)=TRIM(E1203)),0))</f>
        <v>43</v>
      </c>
      <c r="AE1203" t="str" cm="1">
        <f t="array" ref="AE1203">INDEX(Innings!W:W,MATCH(1,(TRIM(Innings!A:A)=TRIM(A1203))*(TRIM(Innings!D:D)=TRIM(E1203)),0))</f>
        <v>Successful</v>
      </c>
      <c r="AF1203">
        <f>IF(UPPER(TRIM(E1203))=UPPER(TRIM(W1203)),1,0)</f>
        <v>1</v>
      </c>
      <c r="AG1203">
        <f t="shared" si="36"/>
        <v>22.8</v>
      </c>
    </row>
    <row r="1204" spans="1:33" x14ac:dyDescent="0.3">
      <c r="A1204" t="s">
        <v>472</v>
      </c>
      <c r="B1204">
        <v>3</v>
      </c>
      <c r="C1204" t="s">
        <v>119</v>
      </c>
      <c r="D1204" t="s">
        <v>95</v>
      </c>
      <c r="E1204" t="s">
        <v>266</v>
      </c>
      <c r="F1204" t="s">
        <v>169</v>
      </c>
      <c r="G1204" t="s">
        <v>104</v>
      </c>
      <c r="H1204">
        <v>0</v>
      </c>
      <c r="I1204">
        <v>0</v>
      </c>
      <c r="J1204">
        <v>0</v>
      </c>
      <c r="K1204" t="s">
        <v>104</v>
      </c>
      <c r="L1204">
        <v>0</v>
      </c>
      <c r="M1204">
        <v>4</v>
      </c>
      <c r="N1204">
        <v>0</v>
      </c>
      <c r="O1204">
        <v>24</v>
      </c>
      <c r="P1204">
        <v>1</v>
      </c>
      <c r="Q1204">
        <v>6</v>
      </c>
      <c r="R1204">
        <v>25</v>
      </c>
      <c r="S1204">
        <v>0</v>
      </c>
      <c r="T1204">
        <v>0</v>
      </c>
      <c r="U1204" s="8">
        <v>25</v>
      </c>
      <c r="V1204" s="8">
        <f t="shared" si="37"/>
        <v>3</v>
      </c>
      <c r="W1204" t="str">
        <f>_xlfn.XLOOKUP(A1204, Matches!A:A, Matches!L:L, "NA", 0)</f>
        <v>MIW</v>
      </c>
      <c r="X1204" t="str">
        <f>_xlfn.XLOOKUP(A1204, Matches!A:A, Matches!J:J, "NA", 0)</f>
        <v>MIW</v>
      </c>
      <c r="Y1204" t="str">
        <f>_xlfn.XLOOKUP(A1204, Matches!A:A, Matches!F:F, "NA", 0)</f>
        <v>M. Chinnaswamy Stadium</v>
      </c>
      <c r="Z1204" cm="1">
        <f t="array" ref="Z1204">INDEX(Innings!F:F,MATCH(1,(TRIM(Innings!A:A)=TRIM(A1204))*(TRIM(Innings!D:D)=TRIM(E1204)),0))</f>
        <v>143</v>
      </c>
      <c r="AA1204" cm="1">
        <f t="array" ref="AA1204">INDEX(Innings!I:I,MATCH(1,(TRIM(Innings!A:A)=TRIM(A1204))*(TRIM(Innings!D:D)=TRIM(E1204)),0))</f>
        <v>8.41</v>
      </c>
      <c r="AB1204" cm="1">
        <f t="array" ref="AB1204">INDEX(Innings!J:J,MATCH(1,(TRIM(Innings!A:A)=TRIM(A1204))*(TRIM(Innings!D:D)=TRIM(E1204)),0))</f>
        <v>33</v>
      </c>
      <c r="AC1204" cm="1">
        <f t="array" ref="AC1204">INDEX(Innings!N:N,MATCH(1,(TRIM(Innings!A:A)=TRIM(A1204))*(TRIM(Innings!D:D)=TRIM(E1204)),0))</f>
        <v>7</v>
      </c>
      <c r="AD1204" cm="1">
        <f t="array" ref="AD1204">INDEX(Innings!S:S,MATCH(1,(TRIM(Innings!A:A)=TRIM(A1204))*(TRIM(Innings!D:D)=TRIM(E1204)),0))</f>
        <v>43</v>
      </c>
      <c r="AE1204" t="str" cm="1">
        <f t="array" ref="AE1204">INDEX(Innings!W:W,MATCH(1,(TRIM(Innings!A:A)=TRIM(A1204))*(TRIM(Innings!D:D)=TRIM(E1204)),0))</f>
        <v>Successful</v>
      </c>
      <c r="AF1204">
        <f>IF(UPPER(TRIM(E1204))=UPPER(TRIM(W1204)),1,0)</f>
        <v>1</v>
      </c>
      <c r="AG1204">
        <f t="shared" si="36"/>
        <v>33.4</v>
      </c>
    </row>
    <row r="1205" spans="1:33" x14ac:dyDescent="0.3">
      <c r="A1205" t="s">
        <v>472</v>
      </c>
      <c r="B1205">
        <v>3</v>
      </c>
      <c r="C1205" t="s">
        <v>121</v>
      </c>
      <c r="D1205" t="s">
        <v>108</v>
      </c>
      <c r="E1205" t="s">
        <v>266</v>
      </c>
      <c r="F1205" t="s">
        <v>169</v>
      </c>
      <c r="G1205" t="s">
        <v>104</v>
      </c>
      <c r="H1205">
        <v>0</v>
      </c>
      <c r="I1205">
        <v>0</v>
      </c>
      <c r="J1205">
        <v>0</v>
      </c>
      <c r="K1205" t="s">
        <v>104</v>
      </c>
      <c r="L1205">
        <v>0</v>
      </c>
      <c r="M1205">
        <v>1</v>
      </c>
      <c r="N1205">
        <v>0</v>
      </c>
      <c r="O1205">
        <v>3</v>
      </c>
      <c r="P1205">
        <v>0</v>
      </c>
      <c r="Q1205">
        <v>3</v>
      </c>
      <c r="R1205">
        <v>10</v>
      </c>
      <c r="S1205">
        <v>0</v>
      </c>
      <c r="T1205">
        <v>0</v>
      </c>
      <c r="U1205" s="8">
        <v>10</v>
      </c>
      <c r="V1205" s="8">
        <f t="shared" si="37"/>
        <v>1</v>
      </c>
      <c r="W1205" t="str">
        <f>_xlfn.XLOOKUP(A1205, Matches!A:A, Matches!L:L, "NA", 0)</f>
        <v>MIW</v>
      </c>
      <c r="X1205" t="str">
        <f>_xlfn.XLOOKUP(A1205, Matches!A:A, Matches!J:J, "NA", 0)</f>
        <v>MIW</v>
      </c>
      <c r="Y1205" t="str">
        <f>_xlfn.XLOOKUP(A1205, Matches!A:A, Matches!F:F, "NA", 0)</f>
        <v>M. Chinnaswamy Stadium</v>
      </c>
      <c r="Z1205" cm="1">
        <f t="array" ref="Z1205">INDEX(Innings!F:F,MATCH(1,(TRIM(Innings!A:A)=TRIM(A1205))*(TRIM(Innings!D:D)=TRIM(E1205)),0))</f>
        <v>143</v>
      </c>
      <c r="AA1205" cm="1">
        <f t="array" ref="AA1205">INDEX(Innings!I:I,MATCH(1,(TRIM(Innings!A:A)=TRIM(A1205))*(TRIM(Innings!D:D)=TRIM(E1205)),0))</f>
        <v>8.41</v>
      </c>
      <c r="AB1205" cm="1">
        <f t="array" ref="AB1205">INDEX(Innings!J:J,MATCH(1,(TRIM(Innings!A:A)=TRIM(A1205))*(TRIM(Innings!D:D)=TRIM(E1205)),0))</f>
        <v>33</v>
      </c>
      <c r="AC1205" cm="1">
        <f t="array" ref="AC1205">INDEX(Innings!N:N,MATCH(1,(TRIM(Innings!A:A)=TRIM(A1205))*(TRIM(Innings!D:D)=TRIM(E1205)),0))</f>
        <v>7</v>
      </c>
      <c r="AD1205" cm="1">
        <f t="array" ref="AD1205">INDEX(Innings!S:S,MATCH(1,(TRIM(Innings!A:A)=TRIM(A1205))*(TRIM(Innings!D:D)=TRIM(E1205)),0))</f>
        <v>43</v>
      </c>
      <c r="AE1205" t="str" cm="1">
        <f t="array" ref="AE1205">INDEX(Innings!W:W,MATCH(1,(TRIM(Innings!A:A)=TRIM(A1205))*(TRIM(Innings!D:D)=TRIM(E1205)),0))</f>
        <v>Successful</v>
      </c>
      <c r="AF1205">
        <f>IF(UPPER(TRIM(E1205))=UPPER(TRIM(W1205)),1,0)</f>
        <v>1</v>
      </c>
      <c r="AG1205">
        <f t="shared" si="36"/>
        <v>25.3</v>
      </c>
    </row>
    <row r="1206" spans="1:33" x14ac:dyDescent="0.3">
      <c r="A1206" t="s">
        <v>472</v>
      </c>
      <c r="B1206">
        <v>3</v>
      </c>
      <c r="C1206" t="s">
        <v>347</v>
      </c>
      <c r="D1206" t="s">
        <v>348</v>
      </c>
      <c r="E1206" t="s">
        <v>266</v>
      </c>
      <c r="F1206" t="s">
        <v>169</v>
      </c>
      <c r="G1206" t="s">
        <v>104</v>
      </c>
      <c r="H1206">
        <v>0</v>
      </c>
      <c r="I1206">
        <v>0</v>
      </c>
      <c r="J1206">
        <v>0</v>
      </c>
      <c r="K1206" t="s">
        <v>104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 s="8">
        <v>0</v>
      </c>
      <c r="V1206" s="8">
        <f t="shared" si="37"/>
        <v>0</v>
      </c>
      <c r="W1206" t="str">
        <f>_xlfn.XLOOKUP(A1206, Matches!A:A, Matches!L:L, "NA", 0)</f>
        <v>MIW</v>
      </c>
      <c r="X1206" t="str">
        <f>_xlfn.XLOOKUP(A1206, Matches!A:A, Matches!J:J, "NA", 0)</f>
        <v>MIW</v>
      </c>
      <c r="Y1206" t="str">
        <f>_xlfn.XLOOKUP(A1206, Matches!A:A, Matches!F:F, "NA", 0)</f>
        <v>M. Chinnaswamy Stadium</v>
      </c>
      <c r="Z1206" cm="1">
        <f t="array" ref="Z1206">INDEX(Innings!F:F,MATCH(1,(TRIM(Innings!A:A)=TRIM(A1206))*(TRIM(Innings!D:D)=TRIM(E1206)),0))</f>
        <v>143</v>
      </c>
      <c r="AA1206" cm="1">
        <f t="array" ref="AA1206">INDEX(Innings!I:I,MATCH(1,(TRIM(Innings!A:A)=TRIM(A1206))*(TRIM(Innings!D:D)=TRIM(E1206)),0))</f>
        <v>8.41</v>
      </c>
      <c r="AB1206" cm="1">
        <f t="array" ref="AB1206">INDEX(Innings!J:J,MATCH(1,(TRIM(Innings!A:A)=TRIM(A1206))*(TRIM(Innings!D:D)=TRIM(E1206)),0))</f>
        <v>33</v>
      </c>
      <c r="AC1206" cm="1">
        <f t="array" ref="AC1206">INDEX(Innings!N:N,MATCH(1,(TRIM(Innings!A:A)=TRIM(A1206))*(TRIM(Innings!D:D)=TRIM(E1206)),0))</f>
        <v>7</v>
      </c>
      <c r="AD1206" cm="1">
        <f t="array" ref="AD1206">INDEX(Innings!S:S,MATCH(1,(TRIM(Innings!A:A)=TRIM(A1206))*(TRIM(Innings!D:D)=TRIM(E1206)),0))</f>
        <v>43</v>
      </c>
      <c r="AE1206" t="str" cm="1">
        <f t="array" ref="AE1206">INDEX(Innings!W:W,MATCH(1,(TRIM(Innings!A:A)=TRIM(A1206))*(TRIM(Innings!D:D)=TRIM(E1206)),0))</f>
        <v>Successful</v>
      </c>
      <c r="AF1206">
        <f>IF(UPPER(TRIM(E1206))=UPPER(TRIM(W1206)),1,0)</f>
        <v>1</v>
      </c>
      <c r="AG1206">
        <f t="shared" si="36"/>
        <v>20</v>
      </c>
    </row>
    <row r="1207" spans="1:33" x14ac:dyDescent="0.3">
      <c r="A1207" t="s">
        <v>472</v>
      </c>
      <c r="B1207">
        <v>3</v>
      </c>
      <c r="C1207" t="s">
        <v>510</v>
      </c>
      <c r="D1207" t="s">
        <v>538</v>
      </c>
      <c r="E1207" t="s">
        <v>266</v>
      </c>
      <c r="F1207" t="s">
        <v>85</v>
      </c>
      <c r="G1207" t="s">
        <v>104</v>
      </c>
      <c r="H1207">
        <v>0</v>
      </c>
      <c r="I1207">
        <v>0</v>
      </c>
      <c r="J1207">
        <v>0</v>
      </c>
      <c r="K1207" t="s">
        <v>104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 s="8">
        <v>0</v>
      </c>
      <c r="V1207" s="8">
        <f t="shared" si="37"/>
        <v>0</v>
      </c>
      <c r="W1207" t="str">
        <f>_xlfn.XLOOKUP(A1207, Matches!A:A, Matches!L:L, "NA", 0)</f>
        <v>MIW</v>
      </c>
      <c r="X1207" t="str">
        <f>_xlfn.XLOOKUP(A1207, Matches!A:A, Matches!J:J, "NA", 0)</f>
        <v>MIW</v>
      </c>
      <c r="Y1207" t="str">
        <f>_xlfn.XLOOKUP(A1207, Matches!A:A, Matches!F:F, "NA", 0)</f>
        <v>M. Chinnaswamy Stadium</v>
      </c>
      <c r="Z1207" cm="1">
        <f t="array" ref="Z1207">INDEX(Innings!F:F,MATCH(1,(TRIM(Innings!A:A)=TRIM(A1207))*(TRIM(Innings!D:D)=TRIM(E1207)),0))</f>
        <v>143</v>
      </c>
      <c r="AA1207" cm="1">
        <f t="array" ref="AA1207">INDEX(Innings!I:I,MATCH(1,(TRIM(Innings!A:A)=TRIM(A1207))*(TRIM(Innings!D:D)=TRIM(E1207)),0))</f>
        <v>8.41</v>
      </c>
      <c r="AB1207" cm="1">
        <f t="array" ref="AB1207">INDEX(Innings!J:J,MATCH(1,(TRIM(Innings!A:A)=TRIM(A1207))*(TRIM(Innings!D:D)=TRIM(E1207)),0))</f>
        <v>33</v>
      </c>
      <c r="AC1207" cm="1">
        <f t="array" ref="AC1207">INDEX(Innings!N:N,MATCH(1,(TRIM(Innings!A:A)=TRIM(A1207))*(TRIM(Innings!D:D)=TRIM(E1207)),0))</f>
        <v>7</v>
      </c>
      <c r="AD1207" cm="1">
        <f t="array" ref="AD1207">INDEX(Innings!S:S,MATCH(1,(TRIM(Innings!A:A)=TRIM(A1207))*(TRIM(Innings!D:D)=TRIM(E1207)),0))</f>
        <v>43</v>
      </c>
      <c r="AE1207" t="str" cm="1">
        <f t="array" ref="AE1207">INDEX(Innings!W:W,MATCH(1,(TRIM(Innings!A:A)=TRIM(A1207))*(TRIM(Innings!D:D)=TRIM(E1207)),0))</f>
        <v>Successful</v>
      </c>
      <c r="AF1207">
        <f>IF(UPPER(TRIM(E1207))=UPPER(TRIM(W1207)),1,0)</f>
        <v>1</v>
      </c>
      <c r="AG1207">
        <f t="shared" si="36"/>
        <v>20</v>
      </c>
    </row>
    <row r="1208" spans="1:33" x14ac:dyDescent="0.3">
      <c r="A1208" t="s">
        <v>472</v>
      </c>
      <c r="B1208">
        <v>3</v>
      </c>
      <c r="C1208" t="s">
        <v>507</v>
      </c>
      <c r="D1208" t="s">
        <v>519</v>
      </c>
      <c r="E1208" t="s">
        <v>266</v>
      </c>
      <c r="F1208" t="s">
        <v>169</v>
      </c>
      <c r="G1208" t="s">
        <v>104</v>
      </c>
      <c r="H1208">
        <v>0</v>
      </c>
      <c r="I1208">
        <v>0</v>
      </c>
      <c r="J1208">
        <v>0</v>
      </c>
      <c r="K1208" t="s">
        <v>104</v>
      </c>
      <c r="L1208">
        <v>0</v>
      </c>
      <c r="M1208">
        <v>2</v>
      </c>
      <c r="N1208">
        <v>0</v>
      </c>
      <c r="O1208">
        <v>11</v>
      </c>
      <c r="P1208">
        <v>2</v>
      </c>
      <c r="Q1208">
        <v>5.5</v>
      </c>
      <c r="R1208">
        <v>50</v>
      </c>
      <c r="S1208">
        <v>0</v>
      </c>
      <c r="T1208">
        <v>0</v>
      </c>
      <c r="U1208" s="8">
        <v>50</v>
      </c>
      <c r="V1208" s="8">
        <f t="shared" si="37"/>
        <v>5</v>
      </c>
      <c r="W1208" t="str">
        <f>_xlfn.XLOOKUP(A1208, Matches!A:A, Matches!L:L, "NA", 0)</f>
        <v>MIW</v>
      </c>
      <c r="X1208" t="str">
        <f>_xlfn.XLOOKUP(A1208, Matches!A:A, Matches!J:J, "NA", 0)</f>
        <v>MIW</v>
      </c>
      <c r="Y1208" t="str">
        <f>_xlfn.XLOOKUP(A1208, Matches!A:A, Matches!F:F, "NA", 0)</f>
        <v>M. Chinnaswamy Stadium</v>
      </c>
      <c r="Z1208" cm="1">
        <f t="array" ref="Z1208">INDEX(Innings!F:F,MATCH(1,(TRIM(Innings!A:A)=TRIM(A1208))*(TRIM(Innings!D:D)=TRIM(E1208)),0))</f>
        <v>143</v>
      </c>
      <c r="AA1208" cm="1">
        <f t="array" ref="AA1208">INDEX(Innings!I:I,MATCH(1,(TRIM(Innings!A:A)=TRIM(A1208))*(TRIM(Innings!D:D)=TRIM(E1208)),0))</f>
        <v>8.41</v>
      </c>
      <c r="AB1208" cm="1">
        <f t="array" ref="AB1208">INDEX(Innings!J:J,MATCH(1,(TRIM(Innings!A:A)=TRIM(A1208))*(TRIM(Innings!D:D)=TRIM(E1208)),0))</f>
        <v>33</v>
      </c>
      <c r="AC1208" cm="1">
        <f t="array" ref="AC1208">INDEX(Innings!N:N,MATCH(1,(TRIM(Innings!A:A)=TRIM(A1208))*(TRIM(Innings!D:D)=TRIM(E1208)),0))</f>
        <v>7</v>
      </c>
      <c r="AD1208" cm="1">
        <f t="array" ref="AD1208">INDEX(Innings!S:S,MATCH(1,(TRIM(Innings!A:A)=TRIM(A1208))*(TRIM(Innings!D:D)=TRIM(E1208)),0))</f>
        <v>43</v>
      </c>
      <c r="AE1208" t="str" cm="1">
        <f t="array" ref="AE1208">INDEX(Innings!W:W,MATCH(1,(TRIM(Innings!A:A)=TRIM(A1208))*(TRIM(Innings!D:D)=TRIM(E1208)),0))</f>
        <v>Successful</v>
      </c>
      <c r="AF1208">
        <f>IF(UPPER(TRIM(E1208))=UPPER(TRIM(W1208)),1,0)</f>
        <v>1</v>
      </c>
      <c r="AG1208">
        <f t="shared" si="36"/>
        <v>46.5</v>
      </c>
    </row>
    <row r="1209" spans="1:33" x14ac:dyDescent="0.3">
      <c r="A1209" t="s">
        <v>472</v>
      </c>
      <c r="B1209">
        <v>3</v>
      </c>
      <c r="C1209" t="s">
        <v>265</v>
      </c>
      <c r="D1209" t="s">
        <v>264</v>
      </c>
      <c r="E1209" t="s">
        <v>266</v>
      </c>
      <c r="F1209" t="s">
        <v>101</v>
      </c>
      <c r="G1209" t="s">
        <v>104</v>
      </c>
      <c r="H1209">
        <v>0</v>
      </c>
      <c r="I1209">
        <v>0</v>
      </c>
      <c r="J1209">
        <v>0</v>
      </c>
      <c r="K1209" t="s">
        <v>104</v>
      </c>
      <c r="L1209">
        <v>0</v>
      </c>
      <c r="M1209">
        <v>4</v>
      </c>
      <c r="N1209">
        <v>0</v>
      </c>
      <c r="O1209">
        <v>33</v>
      </c>
      <c r="P1209">
        <v>2</v>
      </c>
      <c r="Q1209">
        <v>8.1999999999999993</v>
      </c>
      <c r="R1209">
        <v>50</v>
      </c>
      <c r="S1209">
        <v>0</v>
      </c>
      <c r="T1209">
        <v>0</v>
      </c>
      <c r="U1209" s="8">
        <v>50</v>
      </c>
      <c r="V1209" s="8">
        <f t="shared" si="37"/>
        <v>5</v>
      </c>
      <c r="W1209" t="str">
        <f>_xlfn.XLOOKUP(A1209, Matches!A:A, Matches!L:L, "NA", 0)</f>
        <v>MIW</v>
      </c>
      <c r="X1209" t="str">
        <f>_xlfn.XLOOKUP(A1209, Matches!A:A, Matches!J:J, "NA", 0)</f>
        <v>MIW</v>
      </c>
      <c r="Y1209" t="str">
        <f>_xlfn.XLOOKUP(A1209, Matches!A:A, Matches!F:F, "NA", 0)</f>
        <v>M. Chinnaswamy Stadium</v>
      </c>
      <c r="Z1209" cm="1">
        <f t="array" ref="Z1209">INDEX(Innings!F:F,MATCH(1,(TRIM(Innings!A:A)=TRIM(A1209))*(TRIM(Innings!D:D)=TRIM(E1209)),0))</f>
        <v>143</v>
      </c>
      <c r="AA1209" cm="1">
        <f t="array" ref="AA1209">INDEX(Innings!I:I,MATCH(1,(TRIM(Innings!A:A)=TRIM(A1209))*(TRIM(Innings!D:D)=TRIM(E1209)),0))</f>
        <v>8.41</v>
      </c>
      <c r="AB1209" cm="1">
        <f t="array" ref="AB1209">INDEX(Innings!J:J,MATCH(1,(TRIM(Innings!A:A)=TRIM(A1209))*(TRIM(Innings!D:D)=TRIM(E1209)),0))</f>
        <v>33</v>
      </c>
      <c r="AC1209" cm="1">
        <f t="array" ref="AC1209">INDEX(Innings!N:N,MATCH(1,(TRIM(Innings!A:A)=TRIM(A1209))*(TRIM(Innings!D:D)=TRIM(E1209)),0))</f>
        <v>7</v>
      </c>
      <c r="AD1209" cm="1">
        <f t="array" ref="AD1209">INDEX(Innings!S:S,MATCH(1,(TRIM(Innings!A:A)=TRIM(A1209))*(TRIM(Innings!D:D)=TRIM(E1209)),0))</f>
        <v>43</v>
      </c>
      <c r="AE1209" t="str" cm="1">
        <f t="array" ref="AE1209">INDEX(Innings!W:W,MATCH(1,(TRIM(Innings!A:A)=TRIM(A1209))*(TRIM(Innings!D:D)=TRIM(E1209)),0))</f>
        <v>Successful</v>
      </c>
      <c r="AF1209">
        <f>IF(UPPER(TRIM(E1209))=UPPER(TRIM(W1209)),1,0)</f>
        <v>1</v>
      </c>
      <c r="AG1209">
        <f t="shared" si="36"/>
        <v>46.5</v>
      </c>
    </row>
    <row r="1210" spans="1:33" x14ac:dyDescent="0.3">
      <c r="A1210" t="s">
        <v>472</v>
      </c>
      <c r="B1210">
        <v>3</v>
      </c>
      <c r="C1210" t="s">
        <v>129</v>
      </c>
      <c r="D1210" t="s">
        <v>103</v>
      </c>
      <c r="E1210" t="s">
        <v>266</v>
      </c>
      <c r="F1210" t="s">
        <v>101</v>
      </c>
      <c r="G1210" t="s">
        <v>104</v>
      </c>
      <c r="H1210">
        <v>0</v>
      </c>
      <c r="I1210">
        <v>0</v>
      </c>
      <c r="J1210">
        <v>0</v>
      </c>
      <c r="K1210" t="s">
        <v>104</v>
      </c>
      <c r="L1210">
        <v>0</v>
      </c>
      <c r="M1210">
        <v>1</v>
      </c>
      <c r="N1210">
        <v>0</v>
      </c>
      <c r="O1210">
        <v>12</v>
      </c>
      <c r="P1210">
        <v>0</v>
      </c>
      <c r="Q1210">
        <v>12</v>
      </c>
      <c r="R1210">
        <v>0</v>
      </c>
      <c r="S1210">
        <v>0</v>
      </c>
      <c r="T1210">
        <v>0</v>
      </c>
      <c r="U1210" s="8">
        <v>0</v>
      </c>
      <c r="V1210" s="8">
        <f t="shared" si="37"/>
        <v>0</v>
      </c>
      <c r="W1210" t="str">
        <f>_xlfn.XLOOKUP(A1210, Matches!A:A, Matches!L:L, "NA", 0)</f>
        <v>MIW</v>
      </c>
      <c r="X1210" t="str">
        <f>_xlfn.XLOOKUP(A1210, Matches!A:A, Matches!J:J, "NA", 0)</f>
        <v>MIW</v>
      </c>
      <c r="Y1210" t="str">
        <f>_xlfn.XLOOKUP(A1210, Matches!A:A, Matches!F:F, "NA", 0)</f>
        <v>M. Chinnaswamy Stadium</v>
      </c>
      <c r="Z1210" cm="1">
        <f t="array" ref="Z1210">INDEX(Innings!F:F,MATCH(1,(TRIM(Innings!A:A)=TRIM(A1210))*(TRIM(Innings!D:D)=TRIM(E1210)),0))</f>
        <v>143</v>
      </c>
      <c r="AA1210" cm="1">
        <f t="array" ref="AA1210">INDEX(Innings!I:I,MATCH(1,(TRIM(Innings!A:A)=TRIM(A1210))*(TRIM(Innings!D:D)=TRIM(E1210)),0))</f>
        <v>8.41</v>
      </c>
      <c r="AB1210" cm="1">
        <f t="array" ref="AB1210">INDEX(Innings!J:J,MATCH(1,(TRIM(Innings!A:A)=TRIM(A1210))*(TRIM(Innings!D:D)=TRIM(E1210)),0))</f>
        <v>33</v>
      </c>
      <c r="AC1210" cm="1">
        <f t="array" ref="AC1210">INDEX(Innings!N:N,MATCH(1,(TRIM(Innings!A:A)=TRIM(A1210))*(TRIM(Innings!D:D)=TRIM(E1210)),0))</f>
        <v>7</v>
      </c>
      <c r="AD1210" cm="1">
        <f t="array" ref="AD1210">INDEX(Innings!S:S,MATCH(1,(TRIM(Innings!A:A)=TRIM(A1210))*(TRIM(Innings!D:D)=TRIM(E1210)),0))</f>
        <v>43</v>
      </c>
      <c r="AE1210" t="str" cm="1">
        <f t="array" ref="AE1210">INDEX(Innings!W:W,MATCH(1,(TRIM(Innings!A:A)=TRIM(A1210))*(TRIM(Innings!D:D)=TRIM(E1210)),0))</f>
        <v>Successful</v>
      </c>
      <c r="AF1210">
        <f>IF(UPPER(TRIM(E1210))=UPPER(TRIM(W1210)),1,0)</f>
        <v>1</v>
      </c>
      <c r="AG1210">
        <f t="shared" si="36"/>
        <v>20</v>
      </c>
    </row>
    <row r="1211" spans="1:33" x14ac:dyDescent="0.3">
      <c r="A1211" t="s">
        <v>473</v>
      </c>
      <c r="B1211">
        <v>3</v>
      </c>
      <c r="C1211" t="s">
        <v>81</v>
      </c>
      <c r="D1211" t="s">
        <v>114</v>
      </c>
      <c r="E1211" t="s">
        <v>258</v>
      </c>
      <c r="F1211" t="s">
        <v>85</v>
      </c>
      <c r="G1211" t="s">
        <v>86</v>
      </c>
      <c r="H1211">
        <v>17</v>
      </c>
      <c r="I1211">
        <v>20</v>
      </c>
      <c r="J1211">
        <v>85</v>
      </c>
      <c r="K1211" t="s">
        <v>246</v>
      </c>
      <c r="L1211">
        <v>20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 s="8">
        <v>20</v>
      </c>
      <c r="V1211" s="8">
        <f t="shared" si="37"/>
        <v>2</v>
      </c>
      <c r="W1211" t="str">
        <f>_xlfn.XLOOKUP(A1211, Matches!A:A, Matches!L:L, "NA", 0)</f>
        <v>GGTW</v>
      </c>
      <c r="X1211" t="str">
        <f>_xlfn.XLOOKUP(A1211, Matches!A:A, Matches!J:J, "NA", 0)</f>
        <v>GGTW</v>
      </c>
      <c r="Y1211" t="str">
        <f>_xlfn.XLOOKUP(A1211, Matches!A:A, Matches!F:F, "NA", 0)</f>
        <v>M. Chinnaswamy Stadium</v>
      </c>
      <c r="Z1211" cm="1">
        <f t="array" ref="Z1211">INDEX(Innings!F:F,MATCH(1,(TRIM(Innings!A:A)=TRIM(A1211))*(TRIM(Innings!D:D)=TRIM(E1211)),0))</f>
        <v>126</v>
      </c>
      <c r="AA1211" cm="1">
        <f t="array" ref="AA1211">INDEX(Innings!I:I,MATCH(1,(TRIM(Innings!A:A)=TRIM(A1211))*(TRIM(Innings!D:D)=TRIM(E1211)),0))</f>
        <v>7.64</v>
      </c>
      <c r="AB1211" cm="1">
        <f t="array" ref="AB1211">INDEX(Innings!J:J,MATCH(1,(TRIM(Innings!A:A)=TRIM(A1211))*(TRIM(Innings!D:D)=TRIM(E1211)),0))</f>
        <v>30</v>
      </c>
      <c r="AC1211" cm="1">
        <f t="array" ref="AC1211">INDEX(Innings!N:N,MATCH(1,(TRIM(Innings!A:A)=TRIM(A1211))*(TRIM(Innings!D:D)=TRIM(E1211)),0))</f>
        <v>8</v>
      </c>
      <c r="AD1211" cm="1">
        <f t="array" ref="AD1211">INDEX(Innings!S:S,MATCH(1,(TRIM(Innings!A:A)=TRIM(A1211))*(TRIM(Innings!D:D)=TRIM(E1211)),0))</f>
        <v>47</v>
      </c>
      <c r="AE1211" t="str" cm="1">
        <f t="array" ref="AE1211">INDEX(Innings!W:W,MATCH(1,(TRIM(Innings!A:A)=TRIM(A1211))*(TRIM(Innings!D:D)=TRIM(E1211)),0))</f>
        <v>Successful</v>
      </c>
      <c r="AF1211">
        <f>IF(UPPER(TRIM(E1211))=UPPER(TRIM(W1211)),1,0)</f>
        <v>1</v>
      </c>
      <c r="AG1211">
        <f t="shared" si="36"/>
        <v>30.6</v>
      </c>
    </row>
    <row r="1212" spans="1:33" x14ac:dyDescent="0.3">
      <c r="A1212" t="s">
        <v>473</v>
      </c>
      <c r="B1212">
        <v>3</v>
      </c>
      <c r="C1212" t="s">
        <v>97</v>
      </c>
      <c r="D1212" t="s">
        <v>122</v>
      </c>
      <c r="E1212" t="s">
        <v>258</v>
      </c>
      <c r="F1212" t="s">
        <v>109</v>
      </c>
      <c r="G1212" t="s">
        <v>92</v>
      </c>
      <c r="H1212">
        <v>11</v>
      </c>
      <c r="I1212">
        <v>15</v>
      </c>
      <c r="J1212">
        <v>73.33</v>
      </c>
      <c r="K1212" t="s">
        <v>248</v>
      </c>
      <c r="L1212">
        <v>15</v>
      </c>
      <c r="M1212">
        <v>1</v>
      </c>
      <c r="N1212">
        <v>0</v>
      </c>
      <c r="O1212">
        <v>4</v>
      </c>
      <c r="P1212">
        <v>0</v>
      </c>
      <c r="Q1212">
        <v>4</v>
      </c>
      <c r="R1212">
        <v>0</v>
      </c>
      <c r="S1212">
        <v>0</v>
      </c>
      <c r="T1212">
        <v>0</v>
      </c>
      <c r="U1212" s="8">
        <v>15</v>
      </c>
      <c r="V1212" s="8">
        <f t="shared" si="37"/>
        <v>2</v>
      </c>
      <c r="W1212" t="str">
        <f>_xlfn.XLOOKUP(A1212, Matches!A:A, Matches!L:L, "NA", 0)</f>
        <v>GGTW</v>
      </c>
      <c r="X1212" t="str">
        <f>_xlfn.XLOOKUP(A1212, Matches!A:A, Matches!J:J, "NA", 0)</f>
        <v>GGTW</v>
      </c>
      <c r="Y1212" t="str">
        <f>_xlfn.XLOOKUP(A1212, Matches!A:A, Matches!F:F, "NA", 0)</f>
        <v>M. Chinnaswamy Stadium</v>
      </c>
      <c r="Z1212" cm="1">
        <f t="array" ref="Z1212">INDEX(Innings!F:F,MATCH(1,(TRIM(Innings!A:A)=TRIM(A1212))*(TRIM(Innings!D:D)=TRIM(E1212)),0))</f>
        <v>126</v>
      </c>
      <c r="AA1212" cm="1">
        <f t="array" ref="AA1212">INDEX(Innings!I:I,MATCH(1,(TRIM(Innings!A:A)=TRIM(A1212))*(TRIM(Innings!D:D)=TRIM(E1212)),0))</f>
        <v>7.64</v>
      </c>
      <c r="AB1212" cm="1">
        <f t="array" ref="AB1212">INDEX(Innings!J:J,MATCH(1,(TRIM(Innings!A:A)=TRIM(A1212))*(TRIM(Innings!D:D)=TRIM(E1212)),0))</f>
        <v>30</v>
      </c>
      <c r="AC1212" cm="1">
        <f t="array" ref="AC1212">INDEX(Innings!N:N,MATCH(1,(TRIM(Innings!A:A)=TRIM(A1212))*(TRIM(Innings!D:D)=TRIM(E1212)),0))</f>
        <v>8</v>
      </c>
      <c r="AD1212" cm="1">
        <f t="array" ref="AD1212">INDEX(Innings!S:S,MATCH(1,(TRIM(Innings!A:A)=TRIM(A1212))*(TRIM(Innings!D:D)=TRIM(E1212)),0))</f>
        <v>47</v>
      </c>
      <c r="AE1212" t="str" cm="1">
        <f t="array" ref="AE1212">INDEX(Innings!W:W,MATCH(1,(TRIM(Innings!A:A)=TRIM(A1212))*(TRIM(Innings!D:D)=TRIM(E1212)),0))</f>
        <v>Successful</v>
      </c>
      <c r="AF1212">
        <f>IF(UPPER(TRIM(E1212))=UPPER(TRIM(W1212)),1,0)</f>
        <v>1</v>
      </c>
      <c r="AG1212">
        <f t="shared" si="36"/>
        <v>28.1</v>
      </c>
    </row>
    <row r="1213" spans="1:33" x14ac:dyDescent="0.3">
      <c r="A1213" t="s">
        <v>473</v>
      </c>
      <c r="B1213">
        <v>3</v>
      </c>
      <c r="C1213" t="s">
        <v>89</v>
      </c>
      <c r="D1213" t="s">
        <v>116</v>
      </c>
      <c r="E1213" t="s">
        <v>258</v>
      </c>
      <c r="F1213" t="s">
        <v>169</v>
      </c>
      <c r="G1213" t="s">
        <v>92</v>
      </c>
      <c r="H1213">
        <v>5</v>
      </c>
      <c r="I1213">
        <v>10</v>
      </c>
      <c r="J1213">
        <v>50</v>
      </c>
      <c r="K1213" t="s">
        <v>246</v>
      </c>
      <c r="L1213">
        <v>5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 s="8">
        <v>5</v>
      </c>
      <c r="V1213" s="8">
        <f t="shared" si="37"/>
        <v>1</v>
      </c>
      <c r="W1213" t="str">
        <f>_xlfn.XLOOKUP(A1213, Matches!A:A, Matches!L:L, "NA", 0)</f>
        <v>GGTW</v>
      </c>
      <c r="X1213" t="str">
        <f>_xlfn.XLOOKUP(A1213, Matches!A:A, Matches!J:J, "NA", 0)</f>
        <v>GGTW</v>
      </c>
      <c r="Y1213" t="str">
        <f>_xlfn.XLOOKUP(A1213, Matches!A:A, Matches!F:F, "NA", 0)</f>
        <v>M. Chinnaswamy Stadium</v>
      </c>
      <c r="Z1213" cm="1">
        <f t="array" ref="Z1213">INDEX(Innings!F:F,MATCH(1,(TRIM(Innings!A:A)=TRIM(A1213))*(TRIM(Innings!D:D)=TRIM(E1213)),0))</f>
        <v>126</v>
      </c>
      <c r="AA1213" cm="1">
        <f t="array" ref="AA1213">INDEX(Innings!I:I,MATCH(1,(TRIM(Innings!A:A)=TRIM(A1213))*(TRIM(Innings!D:D)=TRIM(E1213)),0))</f>
        <v>7.64</v>
      </c>
      <c r="AB1213" cm="1">
        <f t="array" ref="AB1213">INDEX(Innings!J:J,MATCH(1,(TRIM(Innings!A:A)=TRIM(A1213))*(TRIM(Innings!D:D)=TRIM(E1213)),0))</f>
        <v>30</v>
      </c>
      <c r="AC1213" cm="1">
        <f t="array" ref="AC1213">INDEX(Innings!N:N,MATCH(1,(TRIM(Innings!A:A)=TRIM(A1213))*(TRIM(Innings!D:D)=TRIM(E1213)),0))</f>
        <v>8</v>
      </c>
      <c r="AD1213" cm="1">
        <f t="array" ref="AD1213">INDEX(Innings!S:S,MATCH(1,(TRIM(Innings!A:A)=TRIM(A1213))*(TRIM(Innings!D:D)=TRIM(E1213)),0))</f>
        <v>47</v>
      </c>
      <c r="AE1213" t="str" cm="1">
        <f t="array" ref="AE1213">INDEX(Innings!W:W,MATCH(1,(TRIM(Innings!A:A)=TRIM(A1213))*(TRIM(Innings!D:D)=TRIM(E1213)),0))</f>
        <v>Successful</v>
      </c>
      <c r="AF1213">
        <f>IF(UPPER(TRIM(E1213))=UPPER(TRIM(W1213)),1,0)</f>
        <v>1</v>
      </c>
      <c r="AG1213">
        <f t="shared" si="36"/>
        <v>22.8</v>
      </c>
    </row>
    <row r="1214" spans="1:33" x14ac:dyDescent="0.3">
      <c r="A1214" t="s">
        <v>473</v>
      </c>
      <c r="B1214">
        <v>3</v>
      </c>
      <c r="C1214" t="s">
        <v>93</v>
      </c>
      <c r="D1214" t="s">
        <v>118</v>
      </c>
      <c r="E1214" t="s">
        <v>258</v>
      </c>
      <c r="F1214" t="s">
        <v>169</v>
      </c>
      <c r="G1214" t="s">
        <v>134</v>
      </c>
      <c r="H1214">
        <v>58</v>
      </c>
      <c r="I1214">
        <v>31</v>
      </c>
      <c r="J1214">
        <v>187.1</v>
      </c>
      <c r="K1214" t="s">
        <v>246</v>
      </c>
      <c r="L1214">
        <v>75</v>
      </c>
      <c r="M1214">
        <v>4</v>
      </c>
      <c r="N1214">
        <v>0</v>
      </c>
      <c r="O1214">
        <v>22</v>
      </c>
      <c r="P1214">
        <v>1</v>
      </c>
      <c r="Q1214">
        <v>5.5</v>
      </c>
      <c r="R1214">
        <v>25</v>
      </c>
      <c r="S1214">
        <v>0</v>
      </c>
      <c r="T1214">
        <v>0</v>
      </c>
      <c r="U1214" s="8">
        <v>100</v>
      </c>
      <c r="V1214" s="8">
        <f t="shared" si="37"/>
        <v>10</v>
      </c>
      <c r="W1214" t="str">
        <f>_xlfn.XLOOKUP(A1214, Matches!A:A, Matches!L:L, "NA", 0)</f>
        <v>GGTW</v>
      </c>
      <c r="X1214" t="str">
        <f>_xlfn.XLOOKUP(A1214, Matches!A:A, Matches!J:J, "NA", 0)</f>
        <v>GGTW</v>
      </c>
      <c r="Y1214" t="str">
        <f>_xlfn.XLOOKUP(A1214, Matches!A:A, Matches!F:F, "NA", 0)</f>
        <v>M. Chinnaswamy Stadium</v>
      </c>
      <c r="Z1214" cm="1">
        <f t="array" ref="Z1214">INDEX(Innings!F:F,MATCH(1,(TRIM(Innings!A:A)=TRIM(A1214))*(TRIM(Innings!D:D)=TRIM(E1214)),0))</f>
        <v>126</v>
      </c>
      <c r="AA1214" cm="1">
        <f t="array" ref="AA1214">INDEX(Innings!I:I,MATCH(1,(TRIM(Innings!A:A)=TRIM(A1214))*(TRIM(Innings!D:D)=TRIM(E1214)),0))</f>
        <v>7.64</v>
      </c>
      <c r="AB1214" cm="1">
        <f t="array" ref="AB1214">INDEX(Innings!J:J,MATCH(1,(TRIM(Innings!A:A)=TRIM(A1214))*(TRIM(Innings!D:D)=TRIM(E1214)),0))</f>
        <v>30</v>
      </c>
      <c r="AC1214" cm="1">
        <f t="array" ref="AC1214">INDEX(Innings!N:N,MATCH(1,(TRIM(Innings!A:A)=TRIM(A1214))*(TRIM(Innings!D:D)=TRIM(E1214)),0))</f>
        <v>8</v>
      </c>
      <c r="AD1214" cm="1">
        <f t="array" ref="AD1214">INDEX(Innings!S:S,MATCH(1,(TRIM(Innings!A:A)=TRIM(A1214))*(TRIM(Innings!D:D)=TRIM(E1214)),0))</f>
        <v>47</v>
      </c>
      <c r="AE1214" t="str" cm="1">
        <f t="array" ref="AE1214">INDEX(Innings!W:W,MATCH(1,(TRIM(Innings!A:A)=TRIM(A1214))*(TRIM(Innings!D:D)=TRIM(E1214)),0))</f>
        <v>Successful</v>
      </c>
      <c r="AF1214">
        <f>IF(UPPER(TRIM(E1214))=UPPER(TRIM(W1214)),1,0)</f>
        <v>1</v>
      </c>
      <c r="AG1214">
        <f t="shared" si="36"/>
        <v>73</v>
      </c>
    </row>
    <row r="1215" spans="1:33" x14ac:dyDescent="0.3">
      <c r="A1215" t="s">
        <v>473</v>
      </c>
      <c r="B1215">
        <v>3</v>
      </c>
      <c r="C1215" t="s">
        <v>383</v>
      </c>
      <c r="D1215" t="s">
        <v>384</v>
      </c>
      <c r="E1215" t="s">
        <v>258</v>
      </c>
      <c r="F1215" t="s">
        <v>109</v>
      </c>
      <c r="G1215" t="s">
        <v>134</v>
      </c>
      <c r="H1215">
        <v>30</v>
      </c>
      <c r="I1215">
        <v>21</v>
      </c>
      <c r="J1215">
        <v>142.86000000000001</v>
      </c>
      <c r="K1215" t="s">
        <v>96</v>
      </c>
      <c r="L1215">
        <v>40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 s="8">
        <v>40</v>
      </c>
      <c r="V1215" s="8">
        <f t="shared" si="37"/>
        <v>4</v>
      </c>
      <c r="W1215" t="str">
        <f>_xlfn.XLOOKUP(A1215, Matches!A:A, Matches!L:L, "NA", 0)</f>
        <v>GGTW</v>
      </c>
      <c r="X1215" t="str">
        <f>_xlfn.XLOOKUP(A1215, Matches!A:A, Matches!J:J, "NA", 0)</f>
        <v>GGTW</v>
      </c>
      <c r="Y1215" t="str">
        <f>_xlfn.XLOOKUP(A1215, Matches!A:A, Matches!F:F, "NA", 0)</f>
        <v>M. Chinnaswamy Stadium</v>
      </c>
      <c r="Z1215" cm="1">
        <f t="array" ref="Z1215">INDEX(Innings!F:F,MATCH(1,(TRIM(Innings!A:A)=TRIM(A1215))*(TRIM(Innings!D:D)=TRIM(E1215)),0))</f>
        <v>126</v>
      </c>
      <c r="AA1215" cm="1">
        <f t="array" ref="AA1215">INDEX(Innings!I:I,MATCH(1,(TRIM(Innings!A:A)=TRIM(A1215))*(TRIM(Innings!D:D)=TRIM(E1215)),0))</f>
        <v>7.64</v>
      </c>
      <c r="AB1215" cm="1">
        <f t="array" ref="AB1215">INDEX(Innings!J:J,MATCH(1,(TRIM(Innings!A:A)=TRIM(A1215))*(TRIM(Innings!D:D)=TRIM(E1215)),0))</f>
        <v>30</v>
      </c>
      <c r="AC1215" cm="1">
        <f t="array" ref="AC1215">INDEX(Innings!N:N,MATCH(1,(TRIM(Innings!A:A)=TRIM(A1215))*(TRIM(Innings!D:D)=TRIM(E1215)),0))</f>
        <v>8</v>
      </c>
      <c r="AD1215" cm="1">
        <f t="array" ref="AD1215">INDEX(Innings!S:S,MATCH(1,(TRIM(Innings!A:A)=TRIM(A1215))*(TRIM(Innings!D:D)=TRIM(E1215)),0))</f>
        <v>47</v>
      </c>
      <c r="AE1215" t="str" cm="1">
        <f t="array" ref="AE1215">INDEX(Innings!W:W,MATCH(1,(TRIM(Innings!A:A)=TRIM(A1215))*(TRIM(Innings!D:D)=TRIM(E1215)),0))</f>
        <v>Successful</v>
      </c>
      <c r="AF1215">
        <f>IF(UPPER(TRIM(E1215))=UPPER(TRIM(W1215)),1,0)</f>
        <v>1</v>
      </c>
      <c r="AG1215">
        <f t="shared" si="36"/>
        <v>41.2</v>
      </c>
    </row>
    <row r="1216" spans="1:33" x14ac:dyDescent="0.3">
      <c r="A1216" t="s">
        <v>473</v>
      </c>
      <c r="B1216">
        <v>3</v>
      </c>
      <c r="C1216" t="s">
        <v>530</v>
      </c>
      <c r="D1216" t="s">
        <v>502</v>
      </c>
      <c r="E1216" t="s">
        <v>258</v>
      </c>
      <c r="F1216" t="s">
        <v>169</v>
      </c>
      <c r="G1216" t="s">
        <v>134</v>
      </c>
      <c r="H1216">
        <v>0</v>
      </c>
      <c r="I1216">
        <v>2</v>
      </c>
      <c r="J1216">
        <v>0</v>
      </c>
      <c r="K1216" t="s">
        <v>96</v>
      </c>
      <c r="L1216">
        <v>0</v>
      </c>
      <c r="M1216">
        <v>4</v>
      </c>
      <c r="N1216">
        <v>0</v>
      </c>
      <c r="O1216">
        <v>31</v>
      </c>
      <c r="P1216">
        <v>2</v>
      </c>
      <c r="Q1216">
        <v>7.8</v>
      </c>
      <c r="R1216">
        <v>50</v>
      </c>
      <c r="S1216">
        <v>0</v>
      </c>
      <c r="T1216">
        <v>0</v>
      </c>
      <c r="U1216" s="8">
        <v>50</v>
      </c>
      <c r="V1216" s="8">
        <f t="shared" si="37"/>
        <v>5</v>
      </c>
      <c r="W1216" t="str">
        <f>_xlfn.XLOOKUP(A1216, Matches!A:A, Matches!L:L, "NA", 0)</f>
        <v>GGTW</v>
      </c>
      <c r="X1216" t="str">
        <f>_xlfn.XLOOKUP(A1216, Matches!A:A, Matches!J:J, "NA", 0)</f>
        <v>GGTW</v>
      </c>
      <c r="Y1216" t="str">
        <f>_xlfn.XLOOKUP(A1216, Matches!A:A, Matches!F:F, "NA", 0)</f>
        <v>M. Chinnaswamy Stadium</v>
      </c>
      <c r="Z1216" cm="1">
        <f t="array" ref="Z1216">INDEX(Innings!F:F,MATCH(1,(TRIM(Innings!A:A)=TRIM(A1216))*(TRIM(Innings!D:D)=TRIM(E1216)),0))</f>
        <v>126</v>
      </c>
      <c r="AA1216" cm="1">
        <f t="array" ref="AA1216">INDEX(Innings!I:I,MATCH(1,(TRIM(Innings!A:A)=TRIM(A1216))*(TRIM(Innings!D:D)=TRIM(E1216)),0))</f>
        <v>7.64</v>
      </c>
      <c r="AB1216" cm="1">
        <f t="array" ref="AB1216">INDEX(Innings!J:J,MATCH(1,(TRIM(Innings!A:A)=TRIM(A1216))*(TRIM(Innings!D:D)=TRIM(E1216)),0))</f>
        <v>30</v>
      </c>
      <c r="AC1216" cm="1">
        <f t="array" ref="AC1216">INDEX(Innings!N:N,MATCH(1,(TRIM(Innings!A:A)=TRIM(A1216))*(TRIM(Innings!D:D)=TRIM(E1216)),0))</f>
        <v>8</v>
      </c>
      <c r="AD1216" cm="1">
        <f t="array" ref="AD1216">INDEX(Innings!S:S,MATCH(1,(TRIM(Innings!A:A)=TRIM(A1216))*(TRIM(Innings!D:D)=TRIM(E1216)),0))</f>
        <v>47</v>
      </c>
      <c r="AE1216" t="str" cm="1">
        <f t="array" ref="AE1216">INDEX(Innings!W:W,MATCH(1,(TRIM(Innings!A:A)=TRIM(A1216))*(TRIM(Innings!D:D)=TRIM(E1216)),0))</f>
        <v>Successful</v>
      </c>
      <c r="AF1216">
        <f>IF(UPPER(TRIM(E1216))=UPPER(TRIM(W1216)),1,0)</f>
        <v>1</v>
      </c>
      <c r="AG1216">
        <f t="shared" si="36"/>
        <v>46.5</v>
      </c>
    </row>
    <row r="1217" spans="1:33" x14ac:dyDescent="0.3">
      <c r="A1217" t="s">
        <v>473</v>
      </c>
      <c r="B1217">
        <v>3</v>
      </c>
      <c r="C1217" t="s">
        <v>493</v>
      </c>
      <c r="D1217" t="s">
        <v>500</v>
      </c>
      <c r="E1217" t="s">
        <v>258</v>
      </c>
      <c r="F1217" t="s">
        <v>169</v>
      </c>
      <c r="G1217" t="s">
        <v>104</v>
      </c>
      <c r="H1217">
        <v>0</v>
      </c>
      <c r="I1217">
        <v>0</v>
      </c>
      <c r="J1217">
        <v>0</v>
      </c>
      <c r="K1217" t="s">
        <v>104</v>
      </c>
      <c r="L1217">
        <v>0</v>
      </c>
      <c r="M1217">
        <v>4</v>
      </c>
      <c r="N1217">
        <v>0</v>
      </c>
      <c r="O1217">
        <v>17</v>
      </c>
      <c r="P1217">
        <v>1</v>
      </c>
      <c r="Q1217">
        <v>4.2</v>
      </c>
      <c r="R1217">
        <v>25</v>
      </c>
      <c r="S1217">
        <v>0</v>
      </c>
      <c r="T1217">
        <v>0</v>
      </c>
      <c r="U1217" s="8">
        <v>25</v>
      </c>
      <c r="V1217" s="8">
        <f t="shared" si="37"/>
        <v>3</v>
      </c>
      <c r="W1217" t="str">
        <f>_xlfn.XLOOKUP(A1217, Matches!A:A, Matches!L:L, "NA", 0)</f>
        <v>GGTW</v>
      </c>
      <c r="X1217" t="str">
        <f>_xlfn.XLOOKUP(A1217, Matches!A:A, Matches!J:J, "NA", 0)</f>
        <v>GGTW</v>
      </c>
      <c r="Y1217" t="str">
        <f>_xlfn.XLOOKUP(A1217, Matches!A:A, Matches!F:F, "NA", 0)</f>
        <v>M. Chinnaswamy Stadium</v>
      </c>
      <c r="Z1217" cm="1">
        <f t="array" ref="Z1217">INDEX(Innings!F:F,MATCH(1,(TRIM(Innings!A:A)=TRIM(A1217))*(TRIM(Innings!D:D)=TRIM(E1217)),0))</f>
        <v>126</v>
      </c>
      <c r="AA1217" cm="1">
        <f t="array" ref="AA1217">INDEX(Innings!I:I,MATCH(1,(TRIM(Innings!A:A)=TRIM(A1217))*(TRIM(Innings!D:D)=TRIM(E1217)),0))</f>
        <v>7.64</v>
      </c>
      <c r="AB1217" cm="1">
        <f t="array" ref="AB1217">INDEX(Innings!J:J,MATCH(1,(TRIM(Innings!A:A)=TRIM(A1217))*(TRIM(Innings!D:D)=TRIM(E1217)),0))</f>
        <v>30</v>
      </c>
      <c r="AC1217" cm="1">
        <f t="array" ref="AC1217">INDEX(Innings!N:N,MATCH(1,(TRIM(Innings!A:A)=TRIM(A1217))*(TRIM(Innings!D:D)=TRIM(E1217)),0))</f>
        <v>8</v>
      </c>
      <c r="AD1217" cm="1">
        <f t="array" ref="AD1217">INDEX(Innings!S:S,MATCH(1,(TRIM(Innings!A:A)=TRIM(A1217))*(TRIM(Innings!D:D)=TRIM(E1217)),0))</f>
        <v>47</v>
      </c>
      <c r="AE1217" t="str" cm="1">
        <f t="array" ref="AE1217">INDEX(Innings!W:W,MATCH(1,(TRIM(Innings!A:A)=TRIM(A1217))*(TRIM(Innings!D:D)=TRIM(E1217)),0))</f>
        <v>Successful</v>
      </c>
      <c r="AF1217">
        <f>IF(UPPER(TRIM(E1217))=UPPER(TRIM(W1217)),1,0)</f>
        <v>1</v>
      </c>
      <c r="AG1217">
        <f t="shared" ref="AG1217:AG1280" si="38">(0.5*MAX(0,U1217) + 0.3*MAX(0,V1217) + 0.2*AF1217*100)</f>
        <v>33.4</v>
      </c>
    </row>
    <row r="1218" spans="1:33" x14ac:dyDescent="0.3">
      <c r="A1218" t="s">
        <v>473</v>
      </c>
      <c r="B1218">
        <v>3</v>
      </c>
      <c r="C1218" t="s">
        <v>447</v>
      </c>
      <c r="D1218" t="s">
        <v>448</v>
      </c>
      <c r="E1218" t="s">
        <v>258</v>
      </c>
      <c r="F1218" t="s">
        <v>109</v>
      </c>
      <c r="G1218" t="s">
        <v>104</v>
      </c>
      <c r="H1218">
        <v>0</v>
      </c>
      <c r="I1218">
        <v>0</v>
      </c>
      <c r="J1218">
        <v>0</v>
      </c>
      <c r="K1218" t="s">
        <v>104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 s="8">
        <v>0</v>
      </c>
      <c r="V1218" s="8">
        <f t="shared" si="37"/>
        <v>0</v>
      </c>
      <c r="W1218" t="str">
        <f>_xlfn.XLOOKUP(A1218, Matches!A:A, Matches!L:L, "NA", 0)</f>
        <v>GGTW</v>
      </c>
      <c r="X1218" t="str">
        <f>_xlfn.XLOOKUP(A1218, Matches!A:A, Matches!J:J, "NA", 0)</f>
        <v>GGTW</v>
      </c>
      <c r="Y1218" t="str">
        <f>_xlfn.XLOOKUP(A1218, Matches!A:A, Matches!F:F, "NA", 0)</f>
        <v>M. Chinnaswamy Stadium</v>
      </c>
      <c r="Z1218" cm="1">
        <f t="array" ref="Z1218">INDEX(Innings!F:F,MATCH(1,(TRIM(Innings!A:A)=TRIM(A1218))*(TRIM(Innings!D:D)=TRIM(E1218)),0))</f>
        <v>126</v>
      </c>
      <c r="AA1218" cm="1">
        <f t="array" ref="AA1218">INDEX(Innings!I:I,MATCH(1,(TRIM(Innings!A:A)=TRIM(A1218))*(TRIM(Innings!D:D)=TRIM(E1218)),0))</f>
        <v>7.64</v>
      </c>
      <c r="AB1218" cm="1">
        <f t="array" ref="AB1218">INDEX(Innings!J:J,MATCH(1,(TRIM(Innings!A:A)=TRIM(A1218))*(TRIM(Innings!D:D)=TRIM(E1218)),0))</f>
        <v>30</v>
      </c>
      <c r="AC1218" cm="1">
        <f t="array" ref="AC1218">INDEX(Innings!N:N,MATCH(1,(TRIM(Innings!A:A)=TRIM(A1218))*(TRIM(Innings!D:D)=TRIM(E1218)),0))</f>
        <v>8</v>
      </c>
      <c r="AD1218" cm="1">
        <f t="array" ref="AD1218">INDEX(Innings!S:S,MATCH(1,(TRIM(Innings!A:A)=TRIM(A1218))*(TRIM(Innings!D:D)=TRIM(E1218)),0))</f>
        <v>47</v>
      </c>
      <c r="AE1218" t="str" cm="1">
        <f t="array" ref="AE1218">INDEX(Innings!W:W,MATCH(1,(TRIM(Innings!A:A)=TRIM(A1218))*(TRIM(Innings!D:D)=TRIM(E1218)),0))</f>
        <v>Successful</v>
      </c>
      <c r="AF1218">
        <f>IF(UPPER(TRIM(E1218))=UPPER(TRIM(W1218)),1,0)</f>
        <v>1</v>
      </c>
      <c r="AG1218">
        <f t="shared" si="38"/>
        <v>20</v>
      </c>
    </row>
    <row r="1219" spans="1:33" x14ac:dyDescent="0.3">
      <c r="A1219" t="s">
        <v>473</v>
      </c>
      <c r="B1219">
        <v>3</v>
      </c>
      <c r="C1219" t="s">
        <v>389</v>
      </c>
      <c r="D1219" t="s">
        <v>390</v>
      </c>
      <c r="E1219" t="s">
        <v>258</v>
      </c>
      <c r="F1219" t="s">
        <v>101</v>
      </c>
      <c r="G1219" t="s">
        <v>104</v>
      </c>
      <c r="H1219">
        <v>0</v>
      </c>
      <c r="I1219">
        <v>0</v>
      </c>
      <c r="J1219">
        <v>0</v>
      </c>
      <c r="K1219" t="s">
        <v>104</v>
      </c>
      <c r="L1219">
        <v>0</v>
      </c>
      <c r="M1219">
        <v>2</v>
      </c>
      <c r="N1219">
        <v>0</v>
      </c>
      <c r="O1219">
        <v>12</v>
      </c>
      <c r="P1219">
        <v>0</v>
      </c>
      <c r="Q1219">
        <v>6</v>
      </c>
      <c r="R1219">
        <v>0</v>
      </c>
      <c r="S1219">
        <v>0</v>
      </c>
      <c r="T1219">
        <v>0</v>
      </c>
      <c r="U1219" s="8">
        <v>0</v>
      </c>
      <c r="V1219" s="8">
        <f t="shared" ref="V1219:V1282" si="39">MIN(10, MAX(0, ROUND(U1219/10,0)))</f>
        <v>0</v>
      </c>
      <c r="W1219" t="str">
        <f>_xlfn.XLOOKUP(A1219, Matches!A:A, Matches!L:L, "NA", 0)</f>
        <v>GGTW</v>
      </c>
      <c r="X1219" t="str">
        <f>_xlfn.XLOOKUP(A1219, Matches!A:A, Matches!J:J, "NA", 0)</f>
        <v>GGTW</v>
      </c>
      <c r="Y1219" t="str">
        <f>_xlfn.XLOOKUP(A1219, Matches!A:A, Matches!F:F, "NA", 0)</f>
        <v>M. Chinnaswamy Stadium</v>
      </c>
      <c r="Z1219" cm="1">
        <f t="array" ref="Z1219">INDEX(Innings!F:F,MATCH(1,(TRIM(Innings!A:A)=TRIM(A1219))*(TRIM(Innings!D:D)=TRIM(E1219)),0))</f>
        <v>126</v>
      </c>
      <c r="AA1219" cm="1">
        <f t="array" ref="AA1219">INDEX(Innings!I:I,MATCH(1,(TRIM(Innings!A:A)=TRIM(A1219))*(TRIM(Innings!D:D)=TRIM(E1219)),0))</f>
        <v>7.64</v>
      </c>
      <c r="AB1219" cm="1">
        <f t="array" ref="AB1219">INDEX(Innings!J:J,MATCH(1,(TRIM(Innings!A:A)=TRIM(A1219))*(TRIM(Innings!D:D)=TRIM(E1219)),0))</f>
        <v>30</v>
      </c>
      <c r="AC1219" cm="1">
        <f t="array" ref="AC1219">INDEX(Innings!N:N,MATCH(1,(TRIM(Innings!A:A)=TRIM(A1219))*(TRIM(Innings!D:D)=TRIM(E1219)),0))</f>
        <v>8</v>
      </c>
      <c r="AD1219" cm="1">
        <f t="array" ref="AD1219">INDEX(Innings!S:S,MATCH(1,(TRIM(Innings!A:A)=TRIM(A1219))*(TRIM(Innings!D:D)=TRIM(E1219)),0))</f>
        <v>47</v>
      </c>
      <c r="AE1219" t="str" cm="1">
        <f t="array" ref="AE1219">INDEX(Innings!W:W,MATCH(1,(TRIM(Innings!A:A)=TRIM(A1219))*(TRIM(Innings!D:D)=TRIM(E1219)),0))</f>
        <v>Successful</v>
      </c>
      <c r="AF1219">
        <f>IF(UPPER(TRIM(E1219))=UPPER(TRIM(W1219)),1,0)</f>
        <v>1</v>
      </c>
      <c r="AG1219">
        <f t="shared" si="38"/>
        <v>20</v>
      </c>
    </row>
    <row r="1220" spans="1:33" x14ac:dyDescent="0.3">
      <c r="A1220" t="s">
        <v>473</v>
      </c>
      <c r="B1220">
        <v>3</v>
      </c>
      <c r="C1220" t="s">
        <v>105</v>
      </c>
      <c r="D1220" t="s">
        <v>128</v>
      </c>
      <c r="E1220" t="s">
        <v>258</v>
      </c>
      <c r="F1220" t="s">
        <v>101</v>
      </c>
      <c r="G1220" t="s">
        <v>104</v>
      </c>
      <c r="H1220">
        <v>0</v>
      </c>
      <c r="I1220">
        <v>0</v>
      </c>
      <c r="J1220">
        <v>0</v>
      </c>
      <c r="K1220" t="s">
        <v>104</v>
      </c>
      <c r="L1220">
        <v>0</v>
      </c>
      <c r="M1220">
        <v>4</v>
      </c>
      <c r="N1220">
        <v>0</v>
      </c>
      <c r="O1220">
        <v>16</v>
      </c>
      <c r="P1220">
        <v>2</v>
      </c>
      <c r="Q1220">
        <v>4</v>
      </c>
      <c r="R1220">
        <v>50</v>
      </c>
      <c r="S1220">
        <v>0</v>
      </c>
      <c r="T1220">
        <v>0</v>
      </c>
      <c r="U1220" s="8">
        <v>50</v>
      </c>
      <c r="V1220" s="8">
        <f t="shared" si="39"/>
        <v>5</v>
      </c>
      <c r="W1220" t="str">
        <f>_xlfn.XLOOKUP(A1220, Matches!A:A, Matches!L:L, "NA", 0)</f>
        <v>GGTW</v>
      </c>
      <c r="X1220" t="str">
        <f>_xlfn.XLOOKUP(A1220, Matches!A:A, Matches!J:J, "NA", 0)</f>
        <v>GGTW</v>
      </c>
      <c r="Y1220" t="str">
        <f>_xlfn.XLOOKUP(A1220, Matches!A:A, Matches!F:F, "NA", 0)</f>
        <v>M. Chinnaswamy Stadium</v>
      </c>
      <c r="Z1220" cm="1">
        <f t="array" ref="Z1220">INDEX(Innings!F:F,MATCH(1,(TRIM(Innings!A:A)=TRIM(A1220))*(TRIM(Innings!D:D)=TRIM(E1220)),0))</f>
        <v>126</v>
      </c>
      <c r="AA1220" cm="1">
        <f t="array" ref="AA1220">INDEX(Innings!I:I,MATCH(1,(TRIM(Innings!A:A)=TRIM(A1220))*(TRIM(Innings!D:D)=TRIM(E1220)),0))</f>
        <v>7.64</v>
      </c>
      <c r="AB1220" cm="1">
        <f t="array" ref="AB1220">INDEX(Innings!J:J,MATCH(1,(TRIM(Innings!A:A)=TRIM(A1220))*(TRIM(Innings!D:D)=TRIM(E1220)),0))</f>
        <v>30</v>
      </c>
      <c r="AC1220" cm="1">
        <f t="array" ref="AC1220">INDEX(Innings!N:N,MATCH(1,(TRIM(Innings!A:A)=TRIM(A1220))*(TRIM(Innings!D:D)=TRIM(E1220)),0))</f>
        <v>8</v>
      </c>
      <c r="AD1220" cm="1">
        <f t="array" ref="AD1220">INDEX(Innings!S:S,MATCH(1,(TRIM(Innings!A:A)=TRIM(A1220))*(TRIM(Innings!D:D)=TRIM(E1220)),0))</f>
        <v>47</v>
      </c>
      <c r="AE1220" t="str" cm="1">
        <f t="array" ref="AE1220">INDEX(Innings!W:W,MATCH(1,(TRIM(Innings!A:A)=TRIM(A1220))*(TRIM(Innings!D:D)=TRIM(E1220)),0))</f>
        <v>Successful</v>
      </c>
      <c r="AF1220">
        <f>IF(UPPER(TRIM(E1220))=UPPER(TRIM(W1220)),1,0)</f>
        <v>1</v>
      </c>
      <c r="AG1220">
        <f t="shared" si="38"/>
        <v>46.5</v>
      </c>
    </row>
    <row r="1221" spans="1:33" x14ac:dyDescent="0.3">
      <c r="A1221" t="s">
        <v>473</v>
      </c>
      <c r="B1221">
        <v>3</v>
      </c>
      <c r="C1221" t="s">
        <v>494</v>
      </c>
      <c r="D1221" t="s">
        <v>501</v>
      </c>
      <c r="E1221" t="s">
        <v>258</v>
      </c>
      <c r="F1221" t="s">
        <v>101</v>
      </c>
      <c r="G1221" t="s">
        <v>104</v>
      </c>
      <c r="H1221">
        <v>0</v>
      </c>
      <c r="I1221">
        <v>0</v>
      </c>
      <c r="J1221">
        <v>0</v>
      </c>
      <c r="K1221" t="s">
        <v>104</v>
      </c>
      <c r="L1221">
        <v>0</v>
      </c>
      <c r="M1221">
        <v>1</v>
      </c>
      <c r="N1221">
        <v>0</v>
      </c>
      <c r="O1221">
        <v>18</v>
      </c>
      <c r="P1221">
        <v>0</v>
      </c>
      <c r="Q1221">
        <v>18</v>
      </c>
      <c r="R1221">
        <v>0</v>
      </c>
      <c r="S1221">
        <v>0</v>
      </c>
      <c r="T1221">
        <v>0</v>
      </c>
      <c r="U1221" s="8">
        <v>0</v>
      </c>
      <c r="V1221" s="8">
        <f t="shared" si="39"/>
        <v>0</v>
      </c>
      <c r="W1221" t="str">
        <f>_xlfn.XLOOKUP(A1221, Matches!A:A, Matches!L:L, "NA", 0)</f>
        <v>GGTW</v>
      </c>
      <c r="X1221" t="str">
        <f>_xlfn.XLOOKUP(A1221, Matches!A:A, Matches!J:J, "NA", 0)</f>
        <v>GGTW</v>
      </c>
      <c r="Y1221" t="str">
        <f>_xlfn.XLOOKUP(A1221, Matches!A:A, Matches!F:F, "NA", 0)</f>
        <v>M. Chinnaswamy Stadium</v>
      </c>
      <c r="Z1221" cm="1">
        <f t="array" ref="Z1221">INDEX(Innings!F:F,MATCH(1,(TRIM(Innings!A:A)=TRIM(A1221))*(TRIM(Innings!D:D)=TRIM(E1221)),0))</f>
        <v>126</v>
      </c>
      <c r="AA1221" cm="1">
        <f t="array" ref="AA1221">INDEX(Innings!I:I,MATCH(1,(TRIM(Innings!A:A)=TRIM(A1221))*(TRIM(Innings!D:D)=TRIM(E1221)),0))</f>
        <v>7.64</v>
      </c>
      <c r="AB1221" cm="1">
        <f t="array" ref="AB1221">INDEX(Innings!J:J,MATCH(1,(TRIM(Innings!A:A)=TRIM(A1221))*(TRIM(Innings!D:D)=TRIM(E1221)),0))</f>
        <v>30</v>
      </c>
      <c r="AC1221" cm="1">
        <f t="array" ref="AC1221">INDEX(Innings!N:N,MATCH(1,(TRIM(Innings!A:A)=TRIM(A1221))*(TRIM(Innings!D:D)=TRIM(E1221)),0))</f>
        <v>8</v>
      </c>
      <c r="AD1221" cm="1">
        <f t="array" ref="AD1221">INDEX(Innings!S:S,MATCH(1,(TRIM(Innings!A:A)=TRIM(A1221))*(TRIM(Innings!D:D)=TRIM(E1221)),0))</f>
        <v>47</v>
      </c>
      <c r="AE1221" t="str" cm="1">
        <f t="array" ref="AE1221">INDEX(Innings!W:W,MATCH(1,(TRIM(Innings!A:A)=TRIM(A1221))*(TRIM(Innings!D:D)=TRIM(E1221)),0))</f>
        <v>Successful</v>
      </c>
      <c r="AF1221">
        <f>IF(UPPER(TRIM(E1221))=UPPER(TRIM(W1221)),1,0)</f>
        <v>1</v>
      </c>
      <c r="AG1221">
        <f t="shared" si="38"/>
        <v>20</v>
      </c>
    </row>
    <row r="1222" spans="1:33" x14ac:dyDescent="0.3">
      <c r="A1222" t="s">
        <v>473</v>
      </c>
      <c r="B1222">
        <v>3</v>
      </c>
      <c r="C1222" t="s">
        <v>165</v>
      </c>
      <c r="D1222" t="s">
        <v>166</v>
      </c>
      <c r="E1222" t="s">
        <v>159</v>
      </c>
      <c r="F1222" t="s">
        <v>109</v>
      </c>
      <c r="G1222" t="s">
        <v>86</v>
      </c>
      <c r="H1222">
        <v>10</v>
      </c>
      <c r="I1222">
        <v>20</v>
      </c>
      <c r="J1222">
        <v>50</v>
      </c>
      <c r="K1222" t="s">
        <v>246</v>
      </c>
      <c r="L1222">
        <v>10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 s="8">
        <v>10</v>
      </c>
      <c r="V1222" s="8">
        <f t="shared" si="39"/>
        <v>1</v>
      </c>
      <c r="W1222" t="str">
        <f>_xlfn.XLOOKUP(A1222, Matches!A:A, Matches!L:L, "NA", 0)</f>
        <v>GGTW</v>
      </c>
      <c r="X1222" t="str">
        <f>_xlfn.XLOOKUP(A1222, Matches!A:A, Matches!J:J, "NA", 0)</f>
        <v>GGTW</v>
      </c>
      <c r="Y1222" t="str">
        <f>_xlfn.XLOOKUP(A1222, Matches!A:A, Matches!F:F, "NA", 0)</f>
        <v>M. Chinnaswamy Stadium</v>
      </c>
      <c r="Z1222" cm="1">
        <f t="array" ref="Z1222">INDEX(Innings!F:F,MATCH(1,(TRIM(Innings!A:A)=TRIM(A1222))*(TRIM(Innings!D:D)=TRIM(E1222)),0))</f>
        <v>125</v>
      </c>
      <c r="AA1222" cm="1">
        <f t="array" ref="AA1222">INDEX(Innings!I:I,MATCH(1,(TRIM(Innings!A:A)=TRIM(A1222))*(TRIM(Innings!D:D)=TRIM(E1222)),0))</f>
        <v>6.25</v>
      </c>
      <c r="AB1222" cm="1">
        <f t="array" ref="AB1222">INDEX(Innings!J:J,MATCH(1,(TRIM(Innings!A:A)=TRIM(A1222))*(TRIM(Innings!D:D)=TRIM(E1222)),0))</f>
        <v>26</v>
      </c>
      <c r="AC1222" cm="1">
        <f t="array" ref="AC1222">INDEX(Innings!N:N,MATCH(1,(TRIM(Innings!A:A)=TRIM(A1222))*(TRIM(Innings!D:D)=TRIM(E1222)),0))</f>
        <v>26</v>
      </c>
      <c r="AD1222" cm="1">
        <f t="array" ref="AD1222">INDEX(Innings!S:S,MATCH(1,(TRIM(Innings!A:A)=TRIM(A1222))*(TRIM(Innings!D:D)=TRIM(E1222)),0))</f>
        <v>58</v>
      </c>
      <c r="AE1222" t="str" cm="1">
        <f t="array" ref="AE1222">INDEX(Innings!W:W,MATCH(1,(TRIM(Innings!A:A)=TRIM(A1222))*(TRIM(Innings!D:D)=TRIM(E1222)),0))</f>
        <v>NA</v>
      </c>
      <c r="AF1222">
        <f>IF(UPPER(TRIM(E1222))=UPPER(TRIM(W1222)),1,0)</f>
        <v>0</v>
      </c>
      <c r="AG1222">
        <f t="shared" si="38"/>
        <v>5.3</v>
      </c>
    </row>
    <row r="1223" spans="1:33" x14ac:dyDescent="0.3">
      <c r="A1223" t="s">
        <v>473</v>
      </c>
      <c r="B1223">
        <v>3</v>
      </c>
      <c r="C1223" t="s">
        <v>489</v>
      </c>
      <c r="D1223" t="s">
        <v>488</v>
      </c>
      <c r="E1223" t="s">
        <v>159</v>
      </c>
      <c r="F1223" t="s">
        <v>109</v>
      </c>
      <c r="G1223" t="s">
        <v>86</v>
      </c>
      <c r="H1223">
        <v>4</v>
      </c>
      <c r="I1223">
        <v>4</v>
      </c>
      <c r="J1223">
        <v>100</v>
      </c>
      <c r="K1223" t="s">
        <v>247</v>
      </c>
      <c r="L1223">
        <v>5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 s="8">
        <v>5</v>
      </c>
      <c r="V1223" s="8">
        <f t="shared" si="39"/>
        <v>1</v>
      </c>
      <c r="W1223" t="str">
        <f>_xlfn.XLOOKUP(A1223, Matches!A:A, Matches!L:L, "NA", 0)</f>
        <v>GGTW</v>
      </c>
      <c r="X1223" t="str">
        <f>_xlfn.XLOOKUP(A1223, Matches!A:A, Matches!J:J, "NA", 0)</f>
        <v>GGTW</v>
      </c>
      <c r="Y1223" t="str">
        <f>_xlfn.XLOOKUP(A1223, Matches!A:A, Matches!F:F, "NA", 0)</f>
        <v>M. Chinnaswamy Stadium</v>
      </c>
      <c r="Z1223" cm="1">
        <f t="array" ref="Z1223">INDEX(Innings!F:F,MATCH(1,(TRIM(Innings!A:A)=TRIM(A1223))*(TRIM(Innings!D:D)=TRIM(E1223)),0))</f>
        <v>125</v>
      </c>
      <c r="AA1223" cm="1">
        <f t="array" ref="AA1223">INDEX(Innings!I:I,MATCH(1,(TRIM(Innings!A:A)=TRIM(A1223))*(TRIM(Innings!D:D)=TRIM(E1223)),0))</f>
        <v>6.25</v>
      </c>
      <c r="AB1223" cm="1">
        <f t="array" ref="AB1223">INDEX(Innings!J:J,MATCH(1,(TRIM(Innings!A:A)=TRIM(A1223))*(TRIM(Innings!D:D)=TRIM(E1223)),0))</f>
        <v>26</v>
      </c>
      <c r="AC1223" cm="1">
        <f t="array" ref="AC1223">INDEX(Innings!N:N,MATCH(1,(TRIM(Innings!A:A)=TRIM(A1223))*(TRIM(Innings!D:D)=TRIM(E1223)),0))</f>
        <v>26</v>
      </c>
      <c r="AD1223" cm="1">
        <f t="array" ref="AD1223">INDEX(Innings!S:S,MATCH(1,(TRIM(Innings!A:A)=TRIM(A1223))*(TRIM(Innings!D:D)=TRIM(E1223)),0))</f>
        <v>58</v>
      </c>
      <c r="AE1223" t="str" cm="1">
        <f t="array" ref="AE1223">INDEX(Innings!W:W,MATCH(1,(TRIM(Innings!A:A)=TRIM(A1223))*(TRIM(Innings!D:D)=TRIM(E1223)),0))</f>
        <v>NA</v>
      </c>
      <c r="AF1223">
        <f>IF(UPPER(TRIM(E1223))=UPPER(TRIM(W1223)),1,0)</f>
        <v>0</v>
      </c>
      <c r="AG1223">
        <f t="shared" si="38"/>
        <v>2.8</v>
      </c>
    </row>
    <row r="1224" spans="1:33" x14ac:dyDescent="0.3">
      <c r="A1224" t="s">
        <v>473</v>
      </c>
      <c r="B1224">
        <v>3</v>
      </c>
      <c r="C1224" t="s">
        <v>174</v>
      </c>
      <c r="D1224" t="s">
        <v>175</v>
      </c>
      <c r="E1224" t="s">
        <v>159</v>
      </c>
      <c r="F1224" t="s">
        <v>169</v>
      </c>
      <c r="G1224" t="s">
        <v>92</v>
      </c>
      <c r="H1224">
        <v>0</v>
      </c>
      <c r="I1224">
        <v>4</v>
      </c>
      <c r="J1224">
        <v>0</v>
      </c>
      <c r="K1224" t="s">
        <v>246</v>
      </c>
      <c r="L1224">
        <v>0</v>
      </c>
      <c r="M1224">
        <v>1</v>
      </c>
      <c r="N1224">
        <v>0</v>
      </c>
      <c r="O1224">
        <v>7</v>
      </c>
      <c r="P1224">
        <v>0</v>
      </c>
      <c r="Q1224">
        <v>7</v>
      </c>
      <c r="R1224">
        <v>0</v>
      </c>
      <c r="S1224">
        <v>0</v>
      </c>
      <c r="T1224">
        <v>0</v>
      </c>
      <c r="U1224" s="8">
        <v>0</v>
      </c>
      <c r="V1224" s="8">
        <f t="shared" si="39"/>
        <v>0</v>
      </c>
      <c r="W1224" t="str">
        <f>_xlfn.XLOOKUP(A1224, Matches!A:A, Matches!L:L, "NA", 0)</f>
        <v>GGTW</v>
      </c>
      <c r="X1224" t="str">
        <f>_xlfn.XLOOKUP(A1224, Matches!A:A, Matches!J:J, "NA", 0)</f>
        <v>GGTW</v>
      </c>
      <c r="Y1224" t="str">
        <f>_xlfn.XLOOKUP(A1224, Matches!A:A, Matches!F:F, "NA", 0)</f>
        <v>M. Chinnaswamy Stadium</v>
      </c>
      <c r="Z1224" cm="1">
        <f t="array" ref="Z1224">INDEX(Innings!F:F,MATCH(1,(TRIM(Innings!A:A)=TRIM(A1224))*(TRIM(Innings!D:D)=TRIM(E1224)),0))</f>
        <v>125</v>
      </c>
      <c r="AA1224" cm="1">
        <f t="array" ref="AA1224">INDEX(Innings!I:I,MATCH(1,(TRIM(Innings!A:A)=TRIM(A1224))*(TRIM(Innings!D:D)=TRIM(E1224)),0))</f>
        <v>6.25</v>
      </c>
      <c r="AB1224" cm="1">
        <f t="array" ref="AB1224">INDEX(Innings!J:J,MATCH(1,(TRIM(Innings!A:A)=TRIM(A1224))*(TRIM(Innings!D:D)=TRIM(E1224)),0))</f>
        <v>26</v>
      </c>
      <c r="AC1224" cm="1">
        <f t="array" ref="AC1224">INDEX(Innings!N:N,MATCH(1,(TRIM(Innings!A:A)=TRIM(A1224))*(TRIM(Innings!D:D)=TRIM(E1224)),0))</f>
        <v>26</v>
      </c>
      <c r="AD1224" cm="1">
        <f t="array" ref="AD1224">INDEX(Innings!S:S,MATCH(1,(TRIM(Innings!A:A)=TRIM(A1224))*(TRIM(Innings!D:D)=TRIM(E1224)),0))</f>
        <v>58</v>
      </c>
      <c r="AE1224" t="str" cm="1">
        <f t="array" ref="AE1224">INDEX(Innings!W:W,MATCH(1,(TRIM(Innings!A:A)=TRIM(A1224))*(TRIM(Innings!D:D)=TRIM(E1224)),0))</f>
        <v>NA</v>
      </c>
      <c r="AF1224">
        <f>IF(UPPER(TRIM(E1224))=UPPER(TRIM(W1224)),1,0)</f>
        <v>0</v>
      </c>
      <c r="AG1224">
        <f t="shared" si="38"/>
        <v>0</v>
      </c>
    </row>
    <row r="1225" spans="1:33" x14ac:dyDescent="0.3">
      <c r="A1225" t="s">
        <v>473</v>
      </c>
      <c r="B1225">
        <v>3</v>
      </c>
      <c r="C1225" t="s">
        <v>490</v>
      </c>
      <c r="D1225" t="s">
        <v>497</v>
      </c>
      <c r="E1225" t="s">
        <v>159</v>
      </c>
      <c r="F1225" t="s">
        <v>169</v>
      </c>
      <c r="G1225" t="s">
        <v>134</v>
      </c>
      <c r="H1225">
        <v>22</v>
      </c>
      <c r="I1225">
        <v>19</v>
      </c>
      <c r="J1225">
        <v>115.79</v>
      </c>
      <c r="K1225" t="s">
        <v>256</v>
      </c>
      <c r="L1225">
        <v>25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 s="8">
        <v>25</v>
      </c>
      <c r="V1225" s="8">
        <f t="shared" si="39"/>
        <v>3</v>
      </c>
      <c r="W1225" t="str">
        <f>_xlfn.XLOOKUP(A1225, Matches!A:A, Matches!L:L, "NA", 0)</f>
        <v>GGTW</v>
      </c>
      <c r="X1225" t="str">
        <f>_xlfn.XLOOKUP(A1225, Matches!A:A, Matches!J:J, "NA", 0)</f>
        <v>GGTW</v>
      </c>
      <c r="Y1225" t="str">
        <f>_xlfn.XLOOKUP(A1225, Matches!A:A, Matches!F:F, "NA", 0)</f>
        <v>M. Chinnaswamy Stadium</v>
      </c>
      <c r="Z1225" cm="1">
        <f t="array" ref="Z1225">INDEX(Innings!F:F,MATCH(1,(TRIM(Innings!A:A)=TRIM(A1225))*(TRIM(Innings!D:D)=TRIM(E1225)),0))</f>
        <v>125</v>
      </c>
      <c r="AA1225" cm="1">
        <f t="array" ref="AA1225">INDEX(Innings!I:I,MATCH(1,(TRIM(Innings!A:A)=TRIM(A1225))*(TRIM(Innings!D:D)=TRIM(E1225)),0))</f>
        <v>6.25</v>
      </c>
      <c r="AB1225" cm="1">
        <f t="array" ref="AB1225">INDEX(Innings!J:J,MATCH(1,(TRIM(Innings!A:A)=TRIM(A1225))*(TRIM(Innings!D:D)=TRIM(E1225)),0))</f>
        <v>26</v>
      </c>
      <c r="AC1225" cm="1">
        <f t="array" ref="AC1225">INDEX(Innings!N:N,MATCH(1,(TRIM(Innings!A:A)=TRIM(A1225))*(TRIM(Innings!D:D)=TRIM(E1225)),0))</f>
        <v>26</v>
      </c>
      <c r="AD1225" cm="1">
        <f t="array" ref="AD1225">INDEX(Innings!S:S,MATCH(1,(TRIM(Innings!A:A)=TRIM(A1225))*(TRIM(Innings!D:D)=TRIM(E1225)),0))</f>
        <v>58</v>
      </c>
      <c r="AE1225" t="str" cm="1">
        <f t="array" ref="AE1225">INDEX(Innings!W:W,MATCH(1,(TRIM(Innings!A:A)=TRIM(A1225))*(TRIM(Innings!D:D)=TRIM(E1225)),0))</f>
        <v>NA</v>
      </c>
      <c r="AF1225">
        <f>IF(UPPER(TRIM(E1225))=UPPER(TRIM(W1225)),1,0)</f>
        <v>0</v>
      </c>
      <c r="AG1225">
        <f t="shared" si="38"/>
        <v>13.4</v>
      </c>
    </row>
    <row r="1226" spans="1:33" x14ac:dyDescent="0.3">
      <c r="A1226" t="s">
        <v>473</v>
      </c>
      <c r="B1226">
        <v>3</v>
      </c>
      <c r="C1226" t="s">
        <v>178</v>
      </c>
      <c r="D1226" t="s">
        <v>179</v>
      </c>
      <c r="E1226" t="s">
        <v>159</v>
      </c>
      <c r="F1226" t="s">
        <v>169</v>
      </c>
      <c r="G1226" t="s">
        <v>134</v>
      </c>
      <c r="H1226">
        <v>33</v>
      </c>
      <c r="I1226">
        <v>28</v>
      </c>
      <c r="J1226">
        <v>117.86</v>
      </c>
      <c r="K1226" t="s">
        <v>246</v>
      </c>
      <c r="L1226">
        <v>40</v>
      </c>
      <c r="M1226">
        <v>1</v>
      </c>
      <c r="N1226">
        <v>0</v>
      </c>
      <c r="O1226">
        <v>7</v>
      </c>
      <c r="P1226">
        <v>0</v>
      </c>
      <c r="Q1226">
        <v>7</v>
      </c>
      <c r="R1226">
        <v>0</v>
      </c>
      <c r="S1226">
        <v>0</v>
      </c>
      <c r="T1226">
        <v>0</v>
      </c>
      <c r="U1226" s="8">
        <v>40</v>
      </c>
      <c r="V1226" s="8">
        <f t="shared" si="39"/>
        <v>4</v>
      </c>
      <c r="W1226" t="str">
        <f>_xlfn.XLOOKUP(A1226, Matches!A:A, Matches!L:L, "NA", 0)</f>
        <v>GGTW</v>
      </c>
      <c r="X1226" t="str">
        <f>_xlfn.XLOOKUP(A1226, Matches!A:A, Matches!J:J, "NA", 0)</f>
        <v>GGTW</v>
      </c>
      <c r="Y1226" t="str">
        <f>_xlfn.XLOOKUP(A1226, Matches!A:A, Matches!F:F, "NA", 0)</f>
        <v>M. Chinnaswamy Stadium</v>
      </c>
      <c r="Z1226" cm="1">
        <f t="array" ref="Z1226">INDEX(Innings!F:F,MATCH(1,(TRIM(Innings!A:A)=TRIM(A1226))*(TRIM(Innings!D:D)=TRIM(E1226)),0))</f>
        <v>125</v>
      </c>
      <c r="AA1226" cm="1">
        <f t="array" ref="AA1226">INDEX(Innings!I:I,MATCH(1,(TRIM(Innings!A:A)=TRIM(A1226))*(TRIM(Innings!D:D)=TRIM(E1226)),0))</f>
        <v>6.25</v>
      </c>
      <c r="AB1226" cm="1">
        <f t="array" ref="AB1226">INDEX(Innings!J:J,MATCH(1,(TRIM(Innings!A:A)=TRIM(A1226))*(TRIM(Innings!D:D)=TRIM(E1226)),0))</f>
        <v>26</v>
      </c>
      <c r="AC1226" cm="1">
        <f t="array" ref="AC1226">INDEX(Innings!N:N,MATCH(1,(TRIM(Innings!A:A)=TRIM(A1226))*(TRIM(Innings!D:D)=TRIM(E1226)),0))</f>
        <v>26</v>
      </c>
      <c r="AD1226" cm="1">
        <f t="array" ref="AD1226">INDEX(Innings!S:S,MATCH(1,(TRIM(Innings!A:A)=TRIM(A1226))*(TRIM(Innings!D:D)=TRIM(E1226)),0))</f>
        <v>58</v>
      </c>
      <c r="AE1226" t="str" cm="1">
        <f t="array" ref="AE1226">INDEX(Innings!W:W,MATCH(1,(TRIM(Innings!A:A)=TRIM(A1226))*(TRIM(Innings!D:D)=TRIM(E1226)),0))</f>
        <v>NA</v>
      </c>
      <c r="AF1226">
        <f>IF(UPPER(TRIM(E1226))=UPPER(TRIM(W1226)),1,0)</f>
        <v>0</v>
      </c>
      <c r="AG1226">
        <f t="shared" si="38"/>
        <v>21.2</v>
      </c>
    </row>
    <row r="1227" spans="1:33" x14ac:dyDescent="0.3">
      <c r="A1227" t="s">
        <v>473</v>
      </c>
      <c r="B1227">
        <v>3</v>
      </c>
      <c r="C1227" t="s">
        <v>176</v>
      </c>
      <c r="D1227" t="s">
        <v>177</v>
      </c>
      <c r="E1227" t="s">
        <v>159</v>
      </c>
      <c r="F1227" t="s">
        <v>85</v>
      </c>
      <c r="G1227" t="s">
        <v>134</v>
      </c>
      <c r="H1227">
        <v>9</v>
      </c>
      <c r="I1227">
        <v>10</v>
      </c>
      <c r="J1227">
        <v>90</v>
      </c>
      <c r="K1227" t="s">
        <v>245</v>
      </c>
      <c r="L1227">
        <v>10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 s="8">
        <v>10</v>
      </c>
      <c r="V1227" s="8">
        <f t="shared" si="39"/>
        <v>1</v>
      </c>
      <c r="W1227" t="str">
        <f>_xlfn.XLOOKUP(A1227, Matches!A:A, Matches!L:L, "NA", 0)</f>
        <v>GGTW</v>
      </c>
      <c r="X1227" t="str">
        <f>_xlfn.XLOOKUP(A1227, Matches!A:A, Matches!J:J, "NA", 0)</f>
        <v>GGTW</v>
      </c>
      <c r="Y1227" t="str">
        <f>_xlfn.XLOOKUP(A1227, Matches!A:A, Matches!F:F, "NA", 0)</f>
        <v>M. Chinnaswamy Stadium</v>
      </c>
      <c r="Z1227" cm="1">
        <f t="array" ref="Z1227">INDEX(Innings!F:F,MATCH(1,(TRIM(Innings!A:A)=TRIM(A1227))*(TRIM(Innings!D:D)=TRIM(E1227)),0))</f>
        <v>125</v>
      </c>
      <c r="AA1227" cm="1">
        <f t="array" ref="AA1227">INDEX(Innings!I:I,MATCH(1,(TRIM(Innings!A:A)=TRIM(A1227))*(TRIM(Innings!D:D)=TRIM(E1227)),0))</f>
        <v>6.25</v>
      </c>
      <c r="AB1227" cm="1">
        <f t="array" ref="AB1227">INDEX(Innings!J:J,MATCH(1,(TRIM(Innings!A:A)=TRIM(A1227))*(TRIM(Innings!D:D)=TRIM(E1227)),0))</f>
        <v>26</v>
      </c>
      <c r="AC1227" cm="1">
        <f t="array" ref="AC1227">INDEX(Innings!N:N,MATCH(1,(TRIM(Innings!A:A)=TRIM(A1227))*(TRIM(Innings!D:D)=TRIM(E1227)),0))</f>
        <v>26</v>
      </c>
      <c r="AD1227" cm="1">
        <f t="array" ref="AD1227">INDEX(Innings!S:S,MATCH(1,(TRIM(Innings!A:A)=TRIM(A1227))*(TRIM(Innings!D:D)=TRIM(E1227)),0))</f>
        <v>58</v>
      </c>
      <c r="AE1227" t="str" cm="1">
        <f t="array" ref="AE1227">INDEX(Innings!W:W,MATCH(1,(TRIM(Innings!A:A)=TRIM(A1227))*(TRIM(Innings!D:D)=TRIM(E1227)),0))</f>
        <v>NA</v>
      </c>
      <c r="AF1227">
        <f>IF(UPPER(TRIM(E1227))=UPPER(TRIM(W1227)),1,0)</f>
        <v>0</v>
      </c>
      <c r="AG1227">
        <f t="shared" si="38"/>
        <v>5.3</v>
      </c>
    </row>
    <row r="1228" spans="1:33" x14ac:dyDescent="0.3">
      <c r="A1228" t="s">
        <v>473</v>
      </c>
      <c r="B1228">
        <v>3</v>
      </c>
      <c r="C1228" t="s">
        <v>99</v>
      </c>
      <c r="D1228" t="s">
        <v>124</v>
      </c>
      <c r="E1228" t="s">
        <v>159</v>
      </c>
      <c r="F1228" t="s">
        <v>169</v>
      </c>
      <c r="G1228" t="s">
        <v>134</v>
      </c>
      <c r="H1228">
        <v>20</v>
      </c>
      <c r="I1228">
        <v>21</v>
      </c>
      <c r="J1228">
        <v>95.24</v>
      </c>
      <c r="K1228" t="s">
        <v>96</v>
      </c>
      <c r="L1228">
        <v>25</v>
      </c>
      <c r="M1228">
        <v>3</v>
      </c>
      <c r="N1228">
        <v>0</v>
      </c>
      <c r="O1228">
        <v>26</v>
      </c>
      <c r="P1228">
        <v>2</v>
      </c>
      <c r="Q1228">
        <v>8.6999999999999993</v>
      </c>
      <c r="R1228">
        <v>50</v>
      </c>
      <c r="S1228">
        <v>0</v>
      </c>
      <c r="T1228">
        <v>0</v>
      </c>
      <c r="U1228" s="8">
        <v>75</v>
      </c>
      <c r="V1228" s="8">
        <f t="shared" si="39"/>
        <v>8</v>
      </c>
      <c r="W1228" t="str">
        <f>_xlfn.XLOOKUP(A1228, Matches!A:A, Matches!L:L, "NA", 0)</f>
        <v>GGTW</v>
      </c>
      <c r="X1228" t="str">
        <f>_xlfn.XLOOKUP(A1228, Matches!A:A, Matches!J:J, "NA", 0)</f>
        <v>GGTW</v>
      </c>
      <c r="Y1228" t="str">
        <f>_xlfn.XLOOKUP(A1228, Matches!A:A, Matches!F:F, "NA", 0)</f>
        <v>M. Chinnaswamy Stadium</v>
      </c>
      <c r="Z1228" cm="1">
        <f t="array" ref="Z1228">INDEX(Innings!F:F,MATCH(1,(TRIM(Innings!A:A)=TRIM(A1228))*(TRIM(Innings!D:D)=TRIM(E1228)),0))</f>
        <v>125</v>
      </c>
      <c r="AA1228" cm="1">
        <f t="array" ref="AA1228">INDEX(Innings!I:I,MATCH(1,(TRIM(Innings!A:A)=TRIM(A1228))*(TRIM(Innings!D:D)=TRIM(E1228)),0))</f>
        <v>6.25</v>
      </c>
      <c r="AB1228" cm="1">
        <f t="array" ref="AB1228">INDEX(Innings!J:J,MATCH(1,(TRIM(Innings!A:A)=TRIM(A1228))*(TRIM(Innings!D:D)=TRIM(E1228)),0))</f>
        <v>26</v>
      </c>
      <c r="AC1228" cm="1">
        <f t="array" ref="AC1228">INDEX(Innings!N:N,MATCH(1,(TRIM(Innings!A:A)=TRIM(A1228))*(TRIM(Innings!D:D)=TRIM(E1228)),0))</f>
        <v>26</v>
      </c>
      <c r="AD1228" cm="1">
        <f t="array" ref="AD1228">INDEX(Innings!S:S,MATCH(1,(TRIM(Innings!A:A)=TRIM(A1228))*(TRIM(Innings!D:D)=TRIM(E1228)),0))</f>
        <v>58</v>
      </c>
      <c r="AE1228" t="str" cm="1">
        <f t="array" ref="AE1228">INDEX(Innings!W:W,MATCH(1,(TRIM(Innings!A:A)=TRIM(A1228))*(TRIM(Innings!D:D)=TRIM(E1228)),0))</f>
        <v>NA</v>
      </c>
      <c r="AF1228">
        <f>IF(UPPER(TRIM(E1228))=UPPER(TRIM(W1228)),1,0)</f>
        <v>0</v>
      </c>
      <c r="AG1228">
        <f t="shared" si="38"/>
        <v>39.9</v>
      </c>
    </row>
    <row r="1229" spans="1:33" x14ac:dyDescent="0.3">
      <c r="A1229" t="s">
        <v>473</v>
      </c>
      <c r="B1229">
        <v>3</v>
      </c>
      <c r="C1229" t="s">
        <v>242</v>
      </c>
      <c r="D1229" t="s">
        <v>244</v>
      </c>
      <c r="E1229" t="s">
        <v>159</v>
      </c>
      <c r="F1229" t="s">
        <v>101</v>
      </c>
      <c r="G1229" t="s">
        <v>134</v>
      </c>
      <c r="H1229">
        <v>14</v>
      </c>
      <c r="I1229">
        <v>15</v>
      </c>
      <c r="J1229">
        <v>93.33</v>
      </c>
      <c r="K1229" t="s">
        <v>246</v>
      </c>
      <c r="L1229">
        <v>15</v>
      </c>
      <c r="M1229">
        <v>2.2999999999999998</v>
      </c>
      <c r="N1229">
        <v>0</v>
      </c>
      <c r="O1229">
        <v>19</v>
      </c>
      <c r="P1229">
        <v>0</v>
      </c>
      <c r="Q1229">
        <v>7.6</v>
      </c>
      <c r="R1229">
        <v>0</v>
      </c>
      <c r="S1229">
        <v>0</v>
      </c>
      <c r="T1229">
        <v>0</v>
      </c>
      <c r="U1229" s="8">
        <v>15</v>
      </c>
      <c r="V1229" s="8">
        <f t="shared" si="39"/>
        <v>2</v>
      </c>
      <c r="W1229" t="str">
        <f>_xlfn.XLOOKUP(A1229, Matches!A:A, Matches!L:L, "NA", 0)</f>
        <v>GGTW</v>
      </c>
      <c r="X1229" t="str">
        <f>_xlfn.XLOOKUP(A1229, Matches!A:A, Matches!J:J, "NA", 0)</f>
        <v>GGTW</v>
      </c>
      <c r="Y1229" t="str">
        <f>_xlfn.XLOOKUP(A1229, Matches!A:A, Matches!F:F, "NA", 0)</f>
        <v>M. Chinnaswamy Stadium</v>
      </c>
      <c r="Z1229" cm="1">
        <f t="array" ref="Z1229">INDEX(Innings!F:F,MATCH(1,(TRIM(Innings!A:A)=TRIM(A1229))*(TRIM(Innings!D:D)=TRIM(E1229)),0))</f>
        <v>125</v>
      </c>
      <c r="AA1229" cm="1">
        <f t="array" ref="AA1229">INDEX(Innings!I:I,MATCH(1,(TRIM(Innings!A:A)=TRIM(A1229))*(TRIM(Innings!D:D)=TRIM(E1229)),0))</f>
        <v>6.25</v>
      </c>
      <c r="AB1229" cm="1">
        <f t="array" ref="AB1229">INDEX(Innings!J:J,MATCH(1,(TRIM(Innings!A:A)=TRIM(A1229))*(TRIM(Innings!D:D)=TRIM(E1229)),0))</f>
        <v>26</v>
      </c>
      <c r="AC1229" cm="1">
        <f t="array" ref="AC1229">INDEX(Innings!N:N,MATCH(1,(TRIM(Innings!A:A)=TRIM(A1229))*(TRIM(Innings!D:D)=TRIM(E1229)),0))</f>
        <v>26</v>
      </c>
      <c r="AD1229" cm="1">
        <f t="array" ref="AD1229">INDEX(Innings!S:S,MATCH(1,(TRIM(Innings!A:A)=TRIM(A1229))*(TRIM(Innings!D:D)=TRIM(E1229)),0))</f>
        <v>58</v>
      </c>
      <c r="AE1229" t="str" cm="1">
        <f t="array" ref="AE1229">INDEX(Innings!W:W,MATCH(1,(TRIM(Innings!A:A)=TRIM(A1229))*(TRIM(Innings!D:D)=TRIM(E1229)),0))</f>
        <v>NA</v>
      </c>
      <c r="AF1229">
        <f>IF(UPPER(TRIM(E1229))=UPPER(TRIM(W1229)),1,0)</f>
        <v>0</v>
      </c>
      <c r="AG1229">
        <f t="shared" si="38"/>
        <v>8.1</v>
      </c>
    </row>
    <row r="1230" spans="1:33" x14ac:dyDescent="0.3">
      <c r="A1230" t="s">
        <v>473</v>
      </c>
      <c r="B1230">
        <v>3</v>
      </c>
      <c r="C1230" t="s">
        <v>102</v>
      </c>
      <c r="D1230" t="s">
        <v>126</v>
      </c>
      <c r="E1230" t="s">
        <v>159</v>
      </c>
      <c r="F1230" t="s">
        <v>169</v>
      </c>
      <c r="G1230" t="s">
        <v>134</v>
      </c>
      <c r="H1230">
        <v>1</v>
      </c>
      <c r="I1230">
        <v>1</v>
      </c>
      <c r="J1230">
        <v>100</v>
      </c>
      <c r="K1230" t="s">
        <v>96</v>
      </c>
      <c r="L1230">
        <v>2</v>
      </c>
      <c r="M1230">
        <v>4</v>
      </c>
      <c r="N1230">
        <v>0</v>
      </c>
      <c r="O1230">
        <v>23</v>
      </c>
      <c r="P1230">
        <v>0</v>
      </c>
      <c r="Q1230">
        <v>5.8</v>
      </c>
      <c r="R1230">
        <v>10</v>
      </c>
      <c r="S1230">
        <v>0</v>
      </c>
      <c r="T1230">
        <v>0</v>
      </c>
      <c r="U1230" s="8">
        <v>12</v>
      </c>
      <c r="V1230" s="8">
        <f t="shared" si="39"/>
        <v>1</v>
      </c>
      <c r="W1230" t="str">
        <f>_xlfn.XLOOKUP(A1230, Matches!A:A, Matches!L:L, "NA", 0)</f>
        <v>GGTW</v>
      </c>
      <c r="X1230" t="str">
        <f>_xlfn.XLOOKUP(A1230, Matches!A:A, Matches!J:J, "NA", 0)</f>
        <v>GGTW</v>
      </c>
      <c r="Y1230" t="str">
        <f>_xlfn.XLOOKUP(A1230, Matches!A:A, Matches!F:F, "NA", 0)</f>
        <v>M. Chinnaswamy Stadium</v>
      </c>
      <c r="Z1230" cm="1">
        <f t="array" ref="Z1230">INDEX(Innings!F:F,MATCH(1,(TRIM(Innings!A:A)=TRIM(A1230))*(TRIM(Innings!D:D)=TRIM(E1230)),0))</f>
        <v>125</v>
      </c>
      <c r="AA1230" cm="1">
        <f t="array" ref="AA1230">INDEX(Innings!I:I,MATCH(1,(TRIM(Innings!A:A)=TRIM(A1230))*(TRIM(Innings!D:D)=TRIM(E1230)),0))</f>
        <v>6.25</v>
      </c>
      <c r="AB1230" cm="1">
        <f t="array" ref="AB1230">INDEX(Innings!J:J,MATCH(1,(TRIM(Innings!A:A)=TRIM(A1230))*(TRIM(Innings!D:D)=TRIM(E1230)),0))</f>
        <v>26</v>
      </c>
      <c r="AC1230" cm="1">
        <f t="array" ref="AC1230">INDEX(Innings!N:N,MATCH(1,(TRIM(Innings!A:A)=TRIM(A1230))*(TRIM(Innings!D:D)=TRIM(E1230)),0))</f>
        <v>26</v>
      </c>
      <c r="AD1230" cm="1">
        <f t="array" ref="AD1230">INDEX(Innings!S:S,MATCH(1,(TRIM(Innings!A:A)=TRIM(A1230))*(TRIM(Innings!D:D)=TRIM(E1230)),0))</f>
        <v>58</v>
      </c>
      <c r="AE1230" t="str" cm="1">
        <f t="array" ref="AE1230">INDEX(Innings!W:W,MATCH(1,(TRIM(Innings!A:A)=TRIM(A1230))*(TRIM(Innings!D:D)=TRIM(E1230)),0))</f>
        <v>NA</v>
      </c>
      <c r="AF1230">
        <f>IF(UPPER(TRIM(E1230))=UPPER(TRIM(W1230)),1,0)</f>
        <v>0</v>
      </c>
      <c r="AG1230">
        <f t="shared" si="38"/>
        <v>6.3</v>
      </c>
    </row>
    <row r="1231" spans="1:33" x14ac:dyDescent="0.3">
      <c r="A1231" t="s">
        <v>473</v>
      </c>
      <c r="B1231">
        <v>3</v>
      </c>
      <c r="C1231" t="s">
        <v>491</v>
      </c>
      <c r="D1231" t="s">
        <v>498</v>
      </c>
      <c r="E1231" t="s">
        <v>159</v>
      </c>
      <c r="F1231" t="s">
        <v>169</v>
      </c>
      <c r="G1231" t="s">
        <v>104</v>
      </c>
      <c r="H1231">
        <v>0</v>
      </c>
      <c r="I1231">
        <v>0</v>
      </c>
      <c r="J1231">
        <v>0</v>
      </c>
      <c r="K1231" t="s">
        <v>104</v>
      </c>
      <c r="L1231">
        <v>0</v>
      </c>
      <c r="M1231">
        <v>1</v>
      </c>
      <c r="N1231">
        <v>0</v>
      </c>
      <c r="O1231">
        <v>19</v>
      </c>
      <c r="P1231">
        <v>0</v>
      </c>
      <c r="Q1231">
        <v>19</v>
      </c>
      <c r="R1231">
        <v>0</v>
      </c>
      <c r="S1231">
        <v>0</v>
      </c>
      <c r="T1231">
        <v>0</v>
      </c>
      <c r="U1231" s="8">
        <v>0</v>
      </c>
      <c r="V1231" s="8">
        <f t="shared" si="39"/>
        <v>0</v>
      </c>
      <c r="W1231" t="str">
        <f>_xlfn.XLOOKUP(A1231, Matches!A:A, Matches!L:L, "NA", 0)</f>
        <v>GGTW</v>
      </c>
      <c r="X1231" t="str">
        <f>_xlfn.XLOOKUP(A1231, Matches!A:A, Matches!J:J, "NA", 0)</f>
        <v>GGTW</v>
      </c>
      <c r="Y1231" t="str">
        <f>_xlfn.XLOOKUP(A1231, Matches!A:A, Matches!F:F, "NA", 0)</f>
        <v>M. Chinnaswamy Stadium</v>
      </c>
      <c r="Z1231" cm="1">
        <f t="array" ref="Z1231">INDEX(Innings!F:F,MATCH(1,(TRIM(Innings!A:A)=TRIM(A1231))*(TRIM(Innings!D:D)=TRIM(E1231)),0))</f>
        <v>125</v>
      </c>
      <c r="AA1231" cm="1">
        <f t="array" ref="AA1231">INDEX(Innings!I:I,MATCH(1,(TRIM(Innings!A:A)=TRIM(A1231))*(TRIM(Innings!D:D)=TRIM(E1231)),0))</f>
        <v>6.25</v>
      </c>
      <c r="AB1231" cm="1">
        <f t="array" ref="AB1231">INDEX(Innings!J:J,MATCH(1,(TRIM(Innings!A:A)=TRIM(A1231))*(TRIM(Innings!D:D)=TRIM(E1231)),0))</f>
        <v>26</v>
      </c>
      <c r="AC1231" cm="1">
        <f t="array" ref="AC1231">INDEX(Innings!N:N,MATCH(1,(TRIM(Innings!A:A)=TRIM(A1231))*(TRIM(Innings!D:D)=TRIM(E1231)),0))</f>
        <v>26</v>
      </c>
      <c r="AD1231" cm="1">
        <f t="array" ref="AD1231">INDEX(Innings!S:S,MATCH(1,(TRIM(Innings!A:A)=TRIM(A1231))*(TRIM(Innings!D:D)=TRIM(E1231)),0))</f>
        <v>58</v>
      </c>
      <c r="AE1231" t="str" cm="1">
        <f t="array" ref="AE1231">INDEX(Innings!W:W,MATCH(1,(TRIM(Innings!A:A)=TRIM(A1231))*(TRIM(Innings!D:D)=TRIM(E1231)),0))</f>
        <v>NA</v>
      </c>
      <c r="AF1231">
        <f>IF(UPPER(TRIM(E1231))=UPPER(TRIM(W1231)),1,0)</f>
        <v>0</v>
      </c>
      <c r="AG1231">
        <f t="shared" si="38"/>
        <v>0</v>
      </c>
    </row>
    <row r="1232" spans="1:33" x14ac:dyDescent="0.3">
      <c r="A1232" t="s">
        <v>473</v>
      </c>
      <c r="B1232">
        <v>3</v>
      </c>
      <c r="C1232" t="s">
        <v>186</v>
      </c>
      <c r="D1232" t="s">
        <v>187</v>
      </c>
      <c r="E1232" t="s">
        <v>159</v>
      </c>
      <c r="F1232" t="s">
        <v>101</v>
      </c>
      <c r="G1232" t="s">
        <v>104</v>
      </c>
      <c r="H1232">
        <v>0</v>
      </c>
      <c r="I1232">
        <v>0</v>
      </c>
      <c r="J1232">
        <v>0</v>
      </c>
      <c r="K1232" t="s">
        <v>104</v>
      </c>
      <c r="L1232">
        <v>0</v>
      </c>
      <c r="M1232">
        <v>4</v>
      </c>
      <c r="N1232">
        <v>0</v>
      </c>
      <c r="O1232">
        <v>24</v>
      </c>
      <c r="P1232">
        <v>2</v>
      </c>
      <c r="Q1232">
        <v>6</v>
      </c>
      <c r="R1232">
        <v>50</v>
      </c>
      <c r="S1232">
        <v>0</v>
      </c>
      <c r="T1232">
        <v>0</v>
      </c>
      <c r="U1232" s="8">
        <v>50</v>
      </c>
      <c r="V1232" s="8">
        <f t="shared" si="39"/>
        <v>5</v>
      </c>
      <c r="W1232" t="str">
        <f>_xlfn.XLOOKUP(A1232, Matches!A:A, Matches!L:L, "NA", 0)</f>
        <v>GGTW</v>
      </c>
      <c r="X1232" t="str">
        <f>_xlfn.XLOOKUP(A1232, Matches!A:A, Matches!J:J, "NA", 0)</f>
        <v>GGTW</v>
      </c>
      <c r="Y1232" t="str">
        <f>_xlfn.XLOOKUP(A1232, Matches!A:A, Matches!F:F, "NA", 0)</f>
        <v>M. Chinnaswamy Stadium</v>
      </c>
      <c r="Z1232" cm="1">
        <f t="array" ref="Z1232">INDEX(Innings!F:F,MATCH(1,(TRIM(Innings!A:A)=TRIM(A1232))*(TRIM(Innings!D:D)=TRIM(E1232)),0))</f>
        <v>125</v>
      </c>
      <c r="AA1232" cm="1">
        <f t="array" ref="AA1232">INDEX(Innings!I:I,MATCH(1,(TRIM(Innings!A:A)=TRIM(A1232))*(TRIM(Innings!D:D)=TRIM(E1232)),0))</f>
        <v>6.25</v>
      </c>
      <c r="AB1232" cm="1">
        <f t="array" ref="AB1232">INDEX(Innings!J:J,MATCH(1,(TRIM(Innings!A:A)=TRIM(A1232))*(TRIM(Innings!D:D)=TRIM(E1232)),0))</f>
        <v>26</v>
      </c>
      <c r="AC1232" cm="1">
        <f t="array" ref="AC1232">INDEX(Innings!N:N,MATCH(1,(TRIM(Innings!A:A)=TRIM(A1232))*(TRIM(Innings!D:D)=TRIM(E1232)),0))</f>
        <v>26</v>
      </c>
      <c r="AD1232" cm="1">
        <f t="array" ref="AD1232">INDEX(Innings!S:S,MATCH(1,(TRIM(Innings!A:A)=TRIM(A1232))*(TRIM(Innings!D:D)=TRIM(E1232)),0))</f>
        <v>58</v>
      </c>
      <c r="AE1232" t="str" cm="1">
        <f t="array" ref="AE1232">INDEX(Innings!W:W,MATCH(1,(TRIM(Innings!A:A)=TRIM(A1232))*(TRIM(Innings!D:D)=TRIM(E1232)),0))</f>
        <v>NA</v>
      </c>
      <c r="AF1232">
        <f>IF(UPPER(TRIM(E1232))=UPPER(TRIM(W1232)),1,0)</f>
        <v>0</v>
      </c>
      <c r="AG1232">
        <f t="shared" si="38"/>
        <v>26.5</v>
      </c>
    </row>
    <row r="1233" spans="1:33" x14ac:dyDescent="0.3">
      <c r="A1233" t="s">
        <v>474</v>
      </c>
      <c r="B1233">
        <v>3</v>
      </c>
      <c r="C1233" t="s">
        <v>113</v>
      </c>
      <c r="D1233" t="s">
        <v>84</v>
      </c>
      <c r="E1233" t="s">
        <v>266</v>
      </c>
      <c r="F1233" t="s">
        <v>85</v>
      </c>
      <c r="G1233" t="s">
        <v>86</v>
      </c>
      <c r="H1233">
        <v>11</v>
      </c>
      <c r="I1233">
        <v>10</v>
      </c>
      <c r="J1233">
        <v>110</v>
      </c>
      <c r="K1233" t="s">
        <v>246</v>
      </c>
      <c r="L1233">
        <v>12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 s="8">
        <v>12</v>
      </c>
      <c r="V1233" s="8">
        <f t="shared" si="39"/>
        <v>1</v>
      </c>
      <c r="W1233" t="str">
        <f>_xlfn.XLOOKUP(A1233, Matches!A:A, Matches!L:L, "NA", 0)</f>
        <v>DCW</v>
      </c>
      <c r="X1233" t="str">
        <f>_xlfn.XLOOKUP(A1233, Matches!A:A, Matches!J:J, "NA", 0)</f>
        <v>DCW</v>
      </c>
      <c r="Y1233" t="str">
        <f>_xlfn.XLOOKUP(A1233, Matches!A:A, Matches!F:F, "NA", 0)</f>
        <v>M. Chinnaswamy Stadium</v>
      </c>
      <c r="Z1233" cm="1">
        <f t="array" ref="Z1233">INDEX(Innings!F:F,MATCH(1,(TRIM(Innings!A:A)=TRIM(A1233))*(TRIM(Innings!D:D)=TRIM(E1233)),0))</f>
        <v>123</v>
      </c>
      <c r="AA1233" cm="1">
        <f t="array" ref="AA1233">INDEX(Innings!I:I,MATCH(1,(TRIM(Innings!A:A)=TRIM(A1233))*(TRIM(Innings!D:D)=TRIM(E1233)),0))</f>
        <v>6.15</v>
      </c>
      <c r="AB1233" cm="1">
        <f t="array" ref="AB1233">INDEX(Innings!J:J,MATCH(1,(TRIM(Innings!A:A)=TRIM(A1233))*(TRIM(Innings!D:D)=TRIM(E1233)),0))</f>
        <v>35</v>
      </c>
      <c r="AC1233" cm="1">
        <f t="array" ref="AC1233">INDEX(Innings!N:N,MATCH(1,(TRIM(Innings!A:A)=TRIM(A1233))*(TRIM(Innings!D:D)=TRIM(E1233)),0))</f>
        <v>23</v>
      </c>
      <c r="AD1233" cm="1">
        <f t="array" ref="AD1233">INDEX(Innings!S:S,MATCH(1,(TRIM(Innings!A:A)=TRIM(A1233))*(TRIM(Innings!D:D)=TRIM(E1233)),0))</f>
        <v>69</v>
      </c>
      <c r="AE1233" t="str" cm="1">
        <f t="array" ref="AE1233">INDEX(Innings!W:W,MATCH(1,(TRIM(Innings!A:A)=TRIM(A1233))*(TRIM(Innings!D:D)=TRIM(E1233)),0))</f>
        <v>NA</v>
      </c>
      <c r="AF1233">
        <f>IF(UPPER(TRIM(E1233))=UPPER(TRIM(W1233)),1,0)</f>
        <v>0</v>
      </c>
      <c r="AG1233">
        <f t="shared" si="38"/>
        <v>6.3</v>
      </c>
    </row>
    <row r="1234" spans="1:33" x14ac:dyDescent="0.3">
      <c r="A1234" t="s">
        <v>474</v>
      </c>
      <c r="B1234">
        <v>3</v>
      </c>
      <c r="C1234" t="s">
        <v>112</v>
      </c>
      <c r="D1234" t="s">
        <v>88</v>
      </c>
      <c r="E1234" t="s">
        <v>266</v>
      </c>
      <c r="F1234" t="s">
        <v>169</v>
      </c>
      <c r="G1234" t="s">
        <v>86</v>
      </c>
      <c r="H1234">
        <v>22</v>
      </c>
      <c r="I1234">
        <v>25</v>
      </c>
      <c r="J1234">
        <v>88</v>
      </c>
      <c r="K1234" t="s">
        <v>246</v>
      </c>
      <c r="L1234">
        <v>25</v>
      </c>
      <c r="M1234">
        <v>2</v>
      </c>
      <c r="N1234">
        <v>0</v>
      </c>
      <c r="O1234">
        <v>16</v>
      </c>
      <c r="P1234">
        <v>0</v>
      </c>
      <c r="Q1234">
        <v>8</v>
      </c>
      <c r="R1234">
        <v>0</v>
      </c>
      <c r="S1234">
        <v>0</v>
      </c>
      <c r="T1234">
        <v>0</v>
      </c>
      <c r="U1234" s="8">
        <v>25</v>
      </c>
      <c r="V1234" s="8">
        <f t="shared" si="39"/>
        <v>3</v>
      </c>
      <c r="W1234" t="str">
        <f>_xlfn.XLOOKUP(A1234, Matches!A:A, Matches!L:L, "NA", 0)</f>
        <v>DCW</v>
      </c>
      <c r="X1234" t="str">
        <f>_xlfn.XLOOKUP(A1234, Matches!A:A, Matches!J:J, "NA", 0)</f>
        <v>DCW</v>
      </c>
      <c r="Y1234" t="str">
        <f>_xlfn.XLOOKUP(A1234, Matches!A:A, Matches!F:F, "NA", 0)</f>
        <v>M. Chinnaswamy Stadium</v>
      </c>
      <c r="Z1234" cm="1">
        <f t="array" ref="Z1234">INDEX(Innings!F:F,MATCH(1,(TRIM(Innings!A:A)=TRIM(A1234))*(TRIM(Innings!D:D)=TRIM(E1234)),0))</f>
        <v>123</v>
      </c>
      <c r="AA1234" cm="1">
        <f t="array" ref="AA1234">INDEX(Innings!I:I,MATCH(1,(TRIM(Innings!A:A)=TRIM(A1234))*(TRIM(Innings!D:D)=TRIM(E1234)),0))</f>
        <v>6.15</v>
      </c>
      <c r="AB1234" cm="1">
        <f t="array" ref="AB1234">INDEX(Innings!J:J,MATCH(1,(TRIM(Innings!A:A)=TRIM(A1234))*(TRIM(Innings!D:D)=TRIM(E1234)),0))</f>
        <v>35</v>
      </c>
      <c r="AC1234" cm="1">
        <f t="array" ref="AC1234">INDEX(Innings!N:N,MATCH(1,(TRIM(Innings!A:A)=TRIM(A1234))*(TRIM(Innings!D:D)=TRIM(E1234)),0))</f>
        <v>23</v>
      </c>
      <c r="AD1234" cm="1">
        <f t="array" ref="AD1234">INDEX(Innings!S:S,MATCH(1,(TRIM(Innings!A:A)=TRIM(A1234))*(TRIM(Innings!D:D)=TRIM(E1234)),0))</f>
        <v>69</v>
      </c>
      <c r="AE1234" t="str" cm="1">
        <f t="array" ref="AE1234">INDEX(Innings!W:W,MATCH(1,(TRIM(Innings!A:A)=TRIM(A1234))*(TRIM(Innings!D:D)=TRIM(E1234)),0))</f>
        <v>NA</v>
      </c>
      <c r="AF1234">
        <f>IF(UPPER(TRIM(E1234))=UPPER(TRIM(W1234)),1,0)</f>
        <v>0</v>
      </c>
      <c r="AG1234">
        <f t="shared" si="38"/>
        <v>13.4</v>
      </c>
    </row>
    <row r="1235" spans="1:33" x14ac:dyDescent="0.3">
      <c r="A1235" t="s">
        <v>474</v>
      </c>
      <c r="B1235">
        <v>3</v>
      </c>
      <c r="C1235" t="s">
        <v>117</v>
      </c>
      <c r="D1235" t="s">
        <v>90</v>
      </c>
      <c r="E1235" t="s">
        <v>266</v>
      </c>
      <c r="F1235" t="s">
        <v>169</v>
      </c>
      <c r="G1235" t="s">
        <v>92</v>
      </c>
      <c r="H1235">
        <v>18</v>
      </c>
      <c r="I1235">
        <v>22</v>
      </c>
      <c r="J1235">
        <v>81.819999999999993</v>
      </c>
      <c r="K1235" t="s">
        <v>246</v>
      </c>
      <c r="L1235">
        <v>20</v>
      </c>
      <c r="M1235">
        <v>2</v>
      </c>
      <c r="N1235">
        <v>0</v>
      </c>
      <c r="O1235">
        <v>27</v>
      </c>
      <c r="P1235">
        <v>0</v>
      </c>
      <c r="Q1235">
        <v>13.5</v>
      </c>
      <c r="R1235">
        <v>0</v>
      </c>
      <c r="S1235">
        <v>0</v>
      </c>
      <c r="T1235">
        <v>0</v>
      </c>
      <c r="U1235" s="8">
        <v>20</v>
      </c>
      <c r="V1235" s="8">
        <f t="shared" si="39"/>
        <v>2</v>
      </c>
      <c r="W1235" t="str">
        <f>_xlfn.XLOOKUP(A1235, Matches!A:A, Matches!L:L, "NA", 0)</f>
        <v>DCW</v>
      </c>
      <c r="X1235" t="str">
        <f>_xlfn.XLOOKUP(A1235, Matches!A:A, Matches!J:J, "NA", 0)</f>
        <v>DCW</v>
      </c>
      <c r="Y1235" t="str">
        <f>_xlfn.XLOOKUP(A1235, Matches!A:A, Matches!F:F, "NA", 0)</f>
        <v>M. Chinnaswamy Stadium</v>
      </c>
      <c r="Z1235" cm="1">
        <f t="array" ref="Z1235">INDEX(Innings!F:F,MATCH(1,(TRIM(Innings!A:A)=TRIM(A1235))*(TRIM(Innings!D:D)=TRIM(E1235)),0))</f>
        <v>123</v>
      </c>
      <c r="AA1235" cm="1">
        <f t="array" ref="AA1235">INDEX(Innings!I:I,MATCH(1,(TRIM(Innings!A:A)=TRIM(A1235))*(TRIM(Innings!D:D)=TRIM(E1235)),0))</f>
        <v>6.15</v>
      </c>
      <c r="AB1235" cm="1">
        <f t="array" ref="AB1235">INDEX(Innings!J:J,MATCH(1,(TRIM(Innings!A:A)=TRIM(A1235))*(TRIM(Innings!D:D)=TRIM(E1235)),0))</f>
        <v>35</v>
      </c>
      <c r="AC1235" cm="1">
        <f t="array" ref="AC1235">INDEX(Innings!N:N,MATCH(1,(TRIM(Innings!A:A)=TRIM(A1235))*(TRIM(Innings!D:D)=TRIM(E1235)),0))</f>
        <v>23</v>
      </c>
      <c r="AD1235" cm="1">
        <f t="array" ref="AD1235">INDEX(Innings!S:S,MATCH(1,(TRIM(Innings!A:A)=TRIM(A1235))*(TRIM(Innings!D:D)=TRIM(E1235)),0))</f>
        <v>69</v>
      </c>
      <c r="AE1235" t="str" cm="1">
        <f t="array" ref="AE1235">INDEX(Innings!W:W,MATCH(1,(TRIM(Innings!A:A)=TRIM(A1235))*(TRIM(Innings!D:D)=TRIM(E1235)),0))</f>
        <v>NA</v>
      </c>
      <c r="AF1235">
        <f>IF(UPPER(TRIM(E1235))=UPPER(TRIM(W1235)),1,0)</f>
        <v>0</v>
      </c>
      <c r="AG1235">
        <f t="shared" si="38"/>
        <v>10.6</v>
      </c>
    </row>
    <row r="1236" spans="1:33" x14ac:dyDescent="0.3">
      <c r="A1236" t="s">
        <v>474</v>
      </c>
      <c r="B1236">
        <v>3</v>
      </c>
      <c r="C1236" t="s">
        <v>115</v>
      </c>
      <c r="D1236" t="s">
        <v>17</v>
      </c>
      <c r="E1236" t="s">
        <v>266</v>
      </c>
      <c r="F1236" t="s">
        <v>169</v>
      </c>
      <c r="G1236" t="s">
        <v>134</v>
      </c>
      <c r="H1236">
        <v>22</v>
      </c>
      <c r="I1236">
        <v>16</v>
      </c>
      <c r="J1236">
        <v>137.5</v>
      </c>
      <c r="K1236" t="s">
        <v>247</v>
      </c>
      <c r="L1236">
        <v>30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 s="8">
        <v>30</v>
      </c>
      <c r="V1236" s="8">
        <f t="shared" si="39"/>
        <v>3</v>
      </c>
      <c r="W1236" t="str">
        <f>_xlfn.XLOOKUP(A1236, Matches!A:A, Matches!L:L, "NA", 0)</f>
        <v>DCW</v>
      </c>
      <c r="X1236" t="str">
        <f>_xlfn.XLOOKUP(A1236, Matches!A:A, Matches!J:J, "NA", 0)</f>
        <v>DCW</v>
      </c>
      <c r="Y1236" t="str">
        <f>_xlfn.XLOOKUP(A1236, Matches!A:A, Matches!F:F, "NA", 0)</f>
        <v>M. Chinnaswamy Stadium</v>
      </c>
      <c r="Z1236" cm="1">
        <f t="array" ref="Z1236">INDEX(Innings!F:F,MATCH(1,(TRIM(Innings!A:A)=TRIM(A1236))*(TRIM(Innings!D:D)=TRIM(E1236)),0))</f>
        <v>123</v>
      </c>
      <c r="AA1236" cm="1">
        <f t="array" ref="AA1236">INDEX(Innings!I:I,MATCH(1,(TRIM(Innings!A:A)=TRIM(A1236))*(TRIM(Innings!D:D)=TRIM(E1236)),0))</f>
        <v>6.15</v>
      </c>
      <c r="AB1236" cm="1">
        <f t="array" ref="AB1236">INDEX(Innings!J:J,MATCH(1,(TRIM(Innings!A:A)=TRIM(A1236))*(TRIM(Innings!D:D)=TRIM(E1236)),0))</f>
        <v>35</v>
      </c>
      <c r="AC1236" cm="1">
        <f t="array" ref="AC1236">INDEX(Innings!N:N,MATCH(1,(TRIM(Innings!A:A)=TRIM(A1236))*(TRIM(Innings!D:D)=TRIM(E1236)),0))</f>
        <v>23</v>
      </c>
      <c r="AD1236" cm="1">
        <f t="array" ref="AD1236">INDEX(Innings!S:S,MATCH(1,(TRIM(Innings!A:A)=TRIM(A1236))*(TRIM(Innings!D:D)=TRIM(E1236)),0))</f>
        <v>69</v>
      </c>
      <c r="AE1236" t="str" cm="1">
        <f t="array" ref="AE1236">INDEX(Innings!W:W,MATCH(1,(TRIM(Innings!A:A)=TRIM(A1236))*(TRIM(Innings!D:D)=TRIM(E1236)),0))</f>
        <v>NA</v>
      </c>
      <c r="AF1236">
        <f>IF(UPPER(TRIM(E1236))=UPPER(TRIM(W1236)),1,0)</f>
        <v>0</v>
      </c>
      <c r="AG1236">
        <f t="shared" si="38"/>
        <v>15.9</v>
      </c>
    </row>
    <row r="1237" spans="1:33" x14ac:dyDescent="0.3">
      <c r="A1237" t="s">
        <v>474</v>
      </c>
      <c r="B1237">
        <v>3</v>
      </c>
      <c r="C1237" t="s">
        <v>119</v>
      </c>
      <c r="D1237" t="s">
        <v>95</v>
      </c>
      <c r="E1237" t="s">
        <v>266</v>
      </c>
      <c r="F1237" t="s">
        <v>169</v>
      </c>
      <c r="G1237" t="s">
        <v>134</v>
      </c>
      <c r="H1237">
        <v>17</v>
      </c>
      <c r="I1237">
        <v>18</v>
      </c>
      <c r="J1237">
        <v>94.44</v>
      </c>
      <c r="K1237" t="s">
        <v>246</v>
      </c>
      <c r="L1237">
        <v>20</v>
      </c>
      <c r="M1237">
        <v>2</v>
      </c>
      <c r="N1237">
        <v>0</v>
      </c>
      <c r="O1237">
        <v>20</v>
      </c>
      <c r="P1237">
        <v>0</v>
      </c>
      <c r="Q1237">
        <v>10</v>
      </c>
      <c r="R1237">
        <v>0</v>
      </c>
      <c r="S1237">
        <v>0</v>
      </c>
      <c r="T1237">
        <v>0</v>
      </c>
      <c r="U1237" s="8">
        <v>20</v>
      </c>
      <c r="V1237" s="8">
        <f t="shared" si="39"/>
        <v>2</v>
      </c>
      <c r="W1237" t="str">
        <f>_xlfn.XLOOKUP(A1237, Matches!A:A, Matches!L:L, "NA", 0)</f>
        <v>DCW</v>
      </c>
      <c r="X1237" t="str">
        <f>_xlfn.XLOOKUP(A1237, Matches!A:A, Matches!J:J, "NA", 0)</f>
        <v>DCW</v>
      </c>
      <c r="Y1237" t="str">
        <f>_xlfn.XLOOKUP(A1237, Matches!A:A, Matches!F:F, "NA", 0)</f>
        <v>M. Chinnaswamy Stadium</v>
      </c>
      <c r="Z1237" cm="1">
        <f t="array" ref="Z1237">INDEX(Innings!F:F,MATCH(1,(TRIM(Innings!A:A)=TRIM(A1237))*(TRIM(Innings!D:D)=TRIM(E1237)),0))</f>
        <v>123</v>
      </c>
      <c r="AA1237" cm="1">
        <f t="array" ref="AA1237">INDEX(Innings!I:I,MATCH(1,(TRIM(Innings!A:A)=TRIM(A1237))*(TRIM(Innings!D:D)=TRIM(E1237)),0))</f>
        <v>6.15</v>
      </c>
      <c r="AB1237" cm="1">
        <f t="array" ref="AB1237">INDEX(Innings!J:J,MATCH(1,(TRIM(Innings!A:A)=TRIM(A1237))*(TRIM(Innings!D:D)=TRIM(E1237)),0))</f>
        <v>35</v>
      </c>
      <c r="AC1237" cm="1">
        <f t="array" ref="AC1237">INDEX(Innings!N:N,MATCH(1,(TRIM(Innings!A:A)=TRIM(A1237))*(TRIM(Innings!D:D)=TRIM(E1237)),0))</f>
        <v>23</v>
      </c>
      <c r="AD1237" cm="1">
        <f t="array" ref="AD1237">INDEX(Innings!S:S,MATCH(1,(TRIM(Innings!A:A)=TRIM(A1237))*(TRIM(Innings!D:D)=TRIM(E1237)),0))</f>
        <v>69</v>
      </c>
      <c r="AE1237" t="str" cm="1">
        <f t="array" ref="AE1237">INDEX(Innings!W:W,MATCH(1,(TRIM(Innings!A:A)=TRIM(A1237))*(TRIM(Innings!D:D)=TRIM(E1237)),0))</f>
        <v>NA</v>
      </c>
      <c r="AF1237">
        <f>IF(UPPER(TRIM(E1237))=UPPER(TRIM(W1237)),1,0)</f>
        <v>0</v>
      </c>
      <c r="AG1237">
        <f t="shared" si="38"/>
        <v>10.6</v>
      </c>
    </row>
    <row r="1238" spans="1:33" x14ac:dyDescent="0.3">
      <c r="A1238" t="s">
        <v>474</v>
      </c>
      <c r="B1238">
        <v>3</v>
      </c>
      <c r="C1238" t="s">
        <v>121</v>
      </c>
      <c r="D1238" t="s">
        <v>108</v>
      </c>
      <c r="E1238" t="s">
        <v>266</v>
      </c>
      <c r="F1238" t="s">
        <v>169</v>
      </c>
      <c r="G1238" t="s">
        <v>134</v>
      </c>
      <c r="H1238">
        <v>17</v>
      </c>
      <c r="I1238">
        <v>10</v>
      </c>
      <c r="J1238">
        <v>170</v>
      </c>
      <c r="K1238" t="s">
        <v>96</v>
      </c>
      <c r="L1238">
        <v>25</v>
      </c>
      <c r="M1238">
        <v>2</v>
      </c>
      <c r="N1238">
        <v>0</v>
      </c>
      <c r="O1238">
        <v>12</v>
      </c>
      <c r="P1238">
        <v>1</v>
      </c>
      <c r="Q1238">
        <v>6</v>
      </c>
      <c r="R1238">
        <v>25</v>
      </c>
      <c r="S1238">
        <v>0</v>
      </c>
      <c r="T1238">
        <v>0</v>
      </c>
      <c r="U1238" s="8">
        <v>50</v>
      </c>
      <c r="V1238" s="8">
        <f t="shared" si="39"/>
        <v>5</v>
      </c>
      <c r="W1238" t="str">
        <f>_xlfn.XLOOKUP(A1238, Matches!A:A, Matches!L:L, "NA", 0)</f>
        <v>DCW</v>
      </c>
      <c r="X1238" t="str">
        <f>_xlfn.XLOOKUP(A1238, Matches!A:A, Matches!J:J, "NA", 0)</f>
        <v>DCW</v>
      </c>
      <c r="Y1238" t="str">
        <f>_xlfn.XLOOKUP(A1238, Matches!A:A, Matches!F:F, "NA", 0)</f>
        <v>M. Chinnaswamy Stadium</v>
      </c>
      <c r="Z1238" cm="1">
        <f t="array" ref="Z1238">INDEX(Innings!F:F,MATCH(1,(TRIM(Innings!A:A)=TRIM(A1238))*(TRIM(Innings!D:D)=TRIM(E1238)),0))</f>
        <v>123</v>
      </c>
      <c r="AA1238" cm="1">
        <f t="array" ref="AA1238">INDEX(Innings!I:I,MATCH(1,(TRIM(Innings!A:A)=TRIM(A1238))*(TRIM(Innings!D:D)=TRIM(E1238)),0))</f>
        <v>6.15</v>
      </c>
      <c r="AB1238" cm="1">
        <f t="array" ref="AB1238">INDEX(Innings!J:J,MATCH(1,(TRIM(Innings!A:A)=TRIM(A1238))*(TRIM(Innings!D:D)=TRIM(E1238)),0))</f>
        <v>35</v>
      </c>
      <c r="AC1238" cm="1">
        <f t="array" ref="AC1238">INDEX(Innings!N:N,MATCH(1,(TRIM(Innings!A:A)=TRIM(A1238))*(TRIM(Innings!D:D)=TRIM(E1238)),0))</f>
        <v>23</v>
      </c>
      <c r="AD1238" cm="1">
        <f t="array" ref="AD1238">INDEX(Innings!S:S,MATCH(1,(TRIM(Innings!A:A)=TRIM(A1238))*(TRIM(Innings!D:D)=TRIM(E1238)),0))</f>
        <v>69</v>
      </c>
      <c r="AE1238" t="str" cm="1">
        <f t="array" ref="AE1238">INDEX(Innings!W:W,MATCH(1,(TRIM(Innings!A:A)=TRIM(A1238))*(TRIM(Innings!D:D)=TRIM(E1238)),0))</f>
        <v>NA</v>
      </c>
      <c r="AF1238">
        <f>IF(UPPER(TRIM(E1238))=UPPER(TRIM(W1238)),1,0)</f>
        <v>0</v>
      </c>
      <c r="AG1238">
        <f t="shared" si="38"/>
        <v>26.5</v>
      </c>
    </row>
    <row r="1239" spans="1:33" x14ac:dyDescent="0.3">
      <c r="A1239" t="s">
        <v>474</v>
      </c>
      <c r="B1239">
        <v>3</v>
      </c>
      <c r="C1239" t="s">
        <v>347</v>
      </c>
      <c r="D1239" t="s">
        <v>348</v>
      </c>
      <c r="E1239" t="s">
        <v>266</v>
      </c>
      <c r="F1239" t="s">
        <v>169</v>
      </c>
      <c r="G1239" t="s">
        <v>134</v>
      </c>
      <c r="H1239">
        <v>5</v>
      </c>
      <c r="I1239">
        <v>8</v>
      </c>
      <c r="J1239">
        <v>62.5</v>
      </c>
      <c r="K1239" t="s">
        <v>246</v>
      </c>
      <c r="L1239">
        <v>5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 s="8">
        <v>5</v>
      </c>
      <c r="V1239" s="8">
        <f t="shared" si="39"/>
        <v>1</v>
      </c>
      <c r="W1239" t="str">
        <f>_xlfn.XLOOKUP(A1239, Matches!A:A, Matches!L:L, "NA", 0)</f>
        <v>DCW</v>
      </c>
      <c r="X1239" t="str">
        <f>_xlfn.XLOOKUP(A1239, Matches!A:A, Matches!J:J, "NA", 0)</f>
        <v>DCW</v>
      </c>
      <c r="Y1239" t="str">
        <f>_xlfn.XLOOKUP(A1239, Matches!A:A, Matches!F:F, "NA", 0)</f>
        <v>M. Chinnaswamy Stadium</v>
      </c>
      <c r="Z1239" cm="1">
        <f t="array" ref="Z1239">INDEX(Innings!F:F,MATCH(1,(TRIM(Innings!A:A)=TRIM(A1239))*(TRIM(Innings!D:D)=TRIM(E1239)),0))</f>
        <v>123</v>
      </c>
      <c r="AA1239" cm="1">
        <f t="array" ref="AA1239">INDEX(Innings!I:I,MATCH(1,(TRIM(Innings!A:A)=TRIM(A1239))*(TRIM(Innings!D:D)=TRIM(E1239)),0))</f>
        <v>6.15</v>
      </c>
      <c r="AB1239" cm="1">
        <f t="array" ref="AB1239">INDEX(Innings!J:J,MATCH(1,(TRIM(Innings!A:A)=TRIM(A1239))*(TRIM(Innings!D:D)=TRIM(E1239)),0))</f>
        <v>35</v>
      </c>
      <c r="AC1239" cm="1">
        <f t="array" ref="AC1239">INDEX(Innings!N:N,MATCH(1,(TRIM(Innings!A:A)=TRIM(A1239))*(TRIM(Innings!D:D)=TRIM(E1239)),0))</f>
        <v>23</v>
      </c>
      <c r="AD1239" cm="1">
        <f t="array" ref="AD1239">INDEX(Innings!S:S,MATCH(1,(TRIM(Innings!A:A)=TRIM(A1239))*(TRIM(Innings!D:D)=TRIM(E1239)),0))</f>
        <v>69</v>
      </c>
      <c r="AE1239" t="str" cm="1">
        <f t="array" ref="AE1239">INDEX(Innings!W:W,MATCH(1,(TRIM(Innings!A:A)=TRIM(A1239))*(TRIM(Innings!D:D)=TRIM(E1239)),0))</f>
        <v>NA</v>
      </c>
      <c r="AF1239">
        <f>IF(UPPER(TRIM(E1239))=UPPER(TRIM(W1239)),1,0)</f>
        <v>0</v>
      </c>
      <c r="AG1239">
        <f t="shared" si="38"/>
        <v>2.8</v>
      </c>
    </row>
    <row r="1240" spans="1:33" x14ac:dyDescent="0.3">
      <c r="A1240" t="s">
        <v>474</v>
      </c>
      <c r="B1240">
        <v>3</v>
      </c>
      <c r="C1240" t="s">
        <v>510</v>
      </c>
      <c r="D1240" t="s">
        <v>538</v>
      </c>
      <c r="E1240" t="s">
        <v>266</v>
      </c>
      <c r="F1240" t="s">
        <v>85</v>
      </c>
      <c r="G1240" t="s">
        <v>134</v>
      </c>
      <c r="H1240">
        <v>1</v>
      </c>
      <c r="I1240">
        <v>5</v>
      </c>
      <c r="J1240">
        <v>20</v>
      </c>
      <c r="K1240" t="s">
        <v>245</v>
      </c>
      <c r="L1240">
        <v>1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 s="8">
        <v>1</v>
      </c>
      <c r="V1240" s="8">
        <f t="shared" si="39"/>
        <v>0</v>
      </c>
      <c r="W1240" t="str">
        <f>_xlfn.XLOOKUP(A1240, Matches!A:A, Matches!L:L, "NA", 0)</f>
        <v>DCW</v>
      </c>
      <c r="X1240" t="str">
        <f>_xlfn.XLOOKUP(A1240, Matches!A:A, Matches!J:J, "NA", 0)</f>
        <v>DCW</v>
      </c>
      <c r="Y1240" t="str">
        <f>_xlfn.XLOOKUP(A1240, Matches!A:A, Matches!F:F, "NA", 0)</f>
        <v>M. Chinnaswamy Stadium</v>
      </c>
      <c r="Z1240" cm="1">
        <f t="array" ref="Z1240">INDEX(Innings!F:F,MATCH(1,(TRIM(Innings!A:A)=TRIM(A1240))*(TRIM(Innings!D:D)=TRIM(E1240)),0))</f>
        <v>123</v>
      </c>
      <c r="AA1240" cm="1">
        <f t="array" ref="AA1240">INDEX(Innings!I:I,MATCH(1,(TRIM(Innings!A:A)=TRIM(A1240))*(TRIM(Innings!D:D)=TRIM(E1240)),0))</f>
        <v>6.15</v>
      </c>
      <c r="AB1240" cm="1">
        <f t="array" ref="AB1240">INDEX(Innings!J:J,MATCH(1,(TRIM(Innings!A:A)=TRIM(A1240))*(TRIM(Innings!D:D)=TRIM(E1240)),0))</f>
        <v>35</v>
      </c>
      <c r="AC1240" cm="1">
        <f t="array" ref="AC1240">INDEX(Innings!N:N,MATCH(1,(TRIM(Innings!A:A)=TRIM(A1240))*(TRIM(Innings!D:D)=TRIM(E1240)),0))</f>
        <v>23</v>
      </c>
      <c r="AD1240" cm="1">
        <f t="array" ref="AD1240">INDEX(Innings!S:S,MATCH(1,(TRIM(Innings!A:A)=TRIM(A1240))*(TRIM(Innings!D:D)=TRIM(E1240)),0))</f>
        <v>69</v>
      </c>
      <c r="AE1240" t="str" cm="1">
        <f t="array" ref="AE1240">INDEX(Innings!W:W,MATCH(1,(TRIM(Innings!A:A)=TRIM(A1240))*(TRIM(Innings!D:D)=TRIM(E1240)),0))</f>
        <v>NA</v>
      </c>
      <c r="AF1240">
        <f>IF(UPPER(TRIM(E1240))=UPPER(TRIM(W1240)),1,0)</f>
        <v>0</v>
      </c>
      <c r="AG1240">
        <f t="shared" si="38"/>
        <v>0.5</v>
      </c>
    </row>
    <row r="1241" spans="1:33" x14ac:dyDescent="0.3">
      <c r="A1241" t="s">
        <v>474</v>
      </c>
      <c r="B1241">
        <v>3</v>
      </c>
      <c r="C1241" t="s">
        <v>507</v>
      </c>
      <c r="D1241" t="s">
        <v>519</v>
      </c>
      <c r="E1241" t="s">
        <v>266</v>
      </c>
      <c r="F1241" t="s">
        <v>169</v>
      </c>
      <c r="G1241" t="s">
        <v>134</v>
      </c>
      <c r="H1241">
        <v>3</v>
      </c>
      <c r="I1241">
        <v>4</v>
      </c>
      <c r="J1241">
        <v>75</v>
      </c>
      <c r="K1241" t="s">
        <v>246</v>
      </c>
      <c r="L1241">
        <v>5</v>
      </c>
      <c r="M1241">
        <v>1.3</v>
      </c>
      <c r="N1241">
        <v>0</v>
      </c>
      <c r="O1241">
        <v>14</v>
      </c>
      <c r="P1241">
        <v>0</v>
      </c>
      <c r="Q1241">
        <v>9.3000000000000007</v>
      </c>
      <c r="R1241">
        <v>0</v>
      </c>
      <c r="S1241">
        <v>0</v>
      </c>
      <c r="T1241">
        <v>0</v>
      </c>
      <c r="U1241" s="8">
        <v>5</v>
      </c>
      <c r="V1241" s="8">
        <f t="shared" si="39"/>
        <v>1</v>
      </c>
      <c r="W1241" t="str">
        <f>_xlfn.XLOOKUP(A1241, Matches!A:A, Matches!L:L, "NA", 0)</f>
        <v>DCW</v>
      </c>
      <c r="X1241" t="str">
        <f>_xlfn.XLOOKUP(A1241, Matches!A:A, Matches!J:J, "NA", 0)</f>
        <v>DCW</v>
      </c>
      <c r="Y1241" t="str">
        <f>_xlfn.XLOOKUP(A1241, Matches!A:A, Matches!F:F, "NA", 0)</f>
        <v>M. Chinnaswamy Stadium</v>
      </c>
      <c r="Z1241" cm="1">
        <f t="array" ref="Z1241">INDEX(Innings!F:F,MATCH(1,(TRIM(Innings!A:A)=TRIM(A1241))*(TRIM(Innings!D:D)=TRIM(E1241)),0))</f>
        <v>123</v>
      </c>
      <c r="AA1241" cm="1">
        <f t="array" ref="AA1241">INDEX(Innings!I:I,MATCH(1,(TRIM(Innings!A:A)=TRIM(A1241))*(TRIM(Innings!D:D)=TRIM(E1241)),0))</f>
        <v>6.15</v>
      </c>
      <c r="AB1241" cm="1">
        <f t="array" ref="AB1241">INDEX(Innings!J:J,MATCH(1,(TRIM(Innings!A:A)=TRIM(A1241))*(TRIM(Innings!D:D)=TRIM(E1241)),0))</f>
        <v>35</v>
      </c>
      <c r="AC1241" cm="1">
        <f t="array" ref="AC1241">INDEX(Innings!N:N,MATCH(1,(TRIM(Innings!A:A)=TRIM(A1241))*(TRIM(Innings!D:D)=TRIM(E1241)),0))</f>
        <v>23</v>
      </c>
      <c r="AD1241" cm="1">
        <f t="array" ref="AD1241">INDEX(Innings!S:S,MATCH(1,(TRIM(Innings!A:A)=TRIM(A1241))*(TRIM(Innings!D:D)=TRIM(E1241)),0))</f>
        <v>69</v>
      </c>
      <c r="AE1241" t="str" cm="1">
        <f t="array" ref="AE1241">INDEX(Innings!W:W,MATCH(1,(TRIM(Innings!A:A)=TRIM(A1241))*(TRIM(Innings!D:D)=TRIM(E1241)),0))</f>
        <v>NA</v>
      </c>
      <c r="AF1241">
        <f>IF(UPPER(TRIM(E1241))=UPPER(TRIM(W1241)),1,0)</f>
        <v>0</v>
      </c>
      <c r="AG1241">
        <f t="shared" si="38"/>
        <v>2.8</v>
      </c>
    </row>
    <row r="1242" spans="1:33" x14ac:dyDescent="0.3">
      <c r="A1242" t="s">
        <v>474</v>
      </c>
      <c r="B1242">
        <v>3</v>
      </c>
      <c r="C1242" t="s">
        <v>129</v>
      </c>
      <c r="D1242" t="s">
        <v>103</v>
      </c>
      <c r="E1242" t="s">
        <v>266</v>
      </c>
      <c r="F1242" t="s">
        <v>101</v>
      </c>
      <c r="G1242" t="s">
        <v>134</v>
      </c>
      <c r="H1242">
        <v>0</v>
      </c>
      <c r="I1242">
        <v>3</v>
      </c>
      <c r="J1242">
        <v>0</v>
      </c>
      <c r="K1242" t="s">
        <v>256</v>
      </c>
      <c r="L1242">
        <v>0</v>
      </c>
      <c r="M1242">
        <v>1</v>
      </c>
      <c r="N1242">
        <v>0</v>
      </c>
      <c r="O1242">
        <v>9</v>
      </c>
      <c r="P1242">
        <v>0</v>
      </c>
      <c r="Q1242">
        <v>9</v>
      </c>
      <c r="R1242">
        <v>0</v>
      </c>
      <c r="S1242">
        <v>0</v>
      </c>
      <c r="T1242">
        <v>0</v>
      </c>
      <c r="U1242" s="8">
        <v>0</v>
      </c>
      <c r="V1242" s="8">
        <f t="shared" si="39"/>
        <v>0</v>
      </c>
      <c r="W1242" t="str">
        <f>_xlfn.XLOOKUP(A1242, Matches!A:A, Matches!L:L, "NA", 0)</f>
        <v>DCW</v>
      </c>
      <c r="X1242" t="str">
        <f>_xlfn.XLOOKUP(A1242, Matches!A:A, Matches!J:J, "NA", 0)</f>
        <v>DCW</v>
      </c>
      <c r="Y1242" t="str">
        <f>_xlfn.XLOOKUP(A1242, Matches!A:A, Matches!F:F, "NA", 0)</f>
        <v>M. Chinnaswamy Stadium</v>
      </c>
      <c r="Z1242" cm="1">
        <f t="array" ref="Z1242">INDEX(Innings!F:F,MATCH(1,(TRIM(Innings!A:A)=TRIM(A1242))*(TRIM(Innings!D:D)=TRIM(E1242)),0))</f>
        <v>123</v>
      </c>
      <c r="AA1242" cm="1">
        <f t="array" ref="AA1242">INDEX(Innings!I:I,MATCH(1,(TRIM(Innings!A:A)=TRIM(A1242))*(TRIM(Innings!D:D)=TRIM(E1242)),0))</f>
        <v>6.15</v>
      </c>
      <c r="AB1242" cm="1">
        <f t="array" ref="AB1242">INDEX(Innings!J:J,MATCH(1,(TRIM(Innings!A:A)=TRIM(A1242))*(TRIM(Innings!D:D)=TRIM(E1242)),0))</f>
        <v>35</v>
      </c>
      <c r="AC1242" cm="1">
        <f t="array" ref="AC1242">INDEX(Innings!N:N,MATCH(1,(TRIM(Innings!A:A)=TRIM(A1242))*(TRIM(Innings!D:D)=TRIM(E1242)),0))</f>
        <v>23</v>
      </c>
      <c r="AD1242" cm="1">
        <f t="array" ref="AD1242">INDEX(Innings!S:S,MATCH(1,(TRIM(Innings!A:A)=TRIM(A1242))*(TRIM(Innings!D:D)=TRIM(E1242)),0))</f>
        <v>69</v>
      </c>
      <c r="AE1242" t="str" cm="1">
        <f t="array" ref="AE1242">INDEX(Innings!W:W,MATCH(1,(TRIM(Innings!A:A)=TRIM(A1242))*(TRIM(Innings!D:D)=TRIM(E1242)),0))</f>
        <v>NA</v>
      </c>
      <c r="AF1242">
        <f>IF(UPPER(TRIM(E1242))=UPPER(TRIM(W1242)),1,0)</f>
        <v>0</v>
      </c>
      <c r="AG1242">
        <f t="shared" si="38"/>
        <v>0</v>
      </c>
    </row>
    <row r="1243" spans="1:33" x14ac:dyDescent="0.3">
      <c r="A1243" t="s">
        <v>474</v>
      </c>
      <c r="B1243">
        <v>3</v>
      </c>
      <c r="C1243" t="s">
        <v>265</v>
      </c>
      <c r="D1243" t="s">
        <v>264</v>
      </c>
      <c r="E1243" t="s">
        <v>266</v>
      </c>
      <c r="F1243" t="s">
        <v>101</v>
      </c>
      <c r="G1243" t="s">
        <v>104</v>
      </c>
      <c r="H1243">
        <v>0</v>
      </c>
      <c r="I1243">
        <v>0</v>
      </c>
      <c r="J1243">
        <v>0</v>
      </c>
      <c r="K1243" t="s">
        <v>104</v>
      </c>
      <c r="L1243">
        <v>0</v>
      </c>
      <c r="M1243">
        <v>4</v>
      </c>
      <c r="N1243">
        <v>0</v>
      </c>
      <c r="O1243">
        <v>26</v>
      </c>
      <c r="P1243">
        <v>0</v>
      </c>
      <c r="Q1243">
        <v>6.5</v>
      </c>
      <c r="R1243">
        <v>10</v>
      </c>
      <c r="S1243">
        <v>0</v>
      </c>
      <c r="T1243">
        <v>0</v>
      </c>
      <c r="U1243" s="8">
        <v>10</v>
      </c>
      <c r="V1243" s="8">
        <f t="shared" si="39"/>
        <v>1</v>
      </c>
      <c r="W1243" t="str">
        <f>_xlfn.XLOOKUP(A1243, Matches!A:A, Matches!L:L, "NA", 0)</f>
        <v>DCW</v>
      </c>
      <c r="X1243" t="str">
        <f>_xlfn.XLOOKUP(A1243, Matches!A:A, Matches!J:J, "NA", 0)</f>
        <v>DCW</v>
      </c>
      <c r="Y1243" t="str">
        <f>_xlfn.XLOOKUP(A1243, Matches!A:A, Matches!F:F, "NA", 0)</f>
        <v>M. Chinnaswamy Stadium</v>
      </c>
      <c r="Z1243" cm="1">
        <f t="array" ref="Z1243">INDEX(Innings!F:F,MATCH(1,(TRIM(Innings!A:A)=TRIM(A1243))*(TRIM(Innings!D:D)=TRIM(E1243)),0))</f>
        <v>123</v>
      </c>
      <c r="AA1243" cm="1">
        <f t="array" ref="AA1243">INDEX(Innings!I:I,MATCH(1,(TRIM(Innings!A:A)=TRIM(A1243))*(TRIM(Innings!D:D)=TRIM(E1243)),0))</f>
        <v>6.15</v>
      </c>
      <c r="AB1243" cm="1">
        <f t="array" ref="AB1243">INDEX(Innings!J:J,MATCH(1,(TRIM(Innings!A:A)=TRIM(A1243))*(TRIM(Innings!D:D)=TRIM(E1243)),0))</f>
        <v>35</v>
      </c>
      <c r="AC1243" cm="1">
        <f t="array" ref="AC1243">INDEX(Innings!N:N,MATCH(1,(TRIM(Innings!A:A)=TRIM(A1243))*(TRIM(Innings!D:D)=TRIM(E1243)),0))</f>
        <v>23</v>
      </c>
      <c r="AD1243" cm="1">
        <f t="array" ref="AD1243">INDEX(Innings!S:S,MATCH(1,(TRIM(Innings!A:A)=TRIM(A1243))*(TRIM(Innings!D:D)=TRIM(E1243)),0))</f>
        <v>69</v>
      </c>
      <c r="AE1243" t="str" cm="1">
        <f t="array" ref="AE1243">INDEX(Innings!W:W,MATCH(1,(TRIM(Innings!A:A)=TRIM(A1243))*(TRIM(Innings!D:D)=TRIM(E1243)),0))</f>
        <v>NA</v>
      </c>
      <c r="AF1243">
        <f>IF(UPPER(TRIM(E1243))=UPPER(TRIM(W1243)),1,0)</f>
        <v>0</v>
      </c>
      <c r="AG1243">
        <f t="shared" si="38"/>
        <v>5.3</v>
      </c>
    </row>
    <row r="1244" spans="1:33" x14ac:dyDescent="0.3">
      <c r="A1244" t="s">
        <v>474</v>
      </c>
      <c r="B1244">
        <v>3</v>
      </c>
      <c r="C1244" t="s">
        <v>190</v>
      </c>
      <c r="D1244" t="s">
        <v>191</v>
      </c>
      <c r="E1244" t="s">
        <v>158</v>
      </c>
      <c r="F1244" t="s">
        <v>109</v>
      </c>
      <c r="G1244" t="s">
        <v>86</v>
      </c>
      <c r="H1244">
        <v>60</v>
      </c>
      <c r="I1244">
        <v>49</v>
      </c>
      <c r="J1244">
        <v>122.45</v>
      </c>
      <c r="K1244" t="s">
        <v>96</v>
      </c>
      <c r="L1244">
        <v>80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 s="8">
        <v>80</v>
      </c>
      <c r="V1244" s="8">
        <f t="shared" si="39"/>
        <v>8</v>
      </c>
      <c r="W1244" t="str">
        <f>_xlfn.XLOOKUP(A1244, Matches!A:A, Matches!L:L, "NA", 0)</f>
        <v>DCW</v>
      </c>
      <c r="X1244" t="str">
        <f>_xlfn.XLOOKUP(A1244, Matches!A:A, Matches!J:J, "NA", 0)</f>
        <v>DCW</v>
      </c>
      <c r="Y1244" t="str">
        <f>_xlfn.XLOOKUP(A1244, Matches!A:A, Matches!F:F, "NA", 0)</f>
        <v>M. Chinnaswamy Stadium</v>
      </c>
      <c r="Z1244" cm="1">
        <f t="array" ref="Z1244">INDEX(Innings!F:F,MATCH(1,(TRIM(Innings!A:A)=TRIM(A1244))*(TRIM(Innings!D:D)=TRIM(E1244)),0))</f>
        <v>124</v>
      </c>
      <c r="AA1244" cm="1">
        <f t="array" ref="AA1244">INDEX(Innings!I:I,MATCH(1,(TRIM(Innings!A:A)=TRIM(A1244))*(TRIM(Innings!D:D)=TRIM(E1244)),0))</f>
        <v>8.5500000000000007</v>
      </c>
      <c r="AB1244" cm="1">
        <f t="array" ref="AB1244">INDEX(Innings!J:J,MATCH(1,(TRIM(Innings!A:A)=TRIM(A1244))*(TRIM(Innings!D:D)=TRIM(E1244)),0))</f>
        <v>57</v>
      </c>
      <c r="AC1244" cm="1">
        <f t="array" ref="AC1244">INDEX(Innings!N:N,MATCH(1,(TRIM(Innings!A:A)=TRIM(A1244))*(TRIM(Innings!D:D)=TRIM(E1244)),0))</f>
        <v>0</v>
      </c>
      <c r="AD1244" cm="1">
        <f t="array" ref="AD1244">INDEX(Innings!S:S,MATCH(1,(TRIM(Innings!A:A)=TRIM(A1244))*(TRIM(Innings!D:D)=TRIM(E1244)),0))</f>
        <v>35</v>
      </c>
      <c r="AE1244" t="str" cm="1">
        <f t="array" ref="AE1244">INDEX(Innings!W:W,MATCH(1,(TRIM(Innings!A:A)=TRIM(A1244))*(TRIM(Innings!D:D)=TRIM(E1244)),0))</f>
        <v>Successful</v>
      </c>
      <c r="AF1244">
        <f>IF(UPPER(TRIM(E1244))=UPPER(TRIM(W1244)),1,0)</f>
        <v>1</v>
      </c>
      <c r="AG1244">
        <f t="shared" si="38"/>
        <v>62.4</v>
      </c>
    </row>
    <row r="1245" spans="1:33" x14ac:dyDescent="0.3">
      <c r="A1245" t="s">
        <v>474</v>
      </c>
      <c r="B1245">
        <v>3</v>
      </c>
      <c r="C1245" t="s">
        <v>188</v>
      </c>
      <c r="D1245" t="s">
        <v>189</v>
      </c>
      <c r="E1245" t="s">
        <v>158</v>
      </c>
      <c r="F1245" t="s">
        <v>109</v>
      </c>
      <c r="G1245" t="s">
        <v>86</v>
      </c>
      <c r="H1245">
        <v>43</v>
      </c>
      <c r="I1245">
        <v>28</v>
      </c>
      <c r="J1245">
        <v>153.57</v>
      </c>
      <c r="K1245" t="s">
        <v>246</v>
      </c>
      <c r="L1245">
        <v>55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 s="8">
        <v>55</v>
      </c>
      <c r="V1245" s="8">
        <f t="shared" si="39"/>
        <v>6</v>
      </c>
      <c r="W1245" t="str">
        <f>_xlfn.XLOOKUP(A1245, Matches!A:A, Matches!L:L, "NA", 0)</f>
        <v>DCW</v>
      </c>
      <c r="X1245" t="str">
        <f>_xlfn.XLOOKUP(A1245, Matches!A:A, Matches!J:J, "NA", 0)</f>
        <v>DCW</v>
      </c>
      <c r="Y1245" t="str">
        <f>_xlfn.XLOOKUP(A1245, Matches!A:A, Matches!F:F, "NA", 0)</f>
        <v>M. Chinnaswamy Stadium</v>
      </c>
      <c r="Z1245" cm="1">
        <f t="array" ref="Z1245">INDEX(Innings!F:F,MATCH(1,(TRIM(Innings!A:A)=TRIM(A1245))*(TRIM(Innings!D:D)=TRIM(E1245)),0))</f>
        <v>124</v>
      </c>
      <c r="AA1245" cm="1">
        <f t="array" ref="AA1245">INDEX(Innings!I:I,MATCH(1,(TRIM(Innings!A:A)=TRIM(A1245))*(TRIM(Innings!D:D)=TRIM(E1245)),0))</f>
        <v>8.5500000000000007</v>
      </c>
      <c r="AB1245" cm="1">
        <f t="array" ref="AB1245">INDEX(Innings!J:J,MATCH(1,(TRIM(Innings!A:A)=TRIM(A1245))*(TRIM(Innings!D:D)=TRIM(E1245)),0))</f>
        <v>57</v>
      </c>
      <c r="AC1245" cm="1">
        <f t="array" ref="AC1245">INDEX(Innings!N:N,MATCH(1,(TRIM(Innings!A:A)=TRIM(A1245))*(TRIM(Innings!D:D)=TRIM(E1245)),0))</f>
        <v>0</v>
      </c>
      <c r="AD1245" cm="1">
        <f t="array" ref="AD1245">INDEX(Innings!S:S,MATCH(1,(TRIM(Innings!A:A)=TRIM(A1245))*(TRIM(Innings!D:D)=TRIM(E1245)),0))</f>
        <v>35</v>
      </c>
      <c r="AE1245" t="str" cm="1">
        <f t="array" ref="AE1245">INDEX(Innings!W:W,MATCH(1,(TRIM(Innings!A:A)=TRIM(A1245))*(TRIM(Innings!D:D)=TRIM(E1245)),0))</f>
        <v>Successful</v>
      </c>
      <c r="AF1245">
        <f>IF(UPPER(TRIM(E1245))=UPPER(TRIM(W1245)),1,0)</f>
        <v>1</v>
      </c>
      <c r="AG1245">
        <f t="shared" si="38"/>
        <v>49.3</v>
      </c>
    </row>
    <row r="1246" spans="1:33" x14ac:dyDescent="0.3">
      <c r="A1246" t="s">
        <v>474</v>
      </c>
      <c r="B1246">
        <v>3</v>
      </c>
      <c r="C1246" t="s">
        <v>194</v>
      </c>
      <c r="D1246" t="s">
        <v>195</v>
      </c>
      <c r="E1246" t="s">
        <v>158</v>
      </c>
      <c r="F1246" t="s">
        <v>109</v>
      </c>
      <c r="G1246" t="s">
        <v>134</v>
      </c>
      <c r="H1246">
        <v>15</v>
      </c>
      <c r="I1246">
        <v>10</v>
      </c>
      <c r="J1246">
        <v>150</v>
      </c>
      <c r="K1246" t="s">
        <v>96</v>
      </c>
      <c r="L1246">
        <v>20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 s="8">
        <v>20</v>
      </c>
      <c r="V1246" s="8">
        <f t="shared" si="39"/>
        <v>2</v>
      </c>
      <c r="W1246" t="str">
        <f>_xlfn.XLOOKUP(A1246, Matches!A:A, Matches!L:L, "NA", 0)</f>
        <v>DCW</v>
      </c>
      <c r="X1246" t="str">
        <f>_xlfn.XLOOKUP(A1246, Matches!A:A, Matches!J:J, "NA", 0)</f>
        <v>DCW</v>
      </c>
      <c r="Y1246" t="str">
        <f>_xlfn.XLOOKUP(A1246, Matches!A:A, Matches!F:F, "NA", 0)</f>
        <v>M. Chinnaswamy Stadium</v>
      </c>
      <c r="Z1246" cm="1">
        <f t="array" ref="Z1246">INDEX(Innings!F:F,MATCH(1,(TRIM(Innings!A:A)=TRIM(A1246))*(TRIM(Innings!D:D)=TRIM(E1246)),0))</f>
        <v>124</v>
      </c>
      <c r="AA1246" cm="1">
        <f t="array" ref="AA1246">INDEX(Innings!I:I,MATCH(1,(TRIM(Innings!A:A)=TRIM(A1246))*(TRIM(Innings!D:D)=TRIM(E1246)),0))</f>
        <v>8.5500000000000007</v>
      </c>
      <c r="AB1246" cm="1">
        <f t="array" ref="AB1246">INDEX(Innings!J:J,MATCH(1,(TRIM(Innings!A:A)=TRIM(A1246))*(TRIM(Innings!D:D)=TRIM(E1246)),0))</f>
        <v>57</v>
      </c>
      <c r="AC1246" cm="1">
        <f t="array" ref="AC1246">INDEX(Innings!N:N,MATCH(1,(TRIM(Innings!A:A)=TRIM(A1246))*(TRIM(Innings!D:D)=TRIM(E1246)),0))</f>
        <v>0</v>
      </c>
      <c r="AD1246" cm="1">
        <f t="array" ref="AD1246">INDEX(Innings!S:S,MATCH(1,(TRIM(Innings!A:A)=TRIM(A1246))*(TRIM(Innings!D:D)=TRIM(E1246)),0))</f>
        <v>35</v>
      </c>
      <c r="AE1246" t="str" cm="1">
        <f t="array" ref="AE1246">INDEX(Innings!W:W,MATCH(1,(TRIM(Innings!A:A)=TRIM(A1246))*(TRIM(Innings!D:D)=TRIM(E1246)),0))</f>
        <v>Successful</v>
      </c>
      <c r="AF1246">
        <f>IF(UPPER(TRIM(E1246))=UPPER(TRIM(W1246)),1,0)</f>
        <v>1</v>
      </c>
      <c r="AG1246">
        <f t="shared" si="38"/>
        <v>30.6</v>
      </c>
    </row>
    <row r="1247" spans="1:33" x14ac:dyDescent="0.3">
      <c r="A1247" t="s">
        <v>474</v>
      </c>
      <c r="B1247">
        <v>3</v>
      </c>
      <c r="C1247" t="s">
        <v>94</v>
      </c>
      <c r="D1247" t="s">
        <v>120</v>
      </c>
      <c r="E1247" t="s">
        <v>158</v>
      </c>
      <c r="F1247" t="s">
        <v>169</v>
      </c>
      <c r="G1247" t="s">
        <v>104</v>
      </c>
      <c r="H1247">
        <v>0</v>
      </c>
      <c r="I1247">
        <v>0</v>
      </c>
      <c r="J1247">
        <v>0</v>
      </c>
      <c r="K1247" t="s">
        <v>104</v>
      </c>
      <c r="L1247">
        <v>0</v>
      </c>
      <c r="M1247">
        <v>4</v>
      </c>
      <c r="N1247">
        <v>0</v>
      </c>
      <c r="O1247">
        <v>21</v>
      </c>
      <c r="P1247">
        <v>1</v>
      </c>
      <c r="Q1247">
        <v>5.2</v>
      </c>
      <c r="R1247">
        <v>25</v>
      </c>
      <c r="S1247">
        <v>0</v>
      </c>
      <c r="T1247">
        <v>0</v>
      </c>
      <c r="U1247" s="8">
        <v>25</v>
      </c>
      <c r="V1247" s="8">
        <f t="shared" si="39"/>
        <v>3</v>
      </c>
      <c r="W1247" t="str">
        <f>_xlfn.XLOOKUP(A1247, Matches!A:A, Matches!L:L, "NA", 0)</f>
        <v>DCW</v>
      </c>
      <c r="X1247" t="str">
        <f>_xlfn.XLOOKUP(A1247, Matches!A:A, Matches!J:J, "NA", 0)</f>
        <v>DCW</v>
      </c>
      <c r="Y1247" t="str">
        <f>_xlfn.XLOOKUP(A1247, Matches!A:A, Matches!F:F, "NA", 0)</f>
        <v>M. Chinnaswamy Stadium</v>
      </c>
      <c r="Z1247" cm="1">
        <f t="array" ref="Z1247">INDEX(Innings!F:F,MATCH(1,(TRIM(Innings!A:A)=TRIM(A1247))*(TRIM(Innings!D:D)=TRIM(E1247)),0))</f>
        <v>124</v>
      </c>
      <c r="AA1247" cm="1">
        <f t="array" ref="AA1247">INDEX(Innings!I:I,MATCH(1,(TRIM(Innings!A:A)=TRIM(A1247))*(TRIM(Innings!D:D)=TRIM(E1247)),0))</f>
        <v>8.5500000000000007</v>
      </c>
      <c r="AB1247" cm="1">
        <f t="array" ref="AB1247">INDEX(Innings!J:J,MATCH(1,(TRIM(Innings!A:A)=TRIM(A1247))*(TRIM(Innings!D:D)=TRIM(E1247)),0))</f>
        <v>57</v>
      </c>
      <c r="AC1247" cm="1">
        <f t="array" ref="AC1247">INDEX(Innings!N:N,MATCH(1,(TRIM(Innings!A:A)=TRIM(A1247))*(TRIM(Innings!D:D)=TRIM(E1247)),0))</f>
        <v>0</v>
      </c>
      <c r="AD1247" cm="1">
        <f t="array" ref="AD1247">INDEX(Innings!S:S,MATCH(1,(TRIM(Innings!A:A)=TRIM(A1247))*(TRIM(Innings!D:D)=TRIM(E1247)),0))</f>
        <v>35</v>
      </c>
      <c r="AE1247" t="str" cm="1">
        <f t="array" ref="AE1247">INDEX(Innings!W:W,MATCH(1,(TRIM(Innings!A:A)=TRIM(A1247))*(TRIM(Innings!D:D)=TRIM(E1247)),0))</f>
        <v>Successful</v>
      </c>
      <c r="AF1247">
        <f>IF(UPPER(TRIM(E1247))=UPPER(TRIM(W1247)),1,0)</f>
        <v>1</v>
      </c>
      <c r="AG1247">
        <f t="shared" si="38"/>
        <v>33.4</v>
      </c>
    </row>
    <row r="1248" spans="1:33" x14ac:dyDescent="0.3">
      <c r="A1248" t="s">
        <v>474</v>
      </c>
      <c r="B1248">
        <v>3</v>
      </c>
      <c r="C1248" t="s">
        <v>192</v>
      </c>
      <c r="D1248" t="s">
        <v>193</v>
      </c>
      <c r="E1248" t="s">
        <v>158</v>
      </c>
      <c r="F1248" t="s">
        <v>169</v>
      </c>
      <c r="G1248" t="s">
        <v>104</v>
      </c>
      <c r="H1248">
        <v>0</v>
      </c>
      <c r="I1248">
        <v>0</v>
      </c>
      <c r="J1248">
        <v>0</v>
      </c>
      <c r="K1248" t="s">
        <v>104</v>
      </c>
      <c r="L1248">
        <v>0</v>
      </c>
      <c r="M1248">
        <v>3</v>
      </c>
      <c r="N1248">
        <v>0</v>
      </c>
      <c r="O1248">
        <v>16</v>
      </c>
      <c r="P1248">
        <v>0</v>
      </c>
      <c r="Q1248">
        <v>5.3</v>
      </c>
      <c r="R1248">
        <v>10</v>
      </c>
      <c r="S1248">
        <v>0</v>
      </c>
      <c r="T1248">
        <v>0</v>
      </c>
      <c r="U1248" s="8">
        <v>10</v>
      </c>
      <c r="V1248" s="8">
        <f t="shared" si="39"/>
        <v>1</v>
      </c>
      <c r="W1248" t="str">
        <f>_xlfn.XLOOKUP(A1248, Matches!A:A, Matches!L:L, "NA", 0)</f>
        <v>DCW</v>
      </c>
      <c r="X1248" t="str">
        <f>_xlfn.XLOOKUP(A1248, Matches!A:A, Matches!J:J, "NA", 0)</f>
        <v>DCW</v>
      </c>
      <c r="Y1248" t="str">
        <f>_xlfn.XLOOKUP(A1248, Matches!A:A, Matches!F:F, "NA", 0)</f>
        <v>M. Chinnaswamy Stadium</v>
      </c>
      <c r="Z1248" cm="1">
        <f t="array" ref="Z1248">INDEX(Innings!F:F,MATCH(1,(TRIM(Innings!A:A)=TRIM(A1248))*(TRIM(Innings!D:D)=TRIM(E1248)),0))</f>
        <v>124</v>
      </c>
      <c r="AA1248" cm="1">
        <f t="array" ref="AA1248">INDEX(Innings!I:I,MATCH(1,(TRIM(Innings!A:A)=TRIM(A1248))*(TRIM(Innings!D:D)=TRIM(E1248)),0))</f>
        <v>8.5500000000000007</v>
      </c>
      <c r="AB1248" cm="1">
        <f t="array" ref="AB1248">INDEX(Innings!J:J,MATCH(1,(TRIM(Innings!A:A)=TRIM(A1248))*(TRIM(Innings!D:D)=TRIM(E1248)),0))</f>
        <v>57</v>
      </c>
      <c r="AC1248" cm="1">
        <f t="array" ref="AC1248">INDEX(Innings!N:N,MATCH(1,(TRIM(Innings!A:A)=TRIM(A1248))*(TRIM(Innings!D:D)=TRIM(E1248)),0))</f>
        <v>0</v>
      </c>
      <c r="AD1248" cm="1">
        <f t="array" ref="AD1248">INDEX(Innings!S:S,MATCH(1,(TRIM(Innings!A:A)=TRIM(A1248))*(TRIM(Innings!D:D)=TRIM(E1248)),0))</f>
        <v>35</v>
      </c>
      <c r="AE1248" t="str" cm="1">
        <f t="array" ref="AE1248">INDEX(Innings!W:W,MATCH(1,(TRIM(Innings!A:A)=TRIM(A1248))*(TRIM(Innings!D:D)=TRIM(E1248)),0))</f>
        <v>Successful</v>
      </c>
      <c r="AF1248">
        <f>IF(UPPER(TRIM(E1248))=UPPER(TRIM(W1248)),1,0)</f>
        <v>1</v>
      </c>
      <c r="AG1248">
        <f t="shared" si="38"/>
        <v>25.3</v>
      </c>
    </row>
    <row r="1249" spans="1:33" x14ac:dyDescent="0.3">
      <c r="A1249" t="s">
        <v>474</v>
      </c>
      <c r="B1249">
        <v>3</v>
      </c>
      <c r="C1249" t="s">
        <v>198</v>
      </c>
      <c r="D1249" t="s">
        <v>199</v>
      </c>
      <c r="E1249" t="s">
        <v>158</v>
      </c>
      <c r="F1249" t="s">
        <v>101</v>
      </c>
      <c r="G1249" t="s">
        <v>104</v>
      </c>
      <c r="H1249">
        <v>0</v>
      </c>
      <c r="I1249">
        <v>0</v>
      </c>
      <c r="J1249">
        <v>0</v>
      </c>
      <c r="K1249" t="s">
        <v>104</v>
      </c>
      <c r="L1249">
        <v>0</v>
      </c>
      <c r="M1249">
        <v>4</v>
      </c>
      <c r="N1249">
        <v>0</v>
      </c>
      <c r="O1249">
        <v>25</v>
      </c>
      <c r="P1249">
        <v>3</v>
      </c>
      <c r="Q1249">
        <v>6.2</v>
      </c>
      <c r="R1249">
        <v>75</v>
      </c>
      <c r="S1249">
        <v>0</v>
      </c>
      <c r="T1249">
        <v>0</v>
      </c>
      <c r="U1249" s="8">
        <v>75</v>
      </c>
      <c r="V1249" s="8">
        <f t="shared" si="39"/>
        <v>8</v>
      </c>
      <c r="W1249" t="str">
        <f>_xlfn.XLOOKUP(A1249, Matches!A:A, Matches!L:L, "NA", 0)</f>
        <v>DCW</v>
      </c>
      <c r="X1249" t="str">
        <f>_xlfn.XLOOKUP(A1249, Matches!A:A, Matches!J:J, "NA", 0)</f>
        <v>DCW</v>
      </c>
      <c r="Y1249" t="str">
        <f>_xlfn.XLOOKUP(A1249, Matches!A:A, Matches!F:F, "NA", 0)</f>
        <v>M. Chinnaswamy Stadium</v>
      </c>
      <c r="Z1249" cm="1">
        <f t="array" ref="Z1249">INDEX(Innings!F:F,MATCH(1,(TRIM(Innings!A:A)=TRIM(A1249))*(TRIM(Innings!D:D)=TRIM(E1249)),0))</f>
        <v>124</v>
      </c>
      <c r="AA1249" cm="1">
        <f t="array" ref="AA1249">INDEX(Innings!I:I,MATCH(1,(TRIM(Innings!A:A)=TRIM(A1249))*(TRIM(Innings!D:D)=TRIM(E1249)),0))</f>
        <v>8.5500000000000007</v>
      </c>
      <c r="AB1249" cm="1">
        <f t="array" ref="AB1249">INDEX(Innings!J:J,MATCH(1,(TRIM(Innings!A:A)=TRIM(A1249))*(TRIM(Innings!D:D)=TRIM(E1249)),0))</f>
        <v>57</v>
      </c>
      <c r="AC1249" cm="1">
        <f t="array" ref="AC1249">INDEX(Innings!N:N,MATCH(1,(TRIM(Innings!A:A)=TRIM(A1249))*(TRIM(Innings!D:D)=TRIM(E1249)),0))</f>
        <v>0</v>
      </c>
      <c r="AD1249" cm="1">
        <f t="array" ref="AD1249">INDEX(Innings!S:S,MATCH(1,(TRIM(Innings!A:A)=TRIM(A1249))*(TRIM(Innings!D:D)=TRIM(E1249)),0))</f>
        <v>35</v>
      </c>
      <c r="AE1249" t="str" cm="1">
        <f t="array" ref="AE1249">INDEX(Innings!W:W,MATCH(1,(TRIM(Innings!A:A)=TRIM(A1249))*(TRIM(Innings!D:D)=TRIM(E1249)),0))</f>
        <v>Successful</v>
      </c>
      <c r="AF1249">
        <f>IF(UPPER(TRIM(E1249))=UPPER(TRIM(W1249)),1,0)</f>
        <v>1</v>
      </c>
      <c r="AG1249">
        <f t="shared" si="38"/>
        <v>59.9</v>
      </c>
    </row>
    <row r="1250" spans="1:33" x14ac:dyDescent="0.3">
      <c r="A1250" t="s">
        <v>474</v>
      </c>
      <c r="B1250">
        <v>3</v>
      </c>
      <c r="C1250" t="s">
        <v>496</v>
      </c>
      <c r="D1250" t="s">
        <v>518</v>
      </c>
      <c r="E1250" t="s">
        <v>158</v>
      </c>
      <c r="F1250" t="s">
        <v>85</v>
      </c>
      <c r="G1250" t="s">
        <v>104</v>
      </c>
      <c r="H1250">
        <v>0</v>
      </c>
      <c r="I1250">
        <v>0</v>
      </c>
      <c r="J1250">
        <v>0</v>
      </c>
      <c r="K1250" t="s">
        <v>104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 s="8">
        <v>0</v>
      </c>
      <c r="V1250" s="8">
        <f t="shared" si="39"/>
        <v>0</v>
      </c>
      <c r="W1250" t="str">
        <f>_xlfn.XLOOKUP(A1250, Matches!A:A, Matches!L:L, "NA", 0)</f>
        <v>DCW</v>
      </c>
      <c r="X1250" t="str">
        <f>_xlfn.XLOOKUP(A1250, Matches!A:A, Matches!J:J, "NA", 0)</f>
        <v>DCW</v>
      </c>
      <c r="Y1250" t="str">
        <f>_xlfn.XLOOKUP(A1250, Matches!A:A, Matches!F:F, "NA", 0)</f>
        <v>M. Chinnaswamy Stadium</v>
      </c>
      <c r="Z1250" cm="1">
        <f t="array" ref="Z1250">INDEX(Innings!F:F,MATCH(1,(TRIM(Innings!A:A)=TRIM(A1250))*(TRIM(Innings!D:D)=TRIM(E1250)),0))</f>
        <v>124</v>
      </c>
      <c r="AA1250" cm="1">
        <f t="array" ref="AA1250">INDEX(Innings!I:I,MATCH(1,(TRIM(Innings!A:A)=TRIM(A1250))*(TRIM(Innings!D:D)=TRIM(E1250)),0))</f>
        <v>8.5500000000000007</v>
      </c>
      <c r="AB1250" cm="1">
        <f t="array" ref="AB1250">INDEX(Innings!J:J,MATCH(1,(TRIM(Innings!A:A)=TRIM(A1250))*(TRIM(Innings!D:D)=TRIM(E1250)),0))</f>
        <v>57</v>
      </c>
      <c r="AC1250" cm="1">
        <f t="array" ref="AC1250">INDEX(Innings!N:N,MATCH(1,(TRIM(Innings!A:A)=TRIM(A1250))*(TRIM(Innings!D:D)=TRIM(E1250)),0))</f>
        <v>0</v>
      </c>
      <c r="AD1250" cm="1">
        <f t="array" ref="AD1250">INDEX(Innings!S:S,MATCH(1,(TRIM(Innings!A:A)=TRIM(A1250))*(TRIM(Innings!D:D)=TRIM(E1250)),0))</f>
        <v>35</v>
      </c>
      <c r="AE1250" t="str" cm="1">
        <f t="array" ref="AE1250">INDEX(Innings!W:W,MATCH(1,(TRIM(Innings!A:A)=TRIM(A1250))*(TRIM(Innings!D:D)=TRIM(E1250)),0))</f>
        <v>Successful</v>
      </c>
      <c r="AF1250">
        <f>IF(UPPER(TRIM(E1250))=UPPER(TRIM(W1250)),1,0)</f>
        <v>1</v>
      </c>
      <c r="AG1250">
        <f t="shared" si="38"/>
        <v>20</v>
      </c>
    </row>
    <row r="1251" spans="1:33" x14ac:dyDescent="0.3">
      <c r="A1251" t="s">
        <v>474</v>
      </c>
      <c r="B1251">
        <v>3</v>
      </c>
      <c r="C1251" t="s">
        <v>495</v>
      </c>
      <c r="D1251" t="s">
        <v>503</v>
      </c>
      <c r="E1251" t="s">
        <v>158</v>
      </c>
      <c r="F1251" t="s">
        <v>169</v>
      </c>
      <c r="G1251" t="s">
        <v>104</v>
      </c>
      <c r="H1251">
        <v>0</v>
      </c>
      <c r="I1251">
        <v>0</v>
      </c>
      <c r="J1251">
        <v>0</v>
      </c>
      <c r="K1251" t="s">
        <v>104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 s="8">
        <v>0</v>
      </c>
      <c r="V1251" s="8">
        <f t="shared" si="39"/>
        <v>0</v>
      </c>
      <c r="W1251" t="str">
        <f>_xlfn.XLOOKUP(A1251, Matches!A:A, Matches!L:L, "NA", 0)</f>
        <v>DCW</v>
      </c>
      <c r="X1251" t="str">
        <f>_xlfn.XLOOKUP(A1251, Matches!A:A, Matches!J:J, "NA", 0)</f>
        <v>DCW</v>
      </c>
      <c r="Y1251" t="str">
        <f>_xlfn.XLOOKUP(A1251, Matches!A:A, Matches!F:F, "NA", 0)</f>
        <v>M. Chinnaswamy Stadium</v>
      </c>
      <c r="Z1251" cm="1">
        <f t="array" ref="Z1251">INDEX(Innings!F:F,MATCH(1,(TRIM(Innings!A:A)=TRIM(A1251))*(TRIM(Innings!D:D)=TRIM(E1251)),0))</f>
        <v>124</v>
      </c>
      <c r="AA1251" cm="1">
        <f t="array" ref="AA1251">INDEX(Innings!I:I,MATCH(1,(TRIM(Innings!A:A)=TRIM(A1251))*(TRIM(Innings!D:D)=TRIM(E1251)),0))</f>
        <v>8.5500000000000007</v>
      </c>
      <c r="AB1251" cm="1">
        <f t="array" ref="AB1251">INDEX(Innings!J:J,MATCH(1,(TRIM(Innings!A:A)=TRIM(A1251))*(TRIM(Innings!D:D)=TRIM(E1251)),0))</f>
        <v>57</v>
      </c>
      <c r="AC1251" cm="1">
        <f t="array" ref="AC1251">INDEX(Innings!N:N,MATCH(1,(TRIM(Innings!A:A)=TRIM(A1251))*(TRIM(Innings!D:D)=TRIM(E1251)),0))</f>
        <v>0</v>
      </c>
      <c r="AD1251" cm="1">
        <f t="array" ref="AD1251">INDEX(Innings!S:S,MATCH(1,(TRIM(Innings!A:A)=TRIM(A1251))*(TRIM(Innings!D:D)=TRIM(E1251)),0))</f>
        <v>35</v>
      </c>
      <c r="AE1251" t="str" cm="1">
        <f t="array" ref="AE1251">INDEX(Innings!W:W,MATCH(1,(TRIM(Innings!A:A)=TRIM(A1251))*(TRIM(Innings!D:D)=TRIM(E1251)),0))</f>
        <v>Successful</v>
      </c>
      <c r="AF1251">
        <f>IF(UPPER(TRIM(E1251))=UPPER(TRIM(W1251)),1,0)</f>
        <v>1</v>
      </c>
      <c r="AG1251">
        <f t="shared" si="38"/>
        <v>20</v>
      </c>
    </row>
    <row r="1252" spans="1:33" x14ac:dyDescent="0.3">
      <c r="A1252" t="s">
        <v>474</v>
      </c>
      <c r="B1252">
        <v>3</v>
      </c>
      <c r="C1252" t="s">
        <v>204</v>
      </c>
      <c r="D1252" t="s">
        <v>205</v>
      </c>
      <c r="E1252" t="s">
        <v>158</v>
      </c>
      <c r="F1252" t="s">
        <v>169</v>
      </c>
      <c r="G1252" t="s">
        <v>104</v>
      </c>
      <c r="H1252">
        <v>0</v>
      </c>
      <c r="I1252">
        <v>0</v>
      </c>
      <c r="J1252">
        <v>0</v>
      </c>
      <c r="K1252" t="s">
        <v>104</v>
      </c>
      <c r="L1252">
        <v>0</v>
      </c>
      <c r="M1252">
        <v>4</v>
      </c>
      <c r="N1252">
        <v>1</v>
      </c>
      <c r="O1252">
        <v>16</v>
      </c>
      <c r="P1252">
        <v>1</v>
      </c>
      <c r="Q1252">
        <v>4</v>
      </c>
      <c r="R1252">
        <v>35</v>
      </c>
      <c r="S1252">
        <v>0</v>
      </c>
      <c r="T1252">
        <v>0</v>
      </c>
      <c r="U1252" s="8">
        <v>35</v>
      </c>
      <c r="V1252" s="8">
        <f t="shared" si="39"/>
        <v>4</v>
      </c>
      <c r="W1252" t="str">
        <f>_xlfn.XLOOKUP(A1252, Matches!A:A, Matches!L:L, "NA", 0)</f>
        <v>DCW</v>
      </c>
      <c r="X1252" t="str">
        <f>_xlfn.XLOOKUP(A1252, Matches!A:A, Matches!J:J, "NA", 0)</f>
        <v>DCW</v>
      </c>
      <c r="Y1252" t="str">
        <f>_xlfn.XLOOKUP(A1252, Matches!A:A, Matches!F:F, "NA", 0)</f>
        <v>M. Chinnaswamy Stadium</v>
      </c>
      <c r="Z1252" cm="1">
        <f t="array" ref="Z1252">INDEX(Innings!F:F,MATCH(1,(TRIM(Innings!A:A)=TRIM(A1252))*(TRIM(Innings!D:D)=TRIM(E1252)),0))</f>
        <v>124</v>
      </c>
      <c r="AA1252" cm="1">
        <f t="array" ref="AA1252">INDEX(Innings!I:I,MATCH(1,(TRIM(Innings!A:A)=TRIM(A1252))*(TRIM(Innings!D:D)=TRIM(E1252)),0))</f>
        <v>8.5500000000000007</v>
      </c>
      <c r="AB1252" cm="1">
        <f t="array" ref="AB1252">INDEX(Innings!J:J,MATCH(1,(TRIM(Innings!A:A)=TRIM(A1252))*(TRIM(Innings!D:D)=TRIM(E1252)),0))</f>
        <v>57</v>
      </c>
      <c r="AC1252" cm="1">
        <f t="array" ref="AC1252">INDEX(Innings!N:N,MATCH(1,(TRIM(Innings!A:A)=TRIM(A1252))*(TRIM(Innings!D:D)=TRIM(E1252)),0))</f>
        <v>0</v>
      </c>
      <c r="AD1252" cm="1">
        <f t="array" ref="AD1252">INDEX(Innings!S:S,MATCH(1,(TRIM(Innings!A:A)=TRIM(A1252))*(TRIM(Innings!D:D)=TRIM(E1252)),0))</f>
        <v>35</v>
      </c>
      <c r="AE1252" t="str" cm="1">
        <f t="array" ref="AE1252">INDEX(Innings!W:W,MATCH(1,(TRIM(Innings!A:A)=TRIM(A1252))*(TRIM(Innings!D:D)=TRIM(E1252)),0))</f>
        <v>Successful</v>
      </c>
      <c r="AF1252">
        <f>IF(UPPER(TRIM(E1252))=UPPER(TRIM(W1252)),1,0)</f>
        <v>1</v>
      </c>
      <c r="AG1252">
        <f t="shared" si="38"/>
        <v>38.700000000000003</v>
      </c>
    </row>
    <row r="1253" spans="1:33" x14ac:dyDescent="0.3">
      <c r="A1253" t="s">
        <v>474</v>
      </c>
      <c r="B1253">
        <v>3</v>
      </c>
      <c r="C1253" t="s">
        <v>274</v>
      </c>
      <c r="D1253" t="s">
        <v>284</v>
      </c>
      <c r="E1253" t="s">
        <v>158</v>
      </c>
      <c r="F1253" t="s">
        <v>169</v>
      </c>
      <c r="G1253" t="s">
        <v>104</v>
      </c>
      <c r="H1253">
        <v>0</v>
      </c>
      <c r="I1253">
        <v>0</v>
      </c>
      <c r="J1253">
        <v>0</v>
      </c>
      <c r="K1253" t="s">
        <v>104</v>
      </c>
      <c r="L1253">
        <v>0</v>
      </c>
      <c r="M1253">
        <v>3</v>
      </c>
      <c r="N1253">
        <v>0</v>
      </c>
      <c r="O1253">
        <v>17</v>
      </c>
      <c r="P1253">
        <v>3</v>
      </c>
      <c r="Q1253">
        <v>5.7</v>
      </c>
      <c r="R1253">
        <v>75</v>
      </c>
      <c r="S1253">
        <v>0</v>
      </c>
      <c r="T1253">
        <v>0</v>
      </c>
      <c r="U1253" s="8">
        <v>75</v>
      </c>
      <c r="V1253" s="8">
        <f t="shared" si="39"/>
        <v>8</v>
      </c>
      <c r="W1253" t="str">
        <f>_xlfn.XLOOKUP(A1253, Matches!A:A, Matches!L:L, "NA", 0)</f>
        <v>DCW</v>
      </c>
      <c r="X1253" t="str">
        <f>_xlfn.XLOOKUP(A1253, Matches!A:A, Matches!J:J, "NA", 0)</f>
        <v>DCW</v>
      </c>
      <c r="Y1253" t="str">
        <f>_xlfn.XLOOKUP(A1253, Matches!A:A, Matches!F:F, "NA", 0)</f>
        <v>M. Chinnaswamy Stadium</v>
      </c>
      <c r="Z1253" cm="1">
        <f t="array" ref="Z1253">INDEX(Innings!F:F,MATCH(1,(TRIM(Innings!A:A)=TRIM(A1253))*(TRIM(Innings!D:D)=TRIM(E1253)),0))</f>
        <v>124</v>
      </c>
      <c r="AA1253" cm="1">
        <f t="array" ref="AA1253">INDEX(Innings!I:I,MATCH(1,(TRIM(Innings!A:A)=TRIM(A1253))*(TRIM(Innings!D:D)=TRIM(E1253)),0))</f>
        <v>8.5500000000000007</v>
      </c>
      <c r="AB1253" cm="1">
        <f t="array" ref="AB1253">INDEX(Innings!J:J,MATCH(1,(TRIM(Innings!A:A)=TRIM(A1253))*(TRIM(Innings!D:D)=TRIM(E1253)),0))</f>
        <v>57</v>
      </c>
      <c r="AC1253" cm="1">
        <f t="array" ref="AC1253">INDEX(Innings!N:N,MATCH(1,(TRIM(Innings!A:A)=TRIM(A1253))*(TRIM(Innings!D:D)=TRIM(E1253)),0))</f>
        <v>0</v>
      </c>
      <c r="AD1253" cm="1">
        <f t="array" ref="AD1253">INDEX(Innings!S:S,MATCH(1,(TRIM(Innings!A:A)=TRIM(A1253))*(TRIM(Innings!D:D)=TRIM(E1253)),0))</f>
        <v>35</v>
      </c>
      <c r="AE1253" t="str" cm="1">
        <f t="array" ref="AE1253">INDEX(Innings!W:W,MATCH(1,(TRIM(Innings!A:A)=TRIM(A1253))*(TRIM(Innings!D:D)=TRIM(E1253)),0))</f>
        <v>Successful</v>
      </c>
      <c r="AF1253">
        <f>IF(UPPER(TRIM(E1253))=UPPER(TRIM(W1253)),1,0)</f>
        <v>1</v>
      </c>
      <c r="AG1253">
        <f t="shared" si="38"/>
        <v>59.9</v>
      </c>
    </row>
    <row r="1254" spans="1:33" x14ac:dyDescent="0.3">
      <c r="A1254" t="s">
        <v>474</v>
      </c>
      <c r="B1254">
        <v>3</v>
      </c>
      <c r="C1254" t="s">
        <v>413</v>
      </c>
      <c r="D1254" t="s">
        <v>423</v>
      </c>
      <c r="E1254" t="s">
        <v>158</v>
      </c>
      <c r="F1254" t="s">
        <v>101</v>
      </c>
      <c r="G1254" t="s">
        <v>104</v>
      </c>
      <c r="H1254">
        <v>0</v>
      </c>
      <c r="I1254">
        <v>0</v>
      </c>
      <c r="J1254">
        <v>0</v>
      </c>
      <c r="K1254" t="s">
        <v>104</v>
      </c>
      <c r="L1254">
        <v>0</v>
      </c>
      <c r="M1254">
        <v>2</v>
      </c>
      <c r="N1254">
        <v>0</v>
      </c>
      <c r="O1254">
        <v>24</v>
      </c>
      <c r="P1254">
        <v>0</v>
      </c>
      <c r="Q1254">
        <v>12</v>
      </c>
      <c r="R1254">
        <v>0</v>
      </c>
      <c r="S1254">
        <v>0</v>
      </c>
      <c r="T1254">
        <v>0</v>
      </c>
      <c r="U1254" s="8">
        <v>0</v>
      </c>
      <c r="V1254" s="8">
        <f t="shared" si="39"/>
        <v>0</v>
      </c>
      <c r="W1254" t="str">
        <f>_xlfn.XLOOKUP(A1254, Matches!A:A, Matches!L:L, "NA", 0)</f>
        <v>DCW</v>
      </c>
      <c r="X1254" t="str">
        <f>_xlfn.XLOOKUP(A1254, Matches!A:A, Matches!J:J, "NA", 0)</f>
        <v>DCW</v>
      </c>
      <c r="Y1254" t="str">
        <f>_xlfn.XLOOKUP(A1254, Matches!A:A, Matches!F:F, "NA", 0)</f>
        <v>M. Chinnaswamy Stadium</v>
      </c>
      <c r="Z1254" cm="1">
        <f t="array" ref="Z1254">INDEX(Innings!F:F,MATCH(1,(TRIM(Innings!A:A)=TRIM(A1254))*(TRIM(Innings!D:D)=TRIM(E1254)),0))</f>
        <v>124</v>
      </c>
      <c r="AA1254" cm="1">
        <f t="array" ref="AA1254">INDEX(Innings!I:I,MATCH(1,(TRIM(Innings!A:A)=TRIM(A1254))*(TRIM(Innings!D:D)=TRIM(E1254)),0))</f>
        <v>8.5500000000000007</v>
      </c>
      <c r="AB1254" cm="1">
        <f t="array" ref="AB1254">INDEX(Innings!J:J,MATCH(1,(TRIM(Innings!A:A)=TRIM(A1254))*(TRIM(Innings!D:D)=TRIM(E1254)),0))</f>
        <v>57</v>
      </c>
      <c r="AC1254" cm="1">
        <f t="array" ref="AC1254">INDEX(Innings!N:N,MATCH(1,(TRIM(Innings!A:A)=TRIM(A1254))*(TRIM(Innings!D:D)=TRIM(E1254)),0))</f>
        <v>0</v>
      </c>
      <c r="AD1254" cm="1">
        <f t="array" ref="AD1254">INDEX(Innings!S:S,MATCH(1,(TRIM(Innings!A:A)=TRIM(A1254))*(TRIM(Innings!D:D)=TRIM(E1254)),0))</f>
        <v>35</v>
      </c>
      <c r="AE1254" t="str" cm="1">
        <f t="array" ref="AE1254">INDEX(Innings!W:W,MATCH(1,(TRIM(Innings!A:A)=TRIM(A1254))*(TRIM(Innings!D:D)=TRIM(E1254)),0))</f>
        <v>Successful</v>
      </c>
      <c r="AF1254">
        <f>IF(UPPER(TRIM(E1254))=UPPER(TRIM(W1254)),1,0)</f>
        <v>1</v>
      </c>
      <c r="AG1254">
        <f t="shared" si="38"/>
        <v>20</v>
      </c>
    </row>
    <row r="1255" spans="1:33" x14ac:dyDescent="0.3">
      <c r="A1255" t="s">
        <v>475</v>
      </c>
      <c r="B1255">
        <v>3</v>
      </c>
      <c r="C1255" t="s">
        <v>165</v>
      </c>
      <c r="D1255" t="s">
        <v>166</v>
      </c>
      <c r="E1255" t="s">
        <v>159</v>
      </c>
      <c r="F1255" t="s">
        <v>109</v>
      </c>
      <c r="G1255" t="s">
        <v>86</v>
      </c>
      <c r="H1255">
        <v>8</v>
      </c>
      <c r="I1255">
        <v>7</v>
      </c>
      <c r="J1255">
        <v>114.29</v>
      </c>
      <c r="K1255" t="s">
        <v>246</v>
      </c>
      <c r="L1255">
        <v>10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 s="8">
        <v>10</v>
      </c>
      <c r="V1255" s="8">
        <f t="shared" si="39"/>
        <v>1</v>
      </c>
      <c r="W1255" t="str">
        <f>_xlfn.XLOOKUP(A1255, Matches!A:A, Matches!L:L, "NA", 0)</f>
        <v>DCW</v>
      </c>
      <c r="X1255" t="str">
        <f>_xlfn.XLOOKUP(A1255, Matches!A:A, Matches!J:J, "NA", 0)</f>
        <v>DCW</v>
      </c>
      <c r="Y1255" t="str">
        <f>_xlfn.XLOOKUP(A1255, Matches!A:A, Matches!F:F, "NA", 0)</f>
        <v>M. Chinnaswamy Stadium</v>
      </c>
      <c r="Z1255" cm="1">
        <f t="array" ref="Z1255">INDEX(Innings!F:F,MATCH(1,(TRIM(Innings!A:A)=TRIM(A1255))*(TRIM(Innings!D:D)=TRIM(E1255)),0))</f>
        <v>147</v>
      </c>
      <c r="AA1255" cm="1">
        <f t="array" ref="AA1255">INDEX(Innings!I:I,MATCH(1,(TRIM(Innings!A:A)=TRIM(A1255))*(TRIM(Innings!D:D)=TRIM(E1255)),0))</f>
        <v>7.35</v>
      </c>
      <c r="AB1255" cm="1">
        <f t="array" ref="AB1255">INDEX(Innings!J:J,MATCH(1,(TRIM(Innings!A:A)=TRIM(A1255))*(TRIM(Innings!D:D)=TRIM(E1255)),0))</f>
        <v>45</v>
      </c>
      <c r="AC1255" cm="1">
        <f t="array" ref="AC1255">INDEX(Innings!N:N,MATCH(1,(TRIM(Innings!A:A)=TRIM(A1255))*(TRIM(Innings!D:D)=TRIM(E1255)),0))</f>
        <v>28</v>
      </c>
      <c r="AD1255" cm="1">
        <f t="array" ref="AD1255">INDEX(Innings!S:S,MATCH(1,(TRIM(Innings!A:A)=TRIM(A1255))*(TRIM(Innings!D:D)=TRIM(E1255)),0))</f>
        <v>54</v>
      </c>
      <c r="AE1255" t="str" cm="1">
        <f t="array" ref="AE1255">INDEX(Innings!W:W,MATCH(1,(TRIM(Innings!A:A)=TRIM(A1255))*(TRIM(Innings!D:D)=TRIM(E1255)),0))</f>
        <v>NA</v>
      </c>
      <c r="AF1255">
        <f>IF(UPPER(TRIM(E1255))=UPPER(TRIM(W1255)),1,0)</f>
        <v>0</v>
      </c>
      <c r="AG1255">
        <f t="shared" si="38"/>
        <v>5.3</v>
      </c>
    </row>
    <row r="1256" spans="1:33" x14ac:dyDescent="0.3">
      <c r="A1256" t="s">
        <v>475</v>
      </c>
      <c r="B1256">
        <v>3</v>
      </c>
      <c r="C1256" t="s">
        <v>489</v>
      </c>
      <c r="D1256" t="s">
        <v>488</v>
      </c>
      <c r="E1256" t="s">
        <v>159</v>
      </c>
      <c r="F1256" t="s">
        <v>109</v>
      </c>
      <c r="G1256" t="s">
        <v>86</v>
      </c>
      <c r="H1256">
        <v>21</v>
      </c>
      <c r="I1256">
        <v>18</v>
      </c>
      <c r="J1256">
        <v>116.67</v>
      </c>
      <c r="K1256" t="s">
        <v>246</v>
      </c>
      <c r="L1256">
        <v>25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 s="8">
        <v>25</v>
      </c>
      <c r="V1256" s="8">
        <f t="shared" si="39"/>
        <v>3</v>
      </c>
      <c r="W1256" t="str">
        <f>_xlfn.XLOOKUP(A1256, Matches!A:A, Matches!L:L, "NA", 0)</f>
        <v>DCW</v>
      </c>
      <c r="X1256" t="str">
        <f>_xlfn.XLOOKUP(A1256, Matches!A:A, Matches!J:J, "NA", 0)</f>
        <v>DCW</v>
      </c>
      <c r="Y1256" t="str">
        <f>_xlfn.XLOOKUP(A1256, Matches!A:A, Matches!F:F, "NA", 0)</f>
        <v>M. Chinnaswamy Stadium</v>
      </c>
      <c r="Z1256" cm="1">
        <f t="array" ref="Z1256">INDEX(Innings!F:F,MATCH(1,(TRIM(Innings!A:A)=TRIM(A1256))*(TRIM(Innings!D:D)=TRIM(E1256)),0))</f>
        <v>147</v>
      </c>
      <c r="AA1256" cm="1">
        <f t="array" ref="AA1256">INDEX(Innings!I:I,MATCH(1,(TRIM(Innings!A:A)=TRIM(A1256))*(TRIM(Innings!D:D)=TRIM(E1256)),0))</f>
        <v>7.35</v>
      </c>
      <c r="AB1256" cm="1">
        <f t="array" ref="AB1256">INDEX(Innings!J:J,MATCH(1,(TRIM(Innings!A:A)=TRIM(A1256))*(TRIM(Innings!D:D)=TRIM(E1256)),0))</f>
        <v>45</v>
      </c>
      <c r="AC1256" cm="1">
        <f t="array" ref="AC1256">INDEX(Innings!N:N,MATCH(1,(TRIM(Innings!A:A)=TRIM(A1256))*(TRIM(Innings!D:D)=TRIM(E1256)),0))</f>
        <v>28</v>
      </c>
      <c r="AD1256" cm="1">
        <f t="array" ref="AD1256">INDEX(Innings!S:S,MATCH(1,(TRIM(Innings!A:A)=TRIM(A1256))*(TRIM(Innings!D:D)=TRIM(E1256)),0))</f>
        <v>54</v>
      </c>
      <c r="AE1256" t="str" cm="1">
        <f t="array" ref="AE1256">INDEX(Innings!W:W,MATCH(1,(TRIM(Innings!A:A)=TRIM(A1256))*(TRIM(Innings!D:D)=TRIM(E1256)),0))</f>
        <v>NA</v>
      </c>
      <c r="AF1256">
        <f>IF(UPPER(TRIM(E1256))=UPPER(TRIM(W1256)),1,0)</f>
        <v>0</v>
      </c>
      <c r="AG1256">
        <f t="shared" si="38"/>
        <v>13.4</v>
      </c>
    </row>
    <row r="1257" spans="1:33" x14ac:dyDescent="0.3">
      <c r="A1257" t="s">
        <v>475</v>
      </c>
      <c r="B1257">
        <v>3</v>
      </c>
      <c r="C1257" t="s">
        <v>174</v>
      </c>
      <c r="D1257" t="s">
        <v>175</v>
      </c>
      <c r="E1257" t="s">
        <v>159</v>
      </c>
      <c r="F1257" t="s">
        <v>169</v>
      </c>
      <c r="G1257" t="s">
        <v>92</v>
      </c>
      <c r="H1257">
        <v>60</v>
      </c>
      <c r="I1257">
        <v>47</v>
      </c>
      <c r="J1257">
        <v>127.66</v>
      </c>
      <c r="K1257" t="s">
        <v>96</v>
      </c>
      <c r="L1257">
        <v>80</v>
      </c>
      <c r="M1257">
        <v>2</v>
      </c>
      <c r="N1257">
        <v>0</v>
      </c>
      <c r="O1257">
        <v>24</v>
      </c>
      <c r="P1257">
        <v>0</v>
      </c>
      <c r="Q1257">
        <v>12</v>
      </c>
      <c r="R1257">
        <v>0</v>
      </c>
      <c r="S1257">
        <v>0</v>
      </c>
      <c r="T1257">
        <v>0</v>
      </c>
      <c r="U1257" s="8">
        <v>80</v>
      </c>
      <c r="V1257" s="8">
        <f t="shared" si="39"/>
        <v>8</v>
      </c>
      <c r="W1257" t="str">
        <f>_xlfn.XLOOKUP(A1257, Matches!A:A, Matches!L:L, "NA", 0)</f>
        <v>DCW</v>
      </c>
      <c r="X1257" t="str">
        <f>_xlfn.XLOOKUP(A1257, Matches!A:A, Matches!J:J, "NA", 0)</f>
        <v>DCW</v>
      </c>
      <c r="Y1257" t="str">
        <f>_xlfn.XLOOKUP(A1257, Matches!A:A, Matches!F:F, "NA", 0)</f>
        <v>M. Chinnaswamy Stadium</v>
      </c>
      <c r="Z1257" cm="1">
        <f t="array" ref="Z1257">INDEX(Innings!F:F,MATCH(1,(TRIM(Innings!A:A)=TRIM(A1257))*(TRIM(Innings!D:D)=TRIM(E1257)),0))</f>
        <v>147</v>
      </c>
      <c r="AA1257" cm="1">
        <f t="array" ref="AA1257">INDEX(Innings!I:I,MATCH(1,(TRIM(Innings!A:A)=TRIM(A1257))*(TRIM(Innings!D:D)=TRIM(E1257)),0))</f>
        <v>7.35</v>
      </c>
      <c r="AB1257" cm="1">
        <f t="array" ref="AB1257">INDEX(Innings!J:J,MATCH(1,(TRIM(Innings!A:A)=TRIM(A1257))*(TRIM(Innings!D:D)=TRIM(E1257)),0))</f>
        <v>45</v>
      </c>
      <c r="AC1257" cm="1">
        <f t="array" ref="AC1257">INDEX(Innings!N:N,MATCH(1,(TRIM(Innings!A:A)=TRIM(A1257))*(TRIM(Innings!D:D)=TRIM(E1257)),0))</f>
        <v>28</v>
      </c>
      <c r="AD1257" cm="1">
        <f t="array" ref="AD1257">INDEX(Innings!S:S,MATCH(1,(TRIM(Innings!A:A)=TRIM(A1257))*(TRIM(Innings!D:D)=TRIM(E1257)),0))</f>
        <v>54</v>
      </c>
      <c r="AE1257" t="str" cm="1">
        <f t="array" ref="AE1257">INDEX(Innings!W:W,MATCH(1,(TRIM(Innings!A:A)=TRIM(A1257))*(TRIM(Innings!D:D)=TRIM(E1257)),0))</f>
        <v>NA</v>
      </c>
      <c r="AF1257">
        <f>IF(UPPER(TRIM(E1257))=UPPER(TRIM(W1257)),1,0)</f>
        <v>0</v>
      </c>
      <c r="AG1257">
        <f t="shared" si="38"/>
        <v>42.4</v>
      </c>
    </row>
    <row r="1258" spans="1:33" x14ac:dyDescent="0.3">
      <c r="A1258" t="s">
        <v>475</v>
      </c>
      <c r="B1258">
        <v>3</v>
      </c>
      <c r="C1258" t="s">
        <v>490</v>
      </c>
      <c r="D1258" t="s">
        <v>497</v>
      </c>
      <c r="E1258" t="s">
        <v>159</v>
      </c>
      <c r="F1258" t="s">
        <v>169</v>
      </c>
      <c r="G1258" t="s">
        <v>134</v>
      </c>
      <c r="H1258">
        <v>33</v>
      </c>
      <c r="I1258">
        <v>32</v>
      </c>
      <c r="J1258">
        <v>103.12</v>
      </c>
      <c r="K1258" t="s">
        <v>248</v>
      </c>
      <c r="L1258">
        <v>35</v>
      </c>
      <c r="M1258">
        <v>1</v>
      </c>
      <c r="N1258">
        <v>0</v>
      </c>
      <c r="O1258">
        <v>11</v>
      </c>
      <c r="P1258">
        <v>0</v>
      </c>
      <c r="Q1258">
        <v>11</v>
      </c>
      <c r="R1258">
        <v>0</v>
      </c>
      <c r="S1258">
        <v>0</v>
      </c>
      <c r="T1258">
        <v>0</v>
      </c>
      <c r="U1258" s="8">
        <v>35</v>
      </c>
      <c r="V1258" s="8">
        <f t="shared" si="39"/>
        <v>4</v>
      </c>
      <c r="W1258" t="str">
        <f>_xlfn.XLOOKUP(A1258, Matches!A:A, Matches!L:L, "NA", 0)</f>
        <v>DCW</v>
      </c>
      <c r="X1258" t="str">
        <f>_xlfn.XLOOKUP(A1258, Matches!A:A, Matches!J:J, "NA", 0)</f>
        <v>DCW</v>
      </c>
      <c r="Y1258" t="str">
        <f>_xlfn.XLOOKUP(A1258, Matches!A:A, Matches!F:F, "NA", 0)</f>
        <v>M. Chinnaswamy Stadium</v>
      </c>
      <c r="Z1258" cm="1">
        <f t="array" ref="Z1258">INDEX(Innings!F:F,MATCH(1,(TRIM(Innings!A:A)=TRIM(A1258))*(TRIM(Innings!D:D)=TRIM(E1258)),0))</f>
        <v>147</v>
      </c>
      <c r="AA1258" cm="1">
        <f t="array" ref="AA1258">INDEX(Innings!I:I,MATCH(1,(TRIM(Innings!A:A)=TRIM(A1258))*(TRIM(Innings!D:D)=TRIM(E1258)),0))</f>
        <v>7.35</v>
      </c>
      <c r="AB1258" cm="1">
        <f t="array" ref="AB1258">INDEX(Innings!J:J,MATCH(1,(TRIM(Innings!A:A)=TRIM(A1258))*(TRIM(Innings!D:D)=TRIM(E1258)),0))</f>
        <v>45</v>
      </c>
      <c r="AC1258" cm="1">
        <f t="array" ref="AC1258">INDEX(Innings!N:N,MATCH(1,(TRIM(Innings!A:A)=TRIM(A1258))*(TRIM(Innings!D:D)=TRIM(E1258)),0))</f>
        <v>28</v>
      </c>
      <c r="AD1258" cm="1">
        <f t="array" ref="AD1258">INDEX(Innings!S:S,MATCH(1,(TRIM(Innings!A:A)=TRIM(A1258))*(TRIM(Innings!D:D)=TRIM(E1258)),0))</f>
        <v>54</v>
      </c>
      <c r="AE1258" t="str" cm="1">
        <f t="array" ref="AE1258">INDEX(Innings!W:W,MATCH(1,(TRIM(Innings!A:A)=TRIM(A1258))*(TRIM(Innings!D:D)=TRIM(E1258)),0))</f>
        <v>NA</v>
      </c>
      <c r="AF1258">
        <f>IF(UPPER(TRIM(E1258))=UPPER(TRIM(W1258)),1,0)</f>
        <v>0</v>
      </c>
      <c r="AG1258">
        <f t="shared" si="38"/>
        <v>18.7</v>
      </c>
    </row>
    <row r="1259" spans="1:33" x14ac:dyDescent="0.3">
      <c r="A1259" t="s">
        <v>475</v>
      </c>
      <c r="B1259">
        <v>3</v>
      </c>
      <c r="C1259" t="s">
        <v>176</v>
      </c>
      <c r="D1259" t="s">
        <v>177</v>
      </c>
      <c r="E1259" t="s">
        <v>159</v>
      </c>
      <c r="F1259" t="s">
        <v>85</v>
      </c>
      <c r="G1259" t="s">
        <v>134</v>
      </c>
      <c r="H1259">
        <v>5</v>
      </c>
      <c r="I1259">
        <v>3</v>
      </c>
      <c r="J1259">
        <v>166.67</v>
      </c>
      <c r="K1259" t="s">
        <v>246</v>
      </c>
      <c r="L1259">
        <v>5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 s="8">
        <v>5</v>
      </c>
      <c r="V1259" s="8">
        <f t="shared" si="39"/>
        <v>1</v>
      </c>
      <c r="W1259" t="str">
        <f>_xlfn.XLOOKUP(A1259, Matches!A:A, Matches!L:L, "NA", 0)</f>
        <v>DCW</v>
      </c>
      <c r="X1259" t="str">
        <f>_xlfn.XLOOKUP(A1259, Matches!A:A, Matches!J:J, "NA", 0)</f>
        <v>DCW</v>
      </c>
      <c r="Y1259" t="str">
        <f>_xlfn.XLOOKUP(A1259, Matches!A:A, Matches!F:F, "NA", 0)</f>
        <v>M. Chinnaswamy Stadium</v>
      </c>
      <c r="Z1259" cm="1">
        <f t="array" ref="Z1259">INDEX(Innings!F:F,MATCH(1,(TRIM(Innings!A:A)=TRIM(A1259))*(TRIM(Innings!D:D)=TRIM(E1259)),0))</f>
        <v>147</v>
      </c>
      <c r="AA1259" cm="1">
        <f t="array" ref="AA1259">INDEX(Innings!I:I,MATCH(1,(TRIM(Innings!A:A)=TRIM(A1259))*(TRIM(Innings!D:D)=TRIM(E1259)),0))</f>
        <v>7.35</v>
      </c>
      <c r="AB1259" cm="1">
        <f t="array" ref="AB1259">INDEX(Innings!J:J,MATCH(1,(TRIM(Innings!A:A)=TRIM(A1259))*(TRIM(Innings!D:D)=TRIM(E1259)),0))</f>
        <v>45</v>
      </c>
      <c r="AC1259" cm="1">
        <f t="array" ref="AC1259">INDEX(Innings!N:N,MATCH(1,(TRIM(Innings!A:A)=TRIM(A1259))*(TRIM(Innings!D:D)=TRIM(E1259)),0))</f>
        <v>28</v>
      </c>
      <c r="AD1259" cm="1">
        <f t="array" ref="AD1259">INDEX(Innings!S:S,MATCH(1,(TRIM(Innings!A:A)=TRIM(A1259))*(TRIM(Innings!D:D)=TRIM(E1259)),0))</f>
        <v>54</v>
      </c>
      <c r="AE1259" t="str" cm="1">
        <f t="array" ref="AE1259">INDEX(Innings!W:W,MATCH(1,(TRIM(Innings!A:A)=TRIM(A1259))*(TRIM(Innings!D:D)=TRIM(E1259)),0))</f>
        <v>NA</v>
      </c>
      <c r="AF1259">
        <f>IF(UPPER(TRIM(E1259))=UPPER(TRIM(W1259)),1,0)</f>
        <v>0</v>
      </c>
      <c r="AG1259">
        <f t="shared" si="38"/>
        <v>2.8</v>
      </c>
    </row>
    <row r="1260" spans="1:33" x14ac:dyDescent="0.3">
      <c r="A1260" t="s">
        <v>475</v>
      </c>
      <c r="B1260">
        <v>3</v>
      </c>
      <c r="C1260" t="s">
        <v>178</v>
      </c>
      <c r="D1260" t="s">
        <v>179</v>
      </c>
      <c r="E1260" t="s">
        <v>159</v>
      </c>
      <c r="F1260" t="s">
        <v>169</v>
      </c>
      <c r="G1260" t="s">
        <v>134</v>
      </c>
      <c r="H1260">
        <v>2</v>
      </c>
      <c r="I1260">
        <v>3</v>
      </c>
      <c r="J1260">
        <v>66.67</v>
      </c>
      <c r="K1260" t="s">
        <v>246</v>
      </c>
      <c r="L1260">
        <v>2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 s="8">
        <v>2</v>
      </c>
      <c r="V1260" s="8">
        <f t="shared" si="39"/>
        <v>0</v>
      </c>
      <c r="W1260" t="str">
        <f>_xlfn.XLOOKUP(A1260, Matches!A:A, Matches!L:L, "NA", 0)</f>
        <v>DCW</v>
      </c>
      <c r="X1260" t="str">
        <f>_xlfn.XLOOKUP(A1260, Matches!A:A, Matches!J:J, "NA", 0)</f>
        <v>DCW</v>
      </c>
      <c r="Y1260" t="str">
        <f>_xlfn.XLOOKUP(A1260, Matches!A:A, Matches!F:F, "NA", 0)</f>
        <v>M. Chinnaswamy Stadium</v>
      </c>
      <c r="Z1260" cm="1">
        <f t="array" ref="Z1260">INDEX(Innings!F:F,MATCH(1,(TRIM(Innings!A:A)=TRIM(A1260))*(TRIM(Innings!D:D)=TRIM(E1260)),0))</f>
        <v>147</v>
      </c>
      <c r="AA1260" cm="1">
        <f t="array" ref="AA1260">INDEX(Innings!I:I,MATCH(1,(TRIM(Innings!A:A)=TRIM(A1260))*(TRIM(Innings!D:D)=TRIM(E1260)),0))</f>
        <v>7.35</v>
      </c>
      <c r="AB1260" cm="1">
        <f t="array" ref="AB1260">INDEX(Innings!J:J,MATCH(1,(TRIM(Innings!A:A)=TRIM(A1260))*(TRIM(Innings!D:D)=TRIM(E1260)),0))</f>
        <v>45</v>
      </c>
      <c r="AC1260" cm="1">
        <f t="array" ref="AC1260">INDEX(Innings!N:N,MATCH(1,(TRIM(Innings!A:A)=TRIM(A1260))*(TRIM(Innings!D:D)=TRIM(E1260)),0))</f>
        <v>28</v>
      </c>
      <c r="AD1260" cm="1">
        <f t="array" ref="AD1260">INDEX(Innings!S:S,MATCH(1,(TRIM(Innings!A:A)=TRIM(A1260))*(TRIM(Innings!D:D)=TRIM(E1260)),0))</f>
        <v>54</v>
      </c>
      <c r="AE1260" t="str" cm="1">
        <f t="array" ref="AE1260">INDEX(Innings!W:W,MATCH(1,(TRIM(Innings!A:A)=TRIM(A1260))*(TRIM(Innings!D:D)=TRIM(E1260)),0))</f>
        <v>NA</v>
      </c>
      <c r="AF1260">
        <f>IF(UPPER(TRIM(E1260))=UPPER(TRIM(W1260)),1,0)</f>
        <v>0</v>
      </c>
      <c r="AG1260">
        <f t="shared" si="38"/>
        <v>1</v>
      </c>
    </row>
    <row r="1261" spans="1:33" x14ac:dyDescent="0.3">
      <c r="A1261" t="s">
        <v>475</v>
      </c>
      <c r="B1261">
        <v>3</v>
      </c>
      <c r="C1261" t="s">
        <v>99</v>
      </c>
      <c r="D1261" t="s">
        <v>124</v>
      </c>
      <c r="E1261" t="s">
        <v>159</v>
      </c>
      <c r="F1261" t="s">
        <v>169</v>
      </c>
      <c r="G1261" t="s">
        <v>134</v>
      </c>
      <c r="H1261">
        <v>12</v>
      </c>
      <c r="I1261">
        <v>10</v>
      </c>
      <c r="J1261">
        <v>120</v>
      </c>
      <c r="K1261" t="s">
        <v>96</v>
      </c>
      <c r="L1261">
        <v>15</v>
      </c>
      <c r="M1261">
        <v>3</v>
      </c>
      <c r="N1261">
        <v>0</v>
      </c>
      <c r="O1261">
        <v>21</v>
      </c>
      <c r="P1261">
        <v>0</v>
      </c>
      <c r="Q1261">
        <v>7</v>
      </c>
      <c r="R1261">
        <v>0</v>
      </c>
      <c r="S1261">
        <v>0</v>
      </c>
      <c r="T1261">
        <v>0</v>
      </c>
      <c r="U1261" s="8">
        <v>15</v>
      </c>
      <c r="V1261" s="8">
        <f t="shared" si="39"/>
        <v>2</v>
      </c>
      <c r="W1261" t="str">
        <f>_xlfn.XLOOKUP(A1261, Matches!A:A, Matches!L:L, "NA", 0)</f>
        <v>DCW</v>
      </c>
      <c r="X1261" t="str">
        <f>_xlfn.XLOOKUP(A1261, Matches!A:A, Matches!J:J, "NA", 0)</f>
        <v>DCW</v>
      </c>
      <c r="Y1261" t="str">
        <f>_xlfn.XLOOKUP(A1261, Matches!A:A, Matches!F:F, "NA", 0)</f>
        <v>M. Chinnaswamy Stadium</v>
      </c>
      <c r="Z1261" cm="1">
        <f t="array" ref="Z1261">INDEX(Innings!F:F,MATCH(1,(TRIM(Innings!A:A)=TRIM(A1261))*(TRIM(Innings!D:D)=TRIM(E1261)),0))</f>
        <v>147</v>
      </c>
      <c r="AA1261" cm="1">
        <f t="array" ref="AA1261">INDEX(Innings!I:I,MATCH(1,(TRIM(Innings!A:A)=TRIM(A1261))*(TRIM(Innings!D:D)=TRIM(E1261)),0))</f>
        <v>7.35</v>
      </c>
      <c r="AB1261" cm="1">
        <f t="array" ref="AB1261">INDEX(Innings!J:J,MATCH(1,(TRIM(Innings!A:A)=TRIM(A1261))*(TRIM(Innings!D:D)=TRIM(E1261)),0))</f>
        <v>45</v>
      </c>
      <c r="AC1261" cm="1">
        <f t="array" ref="AC1261">INDEX(Innings!N:N,MATCH(1,(TRIM(Innings!A:A)=TRIM(A1261))*(TRIM(Innings!D:D)=TRIM(E1261)),0))</f>
        <v>28</v>
      </c>
      <c r="AD1261" cm="1">
        <f t="array" ref="AD1261">INDEX(Innings!S:S,MATCH(1,(TRIM(Innings!A:A)=TRIM(A1261))*(TRIM(Innings!D:D)=TRIM(E1261)),0))</f>
        <v>54</v>
      </c>
      <c r="AE1261" t="str" cm="1">
        <f t="array" ref="AE1261">INDEX(Innings!W:W,MATCH(1,(TRIM(Innings!A:A)=TRIM(A1261))*(TRIM(Innings!D:D)=TRIM(E1261)),0))</f>
        <v>NA</v>
      </c>
      <c r="AF1261">
        <f>IF(UPPER(TRIM(E1261))=UPPER(TRIM(W1261)),1,0)</f>
        <v>0</v>
      </c>
      <c r="AG1261">
        <f t="shared" si="38"/>
        <v>8.1</v>
      </c>
    </row>
    <row r="1262" spans="1:33" x14ac:dyDescent="0.3">
      <c r="A1262" t="s">
        <v>475</v>
      </c>
      <c r="B1262">
        <v>3</v>
      </c>
      <c r="C1262" t="s">
        <v>242</v>
      </c>
      <c r="D1262" t="s">
        <v>244</v>
      </c>
      <c r="E1262" t="s">
        <v>159</v>
      </c>
      <c r="F1262" t="s">
        <v>101</v>
      </c>
      <c r="G1262" t="s">
        <v>104</v>
      </c>
      <c r="H1262">
        <v>0</v>
      </c>
      <c r="I1262">
        <v>0</v>
      </c>
      <c r="J1262">
        <v>0</v>
      </c>
      <c r="K1262" t="s">
        <v>104</v>
      </c>
      <c r="L1262">
        <v>0</v>
      </c>
      <c r="M1262">
        <v>3</v>
      </c>
      <c r="N1262">
        <v>0</v>
      </c>
      <c r="O1262">
        <v>25</v>
      </c>
      <c r="P1262">
        <v>0</v>
      </c>
      <c r="Q1262">
        <v>8.3000000000000007</v>
      </c>
      <c r="R1262">
        <v>0</v>
      </c>
      <c r="S1262">
        <v>0</v>
      </c>
      <c r="T1262">
        <v>0</v>
      </c>
      <c r="U1262" s="8">
        <v>0</v>
      </c>
      <c r="V1262" s="8">
        <f t="shared" si="39"/>
        <v>0</v>
      </c>
      <c r="W1262" t="str">
        <f>_xlfn.XLOOKUP(A1262, Matches!A:A, Matches!L:L, "NA", 0)</f>
        <v>DCW</v>
      </c>
      <c r="X1262" t="str">
        <f>_xlfn.XLOOKUP(A1262, Matches!A:A, Matches!J:J, "NA", 0)</f>
        <v>DCW</v>
      </c>
      <c r="Y1262" t="str">
        <f>_xlfn.XLOOKUP(A1262, Matches!A:A, Matches!F:F, "NA", 0)</f>
        <v>M. Chinnaswamy Stadium</v>
      </c>
      <c r="Z1262" cm="1">
        <f t="array" ref="Z1262">INDEX(Innings!F:F,MATCH(1,(TRIM(Innings!A:A)=TRIM(A1262))*(TRIM(Innings!D:D)=TRIM(E1262)),0))</f>
        <v>147</v>
      </c>
      <c r="AA1262" cm="1">
        <f t="array" ref="AA1262">INDEX(Innings!I:I,MATCH(1,(TRIM(Innings!A:A)=TRIM(A1262))*(TRIM(Innings!D:D)=TRIM(E1262)),0))</f>
        <v>7.35</v>
      </c>
      <c r="AB1262" cm="1">
        <f t="array" ref="AB1262">INDEX(Innings!J:J,MATCH(1,(TRIM(Innings!A:A)=TRIM(A1262))*(TRIM(Innings!D:D)=TRIM(E1262)),0))</f>
        <v>45</v>
      </c>
      <c r="AC1262" cm="1">
        <f t="array" ref="AC1262">INDEX(Innings!N:N,MATCH(1,(TRIM(Innings!A:A)=TRIM(A1262))*(TRIM(Innings!D:D)=TRIM(E1262)),0))</f>
        <v>28</v>
      </c>
      <c r="AD1262" cm="1">
        <f t="array" ref="AD1262">INDEX(Innings!S:S,MATCH(1,(TRIM(Innings!A:A)=TRIM(A1262))*(TRIM(Innings!D:D)=TRIM(E1262)),0))</f>
        <v>54</v>
      </c>
      <c r="AE1262" t="str" cm="1">
        <f t="array" ref="AE1262">INDEX(Innings!W:W,MATCH(1,(TRIM(Innings!A:A)=TRIM(A1262))*(TRIM(Innings!D:D)=TRIM(E1262)),0))</f>
        <v>NA</v>
      </c>
      <c r="AF1262">
        <f>IF(UPPER(TRIM(E1262))=UPPER(TRIM(W1262)),1,0)</f>
        <v>0</v>
      </c>
      <c r="AG1262">
        <f t="shared" si="38"/>
        <v>0</v>
      </c>
    </row>
    <row r="1263" spans="1:33" x14ac:dyDescent="0.3">
      <c r="A1263" t="s">
        <v>475</v>
      </c>
      <c r="B1263">
        <v>3</v>
      </c>
      <c r="C1263" t="s">
        <v>102</v>
      </c>
      <c r="D1263" t="s">
        <v>126</v>
      </c>
      <c r="E1263" t="s">
        <v>159</v>
      </c>
      <c r="F1263" t="s">
        <v>169</v>
      </c>
      <c r="G1263" t="s">
        <v>104</v>
      </c>
      <c r="H1263">
        <v>0</v>
      </c>
      <c r="I1263">
        <v>0</v>
      </c>
      <c r="J1263">
        <v>0</v>
      </c>
      <c r="K1263" t="s">
        <v>104</v>
      </c>
      <c r="L1263">
        <v>0</v>
      </c>
      <c r="M1263">
        <v>1.3</v>
      </c>
      <c r="N1263">
        <v>0</v>
      </c>
      <c r="O1263">
        <v>22</v>
      </c>
      <c r="P1263">
        <v>0</v>
      </c>
      <c r="Q1263">
        <v>14.7</v>
      </c>
      <c r="R1263">
        <v>0</v>
      </c>
      <c r="S1263">
        <v>0</v>
      </c>
      <c r="T1263">
        <v>0</v>
      </c>
      <c r="U1263" s="8">
        <v>0</v>
      </c>
      <c r="V1263" s="8">
        <f t="shared" si="39"/>
        <v>0</v>
      </c>
      <c r="W1263" t="str">
        <f>_xlfn.XLOOKUP(A1263, Matches!A:A, Matches!L:L, "NA", 0)</f>
        <v>DCW</v>
      </c>
      <c r="X1263" t="str">
        <f>_xlfn.XLOOKUP(A1263, Matches!A:A, Matches!J:J, "NA", 0)</f>
        <v>DCW</v>
      </c>
      <c r="Y1263" t="str">
        <f>_xlfn.XLOOKUP(A1263, Matches!A:A, Matches!F:F, "NA", 0)</f>
        <v>M. Chinnaswamy Stadium</v>
      </c>
      <c r="Z1263" cm="1">
        <f t="array" ref="Z1263">INDEX(Innings!F:F,MATCH(1,(TRIM(Innings!A:A)=TRIM(A1263))*(TRIM(Innings!D:D)=TRIM(E1263)),0))</f>
        <v>147</v>
      </c>
      <c r="AA1263" cm="1">
        <f t="array" ref="AA1263">INDEX(Innings!I:I,MATCH(1,(TRIM(Innings!A:A)=TRIM(A1263))*(TRIM(Innings!D:D)=TRIM(E1263)),0))</f>
        <v>7.35</v>
      </c>
      <c r="AB1263" cm="1">
        <f t="array" ref="AB1263">INDEX(Innings!J:J,MATCH(1,(TRIM(Innings!A:A)=TRIM(A1263))*(TRIM(Innings!D:D)=TRIM(E1263)),0))</f>
        <v>45</v>
      </c>
      <c r="AC1263" cm="1">
        <f t="array" ref="AC1263">INDEX(Innings!N:N,MATCH(1,(TRIM(Innings!A:A)=TRIM(A1263))*(TRIM(Innings!D:D)=TRIM(E1263)),0))</f>
        <v>28</v>
      </c>
      <c r="AD1263" cm="1">
        <f t="array" ref="AD1263">INDEX(Innings!S:S,MATCH(1,(TRIM(Innings!A:A)=TRIM(A1263))*(TRIM(Innings!D:D)=TRIM(E1263)),0))</f>
        <v>54</v>
      </c>
      <c r="AE1263" t="str" cm="1">
        <f t="array" ref="AE1263">INDEX(Innings!W:W,MATCH(1,(TRIM(Innings!A:A)=TRIM(A1263))*(TRIM(Innings!D:D)=TRIM(E1263)),0))</f>
        <v>NA</v>
      </c>
      <c r="AF1263">
        <f>IF(UPPER(TRIM(E1263))=UPPER(TRIM(W1263)),1,0)</f>
        <v>0</v>
      </c>
      <c r="AG1263">
        <f t="shared" si="38"/>
        <v>0</v>
      </c>
    </row>
    <row r="1264" spans="1:33" x14ac:dyDescent="0.3">
      <c r="A1264" t="s">
        <v>475</v>
      </c>
      <c r="B1264">
        <v>3</v>
      </c>
      <c r="C1264" t="s">
        <v>186</v>
      </c>
      <c r="D1264" t="s">
        <v>187</v>
      </c>
      <c r="E1264" t="s">
        <v>159</v>
      </c>
      <c r="F1264" t="s">
        <v>101</v>
      </c>
      <c r="G1264" t="s">
        <v>104</v>
      </c>
      <c r="H1264">
        <v>0</v>
      </c>
      <c r="I1264">
        <v>0</v>
      </c>
      <c r="J1264">
        <v>0</v>
      </c>
      <c r="K1264" t="s">
        <v>104</v>
      </c>
      <c r="L1264">
        <v>0</v>
      </c>
      <c r="M1264">
        <v>4</v>
      </c>
      <c r="N1264">
        <v>1</v>
      </c>
      <c r="O1264">
        <v>28</v>
      </c>
      <c r="P1264">
        <v>1</v>
      </c>
      <c r="Q1264">
        <v>7</v>
      </c>
      <c r="R1264">
        <v>35</v>
      </c>
      <c r="S1264">
        <v>0</v>
      </c>
      <c r="T1264">
        <v>0</v>
      </c>
      <c r="U1264" s="8">
        <v>35</v>
      </c>
      <c r="V1264" s="8">
        <f t="shared" si="39"/>
        <v>4</v>
      </c>
      <c r="W1264" t="str">
        <f>_xlfn.XLOOKUP(A1264, Matches!A:A, Matches!L:L, "NA", 0)</f>
        <v>DCW</v>
      </c>
      <c r="X1264" t="str">
        <f>_xlfn.XLOOKUP(A1264, Matches!A:A, Matches!J:J, "NA", 0)</f>
        <v>DCW</v>
      </c>
      <c r="Y1264" t="str">
        <f>_xlfn.XLOOKUP(A1264, Matches!A:A, Matches!F:F, "NA", 0)</f>
        <v>M. Chinnaswamy Stadium</v>
      </c>
      <c r="Z1264" cm="1">
        <f t="array" ref="Z1264">INDEX(Innings!F:F,MATCH(1,(TRIM(Innings!A:A)=TRIM(A1264))*(TRIM(Innings!D:D)=TRIM(E1264)),0))</f>
        <v>147</v>
      </c>
      <c r="AA1264" cm="1">
        <f t="array" ref="AA1264">INDEX(Innings!I:I,MATCH(1,(TRIM(Innings!A:A)=TRIM(A1264))*(TRIM(Innings!D:D)=TRIM(E1264)),0))</f>
        <v>7.35</v>
      </c>
      <c r="AB1264" cm="1">
        <f t="array" ref="AB1264">INDEX(Innings!J:J,MATCH(1,(TRIM(Innings!A:A)=TRIM(A1264))*(TRIM(Innings!D:D)=TRIM(E1264)),0))</f>
        <v>45</v>
      </c>
      <c r="AC1264" cm="1">
        <f t="array" ref="AC1264">INDEX(Innings!N:N,MATCH(1,(TRIM(Innings!A:A)=TRIM(A1264))*(TRIM(Innings!D:D)=TRIM(E1264)),0))</f>
        <v>28</v>
      </c>
      <c r="AD1264" cm="1">
        <f t="array" ref="AD1264">INDEX(Innings!S:S,MATCH(1,(TRIM(Innings!A:A)=TRIM(A1264))*(TRIM(Innings!D:D)=TRIM(E1264)),0))</f>
        <v>54</v>
      </c>
      <c r="AE1264" t="str" cm="1">
        <f t="array" ref="AE1264">INDEX(Innings!W:W,MATCH(1,(TRIM(Innings!A:A)=TRIM(A1264))*(TRIM(Innings!D:D)=TRIM(E1264)),0))</f>
        <v>NA</v>
      </c>
      <c r="AF1264">
        <f>IF(UPPER(TRIM(E1264))=UPPER(TRIM(W1264)),1,0)</f>
        <v>0</v>
      </c>
      <c r="AG1264">
        <f t="shared" si="38"/>
        <v>18.7</v>
      </c>
    </row>
    <row r="1265" spans="1:33" x14ac:dyDescent="0.3">
      <c r="A1265" t="s">
        <v>475</v>
      </c>
      <c r="B1265">
        <v>3</v>
      </c>
      <c r="C1265" t="s">
        <v>429</v>
      </c>
      <c r="D1265" t="s">
        <v>430</v>
      </c>
      <c r="E1265" t="s">
        <v>159</v>
      </c>
      <c r="F1265" t="s">
        <v>101</v>
      </c>
      <c r="G1265" t="s">
        <v>104</v>
      </c>
      <c r="H1265">
        <v>0</v>
      </c>
      <c r="I1265">
        <v>0</v>
      </c>
      <c r="J1265">
        <v>0</v>
      </c>
      <c r="K1265" t="s">
        <v>104</v>
      </c>
      <c r="L1265">
        <v>0</v>
      </c>
      <c r="M1265">
        <v>1</v>
      </c>
      <c r="N1265">
        <v>0</v>
      </c>
      <c r="O1265">
        <v>15</v>
      </c>
      <c r="P1265">
        <v>0</v>
      </c>
      <c r="Q1265">
        <v>15</v>
      </c>
      <c r="R1265">
        <v>0</v>
      </c>
      <c r="S1265">
        <v>0</v>
      </c>
      <c r="T1265">
        <v>0</v>
      </c>
      <c r="U1265" s="8">
        <v>0</v>
      </c>
      <c r="V1265" s="8">
        <f t="shared" si="39"/>
        <v>0</v>
      </c>
      <c r="W1265" t="str">
        <f>_xlfn.XLOOKUP(A1265, Matches!A:A, Matches!L:L, "NA", 0)</f>
        <v>DCW</v>
      </c>
      <c r="X1265" t="str">
        <f>_xlfn.XLOOKUP(A1265, Matches!A:A, Matches!J:J, "NA", 0)</f>
        <v>DCW</v>
      </c>
      <c r="Y1265" t="str">
        <f>_xlfn.XLOOKUP(A1265, Matches!A:A, Matches!F:F, "NA", 0)</f>
        <v>M. Chinnaswamy Stadium</v>
      </c>
      <c r="Z1265" cm="1">
        <f t="array" ref="Z1265">INDEX(Innings!F:F,MATCH(1,(TRIM(Innings!A:A)=TRIM(A1265))*(TRIM(Innings!D:D)=TRIM(E1265)),0))</f>
        <v>147</v>
      </c>
      <c r="AA1265" cm="1">
        <f t="array" ref="AA1265">INDEX(Innings!I:I,MATCH(1,(TRIM(Innings!A:A)=TRIM(A1265))*(TRIM(Innings!D:D)=TRIM(E1265)),0))</f>
        <v>7.35</v>
      </c>
      <c r="AB1265" cm="1">
        <f t="array" ref="AB1265">INDEX(Innings!J:J,MATCH(1,(TRIM(Innings!A:A)=TRIM(A1265))*(TRIM(Innings!D:D)=TRIM(E1265)),0))</f>
        <v>45</v>
      </c>
      <c r="AC1265" cm="1">
        <f t="array" ref="AC1265">INDEX(Innings!N:N,MATCH(1,(TRIM(Innings!A:A)=TRIM(A1265))*(TRIM(Innings!D:D)=TRIM(E1265)),0))</f>
        <v>28</v>
      </c>
      <c r="AD1265" cm="1">
        <f t="array" ref="AD1265">INDEX(Innings!S:S,MATCH(1,(TRIM(Innings!A:A)=TRIM(A1265))*(TRIM(Innings!D:D)=TRIM(E1265)),0))</f>
        <v>54</v>
      </c>
      <c r="AE1265" t="str" cm="1">
        <f t="array" ref="AE1265">INDEX(Innings!W:W,MATCH(1,(TRIM(Innings!A:A)=TRIM(A1265))*(TRIM(Innings!D:D)=TRIM(E1265)),0))</f>
        <v>NA</v>
      </c>
      <c r="AF1265">
        <f>IF(UPPER(TRIM(E1265))=UPPER(TRIM(W1265)),1,0)</f>
        <v>0</v>
      </c>
      <c r="AG1265">
        <f t="shared" si="38"/>
        <v>0</v>
      </c>
    </row>
    <row r="1266" spans="1:33" x14ac:dyDescent="0.3">
      <c r="A1266" t="s">
        <v>475</v>
      </c>
      <c r="B1266">
        <v>3</v>
      </c>
      <c r="C1266" t="s">
        <v>190</v>
      </c>
      <c r="D1266" t="s">
        <v>191</v>
      </c>
      <c r="E1266" t="s">
        <v>158</v>
      </c>
      <c r="F1266" t="s">
        <v>109</v>
      </c>
      <c r="G1266" t="s">
        <v>86</v>
      </c>
      <c r="H1266">
        <v>2</v>
      </c>
      <c r="I1266">
        <v>12</v>
      </c>
      <c r="J1266">
        <v>16.670000000000002</v>
      </c>
      <c r="K1266" t="s">
        <v>246</v>
      </c>
      <c r="L1266">
        <v>2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 s="8">
        <v>2</v>
      </c>
      <c r="V1266" s="8">
        <f t="shared" si="39"/>
        <v>0</v>
      </c>
      <c r="W1266" t="str">
        <f>_xlfn.XLOOKUP(A1266, Matches!A:A, Matches!L:L, "NA", 0)</f>
        <v>DCW</v>
      </c>
      <c r="X1266" t="str">
        <f>_xlfn.XLOOKUP(A1266, Matches!A:A, Matches!J:J, "NA", 0)</f>
        <v>DCW</v>
      </c>
      <c r="Y1266" t="str">
        <f>_xlfn.XLOOKUP(A1266, Matches!A:A, Matches!F:F, "NA", 0)</f>
        <v>M. Chinnaswamy Stadium</v>
      </c>
      <c r="Z1266" cm="1">
        <f t="array" ref="Z1266">INDEX(Innings!F:F,MATCH(1,(TRIM(Innings!A:A)=TRIM(A1266))*(TRIM(Innings!D:D)=TRIM(E1266)),0))</f>
        <v>151</v>
      </c>
      <c r="AA1266" cm="1">
        <f t="array" ref="AA1266">INDEX(Innings!I:I,MATCH(1,(TRIM(Innings!A:A)=TRIM(A1266))*(TRIM(Innings!D:D)=TRIM(E1266)),0))</f>
        <v>9.74</v>
      </c>
      <c r="AB1266" cm="1">
        <f t="array" ref="AB1266">INDEX(Innings!J:J,MATCH(1,(TRIM(Innings!A:A)=TRIM(A1266))*(TRIM(Innings!D:D)=TRIM(E1266)),0))</f>
        <v>41</v>
      </c>
      <c r="AC1266" cm="1">
        <f t="array" ref="AC1266">INDEX(Innings!N:N,MATCH(1,(TRIM(Innings!A:A)=TRIM(A1266))*(TRIM(Innings!D:D)=TRIM(E1266)),0))</f>
        <v>0</v>
      </c>
      <c r="AD1266" cm="1">
        <f t="array" ref="AD1266">INDEX(Innings!S:S,MATCH(1,(TRIM(Innings!A:A)=TRIM(A1266))*(TRIM(Innings!D:D)=TRIM(E1266)),0))</f>
        <v>32</v>
      </c>
      <c r="AE1266" t="str" cm="1">
        <f t="array" ref="AE1266">INDEX(Innings!W:W,MATCH(1,(TRIM(Innings!A:A)=TRIM(A1266))*(TRIM(Innings!D:D)=TRIM(E1266)),0))</f>
        <v>Successful</v>
      </c>
      <c r="AF1266">
        <f>IF(UPPER(TRIM(E1266))=UPPER(TRIM(W1266)),1,0)</f>
        <v>1</v>
      </c>
      <c r="AG1266">
        <f t="shared" si="38"/>
        <v>21</v>
      </c>
    </row>
    <row r="1267" spans="1:33" x14ac:dyDescent="0.3">
      <c r="A1267" t="s">
        <v>475</v>
      </c>
      <c r="B1267">
        <v>3</v>
      </c>
      <c r="C1267" t="s">
        <v>188</v>
      </c>
      <c r="D1267" t="s">
        <v>189</v>
      </c>
      <c r="E1267" t="s">
        <v>158</v>
      </c>
      <c r="F1267" t="s">
        <v>109</v>
      </c>
      <c r="G1267" t="s">
        <v>86</v>
      </c>
      <c r="H1267">
        <v>80</v>
      </c>
      <c r="I1267">
        <v>43</v>
      </c>
      <c r="J1267">
        <v>186.05</v>
      </c>
      <c r="K1267" t="s">
        <v>96</v>
      </c>
      <c r="L1267">
        <v>100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 s="8">
        <v>100</v>
      </c>
      <c r="V1267" s="8">
        <f t="shared" si="39"/>
        <v>10</v>
      </c>
      <c r="W1267" t="str">
        <f>_xlfn.XLOOKUP(A1267, Matches!A:A, Matches!L:L, "NA", 0)</f>
        <v>DCW</v>
      </c>
      <c r="X1267" t="str">
        <f>_xlfn.XLOOKUP(A1267, Matches!A:A, Matches!J:J, "NA", 0)</f>
        <v>DCW</v>
      </c>
      <c r="Y1267" t="str">
        <f>_xlfn.XLOOKUP(A1267, Matches!A:A, Matches!F:F, "NA", 0)</f>
        <v>M. Chinnaswamy Stadium</v>
      </c>
      <c r="Z1267" cm="1">
        <f t="array" ref="Z1267">INDEX(Innings!F:F,MATCH(1,(TRIM(Innings!A:A)=TRIM(A1267))*(TRIM(Innings!D:D)=TRIM(E1267)),0))</f>
        <v>151</v>
      </c>
      <c r="AA1267" cm="1">
        <f t="array" ref="AA1267">INDEX(Innings!I:I,MATCH(1,(TRIM(Innings!A:A)=TRIM(A1267))*(TRIM(Innings!D:D)=TRIM(E1267)),0))</f>
        <v>9.74</v>
      </c>
      <c r="AB1267" cm="1">
        <f t="array" ref="AB1267">INDEX(Innings!J:J,MATCH(1,(TRIM(Innings!A:A)=TRIM(A1267))*(TRIM(Innings!D:D)=TRIM(E1267)),0))</f>
        <v>41</v>
      </c>
      <c r="AC1267" cm="1">
        <f t="array" ref="AC1267">INDEX(Innings!N:N,MATCH(1,(TRIM(Innings!A:A)=TRIM(A1267))*(TRIM(Innings!D:D)=TRIM(E1267)),0))</f>
        <v>0</v>
      </c>
      <c r="AD1267" cm="1">
        <f t="array" ref="AD1267">INDEX(Innings!S:S,MATCH(1,(TRIM(Innings!A:A)=TRIM(A1267))*(TRIM(Innings!D:D)=TRIM(E1267)),0))</f>
        <v>32</v>
      </c>
      <c r="AE1267" t="str" cm="1">
        <f t="array" ref="AE1267">INDEX(Innings!W:W,MATCH(1,(TRIM(Innings!A:A)=TRIM(A1267))*(TRIM(Innings!D:D)=TRIM(E1267)),0))</f>
        <v>Successful</v>
      </c>
      <c r="AF1267">
        <f>IF(UPPER(TRIM(E1267))=UPPER(TRIM(W1267)),1,0)</f>
        <v>1</v>
      </c>
      <c r="AG1267">
        <f t="shared" si="38"/>
        <v>73</v>
      </c>
    </row>
    <row r="1268" spans="1:33" x14ac:dyDescent="0.3">
      <c r="A1268" t="s">
        <v>475</v>
      </c>
      <c r="B1268">
        <v>3</v>
      </c>
      <c r="C1268" t="s">
        <v>198</v>
      </c>
      <c r="D1268" t="s">
        <v>199</v>
      </c>
      <c r="E1268" t="s">
        <v>158</v>
      </c>
      <c r="F1268" t="s">
        <v>101</v>
      </c>
      <c r="G1268" t="s">
        <v>92</v>
      </c>
      <c r="H1268">
        <v>61</v>
      </c>
      <c r="I1268">
        <v>38</v>
      </c>
      <c r="J1268">
        <v>160.53</v>
      </c>
      <c r="K1268" t="s">
        <v>96</v>
      </c>
      <c r="L1268">
        <v>80</v>
      </c>
      <c r="M1268">
        <v>3</v>
      </c>
      <c r="N1268">
        <v>0</v>
      </c>
      <c r="O1268">
        <v>33</v>
      </c>
      <c r="P1268">
        <v>0</v>
      </c>
      <c r="Q1268">
        <v>11</v>
      </c>
      <c r="R1268">
        <v>0</v>
      </c>
      <c r="S1268">
        <v>0</v>
      </c>
      <c r="T1268">
        <v>0</v>
      </c>
      <c r="U1268" s="8">
        <v>80</v>
      </c>
      <c r="V1268" s="8">
        <f t="shared" si="39"/>
        <v>8</v>
      </c>
      <c r="W1268" t="str">
        <f>_xlfn.XLOOKUP(A1268, Matches!A:A, Matches!L:L, "NA", 0)</f>
        <v>DCW</v>
      </c>
      <c r="X1268" t="str">
        <f>_xlfn.XLOOKUP(A1268, Matches!A:A, Matches!J:J, "NA", 0)</f>
        <v>DCW</v>
      </c>
      <c r="Y1268" t="str">
        <f>_xlfn.XLOOKUP(A1268, Matches!A:A, Matches!F:F, "NA", 0)</f>
        <v>M. Chinnaswamy Stadium</v>
      </c>
      <c r="Z1268" cm="1">
        <f t="array" ref="Z1268">INDEX(Innings!F:F,MATCH(1,(TRIM(Innings!A:A)=TRIM(A1268))*(TRIM(Innings!D:D)=TRIM(E1268)),0))</f>
        <v>151</v>
      </c>
      <c r="AA1268" cm="1">
        <f t="array" ref="AA1268">INDEX(Innings!I:I,MATCH(1,(TRIM(Innings!A:A)=TRIM(A1268))*(TRIM(Innings!D:D)=TRIM(E1268)),0))</f>
        <v>9.74</v>
      </c>
      <c r="AB1268" cm="1">
        <f t="array" ref="AB1268">INDEX(Innings!J:J,MATCH(1,(TRIM(Innings!A:A)=TRIM(A1268))*(TRIM(Innings!D:D)=TRIM(E1268)),0))</f>
        <v>41</v>
      </c>
      <c r="AC1268" cm="1">
        <f t="array" ref="AC1268">INDEX(Innings!N:N,MATCH(1,(TRIM(Innings!A:A)=TRIM(A1268))*(TRIM(Innings!D:D)=TRIM(E1268)),0))</f>
        <v>0</v>
      </c>
      <c r="AD1268" cm="1">
        <f t="array" ref="AD1268">INDEX(Innings!S:S,MATCH(1,(TRIM(Innings!A:A)=TRIM(A1268))*(TRIM(Innings!D:D)=TRIM(E1268)),0))</f>
        <v>32</v>
      </c>
      <c r="AE1268" t="str" cm="1">
        <f t="array" ref="AE1268">INDEX(Innings!W:W,MATCH(1,(TRIM(Innings!A:A)=TRIM(A1268))*(TRIM(Innings!D:D)=TRIM(E1268)),0))</f>
        <v>Successful</v>
      </c>
      <c r="AF1268">
        <f>IF(UPPER(TRIM(E1268))=UPPER(TRIM(W1268)),1,0)</f>
        <v>1</v>
      </c>
      <c r="AG1268">
        <f t="shared" si="38"/>
        <v>62.4</v>
      </c>
    </row>
    <row r="1269" spans="1:33" x14ac:dyDescent="0.3">
      <c r="A1269" t="s">
        <v>475</v>
      </c>
      <c r="B1269">
        <v>3</v>
      </c>
      <c r="C1269" t="s">
        <v>194</v>
      </c>
      <c r="D1269" t="s">
        <v>195</v>
      </c>
      <c r="E1269" t="s">
        <v>158</v>
      </c>
      <c r="F1269" t="s">
        <v>109</v>
      </c>
      <c r="G1269" t="s">
        <v>104</v>
      </c>
      <c r="H1269">
        <v>0</v>
      </c>
      <c r="I1269">
        <v>0</v>
      </c>
      <c r="J1269">
        <v>0</v>
      </c>
      <c r="K1269" t="s">
        <v>104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 s="8">
        <v>0</v>
      </c>
      <c r="V1269" s="8">
        <f t="shared" si="39"/>
        <v>0</v>
      </c>
      <c r="W1269" t="str">
        <f>_xlfn.XLOOKUP(A1269, Matches!A:A, Matches!L:L, "NA", 0)</f>
        <v>DCW</v>
      </c>
      <c r="X1269" t="str">
        <f>_xlfn.XLOOKUP(A1269, Matches!A:A, Matches!J:J, "NA", 0)</f>
        <v>DCW</v>
      </c>
      <c r="Y1269" t="str">
        <f>_xlfn.XLOOKUP(A1269, Matches!A:A, Matches!F:F, "NA", 0)</f>
        <v>M. Chinnaswamy Stadium</v>
      </c>
      <c r="Z1269" cm="1">
        <f t="array" ref="Z1269">INDEX(Innings!F:F,MATCH(1,(TRIM(Innings!A:A)=TRIM(A1269))*(TRIM(Innings!D:D)=TRIM(E1269)),0))</f>
        <v>151</v>
      </c>
      <c r="AA1269" cm="1">
        <f t="array" ref="AA1269">INDEX(Innings!I:I,MATCH(1,(TRIM(Innings!A:A)=TRIM(A1269))*(TRIM(Innings!D:D)=TRIM(E1269)),0))</f>
        <v>9.74</v>
      </c>
      <c r="AB1269" cm="1">
        <f t="array" ref="AB1269">INDEX(Innings!J:J,MATCH(1,(TRIM(Innings!A:A)=TRIM(A1269))*(TRIM(Innings!D:D)=TRIM(E1269)),0))</f>
        <v>41</v>
      </c>
      <c r="AC1269" cm="1">
        <f t="array" ref="AC1269">INDEX(Innings!N:N,MATCH(1,(TRIM(Innings!A:A)=TRIM(A1269))*(TRIM(Innings!D:D)=TRIM(E1269)),0))</f>
        <v>0</v>
      </c>
      <c r="AD1269" cm="1">
        <f t="array" ref="AD1269">INDEX(Innings!S:S,MATCH(1,(TRIM(Innings!A:A)=TRIM(A1269))*(TRIM(Innings!D:D)=TRIM(E1269)),0))</f>
        <v>32</v>
      </c>
      <c r="AE1269" t="str" cm="1">
        <f t="array" ref="AE1269">INDEX(Innings!W:W,MATCH(1,(TRIM(Innings!A:A)=TRIM(A1269))*(TRIM(Innings!D:D)=TRIM(E1269)),0))</f>
        <v>Successful</v>
      </c>
      <c r="AF1269">
        <f>IF(UPPER(TRIM(E1269))=UPPER(TRIM(W1269)),1,0)</f>
        <v>1</v>
      </c>
      <c r="AG1269">
        <f t="shared" si="38"/>
        <v>20</v>
      </c>
    </row>
    <row r="1270" spans="1:33" x14ac:dyDescent="0.3">
      <c r="A1270" t="s">
        <v>475</v>
      </c>
      <c r="B1270">
        <v>3</v>
      </c>
      <c r="C1270" t="s">
        <v>94</v>
      </c>
      <c r="D1270" t="s">
        <v>120</v>
      </c>
      <c r="E1270" t="s">
        <v>158</v>
      </c>
      <c r="F1270" t="s">
        <v>169</v>
      </c>
      <c r="G1270" t="s">
        <v>104</v>
      </c>
      <c r="H1270">
        <v>0</v>
      </c>
      <c r="I1270">
        <v>0</v>
      </c>
      <c r="J1270">
        <v>0</v>
      </c>
      <c r="K1270" t="s">
        <v>104</v>
      </c>
      <c r="L1270">
        <v>0</v>
      </c>
      <c r="M1270">
        <v>4</v>
      </c>
      <c r="N1270">
        <v>0</v>
      </c>
      <c r="O1270">
        <v>27</v>
      </c>
      <c r="P1270">
        <v>0</v>
      </c>
      <c r="Q1270">
        <v>6.8</v>
      </c>
      <c r="R1270">
        <v>10</v>
      </c>
      <c r="S1270">
        <v>0</v>
      </c>
      <c r="T1270">
        <v>0</v>
      </c>
      <c r="U1270" s="8">
        <v>10</v>
      </c>
      <c r="V1270" s="8">
        <f t="shared" si="39"/>
        <v>1</v>
      </c>
      <c r="W1270" t="str">
        <f>_xlfn.XLOOKUP(A1270, Matches!A:A, Matches!L:L, "NA", 0)</f>
        <v>DCW</v>
      </c>
      <c r="X1270" t="str">
        <f>_xlfn.XLOOKUP(A1270, Matches!A:A, Matches!J:J, "NA", 0)</f>
        <v>DCW</v>
      </c>
      <c r="Y1270" t="str">
        <f>_xlfn.XLOOKUP(A1270, Matches!A:A, Matches!F:F, "NA", 0)</f>
        <v>M. Chinnaswamy Stadium</v>
      </c>
      <c r="Z1270" cm="1">
        <f t="array" ref="Z1270">INDEX(Innings!F:F,MATCH(1,(TRIM(Innings!A:A)=TRIM(A1270))*(TRIM(Innings!D:D)=TRIM(E1270)),0))</f>
        <v>151</v>
      </c>
      <c r="AA1270" cm="1">
        <f t="array" ref="AA1270">INDEX(Innings!I:I,MATCH(1,(TRIM(Innings!A:A)=TRIM(A1270))*(TRIM(Innings!D:D)=TRIM(E1270)),0))</f>
        <v>9.74</v>
      </c>
      <c r="AB1270" cm="1">
        <f t="array" ref="AB1270">INDEX(Innings!J:J,MATCH(1,(TRIM(Innings!A:A)=TRIM(A1270))*(TRIM(Innings!D:D)=TRIM(E1270)),0))</f>
        <v>41</v>
      </c>
      <c r="AC1270" cm="1">
        <f t="array" ref="AC1270">INDEX(Innings!N:N,MATCH(1,(TRIM(Innings!A:A)=TRIM(A1270))*(TRIM(Innings!D:D)=TRIM(E1270)),0))</f>
        <v>0</v>
      </c>
      <c r="AD1270" cm="1">
        <f t="array" ref="AD1270">INDEX(Innings!S:S,MATCH(1,(TRIM(Innings!A:A)=TRIM(A1270))*(TRIM(Innings!D:D)=TRIM(E1270)),0))</f>
        <v>32</v>
      </c>
      <c r="AE1270" t="str" cm="1">
        <f t="array" ref="AE1270">INDEX(Innings!W:W,MATCH(1,(TRIM(Innings!A:A)=TRIM(A1270))*(TRIM(Innings!D:D)=TRIM(E1270)),0))</f>
        <v>Successful</v>
      </c>
      <c r="AF1270">
        <f>IF(UPPER(TRIM(E1270))=UPPER(TRIM(W1270)),1,0)</f>
        <v>1</v>
      </c>
      <c r="AG1270">
        <f t="shared" si="38"/>
        <v>25.3</v>
      </c>
    </row>
    <row r="1271" spans="1:33" x14ac:dyDescent="0.3">
      <c r="A1271" t="s">
        <v>475</v>
      </c>
      <c r="B1271">
        <v>3</v>
      </c>
      <c r="C1271" t="s">
        <v>192</v>
      </c>
      <c r="D1271" t="s">
        <v>193</v>
      </c>
      <c r="E1271" t="s">
        <v>158</v>
      </c>
      <c r="F1271" t="s">
        <v>169</v>
      </c>
      <c r="G1271" t="s">
        <v>104</v>
      </c>
      <c r="H1271">
        <v>0</v>
      </c>
      <c r="I1271">
        <v>0</v>
      </c>
      <c r="J1271">
        <v>0</v>
      </c>
      <c r="K1271" t="s">
        <v>104</v>
      </c>
      <c r="L1271">
        <v>0</v>
      </c>
      <c r="M1271">
        <v>4</v>
      </c>
      <c r="N1271">
        <v>0</v>
      </c>
      <c r="O1271">
        <v>18</v>
      </c>
      <c r="P1271">
        <v>1</v>
      </c>
      <c r="Q1271">
        <v>4.5</v>
      </c>
      <c r="R1271">
        <v>25</v>
      </c>
      <c r="S1271">
        <v>0</v>
      </c>
      <c r="T1271">
        <v>0</v>
      </c>
      <c r="U1271" s="8">
        <v>25</v>
      </c>
      <c r="V1271" s="8">
        <f t="shared" si="39"/>
        <v>3</v>
      </c>
      <c r="W1271" t="str">
        <f>_xlfn.XLOOKUP(A1271, Matches!A:A, Matches!L:L, "NA", 0)</f>
        <v>DCW</v>
      </c>
      <c r="X1271" t="str">
        <f>_xlfn.XLOOKUP(A1271, Matches!A:A, Matches!J:J, "NA", 0)</f>
        <v>DCW</v>
      </c>
      <c r="Y1271" t="str">
        <f>_xlfn.XLOOKUP(A1271, Matches!A:A, Matches!F:F, "NA", 0)</f>
        <v>M. Chinnaswamy Stadium</v>
      </c>
      <c r="Z1271" cm="1">
        <f t="array" ref="Z1271">INDEX(Innings!F:F,MATCH(1,(TRIM(Innings!A:A)=TRIM(A1271))*(TRIM(Innings!D:D)=TRIM(E1271)),0))</f>
        <v>151</v>
      </c>
      <c r="AA1271" cm="1">
        <f t="array" ref="AA1271">INDEX(Innings!I:I,MATCH(1,(TRIM(Innings!A:A)=TRIM(A1271))*(TRIM(Innings!D:D)=TRIM(E1271)),0))</f>
        <v>9.74</v>
      </c>
      <c r="AB1271" cm="1">
        <f t="array" ref="AB1271">INDEX(Innings!J:J,MATCH(1,(TRIM(Innings!A:A)=TRIM(A1271))*(TRIM(Innings!D:D)=TRIM(E1271)),0))</f>
        <v>41</v>
      </c>
      <c r="AC1271" cm="1">
        <f t="array" ref="AC1271">INDEX(Innings!N:N,MATCH(1,(TRIM(Innings!A:A)=TRIM(A1271))*(TRIM(Innings!D:D)=TRIM(E1271)),0))</f>
        <v>0</v>
      </c>
      <c r="AD1271" cm="1">
        <f t="array" ref="AD1271">INDEX(Innings!S:S,MATCH(1,(TRIM(Innings!A:A)=TRIM(A1271))*(TRIM(Innings!D:D)=TRIM(E1271)),0))</f>
        <v>32</v>
      </c>
      <c r="AE1271" t="str" cm="1">
        <f t="array" ref="AE1271">INDEX(Innings!W:W,MATCH(1,(TRIM(Innings!A:A)=TRIM(A1271))*(TRIM(Innings!D:D)=TRIM(E1271)),0))</f>
        <v>Successful</v>
      </c>
      <c r="AF1271">
        <f>IF(UPPER(TRIM(E1271))=UPPER(TRIM(W1271)),1,0)</f>
        <v>1</v>
      </c>
      <c r="AG1271">
        <f t="shared" si="38"/>
        <v>33.4</v>
      </c>
    </row>
    <row r="1272" spans="1:33" x14ac:dyDescent="0.3">
      <c r="A1272" t="s">
        <v>475</v>
      </c>
      <c r="B1272">
        <v>3</v>
      </c>
      <c r="C1272" t="s">
        <v>496</v>
      </c>
      <c r="D1272" t="s">
        <v>518</v>
      </c>
      <c r="E1272" t="s">
        <v>158</v>
      </c>
      <c r="F1272" t="s">
        <v>85</v>
      </c>
      <c r="G1272" t="s">
        <v>104</v>
      </c>
      <c r="H1272">
        <v>0</v>
      </c>
      <c r="I1272">
        <v>0</v>
      </c>
      <c r="J1272">
        <v>0</v>
      </c>
      <c r="K1272" t="s">
        <v>104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 s="8">
        <v>0</v>
      </c>
      <c r="V1272" s="8">
        <f t="shared" si="39"/>
        <v>0</v>
      </c>
      <c r="W1272" t="str">
        <f>_xlfn.XLOOKUP(A1272, Matches!A:A, Matches!L:L, "NA", 0)</f>
        <v>DCW</v>
      </c>
      <c r="X1272" t="str">
        <f>_xlfn.XLOOKUP(A1272, Matches!A:A, Matches!J:J, "NA", 0)</f>
        <v>DCW</v>
      </c>
      <c r="Y1272" t="str">
        <f>_xlfn.XLOOKUP(A1272, Matches!A:A, Matches!F:F, "NA", 0)</f>
        <v>M. Chinnaswamy Stadium</v>
      </c>
      <c r="Z1272" cm="1">
        <f t="array" ref="Z1272">INDEX(Innings!F:F,MATCH(1,(TRIM(Innings!A:A)=TRIM(A1272))*(TRIM(Innings!D:D)=TRIM(E1272)),0))</f>
        <v>151</v>
      </c>
      <c r="AA1272" cm="1">
        <f t="array" ref="AA1272">INDEX(Innings!I:I,MATCH(1,(TRIM(Innings!A:A)=TRIM(A1272))*(TRIM(Innings!D:D)=TRIM(E1272)),0))</f>
        <v>9.74</v>
      </c>
      <c r="AB1272" cm="1">
        <f t="array" ref="AB1272">INDEX(Innings!J:J,MATCH(1,(TRIM(Innings!A:A)=TRIM(A1272))*(TRIM(Innings!D:D)=TRIM(E1272)),0))</f>
        <v>41</v>
      </c>
      <c r="AC1272" cm="1">
        <f t="array" ref="AC1272">INDEX(Innings!N:N,MATCH(1,(TRIM(Innings!A:A)=TRIM(A1272))*(TRIM(Innings!D:D)=TRIM(E1272)),0))</f>
        <v>0</v>
      </c>
      <c r="AD1272" cm="1">
        <f t="array" ref="AD1272">INDEX(Innings!S:S,MATCH(1,(TRIM(Innings!A:A)=TRIM(A1272))*(TRIM(Innings!D:D)=TRIM(E1272)),0))</f>
        <v>32</v>
      </c>
      <c r="AE1272" t="str" cm="1">
        <f t="array" ref="AE1272">INDEX(Innings!W:W,MATCH(1,(TRIM(Innings!A:A)=TRIM(A1272))*(TRIM(Innings!D:D)=TRIM(E1272)),0))</f>
        <v>Successful</v>
      </c>
      <c r="AF1272">
        <f>IF(UPPER(TRIM(E1272))=UPPER(TRIM(W1272)),1,0)</f>
        <v>1</v>
      </c>
      <c r="AG1272">
        <f t="shared" si="38"/>
        <v>20</v>
      </c>
    </row>
    <row r="1273" spans="1:33" x14ac:dyDescent="0.3">
      <c r="A1273" t="s">
        <v>475</v>
      </c>
      <c r="B1273">
        <v>3</v>
      </c>
      <c r="C1273" t="s">
        <v>495</v>
      </c>
      <c r="D1273" t="s">
        <v>503</v>
      </c>
      <c r="E1273" t="s">
        <v>158</v>
      </c>
      <c r="F1273" t="s">
        <v>169</v>
      </c>
      <c r="G1273" t="s">
        <v>104</v>
      </c>
      <c r="H1273">
        <v>0</v>
      </c>
      <c r="I1273">
        <v>0</v>
      </c>
      <c r="J1273">
        <v>0</v>
      </c>
      <c r="K1273" t="s">
        <v>104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 s="8">
        <v>0</v>
      </c>
      <c r="V1273" s="8">
        <f t="shared" si="39"/>
        <v>0</v>
      </c>
      <c r="W1273" t="str">
        <f>_xlfn.XLOOKUP(A1273, Matches!A:A, Matches!L:L, "NA", 0)</f>
        <v>DCW</v>
      </c>
      <c r="X1273" t="str">
        <f>_xlfn.XLOOKUP(A1273, Matches!A:A, Matches!J:J, "NA", 0)</f>
        <v>DCW</v>
      </c>
      <c r="Y1273" t="str">
        <f>_xlfn.XLOOKUP(A1273, Matches!A:A, Matches!F:F, "NA", 0)</f>
        <v>M. Chinnaswamy Stadium</v>
      </c>
      <c r="Z1273" cm="1">
        <f t="array" ref="Z1273">INDEX(Innings!F:F,MATCH(1,(TRIM(Innings!A:A)=TRIM(A1273))*(TRIM(Innings!D:D)=TRIM(E1273)),0))</f>
        <v>151</v>
      </c>
      <c r="AA1273" cm="1">
        <f t="array" ref="AA1273">INDEX(Innings!I:I,MATCH(1,(TRIM(Innings!A:A)=TRIM(A1273))*(TRIM(Innings!D:D)=TRIM(E1273)),0))</f>
        <v>9.74</v>
      </c>
      <c r="AB1273" cm="1">
        <f t="array" ref="AB1273">INDEX(Innings!J:J,MATCH(1,(TRIM(Innings!A:A)=TRIM(A1273))*(TRIM(Innings!D:D)=TRIM(E1273)),0))</f>
        <v>41</v>
      </c>
      <c r="AC1273" cm="1">
        <f t="array" ref="AC1273">INDEX(Innings!N:N,MATCH(1,(TRIM(Innings!A:A)=TRIM(A1273))*(TRIM(Innings!D:D)=TRIM(E1273)),0))</f>
        <v>0</v>
      </c>
      <c r="AD1273" cm="1">
        <f t="array" ref="AD1273">INDEX(Innings!S:S,MATCH(1,(TRIM(Innings!A:A)=TRIM(A1273))*(TRIM(Innings!D:D)=TRIM(E1273)),0))</f>
        <v>32</v>
      </c>
      <c r="AE1273" t="str" cm="1">
        <f t="array" ref="AE1273">INDEX(Innings!W:W,MATCH(1,(TRIM(Innings!A:A)=TRIM(A1273))*(TRIM(Innings!D:D)=TRIM(E1273)),0))</f>
        <v>Successful</v>
      </c>
      <c r="AF1273">
        <f>IF(UPPER(TRIM(E1273))=UPPER(TRIM(W1273)),1,0)</f>
        <v>1</v>
      </c>
      <c r="AG1273">
        <f t="shared" si="38"/>
        <v>20</v>
      </c>
    </row>
    <row r="1274" spans="1:33" x14ac:dyDescent="0.3">
      <c r="A1274" t="s">
        <v>475</v>
      </c>
      <c r="B1274">
        <v>3</v>
      </c>
      <c r="C1274" t="s">
        <v>204</v>
      </c>
      <c r="D1274" t="s">
        <v>205</v>
      </c>
      <c r="E1274" t="s">
        <v>158</v>
      </c>
      <c r="F1274" t="s">
        <v>169</v>
      </c>
      <c r="G1274" t="s">
        <v>104</v>
      </c>
      <c r="H1274">
        <v>0</v>
      </c>
      <c r="I1274">
        <v>0</v>
      </c>
      <c r="J1274">
        <v>0</v>
      </c>
      <c r="K1274" t="s">
        <v>104</v>
      </c>
      <c r="L1274">
        <v>0</v>
      </c>
      <c r="M1274">
        <v>4</v>
      </c>
      <c r="N1274">
        <v>0</v>
      </c>
      <c r="O1274">
        <v>24</v>
      </c>
      <c r="P1274">
        <v>2</v>
      </c>
      <c r="Q1274">
        <v>6</v>
      </c>
      <c r="R1274">
        <v>50</v>
      </c>
      <c r="S1274">
        <v>0</v>
      </c>
      <c r="T1274">
        <v>0</v>
      </c>
      <c r="U1274" s="8">
        <v>50</v>
      </c>
      <c r="V1274" s="8">
        <f t="shared" si="39"/>
        <v>5</v>
      </c>
      <c r="W1274" t="str">
        <f>_xlfn.XLOOKUP(A1274, Matches!A:A, Matches!L:L, "NA", 0)</f>
        <v>DCW</v>
      </c>
      <c r="X1274" t="str">
        <f>_xlfn.XLOOKUP(A1274, Matches!A:A, Matches!J:J, "NA", 0)</f>
        <v>DCW</v>
      </c>
      <c r="Y1274" t="str">
        <f>_xlfn.XLOOKUP(A1274, Matches!A:A, Matches!F:F, "NA", 0)</f>
        <v>M. Chinnaswamy Stadium</v>
      </c>
      <c r="Z1274" cm="1">
        <f t="array" ref="Z1274">INDEX(Innings!F:F,MATCH(1,(TRIM(Innings!A:A)=TRIM(A1274))*(TRIM(Innings!D:D)=TRIM(E1274)),0))</f>
        <v>151</v>
      </c>
      <c r="AA1274" cm="1">
        <f t="array" ref="AA1274">INDEX(Innings!I:I,MATCH(1,(TRIM(Innings!A:A)=TRIM(A1274))*(TRIM(Innings!D:D)=TRIM(E1274)),0))</f>
        <v>9.74</v>
      </c>
      <c r="AB1274" cm="1">
        <f t="array" ref="AB1274">INDEX(Innings!J:J,MATCH(1,(TRIM(Innings!A:A)=TRIM(A1274))*(TRIM(Innings!D:D)=TRIM(E1274)),0))</f>
        <v>41</v>
      </c>
      <c r="AC1274" cm="1">
        <f t="array" ref="AC1274">INDEX(Innings!N:N,MATCH(1,(TRIM(Innings!A:A)=TRIM(A1274))*(TRIM(Innings!D:D)=TRIM(E1274)),0))</f>
        <v>0</v>
      </c>
      <c r="AD1274" cm="1">
        <f t="array" ref="AD1274">INDEX(Innings!S:S,MATCH(1,(TRIM(Innings!A:A)=TRIM(A1274))*(TRIM(Innings!D:D)=TRIM(E1274)),0))</f>
        <v>32</v>
      </c>
      <c r="AE1274" t="str" cm="1">
        <f t="array" ref="AE1274">INDEX(Innings!W:W,MATCH(1,(TRIM(Innings!A:A)=TRIM(A1274))*(TRIM(Innings!D:D)=TRIM(E1274)),0))</f>
        <v>Successful</v>
      </c>
      <c r="AF1274">
        <f>IF(UPPER(TRIM(E1274))=UPPER(TRIM(W1274)),1,0)</f>
        <v>1</v>
      </c>
      <c r="AG1274">
        <f t="shared" si="38"/>
        <v>46.5</v>
      </c>
    </row>
    <row r="1275" spans="1:33" x14ac:dyDescent="0.3">
      <c r="A1275" t="s">
        <v>475</v>
      </c>
      <c r="B1275">
        <v>3</v>
      </c>
      <c r="C1275" t="s">
        <v>274</v>
      </c>
      <c r="D1275" t="s">
        <v>284</v>
      </c>
      <c r="E1275" t="s">
        <v>158</v>
      </c>
      <c r="F1275" t="s">
        <v>169</v>
      </c>
      <c r="G1275" t="s">
        <v>104</v>
      </c>
      <c r="H1275">
        <v>0</v>
      </c>
      <c r="I1275">
        <v>0</v>
      </c>
      <c r="J1275">
        <v>0</v>
      </c>
      <c r="K1275" t="s">
        <v>104</v>
      </c>
      <c r="L1275">
        <v>0</v>
      </c>
      <c r="M1275">
        <v>1</v>
      </c>
      <c r="N1275">
        <v>0</v>
      </c>
      <c r="O1275">
        <v>14</v>
      </c>
      <c r="P1275">
        <v>0</v>
      </c>
      <c r="Q1275">
        <v>14</v>
      </c>
      <c r="R1275">
        <v>0</v>
      </c>
      <c r="S1275">
        <v>0</v>
      </c>
      <c r="T1275">
        <v>0</v>
      </c>
      <c r="U1275" s="8">
        <v>0</v>
      </c>
      <c r="V1275" s="8">
        <f t="shared" si="39"/>
        <v>0</v>
      </c>
      <c r="W1275" t="str">
        <f>_xlfn.XLOOKUP(A1275, Matches!A:A, Matches!L:L, "NA", 0)</f>
        <v>DCW</v>
      </c>
      <c r="X1275" t="str">
        <f>_xlfn.XLOOKUP(A1275, Matches!A:A, Matches!J:J, "NA", 0)</f>
        <v>DCW</v>
      </c>
      <c r="Y1275" t="str">
        <f>_xlfn.XLOOKUP(A1275, Matches!A:A, Matches!F:F, "NA", 0)</f>
        <v>M. Chinnaswamy Stadium</v>
      </c>
      <c r="Z1275" cm="1">
        <f t="array" ref="Z1275">INDEX(Innings!F:F,MATCH(1,(TRIM(Innings!A:A)=TRIM(A1275))*(TRIM(Innings!D:D)=TRIM(E1275)),0))</f>
        <v>151</v>
      </c>
      <c r="AA1275" cm="1">
        <f t="array" ref="AA1275">INDEX(Innings!I:I,MATCH(1,(TRIM(Innings!A:A)=TRIM(A1275))*(TRIM(Innings!D:D)=TRIM(E1275)),0))</f>
        <v>9.74</v>
      </c>
      <c r="AB1275" cm="1">
        <f t="array" ref="AB1275">INDEX(Innings!J:J,MATCH(1,(TRIM(Innings!A:A)=TRIM(A1275))*(TRIM(Innings!D:D)=TRIM(E1275)),0))</f>
        <v>41</v>
      </c>
      <c r="AC1275" cm="1">
        <f t="array" ref="AC1275">INDEX(Innings!N:N,MATCH(1,(TRIM(Innings!A:A)=TRIM(A1275))*(TRIM(Innings!D:D)=TRIM(E1275)),0))</f>
        <v>0</v>
      </c>
      <c r="AD1275" cm="1">
        <f t="array" ref="AD1275">INDEX(Innings!S:S,MATCH(1,(TRIM(Innings!A:A)=TRIM(A1275))*(TRIM(Innings!D:D)=TRIM(E1275)),0))</f>
        <v>32</v>
      </c>
      <c r="AE1275" t="str" cm="1">
        <f t="array" ref="AE1275">INDEX(Innings!W:W,MATCH(1,(TRIM(Innings!A:A)=TRIM(A1275))*(TRIM(Innings!D:D)=TRIM(E1275)),0))</f>
        <v>Successful</v>
      </c>
      <c r="AF1275">
        <f>IF(UPPER(TRIM(E1275))=UPPER(TRIM(W1275)),1,0)</f>
        <v>1</v>
      </c>
      <c r="AG1275">
        <f t="shared" si="38"/>
        <v>20</v>
      </c>
    </row>
    <row r="1276" spans="1:33" x14ac:dyDescent="0.3">
      <c r="A1276" t="s">
        <v>475</v>
      </c>
      <c r="B1276">
        <v>3</v>
      </c>
      <c r="C1276" t="s">
        <v>513</v>
      </c>
      <c r="D1276" t="s">
        <v>563</v>
      </c>
      <c r="E1276" t="s">
        <v>158</v>
      </c>
      <c r="F1276" t="s">
        <v>101</v>
      </c>
      <c r="G1276" t="s">
        <v>104</v>
      </c>
      <c r="H1276">
        <v>0</v>
      </c>
      <c r="I1276">
        <v>0</v>
      </c>
      <c r="J1276">
        <v>0</v>
      </c>
      <c r="K1276" t="s">
        <v>104</v>
      </c>
      <c r="L1276">
        <v>0</v>
      </c>
      <c r="M1276">
        <v>4</v>
      </c>
      <c r="N1276">
        <v>0</v>
      </c>
      <c r="O1276">
        <v>28</v>
      </c>
      <c r="P1276">
        <v>2</v>
      </c>
      <c r="Q1276">
        <v>7</v>
      </c>
      <c r="R1276">
        <v>50</v>
      </c>
      <c r="S1276">
        <v>0</v>
      </c>
      <c r="T1276">
        <v>0</v>
      </c>
      <c r="U1276" s="8">
        <v>50</v>
      </c>
      <c r="V1276" s="8">
        <f t="shared" si="39"/>
        <v>5</v>
      </c>
      <c r="W1276" t="str">
        <f>_xlfn.XLOOKUP(A1276, Matches!A:A, Matches!L:L, "NA", 0)</f>
        <v>DCW</v>
      </c>
      <c r="X1276" t="str">
        <f>_xlfn.XLOOKUP(A1276, Matches!A:A, Matches!J:J, "NA", 0)</f>
        <v>DCW</v>
      </c>
      <c r="Y1276" t="str">
        <f>_xlfn.XLOOKUP(A1276, Matches!A:A, Matches!F:F, "NA", 0)</f>
        <v>M. Chinnaswamy Stadium</v>
      </c>
      <c r="Z1276" cm="1">
        <f t="array" ref="Z1276">INDEX(Innings!F:F,MATCH(1,(TRIM(Innings!A:A)=TRIM(A1276))*(TRIM(Innings!D:D)=TRIM(E1276)),0))</f>
        <v>151</v>
      </c>
      <c r="AA1276" cm="1">
        <f t="array" ref="AA1276">INDEX(Innings!I:I,MATCH(1,(TRIM(Innings!A:A)=TRIM(A1276))*(TRIM(Innings!D:D)=TRIM(E1276)),0))</f>
        <v>9.74</v>
      </c>
      <c r="AB1276" cm="1">
        <f t="array" ref="AB1276">INDEX(Innings!J:J,MATCH(1,(TRIM(Innings!A:A)=TRIM(A1276))*(TRIM(Innings!D:D)=TRIM(E1276)),0))</f>
        <v>41</v>
      </c>
      <c r="AC1276" cm="1">
        <f t="array" ref="AC1276">INDEX(Innings!N:N,MATCH(1,(TRIM(Innings!A:A)=TRIM(A1276))*(TRIM(Innings!D:D)=TRIM(E1276)),0))</f>
        <v>0</v>
      </c>
      <c r="AD1276" cm="1">
        <f t="array" ref="AD1276">INDEX(Innings!S:S,MATCH(1,(TRIM(Innings!A:A)=TRIM(A1276))*(TRIM(Innings!D:D)=TRIM(E1276)),0))</f>
        <v>32</v>
      </c>
      <c r="AE1276" t="str" cm="1">
        <f t="array" ref="AE1276">INDEX(Innings!W:W,MATCH(1,(TRIM(Innings!A:A)=TRIM(A1276))*(TRIM(Innings!D:D)=TRIM(E1276)),0))</f>
        <v>Successful</v>
      </c>
      <c r="AF1276">
        <f>IF(UPPER(TRIM(E1276))=UPPER(TRIM(W1276)),1,0)</f>
        <v>1</v>
      </c>
      <c r="AG1276">
        <f t="shared" si="38"/>
        <v>46.5</v>
      </c>
    </row>
    <row r="1277" spans="1:33" x14ac:dyDescent="0.3">
      <c r="A1277" t="s">
        <v>476</v>
      </c>
      <c r="B1277">
        <v>3</v>
      </c>
      <c r="C1277" t="s">
        <v>81</v>
      </c>
      <c r="D1277" t="s">
        <v>114</v>
      </c>
      <c r="E1277" t="s">
        <v>258</v>
      </c>
      <c r="F1277" t="s">
        <v>85</v>
      </c>
      <c r="G1277" t="s">
        <v>86</v>
      </c>
      <c r="H1277">
        <v>96</v>
      </c>
      <c r="I1277">
        <v>59</v>
      </c>
      <c r="J1277">
        <v>162.71</v>
      </c>
      <c r="K1277" t="s">
        <v>96</v>
      </c>
      <c r="L1277">
        <v>120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 s="8">
        <v>120</v>
      </c>
      <c r="V1277" s="8">
        <f t="shared" si="39"/>
        <v>10</v>
      </c>
      <c r="W1277" t="str">
        <f>_xlfn.XLOOKUP(A1277, Matches!A:A, Matches!L:L, "NA", 0)</f>
        <v>GGTW</v>
      </c>
      <c r="X1277" t="str">
        <f>_xlfn.XLOOKUP(A1277, Matches!A:A, Matches!J:J, "NA", 0)</f>
        <v>UPW</v>
      </c>
      <c r="Y1277" t="str">
        <f>_xlfn.XLOOKUP(A1277, Matches!A:A, Matches!F:F, "NA", 0)</f>
        <v>Bharat Ratna Shri Atal Bihari Vajpayee Ekana Cricket Stadium</v>
      </c>
      <c r="Z1277" cm="1">
        <f t="array" ref="Z1277">INDEX(Innings!F:F,MATCH(1,(TRIM(Innings!A:A)=TRIM(A1277))*(TRIM(Innings!D:D)=TRIM(E1277)),0))</f>
        <v>186</v>
      </c>
      <c r="AA1277" cm="1">
        <f t="array" ref="AA1277">INDEX(Innings!I:I,MATCH(1,(TRIM(Innings!A:A)=TRIM(A1277))*(TRIM(Innings!D:D)=TRIM(E1277)),0))</f>
        <v>9.3000000000000007</v>
      </c>
      <c r="AB1277" cm="1">
        <f t="array" ref="AB1277">INDEX(Innings!J:J,MATCH(1,(TRIM(Innings!A:A)=TRIM(A1277))*(TRIM(Innings!D:D)=TRIM(E1277)),0))</f>
        <v>40</v>
      </c>
      <c r="AC1277" cm="1">
        <f t="array" ref="AC1277">INDEX(Innings!N:N,MATCH(1,(TRIM(Innings!A:A)=TRIM(A1277))*(TRIM(Innings!D:D)=TRIM(E1277)),0))</f>
        <v>42</v>
      </c>
      <c r="AD1277" cm="1">
        <f t="array" ref="AD1277">INDEX(Innings!S:S,MATCH(1,(TRIM(Innings!A:A)=TRIM(A1277))*(TRIM(Innings!D:D)=TRIM(E1277)),0))</f>
        <v>39</v>
      </c>
      <c r="AE1277" t="str" cm="1">
        <f t="array" ref="AE1277">INDEX(Innings!W:W,MATCH(1,(TRIM(Innings!A:A)=TRIM(A1277))*(TRIM(Innings!D:D)=TRIM(E1277)),0))</f>
        <v>NA</v>
      </c>
      <c r="AF1277">
        <f>IF(UPPER(TRIM(E1277))=UPPER(TRIM(W1277)),1,0)</f>
        <v>1</v>
      </c>
      <c r="AG1277">
        <f t="shared" si="38"/>
        <v>83</v>
      </c>
    </row>
    <row r="1278" spans="1:33" x14ac:dyDescent="0.3">
      <c r="A1278" t="s">
        <v>476</v>
      </c>
      <c r="B1278">
        <v>3</v>
      </c>
      <c r="C1278" t="s">
        <v>97</v>
      </c>
      <c r="D1278" t="s">
        <v>122</v>
      </c>
      <c r="E1278" t="s">
        <v>258</v>
      </c>
      <c r="F1278" t="s">
        <v>109</v>
      </c>
      <c r="G1278" t="s">
        <v>92</v>
      </c>
      <c r="H1278">
        <v>2</v>
      </c>
      <c r="I1278">
        <v>3</v>
      </c>
      <c r="J1278">
        <v>66.67</v>
      </c>
      <c r="K1278" t="s">
        <v>246</v>
      </c>
      <c r="L1278">
        <v>2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 s="8">
        <v>2</v>
      </c>
      <c r="V1278" s="8">
        <f t="shared" si="39"/>
        <v>0</v>
      </c>
      <c r="W1278" t="str">
        <f>_xlfn.XLOOKUP(A1278, Matches!A:A, Matches!L:L, "NA", 0)</f>
        <v>GGTW</v>
      </c>
      <c r="X1278" t="str">
        <f>_xlfn.XLOOKUP(A1278, Matches!A:A, Matches!J:J, "NA", 0)</f>
        <v>UPW</v>
      </c>
      <c r="Y1278" t="str">
        <f>_xlfn.XLOOKUP(A1278, Matches!A:A, Matches!F:F, "NA", 0)</f>
        <v>Bharat Ratna Shri Atal Bihari Vajpayee Ekana Cricket Stadium</v>
      </c>
      <c r="Z1278" cm="1">
        <f t="array" ref="Z1278">INDEX(Innings!F:F,MATCH(1,(TRIM(Innings!A:A)=TRIM(A1278))*(TRIM(Innings!D:D)=TRIM(E1278)),0))</f>
        <v>186</v>
      </c>
      <c r="AA1278" cm="1">
        <f t="array" ref="AA1278">INDEX(Innings!I:I,MATCH(1,(TRIM(Innings!A:A)=TRIM(A1278))*(TRIM(Innings!D:D)=TRIM(E1278)),0))</f>
        <v>9.3000000000000007</v>
      </c>
      <c r="AB1278" cm="1">
        <f t="array" ref="AB1278">INDEX(Innings!J:J,MATCH(1,(TRIM(Innings!A:A)=TRIM(A1278))*(TRIM(Innings!D:D)=TRIM(E1278)),0))</f>
        <v>40</v>
      </c>
      <c r="AC1278" cm="1">
        <f t="array" ref="AC1278">INDEX(Innings!N:N,MATCH(1,(TRIM(Innings!A:A)=TRIM(A1278))*(TRIM(Innings!D:D)=TRIM(E1278)),0))</f>
        <v>42</v>
      </c>
      <c r="AD1278" cm="1">
        <f t="array" ref="AD1278">INDEX(Innings!S:S,MATCH(1,(TRIM(Innings!A:A)=TRIM(A1278))*(TRIM(Innings!D:D)=TRIM(E1278)),0))</f>
        <v>39</v>
      </c>
      <c r="AE1278" t="str" cm="1">
        <f t="array" ref="AE1278">INDEX(Innings!W:W,MATCH(1,(TRIM(Innings!A:A)=TRIM(A1278))*(TRIM(Innings!D:D)=TRIM(E1278)),0))</f>
        <v>NA</v>
      </c>
      <c r="AF1278">
        <f>IF(UPPER(TRIM(E1278))=UPPER(TRIM(W1278)),1,0)</f>
        <v>1</v>
      </c>
      <c r="AG1278">
        <f t="shared" si="38"/>
        <v>21</v>
      </c>
    </row>
    <row r="1279" spans="1:33" x14ac:dyDescent="0.3">
      <c r="A1279" t="s">
        <v>476</v>
      </c>
      <c r="B1279">
        <v>3</v>
      </c>
      <c r="C1279" t="s">
        <v>89</v>
      </c>
      <c r="D1279" t="s">
        <v>116</v>
      </c>
      <c r="E1279" t="s">
        <v>258</v>
      </c>
      <c r="F1279" t="s">
        <v>169</v>
      </c>
      <c r="G1279" t="s">
        <v>92</v>
      </c>
      <c r="H1279">
        <v>45</v>
      </c>
      <c r="I1279">
        <v>32</v>
      </c>
      <c r="J1279">
        <v>140.62</v>
      </c>
      <c r="K1279" t="s">
        <v>245</v>
      </c>
      <c r="L1279">
        <v>55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 s="8">
        <v>55</v>
      </c>
      <c r="V1279" s="8">
        <f t="shared" si="39"/>
        <v>6</v>
      </c>
      <c r="W1279" t="str">
        <f>_xlfn.XLOOKUP(A1279, Matches!A:A, Matches!L:L, "NA", 0)</f>
        <v>GGTW</v>
      </c>
      <c r="X1279" t="str">
        <f>_xlfn.XLOOKUP(A1279, Matches!A:A, Matches!J:J, "NA", 0)</f>
        <v>UPW</v>
      </c>
      <c r="Y1279" t="str">
        <f>_xlfn.XLOOKUP(A1279, Matches!A:A, Matches!F:F, "NA", 0)</f>
        <v>Bharat Ratna Shri Atal Bihari Vajpayee Ekana Cricket Stadium</v>
      </c>
      <c r="Z1279" cm="1">
        <f t="array" ref="Z1279">INDEX(Innings!F:F,MATCH(1,(TRIM(Innings!A:A)=TRIM(A1279))*(TRIM(Innings!D:D)=TRIM(E1279)),0))</f>
        <v>186</v>
      </c>
      <c r="AA1279" cm="1">
        <f t="array" ref="AA1279">INDEX(Innings!I:I,MATCH(1,(TRIM(Innings!A:A)=TRIM(A1279))*(TRIM(Innings!D:D)=TRIM(E1279)),0))</f>
        <v>9.3000000000000007</v>
      </c>
      <c r="AB1279" cm="1">
        <f t="array" ref="AB1279">INDEX(Innings!J:J,MATCH(1,(TRIM(Innings!A:A)=TRIM(A1279))*(TRIM(Innings!D:D)=TRIM(E1279)),0))</f>
        <v>40</v>
      </c>
      <c r="AC1279" cm="1">
        <f t="array" ref="AC1279">INDEX(Innings!N:N,MATCH(1,(TRIM(Innings!A:A)=TRIM(A1279))*(TRIM(Innings!D:D)=TRIM(E1279)),0))</f>
        <v>42</v>
      </c>
      <c r="AD1279" cm="1">
        <f t="array" ref="AD1279">INDEX(Innings!S:S,MATCH(1,(TRIM(Innings!A:A)=TRIM(A1279))*(TRIM(Innings!D:D)=TRIM(E1279)),0))</f>
        <v>39</v>
      </c>
      <c r="AE1279" t="str" cm="1">
        <f t="array" ref="AE1279">INDEX(Innings!W:W,MATCH(1,(TRIM(Innings!A:A)=TRIM(A1279))*(TRIM(Innings!D:D)=TRIM(E1279)),0))</f>
        <v>NA</v>
      </c>
      <c r="AF1279">
        <f>IF(UPPER(TRIM(E1279))=UPPER(TRIM(W1279)),1,0)</f>
        <v>1</v>
      </c>
      <c r="AG1279">
        <f t="shared" si="38"/>
        <v>49.3</v>
      </c>
    </row>
    <row r="1280" spans="1:33" x14ac:dyDescent="0.3">
      <c r="A1280" t="s">
        <v>476</v>
      </c>
      <c r="B1280">
        <v>3</v>
      </c>
      <c r="C1280" t="s">
        <v>93</v>
      </c>
      <c r="D1280" t="s">
        <v>118</v>
      </c>
      <c r="E1280" t="s">
        <v>258</v>
      </c>
      <c r="F1280" t="s">
        <v>169</v>
      </c>
      <c r="G1280" t="s">
        <v>134</v>
      </c>
      <c r="H1280">
        <v>11</v>
      </c>
      <c r="I1280">
        <v>10</v>
      </c>
      <c r="J1280">
        <v>110</v>
      </c>
      <c r="K1280" t="s">
        <v>246</v>
      </c>
      <c r="L1280">
        <v>15</v>
      </c>
      <c r="M1280">
        <v>2</v>
      </c>
      <c r="N1280">
        <v>0</v>
      </c>
      <c r="O1280">
        <v>9</v>
      </c>
      <c r="P1280">
        <v>1</v>
      </c>
      <c r="Q1280">
        <v>4.5</v>
      </c>
      <c r="R1280">
        <v>25</v>
      </c>
      <c r="S1280">
        <v>0</v>
      </c>
      <c r="T1280">
        <v>0</v>
      </c>
      <c r="U1280" s="8">
        <v>40</v>
      </c>
      <c r="V1280" s="8">
        <f t="shared" si="39"/>
        <v>4</v>
      </c>
      <c r="W1280" t="str">
        <f>_xlfn.XLOOKUP(A1280, Matches!A:A, Matches!L:L, "NA", 0)</f>
        <v>GGTW</v>
      </c>
      <c r="X1280" t="str">
        <f>_xlfn.XLOOKUP(A1280, Matches!A:A, Matches!J:J, "NA", 0)</f>
        <v>UPW</v>
      </c>
      <c r="Y1280" t="str">
        <f>_xlfn.XLOOKUP(A1280, Matches!A:A, Matches!F:F, "NA", 0)</f>
        <v>Bharat Ratna Shri Atal Bihari Vajpayee Ekana Cricket Stadium</v>
      </c>
      <c r="Z1280" cm="1">
        <f t="array" ref="Z1280">INDEX(Innings!F:F,MATCH(1,(TRIM(Innings!A:A)=TRIM(A1280))*(TRIM(Innings!D:D)=TRIM(E1280)),0))</f>
        <v>186</v>
      </c>
      <c r="AA1280" cm="1">
        <f t="array" ref="AA1280">INDEX(Innings!I:I,MATCH(1,(TRIM(Innings!A:A)=TRIM(A1280))*(TRIM(Innings!D:D)=TRIM(E1280)),0))</f>
        <v>9.3000000000000007</v>
      </c>
      <c r="AB1280" cm="1">
        <f t="array" ref="AB1280">INDEX(Innings!J:J,MATCH(1,(TRIM(Innings!A:A)=TRIM(A1280))*(TRIM(Innings!D:D)=TRIM(E1280)),0))</f>
        <v>40</v>
      </c>
      <c r="AC1280" cm="1">
        <f t="array" ref="AC1280">INDEX(Innings!N:N,MATCH(1,(TRIM(Innings!A:A)=TRIM(A1280))*(TRIM(Innings!D:D)=TRIM(E1280)),0))</f>
        <v>42</v>
      </c>
      <c r="AD1280" cm="1">
        <f t="array" ref="AD1280">INDEX(Innings!S:S,MATCH(1,(TRIM(Innings!A:A)=TRIM(A1280))*(TRIM(Innings!D:D)=TRIM(E1280)),0))</f>
        <v>39</v>
      </c>
      <c r="AE1280" t="str" cm="1">
        <f t="array" ref="AE1280">INDEX(Innings!W:W,MATCH(1,(TRIM(Innings!A:A)=TRIM(A1280))*(TRIM(Innings!D:D)=TRIM(E1280)),0))</f>
        <v>NA</v>
      </c>
      <c r="AF1280">
        <f>IF(UPPER(TRIM(E1280))=UPPER(TRIM(W1280)),1,0)</f>
        <v>1</v>
      </c>
      <c r="AG1280">
        <f t="shared" si="38"/>
        <v>41.2</v>
      </c>
    </row>
    <row r="1281" spans="1:33" x14ac:dyDescent="0.3">
      <c r="A1281" t="s">
        <v>476</v>
      </c>
      <c r="B1281">
        <v>3</v>
      </c>
      <c r="C1281" t="s">
        <v>383</v>
      </c>
      <c r="D1281" t="s">
        <v>384</v>
      </c>
      <c r="E1281" t="s">
        <v>258</v>
      </c>
      <c r="F1281" t="s">
        <v>109</v>
      </c>
      <c r="G1281" t="s">
        <v>134</v>
      </c>
      <c r="H1281">
        <v>8</v>
      </c>
      <c r="I1281">
        <v>6</v>
      </c>
      <c r="J1281">
        <v>133.33000000000001</v>
      </c>
      <c r="K1281" t="s">
        <v>246</v>
      </c>
      <c r="L1281">
        <v>10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 s="8">
        <v>10</v>
      </c>
      <c r="V1281" s="8">
        <f t="shared" si="39"/>
        <v>1</v>
      </c>
      <c r="W1281" t="str">
        <f>_xlfn.XLOOKUP(A1281, Matches!A:A, Matches!L:L, "NA", 0)</f>
        <v>GGTW</v>
      </c>
      <c r="X1281" t="str">
        <f>_xlfn.XLOOKUP(A1281, Matches!A:A, Matches!J:J, "NA", 0)</f>
        <v>UPW</v>
      </c>
      <c r="Y1281" t="str">
        <f>_xlfn.XLOOKUP(A1281, Matches!A:A, Matches!F:F, "NA", 0)</f>
        <v>Bharat Ratna Shri Atal Bihari Vajpayee Ekana Cricket Stadium</v>
      </c>
      <c r="Z1281" cm="1">
        <f t="array" ref="Z1281">INDEX(Innings!F:F,MATCH(1,(TRIM(Innings!A:A)=TRIM(A1281))*(TRIM(Innings!D:D)=TRIM(E1281)),0))</f>
        <v>186</v>
      </c>
      <c r="AA1281" cm="1">
        <f t="array" ref="AA1281">INDEX(Innings!I:I,MATCH(1,(TRIM(Innings!A:A)=TRIM(A1281))*(TRIM(Innings!D:D)=TRIM(E1281)),0))</f>
        <v>9.3000000000000007</v>
      </c>
      <c r="AB1281" cm="1">
        <f t="array" ref="AB1281">INDEX(Innings!J:J,MATCH(1,(TRIM(Innings!A:A)=TRIM(A1281))*(TRIM(Innings!D:D)=TRIM(E1281)),0))</f>
        <v>40</v>
      </c>
      <c r="AC1281" cm="1">
        <f t="array" ref="AC1281">INDEX(Innings!N:N,MATCH(1,(TRIM(Innings!A:A)=TRIM(A1281))*(TRIM(Innings!D:D)=TRIM(E1281)),0))</f>
        <v>42</v>
      </c>
      <c r="AD1281" cm="1">
        <f t="array" ref="AD1281">INDEX(Innings!S:S,MATCH(1,(TRIM(Innings!A:A)=TRIM(A1281))*(TRIM(Innings!D:D)=TRIM(E1281)),0))</f>
        <v>39</v>
      </c>
      <c r="AE1281" t="str" cm="1">
        <f t="array" ref="AE1281">INDEX(Innings!W:W,MATCH(1,(TRIM(Innings!A:A)=TRIM(A1281))*(TRIM(Innings!D:D)=TRIM(E1281)),0))</f>
        <v>NA</v>
      </c>
      <c r="AF1281">
        <f>IF(UPPER(TRIM(E1281))=UPPER(TRIM(W1281)),1,0)</f>
        <v>1</v>
      </c>
      <c r="AG1281">
        <f t="shared" ref="AG1281:AG1344" si="40">(0.5*MAX(0,U1281) + 0.3*MAX(0,V1281) + 0.2*AF1281*100)</f>
        <v>25.3</v>
      </c>
    </row>
    <row r="1282" spans="1:33" x14ac:dyDescent="0.3">
      <c r="A1282" t="s">
        <v>476</v>
      </c>
      <c r="B1282">
        <v>3</v>
      </c>
      <c r="C1282" t="s">
        <v>530</v>
      </c>
      <c r="D1282" t="s">
        <v>502</v>
      </c>
      <c r="E1282" t="s">
        <v>258</v>
      </c>
      <c r="F1282" t="s">
        <v>169</v>
      </c>
      <c r="G1282" t="s">
        <v>134</v>
      </c>
      <c r="H1282">
        <v>17</v>
      </c>
      <c r="I1282">
        <v>8</v>
      </c>
      <c r="J1282">
        <v>212.5</v>
      </c>
      <c r="K1282" t="s">
        <v>247</v>
      </c>
      <c r="L1282">
        <v>25</v>
      </c>
      <c r="M1282">
        <v>3</v>
      </c>
      <c r="N1282">
        <v>0</v>
      </c>
      <c r="O1282">
        <v>14</v>
      </c>
      <c r="P1282">
        <v>2</v>
      </c>
      <c r="Q1282">
        <v>4.7</v>
      </c>
      <c r="R1282">
        <v>50</v>
      </c>
      <c r="S1282">
        <v>0</v>
      </c>
      <c r="T1282">
        <v>0</v>
      </c>
      <c r="U1282" s="8">
        <v>75</v>
      </c>
      <c r="V1282" s="8">
        <f t="shared" si="39"/>
        <v>8</v>
      </c>
      <c r="W1282" t="str">
        <f>_xlfn.XLOOKUP(A1282, Matches!A:A, Matches!L:L, "NA", 0)</f>
        <v>GGTW</v>
      </c>
      <c r="X1282" t="str">
        <f>_xlfn.XLOOKUP(A1282, Matches!A:A, Matches!J:J, "NA", 0)</f>
        <v>UPW</v>
      </c>
      <c r="Y1282" t="str">
        <f>_xlfn.XLOOKUP(A1282, Matches!A:A, Matches!F:F, "NA", 0)</f>
        <v>Bharat Ratna Shri Atal Bihari Vajpayee Ekana Cricket Stadium</v>
      </c>
      <c r="Z1282" cm="1">
        <f t="array" ref="Z1282">INDEX(Innings!F:F,MATCH(1,(TRIM(Innings!A:A)=TRIM(A1282))*(TRIM(Innings!D:D)=TRIM(E1282)),0))</f>
        <v>186</v>
      </c>
      <c r="AA1282" cm="1">
        <f t="array" ref="AA1282">INDEX(Innings!I:I,MATCH(1,(TRIM(Innings!A:A)=TRIM(A1282))*(TRIM(Innings!D:D)=TRIM(E1282)),0))</f>
        <v>9.3000000000000007</v>
      </c>
      <c r="AB1282" cm="1">
        <f t="array" ref="AB1282">INDEX(Innings!J:J,MATCH(1,(TRIM(Innings!A:A)=TRIM(A1282))*(TRIM(Innings!D:D)=TRIM(E1282)),0))</f>
        <v>40</v>
      </c>
      <c r="AC1282" cm="1">
        <f t="array" ref="AC1282">INDEX(Innings!N:N,MATCH(1,(TRIM(Innings!A:A)=TRIM(A1282))*(TRIM(Innings!D:D)=TRIM(E1282)),0))</f>
        <v>42</v>
      </c>
      <c r="AD1282" cm="1">
        <f t="array" ref="AD1282">INDEX(Innings!S:S,MATCH(1,(TRIM(Innings!A:A)=TRIM(A1282))*(TRIM(Innings!D:D)=TRIM(E1282)),0))</f>
        <v>39</v>
      </c>
      <c r="AE1282" t="str" cm="1">
        <f t="array" ref="AE1282">INDEX(Innings!W:W,MATCH(1,(TRIM(Innings!A:A)=TRIM(A1282))*(TRIM(Innings!D:D)=TRIM(E1282)),0))</f>
        <v>NA</v>
      </c>
      <c r="AF1282">
        <f>IF(UPPER(TRIM(E1282))=UPPER(TRIM(W1282)),1,0)</f>
        <v>1</v>
      </c>
      <c r="AG1282">
        <f t="shared" si="40"/>
        <v>59.9</v>
      </c>
    </row>
    <row r="1283" spans="1:33" x14ac:dyDescent="0.3">
      <c r="A1283" t="s">
        <v>476</v>
      </c>
      <c r="B1283">
        <v>3</v>
      </c>
      <c r="C1283" t="s">
        <v>447</v>
      </c>
      <c r="D1283" t="s">
        <v>448</v>
      </c>
      <c r="E1283" t="s">
        <v>258</v>
      </c>
      <c r="F1283" t="s">
        <v>109</v>
      </c>
      <c r="G1283" t="s">
        <v>134</v>
      </c>
      <c r="H1283">
        <v>2</v>
      </c>
      <c r="I1283">
        <v>3</v>
      </c>
      <c r="J1283">
        <v>66.67</v>
      </c>
      <c r="K1283" t="s">
        <v>96</v>
      </c>
      <c r="L1283">
        <v>2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 s="8">
        <v>2</v>
      </c>
      <c r="V1283" s="8">
        <f t="shared" ref="V1283:V1346" si="41">MIN(10, MAX(0, ROUND(U1283/10,0)))</f>
        <v>0</v>
      </c>
      <c r="W1283" t="str">
        <f>_xlfn.XLOOKUP(A1283, Matches!A:A, Matches!L:L, "NA", 0)</f>
        <v>GGTW</v>
      </c>
      <c r="X1283" t="str">
        <f>_xlfn.XLOOKUP(A1283, Matches!A:A, Matches!J:J, "NA", 0)</f>
        <v>UPW</v>
      </c>
      <c r="Y1283" t="str">
        <f>_xlfn.XLOOKUP(A1283, Matches!A:A, Matches!F:F, "NA", 0)</f>
        <v>Bharat Ratna Shri Atal Bihari Vajpayee Ekana Cricket Stadium</v>
      </c>
      <c r="Z1283" cm="1">
        <f t="array" ref="Z1283">INDEX(Innings!F:F,MATCH(1,(TRIM(Innings!A:A)=TRIM(A1283))*(TRIM(Innings!D:D)=TRIM(E1283)),0))</f>
        <v>186</v>
      </c>
      <c r="AA1283" cm="1">
        <f t="array" ref="AA1283">INDEX(Innings!I:I,MATCH(1,(TRIM(Innings!A:A)=TRIM(A1283))*(TRIM(Innings!D:D)=TRIM(E1283)),0))</f>
        <v>9.3000000000000007</v>
      </c>
      <c r="AB1283" cm="1">
        <f t="array" ref="AB1283">INDEX(Innings!J:J,MATCH(1,(TRIM(Innings!A:A)=TRIM(A1283))*(TRIM(Innings!D:D)=TRIM(E1283)),0))</f>
        <v>40</v>
      </c>
      <c r="AC1283" cm="1">
        <f t="array" ref="AC1283">INDEX(Innings!N:N,MATCH(1,(TRIM(Innings!A:A)=TRIM(A1283))*(TRIM(Innings!D:D)=TRIM(E1283)),0))</f>
        <v>42</v>
      </c>
      <c r="AD1283" cm="1">
        <f t="array" ref="AD1283">INDEX(Innings!S:S,MATCH(1,(TRIM(Innings!A:A)=TRIM(A1283))*(TRIM(Innings!D:D)=TRIM(E1283)),0))</f>
        <v>39</v>
      </c>
      <c r="AE1283" t="str" cm="1">
        <f t="array" ref="AE1283">INDEX(Innings!W:W,MATCH(1,(TRIM(Innings!A:A)=TRIM(A1283))*(TRIM(Innings!D:D)=TRIM(E1283)),0))</f>
        <v>NA</v>
      </c>
      <c r="AF1283">
        <f>IF(UPPER(TRIM(E1283))=UPPER(TRIM(W1283)),1,0)</f>
        <v>1</v>
      </c>
      <c r="AG1283">
        <f t="shared" si="40"/>
        <v>21</v>
      </c>
    </row>
    <row r="1284" spans="1:33" x14ac:dyDescent="0.3">
      <c r="A1284" t="s">
        <v>476</v>
      </c>
      <c r="B1284">
        <v>3</v>
      </c>
      <c r="C1284" t="s">
        <v>493</v>
      </c>
      <c r="D1284" t="s">
        <v>500</v>
      </c>
      <c r="E1284" t="s">
        <v>258</v>
      </c>
      <c r="F1284" t="s">
        <v>169</v>
      </c>
      <c r="G1284" t="s">
        <v>104</v>
      </c>
      <c r="H1284">
        <v>0</v>
      </c>
      <c r="I1284">
        <v>0</v>
      </c>
      <c r="J1284">
        <v>0</v>
      </c>
      <c r="K1284" t="s">
        <v>104</v>
      </c>
      <c r="L1284">
        <v>0</v>
      </c>
      <c r="M1284">
        <v>3</v>
      </c>
      <c r="N1284">
        <v>0</v>
      </c>
      <c r="O1284">
        <v>11</v>
      </c>
      <c r="P1284">
        <v>3</v>
      </c>
      <c r="Q1284">
        <v>3.7</v>
      </c>
      <c r="R1284">
        <v>75</v>
      </c>
      <c r="S1284">
        <v>0</v>
      </c>
      <c r="T1284">
        <v>0</v>
      </c>
      <c r="U1284" s="8">
        <v>75</v>
      </c>
      <c r="V1284" s="8">
        <f t="shared" si="41"/>
        <v>8</v>
      </c>
      <c r="W1284" t="str">
        <f>_xlfn.XLOOKUP(A1284, Matches!A:A, Matches!L:L, "NA", 0)</f>
        <v>GGTW</v>
      </c>
      <c r="X1284" t="str">
        <f>_xlfn.XLOOKUP(A1284, Matches!A:A, Matches!J:J, "NA", 0)</f>
        <v>UPW</v>
      </c>
      <c r="Y1284" t="str">
        <f>_xlfn.XLOOKUP(A1284, Matches!A:A, Matches!F:F, "NA", 0)</f>
        <v>Bharat Ratna Shri Atal Bihari Vajpayee Ekana Cricket Stadium</v>
      </c>
      <c r="Z1284" cm="1">
        <f t="array" ref="Z1284">INDEX(Innings!F:F,MATCH(1,(TRIM(Innings!A:A)=TRIM(A1284))*(TRIM(Innings!D:D)=TRIM(E1284)),0))</f>
        <v>186</v>
      </c>
      <c r="AA1284" cm="1">
        <f t="array" ref="AA1284">INDEX(Innings!I:I,MATCH(1,(TRIM(Innings!A:A)=TRIM(A1284))*(TRIM(Innings!D:D)=TRIM(E1284)),0))</f>
        <v>9.3000000000000007</v>
      </c>
      <c r="AB1284" cm="1">
        <f t="array" ref="AB1284">INDEX(Innings!J:J,MATCH(1,(TRIM(Innings!A:A)=TRIM(A1284))*(TRIM(Innings!D:D)=TRIM(E1284)),0))</f>
        <v>40</v>
      </c>
      <c r="AC1284" cm="1">
        <f t="array" ref="AC1284">INDEX(Innings!N:N,MATCH(1,(TRIM(Innings!A:A)=TRIM(A1284))*(TRIM(Innings!D:D)=TRIM(E1284)),0))</f>
        <v>42</v>
      </c>
      <c r="AD1284" cm="1">
        <f t="array" ref="AD1284">INDEX(Innings!S:S,MATCH(1,(TRIM(Innings!A:A)=TRIM(A1284))*(TRIM(Innings!D:D)=TRIM(E1284)),0))</f>
        <v>39</v>
      </c>
      <c r="AE1284" t="str" cm="1">
        <f t="array" ref="AE1284">INDEX(Innings!W:W,MATCH(1,(TRIM(Innings!A:A)=TRIM(A1284))*(TRIM(Innings!D:D)=TRIM(E1284)),0))</f>
        <v>NA</v>
      </c>
      <c r="AF1284">
        <f>IF(UPPER(TRIM(E1284))=UPPER(TRIM(W1284)),1,0)</f>
        <v>1</v>
      </c>
      <c r="AG1284">
        <f t="shared" si="40"/>
        <v>59.9</v>
      </c>
    </row>
    <row r="1285" spans="1:33" x14ac:dyDescent="0.3">
      <c r="A1285" t="s">
        <v>476</v>
      </c>
      <c r="B1285">
        <v>3</v>
      </c>
      <c r="C1285" t="s">
        <v>389</v>
      </c>
      <c r="D1285" t="s">
        <v>390</v>
      </c>
      <c r="E1285" t="s">
        <v>258</v>
      </c>
      <c r="F1285" t="s">
        <v>101</v>
      </c>
      <c r="G1285" t="s">
        <v>104</v>
      </c>
      <c r="H1285">
        <v>0</v>
      </c>
      <c r="I1285">
        <v>0</v>
      </c>
      <c r="J1285">
        <v>0</v>
      </c>
      <c r="K1285" t="s">
        <v>104</v>
      </c>
      <c r="L1285">
        <v>0</v>
      </c>
      <c r="M1285">
        <v>2</v>
      </c>
      <c r="N1285">
        <v>0</v>
      </c>
      <c r="O1285">
        <v>28</v>
      </c>
      <c r="P1285">
        <v>1</v>
      </c>
      <c r="Q1285">
        <v>14</v>
      </c>
      <c r="R1285">
        <v>25</v>
      </c>
      <c r="S1285">
        <v>0</v>
      </c>
      <c r="T1285">
        <v>0</v>
      </c>
      <c r="U1285" s="8">
        <v>25</v>
      </c>
      <c r="V1285" s="8">
        <f t="shared" si="41"/>
        <v>3</v>
      </c>
      <c r="W1285" t="str">
        <f>_xlfn.XLOOKUP(A1285, Matches!A:A, Matches!L:L, "NA", 0)</f>
        <v>GGTW</v>
      </c>
      <c r="X1285" t="str">
        <f>_xlfn.XLOOKUP(A1285, Matches!A:A, Matches!J:J, "NA", 0)</f>
        <v>UPW</v>
      </c>
      <c r="Y1285" t="str">
        <f>_xlfn.XLOOKUP(A1285, Matches!A:A, Matches!F:F, "NA", 0)</f>
        <v>Bharat Ratna Shri Atal Bihari Vajpayee Ekana Cricket Stadium</v>
      </c>
      <c r="Z1285" cm="1">
        <f t="array" ref="Z1285">INDEX(Innings!F:F,MATCH(1,(TRIM(Innings!A:A)=TRIM(A1285))*(TRIM(Innings!D:D)=TRIM(E1285)),0))</f>
        <v>186</v>
      </c>
      <c r="AA1285" cm="1">
        <f t="array" ref="AA1285">INDEX(Innings!I:I,MATCH(1,(TRIM(Innings!A:A)=TRIM(A1285))*(TRIM(Innings!D:D)=TRIM(E1285)),0))</f>
        <v>9.3000000000000007</v>
      </c>
      <c r="AB1285" cm="1">
        <f t="array" ref="AB1285">INDEX(Innings!J:J,MATCH(1,(TRIM(Innings!A:A)=TRIM(A1285))*(TRIM(Innings!D:D)=TRIM(E1285)),0))</f>
        <v>40</v>
      </c>
      <c r="AC1285" cm="1">
        <f t="array" ref="AC1285">INDEX(Innings!N:N,MATCH(1,(TRIM(Innings!A:A)=TRIM(A1285))*(TRIM(Innings!D:D)=TRIM(E1285)),0))</f>
        <v>42</v>
      </c>
      <c r="AD1285" cm="1">
        <f t="array" ref="AD1285">INDEX(Innings!S:S,MATCH(1,(TRIM(Innings!A:A)=TRIM(A1285))*(TRIM(Innings!D:D)=TRIM(E1285)),0))</f>
        <v>39</v>
      </c>
      <c r="AE1285" t="str" cm="1">
        <f t="array" ref="AE1285">INDEX(Innings!W:W,MATCH(1,(TRIM(Innings!A:A)=TRIM(A1285))*(TRIM(Innings!D:D)=TRIM(E1285)),0))</f>
        <v>NA</v>
      </c>
      <c r="AF1285">
        <f>IF(UPPER(TRIM(E1285))=UPPER(TRIM(W1285)),1,0)</f>
        <v>1</v>
      </c>
      <c r="AG1285">
        <f t="shared" si="40"/>
        <v>33.4</v>
      </c>
    </row>
    <row r="1286" spans="1:33" x14ac:dyDescent="0.3">
      <c r="A1286" t="s">
        <v>476</v>
      </c>
      <c r="B1286">
        <v>3</v>
      </c>
      <c r="C1286" t="s">
        <v>105</v>
      </c>
      <c r="D1286" t="s">
        <v>128</v>
      </c>
      <c r="E1286" t="s">
        <v>258</v>
      </c>
      <c r="F1286" t="s">
        <v>101</v>
      </c>
      <c r="G1286" t="s">
        <v>104</v>
      </c>
      <c r="H1286">
        <v>0</v>
      </c>
      <c r="I1286">
        <v>0</v>
      </c>
      <c r="J1286">
        <v>0</v>
      </c>
      <c r="K1286" t="s">
        <v>104</v>
      </c>
      <c r="L1286">
        <v>0</v>
      </c>
      <c r="M1286">
        <v>3.1</v>
      </c>
      <c r="N1286">
        <v>0</v>
      </c>
      <c r="O1286">
        <v>17</v>
      </c>
      <c r="P1286">
        <v>3</v>
      </c>
      <c r="Q1286">
        <v>5.4</v>
      </c>
      <c r="R1286">
        <v>75</v>
      </c>
      <c r="S1286">
        <v>0</v>
      </c>
      <c r="T1286">
        <v>0</v>
      </c>
      <c r="U1286" s="8">
        <v>75</v>
      </c>
      <c r="V1286" s="8">
        <f t="shared" si="41"/>
        <v>8</v>
      </c>
      <c r="W1286" t="str">
        <f>_xlfn.XLOOKUP(A1286, Matches!A:A, Matches!L:L, "NA", 0)</f>
        <v>GGTW</v>
      </c>
      <c r="X1286" t="str">
        <f>_xlfn.XLOOKUP(A1286, Matches!A:A, Matches!J:J, "NA", 0)</f>
        <v>UPW</v>
      </c>
      <c r="Y1286" t="str">
        <f>_xlfn.XLOOKUP(A1286, Matches!A:A, Matches!F:F, "NA", 0)</f>
        <v>Bharat Ratna Shri Atal Bihari Vajpayee Ekana Cricket Stadium</v>
      </c>
      <c r="Z1286" cm="1">
        <f t="array" ref="Z1286">INDEX(Innings!F:F,MATCH(1,(TRIM(Innings!A:A)=TRIM(A1286))*(TRIM(Innings!D:D)=TRIM(E1286)),0))</f>
        <v>186</v>
      </c>
      <c r="AA1286" cm="1">
        <f t="array" ref="AA1286">INDEX(Innings!I:I,MATCH(1,(TRIM(Innings!A:A)=TRIM(A1286))*(TRIM(Innings!D:D)=TRIM(E1286)),0))</f>
        <v>9.3000000000000007</v>
      </c>
      <c r="AB1286" cm="1">
        <f t="array" ref="AB1286">INDEX(Innings!J:J,MATCH(1,(TRIM(Innings!A:A)=TRIM(A1286))*(TRIM(Innings!D:D)=TRIM(E1286)),0))</f>
        <v>40</v>
      </c>
      <c r="AC1286" cm="1">
        <f t="array" ref="AC1286">INDEX(Innings!N:N,MATCH(1,(TRIM(Innings!A:A)=TRIM(A1286))*(TRIM(Innings!D:D)=TRIM(E1286)),0))</f>
        <v>42</v>
      </c>
      <c r="AD1286" cm="1">
        <f t="array" ref="AD1286">INDEX(Innings!S:S,MATCH(1,(TRIM(Innings!A:A)=TRIM(A1286))*(TRIM(Innings!D:D)=TRIM(E1286)),0))</f>
        <v>39</v>
      </c>
      <c r="AE1286" t="str" cm="1">
        <f t="array" ref="AE1286">INDEX(Innings!W:W,MATCH(1,(TRIM(Innings!A:A)=TRIM(A1286))*(TRIM(Innings!D:D)=TRIM(E1286)),0))</f>
        <v>NA</v>
      </c>
      <c r="AF1286">
        <f>IF(UPPER(TRIM(E1286))=UPPER(TRIM(W1286)),1,0)</f>
        <v>1</v>
      </c>
      <c r="AG1286">
        <f t="shared" si="40"/>
        <v>59.9</v>
      </c>
    </row>
    <row r="1287" spans="1:33" x14ac:dyDescent="0.3">
      <c r="A1287" t="s">
        <v>476</v>
      </c>
      <c r="B1287">
        <v>3</v>
      </c>
      <c r="C1287" t="s">
        <v>494</v>
      </c>
      <c r="D1287" t="s">
        <v>501</v>
      </c>
      <c r="E1287" t="s">
        <v>258</v>
      </c>
      <c r="F1287" t="s">
        <v>101</v>
      </c>
      <c r="G1287" t="s">
        <v>104</v>
      </c>
      <c r="H1287">
        <v>0</v>
      </c>
      <c r="I1287">
        <v>0</v>
      </c>
      <c r="J1287">
        <v>0</v>
      </c>
      <c r="K1287" t="s">
        <v>104</v>
      </c>
      <c r="L1287">
        <v>0</v>
      </c>
      <c r="M1287">
        <v>4</v>
      </c>
      <c r="N1287">
        <v>0</v>
      </c>
      <c r="O1287">
        <v>25</v>
      </c>
      <c r="P1287">
        <v>0</v>
      </c>
      <c r="Q1287">
        <v>6.2</v>
      </c>
      <c r="R1287">
        <v>10</v>
      </c>
      <c r="S1287">
        <v>0</v>
      </c>
      <c r="T1287">
        <v>0</v>
      </c>
      <c r="U1287" s="8">
        <v>10</v>
      </c>
      <c r="V1287" s="8">
        <f t="shared" si="41"/>
        <v>1</v>
      </c>
      <c r="W1287" t="str">
        <f>_xlfn.XLOOKUP(A1287, Matches!A:A, Matches!L:L, "NA", 0)</f>
        <v>GGTW</v>
      </c>
      <c r="X1287" t="str">
        <f>_xlfn.XLOOKUP(A1287, Matches!A:A, Matches!J:J, "NA", 0)</f>
        <v>UPW</v>
      </c>
      <c r="Y1287" t="str">
        <f>_xlfn.XLOOKUP(A1287, Matches!A:A, Matches!F:F, "NA", 0)</f>
        <v>Bharat Ratna Shri Atal Bihari Vajpayee Ekana Cricket Stadium</v>
      </c>
      <c r="Z1287" cm="1">
        <f t="array" ref="Z1287">INDEX(Innings!F:F,MATCH(1,(TRIM(Innings!A:A)=TRIM(A1287))*(TRIM(Innings!D:D)=TRIM(E1287)),0))</f>
        <v>186</v>
      </c>
      <c r="AA1287" cm="1">
        <f t="array" ref="AA1287">INDEX(Innings!I:I,MATCH(1,(TRIM(Innings!A:A)=TRIM(A1287))*(TRIM(Innings!D:D)=TRIM(E1287)),0))</f>
        <v>9.3000000000000007</v>
      </c>
      <c r="AB1287" cm="1">
        <f t="array" ref="AB1287">INDEX(Innings!J:J,MATCH(1,(TRIM(Innings!A:A)=TRIM(A1287))*(TRIM(Innings!D:D)=TRIM(E1287)),0))</f>
        <v>40</v>
      </c>
      <c r="AC1287" cm="1">
        <f t="array" ref="AC1287">INDEX(Innings!N:N,MATCH(1,(TRIM(Innings!A:A)=TRIM(A1287))*(TRIM(Innings!D:D)=TRIM(E1287)),0))</f>
        <v>42</v>
      </c>
      <c r="AD1287" cm="1">
        <f t="array" ref="AD1287">INDEX(Innings!S:S,MATCH(1,(TRIM(Innings!A:A)=TRIM(A1287))*(TRIM(Innings!D:D)=TRIM(E1287)),0))</f>
        <v>39</v>
      </c>
      <c r="AE1287" t="str" cm="1">
        <f t="array" ref="AE1287">INDEX(Innings!W:W,MATCH(1,(TRIM(Innings!A:A)=TRIM(A1287))*(TRIM(Innings!D:D)=TRIM(E1287)),0))</f>
        <v>NA</v>
      </c>
      <c r="AF1287">
        <f>IF(UPPER(TRIM(E1287))=UPPER(TRIM(W1287)),1,0)</f>
        <v>1</v>
      </c>
      <c r="AG1287">
        <f t="shared" si="40"/>
        <v>25.3</v>
      </c>
    </row>
    <row r="1288" spans="1:33" x14ac:dyDescent="0.3">
      <c r="A1288" t="s">
        <v>476</v>
      </c>
      <c r="B1288">
        <v>3</v>
      </c>
      <c r="C1288" t="s">
        <v>226</v>
      </c>
      <c r="D1288" t="s">
        <v>211</v>
      </c>
      <c r="E1288" t="s">
        <v>219</v>
      </c>
      <c r="F1288" t="s">
        <v>169</v>
      </c>
      <c r="G1288" t="s">
        <v>86</v>
      </c>
      <c r="H1288">
        <v>25</v>
      </c>
      <c r="I1288">
        <v>30</v>
      </c>
      <c r="J1288">
        <v>83.33</v>
      </c>
      <c r="K1288" t="s">
        <v>247</v>
      </c>
      <c r="L1288">
        <v>30</v>
      </c>
      <c r="M1288">
        <v>4</v>
      </c>
      <c r="N1288">
        <v>0</v>
      </c>
      <c r="O1288">
        <v>36</v>
      </c>
      <c r="P1288">
        <v>0</v>
      </c>
      <c r="Q1288">
        <v>9</v>
      </c>
      <c r="R1288">
        <v>0</v>
      </c>
      <c r="S1288">
        <v>0</v>
      </c>
      <c r="T1288">
        <v>0</v>
      </c>
      <c r="U1288" s="8">
        <v>30</v>
      </c>
      <c r="V1288" s="8">
        <f t="shared" si="41"/>
        <v>3</v>
      </c>
      <c r="W1288" t="str">
        <f>_xlfn.XLOOKUP(A1288, Matches!A:A, Matches!L:L, "NA", 0)</f>
        <v>GGTW</v>
      </c>
      <c r="X1288" t="str">
        <f>_xlfn.XLOOKUP(A1288, Matches!A:A, Matches!J:J, "NA", 0)</f>
        <v>UPW</v>
      </c>
      <c r="Y1288" t="str">
        <f>_xlfn.XLOOKUP(A1288, Matches!A:A, Matches!F:F, "NA", 0)</f>
        <v>Bharat Ratna Shri Atal Bihari Vajpayee Ekana Cricket Stadium</v>
      </c>
      <c r="Z1288" cm="1">
        <f t="array" ref="Z1288">INDEX(Innings!F:F,MATCH(1,(TRIM(Innings!A:A)=TRIM(A1288))*(TRIM(Innings!D:D)=TRIM(E1288)),0))</f>
        <v>105</v>
      </c>
      <c r="AA1288" cm="1">
        <f t="array" ref="AA1288">INDEX(Innings!I:I,MATCH(1,(TRIM(Innings!A:A)=TRIM(A1288))*(TRIM(Innings!D:D)=TRIM(E1288)),0))</f>
        <v>6.12</v>
      </c>
      <c r="AB1288" cm="1">
        <f t="array" ref="AB1288">INDEX(Innings!J:J,MATCH(1,(TRIM(Innings!A:A)=TRIM(A1288))*(TRIM(Innings!D:D)=TRIM(E1288)),0))</f>
        <v>29</v>
      </c>
      <c r="AC1288" cm="1">
        <f t="array" ref="AC1288">INDEX(Innings!N:N,MATCH(1,(TRIM(Innings!A:A)=TRIM(A1288))*(TRIM(Innings!D:D)=TRIM(E1288)),0))</f>
        <v>5</v>
      </c>
      <c r="AD1288" cm="1">
        <f t="array" ref="AD1288">INDEX(Innings!S:S,MATCH(1,(TRIM(Innings!A:A)=TRIM(A1288))*(TRIM(Innings!D:D)=TRIM(E1288)),0))</f>
        <v>58</v>
      </c>
      <c r="AE1288" t="str" cm="1">
        <f t="array" ref="AE1288">INDEX(Innings!W:W,MATCH(1,(TRIM(Innings!A:A)=TRIM(A1288))*(TRIM(Innings!D:D)=TRIM(E1288)),0))</f>
        <v>Failed</v>
      </c>
      <c r="AF1288">
        <f>IF(UPPER(TRIM(E1288))=UPPER(TRIM(W1288)),1,0)</f>
        <v>0</v>
      </c>
      <c r="AG1288">
        <f t="shared" si="40"/>
        <v>15.9</v>
      </c>
    </row>
    <row r="1289" spans="1:33" x14ac:dyDescent="0.3">
      <c r="A1289" t="s">
        <v>476</v>
      </c>
      <c r="B1289">
        <v>3</v>
      </c>
      <c r="C1289" t="s">
        <v>229</v>
      </c>
      <c r="D1289" t="s">
        <v>230</v>
      </c>
      <c r="E1289" t="s">
        <v>219</v>
      </c>
      <c r="F1289" t="s">
        <v>109</v>
      </c>
      <c r="G1289" t="s">
        <v>92</v>
      </c>
      <c r="H1289">
        <v>0</v>
      </c>
      <c r="I1289">
        <v>1</v>
      </c>
      <c r="J1289">
        <v>0</v>
      </c>
      <c r="K1289" t="s">
        <v>246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 s="8">
        <v>0</v>
      </c>
      <c r="V1289" s="8">
        <f t="shared" si="41"/>
        <v>0</v>
      </c>
      <c r="W1289" t="str">
        <f>_xlfn.XLOOKUP(A1289, Matches!A:A, Matches!L:L, "NA", 0)</f>
        <v>GGTW</v>
      </c>
      <c r="X1289" t="str">
        <f>_xlfn.XLOOKUP(A1289, Matches!A:A, Matches!J:J, "NA", 0)</f>
        <v>UPW</v>
      </c>
      <c r="Y1289" t="str">
        <f>_xlfn.XLOOKUP(A1289, Matches!A:A, Matches!F:F, "NA", 0)</f>
        <v>Bharat Ratna Shri Atal Bihari Vajpayee Ekana Cricket Stadium</v>
      </c>
      <c r="Z1289" cm="1">
        <f t="array" ref="Z1289">INDEX(Innings!F:F,MATCH(1,(TRIM(Innings!A:A)=TRIM(A1289))*(TRIM(Innings!D:D)=TRIM(E1289)),0))</f>
        <v>105</v>
      </c>
      <c r="AA1289" cm="1">
        <f t="array" ref="AA1289">INDEX(Innings!I:I,MATCH(1,(TRIM(Innings!A:A)=TRIM(A1289))*(TRIM(Innings!D:D)=TRIM(E1289)),0))</f>
        <v>6.12</v>
      </c>
      <c r="AB1289" cm="1">
        <f t="array" ref="AB1289">INDEX(Innings!J:J,MATCH(1,(TRIM(Innings!A:A)=TRIM(A1289))*(TRIM(Innings!D:D)=TRIM(E1289)),0))</f>
        <v>29</v>
      </c>
      <c r="AC1289" cm="1">
        <f t="array" ref="AC1289">INDEX(Innings!N:N,MATCH(1,(TRIM(Innings!A:A)=TRIM(A1289))*(TRIM(Innings!D:D)=TRIM(E1289)),0))</f>
        <v>5</v>
      </c>
      <c r="AD1289" cm="1">
        <f t="array" ref="AD1289">INDEX(Innings!S:S,MATCH(1,(TRIM(Innings!A:A)=TRIM(A1289))*(TRIM(Innings!D:D)=TRIM(E1289)),0))</f>
        <v>58</v>
      </c>
      <c r="AE1289" t="str" cm="1">
        <f t="array" ref="AE1289">INDEX(Innings!W:W,MATCH(1,(TRIM(Innings!A:A)=TRIM(A1289))*(TRIM(Innings!D:D)=TRIM(E1289)),0))</f>
        <v>Failed</v>
      </c>
      <c r="AF1289">
        <f>IF(UPPER(TRIM(E1289))=UPPER(TRIM(W1289)),1,0)</f>
        <v>0</v>
      </c>
      <c r="AG1289">
        <f t="shared" si="40"/>
        <v>0</v>
      </c>
    </row>
    <row r="1290" spans="1:33" x14ac:dyDescent="0.3">
      <c r="A1290" t="s">
        <v>476</v>
      </c>
      <c r="B1290">
        <v>3</v>
      </c>
      <c r="C1290" t="s">
        <v>514</v>
      </c>
      <c r="D1290" t="s">
        <v>567</v>
      </c>
      <c r="E1290" t="s">
        <v>219</v>
      </c>
      <c r="F1290" t="s">
        <v>109</v>
      </c>
      <c r="G1290" t="s">
        <v>92</v>
      </c>
      <c r="H1290">
        <v>0</v>
      </c>
      <c r="I1290">
        <v>3</v>
      </c>
      <c r="J1290">
        <v>0</v>
      </c>
      <c r="K1290" t="s">
        <v>245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 s="8">
        <v>0</v>
      </c>
      <c r="V1290" s="8">
        <f t="shared" si="41"/>
        <v>0</v>
      </c>
      <c r="W1290" t="str">
        <f>_xlfn.XLOOKUP(A1290, Matches!A:A, Matches!L:L, "NA", 0)</f>
        <v>GGTW</v>
      </c>
      <c r="X1290" t="str">
        <f>_xlfn.XLOOKUP(A1290, Matches!A:A, Matches!J:J, "NA", 0)</f>
        <v>UPW</v>
      </c>
      <c r="Y1290" t="str">
        <f>_xlfn.XLOOKUP(A1290, Matches!A:A, Matches!F:F, "NA", 0)</f>
        <v>Bharat Ratna Shri Atal Bihari Vajpayee Ekana Cricket Stadium</v>
      </c>
      <c r="Z1290" cm="1">
        <f t="array" ref="Z1290">INDEX(Innings!F:F,MATCH(1,(TRIM(Innings!A:A)=TRIM(A1290))*(TRIM(Innings!D:D)=TRIM(E1290)),0))</f>
        <v>105</v>
      </c>
      <c r="AA1290" cm="1">
        <f t="array" ref="AA1290">INDEX(Innings!I:I,MATCH(1,(TRIM(Innings!A:A)=TRIM(A1290))*(TRIM(Innings!D:D)=TRIM(E1290)),0))</f>
        <v>6.12</v>
      </c>
      <c r="AB1290" cm="1">
        <f t="array" ref="AB1290">INDEX(Innings!J:J,MATCH(1,(TRIM(Innings!A:A)=TRIM(A1290))*(TRIM(Innings!D:D)=TRIM(E1290)),0))</f>
        <v>29</v>
      </c>
      <c r="AC1290" cm="1">
        <f t="array" ref="AC1290">INDEX(Innings!N:N,MATCH(1,(TRIM(Innings!A:A)=TRIM(A1290))*(TRIM(Innings!D:D)=TRIM(E1290)),0))</f>
        <v>5</v>
      </c>
      <c r="AD1290" cm="1">
        <f t="array" ref="AD1290">INDEX(Innings!S:S,MATCH(1,(TRIM(Innings!A:A)=TRIM(A1290))*(TRIM(Innings!D:D)=TRIM(E1290)),0))</f>
        <v>58</v>
      </c>
      <c r="AE1290" t="str" cm="1">
        <f t="array" ref="AE1290">INDEX(Innings!W:W,MATCH(1,(TRIM(Innings!A:A)=TRIM(A1290))*(TRIM(Innings!D:D)=TRIM(E1290)),0))</f>
        <v>Failed</v>
      </c>
      <c r="AF1290">
        <f>IF(UPPER(TRIM(E1290))=UPPER(TRIM(W1290)),1,0)</f>
        <v>0</v>
      </c>
      <c r="AG1290">
        <f t="shared" si="40"/>
        <v>0</v>
      </c>
    </row>
    <row r="1291" spans="1:33" x14ac:dyDescent="0.3">
      <c r="A1291" t="s">
        <v>476</v>
      </c>
      <c r="B1291">
        <v>3</v>
      </c>
      <c r="C1291" t="s">
        <v>375</v>
      </c>
      <c r="D1291" t="s">
        <v>376</v>
      </c>
      <c r="E1291" t="s">
        <v>219</v>
      </c>
      <c r="F1291" t="s">
        <v>109</v>
      </c>
      <c r="G1291" t="s">
        <v>92</v>
      </c>
      <c r="H1291">
        <v>1</v>
      </c>
      <c r="I1291">
        <v>3</v>
      </c>
      <c r="J1291">
        <v>33.33</v>
      </c>
      <c r="K1291" t="s">
        <v>245</v>
      </c>
      <c r="L1291">
        <v>1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 s="8">
        <v>1</v>
      </c>
      <c r="V1291" s="8">
        <f t="shared" si="41"/>
        <v>0</v>
      </c>
      <c r="W1291" t="str">
        <f>_xlfn.XLOOKUP(A1291, Matches!A:A, Matches!L:L, "NA", 0)</f>
        <v>GGTW</v>
      </c>
      <c r="X1291" t="str">
        <f>_xlfn.XLOOKUP(A1291, Matches!A:A, Matches!J:J, "NA", 0)</f>
        <v>UPW</v>
      </c>
      <c r="Y1291" t="str">
        <f>_xlfn.XLOOKUP(A1291, Matches!A:A, Matches!F:F, "NA", 0)</f>
        <v>Bharat Ratna Shri Atal Bihari Vajpayee Ekana Cricket Stadium</v>
      </c>
      <c r="Z1291" cm="1">
        <f t="array" ref="Z1291">INDEX(Innings!F:F,MATCH(1,(TRIM(Innings!A:A)=TRIM(A1291))*(TRIM(Innings!D:D)=TRIM(E1291)),0))</f>
        <v>105</v>
      </c>
      <c r="AA1291" cm="1">
        <f t="array" ref="AA1291">INDEX(Innings!I:I,MATCH(1,(TRIM(Innings!A:A)=TRIM(A1291))*(TRIM(Innings!D:D)=TRIM(E1291)),0))</f>
        <v>6.12</v>
      </c>
      <c r="AB1291" cm="1">
        <f t="array" ref="AB1291">INDEX(Innings!J:J,MATCH(1,(TRIM(Innings!A:A)=TRIM(A1291))*(TRIM(Innings!D:D)=TRIM(E1291)),0))</f>
        <v>29</v>
      </c>
      <c r="AC1291" cm="1">
        <f t="array" ref="AC1291">INDEX(Innings!N:N,MATCH(1,(TRIM(Innings!A:A)=TRIM(A1291))*(TRIM(Innings!D:D)=TRIM(E1291)),0))</f>
        <v>5</v>
      </c>
      <c r="AD1291" cm="1">
        <f t="array" ref="AD1291">INDEX(Innings!S:S,MATCH(1,(TRIM(Innings!A:A)=TRIM(A1291))*(TRIM(Innings!D:D)=TRIM(E1291)),0))</f>
        <v>58</v>
      </c>
      <c r="AE1291" t="str" cm="1">
        <f t="array" ref="AE1291">INDEX(Innings!W:W,MATCH(1,(TRIM(Innings!A:A)=TRIM(A1291))*(TRIM(Innings!D:D)=TRIM(E1291)),0))</f>
        <v>Failed</v>
      </c>
      <c r="AF1291">
        <f>IF(UPPER(TRIM(E1291))=UPPER(TRIM(W1291)),1,0)</f>
        <v>0</v>
      </c>
      <c r="AG1291">
        <f t="shared" si="40"/>
        <v>0.5</v>
      </c>
    </row>
    <row r="1292" spans="1:33" x14ac:dyDescent="0.3">
      <c r="A1292" t="s">
        <v>476</v>
      </c>
      <c r="B1292">
        <v>3</v>
      </c>
      <c r="C1292" t="s">
        <v>224</v>
      </c>
      <c r="D1292" t="s">
        <v>225</v>
      </c>
      <c r="E1292" t="s">
        <v>219</v>
      </c>
      <c r="F1292" t="s">
        <v>169</v>
      </c>
      <c r="G1292" t="s">
        <v>134</v>
      </c>
      <c r="H1292">
        <v>6</v>
      </c>
      <c r="I1292">
        <v>9</v>
      </c>
      <c r="J1292">
        <v>66.67</v>
      </c>
      <c r="K1292" t="s">
        <v>246</v>
      </c>
      <c r="L1292">
        <v>10</v>
      </c>
      <c r="M1292">
        <v>4</v>
      </c>
      <c r="N1292">
        <v>0</v>
      </c>
      <c r="O1292">
        <v>37</v>
      </c>
      <c r="P1292">
        <v>1</v>
      </c>
      <c r="Q1292">
        <v>9.1999999999999993</v>
      </c>
      <c r="R1292">
        <v>25</v>
      </c>
      <c r="S1292">
        <v>0</v>
      </c>
      <c r="T1292">
        <v>0</v>
      </c>
      <c r="U1292" s="8">
        <v>35</v>
      </c>
      <c r="V1292" s="8">
        <f t="shared" si="41"/>
        <v>4</v>
      </c>
      <c r="W1292" t="str">
        <f>_xlfn.XLOOKUP(A1292, Matches!A:A, Matches!L:L, "NA", 0)</f>
        <v>GGTW</v>
      </c>
      <c r="X1292" t="str">
        <f>_xlfn.XLOOKUP(A1292, Matches!A:A, Matches!J:J, "NA", 0)</f>
        <v>UPW</v>
      </c>
      <c r="Y1292" t="str">
        <f>_xlfn.XLOOKUP(A1292, Matches!A:A, Matches!F:F, "NA", 0)</f>
        <v>Bharat Ratna Shri Atal Bihari Vajpayee Ekana Cricket Stadium</v>
      </c>
      <c r="Z1292" cm="1">
        <f t="array" ref="Z1292">INDEX(Innings!F:F,MATCH(1,(TRIM(Innings!A:A)=TRIM(A1292))*(TRIM(Innings!D:D)=TRIM(E1292)),0))</f>
        <v>105</v>
      </c>
      <c r="AA1292" cm="1">
        <f t="array" ref="AA1292">INDEX(Innings!I:I,MATCH(1,(TRIM(Innings!A:A)=TRIM(A1292))*(TRIM(Innings!D:D)=TRIM(E1292)),0))</f>
        <v>6.12</v>
      </c>
      <c r="AB1292" cm="1">
        <f t="array" ref="AB1292">INDEX(Innings!J:J,MATCH(1,(TRIM(Innings!A:A)=TRIM(A1292))*(TRIM(Innings!D:D)=TRIM(E1292)),0))</f>
        <v>29</v>
      </c>
      <c r="AC1292" cm="1">
        <f t="array" ref="AC1292">INDEX(Innings!N:N,MATCH(1,(TRIM(Innings!A:A)=TRIM(A1292))*(TRIM(Innings!D:D)=TRIM(E1292)),0))</f>
        <v>5</v>
      </c>
      <c r="AD1292" cm="1">
        <f t="array" ref="AD1292">INDEX(Innings!S:S,MATCH(1,(TRIM(Innings!A:A)=TRIM(A1292))*(TRIM(Innings!D:D)=TRIM(E1292)),0))</f>
        <v>58</v>
      </c>
      <c r="AE1292" t="str" cm="1">
        <f t="array" ref="AE1292">INDEX(Innings!W:W,MATCH(1,(TRIM(Innings!A:A)=TRIM(A1292))*(TRIM(Innings!D:D)=TRIM(E1292)),0))</f>
        <v>Failed</v>
      </c>
      <c r="AF1292">
        <f>IF(UPPER(TRIM(E1292))=UPPER(TRIM(W1292)),1,0)</f>
        <v>0</v>
      </c>
      <c r="AG1292">
        <f t="shared" si="40"/>
        <v>18.7</v>
      </c>
    </row>
    <row r="1293" spans="1:33" x14ac:dyDescent="0.3">
      <c r="A1293" t="s">
        <v>476</v>
      </c>
      <c r="B1293">
        <v>3</v>
      </c>
      <c r="C1293" t="s">
        <v>220</v>
      </c>
      <c r="D1293" t="s">
        <v>221</v>
      </c>
      <c r="E1293" t="s">
        <v>219</v>
      </c>
      <c r="F1293" t="s">
        <v>109</v>
      </c>
      <c r="G1293" t="s">
        <v>134</v>
      </c>
      <c r="H1293">
        <v>5</v>
      </c>
      <c r="I1293">
        <v>8</v>
      </c>
      <c r="J1293">
        <v>62.5</v>
      </c>
      <c r="K1293" t="s">
        <v>246</v>
      </c>
      <c r="L1293">
        <v>5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 s="8">
        <v>5</v>
      </c>
      <c r="V1293" s="8">
        <f t="shared" si="41"/>
        <v>1</v>
      </c>
      <c r="W1293" t="str">
        <f>_xlfn.XLOOKUP(A1293, Matches!A:A, Matches!L:L, "NA", 0)</f>
        <v>GGTW</v>
      </c>
      <c r="X1293" t="str">
        <f>_xlfn.XLOOKUP(A1293, Matches!A:A, Matches!J:J, "NA", 0)</f>
        <v>UPW</v>
      </c>
      <c r="Y1293" t="str">
        <f>_xlfn.XLOOKUP(A1293, Matches!A:A, Matches!F:F, "NA", 0)</f>
        <v>Bharat Ratna Shri Atal Bihari Vajpayee Ekana Cricket Stadium</v>
      </c>
      <c r="Z1293" cm="1">
        <f t="array" ref="Z1293">INDEX(Innings!F:F,MATCH(1,(TRIM(Innings!A:A)=TRIM(A1293))*(TRIM(Innings!D:D)=TRIM(E1293)),0))</f>
        <v>105</v>
      </c>
      <c r="AA1293" cm="1">
        <f t="array" ref="AA1293">INDEX(Innings!I:I,MATCH(1,(TRIM(Innings!A:A)=TRIM(A1293))*(TRIM(Innings!D:D)=TRIM(E1293)),0))</f>
        <v>6.12</v>
      </c>
      <c r="AB1293" cm="1">
        <f t="array" ref="AB1293">INDEX(Innings!J:J,MATCH(1,(TRIM(Innings!A:A)=TRIM(A1293))*(TRIM(Innings!D:D)=TRIM(E1293)),0))</f>
        <v>29</v>
      </c>
      <c r="AC1293" cm="1">
        <f t="array" ref="AC1293">INDEX(Innings!N:N,MATCH(1,(TRIM(Innings!A:A)=TRIM(A1293))*(TRIM(Innings!D:D)=TRIM(E1293)),0))</f>
        <v>5</v>
      </c>
      <c r="AD1293" cm="1">
        <f t="array" ref="AD1293">INDEX(Innings!S:S,MATCH(1,(TRIM(Innings!A:A)=TRIM(A1293))*(TRIM(Innings!D:D)=TRIM(E1293)),0))</f>
        <v>58</v>
      </c>
      <c r="AE1293" t="str" cm="1">
        <f t="array" ref="AE1293">INDEX(Innings!W:W,MATCH(1,(TRIM(Innings!A:A)=TRIM(A1293))*(TRIM(Innings!D:D)=TRIM(E1293)),0))</f>
        <v>Failed</v>
      </c>
      <c r="AF1293">
        <f>IF(UPPER(TRIM(E1293))=UPPER(TRIM(W1293)),1,0)</f>
        <v>0</v>
      </c>
      <c r="AG1293">
        <f t="shared" si="40"/>
        <v>2.8</v>
      </c>
    </row>
    <row r="1294" spans="1:33" x14ac:dyDescent="0.3">
      <c r="A1294" t="s">
        <v>476</v>
      </c>
      <c r="B1294">
        <v>3</v>
      </c>
      <c r="C1294" t="s">
        <v>442</v>
      </c>
      <c r="D1294" t="s">
        <v>443</v>
      </c>
      <c r="E1294" t="s">
        <v>219</v>
      </c>
      <c r="F1294" t="s">
        <v>85</v>
      </c>
      <c r="G1294" t="s">
        <v>134</v>
      </c>
      <c r="H1294">
        <v>17</v>
      </c>
      <c r="I1294">
        <v>22</v>
      </c>
      <c r="J1294">
        <v>77.27</v>
      </c>
      <c r="K1294" t="s">
        <v>246</v>
      </c>
      <c r="L1294">
        <v>20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 s="8">
        <v>20</v>
      </c>
      <c r="V1294" s="8">
        <f t="shared" si="41"/>
        <v>2</v>
      </c>
      <c r="W1294" t="str">
        <f>_xlfn.XLOOKUP(A1294, Matches!A:A, Matches!L:L, "NA", 0)</f>
        <v>GGTW</v>
      </c>
      <c r="X1294" t="str">
        <f>_xlfn.XLOOKUP(A1294, Matches!A:A, Matches!J:J, "NA", 0)</f>
        <v>UPW</v>
      </c>
      <c r="Y1294" t="str">
        <f>_xlfn.XLOOKUP(A1294, Matches!A:A, Matches!F:F, "NA", 0)</f>
        <v>Bharat Ratna Shri Atal Bihari Vajpayee Ekana Cricket Stadium</v>
      </c>
      <c r="Z1294" cm="1">
        <f t="array" ref="Z1294">INDEX(Innings!F:F,MATCH(1,(TRIM(Innings!A:A)=TRIM(A1294))*(TRIM(Innings!D:D)=TRIM(E1294)),0))</f>
        <v>105</v>
      </c>
      <c r="AA1294" cm="1">
        <f t="array" ref="AA1294">INDEX(Innings!I:I,MATCH(1,(TRIM(Innings!A:A)=TRIM(A1294))*(TRIM(Innings!D:D)=TRIM(E1294)),0))</f>
        <v>6.12</v>
      </c>
      <c r="AB1294" cm="1">
        <f t="array" ref="AB1294">INDEX(Innings!J:J,MATCH(1,(TRIM(Innings!A:A)=TRIM(A1294))*(TRIM(Innings!D:D)=TRIM(E1294)),0))</f>
        <v>29</v>
      </c>
      <c r="AC1294" cm="1">
        <f t="array" ref="AC1294">INDEX(Innings!N:N,MATCH(1,(TRIM(Innings!A:A)=TRIM(A1294))*(TRIM(Innings!D:D)=TRIM(E1294)),0))</f>
        <v>5</v>
      </c>
      <c r="AD1294" cm="1">
        <f t="array" ref="AD1294">INDEX(Innings!S:S,MATCH(1,(TRIM(Innings!A:A)=TRIM(A1294))*(TRIM(Innings!D:D)=TRIM(E1294)),0))</f>
        <v>58</v>
      </c>
      <c r="AE1294" t="str" cm="1">
        <f t="array" ref="AE1294">INDEX(Innings!W:W,MATCH(1,(TRIM(Innings!A:A)=TRIM(A1294))*(TRIM(Innings!D:D)=TRIM(E1294)),0))</f>
        <v>Failed</v>
      </c>
      <c r="AF1294">
        <f>IF(UPPER(TRIM(E1294))=UPPER(TRIM(W1294)),1,0)</f>
        <v>0</v>
      </c>
      <c r="AG1294">
        <f t="shared" si="40"/>
        <v>10.6</v>
      </c>
    </row>
    <row r="1295" spans="1:33" x14ac:dyDescent="0.3">
      <c r="A1295" t="s">
        <v>476</v>
      </c>
      <c r="B1295">
        <v>3</v>
      </c>
      <c r="C1295" t="s">
        <v>512</v>
      </c>
      <c r="D1295" t="s">
        <v>542</v>
      </c>
      <c r="E1295" t="s">
        <v>219</v>
      </c>
      <c r="F1295" t="s">
        <v>169</v>
      </c>
      <c r="G1295" t="s">
        <v>134</v>
      </c>
      <c r="H1295">
        <v>28</v>
      </c>
      <c r="I1295">
        <v>14</v>
      </c>
      <c r="J1295">
        <v>200</v>
      </c>
      <c r="K1295" t="s">
        <v>246</v>
      </c>
      <c r="L1295">
        <v>35</v>
      </c>
      <c r="M1295">
        <v>4</v>
      </c>
      <c r="N1295">
        <v>0</v>
      </c>
      <c r="O1295">
        <v>31</v>
      </c>
      <c r="P1295">
        <v>1</v>
      </c>
      <c r="Q1295">
        <v>7.8</v>
      </c>
      <c r="R1295">
        <v>25</v>
      </c>
      <c r="S1295">
        <v>0</v>
      </c>
      <c r="T1295">
        <v>0</v>
      </c>
      <c r="U1295" s="8">
        <v>60</v>
      </c>
      <c r="V1295" s="8">
        <f t="shared" si="41"/>
        <v>6</v>
      </c>
      <c r="W1295" t="str">
        <f>_xlfn.XLOOKUP(A1295, Matches!A:A, Matches!L:L, "NA", 0)</f>
        <v>GGTW</v>
      </c>
      <c r="X1295" t="str">
        <f>_xlfn.XLOOKUP(A1295, Matches!A:A, Matches!J:J, "NA", 0)</f>
        <v>UPW</v>
      </c>
      <c r="Y1295" t="str">
        <f>_xlfn.XLOOKUP(A1295, Matches!A:A, Matches!F:F, "NA", 0)</f>
        <v>Bharat Ratna Shri Atal Bihari Vajpayee Ekana Cricket Stadium</v>
      </c>
      <c r="Z1295" cm="1">
        <f t="array" ref="Z1295">INDEX(Innings!F:F,MATCH(1,(TRIM(Innings!A:A)=TRIM(A1295))*(TRIM(Innings!D:D)=TRIM(E1295)),0))</f>
        <v>105</v>
      </c>
      <c r="AA1295" cm="1">
        <f t="array" ref="AA1295">INDEX(Innings!I:I,MATCH(1,(TRIM(Innings!A:A)=TRIM(A1295))*(TRIM(Innings!D:D)=TRIM(E1295)),0))</f>
        <v>6.12</v>
      </c>
      <c r="AB1295" cm="1">
        <f t="array" ref="AB1295">INDEX(Innings!J:J,MATCH(1,(TRIM(Innings!A:A)=TRIM(A1295))*(TRIM(Innings!D:D)=TRIM(E1295)),0))</f>
        <v>29</v>
      </c>
      <c r="AC1295" cm="1">
        <f t="array" ref="AC1295">INDEX(Innings!N:N,MATCH(1,(TRIM(Innings!A:A)=TRIM(A1295))*(TRIM(Innings!D:D)=TRIM(E1295)),0))</f>
        <v>5</v>
      </c>
      <c r="AD1295" cm="1">
        <f t="array" ref="AD1295">INDEX(Innings!S:S,MATCH(1,(TRIM(Innings!A:A)=TRIM(A1295))*(TRIM(Innings!D:D)=TRIM(E1295)),0))</f>
        <v>58</v>
      </c>
      <c r="AE1295" t="str" cm="1">
        <f t="array" ref="AE1295">INDEX(Innings!W:W,MATCH(1,(TRIM(Innings!A:A)=TRIM(A1295))*(TRIM(Innings!D:D)=TRIM(E1295)),0))</f>
        <v>Failed</v>
      </c>
      <c r="AF1295">
        <f>IF(UPPER(TRIM(E1295))=UPPER(TRIM(W1295)),1,0)</f>
        <v>0</v>
      </c>
      <c r="AG1295">
        <f t="shared" si="40"/>
        <v>31.8</v>
      </c>
    </row>
    <row r="1296" spans="1:33" x14ac:dyDescent="0.3">
      <c r="A1296" t="s">
        <v>476</v>
      </c>
      <c r="B1296">
        <v>3</v>
      </c>
      <c r="C1296" t="s">
        <v>233</v>
      </c>
      <c r="D1296" t="s">
        <v>234</v>
      </c>
      <c r="E1296" t="s">
        <v>219</v>
      </c>
      <c r="F1296" t="s">
        <v>101</v>
      </c>
      <c r="G1296" t="s">
        <v>134</v>
      </c>
      <c r="H1296">
        <v>14</v>
      </c>
      <c r="I1296">
        <v>10</v>
      </c>
      <c r="J1296">
        <v>140</v>
      </c>
      <c r="K1296" t="s">
        <v>245</v>
      </c>
      <c r="L1296">
        <v>15</v>
      </c>
      <c r="M1296">
        <v>4</v>
      </c>
      <c r="N1296">
        <v>0</v>
      </c>
      <c r="O1296">
        <v>34</v>
      </c>
      <c r="P1296">
        <v>2</v>
      </c>
      <c r="Q1296">
        <v>8.5</v>
      </c>
      <c r="R1296">
        <v>50</v>
      </c>
      <c r="S1296">
        <v>0</v>
      </c>
      <c r="T1296">
        <v>0</v>
      </c>
      <c r="U1296" s="8">
        <v>65</v>
      </c>
      <c r="V1296" s="8">
        <f t="shared" si="41"/>
        <v>7</v>
      </c>
      <c r="W1296" t="str">
        <f>_xlfn.XLOOKUP(A1296, Matches!A:A, Matches!L:L, "NA", 0)</f>
        <v>GGTW</v>
      </c>
      <c r="X1296" t="str">
        <f>_xlfn.XLOOKUP(A1296, Matches!A:A, Matches!J:J, "NA", 0)</f>
        <v>UPW</v>
      </c>
      <c r="Y1296" t="str">
        <f>_xlfn.XLOOKUP(A1296, Matches!A:A, Matches!F:F, "NA", 0)</f>
        <v>Bharat Ratna Shri Atal Bihari Vajpayee Ekana Cricket Stadium</v>
      </c>
      <c r="Z1296" cm="1">
        <f t="array" ref="Z1296">INDEX(Innings!F:F,MATCH(1,(TRIM(Innings!A:A)=TRIM(A1296))*(TRIM(Innings!D:D)=TRIM(E1296)),0))</f>
        <v>105</v>
      </c>
      <c r="AA1296" cm="1">
        <f t="array" ref="AA1296">INDEX(Innings!I:I,MATCH(1,(TRIM(Innings!A:A)=TRIM(A1296))*(TRIM(Innings!D:D)=TRIM(E1296)),0))</f>
        <v>6.12</v>
      </c>
      <c r="AB1296" cm="1">
        <f t="array" ref="AB1296">INDEX(Innings!J:J,MATCH(1,(TRIM(Innings!A:A)=TRIM(A1296))*(TRIM(Innings!D:D)=TRIM(E1296)),0))</f>
        <v>29</v>
      </c>
      <c r="AC1296" cm="1">
        <f t="array" ref="AC1296">INDEX(Innings!N:N,MATCH(1,(TRIM(Innings!A:A)=TRIM(A1296))*(TRIM(Innings!D:D)=TRIM(E1296)),0))</f>
        <v>5</v>
      </c>
      <c r="AD1296" cm="1">
        <f t="array" ref="AD1296">INDEX(Innings!S:S,MATCH(1,(TRIM(Innings!A:A)=TRIM(A1296))*(TRIM(Innings!D:D)=TRIM(E1296)),0))</f>
        <v>58</v>
      </c>
      <c r="AE1296" t="str" cm="1">
        <f t="array" ref="AE1296">INDEX(Innings!W:W,MATCH(1,(TRIM(Innings!A:A)=TRIM(A1296))*(TRIM(Innings!D:D)=TRIM(E1296)),0))</f>
        <v>Failed</v>
      </c>
      <c r="AF1296">
        <f>IF(UPPER(TRIM(E1296))=UPPER(TRIM(W1296)),1,0)</f>
        <v>0</v>
      </c>
      <c r="AG1296">
        <f t="shared" si="40"/>
        <v>34.6</v>
      </c>
    </row>
    <row r="1297" spans="1:33" x14ac:dyDescent="0.3">
      <c r="A1297" t="s">
        <v>476</v>
      </c>
      <c r="B1297">
        <v>3</v>
      </c>
      <c r="C1297" t="s">
        <v>394</v>
      </c>
      <c r="D1297" t="s">
        <v>395</v>
      </c>
      <c r="E1297" t="s">
        <v>219</v>
      </c>
      <c r="F1297" t="s">
        <v>101</v>
      </c>
      <c r="G1297" t="s">
        <v>134</v>
      </c>
      <c r="H1297">
        <v>0</v>
      </c>
      <c r="I1297">
        <v>1</v>
      </c>
      <c r="J1297">
        <v>0</v>
      </c>
      <c r="K1297" t="s">
        <v>246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 s="8">
        <v>0</v>
      </c>
      <c r="V1297" s="8">
        <f t="shared" si="41"/>
        <v>0</v>
      </c>
      <c r="W1297" t="str">
        <f>_xlfn.XLOOKUP(A1297, Matches!A:A, Matches!L:L, "NA", 0)</f>
        <v>GGTW</v>
      </c>
      <c r="X1297" t="str">
        <f>_xlfn.XLOOKUP(A1297, Matches!A:A, Matches!J:J, "NA", 0)</f>
        <v>UPW</v>
      </c>
      <c r="Y1297" t="str">
        <f>_xlfn.XLOOKUP(A1297, Matches!A:A, Matches!F:F, "NA", 0)</f>
        <v>Bharat Ratna Shri Atal Bihari Vajpayee Ekana Cricket Stadium</v>
      </c>
      <c r="Z1297" cm="1">
        <f t="array" ref="Z1297">INDEX(Innings!F:F,MATCH(1,(TRIM(Innings!A:A)=TRIM(A1297))*(TRIM(Innings!D:D)=TRIM(E1297)),0))</f>
        <v>105</v>
      </c>
      <c r="AA1297" cm="1">
        <f t="array" ref="AA1297">INDEX(Innings!I:I,MATCH(1,(TRIM(Innings!A:A)=TRIM(A1297))*(TRIM(Innings!D:D)=TRIM(E1297)),0))</f>
        <v>6.12</v>
      </c>
      <c r="AB1297" cm="1">
        <f t="array" ref="AB1297">INDEX(Innings!J:J,MATCH(1,(TRIM(Innings!A:A)=TRIM(A1297))*(TRIM(Innings!D:D)=TRIM(E1297)),0))</f>
        <v>29</v>
      </c>
      <c r="AC1297" cm="1">
        <f t="array" ref="AC1297">INDEX(Innings!N:N,MATCH(1,(TRIM(Innings!A:A)=TRIM(A1297))*(TRIM(Innings!D:D)=TRIM(E1297)),0))</f>
        <v>5</v>
      </c>
      <c r="AD1297" cm="1">
        <f t="array" ref="AD1297">INDEX(Innings!S:S,MATCH(1,(TRIM(Innings!A:A)=TRIM(A1297))*(TRIM(Innings!D:D)=TRIM(E1297)),0))</f>
        <v>58</v>
      </c>
      <c r="AE1297" t="str" cm="1">
        <f t="array" ref="AE1297">INDEX(Innings!W:W,MATCH(1,(TRIM(Innings!A:A)=TRIM(A1297))*(TRIM(Innings!D:D)=TRIM(E1297)),0))</f>
        <v>Failed</v>
      </c>
      <c r="AF1297">
        <f>IF(UPPER(TRIM(E1297))=UPPER(TRIM(W1297)),1,0)</f>
        <v>0</v>
      </c>
      <c r="AG1297">
        <f t="shared" si="40"/>
        <v>0</v>
      </c>
    </row>
    <row r="1298" spans="1:33" x14ac:dyDescent="0.3">
      <c r="A1298" t="s">
        <v>476</v>
      </c>
      <c r="B1298">
        <v>3</v>
      </c>
      <c r="C1298" t="s">
        <v>509</v>
      </c>
      <c r="D1298" t="s">
        <v>523</v>
      </c>
      <c r="E1298" t="s">
        <v>219</v>
      </c>
      <c r="F1298" t="s">
        <v>169</v>
      </c>
      <c r="G1298" t="s">
        <v>134</v>
      </c>
      <c r="H1298">
        <v>0</v>
      </c>
      <c r="I1298">
        <v>2</v>
      </c>
      <c r="J1298">
        <v>0</v>
      </c>
      <c r="K1298" t="s">
        <v>96</v>
      </c>
      <c r="L1298">
        <v>0</v>
      </c>
      <c r="M1298">
        <v>4</v>
      </c>
      <c r="N1298">
        <v>0</v>
      </c>
      <c r="O1298">
        <v>46</v>
      </c>
      <c r="P1298">
        <v>1</v>
      </c>
      <c r="Q1298">
        <v>11.5</v>
      </c>
      <c r="R1298">
        <v>25</v>
      </c>
      <c r="S1298">
        <v>0</v>
      </c>
      <c r="T1298">
        <v>0</v>
      </c>
      <c r="U1298" s="8">
        <v>25</v>
      </c>
      <c r="V1298" s="8">
        <f t="shared" si="41"/>
        <v>3</v>
      </c>
      <c r="W1298" t="str">
        <f>_xlfn.XLOOKUP(A1298, Matches!A:A, Matches!L:L, "NA", 0)</f>
        <v>GGTW</v>
      </c>
      <c r="X1298" t="str">
        <f>_xlfn.XLOOKUP(A1298, Matches!A:A, Matches!J:J, "NA", 0)</f>
        <v>UPW</v>
      </c>
      <c r="Y1298" t="str">
        <f>_xlfn.XLOOKUP(A1298, Matches!A:A, Matches!F:F, "NA", 0)</f>
        <v>Bharat Ratna Shri Atal Bihari Vajpayee Ekana Cricket Stadium</v>
      </c>
      <c r="Z1298" cm="1">
        <f t="array" ref="Z1298">INDEX(Innings!F:F,MATCH(1,(TRIM(Innings!A:A)=TRIM(A1298))*(TRIM(Innings!D:D)=TRIM(E1298)),0))</f>
        <v>105</v>
      </c>
      <c r="AA1298" cm="1">
        <f t="array" ref="AA1298">INDEX(Innings!I:I,MATCH(1,(TRIM(Innings!A:A)=TRIM(A1298))*(TRIM(Innings!D:D)=TRIM(E1298)),0))</f>
        <v>6.12</v>
      </c>
      <c r="AB1298" cm="1">
        <f t="array" ref="AB1298">INDEX(Innings!J:J,MATCH(1,(TRIM(Innings!A:A)=TRIM(A1298))*(TRIM(Innings!D:D)=TRIM(E1298)),0))</f>
        <v>29</v>
      </c>
      <c r="AC1298" cm="1">
        <f t="array" ref="AC1298">INDEX(Innings!N:N,MATCH(1,(TRIM(Innings!A:A)=TRIM(A1298))*(TRIM(Innings!D:D)=TRIM(E1298)),0))</f>
        <v>5</v>
      </c>
      <c r="AD1298" cm="1">
        <f t="array" ref="AD1298">INDEX(Innings!S:S,MATCH(1,(TRIM(Innings!A:A)=TRIM(A1298))*(TRIM(Innings!D:D)=TRIM(E1298)),0))</f>
        <v>58</v>
      </c>
      <c r="AE1298" t="str" cm="1">
        <f t="array" ref="AE1298">INDEX(Innings!W:W,MATCH(1,(TRIM(Innings!A:A)=TRIM(A1298))*(TRIM(Innings!D:D)=TRIM(E1298)),0))</f>
        <v>Failed</v>
      </c>
      <c r="AF1298">
        <f>IF(UPPER(TRIM(E1298))=UPPER(TRIM(W1298)),1,0)</f>
        <v>0</v>
      </c>
      <c r="AG1298">
        <f t="shared" si="40"/>
        <v>13.4</v>
      </c>
    </row>
    <row r="1299" spans="1:33" x14ac:dyDescent="0.3">
      <c r="A1299" t="s">
        <v>477</v>
      </c>
      <c r="B1299">
        <v>3</v>
      </c>
      <c r="C1299" t="s">
        <v>226</v>
      </c>
      <c r="D1299" t="s">
        <v>211</v>
      </c>
      <c r="E1299" t="s">
        <v>219</v>
      </c>
      <c r="F1299" t="s">
        <v>169</v>
      </c>
      <c r="G1299" t="s">
        <v>86</v>
      </c>
      <c r="H1299">
        <v>28</v>
      </c>
      <c r="I1299">
        <v>25</v>
      </c>
      <c r="J1299">
        <v>112</v>
      </c>
      <c r="K1299" t="s">
        <v>246</v>
      </c>
      <c r="L1299">
        <v>30</v>
      </c>
      <c r="M1299">
        <v>2</v>
      </c>
      <c r="N1299">
        <v>0</v>
      </c>
      <c r="O1299">
        <v>11</v>
      </c>
      <c r="P1299">
        <v>2</v>
      </c>
      <c r="Q1299">
        <v>5.5</v>
      </c>
      <c r="R1299">
        <v>50</v>
      </c>
      <c r="S1299">
        <v>0</v>
      </c>
      <c r="T1299">
        <v>0</v>
      </c>
      <c r="U1299" s="8">
        <v>80</v>
      </c>
      <c r="V1299" s="8">
        <f t="shared" si="41"/>
        <v>8</v>
      </c>
      <c r="W1299" t="str">
        <f>_xlfn.XLOOKUP(A1299, Matches!A:A, Matches!L:L, "NA", 0)</f>
        <v>MIW</v>
      </c>
      <c r="X1299" t="str">
        <f>_xlfn.XLOOKUP(A1299, Matches!A:A, Matches!J:J, "NA", 0)</f>
        <v>MIW</v>
      </c>
      <c r="Y1299" t="str">
        <f>_xlfn.XLOOKUP(A1299, Matches!A:A, Matches!F:F, "NA", 0)</f>
        <v>Bharat Ratna Shri Atal Bihari Vajpayee Ekana Cricket Stadium</v>
      </c>
      <c r="Z1299" cm="1">
        <f t="array" ref="Z1299">INDEX(Innings!F:F,MATCH(1,(TRIM(Innings!A:A)=TRIM(A1299))*(TRIM(Innings!D:D)=TRIM(E1299)),0))</f>
        <v>150</v>
      </c>
      <c r="AA1299" cm="1">
        <f t="array" ref="AA1299">INDEX(Innings!I:I,MATCH(1,(TRIM(Innings!A:A)=TRIM(A1299))*(TRIM(Innings!D:D)=TRIM(E1299)),0))</f>
        <v>7.5</v>
      </c>
      <c r="AB1299" cm="1">
        <f t="array" ref="AB1299">INDEX(Innings!J:J,MATCH(1,(TRIM(Innings!A:A)=TRIM(A1299))*(TRIM(Innings!D:D)=TRIM(E1299)),0))</f>
        <v>50</v>
      </c>
      <c r="AC1299" cm="1">
        <f t="array" ref="AC1299">INDEX(Innings!N:N,MATCH(1,(TRIM(Innings!A:A)=TRIM(A1299))*(TRIM(Innings!D:D)=TRIM(E1299)),0))</f>
        <v>29</v>
      </c>
      <c r="AD1299" cm="1">
        <f t="array" ref="AD1299">INDEX(Innings!S:S,MATCH(1,(TRIM(Innings!A:A)=TRIM(A1299))*(TRIM(Innings!D:D)=TRIM(E1299)),0))</f>
        <v>56</v>
      </c>
      <c r="AE1299" t="str" cm="1">
        <f t="array" ref="AE1299">INDEX(Innings!W:W,MATCH(1,(TRIM(Innings!A:A)=TRIM(A1299))*(TRIM(Innings!D:D)=TRIM(E1299)),0))</f>
        <v>NA</v>
      </c>
      <c r="AF1299">
        <f>IF(UPPER(TRIM(E1299))=UPPER(TRIM(W1299)),1,0)</f>
        <v>0</v>
      </c>
      <c r="AG1299">
        <f t="shared" si="40"/>
        <v>42.4</v>
      </c>
    </row>
    <row r="1300" spans="1:33" x14ac:dyDescent="0.3">
      <c r="A1300" t="s">
        <v>477</v>
      </c>
      <c r="B1300">
        <v>3</v>
      </c>
      <c r="C1300" t="s">
        <v>514</v>
      </c>
      <c r="D1300" t="s">
        <v>567</v>
      </c>
      <c r="E1300" t="s">
        <v>219</v>
      </c>
      <c r="F1300" t="s">
        <v>109</v>
      </c>
      <c r="G1300" t="s">
        <v>92</v>
      </c>
      <c r="H1300">
        <v>55</v>
      </c>
      <c r="I1300">
        <v>33</v>
      </c>
      <c r="J1300">
        <v>166.67</v>
      </c>
      <c r="K1300" t="s">
        <v>245</v>
      </c>
      <c r="L1300">
        <v>70</v>
      </c>
      <c r="M1300">
        <v>1</v>
      </c>
      <c r="N1300">
        <v>0</v>
      </c>
      <c r="O1300">
        <v>6</v>
      </c>
      <c r="P1300">
        <v>0</v>
      </c>
      <c r="Q1300">
        <v>6</v>
      </c>
      <c r="R1300">
        <v>0</v>
      </c>
      <c r="S1300">
        <v>0</v>
      </c>
      <c r="T1300">
        <v>0</v>
      </c>
      <c r="U1300" s="8">
        <v>70</v>
      </c>
      <c r="V1300" s="8">
        <f t="shared" si="41"/>
        <v>7</v>
      </c>
      <c r="W1300" t="str">
        <f>_xlfn.XLOOKUP(A1300, Matches!A:A, Matches!L:L, "NA", 0)</f>
        <v>MIW</v>
      </c>
      <c r="X1300" t="str">
        <f>_xlfn.XLOOKUP(A1300, Matches!A:A, Matches!J:J, "NA", 0)</f>
        <v>MIW</v>
      </c>
      <c r="Y1300" t="str">
        <f>_xlfn.XLOOKUP(A1300, Matches!A:A, Matches!F:F, "NA", 0)</f>
        <v>Bharat Ratna Shri Atal Bihari Vajpayee Ekana Cricket Stadium</v>
      </c>
      <c r="Z1300" cm="1">
        <f t="array" ref="Z1300">INDEX(Innings!F:F,MATCH(1,(TRIM(Innings!A:A)=TRIM(A1300))*(TRIM(Innings!D:D)=TRIM(E1300)),0))</f>
        <v>150</v>
      </c>
      <c r="AA1300" cm="1">
        <f t="array" ref="AA1300">INDEX(Innings!I:I,MATCH(1,(TRIM(Innings!A:A)=TRIM(A1300))*(TRIM(Innings!D:D)=TRIM(E1300)),0))</f>
        <v>7.5</v>
      </c>
      <c r="AB1300" cm="1">
        <f t="array" ref="AB1300">INDEX(Innings!J:J,MATCH(1,(TRIM(Innings!A:A)=TRIM(A1300))*(TRIM(Innings!D:D)=TRIM(E1300)),0))</f>
        <v>50</v>
      </c>
      <c r="AC1300" cm="1">
        <f t="array" ref="AC1300">INDEX(Innings!N:N,MATCH(1,(TRIM(Innings!A:A)=TRIM(A1300))*(TRIM(Innings!D:D)=TRIM(E1300)),0))</f>
        <v>29</v>
      </c>
      <c r="AD1300" cm="1">
        <f t="array" ref="AD1300">INDEX(Innings!S:S,MATCH(1,(TRIM(Innings!A:A)=TRIM(A1300))*(TRIM(Innings!D:D)=TRIM(E1300)),0))</f>
        <v>56</v>
      </c>
      <c r="AE1300" t="str" cm="1">
        <f t="array" ref="AE1300">INDEX(Innings!W:W,MATCH(1,(TRIM(Innings!A:A)=TRIM(A1300))*(TRIM(Innings!D:D)=TRIM(E1300)),0))</f>
        <v>NA</v>
      </c>
      <c r="AF1300">
        <f>IF(UPPER(TRIM(E1300))=UPPER(TRIM(W1300)),1,0)</f>
        <v>0</v>
      </c>
      <c r="AG1300">
        <f t="shared" si="40"/>
        <v>37.1</v>
      </c>
    </row>
    <row r="1301" spans="1:33" x14ac:dyDescent="0.3">
      <c r="A1301" t="s">
        <v>477</v>
      </c>
      <c r="B1301">
        <v>3</v>
      </c>
      <c r="C1301" t="s">
        <v>229</v>
      </c>
      <c r="D1301" t="s">
        <v>230</v>
      </c>
      <c r="E1301" t="s">
        <v>219</v>
      </c>
      <c r="F1301" t="s">
        <v>109</v>
      </c>
      <c r="G1301" t="s">
        <v>92</v>
      </c>
      <c r="H1301">
        <v>0</v>
      </c>
      <c r="I1301">
        <v>2</v>
      </c>
      <c r="J1301">
        <v>0</v>
      </c>
      <c r="K1301" t="s">
        <v>246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 s="8">
        <v>0</v>
      </c>
      <c r="V1301" s="8">
        <f t="shared" si="41"/>
        <v>0</v>
      </c>
      <c r="W1301" t="str">
        <f>_xlfn.XLOOKUP(A1301, Matches!A:A, Matches!L:L, "NA", 0)</f>
        <v>MIW</v>
      </c>
      <c r="X1301" t="str">
        <f>_xlfn.XLOOKUP(A1301, Matches!A:A, Matches!J:J, "NA", 0)</f>
        <v>MIW</v>
      </c>
      <c r="Y1301" t="str">
        <f>_xlfn.XLOOKUP(A1301, Matches!A:A, Matches!F:F, "NA", 0)</f>
        <v>Bharat Ratna Shri Atal Bihari Vajpayee Ekana Cricket Stadium</v>
      </c>
      <c r="Z1301" cm="1">
        <f t="array" ref="Z1301">INDEX(Innings!F:F,MATCH(1,(TRIM(Innings!A:A)=TRIM(A1301))*(TRIM(Innings!D:D)=TRIM(E1301)),0))</f>
        <v>150</v>
      </c>
      <c r="AA1301" cm="1">
        <f t="array" ref="AA1301">INDEX(Innings!I:I,MATCH(1,(TRIM(Innings!A:A)=TRIM(A1301))*(TRIM(Innings!D:D)=TRIM(E1301)),0))</f>
        <v>7.5</v>
      </c>
      <c r="AB1301" cm="1">
        <f t="array" ref="AB1301">INDEX(Innings!J:J,MATCH(1,(TRIM(Innings!A:A)=TRIM(A1301))*(TRIM(Innings!D:D)=TRIM(E1301)),0))</f>
        <v>50</v>
      </c>
      <c r="AC1301" cm="1">
        <f t="array" ref="AC1301">INDEX(Innings!N:N,MATCH(1,(TRIM(Innings!A:A)=TRIM(A1301))*(TRIM(Innings!D:D)=TRIM(E1301)),0))</f>
        <v>29</v>
      </c>
      <c r="AD1301" cm="1">
        <f t="array" ref="AD1301">INDEX(Innings!S:S,MATCH(1,(TRIM(Innings!A:A)=TRIM(A1301))*(TRIM(Innings!D:D)=TRIM(E1301)),0))</f>
        <v>56</v>
      </c>
      <c r="AE1301" t="str" cm="1">
        <f t="array" ref="AE1301">INDEX(Innings!W:W,MATCH(1,(TRIM(Innings!A:A)=TRIM(A1301))*(TRIM(Innings!D:D)=TRIM(E1301)),0))</f>
        <v>NA</v>
      </c>
      <c r="AF1301">
        <f>IF(UPPER(TRIM(E1301))=UPPER(TRIM(W1301)),1,0)</f>
        <v>0</v>
      </c>
      <c r="AG1301">
        <f t="shared" si="40"/>
        <v>0</v>
      </c>
    </row>
    <row r="1302" spans="1:33" x14ac:dyDescent="0.3">
      <c r="A1302" t="s">
        <v>477</v>
      </c>
      <c r="B1302">
        <v>3</v>
      </c>
      <c r="C1302" t="s">
        <v>224</v>
      </c>
      <c r="D1302" t="s">
        <v>225</v>
      </c>
      <c r="E1302" t="s">
        <v>219</v>
      </c>
      <c r="F1302" t="s">
        <v>169</v>
      </c>
      <c r="G1302" t="s">
        <v>134</v>
      </c>
      <c r="H1302">
        <v>27</v>
      </c>
      <c r="I1302">
        <v>25</v>
      </c>
      <c r="J1302">
        <v>108</v>
      </c>
      <c r="K1302" t="s">
        <v>248</v>
      </c>
      <c r="L1302">
        <v>35</v>
      </c>
      <c r="M1302">
        <v>3.3</v>
      </c>
      <c r="N1302">
        <v>0</v>
      </c>
      <c r="O1302">
        <v>27</v>
      </c>
      <c r="P1302">
        <v>0</v>
      </c>
      <c r="Q1302">
        <v>7.7</v>
      </c>
      <c r="R1302">
        <v>0</v>
      </c>
      <c r="S1302">
        <v>0</v>
      </c>
      <c r="T1302">
        <v>0</v>
      </c>
      <c r="U1302" s="8">
        <v>35</v>
      </c>
      <c r="V1302" s="8">
        <f t="shared" si="41"/>
        <v>4</v>
      </c>
      <c r="W1302" t="str">
        <f>_xlfn.XLOOKUP(A1302, Matches!A:A, Matches!L:L, "NA", 0)</f>
        <v>MIW</v>
      </c>
      <c r="X1302" t="str">
        <f>_xlfn.XLOOKUP(A1302, Matches!A:A, Matches!J:J, "NA", 0)</f>
        <v>MIW</v>
      </c>
      <c r="Y1302" t="str">
        <f>_xlfn.XLOOKUP(A1302, Matches!A:A, Matches!F:F, "NA", 0)</f>
        <v>Bharat Ratna Shri Atal Bihari Vajpayee Ekana Cricket Stadium</v>
      </c>
      <c r="Z1302" cm="1">
        <f t="array" ref="Z1302">INDEX(Innings!F:F,MATCH(1,(TRIM(Innings!A:A)=TRIM(A1302))*(TRIM(Innings!D:D)=TRIM(E1302)),0))</f>
        <v>150</v>
      </c>
      <c r="AA1302" cm="1">
        <f t="array" ref="AA1302">INDEX(Innings!I:I,MATCH(1,(TRIM(Innings!A:A)=TRIM(A1302))*(TRIM(Innings!D:D)=TRIM(E1302)),0))</f>
        <v>7.5</v>
      </c>
      <c r="AB1302" cm="1">
        <f t="array" ref="AB1302">INDEX(Innings!J:J,MATCH(1,(TRIM(Innings!A:A)=TRIM(A1302))*(TRIM(Innings!D:D)=TRIM(E1302)),0))</f>
        <v>50</v>
      </c>
      <c r="AC1302" cm="1">
        <f t="array" ref="AC1302">INDEX(Innings!N:N,MATCH(1,(TRIM(Innings!A:A)=TRIM(A1302))*(TRIM(Innings!D:D)=TRIM(E1302)),0))</f>
        <v>29</v>
      </c>
      <c r="AD1302" cm="1">
        <f t="array" ref="AD1302">INDEX(Innings!S:S,MATCH(1,(TRIM(Innings!A:A)=TRIM(A1302))*(TRIM(Innings!D:D)=TRIM(E1302)),0))</f>
        <v>56</v>
      </c>
      <c r="AE1302" t="str" cm="1">
        <f t="array" ref="AE1302">INDEX(Innings!W:W,MATCH(1,(TRIM(Innings!A:A)=TRIM(A1302))*(TRIM(Innings!D:D)=TRIM(E1302)),0))</f>
        <v>NA</v>
      </c>
      <c r="AF1302">
        <f>IF(UPPER(TRIM(E1302))=UPPER(TRIM(W1302)),1,0)</f>
        <v>0</v>
      </c>
      <c r="AG1302">
        <f t="shared" si="40"/>
        <v>18.7</v>
      </c>
    </row>
    <row r="1303" spans="1:33" x14ac:dyDescent="0.3">
      <c r="A1303" t="s">
        <v>477</v>
      </c>
      <c r="B1303">
        <v>3</v>
      </c>
      <c r="C1303" t="s">
        <v>375</v>
      </c>
      <c r="D1303" t="s">
        <v>376</v>
      </c>
      <c r="E1303" t="s">
        <v>219</v>
      </c>
      <c r="F1303" t="s">
        <v>109</v>
      </c>
      <c r="G1303" t="s">
        <v>134</v>
      </c>
      <c r="H1303">
        <v>10</v>
      </c>
      <c r="I1303">
        <v>12</v>
      </c>
      <c r="J1303">
        <v>83.33</v>
      </c>
      <c r="K1303" t="s">
        <v>246</v>
      </c>
      <c r="L1303">
        <v>10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 s="8">
        <v>10</v>
      </c>
      <c r="V1303" s="8">
        <f t="shared" si="41"/>
        <v>1</v>
      </c>
      <c r="W1303" t="str">
        <f>_xlfn.XLOOKUP(A1303, Matches!A:A, Matches!L:L, "NA", 0)</f>
        <v>MIW</v>
      </c>
      <c r="X1303" t="str">
        <f>_xlfn.XLOOKUP(A1303, Matches!A:A, Matches!J:J, "NA", 0)</f>
        <v>MIW</v>
      </c>
      <c r="Y1303" t="str">
        <f>_xlfn.XLOOKUP(A1303, Matches!A:A, Matches!F:F, "NA", 0)</f>
        <v>Bharat Ratna Shri Atal Bihari Vajpayee Ekana Cricket Stadium</v>
      </c>
      <c r="Z1303" cm="1">
        <f t="array" ref="Z1303">INDEX(Innings!F:F,MATCH(1,(TRIM(Innings!A:A)=TRIM(A1303))*(TRIM(Innings!D:D)=TRIM(E1303)),0))</f>
        <v>150</v>
      </c>
      <c r="AA1303" cm="1">
        <f t="array" ref="AA1303">INDEX(Innings!I:I,MATCH(1,(TRIM(Innings!A:A)=TRIM(A1303))*(TRIM(Innings!D:D)=TRIM(E1303)),0))</f>
        <v>7.5</v>
      </c>
      <c r="AB1303" cm="1">
        <f t="array" ref="AB1303">INDEX(Innings!J:J,MATCH(1,(TRIM(Innings!A:A)=TRIM(A1303))*(TRIM(Innings!D:D)=TRIM(E1303)),0))</f>
        <v>50</v>
      </c>
      <c r="AC1303" cm="1">
        <f t="array" ref="AC1303">INDEX(Innings!N:N,MATCH(1,(TRIM(Innings!A:A)=TRIM(A1303))*(TRIM(Innings!D:D)=TRIM(E1303)),0))</f>
        <v>29</v>
      </c>
      <c r="AD1303" cm="1">
        <f t="array" ref="AD1303">INDEX(Innings!S:S,MATCH(1,(TRIM(Innings!A:A)=TRIM(A1303))*(TRIM(Innings!D:D)=TRIM(E1303)),0))</f>
        <v>56</v>
      </c>
      <c r="AE1303" t="str" cm="1">
        <f t="array" ref="AE1303">INDEX(Innings!W:W,MATCH(1,(TRIM(Innings!A:A)=TRIM(A1303))*(TRIM(Innings!D:D)=TRIM(E1303)),0))</f>
        <v>NA</v>
      </c>
      <c r="AF1303">
        <f>IF(UPPER(TRIM(E1303))=UPPER(TRIM(W1303)),1,0)</f>
        <v>0</v>
      </c>
      <c r="AG1303">
        <f t="shared" si="40"/>
        <v>5.3</v>
      </c>
    </row>
    <row r="1304" spans="1:33" x14ac:dyDescent="0.3">
      <c r="A1304" t="s">
        <v>477</v>
      </c>
      <c r="B1304">
        <v>3</v>
      </c>
      <c r="C1304" t="s">
        <v>512</v>
      </c>
      <c r="D1304" t="s">
        <v>542</v>
      </c>
      <c r="E1304" t="s">
        <v>219</v>
      </c>
      <c r="F1304" t="s">
        <v>169</v>
      </c>
      <c r="G1304" t="s">
        <v>134</v>
      </c>
      <c r="H1304">
        <v>6</v>
      </c>
      <c r="I1304">
        <v>2</v>
      </c>
      <c r="J1304">
        <v>300</v>
      </c>
      <c r="K1304" t="s">
        <v>246</v>
      </c>
      <c r="L1304">
        <v>10</v>
      </c>
      <c r="M1304">
        <v>4</v>
      </c>
      <c r="N1304">
        <v>0</v>
      </c>
      <c r="O1304">
        <v>28</v>
      </c>
      <c r="P1304">
        <v>1</v>
      </c>
      <c r="Q1304">
        <v>7</v>
      </c>
      <c r="R1304">
        <v>25</v>
      </c>
      <c r="S1304">
        <v>0</v>
      </c>
      <c r="T1304">
        <v>0</v>
      </c>
      <c r="U1304" s="8">
        <v>35</v>
      </c>
      <c r="V1304" s="8">
        <f t="shared" si="41"/>
        <v>4</v>
      </c>
      <c r="W1304" t="str">
        <f>_xlfn.XLOOKUP(A1304, Matches!A:A, Matches!L:L, "NA", 0)</f>
        <v>MIW</v>
      </c>
      <c r="X1304" t="str">
        <f>_xlfn.XLOOKUP(A1304, Matches!A:A, Matches!J:J, "NA", 0)</f>
        <v>MIW</v>
      </c>
      <c r="Y1304" t="str">
        <f>_xlfn.XLOOKUP(A1304, Matches!A:A, Matches!F:F, "NA", 0)</f>
        <v>Bharat Ratna Shri Atal Bihari Vajpayee Ekana Cricket Stadium</v>
      </c>
      <c r="Z1304" cm="1">
        <f t="array" ref="Z1304">INDEX(Innings!F:F,MATCH(1,(TRIM(Innings!A:A)=TRIM(A1304))*(TRIM(Innings!D:D)=TRIM(E1304)),0))</f>
        <v>150</v>
      </c>
      <c r="AA1304" cm="1">
        <f t="array" ref="AA1304">INDEX(Innings!I:I,MATCH(1,(TRIM(Innings!A:A)=TRIM(A1304))*(TRIM(Innings!D:D)=TRIM(E1304)),0))</f>
        <v>7.5</v>
      </c>
      <c r="AB1304" cm="1">
        <f t="array" ref="AB1304">INDEX(Innings!J:J,MATCH(1,(TRIM(Innings!A:A)=TRIM(A1304))*(TRIM(Innings!D:D)=TRIM(E1304)),0))</f>
        <v>50</v>
      </c>
      <c r="AC1304" cm="1">
        <f t="array" ref="AC1304">INDEX(Innings!N:N,MATCH(1,(TRIM(Innings!A:A)=TRIM(A1304))*(TRIM(Innings!D:D)=TRIM(E1304)),0))</f>
        <v>29</v>
      </c>
      <c r="AD1304" cm="1">
        <f t="array" ref="AD1304">INDEX(Innings!S:S,MATCH(1,(TRIM(Innings!A:A)=TRIM(A1304))*(TRIM(Innings!D:D)=TRIM(E1304)),0))</f>
        <v>56</v>
      </c>
      <c r="AE1304" t="str" cm="1">
        <f t="array" ref="AE1304">INDEX(Innings!W:W,MATCH(1,(TRIM(Innings!A:A)=TRIM(A1304))*(TRIM(Innings!D:D)=TRIM(E1304)),0))</f>
        <v>NA</v>
      </c>
      <c r="AF1304">
        <f>IF(UPPER(TRIM(E1304))=UPPER(TRIM(W1304)),1,0)</f>
        <v>0</v>
      </c>
      <c r="AG1304">
        <f t="shared" si="40"/>
        <v>18.7</v>
      </c>
    </row>
    <row r="1305" spans="1:33" x14ac:dyDescent="0.3">
      <c r="A1305" t="s">
        <v>477</v>
      </c>
      <c r="B1305">
        <v>3</v>
      </c>
      <c r="C1305" t="s">
        <v>220</v>
      </c>
      <c r="D1305" t="s">
        <v>221</v>
      </c>
      <c r="E1305" t="s">
        <v>219</v>
      </c>
      <c r="F1305" t="s">
        <v>109</v>
      </c>
      <c r="G1305" t="s">
        <v>134</v>
      </c>
      <c r="H1305">
        <v>0</v>
      </c>
      <c r="I1305">
        <v>2</v>
      </c>
      <c r="J1305">
        <v>0</v>
      </c>
      <c r="K1305" t="s">
        <v>246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 s="8">
        <v>0</v>
      </c>
      <c r="V1305" s="8">
        <f t="shared" si="41"/>
        <v>0</v>
      </c>
      <c r="W1305" t="str">
        <f>_xlfn.XLOOKUP(A1305, Matches!A:A, Matches!L:L, "NA", 0)</f>
        <v>MIW</v>
      </c>
      <c r="X1305" t="str">
        <f>_xlfn.XLOOKUP(A1305, Matches!A:A, Matches!J:J, "NA", 0)</f>
        <v>MIW</v>
      </c>
      <c r="Y1305" t="str">
        <f>_xlfn.XLOOKUP(A1305, Matches!A:A, Matches!F:F, "NA", 0)</f>
        <v>Bharat Ratna Shri Atal Bihari Vajpayee Ekana Cricket Stadium</v>
      </c>
      <c r="Z1305" cm="1">
        <f t="array" ref="Z1305">INDEX(Innings!F:F,MATCH(1,(TRIM(Innings!A:A)=TRIM(A1305))*(TRIM(Innings!D:D)=TRIM(E1305)),0))</f>
        <v>150</v>
      </c>
      <c r="AA1305" cm="1">
        <f t="array" ref="AA1305">INDEX(Innings!I:I,MATCH(1,(TRIM(Innings!A:A)=TRIM(A1305))*(TRIM(Innings!D:D)=TRIM(E1305)),0))</f>
        <v>7.5</v>
      </c>
      <c r="AB1305" cm="1">
        <f t="array" ref="AB1305">INDEX(Innings!J:J,MATCH(1,(TRIM(Innings!A:A)=TRIM(A1305))*(TRIM(Innings!D:D)=TRIM(E1305)),0))</f>
        <v>50</v>
      </c>
      <c r="AC1305" cm="1">
        <f t="array" ref="AC1305">INDEX(Innings!N:N,MATCH(1,(TRIM(Innings!A:A)=TRIM(A1305))*(TRIM(Innings!D:D)=TRIM(E1305)),0))</f>
        <v>29</v>
      </c>
      <c r="AD1305" cm="1">
        <f t="array" ref="AD1305">INDEX(Innings!S:S,MATCH(1,(TRIM(Innings!A:A)=TRIM(A1305))*(TRIM(Innings!D:D)=TRIM(E1305)),0))</f>
        <v>56</v>
      </c>
      <c r="AE1305" t="str" cm="1">
        <f t="array" ref="AE1305">INDEX(Innings!W:W,MATCH(1,(TRIM(Innings!A:A)=TRIM(A1305))*(TRIM(Innings!D:D)=TRIM(E1305)),0))</f>
        <v>NA</v>
      </c>
      <c r="AF1305">
        <f>IF(UPPER(TRIM(E1305))=UPPER(TRIM(W1305)),1,0)</f>
        <v>0</v>
      </c>
      <c r="AG1305">
        <f t="shared" si="40"/>
        <v>0</v>
      </c>
    </row>
    <row r="1306" spans="1:33" x14ac:dyDescent="0.3">
      <c r="A1306" t="s">
        <v>477</v>
      </c>
      <c r="B1306">
        <v>3</v>
      </c>
      <c r="C1306" t="s">
        <v>442</v>
      </c>
      <c r="D1306" t="s">
        <v>443</v>
      </c>
      <c r="E1306" t="s">
        <v>219</v>
      </c>
      <c r="F1306" t="s">
        <v>85</v>
      </c>
      <c r="G1306" t="s">
        <v>134</v>
      </c>
      <c r="H1306">
        <v>1</v>
      </c>
      <c r="I1306">
        <v>7</v>
      </c>
      <c r="J1306">
        <v>14.29</v>
      </c>
      <c r="K1306" t="s">
        <v>246</v>
      </c>
      <c r="L1306">
        <v>1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 s="8">
        <v>1</v>
      </c>
      <c r="V1306" s="8">
        <f t="shared" si="41"/>
        <v>0</v>
      </c>
      <c r="W1306" t="str">
        <f>_xlfn.XLOOKUP(A1306, Matches!A:A, Matches!L:L, "NA", 0)</f>
        <v>MIW</v>
      </c>
      <c r="X1306" t="str">
        <f>_xlfn.XLOOKUP(A1306, Matches!A:A, Matches!J:J, "NA", 0)</f>
        <v>MIW</v>
      </c>
      <c r="Y1306" t="str">
        <f>_xlfn.XLOOKUP(A1306, Matches!A:A, Matches!F:F, "NA", 0)</f>
        <v>Bharat Ratna Shri Atal Bihari Vajpayee Ekana Cricket Stadium</v>
      </c>
      <c r="Z1306" cm="1">
        <f t="array" ref="Z1306">INDEX(Innings!F:F,MATCH(1,(TRIM(Innings!A:A)=TRIM(A1306))*(TRIM(Innings!D:D)=TRIM(E1306)),0))</f>
        <v>150</v>
      </c>
      <c r="AA1306" cm="1">
        <f t="array" ref="AA1306">INDEX(Innings!I:I,MATCH(1,(TRIM(Innings!A:A)=TRIM(A1306))*(TRIM(Innings!D:D)=TRIM(E1306)),0))</f>
        <v>7.5</v>
      </c>
      <c r="AB1306" cm="1">
        <f t="array" ref="AB1306">INDEX(Innings!J:J,MATCH(1,(TRIM(Innings!A:A)=TRIM(A1306))*(TRIM(Innings!D:D)=TRIM(E1306)),0))</f>
        <v>50</v>
      </c>
      <c r="AC1306" cm="1">
        <f t="array" ref="AC1306">INDEX(Innings!N:N,MATCH(1,(TRIM(Innings!A:A)=TRIM(A1306))*(TRIM(Innings!D:D)=TRIM(E1306)),0))</f>
        <v>29</v>
      </c>
      <c r="AD1306" cm="1">
        <f t="array" ref="AD1306">INDEX(Innings!S:S,MATCH(1,(TRIM(Innings!A:A)=TRIM(A1306))*(TRIM(Innings!D:D)=TRIM(E1306)),0))</f>
        <v>56</v>
      </c>
      <c r="AE1306" t="str" cm="1">
        <f t="array" ref="AE1306">INDEX(Innings!W:W,MATCH(1,(TRIM(Innings!A:A)=TRIM(A1306))*(TRIM(Innings!D:D)=TRIM(E1306)),0))</f>
        <v>NA</v>
      </c>
      <c r="AF1306">
        <f>IF(UPPER(TRIM(E1306))=UPPER(TRIM(W1306)),1,0)</f>
        <v>0</v>
      </c>
      <c r="AG1306">
        <f t="shared" si="40"/>
        <v>0.5</v>
      </c>
    </row>
    <row r="1307" spans="1:33" x14ac:dyDescent="0.3">
      <c r="A1307" t="s">
        <v>477</v>
      </c>
      <c r="B1307">
        <v>3</v>
      </c>
      <c r="C1307" t="s">
        <v>233</v>
      </c>
      <c r="D1307" t="s">
        <v>234</v>
      </c>
      <c r="E1307" t="s">
        <v>219</v>
      </c>
      <c r="F1307" t="s">
        <v>101</v>
      </c>
      <c r="G1307" t="s">
        <v>134</v>
      </c>
      <c r="H1307">
        <v>16</v>
      </c>
      <c r="I1307">
        <v>11</v>
      </c>
      <c r="J1307">
        <v>145.44999999999999</v>
      </c>
      <c r="K1307" t="s">
        <v>246</v>
      </c>
      <c r="L1307">
        <v>20</v>
      </c>
      <c r="M1307">
        <v>4</v>
      </c>
      <c r="N1307">
        <v>0</v>
      </c>
      <c r="O1307">
        <v>28</v>
      </c>
      <c r="P1307">
        <v>0</v>
      </c>
      <c r="Q1307">
        <v>7</v>
      </c>
      <c r="R1307">
        <v>0</v>
      </c>
      <c r="S1307">
        <v>0</v>
      </c>
      <c r="T1307">
        <v>0</v>
      </c>
      <c r="U1307" s="8">
        <v>20</v>
      </c>
      <c r="V1307" s="8">
        <f t="shared" si="41"/>
        <v>2</v>
      </c>
      <c r="W1307" t="str">
        <f>_xlfn.XLOOKUP(A1307, Matches!A:A, Matches!L:L, "NA", 0)</f>
        <v>MIW</v>
      </c>
      <c r="X1307" t="str">
        <f>_xlfn.XLOOKUP(A1307, Matches!A:A, Matches!J:J, "NA", 0)</f>
        <v>MIW</v>
      </c>
      <c r="Y1307" t="str">
        <f>_xlfn.XLOOKUP(A1307, Matches!A:A, Matches!F:F, "NA", 0)</f>
        <v>Bharat Ratna Shri Atal Bihari Vajpayee Ekana Cricket Stadium</v>
      </c>
      <c r="Z1307" cm="1">
        <f t="array" ref="Z1307">INDEX(Innings!F:F,MATCH(1,(TRIM(Innings!A:A)=TRIM(A1307))*(TRIM(Innings!D:D)=TRIM(E1307)),0))</f>
        <v>150</v>
      </c>
      <c r="AA1307" cm="1">
        <f t="array" ref="AA1307">INDEX(Innings!I:I,MATCH(1,(TRIM(Innings!A:A)=TRIM(A1307))*(TRIM(Innings!D:D)=TRIM(E1307)),0))</f>
        <v>7.5</v>
      </c>
      <c r="AB1307" cm="1">
        <f t="array" ref="AB1307">INDEX(Innings!J:J,MATCH(1,(TRIM(Innings!A:A)=TRIM(A1307))*(TRIM(Innings!D:D)=TRIM(E1307)),0))</f>
        <v>50</v>
      </c>
      <c r="AC1307" cm="1">
        <f t="array" ref="AC1307">INDEX(Innings!N:N,MATCH(1,(TRIM(Innings!A:A)=TRIM(A1307))*(TRIM(Innings!D:D)=TRIM(E1307)),0))</f>
        <v>29</v>
      </c>
      <c r="AD1307" cm="1">
        <f t="array" ref="AD1307">INDEX(Innings!S:S,MATCH(1,(TRIM(Innings!A:A)=TRIM(A1307))*(TRIM(Innings!D:D)=TRIM(E1307)),0))</f>
        <v>56</v>
      </c>
      <c r="AE1307" t="str" cm="1">
        <f t="array" ref="AE1307">INDEX(Innings!W:W,MATCH(1,(TRIM(Innings!A:A)=TRIM(A1307))*(TRIM(Innings!D:D)=TRIM(E1307)),0))</f>
        <v>NA</v>
      </c>
      <c r="AF1307">
        <f>IF(UPPER(TRIM(E1307))=UPPER(TRIM(W1307)),1,0)</f>
        <v>0</v>
      </c>
      <c r="AG1307">
        <f t="shared" si="40"/>
        <v>10.6</v>
      </c>
    </row>
    <row r="1308" spans="1:33" x14ac:dyDescent="0.3">
      <c r="A1308" t="s">
        <v>477</v>
      </c>
      <c r="B1308">
        <v>3</v>
      </c>
      <c r="C1308" t="s">
        <v>394</v>
      </c>
      <c r="D1308" t="s">
        <v>395</v>
      </c>
      <c r="E1308" t="s">
        <v>219</v>
      </c>
      <c r="F1308" t="s">
        <v>101</v>
      </c>
      <c r="G1308" t="s">
        <v>104</v>
      </c>
      <c r="H1308">
        <v>0</v>
      </c>
      <c r="I1308">
        <v>0</v>
      </c>
      <c r="J1308">
        <v>0</v>
      </c>
      <c r="K1308" t="s">
        <v>104</v>
      </c>
      <c r="L1308">
        <v>0</v>
      </c>
      <c r="M1308">
        <v>1</v>
      </c>
      <c r="N1308">
        <v>0</v>
      </c>
      <c r="O1308">
        <v>16</v>
      </c>
      <c r="P1308">
        <v>0</v>
      </c>
      <c r="Q1308">
        <v>16</v>
      </c>
      <c r="R1308">
        <v>0</v>
      </c>
      <c r="S1308">
        <v>0</v>
      </c>
      <c r="T1308">
        <v>0</v>
      </c>
      <c r="U1308" s="8">
        <v>0</v>
      </c>
      <c r="V1308" s="8">
        <f t="shared" si="41"/>
        <v>0</v>
      </c>
      <c r="W1308" t="str">
        <f>_xlfn.XLOOKUP(A1308, Matches!A:A, Matches!L:L, "NA", 0)</f>
        <v>MIW</v>
      </c>
      <c r="X1308" t="str">
        <f>_xlfn.XLOOKUP(A1308, Matches!A:A, Matches!J:J, "NA", 0)</f>
        <v>MIW</v>
      </c>
      <c r="Y1308" t="str">
        <f>_xlfn.XLOOKUP(A1308, Matches!A:A, Matches!F:F, "NA", 0)</f>
        <v>Bharat Ratna Shri Atal Bihari Vajpayee Ekana Cricket Stadium</v>
      </c>
      <c r="Z1308" cm="1">
        <f t="array" ref="Z1308">INDEX(Innings!F:F,MATCH(1,(TRIM(Innings!A:A)=TRIM(A1308))*(TRIM(Innings!D:D)=TRIM(E1308)),0))</f>
        <v>150</v>
      </c>
      <c r="AA1308" cm="1">
        <f t="array" ref="AA1308">INDEX(Innings!I:I,MATCH(1,(TRIM(Innings!A:A)=TRIM(A1308))*(TRIM(Innings!D:D)=TRIM(E1308)),0))</f>
        <v>7.5</v>
      </c>
      <c r="AB1308" cm="1">
        <f t="array" ref="AB1308">INDEX(Innings!J:J,MATCH(1,(TRIM(Innings!A:A)=TRIM(A1308))*(TRIM(Innings!D:D)=TRIM(E1308)),0))</f>
        <v>50</v>
      </c>
      <c r="AC1308" cm="1">
        <f t="array" ref="AC1308">INDEX(Innings!N:N,MATCH(1,(TRIM(Innings!A:A)=TRIM(A1308))*(TRIM(Innings!D:D)=TRIM(E1308)),0))</f>
        <v>29</v>
      </c>
      <c r="AD1308" cm="1">
        <f t="array" ref="AD1308">INDEX(Innings!S:S,MATCH(1,(TRIM(Innings!A:A)=TRIM(A1308))*(TRIM(Innings!D:D)=TRIM(E1308)),0))</f>
        <v>56</v>
      </c>
      <c r="AE1308" t="str" cm="1">
        <f t="array" ref="AE1308">INDEX(Innings!W:W,MATCH(1,(TRIM(Innings!A:A)=TRIM(A1308))*(TRIM(Innings!D:D)=TRIM(E1308)),0))</f>
        <v>NA</v>
      </c>
      <c r="AF1308">
        <f>IF(UPPER(TRIM(E1308))=UPPER(TRIM(W1308)),1,0)</f>
        <v>0</v>
      </c>
      <c r="AG1308">
        <f t="shared" si="40"/>
        <v>0</v>
      </c>
    </row>
    <row r="1309" spans="1:33" x14ac:dyDescent="0.3">
      <c r="A1309" t="s">
        <v>477</v>
      </c>
      <c r="B1309">
        <v>3</v>
      </c>
      <c r="C1309" t="s">
        <v>509</v>
      </c>
      <c r="D1309" t="s">
        <v>523</v>
      </c>
      <c r="E1309" t="s">
        <v>219</v>
      </c>
      <c r="F1309" t="s">
        <v>169</v>
      </c>
      <c r="G1309" t="s">
        <v>134</v>
      </c>
      <c r="H1309">
        <v>1</v>
      </c>
      <c r="I1309">
        <v>1</v>
      </c>
      <c r="J1309">
        <v>100</v>
      </c>
      <c r="K1309" t="s">
        <v>96</v>
      </c>
      <c r="L1309">
        <v>2</v>
      </c>
      <c r="M1309">
        <v>3</v>
      </c>
      <c r="N1309">
        <v>0</v>
      </c>
      <c r="O1309">
        <v>31</v>
      </c>
      <c r="P1309">
        <v>1</v>
      </c>
      <c r="Q1309">
        <v>10.3</v>
      </c>
      <c r="R1309">
        <v>25</v>
      </c>
      <c r="S1309">
        <v>0</v>
      </c>
      <c r="T1309">
        <v>0</v>
      </c>
      <c r="U1309" s="8">
        <v>27</v>
      </c>
      <c r="V1309" s="8">
        <f t="shared" si="41"/>
        <v>3</v>
      </c>
      <c r="W1309" t="str">
        <f>_xlfn.XLOOKUP(A1309, Matches!A:A, Matches!L:L, "NA", 0)</f>
        <v>MIW</v>
      </c>
      <c r="X1309" t="str">
        <f>_xlfn.XLOOKUP(A1309, Matches!A:A, Matches!J:J, "NA", 0)</f>
        <v>MIW</v>
      </c>
      <c r="Y1309" t="str">
        <f>_xlfn.XLOOKUP(A1309, Matches!A:A, Matches!F:F, "NA", 0)</f>
        <v>Bharat Ratna Shri Atal Bihari Vajpayee Ekana Cricket Stadium</v>
      </c>
      <c r="Z1309" cm="1">
        <f t="array" ref="Z1309">INDEX(Innings!F:F,MATCH(1,(TRIM(Innings!A:A)=TRIM(A1309))*(TRIM(Innings!D:D)=TRIM(E1309)),0))</f>
        <v>150</v>
      </c>
      <c r="AA1309" cm="1">
        <f t="array" ref="AA1309">INDEX(Innings!I:I,MATCH(1,(TRIM(Innings!A:A)=TRIM(A1309))*(TRIM(Innings!D:D)=TRIM(E1309)),0))</f>
        <v>7.5</v>
      </c>
      <c r="AB1309" cm="1">
        <f t="array" ref="AB1309">INDEX(Innings!J:J,MATCH(1,(TRIM(Innings!A:A)=TRIM(A1309))*(TRIM(Innings!D:D)=TRIM(E1309)),0))</f>
        <v>50</v>
      </c>
      <c r="AC1309" cm="1">
        <f t="array" ref="AC1309">INDEX(Innings!N:N,MATCH(1,(TRIM(Innings!A:A)=TRIM(A1309))*(TRIM(Innings!D:D)=TRIM(E1309)),0))</f>
        <v>29</v>
      </c>
      <c r="AD1309" cm="1">
        <f t="array" ref="AD1309">INDEX(Innings!S:S,MATCH(1,(TRIM(Innings!A:A)=TRIM(A1309))*(TRIM(Innings!D:D)=TRIM(E1309)),0))</f>
        <v>56</v>
      </c>
      <c r="AE1309" t="str" cm="1">
        <f t="array" ref="AE1309">INDEX(Innings!W:W,MATCH(1,(TRIM(Innings!A:A)=TRIM(A1309))*(TRIM(Innings!D:D)=TRIM(E1309)),0))</f>
        <v>NA</v>
      </c>
      <c r="AF1309">
        <f>IF(UPPER(TRIM(E1309))=UPPER(TRIM(W1309)),1,0)</f>
        <v>0</v>
      </c>
      <c r="AG1309">
        <f t="shared" si="40"/>
        <v>14.4</v>
      </c>
    </row>
    <row r="1310" spans="1:33" x14ac:dyDescent="0.3">
      <c r="A1310" t="s">
        <v>477</v>
      </c>
      <c r="B1310">
        <v>3</v>
      </c>
      <c r="C1310" t="s">
        <v>112</v>
      </c>
      <c r="D1310" t="s">
        <v>88</v>
      </c>
      <c r="E1310" t="s">
        <v>266</v>
      </c>
      <c r="F1310" t="s">
        <v>169</v>
      </c>
      <c r="G1310" t="s">
        <v>86</v>
      </c>
      <c r="H1310">
        <v>68</v>
      </c>
      <c r="I1310">
        <v>46</v>
      </c>
      <c r="J1310">
        <v>147.83000000000001</v>
      </c>
      <c r="K1310" t="s">
        <v>246</v>
      </c>
      <c r="L1310">
        <v>90</v>
      </c>
      <c r="M1310">
        <v>4</v>
      </c>
      <c r="N1310">
        <v>0</v>
      </c>
      <c r="O1310">
        <v>25</v>
      </c>
      <c r="P1310">
        <v>2</v>
      </c>
      <c r="Q1310">
        <v>6.2</v>
      </c>
      <c r="R1310">
        <v>50</v>
      </c>
      <c r="S1310">
        <v>0</v>
      </c>
      <c r="T1310">
        <v>0</v>
      </c>
      <c r="U1310" s="8">
        <v>140</v>
      </c>
      <c r="V1310" s="8">
        <f t="shared" si="41"/>
        <v>10</v>
      </c>
      <c r="W1310" t="str">
        <f>_xlfn.XLOOKUP(A1310, Matches!A:A, Matches!L:L, "NA", 0)</f>
        <v>MIW</v>
      </c>
      <c r="X1310" t="str">
        <f>_xlfn.XLOOKUP(A1310, Matches!A:A, Matches!J:J, "NA", 0)</f>
        <v>MIW</v>
      </c>
      <c r="Y1310" t="str">
        <f>_xlfn.XLOOKUP(A1310, Matches!A:A, Matches!F:F, "NA", 0)</f>
        <v>Bharat Ratna Shri Atal Bihari Vajpayee Ekana Cricket Stadium</v>
      </c>
      <c r="Z1310" cm="1">
        <f t="array" ref="Z1310">INDEX(Innings!F:F,MATCH(1,(TRIM(Innings!A:A)=TRIM(A1310))*(TRIM(Innings!D:D)=TRIM(E1310)),0))</f>
        <v>153</v>
      </c>
      <c r="AA1310" cm="1">
        <f t="array" ref="AA1310">INDEX(Innings!I:I,MATCH(1,(TRIM(Innings!A:A)=TRIM(A1310))*(TRIM(Innings!D:D)=TRIM(E1310)),0))</f>
        <v>8.27</v>
      </c>
      <c r="AB1310" cm="1">
        <f t="array" ref="AB1310">INDEX(Innings!J:J,MATCH(1,(TRIM(Innings!A:A)=TRIM(A1310))*(TRIM(Innings!D:D)=TRIM(E1310)),0))</f>
        <v>50</v>
      </c>
      <c r="AC1310" cm="1">
        <f t="array" ref="AC1310">INDEX(Innings!N:N,MATCH(1,(TRIM(Innings!A:A)=TRIM(A1310))*(TRIM(Innings!D:D)=TRIM(E1310)),0))</f>
        <v>17</v>
      </c>
      <c r="AD1310" cm="1">
        <f t="array" ref="AD1310">INDEX(Innings!S:S,MATCH(1,(TRIM(Innings!A:A)=TRIM(A1310))*(TRIM(Innings!D:D)=TRIM(E1310)),0))</f>
        <v>48</v>
      </c>
      <c r="AE1310" t="str" cm="1">
        <f t="array" ref="AE1310">INDEX(Innings!W:W,MATCH(1,(TRIM(Innings!A:A)=TRIM(A1310))*(TRIM(Innings!D:D)=TRIM(E1310)),0))</f>
        <v>Successful</v>
      </c>
      <c r="AF1310">
        <f>IF(UPPER(TRIM(E1310))=UPPER(TRIM(W1310)),1,0)</f>
        <v>1</v>
      </c>
      <c r="AG1310">
        <f t="shared" si="40"/>
        <v>93</v>
      </c>
    </row>
    <row r="1311" spans="1:33" x14ac:dyDescent="0.3">
      <c r="A1311" t="s">
        <v>477</v>
      </c>
      <c r="B1311">
        <v>3</v>
      </c>
      <c r="C1311" t="s">
        <v>119</v>
      </c>
      <c r="D1311" t="s">
        <v>95</v>
      </c>
      <c r="E1311" t="s">
        <v>266</v>
      </c>
      <c r="F1311" t="s">
        <v>169</v>
      </c>
      <c r="G1311" t="s">
        <v>92</v>
      </c>
      <c r="H1311">
        <v>10</v>
      </c>
      <c r="I1311">
        <v>13</v>
      </c>
      <c r="J1311">
        <v>76.92</v>
      </c>
      <c r="K1311" t="s">
        <v>246</v>
      </c>
      <c r="L1311">
        <v>10</v>
      </c>
      <c r="M1311">
        <v>4</v>
      </c>
      <c r="N1311">
        <v>0</v>
      </c>
      <c r="O1311">
        <v>38</v>
      </c>
      <c r="P1311">
        <v>5</v>
      </c>
      <c r="Q1311">
        <v>9.5</v>
      </c>
      <c r="R1311">
        <v>125</v>
      </c>
      <c r="S1311">
        <v>0</v>
      </c>
      <c r="T1311">
        <v>0</v>
      </c>
      <c r="U1311" s="8">
        <v>135</v>
      </c>
      <c r="V1311" s="8">
        <f t="shared" si="41"/>
        <v>10</v>
      </c>
      <c r="W1311" t="str">
        <f>_xlfn.XLOOKUP(A1311, Matches!A:A, Matches!L:L, "NA", 0)</f>
        <v>MIW</v>
      </c>
      <c r="X1311" t="str">
        <f>_xlfn.XLOOKUP(A1311, Matches!A:A, Matches!J:J, "NA", 0)</f>
        <v>MIW</v>
      </c>
      <c r="Y1311" t="str">
        <f>_xlfn.XLOOKUP(A1311, Matches!A:A, Matches!F:F, "NA", 0)</f>
        <v>Bharat Ratna Shri Atal Bihari Vajpayee Ekana Cricket Stadium</v>
      </c>
      <c r="Z1311" cm="1">
        <f t="array" ref="Z1311">INDEX(Innings!F:F,MATCH(1,(TRIM(Innings!A:A)=TRIM(A1311))*(TRIM(Innings!D:D)=TRIM(E1311)),0))</f>
        <v>153</v>
      </c>
      <c r="AA1311" cm="1">
        <f t="array" ref="AA1311">INDEX(Innings!I:I,MATCH(1,(TRIM(Innings!A:A)=TRIM(A1311))*(TRIM(Innings!D:D)=TRIM(E1311)),0))</f>
        <v>8.27</v>
      </c>
      <c r="AB1311" cm="1">
        <f t="array" ref="AB1311">INDEX(Innings!J:J,MATCH(1,(TRIM(Innings!A:A)=TRIM(A1311))*(TRIM(Innings!D:D)=TRIM(E1311)),0))</f>
        <v>50</v>
      </c>
      <c r="AC1311" cm="1">
        <f t="array" ref="AC1311">INDEX(Innings!N:N,MATCH(1,(TRIM(Innings!A:A)=TRIM(A1311))*(TRIM(Innings!D:D)=TRIM(E1311)),0))</f>
        <v>17</v>
      </c>
      <c r="AD1311" cm="1">
        <f t="array" ref="AD1311">INDEX(Innings!S:S,MATCH(1,(TRIM(Innings!A:A)=TRIM(A1311))*(TRIM(Innings!D:D)=TRIM(E1311)),0))</f>
        <v>48</v>
      </c>
      <c r="AE1311" t="str" cm="1">
        <f t="array" ref="AE1311">INDEX(Innings!W:W,MATCH(1,(TRIM(Innings!A:A)=TRIM(A1311))*(TRIM(Innings!D:D)=TRIM(E1311)),0))</f>
        <v>Successful</v>
      </c>
      <c r="AF1311">
        <f>IF(UPPER(TRIM(E1311))=UPPER(TRIM(W1311)),1,0)</f>
        <v>1</v>
      </c>
      <c r="AG1311">
        <f t="shared" si="40"/>
        <v>90.5</v>
      </c>
    </row>
    <row r="1312" spans="1:33" x14ac:dyDescent="0.3">
      <c r="A1312" t="s">
        <v>477</v>
      </c>
      <c r="B1312">
        <v>3</v>
      </c>
      <c r="C1312" t="s">
        <v>117</v>
      </c>
      <c r="D1312" t="s">
        <v>90</v>
      </c>
      <c r="E1312" t="s">
        <v>266</v>
      </c>
      <c r="F1312" t="s">
        <v>169</v>
      </c>
      <c r="G1312" t="s">
        <v>92</v>
      </c>
      <c r="H1312">
        <v>37</v>
      </c>
      <c r="I1312">
        <v>23</v>
      </c>
      <c r="J1312">
        <v>160.87</v>
      </c>
      <c r="K1312" t="s">
        <v>246</v>
      </c>
      <c r="L1312">
        <v>50</v>
      </c>
      <c r="M1312">
        <v>3</v>
      </c>
      <c r="N1312">
        <v>0</v>
      </c>
      <c r="O1312">
        <v>16</v>
      </c>
      <c r="P1312">
        <v>1</v>
      </c>
      <c r="Q1312">
        <v>5.3</v>
      </c>
      <c r="R1312">
        <v>25</v>
      </c>
      <c r="S1312">
        <v>0</v>
      </c>
      <c r="T1312">
        <v>0</v>
      </c>
      <c r="U1312" s="8">
        <v>75</v>
      </c>
      <c r="V1312" s="8">
        <f t="shared" si="41"/>
        <v>8</v>
      </c>
      <c r="W1312" t="str">
        <f>_xlfn.XLOOKUP(A1312, Matches!A:A, Matches!L:L, "NA", 0)</f>
        <v>MIW</v>
      </c>
      <c r="X1312" t="str">
        <f>_xlfn.XLOOKUP(A1312, Matches!A:A, Matches!J:J, "NA", 0)</f>
        <v>MIW</v>
      </c>
      <c r="Y1312" t="str">
        <f>_xlfn.XLOOKUP(A1312, Matches!A:A, Matches!F:F, "NA", 0)</f>
        <v>Bharat Ratna Shri Atal Bihari Vajpayee Ekana Cricket Stadium</v>
      </c>
      <c r="Z1312" cm="1">
        <f t="array" ref="Z1312">INDEX(Innings!F:F,MATCH(1,(TRIM(Innings!A:A)=TRIM(A1312))*(TRIM(Innings!D:D)=TRIM(E1312)),0))</f>
        <v>153</v>
      </c>
      <c r="AA1312" cm="1">
        <f t="array" ref="AA1312">INDEX(Innings!I:I,MATCH(1,(TRIM(Innings!A:A)=TRIM(A1312))*(TRIM(Innings!D:D)=TRIM(E1312)),0))</f>
        <v>8.27</v>
      </c>
      <c r="AB1312" cm="1">
        <f t="array" ref="AB1312">INDEX(Innings!J:J,MATCH(1,(TRIM(Innings!A:A)=TRIM(A1312))*(TRIM(Innings!D:D)=TRIM(E1312)),0))</f>
        <v>50</v>
      </c>
      <c r="AC1312" cm="1">
        <f t="array" ref="AC1312">INDEX(Innings!N:N,MATCH(1,(TRIM(Innings!A:A)=TRIM(A1312))*(TRIM(Innings!D:D)=TRIM(E1312)),0))</f>
        <v>17</v>
      </c>
      <c r="AD1312" cm="1">
        <f t="array" ref="AD1312">INDEX(Innings!S:S,MATCH(1,(TRIM(Innings!A:A)=TRIM(A1312))*(TRIM(Innings!D:D)=TRIM(E1312)),0))</f>
        <v>48</v>
      </c>
      <c r="AE1312" t="str" cm="1">
        <f t="array" ref="AE1312">INDEX(Innings!W:W,MATCH(1,(TRIM(Innings!A:A)=TRIM(A1312))*(TRIM(Innings!D:D)=TRIM(E1312)),0))</f>
        <v>Successful</v>
      </c>
      <c r="AF1312">
        <f>IF(UPPER(TRIM(E1312))=UPPER(TRIM(W1312)),1,0)</f>
        <v>1</v>
      </c>
      <c r="AG1312">
        <f t="shared" si="40"/>
        <v>59.9</v>
      </c>
    </row>
    <row r="1313" spans="1:33" x14ac:dyDescent="0.3">
      <c r="A1313" t="s">
        <v>477</v>
      </c>
      <c r="B1313">
        <v>3</v>
      </c>
      <c r="C1313" t="s">
        <v>115</v>
      </c>
      <c r="D1313" t="s">
        <v>17</v>
      </c>
      <c r="E1313" t="s">
        <v>266</v>
      </c>
      <c r="F1313" t="s">
        <v>169</v>
      </c>
      <c r="G1313" t="s">
        <v>134</v>
      </c>
      <c r="H1313">
        <v>4</v>
      </c>
      <c r="I1313">
        <v>9</v>
      </c>
      <c r="J1313">
        <v>44.44</v>
      </c>
      <c r="K1313" t="s">
        <v>246</v>
      </c>
      <c r="L1313">
        <v>5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 s="8">
        <v>5</v>
      </c>
      <c r="V1313" s="8">
        <f t="shared" si="41"/>
        <v>1</v>
      </c>
      <c r="W1313" t="str">
        <f>_xlfn.XLOOKUP(A1313, Matches!A:A, Matches!L:L, "NA", 0)</f>
        <v>MIW</v>
      </c>
      <c r="X1313" t="str">
        <f>_xlfn.XLOOKUP(A1313, Matches!A:A, Matches!J:J, "NA", 0)</f>
        <v>MIW</v>
      </c>
      <c r="Y1313" t="str">
        <f>_xlfn.XLOOKUP(A1313, Matches!A:A, Matches!F:F, "NA", 0)</f>
        <v>Bharat Ratna Shri Atal Bihari Vajpayee Ekana Cricket Stadium</v>
      </c>
      <c r="Z1313" cm="1">
        <f t="array" ref="Z1313">INDEX(Innings!F:F,MATCH(1,(TRIM(Innings!A:A)=TRIM(A1313))*(TRIM(Innings!D:D)=TRIM(E1313)),0))</f>
        <v>153</v>
      </c>
      <c r="AA1313" cm="1">
        <f t="array" ref="AA1313">INDEX(Innings!I:I,MATCH(1,(TRIM(Innings!A:A)=TRIM(A1313))*(TRIM(Innings!D:D)=TRIM(E1313)),0))</f>
        <v>8.27</v>
      </c>
      <c r="AB1313" cm="1">
        <f t="array" ref="AB1313">INDEX(Innings!J:J,MATCH(1,(TRIM(Innings!A:A)=TRIM(A1313))*(TRIM(Innings!D:D)=TRIM(E1313)),0))</f>
        <v>50</v>
      </c>
      <c r="AC1313" cm="1">
        <f t="array" ref="AC1313">INDEX(Innings!N:N,MATCH(1,(TRIM(Innings!A:A)=TRIM(A1313))*(TRIM(Innings!D:D)=TRIM(E1313)),0))</f>
        <v>17</v>
      </c>
      <c r="AD1313" cm="1">
        <f t="array" ref="AD1313">INDEX(Innings!S:S,MATCH(1,(TRIM(Innings!A:A)=TRIM(A1313))*(TRIM(Innings!D:D)=TRIM(E1313)),0))</f>
        <v>48</v>
      </c>
      <c r="AE1313" t="str" cm="1">
        <f t="array" ref="AE1313">INDEX(Innings!W:W,MATCH(1,(TRIM(Innings!A:A)=TRIM(A1313))*(TRIM(Innings!D:D)=TRIM(E1313)),0))</f>
        <v>Successful</v>
      </c>
      <c r="AF1313">
        <f>IF(UPPER(TRIM(E1313))=UPPER(TRIM(W1313)),1,0)</f>
        <v>1</v>
      </c>
      <c r="AG1313">
        <f t="shared" si="40"/>
        <v>22.8</v>
      </c>
    </row>
    <row r="1314" spans="1:33" x14ac:dyDescent="0.3">
      <c r="A1314" t="s">
        <v>477</v>
      </c>
      <c r="B1314">
        <v>3</v>
      </c>
      <c r="C1314" t="s">
        <v>121</v>
      </c>
      <c r="D1314" t="s">
        <v>108</v>
      </c>
      <c r="E1314" t="s">
        <v>266</v>
      </c>
      <c r="F1314" t="s">
        <v>169</v>
      </c>
      <c r="G1314" t="s">
        <v>134</v>
      </c>
      <c r="H1314">
        <v>12</v>
      </c>
      <c r="I1314">
        <v>15</v>
      </c>
      <c r="J1314">
        <v>80</v>
      </c>
      <c r="K1314" t="s">
        <v>96</v>
      </c>
      <c r="L1314">
        <v>15</v>
      </c>
      <c r="M1314">
        <v>1</v>
      </c>
      <c r="N1314">
        <v>0</v>
      </c>
      <c r="O1314">
        <v>9</v>
      </c>
      <c r="P1314">
        <v>0</v>
      </c>
      <c r="Q1314">
        <v>9</v>
      </c>
      <c r="R1314">
        <v>0</v>
      </c>
      <c r="S1314">
        <v>0</v>
      </c>
      <c r="T1314">
        <v>0</v>
      </c>
      <c r="U1314" s="8">
        <v>15</v>
      </c>
      <c r="V1314" s="8">
        <f t="shared" si="41"/>
        <v>2</v>
      </c>
      <c r="W1314" t="str">
        <f>_xlfn.XLOOKUP(A1314, Matches!A:A, Matches!L:L, "NA", 0)</f>
        <v>MIW</v>
      </c>
      <c r="X1314" t="str">
        <f>_xlfn.XLOOKUP(A1314, Matches!A:A, Matches!J:J, "NA", 0)</f>
        <v>MIW</v>
      </c>
      <c r="Y1314" t="str">
        <f>_xlfn.XLOOKUP(A1314, Matches!A:A, Matches!F:F, "NA", 0)</f>
        <v>Bharat Ratna Shri Atal Bihari Vajpayee Ekana Cricket Stadium</v>
      </c>
      <c r="Z1314" cm="1">
        <f t="array" ref="Z1314">INDEX(Innings!F:F,MATCH(1,(TRIM(Innings!A:A)=TRIM(A1314))*(TRIM(Innings!D:D)=TRIM(E1314)),0))</f>
        <v>153</v>
      </c>
      <c r="AA1314" cm="1">
        <f t="array" ref="AA1314">INDEX(Innings!I:I,MATCH(1,(TRIM(Innings!A:A)=TRIM(A1314))*(TRIM(Innings!D:D)=TRIM(E1314)),0))</f>
        <v>8.27</v>
      </c>
      <c r="AB1314" cm="1">
        <f t="array" ref="AB1314">INDEX(Innings!J:J,MATCH(1,(TRIM(Innings!A:A)=TRIM(A1314))*(TRIM(Innings!D:D)=TRIM(E1314)),0))</f>
        <v>50</v>
      </c>
      <c r="AC1314" cm="1">
        <f t="array" ref="AC1314">INDEX(Innings!N:N,MATCH(1,(TRIM(Innings!A:A)=TRIM(A1314))*(TRIM(Innings!D:D)=TRIM(E1314)),0))</f>
        <v>17</v>
      </c>
      <c r="AD1314" cm="1">
        <f t="array" ref="AD1314">INDEX(Innings!S:S,MATCH(1,(TRIM(Innings!A:A)=TRIM(A1314))*(TRIM(Innings!D:D)=TRIM(E1314)),0))</f>
        <v>48</v>
      </c>
      <c r="AE1314" t="str" cm="1">
        <f t="array" ref="AE1314">INDEX(Innings!W:W,MATCH(1,(TRIM(Innings!A:A)=TRIM(A1314))*(TRIM(Innings!D:D)=TRIM(E1314)),0))</f>
        <v>Successful</v>
      </c>
      <c r="AF1314">
        <f>IF(UPPER(TRIM(E1314))=UPPER(TRIM(W1314)),1,0)</f>
        <v>1</v>
      </c>
      <c r="AG1314">
        <f t="shared" si="40"/>
        <v>28.1</v>
      </c>
    </row>
    <row r="1315" spans="1:33" x14ac:dyDescent="0.3">
      <c r="A1315" t="s">
        <v>477</v>
      </c>
      <c r="B1315">
        <v>3</v>
      </c>
      <c r="C1315" t="s">
        <v>113</v>
      </c>
      <c r="D1315" t="s">
        <v>84</v>
      </c>
      <c r="E1315" t="s">
        <v>266</v>
      </c>
      <c r="F1315" t="s">
        <v>85</v>
      </c>
      <c r="G1315" t="s">
        <v>134</v>
      </c>
      <c r="H1315">
        <v>10</v>
      </c>
      <c r="I1315">
        <v>6</v>
      </c>
      <c r="J1315">
        <v>166.67</v>
      </c>
      <c r="K1315" t="s">
        <v>96</v>
      </c>
      <c r="L1315">
        <v>15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 s="8">
        <v>15</v>
      </c>
      <c r="V1315" s="8">
        <f t="shared" si="41"/>
        <v>2</v>
      </c>
      <c r="W1315" t="str">
        <f>_xlfn.XLOOKUP(A1315, Matches!A:A, Matches!L:L, "NA", 0)</f>
        <v>MIW</v>
      </c>
      <c r="X1315" t="str">
        <f>_xlfn.XLOOKUP(A1315, Matches!A:A, Matches!J:J, "NA", 0)</f>
        <v>MIW</v>
      </c>
      <c r="Y1315" t="str">
        <f>_xlfn.XLOOKUP(A1315, Matches!A:A, Matches!F:F, "NA", 0)</f>
        <v>Bharat Ratna Shri Atal Bihari Vajpayee Ekana Cricket Stadium</v>
      </c>
      <c r="Z1315" cm="1">
        <f t="array" ref="Z1315">INDEX(Innings!F:F,MATCH(1,(TRIM(Innings!A:A)=TRIM(A1315))*(TRIM(Innings!D:D)=TRIM(E1315)),0))</f>
        <v>153</v>
      </c>
      <c r="AA1315" cm="1">
        <f t="array" ref="AA1315">INDEX(Innings!I:I,MATCH(1,(TRIM(Innings!A:A)=TRIM(A1315))*(TRIM(Innings!D:D)=TRIM(E1315)),0))</f>
        <v>8.27</v>
      </c>
      <c r="AB1315" cm="1">
        <f t="array" ref="AB1315">INDEX(Innings!J:J,MATCH(1,(TRIM(Innings!A:A)=TRIM(A1315))*(TRIM(Innings!D:D)=TRIM(E1315)),0))</f>
        <v>50</v>
      </c>
      <c r="AC1315" cm="1">
        <f t="array" ref="AC1315">INDEX(Innings!N:N,MATCH(1,(TRIM(Innings!A:A)=TRIM(A1315))*(TRIM(Innings!D:D)=TRIM(E1315)),0))</f>
        <v>17</v>
      </c>
      <c r="AD1315" cm="1">
        <f t="array" ref="AD1315">INDEX(Innings!S:S,MATCH(1,(TRIM(Innings!A:A)=TRIM(A1315))*(TRIM(Innings!D:D)=TRIM(E1315)),0))</f>
        <v>48</v>
      </c>
      <c r="AE1315" t="str" cm="1">
        <f t="array" ref="AE1315">INDEX(Innings!W:W,MATCH(1,(TRIM(Innings!A:A)=TRIM(A1315))*(TRIM(Innings!D:D)=TRIM(E1315)),0))</f>
        <v>Successful</v>
      </c>
      <c r="AF1315">
        <f>IF(UPPER(TRIM(E1315))=UPPER(TRIM(W1315)),1,0)</f>
        <v>1</v>
      </c>
      <c r="AG1315">
        <f t="shared" si="40"/>
        <v>28.1</v>
      </c>
    </row>
    <row r="1316" spans="1:33" x14ac:dyDescent="0.3">
      <c r="A1316" t="s">
        <v>477</v>
      </c>
      <c r="B1316">
        <v>3</v>
      </c>
      <c r="C1316" t="s">
        <v>347</v>
      </c>
      <c r="D1316" t="s">
        <v>348</v>
      </c>
      <c r="E1316" t="s">
        <v>266</v>
      </c>
      <c r="F1316" t="s">
        <v>169</v>
      </c>
      <c r="G1316" t="s">
        <v>104</v>
      </c>
      <c r="H1316">
        <v>0</v>
      </c>
      <c r="I1316">
        <v>0</v>
      </c>
      <c r="J1316">
        <v>0</v>
      </c>
      <c r="K1316" t="s">
        <v>104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 s="8">
        <v>0</v>
      </c>
      <c r="V1316" s="8">
        <f t="shared" si="41"/>
        <v>0</v>
      </c>
      <c r="W1316" t="str">
        <f>_xlfn.XLOOKUP(A1316, Matches!A:A, Matches!L:L, "NA", 0)</f>
        <v>MIW</v>
      </c>
      <c r="X1316" t="str">
        <f>_xlfn.XLOOKUP(A1316, Matches!A:A, Matches!J:J, "NA", 0)</f>
        <v>MIW</v>
      </c>
      <c r="Y1316" t="str">
        <f>_xlfn.XLOOKUP(A1316, Matches!A:A, Matches!F:F, "NA", 0)</f>
        <v>Bharat Ratna Shri Atal Bihari Vajpayee Ekana Cricket Stadium</v>
      </c>
      <c r="Z1316" cm="1">
        <f t="array" ref="Z1316">INDEX(Innings!F:F,MATCH(1,(TRIM(Innings!A:A)=TRIM(A1316))*(TRIM(Innings!D:D)=TRIM(E1316)),0))</f>
        <v>153</v>
      </c>
      <c r="AA1316" cm="1">
        <f t="array" ref="AA1316">INDEX(Innings!I:I,MATCH(1,(TRIM(Innings!A:A)=TRIM(A1316))*(TRIM(Innings!D:D)=TRIM(E1316)),0))</f>
        <v>8.27</v>
      </c>
      <c r="AB1316" cm="1">
        <f t="array" ref="AB1316">INDEX(Innings!J:J,MATCH(1,(TRIM(Innings!A:A)=TRIM(A1316))*(TRIM(Innings!D:D)=TRIM(E1316)),0))</f>
        <v>50</v>
      </c>
      <c r="AC1316" cm="1">
        <f t="array" ref="AC1316">INDEX(Innings!N:N,MATCH(1,(TRIM(Innings!A:A)=TRIM(A1316))*(TRIM(Innings!D:D)=TRIM(E1316)),0))</f>
        <v>17</v>
      </c>
      <c r="AD1316" cm="1">
        <f t="array" ref="AD1316">INDEX(Innings!S:S,MATCH(1,(TRIM(Innings!A:A)=TRIM(A1316))*(TRIM(Innings!D:D)=TRIM(E1316)),0))</f>
        <v>48</v>
      </c>
      <c r="AE1316" t="str" cm="1">
        <f t="array" ref="AE1316">INDEX(Innings!W:W,MATCH(1,(TRIM(Innings!A:A)=TRIM(A1316))*(TRIM(Innings!D:D)=TRIM(E1316)),0))</f>
        <v>Successful</v>
      </c>
      <c r="AF1316">
        <f>IF(UPPER(TRIM(E1316))=UPPER(TRIM(W1316)),1,0)</f>
        <v>1</v>
      </c>
      <c r="AG1316">
        <f t="shared" si="40"/>
        <v>20</v>
      </c>
    </row>
    <row r="1317" spans="1:33" x14ac:dyDescent="0.3">
      <c r="A1317" t="s">
        <v>477</v>
      </c>
      <c r="B1317">
        <v>3</v>
      </c>
      <c r="C1317" t="s">
        <v>510</v>
      </c>
      <c r="D1317" t="s">
        <v>538</v>
      </c>
      <c r="E1317" t="s">
        <v>266</v>
      </c>
      <c r="F1317" t="s">
        <v>85</v>
      </c>
      <c r="G1317" t="s">
        <v>104</v>
      </c>
      <c r="H1317">
        <v>0</v>
      </c>
      <c r="I1317">
        <v>0</v>
      </c>
      <c r="J1317">
        <v>0</v>
      </c>
      <c r="K1317" t="s">
        <v>104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 s="8">
        <v>0</v>
      </c>
      <c r="V1317" s="8">
        <f t="shared" si="41"/>
        <v>0</v>
      </c>
      <c r="W1317" t="str">
        <f>_xlfn.XLOOKUP(A1317, Matches!A:A, Matches!L:L, "NA", 0)</f>
        <v>MIW</v>
      </c>
      <c r="X1317" t="str">
        <f>_xlfn.XLOOKUP(A1317, Matches!A:A, Matches!J:J, "NA", 0)</f>
        <v>MIW</v>
      </c>
      <c r="Y1317" t="str">
        <f>_xlfn.XLOOKUP(A1317, Matches!A:A, Matches!F:F, "NA", 0)</f>
        <v>Bharat Ratna Shri Atal Bihari Vajpayee Ekana Cricket Stadium</v>
      </c>
      <c r="Z1317" cm="1">
        <f t="array" ref="Z1317">INDEX(Innings!F:F,MATCH(1,(TRIM(Innings!A:A)=TRIM(A1317))*(TRIM(Innings!D:D)=TRIM(E1317)),0))</f>
        <v>153</v>
      </c>
      <c r="AA1317" cm="1">
        <f t="array" ref="AA1317">INDEX(Innings!I:I,MATCH(1,(TRIM(Innings!A:A)=TRIM(A1317))*(TRIM(Innings!D:D)=TRIM(E1317)),0))</f>
        <v>8.27</v>
      </c>
      <c r="AB1317" cm="1">
        <f t="array" ref="AB1317">INDEX(Innings!J:J,MATCH(1,(TRIM(Innings!A:A)=TRIM(A1317))*(TRIM(Innings!D:D)=TRIM(E1317)),0))</f>
        <v>50</v>
      </c>
      <c r="AC1317" cm="1">
        <f t="array" ref="AC1317">INDEX(Innings!N:N,MATCH(1,(TRIM(Innings!A:A)=TRIM(A1317))*(TRIM(Innings!D:D)=TRIM(E1317)),0))</f>
        <v>17</v>
      </c>
      <c r="AD1317" cm="1">
        <f t="array" ref="AD1317">INDEX(Innings!S:S,MATCH(1,(TRIM(Innings!A:A)=TRIM(A1317))*(TRIM(Innings!D:D)=TRIM(E1317)),0))</f>
        <v>48</v>
      </c>
      <c r="AE1317" t="str" cm="1">
        <f t="array" ref="AE1317">INDEX(Innings!W:W,MATCH(1,(TRIM(Innings!A:A)=TRIM(A1317))*(TRIM(Innings!D:D)=TRIM(E1317)),0))</f>
        <v>Successful</v>
      </c>
      <c r="AF1317">
        <f>IF(UPPER(TRIM(E1317))=UPPER(TRIM(W1317)),1,0)</f>
        <v>1</v>
      </c>
      <c r="AG1317">
        <f t="shared" si="40"/>
        <v>20</v>
      </c>
    </row>
    <row r="1318" spans="1:33" x14ac:dyDescent="0.3">
      <c r="A1318" t="s">
        <v>477</v>
      </c>
      <c r="B1318">
        <v>3</v>
      </c>
      <c r="C1318" t="s">
        <v>507</v>
      </c>
      <c r="D1318" t="s">
        <v>519</v>
      </c>
      <c r="E1318" t="s">
        <v>266</v>
      </c>
      <c r="F1318" t="s">
        <v>169</v>
      </c>
      <c r="G1318" t="s">
        <v>104</v>
      </c>
      <c r="H1318">
        <v>0</v>
      </c>
      <c r="I1318">
        <v>0</v>
      </c>
      <c r="J1318">
        <v>0</v>
      </c>
      <c r="K1318" t="s">
        <v>104</v>
      </c>
      <c r="L1318">
        <v>0</v>
      </c>
      <c r="M1318">
        <v>1</v>
      </c>
      <c r="N1318">
        <v>0</v>
      </c>
      <c r="O1318">
        <v>4</v>
      </c>
      <c r="P1318">
        <v>0</v>
      </c>
      <c r="Q1318">
        <v>4</v>
      </c>
      <c r="R1318">
        <v>0</v>
      </c>
      <c r="S1318">
        <v>0</v>
      </c>
      <c r="T1318">
        <v>0</v>
      </c>
      <c r="U1318" s="8">
        <v>0</v>
      </c>
      <c r="V1318" s="8">
        <f t="shared" si="41"/>
        <v>0</v>
      </c>
      <c r="W1318" t="str">
        <f>_xlfn.XLOOKUP(A1318, Matches!A:A, Matches!L:L, "NA", 0)</f>
        <v>MIW</v>
      </c>
      <c r="X1318" t="str">
        <f>_xlfn.XLOOKUP(A1318, Matches!A:A, Matches!J:J, "NA", 0)</f>
        <v>MIW</v>
      </c>
      <c r="Y1318" t="str">
        <f>_xlfn.XLOOKUP(A1318, Matches!A:A, Matches!F:F, "NA", 0)</f>
        <v>Bharat Ratna Shri Atal Bihari Vajpayee Ekana Cricket Stadium</v>
      </c>
      <c r="Z1318" cm="1">
        <f t="array" ref="Z1318">INDEX(Innings!F:F,MATCH(1,(TRIM(Innings!A:A)=TRIM(A1318))*(TRIM(Innings!D:D)=TRIM(E1318)),0))</f>
        <v>153</v>
      </c>
      <c r="AA1318" cm="1">
        <f t="array" ref="AA1318">INDEX(Innings!I:I,MATCH(1,(TRIM(Innings!A:A)=TRIM(A1318))*(TRIM(Innings!D:D)=TRIM(E1318)),0))</f>
        <v>8.27</v>
      </c>
      <c r="AB1318" cm="1">
        <f t="array" ref="AB1318">INDEX(Innings!J:J,MATCH(1,(TRIM(Innings!A:A)=TRIM(A1318))*(TRIM(Innings!D:D)=TRIM(E1318)),0))</f>
        <v>50</v>
      </c>
      <c r="AC1318" cm="1">
        <f t="array" ref="AC1318">INDEX(Innings!N:N,MATCH(1,(TRIM(Innings!A:A)=TRIM(A1318))*(TRIM(Innings!D:D)=TRIM(E1318)),0))</f>
        <v>17</v>
      </c>
      <c r="AD1318" cm="1">
        <f t="array" ref="AD1318">INDEX(Innings!S:S,MATCH(1,(TRIM(Innings!A:A)=TRIM(A1318))*(TRIM(Innings!D:D)=TRIM(E1318)),0))</f>
        <v>48</v>
      </c>
      <c r="AE1318" t="str" cm="1">
        <f t="array" ref="AE1318">INDEX(Innings!W:W,MATCH(1,(TRIM(Innings!A:A)=TRIM(A1318))*(TRIM(Innings!D:D)=TRIM(E1318)),0))</f>
        <v>Successful</v>
      </c>
      <c r="AF1318">
        <f>IF(UPPER(TRIM(E1318))=UPPER(TRIM(W1318)),1,0)</f>
        <v>1</v>
      </c>
      <c r="AG1318">
        <f t="shared" si="40"/>
        <v>20</v>
      </c>
    </row>
    <row r="1319" spans="1:33" x14ac:dyDescent="0.3">
      <c r="A1319" t="s">
        <v>477</v>
      </c>
      <c r="B1319">
        <v>3</v>
      </c>
      <c r="C1319" t="s">
        <v>265</v>
      </c>
      <c r="D1319" t="s">
        <v>264</v>
      </c>
      <c r="E1319" t="s">
        <v>266</v>
      </c>
      <c r="F1319" t="s">
        <v>101</v>
      </c>
      <c r="G1319" t="s">
        <v>104</v>
      </c>
      <c r="H1319">
        <v>0</v>
      </c>
      <c r="I1319">
        <v>0</v>
      </c>
      <c r="J1319">
        <v>0</v>
      </c>
      <c r="K1319" t="s">
        <v>104</v>
      </c>
      <c r="L1319">
        <v>0</v>
      </c>
      <c r="M1319">
        <v>4</v>
      </c>
      <c r="N1319">
        <v>0</v>
      </c>
      <c r="O1319">
        <v>33</v>
      </c>
      <c r="P1319">
        <v>0</v>
      </c>
      <c r="Q1319">
        <v>8.1999999999999993</v>
      </c>
      <c r="R1319">
        <v>10</v>
      </c>
      <c r="S1319">
        <v>0</v>
      </c>
      <c r="T1319">
        <v>0</v>
      </c>
      <c r="U1319" s="8">
        <v>10</v>
      </c>
      <c r="V1319" s="8">
        <f t="shared" si="41"/>
        <v>1</v>
      </c>
      <c r="W1319" t="str">
        <f>_xlfn.XLOOKUP(A1319, Matches!A:A, Matches!L:L, "NA", 0)</f>
        <v>MIW</v>
      </c>
      <c r="X1319" t="str">
        <f>_xlfn.XLOOKUP(A1319, Matches!A:A, Matches!J:J, "NA", 0)</f>
        <v>MIW</v>
      </c>
      <c r="Y1319" t="str">
        <f>_xlfn.XLOOKUP(A1319, Matches!A:A, Matches!F:F, "NA", 0)</f>
        <v>Bharat Ratna Shri Atal Bihari Vajpayee Ekana Cricket Stadium</v>
      </c>
      <c r="Z1319" cm="1">
        <f t="array" ref="Z1319">INDEX(Innings!F:F,MATCH(1,(TRIM(Innings!A:A)=TRIM(A1319))*(TRIM(Innings!D:D)=TRIM(E1319)),0))</f>
        <v>153</v>
      </c>
      <c r="AA1319" cm="1">
        <f t="array" ref="AA1319">INDEX(Innings!I:I,MATCH(1,(TRIM(Innings!A:A)=TRIM(A1319))*(TRIM(Innings!D:D)=TRIM(E1319)),0))</f>
        <v>8.27</v>
      </c>
      <c r="AB1319" cm="1">
        <f t="array" ref="AB1319">INDEX(Innings!J:J,MATCH(1,(TRIM(Innings!A:A)=TRIM(A1319))*(TRIM(Innings!D:D)=TRIM(E1319)),0))</f>
        <v>50</v>
      </c>
      <c r="AC1319" cm="1">
        <f t="array" ref="AC1319">INDEX(Innings!N:N,MATCH(1,(TRIM(Innings!A:A)=TRIM(A1319))*(TRIM(Innings!D:D)=TRIM(E1319)),0))</f>
        <v>17</v>
      </c>
      <c r="AD1319" cm="1">
        <f t="array" ref="AD1319">INDEX(Innings!S:S,MATCH(1,(TRIM(Innings!A:A)=TRIM(A1319))*(TRIM(Innings!D:D)=TRIM(E1319)),0))</f>
        <v>48</v>
      </c>
      <c r="AE1319" t="str" cm="1">
        <f t="array" ref="AE1319">INDEX(Innings!W:W,MATCH(1,(TRIM(Innings!A:A)=TRIM(A1319))*(TRIM(Innings!D:D)=TRIM(E1319)),0))</f>
        <v>Successful</v>
      </c>
      <c r="AF1319">
        <f>IF(UPPER(TRIM(E1319))=UPPER(TRIM(W1319)),1,0)</f>
        <v>1</v>
      </c>
      <c r="AG1319">
        <f t="shared" si="40"/>
        <v>25.3</v>
      </c>
    </row>
    <row r="1320" spans="1:33" x14ac:dyDescent="0.3">
      <c r="A1320" t="s">
        <v>477</v>
      </c>
      <c r="B1320">
        <v>3</v>
      </c>
      <c r="C1320" t="s">
        <v>511</v>
      </c>
      <c r="D1320" t="s">
        <v>539</v>
      </c>
      <c r="E1320" t="s">
        <v>266</v>
      </c>
      <c r="F1320" t="s">
        <v>101</v>
      </c>
      <c r="G1320" t="s">
        <v>104</v>
      </c>
      <c r="H1320">
        <v>0</v>
      </c>
      <c r="I1320">
        <v>0</v>
      </c>
      <c r="J1320">
        <v>0</v>
      </c>
      <c r="K1320" t="s">
        <v>104</v>
      </c>
      <c r="L1320">
        <v>0</v>
      </c>
      <c r="M1320">
        <v>3</v>
      </c>
      <c r="N1320">
        <v>0</v>
      </c>
      <c r="O1320">
        <v>21</v>
      </c>
      <c r="P1320">
        <v>1</v>
      </c>
      <c r="Q1320">
        <v>7</v>
      </c>
      <c r="R1320">
        <v>25</v>
      </c>
      <c r="S1320">
        <v>0</v>
      </c>
      <c r="T1320">
        <v>0</v>
      </c>
      <c r="U1320" s="8">
        <v>25</v>
      </c>
      <c r="V1320" s="8">
        <f t="shared" si="41"/>
        <v>3</v>
      </c>
      <c r="W1320" t="str">
        <f>_xlfn.XLOOKUP(A1320, Matches!A:A, Matches!L:L, "NA", 0)</f>
        <v>MIW</v>
      </c>
      <c r="X1320" t="str">
        <f>_xlfn.XLOOKUP(A1320, Matches!A:A, Matches!J:J, "NA", 0)</f>
        <v>MIW</v>
      </c>
      <c r="Y1320" t="str">
        <f>_xlfn.XLOOKUP(A1320, Matches!A:A, Matches!F:F, "NA", 0)</f>
        <v>Bharat Ratna Shri Atal Bihari Vajpayee Ekana Cricket Stadium</v>
      </c>
      <c r="Z1320" cm="1">
        <f t="array" ref="Z1320">INDEX(Innings!F:F,MATCH(1,(TRIM(Innings!A:A)=TRIM(A1320))*(TRIM(Innings!D:D)=TRIM(E1320)),0))</f>
        <v>153</v>
      </c>
      <c r="AA1320" cm="1">
        <f t="array" ref="AA1320">INDEX(Innings!I:I,MATCH(1,(TRIM(Innings!A:A)=TRIM(A1320))*(TRIM(Innings!D:D)=TRIM(E1320)),0))</f>
        <v>8.27</v>
      </c>
      <c r="AB1320" cm="1">
        <f t="array" ref="AB1320">INDEX(Innings!J:J,MATCH(1,(TRIM(Innings!A:A)=TRIM(A1320))*(TRIM(Innings!D:D)=TRIM(E1320)),0))</f>
        <v>50</v>
      </c>
      <c r="AC1320" cm="1">
        <f t="array" ref="AC1320">INDEX(Innings!N:N,MATCH(1,(TRIM(Innings!A:A)=TRIM(A1320))*(TRIM(Innings!D:D)=TRIM(E1320)),0))</f>
        <v>17</v>
      </c>
      <c r="AD1320" cm="1">
        <f t="array" ref="AD1320">INDEX(Innings!S:S,MATCH(1,(TRIM(Innings!A:A)=TRIM(A1320))*(TRIM(Innings!D:D)=TRIM(E1320)),0))</f>
        <v>48</v>
      </c>
      <c r="AE1320" t="str" cm="1">
        <f t="array" ref="AE1320">INDEX(Innings!W:W,MATCH(1,(TRIM(Innings!A:A)=TRIM(A1320))*(TRIM(Innings!D:D)=TRIM(E1320)),0))</f>
        <v>Successful</v>
      </c>
      <c r="AF1320">
        <f>IF(UPPER(TRIM(E1320))=UPPER(TRIM(W1320)),1,0)</f>
        <v>1</v>
      </c>
      <c r="AG1320">
        <f t="shared" si="40"/>
        <v>33.4</v>
      </c>
    </row>
    <row r="1321" spans="1:33" x14ac:dyDescent="0.3">
      <c r="A1321" t="s">
        <v>478</v>
      </c>
      <c r="B1321">
        <v>3</v>
      </c>
      <c r="C1321" t="s">
        <v>190</v>
      </c>
      <c r="D1321" t="s">
        <v>191</v>
      </c>
      <c r="E1321" t="s">
        <v>158</v>
      </c>
      <c r="F1321" t="s">
        <v>109</v>
      </c>
      <c r="G1321" t="s">
        <v>86</v>
      </c>
      <c r="H1321">
        <v>92</v>
      </c>
      <c r="I1321">
        <v>57</v>
      </c>
      <c r="J1321">
        <v>161.4</v>
      </c>
      <c r="K1321" t="s">
        <v>245</v>
      </c>
      <c r="L1321">
        <v>110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 s="8">
        <v>110</v>
      </c>
      <c r="V1321" s="8">
        <f t="shared" si="41"/>
        <v>10</v>
      </c>
      <c r="W1321" t="str">
        <f>_xlfn.XLOOKUP(A1321, Matches!A:A, Matches!L:L, "NA", 0)</f>
        <v>GGTW</v>
      </c>
      <c r="X1321" t="str">
        <f>_xlfn.XLOOKUP(A1321, Matches!A:A, Matches!J:J, "NA", 0)</f>
        <v>GGTW</v>
      </c>
      <c r="Y1321" t="str">
        <f>_xlfn.XLOOKUP(A1321, Matches!A:A, Matches!F:F, "NA", 0)</f>
        <v>Bharat Ratna Shri Atal Bihari Vajpayee Ekana Cricket Stadium</v>
      </c>
      <c r="Z1321" cm="1">
        <f t="array" ref="Z1321">INDEX(Innings!F:F,MATCH(1,(TRIM(Innings!A:A)=TRIM(A1321))*(TRIM(Innings!D:D)=TRIM(E1321)),0))</f>
        <v>177</v>
      </c>
      <c r="AA1321" cm="1">
        <f t="array" ref="AA1321">INDEX(Innings!I:I,MATCH(1,(TRIM(Innings!A:A)=TRIM(A1321))*(TRIM(Innings!D:D)=TRIM(E1321)),0))</f>
        <v>8.85</v>
      </c>
      <c r="AB1321" cm="1">
        <f t="array" ref="AB1321">INDEX(Innings!J:J,MATCH(1,(TRIM(Innings!A:A)=TRIM(A1321))*(TRIM(Innings!D:D)=TRIM(E1321)),0))</f>
        <v>51</v>
      </c>
      <c r="AC1321" cm="1">
        <f t="array" ref="AC1321">INDEX(Innings!N:N,MATCH(1,(TRIM(Innings!A:A)=TRIM(A1321))*(TRIM(Innings!D:D)=TRIM(E1321)),0))</f>
        <v>42</v>
      </c>
      <c r="AD1321" cm="1">
        <f t="array" ref="AD1321">INDEX(Innings!S:S,MATCH(1,(TRIM(Innings!A:A)=TRIM(A1321))*(TRIM(Innings!D:D)=TRIM(E1321)),0))</f>
        <v>46</v>
      </c>
      <c r="AE1321" t="str" cm="1">
        <f t="array" ref="AE1321">INDEX(Innings!W:W,MATCH(1,(TRIM(Innings!A:A)=TRIM(A1321))*(TRIM(Innings!D:D)=TRIM(E1321)),0))</f>
        <v>NA</v>
      </c>
      <c r="AF1321">
        <f>IF(UPPER(TRIM(E1321))=UPPER(TRIM(W1321)),1,0)</f>
        <v>0</v>
      </c>
      <c r="AG1321">
        <f t="shared" si="40"/>
        <v>58</v>
      </c>
    </row>
    <row r="1322" spans="1:33" x14ac:dyDescent="0.3">
      <c r="A1322" t="s">
        <v>478</v>
      </c>
      <c r="B1322">
        <v>3</v>
      </c>
      <c r="C1322" t="s">
        <v>188</v>
      </c>
      <c r="D1322" t="s">
        <v>189</v>
      </c>
      <c r="E1322" t="s">
        <v>158</v>
      </c>
      <c r="F1322" t="s">
        <v>109</v>
      </c>
      <c r="G1322" t="s">
        <v>86</v>
      </c>
      <c r="H1322">
        <v>40</v>
      </c>
      <c r="I1322">
        <v>27</v>
      </c>
      <c r="J1322">
        <v>148.15</v>
      </c>
      <c r="K1322" t="s">
        <v>246</v>
      </c>
      <c r="L1322">
        <v>55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 s="8">
        <v>55</v>
      </c>
      <c r="V1322" s="8">
        <f t="shared" si="41"/>
        <v>6</v>
      </c>
      <c r="W1322" t="str">
        <f>_xlfn.XLOOKUP(A1322, Matches!A:A, Matches!L:L, "NA", 0)</f>
        <v>GGTW</v>
      </c>
      <c r="X1322" t="str">
        <f>_xlfn.XLOOKUP(A1322, Matches!A:A, Matches!J:J, "NA", 0)</f>
        <v>GGTW</v>
      </c>
      <c r="Y1322" t="str">
        <f>_xlfn.XLOOKUP(A1322, Matches!A:A, Matches!F:F, "NA", 0)</f>
        <v>Bharat Ratna Shri Atal Bihari Vajpayee Ekana Cricket Stadium</v>
      </c>
      <c r="Z1322" cm="1">
        <f t="array" ref="Z1322">INDEX(Innings!F:F,MATCH(1,(TRIM(Innings!A:A)=TRIM(A1322))*(TRIM(Innings!D:D)=TRIM(E1322)),0))</f>
        <v>177</v>
      </c>
      <c r="AA1322" cm="1">
        <f t="array" ref="AA1322">INDEX(Innings!I:I,MATCH(1,(TRIM(Innings!A:A)=TRIM(A1322))*(TRIM(Innings!D:D)=TRIM(E1322)),0))</f>
        <v>8.85</v>
      </c>
      <c r="AB1322" cm="1">
        <f t="array" ref="AB1322">INDEX(Innings!J:J,MATCH(1,(TRIM(Innings!A:A)=TRIM(A1322))*(TRIM(Innings!D:D)=TRIM(E1322)),0))</f>
        <v>51</v>
      </c>
      <c r="AC1322" cm="1">
        <f t="array" ref="AC1322">INDEX(Innings!N:N,MATCH(1,(TRIM(Innings!A:A)=TRIM(A1322))*(TRIM(Innings!D:D)=TRIM(E1322)),0))</f>
        <v>42</v>
      </c>
      <c r="AD1322" cm="1">
        <f t="array" ref="AD1322">INDEX(Innings!S:S,MATCH(1,(TRIM(Innings!A:A)=TRIM(A1322))*(TRIM(Innings!D:D)=TRIM(E1322)),0))</f>
        <v>46</v>
      </c>
      <c r="AE1322" t="str" cm="1">
        <f t="array" ref="AE1322">INDEX(Innings!W:W,MATCH(1,(TRIM(Innings!A:A)=TRIM(A1322))*(TRIM(Innings!D:D)=TRIM(E1322)),0))</f>
        <v>NA</v>
      </c>
      <c r="AF1322">
        <f>IF(UPPER(TRIM(E1322))=UPPER(TRIM(W1322)),1,0)</f>
        <v>0</v>
      </c>
      <c r="AG1322">
        <f t="shared" si="40"/>
        <v>29.3</v>
      </c>
    </row>
    <row r="1323" spans="1:33" x14ac:dyDescent="0.3">
      <c r="A1323" t="s">
        <v>478</v>
      </c>
      <c r="B1323">
        <v>3</v>
      </c>
      <c r="C1323" t="s">
        <v>198</v>
      </c>
      <c r="D1323" t="s">
        <v>199</v>
      </c>
      <c r="E1323" t="s">
        <v>158</v>
      </c>
      <c r="F1323" t="s">
        <v>101</v>
      </c>
      <c r="G1323" t="s">
        <v>92</v>
      </c>
      <c r="H1323">
        <v>9</v>
      </c>
      <c r="I1323">
        <v>10</v>
      </c>
      <c r="J1323">
        <v>90</v>
      </c>
      <c r="K1323" t="s">
        <v>245</v>
      </c>
      <c r="L1323">
        <v>10</v>
      </c>
      <c r="M1323">
        <v>3.3</v>
      </c>
      <c r="N1323">
        <v>0</v>
      </c>
      <c r="O1323">
        <v>38</v>
      </c>
      <c r="P1323">
        <v>2</v>
      </c>
      <c r="Q1323">
        <v>10.9</v>
      </c>
      <c r="R1323">
        <v>50</v>
      </c>
      <c r="S1323">
        <v>0</v>
      </c>
      <c r="T1323">
        <v>0</v>
      </c>
      <c r="U1323" s="8">
        <v>60</v>
      </c>
      <c r="V1323" s="8">
        <f t="shared" si="41"/>
        <v>6</v>
      </c>
      <c r="W1323" t="str">
        <f>_xlfn.XLOOKUP(A1323, Matches!A:A, Matches!L:L, "NA", 0)</f>
        <v>GGTW</v>
      </c>
      <c r="X1323" t="str">
        <f>_xlfn.XLOOKUP(A1323, Matches!A:A, Matches!J:J, "NA", 0)</f>
        <v>GGTW</v>
      </c>
      <c r="Y1323" t="str">
        <f>_xlfn.XLOOKUP(A1323, Matches!A:A, Matches!F:F, "NA", 0)</f>
        <v>Bharat Ratna Shri Atal Bihari Vajpayee Ekana Cricket Stadium</v>
      </c>
      <c r="Z1323" cm="1">
        <f t="array" ref="Z1323">INDEX(Innings!F:F,MATCH(1,(TRIM(Innings!A:A)=TRIM(A1323))*(TRIM(Innings!D:D)=TRIM(E1323)),0))</f>
        <v>177</v>
      </c>
      <c r="AA1323" cm="1">
        <f t="array" ref="AA1323">INDEX(Innings!I:I,MATCH(1,(TRIM(Innings!A:A)=TRIM(A1323))*(TRIM(Innings!D:D)=TRIM(E1323)),0))</f>
        <v>8.85</v>
      </c>
      <c r="AB1323" cm="1">
        <f t="array" ref="AB1323">INDEX(Innings!J:J,MATCH(1,(TRIM(Innings!A:A)=TRIM(A1323))*(TRIM(Innings!D:D)=TRIM(E1323)),0))</f>
        <v>51</v>
      </c>
      <c r="AC1323" cm="1">
        <f t="array" ref="AC1323">INDEX(Innings!N:N,MATCH(1,(TRIM(Innings!A:A)=TRIM(A1323))*(TRIM(Innings!D:D)=TRIM(E1323)),0))</f>
        <v>42</v>
      </c>
      <c r="AD1323" cm="1">
        <f t="array" ref="AD1323">INDEX(Innings!S:S,MATCH(1,(TRIM(Innings!A:A)=TRIM(A1323))*(TRIM(Innings!D:D)=TRIM(E1323)),0))</f>
        <v>46</v>
      </c>
      <c r="AE1323" t="str" cm="1">
        <f t="array" ref="AE1323">INDEX(Innings!W:W,MATCH(1,(TRIM(Innings!A:A)=TRIM(A1323))*(TRIM(Innings!D:D)=TRIM(E1323)),0))</f>
        <v>NA</v>
      </c>
      <c r="AF1323">
        <f>IF(UPPER(TRIM(E1323))=UPPER(TRIM(W1323)),1,0)</f>
        <v>0</v>
      </c>
      <c r="AG1323">
        <f t="shared" si="40"/>
        <v>31.8</v>
      </c>
    </row>
    <row r="1324" spans="1:33" x14ac:dyDescent="0.3">
      <c r="A1324" t="s">
        <v>478</v>
      </c>
      <c r="B1324">
        <v>3</v>
      </c>
      <c r="C1324" t="s">
        <v>194</v>
      </c>
      <c r="D1324" t="s">
        <v>195</v>
      </c>
      <c r="E1324" t="s">
        <v>158</v>
      </c>
      <c r="F1324" t="s">
        <v>109</v>
      </c>
      <c r="G1324" t="s">
        <v>134</v>
      </c>
      <c r="H1324">
        <v>4</v>
      </c>
      <c r="I1324">
        <v>8</v>
      </c>
      <c r="J1324">
        <v>50</v>
      </c>
      <c r="K1324" t="s">
        <v>246</v>
      </c>
      <c r="L1324">
        <v>5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 s="8">
        <v>5</v>
      </c>
      <c r="V1324" s="8">
        <f t="shared" si="41"/>
        <v>1</v>
      </c>
      <c r="W1324" t="str">
        <f>_xlfn.XLOOKUP(A1324, Matches!A:A, Matches!L:L, "NA", 0)</f>
        <v>GGTW</v>
      </c>
      <c r="X1324" t="str">
        <f>_xlfn.XLOOKUP(A1324, Matches!A:A, Matches!J:J, "NA", 0)</f>
        <v>GGTW</v>
      </c>
      <c r="Y1324" t="str">
        <f>_xlfn.XLOOKUP(A1324, Matches!A:A, Matches!F:F, "NA", 0)</f>
        <v>Bharat Ratna Shri Atal Bihari Vajpayee Ekana Cricket Stadium</v>
      </c>
      <c r="Z1324" cm="1">
        <f t="array" ref="Z1324">INDEX(Innings!F:F,MATCH(1,(TRIM(Innings!A:A)=TRIM(A1324))*(TRIM(Innings!D:D)=TRIM(E1324)),0))</f>
        <v>177</v>
      </c>
      <c r="AA1324" cm="1">
        <f t="array" ref="AA1324">INDEX(Innings!I:I,MATCH(1,(TRIM(Innings!A:A)=TRIM(A1324))*(TRIM(Innings!D:D)=TRIM(E1324)),0))</f>
        <v>8.85</v>
      </c>
      <c r="AB1324" cm="1">
        <f t="array" ref="AB1324">INDEX(Innings!J:J,MATCH(1,(TRIM(Innings!A:A)=TRIM(A1324))*(TRIM(Innings!D:D)=TRIM(E1324)),0))</f>
        <v>51</v>
      </c>
      <c r="AC1324" cm="1">
        <f t="array" ref="AC1324">INDEX(Innings!N:N,MATCH(1,(TRIM(Innings!A:A)=TRIM(A1324))*(TRIM(Innings!D:D)=TRIM(E1324)),0))</f>
        <v>42</v>
      </c>
      <c r="AD1324" cm="1">
        <f t="array" ref="AD1324">INDEX(Innings!S:S,MATCH(1,(TRIM(Innings!A:A)=TRIM(A1324))*(TRIM(Innings!D:D)=TRIM(E1324)),0))</f>
        <v>46</v>
      </c>
      <c r="AE1324" t="str" cm="1">
        <f t="array" ref="AE1324">INDEX(Innings!W:W,MATCH(1,(TRIM(Innings!A:A)=TRIM(A1324))*(TRIM(Innings!D:D)=TRIM(E1324)),0))</f>
        <v>NA</v>
      </c>
      <c r="AF1324">
        <f>IF(UPPER(TRIM(E1324))=UPPER(TRIM(W1324)),1,0)</f>
        <v>0</v>
      </c>
      <c r="AG1324">
        <f t="shared" si="40"/>
        <v>2.8</v>
      </c>
    </row>
    <row r="1325" spans="1:33" x14ac:dyDescent="0.3">
      <c r="A1325" t="s">
        <v>478</v>
      </c>
      <c r="B1325">
        <v>3</v>
      </c>
      <c r="C1325" t="s">
        <v>94</v>
      </c>
      <c r="D1325" t="s">
        <v>120</v>
      </c>
      <c r="E1325" t="s">
        <v>158</v>
      </c>
      <c r="F1325" t="s">
        <v>169</v>
      </c>
      <c r="G1325" t="s">
        <v>134</v>
      </c>
      <c r="H1325">
        <v>14</v>
      </c>
      <c r="I1325">
        <v>8</v>
      </c>
      <c r="J1325">
        <v>175</v>
      </c>
      <c r="K1325" t="s">
        <v>246</v>
      </c>
      <c r="L1325">
        <v>20</v>
      </c>
      <c r="M1325">
        <v>4</v>
      </c>
      <c r="N1325">
        <v>0</v>
      </c>
      <c r="O1325">
        <v>46</v>
      </c>
      <c r="P1325">
        <v>0</v>
      </c>
      <c r="Q1325">
        <v>11.5</v>
      </c>
      <c r="R1325">
        <v>0</v>
      </c>
      <c r="S1325">
        <v>0</v>
      </c>
      <c r="T1325">
        <v>0</v>
      </c>
      <c r="U1325" s="8">
        <v>20</v>
      </c>
      <c r="V1325" s="8">
        <f t="shared" si="41"/>
        <v>2</v>
      </c>
      <c r="W1325" t="str">
        <f>_xlfn.XLOOKUP(A1325, Matches!A:A, Matches!L:L, "NA", 0)</f>
        <v>GGTW</v>
      </c>
      <c r="X1325" t="str">
        <f>_xlfn.XLOOKUP(A1325, Matches!A:A, Matches!J:J, "NA", 0)</f>
        <v>GGTW</v>
      </c>
      <c r="Y1325" t="str">
        <f>_xlfn.XLOOKUP(A1325, Matches!A:A, Matches!F:F, "NA", 0)</f>
        <v>Bharat Ratna Shri Atal Bihari Vajpayee Ekana Cricket Stadium</v>
      </c>
      <c r="Z1325" cm="1">
        <f t="array" ref="Z1325">INDEX(Innings!F:F,MATCH(1,(TRIM(Innings!A:A)=TRIM(A1325))*(TRIM(Innings!D:D)=TRIM(E1325)),0))</f>
        <v>177</v>
      </c>
      <c r="AA1325" cm="1">
        <f t="array" ref="AA1325">INDEX(Innings!I:I,MATCH(1,(TRIM(Innings!A:A)=TRIM(A1325))*(TRIM(Innings!D:D)=TRIM(E1325)),0))</f>
        <v>8.85</v>
      </c>
      <c r="AB1325" cm="1">
        <f t="array" ref="AB1325">INDEX(Innings!J:J,MATCH(1,(TRIM(Innings!A:A)=TRIM(A1325))*(TRIM(Innings!D:D)=TRIM(E1325)),0))</f>
        <v>51</v>
      </c>
      <c r="AC1325" cm="1">
        <f t="array" ref="AC1325">INDEX(Innings!N:N,MATCH(1,(TRIM(Innings!A:A)=TRIM(A1325))*(TRIM(Innings!D:D)=TRIM(E1325)),0))</f>
        <v>42</v>
      </c>
      <c r="AD1325" cm="1">
        <f t="array" ref="AD1325">INDEX(Innings!S:S,MATCH(1,(TRIM(Innings!A:A)=TRIM(A1325))*(TRIM(Innings!D:D)=TRIM(E1325)),0))</f>
        <v>46</v>
      </c>
      <c r="AE1325" t="str" cm="1">
        <f t="array" ref="AE1325">INDEX(Innings!W:W,MATCH(1,(TRIM(Innings!A:A)=TRIM(A1325))*(TRIM(Innings!D:D)=TRIM(E1325)),0))</f>
        <v>NA</v>
      </c>
      <c r="AF1325">
        <f>IF(UPPER(TRIM(E1325))=UPPER(TRIM(W1325)),1,0)</f>
        <v>0</v>
      </c>
      <c r="AG1325">
        <f t="shared" si="40"/>
        <v>10.6</v>
      </c>
    </row>
    <row r="1326" spans="1:33" x14ac:dyDescent="0.3">
      <c r="A1326" t="s">
        <v>478</v>
      </c>
      <c r="B1326">
        <v>3</v>
      </c>
      <c r="C1326" t="s">
        <v>192</v>
      </c>
      <c r="D1326" t="s">
        <v>193</v>
      </c>
      <c r="E1326" t="s">
        <v>158</v>
      </c>
      <c r="F1326" t="s">
        <v>169</v>
      </c>
      <c r="G1326" t="s">
        <v>134</v>
      </c>
      <c r="H1326">
        <v>7</v>
      </c>
      <c r="I1326">
        <v>9</v>
      </c>
      <c r="J1326">
        <v>77.78</v>
      </c>
      <c r="K1326" t="s">
        <v>96</v>
      </c>
      <c r="L1326">
        <v>10</v>
      </c>
      <c r="M1326">
        <v>4</v>
      </c>
      <c r="N1326">
        <v>1</v>
      </c>
      <c r="O1326">
        <v>29</v>
      </c>
      <c r="P1326">
        <v>0</v>
      </c>
      <c r="Q1326">
        <v>7.2</v>
      </c>
      <c r="R1326">
        <v>15</v>
      </c>
      <c r="S1326">
        <v>0</v>
      </c>
      <c r="T1326">
        <v>0</v>
      </c>
      <c r="U1326" s="8">
        <v>25</v>
      </c>
      <c r="V1326" s="8">
        <f t="shared" si="41"/>
        <v>3</v>
      </c>
      <c r="W1326" t="str">
        <f>_xlfn.XLOOKUP(A1326, Matches!A:A, Matches!L:L, "NA", 0)</f>
        <v>GGTW</v>
      </c>
      <c r="X1326" t="str">
        <f>_xlfn.XLOOKUP(A1326, Matches!A:A, Matches!J:J, "NA", 0)</f>
        <v>GGTW</v>
      </c>
      <c r="Y1326" t="str">
        <f>_xlfn.XLOOKUP(A1326, Matches!A:A, Matches!F:F, "NA", 0)</f>
        <v>Bharat Ratna Shri Atal Bihari Vajpayee Ekana Cricket Stadium</v>
      </c>
      <c r="Z1326" cm="1">
        <f t="array" ref="Z1326">INDEX(Innings!F:F,MATCH(1,(TRIM(Innings!A:A)=TRIM(A1326))*(TRIM(Innings!D:D)=TRIM(E1326)),0))</f>
        <v>177</v>
      </c>
      <c r="AA1326" cm="1">
        <f t="array" ref="AA1326">INDEX(Innings!I:I,MATCH(1,(TRIM(Innings!A:A)=TRIM(A1326))*(TRIM(Innings!D:D)=TRIM(E1326)),0))</f>
        <v>8.85</v>
      </c>
      <c r="AB1326" cm="1">
        <f t="array" ref="AB1326">INDEX(Innings!J:J,MATCH(1,(TRIM(Innings!A:A)=TRIM(A1326))*(TRIM(Innings!D:D)=TRIM(E1326)),0))</f>
        <v>51</v>
      </c>
      <c r="AC1326" cm="1">
        <f t="array" ref="AC1326">INDEX(Innings!N:N,MATCH(1,(TRIM(Innings!A:A)=TRIM(A1326))*(TRIM(Innings!D:D)=TRIM(E1326)),0))</f>
        <v>42</v>
      </c>
      <c r="AD1326" cm="1">
        <f t="array" ref="AD1326">INDEX(Innings!S:S,MATCH(1,(TRIM(Innings!A:A)=TRIM(A1326))*(TRIM(Innings!D:D)=TRIM(E1326)),0))</f>
        <v>46</v>
      </c>
      <c r="AE1326" t="str" cm="1">
        <f t="array" ref="AE1326">INDEX(Innings!W:W,MATCH(1,(TRIM(Innings!A:A)=TRIM(A1326))*(TRIM(Innings!D:D)=TRIM(E1326)),0))</f>
        <v>NA</v>
      </c>
      <c r="AF1326">
        <f>IF(UPPER(TRIM(E1326))=UPPER(TRIM(W1326)),1,0)</f>
        <v>0</v>
      </c>
      <c r="AG1326">
        <f t="shared" si="40"/>
        <v>13.4</v>
      </c>
    </row>
    <row r="1327" spans="1:33" x14ac:dyDescent="0.3">
      <c r="A1327" t="s">
        <v>478</v>
      </c>
      <c r="B1327">
        <v>3</v>
      </c>
      <c r="C1327" t="s">
        <v>496</v>
      </c>
      <c r="D1327" t="s">
        <v>518</v>
      </c>
      <c r="E1327" t="s">
        <v>158</v>
      </c>
      <c r="F1327" t="s">
        <v>85</v>
      </c>
      <c r="G1327" t="s">
        <v>134</v>
      </c>
      <c r="H1327">
        <v>6</v>
      </c>
      <c r="I1327">
        <v>1</v>
      </c>
      <c r="J1327">
        <v>600</v>
      </c>
      <c r="K1327" t="s">
        <v>96</v>
      </c>
      <c r="L1327">
        <v>10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 s="8">
        <v>10</v>
      </c>
      <c r="V1327" s="8">
        <f t="shared" si="41"/>
        <v>1</v>
      </c>
      <c r="W1327" t="str">
        <f>_xlfn.XLOOKUP(A1327, Matches!A:A, Matches!L:L, "NA", 0)</f>
        <v>GGTW</v>
      </c>
      <c r="X1327" t="str">
        <f>_xlfn.XLOOKUP(A1327, Matches!A:A, Matches!J:J, "NA", 0)</f>
        <v>GGTW</v>
      </c>
      <c r="Y1327" t="str">
        <f>_xlfn.XLOOKUP(A1327, Matches!A:A, Matches!F:F, "NA", 0)</f>
        <v>Bharat Ratna Shri Atal Bihari Vajpayee Ekana Cricket Stadium</v>
      </c>
      <c r="Z1327" cm="1">
        <f t="array" ref="Z1327">INDEX(Innings!F:F,MATCH(1,(TRIM(Innings!A:A)=TRIM(A1327))*(TRIM(Innings!D:D)=TRIM(E1327)),0))</f>
        <v>177</v>
      </c>
      <c r="AA1327" cm="1">
        <f t="array" ref="AA1327">INDEX(Innings!I:I,MATCH(1,(TRIM(Innings!A:A)=TRIM(A1327))*(TRIM(Innings!D:D)=TRIM(E1327)),0))</f>
        <v>8.85</v>
      </c>
      <c r="AB1327" cm="1">
        <f t="array" ref="AB1327">INDEX(Innings!J:J,MATCH(1,(TRIM(Innings!A:A)=TRIM(A1327))*(TRIM(Innings!D:D)=TRIM(E1327)),0))</f>
        <v>51</v>
      </c>
      <c r="AC1327" cm="1">
        <f t="array" ref="AC1327">INDEX(Innings!N:N,MATCH(1,(TRIM(Innings!A:A)=TRIM(A1327))*(TRIM(Innings!D:D)=TRIM(E1327)),0))</f>
        <v>42</v>
      </c>
      <c r="AD1327" cm="1">
        <f t="array" ref="AD1327">INDEX(Innings!S:S,MATCH(1,(TRIM(Innings!A:A)=TRIM(A1327))*(TRIM(Innings!D:D)=TRIM(E1327)),0))</f>
        <v>46</v>
      </c>
      <c r="AE1327" t="str" cm="1">
        <f t="array" ref="AE1327">INDEX(Innings!W:W,MATCH(1,(TRIM(Innings!A:A)=TRIM(A1327))*(TRIM(Innings!D:D)=TRIM(E1327)),0))</f>
        <v>NA</v>
      </c>
      <c r="AF1327">
        <f>IF(UPPER(TRIM(E1327))=UPPER(TRIM(W1327)),1,0)</f>
        <v>0</v>
      </c>
      <c r="AG1327">
        <f t="shared" si="40"/>
        <v>5.3</v>
      </c>
    </row>
    <row r="1328" spans="1:33" x14ac:dyDescent="0.3">
      <c r="A1328" t="s">
        <v>478</v>
      </c>
      <c r="B1328">
        <v>3</v>
      </c>
      <c r="C1328" t="s">
        <v>495</v>
      </c>
      <c r="D1328" t="s">
        <v>503</v>
      </c>
      <c r="E1328" t="s">
        <v>158</v>
      </c>
      <c r="F1328" t="s">
        <v>169</v>
      </c>
      <c r="G1328" t="s">
        <v>104</v>
      </c>
      <c r="H1328">
        <v>0</v>
      </c>
      <c r="I1328">
        <v>0</v>
      </c>
      <c r="J1328">
        <v>0</v>
      </c>
      <c r="K1328" t="s">
        <v>104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 s="8">
        <v>0</v>
      </c>
      <c r="V1328" s="8">
        <f t="shared" si="41"/>
        <v>0</v>
      </c>
      <c r="W1328" t="str">
        <f>_xlfn.XLOOKUP(A1328, Matches!A:A, Matches!L:L, "NA", 0)</f>
        <v>GGTW</v>
      </c>
      <c r="X1328" t="str">
        <f>_xlfn.XLOOKUP(A1328, Matches!A:A, Matches!J:J, "NA", 0)</f>
        <v>GGTW</v>
      </c>
      <c r="Y1328" t="str">
        <f>_xlfn.XLOOKUP(A1328, Matches!A:A, Matches!F:F, "NA", 0)</f>
        <v>Bharat Ratna Shri Atal Bihari Vajpayee Ekana Cricket Stadium</v>
      </c>
      <c r="Z1328" cm="1">
        <f t="array" ref="Z1328">INDEX(Innings!F:F,MATCH(1,(TRIM(Innings!A:A)=TRIM(A1328))*(TRIM(Innings!D:D)=TRIM(E1328)),0))</f>
        <v>177</v>
      </c>
      <c r="AA1328" cm="1">
        <f t="array" ref="AA1328">INDEX(Innings!I:I,MATCH(1,(TRIM(Innings!A:A)=TRIM(A1328))*(TRIM(Innings!D:D)=TRIM(E1328)),0))</f>
        <v>8.85</v>
      </c>
      <c r="AB1328" cm="1">
        <f t="array" ref="AB1328">INDEX(Innings!J:J,MATCH(1,(TRIM(Innings!A:A)=TRIM(A1328))*(TRIM(Innings!D:D)=TRIM(E1328)),0))</f>
        <v>51</v>
      </c>
      <c r="AC1328" cm="1">
        <f t="array" ref="AC1328">INDEX(Innings!N:N,MATCH(1,(TRIM(Innings!A:A)=TRIM(A1328))*(TRIM(Innings!D:D)=TRIM(E1328)),0))</f>
        <v>42</v>
      </c>
      <c r="AD1328" cm="1">
        <f t="array" ref="AD1328">INDEX(Innings!S:S,MATCH(1,(TRIM(Innings!A:A)=TRIM(A1328))*(TRIM(Innings!D:D)=TRIM(E1328)),0))</f>
        <v>46</v>
      </c>
      <c r="AE1328" t="str" cm="1">
        <f t="array" ref="AE1328">INDEX(Innings!W:W,MATCH(1,(TRIM(Innings!A:A)=TRIM(A1328))*(TRIM(Innings!D:D)=TRIM(E1328)),0))</f>
        <v>NA</v>
      </c>
      <c r="AF1328">
        <f>IF(UPPER(TRIM(E1328))=UPPER(TRIM(W1328)),1,0)</f>
        <v>0</v>
      </c>
      <c r="AG1328">
        <f t="shared" si="40"/>
        <v>0</v>
      </c>
    </row>
    <row r="1329" spans="1:33" x14ac:dyDescent="0.3">
      <c r="A1329" t="s">
        <v>478</v>
      </c>
      <c r="B1329">
        <v>3</v>
      </c>
      <c r="C1329" t="s">
        <v>274</v>
      </c>
      <c r="D1329" t="s">
        <v>284</v>
      </c>
      <c r="E1329" t="s">
        <v>158</v>
      </c>
      <c r="F1329" t="s">
        <v>169</v>
      </c>
      <c r="G1329" t="s">
        <v>104</v>
      </c>
      <c r="H1329">
        <v>0</v>
      </c>
      <c r="I1329">
        <v>0</v>
      </c>
      <c r="J1329">
        <v>0</v>
      </c>
      <c r="K1329" t="s">
        <v>104</v>
      </c>
      <c r="L1329">
        <v>0</v>
      </c>
      <c r="M1329">
        <v>2</v>
      </c>
      <c r="N1329">
        <v>0</v>
      </c>
      <c r="O1329">
        <v>15</v>
      </c>
      <c r="P1329">
        <v>1</v>
      </c>
      <c r="Q1329">
        <v>7.5</v>
      </c>
      <c r="R1329">
        <v>25</v>
      </c>
      <c r="S1329">
        <v>0</v>
      </c>
      <c r="T1329">
        <v>0</v>
      </c>
      <c r="U1329" s="8">
        <v>25</v>
      </c>
      <c r="V1329" s="8">
        <f t="shared" si="41"/>
        <v>3</v>
      </c>
      <c r="W1329" t="str">
        <f>_xlfn.XLOOKUP(A1329, Matches!A:A, Matches!L:L, "NA", 0)</f>
        <v>GGTW</v>
      </c>
      <c r="X1329" t="str">
        <f>_xlfn.XLOOKUP(A1329, Matches!A:A, Matches!J:J, "NA", 0)</f>
        <v>GGTW</v>
      </c>
      <c r="Y1329" t="str">
        <f>_xlfn.XLOOKUP(A1329, Matches!A:A, Matches!F:F, "NA", 0)</f>
        <v>Bharat Ratna Shri Atal Bihari Vajpayee Ekana Cricket Stadium</v>
      </c>
      <c r="Z1329" cm="1">
        <f t="array" ref="Z1329">INDEX(Innings!F:F,MATCH(1,(TRIM(Innings!A:A)=TRIM(A1329))*(TRIM(Innings!D:D)=TRIM(E1329)),0))</f>
        <v>177</v>
      </c>
      <c r="AA1329" cm="1">
        <f t="array" ref="AA1329">INDEX(Innings!I:I,MATCH(1,(TRIM(Innings!A:A)=TRIM(A1329))*(TRIM(Innings!D:D)=TRIM(E1329)),0))</f>
        <v>8.85</v>
      </c>
      <c r="AB1329" cm="1">
        <f t="array" ref="AB1329">INDEX(Innings!J:J,MATCH(1,(TRIM(Innings!A:A)=TRIM(A1329))*(TRIM(Innings!D:D)=TRIM(E1329)),0))</f>
        <v>51</v>
      </c>
      <c r="AC1329" cm="1">
        <f t="array" ref="AC1329">INDEX(Innings!N:N,MATCH(1,(TRIM(Innings!A:A)=TRIM(A1329))*(TRIM(Innings!D:D)=TRIM(E1329)),0))</f>
        <v>42</v>
      </c>
      <c r="AD1329" cm="1">
        <f t="array" ref="AD1329">INDEX(Innings!S:S,MATCH(1,(TRIM(Innings!A:A)=TRIM(A1329))*(TRIM(Innings!D:D)=TRIM(E1329)),0))</f>
        <v>46</v>
      </c>
      <c r="AE1329" t="str" cm="1">
        <f t="array" ref="AE1329">INDEX(Innings!W:W,MATCH(1,(TRIM(Innings!A:A)=TRIM(A1329))*(TRIM(Innings!D:D)=TRIM(E1329)),0))</f>
        <v>NA</v>
      </c>
      <c r="AF1329">
        <f>IF(UPPER(TRIM(E1329))=UPPER(TRIM(W1329)),1,0)</f>
        <v>0</v>
      </c>
      <c r="AG1329">
        <f t="shared" si="40"/>
        <v>13.4</v>
      </c>
    </row>
    <row r="1330" spans="1:33" x14ac:dyDescent="0.3">
      <c r="A1330" t="s">
        <v>478</v>
      </c>
      <c r="B1330">
        <v>3</v>
      </c>
      <c r="C1330" t="s">
        <v>204</v>
      </c>
      <c r="D1330" t="s">
        <v>205</v>
      </c>
      <c r="E1330" t="s">
        <v>158</v>
      </c>
      <c r="F1330" t="s">
        <v>169</v>
      </c>
      <c r="G1330" t="s">
        <v>104</v>
      </c>
      <c r="H1330">
        <v>0</v>
      </c>
      <c r="I1330">
        <v>0</v>
      </c>
      <c r="J1330">
        <v>0</v>
      </c>
      <c r="K1330" t="s">
        <v>104</v>
      </c>
      <c r="L1330">
        <v>0</v>
      </c>
      <c r="M1330">
        <v>4</v>
      </c>
      <c r="N1330">
        <v>0</v>
      </c>
      <c r="O1330">
        <v>31</v>
      </c>
      <c r="P1330">
        <v>2</v>
      </c>
      <c r="Q1330">
        <v>7.8</v>
      </c>
      <c r="R1330">
        <v>50</v>
      </c>
      <c r="S1330">
        <v>0</v>
      </c>
      <c r="T1330">
        <v>0</v>
      </c>
      <c r="U1330" s="8">
        <v>50</v>
      </c>
      <c r="V1330" s="8">
        <f t="shared" si="41"/>
        <v>5</v>
      </c>
      <c r="W1330" t="str">
        <f>_xlfn.XLOOKUP(A1330, Matches!A:A, Matches!L:L, "NA", 0)</f>
        <v>GGTW</v>
      </c>
      <c r="X1330" t="str">
        <f>_xlfn.XLOOKUP(A1330, Matches!A:A, Matches!J:J, "NA", 0)</f>
        <v>GGTW</v>
      </c>
      <c r="Y1330" t="str">
        <f>_xlfn.XLOOKUP(A1330, Matches!A:A, Matches!F:F, "NA", 0)</f>
        <v>Bharat Ratna Shri Atal Bihari Vajpayee Ekana Cricket Stadium</v>
      </c>
      <c r="Z1330" cm="1">
        <f t="array" ref="Z1330">INDEX(Innings!F:F,MATCH(1,(TRIM(Innings!A:A)=TRIM(A1330))*(TRIM(Innings!D:D)=TRIM(E1330)),0))</f>
        <v>177</v>
      </c>
      <c r="AA1330" cm="1">
        <f t="array" ref="AA1330">INDEX(Innings!I:I,MATCH(1,(TRIM(Innings!A:A)=TRIM(A1330))*(TRIM(Innings!D:D)=TRIM(E1330)),0))</f>
        <v>8.85</v>
      </c>
      <c r="AB1330" cm="1">
        <f t="array" ref="AB1330">INDEX(Innings!J:J,MATCH(1,(TRIM(Innings!A:A)=TRIM(A1330))*(TRIM(Innings!D:D)=TRIM(E1330)),0))</f>
        <v>51</v>
      </c>
      <c r="AC1330" cm="1">
        <f t="array" ref="AC1330">INDEX(Innings!N:N,MATCH(1,(TRIM(Innings!A:A)=TRIM(A1330))*(TRIM(Innings!D:D)=TRIM(E1330)),0))</f>
        <v>42</v>
      </c>
      <c r="AD1330" cm="1">
        <f t="array" ref="AD1330">INDEX(Innings!S:S,MATCH(1,(TRIM(Innings!A:A)=TRIM(A1330))*(TRIM(Innings!D:D)=TRIM(E1330)),0))</f>
        <v>46</v>
      </c>
      <c r="AE1330" t="str" cm="1">
        <f t="array" ref="AE1330">INDEX(Innings!W:W,MATCH(1,(TRIM(Innings!A:A)=TRIM(A1330))*(TRIM(Innings!D:D)=TRIM(E1330)),0))</f>
        <v>NA</v>
      </c>
      <c r="AF1330">
        <f>IF(UPPER(TRIM(E1330))=UPPER(TRIM(W1330)),1,0)</f>
        <v>0</v>
      </c>
      <c r="AG1330">
        <f t="shared" si="40"/>
        <v>26.5</v>
      </c>
    </row>
    <row r="1331" spans="1:33" x14ac:dyDescent="0.3">
      <c r="A1331" t="s">
        <v>478</v>
      </c>
      <c r="B1331">
        <v>3</v>
      </c>
      <c r="C1331" t="s">
        <v>413</v>
      </c>
      <c r="D1331" t="s">
        <v>423</v>
      </c>
      <c r="E1331" t="s">
        <v>158</v>
      </c>
      <c r="F1331" t="s">
        <v>101</v>
      </c>
      <c r="G1331" t="s">
        <v>104</v>
      </c>
      <c r="H1331">
        <v>0</v>
      </c>
      <c r="I1331">
        <v>0</v>
      </c>
      <c r="J1331">
        <v>0</v>
      </c>
      <c r="K1331" t="s">
        <v>104</v>
      </c>
      <c r="L1331">
        <v>0</v>
      </c>
      <c r="M1331">
        <v>2</v>
      </c>
      <c r="N1331">
        <v>0</v>
      </c>
      <c r="O1331">
        <v>17</v>
      </c>
      <c r="P1331">
        <v>0</v>
      </c>
      <c r="Q1331">
        <v>8.5</v>
      </c>
      <c r="R1331">
        <v>10</v>
      </c>
      <c r="S1331">
        <v>0</v>
      </c>
      <c r="T1331">
        <v>0</v>
      </c>
      <c r="U1331" s="8">
        <v>10</v>
      </c>
      <c r="V1331" s="8">
        <f t="shared" si="41"/>
        <v>1</v>
      </c>
      <c r="W1331" t="str">
        <f>_xlfn.XLOOKUP(A1331, Matches!A:A, Matches!L:L, "NA", 0)</f>
        <v>GGTW</v>
      </c>
      <c r="X1331" t="str">
        <f>_xlfn.XLOOKUP(A1331, Matches!A:A, Matches!J:J, "NA", 0)</f>
        <v>GGTW</v>
      </c>
      <c r="Y1331" t="str">
        <f>_xlfn.XLOOKUP(A1331, Matches!A:A, Matches!F:F, "NA", 0)</f>
        <v>Bharat Ratna Shri Atal Bihari Vajpayee Ekana Cricket Stadium</v>
      </c>
      <c r="Z1331" cm="1">
        <f t="array" ref="Z1331">INDEX(Innings!F:F,MATCH(1,(TRIM(Innings!A:A)=TRIM(A1331))*(TRIM(Innings!D:D)=TRIM(E1331)),0))</f>
        <v>177</v>
      </c>
      <c r="AA1331" cm="1">
        <f t="array" ref="AA1331">INDEX(Innings!I:I,MATCH(1,(TRIM(Innings!A:A)=TRIM(A1331))*(TRIM(Innings!D:D)=TRIM(E1331)),0))</f>
        <v>8.85</v>
      </c>
      <c r="AB1331" cm="1">
        <f t="array" ref="AB1331">INDEX(Innings!J:J,MATCH(1,(TRIM(Innings!A:A)=TRIM(A1331))*(TRIM(Innings!D:D)=TRIM(E1331)),0))</f>
        <v>51</v>
      </c>
      <c r="AC1331" cm="1">
        <f t="array" ref="AC1331">INDEX(Innings!N:N,MATCH(1,(TRIM(Innings!A:A)=TRIM(A1331))*(TRIM(Innings!D:D)=TRIM(E1331)),0))</f>
        <v>42</v>
      </c>
      <c r="AD1331" cm="1">
        <f t="array" ref="AD1331">INDEX(Innings!S:S,MATCH(1,(TRIM(Innings!A:A)=TRIM(A1331))*(TRIM(Innings!D:D)=TRIM(E1331)),0))</f>
        <v>46</v>
      </c>
      <c r="AE1331" t="str" cm="1">
        <f t="array" ref="AE1331">INDEX(Innings!W:W,MATCH(1,(TRIM(Innings!A:A)=TRIM(A1331))*(TRIM(Innings!D:D)=TRIM(E1331)),0))</f>
        <v>NA</v>
      </c>
      <c r="AF1331">
        <f>IF(UPPER(TRIM(E1331))=UPPER(TRIM(W1331)),1,0)</f>
        <v>0</v>
      </c>
      <c r="AG1331">
        <f t="shared" si="40"/>
        <v>5.3</v>
      </c>
    </row>
    <row r="1332" spans="1:33" x14ac:dyDescent="0.3">
      <c r="A1332" t="s">
        <v>478</v>
      </c>
      <c r="B1332">
        <v>3</v>
      </c>
      <c r="C1332" t="s">
        <v>81</v>
      </c>
      <c r="D1332" t="s">
        <v>114</v>
      </c>
      <c r="E1332" t="s">
        <v>258</v>
      </c>
      <c r="F1332" t="s">
        <v>85</v>
      </c>
      <c r="G1332" t="s">
        <v>86</v>
      </c>
      <c r="H1332">
        <v>44</v>
      </c>
      <c r="I1332">
        <v>35</v>
      </c>
      <c r="J1332">
        <v>125.71</v>
      </c>
      <c r="K1332" t="s">
        <v>246</v>
      </c>
      <c r="L1332">
        <v>50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 s="8">
        <v>50</v>
      </c>
      <c r="V1332" s="8">
        <f t="shared" si="41"/>
        <v>5</v>
      </c>
      <c r="W1332" t="str">
        <f>_xlfn.XLOOKUP(A1332, Matches!A:A, Matches!L:L, "NA", 0)</f>
        <v>GGTW</v>
      </c>
      <c r="X1332" t="str">
        <f>_xlfn.XLOOKUP(A1332, Matches!A:A, Matches!J:J, "NA", 0)</f>
        <v>GGTW</v>
      </c>
      <c r="Y1332" t="str">
        <f>_xlfn.XLOOKUP(A1332, Matches!A:A, Matches!F:F, "NA", 0)</f>
        <v>Bharat Ratna Shri Atal Bihari Vajpayee Ekana Cricket Stadium</v>
      </c>
      <c r="Z1332" cm="1">
        <f t="array" ref="Z1332">INDEX(Innings!F:F,MATCH(1,(TRIM(Innings!A:A)=TRIM(A1332))*(TRIM(Innings!D:D)=TRIM(E1332)),0))</f>
        <v>178</v>
      </c>
      <c r="AA1332" cm="1">
        <f t="array" ref="AA1332">INDEX(Innings!I:I,MATCH(1,(TRIM(Innings!A:A)=TRIM(A1332))*(TRIM(Innings!D:D)=TRIM(E1332)),0))</f>
        <v>9.1300000000000008</v>
      </c>
      <c r="AB1332" cm="1">
        <f t="array" ref="AB1332">INDEX(Innings!J:J,MATCH(1,(TRIM(Innings!A:A)=TRIM(A1332))*(TRIM(Innings!D:D)=TRIM(E1332)),0))</f>
        <v>38</v>
      </c>
      <c r="AC1332" cm="1">
        <f t="array" ref="AC1332">INDEX(Innings!N:N,MATCH(1,(TRIM(Innings!A:A)=TRIM(A1332))*(TRIM(Innings!D:D)=TRIM(E1332)),0))</f>
        <v>42</v>
      </c>
      <c r="AD1332" cm="1">
        <f t="array" ref="AD1332">INDEX(Innings!S:S,MATCH(1,(TRIM(Innings!A:A)=TRIM(A1332))*(TRIM(Innings!D:D)=TRIM(E1332)),0))</f>
        <v>41</v>
      </c>
      <c r="AE1332" t="str" cm="1">
        <f t="array" ref="AE1332">INDEX(Innings!W:W,MATCH(1,(TRIM(Innings!A:A)=TRIM(A1332))*(TRIM(Innings!D:D)=TRIM(E1332)),0))</f>
        <v>Successful</v>
      </c>
      <c r="AF1332">
        <f>IF(UPPER(TRIM(E1332))=UPPER(TRIM(W1332)),1,0)</f>
        <v>1</v>
      </c>
      <c r="AG1332">
        <f t="shared" si="40"/>
        <v>46.5</v>
      </c>
    </row>
    <row r="1333" spans="1:33" x14ac:dyDescent="0.3">
      <c r="A1333" t="s">
        <v>478</v>
      </c>
      <c r="B1333">
        <v>3</v>
      </c>
      <c r="C1333" t="s">
        <v>97</v>
      </c>
      <c r="D1333" t="s">
        <v>122</v>
      </c>
      <c r="E1333" t="s">
        <v>258</v>
      </c>
      <c r="F1333" t="s">
        <v>109</v>
      </c>
      <c r="G1333" t="s">
        <v>92</v>
      </c>
      <c r="H1333">
        <v>1</v>
      </c>
      <c r="I1333">
        <v>7</v>
      </c>
      <c r="J1333">
        <v>14.29</v>
      </c>
      <c r="K1333" t="s">
        <v>246</v>
      </c>
      <c r="L1333">
        <v>1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 s="8">
        <v>1</v>
      </c>
      <c r="V1333" s="8">
        <f t="shared" si="41"/>
        <v>0</v>
      </c>
      <c r="W1333" t="str">
        <f>_xlfn.XLOOKUP(A1333, Matches!A:A, Matches!L:L, "NA", 0)</f>
        <v>GGTW</v>
      </c>
      <c r="X1333" t="str">
        <f>_xlfn.XLOOKUP(A1333, Matches!A:A, Matches!J:J, "NA", 0)</f>
        <v>GGTW</v>
      </c>
      <c r="Y1333" t="str">
        <f>_xlfn.XLOOKUP(A1333, Matches!A:A, Matches!F:F, "NA", 0)</f>
        <v>Bharat Ratna Shri Atal Bihari Vajpayee Ekana Cricket Stadium</v>
      </c>
      <c r="Z1333" cm="1">
        <f t="array" ref="Z1333">INDEX(Innings!F:F,MATCH(1,(TRIM(Innings!A:A)=TRIM(A1333))*(TRIM(Innings!D:D)=TRIM(E1333)),0))</f>
        <v>178</v>
      </c>
      <c r="AA1333" cm="1">
        <f t="array" ref="AA1333">INDEX(Innings!I:I,MATCH(1,(TRIM(Innings!A:A)=TRIM(A1333))*(TRIM(Innings!D:D)=TRIM(E1333)),0))</f>
        <v>9.1300000000000008</v>
      </c>
      <c r="AB1333" cm="1">
        <f t="array" ref="AB1333">INDEX(Innings!J:J,MATCH(1,(TRIM(Innings!A:A)=TRIM(A1333))*(TRIM(Innings!D:D)=TRIM(E1333)),0))</f>
        <v>38</v>
      </c>
      <c r="AC1333" cm="1">
        <f t="array" ref="AC1333">INDEX(Innings!N:N,MATCH(1,(TRIM(Innings!A:A)=TRIM(A1333))*(TRIM(Innings!D:D)=TRIM(E1333)),0))</f>
        <v>42</v>
      </c>
      <c r="AD1333" cm="1">
        <f t="array" ref="AD1333">INDEX(Innings!S:S,MATCH(1,(TRIM(Innings!A:A)=TRIM(A1333))*(TRIM(Innings!D:D)=TRIM(E1333)),0))</f>
        <v>41</v>
      </c>
      <c r="AE1333" t="str" cm="1">
        <f t="array" ref="AE1333">INDEX(Innings!W:W,MATCH(1,(TRIM(Innings!A:A)=TRIM(A1333))*(TRIM(Innings!D:D)=TRIM(E1333)),0))</f>
        <v>Successful</v>
      </c>
      <c r="AF1333">
        <f>IF(UPPER(TRIM(E1333))=UPPER(TRIM(W1333)),1,0)</f>
        <v>1</v>
      </c>
      <c r="AG1333">
        <f t="shared" si="40"/>
        <v>20.5</v>
      </c>
    </row>
    <row r="1334" spans="1:33" x14ac:dyDescent="0.3">
      <c r="A1334" t="s">
        <v>478</v>
      </c>
      <c r="B1334">
        <v>3</v>
      </c>
      <c r="C1334" t="s">
        <v>89</v>
      </c>
      <c r="D1334" t="s">
        <v>116</v>
      </c>
      <c r="E1334" t="s">
        <v>258</v>
      </c>
      <c r="F1334" t="s">
        <v>169</v>
      </c>
      <c r="G1334" t="s">
        <v>92</v>
      </c>
      <c r="H1334">
        <v>70</v>
      </c>
      <c r="I1334">
        <v>49</v>
      </c>
      <c r="J1334">
        <v>142.86000000000001</v>
      </c>
      <c r="K1334" t="s">
        <v>96</v>
      </c>
      <c r="L1334">
        <v>90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 s="8">
        <v>90</v>
      </c>
      <c r="V1334" s="8">
        <f t="shared" si="41"/>
        <v>9</v>
      </c>
      <c r="W1334" t="str">
        <f>_xlfn.XLOOKUP(A1334, Matches!A:A, Matches!L:L, "NA", 0)</f>
        <v>GGTW</v>
      </c>
      <c r="X1334" t="str">
        <f>_xlfn.XLOOKUP(A1334, Matches!A:A, Matches!J:J, "NA", 0)</f>
        <v>GGTW</v>
      </c>
      <c r="Y1334" t="str">
        <f>_xlfn.XLOOKUP(A1334, Matches!A:A, Matches!F:F, "NA", 0)</f>
        <v>Bharat Ratna Shri Atal Bihari Vajpayee Ekana Cricket Stadium</v>
      </c>
      <c r="Z1334" cm="1">
        <f t="array" ref="Z1334">INDEX(Innings!F:F,MATCH(1,(TRIM(Innings!A:A)=TRIM(A1334))*(TRIM(Innings!D:D)=TRIM(E1334)),0))</f>
        <v>178</v>
      </c>
      <c r="AA1334" cm="1">
        <f t="array" ref="AA1334">INDEX(Innings!I:I,MATCH(1,(TRIM(Innings!A:A)=TRIM(A1334))*(TRIM(Innings!D:D)=TRIM(E1334)),0))</f>
        <v>9.1300000000000008</v>
      </c>
      <c r="AB1334" cm="1">
        <f t="array" ref="AB1334">INDEX(Innings!J:J,MATCH(1,(TRIM(Innings!A:A)=TRIM(A1334))*(TRIM(Innings!D:D)=TRIM(E1334)),0))</f>
        <v>38</v>
      </c>
      <c r="AC1334" cm="1">
        <f t="array" ref="AC1334">INDEX(Innings!N:N,MATCH(1,(TRIM(Innings!A:A)=TRIM(A1334))*(TRIM(Innings!D:D)=TRIM(E1334)),0))</f>
        <v>42</v>
      </c>
      <c r="AD1334" cm="1">
        <f t="array" ref="AD1334">INDEX(Innings!S:S,MATCH(1,(TRIM(Innings!A:A)=TRIM(A1334))*(TRIM(Innings!D:D)=TRIM(E1334)),0))</f>
        <v>41</v>
      </c>
      <c r="AE1334" t="str" cm="1">
        <f t="array" ref="AE1334">INDEX(Innings!W:W,MATCH(1,(TRIM(Innings!A:A)=TRIM(A1334))*(TRIM(Innings!D:D)=TRIM(E1334)),0))</f>
        <v>Successful</v>
      </c>
      <c r="AF1334">
        <f>IF(UPPER(TRIM(E1334))=UPPER(TRIM(W1334)),1,0)</f>
        <v>1</v>
      </c>
      <c r="AG1334">
        <f t="shared" si="40"/>
        <v>67.7</v>
      </c>
    </row>
    <row r="1335" spans="1:33" x14ac:dyDescent="0.3">
      <c r="A1335" t="s">
        <v>478</v>
      </c>
      <c r="B1335">
        <v>3</v>
      </c>
      <c r="C1335" t="s">
        <v>93</v>
      </c>
      <c r="D1335" t="s">
        <v>118</v>
      </c>
      <c r="E1335" t="s">
        <v>258</v>
      </c>
      <c r="F1335" t="s">
        <v>169</v>
      </c>
      <c r="G1335" t="s">
        <v>134</v>
      </c>
      <c r="H1335">
        <v>22</v>
      </c>
      <c r="I1335">
        <v>13</v>
      </c>
      <c r="J1335">
        <v>169.23</v>
      </c>
      <c r="K1335" t="s">
        <v>246</v>
      </c>
      <c r="L1335">
        <v>35</v>
      </c>
      <c r="M1335">
        <v>2</v>
      </c>
      <c r="N1335">
        <v>0</v>
      </c>
      <c r="O1335">
        <v>18</v>
      </c>
      <c r="P1335">
        <v>0</v>
      </c>
      <c r="Q1335">
        <v>9</v>
      </c>
      <c r="R1335">
        <v>0</v>
      </c>
      <c r="S1335">
        <v>0</v>
      </c>
      <c r="T1335">
        <v>0</v>
      </c>
      <c r="U1335" s="8">
        <v>35</v>
      </c>
      <c r="V1335" s="8">
        <f t="shared" si="41"/>
        <v>4</v>
      </c>
      <c r="W1335" t="str">
        <f>_xlfn.XLOOKUP(A1335, Matches!A:A, Matches!L:L, "NA", 0)</f>
        <v>GGTW</v>
      </c>
      <c r="X1335" t="str">
        <f>_xlfn.XLOOKUP(A1335, Matches!A:A, Matches!J:J, "NA", 0)</f>
        <v>GGTW</v>
      </c>
      <c r="Y1335" t="str">
        <f>_xlfn.XLOOKUP(A1335, Matches!A:A, Matches!F:F, "NA", 0)</f>
        <v>Bharat Ratna Shri Atal Bihari Vajpayee Ekana Cricket Stadium</v>
      </c>
      <c r="Z1335" cm="1">
        <f t="array" ref="Z1335">INDEX(Innings!F:F,MATCH(1,(TRIM(Innings!A:A)=TRIM(A1335))*(TRIM(Innings!D:D)=TRIM(E1335)),0))</f>
        <v>178</v>
      </c>
      <c r="AA1335" cm="1">
        <f t="array" ref="AA1335">INDEX(Innings!I:I,MATCH(1,(TRIM(Innings!A:A)=TRIM(A1335))*(TRIM(Innings!D:D)=TRIM(E1335)),0))</f>
        <v>9.1300000000000008</v>
      </c>
      <c r="AB1335" cm="1">
        <f t="array" ref="AB1335">INDEX(Innings!J:J,MATCH(1,(TRIM(Innings!A:A)=TRIM(A1335))*(TRIM(Innings!D:D)=TRIM(E1335)),0))</f>
        <v>38</v>
      </c>
      <c r="AC1335" cm="1">
        <f t="array" ref="AC1335">INDEX(Innings!N:N,MATCH(1,(TRIM(Innings!A:A)=TRIM(A1335))*(TRIM(Innings!D:D)=TRIM(E1335)),0))</f>
        <v>42</v>
      </c>
      <c r="AD1335" cm="1">
        <f t="array" ref="AD1335">INDEX(Innings!S:S,MATCH(1,(TRIM(Innings!A:A)=TRIM(A1335))*(TRIM(Innings!D:D)=TRIM(E1335)),0))</f>
        <v>41</v>
      </c>
      <c r="AE1335" t="str" cm="1">
        <f t="array" ref="AE1335">INDEX(Innings!W:W,MATCH(1,(TRIM(Innings!A:A)=TRIM(A1335))*(TRIM(Innings!D:D)=TRIM(E1335)),0))</f>
        <v>Successful</v>
      </c>
      <c r="AF1335">
        <f>IF(UPPER(TRIM(E1335))=UPPER(TRIM(W1335)),1,0)</f>
        <v>1</v>
      </c>
      <c r="AG1335">
        <f t="shared" si="40"/>
        <v>38.700000000000003</v>
      </c>
    </row>
    <row r="1336" spans="1:33" x14ac:dyDescent="0.3">
      <c r="A1336" t="s">
        <v>478</v>
      </c>
      <c r="B1336">
        <v>3</v>
      </c>
      <c r="C1336" t="s">
        <v>530</v>
      </c>
      <c r="D1336" t="s">
        <v>502</v>
      </c>
      <c r="E1336" t="s">
        <v>258</v>
      </c>
      <c r="F1336" t="s">
        <v>169</v>
      </c>
      <c r="G1336" t="s">
        <v>134</v>
      </c>
      <c r="H1336">
        <v>24</v>
      </c>
      <c r="I1336">
        <v>10</v>
      </c>
      <c r="J1336">
        <v>240</v>
      </c>
      <c r="K1336" t="s">
        <v>246</v>
      </c>
      <c r="L1336">
        <v>35</v>
      </c>
      <c r="M1336">
        <v>4</v>
      </c>
      <c r="N1336">
        <v>0</v>
      </c>
      <c r="O1336">
        <v>37</v>
      </c>
      <c r="P1336">
        <v>2</v>
      </c>
      <c r="Q1336">
        <v>9.1999999999999993</v>
      </c>
      <c r="R1336">
        <v>50</v>
      </c>
      <c r="S1336">
        <v>0</v>
      </c>
      <c r="T1336">
        <v>0</v>
      </c>
      <c r="U1336" s="8">
        <v>85</v>
      </c>
      <c r="V1336" s="8">
        <f t="shared" si="41"/>
        <v>9</v>
      </c>
      <c r="W1336" t="str">
        <f>_xlfn.XLOOKUP(A1336, Matches!A:A, Matches!L:L, "NA", 0)</f>
        <v>GGTW</v>
      </c>
      <c r="X1336" t="str">
        <f>_xlfn.XLOOKUP(A1336, Matches!A:A, Matches!J:J, "NA", 0)</f>
        <v>GGTW</v>
      </c>
      <c r="Y1336" t="str">
        <f>_xlfn.XLOOKUP(A1336, Matches!A:A, Matches!F:F, "NA", 0)</f>
        <v>Bharat Ratna Shri Atal Bihari Vajpayee Ekana Cricket Stadium</v>
      </c>
      <c r="Z1336" cm="1">
        <f t="array" ref="Z1336">INDEX(Innings!F:F,MATCH(1,(TRIM(Innings!A:A)=TRIM(A1336))*(TRIM(Innings!D:D)=TRIM(E1336)),0))</f>
        <v>178</v>
      </c>
      <c r="AA1336" cm="1">
        <f t="array" ref="AA1336">INDEX(Innings!I:I,MATCH(1,(TRIM(Innings!A:A)=TRIM(A1336))*(TRIM(Innings!D:D)=TRIM(E1336)),0))</f>
        <v>9.1300000000000008</v>
      </c>
      <c r="AB1336" cm="1">
        <f t="array" ref="AB1336">INDEX(Innings!J:J,MATCH(1,(TRIM(Innings!A:A)=TRIM(A1336))*(TRIM(Innings!D:D)=TRIM(E1336)),0))</f>
        <v>38</v>
      </c>
      <c r="AC1336" cm="1">
        <f t="array" ref="AC1336">INDEX(Innings!N:N,MATCH(1,(TRIM(Innings!A:A)=TRIM(A1336))*(TRIM(Innings!D:D)=TRIM(E1336)),0))</f>
        <v>42</v>
      </c>
      <c r="AD1336" cm="1">
        <f t="array" ref="AD1336">INDEX(Innings!S:S,MATCH(1,(TRIM(Innings!A:A)=TRIM(A1336))*(TRIM(Innings!D:D)=TRIM(E1336)),0))</f>
        <v>41</v>
      </c>
      <c r="AE1336" t="str" cm="1">
        <f t="array" ref="AE1336">INDEX(Innings!W:W,MATCH(1,(TRIM(Innings!A:A)=TRIM(A1336))*(TRIM(Innings!D:D)=TRIM(E1336)),0))</f>
        <v>Successful</v>
      </c>
      <c r="AF1336">
        <f>IF(UPPER(TRIM(E1336))=UPPER(TRIM(W1336)),1,0)</f>
        <v>1</v>
      </c>
      <c r="AG1336">
        <f t="shared" si="40"/>
        <v>65.2</v>
      </c>
    </row>
    <row r="1337" spans="1:33" x14ac:dyDescent="0.3">
      <c r="A1337" t="s">
        <v>478</v>
      </c>
      <c r="B1337">
        <v>3</v>
      </c>
      <c r="C1337" t="s">
        <v>383</v>
      </c>
      <c r="D1337" t="s">
        <v>384</v>
      </c>
      <c r="E1337" t="s">
        <v>258</v>
      </c>
      <c r="F1337" t="s">
        <v>109</v>
      </c>
      <c r="G1337" t="s">
        <v>134</v>
      </c>
      <c r="H1337">
        <v>0</v>
      </c>
      <c r="I1337">
        <v>1</v>
      </c>
      <c r="J1337">
        <v>0</v>
      </c>
      <c r="K1337" t="s">
        <v>246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 s="8">
        <v>0</v>
      </c>
      <c r="V1337" s="8">
        <f t="shared" si="41"/>
        <v>0</v>
      </c>
      <c r="W1337" t="str">
        <f>_xlfn.XLOOKUP(A1337, Matches!A:A, Matches!L:L, "NA", 0)</f>
        <v>GGTW</v>
      </c>
      <c r="X1337" t="str">
        <f>_xlfn.XLOOKUP(A1337, Matches!A:A, Matches!J:J, "NA", 0)</f>
        <v>GGTW</v>
      </c>
      <c r="Y1337" t="str">
        <f>_xlfn.XLOOKUP(A1337, Matches!A:A, Matches!F:F, "NA", 0)</f>
        <v>Bharat Ratna Shri Atal Bihari Vajpayee Ekana Cricket Stadium</v>
      </c>
      <c r="Z1337" cm="1">
        <f t="array" ref="Z1337">INDEX(Innings!F:F,MATCH(1,(TRIM(Innings!A:A)=TRIM(A1337))*(TRIM(Innings!D:D)=TRIM(E1337)),0))</f>
        <v>178</v>
      </c>
      <c r="AA1337" cm="1">
        <f t="array" ref="AA1337">INDEX(Innings!I:I,MATCH(1,(TRIM(Innings!A:A)=TRIM(A1337))*(TRIM(Innings!D:D)=TRIM(E1337)),0))</f>
        <v>9.1300000000000008</v>
      </c>
      <c r="AB1337" cm="1">
        <f t="array" ref="AB1337">INDEX(Innings!J:J,MATCH(1,(TRIM(Innings!A:A)=TRIM(A1337))*(TRIM(Innings!D:D)=TRIM(E1337)),0))</f>
        <v>38</v>
      </c>
      <c r="AC1337" cm="1">
        <f t="array" ref="AC1337">INDEX(Innings!N:N,MATCH(1,(TRIM(Innings!A:A)=TRIM(A1337))*(TRIM(Innings!D:D)=TRIM(E1337)),0))</f>
        <v>42</v>
      </c>
      <c r="AD1337" cm="1">
        <f t="array" ref="AD1337">INDEX(Innings!S:S,MATCH(1,(TRIM(Innings!A:A)=TRIM(A1337))*(TRIM(Innings!D:D)=TRIM(E1337)),0))</f>
        <v>41</v>
      </c>
      <c r="AE1337" t="str" cm="1">
        <f t="array" ref="AE1337">INDEX(Innings!W:W,MATCH(1,(TRIM(Innings!A:A)=TRIM(A1337))*(TRIM(Innings!D:D)=TRIM(E1337)),0))</f>
        <v>Successful</v>
      </c>
      <c r="AF1337">
        <f>IF(UPPER(TRIM(E1337))=UPPER(TRIM(W1337)),1,0)</f>
        <v>1</v>
      </c>
      <c r="AG1337">
        <f t="shared" si="40"/>
        <v>20</v>
      </c>
    </row>
    <row r="1338" spans="1:33" x14ac:dyDescent="0.3">
      <c r="A1338" t="s">
        <v>478</v>
      </c>
      <c r="B1338">
        <v>3</v>
      </c>
      <c r="C1338" t="s">
        <v>493</v>
      </c>
      <c r="D1338" t="s">
        <v>500</v>
      </c>
      <c r="E1338" t="s">
        <v>258</v>
      </c>
      <c r="F1338" t="s">
        <v>169</v>
      </c>
      <c r="G1338" t="s">
        <v>134</v>
      </c>
      <c r="H1338">
        <v>9</v>
      </c>
      <c r="I1338">
        <v>3</v>
      </c>
      <c r="J1338">
        <v>300</v>
      </c>
      <c r="K1338" t="s">
        <v>96</v>
      </c>
      <c r="L1338">
        <v>15</v>
      </c>
      <c r="M1338">
        <v>3</v>
      </c>
      <c r="N1338">
        <v>0</v>
      </c>
      <c r="O1338">
        <v>32</v>
      </c>
      <c r="P1338">
        <v>0</v>
      </c>
      <c r="Q1338">
        <v>10.7</v>
      </c>
      <c r="R1338">
        <v>0</v>
      </c>
      <c r="S1338">
        <v>0</v>
      </c>
      <c r="T1338">
        <v>0</v>
      </c>
      <c r="U1338" s="8">
        <v>15</v>
      </c>
      <c r="V1338" s="8">
        <f t="shared" si="41"/>
        <v>2</v>
      </c>
      <c r="W1338" t="str">
        <f>_xlfn.XLOOKUP(A1338, Matches!A:A, Matches!L:L, "NA", 0)</f>
        <v>GGTW</v>
      </c>
      <c r="X1338" t="str">
        <f>_xlfn.XLOOKUP(A1338, Matches!A:A, Matches!J:J, "NA", 0)</f>
        <v>GGTW</v>
      </c>
      <c r="Y1338" t="str">
        <f>_xlfn.XLOOKUP(A1338, Matches!A:A, Matches!F:F, "NA", 0)</f>
        <v>Bharat Ratna Shri Atal Bihari Vajpayee Ekana Cricket Stadium</v>
      </c>
      <c r="Z1338" cm="1">
        <f t="array" ref="Z1338">INDEX(Innings!F:F,MATCH(1,(TRIM(Innings!A:A)=TRIM(A1338))*(TRIM(Innings!D:D)=TRIM(E1338)),0))</f>
        <v>178</v>
      </c>
      <c r="AA1338" cm="1">
        <f t="array" ref="AA1338">INDEX(Innings!I:I,MATCH(1,(TRIM(Innings!A:A)=TRIM(A1338))*(TRIM(Innings!D:D)=TRIM(E1338)),0))</f>
        <v>9.1300000000000008</v>
      </c>
      <c r="AB1338" cm="1">
        <f t="array" ref="AB1338">INDEX(Innings!J:J,MATCH(1,(TRIM(Innings!A:A)=TRIM(A1338))*(TRIM(Innings!D:D)=TRIM(E1338)),0))</f>
        <v>38</v>
      </c>
      <c r="AC1338" cm="1">
        <f t="array" ref="AC1338">INDEX(Innings!N:N,MATCH(1,(TRIM(Innings!A:A)=TRIM(A1338))*(TRIM(Innings!D:D)=TRIM(E1338)),0))</f>
        <v>42</v>
      </c>
      <c r="AD1338" cm="1">
        <f t="array" ref="AD1338">INDEX(Innings!S:S,MATCH(1,(TRIM(Innings!A:A)=TRIM(A1338))*(TRIM(Innings!D:D)=TRIM(E1338)),0))</f>
        <v>41</v>
      </c>
      <c r="AE1338" t="str" cm="1">
        <f t="array" ref="AE1338">INDEX(Innings!W:W,MATCH(1,(TRIM(Innings!A:A)=TRIM(A1338))*(TRIM(Innings!D:D)=TRIM(E1338)),0))</f>
        <v>Successful</v>
      </c>
      <c r="AF1338">
        <f>IF(UPPER(TRIM(E1338))=UPPER(TRIM(W1338)),1,0)</f>
        <v>1</v>
      </c>
      <c r="AG1338">
        <f t="shared" si="40"/>
        <v>28.1</v>
      </c>
    </row>
    <row r="1339" spans="1:33" x14ac:dyDescent="0.3">
      <c r="A1339" t="s">
        <v>478</v>
      </c>
      <c r="B1339">
        <v>3</v>
      </c>
      <c r="C1339" t="s">
        <v>447</v>
      </c>
      <c r="D1339" t="s">
        <v>448</v>
      </c>
      <c r="E1339" t="s">
        <v>258</v>
      </c>
      <c r="F1339" t="s">
        <v>109</v>
      </c>
      <c r="G1339" t="s">
        <v>104</v>
      </c>
      <c r="H1339">
        <v>0</v>
      </c>
      <c r="I1339">
        <v>0</v>
      </c>
      <c r="J1339">
        <v>0</v>
      </c>
      <c r="K1339" t="s">
        <v>104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 s="8">
        <v>0</v>
      </c>
      <c r="V1339" s="8">
        <f t="shared" si="41"/>
        <v>0</v>
      </c>
      <c r="W1339" t="str">
        <f>_xlfn.XLOOKUP(A1339, Matches!A:A, Matches!L:L, "NA", 0)</f>
        <v>GGTW</v>
      </c>
      <c r="X1339" t="str">
        <f>_xlfn.XLOOKUP(A1339, Matches!A:A, Matches!J:J, "NA", 0)</f>
        <v>GGTW</v>
      </c>
      <c r="Y1339" t="str">
        <f>_xlfn.XLOOKUP(A1339, Matches!A:A, Matches!F:F, "NA", 0)</f>
        <v>Bharat Ratna Shri Atal Bihari Vajpayee Ekana Cricket Stadium</v>
      </c>
      <c r="Z1339" cm="1">
        <f t="array" ref="Z1339">INDEX(Innings!F:F,MATCH(1,(TRIM(Innings!A:A)=TRIM(A1339))*(TRIM(Innings!D:D)=TRIM(E1339)),0))</f>
        <v>178</v>
      </c>
      <c r="AA1339" cm="1">
        <f t="array" ref="AA1339">INDEX(Innings!I:I,MATCH(1,(TRIM(Innings!A:A)=TRIM(A1339))*(TRIM(Innings!D:D)=TRIM(E1339)),0))</f>
        <v>9.1300000000000008</v>
      </c>
      <c r="AB1339" cm="1">
        <f t="array" ref="AB1339">INDEX(Innings!J:J,MATCH(1,(TRIM(Innings!A:A)=TRIM(A1339))*(TRIM(Innings!D:D)=TRIM(E1339)),0))</f>
        <v>38</v>
      </c>
      <c r="AC1339" cm="1">
        <f t="array" ref="AC1339">INDEX(Innings!N:N,MATCH(1,(TRIM(Innings!A:A)=TRIM(A1339))*(TRIM(Innings!D:D)=TRIM(E1339)),0))</f>
        <v>42</v>
      </c>
      <c r="AD1339" cm="1">
        <f t="array" ref="AD1339">INDEX(Innings!S:S,MATCH(1,(TRIM(Innings!A:A)=TRIM(A1339))*(TRIM(Innings!D:D)=TRIM(E1339)),0))</f>
        <v>41</v>
      </c>
      <c r="AE1339" t="str" cm="1">
        <f t="array" ref="AE1339">INDEX(Innings!W:W,MATCH(1,(TRIM(Innings!A:A)=TRIM(A1339))*(TRIM(Innings!D:D)=TRIM(E1339)),0))</f>
        <v>Successful</v>
      </c>
      <c r="AF1339">
        <f>IF(UPPER(TRIM(E1339))=UPPER(TRIM(W1339)),1,0)</f>
        <v>1</v>
      </c>
      <c r="AG1339">
        <f t="shared" si="40"/>
        <v>20</v>
      </c>
    </row>
    <row r="1340" spans="1:33" x14ac:dyDescent="0.3">
      <c r="A1340" t="s">
        <v>478</v>
      </c>
      <c r="B1340">
        <v>3</v>
      </c>
      <c r="C1340" t="s">
        <v>389</v>
      </c>
      <c r="D1340" t="s">
        <v>390</v>
      </c>
      <c r="E1340" t="s">
        <v>258</v>
      </c>
      <c r="F1340" t="s">
        <v>101</v>
      </c>
      <c r="G1340" t="s">
        <v>104</v>
      </c>
      <c r="H1340">
        <v>0</v>
      </c>
      <c r="I1340">
        <v>0</v>
      </c>
      <c r="J1340">
        <v>0</v>
      </c>
      <c r="K1340" t="s">
        <v>104</v>
      </c>
      <c r="L1340">
        <v>0</v>
      </c>
      <c r="M1340">
        <v>4</v>
      </c>
      <c r="N1340">
        <v>0</v>
      </c>
      <c r="O1340">
        <v>35</v>
      </c>
      <c r="P1340">
        <v>3</v>
      </c>
      <c r="Q1340">
        <v>8.8000000000000007</v>
      </c>
      <c r="R1340">
        <v>75</v>
      </c>
      <c r="S1340">
        <v>0</v>
      </c>
      <c r="T1340">
        <v>0</v>
      </c>
      <c r="U1340" s="8">
        <v>75</v>
      </c>
      <c r="V1340" s="8">
        <f t="shared" si="41"/>
        <v>8</v>
      </c>
      <c r="W1340" t="str">
        <f>_xlfn.XLOOKUP(A1340, Matches!A:A, Matches!L:L, "NA", 0)</f>
        <v>GGTW</v>
      </c>
      <c r="X1340" t="str">
        <f>_xlfn.XLOOKUP(A1340, Matches!A:A, Matches!J:J, "NA", 0)</f>
        <v>GGTW</v>
      </c>
      <c r="Y1340" t="str">
        <f>_xlfn.XLOOKUP(A1340, Matches!A:A, Matches!F:F, "NA", 0)</f>
        <v>Bharat Ratna Shri Atal Bihari Vajpayee Ekana Cricket Stadium</v>
      </c>
      <c r="Z1340" cm="1">
        <f t="array" ref="Z1340">INDEX(Innings!F:F,MATCH(1,(TRIM(Innings!A:A)=TRIM(A1340))*(TRIM(Innings!D:D)=TRIM(E1340)),0))</f>
        <v>178</v>
      </c>
      <c r="AA1340" cm="1">
        <f t="array" ref="AA1340">INDEX(Innings!I:I,MATCH(1,(TRIM(Innings!A:A)=TRIM(A1340))*(TRIM(Innings!D:D)=TRIM(E1340)),0))</f>
        <v>9.1300000000000008</v>
      </c>
      <c r="AB1340" cm="1">
        <f t="array" ref="AB1340">INDEX(Innings!J:J,MATCH(1,(TRIM(Innings!A:A)=TRIM(A1340))*(TRIM(Innings!D:D)=TRIM(E1340)),0))</f>
        <v>38</v>
      </c>
      <c r="AC1340" cm="1">
        <f t="array" ref="AC1340">INDEX(Innings!N:N,MATCH(1,(TRIM(Innings!A:A)=TRIM(A1340))*(TRIM(Innings!D:D)=TRIM(E1340)),0))</f>
        <v>42</v>
      </c>
      <c r="AD1340" cm="1">
        <f t="array" ref="AD1340">INDEX(Innings!S:S,MATCH(1,(TRIM(Innings!A:A)=TRIM(A1340))*(TRIM(Innings!D:D)=TRIM(E1340)),0))</f>
        <v>41</v>
      </c>
      <c r="AE1340" t="str" cm="1">
        <f t="array" ref="AE1340">INDEX(Innings!W:W,MATCH(1,(TRIM(Innings!A:A)=TRIM(A1340))*(TRIM(Innings!D:D)=TRIM(E1340)),0))</f>
        <v>Successful</v>
      </c>
      <c r="AF1340">
        <f>IF(UPPER(TRIM(E1340))=UPPER(TRIM(W1340)),1,0)</f>
        <v>1</v>
      </c>
      <c r="AG1340">
        <f t="shared" si="40"/>
        <v>59.9</v>
      </c>
    </row>
    <row r="1341" spans="1:33" x14ac:dyDescent="0.3">
      <c r="A1341" t="s">
        <v>478</v>
      </c>
      <c r="B1341">
        <v>3</v>
      </c>
      <c r="C1341" t="s">
        <v>105</v>
      </c>
      <c r="D1341" t="s">
        <v>128</v>
      </c>
      <c r="E1341" t="s">
        <v>258</v>
      </c>
      <c r="F1341" t="s">
        <v>101</v>
      </c>
      <c r="G1341" t="s">
        <v>104</v>
      </c>
      <c r="H1341">
        <v>0</v>
      </c>
      <c r="I1341">
        <v>0</v>
      </c>
      <c r="J1341">
        <v>0</v>
      </c>
      <c r="K1341" t="s">
        <v>104</v>
      </c>
      <c r="L1341">
        <v>0</v>
      </c>
      <c r="M1341">
        <v>4</v>
      </c>
      <c r="N1341">
        <v>0</v>
      </c>
      <c r="O1341">
        <v>31</v>
      </c>
      <c r="P1341">
        <v>0</v>
      </c>
      <c r="Q1341">
        <v>7.8</v>
      </c>
      <c r="R1341">
        <v>10</v>
      </c>
      <c r="S1341">
        <v>0</v>
      </c>
      <c r="T1341">
        <v>0</v>
      </c>
      <c r="U1341" s="8">
        <v>10</v>
      </c>
      <c r="V1341" s="8">
        <f t="shared" si="41"/>
        <v>1</v>
      </c>
      <c r="W1341" t="str">
        <f>_xlfn.XLOOKUP(A1341, Matches!A:A, Matches!L:L, "NA", 0)</f>
        <v>GGTW</v>
      </c>
      <c r="X1341" t="str">
        <f>_xlfn.XLOOKUP(A1341, Matches!A:A, Matches!J:J, "NA", 0)</f>
        <v>GGTW</v>
      </c>
      <c r="Y1341" t="str">
        <f>_xlfn.XLOOKUP(A1341, Matches!A:A, Matches!F:F, "NA", 0)</f>
        <v>Bharat Ratna Shri Atal Bihari Vajpayee Ekana Cricket Stadium</v>
      </c>
      <c r="Z1341" cm="1">
        <f t="array" ref="Z1341">INDEX(Innings!F:F,MATCH(1,(TRIM(Innings!A:A)=TRIM(A1341))*(TRIM(Innings!D:D)=TRIM(E1341)),0))</f>
        <v>178</v>
      </c>
      <c r="AA1341" cm="1">
        <f t="array" ref="AA1341">INDEX(Innings!I:I,MATCH(1,(TRIM(Innings!A:A)=TRIM(A1341))*(TRIM(Innings!D:D)=TRIM(E1341)),0))</f>
        <v>9.1300000000000008</v>
      </c>
      <c r="AB1341" cm="1">
        <f t="array" ref="AB1341">INDEX(Innings!J:J,MATCH(1,(TRIM(Innings!A:A)=TRIM(A1341))*(TRIM(Innings!D:D)=TRIM(E1341)),0))</f>
        <v>38</v>
      </c>
      <c r="AC1341" cm="1">
        <f t="array" ref="AC1341">INDEX(Innings!N:N,MATCH(1,(TRIM(Innings!A:A)=TRIM(A1341))*(TRIM(Innings!D:D)=TRIM(E1341)),0))</f>
        <v>42</v>
      </c>
      <c r="AD1341" cm="1">
        <f t="array" ref="AD1341">INDEX(Innings!S:S,MATCH(1,(TRIM(Innings!A:A)=TRIM(A1341))*(TRIM(Innings!D:D)=TRIM(E1341)),0))</f>
        <v>41</v>
      </c>
      <c r="AE1341" t="str" cm="1">
        <f t="array" ref="AE1341">INDEX(Innings!W:W,MATCH(1,(TRIM(Innings!A:A)=TRIM(A1341))*(TRIM(Innings!D:D)=TRIM(E1341)),0))</f>
        <v>Successful</v>
      </c>
      <c r="AF1341">
        <f>IF(UPPER(TRIM(E1341))=UPPER(TRIM(W1341)),1,0)</f>
        <v>1</v>
      </c>
      <c r="AG1341">
        <f t="shared" si="40"/>
        <v>25.3</v>
      </c>
    </row>
    <row r="1342" spans="1:33" x14ac:dyDescent="0.3">
      <c r="A1342" t="s">
        <v>478</v>
      </c>
      <c r="B1342">
        <v>3</v>
      </c>
      <c r="C1342" t="s">
        <v>494</v>
      </c>
      <c r="D1342" t="s">
        <v>501</v>
      </c>
      <c r="E1342" t="s">
        <v>258</v>
      </c>
      <c r="F1342" t="s">
        <v>101</v>
      </c>
      <c r="G1342" t="s">
        <v>104</v>
      </c>
      <c r="H1342">
        <v>0</v>
      </c>
      <c r="I1342">
        <v>0</v>
      </c>
      <c r="J1342">
        <v>0</v>
      </c>
      <c r="K1342" t="s">
        <v>104</v>
      </c>
      <c r="L1342">
        <v>0</v>
      </c>
      <c r="M1342">
        <v>3</v>
      </c>
      <c r="N1342">
        <v>0</v>
      </c>
      <c r="O1342">
        <v>21</v>
      </c>
      <c r="P1342">
        <v>0</v>
      </c>
      <c r="Q1342">
        <v>7</v>
      </c>
      <c r="R1342">
        <v>10</v>
      </c>
      <c r="S1342">
        <v>0</v>
      </c>
      <c r="T1342">
        <v>0</v>
      </c>
      <c r="U1342" s="8">
        <v>10</v>
      </c>
      <c r="V1342" s="8">
        <f t="shared" si="41"/>
        <v>1</v>
      </c>
      <c r="W1342" t="str">
        <f>_xlfn.XLOOKUP(A1342, Matches!A:A, Matches!L:L, "NA", 0)</f>
        <v>GGTW</v>
      </c>
      <c r="X1342" t="str">
        <f>_xlfn.XLOOKUP(A1342, Matches!A:A, Matches!J:J, "NA", 0)</f>
        <v>GGTW</v>
      </c>
      <c r="Y1342" t="str">
        <f>_xlfn.XLOOKUP(A1342, Matches!A:A, Matches!F:F, "NA", 0)</f>
        <v>Bharat Ratna Shri Atal Bihari Vajpayee Ekana Cricket Stadium</v>
      </c>
      <c r="Z1342" cm="1">
        <f t="array" ref="Z1342">INDEX(Innings!F:F,MATCH(1,(TRIM(Innings!A:A)=TRIM(A1342))*(TRIM(Innings!D:D)=TRIM(E1342)),0))</f>
        <v>178</v>
      </c>
      <c r="AA1342" cm="1">
        <f t="array" ref="AA1342">INDEX(Innings!I:I,MATCH(1,(TRIM(Innings!A:A)=TRIM(A1342))*(TRIM(Innings!D:D)=TRIM(E1342)),0))</f>
        <v>9.1300000000000008</v>
      </c>
      <c r="AB1342" cm="1">
        <f t="array" ref="AB1342">INDEX(Innings!J:J,MATCH(1,(TRIM(Innings!A:A)=TRIM(A1342))*(TRIM(Innings!D:D)=TRIM(E1342)),0))</f>
        <v>38</v>
      </c>
      <c r="AC1342" cm="1">
        <f t="array" ref="AC1342">INDEX(Innings!N:N,MATCH(1,(TRIM(Innings!A:A)=TRIM(A1342))*(TRIM(Innings!D:D)=TRIM(E1342)),0))</f>
        <v>42</v>
      </c>
      <c r="AD1342" cm="1">
        <f t="array" ref="AD1342">INDEX(Innings!S:S,MATCH(1,(TRIM(Innings!A:A)=TRIM(A1342))*(TRIM(Innings!D:D)=TRIM(E1342)),0))</f>
        <v>41</v>
      </c>
      <c r="AE1342" t="str" cm="1">
        <f t="array" ref="AE1342">INDEX(Innings!W:W,MATCH(1,(TRIM(Innings!A:A)=TRIM(A1342))*(TRIM(Innings!D:D)=TRIM(E1342)),0))</f>
        <v>Successful</v>
      </c>
      <c r="AF1342">
        <f>IF(UPPER(TRIM(E1342))=UPPER(TRIM(W1342)),1,0)</f>
        <v>1</v>
      </c>
      <c r="AG1342">
        <f t="shared" si="40"/>
        <v>25.3</v>
      </c>
    </row>
    <row r="1343" spans="1:33" x14ac:dyDescent="0.3">
      <c r="A1343" t="s">
        <v>479</v>
      </c>
      <c r="B1343">
        <v>3</v>
      </c>
      <c r="C1343" t="s">
        <v>226</v>
      </c>
      <c r="D1343" t="s">
        <v>211</v>
      </c>
      <c r="E1343" t="s">
        <v>219</v>
      </c>
      <c r="F1343" t="s">
        <v>169</v>
      </c>
      <c r="G1343" t="s">
        <v>86</v>
      </c>
      <c r="H1343">
        <v>39</v>
      </c>
      <c r="I1343">
        <v>22</v>
      </c>
      <c r="J1343">
        <v>177.27</v>
      </c>
      <c r="K1343" t="s">
        <v>256</v>
      </c>
      <c r="L1343">
        <v>55</v>
      </c>
      <c r="M1343">
        <v>1</v>
      </c>
      <c r="N1343">
        <v>0</v>
      </c>
      <c r="O1343">
        <v>22</v>
      </c>
      <c r="P1343">
        <v>0</v>
      </c>
      <c r="Q1343">
        <v>22</v>
      </c>
      <c r="R1343">
        <v>0</v>
      </c>
      <c r="S1343">
        <v>0</v>
      </c>
      <c r="T1343">
        <v>0</v>
      </c>
      <c r="U1343" s="8">
        <v>55</v>
      </c>
      <c r="V1343" s="8">
        <f t="shared" si="41"/>
        <v>6</v>
      </c>
      <c r="W1343" t="str">
        <f>_xlfn.XLOOKUP(A1343, Matches!A:A, Matches!L:L, "NA", 0)</f>
        <v>UPW</v>
      </c>
      <c r="X1343" t="str">
        <f>_xlfn.XLOOKUP(A1343, Matches!A:A, Matches!J:J, "NA", 0)</f>
        <v>RCBW</v>
      </c>
      <c r="Y1343" t="str">
        <f>_xlfn.XLOOKUP(A1343, Matches!A:A, Matches!F:F, "NA", 0)</f>
        <v>Bharat Ratna Shri Atal Bihari Vajpayee Ekana Cricket Stadium</v>
      </c>
      <c r="Z1343" cm="1">
        <f t="array" ref="Z1343">INDEX(Innings!F:F,MATCH(1,(TRIM(Innings!A:A)=TRIM(A1343))*(TRIM(Innings!D:D)=TRIM(E1343)),0))</f>
        <v>225</v>
      </c>
      <c r="AA1343" cm="1">
        <f t="array" ref="AA1343">INDEX(Innings!I:I,MATCH(1,(TRIM(Innings!A:A)=TRIM(A1343))*(TRIM(Innings!D:D)=TRIM(E1343)),0))</f>
        <v>11.25</v>
      </c>
      <c r="AB1343" cm="1">
        <f t="array" ref="AB1343">INDEX(Innings!J:J,MATCH(1,(TRIM(Innings!A:A)=TRIM(A1343))*(TRIM(Innings!D:D)=TRIM(E1343)),0))</f>
        <v>67</v>
      </c>
      <c r="AC1343" cm="1">
        <f t="array" ref="AC1343">INDEX(Innings!N:N,MATCH(1,(TRIM(Innings!A:A)=TRIM(A1343))*(TRIM(Innings!D:D)=TRIM(E1343)),0))</f>
        <v>37</v>
      </c>
      <c r="AD1343" cm="1">
        <f t="array" ref="AD1343">INDEX(Innings!S:S,MATCH(1,(TRIM(Innings!A:A)=TRIM(A1343))*(TRIM(Innings!D:D)=TRIM(E1343)),0))</f>
        <v>40</v>
      </c>
      <c r="AE1343" t="str" cm="1">
        <f t="array" ref="AE1343">INDEX(Innings!W:W,MATCH(1,(TRIM(Innings!A:A)=TRIM(A1343))*(TRIM(Innings!D:D)=TRIM(E1343)),0))</f>
        <v>NA</v>
      </c>
      <c r="AF1343">
        <f>IF(UPPER(TRIM(E1343))=UPPER(TRIM(W1343)),1,0)</f>
        <v>1</v>
      </c>
      <c r="AG1343">
        <f t="shared" si="40"/>
        <v>49.3</v>
      </c>
    </row>
    <row r="1344" spans="1:33" x14ac:dyDescent="0.3">
      <c r="A1344" t="s">
        <v>479</v>
      </c>
      <c r="B1344">
        <v>3</v>
      </c>
      <c r="C1344" t="s">
        <v>514</v>
      </c>
      <c r="D1344" t="s">
        <v>567</v>
      </c>
      <c r="E1344" t="s">
        <v>219</v>
      </c>
      <c r="F1344" t="s">
        <v>109</v>
      </c>
      <c r="G1344" t="s">
        <v>86</v>
      </c>
      <c r="H1344">
        <v>99</v>
      </c>
      <c r="I1344">
        <v>56</v>
      </c>
      <c r="J1344">
        <v>176.79</v>
      </c>
      <c r="K1344" t="s">
        <v>96</v>
      </c>
      <c r="L1344">
        <v>120</v>
      </c>
      <c r="M1344">
        <v>0.3</v>
      </c>
      <c r="N1344">
        <v>0</v>
      </c>
      <c r="O1344">
        <v>2</v>
      </c>
      <c r="P1344">
        <v>0</v>
      </c>
      <c r="Q1344">
        <v>4</v>
      </c>
      <c r="R1344">
        <v>0</v>
      </c>
      <c r="S1344">
        <v>0</v>
      </c>
      <c r="T1344">
        <v>0</v>
      </c>
      <c r="U1344" s="8">
        <v>120</v>
      </c>
      <c r="V1344" s="8">
        <f t="shared" si="41"/>
        <v>10</v>
      </c>
      <c r="W1344" t="str">
        <f>_xlfn.XLOOKUP(A1344, Matches!A:A, Matches!L:L, "NA", 0)</f>
        <v>UPW</v>
      </c>
      <c r="X1344" t="str">
        <f>_xlfn.XLOOKUP(A1344, Matches!A:A, Matches!J:J, "NA", 0)</f>
        <v>RCBW</v>
      </c>
      <c r="Y1344" t="str">
        <f>_xlfn.XLOOKUP(A1344, Matches!A:A, Matches!F:F, "NA", 0)</f>
        <v>Bharat Ratna Shri Atal Bihari Vajpayee Ekana Cricket Stadium</v>
      </c>
      <c r="Z1344" cm="1">
        <f t="array" ref="Z1344">INDEX(Innings!F:F,MATCH(1,(TRIM(Innings!A:A)=TRIM(A1344))*(TRIM(Innings!D:D)=TRIM(E1344)),0))</f>
        <v>225</v>
      </c>
      <c r="AA1344" cm="1">
        <f t="array" ref="AA1344">INDEX(Innings!I:I,MATCH(1,(TRIM(Innings!A:A)=TRIM(A1344))*(TRIM(Innings!D:D)=TRIM(E1344)),0))</f>
        <v>11.25</v>
      </c>
      <c r="AB1344" cm="1">
        <f t="array" ref="AB1344">INDEX(Innings!J:J,MATCH(1,(TRIM(Innings!A:A)=TRIM(A1344))*(TRIM(Innings!D:D)=TRIM(E1344)),0))</f>
        <v>67</v>
      </c>
      <c r="AC1344" cm="1">
        <f t="array" ref="AC1344">INDEX(Innings!N:N,MATCH(1,(TRIM(Innings!A:A)=TRIM(A1344))*(TRIM(Innings!D:D)=TRIM(E1344)),0))</f>
        <v>37</v>
      </c>
      <c r="AD1344" cm="1">
        <f t="array" ref="AD1344">INDEX(Innings!S:S,MATCH(1,(TRIM(Innings!A:A)=TRIM(A1344))*(TRIM(Innings!D:D)=TRIM(E1344)),0))</f>
        <v>40</v>
      </c>
      <c r="AE1344" t="str" cm="1">
        <f t="array" ref="AE1344">INDEX(Innings!W:W,MATCH(1,(TRIM(Innings!A:A)=TRIM(A1344))*(TRIM(Innings!D:D)=TRIM(E1344)),0))</f>
        <v>NA</v>
      </c>
      <c r="AF1344">
        <f>IF(UPPER(TRIM(E1344))=UPPER(TRIM(W1344)),1,0)</f>
        <v>1</v>
      </c>
      <c r="AG1344">
        <f t="shared" si="40"/>
        <v>83</v>
      </c>
    </row>
    <row r="1345" spans="1:33" x14ac:dyDescent="0.3">
      <c r="A1345" t="s">
        <v>479</v>
      </c>
      <c r="B1345">
        <v>3</v>
      </c>
      <c r="C1345" t="s">
        <v>229</v>
      </c>
      <c r="D1345" t="s">
        <v>230</v>
      </c>
      <c r="E1345" t="s">
        <v>219</v>
      </c>
      <c r="F1345" t="s">
        <v>109</v>
      </c>
      <c r="G1345" t="s">
        <v>92</v>
      </c>
      <c r="H1345">
        <v>46</v>
      </c>
      <c r="I1345">
        <v>16</v>
      </c>
      <c r="J1345">
        <v>287.5</v>
      </c>
      <c r="K1345" t="s">
        <v>246</v>
      </c>
      <c r="L1345">
        <v>70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 s="8">
        <v>70</v>
      </c>
      <c r="V1345" s="8">
        <f t="shared" si="41"/>
        <v>7</v>
      </c>
      <c r="W1345" t="str">
        <f>_xlfn.XLOOKUP(A1345, Matches!A:A, Matches!L:L, "NA", 0)</f>
        <v>UPW</v>
      </c>
      <c r="X1345" t="str">
        <f>_xlfn.XLOOKUP(A1345, Matches!A:A, Matches!J:J, "NA", 0)</f>
        <v>RCBW</v>
      </c>
      <c r="Y1345" t="str">
        <f>_xlfn.XLOOKUP(A1345, Matches!A:A, Matches!F:F, "NA", 0)</f>
        <v>Bharat Ratna Shri Atal Bihari Vajpayee Ekana Cricket Stadium</v>
      </c>
      <c r="Z1345" cm="1">
        <f t="array" ref="Z1345">INDEX(Innings!F:F,MATCH(1,(TRIM(Innings!A:A)=TRIM(A1345))*(TRIM(Innings!D:D)=TRIM(E1345)),0))</f>
        <v>225</v>
      </c>
      <c r="AA1345" cm="1">
        <f t="array" ref="AA1345">INDEX(Innings!I:I,MATCH(1,(TRIM(Innings!A:A)=TRIM(A1345))*(TRIM(Innings!D:D)=TRIM(E1345)),0))</f>
        <v>11.25</v>
      </c>
      <c r="AB1345" cm="1">
        <f t="array" ref="AB1345">INDEX(Innings!J:J,MATCH(1,(TRIM(Innings!A:A)=TRIM(A1345))*(TRIM(Innings!D:D)=TRIM(E1345)),0))</f>
        <v>67</v>
      </c>
      <c r="AC1345" cm="1">
        <f t="array" ref="AC1345">INDEX(Innings!N:N,MATCH(1,(TRIM(Innings!A:A)=TRIM(A1345))*(TRIM(Innings!D:D)=TRIM(E1345)),0))</f>
        <v>37</v>
      </c>
      <c r="AD1345" cm="1">
        <f t="array" ref="AD1345">INDEX(Innings!S:S,MATCH(1,(TRIM(Innings!A:A)=TRIM(A1345))*(TRIM(Innings!D:D)=TRIM(E1345)),0))</f>
        <v>40</v>
      </c>
      <c r="AE1345" t="str" cm="1">
        <f t="array" ref="AE1345">INDEX(Innings!W:W,MATCH(1,(TRIM(Innings!A:A)=TRIM(A1345))*(TRIM(Innings!D:D)=TRIM(E1345)),0))</f>
        <v>NA</v>
      </c>
      <c r="AF1345">
        <f>IF(UPPER(TRIM(E1345))=UPPER(TRIM(W1345)),1,0)</f>
        <v>1</v>
      </c>
      <c r="AG1345">
        <f t="shared" ref="AG1345:AG1408" si="42">(0.5*MAX(0,U1345) + 0.3*MAX(0,V1345) + 0.2*AF1345*100)</f>
        <v>57.1</v>
      </c>
    </row>
    <row r="1346" spans="1:33" x14ac:dyDescent="0.3">
      <c r="A1346" t="s">
        <v>479</v>
      </c>
      <c r="B1346">
        <v>3</v>
      </c>
      <c r="C1346" t="s">
        <v>512</v>
      </c>
      <c r="D1346" t="s">
        <v>542</v>
      </c>
      <c r="E1346" t="s">
        <v>219</v>
      </c>
      <c r="F1346" t="s">
        <v>169</v>
      </c>
      <c r="G1346" t="s">
        <v>134</v>
      </c>
      <c r="H1346">
        <v>19</v>
      </c>
      <c r="I1346">
        <v>15</v>
      </c>
      <c r="J1346">
        <v>126.67</v>
      </c>
      <c r="K1346" t="s">
        <v>246</v>
      </c>
      <c r="L1346">
        <v>25</v>
      </c>
      <c r="M1346">
        <v>4</v>
      </c>
      <c r="N1346">
        <v>0</v>
      </c>
      <c r="O1346">
        <v>39</v>
      </c>
      <c r="P1346">
        <v>2</v>
      </c>
      <c r="Q1346">
        <v>9.8000000000000007</v>
      </c>
      <c r="R1346">
        <v>50</v>
      </c>
      <c r="S1346">
        <v>0</v>
      </c>
      <c r="T1346">
        <v>0</v>
      </c>
      <c r="U1346" s="8">
        <v>75</v>
      </c>
      <c r="V1346" s="8">
        <f t="shared" si="41"/>
        <v>8</v>
      </c>
      <c r="W1346" t="str">
        <f>_xlfn.XLOOKUP(A1346, Matches!A:A, Matches!L:L, "NA", 0)</f>
        <v>UPW</v>
      </c>
      <c r="X1346" t="str">
        <f>_xlfn.XLOOKUP(A1346, Matches!A:A, Matches!J:J, "NA", 0)</f>
        <v>RCBW</v>
      </c>
      <c r="Y1346" t="str">
        <f>_xlfn.XLOOKUP(A1346, Matches!A:A, Matches!F:F, "NA", 0)</f>
        <v>Bharat Ratna Shri Atal Bihari Vajpayee Ekana Cricket Stadium</v>
      </c>
      <c r="Z1346" cm="1">
        <f t="array" ref="Z1346">INDEX(Innings!F:F,MATCH(1,(TRIM(Innings!A:A)=TRIM(A1346))*(TRIM(Innings!D:D)=TRIM(E1346)),0))</f>
        <v>225</v>
      </c>
      <c r="AA1346" cm="1">
        <f t="array" ref="AA1346">INDEX(Innings!I:I,MATCH(1,(TRIM(Innings!A:A)=TRIM(A1346))*(TRIM(Innings!D:D)=TRIM(E1346)),0))</f>
        <v>11.25</v>
      </c>
      <c r="AB1346" cm="1">
        <f t="array" ref="AB1346">INDEX(Innings!J:J,MATCH(1,(TRIM(Innings!A:A)=TRIM(A1346))*(TRIM(Innings!D:D)=TRIM(E1346)),0))</f>
        <v>67</v>
      </c>
      <c r="AC1346" cm="1">
        <f t="array" ref="AC1346">INDEX(Innings!N:N,MATCH(1,(TRIM(Innings!A:A)=TRIM(A1346))*(TRIM(Innings!D:D)=TRIM(E1346)),0))</f>
        <v>37</v>
      </c>
      <c r="AD1346" cm="1">
        <f t="array" ref="AD1346">INDEX(Innings!S:S,MATCH(1,(TRIM(Innings!A:A)=TRIM(A1346))*(TRIM(Innings!D:D)=TRIM(E1346)),0))</f>
        <v>40</v>
      </c>
      <c r="AE1346" t="str" cm="1">
        <f t="array" ref="AE1346">INDEX(Innings!W:W,MATCH(1,(TRIM(Innings!A:A)=TRIM(A1346))*(TRIM(Innings!D:D)=TRIM(E1346)),0))</f>
        <v>NA</v>
      </c>
      <c r="AF1346">
        <f>IF(UPPER(TRIM(E1346))=UPPER(TRIM(W1346)),1,0)</f>
        <v>1</v>
      </c>
      <c r="AG1346">
        <f t="shared" si="42"/>
        <v>59.9</v>
      </c>
    </row>
    <row r="1347" spans="1:33" x14ac:dyDescent="0.3">
      <c r="A1347" t="s">
        <v>479</v>
      </c>
      <c r="B1347">
        <v>3</v>
      </c>
      <c r="C1347" t="s">
        <v>233</v>
      </c>
      <c r="D1347" t="s">
        <v>234</v>
      </c>
      <c r="E1347" t="s">
        <v>219</v>
      </c>
      <c r="F1347" t="s">
        <v>101</v>
      </c>
      <c r="G1347" t="s">
        <v>134</v>
      </c>
      <c r="H1347">
        <v>13</v>
      </c>
      <c r="I1347">
        <v>10</v>
      </c>
      <c r="J1347">
        <v>130</v>
      </c>
      <c r="K1347" t="s">
        <v>245</v>
      </c>
      <c r="L1347">
        <v>20</v>
      </c>
      <c r="M1347">
        <v>4</v>
      </c>
      <c r="N1347">
        <v>0</v>
      </c>
      <c r="O1347">
        <v>25</v>
      </c>
      <c r="P1347">
        <v>3</v>
      </c>
      <c r="Q1347">
        <v>6.2</v>
      </c>
      <c r="R1347">
        <v>75</v>
      </c>
      <c r="S1347">
        <v>0</v>
      </c>
      <c r="T1347">
        <v>0</v>
      </c>
      <c r="U1347" s="8">
        <v>95</v>
      </c>
      <c r="V1347" s="8">
        <f t="shared" ref="V1347:V1410" si="43">MIN(10, MAX(0, ROUND(U1347/10,0)))</f>
        <v>10</v>
      </c>
      <c r="W1347" t="str">
        <f>_xlfn.XLOOKUP(A1347, Matches!A:A, Matches!L:L, "NA", 0)</f>
        <v>UPW</v>
      </c>
      <c r="X1347" t="str">
        <f>_xlfn.XLOOKUP(A1347, Matches!A:A, Matches!J:J, "NA", 0)</f>
        <v>RCBW</v>
      </c>
      <c r="Y1347" t="str">
        <f>_xlfn.XLOOKUP(A1347, Matches!A:A, Matches!F:F, "NA", 0)</f>
        <v>Bharat Ratna Shri Atal Bihari Vajpayee Ekana Cricket Stadium</v>
      </c>
      <c r="Z1347" cm="1">
        <f t="array" ref="Z1347">INDEX(Innings!F:F,MATCH(1,(TRIM(Innings!A:A)=TRIM(A1347))*(TRIM(Innings!D:D)=TRIM(E1347)),0))</f>
        <v>225</v>
      </c>
      <c r="AA1347" cm="1">
        <f t="array" ref="AA1347">INDEX(Innings!I:I,MATCH(1,(TRIM(Innings!A:A)=TRIM(A1347))*(TRIM(Innings!D:D)=TRIM(E1347)),0))</f>
        <v>11.25</v>
      </c>
      <c r="AB1347" cm="1">
        <f t="array" ref="AB1347">INDEX(Innings!J:J,MATCH(1,(TRIM(Innings!A:A)=TRIM(A1347))*(TRIM(Innings!D:D)=TRIM(E1347)),0))</f>
        <v>67</v>
      </c>
      <c r="AC1347" cm="1">
        <f t="array" ref="AC1347">INDEX(Innings!N:N,MATCH(1,(TRIM(Innings!A:A)=TRIM(A1347))*(TRIM(Innings!D:D)=TRIM(E1347)),0))</f>
        <v>37</v>
      </c>
      <c r="AD1347" cm="1">
        <f t="array" ref="AD1347">INDEX(Innings!S:S,MATCH(1,(TRIM(Innings!A:A)=TRIM(A1347))*(TRIM(Innings!D:D)=TRIM(E1347)),0))</f>
        <v>40</v>
      </c>
      <c r="AE1347" t="str" cm="1">
        <f t="array" ref="AE1347">INDEX(Innings!W:W,MATCH(1,(TRIM(Innings!A:A)=TRIM(A1347))*(TRIM(Innings!D:D)=TRIM(E1347)),0))</f>
        <v>NA</v>
      </c>
      <c r="AF1347">
        <f>IF(UPPER(TRIM(E1347))=UPPER(TRIM(W1347)),1,0)</f>
        <v>1</v>
      </c>
      <c r="AG1347">
        <f t="shared" si="42"/>
        <v>70.5</v>
      </c>
    </row>
    <row r="1348" spans="1:33" x14ac:dyDescent="0.3">
      <c r="A1348" t="s">
        <v>479</v>
      </c>
      <c r="B1348">
        <v>3</v>
      </c>
      <c r="C1348" t="s">
        <v>224</v>
      </c>
      <c r="D1348" t="s">
        <v>225</v>
      </c>
      <c r="E1348" t="s">
        <v>219</v>
      </c>
      <c r="F1348" t="s">
        <v>169</v>
      </c>
      <c r="G1348" t="s">
        <v>134</v>
      </c>
      <c r="H1348">
        <v>1</v>
      </c>
      <c r="I1348">
        <v>1</v>
      </c>
      <c r="J1348">
        <v>100</v>
      </c>
      <c r="K1348" t="s">
        <v>256</v>
      </c>
      <c r="L1348">
        <v>1</v>
      </c>
      <c r="M1348">
        <v>4</v>
      </c>
      <c r="N1348">
        <v>0</v>
      </c>
      <c r="O1348">
        <v>50</v>
      </c>
      <c r="P1348">
        <v>3</v>
      </c>
      <c r="Q1348">
        <v>12.5</v>
      </c>
      <c r="R1348">
        <v>75</v>
      </c>
      <c r="S1348">
        <v>0</v>
      </c>
      <c r="T1348">
        <v>0</v>
      </c>
      <c r="U1348" s="8">
        <v>76</v>
      </c>
      <c r="V1348" s="8">
        <f t="shared" si="43"/>
        <v>8</v>
      </c>
      <c r="W1348" t="str">
        <f>_xlfn.XLOOKUP(A1348, Matches!A:A, Matches!L:L, "NA", 0)</f>
        <v>UPW</v>
      </c>
      <c r="X1348" t="str">
        <f>_xlfn.XLOOKUP(A1348, Matches!A:A, Matches!J:J, "NA", 0)</f>
        <v>RCBW</v>
      </c>
      <c r="Y1348" t="str">
        <f>_xlfn.XLOOKUP(A1348, Matches!A:A, Matches!F:F, "NA", 0)</f>
        <v>Bharat Ratna Shri Atal Bihari Vajpayee Ekana Cricket Stadium</v>
      </c>
      <c r="Z1348" cm="1">
        <f t="array" ref="Z1348">INDEX(Innings!F:F,MATCH(1,(TRIM(Innings!A:A)=TRIM(A1348))*(TRIM(Innings!D:D)=TRIM(E1348)),0))</f>
        <v>225</v>
      </c>
      <c r="AA1348" cm="1">
        <f t="array" ref="AA1348">INDEX(Innings!I:I,MATCH(1,(TRIM(Innings!A:A)=TRIM(A1348))*(TRIM(Innings!D:D)=TRIM(E1348)),0))</f>
        <v>11.25</v>
      </c>
      <c r="AB1348" cm="1">
        <f t="array" ref="AB1348">INDEX(Innings!J:J,MATCH(1,(TRIM(Innings!A:A)=TRIM(A1348))*(TRIM(Innings!D:D)=TRIM(E1348)),0))</f>
        <v>67</v>
      </c>
      <c r="AC1348" cm="1">
        <f t="array" ref="AC1348">INDEX(Innings!N:N,MATCH(1,(TRIM(Innings!A:A)=TRIM(A1348))*(TRIM(Innings!D:D)=TRIM(E1348)),0))</f>
        <v>37</v>
      </c>
      <c r="AD1348" cm="1">
        <f t="array" ref="AD1348">INDEX(Innings!S:S,MATCH(1,(TRIM(Innings!A:A)=TRIM(A1348))*(TRIM(Innings!D:D)=TRIM(E1348)),0))</f>
        <v>40</v>
      </c>
      <c r="AE1348" t="str" cm="1">
        <f t="array" ref="AE1348">INDEX(Innings!W:W,MATCH(1,(TRIM(Innings!A:A)=TRIM(A1348))*(TRIM(Innings!D:D)=TRIM(E1348)),0))</f>
        <v>NA</v>
      </c>
      <c r="AF1348">
        <f>IF(UPPER(TRIM(E1348))=UPPER(TRIM(W1348)),1,0)</f>
        <v>1</v>
      </c>
      <c r="AG1348">
        <f t="shared" si="42"/>
        <v>60.4</v>
      </c>
    </row>
    <row r="1349" spans="1:33" x14ac:dyDescent="0.3">
      <c r="A1349" t="s">
        <v>479</v>
      </c>
      <c r="B1349">
        <v>3</v>
      </c>
      <c r="C1349" t="s">
        <v>220</v>
      </c>
      <c r="D1349" t="s">
        <v>221</v>
      </c>
      <c r="E1349" t="s">
        <v>219</v>
      </c>
      <c r="F1349" t="s">
        <v>109</v>
      </c>
      <c r="G1349" t="s">
        <v>104</v>
      </c>
      <c r="H1349">
        <v>0</v>
      </c>
      <c r="I1349">
        <v>0</v>
      </c>
      <c r="J1349">
        <v>0</v>
      </c>
      <c r="K1349" t="s">
        <v>104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 s="8">
        <v>0</v>
      </c>
      <c r="V1349" s="8">
        <f t="shared" si="43"/>
        <v>0</v>
      </c>
      <c r="W1349" t="str">
        <f>_xlfn.XLOOKUP(A1349, Matches!A:A, Matches!L:L, "NA", 0)</f>
        <v>UPW</v>
      </c>
      <c r="X1349" t="str">
        <f>_xlfn.XLOOKUP(A1349, Matches!A:A, Matches!J:J, "NA", 0)</f>
        <v>RCBW</v>
      </c>
      <c r="Y1349" t="str">
        <f>_xlfn.XLOOKUP(A1349, Matches!A:A, Matches!F:F, "NA", 0)</f>
        <v>Bharat Ratna Shri Atal Bihari Vajpayee Ekana Cricket Stadium</v>
      </c>
      <c r="Z1349" cm="1">
        <f t="array" ref="Z1349">INDEX(Innings!F:F,MATCH(1,(TRIM(Innings!A:A)=TRIM(A1349))*(TRIM(Innings!D:D)=TRIM(E1349)),0))</f>
        <v>225</v>
      </c>
      <c r="AA1349" cm="1">
        <f t="array" ref="AA1349">INDEX(Innings!I:I,MATCH(1,(TRIM(Innings!A:A)=TRIM(A1349))*(TRIM(Innings!D:D)=TRIM(E1349)),0))</f>
        <v>11.25</v>
      </c>
      <c r="AB1349" cm="1">
        <f t="array" ref="AB1349">INDEX(Innings!J:J,MATCH(1,(TRIM(Innings!A:A)=TRIM(A1349))*(TRIM(Innings!D:D)=TRIM(E1349)),0))</f>
        <v>67</v>
      </c>
      <c r="AC1349" cm="1">
        <f t="array" ref="AC1349">INDEX(Innings!N:N,MATCH(1,(TRIM(Innings!A:A)=TRIM(A1349))*(TRIM(Innings!D:D)=TRIM(E1349)),0))</f>
        <v>37</v>
      </c>
      <c r="AD1349" cm="1">
        <f t="array" ref="AD1349">INDEX(Innings!S:S,MATCH(1,(TRIM(Innings!A:A)=TRIM(A1349))*(TRIM(Innings!D:D)=TRIM(E1349)),0))</f>
        <v>40</v>
      </c>
      <c r="AE1349" t="str" cm="1">
        <f t="array" ref="AE1349">INDEX(Innings!W:W,MATCH(1,(TRIM(Innings!A:A)=TRIM(A1349))*(TRIM(Innings!D:D)=TRIM(E1349)),0))</f>
        <v>NA</v>
      </c>
      <c r="AF1349">
        <f>IF(UPPER(TRIM(E1349))=UPPER(TRIM(W1349)),1,0)</f>
        <v>1</v>
      </c>
      <c r="AG1349">
        <f t="shared" si="42"/>
        <v>20</v>
      </c>
    </row>
    <row r="1350" spans="1:33" x14ac:dyDescent="0.3">
      <c r="A1350" t="s">
        <v>479</v>
      </c>
      <c r="B1350">
        <v>3</v>
      </c>
      <c r="C1350" t="s">
        <v>273</v>
      </c>
      <c r="D1350" t="s">
        <v>279</v>
      </c>
      <c r="E1350" t="s">
        <v>219</v>
      </c>
      <c r="F1350" t="s">
        <v>169</v>
      </c>
      <c r="G1350" t="s">
        <v>104</v>
      </c>
      <c r="H1350">
        <v>0</v>
      </c>
      <c r="I1350">
        <v>0</v>
      </c>
      <c r="J1350">
        <v>0</v>
      </c>
      <c r="K1350" t="s">
        <v>104</v>
      </c>
      <c r="L1350">
        <v>0</v>
      </c>
      <c r="M1350">
        <v>3</v>
      </c>
      <c r="N1350">
        <v>0</v>
      </c>
      <c r="O1350">
        <v>40</v>
      </c>
      <c r="P1350">
        <v>1</v>
      </c>
      <c r="Q1350">
        <v>13.3</v>
      </c>
      <c r="R1350">
        <v>25</v>
      </c>
      <c r="S1350">
        <v>0</v>
      </c>
      <c r="T1350">
        <v>0</v>
      </c>
      <c r="U1350" s="8">
        <v>25</v>
      </c>
      <c r="V1350" s="8">
        <f t="shared" si="43"/>
        <v>3</v>
      </c>
      <c r="W1350" t="str">
        <f>_xlfn.XLOOKUP(A1350, Matches!A:A, Matches!L:L, "NA", 0)</f>
        <v>UPW</v>
      </c>
      <c r="X1350" t="str">
        <f>_xlfn.XLOOKUP(A1350, Matches!A:A, Matches!J:J, "NA", 0)</f>
        <v>RCBW</v>
      </c>
      <c r="Y1350" t="str">
        <f>_xlfn.XLOOKUP(A1350, Matches!A:A, Matches!F:F, "NA", 0)</f>
        <v>Bharat Ratna Shri Atal Bihari Vajpayee Ekana Cricket Stadium</v>
      </c>
      <c r="Z1350" cm="1">
        <f t="array" ref="Z1350">INDEX(Innings!F:F,MATCH(1,(TRIM(Innings!A:A)=TRIM(A1350))*(TRIM(Innings!D:D)=TRIM(E1350)),0))</f>
        <v>225</v>
      </c>
      <c r="AA1350" cm="1">
        <f t="array" ref="AA1350">INDEX(Innings!I:I,MATCH(1,(TRIM(Innings!A:A)=TRIM(A1350))*(TRIM(Innings!D:D)=TRIM(E1350)),0))</f>
        <v>11.25</v>
      </c>
      <c r="AB1350" cm="1">
        <f t="array" ref="AB1350">INDEX(Innings!J:J,MATCH(1,(TRIM(Innings!A:A)=TRIM(A1350))*(TRIM(Innings!D:D)=TRIM(E1350)),0))</f>
        <v>67</v>
      </c>
      <c r="AC1350" cm="1">
        <f t="array" ref="AC1350">INDEX(Innings!N:N,MATCH(1,(TRIM(Innings!A:A)=TRIM(A1350))*(TRIM(Innings!D:D)=TRIM(E1350)),0))</f>
        <v>37</v>
      </c>
      <c r="AD1350" cm="1">
        <f t="array" ref="AD1350">INDEX(Innings!S:S,MATCH(1,(TRIM(Innings!A:A)=TRIM(A1350))*(TRIM(Innings!D:D)=TRIM(E1350)),0))</f>
        <v>40</v>
      </c>
      <c r="AE1350" t="str" cm="1">
        <f t="array" ref="AE1350">INDEX(Innings!W:W,MATCH(1,(TRIM(Innings!A:A)=TRIM(A1350))*(TRIM(Innings!D:D)=TRIM(E1350)),0))</f>
        <v>NA</v>
      </c>
      <c r="AF1350">
        <f>IF(UPPER(TRIM(E1350))=UPPER(TRIM(W1350)),1,0)</f>
        <v>1</v>
      </c>
      <c r="AG1350">
        <f t="shared" si="42"/>
        <v>33.4</v>
      </c>
    </row>
    <row r="1351" spans="1:33" x14ac:dyDescent="0.3">
      <c r="A1351" t="s">
        <v>479</v>
      </c>
      <c r="B1351">
        <v>3</v>
      </c>
      <c r="C1351" t="s">
        <v>442</v>
      </c>
      <c r="D1351" t="s">
        <v>443</v>
      </c>
      <c r="E1351" t="s">
        <v>219</v>
      </c>
      <c r="F1351" t="s">
        <v>85</v>
      </c>
      <c r="G1351" t="s">
        <v>104</v>
      </c>
      <c r="H1351">
        <v>0</v>
      </c>
      <c r="I1351">
        <v>0</v>
      </c>
      <c r="J1351">
        <v>0</v>
      </c>
      <c r="K1351" t="s">
        <v>104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 s="8">
        <v>0</v>
      </c>
      <c r="V1351" s="8">
        <f t="shared" si="43"/>
        <v>0</v>
      </c>
      <c r="W1351" t="str">
        <f>_xlfn.XLOOKUP(A1351, Matches!A:A, Matches!L:L, "NA", 0)</f>
        <v>UPW</v>
      </c>
      <c r="X1351" t="str">
        <f>_xlfn.XLOOKUP(A1351, Matches!A:A, Matches!J:J, "NA", 0)</f>
        <v>RCBW</v>
      </c>
      <c r="Y1351" t="str">
        <f>_xlfn.XLOOKUP(A1351, Matches!A:A, Matches!F:F, "NA", 0)</f>
        <v>Bharat Ratna Shri Atal Bihari Vajpayee Ekana Cricket Stadium</v>
      </c>
      <c r="Z1351" cm="1">
        <f t="array" ref="Z1351">INDEX(Innings!F:F,MATCH(1,(TRIM(Innings!A:A)=TRIM(A1351))*(TRIM(Innings!D:D)=TRIM(E1351)),0))</f>
        <v>225</v>
      </c>
      <c r="AA1351" cm="1">
        <f t="array" ref="AA1351">INDEX(Innings!I:I,MATCH(1,(TRIM(Innings!A:A)=TRIM(A1351))*(TRIM(Innings!D:D)=TRIM(E1351)),0))</f>
        <v>11.25</v>
      </c>
      <c r="AB1351" cm="1">
        <f t="array" ref="AB1351">INDEX(Innings!J:J,MATCH(1,(TRIM(Innings!A:A)=TRIM(A1351))*(TRIM(Innings!D:D)=TRIM(E1351)),0))</f>
        <v>67</v>
      </c>
      <c r="AC1351" cm="1">
        <f t="array" ref="AC1351">INDEX(Innings!N:N,MATCH(1,(TRIM(Innings!A:A)=TRIM(A1351))*(TRIM(Innings!D:D)=TRIM(E1351)),0))</f>
        <v>37</v>
      </c>
      <c r="AD1351" cm="1">
        <f t="array" ref="AD1351">INDEX(Innings!S:S,MATCH(1,(TRIM(Innings!A:A)=TRIM(A1351))*(TRIM(Innings!D:D)=TRIM(E1351)),0))</f>
        <v>40</v>
      </c>
      <c r="AE1351" t="str" cm="1">
        <f t="array" ref="AE1351">INDEX(Innings!W:W,MATCH(1,(TRIM(Innings!A:A)=TRIM(A1351))*(TRIM(Innings!D:D)=TRIM(E1351)),0))</f>
        <v>NA</v>
      </c>
      <c r="AF1351">
        <f>IF(UPPER(TRIM(E1351))=UPPER(TRIM(W1351)),1,0)</f>
        <v>1</v>
      </c>
      <c r="AG1351">
        <f t="shared" si="42"/>
        <v>20</v>
      </c>
    </row>
    <row r="1352" spans="1:33" x14ac:dyDescent="0.3">
      <c r="A1352" t="s">
        <v>479</v>
      </c>
      <c r="B1352">
        <v>3</v>
      </c>
      <c r="C1352" t="s">
        <v>509</v>
      </c>
      <c r="D1352" t="s">
        <v>523</v>
      </c>
      <c r="E1352" t="s">
        <v>219</v>
      </c>
      <c r="F1352" t="s">
        <v>169</v>
      </c>
      <c r="G1352" t="s">
        <v>104</v>
      </c>
      <c r="H1352">
        <v>0</v>
      </c>
      <c r="I1352">
        <v>0</v>
      </c>
      <c r="J1352">
        <v>0</v>
      </c>
      <c r="K1352" t="s">
        <v>104</v>
      </c>
      <c r="L1352">
        <v>0</v>
      </c>
      <c r="M1352">
        <v>3</v>
      </c>
      <c r="N1352">
        <v>0</v>
      </c>
      <c r="O1352">
        <v>35</v>
      </c>
      <c r="P1352">
        <v>0</v>
      </c>
      <c r="Q1352">
        <v>11.7</v>
      </c>
      <c r="R1352">
        <v>0</v>
      </c>
      <c r="S1352">
        <v>0</v>
      </c>
      <c r="T1352">
        <v>0</v>
      </c>
      <c r="U1352" s="8">
        <v>0</v>
      </c>
      <c r="V1352" s="8">
        <f t="shared" si="43"/>
        <v>0</v>
      </c>
      <c r="W1352" t="str">
        <f>_xlfn.XLOOKUP(A1352, Matches!A:A, Matches!L:L, "NA", 0)</f>
        <v>UPW</v>
      </c>
      <c r="X1352" t="str">
        <f>_xlfn.XLOOKUP(A1352, Matches!A:A, Matches!J:J, "NA", 0)</f>
        <v>RCBW</v>
      </c>
      <c r="Y1352" t="str">
        <f>_xlfn.XLOOKUP(A1352, Matches!A:A, Matches!F:F, "NA", 0)</f>
        <v>Bharat Ratna Shri Atal Bihari Vajpayee Ekana Cricket Stadium</v>
      </c>
      <c r="Z1352" cm="1">
        <f t="array" ref="Z1352">INDEX(Innings!F:F,MATCH(1,(TRIM(Innings!A:A)=TRIM(A1352))*(TRIM(Innings!D:D)=TRIM(E1352)),0))</f>
        <v>225</v>
      </c>
      <c r="AA1352" cm="1">
        <f t="array" ref="AA1352">INDEX(Innings!I:I,MATCH(1,(TRIM(Innings!A:A)=TRIM(A1352))*(TRIM(Innings!D:D)=TRIM(E1352)),0))</f>
        <v>11.25</v>
      </c>
      <c r="AB1352" cm="1">
        <f t="array" ref="AB1352">INDEX(Innings!J:J,MATCH(1,(TRIM(Innings!A:A)=TRIM(A1352))*(TRIM(Innings!D:D)=TRIM(E1352)),0))</f>
        <v>67</v>
      </c>
      <c r="AC1352" cm="1">
        <f t="array" ref="AC1352">INDEX(Innings!N:N,MATCH(1,(TRIM(Innings!A:A)=TRIM(A1352))*(TRIM(Innings!D:D)=TRIM(E1352)),0))</f>
        <v>37</v>
      </c>
      <c r="AD1352" cm="1">
        <f t="array" ref="AD1352">INDEX(Innings!S:S,MATCH(1,(TRIM(Innings!A:A)=TRIM(A1352))*(TRIM(Innings!D:D)=TRIM(E1352)),0))</f>
        <v>40</v>
      </c>
      <c r="AE1352" t="str" cm="1">
        <f t="array" ref="AE1352">INDEX(Innings!W:W,MATCH(1,(TRIM(Innings!A:A)=TRIM(A1352))*(TRIM(Innings!D:D)=TRIM(E1352)),0))</f>
        <v>NA</v>
      </c>
      <c r="AF1352">
        <f>IF(UPPER(TRIM(E1352))=UPPER(TRIM(W1352)),1,0)</f>
        <v>1</v>
      </c>
      <c r="AG1352">
        <f t="shared" si="42"/>
        <v>20</v>
      </c>
    </row>
    <row r="1353" spans="1:33" x14ac:dyDescent="0.3">
      <c r="A1353" t="s">
        <v>479</v>
      </c>
      <c r="B1353">
        <v>3</v>
      </c>
      <c r="C1353" t="s">
        <v>235</v>
      </c>
      <c r="D1353" t="s">
        <v>236</v>
      </c>
      <c r="E1353" t="s">
        <v>219</v>
      </c>
      <c r="F1353" t="s">
        <v>101</v>
      </c>
      <c r="G1353" t="s">
        <v>104</v>
      </c>
      <c r="H1353">
        <v>0</v>
      </c>
      <c r="I1353">
        <v>0</v>
      </c>
      <c r="J1353">
        <v>0</v>
      </c>
      <c r="K1353" t="s">
        <v>104</v>
      </c>
      <c r="L1353">
        <v>0</v>
      </c>
      <c r="M1353">
        <v>3</v>
      </c>
      <c r="N1353">
        <v>0</v>
      </c>
      <c r="O1353">
        <v>40</v>
      </c>
      <c r="P1353">
        <v>1</v>
      </c>
      <c r="Q1353">
        <v>13.3</v>
      </c>
      <c r="R1353">
        <v>25</v>
      </c>
      <c r="S1353">
        <v>0</v>
      </c>
      <c r="T1353">
        <v>0</v>
      </c>
      <c r="U1353" s="8">
        <v>25</v>
      </c>
      <c r="V1353" s="8">
        <f t="shared" si="43"/>
        <v>3</v>
      </c>
      <c r="W1353" t="str">
        <f>_xlfn.XLOOKUP(A1353, Matches!A:A, Matches!L:L, "NA", 0)</f>
        <v>UPW</v>
      </c>
      <c r="X1353" t="str">
        <f>_xlfn.XLOOKUP(A1353, Matches!A:A, Matches!J:J, "NA", 0)</f>
        <v>RCBW</v>
      </c>
      <c r="Y1353" t="str">
        <f>_xlfn.XLOOKUP(A1353, Matches!A:A, Matches!F:F, "NA", 0)</f>
        <v>Bharat Ratna Shri Atal Bihari Vajpayee Ekana Cricket Stadium</v>
      </c>
      <c r="Z1353" cm="1">
        <f t="array" ref="Z1353">INDEX(Innings!F:F,MATCH(1,(TRIM(Innings!A:A)=TRIM(A1353))*(TRIM(Innings!D:D)=TRIM(E1353)),0))</f>
        <v>225</v>
      </c>
      <c r="AA1353" cm="1">
        <f t="array" ref="AA1353">INDEX(Innings!I:I,MATCH(1,(TRIM(Innings!A:A)=TRIM(A1353))*(TRIM(Innings!D:D)=TRIM(E1353)),0))</f>
        <v>11.25</v>
      </c>
      <c r="AB1353" cm="1">
        <f t="array" ref="AB1353">INDEX(Innings!J:J,MATCH(1,(TRIM(Innings!A:A)=TRIM(A1353))*(TRIM(Innings!D:D)=TRIM(E1353)),0))</f>
        <v>67</v>
      </c>
      <c r="AC1353" cm="1">
        <f t="array" ref="AC1353">INDEX(Innings!N:N,MATCH(1,(TRIM(Innings!A:A)=TRIM(A1353))*(TRIM(Innings!D:D)=TRIM(E1353)),0))</f>
        <v>37</v>
      </c>
      <c r="AD1353" cm="1">
        <f t="array" ref="AD1353">INDEX(Innings!S:S,MATCH(1,(TRIM(Innings!A:A)=TRIM(A1353))*(TRIM(Innings!D:D)=TRIM(E1353)),0))</f>
        <v>40</v>
      </c>
      <c r="AE1353" t="str" cm="1">
        <f t="array" ref="AE1353">INDEX(Innings!W:W,MATCH(1,(TRIM(Innings!A:A)=TRIM(A1353))*(TRIM(Innings!D:D)=TRIM(E1353)),0))</f>
        <v>NA</v>
      </c>
      <c r="AF1353">
        <f>IF(UPPER(TRIM(E1353))=UPPER(TRIM(W1353)),1,0)</f>
        <v>1</v>
      </c>
      <c r="AG1353">
        <f t="shared" si="42"/>
        <v>33.4</v>
      </c>
    </row>
    <row r="1354" spans="1:33" x14ac:dyDescent="0.3">
      <c r="A1354" t="s">
        <v>479</v>
      </c>
      <c r="B1354">
        <v>3</v>
      </c>
      <c r="C1354" t="s">
        <v>87</v>
      </c>
      <c r="D1354" t="s">
        <v>82</v>
      </c>
      <c r="E1354" t="s">
        <v>159</v>
      </c>
      <c r="F1354" t="s">
        <v>109</v>
      </c>
      <c r="G1354" t="s">
        <v>86</v>
      </c>
      <c r="H1354">
        <v>27</v>
      </c>
      <c r="I1354">
        <v>12</v>
      </c>
      <c r="J1354">
        <v>225</v>
      </c>
      <c r="K1354" t="s">
        <v>246</v>
      </c>
      <c r="L1354">
        <v>40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 s="8">
        <v>40</v>
      </c>
      <c r="V1354" s="8">
        <f t="shared" si="43"/>
        <v>4</v>
      </c>
      <c r="W1354" t="str">
        <f>_xlfn.XLOOKUP(A1354, Matches!A:A, Matches!L:L, "NA", 0)</f>
        <v>UPW</v>
      </c>
      <c r="X1354" t="str">
        <f>_xlfn.XLOOKUP(A1354, Matches!A:A, Matches!J:J, "NA", 0)</f>
        <v>RCBW</v>
      </c>
      <c r="Y1354" t="str">
        <f>_xlfn.XLOOKUP(A1354, Matches!A:A, Matches!F:F, "NA", 0)</f>
        <v>Bharat Ratna Shri Atal Bihari Vajpayee Ekana Cricket Stadium</v>
      </c>
      <c r="Z1354" cm="1">
        <f t="array" ref="Z1354">INDEX(Innings!F:F,MATCH(1,(TRIM(Innings!A:A)=TRIM(A1354))*(TRIM(Innings!D:D)=TRIM(E1354)),0))</f>
        <v>213</v>
      </c>
      <c r="AA1354" cm="1">
        <f t="array" ref="AA1354">INDEX(Innings!I:I,MATCH(1,(TRIM(Innings!A:A)=TRIM(A1354))*(TRIM(Innings!D:D)=TRIM(E1354)),0))</f>
        <v>10.92</v>
      </c>
      <c r="AB1354" cm="1">
        <f t="array" ref="AB1354">INDEX(Innings!J:J,MATCH(1,(TRIM(Innings!A:A)=TRIM(A1354))*(TRIM(Innings!D:D)=TRIM(E1354)),0))</f>
        <v>70</v>
      </c>
      <c r="AC1354" cm="1">
        <f t="array" ref="AC1354">INDEX(Innings!N:N,MATCH(1,(TRIM(Innings!A:A)=TRIM(A1354))*(TRIM(Innings!D:D)=TRIM(E1354)),0))</f>
        <v>44</v>
      </c>
      <c r="AD1354" cm="1">
        <f t="array" ref="AD1354">INDEX(Innings!S:S,MATCH(1,(TRIM(Innings!A:A)=TRIM(A1354))*(TRIM(Innings!D:D)=TRIM(E1354)),0))</f>
        <v>41</v>
      </c>
      <c r="AE1354" t="str" cm="1">
        <f t="array" ref="AE1354">INDEX(Innings!W:W,MATCH(1,(TRIM(Innings!A:A)=TRIM(A1354))*(TRIM(Innings!D:D)=TRIM(E1354)),0))</f>
        <v>Failed</v>
      </c>
      <c r="AF1354">
        <f>IF(UPPER(TRIM(E1354))=UPPER(TRIM(W1354)),1,0)</f>
        <v>0</v>
      </c>
      <c r="AG1354">
        <f t="shared" si="42"/>
        <v>21.2</v>
      </c>
    </row>
    <row r="1355" spans="1:33" x14ac:dyDescent="0.3">
      <c r="A1355" t="s">
        <v>479</v>
      </c>
      <c r="B1355">
        <v>3</v>
      </c>
      <c r="C1355" t="s">
        <v>165</v>
      </c>
      <c r="D1355" t="s">
        <v>166</v>
      </c>
      <c r="E1355" t="s">
        <v>159</v>
      </c>
      <c r="F1355" t="s">
        <v>109</v>
      </c>
      <c r="G1355" t="s">
        <v>86</v>
      </c>
      <c r="H1355">
        <v>4</v>
      </c>
      <c r="I1355">
        <v>4</v>
      </c>
      <c r="J1355">
        <v>100</v>
      </c>
      <c r="K1355" t="s">
        <v>246</v>
      </c>
      <c r="L1355">
        <v>5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 s="8">
        <v>5</v>
      </c>
      <c r="V1355" s="8">
        <f t="shared" si="43"/>
        <v>1</v>
      </c>
      <c r="W1355" t="str">
        <f>_xlfn.XLOOKUP(A1355, Matches!A:A, Matches!L:L, "NA", 0)</f>
        <v>UPW</v>
      </c>
      <c r="X1355" t="str">
        <f>_xlfn.XLOOKUP(A1355, Matches!A:A, Matches!J:J, "NA", 0)</f>
        <v>RCBW</v>
      </c>
      <c r="Y1355" t="str">
        <f>_xlfn.XLOOKUP(A1355, Matches!A:A, Matches!F:F, "NA", 0)</f>
        <v>Bharat Ratna Shri Atal Bihari Vajpayee Ekana Cricket Stadium</v>
      </c>
      <c r="Z1355" cm="1">
        <f t="array" ref="Z1355">INDEX(Innings!F:F,MATCH(1,(TRIM(Innings!A:A)=TRIM(A1355))*(TRIM(Innings!D:D)=TRIM(E1355)),0))</f>
        <v>213</v>
      </c>
      <c r="AA1355" cm="1">
        <f t="array" ref="AA1355">INDEX(Innings!I:I,MATCH(1,(TRIM(Innings!A:A)=TRIM(A1355))*(TRIM(Innings!D:D)=TRIM(E1355)),0))</f>
        <v>10.92</v>
      </c>
      <c r="AB1355" cm="1">
        <f t="array" ref="AB1355">INDEX(Innings!J:J,MATCH(1,(TRIM(Innings!A:A)=TRIM(A1355))*(TRIM(Innings!D:D)=TRIM(E1355)),0))</f>
        <v>70</v>
      </c>
      <c r="AC1355" cm="1">
        <f t="array" ref="AC1355">INDEX(Innings!N:N,MATCH(1,(TRIM(Innings!A:A)=TRIM(A1355))*(TRIM(Innings!D:D)=TRIM(E1355)),0))</f>
        <v>44</v>
      </c>
      <c r="AD1355" cm="1">
        <f t="array" ref="AD1355">INDEX(Innings!S:S,MATCH(1,(TRIM(Innings!A:A)=TRIM(A1355))*(TRIM(Innings!D:D)=TRIM(E1355)),0))</f>
        <v>41</v>
      </c>
      <c r="AE1355" t="str" cm="1">
        <f t="array" ref="AE1355">INDEX(Innings!W:W,MATCH(1,(TRIM(Innings!A:A)=TRIM(A1355))*(TRIM(Innings!D:D)=TRIM(E1355)),0))</f>
        <v>Failed</v>
      </c>
      <c r="AF1355">
        <f>IF(UPPER(TRIM(E1355))=UPPER(TRIM(W1355)),1,0)</f>
        <v>0</v>
      </c>
      <c r="AG1355">
        <f t="shared" si="42"/>
        <v>2.8</v>
      </c>
    </row>
    <row r="1356" spans="1:33" x14ac:dyDescent="0.3">
      <c r="A1356" t="s">
        <v>479</v>
      </c>
      <c r="B1356">
        <v>3</v>
      </c>
      <c r="C1356" t="s">
        <v>174</v>
      </c>
      <c r="D1356" t="s">
        <v>175</v>
      </c>
      <c r="E1356" t="s">
        <v>159</v>
      </c>
      <c r="F1356" t="s">
        <v>169</v>
      </c>
      <c r="G1356" t="s">
        <v>92</v>
      </c>
      <c r="H1356">
        <v>28</v>
      </c>
      <c r="I1356">
        <v>15</v>
      </c>
      <c r="J1356">
        <v>186.67</v>
      </c>
      <c r="K1356" t="s">
        <v>245</v>
      </c>
      <c r="L1356">
        <v>40</v>
      </c>
      <c r="M1356">
        <v>4</v>
      </c>
      <c r="N1356">
        <v>0</v>
      </c>
      <c r="O1356">
        <v>35</v>
      </c>
      <c r="P1356">
        <v>0</v>
      </c>
      <c r="Q1356">
        <v>8.8000000000000007</v>
      </c>
      <c r="R1356">
        <v>0</v>
      </c>
      <c r="S1356">
        <v>0</v>
      </c>
      <c r="T1356">
        <v>0</v>
      </c>
      <c r="U1356" s="8">
        <v>40</v>
      </c>
      <c r="V1356" s="8">
        <f t="shared" si="43"/>
        <v>4</v>
      </c>
      <c r="W1356" t="str">
        <f>_xlfn.XLOOKUP(A1356, Matches!A:A, Matches!L:L, "NA", 0)</f>
        <v>UPW</v>
      </c>
      <c r="X1356" t="str">
        <f>_xlfn.XLOOKUP(A1356, Matches!A:A, Matches!J:J, "NA", 0)</f>
        <v>RCBW</v>
      </c>
      <c r="Y1356" t="str">
        <f>_xlfn.XLOOKUP(A1356, Matches!A:A, Matches!F:F, "NA", 0)</f>
        <v>Bharat Ratna Shri Atal Bihari Vajpayee Ekana Cricket Stadium</v>
      </c>
      <c r="Z1356" cm="1">
        <f t="array" ref="Z1356">INDEX(Innings!F:F,MATCH(1,(TRIM(Innings!A:A)=TRIM(A1356))*(TRIM(Innings!D:D)=TRIM(E1356)),0))</f>
        <v>213</v>
      </c>
      <c r="AA1356" cm="1">
        <f t="array" ref="AA1356">INDEX(Innings!I:I,MATCH(1,(TRIM(Innings!A:A)=TRIM(A1356))*(TRIM(Innings!D:D)=TRIM(E1356)),0))</f>
        <v>10.92</v>
      </c>
      <c r="AB1356" cm="1">
        <f t="array" ref="AB1356">INDEX(Innings!J:J,MATCH(1,(TRIM(Innings!A:A)=TRIM(A1356))*(TRIM(Innings!D:D)=TRIM(E1356)),0))</f>
        <v>70</v>
      </c>
      <c r="AC1356" cm="1">
        <f t="array" ref="AC1356">INDEX(Innings!N:N,MATCH(1,(TRIM(Innings!A:A)=TRIM(A1356))*(TRIM(Innings!D:D)=TRIM(E1356)),0))</f>
        <v>44</v>
      </c>
      <c r="AD1356" cm="1">
        <f t="array" ref="AD1356">INDEX(Innings!S:S,MATCH(1,(TRIM(Innings!A:A)=TRIM(A1356))*(TRIM(Innings!D:D)=TRIM(E1356)),0))</f>
        <v>41</v>
      </c>
      <c r="AE1356" t="str" cm="1">
        <f t="array" ref="AE1356">INDEX(Innings!W:W,MATCH(1,(TRIM(Innings!A:A)=TRIM(A1356))*(TRIM(Innings!D:D)=TRIM(E1356)),0))</f>
        <v>Failed</v>
      </c>
      <c r="AF1356">
        <f>IF(UPPER(TRIM(E1356))=UPPER(TRIM(W1356)),1,0)</f>
        <v>0</v>
      </c>
      <c r="AG1356">
        <f t="shared" si="42"/>
        <v>21.2</v>
      </c>
    </row>
    <row r="1357" spans="1:33" x14ac:dyDescent="0.3">
      <c r="A1357" t="s">
        <v>479</v>
      </c>
      <c r="B1357">
        <v>3</v>
      </c>
      <c r="C1357" t="s">
        <v>490</v>
      </c>
      <c r="D1357" t="s">
        <v>497</v>
      </c>
      <c r="E1357" t="s">
        <v>159</v>
      </c>
      <c r="F1357" t="s">
        <v>169</v>
      </c>
      <c r="G1357" t="s">
        <v>134</v>
      </c>
      <c r="H1357">
        <v>14</v>
      </c>
      <c r="I1357">
        <v>12</v>
      </c>
      <c r="J1357">
        <v>116.67</v>
      </c>
      <c r="K1357" t="s">
        <v>246</v>
      </c>
      <c r="L1357">
        <v>15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 s="8">
        <v>15</v>
      </c>
      <c r="V1357" s="8">
        <f t="shared" si="43"/>
        <v>2</v>
      </c>
      <c r="W1357" t="str">
        <f>_xlfn.XLOOKUP(A1357, Matches!A:A, Matches!L:L, "NA", 0)</f>
        <v>UPW</v>
      </c>
      <c r="X1357" t="str">
        <f>_xlfn.XLOOKUP(A1357, Matches!A:A, Matches!J:J, "NA", 0)</f>
        <v>RCBW</v>
      </c>
      <c r="Y1357" t="str">
        <f>_xlfn.XLOOKUP(A1357, Matches!A:A, Matches!F:F, "NA", 0)</f>
        <v>Bharat Ratna Shri Atal Bihari Vajpayee Ekana Cricket Stadium</v>
      </c>
      <c r="Z1357" cm="1">
        <f t="array" ref="Z1357">INDEX(Innings!F:F,MATCH(1,(TRIM(Innings!A:A)=TRIM(A1357))*(TRIM(Innings!D:D)=TRIM(E1357)),0))</f>
        <v>213</v>
      </c>
      <c r="AA1357" cm="1">
        <f t="array" ref="AA1357">INDEX(Innings!I:I,MATCH(1,(TRIM(Innings!A:A)=TRIM(A1357))*(TRIM(Innings!D:D)=TRIM(E1357)),0))</f>
        <v>10.92</v>
      </c>
      <c r="AB1357" cm="1">
        <f t="array" ref="AB1357">INDEX(Innings!J:J,MATCH(1,(TRIM(Innings!A:A)=TRIM(A1357))*(TRIM(Innings!D:D)=TRIM(E1357)),0))</f>
        <v>70</v>
      </c>
      <c r="AC1357" cm="1">
        <f t="array" ref="AC1357">INDEX(Innings!N:N,MATCH(1,(TRIM(Innings!A:A)=TRIM(A1357))*(TRIM(Innings!D:D)=TRIM(E1357)),0))</f>
        <v>44</v>
      </c>
      <c r="AD1357" cm="1">
        <f t="array" ref="AD1357">INDEX(Innings!S:S,MATCH(1,(TRIM(Innings!A:A)=TRIM(A1357))*(TRIM(Innings!D:D)=TRIM(E1357)),0))</f>
        <v>41</v>
      </c>
      <c r="AE1357" t="str" cm="1">
        <f t="array" ref="AE1357">INDEX(Innings!W:W,MATCH(1,(TRIM(Innings!A:A)=TRIM(A1357))*(TRIM(Innings!D:D)=TRIM(E1357)),0))</f>
        <v>Failed</v>
      </c>
      <c r="AF1357">
        <f>IF(UPPER(TRIM(E1357))=UPPER(TRIM(W1357)),1,0)</f>
        <v>0</v>
      </c>
      <c r="AG1357">
        <f t="shared" si="42"/>
        <v>8.1</v>
      </c>
    </row>
    <row r="1358" spans="1:33" x14ac:dyDescent="0.3">
      <c r="A1358" t="s">
        <v>479</v>
      </c>
      <c r="B1358">
        <v>3</v>
      </c>
      <c r="C1358" t="s">
        <v>176</v>
      </c>
      <c r="D1358" t="s">
        <v>177</v>
      </c>
      <c r="E1358" t="s">
        <v>159</v>
      </c>
      <c r="F1358" t="s">
        <v>85</v>
      </c>
      <c r="G1358" t="s">
        <v>134</v>
      </c>
      <c r="H1358">
        <v>69</v>
      </c>
      <c r="I1358">
        <v>33</v>
      </c>
      <c r="J1358">
        <v>209.09</v>
      </c>
      <c r="K1358" t="s">
        <v>246</v>
      </c>
      <c r="L1358">
        <v>90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 s="8">
        <v>90</v>
      </c>
      <c r="V1358" s="8">
        <f t="shared" si="43"/>
        <v>9</v>
      </c>
      <c r="W1358" t="str">
        <f>_xlfn.XLOOKUP(A1358, Matches!A:A, Matches!L:L, "NA", 0)</f>
        <v>UPW</v>
      </c>
      <c r="X1358" t="str">
        <f>_xlfn.XLOOKUP(A1358, Matches!A:A, Matches!J:J, "NA", 0)</f>
        <v>RCBW</v>
      </c>
      <c r="Y1358" t="str">
        <f>_xlfn.XLOOKUP(A1358, Matches!A:A, Matches!F:F, "NA", 0)</f>
        <v>Bharat Ratna Shri Atal Bihari Vajpayee Ekana Cricket Stadium</v>
      </c>
      <c r="Z1358" cm="1">
        <f t="array" ref="Z1358">INDEX(Innings!F:F,MATCH(1,(TRIM(Innings!A:A)=TRIM(A1358))*(TRIM(Innings!D:D)=TRIM(E1358)),0))</f>
        <v>213</v>
      </c>
      <c r="AA1358" cm="1">
        <f t="array" ref="AA1358">INDEX(Innings!I:I,MATCH(1,(TRIM(Innings!A:A)=TRIM(A1358))*(TRIM(Innings!D:D)=TRIM(E1358)),0))</f>
        <v>10.92</v>
      </c>
      <c r="AB1358" cm="1">
        <f t="array" ref="AB1358">INDEX(Innings!J:J,MATCH(1,(TRIM(Innings!A:A)=TRIM(A1358))*(TRIM(Innings!D:D)=TRIM(E1358)),0))</f>
        <v>70</v>
      </c>
      <c r="AC1358" cm="1">
        <f t="array" ref="AC1358">INDEX(Innings!N:N,MATCH(1,(TRIM(Innings!A:A)=TRIM(A1358))*(TRIM(Innings!D:D)=TRIM(E1358)),0))</f>
        <v>44</v>
      </c>
      <c r="AD1358" cm="1">
        <f t="array" ref="AD1358">INDEX(Innings!S:S,MATCH(1,(TRIM(Innings!A:A)=TRIM(A1358))*(TRIM(Innings!D:D)=TRIM(E1358)),0))</f>
        <v>41</v>
      </c>
      <c r="AE1358" t="str" cm="1">
        <f t="array" ref="AE1358">INDEX(Innings!W:W,MATCH(1,(TRIM(Innings!A:A)=TRIM(A1358))*(TRIM(Innings!D:D)=TRIM(E1358)),0))</f>
        <v>Failed</v>
      </c>
      <c r="AF1358">
        <f>IF(UPPER(TRIM(E1358))=UPPER(TRIM(W1358)),1,0)</f>
        <v>0</v>
      </c>
      <c r="AG1358">
        <f t="shared" si="42"/>
        <v>47.7</v>
      </c>
    </row>
    <row r="1359" spans="1:33" x14ac:dyDescent="0.3">
      <c r="A1359" t="s">
        <v>479</v>
      </c>
      <c r="B1359">
        <v>3</v>
      </c>
      <c r="C1359" t="s">
        <v>178</v>
      </c>
      <c r="D1359" t="s">
        <v>179</v>
      </c>
      <c r="E1359" t="s">
        <v>159</v>
      </c>
      <c r="F1359" t="s">
        <v>169</v>
      </c>
      <c r="G1359" t="s">
        <v>134</v>
      </c>
      <c r="H1359">
        <v>8</v>
      </c>
      <c r="I1359">
        <v>11</v>
      </c>
      <c r="J1359">
        <v>72.73</v>
      </c>
      <c r="K1359" t="s">
        <v>245</v>
      </c>
      <c r="L1359">
        <v>10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 s="8">
        <v>10</v>
      </c>
      <c r="V1359" s="8">
        <f t="shared" si="43"/>
        <v>1</v>
      </c>
      <c r="W1359" t="str">
        <f>_xlfn.XLOOKUP(A1359, Matches!A:A, Matches!L:L, "NA", 0)</f>
        <v>UPW</v>
      </c>
      <c r="X1359" t="str">
        <f>_xlfn.XLOOKUP(A1359, Matches!A:A, Matches!J:J, "NA", 0)</f>
        <v>RCBW</v>
      </c>
      <c r="Y1359" t="str">
        <f>_xlfn.XLOOKUP(A1359, Matches!A:A, Matches!F:F, "NA", 0)</f>
        <v>Bharat Ratna Shri Atal Bihari Vajpayee Ekana Cricket Stadium</v>
      </c>
      <c r="Z1359" cm="1">
        <f t="array" ref="Z1359">INDEX(Innings!F:F,MATCH(1,(TRIM(Innings!A:A)=TRIM(A1359))*(TRIM(Innings!D:D)=TRIM(E1359)),0))</f>
        <v>213</v>
      </c>
      <c r="AA1359" cm="1">
        <f t="array" ref="AA1359">INDEX(Innings!I:I,MATCH(1,(TRIM(Innings!A:A)=TRIM(A1359))*(TRIM(Innings!D:D)=TRIM(E1359)),0))</f>
        <v>10.92</v>
      </c>
      <c r="AB1359" cm="1">
        <f t="array" ref="AB1359">INDEX(Innings!J:J,MATCH(1,(TRIM(Innings!A:A)=TRIM(A1359))*(TRIM(Innings!D:D)=TRIM(E1359)),0))</f>
        <v>70</v>
      </c>
      <c r="AC1359" cm="1">
        <f t="array" ref="AC1359">INDEX(Innings!N:N,MATCH(1,(TRIM(Innings!A:A)=TRIM(A1359))*(TRIM(Innings!D:D)=TRIM(E1359)),0))</f>
        <v>44</v>
      </c>
      <c r="AD1359" cm="1">
        <f t="array" ref="AD1359">INDEX(Innings!S:S,MATCH(1,(TRIM(Innings!A:A)=TRIM(A1359))*(TRIM(Innings!D:D)=TRIM(E1359)),0))</f>
        <v>41</v>
      </c>
      <c r="AE1359" t="str" cm="1">
        <f t="array" ref="AE1359">INDEX(Innings!W:W,MATCH(1,(TRIM(Innings!A:A)=TRIM(A1359))*(TRIM(Innings!D:D)=TRIM(E1359)),0))</f>
        <v>Failed</v>
      </c>
      <c r="AF1359">
        <f>IF(UPPER(TRIM(E1359))=UPPER(TRIM(W1359)),1,0)</f>
        <v>0</v>
      </c>
      <c r="AG1359">
        <f t="shared" si="42"/>
        <v>5.3</v>
      </c>
    </row>
    <row r="1360" spans="1:33" x14ac:dyDescent="0.3">
      <c r="A1360" t="s">
        <v>479</v>
      </c>
      <c r="B1360">
        <v>3</v>
      </c>
      <c r="C1360" t="s">
        <v>99</v>
      </c>
      <c r="D1360" t="s">
        <v>124</v>
      </c>
      <c r="E1360" t="s">
        <v>159</v>
      </c>
      <c r="F1360" t="s">
        <v>169</v>
      </c>
      <c r="G1360" t="s">
        <v>134</v>
      </c>
      <c r="H1360">
        <v>17</v>
      </c>
      <c r="I1360">
        <v>15</v>
      </c>
      <c r="J1360">
        <v>113.33</v>
      </c>
      <c r="K1360" t="s">
        <v>246</v>
      </c>
      <c r="L1360">
        <v>25</v>
      </c>
      <c r="M1360">
        <v>4</v>
      </c>
      <c r="N1360">
        <v>0</v>
      </c>
      <c r="O1360">
        <v>43</v>
      </c>
      <c r="P1360">
        <v>2</v>
      </c>
      <c r="Q1360">
        <v>10.8</v>
      </c>
      <c r="R1360">
        <v>50</v>
      </c>
      <c r="S1360">
        <v>0</v>
      </c>
      <c r="T1360">
        <v>0</v>
      </c>
      <c r="U1360" s="8">
        <v>75</v>
      </c>
      <c r="V1360" s="8">
        <f t="shared" si="43"/>
        <v>8</v>
      </c>
      <c r="W1360" t="str">
        <f>_xlfn.XLOOKUP(A1360, Matches!A:A, Matches!L:L, "NA", 0)</f>
        <v>UPW</v>
      </c>
      <c r="X1360" t="str">
        <f>_xlfn.XLOOKUP(A1360, Matches!A:A, Matches!J:J, "NA", 0)</f>
        <v>RCBW</v>
      </c>
      <c r="Y1360" t="str">
        <f>_xlfn.XLOOKUP(A1360, Matches!A:A, Matches!F:F, "NA", 0)</f>
        <v>Bharat Ratna Shri Atal Bihari Vajpayee Ekana Cricket Stadium</v>
      </c>
      <c r="Z1360" cm="1">
        <f t="array" ref="Z1360">INDEX(Innings!F:F,MATCH(1,(TRIM(Innings!A:A)=TRIM(A1360))*(TRIM(Innings!D:D)=TRIM(E1360)),0))</f>
        <v>213</v>
      </c>
      <c r="AA1360" cm="1">
        <f t="array" ref="AA1360">INDEX(Innings!I:I,MATCH(1,(TRIM(Innings!A:A)=TRIM(A1360))*(TRIM(Innings!D:D)=TRIM(E1360)),0))</f>
        <v>10.92</v>
      </c>
      <c r="AB1360" cm="1">
        <f t="array" ref="AB1360">INDEX(Innings!J:J,MATCH(1,(TRIM(Innings!A:A)=TRIM(A1360))*(TRIM(Innings!D:D)=TRIM(E1360)),0))</f>
        <v>70</v>
      </c>
      <c r="AC1360" cm="1">
        <f t="array" ref="AC1360">INDEX(Innings!N:N,MATCH(1,(TRIM(Innings!A:A)=TRIM(A1360))*(TRIM(Innings!D:D)=TRIM(E1360)),0))</f>
        <v>44</v>
      </c>
      <c r="AD1360" cm="1">
        <f t="array" ref="AD1360">INDEX(Innings!S:S,MATCH(1,(TRIM(Innings!A:A)=TRIM(A1360))*(TRIM(Innings!D:D)=TRIM(E1360)),0))</f>
        <v>41</v>
      </c>
      <c r="AE1360" t="str" cm="1">
        <f t="array" ref="AE1360">INDEX(Innings!W:W,MATCH(1,(TRIM(Innings!A:A)=TRIM(A1360))*(TRIM(Innings!D:D)=TRIM(E1360)),0))</f>
        <v>Failed</v>
      </c>
      <c r="AF1360">
        <f>IF(UPPER(TRIM(E1360))=UPPER(TRIM(W1360)),1,0)</f>
        <v>0</v>
      </c>
      <c r="AG1360">
        <f t="shared" si="42"/>
        <v>39.9</v>
      </c>
    </row>
    <row r="1361" spans="1:33" x14ac:dyDescent="0.3">
      <c r="A1361" t="s">
        <v>479</v>
      </c>
      <c r="B1361">
        <v>3</v>
      </c>
      <c r="C1361" t="s">
        <v>515</v>
      </c>
      <c r="D1361" t="s">
        <v>592</v>
      </c>
      <c r="E1361" t="s">
        <v>159</v>
      </c>
      <c r="F1361" t="s">
        <v>101</v>
      </c>
      <c r="G1361" t="s">
        <v>134</v>
      </c>
      <c r="H1361">
        <v>9</v>
      </c>
      <c r="I1361">
        <v>5</v>
      </c>
      <c r="J1361">
        <v>180</v>
      </c>
      <c r="K1361" t="s">
        <v>246</v>
      </c>
      <c r="L1361">
        <v>15</v>
      </c>
      <c r="M1361">
        <v>4</v>
      </c>
      <c r="N1361">
        <v>0</v>
      </c>
      <c r="O1361">
        <v>47</v>
      </c>
      <c r="P1361">
        <v>1</v>
      </c>
      <c r="Q1361">
        <v>11.8</v>
      </c>
      <c r="R1361">
        <v>25</v>
      </c>
      <c r="S1361">
        <v>0</v>
      </c>
      <c r="T1361">
        <v>0</v>
      </c>
      <c r="U1361" s="8">
        <v>40</v>
      </c>
      <c r="V1361" s="8">
        <f t="shared" si="43"/>
        <v>4</v>
      </c>
      <c r="W1361" t="str">
        <f>_xlfn.XLOOKUP(A1361, Matches!A:A, Matches!L:L, "NA", 0)</f>
        <v>UPW</v>
      </c>
      <c r="X1361" t="str">
        <f>_xlfn.XLOOKUP(A1361, Matches!A:A, Matches!J:J, "NA", 0)</f>
        <v>RCBW</v>
      </c>
      <c r="Y1361" t="str">
        <f>_xlfn.XLOOKUP(A1361, Matches!A:A, Matches!F:F, "NA", 0)</f>
        <v>Bharat Ratna Shri Atal Bihari Vajpayee Ekana Cricket Stadium</v>
      </c>
      <c r="Z1361" cm="1">
        <f t="array" ref="Z1361">INDEX(Innings!F:F,MATCH(1,(TRIM(Innings!A:A)=TRIM(A1361))*(TRIM(Innings!D:D)=TRIM(E1361)),0))</f>
        <v>213</v>
      </c>
      <c r="AA1361" cm="1">
        <f t="array" ref="AA1361">INDEX(Innings!I:I,MATCH(1,(TRIM(Innings!A:A)=TRIM(A1361))*(TRIM(Innings!D:D)=TRIM(E1361)),0))</f>
        <v>10.92</v>
      </c>
      <c r="AB1361" cm="1">
        <f t="array" ref="AB1361">INDEX(Innings!J:J,MATCH(1,(TRIM(Innings!A:A)=TRIM(A1361))*(TRIM(Innings!D:D)=TRIM(E1361)),0))</f>
        <v>70</v>
      </c>
      <c r="AC1361" cm="1">
        <f t="array" ref="AC1361">INDEX(Innings!N:N,MATCH(1,(TRIM(Innings!A:A)=TRIM(A1361))*(TRIM(Innings!D:D)=TRIM(E1361)),0))</f>
        <v>44</v>
      </c>
      <c r="AD1361" cm="1">
        <f t="array" ref="AD1361">INDEX(Innings!S:S,MATCH(1,(TRIM(Innings!A:A)=TRIM(A1361))*(TRIM(Innings!D:D)=TRIM(E1361)),0))</f>
        <v>41</v>
      </c>
      <c r="AE1361" t="str" cm="1">
        <f t="array" ref="AE1361">INDEX(Innings!W:W,MATCH(1,(TRIM(Innings!A:A)=TRIM(A1361))*(TRIM(Innings!D:D)=TRIM(E1361)),0))</f>
        <v>Failed</v>
      </c>
      <c r="AF1361">
        <f>IF(UPPER(TRIM(E1361))=UPPER(TRIM(W1361)),1,0)</f>
        <v>0</v>
      </c>
      <c r="AG1361">
        <f t="shared" si="42"/>
        <v>21.2</v>
      </c>
    </row>
    <row r="1362" spans="1:33" x14ac:dyDescent="0.3">
      <c r="A1362" t="s">
        <v>479</v>
      </c>
      <c r="B1362">
        <v>3</v>
      </c>
      <c r="C1362" t="s">
        <v>242</v>
      </c>
      <c r="D1362" t="s">
        <v>244</v>
      </c>
      <c r="E1362" t="s">
        <v>159</v>
      </c>
      <c r="F1362" t="s">
        <v>101</v>
      </c>
      <c r="G1362" t="s">
        <v>134</v>
      </c>
      <c r="H1362">
        <v>3</v>
      </c>
      <c r="I1362">
        <v>4</v>
      </c>
      <c r="J1362">
        <v>75</v>
      </c>
      <c r="K1362" t="s">
        <v>96</v>
      </c>
      <c r="L1362">
        <v>5</v>
      </c>
      <c r="M1362">
        <v>4</v>
      </c>
      <c r="N1362">
        <v>0</v>
      </c>
      <c r="O1362">
        <v>42</v>
      </c>
      <c r="P1362">
        <v>0</v>
      </c>
      <c r="Q1362">
        <v>10.5</v>
      </c>
      <c r="R1362">
        <v>0</v>
      </c>
      <c r="S1362">
        <v>0</v>
      </c>
      <c r="T1362">
        <v>0</v>
      </c>
      <c r="U1362" s="8">
        <v>5</v>
      </c>
      <c r="V1362" s="8">
        <f t="shared" si="43"/>
        <v>1</v>
      </c>
      <c r="W1362" t="str">
        <f>_xlfn.XLOOKUP(A1362, Matches!A:A, Matches!L:L, "NA", 0)</f>
        <v>UPW</v>
      </c>
      <c r="X1362" t="str">
        <f>_xlfn.XLOOKUP(A1362, Matches!A:A, Matches!J:J, "NA", 0)</f>
        <v>RCBW</v>
      </c>
      <c r="Y1362" t="str">
        <f>_xlfn.XLOOKUP(A1362, Matches!A:A, Matches!F:F, "NA", 0)</f>
        <v>Bharat Ratna Shri Atal Bihari Vajpayee Ekana Cricket Stadium</v>
      </c>
      <c r="Z1362" cm="1">
        <f t="array" ref="Z1362">INDEX(Innings!F:F,MATCH(1,(TRIM(Innings!A:A)=TRIM(A1362))*(TRIM(Innings!D:D)=TRIM(E1362)),0))</f>
        <v>213</v>
      </c>
      <c r="AA1362" cm="1">
        <f t="array" ref="AA1362">INDEX(Innings!I:I,MATCH(1,(TRIM(Innings!A:A)=TRIM(A1362))*(TRIM(Innings!D:D)=TRIM(E1362)),0))</f>
        <v>10.92</v>
      </c>
      <c r="AB1362" cm="1">
        <f t="array" ref="AB1362">INDEX(Innings!J:J,MATCH(1,(TRIM(Innings!A:A)=TRIM(A1362))*(TRIM(Innings!D:D)=TRIM(E1362)),0))</f>
        <v>70</v>
      </c>
      <c r="AC1362" cm="1">
        <f t="array" ref="AC1362">INDEX(Innings!N:N,MATCH(1,(TRIM(Innings!A:A)=TRIM(A1362))*(TRIM(Innings!D:D)=TRIM(E1362)),0))</f>
        <v>44</v>
      </c>
      <c r="AD1362" cm="1">
        <f t="array" ref="AD1362">INDEX(Innings!S:S,MATCH(1,(TRIM(Innings!A:A)=TRIM(A1362))*(TRIM(Innings!D:D)=TRIM(E1362)),0))</f>
        <v>41</v>
      </c>
      <c r="AE1362" t="str" cm="1">
        <f t="array" ref="AE1362">INDEX(Innings!W:W,MATCH(1,(TRIM(Innings!A:A)=TRIM(A1362))*(TRIM(Innings!D:D)=TRIM(E1362)),0))</f>
        <v>Failed</v>
      </c>
      <c r="AF1362">
        <f>IF(UPPER(TRIM(E1362))=UPPER(TRIM(W1362)),1,0)</f>
        <v>0</v>
      </c>
      <c r="AG1362">
        <f t="shared" si="42"/>
        <v>2.8</v>
      </c>
    </row>
    <row r="1363" spans="1:33" x14ac:dyDescent="0.3">
      <c r="A1363" t="s">
        <v>479</v>
      </c>
      <c r="B1363">
        <v>3</v>
      </c>
      <c r="C1363" t="s">
        <v>102</v>
      </c>
      <c r="D1363" t="s">
        <v>126</v>
      </c>
      <c r="E1363" t="s">
        <v>159</v>
      </c>
      <c r="F1363" t="s">
        <v>169</v>
      </c>
      <c r="G1363" t="s">
        <v>134</v>
      </c>
      <c r="H1363">
        <v>26</v>
      </c>
      <c r="I1363">
        <v>6</v>
      </c>
      <c r="J1363">
        <v>433.33</v>
      </c>
      <c r="K1363" t="s">
        <v>246</v>
      </c>
      <c r="L1363">
        <v>35</v>
      </c>
      <c r="M1363">
        <v>1</v>
      </c>
      <c r="N1363">
        <v>0</v>
      </c>
      <c r="O1363">
        <v>13</v>
      </c>
      <c r="P1363">
        <v>0</v>
      </c>
      <c r="Q1363">
        <v>13</v>
      </c>
      <c r="R1363">
        <v>0</v>
      </c>
      <c r="S1363">
        <v>0</v>
      </c>
      <c r="T1363">
        <v>0</v>
      </c>
      <c r="U1363" s="8">
        <v>35</v>
      </c>
      <c r="V1363" s="8">
        <f t="shared" si="43"/>
        <v>4</v>
      </c>
      <c r="W1363" t="str">
        <f>_xlfn.XLOOKUP(A1363, Matches!A:A, Matches!L:L, "NA", 0)</f>
        <v>UPW</v>
      </c>
      <c r="X1363" t="str">
        <f>_xlfn.XLOOKUP(A1363, Matches!A:A, Matches!J:J, "NA", 0)</f>
        <v>RCBW</v>
      </c>
      <c r="Y1363" t="str">
        <f>_xlfn.XLOOKUP(A1363, Matches!A:A, Matches!F:F, "NA", 0)</f>
        <v>Bharat Ratna Shri Atal Bihari Vajpayee Ekana Cricket Stadium</v>
      </c>
      <c r="Z1363" cm="1">
        <f t="array" ref="Z1363">INDEX(Innings!F:F,MATCH(1,(TRIM(Innings!A:A)=TRIM(A1363))*(TRIM(Innings!D:D)=TRIM(E1363)),0))</f>
        <v>213</v>
      </c>
      <c r="AA1363" cm="1">
        <f t="array" ref="AA1363">INDEX(Innings!I:I,MATCH(1,(TRIM(Innings!A:A)=TRIM(A1363))*(TRIM(Innings!D:D)=TRIM(E1363)),0))</f>
        <v>10.92</v>
      </c>
      <c r="AB1363" cm="1">
        <f t="array" ref="AB1363">INDEX(Innings!J:J,MATCH(1,(TRIM(Innings!A:A)=TRIM(A1363))*(TRIM(Innings!D:D)=TRIM(E1363)),0))</f>
        <v>70</v>
      </c>
      <c r="AC1363" cm="1">
        <f t="array" ref="AC1363">INDEX(Innings!N:N,MATCH(1,(TRIM(Innings!A:A)=TRIM(A1363))*(TRIM(Innings!D:D)=TRIM(E1363)),0))</f>
        <v>44</v>
      </c>
      <c r="AD1363" cm="1">
        <f t="array" ref="AD1363">INDEX(Innings!S:S,MATCH(1,(TRIM(Innings!A:A)=TRIM(A1363))*(TRIM(Innings!D:D)=TRIM(E1363)),0))</f>
        <v>41</v>
      </c>
      <c r="AE1363" t="str" cm="1">
        <f t="array" ref="AE1363">INDEX(Innings!W:W,MATCH(1,(TRIM(Innings!A:A)=TRIM(A1363))*(TRIM(Innings!D:D)=TRIM(E1363)),0))</f>
        <v>Failed</v>
      </c>
      <c r="AF1363">
        <f>IF(UPPER(TRIM(E1363))=UPPER(TRIM(W1363)),1,0)</f>
        <v>0</v>
      </c>
      <c r="AG1363">
        <f t="shared" si="42"/>
        <v>18.7</v>
      </c>
    </row>
    <row r="1364" spans="1:33" x14ac:dyDescent="0.3">
      <c r="A1364" t="s">
        <v>479</v>
      </c>
      <c r="B1364">
        <v>3</v>
      </c>
      <c r="C1364" t="s">
        <v>186</v>
      </c>
      <c r="D1364" t="s">
        <v>187</v>
      </c>
      <c r="E1364" t="s">
        <v>159</v>
      </c>
      <c r="F1364" t="s">
        <v>101</v>
      </c>
      <c r="G1364" t="s">
        <v>134</v>
      </c>
      <c r="H1364">
        <v>1</v>
      </c>
      <c r="I1364">
        <v>1</v>
      </c>
      <c r="J1364">
        <v>100</v>
      </c>
      <c r="K1364" t="s">
        <v>256</v>
      </c>
      <c r="L1364">
        <v>1</v>
      </c>
      <c r="M1364">
        <v>3</v>
      </c>
      <c r="N1364">
        <v>0</v>
      </c>
      <c r="O1364">
        <v>42</v>
      </c>
      <c r="P1364">
        <v>0</v>
      </c>
      <c r="Q1364">
        <v>14</v>
      </c>
      <c r="R1364">
        <v>0</v>
      </c>
      <c r="S1364">
        <v>0</v>
      </c>
      <c r="T1364">
        <v>0</v>
      </c>
      <c r="U1364" s="8">
        <v>1</v>
      </c>
      <c r="V1364" s="8">
        <f t="shared" si="43"/>
        <v>0</v>
      </c>
      <c r="W1364" t="str">
        <f>_xlfn.XLOOKUP(A1364, Matches!A:A, Matches!L:L, "NA", 0)</f>
        <v>UPW</v>
      </c>
      <c r="X1364" t="str">
        <f>_xlfn.XLOOKUP(A1364, Matches!A:A, Matches!J:J, "NA", 0)</f>
        <v>RCBW</v>
      </c>
      <c r="Y1364" t="str">
        <f>_xlfn.XLOOKUP(A1364, Matches!A:A, Matches!F:F, "NA", 0)</f>
        <v>Bharat Ratna Shri Atal Bihari Vajpayee Ekana Cricket Stadium</v>
      </c>
      <c r="Z1364" cm="1">
        <f t="array" ref="Z1364">INDEX(Innings!F:F,MATCH(1,(TRIM(Innings!A:A)=TRIM(A1364))*(TRIM(Innings!D:D)=TRIM(E1364)),0))</f>
        <v>213</v>
      </c>
      <c r="AA1364" cm="1">
        <f t="array" ref="AA1364">INDEX(Innings!I:I,MATCH(1,(TRIM(Innings!A:A)=TRIM(A1364))*(TRIM(Innings!D:D)=TRIM(E1364)),0))</f>
        <v>10.92</v>
      </c>
      <c r="AB1364" cm="1">
        <f t="array" ref="AB1364">INDEX(Innings!J:J,MATCH(1,(TRIM(Innings!A:A)=TRIM(A1364))*(TRIM(Innings!D:D)=TRIM(E1364)),0))</f>
        <v>70</v>
      </c>
      <c r="AC1364" cm="1">
        <f t="array" ref="AC1364">INDEX(Innings!N:N,MATCH(1,(TRIM(Innings!A:A)=TRIM(A1364))*(TRIM(Innings!D:D)=TRIM(E1364)),0))</f>
        <v>44</v>
      </c>
      <c r="AD1364" cm="1">
        <f t="array" ref="AD1364">INDEX(Innings!S:S,MATCH(1,(TRIM(Innings!A:A)=TRIM(A1364))*(TRIM(Innings!D:D)=TRIM(E1364)),0))</f>
        <v>41</v>
      </c>
      <c r="AE1364" t="str" cm="1">
        <f t="array" ref="AE1364">INDEX(Innings!W:W,MATCH(1,(TRIM(Innings!A:A)=TRIM(A1364))*(TRIM(Innings!D:D)=TRIM(E1364)),0))</f>
        <v>Failed</v>
      </c>
      <c r="AF1364">
        <f>IF(UPPER(TRIM(E1364))=UPPER(TRIM(W1364)),1,0)</f>
        <v>0</v>
      </c>
      <c r="AG1364">
        <f t="shared" si="42"/>
        <v>0.5</v>
      </c>
    </row>
    <row r="1365" spans="1:33" x14ac:dyDescent="0.3">
      <c r="A1365" t="s">
        <v>480</v>
      </c>
      <c r="B1365">
        <v>3</v>
      </c>
      <c r="C1365" t="s">
        <v>112</v>
      </c>
      <c r="D1365" t="s">
        <v>88</v>
      </c>
      <c r="E1365" t="s">
        <v>266</v>
      </c>
      <c r="F1365" t="s">
        <v>169</v>
      </c>
      <c r="G1365" t="s">
        <v>86</v>
      </c>
      <c r="H1365">
        <v>27</v>
      </c>
      <c r="I1365">
        <v>22</v>
      </c>
      <c r="J1365">
        <v>122.73</v>
      </c>
      <c r="K1365" t="s">
        <v>246</v>
      </c>
      <c r="L1365">
        <v>35</v>
      </c>
      <c r="M1365">
        <v>4</v>
      </c>
      <c r="N1365">
        <v>0</v>
      </c>
      <c r="O1365">
        <v>38</v>
      </c>
      <c r="P1365">
        <v>3</v>
      </c>
      <c r="Q1365">
        <v>9.5</v>
      </c>
      <c r="R1365">
        <v>75</v>
      </c>
      <c r="S1365">
        <v>0</v>
      </c>
      <c r="T1365">
        <v>0</v>
      </c>
      <c r="U1365" s="8">
        <v>110</v>
      </c>
      <c r="V1365" s="8">
        <f t="shared" si="43"/>
        <v>10</v>
      </c>
      <c r="W1365" t="str">
        <f>_xlfn.XLOOKUP(A1365, Matches!A:A, Matches!L:L, "NA", 0)</f>
        <v>MIW</v>
      </c>
      <c r="X1365" t="str">
        <f>_xlfn.XLOOKUP(A1365, Matches!A:A, Matches!J:J, "NA", 0)</f>
        <v>GGTW</v>
      </c>
      <c r="Y1365" t="str">
        <f>_xlfn.XLOOKUP(A1365, Matches!A:A, Matches!F:F, "NA", 0)</f>
        <v>Brabourne Stadium</v>
      </c>
      <c r="Z1365" cm="1">
        <f t="array" ref="Z1365">INDEX(Innings!F:F,MATCH(1,(TRIM(Innings!A:A)=TRIM(A1365))*(TRIM(Innings!D:D)=TRIM(E1365)),0))</f>
        <v>179</v>
      </c>
      <c r="AA1365" cm="1">
        <f t="array" ref="AA1365">INDEX(Innings!I:I,MATCH(1,(TRIM(Innings!A:A)=TRIM(A1365))*(TRIM(Innings!D:D)=TRIM(E1365)),0))</f>
        <v>8.9499999999999993</v>
      </c>
      <c r="AB1365" cm="1">
        <f t="array" ref="AB1365">INDEX(Innings!J:J,MATCH(1,(TRIM(Innings!A:A)=TRIM(A1365))*(TRIM(Innings!D:D)=TRIM(E1365)),0))</f>
        <v>44</v>
      </c>
      <c r="AC1365" cm="1">
        <f t="array" ref="AC1365">INDEX(Innings!N:N,MATCH(1,(TRIM(Innings!A:A)=TRIM(A1365))*(TRIM(Innings!D:D)=TRIM(E1365)),0))</f>
        <v>55</v>
      </c>
      <c r="AD1365" cm="1">
        <f t="array" ref="AD1365">INDEX(Innings!S:S,MATCH(1,(TRIM(Innings!A:A)=TRIM(A1365))*(TRIM(Innings!D:D)=TRIM(E1365)),0))</f>
        <v>42</v>
      </c>
      <c r="AE1365" t="str" cm="1">
        <f t="array" ref="AE1365">INDEX(Innings!W:W,MATCH(1,(TRIM(Innings!A:A)=TRIM(A1365))*(TRIM(Innings!D:D)=TRIM(E1365)),0))</f>
        <v>NA</v>
      </c>
      <c r="AF1365">
        <f>IF(UPPER(TRIM(E1365))=UPPER(TRIM(W1365)),1,0)</f>
        <v>1</v>
      </c>
      <c r="AG1365">
        <f t="shared" si="42"/>
        <v>78</v>
      </c>
    </row>
    <row r="1366" spans="1:33" x14ac:dyDescent="0.3">
      <c r="A1366" t="s">
        <v>480</v>
      </c>
      <c r="B1366">
        <v>3</v>
      </c>
      <c r="C1366" t="s">
        <v>119</v>
      </c>
      <c r="D1366" t="s">
        <v>95</v>
      </c>
      <c r="E1366" t="s">
        <v>266</v>
      </c>
      <c r="F1366" t="s">
        <v>169</v>
      </c>
      <c r="G1366" t="s">
        <v>92</v>
      </c>
      <c r="H1366">
        <v>5</v>
      </c>
      <c r="I1366">
        <v>9</v>
      </c>
      <c r="J1366">
        <v>55.56</v>
      </c>
      <c r="K1366" t="s">
        <v>256</v>
      </c>
      <c r="L1366">
        <v>5</v>
      </c>
      <c r="M1366">
        <v>4</v>
      </c>
      <c r="N1366">
        <v>0</v>
      </c>
      <c r="O1366">
        <v>34</v>
      </c>
      <c r="P1366">
        <v>3</v>
      </c>
      <c r="Q1366">
        <v>8.5</v>
      </c>
      <c r="R1366">
        <v>75</v>
      </c>
      <c r="S1366">
        <v>0</v>
      </c>
      <c r="T1366">
        <v>0</v>
      </c>
      <c r="U1366" s="8">
        <v>80</v>
      </c>
      <c r="V1366" s="8">
        <f t="shared" si="43"/>
        <v>8</v>
      </c>
      <c r="W1366" t="str">
        <f>_xlfn.XLOOKUP(A1366, Matches!A:A, Matches!L:L, "NA", 0)</f>
        <v>MIW</v>
      </c>
      <c r="X1366" t="str">
        <f>_xlfn.XLOOKUP(A1366, Matches!A:A, Matches!J:J, "NA", 0)</f>
        <v>GGTW</v>
      </c>
      <c r="Y1366" t="str">
        <f>_xlfn.XLOOKUP(A1366, Matches!A:A, Matches!F:F, "NA", 0)</f>
        <v>Brabourne Stadium</v>
      </c>
      <c r="Z1366" cm="1">
        <f t="array" ref="Z1366">INDEX(Innings!F:F,MATCH(1,(TRIM(Innings!A:A)=TRIM(A1366))*(TRIM(Innings!D:D)=TRIM(E1366)),0))</f>
        <v>179</v>
      </c>
      <c r="AA1366" cm="1">
        <f t="array" ref="AA1366">INDEX(Innings!I:I,MATCH(1,(TRIM(Innings!A:A)=TRIM(A1366))*(TRIM(Innings!D:D)=TRIM(E1366)),0))</f>
        <v>8.9499999999999993</v>
      </c>
      <c r="AB1366" cm="1">
        <f t="array" ref="AB1366">INDEX(Innings!J:J,MATCH(1,(TRIM(Innings!A:A)=TRIM(A1366))*(TRIM(Innings!D:D)=TRIM(E1366)),0))</f>
        <v>44</v>
      </c>
      <c r="AC1366" cm="1">
        <f t="array" ref="AC1366">INDEX(Innings!N:N,MATCH(1,(TRIM(Innings!A:A)=TRIM(A1366))*(TRIM(Innings!D:D)=TRIM(E1366)),0))</f>
        <v>55</v>
      </c>
      <c r="AD1366" cm="1">
        <f t="array" ref="AD1366">INDEX(Innings!S:S,MATCH(1,(TRIM(Innings!A:A)=TRIM(A1366))*(TRIM(Innings!D:D)=TRIM(E1366)),0))</f>
        <v>42</v>
      </c>
      <c r="AE1366" t="str" cm="1">
        <f t="array" ref="AE1366">INDEX(Innings!W:W,MATCH(1,(TRIM(Innings!A:A)=TRIM(A1366))*(TRIM(Innings!D:D)=TRIM(E1366)),0))</f>
        <v>NA</v>
      </c>
      <c r="AF1366">
        <f>IF(UPPER(TRIM(E1366))=UPPER(TRIM(W1366)),1,0)</f>
        <v>1</v>
      </c>
      <c r="AG1366">
        <f t="shared" si="42"/>
        <v>62.4</v>
      </c>
    </row>
    <row r="1367" spans="1:33" x14ac:dyDescent="0.3">
      <c r="A1367" t="s">
        <v>480</v>
      </c>
      <c r="B1367">
        <v>3</v>
      </c>
      <c r="C1367" t="s">
        <v>117</v>
      </c>
      <c r="D1367" t="s">
        <v>90</v>
      </c>
      <c r="E1367" t="s">
        <v>266</v>
      </c>
      <c r="F1367" t="s">
        <v>169</v>
      </c>
      <c r="G1367" t="s">
        <v>92</v>
      </c>
      <c r="H1367">
        <v>38</v>
      </c>
      <c r="I1367">
        <v>31</v>
      </c>
      <c r="J1367">
        <v>122.58</v>
      </c>
      <c r="K1367" t="s">
        <v>246</v>
      </c>
      <c r="L1367">
        <v>50</v>
      </c>
      <c r="M1367">
        <v>3</v>
      </c>
      <c r="N1367">
        <v>0</v>
      </c>
      <c r="O1367">
        <v>28</v>
      </c>
      <c r="P1367">
        <v>0</v>
      </c>
      <c r="Q1367">
        <v>9.3000000000000007</v>
      </c>
      <c r="R1367">
        <v>0</v>
      </c>
      <c r="S1367">
        <v>0</v>
      </c>
      <c r="T1367">
        <v>0</v>
      </c>
      <c r="U1367" s="8">
        <v>50</v>
      </c>
      <c r="V1367" s="8">
        <f t="shared" si="43"/>
        <v>5</v>
      </c>
      <c r="W1367" t="str">
        <f>_xlfn.XLOOKUP(A1367, Matches!A:A, Matches!L:L, "NA", 0)</f>
        <v>MIW</v>
      </c>
      <c r="X1367" t="str">
        <f>_xlfn.XLOOKUP(A1367, Matches!A:A, Matches!J:J, "NA", 0)</f>
        <v>GGTW</v>
      </c>
      <c r="Y1367" t="str">
        <f>_xlfn.XLOOKUP(A1367, Matches!A:A, Matches!F:F, "NA", 0)</f>
        <v>Brabourne Stadium</v>
      </c>
      <c r="Z1367" cm="1">
        <f t="array" ref="Z1367">INDEX(Innings!F:F,MATCH(1,(TRIM(Innings!A:A)=TRIM(A1367))*(TRIM(Innings!D:D)=TRIM(E1367)),0))</f>
        <v>179</v>
      </c>
      <c r="AA1367" cm="1">
        <f t="array" ref="AA1367">INDEX(Innings!I:I,MATCH(1,(TRIM(Innings!A:A)=TRIM(A1367))*(TRIM(Innings!D:D)=TRIM(E1367)),0))</f>
        <v>8.9499999999999993</v>
      </c>
      <c r="AB1367" cm="1">
        <f t="array" ref="AB1367">INDEX(Innings!J:J,MATCH(1,(TRIM(Innings!A:A)=TRIM(A1367))*(TRIM(Innings!D:D)=TRIM(E1367)),0))</f>
        <v>44</v>
      </c>
      <c r="AC1367" cm="1">
        <f t="array" ref="AC1367">INDEX(Innings!N:N,MATCH(1,(TRIM(Innings!A:A)=TRIM(A1367))*(TRIM(Innings!D:D)=TRIM(E1367)),0))</f>
        <v>55</v>
      </c>
      <c r="AD1367" cm="1">
        <f t="array" ref="AD1367">INDEX(Innings!S:S,MATCH(1,(TRIM(Innings!A:A)=TRIM(A1367))*(TRIM(Innings!D:D)=TRIM(E1367)),0))</f>
        <v>42</v>
      </c>
      <c r="AE1367" t="str" cm="1">
        <f t="array" ref="AE1367">INDEX(Innings!W:W,MATCH(1,(TRIM(Innings!A:A)=TRIM(A1367))*(TRIM(Innings!D:D)=TRIM(E1367)),0))</f>
        <v>NA</v>
      </c>
      <c r="AF1367">
        <f>IF(UPPER(TRIM(E1367))=UPPER(TRIM(W1367)),1,0)</f>
        <v>1</v>
      </c>
      <c r="AG1367">
        <f t="shared" si="42"/>
        <v>46.5</v>
      </c>
    </row>
    <row r="1368" spans="1:33" x14ac:dyDescent="0.3">
      <c r="A1368" t="s">
        <v>480</v>
      </c>
      <c r="B1368">
        <v>3</v>
      </c>
      <c r="C1368" t="s">
        <v>115</v>
      </c>
      <c r="D1368" t="s">
        <v>17</v>
      </c>
      <c r="E1368" t="s">
        <v>266</v>
      </c>
      <c r="F1368" t="s">
        <v>169</v>
      </c>
      <c r="G1368" t="s">
        <v>134</v>
      </c>
      <c r="H1368">
        <v>54</v>
      </c>
      <c r="I1368">
        <v>33</v>
      </c>
      <c r="J1368">
        <v>163.63999999999999</v>
      </c>
      <c r="K1368" t="s">
        <v>246</v>
      </c>
      <c r="L1368">
        <v>75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 s="8">
        <v>75</v>
      </c>
      <c r="V1368" s="8">
        <f t="shared" si="43"/>
        <v>8</v>
      </c>
      <c r="W1368" t="str">
        <f>_xlfn.XLOOKUP(A1368, Matches!A:A, Matches!L:L, "NA", 0)</f>
        <v>MIW</v>
      </c>
      <c r="X1368" t="str">
        <f>_xlfn.XLOOKUP(A1368, Matches!A:A, Matches!J:J, "NA", 0)</f>
        <v>GGTW</v>
      </c>
      <c r="Y1368" t="str">
        <f>_xlfn.XLOOKUP(A1368, Matches!A:A, Matches!F:F, "NA", 0)</f>
        <v>Brabourne Stadium</v>
      </c>
      <c r="Z1368" cm="1">
        <f t="array" ref="Z1368">INDEX(Innings!F:F,MATCH(1,(TRIM(Innings!A:A)=TRIM(A1368))*(TRIM(Innings!D:D)=TRIM(E1368)),0))</f>
        <v>179</v>
      </c>
      <c r="AA1368" cm="1">
        <f t="array" ref="AA1368">INDEX(Innings!I:I,MATCH(1,(TRIM(Innings!A:A)=TRIM(A1368))*(TRIM(Innings!D:D)=TRIM(E1368)),0))</f>
        <v>8.9499999999999993</v>
      </c>
      <c r="AB1368" cm="1">
        <f t="array" ref="AB1368">INDEX(Innings!J:J,MATCH(1,(TRIM(Innings!A:A)=TRIM(A1368))*(TRIM(Innings!D:D)=TRIM(E1368)),0))</f>
        <v>44</v>
      </c>
      <c r="AC1368" cm="1">
        <f t="array" ref="AC1368">INDEX(Innings!N:N,MATCH(1,(TRIM(Innings!A:A)=TRIM(A1368))*(TRIM(Innings!D:D)=TRIM(E1368)),0))</f>
        <v>55</v>
      </c>
      <c r="AD1368" cm="1">
        <f t="array" ref="AD1368">INDEX(Innings!S:S,MATCH(1,(TRIM(Innings!A:A)=TRIM(A1368))*(TRIM(Innings!D:D)=TRIM(E1368)),0))</f>
        <v>42</v>
      </c>
      <c r="AE1368" t="str" cm="1">
        <f t="array" ref="AE1368">INDEX(Innings!W:W,MATCH(1,(TRIM(Innings!A:A)=TRIM(A1368))*(TRIM(Innings!D:D)=TRIM(E1368)),0))</f>
        <v>NA</v>
      </c>
      <c r="AF1368">
        <f>IF(UPPER(TRIM(E1368))=UPPER(TRIM(W1368)),1,0)</f>
        <v>1</v>
      </c>
      <c r="AG1368">
        <f t="shared" si="42"/>
        <v>59.9</v>
      </c>
    </row>
    <row r="1369" spans="1:33" x14ac:dyDescent="0.3">
      <c r="A1369" t="s">
        <v>480</v>
      </c>
      <c r="B1369">
        <v>3</v>
      </c>
      <c r="C1369" t="s">
        <v>121</v>
      </c>
      <c r="D1369" t="s">
        <v>108</v>
      </c>
      <c r="E1369" t="s">
        <v>266</v>
      </c>
      <c r="F1369" t="s">
        <v>169</v>
      </c>
      <c r="G1369" t="s">
        <v>134</v>
      </c>
      <c r="H1369">
        <v>27</v>
      </c>
      <c r="I1369">
        <v>15</v>
      </c>
      <c r="J1369">
        <v>180</v>
      </c>
      <c r="K1369" t="s">
        <v>246</v>
      </c>
      <c r="L1369">
        <v>40</v>
      </c>
      <c r="M1369">
        <v>1</v>
      </c>
      <c r="N1369">
        <v>0</v>
      </c>
      <c r="O1369">
        <v>12</v>
      </c>
      <c r="P1369">
        <v>0</v>
      </c>
      <c r="Q1369">
        <v>12</v>
      </c>
      <c r="R1369">
        <v>0</v>
      </c>
      <c r="S1369">
        <v>0</v>
      </c>
      <c r="T1369">
        <v>0</v>
      </c>
      <c r="U1369" s="8">
        <v>40</v>
      </c>
      <c r="V1369" s="8">
        <f t="shared" si="43"/>
        <v>4</v>
      </c>
      <c r="W1369" t="str">
        <f>_xlfn.XLOOKUP(A1369, Matches!A:A, Matches!L:L, "NA", 0)</f>
        <v>MIW</v>
      </c>
      <c r="X1369" t="str">
        <f>_xlfn.XLOOKUP(A1369, Matches!A:A, Matches!J:J, "NA", 0)</f>
        <v>GGTW</v>
      </c>
      <c r="Y1369" t="str">
        <f>_xlfn.XLOOKUP(A1369, Matches!A:A, Matches!F:F, "NA", 0)</f>
        <v>Brabourne Stadium</v>
      </c>
      <c r="Z1369" cm="1">
        <f t="array" ref="Z1369">INDEX(Innings!F:F,MATCH(1,(TRIM(Innings!A:A)=TRIM(A1369))*(TRIM(Innings!D:D)=TRIM(E1369)),0))</f>
        <v>179</v>
      </c>
      <c r="AA1369" cm="1">
        <f t="array" ref="AA1369">INDEX(Innings!I:I,MATCH(1,(TRIM(Innings!A:A)=TRIM(A1369))*(TRIM(Innings!D:D)=TRIM(E1369)),0))</f>
        <v>8.9499999999999993</v>
      </c>
      <c r="AB1369" cm="1">
        <f t="array" ref="AB1369">INDEX(Innings!J:J,MATCH(1,(TRIM(Innings!A:A)=TRIM(A1369))*(TRIM(Innings!D:D)=TRIM(E1369)),0))</f>
        <v>44</v>
      </c>
      <c r="AC1369" cm="1">
        <f t="array" ref="AC1369">INDEX(Innings!N:N,MATCH(1,(TRIM(Innings!A:A)=TRIM(A1369))*(TRIM(Innings!D:D)=TRIM(E1369)),0))</f>
        <v>55</v>
      </c>
      <c r="AD1369" cm="1">
        <f t="array" ref="AD1369">INDEX(Innings!S:S,MATCH(1,(TRIM(Innings!A:A)=TRIM(A1369))*(TRIM(Innings!D:D)=TRIM(E1369)),0))</f>
        <v>42</v>
      </c>
      <c r="AE1369" t="str" cm="1">
        <f t="array" ref="AE1369">INDEX(Innings!W:W,MATCH(1,(TRIM(Innings!A:A)=TRIM(A1369))*(TRIM(Innings!D:D)=TRIM(E1369)),0))</f>
        <v>NA</v>
      </c>
      <c r="AF1369">
        <f>IF(UPPER(TRIM(E1369))=UPPER(TRIM(W1369)),1,0)</f>
        <v>1</v>
      </c>
      <c r="AG1369">
        <f t="shared" si="42"/>
        <v>41.2</v>
      </c>
    </row>
    <row r="1370" spans="1:33" x14ac:dyDescent="0.3">
      <c r="A1370" t="s">
        <v>480</v>
      </c>
      <c r="B1370">
        <v>3</v>
      </c>
      <c r="C1370" t="s">
        <v>347</v>
      </c>
      <c r="D1370" t="s">
        <v>348</v>
      </c>
      <c r="E1370" t="s">
        <v>266</v>
      </c>
      <c r="F1370" t="s">
        <v>169</v>
      </c>
      <c r="G1370" t="s">
        <v>134</v>
      </c>
      <c r="H1370">
        <v>11</v>
      </c>
      <c r="I1370">
        <v>6</v>
      </c>
      <c r="J1370">
        <v>183.33</v>
      </c>
      <c r="K1370" t="s">
        <v>96</v>
      </c>
      <c r="L1370">
        <v>20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 s="8">
        <v>20</v>
      </c>
      <c r="V1370" s="8">
        <f t="shared" si="43"/>
        <v>2</v>
      </c>
      <c r="W1370" t="str">
        <f>_xlfn.XLOOKUP(A1370, Matches!A:A, Matches!L:L, "NA", 0)</f>
        <v>MIW</v>
      </c>
      <c r="X1370" t="str">
        <f>_xlfn.XLOOKUP(A1370, Matches!A:A, Matches!J:J, "NA", 0)</f>
        <v>GGTW</v>
      </c>
      <c r="Y1370" t="str">
        <f>_xlfn.XLOOKUP(A1370, Matches!A:A, Matches!F:F, "NA", 0)</f>
        <v>Brabourne Stadium</v>
      </c>
      <c r="Z1370" cm="1">
        <f t="array" ref="Z1370">INDEX(Innings!F:F,MATCH(1,(TRIM(Innings!A:A)=TRIM(A1370))*(TRIM(Innings!D:D)=TRIM(E1370)),0))</f>
        <v>179</v>
      </c>
      <c r="AA1370" cm="1">
        <f t="array" ref="AA1370">INDEX(Innings!I:I,MATCH(1,(TRIM(Innings!A:A)=TRIM(A1370))*(TRIM(Innings!D:D)=TRIM(E1370)),0))</f>
        <v>8.9499999999999993</v>
      </c>
      <c r="AB1370" cm="1">
        <f t="array" ref="AB1370">INDEX(Innings!J:J,MATCH(1,(TRIM(Innings!A:A)=TRIM(A1370))*(TRIM(Innings!D:D)=TRIM(E1370)),0))</f>
        <v>44</v>
      </c>
      <c r="AC1370" cm="1">
        <f t="array" ref="AC1370">INDEX(Innings!N:N,MATCH(1,(TRIM(Innings!A:A)=TRIM(A1370))*(TRIM(Innings!D:D)=TRIM(E1370)),0))</f>
        <v>55</v>
      </c>
      <c r="AD1370" cm="1">
        <f t="array" ref="AD1370">INDEX(Innings!S:S,MATCH(1,(TRIM(Innings!A:A)=TRIM(A1370))*(TRIM(Innings!D:D)=TRIM(E1370)),0))</f>
        <v>42</v>
      </c>
      <c r="AE1370" t="str" cm="1">
        <f t="array" ref="AE1370">INDEX(Innings!W:W,MATCH(1,(TRIM(Innings!A:A)=TRIM(A1370))*(TRIM(Innings!D:D)=TRIM(E1370)),0))</f>
        <v>NA</v>
      </c>
      <c r="AF1370">
        <f>IF(UPPER(TRIM(E1370))=UPPER(TRIM(W1370)),1,0)</f>
        <v>1</v>
      </c>
      <c r="AG1370">
        <f t="shared" si="42"/>
        <v>30.6</v>
      </c>
    </row>
    <row r="1371" spans="1:33" x14ac:dyDescent="0.3">
      <c r="A1371" t="s">
        <v>480</v>
      </c>
      <c r="B1371">
        <v>3</v>
      </c>
      <c r="C1371" t="s">
        <v>113</v>
      </c>
      <c r="D1371" t="s">
        <v>84</v>
      </c>
      <c r="E1371" t="s">
        <v>266</v>
      </c>
      <c r="F1371" t="s">
        <v>85</v>
      </c>
      <c r="G1371" t="s">
        <v>134</v>
      </c>
      <c r="H1371">
        <v>13</v>
      </c>
      <c r="I1371">
        <v>4</v>
      </c>
      <c r="J1371">
        <v>325</v>
      </c>
      <c r="K1371" t="s">
        <v>256</v>
      </c>
      <c r="L1371">
        <v>25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 s="8">
        <v>25</v>
      </c>
      <c r="V1371" s="8">
        <f t="shared" si="43"/>
        <v>3</v>
      </c>
      <c r="W1371" t="str">
        <f>_xlfn.XLOOKUP(A1371, Matches!A:A, Matches!L:L, "NA", 0)</f>
        <v>MIW</v>
      </c>
      <c r="X1371" t="str">
        <f>_xlfn.XLOOKUP(A1371, Matches!A:A, Matches!J:J, "NA", 0)</f>
        <v>GGTW</v>
      </c>
      <c r="Y1371" t="str">
        <f>_xlfn.XLOOKUP(A1371, Matches!A:A, Matches!F:F, "NA", 0)</f>
        <v>Brabourne Stadium</v>
      </c>
      <c r="Z1371" cm="1">
        <f t="array" ref="Z1371">INDEX(Innings!F:F,MATCH(1,(TRIM(Innings!A:A)=TRIM(A1371))*(TRIM(Innings!D:D)=TRIM(E1371)),0))</f>
        <v>179</v>
      </c>
      <c r="AA1371" cm="1">
        <f t="array" ref="AA1371">INDEX(Innings!I:I,MATCH(1,(TRIM(Innings!A:A)=TRIM(A1371))*(TRIM(Innings!D:D)=TRIM(E1371)),0))</f>
        <v>8.9499999999999993</v>
      </c>
      <c r="AB1371" cm="1">
        <f t="array" ref="AB1371">INDEX(Innings!J:J,MATCH(1,(TRIM(Innings!A:A)=TRIM(A1371))*(TRIM(Innings!D:D)=TRIM(E1371)),0))</f>
        <v>44</v>
      </c>
      <c r="AC1371" cm="1">
        <f t="array" ref="AC1371">INDEX(Innings!N:N,MATCH(1,(TRIM(Innings!A:A)=TRIM(A1371))*(TRIM(Innings!D:D)=TRIM(E1371)),0))</f>
        <v>55</v>
      </c>
      <c r="AD1371" cm="1">
        <f t="array" ref="AD1371">INDEX(Innings!S:S,MATCH(1,(TRIM(Innings!A:A)=TRIM(A1371))*(TRIM(Innings!D:D)=TRIM(E1371)),0))</f>
        <v>42</v>
      </c>
      <c r="AE1371" t="str" cm="1">
        <f t="array" ref="AE1371">INDEX(Innings!W:W,MATCH(1,(TRIM(Innings!A:A)=TRIM(A1371))*(TRIM(Innings!D:D)=TRIM(E1371)),0))</f>
        <v>NA</v>
      </c>
      <c r="AF1371">
        <f>IF(UPPER(TRIM(E1371))=UPPER(TRIM(W1371)),1,0)</f>
        <v>1</v>
      </c>
      <c r="AG1371">
        <f t="shared" si="42"/>
        <v>33.4</v>
      </c>
    </row>
    <row r="1372" spans="1:33" x14ac:dyDescent="0.3">
      <c r="A1372" t="s">
        <v>480</v>
      </c>
      <c r="B1372">
        <v>3</v>
      </c>
      <c r="C1372" t="s">
        <v>510</v>
      </c>
      <c r="D1372" t="s">
        <v>538</v>
      </c>
      <c r="E1372" t="s">
        <v>266</v>
      </c>
      <c r="F1372" t="s">
        <v>85</v>
      </c>
      <c r="G1372" t="s">
        <v>104</v>
      </c>
      <c r="H1372">
        <v>0</v>
      </c>
      <c r="I1372">
        <v>0</v>
      </c>
      <c r="J1372">
        <v>0</v>
      </c>
      <c r="K1372" t="s">
        <v>104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 s="8">
        <v>0</v>
      </c>
      <c r="V1372" s="8">
        <f t="shared" si="43"/>
        <v>0</v>
      </c>
      <c r="W1372" t="str">
        <f>_xlfn.XLOOKUP(A1372, Matches!A:A, Matches!L:L, "NA", 0)</f>
        <v>MIW</v>
      </c>
      <c r="X1372" t="str">
        <f>_xlfn.XLOOKUP(A1372, Matches!A:A, Matches!J:J, "NA", 0)</f>
        <v>GGTW</v>
      </c>
      <c r="Y1372" t="str">
        <f>_xlfn.XLOOKUP(A1372, Matches!A:A, Matches!F:F, "NA", 0)</f>
        <v>Brabourne Stadium</v>
      </c>
      <c r="Z1372" cm="1">
        <f t="array" ref="Z1372">INDEX(Innings!F:F,MATCH(1,(TRIM(Innings!A:A)=TRIM(A1372))*(TRIM(Innings!D:D)=TRIM(E1372)),0))</f>
        <v>179</v>
      </c>
      <c r="AA1372" cm="1">
        <f t="array" ref="AA1372">INDEX(Innings!I:I,MATCH(1,(TRIM(Innings!A:A)=TRIM(A1372))*(TRIM(Innings!D:D)=TRIM(E1372)),0))</f>
        <v>8.9499999999999993</v>
      </c>
      <c r="AB1372" cm="1">
        <f t="array" ref="AB1372">INDEX(Innings!J:J,MATCH(1,(TRIM(Innings!A:A)=TRIM(A1372))*(TRIM(Innings!D:D)=TRIM(E1372)),0))</f>
        <v>44</v>
      </c>
      <c r="AC1372" cm="1">
        <f t="array" ref="AC1372">INDEX(Innings!N:N,MATCH(1,(TRIM(Innings!A:A)=TRIM(A1372))*(TRIM(Innings!D:D)=TRIM(E1372)),0))</f>
        <v>55</v>
      </c>
      <c r="AD1372" cm="1">
        <f t="array" ref="AD1372">INDEX(Innings!S:S,MATCH(1,(TRIM(Innings!A:A)=TRIM(A1372))*(TRIM(Innings!D:D)=TRIM(E1372)),0))</f>
        <v>42</v>
      </c>
      <c r="AE1372" t="str" cm="1">
        <f t="array" ref="AE1372">INDEX(Innings!W:W,MATCH(1,(TRIM(Innings!A:A)=TRIM(A1372))*(TRIM(Innings!D:D)=TRIM(E1372)),0))</f>
        <v>NA</v>
      </c>
      <c r="AF1372">
        <f>IF(UPPER(TRIM(E1372))=UPPER(TRIM(W1372)),1,0)</f>
        <v>1</v>
      </c>
      <c r="AG1372">
        <f t="shared" si="42"/>
        <v>20</v>
      </c>
    </row>
    <row r="1373" spans="1:33" x14ac:dyDescent="0.3">
      <c r="A1373" t="s">
        <v>480</v>
      </c>
      <c r="B1373">
        <v>3</v>
      </c>
      <c r="C1373" t="s">
        <v>507</v>
      </c>
      <c r="D1373" t="s">
        <v>519</v>
      </c>
      <c r="E1373" t="s">
        <v>266</v>
      </c>
      <c r="F1373" t="s">
        <v>169</v>
      </c>
      <c r="G1373" t="s">
        <v>104</v>
      </c>
      <c r="H1373">
        <v>0</v>
      </c>
      <c r="I1373">
        <v>0</v>
      </c>
      <c r="J1373">
        <v>0</v>
      </c>
      <c r="K1373" t="s">
        <v>104</v>
      </c>
      <c r="L1373">
        <v>0</v>
      </c>
      <c r="M1373">
        <v>2</v>
      </c>
      <c r="N1373">
        <v>0</v>
      </c>
      <c r="O1373">
        <v>18</v>
      </c>
      <c r="P1373">
        <v>1</v>
      </c>
      <c r="Q1373">
        <v>9</v>
      </c>
      <c r="R1373">
        <v>25</v>
      </c>
      <c r="S1373">
        <v>0</v>
      </c>
      <c r="T1373">
        <v>0</v>
      </c>
      <c r="U1373" s="8">
        <v>25</v>
      </c>
      <c r="V1373" s="8">
        <f t="shared" si="43"/>
        <v>3</v>
      </c>
      <c r="W1373" t="str">
        <f>_xlfn.XLOOKUP(A1373, Matches!A:A, Matches!L:L, "NA", 0)</f>
        <v>MIW</v>
      </c>
      <c r="X1373" t="str">
        <f>_xlfn.XLOOKUP(A1373, Matches!A:A, Matches!J:J, "NA", 0)</f>
        <v>GGTW</v>
      </c>
      <c r="Y1373" t="str">
        <f>_xlfn.XLOOKUP(A1373, Matches!A:A, Matches!F:F, "NA", 0)</f>
        <v>Brabourne Stadium</v>
      </c>
      <c r="Z1373" cm="1">
        <f t="array" ref="Z1373">INDEX(Innings!F:F,MATCH(1,(TRIM(Innings!A:A)=TRIM(A1373))*(TRIM(Innings!D:D)=TRIM(E1373)),0))</f>
        <v>179</v>
      </c>
      <c r="AA1373" cm="1">
        <f t="array" ref="AA1373">INDEX(Innings!I:I,MATCH(1,(TRIM(Innings!A:A)=TRIM(A1373))*(TRIM(Innings!D:D)=TRIM(E1373)),0))</f>
        <v>8.9499999999999993</v>
      </c>
      <c r="AB1373" cm="1">
        <f t="array" ref="AB1373">INDEX(Innings!J:J,MATCH(1,(TRIM(Innings!A:A)=TRIM(A1373))*(TRIM(Innings!D:D)=TRIM(E1373)),0))</f>
        <v>44</v>
      </c>
      <c r="AC1373" cm="1">
        <f t="array" ref="AC1373">INDEX(Innings!N:N,MATCH(1,(TRIM(Innings!A:A)=TRIM(A1373))*(TRIM(Innings!D:D)=TRIM(E1373)),0))</f>
        <v>55</v>
      </c>
      <c r="AD1373" cm="1">
        <f t="array" ref="AD1373">INDEX(Innings!S:S,MATCH(1,(TRIM(Innings!A:A)=TRIM(A1373))*(TRIM(Innings!D:D)=TRIM(E1373)),0))</f>
        <v>42</v>
      </c>
      <c r="AE1373" t="str" cm="1">
        <f t="array" ref="AE1373">INDEX(Innings!W:W,MATCH(1,(TRIM(Innings!A:A)=TRIM(A1373))*(TRIM(Innings!D:D)=TRIM(E1373)),0))</f>
        <v>NA</v>
      </c>
      <c r="AF1373">
        <f>IF(UPPER(TRIM(E1373))=UPPER(TRIM(W1373)),1,0)</f>
        <v>1</v>
      </c>
      <c r="AG1373">
        <f t="shared" si="42"/>
        <v>33.4</v>
      </c>
    </row>
    <row r="1374" spans="1:33" x14ac:dyDescent="0.3">
      <c r="A1374" t="s">
        <v>480</v>
      </c>
      <c r="B1374">
        <v>3</v>
      </c>
      <c r="C1374" t="s">
        <v>265</v>
      </c>
      <c r="D1374" t="s">
        <v>264</v>
      </c>
      <c r="E1374" t="s">
        <v>266</v>
      </c>
      <c r="F1374" t="s">
        <v>101</v>
      </c>
      <c r="G1374" t="s">
        <v>104</v>
      </c>
      <c r="H1374">
        <v>0</v>
      </c>
      <c r="I1374">
        <v>0</v>
      </c>
      <c r="J1374">
        <v>0</v>
      </c>
      <c r="K1374" t="s">
        <v>104</v>
      </c>
      <c r="L1374">
        <v>0</v>
      </c>
      <c r="M1374">
        <v>4</v>
      </c>
      <c r="N1374">
        <v>0</v>
      </c>
      <c r="O1374">
        <v>17</v>
      </c>
      <c r="P1374">
        <v>2</v>
      </c>
      <c r="Q1374">
        <v>4.2</v>
      </c>
      <c r="R1374">
        <v>50</v>
      </c>
      <c r="S1374">
        <v>0</v>
      </c>
      <c r="T1374">
        <v>0</v>
      </c>
      <c r="U1374" s="8">
        <v>50</v>
      </c>
      <c r="V1374" s="8">
        <f t="shared" si="43"/>
        <v>5</v>
      </c>
      <c r="W1374" t="str">
        <f>_xlfn.XLOOKUP(A1374, Matches!A:A, Matches!L:L, "NA", 0)</f>
        <v>MIW</v>
      </c>
      <c r="X1374" t="str">
        <f>_xlfn.XLOOKUP(A1374, Matches!A:A, Matches!J:J, "NA", 0)</f>
        <v>GGTW</v>
      </c>
      <c r="Y1374" t="str">
        <f>_xlfn.XLOOKUP(A1374, Matches!A:A, Matches!F:F, "NA", 0)</f>
        <v>Brabourne Stadium</v>
      </c>
      <c r="Z1374" cm="1">
        <f t="array" ref="Z1374">INDEX(Innings!F:F,MATCH(1,(TRIM(Innings!A:A)=TRIM(A1374))*(TRIM(Innings!D:D)=TRIM(E1374)),0))</f>
        <v>179</v>
      </c>
      <c r="AA1374" cm="1">
        <f t="array" ref="AA1374">INDEX(Innings!I:I,MATCH(1,(TRIM(Innings!A:A)=TRIM(A1374))*(TRIM(Innings!D:D)=TRIM(E1374)),0))</f>
        <v>8.9499999999999993</v>
      </c>
      <c r="AB1374" cm="1">
        <f t="array" ref="AB1374">INDEX(Innings!J:J,MATCH(1,(TRIM(Innings!A:A)=TRIM(A1374))*(TRIM(Innings!D:D)=TRIM(E1374)),0))</f>
        <v>44</v>
      </c>
      <c r="AC1374" cm="1">
        <f t="array" ref="AC1374">INDEX(Innings!N:N,MATCH(1,(TRIM(Innings!A:A)=TRIM(A1374))*(TRIM(Innings!D:D)=TRIM(E1374)),0))</f>
        <v>55</v>
      </c>
      <c r="AD1374" cm="1">
        <f t="array" ref="AD1374">INDEX(Innings!S:S,MATCH(1,(TRIM(Innings!A:A)=TRIM(A1374))*(TRIM(Innings!D:D)=TRIM(E1374)),0))</f>
        <v>42</v>
      </c>
      <c r="AE1374" t="str" cm="1">
        <f t="array" ref="AE1374">INDEX(Innings!W:W,MATCH(1,(TRIM(Innings!A:A)=TRIM(A1374))*(TRIM(Innings!D:D)=TRIM(E1374)),0))</f>
        <v>NA</v>
      </c>
      <c r="AF1374">
        <f>IF(UPPER(TRIM(E1374))=UPPER(TRIM(W1374)),1,0)</f>
        <v>1</v>
      </c>
      <c r="AG1374">
        <f t="shared" si="42"/>
        <v>46.5</v>
      </c>
    </row>
    <row r="1375" spans="1:33" x14ac:dyDescent="0.3">
      <c r="A1375" t="s">
        <v>480</v>
      </c>
      <c r="B1375">
        <v>3</v>
      </c>
      <c r="C1375" t="s">
        <v>511</v>
      </c>
      <c r="D1375" t="s">
        <v>539</v>
      </c>
      <c r="E1375" t="s">
        <v>266</v>
      </c>
      <c r="F1375" t="s">
        <v>101</v>
      </c>
      <c r="G1375" t="s">
        <v>104</v>
      </c>
      <c r="H1375">
        <v>0</v>
      </c>
      <c r="I1375">
        <v>0</v>
      </c>
      <c r="J1375">
        <v>0</v>
      </c>
      <c r="K1375" t="s">
        <v>104</v>
      </c>
      <c r="L1375">
        <v>0</v>
      </c>
      <c r="M1375">
        <v>2</v>
      </c>
      <c r="N1375">
        <v>0</v>
      </c>
      <c r="O1375">
        <v>19</v>
      </c>
      <c r="P1375">
        <v>0</v>
      </c>
      <c r="Q1375">
        <v>9.5</v>
      </c>
      <c r="R1375">
        <v>0</v>
      </c>
      <c r="S1375">
        <v>0</v>
      </c>
      <c r="T1375">
        <v>0</v>
      </c>
      <c r="U1375" s="8">
        <v>0</v>
      </c>
      <c r="V1375" s="8">
        <f t="shared" si="43"/>
        <v>0</v>
      </c>
      <c r="W1375" t="str">
        <f>_xlfn.XLOOKUP(A1375, Matches!A:A, Matches!L:L, "NA", 0)</f>
        <v>MIW</v>
      </c>
      <c r="X1375" t="str">
        <f>_xlfn.XLOOKUP(A1375, Matches!A:A, Matches!J:J, "NA", 0)</f>
        <v>GGTW</v>
      </c>
      <c r="Y1375" t="str">
        <f>_xlfn.XLOOKUP(A1375, Matches!A:A, Matches!F:F, "NA", 0)</f>
        <v>Brabourne Stadium</v>
      </c>
      <c r="Z1375" cm="1">
        <f t="array" ref="Z1375">INDEX(Innings!F:F,MATCH(1,(TRIM(Innings!A:A)=TRIM(A1375))*(TRIM(Innings!D:D)=TRIM(E1375)),0))</f>
        <v>179</v>
      </c>
      <c r="AA1375" cm="1">
        <f t="array" ref="AA1375">INDEX(Innings!I:I,MATCH(1,(TRIM(Innings!A:A)=TRIM(A1375))*(TRIM(Innings!D:D)=TRIM(E1375)),0))</f>
        <v>8.9499999999999993</v>
      </c>
      <c r="AB1375" cm="1">
        <f t="array" ref="AB1375">INDEX(Innings!J:J,MATCH(1,(TRIM(Innings!A:A)=TRIM(A1375))*(TRIM(Innings!D:D)=TRIM(E1375)),0))</f>
        <v>44</v>
      </c>
      <c r="AC1375" cm="1">
        <f t="array" ref="AC1375">INDEX(Innings!N:N,MATCH(1,(TRIM(Innings!A:A)=TRIM(A1375))*(TRIM(Innings!D:D)=TRIM(E1375)),0))</f>
        <v>55</v>
      </c>
      <c r="AD1375" cm="1">
        <f t="array" ref="AD1375">INDEX(Innings!S:S,MATCH(1,(TRIM(Innings!A:A)=TRIM(A1375))*(TRIM(Innings!D:D)=TRIM(E1375)),0))</f>
        <v>42</v>
      </c>
      <c r="AE1375" t="str" cm="1">
        <f t="array" ref="AE1375">INDEX(Innings!W:W,MATCH(1,(TRIM(Innings!A:A)=TRIM(A1375))*(TRIM(Innings!D:D)=TRIM(E1375)),0))</f>
        <v>NA</v>
      </c>
      <c r="AF1375">
        <f>IF(UPPER(TRIM(E1375))=UPPER(TRIM(W1375)),1,0)</f>
        <v>1</v>
      </c>
      <c r="AG1375">
        <f t="shared" si="42"/>
        <v>20</v>
      </c>
    </row>
    <row r="1376" spans="1:33" x14ac:dyDescent="0.3">
      <c r="A1376" t="s">
        <v>480</v>
      </c>
      <c r="B1376">
        <v>3</v>
      </c>
      <c r="C1376" t="s">
        <v>81</v>
      </c>
      <c r="D1376" t="s">
        <v>114</v>
      </c>
      <c r="E1376" t="s">
        <v>258</v>
      </c>
      <c r="F1376" t="s">
        <v>85</v>
      </c>
      <c r="G1376" t="s">
        <v>86</v>
      </c>
      <c r="H1376">
        <v>7</v>
      </c>
      <c r="I1376">
        <v>9</v>
      </c>
      <c r="J1376">
        <v>77.78</v>
      </c>
      <c r="K1376" t="s">
        <v>246</v>
      </c>
      <c r="L1376">
        <v>5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 s="8">
        <v>5</v>
      </c>
      <c r="V1376" s="8">
        <f t="shared" si="43"/>
        <v>1</v>
      </c>
      <c r="W1376" t="str">
        <f>_xlfn.XLOOKUP(A1376, Matches!A:A, Matches!L:L, "NA", 0)</f>
        <v>MIW</v>
      </c>
      <c r="X1376" t="str">
        <f>_xlfn.XLOOKUP(A1376, Matches!A:A, Matches!J:J, "NA", 0)</f>
        <v>GGTW</v>
      </c>
      <c r="Y1376" t="str">
        <f>_xlfn.XLOOKUP(A1376, Matches!A:A, Matches!F:F, "NA", 0)</f>
        <v>Brabourne Stadium</v>
      </c>
      <c r="Z1376" cm="1">
        <f t="array" ref="Z1376">INDEX(Innings!F:F,MATCH(1,(TRIM(Innings!A:A)=TRIM(A1376))*(TRIM(Innings!D:D)=TRIM(E1376)),0))</f>
        <v>170</v>
      </c>
      <c r="AA1376" cm="1">
        <f t="array" ref="AA1376">INDEX(Innings!I:I,MATCH(1,(TRIM(Innings!A:A)=TRIM(A1376))*(TRIM(Innings!D:D)=TRIM(E1376)),0))</f>
        <v>8.5</v>
      </c>
      <c r="AB1376" cm="1">
        <f t="array" ref="AB1376">INDEX(Innings!J:J,MATCH(1,(TRIM(Innings!A:A)=TRIM(A1376))*(TRIM(Innings!D:D)=TRIM(E1376)),0))</f>
        <v>40</v>
      </c>
      <c r="AC1376" cm="1">
        <f t="array" ref="AC1376">INDEX(Innings!N:N,MATCH(1,(TRIM(Innings!A:A)=TRIM(A1376))*(TRIM(Innings!D:D)=TRIM(E1376)),0))</f>
        <v>45</v>
      </c>
      <c r="AD1376" cm="1">
        <f t="array" ref="AD1376">INDEX(Innings!S:S,MATCH(1,(TRIM(Innings!A:A)=TRIM(A1376))*(TRIM(Innings!D:D)=TRIM(E1376)),0))</f>
        <v>46</v>
      </c>
      <c r="AE1376" t="str" cm="1">
        <f t="array" ref="AE1376">INDEX(Innings!W:W,MATCH(1,(TRIM(Innings!A:A)=TRIM(A1376))*(TRIM(Innings!D:D)=TRIM(E1376)),0))</f>
        <v>Failed</v>
      </c>
      <c r="AF1376">
        <f>IF(UPPER(TRIM(E1376))=UPPER(TRIM(W1376)),1,0)</f>
        <v>0</v>
      </c>
      <c r="AG1376">
        <f t="shared" si="42"/>
        <v>2.8</v>
      </c>
    </row>
    <row r="1377" spans="1:33" x14ac:dyDescent="0.3">
      <c r="A1377" t="s">
        <v>480</v>
      </c>
      <c r="B1377">
        <v>3</v>
      </c>
      <c r="C1377" t="s">
        <v>493</v>
      </c>
      <c r="D1377" t="s">
        <v>500</v>
      </c>
      <c r="E1377" t="s">
        <v>258</v>
      </c>
      <c r="F1377" t="s">
        <v>169</v>
      </c>
      <c r="G1377" t="s">
        <v>92</v>
      </c>
      <c r="H1377">
        <v>10</v>
      </c>
      <c r="I1377">
        <v>14</v>
      </c>
      <c r="J1377">
        <v>71.430000000000007</v>
      </c>
      <c r="K1377" t="s">
        <v>248</v>
      </c>
      <c r="L1377">
        <v>10</v>
      </c>
      <c r="M1377">
        <v>4</v>
      </c>
      <c r="N1377">
        <v>0</v>
      </c>
      <c r="O1377">
        <v>32</v>
      </c>
      <c r="P1377">
        <v>1</v>
      </c>
      <c r="Q1377">
        <v>8</v>
      </c>
      <c r="R1377">
        <v>25</v>
      </c>
      <c r="S1377">
        <v>0</v>
      </c>
      <c r="T1377">
        <v>0</v>
      </c>
      <c r="U1377" s="8">
        <v>35</v>
      </c>
      <c r="V1377" s="8">
        <f t="shared" si="43"/>
        <v>4</v>
      </c>
      <c r="W1377" t="str">
        <f>_xlfn.XLOOKUP(A1377, Matches!A:A, Matches!L:L, "NA", 0)</f>
        <v>MIW</v>
      </c>
      <c r="X1377" t="str">
        <f>_xlfn.XLOOKUP(A1377, Matches!A:A, Matches!J:J, "NA", 0)</f>
        <v>GGTW</v>
      </c>
      <c r="Y1377" t="str">
        <f>_xlfn.XLOOKUP(A1377, Matches!A:A, Matches!F:F, "NA", 0)</f>
        <v>Brabourne Stadium</v>
      </c>
      <c r="Z1377" cm="1">
        <f t="array" ref="Z1377">INDEX(Innings!F:F,MATCH(1,(TRIM(Innings!A:A)=TRIM(A1377))*(TRIM(Innings!D:D)=TRIM(E1377)),0))</f>
        <v>170</v>
      </c>
      <c r="AA1377" cm="1">
        <f t="array" ref="AA1377">INDEX(Innings!I:I,MATCH(1,(TRIM(Innings!A:A)=TRIM(A1377))*(TRIM(Innings!D:D)=TRIM(E1377)),0))</f>
        <v>8.5</v>
      </c>
      <c r="AB1377" cm="1">
        <f t="array" ref="AB1377">INDEX(Innings!J:J,MATCH(1,(TRIM(Innings!A:A)=TRIM(A1377))*(TRIM(Innings!D:D)=TRIM(E1377)),0))</f>
        <v>40</v>
      </c>
      <c r="AC1377" cm="1">
        <f t="array" ref="AC1377">INDEX(Innings!N:N,MATCH(1,(TRIM(Innings!A:A)=TRIM(A1377))*(TRIM(Innings!D:D)=TRIM(E1377)),0))</f>
        <v>45</v>
      </c>
      <c r="AD1377" cm="1">
        <f t="array" ref="AD1377">INDEX(Innings!S:S,MATCH(1,(TRIM(Innings!A:A)=TRIM(A1377))*(TRIM(Innings!D:D)=TRIM(E1377)),0))</f>
        <v>46</v>
      </c>
      <c r="AE1377" t="str" cm="1">
        <f t="array" ref="AE1377">INDEX(Innings!W:W,MATCH(1,(TRIM(Innings!A:A)=TRIM(A1377))*(TRIM(Innings!D:D)=TRIM(E1377)),0))</f>
        <v>Failed</v>
      </c>
      <c r="AF1377">
        <f>IF(UPPER(TRIM(E1377))=UPPER(TRIM(W1377)),1,0)</f>
        <v>0</v>
      </c>
      <c r="AG1377">
        <f t="shared" si="42"/>
        <v>18.7</v>
      </c>
    </row>
    <row r="1378" spans="1:33" x14ac:dyDescent="0.3">
      <c r="A1378" t="s">
        <v>480</v>
      </c>
      <c r="B1378">
        <v>3</v>
      </c>
      <c r="C1378" t="s">
        <v>89</v>
      </c>
      <c r="D1378" t="s">
        <v>116</v>
      </c>
      <c r="E1378" t="s">
        <v>258</v>
      </c>
      <c r="F1378" t="s">
        <v>169</v>
      </c>
      <c r="G1378" t="s">
        <v>92</v>
      </c>
      <c r="H1378">
        <v>24</v>
      </c>
      <c r="I1378">
        <v>17</v>
      </c>
      <c r="J1378">
        <v>141.18</v>
      </c>
      <c r="K1378" t="s">
        <v>247</v>
      </c>
      <c r="L1378">
        <v>30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 s="8">
        <v>30</v>
      </c>
      <c r="V1378" s="8">
        <f t="shared" si="43"/>
        <v>3</v>
      </c>
      <c r="W1378" t="str">
        <f>_xlfn.XLOOKUP(A1378, Matches!A:A, Matches!L:L, "NA", 0)</f>
        <v>MIW</v>
      </c>
      <c r="X1378" t="str">
        <f>_xlfn.XLOOKUP(A1378, Matches!A:A, Matches!J:J, "NA", 0)</f>
        <v>GGTW</v>
      </c>
      <c r="Y1378" t="str">
        <f>_xlfn.XLOOKUP(A1378, Matches!A:A, Matches!F:F, "NA", 0)</f>
        <v>Brabourne Stadium</v>
      </c>
      <c r="Z1378" cm="1">
        <f t="array" ref="Z1378">INDEX(Innings!F:F,MATCH(1,(TRIM(Innings!A:A)=TRIM(A1378))*(TRIM(Innings!D:D)=TRIM(E1378)),0))</f>
        <v>170</v>
      </c>
      <c r="AA1378" cm="1">
        <f t="array" ref="AA1378">INDEX(Innings!I:I,MATCH(1,(TRIM(Innings!A:A)=TRIM(A1378))*(TRIM(Innings!D:D)=TRIM(E1378)),0))</f>
        <v>8.5</v>
      </c>
      <c r="AB1378" cm="1">
        <f t="array" ref="AB1378">INDEX(Innings!J:J,MATCH(1,(TRIM(Innings!A:A)=TRIM(A1378))*(TRIM(Innings!D:D)=TRIM(E1378)),0))</f>
        <v>40</v>
      </c>
      <c r="AC1378" cm="1">
        <f t="array" ref="AC1378">INDEX(Innings!N:N,MATCH(1,(TRIM(Innings!A:A)=TRIM(A1378))*(TRIM(Innings!D:D)=TRIM(E1378)),0))</f>
        <v>45</v>
      </c>
      <c r="AD1378" cm="1">
        <f t="array" ref="AD1378">INDEX(Innings!S:S,MATCH(1,(TRIM(Innings!A:A)=TRIM(A1378))*(TRIM(Innings!D:D)=TRIM(E1378)),0))</f>
        <v>46</v>
      </c>
      <c r="AE1378" t="str" cm="1">
        <f t="array" ref="AE1378">INDEX(Innings!W:W,MATCH(1,(TRIM(Innings!A:A)=TRIM(A1378))*(TRIM(Innings!D:D)=TRIM(E1378)),0))</f>
        <v>Failed</v>
      </c>
      <c r="AF1378">
        <f>IF(UPPER(TRIM(E1378))=UPPER(TRIM(W1378)),1,0)</f>
        <v>0</v>
      </c>
      <c r="AG1378">
        <f t="shared" si="42"/>
        <v>15.9</v>
      </c>
    </row>
    <row r="1379" spans="1:33" x14ac:dyDescent="0.3">
      <c r="A1379" t="s">
        <v>480</v>
      </c>
      <c r="B1379">
        <v>3</v>
      </c>
      <c r="C1379" t="s">
        <v>93</v>
      </c>
      <c r="D1379" t="s">
        <v>118</v>
      </c>
      <c r="E1379" t="s">
        <v>258</v>
      </c>
      <c r="F1379" t="s">
        <v>169</v>
      </c>
      <c r="G1379" t="s">
        <v>134</v>
      </c>
      <c r="H1379">
        <v>0</v>
      </c>
      <c r="I1379">
        <v>2</v>
      </c>
      <c r="J1379">
        <v>0</v>
      </c>
      <c r="K1379" t="s">
        <v>246</v>
      </c>
      <c r="L1379">
        <v>0</v>
      </c>
      <c r="M1379">
        <v>4</v>
      </c>
      <c r="N1379">
        <v>0</v>
      </c>
      <c r="O1379">
        <v>27</v>
      </c>
      <c r="P1379">
        <v>1</v>
      </c>
      <c r="Q1379">
        <v>6.8</v>
      </c>
      <c r="R1379">
        <v>25</v>
      </c>
      <c r="S1379">
        <v>0</v>
      </c>
      <c r="T1379">
        <v>0</v>
      </c>
      <c r="U1379" s="8">
        <v>25</v>
      </c>
      <c r="V1379" s="8">
        <f t="shared" si="43"/>
        <v>3</v>
      </c>
      <c r="W1379" t="str">
        <f>_xlfn.XLOOKUP(A1379, Matches!A:A, Matches!L:L, "NA", 0)</f>
        <v>MIW</v>
      </c>
      <c r="X1379" t="str">
        <f>_xlfn.XLOOKUP(A1379, Matches!A:A, Matches!J:J, "NA", 0)</f>
        <v>GGTW</v>
      </c>
      <c r="Y1379" t="str">
        <f>_xlfn.XLOOKUP(A1379, Matches!A:A, Matches!F:F, "NA", 0)</f>
        <v>Brabourne Stadium</v>
      </c>
      <c r="Z1379" cm="1">
        <f t="array" ref="Z1379">INDEX(Innings!F:F,MATCH(1,(TRIM(Innings!A:A)=TRIM(A1379))*(TRIM(Innings!D:D)=TRIM(E1379)),0))</f>
        <v>170</v>
      </c>
      <c r="AA1379" cm="1">
        <f t="array" ref="AA1379">INDEX(Innings!I:I,MATCH(1,(TRIM(Innings!A:A)=TRIM(A1379))*(TRIM(Innings!D:D)=TRIM(E1379)),0))</f>
        <v>8.5</v>
      </c>
      <c r="AB1379" cm="1">
        <f t="array" ref="AB1379">INDEX(Innings!J:J,MATCH(1,(TRIM(Innings!A:A)=TRIM(A1379))*(TRIM(Innings!D:D)=TRIM(E1379)),0))</f>
        <v>40</v>
      </c>
      <c r="AC1379" cm="1">
        <f t="array" ref="AC1379">INDEX(Innings!N:N,MATCH(1,(TRIM(Innings!A:A)=TRIM(A1379))*(TRIM(Innings!D:D)=TRIM(E1379)),0))</f>
        <v>45</v>
      </c>
      <c r="AD1379" cm="1">
        <f t="array" ref="AD1379">INDEX(Innings!S:S,MATCH(1,(TRIM(Innings!A:A)=TRIM(A1379))*(TRIM(Innings!D:D)=TRIM(E1379)),0))</f>
        <v>46</v>
      </c>
      <c r="AE1379" t="str" cm="1">
        <f t="array" ref="AE1379">INDEX(Innings!W:W,MATCH(1,(TRIM(Innings!A:A)=TRIM(A1379))*(TRIM(Innings!D:D)=TRIM(E1379)),0))</f>
        <v>Failed</v>
      </c>
      <c r="AF1379">
        <f>IF(UPPER(TRIM(E1379))=UPPER(TRIM(W1379)),1,0)</f>
        <v>0</v>
      </c>
      <c r="AG1379">
        <f t="shared" si="42"/>
        <v>13.4</v>
      </c>
    </row>
    <row r="1380" spans="1:33" x14ac:dyDescent="0.3">
      <c r="A1380" t="s">
        <v>480</v>
      </c>
      <c r="B1380">
        <v>3</v>
      </c>
      <c r="C1380" t="s">
        <v>383</v>
      </c>
      <c r="D1380" t="s">
        <v>384</v>
      </c>
      <c r="E1380" t="s">
        <v>258</v>
      </c>
      <c r="F1380" t="s">
        <v>109</v>
      </c>
      <c r="G1380" t="s">
        <v>134</v>
      </c>
      <c r="H1380">
        <v>22</v>
      </c>
      <c r="I1380">
        <v>16</v>
      </c>
      <c r="J1380">
        <v>137.5</v>
      </c>
      <c r="K1380" t="s">
        <v>245</v>
      </c>
      <c r="L1380">
        <v>30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 s="8">
        <v>30</v>
      </c>
      <c r="V1380" s="8">
        <f t="shared" si="43"/>
        <v>3</v>
      </c>
      <c r="W1380" t="str">
        <f>_xlfn.XLOOKUP(A1380, Matches!A:A, Matches!L:L, "NA", 0)</f>
        <v>MIW</v>
      </c>
      <c r="X1380" t="str">
        <f>_xlfn.XLOOKUP(A1380, Matches!A:A, Matches!J:J, "NA", 0)</f>
        <v>GGTW</v>
      </c>
      <c r="Y1380" t="str">
        <f>_xlfn.XLOOKUP(A1380, Matches!A:A, Matches!F:F, "NA", 0)</f>
        <v>Brabourne Stadium</v>
      </c>
      <c r="Z1380" cm="1">
        <f t="array" ref="Z1380">INDEX(Innings!F:F,MATCH(1,(TRIM(Innings!A:A)=TRIM(A1380))*(TRIM(Innings!D:D)=TRIM(E1380)),0))</f>
        <v>170</v>
      </c>
      <c r="AA1380" cm="1">
        <f t="array" ref="AA1380">INDEX(Innings!I:I,MATCH(1,(TRIM(Innings!A:A)=TRIM(A1380))*(TRIM(Innings!D:D)=TRIM(E1380)),0))</f>
        <v>8.5</v>
      </c>
      <c r="AB1380" cm="1">
        <f t="array" ref="AB1380">INDEX(Innings!J:J,MATCH(1,(TRIM(Innings!A:A)=TRIM(A1380))*(TRIM(Innings!D:D)=TRIM(E1380)),0))</f>
        <v>40</v>
      </c>
      <c r="AC1380" cm="1">
        <f t="array" ref="AC1380">INDEX(Innings!N:N,MATCH(1,(TRIM(Innings!A:A)=TRIM(A1380))*(TRIM(Innings!D:D)=TRIM(E1380)),0))</f>
        <v>45</v>
      </c>
      <c r="AD1380" cm="1">
        <f t="array" ref="AD1380">INDEX(Innings!S:S,MATCH(1,(TRIM(Innings!A:A)=TRIM(A1380))*(TRIM(Innings!D:D)=TRIM(E1380)),0))</f>
        <v>46</v>
      </c>
      <c r="AE1380" t="str" cm="1">
        <f t="array" ref="AE1380">INDEX(Innings!W:W,MATCH(1,(TRIM(Innings!A:A)=TRIM(A1380))*(TRIM(Innings!D:D)=TRIM(E1380)),0))</f>
        <v>Failed</v>
      </c>
      <c r="AF1380">
        <f>IF(UPPER(TRIM(E1380))=UPPER(TRIM(W1380)),1,0)</f>
        <v>0</v>
      </c>
      <c r="AG1380">
        <f t="shared" si="42"/>
        <v>15.9</v>
      </c>
    </row>
    <row r="1381" spans="1:33" x14ac:dyDescent="0.3">
      <c r="A1381" t="s">
        <v>480</v>
      </c>
      <c r="B1381">
        <v>3</v>
      </c>
      <c r="C1381" t="s">
        <v>530</v>
      </c>
      <c r="D1381" t="s">
        <v>502</v>
      </c>
      <c r="E1381" t="s">
        <v>258</v>
      </c>
      <c r="F1381" t="s">
        <v>169</v>
      </c>
      <c r="G1381" t="s">
        <v>134</v>
      </c>
      <c r="H1381">
        <v>10</v>
      </c>
      <c r="I1381">
        <v>11</v>
      </c>
      <c r="J1381">
        <v>90.91</v>
      </c>
      <c r="K1381" t="s">
        <v>245</v>
      </c>
      <c r="L1381">
        <v>10</v>
      </c>
      <c r="M1381">
        <v>4</v>
      </c>
      <c r="N1381">
        <v>0</v>
      </c>
      <c r="O1381">
        <v>44</v>
      </c>
      <c r="P1381">
        <v>0</v>
      </c>
      <c r="Q1381">
        <v>11</v>
      </c>
      <c r="R1381">
        <v>0</v>
      </c>
      <c r="S1381">
        <v>0</v>
      </c>
      <c r="T1381">
        <v>0</v>
      </c>
      <c r="U1381" s="8">
        <v>10</v>
      </c>
      <c r="V1381" s="8">
        <f t="shared" si="43"/>
        <v>1</v>
      </c>
      <c r="W1381" t="str">
        <f>_xlfn.XLOOKUP(A1381, Matches!A:A, Matches!L:L, "NA", 0)</f>
        <v>MIW</v>
      </c>
      <c r="X1381" t="str">
        <f>_xlfn.XLOOKUP(A1381, Matches!A:A, Matches!J:J, "NA", 0)</f>
        <v>GGTW</v>
      </c>
      <c r="Y1381" t="str">
        <f>_xlfn.XLOOKUP(A1381, Matches!A:A, Matches!F:F, "NA", 0)</f>
        <v>Brabourne Stadium</v>
      </c>
      <c r="Z1381" cm="1">
        <f t="array" ref="Z1381">INDEX(Innings!F:F,MATCH(1,(TRIM(Innings!A:A)=TRIM(A1381))*(TRIM(Innings!D:D)=TRIM(E1381)),0))</f>
        <v>170</v>
      </c>
      <c r="AA1381" cm="1">
        <f t="array" ref="AA1381">INDEX(Innings!I:I,MATCH(1,(TRIM(Innings!A:A)=TRIM(A1381))*(TRIM(Innings!D:D)=TRIM(E1381)),0))</f>
        <v>8.5</v>
      </c>
      <c r="AB1381" cm="1">
        <f t="array" ref="AB1381">INDEX(Innings!J:J,MATCH(1,(TRIM(Innings!A:A)=TRIM(A1381))*(TRIM(Innings!D:D)=TRIM(E1381)),0))</f>
        <v>40</v>
      </c>
      <c r="AC1381" cm="1">
        <f t="array" ref="AC1381">INDEX(Innings!N:N,MATCH(1,(TRIM(Innings!A:A)=TRIM(A1381))*(TRIM(Innings!D:D)=TRIM(E1381)),0))</f>
        <v>45</v>
      </c>
      <c r="AD1381" cm="1">
        <f t="array" ref="AD1381">INDEX(Innings!S:S,MATCH(1,(TRIM(Innings!A:A)=TRIM(A1381))*(TRIM(Innings!D:D)=TRIM(E1381)),0))</f>
        <v>46</v>
      </c>
      <c r="AE1381" t="str" cm="1">
        <f t="array" ref="AE1381">INDEX(Innings!W:W,MATCH(1,(TRIM(Innings!A:A)=TRIM(A1381))*(TRIM(Innings!D:D)=TRIM(E1381)),0))</f>
        <v>Failed</v>
      </c>
      <c r="AF1381">
        <f>IF(UPPER(TRIM(E1381))=UPPER(TRIM(W1381)),1,0)</f>
        <v>0</v>
      </c>
      <c r="AG1381">
        <f t="shared" si="42"/>
        <v>5.3</v>
      </c>
    </row>
    <row r="1382" spans="1:33" x14ac:dyDescent="0.3">
      <c r="A1382" t="s">
        <v>480</v>
      </c>
      <c r="B1382">
        <v>3</v>
      </c>
      <c r="C1382" t="s">
        <v>447</v>
      </c>
      <c r="D1382" t="s">
        <v>448</v>
      </c>
      <c r="E1382" t="s">
        <v>258</v>
      </c>
      <c r="F1382" t="s">
        <v>109</v>
      </c>
      <c r="G1382" t="s">
        <v>134</v>
      </c>
      <c r="H1382">
        <v>61</v>
      </c>
      <c r="I1382">
        <v>25</v>
      </c>
      <c r="J1382">
        <v>244</v>
      </c>
      <c r="K1382" t="s">
        <v>246</v>
      </c>
      <c r="L1382">
        <v>90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 s="8">
        <v>90</v>
      </c>
      <c r="V1382" s="8">
        <f t="shared" si="43"/>
        <v>9</v>
      </c>
      <c r="W1382" t="str">
        <f>_xlfn.XLOOKUP(A1382, Matches!A:A, Matches!L:L, "NA", 0)</f>
        <v>MIW</v>
      </c>
      <c r="X1382" t="str">
        <f>_xlfn.XLOOKUP(A1382, Matches!A:A, Matches!J:J, "NA", 0)</f>
        <v>GGTW</v>
      </c>
      <c r="Y1382" t="str">
        <f>_xlfn.XLOOKUP(A1382, Matches!A:A, Matches!F:F, "NA", 0)</f>
        <v>Brabourne Stadium</v>
      </c>
      <c r="Z1382" cm="1">
        <f t="array" ref="Z1382">INDEX(Innings!F:F,MATCH(1,(TRIM(Innings!A:A)=TRIM(A1382))*(TRIM(Innings!D:D)=TRIM(E1382)),0))</f>
        <v>170</v>
      </c>
      <c r="AA1382" cm="1">
        <f t="array" ref="AA1382">INDEX(Innings!I:I,MATCH(1,(TRIM(Innings!A:A)=TRIM(A1382))*(TRIM(Innings!D:D)=TRIM(E1382)),0))</f>
        <v>8.5</v>
      </c>
      <c r="AB1382" cm="1">
        <f t="array" ref="AB1382">INDEX(Innings!J:J,MATCH(1,(TRIM(Innings!A:A)=TRIM(A1382))*(TRIM(Innings!D:D)=TRIM(E1382)),0))</f>
        <v>40</v>
      </c>
      <c r="AC1382" cm="1">
        <f t="array" ref="AC1382">INDEX(Innings!N:N,MATCH(1,(TRIM(Innings!A:A)=TRIM(A1382))*(TRIM(Innings!D:D)=TRIM(E1382)),0))</f>
        <v>45</v>
      </c>
      <c r="AD1382" cm="1">
        <f t="array" ref="AD1382">INDEX(Innings!S:S,MATCH(1,(TRIM(Innings!A:A)=TRIM(A1382))*(TRIM(Innings!D:D)=TRIM(E1382)),0))</f>
        <v>46</v>
      </c>
      <c r="AE1382" t="str" cm="1">
        <f t="array" ref="AE1382">INDEX(Innings!W:W,MATCH(1,(TRIM(Innings!A:A)=TRIM(A1382))*(TRIM(Innings!D:D)=TRIM(E1382)),0))</f>
        <v>Failed</v>
      </c>
      <c r="AF1382">
        <f>IF(UPPER(TRIM(E1382))=UPPER(TRIM(W1382)),1,0)</f>
        <v>0</v>
      </c>
      <c r="AG1382">
        <f t="shared" si="42"/>
        <v>47.7</v>
      </c>
    </row>
    <row r="1383" spans="1:33" x14ac:dyDescent="0.3">
      <c r="A1383" t="s">
        <v>480</v>
      </c>
      <c r="B1383">
        <v>3</v>
      </c>
      <c r="C1383" t="s">
        <v>227</v>
      </c>
      <c r="D1383" t="s">
        <v>228</v>
      </c>
      <c r="E1383" t="s">
        <v>258</v>
      </c>
      <c r="F1383" t="s">
        <v>109</v>
      </c>
      <c r="G1383" t="s">
        <v>134</v>
      </c>
      <c r="H1383">
        <v>18</v>
      </c>
      <c r="I1383">
        <v>16</v>
      </c>
      <c r="J1383">
        <v>112.5</v>
      </c>
      <c r="K1383" t="s">
        <v>245</v>
      </c>
      <c r="L1383">
        <v>20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 s="8">
        <v>20</v>
      </c>
      <c r="V1383" s="8">
        <f t="shared" si="43"/>
        <v>2</v>
      </c>
      <c r="W1383" t="str">
        <f>_xlfn.XLOOKUP(A1383, Matches!A:A, Matches!L:L, "NA", 0)</f>
        <v>MIW</v>
      </c>
      <c r="X1383" t="str">
        <f>_xlfn.XLOOKUP(A1383, Matches!A:A, Matches!J:J, "NA", 0)</f>
        <v>GGTW</v>
      </c>
      <c r="Y1383" t="str">
        <f>_xlfn.XLOOKUP(A1383, Matches!A:A, Matches!F:F, "NA", 0)</f>
        <v>Brabourne Stadium</v>
      </c>
      <c r="Z1383" cm="1">
        <f t="array" ref="Z1383">INDEX(Innings!F:F,MATCH(1,(TRIM(Innings!A:A)=TRIM(A1383))*(TRIM(Innings!D:D)=TRIM(E1383)),0))</f>
        <v>170</v>
      </c>
      <c r="AA1383" cm="1">
        <f t="array" ref="AA1383">INDEX(Innings!I:I,MATCH(1,(TRIM(Innings!A:A)=TRIM(A1383))*(TRIM(Innings!D:D)=TRIM(E1383)),0))</f>
        <v>8.5</v>
      </c>
      <c r="AB1383" cm="1">
        <f t="array" ref="AB1383">INDEX(Innings!J:J,MATCH(1,(TRIM(Innings!A:A)=TRIM(A1383))*(TRIM(Innings!D:D)=TRIM(E1383)),0))</f>
        <v>40</v>
      </c>
      <c r="AC1383" cm="1">
        <f t="array" ref="AC1383">INDEX(Innings!N:N,MATCH(1,(TRIM(Innings!A:A)=TRIM(A1383))*(TRIM(Innings!D:D)=TRIM(E1383)),0))</f>
        <v>45</v>
      </c>
      <c r="AD1383" cm="1">
        <f t="array" ref="AD1383">INDEX(Innings!S:S,MATCH(1,(TRIM(Innings!A:A)=TRIM(A1383))*(TRIM(Innings!D:D)=TRIM(E1383)),0))</f>
        <v>46</v>
      </c>
      <c r="AE1383" t="str" cm="1">
        <f t="array" ref="AE1383">INDEX(Innings!W:W,MATCH(1,(TRIM(Innings!A:A)=TRIM(A1383))*(TRIM(Innings!D:D)=TRIM(E1383)),0))</f>
        <v>Failed</v>
      </c>
      <c r="AF1383">
        <f>IF(UPPER(TRIM(E1383))=UPPER(TRIM(W1383)),1,0)</f>
        <v>0</v>
      </c>
      <c r="AG1383">
        <f t="shared" si="42"/>
        <v>10.6</v>
      </c>
    </row>
    <row r="1384" spans="1:33" x14ac:dyDescent="0.3">
      <c r="A1384" t="s">
        <v>480</v>
      </c>
      <c r="B1384">
        <v>3</v>
      </c>
      <c r="C1384" t="s">
        <v>105</v>
      </c>
      <c r="D1384" t="s">
        <v>128</v>
      </c>
      <c r="E1384" t="s">
        <v>258</v>
      </c>
      <c r="F1384" t="s">
        <v>101</v>
      </c>
      <c r="G1384" t="s">
        <v>134</v>
      </c>
      <c r="H1384">
        <v>10</v>
      </c>
      <c r="I1384">
        <v>6</v>
      </c>
      <c r="J1384">
        <v>166.67</v>
      </c>
      <c r="K1384" t="s">
        <v>256</v>
      </c>
      <c r="L1384">
        <v>15</v>
      </c>
      <c r="M1384">
        <v>4</v>
      </c>
      <c r="N1384">
        <v>0</v>
      </c>
      <c r="O1384">
        <v>41</v>
      </c>
      <c r="P1384">
        <v>1</v>
      </c>
      <c r="Q1384">
        <v>10.199999999999999</v>
      </c>
      <c r="R1384">
        <v>25</v>
      </c>
      <c r="S1384">
        <v>0</v>
      </c>
      <c r="T1384">
        <v>0</v>
      </c>
      <c r="U1384" s="8">
        <v>40</v>
      </c>
      <c r="V1384" s="8">
        <f t="shared" si="43"/>
        <v>4</v>
      </c>
      <c r="W1384" t="str">
        <f>_xlfn.XLOOKUP(A1384, Matches!A:A, Matches!L:L, "NA", 0)</f>
        <v>MIW</v>
      </c>
      <c r="X1384" t="str">
        <f>_xlfn.XLOOKUP(A1384, Matches!A:A, Matches!J:J, "NA", 0)</f>
        <v>GGTW</v>
      </c>
      <c r="Y1384" t="str">
        <f>_xlfn.XLOOKUP(A1384, Matches!A:A, Matches!F:F, "NA", 0)</f>
        <v>Brabourne Stadium</v>
      </c>
      <c r="Z1384" cm="1">
        <f t="array" ref="Z1384">INDEX(Innings!F:F,MATCH(1,(TRIM(Innings!A:A)=TRIM(A1384))*(TRIM(Innings!D:D)=TRIM(E1384)),0))</f>
        <v>170</v>
      </c>
      <c r="AA1384" cm="1">
        <f t="array" ref="AA1384">INDEX(Innings!I:I,MATCH(1,(TRIM(Innings!A:A)=TRIM(A1384))*(TRIM(Innings!D:D)=TRIM(E1384)),0))</f>
        <v>8.5</v>
      </c>
      <c r="AB1384" cm="1">
        <f t="array" ref="AB1384">INDEX(Innings!J:J,MATCH(1,(TRIM(Innings!A:A)=TRIM(A1384))*(TRIM(Innings!D:D)=TRIM(E1384)),0))</f>
        <v>40</v>
      </c>
      <c r="AC1384" cm="1">
        <f t="array" ref="AC1384">INDEX(Innings!N:N,MATCH(1,(TRIM(Innings!A:A)=TRIM(A1384))*(TRIM(Innings!D:D)=TRIM(E1384)),0))</f>
        <v>45</v>
      </c>
      <c r="AD1384" cm="1">
        <f t="array" ref="AD1384">INDEX(Innings!S:S,MATCH(1,(TRIM(Innings!A:A)=TRIM(A1384))*(TRIM(Innings!D:D)=TRIM(E1384)),0))</f>
        <v>46</v>
      </c>
      <c r="AE1384" t="str" cm="1">
        <f t="array" ref="AE1384">INDEX(Innings!W:W,MATCH(1,(TRIM(Innings!A:A)=TRIM(A1384))*(TRIM(Innings!D:D)=TRIM(E1384)),0))</f>
        <v>Failed</v>
      </c>
      <c r="AF1384">
        <f>IF(UPPER(TRIM(E1384))=UPPER(TRIM(W1384)),1,0)</f>
        <v>0</v>
      </c>
      <c r="AG1384">
        <f t="shared" si="42"/>
        <v>21.2</v>
      </c>
    </row>
    <row r="1385" spans="1:33" x14ac:dyDescent="0.3">
      <c r="A1385" t="s">
        <v>480</v>
      </c>
      <c r="B1385">
        <v>3</v>
      </c>
      <c r="C1385" t="s">
        <v>389</v>
      </c>
      <c r="D1385" t="s">
        <v>390</v>
      </c>
      <c r="E1385" t="s">
        <v>258</v>
      </c>
      <c r="F1385" t="s">
        <v>101</v>
      </c>
      <c r="G1385" t="s">
        <v>134</v>
      </c>
      <c r="H1385">
        <v>1</v>
      </c>
      <c r="I1385">
        <v>1</v>
      </c>
      <c r="J1385">
        <v>100</v>
      </c>
      <c r="K1385" t="s">
        <v>96</v>
      </c>
      <c r="L1385">
        <v>2</v>
      </c>
      <c r="M1385">
        <v>1</v>
      </c>
      <c r="N1385">
        <v>0</v>
      </c>
      <c r="O1385">
        <v>12</v>
      </c>
      <c r="P1385">
        <v>0</v>
      </c>
      <c r="Q1385">
        <v>12</v>
      </c>
      <c r="R1385">
        <v>0</v>
      </c>
      <c r="S1385">
        <v>0</v>
      </c>
      <c r="T1385">
        <v>0</v>
      </c>
      <c r="U1385" s="8">
        <v>2</v>
      </c>
      <c r="V1385" s="8">
        <f t="shared" si="43"/>
        <v>0</v>
      </c>
      <c r="W1385" t="str">
        <f>_xlfn.XLOOKUP(A1385, Matches!A:A, Matches!L:L, "NA", 0)</f>
        <v>MIW</v>
      </c>
      <c r="X1385" t="str">
        <f>_xlfn.XLOOKUP(A1385, Matches!A:A, Matches!J:J, "NA", 0)</f>
        <v>GGTW</v>
      </c>
      <c r="Y1385" t="str">
        <f>_xlfn.XLOOKUP(A1385, Matches!A:A, Matches!F:F, "NA", 0)</f>
        <v>Brabourne Stadium</v>
      </c>
      <c r="Z1385" cm="1">
        <f t="array" ref="Z1385">INDEX(Innings!F:F,MATCH(1,(TRIM(Innings!A:A)=TRIM(A1385))*(TRIM(Innings!D:D)=TRIM(E1385)),0))</f>
        <v>170</v>
      </c>
      <c r="AA1385" cm="1">
        <f t="array" ref="AA1385">INDEX(Innings!I:I,MATCH(1,(TRIM(Innings!A:A)=TRIM(A1385))*(TRIM(Innings!D:D)=TRIM(E1385)),0))</f>
        <v>8.5</v>
      </c>
      <c r="AB1385" cm="1">
        <f t="array" ref="AB1385">INDEX(Innings!J:J,MATCH(1,(TRIM(Innings!A:A)=TRIM(A1385))*(TRIM(Innings!D:D)=TRIM(E1385)),0))</f>
        <v>40</v>
      </c>
      <c r="AC1385" cm="1">
        <f t="array" ref="AC1385">INDEX(Innings!N:N,MATCH(1,(TRIM(Innings!A:A)=TRIM(A1385))*(TRIM(Innings!D:D)=TRIM(E1385)),0))</f>
        <v>45</v>
      </c>
      <c r="AD1385" cm="1">
        <f t="array" ref="AD1385">INDEX(Innings!S:S,MATCH(1,(TRIM(Innings!A:A)=TRIM(A1385))*(TRIM(Innings!D:D)=TRIM(E1385)),0))</f>
        <v>46</v>
      </c>
      <c r="AE1385" t="str" cm="1">
        <f t="array" ref="AE1385">INDEX(Innings!W:W,MATCH(1,(TRIM(Innings!A:A)=TRIM(A1385))*(TRIM(Innings!D:D)=TRIM(E1385)),0))</f>
        <v>Failed</v>
      </c>
      <c r="AF1385">
        <f>IF(UPPER(TRIM(E1385))=UPPER(TRIM(W1385)),1,0)</f>
        <v>0</v>
      </c>
      <c r="AG1385">
        <f t="shared" si="42"/>
        <v>1</v>
      </c>
    </row>
    <row r="1386" spans="1:33" x14ac:dyDescent="0.3">
      <c r="A1386" t="s">
        <v>480</v>
      </c>
      <c r="B1386">
        <v>3</v>
      </c>
      <c r="C1386" t="s">
        <v>494</v>
      </c>
      <c r="D1386" t="s">
        <v>501</v>
      </c>
      <c r="E1386" t="s">
        <v>258</v>
      </c>
      <c r="F1386" t="s">
        <v>101</v>
      </c>
      <c r="G1386" t="s">
        <v>134</v>
      </c>
      <c r="H1386">
        <v>1</v>
      </c>
      <c r="I1386">
        <v>3</v>
      </c>
      <c r="J1386">
        <v>33.33</v>
      </c>
      <c r="K1386" t="s">
        <v>248</v>
      </c>
      <c r="L1386">
        <v>1</v>
      </c>
      <c r="M1386">
        <v>3</v>
      </c>
      <c r="N1386">
        <v>0</v>
      </c>
      <c r="O1386">
        <v>23</v>
      </c>
      <c r="P1386">
        <v>1</v>
      </c>
      <c r="Q1386">
        <v>7.7</v>
      </c>
      <c r="R1386">
        <v>25</v>
      </c>
      <c r="S1386">
        <v>0</v>
      </c>
      <c r="T1386">
        <v>0</v>
      </c>
      <c r="U1386" s="8">
        <v>26</v>
      </c>
      <c r="V1386" s="8">
        <f t="shared" si="43"/>
        <v>3</v>
      </c>
      <c r="W1386" t="str">
        <f>_xlfn.XLOOKUP(A1386, Matches!A:A, Matches!L:L, "NA", 0)</f>
        <v>MIW</v>
      </c>
      <c r="X1386" t="str">
        <f>_xlfn.XLOOKUP(A1386, Matches!A:A, Matches!J:J, "NA", 0)</f>
        <v>GGTW</v>
      </c>
      <c r="Y1386" t="str">
        <f>_xlfn.XLOOKUP(A1386, Matches!A:A, Matches!F:F, "NA", 0)</f>
        <v>Brabourne Stadium</v>
      </c>
      <c r="Z1386" cm="1">
        <f t="array" ref="Z1386">INDEX(Innings!F:F,MATCH(1,(TRIM(Innings!A:A)=TRIM(A1386))*(TRIM(Innings!D:D)=TRIM(E1386)),0))</f>
        <v>170</v>
      </c>
      <c r="AA1386" cm="1">
        <f t="array" ref="AA1386">INDEX(Innings!I:I,MATCH(1,(TRIM(Innings!A:A)=TRIM(A1386))*(TRIM(Innings!D:D)=TRIM(E1386)),0))</f>
        <v>8.5</v>
      </c>
      <c r="AB1386" cm="1">
        <f t="array" ref="AB1386">INDEX(Innings!J:J,MATCH(1,(TRIM(Innings!A:A)=TRIM(A1386))*(TRIM(Innings!D:D)=TRIM(E1386)),0))</f>
        <v>40</v>
      </c>
      <c r="AC1386" cm="1">
        <f t="array" ref="AC1386">INDEX(Innings!N:N,MATCH(1,(TRIM(Innings!A:A)=TRIM(A1386))*(TRIM(Innings!D:D)=TRIM(E1386)),0))</f>
        <v>45</v>
      </c>
      <c r="AD1386" cm="1">
        <f t="array" ref="AD1386">INDEX(Innings!S:S,MATCH(1,(TRIM(Innings!A:A)=TRIM(A1386))*(TRIM(Innings!D:D)=TRIM(E1386)),0))</f>
        <v>46</v>
      </c>
      <c r="AE1386" t="str" cm="1">
        <f t="array" ref="AE1386">INDEX(Innings!W:W,MATCH(1,(TRIM(Innings!A:A)=TRIM(A1386))*(TRIM(Innings!D:D)=TRIM(E1386)),0))</f>
        <v>Failed</v>
      </c>
      <c r="AF1386">
        <f>IF(UPPER(TRIM(E1386))=UPPER(TRIM(W1386)),1,0)</f>
        <v>0</v>
      </c>
      <c r="AG1386">
        <f t="shared" si="42"/>
        <v>13.9</v>
      </c>
    </row>
    <row r="1387" spans="1:33" x14ac:dyDescent="0.3">
      <c r="A1387" t="s">
        <v>481</v>
      </c>
      <c r="B1387">
        <v>3</v>
      </c>
      <c r="C1387" t="s">
        <v>87</v>
      </c>
      <c r="D1387" t="s">
        <v>82</v>
      </c>
      <c r="E1387" t="s">
        <v>159</v>
      </c>
      <c r="F1387" t="s">
        <v>109</v>
      </c>
      <c r="G1387" t="s">
        <v>86</v>
      </c>
      <c r="H1387">
        <v>26</v>
      </c>
      <c r="I1387">
        <v>13</v>
      </c>
      <c r="J1387">
        <v>200</v>
      </c>
      <c r="K1387" t="s">
        <v>246</v>
      </c>
      <c r="L1387">
        <v>40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 s="8">
        <v>40</v>
      </c>
      <c r="V1387" s="8">
        <f t="shared" si="43"/>
        <v>4</v>
      </c>
      <c r="W1387" t="str">
        <f>_xlfn.XLOOKUP(A1387, Matches!A:A, Matches!L:L, "NA", 0)</f>
        <v>RCBW</v>
      </c>
      <c r="X1387" t="str">
        <f>_xlfn.XLOOKUP(A1387, Matches!A:A, Matches!J:J, "NA", 0)</f>
        <v>MIW</v>
      </c>
      <c r="Y1387" t="str">
        <f>_xlfn.XLOOKUP(A1387, Matches!A:A, Matches!F:F, "NA", 0)</f>
        <v>Brabourne Stadium</v>
      </c>
      <c r="Z1387" cm="1">
        <f t="array" ref="Z1387">INDEX(Innings!F:F,MATCH(1,(TRIM(Innings!A:A)=TRIM(A1387))*(TRIM(Innings!D:D)=TRIM(E1387)),0))</f>
        <v>199</v>
      </c>
      <c r="AA1387" cm="1">
        <f t="array" ref="AA1387">INDEX(Innings!I:I,MATCH(1,(TRIM(Innings!A:A)=TRIM(A1387))*(TRIM(Innings!D:D)=TRIM(E1387)),0))</f>
        <v>9.9499999999999993</v>
      </c>
      <c r="AB1387" cm="1">
        <f t="array" ref="AB1387">INDEX(Innings!J:J,MATCH(1,(TRIM(Innings!A:A)=TRIM(A1387))*(TRIM(Innings!D:D)=TRIM(E1387)),0))</f>
        <v>53</v>
      </c>
      <c r="AC1387" cm="1">
        <f t="array" ref="AC1387">INDEX(Innings!N:N,MATCH(1,(TRIM(Innings!A:A)=TRIM(A1387))*(TRIM(Innings!D:D)=TRIM(E1387)),0))</f>
        <v>65</v>
      </c>
      <c r="AD1387" cm="1">
        <f t="array" ref="AD1387">INDEX(Innings!S:S,MATCH(1,(TRIM(Innings!A:A)=TRIM(A1387))*(TRIM(Innings!D:D)=TRIM(E1387)),0))</f>
        <v>38</v>
      </c>
      <c r="AE1387" t="str" cm="1">
        <f t="array" ref="AE1387">INDEX(Innings!W:W,MATCH(1,(TRIM(Innings!A:A)=TRIM(A1387))*(TRIM(Innings!D:D)=TRIM(E1387)),0))</f>
        <v>NA</v>
      </c>
      <c r="AF1387">
        <f>IF(UPPER(TRIM(E1387))=UPPER(TRIM(W1387)),1,0)</f>
        <v>1</v>
      </c>
      <c r="AG1387">
        <f t="shared" si="42"/>
        <v>41.2</v>
      </c>
    </row>
    <row r="1388" spans="1:33" x14ac:dyDescent="0.3">
      <c r="A1388" t="s">
        <v>481</v>
      </c>
      <c r="B1388">
        <v>3</v>
      </c>
      <c r="C1388" t="s">
        <v>165</v>
      </c>
      <c r="D1388" t="s">
        <v>166</v>
      </c>
      <c r="E1388" t="s">
        <v>159</v>
      </c>
      <c r="F1388" t="s">
        <v>109</v>
      </c>
      <c r="G1388" t="s">
        <v>86</v>
      </c>
      <c r="H1388">
        <v>53</v>
      </c>
      <c r="I1388">
        <v>37</v>
      </c>
      <c r="J1388">
        <v>143.24</v>
      </c>
      <c r="K1388" t="s">
        <v>246</v>
      </c>
      <c r="L1388">
        <v>65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 s="8">
        <v>65</v>
      </c>
      <c r="V1388" s="8">
        <f t="shared" si="43"/>
        <v>7</v>
      </c>
      <c r="W1388" t="str">
        <f>_xlfn.XLOOKUP(A1388, Matches!A:A, Matches!L:L, "NA", 0)</f>
        <v>RCBW</v>
      </c>
      <c r="X1388" t="str">
        <f>_xlfn.XLOOKUP(A1388, Matches!A:A, Matches!J:J, "NA", 0)</f>
        <v>MIW</v>
      </c>
      <c r="Y1388" t="str">
        <f>_xlfn.XLOOKUP(A1388, Matches!A:A, Matches!F:F, "NA", 0)</f>
        <v>Brabourne Stadium</v>
      </c>
      <c r="Z1388" cm="1">
        <f t="array" ref="Z1388">INDEX(Innings!F:F,MATCH(1,(TRIM(Innings!A:A)=TRIM(A1388))*(TRIM(Innings!D:D)=TRIM(E1388)),0))</f>
        <v>199</v>
      </c>
      <c r="AA1388" cm="1">
        <f t="array" ref="AA1388">INDEX(Innings!I:I,MATCH(1,(TRIM(Innings!A:A)=TRIM(A1388))*(TRIM(Innings!D:D)=TRIM(E1388)),0))</f>
        <v>9.9499999999999993</v>
      </c>
      <c r="AB1388" cm="1">
        <f t="array" ref="AB1388">INDEX(Innings!J:J,MATCH(1,(TRIM(Innings!A:A)=TRIM(A1388))*(TRIM(Innings!D:D)=TRIM(E1388)),0))</f>
        <v>53</v>
      </c>
      <c r="AC1388" cm="1">
        <f t="array" ref="AC1388">INDEX(Innings!N:N,MATCH(1,(TRIM(Innings!A:A)=TRIM(A1388))*(TRIM(Innings!D:D)=TRIM(E1388)),0))</f>
        <v>65</v>
      </c>
      <c r="AD1388" cm="1">
        <f t="array" ref="AD1388">INDEX(Innings!S:S,MATCH(1,(TRIM(Innings!A:A)=TRIM(A1388))*(TRIM(Innings!D:D)=TRIM(E1388)),0))</f>
        <v>38</v>
      </c>
      <c r="AE1388" t="str" cm="1">
        <f t="array" ref="AE1388">INDEX(Innings!W:W,MATCH(1,(TRIM(Innings!A:A)=TRIM(A1388))*(TRIM(Innings!D:D)=TRIM(E1388)),0))</f>
        <v>NA</v>
      </c>
      <c r="AF1388">
        <f>IF(UPPER(TRIM(E1388))=UPPER(TRIM(W1388)),1,0)</f>
        <v>1</v>
      </c>
      <c r="AG1388">
        <f t="shared" si="42"/>
        <v>54.6</v>
      </c>
    </row>
    <row r="1389" spans="1:33" x14ac:dyDescent="0.3">
      <c r="A1389" t="s">
        <v>481</v>
      </c>
      <c r="B1389">
        <v>3</v>
      </c>
      <c r="C1389" t="s">
        <v>174</v>
      </c>
      <c r="D1389" t="s">
        <v>175</v>
      </c>
      <c r="E1389" t="s">
        <v>159</v>
      </c>
      <c r="F1389" t="s">
        <v>169</v>
      </c>
      <c r="G1389" t="s">
        <v>92</v>
      </c>
      <c r="H1389">
        <v>49</v>
      </c>
      <c r="I1389">
        <v>38</v>
      </c>
      <c r="J1389">
        <v>128.94999999999999</v>
      </c>
      <c r="K1389" t="s">
        <v>96</v>
      </c>
      <c r="L1389">
        <v>60</v>
      </c>
      <c r="M1389">
        <v>4</v>
      </c>
      <c r="N1389">
        <v>0</v>
      </c>
      <c r="O1389">
        <v>53</v>
      </c>
      <c r="P1389">
        <v>2</v>
      </c>
      <c r="Q1389">
        <v>13.2</v>
      </c>
      <c r="R1389">
        <v>50</v>
      </c>
      <c r="S1389">
        <v>0</v>
      </c>
      <c r="T1389">
        <v>0</v>
      </c>
      <c r="U1389" s="8">
        <v>110</v>
      </c>
      <c r="V1389" s="8">
        <f t="shared" si="43"/>
        <v>10</v>
      </c>
      <c r="W1389" t="str">
        <f>_xlfn.XLOOKUP(A1389, Matches!A:A, Matches!L:L, "NA", 0)</f>
        <v>RCBW</v>
      </c>
      <c r="X1389" t="str">
        <f>_xlfn.XLOOKUP(A1389, Matches!A:A, Matches!J:J, "NA", 0)</f>
        <v>MIW</v>
      </c>
      <c r="Y1389" t="str">
        <f>_xlfn.XLOOKUP(A1389, Matches!A:A, Matches!F:F, "NA", 0)</f>
        <v>Brabourne Stadium</v>
      </c>
      <c r="Z1389" cm="1">
        <f t="array" ref="Z1389">INDEX(Innings!F:F,MATCH(1,(TRIM(Innings!A:A)=TRIM(A1389))*(TRIM(Innings!D:D)=TRIM(E1389)),0))</f>
        <v>199</v>
      </c>
      <c r="AA1389" cm="1">
        <f t="array" ref="AA1389">INDEX(Innings!I:I,MATCH(1,(TRIM(Innings!A:A)=TRIM(A1389))*(TRIM(Innings!D:D)=TRIM(E1389)),0))</f>
        <v>9.9499999999999993</v>
      </c>
      <c r="AB1389" cm="1">
        <f t="array" ref="AB1389">INDEX(Innings!J:J,MATCH(1,(TRIM(Innings!A:A)=TRIM(A1389))*(TRIM(Innings!D:D)=TRIM(E1389)),0))</f>
        <v>53</v>
      </c>
      <c r="AC1389" cm="1">
        <f t="array" ref="AC1389">INDEX(Innings!N:N,MATCH(1,(TRIM(Innings!A:A)=TRIM(A1389))*(TRIM(Innings!D:D)=TRIM(E1389)),0))</f>
        <v>65</v>
      </c>
      <c r="AD1389" cm="1">
        <f t="array" ref="AD1389">INDEX(Innings!S:S,MATCH(1,(TRIM(Innings!A:A)=TRIM(A1389))*(TRIM(Innings!D:D)=TRIM(E1389)),0))</f>
        <v>38</v>
      </c>
      <c r="AE1389" t="str" cm="1">
        <f t="array" ref="AE1389">INDEX(Innings!W:W,MATCH(1,(TRIM(Innings!A:A)=TRIM(A1389))*(TRIM(Innings!D:D)=TRIM(E1389)),0))</f>
        <v>NA</v>
      </c>
      <c r="AF1389">
        <f>IF(UPPER(TRIM(E1389))=UPPER(TRIM(W1389)),1,0)</f>
        <v>1</v>
      </c>
      <c r="AG1389">
        <f t="shared" si="42"/>
        <v>78</v>
      </c>
    </row>
    <row r="1390" spans="1:33" x14ac:dyDescent="0.3">
      <c r="A1390" t="s">
        <v>481</v>
      </c>
      <c r="B1390">
        <v>3</v>
      </c>
      <c r="C1390" t="s">
        <v>176</v>
      </c>
      <c r="D1390" t="s">
        <v>177</v>
      </c>
      <c r="E1390" t="s">
        <v>159</v>
      </c>
      <c r="F1390" t="s">
        <v>85</v>
      </c>
      <c r="G1390" t="s">
        <v>134</v>
      </c>
      <c r="H1390">
        <v>36</v>
      </c>
      <c r="I1390">
        <v>22</v>
      </c>
      <c r="J1390">
        <v>163.63999999999999</v>
      </c>
      <c r="K1390" t="s">
        <v>246</v>
      </c>
      <c r="L1390">
        <v>50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 s="8">
        <v>50</v>
      </c>
      <c r="V1390" s="8">
        <f t="shared" si="43"/>
        <v>5</v>
      </c>
      <c r="W1390" t="str">
        <f>_xlfn.XLOOKUP(A1390, Matches!A:A, Matches!L:L, "NA", 0)</f>
        <v>RCBW</v>
      </c>
      <c r="X1390" t="str">
        <f>_xlfn.XLOOKUP(A1390, Matches!A:A, Matches!J:J, "NA", 0)</f>
        <v>MIW</v>
      </c>
      <c r="Y1390" t="str">
        <f>_xlfn.XLOOKUP(A1390, Matches!A:A, Matches!F:F, "NA", 0)</f>
        <v>Brabourne Stadium</v>
      </c>
      <c r="Z1390" cm="1">
        <f t="array" ref="Z1390">INDEX(Innings!F:F,MATCH(1,(TRIM(Innings!A:A)=TRIM(A1390))*(TRIM(Innings!D:D)=TRIM(E1390)),0))</f>
        <v>199</v>
      </c>
      <c r="AA1390" cm="1">
        <f t="array" ref="AA1390">INDEX(Innings!I:I,MATCH(1,(TRIM(Innings!A:A)=TRIM(A1390))*(TRIM(Innings!D:D)=TRIM(E1390)),0))</f>
        <v>9.9499999999999993</v>
      </c>
      <c r="AB1390" cm="1">
        <f t="array" ref="AB1390">INDEX(Innings!J:J,MATCH(1,(TRIM(Innings!A:A)=TRIM(A1390))*(TRIM(Innings!D:D)=TRIM(E1390)),0))</f>
        <v>53</v>
      </c>
      <c r="AC1390" cm="1">
        <f t="array" ref="AC1390">INDEX(Innings!N:N,MATCH(1,(TRIM(Innings!A:A)=TRIM(A1390))*(TRIM(Innings!D:D)=TRIM(E1390)),0))</f>
        <v>65</v>
      </c>
      <c r="AD1390" cm="1">
        <f t="array" ref="AD1390">INDEX(Innings!S:S,MATCH(1,(TRIM(Innings!A:A)=TRIM(A1390))*(TRIM(Innings!D:D)=TRIM(E1390)),0))</f>
        <v>38</v>
      </c>
      <c r="AE1390" t="str" cm="1">
        <f t="array" ref="AE1390">INDEX(Innings!W:W,MATCH(1,(TRIM(Innings!A:A)=TRIM(A1390))*(TRIM(Innings!D:D)=TRIM(E1390)),0))</f>
        <v>NA</v>
      </c>
      <c r="AF1390">
        <f>IF(UPPER(TRIM(E1390))=UPPER(TRIM(W1390)),1,0)</f>
        <v>1</v>
      </c>
      <c r="AG1390">
        <f t="shared" si="42"/>
        <v>46.5</v>
      </c>
    </row>
    <row r="1391" spans="1:33" x14ac:dyDescent="0.3">
      <c r="A1391" t="s">
        <v>481</v>
      </c>
      <c r="B1391">
        <v>3</v>
      </c>
      <c r="C1391" t="s">
        <v>99</v>
      </c>
      <c r="D1391" t="s">
        <v>124</v>
      </c>
      <c r="E1391" t="s">
        <v>159</v>
      </c>
      <c r="F1391" t="s">
        <v>169</v>
      </c>
      <c r="G1391" t="s">
        <v>134</v>
      </c>
      <c r="H1391">
        <v>31</v>
      </c>
      <c r="I1391">
        <v>10</v>
      </c>
      <c r="J1391">
        <v>310</v>
      </c>
      <c r="K1391" t="s">
        <v>96</v>
      </c>
      <c r="L1391">
        <v>55</v>
      </c>
      <c r="M1391">
        <v>4</v>
      </c>
      <c r="N1391">
        <v>0</v>
      </c>
      <c r="O1391">
        <v>29</v>
      </c>
      <c r="P1391">
        <v>1</v>
      </c>
      <c r="Q1391">
        <v>7.2</v>
      </c>
      <c r="R1391">
        <v>30</v>
      </c>
      <c r="S1391">
        <v>0</v>
      </c>
      <c r="T1391">
        <v>0</v>
      </c>
      <c r="U1391" s="8">
        <v>85</v>
      </c>
      <c r="V1391" s="8">
        <f t="shared" si="43"/>
        <v>9</v>
      </c>
      <c r="W1391" t="str">
        <f>_xlfn.XLOOKUP(A1391, Matches!A:A, Matches!L:L, "NA", 0)</f>
        <v>RCBW</v>
      </c>
      <c r="X1391" t="str">
        <f>_xlfn.XLOOKUP(A1391, Matches!A:A, Matches!J:J, "NA", 0)</f>
        <v>MIW</v>
      </c>
      <c r="Y1391" t="str">
        <f>_xlfn.XLOOKUP(A1391, Matches!A:A, Matches!F:F, "NA", 0)</f>
        <v>Brabourne Stadium</v>
      </c>
      <c r="Z1391" cm="1">
        <f t="array" ref="Z1391">INDEX(Innings!F:F,MATCH(1,(TRIM(Innings!A:A)=TRIM(A1391))*(TRIM(Innings!D:D)=TRIM(E1391)),0))</f>
        <v>199</v>
      </c>
      <c r="AA1391" cm="1">
        <f t="array" ref="AA1391">INDEX(Innings!I:I,MATCH(1,(TRIM(Innings!A:A)=TRIM(A1391))*(TRIM(Innings!D:D)=TRIM(E1391)),0))</f>
        <v>9.9499999999999993</v>
      </c>
      <c r="AB1391" cm="1">
        <f t="array" ref="AB1391">INDEX(Innings!J:J,MATCH(1,(TRIM(Innings!A:A)=TRIM(A1391))*(TRIM(Innings!D:D)=TRIM(E1391)),0))</f>
        <v>53</v>
      </c>
      <c r="AC1391" cm="1">
        <f t="array" ref="AC1391">INDEX(Innings!N:N,MATCH(1,(TRIM(Innings!A:A)=TRIM(A1391))*(TRIM(Innings!D:D)=TRIM(E1391)),0))</f>
        <v>65</v>
      </c>
      <c r="AD1391" cm="1">
        <f t="array" ref="AD1391">INDEX(Innings!S:S,MATCH(1,(TRIM(Innings!A:A)=TRIM(A1391))*(TRIM(Innings!D:D)=TRIM(E1391)),0))</f>
        <v>38</v>
      </c>
      <c r="AE1391" t="str" cm="1">
        <f t="array" ref="AE1391">INDEX(Innings!W:W,MATCH(1,(TRIM(Innings!A:A)=TRIM(A1391))*(TRIM(Innings!D:D)=TRIM(E1391)),0))</f>
        <v>NA</v>
      </c>
      <c r="AF1391">
        <f>IF(UPPER(TRIM(E1391))=UPPER(TRIM(W1391)),1,0)</f>
        <v>1</v>
      </c>
      <c r="AG1391">
        <f t="shared" si="42"/>
        <v>65.2</v>
      </c>
    </row>
    <row r="1392" spans="1:33" x14ac:dyDescent="0.3">
      <c r="A1392" t="s">
        <v>481</v>
      </c>
      <c r="B1392">
        <v>3</v>
      </c>
      <c r="C1392" t="s">
        <v>178</v>
      </c>
      <c r="D1392" t="s">
        <v>179</v>
      </c>
      <c r="E1392" t="s">
        <v>159</v>
      </c>
      <c r="F1392" t="s">
        <v>169</v>
      </c>
      <c r="G1392" t="s">
        <v>104</v>
      </c>
      <c r="H1392">
        <v>0</v>
      </c>
      <c r="I1392">
        <v>0</v>
      </c>
      <c r="J1392">
        <v>0</v>
      </c>
      <c r="K1392" t="s">
        <v>104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 s="8">
        <v>0</v>
      </c>
      <c r="V1392" s="8">
        <f t="shared" si="43"/>
        <v>0</v>
      </c>
      <c r="W1392" t="str">
        <f>_xlfn.XLOOKUP(A1392, Matches!A:A, Matches!L:L, "NA", 0)</f>
        <v>RCBW</v>
      </c>
      <c r="X1392" t="str">
        <f>_xlfn.XLOOKUP(A1392, Matches!A:A, Matches!J:J, "NA", 0)</f>
        <v>MIW</v>
      </c>
      <c r="Y1392" t="str">
        <f>_xlfn.XLOOKUP(A1392, Matches!A:A, Matches!F:F, "NA", 0)</f>
        <v>Brabourne Stadium</v>
      </c>
      <c r="Z1392" cm="1">
        <f t="array" ref="Z1392">INDEX(Innings!F:F,MATCH(1,(TRIM(Innings!A:A)=TRIM(A1392))*(TRIM(Innings!D:D)=TRIM(E1392)),0))</f>
        <v>199</v>
      </c>
      <c r="AA1392" cm="1">
        <f t="array" ref="AA1392">INDEX(Innings!I:I,MATCH(1,(TRIM(Innings!A:A)=TRIM(A1392))*(TRIM(Innings!D:D)=TRIM(E1392)),0))</f>
        <v>9.9499999999999993</v>
      </c>
      <c r="AB1392" cm="1">
        <f t="array" ref="AB1392">INDEX(Innings!J:J,MATCH(1,(TRIM(Innings!A:A)=TRIM(A1392))*(TRIM(Innings!D:D)=TRIM(E1392)),0))</f>
        <v>53</v>
      </c>
      <c r="AC1392" cm="1">
        <f t="array" ref="AC1392">INDEX(Innings!N:N,MATCH(1,(TRIM(Innings!A:A)=TRIM(A1392))*(TRIM(Innings!D:D)=TRIM(E1392)),0))</f>
        <v>65</v>
      </c>
      <c r="AD1392" cm="1">
        <f t="array" ref="AD1392">INDEX(Innings!S:S,MATCH(1,(TRIM(Innings!A:A)=TRIM(A1392))*(TRIM(Innings!D:D)=TRIM(E1392)),0))</f>
        <v>38</v>
      </c>
      <c r="AE1392" t="str" cm="1">
        <f t="array" ref="AE1392">INDEX(Innings!W:W,MATCH(1,(TRIM(Innings!A:A)=TRIM(A1392))*(TRIM(Innings!D:D)=TRIM(E1392)),0))</f>
        <v>NA</v>
      </c>
      <c r="AF1392">
        <f>IF(UPPER(TRIM(E1392))=UPPER(TRIM(W1392)),1,0)</f>
        <v>1</v>
      </c>
      <c r="AG1392">
        <f t="shared" si="42"/>
        <v>20</v>
      </c>
    </row>
    <row r="1393" spans="1:33" x14ac:dyDescent="0.3">
      <c r="A1393" t="s">
        <v>481</v>
      </c>
      <c r="B1393">
        <v>3</v>
      </c>
      <c r="C1393" t="s">
        <v>516</v>
      </c>
      <c r="D1393" t="s">
        <v>596</v>
      </c>
      <c r="E1393" t="s">
        <v>159</v>
      </c>
      <c r="F1393" t="s">
        <v>169</v>
      </c>
      <c r="G1393" t="s">
        <v>104</v>
      </c>
      <c r="H1393">
        <v>0</v>
      </c>
      <c r="I1393">
        <v>0</v>
      </c>
      <c r="J1393">
        <v>0</v>
      </c>
      <c r="K1393" t="s">
        <v>104</v>
      </c>
      <c r="L1393">
        <v>0</v>
      </c>
      <c r="M1393">
        <v>4</v>
      </c>
      <c r="N1393">
        <v>0</v>
      </c>
      <c r="O1393">
        <v>47</v>
      </c>
      <c r="P1393">
        <v>1</v>
      </c>
      <c r="Q1393">
        <v>11.8</v>
      </c>
      <c r="R1393">
        <v>25</v>
      </c>
      <c r="S1393">
        <v>0</v>
      </c>
      <c r="T1393">
        <v>0</v>
      </c>
      <c r="U1393" s="8">
        <v>25</v>
      </c>
      <c r="V1393" s="8">
        <f t="shared" si="43"/>
        <v>3</v>
      </c>
      <c r="W1393" t="str">
        <f>_xlfn.XLOOKUP(A1393, Matches!A:A, Matches!L:L, "NA", 0)</f>
        <v>RCBW</v>
      </c>
      <c r="X1393" t="str">
        <f>_xlfn.XLOOKUP(A1393, Matches!A:A, Matches!J:J, "NA", 0)</f>
        <v>MIW</v>
      </c>
      <c r="Y1393" t="str">
        <f>_xlfn.XLOOKUP(A1393, Matches!A:A, Matches!F:F, "NA", 0)</f>
        <v>Brabourne Stadium</v>
      </c>
      <c r="Z1393" cm="1">
        <f t="array" ref="Z1393">INDEX(Innings!F:F,MATCH(1,(TRIM(Innings!A:A)=TRIM(A1393))*(TRIM(Innings!D:D)=TRIM(E1393)),0))</f>
        <v>199</v>
      </c>
      <c r="AA1393" cm="1">
        <f t="array" ref="AA1393">INDEX(Innings!I:I,MATCH(1,(TRIM(Innings!A:A)=TRIM(A1393))*(TRIM(Innings!D:D)=TRIM(E1393)),0))</f>
        <v>9.9499999999999993</v>
      </c>
      <c r="AB1393" cm="1">
        <f t="array" ref="AB1393">INDEX(Innings!J:J,MATCH(1,(TRIM(Innings!A:A)=TRIM(A1393))*(TRIM(Innings!D:D)=TRIM(E1393)),0))</f>
        <v>53</v>
      </c>
      <c r="AC1393" cm="1">
        <f t="array" ref="AC1393">INDEX(Innings!N:N,MATCH(1,(TRIM(Innings!A:A)=TRIM(A1393))*(TRIM(Innings!D:D)=TRIM(E1393)),0))</f>
        <v>65</v>
      </c>
      <c r="AD1393" cm="1">
        <f t="array" ref="AD1393">INDEX(Innings!S:S,MATCH(1,(TRIM(Innings!A:A)=TRIM(A1393))*(TRIM(Innings!D:D)=TRIM(E1393)),0))</f>
        <v>38</v>
      </c>
      <c r="AE1393" t="str" cm="1">
        <f t="array" ref="AE1393">INDEX(Innings!W:W,MATCH(1,(TRIM(Innings!A:A)=TRIM(A1393))*(TRIM(Innings!D:D)=TRIM(E1393)),0))</f>
        <v>NA</v>
      </c>
      <c r="AF1393">
        <f>IF(UPPER(TRIM(E1393))=UPPER(TRIM(W1393)),1,0)</f>
        <v>1</v>
      </c>
      <c r="AG1393">
        <f t="shared" si="42"/>
        <v>33.4</v>
      </c>
    </row>
    <row r="1394" spans="1:33" x14ac:dyDescent="0.3">
      <c r="A1394" t="s">
        <v>481</v>
      </c>
      <c r="B1394">
        <v>3</v>
      </c>
      <c r="C1394" t="s">
        <v>102</v>
      </c>
      <c r="D1394" t="s">
        <v>126</v>
      </c>
      <c r="E1394" t="s">
        <v>159</v>
      </c>
      <c r="F1394" t="s">
        <v>169</v>
      </c>
      <c r="G1394" t="s">
        <v>104</v>
      </c>
      <c r="H1394">
        <v>0</v>
      </c>
      <c r="I1394">
        <v>0</v>
      </c>
      <c r="J1394">
        <v>0</v>
      </c>
      <c r="K1394" t="s">
        <v>104</v>
      </c>
      <c r="L1394">
        <v>0</v>
      </c>
      <c r="M1394">
        <v>4</v>
      </c>
      <c r="N1394">
        <v>0</v>
      </c>
      <c r="O1394">
        <v>26</v>
      </c>
      <c r="P1394">
        <v>3</v>
      </c>
      <c r="Q1394">
        <v>6.5</v>
      </c>
      <c r="R1394">
        <v>75</v>
      </c>
      <c r="S1394">
        <v>0</v>
      </c>
      <c r="T1394">
        <v>0</v>
      </c>
      <c r="U1394" s="8">
        <v>75</v>
      </c>
      <c r="V1394" s="8">
        <f t="shared" si="43"/>
        <v>8</v>
      </c>
      <c r="W1394" t="str">
        <f>_xlfn.XLOOKUP(A1394, Matches!A:A, Matches!L:L, "NA", 0)</f>
        <v>RCBW</v>
      </c>
      <c r="X1394" t="str">
        <f>_xlfn.XLOOKUP(A1394, Matches!A:A, Matches!J:J, "NA", 0)</f>
        <v>MIW</v>
      </c>
      <c r="Y1394" t="str">
        <f>_xlfn.XLOOKUP(A1394, Matches!A:A, Matches!F:F, "NA", 0)</f>
        <v>Brabourne Stadium</v>
      </c>
      <c r="Z1394" cm="1">
        <f t="array" ref="Z1394">INDEX(Innings!F:F,MATCH(1,(TRIM(Innings!A:A)=TRIM(A1394))*(TRIM(Innings!D:D)=TRIM(E1394)),0))</f>
        <v>199</v>
      </c>
      <c r="AA1394" cm="1">
        <f t="array" ref="AA1394">INDEX(Innings!I:I,MATCH(1,(TRIM(Innings!A:A)=TRIM(A1394))*(TRIM(Innings!D:D)=TRIM(E1394)),0))</f>
        <v>9.9499999999999993</v>
      </c>
      <c r="AB1394" cm="1">
        <f t="array" ref="AB1394">INDEX(Innings!J:J,MATCH(1,(TRIM(Innings!A:A)=TRIM(A1394))*(TRIM(Innings!D:D)=TRIM(E1394)),0))</f>
        <v>53</v>
      </c>
      <c r="AC1394" cm="1">
        <f t="array" ref="AC1394">INDEX(Innings!N:N,MATCH(1,(TRIM(Innings!A:A)=TRIM(A1394))*(TRIM(Innings!D:D)=TRIM(E1394)),0))</f>
        <v>65</v>
      </c>
      <c r="AD1394" cm="1">
        <f t="array" ref="AD1394">INDEX(Innings!S:S,MATCH(1,(TRIM(Innings!A:A)=TRIM(A1394))*(TRIM(Innings!D:D)=TRIM(E1394)),0))</f>
        <v>38</v>
      </c>
      <c r="AE1394" t="str" cm="1">
        <f t="array" ref="AE1394">INDEX(Innings!W:W,MATCH(1,(TRIM(Innings!A:A)=TRIM(A1394))*(TRIM(Innings!D:D)=TRIM(E1394)),0))</f>
        <v>NA</v>
      </c>
      <c r="AF1394">
        <f>IF(UPPER(TRIM(E1394))=UPPER(TRIM(W1394)),1,0)</f>
        <v>1</v>
      </c>
      <c r="AG1394">
        <f t="shared" si="42"/>
        <v>59.9</v>
      </c>
    </row>
    <row r="1395" spans="1:33" x14ac:dyDescent="0.3">
      <c r="A1395" t="s">
        <v>481</v>
      </c>
      <c r="B1395">
        <v>3</v>
      </c>
      <c r="C1395" t="s">
        <v>242</v>
      </c>
      <c r="D1395" t="s">
        <v>244</v>
      </c>
      <c r="E1395" t="s">
        <v>159</v>
      </c>
      <c r="F1395" t="s">
        <v>101</v>
      </c>
      <c r="G1395" t="s">
        <v>104</v>
      </c>
      <c r="H1395">
        <v>0</v>
      </c>
      <c r="I1395">
        <v>0</v>
      </c>
      <c r="J1395">
        <v>0</v>
      </c>
      <c r="K1395" t="s">
        <v>104</v>
      </c>
      <c r="L1395">
        <v>0</v>
      </c>
      <c r="M1395">
        <v>4</v>
      </c>
      <c r="N1395">
        <v>0</v>
      </c>
      <c r="O1395">
        <v>33</v>
      </c>
      <c r="P1395">
        <v>2</v>
      </c>
      <c r="Q1395">
        <v>8.1999999999999993</v>
      </c>
      <c r="R1395">
        <v>50</v>
      </c>
      <c r="S1395">
        <v>0</v>
      </c>
      <c r="T1395">
        <v>0</v>
      </c>
      <c r="U1395" s="8">
        <v>50</v>
      </c>
      <c r="V1395" s="8">
        <f t="shared" si="43"/>
        <v>5</v>
      </c>
      <c r="W1395" t="str">
        <f>_xlfn.XLOOKUP(A1395, Matches!A:A, Matches!L:L, "NA", 0)</f>
        <v>RCBW</v>
      </c>
      <c r="X1395" t="str">
        <f>_xlfn.XLOOKUP(A1395, Matches!A:A, Matches!J:J, "NA", 0)</f>
        <v>MIW</v>
      </c>
      <c r="Y1395" t="str">
        <f>_xlfn.XLOOKUP(A1395, Matches!A:A, Matches!F:F, "NA", 0)</f>
        <v>Brabourne Stadium</v>
      </c>
      <c r="Z1395" cm="1">
        <f t="array" ref="Z1395">INDEX(Innings!F:F,MATCH(1,(TRIM(Innings!A:A)=TRIM(A1395))*(TRIM(Innings!D:D)=TRIM(E1395)),0))</f>
        <v>199</v>
      </c>
      <c r="AA1395" cm="1">
        <f t="array" ref="AA1395">INDEX(Innings!I:I,MATCH(1,(TRIM(Innings!A:A)=TRIM(A1395))*(TRIM(Innings!D:D)=TRIM(E1395)),0))</f>
        <v>9.9499999999999993</v>
      </c>
      <c r="AB1395" cm="1">
        <f t="array" ref="AB1395">INDEX(Innings!J:J,MATCH(1,(TRIM(Innings!A:A)=TRIM(A1395))*(TRIM(Innings!D:D)=TRIM(E1395)),0))</f>
        <v>53</v>
      </c>
      <c r="AC1395" cm="1">
        <f t="array" ref="AC1395">INDEX(Innings!N:N,MATCH(1,(TRIM(Innings!A:A)=TRIM(A1395))*(TRIM(Innings!D:D)=TRIM(E1395)),0))</f>
        <v>65</v>
      </c>
      <c r="AD1395" cm="1">
        <f t="array" ref="AD1395">INDEX(Innings!S:S,MATCH(1,(TRIM(Innings!A:A)=TRIM(A1395))*(TRIM(Innings!D:D)=TRIM(E1395)),0))</f>
        <v>38</v>
      </c>
      <c r="AE1395" t="str" cm="1">
        <f t="array" ref="AE1395">INDEX(Innings!W:W,MATCH(1,(TRIM(Innings!A:A)=TRIM(A1395))*(TRIM(Innings!D:D)=TRIM(E1395)),0))</f>
        <v>NA</v>
      </c>
      <c r="AF1395">
        <f>IF(UPPER(TRIM(E1395))=UPPER(TRIM(W1395)),1,0)</f>
        <v>1</v>
      </c>
      <c r="AG1395">
        <f t="shared" si="42"/>
        <v>46.5</v>
      </c>
    </row>
    <row r="1396" spans="1:33" x14ac:dyDescent="0.3">
      <c r="A1396" t="s">
        <v>481</v>
      </c>
      <c r="B1396">
        <v>3</v>
      </c>
      <c r="C1396" t="s">
        <v>491</v>
      </c>
      <c r="D1396" t="s">
        <v>498</v>
      </c>
      <c r="E1396" t="s">
        <v>159</v>
      </c>
      <c r="F1396" t="s">
        <v>169</v>
      </c>
      <c r="G1396" t="s">
        <v>104</v>
      </c>
      <c r="H1396">
        <v>0</v>
      </c>
      <c r="I1396">
        <v>0</v>
      </c>
      <c r="J1396">
        <v>0</v>
      </c>
      <c r="K1396" t="s">
        <v>104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 s="8">
        <v>0</v>
      </c>
      <c r="V1396" s="8">
        <f t="shared" si="43"/>
        <v>0</v>
      </c>
      <c r="W1396" t="str">
        <f>_xlfn.XLOOKUP(A1396, Matches!A:A, Matches!L:L, "NA", 0)</f>
        <v>RCBW</v>
      </c>
      <c r="X1396" t="str">
        <f>_xlfn.XLOOKUP(A1396, Matches!A:A, Matches!J:J, "NA", 0)</f>
        <v>MIW</v>
      </c>
      <c r="Y1396" t="str">
        <f>_xlfn.XLOOKUP(A1396, Matches!A:A, Matches!F:F, "NA", 0)</f>
        <v>Brabourne Stadium</v>
      </c>
      <c r="Z1396" cm="1">
        <f t="array" ref="Z1396">INDEX(Innings!F:F,MATCH(1,(TRIM(Innings!A:A)=TRIM(A1396))*(TRIM(Innings!D:D)=TRIM(E1396)),0))</f>
        <v>199</v>
      </c>
      <c r="AA1396" cm="1">
        <f t="array" ref="AA1396">INDEX(Innings!I:I,MATCH(1,(TRIM(Innings!A:A)=TRIM(A1396))*(TRIM(Innings!D:D)=TRIM(E1396)),0))</f>
        <v>9.9499999999999993</v>
      </c>
      <c r="AB1396" cm="1">
        <f t="array" ref="AB1396">INDEX(Innings!J:J,MATCH(1,(TRIM(Innings!A:A)=TRIM(A1396))*(TRIM(Innings!D:D)=TRIM(E1396)),0))</f>
        <v>53</v>
      </c>
      <c r="AC1396" cm="1">
        <f t="array" ref="AC1396">INDEX(Innings!N:N,MATCH(1,(TRIM(Innings!A:A)=TRIM(A1396))*(TRIM(Innings!D:D)=TRIM(E1396)),0))</f>
        <v>65</v>
      </c>
      <c r="AD1396" cm="1">
        <f t="array" ref="AD1396">INDEX(Innings!S:S,MATCH(1,(TRIM(Innings!A:A)=TRIM(A1396))*(TRIM(Innings!D:D)=TRIM(E1396)),0))</f>
        <v>38</v>
      </c>
      <c r="AE1396" t="str" cm="1">
        <f t="array" ref="AE1396">INDEX(Innings!W:W,MATCH(1,(TRIM(Innings!A:A)=TRIM(A1396))*(TRIM(Innings!D:D)=TRIM(E1396)),0))</f>
        <v>NA</v>
      </c>
      <c r="AF1396">
        <f>IF(UPPER(TRIM(E1396))=UPPER(TRIM(W1396)),1,0)</f>
        <v>1</v>
      </c>
      <c r="AG1396">
        <f t="shared" si="42"/>
        <v>20</v>
      </c>
    </row>
    <row r="1397" spans="1:33" x14ac:dyDescent="0.3">
      <c r="A1397" t="s">
        <v>481</v>
      </c>
      <c r="B1397">
        <v>3</v>
      </c>
      <c r="C1397" t="s">
        <v>492</v>
      </c>
      <c r="D1397" t="s">
        <v>499</v>
      </c>
      <c r="E1397" t="s">
        <v>159</v>
      </c>
      <c r="F1397" t="s">
        <v>169</v>
      </c>
      <c r="G1397" t="s">
        <v>104</v>
      </c>
      <c r="H1397">
        <v>0</v>
      </c>
      <c r="I1397">
        <v>0</v>
      </c>
      <c r="J1397">
        <v>0</v>
      </c>
      <c r="K1397" t="s">
        <v>104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 s="8">
        <v>0</v>
      </c>
      <c r="V1397" s="8">
        <f t="shared" si="43"/>
        <v>0</v>
      </c>
      <c r="W1397" t="str">
        <f>_xlfn.XLOOKUP(A1397, Matches!A:A, Matches!L:L, "NA", 0)</f>
        <v>RCBW</v>
      </c>
      <c r="X1397" t="str">
        <f>_xlfn.XLOOKUP(A1397, Matches!A:A, Matches!J:J, "NA", 0)</f>
        <v>MIW</v>
      </c>
      <c r="Y1397" t="str">
        <f>_xlfn.XLOOKUP(A1397, Matches!A:A, Matches!F:F, "NA", 0)</f>
        <v>Brabourne Stadium</v>
      </c>
      <c r="Z1397" cm="1">
        <f t="array" ref="Z1397">INDEX(Innings!F:F,MATCH(1,(TRIM(Innings!A:A)=TRIM(A1397))*(TRIM(Innings!D:D)=TRIM(E1397)),0))</f>
        <v>199</v>
      </c>
      <c r="AA1397" cm="1">
        <f t="array" ref="AA1397">INDEX(Innings!I:I,MATCH(1,(TRIM(Innings!A:A)=TRIM(A1397))*(TRIM(Innings!D:D)=TRIM(E1397)),0))</f>
        <v>9.9499999999999993</v>
      </c>
      <c r="AB1397" cm="1">
        <f t="array" ref="AB1397">INDEX(Innings!J:J,MATCH(1,(TRIM(Innings!A:A)=TRIM(A1397))*(TRIM(Innings!D:D)=TRIM(E1397)),0))</f>
        <v>53</v>
      </c>
      <c r="AC1397" cm="1">
        <f t="array" ref="AC1397">INDEX(Innings!N:N,MATCH(1,(TRIM(Innings!A:A)=TRIM(A1397))*(TRIM(Innings!D:D)=TRIM(E1397)),0))</f>
        <v>65</v>
      </c>
      <c r="AD1397" cm="1">
        <f t="array" ref="AD1397">INDEX(Innings!S:S,MATCH(1,(TRIM(Innings!A:A)=TRIM(A1397))*(TRIM(Innings!D:D)=TRIM(E1397)),0))</f>
        <v>38</v>
      </c>
      <c r="AE1397" t="str" cm="1">
        <f t="array" ref="AE1397">INDEX(Innings!W:W,MATCH(1,(TRIM(Innings!A:A)=TRIM(A1397))*(TRIM(Innings!D:D)=TRIM(E1397)),0))</f>
        <v>NA</v>
      </c>
      <c r="AF1397">
        <f>IF(UPPER(TRIM(E1397))=UPPER(TRIM(W1397)),1,0)</f>
        <v>1</v>
      </c>
      <c r="AG1397">
        <f t="shared" si="42"/>
        <v>20</v>
      </c>
    </row>
    <row r="1398" spans="1:33" x14ac:dyDescent="0.3">
      <c r="A1398" t="s">
        <v>481</v>
      </c>
      <c r="B1398">
        <v>3</v>
      </c>
      <c r="C1398" t="s">
        <v>112</v>
      </c>
      <c r="D1398" t="s">
        <v>88</v>
      </c>
      <c r="E1398" t="s">
        <v>266</v>
      </c>
      <c r="F1398" t="s">
        <v>169</v>
      </c>
      <c r="G1398" t="s">
        <v>86</v>
      </c>
      <c r="H1398">
        <v>19</v>
      </c>
      <c r="I1398">
        <v>16</v>
      </c>
      <c r="J1398">
        <v>118.75</v>
      </c>
      <c r="K1398" t="s">
        <v>246</v>
      </c>
      <c r="L1398">
        <v>25</v>
      </c>
      <c r="M1398">
        <v>4</v>
      </c>
      <c r="N1398">
        <v>0</v>
      </c>
      <c r="O1398">
        <v>37</v>
      </c>
      <c r="P1398">
        <v>2</v>
      </c>
      <c r="Q1398">
        <v>9.1999999999999993</v>
      </c>
      <c r="R1398">
        <v>50</v>
      </c>
      <c r="S1398">
        <v>0</v>
      </c>
      <c r="T1398">
        <v>0</v>
      </c>
      <c r="U1398" s="8">
        <v>75</v>
      </c>
      <c r="V1398" s="8">
        <f t="shared" si="43"/>
        <v>8</v>
      </c>
      <c r="W1398" t="str">
        <f>_xlfn.XLOOKUP(A1398, Matches!A:A, Matches!L:L, "NA", 0)</f>
        <v>RCBW</v>
      </c>
      <c r="X1398" t="str">
        <f>_xlfn.XLOOKUP(A1398, Matches!A:A, Matches!J:J, "NA", 0)</f>
        <v>MIW</v>
      </c>
      <c r="Y1398" t="str">
        <f>_xlfn.XLOOKUP(A1398, Matches!A:A, Matches!F:F, "NA", 0)</f>
        <v>Brabourne Stadium</v>
      </c>
      <c r="Z1398" cm="1">
        <f t="array" ref="Z1398">INDEX(Innings!F:F,MATCH(1,(TRIM(Innings!A:A)=TRIM(A1398))*(TRIM(Innings!D:D)=TRIM(E1398)),0))</f>
        <v>188</v>
      </c>
      <c r="AA1398" cm="1">
        <f t="array" ref="AA1398">INDEX(Innings!I:I,MATCH(1,(TRIM(Innings!A:A)=TRIM(A1398))*(TRIM(Innings!D:D)=TRIM(E1398)),0))</f>
        <v>9.4</v>
      </c>
      <c r="AB1398" cm="1">
        <f t="array" ref="AB1398">INDEX(Innings!J:J,MATCH(1,(TRIM(Innings!A:A)=TRIM(A1398))*(TRIM(Innings!D:D)=TRIM(E1398)),0))</f>
        <v>45</v>
      </c>
      <c r="AC1398" cm="1">
        <f t="array" ref="AC1398">INDEX(Innings!N:N,MATCH(1,(TRIM(Innings!A:A)=TRIM(A1398))*(TRIM(Innings!D:D)=TRIM(E1398)),0))</f>
        <v>54</v>
      </c>
      <c r="AD1398" cm="1">
        <f t="array" ref="AD1398">INDEX(Innings!S:S,MATCH(1,(TRIM(Innings!A:A)=TRIM(A1398))*(TRIM(Innings!D:D)=TRIM(E1398)),0))</f>
        <v>38</v>
      </c>
      <c r="AE1398" t="str" cm="1">
        <f t="array" ref="AE1398">INDEX(Innings!W:W,MATCH(1,(TRIM(Innings!A:A)=TRIM(A1398))*(TRIM(Innings!D:D)=TRIM(E1398)),0))</f>
        <v>Failed</v>
      </c>
      <c r="AF1398">
        <f>IF(UPPER(TRIM(E1398))=UPPER(TRIM(W1398)),1,0)</f>
        <v>0</v>
      </c>
      <c r="AG1398">
        <f t="shared" si="42"/>
        <v>39.9</v>
      </c>
    </row>
    <row r="1399" spans="1:33" x14ac:dyDescent="0.3">
      <c r="A1399" t="s">
        <v>481</v>
      </c>
      <c r="B1399">
        <v>3</v>
      </c>
      <c r="C1399" t="s">
        <v>119</v>
      </c>
      <c r="D1399" t="s">
        <v>95</v>
      </c>
      <c r="E1399" t="s">
        <v>266</v>
      </c>
      <c r="F1399" t="s">
        <v>169</v>
      </c>
      <c r="G1399" t="s">
        <v>92</v>
      </c>
      <c r="H1399">
        <v>9</v>
      </c>
      <c r="I1399">
        <v>10</v>
      </c>
      <c r="J1399">
        <v>90</v>
      </c>
      <c r="K1399" t="s">
        <v>246</v>
      </c>
      <c r="L1399">
        <v>10</v>
      </c>
      <c r="M1399">
        <v>3</v>
      </c>
      <c r="N1399">
        <v>0</v>
      </c>
      <c r="O1399">
        <v>47</v>
      </c>
      <c r="P1399">
        <v>1</v>
      </c>
      <c r="Q1399">
        <v>15.7</v>
      </c>
      <c r="R1399">
        <v>15</v>
      </c>
      <c r="S1399">
        <v>0</v>
      </c>
      <c r="T1399">
        <v>0</v>
      </c>
      <c r="U1399" s="8">
        <v>25</v>
      </c>
      <c r="V1399" s="8">
        <f t="shared" si="43"/>
        <v>3</v>
      </c>
      <c r="W1399" t="str">
        <f>_xlfn.XLOOKUP(A1399, Matches!A:A, Matches!L:L, "NA", 0)</f>
        <v>RCBW</v>
      </c>
      <c r="X1399" t="str">
        <f>_xlfn.XLOOKUP(A1399, Matches!A:A, Matches!J:J, "NA", 0)</f>
        <v>MIW</v>
      </c>
      <c r="Y1399" t="str">
        <f>_xlfn.XLOOKUP(A1399, Matches!A:A, Matches!F:F, "NA", 0)</f>
        <v>Brabourne Stadium</v>
      </c>
      <c r="Z1399" cm="1">
        <f t="array" ref="Z1399">INDEX(Innings!F:F,MATCH(1,(TRIM(Innings!A:A)=TRIM(A1399))*(TRIM(Innings!D:D)=TRIM(E1399)),0))</f>
        <v>188</v>
      </c>
      <c r="AA1399" cm="1">
        <f t="array" ref="AA1399">INDEX(Innings!I:I,MATCH(1,(TRIM(Innings!A:A)=TRIM(A1399))*(TRIM(Innings!D:D)=TRIM(E1399)),0))</f>
        <v>9.4</v>
      </c>
      <c r="AB1399" cm="1">
        <f t="array" ref="AB1399">INDEX(Innings!J:J,MATCH(1,(TRIM(Innings!A:A)=TRIM(A1399))*(TRIM(Innings!D:D)=TRIM(E1399)),0))</f>
        <v>45</v>
      </c>
      <c r="AC1399" cm="1">
        <f t="array" ref="AC1399">INDEX(Innings!N:N,MATCH(1,(TRIM(Innings!A:A)=TRIM(A1399))*(TRIM(Innings!D:D)=TRIM(E1399)),0))</f>
        <v>54</v>
      </c>
      <c r="AD1399" cm="1">
        <f t="array" ref="AD1399">INDEX(Innings!S:S,MATCH(1,(TRIM(Innings!A:A)=TRIM(A1399))*(TRIM(Innings!D:D)=TRIM(E1399)),0))</f>
        <v>38</v>
      </c>
      <c r="AE1399" t="str" cm="1">
        <f t="array" ref="AE1399">INDEX(Innings!W:W,MATCH(1,(TRIM(Innings!A:A)=TRIM(A1399))*(TRIM(Innings!D:D)=TRIM(E1399)),0))</f>
        <v>Failed</v>
      </c>
      <c r="AF1399">
        <f>IF(UPPER(TRIM(E1399))=UPPER(TRIM(W1399)),1,0)</f>
        <v>0</v>
      </c>
      <c r="AG1399">
        <f t="shared" si="42"/>
        <v>13.4</v>
      </c>
    </row>
    <row r="1400" spans="1:33" x14ac:dyDescent="0.3">
      <c r="A1400" t="s">
        <v>481</v>
      </c>
      <c r="B1400">
        <v>3</v>
      </c>
      <c r="C1400" t="s">
        <v>117</v>
      </c>
      <c r="D1400" t="s">
        <v>90</v>
      </c>
      <c r="E1400" t="s">
        <v>266</v>
      </c>
      <c r="F1400" t="s">
        <v>169</v>
      </c>
      <c r="G1400" t="s">
        <v>92</v>
      </c>
      <c r="H1400">
        <v>69</v>
      </c>
      <c r="I1400">
        <v>35</v>
      </c>
      <c r="J1400">
        <v>197.14</v>
      </c>
      <c r="K1400" t="s">
        <v>246</v>
      </c>
      <c r="L1400">
        <v>85</v>
      </c>
      <c r="M1400">
        <v>2</v>
      </c>
      <c r="N1400">
        <v>0</v>
      </c>
      <c r="O1400">
        <v>16</v>
      </c>
      <c r="P1400">
        <v>0</v>
      </c>
      <c r="Q1400">
        <v>8</v>
      </c>
      <c r="R1400">
        <v>0</v>
      </c>
      <c r="S1400">
        <v>0</v>
      </c>
      <c r="T1400">
        <v>0</v>
      </c>
      <c r="U1400" s="8">
        <v>85</v>
      </c>
      <c r="V1400" s="8">
        <f t="shared" si="43"/>
        <v>9</v>
      </c>
      <c r="W1400" t="str">
        <f>_xlfn.XLOOKUP(A1400, Matches!A:A, Matches!L:L, "NA", 0)</f>
        <v>RCBW</v>
      </c>
      <c r="X1400" t="str">
        <f>_xlfn.XLOOKUP(A1400, Matches!A:A, Matches!J:J, "NA", 0)</f>
        <v>MIW</v>
      </c>
      <c r="Y1400" t="str">
        <f>_xlfn.XLOOKUP(A1400, Matches!A:A, Matches!F:F, "NA", 0)</f>
        <v>Brabourne Stadium</v>
      </c>
      <c r="Z1400" cm="1">
        <f t="array" ref="Z1400">INDEX(Innings!F:F,MATCH(1,(TRIM(Innings!A:A)=TRIM(A1400))*(TRIM(Innings!D:D)=TRIM(E1400)),0))</f>
        <v>188</v>
      </c>
      <c r="AA1400" cm="1">
        <f t="array" ref="AA1400">INDEX(Innings!I:I,MATCH(1,(TRIM(Innings!A:A)=TRIM(A1400))*(TRIM(Innings!D:D)=TRIM(E1400)),0))</f>
        <v>9.4</v>
      </c>
      <c r="AB1400" cm="1">
        <f t="array" ref="AB1400">INDEX(Innings!J:J,MATCH(1,(TRIM(Innings!A:A)=TRIM(A1400))*(TRIM(Innings!D:D)=TRIM(E1400)),0))</f>
        <v>45</v>
      </c>
      <c r="AC1400" cm="1">
        <f t="array" ref="AC1400">INDEX(Innings!N:N,MATCH(1,(TRIM(Innings!A:A)=TRIM(A1400))*(TRIM(Innings!D:D)=TRIM(E1400)),0))</f>
        <v>54</v>
      </c>
      <c r="AD1400" cm="1">
        <f t="array" ref="AD1400">INDEX(Innings!S:S,MATCH(1,(TRIM(Innings!A:A)=TRIM(A1400))*(TRIM(Innings!D:D)=TRIM(E1400)),0))</f>
        <v>38</v>
      </c>
      <c r="AE1400" t="str" cm="1">
        <f t="array" ref="AE1400">INDEX(Innings!W:W,MATCH(1,(TRIM(Innings!A:A)=TRIM(A1400))*(TRIM(Innings!D:D)=TRIM(E1400)),0))</f>
        <v>Failed</v>
      </c>
      <c r="AF1400">
        <f>IF(UPPER(TRIM(E1400))=UPPER(TRIM(W1400)),1,0)</f>
        <v>0</v>
      </c>
      <c r="AG1400">
        <f t="shared" si="42"/>
        <v>45.2</v>
      </c>
    </row>
    <row r="1401" spans="1:33" x14ac:dyDescent="0.3">
      <c r="A1401" t="s">
        <v>481</v>
      </c>
      <c r="B1401">
        <v>3</v>
      </c>
      <c r="C1401" t="s">
        <v>115</v>
      </c>
      <c r="D1401" t="s">
        <v>17</v>
      </c>
      <c r="E1401" t="s">
        <v>266</v>
      </c>
      <c r="F1401" t="s">
        <v>169</v>
      </c>
      <c r="G1401" t="s">
        <v>134</v>
      </c>
      <c r="H1401">
        <v>20</v>
      </c>
      <c r="I1401">
        <v>18</v>
      </c>
      <c r="J1401">
        <v>111.11</v>
      </c>
      <c r="K1401" t="s">
        <v>246</v>
      </c>
      <c r="L1401">
        <v>20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 s="8">
        <v>20</v>
      </c>
      <c r="V1401" s="8">
        <f t="shared" si="43"/>
        <v>2</v>
      </c>
      <c r="W1401" t="str">
        <f>_xlfn.XLOOKUP(A1401, Matches!A:A, Matches!L:L, "NA", 0)</f>
        <v>RCBW</v>
      </c>
      <c r="X1401" t="str">
        <f>_xlfn.XLOOKUP(A1401, Matches!A:A, Matches!J:J, "NA", 0)</f>
        <v>MIW</v>
      </c>
      <c r="Y1401" t="str">
        <f>_xlfn.XLOOKUP(A1401, Matches!A:A, Matches!F:F, "NA", 0)</f>
        <v>Brabourne Stadium</v>
      </c>
      <c r="Z1401" cm="1">
        <f t="array" ref="Z1401">INDEX(Innings!F:F,MATCH(1,(TRIM(Innings!A:A)=TRIM(A1401))*(TRIM(Innings!D:D)=TRIM(E1401)),0))</f>
        <v>188</v>
      </c>
      <c r="AA1401" cm="1">
        <f t="array" ref="AA1401">INDEX(Innings!I:I,MATCH(1,(TRIM(Innings!A:A)=TRIM(A1401))*(TRIM(Innings!D:D)=TRIM(E1401)),0))</f>
        <v>9.4</v>
      </c>
      <c r="AB1401" cm="1">
        <f t="array" ref="AB1401">INDEX(Innings!J:J,MATCH(1,(TRIM(Innings!A:A)=TRIM(A1401))*(TRIM(Innings!D:D)=TRIM(E1401)),0))</f>
        <v>45</v>
      </c>
      <c r="AC1401" cm="1">
        <f t="array" ref="AC1401">INDEX(Innings!N:N,MATCH(1,(TRIM(Innings!A:A)=TRIM(A1401))*(TRIM(Innings!D:D)=TRIM(E1401)),0))</f>
        <v>54</v>
      </c>
      <c r="AD1401" cm="1">
        <f t="array" ref="AD1401">INDEX(Innings!S:S,MATCH(1,(TRIM(Innings!A:A)=TRIM(A1401))*(TRIM(Innings!D:D)=TRIM(E1401)),0))</f>
        <v>38</v>
      </c>
      <c r="AE1401" t="str" cm="1">
        <f t="array" ref="AE1401">INDEX(Innings!W:W,MATCH(1,(TRIM(Innings!A:A)=TRIM(A1401))*(TRIM(Innings!D:D)=TRIM(E1401)),0))</f>
        <v>Failed</v>
      </c>
      <c r="AF1401">
        <f>IF(UPPER(TRIM(E1401))=UPPER(TRIM(W1401)),1,0)</f>
        <v>0</v>
      </c>
      <c r="AG1401">
        <f t="shared" si="42"/>
        <v>10.6</v>
      </c>
    </row>
    <row r="1402" spans="1:33" x14ac:dyDescent="0.3">
      <c r="A1402" t="s">
        <v>481</v>
      </c>
      <c r="B1402">
        <v>3</v>
      </c>
      <c r="C1402" t="s">
        <v>121</v>
      </c>
      <c r="D1402" t="s">
        <v>108</v>
      </c>
      <c r="E1402" t="s">
        <v>266</v>
      </c>
      <c r="F1402" t="s">
        <v>169</v>
      </c>
      <c r="G1402" t="s">
        <v>134</v>
      </c>
      <c r="H1402">
        <v>17</v>
      </c>
      <c r="I1402">
        <v>15</v>
      </c>
      <c r="J1402">
        <v>113.33</v>
      </c>
      <c r="K1402" t="s">
        <v>245</v>
      </c>
      <c r="L1402">
        <v>20</v>
      </c>
      <c r="M1402">
        <v>4</v>
      </c>
      <c r="N1402">
        <v>0</v>
      </c>
      <c r="O1402">
        <v>27</v>
      </c>
      <c r="P1402">
        <v>0</v>
      </c>
      <c r="Q1402">
        <v>6.8</v>
      </c>
      <c r="R1402">
        <v>10</v>
      </c>
      <c r="S1402">
        <v>0</v>
      </c>
      <c r="T1402">
        <v>0</v>
      </c>
      <c r="U1402" s="8">
        <v>30</v>
      </c>
      <c r="V1402" s="8">
        <f t="shared" si="43"/>
        <v>3</v>
      </c>
      <c r="W1402" t="str">
        <f>_xlfn.XLOOKUP(A1402, Matches!A:A, Matches!L:L, "NA", 0)</f>
        <v>RCBW</v>
      </c>
      <c r="X1402" t="str">
        <f>_xlfn.XLOOKUP(A1402, Matches!A:A, Matches!J:J, "NA", 0)</f>
        <v>MIW</v>
      </c>
      <c r="Y1402" t="str">
        <f>_xlfn.XLOOKUP(A1402, Matches!A:A, Matches!F:F, "NA", 0)</f>
        <v>Brabourne Stadium</v>
      </c>
      <c r="Z1402" cm="1">
        <f t="array" ref="Z1402">INDEX(Innings!F:F,MATCH(1,(TRIM(Innings!A:A)=TRIM(A1402))*(TRIM(Innings!D:D)=TRIM(E1402)),0))</f>
        <v>188</v>
      </c>
      <c r="AA1402" cm="1">
        <f t="array" ref="AA1402">INDEX(Innings!I:I,MATCH(1,(TRIM(Innings!A:A)=TRIM(A1402))*(TRIM(Innings!D:D)=TRIM(E1402)),0))</f>
        <v>9.4</v>
      </c>
      <c r="AB1402" cm="1">
        <f t="array" ref="AB1402">INDEX(Innings!J:J,MATCH(1,(TRIM(Innings!A:A)=TRIM(A1402))*(TRIM(Innings!D:D)=TRIM(E1402)),0))</f>
        <v>45</v>
      </c>
      <c r="AC1402" cm="1">
        <f t="array" ref="AC1402">INDEX(Innings!N:N,MATCH(1,(TRIM(Innings!A:A)=TRIM(A1402))*(TRIM(Innings!D:D)=TRIM(E1402)),0))</f>
        <v>54</v>
      </c>
      <c r="AD1402" cm="1">
        <f t="array" ref="AD1402">INDEX(Innings!S:S,MATCH(1,(TRIM(Innings!A:A)=TRIM(A1402))*(TRIM(Innings!D:D)=TRIM(E1402)),0))</f>
        <v>38</v>
      </c>
      <c r="AE1402" t="str" cm="1">
        <f t="array" ref="AE1402">INDEX(Innings!W:W,MATCH(1,(TRIM(Innings!A:A)=TRIM(A1402))*(TRIM(Innings!D:D)=TRIM(E1402)),0))</f>
        <v>Failed</v>
      </c>
      <c r="AF1402">
        <f>IF(UPPER(TRIM(E1402))=UPPER(TRIM(W1402)),1,0)</f>
        <v>0</v>
      </c>
      <c r="AG1402">
        <f t="shared" si="42"/>
        <v>15.9</v>
      </c>
    </row>
    <row r="1403" spans="1:33" x14ac:dyDescent="0.3">
      <c r="A1403" t="s">
        <v>481</v>
      </c>
      <c r="B1403">
        <v>3</v>
      </c>
      <c r="C1403" t="s">
        <v>113</v>
      </c>
      <c r="D1403" t="s">
        <v>84</v>
      </c>
      <c r="E1403" t="s">
        <v>266</v>
      </c>
      <c r="F1403" t="s">
        <v>85</v>
      </c>
      <c r="G1403" t="s">
        <v>134</v>
      </c>
      <c r="H1403">
        <v>4</v>
      </c>
      <c r="I1403">
        <v>4</v>
      </c>
      <c r="J1403">
        <v>100</v>
      </c>
      <c r="K1403" t="s">
        <v>246</v>
      </c>
      <c r="L1403">
        <v>5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 s="8">
        <v>5</v>
      </c>
      <c r="V1403" s="8">
        <f t="shared" si="43"/>
        <v>1</v>
      </c>
      <c r="W1403" t="str">
        <f>_xlfn.XLOOKUP(A1403, Matches!A:A, Matches!L:L, "NA", 0)</f>
        <v>RCBW</v>
      </c>
      <c r="X1403" t="str">
        <f>_xlfn.XLOOKUP(A1403, Matches!A:A, Matches!J:J, "NA", 0)</f>
        <v>MIW</v>
      </c>
      <c r="Y1403" t="str">
        <f>_xlfn.XLOOKUP(A1403, Matches!A:A, Matches!F:F, "NA", 0)</f>
        <v>Brabourne Stadium</v>
      </c>
      <c r="Z1403" cm="1">
        <f t="array" ref="Z1403">INDEX(Innings!F:F,MATCH(1,(TRIM(Innings!A:A)=TRIM(A1403))*(TRIM(Innings!D:D)=TRIM(E1403)),0))</f>
        <v>188</v>
      </c>
      <c r="AA1403" cm="1">
        <f t="array" ref="AA1403">INDEX(Innings!I:I,MATCH(1,(TRIM(Innings!A:A)=TRIM(A1403))*(TRIM(Innings!D:D)=TRIM(E1403)),0))</f>
        <v>9.4</v>
      </c>
      <c r="AB1403" cm="1">
        <f t="array" ref="AB1403">INDEX(Innings!J:J,MATCH(1,(TRIM(Innings!A:A)=TRIM(A1403))*(TRIM(Innings!D:D)=TRIM(E1403)),0))</f>
        <v>45</v>
      </c>
      <c r="AC1403" cm="1">
        <f t="array" ref="AC1403">INDEX(Innings!N:N,MATCH(1,(TRIM(Innings!A:A)=TRIM(A1403))*(TRIM(Innings!D:D)=TRIM(E1403)),0))</f>
        <v>54</v>
      </c>
      <c r="AD1403" cm="1">
        <f t="array" ref="AD1403">INDEX(Innings!S:S,MATCH(1,(TRIM(Innings!A:A)=TRIM(A1403))*(TRIM(Innings!D:D)=TRIM(E1403)),0))</f>
        <v>38</v>
      </c>
      <c r="AE1403" t="str" cm="1">
        <f t="array" ref="AE1403">INDEX(Innings!W:W,MATCH(1,(TRIM(Innings!A:A)=TRIM(A1403))*(TRIM(Innings!D:D)=TRIM(E1403)),0))</f>
        <v>Failed</v>
      </c>
      <c r="AF1403">
        <f>IF(UPPER(TRIM(E1403))=UPPER(TRIM(W1403)),1,0)</f>
        <v>0</v>
      </c>
      <c r="AG1403">
        <f t="shared" si="42"/>
        <v>2.8</v>
      </c>
    </row>
    <row r="1404" spans="1:33" x14ac:dyDescent="0.3">
      <c r="A1404" t="s">
        <v>481</v>
      </c>
      <c r="B1404">
        <v>3</v>
      </c>
      <c r="C1404" t="s">
        <v>347</v>
      </c>
      <c r="D1404" t="s">
        <v>348</v>
      </c>
      <c r="E1404" t="s">
        <v>266</v>
      </c>
      <c r="F1404" t="s">
        <v>169</v>
      </c>
      <c r="G1404" t="s">
        <v>134</v>
      </c>
      <c r="H1404">
        <v>23</v>
      </c>
      <c r="I1404">
        <v>12</v>
      </c>
      <c r="J1404">
        <v>191.67</v>
      </c>
      <c r="K1404" t="s">
        <v>246</v>
      </c>
      <c r="L1404">
        <v>35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 s="8">
        <v>35</v>
      </c>
      <c r="V1404" s="8">
        <f t="shared" si="43"/>
        <v>4</v>
      </c>
      <c r="W1404" t="str">
        <f>_xlfn.XLOOKUP(A1404, Matches!A:A, Matches!L:L, "NA", 0)</f>
        <v>RCBW</v>
      </c>
      <c r="X1404" t="str">
        <f>_xlfn.XLOOKUP(A1404, Matches!A:A, Matches!J:J, "NA", 0)</f>
        <v>MIW</v>
      </c>
      <c r="Y1404" t="str">
        <f>_xlfn.XLOOKUP(A1404, Matches!A:A, Matches!F:F, "NA", 0)</f>
        <v>Brabourne Stadium</v>
      </c>
      <c r="Z1404" cm="1">
        <f t="array" ref="Z1404">INDEX(Innings!F:F,MATCH(1,(TRIM(Innings!A:A)=TRIM(A1404))*(TRIM(Innings!D:D)=TRIM(E1404)),0))</f>
        <v>188</v>
      </c>
      <c r="AA1404" cm="1">
        <f t="array" ref="AA1404">INDEX(Innings!I:I,MATCH(1,(TRIM(Innings!A:A)=TRIM(A1404))*(TRIM(Innings!D:D)=TRIM(E1404)),0))</f>
        <v>9.4</v>
      </c>
      <c r="AB1404" cm="1">
        <f t="array" ref="AB1404">INDEX(Innings!J:J,MATCH(1,(TRIM(Innings!A:A)=TRIM(A1404))*(TRIM(Innings!D:D)=TRIM(E1404)),0))</f>
        <v>45</v>
      </c>
      <c r="AC1404" cm="1">
        <f t="array" ref="AC1404">INDEX(Innings!N:N,MATCH(1,(TRIM(Innings!A:A)=TRIM(A1404))*(TRIM(Innings!D:D)=TRIM(E1404)),0))</f>
        <v>54</v>
      </c>
      <c r="AD1404" cm="1">
        <f t="array" ref="AD1404">INDEX(Innings!S:S,MATCH(1,(TRIM(Innings!A:A)=TRIM(A1404))*(TRIM(Innings!D:D)=TRIM(E1404)),0))</f>
        <v>38</v>
      </c>
      <c r="AE1404" t="str" cm="1">
        <f t="array" ref="AE1404">INDEX(Innings!W:W,MATCH(1,(TRIM(Innings!A:A)=TRIM(A1404))*(TRIM(Innings!D:D)=TRIM(E1404)),0))</f>
        <v>Failed</v>
      </c>
      <c r="AF1404">
        <f>IF(UPPER(TRIM(E1404))=UPPER(TRIM(W1404)),1,0)</f>
        <v>0</v>
      </c>
      <c r="AG1404">
        <f t="shared" si="42"/>
        <v>18.7</v>
      </c>
    </row>
    <row r="1405" spans="1:33" x14ac:dyDescent="0.3">
      <c r="A1405" t="s">
        <v>481</v>
      </c>
      <c r="B1405">
        <v>3</v>
      </c>
      <c r="C1405" t="s">
        <v>510</v>
      </c>
      <c r="D1405" t="s">
        <v>538</v>
      </c>
      <c r="E1405" t="s">
        <v>266</v>
      </c>
      <c r="F1405" t="s">
        <v>85</v>
      </c>
      <c r="G1405" t="s">
        <v>134</v>
      </c>
      <c r="H1405">
        <v>6</v>
      </c>
      <c r="I1405">
        <v>4</v>
      </c>
      <c r="J1405">
        <v>150</v>
      </c>
      <c r="K1405" t="s">
        <v>246</v>
      </c>
      <c r="L1405">
        <v>10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 s="8">
        <v>10</v>
      </c>
      <c r="V1405" s="8">
        <f t="shared" si="43"/>
        <v>1</v>
      </c>
      <c r="W1405" t="str">
        <f>_xlfn.XLOOKUP(A1405, Matches!A:A, Matches!L:L, "NA", 0)</f>
        <v>RCBW</v>
      </c>
      <c r="X1405" t="str">
        <f>_xlfn.XLOOKUP(A1405, Matches!A:A, Matches!J:J, "NA", 0)</f>
        <v>MIW</v>
      </c>
      <c r="Y1405" t="str">
        <f>_xlfn.XLOOKUP(A1405, Matches!A:A, Matches!F:F, "NA", 0)</f>
        <v>Brabourne Stadium</v>
      </c>
      <c r="Z1405" cm="1">
        <f t="array" ref="Z1405">INDEX(Innings!F:F,MATCH(1,(TRIM(Innings!A:A)=TRIM(A1405))*(TRIM(Innings!D:D)=TRIM(E1405)),0))</f>
        <v>188</v>
      </c>
      <c r="AA1405" cm="1">
        <f t="array" ref="AA1405">INDEX(Innings!I:I,MATCH(1,(TRIM(Innings!A:A)=TRIM(A1405))*(TRIM(Innings!D:D)=TRIM(E1405)),0))</f>
        <v>9.4</v>
      </c>
      <c r="AB1405" cm="1">
        <f t="array" ref="AB1405">INDEX(Innings!J:J,MATCH(1,(TRIM(Innings!A:A)=TRIM(A1405))*(TRIM(Innings!D:D)=TRIM(E1405)),0))</f>
        <v>45</v>
      </c>
      <c r="AC1405" cm="1">
        <f t="array" ref="AC1405">INDEX(Innings!N:N,MATCH(1,(TRIM(Innings!A:A)=TRIM(A1405))*(TRIM(Innings!D:D)=TRIM(E1405)),0))</f>
        <v>54</v>
      </c>
      <c r="AD1405" cm="1">
        <f t="array" ref="AD1405">INDEX(Innings!S:S,MATCH(1,(TRIM(Innings!A:A)=TRIM(A1405))*(TRIM(Innings!D:D)=TRIM(E1405)),0))</f>
        <v>38</v>
      </c>
      <c r="AE1405" t="str" cm="1">
        <f t="array" ref="AE1405">INDEX(Innings!W:W,MATCH(1,(TRIM(Innings!A:A)=TRIM(A1405))*(TRIM(Innings!D:D)=TRIM(E1405)),0))</f>
        <v>Failed</v>
      </c>
      <c r="AF1405">
        <f>IF(UPPER(TRIM(E1405))=UPPER(TRIM(W1405)),1,0)</f>
        <v>0</v>
      </c>
      <c r="AG1405">
        <f t="shared" si="42"/>
        <v>5.3</v>
      </c>
    </row>
    <row r="1406" spans="1:33" x14ac:dyDescent="0.3">
      <c r="A1406" t="s">
        <v>481</v>
      </c>
      <c r="B1406">
        <v>3</v>
      </c>
      <c r="C1406" t="s">
        <v>507</v>
      </c>
      <c r="D1406" t="s">
        <v>519</v>
      </c>
      <c r="E1406" t="s">
        <v>266</v>
      </c>
      <c r="F1406" t="s">
        <v>169</v>
      </c>
      <c r="G1406" t="s">
        <v>134</v>
      </c>
      <c r="H1406">
        <v>10</v>
      </c>
      <c r="I1406">
        <v>4</v>
      </c>
      <c r="J1406">
        <v>250</v>
      </c>
      <c r="K1406" t="s">
        <v>246</v>
      </c>
      <c r="L1406">
        <v>20</v>
      </c>
      <c r="M1406">
        <v>1</v>
      </c>
      <c r="N1406">
        <v>0</v>
      </c>
      <c r="O1406">
        <v>6</v>
      </c>
      <c r="P1406">
        <v>0</v>
      </c>
      <c r="Q1406">
        <v>6</v>
      </c>
      <c r="R1406">
        <v>10</v>
      </c>
      <c r="S1406">
        <v>0</v>
      </c>
      <c r="T1406">
        <v>0</v>
      </c>
      <c r="U1406" s="8">
        <v>30</v>
      </c>
      <c r="V1406" s="8">
        <f t="shared" si="43"/>
        <v>3</v>
      </c>
      <c r="W1406" t="str">
        <f>_xlfn.XLOOKUP(A1406, Matches!A:A, Matches!L:L, "NA", 0)</f>
        <v>RCBW</v>
      </c>
      <c r="X1406" t="str">
        <f>_xlfn.XLOOKUP(A1406, Matches!A:A, Matches!J:J, "NA", 0)</f>
        <v>MIW</v>
      </c>
      <c r="Y1406" t="str">
        <f>_xlfn.XLOOKUP(A1406, Matches!A:A, Matches!F:F, "NA", 0)</f>
        <v>Brabourne Stadium</v>
      </c>
      <c r="Z1406" cm="1">
        <f t="array" ref="Z1406">INDEX(Innings!F:F,MATCH(1,(TRIM(Innings!A:A)=TRIM(A1406))*(TRIM(Innings!D:D)=TRIM(E1406)),0))</f>
        <v>188</v>
      </c>
      <c r="AA1406" cm="1">
        <f t="array" ref="AA1406">INDEX(Innings!I:I,MATCH(1,(TRIM(Innings!A:A)=TRIM(A1406))*(TRIM(Innings!D:D)=TRIM(E1406)),0))</f>
        <v>9.4</v>
      </c>
      <c r="AB1406" cm="1">
        <f t="array" ref="AB1406">INDEX(Innings!J:J,MATCH(1,(TRIM(Innings!A:A)=TRIM(A1406))*(TRIM(Innings!D:D)=TRIM(E1406)),0))</f>
        <v>45</v>
      </c>
      <c r="AC1406" cm="1">
        <f t="array" ref="AC1406">INDEX(Innings!N:N,MATCH(1,(TRIM(Innings!A:A)=TRIM(A1406))*(TRIM(Innings!D:D)=TRIM(E1406)),0))</f>
        <v>54</v>
      </c>
      <c r="AD1406" cm="1">
        <f t="array" ref="AD1406">INDEX(Innings!S:S,MATCH(1,(TRIM(Innings!A:A)=TRIM(A1406))*(TRIM(Innings!D:D)=TRIM(E1406)),0))</f>
        <v>38</v>
      </c>
      <c r="AE1406" t="str" cm="1">
        <f t="array" ref="AE1406">INDEX(Innings!W:W,MATCH(1,(TRIM(Innings!A:A)=TRIM(A1406))*(TRIM(Innings!D:D)=TRIM(E1406)),0))</f>
        <v>Failed</v>
      </c>
      <c r="AF1406">
        <f>IF(UPPER(TRIM(E1406))=UPPER(TRIM(W1406)),1,0)</f>
        <v>0</v>
      </c>
      <c r="AG1406">
        <f t="shared" si="42"/>
        <v>15.9</v>
      </c>
    </row>
    <row r="1407" spans="1:33" x14ac:dyDescent="0.3">
      <c r="A1407" t="s">
        <v>481</v>
      </c>
      <c r="B1407">
        <v>3</v>
      </c>
      <c r="C1407" t="s">
        <v>265</v>
      </c>
      <c r="D1407" t="s">
        <v>264</v>
      </c>
      <c r="E1407" t="s">
        <v>266</v>
      </c>
      <c r="F1407" t="s">
        <v>101</v>
      </c>
      <c r="G1407" t="s">
        <v>134</v>
      </c>
      <c r="H1407">
        <v>4</v>
      </c>
      <c r="I1407">
        <v>1</v>
      </c>
      <c r="J1407">
        <v>400</v>
      </c>
      <c r="K1407" t="s">
        <v>96</v>
      </c>
      <c r="L1407">
        <v>10</v>
      </c>
      <c r="M1407">
        <v>4</v>
      </c>
      <c r="N1407">
        <v>0</v>
      </c>
      <c r="O1407">
        <v>41</v>
      </c>
      <c r="P1407">
        <v>0</v>
      </c>
      <c r="Q1407">
        <v>10.199999999999999</v>
      </c>
      <c r="R1407">
        <v>0</v>
      </c>
      <c r="S1407">
        <v>0</v>
      </c>
      <c r="T1407">
        <v>0</v>
      </c>
      <c r="U1407" s="8">
        <v>10</v>
      </c>
      <c r="V1407" s="8">
        <f t="shared" si="43"/>
        <v>1</v>
      </c>
      <c r="W1407" t="str">
        <f>_xlfn.XLOOKUP(A1407, Matches!A:A, Matches!L:L, "NA", 0)</f>
        <v>RCBW</v>
      </c>
      <c r="X1407" t="str">
        <f>_xlfn.XLOOKUP(A1407, Matches!A:A, Matches!J:J, "NA", 0)</f>
        <v>MIW</v>
      </c>
      <c r="Y1407" t="str">
        <f>_xlfn.XLOOKUP(A1407, Matches!A:A, Matches!F:F, "NA", 0)</f>
        <v>Brabourne Stadium</v>
      </c>
      <c r="Z1407" cm="1">
        <f t="array" ref="Z1407">INDEX(Innings!F:F,MATCH(1,(TRIM(Innings!A:A)=TRIM(A1407))*(TRIM(Innings!D:D)=TRIM(E1407)),0))</f>
        <v>188</v>
      </c>
      <c r="AA1407" cm="1">
        <f t="array" ref="AA1407">INDEX(Innings!I:I,MATCH(1,(TRIM(Innings!A:A)=TRIM(A1407))*(TRIM(Innings!D:D)=TRIM(E1407)),0))</f>
        <v>9.4</v>
      </c>
      <c r="AB1407" cm="1">
        <f t="array" ref="AB1407">INDEX(Innings!J:J,MATCH(1,(TRIM(Innings!A:A)=TRIM(A1407))*(TRIM(Innings!D:D)=TRIM(E1407)),0))</f>
        <v>45</v>
      </c>
      <c r="AC1407" cm="1">
        <f t="array" ref="AC1407">INDEX(Innings!N:N,MATCH(1,(TRIM(Innings!A:A)=TRIM(A1407))*(TRIM(Innings!D:D)=TRIM(E1407)),0))</f>
        <v>54</v>
      </c>
      <c r="AD1407" cm="1">
        <f t="array" ref="AD1407">INDEX(Innings!S:S,MATCH(1,(TRIM(Innings!A:A)=TRIM(A1407))*(TRIM(Innings!D:D)=TRIM(E1407)),0))</f>
        <v>38</v>
      </c>
      <c r="AE1407" t="str" cm="1">
        <f t="array" ref="AE1407">INDEX(Innings!W:W,MATCH(1,(TRIM(Innings!A:A)=TRIM(A1407))*(TRIM(Innings!D:D)=TRIM(E1407)),0))</f>
        <v>Failed</v>
      </c>
      <c r="AF1407">
        <f>IF(UPPER(TRIM(E1407))=UPPER(TRIM(W1407)),1,0)</f>
        <v>0</v>
      </c>
      <c r="AG1407">
        <f t="shared" si="42"/>
        <v>5.3</v>
      </c>
    </row>
    <row r="1408" spans="1:33" x14ac:dyDescent="0.3">
      <c r="A1408" t="s">
        <v>481</v>
      </c>
      <c r="B1408">
        <v>3</v>
      </c>
      <c r="C1408" t="s">
        <v>511</v>
      </c>
      <c r="D1408" t="s">
        <v>539</v>
      </c>
      <c r="E1408" t="s">
        <v>266</v>
      </c>
      <c r="F1408" t="s">
        <v>101</v>
      </c>
      <c r="G1408" t="s">
        <v>134</v>
      </c>
      <c r="H1408">
        <v>0</v>
      </c>
      <c r="I1408">
        <v>1</v>
      </c>
      <c r="J1408">
        <v>0</v>
      </c>
      <c r="K1408" t="s">
        <v>96</v>
      </c>
      <c r="L1408">
        <v>0</v>
      </c>
      <c r="M1408">
        <v>2</v>
      </c>
      <c r="N1408">
        <v>0</v>
      </c>
      <c r="O1408">
        <v>24</v>
      </c>
      <c r="P1408">
        <v>0</v>
      </c>
      <c r="Q1408">
        <v>12</v>
      </c>
      <c r="R1408">
        <v>0</v>
      </c>
      <c r="S1408">
        <v>0</v>
      </c>
      <c r="T1408">
        <v>0</v>
      </c>
      <c r="U1408" s="8">
        <v>0</v>
      </c>
      <c r="V1408" s="8">
        <f t="shared" si="43"/>
        <v>0</v>
      </c>
      <c r="W1408" t="str">
        <f>_xlfn.XLOOKUP(A1408, Matches!A:A, Matches!L:L, "NA", 0)</f>
        <v>RCBW</v>
      </c>
      <c r="X1408" t="str">
        <f>_xlfn.XLOOKUP(A1408, Matches!A:A, Matches!J:J, "NA", 0)</f>
        <v>MIW</v>
      </c>
      <c r="Y1408" t="str">
        <f>_xlfn.XLOOKUP(A1408, Matches!A:A, Matches!F:F, "NA", 0)</f>
        <v>Brabourne Stadium</v>
      </c>
      <c r="Z1408" cm="1">
        <f t="array" ref="Z1408">INDEX(Innings!F:F,MATCH(1,(TRIM(Innings!A:A)=TRIM(A1408))*(TRIM(Innings!D:D)=TRIM(E1408)),0))</f>
        <v>188</v>
      </c>
      <c r="AA1408" cm="1">
        <f t="array" ref="AA1408">INDEX(Innings!I:I,MATCH(1,(TRIM(Innings!A:A)=TRIM(A1408))*(TRIM(Innings!D:D)=TRIM(E1408)),0))</f>
        <v>9.4</v>
      </c>
      <c r="AB1408" cm="1">
        <f t="array" ref="AB1408">INDEX(Innings!J:J,MATCH(1,(TRIM(Innings!A:A)=TRIM(A1408))*(TRIM(Innings!D:D)=TRIM(E1408)),0))</f>
        <v>45</v>
      </c>
      <c r="AC1408" cm="1">
        <f t="array" ref="AC1408">INDEX(Innings!N:N,MATCH(1,(TRIM(Innings!A:A)=TRIM(A1408))*(TRIM(Innings!D:D)=TRIM(E1408)),0))</f>
        <v>54</v>
      </c>
      <c r="AD1408" cm="1">
        <f t="array" ref="AD1408">INDEX(Innings!S:S,MATCH(1,(TRIM(Innings!A:A)=TRIM(A1408))*(TRIM(Innings!D:D)=TRIM(E1408)),0))</f>
        <v>38</v>
      </c>
      <c r="AE1408" t="str" cm="1">
        <f t="array" ref="AE1408">INDEX(Innings!W:W,MATCH(1,(TRIM(Innings!A:A)=TRIM(A1408))*(TRIM(Innings!D:D)=TRIM(E1408)),0))</f>
        <v>Failed</v>
      </c>
      <c r="AF1408">
        <f>IF(UPPER(TRIM(E1408))=UPPER(TRIM(W1408)),1,0)</f>
        <v>0</v>
      </c>
      <c r="AG1408">
        <f t="shared" si="42"/>
        <v>0</v>
      </c>
    </row>
    <row r="1409" spans="1:33" x14ac:dyDescent="0.3">
      <c r="A1409" t="s">
        <v>482</v>
      </c>
      <c r="B1409">
        <v>3</v>
      </c>
      <c r="C1409" t="s">
        <v>113</v>
      </c>
      <c r="D1409" t="s">
        <v>84</v>
      </c>
      <c r="E1409" t="s">
        <v>266</v>
      </c>
      <c r="F1409" t="s">
        <v>85</v>
      </c>
      <c r="G1409" t="s">
        <v>92</v>
      </c>
      <c r="H1409">
        <v>15</v>
      </c>
      <c r="I1409">
        <v>14</v>
      </c>
      <c r="J1409">
        <v>107.14</v>
      </c>
      <c r="K1409" t="s">
        <v>246</v>
      </c>
      <c r="L1409">
        <v>20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 s="8">
        <v>20</v>
      </c>
      <c r="V1409" s="8">
        <f t="shared" si="43"/>
        <v>2</v>
      </c>
      <c r="W1409" t="str">
        <f>_xlfn.XLOOKUP(A1409, Matches!A:A, Matches!L:L, "NA", 0)</f>
        <v>MIW</v>
      </c>
      <c r="X1409" t="str">
        <f>_xlfn.XLOOKUP(A1409, Matches!A:A, Matches!J:J, "NA", 0)</f>
        <v>GGTW</v>
      </c>
      <c r="Y1409" t="str">
        <f>_xlfn.XLOOKUP(A1409, Matches!A:A, Matches!F:F, "NA", 0)</f>
        <v>Brabourne Stadium</v>
      </c>
      <c r="Z1409" cm="1">
        <f t="array" ref="Z1409">INDEX(Innings!F:F,MATCH(1,(TRIM(Innings!A:A)=TRIM(A1409))*(TRIM(Innings!D:D)=TRIM(E1409)),0))</f>
        <v>213</v>
      </c>
      <c r="AA1409" cm="1">
        <f t="array" ref="AA1409">INDEX(Innings!I:I,MATCH(1,(TRIM(Innings!A:A)=TRIM(A1409))*(TRIM(Innings!D:D)=TRIM(E1409)),0))</f>
        <v>10.65</v>
      </c>
      <c r="AB1409" cm="1">
        <f t="array" ref="AB1409">INDEX(Innings!J:J,MATCH(1,(TRIM(Innings!A:A)=TRIM(A1409))*(TRIM(Innings!D:D)=TRIM(E1409)),0))</f>
        <v>37</v>
      </c>
      <c r="AC1409" cm="1">
        <f t="array" ref="AC1409">INDEX(Innings!N:N,MATCH(1,(TRIM(Innings!A:A)=TRIM(A1409))*(TRIM(Innings!D:D)=TRIM(E1409)),0))</f>
        <v>54</v>
      </c>
      <c r="AD1409" cm="1">
        <f t="array" ref="AD1409">INDEX(Innings!S:S,MATCH(1,(TRIM(Innings!A:A)=TRIM(A1409))*(TRIM(Innings!D:D)=TRIM(E1409)),0))</f>
        <v>31</v>
      </c>
      <c r="AE1409" t="str" cm="1">
        <f t="array" ref="AE1409">INDEX(Innings!W:W,MATCH(1,(TRIM(Innings!A:A)=TRIM(A1409))*(TRIM(Innings!D:D)=TRIM(E1409)),0))</f>
        <v>NA</v>
      </c>
      <c r="AF1409">
        <f>IF(UPPER(TRIM(E1409))=UPPER(TRIM(W1409)),1,0)</f>
        <v>1</v>
      </c>
      <c r="AG1409">
        <f t="shared" ref="AG1409:AG1471" si="44">(0.5*MAX(0,U1409) + 0.3*MAX(0,V1409) + 0.2*AF1409*100)</f>
        <v>30.6</v>
      </c>
    </row>
    <row r="1410" spans="1:33" x14ac:dyDescent="0.3">
      <c r="A1410" t="s">
        <v>482</v>
      </c>
      <c r="B1410">
        <v>3</v>
      </c>
      <c r="C1410" t="s">
        <v>112</v>
      </c>
      <c r="D1410" t="s">
        <v>88</v>
      </c>
      <c r="E1410" t="s">
        <v>266</v>
      </c>
      <c r="F1410" t="s">
        <v>169</v>
      </c>
      <c r="G1410" t="s">
        <v>86</v>
      </c>
      <c r="H1410">
        <v>77</v>
      </c>
      <c r="I1410">
        <v>50</v>
      </c>
      <c r="J1410">
        <v>154</v>
      </c>
      <c r="K1410" t="s">
        <v>246</v>
      </c>
      <c r="L1410">
        <v>95</v>
      </c>
      <c r="M1410">
        <v>3.2</v>
      </c>
      <c r="N1410">
        <v>0</v>
      </c>
      <c r="O1410">
        <v>31</v>
      </c>
      <c r="P1410">
        <v>3</v>
      </c>
      <c r="Q1410">
        <v>9.3000000000000007</v>
      </c>
      <c r="R1410">
        <v>75</v>
      </c>
      <c r="S1410">
        <v>0</v>
      </c>
      <c r="T1410">
        <v>0</v>
      </c>
      <c r="U1410" s="8">
        <v>170</v>
      </c>
      <c r="V1410" s="8">
        <f t="shared" si="43"/>
        <v>10</v>
      </c>
      <c r="W1410" t="str">
        <f>_xlfn.XLOOKUP(A1410, Matches!A:A, Matches!L:L, "NA", 0)</f>
        <v>MIW</v>
      </c>
      <c r="X1410" t="str">
        <f>_xlfn.XLOOKUP(A1410, Matches!A:A, Matches!J:J, "NA", 0)</f>
        <v>GGTW</v>
      </c>
      <c r="Y1410" t="str">
        <f>_xlfn.XLOOKUP(A1410, Matches!A:A, Matches!F:F, "NA", 0)</f>
        <v>Brabourne Stadium</v>
      </c>
      <c r="Z1410" cm="1">
        <f t="array" ref="Z1410">INDEX(Innings!F:F,MATCH(1,(TRIM(Innings!A:A)=TRIM(A1410))*(TRIM(Innings!D:D)=TRIM(E1410)),0))</f>
        <v>213</v>
      </c>
      <c r="AA1410" cm="1">
        <f t="array" ref="AA1410">INDEX(Innings!I:I,MATCH(1,(TRIM(Innings!A:A)=TRIM(A1410))*(TRIM(Innings!D:D)=TRIM(E1410)),0))</f>
        <v>10.65</v>
      </c>
      <c r="AB1410" cm="1">
        <f t="array" ref="AB1410">INDEX(Innings!J:J,MATCH(1,(TRIM(Innings!A:A)=TRIM(A1410))*(TRIM(Innings!D:D)=TRIM(E1410)),0))</f>
        <v>37</v>
      </c>
      <c r="AC1410" cm="1">
        <f t="array" ref="AC1410">INDEX(Innings!N:N,MATCH(1,(TRIM(Innings!A:A)=TRIM(A1410))*(TRIM(Innings!D:D)=TRIM(E1410)),0))</f>
        <v>54</v>
      </c>
      <c r="AD1410" cm="1">
        <f t="array" ref="AD1410">INDEX(Innings!S:S,MATCH(1,(TRIM(Innings!A:A)=TRIM(A1410))*(TRIM(Innings!D:D)=TRIM(E1410)),0))</f>
        <v>31</v>
      </c>
      <c r="AE1410" t="str" cm="1">
        <f t="array" ref="AE1410">INDEX(Innings!W:W,MATCH(1,(TRIM(Innings!A:A)=TRIM(A1410))*(TRIM(Innings!D:D)=TRIM(E1410)),0))</f>
        <v>NA</v>
      </c>
      <c r="AF1410">
        <f>IF(UPPER(TRIM(E1410))=UPPER(TRIM(W1410)),1,0)</f>
        <v>1</v>
      </c>
      <c r="AG1410">
        <f t="shared" si="44"/>
        <v>108</v>
      </c>
    </row>
    <row r="1411" spans="1:33" x14ac:dyDescent="0.3">
      <c r="A1411" t="s">
        <v>482</v>
      </c>
      <c r="B1411">
        <v>3</v>
      </c>
      <c r="C1411" t="s">
        <v>117</v>
      </c>
      <c r="D1411" t="s">
        <v>90</v>
      </c>
      <c r="E1411" t="s">
        <v>266</v>
      </c>
      <c r="F1411" t="s">
        <v>169</v>
      </c>
      <c r="G1411" t="s">
        <v>92</v>
      </c>
      <c r="H1411">
        <v>77</v>
      </c>
      <c r="I1411">
        <v>41</v>
      </c>
      <c r="J1411">
        <v>187.8</v>
      </c>
      <c r="K1411" t="s">
        <v>246</v>
      </c>
      <c r="L1411">
        <v>100</v>
      </c>
      <c r="M1411">
        <v>4</v>
      </c>
      <c r="N1411">
        <v>0</v>
      </c>
      <c r="O1411">
        <v>31</v>
      </c>
      <c r="P1411">
        <v>1</v>
      </c>
      <c r="Q1411">
        <v>7.8</v>
      </c>
      <c r="R1411">
        <v>35</v>
      </c>
      <c r="S1411">
        <v>0</v>
      </c>
      <c r="T1411">
        <v>0</v>
      </c>
      <c r="U1411" s="8">
        <v>135</v>
      </c>
      <c r="V1411" s="8">
        <f t="shared" ref="V1411:V1474" si="45">MIN(10, MAX(0, ROUND(U1411/10,0)))</f>
        <v>10</v>
      </c>
      <c r="W1411" t="str">
        <f>_xlfn.XLOOKUP(A1411, Matches!A:A, Matches!L:L, "NA", 0)</f>
        <v>MIW</v>
      </c>
      <c r="X1411" t="str">
        <f>_xlfn.XLOOKUP(A1411, Matches!A:A, Matches!J:J, "NA", 0)</f>
        <v>GGTW</v>
      </c>
      <c r="Y1411" t="str">
        <f>_xlfn.XLOOKUP(A1411, Matches!A:A, Matches!F:F, "NA", 0)</f>
        <v>Brabourne Stadium</v>
      </c>
      <c r="Z1411" cm="1">
        <f t="array" ref="Z1411">INDEX(Innings!F:F,MATCH(1,(TRIM(Innings!A:A)=TRIM(A1411))*(TRIM(Innings!D:D)=TRIM(E1411)),0))</f>
        <v>213</v>
      </c>
      <c r="AA1411" cm="1">
        <f t="array" ref="AA1411">INDEX(Innings!I:I,MATCH(1,(TRIM(Innings!A:A)=TRIM(A1411))*(TRIM(Innings!D:D)=TRIM(E1411)),0))</f>
        <v>10.65</v>
      </c>
      <c r="AB1411" cm="1">
        <f t="array" ref="AB1411">INDEX(Innings!J:J,MATCH(1,(TRIM(Innings!A:A)=TRIM(A1411))*(TRIM(Innings!D:D)=TRIM(E1411)),0))</f>
        <v>37</v>
      </c>
      <c r="AC1411" cm="1">
        <f t="array" ref="AC1411">INDEX(Innings!N:N,MATCH(1,(TRIM(Innings!A:A)=TRIM(A1411))*(TRIM(Innings!D:D)=TRIM(E1411)),0))</f>
        <v>54</v>
      </c>
      <c r="AD1411" cm="1">
        <f t="array" ref="AD1411">INDEX(Innings!S:S,MATCH(1,(TRIM(Innings!A:A)=TRIM(A1411))*(TRIM(Innings!D:D)=TRIM(E1411)),0))</f>
        <v>31</v>
      </c>
      <c r="AE1411" t="str" cm="1">
        <f t="array" ref="AE1411">INDEX(Innings!W:W,MATCH(1,(TRIM(Innings!A:A)=TRIM(A1411))*(TRIM(Innings!D:D)=TRIM(E1411)),0))</f>
        <v>NA</v>
      </c>
      <c r="AF1411">
        <f>IF(UPPER(TRIM(E1411))=UPPER(TRIM(W1411)),1,0)</f>
        <v>1</v>
      </c>
      <c r="AG1411">
        <f t="shared" si="44"/>
        <v>90.5</v>
      </c>
    </row>
    <row r="1412" spans="1:33" x14ac:dyDescent="0.3">
      <c r="A1412" t="s">
        <v>482</v>
      </c>
      <c r="B1412">
        <v>3</v>
      </c>
      <c r="C1412" t="s">
        <v>115</v>
      </c>
      <c r="D1412" t="s">
        <v>17</v>
      </c>
      <c r="E1412" t="s">
        <v>266</v>
      </c>
      <c r="F1412" t="s">
        <v>169</v>
      </c>
      <c r="G1412" t="s">
        <v>134</v>
      </c>
      <c r="H1412">
        <v>36</v>
      </c>
      <c r="I1412">
        <v>12</v>
      </c>
      <c r="J1412">
        <v>300</v>
      </c>
      <c r="K1412" t="s">
        <v>256</v>
      </c>
      <c r="L1412">
        <v>55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 s="8">
        <v>55</v>
      </c>
      <c r="V1412" s="8">
        <f t="shared" si="45"/>
        <v>6</v>
      </c>
      <c r="W1412" t="str">
        <f>_xlfn.XLOOKUP(A1412, Matches!A:A, Matches!L:L, "NA", 0)</f>
        <v>MIW</v>
      </c>
      <c r="X1412" t="str">
        <f>_xlfn.XLOOKUP(A1412, Matches!A:A, Matches!J:J, "NA", 0)</f>
        <v>GGTW</v>
      </c>
      <c r="Y1412" t="str">
        <f>_xlfn.XLOOKUP(A1412, Matches!A:A, Matches!F:F, "NA", 0)</f>
        <v>Brabourne Stadium</v>
      </c>
      <c r="Z1412" cm="1">
        <f t="array" ref="Z1412">INDEX(Innings!F:F,MATCH(1,(TRIM(Innings!A:A)=TRIM(A1412))*(TRIM(Innings!D:D)=TRIM(E1412)),0))</f>
        <v>213</v>
      </c>
      <c r="AA1412" cm="1">
        <f t="array" ref="AA1412">INDEX(Innings!I:I,MATCH(1,(TRIM(Innings!A:A)=TRIM(A1412))*(TRIM(Innings!D:D)=TRIM(E1412)),0))</f>
        <v>10.65</v>
      </c>
      <c r="AB1412" cm="1">
        <f t="array" ref="AB1412">INDEX(Innings!J:J,MATCH(1,(TRIM(Innings!A:A)=TRIM(A1412))*(TRIM(Innings!D:D)=TRIM(E1412)),0))</f>
        <v>37</v>
      </c>
      <c r="AC1412" cm="1">
        <f t="array" ref="AC1412">INDEX(Innings!N:N,MATCH(1,(TRIM(Innings!A:A)=TRIM(A1412))*(TRIM(Innings!D:D)=TRIM(E1412)),0))</f>
        <v>54</v>
      </c>
      <c r="AD1412" cm="1">
        <f t="array" ref="AD1412">INDEX(Innings!S:S,MATCH(1,(TRIM(Innings!A:A)=TRIM(A1412))*(TRIM(Innings!D:D)=TRIM(E1412)),0))</f>
        <v>31</v>
      </c>
      <c r="AE1412" t="str" cm="1">
        <f t="array" ref="AE1412">INDEX(Innings!W:W,MATCH(1,(TRIM(Innings!A:A)=TRIM(A1412))*(TRIM(Innings!D:D)=TRIM(E1412)),0))</f>
        <v>NA</v>
      </c>
      <c r="AF1412">
        <f>IF(UPPER(TRIM(E1412))=UPPER(TRIM(W1412)),1,0)</f>
        <v>1</v>
      </c>
      <c r="AG1412">
        <f t="shared" si="44"/>
        <v>49.3</v>
      </c>
    </row>
    <row r="1413" spans="1:33" x14ac:dyDescent="0.3">
      <c r="A1413" t="s">
        <v>482</v>
      </c>
      <c r="B1413">
        <v>3</v>
      </c>
      <c r="C1413" t="s">
        <v>347</v>
      </c>
      <c r="D1413" t="s">
        <v>348</v>
      </c>
      <c r="E1413" t="s">
        <v>266</v>
      </c>
      <c r="F1413" t="s">
        <v>169</v>
      </c>
      <c r="G1413" t="s">
        <v>134</v>
      </c>
      <c r="H1413">
        <v>1</v>
      </c>
      <c r="I1413">
        <v>3</v>
      </c>
      <c r="J1413">
        <v>33.33</v>
      </c>
      <c r="K1413" t="s">
        <v>96</v>
      </c>
      <c r="L1413">
        <v>6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 s="8">
        <v>6</v>
      </c>
      <c r="V1413" s="8">
        <f t="shared" si="45"/>
        <v>1</v>
      </c>
      <c r="W1413" t="str">
        <f>_xlfn.XLOOKUP(A1413, Matches!A:A, Matches!L:L, "NA", 0)</f>
        <v>MIW</v>
      </c>
      <c r="X1413" t="str">
        <f>_xlfn.XLOOKUP(A1413, Matches!A:A, Matches!J:J, "NA", 0)</f>
        <v>GGTW</v>
      </c>
      <c r="Y1413" t="str">
        <f>_xlfn.XLOOKUP(A1413, Matches!A:A, Matches!F:F, "NA", 0)</f>
        <v>Brabourne Stadium</v>
      </c>
      <c r="Z1413" cm="1">
        <f t="array" ref="Z1413">INDEX(Innings!F:F,MATCH(1,(TRIM(Innings!A:A)=TRIM(A1413))*(TRIM(Innings!D:D)=TRIM(E1413)),0))</f>
        <v>213</v>
      </c>
      <c r="AA1413" cm="1">
        <f t="array" ref="AA1413">INDEX(Innings!I:I,MATCH(1,(TRIM(Innings!A:A)=TRIM(A1413))*(TRIM(Innings!D:D)=TRIM(E1413)),0))</f>
        <v>10.65</v>
      </c>
      <c r="AB1413" cm="1">
        <f t="array" ref="AB1413">INDEX(Innings!J:J,MATCH(1,(TRIM(Innings!A:A)=TRIM(A1413))*(TRIM(Innings!D:D)=TRIM(E1413)),0))</f>
        <v>37</v>
      </c>
      <c r="AC1413" cm="1">
        <f t="array" ref="AC1413">INDEX(Innings!N:N,MATCH(1,(TRIM(Innings!A:A)=TRIM(A1413))*(TRIM(Innings!D:D)=TRIM(E1413)),0))</f>
        <v>54</v>
      </c>
      <c r="AD1413" cm="1">
        <f t="array" ref="AD1413">INDEX(Innings!S:S,MATCH(1,(TRIM(Innings!A:A)=TRIM(A1413))*(TRIM(Innings!D:D)=TRIM(E1413)),0))</f>
        <v>31</v>
      </c>
      <c r="AE1413" t="str" cm="1">
        <f t="array" ref="AE1413">INDEX(Innings!W:W,MATCH(1,(TRIM(Innings!A:A)=TRIM(A1413))*(TRIM(Innings!D:D)=TRIM(E1413)),0))</f>
        <v>NA</v>
      </c>
      <c r="AF1413">
        <f>IF(UPPER(TRIM(E1413))=UPPER(TRIM(W1413)),1,0)</f>
        <v>1</v>
      </c>
      <c r="AG1413">
        <f t="shared" si="44"/>
        <v>23.3</v>
      </c>
    </row>
    <row r="1414" spans="1:33" x14ac:dyDescent="0.3">
      <c r="A1414" t="s">
        <v>482</v>
      </c>
      <c r="B1414">
        <v>3</v>
      </c>
      <c r="C1414" t="s">
        <v>119</v>
      </c>
      <c r="D1414" t="s">
        <v>95</v>
      </c>
      <c r="E1414" t="s">
        <v>266</v>
      </c>
      <c r="F1414" t="s">
        <v>169</v>
      </c>
      <c r="G1414" t="s">
        <v>104</v>
      </c>
      <c r="H1414">
        <v>0</v>
      </c>
      <c r="I1414">
        <v>0</v>
      </c>
      <c r="J1414">
        <v>0</v>
      </c>
      <c r="K1414" t="s">
        <v>104</v>
      </c>
      <c r="L1414">
        <v>0</v>
      </c>
      <c r="M1414">
        <v>4</v>
      </c>
      <c r="N1414">
        <v>0</v>
      </c>
      <c r="O1414">
        <v>28</v>
      </c>
      <c r="P1414">
        <v>2</v>
      </c>
      <c r="Q1414">
        <v>7</v>
      </c>
      <c r="R1414">
        <v>50</v>
      </c>
      <c r="S1414">
        <v>0</v>
      </c>
      <c r="T1414">
        <v>0</v>
      </c>
      <c r="U1414" s="8">
        <v>50</v>
      </c>
      <c r="V1414" s="8">
        <f t="shared" si="45"/>
        <v>5</v>
      </c>
      <c r="W1414" t="str">
        <f>_xlfn.XLOOKUP(A1414, Matches!A:A, Matches!L:L, "NA", 0)</f>
        <v>MIW</v>
      </c>
      <c r="X1414" t="str">
        <f>_xlfn.XLOOKUP(A1414, Matches!A:A, Matches!J:J, "NA", 0)</f>
        <v>GGTW</v>
      </c>
      <c r="Y1414" t="str">
        <f>_xlfn.XLOOKUP(A1414, Matches!A:A, Matches!F:F, "NA", 0)</f>
        <v>Brabourne Stadium</v>
      </c>
      <c r="Z1414" cm="1">
        <f t="array" ref="Z1414">INDEX(Innings!F:F,MATCH(1,(TRIM(Innings!A:A)=TRIM(A1414))*(TRIM(Innings!D:D)=TRIM(E1414)),0))</f>
        <v>213</v>
      </c>
      <c r="AA1414" cm="1">
        <f t="array" ref="AA1414">INDEX(Innings!I:I,MATCH(1,(TRIM(Innings!A:A)=TRIM(A1414))*(TRIM(Innings!D:D)=TRIM(E1414)),0))</f>
        <v>10.65</v>
      </c>
      <c r="AB1414" cm="1">
        <f t="array" ref="AB1414">INDEX(Innings!J:J,MATCH(1,(TRIM(Innings!A:A)=TRIM(A1414))*(TRIM(Innings!D:D)=TRIM(E1414)),0))</f>
        <v>37</v>
      </c>
      <c r="AC1414" cm="1">
        <f t="array" ref="AC1414">INDEX(Innings!N:N,MATCH(1,(TRIM(Innings!A:A)=TRIM(A1414))*(TRIM(Innings!D:D)=TRIM(E1414)),0))</f>
        <v>54</v>
      </c>
      <c r="AD1414" cm="1">
        <f t="array" ref="AD1414">INDEX(Innings!S:S,MATCH(1,(TRIM(Innings!A:A)=TRIM(A1414))*(TRIM(Innings!D:D)=TRIM(E1414)),0))</f>
        <v>31</v>
      </c>
      <c r="AE1414" t="str" cm="1">
        <f t="array" ref="AE1414">INDEX(Innings!W:W,MATCH(1,(TRIM(Innings!A:A)=TRIM(A1414))*(TRIM(Innings!D:D)=TRIM(E1414)),0))</f>
        <v>NA</v>
      </c>
      <c r="AF1414">
        <f>IF(UPPER(TRIM(E1414))=UPPER(TRIM(W1414)),1,0)</f>
        <v>1</v>
      </c>
      <c r="AG1414">
        <f t="shared" si="44"/>
        <v>46.5</v>
      </c>
    </row>
    <row r="1415" spans="1:33" x14ac:dyDescent="0.3">
      <c r="A1415" t="s">
        <v>482</v>
      </c>
      <c r="B1415">
        <v>3</v>
      </c>
      <c r="C1415" t="s">
        <v>121</v>
      </c>
      <c r="D1415" t="s">
        <v>108</v>
      </c>
      <c r="E1415" t="s">
        <v>266</v>
      </c>
      <c r="F1415" t="s">
        <v>169</v>
      </c>
      <c r="G1415" t="s">
        <v>104</v>
      </c>
      <c r="H1415">
        <v>0</v>
      </c>
      <c r="I1415">
        <v>0</v>
      </c>
      <c r="J1415">
        <v>0</v>
      </c>
      <c r="K1415" t="s">
        <v>104</v>
      </c>
      <c r="L1415">
        <v>0</v>
      </c>
      <c r="M1415">
        <v>3</v>
      </c>
      <c r="N1415">
        <v>0</v>
      </c>
      <c r="O1415">
        <v>32</v>
      </c>
      <c r="P1415">
        <v>0</v>
      </c>
      <c r="Q1415">
        <v>10.7</v>
      </c>
      <c r="R1415">
        <v>-5</v>
      </c>
      <c r="S1415">
        <v>0</v>
      </c>
      <c r="T1415">
        <v>0</v>
      </c>
      <c r="U1415" s="8">
        <v>-5</v>
      </c>
      <c r="V1415" s="8">
        <f t="shared" si="45"/>
        <v>0</v>
      </c>
      <c r="W1415" t="str">
        <f>_xlfn.XLOOKUP(A1415, Matches!A:A, Matches!L:L, "NA", 0)</f>
        <v>MIW</v>
      </c>
      <c r="X1415" t="str">
        <f>_xlfn.XLOOKUP(A1415, Matches!A:A, Matches!J:J, "NA", 0)</f>
        <v>GGTW</v>
      </c>
      <c r="Y1415" t="str">
        <f>_xlfn.XLOOKUP(A1415, Matches!A:A, Matches!F:F, "NA", 0)</f>
        <v>Brabourne Stadium</v>
      </c>
      <c r="Z1415" cm="1">
        <f t="array" ref="Z1415">INDEX(Innings!F:F,MATCH(1,(TRIM(Innings!A:A)=TRIM(A1415))*(TRIM(Innings!D:D)=TRIM(E1415)),0))</f>
        <v>213</v>
      </c>
      <c r="AA1415" cm="1">
        <f t="array" ref="AA1415">INDEX(Innings!I:I,MATCH(1,(TRIM(Innings!A:A)=TRIM(A1415))*(TRIM(Innings!D:D)=TRIM(E1415)),0))</f>
        <v>10.65</v>
      </c>
      <c r="AB1415" cm="1">
        <f t="array" ref="AB1415">INDEX(Innings!J:J,MATCH(1,(TRIM(Innings!A:A)=TRIM(A1415))*(TRIM(Innings!D:D)=TRIM(E1415)),0))</f>
        <v>37</v>
      </c>
      <c r="AC1415" cm="1">
        <f t="array" ref="AC1415">INDEX(Innings!N:N,MATCH(1,(TRIM(Innings!A:A)=TRIM(A1415))*(TRIM(Innings!D:D)=TRIM(E1415)),0))</f>
        <v>54</v>
      </c>
      <c r="AD1415" cm="1">
        <f t="array" ref="AD1415">INDEX(Innings!S:S,MATCH(1,(TRIM(Innings!A:A)=TRIM(A1415))*(TRIM(Innings!D:D)=TRIM(E1415)),0))</f>
        <v>31</v>
      </c>
      <c r="AE1415" t="str" cm="1">
        <f t="array" ref="AE1415">INDEX(Innings!W:W,MATCH(1,(TRIM(Innings!A:A)=TRIM(A1415))*(TRIM(Innings!D:D)=TRIM(E1415)),0))</f>
        <v>NA</v>
      </c>
      <c r="AF1415">
        <f>IF(UPPER(TRIM(E1415))=UPPER(TRIM(W1415)),1,0)</f>
        <v>1</v>
      </c>
      <c r="AG1415">
        <f t="shared" si="44"/>
        <v>20</v>
      </c>
    </row>
    <row r="1416" spans="1:33" x14ac:dyDescent="0.3">
      <c r="A1416" t="s">
        <v>482</v>
      </c>
      <c r="B1416">
        <v>3</v>
      </c>
      <c r="C1416" t="s">
        <v>510</v>
      </c>
      <c r="D1416" t="s">
        <v>538</v>
      </c>
      <c r="E1416" t="s">
        <v>266</v>
      </c>
      <c r="F1416" t="s">
        <v>85</v>
      </c>
      <c r="G1416" t="s">
        <v>104</v>
      </c>
      <c r="H1416">
        <v>0</v>
      </c>
      <c r="I1416">
        <v>0</v>
      </c>
      <c r="J1416">
        <v>0</v>
      </c>
      <c r="K1416" t="s">
        <v>104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 s="8">
        <v>0</v>
      </c>
      <c r="V1416" s="8">
        <f t="shared" si="45"/>
        <v>0</v>
      </c>
      <c r="W1416" t="str">
        <f>_xlfn.XLOOKUP(A1416, Matches!A:A, Matches!L:L, "NA", 0)</f>
        <v>MIW</v>
      </c>
      <c r="X1416" t="str">
        <f>_xlfn.XLOOKUP(A1416, Matches!A:A, Matches!J:J, "NA", 0)</f>
        <v>GGTW</v>
      </c>
      <c r="Y1416" t="str">
        <f>_xlfn.XLOOKUP(A1416, Matches!A:A, Matches!F:F, "NA", 0)</f>
        <v>Brabourne Stadium</v>
      </c>
      <c r="Z1416" cm="1">
        <f t="array" ref="Z1416">INDEX(Innings!F:F,MATCH(1,(TRIM(Innings!A:A)=TRIM(A1416))*(TRIM(Innings!D:D)=TRIM(E1416)),0))</f>
        <v>213</v>
      </c>
      <c r="AA1416" cm="1">
        <f t="array" ref="AA1416">INDEX(Innings!I:I,MATCH(1,(TRIM(Innings!A:A)=TRIM(A1416))*(TRIM(Innings!D:D)=TRIM(E1416)),0))</f>
        <v>10.65</v>
      </c>
      <c r="AB1416" cm="1">
        <f t="array" ref="AB1416">INDEX(Innings!J:J,MATCH(1,(TRIM(Innings!A:A)=TRIM(A1416))*(TRIM(Innings!D:D)=TRIM(E1416)),0))</f>
        <v>37</v>
      </c>
      <c r="AC1416" cm="1">
        <f t="array" ref="AC1416">INDEX(Innings!N:N,MATCH(1,(TRIM(Innings!A:A)=TRIM(A1416))*(TRIM(Innings!D:D)=TRIM(E1416)),0))</f>
        <v>54</v>
      </c>
      <c r="AD1416" cm="1">
        <f t="array" ref="AD1416">INDEX(Innings!S:S,MATCH(1,(TRIM(Innings!A:A)=TRIM(A1416))*(TRIM(Innings!D:D)=TRIM(E1416)),0))</f>
        <v>31</v>
      </c>
      <c r="AE1416" t="str" cm="1">
        <f t="array" ref="AE1416">INDEX(Innings!W:W,MATCH(1,(TRIM(Innings!A:A)=TRIM(A1416))*(TRIM(Innings!D:D)=TRIM(E1416)),0))</f>
        <v>NA</v>
      </c>
      <c r="AF1416">
        <f>IF(UPPER(TRIM(E1416))=UPPER(TRIM(W1416)),1,0)</f>
        <v>1</v>
      </c>
      <c r="AG1416">
        <f t="shared" si="44"/>
        <v>20</v>
      </c>
    </row>
    <row r="1417" spans="1:33" x14ac:dyDescent="0.3">
      <c r="A1417" t="s">
        <v>482</v>
      </c>
      <c r="B1417">
        <v>3</v>
      </c>
      <c r="C1417" t="s">
        <v>507</v>
      </c>
      <c r="D1417" t="s">
        <v>519</v>
      </c>
      <c r="E1417" t="s">
        <v>266</v>
      </c>
      <c r="F1417" t="s">
        <v>169</v>
      </c>
      <c r="G1417" t="s">
        <v>104</v>
      </c>
      <c r="H1417">
        <v>0</v>
      </c>
      <c r="I1417">
        <v>0</v>
      </c>
      <c r="J1417">
        <v>0</v>
      </c>
      <c r="K1417" t="s">
        <v>104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 s="8">
        <v>0</v>
      </c>
      <c r="V1417" s="8">
        <f t="shared" si="45"/>
        <v>0</v>
      </c>
      <c r="W1417" t="str">
        <f>_xlfn.XLOOKUP(A1417, Matches!A:A, Matches!L:L, "NA", 0)</f>
        <v>MIW</v>
      </c>
      <c r="X1417" t="str">
        <f>_xlfn.XLOOKUP(A1417, Matches!A:A, Matches!J:J, "NA", 0)</f>
        <v>GGTW</v>
      </c>
      <c r="Y1417" t="str">
        <f>_xlfn.XLOOKUP(A1417, Matches!A:A, Matches!F:F, "NA", 0)</f>
        <v>Brabourne Stadium</v>
      </c>
      <c r="Z1417" cm="1">
        <f t="array" ref="Z1417">INDEX(Innings!F:F,MATCH(1,(TRIM(Innings!A:A)=TRIM(A1417))*(TRIM(Innings!D:D)=TRIM(E1417)),0))</f>
        <v>213</v>
      </c>
      <c r="AA1417" cm="1">
        <f t="array" ref="AA1417">INDEX(Innings!I:I,MATCH(1,(TRIM(Innings!A:A)=TRIM(A1417))*(TRIM(Innings!D:D)=TRIM(E1417)),0))</f>
        <v>10.65</v>
      </c>
      <c r="AB1417" cm="1">
        <f t="array" ref="AB1417">INDEX(Innings!J:J,MATCH(1,(TRIM(Innings!A:A)=TRIM(A1417))*(TRIM(Innings!D:D)=TRIM(E1417)),0))</f>
        <v>37</v>
      </c>
      <c r="AC1417" cm="1">
        <f t="array" ref="AC1417">INDEX(Innings!N:N,MATCH(1,(TRIM(Innings!A:A)=TRIM(A1417))*(TRIM(Innings!D:D)=TRIM(E1417)),0))</f>
        <v>54</v>
      </c>
      <c r="AD1417" cm="1">
        <f t="array" ref="AD1417">INDEX(Innings!S:S,MATCH(1,(TRIM(Innings!A:A)=TRIM(A1417))*(TRIM(Innings!D:D)=TRIM(E1417)),0))</f>
        <v>31</v>
      </c>
      <c r="AE1417" t="str" cm="1">
        <f t="array" ref="AE1417">INDEX(Innings!W:W,MATCH(1,(TRIM(Innings!A:A)=TRIM(A1417))*(TRIM(Innings!D:D)=TRIM(E1417)),0))</f>
        <v>NA</v>
      </c>
      <c r="AF1417">
        <f>IF(UPPER(TRIM(E1417))=UPPER(TRIM(W1417)),1,0)</f>
        <v>1</v>
      </c>
      <c r="AG1417">
        <f t="shared" si="44"/>
        <v>20</v>
      </c>
    </row>
    <row r="1418" spans="1:33" x14ac:dyDescent="0.3">
      <c r="A1418" t="s">
        <v>482</v>
      </c>
      <c r="B1418">
        <v>3</v>
      </c>
      <c r="C1418" t="s">
        <v>265</v>
      </c>
      <c r="D1418" t="s">
        <v>264</v>
      </c>
      <c r="E1418" t="s">
        <v>266</v>
      </c>
      <c r="F1418" t="s">
        <v>101</v>
      </c>
      <c r="G1418" t="s">
        <v>104</v>
      </c>
      <c r="H1418">
        <v>0</v>
      </c>
      <c r="I1418">
        <v>0</v>
      </c>
      <c r="J1418">
        <v>0</v>
      </c>
      <c r="K1418" t="s">
        <v>104</v>
      </c>
      <c r="L1418">
        <v>0</v>
      </c>
      <c r="M1418">
        <v>4</v>
      </c>
      <c r="N1418">
        <v>0</v>
      </c>
      <c r="O1418">
        <v>35</v>
      </c>
      <c r="P1418">
        <v>1</v>
      </c>
      <c r="Q1418">
        <v>8.8000000000000007</v>
      </c>
      <c r="R1418">
        <v>25</v>
      </c>
      <c r="S1418">
        <v>0</v>
      </c>
      <c r="T1418">
        <v>0</v>
      </c>
      <c r="U1418" s="8">
        <v>25</v>
      </c>
      <c r="V1418" s="8">
        <f t="shared" si="45"/>
        <v>3</v>
      </c>
      <c r="W1418" t="str">
        <f>_xlfn.XLOOKUP(A1418, Matches!A:A, Matches!L:L, "NA", 0)</f>
        <v>MIW</v>
      </c>
      <c r="X1418" t="str">
        <f>_xlfn.XLOOKUP(A1418, Matches!A:A, Matches!J:J, "NA", 0)</f>
        <v>GGTW</v>
      </c>
      <c r="Y1418" t="str">
        <f>_xlfn.XLOOKUP(A1418, Matches!A:A, Matches!F:F, "NA", 0)</f>
        <v>Brabourne Stadium</v>
      </c>
      <c r="Z1418" cm="1">
        <f t="array" ref="Z1418">INDEX(Innings!F:F,MATCH(1,(TRIM(Innings!A:A)=TRIM(A1418))*(TRIM(Innings!D:D)=TRIM(E1418)),0))</f>
        <v>213</v>
      </c>
      <c r="AA1418" cm="1">
        <f t="array" ref="AA1418">INDEX(Innings!I:I,MATCH(1,(TRIM(Innings!A:A)=TRIM(A1418))*(TRIM(Innings!D:D)=TRIM(E1418)),0))</f>
        <v>10.65</v>
      </c>
      <c r="AB1418" cm="1">
        <f t="array" ref="AB1418">INDEX(Innings!J:J,MATCH(1,(TRIM(Innings!A:A)=TRIM(A1418))*(TRIM(Innings!D:D)=TRIM(E1418)),0))</f>
        <v>37</v>
      </c>
      <c r="AC1418" cm="1">
        <f t="array" ref="AC1418">INDEX(Innings!N:N,MATCH(1,(TRIM(Innings!A:A)=TRIM(A1418))*(TRIM(Innings!D:D)=TRIM(E1418)),0))</f>
        <v>54</v>
      </c>
      <c r="AD1418" cm="1">
        <f t="array" ref="AD1418">INDEX(Innings!S:S,MATCH(1,(TRIM(Innings!A:A)=TRIM(A1418))*(TRIM(Innings!D:D)=TRIM(E1418)),0))</f>
        <v>31</v>
      </c>
      <c r="AE1418" t="str" cm="1">
        <f t="array" ref="AE1418">INDEX(Innings!W:W,MATCH(1,(TRIM(Innings!A:A)=TRIM(A1418))*(TRIM(Innings!D:D)=TRIM(E1418)),0))</f>
        <v>NA</v>
      </c>
      <c r="AF1418">
        <f>IF(UPPER(TRIM(E1418))=UPPER(TRIM(W1418)),1,0)</f>
        <v>1</v>
      </c>
      <c r="AG1418">
        <f t="shared" si="44"/>
        <v>33.4</v>
      </c>
    </row>
    <row r="1419" spans="1:33" x14ac:dyDescent="0.3">
      <c r="A1419" t="s">
        <v>482</v>
      </c>
      <c r="B1419">
        <v>3</v>
      </c>
      <c r="C1419" t="s">
        <v>131</v>
      </c>
      <c r="D1419" t="s">
        <v>106</v>
      </c>
      <c r="E1419" t="s">
        <v>266</v>
      </c>
      <c r="F1419" t="s">
        <v>101</v>
      </c>
      <c r="G1419" t="s">
        <v>104</v>
      </c>
      <c r="H1419">
        <v>0</v>
      </c>
      <c r="I1419">
        <v>0</v>
      </c>
      <c r="J1419">
        <v>0</v>
      </c>
      <c r="K1419" t="s">
        <v>104</v>
      </c>
      <c r="L1419">
        <v>0</v>
      </c>
      <c r="M1419">
        <v>1</v>
      </c>
      <c r="N1419">
        <v>0</v>
      </c>
      <c r="O1419">
        <v>8</v>
      </c>
      <c r="P1419">
        <v>0</v>
      </c>
      <c r="Q1419">
        <v>8</v>
      </c>
      <c r="R1419">
        <v>0</v>
      </c>
      <c r="S1419">
        <v>0</v>
      </c>
      <c r="T1419">
        <v>0</v>
      </c>
      <c r="U1419" s="8">
        <v>0</v>
      </c>
      <c r="V1419" s="8">
        <f t="shared" si="45"/>
        <v>0</v>
      </c>
      <c r="W1419" t="str">
        <f>_xlfn.XLOOKUP(A1419, Matches!A:A, Matches!L:L, "NA", 0)</f>
        <v>MIW</v>
      </c>
      <c r="X1419" t="str">
        <f>_xlfn.XLOOKUP(A1419, Matches!A:A, Matches!J:J, "NA", 0)</f>
        <v>GGTW</v>
      </c>
      <c r="Y1419" t="str">
        <f>_xlfn.XLOOKUP(A1419, Matches!A:A, Matches!F:F, "NA", 0)</f>
        <v>Brabourne Stadium</v>
      </c>
      <c r="Z1419" cm="1">
        <f t="array" ref="Z1419">INDEX(Innings!F:F,MATCH(1,(TRIM(Innings!A:A)=TRIM(A1419))*(TRIM(Innings!D:D)=TRIM(E1419)),0))</f>
        <v>213</v>
      </c>
      <c r="AA1419" cm="1">
        <f t="array" ref="AA1419">INDEX(Innings!I:I,MATCH(1,(TRIM(Innings!A:A)=TRIM(A1419))*(TRIM(Innings!D:D)=TRIM(E1419)),0))</f>
        <v>10.65</v>
      </c>
      <c r="AB1419" cm="1">
        <f t="array" ref="AB1419">INDEX(Innings!J:J,MATCH(1,(TRIM(Innings!A:A)=TRIM(A1419))*(TRIM(Innings!D:D)=TRIM(E1419)),0))</f>
        <v>37</v>
      </c>
      <c r="AC1419" cm="1">
        <f t="array" ref="AC1419">INDEX(Innings!N:N,MATCH(1,(TRIM(Innings!A:A)=TRIM(A1419))*(TRIM(Innings!D:D)=TRIM(E1419)),0))</f>
        <v>54</v>
      </c>
      <c r="AD1419" cm="1">
        <f t="array" ref="AD1419">INDEX(Innings!S:S,MATCH(1,(TRIM(Innings!A:A)=TRIM(A1419))*(TRIM(Innings!D:D)=TRIM(E1419)),0))</f>
        <v>31</v>
      </c>
      <c r="AE1419" t="str" cm="1">
        <f t="array" ref="AE1419">INDEX(Innings!W:W,MATCH(1,(TRIM(Innings!A:A)=TRIM(A1419))*(TRIM(Innings!D:D)=TRIM(E1419)),0))</f>
        <v>NA</v>
      </c>
      <c r="AF1419">
        <f>IF(UPPER(TRIM(E1419))=UPPER(TRIM(W1419)),1,0)</f>
        <v>1</v>
      </c>
      <c r="AG1419">
        <f t="shared" si="44"/>
        <v>20</v>
      </c>
    </row>
    <row r="1420" spans="1:33" x14ac:dyDescent="0.3">
      <c r="A1420" t="s">
        <v>482</v>
      </c>
      <c r="B1420">
        <v>3</v>
      </c>
      <c r="C1420" t="s">
        <v>81</v>
      </c>
      <c r="D1420" t="s">
        <v>114</v>
      </c>
      <c r="E1420" t="s">
        <v>258</v>
      </c>
      <c r="F1420" t="s">
        <v>85</v>
      </c>
      <c r="G1420" t="s">
        <v>86</v>
      </c>
      <c r="H1420">
        <v>6</v>
      </c>
      <c r="I1420">
        <v>5</v>
      </c>
      <c r="J1420">
        <v>120</v>
      </c>
      <c r="K1420" t="s">
        <v>246</v>
      </c>
      <c r="L1420">
        <v>10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 s="8">
        <v>10</v>
      </c>
      <c r="V1420" s="8">
        <f t="shared" si="45"/>
        <v>1</v>
      </c>
      <c r="W1420" t="str">
        <f>_xlfn.XLOOKUP(A1420, Matches!A:A, Matches!L:L, "NA", 0)</f>
        <v>MIW</v>
      </c>
      <c r="X1420" t="str">
        <f>_xlfn.XLOOKUP(A1420, Matches!A:A, Matches!J:J, "NA", 0)</f>
        <v>GGTW</v>
      </c>
      <c r="Y1420" t="str">
        <f>_xlfn.XLOOKUP(A1420, Matches!A:A, Matches!F:F, "NA", 0)</f>
        <v>Brabourne Stadium</v>
      </c>
      <c r="Z1420" cm="1">
        <f t="array" ref="Z1420">INDEX(Innings!F:F,MATCH(1,(TRIM(Innings!A:A)=TRIM(A1420))*(TRIM(Innings!D:D)=TRIM(E1420)),0))</f>
        <v>166</v>
      </c>
      <c r="AA1420" cm="1">
        <f t="array" ref="AA1420">INDEX(Innings!I:I,MATCH(1,(TRIM(Innings!A:A)=TRIM(A1420))*(TRIM(Innings!D:D)=TRIM(E1420)),0))</f>
        <v>8.59</v>
      </c>
      <c r="AB1420" cm="1">
        <f t="array" ref="AB1420">INDEX(Innings!J:J,MATCH(1,(TRIM(Innings!A:A)=TRIM(A1420))*(TRIM(Innings!D:D)=TRIM(E1420)),0))</f>
        <v>46</v>
      </c>
      <c r="AC1420" cm="1">
        <f t="array" ref="AC1420">INDEX(Innings!N:N,MATCH(1,(TRIM(Innings!A:A)=TRIM(A1420))*(TRIM(Innings!D:D)=TRIM(E1420)),0))</f>
        <v>21</v>
      </c>
      <c r="AD1420" cm="1">
        <f t="array" ref="AD1420">INDEX(Innings!S:S,MATCH(1,(TRIM(Innings!A:A)=TRIM(A1420))*(TRIM(Innings!D:D)=TRIM(E1420)),0))</f>
        <v>44</v>
      </c>
      <c r="AE1420" t="str" cm="1">
        <f t="array" ref="AE1420">INDEX(Innings!W:W,MATCH(1,(TRIM(Innings!A:A)=TRIM(A1420))*(TRIM(Innings!D:D)=TRIM(E1420)),0))</f>
        <v>Failed</v>
      </c>
      <c r="AF1420">
        <f>IF(UPPER(TRIM(E1420))=UPPER(TRIM(W1420)),1,0)</f>
        <v>0</v>
      </c>
      <c r="AG1420">
        <f t="shared" si="44"/>
        <v>5.3</v>
      </c>
    </row>
    <row r="1421" spans="1:33" x14ac:dyDescent="0.3">
      <c r="A1421" t="s">
        <v>482</v>
      </c>
      <c r="B1421">
        <v>3</v>
      </c>
      <c r="C1421" t="s">
        <v>591</v>
      </c>
      <c r="D1421" t="s">
        <v>598</v>
      </c>
      <c r="E1421" t="s">
        <v>258</v>
      </c>
      <c r="F1421" t="s">
        <v>169</v>
      </c>
      <c r="G1421" t="s">
        <v>92</v>
      </c>
      <c r="H1421">
        <v>34</v>
      </c>
      <c r="I1421">
        <v>24</v>
      </c>
      <c r="J1421">
        <v>141.66999999999999</v>
      </c>
      <c r="K1421" t="s">
        <v>256</v>
      </c>
      <c r="L1421">
        <v>45</v>
      </c>
      <c r="M1421">
        <v>4</v>
      </c>
      <c r="N1421">
        <v>0</v>
      </c>
      <c r="O1421">
        <v>40</v>
      </c>
      <c r="P1421">
        <v>2</v>
      </c>
      <c r="Q1421">
        <v>10</v>
      </c>
      <c r="R1421">
        <v>50</v>
      </c>
      <c r="S1421">
        <v>0</v>
      </c>
      <c r="T1421">
        <v>0</v>
      </c>
      <c r="U1421" s="8">
        <v>95</v>
      </c>
      <c r="V1421" s="8">
        <f t="shared" si="45"/>
        <v>10</v>
      </c>
      <c r="W1421" t="str">
        <f>_xlfn.XLOOKUP(A1421, Matches!A:A, Matches!L:L, "NA", 0)</f>
        <v>MIW</v>
      </c>
      <c r="X1421" t="str">
        <f>_xlfn.XLOOKUP(A1421, Matches!A:A, Matches!J:J, "NA", 0)</f>
        <v>GGTW</v>
      </c>
      <c r="Y1421" t="str">
        <f>_xlfn.XLOOKUP(A1421, Matches!A:A, Matches!F:F, "NA", 0)</f>
        <v>Brabourne Stadium</v>
      </c>
      <c r="Z1421" cm="1">
        <f t="array" ref="Z1421">INDEX(Innings!F:F,MATCH(1,(TRIM(Innings!A:A)=TRIM(A1421))*(TRIM(Innings!D:D)=TRIM(E1421)),0))</f>
        <v>166</v>
      </c>
      <c r="AA1421" cm="1">
        <f t="array" ref="AA1421">INDEX(Innings!I:I,MATCH(1,(TRIM(Innings!A:A)=TRIM(A1421))*(TRIM(Innings!D:D)=TRIM(E1421)),0))</f>
        <v>8.59</v>
      </c>
      <c r="AB1421" cm="1">
        <f t="array" ref="AB1421">INDEX(Innings!J:J,MATCH(1,(TRIM(Innings!A:A)=TRIM(A1421))*(TRIM(Innings!D:D)=TRIM(E1421)),0))</f>
        <v>46</v>
      </c>
      <c r="AC1421" cm="1">
        <f t="array" ref="AC1421">INDEX(Innings!N:N,MATCH(1,(TRIM(Innings!A:A)=TRIM(A1421))*(TRIM(Innings!D:D)=TRIM(E1421)),0))</f>
        <v>21</v>
      </c>
      <c r="AD1421" cm="1">
        <f t="array" ref="AD1421">INDEX(Innings!S:S,MATCH(1,(TRIM(Innings!A:A)=TRIM(A1421))*(TRIM(Innings!D:D)=TRIM(E1421)),0))</f>
        <v>44</v>
      </c>
      <c r="AE1421" t="str" cm="1">
        <f t="array" ref="AE1421">INDEX(Innings!W:W,MATCH(1,(TRIM(Innings!A:A)=TRIM(A1421))*(TRIM(Innings!D:D)=TRIM(E1421)),0))</f>
        <v>Failed</v>
      </c>
      <c r="AF1421">
        <f>IF(UPPER(TRIM(E1421))=UPPER(TRIM(W1421)),1,0)</f>
        <v>0</v>
      </c>
      <c r="AG1421">
        <f t="shared" si="44"/>
        <v>50.5</v>
      </c>
    </row>
    <row r="1422" spans="1:33" x14ac:dyDescent="0.3">
      <c r="A1422" t="s">
        <v>482</v>
      </c>
      <c r="B1422">
        <v>3</v>
      </c>
      <c r="C1422" t="s">
        <v>89</v>
      </c>
      <c r="D1422" t="s">
        <v>116</v>
      </c>
      <c r="E1422" t="s">
        <v>258</v>
      </c>
      <c r="F1422" t="s">
        <v>169</v>
      </c>
      <c r="G1422" t="s">
        <v>92</v>
      </c>
      <c r="H1422">
        <v>8</v>
      </c>
      <c r="I1422">
        <v>9</v>
      </c>
      <c r="J1422">
        <v>88.89</v>
      </c>
      <c r="K1422" t="s">
        <v>256</v>
      </c>
      <c r="L1422">
        <v>10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 s="8">
        <v>10</v>
      </c>
      <c r="V1422" s="8">
        <f t="shared" si="45"/>
        <v>1</v>
      </c>
      <c r="W1422" t="str">
        <f>_xlfn.XLOOKUP(A1422, Matches!A:A, Matches!L:L, "NA", 0)</f>
        <v>MIW</v>
      </c>
      <c r="X1422" t="str">
        <f>_xlfn.XLOOKUP(A1422, Matches!A:A, Matches!J:J, "NA", 0)</f>
        <v>GGTW</v>
      </c>
      <c r="Y1422" t="str">
        <f>_xlfn.XLOOKUP(A1422, Matches!A:A, Matches!F:F, "NA", 0)</f>
        <v>Brabourne Stadium</v>
      </c>
      <c r="Z1422" cm="1">
        <f t="array" ref="Z1422">INDEX(Innings!F:F,MATCH(1,(TRIM(Innings!A:A)=TRIM(A1422))*(TRIM(Innings!D:D)=TRIM(E1422)),0))</f>
        <v>166</v>
      </c>
      <c r="AA1422" cm="1">
        <f t="array" ref="AA1422">INDEX(Innings!I:I,MATCH(1,(TRIM(Innings!A:A)=TRIM(A1422))*(TRIM(Innings!D:D)=TRIM(E1422)),0))</f>
        <v>8.59</v>
      </c>
      <c r="AB1422" cm="1">
        <f t="array" ref="AB1422">INDEX(Innings!J:J,MATCH(1,(TRIM(Innings!A:A)=TRIM(A1422))*(TRIM(Innings!D:D)=TRIM(E1422)),0))</f>
        <v>46</v>
      </c>
      <c r="AC1422" cm="1">
        <f t="array" ref="AC1422">INDEX(Innings!N:N,MATCH(1,(TRIM(Innings!A:A)=TRIM(A1422))*(TRIM(Innings!D:D)=TRIM(E1422)),0))</f>
        <v>21</v>
      </c>
      <c r="AD1422" cm="1">
        <f t="array" ref="AD1422">INDEX(Innings!S:S,MATCH(1,(TRIM(Innings!A:A)=TRIM(A1422))*(TRIM(Innings!D:D)=TRIM(E1422)),0))</f>
        <v>44</v>
      </c>
      <c r="AE1422" t="str" cm="1">
        <f t="array" ref="AE1422">INDEX(Innings!W:W,MATCH(1,(TRIM(Innings!A:A)=TRIM(A1422))*(TRIM(Innings!D:D)=TRIM(E1422)),0))</f>
        <v>Failed</v>
      </c>
      <c r="AF1422">
        <f>IF(UPPER(TRIM(E1422))=UPPER(TRIM(W1422)),1,0)</f>
        <v>0</v>
      </c>
      <c r="AG1422">
        <f t="shared" si="44"/>
        <v>5.3</v>
      </c>
    </row>
    <row r="1423" spans="1:33" x14ac:dyDescent="0.3">
      <c r="A1423" t="s">
        <v>482</v>
      </c>
      <c r="B1423">
        <v>3</v>
      </c>
      <c r="C1423" t="s">
        <v>93</v>
      </c>
      <c r="D1423" t="s">
        <v>118</v>
      </c>
      <c r="E1423" t="s">
        <v>258</v>
      </c>
      <c r="F1423" t="s">
        <v>169</v>
      </c>
      <c r="G1423" t="s">
        <v>92</v>
      </c>
      <c r="H1423">
        <v>8</v>
      </c>
      <c r="I1423">
        <v>4</v>
      </c>
      <c r="J1423">
        <v>200</v>
      </c>
      <c r="K1423" t="s">
        <v>245</v>
      </c>
      <c r="L1423">
        <v>20</v>
      </c>
      <c r="M1423">
        <v>2</v>
      </c>
      <c r="N1423">
        <v>0</v>
      </c>
      <c r="O1423">
        <v>15</v>
      </c>
      <c r="P1423">
        <v>0</v>
      </c>
      <c r="Q1423">
        <v>7.5</v>
      </c>
      <c r="R1423">
        <v>10</v>
      </c>
      <c r="S1423">
        <v>0</v>
      </c>
      <c r="T1423">
        <v>0</v>
      </c>
      <c r="U1423" s="8">
        <v>30</v>
      </c>
      <c r="V1423" s="8">
        <f t="shared" si="45"/>
        <v>3</v>
      </c>
      <c r="W1423" t="str">
        <f>_xlfn.XLOOKUP(A1423, Matches!A:A, Matches!L:L, "NA", 0)</f>
        <v>MIW</v>
      </c>
      <c r="X1423" t="str">
        <f>_xlfn.XLOOKUP(A1423, Matches!A:A, Matches!J:J, "NA", 0)</f>
        <v>GGTW</v>
      </c>
      <c r="Y1423" t="str">
        <f>_xlfn.XLOOKUP(A1423, Matches!A:A, Matches!F:F, "NA", 0)</f>
        <v>Brabourne Stadium</v>
      </c>
      <c r="Z1423" cm="1">
        <f t="array" ref="Z1423">INDEX(Innings!F:F,MATCH(1,(TRIM(Innings!A:A)=TRIM(A1423))*(TRIM(Innings!D:D)=TRIM(E1423)),0))</f>
        <v>166</v>
      </c>
      <c r="AA1423" cm="1">
        <f t="array" ref="AA1423">INDEX(Innings!I:I,MATCH(1,(TRIM(Innings!A:A)=TRIM(A1423))*(TRIM(Innings!D:D)=TRIM(E1423)),0))</f>
        <v>8.59</v>
      </c>
      <c r="AB1423" cm="1">
        <f t="array" ref="AB1423">INDEX(Innings!J:J,MATCH(1,(TRIM(Innings!A:A)=TRIM(A1423))*(TRIM(Innings!D:D)=TRIM(E1423)),0))</f>
        <v>46</v>
      </c>
      <c r="AC1423" cm="1">
        <f t="array" ref="AC1423">INDEX(Innings!N:N,MATCH(1,(TRIM(Innings!A:A)=TRIM(A1423))*(TRIM(Innings!D:D)=TRIM(E1423)),0))</f>
        <v>21</v>
      </c>
      <c r="AD1423" cm="1">
        <f t="array" ref="AD1423">INDEX(Innings!S:S,MATCH(1,(TRIM(Innings!A:A)=TRIM(A1423))*(TRIM(Innings!D:D)=TRIM(E1423)),0))</f>
        <v>44</v>
      </c>
      <c r="AE1423" t="str" cm="1">
        <f t="array" ref="AE1423">INDEX(Innings!W:W,MATCH(1,(TRIM(Innings!A:A)=TRIM(A1423))*(TRIM(Innings!D:D)=TRIM(E1423)),0))</f>
        <v>Failed</v>
      </c>
      <c r="AF1423">
        <f>IF(UPPER(TRIM(E1423))=UPPER(TRIM(W1423)),1,0)</f>
        <v>0</v>
      </c>
      <c r="AG1423">
        <f t="shared" si="44"/>
        <v>15.9</v>
      </c>
    </row>
    <row r="1424" spans="1:33" x14ac:dyDescent="0.3">
      <c r="A1424" t="s">
        <v>482</v>
      </c>
      <c r="B1424">
        <v>3</v>
      </c>
      <c r="C1424" t="s">
        <v>383</v>
      </c>
      <c r="D1424" t="s">
        <v>384</v>
      </c>
      <c r="E1424" t="s">
        <v>258</v>
      </c>
      <c r="F1424" t="s">
        <v>109</v>
      </c>
      <c r="G1424" t="s">
        <v>134</v>
      </c>
      <c r="H1424">
        <v>31</v>
      </c>
      <c r="I1424">
        <v>20</v>
      </c>
      <c r="J1424">
        <v>155</v>
      </c>
      <c r="K1424" t="s">
        <v>248</v>
      </c>
      <c r="L1424">
        <v>45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 s="8">
        <v>45</v>
      </c>
      <c r="V1424" s="8">
        <f t="shared" si="45"/>
        <v>5</v>
      </c>
      <c r="W1424" t="str">
        <f>_xlfn.XLOOKUP(A1424, Matches!A:A, Matches!L:L, "NA", 0)</f>
        <v>MIW</v>
      </c>
      <c r="X1424" t="str">
        <f>_xlfn.XLOOKUP(A1424, Matches!A:A, Matches!J:J, "NA", 0)</f>
        <v>GGTW</v>
      </c>
      <c r="Y1424" t="str">
        <f>_xlfn.XLOOKUP(A1424, Matches!A:A, Matches!F:F, "NA", 0)</f>
        <v>Brabourne Stadium</v>
      </c>
      <c r="Z1424" cm="1">
        <f t="array" ref="Z1424">INDEX(Innings!F:F,MATCH(1,(TRIM(Innings!A:A)=TRIM(A1424))*(TRIM(Innings!D:D)=TRIM(E1424)),0))</f>
        <v>166</v>
      </c>
      <c r="AA1424" cm="1">
        <f t="array" ref="AA1424">INDEX(Innings!I:I,MATCH(1,(TRIM(Innings!A:A)=TRIM(A1424))*(TRIM(Innings!D:D)=TRIM(E1424)),0))</f>
        <v>8.59</v>
      </c>
      <c r="AB1424" cm="1">
        <f t="array" ref="AB1424">INDEX(Innings!J:J,MATCH(1,(TRIM(Innings!A:A)=TRIM(A1424))*(TRIM(Innings!D:D)=TRIM(E1424)),0))</f>
        <v>46</v>
      </c>
      <c r="AC1424" cm="1">
        <f t="array" ref="AC1424">INDEX(Innings!N:N,MATCH(1,(TRIM(Innings!A:A)=TRIM(A1424))*(TRIM(Innings!D:D)=TRIM(E1424)),0))</f>
        <v>21</v>
      </c>
      <c r="AD1424" cm="1">
        <f t="array" ref="AD1424">INDEX(Innings!S:S,MATCH(1,(TRIM(Innings!A:A)=TRIM(A1424))*(TRIM(Innings!D:D)=TRIM(E1424)),0))</f>
        <v>44</v>
      </c>
      <c r="AE1424" t="str" cm="1">
        <f t="array" ref="AE1424">INDEX(Innings!W:W,MATCH(1,(TRIM(Innings!A:A)=TRIM(A1424))*(TRIM(Innings!D:D)=TRIM(E1424)),0))</f>
        <v>Failed</v>
      </c>
      <c r="AF1424">
        <f>IF(UPPER(TRIM(E1424))=UPPER(TRIM(W1424)),1,0)</f>
        <v>0</v>
      </c>
      <c r="AG1424">
        <f t="shared" si="44"/>
        <v>24</v>
      </c>
    </row>
    <row r="1425" spans="1:33" x14ac:dyDescent="0.3">
      <c r="A1425" t="s">
        <v>482</v>
      </c>
      <c r="B1425">
        <v>3</v>
      </c>
      <c r="C1425" t="s">
        <v>447</v>
      </c>
      <c r="D1425" t="s">
        <v>448</v>
      </c>
      <c r="E1425" t="s">
        <v>258</v>
      </c>
      <c r="F1425" t="s">
        <v>109</v>
      </c>
      <c r="G1425" t="s">
        <v>134</v>
      </c>
      <c r="H1425">
        <v>30</v>
      </c>
      <c r="I1425">
        <v>20</v>
      </c>
      <c r="J1425">
        <v>150</v>
      </c>
      <c r="K1425" t="s">
        <v>245</v>
      </c>
      <c r="L1425">
        <v>40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 s="8">
        <v>40</v>
      </c>
      <c r="V1425" s="8">
        <f t="shared" si="45"/>
        <v>4</v>
      </c>
      <c r="W1425" t="str">
        <f>_xlfn.XLOOKUP(A1425, Matches!A:A, Matches!L:L, "NA", 0)</f>
        <v>MIW</v>
      </c>
      <c r="X1425" t="str">
        <f>_xlfn.XLOOKUP(A1425, Matches!A:A, Matches!J:J, "NA", 0)</f>
        <v>GGTW</v>
      </c>
      <c r="Y1425" t="str">
        <f>_xlfn.XLOOKUP(A1425, Matches!A:A, Matches!F:F, "NA", 0)</f>
        <v>Brabourne Stadium</v>
      </c>
      <c r="Z1425" cm="1">
        <f t="array" ref="Z1425">INDEX(Innings!F:F,MATCH(1,(TRIM(Innings!A:A)=TRIM(A1425))*(TRIM(Innings!D:D)=TRIM(E1425)),0))</f>
        <v>166</v>
      </c>
      <c r="AA1425" cm="1">
        <f t="array" ref="AA1425">INDEX(Innings!I:I,MATCH(1,(TRIM(Innings!A:A)=TRIM(A1425))*(TRIM(Innings!D:D)=TRIM(E1425)),0))</f>
        <v>8.59</v>
      </c>
      <c r="AB1425" cm="1">
        <f t="array" ref="AB1425">INDEX(Innings!J:J,MATCH(1,(TRIM(Innings!A:A)=TRIM(A1425))*(TRIM(Innings!D:D)=TRIM(E1425)),0))</f>
        <v>46</v>
      </c>
      <c r="AC1425" cm="1">
        <f t="array" ref="AC1425">INDEX(Innings!N:N,MATCH(1,(TRIM(Innings!A:A)=TRIM(A1425))*(TRIM(Innings!D:D)=TRIM(E1425)),0))</f>
        <v>21</v>
      </c>
      <c r="AD1425" cm="1">
        <f t="array" ref="AD1425">INDEX(Innings!S:S,MATCH(1,(TRIM(Innings!A:A)=TRIM(A1425))*(TRIM(Innings!D:D)=TRIM(E1425)),0))</f>
        <v>44</v>
      </c>
      <c r="AE1425" t="str" cm="1">
        <f t="array" ref="AE1425">INDEX(Innings!W:W,MATCH(1,(TRIM(Innings!A:A)=TRIM(A1425))*(TRIM(Innings!D:D)=TRIM(E1425)),0))</f>
        <v>Failed</v>
      </c>
      <c r="AF1425">
        <f>IF(UPPER(TRIM(E1425))=UPPER(TRIM(W1425)),1,0)</f>
        <v>0</v>
      </c>
      <c r="AG1425">
        <f t="shared" si="44"/>
        <v>21.2</v>
      </c>
    </row>
    <row r="1426" spans="1:33" x14ac:dyDescent="0.3">
      <c r="A1426" t="s">
        <v>482</v>
      </c>
      <c r="B1426">
        <v>3</v>
      </c>
      <c r="C1426" t="s">
        <v>493</v>
      </c>
      <c r="D1426" t="s">
        <v>500</v>
      </c>
      <c r="E1426" t="s">
        <v>258</v>
      </c>
      <c r="F1426" t="s">
        <v>169</v>
      </c>
      <c r="G1426" t="s">
        <v>134</v>
      </c>
      <c r="H1426">
        <v>4</v>
      </c>
      <c r="I1426">
        <v>6</v>
      </c>
      <c r="J1426">
        <v>66.67</v>
      </c>
      <c r="K1426" t="s">
        <v>256</v>
      </c>
      <c r="L1426">
        <v>-5</v>
      </c>
      <c r="M1426">
        <v>4</v>
      </c>
      <c r="N1426">
        <v>0</v>
      </c>
      <c r="O1426">
        <v>30</v>
      </c>
      <c r="P1426">
        <v>1</v>
      </c>
      <c r="Q1426">
        <v>7.5</v>
      </c>
      <c r="R1426">
        <v>35</v>
      </c>
      <c r="S1426">
        <v>0</v>
      </c>
      <c r="T1426">
        <v>0</v>
      </c>
      <c r="U1426" s="8">
        <v>30</v>
      </c>
      <c r="V1426" s="8">
        <f t="shared" si="45"/>
        <v>3</v>
      </c>
      <c r="W1426" t="str">
        <f>_xlfn.XLOOKUP(A1426, Matches!A:A, Matches!L:L, "NA", 0)</f>
        <v>MIW</v>
      </c>
      <c r="X1426" t="str">
        <f>_xlfn.XLOOKUP(A1426, Matches!A:A, Matches!J:J, "NA", 0)</f>
        <v>GGTW</v>
      </c>
      <c r="Y1426" t="str">
        <f>_xlfn.XLOOKUP(A1426, Matches!A:A, Matches!F:F, "NA", 0)</f>
        <v>Brabourne Stadium</v>
      </c>
      <c r="Z1426" cm="1">
        <f t="array" ref="Z1426">INDEX(Innings!F:F,MATCH(1,(TRIM(Innings!A:A)=TRIM(A1426))*(TRIM(Innings!D:D)=TRIM(E1426)),0))</f>
        <v>166</v>
      </c>
      <c r="AA1426" cm="1">
        <f t="array" ref="AA1426">INDEX(Innings!I:I,MATCH(1,(TRIM(Innings!A:A)=TRIM(A1426))*(TRIM(Innings!D:D)=TRIM(E1426)),0))</f>
        <v>8.59</v>
      </c>
      <c r="AB1426" cm="1">
        <f t="array" ref="AB1426">INDEX(Innings!J:J,MATCH(1,(TRIM(Innings!A:A)=TRIM(A1426))*(TRIM(Innings!D:D)=TRIM(E1426)),0))</f>
        <v>46</v>
      </c>
      <c r="AC1426" cm="1">
        <f t="array" ref="AC1426">INDEX(Innings!N:N,MATCH(1,(TRIM(Innings!A:A)=TRIM(A1426))*(TRIM(Innings!D:D)=TRIM(E1426)),0))</f>
        <v>21</v>
      </c>
      <c r="AD1426" cm="1">
        <f t="array" ref="AD1426">INDEX(Innings!S:S,MATCH(1,(TRIM(Innings!A:A)=TRIM(A1426))*(TRIM(Innings!D:D)=TRIM(E1426)),0))</f>
        <v>44</v>
      </c>
      <c r="AE1426" t="str" cm="1">
        <f t="array" ref="AE1426">INDEX(Innings!W:W,MATCH(1,(TRIM(Innings!A:A)=TRIM(A1426))*(TRIM(Innings!D:D)=TRIM(E1426)),0))</f>
        <v>Failed</v>
      </c>
      <c r="AF1426">
        <f>IF(UPPER(TRIM(E1426))=UPPER(TRIM(W1426)),1,0)</f>
        <v>0</v>
      </c>
      <c r="AG1426">
        <f t="shared" si="44"/>
        <v>15.9</v>
      </c>
    </row>
    <row r="1427" spans="1:33" x14ac:dyDescent="0.3">
      <c r="A1427" t="s">
        <v>482</v>
      </c>
      <c r="B1427">
        <v>3</v>
      </c>
      <c r="C1427" t="s">
        <v>227</v>
      </c>
      <c r="D1427" t="s">
        <v>228</v>
      </c>
      <c r="E1427" t="s">
        <v>258</v>
      </c>
      <c r="F1427" t="s">
        <v>109</v>
      </c>
      <c r="G1427" t="s">
        <v>134</v>
      </c>
      <c r="H1427">
        <v>17</v>
      </c>
      <c r="I1427">
        <v>8</v>
      </c>
      <c r="J1427">
        <v>212.5</v>
      </c>
      <c r="K1427" t="s">
        <v>246</v>
      </c>
      <c r="L1427">
        <v>30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 s="8">
        <v>30</v>
      </c>
      <c r="V1427" s="8">
        <f t="shared" si="45"/>
        <v>3</v>
      </c>
      <c r="W1427" t="str">
        <f>_xlfn.XLOOKUP(A1427, Matches!A:A, Matches!L:L, "NA", 0)</f>
        <v>MIW</v>
      </c>
      <c r="X1427" t="str">
        <f>_xlfn.XLOOKUP(A1427, Matches!A:A, Matches!J:J, "NA", 0)</f>
        <v>GGTW</v>
      </c>
      <c r="Y1427" t="str">
        <f>_xlfn.XLOOKUP(A1427, Matches!A:A, Matches!F:F, "NA", 0)</f>
        <v>Brabourne Stadium</v>
      </c>
      <c r="Z1427" cm="1">
        <f t="array" ref="Z1427">INDEX(Innings!F:F,MATCH(1,(TRIM(Innings!A:A)=TRIM(A1427))*(TRIM(Innings!D:D)=TRIM(E1427)),0))</f>
        <v>166</v>
      </c>
      <c r="AA1427" cm="1">
        <f t="array" ref="AA1427">INDEX(Innings!I:I,MATCH(1,(TRIM(Innings!A:A)=TRIM(A1427))*(TRIM(Innings!D:D)=TRIM(E1427)),0))</f>
        <v>8.59</v>
      </c>
      <c r="AB1427" cm="1">
        <f t="array" ref="AB1427">INDEX(Innings!J:J,MATCH(1,(TRIM(Innings!A:A)=TRIM(A1427))*(TRIM(Innings!D:D)=TRIM(E1427)),0))</f>
        <v>46</v>
      </c>
      <c r="AC1427" cm="1">
        <f t="array" ref="AC1427">INDEX(Innings!N:N,MATCH(1,(TRIM(Innings!A:A)=TRIM(A1427))*(TRIM(Innings!D:D)=TRIM(E1427)),0))</f>
        <v>21</v>
      </c>
      <c r="AD1427" cm="1">
        <f t="array" ref="AD1427">INDEX(Innings!S:S,MATCH(1,(TRIM(Innings!A:A)=TRIM(A1427))*(TRIM(Innings!D:D)=TRIM(E1427)),0))</f>
        <v>44</v>
      </c>
      <c r="AE1427" t="str" cm="1">
        <f t="array" ref="AE1427">INDEX(Innings!W:W,MATCH(1,(TRIM(Innings!A:A)=TRIM(A1427))*(TRIM(Innings!D:D)=TRIM(E1427)),0))</f>
        <v>Failed</v>
      </c>
      <c r="AF1427">
        <f>IF(UPPER(TRIM(E1427))=UPPER(TRIM(W1427)),1,0)</f>
        <v>0</v>
      </c>
      <c r="AG1427">
        <f t="shared" si="44"/>
        <v>15.9</v>
      </c>
    </row>
    <row r="1428" spans="1:33" x14ac:dyDescent="0.3">
      <c r="A1428" t="s">
        <v>482</v>
      </c>
      <c r="B1428">
        <v>3</v>
      </c>
      <c r="C1428" t="s">
        <v>105</v>
      </c>
      <c r="D1428" t="s">
        <v>128</v>
      </c>
      <c r="E1428" t="s">
        <v>258</v>
      </c>
      <c r="F1428" t="s">
        <v>101</v>
      </c>
      <c r="G1428" t="s">
        <v>134</v>
      </c>
      <c r="H1428">
        <v>16</v>
      </c>
      <c r="I1428">
        <v>12</v>
      </c>
      <c r="J1428">
        <v>133.33000000000001</v>
      </c>
      <c r="K1428" t="s">
        <v>246</v>
      </c>
      <c r="L1428">
        <v>25</v>
      </c>
      <c r="M1428">
        <v>4</v>
      </c>
      <c r="N1428">
        <v>0</v>
      </c>
      <c r="O1428">
        <v>49</v>
      </c>
      <c r="P1428">
        <v>0</v>
      </c>
      <c r="Q1428">
        <v>12.2</v>
      </c>
      <c r="R1428">
        <v>-10</v>
      </c>
      <c r="S1428">
        <v>0</v>
      </c>
      <c r="T1428">
        <v>0</v>
      </c>
      <c r="U1428" s="8">
        <v>15</v>
      </c>
      <c r="V1428" s="8">
        <f t="shared" si="45"/>
        <v>2</v>
      </c>
      <c r="W1428" t="str">
        <f>_xlfn.XLOOKUP(A1428, Matches!A:A, Matches!L:L, "NA", 0)</f>
        <v>MIW</v>
      </c>
      <c r="X1428" t="str">
        <f>_xlfn.XLOOKUP(A1428, Matches!A:A, Matches!J:J, "NA", 0)</f>
        <v>GGTW</v>
      </c>
      <c r="Y1428" t="str">
        <f>_xlfn.XLOOKUP(A1428, Matches!A:A, Matches!F:F, "NA", 0)</f>
        <v>Brabourne Stadium</v>
      </c>
      <c r="Z1428" cm="1">
        <f t="array" ref="Z1428">INDEX(Innings!F:F,MATCH(1,(TRIM(Innings!A:A)=TRIM(A1428))*(TRIM(Innings!D:D)=TRIM(E1428)),0))</f>
        <v>166</v>
      </c>
      <c r="AA1428" cm="1">
        <f t="array" ref="AA1428">INDEX(Innings!I:I,MATCH(1,(TRIM(Innings!A:A)=TRIM(A1428))*(TRIM(Innings!D:D)=TRIM(E1428)),0))</f>
        <v>8.59</v>
      </c>
      <c r="AB1428" cm="1">
        <f t="array" ref="AB1428">INDEX(Innings!J:J,MATCH(1,(TRIM(Innings!A:A)=TRIM(A1428))*(TRIM(Innings!D:D)=TRIM(E1428)),0))</f>
        <v>46</v>
      </c>
      <c r="AC1428" cm="1">
        <f t="array" ref="AC1428">INDEX(Innings!N:N,MATCH(1,(TRIM(Innings!A:A)=TRIM(A1428))*(TRIM(Innings!D:D)=TRIM(E1428)),0))</f>
        <v>21</v>
      </c>
      <c r="AD1428" cm="1">
        <f t="array" ref="AD1428">INDEX(Innings!S:S,MATCH(1,(TRIM(Innings!A:A)=TRIM(A1428))*(TRIM(Innings!D:D)=TRIM(E1428)),0))</f>
        <v>44</v>
      </c>
      <c r="AE1428" t="str" cm="1">
        <f t="array" ref="AE1428">INDEX(Innings!W:W,MATCH(1,(TRIM(Innings!A:A)=TRIM(A1428))*(TRIM(Innings!D:D)=TRIM(E1428)),0))</f>
        <v>Failed</v>
      </c>
      <c r="AF1428">
        <f>IF(UPPER(TRIM(E1428))=UPPER(TRIM(W1428)),1,0)</f>
        <v>0</v>
      </c>
      <c r="AG1428">
        <f t="shared" si="44"/>
        <v>8.1</v>
      </c>
    </row>
    <row r="1429" spans="1:33" x14ac:dyDescent="0.3">
      <c r="A1429" t="s">
        <v>482</v>
      </c>
      <c r="B1429">
        <v>3</v>
      </c>
      <c r="C1429" t="s">
        <v>389</v>
      </c>
      <c r="D1429" t="s">
        <v>390</v>
      </c>
      <c r="E1429" t="s">
        <v>258</v>
      </c>
      <c r="F1429" t="s">
        <v>169</v>
      </c>
      <c r="G1429" t="s">
        <v>134</v>
      </c>
      <c r="H1429">
        <v>5</v>
      </c>
      <c r="I1429">
        <v>5</v>
      </c>
      <c r="J1429">
        <v>100</v>
      </c>
      <c r="K1429" t="s">
        <v>246</v>
      </c>
      <c r="L1429">
        <v>5</v>
      </c>
      <c r="M1429">
        <v>3</v>
      </c>
      <c r="N1429">
        <v>0</v>
      </c>
      <c r="O1429">
        <v>35</v>
      </c>
      <c r="P1429">
        <v>0</v>
      </c>
      <c r="Q1429">
        <v>11.7</v>
      </c>
      <c r="R1429">
        <v>-10</v>
      </c>
      <c r="S1429">
        <v>0</v>
      </c>
      <c r="T1429">
        <v>0</v>
      </c>
      <c r="U1429" s="8">
        <v>-5</v>
      </c>
      <c r="V1429" s="8">
        <f t="shared" si="45"/>
        <v>0</v>
      </c>
      <c r="W1429" t="str">
        <f>_xlfn.XLOOKUP(A1429, Matches!A:A, Matches!L:L, "NA", 0)</f>
        <v>MIW</v>
      </c>
      <c r="X1429" t="str">
        <f>_xlfn.XLOOKUP(A1429, Matches!A:A, Matches!J:J, "NA", 0)</f>
        <v>GGTW</v>
      </c>
      <c r="Y1429" t="str">
        <f>_xlfn.XLOOKUP(A1429, Matches!A:A, Matches!F:F, "NA", 0)</f>
        <v>Brabourne Stadium</v>
      </c>
      <c r="Z1429" cm="1">
        <f t="array" ref="Z1429">INDEX(Innings!F:F,MATCH(1,(TRIM(Innings!A:A)=TRIM(A1429))*(TRIM(Innings!D:D)=TRIM(E1429)),0))</f>
        <v>166</v>
      </c>
      <c r="AA1429" cm="1">
        <f t="array" ref="AA1429">INDEX(Innings!I:I,MATCH(1,(TRIM(Innings!A:A)=TRIM(A1429))*(TRIM(Innings!D:D)=TRIM(E1429)),0))</f>
        <v>8.59</v>
      </c>
      <c r="AB1429" cm="1">
        <f t="array" ref="AB1429">INDEX(Innings!J:J,MATCH(1,(TRIM(Innings!A:A)=TRIM(A1429))*(TRIM(Innings!D:D)=TRIM(E1429)),0))</f>
        <v>46</v>
      </c>
      <c r="AC1429" cm="1">
        <f t="array" ref="AC1429">INDEX(Innings!N:N,MATCH(1,(TRIM(Innings!A:A)=TRIM(A1429))*(TRIM(Innings!D:D)=TRIM(E1429)),0))</f>
        <v>21</v>
      </c>
      <c r="AD1429" cm="1">
        <f t="array" ref="AD1429">INDEX(Innings!S:S,MATCH(1,(TRIM(Innings!A:A)=TRIM(A1429))*(TRIM(Innings!D:D)=TRIM(E1429)),0))</f>
        <v>44</v>
      </c>
      <c r="AE1429" t="str" cm="1">
        <f t="array" ref="AE1429">INDEX(Innings!W:W,MATCH(1,(TRIM(Innings!A:A)=TRIM(A1429))*(TRIM(Innings!D:D)=TRIM(E1429)),0))</f>
        <v>Failed</v>
      </c>
      <c r="AF1429">
        <f>IF(UPPER(TRIM(E1429))=UPPER(TRIM(W1429)),1,0)</f>
        <v>0</v>
      </c>
      <c r="AG1429">
        <f t="shared" si="44"/>
        <v>0</v>
      </c>
    </row>
    <row r="1430" spans="1:33" x14ac:dyDescent="0.3">
      <c r="A1430" t="s">
        <v>482</v>
      </c>
      <c r="B1430">
        <v>3</v>
      </c>
      <c r="C1430" t="s">
        <v>494</v>
      </c>
      <c r="D1430" t="s">
        <v>501</v>
      </c>
      <c r="E1430" t="s">
        <v>258</v>
      </c>
      <c r="F1430" t="s">
        <v>101</v>
      </c>
      <c r="G1430" t="s">
        <v>134</v>
      </c>
      <c r="H1430">
        <v>0</v>
      </c>
      <c r="I1430">
        <v>3</v>
      </c>
      <c r="J1430">
        <v>0</v>
      </c>
      <c r="K1430" t="s">
        <v>96</v>
      </c>
      <c r="L1430">
        <v>0</v>
      </c>
      <c r="M1430">
        <v>3</v>
      </c>
      <c r="N1430">
        <v>0</v>
      </c>
      <c r="O1430">
        <v>40</v>
      </c>
      <c r="P1430">
        <v>0</v>
      </c>
      <c r="Q1430">
        <v>13.3</v>
      </c>
      <c r="R1430">
        <v>-10</v>
      </c>
      <c r="S1430">
        <v>0</v>
      </c>
      <c r="T1430">
        <v>0</v>
      </c>
      <c r="U1430" s="8">
        <v>-10</v>
      </c>
      <c r="V1430" s="8">
        <f t="shared" si="45"/>
        <v>0</v>
      </c>
      <c r="W1430" t="str">
        <f>_xlfn.XLOOKUP(A1430, Matches!A:A, Matches!L:L, "NA", 0)</f>
        <v>MIW</v>
      </c>
      <c r="X1430" t="str">
        <f>_xlfn.XLOOKUP(A1430, Matches!A:A, Matches!J:J, "NA", 0)</f>
        <v>GGTW</v>
      </c>
      <c r="Y1430" t="str">
        <f>_xlfn.XLOOKUP(A1430, Matches!A:A, Matches!F:F, "NA", 0)</f>
        <v>Brabourne Stadium</v>
      </c>
      <c r="Z1430" cm="1">
        <f t="array" ref="Z1430">INDEX(Innings!F:F,MATCH(1,(TRIM(Innings!A:A)=TRIM(A1430))*(TRIM(Innings!D:D)=TRIM(E1430)),0))</f>
        <v>166</v>
      </c>
      <c r="AA1430" cm="1">
        <f t="array" ref="AA1430">INDEX(Innings!I:I,MATCH(1,(TRIM(Innings!A:A)=TRIM(A1430))*(TRIM(Innings!D:D)=TRIM(E1430)),0))</f>
        <v>8.59</v>
      </c>
      <c r="AB1430" cm="1">
        <f t="array" ref="AB1430">INDEX(Innings!J:J,MATCH(1,(TRIM(Innings!A:A)=TRIM(A1430))*(TRIM(Innings!D:D)=TRIM(E1430)),0))</f>
        <v>46</v>
      </c>
      <c r="AC1430" cm="1">
        <f t="array" ref="AC1430">INDEX(Innings!N:N,MATCH(1,(TRIM(Innings!A:A)=TRIM(A1430))*(TRIM(Innings!D:D)=TRIM(E1430)),0))</f>
        <v>21</v>
      </c>
      <c r="AD1430" cm="1">
        <f t="array" ref="AD1430">INDEX(Innings!S:S,MATCH(1,(TRIM(Innings!A:A)=TRIM(A1430))*(TRIM(Innings!D:D)=TRIM(E1430)),0))</f>
        <v>44</v>
      </c>
      <c r="AE1430" t="str" cm="1">
        <f t="array" ref="AE1430">INDEX(Innings!W:W,MATCH(1,(TRIM(Innings!A:A)=TRIM(A1430))*(TRIM(Innings!D:D)=TRIM(E1430)),0))</f>
        <v>Failed</v>
      </c>
      <c r="AF1430">
        <f>IF(UPPER(TRIM(E1430))=UPPER(TRIM(W1430)),1,0)</f>
        <v>0</v>
      </c>
      <c r="AG1430">
        <f t="shared" si="44"/>
        <v>0</v>
      </c>
    </row>
    <row r="1431" spans="1:33" x14ac:dyDescent="0.3">
      <c r="A1431" t="s">
        <v>483</v>
      </c>
      <c r="B1431">
        <v>3</v>
      </c>
      <c r="C1431" t="s">
        <v>113</v>
      </c>
      <c r="D1431" t="s">
        <v>84</v>
      </c>
      <c r="E1431" t="s">
        <v>266</v>
      </c>
      <c r="F1431" t="s">
        <v>85</v>
      </c>
      <c r="G1431" t="s">
        <v>86</v>
      </c>
      <c r="H1431">
        <v>8</v>
      </c>
      <c r="I1431">
        <v>14</v>
      </c>
      <c r="J1431">
        <v>57.14</v>
      </c>
      <c r="K1431" t="s">
        <v>246</v>
      </c>
      <c r="L1431">
        <v>5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 s="8">
        <v>5</v>
      </c>
      <c r="V1431" s="8">
        <f t="shared" si="45"/>
        <v>1</v>
      </c>
      <c r="W1431" t="str">
        <f>_xlfn.XLOOKUP(A1431, Matches!A:A, Matches!L:L, "NA", 0)</f>
        <v>MIW</v>
      </c>
      <c r="X1431" t="str">
        <f>_xlfn.XLOOKUP(A1431, Matches!A:A, Matches!J:J, "NA", 0)</f>
        <v>DCW</v>
      </c>
      <c r="Y1431" t="str">
        <f>_xlfn.XLOOKUP(A1431, Matches!A:A, Matches!F:F, "NA", 0)</f>
        <v>Brabourne Stadium</v>
      </c>
      <c r="Z1431" cm="1">
        <f t="array" ref="Z1431">INDEX(Innings!F:F,MATCH(1,(TRIM(Innings!A:A)=TRIM(A1431))*(TRIM(Innings!D:D)=TRIM(E1431)),0))</f>
        <v>149</v>
      </c>
      <c r="AA1431" cm="1">
        <f t="array" ref="AA1431">INDEX(Innings!I:I,MATCH(1,(TRIM(Innings!A:A)=TRIM(A1431))*(TRIM(Innings!D:D)=TRIM(E1431)),0))</f>
        <v>7.45</v>
      </c>
      <c r="AB1431" cm="1">
        <f t="array" ref="AB1431">INDEX(Innings!J:J,MATCH(1,(TRIM(Innings!A:A)=TRIM(A1431))*(TRIM(Innings!D:D)=TRIM(E1431)),0))</f>
        <v>20</v>
      </c>
      <c r="AC1431" cm="1">
        <f t="array" ref="AC1431">INDEX(Innings!N:N,MATCH(1,(TRIM(Innings!A:A)=TRIM(A1431))*(TRIM(Innings!D:D)=TRIM(E1431)),0))</f>
        <v>37</v>
      </c>
      <c r="AD1431" cm="1">
        <f t="array" ref="AD1431">INDEX(Innings!S:S,MATCH(1,(TRIM(Innings!A:A)=TRIM(A1431))*(TRIM(Innings!D:D)=TRIM(E1431)),0))</f>
        <v>42</v>
      </c>
      <c r="AE1431" t="str" cm="1">
        <f t="array" ref="AE1431">INDEX(Innings!W:W,MATCH(1,(TRIM(Innings!A:A)=TRIM(A1431))*(TRIM(Innings!D:D)=TRIM(E1431)),0))</f>
        <v>NA</v>
      </c>
      <c r="AF1431">
        <f>IF(UPPER(TRIM(E1431))=UPPER(TRIM(W1431)),1,0)</f>
        <v>1</v>
      </c>
      <c r="AG1431">
        <f t="shared" si="44"/>
        <v>22.8</v>
      </c>
    </row>
    <row r="1432" spans="1:33" x14ac:dyDescent="0.3">
      <c r="A1432" t="s">
        <v>483</v>
      </c>
      <c r="B1432">
        <v>3</v>
      </c>
      <c r="C1432" t="s">
        <v>112</v>
      </c>
      <c r="D1432" t="s">
        <v>88</v>
      </c>
      <c r="E1432" t="s">
        <v>266</v>
      </c>
      <c r="F1432" t="s">
        <v>169</v>
      </c>
      <c r="G1432" t="s">
        <v>86</v>
      </c>
      <c r="H1432">
        <v>3</v>
      </c>
      <c r="I1432">
        <v>10</v>
      </c>
      <c r="J1432">
        <v>30</v>
      </c>
      <c r="K1432" t="s">
        <v>245</v>
      </c>
      <c r="L1432">
        <v>-2</v>
      </c>
      <c r="M1432">
        <v>4</v>
      </c>
      <c r="N1432">
        <v>0</v>
      </c>
      <c r="O1432">
        <v>37</v>
      </c>
      <c r="P1432">
        <v>1</v>
      </c>
      <c r="Q1432">
        <v>9.1999999999999993</v>
      </c>
      <c r="R1432">
        <v>25</v>
      </c>
      <c r="S1432">
        <v>0</v>
      </c>
      <c r="T1432">
        <v>0</v>
      </c>
      <c r="U1432" s="8">
        <v>23</v>
      </c>
      <c r="V1432" s="8">
        <f t="shared" si="45"/>
        <v>2</v>
      </c>
      <c r="W1432" t="str">
        <f>_xlfn.XLOOKUP(A1432, Matches!A:A, Matches!L:L, "NA", 0)</f>
        <v>MIW</v>
      </c>
      <c r="X1432" t="str">
        <f>_xlfn.XLOOKUP(A1432, Matches!A:A, Matches!J:J, "NA", 0)</f>
        <v>DCW</v>
      </c>
      <c r="Y1432" t="str">
        <f>_xlfn.XLOOKUP(A1432, Matches!A:A, Matches!F:F, "NA", 0)</f>
        <v>Brabourne Stadium</v>
      </c>
      <c r="Z1432" cm="1">
        <f t="array" ref="Z1432">INDEX(Innings!F:F,MATCH(1,(TRIM(Innings!A:A)=TRIM(A1432))*(TRIM(Innings!D:D)=TRIM(E1432)),0))</f>
        <v>149</v>
      </c>
      <c r="AA1432" cm="1">
        <f t="array" ref="AA1432">INDEX(Innings!I:I,MATCH(1,(TRIM(Innings!A:A)=TRIM(A1432))*(TRIM(Innings!D:D)=TRIM(E1432)),0))</f>
        <v>7.45</v>
      </c>
      <c r="AB1432" cm="1">
        <f t="array" ref="AB1432">INDEX(Innings!J:J,MATCH(1,(TRIM(Innings!A:A)=TRIM(A1432))*(TRIM(Innings!D:D)=TRIM(E1432)),0))</f>
        <v>20</v>
      </c>
      <c r="AC1432" cm="1">
        <f t="array" ref="AC1432">INDEX(Innings!N:N,MATCH(1,(TRIM(Innings!A:A)=TRIM(A1432))*(TRIM(Innings!D:D)=TRIM(E1432)),0))</f>
        <v>37</v>
      </c>
      <c r="AD1432" cm="1">
        <f t="array" ref="AD1432">INDEX(Innings!S:S,MATCH(1,(TRIM(Innings!A:A)=TRIM(A1432))*(TRIM(Innings!D:D)=TRIM(E1432)),0))</f>
        <v>42</v>
      </c>
      <c r="AE1432" t="str" cm="1">
        <f t="array" ref="AE1432">INDEX(Innings!W:W,MATCH(1,(TRIM(Innings!A:A)=TRIM(A1432))*(TRIM(Innings!D:D)=TRIM(E1432)),0))</f>
        <v>NA</v>
      </c>
      <c r="AF1432">
        <f>IF(UPPER(TRIM(E1432))=UPPER(TRIM(W1432)),1,0)</f>
        <v>1</v>
      </c>
      <c r="AG1432">
        <f t="shared" si="44"/>
        <v>32.1</v>
      </c>
    </row>
    <row r="1433" spans="1:33" x14ac:dyDescent="0.3">
      <c r="A1433" t="s">
        <v>483</v>
      </c>
      <c r="B1433">
        <v>3</v>
      </c>
      <c r="C1433" t="s">
        <v>117</v>
      </c>
      <c r="D1433" t="s">
        <v>90</v>
      </c>
      <c r="E1433" t="s">
        <v>266</v>
      </c>
      <c r="F1433" t="s">
        <v>169</v>
      </c>
      <c r="G1433" t="s">
        <v>92</v>
      </c>
      <c r="H1433">
        <v>30</v>
      </c>
      <c r="I1433">
        <v>28</v>
      </c>
      <c r="J1433">
        <v>107.14</v>
      </c>
      <c r="K1433" t="s">
        <v>246</v>
      </c>
      <c r="L1433">
        <v>30</v>
      </c>
      <c r="M1433">
        <v>4</v>
      </c>
      <c r="N1433">
        <v>0</v>
      </c>
      <c r="O1433">
        <v>30</v>
      </c>
      <c r="P1433">
        <v>3</v>
      </c>
      <c r="Q1433">
        <v>7.5</v>
      </c>
      <c r="R1433">
        <v>75</v>
      </c>
      <c r="S1433">
        <v>0</v>
      </c>
      <c r="T1433">
        <v>0</v>
      </c>
      <c r="U1433" s="8">
        <v>105</v>
      </c>
      <c r="V1433" s="8">
        <f t="shared" si="45"/>
        <v>10</v>
      </c>
      <c r="W1433" t="str">
        <f>_xlfn.XLOOKUP(A1433, Matches!A:A, Matches!L:L, "NA", 0)</f>
        <v>MIW</v>
      </c>
      <c r="X1433" t="str">
        <f>_xlfn.XLOOKUP(A1433, Matches!A:A, Matches!J:J, "NA", 0)</f>
        <v>DCW</v>
      </c>
      <c r="Y1433" t="str">
        <f>_xlfn.XLOOKUP(A1433, Matches!A:A, Matches!F:F, "NA", 0)</f>
        <v>Brabourne Stadium</v>
      </c>
      <c r="Z1433" cm="1">
        <f t="array" ref="Z1433">INDEX(Innings!F:F,MATCH(1,(TRIM(Innings!A:A)=TRIM(A1433))*(TRIM(Innings!D:D)=TRIM(E1433)),0))</f>
        <v>149</v>
      </c>
      <c r="AA1433" cm="1">
        <f t="array" ref="AA1433">INDEX(Innings!I:I,MATCH(1,(TRIM(Innings!A:A)=TRIM(A1433))*(TRIM(Innings!D:D)=TRIM(E1433)),0))</f>
        <v>7.45</v>
      </c>
      <c r="AB1433" cm="1">
        <f t="array" ref="AB1433">INDEX(Innings!J:J,MATCH(1,(TRIM(Innings!A:A)=TRIM(A1433))*(TRIM(Innings!D:D)=TRIM(E1433)),0))</f>
        <v>20</v>
      </c>
      <c r="AC1433" cm="1">
        <f t="array" ref="AC1433">INDEX(Innings!N:N,MATCH(1,(TRIM(Innings!A:A)=TRIM(A1433))*(TRIM(Innings!D:D)=TRIM(E1433)),0))</f>
        <v>37</v>
      </c>
      <c r="AD1433" cm="1">
        <f t="array" ref="AD1433">INDEX(Innings!S:S,MATCH(1,(TRIM(Innings!A:A)=TRIM(A1433))*(TRIM(Innings!D:D)=TRIM(E1433)),0))</f>
        <v>42</v>
      </c>
      <c r="AE1433" t="str" cm="1">
        <f t="array" ref="AE1433">INDEX(Innings!W:W,MATCH(1,(TRIM(Innings!A:A)=TRIM(A1433))*(TRIM(Innings!D:D)=TRIM(E1433)),0))</f>
        <v>NA</v>
      </c>
      <c r="AF1433">
        <f>IF(UPPER(TRIM(E1433))=UPPER(TRIM(W1433)),1,0)</f>
        <v>1</v>
      </c>
      <c r="AG1433">
        <f t="shared" si="44"/>
        <v>75.5</v>
      </c>
    </row>
    <row r="1434" spans="1:33" x14ac:dyDescent="0.3">
      <c r="A1434" t="s">
        <v>483</v>
      </c>
      <c r="B1434">
        <v>3</v>
      </c>
      <c r="C1434" t="s">
        <v>115</v>
      </c>
      <c r="D1434" t="s">
        <v>17</v>
      </c>
      <c r="E1434" t="s">
        <v>266</v>
      </c>
      <c r="F1434" t="s">
        <v>169</v>
      </c>
      <c r="G1434" t="s">
        <v>134</v>
      </c>
      <c r="H1434">
        <v>66</v>
      </c>
      <c r="I1434">
        <v>44</v>
      </c>
      <c r="J1434">
        <v>150</v>
      </c>
      <c r="K1434" t="s">
        <v>246</v>
      </c>
      <c r="L1434">
        <v>85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 s="8">
        <v>85</v>
      </c>
      <c r="V1434" s="8">
        <f t="shared" si="45"/>
        <v>9</v>
      </c>
      <c r="W1434" t="str">
        <f>_xlfn.XLOOKUP(A1434, Matches!A:A, Matches!L:L, "NA", 0)</f>
        <v>MIW</v>
      </c>
      <c r="X1434" t="str">
        <f>_xlfn.XLOOKUP(A1434, Matches!A:A, Matches!J:J, "NA", 0)</f>
        <v>DCW</v>
      </c>
      <c r="Y1434" t="str">
        <f>_xlfn.XLOOKUP(A1434, Matches!A:A, Matches!F:F, "NA", 0)</f>
        <v>Brabourne Stadium</v>
      </c>
      <c r="Z1434" cm="1">
        <f t="array" ref="Z1434">INDEX(Innings!F:F,MATCH(1,(TRIM(Innings!A:A)=TRIM(A1434))*(TRIM(Innings!D:D)=TRIM(E1434)),0))</f>
        <v>149</v>
      </c>
      <c r="AA1434" cm="1">
        <f t="array" ref="AA1434">INDEX(Innings!I:I,MATCH(1,(TRIM(Innings!A:A)=TRIM(A1434))*(TRIM(Innings!D:D)=TRIM(E1434)),0))</f>
        <v>7.45</v>
      </c>
      <c r="AB1434" cm="1">
        <f t="array" ref="AB1434">INDEX(Innings!J:J,MATCH(1,(TRIM(Innings!A:A)=TRIM(A1434))*(TRIM(Innings!D:D)=TRIM(E1434)),0))</f>
        <v>20</v>
      </c>
      <c r="AC1434" cm="1">
        <f t="array" ref="AC1434">INDEX(Innings!N:N,MATCH(1,(TRIM(Innings!A:A)=TRIM(A1434))*(TRIM(Innings!D:D)=TRIM(E1434)),0))</f>
        <v>37</v>
      </c>
      <c r="AD1434" cm="1">
        <f t="array" ref="AD1434">INDEX(Innings!S:S,MATCH(1,(TRIM(Innings!A:A)=TRIM(A1434))*(TRIM(Innings!D:D)=TRIM(E1434)),0))</f>
        <v>42</v>
      </c>
      <c r="AE1434" t="str" cm="1">
        <f t="array" ref="AE1434">INDEX(Innings!W:W,MATCH(1,(TRIM(Innings!A:A)=TRIM(A1434))*(TRIM(Innings!D:D)=TRIM(E1434)),0))</f>
        <v>NA</v>
      </c>
      <c r="AF1434">
        <f>IF(UPPER(TRIM(E1434))=UPPER(TRIM(W1434)),1,0)</f>
        <v>1</v>
      </c>
      <c r="AG1434">
        <f t="shared" si="44"/>
        <v>65.2</v>
      </c>
    </row>
    <row r="1435" spans="1:33" x14ac:dyDescent="0.3">
      <c r="A1435" t="s">
        <v>483</v>
      </c>
      <c r="B1435">
        <v>3</v>
      </c>
      <c r="C1435" t="s">
        <v>119</v>
      </c>
      <c r="D1435" t="s">
        <v>95</v>
      </c>
      <c r="E1435" t="s">
        <v>266</v>
      </c>
      <c r="F1435" t="s">
        <v>169</v>
      </c>
      <c r="G1435" t="s">
        <v>134</v>
      </c>
      <c r="H1435">
        <v>2</v>
      </c>
      <c r="I1435">
        <v>3</v>
      </c>
      <c r="J1435">
        <v>66.67</v>
      </c>
      <c r="K1435" t="s">
        <v>246</v>
      </c>
      <c r="L1435">
        <v>2</v>
      </c>
      <c r="M1435">
        <v>4</v>
      </c>
      <c r="N1435">
        <v>0</v>
      </c>
      <c r="O1435">
        <v>25</v>
      </c>
      <c r="P1435">
        <v>2</v>
      </c>
      <c r="Q1435">
        <v>6.2</v>
      </c>
      <c r="R1435">
        <v>60</v>
      </c>
      <c r="S1435">
        <v>0</v>
      </c>
      <c r="T1435">
        <v>0</v>
      </c>
      <c r="U1435" s="8">
        <v>62</v>
      </c>
      <c r="V1435" s="8">
        <f t="shared" si="45"/>
        <v>6</v>
      </c>
      <c r="W1435" t="str">
        <f>_xlfn.XLOOKUP(A1435, Matches!A:A, Matches!L:L, "NA", 0)</f>
        <v>MIW</v>
      </c>
      <c r="X1435" t="str">
        <f>_xlfn.XLOOKUP(A1435, Matches!A:A, Matches!J:J, "NA", 0)</f>
        <v>DCW</v>
      </c>
      <c r="Y1435" t="str">
        <f>_xlfn.XLOOKUP(A1435, Matches!A:A, Matches!F:F, "NA", 0)</f>
        <v>Brabourne Stadium</v>
      </c>
      <c r="Z1435" cm="1">
        <f t="array" ref="Z1435">INDEX(Innings!F:F,MATCH(1,(TRIM(Innings!A:A)=TRIM(A1435))*(TRIM(Innings!D:D)=TRIM(E1435)),0))</f>
        <v>149</v>
      </c>
      <c r="AA1435" cm="1">
        <f t="array" ref="AA1435">INDEX(Innings!I:I,MATCH(1,(TRIM(Innings!A:A)=TRIM(A1435))*(TRIM(Innings!D:D)=TRIM(E1435)),0))</f>
        <v>7.45</v>
      </c>
      <c r="AB1435" cm="1">
        <f t="array" ref="AB1435">INDEX(Innings!J:J,MATCH(1,(TRIM(Innings!A:A)=TRIM(A1435))*(TRIM(Innings!D:D)=TRIM(E1435)),0))</f>
        <v>20</v>
      </c>
      <c r="AC1435" cm="1">
        <f t="array" ref="AC1435">INDEX(Innings!N:N,MATCH(1,(TRIM(Innings!A:A)=TRIM(A1435))*(TRIM(Innings!D:D)=TRIM(E1435)),0))</f>
        <v>37</v>
      </c>
      <c r="AD1435" cm="1">
        <f t="array" ref="AD1435">INDEX(Innings!S:S,MATCH(1,(TRIM(Innings!A:A)=TRIM(A1435))*(TRIM(Innings!D:D)=TRIM(E1435)),0))</f>
        <v>42</v>
      </c>
      <c r="AE1435" t="str" cm="1">
        <f t="array" ref="AE1435">INDEX(Innings!W:W,MATCH(1,(TRIM(Innings!A:A)=TRIM(A1435))*(TRIM(Innings!D:D)=TRIM(E1435)),0))</f>
        <v>NA</v>
      </c>
      <c r="AF1435">
        <f>IF(UPPER(TRIM(E1435))=UPPER(TRIM(W1435)),1,0)</f>
        <v>1</v>
      </c>
      <c r="AG1435">
        <f t="shared" si="44"/>
        <v>52.8</v>
      </c>
    </row>
    <row r="1436" spans="1:33" x14ac:dyDescent="0.3">
      <c r="A1436" t="s">
        <v>483</v>
      </c>
      <c r="B1436">
        <v>3</v>
      </c>
      <c r="C1436" t="s">
        <v>347</v>
      </c>
      <c r="D1436" t="s">
        <v>348</v>
      </c>
      <c r="E1436" t="s">
        <v>266</v>
      </c>
      <c r="F1436" t="s">
        <v>169</v>
      </c>
      <c r="G1436" t="s">
        <v>134</v>
      </c>
      <c r="H1436">
        <v>0</v>
      </c>
      <c r="I1436">
        <v>2</v>
      </c>
      <c r="J1436">
        <v>0</v>
      </c>
      <c r="K1436" t="s">
        <v>247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 s="8">
        <v>0</v>
      </c>
      <c r="V1436" s="8">
        <f t="shared" si="45"/>
        <v>0</v>
      </c>
      <c r="W1436" t="str">
        <f>_xlfn.XLOOKUP(A1436, Matches!A:A, Matches!L:L, "NA", 0)</f>
        <v>MIW</v>
      </c>
      <c r="X1436" t="str">
        <f>_xlfn.XLOOKUP(A1436, Matches!A:A, Matches!J:J, "NA", 0)</f>
        <v>DCW</v>
      </c>
      <c r="Y1436" t="str">
        <f>_xlfn.XLOOKUP(A1436, Matches!A:A, Matches!F:F, "NA", 0)</f>
        <v>Brabourne Stadium</v>
      </c>
      <c r="Z1436" cm="1">
        <f t="array" ref="Z1436">INDEX(Innings!F:F,MATCH(1,(TRIM(Innings!A:A)=TRIM(A1436))*(TRIM(Innings!D:D)=TRIM(E1436)),0))</f>
        <v>149</v>
      </c>
      <c r="AA1436" cm="1">
        <f t="array" ref="AA1436">INDEX(Innings!I:I,MATCH(1,(TRIM(Innings!A:A)=TRIM(A1436))*(TRIM(Innings!D:D)=TRIM(E1436)),0))</f>
        <v>7.45</v>
      </c>
      <c r="AB1436" cm="1">
        <f t="array" ref="AB1436">INDEX(Innings!J:J,MATCH(1,(TRIM(Innings!A:A)=TRIM(A1436))*(TRIM(Innings!D:D)=TRIM(E1436)),0))</f>
        <v>20</v>
      </c>
      <c r="AC1436" cm="1">
        <f t="array" ref="AC1436">INDEX(Innings!N:N,MATCH(1,(TRIM(Innings!A:A)=TRIM(A1436))*(TRIM(Innings!D:D)=TRIM(E1436)),0))</f>
        <v>37</v>
      </c>
      <c r="AD1436" cm="1">
        <f t="array" ref="AD1436">INDEX(Innings!S:S,MATCH(1,(TRIM(Innings!A:A)=TRIM(A1436))*(TRIM(Innings!D:D)=TRIM(E1436)),0))</f>
        <v>42</v>
      </c>
      <c r="AE1436" t="str" cm="1">
        <f t="array" ref="AE1436">INDEX(Innings!W:W,MATCH(1,(TRIM(Innings!A:A)=TRIM(A1436))*(TRIM(Innings!D:D)=TRIM(E1436)),0))</f>
        <v>NA</v>
      </c>
      <c r="AF1436">
        <f>IF(UPPER(TRIM(E1436))=UPPER(TRIM(W1436)),1,0)</f>
        <v>1</v>
      </c>
      <c r="AG1436">
        <f t="shared" si="44"/>
        <v>20</v>
      </c>
    </row>
    <row r="1437" spans="1:33" x14ac:dyDescent="0.3">
      <c r="A1437" t="s">
        <v>483</v>
      </c>
      <c r="B1437">
        <v>3</v>
      </c>
      <c r="C1437" t="s">
        <v>510</v>
      </c>
      <c r="D1437" t="s">
        <v>538</v>
      </c>
      <c r="E1437" t="s">
        <v>266</v>
      </c>
      <c r="F1437" t="s">
        <v>85</v>
      </c>
      <c r="G1437" t="s">
        <v>134</v>
      </c>
      <c r="H1437">
        <v>10</v>
      </c>
      <c r="I1437">
        <v>7</v>
      </c>
      <c r="J1437">
        <v>142.86000000000001</v>
      </c>
      <c r="K1437" t="s">
        <v>248</v>
      </c>
      <c r="L1437">
        <v>15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 s="8">
        <v>15</v>
      </c>
      <c r="V1437" s="8">
        <f t="shared" si="45"/>
        <v>2</v>
      </c>
      <c r="W1437" t="str">
        <f>_xlfn.XLOOKUP(A1437, Matches!A:A, Matches!L:L, "NA", 0)</f>
        <v>MIW</v>
      </c>
      <c r="X1437" t="str">
        <f>_xlfn.XLOOKUP(A1437, Matches!A:A, Matches!J:J, "NA", 0)</f>
        <v>DCW</v>
      </c>
      <c r="Y1437" t="str">
        <f>_xlfn.XLOOKUP(A1437, Matches!A:A, Matches!F:F, "NA", 0)</f>
        <v>Brabourne Stadium</v>
      </c>
      <c r="Z1437" cm="1">
        <f t="array" ref="Z1437">INDEX(Innings!F:F,MATCH(1,(TRIM(Innings!A:A)=TRIM(A1437))*(TRIM(Innings!D:D)=TRIM(E1437)),0))</f>
        <v>149</v>
      </c>
      <c r="AA1437" cm="1">
        <f t="array" ref="AA1437">INDEX(Innings!I:I,MATCH(1,(TRIM(Innings!A:A)=TRIM(A1437))*(TRIM(Innings!D:D)=TRIM(E1437)),0))</f>
        <v>7.45</v>
      </c>
      <c r="AB1437" cm="1">
        <f t="array" ref="AB1437">INDEX(Innings!J:J,MATCH(1,(TRIM(Innings!A:A)=TRIM(A1437))*(TRIM(Innings!D:D)=TRIM(E1437)),0))</f>
        <v>20</v>
      </c>
      <c r="AC1437" cm="1">
        <f t="array" ref="AC1437">INDEX(Innings!N:N,MATCH(1,(TRIM(Innings!A:A)=TRIM(A1437))*(TRIM(Innings!D:D)=TRIM(E1437)),0))</f>
        <v>37</v>
      </c>
      <c r="AD1437" cm="1">
        <f t="array" ref="AD1437">INDEX(Innings!S:S,MATCH(1,(TRIM(Innings!A:A)=TRIM(A1437))*(TRIM(Innings!D:D)=TRIM(E1437)),0))</f>
        <v>42</v>
      </c>
      <c r="AE1437" t="str" cm="1">
        <f t="array" ref="AE1437">INDEX(Innings!W:W,MATCH(1,(TRIM(Innings!A:A)=TRIM(A1437))*(TRIM(Innings!D:D)=TRIM(E1437)),0))</f>
        <v>NA</v>
      </c>
      <c r="AF1437">
        <f>IF(UPPER(TRIM(E1437))=UPPER(TRIM(W1437)),1,0)</f>
        <v>1</v>
      </c>
      <c r="AG1437">
        <f t="shared" si="44"/>
        <v>28.1</v>
      </c>
    </row>
    <row r="1438" spans="1:33" x14ac:dyDescent="0.3">
      <c r="A1438" t="s">
        <v>483</v>
      </c>
      <c r="B1438">
        <v>3</v>
      </c>
      <c r="C1438" t="s">
        <v>121</v>
      </c>
      <c r="D1438" t="s">
        <v>108</v>
      </c>
      <c r="E1438" t="s">
        <v>266</v>
      </c>
      <c r="F1438" t="s">
        <v>169</v>
      </c>
      <c r="G1438" t="s">
        <v>134</v>
      </c>
      <c r="H1438">
        <v>14</v>
      </c>
      <c r="I1438">
        <v>7</v>
      </c>
      <c r="J1438">
        <v>200</v>
      </c>
      <c r="K1438" t="s">
        <v>96</v>
      </c>
      <c r="L1438">
        <v>25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 s="8">
        <v>25</v>
      </c>
      <c r="V1438" s="8">
        <f t="shared" si="45"/>
        <v>3</v>
      </c>
      <c r="W1438" t="str">
        <f>_xlfn.XLOOKUP(A1438, Matches!A:A, Matches!L:L, "NA", 0)</f>
        <v>MIW</v>
      </c>
      <c r="X1438" t="str">
        <f>_xlfn.XLOOKUP(A1438, Matches!A:A, Matches!J:J, "NA", 0)</f>
        <v>DCW</v>
      </c>
      <c r="Y1438" t="str">
        <f>_xlfn.XLOOKUP(A1438, Matches!A:A, Matches!F:F, "NA", 0)</f>
        <v>Brabourne Stadium</v>
      </c>
      <c r="Z1438" cm="1">
        <f t="array" ref="Z1438">INDEX(Innings!F:F,MATCH(1,(TRIM(Innings!A:A)=TRIM(A1438))*(TRIM(Innings!D:D)=TRIM(E1438)),0))</f>
        <v>149</v>
      </c>
      <c r="AA1438" cm="1">
        <f t="array" ref="AA1438">INDEX(Innings!I:I,MATCH(1,(TRIM(Innings!A:A)=TRIM(A1438))*(TRIM(Innings!D:D)=TRIM(E1438)),0))</f>
        <v>7.45</v>
      </c>
      <c r="AB1438" cm="1">
        <f t="array" ref="AB1438">INDEX(Innings!J:J,MATCH(1,(TRIM(Innings!A:A)=TRIM(A1438))*(TRIM(Innings!D:D)=TRIM(E1438)),0))</f>
        <v>20</v>
      </c>
      <c r="AC1438" cm="1">
        <f t="array" ref="AC1438">INDEX(Innings!N:N,MATCH(1,(TRIM(Innings!A:A)=TRIM(A1438))*(TRIM(Innings!D:D)=TRIM(E1438)),0))</f>
        <v>37</v>
      </c>
      <c r="AD1438" cm="1">
        <f t="array" ref="AD1438">INDEX(Innings!S:S,MATCH(1,(TRIM(Innings!A:A)=TRIM(A1438))*(TRIM(Innings!D:D)=TRIM(E1438)),0))</f>
        <v>42</v>
      </c>
      <c r="AE1438" t="str" cm="1">
        <f t="array" ref="AE1438">INDEX(Innings!W:W,MATCH(1,(TRIM(Innings!A:A)=TRIM(A1438))*(TRIM(Innings!D:D)=TRIM(E1438)),0))</f>
        <v>NA</v>
      </c>
      <c r="AF1438">
        <f>IF(UPPER(TRIM(E1438))=UPPER(TRIM(W1438)),1,0)</f>
        <v>1</v>
      </c>
      <c r="AG1438">
        <f t="shared" si="44"/>
        <v>33.4</v>
      </c>
    </row>
    <row r="1439" spans="1:33" x14ac:dyDescent="0.3">
      <c r="A1439" t="s">
        <v>483</v>
      </c>
      <c r="B1439">
        <v>3</v>
      </c>
      <c r="C1439" t="s">
        <v>507</v>
      </c>
      <c r="D1439" t="s">
        <v>519</v>
      </c>
      <c r="E1439" t="s">
        <v>266</v>
      </c>
      <c r="F1439" t="s">
        <v>169</v>
      </c>
      <c r="G1439" t="s">
        <v>134</v>
      </c>
      <c r="H1439">
        <v>8</v>
      </c>
      <c r="I1439">
        <v>5</v>
      </c>
      <c r="J1439">
        <v>160</v>
      </c>
      <c r="K1439" t="s">
        <v>96</v>
      </c>
      <c r="L1439">
        <v>15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 s="8">
        <v>15</v>
      </c>
      <c r="V1439" s="8">
        <f t="shared" si="45"/>
        <v>2</v>
      </c>
      <c r="W1439" t="str">
        <f>_xlfn.XLOOKUP(A1439, Matches!A:A, Matches!L:L, "NA", 0)</f>
        <v>MIW</v>
      </c>
      <c r="X1439" t="str">
        <f>_xlfn.XLOOKUP(A1439, Matches!A:A, Matches!J:J, "NA", 0)</f>
        <v>DCW</v>
      </c>
      <c r="Y1439" t="str">
        <f>_xlfn.XLOOKUP(A1439, Matches!A:A, Matches!F:F, "NA", 0)</f>
        <v>Brabourne Stadium</v>
      </c>
      <c r="Z1439" cm="1">
        <f t="array" ref="Z1439">INDEX(Innings!F:F,MATCH(1,(TRIM(Innings!A:A)=TRIM(A1439))*(TRIM(Innings!D:D)=TRIM(E1439)),0))</f>
        <v>149</v>
      </c>
      <c r="AA1439" cm="1">
        <f t="array" ref="AA1439">INDEX(Innings!I:I,MATCH(1,(TRIM(Innings!A:A)=TRIM(A1439))*(TRIM(Innings!D:D)=TRIM(E1439)),0))</f>
        <v>7.45</v>
      </c>
      <c r="AB1439" cm="1">
        <f t="array" ref="AB1439">INDEX(Innings!J:J,MATCH(1,(TRIM(Innings!A:A)=TRIM(A1439))*(TRIM(Innings!D:D)=TRIM(E1439)),0))</f>
        <v>20</v>
      </c>
      <c r="AC1439" cm="1">
        <f t="array" ref="AC1439">INDEX(Innings!N:N,MATCH(1,(TRIM(Innings!A:A)=TRIM(A1439))*(TRIM(Innings!D:D)=TRIM(E1439)),0))</f>
        <v>37</v>
      </c>
      <c r="AD1439" cm="1">
        <f t="array" ref="AD1439">INDEX(Innings!S:S,MATCH(1,(TRIM(Innings!A:A)=TRIM(A1439))*(TRIM(Innings!D:D)=TRIM(E1439)),0))</f>
        <v>42</v>
      </c>
      <c r="AE1439" t="str" cm="1">
        <f t="array" ref="AE1439">INDEX(Innings!W:W,MATCH(1,(TRIM(Innings!A:A)=TRIM(A1439))*(TRIM(Innings!D:D)=TRIM(E1439)),0))</f>
        <v>NA</v>
      </c>
      <c r="AF1439">
        <f>IF(UPPER(TRIM(E1439))=UPPER(TRIM(W1439)),1,0)</f>
        <v>1</v>
      </c>
      <c r="AG1439">
        <f t="shared" si="44"/>
        <v>28.1</v>
      </c>
    </row>
    <row r="1440" spans="1:33" x14ac:dyDescent="0.3">
      <c r="A1440" t="s">
        <v>483</v>
      </c>
      <c r="B1440">
        <v>3</v>
      </c>
      <c r="C1440" t="s">
        <v>265</v>
      </c>
      <c r="D1440" t="s">
        <v>264</v>
      </c>
      <c r="E1440" t="s">
        <v>266</v>
      </c>
      <c r="F1440" t="s">
        <v>101</v>
      </c>
      <c r="G1440" t="s">
        <v>104</v>
      </c>
      <c r="H1440">
        <v>0</v>
      </c>
      <c r="I1440">
        <v>0</v>
      </c>
      <c r="J1440">
        <v>0</v>
      </c>
      <c r="K1440" t="s">
        <v>104</v>
      </c>
      <c r="L1440">
        <v>0</v>
      </c>
      <c r="M1440">
        <v>4</v>
      </c>
      <c r="N1440">
        <v>0</v>
      </c>
      <c r="O1440">
        <v>15</v>
      </c>
      <c r="P1440">
        <v>1</v>
      </c>
      <c r="Q1440">
        <v>3.8</v>
      </c>
      <c r="R1440">
        <v>40</v>
      </c>
      <c r="S1440">
        <v>0</v>
      </c>
      <c r="T1440">
        <v>0</v>
      </c>
      <c r="U1440" s="8">
        <v>40</v>
      </c>
      <c r="V1440" s="8">
        <f t="shared" si="45"/>
        <v>4</v>
      </c>
      <c r="W1440" t="str">
        <f>_xlfn.XLOOKUP(A1440, Matches!A:A, Matches!L:L, "NA", 0)</f>
        <v>MIW</v>
      </c>
      <c r="X1440" t="str">
        <f>_xlfn.XLOOKUP(A1440, Matches!A:A, Matches!J:J, "NA", 0)</f>
        <v>DCW</v>
      </c>
      <c r="Y1440" t="str">
        <f>_xlfn.XLOOKUP(A1440, Matches!A:A, Matches!F:F, "NA", 0)</f>
        <v>Brabourne Stadium</v>
      </c>
      <c r="Z1440" cm="1">
        <f t="array" ref="Z1440">INDEX(Innings!F:F,MATCH(1,(TRIM(Innings!A:A)=TRIM(A1440))*(TRIM(Innings!D:D)=TRIM(E1440)),0))</f>
        <v>149</v>
      </c>
      <c r="AA1440" cm="1">
        <f t="array" ref="AA1440">INDEX(Innings!I:I,MATCH(1,(TRIM(Innings!A:A)=TRIM(A1440))*(TRIM(Innings!D:D)=TRIM(E1440)),0))</f>
        <v>7.45</v>
      </c>
      <c r="AB1440" cm="1">
        <f t="array" ref="AB1440">INDEX(Innings!J:J,MATCH(1,(TRIM(Innings!A:A)=TRIM(A1440))*(TRIM(Innings!D:D)=TRIM(E1440)),0))</f>
        <v>20</v>
      </c>
      <c r="AC1440" cm="1">
        <f t="array" ref="AC1440">INDEX(Innings!N:N,MATCH(1,(TRIM(Innings!A:A)=TRIM(A1440))*(TRIM(Innings!D:D)=TRIM(E1440)),0))</f>
        <v>37</v>
      </c>
      <c r="AD1440" cm="1">
        <f t="array" ref="AD1440">INDEX(Innings!S:S,MATCH(1,(TRIM(Innings!A:A)=TRIM(A1440))*(TRIM(Innings!D:D)=TRIM(E1440)),0))</f>
        <v>42</v>
      </c>
      <c r="AE1440" t="str" cm="1">
        <f t="array" ref="AE1440">INDEX(Innings!W:W,MATCH(1,(TRIM(Innings!A:A)=TRIM(A1440))*(TRIM(Innings!D:D)=TRIM(E1440)),0))</f>
        <v>NA</v>
      </c>
      <c r="AF1440">
        <f>IF(UPPER(TRIM(E1440))=UPPER(TRIM(W1440)),1,0)</f>
        <v>1</v>
      </c>
      <c r="AG1440">
        <f t="shared" si="44"/>
        <v>41.2</v>
      </c>
    </row>
    <row r="1441" spans="1:33" x14ac:dyDescent="0.3">
      <c r="A1441" t="s">
        <v>483</v>
      </c>
      <c r="B1441">
        <v>3</v>
      </c>
      <c r="C1441" t="s">
        <v>131</v>
      </c>
      <c r="D1441" t="s">
        <v>106</v>
      </c>
      <c r="E1441" t="s">
        <v>266</v>
      </c>
      <c r="F1441" t="s">
        <v>101</v>
      </c>
      <c r="G1441" t="s">
        <v>104</v>
      </c>
      <c r="H1441">
        <v>0</v>
      </c>
      <c r="I1441">
        <v>0</v>
      </c>
      <c r="J1441">
        <v>0</v>
      </c>
      <c r="K1441" t="s">
        <v>104</v>
      </c>
      <c r="L1441">
        <v>0</v>
      </c>
      <c r="M1441">
        <v>4</v>
      </c>
      <c r="N1441">
        <v>0</v>
      </c>
      <c r="O1441">
        <v>33</v>
      </c>
      <c r="P1441">
        <v>1</v>
      </c>
      <c r="Q1441">
        <v>8.1999999999999993</v>
      </c>
      <c r="R1441">
        <v>25</v>
      </c>
      <c r="S1441">
        <v>0</v>
      </c>
      <c r="T1441">
        <v>0</v>
      </c>
      <c r="U1441" s="8">
        <v>25</v>
      </c>
      <c r="V1441" s="8">
        <f t="shared" si="45"/>
        <v>3</v>
      </c>
      <c r="W1441" t="str">
        <f>_xlfn.XLOOKUP(A1441, Matches!A:A, Matches!L:L, "NA", 0)</f>
        <v>MIW</v>
      </c>
      <c r="X1441" t="str">
        <f>_xlfn.XLOOKUP(A1441, Matches!A:A, Matches!J:J, "NA", 0)</f>
        <v>DCW</v>
      </c>
      <c r="Y1441" t="str">
        <f>_xlfn.XLOOKUP(A1441, Matches!A:A, Matches!F:F, "NA", 0)</f>
        <v>Brabourne Stadium</v>
      </c>
      <c r="Z1441" cm="1">
        <f t="array" ref="Z1441">INDEX(Innings!F:F,MATCH(1,(TRIM(Innings!A:A)=TRIM(A1441))*(TRIM(Innings!D:D)=TRIM(E1441)),0))</f>
        <v>149</v>
      </c>
      <c r="AA1441" cm="1">
        <f t="array" ref="AA1441">INDEX(Innings!I:I,MATCH(1,(TRIM(Innings!A:A)=TRIM(A1441))*(TRIM(Innings!D:D)=TRIM(E1441)),0))</f>
        <v>7.45</v>
      </c>
      <c r="AB1441" cm="1">
        <f t="array" ref="AB1441">INDEX(Innings!J:J,MATCH(1,(TRIM(Innings!A:A)=TRIM(A1441))*(TRIM(Innings!D:D)=TRIM(E1441)),0))</f>
        <v>20</v>
      </c>
      <c r="AC1441" cm="1">
        <f t="array" ref="AC1441">INDEX(Innings!N:N,MATCH(1,(TRIM(Innings!A:A)=TRIM(A1441))*(TRIM(Innings!D:D)=TRIM(E1441)),0))</f>
        <v>37</v>
      </c>
      <c r="AD1441" cm="1">
        <f t="array" ref="AD1441">INDEX(Innings!S:S,MATCH(1,(TRIM(Innings!A:A)=TRIM(A1441))*(TRIM(Innings!D:D)=TRIM(E1441)),0))</f>
        <v>42</v>
      </c>
      <c r="AE1441" t="str" cm="1">
        <f t="array" ref="AE1441">INDEX(Innings!W:W,MATCH(1,(TRIM(Innings!A:A)=TRIM(A1441))*(TRIM(Innings!D:D)=TRIM(E1441)),0))</f>
        <v>NA</v>
      </c>
      <c r="AF1441">
        <f>IF(UPPER(TRIM(E1441))=UPPER(TRIM(W1441)),1,0)</f>
        <v>1</v>
      </c>
      <c r="AG1441">
        <f t="shared" si="44"/>
        <v>33.4</v>
      </c>
    </row>
    <row r="1442" spans="1:33" x14ac:dyDescent="0.3">
      <c r="A1442" t="s">
        <v>483</v>
      </c>
      <c r="B1442">
        <v>3</v>
      </c>
      <c r="C1442" t="s">
        <v>190</v>
      </c>
      <c r="D1442" t="s">
        <v>191</v>
      </c>
      <c r="E1442" t="s">
        <v>158</v>
      </c>
      <c r="F1442" t="s">
        <v>109</v>
      </c>
      <c r="G1442" t="s">
        <v>86</v>
      </c>
      <c r="H1442">
        <v>13</v>
      </c>
      <c r="I1442">
        <v>9</v>
      </c>
      <c r="J1442">
        <v>144.44</v>
      </c>
      <c r="K1442" t="s">
        <v>245</v>
      </c>
      <c r="L1442">
        <v>20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 s="8">
        <v>20</v>
      </c>
      <c r="V1442" s="8">
        <f t="shared" si="45"/>
        <v>2</v>
      </c>
      <c r="W1442" t="str">
        <f>_xlfn.XLOOKUP(A1442, Matches!A:A, Matches!L:L, "NA", 0)</f>
        <v>MIW</v>
      </c>
      <c r="X1442" t="str">
        <f>_xlfn.XLOOKUP(A1442, Matches!A:A, Matches!J:J, "NA", 0)</f>
        <v>DCW</v>
      </c>
      <c r="Y1442" t="str">
        <f>_xlfn.XLOOKUP(A1442, Matches!A:A, Matches!F:F, "NA", 0)</f>
        <v>Brabourne Stadium</v>
      </c>
      <c r="Z1442" cm="1">
        <f t="array" ref="Z1442">INDEX(Innings!F:F,MATCH(1,(TRIM(Innings!A:A)=TRIM(A1442))*(TRIM(Innings!D:D)=TRIM(E1442)),0))</f>
        <v>141</v>
      </c>
      <c r="AA1442" cm="1">
        <f t="array" ref="AA1442">INDEX(Innings!I:I,MATCH(1,(TRIM(Innings!A:A)=TRIM(A1442))*(TRIM(Innings!D:D)=TRIM(E1442)),0))</f>
        <v>7.05</v>
      </c>
      <c r="AB1442" cm="1">
        <f t="array" ref="AB1442">INDEX(Innings!J:J,MATCH(1,(TRIM(Innings!A:A)=TRIM(A1442))*(TRIM(Innings!D:D)=TRIM(E1442)),0))</f>
        <v>37</v>
      </c>
      <c r="AC1442" cm="1">
        <f t="array" ref="AC1442">INDEX(Innings!N:N,MATCH(1,(TRIM(Innings!A:A)=TRIM(A1442))*(TRIM(Innings!D:D)=TRIM(E1442)),0))</f>
        <v>26</v>
      </c>
      <c r="AD1442" cm="1">
        <f t="array" ref="AD1442">INDEX(Innings!S:S,MATCH(1,(TRIM(Innings!A:A)=TRIM(A1442))*(TRIM(Innings!D:D)=TRIM(E1442)),0))</f>
        <v>42</v>
      </c>
      <c r="AE1442" t="str" cm="1">
        <f t="array" ref="AE1442">INDEX(Innings!W:W,MATCH(1,(TRIM(Innings!A:A)=TRIM(A1442))*(TRIM(Innings!D:D)=TRIM(E1442)),0))</f>
        <v>Failed</v>
      </c>
      <c r="AF1442">
        <f>IF(UPPER(TRIM(E1442))=UPPER(TRIM(W1442)),1,0)</f>
        <v>0</v>
      </c>
      <c r="AG1442">
        <f t="shared" si="44"/>
        <v>10.6</v>
      </c>
    </row>
    <row r="1443" spans="1:33" x14ac:dyDescent="0.3">
      <c r="A1443" t="s">
        <v>483</v>
      </c>
      <c r="B1443">
        <v>3</v>
      </c>
      <c r="C1443" t="s">
        <v>188</v>
      </c>
      <c r="D1443" t="s">
        <v>189</v>
      </c>
      <c r="E1443" t="s">
        <v>158</v>
      </c>
      <c r="F1443" t="s">
        <v>109</v>
      </c>
      <c r="G1443" t="s">
        <v>86</v>
      </c>
      <c r="H1443">
        <v>4</v>
      </c>
      <c r="I1443">
        <v>9</v>
      </c>
      <c r="J1443">
        <v>44.44</v>
      </c>
      <c r="K1443" t="s">
        <v>247</v>
      </c>
      <c r="L1443">
        <v>-5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 s="8">
        <v>-5</v>
      </c>
      <c r="V1443" s="8">
        <f t="shared" si="45"/>
        <v>0</v>
      </c>
      <c r="W1443" t="str">
        <f>_xlfn.XLOOKUP(A1443, Matches!A:A, Matches!L:L, "NA", 0)</f>
        <v>MIW</v>
      </c>
      <c r="X1443" t="str">
        <f>_xlfn.XLOOKUP(A1443, Matches!A:A, Matches!J:J, "NA", 0)</f>
        <v>DCW</v>
      </c>
      <c r="Y1443" t="str">
        <f>_xlfn.XLOOKUP(A1443, Matches!A:A, Matches!F:F, "NA", 0)</f>
        <v>Brabourne Stadium</v>
      </c>
      <c r="Z1443" cm="1">
        <f t="array" ref="Z1443">INDEX(Innings!F:F,MATCH(1,(TRIM(Innings!A:A)=TRIM(A1443))*(TRIM(Innings!D:D)=TRIM(E1443)),0))</f>
        <v>141</v>
      </c>
      <c r="AA1443" cm="1">
        <f t="array" ref="AA1443">INDEX(Innings!I:I,MATCH(1,(TRIM(Innings!A:A)=TRIM(A1443))*(TRIM(Innings!D:D)=TRIM(E1443)),0))</f>
        <v>7.05</v>
      </c>
      <c r="AB1443" cm="1">
        <f t="array" ref="AB1443">INDEX(Innings!J:J,MATCH(1,(TRIM(Innings!A:A)=TRIM(A1443))*(TRIM(Innings!D:D)=TRIM(E1443)),0))</f>
        <v>37</v>
      </c>
      <c r="AC1443" cm="1">
        <f t="array" ref="AC1443">INDEX(Innings!N:N,MATCH(1,(TRIM(Innings!A:A)=TRIM(A1443))*(TRIM(Innings!D:D)=TRIM(E1443)),0))</f>
        <v>26</v>
      </c>
      <c r="AD1443" cm="1">
        <f t="array" ref="AD1443">INDEX(Innings!S:S,MATCH(1,(TRIM(Innings!A:A)=TRIM(A1443))*(TRIM(Innings!D:D)=TRIM(E1443)),0))</f>
        <v>42</v>
      </c>
      <c r="AE1443" t="str" cm="1">
        <f t="array" ref="AE1443">INDEX(Innings!W:W,MATCH(1,(TRIM(Innings!A:A)=TRIM(A1443))*(TRIM(Innings!D:D)=TRIM(E1443)),0))</f>
        <v>Failed</v>
      </c>
      <c r="AF1443">
        <f>IF(UPPER(TRIM(E1443))=UPPER(TRIM(W1443)),1,0)</f>
        <v>0</v>
      </c>
      <c r="AG1443">
        <f t="shared" si="44"/>
        <v>0</v>
      </c>
    </row>
    <row r="1444" spans="1:33" x14ac:dyDescent="0.3">
      <c r="A1444" t="s">
        <v>483</v>
      </c>
      <c r="B1444">
        <v>3</v>
      </c>
      <c r="C1444" t="s">
        <v>198</v>
      </c>
      <c r="D1444" t="s">
        <v>199</v>
      </c>
      <c r="E1444" t="s">
        <v>158</v>
      </c>
      <c r="F1444" t="s">
        <v>169</v>
      </c>
      <c r="G1444" t="s">
        <v>92</v>
      </c>
      <c r="H1444">
        <v>13</v>
      </c>
      <c r="I1444">
        <v>15</v>
      </c>
      <c r="J1444">
        <v>86.67</v>
      </c>
      <c r="K1444" t="s">
        <v>246</v>
      </c>
      <c r="L1444">
        <v>10</v>
      </c>
      <c r="M1444">
        <v>3</v>
      </c>
      <c r="N1444">
        <v>0</v>
      </c>
      <c r="O1444">
        <v>26</v>
      </c>
      <c r="P1444">
        <v>2</v>
      </c>
      <c r="Q1444">
        <v>8.6999999999999993</v>
      </c>
      <c r="R1444">
        <v>50</v>
      </c>
      <c r="S1444">
        <v>0</v>
      </c>
      <c r="T1444">
        <v>0</v>
      </c>
      <c r="U1444" s="8">
        <v>60</v>
      </c>
      <c r="V1444" s="8">
        <f t="shared" si="45"/>
        <v>6</v>
      </c>
      <c r="W1444" t="str">
        <f>_xlfn.XLOOKUP(A1444, Matches!A:A, Matches!L:L, "NA", 0)</f>
        <v>MIW</v>
      </c>
      <c r="X1444" t="str">
        <f>_xlfn.XLOOKUP(A1444, Matches!A:A, Matches!J:J, "NA", 0)</f>
        <v>DCW</v>
      </c>
      <c r="Y1444" t="str">
        <f>_xlfn.XLOOKUP(A1444, Matches!A:A, Matches!F:F, "NA", 0)</f>
        <v>Brabourne Stadium</v>
      </c>
      <c r="Z1444" cm="1">
        <f t="array" ref="Z1444">INDEX(Innings!F:F,MATCH(1,(TRIM(Innings!A:A)=TRIM(A1444))*(TRIM(Innings!D:D)=TRIM(E1444)),0))</f>
        <v>141</v>
      </c>
      <c r="AA1444" cm="1">
        <f t="array" ref="AA1444">INDEX(Innings!I:I,MATCH(1,(TRIM(Innings!A:A)=TRIM(A1444))*(TRIM(Innings!D:D)=TRIM(E1444)),0))</f>
        <v>7.05</v>
      </c>
      <c r="AB1444" cm="1">
        <f t="array" ref="AB1444">INDEX(Innings!J:J,MATCH(1,(TRIM(Innings!A:A)=TRIM(A1444))*(TRIM(Innings!D:D)=TRIM(E1444)),0))</f>
        <v>37</v>
      </c>
      <c r="AC1444" cm="1">
        <f t="array" ref="AC1444">INDEX(Innings!N:N,MATCH(1,(TRIM(Innings!A:A)=TRIM(A1444))*(TRIM(Innings!D:D)=TRIM(E1444)),0))</f>
        <v>26</v>
      </c>
      <c r="AD1444" cm="1">
        <f t="array" ref="AD1444">INDEX(Innings!S:S,MATCH(1,(TRIM(Innings!A:A)=TRIM(A1444))*(TRIM(Innings!D:D)=TRIM(E1444)),0))</f>
        <v>42</v>
      </c>
      <c r="AE1444" t="str" cm="1">
        <f t="array" ref="AE1444">INDEX(Innings!W:W,MATCH(1,(TRIM(Innings!A:A)=TRIM(A1444))*(TRIM(Innings!D:D)=TRIM(E1444)),0))</f>
        <v>Failed</v>
      </c>
      <c r="AF1444">
        <f>IF(UPPER(TRIM(E1444))=UPPER(TRIM(W1444)),1,0)</f>
        <v>0</v>
      </c>
      <c r="AG1444">
        <f t="shared" si="44"/>
        <v>31.8</v>
      </c>
    </row>
    <row r="1445" spans="1:33" x14ac:dyDescent="0.3">
      <c r="A1445" t="s">
        <v>483</v>
      </c>
      <c r="B1445">
        <v>3</v>
      </c>
      <c r="C1445" t="s">
        <v>194</v>
      </c>
      <c r="D1445" t="s">
        <v>195</v>
      </c>
      <c r="E1445" t="s">
        <v>158</v>
      </c>
      <c r="F1445" t="s">
        <v>109</v>
      </c>
      <c r="G1445" t="s">
        <v>92</v>
      </c>
      <c r="H1445">
        <v>30</v>
      </c>
      <c r="I1445">
        <v>21</v>
      </c>
      <c r="J1445">
        <v>142.86000000000001</v>
      </c>
      <c r="K1445" t="s">
        <v>246</v>
      </c>
      <c r="L1445">
        <v>40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 s="8">
        <v>40</v>
      </c>
      <c r="V1445" s="8">
        <f t="shared" si="45"/>
        <v>4</v>
      </c>
      <c r="W1445" t="str">
        <f>_xlfn.XLOOKUP(A1445, Matches!A:A, Matches!L:L, "NA", 0)</f>
        <v>MIW</v>
      </c>
      <c r="X1445" t="str">
        <f>_xlfn.XLOOKUP(A1445, Matches!A:A, Matches!J:J, "NA", 0)</f>
        <v>DCW</v>
      </c>
      <c r="Y1445" t="str">
        <f>_xlfn.XLOOKUP(A1445, Matches!A:A, Matches!F:F, "NA", 0)</f>
        <v>Brabourne Stadium</v>
      </c>
      <c r="Z1445" cm="1">
        <f t="array" ref="Z1445">INDEX(Innings!F:F,MATCH(1,(TRIM(Innings!A:A)=TRIM(A1445))*(TRIM(Innings!D:D)=TRIM(E1445)),0))</f>
        <v>141</v>
      </c>
      <c r="AA1445" cm="1">
        <f t="array" ref="AA1445">INDEX(Innings!I:I,MATCH(1,(TRIM(Innings!A:A)=TRIM(A1445))*(TRIM(Innings!D:D)=TRIM(E1445)),0))</f>
        <v>7.05</v>
      </c>
      <c r="AB1445" cm="1">
        <f t="array" ref="AB1445">INDEX(Innings!J:J,MATCH(1,(TRIM(Innings!A:A)=TRIM(A1445))*(TRIM(Innings!D:D)=TRIM(E1445)),0))</f>
        <v>37</v>
      </c>
      <c r="AC1445" cm="1">
        <f t="array" ref="AC1445">INDEX(Innings!N:N,MATCH(1,(TRIM(Innings!A:A)=TRIM(A1445))*(TRIM(Innings!D:D)=TRIM(E1445)),0))</f>
        <v>26</v>
      </c>
      <c r="AD1445" cm="1">
        <f t="array" ref="AD1445">INDEX(Innings!S:S,MATCH(1,(TRIM(Innings!A:A)=TRIM(A1445))*(TRIM(Innings!D:D)=TRIM(E1445)),0))</f>
        <v>42</v>
      </c>
      <c r="AE1445" t="str" cm="1">
        <f t="array" ref="AE1445">INDEX(Innings!W:W,MATCH(1,(TRIM(Innings!A:A)=TRIM(A1445))*(TRIM(Innings!D:D)=TRIM(E1445)),0))</f>
        <v>Failed</v>
      </c>
      <c r="AF1445">
        <f>IF(UPPER(TRIM(E1445))=UPPER(TRIM(W1445)),1,0)</f>
        <v>0</v>
      </c>
      <c r="AG1445">
        <f t="shared" si="44"/>
        <v>21.2</v>
      </c>
    </row>
    <row r="1446" spans="1:33" x14ac:dyDescent="0.3">
      <c r="A1446" t="s">
        <v>483</v>
      </c>
      <c r="B1446">
        <v>3</v>
      </c>
      <c r="C1446" t="s">
        <v>94</v>
      </c>
      <c r="D1446" t="s">
        <v>120</v>
      </c>
      <c r="E1446" t="s">
        <v>158</v>
      </c>
      <c r="F1446" t="s">
        <v>169</v>
      </c>
      <c r="G1446" t="s">
        <v>134</v>
      </c>
      <c r="H1446">
        <v>2</v>
      </c>
      <c r="I1446">
        <v>5</v>
      </c>
      <c r="J1446">
        <v>40</v>
      </c>
      <c r="K1446" t="s">
        <v>248</v>
      </c>
      <c r="L1446">
        <v>-5</v>
      </c>
      <c r="M1446">
        <v>4</v>
      </c>
      <c r="N1446">
        <v>0</v>
      </c>
      <c r="O1446">
        <v>29</v>
      </c>
      <c r="P1446">
        <v>1</v>
      </c>
      <c r="Q1446">
        <v>7.2</v>
      </c>
      <c r="R1446">
        <v>25</v>
      </c>
      <c r="S1446">
        <v>0</v>
      </c>
      <c r="T1446">
        <v>0</v>
      </c>
      <c r="U1446" s="8">
        <v>20</v>
      </c>
      <c r="V1446" s="8">
        <f t="shared" si="45"/>
        <v>2</v>
      </c>
      <c r="W1446" t="str">
        <f>_xlfn.XLOOKUP(A1446, Matches!A:A, Matches!L:L, "NA", 0)</f>
        <v>MIW</v>
      </c>
      <c r="X1446" t="str">
        <f>_xlfn.XLOOKUP(A1446, Matches!A:A, Matches!J:J, "NA", 0)</f>
        <v>DCW</v>
      </c>
      <c r="Y1446" t="str">
        <f>_xlfn.XLOOKUP(A1446, Matches!A:A, Matches!F:F, "NA", 0)</f>
        <v>Brabourne Stadium</v>
      </c>
      <c r="Z1446" cm="1">
        <f t="array" ref="Z1446">INDEX(Innings!F:F,MATCH(1,(TRIM(Innings!A:A)=TRIM(A1446))*(TRIM(Innings!D:D)=TRIM(E1446)),0))</f>
        <v>141</v>
      </c>
      <c r="AA1446" cm="1">
        <f t="array" ref="AA1446">INDEX(Innings!I:I,MATCH(1,(TRIM(Innings!A:A)=TRIM(A1446))*(TRIM(Innings!D:D)=TRIM(E1446)),0))</f>
        <v>7.05</v>
      </c>
      <c r="AB1446" cm="1">
        <f t="array" ref="AB1446">INDEX(Innings!J:J,MATCH(1,(TRIM(Innings!A:A)=TRIM(A1446))*(TRIM(Innings!D:D)=TRIM(E1446)),0))</f>
        <v>37</v>
      </c>
      <c r="AC1446" cm="1">
        <f t="array" ref="AC1446">INDEX(Innings!N:N,MATCH(1,(TRIM(Innings!A:A)=TRIM(A1446))*(TRIM(Innings!D:D)=TRIM(E1446)),0))</f>
        <v>26</v>
      </c>
      <c r="AD1446" cm="1">
        <f t="array" ref="AD1446">INDEX(Innings!S:S,MATCH(1,(TRIM(Innings!A:A)=TRIM(A1446))*(TRIM(Innings!D:D)=TRIM(E1446)),0))</f>
        <v>42</v>
      </c>
      <c r="AE1446" t="str" cm="1">
        <f t="array" ref="AE1446">INDEX(Innings!W:W,MATCH(1,(TRIM(Innings!A:A)=TRIM(A1446))*(TRIM(Innings!D:D)=TRIM(E1446)),0))</f>
        <v>Failed</v>
      </c>
      <c r="AF1446">
        <f>IF(UPPER(TRIM(E1446))=UPPER(TRIM(W1446)),1,0)</f>
        <v>0</v>
      </c>
      <c r="AG1446">
        <f t="shared" si="44"/>
        <v>10.6</v>
      </c>
    </row>
    <row r="1447" spans="1:33" x14ac:dyDescent="0.3">
      <c r="A1447" t="s">
        <v>483</v>
      </c>
      <c r="B1447">
        <v>3</v>
      </c>
      <c r="C1447" t="s">
        <v>192</v>
      </c>
      <c r="D1447" t="s">
        <v>193</v>
      </c>
      <c r="E1447" t="s">
        <v>158</v>
      </c>
      <c r="F1447" t="s">
        <v>169</v>
      </c>
      <c r="G1447" t="s">
        <v>134</v>
      </c>
      <c r="H1447">
        <v>40</v>
      </c>
      <c r="I1447">
        <v>26</v>
      </c>
      <c r="J1447">
        <v>153.85</v>
      </c>
      <c r="K1447" t="s">
        <v>246</v>
      </c>
      <c r="L1447">
        <v>60</v>
      </c>
      <c r="M1447">
        <v>4</v>
      </c>
      <c r="N1447">
        <v>0</v>
      </c>
      <c r="O1447">
        <v>11</v>
      </c>
      <c r="P1447">
        <v>2</v>
      </c>
      <c r="Q1447">
        <v>2.8</v>
      </c>
      <c r="R1447">
        <v>65</v>
      </c>
      <c r="S1447">
        <v>0</v>
      </c>
      <c r="T1447">
        <v>0</v>
      </c>
      <c r="U1447" s="8">
        <v>125</v>
      </c>
      <c r="V1447" s="8">
        <f t="shared" si="45"/>
        <v>10</v>
      </c>
      <c r="W1447" t="str">
        <f>_xlfn.XLOOKUP(A1447, Matches!A:A, Matches!L:L, "NA", 0)</f>
        <v>MIW</v>
      </c>
      <c r="X1447" t="str">
        <f>_xlfn.XLOOKUP(A1447, Matches!A:A, Matches!J:J, "NA", 0)</f>
        <v>DCW</v>
      </c>
      <c r="Y1447" t="str">
        <f>_xlfn.XLOOKUP(A1447, Matches!A:A, Matches!F:F, "NA", 0)</f>
        <v>Brabourne Stadium</v>
      </c>
      <c r="Z1447" cm="1">
        <f t="array" ref="Z1447">INDEX(Innings!F:F,MATCH(1,(TRIM(Innings!A:A)=TRIM(A1447))*(TRIM(Innings!D:D)=TRIM(E1447)),0))</f>
        <v>141</v>
      </c>
      <c r="AA1447" cm="1">
        <f t="array" ref="AA1447">INDEX(Innings!I:I,MATCH(1,(TRIM(Innings!A:A)=TRIM(A1447))*(TRIM(Innings!D:D)=TRIM(E1447)),0))</f>
        <v>7.05</v>
      </c>
      <c r="AB1447" cm="1">
        <f t="array" ref="AB1447">INDEX(Innings!J:J,MATCH(1,(TRIM(Innings!A:A)=TRIM(A1447))*(TRIM(Innings!D:D)=TRIM(E1447)),0))</f>
        <v>37</v>
      </c>
      <c r="AC1447" cm="1">
        <f t="array" ref="AC1447">INDEX(Innings!N:N,MATCH(1,(TRIM(Innings!A:A)=TRIM(A1447))*(TRIM(Innings!D:D)=TRIM(E1447)),0))</f>
        <v>26</v>
      </c>
      <c r="AD1447" cm="1">
        <f t="array" ref="AD1447">INDEX(Innings!S:S,MATCH(1,(TRIM(Innings!A:A)=TRIM(A1447))*(TRIM(Innings!D:D)=TRIM(E1447)),0))</f>
        <v>42</v>
      </c>
      <c r="AE1447" t="str" cm="1">
        <f t="array" ref="AE1447">INDEX(Innings!W:W,MATCH(1,(TRIM(Innings!A:A)=TRIM(A1447))*(TRIM(Innings!D:D)=TRIM(E1447)),0))</f>
        <v>Failed</v>
      </c>
      <c r="AF1447">
        <f>IF(UPPER(TRIM(E1447))=UPPER(TRIM(W1447)),1,0)</f>
        <v>0</v>
      </c>
      <c r="AG1447">
        <f t="shared" si="44"/>
        <v>65.5</v>
      </c>
    </row>
    <row r="1448" spans="1:33" x14ac:dyDescent="0.3">
      <c r="A1448" t="s">
        <v>483</v>
      </c>
      <c r="B1448">
        <v>3</v>
      </c>
      <c r="C1448" t="s">
        <v>496</v>
      </c>
      <c r="D1448" t="s">
        <v>518</v>
      </c>
      <c r="E1448" t="s">
        <v>158</v>
      </c>
      <c r="F1448" t="s">
        <v>85</v>
      </c>
      <c r="G1448" t="s">
        <v>134</v>
      </c>
      <c r="H1448">
        <v>5</v>
      </c>
      <c r="I1448">
        <v>5</v>
      </c>
      <c r="J1448">
        <v>100</v>
      </c>
      <c r="K1448" t="s">
        <v>256</v>
      </c>
      <c r="L1448">
        <v>5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 s="8">
        <v>5</v>
      </c>
      <c r="V1448" s="8">
        <f t="shared" si="45"/>
        <v>1</v>
      </c>
      <c r="W1448" t="str">
        <f>_xlfn.XLOOKUP(A1448, Matches!A:A, Matches!L:L, "NA", 0)</f>
        <v>MIW</v>
      </c>
      <c r="X1448" t="str">
        <f>_xlfn.XLOOKUP(A1448, Matches!A:A, Matches!J:J, "NA", 0)</f>
        <v>DCW</v>
      </c>
      <c r="Y1448" t="str">
        <f>_xlfn.XLOOKUP(A1448, Matches!A:A, Matches!F:F, "NA", 0)</f>
        <v>Brabourne Stadium</v>
      </c>
      <c r="Z1448" cm="1">
        <f t="array" ref="Z1448">INDEX(Innings!F:F,MATCH(1,(TRIM(Innings!A:A)=TRIM(A1448))*(TRIM(Innings!D:D)=TRIM(E1448)),0))</f>
        <v>141</v>
      </c>
      <c r="AA1448" cm="1">
        <f t="array" ref="AA1448">INDEX(Innings!I:I,MATCH(1,(TRIM(Innings!A:A)=TRIM(A1448))*(TRIM(Innings!D:D)=TRIM(E1448)),0))</f>
        <v>7.05</v>
      </c>
      <c r="AB1448" cm="1">
        <f t="array" ref="AB1448">INDEX(Innings!J:J,MATCH(1,(TRIM(Innings!A:A)=TRIM(A1448))*(TRIM(Innings!D:D)=TRIM(E1448)),0))</f>
        <v>37</v>
      </c>
      <c r="AC1448" cm="1">
        <f t="array" ref="AC1448">INDEX(Innings!N:N,MATCH(1,(TRIM(Innings!A:A)=TRIM(A1448))*(TRIM(Innings!D:D)=TRIM(E1448)),0))</f>
        <v>26</v>
      </c>
      <c r="AD1448" cm="1">
        <f t="array" ref="AD1448">INDEX(Innings!S:S,MATCH(1,(TRIM(Innings!A:A)=TRIM(A1448))*(TRIM(Innings!D:D)=TRIM(E1448)),0))</f>
        <v>42</v>
      </c>
      <c r="AE1448" t="str" cm="1">
        <f t="array" ref="AE1448">INDEX(Innings!W:W,MATCH(1,(TRIM(Innings!A:A)=TRIM(A1448))*(TRIM(Innings!D:D)=TRIM(E1448)),0))</f>
        <v>Failed</v>
      </c>
      <c r="AF1448">
        <f>IF(UPPER(TRIM(E1448))=UPPER(TRIM(W1448)),1,0)</f>
        <v>0</v>
      </c>
      <c r="AG1448">
        <f t="shared" si="44"/>
        <v>2.8</v>
      </c>
    </row>
    <row r="1449" spans="1:33" x14ac:dyDescent="0.3">
      <c r="A1449" t="s">
        <v>483</v>
      </c>
      <c r="B1449">
        <v>3</v>
      </c>
      <c r="C1449" t="s">
        <v>495</v>
      </c>
      <c r="D1449" t="s">
        <v>503</v>
      </c>
      <c r="E1449" t="s">
        <v>158</v>
      </c>
      <c r="F1449" t="s">
        <v>169</v>
      </c>
      <c r="G1449" t="s">
        <v>134</v>
      </c>
      <c r="H1449">
        <v>25</v>
      </c>
      <c r="I1449">
        <v>23</v>
      </c>
      <c r="J1449">
        <v>108.7</v>
      </c>
      <c r="K1449" t="s">
        <v>96</v>
      </c>
      <c r="L1449">
        <v>30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 s="8">
        <v>30</v>
      </c>
      <c r="V1449" s="8">
        <f t="shared" si="45"/>
        <v>3</v>
      </c>
      <c r="W1449" t="str">
        <f>_xlfn.XLOOKUP(A1449, Matches!A:A, Matches!L:L, "NA", 0)</f>
        <v>MIW</v>
      </c>
      <c r="X1449" t="str">
        <f>_xlfn.XLOOKUP(A1449, Matches!A:A, Matches!J:J, "NA", 0)</f>
        <v>DCW</v>
      </c>
      <c r="Y1449" t="str">
        <f>_xlfn.XLOOKUP(A1449, Matches!A:A, Matches!F:F, "NA", 0)</f>
        <v>Brabourne Stadium</v>
      </c>
      <c r="Z1449" cm="1">
        <f t="array" ref="Z1449">INDEX(Innings!F:F,MATCH(1,(TRIM(Innings!A:A)=TRIM(A1449))*(TRIM(Innings!D:D)=TRIM(E1449)),0))</f>
        <v>141</v>
      </c>
      <c r="AA1449" cm="1">
        <f t="array" ref="AA1449">INDEX(Innings!I:I,MATCH(1,(TRIM(Innings!A:A)=TRIM(A1449))*(TRIM(Innings!D:D)=TRIM(E1449)),0))</f>
        <v>7.05</v>
      </c>
      <c r="AB1449" cm="1">
        <f t="array" ref="AB1449">INDEX(Innings!J:J,MATCH(1,(TRIM(Innings!A:A)=TRIM(A1449))*(TRIM(Innings!D:D)=TRIM(E1449)),0))</f>
        <v>37</v>
      </c>
      <c r="AC1449" cm="1">
        <f t="array" ref="AC1449">INDEX(Innings!N:N,MATCH(1,(TRIM(Innings!A:A)=TRIM(A1449))*(TRIM(Innings!D:D)=TRIM(E1449)),0))</f>
        <v>26</v>
      </c>
      <c r="AD1449" cm="1">
        <f t="array" ref="AD1449">INDEX(Innings!S:S,MATCH(1,(TRIM(Innings!A:A)=TRIM(A1449))*(TRIM(Innings!D:D)=TRIM(E1449)),0))</f>
        <v>42</v>
      </c>
      <c r="AE1449" t="str" cm="1">
        <f t="array" ref="AE1449">INDEX(Innings!W:W,MATCH(1,(TRIM(Innings!A:A)=TRIM(A1449))*(TRIM(Innings!D:D)=TRIM(E1449)),0))</f>
        <v>Failed</v>
      </c>
      <c r="AF1449">
        <f>IF(UPPER(TRIM(E1449))=UPPER(TRIM(W1449)),1,0)</f>
        <v>0</v>
      </c>
      <c r="AG1449">
        <f t="shared" si="44"/>
        <v>15.9</v>
      </c>
    </row>
    <row r="1450" spans="1:33" x14ac:dyDescent="0.3">
      <c r="A1450" t="s">
        <v>483</v>
      </c>
      <c r="B1450">
        <v>3</v>
      </c>
      <c r="C1450" t="s">
        <v>204</v>
      </c>
      <c r="D1450" t="s">
        <v>205</v>
      </c>
      <c r="E1450" t="s">
        <v>158</v>
      </c>
      <c r="F1450" t="s">
        <v>169</v>
      </c>
      <c r="G1450" t="s">
        <v>134</v>
      </c>
      <c r="H1450">
        <v>0</v>
      </c>
      <c r="I1450">
        <v>1</v>
      </c>
      <c r="J1450">
        <v>0</v>
      </c>
      <c r="K1450" t="s">
        <v>245</v>
      </c>
      <c r="L1450">
        <v>0</v>
      </c>
      <c r="M1450">
        <v>4</v>
      </c>
      <c r="N1450">
        <v>0</v>
      </c>
      <c r="O1450">
        <v>29</v>
      </c>
      <c r="P1450">
        <v>0</v>
      </c>
      <c r="Q1450">
        <v>7.2</v>
      </c>
      <c r="R1450">
        <v>5</v>
      </c>
      <c r="S1450">
        <v>0</v>
      </c>
      <c r="T1450">
        <v>0</v>
      </c>
      <c r="U1450" s="8">
        <v>5</v>
      </c>
      <c r="V1450" s="8">
        <f t="shared" si="45"/>
        <v>1</v>
      </c>
      <c r="W1450" t="str">
        <f>_xlfn.XLOOKUP(A1450, Matches!A:A, Matches!L:L, "NA", 0)</f>
        <v>MIW</v>
      </c>
      <c r="X1450" t="str">
        <f>_xlfn.XLOOKUP(A1450, Matches!A:A, Matches!J:J, "NA", 0)</f>
        <v>DCW</v>
      </c>
      <c r="Y1450" t="str">
        <f>_xlfn.XLOOKUP(A1450, Matches!A:A, Matches!F:F, "NA", 0)</f>
        <v>Brabourne Stadium</v>
      </c>
      <c r="Z1450" cm="1">
        <f t="array" ref="Z1450">INDEX(Innings!F:F,MATCH(1,(TRIM(Innings!A:A)=TRIM(A1450))*(TRIM(Innings!D:D)=TRIM(E1450)),0))</f>
        <v>141</v>
      </c>
      <c r="AA1450" cm="1">
        <f t="array" ref="AA1450">INDEX(Innings!I:I,MATCH(1,(TRIM(Innings!A:A)=TRIM(A1450))*(TRIM(Innings!D:D)=TRIM(E1450)),0))</f>
        <v>7.05</v>
      </c>
      <c r="AB1450" cm="1">
        <f t="array" ref="AB1450">INDEX(Innings!J:J,MATCH(1,(TRIM(Innings!A:A)=TRIM(A1450))*(TRIM(Innings!D:D)=TRIM(E1450)),0))</f>
        <v>37</v>
      </c>
      <c r="AC1450" cm="1">
        <f t="array" ref="AC1450">INDEX(Innings!N:N,MATCH(1,(TRIM(Innings!A:A)=TRIM(A1450))*(TRIM(Innings!D:D)=TRIM(E1450)),0))</f>
        <v>26</v>
      </c>
      <c r="AD1450" cm="1">
        <f t="array" ref="AD1450">INDEX(Innings!S:S,MATCH(1,(TRIM(Innings!A:A)=TRIM(A1450))*(TRIM(Innings!D:D)=TRIM(E1450)),0))</f>
        <v>42</v>
      </c>
      <c r="AE1450" t="str" cm="1">
        <f t="array" ref="AE1450">INDEX(Innings!W:W,MATCH(1,(TRIM(Innings!A:A)=TRIM(A1450))*(TRIM(Innings!D:D)=TRIM(E1450)),0))</f>
        <v>Failed</v>
      </c>
      <c r="AF1450">
        <f>IF(UPPER(TRIM(E1450))=UPPER(TRIM(W1450)),1,0)</f>
        <v>0</v>
      </c>
      <c r="AG1450">
        <f t="shared" si="44"/>
        <v>2.8</v>
      </c>
    </row>
    <row r="1451" spans="1:33" x14ac:dyDescent="0.3">
      <c r="A1451" t="s">
        <v>483</v>
      </c>
      <c r="B1451">
        <v>3</v>
      </c>
      <c r="C1451" t="s">
        <v>274</v>
      </c>
      <c r="D1451" t="s">
        <v>284</v>
      </c>
      <c r="E1451" t="s">
        <v>158</v>
      </c>
      <c r="F1451" t="s">
        <v>169</v>
      </c>
      <c r="G1451" t="s">
        <v>134</v>
      </c>
      <c r="H1451">
        <v>4</v>
      </c>
      <c r="I1451">
        <v>2</v>
      </c>
      <c r="J1451">
        <v>200</v>
      </c>
      <c r="K1451" t="s">
        <v>246</v>
      </c>
      <c r="L1451">
        <v>10</v>
      </c>
      <c r="M1451">
        <v>1</v>
      </c>
      <c r="N1451">
        <v>0</v>
      </c>
      <c r="O1451">
        <v>10</v>
      </c>
      <c r="P1451">
        <v>0</v>
      </c>
      <c r="Q1451">
        <v>10</v>
      </c>
      <c r="R1451">
        <v>0</v>
      </c>
      <c r="S1451">
        <v>0</v>
      </c>
      <c r="T1451">
        <v>0</v>
      </c>
      <c r="U1451" s="8">
        <v>10</v>
      </c>
      <c r="V1451" s="8">
        <f t="shared" si="45"/>
        <v>1</v>
      </c>
      <c r="W1451" t="str">
        <f>_xlfn.XLOOKUP(A1451, Matches!A:A, Matches!L:L, "NA", 0)</f>
        <v>MIW</v>
      </c>
      <c r="X1451" t="str">
        <f>_xlfn.XLOOKUP(A1451, Matches!A:A, Matches!J:J, "NA", 0)</f>
        <v>DCW</v>
      </c>
      <c r="Y1451" t="str">
        <f>_xlfn.XLOOKUP(A1451, Matches!A:A, Matches!F:F, "NA", 0)</f>
        <v>Brabourne Stadium</v>
      </c>
      <c r="Z1451" cm="1">
        <f t="array" ref="Z1451">INDEX(Innings!F:F,MATCH(1,(TRIM(Innings!A:A)=TRIM(A1451))*(TRIM(Innings!D:D)=TRIM(E1451)),0))</f>
        <v>141</v>
      </c>
      <c r="AA1451" cm="1">
        <f t="array" ref="AA1451">INDEX(Innings!I:I,MATCH(1,(TRIM(Innings!A:A)=TRIM(A1451))*(TRIM(Innings!D:D)=TRIM(E1451)),0))</f>
        <v>7.05</v>
      </c>
      <c r="AB1451" cm="1">
        <f t="array" ref="AB1451">INDEX(Innings!J:J,MATCH(1,(TRIM(Innings!A:A)=TRIM(A1451))*(TRIM(Innings!D:D)=TRIM(E1451)),0))</f>
        <v>37</v>
      </c>
      <c r="AC1451" cm="1">
        <f t="array" ref="AC1451">INDEX(Innings!N:N,MATCH(1,(TRIM(Innings!A:A)=TRIM(A1451))*(TRIM(Innings!D:D)=TRIM(E1451)),0))</f>
        <v>26</v>
      </c>
      <c r="AD1451" cm="1">
        <f t="array" ref="AD1451">INDEX(Innings!S:S,MATCH(1,(TRIM(Innings!A:A)=TRIM(A1451))*(TRIM(Innings!D:D)=TRIM(E1451)),0))</f>
        <v>42</v>
      </c>
      <c r="AE1451" t="str" cm="1">
        <f t="array" ref="AE1451">INDEX(Innings!W:W,MATCH(1,(TRIM(Innings!A:A)=TRIM(A1451))*(TRIM(Innings!D:D)=TRIM(E1451)),0))</f>
        <v>Failed</v>
      </c>
      <c r="AF1451">
        <f>IF(UPPER(TRIM(E1451))=UPPER(TRIM(W1451)),1,0)</f>
        <v>0</v>
      </c>
      <c r="AG1451">
        <f t="shared" si="44"/>
        <v>5.3</v>
      </c>
    </row>
    <row r="1452" spans="1:33" x14ac:dyDescent="0.3">
      <c r="A1452" t="s">
        <v>483</v>
      </c>
      <c r="B1452">
        <v>3</v>
      </c>
      <c r="C1452" t="s">
        <v>513</v>
      </c>
      <c r="D1452" t="s">
        <v>563</v>
      </c>
      <c r="E1452" t="s">
        <v>158</v>
      </c>
      <c r="F1452" t="s">
        <v>101</v>
      </c>
      <c r="G1452" t="s">
        <v>134</v>
      </c>
      <c r="H1452">
        <v>3</v>
      </c>
      <c r="I1452">
        <v>4</v>
      </c>
      <c r="J1452">
        <v>75</v>
      </c>
      <c r="K1452" t="s">
        <v>96</v>
      </c>
      <c r="L1452">
        <v>3</v>
      </c>
      <c r="M1452">
        <v>4</v>
      </c>
      <c r="N1452">
        <v>0</v>
      </c>
      <c r="O1452">
        <v>43</v>
      </c>
      <c r="P1452">
        <v>2</v>
      </c>
      <c r="Q1452">
        <v>10.8</v>
      </c>
      <c r="R1452">
        <v>50</v>
      </c>
      <c r="S1452">
        <v>0</v>
      </c>
      <c r="T1452">
        <v>0</v>
      </c>
      <c r="U1452" s="8">
        <v>53</v>
      </c>
      <c r="V1452" s="8">
        <f t="shared" si="45"/>
        <v>5</v>
      </c>
      <c r="W1452" t="str">
        <f>_xlfn.XLOOKUP(A1452, Matches!A:A, Matches!L:L, "NA", 0)</f>
        <v>MIW</v>
      </c>
      <c r="X1452" t="str">
        <f>_xlfn.XLOOKUP(A1452, Matches!A:A, Matches!J:J, "NA", 0)</f>
        <v>DCW</v>
      </c>
      <c r="Y1452" t="str">
        <f>_xlfn.XLOOKUP(A1452, Matches!A:A, Matches!F:F, "NA", 0)</f>
        <v>Brabourne Stadium</v>
      </c>
      <c r="Z1452" cm="1">
        <f t="array" ref="Z1452">INDEX(Innings!F:F,MATCH(1,(TRIM(Innings!A:A)=TRIM(A1452))*(TRIM(Innings!D:D)=TRIM(E1452)),0))</f>
        <v>141</v>
      </c>
      <c r="AA1452" cm="1">
        <f t="array" ref="AA1452">INDEX(Innings!I:I,MATCH(1,(TRIM(Innings!A:A)=TRIM(A1452))*(TRIM(Innings!D:D)=TRIM(E1452)),0))</f>
        <v>7.05</v>
      </c>
      <c r="AB1452" cm="1">
        <f t="array" ref="AB1452">INDEX(Innings!J:J,MATCH(1,(TRIM(Innings!A:A)=TRIM(A1452))*(TRIM(Innings!D:D)=TRIM(E1452)),0))</f>
        <v>37</v>
      </c>
      <c r="AC1452" cm="1">
        <f t="array" ref="AC1452">INDEX(Innings!N:N,MATCH(1,(TRIM(Innings!A:A)=TRIM(A1452))*(TRIM(Innings!D:D)=TRIM(E1452)),0))</f>
        <v>26</v>
      </c>
      <c r="AD1452" cm="1">
        <f t="array" ref="AD1452">INDEX(Innings!S:S,MATCH(1,(TRIM(Innings!A:A)=TRIM(A1452))*(TRIM(Innings!D:D)=TRIM(E1452)),0))</f>
        <v>42</v>
      </c>
      <c r="AE1452" t="str" cm="1">
        <f t="array" ref="AE1452">INDEX(Innings!W:W,MATCH(1,(TRIM(Innings!A:A)=TRIM(A1452))*(TRIM(Innings!D:D)=TRIM(E1452)),0))</f>
        <v>Failed</v>
      </c>
      <c r="AF1452">
        <f>IF(UPPER(TRIM(E1452))=UPPER(TRIM(W1452)),1,0)</f>
        <v>0</v>
      </c>
      <c r="AG1452">
        <f t="shared" si="44"/>
        <v>28</v>
      </c>
    </row>
    <row r="1453" spans="1:33" x14ac:dyDescent="0.3">
      <c r="A1453" t="s">
        <v>601</v>
      </c>
      <c r="B1453">
        <v>4</v>
      </c>
      <c r="C1453" t="s">
        <v>119</v>
      </c>
      <c r="D1453" t="s">
        <v>95</v>
      </c>
      <c r="E1453" t="s">
        <v>266</v>
      </c>
      <c r="F1453" t="s">
        <v>169</v>
      </c>
      <c r="G1453" t="s">
        <v>92</v>
      </c>
      <c r="H1453">
        <v>4</v>
      </c>
      <c r="I1453">
        <v>15</v>
      </c>
      <c r="J1453">
        <v>26.67</v>
      </c>
      <c r="K1453" t="s">
        <v>246</v>
      </c>
      <c r="L1453">
        <v>-5</v>
      </c>
      <c r="M1453">
        <v>4</v>
      </c>
      <c r="N1453">
        <v>0</v>
      </c>
      <c r="O1453">
        <v>13</v>
      </c>
      <c r="P1453">
        <v>2</v>
      </c>
      <c r="Q1453">
        <v>3.2</v>
      </c>
      <c r="R1453">
        <v>65</v>
      </c>
      <c r="S1453">
        <v>0</v>
      </c>
      <c r="T1453">
        <v>0</v>
      </c>
      <c r="U1453" s="8">
        <v>60</v>
      </c>
      <c r="V1453" s="8">
        <f t="shared" si="45"/>
        <v>6</v>
      </c>
      <c r="W1453" t="str">
        <f>_xlfn.XLOOKUP(A1453, Matches!A:A, Matches!L:L, "NA", 0)</f>
        <v>RCBW</v>
      </c>
      <c r="X1453" t="str">
        <f>_xlfn.XLOOKUP(A1453, Matches!A:A, Matches!J:J, "NA", 0)</f>
        <v>RCBW</v>
      </c>
      <c r="Y1453" t="str">
        <f>_xlfn.XLOOKUP(A1453, Matches!A:A, Matches!F:F, "NA", 0)</f>
        <v>Dr DY Patil Sports </v>
      </c>
      <c r="Z1453" cm="1">
        <f t="array" ref="Z1453">INDEX(Innings!F:F,MATCH(1,(TRIM(Innings!A:A)=TRIM(A1453))*(TRIM(Innings!D:D)=TRIM(E1453)),0))</f>
        <v>154</v>
      </c>
      <c r="AA1453" cm="1">
        <f t="array" ref="AA1453">INDEX(Innings!I:I,MATCH(1,(TRIM(Innings!A:A)=TRIM(A1453))*(TRIM(Innings!D:D)=TRIM(E1453)),0))</f>
        <v>7.7</v>
      </c>
      <c r="AB1453" cm="1">
        <f t="array" ref="AB1453">INDEX(Innings!J:J,MATCH(1,(TRIM(Innings!A:A)=TRIM(A1453))*(TRIM(Innings!D:D)=TRIM(E1453)),0))</f>
        <v>34</v>
      </c>
      <c r="AC1453" cm="1">
        <f t="array" ref="AC1453">INDEX(Innings!N:N,MATCH(1,(TRIM(Innings!A:A)=TRIM(A1453))*(TRIM(Innings!D:D)=TRIM(E1453)),0))</f>
        <v>42</v>
      </c>
      <c r="AD1453" cm="1">
        <f t="array" ref="AD1453">INDEX(Innings!S:S,MATCH(1,(TRIM(Innings!A:A)=TRIM(A1453))*(TRIM(Innings!D:D)=TRIM(E1453)),0))</f>
        <v>54</v>
      </c>
      <c r="AE1453" t="str" cm="1">
        <f t="array" ref="AE1453">INDEX(Innings!W:W,MATCH(1,(TRIM(Innings!A:A)=TRIM(A1453))*(TRIM(Innings!D:D)=TRIM(E1453)),0))</f>
        <v>NA</v>
      </c>
      <c r="AF1453">
        <f>IF(UPPER(TRIM(E1453))=UPPER(TRIM(W1453)),1,0)</f>
        <v>0</v>
      </c>
      <c r="AG1453">
        <f t="shared" si="44"/>
        <v>31.8</v>
      </c>
    </row>
    <row r="1454" spans="1:33" x14ac:dyDescent="0.3">
      <c r="A1454" t="s">
        <v>601</v>
      </c>
      <c r="B1454">
        <v>4</v>
      </c>
      <c r="C1454" t="s">
        <v>510</v>
      </c>
      <c r="D1454" t="s">
        <v>538</v>
      </c>
      <c r="E1454" t="s">
        <v>266</v>
      </c>
      <c r="F1454" t="s">
        <v>85</v>
      </c>
      <c r="G1454" t="s">
        <v>92</v>
      </c>
      <c r="H1454">
        <v>32</v>
      </c>
      <c r="I1454">
        <v>28</v>
      </c>
      <c r="J1454">
        <v>114.29</v>
      </c>
      <c r="K1454" t="s">
        <v>245</v>
      </c>
      <c r="L1454">
        <v>35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 s="8">
        <v>35</v>
      </c>
      <c r="V1454" s="8">
        <f t="shared" si="45"/>
        <v>4</v>
      </c>
      <c r="W1454" t="str">
        <f>_xlfn.XLOOKUP(A1454, Matches!A:A, Matches!L:L, "NA", 0)</f>
        <v>RCBW</v>
      </c>
      <c r="X1454" t="str">
        <f>_xlfn.XLOOKUP(A1454, Matches!A:A, Matches!J:J, "NA", 0)</f>
        <v>RCBW</v>
      </c>
      <c r="Y1454" t="str">
        <f>_xlfn.XLOOKUP(A1454, Matches!A:A, Matches!F:F, "NA", 0)</f>
        <v>Dr DY Patil Sports </v>
      </c>
      <c r="Z1454" cm="1">
        <f t="array" ref="Z1454">INDEX(Innings!F:F,MATCH(1,(TRIM(Innings!A:A)=TRIM(A1454))*(TRIM(Innings!D:D)=TRIM(E1454)),0))</f>
        <v>154</v>
      </c>
      <c r="AA1454" cm="1">
        <f t="array" ref="AA1454">INDEX(Innings!I:I,MATCH(1,(TRIM(Innings!A:A)=TRIM(A1454))*(TRIM(Innings!D:D)=TRIM(E1454)),0))</f>
        <v>7.7</v>
      </c>
      <c r="AB1454" cm="1">
        <f t="array" ref="AB1454">INDEX(Innings!J:J,MATCH(1,(TRIM(Innings!A:A)=TRIM(A1454))*(TRIM(Innings!D:D)=TRIM(E1454)),0))</f>
        <v>34</v>
      </c>
      <c r="AC1454" cm="1">
        <f t="array" ref="AC1454">INDEX(Innings!N:N,MATCH(1,(TRIM(Innings!A:A)=TRIM(A1454))*(TRIM(Innings!D:D)=TRIM(E1454)),0))</f>
        <v>42</v>
      </c>
      <c r="AD1454" cm="1">
        <f t="array" ref="AD1454">INDEX(Innings!S:S,MATCH(1,(TRIM(Innings!A:A)=TRIM(A1454))*(TRIM(Innings!D:D)=TRIM(E1454)),0))</f>
        <v>54</v>
      </c>
      <c r="AE1454" t="str" cm="1">
        <f t="array" ref="AE1454">INDEX(Innings!W:W,MATCH(1,(TRIM(Innings!A:A)=TRIM(A1454))*(TRIM(Innings!D:D)=TRIM(E1454)),0))</f>
        <v>NA</v>
      </c>
      <c r="AF1454">
        <f>IF(UPPER(TRIM(E1454))=UPPER(TRIM(W1454)),1,0)</f>
        <v>0</v>
      </c>
      <c r="AG1454">
        <f t="shared" si="44"/>
        <v>18.7</v>
      </c>
    </row>
    <row r="1455" spans="1:33" x14ac:dyDescent="0.3">
      <c r="A1455" t="s">
        <v>601</v>
      </c>
      <c r="B1455">
        <v>4</v>
      </c>
      <c r="C1455" t="s">
        <v>117</v>
      </c>
      <c r="D1455" t="s">
        <v>90</v>
      </c>
      <c r="E1455" t="s">
        <v>266</v>
      </c>
      <c r="F1455" t="s">
        <v>169</v>
      </c>
      <c r="G1455" t="s">
        <v>92</v>
      </c>
      <c r="H1455">
        <v>4</v>
      </c>
      <c r="I1455">
        <v>3</v>
      </c>
      <c r="J1455">
        <v>133.33000000000001</v>
      </c>
      <c r="K1455" t="s">
        <v>248</v>
      </c>
      <c r="L1455">
        <v>10</v>
      </c>
      <c r="M1455">
        <v>4</v>
      </c>
      <c r="N1455">
        <v>0</v>
      </c>
      <c r="O1455">
        <v>47</v>
      </c>
      <c r="P1455">
        <v>1</v>
      </c>
      <c r="Q1455">
        <v>11.8</v>
      </c>
      <c r="R1455">
        <v>25</v>
      </c>
      <c r="S1455">
        <v>0</v>
      </c>
      <c r="T1455">
        <v>0</v>
      </c>
      <c r="U1455" s="8">
        <v>35</v>
      </c>
      <c r="V1455" s="8">
        <f t="shared" si="45"/>
        <v>4</v>
      </c>
      <c r="W1455" t="str">
        <f>_xlfn.XLOOKUP(A1455, Matches!A:A, Matches!L:L, "NA", 0)</f>
        <v>RCBW</v>
      </c>
      <c r="X1455" t="str">
        <f>_xlfn.XLOOKUP(A1455, Matches!A:A, Matches!J:J, "NA", 0)</f>
        <v>RCBW</v>
      </c>
      <c r="Y1455" t="str">
        <f>_xlfn.XLOOKUP(A1455, Matches!A:A, Matches!F:F, "NA", 0)</f>
        <v>Dr DY Patil Sports </v>
      </c>
      <c r="Z1455" cm="1">
        <f t="array" ref="Z1455">INDEX(Innings!F:F,MATCH(1,(TRIM(Innings!A:A)=TRIM(A1455))*(TRIM(Innings!D:D)=TRIM(E1455)),0))</f>
        <v>154</v>
      </c>
      <c r="AA1455" cm="1">
        <f t="array" ref="AA1455">INDEX(Innings!I:I,MATCH(1,(TRIM(Innings!A:A)=TRIM(A1455))*(TRIM(Innings!D:D)=TRIM(E1455)),0))</f>
        <v>7.7</v>
      </c>
      <c r="AB1455" cm="1">
        <f t="array" ref="AB1455">INDEX(Innings!J:J,MATCH(1,(TRIM(Innings!A:A)=TRIM(A1455))*(TRIM(Innings!D:D)=TRIM(E1455)),0))</f>
        <v>34</v>
      </c>
      <c r="AC1455" cm="1">
        <f t="array" ref="AC1455">INDEX(Innings!N:N,MATCH(1,(TRIM(Innings!A:A)=TRIM(A1455))*(TRIM(Innings!D:D)=TRIM(E1455)),0))</f>
        <v>42</v>
      </c>
      <c r="AD1455" cm="1">
        <f t="array" ref="AD1455">INDEX(Innings!S:S,MATCH(1,(TRIM(Innings!A:A)=TRIM(A1455))*(TRIM(Innings!D:D)=TRIM(E1455)),0))</f>
        <v>54</v>
      </c>
      <c r="AE1455" t="str" cm="1">
        <f t="array" ref="AE1455">INDEX(Innings!W:W,MATCH(1,(TRIM(Innings!A:A)=TRIM(A1455))*(TRIM(Innings!D:D)=TRIM(E1455)),0))</f>
        <v>NA</v>
      </c>
      <c r="AF1455">
        <f>IF(UPPER(TRIM(E1455))=UPPER(TRIM(W1455)),1,0)</f>
        <v>0</v>
      </c>
      <c r="AG1455">
        <f t="shared" si="44"/>
        <v>18.7</v>
      </c>
    </row>
    <row r="1456" spans="1:33" x14ac:dyDescent="0.3">
      <c r="A1456" t="s">
        <v>601</v>
      </c>
      <c r="B1456">
        <v>4</v>
      </c>
      <c r="C1456" t="s">
        <v>115</v>
      </c>
      <c r="D1456" t="s">
        <v>17</v>
      </c>
      <c r="E1456" t="s">
        <v>266</v>
      </c>
      <c r="F1456" t="s">
        <v>169</v>
      </c>
      <c r="G1456" t="s">
        <v>134</v>
      </c>
      <c r="H1456">
        <v>20</v>
      </c>
      <c r="I1456">
        <v>17</v>
      </c>
      <c r="J1456">
        <v>117.65</v>
      </c>
      <c r="K1456" t="s">
        <v>246</v>
      </c>
      <c r="L1456">
        <v>20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 s="8">
        <v>20</v>
      </c>
      <c r="V1456" s="8">
        <f t="shared" si="45"/>
        <v>2</v>
      </c>
      <c r="W1456" t="str">
        <f>_xlfn.XLOOKUP(A1456, Matches!A:A, Matches!L:L, "NA", 0)</f>
        <v>RCBW</v>
      </c>
      <c r="X1456" t="str">
        <f>_xlfn.XLOOKUP(A1456, Matches!A:A, Matches!J:J, "NA", 0)</f>
        <v>RCBW</v>
      </c>
      <c r="Y1456" t="str">
        <f>_xlfn.XLOOKUP(A1456, Matches!A:A, Matches!F:F, "NA", 0)</f>
        <v>Dr DY Patil Sports </v>
      </c>
      <c r="Z1456" cm="1">
        <f t="array" ref="Z1456">INDEX(Innings!F:F,MATCH(1,(TRIM(Innings!A:A)=TRIM(A1456))*(TRIM(Innings!D:D)=TRIM(E1456)),0))</f>
        <v>154</v>
      </c>
      <c r="AA1456" cm="1">
        <f t="array" ref="AA1456">INDEX(Innings!I:I,MATCH(1,(TRIM(Innings!A:A)=TRIM(A1456))*(TRIM(Innings!D:D)=TRIM(E1456)),0))</f>
        <v>7.7</v>
      </c>
      <c r="AB1456" cm="1">
        <f t="array" ref="AB1456">INDEX(Innings!J:J,MATCH(1,(TRIM(Innings!A:A)=TRIM(A1456))*(TRIM(Innings!D:D)=TRIM(E1456)),0))</f>
        <v>34</v>
      </c>
      <c r="AC1456" cm="1">
        <f t="array" ref="AC1456">INDEX(Innings!N:N,MATCH(1,(TRIM(Innings!A:A)=TRIM(A1456))*(TRIM(Innings!D:D)=TRIM(E1456)),0))</f>
        <v>42</v>
      </c>
      <c r="AD1456" cm="1">
        <f t="array" ref="AD1456">INDEX(Innings!S:S,MATCH(1,(TRIM(Innings!A:A)=TRIM(A1456))*(TRIM(Innings!D:D)=TRIM(E1456)),0))</f>
        <v>54</v>
      </c>
      <c r="AE1456" t="str" cm="1">
        <f t="array" ref="AE1456">INDEX(Innings!W:W,MATCH(1,(TRIM(Innings!A:A)=TRIM(A1456))*(TRIM(Innings!D:D)=TRIM(E1456)),0))</f>
        <v>NA</v>
      </c>
      <c r="AF1456">
        <f>IF(UPPER(TRIM(E1456))=UPPER(TRIM(W1456)),1,0)</f>
        <v>0</v>
      </c>
      <c r="AG1456">
        <f t="shared" si="44"/>
        <v>10.6</v>
      </c>
    </row>
    <row r="1457" spans="1:33" x14ac:dyDescent="0.3">
      <c r="A1457" t="s">
        <v>601</v>
      </c>
      <c r="B1457">
        <v>4</v>
      </c>
      <c r="C1457" t="s">
        <v>517</v>
      </c>
      <c r="D1457" t="s">
        <v>626</v>
      </c>
      <c r="E1457" t="s">
        <v>266</v>
      </c>
      <c r="F1457" t="s">
        <v>169</v>
      </c>
      <c r="G1457" t="s">
        <v>134</v>
      </c>
      <c r="H1457">
        <v>40</v>
      </c>
      <c r="I1457">
        <v>29</v>
      </c>
      <c r="J1457">
        <v>137.93</v>
      </c>
      <c r="K1457" t="s">
        <v>246</v>
      </c>
      <c r="L1457">
        <v>50</v>
      </c>
      <c r="M1457">
        <v>4</v>
      </c>
      <c r="N1457">
        <v>0</v>
      </c>
      <c r="O1457">
        <v>35</v>
      </c>
      <c r="P1457">
        <v>2</v>
      </c>
      <c r="Q1457">
        <v>8.8000000000000007</v>
      </c>
      <c r="R1457">
        <v>50</v>
      </c>
      <c r="S1457">
        <v>0</v>
      </c>
      <c r="T1457">
        <v>0</v>
      </c>
      <c r="U1457" s="8">
        <v>100</v>
      </c>
      <c r="V1457" s="8">
        <f t="shared" si="45"/>
        <v>10</v>
      </c>
      <c r="W1457" t="str">
        <f>_xlfn.XLOOKUP(A1457, Matches!A:A, Matches!L:L, "NA", 0)</f>
        <v>RCBW</v>
      </c>
      <c r="X1457" t="str">
        <f>_xlfn.XLOOKUP(A1457, Matches!A:A, Matches!J:J, "NA", 0)</f>
        <v>RCBW</v>
      </c>
      <c r="Y1457" t="str">
        <f>_xlfn.XLOOKUP(A1457, Matches!A:A, Matches!F:F, "NA", 0)</f>
        <v>Dr DY Patil Sports </v>
      </c>
      <c r="Z1457" cm="1">
        <f t="array" ref="Z1457">INDEX(Innings!F:F,MATCH(1,(TRIM(Innings!A:A)=TRIM(A1457))*(TRIM(Innings!D:D)=TRIM(E1457)),0))</f>
        <v>154</v>
      </c>
      <c r="AA1457" cm="1">
        <f t="array" ref="AA1457">INDEX(Innings!I:I,MATCH(1,(TRIM(Innings!A:A)=TRIM(A1457))*(TRIM(Innings!D:D)=TRIM(E1457)),0))</f>
        <v>7.7</v>
      </c>
      <c r="AB1457" cm="1">
        <f t="array" ref="AB1457">INDEX(Innings!J:J,MATCH(1,(TRIM(Innings!A:A)=TRIM(A1457))*(TRIM(Innings!D:D)=TRIM(E1457)),0))</f>
        <v>34</v>
      </c>
      <c r="AC1457" cm="1">
        <f t="array" ref="AC1457">INDEX(Innings!N:N,MATCH(1,(TRIM(Innings!A:A)=TRIM(A1457))*(TRIM(Innings!D:D)=TRIM(E1457)),0))</f>
        <v>42</v>
      </c>
      <c r="AD1457" cm="1">
        <f t="array" ref="AD1457">INDEX(Innings!S:S,MATCH(1,(TRIM(Innings!A:A)=TRIM(A1457))*(TRIM(Innings!D:D)=TRIM(E1457)),0))</f>
        <v>54</v>
      </c>
      <c r="AE1457" t="str" cm="1">
        <f t="array" ref="AE1457">INDEX(Innings!W:W,MATCH(1,(TRIM(Innings!A:A)=TRIM(A1457))*(TRIM(Innings!D:D)=TRIM(E1457)),0))</f>
        <v>NA</v>
      </c>
      <c r="AF1457">
        <f>IF(UPPER(TRIM(E1457))=UPPER(TRIM(W1457)),1,0)</f>
        <v>0</v>
      </c>
      <c r="AG1457">
        <f t="shared" si="44"/>
        <v>53</v>
      </c>
    </row>
    <row r="1458" spans="1:33" x14ac:dyDescent="0.3">
      <c r="A1458" t="s">
        <v>601</v>
      </c>
      <c r="B1458">
        <v>4</v>
      </c>
      <c r="C1458" t="s">
        <v>347</v>
      </c>
      <c r="D1458" t="s">
        <v>348</v>
      </c>
      <c r="E1458" t="s">
        <v>266</v>
      </c>
      <c r="F1458" t="s">
        <v>169</v>
      </c>
      <c r="G1458" t="s">
        <v>134</v>
      </c>
      <c r="H1458">
        <v>45</v>
      </c>
      <c r="I1458">
        <v>25</v>
      </c>
      <c r="J1458">
        <v>180</v>
      </c>
      <c r="K1458" t="s">
        <v>246</v>
      </c>
      <c r="L1458">
        <v>65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 s="8">
        <v>65</v>
      </c>
      <c r="V1458" s="8">
        <f t="shared" si="45"/>
        <v>7</v>
      </c>
      <c r="W1458" t="str">
        <f>_xlfn.XLOOKUP(A1458, Matches!A:A, Matches!L:L, "NA", 0)</f>
        <v>RCBW</v>
      </c>
      <c r="X1458" t="str">
        <f>_xlfn.XLOOKUP(A1458, Matches!A:A, Matches!J:J, "NA", 0)</f>
        <v>RCBW</v>
      </c>
      <c r="Y1458" t="str">
        <f>_xlfn.XLOOKUP(A1458, Matches!A:A, Matches!F:F, "NA", 0)</f>
        <v>Dr DY Patil Sports </v>
      </c>
      <c r="Z1458" cm="1">
        <f t="array" ref="Z1458">INDEX(Innings!F:F,MATCH(1,(TRIM(Innings!A:A)=TRIM(A1458))*(TRIM(Innings!D:D)=TRIM(E1458)),0))</f>
        <v>154</v>
      </c>
      <c r="AA1458" cm="1">
        <f t="array" ref="AA1458">INDEX(Innings!I:I,MATCH(1,(TRIM(Innings!A:A)=TRIM(A1458))*(TRIM(Innings!D:D)=TRIM(E1458)),0))</f>
        <v>7.7</v>
      </c>
      <c r="AB1458" cm="1">
        <f t="array" ref="AB1458">INDEX(Innings!J:J,MATCH(1,(TRIM(Innings!A:A)=TRIM(A1458))*(TRIM(Innings!D:D)=TRIM(E1458)),0))</f>
        <v>34</v>
      </c>
      <c r="AC1458" cm="1">
        <f t="array" ref="AC1458">INDEX(Innings!N:N,MATCH(1,(TRIM(Innings!A:A)=TRIM(A1458))*(TRIM(Innings!D:D)=TRIM(E1458)),0))</f>
        <v>42</v>
      </c>
      <c r="AD1458" cm="1">
        <f t="array" ref="AD1458">INDEX(Innings!S:S,MATCH(1,(TRIM(Innings!A:A)=TRIM(A1458))*(TRIM(Innings!D:D)=TRIM(E1458)),0))</f>
        <v>54</v>
      </c>
      <c r="AE1458" t="str" cm="1">
        <f t="array" ref="AE1458">INDEX(Innings!W:W,MATCH(1,(TRIM(Innings!A:A)=TRIM(A1458))*(TRIM(Innings!D:D)=TRIM(E1458)),0))</f>
        <v>NA</v>
      </c>
      <c r="AF1458">
        <f>IF(UPPER(TRIM(E1458))=UPPER(TRIM(W1458)),1,0)</f>
        <v>0</v>
      </c>
      <c r="AG1458">
        <f t="shared" si="44"/>
        <v>34.6</v>
      </c>
    </row>
    <row r="1459" spans="1:33" x14ac:dyDescent="0.3">
      <c r="A1459" t="s">
        <v>601</v>
      </c>
      <c r="B1459">
        <v>4</v>
      </c>
      <c r="C1459" t="s">
        <v>121</v>
      </c>
      <c r="D1459" t="s">
        <v>108</v>
      </c>
      <c r="E1459" t="s">
        <v>266</v>
      </c>
      <c r="F1459" t="s">
        <v>169</v>
      </c>
      <c r="G1459" t="s">
        <v>134</v>
      </c>
      <c r="H1459">
        <v>0</v>
      </c>
      <c r="I1459">
        <v>2</v>
      </c>
      <c r="J1459">
        <v>0</v>
      </c>
      <c r="K1459" t="s">
        <v>96</v>
      </c>
      <c r="L1459">
        <v>5</v>
      </c>
      <c r="M1459">
        <v>3</v>
      </c>
      <c r="N1459">
        <v>0</v>
      </c>
      <c r="O1459">
        <v>18</v>
      </c>
      <c r="P1459">
        <v>1</v>
      </c>
      <c r="Q1459">
        <v>6</v>
      </c>
      <c r="R1459">
        <v>35</v>
      </c>
      <c r="S1459">
        <v>0</v>
      </c>
      <c r="T1459">
        <v>0</v>
      </c>
      <c r="U1459" s="8">
        <v>40</v>
      </c>
      <c r="V1459" s="8">
        <f t="shared" si="45"/>
        <v>4</v>
      </c>
      <c r="W1459" t="str">
        <f>_xlfn.XLOOKUP(A1459, Matches!A:A, Matches!L:L, "NA", 0)</f>
        <v>RCBW</v>
      </c>
      <c r="X1459" t="str">
        <f>_xlfn.XLOOKUP(A1459, Matches!A:A, Matches!J:J, "NA", 0)</f>
        <v>RCBW</v>
      </c>
      <c r="Y1459" t="str">
        <f>_xlfn.XLOOKUP(A1459, Matches!A:A, Matches!F:F, "NA", 0)</f>
        <v>Dr DY Patil Sports </v>
      </c>
      <c r="Z1459" cm="1">
        <f t="array" ref="Z1459">INDEX(Innings!F:F,MATCH(1,(TRIM(Innings!A:A)=TRIM(A1459))*(TRIM(Innings!D:D)=TRIM(E1459)),0))</f>
        <v>154</v>
      </c>
      <c r="AA1459" cm="1">
        <f t="array" ref="AA1459">INDEX(Innings!I:I,MATCH(1,(TRIM(Innings!A:A)=TRIM(A1459))*(TRIM(Innings!D:D)=TRIM(E1459)),0))</f>
        <v>7.7</v>
      </c>
      <c r="AB1459" cm="1">
        <f t="array" ref="AB1459">INDEX(Innings!J:J,MATCH(1,(TRIM(Innings!A:A)=TRIM(A1459))*(TRIM(Innings!D:D)=TRIM(E1459)),0))</f>
        <v>34</v>
      </c>
      <c r="AC1459" cm="1">
        <f t="array" ref="AC1459">INDEX(Innings!N:N,MATCH(1,(TRIM(Innings!A:A)=TRIM(A1459))*(TRIM(Innings!D:D)=TRIM(E1459)),0))</f>
        <v>42</v>
      </c>
      <c r="AD1459" cm="1">
        <f t="array" ref="AD1459">INDEX(Innings!S:S,MATCH(1,(TRIM(Innings!A:A)=TRIM(A1459))*(TRIM(Innings!D:D)=TRIM(E1459)),0))</f>
        <v>54</v>
      </c>
      <c r="AE1459" t="str" cm="1">
        <f t="array" ref="AE1459">INDEX(Innings!W:W,MATCH(1,(TRIM(Innings!A:A)=TRIM(A1459))*(TRIM(Innings!D:D)=TRIM(E1459)),0))</f>
        <v>NA</v>
      </c>
      <c r="AF1459">
        <f>IF(UPPER(TRIM(E1459))=UPPER(TRIM(W1459)),1,0)</f>
        <v>0</v>
      </c>
      <c r="AG1459">
        <f t="shared" si="44"/>
        <v>21.2</v>
      </c>
    </row>
    <row r="1460" spans="1:33" x14ac:dyDescent="0.3">
      <c r="A1460" t="s">
        <v>601</v>
      </c>
      <c r="B1460">
        <v>4</v>
      </c>
      <c r="C1460" t="s">
        <v>273</v>
      </c>
      <c r="D1460" t="s">
        <v>279</v>
      </c>
      <c r="E1460" t="s">
        <v>266</v>
      </c>
      <c r="F1460" t="s">
        <v>169</v>
      </c>
      <c r="G1460" t="s">
        <v>134</v>
      </c>
      <c r="H1460">
        <v>0</v>
      </c>
      <c r="I1460">
        <v>1</v>
      </c>
      <c r="J1460">
        <v>0</v>
      </c>
      <c r="K1460" t="s">
        <v>96</v>
      </c>
      <c r="L1460">
        <v>5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 s="8">
        <v>5</v>
      </c>
      <c r="V1460" s="8">
        <f t="shared" si="45"/>
        <v>1</v>
      </c>
      <c r="W1460" t="str">
        <f>_xlfn.XLOOKUP(A1460, Matches!A:A, Matches!L:L, "NA", 0)</f>
        <v>RCBW</v>
      </c>
      <c r="X1460" t="str">
        <f>_xlfn.XLOOKUP(A1460, Matches!A:A, Matches!J:J, "NA", 0)</f>
        <v>RCBW</v>
      </c>
      <c r="Y1460" t="str">
        <f>_xlfn.XLOOKUP(A1460, Matches!A:A, Matches!F:F, "NA", 0)</f>
        <v>Dr DY Patil Sports </v>
      </c>
      <c r="Z1460" cm="1">
        <f t="array" ref="Z1460">INDEX(Innings!F:F,MATCH(1,(TRIM(Innings!A:A)=TRIM(A1460))*(TRIM(Innings!D:D)=TRIM(E1460)),0))</f>
        <v>154</v>
      </c>
      <c r="AA1460" cm="1">
        <f t="array" ref="AA1460">INDEX(Innings!I:I,MATCH(1,(TRIM(Innings!A:A)=TRIM(A1460))*(TRIM(Innings!D:D)=TRIM(E1460)),0))</f>
        <v>7.7</v>
      </c>
      <c r="AB1460" cm="1">
        <f t="array" ref="AB1460">INDEX(Innings!J:J,MATCH(1,(TRIM(Innings!A:A)=TRIM(A1460))*(TRIM(Innings!D:D)=TRIM(E1460)),0))</f>
        <v>34</v>
      </c>
      <c r="AC1460" cm="1">
        <f t="array" ref="AC1460">INDEX(Innings!N:N,MATCH(1,(TRIM(Innings!A:A)=TRIM(A1460))*(TRIM(Innings!D:D)=TRIM(E1460)),0))</f>
        <v>42</v>
      </c>
      <c r="AD1460" cm="1">
        <f t="array" ref="AD1460">INDEX(Innings!S:S,MATCH(1,(TRIM(Innings!A:A)=TRIM(A1460))*(TRIM(Innings!D:D)=TRIM(E1460)),0))</f>
        <v>54</v>
      </c>
      <c r="AE1460" t="str" cm="1">
        <f t="array" ref="AE1460">INDEX(Innings!W:W,MATCH(1,(TRIM(Innings!A:A)=TRIM(A1460))*(TRIM(Innings!D:D)=TRIM(E1460)),0))</f>
        <v>NA</v>
      </c>
      <c r="AF1460">
        <f>IF(UPPER(TRIM(E1460))=UPPER(TRIM(W1460)),1,0)</f>
        <v>0</v>
      </c>
      <c r="AG1460">
        <f t="shared" si="44"/>
        <v>2.8</v>
      </c>
    </row>
    <row r="1461" spans="1:33" x14ac:dyDescent="0.3">
      <c r="A1461" t="s">
        <v>601</v>
      </c>
      <c r="B1461">
        <v>4</v>
      </c>
      <c r="C1461" t="s">
        <v>265</v>
      </c>
      <c r="D1461" t="s">
        <v>264</v>
      </c>
      <c r="E1461" t="s">
        <v>266</v>
      </c>
      <c r="F1461" t="s">
        <v>101</v>
      </c>
      <c r="G1461" t="s">
        <v>104</v>
      </c>
      <c r="H1461">
        <v>0</v>
      </c>
      <c r="I1461">
        <v>0</v>
      </c>
      <c r="J1461">
        <v>0</v>
      </c>
      <c r="K1461" t="s">
        <v>104</v>
      </c>
      <c r="L1461">
        <v>0</v>
      </c>
      <c r="M1461">
        <v>4</v>
      </c>
      <c r="N1461">
        <v>0</v>
      </c>
      <c r="O1461">
        <v>26</v>
      </c>
      <c r="P1461">
        <v>1</v>
      </c>
      <c r="Q1461">
        <v>6.5</v>
      </c>
      <c r="R1461">
        <v>35</v>
      </c>
      <c r="S1461">
        <v>0</v>
      </c>
      <c r="T1461">
        <v>0</v>
      </c>
      <c r="U1461" s="8">
        <v>35</v>
      </c>
      <c r="V1461" s="8">
        <f t="shared" si="45"/>
        <v>4</v>
      </c>
      <c r="W1461" t="str">
        <f>_xlfn.XLOOKUP(A1461, Matches!A:A, Matches!L:L, "NA", 0)</f>
        <v>RCBW</v>
      </c>
      <c r="X1461" t="str">
        <f>_xlfn.XLOOKUP(A1461, Matches!A:A, Matches!J:J, "NA", 0)</f>
        <v>RCBW</v>
      </c>
      <c r="Y1461" t="str">
        <f>_xlfn.XLOOKUP(A1461, Matches!A:A, Matches!F:F, "NA", 0)</f>
        <v>Dr DY Patil Sports </v>
      </c>
      <c r="Z1461" cm="1">
        <f t="array" ref="Z1461">INDEX(Innings!F:F,MATCH(1,(TRIM(Innings!A:A)=TRIM(A1461))*(TRIM(Innings!D:D)=TRIM(E1461)),0))</f>
        <v>154</v>
      </c>
      <c r="AA1461" cm="1">
        <f t="array" ref="AA1461">INDEX(Innings!I:I,MATCH(1,(TRIM(Innings!A:A)=TRIM(A1461))*(TRIM(Innings!D:D)=TRIM(E1461)),0))</f>
        <v>7.7</v>
      </c>
      <c r="AB1461" cm="1">
        <f t="array" ref="AB1461">INDEX(Innings!J:J,MATCH(1,(TRIM(Innings!A:A)=TRIM(A1461))*(TRIM(Innings!D:D)=TRIM(E1461)),0))</f>
        <v>34</v>
      </c>
      <c r="AC1461" cm="1">
        <f t="array" ref="AC1461">INDEX(Innings!N:N,MATCH(1,(TRIM(Innings!A:A)=TRIM(A1461))*(TRIM(Innings!D:D)=TRIM(E1461)),0))</f>
        <v>42</v>
      </c>
      <c r="AD1461" cm="1">
        <f t="array" ref="AD1461">INDEX(Innings!S:S,MATCH(1,(TRIM(Innings!A:A)=TRIM(A1461))*(TRIM(Innings!D:D)=TRIM(E1461)),0))</f>
        <v>54</v>
      </c>
      <c r="AE1461" t="str" cm="1">
        <f t="array" ref="AE1461">INDEX(Innings!W:W,MATCH(1,(TRIM(Innings!A:A)=TRIM(A1461))*(TRIM(Innings!D:D)=TRIM(E1461)),0))</f>
        <v>NA</v>
      </c>
      <c r="AF1461">
        <f>IF(UPPER(TRIM(E1461))=UPPER(TRIM(W1461)),1,0)</f>
        <v>0</v>
      </c>
      <c r="AG1461">
        <f t="shared" si="44"/>
        <v>18.7</v>
      </c>
    </row>
    <row r="1462" spans="1:33" x14ac:dyDescent="0.3">
      <c r="A1462" t="s">
        <v>601</v>
      </c>
      <c r="B1462">
        <v>4</v>
      </c>
      <c r="C1462" t="s">
        <v>507</v>
      </c>
      <c r="D1462" t="s">
        <v>519</v>
      </c>
      <c r="E1462" t="s">
        <v>266</v>
      </c>
      <c r="F1462" t="s">
        <v>169</v>
      </c>
      <c r="G1462" t="s">
        <v>104</v>
      </c>
      <c r="H1462">
        <v>0</v>
      </c>
      <c r="I1462">
        <v>0</v>
      </c>
      <c r="J1462">
        <v>0</v>
      </c>
      <c r="K1462" t="s">
        <v>104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 s="8">
        <v>0</v>
      </c>
      <c r="V1462" s="8">
        <f t="shared" si="45"/>
        <v>0</v>
      </c>
      <c r="W1462" t="str">
        <f>_xlfn.XLOOKUP(A1462, Matches!A:A, Matches!L:L, "NA", 0)</f>
        <v>RCBW</v>
      </c>
      <c r="X1462" t="str">
        <f>_xlfn.XLOOKUP(A1462, Matches!A:A, Matches!J:J, "NA", 0)</f>
        <v>RCBW</v>
      </c>
      <c r="Y1462" t="str">
        <f>_xlfn.XLOOKUP(A1462, Matches!A:A, Matches!F:F, "NA", 0)</f>
        <v>Dr DY Patil Sports </v>
      </c>
      <c r="Z1462" cm="1">
        <f t="array" ref="Z1462">INDEX(Innings!F:F,MATCH(1,(TRIM(Innings!A:A)=TRIM(A1462))*(TRIM(Innings!D:D)=TRIM(E1462)),0))</f>
        <v>154</v>
      </c>
      <c r="AA1462" cm="1">
        <f t="array" ref="AA1462">INDEX(Innings!I:I,MATCH(1,(TRIM(Innings!A:A)=TRIM(A1462))*(TRIM(Innings!D:D)=TRIM(E1462)),0))</f>
        <v>7.7</v>
      </c>
      <c r="AB1462" cm="1">
        <f t="array" ref="AB1462">INDEX(Innings!J:J,MATCH(1,(TRIM(Innings!A:A)=TRIM(A1462))*(TRIM(Innings!D:D)=TRIM(E1462)),0))</f>
        <v>34</v>
      </c>
      <c r="AC1462" cm="1">
        <f t="array" ref="AC1462">INDEX(Innings!N:N,MATCH(1,(TRIM(Innings!A:A)=TRIM(A1462))*(TRIM(Innings!D:D)=TRIM(E1462)),0))</f>
        <v>42</v>
      </c>
      <c r="AD1462" cm="1">
        <f t="array" ref="AD1462">INDEX(Innings!S:S,MATCH(1,(TRIM(Innings!A:A)=TRIM(A1462))*(TRIM(Innings!D:D)=TRIM(E1462)),0))</f>
        <v>54</v>
      </c>
      <c r="AE1462" t="str" cm="1">
        <f t="array" ref="AE1462">INDEX(Innings!W:W,MATCH(1,(TRIM(Innings!A:A)=TRIM(A1462))*(TRIM(Innings!D:D)=TRIM(E1462)),0))</f>
        <v>NA</v>
      </c>
      <c r="AF1462">
        <f>IF(UPPER(TRIM(E1462))=UPPER(TRIM(W1462)),1,0)</f>
        <v>0</v>
      </c>
      <c r="AG1462">
        <f t="shared" si="44"/>
        <v>0</v>
      </c>
    </row>
    <row r="1463" spans="1:33" x14ac:dyDescent="0.3">
      <c r="A1463" t="s">
        <v>601</v>
      </c>
      <c r="B1463">
        <v>4</v>
      </c>
      <c r="C1463" t="s">
        <v>131</v>
      </c>
      <c r="D1463" t="s">
        <v>106</v>
      </c>
      <c r="E1463" t="s">
        <v>266</v>
      </c>
      <c r="F1463" t="s">
        <v>101</v>
      </c>
      <c r="G1463" t="s">
        <v>104</v>
      </c>
      <c r="H1463">
        <v>0</v>
      </c>
      <c r="I1463">
        <v>0</v>
      </c>
      <c r="J1463">
        <v>0</v>
      </c>
      <c r="K1463" t="s">
        <v>104</v>
      </c>
      <c r="L1463">
        <v>0</v>
      </c>
      <c r="M1463">
        <v>1</v>
      </c>
      <c r="N1463">
        <v>0</v>
      </c>
      <c r="O1463">
        <v>13</v>
      </c>
      <c r="P1463">
        <v>0</v>
      </c>
      <c r="Q1463">
        <v>13</v>
      </c>
      <c r="R1463">
        <v>-10</v>
      </c>
      <c r="S1463">
        <v>0</v>
      </c>
      <c r="T1463">
        <v>0</v>
      </c>
      <c r="U1463" s="8">
        <v>-10</v>
      </c>
      <c r="V1463" s="8">
        <f t="shared" si="45"/>
        <v>0</v>
      </c>
      <c r="W1463" t="str">
        <f>_xlfn.XLOOKUP(A1463, Matches!A:A, Matches!L:L, "NA", 0)</f>
        <v>RCBW</v>
      </c>
      <c r="X1463" t="str">
        <f>_xlfn.XLOOKUP(A1463, Matches!A:A, Matches!J:J, "NA", 0)</f>
        <v>RCBW</v>
      </c>
      <c r="Y1463" t="str">
        <f>_xlfn.XLOOKUP(A1463, Matches!A:A, Matches!F:F, "NA", 0)</f>
        <v>Dr DY Patil Sports </v>
      </c>
      <c r="Z1463" cm="1">
        <f t="array" ref="Z1463">INDEX(Innings!F:F,MATCH(1,(TRIM(Innings!A:A)=TRIM(A1463))*(TRIM(Innings!D:D)=TRIM(E1463)),0))</f>
        <v>154</v>
      </c>
      <c r="AA1463" cm="1">
        <f t="array" ref="AA1463">INDEX(Innings!I:I,MATCH(1,(TRIM(Innings!A:A)=TRIM(A1463))*(TRIM(Innings!D:D)=TRIM(E1463)),0))</f>
        <v>7.7</v>
      </c>
      <c r="AB1463" cm="1">
        <f t="array" ref="AB1463">INDEX(Innings!J:J,MATCH(1,(TRIM(Innings!A:A)=TRIM(A1463))*(TRIM(Innings!D:D)=TRIM(E1463)),0))</f>
        <v>34</v>
      </c>
      <c r="AC1463" cm="1">
        <f t="array" ref="AC1463">INDEX(Innings!N:N,MATCH(1,(TRIM(Innings!A:A)=TRIM(A1463))*(TRIM(Innings!D:D)=TRIM(E1463)),0))</f>
        <v>42</v>
      </c>
      <c r="AD1463" cm="1">
        <f t="array" ref="AD1463">INDEX(Innings!S:S,MATCH(1,(TRIM(Innings!A:A)=TRIM(A1463))*(TRIM(Innings!D:D)=TRIM(E1463)),0))</f>
        <v>54</v>
      </c>
      <c r="AE1463" t="str" cm="1">
        <f t="array" ref="AE1463">INDEX(Innings!W:W,MATCH(1,(TRIM(Innings!A:A)=TRIM(A1463))*(TRIM(Innings!D:D)=TRIM(E1463)),0))</f>
        <v>NA</v>
      </c>
      <c r="AF1463">
        <f>IF(UPPER(TRIM(E1463))=UPPER(TRIM(W1463)),1,0)</f>
        <v>0</v>
      </c>
      <c r="AG1463">
        <f t="shared" si="44"/>
        <v>0</v>
      </c>
    </row>
    <row r="1464" spans="1:33" x14ac:dyDescent="0.3">
      <c r="A1464" t="s">
        <v>601</v>
      </c>
      <c r="B1464">
        <v>4</v>
      </c>
      <c r="C1464" t="s">
        <v>226</v>
      </c>
      <c r="D1464" t="s">
        <v>211</v>
      </c>
      <c r="E1464" t="s">
        <v>159</v>
      </c>
      <c r="F1464" t="s">
        <v>169</v>
      </c>
      <c r="G1464" t="s">
        <v>86</v>
      </c>
      <c r="H1464">
        <v>25</v>
      </c>
      <c r="I1464">
        <v>12</v>
      </c>
      <c r="J1464">
        <v>208.33</v>
      </c>
      <c r="K1464" t="s">
        <v>246</v>
      </c>
      <c r="L1464">
        <v>40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 s="8">
        <v>40</v>
      </c>
      <c r="V1464" s="8">
        <f t="shared" si="45"/>
        <v>4</v>
      </c>
      <c r="W1464" t="str">
        <f>_xlfn.XLOOKUP(A1464, Matches!A:A, Matches!L:L, "NA", 0)</f>
        <v>RCBW</v>
      </c>
      <c r="X1464" t="str">
        <f>_xlfn.XLOOKUP(A1464, Matches!A:A, Matches!J:J, "NA", 0)</f>
        <v>RCBW</v>
      </c>
      <c r="Y1464" t="str">
        <f>_xlfn.XLOOKUP(A1464, Matches!A:A, Matches!F:F, "NA", 0)</f>
        <v>Dr DY Patil Sports </v>
      </c>
      <c r="Z1464" cm="1">
        <f t="array" ref="Z1464">INDEX(Innings!F:F,MATCH(1,(TRIM(Innings!A:A)=TRIM(A1464))*(TRIM(Innings!D:D)=TRIM(E1464)),0))</f>
        <v>157</v>
      </c>
      <c r="AA1464" cm="1">
        <f t="array" ref="AA1464">INDEX(Innings!I:I,MATCH(1,(TRIM(Innings!A:A)=TRIM(A1464))*(TRIM(Innings!D:D)=TRIM(E1464)),0))</f>
        <v>7.85</v>
      </c>
      <c r="AB1464" cm="1">
        <f t="array" ref="AB1464">INDEX(Innings!J:J,MATCH(1,(TRIM(Innings!A:A)=TRIM(A1464))*(TRIM(Innings!D:D)=TRIM(E1464)),0))</f>
        <v>57</v>
      </c>
      <c r="AC1464" cm="1">
        <f t="array" ref="AC1464">INDEX(Innings!N:N,MATCH(1,(TRIM(Innings!A:A)=TRIM(A1464))*(TRIM(Innings!D:D)=TRIM(E1464)),0))</f>
        <v>40</v>
      </c>
      <c r="AD1464" cm="1">
        <f t="array" ref="AD1464">INDEX(Innings!S:S,MATCH(1,(TRIM(Innings!A:A)=TRIM(A1464))*(TRIM(Innings!D:D)=TRIM(E1464)),0))</f>
        <v>47</v>
      </c>
      <c r="AE1464" t="str" cm="1">
        <f t="array" ref="AE1464">INDEX(Innings!W:W,MATCH(1,(TRIM(Innings!A:A)=TRIM(A1464))*(TRIM(Innings!D:D)=TRIM(E1464)),0))</f>
        <v>Successful</v>
      </c>
      <c r="AF1464">
        <f>IF(UPPER(TRIM(E1464))=UPPER(TRIM(W1464)),1,0)</f>
        <v>1</v>
      </c>
      <c r="AG1464">
        <f t="shared" si="44"/>
        <v>41.2</v>
      </c>
    </row>
    <row r="1465" spans="1:33" x14ac:dyDescent="0.3">
      <c r="A1465" t="s">
        <v>601</v>
      </c>
      <c r="B1465">
        <v>4</v>
      </c>
      <c r="C1465" t="s">
        <v>165</v>
      </c>
      <c r="D1465" t="s">
        <v>166</v>
      </c>
      <c r="E1465" t="s">
        <v>159</v>
      </c>
      <c r="F1465" t="s">
        <v>109</v>
      </c>
      <c r="G1465" t="s">
        <v>86</v>
      </c>
      <c r="H1465">
        <v>18</v>
      </c>
      <c r="I1465">
        <v>13</v>
      </c>
      <c r="J1465">
        <v>138.46</v>
      </c>
      <c r="K1465" t="s">
        <v>246</v>
      </c>
      <c r="L1465">
        <v>25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 s="8">
        <v>25</v>
      </c>
      <c r="V1465" s="8">
        <f t="shared" si="45"/>
        <v>3</v>
      </c>
      <c r="W1465" t="str">
        <f>_xlfn.XLOOKUP(A1465, Matches!A:A, Matches!L:L, "NA", 0)</f>
        <v>RCBW</v>
      </c>
      <c r="X1465" t="str">
        <f>_xlfn.XLOOKUP(A1465, Matches!A:A, Matches!J:J, "NA", 0)</f>
        <v>RCBW</v>
      </c>
      <c r="Y1465" t="str">
        <f>_xlfn.XLOOKUP(A1465, Matches!A:A, Matches!F:F, "NA", 0)</f>
        <v>Dr DY Patil Sports </v>
      </c>
      <c r="Z1465" cm="1">
        <f t="array" ref="Z1465">INDEX(Innings!F:F,MATCH(1,(TRIM(Innings!A:A)=TRIM(A1465))*(TRIM(Innings!D:D)=TRIM(E1465)),0))</f>
        <v>157</v>
      </c>
      <c r="AA1465" cm="1">
        <f t="array" ref="AA1465">INDEX(Innings!I:I,MATCH(1,(TRIM(Innings!A:A)=TRIM(A1465))*(TRIM(Innings!D:D)=TRIM(E1465)),0))</f>
        <v>7.85</v>
      </c>
      <c r="AB1465" cm="1">
        <f t="array" ref="AB1465">INDEX(Innings!J:J,MATCH(1,(TRIM(Innings!A:A)=TRIM(A1465))*(TRIM(Innings!D:D)=TRIM(E1465)),0))</f>
        <v>57</v>
      </c>
      <c r="AC1465" cm="1">
        <f t="array" ref="AC1465">INDEX(Innings!N:N,MATCH(1,(TRIM(Innings!A:A)=TRIM(A1465))*(TRIM(Innings!D:D)=TRIM(E1465)),0))</f>
        <v>40</v>
      </c>
      <c r="AD1465" cm="1">
        <f t="array" ref="AD1465">INDEX(Innings!S:S,MATCH(1,(TRIM(Innings!A:A)=TRIM(A1465))*(TRIM(Innings!D:D)=TRIM(E1465)),0))</f>
        <v>47</v>
      </c>
      <c r="AE1465" t="str" cm="1">
        <f t="array" ref="AE1465">INDEX(Innings!W:W,MATCH(1,(TRIM(Innings!A:A)=TRIM(A1465))*(TRIM(Innings!D:D)=TRIM(E1465)),0))</f>
        <v>Successful</v>
      </c>
      <c r="AF1465">
        <f>IF(UPPER(TRIM(E1465))=UPPER(TRIM(W1465)),1,0)</f>
        <v>1</v>
      </c>
      <c r="AG1465">
        <f t="shared" si="44"/>
        <v>33.4</v>
      </c>
    </row>
    <row r="1466" spans="1:33" x14ac:dyDescent="0.3">
      <c r="A1466" t="s">
        <v>601</v>
      </c>
      <c r="B1466">
        <v>4</v>
      </c>
      <c r="C1466" t="s">
        <v>97</v>
      </c>
      <c r="D1466" t="s">
        <v>122</v>
      </c>
      <c r="E1466" t="s">
        <v>159</v>
      </c>
      <c r="F1466" t="s">
        <v>109</v>
      </c>
      <c r="G1466" t="s">
        <v>92</v>
      </c>
      <c r="H1466">
        <v>7</v>
      </c>
      <c r="I1466">
        <v>12</v>
      </c>
      <c r="J1466">
        <v>58.33</v>
      </c>
      <c r="K1466" t="s">
        <v>247</v>
      </c>
      <c r="L1466">
        <v>-5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 s="8">
        <v>-5</v>
      </c>
      <c r="V1466" s="8">
        <f t="shared" si="45"/>
        <v>0</v>
      </c>
      <c r="W1466" t="str">
        <f>_xlfn.XLOOKUP(A1466, Matches!A:A, Matches!L:L, "NA", 0)</f>
        <v>RCBW</v>
      </c>
      <c r="X1466" t="str">
        <f>_xlfn.XLOOKUP(A1466, Matches!A:A, Matches!J:J, "NA", 0)</f>
        <v>RCBW</v>
      </c>
      <c r="Y1466" t="str">
        <f>_xlfn.XLOOKUP(A1466, Matches!A:A, Matches!F:F, "NA", 0)</f>
        <v>Dr DY Patil Sports </v>
      </c>
      <c r="Z1466" cm="1">
        <f t="array" ref="Z1466">INDEX(Innings!F:F,MATCH(1,(TRIM(Innings!A:A)=TRIM(A1466))*(TRIM(Innings!D:D)=TRIM(E1466)),0))</f>
        <v>157</v>
      </c>
      <c r="AA1466" cm="1">
        <f t="array" ref="AA1466">INDEX(Innings!I:I,MATCH(1,(TRIM(Innings!A:A)=TRIM(A1466))*(TRIM(Innings!D:D)=TRIM(E1466)),0))</f>
        <v>7.85</v>
      </c>
      <c r="AB1466" cm="1">
        <f t="array" ref="AB1466">INDEX(Innings!J:J,MATCH(1,(TRIM(Innings!A:A)=TRIM(A1466))*(TRIM(Innings!D:D)=TRIM(E1466)),0))</f>
        <v>57</v>
      </c>
      <c r="AC1466" cm="1">
        <f t="array" ref="AC1466">INDEX(Innings!N:N,MATCH(1,(TRIM(Innings!A:A)=TRIM(A1466))*(TRIM(Innings!D:D)=TRIM(E1466)),0))</f>
        <v>40</v>
      </c>
      <c r="AD1466" cm="1">
        <f t="array" ref="AD1466">INDEX(Innings!S:S,MATCH(1,(TRIM(Innings!A:A)=TRIM(A1466))*(TRIM(Innings!D:D)=TRIM(E1466)),0))</f>
        <v>47</v>
      </c>
      <c r="AE1466" t="str" cm="1">
        <f t="array" ref="AE1466">INDEX(Innings!W:W,MATCH(1,(TRIM(Innings!A:A)=TRIM(A1466))*(TRIM(Innings!D:D)=TRIM(E1466)),0))</f>
        <v>Successful</v>
      </c>
      <c r="AF1466">
        <f>IF(UPPER(TRIM(E1466))=UPPER(TRIM(W1466)),1,0)</f>
        <v>1</v>
      </c>
      <c r="AG1466">
        <f t="shared" si="44"/>
        <v>20</v>
      </c>
    </row>
    <row r="1467" spans="1:33" x14ac:dyDescent="0.3">
      <c r="A1467" t="s">
        <v>601</v>
      </c>
      <c r="B1467">
        <v>4</v>
      </c>
      <c r="C1467" t="s">
        <v>176</v>
      </c>
      <c r="D1467" t="s">
        <v>177</v>
      </c>
      <c r="E1467" t="s">
        <v>159</v>
      </c>
      <c r="F1467" t="s">
        <v>85</v>
      </c>
      <c r="G1467" t="s">
        <v>134</v>
      </c>
      <c r="H1467">
        <v>6</v>
      </c>
      <c r="I1467">
        <v>6</v>
      </c>
      <c r="J1467">
        <v>100</v>
      </c>
      <c r="K1467" t="s">
        <v>246</v>
      </c>
      <c r="L1467">
        <v>10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 s="8">
        <v>10</v>
      </c>
      <c r="V1467" s="8">
        <f t="shared" si="45"/>
        <v>1</v>
      </c>
      <c r="W1467" t="str">
        <f>_xlfn.XLOOKUP(A1467, Matches!A:A, Matches!L:L, "NA", 0)</f>
        <v>RCBW</v>
      </c>
      <c r="X1467" t="str">
        <f>_xlfn.XLOOKUP(A1467, Matches!A:A, Matches!J:J, "NA", 0)</f>
        <v>RCBW</v>
      </c>
      <c r="Y1467" t="str">
        <f>_xlfn.XLOOKUP(A1467, Matches!A:A, Matches!F:F, "NA", 0)</f>
        <v>Dr DY Patil Sports </v>
      </c>
      <c r="Z1467" cm="1">
        <f t="array" ref="Z1467">INDEX(Innings!F:F,MATCH(1,(TRIM(Innings!A:A)=TRIM(A1467))*(TRIM(Innings!D:D)=TRIM(E1467)),0))</f>
        <v>157</v>
      </c>
      <c r="AA1467" cm="1">
        <f t="array" ref="AA1467">INDEX(Innings!I:I,MATCH(1,(TRIM(Innings!A:A)=TRIM(A1467))*(TRIM(Innings!D:D)=TRIM(E1467)),0))</f>
        <v>7.85</v>
      </c>
      <c r="AB1467" cm="1">
        <f t="array" ref="AB1467">INDEX(Innings!J:J,MATCH(1,(TRIM(Innings!A:A)=TRIM(A1467))*(TRIM(Innings!D:D)=TRIM(E1467)),0))</f>
        <v>57</v>
      </c>
      <c r="AC1467" cm="1">
        <f t="array" ref="AC1467">INDEX(Innings!N:N,MATCH(1,(TRIM(Innings!A:A)=TRIM(A1467))*(TRIM(Innings!D:D)=TRIM(E1467)),0))</f>
        <v>40</v>
      </c>
      <c r="AD1467" cm="1">
        <f t="array" ref="AD1467">INDEX(Innings!S:S,MATCH(1,(TRIM(Innings!A:A)=TRIM(A1467))*(TRIM(Innings!D:D)=TRIM(E1467)),0))</f>
        <v>47</v>
      </c>
      <c r="AE1467" t="str" cm="1">
        <f t="array" ref="AE1467">INDEX(Innings!W:W,MATCH(1,(TRIM(Innings!A:A)=TRIM(A1467))*(TRIM(Innings!D:D)=TRIM(E1467)),0))</f>
        <v>Successful</v>
      </c>
      <c r="AF1467">
        <f>IF(UPPER(TRIM(E1467))=UPPER(TRIM(W1467)),1,0)</f>
        <v>1</v>
      </c>
      <c r="AG1467">
        <f t="shared" si="44"/>
        <v>25.3</v>
      </c>
    </row>
    <row r="1468" spans="1:33" x14ac:dyDescent="0.3">
      <c r="A1468" t="s">
        <v>601</v>
      </c>
      <c r="B1468">
        <v>4</v>
      </c>
      <c r="C1468" t="s">
        <v>206</v>
      </c>
      <c r="D1468" t="s">
        <v>207</v>
      </c>
      <c r="E1468" t="s">
        <v>159</v>
      </c>
      <c r="F1468" t="s">
        <v>101</v>
      </c>
      <c r="G1468" t="s">
        <v>134</v>
      </c>
      <c r="H1468">
        <v>1</v>
      </c>
      <c r="I1468">
        <v>2</v>
      </c>
      <c r="J1468">
        <v>50</v>
      </c>
      <c r="K1468" t="s">
        <v>245</v>
      </c>
      <c r="L1468">
        <v>-5</v>
      </c>
      <c r="M1468">
        <v>2</v>
      </c>
      <c r="N1468">
        <v>0</v>
      </c>
      <c r="O1468">
        <v>21</v>
      </c>
      <c r="P1468">
        <v>0</v>
      </c>
      <c r="Q1468">
        <v>10.5</v>
      </c>
      <c r="R1468">
        <v>-10</v>
      </c>
      <c r="S1468">
        <v>0</v>
      </c>
      <c r="T1468">
        <v>0</v>
      </c>
      <c r="U1468" s="8">
        <v>-15</v>
      </c>
      <c r="V1468" s="8">
        <f t="shared" si="45"/>
        <v>0</v>
      </c>
      <c r="W1468" t="str">
        <f>_xlfn.XLOOKUP(A1468, Matches!A:A, Matches!L:L, "NA", 0)</f>
        <v>RCBW</v>
      </c>
      <c r="X1468" t="str">
        <f>_xlfn.XLOOKUP(A1468, Matches!A:A, Matches!J:J, "NA", 0)</f>
        <v>RCBW</v>
      </c>
      <c r="Y1468" t="str">
        <f>_xlfn.XLOOKUP(A1468, Matches!A:A, Matches!F:F, "NA", 0)</f>
        <v>Dr DY Patil Sports </v>
      </c>
      <c r="Z1468" cm="1">
        <f t="array" ref="Z1468">INDEX(Innings!F:F,MATCH(1,(TRIM(Innings!A:A)=TRIM(A1468))*(TRIM(Innings!D:D)=TRIM(E1468)),0))</f>
        <v>157</v>
      </c>
      <c r="AA1468" cm="1">
        <f t="array" ref="AA1468">INDEX(Innings!I:I,MATCH(1,(TRIM(Innings!A:A)=TRIM(A1468))*(TRIM(Innings!D:D)=TRIM(E1468)),0))</f>
        <v>7.85</v>
      </c>
      <c r="AB1468" cm="1">
        <f t="array" ref="AB1468">INDEX(Innings!J:J,MATCH(1,(TRIM(Innings!A:A)=TRIM(A1468))*(TRIM(Innings!D:D)=TRIM(E1468)),0))</f>
        <v>57</v>
      </c>
      <c r="AC1468" cm="1">
        <f t="array" ref="AC1468">INDEX(Innings!N:N,MATCH(1,(TRIM(Innings!A:A)=TRIM(A1468))*(TRIM(Innings!D:D)=TRIM(E1468)),0))</f>
        <v>40</v>
      </c>
      <c r="AD1468" cm="1">
        <f t="array" ref="AD1468">INDEX(Innings!S:S,MATCH(1,(TRIM(Innings!A:A)=TRIM(A1468))*(TRIM(Innings!D:D)=TRIM(E1468)),0))</f>
        <v>47</v>
      </c>
      <c r="AE1468" t="str" cm="1">
        <f t="array" ref="AE1468">INDEX(Innings!W:W,MATCH(1,(TRIM(Innings!A:A)=TRIM(A1468))*(TRIM(Innings!D:D)=TRIM(E1468)),0))</f>
        <v>Successful</v>
      </c>
      <c r="AF1468">
        <f>IF(UPPER(TRIM(E1468))=UPPER(TRIM(W1468)),1,0)</f>
        <v>1</v>
      </c>
      <c r="AG1468">
        <f t="shared" si="44"/>
        <v>20</v>
      </c>
    </row>
    <row r="1469" spans="1:33" x14ac:dyDescent="0.3">
      <c r="A1469" t="s">
        <v>601</v>
      </c>
      <c r="B1469">
        <v>4</v>
      </c>
      <c r="C1469" t="s">
        <v>449</v>
      </c>
      <c r="D1469" t="s">
        <v>410</v>
      </c>
      <c r="E1469" t="s">
        <v>159</v>
      </c>
      <c r="F1469" t="s">
        <v>169</v>
      </c>
      <c r="G1469" t="s">
        <v>134</v>
      </c>
      <c r="H1469">
        <v>63</v>
      </c>
      <c r="I1469">
        <v>44</v>
      </c>
      <c r="J1469">
        <v>143.18</v>
      </c>
      <c r="K1469" t="s">
        <v>96</v>
      </c>
      <c r="L1469">
        <v>80</v>
      </c>
      <c r="M1469">
        <v>4</v>
      </c>
      <c r="N1469">
        <v>0</v>
      </c>
      <c r="O1469">
        <v>26</v>
      </c>
      <c r="P1469">
        <v>4</v>
      </c>
      <c r="Q1469">
        <v>6.5</v>
      </c>
      <c r="R1469">
        <v>110</v>
      </c>
      <c r="S1469">
        <v>0</v>
      </c>
      <c r="T1469">
        <v>0</v>
      </c>
      <c r="U1469" s="8">
        <v>190</v>
      </c>
      <c r="V1469" s="8">
        <f t="shared" si="45"/>
        <v>10</v>
      </c>
      <c r="W1469" t="str">
        <f>_xlfn.XLOOKUP(A1469, Matches!A:A, Matches!L:L, "NA", 0)</f>
        <v>RCBW</v>
      </c>
      <c r="X1469" t="str">
        <f>_xlfn.XLOOKUP(A1469, Matches!A:A, Matches!J:J, "NA", 0)</f>
        <v>RCBW</v>
      </c>
      <c r="Y1469" t="str">
        <f>_xlfn.XLOOKUP(A1469, Matches!A:A, Matches!F:F, "NA", 0)</f>
        <v>Dr DY Patil Sports </v>
      </c>
      <c r="Z1469" cm="1">
        <f t="array" ref="Z1469">INDEX(Innings!F:F,MATCH(1,(TRIM(Innings!A:A)=TRIM(A1469))*(TRIM(Innings!D:D)=TRIM(E1469)),0))</f>
        <v>157</v>
      </c>
      <c r="AA1469" cm="1">
        <f t="array" ref="AA1469">INDEX(Innings!I:I,MATCH(1,(TRIM(Innings!A:A)=TRIM(A1469))*(TRIM(Innings!D:D)=TRIM(E1469)),0))</f>
        <v>7.85</v>
      </c>
      <c r="AB1469" cm="1">
        <f t="array" ref="AB1469">INDEX(Innings!J:J,MATCH(1,(TRIM(Innings!A:A)=TRIM(A1469))*(TRIM(Innings!D:D)=TRIM(E1469)),0))</f>
        <v>57</v>
      </c>
      <c r="AC1469" cm="1">
        <f t="array" ref="AC1469">INDEX(Innings!N:N,MATCH(1,(TRIM(Innings!A:A)=TRIM(A1469))*(TRIM(Innings!D:D)=TRIM(E1469)),0))</f>
        <v>40</v>
      </c>
      <c r="AD1469" cm="1">
        <f t="array" ref="AD1469">INDEX(Innings!S:S,MATCH(1,(TRIM(Innings!A:A)=TRIM(A1469))*(TRIM(Innings!D:D)=TRIM(E1469)),0))</f>
        <v>47</v>
      </c>
      <c r="AE1469" t="str" cm="1">
        <f t="array" ref="AE1469">INDEX(Innings!W:W,MATCH(1,(TRIM(Innings!A:A)=TRIM(A1469))*(TRIM(Innings!D:D)=TRIM(E1469)),0))</f>
        <v>Successful</v>
      </c>
      <c r="AF1469">
        <f>IF(UPPER(TRIM(E1469))=UPPER(TRIM(W1469)),1,0)</f>
        <v>1</v>
      </c>
      <c r="AG1469">
        <f t="shared" si="44"/>
        <v>118</v>
      </c>
    </row>
    <row r="1470" spans="1:33" x14ac:dyDescent="0.3">
      <c r="A1470" t="s">
        <v>601</v>
      </c>
      <c r="B1470">
        <v>4</v>
      </c>
      <c r="C1470" t="s">
        <v>202</v>
      </c>
      <c r="D1470" t="s">
        <v>203</v>
      </c>
      <c r="E1470" t="s">
        <v>159</v>
      </c>
      <c r="F1470" t="s">
        <v>101</v>
      </c>
      <c r="G1470" t="s">
        <v>134</v>
      </c>
      <c r="H1470">
        <v>20</v>
      </c>
      <c r="I1470">
        <v>25</v>
      </c>
      <c r="J1470">
        <v>80</v>
      </c>
      <c r="K1470" t="s">
        <v>246</v>
      </c>
      <c r="L1470">
        <v>20</v>
      </c>
      <c r="M1470">
        <v>4</v>
      </c>
      <c r="N1470">
        <v>0</v>
      </c>
      <c r="O1470">
        <v>37</v>
      </c>
      <c r="P1470">
        <v>0</v>
      </c>
      <c r="Q1470">
        <v>9.1999999999999993</v>
      </c>
      <c r="R1470">
        <v>-5</v>
      </c>
      <c r="S1470">
        <v>0</v>
      </c>
      <c r="T1470">
        <v>0</v>
      </c>
      <c r="U1470" s="8">
        <v>15</v>
      </c>
      <c r="V1470" s="8">
        <f t="shared" si="45"/>
        <v>2</v>
      </c>
      <c r="W1470" t="str">
        <f>_xlfn.XLOOKUP(A1470, Matches!A:A, Matches!L:L, "NA", 0)</f>
        <v>RCBW</v>
      </c>
      <c r="X1470" t="str">
        <f>_xlfn.XLOOKUP(A1470, Matches!A:A, Matches!J:J, "NA", 0)</f>
        <v>RCBW</v>
      </c>
      <c r="Y1470" t="str">
        <f>_xlfn.XLOOKUP(A1470, Matches!A:A, Matches!F:F, "NA", 0)</f>
        <v>Dr DY Patil Sports </v>
      </c>
      <c r="Z1470" cm="1">
        <f t="array" ref="Z1470">INDEX(Innings!F:F,MATCH(1,(TRIM(Innings!A:A)=TRIM(A1470))*(TRIM(Innings!D:D)=TRIM(E1470)),0))</f>
        <v>157</v>
      </c>
      <c r="AA1470" cm="1">
        <f t="array" ref="AA1470">INDEX(Innings!I:I,MATCH(1,(TRIM(Innings!A:A)=TRIM(A1470))*(TRIM(Innings!D:D)=TRIM(E1470)),0))</f>
        <v>7.85</v>
      </c>
      <c r="AB1470" cm="1">
        <f t="array" ref="AB1470">INDEX(Innings!J:J,MATCH(1,(TRIM(Innings!A:A)=TRIM(A1470))*(TRIM(Innings!D:D)=TRIM(E1470)),0))</f>
        <v>57</v>
      </c>
      <c r="AC1470" cm="1">
        <f t="array" ref="AC1470">INDEX(Innings!N:N,MATCH(1,(TRIM(Innings!A:A)=TRIM(A1470))*(TRIM(Innings!D:D)=TRIM(E1470)),0))</f>
        <v>40</v>
      </c>
      <c r="AD1470" cm="1">
        <f t="array" ref="AD1470">INDEX(Innings!S:S,MATCH(1,(TRIM(Innings!A:A)=TRIM(A1470))*(TRIM(Innings!D:D)=TRIM(E1470)),0))</f>
        <v>47</v>
      </c>
      <c r="AE1470" t="str" cm="1">
        <f t="array" ref="AE1470">INDEX(Innings!W:W,MATCH(1,(TRIM(Innings!A:A)=TRIM(A1470))*(TRIM(Innings!D:D)=TRIM(E1470)),0))</f>
        <v>Successful</v>
      </c>
      <c r="AF1470">
        <f>IF(UPPER(TRIM(E1470))=UPPER(TRIM(W1470)),1,0)</f>
        <v>1</v>
      </c>
      <c r="AG1470">
        <f t="shared" si="44"/>
        <v>28.1</v>
      </c>
    </row>
    <row r="1471" spans="1:33" x14ac:dyDescent="0.3">
      <c r="A1471" t="s">
        <v>601</v>
      </c>
      <c r="B1471">
        <v>4</v>
      </c>
      <c r="C1471" t="s">
        <v>259</v>
      </c>
      <c r="D1471" t="s">
        <v>257</v>
      </c>
      <c r="E1471" t="s">
        <v>159</v>
      </c>
      <c r="F1471" t="s">
        <v>169</v>
      </c>
      <c r="G1471" t="s">
        <v>134</v>
      </c>
      <c r="H1471">
        <v>1</v>
      </c>
      <c r="I1471">
        <v>2</v>
      </c>
      <c r="J1471">
        <v>50</v>
      </c>
      <c r="K1471" t="s">
        <v>245</v>
      </c>
      <c r="L1471">
        <v>-5</v>
      </c>
      <c r="M1471">
        <v>4</v>
      </c>
      <c r="N1471">
        <v>0</v>
      </c>
      <c r="O1471">
        <v>32</v>
      </c>
      <c r="P1471">
        <v>1</v>
      </c>
      <c r="Q1471">
        <v>8</v>
      </c>
      <c r="R1471">
        <v>25</v>
      </c>
      <c r="S1471">
        <v>0</v>
      </c>
      <c r="T1471">
        <v>0</v>
      </c>
      <c r="U1471" s="8">
        <v>20</v>
      </c>
      <c r="V1471" s="8">
        <f t="shared" si="45"/>
        <v>2</v>
      </c>
      <c r="W1471" t="str">
        <f>_xlfn.XLOOKUP(A1471, Matches!A:A, Matches!L:L, "NA", 0)</f>
        <v>RCBW</v>
      </c>
      <c r="X1471" t="str">
        <f>_xlfn.XLOOKUP(A1471, Matches!A:A, Matches!J:J, "NA", 0)</f>
        <v>RCBW</v>
      </c>
      <c r="Y1471" t="str">
        <f>_xlfn.XLOOKUP(A1471, Matches!A:A, Matches!F:F, "NA", 0)</f>
        <v>Dr DY Patil Sports </v>
      </c>
      <c r="Z1471" cm="1">
        <f t="array" ref="Z1471">INDEX(Innings!F:F,MATCH(1,(TRIM(Innings!A:A)=TRIM(A1471))*(TRIM(Innings!D:D)=TRIM(E1471)),0))</f>
        <v>157</v>
      </c>
      <c r="AA1471" cm="1">
        <f t="array" ref="AA1471">INDEX(Innings!I:I,MATCH(1,(TRIM(Innings!A:A)=TRIM(A1471))*(TRIM(Innings!D:D)=TRIM(E1471)),0))</f>
        <v>7.85</v>
      </c>
      <c r="AB1471" cm="1">
        <f t="array" ref="AB1471">INDEX(Innings!J:J,MATCH(1,(TRIM(Innings!A:A)=TRIM(A1471))*(TRIM(Innings!D:D)=TRIM(E1471)),0))</f>
        <v>57</v>
      </c>
      <c r="AC1471" cm="1">
        <f t="array" ref="AC1471">INDEX(Innings!N:N,MATCH(1,(TRIM(Innings!A:A)=TRIM(A1471))*(TRIM(Innings!D:D)=TRIM(E1471)),0))</f>
        <v>40</v>
      </c>
      <c r="AD1471" cm="1">
        <f t="array" ref="AD1471">INDEX(Innings!S:S,MATCH(1,(TRIM(Innings!A:A)=TRIM(A1471))*(TRIM(Innings!D:D)=TRIM(E1471)),0))</f>
        <v>47</v>
      </c>
      <c r="AE1471" t="str" cm="1">
        <f t="array" ref="AE1471">INDEX(Innings!W:W,MATCH(1,(TRIM(Innings!A:A)=TRIM(A1471))*(TRIM(Innings!D:D)=TRIM(E1471)),0))</f>
        <v>Successful</v>
      </c>
      <c r="AF1471">
        <f>IF(UPPER(TRIM(E1471))=UPPER(TRIM(W1471)),1,0)</f>
        <v>1</v>
      </c>
      <c r="AG1471">
        <f t="shared" si="44"/>
        <v>30.6</v>
      </c>
    </row>
    <row r="1472" spans="1:33" x14ac:dyDescent="0.3">
      <c r="A1472" t="s">
        <v>601</v>
      </c>
      <c r="B1472">
        <v>4</v>
      </c>
      <c r="C1472" t="s">
        <v>491</v>
      </c>
      <c r="D1472" t="s">
        <v>498</v>
      </c>
      <c r="E1472" t="s">
        <v>159</v>
      </c>
      <c r="F1472" t="s">
        <v>169</v>
      </c>
      <c r="G1472" t="s">
        <v>134</v>
      </c>
      <c r="H1472">
        <v>8</v>
      </c>
      <c r="I1472">
        <v>4</v>
      </c>
      <c r="J1472">
        <v>200</v>
      </c>
      <c r="K1472" t="s">
        <v>96</v>
      </c>
      <c r="L1472">
        <v>20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 s="8">
        <v>20</v>
      </c>
      <c r="V1472" s="8">
        <f t="shared" si="45"/>
        <v>2</v>
      </c>
      <c r="W1472" t="str">
        <f>_xlfn.XLOOKUP(A1472, Matches!A:A, Matches!L:L, "NA", 0)</f>
        <v>RCBW</v>
      </c>
      <c r="X1472" t="str">
        <f>_xlfn.XLOOKUP(A1472, Matches!A:A, Matches!J:J, "NA", 0)</f>
        <v>RCBW</v>
      </c>
      <c r="Y1472" t="str">
        <f>_xlfn.XLOOKUP(A1472, Matches!A:A, Matches!F:F, "NA", 0)</f>
        <v>Dr DY Patil Sports </v>
      </c>
      <c r="Z1472" cm="1">
        <f t="array" ref="Z1472">INDEX(Innings!F:F,MATCH(1,(TRIM(Innings!A:A)=TRIM(A1472))*(TRIM(Innings!D:D)=TRIM(E1472)),0))</f>
        <v>157</v>
      </c>
      <c r="AA1472" cm="1">
        <f t="array" ref="AA1472">INDEX(Innings!I:I,MATCH(1,(TRIM(Innings!A:A)=TRIM(A1472))*(TRIM(Innings!D:D)=TRIM(E1472)),0))</f>
        <v>7.85</v>
      </c>
      <c r="AB1472" cm="1">
        <f t="array" ref="AB1472">INDEX(Innings!J:J,MATCH(1,(TRIM(Innings!A:A)=TRIM(A1472))*(TRIM(Innings!D:D)=TRIM(E1472)),0))</f>
        <v>57</v>
      </c>
      <c r="AC1472" cm="1">
        <f t="array" ref="AC1472">INDEX(Innings!N:N,MATCH(1,(TRIM(Innings!A:A)=TRIM(A1472))*(TRIM(Innings!D:D)=TRIM(E1472)),0))</f>
        <v>40</v>
      </c>
      <c r="AD1472" cm="1">
        <f t="array" ref="AD1472">INDEX(Innings!S:S,MATCH(1,(TRIM(Innings!A:A)=TRIM(A1472))*(TRIM(Innings!D:D)=TRIM(E1472)),0))</f>
        <v>47</v>
      </c>
      <c r="AE1472" t="str" cm="1">
        <f t="array" ref="AE1472">INDEX(Innings!W:W,MATCH(1,(TRIM(Innings!A:A)=TRIM(A1472))*(TRIM(Innings!D:D)=TRIM(E1472)),0))</f>
        <v>Successful</v>
      </c>
      <c r="AF1472">
        <f>IF(UPPER(TRIM(E1472))=UPPER(TRIM(W1472)),1,0)</f>
        <v>1</v>
      </c>
      <c r="AG1472">
        <f t="shared" ref="AG1472:AG1535" si="46">(0.5*MAX(0,U1472) + 0.3*MAX(0,V1472) + 0.2*AF1472*100)</f>
        <v>30.6</v>
      </c>
    </row>
    <row r="1473" spans="1:33" x14ac:dyDescent="0.3">
      <c r="A1473" t="s">
        <v>601</v>
      </c>
      <c r="B1473">
        <v>4</v>
      </c>
      <c r="C1473" t="s">
        <v>528</v>
      </c>
      <c r="D1473" t="s">
        <v>628</v>
      </c>
      <c r="E1473" t="s">
        <v>159</v>
      </c>
      <c r="F1473" t="s">
        <v>101</v>
      </c>
      <c r="G1473" t="s">
        <v>104</v>
      </c>
      <c r="H1473">
        <v>0</v>
      </c>
      <c r="I1473">
        <v>0</v>
      </c>
      <c r="J1473">
        <v>0</v>
      </c>
      <c r="K1473" t="s">
        <v>104</v>
      </c>
      <c r="L1473">
        <v>0</v>
      </c>
      <c r="M1473">
        <v>2</v>
      </c>
      <c r="N1473">
        <v>0</v>
      </c>
      <c r="O1473">
        <v>23</v>
      </c>
      <c r="P1473">
        <v>0</v>
      </c>
      <c r="Q1473">
        <v>11.5</v>
      </c>
      <c r="R1473">
        <v>-5</v>
      </c>
      <c r="S1473">
        <v>0</v>
      </c>
      <c r="T1473">
        <v>0</v>
      </c>
      <c r="U1473" s="8">
        <v>-5</v>
      </c>
      <c r="V1473" s="8">
        <f t="shared" si="45"/>
        <v>0</v>
      </c>
      <c r="W1473" t="str">
        <f>_xlfn.XLOOKUP(A1473, Matches!A:A, Matches!L:L, "NA", 0)</f>
        <v>RCBW</v>
      </c>
      <c r="X1473" t="str">
        <f>_xlfn.XLOOKUP(A1473, Matches!A:A, Matches!J:J, "NA", 0)</f>
        <v>RCBW</v>
      </c>
      <c r="Y1473" t="str">
        <f>_xlfn.XLOOKUP(A1473, Matches!A:A, Matches!F:F, "NA", 0)</f>
        <v>Dr DY Patil Sports </v>
      </c>
      <c r="Z1473" cm="1">
        <f t="array" ref="Z1473">INDEX(Innings!F:F,MATCH(1,(TRIM(Innings!A:A)=TRIM(A1473))*(TRIM(Innings!D:D)=TRIM(E1473)),0))</f>
        <v>157</v>
      </c>
      <c r="AA1473" cm="1">
        <f t="array" ref="AA1473">INDEX(Innings!I:I,MATCH(1,(TRIM(Innings!A:A)=TRIM(A1473))*(TRIM(Innings!D:D)=TRIM(E1473)),0))</f>
        <v>7.85</v>
      </c>
      <c r="AB1473" cm="1">
        <f t="array" ref="AB1473">INDEX(Innings!J:J,MATCH(1,(TRIM(Innings!A:A)=TRIM(A1473))*(TRIM(Innings!D:D)=TRIM(E1473)),0))</f>
        <v>57</v>
      </c>
      <c r="AC1473" cm="1">
        <f t="array" ref="AC1473">INDEX(Innings!N:N,MATCH(1,(TRIM(Innings!A:A)=TRIM(A1473))*(TRIM(Innings!D:D)=TRIM(E1473)),0))</f>
        <v>40</v>
      </c>
      <c r="AD1473" cm="1">
        <f t="array" ref="AD1473">INDEX(Innings!S:S,MATCH(1,(TRIM(Innings!A:A)=TRIM(A1473))*(TRIM(Innings!D:D)=TRIM(E1473)),0))</f>
        <v>47</v>
      </c>
      <c r="AE1473" t="str" cm="1">
        <f t="array" ref="AE1473">INDEX(Innings!W:W,MATCH(1,(TRIM(Innings!A:A)=TRIM(A1473))*(TRIM(Innings!D:D)=TRIM(E1473)),0))</f>
        <v>Successful</v>
      </c>
      <c r="AF1473">
        <f>IF(UPPER(TRIM(E1473))=UPPER(TRIM(W1473)),1,0)</f>
        <v>1</v>
      </c>
      <c r="AG1473">
        <f t="shared" si="46"/>
        <v>20</v>
      </c>
    </row>
    <row r="1474" spans="1:33" x14ac:dyDescent="0.3">
      <c r="A1474" t="s">
        <v>601</v>
      </c>
      <c r="B1474">
        <v>4</v>
      </c>
      <c r="C1474" t="s">
        <v>527</v>
      </c>
      <c r="D1474" t="s">
        <v>627</v>
      </c>
      <c r="E1474" t="s">
        <v>159</v>
      </c>
      <c r="F1474" t="s">
        <v>101</v>
      </c>
      <c r="G1474" t="s">
        <v>104</v>
      </c>
      <c r="H1474">
        <v>0</v>
      </c>
      <c r="I1474">
        <v>0</v>
      </c>
      <c r="J1474">
        <v>0</v>
      </c>
      <c r="K1474" t="s">
        <v>104</v>
      </c>
      <c r="L1474">
        <v>0</v>
      </c>
      <c r="M1474">
        <v>4</v>
      </c>
      <c r="N1474">
        <v>1</v>
      </c>
      <c r="O1474">
        <v>14</v>
      </c>
      <c r="P1474">
        <v>1</v>
      </c>
      <c r="Q1474">
        <v>3.5</v>
      </c>
      <c r="R1474">
        <v>50</v>
      </c>
      <c r="S1474">
        <v>0</v>
      </c>
      <c r="T1474">
        <v>0</v>
      </c>
      <c r="U1474" s="8">
        <v>50</v>
      </c>
      <c r="V1474" s="8">
        <f t="shared" si="45"/>
        <v>5</v>
      </c>
      <c r="W1474" t="str">
        <f>_xlfn.XLOOKUP(A1474, Matches!A:A, Matches!L:L, "NA", 0)</f>
        <v>RCBW</v>
      </c>
      <c r="X1474" t="str">
        <f>_xlfn.XLOOKUP(A1474, Matches!A:A, Matches!J:J, "NA", 0)</f>
        <v>RCBW</v>
      </c>
      <c r="Y1474" t="str">
        <f>_xlfn.XLOOKUP(A1474, Matches!A:A, Matches!F:F, "NA", 0)</f>
        <v>Dr DY Patil Sports </v>
      </c>
      <c r="Z1474" cm="1">
        <f t="array" ref="Z1474">INDEX(Innings!F:F,MATCH(1,(TRIM(Innings!A:A)=TRIM(A1474))*(TRIM(Innings!D:D)=TRIM(E1474)),0))</f>
        <v>157</v>
      </c>
      <c r="AA1474" cm="1">
        <f t="array" ref="AA1474">INDEX(Innings!I:I,MATCH(1,(TRIM(Innings!A:A)=TRIM(A1474))*(TRIM(Innings!D:D)=TRIM(E1474)),0))</f>
        <v>7.85</v>
      </c>
      <c r="AB1474" cm="1">
        <f t="array" ref="AB1474">INDEX(Innings!J:J,MATCH(1,(TRIM(Innings!A:A)=TRIM(A1474))*(TRIM(Innings!D:D)=TRIM(E1474)),0))</f>
        <v>57</v>
      </c>
      <c r="AC1474" cm="1">
        <f t="array" ref="AC1474">INDEX(Innings!N:N,MATCH(1,(TRIM(Innings!A:A)=TRIM(A1474))*(TRIM(Innings!D:D)=TRIM(E1474)),0))</f>
        <v>40</v>
      </c>
      <c r="AD1474" cm="1">
        <f t="array" ref="AD1474">INDEX(Innings!S:S,MATCH(1,(TRIM(Innings!A:A)=TRIM(A1474))*(TRIM(Innings!D:D)=TRIM(E1474)),0))</f>
        <v>47</v>
      </c>
      <c r="AE1474" t="str" cm="1">
        <f t="array" ref="AE1474">INDEX(Innings!W:W,MATCH(1,(TRIM(Innings!A:A)=TRIM(A1474))*(TRIM(Innings!D:D)=TRIM(E1474)),0))</f>
        <v>Successful</v>
      </c>
      <c r="AF1474">
        <f>IF(UPPER(TRIM(E1474))=UPPER(TRIM(W1474)),1,0)</f>
        <v>1</v>
      </c>
      <c r="AG1474">
        <f t="shared" si="46"/>
        <v>46.5</v>
      </c>
    </row>
    <row r="1475" spans="1:33" x14ac:dyDescent="0.3">
      <c r="A1475" t="s">
        <v>602</v>
      </c>
      <c r="B1475">
        <v>4</v>
      </c>
      <c r="C1475" t="s">
        <v>81</v>
      </c>
      <c r="D1475" t="s">
        <v>114</v>
      </c>
      <c r="E1475" t="s">
        <v>258</v>
      </c>
      <c r="F1475" t="s">
        <v>85</v>
      </c>
      <c r="G1475" t="s">
        <v>86</v>
      </c>
      <c r="H1475">
        <v>13</v>
      </c>
      <c r="I1475">
        <v>12</v>
      </c>
      <c r="J1475">
        <v>108.33</v>
      </c>
      <c r="K1475" t="s">
        <v>245</v>
      </c>
      <c r="L1475">
        <v>15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 s="8">
        <v>15</v>
      </c>
      <c r="V1475" s="8">
        <f t="shared" ref="V1475:V1538" si="47">MIN(10, MAX(0, ROUND(U1475/10,0)))</f>
        <v>2</v>
      </c>
      <c r="W1475" t="str">
        <f>_xlfn.XLOOKUP(A1475, Matches!A:A, Matches!L:L, "NA", 0)</f>
        <v>GGTW</v>
      </c>
      <c r="X1475" t="str">
        <f>_xlfn.XLOOKUP(A1475, Matches!A:A, Matches!J:J, "NA", 0)</f>
        <v>UPW</v>
      </c>
      <c r="Y1475" t="str">
        <f>_xlfn.XLOOKUP(A1475, Matches!A:A, Matches!F:F, "NA", 0)</f>
        <v>Dr DY Patil Sports </v>
      </c>
      <c r="Z1475" cm="1">
        <f t="array" ref="Z1475">INDEX(Innings!F:F,MATCH(1,(TRIM(Innings!A:A)=TRIM(A1475))*(TRIM(Innings!D:D)=TRIM(E1475)),0))</f>
        <v>207</v>
      </c>
      <c r="AA1475" cm="1">
        <f t="array" ref="AA1475">INDEX(Innings!I:I,MATCH(1,(TRIM(Innings!A:A)=TRIM(A1475))*(TRIM(Innings!D:D)=TRIM(E1475)),0))</f>
        <v>10.35</v>
      </c>
      <c r="AB1475" cm="1">
        <f t="array" ref="AB1475">INDEX(Innings!J:J,MATCH(1,(TRIM(Innings!A:A)=TRIM(A1475))*(TRIM(Innings!D:D)=TRIM(E1475)),0))</f>
        <v>56</v>
      </c>
      <c r="AC1475" cm="1">
        <f t="array" ref="AC1475">INDEX(Innings!N:N,MATCH(1,(TRIM(Innings!A:A)=TRIM(A1475))*(TRIM(Innings!D:D)=TRIM(E1475)),0))</f>
        <v>49</v>
      </c>
      <c r="AD1475" cm="1">
        <f t="array" ref="AD1475">INDEX(Innings!S:S,MATCH(1,(TRIM(Innings!A:A)=TRIM(A1475))*(TRIM(Innings!D:D)=TRIM(E1475)),0))</f>
        <v>36</v>
      </c>
      <c r="AE1475" t="str" cm="1">
        <f t="array" ref="AE1475">INDEX(Innings!W:W,MATCH(1,(TRIM(Innings!A:A)=TRIM(A1475))*(TRIM(Innings!D:D)=TRIM(E1475)),0))</f>
        <v>NA</v>
      </c>
      <c r="AF1475">
        <f>IF(UPPER(TRIM(E1475))=UPPER(TRIM(W1475)),1,0)</f>
        <v>1</v>
      </c>
      <c r="AG1475">
        <f t="shared" si="46"/>
        <v>28.1</v>
      </c>
    </row>
    <row r="1476" spans="1:33" x14ac:dyDescent="0.3">
      <c r="A1476" t="s">
        <v>602</v>
      </c>
      <c r="B1476">
        <v>4</v>
      </c>
      <c r="C1476" t="s">
        <v>167</v>
      </c>
      <c r="D1476" t="s">
        <v>168</v>
      </c>
      <c r="E1476" t="s">
        <v>258</v>
      </c>
      <c r="F1476" t="s">
        <v>169</v>
      </c>
      <c r="G1476" t="s">
        <v>92</v>
      </c>
      <c r="H1476">
        <v>38</v>
      </c>
      <c r="I1476">
        <v>20</v>
      </c>
      <c r="J1476">
        <v>190</v>
      </c>
      <c r="K1476" t="s">
        <v>246</v>
      </c>
      <c r="L1476">
        <v>55</v>
      </c>
      <c r="M1476">
        <v>4</v>
      </c>
      <c r="N1476">
        <v>0</v>
      </c>
      <c r="O1476">
        <v>55</v>
      </c>
      <c r="P1476">
        <v>2</v>
      </c>
      <c r="Q1476">
        <v>13.8</v>
      </c>
      <c r="R1476">
        <v>40</v>
      </c>
      <c r="S1476">
        <v>0</v>
      </c>
      <c r="T1476">
        <v>0</v>
      </c>
      <c r="U1476" s="8">
        <v>95</v>
      </c>
      <c r="V1476" s="8">
        <f t="shared" si="47"/>
        <v>10</v>
      </c>
      <c r="W1476" t="str">
        <f>_xlfn.XLOOKUP(A1476, Matches!A:A, Matches!L:L, "NA", 0)</f>
        <v>GGTW</v>
      </c>
      <c r="X1476" t="str">
        <f>_xlfn.XLOOKUP(A1476, Matches!A:A, Matches!J:J, "NA", 0)</f>
        <v>UPW</v>
      </c>
      <c r="Y1476" t="str">
        <f>_xlfn.XLOOKUP(A1476, Matches!A:A, Matches!F:F, "NA", 0)</f>
        <v>Dr DY Patil Sports </v>
      </c>
      <c r="Z1476" cm="1">
        <f t="array" ref="Z1476">INDEX(Innings!F:F,MATCH(1,(TRIM(Innings!A:A)=TRIM(A1476))*(TRIM(Innings!D:D)=TRIM(E1476)),0))</f>
        <v>207</v>
      </c>
      <c r="AA1476" cm="1">
        <f t="array" ref="AA1476">INDEX(Innings!I:I,MATCH(1,(TRIM(Innings!A:A)=TRIM(A1476))*(TRIM(Innings!D:D)=TRIM(E1476)),0))</f>
        <v>10.35</v>
      </c>
      <c r="AB1476" cm="1">
        <f t="array" ref="AB1476">INDEX(Innings!J:J,MATCH(1,(TRIM(Innings!A:A)=TRIM(A1476))*(TRIM(Innings!D:D)=TRIM(E1476)),0))</f>
        <v>56</v>
      </c>
      <c r="AC1476" cm="1">
        <f t="array" ref="AC1476">INDEX(Innings!N:N,MATCH(1,(TRIM(Innings!A:A)=TRIM(A1476))*(TRIM(Innings!D:D)=TRIM(E1476)),0))</f>
        <v>49</v>
      </c>
      <c r="AD1476" cm="1">
        <f t="array" ref="AD1476">INDEX(Innings!S:S,MATCH(1,(TRIM(Innings!A:A)=TRIM(A1476))*(TRIM(Innings!D:D)=TRIM(E1476)),0))</f>
        <v>36</v>
      </c>
      <c r="AE1476" t="str" cm="1">
        <f t="array" ref="AE1476">INDEX(Innings!W:W,MATCH(1,(TRIM(Innings!A:A)=TRIM(A1476))*(TRIM(Innings!D:D)=TRIM(E1476)),0))</f>
        <v>NA</v>
      </c>
      <c r="AF1476">
        <f>IF(UPPER(TRIM(E1476))=UPPER(TRIM(W1476)),1,0)</f>
        <v>1</v>
      </c>
      <c r="AG1476">
        <f t="shared" si="46"/>
        <v>70.5</v>
      </c>
    </row>
    <row r="1477" spans="1:33" x14ac:dyDescent="0.3">
      <c r="A1477" t="s">
        <v>602</v>
      </c>
      <c r="B1477">
        <v>4</v>
      </c>
      <c r="C1477" t="s">
        <v>529</v>
      </c>
      <c r="D1477" t="s">
        <v>632</v>
      </c>
      <c r="E1477" t="s">
        <v>258</v>
      </c>
      <c r="F1477" t="s">
        <v>169</v>
      </c>
      <c r="G1477" t="s">
        <v>92</v>
      </c>
      <c r="H1477">
        <v>44</v>
      </c>
      <c r="I1477">
        <v>30</v>
      </c>
      <c r="J1477">
        <v>146.66999999999999</v>
      </c>
      <c r="K1477" t="s">
        <v>246</v>
      </c>
      <c r="L1477">
        <v>55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 s="8">
        <v>55</v>
      </c>
      <c r="V1477" s="8">
        <f t="shared" si="47"/>
        <v>6</v>
      </c>
      <c r="W1477" t="str">
        <f>_xlfn.XLOOKUP(A1477, Matches!A:A, Matches!L:L, "NA", 0)</f>
        <v>GGTW</v>
      </c>
      <c r="X1477" t="str">
        <f>_xlfn.XLOOKUP(A1477, Matches!A:A, Matches!J:J, "NA", 0)</f>
        <v>UPW</v>
      </c>
      <c r="Y1477" t="str">
        <f>_xlfn.XLOOKUP(A1477, Matches!A:A, Matches!F:F, "NA", 0)</f>
        <v>Dr DY Patil Sports </v>
      </c>
      <c r="Z1477" cm="1">
        <f t="array" ref="Z1477">INDEX(Innings!F:F,MATCH(1,(TRIM(Innings!A:A)=TRIM(A1477))*(TRIM(Innings!D:D)=TRIM(E1477)),0))</f>
        <v>207</v>
      </c>
      <c r="AA1477" cm="1">
        <f t="array" ref="AA1477">INDEX(Innings!I:I,MATCH(1,(TRIM(Innings!A:A)=TRIM(A1477))*(TRIM(Innings!D:D)=TRIM(E1477)),0))</f>
        <v>10.35</v>
      </c>
      <c r="AB1477" cm="1">
        <f t="array" ref="AB1477">INDEX(Innings!J:J,MATCH(1,(TRIM(Innings!A:A)=TRIM(A1477))*(TRIM(Innings!D:D)=TRIM(E1477)),0))</f>
        <v>56</v>
      </c>
      <c r="AC1477" cm="1">
        <f t="array" ref="AC1477">INDEX(Innings!N:N,MATCH(1,(TRIM(Innings!A:A)=TRIM(A1477))*(TRIM(Innings!D:D)=TRIM(E1477)),0))</f>
        <v>49</v>
      </c>
      <c r="AD1477" cm="1">
        <f t="array" ref="AD1477">INDEX(Innings!S:S,MATCH(1,(TRIM(Innings!A:A)=TRIM(A1477))*(TRIM(Innings!D:D)=TRIM(E1477)),0))</f>
        <v>36</v>
      </c>
      <c r="AE1477" t="str" cm="1">
        <f t="array" ref="AE1477">INDEX(Innings!W:W,MATCH(1,(TRIM(Innings!A:A)=TRIM(A1477))*(TRIM(Innings!D:D)=TRIM(E1477)),0))</f>
        <v>NA</v>
      </c>
      <c r="AF1477">
        <f>IF(UPPER(TRIM(E1477))=UPPER(TRIM(W1477)),1,0)</f>
        <v>1</v>
      </c>
      <c r="AG1477">
        <f t="shared" si="46"/>
        <v>49.3</v>
      </c>
    </row>
    <row r="1478" spans="1:33" x14ac:dyDescent="0.3">
      <c r="A1478" t="s">
        <v>602</v>
      </c>
      <c r="B1478">
        <v>4</v>
      </c>
      <c r="C1478" t="s">
        <v>93</v>
      </c>
      <c r="D1478" t="s">
        <v>118</v>
      </c>
      <c r="E1478" t="s">
        <v>258</v>
      </c>
      <c r="F1478" t="s">
        <v>169</v>
      </c>
      <c r="G1478" t="s">
        <v>92</v>
      </c>
      <c r="H1478">
        <v>65</v>
      </c>
      <c r="I1478">
        <v>41</v>
      </c>
      <c r="J1478">
        <v>158.54</v>
      </c>
      <c r="K1478" t="s">
        <v>245</v>
      </c>
      <c r="L1478">
        <v>85</v>
      </c>
      <c r="M1478">
        <v>3</v>
      </c>
      <c r="N1478">
        <v>0</v>
      </c>
      <c r="O1478">
        <v>37</v>
      </c>
      <c r="P1478">
        <v>1</v>
      </c>
      <c r="Q1478">
        <v>12.3</v>
      </c>
      <c r="R1478">
        <v>20</v>
      </c>
      <c r="S1478">
        <v>0</v>
      </c>
      <c r="T1478">
        <v>0</v>
      </c>
      <c r="U1478" s="8">
        <v>105</v>
      </c>
      <c r="V1478" s="8">
        <f t="shared" si="47"/>
        <v>10</v>
      </c>
      <c r="W1478" t="str">
        <f>_xlfn.XLOOKUP(A1478, Matches!A:A, Matches!L:L, "NA", 0)</f>
        <v>GGTW</v>
      </c>
      <c r="X1478" t="str">
        <f>_xlfn.XLOOKUP(A1478, Matches!A:A, Matches!J:J, "NA", 0)</f>
        <v>UPW</v>
      </c>
      <c r="Y1478" t="str">
        <f>_xlfn.XLOOKUP(A1478, Matches!A:A, Matches!F:F, "NA", 0)</f>
        <v>Dr DY Patil Sports </v>
      </c>
      <c r="Z1478" cm="1">
        <f t="array" ref="Z1478">INDEX(Innings!F:F,MATCH(1,(TRIM(Innings!A:A)=TRIM(A1478))*(TRIM(Innings!D:D)=TRIM(E1478)),0))</f>
        <v>207</v>
      </c>
      <c r="AA1478" cm="1">
        <f t="array" ref="AA1478">INDEX(Innings!I:I,MATCH(1,(TRIM(Innings!A:A)=TRIM(A1478))*(TRIM(Innings!D:D)=TRIM(E1478)),0))</f>
        <v>10.35</v>
      </c>
      <c r="AB1478" cm="1">
        <f t="array" ref="AB1478">INDEX(Innings!J:J,MATCH(1,(TRIM(Innings!A:A)=TRIM(A1478))*(TRIM(Innings!D:D)=TRIM(E1478)),0))</f>
        <v>56</v>
      </c>
      <c r="AC1478" cm="1">
        <f t="array" ref="AC1478">INDEX(Innings!N:N,MATCH(1,(TRIM(Innings!A:A)=TRIM(A1478))*(TRIM(Innings!D:D)=TRIM(E1478)),0))</f>
        <v>49</v>
      </c>
      <c r="AD1478" cm="1">
        <f t="array" ref="AD1478">INDEX(Innings!S:S,MATCH(1,(TRIM(Innings!A:A)=TRIM(A1478))*(TRIM(Innings!D:D)=TRIM(E1478)),0))</f>
        <v>36</v>
      </c>
      <c r="AE1478" t="str" cm="1">
        <f t="array" ref="AE1478">INDEX(Innings!W:W,MATCH(1,(TRIM(Innings!A:A)=TRIM(A1478))*(TRIM(Innings!D:D)=TRIM(E1478)),0))</f>
        <v>NA</v>
      </c>
      <c r="AF1478">
        <f>IF(UPPER(TRIM(E1478))=UPPER(TRIM(W1478)),1,0)</f>
        <v>1</v>
      </c>
      <c r="AG1478">
        <f t="shared" si="46"/>
        <v>75.5</v>
      </c>
    </row>
    <row r="1479" spans="1:33" x14ac:dyDescent="0.3">
      <c r="A1479" t="s">
        <v>602</v>
      </c>
      <c r="B1479">
        <v>4</v>
      </c>
      <c r="C1479" t="s">
        <v>99</v>
      </c>
      <c r="D1479" t="s">
        <v>124</v>
      </c>
      <c r="E1479" t="s">
        <v>258</v>
      </c>
      <c r="F1479" t="s">
        <v>101</v>
      </c>
      <c r="G1479" t="s">
        <v>134</v>
      </c>
      <c r="H1479">
        <v>27</v>
      </c>
      <c r="I1479">
        <v>10</v>
      </c>
      <c r="J1479">
        <v>270</v>
      </c>
      <c r="K1479" t="s">
        <v>96</v>
      </c>
      <c r="L1479">
        <v>50</v>
      </c>
      <c r="M1479">
        <v>4</v>
      </c>
      <c r="N1479">
        <v>0</v>
      </c>
      <c r="O1479">
        <v>30</v>
      </c>
      <c r="P1479">
        <v>2</v>
      </c>
      <c r="Q1479">
        <v>7.5</v>
      </c>
      <c r="R1479">
        <v>50</v>
      </c>
      <c r="S1479">
        <v>0</v>
      </c>
      <c r="T1479">
        <v>0</v>
      </c>
      <c r="U1479" s="8">
        <v>100</v>
      </c>
      <c r="V1479" s="8">
        <f t="shared" si="47"/>
        <v>10</v>
      </c>
      <c r="W1479" t="str">
        <f>_xlfn.XLOOKUP(A1479, Matches!A:A, Matches!L:L, "NA", 0)</f>
        <v>GGTW</v>
      </c>
      <c r="X1479" t="str">
        <f>_xlfn.XLOOKUP(A1479, Matches!A:A, Matches!J:J, "NA", 0)</f>
        <v>UPW</v>
      </c>
      <c r="Y1479" t="str">
        <f>_xlfn.XLOOKUP(A1479, Matches!A:A, Matches!F:F, "NA", 0)</f>
        <v>Dr DY Patil Sports </v>
      </c>
      <c r="Z1479" cm="1">
        <f t="array" ref="Z1479">INDEX(Innings!F:F,MATCH(1,(TRIM(Innings!A:A)=TRIM(A1479))*(TRIM(Innings!D:D)=TRIM(E1479)),0))</f>
        <v>207</v>
      </c>
      <c r="AA1479" cm="1">
        <f t="array" ref="AA1479">INDEX(Innings!I:I,MATCH(1,(TRIM(Innings!A:A)=TRIM(A1479))*(TRIM(Innings!D:D)=TRIM(E1479)),0))</f>
        <v>10.35</v>
      </c>
      <c r="AB1479" cm="1">
        <f t="array" ref="AB1479">INDEX(Innings!J:J,MATCH(1,(TRIM(Innings!A:A)=TRIM(A1479))*(TRIM(Innings!D:D)=TRIM(E1479)),0))</f>
        <v>56</v>
      </c>
      <c r="AC1479" cm="1">
        <f t="array" ref="AC1479">INDEX(Innings!N:N,MATCH(1,(TRIM(Innings!A:A)=TRIM(A1479))*(TRIM(Innings!D:D)=TRIM(E1479)),0))</f>
        <v>49</v>
      </c>
      <c r="AD1479" cm="1">
        <f t="array" ref="AD1479">INDEX(Innings!S:S,MATCH(1,(TRIM(Innings!A:A)=TRIM(A1479))*(TRIM(Innings!D:D)=TRIM(E1479)),0))</f>
        <v>36</v>
      </c>
      <c r="AE1479" t="str" cm="1">
        <f t="array" ref="AE1479">INDEX(Innings!W:W,MATCH(1,(TRIM(Innings!A:A)=TRIM(A1479))*(TRIM(Innings!D:D)=TRIM(E1479)),0))</f>
        <v>NA</v>
      </c>
      <c r="AF1479">
        <f>IF(UPPER(TRIM(E1479))=UPPER(TRIM(W1479)),1,0)</f>
        <v>1</v>
      </c>
      <c r="AG1479">
        <f t="shared" si="46"/>
        <v>73</v>
      </c>
    </row>
    <row r="1480" spans="1:33" x14ac:dyDescent="0.3">
      <c r="A1480" t="s">
        <v>602</v>
      </c>
      <c r="B1480">
        <v>4</v>
      </c>
      <c r="C1480" t="s">
        <v>447</v>
      </c>
      <c r="D1480" t="s">
        <v>448</v>
      </c>
      <c r="E1480" t="s">
        <v>258</v>
      </c>
      <c r="F1480" t="s">
        <v>109</v>
      </c>
      <c r="G1480" t="s">
        <v>134</v>
      </c>
      <c r="H1480">
        <v>14</v>
      </c>
      <c r="I1480">
        <v>7</v>
      </c>
      <c r="J1480">
        <v>200</v>
      </c>
      <c r="K1480" t="s">
        <v>96</v>
      </c>
      <c r="L1480">
        <v>25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 s="8">
        <v>25</v>
      </c>
      <c r="V1480" s="8">
        <f t="shared" si="47"/>
        <v>3</v>
      </c>
      <c r="W1480" t="str">
        <f>_xlfn.XLOOKUP(A1480, Matches!A:A, Matches!L:L, "NA", 0)</f>
        <v>GGTW</v>
      </c>
      <c r="X1480" t="str">
        <f>_xlfn.XLOOKUP(A1480, Matches!A:A, Matches!J:J, "NA", 0)</f>
        <v>UPW</v>
      </c>
      <c r="Y1480" t="str">
        <f>_xlfn.XLOOKUP(A1480, Matches!A:A, Matches!F:F, "NA", 0)</f>
        <v>Dr DY Patil Sports </v>
      </c>
      <c r="Z1480" cm="1">
        <f t="array" ref="Z1480">INDEX(Innings!F:F,MATCH(1,(TRIM(Innings!A:A)=TRIM(A1480))*(TRIM(Innings!D:D)=TRIM(E1480)),0))</f>
        <v>207</v>
      </c>
      <c r="AA1480" cm="1">
        <f t="array" ref="AA1480">INDEX(Innings!I:I,MATCH(1,(TRIM(Innings!A:A)=TRIM(A1480))*(TRIM(Innings!D:D)=TRIM(E1480)),0))</f>
        <v>10.35</v>
      </c>
      <c r="AB1480" cm="1">
        <f t="array" ref="AB1480">INDEX(Innings!J:J,MATCH(1,(TRIM(Innings!A:A)=TRIM(A1480))*(TRIM(Innings!D:D)=TRIM(E1480)),0))</f>
        <v>56</v>
      </c>
      <c r="AC1480" cm="1">
        <f t="array" ref="AC1480">INDEX(Innings!N:N,MATCH(1,(TRIM(Innings!A:A)=TRIM(A1480))*(TRIM(Innings!D:D)=TRIM(E1480)),0))</f>
        <v>49</v>
      </c>
      <c r="AD1480" cm="1">
        <f t="array" ref="AD1480">INDEX(Innings!S:S,MATCH(1,(TRIM(Innings!A:A)=TRIM(A1480))*(TRIM(Innings!D:D)=TRIM(E1480)),0))</f>
        <v>36</v>
      </c>
      <c r="AE1480" t="str" cm="1">
        <f t="array" ref="AE1480">INDEX(Innings!W:W,MATCH(1,(TRIM(Innings!A:A)=TRIM(A1480))*(TRIM(Innings!D:D)=TRIM(E1480)),0))</f>
        <v>NA</v>
      </c>
      <c r="AF1480">
        <f>IF(UPPER(TRIM(E1480))=UPPER(TRIM(W1480)),1,0)</f>
        <v>1</v>
      </c>
      <c r="AG1480">
        <f t="shared" si="46"/>
        <v>33.4</v>
      </c>
    </row>
    <row r="1481" spans="1:33" x14ac:dyDescent="0.3">
      <c r="A1481" t="s">
        <v>602</v>
      </c>
      <c r="B1481">
        <v>4</v>
      </c>
      <c r="C1481" t="s">
        <v>178</v>
      </c>
      <c r="D1481" t="s">
        <v>179</v>
      </c>
      <c r="E1481" t="s">
        <v>258</v>
      </c>
      <c r="F1481" t="s">
        <v>169</v>
      </c>
      <c r="G1481" t="s">
        <v>104</v>
      </c>
      <c r="H1481">
        <v>0</v>
      </c>
      <c r="I1481">
        <v>0</v>
      </c>
      <c r="J1481">
        <v>0</v>
      </c>
      <c r="K1481" t="s">
        <v>104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 s="8">
        <v>0</v>
      </c>
      <c r="V1481" s="8">
        <f t="shared" si="47"/>
        <v>0</v>
      </c>
      <c r="W1481" t="str">
        <f>_xlfn.XLOOKUP(A1481, Matches!A:A, Matches!L:L, "NA", 0)</f>
        <v>GGTW</v>
      </c>
      <c r="X1481" t="str">
        <f>_xlfn.XLOOKUP(A1481, Matches!A:A, Matches!J:J, "NA", 0)</f>
        <v>UPW</v>
      </c>
      <c r="Y1481" t="str">
        <f>_xlfn.XLOOKUP(A1481, Matches!A:A, Matches!F:F, "NA", 0)</f>
        <v>Dr DY Patil Sports </v>
      </c>
      <c r="Z1481" cm="1">
        <f t="array" ref="Z1481">INDEX(Innings!F:F,MATCH(1,(TRIM(Innings!A:A)=TRIM(A1481))*(TRIM(Innings!D:D)=TRIM(E1481)),0))</f>
        <v>207</v>
      </c>
      <c r="AA1481" cm="1">
        <f t="array" ref="AA1481">INDEX(Innings!I:I,MATCH(1,(TRIM(Innings!A:A)=TRIM(A1481))*(TRIM(Innings!D:D)=TRIM(E1481)),0))</f>
        <v>10.35</v>
      </c>
      <c r="AB1481" cm="1">
        <f t="array" ref="AB1481">INDEX(Innings!J:J,MATCH(1,(TRIM(Innings!A:A)=TRIM(A1481))*(TRIM(Innings!D:D)=TRIM(E1481)),0))</f>
        <v>56</v>
      </c>
      <c r="AC1481" cm="1">
        <f t="array" ref="AC1481">INDEX(Innings!N:N,MATCH(1,(TRIM(Innings!A:A)=TRIM(A1481))*(TRIM(Innings!D:D)=TRIM(E1481)),0))</f>
        <v>49</v>
      </c>
      <c r="AD1481" cm="1">
        <f t="array" ref="AD1481">INDEX(Innings!S:S,MATCH(1,(TRIM(Innings!A:A)=TRIM(A1481))*(TRIM(Innings!D:D)=TRIM(E1481)),0))</f>
        <v>36</v>
      </c>
      <c r="AE1481" t="str" cm="1">
        <f t="array" ref="AE1481">INDEX(Innings!W:W,MATCH(1,(TRIM(Innings!A:A)=TRIM(A1481))*(TRIM(Innings!D:D)=TRIM(E1481)),0))</f>
        <v>NA</v>
      </c>
      <c r="AF1481">
        <f>IF(UPPER(TRIM(E1481))=UPPER(TRIM(W1481)),1,0)</f>
        <v>1</v>
      </c>
      <c r="AG1481">
        <f t="shared" si="46"/>
        <v>20</v>
      </c>
    </row>
    <row r="1482" spans="1:33" x14ac:dyDescent="0.3">
      <c r="A1482" t="s">
        <v>602</v>
      </c>
      <c r="B1482">
        <v>4</v>
      </c>
      <c r="C1482" t="s">
        <v>493</v>
      </c>
      <c r="D1482" t="s">
        <v>500</v>
      </c>
      <c r="E1482" t="s">
        <v>258</v>
      </c>
      <c r="F1482" t="s">
        <v>169</v>
      </c>
      <c r="G1482" t="s">
        <v>104</v>
      </c>
      <c r="H1482">
        <v>0</v>
      </c>
      <c r="I1482">
        <v>0</v>
      </c>
      <c r="J1482">
        <v>0</v>
      </c>
      <c r="K1482" t="s">
        <v>104</v>
      </c>
      <c r="L1482">
        <v>0</v>
      </c>
      <c r="M1482">
        <v>4</v>
      </c>
      <c r="N1482">
        <v>0</v>
      </c>
      <c r="O1482">
        <v>38</v>
      </c>
      <c r="P1482">
        <v>0</v>
      </c>
      <c r="Q1482">
        <v>9.5</v>
      </c>
      <c r="R1482">
        <v>0</v>
      </c>
      <c r="S1482">
        <v>0</v>
      </c>
      <c r="T1482">
        <v>0</v>
      </c>
      <c r="U1482" s="8">
        <v>0</v>
      </c>
      <c r="V1482" s="8">
        <f t="shared" si="47"/>
        <v>0</v>
      </c>
      <c r="W1482" t="str">
        <f>_xlfn.XLOOKUP(A1482, Matches!A:A, Matches!L:L, "NA", 0)</f>
        <v>GGTW</v>
      </c>
      <c r="X1482" t="str">
        <f>_xlfn.XLOOKUP(A1482, Matches!A:A, Matches!J:J, "NA", 0)</f>
        <v>UPW</v>
      </c>
      <c r="Y1482" t="str">
        <f>_xlfn.XLOOKUP(A1482, Matches!A:A, Matches!F:F, "NA", 0)</f>
        <v>Dr DY Patil Sports </v>
      </c>
      <c r="Z1482" cm="1">
        <f t="array" ref="Z1482">INDEX(Innings!F:F,MATCH(1,(TRIM(Innings!A:A)=TRIM(A1482))*(TRIM(Innings!D:D)=TRIM(E1482)),0))</f>
        <v>207</v>
      </c>
      <c r="AA1482" cm="1">
        <f t="array" ref="AA1482">INDEX(Innings!I:I,MATCH(1,(TRIM(Innings!A:A)=TRIM(A1482))*(TRIM(Innings!D:D)=TRIM(E1482)),0))</f>
        <v>10.35</v>
      </c>
      <c r="AB1482" cm="1">
        <f t="array" ref="AB1482">INDEX(Innings!J:J,MATCH(1,(TRIM(Innings!A:A)=TRIM(A1482))*(TRIM(Innings!D:D)=TRIM(E1482)),0))</f>
        <v>56</v>
      </c>
      <c r="AC1482" cm="1">
        <f t="array" ref="AC1482">INDEX(Innings!N:N,MATCH(1,(TRIM(Innings!A:A)=TRIM(A1482))*(TRIM(Innings!D:D)=TRIM(E1482)),0))</f>
        <v>49</v>
      </c>
      <c r="AD1482" cm="1">
        <f t="array" ref="AD1482">INDEX(Innings!S:S,MATCH(1,(TRIM(Innings!A:A)=TRIM(A1482))*(TRIM(Innings!D:D)=TRIM(E1482)),0))</f>
        <v>36</v>
      </c>
      <c r="AE1482" t="str" cm="1">
        <f t="array" ref="AE1482">INDEX(Innings!W:W,MATCH(1,(TRIM(Innings!A:A)=TRIM(A1482))*(TRIM(Innings!D:D)=TRIM(E1482)),0))</f>
        <v>NA</v>
      </c>
      <c r="AF1482">
        <f>IF(UPPER(TRIM(E1482))=UPPER(TRIM(W1482)),1,0)</f>
        <v>1</v>
      </c>
      <c r="AG1482">
        <f t="shared" si="46"/>
        <v>20</v>
      </c>
    </row>
    <row r="1483" spans="1:33" x14ac:dyDescent="0.3">
      <c r="A1483" t="s">
        <v>602</v>
      </c>
      <c r="B1483">
        <v>4</v>
      </c>
      <c r="C1483" t="s">
        <v>105</v>
      </c>
      <c r="D1483" t="s">
        <v>128</v>
      </c>
      <c r="E1483" t="s">
        <v>258</v>
      </c>
      <c r="F1483" t="s">
        <v>101</v>
      </c>
      <c r="G1483" t="s">
        <v>104</v>
      </c>
      <c r="H1483">
        <v>0</v>
      </c>
      <c r="I1483">
        <v>0</v>
      </c>
      <c r="J1483">
        <v>0</v>
      </c>
      <c r="K1483" t="s">
        <v>104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 s="8">
        <v>0</v>
      </c>
      <c r="V1483" s="8">
        <f t="shared" si="47"/>
        <v>0</v>
      </c>
      <c r="W1483" t="str">
        <f>_xlfn.XLOOKUP(A1483, Matches!A:A, Matches!L:L, "NA", 0)</f>
        <v>GGTW</v>
      </c>
      <c r="X1483" t="str">
        <f>_xlfn.XLOOKUP(A1483, Matches!A:A, Matches!J:J, "NA", 0)</f>
        <v>UPW</v>
      </c>
      <c r="Y1483" t="str">
        <f>_xlfn.XLOOKUP(A1483, Matches!A:A, Matches!F:F, "NA", 0)</f>
        <v>Dr DY Patil Sports </v>
      </c>
      <c r="Z1483" cm="1">
        <f t="array" ref="Z1483">INDEX(Innings!F:F,MATCH(1,(TRIM(Innings!A:A)=TRIM(A1483))*(TRIM(Innings!D:D)=TRIM(E1483)),0))</f>
        <v>207</v>
      </c>
      <c r="AA1483" cm="1">
        <f t="array" ref="AA1483">INDEX(Innings!I:I,MATCH(1,(TRIM(Innings!A:A)=TRIM(A1483))*(TRIM(Innings!D:D)=TRIM(E1483)),0))</f>
        <v>10.35</v>
      </c>
      <c r="AB1483" cm="1">
        <f t="array" ref="AB1483">INDEX(Innings!J:J,MATCH(1,(TRIM(Innings!A:A)=TRIM(A1483))*(TRIM(Innings!D:D)=TRIM(E1483)),0))</f>
        <v>56</v>
      </c>
      <c r="AC1483" cm="1">
        <f t="array" ref="AC1483">INDEX(Innings!N:N,MATCH(1,(TRIM(Innings!A:A)=TRIM(A1483))*(TRIM(Innings!D:D)=TRIM(E1483)),0))</f>
        <v>49</v>
      </c>
      <c r="AD1483" cm="1">
        <f t="array" ref="AD1483">INDEX(Innings!S:S,MATCH(1,(TRIM(Innings!A:A)=TRIM(A1483))*(TRIM(Innings!D:D)=TRIM(E1483)),0))</f>
        <v>36</v>
      </c>
      <c r="AE1483" t="str" cm="1">
        <f t="array" ref="AE1483">INDEX(Innings!W:W,MATCH(1,(TRIM(Innings!A:A)=TRIM(A1483))*(TRIM(Innings!D:D)=TRIM(E1483)),0))</f>
        <v>NA</v>
      </c>
      <c r="AF1483">
        <f>IF(UPPER(TRIM(E1483))=UPPER(TRIM(W1483)),1,0)</f>
        <v>1</v>
      </c>
      <c r="AG1483">
        <f t="shared" si="46"/>
        <v>20</v>
      </c>
    </row>
    <row r="1484" spans="1:33" x14ac:dyDescent="0.3">
      <c r="A1484" t="s">
        <v>602</v>
      </c>
      <c r="B1484">
        <v>4</v>
      </c>
      <c r="C1484" t="s">
        <v>237</v>
      </c>
      <c r="D1484" t="s">
        <v>238</v>
      </c>
      <c r="E1484" t="s">
        <v>258</v>
      </c>
      <c r="F1484" t="s">
        <v>101</v>
      </c>
      <c r="G1484" t="s">
        <v>104</v>
      </c>
      <c r="H1484">
        <v>0</v>
      </c>
      <c r="I1484">
        <v>0</v>
      </c>
      <c r="J1484">
        <v>0</v>
      </c>
      <c r="K1484" t="s">
        <v>104</v>
      </c>
      <c r="L1484">
        <v>0</v>
      </c>
      <c r="M1484">
        <v>1</v>
      </c>
      <c r="N1484">
        <v>0</v>
      </c>
      <c r="O1484">
        <v>7</v>
      </c>
      <c r="P1484">
        <v>1</v>
      </c>
      <c r="Q1484">
        <v>7</v>
      </c>
      <c r="R1484">
        <v>35</v>
      </c>
      <c r="S1484">
        <v>0</v>
      </c>
      <c r="T1484">
        <v>0</v>
      </c>
      <c r="U1484" s="8">
        <v>35</v>
      </c>
      <c r="V1484" s="8">
        <f t="shared" si="47"/>
        <v>4</v>
      </c>
      <c r="W1484" t="str">
        <f>_xlfn.XLOOKUP(A1484, Matches!A:A, Matches!L:L, "NA", 0)</f>
        <v>GGTW</v>
      </c>
      <c r="X1484" t="str">
        <f>_xlfn.XLOOKUP(A1484, Matches!A:A, Matches!J:J, "NA", 0)</f>
        <v>UPW</v>
      </c>
      <c r="Y1484" t="str">
        <f>_xlfn.XLOOKUP(A1484, Matches!A:A, Matches!F:F, "NA", 0)</f>
        <v>Dr DY Patil Sports </v>
      </c>
      <c r="Z1484" cm="1">
        <f t="array" ref="Z1484">INDEX(Innings!F:F,MATCH(1,(TRIM(Innings!A:A)=TRIM(A1484))*(TRIM(Innings!D:D)=TRIM(E1484)),0))</f>
        <v>207</v>
      </c>
      <c r="AA1484" cm="1">
        <f t="array" ref="AA1484">INDEX(Innings!I:I,MATCH(1,(TRIM(Innings!A:A)=TRIM(A1484))*(TRIM(Innings!D:D)=TRIM(E1484)),0))</f>
        <v>10.35</v>
      </c>
      <c r="AB1484" cm="1">
        <f t="array" ref="AB1484">INDEX(Innings!J:J,MATCH(1,(TRIM(Innings!A:A)=TRIM(A1484))*(TRIM(Innings!D:D)=TRIM(E1484)),0))</f>
        <v>56</v>
      </c>
      <c r="AC1484" cm="1">
        <f t="array" ref="AC1484">INDEX(Innings!N:N,MATCH(1,(TRIM(Innings!A:A)=TRIM(A1484))*(TRIM(Innings!D:D)=TRIM(E1484)),0))</f>
        <v>49</v>
      </c>
      <c r="AD1484" cm="1">
        <f t="array" ref="AD1484">INDEX(Innings!S:S,MATCH(1,(TRIM(Innings!A:A)=TRIM(A1484))*(TRIM(Innings!D:D)=TRIM(E1484)),0))</f>
        <v>36</v>
      </c>
      <c r="AE1484" t="str" cm="1">
        <f t="array" ref="AE1484">INDEX(Innings!W:W,MATCH(1,(TRIM(Innings!A:A)=TRIM(A1484))*(TRIM(Innings!D:D)=TRIM(E1484)),0))</f>
        <v>NA</v>
      </c>
      <c r="AF1484">
        <f>IF(UPPER(TRIM(E1484))=UPPER(TRIM(W1484)),1,0)</f>
        <v>1</v>
      </c>
      <c r="AG1484">
        <f t="shared" si="46"/>
        <v>38.700000000000003</v>
      </c>
    </row>
    <row r="1485" spans="1:33" x14ac:dyDescent="0.3">
      <c r="A1485" t="s">
        <v>602</v>
      </c>
      <c r="B1485">
        <v>4</v>
      </c>
      <c r="C1485" t="s">
        <v>186</v>
      </c>
      <c r="D1485" t="s">
        <v>187</v>
      </c>
      <c r="E1485" t="s">
        <v>258</v>
      </c>
      <c r="F1485" t="s">
        <v>101</v>
      </c>
      <c r="G1485" t="s">
        <v>104</v>
      </c>
      <c r="H1485">
        <v>0</v>
      </c>
      <c r="I1485">
        <v>0</v>
      </c>
      <c r="J1485">
        <v>0</v>
      </c>
      <c r="K1485" t="s">
        <v>104</v>
      </c>
      <c r="L1485">
        <v>0</v>
      </c>
      <c r="M1485">
        <v>4</v>
      </c>
      <c r="N1485">
        <v>0</v>
      </c>
      <c r="O1485">
        <v>25</v>
      </c>
      <c r="P1485">
        <v>2</v>
      </c>
      <c r="Q1485">
        <v>6.2</v>
      </c>
      <c r="R1485">
        <v>50</v>
      </c>
      <c r="S1485">
        <v>0</v>
      </c>
      <c r="T1485">
        <v>0</v>
      </c>
      <c r="U1485" s="8">
        <v>50</v>
      </c>
      <c r="V1485" s="8">
        <f t="shared" si="47"/>
        <v>5</v>
      </c>
      <c r="W1485" t="str">
        <f>_xlfn.XLOOKUP(A1485, Matches!A:A, Matches!L:L, "NA", 0)</f>
        <v>GGTW</v>
      </c>
      <c r="X1485" t="str">
        <f>_xlfn.XLOOKUP(A1485, Matches!A:A, Matches!J:J, "NA", 0)</f>
        <v>UPW</v>
      </c>
      <c r="Y1485" t="str">
        <f>_xlfn.XLOOKUP(A1485, Matches!A:A, Matches!F:F, "NA", 0)</f>
        <v>Dr DY Patil Sports </v>
      </c>
      <c r="Z1485" cm="1">
        <f t="array" ref="Z1485">INDEX(Innings!F:F,MATCH(1,(TRIM(Innings!A:A)=TRIM(A1485))*(TRIM(Innings!D:D)=TRIM(E1485)),0))</f>
        <v>207</v>
      </c>
      <c r="AA1485" cm="1">
        <f t="array" ref="AA1485">INDEX(Innings!I:I,MATCH(1,(TRIM(Innings!A:A)=TRIM(A1485))*(TRIM(Innings!D:D)=TRIM(E1485)),0))</f>
        <v>10.35</v>
      </c>
      <c r="AB1485" cm="1">
        <f t="array" ref="AB1485">INDEX(Innings!J:J,MATCH(1,(TRIM(Innings!A:A)=TRIM(A1485))*(TRIM(Innings!D:D)=TRIM(E1485)),0))</f>
        <v>56</v>
      </c>
      <c r="AC1485" cm="1">
        <f t="array" ref="AC1485">INDEX(Innings!N:N,MATCH(1,(TRIM(Innings!A:A)=TRIM(A1485))*(TRIM(Innings!D:D)=TRIM(E1485)),0))</f>
        <v>49</v>
      </c>
      <c r="AD1485" cm="1">
        <f t="array" ref="AD1485">INDEX(Innings!S:S,MATCH(1,(TRIM(Innings!A:A)=TRIM(A1485))*(TRIM(Innings!D:D)=TRIM(E1485)),0))</f>
        <v>36</v>
      </c>
      <c r="AE1485" t="str" cm="1">
        <f t="array" ref="AE1485">INDEX(Innings!W:W,MATCH(1,(TRIM(Innings!A:A)=TRIM(A1485))*(TRIM(Innings!D:D)=TRIM(E1485)),0))</f>
        <v>NA</v>
      </c>
      <c r="AF1485">
        <f>IF(UPPER(TRIM(E1485))=UPPER(TRIM(W1485)),1,0)</f>
        <v>1</v>
      </c>
      <c r="AG1485">
        <f t="shared" si="46"/>
        <v>46.5</v>
      </c>
    </row>
    <row r="1486" spans="1:33" x14ac:dyDescent="0.3">
      <c r="A1486" t="s">
        <v>602</v>
      </c>
      <c r="B1486">
        <v>4</v>
      </c>
      <c r="C1486" t="s">
        <v>229</v>
      </c>
      <c r="D1486" t="s">
        <v>230</v>
      </c>
      <c r="E1486" t="s">
        <v>219</v>
      </c>
      <c r="F1486" t="s">
        <v>109</v>
      </c>
      <c r="G1486" t="s">
        <v>86</v>
      </c>
      <c r="H1486">
        <v>1</v>
      </c>
      <c r="I1486">
        <v>4</v>
      </c>
      <c r="J1486">
        <v>25</v>
      </c>
      <c r="K1486" t="s">
        <v>245</v>
      </c>
      <c r="L1486">
        <v>-5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 s="8">
        <v>-5</v>
      </c>
      <c r="V1486" s="8">
        <f t="shared" si="47"/>
        <v>0</v>
      </c>
      <c r="W1486" t="str">
        <f>_xlfn.XLOOKUP(A1486, Matches!A:A, Matches!L:L, "NA", 0)</f>
        <v>GGTW</v>
      </c>
      <c r="X1486" t="str">
        <f>_xlfn.XLOOKUP(A1486, Matches!A:A, Matches!J:J, "NA", 0)</f>
        <v>UPW</v>
      </c>
      <c r="Y1486" t="str">
        <f>_xlfn.XLOOKUP(A1486, Matches!A:A, Matches!F:F, "NA", 0)</f>
        <v>Dr DY Patil Sports </v>
      </c>
      <c r="Z1486" cm="1">
        <f t="array" ref="Z1486">INDEX(Innings!F:F,MATCH(1,(TRIM(Innings!A:A)=TRIM(A1486))*(TRIM(Innings!D:D)=TRIM(E1486)),0))</f>
        <v>197</v>
      </c>
      <c r="AA1486" cm="1">
        <f t="array" ref="AA1486">INDEX(Innings!I:I,MATCH(1,(TRIM(Innings!A:A)=TRIM(A1486))*(TRIM(Innings!D:D)=TRIM(E1486)),0))</f>
        <v>9.85</v>
      </c>
      <c r="AB1486" cm="1">
        <f t="array" ref="AB1486">INDEX(Innings!J:J,MATCH(1,(TRIM(Innings!A:A)=TRIM(A1486))*(TRIM(Innings!D:D)=TRIM(E1486)),0))</f>
        <v>46</v>
      </c>
      <c r="AC1486" cm="1">
        <f t="array" ref="AC1486">INDEX(Innings!N:N,MATCH(1,(TRIM(Innings!A:A)=TRIM(A1486))*(TRIM(Innings!D:D)=TRIM(E1486)),0))</f>
        <v>42</v>
      </c>
      <c r="AD1486" cm="1">
        <f t="array" ref="AD1486">INDEX(Innings!S:S,MATCH(1,(TRIM(Innings!A:A)=TRIM(A1486))*(TRIM(Innings!D:D)=TRIM(E1486)),0))</f>
        <v>49</v>
      </c>
      <c r="AE1486" t="str" cm="1">
        <f t="array" ref="AE1486">INDEX(Innings!W:W,MATCH(1,(TRIM(Innings!A:A)=TRIM(A1486))*(TRIM(Innings!D:D)=TRIM(E1486)),0))</f>
        <v>Failed</v>
      </c>
      <c r="AF1486">
        <f>IF(UPPER(TRIM(E1486))=UPPER(TRIM(W1486)),1,0)</f>
        <v>0</v>
      </c>
      <c r="AG1486">
        <f t="shared" si="46"/>
        <v>0</v>
      </c>
    </row>
    <row r="1487" spans="1:33" x14ac:dyDescent="0.3">
      <c r="A1487" t="s">
        <v>602</v>
      </c>
      <c r="B1487">
        <v>4</v>
      </c>
      <c r="C1487" t="s">
        <v>190</v>
      </c>
      <c r="D1487" t="s">
        <v>191</v>
      </c>
      <c r="E1487" t="s">
        <v>219</v>
      </c>
      <c r="F1487" t="s">
        <v>109</v>
      </c>
      <c r="G1487" t="s">
        <v>86</v>
      </c>
      <c r="H1487">
        <v>30</v>
      </c>
      <c r="I1487">
        <v>27</v>
      </c>
      <c r="J1487">
        <v>111.11</v>
      </c>
      <c r="K1487" t="s">
        <v>247</v>
      </c>
      <c r="L1487">
        <v>30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 s="8">
        <v>30</v>
      </c>
      <c r="V1487" s="8">
        <f t="shared" si="47"/>
        <v>3</v>
      </c>
      <c r="W1487" t="str">
        <f>_xlfn.XLOOKUP(A1487, Matches!A:A, Matches!L:L, "NA", 0)</f>
        <v>GGTW</v>
      </c>
      <c r="X1487" t="str">
        <f>_xlfn.XLOOKUP(A1487, Matches!A:A, Matches!J:J, "NA", 0)</f>
        <v>UPW</v>
      </c>
      <c r="Y1487" t="str">
        <f>_xlfn.XLOOKUP(A1487, Matches!A:A, Matches!F:F, "NA", 0)</f>
        <v>Dr DY Patil Sports </v>
      </c>
      <c r="Z1487" cm="1">
        <f t="array" ref="Z1487">INDEX(Innings!F:F,MATCH(1,(TRIM(Innings!A:A)=TRIM(A1487))*(TRIM(Innings!D:D)=TRIM(E1487)),0))</f>
        <v>197</v>
      </c>
      <c r="AA1487" cm="1">
        <f t="array" ref="AA1487">INDEX(Innings!I:I,MATCH(1,(TRIM(Innings!A:A)=TRIM(A1487))*(TRIM(Innings!D:D)=TRIM(E1487)),0))</f>
        <v>9.85</v>
      </c>
      <c r="AB1487" cm="1">
        <f t="array" ref="AB1487">INDEX(Innings!J:J,MATCH(1,(TRIM(Innings!A:A)=TRIM(A1487))*(TRIM(Innings!D:D)=TRIM(E1487)),0))</f>
        <v>46</v>
      </c>
      <c r="AC1487" cm="1">
        <f t="array" ref="AC1487">INDEX(Innings!N:N,MATCH(1,(TRIM(Innings!A:A)=TRIM(A1487))*(TRIM(Innings!D:D)=TRIM(E1487)),0))</f>
        <v>42</v>
      </c>
      <c r="AD1487" cm="1">
        <f t="array" ref="AD1487">INDEX(Innings!S:S,MATCH(1,(TRIM(Innings!A:A)=TRIM(A1487))*(TRIM(Innings!D:D)=TRIM(E1487)),0))</f>
        <v>49</v>
      </c>
      <c r="AE1487" t="str" cm="1">
        <f t="array" ref="AE1487">INDEX(Innings!W:W,MATCH(1,(TRIM(Innings!A:A)=TRIM(A1487))*(TRIM(Innings!D:D)=TRIM(E1487)),0))</f>
        <v>Failed</v>
      </c>
      <c r="AF1487">
        <f>IF(UPPER(TRIM(E1487))=UPPER(TRIM(W1487)),1,0)</f>
        <v>0</v>
      </c>
      <c r="AG1487">
        <f t="shared" si="46"/>
        <v>15.9</v>
      </c>
    </row>
    <row r="1488" spans="1:33" x14ac:dyDescent="0.3">
      <c r="A1488" t="s">
        <v>602</v>
      </c>
      <c r="B1488">
        <v>4</v>
      </c>
      <c r="C1488" t="s">
        <v>383</v>
      </c>
      <c r="D1488" t="s">
        <v>384</v>
      </c>
      <c r="E1488" t="s">
        <v>219</v>
      </c>
      <c r="F1488" t="s">
        <v>109</v>
      </c>
      <c r="G1488" t="s">
        <v>92</v>
      </c>
      <c r="H1488">
        <v>78</v>
      </c>
      <c r="I1488">
        <v>40</v>
      </c>
      <c r="J1488">
        <v>195</v>
      </c>
      <c r="K1488" t="s">
        <v>246</v>
      </c>
      <c r="L1488">
        <v>105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 s="8">
        <v>105</v>
      </c>
      <c r="V1488" s="8">
        <f t="shared" si="47"/>
        <v>10</v>
      </c>
      <c r="W1488" t="str">
        <f>_xlfn.XLOOKUP(A1488, Matches!A:A, Matches!L:L, "NA", 0)</f>
        <v>GGTW</v>
      </c>
      <c r="X1488" t="str">
        <f>_xlfn.XLOOKUP(A1488, Matches!A:A, Matches!J:J, "NA", 0)</f>
        <v>UPW</v>
      </c>
      <c r="Y1488" t="str">
        <f>_xlfn.XLOOKUP(A1488, Matches!A:A, Matches!F:F, "NA", 0)</f>
        <v>Dr DY Patil Sports </v>
      </c>
      <c r="Z1488" cm="1">
        <f t="array" ref="Z1488">INDEX(Innings!F:F,MATCH(1,(TRIM(Innings!A:A)=TRIM(A1488))*(TRIM(Innings!D:D)=TRIM(E1488)),0))</f>
        <v>197</v>
      </c>
      <c r="AA1488" cm="1">
        <f t="array" ref="AA1488">INDEX(Innings!I:I,MATCH(1,(TRIM(Innings!A:A)=TRIM(A1488))*(TRIM(Innings!D:D)=TRIM(E1488)),0))</f>
        <v>9.85</v>
      </c>
      <c r="AB1488" cm="1">
        <f t="array" ref="AB1488">INDEX(Innings!J:J,MATCH(1,(TRIM(Innings!A:A)=TRIM(A1488))*(TRIM(Innings!D:D)=TRIM(E1488)),0))</f>
        <v>46</v>
      </c>
      <c r="AC1488" cm="1">
        <f t="array" ref="AC1488">INDEX(Innings!N:N,MATCH(1,(TRIM(Innings!A:A)=TRIM(A1488))*(TRIM(Innings!D:D)=TRIM(E1488)),0))</f>
        <v>42</v>
      </c>
      <c r="AD1488" cm="1">
        <f t="array" ref="AD1488">INDEX(Innings!S:S,MATCH(1,(TRIM(Innings!A:A)=TRIM(A1488))*(TRIM(Innings!D:D)=TRIM(E1488)),0))</f>
        <v>49</v>
      </c>
      <c r="AE1488" t="str" cm="1">
        <f t="array" ref="AE1488">INDEX(Innings!W:W,MATCH(1,(TRIM(Innings!A:A)=TRIM(A1488))*(TRIM(Innings!D:D)=TRIM(E1488)),0))</f>
        <v>Failed</v>
      </c>
      <c r="AF1488">
        <f>IF(UPPER(TRIM(E1488))=UPPER(TRIM(W1488)),1,0)</f>
        <v>0</v>
      </c>
      <c r="AG1488">
        <f t="shared" si="46"/>
        <v>55.5</v>
      </c>
    </row>
    <row r="1489" spans="1:33" x14ac:dyDescent="0.3">
      <c r="A1489" t="s">
        <v>602</v>
      </c>
      <c r="B1489">
        <v>4</v>
      </c>
      <c r="C1489" t="s">
        <v>89</v>
      </c>
      <c r="D1489" t="s">
        <v>116</v>
      </c>
      <c r="E1489" t="s">
        <v>219</v>
      </c>
      <c r="F1489" t="s">
        <v>169</v>
      </c>
      <c r="G1489" t="s">
        <v>92</v>
      </c>
      <c r="H1489">
        <v>0</v>
      </c>
      <c r="I1489">
        <v>2</v>
      </c>
      <c r="J1489">
        <v>0</v>
      </c>
      <c r="K1489" t="s">
        <v>246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 s="8">
        <v>0</v>
      </c>
      <c r="V1489" s="8">
        <f t="shared" si="47"/>
        <v>0</v>
      </c>
      <c r="W1489" t="str">
        <f>_xlfn.XLOOKUP(A1489, Matches!A:A, Matches!L:L, "NA", 0)</f>
        <v>GGTW</v>
      </c>
      <c r="X1489" t="str">
        <f>_xlfn.XLOOKUP(A1489, Matches!A:A, Matches!J:J, "NA", 0)</f>
        <v>UPW</v>
      </c>
      <c r="Y1489" t="str">
        <f>_xlfn.XLOOKUP(A1489, Matches!A:A, Matches!F:F, "NA", 0)</f>
        <v>Dr DY Patil Sports </v>
      </c>
      <c r="Z1489" cm="1">
        <f t="array" ref="Z1489">INDEX(Innings!F:F,MATCH(1,(TRIM(Innings!A:A)=TRIM(A1489))*(TRIM(Innings!D:D)=TRIM(E1489)),0))</f>
        <v>197</v>
      </c>
      <c r="AA1489" cm="1">
        <f t="array" ref="AA1489">INDEX(Innings!I:I,MATCH(1,(TRIM(Innings!A:A)=TRIM(A1489))*(TRIM(Innings!D:D)=TRIM(E1489)),0))</f>
        <v>9.85</v>
      </c>
      <c r="AB1489" cm="1">
        <f t="array" ref="AB1489">INDEX(Innings!J:J,MATCH(1,(TRIM(Innings!A:A)=TRIM(A1489))*(TRIM(Innings!D:D)=TRIM(E1489)),0))</f>
        <v>46</v>
      </c>
      <c r="AC1489" cm="1">
        <f t="array" ref="AC1489">INDEX(Innings!N:N,MATCH(1,(TRIM(Innings!A:A)=TRIM(A1489))*(TRIM(Innings!D:D)=TRIM(E1489)),0))</f>
        <v>42</v>
      </c>
      <c r="AD1489" cm="1">
        <f t="array" ref="AD1489">INDEX(Innings!S:S,MATCH(1,(TRIM(Innings!A:A)=TRIM(A1489))*(TRIM(Innings!D:D)=TRIM(E1489)),0))</f>
        <v>49</v>
      </c>
      <c r="AE1489" t="str" cm="1">
        <f t="array" ref="AE1489">INDEX(Innings!W:W,MATCH(1,(TRIM(Innings!A:A)=TRIM(A1489))*(TRIM(Innings!D:D)=TRIM(E1489)),0))</f>
        <v>Failed</v>
      </c>
      <c r="AF1489">
        <f>IF(UPPER(TRIM(E1489))=UPPER(TRIM(W1489)),1,0)</f>
        <v>0</v>
      </c>
      <c r="AG1489">
        <f t="shared" si="46"/>
        <v>0</v>
      </c>
    </row>
    <row r="1490" spans="1:33" x14ac:dyDescent="0.3">
      <c r="A1490" t="s">
        <v>602</v>
      </c>
      <c r="B1490">
        <v>4</v>
      </c>
      <c r="C1490" t="s">
        <v>224</v>
      </c>
      <c r="D1490" t="s">
        <v>225</v>
      </c>
      <c r="E1490" t="s">
        <v>219</v>
      </c>
      <c r="F1490" t="s">
        <v>169</v>
      </c>
      <c r="G1490" t="s">
        <v>134</v>
      </c>
      <c r="H1490">
        <v>1</v>
      </c>
      <c r="I1490">
        <v>2</v>
      </c>
      <c r="J1490">
        <v>50</v>
      </c>
      <c r="K1490" t="s">
        <v>246</v>
      </c>
      <c r="L1490">
        <v>-5</v>
      </c>
      <c r="M1490">
        <v>3</v>
      </c>
      <c r="N1490">
        <v>0</v>
      </c>
      <c r="O1490">
        <v>32</v>
      </c>
      <c r="P1490">
        <v>0</v>
      </c>
      <c r="Q1490">
        <v>10.7</v>
      </c>
      <c r="R1490">
        <v>-10</v>
      </c>
      <c r="S1490">
        <v>0</v>
      </c>
      <c r="T1490">
        <v>0</v>
      </c>
      <c r="U1490" s="8">
        <v>-15</v>
      </c>
      <c r="V1490" s="8">
        <f t="shared" si="47"/>
        <v>0</v>
      </c>
      <c r="W1490" t="str">
        <f>_xlfn.XLOOKUP(A1490, Matches!A:A, Matches!L:L, "NA", 0)</f>
        <v>GGTW</v>
      </c>
      <c r="X1490" t="str">
        <f>_xlfn.XLOOKUP(A1490, Matches!A:A, Matches!J:J, "NA", 0)</f>
        <v>UPW</v>
      </c>
      <c r="Y1490" t="str">
        <f>_xlfn.XLOOKUP(A1490, Matches!A:A, Matches!F:F, "NA", 0)</f>
        <v>Dr DY Patil Sports </v>
      </c>
      <c r="Z1490" cm="1">
        <f t="array" ref="Z1490">INDEX(Innings!F:F,MATCH(1,(TRIM(Innings!A:A)=TRIM(A1490))*(TRIM(Innings!D:D)=TRIM(E1490)),0))</f>
        <v>197</v>
      </c>
      <c r="AA1490" cm="1">
        <f t="array" ref="AA1490">INDEX(Innings!I:I,MATCH(1,(TRIM(Innings!A:A)=TRIM(A1490))*(TRIM(Innings!D:D)=TRIM(E1490)),0))</f>
        <v>9.85</v>
      </c>
      <c r="AB1490" cm="1">
        <f t="array" ref="AB1490">INDEX(Innings!J:J,MATCH(1,(TRIM(Innings!A:A)=TRIM(A1490))*(TRIM(Innings!D:D)=TRIM(E1490)),0))</f>
        <v>46</v>
      </c>
      <c r="AC1490" cm="1">
        <f t="array" ref="AC1490">INDEX(Innings!N:N,MATCH(1,(TRIM(Innings!A:A)=TRIM(A1490))*(TRIM(Innings!D:D)=TRIM(E1490)),0))</f>
        <v>42</v>
      </c>
      <c r="AD1490" cm="1">
        <f t="array" ref="AD1490">INDEX(Innings!S:S,MATCH(1,(TRIM(Innings!A:A)=TRIM(A1490))*(TRIM(Innings!D:D)=TRIM(E1490)),0))</f>
        <v>49</v>
      </c>
      <c r="AE1490" t="str" cm="1">
        <f t="array" ref="AE1490">INDEX(Innings!W:W,MATCH(1,(TRIM(Innings!A:A)=TRIM(A1490))*(TRIM(Innings!D:D)=TRIM(E1490)),0))</f>
        <v>Failed</v>
      </c>
      <c r="AF1490">
        <f>IF(UPPER(TRIM(E1490))=UPPER(TRIM(W1490)),1,0)</f>
        <v>0</v>
      </c>
      <c r="AG1490">
        <f t="shared" si="46"/>
        <v>0</v>
      </c>
    </row>
    <row r="1491" spans="1:33" x14ac:dyDescent="0.3">
      <c r="A1491" t="s">
        <v>602</v>
      </c>
      <c r="B1491">
        <v>4</v>
      </c>
      <c r="C1491" t="s">
        <v>220</v>
      </c>
      <c r="D1491" t="s">
        <v>221</v>
      </c>
      <c r="E1491" t="s">
        <v>219</v>
      </c>
      <c r="F1491" t="s">
        <v>85</v>
      </c>
      <c r="G1491" t="s">
        <v>134</v>
      </c>
      <c r="H1491">
        <v>25</v>
      </c>
      <c r="I1491">
        <v>17</v>
      </c>
      <c r="J1491">
        <v>147.06</v>
      </c>
      <c r="K1491" t="s">
        <v>245</v>
      </c>
      <c r="L1491">
        <v>35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 s="8">
        <v>35</v>
      </c>
      <c r="V1491" s="8">
        <f t="shared" si="47"/>
        <v>4</v>
      </c>
      <c r="W1491" t="str">
        <f>_xlfn.XLOOKUP(A1491, Matches!A:A, Matches!L:L, "NA", 0)</f>
        <v>GGTW</v>
      </c>
      <c r="X1491" t="str">
        <f>_xlfn.XLOOKUP(A1491, Matches!A:A, Matches!J:J, "NA", 0)</f>
        <v>UPW</v>
      </c>
      <c r="Y1491" t="str">
        <f>_xlfn.XLOOKUP(A1491, Matches!A:A, Matches!F:F, "NA", 0)</f>
        <v>Dr DY Patil Sports </v>
      </c>
      <c r="Z1491" cm="1">
        <f t="array" ref="Z1491">INDEX(Innings!F:F,MATCH(1,(TRIM(Innings!A:A)=TRIM(A1491))*(TRIM(Innings!D:D)=TRIM(E1491)),0))</f>
        <v>197</v>
      </c>
      <c r="AA1491" cm="1">
        <f t="array" ref="AA1491">INDEX(Innings!I:I,MATCH(1,(TRIM(Innings!A:A)=TRIM(A1491))*(TRIM(Innings!D:D)=TRIM(E1491)),0))</f>
        <v>9.85</v>
      </c>
      <c r="AB1491" cm="1">
        <f t="array" ref="AB1491">INDEX(Innings!J:J,MATCH(1,(TRIM(Innings!A:A)=TRIM(A1491))*(TRIM(Innings!D:D)=TRIM(E1491)),0))</f>
        <v>46</v>
      </c>
      <c r="AC1491" cm="1">
        <f t="array" ref="AC1491">INDEX(Innings!N:N,MATCH(1,(TRIM(Innings!A:A)=TRIM(A1491))*(TRIM(Innings!D:D)=TRIM(E1491)),0))</f>
        <v>42</v>
      </c>
      <c r="AD1491" cm="1">
        <f t="array" ref="AD1491">INDEX(Innings!S:S,MATCH(1,(TRIM(Innings!A:A)=TRIM(A1491))*(TRIM(Innings!D:D)=TRIM(E1491)),0))</f>
        <v>49</v>
      </c>
      <c r="AE1491" t="str" cm="1">
        <f t="array" ref="AE1491">INDEX(Innings!W:W,MATCH(1,(TRIM(Innings!A:A)=TRIM(A1491))*(TRIM(Innings!D:D)=TRIM(E1491)),0))</f>
        <v>Failed</v>
      </c>
      <c r="AF1491">
        <f>IF(UPPER(TRIM(E1491))=UPPER(TRIM(W1491)),1,0)</f>
        <v>0</v>
      </c>
      <c r="AG1491">
        <f t="shared" si="46"/>
        <v>18.7</v>
      </c>
    </row>
    <row r="1492" spans="1:33" x14ac:dyDescent="0.3">
      <c r="A1492" t="s">
        <v>602</v>
      </c>
      <c r="B1492">
        <v>4</v>
      </c>
      <c r="C1492" t="s">
        <v>530</v>
      </c>
      <c r="D1492" t="s">
        <v>502</v>
      </c>
      <c r="E1492" t="s">
        <v>219</v>
      </c>
      <c r="F1492" t="s">
        <v>169</v>
      </c>
      <c r="G1492" t="s">
        <v>134</v>
      </c>
      <c r="H1492">
        <v>12</v>
      </c>
      <c r="I1492">
        <v>9</v>
      </c>
      <c r="J1492">
        <v>133.33000000000001</v>
      </c>
      <c r="K1492" t="s">
        <v>246</v>
      </c>
      <c r="L1492">
        <v>20</v>
      </c>
      <c r="M1492">
        <v>4</v>
      </c>
      <c r="N1492">
        <v>0</v>
      </c>
      <c r="O1492">
        <v>47</v>
      </c>
      <c r="P1492">
        <v>1</v>
      </c>
      <c r="Q1492">
        <v>11.8</v>
      </c>
      <c r="R1492">
        <v>25</v>
      </c>
      <c r="S1492">
        <v>0</v>
      </c>
      <c r="T1492">
        <v>0</v>
      </c>
      <c r="U1492" s="8">
        <v>45</v>
      </c>
      <c r="V1492" s="8">
        <f t="shared" si="47"/>
        <v>5</v>
      </c>
      <c r="W1492" t="str">
        <f>_xlfn.XLOOKUP(A1492, Matches!A:A, Matches!L:L, "NA", 0)</f>
        <v>GGTW</v>
      </c>
      <c r="X1492" t="str">
        <f>_xlfn.XLOOKUP(A1492, Matches!A:A, Matches!J:J, "NA", 0)</f>
        <v>UPW</v>
      </c>
      <c r="Y1492" t="str">
        <f>_xlfn.XLOOKUP(A1492, Matches!A:A, Matches!F:F, "NA", 0)</f>
        <v>Dr DY Patil Sports </v>
      </c>
      <c r="Z1492" cm="1">
        <f t="array" ref="Z1492">INDEX(Innings!F:F,MATCH(1,(TRIM(Innings!A:A)=TRIM(A1492))*(TRIM(Innings!D:D)=TRIM(E1492)),0))</f>
        <v>197</v>
      </c>
      <c r="AA1492" cm="1">
        <f t="array" ref="AA1492">INDEX(Innings!I:I,MATCH(1,(TRIM(Innings!A:A)=TRIM(A1492))*(TRIM(Innings!D:D)=TRIM(E1492)),0))</f>
        <v>9.85</v>
      </c>
      <c r="AB1492" cm="1">
        <f t="array" ref="AB1492">INDEX(Innings!J:J,MATCH(1,(TRIM(Innings!A:A)=TRIM(A1492))*(TRIM(Innings!D:D)=TRIM(E1492)),0))</f>
        <v>46</v>
      </c>
      <c r="AC1492" cm="1">
        <f t="array" ref="AC1492">INDEX(Innings!N:N,MATCH(1,(TRIM(Innings!A:A)=TRIM(A1492))*(TRIM(Innings!D:D)=TRIM(E1492)),0))</f>
        <v>42</v>
      </c>
      <c r="AD1492" cm="1">
        <f t="array" ref="AD1492">INDEX(Innings!S:S,MATCH(1,(TRIM(Innings!A:A)=TRIM(A1492))*(TRIM(Innings!D:D)=TRIM(E1492)),0))</f>
        <v>49</v>
      </c>
      <c r="AE1492" t="str" cm="1">
        <f t="array" ref="AE1492">INDEX(Innings!W:W,MATCH(1,(TRIM(Innings!A:A)=TRIM(A1492))*(TRIM(Innings!D:D)=TRIM(E1492)),0))</f>
        <v>Failed</v>
      </c>
      <c r="AF1492">
        <f>IF(UPPER(TRIM(E1492))=UPPER(TRIM(W1492)),1,0)</f>
        <v>0</v>
      </c>
      <c r="AG1492">
        <f t="shared" si="46"/>
        <v>24</v>
      </c>
    </row>
    <row r="1493" spans="1:33" x14ac:dyDescent="0.3">
      <c r="A1493" t="s">
        <v>602</v>
      </c>
      <c r="B1493">
        <v>4</v>
      </c>
      <c r="C1493" t="s">
        <v>233</v>
      </c>
      <c r="D1493" t="s">
        <v>234</v>
      </c>
      <c r="E1493" t="s">
        <v>219</v>
      </c>
      <c r="F1493" t="s">
        <v>101</v>
      </c>
      <c r="G1493" t="s">
        <v>134</v>
      </c>
      <c r="H1493">
        <v>11</v>
      </c>
      <c r="I1493">
        <v>8</v>
      </c>
      <c r="J1493">
        <v>137.5</v>
      </c>
      <c r="K1493" t="s">
        <v>246</v>
      </c>
      <c r="L1493">
        <v>20</v>
      </c>
      <c r="M1493">
        <v>4</v>
      </c>
      <c r="N1493">
        <v>0</v>
      </c>
      <c r="O1493">
        <v>32</v>
      </c>
      <c r="P1493">
        <v>2</v>
      </c>
      <c r="Q1493">
        <v>8</v>
      </c>
      <c r="R1493">
        <v>50</v>
      </c>
      <c r="S1493">
        <v>0</v>
      </c>
      <c r="T1493">
        <v>0</v>
      </c>
      <c r="U1493" s="8">
        <v>70</v>
      </c>
      <c r="V1493" s="8">
        <f t="shared" si="47"/>
        <v>7</v>
      </c>
      <c r="W1493" t="str">
        <f>_xlfn.XLOOKUP(A1493, Matches!A:A, Matches!L:L, "NA", 0)</f>
        <v>GGTW</v>
      </c>
      <c r="X1493" t="str">
        <f>_xlfn.XLOOKUP(A1493, Matches!A:A, Matches!J:J, "NA", 0)</f>
        <v>UPW</v>
      </c>
      <c r="Y1493" t="str">
        <f>_xlfn.XLOOKUP(A1493, Matches!A:A, Matches!F:F, "NA", 0)</f>
        <v>Dr DY Patil Sports </v>
      </c>
      <c r="Z1493" cm="1">
        <f t="array" ref="Z1493">INDEX(Innings!F:F,MATCH(1,(TRIM(Innings!A:A)=TRIM(A1493))*(TRIM(Innings!D:D)=TRIM(E1493)),0))</f>
        <v>197</v>
      </c>
      <c r="AA1493" cm="1">
        <f t="array" ref="AA1493">INDEX(Innings!I:I,MATCH(1,(TRIM(Innings!A:A)=TRIM(A1493))*(TRIM(Innings!D:D)=TRIM(E1493)),0))</f>
        <v>9.85</v>
      </c>
      <c r="AB1493" cm="1">
        <f t="array" ref="AB1493">INDEX(Innings!J:J,MATCH(1,(TRIM(Innings!A:A)=TRIM(A1493))*(TRIM(Innings!D:D)=TRIM(E1493)),0))</f>
        <v>46</v>
      </c>
      <c r="AC1493" cm="1">
        <f t="array" ref="AC1493">INDEX(Innings!N:N,MATCH(1,(TRIM(Innings!A:A)=TRIM(A1493))*(TRIM(Innings!D:D)=TRIM(E1493)),0))</f>
        <v>42</v>
      </c>
      <c r="AD1493" cm="1">
        <f t="array" ref="AD1493">INDEX(Innings!S:S,MATCH(1,(TRIM(Innings!A:A)=TRIM(A1493))*(TRIM(Innings!D:D)=TRIM(E1493)),0))</f>
        <v>49</v>
      </c>
      <c r="AE1493" t="str" cm="1">
        <f t="array" ref="AE1493">INDEX(Innings!W:W,MATCH(1,(TRIM(Innings!A:A)=TRIM(A1493))*(TRIM(Innings!D:D)=TRIM(E1493)),0))</f>
        <v>Failed</v>
      </c>
      <c r="AF1493">
        <f>IF(UPPER(TRIM(E1493))=UPPER(TRIM(W1493)),1,0)</f>
        <v>0</v>
      </c>
      <c r="AG1493">
        <f t="shared" si="46"/>
        <v>37.1</v>
      </c>
    </row>
    <row r="1494" spans="1:33" x14ac:dyDescent="0.3">
      <c r="A1494" t="s">
        <v>602</v>
      </c>
      <c r="B1494">
        <v>4</v>
      </c>
      <c r="C1494" t="s">
        <v>180</v>
      </c>
      <c r="D1494" t="s">
        <v>181</v>
      </c>
      <c r="E1494" t="s">
        <v>219</v>
      </c>
      <c r="F1494" t="s">
        <v>169</v>
      </c>
      <c r="G1494" t="s">
        <v>134</v>
      </c>
      <c r="H1494">
        <v>27</v>
      </c>
      <c r="I1494">
        <v>10</v>
      </c>
      <c r="J1494">
        <v>270</v>
      </c>
      <c r="K1494" t="s">
        <v>96</v>
      </c>
      <c r="L1494">
        <v>45</v>
      </c>
      <c r="M1494">
        <v>3</v>
      </c>
      <c r="N1494">
        <v>0</v>
      </c>
      <c r="O1494">
        <v>36</v>
      </c>
      <c r="P1494">
        <v>0</v>
      </c>
      <c r="Q1494">
        <v>12</v>
      </c>
      <c r="R1494">
        <v>-10</v>
      </c>
      <c r="S1494">
        <v>0</v>
      </c>
      <c r="T1494">
        <v>0</v>
      </c>
      <c r="U1494" s="8">
        <v>35</v>
      </c>
      <c r="V1494" s="8">
        <f t="shared" si="47"/>
        <v>4</v>
      </c>
      <c r="W1494" t="str">
        <f>_xlfn.XLOOKUP(A1494, Matches!A:A, Matches!L:L, "NA", 0)</f>
        <v>GGTW</v>
      </c>
      <c r="X1494" t="str">
        <f>_xlfn.XLOOKUP(A1494, Matches!A:A, Matches!J:J, "NA", 0)</f>
        <v>UPW</v>
      </c>
      <c r="Y1494" t="str">
        <f>_xlfn.XLOOKUP(A1494, Matches!A:A, Matches!F:F, "NA", 0)</f>
        <v>Dr DY Patil Sports </v>
      </c>
      <c r="Z1494" cm="1">
        <f t="array" ref="Z1494">INDEX(Innings!F:F,MATCH(1,(TRIM(Innings!A:A)=TRIM(A1494))*(TRIM(Innings!D:D)=TRIM(E1494)),0))</f>
        <v>197</v>
      </c>
      <c r="AA1494" cm="1">
        <f t="array" ref="AA1494">INDEX(Innings!I:I,MATCH(1,(TRIM(Innings!A:A)=TRIM(A1494))*(TRIM(Innings!D:D)=TRIM(E1494)),0))</f>
        <v>9.85</v>
      </c>
      <c r="AB1494" cm="1">
        <f t="array" ref="AB1494">INDEX(Innings!J:J,MATCH(1,(TRIM(Innings!A:A)=TRIM(A1494))*(TRIM(Innings!D:D)=TRIM(E1494)),0))</f>
        <v>46</v>
      </c>
      <c r="AC1494" cm="1">
        <f t="array" ref="AC1494">INDEX(Innings!N:N,MATCH(1,(TRIM(Innings!A:A)=TRIM(A1494))*(TRIM(Innings!D:D)=TRIM(E1494)),0))</f>
        <v>42</v>
      </c>
      <c r="AD1494" cm="1">
        <f t="array" ref="AD1494">INDEX(Innings!S:S,MATCH(1,(TRIM(Innings!A:A)=TRIM(A1494))*(TRIM(Innings!D:D)=TRIM(E1494)),0))</f>
        <v>49</v>
      </c>
      <c r="AE1494" t="str" cm="1">
        <f t="array" ref="AE1494">INDEX(Innings!W:W,MATCH(1,(TRIM(Innings!A:A)=TRIM(A1494))*(TRIM(Innings!D:D)=TRIM(E1494)),0))</f>
        <v>Failed</v>
      </c>
      <c r="AF1494">
        <f>IF(UPPER(TRIM(E1494))=UPPER(TRIM(W1494)),1,0)</f>
        <v>0</v>
      </c>
      <c r="AG1494">
        <f t="shared" si="46"/>
        <v>18.7</v>
      </c>
    </row>
    <row r="1495" spans="1:33" x14ac:dyDescent="0.3">
      <c r="A1495" t="s">
        <v>602</v>
      </c>
      <c r="B1495">
        <v>4</v>
      </c>
      <c r="C1495" t="s">
        <v>204</v>
      </c>
      <c r="D1495" t="s">
        <v>205</v>
      </c>
      <c r="E1495" t="s">
        <v>219</v>
      </c>
      <c r="F1495" t="s">
        <v>169</v>
      </c>
      <c r="G1495" t="s">
        <v>134</v>
      </c>
      <c r="H1495">
        <v>1</v>
      </c>
      <c r="I1495">
        <v>1</v>
      </c>
      <c r="J1495">
        <v>100</v>
      </c>
      <c r="K1495" t="s">
        <v>96</v>
      </c>
      <c r="L1495">
        <v>5</v>
      </c>
      <c r="M1495">
        <v>3</v>
      </c>
      <c r="N1495">
        <v>0</v>
      </c>
      <c r="O1495">
        <v>29</v>
      </c>
      <c r="P1495">
        <v>1</v>
      </c>
      <c r="Q1495">
        <v>9.6999999999999993</v>
      </c>
      <c r="R1495">
        <v>25</v>
      </c>
      <c r="S1495">
        <v>0</v>
      </c>
      <c r="T1495">
        <v>0</v>
      </c>
      <c r="U1495" s="8">
        <v>30</v>
      </c>
      <c r="V1495" s="8">
        <f t="shared" si="47"/>
        <v>3</v>
      </c>
      <c r="W1495" t="str">
        <f>_xlfn.XLOOKUP(A1495, Matches!A:A, Matches!L:L, "NA", 0)</f>
        <v>GGTW</v>
      </c>
      <c r="X1495" t="str">
        <f>_xlfn.XLOOKUP(A1495, Matches!A:A, Matches!J:J, "NA", 0)</f>
        <v>UPW</v>
      </c>
      <c r="Y1495" t="str">
        <f>_xlfn.XLOOKUP(A1495, Matches!A:A, Matches!F:F, "NA", 0)</f>
        <v>Dr DY Patil Sports </v>
      </c>
      <c r="Z1495" cm="1">
        <f t="array" ref="Z1495">INDEX(Innings!F:F,MATCH(1,(TRIM(Innings!A:A)=TRIM(A1495))*(TRIM(Innings!D:D)=TRIM(E1495)),0))</f>
        <v>197</v>
      </c>
      <c r="AA1495" cm="1">
        <f t="array" ref="AA1495">INDEX(Innings!I:I,MATCH(1,(TRIM(Innings!A:A)=TRIM(A1495))*(TRIM(Innings!D:D)=TRIM(E1495)),0))</f>
        <v>9.85</v>
      </c>
      <c r="AB1495" cm="1">
        <f t="array" ref="AB1495">INDEX(Innings!J:J,MATCH(1,(TRIM(Innings!A:A)=TRIM(A1495))*(TRIM(Innings!D:D)=TRIM(E1495)),0))</f>
        <v>46</v>
      </c>
      <c r="AC1495" cm="1">
        <f t="array" ref="AC1495">INDEX(Innings!N:N,MATCH(1,(TRIM(Innings!A:A)=TRIM(A1495))*(TRIM(Innings!D:D)=TRIM(E1495)),0))</f>
        <v>42</v>
      </c>
      <c r="AD1495" cm="1">
        <f t="array" ref="AD1495">INDEX(Innings!S:S,MATCH(1,(TRIM(Innings!A:A)=TRIM(A1495))*(TRIM(Innings!D:D)=TRIM(E1495)),0))</f>
        <v>49</v>
      </c>
      <c r="AE1495" t="str" cm="1">
        <f t="array" ref="AE1495">INDEX(Innings!W:W,MATCH(1,(TRIM(Innings!A:A)=TRIM(A1495))*(TRIM(Innings!D:D)=TRIM(E1495)),0))</f>
        <v>Failed</v>
      </c>
      <c r="AF1495">
        <f>IF(UPPER(TRIM(E1495))=UPPER(TRIM(W1495)),1,0)</f>
        <v>0</v>
      </c>
      <c r="AG1495">
        <f t="shared" si="46"/>
        <v>15.9</v>
      </c>
    </row>
    <row r="1496" spans="1:33" x14ac:dyDescent="0.3">
      <c r="A1496" t="s">
        <v>602</v>
      </c>
      <c r="B1496">
        <v>4</v>
      </c>
      <c r="C1496" t="s">
        <v>509</v>
      </c>
      <c r="D1496" t="s">
        <v>523</v>
      </c>
      <c r="E1496" t="s">
        <v>219</v>
      </c>
      <c r="F1496" t="s">
        <v>101</v>
      </c>
      <c r="G1496" t="s">
        <v>104</v>
      </c>
      <c r="H1496">
        <v>0</v>
      </c>
      <c r="I1496">
        <v>0</v>
      </c>
      <c r="J1496">
        <v>0</v>
      </c>
      <c r="K1496" t="s">
        <v>104</v>
      </c>
      <c r="L1496">
        <v>0</v>
      </c>
      <c r="M1496">
        <v>3</v>
      </c>
      <c r="N1496">
        <v>0</v>
      </c>
      <c r="O1496">
        <v>30</v>
      </c>
      <c r="P1496">
        <v>0</v>
      </c>
      <c r="Q1496">
        <v>10</v>
      </c>
      <c r="R1496">
        <v>-5</v>
      </c>
      <c r="S1496">
        <v>0</v>
      </c>
      <c r="T1496">
        <v>0</v>
      </c>
      <c r="U1496" s="8">
        <v>-5</v>
      </c>
      <c r="V1496" s="8">
        <f t="shared" si="47"/>
        <v>0</v>
      </c>
      <c r="W1496" t="str">
        <f>_xlfn.XLOOKUP(A1496, Matches!A:A, Matches!L:L, "NA", 0)</f>
        <v>GGTW</v>
      </c>
      <c r="X1496" t="str">
        <f>_xlfn.XLOOKUP(A1496, Matches!A:A, Matches!J:J, "NA", 0)</f>
        <v>UPW</v>
      </c>
      <c r="Y1496" t="str">
        <f>_xlfn.XLOOKUP(A1496, Matches!A:A, Matches!F:F, "NA", 0)</f>
        <v>Dr DY Patil Sports </v>
      </c>
      <c r="Z1496" cm="1">
        <f t="array" ref="Z1496">INDEX(Innings!F:F,MATCH(1,(TRIM(Innings!A:A)=TRIM(A1496))*(TRIM(Innings!D:D)=TRIM(E1496)),0))</f>
        <v>197</v>
      </c>
      <c r="AA1496" cm="1">
        <f t="array" ref="AA1496">INDEX(Innings!I:I,MATCH(1,(TRIM(Innings!A:A)=TRIM(A1496))*(TRIM(Innings!D:D)=TRIM(E1496)),0))</f>
        <v>9.85</v>
      </c>
      <c r="AB1496" cm="1">
        <f t="array" ref="AB1496">INDEX(Innings!J:J,MATCH(1,(TRIM(Innings!A:A)=TRIM(A1496))*(TRIM(Innings!D:D)=TRIM(E1496)),0))</f>
        <v>46</v>
      </c>
      <c r="AC1496" cm="1">
        <f t="array" ref="AC1496">INDEX(Innings!N:N,MATCH(1,(TRIM(Innings!A:A)=TRIM(A1496))*(TRIM(Innings!D:D)=TRIM(E1496)),0))</f>
        <v>42</v>
      </c>
      <c r="AD1496" cm="1">
        <f t="array" ref="AD1496">INDEX(Innings!S:S,MATCH(1,(TRIM(Innings!A:A)=TRIM(A1496))*(TRIM(Innings!D:D)=TRIM(E1496)),0))</f>
        <v>49</v>
      </c>
      <c r="AE1496" t="str" cm="1">
        <f t="array" ref="AE1496">INDEX(Innings!W:W,MATCH(1,(TRIM(Innings!A:A)=TRIM(A1496))*(TRIM(Innings!D:D)=TRIM(E1496)),0))</f>
        <v>Failed</v>
      </c>
      <c r="AF1496">
        <f>IF(UPPER(TRIM(E1496))=UPPER(TRIM(W1496)),1,0)</f>
        <v>0</v>
      </c>
      <c r="AG1496">
        <f t="shared" si="46"/>
        <v>0</v>
      </c>
    </row>
    <row r="1497" spans="1:33" x14ac:dyDescent="0.3">
      <c r="A1497" t="s">
        <v>603</v>
      </c>
      <c r="B1497">
        <v>4</v>
      </c>
      <c r="C1497" t="s">
        <v>119</v>
      </c>
      <c r="D1497" t="s">
        <v>95</v>
      </c>
      <c r="E1497" t="s">
        <v>266</v>
      </c>
      <c r="F1497" t="s">
        <v>169</v>
      </c>
      <c r="G1497" t="s">
        <v>92</v>
      </c>
      <c r="H1497">
        <v>0</v>
      </c>
      <c r="I1497">
        <v>1</v>
      </c>
      <c r="J1497">
        <v>0</v>
      </c>
      <c r="K1497" t="s">
        <v>246</v>
      </c>
      <c r="L1497">
        <v>-5</v>
      </c>
      <c r="M1497">
        <v>4</v>
      </c>
      <c r="N1497">
        <v>0</v>
      </c>
      <c r="O1497">
        <v>24</v>
      </c>
      <c r="P1497">
        <v>3</v>
      </c>
      <c r="Q1497">
        <v>6</v>
      </c>
      <c r="R1497">
        <v>60</v>
      </c>
      <c r="S1497">
        <v>0</v>
      </c>
      <c r="T1497">
        <v>0</v>
      </c>
      <c r="U1497" s="8">
        <v>55</v>
      </c>
      <c r="V1497" s="8">
        <f t="shared" si="47"/>
        <v>6</v>
      </c>
      <c r="W1497" t="str">
        <f>_xlfn.XLOOKUP(A1497, Matches!A:A, Matches!L:L, "NA", 0)</f>
        <v>MIW</v>
      </c>
      <c r="X1497" t="str">
        <f>_xlfn.XLOOKUP(A1497, Matches!A:A, Matches!J:J, "NA", 0)</f>
        <v>DCW</v>
      </c>
      <c r="Y1497" t="str">
        <f>_xlfn.XLOOKUP(A1497, Matches!A:A, Matches!F:F, "NA", 0)</f>
        <v>Dr DY Patil Sports </v>
      </c>
      <c r="Z1497" cm="1">
        <f t="array" ref="Z1497">INDEX(Innings!F:F,MATCH(1,(TRIM(Innings!A:A)=TRIM(A1497))*(TRIM(Innings!D:D)=TRIM(E1497)),0))</f>
        <v>195</v>
      </c>
      <c r="AA1497" cm="1">
        <f t="array" ref="AA1497">INDEX(Innings!I:I,MATCH(1,(TRIM(Innings!A:A)=TRIM(A1497))*(TRIM(Innings!D:D)=TRIM(E1497)),0))</f>
        <v>9.75</v>
      </c>
      <c r="AB1497" cm="1">
        <f t="array" ref="AB1497">INDEX(Innings!J:J,MATCH(1,(TRIM(Innings!A:A)=TRIM(A1497))*(TRIM(Innings!D:D)=TRIM(E1497)),0))</f>
        <v>43</v>
      </c>
      <c r="AC1497" cm="1">
        <f t="array" ref="AC1497">INDEX(Innings!N:N,MATCH(1,(TRIM(Innings!A:A)=TRIM(A1497))*(TRIM(Innings!D:D)=TRIM(E1497)),0))</f>
        <v>52</v>
      </c>
      <c r="AD1497" cm="1">
        <f t="array" ref="AD1497">INDEX(Innings!S:S,MATCH(1,(TRIM(Innings!A:A)=TRIM(A1497))*(TRIM(Innings!D:D)=TRIM(E1497)),0))</f>
        <v>39</v>
      </c>
      <c r="AE1497" t="str" cm="1">
        <f t="array" ref="AE1497">INDEX(Innings!W:W,MATCH(1,(TRIM(Innings!A:A)=TRIM(A1497))*(TRIM(Innings!D:D)=TRIM(E1497)),0))</f>
        <v>NA</v>
      </c>
      <c r="AF1497">
        <f>IF(UPPER(TRIM(E1497))=UPPER(TRIM(W1497)),1,0)</f>
        <v>1</v>
      </c>
      <c r="AG1497">
        <f t="shared" si="46"/>
        <v>49.3</v>
      </c>
    </row>
    <row r="1498" spans="1:33" x14ac:dyDescent="0.3">
      <c r="A1498" t="s">
        <v>603</v>
      </c>
      <c r="B1498">
        <v>4</v>
      </c>
      <c r="C1498" t="s">
        <v>510</v>
      </c>
      <c r="D1498" t="s">
        <v>538</v>
      </c>
      <c r="E1498" t="s">
        <v>266</v>
      </c>
      <c r="F1498" t="s">
        <v>85</v>
      </c>
      <c r="G1498" t="s">
        <v>92</v>
      </c>
      <c r="H1498">
        <v>16</v>
      </c>
      <c r="I1498">
        <v>19</v>
      </c>
      <c r="J1498">
        <v>84.21</v>
      </c>
      <c r="K1498" t="s">
        <v>246</v>
      </c>
      <c r="L1498">
        <v>15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 s="8">
        <v>15</v>
      </c>
      <c r="V1498" s="8">
        <f t="shared" si="47"/>
        <v>2</v>
      </c>
      <c r="W1498" t="str">
        <f>_xlfn.XLOOKUP(A1498, Matches!A:A, Matches!L:L, "NA", 0)</f>
        <v>MIW</v>
      </c>
      <c r="X1498" t="str">
        <f>_xlfn.XLOOKUP(A1498, Matches!A:A, Matches!J:J, "NA", 0)</f>
        <v>DCW</v>
      </c>
      <c r="Y1498" t="str">
        <f>_xlfn.XLOOKUP(A1498, Matches!A:A, Matches!F:F, "NA", 0)</f>
        <v>Dr DY Patil Sports </v>
      </c>
      <c r="Z1498" cm="1">
        <f t="array" ref="Z1498">INDEX(Innings!F:F,MATCH(1,(TRIM(Innings!A:A)=TRIM(A1498))*(TRIM(Innings!D:D)=TRIM(E1498)),0))</f>
        <v>195</v>
      </c>
      <c r="AA1498" cm="1">
        <f t="array" ref="AA1498">INDEX(Innings!I:I,MATCH(1,(TRIM(Innings!A:A)=TRIM(A1498))*(TRIM(Innings!D:D)=TRIM(E1498)),0))</f>
        <v>9.75</v>
      </c>
      <c r="AB1498" cm="1">
        <f t="array" ref="AB1498">INDEX(Innings!J:J,MATCH(1,(TRIM(Innings!A:A)=TRIM(A1498))*(TRIM(Innings!D:D)=TRIM(E1498)),0))</f>
        <v>43</v>
      </c>
      <c r="AC1498" cm="1">
        <f t="array" ref="AC1498">INDEX(Innings!N:N,MATCH(1,(TRIM(Innings!A:A)=TRIM(A1498))*(TRIM(Innings!D:D)=TRIM(E1498)),0))</f>
        <v>52</v>
      </c>
      <c r="AD1498" cm="1">
        <f t="array" ref="AD1498">INDEX(Innings!S:S,MATCH(1,(TRIM(Innings!A:A)=TRIM(A1498))*(TRIM(Innings!D:D)=TRIM(E1498)),0))</f>
        <v>39</v>
      </c>
      <c r="AE1498" t="str" cm="1">
        <f t="array" ref="AE1498">INDEX(Innings!W:W,MATCH(1,(TRIM(Innings!A:A)=TRIM(A1498))*(TRIM(Innings!D:D)=TRIM(E1498)),0))</f>
        <v>NA</v>
      </c>
      <c r="AF1498">
        <f>IF(UPPER(TRIM(E1498))=UPPER(TRIM(W1498)),1,0)</f>
        <v>1</v>
      </c>
      <c r="AG1498">
        <f t="shared" si="46"/>
        <v>28.1</v>
      </c>
    </row>
    <row r="1499" spans="1:33" x14ac:dyDescent="0.3">
      <c r="A1499" t="s">
        <v>603</v>
      </c>
      <c r="B1499">
        <v>4</v>
      </c>
      <c r="C1499" t="s">
        <v>117</v>
      </c>
      <c r="D1499" t="s">
        <v>90</v>
      </c>
      <c r="E1499" t="s">
        <v>266</v>
      </c>
      <c r="F1499" t="s">
        <v>169</v>
      </c>
      <c r="G1499" t="s">
        <v>92</v>
      </c>
      <c r="H1499">
        <v>70</v>
      </c>
      <c r="I1499">
        <v>46</v>
      </c>
      <c r="J1499">
        <v>152.16999999999999</v>
      </c>
      <c r="K1499" t="s">
        <v>246</v>
      </c>
      <c r="L1499">
        <v>90</v>
      </c>
      <c r="M1499">
        <v>3</v>
      </c>
      <c r="N1499">
        <v>0</v>
      </c>
      <c r="O1499">
        <v>29</v>
      </c>
      <c r="P1499">
        <v>2</v>
      </c>
      <c r="Q1499">
        <v>9.6999999999999993</v>
      </c>
      <c r="R1499">
        <v>50</v>
      </c>
      <c r="S1499">
        <v>0</v>
      </c>
      <c r="T1499">
        <v>0</v>
      </c>
      <c r="U1499" s="8">
        <v>140</v>
      </c>
      <c r="V1499" s="8">
        <f t="shared" si="47"/>
        <v>10</v>
      </c>
      <c r="W1499" t="str">
        <f>_xlfn.XLOOKUP(A1499, Matches!A:A, Matches!L:L, "NA", 0)</f>
        <v>MIW</v>
      </c>
      <c r="X1499" t="str">
        <f>_xlfn.XLOOKUP(A1499, Matches!A:A, Matches!J:J, "NA", 0)</f>
        <v>DCW</v>
      </c>
      <c r="Y1499" t="str">
        <f>_xlfn.XLOOKUP(A1499, Matches!A:A, Matches!F:F, "NA", 0)</f>
        <v>Dr DY Patil Sports </v>
      </c>
      <c r="Z1499" cm="1">
        <f t="array" ref="Z1499">INDEX(Innings!F:F,MATCH(1,(TRIM(Innings!A:A)=TRIM(A1499))*(TRIM(Innings!D:D)=TRIM(E1499)),0))</f>
        <v>195</v>
      </c>
      <c r="AA1499" cm="1">
        <f t="array" ref="AA1499">INDEX(Innings!I:I,MATCH(1,(TRIM(Innings!A:A)=TRIM(A1499))*(TRIM(Innings!D:D)=TRIM(E1499)),0))</f>
        <v>9.75</v>
      </c>
      <c r="AB1499" cm="1">
        <f t="array" ref="AB1499">INDEX(Innings!J:J,MATCH(1,(TRIM(Innings!A:A)=TRIM(A1499))*(TRIM(Innings!D:D)=TRIM(E1499)),0))</f>
        <v>43</v>
      </c>
      <c r="AC1499" cm="1">
        <f t="array" ref="AC1499">INDEX(Innings!N:N,MATCH(1,(TRIM(Innings!A:A)=TRIM(A1499))*(TRIM(Innings!D:D)=TRIM(E1499)),0))</f>
        <v>52</v>
      </c>
      <c r="AD1499" cm="1">
        <f t="array" ref="AD1499">INDEX(Innings!S:S,MATCH(1,(TRIM(Innings!A:A)=TRIM(A1499))*(TRIM(Innings!D:D)=TRIM(E1499)),0))</f>
        <v>39</v>
      </c>
      <c r="AE1499" t="str" cm="1">
        <f t="array" ref="AE1499">INDEX(Innings!W:W,MATCH(1,(TRIM(Innings!A:A)=TRIM(A1499))*(TRIM(Innings!D:D)=TRIM(E1499)),0))</f>
        <v>NA</v>
      </c>
      <c r="AF1499">
        <f>IF(UPPER(TRIM(E1499))=UPPER(TRIM(W1499)),1,0)</f>
        <v>1</v>
      </c>
      <c r="AG1499">
        <f t="shared" si="46"/>
        <v>93</v>
      </c>
    </row>
    <row r="1500" spans="1:33" x14ac:dyDescent="0.3">
      <c r="A1500" t="s">
        <v>603</v>
      </c>
      <c r="B1500">
        <v>4</v>
      </c>
      <c r="C1500" t="s">
        <v>115</v>
      </c>
      <c r="D1500" t="s">
        <v>17</v>
      </c>
      <c r="E1500" t="s">
        <v>266</v>
      </c>
      <c r="F1500" t="s">
        <v>169</v>
      </c>
      <c r="G1500" t="s">
        <v>134</v>
      </c>
      <c r="H1500">
        <v>74</v>
      </c>
      <c r="I1500">
        <v>42</v>
      </c>
      <c r="J1500">
        <v>176.19</v>
      </c>
      <c r="K1500" t="s">
        <v>96</v>
      </c>
      <c r="L1500">
        <v>95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 s="8">
        <v>95</v>
      </c>
      <c r="V1500" s="8">
        <f t="shared" si="47"/>
        <v>10</v>
      </c>
      <c r="W1500" t="str">
        <f>_xlfn.XLOOKUP(A1500, Matches!A:A, Matches!L:L, "NA", 0)</f>
        <v>MIW</v>
      </c>
      <c r="X1500" t="str">
        <f>_xlfn.XLOOKUP(A1500, Matches!A:A, Matches!J:J, "NA", 0)</f>
        <v>DCW</v>
      </c>
      <c r="Y1500" t="str">
        <f>_xlfn.XLOOKUP(A1500, Matches!A:A, Matches!F:F, "NA", 0)</f>
        <v>Dr DY Patil Sports </v>
      </c>
      <c r="Z1500" cm="1">
        <f t="array" ref="Z1500">INDEX(Innings!F:F,MATCH(1,(TRIM(Innings!A:A)=TRIM(A1500))*(TRIM(Innings!D:D)=TRIM(E1500)),0))</f>
        <v>195</v>
      </c>
      <c r="AA1500" cm="1">
        <f t="array" ref="AA1500">INDEX(Innings!I:I,MATCH(1,(TRIM(Innings!A:A)=TRIM(A1500))*(TRIM(Innings!D:D)=TRIM(E1500)),0))</f>
        <v>9.75</v>
      </c>
      <c r="AB1500" cm="1">
        <f t="array" ref="AB1500">INDEX(Innings!J:J,MATCH(1,(TRIM(Innings!A:A)=TRIM(A1500))*(TRIM(Innings!D:D)=TRIM(E1500)),0))</f>
        <v>43</v>
      </c>
      <c r="AC1500" cm="1">
        <f t="array" ref="AC1500">INDEX(Innings!N:N,MATCH(1,(TRIM(Innings!A:A)=TRIM(A1500))*(TRIM(Innings!D:D)=TRIM(E1500)),0))</f>
        <v>52</v>
      </c>
      <c r="AD1500" cm="1">
        <f t="array" ref="AD1500">INDEX(Innings!S:S,MATCH(1,(TRIM(Innings!A:A)=TRIM(A1500))*(TRIM(Innings!D:D)=TRIM(E1500)),0))</f>
        <v>39</v>
      </c>
      <c r="AE1500" t="str" cm="1">
        <f t="array" ref="AE1500">INDEX(Innings!W:W,MATCH(1,(TRIM(Innings!A:A)=TRIM(A1500))*(TRIM(Innings!D:D)=TRIM(E1500)),0))</f>
        <v>NA</v>
      </c>
      <c r="AF1500">
        <f>IF(UPPER(TRIM(E1500))=UPPER(TRIM(W1500)),1,0)</f>
        <v>1</v>
      </c>
      <c r="AG1500">
        <f t="shared" si="46"/>
        <v>70.5</v>
      </c>
    </row>
    <row r="1501" spans="1:33" x14ac:dyDescent="0.3">
      <c r="A1501" t="s">
        <v>603</v>
      </c>
      <c r="B1501">
        <v>4</v>
      </c>
      <c r="C1501" t="s">
        <v>517</v>
      </c>
      <c r="D1501" t="s">
        <v>626</v>
      </c>
      <c r="E1501" t="s">
        <v>266</v>
      </c>
      <c r="F1501" t="s">
        <v>169</v>
      </c>
      <c r="G1501" t="s">
        <v>134</v>
      </c>
      <c r="H1501">
        <v>21</v>
      </c>
      <c r="I1501">
        <v>12</v>
      </c>
      <c r="J1501">
        <v>175</v>
      </c>
      <c r="K1501" t="s">
        <v>245</v>
      </c>
      <c r="L1501">
        <v>35</v>
      </c>
      <c r="M1501">
        <v>4</v>
      </c>
      <c r="N1501">
        <v>0</v>
      </c>
      <c r="O1501">
        <v>37</v>
      </c>
      <c r="P1501">
        <v>3</v>
      </c>
      <c r="Q1501">
        <v>9.1999999999999993</v>
      </c>
      <c r="R1501">
        <v>75</v>
      </c>
      <c r="S1501">
        <v>0</v>
      </c>
      <c r="T1501">
        <v>0</v>
      </c>
      <c r="U1501" s="8">
        <v>110</v>
      </c>
      <c r="V1501" s="8">
        <f t="shared" si="47"/>
        <v>10</v>
      </c>
      <c r="W1501" t="str">
        <f>_xlfn.XLOOKUP(A1501, Matches!A:A, Matches!L:L, "NA", 0)</f>
        <v>MIW</v>
      </c>
      <c r="X1501" t="str">
        <f>_xlfn.XLOOKUP(A1501, Matches!A:A, Matches!J:J, "NA", 0)</f>
        <v>DCW</v>
      </c>
      <c r="Y1501" t="str">
        <f>_xlfn.XLOOKUP(A1501, Matches!A:A, Matches!F:F, "NA", 0)</f>
        <v>Dr DY Patil Sports </v>
      </c>
      <c r="Z1501" cm="1">
        <f t="array" ref="Z1501">INDEX(Innings!F:F,MATCH(1,(TRIM(Innings!A:A)=TRIM(A1501))*(TRIM(Innings!D:D)=TRIM(E1501)),0))</f>
        <v>195</v>
      </c>
      <c r="AA1501" cm="1">
        <f t="array" ref="AA1501">INDEX(Innings!I:I,MATCH(1,(TRIM(Innings!A:A)=TRIM(A1501))*(TRIM(Innings!D:D)=TRIM(E1501)),0))</f>
        <v>9.75</v>
      </c>
      <c r="AB1501" cm="1">
        <f t="array" ref="AB1501">INDEX(Innings!J:J,MATCH(1,(TRIM(Innings!A:A)=TRIM(A1501))*(TRIM(Innings!D:D)=TRIM(E1501)),0))</f>
        <v>43</v>
      </c>
      <c r="AC1501" cm="1">
        <f t="array" ref="AC1501">INDEX(Innings!N:N,MATCH(1,(TRIM(Innings!A:A)=TRIM(A1501))*(TRIM(Innings!D:D)=TRIM(E1501)),0))</f>
        <v>52</v>
      </c>
      <c r="AD1501" cm="1">
        <f t="array" ref="AD1501">INDEX(Innings!S:S,MATCH(1,(TRIM(Innings!A:A)=TRIM(A1501))*(TRIM(Innings!D:D)=TRIM(E1501)),0))</f>
        <v>39</v>
      </c>
      <c r="AE1501" t="str" cm="1">
        <f t="array" ref="AE1501">INDEX(Innings!W:W,MATCH(1,(TRIM(Innings!A:A)=TRIM(A1501))*(TRIM(Innings!D:D)=TRIM(E1501)),0))</f>
        <v>NA</v>
      </c>
      <c r="AF1501">
        <f>IF(UPPER(TRIM(E1501))=UPPER(TRIM(W1501)),1,0)</f>
        <v>1</v>
      </c>
      <c r="AG1501">
        <f t="shared" si="46"/>
        <v>78</v>
      </c>
    </row>
    <row r="1502" spans="1:33" x14ac:dyDescent="0.3">
      <c r="A1502" t="s">
        <v>603</v>
      </c>
      <c r="B1502">
        <v>4</v>
      </c>
      <c r="C1502" t="s">
        <v>347</v>
      </c>
      <c r="D1502" t="s">
        <v>348</v>
      </c>
      <c r="E1502" t="s">
        <v>266</v>
      </c>
      <c r="F1502" t="s">
        <v>169</v>
      </c>
      <c r="G1502" t="s">
        <v>134</v>
      </c>
      <c r="H1502">
        <v>5</v>
      </c>
      <c r="I1502">
        <v>2</v>
      </c>
      <c r="J1502">
        <v>250</v>
      </c>
      <c r="K1502" t="s">
        <v>96</v>
      </c>
      <c r="L1502">
        <v>15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 s="8">
        <v>15</v>
      </c>
      <c r="V1502" s="8">
        <f t="shared" si="47"/>
        <v>2</v>
      </c>
      <c r="W1502" t="str">
        <f>_xlfn.XLOOKUP(A1502, Matches!A:A, Matches!L:L, "NA", 0)</f>
        <v>MIW</v>
      </c>
      <c r="X1502" t="str">
        <f>_xlfn.XLOOKUP(A1502, Matches!A:A, Matches!J:J, "NA", 0)</f>
        <v>DCW</v>
      </c>
      <c r="Y1502" t="str">
        <f>_xlfn.XLOOKUP(A1502, Matches!A:A, Matches!F:F, "NA", 0)</f>
        <v>Dr DY Patil Sports </v>
      </c>
      <c r="Z1502" cm="1">
        <f t="array" ref="Z1502">INDEX(Innings!F:F,MATCH(1,(TRIM(Innings!A:A)=TRIM(A1502))*(TRIM(Innings!D:D)=TRIM(E1502)),0))</f>
        <v>195</v>
      </c>
      <c r="AA1502" cm="1">
        <f t="array" ref="AA1502">INDEX(Innings!I:I,MATCH(1,(TRIM(Innings!A:A)=TRIM(A1502))*(TRIM(Innings!D:D)=TRIM(E1502)),0))</f>
        <v>9.75</v>
      </c>
      <c r="AB1502" cm="1">
        <f t="array" ref="AB1502">INDEX(Innings!J:J,MATCH(1,(TRIM(Innings!A:A)=TRIM(A1502))*(TRIM(Innings!D:D)=TRIM(E1502)),0))</f>
        <v>43</v>
      </c>
      <c r="AC1502" cm="1">
        <f t="array" ref="AC1502">INDEX(Innings!N:N,MATCH(1,(TRIM(Innings!A:A)=TRIM(A1502))*(TRIM(Innings!D:D)=TRIM(E1502)),0))</f>
        <v>52</v>
      </c>
      <c r="AD1502" cm="1">
        <f t="array" ref="AD1502">INDEX(Innings!S:S,MATCH(1,(TRIM(Innings!A:A)=TRIM(A1502))*(TRIM(Innings!D:D)=TRIM(E1502)),0))</f>
        <v>39</v>
      </c>
      <c r="AE1502" t="str" cm="1">
        <f t="array" ref="AE1502">INDEX(Innings!W:W,MATCH(1,(TRIM(Innings!A:A)=TRIM(A1502))*(TRIM(Innings!D:D)=TRIM(E1502)),0))</f>
        <v>NA</v>
      </c>
      <c r="AF1502">
        <f>IF(UPPER(TRIM(E1502))=UPPER(TRIM(W1502)),1,0)</f>
        <v>1</v>
      </c>
      <c r="AG1502">
        <f t="shared" si="46"/>
        <v>28.1</v>
      </c>
    </row>
    <row r="1503" spans="1:33" x14ac:dyDescent="0.3">
      <c r="A1503" t="s">
        <v>603</v>
      </c>
      <c r="B1503">
        <v>4</v>
      </c>
      <c r="C1503" t="s">
        <v>121</v>
      </c>
      <c r="D1503" t="s">
        <v>108</v>
      </c>
      <c r="E1503" t="s">
        <v>266</v>
      </c>
      <c r="F1503" t="s">
        <v>169</v>
      </c>
      <c r="G1503" t="s">
        <v>104</v>
      </c>
      <c r="H1503">
        <v>0</v>
      </c>
      <c r="I1503">
        <v>0</v>
      </c>
      <c r="J1503">
        <v>0</v>
      </c>
      <c r="K1503" t="s">
        <v>104</v>
      </c>
      <c r="L1503">
        <v>0</v>
      </c>
      <c r="M1503">
        <v>2</v>
      </c>
      <c r="N1503">
        <v>0</v>
      </c>
      <c r="O1503">
        <v>17</v>
      </c>
      <c r="P1503">
        <v>0</v>
      </c>
      <c r="Q1503">
        <v>8.5</v>
      </c>
      <c r="R1503">
        <v>0</v>
      </c>
      <c r="S1503">
        <v>0</v>
      </c>
      <c r="T1503">
        <v>0</v>
      </c>
      <c r="U1503" s="8">
        <v>0</v>
      </c>
      <c r="V1503" s="8">
        <f t="shared" si="47"/>
        <v>0</v>
      </c>
      <c r="W1503" t="str">
        <f>_xlfn.XLOOKUP(A1503, Matches!A:A, Matches!L:L, "NA", 0)</f>
        <v>MIW</v>
      </c>
      <c r="X1503" t="str">
        <f>_xlfn.XLOOKUP(A1503, Matches!A:A, Matches!J:J, "NA", 0)</f>
        <v>DCW</v>
      </c>
      <c r="Y1503" t="str">
        <f>_xlfn.XLOOKUP(A1503, Matches!A:A, Matches!F:F, "NA", 0)</f>
        <v>Dr DY Patil Sports </v>
      </c>
      <c r="Z1503" cm="1">
        <f t="array" ref="Z1503">INDEX(Innings!F:F,MATCH(1,(TRIM(Innings!A:A)=TRIM(A1503))*(TRIM(Innings!D:D)=TRIM(E1503)),0))</f>
        <v>195</v>
      </c>
      <c r="AA1503" cm="1">
        <f t="array" ref="AA1503">INDEX(Innings!I:I,MATCH(1,(TRIM(Innings!A:A)=TRIM(A1503))*(TRIM(Innings!D:D)=TRIM(E1503)),0))</f>
        <v>9.75</v>
      </c>
      <c r="AB1503" cm="1">
        <f t="array" ref="AB1503">INDEX(Innings!J:J,MATCH(1,(TRIM(Innings!A:A)=TRIM(A1503))*(TRIM(Innings!D:D)=TRIM(E1503)),0))</f>
        <v>43</v>
      </c>
      <c r="AC1503" cm="1">
        <f t="array" ref="AC1503">INDEX(Innings!N:N,MATCH(1,(TRIM(Innings!A:A)=TRIM(A1503))*(TRIM(Innings!D:D)=TRIM(E1503)),0))</f>
        <v>52</v>
      </c>
      <c r="AD1503" cm="1">
        <f t="array" ref="AD1503">INDEX(Innings!S:S,MATCH(1,(TRIM(Innings!A:A)=TRIM(A1503))*(TRIM(Innings!D:D)=TRIM(E1503)),0))</f>
        <v>39</v>
      </c>
      <c r="AE1503" t="str" cm="1">
        <f t="array" ref="AE1503">INDEX(Innings!W:W,MATCH(1,(TRIM(Innings!A:A)=TRIM(A1503))*(TRIM(Innings!D:D)=TRIM(E1503)),0))</f>
        <v>NA</v>
      </c>
      <c r="AF1503">
        <f>IF(UPPER(TRIM(E1503))=UPPER(TRIM(W1503)),1,0)</f>
        <v>1</v>
      </c>
      <c r="AG1503">
        <f t="shared" si="46"/>
        <v>20</v>
      </c>
    </row>
    <row r="1504" spans="1:33" x14ac:dyDescent="0.3">
      <c r="A1504" t="s">
        <v>603</v>
      </c>
      <c r="B1504">
        <v>4</v>
      </c>
      <c r="C1504" t="s">
        <v>273</v>
      </c>
      <c r="D1504" t="s">
        <v>279</v>
      </c>
      <c r="E1504" t="s">
        <v>266</v>
      </c>
      <c r="F1504" t="s">
        <v>169</v>
      </c>
      <c r="G1504" t="s">
        <v>104</v>
      </c>
      <c r="H1504">
        <v>0</v>
      </c>
      <c r="I1504">
        <v>0</v>
      </c>
      <c r="J1504">
        <v>0</v>
      </c>
      <c r="K1504" t="s">
        <v>104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 s="8">
        <v>0</v>
      </c>
      <c r="V1504" s="8">
        <f t="shared" si="47"/>
        <v>0</v>
      </c>
      <c r="W1504" t="str">
        <f>_xlfn.XLOOKUP(A1504, Matches!A:A, Matches!L:L, "NA", 0)</f>
        <v>MIW</v>
      </c>
      <c r="X1504" t="str">
        <f>_xlfn.XLOOKUP(A1504, Matches!A:A, Matches!J:J, "NA", 0)</f>
        <v>DCW</v>
      </c>
      <c r="Y1504" t="str">
        <f>_xlfn.XLOOKUP(A1504, Matches!A:A, Matches!F:F, "NA", 0)</f>
        <v>Dr DY Patil Sports </v>
      </c>
      <c r="Z1504" cm="1">
        <f t="array" ref="Z1504">INDEX(Innings!F:F,MATCH(1,(TRIM(Innings!A:A)=TRIM(A1504))*(TRIM(Innings!D:D)=TRIM(E1504)),0))</f>
        <v>195</v>
      </c>
      <c r="AA1504" cm="1">
        <f t="array" ref="AA1504">INDEX(Innings!I:I,MATCH(1,(TRIM(Innings!A:A)=TRIM(A1504))*(TRIM(Innings!D:D)=TRIM(E1504)),0))</f>
        <v>9.75</v>
      </c>
      <c r="AB1504" cm="1">
        <f t="array" ref="AB1504">INDEX(Innings!J:J,MATCH(1,(TRIM(Innings!A:A)=TRIM(A1504))*(TRIM(Innings!D:D)=TRIM(E1504)),0))</f>
        <v>43</v>
      </c>
      <c r="AC1504" cm="1">
        <f t="array" ref="AC1504">INDEX(Innings!N:N,MATCH(1,(TRIM(Innings!A:A)=TRIM(A1504))*(TRIM(Innings!D:D)=TRIM(E1504)),0))</f>
        <v>52</v>
      </c>
      <c r="AD1504" cm="1">
        <f t="array" ref="AD1504">INDEX(Innings!S:S,MATCH(1,(TRIM(Innings!A:A)=TRIM(A1504))*(TRIM(Innings!D:D)=TRIM(E1504)),0))</f>
        <v>39</v>
      </c>
      <c r="AE1504" t="str" cm="1">
        <f t="array" ref="AE1504">INDEX(Innings!W:W,MATCH(1,(TRIM(Innings!A:A)=TRIM(A1504))*(TRIM(Innings!D:D)=TRIM(E1504)),0))</f>
        <v>NA</v>
      </c>
      <c r="AF1504">
        <f>IF(UPPER(TRIM(E1504))=UPPER(TRIM(W1504)),1,0)</f>
        <v>1</v>
      </c>
      <c r="AG1504">
        <f t="shared" si="46"/>
        <v>20</v>
      </c>
    </row>
    <row r="1505" spans="1:33" x14ac:dyDescent="0.3">
      <c r="A1505" t="s">
        <v>603</v>
      </c>
      <c r="B1505">
        <v>4</v>
      </c>
      <c r="C1505" t="s">
        <v>534</v>
      </c>
      <c r="D1505" t="s">
        <v>639</v>
      </c>
      <c r="E1505" t="s">
        <v>266</v>
      </c>
      <c r="F1505" t="s">
        <v>169</v>
      </c>
      <c r="G1505" t="s">
        <v>104</v>
      </c>
      <c r="H1505">
        <v>0</v>
      </c>
      <c r="I1505">
        <v>0</v>
      </c>
      <c r="J1505">
        <v>0</v>
      </c>
      <c r="K1505" t="s">
        <v>104</v>
      </c>
      <c r="L1505">
        <v>0</v>
      </c>
      <c r="M1505">
        <v>1</v>
      </c>
      <c r="N1505">
        <v>0</v>
      </c>
      <c r="O1505">
        <v>12</v>
      </c>
      <c r="P1505">
        <v>0</v>
      </c>
      <c r="Q1505">
        <v>12</v>
      </c>
      <c r="R1505">
        <v>-5</v>
      </c>
      <c r="S1505">
        <v>0</v>
      </c>
      <c r="T1505">
        <v>0</v>
      </c>
      <c r="U1505" s="8">
        <v>-5</v>
      </c>
      <c r="V1505" s="8">
        <f t="shared" si="47"/>
        <v>0</v>
      </c>
      <c r="W1505" t="str">
        <f>_xlfn.XLOOKUP(A1505, Matches!A:A, Matches!L:L, "NA", 0)</f>
        <v>MIW</v>
      </c>
      <c r="X1505" t="str">
        <f>_xlfn.XLOOKUP(A1505, Matches!A:A, Matches!J:J, "NA", 0)</f>
        <v>DCW</v>
      </c>
      <c r="Y1505" t="str">
        <f>_xlfn.XLOOKUP(A1505, Matches!A:A, Matches!F:F, "NA", 0)</f>
        <v>Dr DY Patil Sports </v>
      </c>
      <c r="Z1505" cm="1">
        <f t="array" ref="Z1505">INDEX(Innings!F:F,MATCH(1,(TRIM(Innings!A:A)=TRIM(A1505))*(TRIM(Innings!D:D)=TRIM(E1505)),0))</f>
        <v>195</v>
      </c>
      <c r="AA1505" cm="1">
        <f t="array" ref="AA1505">INDEX(Innings!I:I,MATCH(1,(TRIM(Innings!A:A)=TRIM(A1505))*(TRIM(Innings!D:D)=TRIM(E1505)),0))</f>
        <v>9.75</v>
      </c>
      <c r="AB1505" cm="1">
        <f t="array" ref="AB1505">INDEX(Innings!J:J,MATCH(1,(TRIM(Innings!A:A)=TRIM(A1505))*(TRIM(Innings!D:D)=TRIM(E1505)),0))</f>
        <v>43</v>
      </c>
      <c r="AC1505" cm="1">
        <f t="array" ref="AC1505">INDEX(Innings!N:N,MATCH(1,(TRIM(Innings!A:A)=TRIM(A1505))*(TRIM(Innings!D:D)=TRIM(E1505)),0))</f>
        <v>52</v>
      </c>
      <c r="AD1505" cm="1">
        <f t="array" ref="AD1505">INDEX(Innings!S:S,MATCH(1,(TRIM(Innings!A:A)=TRIM(A1505))*(TRIM(Innings!D:D)=TRIM(E1505)),0))</f>
        <v>39</v>
      </c>
      <c r="AE1505" t="str" cm="1">
        <f t="array" ref="AE1505">INDEX(Innings!W:W,MATCH(1,(TRIM(Innings!A:A)=TRIM(A1505))*(TRIM(Innings!D:D)=TRIM(E1505)),0))</f>
        <v>NA</v>
      </c>
      <c r="AF1505">
        <f>IF(UPPER(TRIM(E1505))=UPPER(TRIM(W1505)),1,0)</f>
        <v>1</v>
      </c>
      <c r="AG1505">
        <f t="shared" si="46"/>
        <v>20</v>
      </c>
    </row>
    <row r="1506" spans="1:33" x14ac:dyDescent="0.3">
      <c r="A1506" t="s">
        <v>603</v>
      </c>
      <c r="B1506">
        <v>4</v>
      </c>
      <c r="C1506" t="s">
        <v>265</v>
      </c>
      <c r="D1506" t="s">
        <v>264</v>
      </c>
      <c r="E1506" t="s">
        <v>266</v>
      </c>
      <c r="F1506" t="s">
        <v>101</v>
      </c>
      <c r="G1506" t="s">
        <v>104</v>
      </c>
      <c r="H1506">
        <v>0</v>
      </c>
      <c r="I1506">
        <v>0</v>
      </c>
      <c r="J1506">
        <v>0</v>
      </c>
      <c r="K1506" t="s">
        <v>104</v>
      </c>
      <c r="L1506">
        <v>0</v>
      </c>
      <c r="M1506">
        <v>4</v>
      </c>
      <c r="N1506">
        <v>0</v>
      </c>
      <c r="O1506">
        <v>14</v>
      </c>
      <c r="P1506">
        <v>1</v>
      </c>
      <c r="Q1506">
        <v>3.5</v>
      </c>
      <c r="R1506">
        <v>40</v>
      </c>
      <c r="S1506">
        <v>0</v>
      </c>
      <c r="T1506">
        <v>0</v>
      </c>
      <c r="U1506" s="8">
        <v>40</v>
      </c>
      <c r="V1506" s="8">
        <f t="shared" si="47"/>
        <v>4</v>
      </c>
      <c r="W1506" t="str">
        <f>_xlfn.XLOOKUP(A1506, Matches!A:A, Matches!L:L, "NA", 0)</f>
        <v>MIW</v>
      </c>
      <c r="X1506" t="str">
        <f>_xlfn.XLOOKUP(A1506, Matches!A:A, Matches!J:J, "NA", 0)</f>
        <v>DCW</v>
      </c>
      <c r="Y1506" t="str">
        <f>_xlfn.XLOOKUP(A1506, Matches!A:A, Matches!F:F, "NA", 0)</f>
        <v>Dr DY Patil Sports </v>
      </c>
      <c r="Z1506" cm="1">
        <f t="array" ref="Z1506">INDEX(Innings!F:F,MATCH(1,(TRIM(Innings!A:A)=TRIM(A1506))*(TRIM(Innings!D:D)=TRIM(E1506)),0))</f>
        <v>195</v>
      </c>
      <c r="AA1506" cm="1">
        <f t="array" ref="AA1506">INDEX(Innings!I:I,MATCH(1,(TRIM(Innings!A:A)=TRIM(A1506))*(TRIM(Innings!D:D)=TRIM(E1506)),0))</f>
        <v>9.75</v>
      </c>
      <c r="AB1506" cm="1">
        <f t="array" ref="AB1506">INDEX(Innings!J:J,MATCH(1,(TRIM(Innings!A:A)=TRIM(A1506))*(TRIM(Innings!D:D)=TRIM(E1506)),0))</f>
        <v>43</v>
      </c>
      <c r="AC1506" cm="1">
        <f t="array" ref="AC1506">INDEX(Innings!N:N,MATCH(1,(TRIM(Innings!A:A)=TRIM(A1506))*(TRIM(Innings!D:D)=TRIM(E1506)),0))</f>
        <v>52</v>
      </c>
      <c r="AD1506" cm="1">
        <f t="array" ref="AD1506">INDEX(Innings!S:S,MATCH(1,(TRIM(Innings!A:A)=TRIM(A1506))*(TRIM(Innings!D:D)=TRIM(E1506)),0))</f>
        <v>39</v>
      </c>
      <c r="AE1506" t="str" cm="1">
        <f t="array" ref="AE1506">INDEX(Innings!W:W,MATCH(1,(TRIM(Innings!A:A)=TRIM(A1506))*(TRIM(Innings!D:D)=TRIM(E1506)),0))</f>
        <v>NA</v>
      </c>
      <c r="AF1506">
        <f>IF(UPPER(TRIM(E1506))=UPPER(TRIM(W1506)),1,0)</f>
        <v>1</v>
      </c>
      <c r="AG1506">
        <f t="shared" si="46"/>
        <v>41.2</v>
      </c>
    </row>
    <row r="1507" spans="1:33" x14ac:dyDescent="0.3">
      <c r="A1507" t="s">
        <v>603</v>
      </c>
      <c r="B1507">
        <v>4</v>
      </c>
      <c r="C1507" t="s">
        <v>507</v>
      </c>
      <c r="D1507" t="s">
        <v>519</v>
      </c>
      <c r="E1507" t="s">
        <v>266</v>
      </c>
      <c r="F1507" t="s">
        <v>169</v>
      </c>
      <c r="G1507" t="s">
        <v>104</v>
      </c>
      <c r="H1507">
        <v>0</v>
      </c>
      <c r="I1507">
        <v>0</v>
      </c>
      <c r="J1507">
        <v>0</v>
      </c>
      <c r="K1507" t="s">
        <v>104</v>
      </c>
      <c r="L1507">
        <v>0</v>
      </c>
      <c r="M1507">
        <v>1</v>
      </c>
      <c r="N1507">
        <v>0</v>
      </c>
      <c r="O1507">
        <v>9</v>
      </c>
      <c r="P1507">
        <v>1</v>
      </c>
      <c r="Q1507">
        <v>9</v>
      </c>
      <c r="R1507">
        <v>25</v>
      </c>
      <c r="S1507">
        <v>0</v>
      </c>
      <c r="T1507">
        <v>0</v>
      </c>
      <c r="U1507" s="8">
        <v>25</v>
      </c>
      <c r="V1507" s="8">
        <f t="shared" si="47"/>
        <v>3</v>
      </c>
      <c r="W1507" t="str">
        <f>_xlfn.XLOOKUP(A1507, Matches!A:A, Matches!L:L, "NA", 0)</f>
        <v>MIW</v>
      </c>
      <c r="X1507" t="str">
        <f>_xlfn.XLOOKUP(A1507, Matches!A:A, Matches!J:J, "NA", 0)</f>
        <v>DCW</v>
      </c>
      <c r="Y1507" t="str">
        <f>_xlfn.XLOOKUP(A1507, Matches!A:A, Matches!F:F, "NA", 0)</f>
        <v>Dr DY Patil Sports </v>
      </c>
      <c r="Z1507" cm="1">
        <f t="array" ref="Z1507">INDEX(Innings!F:F,MATCH(1,(TRIM(Innings!A:A)=TRIM(A1507))*(TRIM(Innings!D:D)=TRIM(E1507)),0))</f>
        <v>195</v>
      </c>
      <c r="AA1507" cm="1">
        <f t="array" ref="AA1507">INDEX(Innings!I:I,MATCH(1,(TRIM(Innings!A:A)=TRIM(A1507))*(TRIM(Innings!D:D)=TRIM(E1507)),0))</f>
        <v>9.75</v>
      </c>
      <c r="AB1507" cm="1">
        <f t="array" ref="AB1507">INDEX(Innings!J:J,MATCH(1,(TRIM(Innings!A:A)=TRIM(A1507))*(TRIM(Innings!D:D)=TRIM(E1507)),0))</f>
        <v>43</v>
      </c>
      <c r="AC1507" cm="1">
        <f t="array" ref="AC1507">INDEX(Innings!N:N,MATCH(1,(TRIM(Innings!A:A)=TRIM(A1507))*(TRIM(Innings!D:D)=TRIM(E1507)),0))</f>
        <v>52</v>
      </c>
      <c r="AD1507" cm="1">
        <f t="array" ref="AD1507">INDEX(Innings!S:S,MATCH(1,(TRIM(Innings!A:A)=TRIM(A1507))*(TRIM(Innings!D:D)=TRIM(E1507)),0))</f>
        <v>39</v>
      </c>
      <c r="AE1507" t="str" cm="1">
        <f t="array" ref="AE1507">INDEX(Innings!W:W,MATCH(1,(TRIM(Innings!A:A)=TRIM(A1507))*(TRIM(Innings!D:D)=TRIM(E1507)),0))</f>
        <v>NA</v>
      </c>
      <c r="AF1507">
        <f>IF(UPPER(TRIM(E1507))=UPPER(TRIM(W1507)),1,0)</f>
        <v>1</v>
      </c>
      <c r="AG1507">
        <f t="shared" si="46"/>
        <v>33.4</v>
      </c>
    </row>
    <row r="1508" spans="1:33" x14ac:dyDescent="0.3">
      <c r="A1508" t="s">
        <v>603</v>
      </c>
      <c r="B1508">
        <v>4</v>
      </c>
      <c r="C1508" t="s">
        <v>531</v>
      </c>
      <c r="D1508" t="s">
        <v>636</v>
      </c>
      <c r="E1508" t="s">
        <v>158</v>
      </c>
      <c r="F1508" t="s">
        <v>85</v>
      </c>
      <c r="G1508" t="s">
        <v>86</v>
      </c>
      <c r="H1508">
        <v>10</v>
      </c>
      <c r="I1508">
        <v>10</v>
      </c>
      <c r="J1508">
        <v>100</v>
      </c>
      <c r="K1508" t="s">
        <v>246</v>
      </c>
      <c r="L1508">
        <v>15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 s="8">
        <v>15</v>
      </c>
      <c r="V1508" s="8">
        <f t="shared" si="47"/>
        <v>2</v>
      </c>
      <c r="W1508" t="str">
        <f>_xlfn.XLOOKUP(A1508, Matches!A:A, Matches!L:L, "NA", 0)</f>
        <v>MIW</v>
      </c>
      <c r="X1508" t="str">
        <f>_xlfn.XLOOKUP(A1508, Matches!A:A, Matches!J:J, "NA", 0)</f>
        <v>DCW</v>
      </c>
      <c r="Y1508" t="str">
        <f>_xlfn.XLOOKUP(A1508, Matches!A:A, Matches!F:F, "NA", 0)</f>
        <v>Dr DY Patil Sports </v>
      </c>
      <c r="Z1508" cm="1">
        <f t="array" ref="Z1508">INDEX(Innings!F:F,MATCH(1,(TRIM(Innings!A:A)=TRIM(A1508))*(TRIM(Innings!D:D)=TRIM(E1508)),0))</f>
        <v>145</v>
      </c>
      <c r="AA1508" cm="1">
        <f t="array" ref="AA1508">INDEX(Innings!I:I,MATCH(1,(TRIM(Innings!A:A)=TRIM(A1508))*(TRIM(Innings!D:D)=TRIM(E1508)),0))</f>
        <v>7.63</v>
      </c>
      <c r="AB1508" cm="1">
        <f t="array" ref="AB1508">INDEX(Innings!J:J,MATCH(1,(TRIM(Innings!A:A)=TRIM(A1508))*(TRIM(Innings!D:D)=TRIM(E1508)),0))</f>
        <v>35</v>
      </c>
      <c r="AC1508" cm="1">
        <f t="array" ref="AC1508">INDEX(Innings!N:N,MATCH(1,(TRIM(Innings!A:A)=TRIM(A1508))*(TRIM(Innings!D:D)=TRIM(E1508)),0))</f>
        <v>27</v>
      </c>
      <c r="AD1508" cm="1">
        <f t="array" ref="AD1508">INDEX(Innings!S:S,MATCH(1,(TRIM(Innings!A:A)=TRIM(A1508))*(TRIM(Innings!D:D)=TRIM(E1508)),0))</f>
        <v>46</v>
      </c>
      <c r="AE1508" t="str" cm="1">
        <f t="array" ref="AE1508">INDEX(Innings!W:W,MATCH(1,(TRIM(Innings!A:A)=TRIM(A1508))*(TRIM(Innings!D:D)=TRIM(E1508)),0))</f>
        <v>Failed</v>
      </c>
      <c r="AF1508">
        <f>IF(UPPER(TRIM(E1508))=UPPER(TRIM(W1508)),1,0)</f>
        <v>0</v>
      </c>
      <c r="AG1508">
        <f t="shared" si="46"/>
        <v>8.1</v>
      </c>
    </row>
    <row r="1509" spans="1:33" x14ac:dyDescent="0.3">
      <c r="A1509" t="s">
        <v>603</v>
      </c>
      <c r="B1509">
        <v>4</v>
      </c>
      <c r="C1509" t="s">
        <v>188</v>
      </c>
      <c r="D1509" t="s">
        <v>189</v>
      </c>
      <c r="E1509" t="s">
        <v>158</v>
      </c>
      <c r="F1509" t="s">
        <v>109</v>
      </c>
      <c r="G1509" t="s">
        <v>86</v>
      </c>
      <c r="H1509">
        <v>8</v>
      </c>
      <c r="I1509">
        <v>13</v>
      </c>
      <c r="J1509">
        <v>61.54</v>
      </c>
      <c r="K1509" t="s">
        <v>245</v>
      </c>
      <c r="L1509">
        <v>-5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 s="8">
        <v>-5</v>
      </c>
      <c r="V1509" s="8">
        <f t="shared" si="47"/>
        <v>0</v>
      </c>
      <c r="W1509" t="str">
        <f>_xlfn.XLOOKUP(A1509, Matches!A:A, Matches!L:L, "NA", 0)</f>
        <v>MIW</v>
      </c>
      <c r="X1509" t="str">
        <f>_xlfn.XLOOKUP(A1509, Matches!A:A, Matches!J:J, "NA", 0)</f>
        <v>DCW</v>
      </c>
      <c r="Y1509" t="str">
        <f>_xlfn.XLOOKUP(A1509, Matches!A:A, Matches!F:F, "NA", 0)</f>
        <v>Dr DY Patil Sports </v>
      </c>
      <c r="Z1509" cm="1">
        <f t="array" ref="Z1509">INDEX(Innings!F:F,MATCH(1,(TRIM(Innings!A:A)=TRIM(A1509))*(TRIM(Innings!D:D)=TRIM(E1509)),0))</f>
        <v>145</v>
      </c>
      <c r="AA1509" cm="1">
        <f t="array" ref="AA1509">INDEX(Innings!I:I,MATCH(1,(TRIM(Innings!A:A)=TRIM(A1509))*(TRIM(Innings!D:D)=TRIM(E1509)),0))</f>
        <v>7.63</v>
      </c>
      <c r="AB1509" cm="1">
        <f t="array" ref="AB1509">INDEX(Innings!J:J,MATCH(1,(TRIM(Innings!A:A)=TRIM(A1509))*(TRIM(Innings!D:D)=TRIM(E1509)),0))</f>
        <v>35</v>
      </c>
      <c r="AC1509" cm="1">
        <f t="array" ref="AC1509">INDEX(Innings!N:N,MATCH(1,(TRIM(Innings!A:A)=TRIM(A1509))*(TRIM(Innings!D:D)=TRIM(E1509)),0))</f>
        <v>27</v>
      </c>
      <c r="AD1509" cm="1">
        <f t="array" ref="AD1509">INDEX(Innings!S:S,MATCH(1,(TRIM(Innings!A:A)=TRIM(A1509))*(TRIM(Innings!D:D)=TRIM(E1509)),0))</f>
        <v>46</v>
      </c>
      <c r="AE1509" t="str" cm="1">
        <f t="array" ref="AE1509">INDEX(Innings!W:W,MATCH(1,(TRIM(Innings!A:A)=TRIM(A1509))*(TRIM(Innings!D:D)=TRIM(E1509)),0))</f>
        <v>Failed</v>
      </c>
      <c r="AF1509">
        <f>IF(UPPER(TRIM(E1509))=UPPER(TRIM(W1509)),1,0)</f>
        <v>0</v>
      </c>
      <c r="AG1509">
        <f t="shared" si="46"/>
        <v>0</v>
      </c>
    </row>
    <row r="1510" spans="1:33" x14ac:dyDescent="0.3">
      <c r="A1510" t="s">
        <v>603</v>
      </c>
      <c r="B1510">
        <v>4</v>
      </c>
      <c r="C1510" t="s">
        <v>278</v>
      </c>
      <c r="D1510" t="s">
        <v>293</v>
      </c>
      <c r="E1510" t="s">
        <v>158</v>
      </c>
      <c r="F1510" t="s">
        <v>109</v>
      </c>
      <c r="G1510" t="s">
        <v>92</v>
      </c>
      <c r="H1510">
        <v>9</v>
      </c>
      <c r="I1510">
        <v>5</v>
      </c>
      <c r="J1510">
        <v>180</v>
      </c>
      <c r="K1510" t="s">
        <v>245</v>
      </c>
      <c r="L1510">
        <v>20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 s="8">
        <v>20</v>
      </c>
      <c r="V1510" s="8">
        <f t="shared" si="47"/>
        <v>2</v>
      </c>
      <c r="W1510" t="str">
        <f>_xlfn.XLOOKUP(A1510, Matches!A:A, Matches!L:L, "NA", 0)</f>
        <v>MIW</v>
      </c>
      <c r="X1510" t="str">
        <f>_xlfn.XLOOKUP(A1510, Matches!A:A, Matches!J:J, "NA", 0)</f>
        <v>DCW</v>
      </c>
      <c r="Y1510" t="str">
        <f>_xlfn.XLOOKUP(A1510, Matches!A:A, Matches!F:F, "NA", 0)</f>
        <v>Dr DY Patil Sports </v>
      </c>
      <c r="Z1510" cm="1">
        <f t="array" ref="Z1510">INDEX(Innings!F:F,MATCH(1,(TRIM(Innings!A:A)=TRIM(A1510))*(TRIM(Innings!D:D)=TRIM(E1510)),0))</f>
        <v>145</v>
      </c>
      <c r="AA1510" cm="1">
        <f t="array" ref="AA1510">INDEX(Innings!I:I,MATCH(1,(TRIM(Innings!A:A)=TRIM(A1510))*(TRIM(Innings!D:D)=TRIM(E1510)),0))</f>
        <v>7.63</v>
      </c>
      <c r="AB1510" cm="1">
        <f t="array" ref="AB1510">INDEX(Innings!J:J,MATCH(1,(TRIM(Innings!A:A)=TRIM(A1510))*(TRIM(Innings!D:D)=TRIM(E1510)),0))</f>
        <v>35</v>
      </c>
      <c r="AC1510" cm="1">
        <f t="array" ref="AC1510">INDEX(Innings!N:N,MATCH(1,(TRIM(Innings!A:A)=TRIM(A1510))*(TRIM(Innings!D:D)=TRIM(E1510)),0))</f>
        <v>27</v>
      </c>
      <c r="AD1510" cm="1">
        <f t="array" ref="AD1510">INDEX(Innings!S:S,MATCH(1,(TRIM(Innings!A:A)=TRIM(A1510))*(TRIM(Innings!D:D)=TRIM(E1510)),0))</f>
        <v>46</v>
      </c>
      <c r="AE1510" t="str" cm="1">
        <f t="array" ref="AE1510">INDEX(Innings!W:W,MATCH(1,(TRIM(Innings!A:A)=TRIM(A1510))*(TRIM(Innings!D:D)=TRIM(E1510)),0))</f>
        <v>Failed</v>
      </c>
      <c r="AF1510">
        <f>IF(UPPER(TRIM(E1510))=UPPER(TRIM(W1510)),1,0)</f>
        <v>0</v>
      </c>
      <c r="AG1510">
        <f t="shared" si="46"/>
        <v>10.6</v>
      </c>
    </row>
    <row r="1511" spans="1:33" x14ac:dyDescent="0.3">
      <c r="A1511" t="s">
        <v>603</v>
      </c>
      <c r="B1511">
        <v>4</v>
      </c>
      <c r="C1511" t="s">
        <v>194</v>
      </c>
      <c r="D1511" t="s">
        <v>195</v>
      </c>
      <c r="E1511" t="s">
        <v>158</v>
      </c>
      <c r="F1511" t="s">
        <v>109</v>
      </c>
      <c r="G1511" t="s">
        <v>92</v>
      </c>
      <c r="H1511">
        <v>1</v>
      </c>
      <c r="I1511">
        <v>3</v>
      </c>
      <c r="J1511">
        <v>33.33</v>
      </c>
      <c r="K1511" t="s">
        <v>246</v>
      </c>
      <c r="L1511">
        <v>-5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 s="8">
        <v>-5</v>
      </c>
      <c r="V1511" s="8">
        <f t="shared" si="47"/>
        <v>0</v>
      </c>
      <c r="W1511" t="str">
        <f>_xlfn.XLOOKUP(A1511, Matches!A:A, Matches!L:L, "NA", 0)</f>
        <v>MIW</v>
      </c>
      <c r="X1511" t="str">
        <f>_xlfn.XLOOKUP(A1511, Matches!A:A, Matches!J:J, "NA", 0)</f>
        <v>DCW</v>
      </c>
      <c r="Y1511" t="str">
        <f>_xlfn.XLOOKUP(A1511, Matches!A:A, Matches!F:F, "NA", 0)</f>
        <v>Dr DY Patil Sports </v>
      </c>
      <c r="Z1511" cm="1">
        <f t="array" ref="Z1511">INDEX(Innings!F:F,MATCH(1,(TRIM(Innings!A:A)=TRIM(A1511))*(TRIM(Innings!D:D)=TRIM(E1511)),0))</f>
        <v>145</v>
      </c>
      <c r="AA1511" cm="1">
        <f t="array" ref="AA1511">INDEX(Innings!I:I,MATCH(1,(TRIM(Innings!A:A)=TRIM(A1511))*(TRIM(Innings!D:D)=TRIM(E1511)),0))</f>
        <v>7.63</v>
      </c>
      <c r="AB1511" cm="1">
        <f t="array" ref="AB1511">INDEX(Innings!J:J,MATCH(1,(TRIM(Innings!A:A)=TRIM(A1511))*(TRIM(Innings!D:D)=TRIM(E1511)),0))</f>
        <v>35</v>
      </c>
      <c r="AC1511" cm="1">
        <f t="array" ref="AC1511">INDEX(Innings!N:N,MATCH(1,(TRIM(Innings!A:A)=TRIM(A1511))*(TRIM(Innings!D:D)=TRIM(E1511)),0))</f>
        <v>27</v>
      </c>
      <c r="AD1511" cm="1">
        <f t="array" ref="AD1511">INDEX(Innings!S:S,MATCH(1,(TRIM(Innings!A:A)=TRIM(A1511))*(TRIM(Innings!D:D)=TRIM(E1511)),0))</f>
        <v>46</v>
      </c>
      <c r="AE1511" t="str" cm="1">
        <f t="array" ref="AE1511">INDEX(Innings!W:W,MATCH(1,(TRIM(Innings!A:A)=TRIM(A1511))*(TRIM(Innings!D:D)=TRIM(E1511)),0))</f>
        <v>Failed</v>
      </c>
      <c r="AF1511">
        <f>IF(UPPER(TRIM(E1511))=UPPER(TRIM(W1511)),1,0)</f>
        <v>0</v>
      </c>
      <c r="AG1511">
        <f t="shared" si="46"/>
        <v>0</v>
      </c>
    </row>
    <row r="1512" spans="1:33" x14ac:dyDescent="0.3">
      <c r="A1512" t="s">
        <v>603</v>
      </c>
      <c r="B1512">
        <v>4</v>
      </c>
      <c r="C1512" t="s">
        <v>192</v>
      </c>
      <c r="D1512" t="s">
        <v>193</v>
      </c>
      <c r="E1512" t="s">
        <v>158</v>
      </c>
      <c r="F1512" t="s">
        <v>169</v>
      </c>
      <c r="G1512" t="s">
        <v>134</v>
      </c>
      <c r="H1512">
        <v>10</v>
      </c>
      <c r="I1512">
        <v>6</v>
      </c>
      <c r="J1512">
        <v>166.67</v>
      </c>
      <c r="K1512" t="s">
        <v>246</v>
      </c>
      <c r="L1512">
        <v>20</v>
      </c>
      <c r="M1512">
        <v>4</v>
      </c>
      <c r="N1512">
        <v>0</v>
      </c>
      <c r="O1512">
        <v>27</v>
      </c>
      <c r="P1512">
        <v>0</v>
      </c>
      <c r="Q1512">
        <v>6.8</v>
      </c>
      <c r="R1512">
        <v>15</v>
      </c>
      <c r="S1512">
        <v>0</v>
      </c>
      <c r="T1512">
        <v>0</v>
      </c>
      <c r="U1512" s="8">
        <v>35</v>
      </c>
      <c r="V1512" s="8">
        <f t="shared" si="47"/>
        <v>4</v>
      </c>
      <c r="W1512" t="str">
        <f>_xlfn.XLOOKUP(A1512, Matches!A:A, Matches!L:L, "NA", 0)</f>
        <v>MIW</v>
      </c>
      <c r="X1512" t="str">
        <f>_xlfn.XLOOKUP(A1512, Matches!A:A, Matches!J:J, "NA", 0)</f>
        <v>DCW</v>
      </c>
      <c r="Y1512" t="str">
        <f>_xlfn.XLOOKUP(A1512, Matches!A:A, Matches!F:F, "NA", 0)</f>
        <v>Dr DY Patil Sports </v>
      </c>
      <c r="Z1512" cm="1">
        <f t="array" ref="Z1512">INDEX(Innings!F:F,MATCH(1,(TRIM(Innings!A:A)=TRIM(A1512))*(TRIM(Innings!D:D)=TRIM(E1512)),0))</f>
        <v>145</v>
      </c>
      <c r="AA1512" cm="1">
        <f t="array" ref="AA1512">INDEX(Innings!I:I,MATCH(1,(TRIM(Innings!A:A)=TRIM(A1512))*(TRIM(Innings!D:D)=TRIM(E1512)),0))</f>
        <v>7.63</v>
      </c>
      <c r="AB1512" cm="1">
        <f t="array" ref="AB1512">INDEX(Innings!J:J,MATCH(1,(TRIM(Innings!A:A)=TRIM(A1512))*(TRIM(Innings!D:D)=TRIM(E1512)),0))</f>
        <v>35</v>
      </c>
      <c r="AC1512" cm="1">
        <f t="array" ref="AC1512">INDEX(Innings!N:N,MATCH(1,(TRIM(Innings!A:A)=TRIM(A1512))*(TRIM(Innings!D:D)=TRIM(E1512)),0))</f>
        <v>27</v>
      </c>
      <c r="AD1512" cm="1">
        <f t="array" ref="AD1512">INDEX(Innings!S:S,MATCH(1,(TRIM(Innings!A:A)=TRIM(A1512))*(TRIM(Innings!D:D)=TRIM(E1512)),0))</f>
        <v>46</v>
      </c>
      <c r="AE1512" t="str" cm="1">
        <f t="array" ref="AE1512">INDEX(Innings!W:W,MATCH(1,(TRIM(Innings!A:A)=TRIM(A1512))*(TRIM(Innings!D:D)=TRIM(E1512)),0))</f>
        <v>Failed</v>
      </c>
      <c r="AF1512">
        <f>IF(UPPER(TRIM(E1512))=UPPER(TRIM(W1512)),1,0)</f>
        <v>0</v>
      </c>
      <c r="AG1512">
        <f t="shared" si="46"/>
        <v>18.7</v>
      </c>
    </row>
    <row r="1513" spans="1:33" x14ac:dyDescent="0.3">
      <c r="A1513" t="s">
        <v>603</v>
      </c>
      <c r="B1513">
        <v>4</v>
      </c>
      <c r="C1513" t="s">
        <v>495</v>
      </c>
      <c r="D1513" t="s">
        <v>503</v>
      </c>
      <c r="E1513" t="s">
        <v>158</v>
      </c>
      <c r="F1513" t="s">
        <v>169</v>
      </c>
      <c r="G1513" t="s">
        <v>134</v>
      </c>
      <c r="H1513">
        <v>12</v>
      </c>
      <c r="I1513">
        <v>18</v>
      </c>
      <c r="J1513">
        <v>66.67</v>
      </c>
      <c r="K1513" t="s">
        <v>245</v>
      </c>
      <c r="L1513">
        <v>10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 s="8">
        <v>10</v>
      </c>
      <c r="V1513" s="8">
        <f t="shared" si="47"/>
        <v>1</v>
      </c>
      <c r="W1513" t="str">
        <f>_xlfn.XLOOKUP(A1513, Matches!A:A, Matches!L:L, "NA", 0)</f>
        <v>MIW</v>
      </c>
      <c r="X1513" t="str">
        <f>_xlfn.XLOOKUP(A1513, Matches!A:A, Matches!J:J, "NA", 0)</f>
        <v>DCW</v>
      </c>
      <c r="Y1513" t="str">
        <f>_xlfn.XLOOKUP(A1513, Matches!A:A, Matches!F:F, "NA", 0)</f>
        <v>Dr DY Patil Sports </v>
      </c>
      <c r="Z1513" cm="1">
        <f t="array" ref="Z1513">INDEX(Innings!F:F,MATCH(1,(TRIM(Innings!A:A)=TRIM(A1513))*(TRIM(Innings!D:D)=TRIM(E1513)),0))</f>
        <v>145</v>
      </c>
      <c r="AA1513" cm="1">
        <f t="array" ref="AA1513">INDEX(Innings!I:I,MATCH(1,(TRIM(Innings!A:A)=TRIM(A1513))*(TRIM(Innings!D:D)=TRIM(E1513)),0))</f>
        <v>7.63</v>
      </c>
      <c r="AB1513" cm="1">
        <f t="array" ref="AB1513">INDEX(Innings!J:J,MATCH(1,(TRIM(Innings!A:A)=TRIM(A1513))*(TRIM(Innings!D:D)=TRIM(E1513)),0))</f>
        <v>35</v>
      </c>
      <c r="AC1513" cm="1">
        <f t="array" ref="AC1513">INDEX(Innings!N:N,MATCH(1,(TRIM(Innings!A:A)=TRIM(A1513))*(TRIM(Innings!D:D)=TRIM(E1513)),0))</f>
        <v>27</v>
      </c>
      <c r="AD1513" cm="1">
        <f t="array" ref="AD1513">INDEX(Innings!S:S,MATCH(1,(TRIM(Innings!A:A)=TRIM(A1513))*(TRIM(Innings!D:D)=TRIM(E1513)),0))</f>
        <v>46</v>
      </c>
      <c r="AE1513" t="str" cm="1">
        <f t="array" ref="AE1513">INDEX(Innings!W:W,MATCH(1,(TRIM(Innings!A:A)=TRIM(A1513))*(TRIM(Innings!D:D)=TRIM(E1513)),0))</f>
        <v>Failed</v>
      </c>
      <c r="AF1513">
        <f>IF(UPPER(TRIM(E1513))=UPPER(TRIM(W1513)),1,0)</f>
        <v>0</v>
      </c>
      <c r="AG1513">
        <f t="shared" si="46"/>
        <v>5.3</v>
      </c>
    </row>
    <row r="1514" spans="1:33" x14ac:dyDescent="0.3">
      <c r="A1514" t="s">
        <v>603</v>
      </c>
      <c r="B1514">
        <v>4</v>
      </c>
      <c r="C1514" t="s">
        <v>512</v>
      </c>
      <c r="D1514" t="s">
        <v>542</v>
      </c>
      <c r="E1514" t="s">
        <v>158</v>
      </c>
      <c r="F1514" t="s">
        <v>169</v>
      </c>
      <c r="G1514" t="s">
        <v>134</v>
      </c>
      <c r="H1514">
        <v>56</v>
      </c>
      <c r="I1514">
        <v>33</v>
      </c>
      <c r="J1514">
        <v>169.7</v>
      </c>
      <c r="K1514" t="s">
        <v>246</v>
      </c>
      <c r="L1514">
        <v>75</v>
      </c>
      <c r="M1514">
        <v>3</v>
      </c>
      <c r="N1514">
        <v>0</v>
      </c>
      <c r="O1514">
        <v>32</v>
      </c>
      <c r="P1514">
        <v>1</v>
      </c>
      <c r="Q1514">
        <v>10.7</v>
      </c>
      <c r="R1514">
        <v>25</v>
      </c>
      <c r="S1514">
        <v>0</v>
      </c>
      <c r="T1514">
        <v>0</v>
      </c>
      <c r="U1514" s="8">
        <v>100</v>
      </c>
      <c r="V1514" s="8">
        <f t="shared" si="47"/>
        <v>10</v>
      </c>
      <c r="W1514" t="str">
        <f>_xlfn.XLOOKUP(A1514, Matches!A:A, Matches!L:L, "NA", 0)</f>
        <v>MIW</v>
      </c>
      <c r="X1514" t="str">
        <f>_xlfn.XLOOKUP(A1514, Matches!A:A, Matches!J:J, "NA", 0)</f>
        <v>DCW</v>
      </c>
      <c r="Y1514" t="str">
        <f>_xlfn.XLOOKUP(A1514, Matches!A:A, Matches!F:F, "NA", 0)</f>
        <v>Dr DY Patil Sports </v>
      </c>
      <c r="Z1514" cm="1">
        <f t="array" ref="Z1514">INDEX(Innings!F:F,MATCH(1,(TRIM(Innings!A:A)=TRIM(A1514))*(TRIM(Innings!D:D)=TRIM(E1514)),0))</f>
        <v>145</v>
      </c>
      <c r="AA1514" cm="1">
        <f t="array" ref="AA1514">INDEX(Innings!I:I,MATCH(1,(TRIM(Innings!A:A)=TRIM(A1514))*(TRIM(Innings!D:D)=TRIM(E1514)),0))</f>
        <v>7.63</v>
      </c>
      <c r="AB1514" cm="1">
        <f t="array" ref="AB1514">INDEX(Innings!J:J,MATCH(1,(TRIM(Innings!A:A)=TRIM(A1514))*(TRIM(Innings!D:D)=TRIM(E1514)),0))</f>
        <v>35</v>
      </c>
      <c r="AC1514" cm="1">
        <f t="array" ref="AC1514">INDEX(Innings!N:N,MATCH(1,(TRIM(Innings!A:A)=TRIM(A1514))*(TRIM(Innings!D:D)=TRIM(E1514)),0))</f>
        <v>27</v>
      </c>
      <c r="AD1514" cm="1">
        <f t="array" ref="AD1514">INDEX(Innings!S:S,MATCH(1,(TRIM(Innings!A:A)=TRIM(A1514))*(TRIM(Innings!D:D)=TRIM(E1514)),0))</f>
        <v>46</v>
      </c>
      <c r="AE1514" t="str" cm="1">
        <f t="array" ref="AE1514">INDEX(Innings!W:W,MATCH(1,(TRIM(Innings!A:A)=TRIM(A1514))*(TRIM(Innings!D:D)=TRIM(E1514)),0))</f>
        <v>Failed</v>
      </c>
      <c r="AF1514">
        <f>IF(UPPER(TRIM(E1514))=UPPER(TRIM(W1514)),1,0)</f>
        <v>0</v>
      </c>
      <c r="AG1514">
        <f t="shared" si="46"/>
        <v>53</v>
      </c>
    </row>
    <row r="1515" spans="1:33" x14ac:dyDescent="0.3">
      <c r="A1515" t="s">
        <v>603</v>
      </c>
      <c r="B1515">
        <v>4</v>
      </c>
      <c r="C1515" t="s">
        <v>102</v>
      </c>
      <c r="D1515" t="s">
        <v>126</v>
      </c>
      <c r="E1515" t="s">
        <v>158</v>
      </c>
      <c r="F1515" t="s">
        <v>169</v>
      </c>
      <c r="G1515" t="s">
        <v>134</v>
      </c>
      <c r="H1515">
        <v>11</v>
      </c>
      <c r="I1515">
        <v>11</v>
      </c>
      <c r="J1515">
        <v>100</v>
      </c>
      <c r="K1515" t="s">
        <v>246</v>
      </c>
      <c r="L1515">
        <v>15</v>
      </c>
      <c r="M1515">
        <v>3</v>
      </c>
      <c r="N1515">
        <v>0</v>
      </c>
      <c r="O1515">
        <v>32</v>
      </c>
      <c r="P1515">
        <v>0</v>
      </c>
      <c r="Q1515">
        <v>10.7</v>
      </c>
      <c r="R1515">
        <v>-5</v>
      </c>
      <c r="S1515">
        <v>0</v>
      </c>
      <c r="T1515">
        <v>0</v>
      </c>
      <c r="U1515" s="8">
        <v>10</v>
      </c>
      <c r="V1515" s="8">
        <f t="shared" si="47"/>
        <v>1</v>
      </c>
      <c r="W1515" t="str">
        <f>_xlfn.XLOOKUP(A1515, Matches!A:A, Matches!L:L, "NA", 0)</f>
        <v>MIW</v>
      </c>
      <c r="X1515" t="str">
        <f>_xlfn.XLOOKUP(A1515, Matches!A:A, Matches!J:J, "NA", 0)</f>
        <v>DCW</v>
      </c>
      <c r="Y1515" t="str">
        <f>_xlfn.XLOOKUP(A1515, Matches!A:A, Matches!F:F, "NA", 0)</f>
        <v>Dr DY Patil Sports </v>
      </c>
      <c r="Z1515" cm="1">
        <f t="array" ref="Z1515">INDEX(Innings!F:F,MATCH(1,(TRIM(Innings!A:A)=TRIM(A1515))*(TRIM(Innings!D:D)=TRIM(E1515)),0))</f>
        <v>145</v>
      </c>
      <c r="AA1515" cm="1">
        <f t="array" ref="AA1515">INDEX(Innings!I:I,MATCH(1,(TRIM(Innings!A:A)=TRIM(A1515))*(TRIM(Innings!D:D)=TRIM(E1515)),0))</f>
        <v>7.63</v>
      </c>
      <c r="AB1515" cm="1">
        <f t="array" ref="AB1515">INDEX(Innings!J:J,MATCH(1,(TRIM(Innings!A:A)=TRIM(A1515))*(TRIM(Innings!D:D)=TRIM(E1515)),0))</f>
        <v>35</v>
      </c>
      <c r="AC1515" cm="1">
        <f t="array" ref="AC1515">INDEX(Innings!N:N,MATCH(1,(TRIM(Innings!A:A)=TRIM(A1515))*(TRIM(Innings!D:D)=TRIM(E1515)),0))</f>
        <v>27</v>
      </c>
      <c r="AD1515" cm="1">
        <f t="array" ref="AD1515">INDEX(Innings!S:S,MATCH(1,(TRIM(Innings!A:A)=TRIM(A1515))*(TRIM(Innings!D:D)=TRIM(E1515)),0))</f>
        <v>46</v>
      </c>
      <c r="AE1515" t="str" cm="1">
        <f t="array" ref="AE1515">INDEX(Innings!W:W,MATCH(1,(TRIM(Innings!A:A)=TRIM(A1515))*(TRIM(Innings!D:D)=TRIM(E1515)),0))</f>
        <v>Failed</v>
      </c>
      <c r="AF1515">
        <f>IF(UPPER(TRIM(E1515))=UPPER(TRIM(W1515)),1,0)</f>
        <v>0</v>
      </c>
      <c r="AG1515">
        <f t="shared" si="46"/>
        <v>5.3</v>
      </c>
    </row>
    <row r="1516" spans="1:33" x14ac:dyDescent="0.3">
      <c r="A1516" t="s">
        <v>603</v>
      </c>
      <c r="B1516">
        <v>4</v>
      </c>
      <c r="C1516" t="s">
        <v>274</v>
      </c>
      <c r="D1516" t="s">
        <v>284</v>
      </c>
      <c r="E1516" t="s">
        <v>158</v>
      </c>
      <c r="F1516" t="s">
        <v>169</v>
      </c>
      <c r="G1516" t="s">
        <v>134</v>
      </c>
      <c r="H1516">
        <v>7</v>
      </c>
      <c r="I1516">
        <v>6</v>
      </c>
      <c r="J1516">
        <v>116.67</v>
      </c>
      <c r="K1516" t="s">
        <v>246</v>
      </c>
      <c r="L1516">
        <v>10</v>
      </c>
      <c r="M1516">
        <v>3</v>
      </c>
      <c r="N1516">
        <v>0</v>
      </c>
      <c r="O1516">
        <v>29</v>
      </c>
      <c r="P1516">
        <v>0</v>
      </c>
      <c r="Q1516">
        <v>9.6999999999999993</v>
      </c>
      <c r="R1516">
        <v>0</v>
      </c>
      <c r="S1516">
        <v>0</v>
      </c>
      <c r="T1516">
        <v>0</v>
      </c>
      <c r="U1516" s="8">
        <v>10</v>
      </c>
      <c r="V1516" s="8">
        <f t="shared" si="47"/>
        <v>1</v>
      </c>
      <c r="W1516" t="str">
        <f>_xlfn.XLOOKUP(A1516, Matches!A:A, Matches!L:L, "NA", 0)</f>
        <v>MIW</v>
      </c>
      <c r="X1516" t="str">
        <f>_xlfn.XLOOKUP(A1516, Matches!A:A, Matches!J:J, "NA", 0)</f>
        <v>DCW</v>
      </c>
      <c r="Y1516" t="str">
        <f>_xlfn.XLOOKUP(A1516, Matches!A:A, Matches!F:F, "NA", 0)</f>
        <v>Dr DY Patil Sports </v>
      </c>
      <c r="Z1516" cm="1">
        <f t="array" ref="Z1516">INDEX(Innings!F:F,MATCH(1,(TRIM(Innings!A:A)=TRIM(A1516))*(TRIM(Innings!D:D)=TRIM(E1516)),0))</f>
        <v>145</v>
      </c>
      <c r="AA1516" cm="1">
        <f t="array" ref="AA1516">INDEX(Innings!I:I,MATCH(1,(TRIM(Innings!A:A)=TRIM(A1516))*(TRIM(Innings!D:D)=TRIM(E1516)),0))</f>
        <v>7.63</v>
      </c>
      <c r="AB1516" cm="1">
        <f t="array" ref="AB1516">INDEX(Innings!J:J,MATCH(1,(TRIM(Innings!A:A)=TRIM(A1516))*(TRIM(Innings!D:D)=TRIM(E1516)),0))</f>
        <v>35</v>
      </c>
      <c r="AC1516" cm="1">
        <f t="array" ref="AC1516">INDEX(Innings!N:N,MATCH(1,(TRIM(Innings!A:A)=TRIM(A1516))*(TRIM(Innings!D:D)=TRIM(E1516)),0))</f>
        <v>27</v>
      </c>
      <c r="AD1516" cm="1">
        <f t="array" ref="AD1516">INDEX(Innings!S:S,MATCH(1,(TRIM(Innings!A:A)=TRIM(A1516))*(TRIM(Innings!D:D)=TRIM(E1516)),0))</f>
        <v>46</v>
      </c>
      <c r="AE1516" t="str" cm="1">
        <f t="array" ref="AE1516">INDEX(Innings!W:W,MATCH(1,(TRIM(Innings!A:A)=TRIM(A1516))*(TRIM(Innings!D:D)=TRIM(E1516)),0))</f>
        <v>Failed</v>
      </c>
      <c r="AF1516">
        <f>IF(UPPER(TRIM(E1516))=UPPER(TRIM(W1516)),1,0)</f>
        <v>0</v>
      </c>
      <c r="AG1516">
        <f t="shared" si="46"/>
        <v>5.3</v>
      </c>
    </row>
    <row r="1517" spans="1:33" x14ac:dyDescent="0.3">
      <c r="A1517" t="s">
        <v>603</v>
      </c>
      <c r="B1517">
        <v>4</v>
      </c>
      <c r="C1517" t="s">
        <v>532</v>
      </c>
      <c r="D1517" t="s">
        <v>637</v>
      </c>
      <c r="E1517" t="s">
        <v>158</v>
      </c>
      <c r="F1517" t="s">
        <v>101</v>
      </c>
      <c r="G1517" t="s">
        <v>134</v>
      </c>
      <c r="H1517">
        <v>10</v>
      </c>
      <c r="I1517">
        <v>6</v>
      </c>
      <c r="J1517">
        <v>166.67</v>
      </c>
      <c r="K1517" t="s">
        <v>96</v>
      </c>
      <c r="L1517">
        <v>20</v>
      </c>
      <c r="M1517">
        <v>4</v>
      </c>
      <c r="N1517">
        <v>0</v>
      </c>
      <c r="O1517">
        <v>45</v>
      </c>
      <c r="P1517">
        <v>1</v>
      </c>
      <c r="Q1517">
        <v>11.2</v>
      </c>
      <c r="R1517">
        <v>25</v>
      </c>
      <c r="S1517">
        <v>0</v>
      </c>
      <c r="T1517">
        <v>0</v>
      </c>
      <c r="U1517" s="8">
        <v>45</v>
      </c>
      <c r="V1517" s="8">
        <f t="shared" si="47"/>
        <v>5</v>
      </c>
      <c r="W1517" t="str">
        <f>_xlfn.XLOOKUP(A1517, Matches!A:A, Matches!L:L, "NA", 0)</f>
        <v>MIW</v>
      </c>
      <c r="X1517" t="str">
        <f>_xlfn.XLOOKUP(A1517, Matches!A:A, Matches!J:J, "NA", 0)</f>
        <v>DCW</v>
      </c>
      <c r="Y1517" t="str">
        <f>_xlfn.XLOOKUP(A1517, Matches!A:A, Matches!F:F, "NA", 0)</f>
        <v>Dr DY Patil Sports </v>
      </c>
      <c r="Z1517" cm="1">
        <f t="array" ref="Z1517">INDEX(Innings!F:F,MATCH(1,(TRIM(Innings!A:A)=TRIM(A1517))*(TRIM(Innings!D:D)=TRIM(E1517)),0))</f>
        <v>145</v>
      </c>
      <c r="AA1517" cm="1">
        <f t="array" ref="AA1517">INDEX(Innings!I:I,MATCH(1,(TRIM(Innings!A:A)=TRIM(A1517))*(TRIM(Innings!D:D)=TRIM(E1517)),0))</f>
        <v>7.63</v>
      </c>
      <c r="AB1517" cm="1">
        <f t="array" ref="AB1517">INDEX(Innings!J:J,MATCH(1,(TRIM(Innings!A:A)=TRIM(A1517))*(TRIM(Innings!D:D)=TRIM(E1517)),0))</f>
        <v>35</v>
      </c>
      <c r="AC1517" cm="1">
        <f t="array" ref="AC1517">INDEX(Innings!N:N,MATCH(1,(TRIM(Innings!A:A)=TRIM(A1517))*(TRIM(Innings!D:D)=TRIM(E1517)),0))</f>
        <v>27</v>
      </c>
      <c r="AD1517" cm="1">
        <f t="array" ref="AD1517">INDEX(Innings!S:S,MATCH(1,(TRIM(Innings!A:A)=TRIM(A1517))*(TRIM(Innings!D:D)=TRIM(E1517)),0))</f>
        <v>46</v>
      </c>
      <c r="AE1517" t="str" cm="1">
        <f t="array" ref="AE1517">INDEX(Innings!W:W,MATCH(1,(TRIM(Innings!A:A)=TRIM(A1517))*(TRIM(Innings!D:D)=TRIM(E1517)),0))</f>
        <v>Failed</v>
      </c>
      <c r="AF1517">
        <f>IF(UPPER(TRIM(E1517))=UPPER(TRIM(W1517)),1,0)</f>
        <v>0</v>
      </c>
      <c r="AG1517">
        <f t="shared" si="46"/>
        <v>24</v>
      </c>
    </row>
    <row r="1518" spans="1:33" x14ac:dyDescent="0.3">
      <c r="A1518" t="s">
        <v>603</v>
      </c>
      <c r="B1518">
        <v>4</v>
      </c>
      <c r="C1518" t="s">
        <v>533</v>
      </c>
      <c r="D1518" t="s">
        <v>638</v>
      </c>
      <c r="E1518" t="s">
        <v>158</v>
      </c>
      <c r="F1518" t="s">
        <v>101</v>
      </c>
      <c r="G1518" t="s">
        <v>134</v>
      </c>
      <c r="H1518">
        <v>0</v>
      </c>
      <c r="I1518">
        <v>3</v>
      </c>
      <c r="J1518">
        <v>0</v>
      </c>
      <c r="K1518" t="s">
        <v>246</v>
      </c>
      <c r="L1518">
        <v>0</v>
      </c>
      <c r="M1518">
        <v>3</v>
      </c>
      <c r="N1518">
        <v>0</v>
      </c>
      <c r="O1518">
        <v>26</v>
      </c>
      <c r="P1518">
        <v>2</v>
      </c>
      <c r="Q1518">
        <v>8.6999999999999993</v>
      </c>
      <c r="R1518">
        <v>50</v>
      </c>
      <c r="S1518">
        <v>0</v>
      </c>
      <c r="T1518">
        <v>0</v>
      </c>
      <c r="U1518" s="8">
        <v>50</v>
      </c>
      <c r="V1518" s="8">
        <f t="shared" si="47"/>
        <v>5</v>
      </c>
      <c r="W1518" t="str">
        <f>_xlfn.XLOOKUP(A1518, Matches!A:A, Matches!L:L, "NA", 0)</f>
        <v>MIW</v>
      </c>
      <c r="X1518" t="str">
        <f>_xlfn.XLOOKUP(A1518, Matches!A:A, Matches!J:J, "NA", 0)</f>
        <v>DCW</v>
      </c>
      <c r="Y1518" t="str">
        <f>_xlfn.XLOOKUP(A1518, Matches!A:A, Matches!F:F, "NA", 0)</f>
        <v>Dr DY Patil Sports </v>
      </c>
      <c r="Z1518" cm="1">
        <f t="array" ref="Z1518">INDEX(Innings!F:F,MATCH(1,(TRIM(Innings!A:A)=TRIM(A1518))*(TRIM(Innings!D:D)=TRIM(E1518)),0))</f>
        <v>145</v>
      </c>
      <c r="AA1518" cm="1">
        <f t="array" ref="AA1518">INDEX(Innings!I:I,MATCH(1,(TRIM(Innings!A:A)=TRIM(A1518))*(TRIM(Innings!D:D)=TRIM(E1518)),0))</f>
        <v>7.63</v>
      </c>
      <c r="AB1518" cm="1">
        <f t="array" ref="AB1518">INDEX(Innings!J:J,MATCH(1,(TRIM(Innings!A:A)=TRIM(A1518))*(TRIM(Innings!D:D)=TRIM(E1518)),0))</f>
        <v>35</v>
      </c>
      <c r="AC1518" cm="1">
        <f t="array" ref="AC1518">INDEX(Innings!N:N,MATCH(1,(TRIM(Innings!A:A)=TRIM(A1518))*(TRIM(Innings!D:D)=TRIM(E1518)),0))</f>
        <v>27</v>
      </c>
      <c r="AD1518" cm="1">
        <f t="array" ref="AD1518">INDEX(Innings!S:S,MATCH(1,(TRIM(Innings!A:A)=TRIM(A1518))*(TRIM(Innings!D:D)=TRIM(E1518)),0))</f>
        <v>46</v>
      </c>
      <c r="AE1518" t="str" cm="1">
        <f t="array" ref="AE1518">INDEX(Innings!W:W,MATCH(1,(TRIM(Innings!A:A)=TRIM(A1518))*(TRIM(Innings!D:D)=TRIM(E1518)),0))</f>
        <v>Failed</v>
      </c>
      <c r="AF1518">
        <f>IF(UPPER(TRIM(E1518))=UPPER(TRIM(W1518)),1,0)</f>
        <v>0</v>
      </c>
      <c r="AG1518">
        <f t="shared" si="46"/>
        <v>26.5</v>
      </c>
    </row>
    <row r="1519" spans="1:33" x14ac:dyDescent="0.3">
      <c r="A1519" t="s">
        <v>604</v>
      </c>
      <c r="B1519">
        <v>4</v>
      </c>
      <c r="C1519" t="s">
        <v>81</v>
      </c>
      <c r="D1519" t="s">
        <v>114</v>
      </c>
      <c r="E1519" t="s">
        <v>258</v>
      </c>
      <c r="F1519" t="s">
        <v>85</v>
      </c>
      <c r="G1519" t="s">
        <v>86</v>
      </c>
      <c r="H1519">
        <v>19</v>
      </c>
      <c r="I1519">
        <v>16</v>
      </c>
      <c r="J1519">
        <v>118.75</v>
      </c>
      <c r="K1519" t="s">
        <v>246</v>
      </c>
      <c r="L1519">
        <v>25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 s="8">
        <v>25</v>
      </c>
      <c r="V1519" s="8">
        <f t="shared" si="47"/>
        <v>3</v>
      </c>
      <c r="W1519" t="str">
        <f>_xlfn.XLOOKUP(A1519, Matches!A:A, Matches!L:L, "NA", 0)</f>
        <v>GGTW</v>
      </c>
      <c r="X1519" t="str">
        <f>_xlfn.XLOOKUP(A1519, Matches!A:A, Matches!J:J, "NA", 0)</f>
        <v>DCW</v>
      </c>
      <c r="Y1519" t="str">
        <f>_xlfn.XLOOKUP(A1519, Matches!A:A, Matches!F:F, "NA", 0)</f>
        <v>Dr DY Patil Sports </v>
      </c>
      <c r="Z1519" cm="1">
        <f t="array" ref="Z1519">INDEX(Innings!F:F,MATCH(1,(TRIM(Innings!A:A)=TRIM(A1519))*(TRIM(Innings!D:D)=TRIM(E1519)),0))</f>
        <v>209</v>
      </c>
      <c r="AA1519" cm="1">
        <f t="array" ref="AA1519">INDEX(Innings!I:I,MATCH(1,(TRIM(Innings!A:A)=TRIM(A1519))*(TRIM(Innings!D:D)=TRIM(E1519)),0))</f>
        <v>10.45</v>
      </c>
      <c r="AB1519" cm="1">
        <f t="array" ref="AB1519">INDEX(Innings!J:J,MATCH(1,(TRIM(Innings!A:A)=TRIM(A1519))*(TRIM(Innings!D:D)=TRIM(E1519)),0))</f>
        <v>80</v>
      </c>
      <c r="AC1519" cm="1">
        <f t="array" ref="AC1519">INDEX(Innings!N:N,MATCH(1,(TRIM(Innings!A:A)=TRIM(A1519))*(TRIM(Innings!D:D)=TRIM(E1519)),0))</f>
        <v>37</v>
      </c>
      <c r="AD1519" cm="1">
        <f t="array" ref="AD1519">INDEX(Innings!S:S,MATCH(1,(TRIM(Innings!A:A)=TRIM(A1519))*(TRIM(Innings!D:D)=TRIM(E1519)),0))</f>
        <v>33</v>
      </c>
      <c r="AE1519" t="str" cm="1">
        <f t="array" ref="AE1519">INDEX(Innings!W:W,MATCH(1,(TRIM(Innings!A:A)=TRIM(A1519))*(TRIM(Innings!D:D)=TRIM(E1519)),0))</f>
        <v>NA</v>
      </c>
      <c r="AF1519">
        <f>IF(UPPER(TRIM(E1519))=UPPER(TRIM(W1519)),1,0)</f>
        <v>1</v>
      </c>
      <c r="AG1519">
        <f t="shared" si="46"/>
        <v>33.4</v>
      </c>
    </row>
    <row r="1520" spans="1:33" x14ac:dyDescent="0.3">
      <c r="A1520" t="s">
        <v>604</v>
      </c>
      <c r="B1520">
        <v>4</v>
      </c>
      <c r="C1520" t="s">
        <v>167</v>
      </c>
      <c r="D1520" t="s">
        <v>168</v>
      </c>
      <c r="E1520" t="s">
        <v>258</v>
      </c>
      <c r="F1520" t="s">
        <v>169</v>
      </c>
      <c r="G1520" t="s">
        <v>92</v>
      </c>
      <c r="H1520">
        <v>95</v>
      </c>
      <c r="I1520">
        <v>42</v>
      </c>
      <c r="J1520">
        <v>226.19</v>
      </c>
      <c r="K1520" t="s">
        <v>246</v>
      </c>
      <c r="L1520">
        <v>120</v>
      </c>
      <c r="M1520">
        <v>3</v>
      </c>
      <c r="N1520">
        <v>0</v>
      </c>
      <c r="O1520">
        <v>21</v>
      </c>
      <c r="P1520">
        <v>2</v>
      </c>
      <c r="Q1520">
        <v>7</v>
      </c>
      <c r="R1520">
        <v>50</v>
      </c>
      <c r="S1520">
        <v>0</v>
      </c>
      <c r="T1520">
        <v>0</v>
      </c>
      <c r="U1520" s="8">
        <v>170</v>
      </c>
      <c r="V1520" s="8">
        <f t="shared" si="47"/>
        <v>10</v>
      </c>
      <c r="W1520" t="str">
        <f>_xlfn.XLOOKUP(A1520, Matches!A:A, Matches!L:L, "NA", 0)</f>
        <v>GGTW</v>
      </c>
      <c r="X1520" t="str">
        <f>_xlfn.XLOOKUP(A1520, Matches!A:A, Matches!J:J, "NA", 0)</f>
        <v>DCW</v>
      </c>
      <c r="Y1520" t="str">
        <f>_xlfn.XLOOKUP(A1520, Matches!A:A, Matches!F:F, "NA", 0)</f>
        <v>Dr DY Patil Sports </v>
      </c>
      <c r="Z1520" cm="1">
        <f t="array" ref="Z1520">INDEX(Innings!F:F,MATCH(1,(TRIM(Innings!A:A)=TRIM(A1520))*(TRIM(Innings!D:D)=TRIM(E1520)),0))</f>
        <v>209</v>
      </c>
      <c r="AA1520" cm="1">
        <f t="array" ref="AA1520">INDEX(Innings!I:I,MATCH(1,(TRIM(Innings!A:A)=TRIM(A1520))*(TRIM(Innings!D:D)=TRIM(E1520)),0))</f>
        <v>10.45</v>
      </c>
      <c r="AB1520" cm="1">
        <f t="array" ref="AB1520">INDEX(Innings!J:J,MATCH(1,(TRIM(Innings!A:A)=TRIM(A1520))*(TRIM(Innings!D:D)=TRIM(E1520)),0))</f>
        <v>80</v>
      </c>
      <c r="AC1520" cm="1">
        <f t="array" ref="AC1520">INDEX(Innings!N:N,MATCH(1,(TRIM(Innings!A:A)=TRIM(A1520))*(TRIM(Innings!D:D)=TRIM(E1520)),0))</f>
        <v>37</v>
      </c>
      <c r="AD1520" cm="1">
        <f t="array" ref="AD1520">INDEX(Innings!S:S,MATCH(1,(TRIM(Innings!A:A)=TRIM(A1520))*(TRIM(Innings!D:D)=TRIM(E1520)),0))</f>
        <v>33</v>
      </c>
      <c r="AE1520" t="str" cm="1">
        <f t="array" ref="AE1520">INDEX(Innings!W:W,MATCH(1,(TRIM(Innings!A:A)=TRIM(A1520))*(TRIM(Innings!D:D)=TRIM(E1520)),0))</f>
        <v>NA</v>
      </c>
      <c r="AF1520">
        <f>IF(UPPER(TRIM(E1520))=UPPER(TRIM(W1520)),1,0)</f>
        <v>1</v>
      </c>
      <c r="AG1520">
        <f t="shared" si="46"/>
        <v>108</v>
      </c>
    </row>
    <row r="1521" spans="1:33" x14ac:dyDescent="0.3">
      <c r="A1521" t="s">
        <v>604</v>
      </c>
      <c r="B1521">
        <v>4</v>
      </c>
      <c r="C1521" t="s">
        <v>93</v>
      </c>
      <c r="D1521" t="s">
        <v>118</v>
      </c>
      <c r="E1521" t="s">
        <v>258</v>
      </c>
      <c r="F1521" t="s">
        <v>169</v>
      </c>
      <c r="G1521" t="s">
        <v>92</v>
      </c>
      <c r="H1521">
        <v>49</v>
      </c>
      <c r="I1521">
        <v>26</v>
      </c>
      <c r="J1521">
        <v>188.46</v>
      </c>
      <c r="K1521" t="s">
        <v>246</v>
      </c>
      <c r="L1521">
        <v>70</v>
      </c>
      <c r="M1521">
        <v>2</v>
      </c>
      <c r="N1521">
        <v>0</v>
      </c>
      <c r="O1521">
        <v>28</v>
      </c>
      <c r="P1521">
        <v>0</v>
      </c>
      <c r="Q1521">
        <v>14</v>
      </c>
      <c r="R1521">
        <v>-10</v>
      </c>
      <c r="S1521">
        <v>0</v>
      </c>
      <c r="T1521">
        <v>0</v>
      </c>
      <c r="U1521" s="8">
        <v>60</v>
      </c>
      <c r="V1521" s="8">
        <f t="shared" si="47"/>
        <v>6</v>
      </c>
      <c r="W1521" t="str">
        <f>_xlfn.XLOOKUP(A1521, Matches!A:A, Matches!L:L, "NA", 0)</f>
        <v>GGTW</v>
      </c>
      <c r="X1521" t="str">
        <f>_xlfn.XLOOKUP(A1521, Matches!A:A, Matches!J:J, "NA", 0)</f>
        <v>DCW</v>
      </c>
      <c r="Y1521" t="str">
        <f>_xlfn.XLOOKUP(A1521, Matches!A:A, Matches!F:F, "NA", 0)</f>
        <v>Dr DY Patil Sports </v>
      </c>
      <c r="Z1521" cm="1">
        <f t="array" ref="Z1521">INDEX(Innings!F:F,MATCH(1,(TRIM(Innings!A:A)=TRIM(A1521))*(TRIM(Innings!D:D)=TRIM(E1521)),0))</f>
        <v>209</v>
      </c>
      <c r="AA1521" cm="1">
        <f t="array" ref="AA1521">INDEX(Innings!I:I,MATCH(1,(TRIM(Innings!A:A)=TRIM(A1521))*(TRIM(Innings!D:D)=TRIM(E1521)),0))</f>
        <v>10.45</v>
      </c>
      <c r="AB1521" cm="1">
        <f t="array" ref="AB1521">INDEX(Innings!J:J,MATCH(1,(TRIM(Innings!A:A)=TRIM(A1521))*(TRIM(Innings!D:D)=TRIM(E1521)),0))</f>
        <v>80</v>
      </c>
      <c r="AC1521" cm="1">
        <f t="array" ref="AC1521">INDEX(Innings!N:N,MATCH(1,(TRIM(Innings!A:A)=TRIM(A1521))*(TRIM(Innings!D:D)=TRIM(E1521)),0))</f>
        <v>37</v>
      </c>
      <c r="AD1521" cm="1">
        <f t="array" ref="AD1521">INDEX(Innings!S:S,MATCH(1,(TRIM(Innings!A:A)=TRIM(A1521))*(TRIM(Innings!D:D)=TRIM(E1521)),0))</f>
        <v>33</v>
      </c>
      <c r="AE1521" t="str" cm="1">
        <f t="array" ref="AE1521">INDEX(Innings!W:W,MATCH(1,(TRIM(Innings!A:A)=TRIM(A1521))*(TRIM(Innings!D:D)=TRIM(E1521)),0))</f>
        <v>NA</v>
      </c>
      <c r="AF1521">
        <f>IF(UPPER(TRIM(E1521))=UPPER(TRIM(W1521)),1,0)</f>
        <v>1</v>
      </c>
      <c r="AG1521">
        <f t="shared" si="46"/>
        <v>51.8</v>
      </c>
    </row>
    <row r="1522" spans="1:33" x14ac:dyDescent="0.3">
      <c r="A1522" t="s">
        <v>604</v>
      </c>
      <c r="B1522">
        <v>4</v>
      </c>
      <c r="C1522" t="s">
        <v>99</v>
      </c>
      <c r="D1522" t="s">
        <v>124</v>
      </c>
      <c r="E1522" t="s">
        <v>258</v>
      </c>
      <c r="F1522" t="s">
        <v>169</v>
      </c>
      <c r="G1522" t="s">
        <v>134</v>
      </c>
      <c r="H1522">
        <v>3</v>
      </c>
      <c r="I1522">
        <v>3</v>
      </c>
      <c r="J1522">
        <v>100</v>
      </c>
      <c r="K1522" t="s">
        <v>246</v>
      </c>
      <c r="L1522">
        <v>5</v>
      </c>
      <c r="M1522">
        <v>2</v>
      </c>
      <c r="N1522">
        <v>0</v>
      </c>
      <c r="O1522">
        <v>30</v>
      </c>
      <c r="P1522">
        <v>0</v>
      </c>
      <c r="Q1522">
        <v>15</v>
      </c>
      <c r="R1522">
        <v>-10</v>
      </c>
      <c r="S1522">
        <v>0</v>
      </c>
      <c r="T1522">
        <v>0</v>
      </c>
      <c r="U1522" s="8">
        <v>-5</v>
      </c>
      <c r="V1522" s="8">
        <f t="shared" si="47"/>
        <v>0</v>
      </c>
      <c r="W1522" t="str">
        <f>_xlfn.XLOOKUP(A1522, Matches!A:A, Matches!L:L, "NA", 0)</f>
        <v>GGTW</v>
      </c>
      <c r="X1522" t="str">
        <f>_xlfn.XLOOKUP(A1522, Matches!A:A, Matches!J:J, "NA", 0)</f>
        <v>DCW</v>
      </c>
      <c r="Y1522" t="str">
        <f>_xlfn.XLOOKUP(A1522, Matches!A:A, Matches!F:F, "NA", 0)</f>
        <v>Dr DY Patil Sports </v>
      </c>
      <c r="Z1522" cm="1">
        <f t="array" ref="Z1522">INDEX(Innings!F:F,MATCH(1,(TRIM(Innings!A:A)=TRIM(A1522))*(TRIM(Innings!D:D)=TRIM(E1522)),0))</f>
        <v>209</v>
      </c>
      <c r="AA1522" cm="1">
        <f t="array" ref="AA1522">INDEX(Innings!I:I,MATCH(1,(TRIM(Innings!A:A)=TRIM(A1522))*(TRIM(Innings!D:D)=TRIM(E1522)),0))</f>
        <v>10.45</v>
      </c>
      <c r="AB1522" cm="1">
        <f t="array" ref="AB1522">INDEX(Innings!J:J,MATCH(1,(TRIM(Innings!A:A)=TRIM(A1522))*(TRIM(Innings!D:D)=TRIM(E1522)),0))</f>
        <v>80</v>
      </c>
      <c r="AC1522" cm="1">
        <f t="array" ref="AC1522">INDEX(Innings!N:N,MATCH(1,(TRIM(Innings!A:A)=TRIM(A1522))*(TRIM(Innings!D:D)=TRIM(E1522)),0))</f>
        <v>37</v>
      </c>
      <c r="AD1522" cm="1">
        <f t="array" ref="AD1522">INDEX(Innings!S:S,MATCH(1,(TRIM(Innings!A:A)=TRIM(A1522))*(TRIM(Innings!D:D)=TRIM(E1522)),0))</f>
        <v>33</v>
      </c>
      <c r="AE1522" t="str" cm="1">
        <f t="array" ref="AE1522">INDEX(Innings!W:W,MATCH(1,(TRIM(Innings!A:A)=TRIM(A1522))*(TRIM(Innings!D:D)=TRIM(E1522)),0))</f>
        <v>NA</v>
      </c>
      <c r="AF1522">
        <f>IF(UPPER(TRIM(E1522))=UPPER(TRIM(W1522)),1,0)</f>
        <v>1</v>
      </c>
      <c r="AG1522">
        <f t="shared" si="46"/>
        <v>20</v>
      </c>
    </row>
    <row r="1523" spans="1:33" x14ac:dyDescent="0.3">
      <c r="A1523" t="s">
        <v>604</v>
      </c>
      <c r="B1523">
        <v>4</v>
      </c>
      <c r="C1523" t="s">
        <v>529</v>
      </c>
      <c r="D1523" t="s">
        <v>632</v>
      </c>
      <c r="E1523" t="s">
        <v>258</v>
      </c>
      <c r="F1523" t="s">
        <v>169</v>
      </c>
      <c r="G1523" t="s">
        <v>134</v>
      </c>
      <c r="H1523">
        <v>13</v>
      </c>
      <c r="I1523">
        <v>10</v>
      </c>
      <c r="J1523">
        <v>130</v>
      </c>
      <c r="K1523" t="s">
        <v>246</v>
      </c>
      <c r="L1523">
        <v>20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 s="8">
        <v>20</v>
      </c>
      <c r="V1523" s="8">
        <f t="shared" si="47"/>
        <v>2</v>
      </c>
      <c r="W1523" t="str">
        <f>_xlfn.XLOOKUP(A1523, Matches!A:A, Matches!L:L, "NA", 0)</f>
        <v>GGTW</v>
      </c>
      <c r="X1523" t="str">
        <f>_xlfn.XLOOKUP(A1523, Matches!A:A, Matches!J:J, "NA", 0)</f>
        <v>DCW</v>
      </c>
      <c r="Y1523" t="str">
        <f>_xlfn.XLOOKUP(A1523, Matches!A:A, Matches!F:F, "NA", 0)</f>
        <v>Dr DY Patil Sports </v>
      </c>
      <c r="Z1523" cm="1">
        <f t="array" ref="Z1523">INDEX(Innings!F:F,MATCH(1,(TRIM(Innings!A:A)=TRIM(A1523))*(TRIM(Innings!D:D)=TRIM(E1523)),0))</f>
        <v>209</v>
      </c>
      <c r="AA1523" cm="1">
        <f t="array" ref="AA1523">INDEX(Innings!I:I,MATCH(1,(TRIM(Innings!A:A)=TRIM(A1523))*(TRIM(Innings!D:D)=TRIM(E1523)),0))</f>
        <v>10.45</v>
      </c>
      <c r="AB1523" cm="1">
        <f t="array" ref="AB1523">INDEX(Innings!J:J,MATCH(1,(TRIM(Innings!A:A)=TRIM(A1523))*(TRIM(Innings!D:D)=TRIM(E1523)),0))</f>
        <v>80</v>
      </c>
      <c r="AC1523" cm="1">
        <f t="array" ref="AC1523">INDEX(Innings!N:N,MATCH(1,(TRIM(Innings!A:A)=TRIM(A1523))*(TRIM(Innings!D:D)=TRIM(E1523)),0))</f>
        <v>37</v>
      </c>
      <c r="AD1523" cm="1">
        <f t="array" ref="AD1523">INDEX(Innings!S:S,MATCH(1,(TRIM(Innings!A:A)=TRIM(A1523))*(TRIM(Innings!D:D)=TRIM(E1523)),0))</f>
        <v>33</v>
      </c>
      <c r="AE1523" t="str" cm="1">
        <f t="array" ref="AE1523">INDEX(Innings!W:W,MATCH(1,(TRIM(Innings!A:A)=TRIM(A1523))*(TRIM(Innings!D:D)=TRIM(E1523)),0))</f>
        <v>NA</v>
      </c>
      <c r="AF1523">
        <f>IF(UPPER(TRIM(E1523))=UPPER(TRIM(W1523)),1,0)</f>
        <v>1</v>
      </c>
      <c r="AG1523">
        <f t="shared" si="46"/>
        <v>30.6</v>
      </c>
    </row>
    <row r="1524" spans="1:33" x14ac:dyDescent="0.3">
      <c r="A1524" t="s">
        <v>604</v>
      </c>
      <c r="B1524">
        <v>4</v>
      </c>
      <c r="C1524" t="s">
        <v>447</v>
      </c>
      <c r="D1524" t="s">
        <v>448</v>
      </c>
      <c r="E1524" t="s">
        <v>258</v>
      </c>
      <c r="F1524" t="s">
        <v>109</v>
      </c>
      <c r="G1524" t="s">
        <v>134</v>
      </c>
      <c r="H1524">
        <v>3</v>
      </c>
      <c r="I1524">
        <v>6</v>
      </c>
      <c r="J1524">
        <v>50</v>
      </c>
      <c r="K1524" t="s">
        <v>246</v>
      </c>
      <c r="L1524">
        <v>-5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 s="8">
        <v>-5</v>
      </c>
      <c r="V1524" s="8">
        <f t="shared" si="47"/>
        <v>0</v>
      </c>
      <c r="W1524" t="str">
        <f>_xlfn.XLOOKUP(A1524, Matches!A:A, Matches!L:L, "NA", 0)</f>
        <v>GGTW</v>
      </c>
      <c r="X1524" t="str">
        <f>_xlfn.XLOOKUP(A1524, Matches!A:A, Matches!J:J, "NA", 0)</f>
        <v>DCW</v>
      </c>
      <c r="Y1524" t="str">
        <f>_xlfn.XLOOKUP(A1524, Matches!A:A, Matches!F:F, "NA", 0)</f>
        <v>Dr DY Patil Sports </v>
      </c>
      <c r="Z1524" cm="1">
        <f t="array" ref="Z1524">INDEX(Innings!F:F,MATCH(1,(TRIM(Innings!A:A)=TRIM(A1524))*(TRIM(Innings!D:D)=TRIM(E1524)),0))</f>
        <v>209</v>
      </c>
      <c r="AA1524" cm="1">
        <f t="array" ref="AA1524">INDEX(Innings!I:I,MATCH(1,(TRIM(Innings!A:A)=TRIM(A1524))*(TRIM(Innings!D:D)=TRIM(E1524)),0))</f>
        <v>10.45</v>
      </c>
      <c r="AB1524" cm="1">
        <f t="array" ref="AB1524">INDEX(Innings!J:J,MATCH(1,(TRIM(Innings!A:A)=TRIM(A1524))*(TRIM(Innings!D:D)=TRIM(E1524)),0))</f>
        <v>80</v>
      </c>
      <c r="AC1524" cm="1">
        <f t="array" ref="AC1524">INDEX(Innings!N:N,MATCH(1,(TRIM(Innings!A:A)=TRIM(A1524))*(TRIM(Innings!D:D)=TRIM(E1524)),0))</f>
        <v>37</v>
      </c>
      <c r="AD1524" cm="1">
        <f t="array" ref="AD1524">INDEX(Innings!S:S,MATCH(1,(TRIM(Innings!A:A)=TRIM(A1524))*(TRIM(Innings!D:D)=TRIM(E1524)),0))</f>
        <v>33</v>
      </c>
      <c r="AE1524" t="str" cm="1">
        <f t="array" ref="AE1524">INDEX(Innings!W:W,MATCH(1,(TRIM(Innings!A:A)=TRIM(A1524))*(TRIM(Innings!D:D)=TRIM(E1524)),0))</f>
        <v>NA</v>
      </c>
      <c r="AF1524">
        <f>IF(UPPER(TRIM(E1524))=UPPER(TRIM(W1524)),1,0)</f>
        <v>1</v>
      </c>
      <c r="AG1524">
        <f t="shared" si="46"/>
        <v>20</v>
      </c>
    </row>
    <row r="1525" spans="1:33" x14ac:dyDescent="0.3">
      <c r="A1525" t="s">
        <v>604</v>
      </c>
      <c r="B1525">
        <v>4</v>
      </c>
      <c r="C1525" t="s">
        <v>493</v>
      </c>
      <c r="D1525" t="s">
        <v>500</v>
      </c>
      <c r="E1525" t="s">
        <v>258</v>
      </c>
      <c r="F1525" t="s">
        <v>169</v>
      </c>
      <c r="G1525" t="s">
        <v>134</v>
      </c>
      <c r="H1525">
        <v>14</v>
      </c>
      <c r="I1525">
        <v>10</v>
      </c>
      <c r="J1525">
        <v>140</v>
      </c>
      <c r="K1525" t="s">
        <v>246</v>
      </c>
      <c r="L1525">
        <v>20</v>
      </c>
      <c r="M1525">
        <v>4</v>
      </c>
      <c r="N1525">
        <v>0</v>
      </c>
      <c r="O1525">
        <v>48</v>
      </c>
      <c r="P1525">
        <v>1</v>
      </c>
      <c r="Q1525">
        <v>12</v>
      </c>
      <c r="R1525">
        <v>25</v>
      </c>
      <c r="S1525">
        <v>0</v>
      </c>
      <c r="T1525">
        <v>0</v>
      </c>
      <c r="U1525" s="8">
        <v>45</v>
      </c>
      <c r="V1525" s="8">
        <f t="shared" si="47"/>
        <v>5</v>
      </c>
      <c r="W1525" t="str">
        <f>_xlfn.XLOOKUP(A1525, Matches!A:A, Matches!L:L, "NA", 0)</f>
        <v>GGTW</v>
      </c>
      <c r="X1525" t="str">
        <f>_xlfn.XLOOKUP(A1525, Matches!A:A, Matches!J:J, "NA", 0)</f>
        <v>DCW</v>
      </c>
      <c r="Y1525" t="str">
        <f>_xlfn.XLOOKUP(A1525, Matches!A:A, Matches!F:F, "NA", 0)</f>
        <v>Dr DY Patil Sports </v>
      </c>
      <c r="Z1525" cm="1">
        <f t="array" ref="Z1525">INDEX(Innings!F:F,MATCH(1,(TRIM(Innings!A:A)=TRIM(A1525))*(TRIM(Innings!D:D)=TRIM(E1525)),0))</f>
        <v>209</v>
      </c>
      <c r="AA1525" cm="1">
        <f t="array" ref="AA1525">INDEX(Innings!I:I,MATCH(1,(TRIM(Innings!A:A)=TRIM(A1525))*(TRIM(Innings!D:D)=TRIM(E1525)),0))</f>
        <v>10.45</v>
      </c>
      <c r="AB1525" cm="1">
        <f t="array" ref="AB1525">INDEX(Innings!J:J,MATCH(1,(TRIM(Innings!A:A)=TRIM(A1525))*(TRIM(Innings!D:D)=TRIM(E1525)),0))</f>
        <v>80</v>
      </c>
      <c r="AC1525" cm="1">
        <f t="array" ref="AC1525">INDEX(Innings!N:N,MATCH(1,(TRIM(Innings!A:A)=TRIM(A1525))*(TRIM(Innings!D:D)=TRIM(E1525)),0))</f>
        <v>37</v>
      </c>
      <c r="AD1525" cm="1">
        <f t="array" ref="AD1525">INDEX(Innings!S:S,MATCH(1,(TRIM(Innings!A:A)=TRIM(A1525))*(TRIM(Innings!D:D)=TRIM(E1525)),0))</f>
        <v>33</v>
      </c>
      <c r="AE1525" t="str" cm="1">
        <f t="array" ref="AE1525">INDEX(Innings!W:W,MATCH(1,(TRIM(Innings!A:A)=TRIM(A1525))*(TRIM(Innings!D:D)=TRIM(E1525)),0))</f>
        <v>NA</v>
      </c>
      <c r="AF1525">
        <f>IF(UPPER(TRIM(E1525))=UPPER(TRIM(W1525)),1,0)</f>
        <v>1</v>
      </c>
      <c r="AG1525">
        <f t="shared" si="46"/>
        <v>44</v>
      </c>
    </row>
    <row r="1526" spans="1:33" x14ac:dyDescent="0.3">
      <c r="A1526" t="s">
        <v>604</v>
      </c>
      <c r="B1526">
        <v>4</v>
      </c>
      <c r="C1526" t="s">
        <v>178</v>
      </c>
      <c r="D1526" t="s">
        <v>179</v>
      </c>
      <c r="E1526" t="s">
        <v>258</v>
      </c>
      <c r="F1526" t="s">
        <v>169</v>
      </c>
      <c r="G1526" t="s">
        <v>134</v>
      </c>
      <c r="H1526">
        <v>4</v>
      </c>
      <c r="I1526">
        <v>5</v>
      </c>
      <c r="J1526">
        <v>80</v>
      </c>
      <c r="K1526" t="s">
        <v>248</v>
      </c>
      <c r="L1526">
        <v>5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 s="8">
        <v>5</v>
      </c>
      <c r="V1526" s="8">
        <f t="shared" si="47"/>
        <v>1</v>
      </c>
      <c r="W1526" t="str">
        <f>_xlfn.XLOOKUP(A1526, Matches!A:A, Matches!L:L, "NA", 0)</f>
        <v>GGTW</v>
      </c>
      <c r="X1526" t="str">
        <f>_xlfn.XLOOKUP(A1526, Matches!A:A, Matches!J:J, "NA", 0)</f>
        <v>DCW</v>
      </c>
      <c r="Y1526" t="str">
        <f>_xlfn.XLOOKUP(A1526, Matches!A:A, Matches!F:F, "NA", 0)</f>
        <v>Dr DY Patil Sports </v>
      </c>
      <c r="Z1526" cm="1">
        <f t="array" ref="Z1526">INDEX(Innings!F:F,MATCH(1,(TRIM(Innings!A:A)=TRIM(A1526))*(TRIM(Innings!D:D)=TRIM(E1526)),0))</f>
        <v>209</v>
      </c>
      <c r="AA1526" cm="1">
        <f t="array" ref="AA1526">INDEX(Innings!I:I,MATCH(1,(TRIM(Innings!A:A)=TRIM(A1526))*(TRIM(Innings!D:D)=TRIM(E1526)),0))</f>
        <v>10.45</v>
      </c>
      <c r="AB1526" cm="1">
        <f t="array" ref="AB1526">INDEX(Innings!J:J,MATCH(1,(TRIM(Innings!A:A)=TRIM(A1526))*(TRIM(Innings!D:D)=TRIM(E1526)),0))</f>
        <v>80</v>
      </c>
      <c r="AC1526" cm="1">
        <f t="array" ref="AC1526">INDEX(Innings!N:N,MATCH(1,(TRIM(Innings!A:A)=TRIM(A1526))*(TRIM(Innings!D:D)=TRIM(E1526)),0))</f>
        <v>37</v>
      </c>
      <c r="AD1526" cm="1">
        <f t="array" ref="AD1526">INDEX(Innings!S:S,MATCH(1,(TRIM(Innings!A:A)=TRIM(A1526))*(TRIM(Innings!D:D)=TRIM(E1526)),0))</f>
        <v>33</v>
      </c>
      <c r="AE1526" t="str" cm="1">
        <f t="array" ref="AE1526">INDEX(Innings!W:W,MATCH(1,(TRIM(Innings!A:A)=TRIM(A1526))*(TRIM(Innings!D:D)=TRIM(E1526)),0))</f>
        <v>NA</v>
      </c>
      <c r="AF1526">
        <f>IF(UPPER(TRIM(E1526))=UPPER(TRIM(W1526)),1,0)</f>
        <v>1</v>
      </c>
      <c r="AG1526">
        <f t="shared" si="46"/>
        <v>22.8</v>
      </c>
    </row>
    <row r="1527" spans="1:33" x14ac:dyDescent="0.3">
      <c r="A1527" t="s">
        <v>604</v>
      </c>
      <c r="B1527">
        <v>4</v>
      </c>
      <c r="C1527" t="s">
        <v>105</v>
      </c>
      <c r="D1527" t="s">
        <v>128</v>
      </c>
      <c r="E1527" t="s">
        <v>258</v>
      </c>
      <c r="F1527" t="s">
        <v>101</v>
      </c>
      <c r="G1527" t="s">
        <v>134</v>
      </c>
      <c r="H1527">
        <v>1</v>
      </c>
      <c r="I1527">
        <v>1</v>
      </c>
      <c r="J1527">
        <v>100</v>
      </c>
      <c r="K1527" t="s">
        <v>96</v>
      </c>
      <c r="L1527">
        <v>5</v>
      </c>
      <c r="M1527">
        <v>3</v>
      </c>
      <c r="N1527">
        <v>0</v>
      </c>
      <c r="O1527">
        <v>27</v>
      </c>
      <c r="P1527">
        <v>0</v>
      </c>
      <c r="Q1527">
        <v>9</v>
      </c>
      <c r="R1527">
        <v>-5</v>
      </c>
      <c r="S1527">
        <v>0</v>
      </c>
      <c r="T1527">
        <v>0</v>
      </c>
      <c r="U1527" s="8">
        <v>0</v>
      </c>
      <c r="V1527" s="8">
        <f t="shared" si="47"/>
        <v>0</v>
      </c>
      <c r="W1527" t="str">
        <f>_xlfn.XLOOKUP(A1527, Matches!A:A, Matches!L:L, "NA", 0)</f>
        <v>GGTW</v>
      </c>
      <c r="X1527" t="str">
        <f>_xlfn.XLOOKUP(A1527, Matches!A:A, Matches!J:J, "NA", 0)</f>
        <v>DCW</v>
      </c>
      <c r="Y1527" t="str">
        <f>_xlfn.XLOOKUP(A1527, Matches!A:A, Matches!F:F, "NA", 0)</f>
        <v>Dr DY Patil Sports </v>
      </c>
      <c r="Z1527" cm="1">
        <f t="array" ref="Z1527">INDEX(Innings!F:F,MATCH(1,(TRIM(Innings!A:A)=TRIM(A1527))*(TRIM(Innings!D:D)=TRIM(E1527)),0))</f>
        <v>209</v>
      </c>
      <c r="AA1527" cm="1">
        <f t="array" ref="AA1527">INDEX(Innings!I:I,MATCH(1,(TRIM(Innings!A:A)=TRIM(A1527))*(TRIM(Innings!D:D)=TRIM(E1527)),0))</f>
        <v>10.45</v>
      </c>
      <c r="AB1527" cm="1">
        <f t="array" ref="AB1527">INDEX(Innings!J:J,MATCH(1,(TRIM(Innings!A:A)=TRIM(A1527))*(TRIM(Innings!D:D)=TRIM(E1527)),0))</f>
        <v>80</v>
      </c>
      <c r="AC1527" cm="1">
        <f t="array" ref="AC1527">INDEX(Innings!N:N,MATCH(1,(TRIM(Innings!A:A)=TRIM(A1527))*(TRIM(Innings!D:D)=TRIM(E1527)),0))</f>
        <v>37</v>
      </c>
      <c r="AD1527" cm="1">
        <f t="array" ref="AD1527">INDEX(Innings!S:S,MATCH(1,(TRIM(Innings!A:A)=TRIM(A1527))*(TRIM(Innings!D:D)=TRIM(E1527)),0))</f>
        <v>33</v>
      </c>
      <c r="AE1527" t="str" cm="1">
        <f t="array" ref="AE1527">INDEX(Innings!W:W,MATCH(1,(TRIM(Innings!A:A)=TRIM(A1527))*(TRIM(Innings!D:D)=TRIM(E1527)),0))</f>
        <v>NA</v>
      </c>
      <c r="AF1527">
        <f>IF(UPPER(TRIM(E1527))=UPPER(TRIM(W1527)),1,0)</f>
        <v>1</v>
      </c>
      <c r="AG1527">
        <f t="shared" si="46"/>
        <v>20</v>
      </c>
    </row>
    <row r="1528" spans="1:33" x14ac:dyDescent="0.3">
      <c r="A1528" t="s">
        <v>604</v>
      </c>
      <c r="B1528">
        <v>4</v>
      </c>
      <c r="C1528" t="s">
        <v>237</v>
      </c>
      <c r="D1528" t="s">
        <v>238</v>
      </c>
      <c r="E1528" t="s">
        <v>258</v>
      </c>
      <c r="F1528" t="s">
        <v>101</v>
      </c>
      <c r="G1528" t="s">
        <v>134</v>
      </c>
      <c r="H1528">
        <v>0</v>
      </c>
      <c r="I1528">
        <v>1</v>
      </c>
      <c r="J1528">
        <v>0</v>
      </c>
      <c r="K1528" t="s">
        <v>245</v>
      </c>
      <c r="L1528">
        <v>0</v>
      </c>
      <c r="M1528">
        <v>4</v>
      </c>
      <c r="N1528">
        <v>0</v>
      </c>
      <c r="O1528">
        <v>34</v>
      </c>
      <c r="P1528">
        <v>2</v>
      </c>
      <c r="Q1528">
        <v>8.5</v>
      </c>
      <c r="R1528">
        <v>50</v>
      </c>
      <c r="S1528">
        <v>0</v>
      </c>
      <c r="T1528">
        <v>0</v>
      </c>
      <c r="U1528" s="8">
        <v>50</v>
      </c>
      <c r="V1528" s="8">
        <f t="shared" si="47"/>
        <v>5</v>
      </c>
      <c r="W1528" t="str">
        <f>_xlfn.XLOOKUP(A1528, Matches!A:A, Matches!L:L, "NA", 0)</f>
        <v>GGTW</v>
      </c>
      <c r="X1528" t="str">
        <f>_xlfn.XLOOKUP(A1528, Matches!A:A, Matches!J:J, "NA", 0)</f>
        <v>DCW</v>
      </c>
      <c r="Y1528" t="str">
        <f>_xlfn.XLOOKUP(A1528, Matches!A:A, Matches!F:F, "NA", 0)</f>
        <v>Dr DY Patil Sports </v>
      </c>
      <c r="Z1528" cm="1">
        <f t="array" ref="Z1528">INDEX(Innings!F:F,MATCH(1,(TRIM(Innings!A:A)=TRIM(A1528))*(TRIM(Innings!D:D)=TRIM(E1528)),0))</f>
        <v>209</v>
      </c>
      <c r="AA1528" cm="1">
        <f t="array" ref="AA1528">INDEX(Innings!I:I,MATCH(1,(TRIM(Innings!A:A)=TRIM(A1528))*(TRIM(Innings!D:D)=TRIM(E1528)),0))</f>
        <v>10.45</v>
      </c>
      <c r="AB1528" cm="1">
        <f t="array" ref="AB1528">INDEX(Innings!J:J,MATCH(1,(TRIM(Innings!A:A)=TRIM(A1528))*(TRIM(Innings!D:D)=TRIM(E1528)),0))</f>
        <v>80</v>
      </c>
      <c r="AC1528" cm="1">
        <f t="array" ref="AC1528">INDEX(Innings!N:N,MATCH(1,(TRIM(Innings!A:A)=TRIM(A1528))*(TRIM(Innings!D:D)=TRIM(E1528)),0))</f>
        <v>37</v>
      </c>
      <c r="AD1528" cm="1">
        <f t="array" ref="AD1528">INDEX(Innings!S:S,MATCH(1,(TRIM(Innings!A:A)=TRIM(A1528))*(TRIM(Innings!D:D)=TRIM(E1528)),0))</f>
        <v>33</v>
      </c>
      <c r="AE1528" t="str" cm="1">
        <f t="array" ref="AE1528">INDEX(Innings!W:W,MATCH(1,(TRIM(Innings!A:A)=TRIM(A1528))*(TRIM(Innings!D:D)=TRIM(E1528)),0))</f>
        <v>NA</v>
      </c>
      <c r="AF1528">
        <f>IF(UPPER(TRIM(E1528))=UPPER(TRIM(W1528)),1,0)</f>
        <v>1</v>
      </c>
      <c r="AG1528">
        <f t="shared" si="46"/>
        <v>46.5</v>
      </c>
    </row>
    <row r="1529" spans="1:33" x14ac:dyDescent="0.3">
      <c r="A1529" t="s">
        <v>604</v>
      </c>
      <c r="B1529">
        <v>4</v>
      </c>
      <c r="C1529" t="s">
        <v>186</v>
      </c>
      <c r="D1529" t="s">
        <v>187</v>
      </c>
      <c r="E1529" t="s">
        <v>258</v>
      </c>
      <c r="F1529" t="s">
        <v>101</v>
      </c>
      <c r="G1529" t="s">
        <v>134</v>
      </c>
      <c r="H1529">
        <v>0</v>
      </c>
      <c r="I1529">
        <v>1</v>
      </c>
      <c r="J1529">
        <v>0</v>
      </c>
      <c r="K1529" t="s">
        <v>245</v>
      </c>
      <c r="L1529">
        <v>0</v>
      </c>
      <c r="M1529">
        <v>2</v>
      </c>
      <c r="N1529">
        <v>0</v>
      </c>
      <c r="O1529">
        <v>17</v>
      </c>
      <c r="P1529">
        <v>0</v>
      </c>
      <c r="Q1529">
        <v>8.5</v>
      </c>
      <c r="R1529">
        <v>0</v>
      </c>
      <c r="S1529">
        <v>0</v>
      </c>
      <c r="T1529">
        <v>0</v>
      </c>
      <c r="U1529" s="8">
        <v>0</v>
      </c>
      <c r="V1529" s="8">
        <f t="shared" si="47"/>
        <v>0</v>
      </c>
      <c r="W1529" t="str">
        <f>_xlfn.XLOOKUP(A1529, Matches!A:A, Matches!L:L, "NA", 0)</f>
        <v>GGTW</v>
      </c>
      <c r="X1529" t="str">
        <f>_xlfn.XLOOKUP(A1529, Matches!A:A, Matches!J:J, "NA", 0)</f>
        <v>DCW</v>
      </c>
      <c r="Y1529" t="str">
        <f>_xlfn.XLOOKUP(A1529, Matches!A:A, Matches!F:F, "NA", 0)</f>
        <v>Dr DY Patil Sports </v>
      </c>
      <c r="Z1529" cm="1">
        <f t="array" ref="Z1529">INDEX(Innings!F:F,MATCH(1,(TRIM(Innings!A:A)=TRIM(A1529))*(TRIM(Innings!D:D)=TRIM(E1529)),0))</f>
        <v>209</v>
      </c>
      <c r="AA1529" cm="1">
        <f t="array" ref="AA1529">INDEX(Innings!I:I,MATCH(1,(TRIM(Innings!A:A)=TRIM(A1529))*(TRIM(Innings!D:D)=TRIM(E1529)),0))</f>
        <v>10.45</v>
      </c>
      <c r="AB1529" cm="1">
        <f t="array" ref="AB1529">INDEX(Innings!J:J,MATCH(1,(TRIM(Innings!A:A)=TRIM(A1529))*(TRIM(Innings!D:D)=TRIM(E1529)),0))</f>
        <v>80</v>
      </c>
      <c r="AC1529" cm="1">
        <f t="array" ref="AC1529">INDEX(Innings!N:N,MATCH(1,(TRIM(Innings!A:A)=TRIM(A1529))*(TRIM(Innings!D:D)=TRIM(E1529)),0))</f>
        <v>37</v>
      </c>
      <c r="AD1529" cm="1">
        <f t="array" ref="AD1529">INDEX(Innings!S:S,MATCH(1,(TRIM(Innings!A:A)=TRIM(A1529))*(TRIM(Innings!D:D)=TRIM(E1529)),0))</f>
        <v>33</v>
      </c>
      <c r="AE1529" t="str" cm="1">
        <f t="array" ref="AE1529">INDEX(Innings!W:W,MATCH(1,(TRIM(Innings!A:A)=TRIM(A1529))*(TRIM(Innings!D:D)=TRIM(E1529)),0))</f>
        <v>NA</v>
      </c>
      <c r="AF1529">
        <f>IF(UPPER(TRIM(E1529))=UPPER(TRIM(W1529)),1,0)</f>
        <v>1</v>
      </c>
      <c r="AG1529">
        <f t="shared" si="46"/>
        <v>20</v>
      </c>
    </row>
    <row r="1530" spans="1:33" x14ac:dyDescent="0.3">
      <c r="A1530" t="s">
        <v>604</v>
      </c>
      <c r="B1530">
        <v>4</v>
      </c>
      <c r="C1530" t="s">
        <v>531</v>
      </c>
      <c r="D1530" t="s">
        <v>636</v>
      </c>
      <c r="E1530" t="s">
        <v>158</v>
      </c>
      <c r="F1530" t="s">
        <v>85</v>
      </c>
      <c r="G1530" t="s">
        <v>86</v>
      </c>
      <c r="H1530">
        <v>86</v>
      </c>
      <c r="I1530">
        <v>54</v>
      </c>
      <c r="J1530">
        <v>159.26</v>
      </c>
      <c r="K1530" t="s">
        <v>246</v>
      </c>
      <c r="L1530">
        <v>105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 s="8">
        <v>105</v>
      </c>
      <c r="V1530" s="8">
        <f t="shared" si="47"/>
        <v>10</v>
      </c>
      <c r="W1530" t="str">
        <f>_xlfn.XLOOKUP(A1530, Matches!A:A, Matches!L:L, "NA", 0)</f>
        <v>GGTW</v>
      </c>
      <c r="X1530" t="str">
        <f>_xlfn.XLOOKUP(A1530, Matches!A:A, Matches!J:J, "NA", 0)</f>
        <v>DCW</v>
      </c>
      <c r="Y1530" t="str">
        <f>_xlfn.XLOOKUP(A1530, Matches!A:A, Matches!F:F, "NA", 0)</f>
        <v>Dr DY Patil Sports </v>
      </c>
      <c r="Z1530" cm="1">
        <f t="array" ref="Z1530">INDEX(Innings!F:F,MATCH(1,(TRIM(Innings!A:A)=TRIM(A1530))*(TRIM(Innings!D:D)=TRIM(E1530)),0))</f>
        <v>205</v>
      </c>
      <c r="AA1530" cm="1">
        <f t="array" ref="AA1530">INDEX(Innings!I:I,MATCH(1,(TRIM(Innings!A:A)=TRIM(A1530))*(TRIM(Innings!D:D)=TRIM(E1530)),0))</f>
        <v>10.25</v>
      </c>
      <c r="AB1530" cm="1">
        <f t="array" ref="AB1530">INDEX(Innings!J:J,MATCH(1,(TRIM(Innings!A:A)=TRIM(A1530))*(TRIM(Innings!D:D)=TRIM(E1530)),0))</f>
        <v>47</v>
      </c>
      <c r="AC1530" cm="1">
        <f t="array" ref="AC1530">INDEX(Innings!N:N,MATCH(1,(TRIM(Innings!A:A)=TRIM(A1530))*(TRIM(Innings!D:D)=TRIM(E1530)),0))</f>
        <v>55</v>
      </c>
      <c r="AD1530" cm="1">
        <f t="array" ref="AD1530">INDEX(Innings!S:S,MATCH(1,(TRIM(Innings!A:A)=TRIM(A1530))*(TRIM(Innings!D:D)=TRIM(E1530)),0))</f>
        <v>33</v>
      </c>
      <c r="AE1530" t="str" cm="1">
        <f t="array" ref="AE1530">INDEX(Innings!W:W,MATCH(1,(TRIM(Innings!A:A)=TRIM(A1530))*(TRIM(Innings!D:D)=TRIM(E1530)),0))</f>
        <v>Failed</v>
      </c>
      <c r="AF1530">
        <f>IF(UPPER(TRIM(E1530))=UPPER(TRIM(W1530)),1,0)</f>
        <v>0</v>
      </c>
      <c r="AG1530">
        <f t="shared" si="46"/>
        <v>55.5</v>
      </c>
    </row>
    <row r="1531" spans="1:33" x14ac:dyDescent="0.3">
      <c r="A1531" t="s">
        <v>604</v>
      </c>
      <c r="B1531">
        <v>4</v>
      </c>
      <c r="C1531" t="s">
        <v>188</v>
      </c>
      <c r="D1531" t="s">
        <v>189</v>
      </c>
      <c r="E1531" t="s">
        <v>158</v>
      </c>
      <c r="F1531" t="s">
        <v>109</v>
      </c>
      <c r="G1531" t="s">
        <v>86</v>
      </c>
      <c r="H1531">
        <v>14</v>
      </c>
      <c r="I1531">
        <v>12</v>
      </c>
      <c r="J1531">
        <v>116.67</v>
      </c>
      <c r="K1531" t="s">
        <v>245</v>
      </c>
      <c r="L1531">
        <v>20</v>
      </c>
      <c r="M1531">
        <v>2</v>
      </c>
      <c r="N1531">
        <v>0</v>
      </c>
      <c r="O1531">
        <v>21</v>
      </c>
      <c r="P1531">
        <v>1</v>
      </c>
      <c r="Q1531">
        <v>10.5</v>
      </c>
      <c r="R1531">
        <v>25</v>
      </c>
      <c r="S1531">
        <v>0</v>
      </c>
      <c r="T1531">
        <v>0</v>
      </c>
      <c r="U1531" s="8">
        <v>45</v>
      </c>
      <c r="V1531" s="8">
        <f t="shared" si="47"/>
        <v>5</v>
      </c>
      <c r="W1531" t="str">
        <f>_xlfn.XLOOKUP(A1531, Matches!A:A, Matches!L:L, "NA", 0)</f>
        <v>GGTW</v>
      </c>
      <c r="X1531" t="str">
        <f>_xlfn.XLOOKUP(A1531, Matches!A:A, Matches!J:J, "NA", 0)</f>
        <v>DCW</v>
      </c>
      <c r="Y1531" t="str">
        <f>_xlfn.XLOOKUP(A1531, Matches!A:A, Matches!F:F, "NA", 0)</f>
        <v>Dr DY Patil Sports </v>
      </c>
      <c r="Z1531" cm="1">
        <f t="array" ref="Z1531">INDEX(Innings!F:F,MATCH(1,(TRIM(Innings!A:A)=TRIM(A1531))*(TRIM(Innings!D:D)=TRIM(E1531)),0))</f>
        <v>205</v>
      </c>
      <c r="AA1531" cm="1">
        <f t="array" ref="AA1531">INDEX(Innings!I:I,MATCH(1,(TRIM(Innings!A:A)=TRIM(A1531))*(TRIM(Innings!D:D)=TRIM(E1531)),0))</f>
        <v>10.25</v>
      </c>
      <c r="AB1531" cm="1">
        <f t="array" ref="AB1531">INDEX(Innings!J:J,MATCH(1,(TRIM(Innings!A:A)=TRIM(A1531))*(TRIM(Innings!D:D)=TRIM(E1531)),0))</f>
        <v>47</v>
      </c>
      <c r="AC1531" cm="1">
        <f t="array" ref="AC1531">INDEX(Innings!N:N,MATCH(1,(TRIM(Innings!A:A)=TRIM(A1531))*(TRIM(Innings!D:D)=TRIM(E1531)),0))</f>
        <v>55</v>
      </c>
      <c r="AD1531" cm="1">
        <f t="array" ref="AD1531">INDEX(Innings!S:S,MATCH(1,(TRIM(Innings!A:A)=TRIM(A1531))*(TRIM(Innings!D:D)=TRIM(E1531)),0))</f>
        <v>33</v>
      </c>
      <c r="AE1531" t="str" cm="1">
        <f t="array" ref="AE1531">INDEX(Innings!W:W,MATCH(1,(TRIM(Innings!A:A)=TRIM(A1531))*(TRIM(Innings!D:D)=TRIM(E1531)),0))</f>
        <v>Failed</v>
      </c>
      <c r="AF1531">
        <f>IF(UPPER(TRIM(E1531))=UPPER(TRIM(W1531)),1,0)</f>
        <v>0</v>
      </c>
      <c r="AG1531">
        <f t="shared" si="46"/>
        <v>24</v>
      </c>
    </row>
    <row r="1532" spans="1:33" x14ac:dyDescent="0.3">
      <c r="A1532" t="s">
        <v>604</v>
      </c>
      <c r="B1532">
        <v>4</v>
      </c>
      <c r="C1532" t="s">
        <v>278</v>
      </c>
      <c r="D1532" t="s">
        <v>293</v>
      </c>
      <c r="E1532" t="s">
        <v>158</v>
      </c>
      <c r="F1532" t="s">
        <v>109</v>
      </c>
      <c r="G1532" t="s">
        <v>92</v>
      </c>
      <c r="H1532">
        <v>77</v>
      </c>
      <c r="I1532">
        <v>38</v>
      </c>
      <c r="J1532">
        <v>202.63</v>
      </c>
      <c r="K1532" t="s">
        <v>246</v>
      </c>
      <c r="L1532">
        <v>95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 s="8">
        <v>95</v>
      </c>
      <c r="V1532" s="8">
        <f t="shared" si="47"/>
        <v>10</v>
      </c>
      <c r="W1532" t="str">
        <f>_xlfn.XLOOKUP(A1532, Matches!A:A, Matches!L:L, "NA", 0)</f>
        <v>GGTW</v>
      </c>
      <c r="X1532" t="str">
        <f>_xlfn.XLOOKUP(A1532, Matches!A:A, Matches!J:J, "NA", 0)</f>
        <v>DCW</v>
      </c>
      <c r="Y1532" t="str">
        <f>_xlfn.XLOOKUP(A1532, Matches!A:A, Matches!F:F, "NA", 0)</f>
        <v>Dr DY Patil Sports </v>
      </c>
      <c r="Z1532" cm="1">
        <f t="array" ref="Z1532">INDEX(Innings!F:F,MATCH(1,(TRIM(Innings!A:A)=TRIM(A1532))*(TRIM(Innings!D:D)=TRIM(E1532)),0))</f>
        <v>205</v>
      </c>
      <c r="AA1532" cm="1">
        <f t="array" ref="AA1532">INDEX(Innings!I:I,MATCH(1,(TRIM(Innings!A:A)=TRIM(A1532))*(TRIM(Innings!D:D)=TRIM(E1532)),0))</f>
        <v>10.25</v>
      </c>
      <c r="AB1532" cm="1">
        <f t="array" ref="AB1532">INDEX(Innings!J:J,MATCH(1,(TRIM(Innings!A:A)=TRIM(A1532))*(TRIM(Innings!D:D)=TRIM(E1532)),0))</f>
        <v>47</v>
      </c>
      <c r="AC1532" cm="1">
        <f t="array" ref="AC1532">INDEX(Innings!N:N,MATCH(1,(TRIM(Innings!A:A)=TRIM(A1532))*(TRIM(Innings!D:D)=TRIM(E1532)),0))</f>
        <v>55</v>
      </c>
      <c r="AD1532" cm="1">
        <f t="array" ref="AD1532">INDEX(Innings!S:S,MATCH(1,(TRIM(Innings!A:A)=TRIM(A1532))*(TRIM(Innings!D:D)=TRIM(E1532)),0))</f>
        <v>33</v>
      </c>
      <c r="AE1532" t="str" cm="1">
        <f t="array" ref="AE1532">INDEX(Innings!W:W,MATCH(1,(TRIM(Innings!A:A)=TRIM(A1532))*(TRIM(Innings!D:D)=TRIM(E1532)),0))</f>
        <v>Failed</v>
      </c>
      <c r="AF1532">
        <f>IF(UPPER(TRIM(E1532))=UPPER(TRIM(W1532)),1,0)</f>
        <v>0</v>
      </c>
      <c r="AG1532">
        <f t="shared" si="46"/>
        <v>50.5</v>
      </c>
    </row>
    <row r="1533" spans="1:33" x14ac:dyDescent="0.3">
      <c r="A1533" t="s">
        <v>604</v>
      </c>
      <c r="B1533">
        <v>4</v>
      </c>
      <c r="C1533" t="s">
        <v>512</v>
      </c>
      <c r="D1533" t="s">
        <v>542</v>
      </c>
      <c r="E1533" t="s">
        <v>158</v>
      </c>
      <c r="F1533" t="s">
        <v>169</v>
      </c>
      <c r="G1533" t="s">
        <v>134</v>
      </c>
      <c r="H1533">
        <v>7</v>
      </c>
      <c r="I1533">
        <v>6</v>
      </c>
      <c r="J1533">
        <v>116.67</v>
      </c>
      <c r="K1533" t="s">
        <v>246</v>
      </c>
      <c r="L1533">
        <v>10</v>
      </c>
      <c r="M1533">
        <v>4</v>
      </c>
      <c r="N1533">
        <v>0</v>
      </c>
      <c r="O1533">
        <v>43</v>
      </c>
      <c r="P1533">
        <v>2</v>
      </c>
      <c r="Q1533">
        <v>10.8</v>
      </c>
      <c r="R1533">
        <v>50</v>
      </c>
      <c r="S1533">
        <v>0</v>
      </c>
      <c r="T1533">
        <v>0</v>
      </c>
      <c r="U1533" s="8">
        <v>60</v>
      </c>
      <c r="V1533" s="8">
        <f t="shared" si="47"/>
        <v>6</v>
      </c>
      <c r="W1533" t="str">
        <f>_xlfn.XLOOKUP(A1533, Matches!A:A, Matches!L:L, "NA", 0)</f>
        <v>GGTW</v>
      </c>
      <c r="X1533" t="str">
        <f>_xlfn.XLOOKUP(A1533, Matches!A:A, Matches!J:J, "NA", 0)</f>
        <v>DCW</v>
      </c>
      <c r="Y1533" t="str">
        <f>_xlfn.XLOOKUP(A1533, Matches!A:A, Matches!F:F, "NA", 0)</f>
        <v>Dr DY Patil Sports </v>
      </c>
      <c r="Z1533" cm="1">
        <f t="array" ref="Z1533">INDEX(Innings!F:F,MATCH(1,(TRIM(Innings!A:A)=TRIM(A1533))*(TRIM(Innings!D:D)=TRIM(E1533)),0))</f>
        <v>205</v>
      </c>
      <c r="AA1533" cm="1">
        <f t="array" ref="AA1533">INDEX(Innings!I:I,MATCH(1,(TRIM(Innings!A:A)=TRIM(A1533))*(TRIM(Innings!D:D)=TRIM(E1533)),0))</f>
        <v>10.25</v>
      </c>
      <c r="AB1533" cm="1">
        <f t="array" ref="AB1533">INDEX(Innings!J:J,MATCH(1,(TRIM(Innings!A:A)=TRIM(A1533))*(TRIM(Innings!D:D)=TRIM(E1533)),0))</f>
        <v>47</v>
      </c>
      <c r="AC1533" cm="1">
        <f t="array" ref="AC1533">INDEX(Innings!N:N,MATCH(1,(TRIM(Innings!A:A)=TRIM(A1533))*(TRIM(Innings!D:D)=TRIM(E1533)),0))</f>
        <v>55</v>
      </c>
      <c r="AD1533" cm="1">
        <f t="array" ref="AD1533">INDEX(Innings!S:S,MATCH(1,(TRIM(Innings!A:A)=TRIM(A1533))*(TRIM(Innings!D:D)=TRIM(E1533)),0))</f>
        <v>33</v>
      </c>
      <c r="AE1533" t="str" cm="1">
        <f t="array" ref="AE1533">INDEX(Innings!W:W,MATCH(1,(TRIM(Innings!A:A)=TRIM(A1533))*(TRIM(Innings!D:D)=TRIM(E1533)),0))</f>
        <v>Failed</v>
      </c>
      <c r="AF1533">
        <f>IF(UPPER(TRIM(E1533))=UPPER(TRIM(W1533)),1,0)</f>
        <v>0</v>
      </c>
      <c r="AG1533">
        <f t="shared" si="46"/>
        <v>31.8</v>
      </c>
    </row>
    <row r="1534" spans="1:33" x14ac:dyDescent="0.3">
      <c r="A1534" t="s">
        <v>604</v>
      </c>
      <c r="B1534">
        <v>4</v>
      </c>
      <c r="C1534" t="s">
        <v>194</v>
      </c>
      <c r="D1534" t="s">
        <v>195</v>
      </c>
      <c r="E1534" t="s">
        <v>158</v>
      </c>
      <c r="F1534" t="s">
        <v>109</v>
      </c>
      <c r="G1534" t="s">
        <v>92</v>
      </c>
      <c r="H1534">
        <v>15</v>
      </c>
      <c r="I1534">
        <v>9</v>
      </c>
      <c r="J1534">
        <v>166.67</v>
      </c>
      <c r="K1534" t="s">
        <v>246</v>
      </c>
      <c r="L1534">
        <v>25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 s="8">
        <v>25</v>
      </c>
      <c r="V1534" s="8">
        <f t="shared" si="47"/>
        <v>3</v>
      </c>
      <c r="W1534" t="str">
        <f>_xlfn.XLOOKUP(A1534, Matches!A:A, Matches!L:L, "NA", 0)</f>
        <v>GGTW</v>
      </c>
      <c r="X1534" t="str">
        <f>_xlfn.XLOOKUP(A1534, Matches!A:A, Matches!J:J, "NA", 0)</f>
        <v>DCW</v>
      </c>
      <c r="Y1534" t="str">
        <f>_xlfn.XLOOKUP(A1534, Matches!A:A, Matches!F:F, "NA", 0)</f>
        <v>Dr DY Patil Sports </v>
      </c>
      <c r="Z1534" cm="1">
        <f t="array" ref="Z1534">INDEX(Innings!F:F,MATCH(1,(TRIM(Innings!A:A)=TRIM(A1534))*(TRIM(Innings!D:D)=TRIM(E1534)),0))</f>
        <v>205</v>
      </c>
      <c r="AA1534" cm="1">
        <f t="array" ref="AA1534">INDEX(Innings!I:I,MATCH(1,(TRIM(Innings!A:A)=TRIM(A1534))*(TRIM(Innings!D:D)=TRIM(E1534)),0))</f>
        <v>10.25</v>
      </c>
      <c r="AB1534" cm="1">
        <f t="array" ref="AB1534">INDEX(Innings!J:J,MATCH(1,(TRIM(Innings!A:A)=TRIM(A1534))*(TRIM(Innings!D:D)=TRIM(E1534)),0))</f>
        <v>47</v>
      </c>
      <c r="AC1534" cm="1">
        <f t="array" ref="AC1534">INDEX(Innings!N:N,MATCH(1,(TRIM(Innings!A:A)=TRIM(A1534))*(TRIM(Innings!D:D)=TRIM(E1534)),0))</f>
        <v>55</v>
      </c>
      <c r="AD1534" cm="1">
        <f t="array" ref="AD1534">INDEX(Innings!S:S,MATCH(1,(TRIM(Innings!A:A)=TRIM(A1534))*(TRIM(Innings!D:D)=TRIM(E1534)),0))</f>
        <v>33</v>
      </c>
      <c r="AE1534" t="str" cm="1">
        <f t="array" ref="AE1534">INDEX(Innings!W:W,MATCH(1,(TRIM(Innings!A:A)=TRIM(A1534))*(TRIM(Innings!D:D)=TRIM(E1534)),0))</f>
        <v>Failed</v>
      </c>
      <c r="AF1534">
        <f>IF(UPPER(TRIM(E1534))=UPPER(TRIM(W1534)),1,0)</f>
        <v>0</v>
      </c>
      <c r="AG1534">
        <f t="shared" si="46"/>
        <v>13.4</v>
      </c>
    </row>
    <row r="1535" spans="1:33" x14ac:dyDescent="0.3">
      <c r="A1535" t="s">
        <v>604</v>
      </c>
      <c r="B1535">
        <v>4</v>
      </c>
      <c r="C1535" t="s">
        <v>192</v>
      </c>
      <c r="D1535" t="s">
        <v>193</v>
      </c>
      <c r="E1535" t="s">
        <v>158</v>
      </c>
      <c r="F1535" t="s">
        <v>169</v>
      </c>
      <c r="G1535" t="s">
        <v>134</v>
      </c>
      <c r="H1535">
        <v>1</v>
      </c>
      <c r="I1535">
        <v>2</v>
      </c>
      <c r="J1535">
        <v>50</v>
      </c>
      <c r="K1535" t="s">
        <v>96</v>
      </c>
      <c r="L1535">
        <v>5</v>
      </c>
      <c r="M1535">
        <v>4</v>
      </c>
      <c r="N1535">
        <v>0</v>
      </c>
      <c r="O1535">
        <v>25</v>
      </c>
      <c r="P1535">
        <v>0</v>
      </c>
      <c r="Q1535">
        <v>6.2</v>
      </c>
      <c r="R1535">
        <v>10</v>
      </c>
      <c r="S1535">
        <v>0</v>
      </c>
      <c r="T1535">
        <v>0</v>
      </c>
      <c r="U1535" s="8">
        <v>15</v>
      </c>
      <c r="V1535" s="8">
        <f t="shared" si="47"/>
        <v>2</v>
      </c>
      <c r="W1535" t="str">
        <f>_xlfn.XLOOKUP(A1535, Matches!A:A, Matches!L:L, "NA", 0)</f>
        <v>GGTW</v>
      </c>
      <c r="X1535" t="str">
        <f>_xlfn.XLOOKUP(A1535, Matches!A:A, Matches!J:J, "NA", 0)</f>
        <v>DCW</v>
      </c>
      <c r="Y1535" t="str">
        <f>_xlfn.XLOOKUP(A1535, Matches!A:A, Matches!F:F, "NA", 0)</f>
        <v>Dr DY Patil Sports </v>
      </c>
      <c r="Z1535" cm="1">
        <f t="array" ref="Z1535">INDEX(Innings!F:F,MATCH(1,(TRIM(Innings!A:A)=TRIM(A1535))*(TRIM(Innings!D:D)=TRIM(E1535)),0))</f>
        <v>205</v>
      </c>
      <c r="AA1535" cm="1">
        <f t="array" ref="AA1535">INDEX(Innings!I:I,MATCH(1,(TRIM(Innings!A:A)=TRIM(A1535))*(TRIM(Innings!D:D)=TRIM(E1535)),0))</f>
        <v>10.25</v>
      </c>
      <c r="AB1535" cm="1">
        <f t="array" ref="AB1535">INDEX(Innings!J:J,MATCH(1,(TRIM(Innings!A:A)=TRIM(A1535))*(TRIM(Innings!D:D)=TRIM(E1535)),0))</f>
        <v>47</v>
      </c>
      <c r="AC1535" cm="1">
        <f t="array" ref="AC1535">INDEX(Innings!N:N,MATCH(1,(TRIM(Innings!A:A)=TRIM(A1535))*(TRIM(Innings!D:D)=TRIM(E1535)),0))</f>
        <v>55</v>
      </c>
      <c r="AD1535" cm="1">
        <f t="array" ref="AD1535">INDEX(Innings!S:S,MATCH(1,(TRIM(Innings!A:A)=TRIM(A1535))*(TRIM(Innings!D:D)=TRIM(E1535)),0))</f>
        <v>33</v>
      </c>
      <c r="AE1535" t="str" cm="1">
        <f t="array" ref="AE1535">INDEX(Innings!W:W,MATCH(1,(TRIM(Innings!A:A)=TRIM(A1535))*(TRIM(Innings!D:D)=TRIM(E1535)),0))</f>
        <v>Failed</v>
      </c>
      <c r="AF1535">
        <f>IF(UPPER(TRIM(E1535))=UPPER(TRIM(W1535)),1,0)</f>
        <v>0</v>
      </c>
      <c r="AG1535">
        <f t="shared" si="46"/>
        <v>8.1</v>
      </c>
    </row>
    <row r="1536" spans="1:33" x14ac:dyDescent="0.3">
      <c r="A1536" t="s">
        <v>604</v>
      </c>
      <c r="B1536">
        <v>4</v>
      </c>
      <c r="C1536" t="s">
        <v>102</v>
      </c>
      <c r="D1536" t="s">
        <v>126</v>
      </c>
      <c r="E1536" t="s">
        <v>158</v>
      </c>
      <c r="F1536" t="s">
        <v>169</v>
      </c>
      <c r="G1536" t="s">
        <v>134</v>
      </c>
      <c r="H1536">
        <v>0</v>
      </c>
      <c r="I1536">
        <v>1</v>
      </c>
      <c r="J1536">
        <v>0</v>
      </c>
      <c r="K1536" t="s">
        <v>96</v>
      </c>
      <c r="L1536">
        <v>5</v>
      </c>
      <c r="M1536">
        <v>1</v>
      </c>
      <c r="N1536">
        <v>0</v>
      </c>
      <c r="O1536">
        <v>32</v>
      </c>
      <c r="P1536">
        <v>0</v>
      </c>
      <c r="Q1536">
        <v>32</v>
      </c>
      <c r="R1536">
        <v>-10</v>
      </c>
      <c r="S1536">
        <v>0</v>
      </c>
      <c r="T1536">
        <v>0</v>
      </c>
      <c r="U1536" s="8">
        <v>-5</v>
      </c>
      <c r="V1536" s="8">
        <f t="shared" si="47"/>
        <v>0</v>
      </c>
      <c r="W1536" t="str">
        <f>_xlfn.XLOOKUP(A1536, Matches!A:A, Matches!L:L, "NA", 0)</f>
        <v>GGTW</v>
      </c>
      <c r="X1536" t="str">
        <f>_xlfn.XLOOKUP(A1536, Matches!A:A, Matches!J:J, "NA", 0)</f>
        <v>DCW</v>
      </c>
      <c r="Y1536" t="str">
        <f>_xlfn.XLOOKUP(A1536, Matches!A:A, Matches!F:F, "NA", 0)</f>
        <v>Dr DY Patil Sports </v>
      </c>
      <c r="Z1536" cm="1">
        <f t="array" ref="Z1536">INDEX(Innings!F:F,MATCH(1,(TRIM(Innings!A:A)=TRIM(A1536))*(TRIM(Innings!D:D)=TRIM(E1536)),0))</f>
        <v>205</v>
      </c>
      <c r="AA1536" cm="1">
        <f t="array" ref="AA1536">INDEX(Innings!I:I,MATCH(1,(TRIM(Innings!A:A)=TRIM(A1536))*(TRIM(Innings!D:D)=TRIM(E1536)),0))</f>
        <v>10.25</v>
      </c>
      <c r="AB1536" cm="1">
        <f t="array" ref="AB1536">INDEX(Innings!J:J,MATCH(1,(TRIM(Innings!A:A)=TRIM(A1536))*(TRIM(Innings!D:D)=TRIM(E1536)),0))</f>
        <v>47</v>
      </c>
      <c r="AC1536" cm="1">
        <f t="array" ref="AC1536">INDEX(Innings!N:N,MATCH(1,(TRIM(Innings!A:A)=TRIM(A1536))*(TRIM(Innings!D:D)=TRIM(E1536)),0))</f>
        <v>55</v>
      </c>
      <c r="AD1536" cm="1">
        <f t="array" ref="AD1536">INDEX(Innings!S:S,MATCH(1,(TRIM(Innings!A:A)=TRIM(A1536))*(TRIM(Innings!D:D)=TRIM(E1536)),0))</f>
        <v>33</v>
      </c>
      <c r="AE1536" t="str" cm="1">
        <f t="array" ref="AE1536">INDEX(Innings!W:W,MATCH(1,(TRIM(Innings!A:A)=TRIM(A1536))*(TRIM(Innings!D:D)=TRIM(E1536)),0))</f>
        <v>Failed</v>
      </c>
      <c r="AF1536">
        <f>IF(UPPER(TRIM(E1536))=UPPER(TRIM(W1536)),1,0)</f>
        <v>0</v>
      </c>
      <c r="AG1536">
        <f t="shared" ref="AG1536:AG1599" si="48">(0.5*MAX(0,U1536) + 0.3*MAX(0,V1536) + 0.2*AF1536*100)</f>
        <v>0</v>
      </c>
    </row>
    <row r="1537" spans="1:33" x14ac:dyDescent="0.3">
      <c r="A1537" t="s">
        <v>604</v>
      </c>
      <c r="B1537">
        <v>4</v>
      </c>
      <c r="C1537" t="s">
        <v>495</v>
      </c>
      <c r="D1537" t="s">
        <v>503</v>
      </c>
      <c r="E1537" t="s">
        <v>158</v>
      </c>
      <c r="F1537" t="s">
        <v>169</v>
      </c>
      <c r="G1537" t="s">
        <v>104</v>
      </c>
      <c r="H1537">
        <v>0</v>
      </c>
      <c r="I1537">
        <v>0</v>
      </c>
      <c r="J1537">
        <v>0</v>
      </c>
      <c r="K1537" t="s">
        <v>104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 s="8">
        <v>0</v>
      </c>
      <c r="V1537" s="8">
        <f t="shared" si="47"/>
        <v>0</v>
      </c>
      <c r="W1537" t="str">
        <f>_xlfn.XLOOKUP(A1537, Matches!A:A, Matches!L:L, "NA", 0)</f>
        <v>GGTW</v>
      </c>
      <c r="X1537" t="str">
        <f>_xlfn.XLOOKUP(A1537, Matches!A:A, Matches!J:J, "NA", 0)</f>
        <v>DCW</v>
      </c>
      <c r="Y1537" t="str">
        <f>_xlfn.XLOOKUP(A1537, Matches!A:A, Matches!F:F, "NA", 0)</f>
        <v>Dr DY Patil Sports </v>
      </c>
      <c r="Z1537" cm="1">
        <f t="array" ref="Z1537">INDEX(Innings!F:F,MATCH(1,(TRIM(Innings!A:A)=TRIM(A1537))*(TRIM(Innings!D:D)=TRIM(E1537)),0))</f>
        <v>205</v>
      </c>
      <c r="AA1537" cm="1">
        <f t="array" ref="AA1537">INDEX(Innings!I:I,MATCH(1,(TRIM(Innings!A:A)=TRIM(A1537))*(TRIM(Innings!D:D)=TRIM(E1537)),0))</f>
        <v>10.25</v>
      </c>
      <c r="AB1537" cm="1">
        <f t="array" ref="AB1537">INDEX(Innings!J:J,MATCH(1,(TRIM(Innings!A:A)=TRIM(A1537))*(TRIM(Innings!D:D)=TRIM(E1537)),0))</f>
        <v>47</v>
      </c>
      <c r="AC1537" cm="1">
        <f t="array" ref="AC1537">INDEX(Innings!N:N,MATCH(1,(TRIM(Innings!A:A)=TRIM(A1537))*(TRIM(Innings!D:D)=TRIM(E1537)),0))</f>
        <v>55</v>
      </c>
      <c r="AD1537" cm="1">
        <f t="array" ref="AD1537">INDEX(Innings!S:S,MATCH(1,(TRIM(Innings!A:A)=TRIM(A1537))*(TRIM(Innings!D:D)=TRIM(E1537)),0))</f>
        <v>33</v>
      </c>
      <c r="AE1537" t="str" cm="1">
        <f t="array" ref="AE1537">INDEX(Innings!W:W,MATCH(1,(TRIM(Innings!A:A)=TRIM(A1537))*(TRIM(Innings!D:D)=TRIM(E1537)),0))</f>
        <v>Failed</v>
      </c>
      <c r="AF1537">
        <f>IF(UPPER(TRIM(E1537))=UPPER(TRIM(W1537)),1,0)</f>
        <v>0</v>
      </c>
      <c r="AG1537">
        <f t="shared" si="48"/>
        <v>0</v>
      </c>
    </row>
    <row r="1538" spans="1:33" x14ac:dyDescent="0.3">
      <c r="A1538" t="s">
        <v>604</v>
      </c>
      <c r="B1538">
        <v>4</v>
      </c>
      <c r="C1538" t="s">
        <v>274</v>
      </c>
      <c r="D1538" t="s">
        <v>284</v>
      </c>
      <c r="E1538" t="s">
        <v>158</v>
      </c>
      <c r="F1538" t="s">
        <v>169</v>
      </c>
      <c r="G1538" t="s">
        <v>104</v>
      </c>
      <c r="H1538">
        <v>0</v>
      </c>
      <c r="I1538">
        <v>0</v>
      </c>
      <c r="J1538">
        <v>0</v>
      </c>
      <c r="K1538" t="s">
        <v>104</v>
      </c>
      <c r="L1538">
        <v>0</v>
      </c>
      <c r="M1538">
        <v>1</v>
      </c>
      <c r="N1538">
        <v>0</v>
      </c>
      <c r="O1538">
        <v>13</v>
      </c>
      <c r="P1538">
        <v>0</v>
      </c>
      <c r="Q1538">
        <v>13</v>
      </c>
      <c r="R1538">
        <v>-5</v>
      </c>
      <c r="S1538">
        <v>0</v>
      </c>
      <c r="T1538">
        <v>0</v>
      </c>
      <c r="U1538" s="8">
        <v>-5</v>
      </c>
      <c r="V1538" s="8">
        <f t="shared" si="47"/>
        <v>0</v>
      </c>
      <c r="W1538" t="str">
        <f>_xlfn.XLOOKUP(A1538, Matches!A:A, Matches!L:L, "NA", 0)</f>
        <v>GGTW</v>
      </c>
      <c r="X1538" t="str">
        <f>_xlfn.XLOOKUP(A1538, Matches!A:A, Matches!J:J, "NA", 0)</f>
        <v>DCW</v>
      </c>
      <c r="Y1538" t="str">
        <f>_xlfn.XLOOKUP(A1538, Matches!A:A, Matches!F:F, "NA", 0)</f>
        <v>Dr DY Patil Sports </v>
      </c>
      <c r="Z1538" cm="1">
        <f t="array" ref="Z1538">INDEX(Innings!F:F,MATCH(1,(TRIM(Innings!A:A)=TRIM(A1538))*(TRIM(Innings!D:D)=TRIM(E1538)),0))</f>
        <v>205</v>
      </c>
      <c r="AA1538" cm="1">
        <f t="array" ref="AA1538">INDEX(Innings!I:I,MATCH(1,(TRIM(Innings!A:A)=TRIM(A1538))*(TRIM(Innings!D:D)=TRIM(E1538)),0))</f>
        <v>10.25</v>
      </c>
      <c r="AB1538" cm="1">
        <f t="array" ref="AB1538">INDEX(Innings!J:J,MATCH(1,(TRIM(Innings!A:A)=TRIM(A1538))*(TRIM(Innings!D:D)=TRIM(E1538)),0))</f>
        <v>47</v>
      </c>
      <c r="AC1538" cm="1">
        <f t="array" ref="AC1538">INDEX(Innings!N:N,MATCH(1,(TRIM(Innings!A:A)=TRIM(A1538))*(TRIM(Innings!D:D)=TRIM(E1538)),0))</f>
        <v>55</v>
      </c>
      <c r="AD1538" cm="1">
        <f t="array" ref="AD1538">INDEX(Innings!S:S,MATCH(1,(TRIM(Innings!A:A)=TRIM(A1538))*(TRIM(Innings!D:D)=TRIM(E1538)),0))</f>
        <v>33</v>
      </c>
      <c r="AE1538" t="str" cm="1">
        <f t="array" ref="AE1538">INDEX(Innings!W:W,MATCH(1,(TRIM(Innings!A:A)=TRIM(A1538))*(TRIM(Innings!D:D)=TRIM(E1538)),0))</f>
        <v>Failed</v>
      </c>
      <c r="AF1538">
        <f>IF(UPPER(TRIM(E1538))=UPPER(TRIM(W1538)),1,0)</f>
        <v>0</v>
      </c>
      <c r="AG1538">
        <f t="shared" si="48"/>
        <v>0</v>
      </c>
    </row>
    <row r="1539" spans="1:33" x14ac:dyDescent="0.3">
      <c r="A1539" t="s">
        <v>604</v>
      </c>
      <c r="B1539">
        <v>4</v>
      </c>
      <c r="C1539" t="s">
        <v>533</v>
      </c>
      <c r="D1539" t="s">
        <v>638</v>
      </c>
      <c r="E1539" t="s">
        <v>158</v>
      </c>
      <c r="F1539" t="s">
        <v>101</v>
      </c>
      <c r="G1539" t="s">
        <v>104</v>
      </c>
      <c r="H1539">
        <v>0</v>
      </c>
      <c r="I1539">
        <v>0</v>
      </c>
      <c r="J1539">
        <v>0</v>
      </c>
      <c r="K1539" t="s">
        <v>104</v>
      </c>
      <c r="L1539">
        <v>0</v>
      </c>
      <c r="M1539">
        <v>4</v>
      </c>
      <c r="N1539">
        <v>0</v>
      </c>
      <c r="O1539">
        <v>33</v>
      </c>
      <c r="P1539">
        <v>5</v>
      </c>
      <c r="Q1539">
        <v>8.1999999999999993</v>
      </c>
      <c r="R1539">
        <v>125</v>
      </c>
      <c r="S1539">
        <v>0</v>
      </c>
      <c r="T1539">
        <v>0</v>
      </c>
      <c r="U1539" s="8">
        <v>125</v>
      </c>
      <c r="V1539" s="8">
        <f t="shared" ref="V1539:V1602" si="49">MIN(10, MAX(0, ROUND(U1539/10,0)))</f>
        <v>10</v>
      </c>
      <c r="W1539" t="str">
        <f>_xlfn.XLOOKUP(A1539, Matches!A:A, Matches!L:L, "NA", 0)</f>
        <v>GGTW</v>
      </c>
      <c r="X1539" t="str">
        <f>_xlfn.XLOOKUP(A1539, Matches!A:A, Matches!J:J, "NA", 0)</f>
        <v>DCW</v>
      </c>
      <c r="Y1539" t="str">
        <f>_xlfn.XLOOKUP(A1539, Matches!A:A, Matches!F:F, "NA", 0)</f>
        <v>Dr DY Patil Sports </v>
      </c>
      <c r="Z1539" cm="1">
        <f t="array" ref="Z1539">INDEX(Innings!F:F,MATCH(1,(TRIM(Innings!A:A)=TRIM(A1539))*(TRIM(Innings!D:D)=TRIM(E1539)),0))</f>
        <v>205</v>
      </c>
      <c r="AA1539" cm="1">
        <f t="array" ref="AA1539">INDEX(Innings!I:I,MATCH(1,(TRIM(Innings!A:A)=TRIM(A1539))*(TRIM(Innings!D:D)=TRIM(E1539)),0))</f>
        <v>10.25</v>
      </c>
      <c r="AB1539" cm="1">
        <f t="array" ref="AB1539">INDEX(Innings!J:J,MATCH(1,(TRIM(Innings!A:A)=TRIM(A1539))*(TRIM(Innings!D:D)=TRIM(E1539)),0))</f>
        <v>47</v>
      </c>
      <c r="AC1539" cm="1">
        <f t="array" ref="AC1539">INDEX(Innings!N:N,MATCH(1,(TRIM(Innings!A:A)=TRIM(A1539))*(TRIM(Innings!D:D)=TRIM(E1539)),0))</f>
        <v>55</v>
      </c>
      <c r="AD1539" cm="1">
        <f t="array" ref="AD1539">INDEX(Innings!S:S,MATCH(1,(TRIM(Innings!A:A)=TRIM(A1539))*(TRIM(Innings!D:D)=TRIM(E1539)),0))</f>
        <v>33</v>
      </c>
      <c r="AE1539" t="str" cm="1">
        <f t="array" ref="AE1539">INDEX(Innings!W:W,MATCH(1,(TRIM(Innings!A:A)=TRIM(A1539))*(TRIM(Innings!D:D)=TRIM(E1539)),0))</f>
        <v>Failed</v>
      </c>
      <c r="AF1539">
        <f>IF(UPPER(TRIM(E1539))=UPPER(TRIM(W1539)),1,0)</f>
        <v>0</v>
      </c>
      <c r="AG1539">
        <f t="shared" si="48"/>
        <v>65.5</v>
      </c>
    </row>
    <row r="1540" spans="1:33" x14ac:dyDescent="0.3">
      <c r="A1540" t="s">
        <v>604</v>
      </c>
      <c r="B1540">
        <v>4</v>
      </c>
      <c r="C1540" t="s">
        <v>532</v>
      </c>
      <c r="D1540" t="s">
        <v>637</v>
      </c>
      <c r="E1540" t="s">
        <v>158</v>
      </c>
      <c r="F1540" t="s">
        <v>101</v>
      </c>
      <c r="G1540" t="s">
        <v>104</v>
      </c>
      <c r="H1540">
        <v>0</v>
      </c>
      <c r="I1540">
        <v>0</v>
      </c>
      <c r="J1540">
        <v>0</v>
      </c>
      <c r="K1540" t="s">
        <v>104</v>
      </c>
      <c r="L1540">
        <v>0</v>
      </c>
      <c r="M1540">
        <v>4</v>
      </c>
      <c r="N1540">
        <v>0</v>
      </c>
      <c r="O1540">
        <v>42</v>
      </c>
      <c r="P1540">
        <v>2</v>
      </c>
      <c r="Q1540">
        <v>10.5</v>
      </c>
      <c r="R1540">
        <v>50</v>
      </c>
      <c r="S1540">
        <v>0</v>
      </c>
      <c r="T1540">
        <v>0</v>
      </c>
      <c r="U1540" s="8">
        <v>50</v>
      </c>
      <c r="V1540" s="8">
        <f t="shared" si="49"/>
        <v>5</v>
      </c>
      <c r="W1540" t="str">
        <f>_xlfn.XLOOKUP(A1540, Matches!A:A, Matches!L:L, "NA", 0)</f>
        <v>GGTW</v>
      </c>
      <c r="X1540" t="str">
        <f>_xlfn.XLOOKUP(A1540, Matches!A:A, Matches!J:J, "NA", 0)</f>
        <v>DCW</v>
      </c>
      <c r="Y1540" t="str">
        <f>_xlfn.XLOOKUP(A1540, Matches!A:A, Matches!F:F, "NA", 0)</f>
        <v>Dr DY Patil Sports </v>
      </c>
      <c r="Z1540" cm="1">
        <f t="array" ref="Z1540">INDEX(Innings!F:F,MATCH(1,(TRIM(Innings!A:A)=TRIM(A1540))*(TRIM(Innings!D:D)=TRIM(E1540)),0))</f>
        <v>205</v>
      </c>
      <c r="AA1540" cm="1">
        <f t="array" ref="AA1540">INDEX(Innings!I:I,MATCH(1,(TRIM(Innings!A:A)=TRIM(A1540))*(TRIM(Innings!D:D)=TRIM(E1540)),0))</f>
        <v>10.25</v>
      </c>
      <c r="AB1540" cm="1">
        <f t="array" ref="AB1540">INDEX(Innings!J:J,MATCH(1,(TRIM(Innings!A:A)=TRIM(A1540))*(TRIM(Innings!D:D)=TRIM(E1540)),0))</f>
        <v>47</v>
      </c>
      <c r="AC1540" cm="1">
        <f t="array" ref="AC1540">INDEX(Innings!N:N,MATCH(1,(TRIM(Innings!A:A)=TRIM(A1540))*(TRIM(Innings!D:D)=TRIM(E1540)),0))</f>
        <v>55</v>
      </c>
      <c r="AD1540" cm="1">
        <f t="array" ref="AD1540">INDEX(Innings!S:S,MATCH(1,(TRIM(Innings!A:A)=TRIM(A1540))*(TRIM(Innings!D:D)=TRIM(E1540)),0))</f>
        <v>33</v>
      </c>
      <c r="AE1540" t="str" cm="1">
        <f t="array" ref="AE1540">INDEX(Innings!W:W,MATCH(1,(TRIM(Innings!A:A)=TRIM(A1540))*(TRIM(Innings!D:D)=TRIM(E1540)),0))</f>
        <v>Failed</v>
      </c>
      <c r="AF1540">
        <f>IF(UPPER(TRIM(E1540))=UPPER(TRIM(W1540)),1,0)</f>
        <v>0</v>
      </c>
      <c r="AG1540">
        <f t="shared" si="48"/>
        <v>26.5</v>
      </c>
    </row>
    <row r="1541" spans="1:33" x14ac:dyDescent="0.3">
      <c r="A1541" t="s">
        <v>605</v>
      </c>
      <c r="B1541">
        <v>4</v>
      </c>
      <c r="C1541" t="s">
        <v>190</v>
      </c>
      <c r="D1541" t="s">
        <v>191</v>
      </c>
      <c r="E1541" t="s">
        <v>219</v>
      </c>
      <c r="F1541" t="s">
        <v>109</v>
      </c>
      <c r="G1541" t="s">
        <v>86</v>
      </c>
      <c r="H1541">
        <v>14</v>
      </c>
      <c r="I1541">
        <v>21</v>
      </c>
      <c r="J1541">
        <v>66.67</v>
      </c>
      <c r="K1541" t="s">
        <v>246</v>
      </c>
      <c r="L1541">
        <v>10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 s="8">
        <v>10</v>
      </c>
      <c r="V1541" s="8">
        <f t="shared" si="49"/>
        <v>1</v>
      </c>
      <c r="W1541" t="str">
        <f>_xlfn.XLOOKUP(A1541, Matches!A:A, Matches!L:L, "NA", 0)</f>
        <v>RCBW</v>
      </c>
      <c r="X1541" t="str">
        <f>_xlfn.XLOOKUP(A1541, Matches!A:A, Matches!J:J, "NA", 0)</f>
        <v>RCBW</v>
      </c>
      <c r="Y1541" t="str">
        <f>_xlfn.XLOOKUP(A1541, Matches!A:A, Matches!F:F, "NA", 0)</f>
        <v>Dr DY Patil Sports </v>
      </c>
      <c r="Z1541" cm="1">
        <f t="array" ref="Z1541">INDEX(Innings!F:F,MATCH(1,(TRIM(Innings!A:A)=TRIM(A1541))*(TRIM(Innings!D:D)=TRIM(E1541)),0))</f>
        <v>143</v>
      </c>
      <c r="AA1541" cm="1">
        <f t="array" ref="AA1541">INDEX(Innings!I:I,MATCH(1,(TRIM(Innings!A:A)=TRIM(A1541))*(TRIM(Innings!D:D)=TRIM(E1541)),0))</f>
        <v>7.15</v>
      </c>
      <c r="AB1541" cm="1">
        <f t="array" ref="AB1541">INDEX(Innings!J:J,MATCH(1,(TRIM(Innings!A:A)=TRIM(A1541))*(TRIM(Innings!D:D)=TRIM(E1541)),0))</f>
        <v>36</v>
      </c>
      <c r="AC1541" cm="1">
        <f t="array" ref="AC1541">INDEX(Innings!N:N,MATCH(1,(TRIM(Innings!A:A)=TRIM(A1541))*(TRIM(Innings!D:D)=TRIM(E1541)),0))</f>
        <v>43</v>
      </c>
      <c r="AD1541" cm="1">
        <f t="array" ref="AD1541">INDEX(Innings!S:S,MATCH(1,(TRIM(Innings!A:A)=TRIM(A1541))*(TRIM(Innings!D:D)=TRIM(E1541)),0))</f>
        <v>34</v>
      </c>
      <c r="AE1541" t="str" cm="1">
        <f t="array" ref="AE1541">INDEX(Innings!W:W,MATCH(1,(TRIM(Innings!A:A)=TRIM(A1541))*(TRIM(Innings!D:D)=TRIM(E1541)),0))</f>
        <v>NA</v>
      </c>
      <c r="AF1541">
        <f>IF(UPPER(TRIM(E1541))=UPPER(TRIM(W1541)),1,0)</f>
        <v>0</v>
      </c>
      <c r="AG1541">
        <f t="shared" si="48"/>
        <v>5.3</v>
      </c>
    </row>
    <row r="1542" spans="1:33" x14ac:dyDescent="0.3">
      <c r="A1542" t="s">
        <v>605</v>
      </c>
      <c r="B1542">
        <v>4</v>
      </c>
      <c r="C1542" t="s">
        <v>89</v>
      </c>
      <c r="D1542" t="s">
        <v>116</v>
      </c>
      <c r="E1542" t="s">
        <v>219</v>
      </c>
      <c r="F1542" t="s">
        <v>169</v>
      </c>
      <c r="G1542" t="s">
        <v>92</v>
      </c>
      <c r="H1542">
        <v>11</v>
      </c>
      <c r="I1542">
        <v>14</v>
      </c>
      <c r="J1542">
        <v>78.569999999999993</v>
      </c>
      <c r="K1542" t="s">
        <v>246</v>
      </c>
      <c r="L1542">
        <v>10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 s="8">
        <v>10</v>
      </c>
      <c r="V1542" s="8">
        <f t="shared" si="49"/>
        <v>1</v>
      </c>
      <c r="W1542" t="str">
        <f>_xlfn.XLOOKUP(A1542, Matches!A:A, Matches!L:L, "NA", 0)</f>
        <v>RCBW</v>
      </c>
      <c r="X1542" t="str">
        <f>_xlfn.XLOOKUP(A1542, Matches!A:A, Matches!J:J, "NA", 0)</f>
        <v>RCBW</v>
      </c>
      <c r="Y1542" t="str">
        <f>_xlfn.XLOOKUP(A1542, Matches!A:A, Matches!F:F, "NA", 0)</f>
        <v>Dr DY Patil Sports </v>
      </c>
      <c r="Z1542" cm="1">
        <f t="array" ref="Z1542">INDEX(Innings!F:F,MATCH(1,(TRIM(Innings!A:A)=TRIM(A1542))*(TRIM(Innings!D:D)=TRIM(E1542)),0))</f>
        <v>143</v>
      </c>
      <c r="AA1542" cm="1">
        <f t="array" ref="AA1542">INDEX(Innings!I:I,MATCH(1,(TRIM(Innings!A:A)=TRIM(A1542))*(TRIM(Innings!D:D)=TRIM(E1542)),0))</f>
        <v>7.15</v>
      </c>
      <c r="AB1542" cm="1">
        <f t="array" ref="AB1542">INDEX(Innings!J:J,MATCH(1,(TRIM(Innings!A:A)=TRIM(A1542))*(TRIM(Innings!D:D)=TRIM(E1542)),0))</f>
        <v>36</v>
      </c>
      <c r="AC1542" cm="1">
        <f t="array" ref="AC1542">INDEX(Innings!N:N,MATCH(1,(TRIM(Innings!A:A)=TRIM(A1542))*(TRIM(Innings!D:D)=TRIM(E1542)),0))</f>
        <v>43</v>
      </c>
      <c r="AD1542" cm="1">
        <f t="array" ref="AD1542">INDEX(Innings!S:S,MATCH(1,(TRIM(Innings!A:A)=TRIM(A1542))*(TRIM(Innings!D:D)=TRIM(E1542)),0))</f>
        <v>34</v>
      </c>
      <c r="AE1542" t="str" cm="1">
        <f t="array" ref="AE1542">INDEX(Innings!W:W,MATCH(1,(TRIM(Innings!A:A)=TRIM(A1542))*(TRIM(Innings!D:D)=TRIM(E1542)),0))</f>
        <v>NA</v>
      </c>
      <c r="AF1542">
        <f>IF(UPPER(TRIM(E1542))=UPPER(TRIM(W1542)),1,0)</f>
        <v>0</v>
      </c>
      <c r="AG1542">
        <f t="shared" si="48"/>
        <v>5.3</v>
      </c>
    </row>
    <row r="1543" spans="1:33" x14ac:dyDescent="0.3">
      <c r="A1543" t="s">
        <v>605</v>
      </c>
      <c r="B1543">
        <v>4</v>
      </c>
      <c r="C1543" t="s">
        <v>383</v>
      </c>
      <c r="D1543" t="s">
        <v>384</v>
      </c>
      <c r="E1543" t="s">
        <v>219</v>
      </c>
      <c r="F1543" t="s">
        <v>109</v>
      </c>
      <c r="G1543" t="s">
        <v>92</v>
      </c>
      <c r="H1543">
        <v>20</v>
      </c>
      <c r="I1543">
        <v>11</v>
      </c>
      <c r="J1543">
        <v>181.82</v>
      </c>
      <c r="K1543" t="s">
        <v>246</v>
      </c>
      <c r="L1543">
        <v>35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 s="8">
        <v>35</v>
      </c>
      <c r="V1543" s="8">
        <f t="shared" si="49"/>
        <v>4</v>
      </c>
      <c r="W1543" t="str">
        <f>_xlfn.XLOOKUP(A1543, Matches!A:A, Matches!L:L, "NA", 0)</f>
        <v>RCBW</v>
      </c>
      <c r="X1543" t="str">
        <f>_xlfn.XLOOKUP(A1543, Matches!A:A, Matches!J:J, "NA", 0)</f>
        <v>RCBW</v>
      </c>
      <c r="Y1543" t="str">
        <f>_xlfn.XLOOKUP(A1543, Matches!A:A, Matches!F:F, "NA", 0)</f>
        <v>Dr DY Patil Sports </v>
      </c>
      <c r="Z1543" cm="1">
        <f t="array" ref="Z1543">INDEX(Innings!F:F,MATCH(1,(TRIM(Innings!A:A)=TRIM(A1543))*(TRIM(Innings!D:D)=TRIM(E1543)),0))</f>
        <v>143</v>
      </c>
      <c r="AA1543" cm="1">
        <f t="array" ref="AA1543">INDEX(Innings!I:I,MATCH(1,(TRIM(Innings!A:A)=TRIM(A1543))*(TRIM(Innings!D:D)=TRIM(E1543)),0))</f>
        <v>7.15</v>
      </c>
      <c r="AB1543" cm="1">
        <f t="array" ref="AB1543">INDEX(Innings!J:J,MATCH(1,(TRIM(Innings!A:A)=TRIM(A1543))*(TRIM(Innings!D:D)=TRIM(E1543)),0))</f>
        <v>36</v>
      </c>
      <c r="AC1543" cm="1">
        <f t="array" ref="AC1543">INDEX(Innings!N:N,MATCH(1,(TRIM(Innings!A:A)=TRIM(A1543))*(TRIM(Innings!D:D)=TRIM(E1543)),0))</f>
        <v>43</v>
      </c>
      <c r="AD1543" cm="1">
        <f t="array" ref="AD1543">INDEX(Innings!S:S,MATCH(1,(TRIM(Innings!A:A)=TRIM(A1543))*(TRIM(Innings!D:D)=TRIM(E1543)),0))</f>
        <v>34</v>
      </c>
      <c r="AE1543" t="str" cm="1">
        <f t="array" ref="AE1543">INDEX(Innings!W:W,MATCH(1,(TRIM(Innings!A:A)=TRIM(A1543))*(TRIM(Innings!D:D)=TRIM(E1543)),0))</f>
        <v>NA</v>
      </c>
      <c r="AF1543">
        <f>IF(UPPER(TRIM(E1543))=UPPER(TRIM(W1543)),1,0)</f>
        <v>0</v>
      </c>
      <c r="AG1543">
        <f t="shared" si="48"/>
        <v>18.7</v>
      </c>
    </row>
    <row r="1544" spans="1:33" x14ac:dyDescent="0.3">
      <c r="A1544" t="s">
        <v>605</v>
      </c>
      <c r="B1544">
        <v>4</v>
      </c>
      <c r="C1544" t="s">
        <v>229</v>
      </c>
      <c r="D1544" t="s">
        <v>230</v>
      </c>
      <c r="E1544" t="s">
        <v>219</v>
      </c>
      <c r="F1544" t="s">
        <v>109</v>
      </c>
      <c r="G1544" t="s">
        <v>92</v>
      </c>
      <c r="H1544">
        <v>5</v>
      </c>
      <c r="I1544">
        <v>3</v>
      </c>
      <c r="J1544">
        <v>166.67</v>
      </c>
      <c r="K1544" t="s">
        <v>246</v>
      </c>
      <c r="L1544">
        <v>15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 s="8">
        <v>15</v>
      </c>
      <c r="V1544" s="8">
        <f t="shared" si="49"/>
        <v>2</v>
      </c>
      <c r="W1544" t="str">
        <f>_xlfn.XLOOKUP(A1544, Matches!A:A, Matches!L:L, "NA", 0)</f>
        <v>RCBW</v>
      </c>
      <c r="X1544" t="str">
        <f>_xlfn.XLOOKUP(A1544, Matches!A:A, Matches!J:J, "NA", 0)</f>
        <v>RCBW</v>
      </c>
      <c r="Y1544" t="str">
        <f>_xlfn.XLOOKUP(A1544, Matches!A:A, Matches!F:F, "NA", 0)</f>
        <v>Dr DY Patil Sports </v>
      </c>
      <c r="Z1544" cm="1">
        <f t="array" ref="Z1544">INDEX(Innings!F:F,MATCH(1,(TRIM(Innings!A:A)=TRIM(A1544))*(TRIM(Innings!D:D)=TRIM(E1544)),0))</f>
        <v>143</v>
      </c>
      <c r="AA1544" cm="1">
        <f t="array" ref="AA1544">INDEX(Innings!I:I,MATCH(1,(TRIM(Innings!A:A)=TRIM(A1544))*(TRIM(Innings!D:D)=TRIM(E1544)),0))</f>
        <v>7.15</v>
      </c>
      <c r="AB1544" cm="1">
        <f t="array" ref="AB1544">INDEX(Innings!J:J,MATCH(1,(TRIM(Innings!A:A)=TRIM(A1544))*(TRIM(Innings!D:D)=TRIM(E1544)),0))</f>
        <v>36</v>
      </c>
      <c r="AC1544" cm="1">
        <f t="array" ref="AC1544">INDEX(Innings!N:N,MATCH(1,(TRIM(Innings!A:A)=TRIM(A1544))*(TRIM(Innings!D:D)=TRIM(E1544)),0))</f>
        <v>43</v>
      </c>
      <c r="AD1544" cm="1">
        <f t="array" ref="AD1544">INDEX(Innings!S:S,MATCH(1,(TRIM(Innings!A:A)=TRIM(A1544))*(TRIM(Innings!D:D)=TRIM(E1544)),0))</f>
        <v>34</v>
      </c>
      <c r="AE1544" t="str" cm="1">
        <f t="array" ref="AE1544">INDEX(Innings!W:W,MATCH(1,(TRIM(Innings!A:A)=TRIM(A1544))*(TRIM(Innings!D:D)=TRIM(E1544)),0))</f>
        <v>NA</v>
      </c>
      <c r="AF1544">
        <f>IF(UPPER(TRIM(E1544))=UPPER(TRIM(W1544)),1,0)</f>
        <v>0</v>
      </c>
      <c r="AG1544">
        <f t="shared" si="48"/>
        <v>8.1</v>
      </c>
    </row>
    <row r="1545" spans="1:33" x14ac:dyDescent="0.3">
      <c r="A1545" t="s">
        <v>605</v>
      </c>
      <c r="B1545">
        <v>4</v>
      </c>
      <c r="C1545" t="s">
        <v>224</v>
      </c>
      <c r="D1545" t="s">
        <v>225</v>
      </c>
      <c r="E1545" t="s">
        <v>219</v>
      </c>
      <c r="F1545" t="s">
        <v>169</v>
      </c>
      <c r="G1545" t="s">
        <v>134</v>
      </c>
      <c r="H1545">
        <v>45</v>
      </c>
      <c r="I1545">
        <v>35</v>
      </c>
      <c r="J1545">
        <v>128.57</v>
      </c>
      <c r="K1545" t="s">
        <v>96</v>
      </c>
      <c r="L1545">
        <v>60</v>
      </c>
      <c r="M1545">
        <v>3.1</v>
      </c>
      <c r="N1545">
        <v>0</v>
      </c>
      <c r="O1545">
        <v>25</v>
      </c>
      <c r="P1545">
        <v>0</v>
      </c>
      <c r="Q1545">
        <v>7.9</v>
      </c>
      <c r="R1545">
        <v>5</v>
      </c>
      <c r="S1545">
        <v>0</v>
      </c>
      <c r="T1545">
        <v>0</v>
      </c>
      <c r="U1545" s="8">
        <v>65</v>
      </c>
      <c r="V1545" s="8">
        <f t="shared" si="49"/>
        <v>7</v>
      </c>
      <c r="W1545" t="str">
        <f>_xlfn.XLOOKUP(A1545, Matches!A:A, Matches!L:L, "NA", 0)</f>
        <v>RCBW</v>
      </c>
      <c r="X1545" t="str">
        <f>_xlfn.XLOOKUP(A1545, Matches!A:A, Matches!J:J, "NA", 0)</f>
        <v>RCBW</v>
      </c>
      <c r="Y1545" t="str">
        <f>_xlfn.XLOOKUP(A1545, Matches!A:A, Matches!F:F, "NA", 0)</f>
        <v>Dr DY Patil Sports </v>
      </c>
      <c r="Z1545" cm="1">
        <f t="array" ref="Z1545">INDEX(Innings!F:F,MATCH(1,(TRIM(Innings!A:A)=TRIM(A1545))*(TRIM(Innings!D:D)=TRIM(E1545)),0))</f>
        <v>143</v>
      </c>
      <c r="AA1545" cm="1">
        <f t="array" ref="AA1545">INDEX(Innings!I:I,MATCH(1,(TRIM(Innings!A:A)=TRIM(A1545))*(TRIM(Innings!D:D)=TRIM(E1545)),0))</f>
        <v>7.15</v>
      </c>
      <c r="AB1545" cm="1">
        <f t="array" ref="AB1545">INDEX(Innings!J:J,MATCH(1,(TRIM(Innings!A:A)=TRIM(A1545))*(TRIM(Innings!D:D)=TRIM(E1545)),0))</f>
        <v>36</v>
      </c>
      <c r="AC1545" cm="1">
        <f t="array" ref="AC1545">INDEX(Innings!N:N,MATCH(1,(TRIM(Innings!A:A)=TRIM(A1545))*(TRIM(Innings!D:D)=TRIM(E1545)),0))</f>
        <v>43</v>
      </c>
      <c r="AD1545" cm="1">
        <f t="array" ref="AD1545">INDEX(Innings!S:S,MATCH(1,(TRIM(Innings!A:A)=TRIM(A1545))*(TRIM(Innings!D:D)=TRIM(E1545)),0))</f>
        <v>34</v>
      </c>
      <c r="AE1545" t="str" cm="1">
        <f t="array" ref="AE1545">INDEX(Innings!W:W,MATCH(1,(TRIM(Innings!A:A)=TRIM(A1545))*(TRIM(Innings!D:D)=TRIM(E1545)),0))</f>
        <v>NA</v>
      </c>
      <c r="AF1545">
        <f>IF(UPPER(TRIM(E1545))=UPPER(TRIM(W1545)),1,0)</f>
        <v>0</v>
      </c>
      <c r="AG1545">
        <f t="shared" si="48"/>
        <v>34.6</v>
      </c>
    </row>
    <row r="1546" spans="1:33" x14ac:dyDescent="0.3">
      <c r="A1546" t="s">
        <v>605</v>
      </c>
      <c r="B1546">
        <v>4</v>
      </c>
      <c r="C1546" t="s">
        <v>220</v>
      </c>
      <c r="D1546" t="s">
        <v>221</v>
      </c>
      <c r="E1546" t="s">
        <v>219</v>
      </c>
      <c r="F1546" t="s">
        <v>85</v>
      </c>
      <c r="G1546" t="s">
        <v>134</v>
      </c>
      <c r="H1546">
        <v>0</v>
      </c>
      <c r="I1546">
        <v>1</v>
      </c>
      <c r="J1546">
        <v>0</v>
      </c>
      <c r="K1546" t="s">
        <v>246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 s="8">
        <v>0</v>
      </c>
      <c r="V1546" s="8">
        <f t="shared" si="49"/>
        <v>0</v>
      </c>
      <c r="W1546" t="str">
        <f>_xlfn.XLOOKUP(A1546, Matches!A:A, Matches!L:L, "NA", 0)</f>
        <v>RCBW</v>
      </c>
      <c r="X1546" t="str">
        <f>_xlfn.XLOOKUP(A1546, Matches!A:A, Matches!J:J, "NA", 0)</f>
        <v>RCBW</v>
      </c>
      <c r="Y1546" t="str">
        <f>_xlfn.XLOOKUP(A1546, Matches!A:A, Matches!F:F, "NA", 0)</f>
        <v>Dr DY Patil Sports </v>
      </c>
      <c r="Z1546" cm="1">
        <f t="array" ref="Z1546">INDEX(Innings!F:F,MATCH(1,(TRIM(Innings!A:A)=TRIM(A1546))*(TRIM(Innings!D:D)=TRIM(E1546)),0))</f>
        <v>143</v>
      </c>
      <c r="AA1546" cm="1">
        <f t="array" ref="AA1546">INDEX(Innings!I:I,MATCH(1,(TRIM(Innings!A:A)=TRIM(A1546))*(TRIM(Innings!D:D)=TRIM(E1546)),0))</f>
        <v>7.15</v>
      </c>
      <c r="AB1546" cm="1">
        <f t="array" ref="AB1546">INDEX(Innings!J:J,MATCH(1,(TRIM(Innings!A:A)=TRIM(A1546))*(TRIM(Innings!D:D)=TRIM(E1546)),0))</f>
        <v>36</v>
      </c>
      <c r="AC1546" cm="1">
        <f t="array" ref="AC1546">INDEX(Innings!N:N,MATCH(1,(TRIM(Innings!A:A)=TRIM(A1546))*(TRIM(Innings!D:D)=TRIM(E1546)),0))</f>
        <v>43</v>
      </c>
      <c r="AD1546" cm="1">
        <f t="array" ref="AD1546">INDEX(Innings!S:S,MATCH(1,(TRIM(Innings!A:A)=TRIM(A1546))*(TRIM(Innings!D:D)=TRIM(E1546)),0))</f>
        <v>34</v>
      </c>
      <c r="AE1546" t="str" cm="1">
        <f t="array" ref="AE1546">INDEX(Innings!W:W,MATCH(1,(TRIM(Innings!A:A)=TRIM(A1546))*(TRIM(Innings!D:D)=TRIM(E1546)),0))</f>
        <v>NA</v>
      </c>
      <c r="AF1546">
        <f>IF(UPPER(TRIM(E1546))=UPPER(TRIM(W1546)),1,0)</f>
        <v>0</v>
      </c>
      <c r="AG1546">
        <f t="shared" si="48"/>
        <v>0</v>
      </c>
    </row>
    <row r="1547" spans="1:33" x14ac:dyDescent="0.3">
      <c r="A1547" t="s">
        <v>605</v>
      </c>
      <c r="B1547">
        <v>4</v>
      </c>
      <c r="C1547" t="s">
        <v>530</v>
      </c>
      <c r="D1547" t="s">
        <v>502</v>
      </c>
      <c r="E1547" t="s">
        <v>219</v>
      </c>
      <c r="F1547" t="s">
        <v>169</v>
      </c>
      <c r="G1547" t="s">
        <v>134</v>
      </c>
      <c r="H1547">
        <v>40</v>
      </c>
      <c r="I1547">
        <v>37</v>
      </c>
      <c r="J1547">
        <v>108.11</v>
      </c>
      <c r="K1547" t="s">
        <v>96</v>
      </c>
      <c r="L1547">
        <v>50</v>
      </c>
      <c r="M1547">
        <v>1</v>
      </c>
      <c r="N1547">
        <v>0</v>
      </c>
      <c r="O1547">
        <v>32</v>
      </c>
      <c r="P1547">
        <v>0</v>
      </c>
      <c r="Q1547">
        <v>32</v>
      </c>
      <c r="R1547">
        <v>-10</v>
      </c>
      <c r="S1547">
        <v>0</v>
      </c>
      <c r="T1547">
        <v>0</v>
      </c>
      <c r="U1547" s="8">
        <v>40</v>
      </c>
      <c r="V1547" s="8">
        <f t="shared" si="49"/>
        <v>4</v>
      </c>
      <c r="W1547" t="str">
        <f>_xlfn.XLOOKUP(A1547, Matches!A:A, Matches!L:L, "NA", 0)</f>
        <v>RCBW</v>
      </c>
      <c r="X1547" t="str">
        <f>_xlfn.XLOOKUP(A1547, Matches!A:A, Matches!J:J, "NA", 0)</f>
        <v>RCBW</v>
      </c>
      <c r="Y1547" t="str">
        <f>_xlfn.XLOOKUP(A1547, Matches!A:A, Matches!F:F, "NA", 0)</f>
        <v>Dr DY Patil Sports </v>
      </c>
      <c r="Z1547" cm="1">
        <f t="array" ref="Z1547">INDEX(Innings!F:F,MATCH(1,(TRIM(Innings!A:A)=TRIM(A1547))*(TRIM(Innings!D:D)=TRIM(E1547)),0))</f>
        <v>143</v>
      </c>
      <c r="AA1547" cm="1">
        <f t="array" ref="AA1547">INDEX(Innings!I:I,MATCH(1,(TRIM(Innings!A:A)=TRIM(A1547))*(TRIM(Innings!D:D)=TRIM(E1547)),0))</f>
        <v>7.15</v>
      </c>
      <c r="AB1547" cm="1">
        <f t="array" ref="AB1547">INDEX(Innings!J:J,MATCH(1,(TRIM(Innings!A:A)=TRIM(A1547))*(TRIM(Innings!D:D)=TRIM(E1547)),0))</f>
        <v>36</v>
      </c>
      <c r="AC1547" cm="1">
        <f t="array" ref="AC1547">INDEX(Innings!N:N,MATCH(1,(TRIM(Innings!A:A)=TRIM(A1547))*(TRIM(Innings!D:D)=TRIM(E1547)),0))</f>
        <v>43</v>
      </c>
      <c r="AD1547" cm="1">
        <f t="array" ref="AD1547">INDEX(Innings!S:S,MATCH(1,(TRIM(Innings!A:A)=TRIM(A1547))*(TRIM(Innings!D:D)=TRIM(E1547)),0))</f>
        <v>34</v>
      </c>
      <c r="AE1547" t="str" cm="1">
        <f t="array" ref="AE1547">INDEX(Innings!W:W,MATCH(1,(TRIM(Innings!A:A)=TRIM(A1547))*(TRIM(Innings!D:D)=TRIM(E1547)),0))</f>
        <v>NA</v>
      </c>
      <c r="AF1547">
        <f>IF(UPPER(TRIM(E1547))=UPPER(TRIM(W1547)),1,0)</f>
        <v>0</v>
      </c>
      <c r="AG1547">
        <f t="shared" si="48"/>
        <v>21.2</v>
      </c>
    </row>
    <row r="1548" spans="1:33" x14ac:dyDescent="0.3">
      <c r="A1548" t="s">
        <v>605</v>
      </c>
      <c r="B1548">
        <v>4</v>
      </c>
      <c r="C1548" t="s">
        <v>233</v>
      </c>
      <c r="D1548" t="s">
        <v>234</v>
      </c>
      <c r="E1548" t="s">
        <v>219</v>
      </c>
      <c r="F1548" t="s">
        <v>101</v>
      </c>
      <c r="G1548" t="s">
        <v>104</v>
      </c>
      <c r="H1548">
        <v>0</v>
      </c>
      <c r="I1548">
        <v>0</v>
      </c>
      <c r="J1548">
        <v>0</v>
      </c>
      <c r="K1548" t="s">
        <v>104</v>
      </c>
      <c r="L1548">
        <v>0</v>
      </c>
      <c r="M1548">
        <v>2</v>
      </c>
      <c r="N1548">
        <v>0</v>
      </c>
      <c r="O1548">
        <v>20</v>
      </c>
      <c r="P1548">
        <v>0</v>
      </c>
      <c r="Q1548">
        <v>10</v>
      </c>
      <c r="R1548">
        <v>-5</v>
      </c>
      <c r="S1548">
        <v>0</v>
      </c>
      <c r="T1548">
        <v>0</v>
      </c>
      <c r="U1548" s="8">
        <v>-5</v>
      </c>
      <c r="V1548" s="8">
        <f t="shared" si="49"/>
        <v>0</v>
      </c>
      <c r="W1548" t="str">
        <f>_xlfn.XLOOKUP(A1548, Matches!A:A, Matches!L:L, "NA", 0)</f>
        <v>RCBW</v>
      </c>
      <c r="X1548" t="str">
        <f>_xlfn.XLOOKUP(A1548, Matches!A:A, Matches!J:J, "NA", 0)</f>
        <v>RCBW</v>
      </c>
      <c r="Y1548" t="str">
        <f>_xlfn.XLOOKUP(A1548, Matches!A:A, Matches!F:F, "NA", 0)</f>
        <v>Dr DY Patil Sports </v>
      </c>
      <c r="Z1548" cm="1">
        <f t="array" ref="Z1548">INDEX(Innings!F:F,MATCH(1,(TRIM(Innings!A:A)=TRIM(A1548))*(TRIM(Innings!D:D)=TRIM(E1548)),0))</f>
        <v>143</v>
      </c>
      <c r="AA1548" cm="1">
        <f t="array" ref="AA1548">INDEX(Innings!I:I,MATCH(1,(TRIM(Innings!A:A)=TRIM(A1548))*(TRIM(Innings!D:D)=TRIM(E1548)),0))</f>
        <v>7.15</v>
      </c>
      <c r="AB1548" cm="1">
        <f t="array" ref="AB1548">INDEX(Innings!J:J,MATCH(1,(TRIM(Innings!A:A)=TRIM(A1548))*(TRIM(Innings!D:D)=TRIM(E1548)),0))</f>
        <v>36</v>
      </c>
      <c r="AC1548" cm="1">
        <f t="array" ref="AC1548">INDEX(Innings!N:N,MATCH(1,(TRIM(Innings!A:A)=TRIM(A1548))*(TRIM(Innings!D:D)=TRIM(E1548)),0))</f>
        <v>43</v>
      </c>
      <c r="AD1548" cm="1">
        <f t="array" ref="AD1548">INDEX(Innings!S:S,MATCH(1,(TRIM(Innings!A:A)=TRIM(A1548))*(TRIM(Innings!D:D)=TRIM(E1548)),0))</f>
        <v>34</v>
      </c>
      <c r="AE1548" t="str" cm="1">
        <f t="array" ref="AE1548">INDEX(Innings!W:W,MATCH(1,(TRIM(Innings!A:A)=TRIM(A1548))*(TRIM(Innings!D:D)=TRIM(E1548)),0))</f>
        <v>NA</v>
      </c>
      <c r="AF1548">
        <f>IF(UPPER(TRIM(E1548))=UPPER(TRIM(W1548)),1,0)</f>
        <v>0</v>
      </c>
      <c r="AG1548">
        <f t="shared" si="48"/>
        <v>0</v>
      </c>
    </row>
    <row r="1549" spans="1:33" x14ac:dyDescent="0.3">
      <c r="A1549" t="s">
        <v>605</v>
      </c>
      <c r="B1549">
        <v>4</v>
      </c>
      <c r="C1549" t="s">
        <v>180</v>
      </c>
      <c r="D1549" t="s">
        <v>181</v>
      </c>
      <c r="E1549" t="s">
        <v>219</v>
      </c>
      <c r="F1549" t="s">
        <v>169</v>
      </c>
      <c r="G1549" t="s">
        <v>104</v>
      </c>
      <c r="H1549">
        <v>0</v>
      </c>
      <c r="I1549">
        <v>0</v>
      </c>
      <c r="J1549">
        <v>0</v>
      </c>
      <c r="K1549" t="s">
        <v>104</v>
      </c>
      <c r="L1549">
        <v>0</v>
      </c>
      <c r="M1549">
        <v>1</v>
      </c>
      <c r="N1549">
        <v>0</v>
      </c>
      <c r="O1549">
        <v>17</v>
      </c>
      <c r="P1549">
        <v>0</v>
      </c>
      <c r="Q1549">
        <v>17</v>
      </c>
      <c r="R1549">
        <v>-10</v>
      </c>
      <c r="S1549">
        <v>0</v>
      </c>
      <c r="T1549">
        <v>0</v>
      </c>
      <c r="U1549" s="8">
        <v>-10</v>
      </c>
      <c r="V1549" s="8">
        <f t="shared" si="49"/>
        <v>0</v>
      </c>
      <c r="W1549" t="str">
        <f>_xlfn.XLOOKUP(A1549, Matches!A:A, Matches!L:L, "NA", 0)</f>
        <v>RCBW</v>
      </c>
      <c r="X1549" t="str">
        <f>_xlfn.XLOOKUP(A1549, Matches!A:A, Matches!J:J, "NA", 0)</f>
        <v>RCBW</v>
      </c>
      <c r="Y1549" t="str">
        <f>_xlfn.XLOOKUP(A1549, Matches!A:A, Matches!F:F, "NA", 0)</f>
        <v>Dr DY Patil Sports </v>
      </c>
      <c r="Z1549" cm="1">
        <f t="array" ref="Z1549">INDEX(Innings!F:F,MATCH(1,(TRIM(Innings!A:A)=TRIM(A1549))*(TRIM(Innings!D:D)=TRIM(E1549)),0))</f>
        <v>143</v>
      </c>
      <c r="AA1549" cm="1">
        <f t="array" ref="AA1549">INDEX(Innings!I:I,MATCH(1,(TRIM(Innings!A:A)=TRIM(A1549))*(TRIM(Innings!D:D)=TRIM(E1549)),0))</f>
        <v>7.15</v>
      </c>
      <c r="AB1549" cm="1">
        <f t="array" ref="AB1549">INDEX(Innings!J:J,MATCH(1,(TRIM(Innings!A:A)=TRIM(A1549))*(TRIM(Innings!D:D)=TRIM(E1549)),0))</f>
        <v>36</v>
      </c>
      <c r="AC1549" cm="1">
        <f t="array" ref="AC1549">INDEX(Innings!N:N,MATCH(1,(TRIM(Innings!A:A)=TRIM(A1549))*(TRIM(Innings!D:D)=TRIM(E1549)),0))</f>
        <v>43</v>
      </c>
      <c r="AD1549" cm="1">
        <f t="array" ref="AD1549">INDEX(Innings!S:S,MATCH(1,(TRIM(Innings!A:A)=TRIM(A1549))*(TRIM(Innings!D:D)=TRIM(E1549)),0))</f>
        <v>34</v>
      </c>
      <c r="AE1549" t="str" cm="1">
        <f t="array" ref="AE1549">INDEX(Innings!W:W,MATCH(1,(TRIM(Innings!A:A)=TRIM(A1549))*(TRIM(Innings!D:D)=TRIM(E1549)),0))</f>
        <v>NA</v>
      </c>
      <c r="AF1549">
        <f>IF(UPPER(TRIM(E1549))=UPPER(TRIM(W1549)),1,0)</f>
        <v>0</v>
      </c>
      <c r="AG1549">
        <f t="shared" si="48"/>
        <v>0</v>
      </c>
    </row>
    <row r="1550" spans="1:33" x14ac:dyDescent="0.3">
      <c r="A1550" t="s">
        <v>605</v>
      </c>
      <c r="B1550">
        <v>4</v>
      </c>
      <c r="C1550" t="s">
        <v>204</v>
      </c>
      <c r="D1550" t="s">
        <v>205</v>
      </c>
      <c r="E1550" t="s">
        <v>219</v>
      </c>
      <c r="F1550" t="s">
        <v>169</v>
      </c>
      <c r="G1550" t="s">
        <v>104</v>
      </c>
      <c r="H1550">
        <v>0</v>
      </c>
      <c r="I1550">
        <v>0</v>
      </c>
      <c r="J1550">
        <v>0</v>
      </c>
      <c r="K1550" t="s">
        <v>104</v>
      </c>
      <c r="L1550">
        <v>0</v>
      </c>
      <c r="M1550">
        <v>3</v>
      </c>
      <c r="N1550">
        <v>0</v>
      </c>
      <c r="O1550">
        <v>28</v>
      </c>
      <c r="P1550">
        <v>1</v>
      </c>
      <c r="Q1550">
        <v>9.3000000000000007</v>
      </c>
      <c r="R1550">
        <v>25</v>
      </c>
      <c r="S1550">
        <v>0</v>
      </c>
      <c r="T1550">
        <v>0</v>
      </c>
      <c r="U1550" s="8">
        <v>25</v>
      </c>
      <c r="V1550" s="8">
        <f t="shared" si="49"/>
        <v>3</v>
      </c>
      <c r="W1550" t="str">
        <f>_xlfn.XLOOKUP(A1550, Matches!A:A, Matches!L:L, "NA", 0)</f>
        <v>RCBW</v>
      </c>
      <c r="X1550" t="str">
        <f>_xlfn.XLOOKUP(A1550, Matches!A:A, Matches!J:J, "NA", 0)</f>
        <v>RCBW</v>
      </c>
      <c r="Y1550" t="str">
        <f>_xlfn.XLOOKUP(A1550, Matches!A:A, Matches!F:F, "NA", 0)</f>
        <v>Dr DY Patil Sports </v>
      </c>
      <c r="Z1550" cm="1">
        <f t="array" ref="Z1550">INDEX(Innings!F:F,MATCH(1,(TRIM(Innings!A:A)=TRIM(A1550))*(TRIM(Innings!D:D)=TRIM(E1550)),0))</f>
        <v>143</v>
      </c>
      <c r="AA1550" cm="1">
        <f t="array" ref="AA1550">INDEX(Innings!I:I,MATCH(1,(TRIM(Innings!A:A)=TRIM(A1550))*(TRIM(Innings!D:D)=TRIM(E1550)),0))</f>
        <v>7.15</v>
      </c>
      <c r="AB1550" cm="1">
        <f t="array" ref="AB1550">INDEX(Innings!J:J,MATCH(1,(TRIM(Innings!A:A)=TRIM(A1550))*(TRIM(Innings!D:D)=TRIM(E1550)),0))</f>
        <v>36</v>
      </c>
      <c r="AC1550" cm="1">
        <f t="array" ref="AC1550">INDEX(Innings!N:N,MATCH(1,(TRIM(Innings!A:A)=TRIM(A1550))*(TRIM(Innings!D:D)=TRIM(E1550)),0))</f>
        <v>43</v>
      </c>
      <c r="AD1550" cm="1">
        <f t="array" ref="AD1550">INDEX(Innings!S:S,MATCH(1,(TRIM(Innings!A:A)=TRIM(A1550))*(TRIM(Innings!D:D)=TRIM(E1550)),0))</f>
        <v>34</v>
      </c>
      <c r="AE1550" t="str" cm="1">
        <f t="array" ref="AE1550">INDEX(Innings!W:W,MATCH(1,(TRIM(Innings!A:A)=TRIM(A1550))*(TRIM(Innings!D:D)=TRIM(E1550)),0))</f>
        <v>NA</v>
      </c>
      <c r="AF1550">
        <f>IF(UPPER(TRIM(E1550))=UPPER(TRIM(W1550)),1,0)</f>
        <v>0</v>
      </c>
      <c r="AG1550">
        <f t="shared" si="48"/>
        <v>13.4</v>
      </c>
    </row>
    <row r="1551" spans="1:33" x14ac:dyDescent="0.3">
      <c r="A1551" t="s">
        <v>605</v>
      </c>
      <c r="B1551">
        <v>4</v>
      </c>
      <c r="C1551" t="s">
        <v>509</v>
      </c>
      <c r="D1551" t="s">
        <v>523</v>
      </c>
      <c r="E1551" t="s">
        <v>219</v>
      </c>
      <c r="F1551" t="s">
        <v>101</v>
      </c>
      <c r="G1551" t="s">
        <v>104</v>
      </c>
      <c r="H1551">
        <v>0</v>
      </c>
      <c r="I1551">
        <v>0</v>
      </c>
      <c r="J1551">
        <v>0</v>
      </c>
      <c r="K1551" t="s">
        <v>104</v>
      </c>
      <c r="L1551">
        <v>0</v>
      </c>
      <c r="M1551">
        <v>2</v>
      </c>
      <c r="N1551">
        <v>0</v>
      </c>
      <c r="O1551">
        <v>18</v>
      </c>
      <c r="P1551">
        <v>0</v>
      </c>
      <c r="Q1551">
        <v>9</v>
      </c>
      <c r="R1551">
        <v>-5</v>
      </c>
      <c r="S1551">
        <v>0</v>
      </c>
      <c r="T1551">
        <v>0</v>
      </c>
      <c r="U1551" s="8">
        <v>-5</v>
      </c>
      <c r="V1551" s="8">
        <f t="shared" si="49"/>
        <v>0</v>
      </c>
      <c r="W1551" t="str">
        <f>_xlfn.XLOOKUP(A1551, Matches!A:A, Matches!L:L, "NA", 0)</f>
        <v>RCBW</v>
      </c>
      <c r="X1551" t="str">
        <f>_xlfn.XLOOKUP(A1551, Matches!A:A, Matches!J:J, "NA", 0)</f>
        <v>RCBW</v>
      </c>
      <c r="Y1551" t="str">
        <f>_xlfn.XLOOKUP(A1551, Matches!A:A, Matches!F:F, "NA", 0)</f>
        <v>Dr DY Patil Sports </v>
      </c>
      <c r="Z1551" cm="1">
        <f t="array" ref="Z1551">INDEX(Innings!F:F,MATCH(1,(TRIM(Innings!A:A)=TRIM(A1551))*(TRIM(Innings!D:D)=TRIM(E1551)),0))</f>
        <v>143</v>
      </c>
      <c r="AA1551" cm="1">
        <f t="array" ref="AA1551">INDEX(Innings!I:I,MATCH(1,(TRIM(Innings!A:A)=TRIM(A1551))*(TRIM(Innings!D:D)=TRIM(E1551)),0))</f>
        <v>7.15</v>
      </c>
      <c r="AB1551" cm="1">
        <f t="array" ref="AB1551">INDEX(Innings!J:J,MATCH(1,(TRIM(Innings!A:A)=TRIM(A1551))*(TRIM(Innings!D:D)=TRIM(E1551)),0))</f>
        <v>36</v>
      </c>
      <c r="AC1551" cm="1">
        <f t="array" ref="AC1551">INDEX(Innings!N:N,MATCH(1,(TRIM(Innings!A:A)=TRIM(A1551))*(TRIM(Innings!D:D)=TRIM(E1551)),0))</f>
        <v>43</v>
      </c>
      <c r="AD1551" cm="1">
        <f t="array" ref="AD1551">INDEX(Innings!S:S,MATCH(1,(TRIM(Innings!A:A)=TRIM(A1551))*(TRIM(Innings!D:D)=TRIM(E1551)),0))</f>
        <v>34</v>
      </c>
      <c r="AE1551" t="str" cm="1">
        <f t="array" ref="AE1551">INDEX(Innings!W:W,MATCH(1,(TRIM(Innings!A:A)=TRIM(A1551))*(TRIM(Innings!D:D)=TRIM(E1551)),0))</f>
        <v>NA</v>
      </c>
      <c r="AF1551">
        <f>IF(UPPER(TRIM(E1551))=UPPER(TRIM(W1551)),1,0)</f>
        <v>0</v>
      </c>
      <c r="AG1551">
        <f t="shared" si="48"/>
        <v>0</v>
      </c>
    </row>
    <row r="1552" spans="1:33" x14ac:dyDescent="0.3">
      <c r="A1552" t="s">
        <v>605</v>
      </c>
      <c r="B1552">
        <v>4</v>
      </c>
      <c r="C1552" t="s">
        <v>226</v>
      </c>
      <c r="D1552" t="s">
        <v>211</v>
      </c>
      <c r="E1552" t="s">
        <v>159</v>
      </c>
      <c r="F1552" t="s">
        <v>169</v>
      </c>
      <c r="G1552" t="s">
        <v>86</v>
      </c>
      <c r="H1552">
        <v>85</v>
      </c>
      <c r="I1552">
        <v>40</v>
      </c>
      <c r="J1552">
        <v>212.5</v>
      </c>
      <c r="K1552" t="s">
        <v>246</v>
      </c>
      <c r="L1552">
        <v>110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 s="8">
        <v>110</v>
      </c>
      <c r="V1552" s="8">
        <f t="shared" si="49"/>
        <v>10</v>
      </c>
      <c r="W1552" t="str">
        <f>_xlfn.XLOOKUP(A1552, Matches!A:A, Matches!L:L, "NA", 0)</f>
        <v>RCBW</v>
      </c>
      <c r="X1552" t="str">
        <f>_xlfn.XLOOKUP(A1552, Matches!A:A, Matches!J:J, "NA", 0)</f>
        <v>RCBW</v>
      </c>
      <c r="Y1552" t="str">
        <f>_xlfn.XLOOKUP(A1552, Matches!A:A, Matches!F:F, "NA", 0)</f>
        <v>Dr DY Patil Sports </v>
      </c>
      <c r="Z1552" cm="1">
        <f t="array" ref="Z1552">INDEX(Innings!F:F,MATCH(1,(TRIM(Innings!A:A)=TRIM(A1552))*(TRIM(Innings!D:D)=TRIM(E1552)),0))</f>
        <v>145</v>
      </c>
      <c r="AA1552" cm="1">
        <f t="array" ref="AA1552">INDEX(Innings!I:I,MATCH(1,(TRIM(Innings!A:A)=TRIM(A1552))*(TRIM(Innings!D:D)=TRIM(E1552)),0))</f>
        <v>11.92</v>
      </c>
      <c r="AB1552" cm="1">
        <f t="array" ref="AB1552">INDEX(Innings!J:J,MATCH(1,(TRIM(Innings!A:A)=TRIM(A1552))*(TRIM(Innings!D:D)=TRIM(E1552)),0))</f>
        <v>78</v>
      </c>
      <c r="AC1552" cm="1">
        <f t="array" ref="AC1552">INDEX(Innings!N:N,MATCH(1,(TRIM(Innings!A:A)=TRIM(A1552))*(TRIM(Innings!D:D)=TRIM(E1552)),0))</f>
        <v>0</v>
      </c>
      <c r="AD1552" cm="1">
        <f t="array" ref="AD1552">INDEX(Innings!S:S,MATCH(1,(TRIM(Innings!A:A)=TRIM(A1552))*(TRIM(Innings!D:D)=TRIM(E1552)),0))</f>
        <v>29</v>
      </c>
      <c r="AE1552" t="str" cm="1">
        <f t="array" ref="AE1552">INDEX(Innings!W:W,MATCH(1,(TRIM(Innings!A:A)=TRIM(A1552))*(TRIM(Innings!D:D)=TRIM(E1552)),0))</f>
        <v>Successful</v>
      </c>
      <c r="AF1552">
        <f>IF(UPPER(TRIM(E1552))=UPPER(TRIM(W1552)),1,0)</f>
        <v>1</v>
      </c>
      <c r="AG1552">
        <f t="shared" si="48"/>
        <v>78</v>
      </c>
    </row>
    <row r="1553" spans="1:33" x14ac:dyDescent="0.3">
      <c r="A1553" t="s">
        <v>605</v>
      </c>
      <c r="B1553">
        <v>4</v>
      </c>
      <c r="C1553" t="s">
        <v>165</v>
      </c>
      <c r="D1553" t="s">
        <v>166</v>
      </c>
      <c r="E1553" t="s">
        <v>159</v>
      </c>
      <c r="F1553" t="s">
        <v>109</v>
      </c>
      <c r="G1553" t="s">
        <v>86</v>
      </c>
      <c r="H1553">
        <v>47</v>
      </c>
      <c r="I1553">
        <v>32</v>
      </c>
      <c r="J1553">
        <v>146.88</v>
      </c>
      <c r="K1553" t="s">
        <v>96</v>
      </c>
      <c r="L1553">
        <v>60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 s="8">
        <v>60</v>
      </c>
      <c r="V1553" s="8">
        <f t="shared" si="49"/>
        <v>6</v>
      </c>
      <c r="W1553" t="str">
        <f>_xlfn.XLOOKUP(A1553, Matches!A:A, Matches!L:L, "NA", 0)</f>
        <v>RCBW</v>
      </c>
      <c r="X1553" t="str">
        <f>_xlfn.XLOOKUP(A1553, Matches!A:A, Matches!J:J, "NA", 0)</f>
        <v>RCBW</v>
      </c>
      <c r="Y1553" t="str">
        <f>_xlfn.XLOOKUP(A1553, Matches!A:A, Matches!F:F, "NA", 0)</f>
        <v>Dr DY Patil Sports </v>
      </c>
      <c r="Z1553" cm="1">
        <f t="array" ref="Z1553">INDEX(Innings!F:F,MATCH(1,(TRIM(Innings!A:A)=TRIM(A1553))*(TRIM(Innings!D:D)=TRIM(E1553)),0))</f>
        <v>145</v>
      </c>
      <c r="AA1553" cm="1">
        <f t="array" ref="AA1553">INDEX(Innings!I:I,MATCH(1,(TRIM(Innings!A:A)=TRIM(A1553))*(TRIM(Innings!D:D)=TRIM(E1553)),0))</f>
        <v>11.92</v>
      </c>
      <c r="AB1553" cm="1">
        <f t="array" ref="AB1553">INDEX(Innings!J:J,MATCH(1,(TRIM(Innings!A:A)=TRIM(A1553))*(TRIM(Innings!D:D)=TRIM(E1553)),0))</f>
        <v>78</v>
      </c>
      <c r="AC1553" cm="1">
        <f t="array" ref="AC1553">INDEX(Innings!N:N,MATCH(1,(TRIM(Innings!A:A)=TRIM(A1553))*(TRIM(Innings!D:D)=TRIM(E1553)),0))</f>
        <v>0</v>
      </c>
      <c r="AD1553" cm="1">
        <f t="array" ref="AD1553">INDEX(Innings!S:S,MATCH(1,(TRIM(Innings!A:A)=TRIM(A1553))*(TRIM(Innings!D:D)=TRIM(E1553)),0))</f>
        <v>29</v>
      </c>
      <c r="AE1553" t="str" cm="1">
        <f t="array" ref="AE1553">INDEX(Innings!W:W,MATCH(1,(TRIM(Innings!A:A)=TRIM(A1553))*(TRIM(Innings!D:D)=TRIM(E1553)),0))</f>
        <v>Successful</v>
      </c>
      <c r="AF1553">
        <f>IF(UPPER(TRIM(E1553))=UPPER(TRIM(W1553)),1,0)</f>
        <v>1</v>
      </c>
      <c r="AG1553">
        <f t="shared" si="48"/>
        <v>51.8</v>
      </c>
    </row>
    <row r="1554" spans="1:33" x14ac:dyDescent="0.3">
      <c r="A1554" t="s">
        <v>605</v>
      </c>
      <c r="B1554">
        <v>4</v>
      </c>
      <c r="C1554" t="s">
        <v>176</v>
      </c>
      <c r="D1554" t="s">
        <v>177</v>
      </c>
      <c r="E1554" t="s">
        <v>159</v>
      </c>
      <c r="F1554" t="s">
        <v>85</v>
      </c>
      <c r="G1554" t="s">
        <v>134</v>
      </c>
      <c r="H1554">
        <v>4</v>
      </c>
      <c r="I1554">
        <v>2</v>
      </c>
      <c r="J1554">
        <v>200</v>
      </c>
      <c r="K1554" t="s">
        <v>96</v>
      </c>
      <c r="L1554">
        <v>15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 s="8">
        <v>15</v>
      </c>
      <c r="V1554" s="8">
        <f t="shared" si="49"/>
        <v>2</v>
      </c>
      <c r="W1554" t="str">
        <f>_xlfn.XLOOKUP(A1554, Matches!A:A, Matches!L:L, "NA", 0)</f>
        <v>RCBW</v>
      </c>
      <c r="X1554" t="str">
        <f>_xlfn.XLOOKUP(A1554, Matches!A:A, Matches!J:J, "NA", 0)</f>
        <v>RCBW</v>
      </c>
      <c r="Y1554" t="str">
        <f>_xlfn.XLOOKUP(A1554, Matches!A:A, Matches!F:F, "NA", 0)</f>
        <v>Dr DY Patil Sports </v>
      </c>
      <c r="Z1554" cm="1">
        <f t="array" ref="Z1554">INDEX(Innings!F:F,MATCH(1,(TRIM(Innings!A:A)=TRIM(A1554))*(TRIM(Innings!D:D)=TRIM(E1554)),0))</f>
        <v>145</v>
      </c>
      <c r="AA1554" cm="1">
        <f t="array" ref="AA1554">INDEX(Innings!I:I,MATCH(1,(TRIM(Innings!A:A)=TRIM(A1554))*(TRIM(Innings!D:D)=TRIM(E1554)),0))</f>
        <v>11.92</v>
      </c>
      <c r="AB1554" cm="1">
        <f t="array" ref="AB1554">INDEX(Innings!J:J,MATCH(1,(TRIM(Innings!A:A)=TRIM(A1554))*(TRIM(Innings!D:D)=TRIM(E1554)),0))</f>
        <v>78</v>
      </c>
      <c r="AC1554" cm="1">
        <f t="array" ref="AC1554">INDEX(Innings!N:N,MATCH(1,(TRIM(Innings!A:A)=TRIM(A1554))*(TRIM(Innings!D:D)=TRIM(E1554)),0))</f>
        <v>0</v>
      </c>
      <c r="AD1554" cm="1">
        <f t="array" ref="AD1554">INDEX(Innings!S:S,MATCH(1,(TRIM(Innings!A:A)=TRIM(A1554))*(TRIM(Innings!D:D)=TRIM(E1554)),0))</f>
        <v>29</v>
      </c>
      <c r="AE1554" t="str" cm="1">
        <f t="array" ref="AE1554">INDEX(Innings!W:W,MATCH(1,(TRIM(Innings!A:A)=TRIM(A1554))*(TRIM(Innings!D:D)=TRIM(E1554)),0))</f>
        <v>Successful</v>
      </c>
      <c r="AF1554">
        <f>IF(UPPER(TRIM(E1554))=UPPER(TRIM(W1554)),1,0)</f>
        <v>1</v>
      </c>
      <c r="AG1554">
        <f t="shared" si="48"/>
        <v>28.1</v>
      </c>
    </row>
    <row r="1555" spans="1:33" x14ac:dyDescent="0.3">
      <c r="A1555" t="s">
        <v>605</v>
      </c>
      <c r="B1555">
        <v>4</v>
      </c>
      <c r="C1555" t="s">
        <v>97</v>
      </c>
      <c r="D1555" t="s">
        <v>122</v>
      </c>
      <c r="E1555" t="s">
        <v>159</v>
      </c>
      <c r="F1555" t="s">
        <v>109</v>
      </c>
      <c r="G1555" t="s">
        <v>104</v>
      </c>
      <c r="H1555">
        <v>0</v>
      </c>
      <c r="I1555">
        <v>0</v>
      </c>
      <c r="J1555">
        <v>0</v>
      </c>
      <c r="K1555" t="s">
        <v>104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 s="8">
        <v>0</v>
      </c>
      <c r="V1555" s="8">
        <f t="shared" si="49"/>
        <v>0</v>
      </c>
      <c r="W1555" t="str">
        <f>_xlfn.XLOOKUP(A1555, Matches!A:A, Matches!L:L, "NA", 0)</f>
        <v>RCBW</v>
      </c>
      <c r="X1555" t="str">
        <f>_xlfn.XLOOKUP(A1555, Matches!A:A, Matches!J:J, "NA", 0)</f>
        <v>RCBW</v>
      </c>
      <c r="Y1555" t="str">
        <f>_xlfn.XLOOKUP(A1555, Matches!A:A, Matches!F:F, "NA", 0)</f>
        <v>Dr DY Patil Sports </v>
      </c>
      <c r="Z1555" cm="1">
        <f t="array" ref="Z1555">INDEX(Innings!F:F,MATCH(1,(TRIM(Innings!A:A)=TRIM(A1555))*(TRIM(Innings!D:D)=TRIM(E1555)),0))</f>
        <v>145</v>
      </c>
      <c r="AA1555" cm="1">
        <f t="array" ref="AA1555">INDEX(Innings!I:I,MATCH(1,(TRIM(Innings!A:A)=TRIM(A1555))*(TRIM(Innings!D:D)=TRIM(E1555)),0))</f>
        <v>11.92</v>
      </c>
      <c r="AB1555" cm="1">
        <f t="array" ref="AB1555">INDEX(Innings!J:J,MATCH(1,(TRIM(Innings!A:A)=TRIM(A1555))*(TRIM(Innings!D:D)=TRIM(E1555)),0))</f>
        <v>78</v>
      </c>
      <c r="AC1555" cm="1">
        <f t="array" ref="AC1555">INDEX(Innings!N:N,MATCH(1,(TRIM(Innings!A:A)=TRIM(A1555))*(TRIM(Innings!D:D)=TRIM(E1555)),0))</f>
        <v>0</v>
      </c>
      <c r="AD1555" cm="1">
        <f t="array" ref="AD1555">INDEX(Innings!S:S,MATCH(1,(TRIM(Innings!A:A)=TRIM(A1555))*(TRIM(Innings!D:D)=TRIM(E1555)),0))</f>
        <v>29</v>
      </c>
      <c r="AE1555" t="str" cm="1">
        <f t="array" ref="AE1555">INDEX(Innings!W:W,MATCH(1,(TRIM(Innings!A:A)=TRIM(A1555))*(TRIM(Innings!D:D)=TRIM(E1555)),0))</f>
        <v>Successful</v>
      </c>
      <c r="AF1555">
        <f>IF(UPPER(TRIM(E1555))=UPPER(TRIM(W1555)),1,0)</f>
        <v>1</v>
      </c>
      <c r="AG1555">
        <f t="shared" si="48"/>
        <v>20</v>
      </c>
    </row>
    <row r="1556" spans="1:33" x14ac:dyDescent="0.3">
      <c r="A1556" t="s">
        <v>605</v>
      </c>
      <c r="B1556">
        <v>4</v>
      </c>
      <c r="C1556" t="s">
        <v>535</v>
      </c>
      <c r="D1556" t="s">
        <v>645</v>
      </c>
      <c r="E1556" t="s">
        <v>159</v>
      </c>
      <c r="F1556" t="s">
        <v>169</v>
      </c>
      <c r="G1556" t="s">
        <v>104</v>
      </c>
      <c r="H1556">
        <v>0</v>
      </c>
      <c r="I1556">
        <v>0</v>
      </c>
      <c r="J1556">
        <v>0</v>
      </c>
      <c r="K1556" t="s">
        <v>104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 s="8">
        <v>0</v>
      </c>
      <c r="V1556" s="8">
        <f t="shared" si="49"/>
        <v>0</v>
      </c>
      <c r="W1556" t="str">
        <f>_xlfn.XLOOKUP(A1556, Matches!A:A, Matches!L:L, "NA", 0)</f>
        <v>RCBW</v>
      </c>
      <c r="X1556" t="str">
        <f>_xlfn.XLOOKUP(A1556, Matches!A:A, Matches!J:J, "NA", 0)</f>
        <v>RCBW</v>
      </c>
      <c r="Y1556" t="str">
        <f>_xlfn.XLOOKUP(A1556, Matches!A:A, Matches!F:F, "NA", 0)</f>
        <v>Dr DY Patil Sports </v>
      </c>
      <c r="Z1556" cm="1">
        <f t="array" ref="Z1556">INDEX(Innings!F:F,MATCH(1,(TRIM(Innings!A:A)=TRIM(A1556))*(TRIM(Innings!D:D)=TRIM(E1556)),0))</f>
        <v>145</v>
      </c>
      <c r="AA1556" cm="1">
        <f t="array" ref="AA1556">INDEX(Innings!I:I,MATCH(1,(TRIM(Innings!A:A)=TRIM(A1556))*(TRIM(Innings!D:D)=TRIM(E1556)),0))</f>
        <v>11.92</v>
      </c>
      <c r="AB1556" cm="1">
        <f t="array" ref="AB1556">INDEX(Innings!J:J,MATCH(1,(TRIM(Innings!A:A)=TRIM(A1556))*(TRIM(Innings!D:D)=TRIM(E1556)),0))</f>
        <v>78</v>
      </c>
      <c r="AC1556" cm="1">
        <f t="array" ref="AC1556">INDEX(Innings!N:N,MATCH(1,(TRIM(Innings!A:A)=TRIM(A1556))*(TRIM(Innings!D:D)=TRIM(E1556)),0))</f>
        <v>0</v>
      </c>
      <c r="AD1556" cm="1">
        <f t="array" ref="AD1556">INDEX(Innings!S:S,MATCH(1,(TRIM(Innings!A:A)=TRIM(A1556))*(TRIM(Innings!D:D)=TRIM(E1556)),0))</f>
        <v>29</v>
      </c>
      <c r="AE1556" t="str" cm="1">
        <f t="array" ref="AE1556">INDEX(Innings!W:W,MATCH(1,(TRIM(Innings!A:A)=TRIM(A1556))*(TRIM(Innings!D:D)=TRIM(E1556)),0))</f>
        <v>Successful</v>
      </c>
      <c r="AF1556">
        <f>IF(UPPER(TRIM(E1556))=UPPER(TRIM(W1556)),1,0)</f>
        <v>1</v>
      </c>
      <c r="AG1556">
        <f t="shared" si="48"/>
        <v>20</v>
      </c>
    </row>
    <row r="1557" spans="1:33" x14ac:dyDescent="0.3">
      <c r="A1557" t="s">
        <v>605</v>
      </c>
      <c r="B1557">
        <v>4</v>
      </c>
      <c r="C1557" t="s">
        <v>206</v>
      </c>
      <c r="D1557" t="s">
        <v>207</v>
      </c>
      <c r="E1557" t="s">
        <v>159</v>
      </c>
      <c r="F1557" t="s">
        <v>101</v>
      </c>
      <c r="G1557" t="s">
        <v>104</v>
      </c>
      <c r="H1557">
        <v>0</v>
      </c>
      <c r="I1557">
        <v>0</v>
      </c>
      <c r="J1557">
        <v>0</v>
      </c>
      <c r="K1557" t="s">
        <v>104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 s="8">
        <v>0</v>
      </c>
      <c r="V1557" s="8">
        <f t="shared" si="49"/>
        <v>0</v>
      </c>
      <c r="W1557" t="str">
        <f>_xlfn.XLOOKUP(A1557, Matches!A:A, Matches!L:L, "NA", 0)</f>
        <v>RCBW</v>
      </c>
      <c r="X1557" t="str">
        <f>_xlfn.XLOOKUP(A1557, Matches!A:A, Matches!J:J, "NA", 0)</f>
        <v>RCBW</v>
      </c>
      <c r="Y1557" t="str">
        <f>_xlfn.XLOOKUP(A1557, Matches!A:A, Matches!F:F, "NA", 0)</f>
        <v>Dr DY Patil Sports </v>
      </c>
      <c r="Z1557" cm="1">
        <f t="array" ref="Z1557">INDEX(Innings!F:F,MATCH(1,(TRIM(Innings!A:A)=TRIM(A1557))*(TRIM(Innings!D:D)=TRIM(E1557)),0))</f>
        <v>145</v>
      </c>
      <c r="AA1557" cm="1">
        <f t="array" ref="AA1557">INDEX(Innings!I:I,MATCH(1,(TRIM(Innings!A:A)=TRIM(A1557))*(TRIM(Innings!D:D)=TRIM(E1557)),0))</f>
        <v>11.92</v>
      </c>
      <c r="AB1557" cm="1">
        <f t="array" ref="AB1557">INDEX(Innings!J:J,MATCH(1,(TRIM(Innings!A:A)=TRIM(A1557))*(TRIM(Innings!D:D)=TRIM(E1557)),0))</f>
        <v>78</v>
      </c>
      <c r="AC1557" cm="1">
        <f t="array" ref="AC1557">INDEX(Innings!N:N,MATCH(1,(TRIM(Innings!A:A)=TRIM(A1557))*(TRIM(Innings!D:D)=TRIM(E1557)),0))</f>
        <v>0</v>
      </c>
      <c r="AD1557" cm="1">
        <f t="array" ref="AD1557">INDEX(Innings!S:S,MATCH(1,(TRIM(Innings!A:A)=TRIM(A1557))*(TRIM(Innings!D:D)=TRIM(E1557)),0))</f>
        <v>29</v>
      </c>
      <c r="AE1557" t="str" cm="1">
        <f t="array" ref="AE1557">INDEX(Innings!W:W,MATCH(1,(TRIM(Innings!A:A)=TRIM(A1557))*(TRIM(Innings!D:D)=TRIM(E1557)),0))</f>
        <v>Successful</v>
      </c>
      <c r="AF1557">
        <f>IF(UPPER(TRIM(E1557))=UPPER(TRIM(W1557)),1,0)</f>
        <v>1</v>
      </c>
      <c r="AG1557">
        <f t="shared" si="48"/>
        <v>20</v>
      </c>
    </row>
    <row r="1558" spans="1:33" x14ac:dyDescent="0.3">
      <c r="A1558" t="s">
        <v>605</v>
      </c>
      <c r="B1558">
        <v>4</v>
      </c>
      <c r="C1558" t="s">
        <v>449</v>
      </c>
      <c r="D1558" t="s">
        <v>410</v>
      </c>
      <c r="E1558" t="s">
        <v>159</v>
      </c>
      <c r="F1558" t="s">
        <v>169</v>
      </c>
      <c r="G1558" t="s">
        <v>104</v>
      </c>
      <c r="H1558">
        <v>0</v>
      </c>
      <c r="I1558">
        <v>0</v>
      </c>
      <c r="J1558">
        <v>0</v>
      </c>
      <c r="K1558" t="s">
        <v>104</v>
      </c>
      <c r="L1558">
        <v>0</v>
      </c>
      <c r="M1558">
        <v>4</v>
      </c>
      <c r="N1558">
        <v>0</v>
      </c>
      <c r="O1558">
        <v>28</v>
      </c>
      <c r="P1558">
        <v>2</v>
      </c>
      <c r="Q1558">
        <v>7</v>
      </c>
      <c r="R1558">
        <v>50</v>
      </c>
      <c r="S1558">
        <v>0</v>
      </c>
      <c r="T1558">
        <v>0</v>
      </c>
      <c r="U1558" s="8">
        <v>50</v>
      </c>
      <c r="V1558" s="8">
        <f t="shared" si="49"/>
        <v>5</v>
      </c>
      <c r="W1558" t="str">
        <f>_xlfn.XLOOKUP(A1558, Matches!A:A, Matches!L:L, "NA", 0)</f>
        <v>RCBW</v>
      </c>
      <c r="X1558" t="str">
        <f>_xlfn.XLOOKUP(A1558, Matches!A:A, Matches!J:J, "NA", 0)</f>
        <v>RCBW</v>
      </c>
      <c r="Y1558" t="str">
        <f>_xlfn.XLOOKUP(A1558, Matches!A:A, Matches!F:F, "NA", 0)</f>
        <v>Dr DY Patil Sports </v>
      </c>
      <c r="Z1558" cm="1">
        <f t="array" ref="Z1558">INDEX(Innings!F:F,MATCH(1,(TRIM(Innings!A:A)=TRIM(A1558))*(TRIM(Innings!D:D)=TRIM(E1558)),0))</f>
        <v>145</v>
      </c>
      <c r="AA1558" cm="1">
        <f t="array" ref="AA1558">INDEX(Innings!I:I,MATCH(1,(TRIM(Innings!A:A)=TRIM(A1558))*(TRIM(Innings!D:D)=TRIM(E1558)),0))</f>
        <v>11.92</v>
      </c>
      <c r="AB1558" cm="1">
        <f t="array" ref="AB1558">INDEX(Innings!J:J,MATCH(1,(TRIM(Innings!A:A)=TRIM(A1558))*(TRIM(Innings!D:D)=TRIM(E1558)),0))</f>
        <v>78</v>
      </c>
      <c r="AC1558" cm="1">
        <f t="array" ref="AC1558">INDEX(Innings!N:N,MATCH(1,(TRIM(Innings!A:A)=TRIM(A1558))*(TRIM(Innings!D:D)=TRIM(E1558)),0))</f>
        <v>0</v>
      </c>
      <c r="AD1558" cm="1">
        <f t="array" ref="AD1558">INDEX(Innings!S:S,MATCH(1,(TRIM(Innings!A:A)=TRIM(A1558))*(TRIM(Innings!D:D)=TRIM(E1558)),0))</f>
        <v>29</v>
      </c>
      <c r="AE1558" t="str" cm="1">
        <f t="array" ref="AE1558">INDEX(Innings!W:W,MATCH(1,(TRIM(Innings!A:A)=TRIM(A1558))*(TRIM(Innings!D:D)=TRIM(E1558)),0))</f>
        <v>Successful</v>
      </c>
      <c r="AF1558">
        <f>IF(UPPER(TRIM(E1558))=UPPER(TRIM(W1558)),1,0)</f>
        <v>1</v>
      </c>
      <c r="AG1558">
        <f t="shared" si="48"/>
        <v>46.5</v>
      </c>
    </row>
    <row r="1559" spans="1:33" x14ac:dyDescent="0.3">
      <c r="A1559" t="s">
        <v>605</v>
      </c>
      <c r="B1559">
        <v>4</v>
      </c>
      <c r="C1559" t="s">
        <v>202</v>
      </c>
      <c r="D1559" t="s">
        <v>203</v>
      </c>
      <c r="E1559" t="s">
        <v>159</v>
      </c>
      <c r="F1559" t="s">
        <v>101</v>
      </c>
      <c r="G1559" t="s">
        <v>104</v>
      </c>
      <c r="H1559">
        <v>0</v>
      </c>
      <c r="I1559">
        <v>0</v>
      </c>
      <c r="J1559">
        <v>0</v>
      </c>
      <c r="K1559" t="s">
        <v>104</v>
      </c>
      <c r="L1559">
        <v>0</v>
      </c>
      <c r="M1559">
        <v>4</v>
      </c>
      <c r="N1559">
        <v>0</v>
      </c>
      <c r="O1559">
        <v>18</v>
      </c>
      <c r="P1559">
        <v>0</v>
      </c>
      <c r="Q1559">
        <v>4.5</v>
      </c>
      <c r="R1559">
        <v>15</v>
      </c>
      <c r="S1559">
        <v>0</v>
      </c>
      <c r="T1559">
        <v>0</v>
      </c>
      <c r="U1559" s="8">
        <v>15</v>
      </c>
      <c r="V1559" s="8">
        <f t="shared" si="49"/>
        <v>2</v>
      </c>
      <c r="W1559" t="str">
        <f>_xlfn.XLOOKUP(A1559, Matches!A:A, Matches!L:L, "NA", 0)</f>
        <v>RCBW</v>
      </c>
      <c r="X1559" t="str">
        <f>_xlfn.XLOOKUP(A1559, Matches!A:A, Matches!J:J, "NA", 0)</f>
        <v>RCBW</v>
      </c>
      <c r="Y1559" t="str">
        <f>_xlfn.XLOOKUP(A1559, Matches!A:A, Matches!F:F, "NA", 0)</f>
        <v>Dr DY Patil Sports </v>
      </c>
      <c r="Z1559" cm="1">
        <f t="array" ref="Z1559">INDEX(Innings!F:F,MATCH(1,(TRIM(Innings!A:A)=TRIM(A1559))*(TRIM(Innings!D:D)=TRIM(E1559)),0))</f>
        <v>145</v>
      </c>
      <c r="AA1559" cm="1">
        <f t="array" ref="AA1559">INDEX(Innings!I:I,MATCH(1,(TRIM(Innings!A:A)=TRIM(A1559))*(TRIM(Innings!D:D)=TRIM(E1559)),0))</f>
        <v>11.92</v>
      </c>
      <c r="AB1559" cm="1">
        <f t="array" ref="AB1559">INDEX(Innings!J:J,MATCH(1,(TRIM(Innings!A:A)=TRIM(A1559))*(TRIM(Innings!D:D)=TRIM(E1559)),0))</f>
        <v>78</v>
      </c>
      <c r="AC1559" cm="1">
        <f t="array" ref="AC1559">INDEX(Innings!N:N,MATCH(1,(TRIM(Innings!A:A)=TRIM(A1559))*(TRIM(Innings!D:D)=TRIM(E1559)),0))</f>
        <v>0</v>
      </c>
      <c r="AD1559" cm="1">
        <f t="array" ref="AD1559">INDEX(Innings!S:S,MATCH(1,(TRIM(Innings!A:A)=TRIM(A1559))*(TRIM(Innings!D:D)=TRIM(E1559)),0))</f>
        <v>29</v>
      </c>
      <c r="AE1559" t="str" cm="1">
        <f t="array" ref="AE1559">INDEX(Innings!W:W,MATCH(1,(TRIM(Innings!A:A)=TRIM(A1559))*(TRIM(Innings!D:D)=TRIM(E1559)),0))</f>
        <v>Successful</v>
      </c>
      <c r="AF1559">
        <f>IF(UPPER(TRIM(E1559))=UPPER(TRIM(W1559)),1,0)</f>
        <v>1</v>
      </c>
      <c r="AG1559">
        <f t="shared" si="48"/>
        <v>28.1</v>
      </c>
    </row>
    <row r="1560" spans="1:33" x14ac:dyDescent="0.3">
      <c r="A1560" t="s">
        <v>605</v>
      </c>
      <c r="B1560">
        <v>4</v>
      </c>
      <c r="C1560" t="s">
        <v>259</v>
      </c>
      <c r="D1560" t="s">
        <v>257</v>
      </c>
      <c r="E1560" t="s">
        <v>159</v>
      </c>
      <c r="F1560" t="s">
        <v>169</v>
      </c>
      <c r="G1560" t="s">
        <v>104</v>
      </c>
      <c r="H1560">
        <v>0</v>
      </c>
      <c r="I1560">
        <v>0</v>
      </c>
      <c r="J1560">
        <v>0</v>
      </c>
      <c r="K1560" t="s">
        <v>104</v>
      </c>
      <c r="L1560">
        <v>0</v>
      </c>
      <c r="M1560">
        <v>4</v>
      </c>
      <c r="N1560">
        <v>0</v>
      </c>
      <c r="O1560">
        <v>50</v>
      </c>
      <c r="P1560">
        <v>2</v>
      </c>
      <c r="Q1560">
        <v>12.5</v>
      </c>
      <c r="R1560">
        <v>50</v>
      </c>
      <c r="S1560">
        <v>0</v>
      </c>
      <c r="T1560">
        <v>0</v>
      </c>
      <c r="U1560" s="8">
        <v>50</v>
      </c>
      <c r="V1560" s="8">
        <f t="shared" si="49"/>
        <v>5</v>
      </c>
      <c r="W1560" t="str">
        <f>_xlfn.XLOOKUP(A1560, Matches!A:A, Matches!L:L, "NA", 0)</f>
        <v>RCBW</v>
      </c>
      <c r="X1560" t="str">
        <f>_xlfn.XLOOKUP(A1560, Matches!A:A, Matches!J:J, "NA", 0)</f>
        <v>RCBW</v>
      </c>
      <c r="Y1560" t="str">
        <f>_xlfn.XLOOKUP(A1560, Matches!A:A, Matches!F:F, "NA", 0)</f>
        <v>Dr DY Patil Sports </v>
      </c>
      <c r="Z1560" cm="1">
        <f t="array" ref="Z1560">INDEX(Innings!F:F,MATCH(1,(TRIM(Innings!A:A)=TRIM(A1560))*(TRIM(Innings!D:D)=TRIM(E1560)),0))</f>
        <v>145</v>
      </c>
      <c r="AA1560" cm="1">
        <f t="array" ref="AA1560">INDEX(Innings!I:I,MATCH(1,(TRIM(Innings!A:A)=TRIM(A1560))*(TRIM(Innings!D:D)=TRIM(E1560)),0))</f>
        <v>11.92</v>
      </c>
      <c r="AB1560" cm="1">
        <f t="array" ref="AB1560">INDEX(Innings!J:J,MATCH(1,(TRIM(Innings!A:A)=TRIM(A1560))*(TRIM(Innings!D:D)=TRIM(E1560)),0))</f>
        <v>78</v>
      </c>
      <c r="AC1560" cm="1">
        <f t="array" ref="AC1560">INDEX(Innings!N:N,MATCH(1,(TRIM(Innings!A:A)=TRIM(A1560))*(TRIM(Innings!D:D)=TRIM(E1560)),0))</f>
        <v>0</v>
      </c>
      <c r="AD1560" cm="1">
        <f t="array" ref="AD1560">INDEX(Innings!S:S,MATCH(1,(TRIM(Innings!A:A)=TRIM(A1560))*(TRIM(Innings!D:D)=TRIM(E1560)),0))</f>
        <v>29</v>
      </c>
      <c r="AE1560" t="str" cm="1">
        <f t="array" ref="AE1560">INDEX(Innings!W:W,MATCH(1,(TRIM(Innings!A:A)=TRIM(A1560))*(TRIM(Innings!D:D)=TRIM(E1560)),0))</f>
        <v>Successful</v>
      </c>
      <c r="AF1560">
        <f>IF(UPPER(TRIM(E1560))=UPPER(TRIM(W1560)),1,0)</f>
        <v>1</v>
      </c>
      <c r="AG1560">
        <f t="shared" si="48"/>
        <v>46.5</v>
      </c>
    </row>
    <row r="1561" spans="1:33" x14ac:dyDescent="0.3">
      <c r="A1561" t="s">
        <v>605</v>
      </c>
      <c r="B1561">
        <v>4</v>
      </c>
      <c r="C1561" t="s">
        <v>528</v>
      </c>
      <c r="D1561" t="s">
        <v>628</v>
      </c>
      <c r="E1561" t="s">
        <v>159</v>
      </c>
      <c r="F1561" t="s">
        <v>101</v>
      </c>
      <c r="G1561" t="s">
        <v>104</v>
      </c>
      <c r="H1561">
        <v>0</v>
      </c>
      <c r="I1561">
        <v>0</v>
      </c>
      <c r="J1561">
        <v>0</v>
      </c>
      <c r="K1561" t="s">
        <v>104</v>
      </c>
      <c r="L1561">
        <v>0</v>
      </c>
      <c r="M1561">
        <v>4</v>
      </c>
      <c r="N1561">
        <v>0</v>
      </c>
      <c r="O1561">
        <v>30</v>
      </c>
      <c r="P1561">
        <v>0</v>
      </c>
      <c r="Q1561">
        <v>7.5</v>
      </c>
      <c r="R1561">
        <v>5</v>
      </c>
      <c r="S1561">
        <v>0</v>
      </c>
      <c r="T1561">
        <v>0</v>
      </c>
      <c r="U1561" s="8">
        <v>5</v>
      </c>
      <c r="V1561" s="8">
        <f t="shared" si="49"/>
        <v>1</v>
      </c>
      <c r="W1561" t="str">
        <f>_xlfn.XLOOKUP(A1561, Matches!A:A, Matches!L:L, "NA", 0)</f>
        <v>RCBW</v>
      </c>
      <c r="X1561" t="str">
        <f>_xlfn.XLOOKUP(A1561, Matches!A:A, Matches!J:J, "NA", 0)</f>
        <v>RCBW</v>
      </c>
      <c r="Y1561" t="str">
        <f>_xlfn.XLOOKUP(A1561, Matches!A:A, Matches!F:F, "NA", 0)</f>
        <v>Dr DY Patil Sports </v>
      </c>
      <c r="Z1561" cm="1">
        <f t="array" ref="Z1561">INDEX(Innings!F:F,MATCH(1,(TRIM(Innings!A:A)=TRIM(A1561))*(TRIM(Innings!D:D)=TRIM(E1561)),0))</f>
        <v>145</v>
      </c>
      <c r="AA1561" cm="1">
        <f t="array" ref="AA1561">INDEX(Innings!I:I,MATCH(1,(TRIM(Innings!A:A)=TRIM(A1561))*(TRIM(Innings!D:D)=TRIM(E1561)),0))</f>
        <v>11.92</v>
      </c>
      <c r="AB1561" cm="1">
        <f t="array" ref="AB1561">INDEX(Innings!J:J,MATCH(1,(TRIM(Innings!A:A)=TRIM(A1561))*(TRIM(Innings!D:D)=TRIM(E1561)),0))</f>
        <v>78</v>
      </c>
      <c r="AC1561" cm="1">
        <f t="array" ref="AC1561">INDEX(Innings!N:N,MATCH(1,(TRIM(Innings!A:A)=TRIM(A1561))*(TRIM(Innings!D:D)=TRIM(E1561)),0))</f>
        <v>0</v>
      </c>
      <c r="AD1561" cm="1">
        <f t="array" ref="AD1561">INDEX(Innings!S:S,MATCH(1,(TRIM(Innings!A:A)=TRIM(A1561))*(TRIM(Innings!D:D)=TRIM(E1561)),0))</f>
        <v>29</v>
      </c>
      <c r="AE1561" t="str" cm="1">
        <f t="array" ref="AE1561">INDEX(Innings!W:W,MATCH(1,(TRIM(Innings!A:A)=TRIM(A1561))*(TRIM(Innings!D:D)=TRIM(E1561)),0))</f>
        <v>Successful</v>
      </c>
      <c r="AF1561">
        <f>IF(UPPER(TRIM(E1561))=UPPER(TRIM(W1561)),1,0)</f>
        <v>1</v>
      </c>
      <c r="AG1561">
        <f t="shared" si="48"/>
        <v>22.8</v>
      </c>
    </row>
    <row r="1562" spans="1:33" x14ac:dyDescent="0.3">
      <c r="A1562" t="s">
        <v>605</v>
      </c>
      <c r="B1562">
        <v>4</v>
      </c>
      <c r="C1562" t="s">
        <v>527</v>
      </c>
      <c r="D1562" t="s">
        <v>627</v>
      </c>
      <c r="E1562" t="s">
        <v>159</v>
      </c>
      <c r="F1562" t="s">
        <v>101</v>
      </c>
      <c r="G1562" t="s">
        <v>104</v>
      </c>
      <c r="H1562">
        <v>0</v>
      </c>
      <c r="I1562">
        <v>0</v>
      </c>
      <c r="J1562">
        <v>0</v>
      </c>
      <c r="K1562" t="s">
        <v>104</v>
      </c>
      <c r="L1562">
        <v>0</v>
      </c>
      <c r="M1562">
        <v>4</v>
      </c>
      <c r="N1562">
        <v>0</v>
      </c>
      <c r="O1562">
        <v>16</v>
      </c>
      <c r="P1562">
        <v>1</v>
      </c>
      <c r="Q1562">
        <v>4</v>
      </c>
      <c r="R1562">
        <v>35</v>
      </c>
      <c r="S1562">
        <v>0</v>
      </c>
      <c r="T1562">
        <v>0</v>
      </c>
      <c r="U1562" s="8">
        <v>35</v>
      </c>
      <c r="V1562" s="8">
        <f t="shared" si="49"/>
        <v>4</v>
      </c>
      <c r="W1562" t="str">
        <f>_xlfn.XLOOKUP(A1562, Matches!A:A, Matches!L:L, "NA", 0)</f>
        <v>RCBW</v>
      </c>
      <c r="X1562" t="str">
        <f>_xlfn.XLOOKUP(A1562, Matches!A:A, Matches!J:J, "NA", 0)</f>
        <v>RCBW</v>
      </c>
      <c r="Y1562" t="str">
        <f>_xlfn.XLOOKUP(A1562, Matches!A:A, Matches!F:F, "NA", 0)</f>
        <v>Dr DY Patil Sports </v>
      </c>
      <c r="Z1562" cm="1">
        <f t="array" ref="Z1562">INDEX(Innings!F:F,MATCH(1,(TRIM(Innings!A:A)=TRIM(A1562))*(TRIM(Innings!D:D)=TRIM(E1562)),0))</f>
        <v>145</v>
      </c>
      <c r="AA1562" cm="1">
        <f t="array" ref="AA1562">INDEX(Innings!I:I,MATCH(1,(TRIM(Innings!A:A)=TRIM(A1562))*(TRIM(Innings!D:D)=TRIM(E1562)),0))</f>
        <v>11.92</v>
      </c>
      <c r="AB1562" cm="1">
        <f t="array" ref="AB1562">INDEX(Innings!J:J,MATCH(1,(TRIM(Innings!A:A)=TRIM(A1562))*(TRIM(Innings!D:D)=TRIM(E1562)),0))</f>
        <v>78</v>
      </c>
      <c r="AC1562" cm="1">
        <f t="array" ref="AC1562">INDEX(Innings!N:N,MATCH(1,(TRIM(Innings!A:A)=TRIM(A1562))*(TRIM(Innings!D:D)=TRIM(E1562)),0))</f>
        <v>0</v>
      </c>
      <c r="AD1562" cm="1">
        <f t="array" ref="AD1562">INDEX(Innings!S:S,MATCH(1,(TRIM(Innings!A:A)=TRIM(A1562))*(TRIM(Innings!D:D)=TRIM(E1562)),0))</f>
        <v>29</v>
      </c>
      <c r="AE1562" t="str" cm="1">
        <f t="array" ref="AE1562">INDEX(Innings!W:W,MATCH(1,(TRIM(Innings!A:A)=TRIM(A1562))*(TRIM(Innings!D:D)=TRIM(E1562)),0))</f>
        <v>Successful</v>
      </c>
      <c r="AF1562">
        <f>IF(UPPER(TRIM(E1562))=UPPER(TRIM(W1562)),1,0)</f>
        <v>1</v>
      </c>
      <c r="AG1562">
        <f t="shared" si="48"/>
        <v>38.700000000000003</v>
      </c>
    </row>
    <row r="1563" spans="1:33" x14ac:dyDescent="0.3">
      <c r="A1563" t="s">
        <v>606</v>
      </c>
      <c r="B1563">
        <v>4</v>
      </c>
      <c r="C1563" t="s">
        <v>81</v>
      </c>
      <c r="D1563" t="s">
        <v>114</v>
      </c>
      <c r="E1563" t="s">
        <v>258</v>
      </c>
      <c r="F1563" t="s">
        <v>85</v>
      </c>
      <c r="G1563" t="s">
        <v>86</v>
      </c>
      <c r="H1563">
        <v>33</v>
      </c>
      <c r="I1563">
        <v>26</v>
      </c>
      <c r="J1563">
        <v>126.92</v>
      </c>
      <c r="K1563" t="s">
        <v>246</v>
      </c>
      <c r="L1563">
        <v>40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 s="8">
        <v>40</v>
      </c>
      <c r="V1563" s="8">
        <f t="shared" si="49"/>
        <v>4</v>
      </c>
      <c r="W1563" t="str">
        <f>_xlfn.XLOOKUP(A1563, Matches!A:A, Matches!L:L, "NA", 0)</f>
        <v>MIW</v>
      </c>
      <c r="X1563" t="str">
        <f>_xlfn.XLOOKUP(A1563, Matches!A:A, Matches!J:J, "NA", 0)</f>
        <v>MIW</v>
      </c>
      <c r="Y1563" t="str">
        <f>_xlfn.XLOOKUP(A1563, Matches!A:A, Matches!F:F, "NA", 0)</f>
        <v>Dr DY Patil Sports </v>
      </c>
      <c r="Z1563" cm="1">
        <f t="array" ref="Z1563">INDEX(Innings!F:F,MATCH(1,(TRIM(Innings!A:A)=TRIM(A1563))*(TRIM(Innings!D:D)=TRIM(E1563)),0))</f>
        <v>192</v>
      </c>
      <c r="AA1563" cm="1">
        <f t="array" ref="AA1563">INDEX(Innings!I:I,MATCH(1,(TRIM(Innings!A:A)=TRIM(A1563))*(TRIM(Innings!D:D)=TRIM(E1563)),0))</f>
        <v>9.6</v>
      </c>
      <c r="AB1563" cm="1">
        <f t="array" ref="AB1563">INDEX(Innings!J:J,MATCH(1,(TRIM(Innings!A:A)=TRIM(A1563))*(TRIM(Innings!D:D)=TRIM(E1563)),0))</f>
        <v>62</v>
      </c>
      <c r="AC1563" cm="1">
        <f t="array" ref="AC1563">INDEX(Innings!N:N,MATCH(1,(TRIM(Innings!A:A)=TRIM(A1563))*(TRIM(Innings!D:D)=TRIM(E1563)),0))</f>
        <v>56</v>
      </c>
      <c r="AD1563" cm="1">
        <f t="array" ref="AD1563">INDEX(Innings!S:S,MATCH(1,(TRIM(Innings!A:A)=TRIM(A1563))*(TRIM(Innings!D:D)=TRIM(E1563)),0))</f>
        <v>27</v>
      </c>
      <c r="AE1563" t="str" cm="1">
        <f t="array" ref="AE1563">INDEX(Innings!W:W,MATCH(1,(TRIM(Innings!A:A)=TRIM(A1563))*(TRIM(Innings!D:D)=TRIM(E1563)),0))</f>
        <v>NA</v>
      </c>
      <c r="AF1563">
        <f>IF(UPPER(TRIM(E1563))=UPPER(TRIM(W1563)),1,0)</f>
        <v>0</v>
      </c>
      <c r="AG1563">
        <f t="shared" si="48"/>
        <v>21.2</v>
      </c>
    </row>
    <row r="1564" spans="1:33" x14ac:dyDescent="0.3">
      <c r="A1564" t="s">
        <v>606</v>
      </c>
      <c r="B1564">
        <v>4</v>
      </c>
      <c r="C1564" t="s">
        <v>167</v>
      </c>
      <c r="D1564" t="s">
        <v>168</v>
      </c>
      <c r="E1564" t="s">
        <v>258</v>
      </c>
      <c r="F1564" t="s">
        <v>169</v>
      </c>
      <c r="G1564" t="s">
        <v>92</v>
      </c>
      <c r="H1564">
        <v>8</v>
      </c>
      <c r="I1564">
        <v>4</v>
      </c>
      <c r="J1564">
        <v>200</v>
      </c>
      <c r="K1564" t="s">
        <v>246</v>
      </c>
      <c r="L1564">
        <v>20</v>
      </c>
      <c r="M1564">
        <v>3.2</v>
      </c>
      <c r="N1564">
        <v>0</v>
      </c>
      <c r="O1564">
        <v>29</v>
      </c>
      <c r="P1564">
        <v>1</v>
      </c>
      <c r="Q1564">
        <v>8.6999999999999993</v>
      </c>
      <c r="R1564">
        <v>35</v>
      </c>
      <c r="S1564">
        <v>0</v>
      </c>
      <c r="T1564">
        <v>0</v>
      </c>
      <c r="U1564" s="8">
        <v>55</v>
      </c>
      <c r="V1564" s="8">
        <f t="shared" si="49"/>
        <v>6</v>
      </c>
      <c r="W1564" t="str">
        <f>_xlfn.XLOOKUP(A1564, Matches!A:A, Matches!L:L, "NA", 0)</f>
        <v>MIW</v>
      </c>
      <c r="X1564" t="str">
        <f>_xlfn.XLOOKUP(A1564, Matches!A:A, Matches!J:J, "NA", 0)</f>
        <v>MIW</v>
      </c>
      <c r="Y1564" t="str">
        <f>_xlfn.XLOOKUP(A1564, Matches!A:A, Matches!F:F, "NA", 0)</f>
        <v>Dr DY Patil Sports </v>
      </c>
      <c r="Z1564" cm="1">
        <f t="array" ref="Z1564">INDEX(Innings!F:F,MATCH(1,(TRIM(Innings!A:A)=TRIM(A1564))*(TRIM(Innings!D:D)=TRIM(E1564)),0))</f>
        <v>192</v>
      </c>
      <c r="AA1564" cm="1">
        <f t="array" ref="AA1564">INDEX(Innings!I:I,MATCH(1,(TRIM(Innings!A:A)=TRIM(A1564))*(TRIM(Innings!D:D)=TRIM(E1564)),0))</f>
        <v>9.6</v>
      </c>
      <c r="AB1564" cm="1">
        <f t="array" ref="AB1564">INDEX(Innings!J:J,MATCH(1,(TRIM(Innings!A:A)=TRIM(A1564))*(TRIM(Innings!D:D)=TRIM(E1564)),0))</f>
        <v>62</v>
      </c>
      <c r="AC1564" cm="1">
        <f t="array" ref="AC1564">INDEX(Innings!N:N,MATCH(1,(TRIM(Innings!A:A)=TRIM(A1564))*(TRIM(Innings!D:D)=TRIM(E1564)),0))</f>
        <v>56</v>
      </c>
      <c r="AD1564" cm="1">
        <f t="array" ref="AD1564">INDEX(Innings!S:S,MATCH(1,(TRIM(Innings!A:A)=TRIM(A1564))*(TRIM(Innings!D:D)=TRIM(E1564)),0))</f>
        <v>27</v>
      </c>
      <c r="AE1564" t="str" cm="1">
        <f t="array" ref="AE1564">INDEX(Innings!W:W,MATCH(1,(TRIM(Innings!A:A)=TRIM(A1564))*(TRIM(Innings!D:D)=TRIM(E1564)),0))</f>
        <v>NA</v>
      </c>
      <c r="AF1564">
        <f>IF(UPPER(TRIM(E1564))=UPPER(TRIM(W1564)),1,0)</f>
        <v>0</v>
      </c>
      <c r="AG1564">
        <f t="shared" si="48"/>
        <v>29.3</v>
      </c>
    </row>
    <row r="1565" spans="1:33" x14ac:dyDescent="0.3">
      <c r="A1565" t="s">
        <v>606</v>
      </c>
      <c r="B1565">
        <v>4</v>
      </c>
      <c r="C1565" t="s">
        <v>178</v>
      </c>
      <c r="D1565" t="s">
        <v>179</v>
      </c>
      <c r="E1565" t="s">
        <v>258</v>
      </c>
      <c r="F1565" t="s">
        <v>169</v>
      </c>
      <c r="G1565" t="s">
        <v>92</v>
      </c>
      <c r="H1565">
        <v>35</v>
      </c>
      <c r="I1565">
        <v>18</v>
      </c>
      <c r="J1565">
        <v>194.44</v>
      </c>
      <c r="K1565" t="s">
        <v>246</v>
      </c>
      <c r="L1565">
        <v>55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 s="8">
        <v>55</v>
      </c>
      <c r="V1565" s="8">
        <f t="shared" si="49"/>
        <v>6</v>
      </c>
      <c r="W1565" t="str">
        <f>_xlfn.XLOOKUP(A1565, Matches!A:A, Matches!L:L, "NA", 0)</f>
        <v>MIW</v>
      </c>
      <c r="X1565" t="str">
        <f>_xlfn.XLOOKUP(A1565, Matches!A:A, Matches!J:J, "NA", 0)</f>
        <v>MIW</v>
      </c>
      <c r="Y1565" t="str">
        <f>_xlfn.XLOOKUP(A1565, Matches!A:A, Matches!F:F, "NA", 0)</f>
        <v>Dr DY Patil Sports </v>
      </c>
      <c r="Z1565" cm="1">
        <f t="array" ref="Z1565">INDEX(Innings!F:F,MATCH(1,(TRIM(Innings!A:A)=TRIM(A1565))*(TRIM(Innings!D:D)=TRIM(E1565)),0))</f>
        <v>192</v>
      </c>
      <c r="AA1565" cm="1">
        <f t="array" ref="AA1565">INDEX(Innings!I:I,MATCH(1,(TRIM(Innings!A:A)=TRIM(A1565))*(TRIM(Innings!D:D)=TRIM(E1565)),0))</f>
        <v>9.6</v>
      </c>
      <c r="AB1565" cm="1">
        <f t="array" ref="AB1565">INDEX(Innings!J:J,MATCH(1,(TRIM(Innings!A:A)=TRIM(A1565))*(TRIM(Innings!D:D)=TRIM(E1565)),0))</f>
        <v>62</v>
      </c>
      <c r="AC1565" cm="1">
        <f t="array" ref="AC1565">INDEX(Innings!N:N,MATCH(1,(TRIM(Innings!A:A)=TRIM(A1565))*(TRIM(Innings!D:D)=TRIM(E1565)),0))</f>
        <v>56</v>
      </c>
      <c r="AD1565" cm="1">
        <f t="array" ref="AD1565">INDEX(Innings!S:S,MATCH(1,(TRIM(Innings!A:A)=TRIM(A1565))*(TRIM(Innings!D:D)=TRIM(E1565)),0))</f>
        <v>27</v>
      </c>
      <c r="AE1565" t="str" cm="1">
        <f t="array" ref="AE1565">INDEX(Innings!W:W,MATCH(1,(TRIM(Innings!A:A)=TRIM(A1565))*(TRIM(Innings!D:D)=TRIM(E1565)),0))</f>
        <v>NA</v>
      </c>
      <c r="AF1565">
        <f>IF(UPPER(TRIM(E1565))=UPPER(TRIM(W1565)),1,0)</f>
        <v>0</v>
      </c>
      <c r="AG1565">
        <f t="shared" si="48"/>
        <v>29.3</v>
      </c>
    </row>
    <row r="1566" spans="1:33" x14ac:dyDescent="0.3">
      <c r="A1566" t="s">
        <v>606</v>
      </c>
      <c r="B1566">
        <v>4</v>
      </c>
      <c r="C1566" t="s">
        <v>93</v>
      </c>
      <c r="D1566" t="s">
        <v>118</v>
      </c>
      <c r="E1566" t="s">
        <v>258</v>
      </c>
      <c r="F1566" t="s">
        <v>169</v>
      </c>
      <c r="G1566" t="s">
        <v>92</v>
      </c>
      <c r="H1566">
        <v>20</v>
      </c>
      <c r="I1566">
        <v>11</v>
      </c>
      <c r="J1566">
        <v>181.82</v>
      </c>
      <c r="K1566" t="s">
        <v>247</v>
      </c>
      <c r="L1566">
        <v>30</v>
      </c>
      <c r="M1566">
        <v>1</v>
      </c>
      <c r="N1566">
        <v>0</v>
      </c>
      <c r="O1566">
        <v>10</v>
      </c>
      <c r="P1566">
        <v>0</v>
      </c>
      <c r="Q1566">
        <v>10</v>
      </c>
      <c r="R1566">
        <v>5</v>
      </c>
      <c r="S1566">
        <v>0</v>
      </c>
      <c r="T1566">
        <v>0</v>
      </c>
      <c r="U1566" s="8">
        <v>35</v>
      </c>
      <c r="V1566" s="8">
        <f t="shared" si="49"/>
        <v>4</v>
      </c>
      <c r="W1566" t="str">
        <f>_xlfn.XLOOKUP(A1566, Matches!A:A, Matches!L:L, "NA", 0)</f>
        <v>MIW</v>
      </c>
      <c r="X1566" t="str">
        <f>_xlfn.XLOOKUP(A1566, Matches!A:A, Matches!J:J, "NA", 0)</f>
        <v>MIW</v>
      </c>
      <c r="Y1566" t="str">
        <f>_xlfn.XLOOKUP(A1566, Matches!A:A, Matches!F:F, "NA", 0)</f>
        <v>Dr DY Patil Sports </v>
      </c>
      <c r="Z1566" cm="1">
        <f t="array" ref="Z1566">INDEX(Innings!F:F,MATCH(1,(TRIM(Innings!A:A)=TRIM(A1566))*(TRIM(Innings!D:D)=TRIM(E1566)),0))</f>
        <v>192</v>
      </c>
      <c r="AA1566" cm="1">
        <f t="array" ref="AA1566">INDEX(Innings!I:I,MATCH(1,(TRIM(Innings!A:A)=TRIM(A1566))*(TRIM(Innings!D:D)=TRIM(E1566)),0))</f>
        <v>9.6</v>
      </c>
      <c r="AB1566" cm="1">
        <f t="array" ref="AB1566">INDEX(Innings!J:J,MATCH(1,(TRIM(Innings!A:A)=TRIM(A1566))*(TRIM(Innings!D:D)=TRIM(E1566)),0))</f>
        <v>62</v>
      </c>
      <c r="AC1566" cm="1">
        <f t="array" ref="AC1566">INDEX(Innings!N:N,MATCH(1,(TRIM(Innings!A:A)=TRIM(A1566))*(TRIM(Innings!D:D)=TRIM(E1566)),0))</f>
        <v>56</v>
      </c>
      <c r="AD1566" cm="1">
        <f t="array" ref="AD1566">INDEX(Innings!S:S,MATCH(1,(TRIM(Innings!A:A)=TRIM(A1566))*(TRIM(Innings!D:D)=TRIM(E1566)),0))</f>
        <v>27</v>
      </c>
      <c r="AE1566" t="str" cm="1">
        <f t="array" ref="AE1566">INDEX(Innings!W:W,MATCH(1,(TRIM(Innings!A:A)=TRIM(A1566))*(TRIM(Innings!D:D)=TRIM(E1566)),0))</f>
        <v>NA</v>
      </c>
      <c r="AF1566">
        <f>IF(UPPER(TRIM(E1566))=UPPER(TRIM(W1566)),1,0)</f>
        <v>0</v>
      </c>
      <c r="AG1566">
        <f t="shared" si="48"/>
        <v>18.7</v>
      </c>
    </row>
    <row r="1567" spans="1:33" x14ac:dyDescent="0.3">
      <c r="A1567" t="s">
        <v>606</v>
      </c>
      <c r="B1567">
        <v>4</v>
      </c>
      <c r="C1567" t="s">
        <v>99</v>
      </c>
      <c r="D1567" t="s">
        <v>124</v>
      </c>
      <c r="E1567" t="s">
        <v>258</v>
      </c>
      <c r="F1567" t="s">
        <v>169</v>
      </c>
      <c r="G1567" t="s">
        <v>134</v>
      </c>
      <c r="H1567">
        <v>43</v>
      </c>
      <c r="I1567">
        <v>33</v>
      </c>
      <c r="J1567">
        <v>130.30000000000001</v>
      </c>
      <c r="K1567" t="s">
        <v>96</v>
      </c>
      <c r="L1567">
        <v>55</v>
      </c>
      <c r="M1567">
        <v>2</v>
      </c>
      <c r="N1567">
        <v>0</v>
      </c>
      <c r="O1567">
        <v>23</v>
      </c>
      <c r="P1567">
        <v>0</v>
      </c>
      <c r="Q1567">
        <v>11.5</v>
      </c>
      <c r="R1567">
        <v>-5</v>
      </c>
      <c r="S1567">
        <v>0</v>
      </c>
      <c r="T1567">
        <v>0</v>
      </c>
      <c r="U1567" s="8">
        <v>50</v>
      </c>
      <c r="V1567" s="8">
        <f t="shared" si="49"/>
        <v>5</v>
      </c>
      <c r="W1567" t="str">
        <f>_xlfn.XLOOKUP(A1567, Matches!A:A, Matches!L:L, "NA", 0)</f>
        <v>MIW</v>
      </c>
      <c r="X1567" t="str">
        <f>_xlfn.XLOOKUP(A1567, Matches!A:A, Matches!J:J, "NA", 0)</f>
        <v>MIW</v>
      </c>
      <c r="Y1567" t="str">
        <f>_xlfn.XLOOKUP(A1567, Matches!A:A, Matches!F:F, "NA", 0)</f>
        <v>Dr DY Patil Sports </v>
      </c>
      <c r="Z1567" cm="1">
        <f t="array" ref="Z1567">INDEX(Innings!F:F,MATCH(1,(TRIM(Innings!A:A)=TRIM(A1567))*(TRIM(Innings!D:D)=TRIM(E1567)),0))</f>
        <v>192</v>
      </c>
      <c r="AA1567" cm="1">
        <f t="array" ref="AA1567">INDEX(Innings!I:I,MATCH(1,(TRIM(Innings!A:A)=TRIM(A1567))*(TRIM(Innings!D:D)=TRIM(E1567)),0))</f>
        <v>9.6</v>
      </c>
      <c r="AB1567" cm="1">
        <f t="array" ref="AB1567">INDEX(Innings!J:J,MATCH(1,(TRIM(Innings!A:A)=TRIM(A1567))*(TRIM(Innings!D:D)=TRIM(E1567)),0))</f>
        <v>62</v>
      </c>
      <c r="AC1567" cm="1">
        <f t="array" ref="AC1567">INDEX(Innings!N:N,MATCH(1,(TRIM(Innings!A:A)=TRIM(A1567))*(TRIM(Innings!D:D)=TRIM(E1567)),0))</f>
        <v>56</v>
      </c>
      <c r="AD1567" cm="1">
        <f t="array" ref="AD1567">INDEX(Innings!S:S,MATCH(1,(TRIM(Innings!A:A)=TRIM(A1567))*(TRIM(Innings!D:D)=TRIM(E1567)),0))</f>
        <v>27</v>
      </c>
      <c r="AE1567" t="str" cm="1">
        <f t="array" ref="AE1567">INDEX(Innings!W:W,MATCH(1,(TRIM(Innings!A:A)=TRIM(A1567))*(TRIM(Innings!D:D)=TRIM(E1567)),0))</f>
        <v>NA</v>
      </c>
      <c r="AF1567">
        <f>IF(UPPER(TRIM(E1567))=UPPER(TRIM(W1567)),1,0)</f>
        <v>0</v>
      </c>
      <c r="AG1567">
        <f t="shared" si="48"/>
        <v>26.5</v>
      </c>
    </row>
    <row r="1568" spans="1:33" x14ac:dyDescent="0.3">
      <c r="A1568" t="s">
        <v>606</v>
      </c>
      <c r="B1568">
        <v>4</v>
      </c>
      <c r="C1568" t="s">
        <v>577</v>
      </c>
      <c r="D1568" t="s">
        <v>649</v>
      </c>
      <c r="E1568" t="s">
        <v>258</v>
      </c>
      <c r="F1568" t="s">
        <v>169</v>
      </c>
      <c r="G1568" t="s">
        <v>134</v>
      </c>
      <c r="H1568">
        <v>11</v>
      </c>
      <c r="I1568">
        <v>14</v>
      </c>
      <c r="J1568">
        <v>78.569999999999993</v>
      </c>
      <c r="K1568" t="s">
        <v>256</v>
      </c>
      <c r="L1568">
        <v>10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 s="8">
        <v>10</v>
      </c>
      <c r="V1568" s="8">
        <f t="shared" si="49"/>
        <v>1</v>
      </c>
      <c r="W1568" t="str">
        <f>_xlfn.XLOOKUP(A1568, Matches!A:A, Matches!L:L, "NA", 0)</f>
        <v>MIW</v>
      </c>
      <c r="X1568" t="str">
        <f>_xlfn.XLOOKUP(A1568, Matches!A:A, Matches!J:J, "NA", 0)</f>
        <v>MIW</v>
      </c>
      <c r="Y1568" t="str">
        <f>_xlfn.XLOOKUP(A1568, Matches!A:A, Matches!F:F, "NA", 0)</f>
        <v>Dr DY Patil Sports </v>
      </c>
      <c r="Z1568" cm="1">
        <f t="array" ref="Z1568">INDEX(Innings!F:F,MATCH(1,(TRIM(Innings!A:A)=TRIM(A1568))*(TRIM(Innings!D:D)=TRIM(E1568)),0))</f>
        <v>192</v>
      </c>
      <c r="AA1568" cm="1">
        <f t="array" ref="AA1568">INDEX(Innings!I:I,MATCH(1,(TRIM(Innings!A:A)=TRIM(A1568))*(TRIM(Innings!D:D)=TRIM(E1568)),0))</f>
        <v>9.6</v>
      </c>
      <c r="AB1568" cm="1">
        <f t="array" ref="AB1568">INDEX(Innings!J:J,MATCH(1,(TRIM(Innings!A:A)=TRIM(A1568))*(TRIM(Innings!D:D)=TRIM(E1568)),0))</f>
        <v>62</v>
      </c>
      <c r="AC1568" cm="1">
        <f t="array" ref="AC1568">INDEX(Innings!N:N,MATCH(1,(TRIM(Innings!A:A)=TRIM(A1568))*(TRIM(Innings!D:D)=TRIM(E1568)),0))</f>
        <v>56</v>
      </c>
      <c r="AD1568" cm="1">
        <f t="array" ref="AD1568">INDEX(Innings!S:S,MATCH(1,(TRIM(Innings!A:A)=TRIM(A1568))*(TRIM(Innings!D:D)=TRIM(E1568)),0))</f>
        <v>27</v>
      </c>
      <c r="AE1568" t="str" cm="1">
        <f t="array" ref="AE1568">INDEX(Innings!W:W,MATCH(1,(TRIM(Innings!A:A)=TRIM(A1568))*(TRIM(Innings!D:D)=TRIM(E1568)),0))</f>
        <v>NA</v>
      </c>
      <c r="AF1568">
        <f>IF(UPPER(TRIM(E1568))=UPPER(TRIM(W1568)),1,0)</f>
        <v>0</v>
      </c>
      <c r="AG1568">
        <f t="shared" si="48"/>
        <v>5.3</v>
      </c>
    </row>
    <row r="1569" spans="1:33" x14ac:dyDescent="0.3">
      <c r="A1569" t="s">
        <v>606</v>
      </c>
      <c r="B1569">
        <v>4</v>
      </c>
      <c r="C1569" t="s">
        <v>447</v>
      </c>
      <c r="D1569" t="s">
        <v>448</v>
      </c>
      <c r="E1569" t="s">
        <v>258</v>
      </c>
      <c r="F1569" t="s">
        <v>109</v>
      </c>
      <c r="G1569" t="s">
        <v>134</v>
      </c>
      <c r="H1569">
        <v>36</v>
      </c>
      <c r="I1569">
        <v>15</v>
      </c>
      <c r="J1569">
        <v>240</v>
      </c>
      <c r="K1569" t="s">
        <v>96</v>
      </c>
      <c r="L1569">
        <v>55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 s="8">
        <v>55</v>
      </c>
      <c r="V1569" s="8">
        <f t="shared" si="49"/>
        <v>6</v>
      </c>
      <c r="W1569" t="str">
        <f>_xlfn.XLOOKUP(A1569, Matches!A:A, Matches!L:L, "NA", 0)</f>
        <v>MIW</v>
      </c>
      <c r="X1569" t="str">
        <f>_xlfn.XLOOKUP(A1569, Matches!A:A, Matches!J:J, "NA", 0)</f>
        <v>MIW</v>
      </c>
      <c r="Y1569" t="str">
        <f>_xlfn.XLOOKUP(A1569, Matches!A:A, Matches!F:F, "NA", 0)</f>
        <v>Dr DY Patil Sports </v>
      </c>
      <c r="Z1569" cm="1">
        <f t="array" ref="Z1569">INDEX(Innings!F:F,MATCH(1,(TRIM(Innings!A:A)=TRIM(A1569))*(TRIM(Innings!D:D)=TRIM(E1569)),0))</f>
        <v>192</v>
      </c>
      <c r="AA1569" cm="1">
        <f t="array" ref="AA1569">INDEX(Innings!I:I,MATCH(1,(TRIM(Innings!A:A)=TRIM(A1569))*(TRIM(Innings!D:D)=TRIM(E1569)),0))</f>
        <v>9.6</v>
      </c>
      <c r="AB1569" cm="1">
        <f t="array" ref="AB1569">INDEX(Innings!J:J,MATCH(1,(TRIM(Innings!A:A)=TRIM(A1569))*(TRIM(Innings!D:D)=TRIM(E1569)),0))</f>
        <v>62</v>
      </c>
      <c r="AC1569" cm="1">
        <f t="array" ref="AC1569">INDEX(Innings!N:N,MATCH(1,(TRIM(Innings!A:A)=TRIM(A1569))*(TRIM(Innings!D:D)=TRIM(E1569)),0))</f>
        <v>56</v>
      </c>
      <c r="AD1569" cm="1">
        <f t="array" ref="AD1569">INDEX(Innings!S:S,MATCH(1,(TRIM(Innings!A:A)=TRIM(A1569))*(TRIM(Innings!D:D)=TRIM(E1569)),0))</f>
        <v>27</v>
      </c>
      <c r="AE1569" t="str" cm="1">
        <f t="array" ref="AE1569">INDEX(Innings!W:W,MATCH(1,(TRIM(Innings!A:A)=TRIM(A1569))*(TRIM(Innings!D:D)=TRIM(E1569)),0))</f>
        <v>NA</v>
      </c>
      <c r="AF1569">
        <f>IF(UPPER(TRIM(E1569))=UPPER(TRIM(W1569)),1,0)</f>
        <v>0</v>
      </c>
      <c r="AG1569">
        <f t="shared" si="48"/>
        <v>29.3</v>
      </c>
    </row>
    <row r="1570" spans="1:33" x14ac:dyDescent="0.3">
      <c r="A1570" t="s">
        <v>606</v>
      </c>
      <c r="B1570">
        <v>4</v>
      </c>
      <c r="C1570" t="s">
        <v>493</v>
      </c>
      <c r="D1570" t="s">
        <v>500</v>
      </c>
      <c r="E1570" t="s">
        <v>258</v>
      </c>
      <c r="F1570" t="s">
        <v>169</v>
      </c>
      <c r="G1570" t="s">
        <v>104</v>
      </c>
      <c r="H1570">
        <v>0</v>
      </c>
      <c r="I1570">
        <v>0</v>
      </c>
      <c r="J1570">
        <v>0</v>
      </c>
      <c r="K1570" t="s">
        <v>104</v>
      </c>
      <c r="L1570">
        <v>0</v>
      </c>
      <c r="M1570">
        <v>4</v>
      </c>
      <c r="N1570">
        <v>0</v>
      </c>
      <c r="O1570">
        <v>33</v>
      </c>
      <c r="P1570">
        <v>1</v>
      </c>
      <c r="Q1570">
        <v>8.1999999999999993</v>
      </c>
      <c r="R1570">
        <v>35</v>
      </c>
      <c r="S1570">
        <v>0</v>
      </c>
      <c r="T1570">
        <v>0</v>
      </c>
      <c r="U1570" s="8">
        <v>35</v>
      </c>
      <c r="V1570" s="8">
        <f t="shared" si="49"/>
        <v>4</v>
      </c>
      <c r="W1570" t="str">
        <f>_xlfn.XLOOKUP(A1570, Matches!A:A, Matches!L:L, "NA", 0)</f>
        <v>MIW</v>
      </c>
      <c r="X1570" t="str">
        <f>_xlfn.XLOOKUP(A1570, Matches!A:A, Matches!J:J, "NA", 0)</f>
        <v>MIW</v>
      </c>
      <c r="Y1570" t="str">
        <f>_xlfn.XLOOKUP(A1570, Matches!A:A, Matches!F:F, "NA", 0)</f>
        <v>Dr DY Patil Sports </v>
      </c>
      <c r="Z1570" cm="1">
        <f t="array" ref="Z1570">INDEX(Innings!F:F,MATCH(1,(TRIM(Innings!A:A)=TRIM(A1570))*(TRIM(Innings!D:D)=TRIM(E1570)),0))</f>
        <v>192</v>
      </c>
      <c r="AA1570" cm="1">
        <f t="array" ref="AA1570">INDEX(Innings!I:I,MATCH(1,(TRIM(Innings!A:A)=TRIM(A1570))*(TRIM(Innings!D:D)=TRIM(E1570)),0))</f>
        <v>9.6</v>
      </c>
      <c r="AB1570" cm="1">
        <f t="array" ref="AB1570">INDEX(Innings!J:J,MATCH(1,(TRIM(Innings!A:A)=TRIM(A1570))*(TRIM(Innings!D:D)=TRIM(E1570)),0))</f>
        <v>62</v>
      </c>
      <c r="AC1570" cm="1">
        <f t="array" ref="AC1570">INDEX(Innings!N:N,MATCH(1,(TRIM(Innings!A:A)=TRIM(A1570))*(TRIM(Innings!D:D)=TRIM(E1570)),0))</f>
        <v>56</v>
      </c>
      <c r="AD1570" cm="1">
        <f t="array" ref="AD1570">INDEX(Innings!S:S,MATCH(1,(TRIM(Innings!A:A)=TRIM(A1570))*(TRIM(Innings!D:D)=TRIM(E1570)),0))</f>
        <v>27</v>
      </c>
      <c r="AE1570" t="str" cm="1">
        <f t="array" ref="AE1570">INDEX(Innings!W:W,MATCH(1,(TRIM(Innings!A:A)=TRIM(A1570))*(TRIM(Innings!D:D)=TRIM(E1570)),0))</f>
        <v>NA</v>
      </c>
      <c r="AF1570">
        <f>IF(UPPER(TRIM(E1570))=UPPER(TRIM(W1570)),1,0)</f>
        <v>0</v>
      </c>
      <c r="AG1570">
        <f t="shared" si="48"/>
        <v>18.7</v>
      </c>
    </row>
    <row r="1571" spans="1:33" x14ac:dyDescent="0.3">
      <c r="A1571" t="s">
        <v>606</v>
      </c>
      <c r="B1571">
        <v>4</v>
      </c>
      <c r="C1571" t="s">
        <v>105</v>
      </c>
      <c r="D1571" t="s">
        <v>128</v>
      </c>
      <c r="E1571" t="s">
        <v>258</v>
      </c>
      <c r="F1571" t="s">
        <v>101</v>
      </c>
      <c r="G1571" t="s">
        <v>104</v>
      </c>
      <c r="H1571">
        <v>0</v>
      </c>
      <c r="I1571">
        <v>0</v>
      </c>
      <c r="J1571">
        <v>0</v>
      </c>
      <c r="K1571" t="s">
        <v>104</v>
      </c>
      <c r="L1571">
        <v>0</v>
      </c>
      <c r="M1571">
        <v>3</v>
      </c>
      <c r="N1571">
        <v>0</v>
      </c>
      <c r="O1571">
        <v>29</v>
      </c>
      <c r="P1571">
        <v>0</v>
      </c>
      <c r="Q1571">
        <v>9.6999999999999993</v>
      </c>
      <c r="R1571">
        <v>-5</v>
      </c>
      <c r="S1571">
        <v>0</v>
      </c>
      <c r="T1571">
        <v>0</v>
      </c>
      <c r="U1571" s="8">
        <v>-5</v>
      </c>
      <c r="V1571" s="8">
        <f t="shared" si="49"/>
        <v>0</v>
      </c>
      <c r="W1571" t="str">
        <f>_xlfn.XLOOKUP(A1571, Matches!A:A, Matches!L:L, "NA", 0)</f>
        <v>MIW</v>
      </c>
      <c r="X1571" t="str">
        <f>_xlfn.XLOOKUP(A1571, Matches!A:A, Matches!J:J, "NA", 0)</f>
        <v>MIW</v>
      </c>
      <c r="Y1571" t="str">
        <f>_xlfn.XLOOKUP(A1571, Matches!A:A, Matches!F:F, "NA", 0)</f>
        <v>Dr DY Patil Sports </v>
      </c>
      <c r="Z1571" cm="1">
        <f t="array" ref="Z1571">INDEX(Innings!F:F,MATCH(1,(TRIM(Innings!A:A)=TRIM(A1571))*(TRIM(Innings!D:D)=TRIM(E1571)),0))</f>
        <v>192</v>
      </c>
      <c r="AA1571" cm="1">
        <f t="array" ref="AA1571">INDEX(Innings!I:I,MATCH(1,(TRIM(Innings!A:A)=TRIM(A1571))*(TRIM(Innings!D:D)=TRIM(E1571)),0))</f>
        <v>9.6</v>
      </c>
      <c r="AB1571" cm="1">
        <f t="array" ref="AB1571">INDEX(Innings!J:J,MATCH(1,(TRIM(Innings!A:A)=TRIM(A1571))*(TRIM(Innings!D:D)=TRIM(E1571)),0))</f>
        <v>62</v>
      </c>
      <c r="AC1571" cm="1">
        <f t="array" ref="AC1571">INDEX(Innings!N:N,MATCH(1,(TRIM(Innings!A:A)=TRIM(A1571))*(TRIM(Innings!D:D)=TRIM(E1571)),0))</f>
        <v>56</v>
      </c>
      <c r="AD1571" cm="1">
        <f t="array" ref="AD1571">INDEX(Innings!S:S,MATCH(1,(TRIM(Innings!A:A)=TRIM(A1571))*(TRIM(Innings!D:D)=TRIM(E1571)),0))</f>
        <v>27</v>
      </c>
      <c r="AE1571" t="str" cm="1">
        <f t="array" ref="AE1571">INDEX(Innings!W:W,MATCH(1,(TRIM(Innings!A:A)=TRIM(A1571))*(TRIM(Innings!D:D)=TRIM(E1571)),0))</f>
        <v>NA</v>
      </c>
      <c r="AF1571">
        <f>IF(UPPER(TRIM(E1571))=UPPER(TRIM(W1571)),1,0)</f>
        <v>0</v>
      </c>
      <c r="AG1571">
        <f t="shared" si="48"/>
        <v>0</v>
      </c>
    </row>
    <row r="1572" spans="1:33" x14ac:dyDescent="0.3">
      <c r="A1572" t="s">
        <v>606</v>
      </c>
      <c r="B1572">
        <v>4</v>
      </c>
      <c r="C1572" t="s">
        <v>237</v>
      </c>
      <c r="D1572" t="s">
        <v>238</v>
      </c>
      <c r="E1572" t="s">
        <v>258</v>
      </c>
      <c r="F1572" t="s">
        <v>101</v>
      </c>
      <c r="G1572" t="s">
        <v>104</v>
      </c>
      <c r="H1572">
        <v>0</v>
      </c>
      <c r="I1572">
        <v>0</v>
      </c>
      <c r="J1572">
        <v>0</v>
      </c>
      <c r="K1572" t="s">
        <v>104</v>
      </c>
      <c r="L1572">
        <v>0</v>
      </c>
      <c r="M1572">
        <v>2</v>
      </c>
      <c r="N1572">
        <v>0</v>
      </c>
      <c r="O1572">
        <v>22</v>
      </c>
      <c r="P1572">
        <v>0</v>
      </c>
      <c r="Q1572">
        <v>11</v>
      </c>
      <c r="R1572">
        <v>-10</v>
      </c>
      <c r="S1572">
        <v>0</v>
      </c>
      <c r="T1572">
        <v>0</v>
      </c>
      <c r="U1572" s="8">
        <v>-10</v>
      </c>
      <c r="V1572" s="8">
        <f t="shared" si="49"/>
        <v>0</v>
      </c>
      <c r="W1572" t="str">
        <f>_xlfn.XLOOKUP(A1572, Matches!A:A, Matches!L:L, "NA", 0)</f>
        <v>MIW</v>
      </c>
      <c r="X1572" t="str">
        <f>_xlfn.XLOOKUP(A1572, Matches!A:A, Matches!J:J, "NA", 0)</f>
        <v>MIW</v>
      </c>
      <c r="Y1572" t="str">
        <f>_xlfn.XLOOKUP(A1572, Matches!A:A, Matches!F:F, "NA", 0)</f>
        <v>Dr DY Patil Sports </v>
      </c>
      <c r="Z1572" cm="1">
        <f t="array" ref="Z1572">INDEX(Innings!F:F,MATCH(1,(TRIM(Innings!A:A)=TRIM(A1572))*(TRIM(Innings!D:D)=TRIM(E1572)),0))</f>
        <v>192</v>
      </c>
      <c r="AA1572" cm="1">
        <f t="array" ref="AA1572">INDEX(Innings!I:I,MATCH(1,(TRIM(Innings!A:A)=TRIM(A1572))*(TRIM(Innings!D:D)=TRIM(E1572)),0))</f>
        <v>9.6</v>
      </c>
      <c r="AB1572" cm="1">
        <f t="array" ref="AB1572">INDEX(Innings!J:J,MATCH(1,(TRIM(Innings!A:A)=TRIM(A1572))*(TRIM(Innings!D:D)=TRIM(E1572)),0))</f>
        <v>62</v>
      </c>
      <c r="AC1572" cm="1">
        <f t="array" ref="AC1572">INDEX(Innings!N:N,MATCH(1,(TRIM(Innings!A:A)=TRIM(A1572))*(TRIM(Innings!D:D)=TRIM(E1572)),0))</f>
        <v>56</v>
      </c>
      <c r="AD1572" cm="1">
        <f t="array" ref="AD1572">INDEX(Innings!S:S,MATCH(1,(TRIM(Innings!A:A)=TRIM(A1572))*(TRIM(Innings!D:D)=TRIM(E1572)),0))</f>
        <v>27</v>
      </c>
      <c r="AE1572" t="str" cm="1">
        <f t="array" ref="AE1572">INDEX(Innings!W:W,MATCH(1,(TRIM(Innings!A:A)=TRIM(A1572))*(TRIM(Innings!D:D)=TRIM(E1572)),0))</f>
        <v>NA</v>
      </c>
      <c r="AF1572">
        <f>IF(UPPER(TRIM(E1572))=UPPER(TRIM(W1572)),1,0)</f>
        <v>0</v>
      </c>
      <c r="AG1572">
        <f t="shared" si="48"/>
        <v>0</v>
      </c>
    </row>
    <row r="1573" spans="1:33" x14ac:dyDescent="0.3">
      <c r="A1573" t="s">
        <v>606</v>
      </c>
      <c r="B1573">
        <v>4</v>
      </c>
      <c r="C1573" t="s">
        <v>186</v>
      </c>
      <c r="D1573" t="s">
        <v>187</v>
      </c>
      <c r="E1573" t="s">
        <v>258</v>
      </c>
      <c r="F1573" t="s">
        <v>101</v>
      </c>
      <c r="G1573" t="s">
        <v>104</v>
      </c>
      <c r="H1573">
        <v>0</v>
      </c>
      <c r="I1573">
        <v>0</v>
      </c>
      <c r="J1573">
        <v>0</v>
      </c>
      <c r="K1573" t="s">
        <v>104</v>
      </c>
      <c r="L1573">
        <v>0</v>
      </c>
      <c r="M1573">
        <v>4</v>
      </c>
      <c r="N1573">
        <v>0</v>
      </c>
      <c r="O1573">
        <v>39</v>
      </c>
      <c r="P1573">
        <v>1</v>
      </c>
      <c r="Q1573">
        <v>9.8000000000000007</v>
      </c>
      <c r="R1573">
        <v>25</v>
      </c>
      <c r="S1573">
        <v>0</v>
      </c>
      <c r="T1573">
        <v>0</v>
      </c>
      <c r="U1573" s="8">
        <v>25</v>
      </c>
      <c r="V1573" s="8">
        <f t="shared" si="49"/>
        <v>3</v>
      </c>
      <c r="W1573" t="str">
        <f>_xlfn.XLOOKUP(A1573, Matches!A:A, Matches!L:L, "NA", 0)</f>
        <v>MIW</v>
      </c>
      <c r="X1573" t="str">
        <f>_xlfn.XLOOKUP(A1573, Matches!A:A, Matches!J:J, "NA", 0)</f>
        <v>MIW</v>
      </c>
      <c r="Y1573" t="str">
        <f>_xlfn.XLOOKUP(A1573, Matches!A:A, Matches!F:F, "NA", 0)</f>
        <v>Dr DY Patil Sports </v>
      </c>
      <c r="Z1573" cm="1">
        <f t="array" ref="Z1573">INDEX(Innings!F:F,MATCH(1,(TRIM(Innings!A:A)=TRIM(A1573))*(TRIM(Innings!D:D)=TRIM(E1573)),0))</f>
        <v>192</v>
      </c>
      <c r="AA1573" cm="1">
        <f t="array" ref="AA1573">INDEX(Innings!I:I,MATCH(1,(TRIM(Innings!A:A)=TRIM(A1573))*(TRIM(Innings!D:D)=TRIM(E1573)),0))</f>
        <v>9.6</v>
      </c>
      <c r="AB1573" cm="1">
        <f t="array" ref="AB1573">INDEX(Innings!J:J,MATCH(1,(TRIM(Innings!A:A)=TRIM(A1573))*(TRIM(Innings!D:D)=TRIM(E1573)),0))</f>
        <v>62</v>
      </c>
      <c r="AC1573" cm="1">
        <f t="array" ref="AC1573">INDEX(Innings!N:N,MATCH(1,(TRIM(Innings!A:A)=TRIM(A1573))*(TRIM(Innings!D:D)=TRIM(E1573)),0))</f>
        <v>56</v>
      </c>
      <c r="AD1573" cm="1">
        <f t="array" ref="AD1573">INDEX(Innings!S:S,MATCH(1,(TRIM(Innings!A:A)=TRIM(A1573))*(TRIM(Innings!D:D)=TRIM(E1573)),0))</f>
        <v>27</v>
      </c>
      <c r="AE1573" t="str" cm="1">
        <f t="array" ref="AE1573">INDEX(Innings!W:W,MATCH(1,(TRIM(Innings!A:A)=TRIM(A1573))*(TRIM(Innings!D:D)=TRIM(E1573)),0))</f>
        <v>NA</v>
      </c>
      <c r="AF1573">
        <f>IF(UPPER(TRIM(E1573))=UPPER(TRIM(W1573)),1,0)</f>
        <v>0</v>
      </c>
      <c r="AG1573">
        <f t="shared" si="48"/>
        <v>13.4</v>
      </c>
    </row>
    <row r="1574" spans="1:33" x14ac:dyDescent="0.3">
      <c r="A1574" t="s">
        <v>606</v>
      </c>
      <c r="B1574">
        <v>4</v>
      </c>
      <c r="C1574" t="s">
        <v>576</v>
      </c>
      <c r="D1574" t="s">
        <v>648</v>
      </c>
      <c r="E1574" t="s">
        <v>266</v>
      </c>
      <c r="F1574" t="s">
        <v>85</v>
      </c>
      <c r="G1574" t="s">
        <v>86</v>
      </c>
      <c r="H1574">
        <v>13</v>
      </c>
      <c r="I1574">
        <v>12</v>
      </c>
      <c r="J1574">
        <v>108.33</v>
      </c>
      <c r="K1574" t="s">
        <v>248</v>
      </c>
      <c r="L1574">
        <v>20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 s="8">
        <v>20</v>
      </c>
      <c r="V1574" s="8">
        <f t="shared" si="49"/>
        <v>2</v>
      </c>
      <c r="W1574" t="str">
        <f>_xlfn.XLOOKUP(A1574, Matches!A:A, Matches!L:L, "NA", 0)</f>
        <v>MIW</v>
      </c>
      <c r="X1574" t="str">
        <f>_xlfn.XLOOKUP(A1574, Matches!A:A, Matches!J:J, "NA", 0)</f>
        <v>MIW</v>
      </c>
      <c r="Y1574" t="str">
        <f>_xlfn.XLOOKUP(A1574, Matches!A:A, Matches!F:F, "NA", 0)</f>
        <v>Dr DY Patil Sports </v>
      </c>
      <c r="Z1574" cm="1">
        <f t="array" ref="Z1574">INDEX(Innings!F:F,MATCH(1,(TRIM(Innings!A:A)=TRIM(A1574))*(TRIM(Innings!D:D)=TRIM(E1574)),0))</f>
        <v>193</v>
      </c>
      <c r="AA1574" cm="1">
        <f t="array" ref="AA1574">INDEX(Innings!I:I,MATCH(1,(TRIM(Innings!A:A)=TRIM(A1574))*(TRIM(Innings!D:D)=TRIM(E1574)),0))</f>
        <v>9.98</v>
      </c>
      <c r="AB1574" cm="1">
        <f t="array" ref="AB1574">INDEX(Innings!J:J,MATCH(1,(TRIM(Innings!A:A)=TRIM(A1574))*(TRIM(Innings!D:D)=TRIM(E1574)),0))</f>
        <v>48</v>
      </c>
      <c r="AC1574" cm="1">
        <f t="array" ref="AC1574">INDEX(Innings!N:N,MATCH(1,(TRIM(Innings!A:A)=TRIM(A1574))*(TRIM(Innings!D:D)=TRIM(E1574)),0))</f>
        <v>39</v>
      </c>
      <c r="AD1574" cm="1">
        <f t="array" ref="AD1574">INDEX(Innings!S:S,MATCH(1,(TRIM(Innings!A:A)=TRIM(A1574))*(TRIM(Innings!D:D)=TRIM(E1574)),0))</f>
        <v>30</v>
      </c>
      <c r="AE1574" t="str" cm="1">
        <f t="array" ref="AE1574">INDEX(Innings!W:W,MATCH(1,(TRIM(Innings!A:A)=TRIM(A1574))*(TRIM(Innings!D:D)=TRIM(E1574)),0))</f>
        <v>Successful</v>
      </c>
      <c r="AF1574">
        <f>IF(UPPER(TRIM(E1574))=UPPER(TRIM(W1574)),1,0)</f>
        <v>1</v>
      </c>
      <c r="AG1574">
        <f t="shared" si="48"/>
        <v>30.6</v>
      </c>
    </row>
    <row r="1575" spans="1:33" x14ac:dyDescent="0.3">
      <c r="A1575" t="s">
        <v>606</v>
      </c>
      <c r="B1575">
        <v>4</v>
      </c>
      <c r="C1575" t="s">
        <v>112</v>
      </c>
      <c r="D1575" t="s">
        <v>88</v>
      </c>
      <c r="E1575" t="s">
        <v>266</v>
      </c>
      <c r="F1575" t="s">
        <v>169</v>
      </c>
      <c r="G1575" t="s">
        <v>86</v>
      </c>
      <c r="H1575">
        <v>22</v>
      </c>
      <c r="I1575">
        <v>12</v>
      </c>
      <c r="J1575">
        <v>183.33</v>
      </c>
      <c r="K1575" t="s">
        <v>246</v>
      </c>
      <c r="L1575">
        <v>40</v>
      </c>
      <c r="M1575">
        <v>3</v>
      </c>
      <c r="N1575">
        <v>0</v>
      </c>
      <c r="O1575">
        <v>34</v>
      </c>
      <c r="P1575">
        <v>1</v>
      </c>
      <c r="Q1575">
        <v>11.3</v>
      </c>
      <c r="R1575">
        <v>25</v>
      </c>
      <c r="S1575">
        <v>0</v>
      </c>
      <c r="T1575">
        <v>0</v>
      </c>
      <c r="U1575" s="8">
        <v>65</v>
      </c>
      <c r="V1575" s="8">
        <f t="shared" si="49"/>
        <v>7</v>
      </c>
      <c r="W1575" t="str">
        <f>_xlfn.XLOOKUP(A1575, Matches!A:A, Matches!L:L, "NA", 0)</f>
        <v>MIW</v>
      </c>
      <c r="X1575" t="str">
        <f>_xlfn.XLOOKUP(A1575, Matches!A:A, Matches!J:J, "NA", 0)</f>
        <v>MIW</v>
      </c>
      <c r="Y1575" t="str">
        <f>_xlfn.XLOOKUP(A1575, Matches!A:A, Matches!F:F, "NA", 0)</f>
        <v>Dr DY Patil Sports </v>
      </c>
      <c r="Z1575" cm="1">
        <f t="array" ref="Z1575">INDEX(Innings!F:F,MATCH(1,(TRIM(Innings!A:A)=TRIM(A1575))*(TRIM(Innings!D:D)=TRIM(E1575)),0))</f>
        <v>193</v>
      </c>
      <c r="AA1575" cm="1">
        <f t="array" ref="AA1575">INDEX(Innings!I:I,MATCH(1,(TRIM(Innings!A:A)=TRIM(A1575))*(TRIM(Innings!D:D)=TRIM(E1575)),0))</f>
        <v>9.98</v>
      </c>
      <c r="AB1575" cm="1">
        <f t="array" ref="AB1575">INDEX(Innings!J:J,MATCH(1,(TRIM(Innings!A:A)=TRIM(A1575))*(TRIM(Innings!D:D)=TRIM(E1575)),0))</f>
        <v>48</v>
      </c>
      <c r="AC1575" cm="1">
        <f t="array" ref="AC1575">INDEX(Innings!N:N,MATCH(1,(TRIM(Innings!A:A)=TRIM(A1575))*(TRIM(Innings!D:D)=TRIM(E1575)),0))</f>
        <v>39</v>
      </c>
      <c r="AD1575" cm="1">
        <f t="array" ref="AD1575">INDEX(Innings!S:S,MATCH(1,(TRIM(Innings!A:A)=TRIM(A1575))*(TRIM(Innings!D:D)=TRIM(E1575)),0))</f>
        <v>30</v>
      </c>
      <c r="AE1575" t="str" cm="1">
        <f t="array" ref="AE1575">INDEX(Innings!W:W,MATCH(1,(TRIM(Innings!A:A)=TRIM(A1575))*(TRIM(Innings!D:D)=TRIM(E1575)),0))</f>
        <v>Successful</v>
      </c>
      <c r="AF1575">
        <f>IF(UPPER(TRIM(E1575))=UPPER(TRIM(W1575)),1,0)</f>
        <v>1</v>
      </c>
      <c r="AG1575">
        <f t="shared" si="48"/>
        <v>54.6</v>
      </c>
    </row>
    <row r="1576" spans="1:33" x14ac:dyDescent="0.3">
      <c r="A1576" t="s">
        <v>606</v>
      </c>
      <c r="B1576">
        <v>4</v>
      </c>
      <c r="C1576" t="s">
        <v>121</v>
      </c>
      <c r="D1576" t="s">
        <v>108</v>
      </c>
      <c r="E1576" t="s">
        <v>266</v>
      </c>
      <c r="F1576" t="s">
        <v>169</v>
      </c>
      <c r="G1576" t="s">
        <v>92</v>
      </c>
      <c r="H1576">
        <v>40</v>
      </c>
      <c r="I1576">
        <v>26</v>
      </c>
      <c r="J1576">
        <v>153.85</v>
      </c>
      <c r="K1576" t="s">
        <v>246</v>
      </c>
      <c r="L1576">
        <v>55</v>
      </c>
      <c r="M1576">
        <v>4</v>
      </c>
      <c r="N1576">
        <v>0</v>
      </c>
      <c r="O1576">
        <v>48</v>
      </c>
      <c r="P1576">
        <v>0</v>
      </c>
      <c r="Q1576">
        <v>12</v>
      </c>
      <c r="R1576">
        <v>-5</v>
      </c>
      <c r="S1576">
        <v>0</v>
      </c>
      <c r="T1576">
        <v>0</v>
      </c>
      <c r="U1576" s="8">
        <v>50</v>
      </c>
      <c r="V1576" s="8">
        <f t="shared" si="49"/>
        <v>5</v>
      </c>
      <c r="W1576" t="str">
        <f>_xlfn.XLOOKUP(A1576, Matches!A:A, Matches!L:L, "NA", 0)</f>
        <v>MIW</v>
      </c>
      <c r="X1576" t="str">
        <f>_xlfn.XLOOKUP(A1576, Matches!A:A, Matches!J:J, "NA", 0)</f>
        <v>MIW</v>
      </c>
      <c r="Y1576" t="str">
        <f>_xlfn.XLOOKUP(A1576, Matches!A:A, Matches!F:F, "NA", 0)</f>
        <v>Dr DY Patil Sports </v>
      </c>
      <c r="Z1576" cm="1">
        <f t="array" ref="Z1576">INDEX(Innings!F:F,MATCH(1,(TRIM(Innings!A:A)=TRIM(A1576))*(TRIM(Innings!D:D)=TRIM(E1576)),0))</f>
        <v>193</v>
      </c>
      <c r="AA1576" cm="1">
        <f t="array" ref="AA1576">INDEX(Innings!I:I,MATCH(1,(TRIM(Innings!A:A)=TRIM(A1576))*(TRIM(Innings!D:D)=TRIM(E1576)),0))</f>
        <v>9.98</v>
      </c>
      <c r="AB1576" cm="1">
        <f t="array" ref="AB1576">INDEX(Innings!J:J,MATCH(1,(TRIM(Innings!A:A)=TRIM(A1576))*(TRIM(Innings!D:D)=TRIM(E1576)),0))</f>
        <v>48</v>
      </c>
      <c r="AC1576" cm="1">
        <f t="array" ref="AC1576">INDEX(Innings!N:N,MATCH(1,(TRIM(Innings!A:A)=TRIM(A1576))*(TRIM(Innings!D:D)=TRIM(E1576)),0))</f>
        <v>39</v>
      </c>
      <c r="AD1576" cm="1">
        <f t="array" ref="AD1576">INDEX(Innings!S:S,MATCH(1,(TRIM(Innings!A:A)=TRIM(A1576))*(TRIM(Innings!D:D)=TRIM(E1576)),0))</f>
        <v>30</v>
      </c>
      <c r="AE1576" t="str" cm="1">
        <f t="array" ref="AE1576">INDEX(Innings!W:W,MATCH(1,(TRIM(Innings!A:A)=TRIM(A1576))*(TRIM(Innings!D:D)=TRIM(E1576)),0))</f>
        <v>Successful</v>
      </c>
      <c r="AF1576">
        <f>IF(UPPER(TRIM(E1576))=UPPER(TRIM(W1576)),1,0)</f>
        <v>1</v>
      </c>
      <c r="AG1576">
        <f t="shared" si="48"/>
        <v>46.5</v>
      </c>
    </row>
    <row r="1577" spans="1:33" x14ac:dyDescent="0.3">
      <c r="A1577" t="s">
        <v>606</v>
      </c>
      <c r="B1577">
        <v>4</v>
      </c>
      <c r="C1577" t="s">
        <v>115</v>
      </c>
      <c r="D1577" t="s">
        <v>17</v>
      </c>
      <c r="E1577" t="s">
        <v>266</v>
      </c>
      <c r="F1577" t="s">
        <v>169</v>
      </c>
      <c r="G1577" t="s">
        <v>134</v>
      </c>
      <c r="H1577">
        <v>71</v>
      </c>
      <c r="I1577">
        <v>43</v>
      </c>
      <c r="J1577">
        <v>165.12</v>
      </c>
      <c r="K1577" t="s">
        <v>96</v>
      </c>
      <c r="L1577">
        <v>95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 s="8">
        <v>95</v>
      </c>
      <c r="V1577" s="8">
        <f t="shared" si="49"/>
        <v>10</v>
      </c>
      <c r="W1577" t="str">
        <f>_xlfn.XLOOKUP(A1577, Matches!A:A, Matches!L:L, "NA", 0)</f>
        <v>MIW</v>
      </c>
      <c r="X1577" t="str">
        <f>_xlfn.XLOOKUP(A1577, Matches!A:A, Matches!J:J, "NA", 0)</f>
        <v>MIW</v>
      </c>
      <c r="Y1577" t="str">
        <f>_xlfn.XLOOKUP(A1577, Matches!A:A, Matches!F:F, "NA", 0)</f>
        <v>Dr DY Patil Sports </v>
      </c>
      <c r="Z1577" cm="1">
        <f t="array" ref="Z1577">INDEX(Innings!F:F,MATCH(1,(TRIM(Innings!A:A)=TRIM(A1577))*(TRIM(Innings!D:D)=TRIM(E1577)),0))</f>
        <v>193</v>
      </c>
      <c r="AA1577" cm="1">
        <f t="array" ref="AA1577">INDEX(Innings!I:I,MATCH(1,(TRIM(Innings!A:A)=TRIM(A1577))*(TRIM(Innings!D:D)=TRIM(E1577)),0))</f>
        <v>9.98</v>
      </c>
      <c r="AB1577" cm="1">
        <f t="array" ref="AB1577">INDEX(Innings!J:J,MATCH(1,(TRIM(Innings!A:A)=TRIM(A1577))*(TRIM(Innings!D:D)=TRIM(E1577)),0))</f>
        <v>48</v>
      </c>
      <c r="AC1577" cm="1">
        <f t="array" ref="AC1577">INDEX(Innings!N:N,MATCH(1,(TRIM(Innings!A:A)=TRIM(A1577))*(TRIM(Innings!D:D)=TRIM(E1577)),0))</f>
        <v>39</v>
      </c>
      <c r="AD1577" cm="1">
        <f t="array" ref="AD1577">INDEX(Innings!S:S,MATCH(1,(TRIM(Innings!A:A)=TRIM(A1577))*(TRIM(Innings!D:D)=TRIM(E1577)),0))</f>
        <v>30</v>
      </c>
      <c r="AE1577" t="str" cm="1">
        <f t="array" ref="AE1577">INDEX(Innings!W:W,MATCH(1,(TRIM(Innings!A:A)=TRIM(A1577))*(TRIM(Innings!D:D)=TRIM(E1577)),0))</f>
        <v>Successful</v>
      </c>
      <c r="AF1577">
        <f>IF(UPPER(TRIM(E1577))=UPPER(TRIM(W1577)),1,0)</f>
        <v>1</v>
      </c>
      <c r="AG1577">
        <f t="shared" si="48"/>
        <v>70.5</v>
      </c>
    </row>
    <row r="1578" spans="1:33" x14ac:dyDescent="0.3">
      <c r="A1578" t="s">
        <v>606</v>
      </c>
      <c r="B1578">
        <v>4</v>
      </c>
      <c r="C1578" t="s">
        <v>517</v>
      </c>
      <c r="D1578" t="s">
        <v>626</v>
      </c>
      <c r="E1578" t="s">
        <v>266</v>
      </c>
      <c r="F1578" t="s">
        <v>169</v>
      </c>
      <c r="G1578" t="s">
        <v>134</v>
      </c>
      <c r="H1578">
        <v>38</v>
      </c>
      <c r="I1578">
        <v>23</v>
      </c>
      <c r="J1578">
        <v>165.22</v>
      </c>
      <c r="K1578" t="s">
        <v>96</v>
      </c>
      <c r="L1578">
        <v>55</v>
      </c>
      <c r="M1578">
        <v>4</v>
      </c>
      <c r="N1578">
        <v>0</v>
      </c>
      <c r="O1578">
        <v>36</v>
      </c>
      <c r="P1578">
        <v>1</v>
      </c>
      <c r="Q1578">
        <v>9</v>
      </c>
      <c r="R1578">
        <v>25</v>
      </c>
      <c r="S1578">
        <v>0</v>
      </c>
      <c r="T1578">
        <v>0</v>
      </c>
      <c r="U1578" s="8">
        <v>80</v>
      </c>
      <c r="V1578" s="8">
        <f t="shared" si="49"/>
        <v>8</v>
      </c>
      <c r="W1578" t="str">
        <f>_xlfn.XLOOKUP(A1578, Matches!A:A, Matches!L:L, "NA", 0)</f>
        <v>MIW</v>
      </c>
      <c r="X1578" t="str">
        <f>_xlfn.XLOOKUP(A1578, Matches!A:A, Matches!J:J, "NA", 0)</f>
        <v>MIW</v>
      </c>
      <c r="Y1578" t="str">
        <f>_xlfn.XLOOKUP(A1578, Matches!A:A, Matches!F:F, "NA", 0)</f>
        <v>Dr DY Patil Sports </v>
      </c>
      <c r="Z1578" cm="1">
        <f t="array" ref="Z1578">INDEX(Innings!F:F,MATCH(1,(TRIM(Innings!A:A)=TRIM(A1578))*(TRIM(Innings!D:D)=TRIM(E1578)),0))</f>
        <v>193</v>
      </c>
      <c r="AA1578" cm="1">
        <f t="array" ref="AA1578">INDEX(Innings!I:I,MATCH(1,(TRIM(Innings!A:A)=TRIM(A1578))*(TRIM(Innings!D:D)=TRIM(E1578)),0))</f>
        <v>9.98</v>
      </c>
      <c r="AB1578" cm="1">
        <f t="array" ref="AB1578">INDEX(Innings!J:J,MATCH(1,(TRIM(Innings!A:A)=TRIM(A1578))*(TRIM(Innings!D:D)=TRIM(E1578)),0))</f>
        <v>48</v>
      </c>
      <c r="AC1578" cm="1">
        <f t="array" ref="AC1578">INDEX(Innings!N:N,MATCH(1,(TRIM(Innings!A:A)=TRIM(A1578))*(TRIM(Innings!D:D)=TRIM(E1578)),0))</f>
        <v>39</v>
      </c>
      <c r="AD1578" cm="1">
        <f t="array" ref="AD1578">INDEX(Innings!S:S,MATCH(1,(TRIM(Innings!A:A)=TRIM(A1578))*(TRIM(Innings!D:D)=TRIM(E1578)),0))</f>
        <v>30</v>
      </c>
      <c r="AE1578" t="str" cm="1">
        <f t="array" ref="AE1578">INDEX(Innings!W:W,MATCH(1,(TRIM(Innings!A:A)=TRIM(A1578))*(TRIM(Innings!D:D)=TRIM(E1578)),0))</f>
        <v>Successful</v>
      </c>
      <c r="AF1578">
        <f>IF(UPPER(TRIM(E1578))=UPPER(TRIM(W1578)),1,0)</f>
        <v>1</v>
      </c>
      <c r="AG1578">
        <f t="shared" si="48"/>
        <v>62.4</v>
      </c>
    </row>
    <row r="1579" spans="1:33" x14ac:dyDescent="0.3">
      <c r="A1579" t="s">
        <v>606</v>
      </c>
      <c r="B1579">
        <v>4</v>
      </c>
      <c r="C1579" t="s">
        <v>119</v>
      </c>
      <c r="D1579" t="s">
        <v>95</v>
      </c>
      <c r="E1579" t="s">
        <v>266</v>
      </c>
      <c r="F1579" t="s">
        <v>169</v>
      </c>
      <c r="G1579" t="s">
        <v>104</v>
      </c>
      <c r="H1579">
        <v>0</v>
      </c>
      <c r="I1579">
        <v>0</v>
      </c>
      <c r="J1579">
        <v>0</v>
      </c>
      <c r="K1579" t="s">
        <v>104</v>
      </c>
      <c r="L1579">
        <v>0</v>
      </c>
      <c r="M1579">
        <v>4</v>
      </c>
      <c r="N1579">
        <v>0</v>
      </c>
      <c r="O1579">
        <v>40</v>
      </c>
      <c r="P1579">
        <v>1</v>
      </c>
      <c r="Q1579">
        <v>10</v>
      </c>
      <c r="R1579">
        <v>25</v>
      </c>
      <c r="S1579">
        <v>0</v>
      </c>
      <c r="T1579">
        <v>0</v>
      </c>
      <c r="U1579" s="8">
        <v>25</v>
      </c>
      <c r="V1579" s="8">
        <f t="shared" si="49"/>
        <v>3</v>
      </c>
      <c r="W1579" t="str">
        <f>_xlfn.XLOOKUP(A1579, Matches!A:A, Matches!L:L, "NA", 0)</f>
        <v>MIW</v>
      </c>
      <c r="X1579" t="str">
        <f>_xlfn.XLOOKUP(A1579, Matches!A:A, Matches!J:J, "NA", 0)</f>
        <v>MIW</v>
      </c>
      <c r="Y1579" t="str">
        <f>_xlfn.XLOOKUP(A1579, Matches!A:A, Matches!F:F, "NA", 0)</f>
        <v>Dr DY Patil Sports </v>
      </c>
      <c r="Z1579" cm="1">
        <f t="array" ref="Z1579">INDEX(Innings!F:F,MATCH(1,(TRIM(Innings!A:A)=TRIM(A1579))*(TRIM(Innings!D:D)=TRIM(E1579)),0))</f>
        <v>193</v>
      </c>
      <c r="AA1579" cm="1">
        <f t="array" ref="AA1579">INDEX(Innings!I:I,MATCH(1,(TRIM(Innings!A:A)=TRIM(A1579))*(TRIM(Innings!D:D)=TRIM(E1579)),0))</f>
        <v>9.98</v>
      </c>
      <c r="AB1579" cm="1">
        <f t="array" ref="AB1579">INDEX(Innings!J:J,MATCH(1,(TRIM(Innings!A:A)=TRIM(A1579))*(TRIM(Innings!D:D)=TRIM(E1579)),0))</f>
        <v>48</v>
      </c>
      <c r="AC1579" cm="1">
        <f t="array" ref="AC1579">INDEX(Innings!N:N,MATCH(1,(TRIM(Innings!A:A)=TRIM(A1579))*(TRIM(Innings!D:D)=TRIM(E1579)),0))</f>
        <v>39</v>
      </c>
      <c r="AD1579" cm="1">
        <f t="array" ref="AD1579">INDEX(Innings!S:S,MATCH(1,(TRIM(Innings!A:A)=TRIM(A1579))*(TRIM(Innings!D:D)=TRIM(E1579)),0))</f>
        <v>30</v>
      </c>
      <c r="AE1579" t="str" cm="1">
        <f t="array" ref="AE1579">INDEX(Innings!W:W,MATCH(1,(TRIM(Innings!A:A)=TRIM(A1579))*(TRIM(Innings!D:D)=TRIM(E1579)),0))</f>
        <v>Successful</v>
      </c>
      <c r="AF1579">
        <f>IF(UPPER(TRIM(E1579))=UPPER(TRIM(W1579)),1,0)</f>
        <v>1</v>
      </c>
      <c r="AG1579">
        <f t="shared" si="48"/>
        <v>33.4</v>
      </c>
    </row>
    <row r="1580" spans="1:33" x14ac:dyDescent="0.3">
      <c r="A1580" t="s">
        <v>606</v>
      </c>
      <c r="B1580">
        <v>4</v>
      </c>
      <c r="C1580" t="s">
        <v>347</v>
      </c>
      <c r="D1580" t="s">
        <v>348</v>
      </c>
      <c r="E1580" t="s">
        <v>266</v>
      </c>
      <c r="F1580" t="s">
        <v>169</v>
      </c>
      <c r="G1580" t="s">
        <v>104</v>
      </c>
      <c r="H1580">
        <v>0</v>
      </c>
      <c r="I1580">
        <v>0</v>
      </c>
      <c r="J1580">
        <v>0</v>
      </c>
      <c r="K1580" t="s">
        <v>104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 s="8">
        <v>0</v>
      </c>
      <c r="V1580" s="8">
        <f t="shared" si="49"/>
        <v>0</v>
      </c>
      <c r="W1580" t="str">
        <f>_xlfn.XLOOKUP(A1580, Matches!A:A, Matches!L:L, "NA", 0)</f>
        <v>MIW</v>
      </c>
      <c r="X1580" t="str">
        <f>_xlfn.XLOOKUP(A1580, Matches!A:A, Matches!J:J, "NA", 0)</f>
        <v>MIW</v>
      </c>
      <c r="Y1580" t="str">
        <f>_xlfn.XLOOKUP(A1580, Matches!A:A, Matches!F:F, "NA", 0)</f>
        <v>Dr DY Patil Sports </v>
      </c>
      <c r="Z1580" cm="1">
        <f t="array" ref="Z1580">INDEX(Innings!F:F,MATCH(1,(TRIM(Innings!A:A)=TRIM(A1580))*(TRIM(Innings!D:D)=TRIM(E1580)),0))</f>
        <v>193</v>
      </c>
      <c r="AA1580" cm="1">
        <f t="array" ref="AA1580">INDEX(Innings!I:I,MATCH(1,(TRIM(Innings!A:A)=TRIM(A1580))*(TRIM(Innings!D:D)=TRIM(E1580)),0))</f>
        <v>9.98</v>
      </c>
      <c r="AB1580" cm="1">
        <f t="array" ref="AB1580">INDEX(Innings!J:J,MATCH(1,(TRIM(Innings!A:A)=TRIM(A1580))*(TRIM(Innings!D:D)=TRIM(E1580)),0))</f>
        <v>48</v>
      </c>
      <c r="AC1580" cm="1">
        <f t="array" ref="AC1580">INDEX(Innings!N:N,MATCH(1,(TRIM(Innings!A:A)=TRIM(A1580))*(TRIM(Innings!D:D)=TRIM(E1580)),0))</f>
        <v>39</v>
      </c>
      <c r="AD1580" cm="1">
        <f t="array" ref="AD1580">INDEX(Innings!S:S,MATCH(1,(TRIM(Innings!A:A)=TRIM(A1580))*(TRIM(Innings!D:D)=TRIM(E1580)),0))</f>
        <v>30</v>
      </c>
      <c r="AE1580" t="str" cm="1">
        <f t="array" ref="AE1580">INDEX(Innings!W:W,MATCH(1,(TRIM(Innings!A:A)=TRIM(A1580))*(TRIM(Innings!D:D)=TRIM(E1580)),0))</f>
        <v>Successful</v>
      </c>
      <c r="AF1580">
        <f>IF(UPPER(TRIM(E1580))=UPPER(TRIM(W1580)),1,0)</f>
        <v>1</v>
      </c>
      <c r="AG1580">
        <f t="shared" si="48"/>
        <v>20</v>
      </c>
    </row>
    <row r="1581" spans="1:33" x14ac:dyDescent="0.3">
      <c r="A1581" t="s">
        <v>606</v>
      </c>
      <c r="B1581">
        <v>4</v>
      </c>
      <c r="C1581" t="s">
        <v>507</v>
      </c>
      <c r="D1581" t="s">
        <v>519</v>
      </c>
      <c r="E1581" t="s">
        <v>266</v>
      </c>
      <c r="F1581" t="s">
        <v>169</v>
      </c>
      <c r="G1581" t="s">
        <v>104</v>
      </c>
      <c r="H1581">
        <v>0</v>
      </c>
      <c r="I1581">
        <v>0</v>
      </c>
      <c r="J1581">
        <v>0</v>
      </c>
      <c r="K1581" t="s">
        <v>104</v>
      </c>
      <c r="L1581">
        <v>0</v>
      </c>
      <c r="M1581">
        <v>1</v>
      </c>
      <c r="N1581">
        <v>0</v>
      </c>
      <c r="O1581">
        <v>5</v>
      </c>
      <c r="P1581">
        <v>0</v>
      </c>
      <c r="Q1581">
        <v>5</v>
      </c>
      <c r="R1581">
        <v>15</v>
      </c>
      <c r="S1581">
        <v>0</v>
      </c>
      <c r="T1581">
        <v>0</v>
      </c>
      <c r="U1581" s="8">
        <v>15</v>
      </c>
      <c r="V1581" s="8">
        <f t="shared" si="49"/>
        <v>2</v>
      </c>
      <c r="W1581" t="str">
        <f>_xlfn.XLOOKUP(A1581, Matches!A:A, Matches!L:L, "NA", 0)</f>
        <v>MIW</v>
      </c>
      <c r="X1581" t="str">
        <f>_xlfn.XLOOKUP(A1581, Matches!A:A, Matches!J:J, "NA", 0)</f>
        <v>MIW</v>
      </c>
      <c r="Y1581" t="str">
        <f>_xlfn.XLOOKUP(A1581, Matches!A:A, Matches!F:F, "NA", 0)</f>
        <v>Dr DY Patil Sports </v>
      </c>
      <c r="Z1581" cm="1">
        <f t="array" ref="Z1581">INDEX(Innings!F:F,MATCH(1,(TRIM(Innings!A:A)=TRIM(A1581))*(TRIM(Innings!D:D)=TRIM(E1581)),0))</f>
        <v>193</v>
      </c>
      <c r="AA1581" cm="1">
        <f t="array" ref="AA1581">INDEX(Innings!I:I,MATCH(1,(TRIM(Innings!A:A)=TRIM(A1581))*(TRIM(Innings!D:D)=TRIM(E1581)),0))</f>
        <v>9.98</v>
      </c>
      <c r="AB1581" cm="1">
        <f t="array" ref="AB1581">INDEX(Innings!J:J,MATCH(1,(TRIM(Innings!A:A)=TRIM(A1581))*(TRIM(Innings!D:D)=TRIM(E1581)),0))</f>
        <v>48</v>
      </c>
      <c r="AC1581" cm="1">
        <f t="array" ref="AC1581">INDEX(Innings!N:N,MATCH(1,(TRIM(Innings!A:A)=TRIM(A1581))*(TRIM(Innings!D:D)=TRIM(E1581)),0))</f>
        <v>39</v>
      </c>
      <c r="AD1581" cm="1">
        <f t="array" ref="AD1581">INDEX(Innings!S:S,MATCH(1,(TRIM(Innings!A:A)=TRIM(A1581))*(TRIM(Innings!D:D)=TRIM(E1581)),0))</f>
        <v>30</v>
      </c>
      <c r="AE1581" t="str" cm="1">
        <f t="array" ref="AE1581">INDEX(Innings!W:W,MATCH(1,(TRIM(Innings!A:A)=TRIM(A1581))*(TRIM(Innings!D:D)=TRIM(E1581)),0))</f>
        <v>Successful</v>
      </c>
      <c r="AF1581">
        <f>IF(UPPER(TRIM(E1581))=UPPER(TRIM(W1581)),1,0)</f>
        <v>1</v>
      </c>
      <c r="AG1581">
        <f t="shared" si="48"/>
        <v>28.1</v>
      </c>
    </row>
    <row r="1582" spans="1:33" x14ac:dyDescent="0.3">
      <c r="A1582" t="s">
        <v>606</v>
      </c>
      <c r="B1582">
        <v>4</v>
      </c>
      <c r="C1582" t="s">
        <v>273</v>
      </c>
      <c r="D1582" t="s">
        <v>279</v>
      </c>
      <c r="E1582" t="s">
        <v>266</v>
      </c>
      <c r="F1582" t="s">
        <v>169</v>
      </c>
      <c r="G1582" t="s">
        <v>104</v>
      </c>
      <c r="H1582">
        <v>0</v>
      </c>
      <c r="I1582">
        <v>0</v>
      </c>
      <c r="J1582">
        <v>0</v>
      </c>
      <c r="K1582" t="s">
        <v>104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 s="8">
        <v>0</v>
      </c>
      <c r="V1582" s="8">
        <f t="shared" si="49"/>
        <v>0</v>
      </c>
      <c r="W1582" t="str">
        <f>_xlfn.XLOOKUP(A1582, Matches!A:A, Matches!L:L, "NA", 0)</f>
        <v>MIW</v>
      </c>
      <c r="X1582" t="str">
        <f>_xlfn.XLOOKUP(A1582, Matches!A:A, Matches!J:J, "NA", 0)</f>
        <v>MIW</v>
      </c>
      <c r="Y1582" t="str">
        <f>_xlfn.XLOOKUP(A1582, Matches!A:A, Matches!F:F, "NA", 0)</f>
        <v>Dr DY Patil Sports </v>
      </c>
      <c r="Z1582" cm="1">
        <f t="array" ref="Z1582">INDEX(Innings!F:F,MATCH(1,(TRIM(Innings!A:A)=TRIM(A1582))*(TRIM(Innings!D:D)=TRIM(E1582)),0))</f>
        <v>193</v>
      </c>
      <c r="AA1582" cm="1">
        <f t="array" ref="AA1582">INDEX(Innings!I:I,MATCH(1,(TRIM(Innings!A:A)=TRIM(A1582))*(TRIM(Innings!D:D)=TRIM(E1582)),0))</f>
        <v>9.98</v>
      </c>
      <c r="AB1582" cm="1">
        <f t="array" ref="AB1582">INDEX(Innings!J:J,MATCH(1,(TRIM(Innings!A:A)=TRIM(A1582))*(TRIM(Innings!D:D)=TRIM(E1582)),0))</f>
        <v>48</v>
      </c>
      <c r="AC1582" cm="1">
        <f t="array" ref="AC1582">INDEX(Innings!N:N,MATCH(1,(TRIM(Innings!A:A)=TRIM(A1582))*(TRIM(Innings!D:D)=TRIM(E1582)),0))</f>
        <v>39</v>
      </c>
      <c r="AD1582" cm="1">
        <f t="array" ref="AD1582">INDEX(Innings!S:S,MATCH(1,(TRIM(Innings!A:A)=TRIM(A1582))*(TRIM(Innings!D:D)=TRIM(E1582)),0))</f>
        <v>30</v>
      </c>
      <c r="AE1582" t="str" cm="1">
        <f t="array" ref="AE1582">INDEX(Innings!W:W,MATCH(1,(TRIM(Innings!A:A)=TRIM(A1582))*(TRIM(Innings!D:D)=TRIM(E1582)),0))</f>
        <v>Successful</v>
      </c>
      <c r="AF1582">
        <f>IF(UPPER(TRIM(E1582))=UPPER(TRIM(W1582)),1,0)</f>
        <v>1</v>
      </c>
      <c r="AG1582">
        <f t="shared" si="48"/>
        <v>20</v>
      </c>
    </row>
    <row r="1583" spans="1:33" x14ac:dyDescent="0.3">
      <c r="A1583" t="s">
        <v>606</v>
      </c>
      <c r="B1583">
        <v>4</v>
      </c>
      <c r="C1583" t="s">
        <v>265</v>
      </c>
      <c r="D1583" t="s">
        <v>264</v>
      </c>
      <c r="E1583" t="s">
        <v>266</v>
      </c>
      <c r="F1583" t="s">
        <v>101</v>
      </c>
      <c r="G1583" t="s">
        <v>104</v>
      </c>
      <c r="H1583">
        <v>0</v>
      </c>
      <c r="I1583">
        <v>0</v>
      </c>
      <c r="J1583">
        <v>0</v>
      </c>
      <c r="K1583" t="s">
        <v>104</v>
      </c>
      <c r="L1583">
        <v>0</v>
      </c>
      <c r="M1583">
        <v>4</v>
      </c>
      <c r="N1583">
        <v>0</v>
      </c>
      <c r="O1583">
        <v>25</v>
      </c>
      <c r="P1583">
        <v>1</v>
      </c>
      <c r="Q1583">
        <v>6.2</v>
      </c>
      <c r="R1583">
        <v>35</v>
      </c>
      <c r="S1583">
        <v>0</v>
      </c>
      <c r="T1583">
        <v>0</v>
      </c>
      <c r="U1583" s="8">
        <v>35</v>
      </c>
      <c r="V1583" s="8">
        <f t="shared" si="49"/>
        <v>4</v>
      </c>
      <c r="W1583" t="str">
        <f>_xlfn.XLOOKUP(A1583, Matches!A:A, Matches!L:L, "NA", 0)</f>
        <v>MIW</v>
      </c>
      <c r="X1583" t="str">
        <f>_xlfn.XLOOKUP(A1583, Matches!A:A, Matches!J:J, "NA", 0)</f>
        <v>MIW</v>
      </c>
      <c r="Y1583" t="str">
        <f>_xlfn.XLOOKUP(A1583, Matches!A:A, Matches!F:F, "NA", 0)</f>
        <v>Dr DY Patil Sports </v>
      </c>
      <c r="Z1583" cm="1">
        <f t="array" ref="Z1583">INDEX(Innings!F:F,MATCH(1,(TRIM(Innings!A:A)=TRIM(A1583))*(TRIM(Innings!D:D)=TRIM(E1583)),0))</f>
        <v>193</v>
      </c>
      <c r="AA1583" cm="1">
        <f t="array" ref="AA1583">INDEX(Innings!I:I,MATCH(1,(TRIM(Innings!A:A)=TRIM(A1583))*(TRIM(Innings!D:D)=TRIM(E1583)),0))</f>
        <v>9.98</v>
      </c>
      <c r="AB1583" cm="1">
        <f t="array" ref="AB1583">INDEX(Innings!J:J,MATCH(1,(TRIM(Innings!A:A)=TRIM(A1583))*(TRIM(Innings!D:D)=TRIM(E1583)),0))</f>
        <v>48</v>
      </c>
      <c r="AC1583" cm="1">
        <f t="array" ref="AC1583">INDEX(Innings!N:N,MATCH(1,(TRIM(Innings!A:A)=TRIM(A1583))*(TRIM(Innings!D:D)=TRIM(E1583)),0))</f>
        <v>39</v>
      </c>
      <c r="AD1583" cm="1">
        <f t="array" ref="AD1583">INDEX(Innings!S:S,MATCH(1,(TRIM(Innings!A:A)=TRIM(A1583))*(TRIM(Innings!D:D)=TRIM(E1583)),0))</f>
        <v>30</v>
      </c>
      <c r="AE1583" t="str" cm="1">
        <f t="array" ref="AE1583">INDEX(Innings!W:W,MATCH(1,(TRIM(Innings!A:A)=TRIM(A1583))*(TRIM(Innings!D:D)=TRIM(E1583)),0))</f>
        <v>Successful</v>
      </c>
      <c r="AF1583">
        <f>IF(UPPER(TRIM(E1583))=UPPER(TRIM(W1583)),1,0)</f>
        <v>1</v>
      </c>
      <c r="AG1583">
        <f t="shared" si="48"/>
        <v>38.700000000000003</v>
      </c>
    </row>
    <row r="1584" spans="1:33" x14ac:dyDescent="0.3">
      <c r="A1584" t="s">
        <v>606</v>
      </c>
      <c r="B1584">
        <v>4</v>
      </c>
      <c r="C1584" t="s">
        <v>534</v>
      </c>
      <c r="D1584" t="s">
        <v>639</v>
      </c>
      <c r="E1584" t="s">
        <v>266</v>
      </c>
      <c r="F1584" t="s">
        <v>101</v>
      </c>
      <c r="G1584" t="s">
        <v>104</v>
      </c>
      <c r="H1584">
        <v>0</v>
      </c>
      <c r="I1584">
        <v>0</v>
      </c>
      <c r="J1584">
        <v>0</v>
      </c>
      <c r="K1584" t="s">
        <v>104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 s="8">
        <v>0</v>
      </c>
      <c r="V1584" s="8">
        <f t="shared" si="49"/>
        <v>0</v>
      </c>
      <c r="W1584" t="str">
        <f>_xlfn.XLOOKUP(A1584, Matches!A:A, Matches!L:L, "NA", 0)</f>
        <v>MIW</v>
      </c>
      <c r="X1584" t="str">
        <f>_xlfn.XLOOKUP(A1584, Matches!A:A, Matches!J:J, "NA", 0)</f>
        <v>MIW</v>
      </c>
      <c r="Y1584" t="str">
        <f>_xlfn.XLOOKUP(A1584, Matches!A:A, Matches!F:F, "NA", 0)</f>
        <v>Dr DY Patil Sports </v>
      </c>
      <c r="Z1584" cm="1">
        <f t="array" ref="Z1584">INDEX(Innings!F:F,MATCH(1,(TRIM(Innings!A:A)=TRIM(A1584))*(TRIM(Innings!D:D)=TRIM(E1584)),0))</f>
        <v>193</v>
      </c>
      <c r="AA1584" cm="1">
        <f t="array" ref="AA1584">INDEX(Innings!I:I,MATCH(1,(TRIM(Innings!A:A)=TRIM(A1584))*(TRIM(Innings!D:D)=TRIM(E1584)),0))</f>
        <v>9.98</v>
      </c>
      <c r="AB1584" cm="1">
        <f t="array" ref="AB1584">INDEX(Innings!J:J,MATCH(1,(TRIM(Innings!A:A)=TRIM(A1584))*(TRIM(Innings!D:D)=TRIM(E1584)),0))</f>
        <v>48</v>
      </c>
      <c r="AC1584" cm="1">
        <f t="array" ref="AC1584">INDEX(Innings!N:N,MATCH(1,(TRIM(Innings!A:A)=TRIM(A1584))*(TRIM(Innings!D:D)=TRIM(E1584)),0))</f>
        <v>39</v>
      </c>
      <c r="AD1584" cm="1">
        <f t="array" ref="AD1584">INDEX(Innings!S:S,MATCH(1,(TRIM(Innings!A:A)=TRIM(A1584))*(TRIM(Innings!D:D)=TRIM(E1584)),0))</f>
        <v>30</v>
      </c>
      <c r="AE1584" t="str" cm="1">
        <f t="array" ref="AE1584">INDEX(Innings!W:W,MATCH(1,(TRIM(Innings!A:A)=TRIM(A1584))*(TRIM(Innings!D:D)=TRIM(E1584)),0))</f>
        <v>Successful</v>
      </c>
      <c r="AF1584">
        <f>IF(UPPER(TRIM(E1584))=UPPER(TRIM(W1584)),1,0)</f>
        <v>1</v>
      </c>
      <c r="AG1584">
        <f t="shared" si="48"/>
        <v>20</v>
      </c>
    </row>
    <row r="1585" spans="1:33" x14ac:dyDescent="0.3">
      <c r="A1585" t="s">
        <v>607</v>
      </c>
      <c r="B1585">
        <v>4</v>
      </c>
      <c r="C1585" t="s">
        <v>229</v>
      </c>
      <c r="D1585" t="s">
        <v>230</v>
      </c>
      <c r="E1585" t="s">
        <v>219</v>
      </c>
      <c r="F1585" t="s">
        <v>109</v>
      </c>
      <c r="G1585" t="s">
        <v>86</v>
      </c>
      <c r="H1585">
        <v>0</v>
      </c>
      <c r="I1585">
        <v>3</v>
      </c>
      <c r="J1585">
        <v>0</v>
      </c>
      <c r="K1585" t="s">
        <v>246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 s="8">
        <v>0</v>
      </c>
      <c r="V1585" s="8">
        <f t="shared" si="49"/>
        <v>0</v>
      </c>
      <c r="W1585" t="str">
        <f>_xlfn.XLOOKUP(A1585, Matches!A:A, Matches!L:L, "NA", 0)</f>
        <v>DCW</v>
      </c>
      <c r="X1585" t="str">
        <f>_xlfn.XLOOKUP(A1585, Matches!A:A, Matches!J:J, "NA", 0)</f>
        <v>DCW</v>
      </c>
      <c r="Y1585" t="str">
        <f>_xlfn.XLOOKUP(A1585, Matches!A:A, Matches!F:F, "NA", 0)</f>
        <v>Dr DY Patil Sports </v>
      </c>
      <c r="Z1585" cm="1">
        <f t="array" ref="Z1585">INDEX(Innings!F:F,MATCH(1,(TRIM(Innings!A:A)=TRIM(A1585))*(TRIM(Innings!D:D)=TRIM(E1585)),0))</f>
        <v>154</v>
      </c>
      <c r="AA1585" cm="1">
        <f t="array" ref="AA1585">INDEX(Innings!I:I,MATCH(1,(TRIM(Innings!A:A)=TRIM(A1585))*(TRIM(Innings!D:D)=TRIM(E1585)),0))</f>
        <v>7.7</v>
      </c>
      <c r="AB1585" cm="1">
        <f t="array" ref="AB1585">INDEX(Innings!J:J,MATCH(1,(TRIM(Innings!A:A)=TRIM(A1585))*(TRIM(Innings!D:D)=TRIM(E1585)),0))</f>
        <v>47</v>
      </c>
      <c r="AC1585" cm="1">
        <f t="array" ref="AC1585">INDEX(Innings!N:N,MATCH(1,(TRIM(Innings!A:A)=TRIM(A1585))*(TRIM(Innings!D:D)=TRIM(E1585)),0))</f>
        <v>16</v>
      </c>
      <c r="AD1585" cm="1">
        <f t="array" ref="AD1585">INDEX(Innings!S:S,MATCH(1,(TRIM(Innings!A:A)=TRIM(A1585))*(TRIM(Innings!D:D)=TRIM(E1585)),0))</f>
        <v>36</v>
      </c>
      <c r="AE1585" t="str" cm="1">
        <f t="array" ref="AE1585">INDEX(Innings!W:W,MATCH(1,(TRIM(Innings!A:A)=TRIM(A1585))*(TRIM(Innings!D:D)=TRIM(E1585)),0))</f>
        <v>NA</v>
      </c>
      <c r="AF1585">
        <f>IF(UPPER(TRIM(E1585))=UPPER(TRIM(W1585)),1,0)</f>
        <v>0</v>
      </c>
      <c r="AG1585">
        <f t="shared" si="48"/>
        <v>0</v>
      </c>
    </row>
    <row r="1586" spans="1:33" x14ac:dyDescent="0.3">
      <c r="A1586" t="s">
        <v>607</v>
      </c>
      <c r="B1586">
        <v>4</v>
      </c>
      <c r="C1586" t="s">
        <v>190</v>
      </c>
      <c r="D1586" t="s">
        <v>191</v>
      </c>
      <c r="E1586" t="s">
        <v>219</v>
      </c>
      <c r="F1586" t="s">
        <v>109</v>
      </c>
      <c r="G1586" t="s">
        <v>86</v>
      </c>
      <c r="H1586">
        <v>54</v>
      </c>
      <c r="I1586">
        <v>38</v>
      </c>
      <c r="J1586">
        <v>142.11000000000001</v>
      </c>
      <c r="K1586" t="s">
        <v>246</v>
      </c>
      <c r="L1586">
        <v>70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 s="8">
        <v>70</v>
      </c>
      <c r="V1586" s="8">
        <f t="shared" si="49"/>
        <v>7</v>
      </c>
      <c r="W1586" t="str">
        <f>_xlfn.XLOOKUP(A1586, Matches!A:A, Matches!L:L, "NA", 0)</f>
        <v>DCW</v>
      </c>
      <c r="X1586" t="str">
        <f>_xlfn.XLOOKUP(A1586, Matches!A:A, Matches!J:J, "NA", 0)</f>
        <v>DCW</v>
      </c>
      <c r="Y1586" t="str">
        <f>_xlfn.XLOOKUP(A1586, Matches!A:A, Matches!F:F, "NA", 0)</f>
        <v>Dr DY Patil Sports </v>
      </c>
      <c r="Z1586" cm="1">
        <f t="array" ref="Z1586">INDEX(Innings!F:F,MATCH(1,(TRIM(Innings!A:A)=TRIM(A1586))*(TRIM(Innings!D:D)=TRIM(E1586)),0))</f>
        <v>154</v>
      </c>
      <c r="AA1586" cm="1">
        <f t="array" ref="AA1586">INDEX(Innings!I:I,MATCH(1,(TRIM(Innings!A:A)=TRIM(A1586))*(TRIM(Innings!D:D)=TRIM(E1586)),0))</f>
        <v>7.7</v>
      </c>
      <c r="AB1586" cm="1">
        <f t="array" ref="AB1586">INDEX(Innings!J:J,MATCH(1,(TRIM(Innings!A:A)=TRIM(A1586))*(TRIM(Innings!D:D)=TRIM(E1586)),0))</f>
        <v>47</v>
      </c>
      <c r="AC1586" cm="1">
        <f t="array" ref="AC1586">INDEX(Innings!N:N,MATCH(1,(TRIM(Innings!A:A)=TRIM(A1586))*(TRIM(Innings!D:D)=TRIM(E1586)),0))</f>
        <v>16</v>
      </c>
      <c r="AD1586" cm="1">
        <f t="array" ref="AD1586">INDEX(Innings!S:S,MATCH(1,(TRIM(Innings!A:A)=TRIM(A1586))*(TRIM(Innings!D:D)=TRIM(E1586)),0))</f>
        <v>36</v>
      </c>
      <c r="AE1586" t="str" cm="1">
        <f t="array" ref="AE1586">INDEX(Innings!W:W,MATCH(1,(TRIM(Innings!A:A)=TRIM(A1586))*(TRIM(Innings!D:D)=TRIM(E1586)),0))</f>
        <v>NA</v>
      </c>
      <c r="AF1586">
        <f>IF(UPPER(TRIM(E1586))=UPPER(TRIM(W1586)),1,0)</f>
        <v>0</v>
      </c>
      <c r="AG1586">
        <f t="shared" si="48"/>
        <v>37.1</v>
      </c>
    </row>
    <row r="1587" spans="1:33" x14ac:dyDescent="0.3">
      <c r="A1587" t="s">
        <v>607</v>
      </c>
      <c r="B1587">
        <v>4</v>
      </c>
      <c r="C1587" t="s">
        <v>383</v>
      </c>
      <c r="D1587" t="s">
        <v>384</v>
      </c>
      <c r="E1587" t="s">
        <v>219</v>
      </c>
      <c r="F1587" t="s">
        <v>109</v>
      </c>
      <c r="G1587" t="s">
        <v>92</v>
      </c>
      <c r="H1587">
        <v>27</v>
      </c>
      <c r="I1587">
        <v>20</v>
      </c>
      <c r="J1587">
        <v>135</v>
      </c>
      <c r="K1587" t="s">
        <v>248</v>
      </c>
      <c r="L1587">
        <v>35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 s="8">
        <v>35</v>
      </c>
      <c r="V1587" s="8">
        <f t="shared" si="49"/>
        <v>4</v>
      </c>
      <c r="W1587" t="str">
        <f>_xlfn.XLOOKUP(A1587, Matches!A:A, Matches!L:L, "NA", 0)</f>
        <v>DCW</v>
      </c>
      <c r="X1587" t="str">
        <f>_xlfn.XLOOKUP(A1587, Matches!A:A, Matches!J:J, "NA", 0)</f>
        <v>DCW</v>
      </c>
      <c r="Y1587" t="str">
        <f>_xlfn.XLOOKUP(A1587, Matches!A:A, Matches!F:F, "NA", 0)</f>
        <v>Dr DY Patil Sports </v>
      </c>
      <c r="Z1587" cm="1">
        <f t="array" ref="Z1587">INDEX(Innings!F:F,MATCH(1,(TRIM(Innings!A:A)=TRIM(A1587))*(TRIM(Innings!D:D)=TRIM(E1587)),0))</f>
        <v>154</v>
      </c>
      <c r="AA1587" cm="1">
        <f t="array" ref="AA1587">INDEX(Innings!I:I,MATCH(1,(TRIM(Innings!A:A)=TRIM(A1587))*(TRIM(Innings!D:D)=TRIM(E1587)),0))</f>
        <v>7.7</v>
      </c>
      <c r="AB1587" cm="1">
        <f t="array" ref="AB1587">INDEX(Innings!J:J,MATCH(1,(TRIM(Innings!A:A)=TRIM(A1587))*(TRIM(Innings!D:D)=TRIM(E1587)),0))</f>
        <v>47</v>
      </c>
      <c r="AC1587" cm="1">
        <f t="array" ref="AC1587">INDEX(Innings!N:N,MATCH(1,(TRIM(Innings!A:A)=TRIM(A1587))*(TRIM(Innings!D:D)=TRIM(E1587)),0))</f>
        <v>16</v>
      </c>
      <c r="AD1587" cm="1">
        <f t="array" ref="AD1587">INDEX(Innings!S:S,MATCH(1,(TRIM(Innings!A:A)=TRIM(A1587))*(TRIM(Innings!D:D)=TRIM(E1587)),0))</f>
        <v>36</v>
      </c>
      <c r="AE1587" t="str" cm="1">
        <f t="array" ref="AE1587">INDEX(Innings!W:W,MATCH(1,(TRIM(Innings!A:A)=TRIM(A1587))*(TRIM(Innings!D:D)=TRIM(E1587)),0))</f>
        <v>NA</v>
      </c>
      <c r="AF1587">
        <f>IF(UPPER(TRIM(E1587))=UPPER(TRIM(W1587)),1,0)</f>
        <v>0</v>
      </c>
      <c r="AG1587">
        <f t="shared" si="48"/>
        <v>18.7</v>
      </c>
    </row>
    <row r="1588" spans="1:33" x14ac:dyDescent="0.3">
      <c r="A1588" t="s">
        <v>607</v>
      </c>
      <c r="B1588">
        <v>4</v>
      </c>
      <c r="C1588" t="s">
        <v>89</v>
      </c>
      <c r="D1588" t="s">
        <v>116</v>
      </c>
      <c r="E1588" t="s">
        <v>219</v>
      </c>
      <c r="F1588" t="s">
        <v>169</v>
      </c>
      <c r="G1588" t="s">
        <v>92</v>
      </c>
      <c r="H1588">
        <v>47</v>
      </c>
      <c r="I1588">
        <v>36</v>
      </c>
      <c r="J1588">
        <v>130.56</v>
      </c>
      <c r="K1588" t="s">
        <v>256</v>
      </c>
      <c r="L1588">
        <v>55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 s="8">
        <v>55</v>
      </c>
      <c r="V1588" s="8">
        <f t="shared" si="49"/>
        <v>6</v>
      </c>
      <c r="W1588" t="str">
        <f>_xlfn.XLOOKUP(A1588, Matches!A:A, Matches!L:L, "NA", 0)</f>
        <v>DCW</v>
      </c>
      <c r="X1588" t="str">
        <f>_xlfn.XLOOKUP(A1588, Matches!A:A, Matches!J:J, "NA", 0)</f>
        <v>DCW</v>
      </c>
      <c r="Y1588" t="str">
        <f>_xlfn.XLOOKUP(A1588, Matches!A:A, Matches!F:F, "NA", 0)</f>
        <v>Dr DY Patil Sports </v>
      </c>
      <c r="Z1588" cm="1">
        <f t="array" ref="Z1588">INDEX(Innings!F:F,MATCH(1,(TRIM(Innings!A:A)=TRIM(A1588))*(TRIM(Innings!D:D)=TRIM(E1588)),0))</f>
        <v>154</v>
      </c>
      <c r="AA1588" cm="1">
        <f t="array" ref="AA1588">INDEX(Innings!I:I,MATCH(1,(TRIM(Innings!A:A)=TRIM(A1588))*(TRIM(Innings!D:D)=TRIM(E1588)),0))</f>
        <v>7.7</v>
      </c>
      <c r="AB1588" cm="1">
        <f t="array" ref="AB1588">INDEX(Innings!J:J,MATCH(1,(TRIM(Innings!A:A)=TRIM(A1588))*(TRIM(Innings!D:D)=TRIM(E1588)),0))</f>
        <v>47</v>
      </c>
      <c r="AC1588" cm="1">
        <f t="array" ref="AC1588">INDEX(Innings!N:N,MATCH(1,(TRIM(Innings!A:A)=TRIM(A1588))*(TRIM(Innings!D:D)=TRIM(E1588)),0))</f>
        <v>16</v>
      </c>
      <c r="AD1588" cm="1">
        <f t="array" ref="AD1588">INDEX(Innings!S:S,MATCH(1,(TRIM(Innings!A:A)=TRIM(A1588))*(TRIM(Innings!D:D)=TRIM(E1588)),0))</f>
        <v>36</v>
      </c>
      <c r="AE1588" t="str" cm="1">
        <f t="array" ref="AE1588">INDEX(Innings!W:W,MATCH(1,(TRIM(Innings!A:A)=TRIM(A1588))*(TRIM(Innings!D:D)=TRIM(E1588)),0))</f>
        <v>NA</v>
      </c>
      <c r="AF1588">
        <f>IF(UPPER(TRIM(E1588))=UPPER(TRIM(W1588)),1,0)</f>
        <v>0</v>
      </c>
      <c r="AG1588">
        <f t="shared" si="48"/>
        <v>29.3</v>
      </c>
    </row>
    <row r="1589" spans="1:33" x14ac:dyDescent="0.3">
      <c r="A1589" t="s">
        <v>607</v>
      </c>
      <c r="B1589">
        <v>4</v>
      </c>
      <c r="C1589" t="s">
        <v>220</v>
      </c>
      <c r="D1589" t="s">
        <v>221</v>
      </c>
      <c r="E1589" t="s">
        <v>219</v>
      </c>
      <c r="F1589" t="s">
        <v>85</v>
      </c>
      <c r="G1589" t="s">
        <v>134</v>
      </c>
      <c r="H1589">
        <v>11</v>
      </c>
      <c r="I1589">
        <v>12</v>
      </c>
      <c r="J1589">
        <v>91.67</v>
      </c>
      <c r="K1589" t="s">
        <v>246</v>
      </c>
      <c r="L1589">
        <v>10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 s="8">
        <v>10</v>
      </c>
      <c r="V1589" s="8">
        <f t="shared" si="49"/>
        <v>1</v>
      </c>
      <c r="W1589" t="str">
        <f>_xlfn.XLOOKUP(A1589, Matches!A:A, Matches!L:L, "NA", 0)</f>
        <v>DCW</v>
      </c>
      <c r="X1589" t="str">
        <f>_xlfn.XLOOKUP(A1589, Matches!A:A, Matches!J:J, "NA", 0)</f>
        <v>DCW</v>
      </c>
      <c r="Y1589" t="str">
        <f>_xlfn.XLOOKUP(A1589, Matches!A:A, Matches!F:F, "NA", 0)</f>
        <v>Dr DY Patil Sports </v>
      </c>
      <c r="Z1589" cm="1">
        <f t="array" ref="Z1589">INDEX(Innings!F:F,MATCH(1,(TRIM(Innings!A:A)=TRIM(A1589))*(TRIM(Innings!D:D)=TRIM(E1589)),0))</f>
        <v>154</v>
      </c>
      <c r="AA1589" cm="1">
        <f t="array" ref="AA1589">INDEX(Innings!I:I,MATCH(1,(TRIM(Innings!A:A)=TRIM(A1589))*(TRIM(Innings!D:D)=TRIM(E1589)),0))</f>
        <v>7.7</v>
      </c>
      <c r="AB1589" cm="1">
        <f t="array" ref="AB1589">INDEX(Innings!J:J,MATCH(1,(TRIM(Innings!A:A)=TRIM(A1589))*(TRIM(Innings!D:D)=TRIM(E1589)),0))</f>
        <v>47</v>
      </c>
      <c r="AC1589" cm="1">
        <f t="array" ref="AC1589">INDEX(Innings!N:N,MATCH(1,(TRIM(Innings!A:A)=TRIM(A1589))*(TRIM(Innings!D:D)=TRIM(E1589)),0))</f>
        <v>16</v>
      </c>
      <c r="AD1589" cm="1">
        <f t="array" ref="AD1589">INDEX(Innings!S:S,MATCH(1,(TRIM(Innings!A:A)=TRIM(A1589))*(TRIM(Innings!D:D)=TRIM(E1589)),0))</f>
        <v>36</v>
      </c>
      <c r="AE1589" t="str" cm="1">
        <f t="array" ref="AE1589">INDEX(Innings!W:W,MATCH(1,(TRIM(Innings!A:A)=TRIM(A1589))*(TRIM(Innings!D:D)=TRIM(E1589)),0))</f>
        <v>NA</v>
      </c>
      <c r="AF1589">
        <f>IF(UPPER(TRIM(E1589))=UPPER(TRIM(W1589)),1,0)</f>
        <v>0</v>
      </c>
      <c r="AG1589">
        <f t="shared" si="48"/>
        <v>5.3</v>
      </c>
    </row>
    <row r="1590" spans="1:33" x14ac:dyDescent="0.3">
      <c r="A1590" t="s">
        <v>607</v>
      </c>
      <c r="B1590">
        <v>4</v>
      </c>
      <c r="C1590" t="s">
        <v>578</v>
      </c>
      <c r="D1590" t="s">
        <v>652</v>
      </c>
      <c r="E1590" t="s">
        <v>219</v>
      </c>
      <c r="F1590" t="s">
        <v>169</v>
      </c>
      <c r="G1590" t="s">
        <v>134</v>
      </c>
      <c r="H1590">
        <v>1</v>
      </c>
      <c r="I1590">
        <v>3</v>
      </c>
      <c r="J1590">
        <v>33.33</v>
      </c>
      <c r="K1590" t="s">
        <v>246</v>
      </c>
      <c r="L1590">
        <v>1</v>
      </c>
      <c r="M1590">
        <v>3</v>
      </c>
      <c r="N1590">
        <v>0</v>
      </c>
      <c r="O1590">
        <v>35</v>
      </c>
      <c r="P1590">
        <v>0</v>
      </c>
      <c r="Q1590">
        <v>11.7</v>
      </c>
      <c r="R1590">
        <v>-10</v>
      </c>
      <c r="S1590">
        <v>0</v>
      </c>
      <c r="T1590">
        <v>0</v>
      </c>
      <c r="U1590" s="8">
        <v>-9</v>
      </c>
      <c r="V1590" s="8">
        <f t="shared" si="49"/>
        <v>0</v>
      </c>
      <c r="W1590" t="str">
        <f>_xlfn.XLOOKUP(A1590, Matches!A:A, Matches!L:L, "NA", 0)</f>
        <v>DCW</v>
      </c>
      <c r="X1590" t="str">
        <f>_xlfn.XLOOKUP(A1590, Matches!A:A, Matches!J:J, "NA", 0)</f>
        <v>DCW</v>
      </c>
      <c r="Y1590" t="str">
        <f>_xlfn.XLOOKUP(A1590, Matches!A:A, Matches!F:F, "NA", 0)</f>
        <v>Dr DY Patil Sports </v>
      </c>
      <c r="Z1590" cm="1">
        <f t="array" ref="Z1590">INDEX(Innings!F:F,MATCH(1,(TRIM(Innings!A:A)=TRIM(A1590))*(TRIM(Innings!D:D)=TRIM(E1590)),0))</f>
        <v>154</v>
      </c>
      <c r="AA1590" cm="1">
        <f t="array" ref="AA1590">INDEX(Innings!I:I,MATCH(1,(TRIM(Innings!A:A)=TRIM(A1590))*(TRIM(Innings!D:D)=TRIM(E1590)),0))</f>
        <v>7.7</v>
      </c>
      <c r="AB1590" cm="1">
        <f t="array" ref="AB1590">INDEX(Innings!J:J,MATCH(1,(TRIM(Innings!A:A)=TRIM(A1590))*(TRIM(Innings!D:D)=TRIM(E1590)),0))</f>
        <v>47</v>
      </c>
      <c r="AC1590" cm="1">
        <f t="array" ref="AC1590">INDEX(Innings!N:N,MATCH(1,(TRIM(Innings!A:A)=TRIM(A1590))*(TRIM(Innings!D:D)=TRIM(E1590)),0))</f>
        <v>16</v>
      </c>
      <c r="AD1590" cm="1">
        <f t="array" ref="AD1590">INDEX(Innings!S:S,MATCH(1,(TRIM(Innings!A:A)=TRIM(A1590))*(TRIM(Innings!D:D)=TRIM(E1590)),0))</f>
        <v>36</v>
      </c>
      <c r="AE1590" t="str" cm="1">
        <f t="array" ref="AE1590">INDEX(Innings!W:W,MATCH(1,(TRIM(Innings!A:A)=TRIM(A1590))*(TRIM(Innings!D:D)=TRIM(E1590)),0))</f>
        <v>NA</v>
      </c>
      <c r="AF1590">
        <f>IF(UPPER(TRIM(E1590))=UPPER(TRIM(W1590)),1,0)</f>
        <v>0</v>
      </c>
      <c r="AG1590">
        <f t="shared" si="48"/>
        <v>0</v>
      </c>
    </row>
    <row r="1591" spans="1:33" x14ac:dyDescent="0.3">
      <c r="A1591" t="s">
        <v>607</v>
      </c>
      <c r="B1591">
        <v>4</v>
      </c>
      <c r="C1591" t="s">
        <v>233</v>
      </c>
      <c r="D1591" t="s">
        <v>234</v>
      </c>
      <c r="E1591" t="s">
        <v>219</v>
      </c>
      <c r="F1591" t="s">
        <v>101</v>
      </c>
      <c r="G1591" t="s">
        <v>134</v>
      </c>
      <c r="H1591">
        <v>3</v>
      </c>
      <c r="I1591">
        <v>5</v>
      </c>
      <c r="J1591">
        <v>60</v>
      </c>
      <c r="K1591" t="s">
        <v>247</v>
      </c>
      <c r="L1591">
        <v>3</v>
      </c>
      <c r="M1591">
        <v>4</v>
      </c>
      <c r="N1591">
        <v>0</v>
      </c>
      <c r="O1591">
        <v>44</v>
      </c>
      <c r="P1591">
        <v>0</v>
      </c>
      <c r="Q1591">
        <v>11</v>
      </c>
      <c r="R1591">
        <v>-10</v>
      </c>
      <c r="S1591">
        <v>0</v>
      </c>
      <c r="T1591">
        <v>0</v>
      </c>
      <c r="U1591" s="8">
        <v>-7</v>
      </c>
      <c r="V1591" s="8">
        <f t="shared" si="49"/>
        <v>0</v>
      </c>
      <c r="W1591" t="str">
        <f>_xlfn.XLOOKUP(A1591, Matches!A:A, Matches!L:L, "NA", 0)</f>
        <v>DCW</v>
      </c>
      <c r="X1591" t="str">
        <f>_xlfn.XLOOKUP(A1591, Matches!A:A, Matches!J:J, "NA", 0)</f>
        <v>DCW</v>
      </c>
      <c r="Y1591" t="str">
        <f>_xlfn.XLOOKUP(A1591, Matches!A:A, Matches!F:F, "NA", 0)</f>
        <v>Dr DY Patil Sports </v>
      </c>
      <c r="Z1591" cm="1">
        <f t="array" ref="Z1591">INDEX(Innings!F:F,MATCH(1,(TRIM(Innings!A:A)=TRIM(A1591))*(TRIM(Innings!D:D)=TRIM(E1591)),0))</f>
        <v>154</v>
      </c>
      <c r="AA1591" cm="1">
        <f t="array" ref="AA1591">INDEX(Innings!I:I,MATCH(1,(TRIM(Innings!A:A)=TRIM(A1591))*(TRIM(Innings!D:D)=TRIM(E1591)),0))</f>
        <v>7.7</v>
      </c>
      <c r="AB1591" cm="1">
        <f t="array" ref="AB1591">INDEX(Innings!J:J,MATCH(1,(TRIM(Innings!A:A)=TRIM(A1591))*(TRIM(Innings!D:D)=TRIM(E1591)),0))</f>
        <v>47</v>
      </c>
      <c r="AC1591" cm="1">
        <f t="array" ref="AC1591">INDEX(Innings!N:N,MATCH(1,(TRIM(Innings!A:A)=TRIM(A1591))*(TRIM(Innings!D:D)=TRIM(E1591)),0))</f>
        <v>16</v>
      </c>
      <c r="AD1591" cm="1">
        <f t="array" ref="AD1591">INDEX(Innings!S:S,MATCH(1,(TRIM(Innings!A:A)=TRIM(A1591))*(TRIM(Innings!D:D)=TRIM(E1591)),0))</f>
        <v>36</v>
      </c>
      <c r="AE1591" t="str" cm="1">
        <f t="array" ref="AE1591">INDEX(Innings!W:W,MATCH(1,(TRIM(Innings!A:A)=TRIM(A1591))*(TRIM(Innings!D:D)=TRIM(E1591)),0))</f>
        <v>NA</v>
      </c>
      <c r="AF1591">
        <f>IF(UPPER(TRIM(E1591))=UPPER(TRIM(W1591)),1,0)</f>
        <v>0</v>
      </c>
      <c r="AG1591">
        <f t="shared" si="48"/>
        <v>0</v>
      </c>
    </row>
    <row r="1592" spans="1:33" x14ac:dyDescent="0.3">
      <c r="A1592" t="s">
        <v>607</v>
      </c>
      <c r="B1592">
        <v>4</v>
      </c>
      <c r="C1592" t="s">
        <v>180</v>
      </c>
      <c r="D1592" t="s">
        <v>181</v>
      </c>
      <c r="E1592" t="s">
        <v>219</v>
      </c>
      <c r="F1592" t="s">
        <v>169</v>
      </c>
      <c r="G1592" t="s">
        <v>134</v>
      </c>
      <c r="H1592">
        <v>1</v>
      </c>
      <c r="I1592">
        <v>1</v>
      </c>
      <c r="J1592">
        <v>100</v>
      </c>
      <c r="K1592" t="s">
        <v>96</v>
      </c>
      <c r="L1592">
        <v>6</v>
      </c>
      <c r="M1592">
        <v>4</v>
      </c>
      <c r="N1592">
        <v>0</v>
      </c>
      <c r="O1592">
        <v>20</v>
      </c>
      <c r="P1592">
        <v>1</v>
      </c>
      <c r="Q1592">
        <v>5</v>
      </c>
      <c r="R1592">
        <v>35</v>
      </c>
      <c r="S1592">
        <v>0</v>
      </c>
      <c r="T1592">
        <v>0</v>
      </c>
      <c r="U1592" s="8">
        <v>41</v>
      </c>
      <c r="V1592" s="8">
        <f t="shared" si="49"/>
        <v>4</v>
      </c>
      <c r="W1592" t="str">
        <f>_xlfn.XLOOKUP(A1592, Matches!A:A, Matches!L:L, "NA", 0)</f>
        <v>DCW</v>
      </c>
      <c r="X1592" t="str">
        <f>_xlfn.XLOOKUP(A1592, Matches!A:A, Matches!J:J, "NA", 0)</f>
        <v>DCW</v>
      </c>
      <c r="Y1592" t="str">
        <f>_xlfn.XLOOKUP(A1592, Matches!A:A, Matches!F:F, "NA", 0)</f>
        <v>Dr DY Patil Sports </v>
      </c>
      <c r="Z1592" cm="1">
        <f t="array" ref="Z1592">INDEX(Innings!F:F,MATCH(1,(TRIM(Innings!A:A)=TRIM(A1592))*(TRIM(Innings!D:D)=TRIM(E1592)),0))</f>
        <v>154</v>
      </c>
      <c r="AA1592" cm="1">
        <f t="array" ref="AA1592">INDEX(Innings!I:I,MATCH(1,(TRIM(Innings!A:A)=TRIM(A1592))*(TRIM(Innings!D:D)=TRIM(E1592)),0))</f>
        <v>7.7</v>
      </c>
      <c r="AB1592" cm="1">
        <f t="array" ref="AB1592">INDEX(Innings!J:J,MATCH(1,(TRIM(Innings!A:A)=TRIM(A1592))*(TRIM(Innings!D:D)=TRIM(E1592)),0))</f>
        <v>47</v>
      </c>
      <c r="AC1592" cm="1">
        <f t="array" ref="AC1592">INDEX(Innings!N:N,MATCH(1,(TRIM(Innings!A:A)=TRIM(A1592))*(TRIM(Innings!D:D)=TRIM(E1592)),0))</f>
        <v>16</v>
      </c>
      <c r="AD1592" cm="1">
        <f t="array" ref="AD1592">INDEX(Innings!S:S,MATCH(1,(TRIM(Innings!A:A)=TRIM(A1592))*(TRIM(Innings!D:D)=TRIM(E1592)),0))</f>
        <v>36</v>
      </c>
      <c r="AE1592" t="str" cm="1">
        <f t="array" ref="AE1592">INDEX(Innings!W:W,MATCH(1,(TRIM(Innings!A:A)=TRIM(A1592))*(TRIM(Innings!D:D)=TRIM(E1592)),0))</f>
        <v>NA</v>
      </c>
      <c r="AF1592">
        <f>IF(UPPER(TRIM(E1592))=UPPER(TRIM(W1592)),1,0)</f>
        <v>0</v>
      </c>
      <c r="AG1592">
        <f t="shared" si="48"/>
        <v>21.7</v>
      </c>
    </row>
    <row r="1593" spans="1:33" x14ac:dyDescent="0.3">
      <c r="A1593" t="s">
        <v>607</v>
      </c>
      <c r="B1593">
        <v>4</v>
      </c>
      <c r="C1593" t="s">
        <v>224</v>
      </c>
      <c r="D1593" t="s">
        <v>225</v>
      </c>
      <c r="E1593" t="s">
        <v>219</v>
      </c>
      <c r="F1593" t="s">
        <v>169</v>
      </c>
      <c r="G1593" t="s">
        <v>134</v>
      </c>
      <c r="H1593">
        <v>2</v>
      </c>
      <c r="I1593">
        <v>2</v>
      </c>
      <c r="J1593">
        <v>100</v>
      </c>
      <c r="K1593" t="s">
        <v>246</v>
      </c>
      <c r="L1593">
        <v>2</v>
      </c>
      <c r="M1593">
        <v>3</v>
      </c>
      <c r="N1593">
        <v>0</v>
      </c>
      <c r="O1593">
        <v>26</v>
      </c>
      <c r="P1593">
        <v>2</v>
      </c>
      <c r="Q1593">
        <v>8.6999999999999993</v>
      </c>
      <c r="R1593">
        <v>50</v>
      </c>
      <c r="S1593">
        <v>0</v>
      </c>
      <c r="T1593">
        <v>0</v>
      </c>
      <c r="U1593" s="8">
        <v>52</v>
      </c>
      <c r="V1593" s="8">
        <f t="shared" si="49"/>
        <v>5</v>
      </c>
      <c r="W1593" t="str">
        <f>_xlfn.XLOOKUP(A1593, Matches!A:A, Matches!L:L, "NA", 0)</f>
        <v>DCW</v>
      </c>
      <c r="X1593" t="str">
        <f>_xlfn.XLOOKUP(A1593, Matches!A:A, Matches!J:J, "NA", 0)</f>
        <v>DCW</v>
      </c>
      <c r="Y1593" t="str">
        <f>_xlfn.XLOOKUP(A1593, Matches!A:A, Matches!F:F, "NA", 0)</f>
        <v>Dr DY Patil Sports </v>
      </c>
      <c r="Z1593" cm="1">
        <f t="array" ref="Z1593">INDEX(Innings!F:F,MATCH(1,(TRIM(Innings!A:A)=TRIM(A1593))*(TRIM(Innings!D:D)=TRIM(E1593)),0))</f>
        <v>154</v>
      </c>
      <c r="AA1593" cm="1">
        <f t="array" ref="AA1593">INDEX(Innings!I:I,MATCH(1,(TRIM(Innings!A:A)=TRIM(A1593))*(TRIM(Innings!D:D)=TRIM(E1593)),0))</f>
        <v>7.7</v>
      </c>
      <c r="AB1593" cm="1">
        <f t="array" ref="AB1593">INDEX(Innings!J:J,MATCH(1,(TRIM(Innings!A:A)=TRIM(A1593))*(TRIM(Innings!D:D)=TRIM(E1593)),0))</f>
        <v>47</v>
      </c>
      <c r="AC1593" cm="1">
        <f t="array" ref="AC1593">INDEX(Innings!N:N,MATCH(1,(TRIM(Innings!A:A)=TRIM(A1593))*(TRIM(Innings!D:D)=TRIM(E1593)),0))</f>
        <v>16</v>
      </c>
      <c r="AD1593" cm="1">
        <f t="array" ref="AD1593">INDEX(Innings!S:S,MATCH(1,(TRIM(Innings!A:A)=TRIM(A1593))*(TRIM(Innings!D:D)=TRIM(E1593)),0))</f>
        <v>36</v>
      </c>
      <c r="AE1593" t="str" cm="1">
        <f t="array" ref="AE1593">INDEX(Innings!W:W,MATCH(1,(TRIM(Innings!A:A)=TRIM(A1593))*(TRIM(Innings!D:D)=TRIM(E1593)),0))</f>
        <v>NA</v>
      </c>
      <c r="AF1593">
        <f>IF(UPPER(TRIM(E1593))=UPPER(TRIM(W1593)),1,0)</f>
        <v>0</v>
      </c>
      <c r="AG1593">
        <f t="shared" si="48"/>
        <v>27.5</v>
      </c>
    </row>
    <row r="1594" spans="1:33" x14ac:dyDescent="0.3">
      <c r="A1594" t="s">
        <v>607</v>
      </c>
      <c r="B1594">
        <v>4</v>
      </c>
      <c r="C1594" t="s">
        <v>204</v>
      </c>
      <c r="D1594" t="s">
        <v>205</v>
      </c>
      <c r="E1594" t="s">
        <v>219</v>
      </c>
      <c r="F1594" t="s">
        <v>169</v>
      </c>
      <c r="G1594" t="s">
        <v>134</v>
      </c>
      <c r="H1594">
        <v>2</v>
      </c>
      <c r="I1594">
        <v>1</v>
      </c>
      <c r="J1594">
        <v>200</v>
      </c>
      <c r="K1594" t="s">
        <v>96</v>
      </c>
      <c r="L1594">
        <v>9</v>
      </c>
      <c r="M1594">
        <v>4</v>
      </c>
      <c r="N1594">
        <v>0</v>
      </c>
      <c r="O1594">
        <v>22</v>
      </c>
      <c r="P1594">
        <v>0</v>
      </c>
      <c r="Q1594">
        <v>5.5</v>
      </c>
      <c r="R1594">
        <v>15</v>
      </c>
      <c r="S1594">
        <v>0</v>
      </c>
      <c r="T1594">
        <v>0</v>
      </c>
      <c r="U1594" s="8">
        <v>24</v>
      </c>
      <c r="V1594" s="8">
        <f t="shared" si="49"/>
        <v>2</v>
      </c>
      <c r="W1594" t="str">
        <f>_xlfn.XLOOKUP(A1594, Matches!A:A, Matches!L:L, "NA", 0)</f>
        <v>DCW</v>
      </c>
      <c r="X1594" t="str">
        <f>_xlfn.XLOOKUP(A1594, Matches!A:A, Matches!J:J, "NA", 0)</f>
        <v>DCW</v>
      </c>
      <c r="Y1594" t="str">
        <f>_xlfn.XLOOKUP(A1594, Matches!A:A, Matches!F:F, "NA", 0)</f>
        <v>Dr DY Patil Sports </v>
      </c>
      <c r="Z1594" cm="1">
        <f t="array" ref="Z1594">INDEX(Innings!F:F,MATCH(1,(TRIM(Innings!A:A)=TRIM(A1594))*(TRIM(Innings!D:D)=TRIM(E1594)),0))</f>
        <v>154</v>
      </c>
      <c r="AA1594" cm="1">
        <f t="array" ref="AA1594">INDEX(Innings!I:I,MATCH(1,(TRIM(Innings!A:A)=TRIM(A1594))*(TRIM(Innings!D:D)=TRIM(E1594)),0))</f>
        <v>7.7</v>
      </c>
      <c r="AB1594" cm="1">
        <f t="array" ref="AB1594">INDEX(Innings!J:J,MATCH(1,(TRIM(Innings!A:A)=TRIM(A1594))*(TRIM(Innings!D:D)=TRIM(E1594)),0))</f>
        <v>47</v>
      </c>
      <c r="AC1594" cm="1">
        <f t="array" ref="AC1594">INDEX(Innings!N:N,MATCH(1,(TRIM(Innings!A:A)=TRIM(A1594))*(TRIM(Innings!D:D)=TRIM(E1594)),0))</f>
        <v>16</v>
      </c>
      <c r="AD1594" cm="1">
        <f t="array" ref="AD1594">INDEX(Innings!S:S,MATCH(1,(TRIM(Innings!A:A)=TRIM(A1594))*(TRIM(Innings!D:D)=TRIM(E1594)),0))</f>
        <v>36</v>
      </c>
      <c r="AE1594" t="str" cm="1">
        <f t="array" ref="AE1594">INDEX(Innings!W:W,MATCH(1,(TRIM(Innings!A:A)=TRIM(A1594))*(TRIM(Innings!D:D)=TRIM(E1594)),0))</f>
        <v>NA</v>
      </c>
      <c r="AF1594">
        <f>IF(UPPER(TRIM(E1594))=UPPER(TRIM(W1594)),1,0)</f>
        <v>0</v>
      </c>
      <c r="AG1594">
        <f t="shared" si="48"/>
        <v>12.6</v>
      </c>
    </row>
    <row r="1595" spans="1:33" x14ac:dyDescent="0.3">
      <c r="A1595" t="s">
        <v>607</v>
      </c>
      <c r="B1595">
        <v>4</v>
      </c>
      <c r="C1595" t="s">
        <v>509</v>
      </c>
      <c r="D1595" t="s">
        <v>523</v>
      </c>
      <c r="E1595" t="s">
        <v>219</v>
      </c>
      <c r="F1595" t="s">
        <v>101</v>
      </c>
      <c r="G1595" t="s">
        <v>104</v>
      </c>
      <c r="H1595">
        <v>0</v>
      </c>
      <c r="I1595">
        <v>0</v>
      </c>
      <c r="J1595">
        <v>0</v>
      </c>
      <c r="K1595" t="s">
        <v>104</v>
      </c>
      <c r="L1595">
        <v>0</v>
      </c>
      <c r="M1595">
        <v>2</v>
      </c>
      <c r="N1595">
        <v>0</v>
      </c>
      <c r="O1595">
        <v>10</v>
      </c>
      <c r="P1595">
        <v>0</v>
      </c>
      <c r="Q1595">
        <v>5</v>
      </c>
      <c r="R1595">
        <v>15</v>
      </c>
      <c r="S1595">
        <v>0</v>
      </c>
      <c r="T1595">
        <v>0</v>
      </c>
      <c r="U1595" s="8">
        <v>15</v>
      </c>
      <c r="V1595" s="8">
        <f t="shared" si="49"/>
        <v>2</v>
      </c>
      <c r="W1595" t="str">
        <f>_xlfn.XLOOKUP(A1595, Matches!A:A, Matches!L:L, "NA", 0)</f>
        <v>DCW</v>
      </c>
      <c r="X1595" t="str">
        <f>_xlfn.XLOOKUP(A1595, Matches!A:A, Matches!J:J, "NA", 0)</f>
        <v>DCW</v>
      </c>
      <c r="Y1595" t="str">
        <f>_xlfn.XLOOKUP(A1595, Matches!A:A, Matches!F:F, "NA", 0)</f>
        <v>Dr DY Patil Sports </v>
      </c>
      <c r="Z1595" cm="1">
        <f t="array" ref="Z1595">INDEX(Innings!F:F,MATCH(1,(TRIM(Innings!A:A)=TRIM(A1595))*(TRIM(Innings!D:D)=TRIM(E1595)),0))</f>
        <v>154</v>
      </c>
      <c r="AA1595" cm="1">
        <f t="array" ref="AA1595">INDEX(Innings!I:I,MATCH(1,(TRIM(Innings!A:A)=TRIM(A1595))*(TRIM(Innings!D:D)=TRIM(E1595)),0))</f>
        <v>7.7</v>
      </c>
      <c r="AB1595" cm="1">
        <f t="array" ref="AB1595">INDEX(Innings!J:J,MATCH(1,(TRIM(Innings!A:A)=TRIM(A1595))*(TRIM(Innings!D:D)=TRIM(E1595)),0))</f>
        <v>47</v>
      </c>
      <c r="AC1595" cm="1">
        <f t="array" ref="AC1595">INDEX(Innings!N:N,MATCH(1,(TRIM(Innings!A:A)=TRIM(A1595))*(TRIM(Innings!D:D)=TRIM(E1595)),0))</f>
        <v>16</v>
      </c>
      <c r="AD1595" cm="1">
        <f t="array" ref="AD1595">INDEX(Innings!S:S,MATCH(1,(TRIM(Innings!A:A)=TRIM(A1595))*(TRIM(Innings!D:D)=TRIM(E1595)),0))</f>
        <v>36</v>
      </c>
      <c r="AE1595" t="str" cm="1">
        <f t="array" ref="AE1595">INDEX(Innings!W:W,MATCH(1,(TRIM(Innings!A:A)=TRIM(A1595))*(TRIM(Innings!D:D)=TRIM(E1595)),0))</f>
        <v>NA</v>
      </c>
      <c r="AF1595">
        <f>IF(UPPER(TRIM(E1595))=UPPER(TRIM(W1595)),1,0)</f>
        <v>0</v>
      </c>
      <c r="AG1595">
        <f t="shared" si="48"/>
        <v>8.1</v>
      </c>
    </row>
    <row r="1596" spans="1:33" x14ac:dyDescent="0.3">
      <c r="A1596" t="s">
        <v>607</v>
      </c>
      <c r="B1596">
        <v>4</v>
      </c>
      <c r="C1596" t="s">
        <v>188</v>
      </c>
      <c r="D1596" t="s">
        <v>189</v>
      </c>
      <c r="E1596" t="s">
        <v>158</v>
      </c>
      <c r="F1596" t="s">
        <v>109</v>
      </c>
      <c r="G1596" t="s">
        <v>86</v>
      </c>
      <c r="H1596">
        <v>36</v>
      </c>
      <c r="I1596">
        <v>32</v>
      </c>
      <c r="J1596">
        <v>112.5</v>
      </c>
      <c r="K1596" t="s">
        <v>246</v>
      </c>
      <c r="L1596">
        <v>35</v>
      </c>
      <c r="M1596">
        <v>4</v>
      </c>
      <c r="N1596">
        <v>0</v>
      </c>
      <c r="O1596">
        <v>16</v>
      </c>
      <c r="P1596">
        <v>2</v>
      </c>
      <c r="Q1596">
        <v>4</v>
      </c>
      <c r="R1596">
        <v>60</v>
      </c>
      <c r="S1596">
        <v>0</v>
      </c>
      <c r="T1596">
        <v>0</v>
      </c>
      <c r="U1596" s="8">
        <v>95</v>
      </c>
      <c r="V1596" s="8">
        <f t="shared" si="49"/>
        <v>10</v>
      </c>
      <c r="W1596" t="str">
        <f>_xlfn.XLOOKUP(A1596, Matches!A:A, Matches!L:L, "NA", 0)</f>
        <v>DCW</v>
      </c>
      <c r="X1596" t="str">
        <f>_xlfn.XLOOKUP(A1596, Matches!A:A, Matches!J:J, "NA", 0)</f>
        <v>DCW</v>
      </c>
      <c r="Y1596" t="str">
        <f>_xlfn.XLOOKUP(A1596, Matches!A:A, Matches!F:F, "NA", 0)</f>
        <v>Dr DY Patil Sports </v>
      </c>
      <c r="Z1596" cm="1">
        <f t="array" ref="Z1596">INDEX(Innings!F:F,MATCH(1,(TRIM(Innings!A:A)=TRIM(A1596))*(TRIM(Innings!D:D)=TRIM(E1596)),0))</f>
        <v>158</v>
      </c>
      <c r="AA1596" cm="1">
        <f t="array" ref="AA1596">INDEX(Innings!I:I,MATCH(1,(TRIM(Innings!A:A)=TRIM(A1596))*(TRIM(Innings!D:D)=TRIM(E1596)),0))</f>
        <v>7.9</v>
      </c>
      <c r="AB1596" cm="1">
        <f t="array" ref="AB1596">INDEX(Innings!J:J,MATCH(1,(TRIM(Innings!A:A)=TRIM(A1596))*(TRIM(Innings!D:D)=TRIM(E1596)),0))</f>
        <v>46</v>
      </c>
      <c r="AC1596" cm="1">
        <f t="array" ref="AC1596">INDEX(Innings!N:N,MATCH(1,(TRIM(Innings!A:A)=TRIM(A1596))*(TRIM(Innings!D:D)=TRIM(E1596)),0))</f>
        <v>30</v>
      </c>
      <c r="AD1596" cm="1">
        <f t="array" ref="AD1596">INDEX(Innings!S:S,MATCH(1,(TRIM(Innings!A:A)=TRIM(A1596))*(TRIM(Innings!D:D)=TRIM(E1596)),0))</f>
        <v>33</v>
      </c>
      <c r="AE1596" t="str" cm="1">
        <f t="array" ref="AE1596">INDEX(Innings!W:W,MATCH(1,(TRIM(Innings!A:A)=TRIM(A1596))*(TRIM(Innings!D:D)=TRIM(E1596)),0))</f>
        <v>Successful</v>
      </c>
      <c r="AF1596">
        <f>IF(UPPER(TRIM(E1596))=UPPER(TRIM(W1596)),1,0)</f>
        <v>1</v>
      </c>
      <c r="AG1596">
        <f t="shared" si="48"/>
        <v>70.5</v>
      </c>
    </row>
    <row r="1597" spans="1:33" x14ac:dyDescent="0.3">
      <c r="A1597" t="s">
        <v>607</v>
      </c>
      <c r="B1597">
        <v>4</v>
      </c>
      <c r="C1597" t="s">
        <v>531</v>
      </c>
      <c r="D1597" t="s">
        <v>636</v>
      </c>
      <c r="E1597" t="s">
        <v>158</v>
      </c>
      <c r="F1597" t="s">
        <v>85</v>
      </c>
      <c r="G1597" t="s">
        <v>86</v>
      </c>
      <c r="H1597">
        <v>67</v>
      </c>
      <c r="I1597">
        <v>44</v>
      </c>
      <c r="J1597">
        <v>152.27000000000001</v>
      </c>
      <c r="K1597" t="s">
        <v>246</v>
      </c>
      <c r="L1597">
        <v>85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 s="8">
        <v>85</v>
      </c>
      <c r="V1597" s="8">
        <f t="shared" si="49"/>
        <v>9</v>
      </c>
      <c r="W1597" t="str">
        <f>_xlfn.XLOOKUP(A1597, Matches!A:A, Matches!L:L, "NA", 0)</f>
        <v>DCW</v>
      </c>
      <c r="X1597" t="str">
        <f>_xlfn.XLOOKUP(A1597, Matches!A:A, Matches!J:J, "NA", 0)</f>
        <v>DCW</v>
      </c>
      <c r="Y1597" t="str">
        <f>_xlfn.XLOOKUP(A1597, Matches!A:A, Matches!F:F, "NA", 0)</f>
        <v>Dr DY Patil Sports </v>
      </c>
      <c r="Z1597" cm="1">
        <f t="array" ref="Z1597">INDEX(Innings!F:F,MATCH(1,(TRIM(Innings!A:A)=TRIM(A1597))*(TRIM(Innings!D:D)=TRIM(E1597)),0))</f>
        <v>158</v>
      </c>
      <c r="AA1597" cm="1">
        <f t="array" ref="AA1597">INDEX(Innings!I:I,MATCH(1,(TRIM(Innings!A:A)=TRIM(A1597))*(TRIM(Innings!D:D)=TRIM(E1597)),0))</f>
        <v>7.9</v>
      </c>
      <c r="AB1597" cm="1">
        <f t="array" ref="AB1597">INDEX(Innings!J:J,MATCH(1,(TRIM(Innings!A:A)=TRIM(A1597))*(TRIM(Innings!D:D)=TRIM(E1597)),0))</f>
        <v>46</v>
      </c>
      <c r="AC1597" cm="1">
        <f t="array" ref="AC1597">INDEX(Innings!N:N,MATCH(1,(TRIM(Innings!A:A)=TRIM(A1597))*(TRIM(Innings!D:D)=TRIM(E1597)),0))</f>
        <v>30</v>
      </c>
      <c r="AD1597" cm="1">
        <f t="array" ref="AD1597">INDEX(Innings!S:S,MATCH(1,(TRIM(Innings!A:A)=TRIM(A1597))*(TRIM(Innings!D:D)=TRIM(E1597)),0))</f>
        <v>33</v>
      </c>
      <c r="AE1597" t="str" cm="1">
        <f t="array" ref="AE1597">INDEX(Innings!W:W,MATCH(1,(TRIM(Innings!A:A)=TRIM(A1597))*(TRIM(Innings!D:D)=TRIM(E1597)),0))</f>
        <v>Successful</v>
      </c>
      <c r="AF1597">
        <f>IF(UPPER(TRIM(E1597))=UPPER(TRIM(W1597)),1,0)</f>
        <v>1</v>
      </c>
      <c r="AG1597">
        <f t="shared" si="48"/>
        <v>65.2</v>
      </c>
    </row>
    <row r="1598" spans="1:33" x14ac:dyDescent="0.3">
      <c r="A1598" t="s">
        <v>607</v>
      </c>
      <c r="B1598">
        <v>4</v>
      </c>
      <c r="C1598" t="s">
        <v>278</v>
      </c>
      <c r="D1598" t="s">
        <v>293</v>
      </c>
      <c r="E1598" t="s">
        <v>158</v>
      </c>
      <c r="F1598" t="s">
        <v>109</v>
      </c>
      <c r="G1598" t="s">
        <v>92</v>
      </c>
      <c r="H1598">
        <v>25</v>
      </c>
      <c r="I1598">
        <v>24</v>
      </c>
      <c r="J1598">
        <v>104.17</v>
      </c>
      <c r="K1598" t="s">
        <v>96</v>
      </c>
      <c r="L1598">
        <v>30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 s="8">
        <v>30</v>
      </c>
      <c r="V1598" s="8">
        <f t="shared" si="49"/>
        <v>3</v>
      </c>
      <c r="W1598" t="str">
        <f>_xlfn.XLOOKUP(A1598, Matches!A:A, Matches!L:L, "NA", 0)</f>
        <v>DCW</v>
      </c>
      <c r="X1598" t="str">
        <f>_xlfn.XLOOKUP(A1598, Matches!A:A, Matches!J:J, "NA", 0)</f>
        <v>DCW</v>
      </c>
      <c r="Y1598" t="str">
        <f>_xlfn.XLOOKUP(A1598, Matches!A:A, Matches!F:F, "NA", 0)</f>
        <v>Dr DY Patil Sports </v>
      </c>
      <c r="Z1598" cm="1">
        <f t="array" ref="Z1598">INDEX(Innings!F:F,MATCH(1,(TRIM(Innings!A:A)=TRIM(A1598))*(TRIM(Innings!D:D)=TRIM(E1598)),0))</f>
        <v>158</v>
      </c>
      <c r="AA1598" cm="1">
        <f t="array" ref="AA1598">INDEX(Innings!I:I,MATCH(1,(TRIM(Innings!A:A)=TRIM(A1598))*(TRIM(Innings!D:D)=TRIM(E1598)),0))</f>
        <v>7.9</v>
      </c>
      <c r="AB1598" cm="1">
        <f t="array" ref="AB1598">INDEX(Innings!J:J,MATCH(1,(TRIM(Innings!A:A)=TRIM(A1598))*(TRIM(Innings!D:D)=TRIM(E1598)),0))</f>
        <v>46</v>
      </c>
      <c r="AC1598" cm="1">
        <f t="array" ref="AC1598">INDEX(Innings!N:N,MATCH(1,(TRIM(Innings!A:A)=TRIM(A1598))*(TRIM(Innings!D:D)=TRIM(E1598)),0))</f>
        <v>30</v>
      </c>
      <c r="AD1598" cm="1">
        <f t="array" ref="AD1598">INDEX(Innings!S:S,MATCH(1,(TRIM(Innings!A:A)=TRIM(A1598))*(TRIM(Innings!D:D)=TRIM(E1598)),0))</f>
        <v>33</v>
      </c>
      <c r="AE1598" t="str" cm="1">
        <f t="array" ref="AE1598">INDEX(Innings!W:W,MATCH(1,(TRIM(Innings!A:A)=TRIM(A1598))*(TRIM(Innings!D:D)=TRIM(E1598)),0))</f>
        <v>Successful</v>
      </c>
      <c r="AF1598">
        <f>IF(UPPER(TRIM(E1598))=UPPER(TRIM(W1598)),1,0)</f>
        <v>1</v>
      </c>
      <c r="AG1598">
        <f t="shared" si="48"/>
        <v>35.9</v>
      </c>
    </row>
    <row r="1599" spans="1:33" x14ac:dyDescent="0.3">
      <c r="A1599" t="s">
        <v>607</v>
      </c>
      <c r="B1599">
        <v>4</v>
      </c>
      <c r="C1599" t="s">
        <v>194</v>
      </c>
      <c r="D1599" t="s">
        <v>195</v>
      </c>
      <c r="E1599" t="s">
        <v>158</v>
      </c>
      <c r="F1599" t="s">
        <v>109</v>
      </c>
      <c r="G1599" t="s">
        <v>92</v>
      </c>
      <c r="H1599">
        <v>21</v>
      </c>
      <c r="I1599">
        <v>14</v>
      </c>
      <c r="J1599">
        <v>150</v>
      </c>
      <c r="K1599" t="s">
        <v>246</v>
      </c>
      <c r="L1599">
        <v>30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 s="8">
        <v>30</v>
      </c>
      <c r="V1599" s="8">
        <f t="shared" si="49"/>
        <v>3</v>
      </c>
      <c r="W1599" t="str">
        <f>_xlfn.XLOOKUP(A1599, Matches!A:A, Matches!L:L, "NA", 0)</f>
        <v>DCW</v>
      </c>
      <c r="X1599" t="str">
        <f>_xlfn.XLOOKUP(A1599, Matches!A:A, Matches!J:J, "NA", 0)</f>
        <v>DCW</v>
      </c>
      <c r="Y1599" t="str">
        <f>_xlfn.XLOOKUP(A1599, Matches!A:A, Matches!F:F, "NA", 0)</f>
        <v>Dr DY Patil Sports </v>
      </c>
      <c r="Z1599" cm="1">
        <f t="array" ref="Z1599">INDEX(Innings!F:F,MATCH(1,(TRIM(Innings!A:A)=TRIM(A1599))*(TRIM(Innings!D:D)=TRIM(E1599)),0))</f>
        <v>158</v>
      </c>
      <c r="AA1599" cm="1">
        <f t="array" ref="AA1599">INDEX(Innings!I:I,MATCH(1,(TRIM(Innings!A:A)=TRIM(A1599))*(TRIM(Innings!D:D)=TRIM(E1599)),0))</f>
        <v>7.9</v>
      </c>
      <c r="AB1599" cm="1">
        <f t="array" ref="AB1599">INDEX(Innings!J:J,MATCH(1,(TRIM(Innings!A:A)=TRIM(A1599))*(TRIM(Innings!D:D)=TRIM(E1599)),0))</f>
        <v>46</v>
      </c>
      <c r="AC1599" cm="1">
        <f t="array" ref="AC1599">INDEX(Innings!N:N,MATCH(1,(TRIM(Innings!A:A)=TRIM(A1599))*(TRIM(Innings!D:D)=TRIM(E1599)),0))</f>
        <v>30</v>
      </c>
      <c r="AD1599" cm="1">
        <f t="array" ref="AD1599">INDEX(Innings!S:S,MATCH(1,(TRIM(Innings!A:A)=TRIM(A1599))*(TRIM(Innings!D:D)=TRIM(E1599)),0))</f>
        <v>33</v>
      </c>
      <c r="AE1599" t="str" cm="1">
        <f t="array" ref="AE1599">INDEX(Innings!W:W,MATCH(1,(TRIM(Innings!A:A)=TRIM(A1599))*(TRIM(Innings!D:D)=TRIM(E1599)),0))</f>
        <v>Successful</v>
      </c>
      <c r="AF1599">
        <f>IF(UPPER(TRIM(E1599))=UPPER(TRIM(W1599)),1,0)</f>
        <v>1</v>
      </c>
      <c r="AG1599">
        <f t="shared" si="48"/>
        <v>35.9</v>
      </c>
    </row>
    <row r="1600" spans="1:33" x14ac:dyDescent="0.3">
      <c r="A1600" t="s">
        <v>607</v>
      </c>
      <c r="B1600">
        <v>4</v>
      </c>
      <c r="C1600" t="s">
        <v>192</v>
      </c>
      <c r="D1600" t="s">
        <v>193</v>
      </c>
      <c r="E1600" t="s">
        <v>158</v>
      </c>
      <c r="F1600" t="s">
        <v>169</v>
      </c>
      <c r="G1600" t="s">
        <v>134</v>
      </c>
      <c r="H1600">
        <v>5</v>
      </c>
      <c r="I1600">
        <v>6</v>
      </c>
      <c r="J1600">
        <v>83.33</v>
      </c>
      <c r="K1600" t="s">
        <v>96</v>
      </c>
      <c r="L1600">
        <v>5</v>
      </c>
      <c r="M1600">
        <v>4</v>
      </c>
      <c r="N1600">
        <v>1</v>
      </c>
      <c r="O1600">
        <v>24</v>
      </c>
      <c r="P1600">
        <v>2</v>
      </c>
      <c r="Q1600">
        <v>6</v>
      </c>
      <c r="R1600">
        <v>60</v>
      </c>
      <c r="S1600">
        <v>0</v>
      </c>
      <c r="T1600">
        <v>0</v>
      </c>
      <c r="U1600" s="8">
        <v>65</v>
      </c>
      <c r="V1600" s="8">
        <f t="shared" si="49"/>
        <v>7</v>
      </c>
      <c r="W1600" t="str">
        <f>_xlfn.XLOOKUP(A1600, Matches!A:A, Matches!L:L, "NA", 0)</f>
        <v>DCW</v>
      </c>
      <c r="X1600" t="str">
        <f>_xlfn.XLOOKUP(A1600, Matches!A:A, Matches!J:J, "NA", 0)</f>
        <v>DCW</v>
      </c>
      <c r="Y1600" t="str">
        <f>_xlfn.XLOOKUP(A1600, Matches!A:A, Matches!F:F, "NA", 0)</f>
        <v>Dr DY Patil Sports </v>
      </c>
      <c r="Z1600" cm="1">
        <f t="array" ref="Z1600">INDEX(Innings!F:F,MATCH(1,(TRIM(Innings!A:A)=TRIM(A1600))*(TRIM(Innings!D:D)=TRIM(E1600)),0))</f>
        <v>158</v>
      </c>
      <c r="AA1600" cm="1">
        <f t="array" ref="AA1600">INDEX(Innings!I:I,MATCH(1,(TRIM(Innings!A:A)=TRIM(A1600))*(TRIM(Innings!D:D)=TRIM(E1600)),0))</f>
        <v>7.9</v>
      </c>
      <c r="AB1600" cm="1">
        <f t="array" ref="AB1600">INDEX(Innings!J:J,MATCH(1,(TRIM(Innings!A:A)=TRIM(A1600))*(TRIM(Innings!D:D)=TRIM(E1600)),0))</f>
        <v>46</v>
      </c>
      <c r="AC1600" cm="1">
        <f t="array" ref="AC1600">INDEX(Innings!N:N,MATCH(1,(TRIM(Innings!A:A)=TRIM(A1600))*(TRIM(Innings!D:D)=TRIM(E1600)),0))</f>
        <v>30</v>
      </c>
      <c r="AD1600" cm="1">
        <f t="array" ref="AD1600">INDEX(Innings!S:S,MATCH(1,(TRIM(Innings!A:A)=TRIM(A1600))*(TRIM(Innings!D:D)=TRIM(E1600)),0))</f>
        <v>33</v>
      </c>
      <c r="AE1600" t="str" cm="1">
        <f t="array" ref="AE1600">INDEX(Innings!W:W,MATCH(1,(TRIM(Innings!A:A)=TRIM(A1600))*(TRIM(Innings!D:D)=TRIM(E1600)),0))</f>
        <v>Successful</v>
      </c>
      <c r="AF1600">
        <f>IF(UPPER(TRIM(E1600))=UPPER(TRIM(W1600)),1,0)</f>
        <v>1</v>
      </c>
      <c r="AG1600">
        <f t="shared" ref="AG1600:AG1663" si="50">(0.5*MAX(0,U1600) + 0.3*MAX(0,V1600) + 0.2*AF1600*100)</f>
        <v>54.6</v>
      </c>
    </row>
    <row r="1601" spans="1:33" x14ac:dyDescent="0.3">
      <c r="A1601" t="s">
        <v>607</v>
      </c>
      <c r="B1601">
        <v>4</v>
      </c>
      <c r="C1601" t="s">
        <v>512</v>
      </c>
      <c r="D1601" t="s">
        <v>542</v>
      </c>
      <c r="E1601" t="s">
        <v>158</v>
      </c>
      <c r="F1601" t="s">
        <v>169</v>
      </c>
      <c r="G1601" t="s">
        <v>104</v>
      </c>
      <c r="H1601">
        <v>0</v>
      </c>
      <c r="I1601">
        <v>0</v>
      </c>
      <c r="J1601">
        <v>0</v>
      </c>
      <c r="K1601" t="s">
        <v>104</v>
      </c>
      <c r="L1601">
        <v>0</v>
      </c>
      <c r="M1601">
        <v>2</v>
      </c>
      <c r="N1601">
        <v>0</v>
      </c>
      <c r="O1601">
        <v>20</v>
      </c>
      <c r="P1601">
        <v>0</v>
      </c>
      <c r="Q1601">
        <v>10</v>
      </c>
      <c r="R1601">
        <v>-5</v>
      </c>
      <c r="S1601">
        <v>0</v>
      </c>
      <c r="T1601">
        <v>0</v>
      </c>
      <c r="U1601" s="8">
        <v>-5</v>
      </c>
      <c r="V1601" s="8">
        <f t="shared" si="49"/>
        <v>0</v>
      </c>
      <c r="W1601" t="str">
        <f>_xlfn.XLOOKUP(A1601, Matches!A:A, Matches!L:L, "NA", 0)</f>
        <v>DCW</v>
      </c>
      <c r="X1601" t="str">
        <f>_xlfn.XLOOKUP(A1601, Matches!A:A, Matches!J:J, "NA", 0)</f>
        <v>DCW</v>
      </c>
      <c r="Y1601" t="str">
        <f>_xlfn.XLOOKUP(A1601, Matches!A:A, Matches!F:F, "NA", 0)</f>
        <v>Dr DY Patil Sports </v>
      </c>
      <c r="Z1601" cm="1">
        <f t="array" ref="Z1601">INDEX(Innings!F:F,MATCH(1,(TRIM(Innings!A:A)=TRIM(A1601))*(TRIM(Innings!D:D)=TRIM(E1601)),0))</f>
        <v>158</v>
      </c>
      <c r="AA1601" cm="1">
        <f t="array" ref="AA1601">INDEX(Innings!I:I,MATCH(1,(TRIM(Innings!A:A)=TRIM(A1601))*(TRIM(Innings!D:D)=TRIM(E1601)),0))</f>
        <v>7.9</v>
      </c>
      <c r="AB1601" cm="1">
        <f t="array" ref="AB1601">INDEX(Innings!J:J,MATCH(1,(TRIM(Innings!A:A)=TRIM(A1601))*(TRIM(Innings!D:D)=TRIM(E1601)),0))</f>
        <v>46</v>
      </c>
      <c r="AC1601" cm="1">
        <f t="array" ref="AC1601">INDEX(Innings!N:N,MATCH(1,(TRIM(Innings!A:A)=TRIM(A1601))*(TRIM(Innings!D:D)=TRIM(E1601)),0))</f>
        <v>30</v>
      </c>
      <c r="AD1601" cm="1">
        <f t="array" ref="AD1601">INDEX(Innings!S:S,MATCH(1,(TRIM(Innings!A:A)=TRIM(A1601))*(TRIM(Innings!D:D)=TRIM(E1601)),0))</f>
        <v>33</v>
      </c>
      <c r="AE1601" t="str" cm="1">
        <f t="array" ref="AE1601">INDEX(Innings!W:W,MATCH(1,(TRIM(Innings!A:A)=TRIM(A1601))*(TRIM(Innings!D:D)=TRIM(E1601)),0))</f>
        <v>Successful</v>
      </c>
      <c r="AF1601">
        <f>IF(UPPER(TRIM(E1601))=UPPER(TRIM(W1601)),1,0)</f>
        <v>1</v>
      </c>
      <c r="AG1601">
        <f t="shared" si="50"/>
        <v>20</v>
      </c>
    </row>
    <row r="1602" spans="1:33" x14ac:dyDescent="0.3">
      <c r="A1602" t="s">
        <v>607</v>
      </c>
      <c r="B1602">
        <v>4</v>
      </c>
      <c r="C1602" t="s">
        <v>102</v>
      </c>
      <c r="D1602" t="s">
        <v>126</v>
      </c>
      <c r="E1602" t="s">
        <v>158</v>
      </c>
      <c r="F1602" t="s">
        <v>169</v>
      </c>
      <c r="G1602" t="s">
        <v>104</v>
      </c>
      <c r="H1602">
        <v>0</v>
      </c>
      <c r="I1602">
        <v>0</v>
      </c>
      <c r="J1602">
        <v>0</v>
      </c>
      <c r="K1602" t="s">
        <v>104</v>
      </c>
      <c r="L1602">
        <v>0</v>
      </c>
      <c r="M1602">
        <v>2</v>
      </c>
      <c r="N1602">
        <v>0</v>
      </c>
      <c r="O1602">
        <v>20</v>
      </c>
      <c r="P1602">
        <v>1</v>
      </c>
      <c r="Q1602">
        <v>10</v>
      </c>
      <c r="R1602">
        <v>25</v>
      </c>
      <c r="S1602">
        <v>0</v>
      </c>
      <c r="T1602">
        <v>0</v>
      </c>
      <c r="U1602" s="8">
        <v>25</v>
      </c>
      <c r="V1602" s="8">
        <f t="shared" si="49"/>
        <v>3</v>
      </c>
      <c r="W1602" t="str">
        <f>_xlfn.XLOOKUP(A1602, Matches!A:A, Matches!L:L, "NA", 0)</f>
        <v>DCW</v>
      </c>
      <c r="X1602" t="str">
        <f>_xlfn.XLOOKUP(A1602, Matches!A:A, Matches!J:J, "NA", 0)</f>
        <v>DCW</v>
      </c>
      <c r="Y1602" t="str">
        <f>_xlfn.XLOOKUP(A1602, Matches!A:A, Matches!F:F, "NA", 0)</f>
        <v>Dr DY Patil Sports </v>
      </c>
      <c r="Z1602" cm="1">
        <f t="array" ref="Z1602">INDEX(Innings!F:F,MATCH(1,(TRIM(Innings!A:A)=TRIM(A1602))*(TRIM(Innings!D:D)=TRIM(E1602)),0))</f>
        <v>158</v>
      </c>
      <c r="AA1602" cm="1">
        <f t="array" ref="AA1602">INDEX(Innings!I:I,MATCH(1,(TRIM(Innings!A:A)=TRIM(A1602))*(TRIM(Innings!D:D)=TRIM(E1602)),0))</f>
        <v>7.9</v>
      </c>
      <c r="AB1602" cm="1">
        <f t="array" ref="AB1602">INDEX(Innings!J:J,MATCH(1,(TRIM(Innings!A:A)=TRIM(A1602))*(TRIM(Innings!D:D)=TRIM(E1602)),0))</f>
        <v>46</v>
      </c>
      <c r="AC1602" cm="1">
        <f t="array" ref="AC1602">INDEX(Innings!N:N,MATCH(1,(TRIM(Innings!A:A)=TRIM(A1602))*(TRIM(Innings!D:D)=TRIM(E1602)),0))</f>
        <v>30</v>
      </c>
      <c r="AD1602" cm="1">
        <f t="array" ref="AD1602">INDEX(Innings!S:S,MATCH(1,(TRIM(Innings!A:A)=TRIM(A1602))*(TRIM(Innings!D:D)=TRIM(E1602)),0))</f>
        <v>33</v>
      </c>
      <c r="AE1602" t="str" cm="1">
        <f t="array" ref="AE1602">INDEX(Innings!W:W,MATCH(1,(TRIM(Innings!A:A)=TRIM(A1602))*(TRIM(Innings!D:D)=TRIM(E1602)),0))</f>
        <v>Successful</v>
      </c>
      <c r="AF1602">
        <f>IF(UPPER(TRIM(E1602))=UPPER(TRIM(W1602)),1,0)</f>
        <v>1</v>
      </c>
      <c r="AG1602">
        <f t="shared" si="50"/>
        <v>33.4</v>
      </c>
    </row>
    <row r="1603" spans="1:33" x14ac:dyDescent="0.3">
      <c r="A1603" t="s">
        <v>607</v>
      </c>
      <c r="B1603">
        <v>4</v>
      </c>
      <c r="C1603" t="s">
        <v>495</v>
      </c>
      <c r="D1603" t="s">
        <v>503</v>
      </c>
      <c r="E1603" t="s">
        <v>158</v>
      </c>
      <c r="F1603" t="s">
        <v>169</v>
      </c>
      <c r="G1603" t="s">
        <v>104</v>
      </c>
      <c r="H1603">
        <v>0</v>
      </c>
      <c r="I1603">
        <v>0</v>
      </c>
      <c r="J1603">
        <v>0</v>
      </c>
      <c r="K1603" t="s">
        <v>104</v>
      </c>
      <c r="L1603">
        <v>0</v>
      </c>
      <c r="M1603">
        <v>1</v>
      </c>
      <c r="N1603">
        <v>0</v>
      </c>
      <c r="O1603">
        <v>16</v>
      </c>
      <c r="P1603">
        <v>0</v>
      </c>
      <c r="Q1603">
        <v>16</v>
      </c>
      <c r="R1603">
        <v>-10</v>
      </c>
      <c r="S1603">
        <v>0</v>
      </c>
      <c r="T1603">
        <v>0</v>
      </c>
      <c r="U1603" s="8">
        <v>-10</v>
      </c>
      <c r="V1603" s="8">
        <f t="shared" ref="V1603:V1666" si="51">MIN(10, MAX(0, ROUND(U1603/10,0)))</f>
        <v>0</v>
      </c>
      <c r="W1603" t="str">
        <f>_xlfn.XLOOKUP(A1603, Matches!A:A, Matches!L:L, "NA", 0)</f>
        <v>DCW</v>
      </c>
      <c r="X1603" t="str">
        <f>_xlfn.XLOOKUP(A1603, Matches!A:A, Matches!J:J, "NA", 0)</f>
        <v>DCW</v>
      </c>
      <c r="Y1603" t="str">
        <f>_xlfn.XLOOKUP(A1603, Matches!A:A, Matches!F:F, "NA", 0)</f>
        <v>Dr DY Patil Sports </v>
      </c>
      <c r="Z1603" cm="1">
        <f t="array" ref="Z1603">INDEX(Innings!F:F,MATCH(1,(TRIM(Innings!A:A)=TRIM(A1603))*(TRIM(Innings!D:D)=TRIM(E1603)),0))</f>
        <v>158</v>
      </c>
      <c r="AA1603" cm="1">
        <f t="array" ref="AA1603">INDEX(Innings!I:I,MATCH(1,(TRIM(Innings!A:A)=TRIM(A1603))*(TRIM(Innings!D:D)=TRIM(E1603)),0))</f>
        <v>7.9</v>
      </c>
      <c r="AB1603" cm="1">
        <f t="array" ref="AB1603">INDEX(Innings!J:J,MATCH(1,(TRIM(Innings!A:A)=TRIM(A1603))*(TRIM(Innings!D:D)=TRIM(E1603)),0))</f>
        <v>46</v>
      </c>
      <c r="AC1603" cm="1">
        <f t="array" ref="AC1603">INDEX(Innings!N:N,MATCH(1,(TRIM(Innings!A:A)=TRIM(A1603))*(TRIM(Innings!D:D)=TRIM(E1603)),0))</f>
        <v>30</v>
      </c>
      <c r="AD1603" cm="1">
        <f t="array" ref="AD1603">INDEX(Innings!S:S,MATCH(1,(TRIM(Innings!A:A)=TRIM(A1603))*(TRIM(Innings!D:D)=TRIM(E1603)),0))</f>
        <v>33</v>
      </c>
      <c r="AE1603" t="str" cm="1">
        <f t="array" ref="AE1603">INDEX(Innings!W:W,MATCH(1,(TRIM(Innings!A:A)=TRIM(A1603))*(TRIM(Innings!D:D)=TRIM(E1603)),0))</f>
        <v>Successful</v>
      </c>
      <c r="AF1603">
        <f>IF(UPPER(TRIM(E1603))=UPPER(TRIM(W1603)),1,0)</f>
        <v>1</v>
      </c>
      <c r="AG1603">
        <f t="shared" si="50"/>
        <v>20</v>
      </c>
    </row>
    <row r="1604" spans="1:33" x14ac:dyDescent="0.3">
      <c r="A1604" t="s">
        <v>607</v>
      </c>
      <c r="B1604">
        <v>4</v>
      </c>
      <c r="C1604" t="s">
        <v>274</v>
      </c>
      <c r="D1604" t="s">
        <v>284</v>
      </c>
      <c r="E1604" t="s">
        <v>158</v>
      </c>
      <c r="F1604" t="s">
        <v>169</v>
      </c>
      <c r="G1604" t="s">
        <v>104</v>
      </c>
      <c r="H1604">
        <v>0</v>
      </c>
      <c r="I1604">
        <v>0</v>
      </c>
      <c r="J1604">
        <v>0</v>
      </c>
      <c r="K1604" t="s">
        <v>104</v>
      </c>
      <c r="L1604">
        <v>0</v>
      </c>
      <c r="M1604">
        <v>1</v>
      </c>
      <c r="N1604">
        <v>0</v>
      </c>
      <c r="O1604">
        <v>16</v>
      </c>
      <c r="P1604">
        <v>0</v>
      </c>
      <c r="Q1604">
        <v>16</v>
      </c>
      <c r="R1604">
        <v>-10</v>
      </c>
      <c r="S1604">
        <v>0</v>
      </c>
      <c r="T1604">
        <v>0</v>
      </c>
      <c r="U1604" s="8">
        <v>-10</v>
      </c>
      <c r="V1604" s="8">
        <f t="shared" si="51"/>
        <v>0</v>
      </c>
      <c r="W1604" t="str">
        <f>_xlfn.XLOOKUP(A1604, Matches!A:A, Matches!L:L, "NA", 0)</f>
        <v>DCW</v>
      </c>
      <c r="X1604" t="str">
        <f>_xlfn.XLOOKUP(A1604, Matches!A:A, Matches!J:J, "NA", 0)</f>
        <v>DCW</v>
      </c>
      <c r="Y1604" t="str">
        <f>_xlfn.XLOOKUP(A1604, Matches!A:A, Matches!F:F, "NA", 0)</f>
        <v>Dr DY Patil Sports </v>
      </c>
      <c r="Z1604" cm="1">
        <f t="array" ref="Z1604">INDEX(Innings!F:F,MATCH(1,(TRIM(Innings!A:A)=TRIM(A1604))*(TRIM(Innings!D:D)=TRIM(E1604)),0))</f>
        <v>158</v>
      </c>
      <c r="AA1604" cm="1">
        <f t="array" ref="AA1604">INDEX(Innings!I:I,MATCH(1,(TRIM(Innings!A:A)=TRIM(A1604))*(TRIM(Innings!D:D)=TRIM(E1604)),0))</f>
        <v>7.9</v>
      </c>
      <c r="AB1604" cm="1">
        <f t="array" ref="AB1604">INDEX(Innings!J:J,MATCH(1,(TRIM(Innings!A:A)=TRIM(A1604))*(TRIM(Innings!D:D)=TRIM(E1604)),0))</f>
        <v>46</v>
      </c>
      <c r="AC1604" cm="1">
        <f t="array" ref="AC1604">INDEX(Innings!N:N,MATCH(1,(TRIM(Innings!A:A)=TRIM(A1604))*(TRIM(Innings!D:D)=TRIM(E1604)),0))</f>
        <v>30</v>
      </c>
      <c r="AD1604" cm="1">
        <f t="array" ref="AD1604">INDEX(Innings!S:S,MATCH(1,(TRIM(Innings!A:A)=TRIM(A1604))*(TRIM(Innings!D:D)=TRIM(E1604)),0))</f>
        <v>33</v>
      </c>
      <c r="AE1604" t="str" cm="1">
        <f t="array" ref="AE1604">INDEX(Innings!W:W,MATCH(1,(TRIM(Innings!A:A)=TRIM(A1604))*(TRIM(Innings!D:D)=TRIM(E1604)),0))</f>
        <v>Successful</v>
      </c>
      <c r="AF1604">
        <f>IF(UPPER(TRIM(E1604))=UPPER(TRIM(W1604)),1,0)</f>
        <v>1</v>
      </c>
      <c r="AG1604">
        <f t="shared" si="50"/>
        <v>20</v>
      </c>
    </row>
    <row r="1605" spans="1:33" x14ac:dyDescent="0.3">
      <c r="A1605" t="s">
        <v>607</v>
      </c>
      <c r="B1605">
        <v>4</v>
      </c>
      <c r="C1605" t="s">
        <v>533</v>
      </c>
      <c r="D1605" t="s">
        <v>638</v>
      </c>
      <c r="E1605" t="s">
        <v>158</v>
      </c>
      <c r="F1605" t="s">
        <v>101</v>
      </c>
      <c r="G1605" t="s">
        <v>104</v>
      </c>
      <c r="H1605">
        <v>0</v>
      </c>
      <c r="I1605">
        <v>0</v>
      </c>
      <c r="J1605">
        <v>0</v>
      </c>
      <c r="K1605" t="s">
        <v>104</v>
      </c>
      <c r="L1605">
        <v>0</v>
      </c>
      <c r="M1605">
        <v>3</v>
      </c>
      <c r="N1605">
        <v>0</v>
      </c>
      <c r="O1605">
        <v>29</v>
      </c>
      <c r="P1605">
        <v>1</v>
      </c>
      <c r="Q1605">
        <v>9.6999999999999993</v>
      </c>
      <c r="R1605">
        <v>25</v>
      </c>
      <c r="S1605">
        <v>0</v>
      </c>
      <c r="T1605">
        <v>0</v>
      </c>
      <c r="U1605" s="8">
        <v>25</v>
      </c>
      <c r="V1605" s="8">
        <f t="shared" si="51"/>
        <v>3</v>
      </c>
      <c r="W1605" t="str">
        <f>_xlfn.XLOOKUP(A1605, Matches!A:A, Matches!L:L, "NA", 0)</f>
        <v>DCW</v>
      </c>
      <c r="X1605" t="str">
        <f>_xlfn.XLOOKUP(A1605, Matches!A:A, Matches!J:J, "NA", 0)</f>
        <v>DCW</v>
      </c>
      <c r="Y1605" t="str">
        <f>_xlfn.XLOOKUP(A1605, Matches!A:A, Matches!F:F, "NA", 0)</f>
        <v>Dr DY Patil Sports </v>
      </c>
      <c r="Z1605" cm="1">
        <f t="array" ref="Z1605">INDEX(Innings!F:F,MATCH(1,(TRIM(Innings!A:A)=TRIM(A1605))*(TRIM(Innings!D:D)=TRIM(E1605)),0))</f>
        <v>158</v>
      </c>
      <c r="AA1605" cm="1">
        <f t="array" ref="AA1605">INDEX(Innings!I:I,MATCH(1,(TRIM(Innings!A:A)=TRIM(A1605))*(TRIM(Innings!D:D)=TRIM(E1605)),0))</f>
        <v>7.9</v>
      </c>
      <c r="AB1605" cm="1">
        <f t="array" ref="AB1605">INDEX(Innings!J:J,MATCH(1,(TRIM(Innings!A:A)=TRIM(A1605))*(TRIM(Innings!D:D)=TRIM(E1605)),0))</f>
        <v>46</v>
      </c>
      <c r="AC1605" cm="1">
        <f t="array" ref="AC1605">INDEX(Innings!N:N,MATCH(1,(TRIM(Innings!A:A)=TRIM(A1605))*(TRIM(Innings!D:D)=TRIM(E1605)),0))</f>
        <v>30</v>
      </c>
      <c r="AD1605" cm="1">
        <f t="array" ref="AD1605">INDEX(Innings!S:S,MATCH(1,(TRIM(Innings!A:A)=TRIM(A1605))*(TRIM(Innings!D:D)=TRIM(E1605)),0))</f>
        <v>33</v>
      </c>
      <c r="AE1605" t="str" cm="1">
        <f t="array" ref="AE1605">INDEX(Innings!W:W,MATCH(1,(TRIM(Innings!A:A)=TRIM(A1605))*(TRIM(Innings!D:D)=TRIM(E1605)),0))</f>
        <v>Successful</v>
      </c>
      <c r="AF1605">
        <f>IF(UPPER(TRIM(E1605))=UPPER(TRIM(W1605)),1,0)</f>
        <v>1</v>
      </c>
      <c r="AG1605">
        <f t="shared" si="50"/>
        <v>33.4</v>
      </c>
    </row>
    <row r="1606" spans="1:33" x14ac:dyDescent="0.3">
      <c r="A1606" t="s">
        <v>607</v>
      </c>
      <c r="B1606">
        <v>4</v>
      </c>
      <c r="C1606" t="s">
        <v>532</v>
      </c>
      <c r="D1606" t="s">
        <v>637</v>
      </c>
      <c r="E1606" t="s">
        <v>158</v>
      </c>
      <c r="F1606" t="s">
        <v>101</v>
      </c>
      <c r="G1606" t="s">
        <v>104</v>
      </c>
      <c r="H1606">
        <v>0</v>
      </c>
      <c r="I1606">
        <v>0</v>
      </c>
      <c r="J1606">
        <v>0</v>
      </c>
      <c r="K1606" t="s">
        <v>104</v>
      </c>
      <c r="L1606">
        <v>0</v>
      </c>
      <c r="M1606">
        <v>4</v>
      </c>
      <c r="N1606">
        <v>0</v>
      </c>
      <c r="O1606">
        <v>29</v>
      </c>
      <c r="P1606">
        <v>1</v>
      </c>
      <c r="Q1606">
        <v>7.2</v>
      </c>
      <c r="R1606">
        <v>25</v>
      </c>
      <c r="S1606">
        <v>0</v>
      </c>
      <c r="T1606">
        <v>0</v>
      </c>
      <c r="U1606" s="8">
        <v>25</v>
      </c>
      <c r="V1606" s="8">
        <f t="shared" si="51"/>
        <v>3</v>
      </c>
      <c r="W1606" t="str">
        <f>_xlfn.XLOOKUP(A1606, Matches!A:A, Matches!L:L, "NA", 0)</f>
        <v>DCW</v>
      </c>
      <c r="X1606" t="str">
        <f>_xlfn.XLOOKUP(A1606, Matches!A:A, Matches!J:J, "NA", 0)</f>
        <v>DCW</v>
      </c>
      <c r="Y1606" t="str">
        <f>_xlfn.XLOOKUP(A1606, Matches!A:A, Matches!F:F, "NA", 0)</f>
        <v>Dr DY Patil Sports </v>
      </c>
      <c r="Z1606" cm="1">
        <f t="array" ref="Z1606">INDEX(Innings!F:F,MATCH(1,(TRIM(Innings!A:A)=TRIM(A1606))*(TRIM(Innings!D:D)=TRIM(E1606)),0))</f>
        <v>158</v>
      </c>
      <c r="AA1606" cm="1">
        <f t="array" ref="AA1606">INDEX(Innings!I:I,MATCH(1,(TRIM(Innings!A:A)=TRIM(A1606))*(TRIM(Innings!D:D)=TRIM(E1606)),0))</f>
        <v>7.9</v>
      </c>
      <c r="AB1606" cm="1">
        <f t="array" ref="AB1606">INDEX(Innings!J:J,MATCH(1,(TRIM(Innings!A:A)=TRIM(A1606))*(TRIM(Innings!D:D)=TRIM(E1606)),0))</f>
        <v>46</v>
      </c>
      <c r="AC1606" cm="1">
        <f t="array" ref="AC1606">INDEX(Innings!N:N,MATCH(1,(TRIM(Innings!A:A)=TRIM(A1606))*(TRIM(Innings!D:D)=TRIM(E1606)),0))</f>
        <v>30</v>
      </c>
      <c r="AD1606" cm="1">
        <f t="array" ref="AD1606">INDEX(Innings!S:S,MATCH(1,(TRIM(Innings!A:A)=TRIM(A1606))*(TRIM(Innings!D:D)=TRIM(E1606)),0))</f>
        <v>33</v>
      </c>
      <c r="AE1606" t="str" cm="1">
        <f t="array" ref="AE1606">INDEX(Innings!W:W,MATCH(1,(TRIM(Innings!A:A)=TRIM(A1606))*(TRIM(Innings!D:D)=TRIM(E1606)),0))</f>
        <v>Successful</v>
      </c>
      <c r="AF1606">
        <f>IF(UPPER(TRIM(E1606))=UPPER(TRIM(W1606)),1,0)</f>
        <v>1</v>
      </c>
      <c r="AG1606">
        <f t="shared" si="50"/>
        <v>33.4</v>
      </c>
    </row>
    <row r="1607" spans="1:33" x14ac:dyDescent="0.3">
      <c r="A1607" t="s">
        <v>608</v>
      </c>
      <c r="B1607">
        <v>4</v>
      </c>
      <c r="C1607" t="s">
        <v>190</v>
      </c>
      <c r="D1607" t="s">
        <v>191</v>
      </c>
      <c r="E1607" t="s">
        <v>219</v>
      </c>
      <c r="F1607" t="s">
        <v>109</v>
      </c>
      <c r="G1607" t="s">
        <v>86</v>
      </c>
      <c r="H1607">
        <v>25</v>
      </c>
      <c r="I1607">
        <v>26</v>
      </c>
      <c r="J1607">
        <v>96.15</v>
      </c>
      <c r="K1607" t="s">
        <v>246</v>
      </c>
      <c r="L1607">
        <v>25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 s="8">
        <v>25</v>
      </c>
      <c r="V1607" s="8">
        <f t="shared" si="51"/>
        <v>3</v>
      </c>
      <c r="W1607" t="str">
        <f>_xlfn.XLOOKUP(A1607, Matches!A:A, Matches!L:L, "NA", 0)</f>
        <v>UPW</v>
      </c>
      <c r="X1607" t="str">
        <f>_xlfn.XLOOKUP(A1607, Matches!A:A, Matches!J:J, "NA", 0)</f>
        <v>UPW</v>
      </c>
      <c r="Y1607" t="str">
        <f>_xlfn.XLOOKUP(A1607, Matches!A:A, Matches!F:F, "NA", 0)</f>
        <v>Dr DY Patil Sports </v>
      </c>
      <c r="Z1607" cm="1">
        <f t="array" ref="Z1607">INDEX(Innings!F:F,MATCH(1,(TRIM(Innings!A:A)=TRIM(A1607))*(TRIM(Innings!D:D)=TRIM(E1607)),0))</f>
        <v>162</v>
      </c>
      <c r="AA1607" cm="1">
        <f t="array" ref="AA1607">INDEX(Innings!I:I,MATCH(1,(TRIM(Innings!A:A)=TRIM(A1607))*(TRIM(Innings!D:D)=TRIM(E1607)),0))</f>
        <v>8.92</v>
      </c>
      <c r="AB1607" cm="1">
        <f t="array" ref="AB1607">INDEX(Innings!J:J,MATCH(1,(TRIM(Innings!A:A)=TRIM(A1607))*(TRIM(Innings!D:D)=TRIM(E1607)),0))</f>
        <v>42</v>
      </c>
      <c r="AC1607" cm="1">
        <f t="array" ref="AC1607">INDEX(Innings!N:N,MATCH(1,(TRIM(Innings!A:A)=TRIM(A1607))*(TRIM(Innings!D:D)=TRIM(E1607)),0))</f>
        <v>29</v>
      </c>
      <c r="AD1607" cm="1">
        <f t="array" ref="AD1607">INDEX(Innings!S:S,MATCH(1,(TRIM(Innings!A:A)=TRIM(A1607))*(TRIM(Innings!D:D)=TRIM(E1607)),0))</f>
        <v>35</v>
      </c>
      <c r="AE1607" t="str" cm="1">
        <f t="array" ref="AE1607">INDEX(Innings!W:W,MATCH(1,(TRIM(Innings!A:A)=TRIM(A1607))*(TRIM(Innings!D:D)=TRIM(E1607)),0))</f>
        <v>Successful</v>
      </c>
      <c r="AF1607">
        <f>IF(UPPER(TRIM(E1607))=UPPER(TRIM(W1607)),1,0)</f>
        <v>1</v>
      </c>
      <c r="AG1607">
        <f t="shared" si="50"/>
        <v>33.4</v>
      </c>
    </row>
    <row r="1608" spans="1:33" x14ac:dyDescent="0.3">
      <c r="A1608" t="s">
        <v>608</v>
      </c>
      <c r="B1608">
        <v>4</v>
      </c>
      <c r="C1608" t="s">
        <v>229</v>
      </c>
      <c r="D1608" t="s">
        <v>230</v>
      </c>
      <c r="E1608" t="s">
        <v>219</v>
      </c>
      <c r="F1608" t="s">
        <v>109</v>
      </c>
      <c r="G1608" t="s">
        <v>86</v>
      </c>
      <c r="H1608">
        <v>10</v>
      </c>
      <c r="I1608">
        <v>12</v>
      </c>
      <c r="J1608">
        <v>83.33</v>
      </c>
      <c r="K1608" t="s">
        <v>246</v>
      </c>
      <c r="L1608">
        <v>10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 s="8">
        <v>10</v>
      </c>
      <c r="V1608" s="8">
        <f t="shared" si="51"/>
        <v>1</v>
      </c>
      <c r="W1608" t="str">
        <f>_xlfn.XLOOKUP(A1608, Matches!A:A, Matches!L:L, "NA", 0)</f>
        <v>UPW</v>
      </c>
      <c r="X1608" t="str">
        <f>_xlfn.XLOOKUP(A1608, Matches!A:A, Matches!J:J, "NA", 0)</f>
        <v>UPW</v>
      </c>
      <c r="Y1608" t="str">
        <f>_xlfn.XLOOKUP(A1608, Matches!A:A, Matches!F:F, "NA", 0)</f>
        <v>Dr DY Patil Sports </v>
      </c>
      <c r="Z1608" cm="1">
        <f t="array" ref="Z1608">INDEX(Innings!F:F,MATCH(1,(TRIM(Innings!A:A)=TRIM(A1608))*(TRIM(Innings!D:D)=TRIM(E1608)),0))</f>
        <v>162</v>
      </c>
      <c r="AA1608" cm="1">
        <f t="array" ref="AA1608">INDEX(Innings!I:I,MATCH(1,(TRIM(Innings!A:A)=TRIM(A1608))*(TRIM(Innings!D:D)=TRIM(E1608)),0))</f>
        <v>8.92</v>
      </c>
      <c r="AB1608" cm="1">
        <f t="array" ref="AB1608">INDEX(Innings!J:J,MATCH(1,(TRIM(Innings!A:A)=TRIM(A1608))*(TRIM(Innings!D:D)=TRIM(E1608)),0))</f>
        <v>42</v>
      </c>
      <c r="AC1608" cm="1">
        <f t="array" ref="AC1608">INDEX(Innings!N:N,MATCH(1,(TRIM(Innings!A:A)=TRIM(A1608))*(TRIM(Innings!D:D)=TRIM(E1608)),0))</f>
        <v>29</v>
      </c>
      <c r="AD1608" cm="1">
        <f t="array" ref="AD1608">INDEX(Innings!S:S,MATCH(1,(TRIM(Innings!A:A)=TRIM(A1608))*(TRIM(Innings!D:D)=TRIM(E1608)),0))</f>
        <v>35</v>
      </c>
      <c r="AE1608" t="str" cm="1">
        <f t="array" ref="AE1608">INDEX(Innings!W:W,MATCH(1,(TRIM(Innings!A:A)=TRIM(A1608))*(TRIM(Innings!D:D)=TRIM(E1608)),0))</f>
        <v>Successful</v>
      </c>
      <c r="AF1608">
        <f>IF(UPPER(TRIM(E1608))=UPPER(TRIM(W1608)),1,0)</f>
        <v>1</v>
      </c>
      <c r="AG1608">
        <f t="shared" si="50"/>
        <v>25.3</v>
      </c>
    </row>
    <row r="1609" spans="1:33" x14ac:dyDescent="0.3">
      <c r="A1609" t="s">
        <v>608</v>
      </c>
      <c r="B1609">
        <v>4</v>
      </c>
      <c r="C1609" t="s">
        <v>383</v>
      </c>
      <c r="D1609" t="s">
        <v>384</v>
      </c>
      <c r="E1609" t="s">
        <v>219</v>
      </c>
      <c r="F1609" t="s">
        <v>109</v>
      </c>
      <c r="G1609" t="s">
        <v>92</v>
      </c>
      <c r="H1609">
        <v>25</v>
      </c>
      <c r="I1609">
        <v>22</v>
      </c>
      <c r="J1609">
        <v>113.64</v>
      </c>
      <c r="K1609" t="s">
        <v>246</v>
      </c>
      <c r="L1609">
        <v>25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 s="8">
        <v>25</v>
      </c>
      <c r="V1609" s="8">
        <f t="shared" si="51"/>
        <v>3</v>
      </c>
      <c r="W1609" t="str">
        <f>_xlfn.XLOOKUP(A1609, Matches!A:A, Matches!L:L, "NA", 0)</f>
        <v>UPW</v>
      </c>
      <c r="X1609" t="str">
        <f>_xlfn.XLOOKUP(A1609, Matches!A:A, Matches!J:J, "NA", 0)</f>
        <v>UPW</v>
      </c>
      <c r="Y1609" t="str">
        <f>_xlfn.XLOOKUP(A1609, Matches!A:A, Matches!F:F, "NA", 0)</f>
        <v>Dr DY Patil Sports </v>
      </c>
      <c r="Z1609" cm="1">
        <f t="array" ref="Z1609">INDEX(Innings!F:F,MATCH(1,(TRIM(Innings!A:A)=TRIM(A1609))*(TRIM(Innings!D:D)=TRIM(E1609)),0))</f>
        <v>162</v>
      </c>
      <c r="AA1609" cm="1">
        <f t="array" ref="AA1609">INDEX(Innings!I:I,MATCH(1,(TRIM(Innings!A:A)=TRIM(A1609))*(TRIM(Innings!D:D)=TRIM(E1609)),0))</f>
        <v>8.92</v>
      </c>
      <c r="AB1609" cm="1">
        <f t="array" ref="AB1609">INDEX(Innings!J:J,MATCH(1,(TRIM(Innings!A:A)=TRIM(A1609))*(TRIM(Innings!D:D)=TRIM(E1609)),0))</f>
        <v>42</v>
      </c>
      <c r="AC1609" cm="1">
        <f t="array" ref="AC1609">INDEX(Innings!N:N,MATCH(1,(TRIM(Innings!A:A)=TRIM(A1609))*(TRIM(Innings!D:D)=TRIM(E1609)),0))</f>
        <v>29</v>
      </c>
      <c r="AD1609" cm="1">
        <f t="array" ref="AD1609">INDEX(Innings!S:S,MATCH(1,(TRIM(Innings!A:A)=TRIM(A1609))*(TRIM(Innings!D:D)=TRIM(E1609)),0))</f>
        <v>35</v>
      </c>
      <c r="AE1609" t="str" cm="1">
        <f t="array" ref="AE1609">INDEX(Innings!W:W,MATCH(1,(TRIM(Innings!A:A)=TRIM(A1609))*(TRIM(Innings!D:D)=TRIM(E1609)),0))</f>
        <v>Successful</v>
      </c>
      <c r="AF1609">
        <f>IF(UPPER(TRIM(E1609))=UPPER(TRIM(W1609)),1,0)</f>
        <v>1</v>
      </c>
      <c r="AG1609">
        <f t="shared" si="50"/>
        <v>33.4</v>
      </c>
    </row>
    <row r="1610" spans="1:33" x14ac:dyDescent="0.3">
      <c r="A1610" t="s">
        <v>608</v>
      </c>
      <c r="B1610">
        <v>4</v>
      </c>
      <c r="C1610" t="s">
        <v>89</v>
      </c>
      <c r="D1610" t="s">
        <v>116</v>
      </c>
      <c r="E1610" t="s">
        <v>219</v>
      </c>
      <c r="F1610" t="s">
        <v>169</v>
      </c>
      <c r="G1610" t="s">
        <v>92</v>
      </c>
      <c r="H1610">
        <v>64</v>
      </c>
      <c r="I1610">
        <v>39</v>
      </c>
      <c r="J1610">
        <v>164.1</v>
      </c>
      <c r="K1610" t="s">
        <v>96</v>
      </c>
      <c r="L1610">
        <v>85</v>
      </c>
      <c r="M1610">
        <v>0.1</v>
      </c>
      <c r="N1610">
        <v>0</v>
      </c>
      <c r="O1610">
        <v>7</v>
      </c>
      <c r="P1610">
        <v>0</v>
      </c>
      <c r="Q1610">
        <v>42</v>
      </c>
      <c r="R1610">
        <v>-10</v>
      </c>
      <c r="S1610">
        <v>0</v>
      </c>
      <c r="T1610">
        <v>0</v>
      </c>
      <c r="U1610" s="8">
        <v>75</v>
      </c>
      <c r="V1610" s="8">
        <f t="shared" si="51"/>
        <v>8</v>
      </c>
      <c r="W1610" t="str">
        <f>_xlfn.XLOOKUP(A1610, Matches!A:A, Matches!L:L, "NA", 0)</f>
        <v>UPW</v>
      </c>
      <c r="X1610" t="str">
        <f>_xlfn.XLOOKUP(A1610, Matches!A:A, Matches!J:J, "NA", 0)</f>
        <v>UPW</v>
      </c>
      <c r="Y1610" t="str">
        <f>_xlfn.XLOOKUP(A1610, Matches!A:A, Matches!F:F, "NA", 0)</f>
        <v>Dr DY Patil Sports </v>
      </c>
      <c r="Z1610" cm="1">
        <f t="array" ref="Z1610">INDEX(Innings!F:F,MATCH(1,(TRIM(Innings!A:A)=TRIM(A1610))*(TRIM(Innings!D:D)=TRIM(E1610)),0))</f>
        <v>162</v>
      </c>
      <c r="AA1610" cm="1">
        <f t="array" ref="AA1610">INDEX(Innings!I:I,MATCH(1,(TRIM(Innings!A:A)=TRIM(A1610))*(TRIM(Innings!D:D)=TRIM(E1610)),0))</f>
        <v>8.92</v>
      </c>
      <c r="AB1610" cm="1">
        <f t="array" ref="AB1610">INDEX(Innings!J:J,MATCH(1,(TRIM(Innings!A:A)=TRIM(A1610))*(TRIM(Innings!D:D)=TRIM(E1610)),0))</f>
        <v>42</v>
      </c>
      <c r="AC1610" cm="1">
        <f t="array" ref="AC1610">INDEX(Innings!N:N,MATCH(1,(TRIM(Innings!A:A)=TRIM(A1610))*(TRIM(Innings!D:D)=TRIM(E1610)),0))</f>
        <v>29</v>
      </c>
      <c r="AD1610" cm="1">
        <f t="array" ref="AD1610">INDEX(Innings!S:S,MATCH(1,(TRIM(Innings!A:A)=TRIM(A1610))*(TRIM(Innings!D:D)=TRIM(E1610)),0))</f>
        <v>35</v>
      </c>
      <c r="AE1610" t="str" cm="1">
        <f t="array" ref="AE1610">INDEX(Innings!W:W,MATCH(1,(TRIM(Innings!A:A)=TRIM(A1610))*(TRIM(Innings!D:D)=TRIM(E1610)),0))</f>
        <v>Successful</v>
      </c>
      <c r="AF1610">
        <f>IF(UPPER(TRIM(E1610))=UPPER(TRIM(W1610)),1,0)</f>
        <v>1</v>
      </c>
      <c r="AG1610">
        <f t="shared" si="50"/>
        <v>59.9</v>
      </c>
    </row>
    <row r="1611" spans="1:33" x14ac:dyDescent="0.3">
      <c r="A1611" t="s">
        <v>608</v>
      </c>
      <c r="B1611">
        <v>4</v>
      </c>
      <c r="C1611" t="s">
        <v>578</v>
      </c>
      <c r="D1611" t="s">
        <v>652</v>
      </c>
      <c r="E1611" t="s">
        <v>219</v>
      </c>
      <c r="F1611" t="s">
        <v>169</v>
      </c>
      <c r="G1611" t="s">
        <v>134</v>
      </c>
      <c r="H1611">
        <v>27</v>
      </c>
      <c r="I1611">
        <v>11</v>
      </c>
      <c r="J1611">
        <v>245.45</v>
      </c>
      <c r="K1611" t="s">
        <v>96</v>
      </c>
      <c r="L1611">
        <v>45</v>
      </c>
      <c r="M1611">
        <v>1</v>
      </c>
      <c r="N1611">
        <v>0</v>
      </c>
      <c r="O1611">
        <v>16</v>
      </c>
      <c r="P1611">
        <v>0</v>
      </c>
      <c r="Q1611">
        <v>16</v>
      </c>
      <c r="R1611">
        <v>-10</v>
      </c>
      <c r="S1611">
        <v>0</v>
      </c>
      <c r="T1611">
        <v>0</v>
      </c>
      <c r="U1611" s="8">
        <v>35</v>
      </c>
      <c r="V1611" s="8">
        <f t="shared" si="51"/>
        <v>4</v>
      </c>
      <c r="W1611" t="str">
        <f>_xlfn.XLOOKUP(A1611, Matches!A:A, Matches!L:L, "NA", 0)</f>
        <v>UPW</v>
      </c>
      <c r="X1611" t="str">
        <f>_xlfn.XLOOKUP(A1611, Matches!A:A, Matches!J:J, "NA", 0)</f>
        <v>UPW</v>
      </c>
      <c r="Y1611" t="str">
        <f>_xlfn.XLOOKUP(A1611, Matches!A:A, Matches!F:F, "NA", 0)</f>
        <v>Dr DY Patil Sports </v>
      </c>
      <c r="Z1611" cm="1">
        <f t="array" ref="Z1611">INDEX(Innings!F:F,MATCH(1,(TRIM(Innings!A:A)=TRIM(A1611))*(TRIM(Innings!D:D)=TRIM(E1611)),0))</f>
        <v>162</v>
      </c>
      <c r="AA1611" cm="1">
        <f t="array" ref="AA1611">INDEX(Innings!I:I,MATCH(1,(TRIM(Innings!A:A)=TRIM(A1611))*(TRIM(Innings!D:D)=TRIM(E1611)),0))</f>
        <v>8.92</v>
      </c>
      <c r="AB1611" cm="1">
        <f t="array" ref="AB1611">INDEX(Innings!J:J,MATCH(1,(TRIM(Innings!A:A)=TRIM(A1611))*(TRIM(Innings!D:D)=TRIM(E1611)),0))</f>
        <v>42</v>
      </c>
      <c r="AC1611" cm="1">
        <f t="array" ref="AC1611">INDEX(Innings!N:N,MATCH(1,(TRIM(Innings!A:A)=TRIM(A1611))*(TRIM(Innings!D:D)=TRIM(E1611)),0))</f>
        <v>29</v>
      </c>
      <c r="AD1611" cm="1">
        <f t="array" ref="AD1611">INDEX(Innings!S:S,MATCH(1,(TRIM(Innings!A:A)=TRIM(A1611))*(TRIM(Innings!D:D)=TRIM(E1611)),0))</f>
        <v>35</v>
      </c>
      <c r="AE1611" t="str" cm="1">
        <f t="array" ref="AE1611">INDEX(Innings!W:W,MATCH(1,(TRIM(Innings!A:A)=TRIM(A1611))*(TRIM(Innings!D:D)=TRIM(E1611)),0))</f>
        <v>Successful</v>
      </c>
      <c r="AF1611">
        <f>IF(UPPER(TRIM(E1611))=UPPER(TRIM(W1611)),1,0)</f>
        <v>1</v>
      </c>
      <c r="AG1611">
        <f t="shared" si="50"/>
        <v>38.700000000000003</v>
      </c>
    </row>
    <row r="1612" spans="1:33" x14ac:dyDescent="0.3">
      <c r="A1612" t="s">
        <v>608</v>
      </c>
      <c r="B1612">
        <v>4</v>
      </c>
      <c r="C1612" t="s">
        <v>220</v>
      </c>
      <c r="D1612" t="s">
        <v>221</v>
      </c>
      <c r="E1612" t="s">
        <v>219</v>
      </c>
      <c r="F1612" t="s">
        <v>85</v>
      </c>
      <c r="G1612" t="s">
        <v>104</v>
      </c>
      <c r="H1612">
        <v>0</v>
      </c>
      <c r="I1612">
        <v>0</v>
      </c>
      <c r="J1612">
        <v>0</v>
      </c>
      <c r="K1612" t="s">
        <v>104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 s="8">
        <v>0</v>
      </c>
      <c r="V1612" s="8">
        <f t="shared" si="51"/>
        <v>0</v>
      </c>
      <c r="W1612" t="str">
        <f>_xlfn.XLOOKUP(A1612, Matches!A:A, Matches!L:L, "NA", 0)</f>
        <v>UPW</v>
      </c>
      <c r="X1612" t="str">
        <f>_xlfn.XLOOKUP(A1612, Matches!A:A, Matches!J:J, "NA", 0)</f>
        <v>UPW</v>
      </c>
      <c r="Y1612" t="str">
        <f>_xlfn.XLOOKUP(A1612, Matches!A:A, Matches!F:F, "NA", 0)</f>
        <v>Dr DY Patil Sports </v>
      </c>
      <c r="Z1612" cm="1">
        <f t="array" ref="Z1612">INDEX(Innings!F:F,MATCH(1,(TRIM(Innings!A:A)=TRIM(A1612))*(TRIM(Innings!D:D)=TRIM(E1612)),0))</f>
        <v>162</v>
      </c>
      <c r="AA1612" cm="1">
        <f t="array" ref="AA1612">INDEX(Innings!I:I,MATCH(1,(TRIM(Innings!A:A)=TRIM(A1612))*(TRIM(Innings!D:D)=TRIM(E1612)),0))</f>
        <v>8.92</v>
      </c>
      <c r="AB1612" cm="1">
        <f t="array" ref="AB1612">INDEX(Innings!J:J,MATCH(1,(TRIM(Innings!A:A)=TRIM(A1612))*(TRIM(Innings!D:D)=TRIM(E1612)),0))</f>
        <v>42</v>
      </c>
      <c r="AC1612" cm="1">
        <f t="array" ref="AC1612">INDEX(Innings!N:N,MATCH(1,(TRIM(Innings!A:A)=TRIM(A1612))*(TRIM(Innings!D:D)=TRIM(E1612)),0))</f>
        <v>29</v>
      </c>
      <c r="AD1612" cm="1">
        <f t="array" ref="AD1612">INDEX(Innings!S:S,MATCH(1,(TRIM(Innings!A:A)=TRIM(A1612))*(TRIM(Innings!D:D)=TRIM(E1612)),0))</f>
        <v>35</v>
      </c>
      <c r="AE1612" t="str" cm="1">
        <f t="array" ref="AE1612">INDEX(Innings!W:W,MATCH(1,(TRIM(Innings!A:A)=TRIM(A1612))*(TRIM(Innings!D:D)=TRIM(E1612)),0))</f>
        <v>Successful</v>
      </c>
      <c r="AF1612">
        <f>IF(UPPER(TRIM(E1612))=UPPER(TRIM(W1612)),1,0)</f>
        <v>1</v>
      </c>
      <c r="AG1612">
        <f t="shared" si="50"/>
        <v>20</v>
      </c>
    </row>
    <row r="1613" spans="1:33" x14ac:dyDescent="0.3">
      <c r="A1613" t="s">
        <v>608</v>
      </c>
      <c r="B1613">
        <v>4</v>
      </c>
      <c r="C1613" t="s">
        <v>224</v>
      </c>
      <c r="D1613" t="s">
        <v>225</v>
      </c>
      <c r="E1613" t="s">
        <v>219</v>
      </c>
      <c r="F1613" t="s">
        <v>169</v>
      </c>
      <c r="G1613" t="s">
        <v>104</v>
      </c>
      <c r="H1613">
        <v>0</v>
      </c>
      <c r="I1613">
        <v>0</v>
      </c>
      <c r="J1613">
        <v>0</v>
      </c>
      <c r="K1613" t="s">
        <v>104</v>
      </c>
      <c r="L1613">
        <v>0</v>
      </c>
      <c r="M1613">
        <v>4</v>
      </c>
      <c r="N1613">
        <v>0</v>
      </c>
      <c r="O1613">
        <v>31</v>
      </c>
      <c r="P1613">
        <v>1</v>
      </c>
      <c r="Q1613">
        <v>7.8</v>
      </c>
      <c r="R1613">
        <v>25</v>
      </c>
      <c r="S1613">
        <v>0</v>
      </c>
      <c r="T1613">
        <v>0</v>
      </c>
      <c r="U1613" s="8">
        <v>25</v>
      </c>
      <c r="V1613" s="8">
        <f t="shared" si="51"/>
        <v>3</v>
      </c>
      <c r="W1613" t="str">
        <f>_xlfn.XLOOKUP(A1613, Matches!A:A, Matches!L:L, "NA", 0)</f>
        <v>UPW</v>
      </c>
      <c r="X1613" t="str">
        <f>_xlfn.XLOOKUP(A1613, Matches!A:A, Matches!J:J, "NA", 0)</f>
        <v>UPW</v>
      </c>
      <c r="Y1613" t="str">
        <f>_xlfn.XLOOKUP(A1613, Matches!A:A, Matches!F:F, "NA", 0)</f>
        <v>Dr DY Patil Sports </v>
      </c>
      <c r="Z1613" cm="1">
        <f t="array" ref="Z1613">INDEX(Innings!F:F,MATCH(1,(TRIM(Innings!A:A)=TRIM(A1613))*(TRIM(Innings!D:D)=TRIM(E1613)),0))</f>
        <v>162</v>
      </c>
      <c r="AA1613" cm="1">
        <f t="array" ref="AA1613">INDEX(Innings!I:I,MATCH(1,(TRIM(Innings!A:A)=TRIM(A1613))*(TRIM(Innings!D:D)=TRIM(E1613)),0))</f>
        <v>8.92</v>
      </c>
      <c r="AB1613" cm="1">
        <f t="array" ref="AB1613">INDEX(Innings!J:J,MATCH(1,(TRIM(Innings!A:A)=TRIM(A1613))*(TRIM(Innings!D:D)=TRIM(E1613)),0))</f>
        <v>42</v>
      </c>
      <c r="AC1613" cm="1">
        <f t="array" ref="AC1613">INDEX(Innings!N:N,MATCH(1,(TRIM(Innings!A:A)=TRIM(A1613))*(TRIM(Innings!D:D)=TRIM(E1613)),0))</f>
        <v>29</v>
      </c>
      <c r="AD1613" cm="1">
        <f t="array" ref="AD1613">INDEX(Innings!S:S,MATCH(1,(TRIM(Innings!A:A)=TRIM(A1613))*(TRIM(Innings!D:D)=TRIM(E1613)),0))</f>
        <v>35</v>
      </c>
      <c r="AE1613" t="str" cm="1">
        <f t="array" ref="AE1613">INDEX(Innings!W:W,MATCH(1,(TRIM(Innings!A:A)=TRIM(A1613))*(TRIM(Innings!D:D)=TRIM(E1613)),0))</f>
        <v>Successful</v>
      </c>
      <c r="AF1613">
        <f>IF(UPPER(TRIM(E1613))=UPPER(TRIM(W1613)),1,0)</f>
        <v>1</v>
      </c>
      <c r="AG1613">
        <f t="shared" si="50"/>
        <v>33.4</v>
      </c>
    </row>
    <row r="1614" spans="1:33" x14ac:dyDescent="0.3">
      <c r="A1614" t="s">
        <v>608</v>
      </c>
      <c r="B1614">
        <v>4</v>
      </c>
      <c r="C1614" t="s">
        <v>233</v>
      </c>
      <c r="D1614" t="s">
        <v>234</v>
      </c>
      <c r="E1614" t="s">
        <v>219</v>
      </c>
      <c r="F1614" t="s">
        <v>101</v>
      </c>
      <c r="G1614" t="s">
        <v>104</v>
      </c>
      <c r="H1614">
        <v>0</v>
      </c>
      <c r="I1614">
        <v>0</v>
      </c>
      <c r="J1614">
        <v>0</v>
      </c>
      <c r="K1614" t="s">
        <v>104</v>
      </c>
      <c r="L1614">
        <v>0</v>
      </c>
      <c r="M1614">
        <v>4</v>
      </c>
      <c r="N1614">
        <v>0</v>
      </c>
      <c r="O1614">
        <v>26</v>
      </c>
      <c r="P1614">
        <v>1</v>
      </c>
      <c r="Q1614">
        <v>6.5</v>
      </c>
      <c r="R1614">
        <v>25</v>
      </c>
      <c r="S1614">
        <v>0</v>
      </c>
      <c r="T1614">
        <v>0</v>
      </c>
      <c r="U1614" s="8">
        <v>25</v>
      </c>
      <c r="V1614" s="8">
        <f t="shared" si="51"/>
        <v>3</v>
      </c>
      <c r="W1614" t="str">
        <f>_xlfn.XLOOKUP(A1614, Matches!A:A, Matches!L:L, "NA", 0)</f>
        <v>UPW</v>
      </c>
      <c r="X1614" t="str">
        <f>_xlfn.XLOOKUP(A1614, Matches!A:A, Matches!J:J, "NA", 0)</f>
        <v>UPW</v>
      </c>
      <c r="Y1614" t="str">
        <f>_xlfn.XLOOKUP(A1614, Matches!A:A, Matches!F:F, "NA", 0)</f>
        <v>Dr DY Patil Sports </v>
      </c>
      <c r="Z1614" cm="1">
        <f t="array" ref="Z1614">INDEX(Innings!F:F,MATCH(1,(TRIM(Innings!A:A)=TRIM(A1614))*(TRIM(Innings!D:D)=TRIM(E1614)),0))</f>
        <v>162</v>
      </c>
      <c r="AA1614" cm="1">
        <f t="array" ref="AA1614">INDEX(Innings!I:I,MATCH(1,(TRIM(Innings!A:A)=TRIM(A1614))*(TRIM(Innings!D:D)=TRIM(E1614)),0))</f>
        <v>8.92</v>
      </c>
      <c r="AB1614" cm="1">
        <f t="array" ref="AB1614">INDEX(Innings!J:J,MATCH(1,(TRIM(Innings!A:A)=TRIM(A1614))*(TRIM(Innings!D:D)=TRIM(E1614)),0))</f>
        <v>42</v>
      </c>
      <c r="AC1614" cm="1">
        <f t="array" ref="AC1614">INDEX(Innings!N:N,MATCH(1,(TRIM(Innings!A:A)=TRIM(A1614))*(TRIM(Innings!D:D)=TRIM(E1614)),0))</f>
        <v>29</v>
      </c>
      <c r="AD1614" cm="1">
        <f t="array" ref="AD1614">INDEX(Innings!S:S,MATCH(1,(TRIM(Innings!A:A)=TRIM(A1614))*(TRIM(Innings!D:D)=TRIM(E1614)),0))</f>
        <v>35</v>
      </c>
      <c r="AE1614" t="str" cm="1">
        <f t="array" ref="AE1614">INDEX(Innings!W:W,MATCH(1,(TRIM(Innings!A:A)=TRIM(A1614))*(TRIM(Innings!D:D)=TRIM(E1614)),0))</f>
        <v>Successful</v>
      </c>
      <c r="AF1614">
        <f>IF(UPPER(TRIM(E1614))=UPPER(TRIM(W1614)),1,0)</f>
        <v>1</v>
      </c>
      <c r="AG1614">
        <f t="shared" si="50"/>
        <v>33.4</v>
      </c>
    </row>
    <row r="1615" spans="1:33" x14ac:dyDescent="0.3">
      <c r="A1615" t="s">
        <v>608</v>
      </c>
      <c r="B1615">
        <v>4</v>
      </c>
      <c r="C1615" t="s">
        <v>180</v>
      </c>
      <c r="D1615" t="s">
        <v>181</v>
      </c>
      <c r="E1615" t="s">
        <v>219</v>
      </c>
      <c r="F1615" t="s">
        <v>101</v>
      </c>
      <c r="G1615" t="s">
        <v>104</v>
      </c>
      <c r="H1615">
        <v>0</v>
      </c>
      <c r="I1615">
        <v>0</v>
      </c>
      <c r="J1615">
        <v>0</v>
      </c>
      <c r="K1615" t="s">
        <v>104</v>
      </c>
      <c r="L1615">
        <v>0</v>
      </c>
      <c r="M1615">
        <v>3</v>
      </c>
      <c r="N1615">
        <v>0</v>
      </c>
      <c r="O1615">
        <v>33</v>
      </c>
      <c r="P1615">
        <v>1</v>
      </c>
      <c r="Q1615">
        <v>11</v>
      </c>
      <c r="R1615">
        <v>-10</v>
      </c>
      <c r="S1615">
        <v>0</v>
      </c>
      <c r="T1615">
        <v>0</v>
      </c>
      <c r="U1615" s="8">
        <v>-10</v>
      </c>
      <c r="V1615" s="8">
        <f t="shared" si="51"/>
        <v>0</v>
      </c>
      <c r="W1615" t="str">
        <f>_xlfn.XLOOKUP(A1615, Matches!A:A, Matches!L:L, "NA", 0)</f>
        <v>UPW</v>
      </c>
      <c r="X1615" t="str">
        <f>_xlfn.XLOOKUP(A1615, Matches!A:A, Matches!J:J, "NA", 0)</f>
        <v>UPW</v>
      </c>
      <c r="Y1615" t="str">
        <f>_xlfn.XLOOKUP(A1615, Matches!A:A, Matches!F:F, "NA", 0)</f>
        <v>Dr DY Patil Sports </v>
      </c>
      <c r="Z1615" cm="1">
        <f t="array" ref="Z1615">INDEX(Innings!F:F,MATCH(1,(TRIM(Innings!A:A)=TRIM(A1615))*(TRIM(Innings!D:D)=TRIM(E1615)),0))</f>
        <v>162</v>
      </c>
      <c r="AA1615" cm="1">
        <f t="array" ref="AA1615">INDEX(Innings!I:I,MATCH(1,(TRIM(Innings!A:A)=TRIM(A1615))*(TRIM(Innings!D:D)=TRIM(E1615)),0))</f>
        <v>8.92</v>
      </c>
      <c r="AB1615" cm="1">
        <f t="array" ref="AB1615">INDEX(Innings!J:J,MATCH(1,(TRIM(Innings!A:A)=TRIM(A1615))*(TRIM(Innings!D:D)=TRIM(E1615)),0))</f>
        <v>42</v>
      </c>
      <c r="AC1615" cm="1">
        <f t="array" ref="AC1615">INDEX(Innings!N:N,MATCH(1,(TRIM(Innings!A:A)=TRIM(A1615))*(TRIM(Innings!D:D)=TRIM(E1615)),0))</f>
        <v>29</v>
      </c>
      <c r="AD1615" cm="1">
        <f t="array" ref="AD1615">INDEX(Innings!S:S,MATCH(1,(TRIM(Innings!A:A)=TRIM(A1615))*(TRIM(Innings!D:D)=TRIM(E1615)),0))</f>
        <v>35</v>
      </c>
      <c r="AE1615" t="str" cm="1">
        <f t="array" ref="AE1615">INDEX(Innings!W:W,MATCH(1,(TRIM(Innings!A:A)=TRIM(A1615))*(TRIM(Innings!D:D)=TRIM(E1615)),0))</f>
        <v>Successful</v>
      </c>
      <c r="AF1615">
        <f>IF(UPPER(TRIM(E1615))=UPPER(TRIM(W1615)),1,0)</f>
        <v>1</v>
      </c>
      <c r="AG1615">
        <f t="shared" si="50"/>
        <v>20</v>
      </c>
    </row>
    <row r="1616" spans="1:33" x14ac:dyDescent="0.3">
      <c r="A1616" t="s">
        <v>608</v>
      </c>
      <c r="B1616">
        <v>4</v>
      </c>
      <c r="C1616" t="s">
        <v>204</v>
      </c>
      <c r="D1616" t="s">
        <v>205</v>
      </c>
      <c r="E1616" t="s">
        <v>219</v>
      </c>
      <c r="F1616" t="s">
        <v>169</v>
      </c>
      <c r="G1616" t="s">
        <v>104</v>
      </c>
      <c r="H1616">
        <v>0</v>
      </c>
      <c r="I1616">
        <v>0</v>
      </c>
      <c r="J1616">
        <v>0</v>
      </c>
      <c r="K1616" t="s">
        <v>104</v>
      </c>
      <c r="L1616">
        <v>0</v>
      </c>
      <c r="M1616">
        <v>4</v>
      </c>
      <c r="N1616">
        <v>0</v>
      </c>
      <c r="O1616">
        <v>25</v>
      </c>
      <c r="P1616">
        <v>1</v>
      </c>
      <c r="Q1616">
        <v>6.2</v>
      </c>
      <c r="R1616">
        <v>25</v>
      </c>
      <c r="S1616">
        <v>0</v>
      </c>
      <c r="T1616">
        <v>0</v>
      </c>
      <c r="U1616" s="8">
        <v>25</v>
      </c>
      <c r="V1616" s="8">
        <f t="shared" si="51"/>
        <v>3</v>
      </c>
      <c r="W1616" t="str">
        <f>_xlfn.XLOOKUP(A1616, Matches!A:A, Matches!L:L, "NA", 0)</f>
        <v>UPW</v>
      </c>
      <c r="X1616" t="str">
        <f>_xlfn.XLOOKUP(A1616, Matches!A:A, Matches!J:J, "NA", 0)</f>
        <v>UPW</v>
      </c>
      <c r="Y1616" t="str">
        <f>_xlfn.XLOOKUP(A1616, Matches!A:A, Matches!F:F, "NA", 0)</f>
        <v>Dr DY Patil Sports </v>
      </c>
      <c r="Z1616" cm="1">
        <f t="array" ref="Z1616">INDEX(Innings!F:F,MATCH(1,(TRIM(Innings!A:A)=TRIM(A1616))*(TRIM(Innings!D:D)=TRIM(E1616)),0))</f>
        <v>162</v>
      </c>
      <c r="AA1616" cm="1">
        <f t="array" ref="AA1616">INDEX(Innings!I:I,MATCH(1,(TRIM(Innings!A:A)=TRIM(A1616))*(TRIM(Innings!D:D)=TRIM(E1616)),0))</f>
        <v>8.92</v>
      </c>
      <c r="AB1616" cm="1">
        <f t="array" ref="AB1616">INDEX(Innings!J:J,MATCH(1,(TRIM(Innings!A:A)=TRIM(A1616))*(TRIM(Innings!D:D)=TRIM(E1616)),0))</f>
        <v>42</v>
      </c>
      <c r="AC1616" cm="1">
        <f t="array" ref="AC1616">INDEX(Innings!N:N,MATCH(1,(TRIM(Innings!A:A)=TRIM(A1616))*(TRIM(Innings!D:D)=TRIM(E1616)),0))</f>
        <v>29</v>
      </c>
      <c r="AD1616" cm="1">
        <f t="array" ref="AD1616">INDEX(Innings!S:S,MATCH(1,(TRIM(Innings!A:A)=TRIM(A1616))*(TRIM(Innings!D:D)=TRIM(E1616)),0))</f>
        <v>35</v>
      </c>
      <c r="AE1616" t="str" cm="1">
        <f t="array" ref="AE1616">INDEX(Innings!W:W,MATCH(1,(TRIM(Innings!A:A)=TRIM(A1616))*(TRIM(Innings!D:D)=TRIM(E1616)),0))</f>
        <v>Successful</v>
      </c>
      <c r="AF1616">
        <f>IF(UPPER(TRIM(E1616))=UPPER(TRIM(W1616)),1,0)</f>
        <v>1</v>
      </c>
      <c r="AG1616">
        <f t="shared" si="50"/>
        <v>33.4</v>
      </c>
    </row>
    <row r="1617" spans="1:33" x14ac:dyDescent="0.3">
      <c r="A1617" t="s">
        <v>608</v>
      </c>
      <c r="B1617">
        <v>4</v>
      </c>
      <c r="C1617" t="s">
        <v>509</v>
      </c>
      <c r="D1617" t="s">
        <v>523</v>
      </c>
      <c r="E1617" t="s">
        <v>219</v>
      </c>
      <c r="F1617" t="s">
        <v>101</v>
      </c>
      <c r="G1617" t="s">
        <v>104</v>
      </c>
      <c r="H1617">
        <v>0</v>
      </c>
      <c r="I1617">
        <v>0</v>
      </c>
      <c r="J1617">
        <v>0</v>
      </c>
      <c r="K1617" t="s">
        <v>104</v>
      </c>
      <c r="L1617">
        <v>0</v>
      </c>
      <c r="M1617">
        <v>4</v>
      </c>
      <c r="N1617">
        <v>0</v>
      </c>
      <c r="O1617">
        <v>28</v>
      </c>
      <c r="P1617">
        <v>0</v>
      </c>
      <c r="Q1617">
        <v>7</v>
      </c>
      <c r="R1617">
        <v>5</v>
      </c>
      <c r="S1617">
        <v>0</v>
      </c>
      <c r="T1617">
        <v>0</v>
      </c>
      <c r="U1617" s="8">
        <v>5</v>
      </c>
      <c r="V1617" s="8">
        <f t="shared" si="51"/>
        <v>1</v>
      </c>
      <c r="W1617" t="str">
        <f>_xlfn.XLOOKUP(A1617, Matches!A:A, Matches!L:L, "NA", 0)</f>
        <v>UPW</v>
      </c>
      <c r="X1617" t="str">
        <f>_xlfn.XLOOKUP(A1617, Matches!A:A, Matches!J:J, "NA", 0)</f>
        <v>UPW</v>
      </c>
      <c r="Y1617" t="str">
        <f>_xlfn.XLOOKUP(A1617, Matches!A:A, Matches!F:F, "NA", 0)</f>
        <v>Dr DY Patil Sports </v>
      </c>
      <c r="Z1617" cm="1">
        <f t="array" ref="Z1617">INDEX(Innings!F:F,MATCH(1,(TRIM(Innings!A:A)=TRIM(A1617))*(TRIM(Innings!D:D)=TRIM(E1617)),0))</f>
        <v>162</v>
      </c>
      <c r="AA1617" cm="1">
        <f t="array" ref="AA1617">INDEX(Innings!I:I,MATCH(1,(TRIM(Innings!A:A)=TRIM(A1617))*(TRIM(Innings!D:D)=TRIM(E1617)),0))</f>
        <v>8.92</v>
      </c>
      <c r="AB1617" cm="1">
        <f t="array" ref="AB1617">INDEX(Innings!J:J,MATCH(1,(TRIM(Innings!A:A)=TRIM(A1617))*(TRIM(Innings!D:D)=TRIM(E1617)),0))</f>
        <v>42</v>
      </c>
      <c r="AC1617" cm="1">
        <f t="array" ref="AC1617">INDEX(Innings!N:N,MATCH(1,(TRIM(Innings!A:A)=TRIM(A1617))*(TRIM(Innings!D:D)=TRIM(E1617)),0))</f>
        <v>29</v>
      </c>
      <c r="AD1617" cm="1">
        <f t="array" ref="AD1617">INDEX(Innings!S:S,MATCH(1,(TRIM(Innings!A:A)=TRIM(A1617))*(TRIM(Innings!D:D)=TRIM(E1617)),0))</f>
        <v>35</v>
      </c>
      <c r="AE1617" t="str" cm="1">
        <f t="array" ref="AE1617">INDEX(Innings!W:W,MATCH(1,(TRIM(Innings!A:A)=TRIM(A1617))*(TRIM(Innings!D:D)=TRIM(E1617)),0))</f>
        <v>Successful</v>
      </c>
      <c r="AF1617">
        <f>IF(UPPER(TRIM(E1617))=UPPER(TRIM(W1617)),1,0)</f>
        <v>1</v>
      </c>
      <c r="AG1617">
        <f t="shared" si="50"/>
        <v>22.8</v>
      </c>
    </row>
    <row r="1618" spans="1:33" x14ac:dyDescent="0.3">
      <c r="A1618" t="s">
        <v>608</v>
      </c>
      <c r="B1618">
        <v>4</v>
      </c>
      <c r="C1618" t="s">
        <v>121</v>
      </c>
      <c r="D1618" t="s">
        <v>108</v>
      </c>
      <c r="E1618" t="s">
        <v>266</v>
      </c>
      <c r="F1618" t="s">
        <v>169</v>
      </c>
      <c r="G1618" t="s">
        <v>86</v>
      </c>
      <c r="H1618">
        <v>38</v>
      </c>
      <c r="I1618">
        <v>33</v>
      </c>
      <c r="J1618">
        <v>115.15</v>
      </c>
      <c r="K1618" t="s">
        <v>246</v>
      </c>
      <c r="L1618">
        <v>40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 s="8">
        <v>40</v>
      </c>
      <c r="V1618" s="8">
        <f t="shared" si="51"/>
        <v>4</v>
      </c>
      <c r="W1618" t="str">
        <f>_xlfn.XLOOKUP(A1618, Matches!A:A, Matches!L:L, "NA", 0)</f>
        <v>UPW</v>
      </c>
      <c r="X1618" t="str">
        <f>_xlfn.XLOOKUP(A1618, Matches!A:A, Matches!J:J, "NA", 0)</f>
        <v>UPW</v>
      </c>
      <c r="Y1618" t="str">
        <f>_xlfn.XLOOKUP(A1618, Matches!A:A, Matches!F:F, "NA", 0)</f>
        <v>Dr DY Patil Sports </v>
      </c>
      <c r="Z1618" cm="1">
        <f t="array" ref="Z1618">INDEX(Innings!F:F,MATCH(1,(TRIM(Innings!A:A)=TRIM(A1618))*(TRIM(Innings!D:D)=TRIM(E1618)),0))</f>
        <v>161</v>
      </c>
      <c r="AA1618" cm="1">
        <f t="array" ref="AA1618">INDEX(Innings!I:I,MATCH(1,(TRIM(Innings!A:A)=TRIM(A1618))*(TRIM(Innings!D:D)=TRIM(E1618)),0))</f>
        <v>8.0500000000000007</v>
      </c>
      <c r="AB1618" cm="1">
        <f t="array" ref="AB1618">INDEX(Innings!J:J,MATCH(1,(TRIM(Innings!A:A)=TRIM(A1618))*(TRIM(Innings!D:D)=TRIM(E1618)),0))</f>
        <v>32</v>
      </c>
      <c r="AC1618" cm="1">
        <f t="array" ref="AC1618">INDEX(Innings!N:N,MATCH(1,(TRIM(Innings!A:A)=TRIM(A1618))*(TRIM(Innings!D:D)=TRIM(E1618)),0))</f>
        <v>42</v>
      </c>
      <c r="AD1618" cm="1">
        <f t="array" ref="AD1618">INDEX(Innings!S:S,MATCH(1,(TRIM(Innings!A:A)=TRIM(A1618))*(TRIM(Innings!D:D)=TRIM(E1618)),0))</f>
        <v>34</v>
      </c>
      <c r="AE1618" t="str" cm="1">
        <f t="array" ref="AE1618">INDEX(Innings!W:W,MATCH(1,(TRIM(Innings!A:A)=TRIM(A1618))*(TRIM(Innings!D:D)=TRIM(E1618)),0))</f>
        <v>NA</v>
      </c>
      <c r="AF1618">
        <f>IF(UPPER(TRIM(E1618))=UPPER(TRIM(W1618)),1,0)</f>
        <v>0</v>
      </c>
      <c r="AG1618">
        <f t="shared" si="50"/>
        <v>21.2</v>
      </c>
    </row>
    <row r="1619" spans="1:33" x14ac:dyDescent="0.3">
      <c r="A1619" t="s">
        <v>608</v>
      </c>
      <c r="B1619">
        <v>4</v>
      </c>
      <c r="C1619" t="s">
        <v>576</v>
      </c>
      <c r="D1619" t="s">
        <v>648</v>
      </c>
      <c r="E1619" t="s">
        <v>266</v>
      </c>
      <c r="F1619" t="s">
        <v>85</v>
      </c>
      <c r="G1619" t="s">
        <v>86</v>
      </c>
      <c r="H1619">
        <v>5</v>
      </c>
      <c r="I1619">
        <v>12</v>
      </c>
      <c r="J1619">
        <v>41.67</v>
      </c>
      <c r="K1619" t="s">
        <v>246</v>
      </c>
      <c r="L1619">
        <v>5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 s="8">
        <v>5</v>
      </c>
      <c r="V1619" s="8">
        <f t="shared" si="51"/>
        <v>1</v>
      </c>
      <c r="W1619" t="str">
        <f>_xlfn.XLOOKUP(A1619, Matches!A:A, Matches!L:L, "NA", 0)</f>
        <v>UPW</v>
      </c>
      <c r="X1619" t="str">
        <f>_xlfn.XLOOKUP(A1619, Matches!A:A, Matches!J:J, "NA", 0)</f>
        <v>UPW</v>
      </c>
      <c r="Y1619" t="str">
        <f>_xlfn.XLOOKUP(A1619, Matches!A:A, Matches!F:F, "NA", 0)</f>
        <v>Dr DY Patil Sports </v>
      </c>
      <c r="Z1619" cm="1">
        <f t="array" ref="Z1619">INDEX(Innings!F:F,MATCH(1,(TRIM(Innings!A:A)=TRIM(A1619))*(TRIM(Innings!D:D)=TRIM(E1619)),0))</f>
        <v>161</v>
      </c>
      <c r="AA1619" cm="1">
        <f t="array" ref="AA1619">INDEX(Innings!I:I,MATCH(1,(TRIM(Innings!A:A)=TRIM(A1619))*(TRIM(Innings!D:D)=TRIM(E1619)),0))</f>
        <v>8.0500000000000007</v>
      </c>
      <c r="AB1619" cm="1">
        <f t="array" ref="AB1619">INDEX(Innings!J:J,MATCH(1,(TRIM(Innings!A:A)=TRIM(A1619))*(TRIM(Innings!D:D)=TRIM(E1619)),0))</f>
        <v>32</v>
      </c>
      <c r="AC1619" cm="1">
        <f t="array" ref="AC1619">INDEX(Innings!N:N,MATCH(1,(TRIM(Innings!A:A)=TRIM(A1619))*(TRIM(Innings!D:D)=TRIM(E1619)),0))</f>
        <v>42</v>
      </c>
      <c r="AD1619" cm="1">
        <f t="array" ref="AD1619">INDEX(Innings!S:S,MATCH(1,(TRIM(Innings!A:A)=TRIM(A1619))*(TRIM(Innings!D:D)=TRIM(E1619)),0))</f>
        <v>34</v>
      </c>
      <c r="AE1619" t="str" cm="1">
        <f t="array" ref="AE1619">INDEX(Innings!W:W,MATCH(1,(TRIM(Innings!A:A)=TRIM(A1619))*(TRIM(Innings!D:D)=TRIM(E1619)),0))</f>
        <v>NA</v>
      </c>
      <c r="AF1619">
        <f>IF(UPPER(TRIM(E1619))=UPPER(TRIM(W1619)),1,0)</f>
        <v>0</v>
      </c>
      <c r="AG1619">
        <f t="shared" si="50"/>
        <v>2.8</v>
      </c>
    </row>
    <row r="1620" spans="1:33" x14ac:dyDescent="0.3">
      <c r="A1620" t="s">
        <v>608</v>
      </c>
      <c r="B1620">
        <v>4</v>
      </c>
      <c r="C1620" t="s">
        <v>117</v>
      </c>
      <c r="D1620" t="s">
        <v>90</v>
      </c>
      <c r="E1620" t="s">
        <v>266</v>
      </c>
      <c r="F1620" t="s">
        <v>169</v>
      </c>
      <c r="G1620" t="s">
        <v>92</v>
      </c>
      <c r="H1620">
        <v>65</v>
      </c>
      <c r="I1620">
        <v>43</v>
      </c>
      <c r="J1620">
        <v>151.16</v>
      </c>
      <c r="K1620" t="s">
        <v>246</v>
      </c>
      <c r="L1620">
        <v>85</v>
      </c>
      <c r="M1620">
        <v>3</v>
      </c>
      <c r="N1620">
        <v>0</v>
      </c>
      <c r="O1620">
        <v>28</v>
      </c>
      <c r="P1620">
        <v>2</v>
      </c>
      <c r="Q1620">
        <v>9.3000000000000007</v>
      </c>
      <c r="R1620">
        <v>50</v>
      </c>
      <c r="S1620">
        <v>0</v>
      </c>
      <c r="T1620">
        <v>0</v>
      </c>
      <c r="U1620" s="8">
        <v>135</v>
      </c>
      <c r="V1620" s="8">
        <f t="shared" si="51"/>
        <v>10</v>
      </c>
      <c r="W1620" t="str">
        <f>_xlfn.XLOOKUP(A1620, Matches!A:A, Matches!L:L, "NA", 0)</f>
        <v>UPW</v>
      </c>
      <c r="X1620" t="str">
        <f>_xlfn.XLOOKUP(A1620, Matches!A:A, Matches!J:J, "NA", 0)</f>
        <v>UPW</v>
      </c>
      <c r="Y1620" t="str">
        <f>_xlfn.XLOOKUP(A1620, Matches!A:A, Matches!F:F, "NA", 0)</f>
        <v>Dr DY Patil Sports </v>
      </c>
      <c r="Z1620" cm="1">
        <f t="array" ref="Z1620">INDEX(Innings!F:F,MATCH(1,(TRIM(Innings!A:A)=TRIM(A1620))*(TRIM(Innings!D:D)=TRIM(E1620)),0))</f>
        <v>161</v>
      </c>
      <c r="AA1620" cm="1">
        <f t="array" ref="AA1620">INDEX(Innings!I:I,MATCH(1,(TRIM(Innings!A:A)=TRIM(A1620))*(TRIM(Innings!D:D)=TRIM(E1620)),0))</f>
        <v>8.0500000000000007</v>
      </c>
      <c r="AB1620" cm="1">
        <f t="array" ref="AB1620">INDEX(Innings!J:J,MATCH(1,(TRIM(Innings!A:A)=TRIM(A1620))*(TRIM(Innings!D:D)=TRIM(E1620)),0))</f>
        <v>32</v>
      </c>
      <c r="AC1620" cm="1">
        <f t="array" ref="AC1620">INDEX(Innings!N:N,MATCH(1,(TRIM(Innings!A:A)=TRIM(A1620))*(TRIM(Innings!D:D)=TRIM(E1620)),0))</f>
        <v>42</v>
      </c>
      <c r="AD1620" cm="1">
        <f t="array" ref="AD1620">INDEX(Innings!S:S,MATCH(1,(TRIM(Innings!A:A)=TRIM(A1620))*(TRIM(Innings!D:D)=TRIM(E1620)),0))</f>
        <v>34</v>
      </c>
      <c r="AE1620" t="str" cm="1">
        <f t="array" ref="AE1620">INDEX(Innings!W:W,MATCH(1,(TRIM(Innings!A:A)=TRIM(A1620))*(TRIM(Innings!D:D)=TRIM(E1620)),0))</f>
        <v>NA</v>
      </c>
      <c r="AF1620">
        <f>IF(UPPER(TRIM(E1620))=UPPER(TRIM(W1620)),1,0)</f>
        <v>0</v>
      </c>
      <c r="AG1620">
        <f t="shared" si="50"/>
        <v>70.5</v>
      </c>
    </row>
    <row r="1621" spans="1:33" x14ac:dyDescent="0.3">
      <c r="A1621" t="s">
        <v>608</v>
      </c>
      <c r="B1621">
        <v>4</v>
      </c>
      <c r="C1621" t="s">
        <v>115</v>
      </c>
      <c r="D1621" t="s">
        <v>17</v>
      </c>
      <c r="E1621" t="s">
        <v>266</v>
      </c>
      <c r="F1621" t="s">
        <v>169</v>
      </c>
      <c r="G1621" t="s">
        <v>134</v>
      </c>
      <c r="H1621">
        <v>16</v>
      </c>
      <c r="I1621">
        <v>11</v>
      </c>
      <c r="J1621">
        <v>145.44999999999999</v>
      </c>
      <c r="K1621" t="s">
        <v>246</v>
      </c>
      <c r="L1621">
        <v>20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 s="8">
        <v>20</v>
      </c>
      <c r="V1621" s="8">
        <f t="shared" si="51"/>
        <v>2</v>
      </c>
      <c r="W1621" t="str">
        <f>_xlfn.XLOOKUP(A1621, Matches!A:A, Matches!L:L, "NA", 0)</f>
        <v>UPW</v>
      </c>
      <c r="X1621" t="str">
        <f>_xlfn.XLOOKUP(A1621, Matches!A:A, Matches!J:J, "NA", 0)</f>
        <v>UPW</v>
      </c>
      <c r="Y1621" t="str">
        <f>_xlfn.XLOOKUP(A1621, Matches!A:A, Matches!F:F, "NA", 0)</f>
        <v>Dr DY Patil Sports </v>
      </c>
      <c r="Z1621" cm="1">
        <f t="array" ref="Z1621">INDEX(Innings!F:F,MATCH(1,(TRIM(Innings!A:A)=TRIM(A1621))*(TRIM(Innings!D:D)=TRIM(E1621)),0))</f>
        <v>161</v>
      </c>
      <c r="AA1621" cm="1">
        <f t="array" ref="AA1621">INDEX(Innings!I:I,MATCH(1,(TRIM(Innings!A:A)=TRIM(A1621))*(TRIM(Innings!D:D)=TRIM(E1621)),0))</f>
        <v>8.0500000000000007</v>
      </c>
      <c r="AB1621" cm="1">
        <f t="array" ref="AB1621">INDEX(Innings!J:J,MATCH(1,(TRIM(Innings!A:A)=TRIM(A1621))*(TRIM(Innings!D:D)=TRIM(E1621)),0))</f>
        <v>32</v>
      </c>
      <c r="AC1621" cm="1">
        <f t="array" ref="AC1621">INDEX(Innings!N:N,MATCH(1,(TRIM(Innings!A:A)=TRIM(A1621))*(TRIM(Innings!D:D)=TRIM(E1621)),0))</f>
        <v>42</v>
      </c>
      <c r="AD1621" cm="1">
        <f t="array" ref="AD1621">INDEX(Innings!S:S,MATCH(1,(TRIM(Innings!A:A)=TRIM(A1621))*(TRIM(Innings!D:D)=TRIM(E1621)),0))</f>
        <v>34</v>
      </c>
      <c r="AE1621" t="str" cm="1">
        <f t="array" ref="AE1621">INDEX(Innings!W:W,MATCH(1,(TRIM(Innings!A:A)=TRIM(A1621))*(TRIM(Innings!D:D)=TRIM(E1621)),0))</f>
        <v>NA</v>
      </c>
      <c r="AF1621">
        <f>IF(UPPER(TRIM(E1621))=UPPER(TRIM(W1621)),1,0)</f>
        <v>0</v>
      </c>
      <c r="AG1621">
        <f t="shared" si="50"/>
        <v>10.6</v>
      </c>
    </row>
    <row r="1622" spans="1:33" x14ac:dyDescent="0.3">
      <c r="A1622" t="s">
        <v>608</v>
      </c>
      <c r="B1622">
        <v>4</v>
      </c>
      <c r="C1622" t="s">
        <v>517</v>
      </c>
      <c r="D1622" t="s">
        <v>626</v>
      </c>
      <c r="E1622" t="s">
        <v>266</v>
      </c>
      <c r="F1622" t="s">
        <v>169</v>
      </c>
      <c r="G1622" t="s">
        <v>134</v>
      </c>
      <c r="H1622">
        <v>32</v>
      </c>
      <c r="I1622">
        <v>20</v>
      </c>
      <c r="J1622">
        <v>160</v>
      </c>
      <c r="K1622" t="s">
        <v>96</v>
      </c>
      <c r="L1622">
        <v>45</v>
      </c>
      <c r="M1622">
        <v>3</v>
      </c>
      <c r="N1622">
        <v>0</v>
      </c>
      <c r="O1622">
        <v>19</v>
      </c>
      <c r="P1622">
        <v>0</v>
      </c>
      <c r="Q1622">
        <v>6.3</v>
      </c>
      <c r="R1622">
        <v>10</v>
      </c>
      <c r="S1622">
        <v>0</v>
      </c>
      <c r="T1622">
        <v>0</v>
      </c>
      <c r="U1622" s="8">
        <v>55</v>
      </c>
      <c r="V1622" s="8">
        <f t="shared" si="51"/>
        <v>6</v>
      </c>
      <c r="W1622" t="str">
        <f>_xlfn.XLOOKUP(A1622, Matches!A:A, Matches!L:L, "NA", 0)</f>
        <v>UPW</v>
      </c>
      <c r="X1622" t="str">
        <f>_xlfn.XLOOKUP(A1622, Matches!A:A, Matches!J:J, "NA", 0)</f>
        <v>UPW</v>
      </c>
      <c r="Y1622" t="str">
        <f>_xlfn.XLOOKUP(A1622, Matches!A:A, Matches!F:F, "NA", 0)</f>
        <v>Dr DY Patil Sports </v>
      </c>
      <c r="Z1622" cm="1">
        <f t="array" ref="Z1622">INDEX(Innings!F:F,MATCH(1,(TRIM(Innings!A:A)=TRIM(A1622))*(TRIM(Innings!D:D)=TRIM(E1622)),0))</f>
        <v>161</v>
      </c>
      <c r="AA1622" cm="1">
        <f t="array" ref="AA1622">INDEX(Innings!I:I,MATCH(1,(TRIM(Innings!A:A)=TRIM(A1622))*(TRIM(Innings!D:D)=TRIM(E1622)),0))</f>
        <v>8.0500000000000007</v>
      </c>
      <c r="AB1622" cm="1">
        <f t="array" ref="AB1622">INDEX(Innings!J:J,MATCH(1,(TRIM(Innings!A:A)=TRIM(A1622))*(TRIM(Innings!D:D)=TRIM(E1622)),0))</f>
        <v>32</v>
      </c>
      <c r="AC1622" cm="1">
        <f t="array" ref="AC1622">INDEX(Innings!N:N,MATCH(1,(TRIM(Innings!A:A)=TRIM(A1622))*(TRIM(Innings!D:D)=TRIM(E1622)),0))</f>
        <v>42</v>
      </c>
      <c r="AD1622" cm="1">
        <f t="array" ref="AD1622">INDEX(Innings!S:S,MATCH(1,(TRIM(Innings!A:A)=TRIM(A1622))*(TRIM(Innings!D:D)=TRIM(E1622)),0))</f>
        <v>34</v>
      </c>
      <c r="AE1622" t="str" cm="1">
        <f t="array" ref="AE1622">INDEX(Innings!W:W,MATCH(1,(TRIM(Innings!A:A)=TRIM(A1622))*(TRIM(Innings!D:D)=TRIM(E1622)),0))</f>
        <v>NA</v>
      </c>
      <c r="AF1622">
        <f>IF(UPPER(TRIM(E1622))=UPPER(TRIM(W1622)),1,0)</f>
        <v>0</v>
      </c>
      <c r="AG1622">
        <f t="shared" si="50"/>
        <v>29.3</v>
      </c>
    </row>
    <row r="1623" spans="1:33" x14ac:dyDescent="0.3">
      <c r="A1623" t="s">
        <v>608</v>
      </c>
      <c r="B1623">
        <v>4</v>
      </c>
      <c r="C1623" t="s">
        <v>347</v>
      </c>
      <c r="D1623" t="s">
        <v>348</v>
      </c>
      <c r="E1623" t="s">
        <v>266</v>
      </c>
      <c r="F1623" t="s">
        <v>169</v>
      </c>
      <c r="G1623" t="s">
        <v>134</v>
      </c>
      <c r="H1623">
        <v>1</v>
      </c>
      <c r="I1623">
        <v>2</v>
      </c>
      <c r="J1623">
        <v>50</v>
      </c>
      <c r="K1623" t="s">
        <v>256</v>
      </c>
      <c r="L1623">
        <v>1</v>
      </c>
      <c r="M1623">
        <v>0.1</v>
      </c>
      <c r="N1623">
        <v>0</v>
      </c>
      <c r="O1623">
        <v>7</v>
      </c>
      <c r="P1623">
        <v>0</v>
      </c>
      <c r="Q1623">
        <v>42</v>
      </c>
      <c r="R1623">
        <v>-10</v>
      </c>
      <c r="S1623">
        <v>0</v>
      </c>
      <c r="T1623">
        <v>0</v>
      </c>
      <c r="U1623" s="8">
        <v>-9</v>
      </c>
      <c r="V1623" s="8">
        <f t="shared" si="51"/>
        <v>0</v>
      </c>
      <c r="W1623" t="str">
        <f>_xlfn.XLOOKUP(A1623, Matches!A:A, Matches!L:L, "NA", 0)</f>
        <v>UPW</v>
      </c>
      <c r="X1623" t="str">
        <f>_xlfn.XLOOKUP(A1623, Matches!A:A, Matches!J:J, "NA", 0)</f>
        <v>UPW</v>
      </c>
      <c r="Y1623" t="str">
        <f>_xlfn.XLOOKUP(A1623, Matches!A:A, Matches!F:F, "NA", 0)</f>
        <v>Dr DY Patil Sports </v>
      </c>
      <c r="Z1623" cm="1">
        <f t="array" ref="Z1623">INDEX(Innings!F:F,MATCH(1,(TRIM(Innings!A:A)=TRIM(A1623))*(TRIM(Innings!D:D)=TRIM(E1623)),0))</f>
        <v>161</v>
      </c>
      <c r="AA1623" cm="1">
        <f t="array" ref="AA1623">INDEX(Innings!I:I,MATCH(1,(TRIM(Innings!A:A)=TRIM(A1623))*(TRIM(Innings!D:D)=TRIM(E1623)),0))</f>
        <v>8.0500000000000007</v>
      </c>
      <c r="AB1623" cm="1">
        <f t="array" ref="AB1623">INDEX(Innings!J:J,MATCH(1,(TRIM(Innings!A:A)=TRIM(A1623))*(TRIM(Innings!D:D)=TRIM(E1623)),0))</f>
        <v>32</v>
      </c>
      <c r="AC1623" cm="1">
        <f t="array" ref="AC1623">INDEX(Innings!N:N,MATCH(1,(TRIM(Innings!A:A)=TRIM(A1623))*(TRIM(Innings!D:D)=TRIM(E1623)),0))</f>
        <v>42</v>
      </c>
      <c r="AD1623" cm="1">
        <f t="array" ref="AD1623">INDEX(Innings!S:S,MATCH(1,(TRIM(Innings!A:A)=TRIM(A1623))*(TRIM(Innings!D:D)=TRIM(E1623)),0))</f>
        <v>34</v>
      </c>
      <c r="AE1623" t="str" cm="1">
        <f t="array" ref="AE1623">INDEX(Innings!W:W,MATCH(1,(TRIM(Innings!A:A)=TRIM(A1623))*(TRIM(Innings!D:D)=TRIM(E1623)),0))</f>
        <v>NA</v>
      </c>
      <c r="AF1623">
        <f>IF(UPPER(TRIM(E1623))=UPPER(TRIM(W1623)),1,0)</f>
        <v>0</v>
      </c>
      <c r="AG1623">
        <f t="shared" si="50"/>
        <v>0</v>
      </c>
    </row>
    <row r="1624" spans="1:33" x14ac:dyDescent="0.3">
      <c r="A1624" t="s">
        <v>608</v>
      </c>
      <c r="B1624">
        <v>4</v>
      </c>
      <c r="C1624" t="s">
        <v>119</v>
      </c>
      <c r="D1624" t="s">
        <v>95</v>
      </c>
      <c r="E1624" t="s">
        <v>266</v>
      </c>
      <c r="F1624" t="s">
        <v>169</v>
      </c>
      <c r="G1624" t="s">
        <v>104</v>
      </c>
      <c r="H1624">
        <v>0</v>
      </c>
      <c r="I1624">
        <v>0</v>
      </c>
      <c r="J1624">
        <v>0</v>
      </c>
      <c r="K1624" t="s">
        <v>104</v>
      </c>
      <c r="L1624">
        <v>0</v>
      </c>
      <c r="M1624">
        <v>4</v>
      </c>
      <c r="N1624">
        <v>0</v>
      </c>
      <c r="O1624">
        <v>42</v>
      </c>
      <c r="P1624">
        <v>1</v>
      </c>
      <c r="Q1624">
        <v>10.5</v>
      </c>
      <c r="R1624">
        <v>25</v>
      </c>
      <c r="S1624">
        <v>0</v>
      </c>
      <c r="T1624">
        <v>0</v>
      </c>
      <c r="U1624" s="8">
        <v>25</v>
      </c>
      <c r="V1624" s="8">
        <f t="shared" si="51"/>
        <v>3</v>
      </c>
      <c r="W1624" t="str">
        <f>_xlfn.XLOOKUP(A1624, Matches!A:A, Matches!L:L, "NA", 0)</f>
        <v>UPW</v>
      </c>
      <c r="X1624" t="str">
        <f>_xlfn.XLOOKUP(A1624, Matches!A:A, Matches!J:J, "NA", 0)</f>
        <v>UPW</v>
      </c>
      <c r="Y1624" t="str">
        <f>_xlfn.XLOOKUP(A1624, Matches!A:A, Matches!F:F, "NA", 0)</f>
        <v>Dr DY Patil Sports </v>
      </c>
      <c r="Z1624" cm="1">
        <f t="array" ref="Z1624">INDEX(Innings!F:F,MATCH(1,(TRIM(Innings!A:A)=TRIM(A1624))*(TRIM(Innings!D:D)=TRIM(E1624)),0))</f>
        <v>161</v>
      </c>
      <c r="AA1624" cm="1">
        <f t="array" ref="AA1624">INDEX(Innings!I:I,MATCH(1,(TRIM(Innings!A:A)=TRIM(A1624))*(TRIM(Innings!D:D)=TRIM(E1624)),0))</f>
        <v>8.0500000000000007</v>
      </c>
      <c r="AB1624" cm="1">
        <f t="array" ref="AB1624">INDEX(Innings!J:J,MATCH(1,(TRIM(Innings!A:A)=TRIM(A1624))*(TRIM(Innings!D:D)=TRIM(E1624)),0))</f>
        <v>32</v>
      </c>
      <c r="AC1624" cm="1">
        <f t="array" ref="AC1624">INDEX(Innings!N:N,MATCH(1,(TRIM(Innings!A:A)=TRIM(A1624))*(TRIM(Innings!D:D)=TRIM(E1624)),0))</f>
        <v>42</v>
      </c>
      <c r="AD1624" cm="1">
        <f t="array" ref="AD1624">INDEX(Innings!S:S,MATCH(1,(TRIM(Innings!A:A)=TRIM(A1624))*(TRIM(Innings!D:D)=TRIM(E1624)),0))</f>
        <v>34</v>
      </c>
      <c r="AE1624" t="str" cm="1">
        <f t="array" ref="AE1624">INDEX(Innings!W:W,MATCH(1,(TRIM(Innings!A:A)=TRIM(A1624))*(TRIM(Innings!D:D)=TRIM(E1624)),0))</f>
        <v>NA</v>
      </c>
      <c r="AF1624">
        <f>IF(UPPER(TRIM(E1624))=UPPER(TRIM(W1624)),1,0)</f>
        <v>0</v>
      </c>
      <c r="AG1624">
        <f t="shared" si="50"/>
        <v>13.4</v>
      </c>
    </row>
    <row r="1625" spans="1:33" x14ac:dyDescent="0.3">
      <c r="A1625" t="s">
        <v>608</v>
      </c>
      <c r="B1625">
        <v>4</v>
      </c>
      <c r="C1625" t="s">
        <v>507</v>
      </c>
      <c r="D1625" t="s">
        <v>519</v>
      </c>
      <c r="E1625" t="s">
        <v>266</v>
      </c>
      <c r="F1625" t="s">
        <v>101</v>
      </c>
      <c r="G1625" t="s">
        <v>104</v>
      </c>
      <c r="H1625">
        <v>0</v>
      </c>
      <c r="I1625">
        <v>0</v>
      </c>
      <c r="J1625">
        <v>0</v>
      </c>
      <c r="K1625" t="s">
        <v>104</v>
      </c>
      <c r="L1625">
        <v>0</v>
      </c>
      <c r="M1625">
        <v>3</v>
      </c>
      <c r="N1625">
        <v>0</v>
      </c>
      <c r="O1625">
        <v>22</v>
      </c>
      <c r="P1625">
        <v>0</v>
      </c>
      <c r="Q1625">
        <v>7.3</v>
      </c>
      <c r="R1625">
        <v>5</v>
      </c>
      <c r="S1625">
        <v>0</v>
      </c>
      <c r="T1625">
        <v>0</v>
      </c>
      <c r="U1625" s="8">
        <v>5</v>
      </c>
      <c r="V1625" s="8">
        <f t="shared" si="51"/>
        <v>1</v>
      </c>
      <c r="W1625" t="str">
        <f>_xlfn.XLOOKUP(A1625, Matches!A:A, Matches!L:L, "NA", 0)</f>
        <v>UPW</v>
      </c>
      <c r="X1625" t="str">
        <f>_xlfn.XLOOKUP(A1625, Matches!A:A, Matches!J:J, "NA", 0)</f>
        <v>UPW</v>
      </c>
      <c r="Y1625" t="str">
        <f>_xlfn.XLOOKUP(A1625, Matches!A:A, Matches!F:F, "NA", 0)</f>
        <v>Dr DY Patil Sports </v>
      </c>
      <c r="Z1625" cm="1">
        <f t="array" ref="Z1625">INDEX(Innings!F:F,MATCH(1,(TRIM(Innings!A:A)=TRIM(A1625))*(TRIM(Innings!D:D)=TRIM(E1625)),0))</f>
        <v>161</v>
      </c>
      <c r="AA1625" cm="1">
        <f t="array" ref="AA1625">INDEX(Innings!I:I,MATCH(1,(TRIM(Innings!A:A)=TRIM(A1625))*(TRIM(Innings!D:D)=TRIM(E1625)),0))</f>
        <v>8.0500000000000007</v>
      </c>
      <c r="AB1625" cm="1">
        <f t="array" ref="AB1625">INDEX(Innings!J:J,MATCH(1,(TRIM(Innings!A:A)=TRIM(A1625))*(TRIM(Innings!D:D)=TRIM(E1625)),0))</f>
        <v>32</v>
      </c>
      <c r="AC1625" cm="1">
        <f t="array" ref="AC1625">INDEX(Innings!N:N,MATCH(1,(TRIM(Innings!A:A)=TRIM(A1625))*(TRIM(Innings!D:D)=TRIM(E1625)),0))</f>
        <v>42</v>
      </c>
      <c r="AD1625" cm="1">
        <f t="array" ref="AD1625">INDEX(Innings!S:S,MATCH(1,(TRIM(Innings!A:A)=TRIM(A1625))*(TRIM(Innings!D:D)=TRIM(E1625)),0))</f>
        <v>34</v>
      </c>
      <c r="AE1625" t="str" cm="1">
        <f t="array" ref="AE1625">INDEX(Innings!W:W,MATCH(1,(TRIM(Innings!A:A)=TRIM(A1625))*(TRIM(Innings!D:D)=TRIM(E1625)),0))</f>
        <v>NA</v>
      </c>
      <c r="AF1625">
        <f>IF(UPPER(TRIM(E1625))=UPPER(TRIM(W1625)),1,0)</f>
        <v>0</v>
      </c>
      <c r="AG1625">
        <f t="shared" si="50"/>
        <v>2.8</v>
      </c>
    </row>
    <row r="1626" spans="1:33" x14ac:dyDescent="0.3">
      <c r="A1626" t="s">
        <v>608</v>
      </c>
      <c r="B1626">
        <v>4</v>
      </c>
      <c r="C1626" t="s">
        <v>273</v>
      </c>
      <c r="D1626" t="s">
        <v>279</v>
      </c>
      <c r="E1626" t="s">
        <v>266</v>
      </c>
      <c r="F1626" t="s">
        <v>169</v>
      </c>
      <c r="G1626" t="s">
        <v>104</v>
      </c>
      <c r="H1626">
        <v>0</v>
      </c>
      <c r="I1626">
        <v>0</v>
      </c>
      <c r="J1626">
        <v>0</v>
      </c>
      <c r="K1626" t="s">
        <v>104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 s="8">
        <v>0</v>
      </c>
      <c r="V1626" s="8">
        <f t="shared" si="51"/>
        <v>0</v>
      </c>
      <c r="W1626" t="str">
        <f>_xlfn.XLOOKUP(A1626, Matches!A:A, Matches!L:L, "NA", 0)</f>
        <v>UPW</v>
      </c>
      <c r="X1626" t="str">
        <f>_xlfn.XLOOKUP(A1626, Matches!A:A, Matches!J:J, "NA", 0)</f>
        <v>UPW</v>
      </c>
      <c r="Y1626" t="str">
        <f>_xlfn.XLOOKUP(A1626, Matches!A:A, Matches!F:F, "NA", 0)</f>
        <v>Dr DY Patil Sports </v>
      </c>
      <c r="Z1626" cm="1">
        <f t="array" ref="Z1626">INDEX(Innings!F:F,MATCH(1,(TRIM(Innings!A:A)=TRIM(A1626))*(TRIM(Innings!D:D)=TRIM(E1626)),0))</f>
        <v>161</v>
      </c>
      <c r="AA1626" cm="1">
        <f t="array" ref="AA1626">INDEX(Innings!I:I,MATCH(1,(TRIM(Innings!A:A)=TRIM(A1626))*(TRIM(Innings!D:D)=TRIM(E1626)),0))</f>
        <v>8.0500000000000007</v>
      </c>
      <c r="AB1626" cm="1">
        <f t="array" ref="AB1626">INDEX(Innings!J:J,MATCH(1,(TRIM(Innings!A:A)=TRIM(A1626))*(TRIM(Innings!D:D)=TRIM(E1626)),0))</f>
        <v>32</v>
      </c>
      <c r="AC1626" cm="1">
        <f t="array" ref="AC1626">INDEX(Innings!N:N,MATCH(1,(TRIM(Innings!A:A)=TRIM(A1626))*(TRIM(Innings!D:D)=TRIM(E1626)),0))</f>
        <v>42</v>
      </c>
      <c r="AD1626" cm="1">
        <f t="array" ref="AD1626">INDEX(Innings!S:S,MATCH(1,(TRIM(Innings!A:A)=TRIM(A1626))*(TRIM(Innings!D:D)=TRIM(E1626)),0))</f>
        <v>34</v>
      </c>
      <c r="AE1626" t="str" cm="1">
        <f t="array" ref="AE1626">INDEX(Innings!W:W,MATCH(1,(TRIM(Innings!A:A)=TRIM(A1626))*(TRIM(Innings!D:D)=TRIM(E1626)),0))</f>
        <v>NA</v>
      </c>
      <c r="AF1626">
        <f>IF(UPPER(TRIM(E1626))=UPPER(TRIM(W1626)),1,0)</f>
        <v>0</v>
      </c>
      <c r="AG1626">
        <f t="shared" si="50"/>
        <v>0</v>
      </c>
    </row>
    <row r="1627" spans="1:33" x14ac:dyDescent="0.3">
      <c r="A1627" t="s">
        <v>608</v>
      </c>
      <c r="B1627">
        <v>4</v>
      </c>
      <c r="C1627" t="s">
        <v>265</v>
      </c>
      <c r="D1627" t="s">
        <v>264</v>
      </c>
      <c r="E1627" t="s">
        <v>266</v>
      </c>
      <c r="F1627" t="s">
        <v>101</v>
      </c>
      <c r="G1627" t="s">
        <v>104</v>
      </c>
      <c r="H1627">
        <v>0</v>
      </c>
      <c r="I1627">
        <v>0</v>
      </c>
      <c r="J1627">
        <v>0</v>
      </c>
      <c r="K1627" t="s">
        <v>104</v>
      </c>
      <c r="L1627">
        <v>0</v>
      </c>
      <c r="M1627">
        <v>4</v>
      </c>
      <c r="N1627">
        <v>0</v>
      </c>
      <c r="O1627">
        <v>28</v>
      </c>
      <c r="P1627">
        <v>0</v>
      </c>
      <c r="Q1627">
        <v>7</v>
      </c>
      <c r="R1627">
        <v>5</v>
      </c>
      <c r="S1627">
        <v>0</v>
      </c>
      <c r="T1627">
        <v>0</v>
      </c>
      <c r="U1627" s="8">
        <v>5</v>
      </c>
      <c r="V1627" s="8">
        <f t="shared" si="51"/>
        <v>1</v>
      </c>
      <c r="W1627" t="str">
        <f>_xlfn.XLOOKUP(A1627, Matches!A:A, Matches!L:L, "NA", 0)</f>
        <v>UPW</v>
      </c>
      <c r="X1627" t="str">
        <f>_xlfn.XLOOKUP(A1627, Matches!A:A, Matches!J:J, "NA", 0)</f>
        <v>UPW</v>
      </c>
      <c r="Y1627" t="str">
        <f>_xlfn.XLOOKUP(A1627, Matches!A:A, Matches!F:F, "NA", 0)</f>
        <v>Dr DY Patil Sports </v>
      </c>
      <c r="Z1627" cm="1">
        <f t="array" ref="Z1627">INDEX(Innings!F:F,MATCH(1,(TRIM(Innings!A:A)=TRIM(A1627))*(TRIM(Innings!D:D)=TRIM(E1627)),0))</f>
        <v>161</v>
      </c>
      <c r="AA1627" cm="1">
        <f t="array" ref="AA1627">INDEX(Innings!I:I,MATCH(1,(TRIM(Innings!A:A)=TRIM(A1627))*(TRIM(Innings!D:D)=TRIM(E1627)),0))</f>
        <v>8.0500000000000007</v>
      </c>
      <c r="AB1627" cm="1">
        <f t="array" ref="AB1627">INDEX(Innings!J:J,MATCH(1,(TRIM(Innings!A:A)=TRIM(A1627))*(TRIM(Innings!D:D)=TRIM(E1627)),0))</f>
        <v>32</v>
      </c>
      <c r="AC1627" cm="1">
        <f t="array" ref="AC1627">INDEX(Innings!N:N,MATCH(1,(TRIM(Innings!A:A)=TRIM(A1627))*(TRIM(Innings!D:D)=TRIM(E1627)),0))</f>
        <v>42</v>
      </c>
      <c r="AD1627" cm="1">
        <f t="array" ref="AD1627">INDEX(Innings!S:S,MATCH(1,(TRIM(Innings!A:A)=TRIM(A1627))*(TRIM(Innings!D:D)=TRIM(E1627)),0))</f>
        <v>34</v>
      </c>
      <c r="AE1627" t="str" cm="1">
        <f t="array" ref="AE1627">INDEX(Innings!W:W,MATCH(1,(TRIM(Innings!A:A)=TRIM(A1627))*(TRIM(Innings!D:D)=TRIM(E1627)),0))</f>
        <v>NA</v>
      </c>
      <c r="AF1627">
        <f>IF(UPPER(TRIM(E1627))=UPPER(TRIM(W1627)),1,0)</f>
        <v>0</v>
      </c>
      <c r="AG1627">
        <f t="shared" si="50"/>
        <v>2.8</v>
      </c>
    </row>
    <row r="1628" spans="1:33" x14ac:dyDescent="0.3">
      <c r="A1628" t="s">
        <v>608</v>
      </c>
      <c r="B1628">
        <v>4</v>
      </c>
      <c r="C1628" t="s">
        <v>534</v>
      </c>
      <c r="D1628" t="s">
        <v>639</v>
      </c>
      <c r="E1628" t="s">
        <v>266</v>
      </c>
      <c r="F1628" t="s">
        <v>101</v>
      </c>
      <c r="G1628" t="s">
        <v>104</v>
      </c>
      <c r="H1628">
        <v>0</v>
      </c>
      <c r="I1628">
        <v>0</v>
      </c>
      <c r="J1628">
        <v>0</v>
      </c>
      <c r="K1628" t="s">
        <v>104</v>
      </c>
      <c r="L1628">
        <v>0</v>
      </c>
      <c r="M1628">
        <v>1</v>
      </c>
      <c r="N1628">
        <v>0</v>
      </c>
      <c r="O1628">
        <v>11</v>
      </c>
      <c r="P1628">
        <v>0</v>
      </c>
      <c r="Q1628">
        <v>11</v>
      </c>
      <c r="R1628">
        <v>-10</v>
      </c>
      <c r="S1628">
        <v>0</v>
      </c>
      <c r="T1628">
        <v>0</v>
      </c>
      <c r="U1628" s="8">
        <v>-10</v>
      </c>
      <c r="V1628" s="8">
        <f t="shared" si="51"/>
        <v>0</v>
      </c>
      <c r="W1628" t="str">
        <f>_xlfn.XLOOKUP(A1628, Matches!A:A, Matches!L:L, "NA", 0)</f>
        <v>UPW</v>
      </c>
      <c r="X1628" t="str">
        <f>_xlfn.XLOOKUP(A1628, Matches!A:A, Matches!J:J, "NA", 0)</f>
        <v>UPW</v>
      </c>
      <c r="Y1628" t="str">
        <f>_xlfn.XLOOKUP(A1628, Matches!A:A, Matches!F:F, "NA", 0)</f>
        <v>Dr DY Patil Sports </v>
      </c>
      <c r="Z1628" cm="1">
        <f t="array" ref="Z1628">INDEX(Innings!F:F,MATCH(1,(TRIM(Innings!A:A)=TRIM(A1628))*(TRIM(Innings!D:D)=TRIM(E1628)),0))</f>
        <v>161</v>
      </c>
      <c r="AA1628" cm="1">
        <f t="array" ref="AA1628">INDEX(Innings!I:I,MATCH(1,(TRIM(Innings!A:A)=TRIM(A1628))*(TRIM(Innings!D:D)=TRIM(E1628)),0))</f>
        <v>8.0500000000000007</v>
      </c>
      <c r="AB1628" cm="1">
        <f t="array" ref="AB1628">INDEX(Innings!J:J,MATCH(1,(TRIM(Innings!A:A)=TRIM(A1628))*(TRIM(Innings!D:D)=TRIM(E1628)),0))</f>
        <v>32</v>
      </c>
      <c r="AC1628" cm="1">
        <f t="array" ref="AC1628">INDEX(Innings!N:N,MATCH(1,(TRIM(Innings!A:A)=TRIM(A1628))*(TRIM(Innings!D:D)=TRIM(E1628)),0))</f>
        <v>42</v>
      </c>
      <c r="AD1628" cm="1">
        <f t="array" ref="AD1628">INDEX(Innings!S:S,MATCH(1,(TRIM(Innings!A:A)=TRIM(A1628))*(TRIM(Innings!D:D)=TRIM(E1628)),0))</f>
        <v>34</v>
      </c>
      <c r="AE1628" t="str" cm="1">
        <f t="array" ref="AE1628">INDEX(Innings!W:W,MATCH(1,(TRIM(Innings!A:A)=TRIM(A1628))*(TRIM(Innings!D:D)=TRIM(E1628)),0))</f>
        <v>NA</v>
      </c>
      <c r="AF1628">
        <f>IF(UPPER(TRIM(E1628))=UPPER(TRIM(W1628)),1,0)</f>
        <v>0</v>
      </c>
      <c r="AG1628">
        <f t="shared" si="50"/>
        <v>0</v>
      </c>
    </row>
    <row r="1629" spans="1:33" x14ac:dyDescent="0.3">
      <c r="A1629" t="s">
        <v>609</v>
      </c>
      <c r="B1629">
        <v>4</v>
      </c>
      <c r="C1629" t="s">
        <v>226</v>
      </c>
      <c r="D1629" t="s">
        <v>211</v>
      </c>
      <c r="E1629" t="s">
        <v>159</v>
      </c>
      <c r="F1629" t="s">
        <v>169</v>
      </c>
      <c r="G1629" t="s">
        <v>86</v>
      </c>
      <c r="H1629">
        <v>17</v>
      </c>
      <c r="I1629">
        <v>8</v>
      </c>
      <c r="J1629">
        <v>212.5</v>
      </c>
      <c r="K1629" t="s">
        <v>247</v>
      </c>
      <c r="L1629">
        <v>30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 s="8">
        <v>30</v>
      </c>
      <c r="V1629" s="8">
        <f t="shared" si="51"/>
        <v>3</v>
      </c>
      <c r="W1629" t="str">
        <f>_xlfn.XLOOKUP(A1629, Matches!A:A, Matches!L:L, "NA", 0)</f>
        <v>RCBW</v>
      </c>
      <c r="X1629" t="str">
        <f>_xlfn.XLOOKUP(A1629, Matches!A:A, Matches!J:J, "NA", 0)</f>
        <v>GGTW</v>
      </c>
      <c r="Y1629" t="str">
        <f>_xlfn.XLOOKUP(A1629, Matches!A:A, Matches!F:F, "NA", 0)</f>
        <v>Dr DY Patil Sports </v>
      </c>
      <c r="Z1629" cm="1">
        <f t="array" ref="Z1629">INDEX(Innings!F:F,MATCH(1,(TRIM(Innings!A:A)=TRIM(A1629))*(TRIM(Innings!D:D)=TRIM(E1629)),0))</f>
        <v>182</v>
      </c>
      <c r="AA1629" cm="1">
        <f t="array" ref="AA1629">INDEX(Innings!I:I,MATCH(1,(TRIM(Innings!A:A)=TRIM(A1629))*(TRIM(Innings!D:D)=TRIM(E1629)),0))</f>
        <v>9.1</v>
      </c>
      <c r="AB1629" cm="1">
        <f t="array" ref="AB1629">INDEX(Innings!J:J,MATCH(1,(TRIM(Innings!A:A)=TRIM(A1629))*(TRIM(Innings!D:D)=TRIM(E1629)),0))</f>
        <v>45</v>
      </c>
      <c r="AC1629" cm="1">
        <f t="array" ref="AC1629">INDEX(Innings!N:N,MATCH(1,(TRIM(Innings!A:A)=TRIM(A1629))*(TRIM(Innings!D:D)=TRIM(E1629)),0))</f>
        <v>39</v>
      </c>
      <c r="AD1629" cm="1">
        <f t="array" ref="AD1629">INDEX(Innings!S:S,MATCH(1,(TRIM(Innings!A:A)=TRIM(A1629))*(TRIM(Innings!D:D)=TRIM(E1629)),0))</f>
        <v>30</v>
      </c>
      <c r="AE1629" t="str" cm="1">
        <f t="array" ref="AE1629">INDEX(Innings!W:W,MATCH(1,(TRIM(Innings!A:A)=TRIM(A1629))*(TRIM(Innings!D:D)=TRIM(E1629)),0))</f>
        <v>NA</v>
      </c>
      <c r="AF1629">
        <f>IF(UPPER(TRIM(E1629))=UPPER(TRIM(W1629)),1,0)</f>
        <v>1</v>
      </c>
      <c r="AG1629">
        <f t="shared" si="50"/>
        <v>35.9</v>
      </c>
    </row>
    <row r="1630" spans="1:33" x14ac:dyDescent="0.3">
      <c r="A1630" t="s">
        <v>609</v>
      </c>
      <c r="B1630">
        <v>4</v>
      </c>
      <c r="C1630" t="s">
        <v>165</v>
      </c>
      <c r="D1630" t="s">
        <v>166</v>
      </c>
      <c r="E1630" t="s">
        <v>159</v>
      </c>
      <c r="F1630" t="s">
        <v>109</v>
      </c>
      <c r="G1630" t="s">
        <v>86</v>
      </c>
      <c r="H1630">
        <v>5</v>
      </c>
      <c r="I1630">
        <v>8</v>
      </c>
      <c r="J1630">
        <v>62.5</v>
      </c>
      <c r="K1630" t="s">
        <v>246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 s="8">
        <v>0</v>
      </c>
      <c r="V1630" s="8">
        <f t="shared" si="51"/>
        <v>0</v>
      </c>
      <c r="W1630" t="str">
        <f>_xlfn.XLOOKUP(A1630, Matches!A:A, Matches!L:L, "NA", 0)</f>
        <v>RCBW</v>
      </c>
      <c r="X1630" t="str">
        <f>_xlfn.XLOOKUP(A1630, Matches!A:A, Matches!J:J, "NA", 0)</f>
        <v>GGTW</v>
      </c>
      <c r="Y1630" t="str">
        <f>_xlfn.XLOOKUP(A1630, Matches!A:A, Matches!F:F, "NA", 0)</f>
        <v>Dr DY Patil Sports </v>
      </c>
      <c r="Z1630" cm="1">
        <f t="array" ref="Z1630">INDEX(Innings!F:F,MATCH(1,(TRIM(Innings!A:A)=TRIM(A1630))*(TRIM(Innings!D:D)=TRIM(E1630)),0))</f>
        <v>182</v>
      </c>
      <c r="AA1630" cm="1">
        <f t="array" ref="AA1630">INDEX(Innings!I:I,MATCH(1,(TRIM(Innings!A:A)=TRIM(A1630))*(TRIM(Innings!D:D)=TRIM(E1630)),0))</f>
        <v>9.1</v>
      </c>
      <c r="AB1630" cm="1">
        <f t="array" ref="AB1630">INDEX(Innings!J:J,MATCH(1,(TRIM(Innings!A:A)=TRIM(A1630))*(TRIM(Innings!D:D)=TRIM(E1630)),0))</f>
        <v>45</v>
      </c>
      <c r="AC1630" cm="1">
        <f t="array" ref="AC1630">INDEX(Innings!N:N,MATCH(1,(TRIM(Innings!A:A)=TRIM(A1630))*(TRIM(Innings!D:D)=TRIM(E1630)),0))</f>
        <v>39</v>
      </c>
      <c r="AD1630" cm="1">
        <f t="array" ref="AD1630">INDEX(Innings!S:S,MATCH(1,(TRIM(Innings!A:A)=TRIM(A1630))*(TRIM(Innings!D:D)=TRIM(E1630)),0))</f>
        <v>30</v>
      </c>
      <c r="AE1630" t="str" cm="1">
        <f t="array" ref="AE1630">INDEX(Innings!W:W,MATCH(1,(TRIM(Innings!A:A)=TRIM(A1630))*(TRIM(Innings!D:D)=TRIM(E1630)),0))</f>
        <v>NA</v>
      </c>
      <c r="AF1630">
        <f>IF(UPPER(TRIM(E1630))=UPPER(TRIM(W1630)),1,0)</f>
        <v>1</v>
      </c>
      <c r="AG1630">
        <f t="shared" si="50"/>
        <v>20</v>
      </c>
    </row>
    <row r="1631" spans="1:33" x14ac:dyDescent="0.3">
      <c r="A1631" t="s">
        <v>609</v>
      </c>
      <c r="B1631">
        <v>4</v>
      </c>
      <c r="C1631" t="s">
        <v>97</v>
      </c>
      <c r="D1631" t="s">
        <v>122</v>
      </c>
      <c r="E1631" t="s">
        <v>159</v>
      </c>
      <c r="F1631" t="s">
        <v>109</v>
      </c>
      <c r="G1631" t="s">
        <v>92</v>
      </c>
      <c r="H1631">
        <v>4</v>
      </c>
      <c r="I1631">
        <v>8</v>
      </c>
      <c r="J1631">
        <v>50</v>
      </c>
      <c r="K1631" t="s">
        <v>246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 s="8">
        <v>0</v>
      </c>
      <c r="V1631" s="8">
        <f t="shared" si="51"/>
        <v>0</v>
      </c>
      <c r="W1631" t="str">
        <f>_xlfn.XLOOKUP(A1631, Matches!A:A, Matches!L:L, "NA", 0)</f>
        <v>RCBW</v>
      </c>
      <c r="X1631" t="str">
        <f>_xlfn.XLOOKUP(A1631, Matches!A:A, Matches!J:J, "NA", 0)</f>
        <v>GGTW</v>
      </c>
      <c r="Y1631" t="str">
        <f>_xlfn.XLOOKUP(A1631, Matches!A:A, Matches!F:F, "NA", 0)</f>
        <v>Dr DY Patil Sports </v>
      </c>
      <c r="Z1631" cm="1">
        <f t="array" ref="Z1631">INDEX(Innings!F:F,MATCH(1,(TRIM(Innings!A:A)=TRIM(A1631))*(TRIM(Innings!D:D)=TRIM(E1631)),0))</f>
        <v>182</v>
      </c>
      <c r="AA1631" cm="1">
        <f t="array" ref="AA1631">INDEX(Innings!I:I,MATCH(1,(TRIM(Innings!A:A)=TRIM(A1631))*(TRIM(Innings!D:D)=TRIM(E1631)),0))</f>
        <v>9.1</v>
      </c>
      <c r="AB1631" cm="1">
        <f t="array" ref="AB1631">INDEX(Innings!J:J,MATCH(1,(TRIM(Innings!A:A)=TRIM(A1631))*(TRIM(Innings!D:D)=TRIM(E1631)),0))</f>
        <v>45</v>
      </c>
      <c r="AC1631" cm="1">
        <f t="array" ref="AC1631">INDEX(Innings!N:N,MATCH(1,(TRIM(Innings!A:A)=TRIM(A1631))*(TRIM(Innings!D:D)=TRIM(E1631)),0))</f>
        <v>39</v>
      </c>
      <c r="AD1631" cm="1">
        <f t="array" ref="AD1631">INDEX(Innings!S:S,MATCH(1,(TRIM(Innings!A:A)=TRIM(A1631))*(TRIM(Innings!D:D)=TRIM(E1631)),0))</f>
        <v>30</v>
      </c>
      <c r="AE1631" t="str" cm="1">
        <f t="array" ref="AE1631">INDEX(Innings!W:W,MATCH(1,(TRIM(Innings!A:A)=TRIM(A1631))*(TRIM(Innings!D:D)=TRIM(E1631)),0))</f>
        <v>NA</v>
      </c>
      <c r="AF1631">
        <f>IF(UPPER(TRIM(E1631))=UPPER(TRIM(W1631)),1,0)</f>
        <v>1</v>
      </c>
      <c r="AG1631">
        <f t="shared" si="50"/>
        <v>20</v>
      </c>
    </row>
    <row r="1632" spans="1:33" x14ac:dyDescent="0.3">
      <c r="A1632" t="s">
        <v>609</v>
      </c>
      <c r="B1632">
        <v>4</v>
      </c>
      <c r="C1632" t="s">
        <v>535</v>
      </c>
      <c r="D1632" t="s">
        <v>645</v>
      </c>
      <c r="E1632" t="s">
        <v>159</v>
      </c>
      <c r="F1632" t="s">
        <v>169</v>
      </c>
      <c r="G1632" t="s">
        <v>92</v>
      </c>
      <c r="H1632">
        <v>9</v>
      </c>
      <c r="I1632">
        <v>6</v>
      </c>
      <c r="J1632">
        <v>150</v>
      </c>
      <c r="K1632" t="s">
        <v>247</v>
      </c>
      <c r="L1632">
        <v>15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 s="8">
        <v>15</v>
      </c>
      <c r="V1632" s="8">
        <f t="shared" si="51"/>
        <v>2</v>
      </c>
      <c r="W1632" t="str">
        <f>_xlfn.XLOOKUP(A1632, Matches!A:A, Matches!L:L, "NA", 0)</f>
        <v>RCBW</v>
      </c>
      <c r="X1632" t="str">
        <f>_xlfn.XLOOKUP(A1632, Matches!A:A, Matches!J:J, "NA", 0)</f>
        <v>GGTW</v>
      </c>
      <c r="Y1632" t="str">
        <f>_xlfn.XLOOKUP(A1632, Matches!A:A, Matches!F:F, "NA", 0)</f>
        <v>Dr DY Patil Sports </v>
      </c>
      <c r="Z1632" cm="1">
        <f t="array" ref="Z1632">INDEX(Innings!F:F,MATCH(1,(TRIM(Innings!A:A)=TRIM(A1632))*(TRIM(Innings!D:D)=TRIM(E1632)),0))</f>
        <v>182</v>
      </c>
      <c r="AA1632" cm="1">
        <f t="array" ref="AA1632">INDEX(Innings!I:I,MATCH(1,(TRIM(Innings!A:A)=TRIM(A1632))*(TRIM(Innings!D:D)=TRIM(E1632)),0))</f>
        <v>9.1</v>
      </c>
      <c r="AB1632" cm="1">
        <f t="array" ref="AB1632">INDEX(Innings!J:J,MATCH(1,(TRIM(Innings!A:A)=TRIM(A1632))*(TRIM(Innings!D:D)=TRIM(E1632)),0))</f>
        <v>45</v>
      </c>
      <c r="AC1632" cm="1">
        <f t="array" ref="AC1632">INDEX(Innings!N:N,MATCH(1,(TRIM(Innings!A:A)=TRIM(A1632))*(TRIM(Innings!D:D)=TRIM(E1632)),0))</f>
        <v>39</v>
      </c>
      <c r="AD1632" cm="1">
        <f t="array" ref="AD1632">INDEX(Innings!S:S,MATCH(1,(TRIM(Innings!A:A)=TRIM(A1632))*(TRIM(Innings!D:D)=TRIM(E1632)),0))</f>
        <v>30</v>
      </c>
      <c r="AE1632" t="str" cm="1">
        <f t="array" ref="AE1632">INDEX(Innings!W:W,MATCH(1,(TRIM(Innings!A:A)=TRIM(A1632))*(TRIM(Innings!D:D)=TRIM(E1632)),0))</f>
        <v>NA</v>
      </c>
      <c r="AF1632">
        <f>IF(UPPER(TRIM(E1632))=UPPER(TRIM(W1632)),1,0)</f>
        <v>1</v>
      </c>
      <c r="AG1632">
        <f t="shared" si="50"/>
        <v>28.1</v>
      </c>
    </row>
    <row r="1633" spans="1:33" x14ac:dyDescent="0.3">
      <c r="A1633" t="s">
        <v>609</v>
      </c>
      <c r="B1633">
        <v>4</v>
      </c>
      <c r="C1633" t="s">
        <v>206</v>
      </c>
      <c r="D1633" t="s">
        <v>207</v>
      </c>
      <c r="E1633" t="s">
        <v>159</v>
      </c>
      <c r="F1633" t="s">
        <v>169</v>
      </c>
      <c r="G1633" t="s">
        <v>134</v>
      </c>
      <c r="H1633">
        <v>66</v>
      </c>
      <c r="I1633">
        <v>47</v>
      </c>
      <c r="J1633">
        <v>140.43</v>
      </c>
      <c r="K1633" t="s">
        <v>246</v>
      </c>
      <c r="L1633">
        <v>85</v>
      </c>
      <c r="M1633">
        <v>2</v>
      </c>
      <c r="N1633">
        <v>0</v>
      </c>
      <c r="O1633">
        <v>9</v>
      </c>
      <c r="P1633">
        <v>0</v>
      </c>
      <c r="Q1633">
        <v>4.5</v>
      </c>
      <c r="R1633">
        <v>15</v>
      </c>
      <c r="S1633">
        <v>0</v>
      </c>
      <c r="T1633">
        <v>0</v>
      </c>
      <c r="U1633" s="8">
        <v>100</v>
      </c>
      <c r="V1633" s="8">
        <f t="shared" si="51"/>
        <v>10</v>
      </c>
      <c r="W1633" t="str">
        <f>_xlfn.XLOOKUP(A1633, Matches!A:A, Matches!L:L, "NA", 0)</f>
        <v>RCBW</v>
      </c>
      <c r="X1633" t="str">
        <f>_xlfn.XLOOKUP(A1633, Matches!A:A, Matches!J:J, "NA", 0)</f>
        <v>GGTW</v>
      </c>
      <c r="Y1633" t="str">
        <f>_xlfn.XLOOKUP(A1633, Matches!A:A, Matches!F:F, "NA", 0)</f>
        <v>Dr DY Patil Sports </v>
      </c>
      <c r="Z1633" cm="1">
        <f t="array" ref="Z1633">INDEX(Innings!F:F,MATCH(1,(TRIM(Innings!A:A)=TRIM(A1633))*(TRIM(Innings!D:D)=TRIM(E1633)),0))</f>
        <v>182</v>
      </c>
      <c r="AA1633" cm="1">
        <f t="array" ref="AA1633">INDEX(Innings!I:I,MATCH(1,(TRIM(Innings!A:A)=TRIM(A1633))*(TRIM(Innings!D:D)=TRIM(E1633)),0))</f>
        <v>9.1</v>
      </c>
      <c r="AB1633" cm="1">
        <f t="array" ref="AB1633">INDEX(Innings!J:J,MATCH(1,(TRIM(Innings!A:A)=TRIM(A1633))*(TRIM(Innings!D:D)=TRIM(E1633)),0))</f>
        <v>45</v>
      </c>
      <c r="AC1633" cm="1">
        <f t="array" ref="AC1633">INDEX(Innings!N:N,MATCH(1,(TRIM(Innings!A:A)=TRIM(A1633))*(TRIM(Innings!D:D)=TRIM(E1633)),0))</f>
        <v>39</v>
      </c>
      <c r="AD1633" cm="1">
        <f t="array" ref="AD1633">INDEX(Innings!S:S,MATCH(1,(TRIM(Innings!A:A)=TRIM(A1633))*(TRIM(Innings!D:D)=TRIM(E1633)),0))</f>
        <v>30</v>
      </c>
      <c r="AE1633" t="str" cm="1">
        <f t="array" ref="AE1633">INDEX(Innings!W:W,MATCH(1,(TRIM(Innings!A:A)=TRIM(A1633))*(TRIM(Innings!D:D)=TRIM(E1633)),0))</f>
        <v>NA</v>
      </c>
      <c r="AF1633">
        <f>IF(UPPER(TRIM(E1633))=UPPER(TRIM(W1633)),1,0)</f>
        <v>1</v>
      </c>
      <c r="AG1633">
        <f t="shared" si="50"/>
        <v>73</v>
      </c>
    </row>
    <row r="1634" spans="1:33" x14ac:dyDescent="0.3">
      <c r="A1634" t="s">
        <v>609</v>
      </c>
      <c r="B1634">
        <v>4</v>
      </c>
      <c r="C1634" t="s">
        <v>176</v>
      </c>
      <c r="D1634" t="s">
        <v>177</v>
      </c>
      <c r="E1634" t="s">
        <v>159</v>
      </c>
      <c r="F1634" t="s">
        <v>85</v>
      </c>
      <c r="G1634" t="s">
        <v>134</v>
      </c>
      <c r="H1634">
        <v>44</v>
      </c>
      <c r="I1634">
        <v>28</v>
      </c>
      <c r="J1634">
        <v>157.13999999999999</v>
      </c>
      <c r="K1634" t="s">
        <v>246</v>
      </c>
      <c r="L1634">
        <v>65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 s="8">
        <v>65</v>
      </c>
      <c r="V1634" s="8">
        <f t="shared" si="51"/>
        <v>7</v>
      </c>
      <c r="W1634" t="str">
        <f>_xlfn.XLOOKUP(A1634, Matches!A:A, Matches!L:L, "NA", 0)</f>
        <v>RCBW</v>
      </c>
      <c r="X1634" t="str">
        <f>_xlfn.XLOOKUP(A1634, Matches!A:A, Matches!J:J, "NA", 0)</f>
        <v>GGTW</v>
      </c>
      <c r="Y1634" t="str">
        <f>_xlfn.XLOOKUP(A1634, Matches!A:A, Matches!F:F, "NA", 0)</f>
        <v>Dr DY Patil Sports </v>
      </c>
      <c r="Z1634" cm="1">
        <f t="array" ref="Z1634">INDEX(Innings!F:F,MATCH(1,(TRIM(Innings!A:A)=TRIM(A1634))*(TRIM(Innings!D:D)=TRIM(E1634)),0))</f>
        <v>182</v>
      </c>
      <c r="AA1634" cm="1">
        <f t="array" ref="AA1634">INDEX(Innings!I:I,MATCH(1,(TRIM(Innings!A:A)=TRIM(A1634))*(TRIM(Innings!D:D)=TRIM(E1634)),0))</f>
        <v>9.1</v>
      </c>
      <c r="AB1634" cm="1">
        <f t="array" ref="AB1634">INDEX(Innings!J:J,MATCH(1,(TRIM(Innings!A:A)=TRIM(A1634))*(TRIM(Innings!D:D)=TRIM(E1634)),0))</f>
        <v>45</v>
      </c>
      <c r="AC1634" cm="1">
        <f t="array" ref="AC1634">INDEX(Innings!N:N,MATCH(1,(TRIM(Innings!A:A)=TRIM(A1634))*(TRIM(Innings!D:D)=TRIM(E1634)),0))</f>
        <v>39</v>
      </c>
      <c r="AD1634" cm="1">
        <f t="array" ref="AD1634">INDEX(Innings!S:S,MATCH(1,(TRIM(Innings!A:A)=TRIM(A1634))*(TRIM(Innings!D:D)=TRIM(E1634)),0))</f>
        <v>30</v>
      </c>
      <c r="AE1634" t="str" cm="1">
        <f t="array" ref="AE1634">INDEX(Innings!W:W,MATCH(1,(TRIM(Innings!A:A)=TRIM(A1634))*(TRIM(Innings!D:D)=TRIM(E1634)),0))</f>
        <v>NA</v>
      </c>
      <c r="AF1634">
        <f>IF(UPPER(TRIM(E1634))=UPPER(TRIM(W1634)),1,0)</f>
        <v>1</v>
      </c>
      <c r="AG1634">
        <f t="shared" si="50"/>
        <v>54.6</v>
      </c>
    </row>
    <row r="1635" spans="1:33" x14ac:dyDescent="0.3">
      <c r="A1635" t="s">
        <v>609</v>
      </c>
      <c r="B1635">
        <v>4</v>
      </c>
      <c r="C1635" t="s">
        <v>449</v>
      </c>
      <c r="D1635" t="s">
        <v>410</v>
      </c>
      <c r="E1635" t="s">
        <v>159</v>
      </c>
      <c r="F1635" t="s">
        <v>169</v>
      </c>
      <c r="G1635" t="s">
        <v>134</v>
      </c>
      <c r="H1635">
        <v>26</v>
      </c>
      <c r="I1635">
        <v>12</v>
      </c>
      <c r="J1635">
        <v>216.67</v>
      </c>
      <c r="K1635" t="s">
        <v>246</v>
      </c>
      <c r="L1635">
        <v>45</v>
      </c>
      <c r="M1635">
        <v>3</v>
      </c>
      <c r="N1635">
        <v>0</v>
      </c>
      <c r="O1635">
        <v>30</v>
      </c>
      <c r="P1635">
        <v>1</v>
      </c>
      <c r="Q1635">
        <v>10</v>
      </c>
      <c r="R1635">
        <v>25</v>
      </c>
      <c r="S1635">
        <v>0</v>
      </c>
      <c r="T1635">
        <v>0</v>
      </c>
      <c r="U1635" s="8">
        <v>70</v>
      </c>
      <c r="V1635" s="8">
        <f t="shared" si="51"/>
        <v>7</v>
      </c>
      <c r="W1635" t="str">
        <f>_xlfn.XLOOKUP(A1635, Matches!A:A, Matches!L:L, "NA", 0)</f>
        <v>RCBW</v>
      </c>
      <c r="X1635" t="str">
        <f>_xlfn.XLOOKUP(A1635, Matches!A:A, Matches!J:J, "NA", 0)</f>
        <v>GGTW</v>
      </c>
      <c r="Y1635" t="str">
        <f>_xlfn.XLOOKUP(A1635, Matches!A:A, Matches!F:F, "NA", 0)</f>
        <v>Dr DY Patil Sports </v>
      </c>
      <c r="Z1635" cm="1">
        <f t="array" ref="Z1635">INDEX(Innings!F:F,MATCH(1,(TRIM(Innings!A:A)=TRIM(A1635))*(TRIM(Innings!D:D)=TRIM(E1635)),0))</f>
        <v>182</v>
      </c>
      <c r="AA1635" cm="1">
        <f t="array" ref="AA1635">INDEX(Innings!I:I,MATCH(1,(TRIM(Innings!A:A)=TRIM(A1635))*(TRIM(Innings!D:D)=TRIM(E1635)),0))</f>
        <v>9.1</v>
      </c>
      <c r="AB1635" cm="1">
        <f t="array" ref="AB1635">INDEX(Innings!J:J,MATCH(1,(TRIM(Innings!A:A)=TRIM(A1635))*(TRIM(Innings!D:D)=TRIM(E1635)),0))</f>
        <v>45</v>
      </c>
      <c r="AC1635" cm="1">
        <f t="array" ref="AC1635">INDEX(Innings!N:N,MATCH(1,(TRIM(Innings!A:A)=TRIM(A1635))*(TRIM(Innings!D:D)=TRIM(E1635)),0))</f>
        <v>39</v>
      </c>
      <c r="AD1635" cm="1">
        <f t="array" ref="AD1635">INDEX(Innings!S:S,MATCH(1,(TRIM(Innings!A:A)=TRIM(A1635))*(TRIM(Innings!D:D)=TRIM(E1635)),0))</f>
        <v>30</v>
      </c>
      <c r="AE1635" t="str" cm="1">
        <f t="array" ref="AE1635">INDEX(Innings!W:W,MATCH(1,(TRIM(Innings!A:A)=TRIM(A1635))*(TRIM(Innings!D:D)=TRIM(E1635)),0))</f>
        <v>NA</v>
      </c>
      <c r="AF1635">
        <f>IF(UPPER(TRIM(E1635))=UPPER(TRIM(W1635)),1,0)</f>
        <v>1</v>
      </c>
      <c r="AG1635">
        <f t="shared" si="50"/>
        <v>57.1</v>
      </c>
    </row>
    <row r="1636" spans="1:33" x14ac:dyDescent="0.3">
      <c r="A1636" t="s">
        <v>609</v>
      </c>
      <c r="B1636">
        <v>4</v>
      </c>
      <c r="C1636" t="s">
        <v>202</v>
      </c>
      <c r="D1636" t="s">
        <v>203</v>
      </c>
      <c r="E1636" t="s">
        <v>159</v>
      </c>
      <c r="F1636" t="s">
        <v>101</v>
      </c>
      <c r="G1636" t="s">
        <v>134</v>
      </c>
      <c r="H1636">
        <v>2</v>
      </c>
      <c r="I1636">
        <v>2</v>
      </c>
      <c r="J1636">
        <v>100</v>
      </c>
      <c r="K1636" t="s">
        <v>96</v>
      </c>
      <c r="L1636">
        <v>2</v>
      </c>
      <c r="M1636">
        <v>4</v>
      </c>
      <c r="N1636">
        <v>0</v>
      </c>
      <c r="O1636">
        <v>31</v>
      </c>
      <c r="P1636">
        <v>1</v>
      </c>
      <c r="Q1636">
        <v>7.8</v>
      </c>
      <c r="R1636">
        <v>25</v>
      </c>
      <c r="S1636">
        <v>0</v>
      </c>
      <c r="T1636">
        <v>0</v>
      </c>
      <c r="U1636" s="8">
        <v>27</v>
      </c>
      <c r="V1636" s="8">
        <f t="shared" si="51"/>
        <v>3</v>
      </c>
      <c r="W1636" t="str">
        <f>_xlfn.XLOOKUP(A1636, Matches!A:A, Matches!L:L, "NA", 0)</f>
        <v>RCBW</v>
      </c>
      <c r="X1636" t="str">
        <f>_xlfn.XLOOKUP(A1636, Matches!A:A, Matches!J:J, "NA", 0)</f>
        <v>GGTW</v>
      </c>
      <c r="Y1636" t="str">
        <f>_xlfn.XLOOKUP(A1636, Matches!A:A, Matches!F:F, "NA", 0)</f>
        <v>Dr DY Patil Sports </v>
      </c>
      <c r="Z1636" cm="1">
        <f t="array" ref="Z1636">INDEX(Innings!F:F,MATCH(1,(TRIM(Innings!A:A)=TRIM(A1636))*(TRIM(Innings!D:D)=TRIM(E1636)),0))</f>
        <v>182</v>
      </c>
      <c r="AA1636" cm="1">
        <f t="array" ref="AA1636">INDEX(Innings!I:I,MATCH(1,(TRIM(Innings!A:A)=TRIM(A1636))*(TRIM(Innings!D:D)=TRIM(E1636)),0))</f>
        <v>9.1</v>
      </c>
      <c r="AB1636" cm="1">
        <f t="array" ref="AB1636">INDEX(Innings!J:J,MATCH(1,(TRIM(Innings!A:A)=TRIM(A1636))*(TRIM(Innings!D:D)=TRIM(E1636)),0))</f>
        <v>45</v>
      </c>
      <c r="AC1636" cm="1">
        <f t="array" ref="AC1636">INDEX(Innings!N:N,MATCH(1,(TRIM(Innings!A:A)=TRIM(A1636))*(TRIM(Innings!D:D)=TRIM(E1636)),0))</f>
        <v>39</v>
      </c>
      <c r="AD1636" cm="1">
        <f t="array" ref="AD1636">INDEX(Innings!S:S,MATCH(1,(TRIM(Innings!A:A)=TRIM(A1636))*(TRIM(Innings!D:D)=TRIM(E1636)),0))</f>
        <v>30</v>
      </c>
      <c r="AE1636" t="str" cm="1">
        <f t="array" ref="AE1636">INDEX(Innings!W:W,MATCH(1,(TRIM(Innings!A:A)=TRIM(A1636))*(TRIM(Innings!D:D)=TRIM(E1636)),0))</f>
        <v>NA</v>
      </c>
      <c r="AF1636">
        <f>IF(UPPER(TRIM(E1636))=UPPER(TRIM(W1636)),1,0)</f>
        <v>1</v>
      </c>
      <c r="AG1636">
        <f t="shared" si="50"/>
        <v>34.4</v>
      </c>
    </row>
    <row r="1637" spans="1:33" x14ac:dyDescent="0.3">
      <c r="A1637" t="s">
        <v>609</v>
      </c>
      <c r="B1637">
        <v>4</v>
      </c>
      <c r="C1637" t="s">
        <v>259</v>
      </c>
      <c r="D1637" t="s">
        <v>257</v>
      </c>
      <c r="E1637" t="s">
        <v>159</v>
      </c>
      <c r="F1637" t="s">
        <v>169</v>
      </c>
      <c r="G1637" t="s">
        <v>134</v>
      </c>
      <c r="H1637">
        <v>0</v>
      </c>
      <c r="I1637">
        <v>1</v>
      </c>
      <c r="J1637">
        <v>0</v>
      </c>
      <c r="K1637" t="s">
        <v>96</v>
      </c>
      <c r="L1637">
        <v>0</v>
      </c>
      <c r="M1637">
        <v>3.5</v>
      </c>
      <c r="N1637">
        <v>0</v>
      </c>
      <c r="O1637">
        <v>23</v>
      </c>
      <c r="P1637">
        <v>5</v>
      </c>
      <c r="Q1637">
        <v>6</v>
      </c>
      <c r="R1637">
        <v>75</v>
      </c>
      <c r="S1637">
        <v>0</v>
      </c>
      <c r="T1637">
        <v>0</v>
      </c>
      <c r="U1637" s="8">
        <v>75</v>
      </c>
      <c r="V1637" s="8">
        <f t="shared" si="51"/>
        <v>8</v>
      </c>
      <c r="W1637" t="str">
        <f>_xlfn.XLOOKUP(A1637, Matches!A:A, Matches!L:L, "NA", 0)</f>
        <v>RCBW</v>
      </c>
      <c r="X1637" t="str">
        <f>_xlfn.XLOOKUP(A1637, Matches!A:A, Matches!J:J, "NA", 0)</f>
        <v>GGTW</v>
      </c>
      <c r="Y1637" t="str">
        <f>_xlfn.XLOOKUP(A1637, Matches!A:A, Matches!F:F, "NA", 0)</f>
        <v>Dr DY Patil Sports </v>
      </c>
      <c r="Z1637" cm="1">
        <f t="array" ref="Z1637">INDEX(Innings!F:F,MATCH(1,(TRIM(Innings!A:A)=TRIM(A1637))*(TRIM(Innings!D:D)=TRIM(E1637)),0))</f>
        <v>182</v>
      </c>
      <c r="AA1637" cm="1">
        <f t="array" ref="AA1637">INDEX(Innings!I:I,MATCH(1,(TRIM(Innings!A:A)=TRIM(A1637))*(TRIM(Innings!D:D)=TRIM(E1637)),0))</f>
        <v>9.1</v>
      </c>
      <c r="AB1637" cm="1">
        <f t="array" ref="AB1637">INDEX(Innings!J:J,MATCH(1,(TRIM(Innings!A:A)=TRIM(A1637))*(TRIM(Innings!D:D)=TRIM(E1637)),0))</f>
        <v>45</v>
      </c>
      <c r="AC1637" cm="1">
        <f t="array" ref="AC1637">INDEX(Innings!N:N,MATCH(1,(TRIM(Innings!A:A)=TRIM(A1637))*(TRIM(Innings!D:D)=TRIM(E1637)),0))</f>
        <v>39</v>
      </c>
      <c r="AD1637" cm="1">
        <f t="array" ref="AD1637">INDEX(Innings!S:S,MATCH(1,(TRIM(Innings!A:A)=TRIM(A1637))*(TRIM(Innings!D:D)=TRIM(E1637)),0))</f>
        <v>30</v>
      </c>
      <c r="AE1637" t="str" cm="1">
        <f t="array" ref="AE1637">INDEX(Innings!W:W,MATCH(1,(TRIM(Innings!A:A)=TRIM(A1637))*(TRIM(Innings!D:D)=TRIM(E1637)),0))</f>
        <v>NA</v>
      </c>
      <c r="AF1637">
        <f>IF(UPPER(TRIM(E1637))=UPPER(TRIM(W1637)),1,0)</f>
        <v>1</v>
      </c>
      <c r="AG1637">
        <f t="shared" si="50"/>
        <v>59.9</v>
      </c>
    </row>
    <row r="1638" spans="1:33" x14ac:dyDescent="0.3">
      <c r="A1638" t="s">
        <v>609</v>
      </c>
      <c r="B1638">
        <v>4</v>
      </c>
      <c r="C1638" t="s">
        <v>528</v>
      </c>
      <c r="D1638" t="s">
        <v>628</v>
      </c>
      <c r="E1638" t="s">
        <v>159</v>
      </c>
      <c r="F1638" t="s">
        <v>101</v>
      </c>
      <c r="G1638" t="s">
        <v>104</v>
      </c>
      <c r="H1638">
        <v>0</v>
      </c>
      <c r="I1638">
        <v>0</v>
      </c>
      <c r="J1638">
        <v>0</v>
      </c>
      <c r="K1638" t="s">
        <v>104</v>
      </c>
      <c r="L1638">
        <v>0</v>
      </c>
      <c r="M1638">
        <v>2</v>
      </c>
      <c r="N1638">
        <v>0</v>
      </c>
      <c r="O1638">
        <v>27</v>
      </c>
      <c r="P1638">
        <v>0</v>
      </c>
      <c r="Q1638">
        <v>13.5</v>
      </c>
      <c r="R1638">
        <v>-10</v>
      </c>
      <c r="S1638">
        <v>0</v>
      </c>
      <c r="T1638">
        <v>0</v>
      </c>
      <c r="U1638" s="8">
        <v>-10</v>
      </c>
      <c r="V1638" s="8">
        <f t="shared" si="51"/>
        <v>0</v>
      </c>
      <c r="W1638" t="str">
        <f>_xlfn.XLOOKUP(A1638, Matches!A:A, Matches!L:L, "NA", 0)</f>
        <v>RCBW</v>
      </c>
      <c r="X1638" t="str">
        <f>_xlfn.XLOOKUP(A1638, Matches!A:A, Matches!J:J, "NA", 0)</f>
        <v>GGTW</v>
      </c>
      <c r="Y1638" t="str">
        <f>_xlfn.XLOOKUP(A1638, Matches!A:A, Matches!F:F, "NA", 0)</f>
        <v>Dr DY Patil Sports </v>
      </c>
      <c r="Z1638" cm="1">
        <f t="array" ref="Z1638">INDEX(Innings!F:F,MATCH(1,(TRIM(Innings!A:A)=TRIM(A1638))*(TRIM(Innings!D:D)=TRIM(E1638)),0))</f>
        <v>182</v>
      </c>
      <c r="AA1638" cm="1">
        <f t="array" ref="AA1638">INDEX(Innings!I:I,MATCH(1,(TRIM(Innings!A:A)=TRIM(A1638))*(TRIM(Innings!D:D)=TRIM(E1638)),0))</f>
        <v>9.1</v>
      </c>
      <c r="AB1638" cm="1">
        <f t="array" ref="AB1638">INDEX(Innings!J:J,MATCH(1,(TRIM(Innings!A:A)=TRIM(A1638))*(TRIM(Innings!D:D)=TRIM(E1638)),0))</f>
        <v>45</v>
      </c>
      <c r="AC1638" cm="1">
        <f t="array" ref="AC1638">INDEX(Innings!N:N,MATCH(1,(TRIM(Innings!A:A)=TRIM(A1638))*(TRIM(Innings!D:D)=TRIM(E1638)),0))</f>
        <v>39</v>
      </c>
      <c r="AD1638" cm="1">
        <f t="array" ref="AD1638">INDEX(Innings!S:S,MATCH(1,(TRIM(Innings!A:A)=TRIM(A1638))*(TRIM(Innings!D:D)=TRIM(E1638)),0))</f>
        <v>30</v>
      </c>
      <c r="AE1638" t="str" cm="1">
        <f t="array" ref="AE1638">INDEX(Innings!W:W,MATCH(1,(TRIM(Innings!A:A)=TRIM(A1638))*(TRIM(Innings!D:D)=TRIM(E1638)),0))</f>
        <v>NA</v>
      </c>
      <c r="AF1638">
        <f>IF(UPPER(TRIM(E1638))=UPPER(TRIM(W1638)),1,0)</f>
        <v>1</v>
      </c>
      <c r="AG1638">
        <f t="shared" si="50"/>
        <v>20</v>
      </c>
    </row>
    <row r="1639" spans="1:33" x14ac:dyDescent="0.3">
      <c r="A1639" t="s">
        <v>609</v>
      </c>
      <c r="B1639">
        <v>4</v>
      </c>
      <c r="C1639" t="s">
        <v>527</v>
      </c>
      <c r="D1639" t="s">
        <v>627</v>
      </c>
      <c r="E1639" t="s">
        <v>159</v>
      </c>
      <c r="F1639" t="s">
        <v>101</v>
      </c>
      <c r="G1639" t="s">
        <v>104</v>
      </c>
      <c r="H1639">
        <v>0</v>
      </c>
      <c r="I1639">
        <v>0</v>
      </c>
      <c r="J1639">
        <v>0</v>
      </c>
      <c r="K1639" t="s">
        <v>104</v>
      </c>
      <c r="L1639">
        <v>0</v>
      </c>
      <c r="M1639">
        <v>4</v>
      </c>
      <c r="N1639">
        <v>0</v>
      </c>
      <c r="O1639">
        <v>29</v>
      </c>
      <c r="P1639">
        <v>3</v>
      </c>
      <c r="Q1639">
        <v>7.2</v>
      </c>
      <c r="R1639">
        <v>75</v>
      </c>
      <c r="S1639">
        <v>0</v>
      </c>
      <c r="T1639">
        <v>0</v>
      </c>
      <c r="U1639" s="8">
        <v>75</v>
      </c>
      <c r="V1639" s="8">
        <f t="shared" si="51"/>
        <v>8</v>
      </c>
      <c r="W1639" t="str">
        <f>_xlfn.XLOOKUP(A1639, Matches!A:A, Matches!L:L, "NA", 0)</f>
        <v>RCBW</v>
      </c>
      <c r="X1639" t="str">
        <f>_xlfn.XLOOKUP(A1639, Matches!A:A, Matches!J:J, "NA", 0)</f>
        <v>GGTW</v>
      </c>
      <c r="Y1639" t="str">
        <f>_xlfn.XLOOKUP(A1639, Matches!A:A, Matches!F:F, "NA", 0)</f>
        <v>Dr DY Patil Sports </v>
      </c>
      <c r="Z1639" cm="1">
        <f t="array" ref="Z1639">INDEX(Innings!F:F,MATCH(1,(TRIM(Innings!A:A)=TRIM(A1639))*(TRIM(Innings!D:D)=TRIM(E1639)),0))</f>
        <v>182</v>
      </c>
      <c r="AA1639" cm="1">
        <f t="array" ref="AA1639">INDEX(Innings!I:I,MATCH(1,(TRIM(Innings!A:A)=TRIM(A1639))*(TRIM(Innings!D:D)=TRIM(E1639)),0))</f>
        <v>9.1</v>
      </c>
      <c r="AB1639" cm="1">
        <f t="array" ref="AB1639">INDEX(Innings!J:J,MATCH(1,(TRIM(Innings!A:A)=TRIM(A1639))*(TRIM(Innings!D:D)=TRIM(E1639)),0))</f>
        <v>45</v>
      </c>
      <c r="AC1639" cm="1">
        <f t="array" ref="AC1639">INDEX(Innings!N:N,MATCH(1,(TRIM(Innings!A:A)=TRIM(A1639))*(TRIM(Innings!D:D)=TRIM(E1639)),0))</f>
        <v>39</v>
      </c>
      <c r="AD1639" cm="1">
        <f t="array" ref="AD1639">INDEX(Innings!S:S,MATCH(1,(TRIM(Innings!A:A)=TRIM(A1639))*(TRIM(Innings!D:D)=TRIM(E1639)),0))</f>
        <v>30</v>
      </c>
      <c r="AE1639" t="str" cm="1">
        <f t="array" ref="AE1639">INDEX(Innings!W:W,MATCH(1,(TRIM(Innings!A:A)=TRIM(A1639))*(TRIM(Innings!D:D)=TRIM(E1639)),0))</f>
        <v>NA</v>
      </c>
      <c r="AF1639">
        <f>IF(UPPER(TRIM(E1639))=UPPER(TRIM(W1639)),1,0)</f>
        <v>1</v>
      </c>
      <c r="AG1639">
        <f t="shared" si="50"/>
        <v>59.9</v>
      </c>
    </row>
    <row r="1640" spans="1:33" x14ac:dyDescent="0.3">
      <c r="A1640" t="s">
        <v>609</v>
      </c>
      <c r="B1640">
        <v>4</v>
      </c>
      <c r="C1640" t="s">
        <v>81</v>
      </c>
      <c r="D1640" t="s">
        <v>114</v>
      </c>
      <c r="E1640" t="s">
        <v>258</v>
      </c>
      <c r="F1640" t="s">
        <v>85</v>
      </c>
      <c r="G1640" t="s">
        <v>86</v>
      </c>
      <c r="H1640">
        <v>27</v>
      </c>
      <c r="I1640">
        <v>14</v>
      </c>
      <c r="J1640">
        <v>192.86</v>
      </c>
      <c r="K1640" t="s">
        <v>247</v>
      </c>
      <c r="L1640">
        <v>40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 s="8">
        <v>40</v>
      </c>
      <c r="V1640" s="8">
        <f t="shared" si="51"/>
        <v>4</v>
      </c>
      <c r="W1640" t="str">
        <f>_xlfn.XLOOKUP(A1640, Matches!A:A, Matches!L:L, "NA", 0)</f>
        <v>RCBW</v>
      </c>
      <c r="X1640" t="str">
        <f>_xlfn.XLOOKUP(A1640, Matches!A:A, Matches!J:J, "NA", 0)</f>
        <v>GGTW</v>
      </c>
      <c r="Y1640" t="str">
        <f>_xlfn.XLOOKUP(A1640, Matches!A:A, Matches!F:F, "NA", 0)</f>
        <v>Dr DY Patil Sports </v>
      </c>
      <c r="Z1640" cm="1">
        <f t="array" ref="Z1640">INDEX(Innings!F:F,MATCH(1,(TRIM(Innings!A:A)=TRIM(A1640))*(TRIM(Innings!D:D)=TRIM(E1640)),0))</f>
        <v>150</v>
      </c>
      <c r="AA1640" cm="1">
        <f t="array" ref="AA1640">INDEX(Innings!I:I,MATCH(1,(TRIM(Innings!A:A)=TRIM(A1640))*(TRIM(Innings!D:D)=TRIM(E1640)),0))</f>
        <v>7.96</v>
      </c>
      <c r="AB1640" cm="1">
        <f t="array" ref="AB1640">INDEX(Innings!J:J,MATCH(1,(TRIM(Innings!A:A)=TRIM(A1640))*(TRIM(Innings!D:D)=TRIM(E1640)),0))</f>
        <v>44</v>
      </c>
      <c r="AC1640" cm="1">
        <f t="array" ref="AC1640">INDEX(Innings!N:N,MATCH(1,(TRIM(Innings!A:A)=TRIM(A1640))*(TRIM(Innings!D:D)=TRIM(E1640)),0))</f>
        <v>17</v>
      </c>
      <c r="AD1640" cm="1">
        <f t="array" ref="AD1640">INDEX(Innings!S:S,MATCH(1,(TRIM(Innings!A:A)=TRIM(A1640))*(TRIM(Innings!D:D)=TRIM(E1640)),0))</f>
        <v>33</v>
      </c>
      <c r="AE1640" t="str" cm="1">
        <f t="array" ref="AE1640">INDEX(Innings!W:W,MATCH(1,(TRIM(Innings!A:A)=TRIM(A1640))*(TRIM(Innings!D:D)=TRIM(E1640)),0))</f>
        <v>Failed</v>
      </c>
      <c r="AF1640">
        <f>IF(UPPER(TRIM(E1640))=UPPER(TRIM(W1640)),1,0)</f>
        <v>0</v>
      </c>
      <c r="AG1640">
        <f t="shared" si="50"/>
        <v>21.2</v>
      </c>
    </row>
    <row r="1641" spans="1:33" x14ac:dyDescent="0.3">
      <c r="A1641" t="s">
        <v>609</v>
      </c>
      <c r="B1641">
        <v>4</v>
      </c>
      <c r="C1641" t="s">
        <v>167</v>
      </c>
      <c r="D1641" t="s">
        <v>168</v>
      </c>
      <c r="E1641" t="s">
        <v>258</v>
      </c>
      <c r="F1641" t="s">
        <v>169</v>
      </c>
      <c r="G1641" t="s">
        <v>92</v>
      </c>
      <c r="H1641">
        <v>8</v>
      </c>
      <c r="I1641">
        <v>12</v>
      </c>
      <c r="J1641">
        <v>66.67</v>
      </c>
      <c r="K1641" t="s">
        <v>246</v>
      </c>
      <c r="L1641">
        <v>5</v>
      </c>
      <c r="M1641">
        <v>4</v>
      </c>
      <c r="N1641">
        <v>0</v>
      </c>
      <c r="O1641">
        <v>31</v>
      </c>
      <c r="P1641">
        <v>3</v>
      </c>
      <c r="Q1641">
        <v>7.8</v>
      </c>
      <c r="R1641">
        <v>75</v>
      </c>
      <c r="S1641">
        <v>0</v>
      </c>
      <c r="T1641">
        <v>0</v>
      </c>
      <c r="U1641" s="8">
        <v>80</v>
      </c>
      <c r="V1641" s="8">
        <f t="shared" si="51"/>
        <v>8</v>
      </c>
      <c r="W1641" t="str">
        <f>_xlfn.XLOOKUP(A1641, Matches!A:A, Matches!L:L, "NA", 0)</f>
        <v>RCBW</v>
      </c>
      <c r="X1641" t="str">
        <f>_xlfn.XLOOKUP(A1641, Matches!A:A, Matches!J:J, "NA", 0)</f>
        <v>GGTW</v>
      </c>
      <c r="Y1641" t="str">
        <f>_xlfn.XLOOKUP(A1641, Matches!A:A, Matches!F:F, "NA", 0)</f>
        <v>Dr DY Patil Sports </v>
      </c>
      <c r="Z1641" cm="1">
        <f t="array" ref="Z1641">INDEX(Innings!F:F,MATCH(1,(TRIM(Innings!A:A)=TRIM(A1641))*(TRIM(Innings!D:D)=TRIM(E1641)),0))</f>
        <v>150</v>
      </c>
      <c r="AA1641" cm="1">
        <f t="array" ref="AA1641">INDEX(Innings!I:I,MATCH(1,(TRIM(Innings!A:A)=TRIM(A1641))*(TRIM(Innings!D:D)=TRIM(E1641)),0))</f>
        <v>7.96</v>
      </c>
      <c r="AB1641" cm="1">
        <f t="array" ref="AB1641">INDEX(Innings!J:J,MATCH(1,(TRIM(Innings!A:A)=TRIM(A1641))*(TRIM(Innings!D:D)=TRIM(E1641)),0))</f>
        <v>44</v>
      </c>
      <c r="AC1641" cm="1">
        <f t="array" ref="AC1641">INDEX(Innings!N:N,MATCH(1,(TRIM(Innings!A:A)=TRIM(A1641))*(TRIM(Innings!D:D)=TRIM(E1641)),0))</f>
        <v>17</v>
      </c>
      <c r="AD1641" cm="1">
        <f t="array" ref="AD1641">INDEX(Innings!S:S,MATCH(1,(TRIM(Innings!A:A)=TRIM(A1641))*(TRIM(Innings!D:D)=TRIM(E1641)),0))</f>
        <v>33</v>
      </c>
      <c r="AE1641" t="str" cm="1">
        <f t="array" ref="AE1641">INDEX(Innings!W:W,MATCH(1,(TRIM(Innings!A:A)=TRIM(A1641))*(TRIM(Innings!D:D)=TRIM(E1641)),0))</f>
        <v>Failed</v>
      </c>
      <c r="AF1641">
        <f>IF(UPPER(TRIM(E1641))=UPPER(TRIM(W1641)),1,0)</f>
        <v>0</v>
      </c>
      <c r="AG1641">
        <f t="shared" si="50"/>
        <v>42.4</v>
      </c>
    </row>
    <row r="1642" spans="1:33" x14ac:dyDescent="0.3">
      <c r="A1642" t="s">
        <v>609</v>
      </c>
      <c r="B1642">
        <v>4</v>
      </c>
      <c r="C1642" t="s">
        <v>178</v>
      </c>
      <c r="D1642" t="s">
        <v>179</v>
      </c>
      <c r="E1642" t="s">
        <v>258</v>
      </c>
      <c r="F1642" t="s">
        <v>169</v>
      </c>
      <c r="G1642" t="s">
        <v>92</v>
      </c>
      <c r="H1642">
        <v>16</v>
      </c>
      <c r="I1642">
        <v>14</v>
      </c>
      <c r="J1642">
        <v>114.29</v>
      </c>
      <c r="K1642" t="s">
        <v>247</v>
      </c>
      <c r="L1642">
        <v>20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 s="8">
        <v>20</v>
      </c>
      <c r="V1642" s="8">
        <f t="shared" si="51"/>
        <v>2</v>
      </c>
      <c r="W1642" t="str">
        <f>_xlfn.XLOOKUP(A1642, Matches!A:A, Matches!L:L, "NA", 0)</f>
        <v>RCBW</v>
      </c>
      <c r="X1642" t="str">
        <f>_xlfn.XLOOKUP(A1642, Matches!A:A, Matches!J:J, "NA", 0)</f>
        <v>GGTW</v>
      </c>
      <c r="Y1642" t="str">
        <f>_xlfn.XLOOKUP(A1642, Matches!A:A, Matches!F:F, "NA", 0)</f>
        <v>Dr DY Patil Sports </v>
      </c>
      <c r="Z1642" cm="1">
        <f t="array" ref="Z1642">INDEX(Innings!F:F,MATCH(1,(TRIM(Innings!A:A)=TRIM(A1642))*(TRIM(Innings!D:D)=TRIM(E1642)),0))</f>
        <v>150</v>
      </c>
      <c r="AA1642" cm="1">
        <f t="array" ref="AA1642">INDEX(Innings!I:I,MATCH(1,(TRIM(Innings!A:A)=TRIM(A1642))*(TRIM(Innings!D:D)=TRIM(E1642)),0))</f>
        <v>7.96</v>
      </c>
      <c r="AB1642" cm="1">
        <f t="array" ref="AB1642">INDEX(Innings!J:J,MATCH(1,(TRIM(Innings!A:A)=TRIM(A1642))*(TRIM(Innings!D:D)=TRIM(E1642)),0))</f>
        <v>44</v>
      </c>
      <c r="AC1642" cm="1">
        <f t="array" ref="AC1642">INDEX(Innings!N:N,MATCH(1,(TRIM(Innings!A:A)=TRIM(A1642))*(TRIM(Innings!D:D)=TRIM(E1642)),0))</f>
        <v>17</v>
      </c>
      <c r="AD1642" cm="1">
        <f t="array" ref="AD1642">INDEX(Innings!S:S,MATCH(1,(TRIM(Innings!A:A)=TRIM(A1642))*(TRIM(Innings!D:D)=TRIM(E1642)),0))</f>
        <v>33</v>
      </c>
      <c r="AE1642" t="str" cm="1">
        <f t="array" ref="AE1642">INDEX(Innings!W:W,MATCH(1,(TRIM(Innings!A:A)=TRIM(A1642))*(TRIM(Innings!D:D)=TRIM(E1642)),0))</f>
        <v>Failed</v>
      </c>
      <c r="AF1642">
        <f>IF(UPPER(TRIM(E1642))=UPPER(TRIM(W1642)),1,0)</f>
        <v>0</v>
      </c>
      <c r="AG1642">
        <f t="shared" si="50"/>
        <v>10.6</v>
      </c>
    </row>
    <row r="1643" spans="1:33" x14ac:dyDescent="0.3">
      <c r="A1643" t="s">
        <v>609</v>
      </c>
      <c r="B1643">
        <v>4</v>
      </c>
      <c r="C1643" t="s">
        <v>93</v>
      </c>
      <c r="D1643" t="s">
        <v>118</v>
      </c>
      <c r="E1643" t="s">
        <v>258</v>
      </c>
      <c r="F1643" t="s">
        <v>169</v>
      </c>
      <c r="G1643" t="s">
        <v>92</v>
      </c>
      <c r="H1643">
        <v>3</v>
      </c>
      <c r="I1643">
        <v>6</v>
      </c>
      <c r="J1643">
        <v>50</v>
      </c>
      <c r="K1643" t="s">
        <v>246</v>
      </c>
      <c r="L1643">
        <v>0</v>
      </c>
      <c r="M1643">
        <v>4</v>
      </c>
      <c r="N1643">
        <v>0</v>
      </c>
      <c r="O1643">
        <v>32</v>
      </c>
      <c r="P1643">
        <v>0</v>
      </c>
      <c r="Q1643">
        <v>8</v>
      </c>
      <c r="R1643">
        <v>0</v>
      </c>
      <c r="S1643">
        <v>0</v>
      </c>
      <c r="T1643">
        <v>0</v>
      </c>
      <c r="U1643" s="8">
        <v>0</v>
      </c>
      <c r="V1643" s="8">
        <f t="shared" si="51"/>
        <v>0</v>
      </c>
      <c r="W1643" t="str">
        <f>_xlfn.XLOOKUP(A1643, Matches!A:A, Matches!L:L, "NA", 0)</f>
        <v>RCBW</v>
      </c>
      <c r="X1643" t="str">
        <f>_xlfn.XLOOKUP(A1643, Matches!A:A, Matches!J:J, "NA", 0)</f>
        <v>GGTW</v>
      </c>
      <c r="Y1643" t="str">
        <f>_xlfn.XLOOKUP(A1643, Matches!A:A, Matches!F:F, "NA", 0)</f>
        <v>Dr DY Patil Sports </v>
      </c>
      <c r="Z1643" cm="1">
        <f t="array" ref="Z1643">INDEX(Innings!F:F,MATCH(1,(TRIM(Innings!A:A)=TRIM(A1643))*(TRIM(Innings!D:D)=TRIM(E1643)),0))</f>
        <v>150</v>
      </c>
      <c r="AA1643" cm="1">
        <f t="array" ref="AA1643">INDEX(Innings!I:I,MATCH(1,(TRIM(Innings!A:A)=TRIM(A1643))*(TRIM(Innings!D:D)=TRIM(E1643)),0))</f>
        <v>7.96</v>
      </c>
      <c r="AB1643" cm="1">
        <f t="array" ref="AB1643">INDEX(Innings!J:J,MATCH(1,(TRIM(Innings!A:A)=TRIM(A1643))*(TRIM(Innings!D:D)=TRIM(E1643)),0))</f>
        <v>44</v>
      </c>
      <c r="AC1643" cm="1">
        <f t="array" ref="AC1643">INDEX(Innings!N:N,MATCH(1,(TRIM(Innings!A:A)=TRIM(A1643))*(TRIM(Innings!D:D)=TRIM(E1643)),0))</f>
        <v>17</v>
      </c>
      <c r="AD1643" cm="1">
        <f t="array" ref="AD1643">INDEX(Innings!S:S,MATCH(1,(TRIM(Innings!A:A)=TRIM(A1643))*(TRIM(Innings!D:D)=TRIM(E1643)),0))</f>
        <v>33</v>
      </c>
      <c r="AE1643" t="str" cm="1">
        <f t="array" ref="AE1643">INDEX(Innings!W:W,MATCH(1,(TRIM(Innings!A:A)=TRIM(A1643))*(TRIM(Innings!D:D)=TRIM(E1643)),0))</f>
        <v>Failed</v>
      </c>
      <c r="AF1643">
        <f>IF(UPPER(TRIM(E1643))=UPPER(TRIM(W1643)),1,0)</f>
        <v>0</v>
      </c>
      <c r="AG1643">
        <f t="shared" si="50"/>
        <v>0</v>
      </c>
    </row>
    <row r="1644" spans="1:33" x14ac:dyDescent="0.3">
      <c r="A1644" t="s">
        <v>609</v>
      </c>
      <c r="B1644">
        <v>4</v>
      </c>
      <c r="C1644" t="s">
        <v>99</v>
      </c>
      <c r="D1644" t="s">
        <v>124</v>
      </c>
      <c r="E1644" t="s">
        <v>258</v>
      </c>
      <c r="F1644" t="s">
        <v>169</v>
      </c>
      <c r="G1644" t="s">
        <v>134</v>
      </c>
      <c r="H1644">
        <v>13</v>
      </c>
      <c r="I1644">
        <v>13</v>
      </c>
      <c r="J1644">
        <v>100</v>
      </c>
      <c r="K1644" t="s">
        <v>246</v>
      </c>
      <c r="L1644">
        <v>15</v>
      </c>
      <c r="M1644">
        <v>4</v>
      </c>
      <c r="N1644">
        <v>0</v>
      </c>
      <c r="O1644">
        <v>35</v>
      </c>
      <c r="P1644">
        <v>1</v>
      </c>
      <c r="Q1644">
        <v>8.8000000000000007</v>
      </c>
      <c r="R1644">
        <v>25</v>
      </c>
      <c r="S1644">
        <v>0</v>
      </c>
      <c r="T1644">
        <v>0</v>
      </c>
      <c r="U1644" s="8">
        <v>40</v>
      </c>
      <c r="V1644" s="8">
        <f t="shared" si="51"/>
        <v>4</v>
      </c>
      <c r="W1644" t="str">
        <f>_xlfn.XLOOKUP(A1644, Matches!A:A, Matches!L:L, "NA", 0)</f>
        <v>RCBW</v>
      </c>
      <c r="X1644" t="str">
        <f>_xlfn.XLOOKUP(A1644, Matches!A:A, Matches!J:J, "NA", 0)</f>
        <v>GGTW</v>
      </c>
      <c r="Y1644" t="str">
        <f>_xlfn.XLOOKUP(A1644, Matches!A:A, Matches!F:F, "NA", 0)</f>
        <v>Dr DY Patil Sports </v>
      </c>
      <c r="Z1644" cm="1">
        <f t="array" ref="Z1644">INDEX(Innings!F:F,MATCH(1,(TRIM(Innings!A:A)=TRIM(A1644))*(TRIM(Innings!D:D)=TRIM(E1644)),0))</f>
        <v>150</v>
      </c>
      <c r="AA1644" cm="1">
        <f t="array" ref="AA1644">INDEX(Innings!I:I,MATCH(1,(TRIM(Innings!A:A)=TRIM(A1644))*(TRIM(Innings!D:D)=TRIM(E1644)),0))</f>
        <v>7.96</v>
      </c>
      <c r="AB1644" cm="1">
        <f t="array" ref="AB1644">INDEX(Innings!J:J,MATCH(1,(TRIM(Innings!A:A)=TRIM(A1644))*(TRIM(Innings!D:D)=TRIM(E1644)),0))</f>
        <v>44</v>
      </c>
      <c r="AC1644" cm="1">
        <f t="array" ref="AC1644">INDEX(Innings!N:N,MATCH(1,(TRIM(Innings!A:A)=TRIM(A1644))*(TRIM(Innings!D:D)=TRIM(E1644)),0))</f>
        <v>17</v>
      </c>
      <c r="AD1644" cm="1">
        <f t="array" ref="AD1644">INDEX(Innings!S:S,MATCH(1,(TRIM(Innings!A:A)=TRIM(A1644))*(TRIM(Innings!D:D)=TRIM(E1644)),0))</f>
        <v>33</v>
      </c>
      <c r="AE1644" t="str" cm="1">
        <f t="array" ref="AE1644">INDEX(Innings!W:W,MATCH(1,(TRIM(Innings!A:A)=TRIM(A1644))*(TRIM(Innings!D:D)=TRIM(E1644)),0))</f>
        <v>Failed</v>
      </c>
      <c r="AF1644">
        <f>IF(UPPER(TRIM(E1644))=UPPER(TRIM(W1644)),1,0)</f>
        <v>0</v>
      </c>
      <c r="AG1644">
        <f t="shared" si="50"/>
        <v>21.2</v>
      </c>
    </row>
    <row r="1645" spans="1:33" x14ac:dyDescent="0.3">
      <c r="A1645" t="s">
        <v>609</v>
      </c>
      <c r="B1645">
        <v>4</v>
      </c>
      <c r="C1645" t="s">
        <v>447</v>
      </c>
      <c r="D1645" t="s">
        <v>448</v>
      </c>
      <c r="E1645" t="s">
        <v>258</v>
      </c>
      <c r="F1645" t="s">
        <v>109</v>
      </c>
      <c r="G1645" t="s">
        <v>134</v>
      </c>
      <c r="H1645">
        <v>39</v>
      </c>
      <c r="I1645">
        <v>20</v>
      </c>
      <c r="J1645">
        <v>195</v>
      </c>
      <c r="K1645" t="s">
        <v>246</v>
      </c>
      <c r="L1645">
        <v>55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 s="8">
        <v>55</v>
      </c>
      <c r="V1645" s="8">
        <f t="shared" si="51"/>
        <v>6</v>
      </c>
      <c r="W1645" t="str">
        <f>_xlfn.XLOOKUP(A1645, Matches!A:A, Matches!L:L, "NA", 0)</f>
        <v>RCBW</v>
      </c>
      <c r="X1645" t="str">
        <f>_xlfn.XLOOKUP(A1645, Matches!A:A, Matches!J:J, "NA", 0)</f>
        <v>GGTW</v>
      </c>
      <c r="Y1645" t="str">
        <f>_xlfn.XLOOKUP(A1645, Matches!A:A, Matches!F:F, "NA", 0)</f>
        <v>Dr DY Patil Sports </v>
      </c>
      <c r="Z1645" cm="1">
        <f t="array" ref="Z1645">INDEX(Innings!F:F,MATCH(1,(TRIM(Innings!A:A)=TRIM(A1645))*(TRIM(Innings!D:D)=TRIM(E1645)),0))</f>
        <v>150</v>
      </c>
      <c r="AA1645" cm="1">
        <f t="array" ref="AA1645">INDEX(Innings!I:I,MATCH(1,(TRIM(Innings!A:A)=TRIM(A1645))*(TRIM(Innings!D:D)=TRIM(E1645)),0))</f>
        <v>7.96</v>
      </c>
      <c r="AB1645" cm="1">
        <f t="array" ref="AB1645">INDEX(Innings!J:J,MATCH(1,(TRIM(Innings!A:A)=TRIM(A1645))*(TRIM(Innings!D:D)=TRIM(E1645)),0))</f>
        <v>44</v>
      </c>
      <c r="AC1645" cm="1">
        <f t="array" ref="AC1645">INDEX(Innings!N:N,MATCH(1,(TRIM(Innings!A:A)=TRIM(A1645))*(TRIM(Innings!D:D)=TRIM(E1645)),0))</f>
        <v>17</v>
      </c>
      <c r="AD1645" cm="1">
        <f t="array" ref="AD1645">INDEX(Innings!S:S,MATCH(1,(TRIM(Innings!A:A)=TRIM(A1645))*(TRIM(Innings!D:D)=TRIM(E1645)),0))</f>
        <v>33</v>
      </c>
      <c r="AE1645" t="str" cm="1">
        <f t="array" ref="AE1645">INDEX(Innings!W:W,MATCH(1,(TRIM(Innings!A:A)=TRIM(A1645))*(TRIM(Innings!D:D)=TRIM(E1645)),0))</f>
        <v>Failed</v>
      </c>
      <c r="AF1645">
        <f>IF(UPPER(TRIM(E1645))=UPPER(TRIM(W1645)),1,0)</f>
        <v>0</v>
      </c>
      <c r="AG1645">
        <f t="shared" si="50"/>
        <v>29.3</v>
      </c>
    </row>
    <row r="1646" spans="1:33" x14ac:dyDescent="0.3">
      <c r="A1646" t="s">
        <v>609</v>
      </c>
      <c r="B1646">
        <v>4</v>
      </c>
      <c r="C1646" t="s">
        <v>493</v>
      </c>
      <c r="D1646" t="s">
        <v>500</v>
      </c>
      <c r="E1646" t="s">
        <v>258</v>
      </c>
      <c r="F1646" t="s">
        <v>169</v>
      </c>
      <c r="G1646" t="s">
        <v>134</v>
      </c>
      <c r="H1646">
        <v>18</v>
      </c>
      <c r="I1646">
        <v>14</v>
      </c>
      <c r="J1646">
        <v>128.57</v>
      </c>
      <c r="K1646" t="s">
        <v>246</v>
      </c>
      <c r="L1646">
        <v>25</v>
      </c>
      <c r="M1646">
        <v>4</v>
      </c>
      <c r="N1646">
        <v>0</v>
      </c>
      <c r="O1646">
        <v>42</v>
      </c>
      <c r="P1646">
        <v>2</v>
      </c>
      <c r="Q1646">
        <v>10.5</v>
      </c>
      <c r="R1646">
        <v>50</v>
      </c>
      <c r="S1646">
        <v>0</v>
      </c>
      <c r="T1646">
        <v>0</v>
      </c>
      <c r="U1646" s="8">
        <v>75</v>
      </c>
      <c r="V1646" s="8">
        <f t="shared" si="51"/>
        <v>8</v>
      </c>
      <c r="W1646" t="str">
        <f>_xlfn.XLOOKUP(A1646, Matches!A:A, Matches!L:L, "NA", 0)</f>
        <v>RCBW</v>
      </c>
      <c r="X1646" t="str">
        <f>_xlfn.XLOOKUP(A1646, Matches!A:A, Matches!J:J, "NA", 0)</f>
        <v>GGTW</v>
      </c>
      <c r="Y1646" t="str">
        <f>_xlfn.XLOOKUP(A1646, Matches!A:A, Matches!F:F, "NA", 0)</f>
        <v>Dr DY Patil Sports </v>
      </c>
      <c r="Z1646" cm="1">
        <f t="array" ref="Z1646">INDEX(Innings!F:F,MATCH(1,(TRIM(Innings!A:A)=TRIM(A1646))*(TRIM(Innings!D:D)=TRIM(E1646)),0))</f>
        <v>150</v>
      </c>
      <c r="AA1646" cm="1">
        <f t="array" ref="AA1646">INDEX(Innings!I:I,MATCH(1,(TRIM(Innings!A:A)=TRIM(A1646))*(TRIM(Innings!D:D)=TRIM(E1646)),0))</f>
        <v>7.96</v>
      </c>
      <c r="AB1646" cm="1">
        <f t="array" ref="AB1646">INDEX(Innings!J:J,MATCH(1,(TRIM(Innings!A:A)=TRIM(A1646))*(TRIM(Innings!D:D)=TRIM(E1646)),0))</f>
        <v>44</v>
      </c>
      <c r="AC1646" cm="1">
        <f t="array" ref="AC1646">INDEX(Innings!N:N,MATCH(1,(TRIM(Innings!A:A)=TRIM(A1646))*(TRIM(Innings!D:D)=TRIM(E1646)),0))</f>
        <v>17</v>
      </c>
      <c r="AD1646" cm="1">
        <f t="array" ref="AD1646">INDEX(Innings!S:S,MATCH(1,(TRIM(Innings!A:A)=TRIM(A1646))*(TRIM(Innings!D:D)=TRIM(E1646)),0))</f>
        <v>33</v>
      </c>
      <c r="AE1646" t="str" cm="1">
        <f t="array" ref="AE1646">INDEX(Innings!W:W,MATCH(1,(TRIM(Innings!A:A)=TRIM(A1646))*(TRIM(Innings!D:D)=TRIM(E1646)),0))</f>
        <v>Failed</v>
      </c>
      <c r="AF1646">
        <f>IF(UPPER(TRIM(E1646))=UPPER(TRIM(W1646)),1,0)</f>
        <v>0</v>
      </c>
      <c r="AG1646">
        <f t="shared" si="50"/>
        <v>39.9</v>
      </c>
    </row>
    <row r="1647" spans="1:33" x14ac:dyDescent="0.3">
      <c r="A1647" t="s">
        <v>609</v>
      </c>
      <c r="B1647">
        <v>4</v>
      </c>
      <c r="C1647" t="s">
        <v>105</v>
      </c>
      <c r="D1647" t="s">
        <v>128</v>
      </c>
      <c r="E1647" t="s">
        <v>258</v>
      </c>
      <c r="F1647" t="s">
        <v>101</v>
      </c>
      <c r="G1647" t="s">
        <v>134</v>
      </c>
      <c r="H1647">
        <v>21</v>
      </c>
      <c r="I1647">
        <v>13</v>
      </c>
      <c r="J1647">
        <v>161.54</v>
      </c>
      <c r="K1647" t="s">
        <v>246</v>
      </c>
      <c r="L1647">
        <v>30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 s="8">
        <v>30</v>
      </c>
      <c r="V1647" s="8">
        <f t="shared" si="51"/>
        <v>3</v>
      </c>
      <c r="W1647" t="str">
        <f>_xlfn.XLOOKUP(A1647, Matches!A:A, Matches!L:L, "NA", 0)</f>
        <v>RCBW</v>
      </c>
      <c r="X1647" t="str">
        <f>_xlfn.XLOOKUP(A1647, Matches!A:A, Matches!J:J, "NA", 0)</f>
        <v>GGTW</v>
      </c>
      <c r="Y1647" t="str">
        <f>_xlfn.XLOOKUP(A1647, Matches!A:A, Matches!F:F, "NA", 0)</f>
        <v>Dr DY Patil Sports </v>
      </c>
      <c r="Z1647" cm="1">
        <f t="array" ref="Z1647">INDEX(Innings!F:F,MATCH(1,(TRIM(Innings!A:A)=TRIM(A1647))*(TRIM(Innings!D:D)=TRIM(E1647)),0))</f>
        <v>150</v>
      </c>
      <c r="AA1647" cm="1">
        <f t="array" ref="AA1647">INDEX(Innings!I:I,MATCH(1,(TRIM(Innings!A:A)=TRIM(A1647))*(TRIM(Innings!D:D)=TRIM(E1647)),0))</f>
        <v>7.96</v>
      </c>
      <c r="AB1647" cm="1">
        <f t="array" ref="AB1647">INDEX(Innings!J:J,MATCH(1,(TRIM(Innings!A:A)=TRIM(A1647))*(TRIM(Innings!D:D)=TRIM(E1647)),0))</f>
        <v>44</v>
      </c>
      <c r="AC1647" cm="1">
        <f t="array" ref="AC1647">INDEX(Innings!N:N,MATCH(1,(TRIM(Innings!A:A)=TRIM(A1647))*(TRIM(Innings!D:D)=TRIM(E1647)),0))</f>
        <v>17</v>
      </c>
      <c r="AD1647" cm="1">
        <f t="array" ref="AD1647">INDEX(Innings!S:S,MATCH(1,(TRIM(Innings!A:A)=TRIM(A1647))*(TRIM(Innings!D:D)=TRIM(E1647)),0))</f>
        <v>33</v>
      </c>
      <c r="AE1647" t="str" cm="1">
        <f t="array" ref="AE1647">INDEX(Innings!W:W,MATCH(1,(TRIM(Innings!A:A)=TRIM(A1647))*(TRIM(Innings!D:D)=TRIM(E1647)),0))</f>
        <v>Failed</v>
      </c>
      <c r="AF1647">
        <f>IF(UPPER(TRIM(E1647))=UPPER(TRIM(W1647)),1,0)</f>
        <v>0</v>
      </c>
      <c r="AG1647">
        <f t="shared" si="50"/>
        <v>15.9</v>
      </c>
    </row>
    <row r="1648" spans="1:33" x14ac:dyDescent="0.3">
      <c r="A1648" t="s">
        <v>609</v>
      </c>
      <c r="B1648">
        <v>4</v>
      </c>
      <c r="C1648" t="s">
        <v>579</v>
      </c>
      <c r="D1648" t="s">
        <v>658</v>
      </c>
      <c r="E1648" t="s">
        <v>258</v>
      </c>
      <c r="F1648" t="s">
        <v>85</v>
      </c>
      <c r="G1648" t="s">
        <v>134</v>
      </c>
      <c r="H1648">
        <v>0</v>
      </c>
      <c r="I1648">
        <v>2</v>
      </c>
      <c r="J1648">
        <v>0</v>
      </c>
      <c r="K1648" t="s">
        <v>246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 s="8">
        <v>0</v>
      </c>
      <c r="V1648" s="8">
        <f t="shared" si="51"/>
        <v>0</v>
      </c>
      <c r="W1648" t="str">
        <f>_xlfn.XLOOKUP(A1648, Matches!A:A, Matches!L:L, "NA", 0)</f>
        <v>RCBW</v>
      </c>
      <c r="X1648" t="str">
        <f>_xlfn.XLOOKUP(A1648, Matches!A:A, Matches!J:J, "NA", 0)</f>
        <v>GGTW</v>
      </c>
      <c r="Y1648" t="str">
        <f>_xlfn.XLOOKUP(A1648, Matches!A:A, Matches!F:F, "NA", 0)</f>
        <v>Dr DY Patil Sports </v>
      </c>
      <c r="Z1648" cm="1">
        <f t="array" ref="Z1648">INDEX(Innings!F:F,MATCH(1,(TRIM(Innings!A:A)=TRIM(A1648))*(TRIM(Innings!D:D)=TRIM(E1648)),0))</f>
        <v>150</v>
      </c>
      <c r="AA1648" cm="1">
        <f t="array" ref="AA1648">INDEX(Innings!I:I,MATCH(1,(TRIM(Innings!A:A)=TRIM(A1648))*(TRIM(Innings!D:D)=TRIM(E1648)),0))</f>
        <v>7.96</v>
      </c>
      <c r="AB1648" cm="1">
        <f t="array" ref="AB1648">INDEX(Innings!J:J,MATCH(1,(TRIM(Innings!A:A)=TRIM(A1648))*(TRIM(Innings!D:D)=TRIM(E1648)),0))</f>
        <v>44</v>
      </c>
      <c r="AC1648" cm="1">
        <f t="array" ref="AC1648">INDEX(Innings!N:N,MATCH(1,(TRIM(Innings!A:A)=TRIM(A1648))*(TRIM(Innings!D:D)=TRIM(E1648)),0))</f>
        <v>17</v>
      </c>
      <c r="AD1648" cm="1">
        <f t="array" ref="AD1648">INDEX(Innings!S:S,MATCH(1,(TRIM(Innings!A:A)=TRIM(A1648))*(TRIM(Innings!D:D)=TRIM(E1648)),0))</f>
        <v>33</v>
      </c>
      <c r="AE1648" t="str" cm="1">
        <f t="array" ref="AE1648">INDEX(Innings!W:W,MATCH(1,(TRIM(Innings!A:A)=TRIM(A1648))*(TRIM(Innings!D:D)=TRIM(E1648)),0))</f>
        <v>Failed</v>
      </c>
      <c r="AF1648">
        <f>IF(UPPER(TRIM(E1648))=UPPER(TRIM(W1648)),1,0)</f>
        <v>0</v>
      </c>
      <c r="AG1648">
        <f t="shared" si="50"/>
        <v>0</v>
      </c>
    </row>
    <row r="1649" spans="1:33" x14ac:dyDescent="0.3">
      <c r="A1649" t="s">
        <v>609</v>
      </c>
      <c r="B1649">
        <v>4</v>
      </c>
      <c r="C1649" t="s">
        <v>237</v>
      </c>
      <c r="D1649" t="s">
        <v>238</v>
      </c>
      <c r="E1649" t="s">
        <v>258</v>
      </c>
      <c r="F1649" t="s">
        <v>101</v>
      </c>
      <c r="G1649" t="s">
        <v>134</v>
      </c>
      <c r="H1649">
        <v>0</v>
      </c>
      <c r="I1649">
        <v>2</v>
      </c>
      <c r="J1649">
        <v>0</v>
      </c>
      <c r="K1649" t="s">
        <v>96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 s="8">
        <v>0</v>
      </c>
      <c r="V1649" s="8">
        <f t="shared" si="51"/>
        <v>0</v>
      </c>
      <c r="W1649" t="str">
        <f>_xlfn.XLOOKUP(A1649, Matches!A:A, Matches!L:L, "NA", 0)</f>
        <v>RCBW</v>
      </c>
      <c r="X1649" t="str">
        <f>_xlfn.XLOOKUP(A1649, Matches!A:A, Matches!J:J, "NA", 0)</f>
        <v>GGTW</v>
      </c>
      <c r="Y1649" t="str">
        <f>_xlfn.XLOOKUP(A1649, Matches!A:A, Matches!F:F, "NA", 0)</f>
        <v>Dr DY Patil Sports </v>
      </c>
      <c r="Z1649" cm="1">
        <f t="array" ref="Z1649">INDEX(Innings!F:F,MATCH(1,(TRIM(Innings!A:A)=TRIM(A1649))*(TRIM(Innings!D:D)=TRIM(E1649)),0))</f>
        <v>150</v>
      </c>
      <c r="AA1649" cm="1">
        <f t="array" ref="AA1649">INDEX(Innings!I:I,MATCH(1,(TRIM(Innings!A:A)=TRIM(A1649))*(TRIM(Innings!D:D)=TRIM(E1649)),0))</f>
        <v>7.96</v>
      </c>
      <c r="AB1649" cm="1">
        <f t="array" ref="AB1649">INDEX(Innings!J:J,MATCH(1,(TRIM(Innings!A:A)=TRIM(A1649))*(TRIM(Innings!D:D)=TRIM(E1649)),0))</f>
        <v>44</v>
      </c>
      <c r="AC1649" cm="1">
        <f t="array" ref="AC1649">INDEX(Innings!N:N,MATCH(1,(TRIM(Innings!A:A)=TRIM(A1649))*(TRIM(Innings!D:D)=TRIM(E1649)),0))</f>
        <v>17</v>
      </c>
      <c r="AD1649" cm="1">
        <f t="array" ref="AD1649">INDEX(Innings!S:S,MATCH(1,(TRIM(Innings!A:A)=TRIM(A1649))*(TRIM(Innings!D:D)=TRIM(E1649)),0))</f>
        <v>33</v>
      </c>
      <c r="AE1649" t="str" cm="1">
        <f t="array" ref="AE1649">INDEX(Innings!W:W,MATCH(1,(TRIM(Innings!A:A)=TRIM(A1649))*(TRIM(Innings!D:D)=TRIM(E1649)),0))</f>
        <v>Failed</v>
      </c>
      <c r="AF1649">
        <f>IF(UPPER(TRIM(E1649))=UPPER(TRIM(W1649)),1,0)</f>
        <v>0</v>
      </c>
      <c r="AG1649">
        <f t="shared" si="50"/>
        <v>0</v>
      </c>
    </row>
    <row r="1650" spans="1:33" x14ac:dyDescent="0.3">
      <c r="A1650" t="s">
        <v>609</v>
      </c>
      <c r="B1650">
        <v>4</v>
      </c>
      <c r="C1650" t="s">
        <v>186</v>
      </c>
      <c r="D1650" t="s">
        <v>187</v>
      </c>
      <c r="E1650" t="s">
        <v>258</v>
      </c>
      <c r="F1650" t="s">
        <v>101</v>
      </c>
      <c r="G1650" t="s">
        <v>134</v>
      </c>
      <c r="H1650">
        <v>2</v>
      </c>
      <c r="I1650">
        <v>3</v>
      </c>
      <c r="J1650">
        <v>66.67</v>
      </c>
      <c r="K1650" t="s">
        <v>246</v>
      </c>
      <c r="L1650">
        <v>2</v>
      </c>
      <c r="M1650">
        <v>4</v>
      </c>
      <c r="N1650">
        <v>0</v>
      </c>
      <c r="O1650">
        <v>41</v>
      </c>
      <c r="P1650">
        <v>1</v>
      </c>
      <c r="Q1650">
        <v>10.199999999999999</v>
      </c>
      <c r="R1650">
        <v>25</v>
      </c>
      <c r="S1650">
        <v>0</v>
      </c>
      <c r="T1650">
        <v>0</v>
      </c>
      <c r="U1650" s="8">
        <v>27</v>
      </c>
      <c r="V1650" s="8">
        <f t="shared" si="51"/>
        <v>3</v>
      </c>
      <c r="W1650" t="str">
        <f>_xlfn.XLOOKUP(A1650, Matches!A:A, Matches!L:L, "NA", 0)</f>
        <v>RCBW</v>
      </c>
      <c r="X1650" t="str">
        <f>_xlfn.XLOOKUP(A1650, Matches!A:A, Matches!J:J, "NA", 0)</f>
        <v>GGTW</v>
      </c>
      <c r="Y1650" t="str">
        <f>_xlfn.XLOOKUP(A1650, Matches!A:A, Matches!F:F, "NA", 0)</f>
        <v>Dr DY Patil Sports </v>
      </c>
      <c r="Z1650" cm="1">
        <f t="array" ref="Z1650">INDEX(Innings!F:F,MATCH(1,(TRIM(Innings!A:A)=TRIM(A1650))*(TRIM(Innings!D:D)=TRIM(E1650)),0))</f>
        <v>150</v>
      </c>
      <c r="AA1650" cm="1">
        <f t="array" ref="AA1650">INDEX(Innings!I:I,MATCH(1,(TRIM(Innings!A:A)=TRIM(A1650))*(TRIM(Innings!D:D)=TRIM(E1650)),0))</f>
        <v>7.96</v>
      </c>
      <c r="AB1650" cm="1">
        <f t="array" ref="AB1650">INDEX(Innings!J:J,MATCH(1,(TRIM(Innings!A:A)=TRIM(A1650))*(TRIM(Innings!D:D)=TRIM(E1650)),0))</f>
        <v>44</v>
      </c>
      <c r="AC1650" cm="1">
        <f t="array" ref="AC1650">INDEX(Innings!N:N,MATCH(1,(TRIM(Innings!A:A)=TRIM(A1650))*(TRIM(Innings!D:D)=TRIM(E1650)),0))</f>
        <v>17</v>
      </c>
      <c r="AD1650" cm="1">
        <f t="array" ref="AD1650">INDEX(Innings!S:S,MATCH(1,(TRIM(Innings!A:A)=TRIM(A1650))*(TRIM(Innings!D:D)=TRIM(E1650)),0))</f>
        <v>33</v>
      </c>
      <c r="AE1650" t="str" cm="1">
        <f t="array" ref="AE1650">INDEX(Innings!W:W,MATCH(1,(TRIM(Innings!A:A)=TRIM(A1650))*(TRIM(Innings!D:D)=TRIM(E1650)),0))</f>
        <v>Failed</v>
      </c>
      <c r="AF1650">
        <f>IF(UPPER(TRIM(E1650))=UPPER(TRIM(W1650)),1,0)</f>
        <v>0</v>
      </c>
      <c r="AG1650">
        <f t="shared" si="50"/>
        <v>14.4</v>
      </c>
    </row>
    <row r="1651" spans="1:33" x14ac:dyDescent="0.3">
      <c r="A1651" t="s">
        <v>610</v>
      </c>
      <c r="B1651">
        <v>4</v>
      </c>
      <c r="C1651" t="s">
        <v>190</v>
      </c>
      <c r="D1651" t="s">
        <v>191</v>
      </c>
      <c r="E1651" t="s">
        <v>219</v>
      </c>
      <c r="F1651" t="s">
        <v>109</v>
      </c>
      <c r="G1651" t="s">
        <v>86</v>
      </c>
      <c r="H1651">
        <v>70</v>
      </c>
      <c r="I1651">
        <v>45</v>
      </c>
      <c r="J1651">
        <v>155.56</v>
      </c>
      <c r="K1651" t="s">
        <v>246</v>
      </c>
      <c r="L1651">
        <v>95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 s="8">
        <v>95</v>
      </c>
      <c r="V1651" s="8">
        <f t="shared" si="51"/>
        <v>10</v>
      </c>
      <c r="W1651" t="str">
        <f>_xlfn.XLOOKUP(A1651, Matches!A:A, Matches!L:L, "NA", 0)</f>
        <v>UPW</v>
      </c>
      <c r="X1651" t="str">
        <f>_xlfn.XLOOKUP(A1651, Matches!A:A, Matches!J:J, "NA", 0)</f>
        <v>MIW</v>
      </c>
      <c r="Y1651" t="str">
        <f>_xlfn.XLOOKUP(A1651, Matches!A:A, Matches!F:F, "NA", 0)</f>
        <v>Dr DY Patil Sports </v>
      </c>
      <c r="Z1651" cm="1">
        <f t="array" ref="Z1651">INDEX(Innings!F:F,MATCH(1,(TRIM(Innings!A:A)=TRIM(A1651))*(TRIM(Innings!D:D)=TRIM(E1651)),0))</f>
        <v>187</v>
      </c>
      <c r="AA1651" cm="1">
        <f t="array" ref="AA1651">INDEX(Innings!I:I,MATCH(1,(TRIM(Innings!A:A)=TRIM(A1651))*(TRIM(Innings!D:D)=TRIM(E1651)),0))</f>
        <v>9.35</v>
      </c>
      <c r="AB1651" cm="1">
        <f t="array" ref="AB1651">INDEX(Innings!J:J,MATCH(1,(TRIM(Innings!A:A)=TRIM(A1651))*(TRIM(Innings!D:D)=TRIM(E1651)),0))</f>
        <v>56</v>
      </c>
      <c r="AC1651" cm="1">
        <f t="array" ref="AC1651">INDEX(Innings!N:N,MATCH(1,(TRIM(Innings!A:A)=TRIM(A1651))*(TRIM(Innings!D:D)=TRIM(E1651)),0))</f>
        <v>33</v>
      </c>
      <c r="AD1651" cm="1">
        <f t="array" ref="AD1651">INDEX(Innings!S:S,MATCH(1,(TRIM(Innings!A:A)=TRIM(A1651))*(TRIM(Innings!D:D)=TRIM(E1651)),0))</f>
        <v>34</v>
      </c>
      <c r="AE1651" t="str" cm="1">
        <f t="array" ref="AE1651">INDEX(Innings!W:W,MATCH(1,(TRIM(Innings!A:A)=TRIM(A1651))*(TRIM(Innings!D:D)=TRIM(E1651)),0))</f>
        <v>NA</v>
      </c>
      <c r="AF1651">
        <f>IF(UPPER(TRIM(E1651))=UPPER(TRIM(W1651)),1,0)</f>
        <v>1</v>
      </c>
      <c r="AG1651">
        <f t="shared" si="50"/>
        <v>70.5</v>
      </c>
    </row>
    <row r="1652" spans="1:33" x14ac:dyDescent="0.3">
      <c r="A1652" t="s">
        <v>610</v>
      </c>
      <c r="B1652">
        <v>4</v>
      </c>
      <c r="C1652" t="s">
        <v>229</v>
      </c>
      <c r="D1652" t="s">
        <v>230</v>
      </c>
      <c r="E1652" t="s">
        <v>219</v>
      </c>
      <c r="F1652" t="s">
        <v>109</v>
      </c>
      <c r="G1652" t="s">
        <v>86</v>
      </c>
      <c r="H1652">
        <v>0</v>
      </c>
      <c r="I1652">
        <v>1</v>
      </c>
      <c r="J1652">
        <v>0</v>
      </c>
      <c r="K1652" t="s">
        <v>245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 s="8">
        <v>0</v>
      </c>
      <c r="V1652" s="8">
        <f t="shared" si="51"/>
        <v>0</v>
      </c>
      <c r="W1652" t="str">
        <f>_xlfn.XLOOKUP(A1652, Matches!A:A, Matches!L:L, "NA", 0)</f>
        <v>UPW</v>
      </c>
      <c r="X1652" t="str">
        <f>_xlfn.XLOOKUP(A1652, Matches!A:A, Matches!J:J, "NA", 0)</f>
        <v>MIW</v>
      </c>
      <c r="Y1652" t="str">
        <f>_xlfn.XLOOKUP(A1652, Matches!A:A, Matches!F:F, "NA", 0)</f>
        <v>Dr DY Patil Sports </v>
      </c>
      <c r="Z1652" cm="1">
        <f t="array" ref="Z1652">INDEX(Innings!F:F,MATCH(1,(TRIM(Innings!A:A)=TRIM(A1652))*(TRIM(Innings!D:D)=TRIM(E1652)),0))</f>
        <v>187</v>
      </c>
      <c r="AA1652" cm="1">
        <f t="array" ref="AA1652">INDEX(Innings!I:I,MATCH(1,(TRIM(Innings!A:A)=TRIM(A1652))*(TRIM(Innings!D:D)=TRIM(E1652)),0))</f>
        <v>9.35</v>
      </c>
      <c r="AB1652" cm="1">
        <f t="array" ref="AB1652">INDEX(Innings!J:J,MATCH(1,(TRIM(Innings!A:A)=TRIM(A1652))*(TRIM(Innings!D:D)=TRIM(E1652)),0))</f>
        <v>56</v>
      </c>
      <c r="AC1652" cm="1">
        <f t="array" ref="AC1652">INDEX(Innings!N:N,MATCH(1,(TRIM(Innings!A:A)=TRIM(A1652))*(TRIM(Innings!D:D)=TRIM(E1652)),0))</f>
        <v>33</v>
      </c>
      <c r="AD1652" cm="1">
        <f t="array" ref="AD1652">INDEX(Innings!S:S,MATCH(1,(TRIM(Innings!A:A)=TRIM(A1652))*(TRIM(Innings!D:D)=TRIM(E1652)),0))</f>
        <v>34</v>
      </c>
      <c r="AE1652" t="str" cm="1">
        <f t="array" ref="AE1652">INDEX(Innings!W:W,MATCH(1,(TRIM(Innings!A:A)=TRIM(A1652))*(TRIM(Innings!D:D)=TRIM(E1652)),0))</f>
        <v>NA</v>
      </c>
      <c r="AF1652">
        <f>IF(UPPER(TRIM(E1652))=UPPER(TRIM(W1652)),1,0)</f>
        <v>1</v>
      </c>
      <c r="AG1652">
        <f t="shared" si="50"/>
        <v>20</v>
      </c>
    </row>
    <row r="1653" spans="1:33" x14ac:dyDescent="0.3">
      <c r="A1653" t="s">
        <v>610</v>
      </c>
      <c r="B1653">
        <v>4</v>
      </c>
      <c r="C1653" t="s">
        <v>383</v>
      </c>
      <c r="D1653" t="s">
        <v>384</v>
      </c>
      <c r="E1653" t="s">
        <v>219</v>
      </c>
      <c r="F1653" t="s">
        <v>109</v>
      </c>
      <c r="G1653" t="s">
        <v>92</v>
      </c>
      <c r="H1653">
        <v>61</v>
      </c>
      <c r="I1653">
        <v>37</v>
      </c>
      <c r="J1653">
        <v>164.86</v>
      </c>
      <c r="K1653" t="s">
        <v>246</v>
      </c>
      <c r="L1653">
        <v>85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 s="8">
        <v>85</v>
      </c>
      <c r="V1653" s="8">
        <f t="shared" si="51"/>
        <v>9</v>
      </c>
      <c r="W1653" t="str">
        <f>_xlfn.XLOOKUP(A1653, Matches!A:A, Matches!L:L, "NA", 0)</f>
        <v>UPW</v>
      </c>
      <c r="X1653" t="str">
        <f>_xlfn.XLOOKUP(A1653, Matches!A:A, Matches!J:J, "NA", 0)</f>
        <v>MIW</v>
      </c>
      <c r="Y1653" t="str">
        <f>_xlfn.XLOOKUP(A1653, Matches!A:A, Matches!F:F, "NA", 0)</f>
        <v>Dr DY Patil Sports </v>
      </c>
      <c r="Z1653" cm="1">
        <f t="array" ref="Z1653">INDEX(Innings!F:F,MATCH(1,(TRIM(Innings!A:A)=TRIM(A1653))*(TRIM(Innings!D:D)=TRIM(E1653)),0))</f>
        <v>187</v>
      </c>
      <c r="AA1653" cm="1">
        <f t="array" ref="AA1653">INDEX(Innings!I:I,MATCH(1,(TRIM(Innings!A:A)=TRIM(A1653))*(TRIM(Innings!D:D)=TRIM(E1653)),0))</f>
        <v>9.35</v>
      </c>
      <c r="AB1653" cm="1">
        <f t="array" ref="AB1653">INDEX(Innings!J:J,MATCH(1,(TRIM(Innings!A:A)=TRIM(A1653))*(TRIM(Innings!D:D)=TRIM(E1653)),0))</f>
        <v>56</v>
      </c>
      <c r="AC1653" cm="1">
        <f t="array" ref="AC1653">INDEX(Innings!N:N,MATCH(1,(TRIM(Innings!A:A)=TRIM(A1653))*(TRIM(Innings!D:D)=TRIM(E1653)),0))</f>
        <v>33</v>
      </c>
      <c r="AD1653" cm="1">
        <f t="array" ref="AD1653">INDEX(Innings!S:S,MATCH(1,(TRIM(Innings!A:A)=TRIM(A1653))*(TRIM(Innings!D:D)=TRIM(E1653)),0))</f>
        <v>34</v>
      </c>
      <c r="AE1653" t="str" cm="1">
        <f t="array" ref="AE1653">INDEX(Innings!W:W,MATCH(1,(TRIM(Innings!A:A)=TRIM(A1653))*(TRIM(Innings!D:D)=TRIM(E1653)),0))</f>
        <v>NA</v>
      </c>
      <c r="AF1653">
        <f>IF(UPPER(TRIM(E1653))=UPPER(TRIM(W1653)),1,0)</f>
        <v>1</v>
      </c>
      <c r="AG1653">
        <f t="shared" si="50"/>
        <v>65.2</v>
      </c>
    </row>
    <row r="1654" spans="1:33" x14ac:dyDescent="0.3">
      <c r="A1654" t="s">
        <v>610</v>
      </c>
      <c r="B1654">
        <v>4</v>
      </c>
      <c r="C1654" t="s">
        <v>89</v>
      </c>
      <c r="D1654" t="s">
        <v>116</v>
      </c>
      <c r="E1654" t="s">
        <v>219</v>
      </c>
      <c r="F1654" t="s">
        <v>169</v>
      </c>
      <c r="G1654" t="s">
        <v>92</v>
      </c>
      <c r="H1654">
        <v>25</v>
      </c>
      <c r="I1654">
        <v>16</v>
      </c>
      <c r="J1654">
        <v>156.25</v>
      </c>
      <c r="K1654" t="s">
        <v>248</v>
      </c>
      <c r="L1654">
        <v>35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 s="8">
        <v>35</v>
      </c>
      <c r="V1654" s="8">
        <f t="shared" si="51"/>
        <v>4</v>
      </c>
      <c r="W1654" t="str">
        <f>_xlfn.XLOOKUP(A1654, Matches!A:A, Matches!L:L, "NA", 0)</f>
        <v>UPW</v>
      </c>
      <c r="X1654" t="str">
        <f>_xlfn.XLOOKUP(A1654, Matches!A:A, Matches!J:J, "NA", 0)</f>
        <v>MIW</v>
      </c>
      <c r="Y1654" t="str">
        <f>_xlfn.XLOOKUP(A1654, Matches!A:A, Matches!F:F, "NA", 0)</f>
        <v>Dr DY Patil Sports </v>
      </c>
      <c r="Z1654" cm="1">
        <f t="array" ref="Z1654">INDEX(Innings!F:F,MATCH(1,(TRIM(Innings!A:A)=TRIM(A1654))*(TRIM(Innings!D:D)=TRIM(E1654)),0))</f>
        <v>187</v>
      </c>
      <c r="AA1654" cm="1">
        <f t="array" ref="AA1654">INDEX(Innings!I:I,MATCH(1,(TRIM(Innings!A:A)=TRIM(A1654))*(TRIM(Innings!D:D)=TRIM(E1654)),0))</f>
        <v>9.35</v>
      </c>
      <c r="AB1654" cm="1">
        <f t="array" ref="AB1654">INDEX(Innings!J:J,MATCH(1,(TRIM(Innings!A:A)=TRIM(A1654))*(TRIM(Innings!D:D)=TRIM(E1654)),0))</f>
        <v>56</v>
      </c>
      <c r="AC1654" cm="1">
        <f t="array" ref="AC1654">INDEX(Innings!N:N,MATCH(1,(TRIM(Innings!A:A)=TRIM(A1654))*(TRIM(Innings!D:D)=TRIM(E1654)),0))</f>
        <v>33</v>
      </c>
      <c r="AD1654" cm="1">
        <f t="array" ref="AD1654">INDEX(Innings!S:S,MATCH(1,(TRIM(Innings!A:A)=TRIM(A1654))*(TRIM(Innings!D:D)=TRIM(E1654)),0))</f>
        <v>34</v>
      </c>
      <c r="AE1654" t="str" cm="1">
        <f t="array" ref="AE1654">INDEX(Innings!W:W,MATCH(1,(TRIM(Innings!A:A)=TRIM(A1654))*(TRIM(Innings!D:D)=TRIM(E1654)),0))</f>
        <v>NA</v>
      </c>
      <c r="AF1654">
        <f>IF(UPPER(TRIM(E1654))=UPPER(TRIM(W1654)),1,0)</f>
        <v>1</v>
      </c>
      <c r="AG1654">
        <f t="shared" si="50"/>
        <v>38.700000000000003</v>
      </c>
    </row>
    <row r="1655" spans="1:33" x14ac:dyDescent="0.3">
      <c r="A1655" t="s">
        <v>610</v>
      </c>
      <c r="B1655">
        <v>4</v>
      </c>
      <c r="C1655" t="s">
        <v>578</v>
      </c>
      <c r="D1655" t="s">
        <v>652</v>
      </c>
      <c r="E1655" t="s">
        <v>219</v>
      </c>
      <c r="F1655" t="s">
        <v>169</v>
      </c>
      <c r="G1655" t="s">
        <v>134</v>
      </c>
      <c r="H1655">
        <v>21</v>
      </c>
      <c r="I1655">
        <v>13</v>
      </c>
      <c r="J1655">
        <v>161.54</v>
      </c>
      <c r="K1655" t="s">
        <v>246</v>
      </c>
      <c r="L1655">
        <v>30</v>
      </c>
      <c r="M1655">
        <v>2</v>
      </c>
      <c r="N1655">
        <v>0</v>
      </c>
      <c r="O1655">
        <v>18</v>
      </c>
      <c r="P1655">
        <v>1</v>
      </c>
      <c r="Q1655">
        <v>9</v>
      </c>
      <c r="R1655">
        <v>25</v>
      </c>
      <c r="S1655">
        <v>0</v>
      </c>
      <c r="T1655">
        <v>0</v>
      </c>
      <c r="U1655" s="8">
        <v>55</v>
      </c>
      <c r="V1655" s="8">
        <f t="shared" si="51"/>
        <v>6</v>
      </c>
      <c r="W1655" t="str">
        <f>_xlfn.XLOOKUP(A1655, Matches!A:A, Matches!L:L, "NA", 0)</f>
        <v>UPW</v>
      </c>
      <c r="X1655" t="str">
        <f>_xlfn.XLOOKUP(A1655, Matches!A:A, Matches!J:J, "NA", 0)</f>
        <v>MIW</v>
      </c>
      <c r="Y1655" t="str">
        <f>_xlfn.XLOOKUP(A1655, Matches!A:A, Matches!F:F, "NA", 0)</f>
        <v>Dr DY Patil Sports </v>
      </c>
      <c r="Z1655" cm="1">
        <f t="array" ref="Z1655">INDEX(Innings!F:F,MATCH(1,(TRIM(Innings!A:A)=TRIM(A1655))*(TRIM(Innings!D:D)=TRIM(E1655)),0))</f>
        <v>187</v>
      </c>
      <c r="AA1655" cm="1">
        <f t="array" ref="AA1655">INDEX(Innings!I:I,MATCH(1,(TRIM(Innings!A:A)=TRIM(A1655))*(TRIM(Innings!D:D)=TRIM(E1655)),0))</f>
        <v>9.35</v>
      </c>
      <c r="AB1655" cm="1">
        <f t="array" ref="AB1655">INDEX(Innings!J:J,MATCH(1,(TRIM(Innings!A:A)=TRIM(A1655))*(TRIM(Innings!D:D)=TRIM(E1655)),0))</f>
        <v>56</v>
      </c>
      <c r="AC1655" cm="1">
        <f t="array" ref="AC1655">INDEX(Innings!N:N,MATCH(1,(TRIM(Innings!A:A)=TRIM(A1655))*(TRIM(Innings!D:D)=TRIM(E1655)),0))</f>
        <v>33</v>
      </c>
      <c r="AD1655" cm="1">
        <f t="array" ref="AD1655">INDEX(Innings!S:S,MATCH(1,(TRIM(Innings!A:A)=TRIM(A1655))*(TRIM(Innings!D:D)=TRIM(E1655)),0))</f>
        <v>34</v>
      </c>
      <c r="AE1655" t="str" cm="1">
        <f t="array" ref="AE1655">INDEX(Innings!W:W,MATCH(1,(TRIM(Innings!A:A)=TRIM(A1655))*(TRIM(Innings!D:D)=TRIM(E1655)),0))</f>
        <v>NA</v>
      </c>
      <c r="AF1655">
        <f>IF(UPPER(TRIM(E1655))=UPPER(TRIM(W1655)),1,0)</f>
        <v>1</v>
      </c>
      <c r="AG1655">
        <f t="shared" si="50"/>
        <v>49.3</v>
      </c>
    </row>
    <row r="1656" spans="1:33" x14ac:dyDescent="0.3">
      <c r="A1656" t="s">
        <v>610</v>
      </c>
      <c r="B1656">
        <v>4</v>
      </c>
      <c r="C1656" t="s">
        <v>220</v>
      </c>
      <c r="D1656" t="s">
        <v>221</v>
      </c>
      <c r="E1656" t="s">
        <v>219</v>
      </c>
      <c r="F1656" t="s">
        <v>85</v>
      </c>
      <c r="G1656" t="s">
        <v>134</v>
      </c>
      <c r="H1656">
        <v>0</v>
      </c>
      <c r="I1656">
        <v>1</v>
      </c>
      <c r="J1656">
        <v>0</v>
      </c>
      <c r="K1656" t="s">
        <v>246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 s="8">
        <v>0</v>
      </c>
      <c r="V1656" s="8">
        <f t="shared" si="51"/>
        <v>0</v>
      </c>
      <c r="W1656" t="str">
        <f>_xlfn.XLOOKUP(A1656, Matches!A:A, Matches!L:L, "NA", 0)</f>
        <v>UPW</v>
      </c>
      <c r="X1656" t="str">
        <f>_xlfn.XLOOKUP(A1656, Matches!A:A, Matches!J:J, "NA", 0)</f>
        <v>MIW</v>
      </c>
      <c r="Y1656" t="str">
        <f>_xlfn.XLOOKUP(A1656, Matches!A:A, Matches!F:F, "NA", 0)</f>
        <v>Dr DY Patil Sports </v>
      </c>
      <c r="Z1656" cm="1">
        <f t="array" ref="Z1656">INDEX(Innings!F:F,MATCH(1,(TRIM(Innings!A:A)=TRIM(A1656))*(TRIM(Innings!D:D)=TRIM(E1656)),0))</f>
        <v>187</v>
      </c>
      <c r="AA1656" cm="1">
        <f t="array" ref="AA1656">INDEX(Innings!I:I,MATCH(1,(TRIM(Innings!A:A)=TRIM(A1656))*(TRIM(Innings!D:D)=TRIM(E1656)),0))</f>
        <v>9.35</v>
      </c>
      <c r="AB1656" cm="1">
        <f t="array" ref="AB1656">INDEX(Innings!J:J,MATCH(1,(TRIM(Innings!A:A)=TRIM(A1656))*(TRIM(Innings!D:D)=TRIM(E1656)),0))</f>
        <v>56</v>
      </c>
      <c r="AC1656" cm="1">
        <f t="array" ref="AC1656">INDEX(Innings!N:N,MATCH(1,(TRIM(Innings!A:A)=TRIM(A1656))*(TRIM(Innings!D:D)=TRIM(E1656)),0))</f>
        <v>33</v>
      </c>
      <c r="AD1656" cm="1">
        <f t="array" ref="AD1656">INDEX(Innings!S:S,MATCH(1,(TRIM(Innings!A:A)=TRIM(A1656))*(TRIM(Innings!D:D)=TRIM(E1656)),0))</f>
        <v>34</v>
      </c>
      <c r="AE1656" t="str" cm="1">
        <f t="array" ref="AE1656">INDEX(Innings!W:W,MATCH(1,(TRIM(Innings!A:A)=TRIM(A1656))*(TRIM(Innings!D:D)=TRIM(E1656)),0))</f>
        <v>NA</v>
      </c>
      <c r="AF1656">
        <f>IF(UPPER(TRIM(E1656))=UPPER(TRIM(W1656)),1,0)</f>
        <v>1</v>
      </c>
      <c r="AG1656">
        <f t="shared" si="50"/>
        <v>20</v>
      </c>
    </row>
    <row r="1657" spans="1:33" x14ac:dyDescent="0.3">
      <c r="A1657" t="s">
        <v>610</v>
      </c>
      <c r="B1657">
        <v>4</v>
      </c>
      <c r="C1657" t="s">
        <v>233</v>
      </c>
      <c r="D1657" t="s">
        <v>234</v>
      </c>
      <c r="E1657" t="s">
        <v>219</v>
      </c>
      <c r="F1657" t="s">
        <v>101</v>
      </c>
      <c r="G1657" t="s">
        <v>134</v>
      </c>
      <c r="H1657">
        <v>1</v>
      </c>
      <c r="I1657">
        <v>4</v>
      </c>
      <c r="J1657">
        <v>25</v>
      </c>
      <c r="K1657" t="s">
        <v>248</v>
      </c>
      <c r="L1657">
        <v>1</v>
      </c>
      <c r="M1657">
        <v>4</v>
      </c>
      <c r="N1657">
        <v>1</v>
      </c>
      <c r="O1657">
        <v>33</v>
      </c>
      <c r="P1657">
        <v>1</v>
      </c>
      <c r="Q1657">
        <v>8.1999999999999993</v>
      </c>
      <c r="R1657">
        <v>35</v>
      </c>
      <c r="S1657">
        <v>0</v>
      </c>
      <c r="T1657">
        <v>0</v>
      </c>
      <c r="U1657" s="8">
        <v>36</v>
      </c>
      <c r="V1657" s="8">
        <f t="shared" si="51"/>
        <v>4</v>
      </c>
      <c r="W1657" t="str">
        <f>_xlfn.XLOOKUP(A1657, Matches!A:A, Matches!L:L, "NA", 0)</f>
        <v>UPW</v>
      </c>
      <c r="X1657" t="str">
        <f>_xlfn.XLOOKUP(A1657, Matches!A:A, Matches!J:J, "NA", 0)</f>
        <v>MIW</v>
      </c>
      <c r="Y1657" t="str">
        <f>_xlfn.XLOOKUP(A1657, Matches!A:A, Matches!F:F, "NA", 0)</f>
        <v>Dr DY Patil Sports </v>
      </c>
      <c r="Z1657" cm="1">
        <f t="array" ref="Z1657">INDEX(Innings!F:F,MATCH(1,(TRIM(Innings!A:A)=TRIM(A1657))*(TRIM(Innings!D:D)=TRIM(E1657)),0))</f>
        <v>187</v>
      </c>
      <c r="AA1657" cm="1">
        <f t="array" ref="AA1657">INDEX(Innings!I:I,MATCH(1,(TRIM(Innings!A:A)=TRIM(A1657))*(TRIM(Innings!D:D)=TRIM(E1657)),0))</f>
        <v>9.35</v>
      </c>
      <c r="AB1657" cm="1">
        <f t="array" ref="AB1657">INDEX(Innings!J:J,MATCH(1,(TRIM(Innings!A:A)=TRIM(A1657))*(TRIM(Innings!D:D)=TRIM(E1657)),0))</f>
        <v>56</v>
      </c>
      <c r="AC1657" cm="1">
        <f t="array" ref="AC1657">INDEX(Innings!N:N,MATCH(1,(TRIM(Innings!A:A)=TRIM(A1657))*(TRIM(Innings!D:D)=TRIM(E1657)),0))</f>
        <v>33</v>
      </c>
      <c r="AD1657" cm="1">
        <f t="array" ref="AD1657">INDEX(Innings!S:S,MATCH(1,(TRIM(Innings!A:A)=TRIM(A1657))*(TRIM(Innings!D:D)=TRIM(E1657)),0))</f>
        <v>34</v>
      </c>
      <c r="AE1657" t="str" cm="1">
        <f t="array" ref="AE1657">INDEX(Innings!W:W,MATCH(1,(TRIM(Innings!A:A)=TRIM(A1657))*(TRIM(Innings!D:D)=TRIM(E1657)),0))</f>
        <v>NA</v>
      </c>
      <c r="AF1657">
        <f>IF(UPPER(TRIM(E1657))=UPPER(TRIM(W1657)),1,0)</f>
        <v>1</v>
      </c>
      <c r="AG1657">
        <f t="shared" si="50"/>
        <v>39.200000000000003</v>
      </c>
    </row>
    <row r="1658" spans="1:33" x14ac:dyDescent="0.3">
      <c r="A1658" t="s">
        <v>610</v>
      </c>
      <c r="B1658">
        <v>4</v>
      </c>
      <c r="C1658" t="s">
        <v>224</v>
      </c>
      <c r="D1658" t="s">
        <v>225</v>
      </c>
      <c r="E1658" t="s">
        <v>219</v>
      </c>
      <c r="F1658" t="s">
        <v>169</v>
      </c>
      <c r="G1658" t="s">
        <v>134</v>
      </c>
      <c r="H1658">
        <v>0</v>
      </c>
      <c r="I1658">
        <v>2</v>
      </c>
      <c r="J1658">
        <v>0</v>
      </c>
      <c r="K1658" t="s">
        <v>246</v>
      </c>
      <c r="L1658">
        <v>0</v>
      </c>
      <c r="M1658">
        <v>4</v>
      </c>
      <c r="N1658">
        <v>0</v>
      </c>
      <c r="O1658">
        <v>35</v>
      </c>
      <c r="P1658">
        <v>1</v>
      </c>
      <c r="Q1658">
        <v>8.8000000000000007</v>
      </c>
      <c r="R1658">
        <v>25</v>
      </c>
      <c r="S1658">
        <v>0</v>
      </c>
      <c r="T1658">
        <v>0</v>
      </c>
      <c r="U1658" s="8">
        <v>25</v>
      </c>
      <c r="V1658" s="8">
        <f t="shared" si="51"/>
        <v>3</v>
      </c>
      <c r="W1658" t="str">
        <f>_xlfn.XLOOKUP(A1658, Matches!A:A, Matches!L:L, "NA", 0)</f>
        <v>UPW</v>
      </c>
      <c r="X1658" t="str">
        <f>_xlfn.XLOOKUP(A1658, Matches!A:A, Matches!J:J, "NA", 0)</f>
        <v>MIW</v>
      </c>
      <c r="Y1658" t="str">
        <f>_xlfn.XLOOKUP(A1658, Matches!A:A, Matches!F:F, "NA", 0)</f>
        <v>Dr DY Patil Sports </v>
      </c>
      <c r="Z1658" cm="1">
        <f t="array" ref="Z1658">INDEX(Innings!F:F,MATCH(1,(TRIM(Innings!A:A)=TRIM(A1658))*(TRIM(Innings!D:D)=TRIM(E1658)),0))</f>
        <v>187</v>
      </c>
      <c r="AA1658" cm="1">
        <f t="array" ref="AA1658">INDEX(Innings!I:I,MATCH(1,(TRIM(Innings!A:A)=TRIM(A1658))*(TRIM(Innings!D:D)=TRIM(E1658)),0))</f>
        <v>9.35</v>
      </c>
      <c r="AB1658" cm="1">
        <f t="array" ref="AB1658">INDEX(Innings!J:J,MATCH(1,(TRIM(Innings!A:A)=TRIM(A1658))*(TRIM(Innings!D:D)=TRIM(E1658)),0))</f>
        <v>56</v>
      </c>
      <c r="AC1658" cm="1">
        <f t="array" ref="AC1658">INDEX(Innings!N:N,MATCH(1,(TRIM(Innings!A:A)=TRIM(A1658))*(TRIM(Innings!D:D)=TRIM(E1658)),0))</f>
        <v>33</v>
      </c>
      <c r="AD1658" cm="1">
        <f t="array" ref="AD1658">INDEX(Innings!S:S,MATCH(1,(TRIM(Innings!A:A)=TRIM(A1658))*(TRIM(Innings!D:D)=TRIM(E1658)),0))</f>
        <v>34</v>
      </c>
      <c r="AE1658" t="str" cm="1">
        <f t="array" ref="AE1658">INDEX(Innings!W:W,MATCH(1,(TRIM(Innings!A:A)=TRIM(A1658))*(TRIM(Innings!D:D)=TRIM(E1658)),0))</f>
        <v>NA</v>
      </c>
      <c r="AF1658">
        <f>IF(UPPER(TRIM(E1658))=UPPER(TRIM(W1658)),1,0)</f>
        <v>1</v>
      </c>
      <c r="AG1658">
        <f t="shared" si="50"/>
        <v>33.4</v>
      </c>
    </row>
    <row r="1659" spans="1:33" x14ac:dyDescent="0.3">
      <c r="A1659" t="s">
        <v>610</v>
      </c>
      <c r="B1659">
        <v>4</v>
      </c>
      <c r="C1659" t="s">
        <v>180</v>
      </c>
      <c r="D1659" t="s">
        <v>181</v>
      </c>
      <c r="E1659" t="s">
        <v>219</v>
      </c>
      <c r="F1659" t="s">
        <v>101</v>
      </c>
      <c r="G1659" t="s">
        <v>134</v>
      </c>
      <c r="H1659">
        <v>1</v>
      </c>
      <c r="I1659">
        <v>1</v>
      </c>
      <c r="J1659">
        <v>100</v>
      </c>
      <c r="K1659" t="s">
        <v>96</v>
      </c>
      <c r="L1659">
        <v>6</v>
      </c>
      <c r="M1659">
        <v>2</v>
      </c>
      <c r="N1659">
        <v>0</v>
      </c>
      <c r="O1659">
        <v>17</v>
      </c>
      <c r="P1659">
        <v>0</v>
      </c>
      <c r="Q1659">
        <v>8.5</v>
      </c>
      <c r="R1659">
        <v>0</v>
      </c>
      <c r="S1659">
        <v>0</v>
      </c>
      <c r="T1659">
        <v>0</v>
      </c>
      <c r="U1659" s="8">
        <v>6</v>
      </c>
      <c r="V1659" s="8">
        <f t="shared" si="51"/>
        <v>1</v>
      </c>
      <c r="W1659" t="str">
        <f>_xlfn.XLOOKUP(A1659, Matches!A:A, Matches!L:L, "NA", 0)</f>
        <v>UPW</v>
      </c>
      <c r="X1659" t="str">
        <f>_xlfn.XLOOKUP(A1659, Matches!A:A, Matches!J:J, "NA", 0)</f>
        <v>MIW</v>
      </c>
      <c r="Y1659" t="str">
        <f>_xlfn.XLOOKUP(A1659, Matches!A:A, Matches!F:F, "NA", 0)</f>
        <v>Dr DY Patil Sports </v>
      </c>
      <c r="Z1659" cm="1">
        <f t="array" ref="Z1659">INDEX(Innings!F:F,MATCH(1,(TRIM(Innings!A:A)=TRIM(A1659))*(TRIM(Innings!D:D)=TRIM(E1659)),0))</f>
        <v>187</v>
      </c>
      <c r="AA1659" cm="1">
        <f t="array" ref="AA1659">INDEX(Innings!I:I,MATCH(1,(TRIM(Innings!A:A)=TRIM(A1659))*(TRIM(Innings!D:D)=TRIM(E1659)),0))</f>
        <v>9.35</v>
      </c>
      <c r="AB1659" cm="1">
        <f t="array" ref="AB1659">INDEX(Innings!J:J,MATCH(1,(TRIM(Innings!A:A)=TRIM(A1659))*(TRIM(Innings!D:D)=TRIM(E1659)),0))</f>
        <v>56</v>
      </c>
      <c r="AC1659" cm="1">
        <f t="array" ref="AC1659">INDEX(Innings!N:N,MATCH(1,(TRIM(Innings!A:A)=TRIM(A1659))*(TRIM(Innings!D:D)=TRIM(E1659)),0))</f>
        <v>33</v>
      </c>
      <c r="AD1659" cm="1">
        <f t="array" ref="AD1659">INDEX(Innings!S:S,MATCH(1,(TRIM(Innings!A:A)=TRIM(A1659))*(TRIM(Innings!D:D)=TRIM(E1659)),0))</f>
        <v>34</v>
      </c>
      <c r="AE1659" t="str" cm="1">
        <f t="array" ref="AE1659">INDEX(Innings!W:W,MATCH(1,(TRIM(Innings!A:A)=TRIM(A1659))*(TRIM(Innings!D:D)=TRIM(E1659)),0))</f>
        <v>NA</v>
      </c>
      <c r="AF1659">
        <f>IF(UPPER(TRIM(E1659))=UPPER(TRIM(W1659)),1,0)</f>
        <v>1</v>
      </c>
      <c r="AG1659">
        <f t="shared" si="50"/>
        <v>23.3</v>
      </c>
    </row>
    <row r="1660" spans="1:33" x14ac:dyDescent="0.3">
      <c r="A1660" t="s">
        <v>610</v>
      </c>
      <c r="B1660">
        <v>4</v>
      </c>
      <c r="C1660" t="s">
        <v>204</v>
      </c>
      <c r="D1660" t="s">
        <v>205</v>
      </c>
      <c r="E1660" t="s">
        <v>219</v>
      </c>
      <c r="F1660" t="s">
        <v>169</v>
      </c>
      <c r="G1660" t="s">
        <v>104</v>
      </c>
      <c r="H1660">
        <v>0</v>
      </c>
      <c r="I1660">
        <v>0</v>
      </c>
      <c r="J1660">
        <v>0</v>
      </c>
      <c r="K1660" t="s">
        <v>104</v>
      </c>
      <c r="L1660">
        <v>0</v>
      </c>
      <c r="M1660">
        <v>4</v>
      </c>
      <c r="N1660">
        <v>0</v>
      </c>
      <c r="O1660">
        <v>30</v>
      </c>
      <c r="P1660">
        <v>2</v>
      </c>
      <c r="Q1660">
        <v>7.5</v>
      </c>
      <c r="R1660">
        <v>50</v>
      </c>
      <c r="S1660">
        <v>0</v>
      </c>
      <c r="T1660">
        <v>0</v>
      </c>
      <c r="U1660" s="8">
        <v>50</v>
      </c>
      <c r="V1660" s="8">
        <f t="shared" si="51"/>
        <v>5</v>
      </c>
      <c r="W1660" t="str">
        <f>_xlfn.XLOOKUP(A1660, Matches!A:A, Matches!L:L, "NA", 0)</f>
        <v>UPW</v>
      </c>
      <c r="X1660" t="str">
        <f>_xlfn.XLOOKUP(A1660, Matches!A:A, Matches!J:J, "NA", 0)</f>
        <v>MIW</v>
      </c>
      <c r="Y1660" t="str">
        <f>_xlfn.XLOOKUP(A1660, Matches!A:A, Matches!F:F, "NA", 0)</f>
        <v>Dr DY Patil Sports </v>
      </c>
      <c r="Z1660" cm="1">
        <f t="array" ref="Z1660">INDEX(Innings!F:F,MATCH(1,(TRIM(Innings!A:A)=TRIM(A1660))*(TRIM(Innings!D:D)=TRIM(E1660)),0))</f>
        <v>187</v>
      </c>
      <c r="AA1660" cm="1">
        <f t="array" ref="AA1660">INDEX(Innings!I:I,MATCH(1,(TRIM(Innings!A:A)=TRIM(A1660))*(TRIM(Innings!D:D)=TRIM(E1660)),0))</f>
        <v>9.35</v>
      </c>
      <c r="AB1660" cm="1">
        <f t="array" ref="AB1660">INDEX(Innings!J:J,MATCH(1,(TRIM(Innings!A:A)=TRIM(A1660))*(TRIM(Innings!D:D)=TRIM(E1660)),0))</f>
        <v>56</v>
      </c>
      <c r="AC1660" cm="1">
        <f t="array" ref="AC1660">INDEX(Innings!N:N,MATCH(1,(TRIM(Innings!A:A)=TRIM(A1660))*(TRIM(Innings!D:D)=TRIM(E1660)),0))</f>
        <v>33</v>
      </c>
      <c r="AD1660" cm="1">
        <f t="array" ref="AD1660">INDEX(Innings!S:S,MATCH(1,(TRIM(Innings!A:A)=TRIM(A1660))*(TRIM(Innings!D:D)=TRIM(E1660)),0))</f>
        <v>34</v>
      </c>
      <c r="AE1660" t="str" cm="1">
        <f t="array" ref="AE1660">INDEX(Innings!W:W,MATCH(1,(TRIM(Innings!A:A)=TRIM(A1660))*(TRIM(Innings!D:D)=TRIM(E1660)),0))</f>
        <v>NA</v>
      </c>
      <c r="AF1660">
        <f>IF(UPPER(TRIM(E1660))=UPPER(TRIM(W1660)),1,0)</f>
        <v>1</v>
      </c>
      <c r="AG1660">
        <f t="shared" si="50"/>
        <v>46.5</v>
      </c>
    </row>
    <row r="1661" spans="1:33" x14ac:dyDescent="0.3">
      <c r="A1661" t="s">
        <v>610</v>
      </c>
      <c r="B1661">
        <v>4</v>
      </c>
      <c r="C1661" t="s">
        <v>509</v>
      </c>
      <c r="D1661" t="s">
        <v>523</v>
      </c>
      <c r="E1661" t="s">
        <v>219</v>
      </c>
      <c r="F1661" t="s">
        <v>101</v>
      </c>
      <c r="G1661" t="s">
        <v>104</v>
      </c>
      <c r="H1661">
        <v>0</v>
      </c>
      <c r="I1661">
        <v>0</v>
      </c>
      <c r="J1661">
        <v>0</v>
      </c>
      <c r="K1661" t="s">
        <v>104</v>
      </c>
      <c r="L1661">
        <v>0</v>
      </c>
      <c r="M1661">
        <v>4</v>
      </c>
      <c r="N1661">
        <v>0</v>
      </c>
      <c r="O1661">
        <v>32</v>
      </c>
      <c r="P1661">
        <v>1</v>
      </c>
      <c r="Q1661">
        <v>8</v>
      </c>
      <c r="R1661">
        <v>25</v>
      </c>
      <c r="S1661">
        <v>0</v>
      </c>
      <c r="T1661">
        <v>0</v>
      </c>
      <c r="U1661" s="8">
        <v>25</v>
      </c>
      <c r="V1661" s="8">
        <f t="shared" si="51"/>
        <v>3</v>
      </c>
      <c r="W1661" t="str">
        <f>_xlfn.XLOOKUP(A1661, Matches!A:A, Matches!L:L, "NA", 0)</f>
        <v>UPW</v>
      </c>
      <c r="X1661" t="str">
        <f>_xlfn.XLOOKUP(A1661, Matches!A:A, Matches!J:J, "NA", 0)</f>
        <v>MIW</v>
      </c>
      <c r="Y1661" t="str">
        <f>_xlfn.XLOOKUP(A1661, Matches!A:A, Matches!F:F, "NA", 0)</f>
        <v>Dr DY Patil Sports </v>
      </c>
      <c r="Z1661" cm="1">
        <f t="array" ref="Z1661">INDEX(Innings!F:F,MATCH(1,(TRIM(Innings!A:A)=TRIM(A1661))*(TRIM(Innings!D:D)=TRIM(E1661)),0))</f>
        <v>187</v>
      </c>
      <c r="AA1661" cm="1">
        <f t="array" ref="AA1661">INDEX(Innings!I:I,MATCH(1,(TRIM(Innings!A:A)=TRIM(A1661))*(TRIM(Innings!D:D)=TRIM(E1661)),0))</f>
        <v>9.35</v>
      </c>
      <c r="AB1661" cm="1">
        <f t="array" ref="AB1661">INDEX(Innings!J:J,MATCH(1,(TRIM(Innings!A:A)=TRIM(A1661))*(TRIM(Innings!D:D)=TRIM(E1661)),0))</f>
        <v>56</v>
      </c>
      <c r="AC1661" cm="1">
        <f t="array" ref="AC1661">INDEX(Innings!N:N,MATCH(1,(TRIM(Innings!A:A)=TRIM(A1661))*(TRIM(Innings!D:D)=TRIM(E1661)),0))</f>
        <v>33</v>
      </c>
      <c r="AD1661" cm="1">
        <f t="array" ref="AD1661">INDEX(Innings!S:S,MATCH(1,(TRIM(Innings!A:A)=TRIM(A1661))*(TRIM(Innings!D:D)=TRIM(E1661)),0))</f>
        <v>34</v>
      </c>
      <c r="AE1661" t="str" cm="1">
        <f t="array" ref="AE1661">INDEX(Innings!W:W,MATCH(1,(TRIM(Innings!A:A)=TRIM(A1661))*(TRIM(Innings!D:D)=TRIM(E1661)),0))</f>
        <v>NA</v>
      </c>
      <c r="AF1661">
        <f>IF(UPPER(TRIM(E1661))=UPPER(TRIM(W1661)),1,0)</f>
        <v>1</v>
      </c>
      <c r="AG1661">
        <f t="shared" si="50"/>
        <v>33.4</v>
      </c>
    </row>
    <row r="1662" spans="1:33" x14ac:dyDescent="0.3">
      <c r="A1662" t="s">
        <v>610</v>
      </c>
      <c r="B1662">
        <v>4</v>
      </c>
      <c r="C1662" t="s">
        <v>112</v>
      </c>
      <c r="D1662" t="s">
        <v>88</v>
      </c>
      <c r="E1662" t="s">
        <v>266</v>
      </c>
      <c r="F1662" t="s">
        <v>169</v>
      </c>
      <c r="G1662" t="s">
        <v>86</v>
      </c>
      <c r="H1662">
        <v>13</v>
      </c>
      <c r="I1662">
        <v>13</v>
      </c>
      <c r="J1662">
        <v>100</v>
      </c>
      <c r="K1662" t="s">
        <v>246</v>
      </c>
      <c r="L1662">
        <v>13</v>
      </c>
      <c r="M1662">
        <v>3</v>
      </c>
      <c r="N1662">
        <v>0</v>
      </c>
      <c r="O1662">
        <v>40</v>
      </c>
      <c r="P1662">
        <v>1</v>
      </c>
      <c r="Q1662">
        <v>13.3</v>
      </c>
      <c r="R1662">
        <v>25</v>
      </c>
      <c r="S1662">
        <v>0</v>
      </c>
      <c r="T1662">
        <v>0</v>
      </c>
      <c r="U1662" s="8">
        <v>38</v>
      </c>
      <c r="V1662" s="8">
        <f t="shared" si="51"/>
        <v>4</v>
      </c>
      <c r="W1662" t="str">
        <f>_xlfn.XLOOKUP(A1662, Matches!A:A, Matches!L:L, "NA", 0)</f>
        <v>UPW</v>
      </c>
      <c r="X1662" t="str">
        <f>_xlfn.XLOOKUP(A1662, Matches!A:A, Matches!J:J, "NA", 0)</f>
        <v>MIW</v>
      </c>
      <c r="Y1662" t="str">
        <f>_xlfn.XLOOKUP(A1662, Matches!A:A, Matches!F:F, "NA", 0)</f>
        <v>Dr DY Patil Sports </v>
      </c>
      <c r="Z1662" cm="1">
        <f t="array" ref="Z1662">INDEX(Innings!F:F,MATCH(1,(TRIM(Innings!A:A)=TRIM(A1662))*(TRIM(Innings!D:D)=TRIM(E1662)),0))</f>
        <v>165</v>
      </c>
      <c r="AA1662" cm="1">
        <f t="array" ref="AA1662">INDEX(Innings!I:I,MATCH(1,(TRIM(Innings!A:A)=TRIM(A1662))*(TRIM(Innings!D:D)=TRIM(E1662)),0))</f>
        <v>8.25</v>
      </c>
      <c r="AB1662" cm="1">
        <f t="array" ref="AB1662">INDEX(Innings!J:J,MATCH(1,(TRIM(Innings!A:A)=TRIM(A1662))*(TRIM(Innings!D:D)=TRIM(E1662)),0))</f>
        <v>38</v>
      </c>
      <c r="AC1662" cm="1">
        <f t="array" ref="AC1662">INDEX(Innings!N:N,MATCH(1,(TRIM(Innings!A:A)=TRIM(A1662))*(TRIM(Innings!D:D)=TRIM(E1662)),0))</f>
        <v>40</v>
      </c>
      <c r="AD1662" cm="1">
        <f t="array" ref="AD1662">INDEX(Innings!S:S,MATCH(1,(TRIM(Innings!A:A)=TRIM(A1662))*(TRIM(Innings!D:D)=TRIM(E1662)),0))</f>
        <v>36</v>
      </c>
      <c r="AE1662" t="str" cm="1">
        <f t="array" ref="AE1662">INDEX(Innings!W:W,MATCH(1,(TRIM(Innings!A:A)=TRIM(A1662))*(TRIM(Innings!D:D)=TRIM(E1662)),0))</f>
        <v>Failed</v>
      </c>
      <c r="AF1662">
        <f>IF(UPPER(TRIM(E1662))=UPPER(TRIM(W1662)),1,0)</f>
        <v>0</v>
      </c>
      <c r="AG1662">
        <f t="shared" si="50"/>
        <v>20.2</v>
      </c>
    </row>
    <row r="1663" spans="1:33" x14ac:dyDescent="0.3">
      <c r="A1663" t="s">
        <v>610</v>
      </c>
      <c r="B1663">
        <v>4</v>
      </c>
      <c r="C1663" t="s">
        <v>347</v>
      </c>
      <c r="D1663" t="s">
        <v>348</v>
      </c>
      <c r="E1663" t="s">
        <v>266</v>
      </c>
      <c r="F1663" t="s">
        <v>169</v>
      </c>
      <c r="G1663" t="s">
        <v>92</v>
      </c>
      <c r="H1663">
        <v>10</v>
      </c>
      <c r="I1663">
        <v>6</v>
      </c>
      <c r="J1663">
        <v>166.67</v>
      </c>
      <c r="K1663" t="s">
        <v>247</v>
      </c>
      <c r="L1663">
        <v>15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 s="8">
        <v>15</v>
      </c>
      <c r="V1663" s="8">
        <f t="shared" si="51"/>
        <v>2</v>
      </c>
      <c r="W1663" t="str">
        <f>_xlfn.XLOOKUP(A1663, Matches!A:A, Matches!L:L, "NA", 0)</f>
        <v>UPW</v>
      </c>
      <c r="X1663" t="str">
        <f>_xlfn.XLOOKUP(A1663, Matches!A:A, Matches!J:J, "NA", 0)</f>
        <v>MIW</v>
      </c>
      <c r="Y1663" t="str">
        <f>_xlfn.XLOOKUP(A1663, Matches!A:A, Matches!F:F, "NA", 0)</f>
        <v>Dr DY Patil Sports </v>
      </c>
      <c r="Z1663" cm="1">
        <f t="array" ref="Z1663">INDEX(Innings!F:F,MATCH(1,(TRIM(Innings!A:A)=TRIM(A1663))*(TRIM(Innings!D:D)=TRIM(E1663)),0))</f>
        <v>165</v>
      </c>
      <c r="AA1663" cm="1">
        <f t="array" ref="AA1663">INDEX(Innings!I:I,MATCH(1,(TRIM(Innings!A:A)=TRIM(A1663))*(TRIM(Innings!D:D)=TRIM(E1663)),0))</f>
        <v>8.25</v>
      </c>
      <c r="AB1663" cm="1">
        <f t="array" ref="AB1663">INDEX(Innings!J:J,MATCH(1,(TRIM(Innings!A:A)=TRIM(A1663))*(TRIM(Innings!D:D)=TRIM(E1663)),0))</f>
        <v>38</v>
      </c>
      <c r="AC1663" cm="1">
        <f t="array" ref="AC1663">INDEX(Innings!N:N,MATCH(1,(TRIM(Innings!A:A)=TRIM(A1663))*(TRIM(Innings!D:D)=TRIM(E1663)),0))</f>
        <v>40</v>
      </c>
      <c r="AD1663" cm="1">
        <f t="array" ref="AD1663">INDEX(Innings!S:S,MATCH(1,(TRIM(Innings!A:A)=TRIM(A1663))*(TRIM(Innings!D:D)=TRIM(E1663)),0))</f>
        <v>36</v>
      </c>
      <c r="AE1663" t="str" cm="1">
        <f t="array" ref="AE1663">INDEX(Innings!W:W,MATCH(1,(TRIM(Innings!A:A)=TRIM(A1663))*(TRIM(Innings!D:D)=TRIM(E1663)),0))</f>
        <v>Failed</v>
      </c>
      <c r="AF1663">
        <f>IF(UPPER(TRIM(E1663))=UPPER(TRIM(W1663)),1,0)</f>
        <v>0</v>
      </c>
      <c r="AG1663">
        <f t="shared" si="50"/>
        <v>8.1</v>
      </c>
    </row>
    <row r="1664" spans="1:33" x14ac:dyDescent="0.3">
      <c r="A1664" t="s">
        <v>610</v>
      </c>
      <c r="B1664">
        <v>4</v>
      </c>
      <c r="C1664" t="s">
        <v>117</v>
      </c>
      <c r="D1664" t="s">
        <v>90</v>
      </c>
      <c r="E1664" t="s">
        <v>266</v>
      </c>
      <c r="F1664" t="s">
        <v>169</v>
      </c>
      <c r="G1664" t="s">
        <v>92</v>
      </c>
      <c r="H1664">
        <v>15</v>
      </c>
      <c r="I1664">
        <v>12</v>
      </c>
      <c r="J1664">
        <v>125</v>
      </c>
      <c r="K1664" t="s">
        <v>246</v>
      </c>
      <c r="L1664">
        <v>20</v>
      </c>
      <c r="M1664">
        <v>4</v>
      </c>
      <c r="N1664">
        <v>0</v>
      </c>
      <c r="O1664">
        <v>22</v>
      </c>
      <c r="P1664">
        <v>2</v>
      </c>
      <c r="Q1664">
        <v>5.5</v>
      </c>
      <c r="R1664">
        <v>60</v>
      </c>
      <c r="S1664">
        <v>0</v>
      </c>
      <c r="T1664">
        <v>0</v>
      </c>
      <c r="U1664" s="8">
        <v>80</v>
      </c>
      <c r="V1664" s="8">
        <f t="shared" si="51"/>
        <v>8</v>
      </c>
      <c r="W1664" t="str">
        <f>_xlfn.XLOOKUP(A1664, Matches!A:A, Matches!L:L, "NA", 0)</f>
        <v>UPW</v>
      </c>
      <c r="X1664" t="str">
        <f>_xlfn.XLOOKUP(A1664, Matches!A:A, Matches!J:J, "NA", 0)</f>
        <v>MIW</v>
      </c>
      <c r="Y1664" t="str">
        <f>_xlfn.XLOOKUP(A1664, Matches!A:A, Matches!F:F, "NA", 0)</f>
        <v>Dr DY Patil Sports </v>
      </c>
      <c r="Z1664" cm="1">
        <f t="array" ref="Z1664">INDEX(Innings!F:F,MATCH(1,(TRIM(Innings!A:A)=TRIM(A1664))*(TRIM(Innings!D:D)=TRIM(E1664)),0))</f>
        <v>165</v>
      </c>
      <c r="AA1664" cm="1">
        <f t="array" ref="AA1664">INDEX(Innings!I:I,MATCH(1,(TRIM(Innings!A:A)=TRIM(A1664))*(TRIM(Innings!D:D)=TRIM(E1664)),0))</f>
        <v>8.25</v>
      </c>
      <c r="AB1664" cm="1">
        <f t="array" ref="AB1664">INDEX(Innings!J:J,MATCH(1,(TRIM(Innings!A:A)=TRIM(A1664))*(TRIM(Innings!D:D)=TRIM(E1664)),0))</f>
        <v>38</v>
      </c>
      <c r="AC1664" cm="1">
        <f t="array" ref="AC1664">INDEX(Innings!N:N,MATCH(1,(TRIM(Innings!A:A)=TRIM(A1664))*(TRIM(Innings!D:D)=TRIM(E1664)),0))</f>
        <v>40</v>
      </c>
      <c r="AD1664" cm="1">
        <f t="array" ref="AD1664">INDEX(Innings!S:S,MATCH(1,(TRIM(Innings!A:A)=TRIM(A1664))*(TRIM(Innings!D:D)=TRIM(E1664)),0))</f>
        <v>36</v>
      </c>
      <c r="AE1664" t="str" cm="1">
        <f t="array" ref="AE1664">INDEX(Innings!W:W,MATCH(1,(TRIM(Innings!A:A)=TRIM(A1664))*(TRIM(Innings!D:D)=TRIM(E1664)),0))</f>
        <v>Failed</v>
      </c>
      <c r="AF1664">
        <f>IF(UPPER(TRIM(E1664))=UPPER(TRIM(W1664)),1,0)</f>
        <v>0</v>
      </c>
      <c r="AG1664">
        <f t="shared" ref="AG1664:AG1727" si="52">(0.5*MAX(0,U1664) + 0.3*MAX(0,V1664) + 0.2*AF1664*100)</f>
        <v>42.4</v>
      </c>
    </row>
    <row r="1665" spans="1:33" x14ac:dyDescent="0.3">
      <c r="A1665" t="s">
        <v>610</v>
      </c>
      <c r="B1665">
        <v>4</v>
      </c>
      <c r="C1665" t="s">
        <v>115</v>
      </c>
      <c r="D1665" t="s">
        <v>17</v>
      </c>
      <c r="E1665" t="s">
        <v>266</v>
      </c>
      <c r="F1665" t="s">
        <v>169</v>
      </c>
      <c r="G1665" t="s">
        <v>134</v>
      </c>
      <c r="H1665">
        <v>18</v>
      </c>
      <c r="I1665">
        <v>21</v>
      </c>
      <c r="J1665">
        <v>85.71</v>
      </c>
      <c r="K1665" t="s">
        <v>246</v>
      </c>
      <c r="L1665">
        <v>15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 s="8">
        <v>15</v>
      </c>
      <c r="V1665" s="8">
        <f t="shared" si="51"/>
        <v>2</v>
      </c>
      <c r="W1665" t="str">
        <f>_xlfn.XLOOKUP(A1665, Matches!A:A, Matches!L:L, "NA", 0)</f>
        <v>UPW</v>
      </c>
      <c r="X1665" t="str">
        <f>_xlfn.XLOOKUP(A1665, Matches!A:A, Matches!J:J, "NA", 0)</f>
        <v>MIW</v>
      </c>
      <c r="Y1665" t="str">
        <f>_xlfn.XLOOKUP(A1665, Matches!A:A, Matches!F:F, "NA", 0)</f>
        <v>Dr DY Patil Sports </v>
      </c>
      <c r="Z1665" cm="1">
        <f t="array" ref="Z1665">INDEX(Innings!F:F,MATCH(1,(TRIM(Innings!A:A)=TRIM(A1665))*(TRIM(Innings!D:D)=TRIM(E1665)),0))</f>
        <v>165</v>
      </c>
      <c r="AA1665" cm="1">
        <f t="array" ref="AA1665">INDEX(Innings!I:I,MATCH(1,(TRIM(Innings!A:A)=TRIM(A1665))*(TRIM(Innings!D:D)=TRIM(E1665)),0))</f>
        <v>8.25</v>
      </c>
      <c r="AB1665" cm="1">
        <f t="array" ref="AB1665">INDEX(Innings!J:J,MATCH(1,(TRIM(Innings!A:A)=TRIM(A1665))*(TRIM(Innings!D:D)=TRIM(E1665)),0))</f>
        <v>38</v>
      </c>
      <c r="AC1665" cm="1">
        <f t="array" ref="AC1665">INDEX(Innings!N:N,MATCH(1,(TRIM(Innings!A:A)=TRIM(A1665))*(TRIM(Innings!D:D)=TRIM(E1665)),0))</f>
        <v>40</v>
      </c>
      <c r="AD1665" cm="1">
        <f t="array" ref="AD1665">INDEX(Innings!S:S,MATCH(1,(TRIM(Innings!A:A)=TRIM(A1665))*(TRIM(Innings!D:D)=TRIM(E1665)),0))</f>
        <v>36</v>
      </c>
      <c r="AE1665" t="str" cm="1">
        <f t="array" ref="AE1665">INDEX(Innings!W:W,MATCH(1,(TRIM(Innings!A:A)=TRIM(A1665))*(TRIM(Innings!D:D)=TRIM(E1665)),0))</f>
        <v>Failed</v>
      </c>
      <c r="AF1665">
        <f>IF(UPPER(TRIM(E1665))=UPPER(TRIM(W1665)),1,0)</f>
        <v>0</v>
      </c>
      <c r="AG1665">
        <f t="shared" si="52"/>
        <v>8.1</v>
      </c>
    </row>
    <row r="1666" spans="1:33" x14ac:dyDescent="0.3">
      <c r="A1666" t="s">
        <v>610</v>
      </c>
      <c r="B1666">
        <v>4</v>
      </c>
      <c r="C1666" t="s">
        <v>517</v>
      </c>
      <c r="D1666" t="s">
        <v>626</v>
      </c>
      <c r="E1666" t="s">
        <v>266</v>
      </c>
      <c r="F1666" t="s">
        <v>169</v>
      </c>
      <c r="G1666" t="s">
        <v>134</v>
      </c>
      <c r="H1666">
        <v>6</v>
      </c>
      <c r="I1666">
        <v>10</v>
      </c>
      <c r="J1666">
        <v>60</v>
      </c>
      <c r="K1666" t="s">
        <v>246</v>
      </c>
      <c r="L1666">
        <v>5</v>
      </c>
      <c r="M1666">
        <v>4</v>
      </c>
      <c r="N1666">
        <v>0</v>
      </c>
      <c r="O1666">
        <v>38</v>
      </c>
      <c r="P1666">
        <v>1</v>
      </c>
      <c r="Q1666">
        <v>9.5</v>
      </c>
      <c r="R1666">
        <v>25</v>
      </c>
      <c r="S1666">
        <v>0</v>
      </c>
      <c r="T1666">
        <v>0</v>
      </c>
      <c r="U1666" s="8">
        <v>30</v>
      </c>
      <c r="V1666" s="8">
        <f t="shared" si="51"/>
        <v>3</v>
      </c>
      <c r="W1666" t="str">
        <f>_xlfn.XLOOKUP(A1666, Matches!A:A, Matches!L:L, "NA", 0)</f>
        <v>UPW</v>
      </c>
      <c r="X1666" t="str">
        <f>_xlfn.XLOOKUP(A1666, Matches!A:A, Matches!J:J, "NA", 0)</f>
        <v>MIW</v>
      </c>
      <c r="Y1666" t="str">
        <f>_xlfn.XLOOKUP(A1666, Matches!A:A, Matches!F:F, "NA", 0)</f>
        <v>Dr DY Patil Sports </v>
      </c>
      <c r="Z1666" cm="1">
        <f t="array" ref="Z1666">INDEX(Innings!F:F,MATCH(1,(TRIM(Innings!A:A)=TRIM(A1666))*(TRIM(Innings!D:D)=TRIM(E1666)),0))</f>
        <v>165</v>
      </c>
      <c r="AA1666" cm="1">
        <f t="array" ref="AA1666">INDEX(Innings!I:I,MATCH(1,(TRIM(Innings!A:A)=TRIM(A1666))*(TRIM(Innings!D:D)=TRIM(E1666)),0))</f>
        <v>8.25</v>
      </c>
      <c r="AB1666" cm="1">
        <f t="array" ref="AB1666">INDEX(Innings!J:J,MATCH(1,(TRIM(Innings!A:A)=TRIM(A1666))*(TRIM(Innings!D:D)=TRIM(E1666)),0))</f>
        <v>38</v>
      </c>
      <c r="AC1666" cm="1">
        <f t="array" ref="AC1666">INDEX(Innings!N:N,MATCH(1,(TRIM(Innings!A:A)=TRIM(A1666))*(TRIM(Innings!D:D)=TRIM(E1666)),0))</f>
        <v>40</v>
      </c>
      <c r="AD1666" cm="1">
        <f t="array" ref="AD1666">INDEX(Innings!S:S,MATCH(1,(TRIM(Innings!A:A)=TRIM(A1666))*(TRIM(Innings!D:D)=TRIM(E1666)),0))</f>
        <v>36</v>
      </c>
      <c r="AE1666" t="str" cm="1">
        <f t="array" ref="AE1666">INDEX(Innings!W:W,MATCH(1,(TRIM(Innings!A:A)=TRIM(A1666))*(TRIM(Innings!D:D)=TRIM(E1666)),0))</f>
        <v>Failed</v>
      </c>
      <c r="AF1666">
        <f>IF(UPPER(TRIM(E1666))=UPPER(TRIM(W1666)),1,0)</f>
        <v>0</v>
      </c>
      <c r="AG1666">
        <f t="shared" si="52"/>
        <v>15.9</v>
      </c>
    </row>
    <row r="1667" spans="1:33" x14ac:dyDescent="0.3">
      <c r="A1667" t="s">
        <v>610</v>
      </c>
      <c r="B1667">
        <v>4</v>
      </c>
      <c r="C1667" t="s">
        <v>119</v>
      </c>
      <c r="D1667" t="s">
        <v>95</v>
      </c>
      <c r="E1667" t="s">
        <v>266</v>
      </c>
      <c r="F1667" t="s">
        <v>169</v>
      </c>
      <c r="G1667" t="s">
        <v>134</v>
      </c>
      <c r="H1667">
        <v>49</v>
      </c>
      <c r="I1667">
        <v>28</v>
      </c>
      <c r="J1667">
        <v>175</v>
      </c>
      <c r="K1667" t="s">
        <v>96</v>
      </c>
      <c r="L1667">
        <v>70</v>
      </c>
      <c r="M1667">
        <v>4</v>
      </c>
      <c r="N1667">
        <v>0</v>
      </c>
      <c r="O1667">
        <v>28</v>
      </c>
      <c r="P1667">
        <v>3</v>
      </c>
      <c r="Q1667">
        <v>7</v>
      </c>
      <c r="R1667">
        <v>75</v>
      </c>
      <c r="S1667">
        <v>0</v>
      </c>
      <c r="T1667">
        <v>0</v>
      </c>
      <c r="U1667" s="8">
        <v>145</v>
      </c>
      <c r="V1667" s="8">
        <f t="shared" ref="V1667:V1730" si="53">MIN(10, MAX(0, ROUND(U1667/10,0)))</f>
        <v>10</v>
      </c>
      <c r="W1667" t="str">
        <f>_xlfn.XLOOKUP(A1667, Matches!A:A, Matches!L:L, "NA", 0)</f>
        <v>UPW</v>
      </c>
      <c r="X1667" t="str">
        <f>_xlfn.XLOOKUP(A1667, Matches!A:A, Matches!J:J, "NA", 0)</f>
        <v>MIW</v>
      </c>
      <c r="Y1667" t="str">
        <f>_xlfn.XLOOKUP(A1667, Matches!A:A, Matches!F:F, "NA", 0)</f>
        <v>Dr DY Patil Sports </v>
      </c>
      <c r="Z1667" cm="1">
        <f t="array" ref="Z1667">INDEX(Innings!F:F,MATCH(1,(TRIM(Innings!A:A)=TRIM(A1667))*(TRIM(Innings!D:D)=TRIM(E1667)),0))</f>
        <v>165</v>
      </c>
      <c r="AA1667" cm="1">
        <f t="array" ref="AA1667">INDEX(Innings!I:I,MATCH(1,(TRIM(Innings!A:A)=TRIM(A1667))*(TRIM(Innings!D:D)=TRIM(E1667)),0))</f>
        <v>8.25</v>
      </c>
      <c r="AB1667" cm="1">
        <f t="array" ref="AB1667">INDEX(Innings!J:J,MATCH(1,(TRIM(Innings!A:A)=TRIM(A1667))*(TRIM(Innings!D:D)=TRIM(E1667)),0))</f>
        <v>38</v>
      </c>
      <c r="AC1667" cm="1">
        <f t="array" ref="AC1667">INDEX(Innings!N:N,MATCH(1,(TRIM(Innings!A:A)=TRIM(A1667))*(TRIM(Innings!D:D)=TRIM(E1667)),0))</f>
        <v>40</v>
      </c>
      <c r="AD1667" cm="1">
        <f t="array" ref="AD1667">INDEX(Innings!S:S,MATCH(1,(TRIM(Innings!A:A)=TRIM(A1667))*(TRIM(Innings!D:D)=TRIM(E1667)),0))</f>
        <v>36</v>
      </c>
      <c r="AE1667" t="str" cm="1">
        <f t="array" ref="AE1667">INDEX(Innings!W:W,MATCH(1,(TRIM(Innings!A:A)=TRIM(A1667))*(TRIM(Innings!D:D)=TRIM(E1667)),0))</f>
        <v>Failed</v>
      </c>
      <c r="AF1667">
        <f>IF(UPPER(TRIM(E1667))=UPPER(TRIM(W1667)),1,0)</f>
        <v>0</v>
      </c>
      <c r="AG1667">
        <f t="shared" si="52"/>
        <v>75.5</v>
      </c>
    </row>
    <row r="1668" spans="1:33" x14ac:dyDescent="0.3">
      <c r="A1668" t="s">
        <v>610</v>
      </c>
      <c r="B1668">
        <v>4</v>
      </c>
      <c r="C1668" t="s">
        <v>121</v>
      </c>
      <c r="D1668" t="s">
        <v>108</v>
      </c>
      <c r="E1668" t="s">
        <v>266</v>
      </c>
      <c r="F1668" t="s">
        <v>169</v>
      </c>
      <c r="G1668" t="s">
        <v>134</v>
      </c>
      <c r="H1668">
        <v>41</v>
      </c>
      <c r="I1668">
        <v>24</v>
      </c>
      <c r="J1668">
        <v>170.83</v>
      </c>
      <c r="K1668" t="s">
        <v>246</v>
      </c>
      <c r="L1668">
        <v>65</v>
      </c>
      <c r="M1668">
        <v>3</v>
      </c>
      <c r="N1668">
        <v>0</v>
      </c>
      <c r="O1668">
        <v>38</v>
      </c>
      <c r="P1668">
        <v>1</v>
      </c>
      <c r="Q1668">
        <v>12.7</v>
      </c>
      <c r="R1668">
        <v>25</v>
      </c>
      <c r="S1668">
        <v>0</v>
      </c>
      <c r="T1668">
        <v>0</v>
      </c>
      <c r="U1668" s="8">
        <v>90</v>
      </c>
      <c r="V1668" s="8">
        <f t="shared" si="53"/>
        <v>9</v>
      </c>
      <c r="W1668" t="str">
        <f>_xlfn.XLOOKUP(A1668, Matches!A:A, Matches!L:L, "NA", 0)</f>
        <v>UPW</v>
      </c>
      <c r="X1668" t="str">
        <f>_xlfn.XLOOKUP(A1668, Matches!A:A, Matches!J:J, "NA", 0)</f>
        <v>MIW</v>
      </c>
      <c r="Y1668" t="str">
        <f>_xlfn.XLOOKUP(A1668, Matches!A:A, Matches!F:F, "NA", 0)</f>
        <v>Dr DY Patil Sports </v>
      </c>
      <c r="Z1668" cm="1">
        <f t="array" ref="Z1668">INDEX(Innings!F:F,MATCH(1,(TRIM(Innings!A:A)=TRIM(A1668))*(TRIM(Innings!D:D)=TRIM(E1668)),0))</f>
        <v>165</v>
      </c>
      <c r="AA1668" cm="1">
        <f t="array" ref="AA1668">INDEX(Innings!I:I,MATCH(1,(TRIM(Innings!A:A)=TRIM(A1668))*(TRIM(Innings!D:D)=TRIM(E1668)),0))</f>
        <v>8.25</v>
      </c>
      <c r="AB1668" cm="1">
        <f t="array" ref="AB1668">INDEX(Innings!J:J,MATCH(1,(TRIM(Innings!A:A)=TRIM(A1668))*(TRIM(Innings!D:D)=TRIM(E1668)),0))</f>
        <v>38</v>
      </c>
      <c r="AC1668" cm="1">
        <f t="array" ref="AC1668">INDEX(Innings!N:N,MATCH(1,(TRIM(Innings!A:A)=TRIM(A1668))*(TRIM(Innings!D:D)=TRIM(E1668)),0))</f>
        <v>40</v>
      </c>
      <c r="AD1668" cm="1">
        <f t="array" ref="AD1668">INDEX(Innings!S:S,MATCH(1,(TRIM(Innings!A:A)=TRIM(A1668))*(TRIM(Innings!D:D)=TRIM(E1668)),0))</f>
        <v>36</v>
      </c>
      <c r="AE1668" t="str" cm="1">
        <f t="array" ref="AE1668">INDEX(Innings!W:W,MATCH(1,(TRIM(Innings!A:A)=TRIM(A1668))*(TRIM(Innings!D:D)=TRIM(E1668)),0))</f>
        <v>Failed</v>
      </c>
      <c r="AF1668">
        <f>IF(UPPER(TRIM(E1668))=UPPER(TRIM(W1668)),1,0)</f>
        <v>0</v>
      </c>
      <c r="AG1668">
        <f t="shared" si="52"/>
        <v>47.7</v>
      </c>
    </row>
    <row r="1669" spans="1:33" x14ac:dyDescent="0.3">
      <c r="A1669" t="s">
        <v>610</v>
      </c>
      <c r="B1669">
        <v>4</v>
      </c>
      <c r="C1669" t="s">
        <v>576</v>
      </c>
      <c r="D1669" t="s">
        <v>648</v>
      </c>
      <c r="E1669" t="s">
        <v>266</v>
      </c>
      <c r="F1669" t="s">
        <v>85</v>
      </c>
      <c r="G1669" t="s">
        <v>134</v>
      </c>
      <c r="H1669">
        <v>9</v>
      </c>
      <c r="I1669">
        <v>6</v>
      </c>
      <c r="J1669">
        <v>150</v>
      </c>
      <c r="K1669" t="s">
        <v>96</v>
      </c>
      <c r="L1669">
        <v>20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 s="8">
        <v>20</v>
      </c>
      <c r="V1669" s="8">
        <f t="shared" si="53"/>
        <v>2</v>
      </c>
      <c r="W1669" t="str">
        <f>_xlfn.XLOOKUP(A1669, Matches!A:A, Matches!L:L, "NA", 0)</f>
        <v>UPW</v>
      </c>
      <c r="X1669" t="str">
        <f>_xlfn.XLOOKUP(A1669, Matches!A:A, Matches!J:J, "NA", 0)</f>
        <v>MIW</v>
      </c>
      <c r="Y1669" t="str">
        <f>_xlfn.XLOOKUP(A1669, Matches!A:A, Matches!F:F, "NA", 0)</f>
        <v>Dr DY Patil Sports </v>
      </c>
      <c r="Z1669" cm="1">
        <f t="array" ref="Z1669">INDEX(Innings!F:F,MATCH(1,(TRIM(Innings!A:A)=TRIM(A1669))*(TRIM(Innings!D:D)=TRIM(E1669)),0))</f>
        <v>165</v>
      </c>
      <c r="AA1669" cm="1">
        <f t="array" ref="AA1669">INDEX(Innings!I:I,MATCH(1,(TRIM(Innings!A:A)=TRIM(A1669))*(TRIM(Innings!D:D)=TRIM(E1669)),0))</f>
        <v>8.25</v>
      </c>
      <c r="AB1669" cm="1">
        <f t="array" ref="AB1669">INDEX(Innings!J:J,MATCH(1,(TRIM(Innings!A:A)=TRIM(A1669))*(TRIM(Innings!D:D)=TRIM(E1669)),0))</f>
        <v>38</v>
      </c>
      <c r="AC1669" cm="1">
        <f t="array" ref="AC1669">INDEX(Innings!N:N,MATCH(1,(TRIM(Innings!A:A)=TRIM(A1669))*(TRIM(Innings!D:D)=TRIM(E1669)),0))</f>
        <v>40</v>
      </c>
      <c r="AD1669" cm="1">
        <f t="array" ref="AD1669">INDEX(Innings!S:S,MATCH(1,(TRIM(Innings!A:A)=TRIM(A1669))*(TRIM(Innings!D:D)=TRIM(E1669)),0))</f>
        <v>36</v>
      </c>
      <c r="AE1669" t="str" cm="1">
        <f t="array" ref="AE1669">INDEX(Innings!W:W,MATCH(1,(TRIM(Innings!A:A)=TRIM(A1669))*(TRIM(Innings!D:D)=TRIM(E1669)),0))</f>
        <v>Failed</v>
      </c>
      <c r="AF1669">
        <f>IF(UPPER(TRIM(E1669))=UPPER(TRIM(W1669)),1,0)</f>
        <v>0</v>
      </c>
      <c r="AG1669">
        <f t="shared" si="52"/>
        <v>10.6</v>
      </c>
    </row>
    <row r="1670" spans="1:33" x14ac:dyDescent="0.3">
      <c r="A1670" t="s">
        <v>610</v>
      </c>
      <c r="B1670">
        <v>4</v>
      </c>
      <c r="C1670" t="s">
        <v>507</v>
      </c>
      <c r="D1670" t="s">
        <v>519</v>
      </c>
      <c r="E1670" t="s">
        <v>266</v>
      </c>
      <c r="F1670" t="s">
        <v>101</v>
      </c>
      <c r="G1670" t="s">
        <v>104</v>
      </c>
      <c r="H1670">
        <v>0</v>
      </c>
      <c r="I1670">
        <v>0</v>
      </c>
      <c r="J1670">
        <v>0</v>
      </c>
      <c r="K1670" t="s">
        <v>104</v>
      </c>
      <c r="L1670">
        <v>0</v>
      </c>
      <c r="M1670">
        <v>2</v>
      </c>
      <c r="N1670">
        <v>0</v>
      </c>
      <c r="O1670">
        <v>16</v>
      </c>
      <c r="P1670">
        <v>0</v>
      </c>
      <c r="Q1670">
        <v>8</v>
      </c>
      <c r="R1670">
        <v>5</v>
      </c>
      <c r="S1670">
        <v>0</v>
      </c>
      <c r="T1670">
        <v>0</v>
      </c>
      <c r="U1670" s="8">
        <v>5</v>
      </c>
      <c r="V1670" s="8">
        <f t="shared" si="53"/>
        <v>1</v>
      </c>
      <c r="W1670" t="str">
        <f>_xlfn.XLOOKUP(A1670, Matches!A:A, Matches!L:L, "NA", 0)</f>
        <v>UPW</v>
      </c>
      <c r="X1670" t="str">
        <f>_xlfn.XLOOKUP(A1670, Matches!A:A, Matches!J:J, "NA", 0)</f>
        <v>MIW</v>
      </c>
      <c r="Y1670" t="str">
        <f>_xlfn.XLOOKUP(A1670, Matches!A:A, Matches!F:F, "NA", 0)</f>
        <v>Dr DY Patil Sports </v>
      </c>
      <c r="Z1670" cm="1">
        <f t="array" ref="Z1670">INDEX(Innings!F:F,MATCH(1,(TRIM(Innings!A:A)=TRIM(A1670))*(TRIM(Innings!D:D)=TRIM(E1670)),0))</f>
        <v>165</v>
      </c>
      <c r="AA1670" cm="1">
        <f t="array" ref="AA1670">INDEX(Innings!I:I,MATCH(1,(TRIM(Innings!A:A)=TRIM(A1670))*(TRIM(Innings!D:D)=TRIM(E1670)),0))</f>
        <v>8.25</v>
      </c>
      <c r="AB1670" cm="1">
        <f t="array" ref="AB1670">INDEX(Innings!J:J,MATCH(1,(TRIM(Innings!A:A)=TRIM(A1670))*(TRIM(Innings!D:D)=TRIM(E1670)),0))</f>
        <v>38</v>
      </c>
      <c r="AC1670" cm="1">
        <f t="array" ref="AC1670">INDEX(Innings!N:N,MATCH(1,(TRIM(Innings!A:A)=TRIM(A1670))*(TRIM(Innings!D:D)=TRIM(E1670)),0))</f>
        <v>40</v>
      </c>
      <c r="AD1670" cm="1">
        <f t="array" ref="AD1670">INDEX(Innings!S:S,MATCH(1,(TRIM(Innings!A:A)=TRIM(A1670))*(TRIM(Innings!D:D)=TRIM(E1670)),0))</f>
        <v>36</v>
      </c>
      <c r="AE1670" t="str" cm="1">
        <f t="array" ref="AE1670">INDEX(Innings!W:W,MATCH(1,(TRIM(Innings!A:A)=TRIM(A1670))*(TRIM(Innings!D:D)=TRIM(E1670)),0))</f>
        <v>Failed</v>
      </c>
      <c r="AF1670">
        <f>IF(UPPER(TRIM(E1670))=UPPER(TRIM(W1670)),1,0)</f>
        <v>0</v>
      </c>
      <c r="AG1670">
        <f t="shared" si="52"/>
        <v>2.8</v>
      </c>
    </row>
    <row r="1671" spans="1:33" x14ac:dyDescent="0.3">
      <c r="A1671" t="s">
        <v>610</v>
      </c>
      <c r="B1671">
        <v>4</v>
      </c>
      <c r="C1671" t="s">
        <v>580</v>
      </c>
      <c r="D1671" t="s">
        <v>661</v>
      </c>
      <c r="E1671" t="s">
        <v>266</v>
      </c>
      <c r="F1671" t="s">
        <v>101</v>
      </c>
      <c r="G1671" t="s">
        <v>104</v>
      </c>
      <c r="H1671">
        <v>0</v>
      </c>
      <c r="I1671">
        <v>0</v>
      </c>
      <c r="J1671">
        <v>0</v>
      </c>
      <c r="K1671" t="s">
        <v>104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 s="8">
        <v>0</v>
      </c>
      <c r="V1671" s="8">
        <f t="shared" si="53"/>
        <v>0</v>
      </c>
      <c r="W1671" t="str">
        <f>_xlfn.XLOOKUP(A1671, Matches!A:A, Matches!L:L, "NA", 0)</f>
        <v>UPW</v>
      </c>
      <c r="X1671" t="str">
        <f>_xlfn.XLOOKUP(A1671, Matches!A:A, Matches!J:J, "NA", 0)</f>
        <v>MIW</v>
      </c>
      <c r="Y1671" t="str">
        <f>_xlfn.XLOOKUP(A1671, Matches!A:A, Matches!F:F, "NA", 0)</f>
        <v>Dr DY Patil Sports </v>
      </c>
      <c r="Z1671" cm="1">
        <f t="array" ref="Z1671">INDEX(Innings!F:F,MATCH(1,(TRIM(Innings!A:A)=TRIM(A1671))*(TRIM(Innings!D:D)=TRIM(E1671)),0))</f>
        <v>165</v>
      </c>
      <c r="AA1671" cm="1">
        <f t="array" ref="AA1671">INDEX(Innings!I:I,MATCH(1,(TRIM(Innings!A:A)=TRIM(A1671))*(TRIM(Innings!D:D)=TRIM(E1671)),0))</f>
        <v>8.25</v>
      </c>
      <c r="AB1671" cm="1">
        <f t="array" ref="AB1671">INDEX(Innings!J:J,MATCH(1,(TRIM(Innings!A:A)=TRIM(A1671))*(TRIM(Innings!D:D)=TRIM(E1671)),0))</f>
        <v>38</v>
      </c>
      <c r="AC1671" cm="1">
        <f t="array" ref="AC1671">INDEX(Innings!N:N,MATCH(1,(TRIM(Innings!A:A)=TRIM(A1671))*(TRIM(Innings!D:D)=TRIM(E1671)),0))</f>
        <v>40</v>
      </c>
      <c r="AD1671" cm="1">
        <f t="array" ref="AD1671">INDEX(Innings!S:S,MATCH(1,(TRIM(Innings!A:A)=TRIM(A1671))*(TRIM(Innings!D:D)=TRIM(E1671)),0))</f>
        <v>36</v>
      </c>
      <c r="AE1671" t="str" cm="1">
        <f t="array" ref="AE1671">INDEX(Innings!W:W,MATCH(1,(TRIM(Innings!A:A)=TRIM(A1671))*(TRIM(Innings!D:D)=TRIM(E1671)),0))</f>
        <v>Failed</v>
      </c>
      <c r="AF1671">
        <f>IF(UPPER(TRIM(E1671))=UPPER(TRIM(W1671)),1,0)</f>
        <v>0</v>
      </c>
      <c r="AG1671">
        <f t="shared" si="52"/>
        <v>0</v>
      </c>
    </row>
    <row r="1672" spans="1:33" x14ac:dyDescent="0.3">
      <c r="A1672" t="s">
        <v>610</v>
      </c>
      <c r="B1672">
        <v>4</v>
      </c>
      <c r="C1672" t="s">
        <v>534</v>
      </c>
      <c r="D1672" t="s">
        <v>639</v>
      </c>
      <c r="E1672" t="s">
        <v>266</v>
      </c>
      <c r="F1672" t="s">
        <v>101</v>
      </c>
      <c r="G1672" t="s">
        <v>104</v>
      </c>
      <c r="H1672">
        <v>0</v>
      </c>
      <c r="I1672">
        <v>0</v>
      </c>
      <c r="J1672">
        <v>0</v>
      </c>
      <c r="K1672" t="s">
        <v>104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 s="8">
        <v>0</v>
      </c>
      <c r="V1672" s="8">
        <f t="shared" si="53"/>
        <v>0</v>
      </c>
      <c r="W1672" t="str">
        <f>_xlfn.XLOOKUP(A1672, Matches!A:A, Matches!L:L, "NA", 0)</f>
        <v>UPW</v>
      </c>
      <c r="X1672" t="str">
        <f>_xlfn.XLOOKUP(A1672, Matches!A:A, Matches!J:J, "NA", 0)</f>
        <v>MIW</v>
      </c>
      <c r="Y1672" t="str">
        <f>_xlfn.XLOOKUP(A1672, Matches!A:A, Matches!F:F, "NA", 0)</f>
        <v>Dr DY Patil Sports </v>
      </c>
      <c r="Z1672" cm="1">
        <f t="array" ref="Z1672">INDEX(Innings!F:F,MATCH(1,(TRIM(Innings!A:A)=TRIM(A1672))*(TRIM(Innings!D:D)=TRIM(E1672)),0))</f>
        <v>165</v>
      </c>
      <c r="AA1672" cm="1">
        <f t="array" ref="AA1672">INDEX(Innings!I:I,MATCH(1,(TRIM(Innings!A:A)=TRIM(A1672))*(TRIM(Innings!D:D)=TRIM(E1672)),0))</f>
        <v>8.25</v>
      </c>
      <c r="AB1672" cm="1">
        <f t="array" ref="AB1672">INDEX(Innings!J:J,MATCH(1,(TRIM(Innings!A:A)=TRIM(A1672))*(TRIM(Innings!D:D)=TRIM(E1672)),0))</f>
        <v>38</v>
      </c>
      <c r="AC1672" cm="1">
        <f t="array" ref="AC1672">INDEX(Innings!N:N,MATCH(1,(TRIM(Innings!A:A)=TRIM(A1672))*(TRIM(Innings!D:D)=TRIM(E1672)),0))</f>
        <v>40</v>
      </c>
      <c r="AD1672" cm="1">
        <f t="array" ref="AD1672">INDEX(Innings!S:S,MATCH(1,(TRIM(Innings!A:A)=TRIM(A1672))*(TRIM(Innings!D:D)=TRIM(E1672)),0))</f>
        <v>36</v>
      </c>
      <c r="AE1672" t="str" cm="1">
        <f t="array" ref="AE1672">INDEX(Innings!W:W,MATCH(1,(TRIM(Innings!A:A)=TRIM(A1672))*(TRIM(Innings!D:D)=TRIM(E1672)),0))</f>
        <v>Failed</v>
      </c>
      <c r="AF1672">
        <f>IF(UPPER(TRIM(E1672))=UPPER(TRIM(W1672)),1,0)</f>
        <v>0</v>
      </c>
      <c r="AG1672">
        <f t="shared" si="52"/>
        <v>0</v>
      </c>
    </row>
    <row r="1673" spans="1:33" x14ac:dyDescent="0.3">
      <c r="A1673" t="s">
        <v>611</v>
      </c>
      <c r="B1673">
        <v>4</v>
      </c>
      <c r="C1673" t="s">
        <v>188</v>
      </c>
      <c r="D1673" t="s">
        <v>189</v>
      </c>
      <c r="E1673" t="s">
        <v>158</v>
      </c>
      <c r="F1673" t="s">
        <v>109</v>
      </c>
      <c r="G1673" t="s">
        <v>86</v>
      </c>
      <c r="H1673">
        <v>62</v>
      </c>
      <c r="I1673">
        <v>41</v>
      </c>
      <c r="J1673">
        <v>151.22</v>
      </c>
      <c r="K1673" t="s">
        <v>246</v>
      </c>
      <c r="L1673">
        <v>80</v>
      </c>
      <c r="M1673">
        <v>1</v>
      </c>
      <c r="N1673">
        <v>0</v>
      </c>
      <c r="O1673">
        <v>14</v>
      </c>
      <c r="P1673">
        <v>0</v>
      </c>
      <c r="Q1673">
        <v>14</v>
      </c>
      <c r="R1673">
        <v>-10</v>
      </c>
      <c r="S1673">
        <v>0</v>
      </c>
      <c r="T1673">
        <v>0</v>
      </c>
      <c r="U1673" s="8">
        <v>70</v>
      </c>
      <c r="V1673" s="8">
        <f t="shared" si="53"/>
        <v>7</v>
      </c>
      <c r="W1673" t="str">
        <f>_xlfn.XLOOKUP(A1673, Matches!A:A, Matches!L:L, "NA", 0)</f>
        <v>RCBW</v>
      </c>
      <c r="X1673" t="str">
        <f>_xlfn.XLOOKUP(A1673, Matches!A:A, Matches!J:J, "NA", 0)</f>
        <v>RCBW</v>
      </c>
      <c r="Y1673" t="str">
        <f>_xlfn.XLOOKUP(A1673, Matches!A:A, Matches!F:F, "NA", 0)</f>
        <v>Dr DY Patil Sports </v>
      </c>
      <c r="Z1673" cm="1">
        <f t="array" ref="Z1673">INDEX(Innings!F:F,MATCH(1,(TRIM(Innings!A:A)=TRIM(A1673))*(TRIM(Innings!D:D)=TRIM(E1673)),0))</f>
        <v>166</v>
      </c>
      <c r="AA1673" cm="1">
        <f t="array" ref="AA1673">INDEX(Innings!I:I,MATCH(1,(TRIM(Innings!A:A)=TRIM(A1673))*(TRIM(Innings!D:D)=TRIM(E1673)),0))</f>
        <v>8.3000000000000007</v>
      </c>
      <c r="AB1673" cm="1">
        <f t="array" ref="AB1673">INDEX(Innings!J:J,MATCH(1,(TRIM(Innings!A:A)=TRIM(A1673))*(TRIM(Innings!D:D)=TRIM(E1673)),0))</f>
        <v>60</v>
      </c>
      <c r="AC1673" cm="1">
        <f t="array" ref="AC1673">INDEX(Innings!N:N,MATCH(1,(TRIM(Innings!A:A)=TRIM(A1673))*(TRIM(Innings!D:D)=TRIM(E1673)),0))</f>
        <v>27</v>
      </c>
      <c r="AD1673" cm="1">
        <f t="array" ref="AD1673">INDEX(Innings!S:S,MATCH(1,(TRIM(Innings!A:A)=TRIM(A1673))*(TRIM(Innings!D:D)=TRIM(E1673)),0))</f>
        <v>34</v>
      </c>
      <c r="AE1673" t="str" cm="1">
        <f t="array" ref="AE1673">INDEX(Innings!W:W,MATCH(1,(TRIM(Innings!A:A)=TRIM(A1673))*(TRIM(Innings!D:D)=TRIM(E1673)),0))</f>
        <v>NA</v>
      </c>
      <c r="AF1673">
        <f>IF(UPPER(TRIM(E1673))=UPPER(TRIM(W1673)),1,0)</f>
        <v>0</v>
      </c>
      <c r="AG1673">
        <f t="shared" si="52"/>
        <v>37.1</v>
      </c>
    </row>
    <row r="1674" spans="1:33" x14ac:dyDescent="0.3">
      <c r="A1674" t="s">
        <v>611</v>
      </c>
      <c r="B1674">
        <v>4</v>
      </c>
      <c r="C1674" t="s">
        <v>531</v>
      </c>
      <c r="D1674" t="s">
        <v>636</v>
      </c>
      <c r="E1674" t="s">
        <v>158</v>
      </c>
      <c r="F1674" t="s">
        <v>85</v>
      </c>
      <c r="G1674" t="s">
        <v>86</v>
      </c>
      <c r="H1674">
        <v>4</v>
      </c>
      <c r="I1674">
        <v>2</v>
      </c>
      <c r="J1674">
        <v>200</v>
      </c>
      <c r="K1674" t="s">
        <v>245</v>
      </c>
      <c r="L1674">
        <v>15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 s="8">
        <v>15</v>
      </c>
      <c r="V1674" s="8">
        <f t="shared" si="53"/>
        <v>2</v>
      </c>
      <c r="W1674" t="str">
        <f>_xlfn.XLOOKUP(A1674, Matches!A:A, Matches!L:L, "NA", 0)</f>
        <v>RCBW</v>
      </c>
      <c r="X1674" t="str">
        <f>_xlfn.XLOOKUP(A1674, Matches!A:A, Matches!J:J, "NA", 0)</f>
        <v>RCBW</v>
      </c>
      <c r="Y1674" t="str">
        <f>_xlfn.XLOOKUP(A1674, Matches!A:A, Matches!F:F, "NA", 0)</f>
        <v>Dr DY Patil Sports </v>
      </c>
      <c r="Z1674" cm="1">
        <f t="array" ref="Z1674">INDEX(Innings!F:F,MATCH(1,(TRIM(Innings!A:A)=TRIM(A1674))*(TRIM(Innings!D:D)=TRIM(E1674)),0))</f>
        <v>166</v>
      </c>
      <c r="AA1674" cm="1">
        <f t="array" ref="AA1674">INDEX(Innings!I:I,MATCH(1,(TRIM(Innings!A:A)=TRIM(A1674))*(TRIM(Innings!D:D)=TRIM(E1674)),0))</f>
        <v>8.3000000000000007</v>
      </c>
      <c r="AB1674" cm="1">
        <f t="array" ref="AB1674">INDEX(Innings!J:J,MATCH(1,(TRIM(Innings!A:A)=TRIM(A1674))*(TRIM(Innings!D:D)=TRIM(E1674)),0))</f>
        <v>60</v>
      </c>
      <c r="AC1674" cm="1">
        <f t="array" ref="AC1674">INDEX(Innings!N:N,MATCH(1,(TRIM(Innings!A:A)=TRIM(A1674))*(TRIM(Innings!D:D)=TRIM(E1674)),0))</f>
        <v>27</v>
      </c>
      <c r="AD1674" cm="1">
        <f t="array" ref="AD1674">INDEX(Innings!S:S,MATCH(1,(TRIM(Innings!A:A)=TRIM(A1674))*(TRIM(Innings!D:D)=TRIM(E1674)),0))</f>
        <v>34</v>
      </c>
      <c r="AE1674" t="str" cm="1">
        <f t="array" ref="AE1674">INDEX(Innings!W:W,MATCH(1,(TRIM(Innings!A:A)=TRIM(A1674))*(TRIM(Innings!D:D)=TRIM(E1674)),0))</f>
        <v>NA</v>
      </c>
      <c r="AF1674">
        <f>IF(UPPER(TRIM(E1674))=UPPER(TRIM(W1674)),1,0)</f>
        <v>0</v>
      </c>
      <c r="AG1674">
        <f t="shared" si="52"/>
        <v>8.1</v>
      </c>
    </row>
    <row r="1675" spans="1:33" x14ac:dyDescent="0.3">
      <c r="A1675" t="s">
        <v>611</v>
      </c>
      <c r="B1675">
        <v>4</v>
      </c>
      <c r="C1675" t="s">
        <v>278</v>
      </c>
      <c r="D1675" t="s">
        <v>293</v>
      </c>
      <c r="E1675" t="s">
        <v>158</v>
      </c>
      <c r="F1675" t="s">
        <v>109</v>
      </c>
      <c r="G1675" t="s">
        <v>92</v>
      </c>
      <c r="H1675">
        <v>0</v>
      </c>
      <c r="I1675">
        <v>2</v>
      </c>
      <c r="J1675">
        <v>0</v>
      </c>
      <c r="K1675" t="s">
        <v>245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 s="8">
        <v>0</v>
      </c>
      <c r="V1675" s="8">
        <f t="shared" si="53"/>
        <v>0</v>
      </c>
      <c r="W1675" t="str">
        <f>_xlfn.XLOOKUP(A1675, Matches!A:A, Matches!L:L, "NA", 0)</f>
        <v>RCBW</v>
      </c>
      <c r="X1675" t="str">
        <f>_xlfn.XLOOKUP(A1675, Matches!A:A, Matches!J:J, "NA", 0)</f>
        <v>RCBW</v>
      </c>
      <c r="Y1675" t="str">
        <f>_xlfn.XLOOKUP(A1675, Matches!A:A, Matches!F:F, "NA", 0)</f>
        <v>Dr DY Patil Sports </v>
      </c>
      <c r="Z1675" cm="1">
        <f t="array" ref="Z1675">INDEX(Innings!F:F,MATCH(1,(TRIM(Innings!A:A)=TRIM(A1675))*(TRIM(Innings!D:D)=TRIM(E1675)),0))</f>
        <v>166</v>
      </c>
      <c r="AA1675" cm="1">
        <f t="array" ref="AA1675">INDEX(Innings!I:I,MATCH(1,(TRIM(Innings!A:A)=TRIM(A1675))*(TRIM(Innings!D:D)=TRIM(E1675)),0))</f>
        <v>8.3000000000000007</v>
      </c>
      <c r="AB1675" cm="1">
        <f t="array" ref="AB1675">INDEX(Innings!J:J,MATCH(1,(TRIM(Innings!A:A)=TRIM(A1675))*(TRIM(Innings!D:D)=TRIM(E1675)),0))</f>
        <v>60</v>
      </c>
      <c r="AC1675" cm="1">
        <f t="array" ref="AC1675">INDEX(Innings!N:N,MATCH(1,(TRIM(Innings!A:A)=TRIM(A1675))*(TRIM(Innings!D:D)=TRIM(E1675)),0))</f>
        <v>27</v>
      </c>
      <c r="AD1675" cm="1">
        <f t="array" ref="AD1675">INDEX(Innings!S:S,MATCH(1,(TRIM(Innings!A:A)=TRIM(A1675))*(TRIM(Innings!D:D)=TRIM(E1675)),0))</f>
        <v>34</v>
      </c>
      <c r="AE1675" t="str" cm="1">
        <f t="array" ref="AE1675">INDEX(Innings!W:W,MATCH(1,(TRIM(Innings!A:A)=TRIM(A1675))*(TRIM(Innings!D:D)=TRIM(E1675)),0))</f>
        <v>NA</v>
      </c>
      <c r="AF1675">
        <f>IF(UPPER(TRIM(E1675))=UPPER(TRIM(W1675)),1,0)</f>
        <v>0</v>
      </c>
      <c r="AG1675">
        <f t="shared" si="52"/>
        <v>0</v>
      </c>
    </row>
    <row r="1676" spans="1:33" x14ac:dyDescent="0.3">
      <c r="A1676" t="s">
        <v>611</v>
      </c>
      <c r="B1676">
        <v>4</v>
      </c>
      <c r="C1676" t="s">
        <v>194</v>
      </c>
      <c r="D1676" t="s">
        <v>195</v>
      </c>
      <c r="E1676" t="s">
        <v>158</v>
      </c>
      <c r="F1676" t="s">
        <v>109</v>
      </c>
      <c r="G1676" t="s">
        <v>92</v>
      </c>
      <c r="H1676">
        <v>4</v>
      </c>
      <c r="I1676">
        <v>3</v>
      </c>
      <c r="J1676">
        <v>133.33000000000001</v>
      </c>
      <c r="K1676" t="s">
        <v>245</v>
      </c>
      <c r="L1676">
        <v>5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 s="8">
        <v>5</v>
      </c>
      <c r="V1676" s="8">
        <f t="shared" si="53"/>
        <v>1</v>
      </c>
      <c r="W1676" t="str">
        <f>_xlfn.XLOOKUP(A1676, Matches!A:A, Matches!L:L, "NA", 0)</f>
        <v>RCBW</v>
      </c>
      <c r="X1676" t="str">
        <f>_xlfn.XLOOKUP(A1676, Matches!A:A, Matches!J:J, "NA", 0)</f>
        <v>RCBW</v>
      </c>
      <c r="Y1676" t="str">
        <f>_xlfn.XLOOKUP(A1676, Matches!A:A, Matches!F:F, "NA", 0)</f>
        <v>Dr DY Patil Sports </v>
      </c>
      <c r="Z1676" cm="1">
        <f t="array" ref="Z1676">INDEX(Innings!F:F,MATCH(1,(TRIM(Innings!A:A)=TRIM(A1676))*(TRIM(Innings!D:D)=TRIM(E1676)),0))</f>
        <v>166</v>
      </c>
      <c r="AA1676" cm="1">
        <f t="array" ref="AA1676">INDEX(Innings!I:I,MATCH(1,(TRIM(Innings!A:A)=TRIM(A1676))*(TRIM(Innings!D:D)=TRIM(E1676)),0))</f>
        <v>8.3000000000000007</v>
      </c>
      <c r="AB1676" cm="1">
        <f t="array" ref="AB1676">INDEX(Innings!J:J,MATCH(1,(TRIM(Innings!A:A)=TRIM(A1676))*(TRIM(Innings!D:D)=TRIM(E1676)),0))</f>
        <v>60</v>
      </c>
      <c r="AC1676" cm="1">
        <f t="array" ref="AC1676">INDEX(Innings!N:N,MATCH(1,(TRIM(Innings!A:A)=TRIM(A1676))*(TRIM(Innings!D:D)=TRIM(E1676)),0))</f>
        <v>27</v>
      </c>
      <c r="AD1676" cm="1">
        <f t="array" ref="AD1676">INDEX(Innings!S:S,MATCH(1,(TRIM(Innings!A:A)=TRIM(A1676))*(TRIM(Innings!D:D)=TRIM(E1676)),0))</f>
        <v>34</v>
      </c>
      <c r="AE1676" t="str" cm="1">
        <f t="array" ref="AE1676">INDEX(Innings!W:W,MATCH(1,(TRIM(Innings!A:A)=TRIM(A1676))*(TRIM(Innings!D:D)=TRIM(E1676)),0))</f>
        <v>NA</v>
      </c>
      <c r="AF1676">
        <f>IF(UPPER(TRIM(E1676))=UPPER(TRIM(W1676)),1,0)</f>
        <v>0</v>
      </c>
      <c r="AG1676">
        <f t="shared" si="52"/>
        <v>2.8</v>
      </c>
    </row>
    <row r="1677" spans="1:33" x14ac:dyDescent="0.3">
      <c r="A1677" t="s">
        <v>611</v>
      </c>
      <c r="B1677">
        <v>4</v>
      </c>
      <c r="C1677" t="s">
        <v>192</v>
      </c>
      <c r="D1677" t="s">
        <v>193</v>
      </c>
      <c r="E1677" t="s">
        <v>158</v>
      </c>
      <c r="F1677" t="s">
        <v>169</v>
      </c>
      <c r="G1677" t="s">
        <v>134</v>
      </c>
      <c r="H1677">
        <v>0</v>
      </c>
      <c r="I1677">
        <v>1</v>
      </c>
      <c r="J1677">
        <v>0</v>
      </c>
      <c r="K1677" t="s">
        <v>245</v>
      </c>
      <c r="L1677">
        <v>0</v>
      </c>
      <c r="M1677">
        <v>4</v>
      </c>
      <c r="N1677">
        <v>0</v>
      </c>
      <c r="O1677">
        <v>21</v>
      </c>
      <c r="P1677">
        <v>1</v>
      </c>
      <c r="Q1677">
        <v>5.2</v>
      </c>
      <c r="R1677">
        <v>35</v>
      </c>
      <c r="S1677">
        <v>0</v>
      </c>
      <c r="T1677">
        <v>0</v>
      </c>
      <c r="U1677" s="8">
        <v>35</v>
      </c>
      <c r="V1677" s="8">
        <f t="shared" si="53"/>
        <v>4</v>
      </c>
      <c r="W1677" t="str">
        <f>_xlfn.XLOOKUP(A1677, Matches!A:A, Matches!L:L, "NA", 0)</f>
        <v>RCBW</v>
      </c>
      <c r="X1677" t="str">
        <f>_xlfn.XLOOKUP(A1677, Matches!A:A, Matches!J:J, "NA", 0)</f>
        <v>RCBW</v>
      </c>
      <c r="Y1677" t="str">
        <f>_xlfn.XLOOKUP(A1677, Matches!A:A, Matches!F:F, "NA", 0)</f>
        <v>Dr DY Patil Sports </v>
      </c>
      <c r="Z1677" cm="1">
        <f t="array" ref="Z1677">INDEX(Innings!F:F,MATCH(1,(TRIM(Innings!A:A)=TRIM(A1677))*(TRIM(Innings!D:D)=TRIM(E1677)),0))</f>
        <v>166</v>
      </c>
      <c r="AA1677" cm="1">
        <f t="array" ref="AA1677">INDEX(Innings!I:I,MATCH(1,(TRIM(Innings!A:A)=TRIM(A1677))*(TRIM(Innings!D:D)=TRIM(E1677)),0))</f>
        <v>8.3000000000000007</v>
      </c>
      <c r="AB1677" cm="1">
        <f t="array" ref="AB1677">INDEX(Innings!J:J,MATCH(1,(TRIM(Innings!A:A)=TRIM(A1677))*(TRIM(Innings!D:D)=TRIM(E1677)),0))</f>
        <v>60</v>
      </c>
      <c r="AC1677" cm="1">
        <f t="array" ref="AC1677">INDEX(Innings!N:N,MATCH(1,(TRIM(Innings!A:A)=TRIM(A1677))*(TRIM(Innings!D:D)=TRIM(E1677)),0))</f>
        <v>27</v>
      </c>
      <c r="AD1677" cm="1">
        <f t="array" ref="AD1677">INDEX(Innings!S:S,MATCH(1,(TRIM(Innings!A:A)=TRIM(A1677))*(TRIM(Innings!D:D)=TRIM(E1677)),0))</f>
        <v>34</v>
      </c>
      <c r="AE1677" t="str" cm="1">
        <f t="array" ref="AE1677">INDEX(Innings!W:W,MATCH(1,(TRIM(Innings!A:A)=TRIM(A1677))*(TRIM(Innings!D:D)=TRIM(E1677)),0))</f>
        <v>NA</v>
      </c>
      <c r="AF1677">
        <f>IF(UPPER(TRIM(E1677))=UPPER(TRIM(W1677)),1,0)</f>
        <v>0</v>
      </c>
      <c r="AG1677">
        <f t="shared" si="52"/>
        <v>18.7</v>
      </c>
    </row>
    <row r="1678" spans="1:33" x14ac:dyDescent="0.3">
      <c r="A1678" t="s">
        <v>611</v>
      </c>
      <c r="B1678">
        <v>4</v>
      </c>
      <c r="C1678" t="s">
        <v>495</v>
      </c>
      <c r="D1678" t="s">
        <v>503</v>
      </c>
      <c r="E1678" t="s">
        <v>158</v>
      </c>
      <c r="F1678" t="s">
        <v>169</v>
      </c>
      <c r="G1678" t="s">
        <v>134</v>
      </c>
      <c r="H1678">
        <v>12</v>
      </c>
      <c r="I1678">
        <v>14</v>
      </c>
      <c r="J1678">
        <v>85.71</v>
      </c>
      <c r="K1678" t="s">
        <v>247</v>
      </c>
      <c r="L1678">
        <v>10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 s="8">
        <v>10</v>
      </c>
      <c r="V1678" s="8">
        <f t="shared" si="53"/>
        <v>1</v>
      </c>
      <c r="W1678" t="str">
        <f>_xlfn.XLOOKUP(A1678, Matches!A:A, Matches!L:L, "NA", 0)</f>
        <v>RCBW</v>
      </c>
      <c r="X1678" t="str">
        <f>_xlfn.XLOOKUP(A1678, Matches!A:A, Matches!J:J, "NA", 0)</f>
        <v>RCBW</v>
      </c>
      <c r="Y1678" t="str">
        <f>_xlfn.XLOOKUP(A1678, Matches!A:A, Matches!F:F, "NA", 0)</f>
        <v>Dr DY Patil Sports </v>
      </c>
      <c r="Z1678" cm="1">
        <f t="array" ref="Z1678">INDEX(Innings!F:F,MATCH(1,(TRIM(Innings!A:A)=TRIM(A1678))*(TRIM(Innings!D:D)=TRIM(E1678)),0))</f>
        <v>166</v>
      </c>
      <c r="AA1678" cm="1">
        <f t="array" ref="AA1678">INDEX(Innings!I:I,MATCH(1,(TRIM(Innings!A:A)=TRIM(A1678))*(TRIM(Innings!D:D)=TRIM(E1678)),0))</f>
        <v>8.3000000000000007</v>
      </c>
      <c r="AB1678" cm="1">
        <f t="array" ref="AB1678">INDEX(Innings!J:J,MATCH(1,(TRIM(Innings!A:A)=TRIM(A1678))*(TRIM(Innings!D:D)=TRIM(E1678)),0))</f>
        <v>60</v>
      </c>
      <c r="AC1678" cm="1">
        <f t="array" ref="AC1678">INDEX(Innings!N:N,MATCH(1,(TRIM(Innings!A:A)=TRIM(A1678))*(TRIM(Innings!D:D)=TRIM(E1678)),0))</f>
        <v>27</v>
      </c>
      <c r="AD1678" cm="1">
        <f t="array" ref="AD1678">INDEX(Innings!S:S,MATCH(1,(TRIM(Innings!A:A)=TRIM(A1678))*(TRIM(Innings!D:D)=TRIM(E1678)),0))</f>
        <v>34</v>
      </c>
      <c r="AE1678" t="str" cm="1">
        <f t="array" ref="AE1678">INDEX(Innings!W:W,MATCH(1,(TRIM(Innings!A:A)=TRIM(A1678))*(TRIM(Innings!D:D)=TRIM(E1678)),0))</f>
        <v>NA</v>
      </c>
      <c r="AF1678">
        <f>IF(UPPER(TRIM(E1678))=UPPER(TRIM(W1678)),1,0)</f>
        <v>0</v>
      </c>
      <c r="AG1678">
        <f t="shared" si="52"/>
        <v>5.3</v>
      </c>
    </row>
    <row r="1679" spans="1:33" x14ac:dyDescent="0.3">
      <c r="A1679" t="s">
        <v>611</v>
      </c>
      <c r="B1679">
        <v>4</v>
      </c>
      <c r="C1679" t="s">
        <v>274</v>
      </c>
      <c r="D1679" t="s">
        <v>284</v>
      </c>
      <c r="E1679" t="s">
        <v>158</v>
      </c>
      <c r="F1679" t="s">
        <v>169</v>
      </c>
      <c r="G1679" t="s">
        <v>134</v>
      </c>
      <c r="H1679">
        <v>5</v>
      </c>
      <c r="I1679">
        <v>4</v>
      </c>
      <c r="J1679">
        <v>125</v>
      </c>
      <c r="K1679" t="s">
        <v>246</v>
      </c>
      <c r="L1679">
        <v>5</v>
      </c>
      <c r="M1679">
        <v>2</v>
      </c>
      <c r="N1679">
        <v>0</v>
      </c>
      <c r="O1679">
        <v>20</v>
      </c>
      <c r="P1679">
        <v>0</v>
      </c>
      <c r="Q1679">
        <v>10</v>
      </c>
      <c r="R1679">
        <v>-5</v>
      </c>
      <c r="S1679">
        <v>0</v>
      </c>
      <c r="T1679">
        <v>0</v>
      </c>
      <c r="U1679" s="8">
        <v>0</v>
      </c>
      <c r="V1679" s="8">
        <f t="shared" si="53"/>
        <v>0</v>
      </c>
      <c r="W1679" t="str">
        <f>_xlfn.XLOOKUP(A1679, Matches!A:A, Matches!L:L, "NA", 0)</f>
        <v>RCBW</v>
      </c>
      <c r="X1679" t="str">
        <f>_xlfn.XLOOKUP(A1679, Matches!A:A, Matches!J:J, "NA", 0)</f>
        <v>RCBW</v>
      </c>
      <c r="Y1679" t="str">
        <f>_xlfn.XLOOKUP(A1679, Matches!A:A, Matches!F:F, "NA", 0)</f>
        <v>Dr DY Patil Sports </v>
      </c>
      <c r="Z1679" cm="1">
        <f t="array" ref="Z1679">INDEX(Innings!F:F,MATCH(1,(TRIM(Innings!A:A)=TRIM(A1679))*(TRIM(Innings!D:D)=TRIM(E1679)),0))</f>
        <v>166</v>
      </c>
      <c r="AA1679" cm="1">
        <f t="array" ref="AA1679">INDEX(Innings!I:I,MATCH(1,(TRIM(Innings!A:A)=TRIM(A1679))*(TRIM(Innings!D:D)=TRIM(E1679)),0))</f>
        <v>8.3000000000000007</v>
      </c>
      <c r="AB1679" cm="1">
        <f t="array" ref="AB1679">INDEX(Innings!J:J,MATCH(1,(TRIM(Innings!A:A)=TRIM(A1679))*(TRIM(Innings!D:D)=TRIM(E1679)),0))</f>
        <v>60</v>
      </c>
      <c r="AC1679" cm="1">
        <f t="array" ref="AC1679">INDEX(Innings!N:N,MATCH(1,(TRIM(Innings!A:A)=TRIM(A1679))*(TRIM(Innings!D:D)=TRIM(E1679)),0))</f>
        <v>27</v>
      </c>
      <c r="AD1679" cm="1">
        <f t="array" ref="AD1679">INDEX(Innings!S:S,MATCH(1,(TRIM(Innings!A:A)=TRIM(A1679))*(TRIM(Innings!D:D)=TRIM(E1679)),0))</f>
        <v>34</v>
      </c>
      <c r="AE1679" t="str" cm="1">
        <f t="array" ref="AE1679">INDEX(Innings!W:W,MATCH(1,(TRIM(Innings!A:A)=TRIM(A1679))*(TRIM(Innings!D:D)=TRIM(E1679)),0))</f>
        <v>NA</v>
      </c>
      <c r="AF1679">
        <f>IF(UPPER(TRIM(E1679))=UPPER(TRIM(W1679)),1,0)</f>
        <v>0</v>
      </c>
      <c r="AG1679">
        <f t="shared" si="52"/>
        <v>0</v>
      </c>
    </row>
    <row r="1680" spans="1:33" x14ac:dyDescent="0.3">
      <c r="A1680" t="s">
        <v>611</v>
      </c>
      <c r="B1680">
        <v>4</v>
      </c>
      <c r="C1680" t="s">
        <v>102</v>
      </c>
      <c r="D1680" t="s">
        <v>126</v>
      </c>
      <c r="E1680" t="s">
        <v>158</v>
      </c>
      <c r="F1680" t="s">
        <v>169</v>
      </c>
      <c r="G1680" t="s">
        <v>134</v>
      </c>
      <c r="H1680">
        <v>22</v>
      </c>
      <c r="I1680">
        <v>22</v>
      </c>
      <c r="J1680">
        <v>100</v>
      </c>
      <c r="K1680" t="s">
        <v>245</v>
      </c>
      <c r="L1680">
        <v>25</v>
      </c>
      <c r="M1680">
        <v>1</v>
      </c>
      <c r="N1680">
        <v>0</v>
      </c>
      <c r="O1680">
        <v>13</v>
      </c>
      <c r="P1680">
        <v>0</v>
      </c>
      <c r="Q1680">
        <v>13</v>
      </c>
      <c r="R1680">
        <v>-10</v>
      </c>
      <c r="S1680">
        <v>0</v>
      </c>
      <c r="T1680">
        <v>0</v>
      </c>
      <c r="U1680" s="8">
        <v>15</v>
      </c>
      <c r="V1680" s="8">
        <f t="shared" si="53"/>
        <v>2</v>
      </c>
      <c r="W1680" t="str">
        <f>_xlfn.XLOOKUP(A1680, Matches!A:A, Matches!L:L, "NA", 0)</f>
        <v>RCBW</v>
      </c>
      <c r="X1680" t="str">
        <f>_xlfn.XLOOKUP(A1680, Matches!A:A, Matches!J:J, "NA", 0)</f>
        <v>RCBW</v>
      </c>
      <c r="Y1680" t="str">
        <f>_xlfn.XLOOKUP(A1680, Matches!A:A, Matches!F:F, "NA", 0)</f>
        <v>Dr DY Patil Sports </v>
      </c>
      <c r="Z1680" cm="1">
        <f t="array" ref="Z1680">INDEX(Innings!F:F,MATCH(1,(TRIM(Innings!A:A)=TRIM(A1680))*(TRIM(Innings!D:D)=TRIM(E1680)),0))</f>
        <v>166</v>
      </c>
      <c r="AA1680" cm="1">
        <f t="array" ref="AA1680">INDEX(Innings!I:I,MATCH(1,(TRIM(Innings!A:A)=TRIM(A1680))*(TRIM(Innings!D:D)=TRIM(E1680)),0))</f>
        <v>8.3000000000000007</v>
      </c>
      <c r="AB1680" cm="1">
        <f t="array" ref="AB1680">INDEX(Innings!J:J,MATCH(1,(TRIM(Innings!A:A)=TRIM(A1680))*(TRIM(Innings!D:D)=TRIM(E1680)),0))</f>
        <v>60</v>
      </c>
      <c r="AC1680" cm="1">
        <f t="array" ref="AC1680">INDEX(Innings!N:N,MATCH(1,(TRIM(Innings!A:A)=TRIM(A1680))*(TRIM(Innings!D:D)=TRIM(E1680)),0))</f>
        <v>27</v>
      </c>
      <c r="AD1680" cm="1">
        <f t="array" ref="AD1680">INDEX(Innings!S:S,MATCH(1,(TRIM(Innings!A:A)=TRIM(A1680))*(TRIM(Innings!D:D)=TRIM(E1680)),0))</f>
        <v>34</v>
      </c>
      <c r="AE1680" t="str" cm="1">
        <f t="array" ref="AE1680">INDEX(Innings!W:W,MATCH(1,(TRIM(Innings!A:A)=TRIM(A1680))*(TRIM(Innings!D:D)=TRIM(E1680)),0))</f>
        <v>NA</v>
      </c>
      <c r="AF1680">
        <f>IF(UPPER(TRIM(E1680))=UPPER(TRIM(W1680)),1,0)</f>
        <v>0</v>
      </c>
      <c r="AG1680">
        <f t="shared" si="52"/>
        <v>8.1</v>
      </c>
    </row>
    <row r="1681" spans="1:33" x14ac:dyDescent="0.3">
      <c r="A1681" t="s">
        <v>611</v>
      </c>
      <c r="B1681">
        <v>4</v>
      </c>
      <c r="C1681" t="s">
        <v>581</v>
      </c>
      <c r="D1681" t="s">
        <v>664</v>
      </c>
      <c r="E1681" t="s">
        <v>158</v>
      </c>
      <c r="F1681" t="s">
        <v>169</v>
      </c>
      <c r="G1681" t="s">
        <v>134</v>
      </c>
      <c r="H1681">
        <v>36</v>
      </c>
      <c r="I1681">
        <v>19</v>
      </c>
      <c r="J1681">
        <v>189.47</v>
      </c>
      <c r="K1681" t="s">
        <v>246</v>
      </c>
      <c r="L1681">
        <v>55</v>
      </c>
      <c r="M1681">
        <v>3.2</v>
      </c>
      <c r="N1681">
        <v>0</v>
      </c>
      <c r="O1681">
        <v>37</v>
      </c>
      <c r="P1681">
        <v>0</v>
      </c>
      <c r="Q1681">
        <v>11.1</v>
      </c>
      <c r="R1681">
        <v>-10</v>
      </c>
      <c r="S1681">
        <v>0</v>
      </c>
      <c r="T1681">
        <v>0</v>
      </c>
      <c r="U1681" s="8">
        <v>45</v>
      </c>
      <c r="V1681" s="8">
        <f t="shared" si="53"/>
        <v>5</v>
      </c>
      <c r="W1681" t="str">
        <f>_xlfn.XLOOKUP(A1681, Matches!A:A, Matches!L:L, "NA", 0)</f>
        <v>RCBW</v>
      </c>
      <c r="X1681" t="str">
        <f>_xlfn.XLOOKUP(A1681, Matches!A:A, Matches!J:J, "NA", 0)</f>
        <v>RCBW</v>
      </c>
      <c r="Y1681" t="str">
        <f>_xlfn.XLOOKUP(A1681, Matches!A:A, Matches!F:F, "NA", 0)</f>
        <v>Dr DY Patil Sports </v>
      </c>
      <c r="Z1681" cm="1">
        <f t="array" ref="Z1681">INDEX(Innings!F:F,MATCH(1,(TRIM(Innings!A:A)=TRIM(A1681))*(TRIM(Innings!D:D)=TRIM(E1681)),0))</f>
        <v>166</v>
      </c>
      <c r="AA1681" cm="1">
        <f t="array" ref="AA1681">INDEX(Innings!I:I,MATCH(1,(TRIM(Innings!A:A)=TRIM(A1681))*(TRIM(Innings!D:D)=TRIM(E1681)),0))</f>
        <v>8.3000000000000007</v>
      </c>
      <c r="AB1681" cm="1">
        <f t="array" ref="AB1681">INDEX(Innings!J:J,MATCH(1,(TRIM(Innings!A:A)=TRIM(A1681))*(TRIM(Innings!D:D)=TRIM(E1681)),0))</f>
        <v>60</v>
      </c>
      <c r="AC1681" cm="1">
        <f t="array" ref="AC1681">INDEX(Innings!N:N,MATCH(1,(TRIM(Innings!A:A)=TRIM(A1681))*(TRIM(Innings!D:D)=TRIM(E1681)),0))</f>
        <v>27</v>
      </c>
      <c r="AD1681" cm="1">
        <f t="array" ref="AD1681">INDEX(Innings!S:S,MATCH(1,(TRIM(Innings!A:A)=TRIM(A1681))*(TRIM(Innings!D:D)=TRIM(E1681)),0))</f>
        <v>34</v>
      </c>
      <c r="AE1681" t="str" cm="1">
        <f t="array" ref="AE1681">INDEX(Innings!W:W,MATCH(1,(TRIM(Innings!A:A)=TRIM(A1681))*(TRIM(Innings!D:D)=TRIM(E1681)),0))</f>
        <v>NA</v>
      </c>
      <c r="AF1681">
        <f>IF(UPPER(TRIM(E1681))=UPPER(TRIM(W1681)),1,0)</f>
        <v>0</v>
      </c>
      <c r="AG1681">
        <f t="shared" si="52"/>
        <v>24</v>
      </c>
    </row>
    <row r="1682" spans="1:33" x14ac:dyDescent="0.3">
      <c r="A1682" t="s">
        <v>611</v>
      </c>
      <c r="B1682">
        <v>4</v>
      </c>
      <c r="C1682" t="s">
        <v>532</v>
      </c>
      <c r="D1682" t="s">
        <v>637</v>
      </c>
      <c r="E1682" t="s">
        <v>158</v>
      </c>
      <c r="F1682" t="s">
        <v>101</v>
      </c>
      <c r="G1682" t="s">
        <v>134</v>
      </c>
      <c r="H1682">
        <v>11</v>
      </c>
      <c r="I1682">
        <v>11</v>
      </c>
      <c r="J1682">
        <v>100</v>
      </c>
      <c r="K1682" t="s">
        <v>96</v>
      </c>
      <c r="L1682">
        <v>11</v>
      </c>
      <c r="M1682">
        <v>3</v>
      </c>
      <c r="N1682">
        <v>0</v>
      </c>
      <c r="O1682">
        <v>26</v>
      </c>
      <c r="P1682">
        <v>0</v>
      </c>
      <c r="Q1682">
        <v>8.6999999999999993</v>
      </c>
      <c r="R1682">
        <v>5</v>
      </c>
      <c r="S1682">
        <v>0</v>
      </c>
      <c r="T1682">
        <v>0</v>
      </c>
      <c r="U1682" s="8">
        <v>16</v>
      </c>
      <c r="V1682" s="8">
        <f t="shared" si="53"/>
        <v>2</v>
      </c>
      <c r="W1682" t="str">
        <f>_xlfn.XLOOKUP(A1682, Matches!A:A, Matches!L:L, "NA", 0)</f>
        <v>RCBW</v>
      </c>
      <c r="X1682" t="str">
        <f>_xlfn.XLOOKUP(A1682, Matches!A:A, Matches!J:J, "NA", 0)</f>
        <v>RCBW</v>
      </c>
      <c r="Y1682" t="str">
        <f>_xlfn.XLOOKUP(A1682, Matches!A:A, Matches!F:F, "NA", 0)</f>
        <v>Dr DY Patil Sports </v>
      </c>
      <c r="Z1682" cm="1">
        <f t="array" ref="Z1682">INDEX(Innings!F:F,MATCH(1,(TRIM(Innings!A:A)=TRIM(A1682))*(TRIM(Innings!D:D)=TRIM(E1682)),0))</f>
        <v>166</v>
      </c>
      <c r="AA1682" cm="1">
        <f t="array" ref="AA1682">INDEX(Innings!I:I,MATCH(1,(TRIM(Innings!A:A)=TRIM(A1682))*(TRIM(Innings!D:D)=TRIM(E1682)),0))</f>
        <v>8.3000000000000007</v>
      </c>
      <c r="AB1682" cm="1">
        <f t="array" ref="AB1682">INDEX(Innings!J:J,MATCH(1,(TRIM(Innings!A:A)=TRIM(A1682))*(TRIM(Innings!D:D)=TRIM(E1682)),0))</f>
        <v>60</v>
      </c>
      <c r="AC1682" cm="1">
        <f t="array" ref="AC1682">INDEX(Innings!N:N,MATCH(1,(TRIM(Innings!A:A)=TRIM(A1682))*(TRIM(Innings!D:D)=TRIM(E1682)),0))</f>
        <v>27</v>
      </c>
      <c r="AD1682" cm="1">
        <f t="array" ref="AD1682">INDEX(Innings!S:S,MATCH(1,(TRIM(Innings!A:A)=TRIM(A1682))*(TRIM(Innings!D:D)=TRIM(E1682)),0))</f>
        <v>34</v>
      </c>
      <c r="AE1682" t="str" cm="1">
        <f t="array" ref="AE1682">INDEX(Innings!W:W,MATCH(1,(TRIM(Innings!A:A)=TRIM(A1682))*(TRIM(Innings!D:D)=TRIM(E1682)),0))</f>
        <v>NA</v>
      </c>
      <c r="AF1682">
        <f>IF(UPPER(TRIM(E1682))=UPPER(TRIM(W1682)),1,0)</f>
        <v>0</v>
      </c>
      <c r="AG1682">
        <f t="shared" si="52"/>
        <v>8.6</v>
      </c>
    </row>
    <row r="1683" spans="1:33" x14ac:dyDescent="0.3">
      <c r="A1683" t="s">
        <v>611</v>
      </c>
      <c r="B1683">
        <v>4</v>
      </c>
      <c r="C1683" t="s">
        <v>533</v>
      </c>
      <c r="D1683" t="s">
        <v>638</v>
      </c>
      <c r="E1683" t="s">
        <v>158</v>
      </c>
      <c r="F1683" t="s">
        <v>101</v>
      </c>
      <c r="G1683" t="s">
        <v>134</v>
      </c>
      <c r="H1683">
        <v>1</v>
      </c>
      <c r="I1683">
        <v>1</v>
      </c>
      <c r="J1683">
        <v>100</v>
      </c>
      <c r="K1683" t="s">
        <v>256</v>
      </c>
      <c r="L1683">
        <v>1</v>
      </c>
      <c r="M1683">
        <v>4</v>
      </c>
      <c r="N1683">
        <v>0</v>
      </c>
      <c r="O1683">
        <v>34</v>
      </c>
      <c r="P1683">
        <v>1</v>
      </c>
      <c r="Q1683">
        <v>8.5</v>
      </c>
      <c r="R1683">
        <v>25</v>
      </c>
      <c r="S1683">
        <v>0</v>
      </c>
      <c r="T1683">
        <v>0</v>
      </c>
      <c r="U1683" s="8">
        <v>26</v>
      </c>
      <c r="V1683" s="8">
        <f t="shared" si="53"/>
        <v>3</v>
      </c>
      <c r="W1683" t="str">
        <f>_xlfn.XLOOKUP(A1683, Matches!A:A, Matches!L:L, "NA", 0)</f>
        <v>RCBW</v>
      </c>
      <c r="X1683" t="str">
        <f>_xlfn.XLOOKUP(A1683, Matches!A:A, Matches!J:J, "NA", 0)</f>
        <v>RCBW</v>
      </c>
      <c r="Y1683" t="str">
        <f>_xlfn.XLOOKUP(A1683, Matches!A:A, Matches!F:F, "NA", 0)</f>
        <v>Dr DY Patil Sports </v>
      </c>
      <c r="Z1683" cm="1">
        <f t="array" ref="Z1683">INDEX(Innings!F:F,MATCH(1,(TRIM(Innings!A:A)=TRIM(A1683))*(TRIM(Innings!D:D)=TRIM(E1683)),0))</f>
        <v>166</v>
      </c>
      <c r="AA1683" cm="1">
        <f t="array" ref="AA1683">INDEX(Innings!I:I,MATCH(1,(TRIM(Innings!A:A)=TRIM(A1683))*(TRIM(Innings!D:D)=TRIM(E1683)),0))</f>
        <v>8.3000000000000007</v>
      </c>
      <c r="AB1683" cm="1">
        <f t="array" ref="AB1683">INDEX(Innings!J:J,MATCH(1,(TRIM(Innings!A:A)=TRIM(A1683))*(TRIM(Innings!D:D)=TRIM(E1683)),0))</f>
        <v>60</v>
      </c>
      <c r="AC1683" cm="1">
        <f t="array" ref="AC1683">INDEX(Innings!N:N,MATCH(1,(TRIM(Innings!A:A)=TRIM(A1683))*(TRIM(Innings!D:D)=TRIM(E1683)),0))</f>
        <v>27</v>
      </c>
      <c r="AD1683" cm="1">
        <f t="array" ref="AD1683">INDEX(Innings!S:S,MATCH(1,(TRIM(Innings!A:A)=TRIM(A1683))*(TRIM(Innings!D:D)=TRIM(E1683)),0))</f>
        <v>34</v>
      </c>
      <c r="AE1683" t="str" cm="1">
        <f t="array" ref="AE1683">INDEX(Innings!W:W,MATCH(1,(TRIM(Innings!A:A)=TRIM(A1683))*(TRIM(Innings!D:D)=TRIM(E1683)),0))</f>
        <v>NA</v>
      </c>
      <c r="AF1683">
        <f>IF(UPPER(TRIM(E1683))=UPPER(TRIM(W1683)),1,0)</f>
        <v>0</v>
      </c>
      <c r="AG1683">
        <f t="shared" si="52"/>
        <v>13.9</v>
      </c>
    </row>
    <row r="1684" spans="1:33" x14ac:dyDescent="0.3">
      <c r="A1684" t="s">
        <v>611</v>
      </c>
      <c r="B1684">
        <v>4</v>
      </c>
      <c r="C1684" t="s">
        <v>226</v>
      </c>
      <c r="D1684" t="s">
        <v>211</v>
      </c>
      <c r="E1684" t="s">
        <v>159</v>
      </c>
      <c r="F1684" t="s">
        <v>169</v>
      </c>
      <c r="G1684" t="s">
        <v>86</v>
      </c>
      <c r="H1684">
        <v>1</v>
      </c>
      <c r="I1684">
        <v>4</v>
      </c>
      <c r="J1684">
        <v>25</v>
      </c>
      <c r="K1684" t="s">
        <v>246</v>
      </c>
      <c r="L1684">
        <v>1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 s="8">
        <v>1</v>
      </c>
      <c r="V1684" s="8">
        <f t="shared" si="53"/>
        <v>0</v>
      </c>
      <c r="W1684" t="str">
        <f>_xlfn.XLOOKUP(A1684, Matches!A:A, Matches!L:L, "NA", 0)</f>
        <v>RCBW</v>
      </c>
      <c r="X1684" t="str">
        <f>_xlfn.XLOOKUP(A1684, Matches!A:A, Matches!J:J, "NA", 0)</f>
        <v>RCBW</v>
      </c>
      <c r="Y1684" t="str">
        <f>_xlfn.XLOOKUP(A1684, Matches!A:A, Matches!F:F, "NA", 0)</f>
        <v>Dr DY Patil Sports </v>
      </c>
      <c r="Z1684" cm="1">
        <f t="array" ref="Z1684">INDEX(Innings!F:F,MATCH(1,(TRIM(Innings!A:A)=TRIM(A1684))*(TRIM(Innings!D:D)=TRIM(E1684)),0))</f>
        <v>169</v>
      </c>
      <c r="AA1684" cm="1">
        <f t="array" ref="AA1684">INDEX(Innings!I:I,MATCH(1,(TRIM(Innings!A:A)=TRIM(A1684))*(TRIM(Innings!D:D)=TRIM(E1684)),0))</f>
        <v>9.2200000000000006</v>
      </c>
      <c r="AB1684" cm="1">
        <f t="array" ref="AB1684">INDEX(Innings!J:J,MATCH(1,(TRIM(Innings!A:A)=TRIM(A1684))*(TRIM(Innings!D:D)=TRIM(E1684)),0))</f>
        <v>37</v>
      </c>
      <c r="AC1684" cm="1">
        <f t="array" ref="AC1684">INDEX(Innings!N:N,MATCH(1,(TRIM(Innings!A:A)=TRIM(A1684))*(TRIM(Innings!D:D)=TRIM(E1684)),0))</f>
        <v>26</v>
      </c>
      <c r="AD1684" cm="1">
        <f t="array" ref="AD1684">INDEX(Innings!S:S,MATCH(1,(TRIM(Innings!A:A)=TRIM(A1684))*(TRIM(Innings!D:D)=TRIM(E1684)),0))</f>
        <v>32</v>
      </c>
      <c r="AE1684" t="str" cm="1">
        <f t="array" ref="AE1684">INDEX(Innings!W:W,MATCH(1,(TRIM(Innings!A:A)=TRIM(A1684))*(TRIM(Innings!D:D)=TRIM(E1684)),0))</f>
        <v>Successful</v>
      </c>
      <c r="AF1684">
        <f>IF(UPPER(TRIM(E1684))=UPPER(TRIM(W1684)),1,0)</f>
        <v>1</v>
      </c>
      <c r="AG1684">
        <f t="shared" si="52"/>
        <v>20.5</v>
      </c>
    </row>
    <row r="1685" spans="1:33" x14ac:dyDescent="0.3">
      <c r="A1685" t="s">
        <v>611</v>
      </c>
      <c r="B1685">
        <v>4</v>
      </c>
      <c r="C1685" t="s">
        <v>165</v>
      </c>
      <c r="D1685" t="s">
        <v>166</v>
      </c>
      <c r="E1685" t="s">
        <v>159</v>
      </c>
      <c r="F1685" t="s">
        <v>109</v>
      </c>
      <c r="G1685" t="s">
        <v>86</v>
      </c>
      <c r="H1685">
        <v>96</v>
      </c>
      <c r="I1685">
        <v>61</v>
      </c>
      <c r="J1685">
        <v>157.38</v>
      </c>
      <c r="K1685" t="s">
        <v>96</v>
      </c>
      <c r="L1685">
        <v>120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 s="8">
        <v>120</v>
      </c>
      <c r="V1685" s="8">
        <f t="shared" si="53"/>
        <v>10</v>
      </c>
      <c r="W1685" t="str">
        <f>_xlfn.XLOOKUP(A1685, Matches!A:A, Matches!L:L, "NA", 0)</f>
        <v>RCBW</v>
      </c>
      <c r="X1685" t="str">
        <f>_xlfn.XLOOKUP(A1685, Matches!A:A, Matches!J:J, "NA", 0)</f>
        <v>RCBW</v>
      </c>
      <c r="Y1685" t="str">
        <f>_xlfn.XLOOKUP(A1685, Matches!A:A, Matches!F:F, "NA", 0)</f>
        <v>Dr DY Patil Sports </v>
      </c>
      <c r="Z1685" cm="1">
        <f t="array" ref="Z1685">INDEX(Innings!F:F,MATCH(1,(TRIM(Innings!A:A)=TRIM(A1685))*(TRIM(Innings!D:D)=TRIM(E1685)),0))</f>
        <v>169</v>
      </c>
      <c r="AA1685" cm="1">
        <f t="array" ref="AA1685">INDEX(Innings!I:I,MATCH(1,(TRIM(Innings!A:A)=TRIM(A1685))*(TRIM(Innings!D:D)=TRIM(E1685)),0))</f>
        <v>9.2200000000000006</v>
      </c>
      <c r="AB1685" cm="1">
        <f t="array" ref="AB1685">INDEX(Innings!J:J,MATCH(1,(TRIM(Innings!A:A)=TRIM(A1685))*(TRIM(Innings!D:D)=TRIM(E1685)),0))</f>
        <v>37</v>
      </c>
      <c r="AC1685" cm="1">
        <f t="array" ref="AC1685">INDEX(Innings!N:N,MATCH(1,(TRIM(Innings!A:A)=TRIM(A1685))*(TRIM(Innings!D:D)=TRIM(E1685)),0))</f>
        <v>26</v>
      </c>
      <c r="AD1685" cm="1">
        <f t="array" ref="AD1685">INDEX(Innings!S:S,MATCH(1,(TRIM(Innings!A:A)=TRIM(A1685))*(TRIM(Innings!D:D)=TRIM(E1685)),0))</f>
        <v>32</v>
      </c>
      <c r="AE1685" t="str" cm="1">
        <f t="array" ref="AE1685">INDEX(Innings!W:W,MATCH(1,(TRIM(Innings!A:A)=TRIM(A1685))*(TRIM(Innings!D:D)=TRIM(E1685)),0))</f>
        <v>Successful</v>
      </c>
      <c r="AF1685">
        <f>IF(UPPER(TRIM(E1685))=UPPER(TRIM(W1685)),1,0)</f>
        <v>1</v>
      </c>
      <c r="AG1685">
        <f t="shared" si="52"/>
        <v>83</v>
      </c>
    </row>
    <row r="1686" spans="1:33" x14ac:dyDescent="0.3">
      <c r="A1686" t="s">
        <v>611</v>
      </c>
      <c r="B1686">
        <v>4</v>
      </c>
      <c r="C1686" t="s">
        <v>514</v>
      </c>
      <c r="D1686" t="s">
        <v>567</v>
      </c>
      <c r="E1686" t="s">
        <v>159</v>
      </c>
      <c r="F1686" t="s">
        <v>109</v>
      </c>
      <c r="G1686" t="s">
        <v>92</v>
      </c>
      <c r="H1686">
        <v>54</v>
      </c>
      <c r="I1686">
        <v>42</v>
      </c>
      <c r="J1686">
        <v>128.57</v>
      </c>
      <c r="K1686" t="s">
        <v>96</v>
      </c>
      <c r="L1686">
        <v>65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 s="8">
        <v>65</v>
      </c>
      <c r="V1686" s="8">
        <f t="shared" si="53"/>
        <v>7</v>
      </c>
      <c r="W1686" t="str">
        <f>_xlfn.XLOOKUP(A1686, Matches!A:A, Matches!L:L, "NA", 0)</f>
        <v>RCBW</v>
      </c>
      <c r="X1686" t="str">
        <f>_xlfn.XLOOKUP(A1686, Matches!A:A, Matches!J:J, "NA", 0)</f>
        <v>RCBW</v>
      </c>
      <c r="Y1686" t="str">
        <f>_xlfn.XLOOKUP(A1686, Matches!A:A, Matches!F:F, "NA", 0)</f>
        <v>Dr DY Patil Sports </v>
      </c>
      <c r="Z1686" cm="1">
        <f t="array" ref="Z1686">INDEX(Innings!F:F,MATCH(1,(TRIM(Innings!A:A)=TRIM(A1686))*(TRIM(Innings!D:D)=TRIM(E1686)),0))</f>
        <v>169</v>
      </c>
      <c r="AA1686" cm="1">
        <f t="array" ref="AA1686">INDEX(Innings!I:I,MATCH(1,(TRIM(Innings!A:A)=TRIM(A1686))*(TRIM(Innings!D:D)=TRIM(E1686)),0))</f>
        <v>9.2200000000000006</v>
      </c>
      <c r="AB1686" cm="1">
        <f t="array" ref="AB1686">INDEX(Innings!J:J,MATCH(1,(TRIM(Innings!A:A)=TRIM(A1686))*(TRIM(Innings!D:D)=TRIM(E1686)),0))</f>
        <v>37</v>
      </c>
      <c r="AC1686" cm="1">
        <f t="array" ref="AC1686">INDEX(Innings!N:N,MATCH(1,(TRIM(Innings!A:A)=TRIM(A1686))*(TRIM(Innings!D:D)=TRIM(E1686)),0))</f>
        <v>26</v>
      </c>
      <c r="AD1686" cm="1">
        <f t="array" ref="AD1686">INDEX(Innings!S:S,MATCH(1,(TRIM(Innings!A:A)=TRIM(A1686))*(TRIM(Innings!D:D)=TRIM(E1686)),0))</f>
        <v>32</v>
      </c>
      <c r="AE1686" t="str" cm="1">
        <f t="array" ref="AE1686">INDEX(Innings!W:W,MATCH(1,(TRIM(Innings!A:A)=TRIM(A1686))*(TRIM(Innings!D:D)=TRIM(E1686)),0))</f>
        <v>Successful</v>
      </c>
      <c r="AF1686">
        <f>IF(UPPER(TRIM(E1686))=UPPER(TRIM(W1686)),1,0)</f>
        <v>1</v>
      </c>
      <c r="AG1686">
        <f t="shared" si="52"/>
        <v>54.6</v>
      </c>
    </row>
    <row r="1687" spans="1:33" x14ac:dyDescent="0.3">
      <c r="A1687" t="s">
        <v>611</v>
      </c>
      <c r="B1687">
        <v>4</v>
      </c>
      <c r="C1687" t="s">
        <v>176</v>
      </c>
      <c r="D1687" t="s">
        <v>177</v>
      </c>
      <c r="E1687" t="s">
        <v>159</v>
      </c>
      <c r="F1687" t="s">
        <v>85</v>
      </c>
      <c r="G1687" t="s">
        <v>134</v>
      </c>
      <c r="H1687">
        <v>7</v>
      </c>
      <c r="I1687">
        <v>4</v>
      </c>
      <c r="J1687">
        <v>175</v>
      </c>
      <c r="K1687" t="s">
        <v>96</v>
      </c>
      <c r="L1687">
        <v>15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 s="8">
        <v>15</v>
      </c>
      <c r="V1687" s="8">
        <f t="shared" si="53"/>
        <v>2</v>
      </c>
      <c r="W1687" t="str">
        <f>_xlfn.XLOOKUP(A1687, Matches!A:A, Matches!L:L, "NA", 0)</f>
        <v>RCBW</v>
      </c>
      <c r="X1687" t="str">
        <f>_xlfn.XLOOKUP(A1687, Matches!A:A, Matches!J:J, "NA", 0)</f>
        <v>RCBW</v>
      </c>
      <c r="Y1687" t="str">
        <f>_xlfn.XLOOKUP(A1687, Matches!A:A, Matches!F:F, "NA", 0)</f>
        <v>Dr DY Patil Sports </v>
      </c>
      <c r="Z1687" cm="1">
        <f t="array" ref="Z1687">INDEX(Innings!F:F,MATCH(1,(TRIM(Innings!A:A)=TRIM(A1687))*(TRIM(Innings!D:D)=TRIM(E1687)),0))</f>
        <v>169</v>
      </c>
      <c r="AA1687" cm="1">
        <f t="array" ref="AA1687">INDEX(Innings!I:I,MATCH(1,(TRIM(Innings!A:A)=TRIM(A1687))*(TRIM(Innings!D:D)=TRIM(E1687)),0))</f>
        <v>9.2200000000000006</v>
      </c>
      <c r="AB1687" cm="1">
        <f t="array" ref="AB1687">INDEX(Innings!J:J,MATCH(1,(TRIM(Innings!A:A)=TRIM(A1687))*(TRIM(Innings!D:D)=TRIM(E1687)),0))</f>
        <v>37</v>
      </c>
      <c r="AC1687" cm="1">
        <f t="array" ref="AC1687">INDEX(Innings!N:N,MATCH(1,(TRIM(Innings!A:A)=TRIM(A1687))*(TRIM(Innings!D:D)=TRIM(E1687)),0))</f>
        <v>26</v>
      </c>
      <c r="AD1687" cm="1">
        <f t="array" ref="AD1687">INDEX(Innings!S:S,MATCH(1,(TRIM(Innings!A:A)=TRIM(A1687))*(TRIM(Innings!D:D)=TRIM(E1687)),0))</f>
        <v>32</v>
      </c>
      <c r="AE1687" t="str" cm="1">
        <f t="array" ref="AE1687">INDEX(Innings!W:W,MATCH(1,(TRIM(Innings!A:A)=TRIM(A1687))*(TRIM(Innings!D:D)=TRIM(E1687)),0))</f>
        <v>Successful</v>
      </c>
      <c r="AF1687">
        <f>IF(UPPER(TRIM(E1687))=UPPER(TRIM(W1687)),1,0)</f>
        <v>1</v>
      </c>
      <c r="AG1687">
        <f t="shared" si="52"/>
        <v>28.1</v>
      </c>
    </row>
    <row r="1688" spans="1:33" x14ac:dyDescent="0.3">
      <c r="A1688" t="s">
        <v>611</v>
      </c>
      <c r="B1688">
        <v>4</v>
      </c>
      <c r="C1688" t="s">
        <v>535</v>
      </c>
      <c r="D1688" t="s">
        <v>645</v>
      </c>
      <c r="E1688" t="s">
        <v>159</v>
      </c>
      <c r="F1688" t="s">
        <v>169</v>
      </c>
      <c r="G1688" t="s">
        <v>104</v>
      </c>
      <c r="H1688">
        <v>0</v>
      </c>
      <c r="I1688">
        <v>0</v>
      </c>
      <c r="J1688">
        <v>0</v>
      </c>
      <c r="K1688" t="s">
        <v>104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 s="8">
        <v>0</v>
      </c>
      <c r="V1688" s="8">
        <f t="shared" si="53"/>
        <v>0</v>
      </c>
      <c r="W1688" t="str">
        <f>_xlfn.XLOOKUP(A1688, Matches!A:A, Matches!L:L, "NA", 0)</f>
        <v>RCBW</v>
      </c>
      <c r="X1688" t="str">
        <f>_xlfn.XLOOKUP(A1688, Matches!A:A, Matches!J:J, "NA", 0)</f>
        <v>RCBW</v>
      </c>
      <c r="Y1688" t="str">
        <f>_xlfn.XLOOKUP(A1688, Matches!A:A, Matches!F:F, "NA", 0)</f>
        <v>Dr DY Patil Sports </v>
      </c>
      <c r="Z1688" cm="1">
        <f t="array" ref="Z1688">INDEX(Innings!F:F,MATCH(1,(TRIM(Innings!A:A)=TRIM(A1688))*(TRIM(Innings!D:D)=TRIM(E1688)),0))</f>
        <v>169</v>
      </c>
      <c r="AA1688" cm="1">
        <f t="array" ref="AA1688">INDEX(Innings!I:I,MATCH(1,(TRIM(Innings!A:A)=TRIM(A1688))*(TRIM(Innings!D:D)=TRIM(E1688)),0))</f>
        <v>9.2200000000000006</v>
      </c>
      <c r="AB1688" cm="1">
        <f t="array" ref="AB1688">INDEX(Innings!J:J,MATCH(1,(TRIM(Innings!A:A)=TRIM(A1688))*(TRIM(Innings!D:D)=TRIM(E1688)),0))</f>
        <v>37</v>
      </c>
      <c r="AC1688" cm="1">
        <f t="array" ref="AC1688">INDEX(Innings!N:N,MATCH(1,(TRIM(Innings!A:A)=TRIM(A1688))*(TRIM(Innings!D:D)=TRIM(E1688)),0))</f>
        <v>26</v>
      </c>
      <c r="AD1688" cm="1">
        <f t="array" ref="AD1688">INDEX(Innings!S:S,MATCH(1,(TRIM(Innings!A:A)=TRIM(A1688))*(TRIM(Innings!D:D)=TRIM(E1688)),0))</f>
        <v>32</v>
      </c>
      <c r="AE1688" t="str" cm="1">
        <f t="array" ref="AE1688">INDEX(Innings!W:W,MATCH(1,(TRIM(Innings!A:A)=TRIM(A1688))*(TRIM(Innings!D:D)=TRIM(E1688)),0))</f>
        <v>Successful</v>
      </c>
      <c r="AF1688">
        <f>IF(UPPER(TRIM(E1688))=UPPER(TRIM(W1688)),1,0)</f>
        <v>1</v>
      </c>
      <c r="AG1688">
        <f t="shared" si="52"/>
        <v>20</v>
      </c>
    </row>
    <row r="1689" spans="1:33" x14ac:dyDescent="0.3">
      <c r="A1689" t="s">
        <v>611</v>
      </c>
      <c r="B1689">
        <v>4</v>
      </c>
      <c r="C1689" t="s">
        <v>449</v>
      </c>
      <c r="D1689" t="s">
        <v>410</v>
      </c>
      <c r="E1689" t="s">
        <v>159</v>
      </c>
      <c r="F1689" t="s">
        <v>169</v>
      </c>
      <c r="G1689" t="s">
        <v>104</v>
      </c>
      <c r="H1689">
        <v>0</v>
      </c>
      <c r="I1689">
        <v>0</v>
      </c>
      <c r="J1689">
        <v>0</v>
      </c>
      <c r="K1689" t="s">
        <v>104</v>
      </c>
      <c r="L1689">
        <v>0</v>
      </c>
      <c r="M1689">
        <v>4</v>
      </c>
      <c r="N1689">
        <v>0</v>
      </c>
      <c r="O1689">
        <v>31</v>
      </c>
      <c r="P1689">
        <v>1</v>
      </c>
      <c r="Q1689">
        <v>7.8</v>
      </c>
      <c r="R1689">
        <v>25</v>
      </c>
      <c r="S1689">
        <v>0</v>
      </c>
      <c r="T1689">
        <v>0</v>
      </c>
      <c r="U1689" s="8">
        <v>25</v>
      </c>
      <c r="V1689" s="8">
        <f t="shared" si="53"/>
        <v>3</v>
      </c>
      <c r="W1689" t="str">
        <f>_xlfn.XLOOKUP(A1689, Matches!A:A, Matches!L:L, "NA", 0)</f>
        <v>RCBW</v>
      </c>
      <c r="X1689" t="str">
        <f>_xlfn.XLOOKUP(A1689, Matches!A:A, Matches!J:J, "NA", 0)</f>
        <v>RCBW</v>
      </c>
      <c r="Y1689" t="str">
        <f>_xlfn.XLOOKUP(A1689, Matches!A:A, Matches!F:F, "NA", 0)</f>
        <v>Dr DY Patil Sports </v>
      </c>
      <c r="Z1689" cm="1">
        <f t="array" ref="Z1689">INDEX(Innings!F:F,MATCH(1,(TRIM(Innings!A:A)=TRIM(A1689))*(TRIM(Innings!D:D)=TRIM(E1689)),0))</f>
        <v>169</v>
      </c>
      <c r="AA1689" cm="1">
        <f t="array" ref="AA1689">INDEX(Innings!I:I,MATCH(1,(TRIM(Innings!A:A)=TRIM(A1689))*(TRIM(Innings!D:D)=TRIM(E1689)),0))</f>
        <v>9.2200000000000006</v>
      </c>
      <c r="AB1689" cm="1">
        <f t="array" ref="AB1689">INDEX(Innings!J:J,MATCH(1,(TRIM(Innings!A:A)=TRIM(A1689))*(TRIM(Innings!D:D)=TRIM(E1689)),0))</f>
        <v>37</v>
      </c>
      <c r="AC1689" cm="1">
        <f t="array" ref="AC1689">INDEX(Innings!N:N,MATCH(1,(TRIM(Innings!A:A)=TRIM(A1689))*(TRIM(Innings!D:D)=TRIM(E1689)),0))</f>
        <v>26</v>
      </c>
      <c r="AD1689" cm="1">
        <f t="array" ref="AD1689">INDEX(Innings!S:S,MATCH(1,(TRIM(Innings!A:A)=TRIM(A1689))*(TRIM(Innings!D:D)=TRIM(E1689)),0))</f>
        <v>32</v>
      </c>
      <c r="AE1689" t="str" cm="1">
        <f t="array" ref="AE1689">INDEX(Innings!W:W,MATCH(1,(TRIM(Innings!A:A)=TRIM(A1689))*(TRIM(Innings!D:D)=TRIM(E1689)),0))</f>
        <v>Successful</v>
      </c>
      <c r="AF1689">
        <f>IF(UPPER(TRIM(E1689))=UPPER(TRIM(W1689)),1,0)</f>
        <v>1</v>
      </c>
      <c r="AG1689">
        <f t="shared" si="52"/>
        <v>33.4</v>
      </c>
    </row>
    <row r="1690" spans="1:33" x14ac:dyDescent="0.3">
      <c r="A1690" t="s">
        <v>611</v>
      </c>
      <c r="B1690">
        <v>4</v>
      </c>
      <c r="C1690" t="s">
        <v>206</v>
      </c>
      <c r="D1690" t="s">
        <v>207</v>
      </c>
      <c r="E1690" t="s">
        <v>159</v>
      </c>
      <c r="F1690" t="s">
        <v>169</v>
      </c>
      <c r="G1690" t="s">
        <v>104</v>
      </c>
      <c r="H1690">
        <v>0</v>
      </c>
      <c r="I1690">
        <v>0</v>
      </c>
      <c r="J1690">
        <v>0</v>
      </c>
      <c r="K1690" t="s">
        <v>104</v>
      </c>
      <c r="L1690">
        <v>0</v>
      </c>
      <c r="M1690">
        <v>3</v>
      </c>
      <c r="N1690">
        <v>0</v>
      </c>
      <c r="O1690">
        <v>21</v>
      </c>
      <c r="P1690">
        <v>0</v>
      </c>
      <c r="Q1690">
        <v>7</v>
      </c>
      <c r="R1690">
        <v>5</v>
      </c>
      <c r="S1690">
        <v>0</v>
      </c>
      <c r="T1690">
        <v>0</v>
      </c>
      <c r="U1690" s="8">
        <v>5</v>
      </c>
      <c r="V1690" s="8">
        <f t="shared" si="53"/>
        <v>1</v>
      </c>
      <c r="W1690" t="str">
        <f>_xlfn.XLOOKUP(A1690, Matches!A:A, Matches!L:L, "NA", 0)</f>
        <v>RCBW</v>
      </c>
      <c r="X1690" t="str">
        <f>_xlfn.XLOOKUP(A1690, Matches!A:A, Matches!J:J, "NA", 0)</f>
        <v>RCBW</v>
      </c>
      <c r="Y1690" t="str">
        <f>_xlfn.XLOOKUP(A1690, Matches!A:A, Matches!F:F, "NA", 0)</f>
        <v>Dr DY Patil Sports </v>
      </c>
      <c r="Z1690" cm="1">
        <f t="array" ref="Z1690">INDEX(Innings!F:F,MATCH(1,(TRIM(Innings!A:A)=TRIM(A1690))*(TRIM(Innings!D:D)=TRIM(E1690)),0))</f>
        <v>169</v>
      </c>
      <c r="AA1690" cm="1">
        <f t="array" ref="AA1690">INDEX(Innings!I:I,MATCH(1,(TRIM(Innings!A:A)=TRIM(A1690))*(TRIM(Innings!D:D)=TRIM(E1690)),0))</f>
        <v>9.2200000000000006</v>
      </c>
      <c r="AB1690" cm="1">
        <f t="array" ref="AB1690">INDEX(Innings!J:J,MATCH(1,(TRIM(Innings!A:A)=TRIM(A1690))*(TRIM(Innings!D:D)=TRIM(E1690)),0))</f>
        <v>37</v>
      </c>
      <c r="AC1690" cm="1">
        <f t="array" ref="AC1690">INDEX(Innings!N:N,MATCH(1,(TRIM(Innings!A:A)=TRIM(A1690))*(TRIM(Innings!D:D)=TRIM(E1690)),0))</f>
        <v>26</v>
      </c>
      <c r="AD1690" cm="1">
        <f t="array" ref="AD1690">INDEX(Innings!S:S,MATCH(1,(TRIM(Innings!A:A)=TRIM(A1690))*(TRIM(Innings!D:D)=TRIM(E1690)),0))</f>
        <v>32</v>
      </c>
      <c r="AE1690" t="str" cm="1">
        <f t="array" ref="AE1690">INDEX(Innings!W:W,MATCH(1,(TRIM(Innings!A:A)=TRIM(A1690))*(TRIM(Innings!D:D)=TRIM(E1690)),0))</f>
        <v>Successful</v>
      </c>
      <c r="AF1690">
        <f>IF(UPPER(TRIM(E1690))=UPPER(TRIM(W1690)),1,0)</f>
        <v>1</v>
      </c>
      <c r="AG1690">
        <f t="shared" si="52"/>
        <v>22.8</v>
      </c>
    </row>
    <row r="1691" spans="1:33" x14ac:dyDescent="0.3">
      <c r="A1691" t="s">
        <v>611</v>
      </c>
      <c r="B1691">
        <v>4</v>
      </c>
      <c r="C1691" t="s">
        <v>491</v>
      </c>
      <c r="D1691" t="s">
        <v>498</v>
      </c>
      <c r="E1691" t="s">
        <v>159</v>
      </c>
      <c r="F1691" t="s">
        <v>101</v>
      </c>
      <c r="G1691" t="s">
        <v>104</v>
      </c>
      <c r="H1691">
        <v>0</v>
      </c>
      <c r="I1691">
        <v>0</v>
      </c>
      <c r="J1691">
        <v>0</v>
      </c>
      <c r="K1691" t="s">
        <v>104</v>
      </c>
      <c r="L1691">
        <v>0</v>
      </c>
      <c r="M1691">
        <v>3</v>
      </c>
      <c r="N1691">
        <v>0</v>
      </c>
      <c r="O1691">
        <v>16</v>
      </c>
      <c r="P1691">
        <v>2</v>
      </c>
      <c r="Q1691">
        <v>5.3</v>
      </c>
      <c r="R1691">
        <v>60</v>
      </c>
      <c r="S1691">
        <v>0</v>
      </c>
      <c r="T1691">
        <v>0</v>
      </c>
      <c r="U1691" s="8">
        <v>60</v>
      </c>
      <c r="V1691" s="8">
        <f t="shared" si="53"/>
        <v>6</v>
      </c>
      <c r="W1691" t="str">
        <f>_xlfn.XLOOKUP(A1691, Matches!A:A, Matches!L:L, "NA", 0)</f>
        <v>RCBW</v>
      </c>
      <c r="X1691" t="str">
        <f>_xlfn.XLOOKUP(A1691, Matches!A:A, Matches!J:J, "NA", 0)</f>
        <v>RCBW</v>
      </c>
      <c r="Y1691" t="str">
        <f>_xlfn.XLOOKUP(A1691, Matches!A:A, Matches!F:F, "NA", 0)</f>
        <v>Dr DY Patil Sports </v>
      </c>
      <c r="Z1691" cm="1">
        <f t="array" ref="Z1691">INDEX(Innings!F:F,MATCH(1,(TRIM(Innings!A:A)=TRIM(A1691))*(TRIM(Innings!D:D)=TRIM(E1691)),0))</f>
        <v>169</v>
      </c>
      <c r="AA1691" cm="1">
        <f t="array" ref="AA1691">INDEX(Innings!I:I,MATCH(1,(TRIM(Innings!A:A)=TRIM(A1691))*(TRIM(Innings!D:D)=TRIM(E1691)),0))</f>
        <v>9.2200000000000006</v>
      </c>
      <c r="AB1691" cm="1">
        <f t="array" ref="AB1691">INDEX(Innings!J:J,MATCH(1,(TRIM(Innings!A:A)=TRIM(A1691))*(TRIM(Innings!D:D)=TRIM(E1691)),0))</f>
        <v>37</v>
      </c>
      <c r="AC1691" cm="1">
        <f t="array" ref="AC1691">INDEX(Innings!N:N,MATCH(1,(TRIM(Innings!A:A)=TRIM(A1691))*(TRIM(Innings!D:D)=TRIM(E1691)),0))</f>
        <v>26</v>
      </c>
      <c r="AD1691" cm="1">
        <f t="array" ref="AD1691">INDEX(Innings!S:S,MATCH(1,(TRIM(Innings!A:A)=TRIM(A1691))*(TRIM(Innings!D:D)=TRIM(E1691)),0))</f>
        <v>32</v>
      </c>
      <c r="AE1691" t="str" cm="1">
        <f t="array" ref="AE1691">INDEX(Innings!W:W,MATCH(1,(TRIM(Innings!A:A)=TRIM(A1691))*(TRIM(Innings!D:D)=TRIM(E1691)),0))</f>
        <v>Successful</v>
      </c>
      <c r="AF1691">
        <f>IF(UPPER(TRIM(E1691))=UPPER(TRIM(W1691)),1,0)</f>
        <v>1</v>
      </c>
      <c r="AG1691">
        <f t="shared" si="52"/>
        <v>51.8</v>
      </c>
    </row>
    <row r="1692" spans="1:33" x14ac:dyDescent="0.3">
      <c r="A1692" t="s">
        <v>611</v>
      </c>
      <c r="B1692">
        <v>4</v>
      </c>
      <c r="C1692" t="s">
        <v>259</v>
      </c>
      <c r="D1692" t="s">
        <v>257</v>
      </c>
      <c r="E1692" t="s">
        <v>159</v>
      </c>
      <c r="F1692" t="s">
        <v>169</v>
      </c>
      <c r="G1692" t="s">
        <v>104</v>
      </c>
      <c r="H1692">
        <v>0</v>
      </c>
      <c r="I1692">
        <v>0</v>
      </c>
      <c r="J1692">
        <v>0</v>
      </c>
      <c r="K1692" t="s">
        <v>104</v>
      </c>
      <c r="L1692">
        <v>0</v>
      </c>
      <c r="M1692">
        <v>3</v>
      </c>
      <c r="N1692">
        <v>0</v>
      </c>
      <c r="O1692">
        <v>44</v>
      </c>
      <c r="P1692">
        <v>0</v>
      </c>
      <c r="Q1692">
        <v>14.7</v>
      </c>
      <c r="R1692">
        <v>-10</v>
      </c>
      <c r="S1692">
        <v>0</v>
      </c>
      <c r="T1692">
        <v>0</v>
      </c>
      <c r="U1692" s="8">
        <v>-10</v>
      </c>
      <c r="V1692" s="8">
        <f t="shared" si="53"/>
        <v>0</v>
      </c>
      <c r="W1692" t="str">
        <f>_xlfn.XLOOKUP(A1692, Matches!A:A, Matches!L:L, "NA", 0)</f>
        <v>RCBW</v>
      </c>
      <c r="X1692" t="str">
        <f>_xlfn.XLOOKUP(A1692, Matches!A:A, Matches!J:J, "NA", 0)</f>
        <v>RCBW</v>
      </c>
      <c r="Y1692" t="str">
        <f>_xlfn.XLOOKUP(A1692, Matches!A:A, Matches!F:F, "NA", 0)</f>
        <v>Dr DY Patil Sports </v>
      </c>
      <c r="Z1692" cm="1">
        <f t="array" ref="Z1692">INDEX(Innings!F:F,MATCH(1,(TRIM(Innings!A:A)=TRIM(A1692))*(TRIM(Innings!D:D)=TRIM(E1692)),0))</f>
        <v>169</v>
      </c>
      <c r="AA1692" cm="1">
        <f t="array" ref="AA1692">INDEX(Innings!I:I,MATCH(1,(TRIM(Innings!A:A)=TRIM(A1692))*(TRIM(Innings!D:D)=TRIM(E1692)),0))</f>
        <v>9.2200000000000006</v>
      </c>
      <c r="AB1692" cm="1">
        <f t="array" ref="AB1692">INDEX(Innings!J:J,MATCH(1,(TRIM(Innings!A:A)=TRIM(A1692))*(TRIM(Innings!D:D)=TRIM(E1692)),0))</f>
        <v>37</v>
      </c>
      <c r="AC1692" cm="1">
        <f t="array" ref="AC1692">INDEX(Innings!N:N,MATCH(1,(TRIM(Innings!A:A)=TRIM(A1692))*(TRIM(Innings!D:D)=TRIM(E1692)),0))</f>
        <v>26</v>
      </c>
      <c r="AD1692" cm="1">
        <f t="array" ref="AD1692">INDEX(Innings!S:S,MATCH(1,(TRIM(Innings!A:A)=TRIM(A1692))*(TRIM(Innings!D:D)=TRIM(E1692)),0))</f>
        <v>32</v>
      </c>
      <c r="AE1692" t="str" cm="1">
        <f t="array" ref="AE1692">INDEX(Innings!W:W,MATCH(1,(TRIM(Innings!A:A)=TRIM(A1692))*(TRIM(Innings!D:D)=TRIM(E1692)),0))</f>
        <v>Successful</v>
      </c>
      <c r="AF1692">
        <f>IF(UPPER(TRIM(E1692))=UPPER(TRIM(W1692)),1,0)</f>
        <v>1</v>
      </c>
      <c r="AG1692">
        <f t="shared" si="52"/>
        <v>20</v>
      </c>
    </row>
    <row r="1693" spans="1:33" x14ac:dyDescent="0.3">
      <c r="A1693" t="s">
        <v>611</v>
      </c>
      <c r="B1693">
        <v>4</v>
      </c>
      <c r="C1693" t="s">
        <v>415</v>
      </c>
      <c r="D1693" t="s">
        <v>425</v>
      </c>
      <c r="E1693" t="s">
        <v>159</v>
      </c>
      <c r="F1693" t="s">
        <v>169</v>
      </c>
      <c r="G1693" t="s">
        <v>104</v>
      </c>
      <c r="H1693">
        <v>0</v>
      </c>
      <c r="I1693">
        <v>0</v>
      </c>
      <c r="J1693">
        <v>0</v>
      </c>
      <c r="K1693" t="s">
        <v>104</v>
      </c>
      <c r="L1693">
        <v>0</v>
      </c>
      <c r="M1693">
        <v>3</v>
      </c>
      <c r="N1693">
        <v>0</v>
      </c>
      <c r="O1693">
        <v>27</v>
      </c>
      <c r="P1693">
        <v>3</v>
      </c>
      <c r="Q1693">
        <v>9</v>
      </c>
      <c r="R1693">
        <v>75</v>
      </c>
      <c r="S1693">
        <v>0</v>
      </c>
      <c r="T1693">
        <v>0</v>
      </c>
      <c r="U1693" s="8">
        <v>75</v>
      </c>
      <c r="V1693" s="8">
        <f t="shared" si="53"/>
        <v>8</v>
      </c>
      <c r="W1693" t="str">
        <f>_xlfn.XLOOKUP(A1693, Matches!A:A, Matches!L:L, "NA", 0)</f>
        <v>RCBW</v>
      </c>
      <c r="X1693" t="str">
        <f>_xlfn.XLOOKUP(A1693, Matches!A:A, Matches!J:J, "NA", 0)</f>
        <v>RCBW</v>
      </c>
      <c r="Y1693" t="str">
        <f>_xlfn.XLOOKUP(A1693, Matches!A:A, Matches!F:F, "NA", 0)</f>
        <v>Dr DY Patil Sports </v>
      </c>
      <c r="Z1693" cm="1">
        <f t="array" ref="Z1693">INDEX(Innings!F:F,MATCH(1,(TRIM(Innings!A:A)=TRIM(A1693))*(TRIM(Innings!D:D)=TRIM(E1693)),0))</f>
        <v>169</v>
      </c>
      <c r="AA1693" cm="1">
        <f t="array" ref="AA1693">INDEX(Innings!I:I,MATCH(1,(TRIM(Innings!A:A)=TRIM(A1693))*(TRIM(Innings!D:D)=TRIM(E1693)),0))</f>
        <v>9.2200000000000006</v>
      </c>
      <c r="AB1693" cm="1">
        <f t="array" ref="AB1693">INDEX(Innings!J:J,MATCH(1,(TRIM(Innings!A:A)=TRIM(A1693))*(TRIM(Innings!D:D)=TRIM(E1693)),0))</f>
        <v>37</v>
      </c>
      <c r="AC1693" cm="1">
        <f t="array" ref="AC1693">INDEX(Innings!N:N,MATCH(1,(TRIM(Innings!A:A)=TRIM(A1693))*(TRIM(Innings!D:D)=TRIM(E1693)),0))</f>
        <v>26</v>
      </c>
      <c r="AD1693" cm="1">
        <f t="array" ref="AD1693">INDEX(Innings!S:S,MATCH(1,(TRIM(Innings!A:A)=TRIM(A1693))*(TRIM(Innings!D:D)=TRIM(E1693)),0))</f>
        <v>32</v>
      </c>
      <c r="AE1693" t="str" cm="1">
        <f t="array" ref="AE1693">INDEX(Innings!W:W,MATCH(1,(TRIM(Innings!A:A)=TRIM(A1693))*(TRIM(Innings!D:D)=TRIM(E1693)),0))</f>
        <v>Successful</v>
      </c>
      <c r="AF1693">
        <f>IF(UPPER(TRIM(E1693))=UPPER(TRIM(W1693)),1,0)</f>
        <v>1</v>
      </c>
      <c r="AG1693">
        <f t="shared" si="52"/>
        <v>59.9</v>
      </c>
    </row>
    <row r="1694" spans="1:33" x14ac:dyDescent="0.3">
      <c r="A1694" t="s">
        <v>611</v>
      </c>
      <c r="B1694">
        <v>4</v>
      </c>
      <c r="C1694" t="s">
        <v>527</v>
      </c>
      <c r="D1694" t="s">
        <v>627</v>
      </c>
      <c r="E1694" t="s">
        <v>159</v>
      </c>
      <c r="F1694" t="s">
        <v>101</v>
      </c>
      <c r="G1694" t="s">
        <v>104</v>
      </c>
      <c r="H1694">
        <v>0</v>
      </c>
      <c r="I1694">
        <v>0</v>
      </c>
      <c r="J1694">
        <v>0</v>
      </c>
      <c r="K1694" t="s">
        <v>104</v>
      </c>
      <c r="L1694">
        <v>0</v>
      </c>
      <c r="M1694">
        <v>4</v>
      </c>
      <c r="N1694">
        <v>0</v>
      </c>
      <c r="O1694">
        <v>26</v>
      </c>
      <c r="P1694">
        <v>3</v>
      </c>
      <c r="Q1694">
        <v>6.5</v>
      </c>
      <c r="R1694">
        <v>75</v>
      </c>
      <c r="S1694">
        <v>0</v>
      </c>
      <c r="T1694">
        <v>0</v>
      </c>
      <c r="U1694" s="8">
        <v>75</v>
      </c>
      <c r="V1694" s="8">
        <f t="shared" si="53"/>
        <v>8</v>
      </c>
      <c r="W1694" t="str">
        <f>_xlfn.XLOOKUP(A1694, Matches!A:A, Matches!L:L, "NA", 0)</f>
        <v>RCBW</v>
      </c>
      <c r="X1694" t="str">
        <f>_xlfn.XLOOKUP(A1694, Matches!A:A, Matches!J:J, "NA", 0)</f>
        <v>RCBW</v>
      </c>
      <c r="Y1694" t="str">
        <f>_xlfn.XLOOKUP(A1694, Matches!A:A, Matches!F:F, "NA", 0)</f>
        <v>Dr DY Patil Sports </v>
      </c>
      <c r="Z1694" cm="1">
        <f t="array" ref="Z1694">INDEX(Innings!F:F,MATCH(1,(TRIM(Innings!A:A)=TRIM(A1694))*(TRIM(Innings!D:D)=TRIM(E1694)),0))</f>
        <v>169</v>
      </c>
      <c r="AA1694" cm="1">
        <f t="array" ref="AA1694">INDEX(Innings!I:I,MATCH(1,(TRIM(Innings!A:A)=TRIM(A1694))*(TRIM(Innings!D:D)=TRIM(E1694)),0))</f>
        <v>9.2200000000000006</v>
      </c>
      <c r="AB1694" cm="1">
        <f t="array" ref="AB1694">INDEX(Innings!J:J,MATCH(1,(TRIM(Innings!A:A)=TRIM(A1694))*(TRIM(Innings!D:D)=TRIM(E1694)),0))</f>
        <v>37</v>
      </c>
      <c r="AC1694" cm="1">
        <f t="array" ref="AC1694">INDEX(Innings!N:N,MATCH(1,(TRIM(Innings!A:A)=TRIM(A1694))*(TRIM(Innings!D:D)=TRIM(E1694)),0))</f>
        <v>26</v>
      </c>
      <c r="AD1694" cm="1">
        <f t="array" ref="AD1694">INDEX(Innings!S:S,MATCH(1,(TRIM(Innings!A:A)=TRIM(A1694))*(TRIM(Innings!D:D)=TRIM(E1694)),0))</f>
        <v>32</v>
      </c>
      <c r="AE1694" t="str" cm="1">
        <f t="array" ref="AE1694">INDEX(Innings!W:W,MATCH(1,(TRIM(Innings!A:A)=TRIM(A1694))*(TRIM(Innings!D:D)=TRIM(E1694)),0))</f>
        <v>Successful</v>
      </c>
      <c r="AF1694">
        <f>IF(UPPER(TRIM(E1694))=UPPER(TRIM(W1694)),1,0)</f>
        <v>1</v>
      </c>
      <c r="AG1694">
        <f t="shared" si="52"/>
        <v>59.9</v>
      </c>
    </row>
    <row r="1695" spans="1:33" x14ac:dyDescent="0.3">
      <c r="A1695" t="s">
        <v>612</v>
      </c>
      <c r="B1695">
        <v>4</v>
      </c>
      <c r="C1695" t="s">
        <v>226</v>
      </c>
      <c r="D1695" t="s">
        <v>211</v>
      </c>
      <c r="E1695" t="s">
        <v>159</v>
      </c>
      <c r="F1695" t="s">
        <v>169</v>
      </c>
      <c r="G1695" t="s">
        <v>86</v>
      </c>
      <c r="H1695">
        <v>1</v>
      </c>
      <c r="I1695">
        <v>3</v>
      </c>
      <c r="J1695">
        <v>33.33</v>
      </c>
      <c r="K1695" t="s">
        <v>246</v>
      </c>
      <c r="L1695">
        <v>1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 s="8">
        <v>1</v>
      </c>
      <c r="V1695" s="8">
        <f t="shared" si="53"/>
        <v>0</v>
      </c>
      <c r="W1695" t="str">
        <f>_xlfn.XLOOKUP(A1695, Matches!A:A, Matches!L:L, "NA", 0)</f>
        <v>RCBW</v>
      </c>
      <c r="X1695" t="str">
        <f>_xlfn.XLOOKUP(A1695, Matches!A:A, Matches!J:J, "NA", 0)</f>
        <v>GGTW</v>
      </c>
      <c r="Y1695" t="str">
        <f>_xlfn.XLOOKUP(A1695, Matches!A:A, Matches!F:F, "NA", 0)</f>
        <v>BCA Stadium, Kotambi</v>
      </c>
      <c r="Z1695" cm="1">
        <f t="array" ref="Z1695">INDEX(Innings!F:F,MATCH(1,(TRIM(Innings!A:A)=TRIM(A1695))*(TRIM(Innings!D:D)=TRIM(E1695)),0))</f>
        <v>178</v>
      </c>
      <c r="AA1695" cm="1">
        <f t="array" ref="AA1695">INDEX(Innings!I:I,MATCH(1,(TRIM(Innings!A:A)=TRIM(A1695))*(TRIM(Innings!D:D)=TRIM(E1695)),0))</f>
        <v>8.9</v>
      </c>
      <c r="AB1695" cm="1">
        <f t="array" ref="AB1695">INDEX(Innings!J:J,MATCH(1,(TRIM(Innings!A:A)=TRIM(A1695))*(TRIM(Innings!D:D)=TRIM(E1695)),0))</f>
        <v>37</v>
      </c>
      <c r="AC1695" cm="1">
        <f t="array" ref="AC1695">INDEX(Innings!N:N,MATCH(1,(TRIM(Innings!A:A)=TRIM(A1695))*(TRIM(Innings!D:D)=TRIM(E1695)),0))</f>
        <v>47</v>
      </c>
      <c r="AD1695" cm="1">
        <f t="array" ref="AD1695">INDEX(Innings!S:S,MATCH(1,(TRIM(Innings!A:A)=TRIM(A1695))*(TRIM(Innings!D:D)=TRIM(E1695)),0))</f>
        <v>34</v>
      </c>
      <c r="AE1695" t="str" cm="1">
        <f t="array" ref="AE1695">INDEX(Innings!W:W,MATCH(1,(TRIM(Innings!A:A)=TRIM(A1695))*(TRIM(Innings!D:D)=TRIM(E1695)),0))</f>
        <v>NA</v>
      </c>
      <c r="AF1695">
        <f>IF(UPPER(TRIM(E1695))=UPPER(TRIM(W1695)),1,0)</f>
        <v>1</v>
      </c>
      <c r="AG1695">
        <f t="shared" si="52"/>
        <v>20.5</v>
      </c>
    </row>
    <row r="1696" spans="1:33" x14ac:dyDescent="0.3">
      <c r="A1696" t="s">
        <v>612</v>
      </c>
      <c r="B1696">
        <v>4</v>
      </c>
      <c r="C1696" t="s">
        <v>165</v>
      </c>
      <c r="D1696" t="s">
        <v>166</v>
      </c>
      <c r="E1696" t="s">
        <v>159</v>
      </c>
      <c r="F1696" t="s">
        <v>109</v>
      </c>
      <c r="G1696" t="s">
        <v>86</v>
      </c>
      <c r="H1696">
        <v>26</v>
      </c>
      <c r="I1696">
        <v>23</v>
      </c>
      <c r="J1696">
        <v>113.04</v>
      </c>
      <c r="K1696" t="s">
        <v>247</v>
      </c>
      <c r="L1696">
        <v>25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 s="8">
        <v>25</v>
      </c>
      <c r="V1696" s="8">
        <f t="shared" si="53"/>
        <v>3</v>
      </c>
      <c r="W1696" t="str">
        <f>_xlfn.XLOOKUP(A1696, Matches!A:A, Matches!L:L, "NA", 0)</f>
        <v>RCBW</v>
      </c>
      <c r="X1696" t="str">
        <f>_xlfn.XLOOKUP(A1696, Matches!A:A, Matches!J:J, "NA", 0)</f>
        <v>GGTW</v>
      </c>
      <c r="Y1696" t="str">
        <f>_xlfn.XLOOKUP(A1696, Matches!A:A, Matches!F:F, "NA", 0)</f>
        <v>BCA Stadium, Kotambi</v>
      </c>
      <c r="Z1696" cm="1">
        <f t="array" ref="Z1696">INDEX(Innings!F:F,MATCH(1,(TRIM(Innings!A:A)=TRIM(A1696))*(TRIM(Innings!D:D)=TRIM(E1696)),0))</f>
        <v>178</v>
      </c>
      <c r="AA1696" cm="1">
        <f t="array" ref="AA1696">INDEX(Innings!I:I,MATCH(1,(TRIM(Innings!A:A)=TRIM(A1696))*(TRIM(Innings!D:D)=TRIM(E1696)),0))</f>
        <v>8.9</v>
      </c>
      <c r="AB1696" cm="1">
        <f t="array" ref="AB1696">INDEX(Innings!J:J,MATCH(1,(TRIM(Innings!A:A)=TRIM(A1696))*(TRIM(Innings!D:D)=TRIM(E1696)),0))</f>
        <v>37</v>
      </c>
      <c r="AC1696" cm="1">
        <f t="array" ref="AC1696">INDEX(Innings!N:N,MATCH(1,(TRIM(Innings!A:A)=TRIM(A1696))*(TRIM(Innings!D:D)=TRIM(E1696)),0))</f>
        <v>47</v>
      </c>
      <c r="AD1696" cm="1">
        <f t="array" ref="AD1696">INDEX(Innings!S:S,MATCH(1,(TRIM(Innings!A:A)=TRIM(A1696))*(TRIM(Innings!D:D)=TRIM(E1696)),0))</f>
        <v>34</v>
      </c>
      <c r="AE1696" t="str" cm="1">
        <f t="array" ref="AE1696">INDEX(Innings!W:W,MATCH(1,(TRIM(Innings!A:A)=TRIM(A1696))*(TRIM(Innings!D:D)=TRIM(E1696)),0))</f>
        <v>NA</v>
      </c>
      <c r="AF1696">
        <f>IF(UPPER(TRIM(E1696))=UPPER(TRIM(W1696)),1,0)</f>
        <v>1</v>
      </c>
      <c r="AG1696">
        <f t="shared" si="52"/>
        <v>33.4</v>
      </c>
    </row>
    <row r="1697" spans="1:33" x14ac:dyDescent="0.3">
      <c r="A1697" t="s">
        <v>612</v>
      </c>
      <c r="B1697">
        <v>4</v>
      </c>
      <c r="C1697" t="s">
        <v>514</v>
      </c>
      <c r="D1697" t="s">
        <v>567</v>
      </c>
      <c r="E1697" t="s">
        <v>159</v>
      </c>
      <c r="F1697" t="s">
        <v>109</v>
      </c>
      <c r="G1697" t="s">
        <v>92</v>
      </c>
      <c r="H1697">
        <v>1</v>
      </c>
      <c r="I1697">
        <v>3</v>
      </c>
      <c r="J1697">
        <v>33.33</v>
      </c>
      <c r="K1697" t="s">
        <v>245</v>
      </c>
      <c r="L1697">
        <v>1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 s="8">
        <v>1</v>
      </c>
      <c r="V1697" s="8">
        <f t="shared" si="53"/>
        <v>0</v>
      </c>
      <c r="W1697" t="str">
        <f>_xlfn.XLOOKUP(A1697, Matches!A:A, Matches!L:L, "NA", 0)</f>
        <v>RCBW</v>
      </c>
      <c r="X1697" t="str">
        <f>_xlfn.XLOOKUP(A1697, Matches!A:A, Matches!J:J, "NA", 0)</f>
        <v>GGTW</v>
      </c>
      <c r="Y1697" t="str">
        <f>_xlfn.XLOOKUP(A1697, Matches!A:A, Matches!F:F, "NA", 0)</f>
        <v>BCA Stadium, Kotambi</v>
      </c>
      <c r="Z1697" cm="1">
        <f t="array" ref="Z1697">INDEX(Innings!F:F,MATCH(1,(TRIM(Innings!A:A)=TRIM(A1697))*(TRIM(Innings!D:D)=TRIM(E1697)),0))</f>
        <v>178</v>
      </c>
      <c r="AA1697" cm="1">
        <f t="array" ref="AA1697">INDEX(Innings!I:I,MATCH(1,(TRIM(Innings!A:A)=TRIM(A1697))*(TRIM(Innings!D:D)=TRIM(E1697)),0))</f>
        <v>8.9</v>
      </c>
      <c r="AB1697" cm="1">
        <f t="array" ref="AB1697">INDEX(Innings!J:J,MATCH(1,(TRIM(Innings!A:A)=TRIM(A1697))*(TRIM(Innings!D:D)=TRIM(E1697)),0))</f>
        <v>37</v>
      </c>
      <c r="AC1697" cm="1">
        <f t="array" ref="AC1697">INDEX(Innings!N:N,MATCH(1,(TRIM(Innings!A:A)=TRIM(A1697))*(TRIM(Innings!D:D)=TRIM(E1697)),0))</f>
        <v>47</v>
      </c>
      <c r="AD1697" cm="1">
        <f t="array" ref="AD1697">INDEX(Innings!S:S,MATCH(1,(TRIM(Innings!A:A)=TRIM(A1697))*(TRIM(Innings!D:D)=TRIM(E1697)),0))</f>
        <v>34</v>
      </c>
      <c r="AE1697" t="str" cm="1">
        <f t="array" ref="AE1697">INDEX(Innings!W:W,MATCH(1,(TRIM(Innings!A:A)=TRIM(A1697))*(TRIM(Innings!D:D)=TRIM(E1697)),0))</f>
        <v>NA</v>
      </c>
      <c r="AF1697">
        <f>IF(UPPER(TRIM(E1697))=UPPER(TRIM(W1697)),1,0)</f>
        <v>1</v>
      </c>
      <c r="AG1697">
        <f t="shared" si="52"/>
        <v>20.5</v>
      </c>
    </row>
    <row r="1698" spans="1:33" x14ac:dyDescent="0.3">
      <c r="A1698" t="s">
        <v>612</v>
      </c>
      <c r="B1698">
        <v>4</v>
      </c>
      <c r="C1698" t="s">
        <v>535</v>
      </c>
      <c r="D1698" t="s">
        <v>645</v>
      </c>
      <c r="E1698" t="s">
        <v>159</v>
      </c>
      <c r="F1698" t="s">
        <v>169</v>
      </c>
      <c r="G1698" t="s">
        <v>92</v>
      </c>
      <c r="H1698">
        <v>73</v>
      </c>
      <c r="I1698">
        <v>55</v>
      </c>
      <c r="J1698">
        <v>132.72999999999999</v>
      </c>
      <c r="K1698" t="s">
        <v>245</v>
      </c>
      <c r="L1698">
        <v>90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 s="8">
        <v>90</v>
      </c>
      <c r="V1698" s="8">
        <f t="shared" si="53"/>
        <v>9</v>
      </c>
      <c r="W1698" t="str">
        <f>_xlfn.XLOOKUP(A1698, Matches!A:A, Matches!L:L, "NA", 0)</f>
        <v>RCBW</v>
      </c>
      <c r="X1698" t="str">
        <f>_xlfn.XLOOKUP(A1698, Matches!A:A, Matches!J:J, "NA", 0)</f>
        <v>GGTW</v>
      </c>
      <c r="Y1698" t="str">
        <f>_xlfn.XLOOKUP(A1698, Matches!A:A, Matches!F:F, "NA", 0)</f>
        <v>BCA Stadium, Kotambi</v>
      </c>
      <c r="Z1698" cm="1">
        <f t="array" ref="Z1698">INDEX(Innings!F:F,MATCH(1,(TRIM(Innings!A:A)=TRIM(A1698))*(TRIM(Innings!D:D)=TRIM(E1698)),0))</f>
        <v>178</v>
      </c>
      <c r="AA1698" cm="1">
        <f t="array" ref="AA1698">INDEX(Innings!I:I,MATCH(1,(TRIM(Innings!A:A)=TRIM(A1698))*(TRIM(Innings!D:D)=TRIM(E1698)),0))</f>
        <v>8.9</v>
      </c>
      <c r="AB1698" cm="1">
        <f t="array" ref="AB1698">INDEX(Innings!J:J,MATCH(1,(TRIM(Innings!A:A)=TRIM(A1698))*(TRIM(Innings!D:D)=TRIM(E1698)),0))</f>
        <v>37</v>
      </c>
      <c r="AC1698" cm="1">
        <f t="array" ref="AC1698">INDEX(Innings!N:N,MATCH(1,(TRIM(Innings!A:A)=TRIM(A1698))*(TRIM(Innings!D:D)=TRIM(E1698)),0))</f>
        <v>47</v>
      </c>
      <c r="AD1698" cm="1">
        <f t="array" ref="AD1698">INDEX(Innings!S:S,MATCH(1,(TRIM(Innings!A:A)=TRIM(A1698))*(TRIM(Innings!D:D)=TRIM(E1698)),0))</f>
        <v>34</v>
      </c>
      <c r="AE1698" t="str" cm="1">
        <f t="array" ref="AE1698">INDEX(Innings!W:W,MATCH(1,(TRIM(Innings!A:A)=TRIM(A1698))*(TRIM(Innings!D:D)=TRIM(E1698)),0))</f>
        <v>NA</v>
      </c>
      <c r="AF1698">
        <f>IF(UPPER(TRIM(E1698))=UPPER(TRIM(W1698)),1,0)</f>
        <v>1</v>
      </c>
      <c r="AG1698">
        <f t="shared" si="52"/>
        <v>67.7</v>
      </c>
    </row>
    <row r="1699" spans="1:33" x14ac:dyDescent="0.3">
      <c r="A1699" t="s">
        <v>612</v>
      </c>
      <c r="B1699">
        <v>4</v>
      </c>
      <c r="C1699" t="s">
        <v>176</v>
      </c>
      <c r="D1699" t="s">
        <v>177</v>
      </c>
      <c r="E1699" t="s">
        <v>159</v>
      </c>
      <c r="F1699" t="s">
        <v>85</v>
      </c>
      <c r="G1699" t="s">
        <v>134</v>
      </c>
      <c r="H1699">
        <v>27</v>
      </c>
      <c r="I1699">
        <v>20</v>
      </c>
      <c r="J1699">
        <v>135</v>
      </c>
      <c r="K1699" t="s">
        <v>246</v>
      </c>
      <c r="L1699">
        <v>35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 s="8">
        <v>35</v>
      </c>
      <c r="V1699" s="8">
        <f t="shared" si="53"/>
        <v>4</v>
      </c>
      <c r="W1699" t="str">
        <f>_xlfn.XLOOKUP(A1699, Matches!A:A, Matches!L:L, "NA", 0)</f>
        <v>RCBW</v>
      </c>
      <c r="X1699" t="str">
        <f>_xlfn.XLOOKUP(A1699, Matches!A:A, Matches!J:J, "NA", 0)</f>
        <v>GGTW</v>
      </c>
      <c r="Y1699" t="str">
        <f>_xlfn.XLOOKUP(A1699, Matches!A:A, Matches!F:F, "NA", 0)</f>
        <v>BCA Stadium, Kotambi</v>
      </c>
      <c r="Z1699" cm="1">
        <f t="array" ref="Z1699">INDEX(Innings!F:F,MATCH(1,(TRIM(Innings!A:A)=TRIM(A1699))*(TRIM(Innings!D:D)=TRIM(E1699)),0))</f>
        <v>178</v>
      </c>
      <c r="AA1699" cm="1">
        <f t="array" ref="AA1699">INDEX(Innings!I:I,MATCH(1,(TRIM(Innings!A:A)=TRIM(A1699))*(TRIM(Innings!D:D)=TRIM(E1699)),0))</f>
        <v>8.9</v>
      </c>
      <c r="AB1699" cm="1">
        <f t="array" ref="AB1699">INDEX(Innings!J:J,MATCH(1,(TRIM(Innings!A:A)=TRIM(A1699))*(TRIM(Innings!D:D)=TRIM(E1699)),0))</f>
        <v>37</v>
      </c>
      <c r="AC1699" cm="1">
        <f t="array" ref="AC1699">INDEX(Innings!N:N,MATCH(1,(TRIM(Innings!A:A)=TRIM(A1699))*(TRIM(Innings!D:D)=TRIM(E1699)),0))</f>
        <v>47</v>
      </c>
      <c r="AD1699" cm="1">
        <f t="array" ref="AD1699">INDEX(Innings!S:S,MATCH(1,(TRIM(Innings!A:A)=TRIM(A1699))*(TRIM(Innings!D:D)=TRIM(E1699)),0))</f>
        <v>34</v>
      </c>
      <c r="AE1699" t="str" cm="1">
        <f t="array" ref="AE1699">INDEX(Innings!W:W,MATCH(1,(TRIM(Innings!A:A)=TRIM(A1699))*(TRIM(Innings!D:D)=TRIM(E1699)),0))</f>
        <v>NA</v>
      </c>
      <c r="AF1699">
        <f>IF(UPPER(TRIM(E1699))=UPPER(TRIM(W1699)),1,0)</f>
        <v>1</v>
      </c>
      <c r="AG1699">
        <f t="shared" si="52"/>
        <v>38.700000000000003</v>
      </c>
    </row>
    <row r="1700" spans="1:33" x14ac:dyDescent="0.3">
      <c r="A1700" t="s">
        <v>612</v>
      </c>
      <c r="B1700">
        <v>4</v>
      </c>
      <c r="C1700" t="s">
        <v>449</v>
      </c>
      <c r="D1700" t="s">
        <v>410</v>
      </c>
      <c r="E1700" t="s">
        <v>159</v>
      </c>
      <c r="F1700" t="s">
        <v>169</v>
      </c>
      <c r="G1700" t="s">
        <v>134</v>
      </c>
      <c r="H1700">
        <v>4</v>
      </c>
      <c r="I1700">
        <v>6</v>
      </c>
      <c r="J1700">
        <v>66.67</v>
      </c>
      <c r="K1700" t="s">
        <v>96</v>
      </c>
      <c r="L1700">
        <v>4</v>
      </c>
      <c r="M1700">
        <v>4</v>
      </c>
      <c r="N1700">
        <v>0</v>
      </c>
      <c r="O1700">
        <v>17</v>
      </c>
      <c r="P1700">
        <v>2</v>
      </c>
      <c r="Q1700">
        <v>4.2</v>
      </c>
      <c r="R1700">
        <v>60</v>
      </c>
      <c r="S1700">
        <v>0</v>
      </c>
      <c r="T1700">
        <v>0</v>
      </c>
      <c r="U1700" s="8">
        <v>64</v>
      </c>
      <c r="V1700" s="8">
        <f t="shared" si="53"/>
        <v>6</v>
      </c>
      <c r="W1700" t="str">
        <f>_xlfn.XLOOKUP(A1700, Matches!A:A, Matches!L:L, "NA", 0)</f>
        <v>RCBW</v>
      </c>
      <c r="X1700" t="str">
        <f>_xlfn.XLOOKUP(A1700, Matches!A:A, Matches!J:J, "NA", 0)</f>
        <v>GGTW</v>
      </c>
      <c r="Y1700" t="str">
        <f>_xlfn.XLOOKUP(A1700, Matches!A:A, Matches!F:F, "NA", 0)</f>
        <v>BCA Stadium, Kotambi</v>
      </c>
      <c r="Z1700" cm="1">
        <f t="array" ref="Z1700">INDEX(Innings!F:F,MATCH(1,(TRIM(Innings!A:A)=TRIM(A1700))*(TRIM(Innings!D:D)=TRIM(E1700)),0))</f>
        <v>178</v>
      </c>
      <c r="AA1700" cm="1">
        <f t="array" ref="AA1700">INDEX(Innings!I:I,MATCH(1,(TRIM(Innings!A:A)=TRIM(A1700))*(TRIM(Innings!D:D)=TRIM(E1700)),0))</f>
        <v>8.9</v>
      </c>
      <c r="AB1700" cm="1">
        <f t="array" ref="AB1700">INDEX(Innings!J:J,MATCH(1,(TRIM(Innings!A:A)=TRIM(A1700))*(TRIM(Innings!D:D)=TRIM(E1700)),0))</f>
        <v>37</v>
      </c>
      <c r="AC1700" cm="1">
        <f t="array" ref="AC1700">INDEX(Innings!N:N,MATCH(1,(TRIM(Innings!A:A)=TRIM(A1700))*(TRIM(Innings!D:D)=TRIM(E1700)),0))</f>
        <v>47</v>
      </c>
      <c r="AD1700" cm="1">
        <f t="array" ref="AD1700">INDEX(Innings!S:S,MATCH(1,(TRIM(Innings!A:A)=TRIM(A1700))*(TRIM(Innings!D:D)=TRIM(E1700)),0))</f>
        <v>34</v>
      </c>
      <c r="AE1700" t="str" cm="1">
        <f t="array" ref="AE1700">INDEX(Innings!W:W,MATCH(1,(TRIM(Innings!A:A)=TRIM(A1700))*(TRIM(Innings!D:D)=TRIM(E1700)),0))</f>
        <v>NA</v>
      </c>
      <c r="AF1700">
        <f>IF(UPPER(TRIM(E1700))=UPPER(TRIM(W1700)),1,0)</f>
        <v>1</v>
      </c>
      <c r="AG1700">
        <f t="shared" si="52"/>
        <v>53.8</v>
      </c>
    </row>
    <row r="1701" spans="1:33" x14ac:dyDescent="0.3">
      <c r="A1701" t="s">
        <v>612</v>
      </c>
      <c r="B1701">
        <v>4</v>
      </c>
      <c r="C1701" t="s">
        <v>206</v>
      </c>
      <c r="D1701" t="s">
        <v>207</v>
      </c>
      <c r="E1701" t="s">
        <v>159</v>
      </c>
      <c r="F1701" t="s">
        <v>169</v>
      </c>
      <c r="G1701" t="s">
        <v>134</v>
      </c>
      <c r="H1701">
        <v>17</v>
      </c>
      <c r="I1701">
        <v>8</v>
      </c>
      <c r="J1701">
        <v>212.5</v>
      </c>
      <c r="K1701" t="s">
        <v>246</v>
      </c>
      <c r="L1701">
        <v>35</v>
      </c>
      <c r="M1701">
        <v>4</v>
      </c>
      <c r="N1701">
        <v>0</v>
      </c>
      <c r="O1701">
        <v>34</v>
      </c>
      <c r="P1701">
        <v>1</v>
      </c>
      <c r="Q1701">
        <v>8.5</v>
      </c>
      <c r="R1701">
        <v>25</v>
      </c>
      <c r="S1701">
        <v>0</v>
      </c>
      <c r="T1701">
        <v>0</v>
      </c>
      <c r="U1701" s="8">
        <v>60</v>
      </c>
      <c r="V1701" s="8">
        <f t="shared" si="53"/>
        <v>6</v>
      </c>
      <c r="W1701" t="str">
        <f>_xlfn.XLOOKUP(A1701, Matches!A:A, Matches!L:L, "NA", 0)</f>
        <v>RCBW</v>
      </c>
      <c r="X1701" t="str">
        <f>_xlfn.XLOOKUP(A1701, Matches!A:A, Matches!J:J, "NA", 0)</f>
        <v>GGTW</v>
      </c>
      <c r="Y1701" t="str">
        <f>_xlfn.XLOOKUP(A1701, Matches!A:A, Matches!F:F, "NA", 0)</f>
        <v>BCA Stadium, Kotambi</v>
      </c>
      <c r="Z1701" cm="1">
        <f t="array" ref="Z1701">INDEX(Innings!F:F,MATCH(1,(TRIM(Innings!A:A)=TRIM(A1701))*(TRIM(Innings!D:D)=TRIM(E1701)),0))</f>
        <v>178</v>
      </c>
      <c r="AA1701" cm="1">
        <f t="array" ref="AA1701">INDEX(Innings!I:I,MATCH(1,(TRIM(Innings!A:A)=TRIM(A1701))*(TRIM(Innings!D:D)=TRIM(E1701)),0))</f>
        <v>8.9</v>
      </c>
      <c r="AB1701" cm="1">
        <f t="array" ref="AB1701">INDEX(Innings!J:J,MATCH(1,(TRIM(Innings!A:A)=TRIM(A1701))*(TRIM(Innings!D:D)=TRIM(E1701)),0))</f>
        <v>37</v>
      </c>
      <c r="AC1701" cm="1">
        <f t="array" ref="AC1701">INDEX(Innings!N:N,MATCH(1,(TRIM(Innings!A:A)=TRIM(A1701))*(TRIM(Innings!D:D)=TRIM(E1701)),0))</f>
        <v>47</v>
      </c>
      <c r="AD1701" cm="1">
        <f t="array" ref="AD1701">INDEX(Innings!S:S,MATCH(1,(TRIM(Innings!A:A)=TRIM(A1701))*(TRIM(Innings!D:D)=TRIM(E1701)),0))</f>
        <v>34</v>
      </c>
      <c r="AE1701" t="str" cm="1">
        <f t="array" ref="AE1701">INDEX(Innings!W:W,MATCH(1,(TRIM(Innings!A:A)=TRIM(A1701))*(TRIM(Innings!D:D)=TRIM(E1701)),0))</f>
        <v>NA</v>
      </c>
      <c r="AF1701">
        <f>IF(UPPER(TRIM(E1701))=UPPER(TRIM(W1701)),1,0)</f>
        <v>1</v>
      </c>
      <c r="AG1701">
        <f t="shared" si="52"/>
        <v>51.8</v>
      </c>
    </row>
    <row r="1702" spans="1:33" x14ac:dyDescent="0.3">
      <c r="A1702" t="s">
        <v>612</v>
      </c>
      <c r="B1702">
        <v>4</v>
      </c>
      <c r="C1702" t="s">
        <v>259</v>
      </c>
      <c r="D1702" t="s">
        <v>257</v>
      </c>
      <c r="E1702" t="s">
        <v>159</v>
      </c>
      <c r="F1702" t="s">
        <v>169</v>
      </c>
      <c r="G1702" t="s">
        <v>134</v>
      </c>
      <c r="H1702">
        <v>8</v>
      </c>
      <c r="I1702">
        <v>2</v>
      </c>
      <c r="J1702">
        <v>400</v>
      </c>
      <c r="K1702" t="s">
        <v>96</v>
      </c>
      <c r="L1702">
        <v>20</v>
      </c>
      <c r="M1702">
        <v>4</v>
      </c>
      <c r="N1702">
        <v>0</v>
      </c>
      <c r="O1702">
        <v>19</v>
      </c>
      <c r="P1702">
        <v>1</v>
      </c>
      <c r="Q1702">
        <v>4.8</v>
      </c>
      <c r="R1702">
        <v>60</v>
      </c>
      <c r="S1702">
        <v>0</v>
      </c>
      <c r="T1702">
        <v>0</v>
      </c>
      <c r="U1702" s="8">
        <v>80</v>
      </c>
      <c r="V1702" s="8">
        <f t="shared" si="53"/>
        <v>8</v>
      </c>
      <c r="W1702" t="str">
        <f>_xlfn.XLOOKUP(A1702, Matches!A:A, Matches!L:L, "NA", 0)</f>
        <v>RCBW</v>
      </c>
      <c r="X1702" t="str">
        <f>_xlfn.XLOOKUP(A1702, Matches!A:A, Matches!J:J, "NA", 0)</f>
        <v>GGTW</v>
      </c>
      <c r="Y1702" t="str">
        <f>_xlfn.XLOOKUP(A1702, Matches!A:A, Matches!F:F, "NA", 0)</f>
        <v>BCA Stadium, Kotambi</v>
      </c>
      <c r="Z1702" cm="1">
        <f t="array" ref="Z1702">INDEX(Innings!F:F,MATCH(1,(TRIM(Innings!A:A)=TRIM(A1702))*(TRIM(Innings!D:D)=TRIM(E1702)),0))</f>
        <v>178</v>
      </c>
      <c r="AA1702" cm="1">
        <f t="array" ref="AA1702">INDEX(Innings!I:I,MATCH(1,(TRIM(Innings!A:A)=TRIM(A1702))*(TRIM(Innings!D:D)=TRIM(E1702)),0))</f>
        <v>8.9</v>
      </c>
      <c r="AB1702" cm="1">
        <f t="array" ref="AB1702">INDEX(Innings!J:J,MATCH(1,(TRIM(Innings!A:A)=TRIM(A1702))*(TRIM(Innings!D:D)=TRIM(E1702)),0))</f>
        <v>37</v>
      </c>
      <c r="AC1702" cm="1">
        <f t="array" ref="AC1702">INDEX(Innings!N:N,MATCH(1,(TRIM(Innings!A:A)=TRIM(A1702))*(TRIM(Innings!D:D)=TRIM(E1702)),0))</f>
        <v>47</v>
      </c>
      <c r="AD1702" cm="1">
        <f t="array" ref="AD1702">INDEX(Innings!S:S,MATCH(1,(TRIM(Innings!A:A)=TRIM(A1702))*(TRIM(Innings!D:D)=TRIM(E1702)),0))</f>
        <v>34</v>
      </c>
      <c r="AE1702" t="str" cm="1">
        <f t="array" ref="AE1702">INDEX(Innings!W:W,MATCH(1,(TRIM(Innings!A:A)=TRIM(A1702))*(TRIM(Innings!D:D)=TRIM(E1702)),0))</f>
        <v>NA</v>
      </c>
      <c r="AF1702">
        <f>IF(UPPER(TRIM(E1702))=UPPER(TRIM(W1702)),1,0)</f>
        <v>1</v>
      </c>
      <c r="AG1702">
        <f t="shared" si="52"/>
        <v>62.4</v>
      </c>
    </row>
    <row r="1703" spans="1:33" x14ac:dyDescent="0.3">
      <c r="A1703" t="s">
        <v>612</v>
      </c>
      <c r="B1703">
        <v>4</v>
      </c>
      <c r="C1703" t="s">
        <v>491</v>
      </c>
      <c r="D1703" t="s">
        <v>498</v>
      </c>
      <c r="E1703" t="s">
        <v>159</v>
      </c>
      <c r="F1703" t="s">
        <v>101</v>
      </c>
      <c r="G1703" t="s">
        <v>104</v>
      </c>
      <c r="H1703">
        <v>0</v>
      </c>
      <c r="I1703">
        <v>0</v>
      </c>
      <c r="J1703">
        <v>0</v>
      </c>
      <c r="K1703" t="s">
        <v>104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 s="8">
        <v>0</v>
      </c>
      <c r="V1703" s="8">
        <f t="shared" si="53"/>
        <v>0</v>
      </c>
      <c r="W1703" t="str">
        <f>_xlfn.XLOOKUP(A1703, Matches!A:A, Matches!L:L, "NA", 0)</f>
        <v>RCBW</v>
      </c>
      <c r="X1703" t="str">
        <f>_xlfn.XLOOKUP(A1703, Matches!A:A, Matches!J:J, "NA", 0)</f>
        <v>GGTW</v>
      </c>
      <c r="Y1703" t="str">
        <f>_xlfn.XLOOKUP(A1703, Matches!A:A, Matches!F:F, "NA", 0)</f>
        <v>BCA Stadium, Kotambi</v>
      </c>
      <c r="Z1703" cm="1">
        <f t="array" ref="Z1703">INDEX(Innings!F:F,MATCH(1,(TRIM(Innings!A:A)=TRIM(A1703))*(TRIM(Innings!D:D)=TRIM(E1703)),0))</f>
        <v>178</v>
      </c>
      <c r="AA1703" cm="1">
        <f t="array" ref="AA1703">INDEX(Innings!I:I,MATCH(1,(TRIM(Innings!A:A)=TRIM(A1703))*(TRIM(Innings!D:D)=TRIM(E1703)),0))</f>
        <v>8.9</v>
      </c>
      <c r="AB1703" cm="1">
        <f t="array" ref="AB1703">INDEX(Innings!J:J,MATCH(1,(TRIM(Innings!A:A)=TRIM(A1703))*(TRIM(Innings!D:D)=TRIM(E1703)),0))</f>
        <v>37</v>
      </c>
      <c r="AC1703" cm="1">
        <f t="array" ref="AC1703">INDEX(Innings!N:N,MATCH(1,(TRIM(Innings!A:A)=TRIM(A1703))*(TRIM(Innings!D:D)=TRIM(E1703)),0))</f>
        <v>47</v>
      </c>
      <c r="AD1703" cm="1">
        <f t="array" ref="AD1703">INDEX(Innings!S:S,MATCH(1,(TRIM(Innings!A:A)=TRIM(A1703))*(TRIM(Innings!D:D)=TRIM(E1703)),0))</f>
        <v>34</v>
      </c>
      <c r="AE1703" t="str" cm="1">
        <f t="array" ref="AE1703">INDEX(Innings!W:W,MATCH(1,(TRIM(Innings!A:A)=TRIM(A1703))*(TRIM(Innings!D:D)=TRIM(E1703)),0))</f>
        <v>NA</v>
      </c>
      <c r="AF1703">
        <f>IF(UPPER(TRIM(E1703))=UPPER(TRIM(W1703)),1,0)</f>
        <v>1</v>
      </c>
      <c r="AG1703">
        <f t="shared" si="52"/>
        <v>20</v>
      </c>
    </row>
    <row r="1704" spans="1:33" x14ac:dyDescent="0.3">
      <c r="A1704" t="s">
        <v>612</v>
      </c>
      <c r="B1704">
        <v>4</v>
      </c>
      <c r="C1704" t="s">
        <v>415</v>
      </c>
      <c r="D1704" t="s">
        <v>425</v>
      </c>
      <c r="E1704" t="s">
        <v>159</v>
      </c>
      <c r="F1704" t="s">
        <v>169</v>
      </c>
      <c r="G1704" t="s">
        <v>104</v>
      </c>
      <c r="H1704">
        <v>0</v>
      </c>
      <c r="I1704">
        <v>0</v>
      </c>
      <c r="J1704">
        <v>0</v>
      </c>
      <c r="K1704" t="s">
        <v>104</v>
      </c>
      <c r="L1704">
        <v>0</v>
      </c>
      <c r="M1704">
        <v>4</v>
      </c>
      <c r="N1704">
        <v>0</v>
      </c>
      <c r="O1704">
        <v>21</v>
      </c>
      <c r="P1704">
        <v>3</v>
      </c>
      <c r="Q1704">
        <v>5.2</v>
      </c>
      <c r="R1704">
        <v>75</v>
      </c>
      <c r="S1704">
        <v>0</v>
      </c>
      <c r="T1704">
        <v>0</v>
      </c>
      <c r="U1704" s="8">
        <v>75</v>
      </c>
      <c r="V1704" s="8">
        <f t="shared" si="53"/>
        <v>8</v>
      </c>
      <c r="W1704" t="str">
        <f>_xlfn.XLOOKUP(A1704, Matches!A:A, Matches!L:L, "NA", 0)</f>
        <v>RCBW</v>
      </c>
      <c r="X1704" t="str">
        <f>_xlfn.XLOOKUP(A1704, Matches!A:A, Matches!J:J, "NA", 0)</f>
        <v>GGTW</v>
      </c>
      <c r="Y1704" t="str">
        <f>_xlfn.XLOOKUP(A1704, Matches!A:A, Matches!F:F, "NA", 0)</f>
        <v>BCA Stadium, Kotambi</v>
      </c>
      <c r="Z1704" cm="1">
        <f t="array" ref="Z1704">INDEX(Innings!F:F,MATCH(1,(TRIM(Innings!A:A)=TRIM(A1704))*(TRIM(Innings!D:D)=TRIM(E1704)),0))</f>
        <v>178</v>
      </c>
      <c r="AA1704" cm="1">
        <f t="array" ref="AA1704">INDEX(Innings!I:I,MATCH(1,(TRIM(Innings!A:A)=TRIM(A1704))*(TRIM(Innings!D:D)=TRIM(E1704)),0))</f>
        <v>8.9</v>
      </c>
      <c r="AB1704" cm="1">
        <f t="array" ref="AB1704">INDEX(Innings!J:J,MATCH(1,(TRIM(Innings!A:A)=TRIM(A1704))*(TRIM(Innings!D:D)=TRIM(E1704)),0))</f>
        <v>37</v>
      </c>
      <c r="AC1704" cm="1">
        <f t="array" ref="AC1704">INDEX(Innings!N:N,MATCH(1,(TRIM(Innings!A:A)=TRIM(A1704))*(TRIM(Innings!D:D)=TRIM(E1704)),0))</f>
        <v>47</v>
      </c>
      <c r="AD1704" cm="1">
        <f t="array" ref="AD1704">INDEX(Innings!S:S,MATCH(1,(TRIM(Innings!A:A)=TRIM(A1704))*(TRIM(Innings!D:D)=TRIM(E1704)),0))</f>
        <v>34</v>
      </c>
      <c r="AE1704" t="str" cm="1">
        <f t="array" ref="AE1704">INDEX(Innings!W:W,MATCH(1,(TRIM(Innings!A:A)=TRIM(A1704))*(TRIM(Innings!D:D)=TRIM(E1704)),0))</f>
        <v>NA</v>
      </c>
      <c r="AF1704">
        <f>IF(UPPER(TRIM(E1704))=UPPER(TRIM(W1704)),1,0)</f>
        <v>1</v>
      </c>
      <c r="AG1704">
        <f t="shared" si="52"/>
        <v>59.9</v>
      </c>
    </row>
    <row r="1705" spans="1:33" x14ac:dyDescent="0.3">
      <c r="A1705" t="s">
        <v>612</v>
      </c>
      <c r="B1705">
        <v>4</v>
      </c>
      <c r="C1705" t="s">
        <v>527</v>
      </c>
      <c r="D1705" t="s">
        <v>627</v>
      </c>
      <c r="E1705" t="s">
        <v>159</v>
      </c>
      <c r="F1705" t="s">
        <v>101</v>
      </c>
      <c r="G1705" t="s">
        <v>104</v>
      </c>
      <c r="H1705">
        <v>0</v>
      </c>
      <c r="I1705">
        <v>0</v>
      </c>
      <c r="J1705">
        <v>0</v>
      </c>
      <c r="K1705" t="s">
        <v>104</v>
      </c>
      <c r="L1705">
        <v>0</v>
      </c>
      <c r="M1705">
        <v>4</v>
      </c>
      <c r="N1705">
        <v>1</v>
      </c>
      <c r="O1705">
        <v>23</v>
      </c>
      <c r="P1705">
        <v>1</v>
      </c>
      <c r="Q1705">
        <v>5.8</v>
      </c>
      <c r="R1705">
        <v>35</v>
      </c>
      <c r="S1705">
        <v>0</v>
      </c>
      <c r="T1705">
        <v>0</v>
      </c>
      <c r="U1705" s="8">
        <v>35</v>
      </c>
      <c r="V1705" s="8">
        <f t="shared" si="53"/>
        <v>4</v>
      </c>
      <c r="W1705" t="str">
        <f>_xlfn.XLOOKUP(A1705, Matches!A:A, Matches!L:L, "NA", 0)</f>
        <v>RCBW</v>
      </c>
      <c r="X1705" t="str">
        <f>_xlfn.XLOOKUP(A1705, Matches!A:A, Matches!J:J, "NA", 0)</f>
        <v>GGTW</v>
      </c>
      <c r="Y1705" t="str">
        <f>_xlfn.XLOOKUP(A1705, Matches!A:A, Matches!F:F, "NA", 0)</f>
        <v>BCA Stadium, Kotambi</v>
      </c>
      <c r="Z1705" cm="1">
        <f t="array" ref="Z1705">INDEX(Innings!F:F,MATCH(1,(TRIM(Innings!A:A)=TRIM(A1705))*(TRIM(Innings!D:D)=TRIM(E1705)),0))</f>
        <v>178</v>
      </c>
      <c r="AA1705" cm="1">
        <f t="array" ref="AA1705">INDEX(Innings!I:I,MATCH(1,(TRIM(Innings!A:A)=TRIM(A1705))*(TRIM(Innings!D:D)=TRIM(E1705)),0))</f>
        <v>8.9</v>
      </c>
      <c r="AB1705" cm="1">
        <f t="array" ref="AB1705">INDEX(Innings!J:J,MATCH(1,(TRIM(Innings!A:A)=TRIM(A1705))*(TRIM(Innings!D:D)=TRIM(E1705)),0))</f>
        <v>37</v>
      </c>
      <c r="AC1705" cm="1">
        <f t="array" ref="AC1705">INDEX(Innings!N:N,MATCH(1,(TRIM(Innings!A:A)=TRIM(A1705))*(TRIM(Innings!D:D)=TRIM(E1705)),0))</f>
        <v>47</v>
      </c>
      <c r="AD1705" cm="1">
        <f t="array" ref="AD1705">INDEX(Innings!S:S,MATCH(1,(TRIM(Innings!A:A)=TRIM(A1705))*(TRIM(Innings!D:D)=TRIM(E1705)),0))</f>
        <v>34</v>
      </c>
      <c r="AE1705" t="str" cm="1">
        <f t="array" ref="AE1705">INDEX(Innings!W:W,MATCH(1,(TRIM(Innings!A:A)=TRIM(A1705))*(TRIM(Innings!D:D)=TRIM(E1705)),0))</f>
        <v>NA</v>
      </c>
      <c r="AF1705">
        <f>IF(UPPER(TRIM(E1705))=UPPER(TRIM(W1705)),1,0)</f>
        <v>1</v>
      </c>
      <c r="AG1705">
        <f t="shared" si="52"/>
        <v>38.700000000000003</v>
      </c>
    </row>
    <row r="1706" spans="1:33" x14ac:dyDescent="0.3">
      <c r="A1706" t="s">
        <v>612</v>
      </c>
      <c r="B1706">
        <v>4</v>
      </c>
      <c r="C1706" t="s">
        <v>81</v>
      </c>
      <c r="D1706" t="s">
        <v>114</v>
      </c>
      <c r="E1706" t="s">
        <v>258</v>
      </c>
      <c r="F1706" t="s">
        <v>85</v>
      </c>
      <c r="G1706" t="s">
        <v>86</v>
      </c>
      <c r="H1706">
        <v>3</v>
      </c>
      <c r="I1706">
        <v>4</v>
      </c>
      <c r="J1706">
        <v>75</v>
      </c>
      <c r="K1706" t="s">
        <v>245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 s="8">
        <v>0</v>
      </c>
      <c r="V1706" s="8">
        <f t="shared" si="53"/>
        <v>0</v>
      </c>
      <c r="W1706" t="str">
        <f>_xlfn.XLOOKUP(A1706, Matches!A:A, Matches!L:L, "NA", 0)</f>
        <v>RCBW</v>
      </c>
      <c r="X1706" t="str">
        <f>_xlfn.XLOOKUP(A1706, Matches!A:A, Matches!J:J, "NA", 0)</f>
        <v>GGTW</v>
      </c>
      <c r="Y1706" t="str">
        <f>_xlfn.XLOOKUP(A1706, Matches!A:A, Matches!F:F, "NA", 0)</f>
        <v>BCA Stadium, Kotambi</v>
      </c>
      <c r="Z1706" cm="1">
        <f t="array" ref="Z1706">INDEX(Innings!F:F,MATCH(1,(TRIM(Innings!A:A)=TRIM(A1706))*(TRIM(Innings!D:D)=TRIM(E1706)),0))</f>
        <v>117</v>
      </c>
      <c r="AA1706" cm="1">
        <f t="array" ref="AA1706">INDEX(Innings!I:I,MATCH(1,(TRIM(Innings!A:A)=TRIM(A1706))*(TRIM(Innings!D:D)=TRIM(E1706)),0))</f>
        <v>5.85</v>
      </c>
      <c r="AB1706" cm="1">
        <f t="array" ref="AB1706">INDEX(Innings!J:J,MATCH(1,(TRIM(Innings!A:A)=TRIM(A1706))*(TRIM(Innings!D:D)=TRIM(E1706)),0))</f>
        <v>29</v>
      </c>
      <c r="AC1706" cm="1">
        <f t="array" ref="AC1706">INDEX(Innings!N:N,MATCH(1,(TRIM(Innings!A:A)=TRIM(A1706))*(TRIM(Innings!D:D)=TRIM(E1706)),0))</f>
        <v>22</v>
      </c>
      <c r="AD1706" cm="1">
        <f t="array" ref="AD1706">INDEX(Innings!S:S,MATCH(1,(TRIM(Innings!A:A)=TRIM(A1706))*(TRIM(Innings!D:D)=TRIM(E1706)),0))</f>
        <v>36</v>
      </c>
      <c r="AE1706" t="str" cm="1">
        <f t="array" ref="AE1706">INDEX(Innings!W:W,MATCH(1,(TRIM(Innings!A:A)=TRIM(A1706))*(TRIM(Innings!D:D)=TRIM(E1706)),0))</f>
        <v>Failed</v>
      </c>
      <c r="AF1706">
        <f>IF(UPPER(TRIM(E1706))=UPPER(TRIM(W1706)),1,0)</f>
        <v>0</v>
      </c>
      <c r="AG1706">
        <f t="shared" si="52"/>
        <v>0</v>
      </c>
    </row>
    <row r="1707" spans="1:33" x14ac:dyDescent="0.3">
      <c r="A1707" t="s">
        <v>612</v>
      </c>
      <c r="B1707">
        <v>4</v>
      </c>
      <c r="C1707" t="s">
        <v>167</v>
      </c>
      <c r="D1707" t="s">
        <v>168</v>
      </c>
      <c r="E1707" t="s">
        <v>258</v>
      </c>
      <c r="F1707" t="s">
        <v>169</v>
      </c>
      <c r="G1707" t="s">
        <v>92</v>
      </c>
      <c r="H1707">
        <v>0</v>
      </c>
      <c r="I1707">
        <v>4</v>
      </c>
      <c r="J1707">
        <v>0</v>
      </c>
      <c r="K1707" t="s">
        <v>246</v>
      </c>
      <c r="L1707">
        <v>0</v>
      </c>
      <c r="M1707">
        <v>4</v>
      </c>
      <c r="N1707">
        <v>0</v>
      </c>
      <c r="O1707">
        <v>25</v>
      </c>
      <c r="P1707">
        <v>1</v>
      </c>
      <c r="Q1707">
        <v>6.2</v>
      </c>
      <c r="R1707">
        <v>35</v>
      </c>
      <c r="S1707">
        <v>0</v>
      </c>
      <c r="T1707">
        <v>0</v>
      </c>
      <c r="U1707" s="8">
        <v>35</v>
      </c>
      <c r="V1707" s="8">
        <f t="shared" si="53"/>
        <v>4</v>
      </c>
      <c r="W1707" t="str">
        <f>_xlfn.XLOOKUP(A1707, Matches!A:A, Matches!L:L, "NA", 0)</f>
        <v>RCBW</v>
      </c>
      <c r="X1707" t="str">
        <f>_xlfn.XLOOKUP(A1707, Matches!A:A, Matches!J:J, "NA", 0)</f>
        <v>GGTW</v>
      </c>
      <c r="Y1707" t="str">
        <f>_xlfn.XLOOKUP(A1707, Matches!A:A, Matches!F:F, "NA", 0)</f>
        <v>BCA Stadium, Kotambi</v>
      </c>
      <c r="Z1707" cm="1">
        <f t="array" ref="Z1707">INDEX(Innings!F:F,MATCH(1,(TRIM(Innings!A:A)=TRIM(A1707))*(TRIM(Innings!D:D)=TRIM(E1707)),0))</f>
        <v>117</v>
      </c>
      <c r="AA1707" cm="1">
        <f t="array" ref="AA1707">INDEX(Innings!I:I,MATCH(1,(TRIM(Innings!A:A)=TRIM(A1707))*(TRIM(Innings!D:D)=TRIM(E1707)),0))</f>
        <v>5.85</v>
      </c>
      <c r="AB1707" cm="1">
        <f t="array" ref="AB1707">INDEX(Innings!J:J,MATCH(1,(TRIM(Innings!A:A)=TRIM(A1707))*(TRIM(Innings!D:D)=TRIM(E1707)),0))</f>
        <v>29</v>
      </c>
      <c r="AC1707" cm="1">
        <f t="array" ref="AC1707">INDEX(Innings!N:N,MATCH(1,(TRIM(Innings!A:A)=TRIM(A1707))*(TRIM(Innings!D:D)=TRIM(E1707)),0))</f>
        <v>22</v>
      </c>
      <c r="AD1707" cm="1">
        <f t="array" ref="AD1707">INDEX(Innings!S:S,MATCH(1,(TRIM(Innings!A:A)=TRIM(A1707))*(TRIM(Innings!D:D)=TRIM(E1707)),0))</f>
        <v>36</v>
      </c>
      <c r="AE1707" t="str" cm="1">
        <f t="array" ref="AE1707">INDEX(Innings!W:W,MATCH(1,(TRIM(Innings!A:A)=TRIM(A1707))*(TRIM(Innings!D:D)=TRIM(E1707)),0))</f>
        <v>Failed</v>
      </c>
      <c r="AF1707">
        <f>IF(UPPER(TRIM(E1707))=UPPER(TRIM(W1707)),1,0)</f>
        <v>0</v>
      </c>
      <c r="AG1707">
        <f t="shared" si="52"/>
        <v>18.7</v>
      </c>
    </row>
    <row r="1708" spans="1:33" x14ac:dyDescent="0.3">
      <c r="A1708" t="s">
        <v>612</v>
      </c>
      <c r="B1708">
        <v>4</v>
      </c>
      <c r="C1708" t="s">
        <v>529</v>
      </c>
      <c r="D1708" t="s">
        <v>632</v>
      </c>
      <c r="E1708" t="s">
        <v>258</v>
      </c>
      <c r="F1708" t="s">
        <v>109</v>
      </c>
      <c r="G1708" t="s">
        <v>92</v>
      </c>
      <c r="H1708">
        <v>18</v>
      </c>
      <c r="I1708">
        <v>20</v>
      </c>
      <c r="J1708">
        <v>90</v>
      </c>
      <c r="K1708" t="s">
        <v>246</v>
      </c>
      <c r="L1708">
        <v>15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 s="8">
        <v>15</v>
      </c>
      <c r="V1708" s="8">
        <f t="shared" si="53"/>
        <v>2</v>
      </c>
      <c r="W1708" t="str">
        <f>_xlfn.XLOOKUP(A1708, Matches!A:A, Matches!L:L, "NA", 0)</f>
        <v>RCBW</v>
      </c>
      <c r="X1708" t="str">
        <f>_xlfn.XLOOKUP(A1708, Matches!A:A, Matches!J:J, "NA", 0)</f>
        <v>GGTW</v>
      </c>
      <c r="Y1708" t="str">
        <f>_xlfn.XLOOKUP(A1708, Matches!A:A, Matches!F:F, "NA", 0)</f>
        <v>BCA Stadium, Kotambi</v>
      </c>
      <c r="Z1708" cm="1">
        <f t="array" ref="Z1708">INDEX(Innings!F:F,MATCH(1,(TRIM(Innings!A:A)=TRIM(A1708))*(TRIM(Innings!D:D)=TRIM(E1708)),0))</f>
        <v>117</v>
      </c>
      <c r="AA1708" cm="1">
        <f t="array" ref="AA1708">INDEX(Innings!I:I,MATCH(1,(TRIM(Innings!A:A)=TRIM(A1708))*(TRIM(Innings!D:D)=TRIM(E1708)),0))</f>
        <v>5.85</v>
      </c>
      <c r="AB1708" cm="1">
        <f t="array" ref="AB1708">INDEX(Innings!J:J,MATCH(1,(TRIM(Innings!A:A)=TRIM(A1708))*(TRIM(Innings!D:D)=TRIM(E1708)),0))</f>
        <v>29</v>
      </c>
      <c r="AC1708" cm="1">
        <f t="array" ref="AC1708">INDEX(Innings!N:N,MATCH(1,(TRIM(Innings!A:A)=TRIM(A1708))*(TRIM(Innings!D:D)=TRIM(E1708)),0))</f>
        <v>22</v>
      </c>
      <c r="AD1708" cm="1">
        <f t="array" ref="AD1708">INDEX(Innings!S:S,MATCH(1,(TRIM(Innings!A:A)=TRIM(A1708))*(TRIM(Innings!D:D)=TRIM(E1708)),0))</f>
        <v>36</v>
      </c>
      <c r="AE1708" t="str" cm="1">
        <f t="array" ref="AE1708">INDEX(Innings!W:W,MATCH(1,(TRIM(Innings!A:A)=TRIM(A1708))*(TRIM(Innings!D:D)=TRIM(E1708)),0))</f>
        <v>Failed</v>
      </c>
      <c r="AF1708">
        <f>IF(UPPER(TRIM(E1708))=UPPER(TRIM(W1708)),1,0)</f>
        <v>0</v>
      </c>
      <c r="AG1708">
        <f t="shared" si="52"/>
        <v>8.1</v>
      </c>
    </row>
    <row r="1709" spans="1:33" x14ac:dyDescent="0.3">
      <c r="A1709" t="s">
        <v>612</v>
      </c>
      <c r="B1709">
        <v>4</v>
      </c>
      <c r="C1709" t="s">
        <v>178</v>
      </c>
      <c r="D1709" t="s">
        <v>179</v>
      </c>
      <c r="E1709" t="s">
        <v>258</v>
      </c>
      <c r="F1709" t="s">
        <v>169</v>
      </c>
      <c r="G1709" t="s">
        <v>92</v>
      </c>
      <c r="H1709">
        <v>0</v>
      </c>
      <c r="I1709">
        <v>3</v>
      </c>
      <c r="J1709">
        <v>0</v>
      </c>
      <c r="K1709" t="s">
        <v>245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 s="8">
        <v>0</v>
      </c>
      <c r="V1709" s="8">
        <f t="shared" si="53"/>
        <v>0</v>
      </c>
      <c r="W1709" t="str">
        <f>_xlfn.XLOOKUP(A1709, Matches!A:A, Matches!L:L, "NA", 0)</f>
        <v>RCBW</v>
      </c>
      <c r="X1709" t="str">
        <f>_xlfn.XLOOKUP(A1709, Matches!A:A, Matches!J:J, "NA", 0)</f>
        <v>GGTW</v>
      </c>
      <c r="Y1709" t="str">
        <f>_xlfn.XLOOKUP(A1709, Matches!A:A, Matches!F:F, "NA", 0)</f>
        <v>BCA Stadium, Kotambi</v>
      </c>
      <c r="Z1709" cm="1">
        <f t="array" ref="Z1709">INDEX(Innings!F:F,MATCH(1,(TRIM(Innings!A:A)=TRIM(A1709))*(TRIM(Innings!D:D)=TRIM(E1709)),0))</f>
        <v>117</v>
      </c>
      <c r="AA1709" cm="1">
        <f t="array" ref="AA1709">INDEX(Innings!I:I,MATCH(1,(TRIM(Innings!A:A)=TRIM(A1709))*(TRIM(Innings!D:D)=TRIM(E1709)),0))</f>
        <v>5.85</v>
      </c>
      <c r="AB1709" cm="1">
        <f t="array" ref="AB1709">INDEX(Innings!J:J,MATCH(1,(TRIM(Innings!A:A)=TRIM(A1709))*(TRIM(Innings!D:D)=TRIM(E1709)),0))</f>
        <v>29</v>
      </c>
      <c r="AC1709" cm="1">
        <f t="array" ref="AC1709">INDEX(Innings!N:N,MATCH(1,(TRIM(Innings!A:A)=TRIM(A1709))*(TRIM(Innings!D:D)=TRIM(E1709)),0))</f>
        <v>22</v>
      </c>
      <c r="AD1709" cm="1">
        <f t="array" ref="AD1709">INDEX(Innings!S:S,MATCH(1,(TRIM(Innings!A:A)=TRIM(A1709))*(TRIM(Innings!D:D)=TRIM(E1709)),0))</f>
        <v>36</v>
      </c>
      <c r="AE1709" t="str" cm="1">
        <f t="array" ref="AE1709">INDEX(Innings!W:W,MATCH(1,(TRIM(Innings!A:A)=TRIM(A1709))*(TRIM(Innings!D:D)=TRIM(E1709)),0))</f>
        <v>Failed</v>
      </c>
      <c r="AF1709">
        <f>IF(UPPER(TRIM(E1709))=UPPER(TRIM(W1709)),1,0)</f>
        <v>0</v>
      </c>
      <c r="AG1709">
        <f t="shared" si="52"/>
        <v>0</v>
      </c>
    </row>
    <row r="1710" spans="1:33" x14ac:dyDescent="0.3">
      <c r="A1710" t="s">
        <v>612</v>
      </c>
      <c r="B1710">
        <v>4</v>
      </c>
      <c r="C1710" t="s">
        <v>93</v>
      </c>
      <c r="D1710" t="s">
        <v>118</v>
      </c>
      <c r="E1710" t="s">
        <v>258</v>
      </c>
      <c r="F1710" t="s">
        <v>169</v>
      </c>
      <c r="G1710" t="s">
        <v>92</v>
      </c>
      <c r="H1710">
        <v>54</v>
      </c>
      <c r="I1710">
        <v>43</v>
      </c>
      <c r="J1710">
        <v>125.58</v>
      </c>
      <c r="K1710" t="s">
        <v>246</v>
      </c>
      <c r="L1710">
        <v>65</v>
      </c>
      <c r="M1710">
        <v>4</v>
      </c>
      <c r="N1710">
        <v>0</v>
      </c>
      <c r="O1710">
        <v>43</v>
      </c>
      <c r="P1710">
        <v>2</v>
      </c>
      <c r="Q1710">
        <v>10.8</v>
      </c>
      <c r="R1710">
        <v>50</v>
      </c>
      <c r="S1710">
        <v>0</v>
      </c>
      <c r="T1710">
        <v>0</v>
      </c>
      <c r="U1710" s="8">
        <v>115</v>
      </c>
      <c r="V1710" s="8">
        <f t="shared" si="53"/>
        <v>10</v>
      </c>
      <c r="W1710" t="str">
        <f>_xlfn.XLOOKUP(A1710, Matches!A:A, Matches!L:L, "NA", 0)</f>
        <v>RCBW</v>
      </c>
      <c r="X1710" t="str">
        <f>_xlfn.XLOOKUP(A1710, Matches!A:A, Matches!J:J, "NA", 0)</f>
        <v>GGTW</v>
      </c>
      <c r="Y1710" t="str">
        <f>_xlfn.XLOOKUP(A1710, Matches!A:A, Matches!F:F, "NA", 0)</f>
        <v>BCA Stadium, Kotambi</v>
      </c>
      <c r="Z1710" cm="1">
        <f t="array" ref="Z1710">INDEX(Innings!F:F,MATCH(1,(TRIM(Innings!A:A)=TRIM(A1710))*(TRIM(Innings!D:D)=TRIM(E1710)),0))</f>
        <v>117</v>
      </c>
      <c r="AA1710" cm="1">
        <f t="array" ref="AA1710">INDEX(Innings!I:I,MATCH(1,(TRIM(Innings!A:A)=TRIM(A1710))*(TRIM(Innings!D:D)=TRIM(E1710)),0))</f>
        <v>5.85</v>
      </c>
      <c r="AB1710" cm="1">
        <f t="array" ref="AB1710">INDEX(Innings!J:J,MATCH(1,(TRIM(Innings!A:A)=TRIM(A1710))*(TRIM(Innings!D:D)=TRIM(E1710)),0))</f>
        <v>29</v>
      </c>
      <c r="AC1710" cm="1">
        <f t="array" ref="AC1710">INDEX(Innings!N:N,MATCH(1,(TRIM(Innings!A:A)=TRIM(A1710))*(TRIM(Innings!D:D)=TRIM(E1710)),0))</f>
        <v>22</v>
      </c>
      <c r="AD1710" cm="1">
        <f t="array" ref="AD1710">INDEX(Innings!S:S,MATCH(1,(TRIM(Innings!A:A)=TRIM(A1710))*(TRIM(Innings!D:D)=TRIM(E1710)),0))</f>
        <v>36</v>
      </c>
      <c r="AE1710" t="str" cm="1">
        <f t="array" ref="AE1710">INDEX(Innings!W:W,MATCH(1,(TRIM(Innings!A:A)=TRIM(A1710))*(TRIM(Innings!D:D)=TRIM(E1710)),0))</f>
        <v>Failed</v>
      </c>
      <c r="AF1710">
        <f>IF(UPPER(TRIM(E1710))=UPPER(TRIM(W1710)),1,0)</f>
        <v>0</v>
      </c>
      <c r="AG1710">
        <f t="shared" si="52"/>
        <v>60.5</v>
      </c>
    </row>
    <row r="1711" spans="1:33" x14ac:dyDescent="0.3">
      <c r="A1711" t="s">
        <v>612</v>
      </c>
      <c r="B1711">
        <v>4</v>
      </c>
      <c r="C1711" t="s">
        <v>493</v>
      </c>
      <c r="D1711" t="s">
        <v>500</v>
      </c>
      <c r="E1711" t="s">
        <v>258</v>
      </c>
      <c r="F1711" t="s">
        <v>169</v>
      </c>
      <c r="G1711" t="s">
        <v>134</v>
      </c>
      <c r="H1711">
        <v>4</v>
      </c>
      <c r="I1711">
        <v>8</v>
      </c>
      <c r="J1711">
        <v>50</v>
      </c>
      <c r="K1711" t="s">
        <v>245</v>
      </c>
      <c r="L1711">
        <v>5</v>
      </c>
      <c r="M1711">
        <v>4</v>
      </c>
      <c r="N1711">
        <v>0</v>
      </c>
      <c r="O1711">
        <v>38</v>
      </c>
      <c r="P1711">
        <v>2</v>
      </c>
      <c r="Q1711">
        <v>9.5</v>
      </c>
      <c r="R1711">
        <v>50</v>
      </c>
      <c r="S1711">
        <v>0</v>
      </c>
      <c r="T1711">
        <v>0</v>
      </c>
      <c r="U1711" s="8">
        <v>55</v>
      </c>
      <c r="V1711" s="8">
        <f t="shared" si="53"/>
        <v>6</v>
      </c>
      <c r="W1711" t="str">
        <f>_xlfn.XLOOKUP(A1711, Matches!A:A, Matches!L:L, "NA", 0)</f>
        <v>RCBW</v>
      </c>
      <c r="X1711" t="str">
        <f>_xlfn.XLOOKUP(A1711, Matches!A:A, Matches!J:J, "NA", 0)</f>
        <v>GGTW</v>
      </c>
      <c r="Y1711" t="str">
        <f>_xlfn.XLOOKUP(A1711, Matches!A:A, Matches!F:F, "NA", 0)</f>
        <v>BCA Stadium, Kotambi</v>
      </c>
      <c r="Z1711" cm="1">
        <f t="array" ref="Z1711">INDEX(Innings!F:F,MATCH(1,(TRIM(Innings!A:A)=TRIM(A1711))*(TRIM(Innings!D:D)=TRIM(E1711)),0))</f>
        <v>117</v>
      </c>
      <c r="AA1711" cm="1">
        <f t="array" ref="AA1711">INDEX(Innings!I:I,MATCH(1,(TRIM(Innings!A:A)=TRIM(A1711))*(TRIM(Innings!D:D)=TRIM(E1711)),0))</f>
        <v>5.85</v>
      </c>
      <c r="AB1711" cm="1">
        <f t="array" ref="AB1711">INDEX(Innings!J:J,MATCH(1,(TRIM(Innings!A:A)=TRIM(A1711))*(TRIM(Innings!D:D)=TRIM(E1711)),0))</f>
        <v>29</v>
      </c>
      <c r="AC1711" cm="1">
        <f t="array" ref="AC1711">INDEX(Innings!N:N,MATCH(1,(TRIM(Innings!A:A)=TRIM(A1711))*(TRIM(Innings!D:D)=TRIM(E1711)),0))</f>
        <v>22</v>
      </c>
      <c r="AD1711" cm="1">
        <f t="array" ref="AD1711">INDEX(Innings!S:S,MATCH(1,(TRIM(Innings!A:A)=TRIM(A1711))*(TRIM(Innings!D:D)=TRIM(E1711)),0))</f>
        <v>36</v>
      </c>
      <c r="AE1711" t="str" cm="1">
        <f t="array" ref="AE1711">INDEX(Innings!W:W,MATCH(1,(TRIM(Innings!A:A)=TRIM(A1711))*(TRIM(Innings!D:D)=TRIM(E1711)),0))</f>
        <v>Failed</v>
      </c>
      <c r="AF1711">
        <f>IF(UPPER(TRIM(E1711))=UPPER(TRIM(W1711)),1,0)</f>
        <v>0</v>
      </c>
      <c r="AG1711">
        <f t="shared" si="52"/>
        <v>29.3</v>
      </c>
    </row>
    <row r="1712" spans="1:33" x14ac:dyDescent="0.3">
      <c r="A1712" t="s">
        <v>612</v>
      </c>
      <c r="B1712">
        <v>4</v>
      </c>
      <c r="C1712" t="s">
        <v>99</v>
      </c>
      <c r="D1712" t="s">
        <v>124</v>
      </c>
      <c r="E1712" t="s">
        <v>258</v>
      </c>
      <c r="F1712" t="s">
        <v>169</v>
      </c>
      <c r="G1712" t="s">
        <v>134</v>
      </c>
      <c r="H1712">
        <v>2</v>
      </c>
      <c r="I1712">
        <v>6</v>
      </c>
      <c r="J1712">
        <v>33.33</v>
      </c>
      <c r="K1712" t="s">
        <v>246</v>
      </c>
      <c r="L1712">
        <v>2</v>
      </c>
      <c r="M1712">
        <v>1</v>
      </c>
      <c r="N1712">
        <v>0</v>
      </c>
      <c r="O1712">
        <v>13</v>
      </c>
      <c r="P1712">
        <v>0</v>
      </c>
      <c r="Q1712">
        <v>13</v>
      </c>
      <c r="R1712">
        <v>-10</v>
      </c>
      <c r="S1712">
        <v>0</v>
      </c>
      <c r="T1712">
        <v>0</v>
      </c>
      <c r="U1712" s="8">
        <v>-8</v>
      </c>
      <c r="V1712" s="8">
        <f t="shared" si="53"/>
        <v>0</v>
      </c>
      <c r="W1712" t="str">
        <f>_xlfn.XLOOKUP(A1712, Matches!A:A, Matches!L:L, "NA", 0)</f>
        <v>RCBW</v>
      </c>
      <c r="X1712" t="str">
        <f>_xlfn.XLOOKUP(A1712, Matches!A:A, Matches!J:J, "NA", 0)</f>
        <v>GGTW</v>
      </c>
      <c r="Y1712" t="str">
        <f>_xlfn.XLOOKUP(A1712, Matches!A:A, Matches!F:F, "NA", 0)</f>
        <v>BCA Stadium, Kotambi</v>
      </c>
      <c r="Z1712" cm="1">
        <f t="array" ref="Z1712">INDEX(Innings!F:F,MATCH(1,(TRIM(Innings!A:A)=TRIM(A1712))*(TRIM(Innings!D:D)=TRIM(E1712)),0))</f>
        <v>117</v>
      </c>
      <c r="AA1712" cm="1">
        <f t="array" ref="AA1712">INDEX(Innings!I:I,MATCH(1,(TRIM(Innings!A:A)=TRIM(A1712))*(TRIM(Innings!D:D)=TRIM(E1712)),0))</f>
        <v>5.85</v>
      </c>
      <c r="AB1712" cm="1">
        <f t="array" ref="AB1712">INDEX(Innings!J:J,MATCH(1,(TRIM(Innings!A:A)=TRIM(A1712))*(TRIM(Innings!D:D)=TRIM(E1712)),0))</f>
        <v>29</v>
      </c>
      <c r="AC1712" cm="1">
        <f t="array" ref="AC1712">INDEX(Innings!N:N,MATCH(1,(TRIM(Innings!A:A)=TRIM(A1712))*(TRIM(Innings!D:D)=TRIM(E1712)),0))</f>
        <v>22</v>
      </c>
      <c r="AD1712" cm="1">
        <f t="array" ref="AD1712">INDEX(Innings!S:S,MATCH(1,(TRIM(Innings!A:A)=TRIM(A1712))*(TRIM(Innings!D:D)=TRIM(E1712)),0))</f>
        <v>36</v>
      </c>
      <c r="AE1712" t="str" cm="1">
        <f t="array" ref="AE1712">INDEX(Innings!W:W,MATCH(1,(TRIM(Innings!A:A)=TRIM(A1712))*(TRIM(Innings!D:D)=TRIM(E1712)),0))</f>
        <v>Failed</v>
      </c>
      <c r="AF1712">
        <f>IF(UPPER(TRIM(E1712))=UPPER(TRIM(W1712)),1,0)</f>
        <v>0</v>
      </c>
      <c r="AG1712">
        <f t="shared" si="52"/>
        <v>0</v>
      </c>
    </row>
    <row r="1713" spans="1:33" x14ac:dyDescent="0.3">
      <c r="A1713" t="s">
        <v>612</v>
      </c>
      <c r="B1713">
        <v>4</v>
      </c>
      <c r="C1713" t="s">
        <v>447</v>
      </c>
      <c r="D1713" t="s">
        <v>448</v>
      </c>
      <c r="E1713" t="s">
        <v>258</v>
      </c>
      <c r="F1713" t="s">
        <v>109</v>
      </c>
      <c r="G1713" t="s">
        <v>134</v>
      </c>
      <c r="H1713">
        <v>14</v>
      </c>
      <c r="I1713">
        <v>15</v>
      </c>
      <c r="J1713">
        <v>93.33</v>
      </c>
      <c r="K1713" t="s">
        <v>246</v>
      </c>
      <c r="L1713">
        <v>15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 s="8">
        <v>15</v>
      </c>
      <c r="V1713" s="8">
        <f t="shared" si="53"/>
        <v>2</v>
      </c>
      <c r="W1713" t="str">
        <f>_xlfn.XLOOKUP(A1713, Matches!A:A, Matches!L:L, "NA", 0)</f>
        <v>RCBW</v>
      </c>
      <c r="X1713" t="str">
        <f>_xlfn.XLOOKUP(A1713, Matches!A:A, Matches!J:J, "NA", 0)</f>
        <v>GGTW</v>
      </c>
      <c r="Y1713" t="str">
        <f>_xlfn.XLOOKUP(A1713, Matches!A:A, Matches!F:F, "NA", 0)</f>
        <v>BCA Stadium, Kotambi</v>
      </c>
      <c r="Z1713" cm="1">
        <f t="array" ref="Z1713">INDEX(Innings!F:F,MATCH(1,(TRIM(Innings!A:A)=TRIM(A1713))*(TRIM(Innings!D:D)=TRIM(E1713)),0))</f>
        <v>117</v>
      </c>
      <c r="AA1713" cm="1">
        <f t="array" ref="AA1713">INDEX(Innings!I:I,MATCH(1,(TRIM(Innings!A:A)=TRIM(A1713))*(TRIM(Innings!D:D)=TRIM(E1713)),0))</f>
        <v>5.85</v>
      </c>
      <c r="AB1713" cm="1">
        <f t="array" ref="AB1713">INDEX(Innings!J:J,MATCH(1,(TRIM(Innings!A:A)=TRIM(A1713))*(TRIM(Innings!D:D)=TRIM(E1713)),0))</f>
        <v>29</v>
      </c>
      <c r="AC1713" cm="1">
        <f t="array" ref="AC1713">INDEX(Innings!N:N,MATCH(1,(TRIM(Innings!A:A)=TRIM(A1713))*(TRIM(Innings!D:D)=TRIM(E1713)),0))</f>
        <v>22</v>
      </c>
      <c r="AD1713" cm="1">
        <f t="array" ref="AD1713">INDEX(Innings!S:S,MATCH(1,(TRIM(Innings!A:A)=TRIM(A1713))*(TRIM(Innings!D:D)=TRIM(E1713)),0))</f>
        <v>36</v>
      </c>
      <c r="AE1713" t="str" cm="1">
        <f t="array" ref="AE1713">INDEX(Innings!W:W,MATCH(1,(TRIM(Innings!A:A)=TRIM(A1713))*(TRIM(Innings!D:D)=TRIM(E1713)),0))</f>
        <v>Failed</v>
      </c>
      <c r="AF1713">
        <f>IF(UPPER(TRIM(E1713))=UPPER(TRIM(W1713)),1,0)</f>
        <v>0</v>
      </c>
      <c r="AG1713">
        <f t="shared" si="52"/>
        <v>8.1</v>
      </c>
    </row>
    <row r="1714" spans="1:33" x14ac:dyDescent="0.3">
      <c r="A1714" t="s">
        <v>612</v>
      </c>
      <c r="B1714">
        <v>4</v>
      </c>
      <c r="C1714" t="s">
        <v>105</v>
      </c>
      <c r="D1714" t="s">
        <v>128</v>
      </c>
      <c r="E1714" t="s">
        <v>258</v>
      </c>
      <c r="F1714" t="s">
        <v>101</v>
      </c>
      <c r="G1714" t="s">
        <v>134</v>
      </c>
      <c r="H1714">
        <v>11</v>
      </c>
      <c r="I1714">
        <v>11</v>
      </c>
      <c r="J1714">
        <v>100</v>
      </c>
      <c r="K1714" t="s">
        <v>96</v>
      </c>
      <c r="L1714">
        <v>15</v>
      </c>
      <c r="M1714">
        <v>2</v>
      </c>
      <c r="N1714">
        <v>0</v>
      </c>
      <c r="O1714">
        <v>20</v>
      </c>
      <c r="P1714">
        <v>0</v>
      </c>
      <c r="Q1714">
        <v>10</v>
      </c>
      <c r="R1714">
        <v>-5</v>
      </c>
      <c r="S1714">
        <v>0</v>
      </c>
      <c r="T1714">
        <v>0</v>
      </c>
      <c r="U1714" s="8">
        <v>10</v>
      </c>
      <c r="V1714" s="8">
        <f t="shared" si="53"/>
        <v>1</v>
      </c>
      <c r="W1714" t="str">
        <f>_xlfn.XLOOKUP(A1714, Matches!A:A, Matches!L:L, "NA", 0)</f>
        <v>RCBW</v>
      </c>
      <c r="X1714" t="str">
        <f>_xlfn.XLOOKUP(A1714, Matches!A:A, Matches!J:J, "NA", 0)</f>
        <v>GGTW</v>
      </c>
      <c r="Y1714" t="str">
        <f>_xlfn.XLOOKUP(A1714, Matches!A:A, Matches!F:F, "NA", 0)</f>
        <v>BCA Stadium, Kotambi</v>
      </c>
      <c r="Z1714" cm="1">
        <f t="array" ref="Z1714">INDEX(Innings!F:F,MATCH(1,(TRIM(Innings!A:A)=TRIM(A1714))*(TRIM(Innings!D:D)=TRIM(E1714)),0))</f>
        <v>117</v>
      </c>
      <c r="AA1714" cm="1">
        <f t="array" ref="AA1714">INDEX(Innings!I:I,MATCH(1,(TRIM(Innings!A:A)=TRIM(A1714))*(TRIM(Innings!D:D)=TRIM(E1714)),0))</f>
        <v>5.85</v>
      </c>
      <c r="AB1714" cm="1">
        <f t="array" ref="AB1714">INDEX(Innings!J:J,MATCH(1,(TRIM(Innings!A:A)=TRIM(A1714))*(TRIM(Innings!D:D)=TRIM(E1714)),0))</f>
        <v>29</v>
      </c>
      <c r="AC1714" cm="1">
        <f t="array" ref="AC1714">INDEX(Innings!N:N,MATCH(1,(TRIM(Innings!A:A)=TRIM(A1714))*(TRIM(Innings!D:D)=TRIM(E1714)),0))</f>
        <v>22</v>
      </c>
      <c r="AD1714" cm="1">
        <f t="array" ref="AD1714">INDEX(Innings!S:S,MATCH(1,(TRIM(Innings!A:A)=TRIM(A1714))*(TRIM(Innings!D:D)=TRIM(E1714)),0))</f>
        <v>36</v>
      </c>
      <c r="AE1714" t="str" cm="1">
        <f t="array" ref="AE1714">INDEX(Innings!W:W,MATCH(1,(TRIM(Innings!A:A)=TRIM(A1714))*(TRIM(Innings!D:D)=TRIM(E1714)),0))</f>
        <v>Failed</v>
      </c>
      <c r="AF1714">
        <f>IF(UPPER(TRIM(E1714))=UPPER(TRIM(W1714)),1,0)</f>
        <v>0</v>
      </c>
      <c r="AG1714">
        <f t="shared" si="52"/>
        <v>5.3</v>
      </c>
    </row>
    <row r="1715" spans="1:33" x14ac:dyDescent="0.3">
      <c r="A1715" t="s">
        <v>612</v>
      </c>
      <c r="B1715">
        <v>4</v>
      </c>
      <c r="C1715" t="s">
        <v>582</v>
      </c>
      <c r="D1715" t="s">
        <v>668</v>
      </c>
      <c r="E1715" t="s">
        <v>258</v>
      </c>
      <c r="F1715" t="s">
        <v>101</v>
      </c>
      <c r="G1715" t="s">
        <v>104</v>
      </c>
      <c r="H1715">
        <v>0</v>
      </c>
      <c r="I1715">
        <v>0</v>
      </c>
      <c r="J1715">
        <v>0</v>
      </c>
      <c r="K1715" t="s">
        <v>104</v>
      </c>
      <c r="L1715">
        <v>0</v>
      </c>
      <c r="M1715">
        <v>1</v>
      </c>
      <c r="N1715">
        <v>0</v>
      </c>
      <c r="O1715">
        <v>10</v>
      </c>
      <c r="P1715">
        <v>0</v>
      </c>
      <c r="Q1715">
        <v>10</v>
      </c>
      <c r="R1715">
        <v>-5</v>
      </c>
      <c r="S1715">
        <v>0</v>
      </c>
      <c r="T1715">
        <v>0</v>
      </c>
      <c r="U1715" s="8">
        <v>-5</v>
      </c>
      <c r="V1715" s="8">
        <f t="shared" si="53"/>
        <v>0</v>
      </c>
      <c r="W1715" t="str">
        <f>_xlfn.XLOOKUP(A1715, Matches!A:A, Matches!L:L, "NA", 0)</f>
        <v>RCBW</v>
      </c>
      <c r="X1715" t="str">
        <f>_xlfn.XLOOKUP(A1715, Matches!A:A, Matches!J:J, "NA", 0)</f>
        <v>GGTW</v>
      </c>
      <c r="Y1715" t="str">
        <f>_xlfn.XLOOKUP(A1715, Matches!A:A, Matches!F:F, "NA", 0)</f>
        <v>BCA Stadium, Kotambi</v>
      </c>
      <c r="Z1715" cm="1">
        <f t="array" ref="Z1715">INDEX(Innings!F:F,MATCH(1,(TRIM(Innings!A:A)=TRIM(A1715))*(TRIM(Innings!D:D)=TRIM(E1715)),0))</f>
        <v>117</v>
      </c>
      <c r="AA1715" cm="1">
        <f t="array" ref="AA1715">INDEX(Innings!I:I,MATCH(1,(TRIM(Innings!A:A)=TRIM(A1715))*(TRIM(Innings!D:D)=TRIM(E1715)),0))</f>
        <v>5.85</v>
      </c>
      <c r="AB1715" cm="1">
        <f t="array" ref="AB1715">INDEX(Innings!J:J,MATCH(1,(TRIM(Innings!A:A)=TRIM(A1715))*(TRIM(Innings!D:D)=TRIM(E1715)),0))</f>
        <v>29</v>
      </c>
      <c r="AC1715" cm="1">
        <f t="array" ref="AC1715">INDEX(Innings!N:N,MATCH(1,(TRIM(Innings!A:A)=TRIM(A1715))*(TRIM(Innings!D:D)=TRIM(E1715)),0))</f>
        <v>22</v>
      </c>
      <c r="AD1715" cm="1">
        <f t="array" ref="AD1715">INDEX(Innings!S:S,MATCH(1,(TRIM(Innings!A:A)=TRIM(A1715))*(TRIM(Innings!D:D)=TRIM(E1715)),0))</f>
        <v>36</v>
      </c>
      <c r="AE1715" t="str" cm="1">
        <f t="array" ref="AE1715">INDEX(Innings!W:W,MATCH(1,(TRIM(Innings!A:A)=TRIM(A1715))*(TRIM(Innings!D:D)=TRIM(E1715)),0))</f>
        <v>Failed</v>
      </c>
      <c r="AF1715">
        <f>IF(UPPER(TRIM(E1715))=UPPER(TRIM(W1715)),1,0)</f>
        <v>0</v>
      </c>
      <c r="AG1715">
        <f t="shared" si="52"/>
        <v>0</v>
      </c>
    </row>
    <row r="1716" spans="1:33" x14ac:dyDescent="0.3">
      <c r="A1716" t="s">
        <v>612</v>
      </c>
      <c r="B1716">
        <v>4</v>
      </c>
      <c r="C1716" t="s">
        <v>186</v>
      </c>
      <c r="D1716" t="s">
        <v>187</v>
      </c>
      <c r="E1716" t="s">
        <v>258</v>
      </c>
      <c r="F1716" t="s">
        <v>101</v>
      </c>
      <c r="G1716" t="s">
        <v>134</v>
      </c>
      <c r="H1716">
        <v>6</v>
      </c>
      <c r="I1716">
        <v>6</v>
      </c>
      <c r="J1716">
        <v>100</v>
      </c>
      <c r="K1716" t="s">
        <v>96</v>
      </c>
      <c r="L1716">
        <v>10</v>
      </c>
      <c r="M1716">
        <v>4</v>
      </c>
      <c r="N1716">
        <v>0</v>
      </c>
      <c r="O1716">
        <v>23</v>
      </c>
      <c r="P1716">
        <v>1</v>
      </c>
      <c r="Q1716">
        <v>5.8</v>
      </c>
      <c r="R1716">
        <v>35</v>
      </c>
      <c r="S1716">
        <v>0</v>
      </c>
      <c r="T1716">
        <v>0</v>
      </c>
      <c r="U1716" s="8">
        <v>45</v>
      </c>
      <c r="V1716" s="8">
        <f t="shared" si="53"/>
        <v>5</v>
      </c>
      <c r="W1716" t="str">
        <f>_xlfn.XLOOKUP(A1716, Matches!A:A, Matches!L:L, "NA", 0)</f>
        <v>RCBW</v>
      </c>
      <c r="X1716" t="str">
        <f>_xlfn.XLOOKUP(A1716, Matches!A:A, Matches!J:J, "NA", 0)</f>
        <v>GGTW</v>
      </c>
      <c r="Y1716" t="str">
        <f>_xlfn.XLOOKUP(A1716, Matches!A:A, Matches!F:F, "NA", 0)</f>
        <v>BCA Stadium, Kotambi</v>
      </c>
      <c r="Z1716" cm="1">
        <f t="array" ref="Z1716">INDEX(Innings!F:F,MATCH(1,(TRIM(Innings!A:A)=TRIM(A1716))*(TRIM(Innings!D:D)=TRIM(E1716)),0))</f>
        <v>117</v>
      </c>
      <c r="AA1716" cm="1">
        <f t="array" ref="AA1716">INDEX(Innings!I:I,MATCH(1,(TRIM(Innings!A:A)=TRIM(A1716))*(TRIM(Innings!D:D)=TRIM(E1716)),0))</f>
        <v>5.85</v>
      </c>
      <c r="AB1716" cm="1">
        <f t="array" ref="AB1716">INDEX(Innings!J:J,MATCH(1,(TRIM(Innings!A:A)=TRIM(A1716))*(TRIM(Innings!D:D)=TRIM(E1716)),0))</f>
        <v>29</v>
      </c>
      <c r="AC1716" cm="1">
        <f t="array" ref="AC1716">INDEX(Innings!N:N,MATCH(1,(TRIM(Innings!A:A)=TRIM(A1716))*(TRIM(Innings!D:D)=TRIM(E1716)),0))</f>
        <v>22</v>
      </c>
      <c r="AD1716" cm="1">
        <f t="array" ref="AD1716">INDEX(Innings!S:S,MATCH(1,(TRIM(Innings!A:A)=TRIM(A1716))*(TRIM(Innings!D:D)=TRIM(E1716)),0))</f>
        <v>36</v>
      </c>
      <c r="AE1716" t="str" cm="1">
        <f t="array" ref="AE1716">INDEX(Innings!W:W,MATCH(1,(TRIM(Innings!A:A)=TRIM(A1716))*(TRIM(Innings!D:D)=TRIM(E1716)),0))</f>
        <v>Failed</v>
      </c>
      <c r="AF1716">
        <f>IF(UPPER(TRIM(E1716))=UPPER(TRIM(W1716)),1,0)</f>
        <v>0</v>
      </c>
      <c r="AG1716">
        <f t="shared" si="52"/>
        <v>24</v>
      </c>
    </row>
    <row r="1717" spans="1:33" x14ac:dyDescent="0.3">
      <c r="A1717" t="s">
        <v>613</v>
      </c>
      <c r="B1717">
        <v>4</v>
      </c>
      <c r="C1717" t="s">
        <v>347</v>
      </c>
      <c r="D1717" t="s">
        <v>348</v>
      </c>
      <c r="E1717" t="s">
        <v>266</v>
      </c>
      <c r="F1717" t="s">
        <v>169</v>
      </c>
      <c r="G1717" t="s">
        <v>86</v>
      </c>
      <c r="H1717">
        <v>9</v>
      </c>
      <c r="I1717">
        <v>9</v>
      </c>
      <c r="J1717">
        <v>100</v>
      </c>
      <c r="K1717" t="s">
        <v>245</v>
      </c>
      <c r="L1717">
        <v>10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 s="8">
        <v>10</v>
      </c>
      <c r="V1717" s="8">
        <f t="shared" si="53"/>
        <v>1</v>
      </c>
      <c r="W1717" t="str">
        <f>_xlfn.XLOOKUP(A1717, Matches!A:A, Matches!L:L, "NA", 0)</f>
        <v>DCW</v>
      </c>
      <c r="X1717" t="str">
        <f>_xlfn.XLOOKUP(A1717, Matches!A:A, Matches!J:J, "NA", 0)</f>
        <v>DCW</v>
      </c>
      <c r="Y1717" t="str">
        <f>_xlfn.XLOOKUP(A1717, Matches!A:A, Matches!F:F, "NA", 0)</f>
        <v>BCA Stadium, Kotambi</v>
      </c>
      <c r="Z1717" cm="1">
        <f t="array" ref="Z1717">INDEX(Innings!F:F,MATCH(1,(TRIM(Innings!A:A)=TRIM(A1717))*(TRIM(Innings!D:D)=TRIM(E1717)),0))</f>
        <v>154</v>
      </c>
      <c r="AA1717" cm="1">
        <f t="array" ref="AA1717">INDEX(Innings!I:I,MATCH(1,(TRIM(Innings!A:A)=TRIM(A1717))*(TRIM(Innings!D:D)=TRIM(E1717)),0))</f>
        <v>7.7</v>
      </c>
      <c r="AB1717" cm="1">
        <f t="array" ref="AB1717">INDEX(Innings!J:J,MATCH(1,(TRIM(Innings!A:A)=TRIM(A1717))*(TRIM(Innings!D:D)=TRIM(E1717)),0))</f>
        <v>23</v>
      </c>
      <c r="AC1717" cm="1">
        <f t="array" ref="AC1717">INDEX(Innings!N:N,MATCH(1,(TRIM(Innings!A:A)=TRIM(A1717))*(TRIM(Innings!D:D)=TRIM(E1717)),0))</f>
        <v>35</v>
      </c>
      <c r="AD1717" cm="1">
        <f t="array" ref="AD1717">INDEX(Innings!S:S,MATCH(1,(TRIM(Innings!A:A)=TRIM(A1717))*(TRIM(Innings!D:D)=TRIM(E1717)),0))</f>
        <v>30</v>
      </c>
      <c r="AE1717" t="str" cm="1">
        <f t="array" ref="AE1717">INDEX(Innings!W:W,MATCH(1,(TRIM(Innings!A:A)=TRIM(A1717))*(TRIM(Innings!D:D)=TRIM(E1717)),0))</f>
        <v>NA</v>
      </c>
      <c r="AF1717">
        <f>IF(UPPER(TRIM(E1717))=UPPER(TRIM(W1717)),1,0)</f>
        <v>0</v>
      </c>
      <c r="AG1717">
        <f t="shared" si="52"/>
        <v>5.3</v>
      </c>
    </row>
    <row r="1718" spans="1:33" x14ac:dyDescent="0.3">
      <c r="A1718" t="s">
        <v>613</v>
      </c>
      <c r="B1718">
        <v>4</v>
      </c>
      <c r="C1718" t="s">
        <v>112</v>
      </c>
      <c r="D1718" t="s">
        <v>88</v>
      </c>
      <c r="E1718" t="s">
        <v>266</v>
      </c>
      <c r="F1718" t="s">
        <v>169</v>
      </c>
      <c r="G1718" t="s">
        <v>86</v>
      </c>
      <c r="H1718">
        <v>12</v>
      </c>
      <c r="I1718">
        <v>15</v>
      </c>
      <c r="J1718">
        <v>80</v>
      </c>
      <c r="K1718" t="s">
        <v>245</v>
      </c>
      <c r="L1718">
        <v>7</v>
      </c>
      <c r="M1718">
        <v>2</v>
      </c>
      <c r="N1718">
        <v>0</v>
      </c>
      <c r="O1718">
        <v>19</v>
      </c>
      <c r="P1718">
        <v>0</v>
      </c>
      <c r="Q1718">
        <v>9.5</v>
      </c>
      <c r="R1718">
        <v>-5</v>
      </c>
      <c r="S1718">
        <v>0</v>
      </c>
      <c r="T1718">
        <v>0</v>
      </c>
      <c r="U1718" s="8">
        <v>2</v>
      </c>
      <c r="V1718" s="8">
        <f t="shared" si="53"/>
        <v>0</v>
      </c>
      <c r="W1718" t="str">
        <f>_xlfn.XLOOKUP(A1718, Matches!A:A, Matches!L:L, "NA", 0)</f>
        <v>DCW</v>
      </c>
      <c r="X1718" t="str">
        <f>_xlfn.XLOOKUP(A1718, Matches!A:A, Matches!J:J, "NA", 0)</f>
        <v>DCW</v>
      </c>
      <c r="Y1718" t="str">
        <f>_xlfn.XLOOKUP(A1718, Matches!A:A, Matches!F:F, "NA", 0)</f>
        <v>BCA Stadium, Kotambi</v>
      </c>
      <c r="Z1718" cm="1">
        <f t="array" ref="Z1718">INDEX(Innings!F:F,MATCH(1,(TRIM(Innings!A:A)=TRIM(A1718))*(TRIM(Innings!D:D)=TRIM(E1718)),0))</f>
        <v>154</v>
      </c>
      <c r="AA1718" cm="1">
        <f t="array" ref="AA1718">INDEX(Innings!I:I,MATCH(1,(TRIM(Innings!A:A)=TRIM(A1718))*(TRIM(Innings!D:D)=TRIM(E1718)),0))</f>
        <v>7.7</v>
      </c>
      <c r="AB1718" cm="1">
        <f t="array" ref="AB1718">INDEX(Innings!J:J,MATCH(1,(TRIM(Innings!A:A)=TRIM(A1718))*(TRIM(Innings!D:D)=TRIM(E1718)),0))</f>
        <v>23</v>
      </c>
      <c r="AC1718" cm="1">
        <f t="array" ref="AC1718">INDEX(Innings!N:N,MATCH(1,(TRIM(Innings!A:A)=TRIM(A1718))*(TRIM(Innings!D:D)=TRIM(E1718)),0))</f>
        <v>35</v>
      </c>
      <c r="AD1718" cm="1">
        <f t="array" ref="AD1718">INDEX(Innings!S:S,MATCH(1,(TRIM(Innings!A:A)=TRIM(A1718))*(TRIM(Innings!D:D)=TRIM(E1718)),0))</f>
        <v>30</v>
      </c>
      <c r="AE1718" t="str" cm="1">
        <f t="array" ref="AE1718">INDEX(Innings!W:W,MATCH(1,(TRIM(Innings!A:A)=TRIM(A1718))*(TRIM(Innings!D:D)=TRIM(E1718)),0))</f>
        <v>NA</v>
      </c>
      <c r="AF1718">
        <f>IF(UPPER(TRIM(E1718))=UPPER(TRIM(W1718)),1,0)</f>
        <v>0</v>
      </c>
      <c r="AG1718">
        <f t="shared" si="52"/>
        <v>1</v>
      </c>
    </row>
    <row r="1719" spans="1:33" x14ac:dyDescent="0.3">
      <c r="A1719" t="s">
        <v>613</v>
      </c>
      <c r="B1719">
        <v>4</v>
      </c>
      <c r="C1719" t="s">
        <v>117</v>
      </c>
      <c r="D1719" t="s">
        <v>90</v>
      </c>
      <c r="E1719" t="s">
        <v>266</v>
      </c>
      <c r="F1719" t="s">
        <v>169</v>
      </c>
      <c r="G1719" t="s">
        <v>92</v>
      </c>
      <c r="H1719">
        <v>65</v>
      </c>
      <c r="I1719">
        <v>45</v>
      </c>
      <c r="J1719">
        <v>144.44</v>
      </c>
      <c r="K1719" t="s">
        <v>96</v>
      </c>
      <c r="L1719">
        <v>85</v>
      </c>
      <c r="M1719">
        <v>4</v>
      </c>
      <c r="N1719">
        <v>0</v>
      </c>
      <c r="O1719">
        <v>42</v>
      </c>
      <c r="P1719">
        <v>0</v>
      </c>
      <c r="Q1719">
        <v>10.5</v>
      </c>
      <c r="R1719">
        <v>-5</v>
      </c>
      <c r="S1719">
        <v>0</v>
      </c>
      <c r="T1719">
        <v>0</v>
      </c>
      <c r="U1719" s="8">
        <v>80</v>
      </c>
      <c r="V1719" s="8">
        <f t="shared" si="53"/>
        <v>8</v>
      </c>
      <c r="W1719" t="str">
        <f>_xlfn.XLOOKUP(A1719, Matches!A:A, Matches!L:L, "NA", 0)</f>
        <v>DCW</v>
      </c>
      <c r="X1719" t="str">
        <f>_xlfn.XLOOKUP(A1719, Matches!A:A, Matches!J:J, "NA", 0)</f>
        <v>DCW</v>
      </c>
      <c r="Y1719" t="str">
        <f>_xlfn.XLOOKUP(A1719, Matches!A:A, Matches!F:F, "NA", 0)</f>
        <v>BCA Stadium, Kotambi</v>
      </c>
      <c r="Z1719" cm="1">
        <f t="array" ref="Z1719">INDEX(Innings!F:F,MATCH(1,(TRIM(Innings!A:A)=TRIM(A1719))*(TRIM(Innings!D:D)=TRIM(E1719)),0))</f>
        <v>154</v>
      </c>
      <c r="AA1719" cm="1">
        <f t="array" ref="AA1719">INDEX(Innings!I:I,MATCH(1,(TRIM(Innings!A:A)=TRIM(A1719))*(TRIM(Innings!D:D)=TRIM(E1719)),0))</f>
        <v>7.7</v>
      </c>
      <c r="AB1719" cm="1">
        <f t="array" ref="AB1719">INDEX(Innings!J:J,MATCH(1,(TRIM(Innings!A:A)=TRIM(A1719))*(TRIM(Innings!D:D)=TRIM(E1719)),0))</f>
        <v>23</v>
      </c>
      <c r="AC1719" cm="1">
        <f t="array" ref="AC1719">INDEX(Innings!N:N,MATCH(1,(TRIM(Innings!A:A)=TRIM(A1719))*(TRIM(Innings!D:D)=TRIM(E1719)),0))</f>
        <v>35</v>
      </c>
      <c r="AD1719" cm="1">
        <f t="array" ref="AD1719">INDEX(Innings!S:S,MATCH(1,(TRIM(Innings!A:A)=TRIM(A1719))*(TRIM(Innings!D:D)=TRIM(E1719)),0))</f>
        <v>30</v>
      </c>
      <c r="AE1719" t="str" cm="1">
        <f t="array" ref="AE1719">INDEX(Innings!W:W,MATCH(1,(TRIM(Innings!A:A)=TRIM(A1719))*(TRIM(Innings!D:D)=TRIM(E1719)),0))</f>
        <v>NA</v>
      </c>
      <c r="AF1719">
        <f>IF(UPPER(TRIM(E1719))=UPPER(TRIM(W1719)),1,0)</f>
        <v>0</v>
      </c>
      <c r="AG1719">
        <f t="shared" si="52"/>
        <v>42.4</v>
      </c>
    </row>
    <row r="1720" spans="1:33" x14ac:dyDescent="0.3">
      <c r="A1720" t="s">
        <v>613</v>
      </c>
      <c r="B1720">
        <v>4</v>
      </c>
      <c r="C1720" t="s">
        <v>115</v>
      </c>
      <c r="D1720" t="s">
        <v>17</v>
      </c>
      <c r="E1720" t="s">
        <v>266</v>
      </c>
      <c r="F1720" t="s">
        <v>169</v>
      </c>
      <c r="G1720" t="s">
        <v>92</v>
      </c>
      <c r="H1720">
        <v>41</v>
      </c>
      <c r="I1720">
        <v>33</v>
      </c>
      <c r="J1720">
        <v>124.24</v>
      </c>
      <c r="K1720" t="s">
        <v>246</v>
      </c>
      <c r="L1720">
        <v>55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 s="8">
        <v>55</v>
      </c>
      <c r="V1720" s="8">
        <f t="shared" si="53"/>
        <v>6</v>
      </c>
      <c r="W1720" t="str">
        <f>_xlfn.XLOOKUP(A1720, Matches!A:A, Matches!L:L, "NA", 0)</f>
        <v>DCW</v>
      </c>
      <c r="X1720" t="str">
        <f>_xlfn.XLOOKUP(A1720, Matches!A:A, Matches!J:J, "NA", 0)</f>
        <v>DCW</v>
      </c>
      <c r="Y1720" t="str">
        <f>_xlfn.XLOOKUP(A1720, Matches!A:A, Matches!F:F, "NA", 0)</f>
        <v>BCA Stadium, Kotambi</v>
      </c>
      <c r="Z1720" cm="1">
        <f t="array" ref="Z1720">INDEX(Innings!F:F,MATCH(1,(TRIM(Innings!A:A)=TRIM(A1720))*(TRIM(Innings!D:D)=TRIM(E1720)),0))</f>
        <v>154</v>
      </c>
      <c r="AA1720" cm="1">
        <f t="array" ref="AA1720">INDEX(Innings!I:I,MATCH(1,(TRIM(Innings!A:A)=TRIM(A1720))*(TRIM(Innings!D:D)=TRIM(E1720)),0))</f>
        <v>7.7</v>
      </c>
      <c r="AB1720" cm="1">
        <f t="array" ref="AB1720">INDEX(Innings!J:J,MATCH(1,(TRIM(Innings!A:A)=TRIM(A1720))*(TRIM(Innings!D:D)=TRIM(E1720)),0))</f>
        <v>23</v>
      </c>
      <c r="AC1720" cm="1">
        <f t="array" ref="AC1720">INDEX(Innings!N:N,MATCH(1,(TRIM(Innings!A:A)=TRIM(A1720))*(TRIM(Innings!D:D)=TRIM(E1720)),0))</f>
        <v>35</v>
      </c>
      <c r="AD1720" cm="1">
        <f t="array" ref="AD1720">INDEX(Innings!S:S,MATCH(1,(TRIM(Innings!A:A)=TRIM(A1720))*(TRIM(Innings!D:D)=TRIM(E1720)),0))</f>
        <v>30</v>
      </c>
      <c r="AE1720" t="str" cm="1">
        <f t="array" ref="AE1720">INDEX(Innings!W:W,MATCH(1,(TRIM(Innings!A:A)=TRIM(A1720))*(TRIM(Innings!D:D)=TRIM(E1720)),0))</f>
        <v>NA</v>
      </c>
      <c r="AF1720">
        <f>IF(UPPER(TRIM(E1720))=UPPER(TRIM(W1720)),1,0)</f>
        <v>0</v>
      </c>
      <c r="AG1720">
        <f t="shared" si="52"/>
        <v>29.3</v>
      </c>
    </row>
    <row r="1721" spans="1:33" x14ac:dyDescent="0.3">
      <c r="A1721" t="s">
        <v>613</v>
      </c>
      <c r="B1721">
        <v>4</v>
      </c>
      <c r="C1721" t="s">
        <v>517</v>
      </c>
      <c r="D1721" t="s">
        <v>626</v>
      </c>
      <c r="E1721" t="s">
        <v>266</v>
      </c>
      <c r="F1721" t="s">
        <v>169</v>
      </c>
      <c r="G1721" t="s">
        <v>134</v>
      </c>
      <c r="H1721">
        <v>12</v>
      </c>
      <c r="I1721">
        <v>11</v>
      </c>
      <c r="J1721">
        <v>109.09</v>
      </c>
      <c r="K1721" t="s">
        <v>246</v>
      </c>
      <c r="L1721">
        <v>15</v>
      </c>
      <c r="M1721">
        <v>1</v>
      </c>
      <c r="N1721">
        <v>0</v>
      </c>
      <c r="O1721">
        <v>13</v>
      </c>
      <c r="P1721">
        <v>0</v>
      </c>
      <c r="Q1721">
        <v>13</v>
      </c>
      <c r="R1721">
        <v>-10</v>
      </c>
      <c r="S1721">
        <v>0</v>
      </c>
      <c r="T1721">
        <v>0</v>
      </c>
      <c r="U1721" s="8">
        <v>5</v>
      </c>
      <c r="V1721" s="8">
        <f t="shared" si="53"/>
        <v>1</v>
      </c>
      <c r="W1721" t="str">
        <f>_xlfn.XLOOKUP(A1721, Matches!A:A, Matches!L:L, "NA", 0)</f>
        <v>DCW</v>
      </c>
      <c r="X1721" t="str">
        <f>_xlfn.XLOOKUP(A1721, Matches!A:A, Matches!J:J, "NA", 0)</f>
        <v>DCW</v>
      </c>
      <c r="Y1721" t="str">
        <f>_xlfn.XLOOKUP(A1721, Matches!A:A, Matches!F:F, "NA", 0)</f>
        <v>BCA Stadium, Kotambi</v>
      </c>
      <c r="Z1721" cm="1">
        <f t="array" ref="Z1721">INDEX(Innings!F:F,MATCH(1,(TRIM(Innings!A:A)=TRIM(A1721))*(TRIM(Innings!D:D)=TRIM(E1721)),0))</f>
        <v>154</v>
      </c>
      <c r="AA1721" cm="1">
        <f t="array" ref="AA1721">INDEX(Innings!I:I,MATCH(1,(TRIM(Innings!A:A)=TRIM(A1721))*(TRIM(Innings!D:D)=TRIM(E1721)),0))</f>
        <v>7.7</v>
      </c>
      <c r="AB1721" cm="1">
        <f t="array" ref="AB1721">INDEX(Innings!J:J,MATCH(1,(TRIM(Innings!A:A)=TRIM(A1721))*(TRIM(Innings!D:D)=TRIM(E1721)),0))</f>
        <v>23</v>
      </c>
      <c r="AC1721" cm="1">
        <f t="array" ref="AC1721">INDEX(Innings!N:N,MATCH(1,(TRIM(Innings!A:A)=TRIM(A1721))*(TRIM(Innings!D:D)=TRIM(E1721)),0))</f>
        <v>35</v>
      </c>
      <c r="AD1721" cm="1">
        <f t="array" ref="AD1721">INDEX(Innings!S:S,MATCH(1,(TRIM(Innings!A:A)=TRIM(A1721))*(TRIM(Innings!D:D)=TRIM(E1721)),0))</f>
        <v>30</v>
      </c>
      <c r="AE1721" t="str" cm="1">
        <f t="array" ref="AE1721">INDEX(Innings!W:W,MATCH(1,(TRIM(Innings!A:A)=TRIM(A1721))*(TRIM(Innings!D:D)=TRIM(E1721)),0))</f>
        <v>NA</v>
      </c>
      <c r="AF1721">
        <f>IF(UPPER(TRIM(E1721))=UPPER(TRIM(W1721)),1,0)</f>
        <v>0</v>
      </c>
      <c r="AG1721">
        <f t="shared" si="52"/>
        <v>2.8</v>
      </c>
    </row>
    <row r="1722" spans="1:33" x14ac:dyDescent="0.3">
      <c r="A1722" t="s">
        <v>613</v>
      </c>
      <c r="B1722">
        <v>4</v>
      </c>
      <c r="C1722" t="s">
        <v>121</v>
      </c>
      <c r="D1722" t="s">
        <v>108</v>
      </c>
      <c r="E1722" t="s">
        <v>266</v>
      </c>
      <c r="F1722" t="s">
        <v>169</v>
      </c>
      <c r="G1722" t="s">
        <v>134</v>
      </c>
      <c r="H1722">
        <v>3</v>
      </c>
      <c r="I1722">
        <v>3</v>
      </c>
      <c r="J1722">
        <v>100</v>
      </c>
      <c r="K1722" t="s">
        <v>246</v>
      </c>
      <c r="L1722">
        <v>3</v>
      </c>
      <c r="M1722">
        <v>3</v>
      </c>
      <c r="N1722">
        <v>0</v>
      </c>
      <c r="O1722">
        <v>21</v>
      </c>
      <c r="P1722">
        <v>1</v>
      </c>
      <c r="Q1722">
        <v>7</v>
      </c>
      <c r="R1722">
        <v>25</v>
      </c>
      <c r="S1722">
        <v>0</v>
      </c>
      <c r="T1722">
        <v>0</v>
      </c>
      <c r="U1722" s="8">
        <v>28</v>
      </c>
      <c r="V1722" s="8">
        <f t="shared" si="53"/>
        <v>3</v>
      </c>
      <c r="W1722" t="str">
        <f>_xlfn.XLOOKUP(A1722, Matches!A:A, Matches!L:L, "NA", 0)</f>
        <v>DCW</v>
      </c>
      <c r="X1722" t="str">
        <f>_xlfn.XLOOKUP(A1722, Matches!A:A, Matches!J:J, "NA", 0)</f>
        <v>DCW</v>
      </c>
      <c r="Y1722" t="str">
        <f>_xlfn.XLOOKUP(A1722, Matches!A:A, Matches!F:F, "NA", 0)</f>
        <v>BCA Stadium, Kotambi</v>
      </c>
      <c r="Z1722" cm="1">
        <f t="array" ref="Z1722">INDEX(Innings!F:F,MATCH(1,(TRIM(Innings!A:A)=TRIM(A1722))*(TRIM(Innings!D:D)=TRIM(E1722)),0))</f>
        <v>154</v>
      </c>
      <c r="AA1722" cm="1">
        <f t="array" ref="AA1722">INDEX(Innings!I:I,MATCH(1,(TRIM(Innings!A:A)=TRIM(A1722))*(TRIM(Innings!D:D)=TRIM(E1722)),0))</f>
        <v>7.7</v>
      </c>
      <c r="AB1722" cm="1">
        <f t="array" ref="AB1722">INDEX(Innings!J:J,MATCH(1,(TRIM(Innings!A:A)=TRIM(A1722))*(TRIM(Innings!D:D)=TRIM(E1722)),0))</f>
        <v>23</v>
      </c>
      <c r="AC1722" cm="1">
        <f t="array" ref="AC1722">INDEX(Innings!N:N,MATCH(1,(TRIM(Innings!A:A)=TRIM(A1722))*(TRIM(Innings!D:D)=TRIM(E1722)),0))</f>
        <v>35</v>
      </c>
      <c r="AD1722" cm="1">
        <f t="array" ref="AD1722">INDEX(Innings!S:S,MATCH(1,(TRIM(Innings!A:A)=TRIM(A1722))*(TRIM(Innings!D:D)=TRIM(E1722)),0))</f>
        <v>30</v>
      </c>
      <c r="AE1722" t="str" cm="1">
        <f t="array" ref="AE1722">INDEX(Innings!W:W,MATCH(1,(TRIM(Innings!A:A)=TRIM(A1722))*(TRIM(Innings!D:D)=TRIM(E1722)),0))</f>
        <v>NA</v>
      </c>
      <c r="AF1722">
        <f>IF(UPPER(TRIM(E1722))=UPPER(TRIM(W1722)),1,0)</f>
        <v>0</v>
      </c>
      <c r="AG1722">
        <f t="shared" si="52"/>
        <v>14.9</v>
      </c>
    </row>
    <row r="1723" spans="1:33" x14ac:dyDescent="0.3">
      <c r="A1723" t="s">
        <v>613</v>
      </c>
      <c r="B1723">
        <v>4</v>
      </c>
      <c r="C1723" t="s">
        <v>507</v>
      </c>
      <c r="D1723" t="s">
        <v>519</v>
      </c>
      <c r="E1723" t="s">
        <v>266</v>
      </c>
      <c r="F1723" t="s">
        <v>101</v>
      </c>
      <c r="G1723" t="s">
        <v>134</v>
      </c>
      <c r="H1723">
        <v>10</v>
      </c>
      <c r="I1723">
        <v>5</v>
      </c>
      <c r="J1723">
        <v>200</v>
      </c>
      <c r="K1723" t="s">
        <v>96</v>
      </c>
      <c r="L1723">
        <v>20</v>
      </c>
      <c r="M1723">
        <v>1</v>
      </c>
      <c r="N1723">
        <v>0</v>
      </c>
      <c r="O1723">
        <v>13</v>
      </c>
      <c r="P1723">
        <v>0</v>
      </c>
      <c r="Q1723">
        <v>13</v>
      </c>
      <c r="R1723">
        <v>-10</v>
      </c>
      <c r="S1723">
        <v>0</v>
      </c>
      <c r="T1723">
        <v>0</v>
      </c>
      <c r="U1723" s="8">
        <v>10</v>
      </c>
      <c r="V1723" s="8">
        <f t="shared" si="53"/>
        <v>1</v>
      </c>
      <c r="W1723" t="str">
        <f>_xlfn.XLOOKUP(A1723, Matches!A:A, Matches!L:L, "NA", 0)</f>
        <v>DCW</v>
      </c>
      <c r="X1723" t="str">
        <f>_xlfn.XLOOKUP(A1723, Matches!A:A, Matches!J:J, "NA", 0)</f>
        <v>DCW</v>
      </c>
      <c r="Y1723" t="str">
        <f>_xlfn.XLOOKUP(A1723, Matches!A:A, Matches!F:F, "NA", 0)</f>
        <v>BCA Stadium, Kotambi</v>
      </c>
      <c r="Z1723" cm="1">
        <f t="array" ref="Z1723">INDEX(Innings!F:F,MATCH(1,(TRIM(Innings!A:A)=TRIM(A1723))*(TRIM(Innings!D:D)=TRIM(E1723)),0))</f>
        <v>154</v>
      </c>
      <c r="AA1723" cm="1">
        <f t="array" ref="AA1723">INDEX(Innings!I:I,MATCH(1,(TRIM(Innings!A:A)=TRIM(A1723))*(TRIM(Innings!D:D)=TRIM(E1723)),0))</f>
        <v>7.7</v>
      </c>
      <c r="AB1723" cm="1">
        <f t="array" ref="AB1723">INDEX(Innings!J:J,MATCH(1,(TRIM(Innings!A:A)=TRIM(A1723))*(TRIM(Innings!D:D)=TRIM(E1723)),0))</f>
        <v>23</v>
      </c>
      <c r="AC1723" cm="1">
        <f t="array" ref="AC1723">INDEX(Innings!N:N,MATCH(1,(TRIM(Innings!A:A)=TRIM(A1723))*(TRIM(Innings!D:D)=TRIM(E1723)),0))</f>
        <v>35</v>
      </c>
      <c r="AD1723" cm="1">
        <f t="array" ref="AD1723">INDEX(Innings!S:S,MATCH(1,(TRIM(Innings!A:A)=TRIM(A1723))*(TRIM(Innings!D:D)=TRIM(E1723)),0))</f>
        <v>30</v>
      </c>
      <c r="AE1723" t="str" cm="1">
        <f t="array" ref="AE1723">INDEX(Innings!W:W,MATCH(1,(TRIM(Innings!A:A)=TRIM(A1723))*(TRIM(Innings!D:D)=TRIM(E1723)),0))</f>
        <v>NA</v>
      </c>
      <c r="AF1723">
        <f>IF(UPPER(TRIM(E1723))=UPPER(TRIM(W1723)),1,0)</f>
        <v>0</v>
      </c>
      <c r="AG1723">
        <f t="shared" si="52"/>
        <v>5.3</v>
      </c>
    </row>
    <row r="1724" spans="1:33" x14ac:dyDescent="0.3">
      <c r="A1724" t="s">
        <v>613</v>
      </c>
      <c r="B1724">
        <v>4</v>
      </c>
      <c r="C1724" t="s">
        <v>583</v>
      </c>
      <c r="D1724" t="s">
        <v>670</v>
      </c>
      <c r="E1724" t="s">
        <v>266</v>
      </c>
      <c r="F1724" t="s">
        <v>85</v>
      </c>
      <c r="G1724" t="s">
        <v>104</v>
      </c>
      <c r="H1724">
        <v>0</v>
      </c>
      <c r="I1724">
        <v>0</v>
      </c>
      <c r="J1724">
        <v>0</v>
      </c>
      <c r="K1724" t="s">
        <v>104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 s="8">
        <v>0</v>
      </c>
      <c r="V1724" s="8">
        <f t="shared" si="53"/>
        <v>0</v>
      </c>
      <c r="W1724" t="str">
        <f>_xlfn.XLOOKUP(A1724, Matches!A:A, Matches!L:L, "NA", 0)</f>
        <v>DCW</v>
      </c>
      <c r="X1724" t="str">
        <f>_xlfn.XLOOKUP(A1724, Matches!A:A, Matches!J:J, "NA", 0)</f>
        <v>DCW</v>
      </c>
      <c r="Y1724" t="str">
        <f>_xlfn.XLOOKUP(A1724, Matches!A:A, Matches!F:F, "NA", 0)</f>
        <v>BCA Stadium, Kotambi</v>
      </c>
      <c r="Z1724" cm="1">
        <f t="array" ref="Z1724">INDEX(Innings!F:F,MATCH(1,(TRIM(Innings!A:A)=TRIM(A1724))*(TRIM(Innings!D:D)=TRIM(E1724)),0))</f>
        <v>154</v>
      </c>
      <c r="AA1724" cm="1">
        <f t="array" ref="AA1724">INDEX(Innings!I:I,MATCH(1,(TRIM(Innings!A:A)=TRIM(A1724))*(TRIM(Innings!D:D)=TRIM(E1724)),0))</f>
        <v>7.7</v>
      </c>
      <c r="AB1724" cm="1">
        <f t="array" ref="AB1724">INDEX(Innings!J:J,MATCH(1,(TRIM(Innings!A:A)=TRIM(A1724))*(TRIM(Innings!D:D)=TRIM(E1724)),0))</f>
        <v>23</v>
      </c>
      <c r="AC1724" cm="1">
        <f t="array" ref="AC1724">INDEX(Innings!N:N,MATCH(1,(TRIM(Innings!A:A)=TRIM(A1724))*(TRIM(Innings!D:D)=TRIM(E1724)),0))</f>
        <v>35</v>
      </c>
      <c r="AD1724" cm="1">
        <f t="array" ref="AD1724">INDEX(Innings!S:S,MATCH(1,(TRIM(Innings!A:A)=TRIM(A1724))*(TRIM(Innings!D:D)=TRIM(E1724)),0))</f>
        <v>30</v>
      </c>
      <c r="AE1724" t="str" cm="1">
        <f t="array" ref="AE1724">INDEX(Innings!W:W,MATCH(1,(TRIM(Innings!A:A)=TRIM(A1724))*(TRIM(Innings!D:D)=TRIM(E1724)),0))</f>
        <v>NA</v>
      </c>
      <c r="AF1724">
        <f>IF(UPPER(TRIM(E1724))=UPPER(TRIM(W1724)),1,0)</f>
        <v>0</v>
      </c>
      <c r="AG1724">
        <f t="shared" si="52"/>
        <v>0</v>
      </c>
    </row>
    <row r="1725" spans="1:33" x14ac:dyDescent="0.3">
      <c r="A1725" t="s">
        <v>613</v>
      </c>
      <c r="B1725">
        <v>4</v>
      </c>
      <c r="C1725" t="s">
        <v>585</v>
      </c>
      <c r="D1725" t="s">
        <v>672</v>
      </c>
      <c r="E1725" t="s">
        <v>266</v>
      </c>
      <c r="F1725" t="s">
        <v>169</v>
      </c>
      <c r="G1725" t="s">
        <v>104</v>
      </c>
      <c r="H1725">
        <v>0</v>
      </c>
      <c r="I1725">
        <v>0</v>
      </c>
      <c r="J1725">
        <v>0</v>
      </c>
      <c r="K1725" t="s">
        <v>104</v>
      </c>
      <c r="L1725">
        <v>0</v>
      </c>
      <c r="M1725">
        <v>4</v>
      </c>
      <c r="N1725">
        <v>0</v>
      </c>
      <c r="O1725">
        <v>20</v>
      </c>
      <c r="P1725">
        <v>1</v>
      </c>
      <c r="Q1725">
        <v>5</v>
      </c>
      <c r="R1725">
        <v>35</v>
      </c>
      <c r="S1725">
        <v>0</v>
      </c>
      <c r="T1725">
        <v>0</v>
      </c>
      <c r="U1725" s="8">
        <v>35</v>
      </c>
      <c r="V1725" s="8">
        <f t="shared" si="53"/>
        <v>4</v>
      </c>
      <c r="W1725" t="str">
        <f>_xlfn.XLOOKUP(A1725, Matches!A:A, Matches!L:L, "NA", 0)</f>
        <v>DCW</v>
      </c>
      <c r="X1725" t="str">
        <f>_xlfn.XLOOKUP(A1725, Matches!A:A, Matches!J:J, "NA", 0)</f>
        <v>DCW</v>
      </c>
      <c r="Y1725" t="str">
        <f>_xlfn.XLOOKUP(A1725, Matches!A:A, Matches!F:F, "NA", 0)</f>
        <v>BCA Stadium, Kotambi</v>
      </c>
      <c r="Z1725" cm="1">
        <f t="array" ref="Z1725">INDEX(Innings!F:F,MATCH(1,(TRIM(Innings!A:A)=TRIM(A1725))*(TRIM(Innings!D:D)=TRIM(E1725)),0))</f>
        <v>154</v>
      </c>
      <c r="AA1725" cm="1">
        <f t="array" ref="AA1725">INDEX(Innings!I:I,MATCH(1,(TRIM(Innings!A:A)=TRIM(A1725))*(TRIM(Innings!D:D)=TRIM(E1725)),0))</f>
        <v>7.7</v>
      </c>
      <c r="AB1725" cm="1">
        <f t="array" ref="AB1725">INDEX(Innings!J:J,MATCH(1,(TRIM(Innings!A:A)=TRIM(A1725))*(TRIM(Innings!D:D)=TRIM(E1725)),0))</f>
        <v>23</v>
      </c>
      <c r="AC1725" cm="1">
        <f t="array" ref="AC1725">INDEX(Innings!N:N,MATCH(1,(TRIM(Innings!A:A)=TRIM(A1725))*(TRIM(Innings!D:D)=TRIM(E1725)),0))</f>
        <v>35</v>
      </c>
      <c r="AD1725" cm="1">
        <f t="array" ref="AD1725">INDEX(Innings!S:S,MATCH(1,(TRIM(Innings!A:A)=TRIM(A1725))*(TRIM(Innings!D:D)=TRIM(E1725)),0))</f>
        <v>30</v>
      </c>
      <c r="AE1725" t="str" cm="1">
        <f t="array" ref="AE1725">INDEX(Innings!W:W,MATCH(1,(TRIM(Innings!A:A)=TRIM(A1725))*(TRIM(Innings!D:D)=TRIM(E1725)),0))</f>
        <v>NA</v>
      </c>
      <c r="AF1725">
        <f>IF(UPPER(TRIM(E1725))=UPPER(TRIM(W1725)),1,0)</f>
        <v>0</v>
      </c>
      <c r="AG1725">
        <f t="shared" si="52"/>
        <v>18.7</v>
      </c>
    </row>
    <row r="1726" spans="1:33" x14ac:dyDescent="0.3">
      <c r="A1726" t="s">
        <v>613</v>
      </c>
      <c r="B1726">
        <v>4</v>
      </c>
      <c r="C1726" t="s">
        <v>273</v>
      </c>
      <c r="D1726" t="s">
        <v>279</v>
      </c>
      <c r="E1726" t="s">
        <v>266</v>
      </c>
      <c r="F1726" t="s">
        <v>169</v>
      </c>
      <c r="G1726" t="s">
        <v>104</v>
      </c>
      <c r="H1726">
        <v>0</v>
      </c>
      <c r="I1726">
        <v>0</v>
      </c>
      <c r="J1726">
        <v>0</v>
      </c>
      <c r="K1726" t="s">
        <v>104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 s="8">
        <v>0</v>
      </c>
      <c r="V1726" s="8">
        <f t="shared" si="53"/>
        <v>0</v>
      </c>
      <c r="W1726" t="str">
        <f>_xlfn.XLOOKUP(A1726, Matches!A:A, Matches!L:L, "NA", 0)</f>
        <v>DCW</v>
      </c>
      <c r="X1726" t="str">
        <f>_xlfn.XLOOKUP(A1726, Matches!A:A, Matches!J:J, "NA", 0)</f>
        <v>DCW</v>
      </c>
      <c r="Y1726" t="str">
        <f>_xlfn.XLOOKUP(A1726, Matches!A:A, Matches!F:F, "NA", 0)</f>
        <v>BCA Stadium, Kotambi</v>
      </c>
      <c r="Z1726" cm="1">
        <f t="array" ref="Z1726">INDEX(Innings!F:F,MATCH(1,(TRIM(Innings!A:A)=TRIM(A1726))*(TRIM(Innings!D:D)=TRIM(E1726)),0))</f>
        <v>154</v>
      </c>
      <c r="AA1726" cm="1">
        <f t="array" ref="AA1726">INDEX(Innings!I:I,MATCH(1,(TRIM(Innings!A:A)=TRIM(A1726))*(TRIM(Innings!D:D)=TRIM(E1726)),0))</f>
        <v>7.7</v>
      </c>
      <c r="AB1726" cm="1">
        <f t="array" ref="AB1726">INDEX(Innings!J:J,MATCH(1,(TRIM(Innings!A:A)=TRIM(A1726))*(TRIM(Innings!D:D)=TRIM(E1726)),0))</f>
        <v>23</v>
      </c>
      <c r="AC1726" cm="1">
        <f t="array" ref="AC1726">INDEX(Innings!N:N,MATCH(1,(TRIM(Innings!A:A)=TRIM(A1726))*(TRIM(Innings!D:D)=TRIM(E1726)),0))</f>
        <v>35</v>
      </c>
      <c r="AD1726" cm="1">
        <f t="array" ref="AD1726">INDEX(Innings!S:S,MATCH(1,(TRIM(Innings!A:A)=TRIM(A1726))*(TRIM(Innings!D:D)=TRIM(E1726)),0))</f>
        <v>30</v>
      </c>
      <c r="AE1726" t="str" cm="1">
        <f t="array" ref="AE1726">INDEX(Innings!W:W,MATCH(1,(TRIM(Innings!A:A)=TRIM(A1726))*(TRIM(Innings!D:D)=TRIM(E1726)),0))</f>
        <v>NA</v>
      </c>
      <c r="AF1726">
        <f>IF(UPPER(TRIM(E1726))=UPPER(TRIM(W1726)),1,0)</f>
        <v>0</v>
      </c>
      <c r="AG1726">
        <f t="shared" si="52"/>
        <v>0</v>
      </c>
    </row>
    <row r="1727" spans="1:33" x14ac:dyDescent="0.3">
      <c r="A1727" t="s">
        <v>613</v>
      </c>
      <c r="B1727">
        <v>4</v>
      </c>
      <c r="C1727" t="s">
        <v>265</v>
      </c>
      <c r="D1727" t="s">
        <v>264</v>
      </c>
      <c r="E1727" t="s">
        <v>266</v>
      </c>
      <c r="F1727" t="s">
        <v>101</v>
      </c>
      <c r="G1727" t="s">
        <v>104</v>
      </c>
      <c r="H1727">
        <v>0</v>
      </c>
      <c r="I1727">
        <v>0</v>
      </c>
      <c r="J1727">
        <v>0</v>
      </c>
      <c r="K1727" t="s">
        <v>104</v>
      </c>
      <c r="L1727">
        <v>0</v>
      </c>
      <c r="M1727">
        <v>4</v>
      </c>
      <c r="N1727">
        <v>0</v>
      </c>
      <c r="O1727">
        <v>26</v>
      </c>
      <c r="P1727">
        <v>0</v>
      </c>
      <c r="Q1727">
        <v>6.5</v>
      </c>
      <c r="R1727">
        <v>10</v>
      </c>
      <c r="S1727">
        <v>0</v>
      </c>
      <c r="T1727">
        <v>0</v>
      </c>
      <c r="U1727" s="8">
        <v>10</v>
      </c>
      <c r="V1727" s="8">
        <f t="shared" si="53"/>
        <v>1</v>
      </c>
      <c r="W1727" t="str">
        <f>_xlfn.XLOOKUP(A1727, Matches!A:A, Matches!L:L, "NA", 0)</f>
        <v>DCW</v>
      </c>
      <c r="X1727" t="str">
        <f>_xlfn.XLOOKUP(A1727, Matches!A:A, Matches!J:J, "NA", 0)</f>
        <v>DCW</v>
      </c>
      <c r="Y1727" t="str">
        <f>_xlfn.XLOOKUP(A1727, Matches!A:A, Matches!F:F, "NA", 0)</f>
        <v>BCA Stadium, Kotambi</v>
      </c>
      <c r="Z1727" cm="1">
        <f t="array" ref="Z1727">INDEX(Innings!F:F,MATCH(1,(TRIM(Innings!A:A)=TRIM(A1727))*(TRIM(Innings!D:D)=TRIM(E1727)),0))</f>
        <v>154</v>
      </c>
      <c r="AA1727" cm="1">
        <f t="array" ref="AA1727">INDEX(Innings!I:I,MATCH(1,(TRIM(Innings!A:A)=TRIM(A1727))*(TRIM(Innings!D:D)=TRIM(E1727)),0))</f>
        <v>7.7</v>
      </c>
      <c r="AB1727" cm="1">
        <f t="array" ref="AB1727">INDEX(Innings!J:J,MATCH(1,(TRIM(Innings!A:A)=TRIM(A1727))*(TRIM(Innings!D:D)=TRIM(E1727)),0))</f>
        <v>23</v>
      </c>
      <c r="AC1727" cm="1">
        <f t="array" ref="AC1727">INDEX(Innings!N:N,MATCH(1,(TRIM(Innings!A:A)=TRIM(A1727))*(TRIM(Innings!D:D)=TRIM(E1727)),0))</f>
        <v>35</v>
      </c>
      <c r="AD1727" cm="1">
        <f t="array" ref="AD1727">INDEX(Innings!S:S,MATCH(1,(TRIM(Innings!A:A)=TRIM(A1727))*(TRIM(Innings!D:D)=TRIM(E1727)),0))</f>
        <v>30</v>
      </c>
      <c r="AE1727" t="str" cm="1">
        <f t="array" ref="AE1727">INDEX(Innings!W:W,MATCH(1,(TRIM(Innings!A:A)=TRIM(A1727))*(TRIM(Innings!D:D)=TRIM(E1727)),0))</f>
        <v>NA</v>
      </c>
      <c r="AF1727">
        <f>IF(UPPER(TRIM(E1727))=UPPER(TRIM(W1727)),1,0)</f>
        <v>0</v>
      </c>
      <c r="AG1727">
        <f t="shared" si="52"/>
        <v>5.3</v>
      </c>
    </row>
    <row r="1728" spans="1:33" x14ac:dyDescent="0.3">
      <c r="A1728" t="s">
        <v>613</v>
      </c>
      <c r="B1728">
        <v>4</v>
      </c>
      <c r="C1728" t="s">
        <v>188</v>
      </c>
      <c r="D1728" t="s">
        <v>189</v>
      </c>
      <c r="E1728" t="s">
        <v>158</v>
      </c>
      <c r="F1728" t="s">
        <v>109</v>
      </c>
      <c r="G1728" t="s">
        <v>86</v>
      </c>
      <c r="H1728">
        <v>29</v>
      </c>
      <c r="I1728">
        <v>24</v>
      </c>
      <c r="J1728">
        <v>120.83</v>
      </c>
      <c r="K1728" t="s">
        <v>245</v>
      </c>
      <c r="L1728">
        <v>35</v>
      </c>
      <c r="M1728">
        <v>1</v>
      </c>
      <c r="N1728">
        <v>0</v>
      </c>
      <c r="O1728">
        <v>14</v>
      </c>
      <c r="P1728">
        <v>0</v>
      </c>
      <c r="Q1728">
        <v>14</v>
      </c>
      <c r="R1728">
        <v>-10</v>
      </c>
      <c r="S1728">
        <v>0</v>
      </c>
      <c r="T1728">
        <v>0</v>
      </c>
      <c r="U1728" s="8">
        <v>25</v>
      </c>
      <c r="V1728" s="8">
        <f t="shared" si="53"/>
        <v>3</v>
      </c>
      <c r="W1728" t="str">
        <f>_xlfn.XLOOKUP(A1728, Matches!A:A, Matches!L:L, "NA", 0)</f>
        <v>DCW</v>
      </c>
      <c r="X1728" t="str">
        <f>_xlfn.XLOOKUP(A1728, Matches!A:A, Matches!J:J, "NA", 0)</f>
        <v>DCW</v>
      </c>
      <c r="Y1728" t="str">
        <f>_xlfn.XLOOKUP(A1728, Matches!A:A, Matches!F:F, "NA", 0)</f>
        <v>BCA Stadium, Kotambi</v>
      </c>
      <c r="Z1728" cm="1">
        <f t="array" ref="Z1728">INDEX(Innings!F:F,MATCH(1,(TRIM(Innings!A:A)=TRIM(A1728))*(TRIM(Innings!D:D)=TRIM(E1728)),0))</f>
        <v>155</v>
      </c>
      <c r="AA1728" cm="1">
        <f t="array" ref="AA1728">INDEX(Innings!I:I,MATCH(1,(TRIM(Innings!A:A)=TRIM(A1728))*(TRIM(Innings!D:D)=TRIM(E1728)),0))</f>
        <v>8.16</v>
      </c>
      <c r="AB1728" cm="1">
        <f t="array" ref="AB1728">INDEX(Innings!J:J,MATCH(1,(TRIM(Innings!A:A)=TRIM(A1728))*(TRIM(Innings!D:D)=TRIM(E1728)),0))</f>
        <v>57</v>
      </c>
      <c r="AC1728" cm="1">
        <f t="array" ref="AC1728">INDEX(Innings!N:N,MATCH(1,(TRIM(Innings!A:A)=TRIM(A1728))*(TRIM(Innings!D:D)=TRIM(E1728)),0))</f>
        <v>37</v>
      </c>
      <c r="AD1728" cm="1">
        <f t="array" ref="AD1728">INDEX(Innings!S:S,MATCH(1,(TRIM(Innings!A:A)=TRIM(A1728))*(TRIM(Innings!D:D)=TRIM(E1728)),0))</f>
        <v>33</v>
      </c>
      <c r="AE1728" t="str" cm="1">
        <f t="array" ref="AE1728">INDEX(Innings!W:W,MATCH(1,(TRIM(Innings!A:A)=TRIM(A1728))*(TRIM(Innings!D:D)=TRIM(E1728)),0))</f>
        <v>Successful</v>
      </c>
      <c r="AF1728">
        <f>IF(UPPER(TRIM(E1728))=UPPER(TRIM(W1728)),1,0)</f>
        <v>1</v>
      </c>
      <c r="AG1728">
        <f t="shared" ref="AG1728:AG1791" si="54">(0.5*MAX(0,U1728) + 0.3*MAX(0,V1728) + 0.2*AF1728*100)</f>
        <v>33.4</v>
      </c>
    </row>
    <row r="1729" spans="1:33" x14ac:dyDescent="0.3">
      <c r="A1729" t="s">
        <v>613</v>
      </c>
      <c r="B1729">
        <v>4</v>
      </c>
      <c r="C1729" t="s">
        <v>531</v>
      </c>
      <c r="D1729" t="s">
        <v>636</v>
      </c>
      <c r="E1729" t="s">
        <v>158</v>
      </c>
      <c r="F1729" t="s">
        <v>85</v>
      </c>
      <c r="G1729" t="s">
        <v>86</v>
      </c>
      <c r="H1729">
        <v>46</v>
      </c>
      <c r="I1729">
        <v>28</v>
      </c>
      <c r="J1729">
        <v>164.29</v>
      </c>
      <c r="K1729" t="s">
        <v>248</v>
      </c>
      <c r="L1729">
        <v>65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 s="8">
        <v>65</v>
      </c>
      <c r="V1729" s="8">
        <f t="shared" si="53"/>
        <v>7</v>
      </c>
      <c r="W1729" t="str">
        <f>_xlfn.XLOOKUP(A1729, Matches!A:A, Matches!L:L, "NA", 0)</f>
        <v>DCW</v>
      </c>
      <c r="X1729" t="str">
        <f>_xlfn.XLOOKUP(A1729, Matches!A:A, Matches!J:J, "NA", 0)</f>
        <v>DCW</v>
      </c>
      <c r="Y1729" t="str">
        <f>_xlfn.XLOOKUP(A1729, Matches!A:A, Matches!F:F, "NA", 0)</f>
        <v>BCA Stadium, Kotambi</v>
      </c>
      <c r="Z1729" cm="1">
        <f t="array" ref="Z1729">INDEX(Innings!F:F,MATCH(1,(TRIM(Innings!A:A)=TRIM(A1729))*(TRIM(Innings!D:D)=TRIM(E1729)),0))</f>
        <v>155</v>
      </c>
      <c r="AA1729" cm="1">
        <f t="array" ref="AA1729">INDEX(Innings!I:I,MATCH(1,(TRIM(Innings!A:A)=TRIM(A1729))*(TRIM(Innings!D:D)=TRIM(E1729)),0))</f>
        <v>8.16</v>
      </c>
      <c r="AB1729" cm="1">
        <f t="array" ref="AB1729">INDEX(Innings!J:J,MATCH(1,(TRIM(Innings!A:A)=TRIM(A1729))*(TRIM(Innings!D:D)=TRIM(E1729)),0))</f>
        <v>57</v>
      </c>
      <c r="AC1729" cm="1">
        <f t="array" ref="AC1729">INDEX(Innings!N:N,MATCH(1,(TRIM(Innings!A:A)=TRIM(A1729))*(TRIM(Innings!D:D)=TRIM(E1729)),0))</f>
        <v>37</v>
      </c>
      <c r="AD1729" cm="1">
        <f t="array" ref="AD1729">INDEX(Innings!S:S,MATCH(1,(TRIM(Innings!A:A)=TRIM(A1729))*(TRIM(Innings!D:D)=TRIM(E1729)),0))</f>
        <v>33</v>
      </c>
      <c r="AE1729" t="str" cm="1">
        <f t="array" ref="AE1729">INDEX(Innings!W:W,MATCH(1,(TRIM(Innings!A:A)=TRIM(A1729))*(TRIM(Innings!D:D)=TRIM(E1729)),0))</f>
        <v>Successful</v>
      </c>
      <c r="AF1729">
        <f>IF(UPPER(TRIM(E1729))=UPPER(TRIM(W1729)),1,0)</f>
        <v>1</v>
      </c>
      <c r="AG1729">
        <f t="shared" si="54"/>
        <v>54.6</v>
      </c>
    </row>
    <row r="1730" spans="1:33" x14ac:dyDescent="0.3">
      <c r="A1730" t="s">
        <v>613</v>
      </c>
      <c r="B1730">
        <v>4</v>
      </c>
      <c r="C1730" t="s">
        <v>278</v>
      </c>
      <c r="D1730" t="s">
        <v>293</v>
      </c>
      <c r="E1730" t="s">
        <v>158</v>
      </c>
      <c r="F1730" t="s">
        <v>109</v>
      </c>
      <c r="G1730" t="s">
        <v>92</v>
      </c>
      <c r="H1730">
        <v>17</v>
      </c>
      <c r="I1730">
        <v>19</v>
      </c>
      <c r="J1730">
        <v>89.47</v>
      </c>
      <c r="K1730" t="s">
        <v>256</v>
      </c>
      <c r="L1730">
        <v>15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 s="8">
        <v>15</v>
      </c>
      <c r="V1730" s="8">
        <f t="shared" si="53"/>
        <v>2</v>
      </c>
      <c r="W1730" t="str">
        <f>_xlfn.XLOOKUP(A1730, Matches!A:A, Matches!L:L, "NA", 0)</f>
        <v>DCW</v>
      </c>
      <c r="X1730" t="str">
        <f>_xlfn.XLOOKUP(A1730, Matches!A:A, Matches!J:J, "NA", 0)</f>
        <v>DCW</v>
      </c>
      <c r="Y1730" t="str">
        <f>_xlfn.XLOOKUP(A1730, Matches!A:A, Matches!F:F, "NA", 0)</f>
        <v>BCA Stadium, Kotambi</v>
      </c>
      <c r="Z1730" cm="1">
        <f t="array" ref="Z1730">INDEX(Innings!F:F,MATCH(1,(TRIM(Innings!A:A)=TRIM(A1730))*(TRIM(Innings!D:D)=TRIM(E1730)),0))</f>
        <v>155</v>
      </c>
      <c r="AA1730" cm="1">
        <f t="array" ref="AA1730">INDEX(Innings!I:I,MATCH(1,(TRIM(Innings!A:A)=TRIM(A1730))*(TRIM(Innings!D:D)=TRIM(E1730)),0))</f>
        <v>8.16</v>
      </c>
      <c r="AB1730" cm="1">
        <f t="array" ref="AB1730">INDEX(Innings!J:J,MATCH(1,(TRIM(Innings!A:A)=TRIM(A1730))*(TRIM(Innings!D:D)=TRIM(E1730)),0))</f>
        <v>57</v>
      </c>
      <c r="AC1730" cm="1">
        <f t="array" ref="AC1730">INDEX(Innings!N:N,MATCH(1,(TRIM(Innings!A:A)=TRIM(A1730))*(TRIM(Innings!D:D)=TRIM(E1730)),0))</f>
        <v>37</v>
      </c>
      <c r="AD1730" cm="1">
        <f t="array" ref="AD1730">INDEX(Innings!S:S,MATCH(1,(TRIM(Innings!A:A)=TRIM(A1730))*(TRIM(Innings!D:D)=TRIM(E1730)),0))</f>
        <v>33</v>
      </c>
      <c r="AE1730" t="str" cm="1">
        <f t="array" ref="AE1730">INDEX(Innings!W:W,MATCH(1,(TRIM(Innings!A:A)=TRIM(A1730))*(TRIM(Innings!D:D)=TRIM(E1730)),0))</f>
        <v>Successful</v>
      </c>
      <c r="AF1730">
        <f>IF(UPPER(TRIM(E1730))=UPPER(TRIM(W1730)),1,0)</f>
        <v>1</v>
      </c>
      <c r="AG1730">
        <f t="shared" si="54"/>
        <v>28.1</v>
      </c>
    </row>
    <row r="1731" spans="1:33" x14ac:dyDescent="0.3">
      <c r="A1731" t="s">
        <v>613</v>
      </c>
      <c r="B1731">
        <v>4</v>
      </c>
      <c r="C1731" t="s">
        <v>194</v>
      </c>
      <c r="D1731" t="s">
        <v>195</v>
      </c>
      <c r="E1731" t="s">
        <v>158</v>
      </c>
      <c r="F1731" t="s">
        <v>109</v>
      </c>
      <c r="G1731" t="s">
        <v>92</v>
      </c>
      <c r="H1731">
        <v>51</v>
      </c>
      <c r="I1731">
        <v>37</v>
      </c>
      <c r="J1731">
        <v>137.84</v>
      </c>
      <c r="K1731" t="s">
        <v>96</v>
      </c>
      <c r="L1731">
        <v>65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 s="8">
        <v>65</v>
      </c>
      <c r="V1731" s="8">
        <f t="shared" ref="V1731:V1794" si="55">MIN(10, MAX(0, ROUND(U1731/10,0)))</f>
        <v>7</v>
      </c>
      <c r="W1731" t="str">
        <f>_xlfn.XLOOKUP(A1731, Matches!A:A, Matches!L:L, "NA", 0)</f>
        <v>DCW</v>
      </c>
      <c r="X1731" t="str">
        <f>_xlfn.XLOOKUP(A1731, Matches!A:A, Matches!J:J, "NA", 0)</f>
        <v>DCW</v>
      </c>
      <c r="Y1731" t="str">
        <f>_xlfn.XLOOKUP(A1731, Matches!A:A, Matches!F:F, "NA", 0)</f>
        <v>BCA Stadium, Kotambi</v>
      </c>
      <c r="Z1731" cm="1">
        <f t="array" ref="Z1731">INDEX(Innings!F:F,MATCH(1,(TRIM(Innings!A:A)=TRIM(A1731))*(TRIM(Innings!D:D)=TRIM(E1731)),0))</f>
        <v>155</v>
      </c>
      <c r="AA1731" cm="1">
        <f t="array" ref="AA1731">INDEX(Innings!I:I,MATCH(1,(TRIM(Innings!A:A)=TRIM(A1731))*(TRIM(Innings!D:D)=TRIM(E1731)),0))</f>
        <v>8.16</v>
      </c>
      <c r="AB1731" cm="1">
        <f t="array" ref="AB1731">INDEX(Innings!J:J,MATCH(1,(TRIM(Innings!A:A)=TRIM(A1731))*(TRIM(Innings!D:D)=TRIM(E1731)),0))</f>
        <v>57</v>
      </c>
      <c r="AC1731" cm="1">
        <f t="array" ref="AC1731">INDEX(Innings!N:N,MATCH(1,(TRIM(Innings!A:A)=TRIM(A1731))*(TRIM(Innings!D:D)=TRIM(E1731)),0))</f>
        <v>37</v>
      </c>
      <c r="AD1731" cm="1">
        <f t="array" ref="AD1731">INDEX(Innings!S:S,MATCH(1,(TRIM(Innings!A:A)=TRIM(A1731))*(TRIM(Innings!D:D)=TRIM(E1731)),0))</f>
        <v>33</v>
      </c>
      <c r="AE1731" t="str" cm="1">
        <f t="array" ref="AE1731">INDEX(Innings!W:W,MATCH(1,(TRIM(Innings!A:A)=TRIM(A1731))*(TRIM(Innings!D:D)=TRIM(E1731)),0))</f>
        <v>Successful</v>
      </c>
      <c r="AF1731">
        <f>IF(UPPER(TRIM(E1731))=UPPER(TRIM(W1731)),1,0)</f>
        <v>1</v>
      </c>
      <c r="AG1731">
        <f t="shared" si="54"/>
        <v>54.6</v>
      </c>
    </row>
    <row r="1732" spans="1:33" x14ac:dyDescent="0.3">
      <c r="A1732" t="s">
        <v>613</v>
      </c>
      <c r="B1732">
        <v>4</v>
      </c>
      <c r="C1732" t="s">
        <v>192</v>
      </c>
      <c r="D1732" t="s">
        <v>193</v>
      </c>
      <c r="E1732" t="s">
        <v>158</v>
      </c>
      <c r="F1732" t="s">
        <v>169</v>
      </c>
      <c r="G1732" t="s">
        <v>134</v>
      </c>
      <c r="H1732">
        <v>10</v>
      </c>
      <c r="I1732">
        <v>6</v>
      </c>
      <c r="J1732">
        <v>166.67</v>
      </c>
      <c r="K1732" t="s">
        <v>96</v>
      </c>
      <c r="L1732">
        <v>20</v>
      </c>
      <c r="M1732">
        <v>4</v>
      </c>
      <c r="N1732">
        <v>0</v>
      </c>
      <c r="O1732">
        <v>8</v>
      </c>
      <c r="P1732">
        <v>1</v>
      </c>
      <c r="Q1732">
        <v>2</v>
      </c>
      <c r="R1732">
        <v>35</v>
      </c>
      <c r="S1732">
        <v>0</v>
      </c>
      <c r="T1732">
        <v>0</v>
      </c>
      <c r="U1732" s="8">
        <v>55</v>
      </c>
      <c r="V1732" s="8">
        <f t="shared" si="55"/>
        <v>6</v>
      </c>
      <c r="W1732" t="str">
        <f>_xlfn.XLOOKUP(A1732, Matches!A:A, Matches!L:L, "NA", 0)</f>
        <v>DCW</v>
      </c>
      <c r="X1732" t="str">
        <f>_xlfn.XLOOKUP(A1732, Matches!A:A, Matches!J:J, "NA", 0)</f>
        <v>DCW</v>
      </c>
      <c r="Y1732" t="str">
        <f>_xlfn.XLOOKUP(A1732, Matches!A:A, Matches!F:F, "NA", 0)</f>
        <v>BCA Stadium, Kotambi</v>
      </c>
      <c r="Z1732" cm="1">
        <f t="array" ref="Z1732">INDEX(Innings!F:F,MATCH(1,(TRIM(Innings!A:A)=TRIM(A1732))*(TRIM(Innings!D:D)=TRIM(E1732)),0))</f>
        <v>155</v>
      </c>
      <c r="AA1732" cm="1">
        <f t="array" ref="AA1732">INDEX(Innings!I:I,MATCH(1,(TRIM(Innings!A:A)=TRIM(A1732))*(TRIM(Innings!D:D)=TRIM(E1732)),0))</f>
        <v>8.16</v>
      </c>
      <c r="AB1732" cm="1">
        <f t="array" ref="AB1732">INDEX(Innings!J:J,MATCH(1,(TRIM(Innings!A:A)=TRIM(A1732))*(TRIM(Innings!D:D)=TRIM(E1732)),0))</f>
        <v>57</v>
      </c>
      <c r="AC1732" cm="1">
        <f t="array" ref="AC1732">INDEX(Innings!N:N,MATCH(1,(TRIM(Innings!A:A)=TRIM(A1732))*(TRIM(Innings!D:D)=TRIM(E1732)),0))</f>
        <v>37</v>
      </c>
      <c r="AD1732" cm="1">
        <f t="array" ref="AD1732">INDEX(Innings!S:S,MATCH(1,(TRIM(Innings!A:A)=TRIM(A1732))*(TRIM(Innings!D:D)=TRIM(E1732)),0))</f>
        <v>33</v>
      </c>
      <c r="AE1732" t="str" cm="1">
        <f t="array" ref="AE1732">INDEX(Innings!W:W,MATCH(1,(TRIM(Innings!A:A)=TRIM(A1732))*(TRIM(Innings!D:D)=TRIM(E1732)),0))</f>
        <v>Successful</v>
      </c>
      <c r="AF1732">
        <f>IF(UPPER(TRIM(E1732))=UPPER(TRIM(W1732)),1,0)</f>
        <v>1</v>
      </c>
      <c r="AG1732">
        <f t="shared" si="54"/>
        <v>49.3</v>
      </c>
    </row>
    <row r="1733" spans="1:33" x14ac:dyDescent="0.3">
      <c r="A1733" t="s">
        <v>613</v>
      </c>
      <c r="B1733">
        <v>4</v>
      </c>
      <c r="C1733" t="s">
        <v>584</v>
      </c>
      <c r="D1733" t="s">
        <v>671</v>
      </c>
      <c r="E1733" t="s">
        <v>158</v>
      </c>
      <c r="F1733" t="s">
        <v>109</v>
      </c>
      <c r="G1733" t="s">
        <v>104</v>
      </c>
      <c r="H1733">
        <v>0</v>
      </c>
      <c r="I1733">
        <v>0</v>
      </c>
      <c r="J1733">
        <v>0</v>
      </c>
      <c r="K1733" t="s">
        <v>104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 s="8">
        <v>0</v>
      </c>
      <c r="V1733" s="8">
        <f t="shared" si="55"/>
        <v>0</v>
      </c>
      <c r="W1733" t="str">
        <f>_xlfn.XLOOKUP(A1733, Matches!A:A, Matches!L:L, "NA", 0)</f>
        <v>DCW</v>
      </c>
      <c r="X1733" t="str">
        <f>_xlfn.XLOOKUP(A1733, Matches!A:A, Matches!J:J, "NA", 0)</f>
        <v>DCW</v>
      </c>
      <c r="Y1733" t="str">
        <f>_xlfn.XLOOKUP(A1733, Matches!A:A, Matches!F:F, "NA", 0)</f>
        <v>BCA Stadium, Kotambi</v>
      </c>
      <c r="Z1733" cm="1">
        <f t="array" ref="Z1733">INDEX(Innings!F:F,MATCH(1,(TRIM(Innings!A:A)=TRIM(A1733))*(TRIM(Innings!D:D)=TRIM(E1733)),0))</f>
        <v>155</v>
      </c>
      <c r="AA1733" cm="1">
        <f t="array" ref="AA1733">INDEX(Innings!I:I,MATCH(1,(TRIM(Innings!A:A)=TRIM(A1733))*(TRIM(Innings!D:D)=TRIM(E1733)),0))</f>
        <v>8.16</v>
      </c>
      <c r="AB1733" cm="1">
        <f t="array" ref="AB1733">INDEX(Innings!J:J,MATCH(1,(TRIM(Innings!A:A)=TRIM(A1733))*(TRIM(Innings!D:D)=TRIM(E1733)),0))</f>
        <v>57</v>
      </c>
      <c r="AC1733" cm="1">
        <f t="array" ref="AC1733">INDEX(Innings!N:N,MATCH(1,(TRIM(Innings!A:A)=TRIM(A1733))*(TRIM(Innings!D:D)=TRIM(E1733)),0))</f>
        <v>37</v>
      </c>
      <c r="AD1733" cm="1">
        <f t="array" ref="AD1733">INDEX(Innings!S:S,MATCH(1,(TRIM(Innings!A:A)=TRIM(A1733))*(TRIM(Innings!D:D)=TRIM(E1733)),0))</f>
        <v>33</v>
      </c>
      <c r="AE1733" t="str" cm="1">
        <f t="array" ref="AE1733">INDEX(Innings!W:W,MATCH(1,(TRIM(Innings!A:A)=TRIM(A1733))*(TRIM(Innings!D:D)=TRIM(E1733)),0))</f>
        <v>Successful</v>
      </c>
      <c r="AF1733">
        <f>IF(UPPER(TRIM(E1733))=UPPER(TRIM(W1733)),1,0)</f>
        <v>1</v>
      </c>
      <c r="AG1733">
        <f t="shared" si="54"/>
        <v>20</v>
      </c>
    </row>
    <row r="1734" spans="1:33" x14ac:dyDescent="0.3">
      <c r="A1734" t="s">
        <v>613</v>
      </c>
      <c r="B1734">
        <v>4</v>
      </c>
      <c r="C1734" t="s">
        <v>495</v>
      </c>
      <c r="D1734" t="s">
        <v>503</v>
      </c>
      <c r="E1734" t="s">
        <v>158</v>
      </c>
      <c r="F1734" t="s">
        <v>169</v>
      </c>
      <c r="G1734" t="s">
        <v>104</v>
      </c>
      <c r="H1734">
        <v>0</v>
      </c>
      <c r="I1734">
        <v>0</v>
      </c>
      <c r="J1734">
        <v>0</v>
      </c>
      <c r="K1734" t="s">
        <v>104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 s="8">
        <v>0</v>
      </c>
      <c r="V1734" s="8">
        <f t="shared" si="55"/>
        <v>0</v>
      </c>
      <c r="W1734" t="str">
        <f>_xlfn.XLOOKUP(A1734, Matches!A:A, Matches!L:L, "NA", 0)</f>
        <v>DCW</v>
      </c>
      <c r="X1734" t="str">
        <f>_xlfn.XLOOKUP(A1734, Matches!A:A, Matches!J:J, "NA", 0)</f>
        <v>DCW</v>
      </c>
      <c r="Y1734" t="str">
        <f>_xlfn.XLOOKUP(A1734, Matches!A:A, Matches!F:F, "NA", 0)</f>
        <v>BCA Stadium, Kotambi</v>
      </c>
      <c r="Z1734" cm="1">
        <f t="array" ref="Z1734">INDEX(Innings!F:F,MATCH(1,(TRIM(Innings!A:A)=TRIM(A1734))*(TRIM(Innings!D:D)=TRIM(E1734)),0))</f>
        <v>155</v>
      </c>
      <c r="AA1734" cm="1">
        <f t="array" ref="AA1734">INDEX(Innings!I:I,MATCH(1,(TRIM(Innings!A:A)=TRIM(A1734))*(TRIM(Innings!D:D)=TRIM(E1734)),0))</f>
        <v>8.16</v>
      </c>
      <c r="AB1734" cm="1">
        <f t="array" ref="AB1734">INDEX(Innings!J:J,MATCH(1,(TRIM(Innings!A:A)=TRIM(A1734))*(TRIM(Innings!D:D)=TRIM(E1734)),0))</f>
        <v>57</v>
      </c>
      <c r="AC1734" cm="1">
        <f t="array" ref="AC1734">INDEX(Innings!N:N,MATCH(1,(TRIM(Innings!A:A)=TRIM(A1734))*(TRIM(Innings!D:D)=TRIM(E1734)),0))</f>
        <v>37</v>
      </c>
      <c r="AD1734" cm="1">
        <f t="array" ref="AD1734">INDEX(Innings!S:S,MATCH(1,(TRIM(Innings!A:A)=TRIM(A1734))*(TRIM(Innings!D:D)=TRIM(E1734)),0))</f>
        <v>33</v>
      </c>
      <c r="AE1734" t="str" cm="1">
        <f t="array" ref="AE1734">INDEX(Innings!W:W,MATCH(1,(TRIM(Innings!A:A)=TRIM(A1734))*(TRIM(Innings!D:D)=TRIM(E1734)),0))</f>
        <v>Successful</v>
      </c>
      <c r="AF1734">
        <f>IF(UPPER(TRIM(E1734))=UPPER(TRIM(W1734)),1,0)</f>
        <v>1</v>
      </c>
      <c r="AG1734">
        <f t="shared" si="54"/>
        <v>20</v>
      </c>
    </row>
    <row r="1735" spans="1:33" x14ac:dyDescent="0.3">
      <c r="A1735" t="s">
        <v>613</v>
      </c>
      <c r="B1735">
        <v>4</v>
      </c>
      <c r="C1735" t="s">
        <v>102</v>
      </c>
      <c r="D1735" t="s">
        <v>126</v>
      </c>
      <c r="E1735" t="s">
        <v>158</v>
      </c>
      <c r="F1735" t="s">
        <v>169</v>
      </c>
      <c r="G1735" t="s">
        <v>104</v>
      </c>
      <c r="H1735">
        <v>0</v>
      </c>
      <c r="I1735">
        <v>0</v>
      </c>
      <c r="J1735">
        <v>0</v>
      </c>
      <c r="K1735" t="s">
        <v>104</v>
      </c>
      <c r="L1735">
        <v>0</v>
      </c>
      <c r="M1735">
        <v>3</v>
      </c>
      <c r="N1735">
        <v>0</v>
      </c>
      <c r="O1735">
        <v>27</v>
      </c>
      <c r="P1735">
        <v>0</v>
      </c>
      <c r="Q1735">
        <v>9</v>
      </c>
      <c r="R1735">
        <v>-5</v>
      </c>
      <c r="S1735">
        <v>0</v>
      </c>
      <c r="T1735">
        <v>0</v>
      </c>
      <c r="U1735" s="8">
        <v>-5</v>
      </c>
      <c r="V1735" s="8">
        <f t="shared" si="55"/>
        <v>0</v>
      </c>
      <c r="W1735" t="str">
        <f>_xlfn.XLOOKUP(A1735, Matches!A:A, Matches!L:L, "NA", 0)</f>
        <v>DCW</v>
      </c>
      <c r="X1735" t="str">
        <f>_xlfn.XLOOKUP(A1735, Matches!A:A, Matches!J:J, "NA", 0)</f>
        <v>DCW</v>
      </c>
      <c r="Y1735" t="str">
        <f>_xlfn.XLOOKUP(A1735, Matches!A:A, Matches!F:F, "NA", 0)</f>
        <v>BCA Stadium, Kotambi</v>
      </c>
      <c r="Z1735" cm="1">
        <f t="array" ref="Z1735">INDEX(Innings!F:F,MATCH(1,(TRIM(Innings!A:A)=TRIM(A1735))*(TRIM(Innings!D:D)=TRIM(E1735)),0))</f>
        <v>155</v>
      </c>
      <c r="AA1735" cm="1">
        <f t="array" ref="AA1735">INDEX(Innings!I:I,MATCH(1,(TRIM(Innings!A:A)=TRIM(A1735))*(TRIM(Innings!D:D)=TRIM(E1735)),0))</f>
        <v>8.16</v>
      </c>
      <c r="AB1735" cm="1">
        <f t="array" ref="AB1735">INDEX(Innings!J:J,MATCH(1,(TRIM(Innings!A:A)=TRIM(A1735))*(TRIM(Innings!D:D)=TRIM(E1735)),0))</f>
        <v>57</v>
      </c>
      <c r="AC1735" cm="1">
        <f t="array" ref="AC1735">INDEX(Innings!N:N,MATCH(1,(TRIM(Innings!A:A)=TRIM(A1735))*(TRIM(Innings!D:D)=TRIM(E1735)),0))</f>
        <v>37</v>
      </c>
      <c r="AD1735" cm="1">
        <f t="array" ref="AD1735">INDEX(Innings!S:S,MATCH(1,(TRIM(Innings!A:A)=TRIM(A1735))*(TRIM(Innings!D:D)=TRIM(E1735)),0))</f>
        <v>33</v>
      </c>
      <c r="AE1735" t="str" cm="1">
        <f t="array" ref="AE1735">INDEX(Innings!W:W,MATCH(1,(TRIM(Innings!A:A)=TRIM(A1735))*(TRIM(Innings!D:D)=TRIM(E1735)),0))</f>
        <v>Successful</v>
      </c>
      <c r="AF1735">
        <f>IF(UPPER(TRIM(E1735))=UPPER(TRIM(W1735)),1,0)</f>
        <v>1</v>
      </c>
      <c r="AG1735">
        <f t="shared" si="54"/>
        <v>20</v>
      </c>
    </row>
    <row r="1736" spans="1:33" x14ac:dyDescent="0.3">
      <c r="A1736" t="s">
        <v>613</v>
      </c>
      <c r="B1736">
        <v>4</v>
      </c>
      <c r="C1736" t="s">
        <v>581</v>
      </c>
      <c r="D1736" t="s">
        <v>664</v>
      </c>
      <c r="E1736" t="s">
        <v>158</v>
      </c>
      <c r="F1736" t="s">
        <v>169</v>
      </c>
      <c r="G1736" t="s">
        <v>104</v>
      </c>
      <c r="H1736">
        <v>0</v>
      </c>
      <c r="I1736">
        <v>0</v>
      </c>
      <c r="J1736">
        <v>0</v>
      </c>
      <c r="K1736" t="s">
        <v>104</v>
      </c>
      <c r="L1736">
        <v>0</v>
      </c>
      <c r="M1736">
        <v>4</v>
      </c>
      <c r="N1736">
        <v>0</v>
      </c>
      <c r="O1736">
        <v>36</v>
      </c>
      <c r="P1736">
        <v>0</v>
      </c>
      <c r="Q1736">
        <v>9</v>
      </c>
      <c r="R1736">
        <v>-5</v>
      </c>
      <c r="S1736">
        <v>0</v>
      </c>
      <c r="T1736">
        <v>0</v>
      </c>
      <c r="U1736" s="8">
        <v>-5</v>
      </c>
      <c r="V1736" s="8">
        <f t="shared" si="55"/>
        <v>0</v>
      </c>
      <c r="W1736" t="str">
        <f>_xlfn.XLOOKUP(A1736, Matches!A:A, Matches!L:L, "NA", 0)</f>
        <v>DCW</v>
      </c>
      <c r="X1736" t="str">
        <f>_xlfn.XLOOKUP(A1736, Matches!A:A, Matches!J:J, "NA", 0)</f>
        <v>DCW</v>
      </c>
      <c r="Y1736" t="str">
        <f>_xlfn.XLOOKUP(A1736, Matches!A:A, Matches!F:F, "NA", 0)</f>
        <v>BCA Stadium, Kotambi</v>
      </c>
      <c r="Z1736" cm="1">
        <f t="array" ref="Z1736">INDEX(Innings!F:F,MATCH(1,(TRIM(Innings!A:A)=TRIM(A1736))*(TRIM(Innings!D:D)=TRIM(E1736)),0))</f>
        <v>155</v>
      </c>
      <c r="AA1736" cm="1">
        <f t="array" ref="AA1736">INDEX(Innings!I:I,MATCH(1,(TRIM(Innings!A:A)=TRIM(A1736))*(TRIM(Innings!D:D)=TRIM(E1736)),0))</f>
        <v>8.16</v>
      </c>
      <c r="AB1736" cm="1">
        <f t="array" ref="AB1736">INDEX(Innings!J:J,MATCH(1,(TRIM(Innings!A:A)=TRIM(A1736))*(TRIM(Innings!D:D)=TRIM(E1736)),0))</f>
        <v>57</v>
      </c>
      <c r="AC1736" cm="1">
        <f t="array" ref="AC1736">INDEX(Innings!N:N,MATCH(1,(TRIM(Innings!A:A)=TRIM(A1736))*(TRIM(Innings!D:D)=TRIM(E1736)),0))</f>
        <v>37</v>
      </c>
      <c r="AD1736" cm="1">
        <f t="array" ref="AD1736">INDEX(Innings!S:S,MATCH(1,(TRIM(Innings!A:A)=TRIM(A1736))*(TRIM(Innings!D:D)=TRIM(E1736)),0))</f>
        <v>33</v>
      </c>
      <c r="AE1736" t="str" cm="1">
        <f t="array" ref="AE1736">INDEX(Innings!W:W,MATCH(1,(TRIM(Innings!A:A)=TRIM(A1736))*(TRIM(Innings!D:D)=TRIM(E1736)),0))</f>
        <v>Successful</v>
      </c>
      <c r="AF1736">
        <f>IF(UPPER(TRIM(E1736))=UPPER(TRIM(W1736)),1,0)</f>
        <v>1</v>
      </c>
      <c r="AG1736">
        <f t="shared" si="54"/>
        <v>20</v>
      </c>
    </row>
    <row r="1737" spans="1:33" x14ac:dyDescent="0.3">
      <c r="A1737" t="s">
        <v>613</v>
      </c>
      <c r="B1737">
        <v>4</v>
      </c>
      <c r="C1737" t="s">
        <v>532</v>
      </c>
      <c r="D1737" t="s">
        <v>637</v>
      </c>
      <c r="E1737" t="s">
        <v>158</v>
      </c>
      <c r="F1737" t="s">
        <v>101</v>
      </c>
      <c r="G1737" t="s">
        <v>104</v>
      </c>
      <c r="H1737">
        <v>0</v>
      </c>
      <c r="I1737">
        <v>0</v>
      </c>
      <c r="J1737">
        <v>0</v>
      </c>
      <c r="K1737" t="s">
        <v>104</v>
      </c>
      <c r="L1737">
        <v>0</v>
      </c>
      <c r="M1737">
        <v>4</v>
      </c>
      <c r="N1737">
        <v>0</v>
      </c>
      <c r="O1737">
        <v>33</v>
      </c>
      <c r="P1737">
        <v>3</v>
      </c>
      <c r="Q1737">
        <v>8.1999999999999993</v>
      </c>
      <c r="R1737">
        <v>75</v>
      </c>
      <c r="S1737">
        <v>0</v>
      </c>
      <c r="T1737">
        <v>0</v>
      </c>
      <c r="U1737" s="8">
        <v>75</v>
      </c>
      <c r="V1737" s="8">
        <f t="shared" si="55"/>
        <v>8</v>
      </c>
      <c r="W1737" t="str">
        <f>_xlfn.XLOOKUP(A1737, Matches!A:A, Matches!L:L, "NA", 0)</f>
        <v>DCW</v>
      </c>
      <c r="X1737" t="str">
        <f>_xlfn.XLOOKUP(A1737, Matches!A:A, Matches!J:J, "NA", 0)</f>
        <v>DCW</v>
      </c>
      <c r="Y1737" t="str">
        <f>_xlfn.XLOOKUP(A1737, Matches!A:A, Matches!F:F, "NA", 0)</f>
        <v>BCA Stadium, Kotambi</v>
      </c>
      <c r="Z1737" cm="1">
        <f t="array" ref="Z1737">INDEX(Innings!F:F,MATCH(1,(TRIM(Innings!A:A)=TRIM(A1737))*(TRIM(Innings!D:D)=TRIM(E1737)),0))</f>
        <v>155</v>
      </c>
      <c r="AA1737" cm="1">
        <f t="array" ref="AA1737">INDEX(Innings!I:I,MATCH(1,(TRIM(Innings!A:A)=TRIM(A1737))*(TRIM(Innings!D:D)=TRIM(E1737)),0))</f>
        <v>8.16</v>
      </c>
      <c r="AB1737" cm="1">
        <f t="array" ref="AB1737">INDEX(Innings!J:J,MATCH(1,(TRIM(Innings!A:A)=TRIM(A1737))*(TRIM(Innings!D:D)=TRIM(E1737)),0))</f>
        <v>57</v>
      </c>
      <c r="AC1737" cm="1">
        <f t="array" ref="AC1737">INDEX(Innings!N:N,MATCH(1,(TRIM(Innings!A:A)=TRIM(A1737))*(TRIM(Innings!D:D)=TRIM(E1737)),0))</f>
        <v>37</v>
      </c>
      <c r="AD1737" cm="1">
        <f t="array" ref="AD1737">INDEX(Innings!S:S,MATCH(1,(TRIM(Innings!A:A)=TRIM(A1737))*(TRIM(Innings!D:D)=TRIM(E1737)),0))</f>
        <v>33</v>
      </c>
      <c r="AE1737" t="str" cm="1">
        <f t="array" ref="AE1737">INDEX(Innings!W:W,MATCH(1,(TRIM(Innings!A:A)=TRIM(A1737))*(TRIM(Innings!D:D)=TRIM(E1737)),0))</f>
        <v>Successful</v>
      </c>
      <c r="AF1737">
        <f>IF(UPPER(TRIM(E1737))=UPPER(TRIM(W1737)),1,0)</f>
        <v>1</v>
      </c>
      <c r="AG1737">
        <f t="shared" si="54"/>
        <v>59.9</v>
      </c>
    </row>
    <row r="1738" spans="1:33" x14ac:dyDescent="0.3">
      <c r="A1738" t="s">
        <v>613</v>
      </c>
      <c r="B1738">
        <v>4</v>
      </c>
      <c r="C1738" t="s">
        <v>533</v>
      </c>
      <c r="D1738" t="s">
        <v>638</v>
      </c>
      <c r="E1738" t="s">
        <v>158</v>
      </c>
      <c r="F1738" t="s">
        <v>101</v>
      </c>
      <c r="G1738" t="s">
        <v>104</v>
      </c>
      <c r="H1738">
        <v>0</v>
      </c>
      <c r="I1738">
        <v>0</v>
      </c>
      <c r="J1738">
        <v>0</v>
      </c>
      <c r="K1738" t="s">
        <v>104</v>
      </c>
      <c r="L1738">
        <v>0</v>
      </c>
      <c r="M1738">
        <v>4</v>
      </c>
      <c r="N1738">
        <v>0</v>
      </c>
      <c r="O1738">
        <v>36</v>
      </c>
      <c r="P1738">
        <v>1</v>
      </c>
      <c r="Q1738">
        <v>9</v>
      </c>
      <c r="R1738">
        <v>25</v>
      </c>
      <c r="S1738">
        <v>0</v>
      </c>
      <c r="T1738">
        <v>0</v>
      </c>
      <c r="U1738" s="8">
        <v>25</v>
      </c>
      <c r="V1738" s="8">
        <f t="shared" si="55"/>
        <v>3</v>
      </c>
      <c r="W1738" t="str">
        <f>_xlfn.XLOOKUP(A1738, Matches!A:A, Matches!L:L, "NA", 0)</f>
        <v>DCW</v>
      </c>
      <c r="X1738" t="str">
        <f>_xlfn.XLOOKUP(A1738, Matches!A:A, Matches!J:J, "NA", 0)</f>
        <v>DCW</v>
      </c>
      <c r="Y1738" t="str">
        <f>_xlfn.XLOOKUP(A1738, Matches!A:A, Matches!F:F, "NA", 0)</f>
        <v>BCA Stadium, Kotambi</v>
      </c>
      <c r="Z1738" cm="1">
        <f t="array" ref="Z1738">INDEX(Innings!F:F,MATCH(1,(TRIM(Innings!A:A)=TRIM(A1738))*(TRIM(Innings!D:D)=TRIM(E1738)),0))</f>
        <v>155</v>
      </c>
      <c r="AA1738" cm="1">
        <f t="array" ref="AA1738">INDEX(Innings!I:I,MATCH(1,(TRIM(Innings!A:A)=TRIM(A1738))*(TRIM(Innings!D:D)=TRIM(E1738)),0))</f>
        <v>8.16</v>
      </c>
      <c r="AB1738" cm="1">
        <f t="array" ref="AB1738">INDEX(Innings!J:J,MATCH(1,(TRIM(Innings!A:A)=TRIM(A1738))*(TRIM(Innings!D:D)=TRIM(E1738)),0))</f>
        <v>57</v>
      </c>
      <c r="AC1738" cm="1">
        <f t="array" ref="AC1738">INDEX(Innings!N:N,MATCH(1,(TRIM(Innings!A:A)=TRIM(A1738))*(TRIM(Innings!D:D)=TRIM(E1738)),0))</f>
        <v>37</v>
      </c>
      <c r="AD1738" cm="1">
        <f t="array" ref="AD1738">INDEX(Innings!S:S,MATCH(1,(TRIM(Innings!A:A)=TRIM(A1738))*(TRIM(Innings!D:D)=TRIM(E1738)),0))</f>
        <v>33</v>
      </c>
      <c r="AE1738" t="str" cm="1">
        <f t="array" ref="AE1738">INDEX(Innings!W:W,MATCH(1,(TRIM(Innings!A:A)=TRIM(A1738))*(TRIM(Innings!D:D)=TRIM(E1738)),0))</f>
        <v>Successful</v>
      </c>
      <c r="AF1738">
        <f>IF(UPPER(TRIM(E1738))=UPPER(TRIM(W1738)),1,0)</f>
        <v>1</v>
      </c>
      <c r="AG1738">
        <f t="shared" si="54"/>
        <v>33.4</v>
      </c>
    </row>
    <row r="1739" spans="1:33" x14ac:dyDescent="0.3">
      <c r="A1739" t="s">
        <v>614</v>
      </c>
      <c r="B1739">
        <v>4</v>
      </c>
      <c r="C1739" t="s">
        <v>81</v>
      </c>
      <c r="D1739" t="s">
        <v>114</v>
      </c>
      <c r="E1739" t="s">
        <v>258</v>
      </c>
      <c r="F1739" t="s">
        <v>85</v>
      </c>
      <c r="G1739" t="s">
        <v>86</v>
      </c>
      <c r="H1739">
        <v>38</v>
      </c>
      <c r="I1739">
        <v>34</v>
      </c>
      <c r="J1739">
        <v>111.76</v>
      </c>
      <c r="K1739" t="s">
        <v>246</v>
      </c>
      <c r="L1739">
        <v>45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 s="8">
        <v>45</v>
      </c>
      <c r="V1739" s="8">
        <f t="shared" si="55"/>
        <v>5</v>
      </c>
      <c r="W1739" t="str">
        <f>_xlfn.XLOOKUP(A1739, Matches!A:A, Matches!L:L, "NA", 0)</f>
        <v>GGTW</v>
      </c>
      <c r="X1739" t="str">
        <f>_xlfn.XLOOKUP(A1739, Matches!A:A, Matches!J:J, "NA", 0)</f>
        <v>UPW</v>
      </c>
      <c r="Y1739" t="str">
        <f>_xlfn.XLOOKUP(A1739, Matches!A:A, Matches!F:F, "NA", 0)</f>
        <v>BCA Stadium, Kotambi</v>
      </c>
      <c r="Z1739" cm="1">
        <f t="array" ref="Z1739">INDEX(Innings!F:F,MATCH(1,(TRIM(Innings!A:A)=TRIM(A1739))*(TRIM(Innings!D:D)=TRIM(E1739)),0))</f>
        <v>153</v>
      </c>
      <c r="AA1739" cm="1">
        <f t="array" ref="AA1739">INDEX(Innings!I:I,MATCH(1,(TRIM(Innings!A:A)=TRIM(A1739))*(TRIM(Innings!D:D)=TRIM(E1739)),0))</f>
        <v>7.65</v>
      </c>
      <c r="AB1739" cm="1">
        <f t="array" ref="AB1739">INDEX(Innings!J:J,MATCH(1,(TRIM(Innings!A:A)=TRIM(A1739))*(TRIM(Innings!D:D)=TRIM(E1739)),0))</f>
        <v>52</v>
      </c>
      <c r="AC1739" cm="1">
        <f t="array" ref="AC1739">INDEX(Innings!N:N,MATCH(1,(TRIM(Innings!A:A)=TRIM(A1739))*(TRIM(Innings!D:D)=TRIM(E1739)),0))</f>
        <v>42</v>
      </c>
      <c r="AD1739" cm="1">
        <f t="array" ref="AD1739">INDEX(Innings!S:S,MATCH(1,(TRIM(Innings!A:A)=TRIM(A1739))*(TRIM(Innings!D:D)=TRIM(E1739)),0))</f>
        <v>34</v>
      </c>
      <c r="AE1739" t="str" cm="1">
        <f t="array" ref="AE1739">INDEX(Innings!W:W,MATCH(1,(TRIM(Innings!A:A)=TRIM(A1739))*(TRIM(Innings!D:D)=TRIM(E1739)),0))</f>
        <v>NA</v>
      </c>
      <c r="AF1739">
        <f>IF(UPPER(TRIM(E1739))=UPPER(TRIM(W1739)),1,0)</f>
        <v>1</v>
      </c>
      <c r="AG1739">
        <f t="shared" si="54"/>
        <v>44</v>
      </c>
    </row>
    <row r="1740" spans="1:33" x14ac:dyDescent="0.3">
      <c r="A1740" t="s">
        <v>614</v>
      </c>
      <c r="B1740">
        <v>4</v>
      </c>
      <c r="C1740" t="s">
        <v>489</v>
      </c>
      <c r="D1740" t="s">
        <v>488</v>
      </c>
      <c r="E1740" t="s">
        <v>258</v>
      </c>
      <c r="F1740" t="s">
        <v>109</v>
      </c>
      <c r="G1740" t="s">
        <v>92</v>
      </c>
      <c r="H1740">
        <v>14</v>
      </c>
      <c r="I1740">
        <v>8</v>
      </c>
      <c r="J1740">
        <v>175</v>
      </c>
      <c r="K1740" t="s">
        <v>245</v>
      </c>
      <c r="L1740">
        <v>20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 s="8">
        <v>20</v>
      </c>
      <c r="V1740" s="8">
        <f t="shared" si="55"/>
        <v>2</v>
      </c>
      <c r="W1740" t="str">
        <f>_xlfn.XLOOKUP(A1740, Matches!A:A, Matches!L:L, "NA", 0)</f>
        <v>GGTW</v>
      </c>
      <c r="X1740" t="str">
        <f>_xlfn.XLOOKUP(A1740, Matches!A:A, Matches!J:J, "NA", 0)</f>
        <v>UPW</v>
      </c>
      <c r="Y1740" t="str">
        <f>_xlfn.XLOOKUP(A1740, Matches!A:A, Matches!F:F, "NA", 0)</f>
        <v>BCA Stadium, Kotambi</v>
      </c>
      <c r="Z1740" cm="1">
        <f t="array" ref="Z1740">INDEX(Innings!F:F,MATCH(1,(TRIM(Innings!A:A)=TRIM(A1740))*(TRIM(Innings!D:D)=TRIM(E1740)),0))</f>
        <v>153</v>
      </c>
      <c r="AA1740" cm="1">
        <f t="array" ref="AA1740">INDEX(Innings!I:I,MATCH(1,(TRIM(Innings!A:A)=TRIM(A1740))*(TRIM(Innings!D:D)=TRIM(E1740)),0))</f>
        <v>7.65</v>
      </c>
      <c r="AB1740" cm="1">
        <f t="array" ref="AB1740">INDEX(Innings!J:J,MATCH(1,(TRIM(Innings!A:A)=TRIM(A1740))*(TRIM(Innings!D:D)=TRIM(E1740)),0))</f>
        <v>52</v>
      </c>
      <c r="AC1740" cm="1">
        <f t="array" ref="AC1740">INDEX(Innings!N:N,MATCH(1,(TRIM(Innings!A:A)=TRIM(A1740))*(TRIM(Innings!D:D)=TRIM(E1740)),0))</f>
        <v>42</v>
      </c>
      <c r="AD1740" cm="1">
        <f t="array" ref="AD1740">INDEX(Innings!S:S,MATCH(1,(TRIM(Innings!A:A)=TRIM(A1740))*(TRIM(Innings!D:D)=TRIM(E1740)),0))</f>
        <v>34</v>
      </c>
      <c r="AE1740" t="str" cm="1">
        <f t="array" ref="AE1740">INDEX(Innings!W:W,MATCH(1,(TRIM(Innings!A:A)=TRIM(A1740))*(TRIM(Innings!D:D)=TRIM(E1740)),0))</f>
        <v>NA</v>
      </c>
      <c r="AF1740">
        <f>IF(UPPER(TRIM(E1740))=UPPER(TRIM(W1740)),1,0)</f>
        <v>1</v>
      </c>
      <c r="AG1740">
        <f t="shared" si="54"/>
        <v>30.6</v>
      </c>
    </row>
    <row r="1741" spans="1:33" x14ac:dyDescent="0.3">
      <c r="A1741" t="s">
        <v>614</v>
      </c>
      <c r="B1741">
        <v>4</v>
      </c>
      <c r="C1741" t="s">
        <v>529</v>
      </c>
      <c r="D1741" t="s">
        <v>632</v>
      </c>
      <c r="E1741" t="s">
        <v>258</v>
      </c>
      <c r="F1741" t="s">
        <v>109</v>
      </c>
      <c r="G1741" t="s">
        <v>92</v>
      </c>
      <c r="H1741">
        <v>14</v>
      </c>
      <c r="I1741">
        <v>8</v>
      </c>
      <c r="J1741">
        <v>175</v>
      </c>
      <c r="K1741" t="s">
        <v>246</v>
      </c>
      <c r="L1741">
        <v>20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 s="8">
        <v>20</v>
      </c>
      <c r="V1741" s="8">
        <f t="shared" si="55"/>
        <v>2</v>
      </c>
      <c r="W1741" t="str">
        <f>_xlfn.XLOOKUP(A1741, Matches!A:A, Matches!L:L, "NA", 0)</f>
        <v>GGTW</v>
      </c>
      <c r="X1741" t="str">
        <f>_xlfn.XLOOKUP(A1741, Matches!A:A, Matches!J:J, "NA", 0)</f>
        <v>UPW</v>
      </c>
      <c r="Y1741" t="str">
        <f>_xlfn.XLOOKUP(A1741, Matches!A:A, Matches!F:F, "NA", 0)</f>
        <v>BCA Stadium, Kotambi</v>
      </c>
      <c r="Z1741" cm="1">
        <f t="array" ref="Z1741">INDEX(Innings!F:F,MATCH(1,(TRIM(Innings!A:A)=TRIM(A1741))*(TRIM(Innings!D:D)=TRIM(E1741)),0))</f>
        <v>153</v>
      </c>
      <c r="AA1741" cm="1">
        <f t="array" ref="AA1741">INDEX(Innings!I:I,MATCH(1,(TRIM(Innings!A:A)=TRIM(A1741))*(TRIM(Innings!D:D)=TRIM(E1741)),0))</f>
        <v>7.65</v>
      </c>
      <c r="AB1741" cm="1">
        <f t="array" ref="AB1741">INDEX(Innings!J:J,MATCH(1,(TRIM(Innings!A:A)=TRIM(A1741))*(TRIM(Innings!D:D)=TRIM(E1741)),0))</f>
        <v>52</v>
      </c>
      <c r="AC1741" cm="1">
        <f t="array" ref="AC1741">INDEX(Innings!N:N,MATCH(1,(TRIM(Innings!A:A)=TRIM(A1741))*(TRIM(Innings!D:D)=TRIM(E1741)),0))</f>
        <v>42</v>
      </c>
      <c r="AD1741" cm="1">
        <f t="array" ref="AD1741">INDEX(Innings!S:S,MATCH(1,(TRIM(Innings!A:A)=TRIM(A1741))*(TRIM(Innings!D:D)=TRIM(E1741)),0))</f>
        <v>34</v>
      </c>
      <c r="AE1741" t="str" cm="1">
        <f t="array" ref="AE1741">INDEX(Innings!W:W,MATCH(1,(TRIM(Innings!A:A)=TRIM(A1741))*(TRIM(Innings!D:D)=TRIM(E1741)),0))</f>
        <v>NA</v>
      </c>
      <c r="AF1741">
        <f>IF(UPPER(TRIM(E1741))=UPPER(TRIM(W1741)),1,0)</f>
        <v>1</v>
      </c>
      <c r="AG1741">
        <f t="shared" si="54"/>
        <v>30.6</v>
      </c>
    </row>
    <row r="1742" spans="1:33" x14ac:dyDescent="0.3">
      <c r="A1742" t="s">
        <v>614</v>
      </c>
      <c r="B1742">
        <v>4</v>
      </c>
      <c r="C1742" t="s">
        <v>93</v>
      </c>
      <c r="D1742" t="s">
        <v>118</v>
      </c>
      <c r="E1742" t="s">
        <v>258</v>
      </c>
      <c r="F1742" t="s">
        <v>169</v>
      </c>
      <c r="G1742" t="s">
        <v>134</v>
      </c>
      <c r="H1742">
        <v>5</v>
      </c>
      <c r="I1742">
        <v>12</v>
      </c>
      <c r="J1742">
        <v>41.67</v>
      </c>
      <c r="K1742" t="s">
        <v>245</v>
      </c>
      <c r="L1742">
        <v>5</v>
      </c>
      <c r="M1742">
        <v>3</v>
      </c>
      <c r="N1742">
        <v>0</v>
      </c>
      <c r="O1742">
        <v>23</v>
      </c>
      <c r="P1742">
        <v>1</v>
      </c>
      <c r="Q1742">
        <v>7.7</v>
      </c>
      <c r="R1742">
        <v>20</v>
      </c>
      <c r="S1742">
        <v>0</v>
      </c>
      <c r="T1742">
        <v>0</v>
      </c>
      <c r="U1742" s="8">
        <v>25</v>
      </c>
      <c r="V1742" s="8">
        <f t="shared" si="55"/>
        <v>3</v>
      </c>
      <c r="W1742" t="str">
        <f>_xlfn.XLOOKUP(A1742, Matches!A:A, Matches!L:L, "NA", 0)</f>
        <v>GGTW</v>
      </c>
      <c r="X1742" t="str">
        <f>_xlfn.XLOOKUP(A1742, Matches!A:A, Matches!J:J, "NA", 0)</f>
        <v>UPW</v>
      </c>
      <c r="Y1742" t="str">
        <f>_xlfn.XLOOKUP(A1742, Matches!A:A, Matches!F:F, "NA", 0)</f>
        <v>BCA Stadium, Kotambi</v>
      </c>
      <c r="Z1742" cm="1">
        <f t="array" ref="Z1742">INDEX(Innings!F:F,MATCH(1,(TRIM(Innings!A:A)=TRIM(A1742))*(TRIM(Innings!D:D)=TRIM(E1742)),0))</f>
        <v>153</v>
      </c>
      <c r="AA1742" cm="1">
        <f t="array" ref="AA1742">INDEX(Innings!I:I,MATCH(1,(TRIM(Innings!A:A)=TRIM(A1742))*(TRIM(Innings!D:D)=TRIM(E1742)),0))</f>
        <v>7.65</v>
      </c>
      <c r="AB1742" cm="1">
        <f t="array" ref="AB1742">INDEX(Innings!J:J,MATCH(1,(TRIM(Innings!A:A)=TRIM(A1742))*(TRIM(Innings!D:D)=TRIM(E1742)),0))</f>
        <v>52</v>
      </c>
      <c r="AC1742" cm="1">
        <f t="array" ref="AC1742">INDEX(Innings!N:N,MATCH(1,(TRIM(Innings!A:A)=TRIM(A1742))*(TRIM(Innings!D:D)=TRIM(E1742)),0))</f>
        <v>42</v>
      </c>
      <c r="AD1742" cm="1">
        <f t="array" ref="AD1742">INDEX(Innings!S:S,MATCH(1,(TRIM(Innings!A:A)=TRIM(A1742))*(TRIM(Innings!D:D)=TRIM(E1742)),0))</f>
        <v>34</v>
      </c>
      <c r="AE1742" t="str" cm="1">
        <f t="array" ref="AE1742">INDEX(Innings!W:W,MATCH(1,(TRIM(Innings!A:A)=TRIM(A1742))*(TRIM(Innings!D:D)=TRIM(E1742)),0))</f>
        <v>NA</v>
      </c>
      <c r="AF1742">
        <f>IF(UPPER(TRIM(E1742))=UPPER(TRIM(W1742)),1,0)</f>
        <v>1</v>
      </c>
      <c r="AG1742">
        <f t="shared" si="54"/>
        <v>33.4</v>
      </c>
    </row>
    <row r="1743" spans="1:33" x14ac:dyDescent="0.3">
      <c r="A1743" t="s">
        <v>614</v>
      </c>
      <c r="B1743">
        <v>4</v>
      </c>
      <c r="C1743" t="s">
        <v>167</v>
      </c>
      <c r="D1743" t="s">
        <v>168</v>
      </c>
      <c r="E1743" t="s">
        <v>258</v>
      </c>
      <c r="F1743" t="s">
        <v>169</v>
      </c>
      <c r="G1743" t="s">
        <v>134</v>
      </c>
      <c r="H1743">
        <v>50</v>
      </c>
      <c r="I1743">
        <v>42</v>
      </c>
      <c r="J1743">
        <v>119.05</v>
      </c>
      <c r="K1743" t="s">
        <v>96</v>
      </c>
      <c r="L1743">
        <v>55</v>
      </c>
      <c r="M1743">
        <v>3.3</v>
      </c>
      <c r="N1743">
        <v>0</v>
      </c>
      <c r="O1743">
        <v>16</v>
      </c>
      <c r="P1743">
        <v>2</v>
      </c>
      <c r="Q1743">
        <v>4.5999999999999996</v>
      </c>
      <c r="R1743">
        <v>45</v>
      </c>
      <c r="S1743">
        <v>0</v>
      </c>
      <c r="T1743">
        <v>0</v>
      </c>
      <c r="U1743" s="8">
        <v>100</v>
      </c>
      <c r="V1743" s="8">
        <f t="shared" si="55"/>
        <v>10</v>
      </c>
      <c r="W1743" t="str">
        <f>_xlfn.XLOOKUP(A1743, Matches!A:A, Matches!L:L, "NA", 0)</f>
        <v>GGTW</v>
      </c>
      <c r="X1743" t="str">
        <f>_xlfn.XLOOKUP(A1743, Matches!A:A, Matches!J:J, "NA", 0)</f>
        <v>UPW</v>
      </c>
      <c r="Y1743" t="str">
        <f>_xlfn.XLOOKUP(A1743, Matches!A:A, Matches!F:F, "NA", 0)</f>
        <v>BCA Stadium, Kotambi</v>
      </c>
      <c r="Z1743" cm="1">
        <f t="array" ref="Z1743">INDEX(Innings!F:F,MATCH(1,(TRIM(Innings!A:A)=TRIM(A1743))*(TRIM(Innings!D:D)=TRIM(E1743)),0))</f>
        <v>153</v>
      </c>
      <c r="AA1743" cm="1">
        <f t="array" ref="AA1743">INDEX(Innings!I:I,MATCH(1,(TRIM(Innings!A:A)=TRIM(A1743))*(TRIM(Innings!D:D)=TRIM(E1743)),0))</f>
        <v>7.65</v>
      </c>
      <c r="AB1743" cm="1">
        <f t="array" ref="AB1743">INDEX(Innings!J:J,MATCH(1,(TRIM(Innings!A:A)=TRIM(A1743))*(TRIM(Innings!D:D)=TRIM(E1743)),0))</f>
        <v>52</v>
      </c>
      <c r="AC1743" cm="1">
        <f t="array" ref="AC1743">INDEX(Innings!N:N,MATCH(1,(TRIM(Innings!A:A)=TRIM(A1743))*(TRIM(Innings!D:D)=TRIM(E1743)),0))</f>
        <v>42</v>
      </c>
      <c r="AD1743" cm="1">
        <f t="array" ref="AD1743">INDEX(Innings!S:S,MATCH(1,(TRIM(Innings!A:A)=TRIM(A1743))*(TRIM(Innings!D:D)=TRIM(E1743)),0))</f>
        <v>34</v>
      </c>
      <c r="AE1743" t="str" cm="1">
        <f t="array" ref="AE1743">INDEX(Innings!W:W,MATCH(1,(TRIM(Innings!A:A)=TRIM(A1743))*(TRIM(Innings!D:D)=TRIM(E1743)),0))</f>
        <v>NA</v>
      </c>
      <c r="AF1743">
        <f>IF(UPPER(TRIM(E1743))=UPPER(TRIM(W1743)),1,0)</f>
        <v>1</v>
      </c>
      <c r="AG1743">
        <f t="shared" si="54"/>
        <v>73</v>
      </c>
    </row>
    <row r="1744" spans="1:33" x14ac:dyDescent="0.3">
      <c r="A1744" t="s">
        <v>614</v>
      </c>
      <c r="B1744">
        <v>4</v>
      </c>
      <c r="C1744" t="s">
        <v>447</v>
      </c>
      <c r="D1744" t="s">
        <v>448</v>
      </c>
      <c r="E1744" t="s">
        <v>258</v>
      </c>
      <c r="F1744" t="s">
        <v>109</v>
      </c>
      <c r="G1744" t="s">
        <v>134</v>
      </c>
      <c r="H1744">
        <v>5</v>
      </c>
      <c r="I1744">
        <v>5</v>
      </c>
      <c r="J1744">
        <v>100</v>
      </c>
      <c r="K1744" t="s">
        <v>256</v>
      </c>
      <c r="L1744">
        <v>5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 s="8">
        <v>5</v>
      </c>
      <c r="V1744" s="8">
        <f t="shared" si="55"/>
        <v>1</v>
      </c>
      <c r="W1744" t="str">
        <f>_xlfn.XLOOKUP(A1744, Matches!A:A, Matches!L:L, "NA", 0)</f>
        <v>GGTW</v>
      </c>
      <c r="X1744" t="str">
        <f>_xlfn.XLOOKUP(A1744, Matches!A:A, Matches!J:J, "NA", 0)</f>
        <v>UPW</v>
      </c>
      <c r="Y1744" t="str">
        <f>_xlfn.XLOOKUP(A1744, Matches!A:A, Matches!F:F, "NA", 0)</f>
        <v>BCA Stadium, Kotambi</v>
      </c>
      <c r="Z1744" cm="1">
        <f t="array" ref="Z1744">INDEX(Innings!F:F,MATCH(1,(TRIM(Innings!A:A)=TRIM(A1744))*(TRIM(Innings!D:D)=TRIM(E1744)),0))</f>
        <v>153</v>
      </c>
      <c r="AA1744" cm="1">
        <f t="array" ref="AA1744">INDEX(Innings!I:I,MATCH(1,(TRIM(Innings!A:A)=TRIM(A1744))*(TRIM(Innings!D:D)=TRIM(E1744)),0))</f>
        <v>7.65</v>
      </c>
      <c r="AB1744" cm="1">
        <f t="array" ref="AB1744">INDEX(Innings!J:J,MATCH(1,(TRIM(Innings!A:A)=TRIM(A1744))*(TRIM(Innings!D:D)=TRIM(E1744)),0))</f>
        <v>52</v>
      </c>
      <c r="AC1744" cm="1">
        <f t="array" ref="AC1744">INDEX(Innings!N:N,MATCH(1,(TRIM(Innings!A:A)=TRIM(A1744))*(TRIM(Innings!D:D)=TRIM(E1744)),0))</f>
        <v>42</v>
      </c>
      <c r="AD1744" cm="1">
        <f t="array" ref="AD1744">INDEX(Innings!S:S,MATCH(1,(TRIM(Innings!A:A)=TRIM(A1744))*(TRIM(Innings!D:D)=TRIM(E1744)),0))</f>
        <v>34</v>
      </c>
      <c r="AE1744" t="str" cm="1">
        <f t="array" ref="AE1744">INDEX(Innings!W:W,MATCH(1,(TRIM(Innings!A:A)=TRIM(A1744))*(TRIM(Innings!D:D)=TRIM(E1744)),0))</f>
        <v>NA</v>
      </c>
      <c r="AF1744">
        <f>IF(UPPER(TRIM(E1744))=UPPER(TRIM(W1744)),1,0)</f>
        <v>1</v>
      </c>
      <c r="AG1744">
        <f t="shared" si="54"/>
        <v>22.8</v>
      </c>
    </row>
    <row r="1745" spans="1:33" x14ac:dyDescent="0.3">
      <c r="A1745" t="s">
        <v>614</v>
      </c>
      <c r="B1745">
        <v>4</v>
      </c>
      <c r="C1745" t="s">
        <v>178</v>
      </c>
      <c r="D1745" t="s">
        <v>179</v>
      </c>
      <c r="E1745" t="s">
        <v>258</v>
      </c>
      <c r="F1745" t="s">
        <v>169</v>
      </c>
      <c r="G1745" t="s">
        <v>134</v>
      </c>
      <c r="H1745">
        <v>6</v>
      </c>
      <c r="I1745">
        <v>5</v>
      </c>
      <c r="J1745">
        <v>120</v>
      </c>
      <c r="K1745" t="s">
        <v>246</v>
      </c>
      <c r="L1745">
        <v>10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 s="8">
        <v>10</v>
      </c>
      <c r="V1745" s="8">
        <f t="shared" si="55"/>
        <v>1</v>
      </c>
      <c r="W1745" t="str">
        <f>_xlfn.XLOOKUP(A1745, Matches!A:A, Matches!L:L, "NA", 0)</f>
        <v>GGTW</v>
      </c>
      <c r="X1745" t="str">
        <f>_xlfn.XLOOKUP(A1745, Matches!A:A, Matches!J:J, "NA", 0)</f>
        <v>UPW</v>
      </c>
      <c r="Y1745" t="str">
        <f>_xlfn.XLOOKUP(A1745, Matches!A:A, Matches!F:F, "NA", 0)</f>
        <v>BCA Stadium, Kotambi</v>
      </c>
      <c r="Z1745" cm="1">
        <f t="array" ref="Z1745">INDEX(Innings!F:F,MATCH(1,(TRIM(Innings!A:A)=TRIM(A1745))*(TRIM(Innings!D:D)=TRIM(E1745)),0))</f>
        <v>153</v>
      </c>
      <c r="AA1745" cm="1">
        <f t="array" ref="AA1745">INDEX(Innings!I:I,MATCH(1,(TRIM(Innings!A:A)=TRIM(A1745))*(TRIM(Innings!D:D)=TRIM(E1745)),0))</f>
        <v>7.65</v>
      </c>
      <c r="AB1745" cm="1">
        <f t="array" ref="AB1745">INDEX(Innings!J:J,MATCH(1,(TRIM(Innings!A:A)=TRIM(A1745))*(TRIM(Innings!D:D)=TRIM(E1745)),0))</f>
        <v>52</v>
      </c>
      <c r="AC1745" cm="1">
        <f t="array" ref="AC1745">INDEX(Innings!N:N,MATCH(1,(TRIM(Innings!A:A)=TRIM(A1745))*(TRIM(Innings!D:D)=TRIM(E1745)),0))</f>
        <v>42</v>
      </c>
      <c r="AD1745" cm="1">
        <f t="array" ref="AD1745">INDEX(Innings!S:S,MATCH(1,(TRIM(Innings!A:A)=TRIM(A1745))*(TRIM(Innings!D:D)=TRIM(E1745)),0))</f>
        <v>34</v>
      </c>
      <c r="AE1745" t="str" cm="1">
        <f t="array" ref="AE1745">INDEX(Innings!W:W,MATCH(1,(TRIM(Innings!A:A)=TRIM(A1745))*(TRIM(Innings!D:D)=TRIM(E1745)),0))</f>
        <v>NA</v>
      </c>
      <c r="AF1745">
        <f>IF(UPPER(TRIM(E1745))=UPPER(TRIM(W1745)),1,0)</f>
        <v>1</v>
      </c>
      <c r="AG1745">
        <f t="shared" si="54"/>
        <v>25.3</v>
      </c>
    </row>
    <row r="1746" spans="1:33" x14ac:dyDescent="0.3">
      <c r="A1746" t="s">
        <v>614</v>
      </c>
      <c r="B1746">
        <v>4</v>
      </c>
      <c r="C1746" t="s">
        <v>493</v>
      </c>
      <c r="D1746" t="s">
        <v>500</v>
      </c>
      <c r="E1746" t="s">
        <v>258</v>
      </c>
      <c r="F1746" t="s">
        <v>101</v>
      </c>
      <c r="G1746" t="s">
        <v>134</v>
      </c>
      <c r="H1746">
        <v>11</v>
      </c>
      <c r="I1746">
        <v>6</v>
      </c>
      <c r="J1746">
        <v>183.33</v>
      </c>
      <c r="K1746" t="s">
        <v>245</v>
      </c>
      <c r="L1746">
        <v>15</v>
      </c>
      <c r="M1746">
        <v>3</v>
      </c>
      <c r="N1746">
        <v>0</v>
      </c>
      <c r="O1746">
        <v>31</v>
      </c>
      <c r="P1746">
        <v>1</v>
      </c>
      <c r="Q1746">
        <v>10.3</v>
      </c>
      <c r="R1746">
        <v>20</v>
      </c>
      <c r="S1746">
        <v>0</v>
      </c>
      <c r="T1746">
        <v>0</v>
      </c>
      <c r="U1746" s="8">
        <v>35</v>
      </c>
      <c r="V1746" s="8">
        <f t="shared" si="55"/>
        <v>4</v>
      </c>
      <c r="W1746" t="str">
        <f>_xlfn.XLOOKUP(A1746, Matches!A:A, Matches!L:L, "NA", 0)</f>
        <v>GGTW</v>
      </c>
      <c r="X1746" t="str">
        <f>_xlfn.XLOOKUP(A1746, Matches!A:A, Matches!J:J, "NA", 0)</f>
        <v>UPW</v>
      </c>
      <c r="Y1746" t="str">
        <f>_xlfn.XLOOKUP(A1746, Matches!A:A, Matches!F:F, "NA", 0)</f>
        <v>BCA Stadium, Kotambi</v>
      </c>
      <c r="Z1746" cm="1">
        <f t="array" ref="Z1746">INDEX(Innings!F:F,MATCH(1,(TRIM(Innings!A:A)=TRIM(A1746))*(TRIM(Innings!D:D)=TRIM(E1746)),0))</f>
        <v>153</v>
      </c>
      <c r="AA1746" cm="1">
        <f t="array" ref="AA1746">INDEX(Innings!I:I,MATCH(1,(TRIM(Innings!A:A)=TRIM(A1746))*(TRIM(Innings!D:D)=TRIM(E1746)),0))</f>
        <v>7.65</v>
      </c>
      <c r="AB1746" cm="1">
        <f t="array" ref="AB1746">INDEX(Innings!J:J,MATCH(1,(TRIM(Innings!A:A)=TRIM(A1746))*(TRIM(Innings!D:D)=TRIM(E1746)),0))</f>
        <v>52</v>
      </c>
      <c r="AC1746" cm="1">
        <f t="array" ref="AC1746">INDEX(Innings!N:N,MATCH(1,(TRIM(Innings!A:A)=TRIM(A1746))*(TRIM(Innings!D:D)=TRIM(E1746)),0))</f>
        <v>42</v>
      </c>
      <c r="AD1746" cm="1">
        <f t="array" ref="AD1746">INDEX(Innings!S:S,MATCH(1,(TRIM(Innings!A:A)=TRIM(A1746))*(TRIM(Innings!D:D)=TRIM(E1746)),0))</f>
        <v>34</v>
      </c>
      <c r="AE1746" t="str" cm="1">
        <f t="array" ref="AE1746">INDEX(Innings!W:W,MATCH(1,(TRIM(Innings!A:A)=TRIM(A1746))*(TRIM(Innings!D:D)=TRIM(E1746)),0))</f>
        <v>NA</v>
      </c>
      <c r="AF1746">
        <f>IF(UPPER(TRIM(E1746))=UPPER(TRIM(W1746)),1,0)</f>
        <v>1</v>
      </c>
      <c r="AG1746">
        <f t="shared" si="54"/>
        <v>38.700000000000003</v>
      </c>
    </row>
    <row r="1747" spans="1:33" x14ac:dyDescent="0.3">
      <c r="A1747" t="s">
        <v>614</v>
      </c>
      <c r="B1747">
        <v>4</v>
      </c>
      <c r="C1747" t="s">
        <v>186</v>
      </c>
      <c r="D1747" t="s">
        <v>187</v>
      </c>
      <c r="E1747" t="s">
        <v>258</v>
      </c>
      <c r="F1747" t="s">
        <v>101</v>
      </c>
      <c r="G1747" t="s">
        <v>134</v>
      </c>
      <c r="H1747">
        <v>1</v>
      </c>
      <c r="I1747">
        <v>1</v>
      </c>
      <c r="J1747">
        <v>100</v>
      </c>
      <c r="K1747" t="s">
        <v>256</v>
      </c>
      <c r="L1747">
        <v>2</v>
      </c>
      <c r="M1747">
        <v>4</v>
      </c>
      <c r="N1747">
        <v>0</v>
      </c>
      <c r="O1747">
        <v>20</v>
      </c>
      <c r="P1747">
        <v>2</v>
      </c>
      <c r="Q1747">
        <v>5</v>
      </c>
      <c r="R1747">
        <v>45</v>
      </c>
      <c r="S1747">
        <v>0</v>
      </c>
      <c r="T1747">
        <v>0</v>
      </c>
      <c r="U1747" s="8">
        <v>47</v>
      </c>
      <c r="V1747" s="8">
        <f t="shared" si="55"/>
        <v>5</v>
      </c>
      <c r="W1747" t="str">
        <f>_xlfn.XLOOKUP(A1747, Matches!A:A, Matches!L:L, "NA", 0)</f>
        <v>GGTW</v>
      </c>
      <c r="X1747" t="str">
        <f>_xlfn.XLOOKUP(A1747, Matches!A:A, Matches!J:J, "NA", 0)</f>
        <v>UPW</v>
      </c>
      <c r="Y1747" t="str">
        <f>_xlfn.XLOOKUP(A1747, Matches!A:A, Matches!F:F, "NA", 0)</f>
        <v>BCA Stadium, Kotambi</v>
      </c>
      <c r="Z1747" cm="1">
        <f t="array" ref="Z1747">INDEX(Innings!F:F,MATCH(1,(TRIM(Innings!A:A)=TRIM(A1747))*(TRIM(Innings!D:D)=TRIM(E1747)),0))</f>
        <v>153</v>
      </c>
      <c r="AA1747" cm="1">
        <f t="array" ref="AA1747">INDEX(Innings!I:I,MATCH(1,(TRIM(Innings!A:A)=TRIM(A1747))*(TRIM(Innings!D:D)=TRIM(E1747)),0))</f>
        <v>7.65</v>
      </c>
      <c r="AB1747" cm="1">
        <f t="array" ref="AB1747">INDEX(Innings!J:J,MATCH(1,(TRIM(Innings!A:A)=TRIM(A1747))*(TRIM(Innings!D:D)=TRIM(E1747)),0))</f>
        <v>52</v>
      </c>
      <c r="AC1747" cm="1">
        <f t="array" ref="AC1747">INDEX(Innings!N:N,MATCH(1,(TRIM(Innings!A:A)=TRIM(A1747))*(TRIM(Innings!D:D)=TRIM(E1747)),0))</f>
        <v>42</v>
      </c>
      <c r="AD1747" cm="1">
        <f t="array" ref="AD1747">INDEX(Innings!S:S,MATCH(1,(TRIM(Innings!A:A)=TRIM(A1747))*(TRIM(Innings!D:D)=TRIM(E1747)),0))</f>
        <v>34</v>
      </c>
      <c r="AE1747" t="str" cm="1">
        <f t="array" ref="AE1747">INDEX(Innings!W:W,MATCH(1,(TRIM(Innings!A:A)=TRIM(A1747))*(TRIM(Innings!D:D)=TRIM(E1747)),0))</f>
        <v>NA</v>
      </c>
      <c r="AF1747">
        <f>IF(UPPER(TRIM(E1747))=UPPER(TRIM(W1747)),1,0)</f>
        <v>1</v>
      </c>
      <c r="AG1747">
        <f t="shared" si="54"/>
        <v>45</v>
      </c>
    </row>
    <row r="1748" spans="1:33" x14ac:dyDescent="0.3">
      <c r="A1748" t="s">
        <v>614</v>
      </c>
      <c r="B1748">
        <v>4</v>
      </c>
      <c r="C1748" t="s">
        <v>582</v>
      </c>
      <c r="D1748" t="s">
        <v>668</v>
      </c>
      <c r="E1748" t="s">
        <v>258</v>
      </c>
      <c r="F1748" t="s">
        <v>101</v>
      </c>
      <c r="G1748" t="s">
        <v>134</v>
      </c>
      <c r="H1748">
        <v>0</v>
      </c>
      <c r="I1748">
        <v>0</v>
      </c>
      <c r="J1748">
        <v>0</v>
      </c>
      <c r="K1748" t="s">
        <v>96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 s="8">
        <v>0</v>
      </c>
      <c r="V1748" s="8">
        <f t="shared" si="55"/>
        <v>0</v>
      </c>
      <c r="W1748" t="str">
        <f>_xlfn.XLOOKUP(A1748, Matches!A:A, Matches!L:L, "NA", 0)</f>
        <v>GGTW</v>
      </c>
      <c r="X1748" t="str">
        <f>_xlfn.XLOOKUP(A1748, Matches!A:A, Matches!J:J, "NA", 0)</f>
        <v>UPW</v>
      </c>
      <c r="Y1748" t="str">
        <f>_xlfn.XLOOKUP(A1748, Matches!A:A, Matches!F:F, "NA", 0)</f>
        <v>BCA Stadium, Kotambi</v>
      </c>
      <c r="Z1748" cm="1">
        <f t="array" ref="Z1748">INDEX(Innings!F:F,MATCH(1,(TRIM(Innings!A:A)=TRIM(A1748))*(TRIM(Innings!D:D)=TRIM(E1748)),0))</f>
        <v>153</v>
      </c>
      <c r="AA1748" cm="1">
        <f t="array" ref="AA1748">INDEX(Innings!I:I,MATCH(1,(TRIM(Innings!A:A)=TRIM(A1748))*(TRIM(Innings!D:D)=TRIM(E1748)),0))</f>
        <v>7.65</v>
      </c>
      <c r="AB1748" cm="1">
        <f t="array" ref="AB1748">INDEX(Innings!J:J,MATCH(1,(TRIM(Innings!A:A)=TRIM(A1748))*(TRIM(Innings!D:D)=TRIM(E1748)),0))</f>
        <v>52</v>
      </c>
      <c r="AC1748" cm="1">
        <f t="array" ref="AC1748">INDEX(Innings!N:N,MATCH(1,(TRIM(Innings!A:A)=TRIM(A1748))*(TRIM(Innings!D:D)=TRIM(E1748)),0))</f>
        <v>42</v>
      </c>
      <c r="AD1748" cm="1">
        <f t="array" ref="AD1748">INDEX(Innings!S:S,MATCH(1,(TRIM(Innings!A:A)=TRIM(A1748))*(TRIM(Innings!D:D)=TRIM(E1748)),0))</f>
        <v>34</v>
      </c>
      <c r="AE1748" t="str" cm="1">
        <f t="array" ref="AE1748">INDEX(Innings!W:W,MATCH(1,(TRIM(Innings!A:A)=TRIM(A1748))*(TRIM(Innings!D:D)=TRIM(E1748)),0))</f>
        <v>NA</v>
      </c>
      <c r="AF1748">
        <f>IF(UPPER(TRIM(E1748))=UPPER(TRIM(W1748)),1,0)</f>
        <v>1</v>
      </c>
      <c r="AG1748">
        <f t="shared" si="54"/>
        <v>20</v>
      </c>
    </row>
    <row r="1749" spans="1:33" x14ac:dyDescent="0.3">
      <c r="A1749" t="s">
        <v>614</v>
      </c>
      <c r="B1749">
        <v>4</v>
      </c>
      <c r="C1749" t="s">
        <v>237</v>
      </c>
      <c r="D1749" t="s">
        <v>238</v>
      </c>
      <c r="E1749" t="s">
        <v>258</v>
      </c>
      <c r="F1749" t="s">
        <v>101</v>
      </c>
      <c r="G1749" t="s">
        <v>104</v>
      </c>
      <c r="H1749">
        <v>0</v>
      </c>
      <c r="I1749">
        <v>0</v>
      </c>
      <c r="J1749">
        <v>0</v>
      </c>
      <c r="K1749" t="s">
        <v>104</v>
      </c>
      <c r="L1749">
        <v>0</v>
      </c>
      <c r="M1749">
        <v>4</v>
      </c>
      <c r="N1749">
        <v>0</v>
      </c>
      <c r="O1749">
        <v>16</v>
      </c>
      <c r="P1749">
        <v>3</v>
      </c>
      <c r="Q1749">
        <v>4</v>
      </c>
      <c r="R1749">
        <v>70</v>
      </c>
      <c r="S1749">
        <v>0</v>
      </c>
      <c r="T1749">
        <v>0</v>
      </c>
      <c r="U1749" s="8">
        <v>70</v>
      </c>
      <c r="V1749" s="8">
        <f t="shared" si="55"/>
        <v>7</v>
      </c>
      <c r="W1749" t="str">
        <f>_xlfn.XLOOKUP(A1749, Matches!A:A, Matches!L:L, "NA", 0)</f>
        <v>GGTW</v>
      </c>
      <c r="X1749" t="str">
        <f>_xlfn.XLOOKUP(A1749, Matches!A:A, Matches!J:J, "NA", 0)</f>
        <v>UPW</v>
      </c>
      <c r="Y1749" t="str">
        <f>_xlfn.XLOOKUP(A1749, Matches!A:A, Matches!F:F, "NA", 0)</f>
        <v>BCA Stadium, Kotambi</v>
      </c>
      <c r="Z1749" cm="1">
        <f t="array" ref="Z1749">INDEX(Innings!F:F,MATCH(1,(TRIM(Innings!A:A)=TRIM(A1749))*(TRIM(Innings!D:D)=TRIM(E1749)),0))</f>
        <v>153</v>
      </c>
      <c r="AA1749" cm="1">
        <f t="array" ref="AA1749">INDEX(Innings!I:I,MATCH(1,(TRIM(Innings!A:A)=TRIM(A1749))*(TRIM(Innings!D:D)=TRIM(E1749)),0))</f>
        <v>7.65</v>
      </c>
      <c r="AB1749" cm="1">
        <f t="array" ref="AB1749">INDEX(Innings!J:J,MATCH(1,(TRIM(Innings!A:A)=TRIM(A1749))*(TRIM(Innings!D:D)=TRIM(E1749)),0))</f>
        <v>52</v>
      </c>
      <c r="AC1749" cm="1">
        <f t="array" ref="AC1749">INDEX(Innings!N:N,MATCH(1,(TRIM(Innings!A:A)=TRIM(A1749))*(TRIM(Innings!D:D)=TRIM(E1749)),0))</f>
        <v>42</v>
      </c>
      <c r="AD1749" cm="1">
        <f t="array" ref="AD1749">INDEX(Innings!S:S,MATCH(1,(TRIM(Innings!A:A)=TRIM(A1749))*(TRIM(Innings!D:D)=TRIM(E1749)),0))</f>
        <v>34</v>
      </c>
      <c r="AE1749" t="str" cm="1">
        <f t="array" ref="AE1749">INDEX(Innings!W:W,MATCH(1,(TRIM(Innings!A:A)=TRIM(A1749))*(TRIM(Innings!D:D)=TRIM(E1749)),0))</f>
        <v>NA</v>
      </c>
      <c r="AF1749">
        <f>IF(UPPER(TRIM(E1749))=UPPER(TRIM(W1749)),1,0)</f>
        <v>1</v>
      </c>
      <c r="AG1749">
        <f t="shared" si="54"/>
        <v>57.1</v>
      </c>
    </row>
    <row r="1750" spans="1:33" x14ac:dyDescent="0.3">
      <c r="A1750" t="s">
        <v>614</v>
      </c>
      <c r="B1750">
        <v>4</v>
      </c>
      <c r="C1750" t="s">
        <v>190</v>
      </c>
      <c r="D1750" t="s">
        <v>191</v>
      </c>
      <c r="E1750" t="s">
        <v>219</v>
      </c>
      <c r="F1750" t="s">
        <v>109</v>
      </c>
      <c r="G1750" t="s">
        <v>86</v>
      </c>
      <c r="H1750">
        <v>14</v>
      </c>
      <c r="I1750">
        <v>10</v>
      </c>
      <c r="J1750">
        <v>140</v>
      </c>
      <c r="K1750" t="s">
        <v>245</v>
      </c>
      <c r="L1750">
        <v>20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 s="8">
        <v>20</v>
      </c>
      <c r="V1750" s="8">
        <f t="shared" si="55"/>
        <v>2</v>
      </c>
      <c r="W1750" t="str">
        <f>_xlfn.XLOOKUP(A1750, Matches!A:A, Matches!L:L, "NA", 0)</f>
        <v>GGTW</v>
      </c>
      <c r="X1750" t="str">
        <f>_xlfn.XLOOKUP(A1750, Matches!A:A, Matches!J:J, "NA", 0)</f>
        <v>UPW</v>
      </c>
      <c r="Y1750" t="str">
        <f>_xlfn.XLOOKUP(A1750, Matches!A:A, Matches!F:F, "NA", 0)</f>
        <v>BCA Stadium, Kotambi</v>
      </c>
      <c r="Z1750" cm="1">
        <f t="array" ref="Z1750">INDEX(Innings!F:F,MATCH(1,(TRIM(Innings!A:A)=TRIM(A1750))*(TRIM(Innings!D:D)=TRIM(E1750)),0))</f>
        <v>108</v>
      </c>
      <c r="AA1750" cm="1">
        <f t="array" ref="AA1750">INDEX(Innings!I:I,MATCH(1,(TRIM(Innings!A:A)=TRIM(A1750))*(TRIM(Innings!D:D)=TRIM(E1750)),0))</f>
        <v>6.17</v>
      </c>
      <c r="AB1750" cm="1">
        <f t="array" ref="AB1750">INDEX(Innings!J:J,MATCH(1,(TRIM(Innings!A:A)=TRIM(A1750))*(TRIM(Innings!D:D)=TRIM(E1750)),0))</f>
        <v>46</v>
      </c>
      <c r="AC1750" cm="1">
        <f t="array" ref="AC1750">INDEX(Innings!N:N,MATCH(1,(TRIM(Innings!A:A)=TRIM(A1750))*(TRIM(Innings!D:D)=TRIM(E1750)),0))</f>
        <v>12</v>
      </c>
      <c r="AD1750" cm="1">
        <f t="array" ref="AD1750">INDEX(Innings!S:S,MATCH(1,(TRIM(Innings!A:A)=TRIM(A1750))*(TRIM(Innings!D:D)=TRIM(E1750)),0))</f>
        <v>35</v>
      </c>
      <c r="AE1750" t="str" cm="1">
        <f t="array" ref="AE1750">INDEX(Innings!W:W,MATCH(1,(TRIM(Innings!A:A)=TRIM(A1750))*(TRIM(Innings!D:D)=TRIM(E1750)),0))</f>
        <v>Failed</v>
      </c>
      <c r="AF1750">
        <f>IF(UPPER(TRIM(E1750))=UPPER(TRIM(W1750)),1,0)</f>
        <v>0</v>
      </c>
      <c r="AG1750">
        <f t="shared" si="54"/>
        <v>10.6</v>
      </c>
    </row>
    <row r="1751" spans="1:33" x14ac:dyDescent="0.3">
      <c r="A1751" t="s">
        <v>614</v>
      </c>
      <c r="B1751">
        <v>4</v>
      </c>
      <c r="C1751" t="s">
        <v>229</v>
      </c>
      <c r="D1751" t="s">
        <v>230</v>
      </c>
      <c r="E1751" t="s">
        <v>219</v>
      </c>
      <c r="F1751" t="s">
        <v>109</v>
      </c>
      <c r="G1751" t="s">
        <v>86</v>
      </c>
      <c r="H1751">
        <v>0</v>
      </c>
      <c r="I1751">
        <v>1</v>
      </c>
      <c r="J1751">
        <v>0</v>
      </c>
      <c r="K1751" t="s">
        <v>248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 s="8">
        <v>0</v>
      </c>
      <c r="V1751" s="8">
        <f t="shared" si="55"/>
        <v>0</v>
      </c>
      <c r="W1751" t="str">
        <f>_xlfn.XLOOKUP(A1751, Matches!A:A, Matches!L:L, "NA", 0)</f>
        <v>GGTW</v>
      </c>
      <c r="X1751" t="str">
        <f>_xlfn.XLOOKUP(A1751, Matches!A:A, Matches!J:J, "NA", 0)</f>
        <v>UPW</v>
      </c>
      <c r="Y1751" t="str">
        <f>_xlfn.XLOOKUP(A1751, Matches!A:A, Matches!F:F, "NA", 0)</f>
        <v>BCA Stadium, Kotambi</v>
      </c>
      <c r="Z1751" cm="1">
        <f t="array" ref="Z1751">INDEX(Innings!F:F,MATCH(1,(TRIM(Innings!A:A)=TRIM(A1751))*(TRIM(Innings!D:D)=TRIM(E1751)),0))</f>
        <v>108</v>
      </c>
      <c r="AA1751" cm="1">
        <f t="array" ref="AA1751">INDEX(Innings!I:I,MATCH(1,(TRIM(Innings!A:A)=TRIM(A1751))*(TRIM(Innings!D:D)=TRIM(E1751)),0))</f>
        <v>6.17</v>
      </c>
      <c r="AB1751" cm="1">
        <f t="array" ref="AB1751">INDEX(Innings!J:J,MATCH(1,(TRIM(Innings!A:A)=TRIM(A1751))*(TRIM(Innings!D:D)=TRIM(E1751)),0))</f>
        <v>46</v>
      </c>
      <c r="AC1751" cm="1">
        <f t="array" ref="AC1751">INDEX(Innings!N:N,MATCH(1,(TRIM(Innings!A:A)=TRIM(A1751))*(TRIM(Innings!D:D)=TRIM(E1751)),0))</f>
        <v>12</v>
      </c>
      <c r="AD1751" cm="1">
        <f t="array" ref="AD1751">INDEX(Innings!S:S,MATCH(1,(TRIM(Innings!A:A)=TRIM(A1751))*(TRIM(Innings!D:D)=TRIM(E1751)),0))</f>
        <v>35</v>
      </c>
      <c r="AE1751" t="str" cm="1">
        <f t="array" ref="AE1751">INDEX(Innings!W:W,MATCH(1,(TRIM(Innings!A:A)=TRIM(A1751))*(TRIM(Innings!D:D)=TRIM(E1751)),0))</f>
        <v>Failed</v>
      </c>
      <c r="AF1751">
        <f>IF(UPPER(TRIM(E1751))=UPPER(TRIM(W1751)),1,0)</f>
        <v>0</v>
      </c>
      <c r="AG1751">
        <f t="shared" si="54"/>
        <v>0</v>
      </c>
    </row>
    <row r="1752" spans="1:33" x14ac:dyDescent="0.3">
      <c r="A1752" t="s">
        <v>614</v>
      </c>
      <c r="B1752">
        <v>4</v>
      </c>
      <c r="C1752" t="s">
        <v>383</v>
      </c>
      <c r="D1752" t="s">
        <v>384</v>
      </c>
      <c r="E1752" t="s">
        <v>219</v>
      </c>
      <c r="F1752" t="s">
        <v>109</v>
      </c>
      <c r="G1752" t="s">
        <v>92</v>
      </c>
      <c r="H1752">
        <v>32</v>
      </c>
      <c r="I1752">
        <v>27</v>
      </c>
      <c r="J1752">
        <v>118.52</v>
      </c>
      <c r="K1752" t="s">
        <v>246</v>
      </c>
      <c r="L1752">
        <v>35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 s="8">
        <v>35</v>
      </c>
      <c r="V1752" s="8">
        <f t="shared" si="55"/>
        <v>4</v>
      </c>
      <c r="W1752" t="str">
        <f>_xlfn.XLOOKUP(A1752, Matches!A:A, Matches!L:L, "NA", 0)</f>
        <v>GGTW</v>
      </c>
      <c r="X1752" t="str">
        <f>_xlfn.XLOOKUP(A1752, Matches!A:A, Matches!J:J, "NA", 0)</f>
        <v>UPW</v>
      </c>
      <c r="Y1752" t="str">
        <f>_xlfn.XLOOKUP(A1752, Matches!A:A, Matches!F:F, "NA", 0)</f>
        <v>BCA Stadium, Kotambi</v>
      </c>
      <c r="Z1752" cm="1">
        <f t="array" ref="Z1752">INDEX(Innings!F:F,MATCH(1,(TRIM(Innings!A:A)=TRIM(A1752))*(TRIM(Innings!D:D)=TRIM(E1752)),0))</f>
        <v>108</v>
      </c>
      <c r="AA1752" cm="1">
        <f t="array" ref="AA1752">INDEX(Innings!I:I,MATCH(1,(TRIM(Innings!A:A)=TRIM(A1752))*(TRIM(Innings!D:D)=TRIM(E1752)),0))</f>
        <v>6.17</v>
      </c>
      <c r="AB1752" cm="1">
        <f t="array" ref="AB1752">INDEX(Innings!J:J,MATCH(1,(TRIM(Innings!A:A)=TRIM(A1752))*(TRIM(Innings!D:D)=TRIM(E1752)),0))</f>
        <v>46</v>
      </c>
      <c r="AC1752" cm="1">
        <f t="array" ref="AC1752">INDEX(Innings!N:N,MATCH(1,(TRIM(Innings!A:A)=TRIM(A1752))*(TRIM(Innings!D:D)=TRIM(E1752)),0))</f>
        <v>12</v>
      </c>
      <c r="AD1752" cm="1">
        <f t="array" ref="AD1752">INDEX(Innings!S:S,MATCH(1,(TRIM(Innings!A:A)=TRIM(A1752))*(TRIM(Innings!D:D)=TRIM(E1752)),0))</f>
        <v>35</v>
      </c>
      <c r="AE1752" t="str" cm="1">
        <f t="array" ref="AE1752">INDEX(Innings!W:W,MATCH(1,(TRIM(Innings!A:A)=TRIM(A1752))*(TRIM(Innings!D:D)=TRIM(E1752)),0))</f>
        <v>Failed</v>
      </c>
      <c r="AF1752">
        <f>IF(UPPER(TRIM(E1752))=UPPER(TRIM(W1752)),1,0)</f>
        <v>0</v>
      </c>
      <c r="AG1752">
        <f t="shared" si="54"/>
        <v>18.7</v>
      </c>
    </row>
    <row r="1753" spans="1:33" x14ac:dyDescent="0.3">
      <c r="A1753" t="s">
        <v>614</v>
      </c>
      <c r="B1753">
        <v>4</v>
      </c>
      <c r="C1753" t="s">
        <v>89</v>
      </c>
      <c r="D1753" t="s">
        <v>116</v>
      </c>
      <c r="E1753" t="s">
        <v>219</v>
      </c>
      <c r="F1753" t="s">
        <v>169</v>
      </c>
      <c r="G1753" t="s">
        <v>92</v>
      </c>
      <c r="H1753">
        <v>3</v>
      </c>
      <c r="I1753">
        <v>12</v>
      </c>
      <c r="J1753">
        <v>25</v>
      </c>
      <c r="K1753" t="s">
        <v>246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 s="8">
        <v>0</v>
      </c>
      <c r="V1753" s="8">
        <f t="shared" si="55"/>
        <v>0</v>
      </c>
      <c r="W1753" t="str">
        <f>_xlfn.XLOOKUP(A1753, Matches!A:A, Matches!L:L, "NA", 0)</f>
        <v>GGTW</v>
      </c>
      <c r="X1753" t="str">
        <f>_xlfn.XLOOKUP(A1753, Matches!A:A, Matches!J:J, "NA", 0)</f>
        <v>UPW</v>
      </c>
      <c r="Y1753" t="str">
        <f>_xlfn.XLOOKUP(A1753, Matches!A:A, Matches!F:F, "NA", 0)</f>
        <v>BCA Stadium, Kotambi</v>
      </c>
      <c r="Z1753" cm="1">
        <f t="array" ref="Z1753">INDEX(Innings!F:F,MATCH(1,(TRIM(Innings!A:A)=TRIM(A1753))*(TRIM(Innings!D:D)=TRIM(E1753)),0))</f>
        <v>108</v>
      </c>
      <c r="AA1753" cm="1">
        <f t="array" ref="AA1753">INDEX(Innings!I:I,MATCH(1,(TRIM(Innings!A:A)=TRIM(A1753))*(TRIM(Innings!D:D)=TRIM(E1753)),0))</f>
        <v>6.17</v>
      </c>
      <c r="AB1753" cm="1">
        <f t="array" ref="AB1753">INDEX(Innings!J:J,MATCH(1,(TRIM(Innings!A:A)=TRIM(A1753))*(TRIM(Innings!D:D)=TRIM(E1753)),0))</f>
        <v>46</v>
      </c>
      <c r="AC1753" cm="1">
        <f t="array" ref="AC1753">INDEX(Innings!N:N,MATCH(1,(TRIM(Innings!A:A)=TRIM(A1753))*(TRIM(Innings!D:D)=TRIM(E1753)),0))</f>
        <v>12</v>
      </c>
      <c r="AD1753" cm="1">
        <f t="array" ref="AD1753">INDEX(Innings!S:S,MATCH(1,(TRIM(Innings!A:A)=TRIM(A1753))*(TRIM(Innings!D:D)=TRIM(E1753)),0))</f>
        <v>35</v>
      </c>
      <c r="AE1753" t="str" cm="1">
        <f t="array" ref="AE1753">INDEX(Innings!W:W,MATCH(1,(TRIM(Innings!A:A)=TRIM(A1753))*(TRIM(Innings!D:D)=TRIM(E1753)),0))</f>
        <v>Failed</v>
      </c>
      <c r="AF1753">
        <f>IF(UPPER(TRIM(E1753))=UPPER(TRIM(W1753)),1,0)</f>
        <v>0</v>
      </c>
      <c r="AG1753">
        <f t="shared" si="54"/>
        <v>0</v>
      </c>
    </row>
    <row r="1754" spans="1:33" x14ac:dyDescent="0.3">
      <c r="A1754" t="s">
        <v>614</v>
      </c>
      <c r="B1754">
        <v>4</v>
      </c>
      <c r="C1754" t="s">
        <v>578</v>
      </c>
      <c r="D1754" t="s">
        <v>652</v>
      </c>
      <c r="E1754" t="s">
        <v>219</v>
      </c>
      <c r="F1754" t="s">
        <v>169</v>
      </c>
      <c r="G1754" t="s">
        <v>134</v>
      </c>
      <c r="H1754">
        <v>30</v>
      </c>
      <c r="I1754">
        <v>22</v>
      </c>
      <c r="J1754">
        <v>136.36000000000001</v>
      </c>
      <c r="K1754" t="s">
        <v>96</v>
      </c>
      <c r="L1754">
        <v>40</v>
      </c>
      <c r="M1754">
        <v>4</v>
      </c>
      <c r="N1754">
        <v>0</v>
      </c>
      <c r="O1754">
        <v>32</v>
      </c>
      <c r="P1754">
        <v>1</v>
      </c>
      <c r="Q1754">
        <v>8</v>
      </c>
      <c r="R1754">
        <v>25</v>
      </c>
      <c r="S1754">
        <v>0</v>
      </c>
      <c r="T1754">
        <v>0</v>
      </c>
      <c r="U1754" s="8">
        <v>65</v>
      </c>
      <c r="V1754" s="8">
        <f t="shared" si="55"/>
        <v>7</v>
      </c>
      <c r="W1754" t="str">
        <f>_xlfn.XLOOKUP(A1754, Matches!A:A, Matches!L:L, "NA", 0)</f>
        <v>GGTW</v>
      </c>
      <c r="X1754" t="str">
        <f>_xlfn.XLOOKUP(A1754, Matches!A:A, Matches!J:J, "NA", 0)</f>
        <v>UPW</v>
      </c>
      <c r="Y1754" t="str">
        <f>_xlfn.XLOOKUP(A1754, Matches!A:A, Matches!F:F, "NA", 0)</f>
        <v>BCA Stadium, Kotambi</v>
      </c>
      <c r="Z1754" cm="1">
        <f t="array" ref="Z1754">INDEX(Innings!F:F,MATCH(1,(TRIM(Innings!A:A)=TRIM(A1754))*(TRIM(Innings!D:D)=TRIM(E1754)),0))</f>
        <v>108</v>
      </c>
      <c r="AA1754" cm="1">
        <f t="array" ref="AA1754">INDEX(Innings!I:I,MATCH(1,(TRIM(Innings!A:A)=TRIM(A1754))*(TRIM(Innings!D:D)=TRIM(E1754)),0))</f>
        <v>6.17</v>
      </c>
      <c r="AB1754" cm="1">
        <f t="array" ref="AB1754">INDEX(Innings!J:J,MATCH(1,(TRIM(Innings!A:A)=TRIM(A1754))*(TRIM(Innings!D:D)=TRIM(E1754)),0))</f>
        <v>46</v>
      </c>
      <c r="AC1754" cm="1">
        <f t="array" ref="AC1754">INDEX(Innings!N:N,MATCH(1,(TRIM(Innings!A:A)=TRIM(A1754))*(TRIM(Innings!D:D)=TRIM(E1754)),0))</f>
        <v>12</v>
      </c>
      <c r="AD1754" cm="1">
        <f t="array" ref="AD1754">INDEX(Innings!S:S,MATCH(1,(TRIM(Innings!A:A)=TRIM(A1754))*(TRIM(Innings!D:D)=TRIM(E1754)),0))</f>
        <v>35</v>
      </c>
      <c r="AE1754" t="str" cm="1">
        <f t="array" ref="AE1754">INDEX(Innings!W:W,MATCH(1,(TRIM(Innings!A:A)=TRIM(A1754))*(TRIM(Innings!D:D)=TRIM(E1754)),0))</f>
        <v>Failed</v>
      </c>
      <c r="AF1754">
        <f>IF(UPPER(TRIM(E1754))=UPPER(TRIM(W1754)),1,0)</f>
        <v>0</v>
      </c>
      <c r="AG1754">
        <f t="shared" si="54"/>
        <v>34.6</v>
      </c>
    </row>
    <row r="1755" spans="1:33" x14ac:dyDescent="0.3">
      <c r="A1755" t="s">
        <v>614</v>
      </c>
      <c r="B1755">
        <v>4</v>
      </c>
      <c r="C1755" t="s">
        <v>224</v>
      </c>
      <c r="D1755" t="s">
        <v>225</v>
      </c>
      <c r="E1755" t="s">
        <v>219</v>
      </c>
      <c r="F1755" t="s">
        <v>169</v>
      </c>
      <c r="G1755" t="s">
        <v>134</v>
      </c>
      <c r="H1755">
        <v>4</v>
      </c>
      <c r="I1755">
        <v>7</v>
      </c>
      <c r="J1755">
        <v>57.14</v>
      </c>
      <c r="K1755" t="s">
        <v>247</v>
      </c>
      <c r="L1755">
        <v>5</v>
      </c>
      <c r="M1755">
        <v>2</v>
      </c>
      <c r="N1755">
        <v>0</v>
      </c>
      <c r="O1755">
        <v>16</v>
      </c>
      <c r="P1755">
        <v>1</v>
      </c>
      <c r="Q1755">
        <v>8</v>
      </c>
      <c r="R1755">
        <v>20</v>
      </c>
      <c r="S1755">
        <v>0</v>
      </c>
      <c r="T1755">
        <v>0</v>
      </c>
      <c r="U1755" s="8">
        <v>25</v>
      </c>
      <c r="V1755" s="8">
        <f t="shared" si="55"/>
        <v>3</v>
      </c>
      <c r="W1755" t="str">
        <f>_xlfn.XLOOKUP(A1755, Matches!A:A, Matches!L:L, "NA", 0)</f>
        <v>GGTW</v>
      </c>
      <c r="X1755" t="str">
        <f>_xlfn.XLOOKUP(A1755, Matches!A:A, Matches!J:J, "NA", 0)</f>
        <v>UPW</v>
      </c>
      <c r="Y1755" t="str">
        <f>_xlfn.XLOOKUP(A1755, Matches!A:A, Matches!F:F, "NA", 0)</f>
        <v>BCA Stadium, Kotambi</v>
      </c>
      <c r="Z1755" cm="1">
        <f t="array" ref="Z1755">INDEX(Innings!F:F,MATCH(1,(TRIM(Innings!A:A)=TRIM(A1755))*(TRIM(Innings!D:D)=TRIM(E1755)),0))</f>
        <v>108</v>
      </c>
      <c r="AA1755" cm="1">
        <f t="array" ref="AA1755">INDEX(Innings!I:I,MATCH(1,(TRIM(Innings!A:A)=TRIM(A1755))*(TRIM(Innings!D:D)=TRIM(E1755)),0))</f>
        <v>6.17</v>
      </c>
      <c r="AB1755" cm="1">
        <f t="array" ref="AB1755">INDEX(Innings!J:J,MATCH(1,(TRIM(Innings!A:A)=TRIM(A1755))*(TRIM(Innings!D:D)=TRIM(E1755)),0))</f>
        <v>46</v>
      </c>
      <c r="AC1755" cm="1">
        <f t="array" ref="AC1755">INDEX(Innings!N:N,MATCH(1,(TRIM(Innings!A:A)=TRIM(A1755))*(TRIM(Innings!D:D)=TRIM(E1755)),0))</f>
        <v>12</v>
      </c>
      <c r="AD1755" cm="1">
        <f t="array" ref="AD1755">INDEX(Innings!S:S,MATCH(1,(TRIM(Innings!A:A)=TRIM(A1755))*(TRIM(Innings!D:D)=TRIM(E1755)),0))</f>
        <v>35</v>
      </c>
      <c r="AE1755" t="str" cm="1">
        <f t="array" ref="AE1755">INDEX(Innings!W:W,MATCH(1,(TRIM(Innings!A:A)=TRIM(A1755))*(TRIM(Innings!D:D)=TRIM(E1755)),0))</f>
        <v>Failed</v>
      </c>
      <c r="AF1755">
        <f>IF(UPPER(TRIM(E1755))=UPPER(TRIM(W1755)),1,0)</f>
        <v>0</v>
      </c>
      <c r="AG1755">
        <f t="shared" si="54"/>
        <v>13.4</v>
      </c>
    </row>
    <row r="1756" spans="1:33" x14ac:dyDescent="0.3">
      <c r="A1756" t="s">
        <v>614</v>
      </c>
      <c r="B1756">
        <v>4</v>
      </c>
      <c r="C1756" t="s">
        <v>220</v>
      </c>
      <c r="D1756" t="s">
        <v>221</v>
      </c>
      <c r="E1756" t="s">
        <v>219</v>
      </c>
      <c r="F1756" t="s">
        <v>85</v>
      </c>
      <c r="G1756" t="s">
        <v>134</v>
      </c>
      <c r="H1756">
        <v>3</v>
      </c>
      <c r="I1756">
        <v>6</v>
      </c>
      <c r="J1756">
        <v>50</v>
      </c>
      <c r="K1756" t="s">
        <v>248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 s="8">
        <v>0</v>
      </c>
      <c r="V1756" s="8">
        <f t="shared" si="55"/>
        <v>0</v>
      </c>
      <c r="W1756" t="str">
        <f>_xlfn.XLOOKUP(A1756, Matches!A:A, Matches!L:L, "NA", 0)</f>
        <v>GGTW</v>
      </c>
      <c r="X1756" t="str">
        <f>_xlfn.XLOOKUP(A1756, Matches!A:A, Matches!J:J, "NA", 0)</f>
        <v>UPW</v>
      </c>
      <c r="Y1756" t="str">
        <f>_xlfn.XLOOKUP(A1756, Matches!A:A, Matches!F:F, "NA", 0)</f>
        <v>BCA Stadium, Kotambi</v>
      </c>
      <c r="Z1756" cm="1">
        <f t="array" ref="Z1756">INDEX(Innings!F:F,MATCH(1,(TRIM(Innings!A:A)=TRIM(A1756))*(TRIM(Innings!D:D)=TRIM(E1756)),0))</f>
        <v>108</v>
      </c>
      <c r="AA1756" cm="1">
        <f t="array" ref="AA1756">INDEX(Innings!I:I,MATCH(1,(TRIM(Innings!A:A)=TRIM(A1756))*(TRIM(Innings!D:D)=TRIM(E1756)),0))</f>
        <v>6.17</v>
      </c>
      <c r="AB1756" cm="1">
        <f t="array" ref="AB1756">INDEX(Innings!J:J,MATCH(1,(TRIM(Innings!A:A)=TRIM(A1756))*(TRIM(Innings!D:D)=TRIM(E1756)),0))</f>
        <v>46</v>
      </c>
      <c r="AC1756" cm="1">
        <f t="array" ref="AC1756">INDEX(Innings!N:N,MATCH(1,(TRIM(Innings!A:A)=TRIM(A1756))*(TRIM(Innings!D:D)=TRIM(E1756)),0))</f>
        <v>12</v>
      </c>
      <c r="AD1756" cm="1">
        <f t="array" ref="AD1756">INDEX(Innings!S:S,MATCH(1,(TRIM(Innings!A:A)=TRIM(A1756))*(TRIM(Innings!D:D)=TRIM(E1756)),0))</f>
        <v>35</v>
      </c>
      <c r="AE1756" t="str" cm="1">
        <f t="array" ref="AE1756">INDEX(Innings!W:W,MATCH(1,(TRIM(Innings!A:A)=TRIM(A1756))*(TRIM(Innings!D:D)=TRIM(E1756)),0))</f>
        <v>Failed</v>
      </c>
      <c r="AF1756">
        <f>IF(UPPER(TRIM(E1756))=UPPER(TRIM(W1756)),1,0)</f>
        <v>0</v>
      </c>
      <c r="AG1756">
        <f t="shared" si="54"/>
        <v>0</v>
      </c>
    </row>
    <row r="1757" spans="1:33" x14ac:dyDescent="0.3">
      <c r="A1757" t="s">
        <v>614</v>
      </c>
      <c r="B1757">
        <v>4</v>
      </c>
      <c r="C1757" t="s">
        <v>180</v>
      </c>
      <c r="D1757" t="s">
        <v>181</v>
      </c>
      <c r="E1757" t="s">
        <v>219</v>
      </c>
      <c r="F1757" t="s">
        <v>101</v>
      </c>
      <c r="G1757" t="s">
        <v>134</v>
      </c>
      <c r="H1757">
        <v>7</v>
      </c>
      <c r="I1757">
        <v>11</v>
      </c>
      <c r="J1757">
        <v>63.64</v>
      </c>
      <c r="K1757" t="s">
        <v>246</v>
      </c>
      <c r="L1757">
        <v>5</v>
      </c>
      <c r="M1757">
        <v>2</v>
      </c>
      <c r="N1757">
        <v>0</v>
      </c>
      <c r="O1757">
        <v>11</v>
      </c>
      <c r="P1757">
        <v>0</v>
      </c>
      <c r="Q1757">
        <v>5.5</v>
      </c>
      <c r="R1757">
        <v>10</v>
      </c>
      <c r="S1757">
        <v>0</v>
      </c>
      <c r="T1757">
        <v>0</v>
      </c>
      <c r="U1757" s="8">
        <v>15</v>
      </c>
      <c r="V1757" s="8">
        <f t="shared" si="55"/>
        <v>2</v>
      </c>
      <c r="W1757" t="str">
        <f>_xlfn.XLOOKUP(A1757, Matches!A:A, Matches!L:L, "NA", 0)</f>
        <v>GGTW</v>
      </c>
      <c r="X1757" t="str">
        <f>_xlfn.XLOOKUP(A1757, Matches!A:A, Matches!J:J, "NA", 0)</f>
        <v>UPW</v>
      </c>
      <c r="Y1757" t="str">
        <f>_xlfn.XLOOKUP(A1757, Matches!A:A, Matches!F:F, "NA", 0)</f>
        <v>BCA Stadium, Kotambi</v>
      </c>
      <c r="Z1757" cm="1">
        <f t="array" ref="Z1757">INDEX(Innings!F:F,MATCH(1,(TRIM(Innings!A:A)=TRIM(A1757))*(TRIM(Innings!D:D)=TRIM(E1757)),0))</f>
        <v>108</v>
      </c>
      <c r="AA1757" cm="1">
        <f t="array" ref="AA1757">INDEX(Innings!I:I,MATCH(1,(TRIM(Innings!A:A)=TRIM(A1757))*(TRIM(Innings!D:D)=TRIM(E1757)),0))</f>
        <v>6.17</v>
      </c>
      <c r="AB1757" cm="1">
        <f t="array" ref="AB1757">INDEX(Innings!J:J,MATCH(1,(TRIM(Innings!A:A)=TRIM(A1757))*(TRIM(Innings!D:D)=TRIM(E1757)),0))</f>
        <v>46</v>
      </c>
      <c r="AC1757" cm="1">
        <f t="array" ref="AC1757">INDEX(Innings!N:N,MATCH(1,(TRIM(Innings!A:A)=TRIM(A1757))*(TRIM(Innings!D:D)=TRIM(E1757)),0))</f>
        <v>12</v>
      </c>
      <c r="AD1757" cm="1">
        <f t="array" ref="AD1757">INDEX(Innings!S:S,MATCH(1,(TRIM(Innings!A:A)=TRIM(A1757))*(TRIM(Innings!D:D)=TRIM(E1757)),0))</f>
        <v>35</v>
      </c>
      <c r="AE1757" t="str" cm="1">
        <f t="array" ref="AE1757">INDEX(Innings!W:W,MATCH(1,(TRIM(Innings!A:A)=TRIM(A1757))*(TRIM(Innings!D:D)=TRIM(E1757)),0))</f>
        <v>Failed</v>
      </c>
      <c r="AF1757">
        <f>IF(UPPER(TRIM(E1757))=UPPER(TRIM(W1757)),1,0)</f>
        <v>0</v>
      </c>
      <c r="AG1757">
        <f t="shared" si="54"/>
        <v>8.1</v>
      </c>
    </row>
    <row r="1758" spans="1:33" x14ac:dyDescent="0.3">
      <c r="A1758" t="s">
        <v>614</v>
      </c>
      <c r="B1758">
        <v>4</v>
      </c>
      <c r="C1758" t="s">
        <v>233</v>
      </c>
      <c r="D1758" t="s">
        <v>234</v>
      </c>
      <c r="E1758" t="s">
        <v>219</v>
      </c>
      <c r="F1758" t="s">
        <v>101</v>
      </c>
      <c r="G1758" t="s">
        <v>134</v>
      </c>
      <c r="H1758">
        <v>1</v>
      </c>
      <c r="I1758">
        <v>4</v>
      </c>
      <c r="J1758">
        <v>25</v>
      </c>
      <c r="K1758" t="s">
        <v>246</v>
      </c>
      <c r="L1758">
        <v>0</v>
      </c>
      <c r="M1758">
        <v>4</v>
      </c>
      <c r="N1758">
        <v>0</v>
      </c>
      <c r="O1758">
        <v>22</v>
      </c>
      <c r="P1758">
        <v>2</v>
      </c>
      <c r="Q1758">
        <v>5.5</v>
      </c>
      <c r="R1758">
        <v>45</v>
      </c>
      <c r="S1758">
        <v>0</v>
      </c>
      <c r="T1758">
        <v>0</v>
      </c>
      <c r="U1758" s="8">
        <v>45</v>
      </c>
      <c r="V1758" s="8">
        <f t="shared" si="55"/>
        <v>5</v>
      </c>
      <c r="W1758" t="str">
        <f>_xlfn.XLOOKUP(A1758, Matches!A:A, Matches!L:L, "NA", 0)</f>
        <v>GGTW</v>
      </c>
      <c r="X1758" t="str">
        <f>_xlfn.XLOOKUP(A1758, Matches!A:A, Matches!J:J, "NA", 0)</f>
        <v>UPW</v>
      </c>
      <c r="Y1758" t="str">
        <f>_xlfn.XLOOKUP(A1758, Matches!A:A, Matches!F:F, "NA", 0)</f>
        <v>BCA Stadium, Kotambi</v>
      </c>
      <c r="Z1758" cm="1">
        <f t="array" ref="Z1758">INDEX(Innings!F:F,MATCH(1,(TRIM(Innings!A:A)=TRIM(A1758))*(TRIM(Innings!D:D)=TRIM(E1758)),0))</f>
        <v>108</v>
      </c>
      <c r="AA1758" cm="1">
        <f t="array" ref="AA1758">INDEX(Innings!I:I,MATCH(1,(TRIM(Innings!A:A)=TRIM(A1758))*(TRIM(Innings!D:D)=TRIM(E1758)),0))</f>
        <v>6.17</v>
      </c>
      <c r="AB1758" cm="1">
        <f t="array" ref="AB1758">INDEX(Innings!J:J,MATCH(1,(TRIM(Innings!A:A)=TRIM(A1758))*(TRIM(Innings!D:D)=TRIM(E1758)),0))</f>
        <v>46</v>
      </c>
      <c r="AC1758" cm="1">
        <f t="array" ref="AC1758">INDEX(Innings!N:N,MATCH(1,(TRIM(Innings!A:A)=TRIM(A1758))*(TRIM(Innings!D:D)=TRIM(E1758)),0))</f>
        <v>12</v>
      </c>
      <c r="AD1758" cm="1">
        <f t="array" ref="AD1758">INDEX(Innings!S:S,MATCH(1,(TRIM(Innings!A:A)=TRIM(A1758))*(TRIM(Innings!D:D)=TRIM(E1758)),0))</f>
        <v>35</v>
      </c>
      <c r="AE1758" t="str" cm="1">
        <f t="array" ref="AE1758">INDEX(Innings!W:W,MATCH(1,(TRIM(Innings!A:A)=TRIM(A1758))*(TRIM(Innings!D:D)=TRIM(E1758)),0))</f>
        <v>Failed</v>
      </c>
      <c r="AF1758">
        <f>IF(UPPER(TRIM(E1758))=UPPER(TRIM(W1758)),1,0)</f>
        <v>0</v>
      </c>
      <c r="AG1758">
        <f t="shared" si="54"/>
        <v>24</v>
      </c>
    </row>
    <row r="1759" spans="1:33" x14ac:dyDescent="0.3">
      <c r="A1759" t="s">
        <v>614</v>
      </c>
      <c r="B1759">
        <v>4</v>
      </c>
      <c r="C1759" t="s">
        <v>204</v>
      </c>
      <c r="D1759" t="s">
        <v>205</v>
      </c>
      <c r="E1759" t="s">
        <v>219</v>
      </c>
      <c r="F1759" t="s">
        <v>169</v>
      </c>
      <c r="G1759" t="s">
        <v>134</v>
      </c>
      <c r="H1759">
        <v>1</v>
      </c>
      <c r="I1759">
        <v>3</v>
      </c>
      <c r="J1759">
        <v>33.33</v>
      </c>
      <c r="K1759" t="s">
        <v>256</v>
      </c>
      <c r="L1759">
        <v>0</v>
      </c>
      <c r="M1759">
        <v>4</v>
      </c>
      <c r="N1759">
        <v>0</v>
      </c>
      <c r="O1759">
        <v>53</v>
      </c>
      <c r="P1759">
        <v>0</v>
      </c>
      <c r="Q1759">
        <v>13.2</v>
      </c>
      <c r="R1759">
        <v>-5</v>
      </c>
      <c r="S1759">
        <v>0</v>
      </c>
      <c r="T1759">
        <v>0</v>
      </c>
      <c r="U1759" s="8">
        <v>-5</v>
      </c>
      <c r="V1759" s="8">
        <f t="shared" si="55"/>
        <v>0</v>
      </c>
      <c r="W1759" t="str">
        <f>_xlfn.XLOOKUP(A1759, Matches!A:A, Matches!L:L, "NA", 0)</f>
        <v>GGTW</v>
      </c>
      <c r="X1759" t="str">
        <f>_xlfn.XLOOKUP(A1759, Matches!A:A, Matches!J:J, "NA", 0)</f>
        <v>UPW</v>
      </c>
      <c r="Y1759" t="str">
        <f>_xlfn.XLOOKUP(A1759, Matches!A:A, Matches!F:F, "NA", 0)</f>
        <v>BCA Stadium, Kotambi</v>
      </c>
      <c r="Z1759" cm="1">
        <f t="array" ref="Z1759">INDEX(Innings!F:F,MATCH(1,(TRIM(Innings!A:A)=TRIM(A1759))*(TRIM(Innings!D:D)=TRIM(E1759)),0))</f>
        <v>108</v>
      </c>
      <c r="AA1759" cm="1">
        <f t="array" ref="AA1759">INDEX(Innings!I:I,MATCH(1,(TRIM(Innings!A:A)=TRIM(A1759))*(TRIM(Innings!D:D)=TRIM(E1759)),0))</f>
        <v>6.17</v>
      </c>
      <c r="AB1759" cm="1">
        <f t="array" ref="AB1759">INDEX(Innings!J:J,MATCH(1,(TRIM(Innings!A:A)=TRIM(A1759))*(TRIM(Innings!D:D)=TRIM(E1759)),0))</f>
        <v>46</v>
      </c>
      <c r="AC1759" cm="1">
        <f t="array" ref="AC1759">INDEX(Innings!N:N,MATCH(1,(TRIM(Innings!A:A)=TRIM(A1759))*(TRIM(Innings!D:D)=TRIM(E1759)),0))</f>
        <v>12</v>
      </c>
      <c r="AD1759" cm="1">
        <f t="array" ref="AD1759">INDEX(Innings!S:S,MATCH(1,(TRIM(Innings!A:A)=TRIM(A1759))*(TRIM(Innings!D:D)=TRIM(E1759)),0))</f>
        <v>35</v>
      </c>
      <c r="AE1759" t="str" cm="1">
        <f t="array" ref="AE1759">INDEX(Innings!W:W,MATCH(1,(TRIM(Innings!A:A)=TRIM(A1759))*(TRIM(Innings!D:D)=TRIM(E1759)),0))</f>
        <v>Failed</v>
      </c>
      <c r="AF1759">
        <f>IF(UPPER(TRIM(E1759))=UPPER(TRIM(W1759)),1,0)</f>
        <v>0</v>
      </c>
      <c r="AG1759">
        <f t="shared" si="54"/>
        <v>0</v>
      </c>
    </row>
    <row r="1760" spans="1:33" x14ac:dyDescent="0.3">
      <c r="A1760" t="s">
        <v>614</v>
      </c>
      <c r="B1760">
        <v>4</v>
      </c>
      <c r="C1760" t="s">
        <v>509</v>
      </c>
      <c r="D1760" t="s">
        <v>523</v>
      </c>
      <c r="E1760" t="s">
        <v>219</v>
      </c>
      <c r="F1760" t="s">
        <v>101</v>
      </c>
      <c r="G1760" t="s">
        <v>134</v>
      </c>
      <c r="H1760">
        <v>1</v>
      </c>
      <c r="I1760">
        <v>2</v>
      </c>
      <c r="J1760">
        <v>50</v>
      </c>
      <c r="K1760" t="s">
        <v>245</v>
      </c>
      <c r="L1760">
        <v>0</v>
      </c>
      <c r="M1760">
        <v>4</v>
      </c>
      <c r="N1760">
        <v>0</v>
      </c>
      <c r="O1760">
        <v>18</v>
      </c>
      <c r="P1760">
        <v>2</v>
      </c>
      <c r="Q1760">
        <v>4.5</v>
      </c>
      <c r="R1760">
        <v>45</v>
      </c>
      <c r="S1760">
        <v>0</v>
      </c>
      <c r="T1760">
        <v>0</v>
      </c>
      <c r="U1760" s="8">
        <v>45</v>
      </c>
      <c r="V1760" s="8">
        <f t="shared" si="55"/>
        <v>5</v>
      </c>
      <c r="W1760" t="str">
        <f>_xlfn.XLOOKUP(A1760, Matches!A:A, Matches!L:L, "NA", 0)</f>
        <v>GGTW</v>
      </c>
      <c r="X1760" t="str">
        <f>_xlfn.XLOOKUP(A1760, Matches!A:A, Matches!J:J, "NA", 0)</f>
        <v>UPW</v>
      </c>
      <c r="Y1760" t="str">
        <f>_xlfn.XLOOKUP(A1760, Matches!A:A, Matches!F:F, "NA", 0)</f>
        <v>BCA Stadium, Kotambi</v>
      </c>
      <c r="Z1760" cm="1">
        <f t="array" ref="Z1760">INDEX(Innings!F:F,MATCH(1,(TRIM(Innings!A:A)=TRIM(A1760))*(TRIM(Innings!D:D)=TRIM(E1760)),0))</f>
        <v>108</v>
      </c>
      <c r="AA1760" cm="1">
        <f t="array" ref="AA1760">INDEX(Innings!I:I,MATCH(1,(TRIM(Innings!A:A)=TRIM(A1760))*(TRIM(Innings!D:D)=TRIM(E1760)),0))</f>
        <v>6.17</v>
      </c>
      <c r="AB1760" cm="1">
        <f t="array" ref="AB1760">INDEX(Innings!J:J,MATCH(1,(TRIM(Innings!A:A)=TRIM(A1760))*(TRIM(Innings!D:D)=TRIM(E1760)),0))</f>
        <v>46</v>
      </c>
      <c r="AC1760" cm="1">
        <f t="array" ref="AC1760">INDEX(Innings!N:N,MATCH(1,(TRIM(Innings!A:A)=TRIM(A1760))*(TRIM(Innings!D:D)=TRIM(E1760)),0))</f>
        <v>12</v>
      </c>
      <c r="AD1760" cm="1">
        <f t="array" ref="AD1760">INDEX(Innings!S:S,MATCH(1,(TRIM(Innings!A:A)=TRIM(A1760))*(TRIM(Innings!D:D)=TRIM(E1760)),0))</f>
        <v>35</v>
      </c>
      <c r="AE1760" t="str" cm="1">
        <f t="array" ref="AE1760">INDEX(Innings!W:W,MATCH(1,(TRIM(Innings!A:A)=TRIM(A1760))*(TRIM(Innings!D:D)=TRIM(E1760)),0))</f>
        <v>Failed</v>
      </c>
      <c r="AF1760">
        <f>IF(UPPER(TRIM(E1760))=UPPER(TRIM(W1760)),1,0)</f>
        <v>0</v>
      </c>
      <c r="AG1760">
        <f t="shared" si="54"/>
        <v>24</v>
      </c>
    </row>
    <row r="1761" spans="1:33" x14ac:dyDescent="0.3">
      <c r="A1761" t="s">
        <v>615</v>
      </c>
      <c r="B1761">
        <v>4</v>
      </c>
      <c r="C1761" t="s">
        <v>226</v>
      </c>
      <c r="D1761" t="s">
        <v>211</v>
      </c>
      <c r="E1761" t="s">
        <v>159</v>
      </c>
      <c r="F1761" t="s">
        <v>169</v>
      </c>
      <c r="G1761" t="s">
        <v>86</v>
      </c>
      <c r="H1761">
        <v>9</v>
      </c>
      <c r="I1761">
        <v>13</v>
      </c>
      <c r="J1761">
        <v>69.23</v>
      </c>
      <c r="K1761" t="s">
        <v>246</v>
      </c>
      <c r="L1761">
        <v>10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 s="8">
        <v>10</v>
      </c>
      <c r="V1761" s="8">
        <f t="shared" si="55"/>
        <v>1</v>
      </c>
      <c r="W1761" t="str">
        <f>_xlfn.XLOOKUP(A1761, Matches!A:A, Matches!L:L, "NA", 0)</f>
        <v>DCW</v>
      </c>
      <c r="X1761" t="str">
        <f>_xlfn.XLOOKUP(A1761, Matches!A:A, Matches!J:J, "NA", 0)</f>
        <v>DCW</v>
      </c>
      <c r="Y1761" t="str">
        <f>_xlfn.XLOOKUP(A1761, Matches!A:A, Matches!F:F, "NA", 0)</f>
        <v>BCA Stadium, Kotambi</v>
      </c>
      <c r="Z1761" cm="1">
        <f t="array" ref="Z1761">INDEX(Innings!F:F,MATCH(1,(TRIM(Innings!A:A)=TRIM(A1761))*(TRIM(Innings!D:D)=TRIM(E1761)),0))</f>
        <v>109</v>
      </c>
      <c r="AA1761" cm="1">
        <f t="array" ref="AA1761">INDEX(Innings!I:I,MATCH(1,(TRIM(Innings!A:A)=TRIM(A1761))*(TRIM(Innings!D:D)=TRIM(E1761)),0))</f>
        <v>5.45</v>
      </c>
      <c r="AB1761" cm="1">
        <f t="array" ref="AB1761">INDEX(Innings!J:J,MATCH(1,(TRIM(Innings!A:A)=TRIM(A1761))*(TRIM(Innings!D:D)=TRIM(E1761)),0))</f>
        <v>39</v>
      </c>
      <c r="AC1761" cm="1">
        <f t="array" ref="AC1761">INDEX(Innings!N:N,MATCH(1,(TRIM(Innings!A:A)=TRIM(A1761))*(TRIM(Innings!D:D)=TRIM(E1761)),0))</f>
        <v>17</v>
      </c>
      <c r="AD1761" cm="1">
        <f t="array" ref="AD1761">INDEX(Innings!S:S,MATCH(1,(TRIM(Innings!A:A)=TRIM(A1761))*(TRIM(Innings!D:D)=TRIM(E1761)),0))</f>
        <v>33</v>
      </c>
      <c r="AE1761" t="str" cm="1">
        <f t="array" ref="AE1761">INDEX(Innings!W:W,MATCH(1,(TRIM(Innings!A:A)=TRIM(A1761))*(TRIM(Innings!D:D)=TRIM(E1761)),0))</f>
        <v>NA</v>
      </c>
      <c r="AF1761">
        <f>IF(UPPER(TRIM(E1761))=UPPER(TRIM(W1761)),1,0)</f>
        <v>0</v>
      </c>
      <c r="AG1761">
        <f t="shared" si="54"/>
        <v>5.3</v>
      </c>
    </row>
    <row r="1762" spans="1:33" x14ac:dyDescent="0.3">
      <c r="A1762" t="s">
        <v>615</v>
      </c>
      <c r="B1762">
        <v>4</v>
      </c>
      <c r="C1762" t="s">
        <v>165</v>
      </c>
      <c r="D1762" t="s">
        <v>166</v>
      </c>
      <c r="E1762" t="s">
        <v>159</v>
      </c>
      <c r="F1762" t="s">
        <v>109</v>
      </c>
      <c r="G1762" t="s">
        <v>86</v>
      </c>
      <c r="H1762">
        <v>38</v>
      </c>
      <c r="I1762">
        <v>34</v>
      </c>
      <c r="J1762">
        <v>111.76</v>
      </c>
      <c r="K1762" t="s">
        <v>246</v>
      </c>
      <c r="L1762">
        <v>45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 s="8">
        <v>45</v>
      </c>
      <c r="V1762" s="8">
        <f t="shared" si="55"/>
        <v>5</v>
      </c>
      <c r="W1762" t="str">
        <f>_xlfn.XLOOKUP(A1762, Matches!A:A, Matches!L:L, "NA", 0)</f>
        <v>DCW</v>
      </c>
      <c r="X1762" t="str">
        <f>_xlfn.XLOOKUP(A1762, Matches!A:A, Matches!J:J, "NA", 0)</f>
        <v>DCW</v>
      </c>
      <c r="Y1762" t="str">
        <f>_xlfn.XLOOKUP(A1762, Matches!A:A, Matches!F:F, "NA", 0)</f>
        <v>BCA Stadium, Kotambi</v>
      </c>
      <c r="Z1762" cm="1">
        <f t="array" ref="Z1762">INDEX(Innings!F:F,MATCH(1,(TRIM(Innings!A:A)=TRIM(A1762))*(TRIM(Innings!D:D)=TRIM(E1762)),0))</f>
        <v>109</v>
      </c>
      <c r="AA1762" cm="1">
        <f t="array" ref="AA1762">INDEX(Innings!I:I,MATCH(1,(TRIM(Innings!A:A)=TRIM(A1762))*(TRIM(Innings!D:D)=TRIM(E1762)),0))</f>
        <v>5.45</v>
      </c>
      <c r="AB1762" cm="1">
        <f t="array" ref="AB1762">INDEX(Innings!J:J,MATCH(1,(TRIM(Innings!A:A)=TRIM(A1762))*(TRIM(Innings!D:D)=TRIM(E1762)),0))</f>
        <v>39</v>
      </c>
      <c r="AC1762" cm="1">
        <f t="array" ref="AC1762">INDEX(Innings!N:N,MATCH(1,(TRIM(Innings!A:A)=TRIM(A1762))*(TRIM(Innings!D:D)=TRIM(E1762)),0))</f>
        <v>17</v>
      </c>
      <c r="AD1762" cm="1">
        <f t="array" ref="AD1762">INDEX(Innings!S:S,MATCH(1,(TRIM(Innings!A:A)=TRIM(A1762))*(TRIM(Innings!D:D)=TRIM(E1762)),0))</f>
        <v>33</v>
      </c>
      <c r="AE1762" t="str" cm="1">
        <f t="array" ref="AE1762">INDEX(Innings!W:W,MATCH(1,(TRIM(Innings!A:A)=TRIM(A1762))*(TRIM(Innings!D:D)=TRIM(E1762)),0))</f>
        <v>NA</v>
      </c>
      <c r="AF1762">
        <f>IF(UPPER(TRIM(E1762))=UPPER(TRIM(W1762)),1,0)</f>
        <v>0</v>
      </c>
      <c r="AG1762">
        <f t="shared" si="54"/>
        <v>24</v>
      </c>
    </row>
    <row r="1763" spans="1:33" x14ac:dyDescent="0.3">
      <c r="A1763" t="s">
        <v>615</v>
      </c>
      <c r="B1763">
        <v>4</v>
      </c>
      <c r="C1763" t="s">
        <v>514</v>
      </c>
      <c r="D1763" t="s">
        <v>567</v>
      </c>
      <c r="E1763" t="s">
        <v>159</v>
      </c>
      <c r="F1763" t="s">
        <v>109</v>
      </c>
      <c r="G1763" t="s">
        <v>92</v>
      </c>
      <c r="H1763">
        <v>11</v>
      </c>
      <c r="I1763">
        <v>14</v>
      </c>
      <c r="J1763">
        <v>78.569999999999993</v>
      </c>
      <c r="K1763" t="s">
        <v>245</v>
      </c>
      <c r="L1763">
        <v>15</v>
      </c>
      <c r="M1763">
        <v>1</v>
      </c>
      <c r="N1763">
        <v>0</v>
      </c>
      <c r="O1763">
        <v>12</v>
      </c>
      <c r="P1763">
        <v>0</v>
      </c>
      <c r="Q1763">
        <v>12</v>
      </c>
      <c r="R1763">
        <v>0</v>
      </c>
      <c r="S1763">
        <v>0</v>
      </c>
      <c r="T1763">
        <v>0</v>
      </c>
      <c r="U1763" s="8">
        <v>15</v>
      </c>
      <c r="V1763" s="8">
        <f t="shared" si="55"/>
        <v>2</v>
      </c>
      <c r="W1763" t="str">
        <f>_xlfn.XLOOKUP(A1763, Matches!A:A, Matches!L:L, "NA", 0)</f>
        <v>DCW</v>
      </c>
      <c r="X1763" t="str">
        <f>_xlfn.XLOOKUP(A1763, Matches!A:A, Matches!J:J, "NA", 0)</f>
        <v>DCW</v>
      </c>
      <c r="Y1763" t="str">
        <f>_xlfn.XLOOKUP(A1763, Matches!A:A, Matches!F:F, "NA", 0)</f>
        <v>BCA Stadium, Kotambi</v>
      </c>
      <c r="Z1763" cm="1">
        <f t="array" ref="Z1763">INDEX(Innings!F:F,MATCH(1,(TRIM(Innings!A:A)=TRIM(A1763))*(TRIM(Innings!D:D)=TRIM(E1763)),0))</f>
        <v>109</v>
      </c>
      <c r="AA1763" cm="1">
        <f t="array" ref="AA1763">INDEX(Innings!I:I,MATCH(1,(TRIM(Innings!A:A)=TRIM(A1763))*(TRIM(Innings!D:D)=TRIM(E1763)),0))</f>
        <v>5.45</v>
      </c>
      <c r="AB1763" cm="1">
        <f t="array" ref="AB1763">INDEX(Innings!J:J,MATCH(1,(TRIM(Innings!A:A)=TRIM(A1763))*(TRIM(Innings!D:D)=TRIM(E1763)),0))</f>
        <v>39</v>
      </c>
      <c r="AC1763" cm="1">
        <f t="array" ref="AC1763">INDEX(Innings!N:N,MATCH(1,(TRIM(Innings!A:A)=TRIM(A1763))*(TRIM(Innings!D:D)=TRIM(E1763)),0))</f>
        <v>17</v>
      </c>
      <c r="AD1763" cm="1">
        <f t="array" ref="AD1763">INDEX(Innings!S:S,MATCH(1,(TRIM(Innings!A:A)=TRIM(A1763))*(TRIM(Innings!D:D)=TRIM(E1763)),0))</f>
        <v>33</v>
      </c>
      <c r="AE1763" t="str" cm="1">
        <f t="array" ref="AE1763">INDEX(Innings!W:W,MATCH(1,(TRIM(Innings!A:A)=TRIM(A1763))*(TRIM(Innings!D:D)=TRIM(E1763)),0))</f>
        <v>NA</v>
      </c>
      <c r="AF1763">
        <f>IF(UPPER(TRIM(E1763))=UPPER(TRIM(W1763)),1,0)</f>
        <v>0</v>
      </c>
      <c r="AG1763">
        <f t="shared" si="54"/>
        <v>8.1</v>
      </c>
    </row>
    <row r="1764" spans="1:33" x14ac:dyDescent="0.3">
      <c r="A1764" t="s">
        <v>615</v>
      </c>
      <c r="B1764">
        <v>4</v>
      </c>
      <c r="C1764" t="s">
        <v>535</v>
      </c>
      <c r="D1764" t="s">
        <v>645</v>
      </c>
      <c r="E1764" t="s">
        <v>159</v>
      </c>
      <c r="F1764" t="s">
        <v>169</v>
      </c>
      <c r="G1764" t="s">
        <v>92</v>
      </c>
      <c r="H1764">
        <v>3</v>
      </c>
      <c r="I1764">
        <v>7</v>
      </c>
      <c r="J1764">
        <v>42.86</v>
      </c>
      <c r="K1764" t="s">
        <v>245</v>
      </c>
      <c r="L1764">
        <v>5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 s="8">
        <v>5</v>
      </c>
      <c r="V1764" s="8">
        <f t="shared" si="55"/>
        <v>1</v>
      </c>
      <c r="W1764" t="str">
        <f>_xlfn.XLOOKUP(A1764, Matches!A:A, Matches!L:L, "NA", 0)</f>
        <v>DCW</v>
      </c>
      <c r="X1764" t="str">
        <f>_xlfn.XLOOKUP(A1764, Matches!A:A, Matches!J:J, "NA", 0)</f>
        <v>DCW</v>
      </c>
      <c r="Y1764" t="str">
        <f>_xlfn.XLOOKUP(A1764, Matches!A:A, Matches!F:F, "NA", 0)</f>
        <v>BCA Stadium, Kotambi</v>
      </c>
      <c r="Z1764" cm="1">
        <f t="array" ref="Z1764">INDEX(Innings!F:F,MATCH(1,(TRIM(Innings!A:A)=TRIM(A1764))*(TRIM(Innings!D:D)=TRIM(E1764)),0))</f>
        <v>109</v>
      </c>
      <c r="AA1764" cm="1">
        <f t="array" ref="AA1764">INDEX(Innings!I:I,MATCH(1,(TRIM(Innings!A:A)=TRIM(A1764))*(TRIM(Innings!D:D)=TRIM(E1764)),0))</f>
        <v>5.45</v>
      </c>
      <c r="AB1764" cm="1">
        <f t="array" ref="AB1764">INDEX(Innings!J:J,MATCH(1,(TRIM(Innings!A:A)=TRIM(A1764))*(TRIM(Innings!D:D)=TRIM(E1764)),0))</f>
        <v>39</v>
      </c>
      <c r="AC1764" cm="1">
        <f t="array" ref="AC1764">INDEX(Innings!N:N,MATCH(1,(TRIM(Innings!A:A)=TRIM(A1764))*(TRIM(Innings!D:D)=TRIM(E1764)),0))</f>
        <v>17</v>
      </c>
      <c r="AD1764" cm="1">
        <f t="array" ref="AD1764">INDEX(Innings!S:S,MATCH(1,(TRIM(Innings!A:A)=TRIM(A1764))*(TRIM(Innings!D:D)=TRIM(E1764)),0))</f>
        <v>33</v>
      </c>
      <c r="AE1764" t="str" cm="1">
        <f t="array" ref="AE1764">INDEX(Innings!W:W,MATCH(1,(TRIM(Innings!A:A)=TRIM(A1764))*(TRIM(Innings!D:D)=TRIM(E1764)),0))</f>
        <v>NA</v>
      </c>
      <c r="AF1764">
        <f>IF(UPPER(TRIM(E1764))=UPPER(TRIM(W1764)),1,0)</f>
        <v>0</v>
      </c>
      <c r="AG1764">
        <f t="shared" si="54"/>
        <v>2.8</v>
      </c>
    </row>
    <row r="1765" spans="1:33" x14ac:dyDescent="0.3">
      <c r="A1765" t="s">
        <v>615</v>
      </c>
      <c r="B1765">
        <v>4</v>
      </c>
      <c r="C1765" t="s">
        <v>176</v>
      </c>
      <c r="D1765" t="s">
        <v>177</v>
      </c>
      <c r="E1765" t="s">
        <v>159</v>
      </c>
      <c r="F1765" t="s">
        <v>85</v>
      </c>
      <c r="G1765" t="s">
        <v>134</v>
      </c>
      <c r="H1765">
        <v>5</v>
      </c>
      <c r="I1765">
        <v>9</v>
      </c>
      <c r="J1765">
        <v>55.56</v>
      </c>
      <c r="K1765" t="s">
        <v>246</v>
      </c>
      <c r="L1765">
        <v>5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 s="8">
        <v>5</v>
      </c>
      <c r="V1765" s="8">
        <f t="shared" si="55"/>
        <v>1</v>
      </c>
      <c r="W1765" t="str">
        <f>_xlfn.XLOOKUP(A1765, Matches!A:A, Matches!L:L, "NA", 0)</f>
        <v>DCW</v>
      </c>
      <c r="X1765" t="str">
        <f>_xlfn.XLOOKUP(A1765, Matches!A:A, Matches!J:J, "NA", 0)</f>
        <v>DCW</v>
      </c>
      <c r="Y1765" t="str">
        <f>_xlfn.XLOOKUP(A1765, Matches!A:A, Matches!F:F, "NA", 0)</f>
        <v>BCA Stadium, Kotambi</v>
      </c>
      <c r="Z1765" cm="1">
        <f t="array" ref="Z1765">INDEX(Innings!F:F,MATCH(1,(TRIM(Innings!A:A)=TRIM(A1765))*(TRIM(Innings!D:D)=TRIM(E1765)),0))</f>
        <v>109</v>
      </c>
      <c r="AA1765" cm="1">
        <f t="array" ref="AA1765">INDEX(Innings!I:I,MATCH(1,(TRIM(Innings!A:A)=TRIM(A1765))*(TRIM(Innings!D:D)=TRIM(E1765)),0))</f>
        <v>5.45</v>
      </c>
      <c r="AB1765" cm="1">
        <f t="array" ref="AB1765">INDEX(Innings!J:J,MATCH(1,(TRIM(Innings!A:A)=TRIM(A1765))*(TRIM(Innings!D:D)=TRIM(E1765)),0))</f>
        <v>39</v>
      </c>
      <c r="AC1765" cm="1">
        <f t="array" ref="AC1765">INDEX(Innings!N:N,MATCH(1,(TRIM(Innings!A:A)=TRIM(A1765))*(TRIM(Innings!D:D)=TRIM(E1765)),0))</f>
        <v>17</v>
      </c>
      <c r="AD1765" cm="1">
        <f t="array" ref="AD1765">INDEX(Innings!S:S,MATCH(1,(TRIM(Innings!A:A)=TRIM(A1765))*(TRIM(Innings!D:D)=TRIM(E1765)),0))</f>
        <v>33</v>
      </c>
      <c r="AE1765" t="str" cm="1">
        <f t="array" ref="AE1765">INDEX(Innings!W:W,MATCH(1,(TRIM(Innings!A:A)=TRIM(A1765))*(TRIM(Innings!D:D)=TRIM(E1765)),0))</f>
        <v>NA</v>
      </c>
      <c r="AF1765">
        <f>IF(UPPER(TRIM(E1765))=UPPER(TRIM(W1765)),1,0)</f>
        <v>0</v>
      </c>
      <c r="AG1765">
        <f t="shared" si="54"/>
        <v>2.8</v>
      </c>
    </row>
    <row r="1766" spans="1:33" x14ac:dyDescent="0.3">
      <c r="A1766" t="s">
        <v>615</v>
      </c>
      <c r="B1766">
        <v>4</v>
      </c>
      <c r="C1766" t="s">
        <v>206</v>
      </c>
      <c r="D1766" t="s">
        <v>207</v>
      </c>
      <c r="E1766" t="s">
        <v>159</v>
      </c>
      <c r="F1766" t="s">
        <v>169</v>
      </c>
      <c r="G1766" t="s">
        <v>134</v>
      </c>
      <c r="H1766">
        <v>18</v>
      </c>
      <c r="I1766">
        <v>17</v>
      </c>
      <c r="J1766">
        <v>105.88</v>
      </c>
      <c r="K1766" t="s">
        <v>246</v>
      </c>
      <c r="L1766">
        <v>20</v>
      </c>
      <c r="M1766">
        <v>2</v>
      </c>
      <c r="N1766">
        <v>0</v>
      </c>
      <c r="O1766">
        <v>10</v>
      </c>
      <c r="P1766">
        <v>1</v>
      </c>
      <c r="Q1766">
        <v>5</v>
      </c>
      <c r="R1766">
        <v>25</v>
      </c>
      <c r="S1766">
        <v>0</v>
      </c>
      <c r="T1766">
        <v>0</v>
      </c>
      <c r="U1766" s="8">
        <v>45</v>
      </c>
      <c r="V1766" s="8">
        <f t="shared" si="55"/>
        <v>5</v>
      </c>
      <c r="W1766" t="str">
        <f>_xlfn.XLOOKUP(A1766, Matches!A:A, Matches!L:L, "NA", 0)</f>
        <v>DCW</v>
      </c>
      <c r="X1766" t="str">
        <f>_xlfn.XLOOKUP(A1766, Matches!A:A, Matches!J:J, "NA", 0)</f>
        <v>DCW</v>
      </c>
      <c r="Y1766" t="str">
        <f>_xlfn.XLOOKUP(A1766, Matches!A:A, Matches!F:F, "NA", 0)</f>
        <v>BCA Stadium, Kotambi</v>
      </c>
      <c r="Z1766" cm="1">
        <f t="array" ref="Z1766">INDEX(Innings!F:F,MATCH(1,(TRIM(Innings!A:A)=TRIM(A1766))*(TRIM(Innings!D:D)=TRIM(E1766)),0))</f>
        <v>109</v>
      </c>
      <c r="AA1766" cm="1">
        <f t="array" ref="AA1766">INDEX(Innings!I:I,MATCH(1,(TRIM(Innings!A:A)=TRIM(A1766))*(TRIM(Innings!D:D)=TRIM(E1766)),0))</f>
        <v>5.45</v>
      </c>
      <c r="AB1766" cm="1">
        <f t="array" ref="AB1766">INDEX(Innings!J:J,MATCH(1,(TRIM(Innings!A:A)=TRIM(A1766))*(TRIM(Innings!D:D)=TRIM(E1766)),0))</f>
        <v>39</v>
      </c>
      <c r="AC1766" cm="1">
        <f t="array" ref="AC1766">INDEX(Innings!N:N,MATCH(1,(TRIM(Innings!A:A)=TRIM(A1766))*(TRIM(Innings!D:D)=TRIM(E1766)),0))</f>
        <v>17</v>
      </c>
      <c r="AD1766" cm="1">
        <f t="array" ref="AD1766">INDEX(Innings!S:S,MATCH(1,(TRIM(Innings!A:A)=TRIM(A1766))*(TRIM(Innings!D:D)=TRIM(E1766)),0))</f>
        <v>33</v>
      </c>
      <c r="AE1766" t="str" cm="1">
        <f t="array" ref="AE1766">INDEX(Innings!W:W,MATCH(1,(TRIM(Innings!A:A)=TRIM(A1766))*(TRIM(Innings!D:D)=TRIM(E1766)),0))</f>
        <v>NA</v>
      </c>
      <c r="AF1766">
        <f>IF(UPPER(TRIM(E1766))=UPPER(TRIM(W1766)),1,0)</f>
        <v>0</v>
      </c>
      <c r="AG1766">
        <f t="shared" si="54"/>
        <v>24</v>
      </c>
    </row>
    <row r="1767" spans="1:33" x14ac:dyDescent="0.3">
      <c r="A1767" t="s">
        <v>615</v>
      </c>
      <c r="B1767">
        <v>4</v>
      </c>
      <c r="C1767" t="s">
        <v>449</v>
      </c>
      <c r="D1767" t="s">
        <v>410</v>
      </c>
      <c r="E1767" t="s">
        <v>159</v>
      </c>
      <c r="F1767" t="s">
        <v>169</v>
      </c>
      <c r="G1767" t="s">
        <v>134</v>
      </c>
      <c r="H1767">
        <v>5</v>
      </c>
      <c r="I1767">
        <v>9</v>
      </c>
      <c r="J1767">
        <v>55.56</v>
      </c>
      <c r="K1767" t="s">
        <v>246</v>
      </c>
      <c r="L1767">
        <v>5</v>
      </c>
      <c r="M1767">
        <v>1</v>
      </c>
      <c r="N1767">
        <v>0</v>
      </c>
      <c r="O1767">
        <v>9</v>
      </c>
      <c r="P1767">
        <v>0</v>
      </c>
      <c r="Q1767">
        <v>9</v>
      </c>
      <c r="R1767">
        <v>0</v>
      </c>
      <c r="S1767">
        <v>0</v>
      </c>
      <c r="T1767">
        <v>0</v>
      </c>
      <c r="U1767" s="8">
        <v>5</v>
      </c>
      <c r="V1767" s="8">
        <f t="shared" si="55"/>
        <v>1</v>
      </c>
      <c r="W1767" t="str">
        <f>_xlfn.XLOOKUP(A1767, Matches!A:A, Matches!L:L, "NA", 0)</f>
        <v>DCW</v>
      </c>
      <c r="X1767" t="str">
        <f>_xlfn.XLOOKUP(A1767, Matches!A:A, Matches!J:J, "NA", 0)</f>
        <v>DCW</v>
      </c>
      <c r="Y1767" t="str">
        <f>_xlfn.XLOOKUP(A1767, Matches!A:A, Matches!F:F, "NA", 0)</f>
        <v>BCA Stadium, Kotambi</v>
      </c>
      <c r="Z1767" cm="1">
        <f t="array" ref="Z1767">INDEX(Innings!F:F,MATCH(1,(TRIM(Innings!A:A)=TRIM(A1767))*(TRIM(Innings!D:D)=TRIM(E1767)),0))</f>
        <v>109</v>
      </c>
      <c r="AA1767" cm="1">
        <f t="array" ref="AA1767">INDEX(Innings!I:I,MATCH(1,(TRIM(Innings!A:A)=TRIM(A1767))*(TRIM(Innings!D:D)=TRIM(E1767)),0))</f>
        <v>5.45</v>
      </c>
      <c r="AB1767" cm="1">
        <f t="array" ref="AB1767">INDEX(Innings!J:J,MATCH(1,(TRIM(Innings!A:A)=TRIM(A1767))*(TRIM(Innings!D:D)=TRIM(E1767)),0))</f>
        <v>39</v>
      </c>
      <c r="AC1767" cm="1">
        <f t="array" ref="AC1767">INDEX(Innings!N:N,MATCH(1,(TRIM(Innings!A:A)=TRIM(A1767))*(TRIM(Innings!D:D)=TRIM(E1767)),0))</f>
        <v>17</v>
      </c>
      <c r="AD1767" cm="1">
        <f t="array" ref="AD1767">INDEX(Innings!S:S,MATCH(1,(TRIM(Innings!A:A)=TRIM(A1767))*(TRIM(Innings!D:D)=TRIM(E1767)),0))</f>
        <v>33</v>
      </c>
      <c r="AE1767" t="str" cm="1">
        <f t="array" ref="AE1767">INDEX(Innings!W:W,MATCH(1,(TRIM(Innings!A:A)=TRIM(A1767))*(TRIM(Innings!D:D)=TRIM(E1767)),0))</f>
        <v>NA</v>
      </c>
      <c r="AF1767">
        <f>IF(UPPER(TRIM(E1767))=UPPER(TRIM(W1767)),1,0)</f>
        <v>0</v>
      </c>
      <c r="AG1767">
        <f t="shared" si="54"/>
        <v>2.8</v>
      </c>
    </row>
    <row r="1768" spans="1:33" x14ac:dyDescent="0.3">
      <c r="A1768" t="s">
        <v>615</v>
      </c>
      <c r="B1768">
        <v>4</v>
      </c>
      <c r="C1768" t="s">
        <v>202</v>
      </c>
      <c r="D1768" t="s">
        <v>203</v>
      </c>
      <c r="E1768" t="s">
        <v>159</v>
      </c>
      <c r="F1768" t="s">
        <v>101</v>
      </c>
      <c r="G1768" t="s">
        <v>134</v>
      </c>
      <c r="H1768">
        <v>2</v>
      </c>
      <c r="I1768">
        <v>5</v>
      </c>
      <c r="J1768">
        <v>40</v>
      </c>
      <c r="K1768" t="s">
        <v>247</v>
      </c>
      <c r="L1768">
        <v>0</v>
      </c>
      <c r="M1768">
        <v>2</v>
      </c>
      <c r="N1768">
        <v>0</v>
      </c>
      <c r="O1768">
        <v>17</v>
      </c>
      <c r="P1768">
        <v>0</v>
      </c>
      <c r="Q1768">
        <v>8.5</v>
      </c>
      <c r="R1768">
        <v>0</v>
      </c>
      <c r="S1768">
        <v>0</v>
      </c>
      <c r="T1768">
        <v>0</v>
      </c>
      <c r="U1768" s="8">
        <v>0</v>
      </c>
      <c r="V1768" s="8">
        <f t="shared" si="55"/>
        <v>0</v>
      </c>
      <c r="W1768" t="str">
        <f>_xlfn.XLOOKUP(A1768, Matches!A:A, Matches!L:L, "NA", 0)</f>
        <v>DCW</v>
      </c>
      <c r="X1768" t="str">
        <f>_xlfn.XLOOKUP(A1768, Matches!A:A, Matches!J:J, "NA", 0)</f>
        <v>DCW</v>
      </c>
      <c r="Y1768" t="str">
        <f>_xlfn.XLOOKUP(A1768, Matches!A:A, Matches!F:F, "NA", 0)</f>
        <v>BCA Stadium, Kotambi</v>
      </c>
      <c r="Z1768" cm="1">
        <f t="array" ref="Z1768">INDEX(Innings!F:F,MATCH(1,(TRIM(Innings!A:A)=TRIM(A1768))*(TRIM(Innings!D:D)=TRIM(E1768)),0))</f>
        <v>109</v>
      </c>
      <c r="AA1768" cm="1">
        <f t="array" ref="AA1768">INDEX(Innings!I:I,MATCH(1,(TRIM(Innings!A:A)=TRIM(A1768))*(TRIM(Innings!D:D)=TRIM(E1768)),0))</f>
        <v>5.45</v>
      </c>
      <c r="AB1768" cm="1">
        <f t="array" ref="AB1768">INDEX(Innings!J:J,MATCH(1,(TRIM(Innings!A:A)=TRIM(A1768))*(TRIM(Innings!D:D)=TRIM(E1768)),0))</f>
        <v>39</v>
      </c>
      <c r="AC1768" cm="1">
        <f t="array" ref="AC1768">INDEX(Innings!N:N,MATCH(1,(TRIM(Innings!A:A)=TRIM(A1768))*(TRIM(Innings!D:D)=TRIM(E1768)),0))</f>
        <v>17</v>
      </c>
      <c r="AD1768" cm="1">
        <f t="array" ref="AD1768">INDEX(Innings!S:S,MATCH(1,(TRIM(Innings!A:A)=TRIM(A1768))*(TRIM(Innings!D:D)=TRIM(E1768)),0))</f>
        <v>33</v>
      </c>
      <c r="AE1768" t="str" cm="1">
        <f t="array" ref="AE1768">INDEX(Innings!W:W,MATCH(1,(TRIM(Innings!A:A)=TRIM(A1768))*(TRIM(Innings!D:D)=TRIM(E1768)),0))</f>
        <v>NA</v>
      </c>
      <c r="AF1768">
        <f>IF(UPPER(TRIM(E1768))=UPPER(TRIM(W1768)),1,0)</f>
        <v>0</v>
      </c>
      <c r="AG1768">
        <f t="shared" si="54"/>
        <v>0</v>
      </c>
    </row>
    <row r="1769" spans="1:33" x14ac:dyDescent="0.3">
      <c r="A1769" t="s">
        <v>615</v>
      </c>
      <c r="B1769">
        <v>4</v>
      </c>
      <c r="C1769" t="s">
        <v>415</v>
      </c>
      <c r="D1769" t="s">
        <v>425</v>
      </c>
      <c r="E1769" t="s">
        <v>159</v>
      </c>
      <c r="F1769" t="s">
        <v>101</v>
      </c>
      <c r="G1769" t="s">
        <v>134</v>
      </c>
      <c r="H1769">
        <v>3</v>
      </c>
      <c r="I1769">
        <v>5</v>
      </c>
      <c r="J1769">
        <v>60</v>
      </c>
      <c r="K1769" t="s">
        <v>245</v>
      </c>
      <c r="L1769">
        <v>5</v>
      </c>
      <c r="M1769">
        <v>3</v>
      </c>
      <c r="N1769">
        <v>0</v>
      </c>
      <c r="O1769">
        <v>18</v>
      </c>
      <c r="P1769">
        <v>2</v>
      </c>
      <c r="Q1769">
        <v>6</v>
      </c>
      <c r="R1769">
        <v>40</v>
      </c>
      <c r="S1769">
        <v>0</v>
      </c>
      <c r="T1769">
        <v>0</v>
      </c>
      <c r="U1769" s="8">
        <v>45</v>
      </c>
      <c r="V1769" s="8">
        <f t="shared" si="55"/>
        <v>5</v>
      </c>
      <c r="W1769" t="str">
        <f>_xlfn.XLOOKUP(A1769, Matches!A:A, Matches!L:L, "NA", 0)</f>
        <v>DCW</v>
      </c>
      <c r="X1769" t="str">
        <f>_xlfn.XLOOKUP(A1769, Matches!A:A, Matches!J:J, "NA", 0)</f>
        <v>DCW</v>
      </c>
      <c r="Y1769" t="str">
        <f>_xlfn.XLOOKUP(A1769, Matches!A:A, Matches!F:F, "NA", 0)</f>
        <v>BCA Stadium, Kotambi</v>
      </c>
      <c r="Z1769" cm="1">
        <f t="array" ref="Z1769">INDEX(Innings!F:F,MATCH(1,(TRIM(Innings!A:A)=TRIM(A1769))*(TRIM(Innings!D:D)=TRIM(E1769)),0))</f>
        <v>109</v>
      </c>
      <c r="AA1769" cm="1">
        <f t="array" ref="AA1769">INDEX(Innings!I:I,MATCH(1,(TRIM(Innings!A:A)=TRIM(A1769))*(TRIM(Innings!D:D)=TRIM(E1769)),0))</f>
        <v>5.45</v>
      </c>
      <c r="AB1769" cm="1">
        <f t="array" ref="AB1769">INDEX(Innings!J:J,MATCH(1,(TRIM(Innings!A:A)=TRIM(A1769))*(TRIM(Innings!D:D)=TRIM(E1769)),0))</f>
        <v>39</v>
      </c>
      <c r="AC1769" cm="1">
        <f t="array" ref="AC1769">INDEX(Innings!N:N,MATCH(1,(TRIM(Innings!A:A)=TRIM(A1769))*(TRIM(Innings!D:D)=TRIM(E1769)),0))</f>
        <v>17</v>
      </c>
      <c r="AD1769" cm="1">
        <f t="array" ref="AD1769">INDEX(Innings!S:S,MATCH(1,(TRIM(Innings!A:A)=TRIM(A1769))*(TRIM(Innings!D:D)=TRIM(E1769)),0))</f>
        <v>33</v>
      </c>
      <c r="AE1769" t="str" cm="1">
        <f t="array" ref="AE1769">INDEX(Innings!W:W,MATCH(1,(TRIM(Innings!A:A)=TRIM(A1769))*(TRIM(Innings!D:D)=TRIM(E1769)),0))</f>
        <v>NA</v>
      </c>
      <c r="AF1769">
        <f>IF(UPPER(TRIM(E1769))=UPPER(TRIM(W1769)),1,0)</f>
        <v>0</v>
      </c>
      <c r="AG1769">
        <f t="shared" si="54"/>
        <v>24</v>
      </c>
    </row>
    <row r="1770" spans="1:33" x14ac:dyDescent="0.3">
      <c r="A1770" t="s">
        <v>615</v>
      </c>
      <c r="B1770">
        <v>4</v>
      </c>
      <c r="C1770" t="s">
        <v>259</v>
      </c>
      <c r="D1770" t="s">
        <v>257</v>
      </c>
      <c r="E1770" t="s">
        <v>159</v>
      </c>
      <c r="F1770" t="s">
        <v>169</v>
      </c>
      <c r="G1770" t="s">
        <v>134</v>
      </c>
      <c r="H1770">
        <v>7</v>
      </c>
      <c r="I1770">
        <v>7</v>
      </c>
      <c r="J1770">
        <v>100</v>
      </c>
      <c r="K1770" t="s">
        <v>246</v>
      </c>
      <c r="L1770">
        <v>10</v>
      </c>
      <c r="M1770">
        <v>2.4</v>
      </c>
      <c r="N1770">
        <v>0</v>
      </c>
      <c r="O1770">
        <v>14</v>
      </c>
      <c r="P1770">
        <v>0</v>
      </c>
      <c r="Q1770">
        <v>5.2</v>
      </c>
      <c r="R1770">
        <v>0</v>
      </c>
      <c r="S1770">
        <v>0</v>
      </c>
      <c r="T1770">
        <v>0</v>
      </c>
      <c r="U1770" s="8">
        <v>10</v>
      </c>
      <c r="V1770" s="8">
        <f t="shared" si="55"/>
        <v>1</v>
      </c>
      <c r="W1770" t="str">
        <f>_xlfn.XLOOKUP(A1770, Matches!A:A, Matches!L:L, "NA", 0)</f>
        <v>DCW</v>
      </c>
      <c r="X1770" t="str">
        <f>_xlfn.XLOOKUP(A1770, Matches!A:A, Matches!J:J, "NA", 0)</f>
        <v>DCW</v>
      </c>
      <c r="Y1770" t="str">
        <f>_xlfn.XLOOKUP(A1770, Matches!A:A, Matches!F:F, "NA", 0)</f>
        <v>BCA Stadium, Kotambi</v>
      </c>
      <c r="Z1770" cm="1">
        <f t="array" ref="Z1770">INDEX(Innings!F:F,MATCH(1,(TRIM(Innings!A:A)=TRIM(A1770))*(TRIM(Innings!D:D)=TRIM(E1770)),0))</f>
        <v>109</v>
      </c>
      <c r="AA1770" cm="1">
        <f t="array" ref="AA1770">INDEX(Innings!I:I,MATCH(1,(TRIM(Innings!A:A)=TRIM(A1770))*(TRIM(Innings!D:D)=TRIM(E1770)),0))</f>
        <v>5.45</v>
      </c>
      <c r="AB1770" cm="1">
        <f t="array" ref="AB1770">INDEX(Innings!J:J,MATCH(1,(TRIM(Innings!A:A)=TRIM(A1770))*(TRIM(Innings!D:D)=TRIM(E1770)),0))</f>
        <v>39</v>
      </c>
      <c r="AC1770" cm="1">
        <f t="array" ref="AC1770">INDEX(Innings!N:N,MATCH(1,(TRIM(Innings!A:A)=TRIM(A1770))*(TRIM(Innings!D:D)=TRIM(E1770)),0))</f>
        <v>17</v>
      </c>
      <c r="AD1770" cm="1">
        <f t="array" ref="AD1770">INDEX(Innings!S:S,MATCH(1,(TRIM(Innings!A:A)=TRIM(A1770))*(TRIM(Innings!D:D)=TRIM(E1770)),0))</f>
        <v>33</v>
      </c>
      <c r="AE1770" t="str" cm="1">
        <f t="array" ref="AE1770">INDEX(Innings!W:W,MATCH(1,(TRIM(Innings!A:A)=TRIM(A1770))*(TRIM(Innings!D:D)=TRIM(E1770)),0))</f>
        <v>NA</v>
      </c>
      <c r="AF1770">
        <f>IF(UPPER(TRIM(E1770))=UPPER(TRIM(W1770)),1,0)</f>
        <v>0</v>
      </c>
      <c r="AG1770">
        <f t="shared" si="54"/>
        <v>5.3</v>
      </c>
    </row>
    <row r="1771" spans="1:33" x14ac:dyDescent="0.3">
      <c r="A1771" t="s">
        <v>615</v>
      </c>
      <c r="B1771">
        <v>4</v>
      </c>
      <c r="C1771" t="s">
        <v>527</v>
      </c>
      <c r="D1771" t="s">
        <v>627</v>
      </c>
      <c r="E1771" t="s">
        <v>159</v>
      </c>
      <c r="F1771" t="s">
        <v>101</v>
      </c>
      <c r="G1771" t="s">
        <v>134</v>
      </c>
      <c r="H1771">
        <v>1</v>
      </c>
      <c r="I1771">
        <v>1</v>
      </c>
      <c r="J1771">
        <v>100</v>
      </c>
      <c r="K1771" t="s">
        <v>96</v>
      </c>
      <c r="L1771">
        <v>5</v>
      </c>
      <c r="M1771">
        <v>4</v>
      </c>
      <c r="N1771">
        <v>0</v>
      </c>
      <c r="O1771">
        <v>30</v>
      </c>
      <c r="P1771">
        <v>0</v>
      </c>
      <c r="Q1771">
        <v>7.5</v>
      </c>
      <c r="R1771">
        <v>0</v>
      </c>
      <c r="S1771">
        <v>0</v>
      </c>
      <c r="T1771">
        <v>0</v>
      </c>
      <c r="U1771" s="8">
        <v>5</v>
      </c>
      <c r="V1771" s="8">
        <f t="shared" si="55"/>
        <v>1</v>
      </c>
      <c r="W1771" t="str">
        <f>_xlfn.XLOOKUP(A1771, Matches!A:A, Matches!L:L, "NA", 0)</f>
        <v>DCW</v>
      </c>
      <c r="X1771" t="str">
        <f>_xlfn.XLOOKUP(A1771, Matches!A:A, Matches!J:J, "NA", 0)</f>
        <v>DCW</v>
      </c>
      <c r="Y1771" t="str">
        <f>_xlfn.XLOOKUP(A1771, Matches!A:A, Matches!F:F, "NA", 0)</f>
        <v>BCA Stadium, Kotambi</v>
      </c>
      <c r="Z1771" cm="1">
        <f t="array" ref="Z1771">INDEX(Innings!F:F,MATCH(1,(TRIM(Innings!A:A)=TRIM(A1771))*(TRIM(Innings!D:D)=TRIM(E1771)),0))</f>
        <v>109</v>
      </c>
      <c r="AA1771" cm="1">
        <f t="array" ref="AA1771">INDEX(Innings!I:I,MATCH(1,(TRIM(Innings!A:A)=TRIM(A1771))*(TRIM(Innings!D:D)=TRIM(E1771)),0))</f>
        <v>5.45</v>
      </c>
      <c r="AB1771" cm="1">
        <f t="array" ref="AB1771">INDEX(Innings!J:J,MATCH(1,(TRIM(Innings!A:A)=TRIM(A1771))*(TRIM(Innings!D:D)=TRIM(E1771)),0))</f>
        <v>39</v>
      </c>
      <c r="AC1771" cm="1">
        <f t="array" ref="AC1771">INDEX(Innings!N:N,MATCH(1,(TRIM(Innings!A:A)=TRIM(A1771))*(TRIM(Innings!D:D)=TRIM(E1771)),0))</f>
        <v>17</v>
      </c>
      <c r="AD1771" cm="1">
        <f t="array" ref="AD1771">INDEX(Innings!S:S,MATCH(1,(TRIM(Innings!A:A)=TRIM(A1771))*(TRIM(Innings!D:D)=TRIM(E1771)),0))</f>
        <v>33</v>
      </c>
      <c r="AE1771" t="str" cm="1">
        <f t="array" ref="AE1771">INDEX(Innings!W:W,MATCH(1,(TRIM(Innings!A:A)=TRIM(A1771))*(TRIM(Innings!D:D)=TRIM(E1771)),0))</f>
        <v>NA</v>
      </c>
      <c r="AF1771">
        <f>IF(UPPER(TRIM(E1771))=UPPER(TRIM(W1771)),1,0)</f>
        <v>0</v>
      </c>
      <c r="AG1771">
        <f t="shared" si="54"/>
        <v>2.8</v>
      </c>
    </row>
    <row r="1772" spans="1:33" x14ac:dyDescent="0.3">
      <c r="A1772" t="s">
        <v>615</v>
      </c>
      <c r="B1772">
        <v>4</v>
      </c>
      <c r="C1772" t="s">
        <v>188</v>
      </c>
      <c r="D1772" t="s">
        <v>189</v>
      </c>
      <c r="E1772" t="s">
        <v>158</v>
      </c>
      <c r="F1772" t="s">
        <v>109</v>
      </c>
      <c r="G1772" t="s">
        <v>86</v>
      </c>
      <c r="H1772">
        <v>16</v>
      </c>
      <c r="I1772">
        <v>8</v>
      </c>
      <c r="J1772">
        <v>200</v>
      </c>
      <c r="K1772" t="s">
        <v>246</v>
      </c>
      <c r="L1772">
        <v>20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 s="8">
        <v>20</v>
      </c>
      <c r="V1772" s="8">
        <f t="shared" si="55"/>
        <v>2</v>
      </c>
      <c r="W1772" t="str">
        <f>_xlfn.XLOOKUP(A1772, Matches!A:A, Matches!L:L, "NA", 0)</f>
        <v>DCW</v>
      </c>
      <c r="X1772" t="str">
        <f>_xlfn.XLOOKUP(A1772, Matches!A:A, Matches!J:J, "NA", 0)</f>
        <v>DCW</v>
      </c>
      <c r="Y1772" t="str">
        <f>_xlfn.XLOOKUP(A1772, Matches!A:A, Matches!F:F, "NA", 0)</f>
        <v>BCA Stadium, Kotambi</v>
      </c>
      <c r="Z1772" cm="1">
        <f t="array" ref="Z1772">INDEX(Innings!F:F,MATCH(1,(TRIM(Innings!A:A)=TRIM(A1772))*(TRIM(Innings!D:D)=TRIM(E1772)),0))</f>
        <v>111</v>
      </c>
      <c r="AA1772" cm="1">
        <f t="array" ref="AA1772">INDEX(Innings!I:I,MATCH(1,(TRIM(Innings!A:A)=TRIM(A1772))*(TRIM(Innings!D:D)=TRIM(E1772)),0))</f>
        <v>7.09</v>
      </c>
      <c r="AB1772" cm="1">
        <f t="array" ref="AB1772">INDEX(Innings!J:J,MATCH(1,(TRIM(Innings!A:A)=TRIM(A1772))*(TRIM(Innings!D:D)=TRIM(E1772)),0))</f>
        <v>38</v>
      </c>
      <c r="AC1772" cm="1">
        <f t="array" ref="AC1772">INDEX(Innings!N:N,MATCH(1,(TRIM(Innings!A:A)=TRIM(A1772))*(TRIM(Innings!D:D)=TRIM(E1772)),0))</f>
        <v>0</v>
      </c>
      <c r="AD1772" cm="1">
        <f t="array" ref="AD1772">INDEX(Innings!S:S,MATCH(1,(TRIM(Innings!A:A)=TRIM(A1772))*(TRIM(Innings!D:D)=TRIM(E1772)),0))</f>
        <v>31</v>
      </c>
      <c r="AE1772" t="str" cm="1">
        <f t="array" ref="AE1772">INDEX(Innings!W:W,MATCH(1,(TRIM(Innings!A:A)=TRIM(A1772))*(TRIM(Innings!D:D)=TRIM(E1772)),0))</f>
        <v>Successful</v>
      </c>
      <c r="AF1772">
        <f>IF(UPPER(TRIM(E1772))=UPPER(TRIM(W1772)),1,0)</f>
        <v>1</v>
      </c>
      <c r="AG1772">
        <f t="shared" si="54"/>
        <v>30.6</v>
      </c>
    </row>
    <row r="1773" spans="1:33" x14ac:dyDescent="0.3">
      <c r="A1773" t="s">
        <v>615</v>
      </c>
      <c r="B1773">
        <v>4</v>
      </c>
      <c r="C1773" t="s">
        <v>531</v>
      </c>
      <c r="D1773" t="s">
        <v>636</v>
      </c>
      <c r="E1773" t="s">
        <v>158</v>
      </c>
      <c r="F1773" t="s">
        <v>85</v>
      </c>
      <c r="G1773" t="s">
        <v>86</v>
      </c>
      <c r="H1773">
        <v>6</v>
      </c>
      <c r="I1773">
        <v>8</v>
      </c>
      <c r="J1773">
        <v>75</v>
      </c>
      <c r="K1773" t="s">
        <v>246</v>
      </c>
      <c r="L1773">
        <v>5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 s="8">
        <v>5</v>
      </c>
      <c r="V1773" s="8">
        <f t="shared" si="55"/>
        <v>1</v>
      </c>
      <c r="W1773" t="str">
        <f>_xlfn.XLOOKUP(A1773, Matches!A:A, Matches!L:L, "NA", 0)</f>
        <v>DCW</v>
      </c>
      <c r="X1773" t="str">
        <f>_xlfn.XLOOKUP(A1773, Matches!A:A, Matches!J:J, "NA", 0)</f>
        <v>DCW</v>
      </c>
      <c r="Y1773" t="str">
        <f>_xlfn.XLOOKUP(A1773, Matches!A:A, Matches!F:F, "NA", 0)</f>
        <v>BCA Stadium, Kotambi</v>
      </c>
      <c r="Z1773" cm="1">
        <f t="array" ref="Z1773">INDEX(Innings!F:F,MATCH(1,(TRIM(Innings!A:A)=TRIM(A1773))*(TRIM(Innings!D:D)=TRIM(E1773)),0))</f>
        <v>111</v>
      </c>
      <c r="AA1773" cm="1">
        <f t="array" ref="AA1773">INDEX(Innings!I:I,MATCH(1,(TRIM(Innings!A:A)=TRIM(A1773))*(TRIM(Innings!D:D)=TRIM(E1773)),0))</f>
        <v>7.09</v>
      </c>
      <c r="AB1773" cm="1">
        <f t="array" ref="AB1773">INDEX(Innings!J:J,MATCH(1,(TRIM(Innings!A:A)=TRIM(A1773))*(TRIM(Innings!D:D)=TRIM(E1773)),0))</f>
        <v>38</v>
      </c>
      <c r="AC1773" cm="1">
        <f t="array" ref="AC1773">INDEX(Innings!N:N,MATCH(1,(TRIM(Innings!A:A)=TRIM(A1773))*(TRIM(Innings!D:D)=TRIM(E1773)),0))</f>
        <v>0</v>
      </c>
      <c r="AD1773" cm="1">
        <f t="array" ref="AD1773">INDEX(Innings!S:S,MATCH(1,(TRIM(Innings!A:A)=TRIM(A1773))*(TRIM(Innings!D:D)=TRIM(E1773)),0))</f>
        <v>31</v>
      </c>
      <c r="AE1773" t="str" cm="1">
        <f t="array" ref="AE1773">INDEX(Innings!W:W,MATCH(1,(TRIM(Innings!A:A)=TRIM(A1773))*(TRIM(Innings!D:D)=TRIM(E1773)),0))</f>
        <v>Successful</v>
      </c>
      <c r="AF1773">
        <f>IF(UPPER(TRIM(E1773))=UPPER(TRIM(W1773)),1,0)</f>
        <v>1</v>
      </c>
      <c r="AG1773">
        <f t="shared" si="54"/>
        <v>22.8</v>
      </c>
    </row>
    <row r="1774" spans="1:33" x14ac:dyDescent="0.3">
      <c r="A1774" t="s">
        <v>615</v>
      </c>
      <c r="B1774">
        <v>4</v>
      </c>
      <c r="C1774" t="s">
        <v>278</v>
      </c>
      <c r="D1774" t="s">
        <v>293</v>
      </c>
      <c r="E1774" t="s">
        <v>158</v>
      </c>
      <c r="F1774" t="s">
        <v>109</v>
      </c>
      <c r="G1774" t="s">
        <v>92</v>
      </c>
      <c r="H1774">
        <v>42</v>
      </c>
      <c r="I1774">
        <v>38</v>
      </c>
      <c r="J1774">
        <v>110.53</v>
      </c>
      <c r="K1774" t="s">
        <v>96</v>
      </c>
      <c r="L1774">
        <v>50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 s="8">
        <v>50</v>
      </c>
      <c r="V1774" s="8">
        <f t="shared" si="55"/>
        <v>5</v>
      </c>
      <c r="W1774" t="str">
        <f>_xlfn.XLOOKUP(A1774, Matches!A:A, Matches!L:L, "NA", 0)</f>
        <v>DCW</v>
      </c>
      <c r="X1774" t="str">
        <f>_xlfn.XLOOKUP(A1774, Matches!A:A, Matches!J:J, "NA", 0)</f>
        <v>DCW</v>
      </c>
      <c r="Y1774" t="str">
        <f>_xlfn.XLOOKUP(A1774, Matches!A:A, Matches!F:F, "NA", 0)</f>
        <v>BCA Stadium, Kotambi</v>
      </c>
      <c r="Z1774" cm="1">
        <f t="array" ref="Z1774">INDEX(Innings!F:F,MATCH(1,(TRIM(Innings!A:A)=TRIM(A1774))*(TRIM(Innings!D:D)=TRIM(E1774)),0))</f>
        <v>111</v>
      </c>
      <c r="AA1774" cm="1">
        <f t="array" ref="AA1774">INDEX(Innings!I:I,MATCH(1,(TRIM(Innings!A:A)=TRIM(A1774))*(TRIM(Innings!D:D)=TRIM(E1774)),0))</f>
        <v>7.09</v>
      </c>
      <c r="AB1774" cm="1">
        <f t="array" ref="AB1774">INDEX(Innings!J:J,MATCH(1,(TRIM(Innings!A:A)=TRIM(A1774))*(TRIM(Innings!D:D)=TRIM(E1774)),0))</f>
        <v>38</v>
      </c>
      <c r="AC1774" cm="1">
        <f t="array" ref="AC1774">INDEX(Innings!N:N,MATCH(1,(TRIM(Innings!A:A)=TRIM(A1774))*(TRIM(Innings!D:D)=TRIM(E1774)),0))</f>
        <v>0</v>
      </c>
      <c r="AD1774" cm="1">
        <f t="array" ref="AD1774">INDEX(Innings!S:S,MATCH(1,(TRIM(Innings!A:A)=TRIM(A1774))*(TRIM(Innings!D:D)=TRIM(E1774)),0))</f>
        <v>31</v>
      </c>
      <c r="AE1774" t="str" cm="1">
        <f t="array" ref="AE1774">INDEX(Innings!W:W,MATCH(1,(TRIM(Innings!A:A)=TRIM(A1774))*(TRIM(Innings!D:D)=TRIM(E1774)),0))</f>
        <v>Successful</v>
      </c>
      <c r="AF1774">
        <f>IF(UPPER(TRIM(E1774))=UPPER(TRIM(W1774)),1,0)</f>
        <v>1</v>
      </c>
      <c r="AG1774">
        <f t="shared" si="54"/>
        <v>46.5</v>
      </c>
    </row>
    <row r="1775" spans="1:33" x14ac:dyDescent="0.3">
      <c r="A1775" t="s">
        <v>615</v>
      </c>
      <c r="B1775">
        <v>4</v>
      </c>
      <c r="C1775" t="s">
        <v>194</v>
      </c>
      <c r="D1775" t="s">
        <v>195</v>
      </c>
      <c r="E1775" t="s">
        <v>158</v>
      </c>
      <c r="F1775" t="s">
        <v>109</v>
      </c>
      <c r="G1775" t="s">
        <v>92</v>
      </c>
      <c r="H1775">
        <v>24</v>
      </c>
      <c r="I1775">
        <v>26</v>
      </c>
      <c r="J1775">
        <v>92.31</v>
      </c>
      <c r="K1775" t="s">
        <v>246</v>
      </c>
      <c r="L1775">
        <v>30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 s="8">
        <v>30</v>
      </c>
      <c r="V1775" s="8">
        <f t="shared" si="55"/>
        <v>3</v>
      </c>
      <c r="W1775" t="str">
        <f>_xlfn.XLOOKUP(A1775, Matches!A:A, Matches!L:L, "NA", 0)</f>
        <v>DCW</v>
      </c>
      <c r="X1775" t="str">
        <f>_xlfn.XLOOKUP(A1775, Matches!A:A, Matches!J:J, "NA", 0)</f>
        <v>DCW</v>
      </c>
      <c r="Y1775" t="str">
        <f>_xlfn.XLOOKUP(A1775, Matches!A:A, Matches!F:F, "NA", 0)</f>
        <v>BCA Stadium, Kotambi</v>
      </c>
      <c r="Z1775" cm="1">
        <f t="array" ref="Z1775">INDEX(Innings!F:F,MATCH(1,(TRIM(Innings!A:A)=TRIM(A1775))*(TRIM(Innings!D:D)=TRIM(E1775)),0))</f>
        <v>111</v>
      </c>
      <c r="AA1775" cm="1">
        <f t="array" ref="AA1775">INDEX(Innings!I:I,MATCH(1,(TRIM(Innings!A:A)=TRIM(A1775))*(TRIM(Innings!D:D)=TRIM(E1775)),0))</f>
        <v>7.09</v>
      </c>
      <c r="AB1775" cm="1">
        <f t="array" ref="AB1775">INDEX(Innings!J:J,MATCH(1,(TRIM(Innings!A:A)=TRIM(A1775))*(TRIM(Innings!D:D)=TRIM(E1775)),0))</f>
        <v>38</v>
      </c>
      <c r="AC1775" cm="1">
        <f t="array" ref="AC1775">INDEX(Innings!N:N,MATCH(1,(TRIM(Innings!A:A)=TRIM(A1775))*(TRIM(Innings!D:D)=TRIM(E1775)),0))</f>
        <v>0</v>
      </c>
      <c r="AD1775" cm="1">
        <f t="array" ref="AD1775">INDEX(Innings!S:S,MATCH(1,(TRIM(Innings!A:A)=TRIM(A1775))*(TRIM(Innings!D:D)=TRIM(E1775)),0))</f>
        <v>31</v>
      </c>
      <c r="AE1775" t="str" cm="1">
        <f t="array" ref="AE1775">INDEX(Innings!W:W,MATCH(1,(TRIM(Innings!A:A)=TRIM(A1775))*(TRIM(Innings!D:D)=TRIM(E1775)),0))</f>
        <v>Successful</v>
      </c>
      <c r="AF1775">
        <f>IF(UPPER(TRIM(E1775))=UPPER(TRIM(W1775)),1,0)</f>
        <v>1</v>
      </c>
      <c r="AG1775">
        <f t="shared" si="54"/>
        <v>35.9</v>
      </c>
    </row>
    <row r="1776" spans="1:33" x14ac:dyDescent="0.3">
      <c r="A1776" t="s">
        <v>615</v>
      </c>
      <c r="B1776">
        <v>4</v>
      </c>
      <c r="C1776" t="s">
        <v>192</v>
      </c>
      <c r="D1776" t="s">
        <v>193</v>
      </c>
      <c r="E1776" t="s">
        <v>158</v>
      </c>
      <c r="F1776" t="s">
        <v>169</v>
      </c>
      <c r="G1776" t="s">
        <v>134</v>
      </c>
      <c r="H1776">
        <v>19</v>
      </c>
      <c r="I1776">
        <v>15</v>
      </c>
      <c r="J1776">
        <v>126.67</v>
      </c>
      <c r="K1776" t="s">
        <v>96</v>
      </c>
      <c r="L1776">
        <v>25</v>
      </c>
      <c r="M1776">
        <v>4</v>
      </c>
      <c r="N1776">
        <v>0</v>
      </c>
      <c r="O1776">
        <v>17</v>
      </c>
      <c r="P1776">
        <v>2</v>
      </c>
      <c r="Q1776">
        <v>4.2</v>
      </c>
      <c r="R1776">
        <v>45</v>
      </c>
      <c r="S1776">
        <v>0</v>
      </c>
      <c r="T1776">
        <v>0</v>
      </c>
      <c r="U1776" s="8">
        <v>70</v>
      </c>
      <c r="V1776" s="8">
        <f t="shared" si="55"/>
        <v>7</v>
      </c>
      <c r="W1776" t="str">
        <f>_xlfn.XLOOKUP(A1776, Matches!A:A, Matches!L:L, "NA", 0)</f>
        <v>DCW</v>
      </c>
      <c r="X1776" t="str">
        <f>_xlfn.XLOOKUP(A1776, Matches!A:A, Matches!J:J, "NA", 0)</f>
        <v>DCW</v>
      </c>
      <c r="Y1776" t="str">
        <f>_xlfn.XLOOKUP(A1776, Matches!A:A, Matches!F:F, "NA", 0)</f>
        <v>BCA Stadium, Kotambi</v>
      </c>
      <c r="Z1776" cm="1">
        <f t="array" ref="Z1776">INDEX(Innings!F:F,MATCH(1,(TRIM(Innings!A:A)=TRIM(A1776))*(TRIM(Innings!D:D)=TRIM(E1776)),0))</f>
        <v>111</v>
      </c>
      <c r="AA1776" cm="1">
        <f t="array" ref="AA1776">INDEX(Innings!I:I,MATCH(1,(TRIM(Innings!A:A)=TRIM(A1776))*(TRIM(Innings!D:D)=TRIM(E1776)),0))</f>
        <v>7.09</v>
      </c>
      <c r="AB1776" cm="1">
        <f t="array" ref="AB1776">INDEX(Innings!J:J,MATCH(1,(TRIM(Innings!A:A)=TRIM(A1776))*(TRIM(Innings!D:D)=TRIM(E1776)),0))</f>
        <v>38</v>
      </c>
      <c r="AC1776" cm="1">
        <f t="array" ref="AC1776">INDEX(Innings!N:N,MATCH(1,(TRIM(Innings!A:A)=TRIM(A1776))*(TRIM(Innings!D:D)=TRIM(E1776)),0))</f>
        <v>0</v>
      </c>
      <c r="AD1776" cm="1">
        <f t="array" ref="AD1776">INDEX(Innings!S:S,MATCH(1,(TRIM(Innings!A:A)=TRIM(A1776))*(TRIM(Innings!D:D)=TRIM(E1776)),0))</f>
        <v>31</v>
      </c>
      <c r="AE1776" t="str" cm="1">
        <f t="array" ref="AE1776">INDEX(Innings!W:W,MATCH(1,(TRIM(Innings!A:A)=TRIM(A1776))*(TRIM(Innings!D:D)=TRIM(E1776)),0))</f>
        <v>Successful</v>
      </c>
      <c r="AF1776">
        <f>IF(UPPER(TRIM(E1776))=UPPER(TRIM(W1776)),1,0)</f>
        <v>1</v>
      </c>
      <c r="AG1776">
        <f t="shared" si="54"/>
        <v>57.1</v>
      </c>
    </row>
    <row r="1777" spans="1:33" x14ac:dyDescent="0.3">
      <c r="A1777" t="s">
        <v>615</v>
      </c>
      <c r="B1777">
        <v>4</v>
      </c>
      <c r="C1777" t="s">
        <v>495</v>
      </c>
      <c r="D1777" t="s">
        <v>503</v>
      </c>
      <c r="E1777" t="s">
        <v>158</v>
      </c>
      <c r="F1777" t="s">
        <v>169</v>
      </c>
      <c r="G1777" t="s">
        <v>104</v>
      </c>
      <c r="H1777">
        <v>0</v>
      </c>
      <c r="I1777">
        <v>0</v>
      </c>
      <c r="J1777">
        <v>0</v>
      </c>
      <c r="K1777" t="s">
        <v>104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 s="8">
        <v>0</v>
      </c>
      <c r="V1777" s="8">
        <f t="shared" si="55"/>
        <v>0</v>
      </c>
      <c r="W1777" t="str">
        <f>_xlfn.XLOOKUP(A1777, Matches!A:A, Matches!L:L, "NA", 0)</f>
        <v>DCW</v>
      </c>
      <c r="X1777" t="str">
        <f>_xlfn.XLOOKUP(A1777, Matches!A:A, Matches!J:J, "NA", 0)</f>
        <v>DCW</v>
      </c>
      <c r="Y1777" t="str">
        <f>_xlfn.XLOOKUP(A1777, Matches!A:A, Matches!F:F, "NA", 0)</f>
        <v>BCA Stadium, Kotambi</v>
      </c>
      <c r="Z1777" cm="1">
        <f t="array" ref="Z1777">INDEX(Innings!F:F,MATCH(1,(TRIM(Innings!A:A)=TRIM(A1777))*(TRIM(Innings!D:D)=TRIM(E1777)),0))</f>
        <v>111</v>
      </c>
      <c r="AA1777" cm="1">
        <f t="array" ref="AA1777">INDEX(Innings!I:I,MATCH(1,(TRIM(Innings!A:A)=TRIM(A1777))*(TRIM(Innings!D:D)=TRIM(E1777)),0))</f>
        <v>7.09</v>
      </c>
      <c r="AB1777" cm="1">
        <f t="array" ref="AB1777">INDEX(Innings!J:J,MATCH(1,(TRIM(Innings!A:A)=TRIM(A1777))*(TRIM(Innings!D:D)=TRIM(E1777)),0))</f>
        <v>38</v>
      </c>
      <c r="AC1777" cm="1">
        <f t="array" ref="AC1777">INDEX(Innings!N:N,MATCH(1,(TRIM(Innings!A:A)=TRIM(A1777))*(TRIM(Innings!D:D)=TRIM(E1777)),0))</f>
        <v>0</v>
      </c>
      <c r="AD1777" cm="1">
        <f t="array" ref="AD1777">INDEX(Innings!S:S,MATCH(1,(TRIM(Innings!A:A)=TRIM(A1777))*(TRIM(Innings!D:D)=TRIM(E1777)),0))</f>
        <v>31</v>
      </c>
      <c r="AE1777" t="str" cm="1">
        <f t="array" ref="AE1777">INDEX(Innings!W:W,MATCH(1,(TRIM(Innings!A:A)=TRIM(A1777))*(TRIM(Innings!D:D)=TRIM(E1777)),0))</f>
        <v>Successful</v>
      </c>
      <c r="AF1777">
        <f>IF(UPPER(TRIM(E1777))=UPPER(TRIM(W1777)),1,0)</f>
        <v>1</v>
      </c>
      <c r="AG1777">
        <f t="shared" si="54"/>
        <v>20</v>
      </c>
    </row>
    <row r="1778" spans="1:33" x14ac:dyDescent="0.3">
      <c r="A1778" t="s">
        <v>615</v>
      </c>
      <c r="B1778">
        <v>4</v>
      </c>
      <c r="C1778" t="s">
        <v>512</v>
      </c>
      <c r="D1778" t="s">
        <v>542</v>
      </c>
      <c r="E1778" t="s">
        <v>158</v>
      </c>
      <c r="F1778" t="s">
        <v>169</v>
      </c>
      <c r="G1778" t="s">
        <v>104</v>
      </c>
      <c r="H1778">
        <v>0</v>
      </c>
      <c r="I1778">
        <v>0</v>
      </c>
      <c r="J1778">
        <v>0</v>
      </c>
      <c r="K1778" t="s">
        <v>104</v>
      </c>
      <c r="L1778">
        <v>0</v>
      </c>
      <c r="M1778">
        <v>4</v>
      </c>
      <c r="N1778">
        <v>0</v>
      </c>
      <c r="O1778">
        <v>22</v>
      </c>
      <c r="P1778">
        <v>2</v>
      </c>
      <c r="Q1778">
        <v>5.5</v>
      </c>
      <c r="R1778">
        <v>40</v>
      </c>
      <c r="S1778">
        <v>0</v>
      </c>
      <c r="T1778">
        <v>0</v>
      </c>
      <c r="U1778" s="8">
        <v>40</v>
      </c>
      <c r="V1778" s="8">
        <f t="shared" si="55"/>
        <v>4</v>
      </c>
      <c r="W1778" t="str">
        <f>_xlfn.XLOOKUP(A1778, Matches!A:A, Matches!L:L, "NA", 0)</f>
        <v>DCW</v>
      </c>
      <c r="X1778" t="str">
        <f>_xlfn.XLOOKUP(A1778, Matches!A:A, Matches!J:J, "NA", 0)</f>
        <v>DCW</v>
      </c>
      <c r="Y1778" t="str">
        <f>_xlfn.XLOOKUP(A1778, Matches!A:A, Matches!F:F, "NA", 0)</f>
        <v>BCA Stadium, Kotambi</v>
      </c>
      <c r="Z1778" cm="1">
        <f t="array" ref="Z1778">INDEX(Innings!F:F,MATCH(1,(TRIM(Innings!A:A)=TRIM(A1778))*(TRIM(Innings!D:D)=TRIM(E1778)),0))</f>
        <v>111</v>
      </c>
      <c r="AA1778" cm="1">
        <f t="array" ref="AA1778">INDEX(Innings!I:I,MATCH(1,(TRIM(Innings!A:A)=TRIM(A1778))*(TRIM(Innings!D:D)=TRIM(E1778)),0))</f>
        <v>7.09</v>
      </c>
      <c r="AB1778" cm="1">
        <f t="array" ref="AB1778">INDEX(Innings!J:J,MATCH(1,(TRIM(Innings!A:A)=TRIM(A1778))*(TRIM(Innings!D:D)=TRIM(E1778)),0))</f>
        <v>38</v>
      </c>
      <c r="AC1778" cm="1">
        <f t="array" ref="AC1778">INDEX(Innings!N:N,MATCH(1,(TRIM(Innings!A:A)=TRIM(A1778))*(TRIM(Innings!D:D)=TRIM(E1778)),0))</f>
        <v>0</v>
      </c>
      <c r="AD1778" cm="1">
        <f t="array" ref="AD1778">INDEX(Innings!S:S,MATCH(1,(TRIM(Innings!A:A)=TRIM(A1778))*(TRIM(Innings!D:D)=TRIM(E1778)),0))</f>
        <v>31</v>
      </c>
      <c r="AE1778" t="str" cm="1">
        <f t="array" ref="AE1778">INDEX(Innings!W:W,MATCH(1,(TRIM(Innings!A:A)=TRIM(A1778))*(TRIM(Innings!D:D)=TRIM(E1778)),0))</f>
        <v>Successful</v>
      </c>
      <c r="AF1778">
        <f>IF(UPPER(TRIM(E1778))=UPPER(TRIM(W1778)),1,0)</f>
        <v>1</v>
      </c>
      <c r="AG1778">
        <f t="shared" si="54"/>
        <v>41.2</v>
      </c>
    </row>
    <row r="1779" spans="1:33" x14ac:dyDescent="0.3">
      <c r="A1779" t="s">
        <v>615</v>
      </c>
      <c r="B1779">
        <v>4</v>
      </c>
      <c r="C1779" t="s">
        <v>102</v>
      </c>
      <c r="D1779" t="s">
        <v>126</v>
      </c>
      <c r="E1779" t="s">
        <v>158</v>
      </c>
      <c r="F1779" t="s">
        <v>169</v>
      </c>
      <c r="G1779" t="s">
        <v>104</v>
      </c>
      <c r="H1779">
        <v>0</v>
      </c>
      <c r="I1779">
        <v>0</v>
      </c>
      <c r="J1779">
        <v>0</v>
      </c>
      <c r="K1779" t="s">
        <v>104</v>
      </c>
      <c r="L1779">
        <v>0</v>
      </c>
      <c r="M1779">
        <v>1</v>
      </c>
      <c r="N1779">
        <v>0</v>
      </c>
      <c r="O1779">
        <v>10</v>
      </c>
      <c r="P1779">
        <v>0</v>
      </c>
      <c r="Q1779">
        <v>10</v>
      </c>
      <c r="R1779">
        <v>0</v>
      </c>
      <c r="S1779">
        <v>0</v>
      </c>
      <c r="T1779">
        <v>0</v>
      </c>
      <c r="U1779" s="8">
        <v>0</v>
      </c>
      <c r="V1779" s="8">
        <f t="shared" si="55"/>
        <v>0</v>
      </c>
      <c r="W1779" t="str">
        <f>_xlfn.XLOOKUP(A1779, Matches!A:A, Matches!L:L, "NA", 0)</f>
        <v>DCW</v>
      </c>
      <c r="X1779" t="str">
        <f>_xlfn.XLOOKUP(A1779, Matches!A:A, Matches!J:J, "NA", 0)</f>
        <v>DCW</v>
      </c>
      <c r="Y1779" t="str">
        <f>_xlfn.XLOOKUP(A1779, Matches!A:A, Matches!F:F, "NA", 0)</f>
        <v>BCA Stadium, Kotambi</v>
      </c>
      <c r="Z1779" cm="1">
        <f t="array" ref="Z1779">INDEX(Innings!F:F,MATCH(1,(TRIM(Innings!A:A)=TRIM(A1779))*(TRIM(Innings!D:D)=TRIM(E1779)),0))</f>
        <v>111</v>
      </c>
      <c r="AA1779" cm="1">
        <f t="array" ref="AA1779">INDEX(Innings!I:I,MATCH(1,(TRIM(Innings!A:A)=TRIM(A1779))*(TRIM(Innings!D:D)=TRIM(E1779)),0))</f>
        <v>7.09</v>
      </c>
      <c r="AB1779" cm="1">
        <f t="array" ref="AB1779">INDEX(Innings!J:J,MATCH(1,(TRIM(Innings!A:A)=TRIM(A1779))*(TRIM(Innings!D:D)=TRIM(E1779)),0))</f>
        <v>38</v>
      </c>
      <c r="AC1779" cm="1">
        <f t="array" ref="AC1779">INDEX(Innings!N:N,MATCH(1,(TRIM(Innings!A:A)=TRIM(A1779))*(TRIM(Innings!D:D)=TRIM(E1779)),0))</f>
        <v>0</v>
      </c>
      <c r="AD1779" cm="1">
        <f t="array" ref="AD1779">INDEX(Innings!S:S,MATCH(1,(TRIM(Innings!A:A)=TRIM(A1779))*(TRIM(Innings!D:D)=TRIM(E1779)),0))</f>
        <v>31</v>
      </c>
      <c r="AE1779" t="str" cm="1">
        <f t="array" ref="AE1779">INDEX(Innings!W:W,MATCH(1,(TRIM(Innings!A:A)=TRIM(A1779))*(TRIM(Innings!D:D)=TRIM(E1779)),0))</f>
        <v>Successful</v>
      </c>
      <c r="AF1779">
        <f>IF(UPPER(TRIM(E1779))=UPPER(TRIM(W1779)),1,0)</f>
        <v>1</v>
      </c>
      <c r="AG1779">
        <f t="shared" si="54"/>
        <v>20</v>
      </c>
    </row>
    <row r="1780" spans="1:33" x14ac:dyDescent="0.3">
      <c r="A1780" t="s">
        <v>615</v>
      </c>
      <c r="B1780">
        <v>4</v>
      </c>
      <c r="C1780" t="s">
        <v>274</v>
      </c>
      <c r="D1780" t="s">
        <v>284</v>
      </c>
      <c r="E1780" t="s">
        <v>158</v>
      </c>
      <c r="F1780" t="s">
        <v>169</v>
      </c>
      <c r="G1780" t="s">
        <v>104</v>
      </c>
      <c r="H1780">
        <v>0</v>
      </c>
      <c r="I1780">
        <v>0</v>
      </c>
      <c r="J1780">
        <v>0</v>
      </c>
      <c r="K1780" t="s">
        <v>104</v>
      </c>
      <c r="L1780">
        <v>0</v>
      </c>
      <c r="M1780">
        <v>3</v>
      </c>
      <c r="N1780">
        <v>0</v>
      </c>
      <c r="O1780">
        <v>18</v>
      </c>
      <c r="P1780">
        <v>2</v>
      </c>
      <c r="Q1780">
        <v>6</v>
      </c>
      <c r="R1780">
        <v>40</v>
      </c>
      <c r="S1780">
        <v>0</v>
      </c>
      <c r="T1780">
        <v>0</v>
      </c>
      <c r="U1780" s="8">
        <v>40</v>
      </c>
      <c r="V1780" s="8">
        <f t="shared" si="55"/>
        <v>4</v>
      </c>
      <c r="W1780" t="str">
        <f>_xlfn.XLOOKUP(A1780, Matches!A:A, Matches!L:L, "NA", 0)</f>
        <v>DCW</v>
      </c>
      <c r="X1780" t="str">
        <f>_xlfn.XLOOKUP(A1780, Matches!A:A, Matches!J:J, "NA", 0)</f>
        <v>DCW</v>
      </c>
      <c r="Y1780" t="str">
        <f>_xlfn.XLOOKUP(A1780, Matches!A:A, Matches!F:F, "NA", 0)</f>
        <v>BCA Stadium, Kotambi</v>
      </c>
      <c r="Z1780" cm="1">
        <f t="array" ref="Z1780">INDEX(Innings!F:F,MATCH(1,(TRIM(Innings!A:A)=TRIM(A1780))*(TRIM(Innings!D:D)=TRIM(E1780)),0))</f>
        <v>111</v>
      </c>
      <c r="AA1780" cm="1">
        <f t="array" ref="AA1780">INDEX(Innings!I:I,MATCH(1,(TRIM(Innings!A:A)=TRIM(A1780))*(TRIM(Innings!D:D)=TRIM(E1780)),0))</f>
        <v>7.09</v>
      </c>
      <c r="AB1780" cm="1">
        <f t="array" ref="AB1780">INDEX(Innings!J:J,MATCH(1,(TRIM(Innings!A:A)=TRIM(A1780))*(TRIM(Innings!D:D)=TRIM(E1780)),0))</f>
        <v>38</v>
      </c>
      <c r="AC1780" cm="1">
        <f t="array" ref="AC1780">INDEX(Innings!N:N,MATCH(1,(TRIM(Innings!A:A)=TRIM(A1780))*(TRIM(Innings!D:D)=TRIM(E1780)),0))</f>
        <v>0</v>
      </c>
      <c r="AD1780" cm="1">
        <f t="array" ref="AD1780">INDEX(Innings!S:S,MATCH(1,(TRIM(Innings!A:A)=TRIM(A1780))*(TRIM(Innings!D:D)=TRIM(E1780)),0))</f>
        <v>31</v>
      </c>
      <c r="AE1780" t="str" cm="1">
        <f t="array" ref="AE1780">INDEX(Innings!W:W,MATCH(1,(TRIM(Innings!A:A)=TRIM(A1780))*(TRIM(Innings!D:D)=TRIM(E1780)),0))</f>
        <v>Successful</v>
      </c>
      <c r="AF1780">
        <f>IF(UPPER(TRIM(E1780))=UPPER(TRIM(W1780)),1,0)</f>
        <v>1</v>
      </c>
      <c r="AG1780">
        <f t="shared" si="54"/>
        <v>41.2</v>
      </c>
    </row>
    <row r="1781" spans="1:33" x14ac:dyDescent="0.3">
      <c r="A1781" t="s">
        <v>615</v>
      </c>
      <c r="B1781">
        <v>4</v>
      </c>
      <c r="C1781" t="s">
        <v>532</v>
      </c>
      <c r="D1781" t="s">
        <v>637</v>
      </c>
      <c r="E1781" t="s">
        <v>158</v>
      </c>
      <c r="F1781" t="s">
        <v>101</v>
      </c>
      <c r="G1781" t="s">
        <v>104</v>
      </c>
      <c r="H1781">
        <v>0</v>
      </c>
      <c r="I1781">
        <v>0</v>
      </c>
      <c r="J1781">
        <v>0</v>
      </c>
      <c r="K1781" t="s">
        <v>104</v>
      </c>
      <c r="L1781">
        <v>0</v>
      </c>
      <c r="M1781">
        <v>4</v>
      </c>
      <c r="N1781">
        <v>0</v>
      </c>
      <c r="O1781">
        <v>14</v>
      </c>
      <c r="P1781">
        <v>1</v>
      </c>
      <c r="Q1781">
        <v>3.5</v>
      </c>
      <c r="R1781">
        <v>25</v>
      </c>
      <c r="S1781">
        <v>0</v>
      </c>
      <c r="T1781">
        <v>0</v>
      </c>
      <c r="U1781" s="8">
        <v>25</v>
      </c>
      <c r="V1781" s="8">
        <f t="shared" si="55"/>
        <v>3</v>
      </c>
      <c r="W1781" t="str">
        <f>_xlfn.XLOOKUP(A1781, Matches!A:A, Matches!L:L, "NA", 0)</f>
        <v>DCW</v>
      </c>
      <c r="X1781" t="str">
        <f>_xlfn.XLOOKUP(A1781, Matches!A:A, Matches!J:J, "NA", 0)</f>
        <v>DCW</v>
      </c>
      <c r="Y1781" t="str">
        <f>_xlfn.XLOOKUP(A1781, Matches!A:A, Matches!F:F, "NA", 0)</f>
        <v>BCA Stadium, Kotambi</v>
      </c>
      <c r="Z1781" cm="1">
        <f t="array" ref="Z1781">INDEX(Innings!F:F,MATCH(1,(TRIM(Innings!A:A)=TRIM(A1781))*(TRIM(Innings!D:D)=TRIM(E1781)),0))</f>
        <v>111</v>
      </c>
      <c r="AA1781" cm="1">
        <f t="array" ref="AA1781">INDEX(Innings!I:I,MATCH(1,(TRIM(Innings!A:A)=TRIM(A1781))*(TRIM(Innings!D:D)=TRIM(E1781)),0))</f>
        <v>7.09</v>
      </c>
      <c r="AB1781" cm="1">
        <f t="array" ref="AB1781">INDEX(Innings!J:J,MATCH(1,(TRIM(Innings!A:A)=TRIM(A1781))*(TRIM(Innings!D:D)=TRIM(E1781)),0))</f>
        <v>38</v>
      </c>
      <c r="AC1781" cm="1">
        <f t="array" ref="AC1781">INDEX(Innings!N:N,MATCH(1,(TRIM(Innings!A:A)=TRIM(A1781))*(TRIM(Innings!D:D)=TRIM(E1781)),0))</f>
        <v>0</v>
      </c>
      <c r="AD1781" cm="1">
        <f t="array" ref="AD1781">INDEX(Innings!S:S,MATCH(1,(TRIM(Innings!A:A)=TRIM(A1781))*(TRIM(Innings!D:D)=TRIM(E1781)),0))</f>
        <v>31</v>
      </c>
      <c r="AE1781" t="str" cm="1">
        <f t="array" ref="AE1781">INDEX(Innings!W:W,MATCH(1,(TRIM(Innings!A:A)=TRIM(A1781))*(TRIM(Innings!D:D)=TRIM(E1781)),0))</f>
        <v>Successful</v>
      </c>
      <c r="AF1781">
        <f>IF(UPPER(TRIM(E1781))=UPPER(TRIM(W1781)),1,0)</f>
        <v>1</v>
      </c>
      <c r="AG1781">
        <f t="shared" si="54"/>
        <v>33.4</v>
      </c>
    </row>
    <row r="1782" spans="1:33" x14ac:dyDescent="0.3">
      <c r="A1782" t="s">
        <v>615</v>
      </c>
      <c r="B1782">
        <v>4</v>
      </c>
      <c r="C1782" t="s">
        <v>533</v>
      </c>
      <c r="D1782" t="s">
        <v>638</v>
      </c>
      <c r="E1782" t="s">
        <v>158</v>
      </c>
      <c r="F1782" t="s">
        <v>101</v>
      </c>
      <c r="G1782" t="s">
        <v>104</v>
      </c>
      <c r="H1782">
        <v>0</v>
      </c>
      <c r="I1782">
        <v>0</v>
      </c>
      <c r="J1782">
        <v>0</v>
      </c>
      <c r="K1782" t="s">
        <v>104</v>
      </c>
      <c r="L1782">
        <v>0</v>
      </c>
      <c r="M1782">
        <v>4</v>
      </c>
      <c r="N1782">
        <v>0</v>
      </c>
      <c r="O1782">
        <v>26</v>
      </c>
      <c r="P1782">
        <v>3</v>
      </c>
      <c r="Q1782">
        <v>6.5</v>
      </c>
      <c r="R1782">
        <v>60</v>
      </c>
      <c r="S1782">
        <v>0</v>
      </c>
      <c r="T1782">
        <v>0</v>
      </c>
      <c r="U1782" s="8">
        <v>60</v>
      </c>
      <c r="V1782" s="8">
        <f t="shared" si="55"/>
        <v>6</v>
      </c>
      <c r="W1782" t="str">
        <f>_xlfn.XLOOKUP(A1782, Matches!A:A, Matches!L:L, "NA", 0)</f>
        <v>DCW</v>
      </c>
      <c r="X1782" t="str">
        <f>_xlfn.XLOOKUP(A1782, Matches!A:A, Matches!J:J, "NA", 0)</f>
        <v>DCW</v>
      </c>
      <c r="Y1782" t="str">
        <f>_xlfn.XLOOKUP(A1782, Matches!A:A, Matches!F:F, "NA", 0)</f>
        <v>BCA Stadium, Kotambi</v>
      </c>
      <c r="Z1782" cm="1">
        <f t="array" ref="Z1782">INDEX(Innings!F:F,MATCH(1,(TRIM(Innings!A:A)=TRIM(A1782))*(TRIM(Innings!D:D)=TRIM(E1782)),0))</f>
        <v>111</v>
      </c>
      <c r="AA1782" cm="1">
        <f t="array" ref="AA1782">INDEX(Innings!I:I,MATCH(1,(TRIM(Innings!A:A)=TRIM(A1782))*(TRIM(Innings!D:D)=TRIM(E1782)),0))</f>
        <v>7.09</v>
      </c>
      <c r="AB1782" cm="1">
        <f t="array" ref="AB1782">INDEX(Innings!J:J,MATCH(1,(TRIM(Innings!A:A)=TRIM(A1782))*(TRIM(Innings!D:D)=TRIM(E1782)),0))</f>
        <v>38</v>
      </c>
      <c r="AC1782" cm="1">
        <f t="array" ref="AC1782">INDEX(Innings!N:N,MATCH(1,(TRIM(Innings!A:A)=TRIM(A1782))*(TRIM(Innings!D:D)=TRIM(E1782)),0))</f>
        <v>0</v>
      </c>
      <c r="AD1782" cm="1">
        <f t="array" ref="AD1782">INDEX(Innings!S:S,MATCH(1,(TRIM(Innings!A:A)=TRIM(A1782))*(TRIM(Innings!D:D)=TRIM(E1782)),0))</f>
        <v>31</v>
      </c>
      <c r="AE1782" t="str" cm="1">
        <f t="array" ref="AE1782">INDEX(Innings!W:W,MATCH(1,(TRIM(Innings!A:A)=TRIM(A1782))*(TRIM(Innings!D:D)=TRIM(E1782)),0))</f>
        <v>Successful</v>
      </c>
      <c r="AF1782">
        <f>IF(UPPER(TRIM(E1782))=UPPER(TRIM(W1782)),1,0)</f>
        <v>1</v>
      </c>
      <c r="AG1782">
        <f t="shared" si="54"/>
        <v>51.8</v>
      </c>
    </row>
    <row r="1783" spans="1:33" x14ac:dyDescent="0.3">
      <c r="A1783" t="s">
        <v>616</v>
      </c>
      <c r="B1783">
        <v>4</v>
      </c>
      <c r="C1783" t="s">
        <v>112</v>
      </c>
      <c r="D1783" t="s">
        <v>88</v>
      </c>
      <c r="E1783" t="s">
        <v>266</v>
      </c>
      <c r="F1783" t="s">
        <v>169</v>
      </c>
      <c r="G1783" t="s">
        <v>86</v>
      </c>
      <c r="H1783">
        <v>56</v>
      </c>
      <c r="I1783">
        <v>39</v>
      </c>
      <c r="J1783">
        <v>143.59</v>
      </c>
      <c r="K1783" t="s">
        <v>245</v>
      </c>
      <c r="L1783">
        <v>65</v>
      </c>
      <c r="M1783">
        <v>2</v>
      </c>
      <c r="N1783">
        <v>0</v>
      </c>
      <c r="O1783">
        <v>10</v>
      </c>
      <c r="P1783">
        <v>3</v>
      </c>
      <c r="Q1783">
        <v>5</v>
      </c>
      <c r="R1783">
        <v>60</v>
      </c>
      <c r="S1783">
        <v>0</v>
      </c>
      <c r="T1783">
        <v>0</v>
      </c>
      <c r="U1783" s="8">
        <v>125</v>
      </c>
      <c r="V1783" s="8">
        <f t="shared" si="55"/>
        <v>10</v>
      </c>
      <c r="W1783" t="str">
        <f>_xlfn.XLOOKUP(A1783, Matches!A:A, Matches!L:L, "NA", 0)</f>
        <v>MIW</v>
      </c>
      <c r="X1783" t="str">
        <f>_xlfn.XLOOKUP(A1783, Matches!A:A, Matches!J:J, "NA", 0)</f>
        <v>RCBW</v>
      </c>
      <c r="Y1783" t="str">
        <f>_xlfn.XLOOKUP(A1783, Matches!A:A, Matches!F:F, "NA", 0)</f>
        <v>BCA Stadium, Kotambi</v>
      </c>
      <c r="Z1783" cm="1">
        <f t="array" ref="Z1783">INDEX(Innings!F:F,MATCH(1,(TRIM(Innings!A:A)=TRIM(A1783))*(TRIM(Innings!D:D)=TRIM(E1783)),0))</f>
        <v>199</v>
      </c>
      <c r="AA1783" cm="1">
        <f t="array" ref="AA1783">INDEX(Innings!I:I,MATCH(1,(TRIM(Innings!A:A)=TRIM(A1783))*(TRIM(Innings!D:D)=TRIM(E1783)),0))</f>
        <v>9.9499999999999993</v>
      </c>
      <c r="AB1783" cm="1">
        <f t="array" ref="AB1783">INDEX(Innings!J:J,MATCH(1,(TRIM(Innings!A:A)=TRIM(A1783))*(TRIM(Innings!D:D)=TRIM(E1783)),0))</f>
        <v>38</v>
      </c>
      <c r="AC1783" cm="1">
        <f t="array" ref="AC1783">INDEX(Innings!N:N,MATCH(1,(TRIM(Innings!A:A)=TRIM(A1783))*(TRIM(Innings!D:D)=TRIM(E1783)),0))</f>
        <v>40</v>
      </c>
      <c r="AD1783" cm="1">
        <f t="array" ref="AD1783">INDEX(Innings!S:S,MATCH(1,(TRIM(Innings!A:A)=TRIM(A1783))*(TRIM(Innings!D:D)=TRIM(E1783)),0))</f>
        <v>29</v>
      </c>
      <c r="AE1783" t="str" cm="1">
        <f t="array" ref="AE1783">INDEX(Innings!W:W,MATCH(1,(TRIM(Innings!A:A)=TRIM(A1783))*(TRIM(Innings!D:D)=TRIM(E1783)),0))</f>
        <v>NA</v>
      </c>
      <c r="AF1783">
        <f>IF(UPPER(TRIM(E1783))=UPPER(TRIM(W1783)),1,0)</f>
        <v>1</v>
      </c>
      <c r="AG1783">
        <f t="shared" si="54"/>
        <v>85.5</v>
      </c>
    </row>
    <row r="1784" spans="1:33" x14ac:dyDescent="0.3">
      <c r="A1784" t="s">
        <v>616</v>
      </c>
      <c r="B1784">
        <v>4</v>
      </c>
      <c r="C1784" t="s">
        <v>347</v>
      </c>
      <c r="D1784" t="s">
        <v>348</v>
      </c>
      <c r="E1784" t="s">
        <v>266</v>
      </c>
      <c r="F1784" t="s">
        <v>169</v>
      </c>
      <c r="G1784" t="s">
        <v>92</v>
      </c>
      <c r="H1784">
        <v>7</v>
      </c>
      <c r="I1784">
        <v>7</v>
      </c>
      <c r="J1784">
        <v>100</v>
      </c>
      <c r="K1784" t="s">
        <v>247</v>
      </c>
      <c r="L1784">
        <v>10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 s="8">
        <v>10</v>
      </c>
      <c r="V1784" s="8">
        <f t="shared" si="55"/>
        <v>1</v>
      </c>
      <c r="W1784" t="str">
        <f>_xlfn.XLOOKUP(A1784, Matches!A:A, Matches!L:L, "NA", 0)</f>
        <v>MIW</v>
      </c>
      <c r="X1784" t="str">
        <f>_xlfn.XLOOKUP(A1784, Matches!A:A, Matches!J:J, "NA", 0)</f>
        <v>RCBW</v>
      </c>
      <c r="Y1784" t="str">
        <f>_xlfn.XLOOKUP(A1784, Matches!A:A, Matches!F:F, "NA", 0)</f>
        <v>BCA Stadium, Kotambi</v>
      </c>
      <c r="Z1784" cm="1">
        <f t="array" ref="Z1784">INDEX(Innings!F:F,MATCH(1,(TRIM(Innings!A:A)=TRIM(A1784))*(TRIM(Innings!D:D)=TRIM(E1784)),0))</f>
        <v>199</v>
      </c>
      <c r="AA1784" cm="1">
        <f t="array" ref="AA1784">INDEX(Innings!I:I,MATCH(1,(TRIM(Innings!A:A)=TRIM(A1784))*(TRIM(Innings!D:D)=TRIM(E1784)),0))</f>
        <v>9.9499999999999993</v>
      </c>
      <c r="AB1784" cm="1">
        <f t="array" ref="AB1784">INDEX(Innings!J:J,MATCH(1,(TRIM(Innings!A:A)=TRIM(A1784))*(TRIM(Innings!D:D)=TRIM(E1784)),0))</f>
        <v>38</v>
      </c>
      <c r="AC1784" cm="1">
        <f t="array" ref="AC1784">INDEX(Innings!N:N,MATCH(1,(TRIM(Innings!A:A)=TRIM(A1784))*(TRIM(Innings!D:D)=TRIM(E1784)),0))</f>
        <v>40</v>
      </c>
      <c r="AD1784" cm="1">
        <f t="array" ref="AD1784">INDEX(Innings!S:S,MATCH(1,(TRIM(Innings!A:A)=TRIM(A1784))*(TRIM(Innings!D:D)=TRIM(E1784)),0))</f>
        <v>29</v>
      </c>
      <c r="AE1784" t="str" cm="1">
        <f t="array" ref="AE1784">INDEX(Innings!W:W,MATCH(1,(TRIM(Innings!A:A)=TRIM(A1784))*(TRIM(Innings!D:D)=TRIM(E1784)),0))</f>
        <v>NA</v>
      </c>
      <c r="AF1784">
        <f>IF(UPPER(TRIM(E1784))=UPPER(TRIM(W1784)),1,0)</f>
        <v>1</v>
      </c>
      <c r="AG1784">
        <f t="shared" si="54"/>
        <v>25.3</v>
      </c>
    </row>
    <row r="1785" spans="1:33" x14ac:dyDescent="0.3">
      <c r="A1785" t="s">
        <v>616</v>
      </c>
      <c r="B1785">
        <v>4</v>
      </c>
      <c r="C1785" t="s">
        <v>117</v>
      </c>
      <c r="D1785" t="s">
        <v>90</v>
      </c>
      <c r="E1785" t="s">
        <v>266</v>
      </c>
      <c r="F1785" t="s">
        <v>169</v>
      </c>
      <c r="G1785" t="s">
        <v>92</v>
      </c>
      <c r="H1785">
        <v>100</v>
      </c>
      <c r="I1785">
        <v>57</v>
      </c>
      <c r="J1785">
        <v>175.44</v>
      </c>
      <c r="K1785" t="s">
        <v>96</v>
      </c>
      <c r="L1785">
        <v>110</v>
      </c>
      <c r="M1785">
        <v>4</v>
      </c>
      <c r="N1785">
        <v>0</v>
      </c>
      <c r="O1785">
        <v>43</v>
      </c>
      <c r="P1785">
        <v>0</v>
      </c>
      <c r="Q1785">
        <v>10.8</v>
      </c>
      <c r="R1785">
        <v>0</v>
      </c>
      <c r="S1785">
        <v>0</v>
      </c>
      <c r="T1785">
        <v>0</v>
      </c>
      <c r="U1785" s="8">
        <v>110</v>
      </c>
      <c r="V1785" s="8">
        <f t="shared" si="55"/>
        <v>10</v>
      </c>
      <c r="W1785" t="str">
        <f>_xlfn.XLOOKUP(A1785, Matches!A:A, Matches!L:L, "NA", 0)</f>
        <v>MIW</v>
      </c>
      <c r="X1785" t="str">
        <f>_xlfn.XLOOKUP(A1785, Matches!A:A, Matches!J:J, "NA", 0)</f>
        <v>RCBW</v>
      </c>
      <c r="Y1785" t="str">
        <f>_xlfn.XLOOKUP(A1785, Matches!A:A, Matches!F:F, "NA", 0)</f>
        <v>BCA Stadium, Kotambi</v>
      </c>
      <c r="Z1785" cm="1">
        <f t="array" ref="Z1785">INDEX(Innings!F:F,MATCH(1,(TRIM(Innings!A:A)=TRIM(A1785))*(TRIM(Innings!D:D)=TRIM(E1785)),0))</f>
        <v>199</v>
      </c>
      <c r="AA1785" cm="1">
        <f t="array" ref="AA1785">INDEX(Innings!I:I,MATCH(1,(TRIM(Innings!A:A)=TRIM(A1785))*(TRIM(Innings!D:D)=TRIM(E1785)),0))</f>
        <v>9.9499999999999993</v>
      </c>
      <c r="AB1785" cm="1">
        <f t="array" ref="AB1785">INDEX(Innings!J:J,MATCH(1,(TRIM(Innings!A:A)=TRIM(A1785))*(TRIM(Innings!D:D)=TRIM(E1785)),0))</f>
        <v>38</v>
      </c>
      <c r="AC1785" cm="1">
        <f t="array" ref="AC1785">INDEX(Innings!N:N,MATCH(1,(TRIM(Innings!A:A)=TRIM(A1785))*(TRIM(Innings!D:D)=TRIM(E1785)),0))</f>
        <v>40</v>
      </c>
      <c r="AD1785" cm="1">
        <f t="array" ref="AD1785">INDEX(Innings!S:S,MATCH(1,(TRIM(Innings!A:A)=TRIM(A1785))*(TRIM(Innings!D:D)=TRIM(E1785)),0))</f>
        <v>29</v>
      </c>
      <c r="AE1785" t="str" cm="1">
        <f t="array" ref="AE1785">INDEX(Innings!W:W,MATCH(1,(TRIM(Innings!A:A)=TRIM(A1785))*(TRIM(Innings!D:D)=TRIM(E1785)),0))</f>
        <v>NA</v>
      </c>
      <c r="AF1785">
        <f>IF(UPPER(TRIM(E1785))=UPPER(TRIM(W1785)),1,0)</f>
        <v>1</v>
      </c>
      <c r="AG1785">
        <f t="shared" si="54"/>
        <v>78</v>
      </c>
    </row>
    <row r="1786" spans="1:33" x14ac:dyDescent="0.3">
      <c r="A1786" t="s">
        <v>616</v>
      </c>
      <c r="B1786">
        <v>4</v>
      </c>
      <c r="C1786" t="s">
        <v>115</v>
      </c>
      <c r="D1786" t="s">
        <v>17</v>
      </c>
      <c r="E1786" t="s">
        <v>266</v>
      </c>
      <c r="F1786" t="s">
        <v>169</v>
      </c>
      <c r="G1786" t="s">
        <v>134</v>
      </c>
      <c r="H1786">
        <v>20</v>
      </c>
      <c r="I1786">
        <v>12</v>
      </c>
      <c r="J1786">
        <v>166.67</v>
      </c>
      <c r="K1786" t="s">
        <v>246</v>
      </c>
      <c r="L1786">
        <v>25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 s="8">
        <v>25</v>
      </c>
      <c r="V1786" s="8">
        <f t="shared" si="55"/>
        <v>3</v>
      </c>
      <c r="W1786" t="str">
        <f>_xlfn.XLOOKUP(A1786, Matches!A:A, Matches!L:L, "NA", 0)</f>
        <v>MIW</v>
      </c>
      <c r="X1786" t="str">
        <f>_xlfn.XLOOKUP(A1786, Matches!A:A, Matches!J:J, "NA", 0)</f>
        <v>RCBW</v>
      </c>
      <c r="Y1786" t="str">
        <f>_xlfn.XLOOKUP(A1786, Matches!A:A, Matches!F:F, "NA", 0)</f>
        <v>BCA Stadium, Kotambi</v>
      </c>
      <c r="Z1786" cm="1">
        <f t="array" ref="Z1786">INDEX(Innings!F:F,MATCH(1,(TRIM(Innings!A:A)=TRIM(A1786))*(TRIM(Innings!D:D)=TRIM(E1786)),0))</f>
        <v>199</v>
      </c>
      <c r="AA1786" cm="1">
        <f t="array" ref="AA1786">INDEX(Innings!I:I,MATCH(1,(TRIM(Innings!A:A)=TRIM(A1786))*(TRIM(Innings!D:D)=TRIM(E1786)),0))</f>
        <v>9.9499999999999993</v>
      </c>
      <c r="AB1786" cm="1">
        <f t="array" ref="AB1786">INDEX(Innings!J:J,MATCH(1,(TRIM(Innings!A:A)=TRIM(A1786))*(TRIM(Innings!D:D)=TRIM(E1786)),0))</f>
        <v>38</v>
      </c>
      <c r="AC1786" cm="1">
        <f t="array" ref="AC1786">INDEX(Innings!N:N,MATCH(1,(TRIM(Innings!A:A)=TRIM(A1786))*(TRIM(Innings!D:D)=TRIM(E1786)),0))</f>
        <v>40</v>
      </c>
      <c r="AD1786" cm="1">
        <f t="array" ref="AD1786">INDEX(Innings!S:S,MATCH(1,(TRIM(Innings!A:A)=TRIM(A1786))*(TRIM(Innings!D:D)=TRIM(E1786)),0))</f>
        <v>29</v>
      </c>
      <c r="AE1786" t="str" cm="1">
        <f t="array" ref="AE1786">INDEX(Innings!W:W,MATCH(1,(TRIM(Innings!A:A)=TRIM(A1786))*(TRIM(Innings!D:D)=TRIM(E1786)),0))</f>
        <v>NA</v>
      </c>
      <c r="AF1786">
        <f>IF(UPPER(TRIM(E1786))=UPPER(TRIM(W1786)),1,0)</f>
        <v>1</v>
      </c>
      <c r="AG1786">
        <f t="shared" si="54"/>
        <v>33.4</v>
      </c>
    </row>
    <row r="1787" spans="1:33" x14ac:dyDescent="0.3">
      <c r="A1787" t="s">
        <v>616</v>
      </c>
      <c r="B1787">
        <v>4</v>
      </c>
      <c r="C1787" t="s">
        <v>121</v>
      </c>
      <c r="D1787" t="s">
        <v>108</v>
      </c>
      <c r="E1787" t="s">
        <v>266</v>
      </c>
      <c r="F1787" t="s">
        <v>169</v>
      </c>
      <c r="G1787" t="s">
        <v>134</v>
      </c>
      <c r="H1787">
        <v>4</v>
      </c>
      <c r="I1787">
        <v>4</v>
      </c>
      <c r="J1787">
        <v>100</v>
      </c>
      <c r="K1787" t="s">
        <v>245</v>
      </c>
      <c r="L1787">
        <v>5</v>
      </c>
      <c r="M1787">
        <v>4</v>
      </c>
      <c r="N1787">
        <v>0</v>
      </c>
      <c r="O1787">
        <v>51</v>
      </c>
      <c r="P1787">
        <v>1</v>
      </c>
      <c r="Q1787">
        <v>12.8</v>
      </c>
      <c r="R1787">
        <v>25</v>
      </c>
      <c r="S1787">
        <v>0</v>
      </c>
      <c r="T1787">
        <v>0</v>
      </c>
      <c r="U1787" s="8">
        <v>30</v>
      </c>
      <c r="V1787" s="8">
        <f t="shared" si="55"/>
        <v>3</v>
      </c>
      <c r="W1787" t="str">
        <f>_xlfn.XLOOKUP(A1787, Matches!A:A, Matches!L:L, "NA", 0)</f>
        <v>MIW</v>
      </c>
      <c r="X1787" t="str">
        <f>_xlfn.XLOOKUP(A1787, Matches!A:A, Matches!J:J, "NA", 0)</f>
        <v>RCBW</v>
      </c>
      <c r="Y1787" t="str">
        <f>_xlfn.XLOOKUP(A1787, Matches!A:A, Matches!F:F, "NA", 0)</f>
        <v>BCA Stadium, Kotambi</v>
      </c>
      <c r="Z1787" cm="1">
        <f t="array" ref="Z1787">INDEX(Innings!F:F,MATCH(1,(TRIM(Innings!A:A)=TRIM(A1787))*(TRIM(Innings!D:D)=TRIM(E1787)),0))</f>
        <v>199</v>
      </c>
      <c r="AA1787" cm="1">
        <f t="array" ref="AA1787">INDEX(Innings!I:I,MATCH(1,(TRIM(Innings!A:A)=TRIM(A1787))*(TRIM(Innings!D:D)=TRIM(E1787)),0))</f>
        <v>9.9499999999999993</v>
      </c>
      <c r="AB1787" cm="1">
        <f t="array" ref="AB1787">INDEX(Innings!J:J,MATCH(1,(TRIM(Innings!A:A)=TRIM(A1787))*(TRIM(Innings!D:D)=TRIM(E1787)),0))</f>
        <v>38</v>
      </c>
      <c r="AC1787" cm="1">
        <f t="array" ref="AC1787">INDEX(Innings!N:N,MATCH(1,(TRIM(Innings!A:A)=TRIM(A1787))*(TRIM(Innings!D:D)=TRIM(E1787)),0))</f>
        <v>40</v>
      </c>
      <c r="AD1787" cm="1">
        <f t="array" ref="AD1787">INDEX(Innings!S:S,MATCH(1,(TRIM(Innings!A:A)=TRIM(A1787))*(TRIM(Innings!D:D)=TRIM(E1787)),0))</f>
        <v>29</v>
      </c>
      <c r="AE1787" t="str" cm="1">
        <f t="array" ref="AE1787">INDEX(Innings!W:W,MATCH(1,(TRIM(Innings!A:A)=TRIM(A1787))*(TRIM(Innings!D:D)=TRIM(E1787)),0))</f>
        <v>NA</v>
      </c>
      <c r="AF1787">
        <f>IF(UPPER(TRIM(E1787))=UPPER(TRIM(W1787)),1,0)</f>
        <v>1</v>
      </c>
      <c r="AG1787">
        <f t="shared" si="54"/>
        <v>35.9</v>
      </c>
    </row>
    <row r="1788" spans="1:33" x14ac:dyDescent="0.3">
      <c r="A1788" t="s">
        <v>616</v>
      </c>
      <c r="B1788">
        <v>4</v>
      </c>
      <c r="C1788" t="s">
        <v>119</v>
      </c>
      <c r="D1788" t="s">
        <v>95</v>
      </c>
      <c r="E1788" t="s">
        <v>266</v>
      </c>
      <c r="F1788" t="s">
        <v>169</v>
      </c>
      <c r="G1788" t="s">
        <v>134</v>
      </c>
      <c r="H1788">
        <v>1</v>
      </c>
      <c r="I1788">
        <v>1</v>
      </c>
      <c r="J1788">
        <v>100</v>
      </c>
      <c r="K1788" t="s">
        <v>96</v>
      </c>
      <c r="L1788">
        <v>5</v>
      </c>
      <c r="M1788">
        <v>4</v>
      </c>
      <c r="N1788">
        <v>0</v>
      </c>
      <c r="O1788">
        <v>37</v>
      </c>
      <c r="P1788">
        <v>2</v>
      </c>
      <c r="Q1788">
        <v>9.1999999999999993</v>
      </c>
      <c r="R1788">
        <v>45</v>
      </c>
      <c r="S1788">
        <v>0</v>
      </c>
      <c r="T1788">
        <v>0</v>
      </c>
      <c r="U1788" s="8">
        <v>50</v>
      </c>
      <c r="V1788" s="8">
        <f t="shared" si="55"/>
        <v>5</v>
      </c>
      <c r="W1788" t="str">
        <f>_xlfn.XLOOKUP(A1788, Matches!A:A, Matches!L:L, "NA", 0)</f>
        <v>MIW</v>
      </c>
      <c r="X1788" t="str">
        <f>_xlfn.XLOOKUP(A1788, Matches!A:A, Matches!J:J, "NA", 0)</f>
        <v>RCBW</v>
      </c>
      <c r="Y1788" t="str">
        <f>_xlfn.XLOOKUP(A1788, Matches!A:A, Matches!F:F, "NA", 0)</f>
        <v>BCA Stadium, Kotambi</v>
      </c>
      <c r="Z1788" cm="1">
        <f t="array" ref="Z1788">INDEX(Innings!F:F,MATCH(1,(TRIM(Innings!A:A)=TRIM(A1788))*(TRIM(Innings!D:D)=TRIM(E1788)),0))</f>
        <v>199</v>
      </c>
      <c r="AA1788" cm="1">
        <f t="array" ref="AA1788">INDEX(Innings!I:I,MATCH(1,(TRIM(Innings!A:A)=TRIM(A1788))*(TRIM(Innings!D:D)=TRIM(E1788)),0))</f>
        <v>9.9499999999999993</v>
      </c>
      <c r="AB1788" cm="1">
        <f t="array" ref="AB1788">INDEX(Innings!J:J,MATCH(1,(TRIM(Innings!A:A)=TRIM(A1788))*(TRIM(Innings!D:D)=TRIM(E1788)),0))</f>
        <v>38</v>
      </c>
      <c r="AC1788" cm="1">
        <f t="array" ref="AC1788">INDEX(Innings!N:N,MATCH(1,(TRIM(Innings!A:A)=TRIM(A1788))*(TRIM(Innings!D:D)=TRIM(E1788)),0))</f>
        <v>40</v>
      </c>
      <c r="AD1788" cm="1">
        <f t="array" ref="AD1788">INDEX(Innings!S:S,MATCH(1,(TRIM(Innings!A:A)=TRIM(A1788))*(TRIM(Innings!D:D)=TRIM(E1788)),0))</f>
        <v>29</v>
      </c>
      <c r="AE1788" t="str" cm="1">
        <f t="array" ref="AE1788">INDEX(Innings!W:W,MATCH(1,(TRIM(Innings!A:A)=TRIM(A1788))*(TRIM(Innings!D:D)=TRIM(E1788)),0))</f>
        <v>NA</v>
      </c>
      <c r="AF1788">
        <f>IF(UPPER(TRIM(E1788))=UPPER(TRIM(W1788)),1,0)</f>
        <v>1</v>
      </c>
      <c r="AG1788">
        <f t="shared" si="54"/>
        <v>46.5</v>
      </c>
    </row>
    <row r="1789" spans="1:33" x14ac:dyDescent="0.3">
      <c r="A1789" t="s">
        <v>616</v>
      </c>
      <c r="B1789">
        <v>4</v>
      </c>
      <c r="C1789" t="s">
        <v>576</v>
      </c>
      <c r="D1789" t="s">
        <v>648</v>
      </c>
      <c r="E1789" t="s">
        <v>266</v>
      </c>
      <c r="F1789" t="s">
        <v>85</v>
      </c>
      <c r="G1789" t="s">
        <v>104</v>
      </c>
      <c r="H1789">
        <v>0</v>
      </c>
      <c r="I1789">
        <v>0</v>
      </c>
      <c r="J1789">
        <v>0</v>
      </c>
      <c r="K1789" t="s">
        <v>104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 s="8">
        <v>0</v>
      </c>
      <c r="V1789" s="8">
        <f t="shared" si="55"/>
        <v>0</v>
      </c>
      <c r="W1789" t="str">
        <f>_xlfn.XLOOKUP(A1789, Matches!A:A, Matches!L:L, "NA", 0)</f>
        <v>MIW</v>
      </c>
      <c r="X1789" t="str">
        <f>_xlfn.XLOOKUP(A1789, Matches!A:A, Matches!J:J, "NA", 0)</f>
        <v>RCBW</v>
      </c>
      <c r="Y1789" t="str">
        <f>_xlfn.XLOOKUP(A1789, Matches!A:A, Matches!F:F, "NA", 0)</f>
        <v>BCA Stadium, Kotambi</v>
      </c>
      <c r="Z1789" cm="1">
        <f t="array" ref="Z1789">INDEX(Innings!F:F,MATCH(1,(TRIM(Innings!A:A)=TRIM(A1789))*(TRIM(Innings!D:D)=TRIM(E1789)),0))</f>
        <v>199</v>
      </c>
      <c r="AA1789" cm="1">
        <f t="array" ref="AA1789">INDEX(Innings!I:I,MATCH(1,(TRIM(Innings!A:A)=TRIM(A1789))*(TRIM(Innings!D:D)=TRIM(E1789)),0))</f>
        <v>9.9499999999999993</v>
      </c>
      <c r="AB1789" cm="1">
        <f t="array" ref="AB1789">INDEX(Innings!J:J,MATCH(1,(TRIM(Innings!A:A)=TRIM(A1789))*(TRIM(Innings!D:D)=TRIM(E1789)),0))</f>
        <v>38</v>
      </c>
      <c r="AC1789" cm="1">
        <f t="array" ref="AC1789">INDEX(Innings!N:N,MATCH(1,(TRIM(Innings!A:A)=TRIM(A1789))*(TRIM(Innings!D:D)=TRIM(E1789)),0))</f>
        <v>40</v>
      </c>
      <c r="AD1789" cm="1">
        <f t="array" ref="AD1789">INDEX(Innings!S:S,MATCH(1,(TRIM(Innings!A:A)=TRIM(A1789))*(TRIM(Innings!D:D)=TRIM(E1789)),0))</f>
        <v>29</v>
      </c>
      <c r="AE1789" t="str" cm="1">
        <f t="array" ref="AE1789">INDEX(Innings!W:W,MATCH(1,(TRIM(Innings!A:A)=TRIM(A1789))*(TRIM(Innings!D:D)=TRIM(E1789)),0))</f>
        <v>NA</v>
      </c>
      <c r="AF1789">
        <f>IF(UPPER(TRIM(E1789))=UPPER(TRIM(W1789)),1,0)</f>
        <v>1</v>
      </c>
      <c r="AG1789">
        <f t="shared" si="54"/>
        <v>20</v>
      </c>
    </row>
    <row r="1790" spans="1:33" x14ac:dyDescent="0.3">
      <c r="A1790" t="s">
        <v>616</v>
      </c>
      <c r="B1790">
        <v>4</v>
      </c>
      <c r="C1790" t="s">
        <v>507</v>
      </c>
      <c r="D1790" t="s">
        <v>519</v>
      </c>
      <c r="E1790" t="s">
        <v>266</v>
      </c>
      <c r="F1790" t="s">
        <v>101</v>
      </c>
      <c r="G1790" t="s">
        <v>104</v>
      </c>
      <c r="H1790">
        <v>0</v>
      </c>
      <c r="I1790">
        <v>0</v>
      </c>
      <c r="J1790">
        <v>0</v>
      </c>
      <c r="K1790" t="s">
        <v>104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 s="8">
        <v>0</v>
      </c>
      <c r="V1790" s="8">
        <f t="shared" si="55"/>
        <v>0</v>
      </c>
      <c r="W1790" t="str">
        <f>_xlfn.XLOOKUP(A1790, Matches!A:A, Matches!L:L, "NA", 0)</f>
        <v>MIW</v>
      </c>
      <c r="X1790" t="str">
        <f>_xlfn.XLOOKUP(A1790, Matches!A:A, Matches!J:J, "NA", 0)</f>
        <v>RCBW</v>
      </c>
      <c r="Y1790" t="str">
        <f>_xlfn.XLOOKUP(A1790, Matches!A:A, Matches!F:F, "NA", 0)</f>
        <v>BCA Stadium, Kotambi</v>
      </c>
      <c r="Z1790" cm="1">
        <f t="array" ref="Z1790">INDEX(Innings!F:F,MATCH(1,(TRIM(Innings!A:A)=TRIM(A1790))*(TRIM(Innings!D:D)=TRIM(E1790)),0))</f>
        <v>199</v>
      </c>
      <c r="AA1790" cm="1">
        <f t="array" ref="AA1790">INDEX(Innings!I:I,MATCH(1,(TRIM(Innings!A:A)=TRIM(A1790))*(TRIM(Innings!D:D)=TRIM(E1790)),0))</f>
        <v>9.9499999999999993</v>
      </c>
      <c r="AB1790" cm="1">
        <f t="array" ref="AB1790">INDEX(Innings!J:J,MATCH(1,(TRIM(Innings!A:A)=TRIM(A1790))*(TRIM(Innings!D:D)=TRIM(E1790)),0))</f>
        <v>38</v>
      </c>
      <c r="AC1790" cm="1">
        <f t="array" ref="AC1790">INDEX(Innings!N:N,MATCH(1,(TRIM(Innings!A:A)=TRIM(A1790))*(TRIM(Innings!D:D)=TRIM(E1790)),0))</f>
        <v>40</v>
      </c>
      <c r="AD1790" cm="1">
        <f t="array" ref="AD1790">INDEX(Innings!S:S,MATCH(1,(TRIM(Innings!A:A)=TRIM(A1790))*(TRIM(Innings!D:D)=TRIM(E1790)),0))</f>
        <v>29</v>
      </c>
      <c r="AE1790" t="str" cm="1">
        <f t="array" ref="AE1790">INDEX(Innings!W:W,MATCH(1,(TRIM(Innings!A:A)=TRIM(A1790))*(TRIM(Innings!D:D)=TRIM(E1790)),0))</f>
        <v>NA</v>
      </c>
      <c r="AF1790">
        <f>IF(UPPER(TRIM(E1790))=UPPER(TRIM(W1790)),1,0)</f>
        <v>1</v>
      </c>
      <c r="AG1790">
        <f t="shared" si="54"/>
        <v>20</v>
      </c>
    </row>
    <row r="1791" spans="1:33" x14ac:dyDescent="0.3">
      <c r="A1791" t="s">
        <v>616</v>
      </c>
      <c r="B1791">
        <v>4</v>
      </c>
      <c r="C1791" t="s">
        <v>585</v>
      </c>
      <c r="D1791" t="s">
        <v>672</v>
      </c>
      <c r="E1791" t="s">
        <v>266</v>
      </c>
      <c r="F1791" t="s">
        <v>169</v>
      </c>
      <c r="G1791" t="s">
        <v>104</v>
      </c>
      <c r="H1791">
        <v>0</v>
      </c>
      <c r="I1791">
        <v>0</v>
      </c>
      <c r="J1791">
        <v>0</v>
      </c>
      <c r="K1791" t="s">
        <v>104</v>
      </c>
      <c r="L1791">
        <v>0</v>
      </c>
      <c r="M1791">
        <v>2</v>
      </c>
      <c r="N1791">
        <v>0</v>
      </c>
      <c r="O1791">
        <v>15</v>
      </c>
      <c r="P1791">
        <v>0</v>
      </c>
      <c r="Q1791">
        <v>7.5</v>
      </c>
      <c r="R1791">
        <v>0</v>
      </c>
      <c r="S1791">
        <v>0</v>
      </c>
      <c r="T1791">
        <v>0</v>
      </c>
      <c r="U1791" s="8">
        <v>0</v>
      </c>
      <c r="V1791" s="8">
        <f t="shared" si="55"/>
        <v>0</v>
      </c>
      <c r="W1791" t="str">
        <f>_xlfn.XLOOKUP(A1791, Matches!A:A, Matches!L:L, "NA", 0)</f>
        <v>MIW</v>
      </c>
      <c r="X1791" t="str">
        <f>_xlfn.XLOOKUP(A1791, Matches!A:A, Matches!J:J, "NA", 0)</f>
        <v>RCBW</v>
      </c>
      <c r="Y1791" t="str">
        <f>_xlfn.XLOOKUP(A1791, Matches!A:A, Matches!F:F, "NA", 0)</f>
        <v>BCA Stadium, Kotambi</v>
      </c>
      <c r="Z1791" cm="1">
        <f t="array" ref="Z1791">INDEX(Innings!F:F,MATCH(1,(TRIM(Innings!A:A)=TRIM(A1791))*(TRIM(Innings!D:D)=TRIM(E1791)),0))</f>
        <v>199</v>
      </c>
      <c r="AA1791" cm="1">
        <f t="array" ref="AA1791">INDEX(Innings!I:I,MATCH(1,(TRIM(Innings!A:A)=TRIM(A1791))*(TRIM(Innings!D:D)=TRIM(E1791)),0))</f>
        <v>9.9499999999999993</v>
      </c>
      <c r="AB1791" cm="1">
        <f t="array" ref="AB1791">INDEX(Innings!J:J,MATCH(1,(TRIM(Innings!A:A)=TRIM(A1791))*(TRIM(Innings!D:D)=TRIM(E1791)),0))</f>
        <v>38</v>
      </c>
      <c r="AC1791" cm="1">
        <f t="array" ref="AC1791">INDEX(Innings!N:N,MATCH(1,(TRIM(Innings!A:A)=TRIM(A1791))*(TRIM(Innings!D:D)=TRIM(E1791)),0))</f>
        <v>40</v>
      </c>
      <c r="AD1791" cm="1">
        <f t="array" ref="AD1791">INDEX(Innings!S:S,MATCH(1,(TRIM(Innings!A:A)=TRIM(A1791))*(TRIM(Innings!D:D)=TRIM(E1791)),0))</f>
        <v>29</v>
      </c>
      <c r="AE1791" t="str" cm="1">
        <f t="array" ref="AE1791">INDEX(Innings!W:W,MATCH(1,(TRIM(Innings!A:A)=TRIM(A1791))*(TRIM(Innings!D:D)=TRIM(E1791)),0))</f>
        <v>NA</v>
      </c>
      <c r="AF1791">
        <f>IF(UPPER(TRIM(E1791))=UPPER(TRIM(W1791)),1,0)</f>
        <v>1</v>
      </c>
      <c r="AG1791">
        <f t="shared" si="54"/>
        <v>20</v>
      </c>
    </row>
    <row r="1792" spans="1:33" x14ac:dyDescent="0.3">
      <c r="A1792" t="s">
        <v>616</v>
      </c>
      <c r="B1792">
        <v>4</v>
      </c>
      <c r="C1792" t="s">
        <v>265</v>
      </c>
      <c r="D1792" t="s">
        <v>264</v>
      </c>
      <c r="E1792" t="s">
        <v>266</v>
      </c>
      <c r="F1792" t="s">
        <v>101</v>
      </c>
      <c r="G1792" t="s">
        <v>104</v>
      </c>
      <c r="H1792">
        <v>0</v>
      </c>
      <c r="I1792">
        <v>0</v>
      </c>
      <c r="J1792">
        <v>0</v>
      </c>
      <c r="K1792" t="s">
        <v>104</v>
      </c>
      <c r="L1792">
        <v>0</v>
      </c>
      <c r="M1792">
        <v>4</v>
      </c>
      <c r="N1792">
        <v>0</v>
      </c>
      <c r="O1792">
        <v>25</v>
      </c>
      <c r="P1792">
        <v>2</v>
      </c>
      <c r="Q1792">
        <v>6.2</v>
      </c>
      <c r="R1792">
        <v>50</v>
      </c>
      <c r="S1792">
        <v>0</v>
      </c>
      <c r="T1792">
        <v>0</v>
      </c>
      <c r="U1792" s="8">
        <v>50</v>
      </c>
      <c r="V1792" s="8">
        <f t="shared" si="55"/>
        <v>5</v>
      </c>
      <c r="W1792" t="str">
        <f>_xlfn.XLOOKUP(A1792, Matches!A:A, Matches!L:L, "NA", 0)</f>
        <v>MIW</v>
      </c>
      <c r="X1792" t="str">
        <f>_xlfn.XLOOKUP(A1792, Matches!A:A, Matches!J:J, "NA", 0)</f>
        <v>RCBW</v>
      </c>
      <c r="Y1792" t="str">
        <f>_xlfn.XLOOKUP(A1792, Matches!A:A, Matches!F:F, "NA", 0)</f>
        <v>BCA Stadium, Kotambi</v>
      </c>
      <c r="Z1792" cm="1">
        <f t="array" ref="Z1792">INDEX(Innings!F:F,MATCH(1,(TRIM(Innings!A:A)=TRIM(A1792))*(TRIM(Innings!D:D)=TRIM(E1792)),0))</f>
        <v>199</v>
      </c>
      <c r="AA1792" cm="1">
        <f t="array" ref="AA1792">INDEX(Innings!I:I,MATCH(1,(TRIM(Innings!A:A)=TRIM(A1792))*(TRIM(Innings!D:D)=TRIM(E1792)),0))</f>
        <v>9.9499999999999993</v>
      </c>
      <c r="AB1792" cm="1">
        <f t="array" ref="AB1792">INDEX(Innings!J:J,MATCH(1,(TRIM(Innings!A:A)=TRIM(A1792))*(TRIM(Innings!D:D)=TRIM(E1792)),0))</f>
        <v>38</v>
      </c>
      <c r="AC1792" cm="1">
        <f t="array" ref="AC1792">INDEX(Innings!N:N,MATCH(1,(TRIM(Innings!A:A)=TRIM(A1792))*(TRIM(Innings!D:D)=TRIM(E1792)),0))</f>
        <v>40</v>
      </c>
      <c r="AD1792" cm="1">
        <f t="array" ref="AD1792">INDEX(Innings!S:S,MATCH(1,(TRIM(Innings!A:A)=TRIM(A1792))*(TRIM(Innings!D:D)=TRIM(E1792)),0))</f>
        <v>29</v>
      </c>
      <c r="AE1792" t="str" cm="1">
        <f t="array" ref="AE1792">INDEX(Innings!W:W,MATCH(1,(TRIM(Innings!A:A)=TRIM(A1792))*(TRIM(Innings!D:D)=TRIM(E1792)),0))</f>
        <v>NA</v>
      </c>
      <c r="AF1792">
        <f>IF(UPPER(TRIM(E1792))=UPPER(TRIM(W1792)),1,0)</f>
        <v>1</v>
      </c>
      <c r="AG1792">
        <f t="shared" ref="AG1792:AG1855" si="56">(0.5*MAX(0,U1792) + 0.3*MAX(0,V1792) + 0.2*AF1792*100)</f>
        <v>46.5</v>
      </c>
    </row>
    <row r="1793" spans="1:33" x14ac:dyDescent="0.3">
      <c r="A1793" t="s">
        <v>616</v>
      </c>
      <c r="B1793">
        <v>4</v>
      </c>
      <c r="C1793" t="s">
        <v>273</v>
      </c>
      <c r="D1793" t="s">
        <v>279</v>
      </c>
      <c r="E1793" t="s">
        <v>266</v>
      </c>
      <c r="F1793" t="s">
        <v>169</v>
      </c>
      <c r="G1793" t="s">
        <v>104</v>
      </c>
      <c r="H1793">
        <v>0</v>
      </c>
      <c r="I1793">
        <v>0</v>
      </c>
      <c r="J1793">
        <v>0</v>
      </c>
      <c r="K1793" t="s">
        <v>104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 s="8">
        <v>0</v>
      </c>
      <c r="V1793" s="8">
        <f t="shared" si="55"/>
        <v>0</v>
      </c>
      <c r="W1793" t="str">
        <f>_xlfn.XLOOKUP(A1793, Matches!A:A, Matches!L:L, "NA", 0)</f>
        <v>MIW</v>
      </c>
      <c r="X1793" t="str">
        <f>_xlfn.XLOOKUP(A1793, Matches!A:A, Matches!J:J, "NA", 0)</f>
        <v>RCBW</v>
      </c>
      <c r="Y1793" t="str">
        <f>_xlfn.XLOOKUP(A1793, Matches!A:A, Matches!F:F, "NA", 0)</f>
        <v>BCA Stadium, Kotambi</v>
      </c>
      <c r="Z1793" cm="1">
        <f t="array" ref="Z1793">INDEX(Innings!F:F,MATCH(1,(TRIM(Innings!A:A)=TRIM(A1793))*(TRIM(Innings!D:D)=TRIM(E1793)),0))</f>
        <v>199</v>
      </c>
      <c r="AA1793" cm="1">
        <f t="array" ref="AA1793">INDEX(Innings!I:I,MATCH(1,(TRIM(Innings!A:A)=TRIM(A1793))*(TRIM(Innings!D:D)=TRIM(E1793)),0))</f>
        <v>9.9499999999999993</v>
      </c>
      <c r="AB1793" cm="1">
        <f t="array" ref="AB1793">INDEX(Innings!J:J,MATCH(1,(TRIM(Innings!A:A)=TRIM(A1793))*(TRIM(Innings!D:D)=TRIM(E1793)),0))</f>
        <v>38</v>
      </c>
      <c r="AC1793" cm="1">
        <f t="array" ref="AC1793">INDEX(Innings!N:N,MATCH(1,(TRIM(Innings!A:A)=TRIM(A1793))*(TRIM(Innings!D:D)=TRIM(E1793)),0))</f>
        <v>40</v>
      </c>
      <c r="AD1793" cm="1">
        <f t="array" ref="AD1793">INDEX(Innings!S:S,MATCH(1,(TRIM(Innings!A:A)=TRIM(A1793))*(TRIM(Innings!D:D)=TRIM(E1793)),0))</f>
        <v>29</v>
      </c>
      <c r="AE1793" t="str" cm="1">
        <f t="array" ref="AE1793">INDEX(Innings!W:W,MATCH(1,(TRIM(Innings!A:A)=TRIM(A1793))*(TRIM(Innings!D:D)=TRIM(E1793)),0))</f>
        <v>NA</v>
      </c>
      <c r="AF1793">
        <f>IF(UPPER(TRIM(E1793))=UPPER(TRIM(W1793)),1,0)</f>
        <v>1</v>
      </c>
      <c r="AG1793">
        <f t="shared" si="56"/>
        <v>20</v>
      </c>
    </row>
    <row r="1794" spans="1:33" x14ac:dyDescent="0.3">
      <c r="A1794" t="s">
        <v>616</v>
      </c>
      <c r="B1794">
        <v>4</v>
      </c>
      <c r="C1794" t="s">
        <v>226</v>
      </c>
      <c r="D1794" t="s">
        <v>211</v>
      </c>
      <c r="E1794" t="s">
        <v>159</v>
      </c>
      <c r="F1794" t="s">
        <v>169</v>
      </c>
      <c r="G1794" t="s">
        <v>86</v>
      </c>
      <c r="H1794">
        <v>15</v>
      </c>
      <c r="I1794">
        <v>9</v>
      </c>
      <c r="J1794">
        <v>166.67</v>
      </c>
      <c r="K1794" t="s">
        <v>246</v>
      </c>
      <c r="L1794">
        <v>20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 s="8">
        <v>20</v>
      </c>
      <c r="V1794" s="8">
        <f t="shared" si="55"/>
        <v>2</v>
      </c>
      <c r="W1794" t="str">
        <f>_xlfn.XLOOKUP(A1794, Matches!A:A, Matches!L:L, "NA", 0)</f>
        <v>MIW</v>
      </c>
      <c r="X1794" t="str">
        <f>_xlfn.XLOOKUP(A1794, Matches!A:A, Matches!J:J, "NA", 0)</f>
        <v>RCBW</v>
      </c>
      <c r="Y1794" t="str">
        <f>_xlfn.XLOOKUP(A1794, Matches!A:A, Matches!F:F, "NA", 0)</f>
        <v>BCA Stadium, Kotambi</v>
      </c>
      <c r="Z1794" cm="1">
        <f t="array" ref="Z1794">INDEX(Innings!F:F,MATCH(1,(TRIM(Innings!A:A)=TRIM(A1794))*(TRIM(Innings!D:D)=TRIM(E1794)),0))</f>
        <v>184</v>
      </c>
      <c r="AA1794" cm="1">
        <f t="array" ref="AA1794">INDEX(Innings!I:I,MATCH(1,(TRIM(Innings!A:A)=TRIM(A1794))*(TRIM(Innings!D:D)=TRIM(E1794)),0))</f>
        <v>9.1999999999999993</v>
      </c>
      <c r="AB1794" cm="1">
        <f t="array" ref="AB1794">INDEX(Innings!J:J,MATCH(1,(TRIM(Innings!A:A)=TRIM(A1794))*(TRIM(Innings!D:D)=TRIM(E1794)),0))</f>
        <v>40</v>
      </c>
      <c r="AC1794" cm="1">
        <f t="array" ref="AC1794">INDEX(Innings!N:N,MATCH(1,(TRIM(Innings!A:A)=TRIM(A1794))*(TRIM(Innings!D:D)=TRIM(E1794)),0))</f>
        <v>64</v>
      </c>
      <c r="AD1794" cm="1">
        <f t="array" ref="AD1794">INDEX(Innings!S:S,MATCH(1,(TRIM(Innings!A:A)=TRIM(A1794))*(TRIM(Innings!D:D)=TRIM(E1794)),0))</f>
        <v>32</v>
      </c>
      <c r="AE1794" t="str" cm="1">
        <f t="array" ref="AE1794">INDEX(Innings!W:W,MATCH(1,(TRIM(Innings!A:A)=TRIM(A1794))*(TRIM(Innings!D:D)=TRIM(E1794)),0))</f>
        <v>Failed</v>
      </c>
      <c r="AF1794">
        <f>IF(UPPER(TRIM(E1794))=UPPER(TRIM(W1794)),1,0)</f>
        <v>0</v>
      </c>
      <c r="AG1794">
        <f t="shared" si="56"/>
        <v>10.6</v>
      </c>
    </row>
    <row r="1795" spans="1:33" x14ac:dyDescent="0.3">
      <c r="A1795" t="s">
        <v>616</v>
      </c>
      <c r="B1795">
        <v>4</v>
      </c>
      <c r="C1795" t="s">
        <v>165</v>
      </c>
      <c r="D1795" t="s">
        <v>166</v>
      </c>
      <c r="E1795" t="s">
        <v>159</v>
      </c>
      <c r="F1795" t="s">
        <v>109</v>
      </c>
      <c r="G1795" t="s">
        <v>86</v>
      </c>
      <c r="H1795">
        <v>6</v>
      </c>
      <c r="I1795">
        <v>7</v>
      </c>
      <c r="J1795">
        <v>85.71</v>
      </c>
      <c r="K1795" t="s">
        <v>246</v>
      </c>
      <c r="L1795">
        <v>5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 s="8">
        <v>5</v>
      </c>
      <c r="V1795" s="8">
        <f t="shared" ref="V1795:V1858" si="57">MIN(10, MAX(0, ROUND(U1795/10,0)))</f>
        <v>1</v>
      </c>
      <c r="W1795" t="str">
        <f>_xlfn.XLOOKUP(A1795, Matches!A:A, Matches!L:L, "NA", 0)</f>
        <v>MIW</v>
      </c>
      <c r="X1795" t="str">
        <f>_xlfn.XLOOKUP(A1795, Matches!A:A, Matches!J:J, "NA", 0)</f>
        <v>RCBW</v>
      </c>
      <c r="Y1795" t="str">
        <f>_xlfn.XLOOKUP(A1795, Matches!A:A, Matches!F:F, "NA", 0)</f>
        <v>BCA Stadium, Kotambi</v>
      </c>
      <c r="Z1795" cm="1">
        <f t="array" ref="Z1795">INDEX(Innings!F:F,MATCH(1,(TRIM(Innings!A:A)=TRIM(A1795))*(TRIM(Innings!D:D)=TRIM(E1795)),0))</f>
        <v>184</v>
      </c>
      <c r="AA1795" cm="1">
        <f t="array" ref="AA1795">INDEX(Innings!I:I,MATCH(1,(TRIM(Innings!A:A)=TRIM(A1795))*(TRIM(Innings!D:D)=TRIM(E1795)),0))</f>
        <v>9.1999999999999993</v>
      </c>
      <c r="AB1795" cm="1">
        <f t="array" ref="AB1795">INDEX(Innings!J:J,MATCH(1,(TRIM(Innings!A:A)=TRIM(A1795))*(TRIM(Innings!D:D)=TRIM(E1795)),0))</f>
        <v>40</v>
      </c>
      <c r="AC1795" cm="1">
        <f t="array" ref="AC1795">INDEX(Innings!N:N,MATCH(1,(TRIM(Innings!A:A)=TRIM(A1795))*(TRIM(Innings!D:D)=TRIM(E1795)),0))</f>
        <v>64</v>
      </c>
      <c r="AD1795" cm="1">
        <f t="array" ref="AD1795">INDEX(Innings!S:S,MATCH(1,(TRIM(Innings!A:A)=TRIM(A1795))*(TRIM(Innings!D:D)=TRIM(E1795)),0))</f>
        <v>32</v>
      </c>
      <c r="AE1795" t="str" cm="1">
        <f t="array" ref="AE1795">INDEX(Innings!W:W,MATCH(1,(TRIM(Innings!A:A)=TRIM(A1795))*(TRIM(Innings!D:D)=TRIM(E1795)),0))</f>
        <v>Failed</v>
      </c>
      <c r="AF1795">
        <f>IF(UPPER(TRIM(E1795))=UPPER(TRIM(W1795)),1,0)</f>
        <v>0</v>
      </c>
      <c r="AG1795">
        <f t="shared" si="56"/>
        <v>2.8</v>
      </c>
    </row>
    <row r="1796" spans="1:33" x14ac:dyDescent="0.3">
      <c r="A1796" t="s">
        <v>616</v>
      </c>
      <c r="B1796">
        <v>4</v>
      </c>
      <c r="C1796" t="s">
        <v>514</v>
      </c>
      <c r="D1796" t="s">
        <v>567</v>
      </c>
      <c r="E1796" t="s">
        <v>159</v>
      </c>
      <c r="F1796" t="s">
        <v>109</v>
      </c>
      <c r="G1796" t="s">
        <v>92</v>
      </c>
      <c r="H1796">
        <v>9</v>
      </c>
      <c r="I1796">
        <v>6</v>
      </c>
      <c r="J1796">
        <v>150</v>
      </c>
      <c r="K1796" t="s">
        <v>246</v>
      </c>
      <c r="L1796">
        <v>15</v>
      </c>
      <c r="M1796">
        <v>1</v>
      </c>
      <c r="N1796">
        <v>0</v>
      </c>
      <c r="O1796">
        <v>12</v>
      </c>
      <c r="P1796">
        <v>0</v>
      </c>
      <c r="Q1796">
        <v>12</v>
      </c>
      <c r="R1796">
        <v>0</v>
      </c>
      <c r="S1796">
        <v>0</v>
      </c>
      <c r="T1796">
        <v>0</v>
      </c>
      <c r="U1796" s="8">
        <v>15</v>
      </c>
      <c r="V1796" s="8">
        <f t="shared" si="57"/>
        <v>2</v>
      </c>
      <c r="W1796" t="str">
        <f>_xlfn.XLOOKUP(A1796, Matches!A:A, Matches!L:L, "NA", 0)</f>
        <v>MIW</v>
      </c>
      <c r="X1796" t="str">
        <f>_xlfn.XLOOKUP(A1796, Matches!A:A, Matches!J:J, "NA", 0)</f>
        <v>RCBW</v>
      </c>
      <c r="Y1796" t="str">
        <f>_xlfn.XLOOKUP(A1796, Matches!A:A, Matches!F:F, "NA", 0)</f>
        <v>BCA Stadium, Kotambi</v>
      </c>
      <c r="Z1796" cm="1">
        <f t="array" ref="Z1796">INDEX(Innings!F:F,MATCH(1,(TRIM(Innings!A:A)=TRIM(A1796))*(TRIM(Innings!D:D)=TRIM(E1796)),0))</f>
        <v>184</v>
      </c>
      <c r="AA1796" cm="1">
        <f t="array" ref="AA1796">INDEX(Innings!I:I,MATCH(1,(TRIM(Innings!A:A)=TRIM(A1796))*(TRIM(Innings!D:D)=TRIM(E1796)),0))</f>
        <v>9.1999999999999993</v>
      </c>
      <c r="AB1796" cm="1">
        <f t="array" ref="AB1796">INDEX(Innings!J:J,MATCH(1,(TRIM(Innings!A:A)=TRIM(A1796))*(TRIM(Innings!D:D)=TRIM(E1796)),0))</f>
        <v>40</v>
      </c>
      <c r="AC1796" cm="1">
        <f t="array" ref="AC1796">INDEX(Innings!N:N,MATCH(1,(TRIM(Innings!A:A)=TRIM(A1796))*(TRIM(Innings!D:D)=TRIM(E1796)),0))</f>
        <v>64</v>
      </c>
      <c r="AD1796" cm="1">
        <f t="array" ref="AD1796">INDEX(Innings!S:S,MATCH(1,(TRIM(Innings!A:A)=TRIM(A1796))*(TRIM(Innings!D:D)=TRIM(E1796)),0))</f>
        <v>32</v>
      </c>
      <c r="AE1796" t="str" cm="1">
        <f t="array" ref="AE1796">INDEX(Innings!W:W,MATCH(1,(TRIM(Innings!A:A)=TRIM(A1796))*(TRIM(Innings!D:D)=TRIM(E1796)),0))</f>
        <v>Failed</v>
      </c>
      <c r="AF1796">
        <f>IF(UPPER(TRIM(E1796))=UPPER(TRIM(W1796)),1,0)</f>
        <v>0</v>
      </c>
      <c r="AG1796">
        <f t="shared" si="56"/>
        <v>8.1</v>
      </c>
    </row>
    <row r="1797" spans="1:33" x14ac:dyDescent="0.3">
      <c r="A1797" t="s">
        <v>616</v>
      </c>
      <c r="B1797">
        <v>4</v>
      </c>
      <c r="C1797" t="s">
        <v>535</v>
      </c>
      <c r="D1797" t="s">
        <v>645</v>
      </c>
      <c r="E1797" t="s">
        <v>159</v>
      </c>
      <c r="F1797" t="s">
        <v>169</v>
      </c>
      <c r="G1797" t="s">
        <v>92</v>
      </c>
      <c r="H1797">
        <v>1</v>
      </c>
      <c r="I1797">
        <v>2</v>
      </c>
      <c r="J1797">
        <v>50</v>
      </c>
      <c r="K1797" t="s">
        <v>245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 s="8">
        <v>0</v>
      </c>
      <c r="V1797" s="8">
        <f t="shared" si="57"/>
        <v>0</v>
      </c>
      <c r="W1797" t="str">
        <f>_xlfn.XLOOKUP(A1797, Matches!A:A, Matches!L:L, "NA", 0)</f>
        <v>MIW</v>
      </c>
      <c r="X1797" t="str">
        <f>_xlfn.XLOOKUP(A1797, Matches!A:A, Matches!J:J, "NA", 0)</f>
        <v>RCBW</v>
      </c>
      <c r="Y1797" t="str">
        <f>_xlfn.XLOOKUP(A1797, Matches!A:A, Matches!F:F, "NA", 0)</f>
        <v>BCA Stadium, Kotambi</v>
      </c>
      <c r="Z1797" cm="1">
        <f t="array" ref="Z1797">INDEX(Innings!F:F,MATCH(1,(TRIM(Innings!A:A)=TRIM(A1797))*(TRIM(Innings!D:D)=TRIM(E1797)),0))</f>
        <v>184</v>
      </c>
      <c r="AA1797" cm="1">
        <f t="array" ref="AA1797">INDEX(Innings!I:I,MATCH(1,(TRIM(Innings!A:A)=TRIM(A1797))*(TRIM(Innings!D:D)=TRIM(E1797)),0))</f>
        <v>9.1999999999999993</v>
      </c>
      <c r="AB1797" cm="1">
        <f t="array" ref="AB1797">INDEX(Innings!J:J,MATCH(1,(TRIM(Innings!A:A)=TRIM(A1797))*(TRIM(Innings!D:D)=TRIM(E1797)),0))</f>
        <v>40</v>
      </c>
      <c r="AC1797" cm="1">
        <f t="array" ref="AC1797">INDEX(Innings!N:N,MATCH(1,(TRIM(Innings!A:A)=TRIM(A1797))*(TRIM(Innings!D:D)=TRIM(E1797)),0))</f>
        <v>64</v>
      </c>
      <c r="AD1797" cm="1">
        <f t="array" ref="AD1797">INDEX(Innings!S:S,MATCH(1,(TRIM(Innings!A:A)=TRIM(A1797))*(TRIM(Innings!D:D)=TRIM(E1797)),0))</f>
        <v>32</v>
      </c>
      <c r="AE1797" t="str" cm="1">
        <f t="array" ref="AE1797">INDEX(Innings!W:W,MATCH(1,(TRIM(Innings!A:A)=TRIM(A1797))*(TRIM(Innings!D:D)=TRIM(E1797)),0))</f>
        <v>Failed</v>
      </c>
      <c r="AF1797">
        <f>IF(UPPER(TRIM(E1797))=UPPER(TRIM(W1797)),1,0)</f>
        <v>0</v>
      </c>
      <c r="AG1797">
        <f t="shared" si="56"/>
        <v>0</v>
      </c>
    </row>
    <row r="1798" spans="1:33" x14ac:dyDescent="0.3">
      <c r="A1798" t="s">
        <v>616</v>
      </c>
      <c r="B1798">
        <v>4</v>
      </c>
      <c r="C1798" t="s">
        <v>206</v>
      </c>
      <c r="D1798" t="s">
        <v>207</v>
      </c>
      <c r="E1798" t="s">
        <v>159</v>
      </c>
      <c r="F1798" t="s">
        <v>169</v>
      </c>
      <c r="G1798" t="s">
        <v>134</v>
      </c>
      <c r="H1798">
        <v>0</v>
      </c>
      <c r="I1798">
        <v>2</v>
      </c>
      <c r="J1798">
        <v>0</v>
      </c>
      <c r="K1798" t="s">
        <v>246</v>
      </c>
      <c r="L1798">
        <v>0</v>
      </c>
      <c r="M1798">
        <v>2</v>
      </c>
      <c r="N1798">
        <v>0</v>
      </c>
      <c r="O1798">
        <v>24</v>
      </c>
      <c r="P1798">
        <v>0</v>
      </c>
      <c r="Q1798">
        <v>12</v>
      </c>
      <c r="R1798">
        <v>0</v>
      </c>
      <c r="S1798">
        <v>0</v>
      </c>
      <c r="T1798">
        <v>0</v>
      </c>
      <c r="U1798" s="8">
        <v>0</v>
      </c>
      <c r="V1798" s="8">
        <f t="shared" si="57"/>
        <v>0</v>
      </c>
      <c r="W1798" t="str">
        <f>_xlfn.XLOOKUP(A1798, Matches!A:A, Matches!L:L, "NA", 0)</f>
        <v>MIW</v>
      </c>
      <c r="X1798" t="str">
        <f>_xlfn.XLOOKUP(A1798, Matches!A:A, Matches!J:J, "NA", 0)</f>
        <v>RCBW</v>
      </c>
      <c r="Y1798" t="str">
        <f>_xlfn.XLOOKUP(A1798, Matches!A:A, Matches!F:F, "NA", 0)</f>
        <v>BCA Stadium, Kotambi</v>
      </c>
      <c r="Z1798" cm="1">
        <f t="array" ref="Z1798">INDEX(Innings!F:F,MATCH(1,(TRIM(Innings!A:A)=TRIM(A1798))*(TRIM(Innings!D:D)=TRIM(E1798)),0))</f>
        <v>184</v>
      </c>
      <c r="AA1798" cm="1">
        <f t="array" ref="AA1798">INDEX(Innings!I:I,MATCH(1,(TRIM(Innings!A:A)=TRIM(A1798))*(TRIM(Innings!D:D)=TRIM(E1798)),0))</f>
        <v>9.1999999999999993</v>
      </c>
      <c r="AB1798" cm="1">
        <f t="array" ref="AB1798">INDEX(Innings!J:J,MATCH(1,(TRIM(Innings!A:A)=TRIM(A1798))*(TRIM(Innings!D:D)=TRIM(E1798)),0))</f>
        <v>40</v>
      </c>
      <c r="AC1798" cm="1">
        <f t="array" ref="AC1798">INDEX(Innings!N:N,MATCH(1,(TRIM(Innings!A:A)=TRIM(A1798))*(TRIM(Innings!D:D)=TRIM(E1798)),0))</f>
        <v>64</v>
      </c>
      <c r="AD1798" cm="1">
        <f t="array" ref="AD1798">INDEX(Innings!S:S,MATCH(1,(TRIM(Innings!A:A)=TRIM(A1798))*(TRIM(Innings!D:D)=TRIM(E1798)),0))</f>
        <v>32</v>
      </c>
      <c r="AE1798" t="str" cm="1">
        <f t="array" ref="AE1798">INDEX(Innings!W:W,MATCH(1,(TRIM(Innings!A:A)=TRIM(A1798))*(TRIM(Innings!D:D)=TRIM(E1798)),0))</f>
        <v>Failed</v>
      </c>
      <c r="AF1798">
        <f>IF(UPPER(TRIM(E1798))=UPPER(TRIM(W1798)),1,0)</f>
        <v>0</v>
      </c>
      <c r="AG1798">
        <f t="shared" si="56"/>
        <v>0</v>
      </c>
    </row>
    <row r="1799" spans="1:33" x14ac:dyDescent="0.3">
      <c r="A1799" t="s">
        <v>616</v>
      </c>
      <c r="B1799">
        <v>4</v>
      </c>
      <c r="C1799" t="s">
        <v>176</v>
      </c>
      <c r="D1799" t="s">
        <v>177</v>
      </c>
      <c r="E1799" t="s">
        <v>159</v>
      </c>
      <c r="F1799" t="s">
        <v>85</v>
      </c>
      <c r="G1799" t="s">
        <v>134</v>
      </c>
      <c r="H1799">
        <v>90</v>
      </c>
      <c r="I1799">
        <v>50</v>
      </c>
      <c r="J1799">
        <v>180</v>
      </c>
      <c r="K1799" t="s">
        <v>246</v>
      </c>
      <c r="L1799">
        <v>95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 s="8">
        <v>95</v>
      </c>
      <c r="V1799" s="8">
        <f t="shared" si="57"/>
        <v>10</v>
      </c>
      <c r="W1799" t="str">
        <f>_xlfn.XLOOKUP(A1799, Matches!A:A, Matches!L:L, "NA", 0)</f>
        <v>MIW</v>
      </c>
      <c r="X1799" t="str">
        <f>_xlfn.XLOOKUP(A1799, Matches!A:A, Matches!J:J, "NA", 0)</f>
        <v>RCBW</v>
      </c>
      <c r="Y1799" t="str">
        <f>_xlfn.XLOOKUP(A1799, Matches!A:A, Matches!F:F, "NA", 0)</f>
        <v>BCA Stadium, Kotambi</v>
      </c>
      <c r="Z1799" cm="1">
        <f t="array" ref="Z1799">INDEX(Innings!F:F,MATCH(1,(TRIM(Innings!A:A)=TRIM(A1799))*(TRIM(Innings!D:D)=TRIM(E1799)),0))</f>
        <v>184</v>
      </c>
      <c r="AA1799" cm="1">
        <f t="array" ref="AA1799">INDEX(Innings!I:I,MATCH(1,(TRIM(Innings!A:A)=TRIM(A1799))*(TRIM(Innings!D:D)=TRIM(E1799)),0))</f>
        <v>9.1999999999999993</v>
      </c>
      <c r="AB1799" cm="1">
        <f t="array" ref="AB1799">INDEX(Innings!J:J,MATCH(1,(TRIM(Innings!A:A)=TRIM(A1799))*(TRIM(Innings!D:D)=TRIM(E1799)),0))</f>
        <v>40</v>
      </c>
      <c r="AC1799" cm="1">
        <f t="array" ref="AC1799">INDEX(Innings!N:N,MATCH(1,(TRIM(Innings!A:A)=TRIM(A1799))*(TRIM(Innings!D:D)=TRIM(E1799)),0))</f>
        <v>64</v>
      </c>
      <c r="AD1799" cm="1">
        <f t="array" ref="AD1799">INDEX(Innings!S:S,MATCH(1,(TRIM(Innings!A:A)=TRIM(A1799))*(TRIM(Innings!D:D)=TRIM(E1799)),0))</f>
        <v>32</v>
      </c>
      <c r="AE1799" t="str" cm="1">
        <f t="array" ref="AE1799">INDEX(Innings!W:W,MATCH(1,(TRIM(Innings!A:A)=TRIM(A1799))*(TRIM(Innings!D:D)=TRIM(E1799)),0))</f>
        <v>Failed</v>
      </c>
      <c r="AF1799">
        <f>IF(UPPER(TRIM(E1799))=UPPER(TRIM(W1799)),1,0)</f>
        <v>0</v>
      </c>
      <c r="AG1799">
        <f t="shared" si="56"/>
        <v>50.5</v>
      </c>
    </row>
    <row r="1800" spans="1:33" x14ac:dyDescent="0.3">
      <c r="A1800" t="s">
        <v>616</v>
      </c>
      <c r="B1800">
        <v>4</v>
      </c>
      <c r="C1800" t="s">
        <v>449</v>
      </c>
      <c r="D1800" t="s">
        <v>410</v>
      </c>
      <c r="E1800" t="s">
        <v>159</v>
      </c>
      <c r="F1800" t="s">
        <v>169</v>
      </c>
      <c r="G1800" t="s">
        <v>134</v>
      </c>
      <c r="H1800">
        <v>28</v>
      </c>
      <c r="I1800">
        <v>20</v>
      </c>
      <c r="J1800">
        <v>140</v>
      </c>
      <c r="K1800" t="s">
        <v>246</v>
      </c>
      <c r="L1800">
        <v>35</v>
      </c>
      <c r="M1800">
        <v>4</v>
      </c>
      <c r="N1800">
        <v>0</v>
      </c>
      <c r="O1800">
        <v>40</v>
      </c>
      <c r="P1800">
        <v>1</v>
      </c>
      <c r="Q1800">
        <v>10</v>
      </c>
      <c r="R1800">
        <v>25</v>
      </c>
      <c r="S1800">
        <v>0</v>
      </c>
      <c r="T1800">
        <v>0</v>
      </c>
      <c r="U1800" s="8">
        <v>60</v>
      </c>
      <c r="V1800" s="8">
        <f t="shared" si="57"/>
        <v>6</v>
      </c>
      <c r="W1800" t="str">
        <f>_xlfn.XLOOKUP(A1800, Matches!A:A, Matches!L:L, "NA", 0)</f>
        <v>MIW</v>
      </c>
      <c r="X1800" t="str">
        <f>_xlfn.XLOOKUP(A1800, Matches!A:A, Matches!J:J, "NA", 0)</f>
        <v>RCBW</v>
      </c>
      <c r="Y1800" t="str">
        <f>_xlfn.XLOOKUP(A1800, Matches!A:A, Matches!F:F, "NA", 0)</f>
        <v>BCA Stadium, Kotambi</v>
      </c>
      <c r="Z1800" cm="1">
        <f t="array" ref="Z1800">INDEX(Innings!F:F,MATCH(1,(TRIM(Innings!A:A)=TRIM(A1800))*(TRIM(Innings!D:D)=TRIM(E1800)),0))</f>
        <v>184</v>
      </c>
      <c r="AA1800" cm="1">
        <f t="array" ref="AA1800">INDEX(Innings!I:I,MATCH(1,(TRIM(Innings!A:A)=TRIM(A1800))*(TRIM(Innings!D:D)=TRIM(E1800)),0))</f>
        <v>9.1999999999999993</v>
      </c>
      <c r="AB1800" cm="1">
        <f t="array" ref="AB1800">INDEX(Innings!J:J,MATCH(1,(TRIM(Innings!A:A)=TRIM(A1800))*(TRIM(Innings!D:D)=TRIM(E1800)),0))</f>
        <v>40</v>
      </c>
      <c r="AC1800" cm="1">
        <f t="array" ref="AC1800">INDEX(Innings!N:N,MATCH(1,(TRIM(Innings!A:A)=TRIM(A1800))*(TRIM(Innings!D:D)=TRIM(E1800)),0))</f>
        <v>64</v>
      </c>
      <c r="AD1800" cm="1">
        <f t="array" ref="AD1800">INDEX(Innings!S:S,MATCH(1,(TRIM(Innings!A:A)=TRIM(A1800))*(TRIM(Innings!D:D)=TRIM(E1800)),0))</f>
        <v>32</v>
      </c>
      <c r="AE1800" t="str" cm="1">
        <f t="array" ref="AE1800">INDEX(Innings!W:W,MATCH(1,(TRIM(Innings!A:A)=TRIM(A1800))*(TRIM(Innings!D:D)=TRIM(E1800)),0))</f>
        <v>Failed</v>
      </c>
      <c r="AF1800">
        <f>IF(UPPER(TRIM(E1800))=UPPER(TRIM(W1800)),1,0)</f>
        <v>0</v>
      </c>
      <c r="AG1800">
        <f t="shared" si="56"/>
        <v>31.8</v>
      </c>
    </row>
    <row r="1801" spans="1:33" x14ac:dyDescent="0.3">
      <c r="A1801" t="s">
        <v>616</v>
      </c>
      <c r="B1801">
        <v>4</v>
      </c>
      <c r="C1801" t="s">
        <v>202</v>
      </c>
      <c r="D1801" t="s">
        <v>203</v>
      </c>
      <c r="E1801" t="s">
        <v>159</v>
      </c>
      <c r="F1801" t="s">
        <v>101</v>
      </c>
      <c r="G1801" t="s">
        <v>134</v>
      </c>
      <c r="H1801">
        <v>14</v>
      </c>
      <c r="I1801">
        <v>18</v>
      </c>
      <c r="J1801">
        <v>77.78</v>
      </c>
      <c r="K1801" t="s">
        <v>246</v>
      </c>
      <c r="L1801">
        <v>15</v>
      </c>
      <c r="M1801">
        <v>3</v>
      </c>
      <c r="N1801">
        <v>0</v>
      </c>
      <c r="O1801">
        <v>36</v>
      </c>
      <c r="P1801">
        <v>0</v>
      </c>
      <c r="Q1801">
        <v>12</v>
      </c>
      <c r="R1801">
        <v>0</v>
      </c>
      <c r="S1801">
        <v>0</v>
      </c>
      <c r="T1801">
        <v>0</v>
      </c>
      <c r="U1801" s="8">
        <v>15</v>
      </c>
      <c r="V1801" s="8">
        <f t="shared" si="57"/>
        <v>2</v>
      </c>
      <c r="W1801" t="str">
        <f>_xlfn.XLOOKUP(A1801, Matches!A:A, Matches!L:L, "NA", 0)</f>
        <v>MIW</v>
      </c>
      <c r="X1801" t="str">
        <f>_xlfn.XLOOKUP(A1801, Matches!A:A, Matches!J:J, "NA", 0)</f>
        <v>RCBW</v>
      </c>
      <c r="Y1801" t="str">
        <f>_xlfn.XLOOKUP(A1801, Matches!A:A, Matches!F:F, "NA", 0)</f>
        <v>BCA Stadium, Kotambi</v>
      </c>
      <c r="Z1801" cm="1">
        <f t="array" ref="Z1801">INDEX(Innings!F:F,MATCH(1,(TRIM(Innings!A:A)=TRIM(A1801))*(TRIM(Innings!D:D)=TRIM(E1801)),0))</f>
        <v>184</v>
      </c>
      <c r="AA1801" cm="1">
        <f t="array" ref="AA1801">INDEX(Innings!I:I,MATCH(1,(TRIM(Innings!A:A)=TRIM(A1801))*(TRIM(Innings!D:D)=TRIM(E1801)),0))</f>
        <v>9.1999999999999993</v>
      </c>
      <c r="AB1801" cm="1">
        <f t="array" ref="AB1801">INDEX(Innings!J:J,MATCH(1,(TRIM(Innings!A:A)=TRIM(A1801))*(TRIM(Innings!D:D)=TRIM(E1801)),0))</f>
        <v>40</v>
      </c>
      <c r="AC1801" cm="1">
        <f t="array" ref="AC1801">INDEX(Innings!N:N,MATCH(1,(TRIM(Innings!A:A)=TRIM(A1801))*(TRIM(Innings!D:D)=TRIM(E1801)),0))</f>
        <v>64</v>
      </c>
      <c r="AD1801" cm="1">
        <f t="array" ref="AD1801">INDEX(Innings!S:S,MATCH(1,(TRIM(Innings!A:A)=TRIM(A1801))*(TRIM(Innings!D:D)=TRIM(E1801)),0))</f>
        <v>32</v>
      </c>
      <c r="AE1801" t="str" cm="1">
        <f t="array" ref="AE1801">INDEX(Innings!W:W,MATCH(1,(TRIM(Innings!A:A)=TRIM(A1801))*(TRIM(Innings!D:D)=TRIM(E1801)),0))</f>
        <v>Failed</v>
      </c>
      <c r="AF1801">
        <f>IF(UPPER(TRIM(E1801))=UPPER(TRIM(W1801)),1,0)</f>
        <v>0</v>
      </c>
      <c r="AG1801">
        <f t="shared" si="56"/>
        <v>8.1</v>
      </c>
    </row>
    <row r="1802" spans="1:33" x14ac:dyDescent="0.3">
      <c r="A1802" t="s">
        <v>616</v>
      </c>
      <c r="B1802">
        <v>4</v>
      </c>
      <c r="C1802" t="s">
        <v>415</v>
      </c>
      <c r="D1802" t="s">
        <v>425</v>
      </c>
      <c r="E1802" t="s">
        <v>159</v>
      </c>
      <c r="F1802" t="s">
        <v>101</v>
      </c>
      <c r="G1802" t="s">
        <v>134</v>
      </c>
      <c r="H1802">
        <v>0</v>
      </c>
      <c r="I1802">
        <v>1</v>
      </c>
      <c r="J1802">
        <v>0</v>
      </c>
      <c r="K1802" t="s">
        <v>256</v>
      </c>
      <c r="L1802">
        <v>0</v>
      </c>
      <c r="M1802">
        <v>4</v>
      </c>
      <c r="N1802">
        <v>0</v>
      </c>
      <c r="O1802">
        <v>42</v>
      </c>
      <c r="P1802">
        <v>0</v>
      </c>
      <c r="Q1802">
        <v>10.5</v>
      </c>
      <c r="R1802">
        <v>0</v>
      </c>
      <c r="S1802">
        <v>0</v>
      </c>
      <c r="T1802">
        <v>1</v>
      </c>
      <c r="U1802" s="8">
        <v>0</v>
      </c>
      <c r="V1802" s="8">
        <f t="shared" si="57"/>
        <v>0</v>
      </c>
      <c r="W1802" t="str">
        <f>_xlfn.XLOOKUP(A1802, Matches!A:A, Matches!L:L, "NA", 0)</f>
        <v>MIW</v>
      </c>
      <c r="X1802" t="str">
        <f>_xlfn.XLOOKUP(A1802, Matches!A:A, Matches!J:J, "NA", 0)</f>
        <v>RCBW</v>
      </c>
      <c r="Y1802" t="str">
        <f>_xlfn.XLOOKUP(A1802, Matches!A:A, Matches!F:F, "NA", 0)</f>
        <v>BCA Stadium, Kotambi</v>
      </c>
      <c r="Z1802" cm="1">
        <f t="array" ref="Z1802">INDEX(Innings!F:F,MATCH(1,(TRIM(Innings!A:A)=TRIM(A1802))*(TRIM(Innings!D:D)=TRIM(E1802)),0))</f>
        <v>184</v>
      </c>
      <c r="AA1802" cm="1">
        <f t="array" ref="AA1802">INDEX(Innings!I:I,MATCH(1,(TRIM(Innings!A:A)=TRIM(A1802))*(TRIM(Innings!D:D)=TRIM(E1802)),0))</f>
        <v>9.1999999999999993</v>
      </c>
      <c r="AB1802" cm="1">
        <f t="array" ref="AB1802">INDEX(Innings!J:J,MATCH(1,(TRIM(Innings!A:A)=TRIM(A1802))*(TRIM(Innings!D:D)=TRIM(E1802)),0))</f>
        <v>40</v>
      </c>
      <c r="AC1802" cm="1">
        <f t="array" ref="AC1802">INDEX(Innings!N:N,MATCH(1,(TRIM(Innings!A:A)=TRIM(A1802))*(TRIM(Innings!D:D)=TRIM(E1802)),0))</f>
        <v>64</v>
      </c>
      <c r="AD1802" cm="1">
        <f t="array" ref="AD1802">INDEX(Innings!S:S,MATCH(1,(TRIM(Innings!A:A)=TRIM(A1802))*(TRIM(Innings!D:D)=TRIM(E1802)),0))</f>
        <v>32</v>
      </c>
      <c r="AE1802" t="str" cm="1">
        <f t="array" ref="AE1802">INDEX(Innings!W:W,MATCH(1,(TRIM(Innings!A:A)=TRIM(A1802))*(TRIM(Innings!D:D)=TRIM(E1802)),0))</f>
        <v>Failed</v>
      </c>
      <c r="AF1802">
        <f>IF(UPPER(TRIM(E1802))=UPPER(TRIM(W1802)),1,0)</f>
        <v>0</v>
      </c>
      <c r="AG1802">
        <f t="shared" si="56"/>
        <v>0</v>
      </c>
    </row>
    <row r="1803" spans="1:33" x14ac:dyDescent="0.3">
      <c r="A1803" t="s">
        <v>616</v>
      </c>
      <c r="B1803">
        <v>4</v>
      </c>
      <c r="C1803" t="s">
        <v>259</v>
      </c>
      <c r="D1803" t="s">
        <v>257</v>
      </c>
      <c r="E1803" t="s">
        <v>159</v>
      </c>
      <c r="F1803" t="s">
        <v>169</v>
      </c>
      <c r="G1803" t="s">
        <v>134</v>
      </c>
      <c r="H1803">
        <v>12</v>
      </c>
      <c r="I1803">
        <v>5</v>
      </c>
      <c r="J1803">
        <v>240</v>
      </c>
      <c r="K1803" t="s">
        <v>96</v>
      </c>
      <c r="L1803">
        <v>20</v>
      </c>
      <c r="M1803">
        <v>3</v>
      </c>
      <c r="N1803">
        <v>0</v>
      </c>
      <c r="O1803">
        <v>34</v>
      </c>
      <c r="P1803">
        <v>1</v>
      </c>
      <c r="Q1803">
        <v>11.3</v>
      </c>
      <c r="R1803">
        <v>25</v>
      </c>
      <c r="S1803">
        <v>0</v>
      </c>
      <c r="T1803">
        <v>0</v>
      </c>
      <c r="U1803" s="8">
        <v>45</v>
      </c>
      <c r="V1803" s="8">
        <f t="shared" si="57"/>
        <v>5</v>
      </c>
      <c r="W1803" t="str">
        <f>_xlfn.XLOOKUP(A1803, Matches!A:A, Matches!L:L, "NA", 0)</f>
        <v>MIW</v>
      </c>
      <c r="X1803" t="str">
        <f>_xlfn.XLOOKUP(A1803, Matches!A:A, Matches!J:J, "NA", 0)</f>
        <v>RCBW</v>
      </c>
      <c r="Y1803" t="str">
        <f>_xlfn.XLOOKUP(A1803, Matches!A:A, Matches!F:F, "NA", 0)</f>
        <v>BCA Stadium, Kotambi</v>
      </c>
      <c r="Z1803" cm="1">
        <f t="array" ref="Z1803">INDEX(Innings!F:F,MATCH(1,(TRIM(Innings!A:A)=TRIM(A1803))*(TRIM(Innings!D:D)=TRIM(E1803)),0))</f>
        <v>184</v>
      </c>
      <c r="AA1803" cm="1">
        <f t="array" ref="AA1803">INDEX(Innings!I:I,MATCH(1,(TRIM(Innings!A:A)=TRIM(A1803))*(TRIM(Innings!D:D)=TRIM(E1803)),0))</f>
        <v>9.1999999999999993</v>
      </c>
      <c r="AB1803" cm="1">
        <f t="array" ref="AB1803">INDEX(Innings!J:J,MATCH(1,(TRIM(Innings!A:A)=TRIM(A1803))*(TRIM(Innings!D:D)=TRIM(E1803)),0))</f>
        <v>40</v>
      </c>
      <c r="AC1803" cm="1">
        <f t="array" ref="AC1803">INDEX(Innings!N:N,MATCH(1,(TRIM(Innings!A:A)=TRIM(A1803))*(TRIM(Innings!D:D)=TRIM(E1803)),0))</f>
        <v>64</v>
      </c>
      <c r="AD1803" cm="1">
        <f t="array" ref="AD1803">INDEX(Innings!S:S,MATCH(1,(TRIM(Innings!A:A)=TRIM(A1803))*(TRIM(Innings!D:D)=TRIM(E1803)),0))</f>
        <v>32</v>
      </c>
      <c r="AE1803" t="str" cm="1">
        <f t="array" ref="AE1803">INDEX(Innings!W:W,MATCH(1,(TRIM(Innings!A:A)=TRIM(A1803))*(TRIM(Innings!D:D)=TRIM(E1803)),0))</f>
        <v>Failed</v>
      </c>
      <c r="AF1803">
        <f>IF(UPPER(TRIM(E1803))=UPPER(TRIM(W1803)),1,0)</f>
        <v>0</v>
      </c>
      <c r="AG1803">
        <f t="shared" si="56"/>
        <v>24</v>
      </c>
    </row>
    <row r="1804" spans="1:33" x14ac:dyDescent="0.3">
      <c r="A1804" t="s">
        <v>616</v>
      </c>
      <c r="B1804">
        <v>4</v>
      </c>
      <c r="C1804" t="s">
        <v>527</v>
      </c>
      <c r="D1804" t="s">
        <v>627</v>
      </c>
      <c r="E1804" t="s">
        <v>159</v>
      </c>
      <c r="F1804" t="s">
        <v>101</v>
      </c>
      <c r="G1804" t="s">
        <v>134</v>
      </c>
      <c r="H1804">
        <v>0</v>
      </c>
      <c r="I1804">
        <v>0</v>
      </c>
      <c r="J1804">
        <v>0</v>
      </c>
      <c r="K1804" t="s">
        <v>104</v>
      </c>
      <c r="L1804">
        <v>0</v>
      </c>
      <c r="M1804">
        <v>4</v>
      </c>
      <c r="N1804">
        <v>0</v>
      </c>
      <c r="O1804">
        <v>21</v>
      </c>
      <c r="P1804">
        <v>2</v>
      </c>
      <c r="Q1804">
        <v>5.2</v>
      </c>
      <c r="R1804">
        <v>50</v>
      </c>
      <c r="S1804">
        <v>0</v>
      </c>
      <c r="T1804">
        <v>0</v>
      </c>
      <c r="U1804" s="8">
        <v>50</v>
      </c>
      <c r="V1804" s="8">
        <f t="shared" si="57"/>
        <v>5</v>
      </c>
      <c r="W1804" t="str">
        <f>_xlfn.XLOOKUP(A1804, Matches!A:A, Matches!L:L, "NA", 0)</f>
        <v>MIW</v>
      </c>
      <c r="X1804" t="str">
        <f>_xlfn.XLOOKUP(A1804, Matches!A:A, Matches!J:J, "NA", 0)</f>
        <v>RCBW</v>
      </c>
      <c r="Y1804" t="str">
        <f>_xlfn.XLOOKUP(A1804, Matches!A:A, Matches!F:F, "NA", 0)</f>
        <v>BCA Stadium, Kotambi</v>
      </c>
      <c r="Z1804" cm="1">
        <f t="array" ref="Z1804">INDEX(Innings!F:F,MATCH(1,(TRIM(Innings!A:A)=TRIM(A1804))*(TRIM(Innings!D:D)=TRIM(E1804)),0))</f>
        <v>184</v>
      </c>
      <c r="AA1804" cm="1">
        <f t="array" ref="AA1804">INDEX(Innings!I:I,MATCH(1,(TRIM(Innings!A:A)=TRIM(A1804))*(TRIM(Innings!D:D)=TRIM(E1804)),0))</f>
        <v>9.1999999999999993</v>
      </c>
      <c r="AB1804" cm="1">
        <f t="array" ref="AB1804">INDEX(Innings!J:J,MATCH(1,(TRIM(Innings!A:A)=TRIM(A1804))*(TRIM(Innings!D:D)=TRIM(E1804)),0))</f>
        <v>40</v>
      </c>
      <c r="AC1804" cm="1">
        <f t="array" ref="AC1804">INDEX(Innings!N:N,MATCH(1,(TRIM(Innings!A:A)=TRIM(A1804))*(TRIM(Innings!D:D)=TRIM(E1804)),0))</f>
        <v>64</v>
      </c>
      <c r="AD1804" cm="1">
        <f t="array" ref="AD1804">INDEX(Innings!S:S,MATCH(1,(TRIM(Innings!A:A)=TRIM(A1804))*(TRIM(Innings!D:D)=TRIM(E1804)),0))</f>
        <v>32</v>
      </c>
      <c r="AE1804" t="str" cm="1">
        <f t="array" ref="AE1804">INDEX(Innings!W:W,MATCH(1,(TRIM(Innings!A:A)=TRIM(A1804))*(TRIM(Innings!D:D)=TRIM(E1804)),0))</f>
        <v>Failed</v>
      </c>
      <c r="AF1804">
        <f>IF(UPPER(TRIM(E1804))=UPPER(TRIM(W1804)),1,0)</f>
        <v>0</v>
      </c>
      <c r="AG1804">
        <f t="shared" si="56"/>
        <v>26.5</v>
      </c>
    </row>
    <row r="1805" spans="1:33" x14ac:dyDescent="0.3">
      <c r="A1805" t="s">
        <v>617</v>
      </c>
      <c r="B1805">
        <v>4</v>
      </c>
      <c r="C1805" t="s">
        <v>81</v>
      </c>
      <c r="D1805" t="s">
        <v>114</v>
      </c>
      <c r="E1805" t="s">
        <v>258</v>
      </c>
      <c r="F1805" t="s">
        <v>85</v>
      </c>
      <c r="G1805" t="s">
        <v>86</v>
      </c>
      <c r="H1805">
        <v>58</v>
      </c>
      <c r="I1805">
        <v>46</v>
      </c>
      <c r="J1805">
        <v>126.09</v>
      </c>
      <c r="K1805" t="s">
        <v>246</v>
      </c>
      <c r="L1805">
        <v>65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 s="8">
        <v>65</v>
      </c>
      <c r="V1805" s="8">
        <f t="shared" si="57"/>
        <v>7</v>
      </c>
      <c r="W1805" t="str">
        <f>_xlfn.XLOOKUP(A1805, Matches!A:A, Matches!L:L, "NA", 0)</f>
        <v>GGTW</v>
      </c>
      <c r="X1805" t="str">
        <f>_xlfn.XLOOKUP(A1805, Matches!A:A, Matches!J:J, "NA", 0)</f>
        <v>DCW</v>
      </c>
      <c r="Y1805" t="str">
        <f>_xlfn.XLOOKUP(A1805, Matches!A:A, Matches!F:F, "NA", 0)</f>
        <v>BCA Stadium, Kotambi</v>
      </c>
      <c r="Z1805" cm="1">
        <f t="array" ref="Z1805">INDEX(Innings!F:F,MATCH(1,(TRIM(Innings!A:A)=TRIM(A1805))*(TRIM(Innings!D:D)=TRIM(E1805)),0))</f>
        <v>174</v>
      </c>
      <c r="AA1805" cm="1">
        <f t="array" ref="AA1805">INDEX(Innings!I:I,MATCH(1,(TRIM(Innings!A:A)=TRIM(A1805))*(TRIM(Innings!D:D)=TRIM(E1805)),0))</f>
        <v>8.6999999999999993</v>
      </c>
      <c r="AB1805" cm="1">
        <f t="array" ref="AB1805">INDEX(Innings!J:J,MATCH(1,(TRIM(Innings!A:A)=TRIM(A1805))*(TRIM(Innings!D:D)=TRIM(E1805)),0))</f>
        <v>53</v>
      </c>
      <c r="AC1805" cm="1">
        <f t="array" ref="AC1805">INDEX(Innings!N:N,MATCH(1,(TRIM(Innings!A:A)=TRIM(A1805))*(TRIM(Innings!D:D)=TRIM(E1805)),0))</f>
        <v>41</v>
      </c>
      <c r="AD1805" cm="1">
        <f t="array" ref="AD1805">INDEX(Innings!S:S,MATCH(1,(TRIM(Innings!A:A)=TRIM(A1805))*(TRIM(Innings!D:D)=TRIM(E1805)),0))</f>
        <v>34</v>
      </c>
      <c r="AE1805" t="str" cm="1">
        <f t="array" ref="AE1805">INDEX(Innings!W:W,MATCH(1,(TRIM(Innings!A:A)=TRIM(A1805))*(TRIM(Innings!D:D)=TRIM(E1805)),0))</f>
        <v>NA</v>
      </c>
      <c r="AF1805">
        <f>IF(UPPER(TRIM(E1805))=UPPER(TRIM(W1805)),1,0)</f>
        <v>1</v>
      </c>
      <c r="AG1805">
        <f t="shared" si="56"/>
        <v>54.6</v>
      </c>
    </row>
    <row r="1806" spans="1:33" x14ac:dyDescent="0.3">
      <c r="A1806" t="s">
        <v>617</v>
      </c>
      <c r="B1806">
        <v>4</v>
      </c>
      <c r="C1806" t="s">
        <v>167</v>
      </c>
      <c r="D1806" t="s">
        <v>168</v>
      </c>
      <c r="E1806" t="s">
        <v>258</v>
      </c>
      <c r="F1806" t="s">
        <v>169</v>
      </c>
      <c r="G1806" t="s">
        <v>92</v>
      </c>
      <c r="H1806">
        <v>13</v>
      </c>
      <c r="I1806">
        <v>10</v>
      </c>
      <c r="J1806">
        <v>130</v>
      </c>
      <c r="K1806" t="s">
        <v>245</v>
      </c>
      <c r="L1806">
        <v>15</v>
      </c>
      <c r="M1806">
        <v>4</v>
      </c>
      <c r="N1806">
        <v>0</v>
      </c>
      <c r="O1806">
        <v>37</v>
      </c>
      <c r="P1806">
        <v>4</v>
      </c>
      <c r="Q1806">
        <v>9.1999999999999993</v>
      </c>
      <c r="R1806">
        <v>75</v>
      </c>
      <c r="S1806">
        <v>0</v>
      </c>
      <c r="T1806">
        <v>0</v>
      </c>
      <c r="U1806" s="8">
        <v>90</v>
      </c>
      <c r="V1806" s="8">
        <f t="shared" si="57"/>
        <v>9</v>
      </c>
      <c r="W1806" t="str">
        <f>_xlfn.XLOOKUP(A1806, Matches!A:A, Matches!L:L, "NA", 0)</f>
        <v>GGTW</v>
      </c>
      <c r="X1806" t="str">
        <f>_xlfn.XLOOKUP(A1806, Matches!A:A, Matches!J:J, "NA", 0)</f>
        <v>DCW</v>
      </c>
      <c r="Y1806" t="str">
        <f>_xlfn.XLOOKUP(A1806, Matches!A:A, Matches!F:F, "NA", 0)</f>
        <v>BCA Stadium, Kotambi</v>
      </c>
      <c r="Z1806" cm="1">
        <f t="array" ref="Z1806">INDEX(Innings!F:F,MATCH(1,(TRIM(Innings!A:A)=TRIM(A1806))*(TRIM(Innings!D:D)=TRIM(E1806)),0))</f>
        <v>174</v>
      </c>
      <c r="AA1806" cm="1">
        <f t="array" ref="AA1806">INDEX(Innings!I:I,MATCH(1,(TRIM(Innings!A:A)=TRIM(A1806))*(TRIM(Innings!D:D)=TRIM(E1806)),0))</f>
        <v>8.6999999999999993</v>
      </c>
      <c r="AB1806" cm="1">
        <f t="array" ref="AB1806">INDEX(Innings!J:J,MATCH(1,(TRIM(Innings!A:A)=TRIM(A1806))*(TRIM(Innings!D:D)=TRIM(E1806)),0))</f>
        <v>53</v>
      </c>
      <c r="AC1806" cm="1">
        <f t="array" ref="AC1806">INDEX(Innings!N:N,MATCH(1,(TRIM(Innings!A:A)=TRIM(A1806))*(TRIM(Innings!D:D)=TRIM(E1806)),0))</f>
        <v>41</v>
      </c>
      <c r="AD1806" cm="1">
        <f t="array" ref="AD1806">INDEX(Innings!S:S,MATCH(1,(TRIM(Innings!A:A)=TRIM(A1806))*(TRIM(Innings!D:D)=TRIM(E1806)),0))</f>
        <v>34</v>
      </c>
      <c r="AE1806" t="str" cm="1">
        <f t="array" ref="AE1806">INDEX(Innings!W:W,MATCH(1,(TRIM(Innings!A:A)=TRIM(A1806))*(TRIM(Innings!D:D)=TRIM(E1806)),0))</f>
        <v>NA</v>
      </c>
      <c r="AF1806">
        <f>IF(UPPER(TRIM(E1806))=UPPER(TRIM(W1806)),1,0)</f>
        <v>1</v>
      </c>
      <c r="AG1806">
        <f t="shared" si="56"/>
        <v>67.7</v>
      </c>
    </row>
    <row r="1807" spans="1:33" x14ac:dyDescent="0.3">
      <c r="A1807" t="s">
        <v>617</v>
      </c>
      <c r="B1807">
        <v>4</v>
      </c>
      <c r="C1807" t="s">
        <v>529</v>
      </c>
      <c r="D1807" t="s">
        <v>632</v>
      </c>
      <c r="E1807" t="s">
        <v>258</v>
      </c>
      <c r="F1807" t="s">
        <v>109</v>
      </c>
      <c r="G1807" t="s">
        <v>92</v>
      </c>
      <c r="H1807">
        <v>39</v>
      </c>
      <c r="I1807">
        <v>25</v>
      </c>
      <c r="J1807">
        <v>156</v>
      </c>
      <c r="K1807" t="s">
        <v>246</v>
      </c>
      <c r="L1807">
        <v>45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 s="8">
        <v>45</v>
      </c>
      <c r="V1807" s="8">
        <f t="shared" si="57"/>
        <v>5</v>
      </c>
      <c r="W1807" t="str">
        <f>_xlfn.XLOOKUP(A1807, Matches!A:A, Matches!L:L, "NA", 0)</f>
        <v>GGTW</v>
      </c>
      <c r="X1807" t="str">
        <f>_xlfn.XLOOKUP(A1807, Matches!A:A, Matches!J:J, "NA", 0)</f>
        <v>DCW</v>
      </c>
      <c r="Y1807" t="str">
        <f>_xlfn.XLOOKUP(A1807, Matches!A:A, Matches!F:F, "NA", 0)</f>
        <v>BCA Stadium, Kotambi</v>
      </c>
      <c r="Z1807" cm="1">
        <f t="array" ref="Z1807">INDEX(Innings!F:F,MATCH(1,(TRIM(Innings!A:A)=TRIM(A1807))*(TRIM(Innings!D:D)=TRIM(E1807)),0))</f>
        <v>174</v>
      </c>
      <c r="AA1807" cm="1">
        <f t="array" ref="AA1807">INDEX(Innings!I:I,MATCH(1,(TRIM(Innings!A:A)=TRIM(A1807))*(TRIM(Innings!D:D)=TRIM(E1807)),0))</f>
        <v>8.6999999999999993</v>
      </c>
      <c r="AB1807" cm="1">
        <f t="array" ref="AB1807">INDEX(Innings!J:J,MATCH(1,(TRIM(Innings!A:A)=TRIM(A1807))*(TRIM(Innings!D:D)=TRIM(E1807)),0))</f>
        <v>53</v>
      </c>
      <c r="AC1807" cm="1">
        <f t="array" ref="AC1807">INDEX(Innings!N:N,MATCH(1,(TRIM(Innings!A:A)=TRIM(A1807))*(TRIM(Innings!D:D)=TRIM(E1807)),0))</f>
        <v>41</v>
      </c>
      <c r="AD1807" cm="1">
        <f t="array" ref="AD1807">INDEX(Innings!S:S,MATCH(1,(TRIM(Innings!A:A)=TRIM(A1807))*(TRIM(Innings!D:D)=TRIM(E1807)),0))</f>
        <v>34</v>
      </c>
      <c r="AE1807" t="str" cm="1">
        <f t="array" ref="AE1807">INDEX(Innings!W:W,MATCH(1,(TRIM(Innings!A:A)=TRIM(A1807))*(TRIM(Innings!D:D)=TRIM(E1807)),0))</f>
        <v>NA</v>
      </c>
      <c r="AF1807">
        <f>IF(UPPER(TRIM(E1807))=UPPER(TRIM(W1807)),1,0)</f>
        <v>1</v>
      </c>
      <c r="AG1807">
        <f t="shared" si="56"/>
        <v>44</v>
      </c>
    </row>
    <row r="1808" spans="1:33" x14ac:dyDescent="0.3">
      <c r="A1808" t="s">
        <v>617</v>
      </c>
      <c r="B1808">
        <v>4</v>
      </c>
      <c r="C1808" t="s">
        <v>93</v>
      </c>
      <c r="D1808" t="s">
        <v>118</v>
      </c>
      <c r="E1808" t="s">
        <v>258</v>
      </c>
      <c r="F1808" t="s">
        <v>169</v>
      </c>
      <c r="G1808" t="s">
        <v>134</v>
      </c>
      <c r="H1808">
        <v>2</v>
      </c>
      <c r="I1808">
        <v>4</v>
      </c>
      <c r="J1808">
        <v>50</v>
      </c>
      <c r="K1808" t="s">
        <v>246</v>
      </c>
      <c r="L1808">
        <v>0</v>
      </c>
      <c r="M1808">
        <v>4</v>
      </c>
      <c r="N1808">
        <v>0</v>
      </c>
      <c r="O1808">
        <v>37</v>
      </c>
      <c r="P1808">
        <v>1</v>
      </c>
      <c r="Q1808">
        <v>9.1999999999999993</v>
      </c>
      <c r="R1808">
        <v>25</v>
      </c>
      <c r="S1808">
        <v>0</v>
      </c>
      <c r="T1808">
        <v>0</v>
      </c>
      <c r="U1808" s="8">
        <v>25</v>
      </c>
      <c r="V1808" s="8">
        <f t="shared" si="57"/>
        <v>3</v>
      </c>
      <c r="W1808" t="str">
        <f>_xlfn.XLOOKUP(A1808, Matches!A:A, Matches!L:L, "NA", 0)</f>
        <v>GGTW</v>
      </c>
      <c r="X1808" t="str">
        <f>_xlfn.XLOOKUP(A1808, Matches!A:A, Matches!J:J, "NA", 0)</f>
        <v>DCW</v>
      </c>
      <c r="Y1808" t="str">
        <f>_xlfn.XLOOKUP(A1808, Matches!A:A, Matches!F:F, "NA", 0)</f>
        <v>BCA Stadium, Kotambi</v>
      </c>
      <c r="Z1808" cm="1">
        <f t="array" ref="Z1808">INDEX(Innings!F:F,MATCH(1,(TRIM(Innings!A:A)=TRIM(A1808))*(TRIM(Innings!D:D)=TRIM(E1808)),0))</f>
        <v>174</v>
      </c>
      <c r="AA1808" cm="1">
        <f t="array" ref="AA1808">INDEX(Innings!I:I,MATCH(1,(TRIM(Innings!A:A)=TRIM(A1808))*(TRIM(Innings!D:D)=TRIM(E1808)),0))</f>
        <v>8.6999999999999993</v>
      </c>
      <c r="AB1808" cm="1">
        <f t="array" ref="AB1808">INDEX(Innings!J:J,MATCH(1,(TRIM(Innings!A:A)=TRIM(A1808))*(TRIM(Innings!D:D)=TRIM(E1808)),0))</f>
        <v>53</v>
      </c>
      <c r="AC1808" cm="1">
        <f t="array" ref="AC1808">INDEX(Innings!N:N,MATCH(1,(TRIM(Innings!A:A)=TRIM(A1808))*(TRIM(Innings!D:D)=TRIM(E1808)),0))</f>
        <v>41</v>
      </c>
      <c r="AD1808" cm="1">
        <f t="array" ref="AD1808">INDEX(Innings!S:S,MATCH(1,(TRIM(Innings!A:A)=TRIM(A1808))*(TRIM(Innings!D:D)=TRIM(E1808)),0))</f>
        <v>34</v>
      </c>
      <c r="AE1808" t="str" cm="1">
        <f t="array" ref="AE1808">INDEX(Innings!W:W,MATCH(1,(TRIM(Innings!A:A)=TRIM(A1808))*(TRIM(Innings!D:D)=TRIM(E1808)),0))</f>
        <v>NA</v>
      </c>
      <c r="AF1808">
        <f>IF(UPPER(TRIM(E1808))=UPPER(TRIM(W1808)),1,0)</f>
        <v>1</v>
      </c>
      <c r="AG1808">
        <f t="shared" si="56"/>
        <v>33.4</v>
      </c>
    </row>
    <row r="1809" spans="1:33" x14ac:dyDescent="0.3">
      <c r="A1809" t="s">
        <v>617</v>
      </c>
      <c r="B1809">
        <v>4</v>
      </c>
      <c r="C1809" t="s">
        <v>99</v>
      </c>
      <c r="D1809" t="s">
        <v>124</v>
      </c>
      <c r="E1809" t="s">
        <v>258</v>
      </c>
      <c r="F1809" t="s">
        <v>169</v>
      </c>
      <c r="G1809" t="s">
        <v>134</v>
      </c>
      <c r="H1809">
        <v>11</v>
      </c>
      <c r="I1809">
        <v>7</v>
      </c>
      <c r="J1809">
        <v>157.13999999999999</v>
      </c>
      <c r="K1809" t="s">
        <v>245</v>
      </c>
      <c r="L1809">
        <v>15</v>
      </c>
      <c r="M1809">
        <v>1</v>
      </c>
      <c r="N1809">
        <v>0</v>
      </c>
      <c r="O1809">
        <v>12</v>
      </c>
      <c r="P1809">
        <v>0</v>
      </c>
      <c r="Q1809">
        <v>12</v>
      </c>
      <c r="R1809">
        <v>0</v>
      </c>
      <c r="S1809">
        <v>0</v>
      </c>
      <c r="T1809">
        <v>0</v>
      </c>
      <c r="U1809" s="8">
        <v>15</v>
      </c>
      <c r="V1809" s="8">
        <f t="shared" si="57"/>
        <v>2</v>
      </c>
      <c r="W1809" t="str">
        <f>_xlfn.XLOOKUP(A1809, Matches!A:A, Matches!L:L, "NA", 0)</f>
        <v>GGTW</v>
      </c>
      <c r="X1809" t="str">
        <f>_xlfn.XLOOKUP(A1809, Matches!A:A, Matches!J:J, "NA", 0)</f>
        <v>DCW</v>
      </c>
      <c r="Y1809" t="str">
        <f>_xlfn.XLOOKUP(A1809, Matches!A:A, Matches!F:F, "NA", 0)</f>
        <v>BCA Stadium, Kotambi</v>
      </c>
      <c r="Z1809" cm="1">
        <f t="array" ref="Z1809">INDEX(Innings!F:F,MATCH(1,(TRIM(Innings!A:A)=TRIM(A1809))*(TRIM(Innings!D:D)=TRIM(E1809)),0))</f>
        <v>174</v>
      </c>
      <c r="AA1809" cm="1">
        <f t="array" ref="AA1809">INDEX(Innings!I:I,MATCH(1,(TRIM(Innings!A:A)=TRIM(A1809))*(TRIM(Innings!D:D)=TRIM(E1809)),0))</f>
        <v>8.6999999999999993</v>
      </c>
      <c r="AB1809" cm="1">
        <f t="array" ref="AB1809">INDEX(Innings!J:J,MATCH(1,(TRIM(Innings!A:A)=TRIM(A1809))*(TRIM(Innings!D:D)=TRIM(E1809)),0))</f>
        <v>53</v>
      </c>
      <c r="AC1809" cm="1">
        <f t="array" ref="AC1809">INDEX(Innings!N:N,MATCH(1,(TRIM(Innings!A:A)=TRIM(A1809))*(TRIM(Innings!D:D)=TRIM(E1809)),0))</f>
        <v>41</v>
      </c>
      <c r="AD1809" cm="1">
        <f t="array" ref="AD1809">INDEX(Innings!S:S,MATCH(1,(TRIM(Innings!A:A)=TRIM(A1809))*(TRIM(Innings!D:D)=TRIM(E1809)),0))</f>
        <v>34</v>
      </c>
      <c r="AE1809" t="str" cm="1">
        <f t="array" ref="AE1809">INDEX(Innings!W:W,MATCH(1,(TRIM(Innings!A:A)=TRIM(A1809))*(TRIM(Innings!D:D)=TRIM(E1809)),0))</f>
        <v>NA</v>
      </c>
      <c r="AF1809">
        <f>IF(UPPER(TRIM(E1809))=UPPER(TRIM(W1809)),1,0)</f>
        <v>1</v>
      </c>
      <c r="AG1809">
        <f t="shared" si="56"/>
        <v>28.1</v>
      </c>
    </row>
    <row r="1810" spans="1:33" x14ac:dyDescent="0.3">
      <c r="A1810" t="s">
        <v>617</v>
      </c>
      <c r="B1810">
        <v>4</v>
      </c>
      <c r="C1810" t="s">
        <v>447</v>
      </c>
      <c r="D1810" t="s">
        <v>448</v>
      </c>
      <c r="E1810" t="s">
        <v>258</v>
      </c>
      <c r="F1810" t="s">
        <v>109</v>
      </c>
      <c r="G1810" t="s">
        <v>134</v>
      </c>
      <c r="H1810">
        <v>3</v>
      </c>
      <c r="I1810">
        <v>5</v>
      </c>
      <c r="J1810">
        <v>60</v>
      </c>
      <c r="K1810" t="s">
        <v>245</v>
      </c>
      <c r="L1810">
        <v>5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 s="8">
        <v>5</v>
      </c>
      <c r="V1810" s="8">
        <f t="shared" si="57"/>
        <v>1</v>
      </c>
      <c r="W1810" t="str">
        <f>_xlfn.XLOOKUP(A1810, Matches!A:A, Matches!L:L, "NA", 0)</f>
        <v>GGTW</v>
      </c>
      <c r="X1810" t="str">
        <f>_xlfn.XLOOKUP(A1810, Matches!A:A, Matches!J:J, "NA", 0)</f>
        <v>DCW</v>
      </c>
      <c r="Y1810" t="str">
        <f>_xlfn.XLOOKUP(A1810, Matches!A:A, Matches!F:F, "NA", 0)</f>
        <v>BCA Stadium, Kotambi</v>
      </c>
      <c r="Z1810" cm="1">
        <f t="array" ref="Z1810">INDEX(Innings!F:F,MATCH(1,(TRIM(Innings!A:A)=TRIM(A1810))*(TRIM(Innings!D:D)=TRIM(E1810)),0))</f>
        <v>174</v>
      </c>
      <c r="AA1810" cm="1">
        <f t="array" ref="AA1810">INDEX(Innings!I:I,MATCH(1,(TRIM(Innings!A:A)=TRIM(A1810))*(TRIM(Innings!D:D)=TRIM(E1810)),0))</f>
        <v>8.6999999999999993</v>
      </c>
      <c r="AB1810" cm="1">
        <f t="array" ref="AB1810">INDEX(Innings!J:J,MATCH(1,(TRIM(Innings!A:A)=TRIM(A1810))*(TRIM(Innings!D:D)=TRIM(E1810)),0))</f>
        <v>53</v>
      </c>
      <c r="AC1810" cm="1">
        <f t="array" ref="AC1810">INDEX(Innings!N:N,MATCH(1,(TRIM(Innings!A:A)=TRIM(A1810))*(TRIM(Innings!D:D)=TRIM(E1810)),0))</f>
        <v>41</v>
      </c>
      <c r="AD1810" cm="1">
        <f t="array" ref="AD1810">INDEX(Innings!S:S,MATCH(1,(TRIM(Innings!A:A)=TRIM(A1810))*(TRIM(Innings!D:D)=TRIM(E1810)),0))</f>
        <v>34</v>
      </c>
      <c r="AE1810" t="str" cm="1">
        <f t="array" ref="AE1810">INDEX(Innings!W:W,MATCH(1,(TRIM(Innings!A:A)=TRIM(A1810))*(TRIM(Innings!D:D)=TRIM(E1810)),0))</f>
        <v>NA</v>
      </c>
      <c r="AF1810">
        <f>IF(UPPER(TRIM(E1810))=UPPER(TRIM(W1810)),1,0)</f>
        <v>1</v>
      </c>
      <c r="AG1810">
        <f t="shared" si="56"/>
        <v>22.8</v>
      </c>
    </row>
    <row r="1811" spans="1:33" x14ac:dyDescent="0.3">
      <c r="A1811" t="s">
        <v>617</v>
      </c>
      <c r="B1811">
        <v>4</v>
      </c>
      <c r="C1811" t="s">
        <v>178</v>
      </c>
      <c r="D1811" t="s">
        <v>179</v>
      </c>
      <c r="E1811" t="s">
        <v>258</v>
      </c>
      <c r="F1811" t="s">
        <v>169</v>
      </c>
      <c r="G1811" t="s">
        <v>134</v>
      </c>
      <c r="H1811">
        <v>4</v>
      </c>
      <c r="I1811">
        <v>5</v>
      </c>
      <c r="J1811">
        <v>80</v>
      </c>
      <c r="K1811" t="s">
        <v>247</v>
      </c>
      <c r="L1811">
        <v>5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 s="8">
        <v>5</v>
      </c>
      <c r="V1811" s="8">
        <f t="shared" si="57"/>
        <v>1</v>
      </c>
      <c r="W1811" t="str">
        <f>_xlfn.XLOOKUP(A1811, Matches!A:A, Matches!L:L, "NA", 0)</f>
        <v>GGTW</v>
      </c>
      <c r="X1811" t="str">
        <f>_xlfn.XLOOKUP(A1811, Matches!A:A, Matches!J:J, "NA", 0)</f>
        <v>DCW</v>
      </c>
      <c r="Y1811" t="str">
        <f>_xlfn.XLOOKUP(A1811, Matches!A:A, Matches!F:F, "NA", 0)</f>
        <v>BCA Stadium, Kotambi</v>
      </c>
      <c r="Z1811" cm="1">
        <f t="array" ref="Z1811">INDEX(Innings!F:F,MATCH(1,(TRIM(Innings!A:A)=TRIM(A1811))*(TRIM(Innings!D:D)=TRIM(E1811)),0))</f>
        <v>174</v>
      </c>
      <c r="AA1811" cm="1">
        <f t="array" ref="AA1811">INDEX(Innings!I:I,MATCH(1,(TRIM(Innings!A:A)=TRIM(A1811))*(TRIM(Innings!D:D)=TRIM(E1811)),0))</f>
        <v>8.6999999999999993</v>
      </c>
      <c r="AB1811" cm="1">
        <f t="array" ref="AB1811">INDEX(Innings!J:J,MATCH(1,(TRIM(Innings!A:A)=TRIM(A1811))*(TRIM(Innings!D:D)=TRIM(E1811)),0))</f>
        <v>53</v>
      </c>
      <c r="AC1811" cm="1">
        <f t="array" ref="AC1811">INDEX(Innings!N:N,MATCH(1,(TRIM(Innings!A:A)=TRIM(A1811))*(TRIM(Innings!D:D)=TRIM(E1811)),0))</f>
        <v>41</v>
      </c>
      <c r="AD1811" cm="1">
        <f t="array" ref="AD1811">INDEX(Innings!S:S,MATCH(1,(TRIM(Innings!A:A)=TRIM(A1811))*(TRIM(Innings!D:D)=TRIM(E1811)),0))</f>
        <v>34</v>
      </c>
      <c r="AE1811" t="str" cm="1">
        <f t="array" ref="AE1811">INDEX(Innings!W:W,MATCH(1,(TRIM(Innings!A:A)=TRIM(A1811))*(TRIM(Innings!D:D)=TRIM(E1811)),0))</f>
        <v>NA</v>
      </c>
      <c r="AF1811">
        <f>IF(UPPER(TRIM(E1811))=UPPER(TRIM(W1811)),1,0)</f>
        <v>1</v>
      </c>
      <c r="AG1811">
        <f t="shared" si="56"/>
        <v>22.8</v>
      </c>
    </row>
    <row r="1812" spans="1:33" x14ac:dyDescent="0.3">
      <c r="A1812" t="s">
        <v>617</v>
      </c>
      <c r="B1812">
        <v>4</v>
      </c>
      <c r="C1812" t="s">
        <v>493</v>
      </c>
      <c r="D1812" t="s">
        <v>500</v>
      </c>
      <c r="E1812" t="s">
        <v>258</v>
      </c>
      <c r="F1812" t="s">
        <v>101</v>
      </c>
      <c r="G1812" t="s">
        <v>134</v>
      </c>
      <c r="H1812">
        <v>2</v>
      </c>
      <c r="I1812">
        <v>3</v>
      </c>
      <c r="J1812">
        <v>66.67</v>
      </c>
      <c r="K1812" t="s">
        <v>245</v>
      </c>
      <c r="L1812">
        <v>0</v>
      </c>
      <c r="M1812">
        <v>2</v>
      </c>
      <c r="N1812">
        <v>0</v>
      </c>
      <c r="O1812">
        <v>18</v>
      </c>
      <c r="P1812">
        <v>0</v>
      </c>
      <c r="Q1812">
        <v>9</v>
      </c>
      <c r="R1812">
        <v>0</v>
      </c>
      <c r="S1812">
        <v>0</v>
      </c>
      <c r="T1812">
        <v>0</v>
      </c>
      <c r="U1812" s="8">
        <v>0</v>
      </c>
      <c r="V1812" s="8">
        <f t="shared" si="57"/>
        <v>0</v>
      </c>
      <c r="W1812" t="str">
        <f>_xlfn.XLOOKUP(A1812, Matches!A:A, Matches!L:L, "NA", 0)</f>
        <v>GGTW</v>
      </c>
      <c r="X1812" t="str">
        <f>_xlfn.XLOOKUP(A1812, Matches!A:A, Matches!J:J, "NA", 0)</f>
        <v>DCW</v>
      </c>
      <c r="Y1812" t="str">
        <f>_xlfn.XLOOKUP(A1812, Matches!A:A, Matches!F:F, "NA", 0)</f>
        <v>BCA Stadium, Kotambi</v>
      </c>
      <c r="Z1812" cm="1">
        <f t="array" ref="Z1812">INDEX(Innings!F:F,MATCH(1,(TRIM(Innings!A:A)=TRIM(A1812))*(TRIM(Innings!D:D)=TRIM(E1812)),0))</f>
        <v>174</v>
      </c>
      <c r="AA1812" cm="1">
        <f t="array" ref="AA1812">INDEX(Innings!I:I,MATCH(1,(TRIM(Innings!A:A)=TRIM(A1812))*(TRIM(Innings!D:D)=TRIM(E1812)),0))</f>
        <v>8.6999999999999993</v>
      </c>
      <c r="AB1812" cm="1">
        <f t="array" ref="AB1812">INDEX(Innings!J:J,MATCH(1,(TRIM(Innings!A:A)=TRIM(A1812))*(TRIM(Innings!D:D)=TRIM(E1812)),0))</f>
        <v>53</v>
      </c>
      <c r="AC1812" cm="1">
        <f t="array" ref="AC1812">INDEX(Innings!N:N,MATCH(1,(TRIM(Innings!A:A)=TRIM(A1812))*(TRIM(Innings!D:D)=TRIM(E1812)),0))</f>
        <v>41</v>
      </c>
      <c r="AD1812" cm="1">
        <f t="array" ref="AD1812">INDEX(Innings!S:S,MATCH(1,(TRIM(Innings!A:A)=TRIM(A1812))*(TRIM(Innings!D:D)=TRIM(E1812)),0))</f>
        <v>34</v>
      </c>
      <c r="AE1812" t="str" cm="1">
        <f t="array" ref="AE1812">INDEX(Innings!W:W,MATCH(1,(TRIM(Innings!A:A)=TRIM(A1812))*(TRIM(Innings!D:D)=TRIM(E1812)),0))</f>
        <v>NA</v>
      </c>
      <c r="AF1812">
        <f>IF(UPPER(TRIM(E1812))=UPPER(TRIM(W1812)),1,0)</f>
        <v>1</v>
      </c>
      <c r="AG1812">
        <f t="shared" si="56"/>
        <v>20</v>
      </c>
    </row>
    <row r="1813" spans="1:33" x14ac:dyDescent="0.3">
      <c r="A1813" t="s">
        <v>617</v>
      </c>
      <c r="B1813">
        <v>4</v>
      </c>
      <c r="C1813" t="s">
        <v>105</v>
      </c>
      <c r="D1813" t="s">
        <v>128</v>
      </c>
      <c r="E1813" t="s">
        <v>258</v>
      </c>
      <c r="F1813" t="s">
        <v>101</v>
      </c>
      <c r="G1813" t="s">
        <v>134</v>
      </c>
      <c r="H1813">
        <v>21</v>
      </c>
      <c r="I1813">
        <v>11</v>
      </c>
      <c r="J1813">
        <v>190.91</v>
      </c>
      <c r="K1813" t="s">
        <v>246</v>
      </c>
      <c r="L1813">
        <v>25</v>
      </c>
      <c r="M1813">
        <v>4</v>
      </c>
      <c r="N1813">
        <v>0</v>
      </c>
      <c r="O1813">
        <v>26</v>
      </c>
      <c r="P1813">
        <v>0</v>
      </c>
      <c r="Q1813">
        <v>6.5</v>
      </c>
      <c r="R1813">
        <v>0</v>
      </c>
      <c r="S1813">
        <v>0</v>
      </c>
      <c r="T1813">
        <v>0</v>
      </c>
      <c r="U1813" s="8">
        <v>25</v>
      </c>
      <c r="V1813" s="8">
        <f t="shared" si="57"/>
        <v>3</v>
      </c>
      <c r="W1813" t="str">
        <f>_xlfn.XLOOKUP(A1813, Matches!A:A, Matches!L:L, "NA", 0)</f>
        <v>GGTW</v>
      </c>
      <c r="X1813" t="str">
        <f>_xlfn.XLOOKUP(A1813, Matches!A:A, Matches!J:J, "NA", 0)</f>
        <v>DCW</v>
      </c>
      <c r="Y1813" t="str">
        <f>_xlfn.XLOOKUP(A1813, Matches!A:A, Matches!F:F, "NA", 0)</f>
        <v>BCA Stadium, Kotambi</v>
      </c>
      <c r="Z1813" cm="1">
        <f t="array" ref="Z1813">INDEX(Innings!F:F,MATCH(1,(TRIM(Innings!A:A)=TRIM(A1813))*(TRIM(Innings!D:D)=TRIM(E1813)),0))</f>
        <v>174</v>
      </c>
      <c r="AA1813" cm="1">
        <f t="array" ref="AA1813">INDEX(Innings!I:I,MATCH(1,(TRIM(Innings!A:A)=TRIM(A1813))*(TRIM(Innings!D:D)=TRIM(E1813)),0))</f>
        <v>8.6999999999999993</v>
      </c>
      <c r="AB1813" cm="1">
        <f t="array" ref="AB1813">INDEX(Innings!J:J,MATCH(1,(TRIM(Innings!A:A)=TRIM(A1813))*(TRIM(Innings!D:D)=TRIM(E1813)),0))</f>
        <v>53</v>
      </c>
      <c r="AC1813" cm="1">
        <f t="array" ref="AC1813">INDEX(Innings!N:N,MATCH(1,(TRIM(Innings!A:A)=TRIM(A1813))*(TRIM(Innings!D:D)=TRIM(E1813)),0))</f>
        <v>41</v>
      </c>
      <c r="AD1813" cm="1">
        <f t="array" ref="AD1813">INDEX(Innings!S:S,MATCH(1,(TRIM(Innings!A:A)=TRIM(A1813))*(TRIM(Innings!D:D)=TRIM(E1813)),0))</f>
        <v>34</v>
      </c>
      <c r="AE1813" t="str" cm="1">
        <f t="array" ref="AE1813">INDEX(Innings!W:W,MATCH(1,(TRIM(Innings!A:A)=TRIM(A1813))*(TRIM(Innings!D:D)=TRIM(E1813)),0))</f>
        <v>NA</v>
      </c>
      <c r="AF1813">
        <f>IF(UPPER(TRIM(E1813))=UPPER(TRIM(W1813)),1,0)</f>
        <v>1</v>
      </c>
      <c r="AG1813">
        <f t="shared" si="56"/>
        <v>33.4</v>
      </c>
    </row>
    <row r="1814" spans="1:33" x14ac:dyDescent="0.3">
      <c r="A1814" t="s">
        <v>617</v>
      </c>
      <c r="B1814">
        <v>4</v>
      </c>
      <c r="C1814" t="s">
        <v>186</v>
      </c>
      <c r="D1814" t="s">
        <v>187</v>
      </c>
      <c r="E1814" t="s">
        <v>258</v>
      </c>
      <c r="F1814" t="s">
        <v>101</v>
      </c>
      <c r="G1814" t="s">
        <v>134</v>
      </c>
      <c r="H1814">
        <v>3</v>
      </c>
      <c r="I1814">
        <v>4</v>
      </c>
      <c r="J1814">
        <v>75</v>
      </c>
      <c r="K1814" t="s">
        <v>96</v>
      </c>
      <c r="L1814">
        <v>5</v>
      </c>
      <c r="M1814">
        <v>1</v>
      </c>
      <c r="N1814">
        <v>0</v>
      </c>
      <c r="O1814">
        <v>16</v>
      </c>
      <c r="P1814">
        <v>0</v>
      </c>
      <c r="Q1814">
        <v>16</v>
      </c>
      <c r="R1814">
        <v>0</v>
      </c>
      <c r="S1814">
        <v>0</v>
      </c>
      <c r="T1814">
        <v>0</v>
      </c>
      <c r="U1814" s="8">
        <v>5</v>
      </c>
      <c r="V1814" s="8">
        <f t="shared" si="57"/>
        <v>1</v>
      </c>
      <c r="W1814" t="str">
        <f>_xlfn.XLOOKUP(A1814, Matches!A:A, Matches!L:L, "NA", 0)</f>
        <v>GGTW</v>
      </c>
      <c r="X1814" t="str">
        <f>_xlfn.XLOOKUP(A1814, Matches!A:A, Matches!J:J, "NA", 0)</f>
        <v>DCW</v>
      </c>
      <c r="Y1814" t="str">
        <f>_xlfn.XLOOKUP(A1814, Matches!A:A, Matches!F:F, "NA", 0)</f>
        <v>BCA Stadium, Kotambi</v>
      </c>
      <c r="Z1814" cm="1">
        <f t="array" ref="Z1814">INDEX(Innings!F:F,MATCH(1,(TRIM(Innings!A:A)=TRIM(A1814))*(TRIM(Innings!D:D)=TRIM(E1814)),0))</f>
        <v>174</v>
      </c>
      <c r="AA1814" cm="1">
        <f t="array" ref="AA1814">INDEX(Innings!I:I,MATCH(1,(TRIM(Innings!A:A)=TRIM(A1814))*(TRIM(Innings!D:D)=TRIM(E1814)),0))</f>
        <v>8.6999999999999993</v>
      </c>
      <c r="AB1814" cm="1">
        <f t="array" ref="AB1814">INDEX(Innings!J:J,MATCH(1,(TRIM(Innings!A:A)=TRIM(A1814))*(TRIM(Innings!D:D)=TRIM(E1814)),0))</f>
        <v>53</v>
      </c>
      <c r="AC1814" cm="1">
        <f t="array" ref="AC1814">INDEX(Innings!N:N,MATCH(1,(TRIM(Innings!A:A)=TRIM(A1814))*(TRIM(Innings!D:D)=TRIM(E1814)),0))</f>
        <v>41</v>
      </c>
      <c r="AD1814" cm="1">
        <f t="array" ref="AD1814">INDEX(Innings!S:S,MATCH(1,(TRIM(Innings!A:A)=TRIM(A1814))*(TRIM(Innings!D:D)=TRIM(E1814)),0))</f>
        <v>34</v>
      </c>
      <c r="AE1814" t="str" cm="1">
        <f t="array" ref="AE1814">INDEX(Innings!W:W,MATCH(1,(TRIM(Innings!A:A)=TRIM(A1814))*(TRIM(Innings!D:D)=TRIM(E1814)),0))</f>
        <v>NA</v>
      </c>
      <c r="AF1814">
        <f>IF(UPPER(TRIM(E1814))=UPPER(TRIM(W1814)),1,0)</f>
        <v>1</v>
      </c>
      <c r="AG1814">
        <f t="shared" si="56"/>
        <v>22.8</v>
      </c>
    </row>
    <row r="1815" spans="1:33" x14ac:dyDescent="0.3">
      <c r="A1815" t="s">
        <v>617</v>
      </c>
      <c r="B1815">
        <v>4</v>
      </c>
      <c r="C1815" t="s">
        <v>237</v>
      </c>
      <c r="D1815" t="s">
        <v>238</v>
      </c>
      <c r="E1815" t="s">
        <v>258</v>
      </c>
      <c r="F1815" t="s">
        <v>101</v>
      </c>
      <c r="G1815" t="s">
        <v>104</v>
      </c>
      <c r="H1815">
        <v>0</v>
      </c>
      <c r="I1815">
        <v>0</v>
      </c>
      <c r="J1815">
        <v>0</v>
      </c>
      <c r="K1815" t="s">
        <v>104</v>
      </c>
      <c r="L1815">
        <v>0</v>
      </c>
      <c r="M1815">
        <v>4</v>
      </c>
      <c r="N1815">
        <v>0</v>
      </c>
      <c r="O1815">
        <v>20</v>
      </c>
      <c r="P1815">
        <v>3</v>
      </c>
      <c r="Q1815">
        <v>5</v>
      </c>
      <c r="R1815">
        <v>60</v>
      </c>
      <c r="S1815">
        <v>0</v>
      </c>
      <c r="T1815">
        <v>0</v>
      </c>
      <c r="U1815" s="8">
        <v>60</v>
      </c>
      <c r="V1815" s="8">
        <f t="shared" si="57"/>
        <v>6</v>
      </c>
      <c r="W1815" t="str">
        <f>_xlfn.XLOOKUP(A1815, Matches!A:A, Matches!L:L, "NA", 0)</f>
        <v>GGTW</v>
      </c>
      <c r="X1815" t="str">
        <f>_xlfn.XLOOKUP(A1815, Matches!A:A, Matches!J:J, "NA", 0)</f>
        <v>DCW</v>
      </c>
      <c r="Y1815" t="str">
        <f>_xlfn.XLOOKUP(A1815, Matches!A:A, Matches!F:F, "NA", 0)</f>
        <v>BCA Stadium, Kotambi</v>
      </c>
      <c r="Z1815" cm="1">
        <f t="array" ref="Z1815">INDEX(Innings!F:F,MATCH(1,(TRIM(Innings!A:A)=TRIM(A1815))*(TRIM(Innings!D:D)=TRIM(E1815)),0))</f>
        <v>174</v>
      </c>
      <c r="AA1815" cm="1">
        <f t="array" ref="AA1815">INDEX(Innings!I:I,MATCH(1,(TRIM(Innings!A:A)=TRIM(A1815))*(TRIM(Innings!D:D)=TRIM(E1815)),0))</f>
        <v>8.6999999999999993</v>
      </c>
      <c r="AB1815" cm="1">
        <f t="array" ref="AB1815">INDEX(Innings!J:J,MATCH(1,(TRIM(Innings!A:A)=TRIM(A1815))*(TRIM(Innings!D:D)=TRIM(E1815)),0))</f>
        <v>53</v>
      </c>
      <c r="AC1815" cm="1">
        <f t="array" ref="AC1815">INDEX(Innings!N:N,MATCH(1,(TRIM(Innings!A:A)=TRIM(A1815))*(TRIM(Innings!D:D)=TRIM(E1815)),0))</f>
        <v>41</v>
      </c>
      <c r="AD1815" cm="1">
        <f t="array" ref="AD1815">INDEX(Innings!S:S,MATCH(1,(TRIM(Innings!A:A)=TRIM(A1815))*(TRIM(Innings!D:D)=TRIM(E1815)),0))</f>
        <v>34</v>
      </c>
      <c r="AE1815" t="str" cm="1">
        <f t="array" ref="AE1815">INDEX(Innings!W:W,MATCH(1,(TRIM(Innings!A:A)=TRIM(A1815))*(TRIM(Innings!D:D)=TRIM(E1815)),0))</f>
        <v>NA</v>
      </c>
      <c r="AF1815">
        <f>IF(UPPER(TRIM(E1815))=UPPER(TRIM(W1815)),1,0)</f>
        <v>1</v>
      </c>
      <c r="AG1815">
        <f t="shared" si="56"/>
        <v>51.8</v>
      </c>
    </row>
    <row r="1816" spans="1:33" x14ac:dyDescent="0.3">
      <c r="A1816" t="s">
        <v>617</v>
      </c>
      <c r="B1816">
        <v>4</v>
      </c>
      <c r="C1816" t="s">
        <v>188</v>
      </c>
      <c r="D1816" t="s">
        <v>189</v>
      </c>
      <c r="E1816" t="s">
        <v>158</v>
      </c>
      <c r="F1816" t="s">
        <v>109</v>
      </c>
      <c r="G1816" t="s">
        <v>86</v>
      </c>
      <c r="H1816">
        <v>14</v>
      </c>
      <c r="I1816">
        <v>10</v>
      </c>
      <c r="J1816">
        <v>140</v>
      </c>
      <c r="K1816" t="s">
        <v>246</v>
      </c>
      <c r="L1816">
        <v>15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 s="8">
        <v>15</v>
      </c>
      <c r="V1816" s="8">
        <f t="shared" si="57"/>
        <v>2</v>
      </c>
      <c r="W1816" t="str">
        <f>_xlfn.XLOOKUP(A1816, Matches!A:A, Matches!L:L, "NA", 0)</f>
        <v>GGTW</v>
      </c>
      <c r="X1816" t="str">
        <f>_xlfn.XLOOKUP(A1816, Matches!A:A, Matches!J:J, "NA", 0)</f>
        <v>DCW</v>
      </c>
      <c r="Y1816" t="str">
        <f>_xlfn.XLOOKUP(A1816, Matches!A:A, Matches!F:F, "NA", 0)</f>
        <v>BCA Stadium, Kotambi</v>
      </c>
      <c r="Z1816" cm="1">
        <f t="array" ref="Z1816">INDEX(Innings!F:F,MATCH(1,(TRIM(Innings!A:A)=TRIM(A1816))*(TRIM(Innings!D:D)=TRIM(E1816)),0))</f>
        <v>171</v>
      </c>
      <c r="AA1816" cm="1">
        <f t="array" ref="AA1816">INDEX(Innings!I:I,MATCH(1,(TRIM(Innings!A:A)=TRIM(A1816))*(TRIM(Innings!D:D)=TRIM(E1816)),0))</f>
        <v>8.5500000000000007</v>
      </c>
      <c r="AB1816" cm="1">
        <f t="array" ref="AB1816">INDEX(Innings!J:J,MATCH(1,(TRIM(Innings!A:A)=TRIM(A1816))*(TRIM(Innings!D:D)=TRIM(E1816)),0))</f>
        <v>51</v>
      </c>
      <c r="AC1816" cm="1">
        <f t="array" ref="AC1816">INDEX(Innings!N:N,MATCH(1,(TRIM(Innings!A:A)=TRIM(A1816))*(TRIM(Innings!D:D)=TRIM(E1816)),0))</f>
        <v>56</v>
      </c>
      <c r="AD1816" cm="1">
        <f t="array" ref="AD1816">INDEX(Innings!S:S,MATCH(1,(TRIM(Innings!A:A)=TRIM(A1816))*(TRIM(Innings!D:D)=TRIM(E1816)),0))</f>
        <v>30</v>
      </c>
      <c r="AE1816" t="str" cm="1">
        <f t="array" ref="AE1816">INDEX(Innings!W:W,MATCH(1,(TRIM(Innings!A:A)=TRIM(A1816))*(TRIM(Innings!D:D)=TRIM(E1816)),0))</f>
        <v>Failed</v>
      </c>
      <c r="AF1816">
        <f>IF(UPPER(TRIM(E1816))=UPPER(TRIM(W1816)),1,0)</f>
        <v>0</v>
      </c>
      <c r="AG1816">
        <f t="shared" si="56"/>
        <v>8.1</v>
      </c>
    </row>
    <row r="1817" spans="1:33" x14ac:dyDescent="0.3">
      <c r="A1817" t="s">
        <v>617</v>
      </c>
      <c r="B1817">
        <v>4</v>
      </c>
      <c r="C1817" t="s">
        <v>531</v>
      </c>
      <c r="D1817" t="s">
        <v>636</v>
      </c>
      <c r="E1817" t="s">
        <v>158</v>
      </c>
      <c r="F1817" t="s">
        <v>85</v>
      </c>
      <c r="G1817" t="s">
        <v>86</v>
      </c>
      <c r="H1817">
        <v>11</v>
      </c>
      <c r="I1817">
        <v>20</v>
      </c>
      <c r="J1817">
        <v>55</v>
      </c>
      <c r="K1817" t="s">
        <v>246</v>
      </c>
      <c r="L1817">
        <v>10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 s="8">
        <v>10</v>
      </c>
      <c r="V1817" s="8">
        <f t="shared" si="57"/>
        <v>1</v>
      </c>
      <c r="W1817" t="str">
        <f>_xlfn.XLOOKUP(A1817, Matches!A:A, Matches!L:L, "NA", 0)</f>
        <v>GGTW</v>
      </c>
      <c r="X1817" t="str">
        <f>_xlfn.XLOOKUP(A1817, Matches!A:A, Matches!J:J, "NA", 0)</f>
        <v>DCW</v>
      </c>
      <c r="Y1817" t="str">
        <f>_xlfn.XLOOKUP(A1817, Matches!A:A, Matches!F:F, "NA", 0)</f>
        <v>BCA Stadium, Kotambi</v>
      </c>
      <c r="Z1817" cm="1">
        <f t="array" ref="Z1817">INDEX(Innings!F:F,MATCH(1,(TRIM(Innings!A:A)=TRIM(A1817))*(TRIM(Innings!D:D)=TRIM(E1817)),0))</f>
        <v>171</v>
      </c>
      <c r="AA1817" cm="1">
        <f t="array" ref="AA1817">INDEX(Innings!I:I,MATCH(1,(TRIM(Innings!A:A)=TRIM(A1817))*(TRIM(Innings!D:D)=TRIM(E1817)),0))</f>
        <v>8.5500000000000007</v>
      </c>
      <c r="AB1817" cm="1">
        <f t="array" ref="AB1817">INDEX(Innings!J:J,MATCH(1,(TRIM(Innings!A:A)=TRIM(A1817))*(TRIM(Innings!D:D)=TRIM(E1817)),0))</f>
        <v>51</v>
      </c>
      <c r="AC1817" cm="1">
        <f t="array" ref="AC1817">INDEX(Innings!N:N,MATCH(1,(TRIM(Innings!A:A)=TRIM(A1817))*(TRIM(Innings!D:D)=TRIM(E1817)),0))</f>
        <v>56</v>
      </c>
      <c r="AD1817" cm="1">
        <f t="array" ref="AD1817">INDEX(Innings!S:S,MATCH(1,(TRIM(Innings!A:A)=TRIM(A1817))*(TRIM(Innings!D:D)=TRIM(E1817)),0))</f>
        <v>30</v>
      </c>
      <c r="AE1817" t="str" cm="1">
        <f t="array" ref="AE1817">INDEX(Innings!W:W,MATCH(1,(TRIM(Innings!A:A)=TRIM(A1817))*(TRIM(Innings!D:D)=TRIM(E1817)),0))</f>
        <v>Failed</v>
      </c>
      <c r="AF1817">
        <f>IF(UPPER(TRIM(E1817))=UPPER(TRIM(W1817)),1,0)</f>
        <v>0</v>
      </c>
      <c r="AG1817">
        <f t="shared" si="56"/>
        <v>5.3</v>
      </c>
    </row>
    <row r="1818" spans="1:33" x14ac:dyDescent="0.3">
      <c r="A1818" t="s">
        <v>617</v>
      </c>
      <c r="B1818">
        <v>4</v>
      </c>
      <c r="C1818" t="s">
        <v>278</v>
      </c>
      <c r="D1818" t="s">
        <v>293</v>
      </c>
      <c r="E1818" t="s">
        <v>158</v>
      </c>
      <c r="F1818" t="s">
        <v>109</v>
      </c>
      <c r="G1818" t="s">
        <v>92</v>
      </c>
      <c r="H1818">
        <v>24</v>
      </c>
      <c r="I1818">
        <v>23</v>
      </c>
      <c r="J1818">
        <v>104.35</v>
      </c>
      <c r="K1818" t="s">
        <v>245</v>
      </c>
      <c r="L1818">
        <v>25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 s="8">
        <v>25</v>
      </c>
      <c r="V1818" s="8">
        <f t="shared" si="57"/>
        <v>3</v>
      </c>
      <c r="W1818" t="str">
        <f>_xlfn.XLOOKUP(A1818, Matches!A:A, Matches!L:L, "NA", 0)</f>
        <v>GGTW</v>
      </c>
      <c r="X1818" t="str">
        <f>_xlfn.XLOOKUP(A1818, Matches!A:A, Matches!J:J, "NA", 0)</f>
        <v>DCW</v>
      </c>
      <c r="Y1818" t="str">
        <f>_xlfn.XLOOKUP(A1818, Matches!A:A, Matches!F:F, "NA", 0)</f>
        <v>BCA Stadium, Kotambi</v>
      </c>
      <c r="Z1818" cm="1">
        <f t="array" ref="Z1818">INDEX(Innings!F:F,MATCH(1,(TRIM(Innings!A:A)=TRIM(A1818))*(TRIM(Innings!D:D)=TRIM(E1818)),0))</f>
        <v>171</v>
      </c>
      <c r="AA1818" cm="1">
        <f t="array" ref="AA1818">INDEX(Innings!I:I,MATCH(1,(TRIM(Innings!A:A)=TRIM(A1818))*(TRIM(Innings!D:D)=TRIM(E1818)),0))</f>
        <v>8.5500000000000007</v>
      </c>
      <c r="AB1818" cm="1">
        <f t="array" ref="AB1818">INDEX(Innings!J:J,MATCH(1,(TRIM(Innings!A:A)=TRIM(A1818))*(TRIM(Innings!D:D)=TRIM(E1818)),0))</f>
        <v>51</v>
      </c>
      <c r="AC1818" cm="1">
        <f t="array" ref="AC1818">INDEX(Innings!N:N,MATCH(1,(TRIM(Innings!A:A)=TRIM(A1818))*(TRIM(Innings!D:D)=TRIM(E1818)),0))</f>
        <v>56</v>
      </c>
      <c r="AD1818" cm="1">
        <f t="array" ref="AD1818">INDEX(Innings!S:S,MATCH(1,(TRIM(Innings!A:A)=TRIM(A1818))*(TRIM(Innings!D:D)=TRIM(E1818)),0))</f>
        <v>30</v>
      </c>
      <c r="AE1818" t="str" cm="1">
        <f t="array" ref="AE1818">INDEX(Innings!W:W,MATCH(1,(TRIM(Innings!A:A)=TRIM(A1818))*(TRIM(Innings!D:D)=TRIM(E1818)),0))</f>
        <v>Failed</v>
      </c>
      <c r="AF1818">
        <f>IF(UPPER(TRIM(E1818))=UPPER(TRIM(W1818)),1,0)</f>
        <v>0</v>
      </c>
      <c r="AG1818">
        <f t="shared" si="56"/>
        <v>13.4</v>
      </c>
    </row>
    <row r="1819" spans="1:33" x14ac:dyDescent="0.3">
      <c r="A1819" t="s">
        <v>617</v>
      </c>
      <c r="B1819">
        <v>4</v>
      </c>
      <c r="C1819" t="s">
        <v>194</v>
      </c>
      <c r="D1819" t="s">
        <v>195</v>
      </c>
      <c r="E1819" t="s">
        <v>158</v>
      </c>
      <c r="F1819" t="s">
        <v>109</v>
      </c>
      <c r="G1819" t="s">
        <v>92</v>
      </c>
      <c r="H1819">
        <v>16</v>
      </c>
      <c r="I1819">
        <v>16</v>
      </c>
      <c r="J1819">
        <v>100</v>
      </c>
      <c r="K1819" t="s">
        <v>245</v>
      </c>
      <c r="L1819">
        <v>20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 s="8">
        <v>20</v>
      </c>
      <c r="V1819" s="8">
        <f t="shared" si="57"/>
        <v>2</v>
      </c>
      <c r="W1819" t="str">
        <f>_xlfn.XLOOKUP(A1819, Matches!A:A, Matches!L:L, "NA", 0)</f>
        <v>GGTW</v>
      </c>
      <c r="X1819" t="str">
        <f>_xlfn.XLOOKUP(A1819, Matches!A:A, Matches!J:J, "NA", 0)</f>
        <v>DCW</v>
      </c>
      <c r="Y1819" t="str">
        <f>_xlfn.XLOOKUP(A1819, Matches!A:A, Matches!F:F, "NA", 0)</f>
        <v>BCA Stadium, Kotambi</v>
      </c>
      <c r="Z1819" cm="1">
        <f t="array" ref="Z1819">INDEX(Innings!F:F,MATCH(1,(TRIM(Innings!A:A)=TRIM(A1819))*(TRIM(Innings!D:D)=TRIM(E1819)),0))</f>
        <v>171</v>
      </c>
      <c r="AA1819" cm="1">
        <f t="array" ref="AA1819">INDEX(Innings!I:I,MATCH(1,(TRIM(Innings!A:A)=TRIM(A1819))*(TRIM(Innings!D:D)=TRIM(E1819)),0))</f>
        <v>8.5500000000000007</v>
      </c>
      <c r="AB1819" cm="1">
        <f t="array" ref="AB1819">INDEX(Innings!J:J,MATCH(1,(TRIM(Innings!A:A)=TRIM(A1819))*(TRIM(Innings!D:D)=TRIM(E1819)),0))</f>
        <v>51</v>
      </c>
      <c r="AC1819" cm="1">
        <f t="array" ref="AC1819">INDEX(Innings!N:N,MATCH(1,(TRIM(Innings!A:A)=TRIM(A1819))*(TRIM(Innings!D:D)=TRIM(E1819)),0))</f>
        <v>56</v>
      </c>
      <c r="AD1819" cm="1">
        <f t="array" ref="AD1819">INDEX(Innings!S:S,MATCH(1,(TRIM(Innings!A:A)=TRIM(A1819))*(TRIM(Innings!D:D)=TRIM(E1819)),0))</f>
        <v>30</v>
      </c>
      <c r="AE1819" t="str" cm="1">
        <f t="array" ref="AE1819">INDEX(Innings!W:W,MATCH(1,(TRIM(Innings!A:A)=TRIM(A1819))*(TRIM(Innings!D:D)=TRIM(E1819)),0))</f>
        <v>Failed</v>
      </c>
      <c r="AF1819">
        <f>IF(UPPER(TRIM(E1819))=UPPER(TRIM(W1819)),1,0)</f>
        <v>0</v>
      </c>
      <c r="AG1819">
        <f t="shared" si="56"/>
        <v>10.6</v>
      </c>
    </row>
    <row r="1820" spans="1:33" x14ac:dyDescent="0.3">
      <c r="A1820" t="s">
        <v>617</v>
      </c>
      <c r="B1820">
        <v>4</v>
      </c>
      <c r="C1820" t="s">
        <v>192</v>
      </c>
      <c r="D1820" t="s">
        <v>193</v>
      </c>
      <c r="E1820" t="s">
        <v>158</v>
      </c>
      <c r="F1820" t="s">
        <v>169</v>
      </c>
      <c r="G1820" t="s">
        <v>134</v>
      </c>
      <c r="H1820">
        <v>0</v>
      </c>
      <c r="I1820">
        <v>1</v>
      </c>
      <c r="J1820">
        <v>0</v>
      </c>
      <c r="K1820" t="s">
        <v>245</v>
      </c>
      <c r="L1820">
        <v>0</v>
      </c>
      <c r="M1820">
        <v>4</v>
      </c>
      <c r="N1820">
        <v>0</v>
      </c>
      <c r="O1820">
        <v>34</v>
      </c>
      <c r="P1820">
        <v>1</v>
      </c>
      <c r="Q1820">
        <v>8.5</v>
      </c>
      <c r="R1820">
        <v>25</v>
      </c>
      <c r="S1820">
        <v>0</v>
      </c>
      <c r="T1820">
        <v>0</v>
      </c>
      <c r="U1820" s="8">
        <v>25</v>
      </c>
      <c r="V1820" s="8">
        <f t="shared" si="57"/>
        <v>3</v>
      </c>
      <c r="W1820" t="str">
        <f>_xlfn.XLOOKUP(A1820, Matches!A:A, Matches!L:L, "NA", 0)</f>
        <v>GGTW</v>
      </c>
      <c r="X1820" t="str">
        <f>_xlfn.XLOOKUP(A1820, Matches!A:A, Matches!J:J, "NA", 0)</f>
        <v>DCW</v>
      </c>
      <c r="Y1820" t="str">
        <f>_xlfn.XLOOKUP(A1820, Matches!A:A, Matches!F:F, "NA", 0)</f>
        <v>BCA Stadium, Kotambi</v>
      </c>
      <c r="Z1820" cm="1">
        <f t="array" ref="Z1820">INDEX(Innings!F:F,MATCH(1,(TRIM(Innings!A:A)=TRIM(A1820))*(TRIM(Innings!D:D)=TRIM(E1820)),0))</f>
        <v>171</v>
      </c>
      <c r="AA1820" cm="1">
        <f t="array" ref="AA1820">INDEX(Innings!I:I,MATCH(1,(TRIM(Innings!A:A)=TRIM(A1820))*(TRIM(Innings!D:D)=TRIM(E1820)),0))</f>
        <v>8.5500000000000007</v>
      </c>
      <c r="AB1820" cm="1">
        <f t="array" ref="AB1820">INDEX(Innings!J:J,MATCH(1,(TRIM(Innings!A:A)=TRIM(A1820))*(TRIM(Innings!D:D)=TRIM(E1820)),0))</f>
        <v>51</v>
      </c>
      <c r="AC1820" cm="1">
        <f t="array" ref="AC1820">INDEX(Innings!N:N,MATCH(1,(TRIM(Innings!A:A)=TRIM(A1820))*(TRIM(Innings!D:D)=TRIM(E1820)),0))</f>
        <v>56</v>
      </c>
      <c r="AD1820" cm="1">
        <f t="array" ref="AD1820">INDEX(Innings!S:S,MATCH(1,(TRIM(Innings!A:A)=TRIM(A1820))*(TRIM(Innings!D:D)=TRIM(E1820)),0))</f>
        <v>30</v>
      </c>
      <c r="AE1820" t="str" cm="1">
        <f t="array" ref="AE1820">INDEX(Innings!W:W,MATCH(1,(TRIM(Innings!A:A)=TRIM(A1820))*(TRIM(Innings!D:D)=TRIM(E1820)),0))</f>
        <v>Failed</v>
      </c>
      <c r="AF1820">
        <f>IF(UPPER(TRIM(E1820))=UPPER(TRIM(W1820)),1,0)</f>
        <v>0</v>
      </c>
      <c r="AG1820">
        <f t="shared" si="56"/>
        <v>13.4</v>
      </c>
    </row>
    <row r="1821" spans="1:33" x14ac:dyDescent="0.3">
      <c r="A1821" t="s">
        <v>617</v>
      </c>
      <c r="B1821">
        <v>4</v>
      </c>
      <c r="C1821" t="s">
        <v>512</v>
      </c>
      <c r="D1821" t="s">
        <v>542</v>
      </c>
      <c r="E1821" t="s">
        <v>158</v>
      </c>
      <c r="F1821" t="s">
        <v>169</v>
      </c>
      <c r="G1821" t="s">
        <v>134</v>
      </c>
      <c r="H1821">
        <v>9</v>
      </c>
      <c r="I1821">
        <v>11</v>
      </c>
      <c r="J1821">
        <v>81.819999999999993</v>
      </c>
      <c r="K1821" t="s">
        <v>246</v>
      </c>
      <c r="L1821">
        <v>10</v>
      </c>
      <c r="M1821">
        <v>4</v>
      </c>
      <c r="N1821">
        <v>0</v>
      </c>
      <c r="O1821">
        <v>38</v>
      </c>
      <c r="P1821">
        <v>2</v>
      </c>
      <c r="Q1821">
        <v>9.5</v>
      </c>
      <c r="R1821">
        <v>40</v>
      </c>
      <c r="S1821">
        <v>0</v>
      </c>
      <c r="T1821">
        <v>0</v>
      </c>
      <c r="U1821" s="8">
        <v>50</v>
      </c>
      <c r="V1821" s="8">
        <f t="shared" si="57"/>
        <v>5</v>
      </c>
      <c r="W1821" t="str">
        <f>_xlfn.XLOOKUP(A1821, Matches!A:A, Matches!L:L, "NA", 0)</f>
        <v>GGTW</v>
      </c>
      <c r="X1821" t="str">
        <f>_xlfn.XLOOKUP(A1821, Matches!A:A, Matches!J:J, "NA", 0)</f>
        <v>DCW</v>
      </c>
      <c r="Y1821" t="str">
        <f>_xlfn.XLOOKUP(A1821, Matches!A:A, Matches!F:F, "NA", 0)</f>
        <v>BCA Stadium, Kotambi</v>
      </c>
      <c r="Z1821" cm="1">
        <f t="array" ref="Z1821">INDEX(Innings!F:F,MATCH(1,(TRIM(Innings!A:A)=TRIM(A1821))*(TRIM(Innings!D:D)=TRIM(E1821)),0))</f>
        <v>171</v>
      </c>
      <c r="AA1821" cm="1">
        <f t="array" ref="AA1821">INDEX(Innings!I:I,MATCH(1,(TRIM(Innings!A:A)=TRIM(A1821))*(TRIM(Innings!D:D)=TRIM(E1821)),0))</f>
        <v>8.5500000000000007</v>
      </c>
      <c r="AB1821" cm="1">
        <f t="array" ref="AB1821">INDEX(Innings!J:J,MATCH(1,(TRIM(Innings!A:A)=TRIM(A1821))*(TRIM(Innings!D:D)=TRIM(E1821)),0))</f>
        <v>51</v>
      </c>
      <c r="AC1821" cm="1">
        <f t="array" ref="AC1821">INDEX(Innings!N:N,MATCH(1,(TRIM(Innings!A:A)=TRIM(A1821))*(TRIM(Innings!D:D)=TRIM(E1821)),0))</f>
        <v>56</v>
      </c>
      <c r="AD1821" cm="1">
        <f t="array" ref="AD1821">INDEX(Innings!S:S,MATCH(1,(TRIM(Innings!A:A)=TRIM(A1821))*(TRIM(Innings!D:D)=TRIM(E1821)),0))</f>
        <v>30</v>
      </c>
      <c r="AE1821" t="str" cm="1">
        <f t="array" ref="AE1821">INDEX(Innings!W:W,MATCH(1,(TRIM(Innings!A:A)=TRIM(A1821))*(TRIM(Innings!D:D)=TRIM(E1821)),0))</f>
        <v>Failed</v>
      </c>
      <c r="AF1821">
        <f>IF(UPPER(TRIM(E1821))=UPPER(TRIM(W1821)),1,0)</f>
        <v>0</v>
      </c>
      <c r="AG1821">
        <f t="shared" si="56"/>
        <v>26.5</v>
      </c>
    </row>
    <row r="1822" spans="1:33" x14ac:dyDescent="0.3">
      <c r="A1822" t="s">
        <v>617</v>
      </c>
      <c r="B1822">
        <v>4</v>
      </c>
      <c r="C1822" t="s">
        <v>495</v>
      </c>
      <c r="D1822" t="s">
        <v>503</v>
      </c>
      <c r="E1822" t="s">
        <v>158</v>
      </c>
      <c r="F1822" t="s">
        <v>169</v>
      </c>
      <c r="G1822" t="s">
        <v>134</v>
      </c>
      <c r="H1822">
        <v>47</v>
      </c>
      <c r="I1822">
        <v>24</v>
      </c>
      <c r="J1822">
        <v>195.83</v>
      </c>
      <c r="K1822" t="s">
        <v>246</v>
      </c>
      <c r="L1822">
        <v>55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 s="8">
        <v>55</v>
      </c>
      <c r="V1822" s="8">
        <f t="shared" si="57"/>
        <v>6</v>
      </c>
      <c r="W1822" t="str">
        <f>_xlfn.XLOOKUP(A1822, Matches!A:A, Matches!L:L, "NA", 0)</f>
        <v>GGTW</v>
      </c>
      <c r="X1822" t="str">
        <f>_xlfn.XLOOKUP(A1822, Matches!A:A, Matches!J:J, "NA", 0)</f>
        <v>DCW</v>
      </c>
      <c r="Y1822" t="str">
        <f>_xlfn.XLOOKUP(A1822, Matches!A:A, Matches!F:F, "NA", 0)</f>
        <v>BCA Stadium, Kotambi</v>
      </c>
      <c r="Z1822" cm="1">
        <f t="array" ref="Z1822">INDEX(Innings!F:F,MATCH(1,(TRIM(Innings!A:A)=TRIM(A1822))*(TRIM(Innings!D:D)=TRIM(E1822)),0))</f>
        <v>171</v>
      </c>
      <c r="AA1822" cm="1">
        <f t="array" ref="AA1822">INDEX(Innings!I:I,MATCH(1,(TRIM(Innings!A:A)=TRIM(A1822))*(TRIM(Innings!D:D)=TRIM(E1822)),0))</f>
        <v>8.5500000000000007</v>
      </c>
      <c r="AB1822" cm="1">
        <f t="array" ref="AB1822">INDEX(Innings!J:J,MATCH(1,(TRIM(Innings!A:A)=TRIM(A1822))*(TRIM(Innings!D:D)=TRIM(E1822)),0))</f>
        <v>51</v>
      </c>
      <c r="AC1822" cm="1">
        <f t="array" ref="AC1822">INDEX(Innings!N:N,MATCH(1,(TRIM(Innings!A:A)=TRIM(A1822))*(TRIM(Innings!D:D)=TRIM(E1822)),0))</f>
        <v>56</v>
      </c>
      <c r="AD1822" cm="1">
        <f t="array" ref="AD1822">INDEX(Innings!S:S,MATCH(1,(TRIM(Innings!A:A)=TRIM(A1822))*(TRIM(Innings!D:D)=TRIM(E1822)),0))</f>
        <v>30</v>
      </c>
      <c r="AE1822" t="str" cm="1">
        <f t="array" ref="AE1822">INDEX(Innings!W:W,MATCH(1,(TRIM(Innings!A:A)=TRIM(A1822))*(TRIM(Innings!D:D)=TRIM(E1822)),0))</f>
        <v>Failed</v>
      </c>
      <c r="AF1822">
        <f>IF(UPPER(TRIM(E1822))=UPPER(TRIM(W1822)),1,0)</f>
        <v>0</v>
      </c>
      <c r="AG1822">
        <f t="shared" si="56"/>
        <v>29.3</v>
      </c>
    </row>
    <row r="1823" spans="1:33" x14ac:dyDescent="0.3">
      <c r="A1823" t="s">
        <v>617</v>
      </c>
      <c r="B1823">
        <v>4</v>
      </c>
      <c r="C1823" t="s">
        <v>102</v>
      </c>
      <c r="D1823" t="s">
        <v>126</v>
      </c>
      <c r="E1823" t="s">
        <v>158</v>
      </c>
      <c r="F1823" t="s">
        <v>169</v>
      </c>
      <c r="G1823" t="s">
        <v>134</v>
      </c>
      <c r="H1823">
        <v>29</v>
      </c>
      <c r="I1823">
        <v>15</v>
      </c>
      <c r="J1823">
        <v>193.33</v>
      </c>
      <c r="K1823" t="s">
        <v>246</v>
      </c>
      <c r="L1823">
        <v>35</v>
      </c>
      <c r="M1823">
        <v>1</v>
      </c>
      <c r="N1823">
        <v>0</v>
      </c>
      <c r="O1823">
        <v>11</v>
      </c>
      <c r="P1823">
        <v>0</v>
      </c>
      <c r="Q1823">
        <v>11</v>
      </c>
      <c r="R1823">
        <v>0</v>
      </c>
      <c r="S1823">
        <v>0</v>
      </c>
      <c r="T1823">
        <v>0</v>
      </c>
      <c r="U1823" s="8">
        <v>35</v>
      </c>
      <c r="V1823" s="8">
        <f t="shared" si="57"/>
        <v>4</v>
      </c>
      <c r="W1823" t="str">
        <f>_xlfn.XLOOKUP(A1823, Matches!A:A, Matches!L:L, "NA", 0)</f>
        <v>GGTW</v>
      </c>
      <c r="X1823" t="str">
        <f>_xlfn.XLOOKUP(A1823, Matches!A:A, Matches!J:J, "NA", 0)</f>
        <v>DCW</v>
      </c>
      <c r="Y1823" t="str">
        <f>_xlfn.XLOOKUP(A1823, Matches!A:A, Matches!F:F, "NA", 0)</f>
        <v>BCA Stadium, Kotambi</v>
      </c>
      <c r="Z1823" cm="1">
        <f t="array" ref="Z1823">INDEX(Innings!F:F,MATCH(1,(TRIM(Innings!A:A)=TRIM(A1823))*(TRIM(Innings!D:D)=TRIM(E1823)),0))</f>
        <v>171</v>
      </c>
      <c r="AA1823" cm="1">
        <f t="array" ref="AA1823">INDEX(Innings!I:I,MATCH(1,(TRIM(Innings!A:A)=TRIM(A1823))*(TRIM(Innings!D:D)=TRIM(E1823)),0))</f>
        <v>8.5500000000000007</v>
      </c>
      <c r="AB1823" cm="1">
        <f t="array" ref="AB1823">INDEX(Innings!J:J,MATCH(1,(TRIM(Innings!A:A)=TRIM(A1823))*(TRIM(Innings!D:D)=TRIM(E1823)),0))</f>
        <v>51</v>
      </c>
      <c r="AC1823" cm="1">
        <f t="array" ref="AC1823">INDEX(Innings!N:N,MATCH(1,(TRIM(Innings!A:A)=TRIM(A1823))*(TRIM(Innings!D:D)=TRIM(E1823)),0))</f>
        <v>56</v>
      </c>
      <c r="AD1823" cm="1">
        <f t="array" ref="AD1823">INDEX(Innings!S:S,MATCH(1,(TRIM(Innings!A:A)=TRIM(A1823))*(TRIM(Innings!D:D)=TRIM(E1823)),0))</f>
        <v>30</v>
      </c>
      <c r="AE1823" t="str" cm="1">
        <f t="array" ref="AE1823">INDEX(Innings!W:W,MATCH(1,(TRIM(Innings!A:A)=TRIM(A1823))*(TRIM(Innings!D:D)=TRIM(E1823)),0))</f>
        <v>Failed</v>
      </c>
      <c r="AF1823">
        <f>IF(UPPER(TRIM(E1823))=UPPER(TRIM(W1823)),1,0)</f>
        <v>0</v>
      </c>
      <c r="AG1823">
        <f t="shared" si="56"/>
        <v>18.7</v>
      </c>
    </row>
    <row r="1824" spans="1:33" x14ac:dyDescent="0.3">
      <c r="A1824" t="s">
        <v>617</v>
      </c>
      <c r="B1824">
        <v>4</v>
      </c>
      <c r="C1824" t="s">
        <v>274</v>
      </c>
      <c r="D1824" t="s">
        <v>284</v>
      </c>
      <c r="E1824" t="s">
        <v>158</v>
      </c>
      <c r="F1824" t="s">
        <v>169</v>
      </c>
      <c r="G1824" t="s">
        <v>134</v>
      </c>
      <c r="H1824">
        <v>1</v>
      </c>
      <c r="I1824">
        <v>1</v>
      </c>
      <c r="J1824">
        <v>100</v>
      </c>
      <c r="K1824" t="s">
        <v>96</v>
      </c>
      <c r="L1824">
        <v>5</v>
      </c>
      <c r="M1824">
        <v>3</v>
      </c>
      <c r="N1824">
        <v>0</v>
      </c>
      <c r="O1824">
        <v>23</v>
      </c>
      <c r="P1824">
        <v>1</v>
      </c>
      <c r="Q1824">
        <v>7.7</v>
      </c>
      <c r="R1824">
        <v>25</v>
      </c>
      <c r="S1824">
        <v>0</v>
      </c>
      <c r="T1824">
        <v>0</v>
      </c>
      <c r="U1824" s="8">
        <v>30</v>
      </c>
      <c r="V1824" s="8">
        <f t="shared" si="57"/>
        <v>3</v>
      </c>
      <c r="W1824" t="str">
        <f>_xlfn.XLOOKUP(A1824, Matches!A:A, Matches!L:L, "NA", 0)</f>
        <v>GGTW</v>
      </c>
      <c r="X1824" t="str">
        <f>_xlfn.XLOOKUP(A1824, Matches!A:A, Matches!J:J, "NA", 0)</f>
        <v>DCW</v>
      </c>
      <c r="Y1824" t="str">
        <f>_xlfn.XLOOKUP(A1824, Matches!A:A, Matches!F:F, "NA", 0)</f>
        <v>BCA Stadium, Kotambi</v>
      </c>
      <c r="Z1824" cm="1">
        <f t="array" ref="Z1824">INDEX(Innings!F:F,MATCH(1,(TRIM(Innings!A:A)=TRIM(A1824))*(TRIM(Innings!D:D)=TRIM(E1824)),0))</f>
        <v>171</v>
      </c>
      <c r="AA1824" cm="1">
        <f t="array" ref="AA1824">INDEX(Innings!I:I,MATCH(1,(TRIM(Innings!A:A)=TRIM(A1824))*(TRIM(Innings!D:D)=TRIM(E1824)),0))</f>
        <v>8.5500000000000007</v>
      </c>
      <c r="AB1824" cm="1">
        <f t="array" ref="AB1824">INDEX(Innings!J:J,MATCH(1,(TRIM(Innings!A:A)=TRIM(A1824))*(TRIM(Innings!D:D)=TRIM(E1824)),0))</f>
        <v>51</v>
      </c>
      <c r="AC1824" cm="1">
        <f t="array" ref="AC1824">INDEX(Innings!N:N,MATCH(1,(TRIM(Innings!A:A)=TRIM(A1824))*(TRIM(Innings!D:D)=TRIM(E1824)),0))</f>
        <v>56</v>
      </c>
      <c r="AD1824" cm="1">
        <f t="array" ref="AD1824">INDEX(Innings!S:S,MATCH(1,(TRIM(Innings!A:A)=TRIM(A1824))*(TRIM(Innings!D:D)=TRIM(E1824)),0))</f>
        <v>30</v>
      </c>
      <c r="AE1824" t="str" cm="1">
        <f t="array" ref="AE1824">INDEX(Innings!W:W,MATCH(1,(TRIM(Innings!A:A)=TRIM(A1824))*(TRIM(Innings!D:D)=TRIM(E1824)),0))</f>
        <v>Failed</v>
      </c>
      <c r="AF1824">
        <f>IF(UPPER(TRIM(E1824))=UPPER(TRIM(W1824)),1,0)</f>
        <v>0</v>
      </c>
      <c r="AG1824">
        <f t="shared" si="56"/>
        <v>15.9</v>
      </c>
    </row>
    <row r="1825" spans="1:33" x14ac:dyDescent="0.3">
      <c r="A1825" t="s">
        <v>617</v>
      </c>
      <c r="B1825">
        <v>4</v>
      </c>
      <c r="C1825" t="s">
        <v>532</v>
      </c>
      <c r="D1825" t="s">
        <v>637</v>
      </c>
      <c r="E1825" t="s">
        <v>158</v>
      </c>
      <c r="F1825" t="s">
        <v>101</v>
      </c>
      <c r="G1825" t="s">
        <v>104</v>
      </c>
      <c r="H1825">
        <v>0</v>
      </c>
      <c r="I1825">
        <v>0</v>
      </c>
      <c r="J1825">
        <v>0</v>
      </c>
      <c r="K1825" t="s">
        <v>104</v>
      </c>
      <c r="L1825">
        <v>0</v>
      </c>
      <c r="M1825">
        <v>4</v>
      </c>
      <c r="N1825">
        <v>0</v>
      </c>
      <c r="O1825">
        <v>31</v>
      </c>
      <c r="P1825">
        <v>4</v>
      </c>
      <c r="Q1825">
        <v>7.8</v>
      </c>
      <c r="R1825">
        <v>75</v>
      </c>
      <c r="S1825">
        <v>0</v>
      </c>
      <c r="T1825">
        <v>0</v>
      </c>
      <c r="U1825" s="8">
        <v>75</v>
      </c>
      <c r="V1825" s="8">
        <f t="shared" si="57"/>
        <v>8</v>
      </c>
      <c r="W1825" t="str">
        <f>_xlfn.XLOOKUP(A1825, Matches!A:A, Matches!L:L, "NA", 0)</f>
        <v>GGTW</v>
      </c>
      <c r="X1825" t="str">
        <f>_xlfn.XLOOKUP(A1825, Matches!A:A, Matches!J:J, "NA", 0)</f>
        <v>DCW</v>
      </c>
      <c r="Y1825" t="str">
        <f>_xlfn.XLOOKUP(A1825, Matches!A:A, Matches!F:F, "NA", 0)</f>
        <v>BCA Stadium, Kotambi</v>
      </c>
      <c r="Z1825" cm="1">
        <f t="array" ref="Z1825">INDEX(Innings!F:F,MATCH(1,(TRIM(Innings!A:A)=TRIM(A1825))*(TRIM(Innings!D:D)=TRIM(E1825)),0))</f>
        <v>171</v>
      </c>
      <c r="AA1825" cm="1">
        <f t="array" ref="AA1825">INDEX(Innings!I:I,MATCH(1,(TRIM(Innings!A:A)=TRIM(A1825))*(TRIM(Innings!D:D)=TRIM(E1825)),0))</f>
        <v>8.5500000000000007</v>
      </c>
      <c r="AB1825" cm="1">
        <f t="array" ref="AB1825">INDEX(Innings!J:J,MATCH(1,(TRIM(Innings!A:A)=TRIM(A1825))*(TRIM(Innings!D:D)=TRIM(E1825)),0))</f>
        <v>51</v>
      </c>
      <c r="AC1825" cm="1">
        <f t="array" ref="AC1825">INDEX(Innings!N:N,MATCH(1,(TRIM(Innings!A:A)=TRIM(A1825))*(TRIM(Innings!D:D)=TRIM(E1825)),0))</f>
        <v>56</v>
      </c>
      <c r="AD1825" cm="1">
        <f t="array" ref="AD1825">INDEX(Innings!S:S,MATCH(1,(TRIM(Innings!A:A)=TRIM(A1825))*(TRIM(Innings!D:D)=TRIM(E1825)),0))</f>
        <v>30</v>
      </c>
      <c r="AE1825" t="str" cm="1">
        <f t="array" ref="AE1825">INDEX(Innings!W:W,MATCH(1,(TRIM(Innings!A:A)=TRIM(A1825))*(TRIM(Innings!D:D)=TRIM(E1825)),0))</f>
        <v>Failed</v>
      </c>
      <c r="AF1825">
        <f>IF(UPPER(TRIM(E1825))=UPPER(TRIM(W1825)),1,0)</f>
        <v>0</v>
      </c>
      <c r="AG1825">
        <f t="shared" si="56"/>
        <v>39.9</v>
      </c>
    </row>
    <row r="1826" spans="1:33" x14ac:dyDescent="0.3">
      <c r="A1826" t="s">
        <v>617</v>
      </c>
      <c r="B1826">
        <v>4</v>
      </c>
      <c r="C1826" t="s">
        <v>533</v>
      </c>
      <c r="D1826" t="s">
        <v>638</v>
      </c>
      <c r="E1826" t="s">
        <v>158</v>
      </c>
      <c r="F1826" t="s">
        <v>101</v>
      </c>
      <c r="G1826" t="s">
        <v>104</v>
      </c>
      <c r="H1826">
        <v>0</v>
      </c>
      <c r="I1826">
        <v>0</v>
      </c>
      <c r="J1826">
        <v>0</v>
      </c>
      <c r="K1826" t="s">
        <v>104</v>
      </c>
      <c r="L1826">
        <v>0</v>
      </c>
      <c r="M1826">
        <v>4</v>
      </c>
      <c r="N1826">
        <v>0</v>
      </c>
      <c r="O1826">
        <v>26</v>
      </c>
      <c r="P1826">
        <v>1</v>
      </c>
      <c r="Q1826">
        <v>6.5</v>
      </c>
      <c r="R1826">
        <v>25</v>
      </c>
      <c r="S1826">
        <v>0</v>
      </c>
      <c r="T1826">
        <v>0</v>
      </c>
      <c r="U1826" s="8">
        <v>25</v>
      </c>
      <c r="V1826" s="8">
        <f t="shared" si="57"/>
        <v>3</v>
      </c>
      <c r="W1826" t="str">
        <f>_xlfn.XLOOKUP(A1826, Matches!A:A, Matches!L:L, "NA", 0)</f>
        <v>GGTW</v>
      </c>
      <c r="X1826" t="str">
        <f>_xlfn.XLOOKUP(A1826, Matches!A:A, Matches!J:J, "NA", 0)</f>
        <v>DCW</v>
      </c>
      <c r="Y1826" t="str">
        <f>_xlfn.XLOOKUP(A1826, Matches!A:A, Matches!F:F, "NA", 0)</f>
        <v>BCA Stadium, Kotambi</v>
      </c>
      <c r="Z1826" cm="1">
        <f t="array" ref="Z1826">INDEX(Innings!F:F,MATCH(1,(TRIM(Innings!A:A)=TRIM(A1826))*(TRIM(Innings!D:D)=TRIM(E1826)),0))</f>
        <v>171</v>
      </c>
      <c r="AA1826" cm="1">
        <f t="array" ref="AA1826">INDEX(Innings!I:I,MATCH(1,(TRIM(Innings!A:A)=TRIM(A1826))*(TRIM(Innings!D:D)=TRIM(E1826)),0))</f>
        <v>8.5500000000000007</v>
      </c>
      <c r="AB1826" cm="1">
        <f t="array" ref="AB1826">INDEX(Innings!J:J,MATCH(1,(TRIM(Innings!A:A)=TRIM(A1826))*(TRIM(Innings!D:D)=TRIM(E1826)),0))</f>
        <v>51</v>
      </c>
      <c r="AC1826" cm="1">
        <f t="array" ref="AC1826">INDEX(Innings!N:N,MATCH(1,(TRIM(Innings!A:A)=TRIM(A1826))*(TRIM(Innings!D:D)=TRIM(E1826)),0))</f>
        <v>56</v>
      </c>
      <c r="AD1826" cm="1">
        <f t="array" ref="AD1826">INDEX(Innings!S:S,MATCH(1,(TRIM(Innings!A:A)=TRIM(A1826))*(TRIM(Innings!D:D)=TRIM(E1826)),0))</f>
        <v>30</v>
      </c>
      <c r="AE1826" t="str" cm="1">
        <f t="array" ref="AE1826">INDEX(Innings!W:W,MATCH(1,(TRIM(Innings!A:A)=TRIM(A1826))*(TRIM(Innings!D:D)=TRIM(E1826)),0))</f>
        <v>Failed</v>
      </c>
      <c r="AF1826">
        <f>IF(UPPER(TRIM(E1826))=UPPER(TRIM(W1826)),1,0)</f>
        <v>0</v>
      </c>
      <c r="AG1826">
        <f t="shared" si="56"/>
        <v>13.4</v>
      </c>
    </row>
    <row r="1827" spans="1:33" x14ac:dyDescent="0.3">
      <c r="A1827" t="s">
        <v>618</v>
      </c>
      <c r="B1827">
        <v>4</v>
      </c>
      <c r="C1827" t="s">
        <v>190</v>
      </c>
      <c r="D1827" t="s">
        <v>191</v>
      </c>
      <c r="E1827" t="s">
        <v>219</v>
      </c>
      <c r="F1827" t="s">
        <v>109</v>
      </c>
      <c r="G1827" t="s">
        <v>86</v>
      </c>
      <c r="H1827">
        <v>41</v>
      </c>
      <c r="I1827">
        <v>30</v>
      </c>
      <c r="J1827">
        <v>136.66999999999999</v>
      </c>
      <c r="K1827" t="s">
        <v>246</v>
      </c>
      <c r="L1827">
        <v>50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 s="8">
        <v>50</v>
      </c>
      <c r="V1827" s="8">
        <f t="shared" si="57"/>
        <v>5</v>
      </c>
      <c r="W1827" t="str">
        <f>_xlfn.XLOOKUP(A1827, Matches!A:A, Matches!L:L, "NA", 0)</f>
        <v>RCBW</v>
      </c>
      <c r="X1827" t="str">
        <f>_xlfn.XLOOKUP(A1827, Matches!A:A, Matches!J:J, "NA", 0)</f>
        <v>RCBW</v>
      </c>
      <c r="Y1827" t="str">
        <f>_xlfn.XLOOKUP(A1827, Matches!A:A, Matches!F:F, "NA", 0)</f>
        <v>BCA Stadium, Kotambi</v>
      </c>
      <c r="Z1827" cm="1">
        <f t="array" ref="Z1827">INDEX(Innings!F:F,MATCH(1,(TRIM(Innings!A:A)=TRIM(A1827))*(TRIM(Innings!D:D)=TRIM(E1827)),0))</f>
        <v>143</v>
      </c>
      <c r="AA1827" cm="1">
        <f t="array" ref="AA1827">INDEX(Innings!I:I,MATCH(1,(TRIM(Innings!A:A)=TRIM(A1827))*(TRIM(Innings!D:D)=TRIM(E1827)),0))</f>
        <v>7.15</v>
      </c>
      <c r="AB1827" cm="1">
        <f t="array" ref="AB1827">INDEX(Innings!J:J,MATCH(1,(TRIM(Innings!A:A)=TRIM(A1827))*(TRIM(Innings!D:D)=TRIM(E1827)),0))</f>
        <v>50</v>
      </c>
      <c r="AC1827" cm="1">
        <f t="array" ref="AC1827">INDEX(Innings!N:N,MATCH(1,(TRIM(Innings!A:A)=TRIM(A1827))*(TRIM(Innings!D:D)=TRIM(E1827)),0))</f>
        <v>21</v>
      </c>
      <c r="AD1827" cm="1">
        <f t="array" ref="AD1827">INDEX(Innings!S:S,MATCH(1,(TRIM(Innings!A:A)=TRIM(A1827))*(TRIM(Innings!D:D)=TRIM(E1827)),0))</f>
        <v>30</v>
      </c>
      <c r="AE1827" t="str" cm="1">
        <f t="array" ref="AE1827">INDEX(Innings!W:W,MATCH(1,(TRIM(Innings!A:A)=TRIM(A1827))*(TRIM(Innings!D:D)=TRIM(E1827)),0))</f>
        <v>NA</v>
      </c>
      <c r="AF1827">
        <f>IF(UPPER(TRIM(E1827))=UPPER(TRIM(W1827)),1,0)</f>
        <v>0</v>
      </c>
      <c r="AG1827">
        <f t="shared" si="56"/>
        <v>26.5</v>
      </c>
    </row>
    <row r="1828" spans="1:33" x14ac:dyDescent="0.3">
      <c r="A1828" t="s">
        <v>618</v>
      </c>
      <c r="B1828">
        <v>4</v>
      </c>
      <c r="C1828" t="s">
        <v>224</v>
      </c>
      <c r="D1828" t="s">
        <v>225</v>
      </c>
      <c r="E1828" t="s">
        <v>219</v>
      </c>
      <c r="F1828" t="s">
        <v>169</v>
      </c>
      <c r="G1828" t="s">
        <v>92</v>
      </c>
      <c r="H1828">
        <v>55</v>
      </c>
      <c r="I1828">
        <v>43</v>
      </c>
      <c r="J1828">
        <v>127.91</v>
      </c>
      <c r="K1828" t="s">
        <v>246</v>
      </c>
      <c r="L1828">
        <v>60</v>
      </c>
      <c r="M1828">
        <v>2.1</v>
      </c>
      <c r="N1828">
        <v>0</v>
      </c>
      <c r="O1828">
        <v>28</v>
      </c>
      <c r="P1828">
        <v>0</v>
      </c>
      <c r="Q1828">
        <v>12.9</v>
      </c>
      <c r="R1828">
        <v>0</v>
      </c>
      <c r="S1828">
        <v>0</v>
      </c>
      <c r="T1828">
        <v>0</v>
      </c>
      <c r="U1828" s="8">
        <v>60</v>
      </c>
      <c r="V1828" s="8">
        <f t="shared" si="57"/>
        <v>6</v>
      </c>
      <c r="W1828" t="str">
        <f>_xlfn.XLOOKUP(A1828, Matches!A:A, Matches!L:L, "NA", 0)</f>
        <v>RCBW</v>
      </c>
      <c r="X1828" t="str">
        <f>_xlfn.XLOOKUP(A1828, Matches!A:A, Matches!J:J, "NA", 0)</f>
        <v>RCBW</v>
      </c>
      <c r="Y1828" t="str">
        <f>_xlfn.XLOOKUP(A1828, Matches!A:A, Matches!F:F, "NA", 0)</f>
        <v>BCA Stadium, Kotambi</v>
      </c>
      <c r="Z1828" cm="1">
        <f t="array" ref="Z1828">INDEX(Innings!F:F,MATCH(1,(TRIM(Innings!A:A)=TRIM(A1828))*(TRIM(Innings!D:D)=TRIM(E1828)),0))</f>
        <v>143</v>
      </c>
      <c r="AA1828" cm="1">
        <f t="array" ref="AA1828">INDEX(Innings!I:I,MATCH(1,(TRIM(Innings!A:A)=TRIM(A1828))*(TRIM(Innings!D:D)=TRIM(E1828)),0))</f>
        <v>7.15</v>
      </c>
      <c r="AB1828" cm="1">
        <f t="array" ref="AB1828">INDEX(Innings!J:J,MATCH(1,(TRIM(Innings!A:A)=TRIM(A1828))*(TRIM(Innings!D:D)=TRIM(E1828)),0))</f>
        <v>50</v>
      </c>
      <c r="AC1828" cm="1">
        <f t="array" ref="AC1828">INDEX(Innings!N:N,MATCH(1,(TRIM(Innings!A:A)=TRIM(A1828))*(TRIM(Innings!D:D)=TRIM(E1828)),0))</f>
        <v>21</v>
      </c>
      <c r="AD1828" cm="1">
        <f t="array" ref="AD1828">INDEX(Innings!S:S,MATCH(1,(TRIM(Innings!A:A)=TRIM(A1828))*(TRIM(Innings!D:D)=TRIM(E1828)),0))</f>
        <v>30</v>
      </c>
      <c r="AE1828" t="str" cm="1">
        <f t="array" ref="AE1828">INDEX(Innings!W:W,MATCH(1,(TRIM(Innings!A:A)=TRIM(A1828))*(TRIM(Innings!D:D)=TRIM(E1828)),0))</f>
        <v>NA</v>
      </c>
      <c r="AF1828">
        <f>IF(UPPER(TRIM(E1828))=UPPER(TRIM(W1828)),1,0)</f>
        <v>0</v>
      </c>
      <c r="AG1828">
        <f t="shared" si="56"/>
        <v>31.8</v>
      </c>
    </row>
    <row r="1829" spans="1:33" x14ac:dyDescent="0.3">
      <c r="A1829" t="s">
        <v>618</v>
      </c>
      <c r="B1829">
        <v>4</v>
      </c>
      <c r="C1829" t="s">
        <v>586</v>
      </c>
      <c r="D1829" t="s">
        <v>686</v>
      </c>
      <c r="E1829" t="s">
        <v>219</v>
      </c>
      <c r="F1829" t="s">
        <v>85</v>
      </c>
      <c r="G1829" t="s">
        <v>92</v>
      </c>
      <c r="H1829">
        <v>1</v>
      </c>
      <c r="I1829">
        <v>2</v>
      </c>
      <c r="J1829">
        <v>50</v>
      </c>
      <c r="K1829" t="s">
        <v>247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 s="8">
        <v>0</v>
      </c>
      <c r="V1829" s="8">
        <f t="shared" si="57"/>
        <v>0</v>
      </c>
      <c r="W1829" t="str">
        <f>_xlfn.XLOOKUP(A1829, Matches!A:A, Matches!L:L, "NA", 0)</f>
        <v>RCBW</v>
      </c>
      <c r="X1829" t="str">
        <f>_xlfn.XLOOKUP(A1829, Matches!A:A, Matches!J:J, "NA", 0)</f>
        <v>RCBW</v>
      </c>
      <c r="Y1829" t="str">
        <f>_xlfn.XLOOKUP(A1829, Matches!A:A, Matches!F:F, "NA", 0)</f>
        <v>BCA Stadium, Kotambi</v>
      </c>
      <c r="Z1829" cm="1">
        <f t="array" ref="Z1829">INDEX(Innings!F:F,MATCH(1,(TRIM(Innings!A:A)=TRIM(A1829))*(TRIM(Innings!D:D)=TRIM(E1829)),0))</f>
        <v>143</v>
      </c>
      <c r="AA1829" cm="1">
        <f t="array" ref="AA1829">INDEX(Innings!I:I,MATCH(1,(TRIM(Innings!A:A)=TRIM(A1829))*(TRIM(Innings!D:D)=TRIM(E1829)),0))</f>
        <v>7.15</v>
      </c>
      <c r="AB1829" cm="1">
        <f t="array" ref="AB1829">INDEX(Innings!J:J,MATCH(1,(TRIM(Innings!A:A)=TRIM(A1829))*(TRIM(Innings!D:D)=TRIM(E1829)),0))</f>
        <v>50</v>
      </c>
      <c r="AC1829" cm="1">
        <f t="array" ref="AC1829">INDEX(Innings!N:N,MATCH(1,(TRIM(Innings!A:A)=TRIM(A1829))*(TRIM(Innings!D:D)=TRIM(E1829)),0))</f>
        <v>21</v>
      </c>
      <c r="AD1829" cm="1">
        <f t="array" ref="AD1829">INDEX(Innings!S:S,MATCH(1,(TRIM(Innings!A:A)=TRIM(A1829))*(TRIM(Innings!D:D)=TRIM(E1829)),0))</f>
        <v>30</v>
      </c>
      <c r="AE1829" t="str" cm="1">
        <f t="array" ref="AE1829">INDEX(Innings!W:W,MATCH(1,(TRIM(Innings!A:A)=TRIM(A1829))*(TRIM(Innings!D:D)=TRIM(E1829)),0))</f>
        <v>NA</v>
      </c>
      <c r="AF1829">
        <f>IF(UPPER(TRIM(E1829))=UPPER(TRIM(W1829)),1,0)</f>
        <v>0</v>
      </c>
      <c r="AG1829">
        <f t="shared" si="56"/>
        <v>0</v>
      </c>
    </row>
    <row r="1830" spans="1:33" x14ac:dyDescent="0.3">
      <c r="A1830" t="s">
        <v>618</v>
      </c>
      <c r="B1830">
        <v>4</v>
      </c>
      <c r="C1830" t="s">
        <v>89</v>
      </c>
      <c r="D1830" t="s">
        <v>116</v>
      </c>
      <c r="E1830" t="s">
        <v>219</v>
      </c>
      <c r="F1830" t="s">
        <v>169</v>
      </c>
      <c r="G1830" t="s">
        <v>92</v>
      </c>
      <c r="H1830">
        <v>14</v>
      </c>
      <c r="I1830">
        <v>14</v>
      </c>
      <c r="J1830">
        <v>100</v>
      </c>
      <c r="K1830" t="s">
        <v>245</v>
      </c>
      <c r="L1830">
        <v>15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 s="8">
        <v>15</v>
      </c>
      <c r="V1830" s="8">
        <f t="shared" si="57"/>
        <v>2</v>
      </c>
      <c r="W1830" t="str">
        <f>_xlfn.XLOOKUP(A1830, Matches!A:A, Matches!L:L, "NA", 0)</f>
        <v>RCBW</v>
      </c>
      <c r="X1830" t="str">
        <f>_xlfn.XLOOKUP(A1830, Matches!A:A, Matches!J:J, "NA", 0)</f>
        <v>RCBW</v>
      </c>
      <c r="Y1830" t="str">
        <f>_xlfn.XLOOKUP(A1830, Matches!A:A, Matches!F:F, "NA", 0)</f>
        <v>BCA Stadium, Kotambi</v>
      </c>
      <c r="Z1830" cm="1">
        <f t="array" ref="Z1830">INDEX(Innings!F:F,MATCH(1,(TRIM(Innings!A:A)=TRIM(A1830))*(TRIM(Innings!D:D)=TRIM(E1830)),0))</f>
        <v>143</v>
      </c>
      <c r="AA1830" cm="1">
        <f t="array" ref="AA1830">INDEX(Innings!I:I,MATCH(1,(TRIM(Innings!A:A)=TRIM(A1830))*(TRIM(Innings!D:D)=TRIM(E1830)),0))</f>
        <v>7.15</v>
      </c>
      <c r="AB1830" cm="1">
        <f t="array" ref="AB1830">INDEX(Innings!J:J,MATCH(1,(TRIM(Innings!A:A)=TRIM(A1830))*(TRIM(Innings!D:D)=TRIM(E1830)),0))</f>
        <v>50</v>
      </c>
      <c r="AC1830" cm="1">
        <f t="array" ref="AC1830">INDEX(Innings!N:N,MATCH(1,(TRIM(Innings!A:A)=TRIM(A1830))*(TRIM(Innings!D:D)=TRIM(E1830)),0))</f>
        <v>21</v>
      </c>
      <c r="AD1830" cm="1">
        <f t="array" ref="AD1830">INDEX(Innings!S:S,MATCH(1,(TRIM(Innings!A:A)=TRIM(A1830))*(TRIM(Innings!D:D)=TRIM(E1830)),0))</f>
        <v>30</v>
      </c>
      <c r="AE1830" t="str" cm="1">
        <f t="array" ref="AE1830">INDEX(Innings!W:W,MATCH(1,(TRIM(Innings!A:A)=TRIM(A1830))*(TRIM(Innings!D:D)=TRIM(E1830)),0))</f>
        <v>NA</v>
      </c>
      <c r="AF1830">
        <f>IF(UPPER(TRIM(E1830))=UPPER(TRIM(W1830)),1,0)</f>
        <v>0</v>
      </c>
      <c r="AG1830">
        <f t="shared" si="56"/>
        <v>8.1</v>
      </c>
    </row>
    <row r="1831" spans="1:33" x14ac:dyDescent="0.3">
      <c r="A1831" t="s">
        <v>618</v>
      </c>
      <c r="B1831">
        <v>4</v>
      </c>
      <c r="C1831" t="s">
        <v>578</v>
      </c>
      <c r="D1831" t="s">
        <v>652</v>
      </c>
      <c r="E1831" t="s">
        <v>219</v>
      </c>
      <c r="F1831" t="s">
        <v>169</v>
      </c>
      <c r="G1831" t="s">
        <v>134</v>
      </c>
      <c r="H1831">
        <v>6</v>
      </c>
      <c r="I1831">
        <v>7</v>
      </c>
      <c r="J1831">
        <v>85.71</v>
      </c>
      <c r="K1831" t="s">
        <v>248</v>
      </c>
      <c r="L1831">
        <v>5</v>
      </c>
      <c r="M1831">
        <v>1</v>
      </c>
      <c r="N1831">
        <v>0</v>
      </c>
      <c r="O1831">
        <v>15</v>
      </c>
      <c r="P1831">
        <v>0</v>
      </c>
      <c r="Q1831">
        <v>15</v>
      </c>
      <c r="R1831">
        <v>0</v>
      </c>
      <c r="S1831">
        <v>0</v>
      </c>
      <c r="T1831">
        <v>0</v>
      </c>
      <c r="U1831" s="8">
        <v>5</v>
      </c>
      <c r="V1831" s="8">
        <f t="shared" si="57"/>
        <v>1</v>
      </c>
      <c r="W1831" t="str">
        <f>_xlfn.XLOOKUP(A1831, Matches!A:A, Matches!L:L, "NA", 0)</f>
        <v>RCBW</v>
      </c>
      <c r="X1831" t="str">
        <f>_xlfn.XLOOKUP(A1831, Matches!A:A, Matches!J:J, "NA", 0)</f>
        <v>RCBW</v>
      </c>
      <c r="Y1831" t="str">
        <f>_xlfn.XLOOKUP(A1831, Matches!A:A, Matches!F:F, "NA", 0)</f>
        <v>BCA Stadium, Kotambi</v>
      </c>
      <c r="Z1831" cm="1">
        <f t="array" ref="Z1831">INDEX(Innings!F:F,MATCH(1,(TRIM(Innings!A:A)=TRIM(A1831))*(TRIM(Innings!D:D)=TRIM(E1831)),0))</f>
        <v>143</v>
      </c>
      <c r="AA1831" cm="1">
        <f t="array" ref="AA1831">INDEX(Innings!I:I,MATCH(1,(TRIM(Innings!A:A)=TRIM(A1831))*(TRIM(Innings!D:D)=TRIM(E1831)),0))</f>
        <v>7.15</v>
      </c>
      <c r="AB1831" cm="1">
        <f t="array" ref="AB1831">INDEX(Innings!J:J,MATCH(1,(TRIM(Innings!A:A)=TRIM(A1831))*(TRIM(Innings!D:D)=TRIM(E1831)),0))</f>
        <v>50</v>
      </c>
      <c r="AC1831" cm="1">
        <f t="array" ref="AC1831">INDEX(Innings!N:N,MATCH(1,(TRIM(Innings!A:A)=TRIM(A1831))*(TRIM(Innings!D:D)=TRIM(E1831)),0))</f>
        <v>21</v>
      </c>
      <c r="AD1831" cm="1">
        <f t="array" ref="AD1831">INDEX(Innings!S:S,MATCH(1,(TRIM(Innings!A:A)=TRIM(A1831))*(TRIM(Innings!D:D)=TRIM(E1831)),0))</f>
        <v>30</v>
      </c>
      <c r="AE1831" t="str" cm="1">
        <f t="array" ref="AE1831">INDEX(Innings!W:W,MATCH(1,(TRIM(Innings!A:A)=TRIM(A1831))*(TRIM(Innings!D:D)=TRIM(E1831)),0))</f>
        <v>NA</v>
      </c>
      <c r="AF1831">
        <f>IF(UPPER(TRIM(E1831))=UPPER(TRIM(W1831)),1,0)</f>
        <v>0</v>
      </c>
      <c r="AG1831">
        <f t="shared" si="56"/>
        <v>2.8</v>
      </c>
    </row>
    <row r="1832" spans="1:33" x14ac:dyDescent="0.3">
      <c r="A1832" t="s">
        <v>618</v>
      </c>
      <c r="B1832">
        <v>4</v>
      </c>
      <c r="C1832" t="s">
        <v>220</v>
      </c>
      <c r="D1832" t="s">
        <v>221</v>
      </c>
      <c r="E1832" t="s">
        <v>219</v>
      </c>
      <c r="F1832" t="s">
        <v>85</v>
      </c>
      <c r="G1832" t="s">
        <v>134</v>
      </c>
      <c r="H1832">
        <v>7</v>
      </c>
      <c r="I1832">
        <v>10</v>
      </c>
      <c r="J1832">
        <v>70</v>
      </c>
      <c r="K1832" t="s">
        <v>246</v>
      </c>
      <c r="L1832">
        <v>5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 s="8">
        <v>5</v>
      </c>
      <c r="V1832" s="8">
        <f t="shared" si="57"/>
        <v>1</v>
      </c>
      <c r="W1832" t="str">
        <f>_xlfn.XLOOKUP(A1832, Matches!A:A, Matches!L:L, "NA", 0)</f>
        <v>RCBW</v>
      </c>
      <c r="X1832" t="str">
        <f>_xlfn.XLOOKUP(A1832, Matches!A:A, Matches!J:J, "NA", 0)</f>
        <v>RCBW</v>
      </c>
      <c r="Y1832" t="str">
        <f>_xlfn.XLOOKUP(A1832, Matches!A:A, Matches!F:F, "NA", 0)</f>
        <v>BCA Stadium, Kotambi</v>
      </c>
      <c r="Z1832" cm="1">
        <f t="array" ref="Z1832">INDEX(Innings!F:F,MATCH(1,(TRIM(Innings!A:A)=TRIM(A1832))*(TRIM(Innings!D:D)=TRIM(E1832)),0))</f>
        <v>143</v>
      </c>
      <c r="AA1832" cm="1">
        <f t="array" ref="AA1832">INDEX(Innings!I:I,MATCH(1,(TRIM(Innings!A:A)=TRIM(A1832))*(TRIM(Innings!D:D)=TRIM(E1832)),0))</f>
        <v>7.15</v>
      </c>
      <c r="AB1832" cm="1">
        <f t="array" ref="AB1832">INDEX(Innings!J:J,MATCH(1,(TRIM(Innings!A:A)=TRIM(A1832))*(TRIM(Innings!D:D)=TRIM(E1832)),0))</f>
        <v>50</v>
      </c>
      <c r="AC1832" cm="1">
        <f t="array" ref="AC1832">INDEX(Innings!N:N,MATCH(1,(TRIM(Innings!A:A)=TRIM(A1832))*(TRIM(Innings!D:D)=TRIM(E1832)),0))</f>
        <v>21</v>
      </c>
      <c r="AD1832" cm="1">
        <f t="array" ref="AD1832">INDEX(Innings!S:S,MATCH(1,(TRIM(Innings!A:A)=TRIM(A1832))*(TRIM(Innings!D:D)=TRIM(E1832)),0))</f>
        <v>30</v>
      </c>
      <c r="AE1832" t="str" cm="1">
        <f t="array" ref="AE1832">INDEX(Innings!W:W,MATCH(1,(TRIM(Innings!A:A)=TRIM(A1832))*(TRIM(Innings!D:D)=TRIM(E1832)),0))</f>
        <v>NA</v>
      </c>
      <c r="AF1832">
        <f>IF(UPPER(TRIM(E1832))=UPPER(TRIM(W1832)),1,0)</f>
        <v>0</v>
      </c>
      <c r="AG1832">
        <f t="shared" si="56"/>
        <v>2.8</v>
      </c>
    </row>
    <row r="1833" spans="1:33" x14ac:dyDescent="0.3">
      <c r="A1833" t="s">
        <v>618</v>
      </c>
      <c r="B1833">
        <v>4</v>
      </c>
      <c r="C1833" t="s">
        <v>227</v>
      </c>
      <c r="D1833" t="s">
        <v>228</v>
      </c>
      <c r="E1833" t="s">
        <v>219</v>
      </c>
      <c r="F1833" t="s">
        <v>109</v>
      </c>
      <c r="G1833" t="s">
        <v>134</v>
      </c>
      <c r="H1833">
        <v>10</v>
      </c>
      <c r="I1833">
        <v>11</v>
      </c>
      <c r="J1833">
        <v>90.91</v>
      </c>
      <c r="K1833" t="s">
        <v>246</v>
      </c>
      <c r="L1833">
        <v>10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 s="8">
        <v>10</v>
      </c>
      <c r="V1833" s="8">
        <f t="shared" si="57"/>
        <v>1</v>
      </c>
      <c r="W1833" t="str">
        <f>_xlfn.XLOOKUP(A1833, Matches!A:A, Matches!L:L, "NA", 0)</f>
        <v>RCBW</v>
      </c>
      <c r="X1833" t="str">
        <f>_xlfn.XLOOKUP(A1833, Matches!A:A, Matches!J:J, "NA", 0)</f>
        <v>RCBW</v>
      </c>
      <c r="Y1833" t="str">
        <f>_xlfn.XLOOKUP(A1833, Matches!A:A, Matches!F:F, "NA", 0)</f>
        <v>BCA Stadium, Kotambi</v>
      </c>
      <c r="Z1833" cm="1">
        <f t="array" ref="Z1833">INDEX(Innings!F:F,MATCH(1,(TRIM(Innings!A:A)=TRIM(A1833))*(TRIM(Innings!D:D)=TRIM(E1833)),0))</f>
        <v>143</v>
      </c>
      <c r="AA1833" cm="1">
        <f t="array" ref="AA1833">INDEX(Innings!I:I,MATCH(1,(TRIM(Innings!A:A)=TRIM(A1833))*(TRIM(Innings!D:D)=TRIM(E1833)),0))</f>
        <v>7.15</v>
      </c>
      <c r="AB1833" cm="1">
        <f t="array" ref="AB1833">INDEX(Innings!J:J,MATCH(1,(TRIM(Innings!A:A)=TRIM(A1833))*(TRIM(Innings!D:D)=TRIM(E1833)),0))</f>
        <v>50</v>
      </c>
      <c r="AC1833" cm="1">
        <f t="array" ref="AC1833">INDEX(Innings!N:N,MATCH(1,(TRIM(Innings!A:A)=TRIM(A1833))*(TRIM(Innings!D:D)=TRIM(E1833)),0))</f>
        <v>21</v>
      </c>
      <c r="AD1833" cm="1">
        <f t="array" ref="AD1833">INDEX(Innings!S:S,MATCH(1,(TRIM(Innings!A:A)=TRIM(A1833))*(TRIM(Innings!D:D)=TRIM(E1833)),0))</f>
        <v>30</v>
      </c>
      <c r="AE1833" t="str" cm="1">
        <f t="array" ref="AE1833">INDEX(Innings!W:W,MATCH(1,(TRIM(Innings!A:A)=TRIM(A1833))*(TRIM(Innings!D:D)=TRIM(E1833)),0))</f>
        <v>NA</v>
      </c>
      <c r="AF1833">
        <f>IF(UPPER(TRIM(E1833))=UPPER(TRIM(W1833)),1,0)</f>
        <v>0</v>
      </c>
      <c r="AG1833">
        <f t="shared" si="56"/>
        <v>5.3</v>
      </c>
    </row>
    <row r="1834" spans="1:33" x14ac:dyDescent="0.3">
      <c r="A1834" t="s">
        <v>618</v>
      </c>
      <c r="B1834">
        <v>4</v>
      </c>
      <c r="C1834" t="s">
        <v>233</v>
      </c>
      <c r="D1834" t="s">
        <v>234</v>
      </c>
      <c r="E1834" t="s">
        <v>219</v>
      </c>
      <c r="F1834" t="s">
        <v>101</v>
      </c>
      <c r="G1834" t="s">
        <v>134</v>
      </c>
      <c r="H1834">
        <v>0</v>
      </c>
      <c r="I1834">
        <v>1</v>
      </c>
      <c r="J1834">
        <v>0</v>
      </c>
      <c r="K1834" t="s">
        <v>247</v>
      </c>
      <c r="L1834">
        <v>0</v>
      </c>
      <c r="M1834">
        <v>2</v>
      </c>
      <c r="N1834">
        <v>0</v>
      </c>
      <c r="O1834">
        <v>14</v>
      </c>
      <c r="P1834">
        <v>0</v>
      </c>
      <c r="Q1834">
        <v>7</v>
      </c>
      <c r="R1834">
        <v>0</v>
      </c>
      <c r="S1834">
        <v>0</v>
      </c>
      <c r="T1834">
        <v>0</v>
      </c>
      <c r="U1834" s="8">
        <v>0</v>
      </c>
      <c r="V1834" s="8">
        <f t="shared" si="57"/>
        <v>0</v>
      </c>
      <c r="W1834" t="str">
        <f>_xlfn.XLOOKUP(A1834, Matches!A:A, Matches!L:L, "NA", 0)</f>
        <v>RCBW</v>
      </c>
      <c r="X1834" t="str">
        <f>_xlfn.XLOOKUP(A1834, Matches!A:A, Matches!J:J, "NA", 0)</f>
        <v>RCBW</v>
      </c>
      <c r="Y1834" t="str">
        <f>_xlfn.XLOOKUP(A1834, Matches!A:A, Matches!F:F, "NA", 0)</f>
        <v>BCA Stadium, Kotambi</v>
      </c>
      <c r="Z1834" cm="1">
        <f t="array" ref="Z1834">INDEX(Innings!F:F,MATCH(1,(TRIM(Innings!A:A)=TRIM(A1834))*(TRIM(Innings!D:D)=TRIM(E1834)),0))</f>
        <v>143</v>
      </c>
      <c r="AA1834" cm="1">
        <f t="array" ref="AA1834">INDEX(Innings!I:I,MATCH(1,(TRIM(Innings!A:A)=TRIM(A1834))*(TRIM(Innings!D:D)=TRIM(E1834)),0))</f>
        <v>7.15</v>
      </c>
      <c r="AB1834" cm="1">
        <f t="array" ref="AB1834">INDEX(Innings!J:J,MATCH(1,(TRIM(Innings!A:A)=TRIM(A1834))*(TRIM(Innings!D:D)=TRIM(E1834)),0))</f>
        <v>50</v>
      </c>
      <c r="AC1834" cm="1">
        <f t="array" ref="AC1834">INDEX(Innings!N:N,MATCH(1,(TRIM(Innings!A:A)=TRIM(A1834))*(TRIM(Innings!D:D)=TRIM(E1834)),0))</f>
        <v>21</v>
      </c>
      <c r="AD1834" cm="1">
        <f t="array" ref="AD1834">INDEX(Innings!S:S,MATCH(1,(TRIM(Innings!A:A)=TRIM(A1834))*(TRIM(Innings!D:D)=TRIM(E1834)),0))</f>
        <v>30</v>
      </c>
      <c r="AE1834" t="str" cm="1">
        <f t="array" ref="AE1834">INDEX(Innings!W:W,MATCH(1,(TRIM(Innings!A:A)=TRIM(A1834))*(TRIM(Innings!D:D)=TRIM(E1834)),0))</f>
        <v>NA</v>
      </c>
      <c r="AF1834">
        <f>IF(UPPER(TRIM(E1834))=UPPER(TRIM(W1834)),1,0)</f>
        <v>0</v>
      </c>
      <c r="AG1834">
        <f t="shared" si="56"/>
        <v>0</v>
      </c>
    </row>
    <row r="1835" spans="1:33" x14ac:dyDescent="0.3">
      <c r="A1835" t="s">
        <v>618</v>
      </c>
      <c r="B1835">
        <v>4</v>
      </c>
      <c r="C1835" t="s">
        <v>180</v>
      </c>
      <c r="D1835" t="s">
        <v>181</v>
      </c>
      <c r="E1835" t="s">
        <v>219</v>
      </c>
      <c r="F1835" t="s">
        <v>101</v>
      </c>
      <c r="G1835" t="s">
        <v>134</v>
      </c>
      <c r="H1835">
        <v>0</v>
      </c>
      <c r="I1835">
        <v>1</v>
      </c>
      <c r="J1835">
        <v>0</v>
      </c>
      <c r="K1835" t="s">
        <v>96</v>
      </c>
      <c r="L1835">
        <v>0</v>
      </c>
      <c r="M1835">
        <v>2</v>
      </c>
      <c r="N1835">
        <v>0</v>
      </c>
      <c r="O1835">
        <v>24</v>
      </c>
      <c r="P1835">
        <v>1</v>
      </c>
      <c r="Q1835">
        <v>12</v>
      </c>
      <c r="R1835">
        <v>25</v>
      </c>
      <c r="S1835">
        <v>0</v>
      </c>
      <c r="T1835">
        <v>0</v>
      </c>
      <c r="U1835" s="8">
        <v>25</v>
      </c>
      <c r="V1835" s="8">
        <f t="shared" si="57"/>
        <v>3</v>
      </c>
      <c r="W1835" t="str">
        <f>_xlfn.XLOOKUP(A1835, Matches!A:A, Matches!L:L, "NA", 0)</f>
        <v>RCBW</v>
      </c>
      <c r="X1835" t="str">
        <f>_xlfn.XLOOKUP(A1835, Matches!A:A, Matches!J:J, "NA", 0)</f>
        <v>RCBW</v>
      </c>
      <c r="Y1835" t="str">
        <f>_xlfn.XLOOKUP(A1835, Matches!A:A, Matches!F:F, "NA", 0)</f>
        <v>BCA Stadium, Kotambi</v>
      </c>
      <c r="Z1835" cm="1">
        <f t="array" ref="Z1835">INDEX(Innings!F:F,MATCH(1,(TRIM(Innings!A:A)=TRIM(A1835))*(TRIM(Innings!D:D)=TRIM(E1835)),0))</f>
        <v>143</v>
      </c>
      <c r="AA1835" cm="1">
        <f t="array" ref="AA1835">INDEX(Innings!I:I,MATCH(1,(TRIM(Innings!A:A)=TRIM(A1835))*(TRIM(Innings!D:D)=TRIM(E1835)),0))</f>
        <v>7.15</v>
      </c>
      <c r="AB1835" cm="1">
        <f t="array" ref="AB1835">INDEX(Innings!J:J,MATCH(1,(TRIM(Innings!A:A)=TRIM(A1835))*(TRIM(Innings!D:D)=TRIM(E1835)),0))</f>
        <v>50</v>
      </c>
      <c r="AC1835" cm="1">
        <f t="array" ref="AC1835">INDEX(Innings!N:N,MATCH(1,(TRIM(Innings!A:A)=TRIM(A1835))*(TRIM(Innings!D:D)=TRIM(E1835)),0))</f>
        <v>21</v>
      </c>
      <c r="AD1835" cm="1">
        <f t="array" ref="AD1835">INDEX(Innings!S:S,MATCH(1,(TRIM(Innings!A:A)=TRIM(A1835))*(TRIM(Innings!D:D)=TRIM(E1835)),0))</f>
        <v>30</v>
      </c>
      <c r="AE1835" t="str" cm="1">
        <f t="array" ref="AE1835">INDEX(Innings!W:W,MATCH(1,(TRIM(Innings!A:A)=TRIM(A1835))*(TRIM(Innings!D:D)=TRIM(E1835)),0))</f>
        <v>NA</v>
      </c>
      <c r="AF1835">
        <f>IF(UPPER(TRIM(E1835))=UPPER(TRIM(W1835)),1,0)</f>
        <v>0</v>
      </c>
      <c r="AG1835">
        <f t="shared" si="56"/>
        <v>13.4</v>
      </c>
    </row>
    <row r="1836" spans="1:33" x14ac:dyDescent="0.3">
      <c r="A1836" t="s">
        <v>618</v>
      </c>
      <c r="B1836">
        <v>4</v>
      </c>
      <c r="C1836" t="s">
        <v>204</v>
      </c>
      <c r="D1836" t="s">
        <v>205</v>
      </c>
      <c r="E1836" t="s">
        <v>219</v>
      </c>
      <c r="F1836" t="s">
        <v>169</v>
      </c>
      <c r="G1836" t="s">
        <v>134</v>
      </c>
      <c r="H1836">
        <v>0</v>
      </c>
      <c r="I1836">
        <v>1</v>
      </c>
      <c r="J1836">
        <v>0</v>
      </c>
      <c r="K1836" t="s">
        <v>96</v>
      </c>
      <c r="L1836">
        <v>0</v>
      </c>
      <c r="M1836">
        <v>4</v>
      </c>
      <c r="N1836">
        <v>0</v>
      </c>
      <c r="O1836">
        <v>36</v>
      </c>
      <c r="P1836">
        <v>1</v>
      </c>
      <c r="Q1836">
        <v>9</v>
      </c>
      <c r="R1836">
        <v>25</v>
      </c>
      <c r="S1836">
        <v>0</v>
      </c>
      <c r="T1836">
        <v>0</v>
      </c>
      <c r="U1836" s="8">
        <v>25</v>
      </c>
      <c r="V1836" s="8">
        <f t="shared" si="57"/>
        <v>3</v>
      </c>
      <c r="W1836" t="str">
        <f>_xlfn.XLOOKUP(A1836, Matches!A:A, Matches!L:L, "NA", 0)</f>
        <v>RCBW</v>
      </c>
      <c r="X1836" t="str">
        <f>_xlfn.XLOOKUP(A1836, Matches!A:A, Matches!J:J, "NA", 0)</f>
        <v>RCBW</v>
      </c>
      <c r="Y1836" t="str">
        <f>_xlfn.XLOOKUP(A1836, Matches!A:A, Matches!F:F, "NA", 0)</f>
        <v>BCA Stadium, Kotambi</v>
      </c>
      <c r="Z1836" cm="1">
        <f t="array" ref="Z1836">INDEX(Innings!F:F,MATCH(1,(TRIM(Innings!A:A)=TRIM(A1836))*(TRIM(Innings!D:D)=TRIM(E1836)),0))</f>
        <v>143</v>
      </c>
      <c r="AA1836" cm="1">
        <f t="array" ref="AA1836">INDEX(Innings!I:I,MATCH(1,(TRIM(Innings!A:A)=TRIM(A1836))*(TRIM(Innings!D:D)=TRIM(E1836)),0))</f>
        <v>7.15</v>
      </c>
      <c r="AB1836" cm="1">
        <f t="array" ref="AB1836">INDEX(Innings!J:J,MATCH(1,(TRIM(Innings!A:A)=TRIM(A1836))*(TRIM(Innings!D:D)=TRIM(E1836)),0))</f>
        <v>50</v>
      </c>
      <c r="AC1836" cm="1">
        <f t="array" ref="AC1836">INDEX(Innings!N:N,MATCH(1,(TRIM(Innings!A:A)=TRIM(A1836))*(TRIM(Innings!D:D)=TRIM(E1836)),0))</f>
        <v>21</v>
      </c>
      <c r="AD1836" cm="1">
        <f t="array" ref="AD1836">INDEX(Innings!S:S,MATCH(1,(TRIM(Innings!A:A)=TRIM(A1836))*(TRIM(Innings!D:D)=TRIM(E1836)),0))</f>
        <v>30</v>
      </c>
      <c r="AE1836" t="str" cm="1">
        <f t="array" ref="AE1836">INDEX(Innings!W:W,MATCH(1,(TRIM(Innings!A:A)=TRIM(A1836))*(TRIM(Innings!D:D)=TRIM(E1836)),0))</f>
        <v>NA</v>
      </c>
      <c r="AF1836">
        <f>IF(UPPER(TRIM(E1836))=UPPER(TRIM(W1836)),1,0)</f>
        <v>0</v>
      </c>
      <c r="AG1836">
        <f t="shared" si="56"/>
        <v>13.4</v>
      </c>
    </row>
    <row r="1837" spans="1:33" x14ac:dyDescent="0.3">
      <c r="A1837" t="s">
        <v>618</v>
      </c>
      <c r="B1837">
        <v>4</v>
      </c>
      <c r="C1837" t="s">
        <v>509</v>
      </c>
      <c r="D1837" t="s">
        <v>523</v>
      </c>
      <c r="E1837" t="s">
        <v>219</v>
      </c>
      <c r="F1837" t="s">
        <v>101</v>
      </c>
      <c r="G1837" t="s">
        <v>104</v>
      </c>
      <c r="H1837">
        <v>0</v>
      </c>
      <c r="I1837">
        <v>0</v>
      </c>
      <c r="J1837">
        <v>0</v>
      </c>
      <c r="K1837" t="s">
        <v>104</v>
      </c>
      <c r="L1837">
        <v>0</v>
      </c>
      <c r="M1837">
        <v>2</v>
      </c>
      <c r="N1837">
        <v>0</v>
      </c>
      <c r="O1837">
        <v>29</v>
      </c>
      <c r="P1837">
        <v>0</v>
      </c>
      <c r="Q1837">
        <v>14.5</v>
      </c>
      <c r="R1837">
        <v>0</v>
      </c>
      <c r="S1837">
        <v>0</v>
      </c>
      <c r="T1837">
        <v>0</v>
      </c>
      <c r="U1837" s="8">
        <v>0</v>
      </c>
      <c r="V1837" s="8">
        <f t="shared" si="57"/>
        <v>0</v>
      </c>
      <c r="W1837" t="str">
        <f>_xlfn.XLOOKUP(A1837, Matches!A:A, Matches!L:L, "NA", 0)</f>
        <v>RCBW</v>
      </c>
      <c r="X1837" t="str">
        <f>_xlfn.XLOOKUP(A1837, Matches!A:A, Matches!J:J, "NA", 0)</f>
        <v>RCBW</v>
      </c>
      <c r="Y1837" t="str">
        <f>_xlfn.XLOOKUP(A1837, Matches!A:A, Matches!F:F, "NA", 0)</f>
        <v>BCA Stadium, Kotambi</v>
      </c>
      <c r="Z1837" cm="1">
        <f t="array" ref="Z1837">INDEX(Innings!F:F,MATCH(1,(TRIM(Innings!A:A)=TRIM(A1837))*(TRIM(Innings!D:D)=TRIM(E1837)),0))</f>
        <v>143</v>
      </c>
      <c r="AA1837" cm="1">
        <f t="array" ref="AA1837">INDEX(Innings!I:I,MATCH(1,(TRIM(Innings!A:A)=TRIM(A1837))*(TRIM(Innings!D:D)=TRIM(E1837)),0))</f>
        <v>7.15</v>
      </c>
      <c r="AB1837" cm="1">
        <f t="array" ref="AB1837">INDEX(Innings!J:J,MATCH(1,(TRIM(Innings!A:A)=TRIM(A1837))*(TRIM(Innings!D:D)=TRIM(E1837)),0))</f>
        <v>50</v>
      </c>
      <c r="AC1837" cm="1">
        <f t="array" ref="AC1837">INDEX(Innings!N:N,MATCH(1,(TRIM(Innings!A:A)=TRIM(A1837))*(TRIM(Innings!D:D)=TRIM(E1837)),0))</f>
        <v>21</v>
      </c>
      <c r="AD1837" cm="1">
        <f t="array" ref="AD1837">INDEX(Innings!S:S,MATCH(1,(TRIM(Innings!A:A)=TRIM(A1837))*(TRIM(Innings!D:D)=TRIM(E1837)),0))</f>
        <v>30</v>
      </c>
      <c r="AE1837" t="str" cm="1">
        <f t="array" ref="AE1837">INDEX(Innings!W:W,MATCH(1,(TRIM(Innings!A:A)=TRIM(A1837))*(TRIM(Innings!D:D)=TRIM(E1837)),0))</f>
        <v>NA</v>
      </c>
      <c r="AF1837">
        <f>IF(UPPER(TRIM(E1837))=UPPER(TRIM(W1837)),1,0)</f>
        <v>0</v>
      </c>
      <c r="AG1837">
        <f t="shared" si="56"/>
        <v>0</v>
      </c>
    </row>
    <row r="1838" spans="1:33" x14ac:dyDescent="0.3">
      <c r="A1838" t="s">
        <v>618</v>
      </c>
      <c r="B1838">
        <v>4</v>
      </c>
      <c r="C1838" t="s">
        <v>226</v>
      </c>
      <c r="D1838" t="s">
        <v>211</v>
      </c>
      <c r="E1838" t="s">
        <v>159</v>
      </c>
      <c r="F1838" t="s">
        <v>169</v>
      </c>
      <c r="G1838" t="s">
        <v>86</v>
      </c>
      <c r="H1838">
        <v>75</v>
      </c>
      <c r="I1838">
        <v>37</v>
      </c>
      <c r="J1838">
        <v>202.7</v>
      </c>
      <c r="K1838" t="s">
        <v>245</v>
      </c>
      <c r="L1838">
        <v>85</v>
      </c>
      <c r="M1838">
        <v>3</v>
      </c>
      <c r="N1838">
        <v>0</v>
      </c>
      <c r="O1838">
        <v>22</v>
      </c>
      <c r="P1838">
        <v>2</v>
      </c>
      <c r="Q1838">
        <v>7.3</v>
      </c>
      <c r="R1838">
        <v>40</v>
      </c>
      <c r="S1838">
        <v>0</v>
      </c>
      <c r="T1838">
        <v>0</v>
      </c>
      <c r="U1838" s="8">
        <v>125</v>
      </c>
      <c r="V1838" s="8">
        <f t="shared" si="57"/>
        <v>10</v>
      </c>
      <c r="W1838" t="str">
        <f>_xlfn.XLOOKUP(A1838, Matches!A:A, Matches!L:L, "NA", 0)</f>
        <v>RCBW</v>
      </c>
      <c r="X1838" t="str">
        <f>_xlfn.XLOOKUP(A1838, Matches!A:A, Matches!J:J, "NA", 0)</f>
        <v>RCBW</v>
      </c>
      <c r="Y1838" t="str">
        <f>_xlfn.XLOOKUP(A1838, Matches!A:A, Matches!F:F, "NA", 0)</f>
        <v>BCA Stadium, Kotambi</v>
      </c>
      <c r="Z1838" cm="1">
        <f t="array" ref="Z1838">INDEX(Innings!F:F,MATCH(1,(TRIM(Innings!A:A)=TRIM(A1838))*(TRIM(Innings!D:D)=TRIM(E1838)),0))</f>
        <v>147</v>
      </c>
      <c r="AA1838" cm="1">
        <f t="array" ref="AA1838">INDEX(Innings!I:I,MATCH(1,(TRIM(Innings!A:A)=TRIM(A1838))*(TRIM(Innings!D:D)=TRIM(E1838)),0))</f>
        <v>11.16</v>
      </c>
      <c r="AB1838" cm="1">
        <f t="array" ref="AB1838">INDEX(Innings!J:J,MATCH(1,(TRIM(Innings!A:A)=TRIM(A1838))*(TRIM(Innings!D:D)=TRIM(E1838)),0))</f>
        <v>63</v>
      </c>
      <c r="AC1838" cm="1">
        <f t="array" ref="AC1838">INDEX(Innings!N:N,MATCH(1,(TRIM(Innings!A:A)=TRIM(A1838))*(TRIM(Innings!D:D)=TRIM(E1838)),0))</f>
        <v>0</v>
      </c>
      <c r="AD1838" cm="1">
        <f t="array" ref="AD1838">INDEX(Innings!S:S,MATCH(1,(TRIM(Innings!A:A)=TRIM(A1838))*(TRIM(Innings!D:D)=TRIM(E1838)),0))</f>
        <v>20</v>
      </c>
      <c r="AE1838" t="str" cm="1">
        <f t="array" ref="AE1838">INDEX(Innings!W:W,MATCH(1,(TRIM(Innings!A:A)=TRIM(A1838))*(TRIM(Innings!D:D)=TRIM(E1838)),0))</f>
        <v>Successful</v>
      </c>
      <c r="AF1838">
        <f>IF(UPPER(TRIM(E1838))=UPPER(TRIM(W1838)),1,0)</f>
        <v>1</v>
      </c>
      <c r="AG1838">
        <f t="shared" si="56"/>
        <v>85.5</v>
      </c>
    </row>
    <row r="1839" spans="1:33" x14ac:dyDescent="0.3">
      <c r="A1839" t="s">
        <v>618</v>
      </c>
      <c r="B1839">
        <v>4</v>
      </c>
      <c r="C1839" t="s">
        <v>165</v>
      </c>
      <c r="D1839" t="s">
        <v>166</v>
      </c>
      <c r="E1839" t="s">
        <v>159</v>
      </c>
      <c r="F1839" t="s">
        <v>109</v>
      </c>
      <c r="G1839" t="s">
        <v>86</v>
      </c>
      <c r="H1839">
        <v>54</v>
      </c>
      <c r="I1839">
        <v>27</v>
      </c>
      <c r="J1839">
        <v>200</v>
      </c>
      <c r="K1839" t="s">
        <v>96</v>
      </c>
      <c r="L1839">
        <v>65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 s="8">
        <v>65</v>
      </c>
      <c r="V1839" s="8">
        <f t="shared" si="57"/>
        <v>7</v>
      </c>
      <c r="W1839" t="str">
        <f>_xlfn.XLOOKUP(A1839, Matches!A:A, Matches!L:L, "NA", 0)</f>
        <v>RCBW</v>
      </c>
      <c r="X1839" t="str">
        <f>_xlfn.XLOOKUP(A1839, Matches!A:A, Matches!J:J, "NA", 0)</f>
        <v>RCBW</v>
      </c>
      <c r="Y1839" t="str">
        <f>_xlfn.XLOOKUP(A1839, Matches!A:A, Matches!F:F, "NA", 0)</f>
        <v>BCA Stadium, Kotambi</v>
      </c>
      <c r="Z1839" cm="1">
        <f t="array" ref="Z1839">INDEX(Innings!F:F,MATCH(1,(TRIM(Innings!A:A)=TRIM(A1839))*(TRIM(Innings!D:D)=TRIM(E1839)),0))</f>
        <v>147</v>
      </c>
      <c r="AA1839" cm="1">
        <f t="array" ref="AA1839">INDEX(Innings!I:I,MATCH(1,(TRIM(Innings!A:A)=TRIM(A1839))*(TRIM(Innings!D:D)=TRIM(E1839)),0))</f>
        <v>11.16</v>
      </c>
      <c r="AB1839" cm="1">
        <f t="array" ref="AB1839">INDEX(Innings!J:J,MATCH(1,(TRIM(Innings!A:A)=TRIM(A1839))*(TRIM(Innings!D:D)=TRIM(E1839)),0))</f>
        <v>63</v>
      </c>
      <c r="AC1839" cm="1">
        <f t="array" ref="AC1839">INDEX(Innings!N:N,MATCH(1,(TRIM(Innings!A:A)=TRIM(A1839))*(TRIM(Innings!D:D)=TRIM(E1839)),0))</f>
        <v>0</v>
      </c>
      <c r="AD1839" cm="1">
        <f t="array" ref="AD1839">INDEX(Innings!S:S,MATCH(1,(TRIM(Innings!A:A)=TRIM(A1839))*(TRIM(Innings!D:D)=TRIM(E1839)),0))</f>
        <v>20</v>
      </c>
      <c r="AE1839" t="str" cm="1">
        <f t="array" ref="AE1839">INDEX(Innings!W:W,MATCH(1,(TRIM(Innings!A:A)=TRIM(A1839))*(TRIM(Innings!D:D)=TRIM(E1839)),0))</f>
        <v>Successful</v>
      </c>
      <c r="AF1839">
        <f>IF(UPPER(TRIM(E1839))=UPPER(TRIM(W1839)),1,0)</f>
        <v>1</v>
      </c>
      <c r="AG1839">
        <f t="shared" si="56"/>
        <v>54.6</v>
      </c>
    </row>
    <row r="1840" spans="1:33" x14ac:dyDescent="0.3">
      <c r="A1840" t="s">
        <v>618</v>
      </c>
      <c r="B1840">
        <v>4</v>
      </c>
      <c r="C1840" t="s">
        <v>514</v>
      </c>
      <c r="D1840" t="s">
        <v>567</v>
      </c>
      <c r="E1840" t="s">
        <v>159</v>
      </c>
      <c r="F1840" t="s">
        <v>109</v>
      </c>
      <c r="G1840" t="s">
        <v>92</v>
      </c>
      <c r="H1840">
        <v>16</v>
      </c>
      <c r="I1840">
        <v>15</v>
      </c>
      <c r="J1840">
        <v>106.67</v>
      </c>
      <c r="K1840" t="s">
        <v>246</v>
      </c>
      <c r="L1840">
        <v>20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 s="8">
        <v>20</v>
      </c>
      <c r="V1840" s="8">
        <f t="shared" si="57"/>
        <v>2</v>
      </c>
      <c r="W1840" t="str">
        <f>_xlfn.XLOOKUP(A1840, Matches!A:A, Matches!L:L, "NA", 0)</f>
        <v>RCBW</v>
      </c>
      <c r="X1840" t="str">
        <f>_xlfn.XLOOKUP(A1840, Matches!A:A, Matches!J:J, "NA", 0)</f>
        <v>RCBW</v>
      </c>
      <c r="Y1840" t="str">
        <f>_xlfn.XLOOKUP(A1840, Matches!A:A, Matches!F:F, "NA", 0)</f>
        <v>BCA Stadium, Kotambi</v>
      </c>
      <c r="Z1840" cm="1">
        <f t="array" ref="Z1840">INDEX(Innings!F:F,MATCH(1,(TRIM(Innings!A:A)=TRIM(A1840))*(TRIM(Innings!D:D)=TRIM(E1840)),0))</f>
        <v>147</v>
      </c>
      <c r="AA1840" cm="1">
        <f t="array" ref="AA1840">INDEX(Innings!I:I,MATCH(1,(TRIM(Innings!A:A)=TRIM(A1840))*(TRIM(Innings!D:D)=TRIM(E1840)),0))</f>
        <v>11.16</v>
      </c>
      <c r="AB1840" cm="1">
        <f t="array" ref="AB1840">INDEX(Innings!J:J,MATCH(1,(TRIM(Innings!A:A)=TRIM(A1840))*(TRIM(Innings!D:D)=TRIM(E1840)),0))</f>
        <v>63</v>
      </c>
      <c r="AC1840" cm="1">
        <f t="array" ref="AC1840">INDEX(Innings!N:N,MATCH(1,(TRIM(Innings!A:A)=TRIM(A1840))*(TRIM(Innings!D:D)=TRIM(E1840)),0))</f>
        <v>0</v>
      </c>
      <c r="AD1840" cm="1">
        <f t="array" ref="AD1840">INDEX(Innings!S:S,MATCH(1,(TRIM(Innings!A:A)=TRIM(A1840))*(TRIM(Innings!D:D)=TRIM(E1840)),0))</f>
        <v>20</v>
      </c>
      <c r="AE1840" t="str" cm="1">
        <f t="array" ref="AE1840">INDEX(Innings!W:W,MATCH(1,(TRIM(Innings!A:A)=TRIM(A1840))*(TRIM(Innings!D:D)=TRIM(E1840)),0))</f>
        <v>Successful</v>
      </c>
      <c r="AF1840">
        <f>IF(UPPER(TRIM(E1840))=UPPER(TRIM(W1840)),1,0)</f>
        <v>1</v>
      </c>
      <c r="AG1840">
        <f t="shared" si="56"/>
        <v>30.6</v>
      </c>
    </row>
    <row r="1841" spans="1:33" x14ac:dyDescent="0.3">
      <c r="A1841" t="s">
        <v>618</v>
      </c>
      <c r="B1841">
        <v>4</v>
      </c>
      <c r="C1841" t="s">
        <v>176</v>
      </c>
      <c r="D1841" t="s">
        <v>177</v>
      </c>
      <c r="E1841" t="s">
        <v>159</v>
      </c>
      <c r="F1841" t="s">
        <v>85</v>
      </c>
      <c r="G1841" t="s">
        <v>134</v>
      </c>
      <c r="H1841">
        <v>0</v>
      </c>
      <c r="I1841">
        <v>0</v>
      </c>
      <c r="J1841">
        <v>0</v>
      </c>
      <c r="K1841" t="s">
        <v>96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 s="8">
        <v>0</v>
      </c>
      <c r="V1841" s="8">
        <f t="shared" si="57"/>
        <v>0</v>
      </c>
      <c r="W1841" t="str">
        <f>_xlfn.XLOOKUP(A1841, Matches!A:A, Matches!L:L, "NA", 0)</f>
        <v>RCBW</v>
      </c>
      <c r="X1841" t="str">
        <f>_xlfn.XLOOKUP(A1841, Matches!A:A, Matches!J:J, "NA", 0)</f>
        <v>RCBW</v>
      </c>
      <c r="Y1841" t="str">
        <f>_xlfn.XLOOKUP(A1841, Matches!A:A, Matches!F:F, "NA", 0)</f>
        <v>BCA Stadium, Kotambi</v>
      </c>
      <c r="Z1841" cm="1">
        <f t="array" ref="Z1841">INDEX(Innings!F:F,MATCH(1,(TRIM(Innings!A:A)=TRIM(A1841))*(TRIM(Innings!D:D)=TRIM(E1841)),0))</f>
        <v>147</v>
      </c>
      <c r="AA1841" cm="1">
        <f t="array" ref="AA1841">INDEX(Innings!I:I,MATCH(1,(TRIM(Innings!A:A)=TRIM(A1841))*(TRIM(Innings!D:D)=TRIM(E1841)),0))</f>
        <v>11.16</v>
      </c>
      <c r="AB1841" cm="1">
        <f t="array" ref="AB1841">INDEX(Innings!J:J,MATCH(1,(TRIM(Innings!A:A)=TRIM(A1841))*(TRIM(Innings!D:D)=TRIM(E1841)),0))</f>
        <v>63</v>
      </c>
      <c r="AC1841" cm="1">
        <f t="array" ref="AC1841">INDEX(Innings!N:N,MATCH(1,(TRIM(Innings!A:A)=TRIM(A1841))*(TRIM(Innings!D:D)=TRIM(E1841)),0))</f>
        <v>0</v>
      </c>
      <c r="AD1841" cm="1">
        <f t="array" ref="AD1841">INDEX(Innings!S:S,MATCH(1,(TRIM(Innings!A:A)=TRIM(A1841))*(TRIM(Innings!D:D)=TRIM(E1841)),0))</f>
        <v>20</v>
      </c>
      <c r="AE1841" t="str" cm="1">
        <f t="array" ref="AE1841">INDEX(Innings!W:W,MATCH(1,(TRIM(Innings!A:A)=TRIM(A1841))*(TRIM(Innings!D:D)=TRIM(E1841)),0))</f>
        <v>Successful</v>
      </c>
      <c r="AF1841">
        <f>IF(UPPER(TRIM(E1841))=UPPER(TRIM(W1841)),1,0)</f>
        <v>1</v>
      </c>
      <c r="AG1841">
        <f t="shared" si="56"/>
        <v>20</v>
      </c>
    </row>
    <row r="1842" spans="1:33" x14ac:dyDescent="0.3">
      <c r="A1842" t="s">
        <v>618</v>
      </c>
      <c r="B1842">
        <v>4</v>
      </c>
      <c r="C1842" t="s">
        <v>206</v>
      </c>
      <c r="D1842" t="s">
        <v>207</v>
      </c>
      <c r="E1842" t="s">
        <v>159</v>
      </c>
      <c r="F1842" t="s">
        <v>169</v>
      </c>
      <c r="G1842" t="s">
        <v>104</v>
      </c>
      <c r="H1842">
        <v>0</v>
      </c>
      <c r="I1842">
        <v>0</v>
      </c>
      <c r="J1842">
        <v>0</v>
      </c>
      <c r="K1842" t="s">
        <v>104</v>
      </c>
      <c r="L1842">
        <v>0</v>
      </c>
      <c r="M1842">
        <v>2</v>
      </c>
      <c r="N1842">
        <v>0</v>
      </c>
      <c r="O1842">
        <v>11</v>
      </c>
      <c r="P1842">
        <v>0</v>
      </c>
      <c r="Q1842">
        <v>5.5</v>
      </c>
      <c r="R1842">
        <v>0</v>
      </c>
      <c r="S1842">
        <v>0</v>
      </c>
      <c r="T1842">
        <v>0</v>
      </c>
      <c r="U1842" s="8">
        <v>0</v>
      </c>
      <c r="V1842" s="8">
        <f t="shared" si="57"/>
        <v>0</v>
      </c>
      <c r="W1842" t="str">
        <f>_xlfn.XLOOKUP(A1842, Matches!A:A, Matches!L:L, "NA", 0)</f>
        <v>RCBW</v>
      </c>
      <c r="X1842" t="str">
        <f>_xlfn.XLOOKUP(A1842, Matches!A:A, Matches!J:J, "NA", 0)</f>
        <v>RCBW</v>
      </c>
      <c r="Y1842" t="str">
        <f>_xlfn.XLOOKUP(A1842, Matches!A:A, Matches!F:F, "NA", 0)</f>
        <v>BCA Stadium, Kotambi</v>
      </c>
      <c r="Z1842" cm="1">
        <f t="array" ref="Z1842">INDEX(Innings!F:F,MATCH(1,(TRIM(Innings!A:A)=TRIM(A1842))*(TRIM(Innings!D:D)=TRIM(E1842)),0))</f>
        <v>147</v>
      </c>
      <c r="AA1842" cm="1">
        <f t="array" ref="AA1842">INDEX(Innings!I:I,MATCH(1,(TRIM(Innings!A:A)=TRIM(A1842))*(TRIM(Innings!D:D)=TRIM(E1842)),0))</f>
        <v>11.16</v>
      </c>
      <c r="AB1842" cm="1">
        <f t="array" ref="AB1842">INDEX(Innings!J:J,MATCH(1,(TRIM(Innings!A:A)=TRIM(A1842))*(TRIM(Innings!D:D)=TRIM(E1842)),0))</f>
        <v>63</v>
      </c>
      <c r="AC1842" cm="1">
        <f t="array" ref="AC1842">INDEX(Innings!N:N,MATCH(1,(TRIM(Innings!A:A)=TRIM(A1842))*(TRIM(Innings!D:D)=TRIM(E1842)),0))</f>
        <v>0</v>
      </c>
      <c r="AD1842" cm="1">
        <f t="array" ref="AD1842">INDEX(Innings!S:S,MATCH(1,(TRIM(Innings!A:A)=TRIM(A1842))*(TRIM(Innings!D:D)=TRIM(E1842)),0))</f>
        <v>20</v>
      </c>
      <c r="AE1842" t="str" cm="1">
        <f t="array" ref="AE1842">INDEX(Innings!W:W,MATCH(1,(TRIM(Innings!A:A)=TRIM(A1842))*(TRIM(Innings!D:D)=TRIM(E1842)),0))</f>
        <v>Successful</v>
      </c>
      <c r="AF1842">
        <f>IF(UPPER(TRIM(E1842))=UPPER(TRIM(W1842)),1,0)</f>
        <v>1</v>
      </c>
      <c r="AG1842">
        <f t="shared" si="56"/>
        <v>20</v>
      </c>
    </row>
    <row r="1843" spans="1:33" x14ac:dyDescent="0.3">
      <c r="A1843" t="s">
        <v>618</v>
      </c>
      <c r="B1843">
        <v>4</v>
      </c>
      <c r="C1843" t="s">
        <v>449</v>
      </c>
      <c r="D1843" t="s">
        <v>410</v>
      </c>
      <c r="E1843" t="s">
        <v>159</v>
      </c>
      <c r="F1843" t="s">
        <v>169</v>
      </c>
      <c r="G1843" t="s">
        <v>104</v>
      </c>
      <c r="H1843">
        <v>0</v>
      </c>
      <c r="I1843">
        <v>0</v>
      </c>
      <c r="J1843">
        <v>0</v>
      </c>
      <c r="K1843" t="s">
        <v>104</v>
      </c>
      <c r="L1843">
        <v>0</v>
      </c>
      <c r="M1843">
        <v>4</v>
      </c>
      <c r="N1843">
        <v>0</v>
      </c>
      <c r="O1843">
        <v>22</v>
      </c>
      <c r="P1843">
        <v>4</v>
      </c>
      <c r="Q1843">
        <v>5.5</v>
      </c>
      <c r="R1843">
        <v>80</v>
      </c>
      <c r="S1843">
        <v>0</v>
      </c>
      <c r="T1843">
        <v>0</v>
      </c>
      <c r="U1843" s="8">
        <v>80</v>
      </c>
      <c r="V1843" s="8">
        <f t="shared" si="57"/>
        <v>8</v>
      </c>
      <c r="W1843" t="str">
        <f>_xlfn.XLOOKUP(A1843, Matches!A:A, Matches!L:L, "NA", 0)</f>
        <v>RCBW</v>
      </c>
      <c r="X1843" t="str">
        <f>_xlfn.XLOOKUP(A1843, Matches!A:A, Matches!J:J, "NA", 0)</f>
        <v>RCBW</v>
      </c>
      <c r="Y1843" t="str">
        <f>_xlfn.XLOOKUP(A1843, Matches!A:A, Matches!F:F, "NA", 0)</f>
        <v>BCA Stadium, Kotambi</v>
      </c>
      <c r="Z1843" cm="1">
        <f t="array" ref="Z1843">INDEX(Innings!F:F,MATCH(1,(TRIM(Innings!A:A)=TRIM(A1843))*(TRIM(Innings!D:D)=TRIM(E1843)),0))</f>
        <v>147</v>
      </c>
      <c r="AA1843" cm="1">
        <f t="array" ref="AA1843">INDEX(Innings!I:I,MATCH(1,(TRIM(Innings!A:A)=TRIM(A1843))*(TRIM(Innings!D:D)=TRIM(E1843)),0))</f>
        <v>11.16</v>
      </c>
      <c r="AB1843" cm="1">
        <f t="array" ref="AB1843">INDEX(Innings!J:J,MATCH(1,(TRIM(Innings!A:A)=TRIM(A1843))*(TRIM(Innings!D:D)=TRIM(E1843)),0))</f>
        <v>63</v>
      </c>
      <c r="AC1843" cm="1">
        <f t="array" ref="AC1843">INDEX(Innings!N:N,MATCH(1,(TRIM(Innings!A:A)=TRIM(A1843))*(TRIM(Innings!D:D)=TRIM(E1843)),0))</f>
        <v>0</v>
      </c>
      <c r="AD1843" cm="1">
        <f t="array" ref="AD1843">INDEX(Innings!S:S,MATCH(1,(TRIM(Innings!A:A)=TRIM(A1843))*(TRIM(Innings!D:D)=TRIM(E1843)),0))</f>
        <v>20</v>
      </c>
      <c r="AE1843" t="str" cm="1">
        <f t="array" ref="AE1843">INDEX(Innings!W:W,MATCH(1,(TRIM(Innings!A:A)=TRIM(A1843))*(TRIM(Innings!D:D)=TRIM(E1843)),0))</f>
        <v>Successful</v>
      </c>
      <c r="AF1843">
        <f>IF(UPPER(TRIM(E1843))=UPPER(TRIM(W1843)),1,0)</f>
        <v>1</v>
      </c>
      <c r="AG1843">
        <f t="shared" si="56"/>
        <v>62.4</v>
      </c>
    </row>
    <row r="1844" spans="1:33" x14ac:dyDescent="0.3">
      <c r="A1844" t="s">
        <v>618</v>
      </c>
      <c r="B1844">
        <v>4</v>
      </c>
      <c r="C1844" t="s">
        <v>123</v>
      </c>
      <c r="D1844" t="s">
        <v>98</v>
      </c>
      <c r="E1844" t="s">
        <v>159</v>
      </c>
      <c r="F1844" t="s">
        <v>169</v>
      </c>
      <c r="G1844" t="s">
        <v>104</v>
      </c>
      <c r="H1844">
        <v>0</v>
      </c>
      <c r="I1844">
        <v>0</v>
      </c>
      <c r="J1844">
        <v>0</v>
      </c>
      <c r="K1844" t="s">
        <v>104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 s="8">
        <v>0</v>
      </c>
      <c r="V1844" s="8">
        <f t="shared" si="57"/>
        <v>0</v>
      </c>
      <c r="W1844" t="str">
        <f>_xlfn.XLOOKUP(A1844, Matches!A:A, Matches!L:L, "NA", 0)</f>
        <v>RCBW</v>
      </c>
      <c r="X1844" t="str">
        <f>_xlfn.XLOOKUP(A1844, Matches!A:A, Matches!J:J, "NA", 0)</f>
        <v>RCBW</v>
      </c>
      <c r="Y1844" t="str">
        <f>_xlfn.XLOOKUP(A1844, Matches!A:A, Matches!F:F, "NA", 0)</f>
        <v>BCA Stadium, Kotambi</v>
      </c>
      <c r="Z1844" cm="1">
        <f t="array" ref="Z1844">INDEX(Innings!F:F,MATCH(1,(TRIM(Innings!A:A)=TRIM(A1844))*(TRIM(Innings!D:D)=TRIM(E1844)),0))</f>
        <v>147</v>
      </c>
      <c r="AA1844" cm="1">
        <f t="array" ref="AA1844">INDEX(Innings!I:I,MATCH(1,(TRIM(Innings!A:A)=TRIM(A1844))*(TRIM(Innings!D:D)=TRIM(E1844)),0))</f>
        <v>11.16</v>
      </c>
      <c r="AB1844" cm="1">
        <f t="array" ref="AB1844">INDEX(Innings!J:J,MATCH(1,(TRIM(Innings!A:A)=TRIM(A1844))*(TRIM(Innings!D:D)=TRIM(E1844)),0))</f>
        <v>63</v>
      </c>
      <c r="AC1844" cm="1">
        <f t="array" ref="AC1844">INDEX(Innings!N:N,MATCH(1,(TRIM(Innings!A:A)=TRIM(A1844))*(TRIM(Innings!D:D)=TRIM(E1844)),0))</f>
        <v>0</v>
      </c>
      <c r="AD1844" cm="1">
        <f t="array" ref="AD1844">INDEX(Innings!S:S,MATCH(1,(TRIM(Innings!A:A)=TRIM(A1844))*(TRIM(Innings!D:D)=TRIM(E1844)),0))</f>
        <v>20</v>
      </c>
      <c r="AE1844" t="str" cm="1">
        <f t="array" ref="AE1844">INDEX(Innings!W:W,MATCH(1,(TRIM(Innings!A:A)=TRIM(A1844))*(TRIM(Innings!D:D)=TRIM(E1844)),0))</f>
        <v>Successful</v>
      </c>
      <c r="AF1844">
        <f>IF(UPPER(TRIM(E1844))=UPPER(TRIM(W1844)),1,0)</f>
        <v>1</v>
      </c>
      <c r="AG1844">
        <f t="shared" si="56"/>
        <v>20</v>
      </c>
    </row>
    <row r="1845" spans="1:33" x14ac:dyDescent="0.3">
      <c r="A1845" t="s">
        <v>618</v>
      </c>
      <c r="B1845">
        <v>4</v>
      </c>
      <c r="C1845" t="s">
        <v>202</v>
      </c>
      <c r="D1845" t="s">
        <v>203</v>
      </c>
      <c r="E1845" t="s">
        <v>159</v>
      </c>
      <c r="F1845" t="s">
        <v>101</v>
      </c>
      <c r="G1845" t="s">
        <v>104</v>
      </c>
      <c r="H1845">
        <v>0</v>
      </c>
      <c r="I1845">
        <v>0</v>
      </c>
      <c r="J1845">
        <v>0</v>
      </c>
      <c r="K1845" t="s">
        <v>104</v>
      </c>
      <c r="L1845">
        <v>0</v>
      </c>
      <c r="M1845">
        <v>1</v>
      </c>
      <c r="N1845">
        <v>0</v>
      </c>
      <c r="O1845">
        <v>14</v>
      </c>
      <c r="P1845">
        <v>0</v>
      </c>
      <c r="Q1845">
        <v>14</v>
      </c>
      <c r="R1845">
        <v>0</v>
      </c>
      <c r="S1845">
        <v>0</v>
      </c>
      <c r="T1845">
        <v>0</v>
      </c>
      <c r="U1845" s="8">
        <v>0</v>
      </c>
      <c r="V1845" s="8">
        <f t="shared" si="57"/>
        <v>0</v>
      </c>
      <c r="W1845" t="str">
        <f>_xlfn.XLOOKUP(A1845, Matches!A:A, Matches!L:L, "NA", 0)</f>
        <v>RCBW</v>
      </c>
      <c r="X1845" t="str">
        <f>_xlfn.XLOOKUP(A1845, Matches!A:A, Matches!J:J, "NA", 0)</f>
        <v>RCBW</v>
      </c>
      <c r="Y1845" t="str">
        <f>_xlfn.XLOOKUP(A1845, Matches!A:A, Matches!F:F, "NA", 0)</f>
        <v>BCA Stadium, Kotambi</v>
      </c>
      <c r="Z1845" cm="1">
        <f t="array" ref="Z1845">INDEX(Innings!F:F,MATCH(1,(TRIM(Innings!A:A)=TRIM(A1845))*(TRIM(Innings!D:D)=TRIM(E1845)),0))</f>
        <v>147</v>
      </c>
      <c r="AA1845" cm="1">
        <f t="array" ref="AA1845">INDEX(Innings!I:I,MATCH(1,(TRIM(Innings!A:A)=TRIM(A1845))*(TRIM(Innings!D:D)=TRIM(E1845)),0))</f>
        <v>11.16</v>
      </c>
      <c r="AB1845" cm="1">
        <f t="array" ref="AB1845">INDEX(Innings!J:J,MATCH(1,(TRIM(Innings!A:A)=TRIM(A1845))*(TRIM(Innings!D:D)=TRIM(E1845)),0))</f>
        <v>63</v>
      </c>
      <c r="AC1845" cm="1">
        <f t="array" ref="AC1845">INDEX(Innings!N:N,MATCH(1,(TRIM(Innings!A:A)=TRIM(A1845))*(TRIM(Innings!D:D)=TRIM(E1845)),0))</f>
        <v>0</v>
      </c>
      <c r="AD1845" cm="1">
        <f t="array" ref="AD1845">INDEX(Innings!S:S,MATCH(1,(TRIM(Innings!A:A)=TRIM(A1845))*(TRIM(Innings!D:D)=TRIM(E1845)),0))</f>
        <v>20</v>
      </c>
      <c r="AE1845" t="str" cm="1">
        <f t="array" ref="AE1845">INDEX(Innings!W:W,MATCH(1,(TRIM(Innings!A:A)=TRIM(A1845))*(TRIM(Innings!D:D)=TRIM(E1845)),0))</f>
        <v>Successful</v>
      </c>
      <c r="AF1845">
        <f>IF(UPPER(TRIM(E1845))=UPPER(TRIM(W1845)),1,0)</f>
        <v>1</v>
      </c>
      <c r="AG1845">
        <f t="shared" si="56"/>
        <v>20</v>
      </c>
    </row>
    <row r="1846" spans="1:33" x14ac:dyDescent="0.3">
      <c r="A1846" t="s">
        <v>618</v>
      </c>
      <c r="B1846">
        <v>4</v>
      </c>
      <c r="C1846" t="s">
        <v>415</v>
      </c>
      <c r="D1846" t="s">
        <v>425</v>
      </c>
      <c r="E1846" t="s">
        <v>159</v>
      </c>
      <c r="F1846" t="s">
        <v>101</v>
      </c>
      <c r="G1846" t="s">
        <v>104</v>
      </c>
      <c r="H1846">
        <v>0</v>
      </c>
      <c r="I1846">
        <v>0</v>
      </c>
      <c r="J1846">
        <v>0</v>
      </c>
      <c r="K1846" t="s">
        <v>104</v>
      </c>
      <c r="L1846">
        <v>0</v>
      </c>
      <c r="M1846">
        <v>2</v>
      </c>
      <c r="N1846">
        <v>0</v>
      </c>
      <c r="O1846">
        <v>21</v>
      </c>
      <c r="P1846">
        <v>0</v>
      </c>
      <c r="Q1846">
        <v>10.5</v>
      </c>
      <c r="R1846">
        <v>0</v>
      </c>
      <c r="S1846">
        <v>0</v>
      </c>
      <c r="T1846">
        <v>0</v>
      </c>
      <c r="U1846" s="8">
        <v>0</v>
      </c>
      <c r="V1846" s="8">
        <f t="shared" si="57"/>
        <v>0</v>
      </c>
      <c r="W1846" t="str">
        <f>_xlfn.XLOOKUP(A1846, Matches!A:A, Matches!L:L, "NA", 0)</f>
        <v>RCBW</v>
      </c>
      <c r="X1846" t="str">
        <f>_xlfn.XLOOKUP(A1846, Matches!A:A, Matches!J:J, "NA", 0)</f>
        <v>RCBW</v>
      </c>
      <c r="Y1846" t="str">
        <f>_xlfn.XLOOKUP(A1846, Matches!A:A, Matches!F:F, "NA", 0)</f>
        <v>BCA Stadium, Kotambi</v>
      </c>
      <c r="Z1846" cm="1">
        <f t="array" ref="Z1846">INDEX(Innings!F:F,MATCH(1,(TRIM(Innings!A:A)=TRIM(A1846))*(TRIM(Innings!D:D)=TRIM(E1846)),0))</f>
        <v>147</v>
      </c>
      <c r="AA1846" cm="1">
        <f t="array" ref="AA1846">INDEX(Innings!I:I,MATCH(1,(TRIM(Innings!A:A)=TRIM(A1846))*(TRIM(Innings!D:D)=TRIM(E1846)),0))</f>
        <v>11.16</v>
      </c>
      <c r="AB1846" cm="1">
        <f t="array" ref="AB1846">INDEX(Innings!J:J,MATCH(1,(TRIM(Innings!A:A)=TRIM(A1846))*(TRIM(Innings!D:D)=TRIM(E1846)),0))</f>
        <v>63</v>
      </c>
      <c r="AC1846" cm="1">
        <f t="array" ref="AC1846">INDEX(Innings!N:N,MATCH(1,(TRIM(Innings!A:A)=TRIM(A1846))*(TRIM(Innings!D:D)=TRIM(E1846)),0))</f>
        <v>0</v>
      </c>
      <c r="AD1846" cm="1">
        <f t="array" ref="AD1846">INDEX(Innings!S:S,MATCH(1,(TRIM(Innings!A:A)=TRIM(A1846))*(TRIM(Innings!D:D)=TRIM(E1846)),0))</f>
        <v>20</v>
      </c>
      <c r="AE1846" t="str" cm="1">
        <f t="array" ref="AE1846">INDEX(Innings!W:W,MATCH(1,(TRIM(Innings!A:A)=TRIM(A1846))*(TRIM(Innings!D:D)=TRIM(E1846)),0))</f>
        <v>Successful</v>
      </c>
      <c r="AF1846">
        <f>IF(UPPER(TRIM(E1846))=UPPER(TRIM(W1846)),1,0)</f>
        <v>1</v>
      </c>
      <c r="AG1846">
        <f t="shared" si="56"/>
        <v>20</v>
      </c>
    </row>
    <row r="1847" spans="1:33" x14ac:dyDescent="0.3">
      <c r="A1847" t="s">
        <v>618</v>
      </c>
      <c r="B1847">
        <v>4</v>
      </c>
      <c r="C1847" t="s">
        <v>259</v>
      </c>
      <c r="D1847" t="s">
        <v>257</v>
      </c>
      <c r="E1847" t="s">
        <v>159</v>
      </c>
      <c r="F1847" t="s">
        <v>169</v>
      </c>
      <c r="G1847" t="s">
        <v>104</v>
      </c>
      <c r="H1847">
        <v>0</v>
      </c>
      <c r="I1847">
        <v>0</v>
      </c>
      <c r="J1847">
        <v>0</v>
      </c>
      <c r="K1847" t="s">
        <v>104</v>
      </c>
      <c r="L1847">
        <v>0</v>
      </c>
      <c r="M1847">
        <v>4</v>
      </c>
      <c r="N1847">
        <v>0</v>
      </c>
      <c r="O1847">
        <v>27</v>
      </c>
      <c r="P1847">
        <v>1</v>
      </c>
      <c r="Q1847">
        <v>6.8</v>
      </c>
      <c r="R1847">
        <v>25</v>
      </c>
      <c r="S1847">
        <v>0</v>
      </c>
      <c r="T1847">
        <v>0</v>
      </c>
      <c r="U1847" s="8">
        <v>25</v>
      </c>
      <c r="V1847" s="8">
        <f t="shared" si="57"/>
        <v>3</v>
      </c>
      <c r="W1847" t="str">
        <f>_xlfn.XLOOKUP(A1847, Matches!A:A, Matches!L:L, "NA", 0)</f>
        <v>RCBW</v>
      </c>
      <c r="X1847" t="str">
        <f>_xlfn.XLOOKUP(A1847, Matches!A:A, Matches!J:J, "NA", 0)</f>
        <v>RCBW</v>
      </c>
      <c r="Y1847" t="str">
        <f>_xlfn.XLOOKUP(A1847, Matches!A:A, Matches!F:F, "NA", 0)</f>
        <v>BCA Stadium, Kotambi</v>
      </c>
      <c r="Z1847" cm="1">
        <f t="array" ref="Z1847">INDEX(Innings!F:F,MATCH(1,(TRIM(Innings!A:A)=TRIM(A1847))*(TRIM(Innings!D:D)=TRIM(E1847)),0))</f>
        <v>147</v>
      </c>
      <c r="AA1847" cm="1">
        <f t="array" ref="AA1847">INDEX(Innings!I:I,MATCH(1,(TRIM(Innings!A:A)=TRIM(A1847))*(TRIM(Innings!D:D)=TRIM(E1847)),0))</f>
        <v>11.16</v>
      </c>
      <c r="AB1847" cm="1">
        <f t="array" ref="AB1847">INDEX(Innings!J:J,MATCH(1,(TRIM(Innings!A:A)=TRIM(A1847))*(TRIM(Innings!D:D)=TRIM(E1847)),0))</f>
        <v>63</v>
      </c>
      <c r="AC1847" cm="1">
        <f t="array" ref="AC1847">INDEX(Innings!N:N,MATCH(1,(TRIM(Innings!A:A)=TRIM(A1847))*(TRIM(Innings!D:D)=TRIM(E1847)),0))</f>
        <v>0</v>
      </c>
      <c r="AD1847" cm="1">
        <f t="array" ref="AD1847">INDEX(Innings!S:S,MATCH(1,(TRIM(Innings!A:A)=TRIM(A1847))*(TRIM(Innings!D:D)=TRIM(E1847)),0))</f>
        <v>20</v>
      </c>
      <c r="AE1847" t="str" cm="1">
        <f t="array" ref="AE1847">INDEX(Innings!W:W,MATCH(1,(TRIM(Innings!A:A)=TRIM(A1847))*(TRIM(Innings!D:D)=TRIM(E1847)),0))</f>
        <v>Successful</v>
      </c>
      <c r="AF1847">
        <f>IF(UPPER(TRIM(E1847))=UPPER(TRIM(W1847)),1,0)</f>
        <v>1</v>
      </c>
      <c r="AG1847">
        <f t="shared" si="56"/>
        <v>33.4</v>
      </c>
    </row>
    <row r="1848" spans="1:33" x14ac:dyDescent="0.3">
      <c r="A1848" t="s">
        <v>618</v>
      </c>
      <c r="B1848">
        <v>4</v>
      </c>
      <c r="C1848" t="s">
        <v>527</v>
      </c>
      <c r="D1848" t="s">
        <v>627</v>
      </c>
      <c r="E1848" t="s">
        <v>159</v>
      </c>
      <c r="F1848" t="s">
        <v>101</v>
      </c>
      <c r="G1848" t="s">
        <v>104</v>
      </c>
      <c r="H1848">
        <v>0</v>
      </c>
      <c r="I1848">
        <v>0</v>
      </c>
      <c r="J1848">
        <v>0</v>
      </c>
      <c r="K1848" t="s">
        <v>104</v>
      </c>
      <c r="L1848">
        <v>0</v>
      </c>
      <c r="M1848">
        <v>4</v>
      </c>
      <c r="N1848">
        <v>0</v>
      </c>
      <c r="O1848">
        <v>21</v>
      </c>
      <c r="P1848">
        <v>1</v>
      </c>
      <c r="Q1848">
        <v>5.2</v>
      </c>
      <c r="R1848">
        <v>25</v>
      </c>
      <c r="S1848">
        <v>0</v>
      </c>
      <c r="T1848">
        <v>0</v>
      </c>
      <c r="U1848" s="8">
        <v>25</v>
      </c>
      <c r="V1848" s="8">
        <f t="shared" si="57"/>
        <v>3</v>
      </c>
      <c r="W1848" t="str">
        <f>_xlfn.XLOOKUP(A1848, Matches!A:A, Matches!L:L, "NA", 0)</f>
        <v>RCBW</v>
      </c>
      <c r="X1848" t="str">
        <f>_xlfn.XLOOKUP(A1848, Matches!A:A, Matches!J:J, "NA", 0)</f>
        <v>RCBW</v>
      </c>
      <c r="Y1848" t="str">
        <f>_xlfn.XLOOKUP(A1848, Matches!A:A, Matches!F:F, "NA", 0)</f>
        <v>BCA Stadium, Kotambi</v>
      </c>
      <c r="Z1848" cm="1">
        <f t="array" ref="Z1848">INDEX(Innings!F:F,MATCH(1,(TRIM(Innings!A:A)=TRIM(A1848))*(TRIM(Innings!D:D)=TRIM(E1848)),0))</f>
        <v>147</v>
      </c>
      <c r="AA1848" cm="1">
        <f t="array" ref="AA1848">INDEX(Innings!I:I,MATCH(1,(TRIM(Innings!A:A)=TRIM(A1848))*(TRIM(Innings!D:D)=TRIM(E1848)),0))</f>
        <v>11.16</v>
      </c>
      <c r="AB1848" cm="1">
        <f t="array" ref="AB1848">INDEX(Innings!J:J,MATCH(1,(TRIM(Innings!A:A)=TRIM(A1848))*(TRIM(Innings!D:D)=TRIM(E1848)),0))</f>
        <v>63</v>
      </c>
      <c r="AC1848" cm="1">
        <f t="array" ref="AC1848">INDEX(Innings!N:N,MATCH(1,(TRIM(Innings!A:A)=TRIM(A1848))*(TRIM(Innings!D:D)=TRIM(E1848)),0))</f>
        <v>0</v>
      </c>
      <c r="AD1848" cm="1">
        <f t="array" ref="AD1848">INDEX(Innings!S:S,MATCH(1,(TRIM(Innings!A:A)=TRIM(A1848))*(TRIM(Innings!D:D)=TRIM(E1848)),0))</f>
        <v>20</v>
      </c>
      <c r="AE1848" t="str" cm="1">
        <f t="array" ref="AE1848">INDEX(Innings!W:W,MATCH(1,(TRIM(Innings!A:A)=TRIM(A1848))*(TRIM(Innings!D:D)=TRIM(E1848)),0))</f>
        <v>Successful</v>
      </c>
      <c r="AF1848">
        <f>IF(UPPER(TRIM(E1848))=UPPER(TRIM(W1848)),1,0)</f>
        <v>1</v>
      </c>
      <c r="AG1848">
        <f t="shared" si="56"/>
        <v>33.4</v>
      </c>
    </row>
    <row r="1849" spans="1:33" x14ac:dyDescent="0.3">
      <c r="A1849" t="s">
        <v>619</v>
      </c>
      <c r="B1849">
        <v>4</v>
      </c>
      <c r="C1849" t="s">
        <v>81</v>
      </c>
      <c r="D1849" t="s">
        <v>114</v>
      </c>
      <c r="E1849" t="s">
        <v>258</v>
      </c>
      <c r="F1849" t="s">
        <v>85</v>
      </c>
      <c r="G1849" t="s">
        <v>86</v>
      </c>
      <c r="H1849">
        <v>5</v>
      </c>
      <c r="I1849">
        <v>8</v>
      </c>
      <c r="J1849">
        <v>62.5</v>
      </c>
      <c r="K1849" t="s">
        <v>246</v>
      </c>
      <c r="L1849">
        <v>5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 s="8">
        <v>5</v>
      </c>
      <c r="V1849" s="8">
        <f t="shared" si="57"/>
        <v>1</v>
      </c>
      <c r="W1849" t="str">
        <f>_xlfn.XLOOKUP(A1849, Matches!A:A, Matches!L:L, "NA", 0)</f>
        <v>GGTW</v>
      </c>
      <c r="X1849" t="str">
        <f>_xlfn.XLOOKUP(A1849, Matches!A:A, Matches!J:J, "NA", 0)</f>
        <v>GGTW</v>
      </c>
      <c r="Y1849" t="str">
        <f>_xlfn.XLOOKUP(A1849, Matches!A:A, Matches!F:F, "NA", 0)</f>
        <v>BCA Stadium, Kotambi</v>
      </c>
      <c r="Z1849" cm="1">
        <f t="array" ref="Z1849">INDEX(Innings!F:F,MATCH(1,(TRIM(Innings!A:A)=TRIM(A1849))*(TRIM(Innings!D:D)=TRIM(E1849)),0))</f>
        <v>167</v>
      </c>
      <c r="AA1849" cm="1">
        <f t="array" ref="AA1849">INDEX(Innings!I:I,MATCH(1,(TRIM(Innings!A:A)=TRIM(A1849))*(TRIM(Innings!D:D)=TRIM(E1849)),0))</f>
        <v>8.35</v>
      </c>
      <c r="AB1849" cm="1">
        <f t="array" ref="AB1849">INDEX(Innings!J:J,MATCH(1,(TRIM(Innings!A:A)=TRIM(A1849))*(TRIM(Innings!D:D)=TRIM(E1849)),0))</f>
        <v>48</v>
      </c>
      <c r="AC1849" cm="1">
        <f t="array" ref="AC1849">INDEX(Innings!N:N,MATCH(1,(TRIM(Innings!A:A)=TRIM(A1849))*(TRIM(Innings!D:D)=TRIM(E1849)),0))</f>
        <v>42</v>
      </c>
      <c r="AD1849" cm="1">
        <f t="array" ref="AD1849">INDEX(Innings!S:S,MATCH(1,(TRIM(Innings!A:A)=TRIM(A1849))*(TRIM(Innings!D:D)=TRIM(E1849)),0))</f>
        <v>33</v>
      </c>
      <c r="AE1849" t="str" cm="1">
        <f t="array" ref="AE1849">INDEX(Innings!W:W,MATCH(1,(TRIM(Innings!A:A)=TRIM(A1849))*(TRIM(Innings!D:D)=TRIM(E1849)),0))</f>
        <v>NA</v>
      </c>
      <c r="AF1849">
        <f>IF(UPPER(TRIM(E1849))=UPPER(TRIM(W1849)),1,0)</f>
        <v>1</v>
      </c>
      <c r="AG1849">
        <f t="shared" si="56"/>
        <v>22.8</v>
      </c>
    </row>
    <row r="1850" spans="1:33" x14ac:dyDescent="0.3">
      <c r="A1850" t="s">
        <v>619</v>
      </c>
      <c r="B1850">
        <v>4</v>
      </c>
      <c r="C1850" t="s">
        <v>167</v>
      </c>
      <c r="D1850" t="s">
        <v>168</v>
      </c>
      <c r="E1850" t="s">
        <v>258</v>
      </c>
      <c r="F1850" t="s">
        <v>169</v>
      </c>
      <c r="G1850" t="s">
        <v>92</v>
      </c>
      <c r="H1850">
        <v>25</v>
      </c>
      <c r="I1850">
        <v>21</v>
      </c>
      <c r="J1850">
        <v>119.05</v>
      </c>
      <c r="K1850" t="s">
        <v>246</v>
      </c>
      <c r="L1850">
        <v>30</v>
      </c>
      <c r="M1850">
        <v>4</v>
      </c>
      <c r="N1850">
        <v>1</v>
      </c>
      <c r="O1850">
        <v>23</v>
      </c>
      <c r="P1850">
        <v>2</v>
      </c>
      <c r="Q1850">
        <v>5.8</v>
      </c>
      <c r="R1850">
        <v>50</v>
      </c>
      <c r="S1850">
        <v>0</v>
      </c>
      <c r="T1850">
        <v>0</v>
      </c>
      <c r="U1850" s="8">
        <v>80</v>
      </c>
      <c r="V1850" s="8">
        <f t="shared" si="57"/>
        <v>8</v>
      </c>
      <c r="W1850" t="str">
        <f>_xlfn.XLOOKUP(A1850, Matches!A:A, Matches!L:L, "NA", 0)</f>
        <v>GGTW</v>
      </c>
      <c r="X1850" t="str">
        <f>_xlfn.XLOOKUP(A1850, Matches!A:A, Matches!J:J, "NA", 0)</f>
        <v>GGTW</v>
      </c>
      <c r="Y1850" t="str">
        <f>_xlfn.XLOOKUP(A1850, Matches!A:A, Matches!F:F, "NA", 0)</f>
        <v>BCA Stadium, Kotambi</v>
      </c>
      <c r="Z1850" cm="1">
        <f t="array" ref="Z1850">INDEX(Innings!F:F,MATCH(1,(TRIM(Innings!A:A)=TRIM(A1850))*(TRIM(Innings!D:D)=TRIM(E1850)),0))</f>
        <v>167</v>
      </c>
      <c r="AA1850" cm="1">
        <f t="array" ref="AA1850">INDEX(Innings!I:I,MATCH(1,(TRIM(Innings!A:A)=TRIM(A1850))*(TRIM(Innings!D:D)=TRIM(E1850)),0))</f>
        <v>8.35</v>
      </c>
      <c r="AB1850" cm="1">
        <f t="array" ref="AB1850">INDEX(Innings!J:J,MATCH(1,(TRIM(Innings!A:A)=TRIM(A1850))*(TRIM(Innings!D:D)=TRIM(E1850)),0))</f>
        <v>48</v>
      </c>
      <c r="AC1850" cm="1">
        <f t="array" ref="AC1850">INDEX(Innings!N:N,MATCH(1,(TRIM(Innings!A:A)=TRIM(A1850))*(TRIM(Innings!D:D)=TRIM(E1850)),0))</f>
        <v>42</v>
      </c>
      <c r="AD1850" cm="1">
        <f t="array" ref="AD1850">INDEX(Innings!S:S,MATCH(1,(TRIM(Innings!A:A)=TRIM(A1850))*(TRIM(Innings!D:D)=TRIM(E1850)),0))</f>
        <v>33</v>
      </c>
      <c r="AE1850" t="str" cm="1">
        <f t="array" ref="AE1850">INDEX(Innings!W:W,MATCH(1,(TRIM(Innings!A:A)=TRIM(A1850))*(TRIM(Innings!D:D)=TRIM(E1850)),0))</f>
        <v>NA</v>
      </c>
      <c r="AF1850">
        <f>IF(UPPER(TRIM(E1850))=UPPER(TRIM(W1850)),1,0)</f>
        <v>1</v>
      </c>
      <c r="AG1850">
        <f t="shared" si="56"/>
        <v>62.4</v>
      </c>
    </row>
    <row r="1851" spans="1:33" x14ac:dyDescent="0.3">
      <c r="A1851" t="s">
        <v>619</v>
      </c>
      <c r="B1851">
        <v>4</v>
      </c>
      <c r="C1851" t="s">
        <v>529</v>
      </c>
      <c r="D1851" t="s">
        <v>632</v>
      </c>
      <c r="E1851" t="s">
        <v>258</v>
      </c>
      <c r="F1851" t="s">
        <v>109</v>
      </c>
      <c r="G1851" t="s">
        <v>92</v>
      </c>
      <c r="H1851">
        <v>33</v>
      </c>
      <c r="I1851">
        <v>31</v>
      </c>
      <c r="J1851">
        <v>106.45</v>
      </c>
      <c r="K1851" t="s">
        <v>246</v>
      </c>
      <c r="L1851">
        <v>35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 s="8">
        <v>35</v>
      </c>
      <c r="V1851" s="8">
        <f t="shared" si="57"/>
        <v>4</v>
      </c>
      <c r="W1851" t="str">
        <f>_xlfn.XLOOKUP(A1851, Matches!A:A, Matches!L:L, "NA", 0)</f>
        <v>GGTW</v>
      </c>
      <c r="X1851" t="str">
        <f>_xlfn.XLOOKUP(A1851, Matches!A:A, Matches!J:J, "NA", 0)</f>
        <v>GGTW</v>
      </c>
      <c r="Y1851" t="str">
        <f>_xlfn.XLOOKUP(A1851, Matches!A:A, Matches!F:F, "NA", 0)</f>
        <v>BCA Stadium, Kotambi</v>
      </c>
      <c r="Z1851" cm="1">
        <f t="array" ref="Z1851">INDEX(Innings!F:F,MATCH(1,(TRIM(Innings!A:A)=TRIM(A1851))*(TRIM(Innings!D:D)=TRIM(E1851)),0))</f>
        <v>167</v>
      </c>
      <c r="AA1851" cm="1">
        <f t="array" ref="AA1851">INDEX(Innings!I:I,MATCH(1,(TRIM(Innings!A:A)=TRIM(A1851))*(TRIM(Innings!D:D)=TRIM(E1851)),0))</f>
        <v>8.35</v>
      </c>
      <c r="AB1851" cm="1">
        <f t="array" ref="AB1851">INDEX(Innings!J:J,MATCH(1,(TRIM(Innings!A:A)=TRIM(A1851))*(TRIM(Innings!D:D)=TRIM(E1851)),0))</f>
        <v>48</v>
      </c>
      <c r="AC1851" cm="1">
        <f t="array" ref="AC1851">INDEX(Innings!N:N,MATCH(1,(TRIM(Innings!A:A)=TRIM(A1851))*(TRIM(Innings!D:D)=TRIM(E1851)),0))</f>
        <v>42</v>
      </c>
      <c r="AD1851" cm="1">
        <f t="array" ref="AD1851">INDEX(Innings!S:S,MATCH(1,(TRIM(Innings!A:A)=TRIM(A1851))*(TRIM(Innings!D:D)=TRIM(E1851)),0))</f>
        <v>33</v>
      </c>
      <c r="AE1851" t="str" cm="1">
        <f t="array" ref="AE1851">INDEX(Innings!W:W,MATCH(1,(TRIM(Innings!A:A)=TRIM(A1851))*(TRIM(Innings!D:D)=TRIM(E1851)),0))</f>
        <v>NA</v>
      </c>
      <c r="AF1851">
        <f>IF(UPPER(TRIM(E1851))=UPPER(TRIM(W1851)),1,0)</f>
        <v>1</v>
      </c>
      <c r="AG1851">
        <f t="shared" si="56"/>
        <v>38.700000000000003</v>
      </c>
    </row>
    <row r="1852" spans="1:33" x14ac:dyDescent="0.3">
      <c r="A1852" t="s">
        <v>619</v>
      </c>
      <c r="B1852">
        <v>4</v>
      </c>
      <c r="C1852" t="s">
        <v>93</v>
      </c>
      <c r="D1852" t="s">
        <v>118</v>
      </c>
      <c r="E1852" t="s">
        <v>258</v>
      </c>
      <c r="F1852" t="s">
        <v>169</v>
      </c>
      <c r="G1852" t="s">
        <v>134</v>
      </c>
      <c r="H1852">
        <v>46</v>
      </c>
      <c r="I1852">
        <v>28</v>
      </c>
      <c r="J1852">
        <v>164.29</v>
      </c>
      <c r="K1852" t="s">
        <v>248</v>
      </c>
      <c r="L1852">
        <v>55</v>
      </c>
      <c r="M1852">
        <v>3</v>
      </c>
      <c r="N1852">
        <v>0</v>
      </c>
      <c r="O1852">
        <v>26</v>
      </c>
      <c r="P1852">
        <v>1</v>
      </c>
      <c r="Q1852">
        <v>8.6999999999999993</v>
      </c>
      <c r="R1852">
        <v>25</v>
      </c>
      <c r="S1852">
        <v>0</v>
      </c>
      <c r="T1852">
        <v>0</v>
      </c>
      <c r="U1852" s="8">
        <v>80</v>
      </c>
      <c r="V1852" s="8">
        <f t="shared" si="57"/>
        <v>8</v>
      </c>
      <c r="W1852" t="str">
        <f>_xlfn.XLOOKUP(A1852, Matches!A:A, Matches!L:L, "NA", 0)</f>
        <v>GGTW</v>
      </c>
      <c r="X1852" t="str">
        <f>_xlfn.XLOOKUP(A1852, Matches!A:A, Matches!J:J, "NA", 0)</f>
        <v>GGTW</v>
      </c>
      <c r="Y1852" t="str">
        <f>_xlfn.XLOOKUP(A1852, Matches!A:A, Matches!F:F, "NA", 0)</f>
        <v>BCA Stadium, Kotambi</v>
      </c>
      <c r="Z1852" cm="1">
        <f t="array" ref="Z1852">INDEX(Innings!F:F,MATCH(1,(TRIM(Innings!A:A)=TRIM(A1852))*(TRIM(Innings!D:D)=TRIM(E1852)),0))</f>
        <v>167</v>
      </c>
      <c r="AA1852" cm="1">
        <f t="array" ref="AA1852">INDEX(Innings!I:I,MATCH(1,(TRIM(Innings!A:A)=TRIM(A1852))*(TRIM(Innings!D:D)=TRIM(E1852)),0))</f>
        <v>8.35</v>
      </c>
      <c r="AB1852" cm="1">
        <f t="array" ref="AB1852">INDEX(Innings!J:J,MATCH(1,(TRIM(Innings!A:A)=TRIM(A1852))*(TRIM(Innings!D:D)=TRIM(E1852)),0))</f>
        <v>48</v>
      </c>
      <c r="AC1852" cm="1">
        <f t="array" ref="AC1852">INDEX(Innings!N:N,MATCH(1,(TRIM(Innings!A:A)=TRIM(A1852))*(TRIM(Innings!D:D)=TRIM(E1852)),0))</f>
        <v>42</v>
      </c>
      <c r="AD1852" cm="1">
        <f t="array" ref="AD1852">INDEX(Innings!S:S,MATCH(1,(TRIM(Innings!A:A)=TRIM(A1852))*(TRIM(Innings!D:D)=TRIM(E1852)),0))</f>
        <v>33</v>
      </c>
      <c r="AE1852" t="str" cm="1">
        <f t="array" ref="AE1852">INDEX(Innings!W:W,MATCH(1,(TRIM(Innings!A:A)=TRIM(A1852))*(TRIM(Innings!D:D)=TRIM(E1852)),0))</f>
        <v>NA</v>
      </c>
      <c r="AF1852">
        <f>IF(UPPER(TRIM(E1852))=UPPER(TRIM(W1852)),1,0)</f>
        <v>1</v>
      </c>
      <c r="AG1852">
        <f t="shared" si="56"/>
        <v>62.4</v>
      </c>
    </row>
    <row r="1853" spans="1:33" x14ac:dyDescent="0.3">
      <c r="A1853" t="s">
        <v>619</v>
      </c>
      <c r="B1853">
        <v>4</v>
      </c>
      <c r="C1853" t="s">
        <v>99</v>
      </c>
      <c r="D1853" t="s">
        <v>124</v>
      </c>
      <c r="E1853" t="s">
        <v>258</v>
      </c>
      <c r="F1853" t="s">
        <v>169</v>
      </c>
      <c r="G1853" t="s">
        <v>134</v>
      </c>
      <c r="H1853">
        <v>44</v>
      </c>
      <c r="I1853">
        <v>26</v>
      </c>
      <c r="J1853">
        <v>169.23</v>
      </c>
      <c r="K1853" t="s">
        <v>96</v>
      </c>
      <c r="L1853">
        <v>50</v>
      </c>
      <c r="M1853">
        <v>4</v>
      </c>
      <c r="N1853">
        <v>0</v>
      </c>
      <c r="O1853">
        <v>26</v>
      </c>
      <c r="P1853">
        <v>2</v>
      </c>
      <c r="Q1853">
        <v>6.5</v>
      </c>
      <c r="R1853">
        <v>50</v>
      </c>
      <c r="S1853">
        <v>0</v>
      </c>
      <c r="T1853">
        <v>0</v>
      </c>
      <c r="U1853" s="8">
        <v>100</v>
      </c>
      <c r="V1853" s="8">
        <f t="shared" si="57"/>
        <v>10</v>
      </c>
      <c r="W1853" t="str">
        <f>_xlfn.XLOOKUP(A1853, Matches!A:A, Matches!L:L, "NA", 0)</f>
        <v>GGTW</v>
      </c>
      <c r="X1853" t="str">
        <f>_xlfn.XLOOKUP(A1853, Matches!A:A, Matches!J:J, "NA", 0)</f>
        <v>GGTW</v>
      </c>
      <c r="Y1853" t="str">
        <f>_xlfn.XLOOKUP(A1853, Matches!A:A, Matches!F:F, "NA", 0)</f>
        <v>BCA Stadium, Kotambi</v>
      </c>
      <c r="Z1853" cm="1">
        <f t="array" ref="Z1853">INDEX(Innings!F:F,MATCH(1,(TRIM(Innings!A:A)=TRIM(A1853))*(TRIM(Innings!D:D)=TRIM(E1853)),0))</f>
        <v>167</v>
      </c>
      <c r="AA1853" cm="1">
        <f t="array" ref="AA1853">INDEX(Innings!I:I,MATCH(1,(TRIM(Innings!A:A)=TRIM(A1853))*(TRIM(Innings!D:D)=TRIM(E1853)),0))</f>
        <v>8.35</v>
      </c>
      <c r="AB1853" cm="1">
        <f t="array" ref="AB1853">INDEX(Innings!J:J,MATCH(1,(TRIM(Innings!A:A)=TRIM(A1853))*(TRIM(Innings!D:D)=TRIM(E1853)),0))</f>
        <v>48</v>
      </c>
      <c r="AC1853" cm="1">
        <f t="array" ref="AC1853">INDEX(Innings!N:N,MATCH(1,(TRIM(Innings!A:A)=TRIM(A1853))*(TRIM(Innings!D:D)=TRIM(E1853)),0))</f>
        <v>42</v>
      </c>
      <c r="AD1853" cm="1">
        <f t="array" ref="AD1853">INDEX(Innings!S:S,MATCH(1,(TRIM(Innings!A:A)=TRIM(A1853))*(TRIM(Innings!D:D)=TRIM(E1853)),0))</f>
        <v>33</v>
      </c>
      <c r="AE1853" t="str" cm="1">
        <f t="array" ref="AE1853">INDEX(Innings!W:W,MATCH(1,(TRIM(Innings!A:A)=TRIM(A1853))*(TRIM(Innings!D:D)=TRIM(E1853)),0))</f>
        <v>NA</v>
      </c>
      <c r="AF1853">
        <f>IF(UPPER(TRIM(E1853))=UPPER(TRIM(W1853)),1,0)</f>
        <v>1</v>
      </c>
      <c r="AG1853">
        <f t="shared" si="56"/>
        <v>73</v>
      </c>
    </row>
    <row r="1854" spans="1:33" x14ac:dyDescent="0.3">
      <c r="A1854" t="s">
        <v>619</v>
      </c>
      <c r="B1854">
        <v>4</v>
      </c>
      <c r="C1854" t="s">
        <v>447</v>
      </c>
      <c r="D1854" t="s">
        <v>448</v>
      </c>
      <c r="E1854" t="s">
        <v>258</v>
      </c>
      <c r="F1854" t="s">
        <v>109</v>
      </c>
      <c r="G1854" t="s">
        <v>134</v>
      </c>
      <c r="H1854">
        <v>5</v>
      </c>
      <c r="I1854">
        <v>6</v>
      </c>
      <c r="J1854">
        <v>83.33</v>
      </c>
      <c r="K1854" t="s">
        <v>96</v>
      </c>
      <c r="L1854">
        <v>5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 s="8">
        <v>5</v>
      </c>
      <c r="V1854" s="8">
        <f t="shared" si="57"/>
        <v>1</v>
      </c>
      <c r="W1854" t="str">
        <f>_xlfn.XLOOKUP(A1854, Matches!A:A, Matches!L:L, "NA", 0)</f>
        <v>GGTW</v>
      </c>
      <c r="X1854" t="str">
        <f>_xlfn.XLOOKUP(A1854, Matches!A:A, Matches!J:J, "NA", 0)</f>
        <v>GGTW</v>
      </c>
      <c r="Y1854" t="str">
        <f>_xlfn.XLOOKUP(A1854, Matches!A:A, Matches!F:F, "NA", 0)</f>
        <v>BCA Stadium, Kotambi</v>
      </c>
      <c r="Z1854" cm="1">
        <f t="array" ref="Z1854">INDEX(Innings!F:F,MATCH(1,(TRIM(Innings!A:A)=TRIM(A1854))*(TRIM(Innings!D:D)=TRIM(E1854)),0))</f>
        <v>167</v>
      </c>
      <c r="AA1854" cm="1">
        <f t="array" ref="AA1854">INDEX(Innings!I:I,MATCH(1,(TRIM(Innings!A:A)=TRIM(A1854))*(TRIM(Innings!D:D)=TRIM(E1854)),0))</f>
        <v>8.35</v>
      </c>
      <c r="AB1854" cm="1">
        <f t="array" ref="AB1854">INDEX(Innings!J:J,MATCH(1,(TRIM(Innings!A:A)=TRIM(A1854))*(TRIM(Innings!D:D)=TRIM(E1854)),0))</f>
        <v>48</v>
      </c>
      <c r="AC1854" cm="1">
        <f t="array" ref="AC1854">INDEX(Innings!N:N,MATCH(1,(TRIM(Innings!A:A)=TRIM(A1854))*(TRIM(Innings!D:D)=TRIM(E1854)),0))</f>
        <v>42</v>
      </c>
      <c r="AD1854" cm="1">
        <f t="array" ref="AD1854">INDEX(Innings!S:S,MATCH(1,(TRIM(Innings!A:A)=TRIM(A1854))*(TRIM(Innings!D:D)=TRIM(E1854)),0))</f>
        <v>33</v>
      </c>
      <c r="AE1854" t="str" cm="1">
        <f t="array" ref="AE1854">INDEX(Innings!W:W,MATCH(1,(TRIM(Innings!A:A)=TRIM(A1854))*(TRIM(Innings!D:D)=TRIM(E1854)),0))</f>
        <v>NA</v>
      </c>
      <c r="AF1854">
        <f>IF(UPPER(TRIM(E1854))=UPPER(TRIM(W1854)),1,0)</f>
        <v>1</v>
      </c>
      <c r="AG1854">
        <f t="shared" si="56"/>
        <v>22.8</v>
      </c>
    </row>
    <row r="1855" spans="1:33" x14ac:dyDescent="0.3">
      <c r="A1855" t="s">
        <v>619</v>
      </c>
      <c r="B1855">
        <v>4</v>
      </c>
      <c r="C1855" t="s">
        <v>178</v>
      </c>
      <c r="D1855" t="s">
        <v>179</v>
      </c>
      <c r="E1855" t="s">
        <v>258</v>
      </c>
      <c r="F1855" t="s">
        <v>169</v>
      </c>
      <c r="G1855" t="s">
        <v>104</v>
      </c>
      <c r="H1855">
        <v>0</v>
      </c>
      <c r="I1855">
        <v>0</v>
      </c>
      <c r="J1855">
        <v>0</v>
      </c>
      <c r="K1855" t="s">
        <v>104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 s="8">
        <v>0</v>
      </c>
      <c r="V1855" s="8">
        <f t="shared" si="57"/>
        <v>0</v>
      </c>
      <c r="W1855" t="str">
        <f>_xlfn.XLOOKUP(A1855, Matches!A:A, Matches!L:L, "NA", 0)</f>
        <v>GGTW</v>
      </c>
      <c r="X1855" t="str">
        <f>_xlfn.XLOOKUP(A1855, Matches!A:A, Matches!J:J, "NA", 0)</f>
        <v>GGTW</v>
      </c>
      <c r="Y1855" t="str">
        <f>_xlfn.XLOOKUP(A1855, Matches!A:A, Matches!F:F, "NA", 0)</f>
        <v>BCA Stadium, Kotambi</v>
      </c>
      <c r="Z1855" cm="1">
        <f t="array" ref="Z1855">INDEX(Innings!F:F,MATCH(1,(TRIM(Innings!A:A)=TRIM(A1855))*(TRIM(Innings!D:D)=TRIM(E1855)),0))</f>
        <v>167</v>
      </c>
      <c r="AA1855" cm="1">
        <f t="array" ref="AA1855">INDEX(Innings!I:I,MATCH(1,(TRIM(Innings!A:A)=TRIM(A1855))*(TRIM(Innings!D:D)=TRIM(E1855)),0))</f>
        <v>8.35</v>
      </c>
      <c r="AB1855" cm="1">
        <f t="array" ref="AB1855">INDEX(Innings!J:J,MATCH(1,(TRIM(Innings!A:A)=TRIM(A1855))*(TRIM(Innings!D:D)=TRIM(E1855)),0))</f>
        <v>48</v>
      </c>
      <c r="AC1855" cm="1">
        <f t="array" ref="AC1855">INDEX(Innings!N:N,MATCH(1,(TRIM(Innings!A:A)=TRIM(A1855))*(TRIM(Innings!D:D)=TRIM(E1855)),0))</f>
        <v>42</v>
      </c>
      <c r="AD1855" cm="1">
        <f t="array" ref="AD1855">INDEX(Innings!S:S,MATCH(1,(TRIM(Innings!A:A)=TRIM(A1855))*(TRIM(Innings!D:D)=TRIM(E1855)),0))</f>
        <v>33</v>
      </c>
      <c r="AE1855" t="str" cm="1">
        <f t="array" ref="AE1855">INDEX(Innings!W:W,MATCH(1,(TRIM(Innings!A:A)=TRIM(A1855))*(TRIM(Innings!D:D)=TRIM(E1855)),0))</f>
        <v>NA</v>
      </c>
      <c r="AF1855">
        <f>IF(UPPER(TRIM(E1855))=UPPER(TRIM(W1855)),1,0)</f>
        <v>1</v>
      </c>
      <c r="AG1855">
        <f t="shared" si="56"/>
        <v>20</v>
      </c>
    </row>
    <row r="1856" spans="1:33" x14ac:dyDescent="0.3">
      <c r="A1856" t="s">
        <v>619</v>
      </c>
      <c r="B1856">
        <v>4</v>
      </c>
      <c r="C1856" t="s">
        <v>493</v>
      </c>
      <c r="D1856" t="s">
        <v>500</v>
      </c>
      <c r="E1856" t="s">
        <v>258</v>
      </c>
      <c r="F1856" t="s">
        <v>101</v>
      </c>
      <c r="G1856" t="s">
        <v>104</v>
      </c>
      <c r="H1856">
        <v>0</v>
      </c>
      <c r="I1856">
        <v>0</v>
      </c>
      <c r="J1856">
        <v>0</v>
      </c>
      <c r="K1856" t="s">
        <v>104</v>
      </c>
      <c r="L1856">
        <v>0</v>
      </c>
      <c r="M1856">
        <v>2</v>
      </c>
      <c r="N1856">
        <v>0</v>
      </c>
      <c r="O1856">
        <v>12</v>
      </c>
      <c r="P1856">
        <v>1</v>
      </c>
      <c r="Q1856">
        <v>6</v>
      </c>
      <c r="R1856">
        <v>25</v>
      </c>
      <c r="S1856">
        <v>0</v>
      </c>
      <c r="T1856">
        <v>0</v>
      </c>
      <c r="U1856" s="8">
        <v>25</v>
      </c>
      <c r="V1856" s="8">
        <f t="shared" si="57"/>
        <v>3</v>
      </c>
      <c r="W1856" t="str">
        <f>_xlfn.XLOOKUP(A1856, Matches!A:A, Matches!L:L, "NA", 0)</f>
        <v>GGTW</v>
      </c>
      <c r="X1856" t="str">
        <f>_xlfn.XLOOKUP(A1856, Matches!A:A, Matches!J:J, "NA", 0)</f>
        <v>GGTW</v>
      </c>
      <c r="Y1856" t="str">
        <f>_xlfn.XLOOKUP(A1856, Matches!A:A, Matches!F:F, "NA", 0)</f>
        <v>BCA Stadium, Kotambi</v>
      </c>
      <c r="Z1856" cm="1">
        <f t="array" ref="Z1856">INDEX(Innings!F:F,MATCH(1,(TRIM(Innings!A:A)=TRIM(A1856))*(TRIM(Innings!D:D)=TRIM(E1856)),0))</f>
        <v>167</v>
      </c>
      <c r="AA1856" cm="1">
        <f t="array" ref="AA1856">INDEX(Innings!I:I,MATCH(1,(TRIM(Innings!A:A)=TRIM(A1856))*(TRIM(Innings!D:D)=TRIM(E1856)),0))</f>
        <v>8.35</v>
      </c>
      <c r="AB1856" cm="1">
        <f t="array" ref="AB1856">INDEX(Innings!J:J,MATCH(1,(TRIM(Innings!A:A)=TRIM(A1856))*(TRIM(Innings!D:D)=TRIM(E1856)),0))</f>
        <v>48</v>
      </c>
      <c r="AC1856" cm="1">
        <f t="array" ref="AC1856">INDEX(Innings!N:N,MATCH(1,(TRIM(Innings!A:A)=TRIM(A1856))*(TRIM(Innings!D:D)=TRIM(E1856)),0))</f>
        <v>42</v>
      </c>
      <c r="AD1856" cm="1">
        <f t="array" ref="AD1856">INDEX(Innings!S:S,MATCH(1,(TRIM(Innings!A:A)=TRIM(A1856))*(TRIM(Innings!D:D)=TRIM(E1856)),0))</f>
        <v>33</v>
      </c>
      <c r="AE1856" t="str" cm="1">
        <f t="array" ref="AE1856">INDEX(Innings!W:W,MATCH(1,(TRIM(Innings!A:A)=TRIM(A1856))*(TRIM(Innings!D:D)=TRIM(E1856)),0))</f>
        <v>NA</v>
      </c>
      <c r="AF1856">
        <f>IF(UPPER(TRIM(E1856))=UPPER(TRIM(W1856)),1,0)</f>
        <v>1</v>
      </c>
      <c r="AG1856">
        <f t="shared" ref="AG1856:AG1919" si="58">(0.5*MAX(0,U1856) + 0.3*MAX(0,V1856) + 0.2*AF1856*100)</f>
        <v>33.4</v>
      </c>
    </row>
    <row r="1857" spans="1:33" x14ac:dyDescent="0.3">
      <c r="A1857" t="s">
        <v>619</v>
      </c>
      <c r="B1857">
        <v>4</v>
      </c>
      <c r="C1857" t="s">
        <v>105</v>
      </c>
      <c r="D1857" t="s">
        <v>128</v>
      </c>
      <c r="E1857" t="s">
        <v>258</v>
      </c>
      <c r="F1857" t="s">
        <v>101</v>
      </c>
      <c r="G1857" t="s">
        <v>104</v>
      </c>
      <c r="H1857">
        <v>0</v>
      </c>
      <c r="I1857">
        <v>0</v>
      </c>
      <c r="J1857">
        <v>0</v>
      </c>
      <c r="K1857" t="s">
        <v>104</v>
      </c>
      <c r="L1857">
        <v>0</v>
      </c>
      <c r="M1857">
        <v>1</v>
      </c>
      <c r="N1857">
        <v>0</v>
      </c>
      <c r="O1857">
        <v>11</v>
      </c>
      <c r="P1857">
        <v>0</v>
      </c>
      <c r="Q1857">
        <v>11</v>
      </c>
      <c r="R1857">
        <v>0</v>
      </c>
      <c r="S1857">
        <v>0</v>
      </c>
      <c r="T1857">
        <v>0</v>
      </c>
      <c r="U1857" s="8">
        <v>0</v>
      </c>
      <c r="V1857" s="8">
        <f t="shared" si="57"/>
        <v>0</v>
      </c>
      <c r="W1857" t="str">
        <f>_xlfn.XLOOKUP(A1857, Matches!A:A, Matches!L:L, "NA", 0)</f>
        <v>GGTW</v>
      </c>
      <c r="X1857" t="str">
        <f>_xlfn.XLOOKUP(A1857, Matches!A:A, Matches!J:J, "NA", 0)</f>
        <v>GGTW</v>
      </c>
      <c r="Y1857" t="str">
        <f>_xlfn.XLOOKUP(A1857, Matches!A:A, Matches!F:F, "NA", 0)</f>
        <v>BCA Stadium, Kotambi</v>
      </c>
      <c r="Z1857" cm="1">
        <f t="array" ref="Z1857">INDEX(Innings!F:F,MATCH(1,(TRIM(Innings!A:A)=TRIM(A1857))*(TRIM(Innings!D:D)=TRIM(E1857)),0))</f>
        <v>167</v>
      </c>
      <c r="AA1857" cm="1">
        <f t="array" ref="AA1857">INDEX(Innings!I:I,MATCH(1,(TRIM(Innings!A:A)=TRIM(A1857))*(TRIM(Innings!D:D)=TRIM(E1857)),0))</f>
        <v>8.35</v>
      </c>
      <c r="AB1857" cm="1">
        <f t="array" ref="AB1857">INDEX(Innings!J:J,MATCH(1,(TRIM(Innings!A:A)=TRIM(A1857))*(TRIM(Innings!D:D)=TRIM(E1857)),0))</f>
        <v>48</v>
      </c>
      <c r="AC1857" cm="1">
        <f t="array" ref="AC1857">INDEX(Innings!N:N,MATCH(1,(TRIM(Innings!A:A)=TRIM(A1857))*(TRIM(Innings!D:D)=TRIM(E1857)),0))</f>
        <v>42</v>
      </c>
      <c r="AD1857" cm="1">
        <f t="array" ref="AD1857">INDEX(Innings!S:S,MATCH(1,(TRIM(Innings!A:A)=TRIM(A1857))*(TRIM(Innings!D:D)=TRIM(E1857)),0))</f>
        <v>33</v>
      </c>
      <c r="AE1857" t="str" cm="1">
        <f t="array" ref="AE1857">INDEX(Innings!W:W,MATCH(1,(TRIM(Innings!A:A)=TRIM(A1857))*(TRIM(Innings!D:D)=TRIM(E1857)),0))</f>
        <v>NA</v>
      </c>
      <c r="AF1857">
        <f>IF(UPPER(TRIM(E1857))=UPPER(TRIM(W1857)),1,0)</f>
        <v>1</v>
      </c>
      <c r="AG1857">
        <f t="shared" si="58"/>
        <v>20</v>
      </c>
    </row>
    <row r="1858" spans="1:33" x14ac:dyDescent="0.3">
      <c r="A1858" t="s">
        <v>619</v>
      </c>
      <c r="B1858">
        <v>4</v>
      </c>
      <c r="C1858" t="s">
        <v>186</v>
      </c>
      <c r="D1858" t="s">
        <v>187</v>
      </c>
      <c r="E1858" t="s">
        <v>258</v>
      </c>
      <c r="F1858" t="s">
        <v>101</v>
      </c>
      <c r="G1858" t="s">
        <v>104</v>
      </c>
      <c r="H1858">
        <v>0</v>
      </c>
      <c r="I1858">
        <v>0</v>
      </c>
      <c r="J1858">
        <v>0</v>
      </c>
      <c r="K1858" t="s">
        <v>104</v>
      </c>
      <c r="L1858">
        <v>0</v>
      </c>
      <c r="M1858">
        <v>2</v>
      </c>
      <c r="N1858">
        <v>0</v>
      </c>
      <c r="O1858">
        <v>11</v>
      </c>
      <c r="P1858">
        <v>0</v>
      </c>
      <c r="Q1858">
        <v>5.5</v>
      </c>
      <c r="R1858">
        <v>0</v>
      </c>
      <c r="S1858">
        <v>0</v>
      </c>
      <c r="T1858">
        <v>0</v>
      </c>
      <c r="U1858" s="8">
        <v>0</v>
      </c>
      <c r="V1858" s="8">
        <f t="shared" si="57"/>
        <v>0</v>
      </c>
      <c r="W1858" t="str">
        <f>_xlfn.XLOOKUP(A1858, Matches!A:A, Matches!L:L, "NA", 0)</f>
        <v>GGTW</v>
      </c>
      <c r="X1858" t="str">
        <f>_xlfn.XLOOKUP(A1858, Matches!A:A, Matches!J:J, "NA", 0)</f>
        <v>GGTW</v>
      </c>
      <c r="Y1858" t="str">
        <f>_xlfn.XLOOKUP(A1858, Matches!A:A, Matches!F:F, "NA", 0)</f>
        <v>BCA Stadium, Kotambi</v>
      </c>
      <c r="Z1858" cm="1">
        <f t="array" ref="Z1858">INDEX(Innings!F:F,MATCH(1,(TRIM(Innings!A:A)=TRIM(A1858))*(TRIM(Innings!D:D)=TRIM(E1858)),0))</f>
        <v>167</v>
      </c>
      <c r="AA1858" cm="1">
        <f t="array" ref="AA1858">INDEX(Innings!I:I,MATCH(1,(TRIM(Innings!A:A)=TRIM(A1858))*(TRIM(Innings!D:D)=TRIM(E1858)),0))</f>
        <v>8.35</v>
      </c>
      <c r="AB1858" cm="1">
        <f t="array" ref="AB1858">INDEX(Innings!J:J,MATCH(1,(TRIM(Innings!A:A)=TRIM(A1858))*(TRIM(Innings!D:D)=TRIM(E1858)),0))</f>
        <v>48</v>
      </c>
      <c r="AC1858" cm="1">
        <f t="array" ref="AC1858">INDEX(Innings!N:N,MATCH(1,(TRIM(Innings!A:A)=TRIM(A1858))*(TRIM(Innings!D:D)=TRIM(E1858)),0))</f>
        <v>42</v>
      </c>
      <c r="AD1858" cm="1">
        <f t="array" ref="AD1858">INDEX(Innings!S:S,MATCH(1,(TRIM(Innings!A:A)=TRIM(A1858))*(TRIM(Innings!D:D)=TRIM(E1858)),0))</f>
        <v>33</v>
      </c>
      <c r="AE1858" t="str" cm="1">
        <f t="array" ref="AE1858">INDEX(Innings!W:W,MATCH(1,(TRIM(Innings!A:A)=TRIM(A1858))*(TRIM(Innings!D:D)=TRIM(E1858)),0))</f>
        <v>NA</v>
      </c>
      <c r="AF1858">
        <f>IF(UPPER(TRIM(E1858))=UPPER(TRIM(W1858)),1,0)</f>
        <v>1</v>
      </c>
      <c r="AG1858">
        <f t="shared" si="58"/>
        <v>20</v>
      </c>
    </row>
    <row r="1859" spans="1:33" x14ac:dyDescent="0.3">
      <c r="A1859" t="s">
        <v>619</v>
      </c>
      <c r="B1859">
        <v>4</v>
      </c>
      <c r="C1859" t="s">
        <v>237</v>
      </c>
      <c r="D1859" t="s">
        <v>238</v>
      </c>
      <c r="E1859" t="s">
        <v>258</v>
      </c>
      <c r="F1859" t="s">
        <v>101</v>
      </c>
      <c r="G1859" t="s">
        <v>104</v>
      </c>
      <c r="H1859">
        <v>0</v>
      </c>
      <c r="I1859">
        <v>0</v>
      </c>
      <c r="J1859">
        <v>0</v>
      </c>
      <c r="K1859" t="s">
        <v>104</v>
      </c>
      <c r="L1859">
        <v>0</v>
      </c>
      <c r="M1859">
        <v>4</v>
      </c>
      <c r="N1859">
        <v>0</v>
      </c>
      <c r="O1859">
        <v>46</v>
      </c>
      <c r="P1859">
        <v>1</v>
      </c>
      <c r="Q1859">
        <v>11.5</v>
      </c>
      <c r="R1859">
        <v>25</v>
      </c>
      <c r="S1859">
        <v>0</v>
      </c>
      <c r="T1859">
        <v>0</v>
      </c>
      <c r="U1859" s="8">
        <v>25</v>
      </c>
      <c r="V1859" s="8">
        <f t="shared" ref="V1859:V1922" si="59">MIN(10, MAX(0, ROUND(U1859/10,0)))</f>
        <v>3</v>
      </c>
      <c r="W1859" t="str">
        <f>_xlfn.XLOOKUP(A1859, Matches!A:A, Matches!L:L, "NA", 0)</f>
        <v>GGTW</v>
      </c>
      <c r="X1859" t="str">
        <f>_xlfn.XLOOKUP(A1859, Matches!A:A, Matches!J:J, "NA", 0)</f>
        <v>GGTW</v>
      </c>
      <c r="Y1859" t="str">
        <f>_xlfn.XLOOKUP(A1859, Matches!A:A, Matches!F:F, "NA", 0)</f>
        <v>BCA Stadium, Kotambi</v>
      </c>
      <c r="Z1859" cm="1">
        <f t="array" ref="Z1859">INDEX(Innings!F:F,MATCH(1,(TRIM(Innings!A:A)=TRIM(A1859))*(TRIM(Innings!D:D)=TRIM(E1859)),0))</f>
        <v>167</v>
      </c>
      <c r="AA1859" cm="1">
        <f t="array" ref="AA1859">INDEX(Innings!I:I,MATCH(1,(TRIM(Innings!A:A)=TRIM(A1859))*(TRIM(Innings!D:D)=TRIM(E1859)),0))</f>
        <v>8.35</v>
      </c>
      <c r="AB1859" cm="1">
        <f t="array" ref="AB1859">INDEX(Innings!J:J,MATCH(1,(TRIM(Innings!A:A)=TRIM(A1859))*(TRIM(Innings!D:D)=TRIM(E1859)),0))</f>
        <v>48</v>
      </c>
      <c r="AC1859" cm="1">
        <f t="array" ref="AC1859">INDEX(Innings!N:N,MATCH(1,(TRIM(Innings!A:A)=TRIM(A1859))*(TRIM(Innings!D:D)=TRIM(E1859)),0))</f>
        <v>42</v>
      </c>
      <c r="AD1859" cm="1">
        <f t="array" ref="AD1859">INDEX(Innings!S:S,MATCH(1,(TRIM(Innings!A:A)=TRIM(A1859))*(TRIM(Innings!D:D)=TRIM(E1859)),0))</f>
        <v>33</v>
      </c>
      <c r="AE1859" t="str" cm="1">
        <f t="array" ref="AE1859">INDEX(Innings!W:W,MATCH(1,(TRIM(Innings!A:A)=TRIM(A1859))*(TRIM(Innings!D:D)=TRIM(E1859)),0))</f>
        <v>NA</v>
      </c>
      <c r="AF1859">
        <f>IF(UPPER(TRIM(E1859))=UPPER(TRIM(W1859)),1,0)</f>
        <v>1</v>
      </c>
      <c r="AG1859">
        <f t="shared" si="58"/>
        <v>33.4</v>
      </c>
    </row>
    <row r="1860" spans="1:33" x14ac:dyDescent="0.3">
      <c r="A1860" t="s">
        <v>619</v>
      </c>
      <c r="B1860">
        <v>4</v>
      </c>
      <c r="C1860" t="s">
        <v>347</v>
      </c>
      <c r="D1860" t="s">
        <v>348</v>
      </c>
      <c r="E1860" t="s">
        <v>266</v>
      </c>
      <c r="F1860" t="s">
        <v>169</v>
      </c>
      <c r="G1860" t="s">
        <v>86</v>
      </c>
      <c r="H1860">
        <v>26</v>
      </c>
      <c r="I1860">
        <v>25</v>
      </c>
      <c r="J1860">
        <v>104</v>
      </c>
      <c r="K1860" t="s">
        <v>246</v>
      </c>
      <c r="L1860">
        <v>30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 s="8">
        <v>30</v>
      </c>
      <c r="V1860" s="8">
        <f t="shared" si="59"/>
        <v>3</v>
      </c>
      <c r="W1860" t="str">
        <f>_xlfn.XLOOKUP(A1860, Matches!A:A, Matches!L:L, "NA", 0)</f>
        <v>GGTW</v>
      </c>
      <c r="X1860" t="str">
        <f>_xlfn.XLOOKUP(A1860, Matches!A:A, Matches!J:J, "NA", 0)</f>
        <v>GGTW</v>
      </c>
      <c r="Y1860" t="str">
        <f>_xlfn.XLOOKUP(A1860, Matches!A:A, Matches!F:F, "NA", 0)</f>
        <v>BCA Stadium, Kotambi</v>
      </c>
      <c r="Z1860" cm="1">
        <f t="array" ref="Z1860">INDEX(Innings!F:F,MATCH(1,(TRIM(Innings!A:A)=TRIM(A1860))*(TRIM(Innings!D:D)=TRIM(E1860)),0))</f>
        <v>156</v>
      </c>
      <c r="AA1860" cm="1">
        <f t="array" ref="AA1860">INDEX(Innings!I:I,MATCH(1,(TRIM(Innings!A:A)=TRIM(A1860))*(TRIM(Innings!D:D)=TRIM(E1860)),0))</f>
        <v>7.8</v>
      </c>
      <c r="AB1860" cm="1">
        <f t="array" ref="AB1860">INDEX(Innings!J:J,MATCH(1,(TRIM(Innings!A:A)=TRIM(A1860))*(TRIM(Innings!D:D)=TRIM(E1860)),0))</f>
        <v>33</v>
      </c>
      <c r="AC1860" cm="1">
        <f t="array" ref="AC1860">INDEX(Innings!N:N,MATCH(1,(TRIM(Innings!A:A)=TRIM(A1860))*(TRIM(Innings!D:D)=TRIM(E1860)),0))</f>
        <v>46</v>
      </c>
      <c r="AD1860" cm="1">
        <f t="array" ref="AD1860">INDEX(Innings!S:S,MATCH(1,(TRIM(Innings!A:A)=TRIM(A1860))*(TRIM(Innings!D:D)=TRIM(E1860)),0))</f>
        <v>34</v>
      </c>
      <c r="AE1860" t="str" cm="1">
        <f t="array" ref="AE1860">INDEX(Innings!W:W,MATCH(1,(TRIM(Innings!A:A)=TRIM(A1860))*(TRIM(Innings!D:D)=TRIM(E1860)),0))</f>
        <v>Failed</v>
      </c>
      <c r="AF1860">
        <f>IF(UPPER(TRIM(E1860))=UPPER(TRIM(W1860)),1,0)</f>
        <v>0</v>
      </c>
      <c r="AG1860">
        <f t="shared" si="58"/>
        <v>15.9</v>
      </c>
    </row>
    <row r="1861" spans="1:33" x14ac:dyDescent="0.3">
      <c r="A1861" t="s">
        <v>619</v>
      </c>
      <c r="B1861">
        <v>4</v>
      </c>
      <c r="C1861" t="s">
        <v>112</v>
      </c>
      <c r="D1861" t="s">
        <v>88</v>
      </c>
      <c r="E1861" t="s">
        <v>266</v>
      </c>
      <c r="F1861" t="s">
        <v>169</v>
      </c>
      <c r="G1861" t="s">
        <v>92</v>
      </c>
      <c r="H1861">
        <v>6</v>
      </c>
      <c r="I1861">
        <v>8</v>
      </c>
      <c r="J1861">
        <v>75</v>
      </c>
      <c r="K1861" t="s">
        <v>245</v>
      </c>
      <c r="L1861">
        <v>5</v>
      </c>
      <c r="M1861">
        <v>4</v>
      </c>
      <c r="N1861">
        <v>0</v>
      </c>
      <c r="O1861">
        <v>40</v>
      </c>
      <c r="P1861">
        <v>0</v>
      </c>
      <c r="Q1861">
        <v>10</v>
      </c>
      <c r="R1861">
        <v>0</v>
      </c>
      <c r="S1861">
        <v>0</v>
      </c>
      <c r="T1861">
        <v>0</v>
      </c>
      <c r="U1861" s="8">
        <v>5</v>
      </c>
      <c r="V1861" s="8">
        <f t="shared" si="59"/>
        <v>1</v>
      </c>
      <c r="W1861" t="str">
        <f>_xlfn.XLOOKUP(A1861, Matches!A:A, Matches!L:L, "NA", 0)</f>
        <v>GGTW</v>
      </c>
      <c r="X1861" t="str">
        <f>_xlfn.XLOOKUP(A1861, Matches!A:A, Matches!J:J, "NA", 0)</f>
        <v>GGTW</v>
      </c>
      <c r="Y1861" t="str">
        <f>_xlfn.XLOOKUP(A1861, Matches!A:A, Matches!F:F, "NA", 0)</f>
        <v>BCA Stadium, Kotambi</v>
      </c>
      <c r="Z1861" cm="1">
        <f t="array" ref="Z1861">INDEX(Innings!F:F,MATCH(1,(TRIM(Innings!A:A)=TRIM(A1861))*(TRIM(Innings!D:D)=TRIM(E1861)),0))</f>
        <v>156</v>
      </c>
      <c r="AA1861" cm="1">
        <f t="array" ref="AA1861">INDEX(Innings!I:I,MATCH(1,(TRIM(Innings!A:A)=TRIM(A1861))*(TRIM(Innings!D:D)=TRIM(E1861)),0))</f>
        <v>7.8</v>
      </c>
      <c r="AB1861" cm="1">
        <f t="array" ref="AB1861">INDEX(Innings!J:J,MATCH(1,(TRIM(Innings!A:A)=TRIM(A1861))*(TRIM(Innings!D:D)=TRIM(E1861)),0))</f>
        <v>33</v>
      </c>
      <c r="AC1861" cm="1">
        <f t="array" ref="AC1861">INDEX(Innings!N:N,MATCH(1,(TRIM(Innings!A:A)=TRIM(A1861))*(TRIM(Innings!D:D)=TRIM(E1861)),0))</f>
        <v>46</v>
      </c>
      <c r="AD1861" cm="1">
        <f t="array" ref="AD1861">INDEX(Innings!S:S,MATCH(1,(TRIM(Innings!A:A)=TRIM(A1861))*(TRIM(Innings!D:D)=TRIM(E1861)),0))</f>
        <v>34</v>
      </c>
      <c r="AE1861" t="str" cm="1">
        <f t="array" ref="AE1861">INDEX(Innings!W:W,MATCH(1,(TRIM(Innings!A:A)=TRIM(A1861))*(TRIM(Innings!D:D)=TRIM(E1861)),0))</f>
        <v>Failed</v>
      </c>
      <c r="AF1861">
        <f>IF(UPPER(TRIM(E1861))=UPPER(TRIM(W1861)),1,0)</f>
        <v>0</v>
      </c>
      <c r="AG1861">
        <f t="shared" si="58"/>
        <v>2.8</v>
      </c>
    </row>
    <row r="1862" spans="1:33" x14ac:dyDescent="0.3">
      <c r="A1862" t="s">
        <v>619</v>
      </c>
      <c r="B1862">
        <v>4</v>
      </c>
      <c r="C1862" t="s">
        <v>117</v>
      </c>
      <c r="D1862" t="s">
        <v>90</v>
      </c>
      <c r="E1862" t="s">
        <v>266</v>
      </c>
      <c r="F1862" t="s">
        <v>169</v>
      </c>
      <c r="G1862" t="s">
        <v>92</v>
      </c>
      <c r="H1862">
        <v>2</v>
      </c>
      <c r="I1862">
        <v>6</v>
      </c>
      <c r="J1862">
        <v>33.33</v>
      </c>
      <c r="K1862" t="s">
        <v>246</v>
      </c>
      <c r="L1862">
        <v>0</v>
      </c>
      <c r="M1862">
        <v>4</v>
      </c>
      <c r="N1862">
        <v>0</v>
      </c>
      <c r="O1862">
        <v>36</v>
      </c>
      <c r="P1862">
        <v>1</v>
      </c>
      <c r="Q1862">
        <v>9</v>
      </c>
      <c r="R1862">
        <v>25</v>
      </c>
      <c r="S1862">
        <v>0</v>
      </c>
      <c r="T1862">
        <v>0</v>
      </c>
      <c r="U1862" s="8">
        <v>25</v>
      </c>
      <c r="V1862" s="8">
        <f t="shared" si="59"/>
        <v>3</v>
      </c>
      <c r="W1862" t="str">
        <f>_xlfn.XLOOKUP(A1862, Matches!A:A, Matches!L:L, "NA", 0)</f>
        <v>GGTW</v>
      </c>
      <c r="X1862" t="str">
        <f>_xlfn.XLOOKUP(A1862, Matches!A:A, Matches!J:J, "NA", 0)</f>
        <v>GGTW</v>
      </c>
      <c r="Y1862" t="str">
        <f>_xlfn.XLOOKUP(A1862, Matches!A:A, Matches!F:F, "NA", 0)</f>
        <v>BCA Stadium, Kotambi</v>
      </c>
      <c r="Z1862" cm="1">
        <f t="array" ref="Z1862">INDEX(Innings!F:F,MATCH(1,(TRIM(Innings!A:A)=TRIM(A1862))*(TRIM(Innings!D:D)=TRIM(E1862)),0))</f>
        <v>156</v>
      </c>
      <c r="AA1862" cm="1">
        <f t="array" ref="AA1862">INDEX(Innings!I:I,MATCH(1,(TRIM(Innings!A:A)=TRIM(A1862))*(TRIM(Innings!D:D)=TRIM(E1862)),0))</f>
        <v>7.8</v>
      </c>
      <c r="AB1862" cm="1">
        <f t="array" ref="AB1862">INDEX(Innings!J:J,MATCH(1,(TRIM(Innings!A:A)=TRIM(A1862))*(TRIM(Innings!D:D)=TRIM(E1862)),0))</f>
        <v>33</v>
      </c>
      <c r="AC1862" cm="1">
        <f t="array" ref="AC1862">INDEX(Innings!N:N,MATCH(1,(TRIM(Innings!A:A)=TRIM(A1862))*(TRIM(Innings!D:D)=TRIM(E1862)),0))</f>
        <v>46</v>
      </c>
      <c r="AD1862" cm="1">
        <f t="array" ref="AD1862">INDEX(Innings!S:S,MATCH(1,(TRIM(Innings!A:A)=TRIM(A1862))*(TRIM(Innings!D:D)=TRIM(E1862)),0))</f>
        <v>34</v>
      </c>
      <c r="AE1862" t="str" cm="1">
        <f t="array" ref="AE1862">INDEX(Innings!W:W,MATCH(1,(TRIM(Innings!A:A)=TRIM(A1862))*(TRIM(Innings!D:D)=TRIM(E1862)),0))</f>
        <v>Failed</v>
      </c>
      <c r="AF1862">
        <f>IF(UPPER(TRIM(E1862))=UPPER(TRIM(W1862)),1,0)</f>
        <v>0</v>
      </c>
      <c r="AG1862">
        <f t="shared" si="58"/>
        <v>13.4</v>
      </c>
    </row>
    <row r="1863" spans="1:33" x14ac:dyDescent="0.3">
      <c r="A1863" t="s">
        <v>619</v>
      </c>
      <c r="B1863">
        <v>4</v>
      </c>
      <c r="C1863" t="s">
        <v>115</v>
      </c>
      <c r="D1863" t="s">
        <v>17</v>
      </c>
      <c r="E1863" t="s">
        <v>266</v>
      </c>
      <c r="F1863" t="s">
        <v>169</v>
      </c>
      <c r="G1863" t="s">
        <v>134</v>
      </c>
      <c r="H1863">
        <v>82</v>
      </c>
      <c r="I1863">
        <v>48</v>
      </c>
      <c r="J1863">
        <v>170.83</v>
      </c>
      <c r="K1863" t="s">
        <v>96</v>
      </c>
      <c r="L1863">
        <v>95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 s="8">
        <v>95</v>
      </c>
      <c r="V1863" s="8">
        <f t="shared" si="59"/>
        <v>10</v>
      </c>
      <c r="W1863" t="str">
        <f>_xlfn.XLOOKUP(A1863, Matches!A:A, Matches!L:L, "NA", 0)</f>
        <v>GGTW</v>
      </c>
      <c r="X1863" t="str">
        <f>_xlfn.XLOOKUP(A1863, Matches!A:A, Matches!J:J, "NA", 0)</f>
        <v>GGTW</v>
      </c>
      <c r="Y1863" t="str">
        <f>_xlfn.XLOOKUP(A1863, Matches!A:A, Matches!F:F, "NA", 0)</f>
        <v>BCA Stadium, Kotambi</v>
      </c>
      <c r="Z1863" cm="1">
        <f t="array" ref="Z1863">INDEX(Innings!F:F,MATCH(1,(TRIM(Innings!A:A)=TRIM(A1863))*(TRIM(Innings!D:D)=TRIM(E1863)),0))</f>
        <v>156</v>
      </c>
      <c r="AA1863" cm="1">
        <f t="array" ref="AA1863">INDEX(Innings!I:I,MATCH(1,(TRIM(Innings!A:A)=TRIM(A1863))*(TRIM(Innings!D:D)=TRIM(E1863)),0))</f>
        <v>7.8</v>
      </c>
      <c r="AB1863" cm="1">
        <f t="array" ref="AB1863">INDEX(Innings!J:J,MATCH(1,(TRIM(Innings!A:A)=TRIM(A1863))*(TRIM(Innings!D:D)=TRIM(E1863)),0))</f>
        <v>33</v>
      </c>
      <c r="AC1863" cm="1">
        <f t="array" ref="AC1863">INDEX(Innings!N:N,MATCH(1,(TRIM(Innings!A:A)=TRIM(A1863))*(TRIM(Innings!D:D)=TRIM(E1863)),0))</f>
        <v>46</v>
      </c>
      <c r="AD1863" cm="1">
        <f t="array" ref="AD1863">INDEX(Innings!S:S,MATCH(1,(TRIM(Innings!A:A)=TRIM(A1863))*(TRIM(Innings!D:D)=TRIM(E1863)),0))</f>
        <v>34</v>
      </c>
      <c r="AE1863" t="str" cm="1">
        <f t="array" ref="AE1863">INDEX(Innings!W:W,MATCH(1,(TRIM(Innings!A:A)=TRIM(A1863))*(TRIM(Innings!D:D)=TRIM(E1863)),0))</f>
        <v>Failed</v>
      </c>
      <c r="AF1863">
        <f>IF(UPPER(TRIM(E1863))=UPPER(TRIM(W1863)),1,0)</f>
        <v>0</v>
      </c>
      <c r="AG1863">
        <f t="shared" si="58"/>
        <v>50.5</v>
      </c>
    </row>
    <row r="1864" spans="1:33" x14ac:dyDescent="0.3">
      <c r="A1864" t="s">
        <v>619</v>
      </c>
      <c r="B1864">
        <v>4</v>
      </c>
      <c r="C1864" t="s">
        <v>119</v>
      </c>
      <c r="D1864" t="s">
        <v>95</v>
      </c>
      <c r="E1864" t="s">
        <v>266</v>
      </c>
      <c r="F1864" t="s">
        <v>169</v>
      </c>
      <c r="G1864" t="s">
        <v>134</v>
      </c>
      <c r="H1864">
        <v>20</v>
      </c>
      <c r="I1864">
        <v>16</v>
      </c>
      <c r="J1864">
        <v>125</v>
      </c>
      <c r="K1864" t="s">
        <v>246</v>
      </c>
      <c r="L1864">
        <v>25</v>
      </c>
      <c r="M1864">
        <v>4</v>
      </c>
      <c r="N1864">
        <v>0</v>
      </c>
      <c r="O1864">
        <v>26</v>
      </c>
      <c r="P1864">
        <v>2</v>
      </c>
      <c r="Q1864">
        <v>6.5</v>
      </c>
      <c r="R1864">
        <v>50</v>
      </c>
      <c r="S1864">
        <v>0</v>
      </c>
      <c r="T1864">
        <v>0</v>
      </c>
      <c r="U1864" s="8">
        <v>75</v>
      </c>
      <c r="V1864" s="8">
        <f t="shared" si="59"/>
        <v>8</v>
      </c>
      <c r="W1864" t="str">
        <f>_xlfn.XLOOKUP(A1864, Matches!A:A, Matches!L:L, "NA", 0)</f>
        <v>GGTW</v>
      </c>
      <c r="X1864" t="str">
        <f>_xlfn.XLOOKUP(A1864, Matches!A:A, Matches!J:J, "NA", 0)</f>
        <v>GGTW</v>
      </c>
      <c r="Y1864" t="str">
        <f>_xlfn.XLOOKUP(A1864, Matches!A:A, Matches!F:F, "NA", 0)</f>
        <v>BCA Stadium, Kotambi</v>
      </c>
      <c r="Z1864" cm="1">
        <f t="array" ref="Z1864">INDEX(Innings!F:F,MATCH(1,(TRIM(Innings!A:A)=TRIM(A1864))*(TRIM(Innings!D:D)=TRIM(E1864)),0))</f>
        <v>156</v>
      </c>
      <c r="AA1864" cm="1">
        <f t="array" ref="AA1864">INDEX(Innings!I:I,MATCH(1,(TRIM(Innings!A:A)=TRIM(A1864))*(TRIM(Innings!D:D)=TRIM(E1864)),0))</f>
        <v>7.8</v>
      </c>
      <c r="AB1864" cm="1">
        <f t="array" ref="AB1864">INDEX(Innings!J:J,MATCH(1,(TRIM(Innings!A:A)=TRIM(A1864))*(TRIM(Innings!D:D)=TRIM(E1864)),0))</f>
        <v>33</v>
      </c>
      <c r="AC1864" cm="1">
        <f t="array" ref="AC1864">INDEX(Innings!N:N,MATCH(1,(TRIM(Innings!A:A)=TRIM(A1864))*(TRIM(Innings!D:D)=TRIM(E1864)),0))</f>
        <v>46</v>
      </c>
      <c r="AD1864" cm="1">
        <f t="array" ref="AD1864">INDEX(Innings!S:S,MATCH(1,(TRIM(Innings!A:A)=TRIM(A1864))*(TRIM(Innings!D:D)=TRIM(E1864)),0))</f>
        <v>34</v>
      </c>
      <c r="AE1864" t="str" cm="1">
        <f t="array" ref="AE1864">INDEX(Innings!W:W,MATCH(1,(TRIM(Innings!A:A)=TRIM(A1864))*(TRIM(Innings!D:D)=TRIM(E1864)),0))</f>
        <v>Failed</v>
      </c>
      <c r="AF1864">
        <f>IF(UPPER(TRIM(E1864))=UPPER(TRIM(W1864)),1,0)</f>
        <v>0</v>
      </c>
      <c r="AG1864">
        <f t="shared" si="58"/>
        <v>39.9</v>
      </c>
    </row>
    <row r="1865" spans="1:33" x14ac:dyDescent="0.3">
      <c r="A1865" t="s">
        <v>619</v>
      </c>
      <c r="B1865">
        <v>4</v>
      </c>
      <c r="C1865" t="s">
        <v>121</v>
      </c>
      <c r="D1865" t="s">
        <v>108</v>
      </c>
      <c r="E1865" t="s">
        <v>266</v>
      </c>
      <c r="F1865" t="s">
        <v>169</v>
      </c>
      <c r="G1865" t="s">
        <v>134</v>
      </c>
      <c r="H1865">
        <v>13</v>
      </c>
      <c r="I1865">
        <v>12</v>
      </c>
      <c r="J1865">
        <v>108.33</v>
      </c>
      <c r="K1865" t="s">
        <v>248</v>
      </c>
      <c r="L1865">
        <v>15</v>
      </c>
      <c r="M1865">
        <v>2</v>
      </c>
      <c r="N1865">
        <v>0</v>
      </c>
      <c r="O1865">
        <v>13</v>
      </c>
      <c r="P1865">
        <v>0</v>
      </c>
      <c r="Q1865">
        <v>6.5</v>
      </c>
      <c r="R1865">
        <v>0</v>
      </c>
      <c r="S1865">
        <v>0</v>
      </c>
      <c r="T1865">
        <v>0</v>
      </c>
      <c r="U1865" s="8">
        <v>15</v>
      </c>
      <c r="V1865" s="8">
        <f t="shared" si="59"/>
        <v>2</v>
      </c>
      <c r="W1865" t="str">
        <f>_xlfn.XLOOKUP(A1865, Matches!A:A, Matches!L:L, "NA", 0)</f>
        <v>GGTW</v>
      </c>
      <c r="X1865" t="str">
        <f>_xlfn.XLOOKUP(A1865, Matches!A:A, Matches!J:J, "NA", 0)</f>
        <v>GGTW</v>
      </c>
      <c r="Y1865" t="str">
        <f>_xlfn.XLOOKUP(A1865, Matches!A:A, Matches!F:F, "NA", 0)</f>
        <v>BCA Stadium, Kotambi</v>
      </c>
      <c r="Z1865" cm="1">
        <f t="array" ref="Z1865">INDEX(Innings!F:F,MATCH(1,(TRIM(Innings!A:A)=TRIM(A1865))*(TRIM(Innings!D:D)=TRIM(E1865)),0))</f>
        <v>156</v>
      </c>
      <c r="AA1865" cm="1">
        <f t="array" ref="AA1865">INDEX(Innings!I:I,MATCH(1,(TRIM(Innings!A:A)=TRIM(A1865))*(TRIM(Innings!D:D)=TRIM(E1865)),0))</f>
        <v>7.8</v>
      </c>
      <c r="AB1865" cm="1">
        <f t="array" ref="AB1865">INDEX(Innings!J:J,MATCH(1,(TRIM(Innings!A:A)=TRIM(A1865))*(TRIM(Innings!D:D)=TRIM(E1865)),0))</f>
        <v>33</v>
      </c>
      <c r="AC1865" cm="1">
        <f t="array" ref="AC1865">INDEX(Innings!N:N,MATCH(1,(TRIM(Innings!A:A)=TRIM(A1865))*(TRIM(Innings!D:D)=TRIM(E1865)),0))</f>
        <v>46</v>
      </c>
      <c r="AD1865" cm="1">
        <f t="array" ref="AD1865">INDEX(Innings!S:S,MATCH(1,(TRIM(Innings!A:A)=TRIM(A1865))*(TRIM(Innings!D:D)=TRIM(E1865)),0))</f>
        <v>34</v>
      </c>
      <c r="AE1865" t="str" cm="1">
        <f t="array" ref="AE1865">INDEX(Innings!W:W,MATCH(1,(TRIM(Innings!A:A)=TRIM(A1865))*(TRIM(Innings!D:D)=TRIM(E1865)),0))</f>
        <v>Failed</v>
      </c>
      <c r="AF1865">
        <f>IF(UPPER(TRIM(E1865))=UPPER(TRIM(W1865)),1,0)</f>
        <v>0</v>
      </c>
      <c r="AG1865">
        <f t="shared" si="58"/>
        <v>8.1</v>
      </c>
    </row>
    <row r="1866" spans="1:33" x14ac:dyDescent="0.3">
      <c r="A1866" t="s">
        <v>619</v>
      </c>
      <c r="B1866">
        <v>4</v>
      </c>
      <c r="C1866" t="s">
        <v>507</v>
      </c>
      <c r="D1866" t="s">
        <v>519</v>
      </c>
      <c r="E1866" t="s">
        <v>266</v>
      </c>
      <c r="F1866" t="s">
        <v>101</v>
      </c>
      <c r="G1866" t="s">
        <v>134</v>
      </c>
      <c r="H1866">
        <v>0</v>
      </c>
      <c r="I1866">
        <v>1</v>
      </c>
      <c r="J1866">
        <v>0</v>
      </c>
      <c r="K1866" t="s">
        <v>247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 s="8">
        <v>0</v>
      </c>
      <c r="V1866" s="8">
        <f t="shared" si="59"/>
        <v>0</v>
      </c>
      <c r="W1866" t="str">
        <f>_xlfn.XLOOKUP(A1866, Matches!A:A, Matches!L:L, "NA", 0)</f>
        <v>GGTW</v>
      </c>
      <c r="X1866" t="str">
        <f>_xlfn.XLOOKUP(A1866, Matches!A:A, Matches!J:J, "NA", 0)</f>
        <v>GGTW</v>
      </c>
      <c r="Y1866" t="str">
        <f>_xlfn.XLOOKUP(A1866, Matches!A:A, Matches!F:F, "NA", 0)</f>
        <v>BCA Stadium, Kotambi</v>
      </c>
      <c r="Z1866" cm="1">
        <f t="array" ref="Z1866">INDEX(Innings!F:F,MATCH(1,(TRIM(Innings!A:A)=TRIM(A1866))*(TRIM(Innings!D:D)=TRIM(E1866)),0))</f>
        <v>156</v>
      </c>
      <c r="AA1866" cm="1">
        <f t="array" ref="AA1866">INDEX(Innings!I:I,MATCH(1,(TRIM(Innings!A:A)=TRIM(A1866))*(TRIM(Innings!D:D)=TRIM(E1866)),0))</f>
        <v>7.8</v>
      </c>
      <c r="AB1866" cm="1">
        <f t="array" ref="AB1866">INDEX(Innings!J:J,MATCH(1,(TRIM(Innings!A:A)=TRIM(A1866))*(TRIM(Innings!D:D)=TRIM(E1866)),0))</f>
        <v>33</v>
      </c>
      <c r="AC1866" cm="1">
        <f t="array" ref="AC1866">INDEX(Innings!N:N,MATCH(1,(TRIM(Innings!A:A)=TRIM(A1866))*(TRIM(Innings!D:D)=TRIM(E1866)),0))</f>
        <v>46</v>
      </c>
      <c r="AD1866" cm="1">
        <f t="array" ref="AD1866">INDEX(Innings!S:S,MATCH(1,(TRIM(Innings!A:A)=TRIM(A1866))*(TRIM(Innings!D:D)=TRIM(E1866)),0))</f>
        <v>34</v>
      </c>
      <c r="AE1866" t="str" cm="1">
        <f t="array" ref="AE1866">INDEX(Innings!W:W,MATCH(1,(TRIM(Innings!A:A)=TRIM(A1866))*(TRIM(Innings!D:D)=TRIM(E1866)),0))</f>
        <v>Failed</v>
      </c>
      <c r="AF1866">
        <f>IF(UPPER(TRIM(E1866))=UPPER(TRIM(W1866)),1,0)</f>
        <v>0</v>
      </c>
      <c r="AG1866">
        <f t="shared" si="58"/>
        <v>0</v>
      </c>
    </row>
    <row r="1867" spans="1:33" x14ac:dyDescent="0.3">
      <c r="A1867" t="s">
        <v>619</v>
      </c>
      <c r="B1867">
        <v>4</v>
      </c>
      <c r="C1867" t="s">
        <v>273</v>
      </c>
      <c r="D1867" t="s">
        <v>279</v>
      </c>
      <c r="E1867" t="s">
        <v>266</v>
      </c>
      <c r="F1867" t="s">
        <v>169</v>
      </c>
      <c r="G1867" t="s">
        <v>134</v>
      </c>
      <c r="H1867">
        <v>2</v>
      </c>
      <c r="I1867">
        <v>3</v>
      </c>
      <c r="J1867">
        <v>66.67</v>
      </c>
      <c r="K1867" t="s">
        <v>246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 s="8">
        <v>0</v>
      </c>
      <c r="V1867" s="8">
        <f t="shared" si="59"/>
        <v>0</v>
      </c>
      <c r="W1867" t="str">
        <f>_xlfn.XLOOKUP(A1867, Matches!A:A, Matches!L:L, "NA", 0)</f>
        <v>GGTW</v>
      </c>
      <c r="X1867" t="str">
        <f>_xlfn.XLOOKUP(A1867, Matches!A:A, Matches!J:J, "NA", 0)</f>
        <v>GGTW</v>
      </c>
      <c r="Y1867" t="str">
        <f>_xlfn.XLOOKUP(A1867, Matches!A:A, Matches!F:F, "NA", 0)</f>
        <v>BCA Stadium, Kotambi</v>
      </c>
      <c r="Z1867" cm="1">
        <f t="array" ref="Z1867">INDEX(Innings!F:F,MATCH(1,(TRIM(Innings!A:A)=TRIM(A1867))*(TRIM(Innings!D:D)=TRIM(E1867)),0))</f>
        <v>156</v>
      </c>
      <c r="AA1867" cm="1">
        <f t="array" ref="AA1867">INDEX(Innings!I:I,MATCH(1,(TRIM(Innings!A:A)=TRIM(A1867))*(TRIM(Innings!D:D)=TRIM(E1867)),0))</f>
        <v>7.8</v>
      </c>
      <c r="AB1867" cm="1">
        <f t="array" ref="AB1867">INDEX(Innings!J:J,MATCH(1,(TRIM(Innings!A:A)=TRIM(A1867))*(TRIM(Innings!D:D)=TRIM(E1867)),0))</f>
        <v>33</v>
      </c>
      <c r="AC1867" cm="1">
        <f t="array" ref="AC1867">INDEX(Innings!N:N,MATCH(1,(TRIM(Innings!A:A)=TRIM(A1867))*(TRIM(Innings!D:D)=TRIM(E1867)),0))</f>
        <v>46</v>
      </c>
      <c r="AD1867" cm="1">
        <f t="array" ref="AD1867">INDEX(Innings!S:S,MATCH(1,(TRIM(Innings!A:A)=TRIM(A1867))*(TRIM(Innings!D:D)=TRIM(E1867)),0))</f>
        <v>34</v>
      </c>
      <c r="AE1867" t="str" cm="1">
        <f t="array" ref="AE1867">INDEX(Innings!W:W,MATCH(1,(TRIM(Innings!A:A)=TRIM(A1867))*(TRIM(Innings!D:D)=TRIM(E1867)),0))</f>
        <v>Failed</v>
      </c>
      <c r="AF1867">
        <f>IF(UPPER(TRIM(E1867))=UPPER(TRIM(W1867)),1,0)</f>
        <v>0</v>
      </c>
      <c r="AG1867">
        <f t="shared" si="58"/>
        <v>0</v>
      </c>
    </row>
    <row r="1868" spans="1:33" x14ac:dyDescent="0.3">
      <c r="A1868" t="s">
        <v>619</v>
      </c>
      <c r="B1868">
        <v>4</v>
      </c>
      <c r="C1868" t="s">
        <v>583</v>
      </c>
      <c r="D1868" t="s">
        <v>670</v>
      </c>
      <c r="E1868" t="s">
        <v>266</v>
      </c>
      <c r="F1868" t="s">
        <v>85</v>
      </c>
      <c r="G1868" t="s">
        <v>134</v>
      </c>
      <c r="H1868">
        <v>1</v>
      </c>
      <c r="I1868">
        <v>1</v>
      </c>
      <c r="J1868">
        <v>100</v>
      </c>
      <c r="K1868" t="s">
        <v>96</v>
      </c>
      <c r="L1868">
        <v>5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 s="8">
        <v>5</v>
      </c>
      <c r="V1868" s="8">
        <f t="shared" si="59"/>
        <v>1</v>
      </c>
      <c r="W1868" t="str">
        <f>_xlfn.XLOOKUP(A1868, Matches!A:A, Matches!L:L, "NA", 0)</f>
        <v>GGTW</v>
      </c>
      <c r="X1868" t="str">
        <f>_xlfn.XLOOKUP(A1868, Matches!A:A, Matches!J:J, "NA", 0)</f>
        <v>GGTW</v>
      </c>
      <c r="Y1868" t="str">
        <f>_xlfn.XLOOKUP(A1868, Matches!A:A, Matches!F:F, "NA", 0)</f>
        <v>BCA Stadium, Kotambi</v>
      </c>
      <c r="Z1868" cm="1">
        <f t="array" ref="Z1868">INDEX(Innings!F:F,MATCH(1,(TRIM(Innings!A:A)=TRIM(A1868))*(TRIM(Innings!D:D)=TRIM(E1868)),0))</f>
        <v>156</v>
      </c>
      <c r="AA1868" cm="1">
        <f t="array" ref="AA1868">INDEX(Innings!I:I,MATCH(1,(TRIM(Innings!A:A)=TRIM(A1868))*(TRIM(Innings!D:D)=TRIM(E1868)),0))</f>
        <v>7.8</v>
      </c>
      <c r="AB1868" cm="1">
        <f t="array" ref="AB1868">INDEX(Innings!J:J,MATCH(1,(TRIM(Innings!A:A)=TRIM(A1868))*(TRIM(Innings!D:D)=TRIM(E1868)),0))</f>
        <v>33</v>
      </c>
      <c r="AC1868" cm="1">
        <f t="array" ref="AC1868">INDEX(Innings!N:N,MATCH(1,(TRIM(Innings!A:A)=TRIM(A1868))*(TRIM(Innings!D:D)=TRIM(E1868)),0))</f>
        <v>46</v>
      </c>
      <c r="AD1868" cm="1">
        <f t="array" ref="AD1868">INDEX(Innings!S:S,MATCH(1,(TRIM(Innings!A:A)=TRIM(A1868))*(TRIM(Innings!D:D)=TRIM(E1868)),0))</f>
        <v>34</v>
      </c>
      <c r="AE1868" t="str" cm="1">
        <f t="array" ref="AE1868">INDEX(Innings!W:W,MATCH(1,(TRIM(Innings!A:A)=TRIM(A1868))*(TRIM(Innings!D:D)=TRIM(E1868)),0))</f>
        <v>Failed</v>
      </c>
      <c r="AF1868">
        <f>IF(UPPER(TRIM(E1868))=UPPER(TRIM(W1868)),1,0)</f>
        <v>0</v>
      </c>
      <c r="AG1868">
        <f t="shared" si="58"/>
        <v>2.8</v>
      </c>
    </row>
    <row r="1869" spans="1:33" x14ac:dyDescent="0.3">
      <c r="A1869" t="s">
        <v>619</v>
      </c>
      <c r="B1869">
        <v>4</v>
      </c>
      <c r="C1869" t="s">
        <v>585</v>
      </c>
      <c r="D1869" t="s">
        <v>672</v>
      </c>
      <c r="E1869" t="s">
        <v>266</v>
      </c>
      <c r="F1869" t="s">
        <v>169</v>
      </c>
      <c r="G1869" t="s">
        <v>104</v>
      </c>
      <c r="H1869">
        <v>0</v>
      </c>
      <c r="I1869">
        <v>0</v>
      </c>
      <c r="J1869">
        <v>0</v>
      </c>
      <c r="K1869" t="s">
        <v>104</v>
      </c>
      <c r="L1869">
        <v>0</v>
      </c>
      <c r="M1869">
        <v>2</v>
      </c>
      <c r="N1869">
        <v>0</v>
      </c>
      <c r="O1869">
        <v>21</v>
      </c>
      <c r="P1869">
        <v>0</v>
      </c>
      <c r="Q1869">
        <v>10.5</v>
      </c>
      <c r="R1869">
        <v>0</v>
      </c>
      <c r="S1869">
        <v>0</v>
      </c>
      <c r="T1869">
        <v>0</v>
      </c>
      <c r="U1869" s="8">
        <v>0</v>
      </c>
      <c r="V1869" s="8">
        <f t="shared" si="59"/>
        <v>0</v>
      </c>
      <c r="W1869" t="str">
        <f>_xlfn.XLOOKUP(A1869, Matches!A:A, Matches!L:L, "NA", 0)</f>
        <v>GGTW</v>
      </c>
      <c r="X1869" t="str">
        <f>_xlfn.XLOOKUP(A1869, Matches!A:A, Matches!J:J, "NA", 0)</f>
        <v>GGTW</v>
      </c>
      <c r="Y1869" t="str">
        <f>_xlfn.XLOOKUP(A1869, Matches!A:A, Matches!F:F, "NA", 0)</f>
        <v>BCA Stadium, Kotambi</v>
      </c>
      <c r="Z1869" cm="1">
        <f t="array" ref="Z1869">INDEX(Innings!F:F,MATCH(1,(TRIM(Innings!A:A)=TRIM(A1869))*(TRIM(Innings!D:D)=TRIM(E1869)),0))</f>
        <v>156</v>
      </c>
      <c r="AA1869" cm="1">
        <f t="array" ref="AA1869">INDEX(Innings!I:I,MATCH(1,(TRIM(Innings!A:A)=TRIM(A1869))*(TRIM(Innings!D:D)=TRIM(E1869)),0))</f>
        <v>7.8</v>
      </c>
      <c r="AB1869" cm="1">
        <f t="array" ref="AB1869">INDEX(Innings!J:J,MATCH(1,(TRIM(Innings!A:A)=TRIM(A1869))*(TRIM(Innings!D:D)=TRIM(E1869)),0))</f>
        <v>33</v>
      </c>
      <c r="AC1869" cm="1">
        <f t="array" ref="AC1869">INDEX(Innings!N:N,MATCH(1,(TRIM(Innings!A:A)=TRIM(A1869))*(TRIM(Innings!D:D)=TRIM(E1869)),0))</f>
        <v>46</v>
      </c>
      <c r="AD1869" cm="1">
        <f t="array" ref="AD1869">INDEX(Innings!S:S,MATCH(1,(TRIM(Innings!A:A)=TRIM(A1869))*(TRIM(Innings!D:D)=TRIM(E1869)),0))</f>
        <v>34</v>
      </c>
      <c r="AE1869" t="str" cm="1">
        <f t="array" ref="AE1869">INDEX(Innings!W:W,MATCH(1,(TRIM(Innings!A:A)=TRIM(A1869))*(TRIM(Innings!D:D)=TRIM(E1869)),0))</f>
        <v>Failed</v>
      </c>
      <c r="AF1869">
        <f>IF(UPPER(TRIM(E1869))=UPPER(TRIM(W1869)),1,0)</f>
        <v>0</v>
      </c>
      <c r="AG1869">
        <f t="shared" si="58"/>
        <v>0</v>
      </c>
    </row>
    <row r="1870" spans="1:33" x14ac:dyDescent="0.3">
      <c r="A1870" t="s">
        <v>619</v>
      </c>
      <c r="B1870">
        <v>4</v>
      </c>
      <c r="C1870" t="s">
        <v>265</v>
      </c>
      <c r="D1870" t="s">
        <v>264</v>
      </c>
      <c r="E1870" t="s">
        <v>266</v>
      </c>
      <c r="F1870" t="s">
        <v>101</v>
      </c>
      <c r="G1870" t="s">
        <v>104</v>
      </c>
      <c r="H1870">
        <v>0</v>
      </c>
      <c r="I1870">
        <v>0</v>
      </c>
      <c r="J1870">
        <v>0</v>
      </c>
      <c r="K1870" t="s">
        <v>104</v>
      </c>
      <c r="L1870">
        <v>0</v>
      </c>
      <c r="M1870">
        <v>4</v>
      </c>
      <c r="N1870">
        <v>0</v>
      </c>
      <c r="O1870">
        <v>29</v>
      </c>
      <c r="P1870">
        <v>1</v>
      </c>
      <c r="Q1870">
        <v>7.2</v>
      </c>
      <c r="R1870">
        <v>25</v>
      </c>
      <c r="S1870">
        <v>0</v>
      </c>
      <c r="T1870">
        <v>0</v>
      </c>
      <c r="U1870" s="8">
        <v>25</v>
      </c>
      <c r="V1870" s="8">
        <f t="shared" si="59"/>
        <v>3</v>
      </c>
      <c r="W1870" t="str">
        <f>_xlfn.XLOOKUP(A1870, Matches!A:A, Matches!L:L, "NA", 0)</f>
        <v>GGTW</v>
      </c>
      <c r="X1870" t="str">
        <f>_xlfn.XLOOKUP(A1870, Matches!A:A, Matches!J:J, "NA", 0)</f>
        <v>GGTW</v>
      </c>
      <c r="Y1870" t="str">
        <f>_xlfn.XLOOKUP(A1870, Matches!A:A, Matches!F:F, "NA", 0)</f>
        <v>BCA Stadium, Kotambi</v>
      </c>
      <c r="Z1870" cm="1">
        <f t="array" ref="Z1870">INDEX(Innings!F:F,MATCH(1,(TRIM(Innings!A:A)=TRIM(A1870))*(TRIM(Innings!D:D)=TRIM(E1870)),0))</f>
        <v>156</v>
      </c>
      <c r="AA1870" cm="1">
        <f t="array" ref="AA1870">INDEX(Innings!I:I,MATCH(1,(TRIM(Innings!A:A)=TRIM(A1870))*(TRIM(Innings!D:D)=TRIM(E1870)),0))</f>
        <v>7.8</v>
      </c>
      <c r="AB1870" cm="1">
        <f t="array" ref="AB1870">INDEX(Innings!J:J,MATCH(1,(TRIM(Innings!A:A)=TRIM(A1870))*(TRIM(Innings!D:D)=TRIM(E1870)),0))</f>
        <v>33</v>
      </c>
      <c r="AC1870" cm="1">
        <f t="array" ref="AC1870">INDEX(Innings!N:N,MATCH(1,(TRIM(Innings!A:A)=TRIM(A1870))*(TRIM(Innings!D:D)=TRIM(E1870)),0))</f>
        <v>46</v>
      </c>
      <c r="AD1870" cm="1">
        <f t="array" ref="AD1870">INDEX(Innings!S:S,MATCH(1,(TRIM(Innings!A:A)=TRIM(A1870))*(TRIM(Innings!D:D)=TRIM(E1870)),0))</f>
        <v>34</v>
      </c>
      <c r="AE1870" t="str" cm="1">
        <f t="array" ref="AE1870">INDEX(Innings!W:W,MATCH(1,(TRIM(Innings!A:A)=TRIM(A1870))*(TRIM(Innings!D:D)=TRIM(E1870)),0))</f>
        <v>Failed</v>
      </c>
      <c r="AF1870">
        <f>IF(UPPER(TRIM(E1870))=UPPER(TRIM(W1870)),1,0)</f>
        <v>0</v>
      </c>
      <c r="AG1870">
        <f t="shared" si="58"/>
        <v>13.4</v>
      </c>
    </row>
    <row r="1871" spans="1:33" x14ac:dyDescent="0.3">
      <c r="A1871" t="s">
        <v>620</v>
      </c>
      <c r="B1871">
        <v>4</v>
      </c>
      <c r="C1871" t="s">
        <v>190</v>
      </c>
      <c r="D1871" t="s">
        <v>191</v>
      </c>
      <c r="E1871" t="s">
        <v>219</v>
      </c>
      <c r="F1871" t="s">
        <v>109</v>
      </c>
      <c r="G1871" t="s">
        <v>86</v>
      </c>
      <c r="H1871">
        <v>0</v>
      </c>
      <c r="I1871">
        <v>1</v>
      </c>
      <c r="J1871">
        <v>0</v>
      </c>
      <c r="K1871" t="s">
        <v>247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 s="8">
        <v>0</v>
      </c>
      <c r="V1871" s="8">
        <f t="shared" si="59"/>
        <v>0</v>
      </c>
      <c r="W1871" t="str">
        <f>_xlfn.XLOOKUP(A1871, Matches!A:A, Matches!L:L, "NA", 0)</f>
        <v>DCW</v>
      </c>
      <c r="X1871" t="str">
        <f>_xlfn.XLOOKUP(A1871, Matches!A:A, Matches!J:J, "NA", 0)</f>
        <v>DCW</v>
      </c>
      <c r="Y1871" t="str">
        <f>_xlfn.XLOOKUP(A1871, Matches!A:A, Matches!F:F, "NA", 0)</f>
        <v>BCA Stadium, Kotambi</v>
      </c>
      <c r="Z1871" cm="1">
        <f t="array" ref="Z1871">INDEX(Innings!F:F,MATCH(1,(TRIM(Innings!A:A)=TRIM(A1871))*(TRIM(Innings!D:D)=TRIM(E1871)),0))</f>
        <v>122</v>
      </c>
      <c r="AA1871" cm="1">
        <f t="array" ref="AA1871">INDEX(Innings!I:I,MATCH(1,(TRIM(Innings!A:A)=TRIM(A1871))*(TRIM(Innings!D:D)=TRIM(E1871)),0))</f>
        <v>6.1</v>
      </c>
      <c r="AB1871" cm="1">
        <f t="array" ref="AB1871">INDEX(Innings!J:J,MATCH(1,(TRIM(Innings!A:A)=TRIM(A1871))*(TRIM(Innings!D:D)=TRIM(E1871)),0))</f>
        <v>36</v>
      </c>
      <c r="AC1871" cm="1">
        <f t="array" ref="AC1871">INDEX(Innings!N:N,MATCH(1,(TRIM(Innings!A:A)=TRIM(A1871))*(TRIM(Innings!D:D)=TRIM(E1871)),0))</f>
        <v>30</v>
      </c>
      <c r="AD1871" cm="1">
        <f t="array" ref="AD1871">INDEX(Innings!S:S,MATCH(1,(TRIM(Innings!A:A)=TRIM(A1871))*(TRIM(Innings!D:D)=TRIM(E1871)),0))</f>
        <v>35</v>
      </c>
      <c r="AE1871" t="str" cm="1">
        <f t="array" ref="AE1871">INDEX(Innings!W:W,MATCH(1,(TRIM(Innings!A:A)=TRIM(A1871))*(TRIM(Innings!D:D)=TRIM(E1871)),0))</f>
        <v>NA</v>
      </c>
      <c r="AF1871">
        <f>IF(UPPER(TRIM(E1871))=UPPER(TRIM(W1871)),1,0)</f>
        <v>0</v>
      </c>
      <c r="AG1871">
        <f t="shared" si="58"/>
        <v>0</v>
      </c>
    </row>
    <row r="1872" spans="1:33" x14ac:dyDescent="0.3">
      <c r="A1872" t="s">
        <v>620</v>
      </c>
      <c r="B1872">
        <v>4</v>
      </c>
      <c r="C1872" t="s">
        <v>224</v>
      </c>
      <c r="D1872" t="s">
        <v>225</v>
      </c>
      <c r="E1872" t="s">
        <v>219</v>
      </c>
      <c r="F1872" t="s">
        <v>169</v>
      </c>
      <c r="G1872" t="s">
        <v>92</v>
      </c>
      <c r="H1872">
        <v>24</v>
      </c>
      <c r="I1872">
        <v>19</v>
      </c>
      <c r="J1872">
        <v>126.32</v>
      </c>
      <c r="K1872" t="s">
        <v>246</v>
      </c>
      <c r="L1872">
        <v>25</v>
      </c>
      <c r="M1872">
        <v>3.4</v>
      </c>
      <c r="N1872">
        <v>0</v>
      </c>
      <c r="O1872">
        <v>27</v>
      </c>
      <c r="P1872">
        <v>2</v>
      </c>
      <c r="Q1872">
        <v>7.4</v>
      </c>
      <c r="R1872">
        <v>50</v>
      </c>
      <c r="S1872">
        <v>0</v>
      </c>
      <c r="T1872">
        <v>0</v>
      </c>
      <c r="U1872" s="8">
        <v>75</v>
      </c>
      <c r="V1872" s="8">
        <f t="shared" si="59"/>
        <v>8</v>
      </c>
      <c r="W1872" t="str">
        <f>_xlfn.XLOOKUP(A1872, Matches!A:A, Matches!L:L, "NA", 0)</f>
        <v>DCW</v>
      </c>
      <c r="X1872" t="str">
        <f>_xlfn.XLOOKUP(A1872, Matches!A:A, Matches!J:J, "NA", 0)</f>
        <v>DCW</v>
      </c>
      <c r="Y1872" t="str">
        <f>_xlfn.XLOOKUP(A1872, Matches!A:A, Matches!F:F, "NA", 0)</f>
        <v>BCA Stadium, Kotambi</v>
      </c>
      <c r="Z1872" cm="1">
        <f t="array" ref="Z1872">INDEX(Innings!F:F,MATCH(1,(TRIM(Innings!A:A)=TRIM(A1872))*(TRIM(Innings!D:D)=TRIM(E1872)),0))</f>
        <v>122</v>
      </c>
      <c r="AA1872" cm="1">
        <f t="array" ref="AA1872">INDEX(Innings!I:I,MATCH(1,(TRIM(Innings!A:A)=TRIM(A1872))*(TRIM(Innings!D:D)=TRIM(E1872)),0))</f>
        <v>6.1</v>
      </c>
      <c r="AB1872" cm="1">
        <f t="array" ref="AB1872">INDEX(Innings!J:J,MATCH(1,(TRIM(Innings!A:A)=TRIM(A1872))*(TRIM(Innings!D:D)=TRIM(E1872)),0))</f>
        <v>36</v>
      </c>
      <c r="AC1872" cm="1">
        <f t="array" ref="AC1872">INDEX(Innings!N:N,MATCH(1,(TRIM(Innings!A:A)=TRIM(A1872))*(TRIM(Innings!D:D)=TRIM(E1872)),0))</f>
        <v>30</v>
      </c>
      <c r="AD1872" cm="1">
        <f t="array" ref="AD1872">INDEX(Innings!S:S,MATCH(1,(TRIM(Innings!A:A)=TRIM(A1872))*(TRIM(Innings!D:D)=TRIM(E1872)),0))</f>
        <v>35</v>
      </c>
      <c r="AE1872" t="str" cm="1">
        <f t="array" ref="AE1872">INDEX(Innings!W:W,MATCH(1,(TRIM(Innings!A:A)=TRIM(A1872))*(TRIM(Innings!D:D)=TRIM(E1872)),0))</f>
        <v>NA</v>
      </c>
      <c r="AF1872">
        <f>IF(UPPER(TRIM(E1872))=UPPER(TRIM(W1872)),1,0)</f>
        <v>0</v>
      </c>
      <c r="AG1872">
        <f t="shared" si="58"/>
        <v>39.9</v>
      </c>
    </row>
    <row r="1873" spans="1:33" x14ac:dyDescent="0.3">
      <c r="A1873" t="s">
        <v>620</v>
      </c>
      <c r="B1873">
        <v>4</v>
      </c>
      <c r="C1873" t="s">
        <v>588</v>
      </c>
      <c r="D1873" t="s">
        <v>691</v>
      </c>
      <c r="E1873" t="s">
        <v>219</v>
      </c>
      <c r="F1873" t="s">
        <v>169</v>
      </c>
      <c r="G1873" t="s">
        <v>92</v>
      </c>
      <c r="H1873">
        <v>12</v>
      </c>
      <c r="I1873">
        <v>12</v>
      </c>
      <c r="J1873">
        <v>100</v>
      </c>
      <c r="K1873" t="s">
        <v>246</v>
      </c>
      <c r="L1873">
        <v>15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 s="8">
        <v>15</v>
      </c>
      <c r="V1873" s="8">
        <f t="shared" si="59"/>
        <v>2</v>
      </c>
      <c r="W1873" t="str">
        <f>_xlfn.XLOOKUP(A1873, Matches!A:A, Matches!L:L, "NA", 0)</f>
        <v>DCW</v>
      </c>
      <c r="X1873" t="str">
        <f>_xlfn.XLOOKUP(A1873, Matches!A:A, Matches!J:J, "NA", 0)</f>
        <v>DCW</v>
      </c>
      <c r="Y1873" t="str">
        <f>_xlfn.XLOOKUP(A1873, Matches!A:A, Matches!F:F, "NA", 0)</f>
        <v>BCA Stadium, Kotambi</v>
      </c>
      <c r="Z1873" cm="1">
        <f t="array" ref="Z1873">INDEX(Innings!F:F,MATCH(1,(TRIM(Innings!A:A)=TRIM(A1873))*(TRIM(Innings!D:D)=TRIM(E1873)),0))</f>
        <v>122</v>
      </c>
      <c r="AA1873" cm="1">
        <f t="array" ref="AA1873">INDEX(Innings!I:I,MATCH(1,(TRIM(Innings!A:A)=TRIM(A1873))*(TRIM(Innings!D:D)=TRIM(E1873)),0))</f>
        <v>6.1</v>
      </c>
      <c r="AB1873" cm="1">
        <f t="array" ref="AB1873">INDEX(Innings!J:J,MATCH(1,(TRIM(Innings!A:A)=TRIM(A1873))*(TRIM(Innings!D:D)=TRIM(E1873)),0))</f>
        <v>36</v>
      </c>
      <c r="AC1873" cm="1">
        <f t="array" ref="AC1873">INDEX(Innings!N:N,MATCH(1,(TRIM(Innings!A:A)=TRIM(A1873))*(TRIM(Innings!D:D)=TRIM(E1873)),0))</f>
        <v>30</v>
      </c>
      <c r="AD1873" cm="1">
        <f t="array" ref="AD1873">INDEX(Innings!S:S,MATCH(1,(TRIM(Innings!A:A)=TRIM(A1873))*(TRIM(Innings!D:D)=TRIM(E1873)),0))</f>
        <v>35</v>
      </c>
      <c r="AE1873" t="str" cm="1">
        <f t="array" ref="AE1873">INDEX(Innings!W:W,MATCH(1,(TRIM(Innings!A:A)=TRIM(A1873))*(TRIM(Innings!D:D)=TRIM(E1873)),0))</f>
        <v>NA</v>
      </c>
      <c r="AF1873">
        <f>IF(UPPER(TRIM(E1873))=UPPER(TRIM(W1873)),1,0)</f>
        <v>0</v>
      </c>
      <c r="AG1873">
        <f t="shared" si="58"/>
        <v>8.1</v>
      </c>
    </row>
    <row r="1874" spans="1:33" x14ac:dyDescent="0.3">
      <c r="A1874" t="s">
        <v>620</v>
      </c>
      <c r="B1874">
        <v>4</v>
      </c>
      <c r="C1874" t="s">
        <v>89</v>
      </c>
      <c r="D1874" t="s">
        <v>116</v>
      </c>
      <c r="E1874" t="s">
        <v>219</v>
      </c>
      <c r="F1874" t="s">
        <v>169</v>
      </c>
      <c r="G1874" t="s">
        <v>92</v>
      </c>
      <c r="H1874">
        <v>3</v>
      </c>
      <c r="I1874">
        <v>11</v>
      </c>
      <c r="J1874">
        <v>27.27</v>
      </c>
      <c r="K1874" t="s">
        <v>247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 s="8">
        <v>0</v>
      </c>
      <c r="V1874" s="8">
        <f t="shared" si="59"/>
        <v>0</v>
      </c>
      <c r="W1874" t="str">
        <f>_xlfn.XLOOKUP(A1874, Matches!A:A, Matches!L:L, "NA", 0)</f>
        <v>DCW</v>
      </c>
      <c r="X1874" t="str">
        <f>_xlfn.XLOOKUP(A1874, Matches!A:A, Matches!J:J, "NA", 0)</f>
        <v>DCW</v>
      </c>
      <c r="Y1874" t="str">
        <f>_xlfn.XLOOKUP(A1874, Matches!A:A, Matches!F:F, "NA", 0)</f>
        <v>BCA Stadium, Kotambi</v>
      </c>
      <c r="Z1874" cm="1">
        <f t="array" ref="Z1874">INDEX(Innings!F:F,MATCH(1,(TRIM(Innings!A:A)=TRIM(A1874))*(TRIM(Innings!D:D)=TRIM(E1874)),0))</f>
        <v>122</v>
      </c>
      <c r="AA1874" cm="1">
        <f t="array" ref="AA1874">INDEX(Innings!I:I,MATCH(1,(TRIM(Innings!A:A)=TRIM(A1874))*(TRIM(Innings!D:D)=TRIM(E1874)),0))</f>
        <v>6.1</v>
      </c>
      <c r="AB1874" cm="1">
        <f t="array" ref="AB1874">INDEX(Innings!J:J,MATCH(1,(TRIM(Innings!A:A)=TRIM(A1874))*(TRIM(Innings!D:D)=TRIM(E1874)),0))</f>
        <v>36</v>
      </c>
      <c r="AC1874" cm="1">
        <f t="array" ref="AC1874">INDEX(Innings!N:N,MATCH(1,(TRIM(Innings!A:A)=TRIM(A1874))*(TRIM(Innings!D:D)=TRIM(E1874)),0))</f>
        <v>30</v>
      </c>
      <c r="AD1874" cm="1">
        <f t="array" ref="AD1874">INDEX(Innings!S:S,MATCH(1,(TRIM(Innings!A:A)=TRIM(A1874))*(TRIM(Innings!D:D)=TRIM(E1874)),0))</f>
        <v>35</v>
      </c>
      <c r="AE1874" t="str" cm="1">
        <f t="array" ref="AE1874">INDEX(Innings!W:W,MATCH(1,(TRIM(Innings!A:A)=TRIM(A1874))*(TRIM(Innings!D:D)=TRIM(E1874)),0))</f>
        <v>NA</v>
      </c>
      <c r="AF1874">
        <f>IF(UPPER(TRIM(E1874))=UPPER(TRIM(W1874)),1,0)</f>
        <v>0</v>
      </c>
      <c r="AG1874">
        <f t="shared" si="58"/>
        <v>0</v>
      </c>
    </row>
    <row r="1875" spans="1:33" x14ac:dyDescent="0.3">
      <c r="A1875" t="s">
        <v>620</v>
      </c>
      <c r="B1875">
        <v>4</v>
      </c>
      <c r="C1875" t="s">
        <v>530</v>
      </c>
      <c r="D1875" t="s">
        <v>502</v>
      </c>
      <c r="E1875" t="s">
        <v>219</v>
      </c>
      <c r="F1875" t="s">
        <v>169</v>
      </c>
      <c r="G1875" t="s">
        <v>134</v>
      </c>
      <c r="H1875">
        <v>5</v>
      </c>
      <c r="I1875">
        <v>9</v>
      </c>
      <c r="J1875">
        <v>55.56</v>
      </c>
      <c r="K1875" t="s">
        <v>247</v>
      </c>
      <c r="L1875">
        <v>5</v>
      </c>
      <c r="M1875">
        <v>4</v>
      </c>
      <c r="N1875">
        <v>0</v>
      </c>
      <c r="O1875">
        <v>30</v>
      </c>
      <c r="P1875">
        <v>1</v>
      </c>
      <c r="Q1875">
        <v>7.5</v>
      </c>
      <c r="R1875">
        <v>25</v>
      </c>
      <c r="S1875">
        <v>0</v>
      </c>
      <c r="T1875">
        <v>0</v>
      </c>
      <c r="U1875" s="8">
        <v>30</v>
      </c>
      <c r="V1875" s="8">
        <f t="shared" si="59"/>
        <v>3</v>
      </c>
      <c r="W1875" t="str">
        <f>_xlfn.XLOOKUP(A1875, Matches!A:A, Matches!L:L, "NA", 0)</f>
        <v>DCW</v>
      </c>
      <c r="X1875" t="str">
        <f>_xlfn.XLOOKUP(A1875, Matches!A:A, Matches!J:J, "NA", 0)</f>
        <v>DCW</v>
      </c>
      <c r="Y1875" t="str">
        <f>_xlfn.XLOOKUP(A1875, Matches!A:A, Matches!F:F, "NA", 0)</f>
        <v>BCA Stadium, Kotambi</v>
      </c>
      <c r="Z1875" cm="1">
        <f t="array" ref="Z1875">INDEX(Innings!F:F,MATCH(1,(TRIM(Innings!A:A)=TRIM(A1875))*(TRIM(Innings!D:D)=TRIM(E1875)),0))</f>
        <v>122</v>
      </c>
      <c r="AA1875" cm="1">
        <f t="array" ref="AA1875">INDEX(Innings!I:I,MATCH(1,(TRIM(Innings!A:A)=TRIM(A1875))*(TRIM(Innings!D:D)=TRIM(E1875)),0))</f>
        <v>6.1</v>
      </c>
      <c r="AB1875" cm="1">
        <f t="array" ref="AB1875">INDEX(Innings!J:J,MATCH(1,(TRIM(Innings!A:A)=TRIM(A1875))*(TRIM(Innings!D:D)=TRIM(E1875)),0))</f>
        <v>36</v>
      </c>
      <c r="AC1875" cm="1">
        <f t="array" ref="AC1875">INDEX(Innings!N:N,MATCH(1,(TRIM(Innings!A:A)=TRIM(A1875))*(TRIM(Innings!D:D)=TRIM(E1875)),0))</f>
        <v>30</v>
      </c>
      <c r="AD1875" cm="1">
        <f t="array" ref="AD1875">INDEX(Innings!S:S,MATCH(1,(TRIM(Innings!A:A)=TRIM(A1875))*(TRIM(Innings!D:D)=TRIM(E1875)),0))</f>
        <v>35</v>
      </c>
      <c r="AE1875" t="str" cm="1">
        <f t="array" ref="AE1875">INDEX(Innings!W:W,MATCH(1,(TRIM(Innings!A:A)=TRIM(A1875))*(TRIM(Innings!D:D)=TRIM(E1875)),0))</f>
        <v>NA</v>
      </c>
      <c r="AF1875">
        <f>IF(UPPER(TRIM(E1875))=UPPER(TRIM(W1875)),1,0)</f>
        <v>0</v>
      </c>
      <c r="AG1875">
        <f t="shared" si="58"/>
        <v>15.9</v>
      </c>
    </row>
    <row r="1876" spans="1:33" x14ac:dyDescent="0.3">
      <c r="A1876" t="s">
        <v>620</v>
      </c>
      <c r="B1876">
        <v>4</v>
      </c>
      <c r="C1876" t="s">
        <v>227</v>
      </c>
      <c r="D1876" t="s">
        <v>228</v>
      </c>
      <c r="E1876" t="s">
        <v>219</v>
      </c>
      <c r="F1876" t="s">
        <v>109</v>
      </c>
      <c r="G1876" t="s">
        <v>134</v>
      </c>
      <c r="H1876">
        <v>22</v>
      </c>
      <c r="I1876">
        <v>14</v>
      </c>
      <c r="J1876">
        <v>157.13999999999999</v>
      </c>
      <c r="K1876" t="s">
        <v>246</v>
      </c>
      <c r="L1876">
        <v>25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 s="8">
        <v>25</v>
      </c>
      <c r="V1876" s="8">
        <f t="shared" si="59"/>
        <v>3</v>
      </c>
      <c r="W1876" t="str">
        <f>_xlfn.XLOOKUP(A1876, Matches!A:A, Matches!L:L, "NA", 0)</f>
        <v>DCW</v>
      </c>
      <c r="X1876" t="str">
        <f>_xlfn.XLOOKUP(A1876, Matches!A:A, Matches!J:J, "NA", 0)</f>
        <v>DCW</v>
      </c>
      <c r="Y1876" t="str">
        <f>_xlfn.XLOOKUP(A1876, Matches!A:A, Matches!F:F, "NA", 0)</f>
        <v>BCA Stadium, Kotambi</v>
      </c>
      <c r="Z1876" cm="1">
        <f t="array" ref="Z1876">INDEX(Innings!F:F,MATCH(1,(TRIM(Innings!A:A)=TRIM(A1876))*(TRIM(Innings!D:D)=TRIM(E1876)),0))</f>
        <v>122</v>
      </c>
      <c r="AA1876" cm="1">
        <f t="array" ref="AA1876">INDEX(Innings!I:I,MATCH(1,(TRIM(Innings!A:A)=TRIM(A1876))*(TRIM(Innings!D:D)=TRIM(E1876)),0))</f>
        <v>6.1</v>
      </c>
      <c r="AB1876" cm="1">
        <f t="array" ref="AB1876">INDEX(Innings!J:J,MATCH(1,(TRIM(Innings!A:A)=TRIM(A1876))*(TRIM(Innings!D:D)=TRIM(E1876)),0))</f>
        <v>36</v>
      </c>
      <c r="AC1876" cm="1">
        <f t="array" ref="AC1876">INDEX(Innings!N:N,MATCH(1,(TRIM(Innings!A:A)=TRIM(A1876))*(TRIM(Innings!D:D)=TRIM(E1876)),0))</f>
        <v>30</v>
      </c>
      <c r="AD1876" cm="1">
        <f t="array" ref="AD1876">INDEX(Innings!S:S,MATCH(1,(TRIM(Innings!A:A)=TRIM(A1876))*(TRIM(Innings!D:D)=TRIM(E1876)),0))</f>
        <v>35</v>
      </c>
      <c r="AE1876" t="str" cm="1">
        <f t="array" ref="AE1876">INDEX(Innings!W:W,MATCH(1,(TRIM(Innings!A:A)=TRIM(A1876))*(TRIM(Innings!D:D)=TRIM(E1876)),0))</f>
        <v>NA</v>
      </c>
      <c r="AF1876">
        <f>IF(UPPER(TRIM(E1876))=UPPER(TRIM(W1876)),1,0)</f>
        <v>0</v>
      </c>
      <c r="AG1876">
        <f t="shared" si="58"/>
        <v>13.4</v>
      </c>
    </row>
    <row r="1877" spans="1:33" x14ac:dyDescent="0.3">
      <c r="A1877" t="s">
        <v>620</v>
      </c>
      <c r="B1877">
        <v>4</v>
      </c>
      <c r="C1877" t="s">
        <v>587</v>
      </c>
      <c r="D1877" t="s">
        <v>690</v>
      </c>
      <c r="E1877" t="s">
        <v>219</v>
      </c>
      <c r="F1877" t="s">
        <v>85</v>
      </c>
      <c r="G1877" t="s">
        <v>134</v>
      </c>
      <c r="H1877">
        <v>9</v>
      </c>
      <c r="I1877">
        <v>8</v>
      </c>
      <c r="J1877">
        <v>112.5</v>
      </c>
      <c r="K1877" t="s">
        <v>246</v>
      </c>
      <c r="L1877">
        <v>10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 s="8">
        <v>10</v>
      </c>
      <c r="V1877" s="8">
        <f t="shared" si="59"/>
        <v>1</v>
      </c>
      <c r="W1877" t="str">
        <f>_xlfn.XLOOKUP(A1877, Matches!A:A, Matches!L:L, "NA", 0)</f>
        <v>DCW</v>
      </c>
      <c r="X1877" t="str">
        <f>_xlfn.XLOOKUP(A1877, Matches!A:A, Matches!J:J, "NA", 0)</f>
        <v>DCW</v>
      </c>
      <c r="Y1877" t="str">
        <f>_xlfn.XLOOKUP(A1877, Matches!A:A, Matches!F:F, "NA", 0)</f>
        <v>BCA Stadium, Kotambi</v>
      </c>
      <c r="Z1877" cm="1">
        <f t="array" ref="Z1877">INDEX(Innings!F:F,MATCH(1,(TRIM(Innings!A:A)=TRIM(A1877))*(TRIM(Innings!D:D)=TRIM(E1877)),0))</f>
        <v>122</v>
      </c>
      <c r="AA1877" cm="1">
        <f t="array" ref="AA1877">INDEX(Innings!I:I,MATCH(1,(TRIM(Innings!A:A)=TRIM(A1877))*(TRIM(Innings!D:D)=TRIM(E1877)),0))</f>
        <v>6.1</v>
      </c>
      <c r="AB1877" cm="1">
        <f t="array" ref="AB1877">INDEX(Innings!J:J,MATCH(1,(TRIM(Innings!A:A)=TRIM(A1877))*(TRIM(Innings!D:D)=TRIM(E1877)),0))</f>
        <v>36</v>
      </c>
      <c r="AC1877" cm="1">
        <f t="array" ref="AC1877">INDEX(Innings!N:N,MATCH(1,(TRIM(Innings!A:A)=TRIM(A1877))*(TRIM(Innings!D:D)=TRIM(E1877)),0))</f>
        <v>30</v>
      </c>
      <c r="AD1877" cm="1">
        <f t="array" ref="AD1877">INDEX(Innings!S:S,MATCH(1,(TRIM(Innings!A:A)=TRIM(A1877))*(TRIM(Innings!D:D)=TRIM(E1877)),0))</f>
        <v>35</v>
      </c>
      <c r="AE1877" t="str" cm="1">
        <f t="array" ref="AE1877">INDEX(Innings!W:W,MATCH(1,(TRIM(Innings!A:A)=TRIM(A1877))*(TRIM(Innings!D:D)=TRIM(E1877)),0))</f>
        <v>NA</v>
      </c>
      <c r="AF1877">
        <f>IF(UPPER(TRIM(E1877))=UPPER(TRIM(W1877)),1,0)</f>
        <v>0</v>
      </c>
      <c r="AG1877">
        <f t="shared" si="58"/>
        <v>5.3</v>
      </c>
    </row>
    <row r="1878" spans="1:33" x14ac:dyDescent="0.3">
      <c r="A1878" t="s">
        <v>620</v>
      </c>
      <c r="B1878">
        <v>4</v>
      </c>
      <c r="C1878" t="s">
        <v>233</v>
      </c>
      <c r="D1878" t="s">
        <v>234</v>
      </c>
      <c r="E1878" t="s">
        <v>219</v>
      </c>
      <c r="F1878" t="s">
        <v>101</v>
      </c>
      <c r="G1878" t="s">
        <v>134</v>
      </c>
      <c r="H1878">
        <v>10</v>
      </c>
      <c r="I1878">
        <v>20</v>
      </c>
      <c r="J1878">
        <v>50</v>
      </c>
      <c r="K1878" t="s">
        <v>96</v>
      </c>
      <c r="L1878">
        <v>10</v>
      </c>
      <c r="M1878">
        <v>4</v>
      </c>
      <c r="N1878">
        <v>0</v>
      </c>
      <c r="O1878">
        <v>20</v>
      </c>
      <c r="P1878">
        <v>1</v>
      </c>
      <c r="Q1878">
        <v>5</v>
      </c>
      <c r="R1878">
        <v>25</v>
      </c>
      <c r="S1878">
        <v>0</v>
      </c>
      <c r="T1878">
        <v>0</v>
      </c>
      <c r="U1878" s="8">
        <v>35</v>
      </c>
      <c r="V1878" s="8">
        <f t="shared" si="59"/>
        <v>4</v>
      </c>
      <c r="W1878" t="str">
        <f>_xlfn.XLOOKUP(A1878, Matches!A:A, Matches!L:L, "NA", 0)</f>
        <v>DCW</v>
      </c>
      <c r="X1878" t="str">
        <f>_xlfn.XLOOKUP(A1878, Matches!A:A, Matches!J:J, "NA", 0)</f>
        <v>DCW</v>
      </c>
      <c r="Y1878" t="str">
        <f>_xlfn.XLOOKUP(A1878, Matches!A:A, Matches!F:F, "NA", 0)</f>
        <v>BCA Stadium, Kotambi</v>
      </c>
      <c r="Z1878" cm="1">
        <f t="array" ref="Z1878">INDEX(Innings!F:F,MATCH(1,(TRIM(Innings!A:A)=TRIM(A1878))*(TRIM(Innings!D:D)=TRIM(E1878)),0))</f>
        <v>122</v>
      </c>
      <c r="AA1878" cm="1">
        <f t="array" ref="AA1878">INDEX(Innings!I:I,MATCH(1,(TRIM(Innings!A:A)=TRIM(A1878))*(TRIM(Innings!D:D)=TRIM(E1878)),0))</f>
        <v>6.1</v>
      </c>
      <c r="AB1878" cm="1">
        <f t="array" ref="AB1878">INDEX(Innings!J:J,MATCH(1,(TRIM(Innings!A:A)=TRIM(A1878))*(TRIM(Innings!D:D)=TRIM(E1878)),0))</f>
        <v>36</v>
      </c>
      <c r="AC1878" cm="1">
        <f t="array" ref="AC1878">INDEX(Innings!N:N,MATCH(1,(TRIM(Innings!A:A)=TRIM(A1878))*(TRIM(Innings!D:D)=TRIM(E1878)),0))</f>
        <v>30</v>
      </c>
      <c r="AD1878" cm="1">
        <f t="array" ref="AD1878">INDEX(Innings!S:S,MATCH(1,(TRIM(Innings!A:A)=TRIM(A1878))*(TRIM(Innings!D:D)=TRIM(E1878)),0))</f>
        <v>35</v>
      </c>
      <c r="AE1878" t="str" cm="1">
        <f t="array" ref="AE1878">INDEX(Innings!W:W,MATCH(1,(TRIM(Innings!A:A)=TRIM(A1878))*(TRIM(Innings!D:D)=TRIM(E1878)),0))</f>
        <v>NA</v>
      </c>
      <c r="AF1878">
        <f>IF(UPPER(TRIM(E1878))=UPPER(TRIM(W1878)),1,0)</f>
        <v>0</v>
      </c>
      <c r="AG1878">
        <f t="shared" si="58"/>
        <v>18.7</v>
      </c>
    </row>
    <row r="1879" spans="1:33" x14ac:dyDescent="0.3">
      <c r="A1879" t="s">
        <v>620</v>
      </c>
      <c r="B1879">
        <v>4</v>
      </c>
      <c r="C1879" t="s">
        <v>180</v>
      </c>
      <c r="D1879" t="s">
        <v>181</v>
      </c>
      <c r="E1879" t="s">
        <v>219</v>
      </c>
      <c r="F1879" t="s">
        <v>101</v>
      </c>
      <c r="G1879" t="s">
        <v>134</v>
      </c>
      <c r="H1879">
        <v>13</v>
      </c>
      <c r="I1879">
        <v>13</v>
      </c>
      <c r="J1879">
        <v>100</v>
      </c>
      <c r="K1879" t="s">
        <v>246</v>
      </c>
      <c r="L1879">
        <v>15</v>
      </c>
      <c r="M1879">
        <v>1</v>
      </c>
      <c r="N1879">
        <v>0</v>
      </c>
      <c r="O1879">
        <v>9</v>
      </c>
      <c r="P1879">
        <v>0</v>
      </c>
      <c r="Q1879">
        <v>9</v>
      </c>
      <c r="R1879">
        <v>0</v>
      </c>
      <c r="S1879">
        <v>0</v>
      </c>
      <c r="T1879">
        <v>0</v>
      </c>
      <c r="U1879" s="8">
        <v>15</v>
      </c>
      <c r="V1879" s="8">
        <f t="shared" si="59"/>
        <v>2</v>
      </c>
      <c r="W1879" t="str">
        <f>_xlfn.XLOOKUP(A1879, Matches!A:A, Matches!L:L, "NA", 0)</f>
        <v>DCW</v>
      </c>
      <c r="X1879" t="str">
        <f>_xlfn.XLOOKUP(A1879, Matches!A:A, Matches!J:J, "NA", 0)</f>
        <v>DCW</v>
      </c>
      <c r="Y1879" t="str">
        <f>_xlfn.XLOOKUP(A1879, Matches!A:A, Matches!F:F, "NA", 0)</f>
        <v>BCA Stadium, Kotambi</v>
      </c>
      <c r="Z1879" cm="1">
        <f t="array" ref="Z1879">INDEX(Innings!F:F,MATCH(1,(TRIM(Innings!A:A)=TRIM(A1879))*(TRIM(Innings!D:D)=TRIM(E1879)),0))</f>
        <v>122</v>
      </c>
      <c r="AA1879" cm="1">
        <f t="array" ref="AA1879">INDEX(Innings!I:I,MATCH(1,(TRIM(Innings!A:A)=TRIM(A1879))*(TRIM(Innings!D:D)=TRIM(E1879)),0))</f>
        <v>6.1</v>
      </c>
      <c r="AB1879" cm="1">
        <f t="array" ref="AB1879">INDEX(Innings!J:J,MATCH(1,(TRIM(Innings!A:A)=TRIM(A1879))*(TRIM(Innings!D:D)=TRIM(E1879)),0))</f>
        <v>36</v>
      </c>
      <c r="AC1879" cm="1">
        <f t="array" ref="AC1879">INDEX(Innings!N:N,MATCH(1,(TRIM(Innings!A:A)=TRIM(A1879))*(TRIM(Innings!D:D)=TRIM(E1879)),0))</f>
        <v>30</v>
      </c>
      <c r="AD1879" cm="1">
        <f t="array" ref="AD1879">INDEX(Innings!S:S,MATCH(1,(TRIM(Innings!A:A)=TRIM(A1879))*(TRIM(Innings!D:D)=TRIM(E1879)),0))</f>
        <v>35</v>
      </c>
      <c r="AE1879" t="str" cm="1">
        <f t="array" ref="AE1879">INDEX(Innings!W:W,MATCH(1,(TRIM(Innings!A:A)=TRIM(A1879))*(TRIM(Innings!D:D)=TRIM(E1879)),0))</f>
        <v>NA</v>
      </c>
      <c r="AF1879">
        <f>IF(UPPER(TRIM(E1879))=UPPER(TRIM(W1879)),1,0)</f>
        <v>0</v>
      </c>
      <c r="AG1879">
        <f t="shared" si="58"/>
        <v>8.1</v>
      </c>
    </row>
    <row r="1880" spans="1:33" x14ac:dyDescent="0.3">
      <c r="A1880" t="s">
        <v>620</v>
      </c>
      <c r="B1880">
        <v>4</v>
      </c>
      <c r="C1880" t="s">
        <v>204</v>
      </c>
      <c r="D1880" t="s">
        <v>205</v>
      </c>
      <c r="E1880" t="s">
        <v>219</v>
      </c>
      <c r="F1880" t="s">
        <v>169</v>
      </c>
      <c r="G1880" t="s">
        <v>134</v>
      </c>
      <c r="H1880">
        <v>23</v>
      </c>
      <c r="I1880">
        <v>13</v>
      </c>
      <c r="J1880">
        <v>176.92</v>
      </c>
      <c r="K1880" t="s">
        <v>96</v>
      </c>
      <c r="L1880">
        <v>30</v>
      </c>
      <c r="M1880">
        <v>4</v>
      </c>
      <c r="N1880">
        <v>0</v>
      </c>
      <c r="O1880">
        <v>17</v>
      </c>
      <c r="P1880">
        <v>1</v>
      </c>
      <c r="Q1880">
        <v>4.2</v>
      </c>
      <c r="R1880">
        <v>25</v>
      </c>
      <c r="S1880">
        <v>0</v>
      </c>
      <c r="T1880">
        <v>0</v>
      </c>
      <c r="U1880" s="8">
        <v>55</v>
      </c>
      <c r="V1880" s="8">
        <f t="shared" si="59"/>
        <v>6</v>
      </c>
      <c r="W1880" t="str">
        <f>_xlfn.XLOOKUP(A1880, Matches!A:A, Matches!L:L, "NA", 0)</f>
        <v>DCW</v>
      </c>
      <c r="X1880" t="str">
        <f>_xlfn.XLOOKUP(A1880, Matches!A:A, Matches!J:J, "NA", 0)</f>
        <v>DCW</v>
      </c>
      <c r="Y1880" t="str">
        <f>_xlfn.XLOOKUP(A1880, Matches!A:A, Matches!F:F, "NA", 0)</f>
        <v>BCA Stadium, Kotambi</v>
      </c>
      <c r="Z1880" cm="1">
        <f t="array" ref="Z1880">INDEX(Innings!F:F,MATCH(1,(TRIM(Innings!A:A)=TRIM(A1880))*(TRIM(Innings!D:D)=TRIM(E1880)),0))</f>
        <v>122</v>
      </c>
      <c r="AA1880" cm="1">
        <f t="array" ref="AA1880">INDEX(Innings!I:I,MATCH(1,(TRIM(Innings!A:A)=TRIM(A1880))*(TRIM(Innings!D:D)=TRIM(E1880)),0))</f>
        <v>6.1</v>
      </c>
      <c r="AB1880" cm="1">
        <f t="array" ref="AB1880">INDEX(Innings!J:J,MATCH(1,(TRIM(Innings!A:A)=TRIM(A1880))*(TRIM(Innings!D:D)=TRIM(E1880)),0))</f>
        <v>36</v>
      </c>
      <c r="AC1880" cm="1">
        <f t="array" ref="AC1880">INDEX(Innings!N:N,MATCH(1,(TRIM(Innings!A:A)=TRIM(A1880))*(TRIM(Innings!D:D)=TRIM(E1880)),0))</f>
        <v>30</v>
      </c>
      <c r="AD1880" cm="1">
        <f t="array" ref="AD1880">INDEX(Innings!S:S,MATCH(1,(TRIM(Innings!A:A)=TRIM(A1880))*(TRIM(Innings!D:D)=TRIM(E1880)),0))</f>
        <v>35</v>
      </c>
      <c r="AE1880" t="str" cm="1">
        <f t="array" ref="AE1880">INDEX(Innings!W:W,MATCH(1,(TRIM(Innings!A:A)=TRIM(A1880))*(TRIM(Innings!D:D)=TRIM(E1880)),0))</f>
        <v>NA</v>
      </c>
      <c r="AF1880">
        <f>IF(UPPER(TRIM(E1880))=UPPER(TRIM(W1880)),1,0)</f>
        <v>0</v>
      </c>
      <c r="AG1880">
        <f t="shared" si="58"/>
        <v>29.3</v>
      </c>
    </row>
    <row r="1881" spans="1:33" x14ac:dyDescent="0.3">
      <c r="A1881" t="s">
        <v>620</v>
      </c>
      <c r="B1881">
        <v>4</v>
      </c>
      <c r="C1881" t="s">
        <v>509</v>
      </c>
      <c r="D1881" t="s">
        <v>523</v>
      </c>
      <c r="E1881" t="s">
        <v>219</v>
      </c>
      <c r="F1881" t="s">
        <v>101</v>
      </c>
      <c r="G1881" t="s">
        <v>104</v>
      </c>
      <c r="H1881">
        <v>0</v>
      </c>
      <c r="I1881">
        <v>0</v>
      </c>
      <c r="J1881">
        <v>0</v>
      </c>
      <c r="K1881" t="s">
        <v>104</v>
      </c>
      <c r="L1881">
        <v>0</v>
      </c>
      <c r="M1881">
        <v>2</v>
      </c>
      <c r="N1881">
        <v>0</v>
      </c>
      <c r="O1881">
        <v>22</v>
      </c>
      <c r="P1881">
        <v>0</v>
      </c>
      <c r="Q1881">
        <v>11</v>
      </c>
      <c r="R1881">
        <v>0</v>
      </c>
      <c r="S1881">
        <v>0</v>
      </c>
      <c r="T1881">
        <v>0</v>
      </c>
      <c r="U1881" s="8">
        <v>0</v>
      </c>
      <c r="V1881" s="8">
        <f t="shared" si="59"/>
        <v>0</v>
      </c>
      <c r="W1881" t="str">
        <f>_xlfn.XLOOKUP(A1881, Matches!A:A, Matches!L:L, "NA", 0)</f>
        <v>DCW</v>
      </c>
      <c r="X1881" t="str">
        <f>_xlfn.XLOOKUP(A1881, Matches!A:A, Matches!J:J, "NA", 0)</f>
        <v>DCW</v>
      </c>
      <c r="Y1881" t="str">
        <f>_xlfn.XLOOKUP(A1881, Matches!A:A, Matches!F:F, "NA", 0)</f>
        <v>BCA Stadium, Kotambi</v>
      </c>
      <c r="Z1881" cm="1">
        <f t="array" ref="Z1881">INDEX(Innings!F:F,MATCH(1,(TRIM(Innings!A:A)=TRIM(A1881))*(TRIM(Innings!D:D)=TRIM(E1881)),0))</f>
        <v>122</v>
      </c>
      <c r="AA1881" cm="1">
        <f t="array" ref="AA1881">INDEX(Innings!I:I,MATCH(1,(TRIM(Innings!A:A)=TRIM(A1881))*(TRIM(Innings!D:D)=TRIM(E1881)),0))</f>
        <v>6.1</v>
      </c>
      <c r="AB1881" cm="1">
        <f t="array" ref="AB1881">INDEX(Innings!J:J,MATCH(1,(TRIM(Innings!A:A)=TRIM(A1881))*(TRIM(Innings!D:D)=TRIM(E1881)),0))</f>
        <v>36</v>
      </c>
      <c r="AC1881" cm="1">
        <f t="array" ref="AC1881">INDEX(Innings!N:N,MATCH(1,(TRIM(Innings!A:A)=TRIM(A1881))*(TRIM(Innings!D:D)=TRIM(E1881)),0))</f>
        <v>30</v>
      </c>
      <c r="AD1881" cm="1">
        <f t="array" ref="AD1881">INDEX(Innings!S:S,MATCH(1,(TRIM(Innings!A:A)=TRIM(A1881))*(TRIM(Innings!D:D)=TRIM(E1881)),0))</f>
        <v>35</v>
      </c>
      <c r="AE1881" t="str" cm="1">
        <f t="array" ref="AE1881">INDEX(Innings!W:W,MATCH(1,(TRIM(Innings!A:A)=TRIM(A1881))*(TRIM(Innings!D:D)=TRIM(E1881)),0))</f>
        <v>NA</v>
      </c>
      <c r="AF1881">
        <f>IF(UPPER(TRIM(E1881))=UPPER(TRIM(W1881)),1,0)</f>
        <v>0</v>
      </c>
      <c r="AG1881">
        <f t="shared" si="58"/>
        <v>0</v>
      </c>
    </row>
    <row r="1882" spans="1:33" x14ac:dyDescent="0.3">
      <c r="A1882" t="s">
        <v>620</v>
      </c>
      <c r="B1882">
        <v>4</v>
      </c>
      <c r="C1882" t="s">
        <v>531</v>
      </c>
      <c r="D1882" t="s">
        <v>636</v>
      </c>
      <c r="E1882" t="s">
        <v>158</v>
      </c>
      <c r="F1882" t="s">
        <v>85</v>
      </c>
      <c r="G1882" t="s">
        <v>86</v>
      </c>
      <c r="H1882">
        <v>10</v>
      </c>
      <c r="I1882">
        <v>10</v>
      </c>
      <c r="J1882">
        <v>100</v>
      </c>
      <c r="K1882" t="s">
        <v>246</v>
      </c>
      <c r="L1882">
        <v>15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 s="8">
        <v>15</v>
      </c>
      <c r="V1882" s="8">
        <f t="shared" si="59"/>
        <v>2</v>
      </c>
      <c r="W1882" t="str">
        <f>_xlfn.XLOOKUP(A1882, Matches!A:A, Matches!L:L, "NA", 0)</f>
        <v>DCW</v>
      </c>
      <c r="X1882" t="str">
        <f>_xlfn.XLOOKUP(A1882, Matches!A:A, Matches!J:J, "NA", 0)</f>
        <v>DCW</v>
      </c>
      <c r="Y1882" t="str">
        <f>_xlfn.XLOOKUP(A1882, Matches!A:A, Matches!F:F, "NA", 0)</f>
        <v>BCA Stadium, Kotambi</v>
      </c>
      <c r="Z1882" cm="1">
        <f t="array" ref="Z1882">INDEX(Innings!F:F,MATCH(1,(TRIM(Innings!A:A)=TRIM(A1882))*(TRIM(Innings!D:D)=TRIM(E1882)),0))</f>
        <v>126</v>
      </c>
      <c r="AA1882" cm="1">
        <f t="array" ref="AA1882">INDEX(Innings!I:I,MATCH(1,(TRIM(Innings!A:A)=TRIM(A1882))*(TRIM(Innings!D:D)=TRIM(E1882)),0))</f>
        <v>6.75</v>
      </c>
      <c r="AB1882" cm="1">
        <f t="array" ref="AB1882">INDEX(Innings!J:J,MATCH(1,(TRIM(Innings!A:A)=TRIM(A1882))*(TRIM(Innings!D:D)=TRIM(E1882)),0))</f>
        <v>38</v>
      </c>
      <c r="AC1882" cm="1">
        <f t="array" ref="AC1882">INDEX(Innings!N:N,MATCH(1,(TRIM(Innings!A:A)=TRIM(A1882))*(TRIM(Innings!D:D)=TRIM(E1882)),0))</f>
        <v>26</v>
      </c>
      <c r="AD1882" cm="1">
        <f t="array" ref="AD1882">INDEX(Innings!S:S,MATCH(1,(TRIM(Innings!A:A)=TRIM(A1882))*(TRIM(Innings!D:D)=TRIM(E1882)),0))</f>
        <v>29</v>
      </c>
      <c r="AE1882" t="str" cm="1">
        <f t="array" ref="AE1882">INDEX(Innings!W:W,MATCH(1,(TRIM(Innings!A:A)=TRIM(A1882))*(TRIM(Innings!D:D)=TRIM(E1882)),0))</f>
        <v>Successful</v>
      </c>
      <c r="AF1882">
        <f>IF(UPPER(TRIM(E1882))=UPPER(TRIM(W1882)),1,0)</f>
        <v>1</v>
      </c>
      <c r="AG1882">
        <f t="shared" si="58"/>
        <v>28.1</v>
      </c>
    </row>
    <row r="1883" spans="1:33" x14ac:dyDescent="0.3">
      <c r="A1883" t="s">
        <v>620</v>
      </c>
      <c r="B1883">
        <v>4</v>
      </c>
      <c r="C1883" t="s">
        <v>188</v>
      </c>
      <c r="D1883" t="s">
        <v>189</v>
      </c>
      <c r="E1883" t="s">
        <v>158</v>
      </c>
      <c r="F1883" t="s">
        <v>109</v>
      </c>
      <c r="G1883" t="s">
        <v>86</v>
      </c>
      <c r="H1883">
        <v>29</v>
      </c>
      <c r="I1883">
        <v>33</v>
      </c>
      <c r="J1883">
        <v>87.88</v>
      </c>
      <c r="K1883" t="s">
        <v>246</v>
      </c>
      <c r="L1883">
        <v>30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 s="8">
        <v>30</v>
      </c>
      <c r="V1883" s="8">
        <f t="shared" si="59"/>
        <v>3</v>
      </c>
      <c r="W1883" t="str">
        <f>_xlfn.XLOOKUP(A1883, Matches!A:A, Matches!L:L, "NA", 0)</f>
        <v>DCW</v>
      </c>
      <c r="X1883" t="str">
        <f>_xlfn.XLOOKUP(A1883, Matches!A:A, Matches!J:J, "NA", 0)</f>
        <v>DCW</v>
      </c>
      <c r="Y1883" t="str">
        <f>_xlfn.XLOOKUP(A1883, Matches!A:A, Matches!F:F, "NA", 0)</f>
        <v>BCA Stadium, Kotambi</v>
      </c>
      <c r="Z1883" cm="1">
        <f t="array" ref="Z1883">INDEX(Innings!F:F,MATCH(1,(TRIM(Innings!A:A)=TRIM(A1883))*(TRIM(Innings!D:D)=TRIM(E1883)),0))</f>
        <v>126</v>
      </c>
      <c r="AA1883" cm="1">
        <f t="array" ref="AA1883">INDEX(Innings!I:I,MATCH(1,(TRIM(Innings!A:A)=TRIM(A1883))*(TRIM(Innings!D:D)=TRIM(E1883)),0))</f>
        <v>6.75</v>
      </c>
      <c r="AB1883" cm="1">
        <f t="array" ref="AB1883">INDEX(Innings!J:J,MATCH(1,(TRIM(Innings!A:A)=TRIM(A1883))*(TRIM(Innings!D:D)=TRIM(E1883)),0))</f>
        <v>38</v>
      </c>
      <c r="AC1883" cm="1">
        <f t="array" ref="AC1883">INDEX(Innings!N:N,MATCH(1,(TRIM(Innings!A:A)=TRIM(A1883))*(TRIM(Innings!D:D)=TRIM(E1883)),0))</f>
        <v>26</v>
      </c>
      <c r="AD1883" cm="1">
        <f t="array" ref="AD1883">INDEX(Innings!S:S,MATCH(1,(TRIM(Innings!A:A)=TRIM(A1883))*(TRIM(Innings!D:D)=TRIM(E1883)),0))</f>
        <v>29</v>
      </c>
      <c r="AE1883" t="str" cm="1">
        <f t="array" ref="AE1883">INDEX(Innings!W:W,MATCH(1,(TRIM(Innings!A:A)=TRIM(A1883))*(TRIM(Innings!D:D)=TRIM(E1883)),0))</f>
        <v>Successful</v>
      </c>
      <c r="AF1883">
        <f>IF(UPPER(TRIM(E1883))=UPPER(TRIM(W1883)),1,0)</f>
        <v>1</v>
      </c>
      <c r="AG1883">
        <f t="shared" si="58"/>
        <v>35.9</v>
      </c>
    </row>
    <row r="1884" spans="1:33" x14ac:dyDescent="0.3">
      <c r="A1884" t="s">
        <v>620</v>
      </c>
      <c r="B1884">
        <v>4</v>
      </c>
      <c r="C1884" t="s">
        <v>278</v>
      </c>
      <c r="D1884" t="s">
        <v>293</v>
      </c>
      <c r="E1884" t="s">
        <v>158</v>
      </c>
      <c r="F1884" t="s">
        <v>109</v>
      </c>
      <c r="G1884" t="s">
        <v>92</v>
      </c>
      <c r="H1884">
        <v>47</v>
      </c>
      <c r="I1884">
        <v>36</v>
      </c>
      <c r="J1884">
        <v>130.56</v>
      </c>
      <c r="K1884" t="s">
        <v>246</v>
      </c>
      <c r="L1884">
        <v>50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 s="8">
        <v>50</v>
      </c>
      <c r="V1884" s="8">
        <f t="shared" si="59"/>
        <v>5</v>
      </c>
      <c r="W1884" t="str">
        <f>_xlfn.XLOOKUP(A1884, Matches!A:A, Matches!L:L, "NA", 0)</f>
        <v>DCW</v>
      </c>
      <c r="X1884" t="str">
        <f>_xlfn.XLOOKUP(A1884, Matches!A:A, Matches!J:J, "NA", 0)</f>
        <v>DCW</v>
      </c>
      <c r="Y1884" t="str">
        <f>_xlfn.XLOOKUP(A1884, Matches!A:A, Matches!F:F, "NA", 0)</f>
        <v>BCA Stadium, Kotambi</v>
      </c>
      <c r="Z1884" cm="1">
        <f t="array" ref="Z1884">INDEX(Innings!F:F,MATCH(1,(TRIM(Innings!A:A)=TRIM(A1884))*(TRIM(Innings!D:D)=TRIM(E1884)),0))</f>
        <v>126</v>
      </c>
      <c r="AA1884" cm="1">
        <f t="array" ref="AA1884">INDEX(Innings!I:I,MATCH(1,(TRIM(Innings!A:A)=TRIM(A1884))*(TRIM(Innings!D:D)=TRIM(E1884)),0))</f>
        <v>6.75</v>
      </c>
      <c r="AB1884" cm="1">
        <f t="array" ref="AB1884">INDEX(Innings!J:J,MATCH(1,(TRIM(Innings!A:A)=TRIM(A1884))*(TRIM(Innings!D:D)=TRIM(E1884)),0))</f>
        <v>38</v>
      </c>
      <c r="AC1884" cm="1">
        <f t="array" ref="AC1884">INDEX(Innings!N:N,MATCH(1,(TRIM(Innings!A:A)=TRIM(A1884))*(TRIM(Innings!D:D)=TRIM(E1884)),0))</f>
        <v>26</v>
      </c>
      <c r="AD1884" cm="1">
        <f t="array" ref="AD1884">INDEX(Innings!S:S,MATCH(1,(TRIM(Innings!A:A)=TRIM(A1884))*(TRIM(Innings!D:D)=TRIM(E1884)),0))</f>
        <v>29</v>
      </c>
      <c r="AE1884" t="str" cm="1">
        <f t="array" ref="AE1884">INDEX(Innings!W:W,MATCH(1,(TRIM(Innings!A:A)=TRIM(A1884))*(TRIM(Innings!D:D)=TRIM(E1884)),0))</f>
        <v>Successful</v>
      </c>
      <c r="AF1884">
        <f>IF(UPPER(TRIM(E1884))=UPPER(TRIM(W1884)),1,0)</f>
        <v>1</v>
      </c>
      <c r="AG1884">
        <f t="shared" si="58"/>
        <v>46.5</v>
      </c>
    </row>
    <row r="1885" spans="1:33" x14ac:dyDescent="0.3">
      <c r="A1885" t="s">
        <v>620</v>
      </c>
      <c r="B1885">
        <v>4</v>
      </c>
      <c r="C1885" t="s">
        <v>194</v>
      </c>
      <c r="D1885" t="s">
        <v>195</v>
      </c>
      <c r="E1885" t="s">
        <v>158</v>
      </c>
      <c r="F1885" t="s">
        <v>109</v>
      </c>
      <c r="G1885" t="s">
        <v>92</v>
      </c>
      <c r="H1885">
        <v>34</v>
      </c>
      <c r="I1885">
        <v>18</v>
      </c>
      <c r="J1885">
        <v>188.89</v>
      </c>
      <c r="K1885" t="s">
        <v>96</v>
      </c>
      <c r="L1885">
        <v>40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 s="8">
        <v>40</v>
      </c>
      <c r="V1885" s="8">
        <f t="shared" si="59"/>
        <v>4</v>
      </c>
      <c r="W1885" t="str">
        <f>_xlfn.XLOOKUP(A1885, Matches!A:A, Matches!L:L, "NA", 0)</f>
        <v>DCW</v>
      </c>
      <c r="X1885" t="str">
        <f>_xlfn.XLOOKUP(A1885, Matches!A:A, Matches!J:J, "NA", 0)</f>
        <v>DCW</v>
      </c>
      <c r="Y1885" t="str">
        <f>_xlfn.XLOOKUP(A1885, Matches!A:A, Matches!F:F, "NA", 0)</f>
        <v>BCA Stadium, Kotambi</v>
      </c>
      <c r="Z1885" cm="1">
        <f t="array" ref="Z1885">INDEX(Innings!F:F,MATCH(1,(TRIM(Innings!A:A)=TRIM(A1885))*(TRIM(Innings!D:D)=TRIM(E1885)),0))</f>
        <v>126</v>
      </c>
      <c r="AA1885" cm="1">
        <f t="array" ref="AA1885">INDEX(Innings!I:I,MATCH(1,(TRIM(Innings!A:A)=TRIM(A1885))*(TRIM(Innings!D:D)=TRIM(E1885)),0))</f>
        <v>6.75</v>
      </c>
      <c r="AB1885" cm="1">
        <f t="array" ref="AB1885">INDEX(Innings!J:J,MATCH(1,(TRIM(Innings!A:A)=TRIM(A1885))*(TRIM(Innings!D:D)=TRIM(E1885)),0))</f>
        <v>38</v>
      </c>
      <c r="AC1885" cm="1">
        <f t="array" ref="AC1885">INDEX(Innings!N:N,MATCH(1,(TRIM(Innings!A:A)=TRIM(A1885))*(TRIM(Innings!D:D)=TRIM(E1885)),0))</f>
        <v>26</v>
      </c>
      <c r="AD1885" cm="1">
        <f t="array" ref="AD1885">INDEX(Innings!S:S,MATCH(1,(TRIM(Innings!A:A)=TRIM(A1885))*(TRIM(Innings!D:D)=TRIM(E1885)),0))</f>
        <v>29</v>
      </c>
      <c r="AE1885" t="str" cm="1">
        <f t="array" ref="AE1885">INDEX(Innings!W:W,MATCH(1,(TRIM(Innings!A:A)=TRIM(A1885))*(TRIM(Innings!D:D)=TRIM(E1885)),0))</f>
        <v>Successful</v>
      </c>
      <c r="AF1885">
        <f>IF(UPPER(TRIM(E1885))=UPPER(TRIM(W1885)),1,0)</f>
        <v>1</v>
      </c>
      <c r="AG1885">
        <f t="shared" si="58"/>
        <v>41.2</v>
      </c>
    </row>
    <row r="1886" spans="1:33" x14ac:dyDescent="0.3">
      <c r="A1886" t="s">
        <v>620</v>
      </c>
      <c r="B1886">
        <v>4</v>
      </c>
      <c r="C1886" t="s">
        <v>192</v>
      </c>
      <c r="D1886" t="s">
        <v>193</v>
      </c>
      <c r="E1886" t="s">
        <v>158</v>
      </c>
      <c r="F1886" t="s">
        <v>169</v>
      </c>
      <c r="G1886" t="s">
        <v>134</v>
      </c>
      <c r="H1886">
        <v>0</v>
      </c>
      <c r="I1886">
        <v>5</v>
      </c>
      <c r="J1886">
        <v>0</v>
      </c>
      <c r="K1886" t="s">
        <v>246</v>
      </c>
      <c r="L1886">
        <v>0</v>
      </c>
      <c r="M1886">
        <v>4</v>
      </c>
      <c r="N1886">
        <v>0</v>
      </c>
      <c r="O1886">
        <v>30</v>
      </c>
      <c r="P1886">
        <v>3</v>
      </c>
      <c r="Q1886">
        <v>7.5</v>
      </c>
      <c r="R1886">
        <v>60</v>
      </c>
      <c r="S1886">
        <v>0</v>
      </c>
      <c r="T1886">
        <v>0</v>
      </c>
      <c r="U1886" s="8">
        <v>60</v>
      </c>
      <c r="V1886" s="8">
        <f t="shared" si="59"/>
        <v>6</v>
      </c>
      <c r="W1886" t="str">
        <f>_xlfn.XLOOKUP(A1886, Matches!A:A, Matches!L:L, "NA", 0)</f>
        <v>DCW</v>
      </c>
      <c r="X1886" t="str">
        <f>_xlfn.XLOOKUP(A1886, Matches!A:A, Matches!J:J, "NA", 0)</f>
        <v>DCW</v>
      </c>
      <c r="Y1886" t="str">
        <f>_xlfn.XLOOKUP(A1886, Matches!A:A, Matches!F:F, "NA", 0)</f>
        <v>BCA Stadium, Kotambi</v>
      </c>
      <c r="Z1886" cm="1">
        <f t="array" ref="Z1886">INDEX(Innings!F:F,MATCH(1,(TRIM(Innings!A:A)=TRIM(A1886))*(TRIM(Innings!D:D)=TRIM(E1886)),0))</f>
        <v>126</v>
      </c>
      <c r="AA1886" cm="1">
        <f t="array" ref="AA1886">INDEX(Innings!I:I,MATCH(1,(TRIM(Innings!A:A)=TRIM(A1886))*(TRIM(Innings!D:D)=TRIM(E1886)),0))</f>
        <v>6.75</v>
      </c>
      <c r="AB1886" cm="1">
        <f t="array" ref="AB1886">INDEX(Innings!J:J,MATCH(1,(TRIM(Innings!A:A)=TRIM(A1886))*(TRIM(Innings!D:D)=TRIM(E1886)),0))</f>
        <v>38</v>
      </c>
      <c r="AC1886" cm="1">
        <f t="array" ref="AC1886">INDEX(Innings!N:N,MATCH(1,(TRIM(Innings!A:A)=TRIM(A1886))*(TRIM(Innings!D:D)=TRIM(E1886)),0))</f>
        <v>26</v>
      </c>
      <c r="AD1886" cm="1">
        <f t="array" ref="AD1886">INDEX(Innings!S:S,MATCH(1,(TRIM(Innings!A:A)=TRIM(A1886))*(TRIM(Innings!D:D)=TRIM(E1886)),0))</f>
        <v>29</v>
      </c>
      <c r="AE1886" t="str" cm="1">
        <f t="array" ref="AE1886">INDEX(Innings!W:W,MATCH(1,(TRIM(Innings!A:A)=TRIM(A1886))*(TRIM(Innings!D:D)=TRIM(E1886)),0))</f>
        <v>Successful</v>
      </c>
      <c r="AF1886">
        <f>IF(UPPER(TRIM(E1886))=UPPER(TRIM(W1886)),1,0)</f>
        <v>1</v>
      </c>
      <c r="AG1886">
        <f t="shared" si="58"/>
        <v>51.8</v>
      </c>
    </row>
    <row r="1887" spans="1:33" x14ac:dyDescent="0.3">
      <c r="A1887" t="s">
        <v>620</v>
      </c>
      <c r="B1887">
        <v>4</v>
      </c>
      <c r="C1887" t="s">
        <v>512</v>
      </c>
      <c r="D1887" t="s">
        <v>542</v>
      </c>
      <c r="E1887" t="s">
        <v>158</v>
      </c>
      <c r="F1887" t="s">
        <v>169</v>
      </c>
      <c r="G1887" t="s">
        <v>134</v>
      </c>
      <c r="H1887">
        <v>1</v>
      </c>
      <c r="I1887">
        <v>4</v>
      </c>
      <c r="J1887">
        <v>25</v>
      </c>
      <c r="K1887" t="s">
        <v>246</v>
      </c>
      <c r="L1887">
        <v>0</v>
      </c>
      <c r="M1887">
        <v>4</v>
      </c>
      <c r="N1887">
        <v>0</v>
      </c>
      <c r="O1887">
        <v>25</v>
      </c>
      <c r="P1887">
        <v>2</v>
      </c>
      <c r="Q1887">
        <v>6.2</v>
      </c>
      <c r="R1887">
        <v>40</v>
      </c>
      <c r="S1887">
        <v>0</v>
      </c>
      <c r="T1887">
        <v>0</v>
      </c>
      <c r="U1887" s="8">
        <v>40</v>
      </c>
      <c r="V1887" s="8">
        <f t="shared" si="59"/>
        <v>4</v>
      </c>
      <c r="W1887" t="str">
        <f>_xlfn.XLOOKUP(A1887, Matches!A:A, Matches!L:L, "NA", 0)</f>
        <v>DCW</v>
      </c>
      <c r="X1887" t="str">
        <f>_xlfn.XLOOKUP(A1887, Matches!A:A, Matches!J:J, "NA", 0)</f>
        <v>DCW</v>
      </c>
      <c r="Y1887" t="str">
        <f>_xlfn.XLOOKUP(A1887, Matches!A:A, Matches!F:F, "NA", 0)</f>
        <v>BCA Stadium, Kotambi</v>
      </c>
      <c r="Z1887" cm="1">
        <f t="array" ref="Z1887">INDEX(Innings!F:F,MATCH(1,(TRIM(Innings!A:A)=TRIM(A1887))*(TRIM(Innings!D:D)=TRIM(E1887)),0))</f>
        <v>126</v>
      </c>
      <c r="AA1887" cm="1">
        <f t="array" ref="AA1887">INDEX(Innings!I:I,MATCH(1,(TRIM(Innings!A:A)=TRIM(A1887))*(TRIM(Innings!D:D)=TRIM(E1887)),0))</f>
        <v>6.75</v>
      </c>
      <c r="AB1887" cm="1">
        <f t="array" ref="AB1887">INDEX(Innings!J:J,MATCH(1,(TRIM(Innings!A:A)=TRIM(A1887))*(TRIM(Innings!D:D)=TRIM(E1887)),0))</f>
        <v>38</v>
      </c>
      <c r="AC1887" cm="1">
        <f t="array" ref="AC1887">INDEX(Innings!N:N,MATCH(1,(TRIM(Innings!A:A)=TRIM(A1887))*(TRIM(Innings!D:D)=TRIM(E1887)),0))</f>
        <v>26</v>
      </c>
      <c r="AD1887" cm="1">
        <f t="array" ref="AD1887">INDEX(Innings!S:S,MATCH(1,(TRIM(Innings!A:A)=TRIM(A1887))*(TRIM(Innings!D:D)=TRIM(E1887)),0))</f>
        <v>29</v>
      </c>
      <c r="AE1887" t="str" cm="1">
        <f t="array" ref="AE1887">INDEX(Innings!W:W,MATCH(1,(TRIM(Innings!A:A)=TRIM(A1887))*(TRIM(Innings!D:D)=TRIM(E1887)),0))</f>
        <v>Successful</v>
      </c>
      <c r="AF1887">
        <f>IF(UPPER(TRIM(E1887))=UPPER(TRIM(W1887)),1,0)</f>
        <v>1</v>
      </c>
      <c r="AG1887">
        <f t="shared" si="58"/>
        <v>41.2</v>
      </c>
    </row>
    <row r="1888" spans="1:33" x14ac:dyDescent="0.3">
      <c r="A1888" t="s">
        <v>620</v>
      </c>
      <c r="B1888">
        <v>4</v>
      </c>
      <c r="C1888" t="s">
        <v>495</v>
      </c>
      <c r="D1888" t="s">
        <v>503</v>
      </c>
      <c r="E1888" t="s">
        <v>158</v>
      </c>
      <c r="F1888" t="s">
        <v>169</v>
      </c>
      <c r="G1888" t="s">
        <v>134</v>
      </c>
      <c r="H1888">
        <v>4</v>
      </c>
      <c r="I1888">
        <v>6</v>
      </c>
      <c r="J1888">
        <v>66.67</v>
      </c>
      <c r="K1888" t="s">
        <v>96</v>
      </c>
      <c r="L1888">
        <v>5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 s="8">
        <v>5</v>
      </c>
      <c r="V1888" s="8">
        <f t="shared" si="59"/>
        <v>1</v>
      </c>
      <c r="W1888" t="str">
        <f>_xlfn.XLOOKUP(A1888, Matches!A:A, Matches!L:L, "NA", 0)</f>
        <v>DCW</v>
      </c>
      <c r="X1888" t="str">
        <f>_xlfn.XLOOKUP(A1888, Matches!A:A, Matches!J:J, "NA", 0)</f>
        <v>DCW</v>
      </c>
      <c r="Y1888" t="str">
        <f>_xlfn.XLOOKUP(A1888, Matches!A:A, Matches!F:F, "NA", 0)</f>
        <v>BCA Stadium, Kotambi</v>
      </c>
      <c r="Z1888" cm="1">
        <f t="array" ref="Z1888">INDEX(Innings!F:F,MATCH(1,(TRIM(Innings!A:A)=TRIM(A1888))*(TRIM(Innings!D:D)=TRIM(E1888)),0))</f>
        <v>126</v>
      </c>
      <c r="AA1888" cm="1">
        <f t="array" ref="AA1888">INDEX(Innings!I:I,MATCH(1,(TRIM(Innings!A:A)=TRIM(A1888))*(TRIM(Innings!D:D)=TRIM(E1888)),0))</f>
        <v>6.75</v>
      </c>
      <c r="AB1888" cm="1">
        <f t="array" ref="AB1888">INDEX(Innings!J:J,MATCH(1,(TRIM(Innings!A:A)=TRIM(A1888))*(TRIM(Innings!D:D)=TRIM(E1888)),0))</f>
        <v>38</v>
      </c>
      <c r="AC1888" cm="1">
        <f t="array" ref="AC1888">INDEX(Innings!N:N,MATCH(1,(TRIM(Innings!A:A)=TRIM(A1888))*(TRIM(Innings!D:D)=TRIM(E1888)),0))</f>
        <v>26</v>
      </c>
      <c r="AD1888" cm="1">
        <f t="array" ref="AD1888">INDEX(Innings!S:S,MATCH(1,(TRIM(Innings!A:A)=TRIM(A1888))*(TRIM(Innings!D:D)=TRIM(E1888)),0))</f>
        <v>29</v>
      </c>
      <c r="AE1888" t="str" cm="1">
        <f t="array" ref="AE1888">INDEX(Innings!W:W,MATCH(1,(TRIM(Innings!A:A)=TRIM(A1888))*(TRIM(Innings!D:D)=TRIM(E1888)),0))</f>
        <v>Successful</v>
      </c>
      <c r="AF1888">
        <f>IF(UPPER(TRIM(E1888))=UPPER(TRIM(W1888)),1,0)</f>
        <v>1</v>
      </c>
      <c r="AG1888">
        <f t="shared" si="58"/>
        <v>22.8</v>
      </c>
    </row>
    <row r="1889" spans="1:33" x14ac:dyDescent="0.3">
      <c r="A1889" t="s">
        <v>620</v>
      </c>
      <c r="B1889">
        <v>4</v>
      </c>
      <c r="C1889" t="s">
        <v>102</v>
      </c>
      <c r="D1889" t="s">
        <v>126</v>
      </c>
      <c r="E1889" t="s">
        <v>158</v>
      </c>
      <c r="F1889" t="s">
        <v>169</v>
      </c>
      <c r="G1889" t="s">
        <v>104</v>
      </c>
      <c r="H1889">
        <v>0</v>
      </c>
      <c r="I1889">
        <v>0</v>
      </c>
      <c r="J1889">
        <v>0</v>
      </c>
      <c r="K1889" t="s">
        <v>104</v>
      </c>
      <c r="L1889">
        <v>0</v>
      </c>
      <c r="M1889">
        <v>2</v>
      </c>
      <c r="N1889">
        <v>0</v>
      </c>
      <c r="O1889">
        <v>11</v>
      </c>
      <c r="P1889">
        <v>0</v>
      </c>
      <c r="Q1889">
        <v>5.5</v>
      </c>
      <c r="R1889">
        <v>0</v>
      </c>
      <c r="S1889">
        <v>0</v>
      </c>
      <c r="T1889">
        <v>0</v>
      </c>
      <c r="U1889" s="8">
        <v>0</v>
      </c>
      <c r="V1889" s="8">
        <f t="shared" si="59"/>
        <v>0</v>
      </c>
      <c r="W1889" t="str">
        <f>_xlfn.XLOOKUP(A1889, Matches!A:A, Matches!L:L, "NA", 0)</f>
        <v>DCW</v>
      </c>
      <c r="X1889" t="str">
        <f>_xlfn.XLOOKUP(A1889, Matches!A:A, Matches!J:J, "NA", 0)</f>
        <v>DCW</v>
      </c>
      <c r="Y1889" t="str">
        <f>_xlfn.XLOOKUP(A1889, Matches!A:A, Matches!F:F, "NA", 0)</f>
        <v>BCA Stadium, Kotambi</v>
      </c>
      <c r="Z1889" cm="1">
        <f t="array" ref="Z1889">INDEX(Innings!F:F,MATCH(1,(TRIM(Innings!A:A)=TRIM(A1889))*(TRIM(Innings!D:D)=TRIM(E1889)),0))</f>
        <v>126</v>
      </c>
      <c r="AA1889" cm="1">
        <f t="array" ref="AA1889">INDEX(Innings!I:I,MATCH(1,(TRIM(Innings!A:A)=TRIM(A1889))*(TRIM(Innings!D:D)=TRIM(E1889)),0))</f>
        <v>6.75</v>
      </c>
      <c r="AB1889" cm="1">
        <f t="array" ref="AB1889">INDEX(Innings!J:J,MATCH(1,(TRIM(Innings!A:A)=TRIM(A1889))*(TRIM(Innings!D:D)=TRIM(E1889)),0))</f>
        <v>38</v>
      </c>
      <c r="AC1889" cm="1">
        <f t="array" ref="AC1889">INDEX(Innings!N:N,MATCH(1,(TRIM(Innings!A:A)=TRIM(A1889))*(TRIM(Innings!D:D)=TRIM(E1889)),0))</f>
        <v>26</v>
      </c>
      <c r="AD1889" cm="1">
        <f t="array" ref="AD1889">INDEX(Innings!S:S,MATCH(1,(TRIM(Innings!A:A)=TRIM(A1889))*(TRIM(Innings!D:D)=TRIM(E1889)),0))</f>
        <v>29</v>
      </c>
      <c r="AE1889" t="str" cm="1">
        <f t="array" ref="AE1889">INDEX(Innings!W:W,MATCH(1,(TRIM(Innings!A:A)=TRIM(A1889))*(TRIM(Innings!D:D)=TRIM(E1889)),0))</f>
        <v>Successful</v>
      </c>
      <c r="AF1889">
        <f>IF(UPPER(TRIM(E1889))=UPPER(TRIM(W1889)),1,0)</f>
        <v>1</v>
      </c>
      <c r="AG1889">
        <f t="shared" si="58"/>
        <v>20</v>
      </c>
    </row>
    <row r="1890" spans="1:33" x14ac:dyDescent="0.3">
      <c r="A1890" t="s">
        <v>620</v>
      </c>
      <c r="B1890">
        <v>4</v>
      </c>
      <c r="C1890" t="s">
        <v>274</v>
      </c>
      <c r="D1890" t="s">
        <v>284</v>
      </c>
      <c r="E1890" t="s">
        <v>158</v>
      </c>
      <c r="F1890" t="s">
        <v>169</v>
      </c>
      <c r="G1890" t="s">
        <v>104</v>
      </c>
      <c r="H1890">
        <v>0</v>
      </c>
      <c r="I1890">
        <v>0</v>
      </c>
      <c r="J1890">
        <v>0</v>
      </c>
      <c r="K1890" t="s">
        <v>104</v>
      </c>
      <c r="L1890">
        <v>0</v>
      </c>
      <c r="M1890">
        <v>2</v>
      </c>
      <c r="N1890">
        <v>0</v>
      </c>
      <c r="O1890">
        <v>13</v>
      </c>
      <c r="P1890">
        <v>1</v>
      </c>
      <c r="Q1890">
        <v>6.5</v>
      </c>
      <c r="R1890">
        <v>25</v>
      </c>
      <c r="S1890">
        <v>0</v>
      </c>
      <c r="T1890">
        <v>0</v>
      </c>
      <c r="U1890" s="8">
        <v>25</v>
      </c>
      <c r="V1890" s="8">
        <f t="shared" si="59"/>
        <v>3</v>
      </c>
      <c r="W1890" t="str">
        <f>_xlfn.XLOOKUP(A1890, Matches!A:A, Matches!L:L, "NA", 0)</f>
        <v>DCW</v>
      </c>
      <c r="X1890" t="str">
        <f>_xlfn.XLOOKUP(A1890, Matches!A:A, Matches!J:J, "NA", 0)</f>
        <v>DCW</v>
      </c>
      <c r="Y1890" t="str">
        <f>_xlfn.XLOOKUP(A1890, Matches!A:A, Matches!F:F, "NA", 0)</f>
        <v>BCA Stadium, Kotambi</v>
      </c>
      <c r="Z1890" cm="1">
        <f t="array" ref="Z1890">INDEX(Innings!F:F,MATCH(1,(TRIM(Innings!A:A)=TRIM(A1890))*(TRIM(Innings!D:D)=TRIM(E1890)),0))</f>
        <v>126</v>
      </c>
      <c r="AA1890" cm="1">
        <f t="array" ref="AA1890">INDEX(Innings!I:I,MATCH(1,(TRIM(Innings!A:A)=TRIM(A1890))*(TRIM(Innings!D:D)=TRIM(E1890)),0))</f>
        <v>6.75</v>
      </c>
      <c r="AB1890" cm="1">
        <f t="array" ref="AB1890">INDEX(Innings!J:J,MATCH(1,(TRIM(Innings!A:A)=TRIM(A1890))*(TRIM(Innings!D:D)=TRIM(E1890)),0))</f>
        <v>38</v>
      </c>
      <c r="AC1890" cm="1">
        <f t="array" ref="AC1890">INDEX(Innings!N:N,MATCH(1,(TRIM(Innings!A:A)=TRIM(A1890))*(TRIM(Innings!D:D)=TRIM(E1890)),0))</f>
        <v>26</v>
      </c>
      <c r="AD1890" cm="1">
        <f t="array" ref="AD1890">INDEX(Innings!S:S,MATCH(1,(TRIM(Innings!A:A)=TRIM(A1890))*(TRIM(Innings!D:D)=TRIM(E1890)),0))</f>
        <v>29</v>
      </c>
      <c r="AE1890" t="str" cm="1">
        <f t="array" ref="AE1890">INDEX(Innings!W:W,MATCH(1,(TRIM(Innings!A:A)=TRIM(A1890))*(TRIM(Innings!D:D)=TRIM(E1890)),0))</f>
        <v>Successful</v>
      </c>
      <c r="AF1890">
        <f>IF(UPPER(TRIM(E1890))=UPPER(TRIM(W1890)),1,0)</f>
        <v>1</v>
      </c>
      <c r="AG1890">
        <f t="shared" si="58"/>
        <v>33.4</v>
      </c>
    </row>
    <row r="1891" spans="1:33" x14ac:dyDescent="0.3">
      <c r="A1891" t="s">
        <v>620</v>
      </c>
      <c r="B1891">
        <v>4</v>
      </c>
      <c r="C1891" t="s">
        <v>532</v>
      </c>
      <c r="D1891" t="s">
        <v>637</v>
      </c>
      <c r="E1891" t="s">
        <v>158</v>
      </c>
      <c r="F1891" t="s">
        <v>101</v>
      </c>
      <c r="G1891" t="s">
        <v>104</v>
      </c>
      <c r="H1891">
        <v>0</v>
      </c>
      <c r="I1891">
        <v>0</v>
      </c>
      <c r="J1891">
        <v>0</v>
      </c>
      <c r="K1891" t="s">
        <v>104</v>
      </c>
      <c r="L1891">
        <v>0</v>
      </c>
      <c r="M1891">
        <v>4</v>
      </c>
      <c r="N1891">
        <v>0</v>
      </c>
      <c r="O1891">
        <v>22</v>
      </c>
      <c r="P1891">
        <v>2</v>
      </c>
      <c r="Q1891">
        <v>5.5</v>
      </c>
      <c r="R1891">
        <v>40</v>
      </c>
      <c r="S1891">
        <v>0</v>
      </c>
      <c r="T1891">
        <v>0</v>
      </c>
      <c r="U1891" s="8">
        <v>40</v>
      </c>
      <c r="V1891" s="8">
        <f t="shared" si="59"/>
        <v>4</v>
      </c>
      <c r="W1891" t="str">
        <f>_xlfn.XLOOKUP(A1891, Matches!A:A, Matches!L:L, "NA", 0)</f>
        <v>DCW</v>
      </c>
      <c r="X1891" t="str">
        <f>_xlfn.XLOOKUP(A1891, Matches!A:A, Matches!J:J, "NA", 0)</f>
        <v>DCW</v>
      </c>
      <c r="Y1891" t="str">
        <f>_xlfn.XLOOKUP(A1891, Matches!A:A, Matches!F:F, "NA", 0)</f>
        <v>BCA Stadium, Kotambi</v>
      </c>
      <c r="Z1891" cm="1">
        <f t="array" ref="Z1891">INDEX(Innings!F:F,MATCH(1,(TRIM(Innings!A:A)=TRIM(A1891))*(TRIM(Innings!D:D)=TRIM(E1891)),0))</f>
        <v>126</v>
      </c>
      <c r="AA1891" cm="1">
        <f t="array" ref="AA1891">INDEX(Innings!I:I,MATCH(1,(TRIM(Innings!A:A)=TRIM(A1891))*(TRIM(Innings!D:D)=TRIM(E1891)),0))</f>
        <v>6.75</v>
      </c>
      <c r="AB1891" cm="1">
        <f t="array" ref="AB1891">INDEX(Innings!J:J,MATCH(1,(TRIM(Innings!A:A)=TRIM(A1891))*(TRIM(Innings!D:D)=TRIM(E1891)),0))</f>
        <v>38</v>
      </c>
      <c r="AC1891" cm="1">
        <f t="array" ref="AC1891">INDEX(Innings!N:N,MATCH(1,(TRIM(Innings!A:A)=TRIM(A1891))*(TRIM(Innings!D:D)=TRIM(E1891)),0))</f>
        <v>26</v>
      </c>
      <c r="AD1891" cm="1">
        <f t="array" ref="AD1891">INDEX(Innings!S:S,MATCH(1,(TRIM(Innings!A:A)=TRIM(A1891))*(TRIM(Innings!D:D)=TRIM(E1891)),0))</f>
        <v>29</v>
      </c>
      <c r="AE1891" t="str" cm="1">
        <f t="array" ref="AE1891">INDEX(Innings!W:W,MATCH(1,(TRIM(Innings!A:A)=TRIM(A1891))*(TRIM(Innings!D:D)=TRIM(E1891)),0))</f>
        <v>Successful</v>
      </c>
      <c r="AF1891">
        <f>IF(UPPER(TRIM(E1891))=UPPER(TRIM(W1891)),1,0)</f>
        <v>1</v>
      </c>
      <c r="AG1891">
        <f t="shared" si="58"/>
        <v>41.2</v>
      </c>
    </row>
    <row r="1892" spans="1:33" x14ac:dyDescent="0.3">
      <c r="A1892" t="s">
        <v>620</v>
      </c>
      <c r="B1892">
        <v>4</v>
      </c>
      <c r="C1892" t="s">
        <v>533</v>
      </c>
      <c r="D1892" t="s">
        <v>638</v>
      </c>
      <c r="E1892" t="s">
        <v>158</v>
      </c>
      <c r="F1892" t="s">
        <v>101</v>
      </c>
      <c r="G1892" t="s">
        <v>104</v>
      </c>
      <c r="H1892">
        <v>0</v>
      </c>
      <c r="I1892">
        <v>0</v>
      </c>
      <c r="J1892">
        <v>0</v>
      </c>
      <c r="K1892" t="s">
        <v>104</v>
      </c>
      <c r="L1892">
        <v>0</v>
      </c>
      <c r="M1892">
        <v>4</v>
      </c>
      <c r="N1892">
        <v>0</v>
      </c>
      <c r="O1892">
        <v>21</v>
      </c>
      <c r="P1892">
        <v>0</v>
      </c>
      <c r="Q1892">
        <v>5.2</v>
      </c>
      <c r="R1892">
        <v>0</v>
      </c>
      <c r="S1892">
        <v>0</v>
      </c>
      <c r="T1892">
        <v>0</v>
      </c>
      <c r="U1892" s="8">
        <v>0</v>
      </c>
      <c r="V1892" s="8">
        <f t="shared" si="59"/>
        <v>0</v>
      </c>
      <c r="W1892" t="str">
        <f>_xlfn.XLOOKUP(A1892, Matches!A:A, Matches!L:L, "NA", 0)</f>
        <v>DCW</v>
      </c>
      <c r="X1892" t="str">
        <f>_xlfn.XLOOKUP(A1892, Matches!A:A, Matches!J:J, "NA", 0)</f>
        <v>DCW</v>
      </c>
      <c r="Y1892" t="str">
        <f>_xlfn.XLOOKUP(A1892, Matches!A:A, Matches!F:F, "NA", 0)</f>
        <v>BCA Stadium, Kotambi</v>
      </c>
      <c r="Z1892" cm="1">
        <f t="array" ref="Z1892">INDEX(Innings!F:F,MATCH(1,(TRIM(Innings!A:A)=TRIM(A1892))*(TRIM(Innings!D:D)=TRIM(E1892)),0))</f>
        <v>126</v>
      </c>
      <c r="AA1892" cm="1">
        <f t="array" ref="AA1892">INDEX(Innings!I:I,MATCH(1,(TRIM(Innings!A:A)=TRIM(A1892))*(TRIM(Innings!D:D)=TRIM(E1892)),0))</f>
        <v>6.75</v>
      </c>
      <c r="AB1892" cm="1">
        <f t="array" ref="AB1892">INDEX(Innings!J:J,MATCH(1,(TRIM(Innings!A:A)=TRIM(A1892))*(TRIM(Innings!D:D)=TRIM(E1892)),0))</f>
        <v>38</v>
      </c>
      <c r="AC1892" cm="1">
        <f t="array" ref="AC1892">INDEX(Innings!N:N,MATCH(1,(TRIM(Innings!A:A)=TRIM(A1892))*(TRIM(Innings!D:D)=TRIM(E1892)),0))</f>
        <v>26</v>
      </c>
      <c r="AD1892" cm="1">
        <f t="array" ref="AD1892">INDEX(Innings!S:S,MATCH(1,(TRIM(Innings!A:A)=TRIM(A1892))*(TRIM(Innings!D:D)=TRIM(E1892)),0))</f>
        <v>29</v>
      </c>
      <c r="AE1892" t="str" cm="1">
        <f t="array" ref="AE1892">INDEX(Innings!W:W,MATCH(1,(TRIM(Innings!A:A)=TRIM(A1892))*(TRIM(Innings!D:D)=TRIM(E1892)),0))</f>
        <v>Successful</v>
      </c>
      <c r="AF1892">
        <f>IF(UPPER(TRIM(E1892))=UPPER(TRIM(W1892)),1,0)</f>
        <v>1</v>
      </c>
      <c r="AG1892">
        <f t="shared" si="58"/>
        <v>20</v>
      </c>
    </row>
    <row r="1893" spans="1:33" x14ac:dyDescent="0.3">
      <c r="A1893" t="s">
        <v>621</v>
      </c>
      <c r="B1893">
        <v>4</v>
      </c>
      <c r="C1893" t="s">
        <v>81</v>
      </c>
      <c r="D1893" t="s">
        <v>114</v>
      </c>
      <c r="E1893" t="s">
        <v>258</v>
      </c>
      <c r="F1893" t="s">
        <v>85</v>
      </c>
      <c r="G1893" t="s">
        <v>86</v>
      </c>
      <c r="H1893">
        <v>62</v>
      </c>
      <c r="I1893">
        <v>51</v>
      </c>
      <c r="J1893">
        <v>121.57</v>
      </c>
      <c r="K1893" t="s">
        <v>96</v>
      </c>
      <c r="L1893">
        <v>70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 s="8">
        <v>70</v>
      </c>
      <c r="V1893" s="8">
        <f t="shared" si="59"/>
        <v>7</v>
      </c>
      <c r="W1893" t="str">
        <f>_xlfn.XLOOKUP(A1893, Matches!A:A, Matches!L:L, "NA", 0)</f>
        <v>DCW</v>
      </c>
      <c r="X1893" t="str">
        <f>_xlfn.XLOOKUP(A1893, Matches!A:A, Matches!J:J, "NA", 0)</f>
        <v>DCW</v>
      </c>
      <c r="Y1893" t="str">
        <f>_xlfn.XLOOKUP(A1893, Matches!A:A, Matches!F:F, "NA", 0)</f>
        <v>BCA Stadium, Kotambi</v>
      </c>
      <c r="Z1893" cm="1">
        <f t="array" ref="Z1893">INDEX(Innings!F:F,MATCH(1,(TRIM(Innings!A:A)=TRIM(A1893))*(TRIM(Innings!D:D)=TRIM(E1893)),0))</f>
        <v>168</v>
      </c>
      <c r="AA1893" cm="1">
        <f t="array" ref="AA1893">INDEX(Innings!I:I,MATCH(1,(TRIM(Innings!A:A)=TRIM(A1893))*(TRIM(Innings!D:D)=TRIM(E1893)),0))</f>
        <v>8.4</v>
      </c>
      <c r="AB1893" cm="1">
        <f t="array" ref="AB1893">INDEX(Innings!J:J,MATCH(1,(TRIM(Innings!A:A)=TRIM(A1893))*(TRIM(Innings!D:D)=TRIM(E1893)),0))</f>
        <v>48</v>
      </c>
      <c r="AC1893" cm="1">
        <f t="array" ref="AC1893">INDEX(Innings!N:N,MATCH(1,(TRIM(Innings!A:A)=TRIM(A1893))*(TRIM(Innings!D:D)=TRIM(E1893)),0))</f>
        <v>49</v>
      </c>
      <c r="AD1893" cm="1">
        <f t="array" ref="AD1893">INDEX(Innings!S:S,MATCH(1,(TRIM(Innings!A:A)=TRIM(A1893))*(TRIM(Innings!D:D)=TRIM(E1893)),0))</f>
        <v>28</v>
      </c>
      <c r="AE1893" t="str" cm="1">
        <f t="array" ref="AE1893">INDEX(Innings!W:W,MATCH(1,(TRIM(Innings!A:A)=TRIM(A1893))*(TRIM(Innings!D:D)=TRIM(E1893)),0))</f>
        <v>NA</v>
      </c>
      <c r="AF1893">
        <f>IF(UPPER(TRIM(E1893))=UPPER(TRIM(W1893)),1,0)</f>
        <v>0</v>
      </c>
      <c r="AG1893">
        <f t="shared" si="58"/>
        <v>37.1</v>
      </c>
    </row>
    <row r="1894" spans="1:33" x14ac:dyDescent="0.3">
      <c r="A1894" t="s">
        <v>621</v>
      </c>
      <c r="B1894">
        <v>4</v>
      </c>
      <c r="C1894" t="s">
        <v>167</v>
      </c>
      <c r="D1894" t="s">
        <v>168</v>
      </c>
      <c r="E1894" t="s">
        <v>258</v>
      </c>
      <c r="F1894" t="s">
        <v>169</v>
      </c>
      <c r="G1894" t="s">
        <v>92</v>
      </c>
      <c r="H1894">
        <v>6</v>
      </c>
      <c r="I1894">
        <v>9</v>
      </c>
      <c r="J1894">
        <v>66.67</v>
      </c>
      <c r="K1894" t="s">
        <v>246</v>
      </c>
      <c r="L1894">
        <v>5</v>
      </c>
      <c r="M1894">
        <v>3</v>
      </c>
      <c r="N1894">
        <v>0</v>
      </c>
      <c r="O1894">
        <v>35</v>
      </c>
      <c r="P1894">
        <v>0</v>
      </c>
      <c r="Q1894">
        <v>11.7</v>
      </c>
      <c r="R1894">
        <v>0</v>
      </c>
      <c r="S1894">
        <v>0</v>
      </c>
      <c r="T1894">
        <v>0</v>
      </c>
      <c r="U1894" s="8">
        <v>5</v>
      </c>
      <c r="V1894" s="8">
        <f t="shared" si="59"/>
        <v>1</v>
      </c>
      <c r="W1894" t="str">
        <f>_xlfn.XLOOKUP(A1894, Matches!A:A, Matches!L:L, "NA", 0)</f>
        <v>DCW</v>
      </c>
      <c r="X1894" t="str">
        <f>_xlfn.XLOOKUP(A1894, Matches!A:A, Matches!J:J, "NA", 0)</f>
        <v>DCW</v>
      </c>
      <c r="Y1894" t="str">
        <f>_xlfn.XLOOKUP(A1894, Matches!A:A, Matches!F:F, "NA", 0)</f>
        <v>BCA Stadium, Kotambi</v>
      </c>
      <c r="Z1894" cm="1">
        <f t="array" ref="Z1894">INDEX(Innings!F:F,MATCH(1,(TRIM(Innings!A:A)=TRIM(A1894))*(TRIM(Innings!D:D)=TRIM(E1894)),0))</f>
        <v>168</v>
      </c>
      <c r="AA1894" cm="1">
        <f t="array" ref="AA1894">INDEX(Innings!I:I,MATCH(1,(TRIM(Innings!A:A)=TRIM(A1894))*(TRIM(Innings!D:D)=TRIM(E1894)),0))</f>
        <v>8.4</v>
      </c>
      <c r="AB1894" cm="1">
        <f t="array" ref="AB1894">INDEX(Innings!J:J,MATCH(1,(TRIM(Innings!A:A)=TRIM(A1894))*(TRIM(Innings!D:D)=TRIM(E1894)),0))</f>
        <v>48</v>
      </c>
      <c r="AC1894" cm="1">
        <f t="array" ref="AC1894">INDEX(Innings!N:N,MATCH(1,(TRIM(Innings!A:A)=TRIM(A1894))*(TRIM(Innings!D:D)=TRIM(E1894)),0))</f>
        <v>49</v>
      </c>
      <c r="AD1894" cm="1">
        <f t="array" ref="AD1894">INDEX(Innings!S:S,MATCH(1,(TRIM(Innings!A:A)=TRIM(A1894))*(TRIM(Innings!D:D)=TRIM(E1894)),0))</f>
        <v>28</v>
      </c>
      <c r="AE1894" t="str" cm="1">
        <f t="array" ref="AE1894">INDEX(Innings!W:W,MATCH(1,(TRIM(Innings!A:A)=TRIM(A1894))*(TRIM(Innings!D:D)=TRIM(E1894)),0))</f>
        <v>NA</v>
      </c>
      <c r="AF1894">
        <f>IF(UPPER(TRIM(E1894))=UPPER(TRIM(W1894)),1,0)</f>
        <v>0</v>
      </c>
      <c r="AG1894">
        <f t="shared" si="58"/>
        <v>2.8</v>
      </c>
    </row>
    <row r="1895" spans="1:33" x14ac:dyDescent="0.3">
      <c r="A1895" t="s">
        <v>621</v>
      </c>
      <c r="B1895">
        <v>4</v>
      </c>
      <c r="C1895" t="s">
        <v>529</v>
      </c>
      <c r="D1895" t="s">
        <v>632</v>
      </c>
      <c r="E1895" t="s">
        <v>258</v>
      </c>
      <c r="F1895" t="s">
        <v>109</v>
      </c>
      <c r="G1895" t="s">
        <v>92</v>
      </c>
      <c r="H1895">
        <v>16</v>
      </c>
      <c r="I1895">
        <v>13</v>
      </c>
      <c r="J1895">
        <v>123.08</v>
      </c>
      <c r="K1895" t="s">
        <v>246</v>
      </c>
      <c r="L1895">
        <v>20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 s="8">
        <v>20</v>
      </c>
      <c r="V1895" s="8">
        <f t="shared" si="59"/>
        <v>2</v>
      </c>
      <c r="W1895" t="str">
        <f>_xlfn.XLOOKUP(A1895, Matches!A:A, Matches!L:L, "NA", 0)</f>
        <v>DCW</v>
      </c>
      <c r="X1895" t="str">
        <f>_xlfn.XLOOKUP(A1895, Matches!A:A, Matches!J:J, "NA", 0)</f>
        <v>DCW</v>
      </c>
      <c r="Y1895" t="str">
        <f>_xlfn.XLOOKUP(A1895, Matches!A:A, Matches!F:F, "NA", 0)</f>
        <v>BCA Stadium, Kotambi</v>
      </c>
      <c r="Z1895" cm="1">
        <f t="array" ref="Z1895">INDEX(Innings!F:F,MATCH(1,(TRIM(Innings!A:A)=TRIM(A1895))*(TRIM(Innings!D:D)=TRIM(E1895)),0))</f>
        <v>168</v>
      </c>
      <c r="AA1895" cm="1">
        <f t="array" ref="AA1895">INDEX(Innings!I:I,MATCH(1,(TRIM(Innings!A:A)=TRIM(A1895))*(TRIM(Innings!D:D)=TRIM(E1895)),0))</f>
        <v>8.4</v>
      </c>
      <c r="AB1895" cm="1">
        <f t="array" ref="AB1895">INDEX(Innings!J:J,MATCH(1,(TRIM(Innings!A:A)=TRIM(A1895))*(TRIM(Innings!D:D)=TRIM(E1895)),0))</f>
        <v>48</v>
      </c>
      <c r="AC1895" cm="1">
        <f t="array" ref="AC1895">INDEX(Innings!N:N,MATCH(1,(TRIM(Innings!A:A)=TRIM(A1895))*(TRIM(Innings!D:D)=TRIM(E1895)),0))</f>
        <v>49</v>
      </c>
      <c r="AD1895" cm="1">
        <f t="array" ref="AD1895">INDEX(Innings!S:S,MATCH(1,(TRIM(Innings!A:A)=TRIM(A1895))*(TRIM(Innings!D:D)=TRIM(E1895)),0))</f>
        <v>28</v>
      </c>
      <c r="AE1895" t="str" cm="1">
        <f t="array" ref="AE1895">INDEX(Innings!W:W,MATCH(1,(TRIM(Innings!A:A)=TRIM(A1895))*(TRIM(Innings!D:D)=TRIM(E1895)),0))</f>
        <v>NA</v>
      </c>
      <c r="AF1895">
        <f>IF(UPPER(TRIM(E1895))=UPPER(TRIM(W1895)),1,0)</f>
        <v>0</v>
      </c>
      <c r="AG1895">
        <f t="shared" si="58"/>
        <v>10.6</v>
      </c>
    </row>
    <row r="1896" spans="1:33" x14ac:dyDescent="0.3">
      <c r="A1896" t="s">
        <v>621</v>
      </c>
      <c r="B1896">
        <v>4</v>
      </c>
      <c r="C1896" t="s">
        <v>93</v>
      </c>
      <c r="D1896" t="s">
        <v>118</v>
      </c>
      <c r="E1896" t="s">
        <v>258</v>
      </c>
      <c r="F1896" t="s">
        <v>169</v>
      </c>
      <c r="G1896" t="s">
        <v>134</v>
      </c>
      <c r="H1896">
        <v>0</v>
      </c>
      <c r="I1896">
        <v>1</v>
      </c>
      <c r="J1896">
        <v>0</v>
      </c>
      <c r="K1896" t="s">
        <v>246</v>
      </c>
      <c r="L1896">
        <v>0</v>
      </c>
      <c r="M1896">
        <v>1</v>
      </c>
      <c r="N1896">
        <v>0</v>
      </c>
      <c r="O1896">
        <v>15</v>
      </c>
      <c r="P1896">
        <v>0</v>
      </c>
      <c r="Q1896">
        <v>15</v>
      </c>
      <c r="R1896">
        <v>0</v>
      </c>
      <c r="S1896">
        <v>0</v>
      </c>
      <c r="T1896">
        <v>0</v>
      </c>
      <c r="U1896" s="8">
        <v>0</v>
      </c>
      <c r="V1896" s="8">
        <f t="shared" si="59"/>
        <v>0</v>
      </c>
      <c r="W1896" t="str">
        <f>_xlfn.XLOOKUP(A1896, Matches!A:A, Matches!L:L, "NA", 0)</f>
        <v>DCW</v>
      </c>
      <c r="X1896" t="str">
        <f>_xlfn.XLOOKUP(A1896, Matches!A:A, Matches!J:J, "NA", 0)</f>
        <v>DCW</v>
      </c>
      <c r="Y1896" t="str">
        <f>_xlfn.XLOOKUP(A1896, Matches!A:A, Matches!F:F, "NA", 0)</f>
        <v>BCA Stadium, Kotambi</v>
      </c>
      <c r="Z1896" cm="1">
        <f t="array" ref="Z1896">INDEX(Innings!F:F,MATCH(1,(TRIM(Innings!A:A)=TRIM(A1896))*(TRIM(Innings!D:D)=TRIM(E1896)),0))</f>
        <v>168</v>
      </c>
      <c r="AA1896" cm="1">
        <f t="array" ref="AA1896">INDEX(Innings!I:I,MATCH(1,(TRIM(Innings!A:A)=TRIM(A1896))*(TRIM(Innings!D:D)=TRIM(E1896)),0))</f>
        <v>8.4</v>
      </c>
      <c r="AB1896" cm="1">
        <f t="array" ref="AB1896">INDEX(Innings!J:J,MATCH(1,(TRIM(Innings!A:A)=TRIM(A1896))*(TRIM(Innings!D:D)=TRIM(E1896)),0))</f>
        <v>48</v>
      </c>
      <c r="AC1896" cm="1">
        <f t="array" ref="AC1896">INDEX(Innings!N:N,MATCH(1,(TRIM(Innings!A:A)=TRIM(A1896))*(TRIM(Innings!D:D)=TRIM(E1896)),0))</f>
        <v>49</v>
      </c>
      <c r="AD1896" cm="1">
        <f t="array" ref="AD1896">INDEX(Innings!S:S,MATCH(1,(TRIM(Innings!A:A)=TRIM(A1896))*(TRIM(Innings!D:D)=TRIM(E1896)),0))</f>
        <v>28</v>
      </c>
      <c r="AE1896" t="str" cm="1">
        <f t="array" ref="AE1896">INDEX(Innings!W:W,MATCH(1,(TRIM(Innings!A:A)=TRIM(A1896))*(TRIM(Innings!D:D)=TRIM(E1896)),0))</f>
        <v>NA</v>
      </c>
      <c r="AF1896">
        <f>IF(UPPER(TRIM(E1896))=UPPER(TRIM(W1896)),1,0)</f>
        <v>0</v>
      </c>
      <c r="AG1896">
        <f t="shared" si="58"/>
        <v>0</v>
      </c>
    </row>
    <row r="1897" spans="1:33" x14ac:dyDescent="0.3">
      <c r="A1897" t="s">
        <v>621</v>
      </c>
      <c r="B1897">
        <v>4</v>
      </c>
      <c r="C1897" t="s">
        <v>178</v>
      </c>
      <c r="D1897" t="s">
        <v>179</v>
      </c>
      <c r="E1897" t="s">
        <v>258</v>
      </c>
      <c r="F1897" t="s">
        <v>169</v>
      </c>
      <c r="G1897" t="s">
        <v>134</v>
      </c>
      <c r="H1897">
        <v>6</v>
      </c>
      <c r="I1897">
        <v>9</v>
      </c>
      <c r="J1897">
        <v>66.67</v>
      </c>
      <c r="K1897" t="s">
        <v>248</v>
      </c>
      <c r="L1897">
        <v>5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 s="8">
        <v>5</v>
      </c>
      <c r="V1897" s="8">
        <f t="shared" si="59"/>
        <v>1</v>
      </c>
      <c r="W1897" t="str">
        <f>_xlfn.XLOOKUP(A1897, Matches!A:A, Matches!L:L, "NA", 0)</f>
        <v>DCW</v>
      </c>
      <c r="X1897" t="str">
        <f>_xlfn.XLOOKUP(A1897, Matches!A:A, Matches!J:J, "NA", 0)</f>
        <v>DCW</v>
      </c>
      <c r="Y1897" t="str">
        <f>_xlfn.XLOOKUP(A1897, Matches!A:A, Matches!F:F, "NA", 0)</f>
        <v>BCA Stadium, Kotambi</v>
      </c>
      <c r="Z1897" cm="1">
        <f t="array" ref="Z1897">INDEX(Innings!F:F,MATCH(1,(TRIM(Innings!A:A)=TRIM(A1897))*(TRIM(Innings!D:D)=TRIM(E1897)),0))</f>
        <v>168</v>
      </c>
      <c r="AA1897" cm="1">
        <f t="array" ref="AA1897">INDEX(Innings!I:I,MATCH(1,(TRIM(Innings!A:A)=TRIM(A1897))*(TRIM(Innings!D:D)=TRIM(E1897)),0))</f>
        <v>8.4</v>
      </c>
      <c r="AB1897" cm="1">
        <f t="array" ref="AB1897">INDEX(Innings!J:J,MATCH(1,(TRIM(Innings!A:A)=TRIM(A1897))*(TRIM(Innings!D:D)=TRIM(E1897)),0))</f>
        <v>48</v>
      </c>
      <c r="AC1897" cm="1">
        <f t="array" ref="AC1897">INDEX(Innings!N:N,MATCH(1,(TRIM(Innings!A:A)=TRIM(A1897))*(TRIM(Innings!D:D)=TRIM(E1897)),0))</f>
        <v>49</v>
      </c>
      <c r="AD1897" cm="1">
        <f t="array" ref="AD1897">INDEX(Innings!S:S,MATCH(1,(TRIM(Innings!A:A)=TRIM(A1897))*(TRIM(Innings!D:D)=TRIM(E1897)),0))</f>
        <v>28</v>
      </c>
      <c r="AE1897" t="str" cm="1">
        <f t="array" ref="AE1897">INDEX(Innings!W:W,MATCH(1,(TRIM(Innings!A:A)=TRIM(A1897))*(TRIM(Innings!D:D)=TRIM(E1897)),0))</f>
        <v>NA</v>
      </c>
      <c r="AF1897">
        <f>IF(UPPER(TRIM(E1897))=UPPER(TRIM(W1897)),1,0)</f>
        <v>0</v>
      </c>
      <c r="AG1897">
        <f t="shared" si="58"/>
        <v>2.8</v>
      </c>
    </row>
    <row r="1898" spans="1:33" x14ac:dyDescent="0.3">
      <c r="A1898" t="s">
        <v>621</v>
      </c>
      <c r="B1898">
        <v>4</v>
      </c>
      <c r="C1898" t="s">
        <v>99</v>
      </c>
      <c r="D1898" t="s">
        <v>124</v>
      </c>
      <c r="E1898" t="s">
        <v>258</v>
      </c>
      <c r="F1898" t="s">
        <v>169</v>
      </c>
      <c r="G1898" t="s">
        <v>134</v>
      </c>
      <c r="H1898">
        <v>35</v>
      </c>
      <c r="I1898">
        <v>25</v>
      </c>
      <c r="J1898">
        <v>140</v>
      </c>
      <c r="K1898" t="s">
        <v>246</v>
      </c>
      <c r="L1898">
        <v>40</v>
      </c>
      <c r="M1898">
        <v>3.4</v>
      </c>
      <c r="N1898">
        <v>0</v>
      </c>
      <c r="O1898">
        <v>28</v>
      </c>
      <c r="P1898">
        <v>2</v>
      </c>
      <c r="Q1898">
        <v>7.6</v>
      </c>
      <c r="R1898">
        <v>50</v>
      </c>
      <c r="S1898">
        <v>0</v>
      </c>
      <c r="T1898">
        <v>0</v>
      </c>
      <c r="U1898" s="8">
        <v>90</v>
      </c>
      <c r="V1898" s="8">
        <f t="shared" si="59"/>
        <v>9</v>
      </c>
      <c r="W1898" t="str">
        <f>_xlfn.XLOOKUP(A1898, Matches!A:A, Matches!L:L, "NA", 0)</f>
        <v>DCW</v>
      </c>
      <c r="X1898" t="str">
        <f>_xlfn.XLOOKUP(A1898, Matches!A:A, Matches!J:J, "NA", 0)</f>
        <v>DCW</v>
      </c>
      <c r="Y1898" t="str">
        <f>_xlfn.XLOOKUP(A1898, Matches!A:A, Matches!F:F, "NA", 0)</f>
        <v>BCA Stadium, Kotambi</v>
      </c>
      <c r="Z1898" cm="1">
        <f t="array" ref="Z1898">INDEX(Innings!F:F,MATCH(1,(TRIM(Innings!A:A)=TRIM(A1898))*(TRIM(Innings!D:D)=TRIM(E1898)),0))</f>
        <v>168</v>
      </c>
      <c r="AA1898" cm="1">
        <f t="array" ref="AA1898">INDEX(Innings!I:I,MATCH(1,(TRIM(Innings!A:A)=TRIM(A1898))*(TRIM(Innings!D:D)=TRIM(E1898)),0))</f>
        <v>8.4</v>
      </c>
      <c r="AB1898" cm="1">
        <f t="array" ref="AB1898">INDEX(Innings!J:J,MATCH(1,(TRIM(Innings!A:A)=TRIM(A1898))*(TRIM(Innings!D:D)=TRIM(E1898)),0))</f>
        <v>48</v>
      </c>
      <c r="AC1898" cm="1">
        <f t="array" ref="AC1898">INDEX(Innings!N:N,MATCH(1,(TRIM(Innings!A:A)=TRIM(A1898))*(TRIM(Innings!D:D)=TRIM(E1898)),0))</f>
        <v>49</v>
      </c>
      <c r="AD1898" cm="1">
        <f t="array" ref="AD1898">INDEX(Innings!S:S,MATCH(1,(TRIM(Innings!A:A)=TRIM(A1898))*(TRIM(Innings!D:D)=TRIM(E1898)),0))</f>
        <v>28</v>
      </c>
      <c r="AE1898" t="str" cm="1">
        <f t="array" ref="AE1898">INDEX(Innings!W:W,MATCH(1,(TRIM(Innings!A:A)=TRIM(A1898))*(TRIM(Innings!D:D)=TRIM(E1898)),0))</f>
        <v>NA</v>
      </c>
      <c r="AF1898">
        <f>IF(UPPER(TRIM(E1898))=UPPER(TRIM(W1898)),1,0)</f>
        <v>0</v>
      </c>
      <c r="AG1898">
        <f t="shared" si="58"/>
        <v>47.7</v>
      </c>
    </row>
    <row r="1899" spans="1:33" x14ac:dyDescent="0.3">
      <c r="A1899" t="s">
        <v>621</v>
      </c>
      <c r="B1899">
        <v>4</v>
      </c>
      <c r="C1899" t="s">
        <v>447</v>
      </c>
      <c r="D1899" t="s">
        <v>448</v>
      </c>
      <c r="E1899" t="s">
        <v>258</v>
      </c>
      <c r="F1899" t="s">
        <v>109</v>
      </c>
      <c r="G1899" t="s">
        <v>134</v>
      </c>
      <c r="H1899">
        <v>0</v>
      </c>
      <c r="I1899">
        <v>2</v>
      </c>
      <c r="J1899">
        <v>0</v>
      </c>
      <c r="K1899" t="s">
        <v>246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 s="8">
        <v>0</v>
      </c>
      <c r="V1899" s="8">
        <f t="shared" si="59"/>
        <v>0</v>
      </c>
      <c r="W1899" t="str">
        <f>_xlfn.XLOOKUP(A1899, Matches!A:A, Matches!L:L, "NA", 0)</f>
        <v>DCW</v>
      </c>
      <c r="X1899" t="str">
        <f>_xlfn.XLOOKUP(A1899, Matches!A:A, Matches!J:J, "NA", 0)</f>
        <v>DCW</v>
      </c>
      <c r="Y1899" t="str">
        <f>_xlfn.XLOOKUP(A1899, Matches!A:A, Matches!F:F, "NA", 0)</f>
        <v>BCA Stadium, Kotambi</v>
      </c>
      <c r="Z1899" cm="1">
        <f t="array" ref="Z1899">INDEX(Innings!F:F,MATCH(1,(TRIM(Innings!A:A)=TRIM(A1899))*(TRIM(Innings!D:D)=TRIM(E1899)),0))</f>
        <v>168</v>
      </c>
      <c r="AA1899" cm="1">
        <f t="array" ref="AA1899">INDEX(Innings!I:I,MATCH(1,(TRIM(Innings!A:A)=TRIM(A1899))*(TRIM(Innings!D:D)=TRIM(E1899)),0))</f>
        <v>8.4</v>
      </c>
      <c r="AB1899" cm="1">
        <f t="array" ref="AB1899">INDEX(Innings!J:J,MATCH(1,(TRIM(Innings!A:A)=TRIM(A1899))*(TRIM(Innings!D:D)=TRIM(E1899)),0))</f>
        <v>48</v>
      </c>
      <c r="AC1899" cm="1">
        <f t="array" ref="AC1899">INDEX(Innings!N:N,MATCH(1,(TRIM(Innings!A:A)=TRIM(A1899))*(TRIM(Innings!D:D)=TRIM(E1899)),0))</f>
        <v>49</v>
      </c>
      <c r="AD1899" cm="1">
        <f t="array" ref="AD1899">INDEX(Innings!S:S,MATCH(1,(TRIM(Innings!A:A)=TRIM(A1899))*(TRIM(Innings!D:D)=TRIM(E1899)),0))</f>
        <v>28</v>
      </c>
      <c r="AE1899" t="str" cm="1">
        <f t="array" ref="AE1899">INDEX(Innings!W:W,MATCH(1,(TRIM(Innings!A:A)=TRIM(A1899))*(TRIM(Innings!D:D)=TRIM(E1899)),0))</f>
        <v>NA</v>
      </c>
      <c r="AF1899">
        <f>IF(UPPER(TRIM(E1899))=UPPER(TRIM(W1899)),1,0)</f>
        <v>0</v>
      </c>
      <c r="AG1899">
        <f t="shared" si="58"/>
        <v>0</v>
      </c>
    </row>
    <row r="1900" spans="1:33" x14ac:dyDescent="0.3">
      <c r="A1900" t="s">
        <v>621</v>
      </c>
      <c r="B1900">
        <v>4</v>
      </c>
      <c r="C1900" t="s">
        <v>493</v>
      </c>
      <c r="D1900" t="s">
        <v>500</v>
      </c>
      <c r="E1900" t="s">
        <v>258</v>
      </c>
      <c r="F1900" t="s">
        <v>101</v>
      </c>
      <c r="G1900" t="s">
        <v>134</v>
      </c>
      <c r="H1900">
        <v>18</v>
      </c>
      <c r="I1900">
        <v>10</v>
      </c>
      <c r="J1900">
        <v>180</v>
      </c>
      <c r="K1900" t="s">
        <v>256</v>
      </c>
      <c r="L1900">
        <v>20</v>
      </c>
      <c r="M1900">
        <v>2</v>
      </c>
      <c r="N1900">
        <v>0</v>
      </c>
      <c r="O1900">
        <v>17</v>
      </c>
      <c r="P1900">
        <v>0</v>
      </c>
      <c r="Q1900">
        <v>8.5</v>
      </c>
      <c r="R1900">
        <v>0</v>
      </c>
      <c r="S1900">
        <v>0</v>
      </c>
      <c r="T1900">
        <v>0</v>
      </c>
      <c r="U1900" s="8">
        <v>20</v>
      </c>
      <c r="V1900" s="8">
        <f t="shared" si="59"/>
        <v>2</v>
      </c>
      <c r="W1900" t="str">
        <f>_xlfn.XLOOKUP(A1900, Matches!A:A, Matches!L:L, "NA", 0)</f>
        <v>DCW</v>
      </c>
      <c r="X1900" t="str">
        <f>_xlfn.XLOOKUP(A1900, Matches!A:A, Matches!J:J, "NA", 0)</f>
        <v>DCW</v>
      </c>
      <c r="Y1900" t="str">
        <f>_xlfn.XLOOKUP(A1900, Matches!A:A, Matches!F:F, "NA", 0)</f>
        <v>BCA Stadium, Kotambi</v>
      </c>
      <c r="Z1900" cm="1">
        <f t="array" ref="Z1900">INDEX(Innings!F:F,MATCH(1,(TRIM(Innings!A:A)=TRIM(A1900))*(TRIM(Innings!D:D)=TRIM(E1900)),0))</f>
        <v>168</v>
      </c>
      <c r="AA1900" cm="1">
        <f t="array" ref="AA1900">INDEX(Innings!I:I,MATCH(1,(TRIM(Innings!A:A)=TRIM(A1900))*(TRIM(Innings!D:D)=TRIM(E1900)),0))</f>
        <v>8.4</v>
      </c>
      <c r="AB1900" cm="1">
        <f t="array" ref="AB1900">INDEX(Innings!J:J,MATCH(1,(TRIM(Innings!A:A)=TRIM(A1900))*(TRIM(Innings!D:D)=TRIM(E1900)),0))</f>
        <v>48</v>
      </c>
      <c r="AC1900" cm="1">
        <f t="array" ref="AC1900">INDEX(Innings!N:N,MATCH(1,(TRIM(Innings!A:A)=TRIM(A1900))*(TRIM(Innings!D:D)=TRIM(E1900)),0))</f>
        <v>49</v>
      </c>
      <c r="AD1900" cm="1">
        <f t="array" ref="AD1900">INDEX(Innings!S:S,MATCH(1,(TRIM(Innings!A:A)=TRIM(A1900))*(TRIM(Innings!D:D)=TRIM(E1900)),0))</f>
        <v>28</v>
      </c>
      <c r="AE1900" t="str" cm="1">
        <f t="array" ref="AE1900">INDEX(Innings!W:W,MATCH(1,(TRIM(Innings!A:A)=TRIM(A1900))*(TRIM(Innings!D:D)=TRIM(E1900)),0))</f>
        <v>NA</v>
      </c>
      <c r="AF1900">
        <f>IF(UPPER(TRIM(E1900))=UPPER(TRIM(W1900)),1,0)</f>
        <v>0</v>
      </c>
      <c r="AG1900">
        <f t="shared" si="58"/>
        <v>10.6</v>
      </c>
    </row>
    <row r="1901" spans="1:33" x14ac:dyDescent="0.3">
      <c r="A1901" t="s">
        <v>621</v>
      </c>
      <c r="B1901">
        <v>4</v>
      </c>
      <c r="C1901" t="s">
        <v>105</v>
      </c>
      <c r="D1901" t="s">
        <v>128</v>
      </c>
      <c r="E1901" t="s">
        <v>258</v>
      </c>
      <c r="F1901" t="s">
        <v>101</v>
      </c>
      <c r="G1901" t="s">
        <v>134</v>
      </c>
      <c r="H1901">
        <v>0</v>
      </c>
      <c r="I1901">
        <v>0</v>
      </c>
      <c r="J1901">
        <v>0</v>
      </c>
      <c r="K1901" t="s">
        <v>96</v>
      </c>
      <c r="L1901">
        <v>0</v>
      </c>
      <c r="M1901">
        <v>1</v>
      </c>
      <c r="N1901">
        <v>0</v>
      </c>
      <c r="O1901">
        <v>5</v>
      </c>
      <c r="P1901">
        <v>0</v>
      </c>
      <c r="Q1901">
        <v>5</v>
      </c>
      <c r="R1901">
        <v>0</v>
      </c>
      <c r="S1901">
        <v>0</v>
      </c>
      <c r="T1901">
        <v>0</v>
      </c>
      <c r="U1901" s="8">
        <v>0</v>
      </c>
      <c r="V1901" s="8">
        <f t="shared" si="59"/>
        <v>0</v>
      </c>
      <c r="W1901" t="str">
        <f>_xlfn.XLOOKUP(A1901, Matches!A:A, Matches!L:L, "NA", 0)</f>
        <v>DCW</v>
      </c>
      <c r="X1901" t="str">
        <f>_xlfn.XLOOKUP(A1901, Matches!A:A, Matches!J:J, "NA", 0)</f>
        <v>DCW</v>
      </c>
      <c r="Y1901" t="str">
        <f>_xlfn.XLOOKUP(A1901, Matches!A:A, Matches!F:F, "NA", 0)</f>
        <v>BCA Stadium, Kotambi</v>
      </c>
      <c r="Z1901" cm="1">
        <f t="array" ref="Z1901">INDEX(Innings!F:F,MATCH(1,(TRIM(Innings!A:A)=TRIM(A1901))*(TRIM(Innings!D:D)=TRIM(E1901)),0))</f>
        <v>168</v>
      </c>
      <c r="AA1901" cm="1">
        <f t="array" ref="AA1901">INDEX(Innings!I:I,MATCH(1,(TRIM(Innings!A:A)=TRIM(A1901))*(TRIM(Innings!D:D)=TRIM(E1901)),0))</f>
        <v>8.4</v>
      </c>
      <c r="AB1901" cm="1">
        <f t="array" ref="AB1901">INDEX(Innings!J:J,MATCH(1,(TRIM(Innings!A:A)=TRIM(A1901))*(TRIM(Innings!D:D)=TRIM(E1901)),0))</f>
        <v>48</v>
      </c>
      <c r="AC1901" cm="1">
        <f t="array" ref="AC1901">INDEX(Innings!N:N,MATCH(1,(TRIM(Innings!A:A)=TRIM(A1901))*(TRIM(Innings!D:D)=TRIM(E1901)),0))</f>
        <v>49</v>
      </c>
      <c r="AD1901" cm="1">
        <f t="array" ref="AD1901">INDEX(Innings!S:S,MATCH(1,(TRIM(Innings!A:A)=TRIM(A1901))*(TRIM(Innings!D:D)=TRIM(E1901)),0))</f>
        <v>28</v>
      </c>
      <c r="AE1901" t="str" cm="1">
        <f t="array" ref="AE1901">INDEX(Innings!W:W,MATCH(1,(TRIM(Innings!A:A)=TRIM(A1901))*(TRIM(Innings!D:D)=TRIM(E1901)),0))</f>
        <v>NA</v>
      </c>
      <c r="AF1901">
        <f>IF(UPPER(TRIM(E1901))=UPPER(TRIM(W1901)),1,0)</f>
        <v>0</v>
      </c>
      <c r="AG1901">
        <f t="shared" si="58"/>
        <v>0</v>
      </c>
    </row>
    <row r="1902" spans="1:33" x14ac:dyDescent="0.3">
      <c r="A1902" t="s">
        <v>621</v>
      </c>
      <c r="B1902">
        <v>4</v>
      </c>
      <c r="C1902" t="s">
        <v>186</v>
      </c>
      <c r="D1902" t="s">
        <v>187</v>
      </c>
      <c r="E1902" t="s">
        <v>258</v>
      </c>
      <c r="F1902" t="s">
        <v>101</v>
      </c>
      <c r="G1902" t="s">
        <v>104</v>
      </c>
      <c r="H1902">
        <v>0</v>
      </c>
      <c r="I1902">
        <v>0</v>
      </c>
      <c r="J1902">
        <v>0</v>
      </c>
      <c r="K1902" t="s">
        <v>104</v>
      </c>
      <c r="L1902">
        <v>0</v>
      </c>
      <c r="M1902">
        <v>2</v>
      </c>
      <c r="N1902">
        <v>0</v>
      </c>
      <c r="O1902">
        <v>27</v>
      </c>
      <c r="P1902">
        <v>0</v>
      </c>
      <c r="Q1902">
        <v>13.5</v>
      </c>
      <c r="R1902">
        <v>0</v>
      </c>
      <c r="S1902">
        <v>0</v>
      </c>
      <c r="T1902">
        <v>0</v>
      </c>
      <c r="U1902" s="8">
        <v>0</v>
      </c>
      <c r="V1902" s="8">
        <f t="shared" si="59"/>
        <v>0</v>
      </c>
      <c r="W1902" t="str">
        <f>_xlfn.XLOOKUP(A1902, Matches!A:A, Matches!L:L, "NA", 0)</f>
        <v>DCW</v>
      </c>
      <c r="X1902" t="str">
        <f>_xlfn.XLOOKUP(A1902, Matches!A:A, Matches!J:J, "NA", 0)</f>
        <v>DCW</v>
      </c>
      <c r="Y1902" t="str">
        <f>_xlfn.XLOOKUP(A1902, Matches!A:A, Matches!F:F, "NA", 0)</f>
        <v>BCA Stadium, Kotambi</v>
      </c>
      <c r="Z1902" cm="1">
        <f t="array" ref="Z1902">INDEX(Innings!F:F,MATCH(1,(TRIM(Innings!A:A)=TRIM(A1902))*(TRIM(Innings!D:D)=TRIM(E1902)),0))</f>
        <v>168</v>
      </c>
      <c r="AA1902" cm="1">
        <f t="array" ref="AA1902">INDEX(Innings!I:I,MATCH(1,(TRIM(Innings!A:A)=TRIM(A1902))*(TRIM(Innings!D:D)=TRIM(E1902)),0))</f>
        <v>8.4</v>
      </c>
      <c r="AB1902" cm="1">
        <f t="array" ref="AB1902">INDEX(Innings!J:J,MATCH(1,(TRIM(Innings!A:A)=TRIM(A1902))*(TRIM(Innings!D:D)=TRIM(E1902)),0))</f>
        <v>48</v>
      </c>
      <c r="AC1902" cm="1">
        <f t="array" ref="AC1902">INDEX(Innings!N:N,MATCH(1,(TRIM(Innings!A:A)=TRIM(A1902))*(TRIM(Innings!D:D)=TRIM(E1902)),0))</f>
        <v>49</v>
      </c>
      <c r="AD1902" cm="1">
        <f t="array" ref="AD1902">INDEX(Innings!S:S,MATCH(1,(TRIM(Innings!A:A)=TRIM(A1902))*(TRIM(Innings!D:D)=TRIM(E1902)),0))</f>
        <v>28</v>
      </c>
      <c r="AE1902" t="str" cm="1">
        <f t="array" ref="AE1902">INDEX(Innings!W:W,MATCH(1,(TRIM(Innings!A:A)=TRIM(A1902))*(TRIM(Innings!D:D)=TRIM(E1902)),0))</f>
        <v>NA</v>
      </c>
      <c r="AF1902">
        <f>IF(UPPER(TRIM(E1902))=UPPER(TRIM(W1902)),1,0)</f>
        <v>0</v>
      </c>
      <c r="AG1902">
        <f t="shared" si="58"/>
        <v>0</v>
      </c>
    </row>
    <row r="1903" spans="1:33" x14ac:dyDescent="0.3">
      <c r="A1903" t="s">
        <v>621</v>
      </c>
      <c r="B1903">
        <v>4</v>
      </c>
      <c r="C1903" t="s">
        <v>237</v>
      </c>
      <c r="D1903" t="s">
        <v>238</v>
      </c>
      <c r="E1903" t="s">
        <v>258</v>
      </c>
      <c r="F1903" t="s">
        <v>101</v>
      </c>
      <c r="G1903" t="s">
        <v>104</v>
      </c>
      <c r="H1903">
        <v>0</v>
      </c>
      <c r="I1903">
        <v>0</v>
      </c>
      <c r="J1903">
        <v>0</v>
      </c>
      <c r="K1903" t="s">
        <v>104</v>
      </c>
      <c r="L1903">
        <v>0</v>
      </c>
      <c r="M1903">
        <v>3</v>
      </c>
      <c r="N1903">
        <v>0</v>
      </c>
      <c r="O1903">
        <v>33</v>
      </c>
      <c r="P1903">
        <v>1</v>
      </c>
      <c r="Q1903">
        <v>11</v>
      </c>
      <c r="R1903">
        <v>25</v>
      </c>
      <c r="S1903">
        <v>0</v>
      </c>
      <c r="T1903">
        <v>0</v>
      </c>
      <c r="U1903" s="8">
        <v>25</v>
      </c>
      <c r="V1903" s="8">
        <f t="shared" si="59"/>
        <v>3</v>
      </c>
      <c r="W1903" t="str">
        <f>_xlfn.XLOOKUP(A1903, Matches!A:A, Matches!L:L, "NA", 0)</f>
        <v>DCW</v>
      </c>
      <c r="X1903" t="str">
        <f>_xlfn.XLOOKUP(A1903, Matches!A:A, Matches!J:J, "NA", 0)</f>
        <v>DCW</v>
      </c>
      <c r="Y1903" t="str">
        <f>_xlfn.XLOOKUP(A1903, Matches!A:A, Matches!F:F, "NA", 0)</f>
        <v>BCA Stadium, Kotambi</v>
      </c>
      <c r="Z1903" cm="1">
        <f t="array" ref="Z1903">INDEX(Innings!F:F,MATCH(1,(TRIM(Innings!A:A)=TRIM(A1903))*(TRIM(Innings!D:D)=TRIM(E1903)),0))</f>
        <v>168</v>
      </c>
      <c r="AA1903" cm="1">
        <f t="array" ref="AA1903">INDEX(Innings!I:I,MATCH(1,(TRIM(Innings!A:A)=TRIM(A1903))*(TRIM(Innings!D:D)=TRIM(E1903)),0))</f>
        <v>8.4</v>
      </c>
      <c r="AB1903" cm="1">
        <f t="array" ref="AB1903">INDEX(Innings!J:J,MATCH(1,(TRIM(Innings!A:A)=TRIM(A1903))*(TRIM(Innings!D:D)=TRIM(E1903)),0))</f>
        <v>48</v>
      </c>
      <c r="AC1903" cm="1">
        <f t="array" ref="AC1903">INDEX(Innings!N:N,MATCH(1,(TRIM(Innings!A:A)=TRIM(A1903))*(TRIM(Innings!D:D)=TRIM(E1903)),0))</f>
        <v>49</v>
      </c>
      <c r="AD1903" cm="1">
        <f t="array" ref="AD1903">INDEX(Innings!S:S,MATCH(1,(TRIM(Innings!A:A)=TRIM(A1903))*(TRIM(Innings!D:D)=TRIM(E1903)),0))</f>
        <v>28</v>
      </c>
      <c r="AE1903" t="str" cm="1">
        <f t="array" ref="AE1903">INDEX(Innings!W:W,MATCH(1,(TRIM(Innings!A:A)=TRIM(A1903))*(TRIM(Innings!D:D)=TRIM(E1903)),0))</f>
        <v>NA</v>
      </c>
      <c r="AF1903">
        <f>IF(UPPER(TRIM(E1903))=UPPER(TRIM(W1903)),1,0)</f>
        <v>0</v>
      </c>
      <c r="AG1903">
        <f t="shared" si="58"/>
        <v>13.4</v>
      </c>
    </row>
    <row r="1904" spans="1:33" x14ac:dyDescent="0.3">
      <c r="A1904" t="s">
        <v>621</v>
      </c>
      <c r="B1904">
        <v>4</v>
      </c>
      <c r="C1904" t="s">
        <v>531</v>
      </c>
      <c r="D1904" t="s">
        <v>636</v>
      </c>
      <c r="E1904" t="s">
        <v>158</v>
      </c>
      <c r="F1904" t="s">
        <v>85</v>
      </c>
      <c r="G1904" t="s">
        <v>86</v>
      </c>
      <c r="H1904">
        <v>43</v>
      </c>
      <c r="I1904">
        <v>24</v>
      </c>
      <c r="J1904">
        <v>179.17</v>
      </c>
      <c r="K1904" t="s">
        <v>247</v>
      </c>
      <c r="L1904">
        <v>45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 s="8">
        <v>45</v>
      </c>
      <c r="V1904" s="8">
        <f t="shared" si="59"/>
        <v>5</v>
      </c>
      <c r="W1904" t="str">
        <f>_xlfn.XLOOKUP(A1904, Matches!A:A, Matches!L:L, "NA", 0)</f>
        <v>DCW</v>
      </c>
      <c r="X1904" t="str">
        <f>_xlfn.XLOOKUP(A1904, Matches!A:A, Matches!J:J, "NA", 0)</f>
        <v>DCW</v>
      </c>
      <c r="Y1904" t="str">
        <f>_xlfn.XLOOKUP(A1904, Matches!A:A, Matches!F:F, "NA", 0)</f>
        <v>BCA Stadium, Kotambi</v>
      </c>
      <c r="Z1904" cm="1">
        <f t="array" ref="Z1904">INDEX(Innings!F:F,MATCH(1,(TRIM(Innings!A:A)=TRIM(A1904))*(TRIM(Innings!D:D)=TRIM(E1904)),0))</f>
        <v>169</v>
      </c>
      <c r="AA1904" cm="1">
        <f t="array" ref="AA1904">INDEX(Innings!I:I,MATCH(1,(TRIM(Innings!A:A)=TRIM(A1904))*(TRIM(Innings!D:D)=TRIM(E1904)),0))</f>
        <v>10.79</v>
      </c>
      <c r="AB1904" cm="1">
        <f t="array" ref="AB1904">INDEX(Innings!J:J,MATCH(1,(TRIM(Innings!A:A)=TRIM(A1904))*(TRIM(Innings!D:D)=TRIM(E1904)),0))</f>
        <v>75</v>
      </c>
      <c r="AC1904" cm="1">
        <f t="array" ref="AC1904">INDEX(Innings!N:N,MATCH(1,(TRIM(Innings!A:A)=TRIM(A1904))*(TRIM(Innings!D:D)=TRIM(E1904)),0))</f>
        <v>0</v>
      </c>
      <c r="AD1904" cm="1">
        <f t="array" ref="AD1904">INDEX(Innings!S:S,MATCH(1,(TRIM(Innings!A:A)=TRIM(A1904))*(TRIM(Innings!D:D)=TRIM(E1904)),0))</f>
        <v>23</v>
      </c>
      <c r="AE1904" t="str" cm="1">
        <f t="array" ref="AE1904">INDEX(Innings!W:W,MATCH(1,(TRIM(Innings!A:A)=TRIM(A1904))*(TRIM(Innings!D:D)=TRIM(E1904)),0))</f>
        <v>Successful</v>
      </c>
      <c r="AF1904">
        <f>IF(UPPER(TRIM(E1904))=UPPER(TRIM(W1904)),1,0)</f>
        <v>1</v>
      </c>
      <c r="AG1904">
        <f t="shared" si="58"/>
        <v>44</v>
      </c>
    </row>
    <row r="1905" spans="1:33" x14ac:dyDescent="0.3">
      <c r="A1905" t="s">
        <v>621</v>
      </c>
      <c r="B1905">
        <v>4</v>
      </c>
      <c r="C1905" t="s">
        <v>188</v>
      </c>
      <c r="D1905" t="s">
        <v>189</v>
      </c>
      <c r="E1905" t="s">
        <v>158</v>
      </c>
      <c r="F1905" t="s">
        <v>109</v>
      </c>
      <c r="G1905" t="s">
        <v>86</v>
      </c>
      <c r="H1905">
        <v>31</v>
      </c>
      <c r="I1905">
        <v>21</v>
      </c>
      <c r="J1905">
        <v>147.62</v>
      </c>
      <c r="K1905" t="s">
        <v>245</v>
      </c>
      <c r="L1905">
        <v>35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 s="8">
        <v>35</v>
      </c>
      <c r="V1905" s="8">
        <f t="shared" si="59"/>
        <v>4</v>
      </c>
      <c r="W1905" t="str">
        <f>_xlfn.XLOOKUP(A1905, Matches!A:A, Matches!L:L, "NA", 0)</f>
        <v>DCW</v>
      </c>
      <c r="X1905" t="str">
        <f>_xlfn.XLOOKUP(A1905, Matches!A:A, Matches!J:J, "NA", 0)</f>
        <v>DCW</v>
      </c>
      <c r="Y1905" t="str">
        <f>_xlfn.XLOOKUP(A1905, Matches!A:A, Matches!F:F, "NA", 0)</f>
        <v>BCA Stadium, Kotambi</v>
      </c>
      <c r="Z1905" cm="1">
        <f t="array" ref="Z1905">INDEX(Innings!F:F,MATCH(1,(TRIM(Innings!A:A)=TRIM(A1905))*(TRIM(Innings!D:D)=TRIM(E1905)),0))</f>
        <v>169</v>
      </c>
      <c r="AA1905" cm="1">
        <f t="array" ref="AA1905">INDEX(Innings!I:I,MATCH(1,(TRIM(Innings!A:A)=TRIM(A1905))*(TRIM(Innings!D:D)=TRIM(E1905)),0))</f>
        <v>10.79</v>
      </c>
      <c r="AB1905" cm="1">
        <f t="array" ref="AB1905">INDEX(Innings!J:J,MATCH(1,(TRIM(Innings!A:A)=TRIM(A1905))*(TRIM(Innings!D:D)=TRIM(E1905)),0))</f>
        <v>75</v>
      </c>
      <c r="AC1905" cm="1">
        <f t="array" ref="AC1905">INDEX(Innings!N:N,MATCH(1,(TRIM(Innings!A:A)=TRIM(A1905))*(TRIM(Innings!D:D)=TRIM(E1905)),0))</f>
        <v>0</v>
      </c>
      <c r="AD1905" cm="1">
        <f t="array" ref="AD1905">INDEX(Innings!S:S,MATCH(1,(TRIM(Innings!A:A)=TRIM(A1905))*(TRIM(Innings!D:D)=TRIM(E1905)),0))</f>
        <v>23</v>
      </c>
      <c r="AE1905" t="str" cm="1">
        <f t="array" ref="AE1905">INDEX(Innings!W:W,MATCH(1,(TRIM(Innings!A:A)=TRIM(A1905))*(TRIM(Innings!D:D)=TRIM(E1905)),0))</f>
        <v>Successful</v>
      </c>
      <c r="AF1905">
        <f>IF(UPPER(TRIM(E1905))=UPPER(TRIM(W1905)),1,0)</f>
        <v>1</v>
      </c>
      <c r="AG1905">
        <f t="shared" si="58"/>
        <v>38.700000000000003</v>
      </c>
    </row>
    <row r="1906" spans="1:33" x14ac:dyDescent="0.3">
      <c r="A1906" t="s">
        <v>621</v>
      </c>
      <c r="B1906">
        <v>4</v>
      </c>
      <c r="C1906" t="s">
        <v>278</v>
      </c>
      <c r="D1906" t="s">
        <v>293</v>
      </c>
      <c r="E1906" t="s">
        <v>158</v>
      </c>
      <c r="F1906" t="s">
        <v>109</v>
      </c>
      <c r="G1906" t="s">
        <v>92</v>
      </c>
      <c r="H1906">
        <v>32</v>
      </c>
      <c r="I1906">
        <v>24</v>
      </c>
      <c r="J1906">
        <v>133.33000000000001</v>
      </c>
      <c r="K1906" t="s">
        <v>96</v>
      </c>
      <c r="L1906">
        <v>35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 s="8">
        <v>35</v>
      </c>
      <c r="V1906" s="8">
        <f t="shared" si="59"/>
        <v>4</v>
      </c>
      <c r="W1906" t="str">
        <f>_xlfn.XLOOKUP(A1906, Matches!A:A, Matches!L:L, "NA", 0)</f>
        <v>DCW</v>
      </c>
      <c r="X1906" t="str">
        <f>_xlfn.XLOOKUP(A1906, Matches!A:A, Matches!J:J, "NA", 0)</f>
        <v>DCW</v>
      </c>
      <c r="Y1906" t="str">
        <f>_xlfn.XLOOKUP(A1906, Matches!A:A, Matches!F:F, "NA", 0)</f>
        <v>BCA Stadium, Kotambi</v>
      </c>
      <c r="Z1906" cm="1">
        <f t="array" ref="Z1906">INDEX(Innings!F:F,MATCH(1,(TRIM(Innings!A:A)=TRIM(A1906))*(TRIM(Innings!D:D)=TRIM(E1906)),0))</f>
        <v>169</v>
      </c>
      <c r="AA1906" cm="1">
        <f t="array" ref="AA1906">INDEX(Innings!I:I,MATCH(1,(TRIM(Innings!A:A)=TRIM(A1906))*(TRIM(Innings!D:D)=TRIM(E1906)),0))</f>
        <v>10.79</v>
      </c>
      <c r="AB1906" cm="1">
        <f t="array" ref="AB1906">INDEX(Innings!J:J,MATCH(1,(TRIM(Innings!A:A)=TRIM(A1906))*(TRIM(Innings!D:D)=TRIM(E1906)),0))</f>
        <v>75</v>
      </c>
      <c r="AC1906" cm="1">
        <f t="array" ref="AC1906">INDEX(Innings!N:N,MATCH(1,(TRIM(Innings!A:A)=TRIM(A1906))*(TRIM(Innings!D:D)=TRIM(E1906)),0))</f>
        <v>0</v>
      </c>
      <c r="AD1906" cm="1">
        <f t="array" ref="AD1906">INDEX(Innings!S:S,MATCH(1,(TRIM(Innings!A:A)=TRIM(A1906))*(TRIM(Innings!D:D)=TRIM(E1906)),0))</f>
        <v>23</v>
      </c>
      <c r="AE1906" t="str" cm="1">
        <f t="array" ref="AE1906">INDEX(Innings!W:W,MATCH(1,(TRIM(Innings!A:A)=TRIM(A1906))*(TRIM(Innings!D:D)=TRIM(E1906)),0))</f>
        <v>Successful</v>
      </c>
      <c r="AF1906">
        <f>IF(UPPER(TRIM(E1906))=UPPER(TRIM(W1906)),1,0)</f>
        <v>1</v>
      </c>
      <c r="AG1906">
        <f t="shared" si="58"/>
        <v>38.700000000000003</v>
      </c>
    </row>
    <row r="1907" spans="1:33" x14ac:dyDescent="0.3">
      <c r="A1907" t="s">
        <v>621</v>
      </c>
      <c r="B1907">
        <v>4</v>
      </c>
      <c r="C1907" t="s">
        <v>194</v>
      </c>
      <c r="D1907" t="s">
        <v>195</v>
      </c>
      <c r="E1907" t="s">
        <v>158</v>
      </c>
      <c r="F1907" t="s">
        <v>109</v>
      </c>
      <c r="G1907" t="s">
        <v>92</v>
      </c>
      <c r="H1907">
        <v>41</v>
      </c>
      <c r="I1907">
        <v>23</v>
      </c>
      <c r="J1907">
        <v>178.26</v>
      </c>
      <c r="K1907" t="s">
        <v>246</v>
      </c>
      <c r="L1907">
        <v>45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 s="8">
        <v>45</v>
      </c>
      <c r="V1907" s="8">
        <f t="shared" si="59"/>
        <v>5</v>
      </c>
      <c r="W1907" t="str">
        <f>_xlfn.XLOOKUP(A1907, Matches!A:A, Matches!L:L, "NA", 0)</f>
        <v>DCW</v>
      </c>
      <c r="X1907" t="str">
        <f>_xlfn.XLOOKUP(A1907, Matches!A:A, Matches!J:J, "NA", 0)</f>
        <v>DCW</v>
      </c>
      <c r="Y1907" t="str">
        <f>_xlfn.XLOOKUP(A1907, Matches!A:A, Matches!F:F, "NA", 0)</f>
        <v>BCA Stadium, Kotambi</v>
      </c>
      <c r="Z1907" cm="1">
        <f t="array" ref="Z1907">INDEX(Innings!F:F,MATCH(1,(TRIM(Innings!A:A)=TRIM(A1907))*(TRIM(Innings!D:D)=TRIM(E1907)),0))</f>
        <v>169</v>
      </c>
      <c r="AA1907" cm="1">
        <f t="array" ref="AA1907">INDEX(Innings!I:I,MATCH(1,(TRIM(Innings!A:A)=TRIM(A1907))*(TRIM(Innings!D:D)=TRIM(E1907)),0))</f>
        <v>10.79</v>
      </c>
      <c r="AB1907" cm="1">
        <f t="array" ref="AB1907">INDEX(Innings!J:J,MATCH(1,(TRIM(Innings!A:A)=TRIM(A1907))*(TRIM(Innings!D:D)=TRIM(E1907)),0))</f>
        <v>75</v>
      </c>
      <c r="AC1907" cm="1">
        <f t="array" ref="AC1907">INDEX(Innings!N:N,MATCH(1,(TRIM(Innings!A:A)=TRIM(A1907))*(TRIM(Innings!D:D)=TRIM(E1907)),0))</f>
        <v>0</v>
      </c>
      <c r="AD1907" cm="1">
        <f t="array" ref="AD1907">INDEX(Innings!S:S,MATCH(1,(TRIM(Innings!A:A)=TRIM(A1907))*(TRIM(Innings!D:D)=TRIM(E1907)),0))</f>
        <v>23</v>
      </c>
      <c r="AE1907" t="str" cm="1">
        <f t="array" ref="AE1907">INDEX(Innings!W:W,MATCH(1,(TRIM(Innings!A:A)=TRIM(A1907))*(TRIM(Innings!D:D)=TRIM(E1907)),0))</f>
        <v>Successful</v>
      </c>
      <c r="AF1907">
        <f>IF(UPPER(TRIM(E1907))=UPPER(TRIM(W1907)),1,0)</f>
        <v>1</v>
      </c>
      <c r="AG1907">
        <f t="shared" si="58"/>
        <v>44</v>
      </c>
    </row>
    <row r="1908" spans="1:33" x14ac:dyDescent="0.3">
      <c r="A1908" t="s">
        <v>621</v>
      </c>
      <c r="B1908">
        <v>4</v>
      </c>
      <c r="C1908" t="s">
        <v>192</v>
      </c>
      <c r="D1908" t="s">
        <v>193</v>
      </c>
      <c r="E1908" t="s">
        <v>158</v>
      </c>
      <c r="F1908" t="s">
        <v>169</v>
      </c>
      <c r="G1908" t="s">
        <v>134</v>
      </c>
      <c r="H1908">
        <v>4</v>
      </c>
      <c r="I1908">
        <v>3</v>
      </c>
      <c r="J1908">
        <v>133.33000000000001</v>
      </c>
      <c r="K1908" t="s">
        <v>96</v>
      </c>
      <c r="L1908">
        <v>5</v>
      </c>
      <c r="M1908">
        <v>4</v>
      </c>
      <c r="N1908">
        <v>0</v>
      </c>
      <c r="O1908">
        <v>32</v>
      </c>
      <c r="P1908">
        <v>0</v>
      </c>
      <c r="Q1908">
        <v>8</v>
      </c>
      <c r="R1908">
        <v>0</v>
      </c>
      <c r="S1908">
        <v>0</v>
      </c>
      <c r="T1908">
        <v>0</v>
      </c>
      <c r="U1908" s="8">
        <v>5</v>
      </c>
      <c r="V1908" s="8">
        <f t="shared" si="59"/>
        <v>1</v>
      </c>
      <c r="W1908" t="str">
        <f>_xlfn.XLOOKUP(A1908, Matches!A:A, Matches!L:L, "NA", 0)</f>
        <v>DCW</v>
      </c>
      <c r="X1908" t="str">
        <f>_xlfn.XLOOKUP(A1908, Matches!A:A, Matches!J:J, "NA", 0)</f>
        <v>DCW</v>
      </c>
      <c r="Y1908" t="str">
        <f>_xlfn.XLOOKUP(A1908, Matches!A:A, Matches!F:F, "NA", 0)</f>
        <v>BCA Stadium, Kotambi</v>
      </c>
      <c r="Z1908" cm="1">
        <f t="array" ref="Z1908">INDEX(Innings!F:F,MATCH(1,(TRIM(Innings!A:A)=TRIM(A1908))*(TRIM(Innings!D:D)=TRIM(E1908)),0))</f>
        <v>169</v>
      </c>
      <c r="AA1908" cm="1">
        <f t="array" ref="AA1908">INDEX(Innings!I:I,MATCH(1,(TRIM(Innings!A:A)=TRIM(A1908))*(TRIM(Innings!D:D)=TRIM(E1908)),0))</f>
        <v>10.79</v>
      </c>
      <c r="AB1908" cm="1">
        <f t="array" ref="AB1908">INDEX(Innings!J:J,MATCH(1,(TRIM(Innings!A:A)=TRIM(A1908))*(TRIM(Innings!D:D)=TRIM(E1908)),0))</f>
        <v>75</v>
      </c>
      <c r="AC1908" cm="1">
        <f t="array" ref="AC1908">INDEX(Innings!N:N,MATCH(1,(TRIM(Innings!A:A)=TRIM(A1908))*(TRIM(Innings!D:D)=TRIM(E1908)),0))</f>
        <v>0</v>
      </c>
      <c r="AD1908" cm="1">
        <f t="array" ref="AD1908">INDEX(Innings!S:S,MATCH(1,(TRIM(Innings!A:A)=TRIM(A1908))*(TRIM(Innings!D:D)=TRIM(E1908)),0))</f>
        <v>23</v>
      </c>
      <c r="AE1908" t="str" cm="1">
        <f t="array" ref="AE1908">INDEX(Innings!W:W,MATCH(1,(TRIM(Innings!A:A)=TRIM(A1908))*(TRIM(Innings!D:D)=TRIM(E1908)),0))</f>
        <v>Successful</v>
      </c>
      <c r="AF1908">
        <f>IF(UPPER(TRIM(E1908))=UPPER(TRIM(W1908)),1,0)</f>
        <v>1</v>
      </c>
      <c r="AG1908">
        <f t="shared" si="58"/>
        <v>22.8</v>
      </c>
    </row>
    <row r="1909" spans="1:33" x14ac:dyDescent="0.3">
      <c r="A1909" t="s">
        <v>621</v>
      </c>
      <c r="B1909">
        <v>4</v>
      </c>
      <c r="C1909" t="s">
        <v>512</v>
      </c>
      <c r="D1909" t="s">
        <v>542</v>
      </c>
      <c r="E1909" t="s">
        <v>158</v>
      </c>
      <c r="F1909" t="s">
        <v>169</v>
      </c>
      <c r="G1909" t="s">
        <v>104</v>
      </c>
      <c r="H1909">
        <v>0</v>
      </c>
      <c r="I1909">
        <v>0</v>
      </c>
      <c r="J1909">
        <v>0</v>
      </c>
      <c r="K1909" t="s">
        <v>104</v>
      </c>
      <c r="L1909">
        <v>0</v>
      </c>
      <c r="M1909">
        <v>4</v>
      </c>
      <c r="N1909">
        <v>0</v>
      </c>
      <c r="O1909">
        <v>35</v>
      </c>
      <c r="P1909">
        <v>3</v>
      </c>
      <c r="Q1909">
        <v>8.8000000000000007</v>
      </c>
      <c r="R1909">
        <v>60</v>
      </c>
      <c r="S1909">
        <v>0</v>
      </c>
      <c r="T1909">
        <v>0</v>
      </c>
      <c r="U1909" s="8">
        <v>60</v>
      </c>
      <c r="V1909" s="8">
        <f t="shared" si="59"/>
        <v>6</v>
      </c>
      <c r="W1909" t="str">
        <f>_xlfn.XLOOKUP(A1909, Matches!A:A, Matches!L:L, "NA", 0)</f>
        <v>DCW</v>
      </c>
      <c r="X1909" t="str">
        <f>_xlfn.XLOOKUP(A1909, Matches!A:A, Matches!J:J, "NA", 0)</f>
        <v>DCW</v>
      </c>
      <c r="Y1909" t="str">
        <f>_xlfn.XLOOKUP(A1909, Matches!A:A, Matches!F:F, "NA", 0)</f>
        <v>BCA Stadium, Kotambi</v>
      </c>
      <c r="Z1909" cm="1">
        <f t="array" ref="Z1909">INDEX(Innings!F:F,MATCH(1,(TRIM(Innings!A:A)=TRIM(A1909))*(TRIM(Innings!D:D)=TRIM(E1909)),0))</f>
        <v>169</v>
      </c>
      <c r="AA1909" cm="1">
        <f t="array" ref="AA1909">INDEX(Innings!I:I,MATCH(1,(TRIM(Innings!A:A)=TRIM(A1909))*(TRIM(Innings!D:D)=TRIM(E1909)),0))</f>
        <v>10.79</v>
      </c>
      <c r="AB1909" cm="1">
        <f t="array" ref="AB1909">INDEX(Innings!J:J,MATCH(1,(TRIM(Innings!A:A)=TRIM(A1909))*(TRIM(Innings!D:D)=TRIM(E1909)),0))</f>
        <v>75</v>
      </c>
      <c r="AC1909" cm="1">
        <f t="array" ref="AC1909">INDEX(Innings!N:N,MATCH(1,(TRIM(Innings!A:A)=TRIM(A1909))*(TRIM(Innings!D:D)=TRIM(E1909)),0))</f>
        <v>0</v>
      </c>
      <c r="AD1909" cm="1">
        <f t="array" ref="AD1909">INDEX(Innings!S:S,MATCH(1,(TRIM(Innings!A:A)=TRIM(A1909))*(TRIM(Innings!D:D)=TRIM(E1909)),0))</f>
        <v>23</v>
      </c>
      <c r="AE1909" t="str" cm="1">
        <f t="array" ref="AE1909">INDEX(Innings!W:W,MATCH(1,(TRIM(Innings!A:A)=TRIM(A1909))*(TRIM(Innings!D:D)=TRIM(E1909)),0))</f>
        <v>Successful</v>
      </c>
      <c r="AF1909">
        <f>IF(UPPER(TRIM(E1909))=UPPER(TRIM(W1909)),1,0)</f>
        <v>1</v>
      </c>
      <c r="AG1909">
        <f t="shared" si="58"/>
        <v>51.8</v>
      </c>
    </row>
    <row r="1910" spans="1:33" x14ac:dyDescent="0.3">
      <c r="A1910" t="s">
        <v>621</v>
      </c>
      <c r="B1910">
        <v>4</v>
      </c>
      <c r="C1910" t="s">
        <v>495</v>
      </c>
      <c r="D1910" t="s">
        <v>503</v>
      </c>
      <c r="E1910" t="s">
        <v>158</v>
      </c>
      <c r="F1910" t="s">
        <v>169</v>
      </c>
      <c r="G1910" t="s">
        <v>104</v>
      </c>
      <c r="H1910">
        <v>0</v>
      </c>
      <c r="I1910">
        <v>0</v>
      </c>
      <c r="J1910">
        <v>0</v>
      </c>
      <c r="K1910" t="s">
        <v>104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 s="8">
        <v>0</v>
      </c>
      <c r="V1910" s="8">
        <f t="shared" si="59"/>
        <v>0</v>
      </c>
      <c r="W1910" t="str">
        <f>_xlfn.XLOOKUP(A1910, Matches!A:A, Matches!L:L, "NA", 0)</f>
        <v>DCW</v>
      </c>
      <c r="X1910" t="str">
        <f>_xlfn.XLOOKUP(A1910, Matches!A:A, Matches!J:J, "NA", 0)</f>
        <v>DCW</v>
      </c>
      <c r="Y1910" t="str">
        <f>_xlfn.XLOOKUP(A1910, Matches!A:A, Matches!F:F, "NA", 0)</f>
        <v>BCA Stadium, Kotambi</v>
      </c>
      <c r="Z1910" cm="1">
        <f t="array" ref="Z1910">INDEX(Innings!F:F,MATCH(1,(TRIM(Innings!A:A)=TRIM(A1910))*(TRIM(Innings!D:D)=TRIM(E1910)),0))</f>
        <v>169</v>
      </c>
      <c r="AA1910" cm="1">
        <f t="array" ref="AA1910">INDEX(Innings!I:I,MATCH(1,(TRIM(Innings!A:A)=TRIM(A1910))*(TRIM(Innings!D:D)=TRIM(E1910)),0))</f>
        <v>10.79</v>
      </c>
      <c r="AB1910" cm="1">
        <f t="array" ref="AB1910">INDEX(Innings!J:J,MATCH(1,(TRIM(Innings!A:A)=TRIM(A1910))*(TRIM(Innings!D:D)=TRIM(E1910)),0))</f>
        <v>75</v>
      </c>
      <c r="AC1910" cm="1">
        <f t="array" ref="AC1910">INDEX(Innings!N:N,MATCH(1,(TRIM(Innings!A:A)=TRIM(A1910))*(TRIM(Innings!D:D)=TRIM(E1910)),0))</f>
        <v>0</v>
      </c>
      <c r="AD1910" cm="1">
        <f t="array" ref="AD1910">INDEX(Innings!S:S,MATCH(1,(TRIM(Innings!A:A)=TRIM(A1910))*(TRIM(Innings!D:D)=TRIM(E1910)),0))</f>
        <v>23</v>
      </c>
      <c r="AE1910" t="str" cm="1">
        <f t="array" ref="AE1910">INDEX(Innings!W:W,MATCH(1,(TRIM(Innings!A:A)=TRIM(A1910))*(TRIM(Innings!D:D)=TRIM(E1910)),0))</f>
        <v>Successful</v>
      </c>
      <c r="AF1910">
        <f>IF(UPPER(TRIM(E1910))=UPPER(TRIM(W1910)),1,0)</f>
        <v>1</v>
      </c>
      <c r="AG1910">
        <f t="shared" si="58"/>
        <v>20</v>
      </c>
    </row>
    <row r="1911" spans="1:33" x14ac:dyDescent="0.3">
      <c r="A1911" t="s">
        <v>621</v>
      </c>
      <c r="B1911">
        <v>4</v>
      </c>
      <c r="C1911" t="s">
        <v>102</v>
      </c>
      <c r="D1911" t="s">
        <v>126</v>
      </c>
      <c r="E1911" t="s">
        <v>158</v>
      </c>
      <c r="F1911" t="s">
        <v>169</v>
      </c>
      <c r="G1911" t="s">
        <v>104</v>
      </c>
      <c r="H1911">
        <v>0</v>
      </c>
      <c r="I1911">
        <v>0</v>
      </c>
      <c r="J1911">
        <v>0</v>
      </c>
      <c r="K1911" t="s">
        <v>104</v>
      </c>
      <c r="L1911">
        <v>0</v>
      </c>
      <c r="M1911">
        <v>1</v>
      </c>
      <c r="N1911">
        <v>0</v>
      </c>
      <c r="O1911">
        <v>3</v>
      </c>
      <c r="P1911">
        <v>0</v>
      </c>
      <c r="Q1911">
        <v>3</v>
      </c>
      <c r="R1911">
        <v>0</v>
      </c>
      <c r="S1911">
        <v>0</v>
      </c>
      <c r="T1911">
        <v>0</v>
      </c>
      <c r="U1911" s="8">
        <v>0</v>
      </c>
      <c r="V1911" s="8">
        <f t="shared" si="59"/>
        <v>0</v>
      </c>
      <c r="W1911" t="str">
        <f>_xlfn.XLOOKUP(A1911, Matches!A:A, Matches!L:L, "NA", 0)</f>
        <v>DCW</v>
      </c>
      <c r="X1911" t="str">
        <f>_xlfn.XLOOKUP(A1911, Matches!A:A, Matches!J:J, "NA", 0)</f>
        <v>DCW</v>
      </c>
      <c r="Y1911" t="str">
        <f>_xlfn.XLOOKUP(A1911, Matches!A:A, Matches!F:F, "NA", 0)</f>
        <v>BCA Stadium, Kotambi</v>
      </c>
      <c r="Z1911" cm="1">
        <f t="array" ref="Z1911">INDEX(Innings!F:F,MATCH(1,(TRIM(Innings!A:A)=TRIM(A1911))*(TRIM(Innings!D:D)=TRIM(E1911)),0))</f>
        <v>169</v>
      </c>
      <c r="AA1911" cm="1">
        <f t="array" ref="AA1911">INDEX(Innings!I:I,MATCH(1,(TRIM(Innings!A:A)=TRIM(A1911))*(TRIM(Innings!D:D)=TRIM(E1911)),0))</f>
        <v>10.79</v>
      </c>
      <c r="AB1911" cm="1">
        <f t="array" ref="AB1911">INDEX(Innings!J:J,MATCH(1,(TRIM(Innings!A:A)=TRIM(A1911))*(TRIM(Innings!D:D)=TRIM(E1911)),0))</f>
        <v>75</v>
      </c>
      <c r="AC1911" cm="1">
        <f t="array" ref="AC1911">INDEX(Innings!N:N,MATCH(1,(TRIM(Innings!A:A)=TRIM(A1911))*(TRIM(Innings!D:D)=TRIM(E1911)),0))</f>
        <v>0</v>
      </c>
      <c r="AD1911" cm="1">
        <f t="array" ref="AD1911">INDEX(Innings!S:S,MATCH(1,(TRIM(Innings!A:A)=TRIM(A1911))*(TRIM(Innings!D:D)=TRIM(E1911)),0))</f>
        <v>23</v>
      </c>
      <c r="AE1911" t="str" cm="1">
        <f t="array" ref="AE1911">INDEX(Innings!W:W,MATCH(1,(TRIM(Innings!A:A)=TRIM(A1911))*(TRIM(Innings!D:D)=TRIM(E1911)),0))</f>
        <v>Successful</v>
      </c>
      <c r="AF1911">
        <f>IF(UPPER(TRIM(E1911))=UPPER(TRIM(W1911)),1,0)</f>
        <v>1</v>
      </c>
      <c r="AG1911">
        <f t="shared" si="58"/>
        <v>20</v>
      </c>
    </row>
    <row r="1912" spans="1:33" x14ac:dyDescent="0.3">
      <c r="A1912" t="s">
        <v>621</v>
      </c>
      <c r="B1912">
        <v>4</v>
      </c>
      <c r="C1912" t="s">
        <v>274</v>
      </c>
      <c r="D1912" t="s">
        <v>284</v>
      </c>
      <c r="E1912" t="s">
        <v>158</v>
      </c>
      <c r="F1912" t="s">
        <v>169</v>
      </c>
      <c r="G1912" t="s">
        <v>104</v>
      </c>
      <c r="H1912">
        <v>0</v>
      </c>
      <c r="I1912">
        <v>0</v>
      </c>
      <c r="J1912">
        <v>0</v>
      </c>
      <c r="K1912" t="s">
        <v>104</v>
      </c>
      <c r="L1912">
        <v>0</v>
      </c>
      <c r="M1912">
        <v>4</v>
      </c>
      <c r="N1912">
        <v>0</v>
      </c>
      <c r="O1912">
        <v>23</v>
      </c>
      <c r="P1912">
        <v>1</v>
      </c>
      <c r="Q1912">
        <v>5.8</v>
      </c>
      <c r="R1912">
        <v>25</v>
      </c>
      <c r="S1912">
        <v>0</v>
      </c>
      <c r="T1912">
        <v>0</v>
      </c>
      <c r="U1912" s="8">
        <v>25</v>
      </c>
      <c r="V1912" s="8">
        <f t="shared" si="59"/>
        <v>3</v>
      </c>
      <c r="W1912" t="str">
        <f>_xlfn.XLOOKUP(A1912, Matches!A:A, Matches!L:L, "NA", 0)</f>
        <v>DCW</v>
      </c>
      <c r="X1912" t="str">
        <f>_xlfn.XLOOKUP(A1912, Matches!A:A, Matches!J:J, "NA", 0)</f>
        <v>DCW</v>
      </c>
      <c r="Y1912" t="str">
        <f>_xlfn.XLOOKUP(A1912, Matches!A:A, Matches!F:F, "NA", 0)</f>
        <v>BCA Stadium, Kotambi</v>
      </c>
      <c r="Z1912" cm="1">
        <f t="array" ref="Z1912">INDEX(Innings!F:F,MATCH(1,(TRIM(Innings!A:A)=TRIM(A1912))*(TRIM(Innings!D:D)=TRIM(E1912)),0))</f>
        <v>169</v>
      </c>
      <c r="AA1912" cm="1">
        <f t="array" ref="AA1912">INDEX(Innings!I:I,MATCH(1,(TRIM(Innings!A:A)=TRIM(A1912))*(TRIM(Innings!D:D)=TRIM(E1912)),0))</f>
        <v>10.79</v>
      </c>
      <c r="AB1912" cm="1">
        <f t="array" ref="AB1912">INDEX(Innings!J:J,MATCH(1,(TRIM(Innings!A:A)=TRIM(A1912))*(TRIM(Innings!D:D)=TRIM(E1912)),0))</f>
        <v>75</v>
      </c>
      <c r="AC1912" cm="1">
        <f t="array" ref="AC1912">INDEX(Innings!N:N,MATCH(1,(TRIM(Innings!A:A)=TRIM(A1912))*(TRIM(Innings!D:D)=TRIM(E1912)),0))</f>
        <v>0</v>
      </c>
      <c r="AD1912" cm="1">
        <f t="array" ref="AD1912">INDEX(Innings!S:S,MATCH(1,(TRIM(Innings!A:A)=TRIM(A1912))*(TRIM(Innings!D:D)=TRIM(E1912)),0))</f>
        <v>23</v>
      </c>
      <c r="AE1912" t="str" cm="1">
        <f t="array" ref="AE1912">INDEX(Innings!W:W,MATCH(1,(TRIM(Innings!A:A)=TRIM(A1912))*(TRIM(Innings!D:D)=TRIM(E1912)),0))</f>
        <v>Successful</v>
      </c>
      <c r="AF1912">
        <f>IF(UPPER(TRIM(E1912))=UPPER(TRIM(W1912)),1,0)</f>
        <v>1</v>
      </c>
      <c r="AG1912">
        <f t="shared" si="58"/>
        <v>33.4</v>
      </c>
    </row>
    <row r="1913" spans="1:33" x14ac:dyDescent="0.3">
      <c r="A1913" t="s">
        <v>621</v>
      </c>
      <c r="B1913">
        <v>4</v>
      </c>
      <c r="C1913" t="s">
        <v>532</v>
      </c>
      <c r="D1913" t="s">
        <v>637</v>
      </c>
      <c r="E1913" t="s">
        <v>158</v>
      </c>
      <c r="F1913" t="s">
        <v>101</v>
      </c>
      <c r="G1913" t="s">
        <v>104</v>
      </c>
      <c r="H1913">
        <v>0</v>
      </c>
      <c r="I1913">
        <v>0</v>
      </c>
      <c r="J1913">
        <v>0</v>
      </c>
      <c r="K1913" t="s">
        <v>104</v>
      </c>
      <c r="L1913">
        <v>0</v>
      </c>
      <c r="M1913">
        <v>3</v>
      </c>
      <c r="N1913">
        <v>0</v>
      </c>
      <c r="O1913">
        <v>25</v>
      </c>
      <c r="P1913">
        <v>0</v>
      </c>
      <c r="Q1913">
        <v>8.3000000000000007</v>
      </c>
      <c r="R1913">
        <v>0</v>
      </c>
      <c r="S1913">
        <v>0</v>
      </c>
      <c r="T1913">
        <v>0</v>
      </c>
      <c r="U1913" s="8">
        <v>0</v>
      </c>
      <c r="V1913" s="8">
        <f t="shared" si="59"/>
        <v>0</v>
      </c>
      <c r="W1913" t="str">
        <f>_xlfn.XLOOKUP(A1913, Matches!A:A, Matches!L:L, "NA", 0)</f>
        <v>DCW</v>
      </c>
      <c r="X1913" t="str">
        <f>_xlfn.XLOOKUP(A1913, Matches!A:A, Matches!J:J, "NA", 0)</f>
        <v>DCW</v>
      </c>
      <c r="Y1913" t="str">
        <f>_xlfn.XLOOKUP(A1913, Matches!A:A, Matches!F:F, "NA", 0)</f>
        <v>BCA Stadium, Kotambi</v>
      </c>
      <c r="Z1913" cm="1">
        <f t="array" ref="Z1913">INDEX(Innings!F:F,MATCH(1,(TRIM(Innings!A:A)=TRIM(A1913))*(TRIM(Innings!D:D)=TRIM(E1913)),0))</f>
        <v>169</v>
      </c>
      <c r="AA1913" cm="1">
        <f t="array" ref="AA1913">INDEX(Innings!I:I,MATCH(1,(TRIM(Innings!A:A)=TRIM(A1913))*(TRIM(Innings!D:D)=TRIM(E1913)),0))</f>
        <v>10.79</v>
      </c>
      <c r="AB1913" cm="1">
        <f t="array" ref="AB1913">INDEX(Innings!J:J,MATCH(1,(TRIM(Innings!A:A)=TRIM(A1913))*(TRIM(Innings!D:D)=TRIM(E1913)),0))</f>
        <v>75</v>
      </c>
      <c r="AC1913" cm="1">
        <f t="array" ref="AC1913">INDEX(Innings!N:N,MATCH(1,(TRIM(Innings!A:A)=TRIM(A1913))*(TRIM(Innings!D:D)=TRIM(E1913)),0))</f>
        <v>0</v>
      </c>
      <c r="AD1913" cm="1">
        <f t="array" ref="AD1913">INDEX(Innings!S:S,MATCH(1,(TRIM(Innings!A:A)=TRIM(A1913))*(TRIM(Innings!D:D)=TRIM(E1913)),0))</f>
        <v>23</v>
      </c>
      <c r="AE1913" t="str" cm="1">
        <f t="array" ref="AE1913">INDEX(Innings!W:W,MATCH(1,(TRIM(Innings!A:A)=TRIM(A1913))*(TRIM(Innings!D:D)=TRIM(E1913)),0))</f>
        <v>Successful</v>
      </c>
      <c r="AF1913">
        <f>IF(UPPER(TRIM(E1913))=UPPER(TRIM(W1913)),1,0)</f>
        <v>1</v>
      </c>
      <c r="AG1913">
        <f t="shared" si="58"/>
        <v>20</v>
      </c>
    </row>
    <row r="1914" spans="1:33" x14ac:dyDescent="0.3">
      <c r="A1914" t="s">
        <v>621</v>
      </c>
      <c r="B1914">
        <v>4</v>
      </c>
      <c r="C1914" t="s">
        <v>533</v>
      </c>
      <c r="D1914" t="s">
        <v>638</v>
      </c>
      <c r="E1914" t="s">
        <v>158</v>
      </c>
      <c r="F1914" t="s">
        <v>101</v>
      </c>
      <c r="G1914" t="s">
        <v>104</v>
      </c>
      <c r="H1914">
        <v>0</v>
      </c>
      <c r="I1914">
        <v>0</v>
      </c>
      <c r="J1914">
        <v>0</v>
      </c>
      <c r="K1914" t="s">
        <v>104</v>
      </c>
      <c r="L1914">
        <v>0</v>
      </c>
      <c r="M1914">
        <v>4</v>
      </c>
      <c r="N1914">
        <v>0</v>
      </c>
      <c r="O1914">
        <v>44</v>
      </c>
      <c r="P1914">
        <v>2</v>
      </c>
      <c r="Q1914">
        <v>11</v>
      </c>
      <c r="R1914">
        <v>40</v>
      </c>
      <c r="S1914">
        <v>0</v>
      </c>
      <c r="T1914">
        <v>0</v>
      </c>
      <c r="U1914" s="8">
        <v>40</v>
      </c>
      <c r="V1914" s="8">
        <f t="shared" si="59"/>
        <v>4</v>
      </c>
      <c r="W1914" t="str">
        <f>_xlfn.XLOOKUP(A1914, Matches!A:A, Matches!L:L, "NA", 0)</f>
        <v>DCW</v>
      </c>
      <c r="X1914" t="str">
        <f>_xlfn.XLOOKUP(A1914, Matches!A:A, Matches!J:J, "NA", 0)</f>
        <v>DCW</v>
      </c>
      <c r="Y1914" t="str">
        <f>_xlfn.XLOOKUP(A1914, Matches!A:A, Matches!F:F, "NA", 0)</f>
        <v>BCA Stadium, Kotambi</v>
      </c>
      <c r="Z1914" cm="1">
        <f t="array" ref="Z1914">INDEX(Innings!F:F,MATCH(1,(TRIM(Innings!A:A)=TRIM(A1914))*(TRIM(Innings!D:D)=TRIM(E1914)),0))</f>
        <v>169</v>
      </c>
      <c r="AA1914" cm="1">
        <f t="array" ref="AA1914">INDEX(Innings!I:I,MATCH(1,(TRIM(Innings!A:A)=TRIM(A1914))*(TRIM(Innings!D:D)=TRIM(E1914)),0))</f>
        <v>10.79</v>
      </c>
      <c r="AB1914" cm="1">
        <f t="array" ref="AB1914">INDEX(Innings!J:J,MATCH(1,(TRIM(Innings!A:A)=TRIM(A1914))*(TRIM(Innings!D:D)=TRIM(E1914)),0))</f>
        <v>75</v>
      </c>
      <c r="AC1914" cm="1">
        <f t="array" ref="AC1914">INDEX(Innings!N:N,MATCH(1,(TRIM(Innings!A:A)=TRIM(A1914))*(TRIM(Innings!D:D)=TRIM(E1914)),0))</f>
        <v>0</v>
      </c>
      <c r="AD1914" cm="1">
        <f t="array" ref="AD1914">INDEX(Innings!S:S,MATCH(1,(TRIM(Innings!A:A)=TRIM(A1914))*(TRIM(Innings!D:D)=TRIM(E1914)),0))</f>
        <v>23</v>
      </c>
      <c r="AE1914" t="str" cm="1">
        <f t="array" ref="AE1914">INDEX(Innings!W:W,MATCH(1,(TRIM(Innings!A:A)=TRIM(A1914))*(TRIM(Innings!D:D)=TRIM(E1914)),0))</f>
        <v>Successful</v>
      </c>
      <c r="AF1914">
        <f>IF(UPPER(TRIM(E1914))=UPPER(TRIM(W1914)),1,0)</f>
        <v>1</v>
      </c>
      <c r="AG1914">
        <f t="shared" si="58"/>
        <v>41.2</v>
      </c>
    </row>
    <row r="1915" spans="1:33" x14ac:dyDescent="0.3">
      <c r="A1915" t="s">
        <v>622</v>
      </c>
      <c r="B1915">
        <v>4</v>
      </c>
      <c r="C1915" t="s">
        <v>531</v>
      </c>
      <c r="D1915" t="s">
        <v>636</v>
      </c>
      <c r="E1915" t="s">
        <v>158</v>
      </c>
      <c r="F1915" t="s">
        <v>85</v>
      </c>
      <c r="G1915" t="s">
        <v>86</v>
      </c>
      <c r="H1915">
        <v>37</v>
      </c>
      <c r="I1915">
        <v>30</v>
      </c>
      <c r="J1915">
        <v>123.33</v>
      </c>
      <c r="K1915" t="s">
        <v>246</v>
      </c>
      <c r="L1915">
        <v>40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 s="8">
        <v>40</v>
      </c>
      <c r="V1915" s="8">
        <f t="shared" si="59"/>
        <v>4</v>
      </c>
      <c r="W1915" t="str">
        <f>_xlfn.XLOOKUP(A1915, Matches!A:A, Matches!L:L, "NA", 0)</f>
        <v>RCBW</v>
      </c>
      <c r="X1915" t="str">
        <f>_xlfn.XLOOKUP(A1915, Matches!A:A, Matches!J:J, "NA", 0)</f>
        <v>RCBW</v>
      </c>
      <c r="Y1915" t="str">
        <f>_xlfn.XLOOKUP(A1915, Matches!A:A, Matches!F:F, "NA", 0)</f>
        <v>BCA Stadium, Kotambi</v>
      </c>
      <c r="Z1915" cm="1">
        <f t="array" ref="Z1915">INDEX(Innings!F:F,MATCH(1,(TRIM(Innings!A:A)=TRIM(A1915))*(TRIM(Innings!D:D)=TRIM(E1915)),0))</f>
        <v>203</v>
      </c>
      <c r="AA1915" cm="1">
        <f t="array" ref="AA1915">INDEX(Innings!I:I,MATCH(1,(TRIM(Innings!A:A)=TRIM(A1915))*(TRIM(Innings!D:D)=TRIM(E1915)),0))</f>
        <v>10.15</v>
      </c>
      <c r="AB1915" cm="1">
        <f t="array" ref="AB1915">INDEX(Innings!J:J,MATCH(1,(TRIM(Innings!A:A)=TRIM(A1915))*(TRIM(Innings!D:D)=TRIM(E1915)),0))</f>
        <v>53</v>
      </c>
      <c r="AC1915" cm="1">
        <f t="array" ref="AC1915">INDEX(Innings!N:N,MATCH(1,(TRIM(Innings!A:A)=TRIM(A1915))*(TRIM(Innings!D:D)=TRIM(E1915)),0))</f>
        <v>55</v>
      </c>
      <c r="AD1915" cm="1">
        <f t="array" ref="AD1915">INDEX(Innings!S:S,MATCH(1,(TRIM(Innings!A:A)=TRIM(A1915))*(TRIM(Innings!D:D)=TRIM(E1915)),0))</f>
        <v>27</v>
      </c>
      <c r="AE1915" t="str" cm="1">
        <f t="array" ref="AE1915">INDEX(Innings!W:W,MATCH(1,(TRIM(Innings!A:A)=TRIM(A1915))*(TRIM(Innings!D:D)=TRIM(E1915)),0))</f>
        <v>NA</v>
      </c>
      <c r="AF1915">
        <f>IF(UPPER(TRIM(E1915))=UPPER(TRIM(W1915)),1,0)</f>
        <v>0</v>
      </c>
      <c r="AG1915">
        <f t="shared" si="58"/>
        <v>21.2</v>
      </c>
    </row>
    <row r="1916" spans="1:33" x14ac:dyDescent="0.3">
      <c r="A1916" t="s">
        <v>622</v>
      </c>
      <c r="B1916">
        <v>4</v>
      </c>
      <c r="C1916" t="s">
        <v>188</v>
      </c>
      <c r="D1916" t="s">
        <v>189</v>
      </c>
      <c r="E1916" t="s">
        <v>158</v>
      </c>
      <c r="F1916" t="s">
        <v>109</v>
      </c>
      <c r="G1916" t="s">
        <v>86</v>
      </c>
      <c r="H1916">
        <v>20</v>
      </c>
      <c r="I1916">
        <v>13</v>
      </c>
      <c r="J1916">
        <v>153.85</v>
      </c>
      <c r="K1916" t="s">
        <v>246</v>
      </c>
      <c r="L1916">
        <v>25</v>
      </c>
      <c r="M1916">
        <v>1</v>
      </c>
      <c r="N1916">
        <v>0</v>
      </c>
      <c r="O1916">
        <v>9</v>
      </c>
      <c r="P1916">
        <v>0</v>
      </c>
      <c r="Q1916">
        <v>9</v>
      </c>
      <c r="R1916">
        <v>0</v>
      </c>
      <c r="S1916">
        <v>0</v>
      </c>
      <c r="T1916">
        <v>0</v>
      </c>
      <c r="U1916" s="8">
        <v>25</v>
      </c>
      <c r="V1916" s="8">
        <f t="shared" si="59"/>
        <v>3</v>
      </c>
      <c r="W1916" t="str">
        <f>_xlfn.XLOOKUP(A1916, Matches!A:A, Matches!L:L, "NA", 0)</f>
        <v>RCBW</v>
      </c>
      <c r="X1916" t="str">
        <f>_xlfn.XLOOKUP(A1916, Matches!A:A, Matches!J:J, "NA", 0)</f>
        <v>RCBW</v>
      </c>
      <c r="Y1916" t="str">
        <f>_xlfn.XLOOKUP(A1916, Matches!A:A, Matches!F:F, "NA", 0)</f>
        <v>BCA Stadium, Kotambi</v>
      </c>
      <c r="Z1916" cm="1">
        <f t="array" ref="Z1916">INDEX(Innings!F:F,MATCH(1,(TRIM(Innings!A:A)=TRIM(A1916))*(TRIM(Innings!D:D)=TRIM(E1916)),0))</f>
        <v>203</v>
      </c>
      <c r="AA1916" cm="1">
        <f t="array" ref="AA1916">INDEX(Innings!I:I,MATCH(1,(TRIM(Innings!A:A)=TRIM(A1916))*(TRIM(Innings!D:D)=TRIM(E1916)),0))</f>
        <v>10.15</v>
      </c>
      <c r="AB1916" cm="1">
        <f t="array" ref="AB1916">INDEX(Innings!J:J,MATCH(1,(TRIM(Innings!A:A)=TRIM(A1916))*(TRIM(Innings!D:D)=TRIM(E1916)),0))</f>
        <v>53</v>
      </c>
      <c r="AC1916" cm="1">
        <f t="array" ref="AC1916">INDEX(Innings!N:N,MATCH(1,(TRIM(Innings!A:A)=TRIM(A1916))*(TRIM(Innings!D:D)=TRIM(E1916)),0))</f>
        <v>55</v>
      </c>
      <c r="AD1916" cm="1">
        <f t="array" ref="AD1916">INDEX(Innings!S:S,MATCH(1,(TRIM(Innings!A:A)=TRIM(A1916))*(TRIM(Innings!D:D)=TRIM(E1916)),0))</f>
        <v>27</v>
      </c>
      <c r="AE1916" t="str" cm="1">
        <f t="array" ref="AE1916">INDEX(Innings!W:W,MATCH(1,(TRIM(Innings!A:A)=TRIM(A1916))*(TRIM(Innings!D:D)=TRIM(E1916)),0))</f>
        <v>NA</v>
      </c>
      <c r="AF1916">
        <f>IF(UPPER(TRIM(E1916))=UPPER(TRIM(W1916)),1,0)</f>
        <v>0</v>
      </c>
      <c r="AG1916">
        <f t="shared" si="58"/>
        <v>13.4</v>
      </c>
    </row>
    <row r="1917" spans="1:33" x14ac:dyDescent="0.3">
      <c r="A1917" t="s">
        <v>622</v>
      </c>
      <c r="B1917">
        <v>4</v>
      </c>
      <c r="C1917" t="s">
        <v>278</v>
      </c>
      <c r="D1917" t="s">
        <v>293</v>
      </c>
      <c r="E1917" t="s">
        <v>158</v>
      </c>
      <c r="F1917" t="s">
        <v>109</v>
      </c>
      <c r="G1917" t="s">
        <v>92</v>
      </c>
      <c r="H1917">
        <v>44</v>
      </c>
      <c r="I1917">
        <v>25</v>
      </c>
      <c r="J1917">
        <v>176</v>
      </c>
      <c r="K1917" t="s">
        <v>256</v>
      </c>
      <c r="L1917">
        <v>50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 s="8">
        <v>50</v>
      </c>
      <c r="V1917" s="8">
        <f t="shared" si="59"/>
        <v>5</v>
      </c>
      <c r="W1917" t="str">
        <f>_xlfn.XLOOKUP(A1917, Matches!A:A, Matches!L:L, "NA", 0)</f>
        <v>RCBW</v>
      </c>
      <c r="X1917" t="str">
        <f>_xlfn.XLOOKUP(A1917, Matches!A:A, Matches!J:J, "NA", 0)</f>
        <v>RCBW</v>
      </c>
      <c r="Y1917" t="str">
        <f>_xlfn.XLOOKUP(A1917, Matches!A:A, Matches!F:F, "NA", 0)</f>
        <v>BCA Stadium, Kotambi</v>
      </c>
      <c r="Z1917" cm="1">
        <f t="array" ref="Z1917">INDEX(Innings!F:F,MATCH(1,(TRIM(Innings!A:A)=TRIM(A1917))*(TRIM(Innings!D:D)=TRIM(E1917)),0))</f>
        <v>203</v>
      </c>
      <c r="AA1917" cm="1">
        <f t="array" ref="AA1917">INDEX(Innings!I:I,MATCH(1,(TRIM(Innings!A:A)=TRIM(A1917))*(TRIM(Innings!D:D)=TRIM(E1917)),0))</f>
        <v>10.15</v>
      </c>
      <c r="AB1917" cm="1">
        <f t="array" ref="AB1917">INDEX(Innings!J:J,MATCH(1,(TRIM(Innings!A:A)=TRIM(A1917))*(TRIM(Innings!D:D)=TRIM(E1917)),0))</f>
        <v>53</v>
      </c>
      <c r="AC1917" cm="1">
        <f t="array" ref="AC1917">INDEX(Innings!N:N,MATCH(1,(TRIM(Innings!A:A)=TRIM(A1917))*(TRIM(Innings!D:D)=TRIM(E1917)),0))</f>
        <v>55</v>
      </c>
      <c r="AD1917" cm="1">
        <f t="array" ref="AD1917">INDEX(Innings!S:S,MATCH(1,(TRIM(Innings!A:A)=TRIM(A1917))*(TRIM(Innings!D:D)=TRIM(E1917)),0))</f>
        <v>27</v>
      </c>
      <c r="AE1917" t="str" cm="1">
        <f t="array" ref="AE1917">INDEX(Innings!W:W,MATCH(1,(TRIM(Innings!A:A)=TRIM(A1917))*(TRIM(Innings!D:D)=TRIM(E1917)),0))</f>
        <v>NA</v>
      </c>
      <c r="AF1917">
        <f>IF(UPPER(TRIM(E1917))=UPPER(TRIM(W1917)),1,0)</f>
        <v>0</v>
      </c>
      <c r="AG1917">
        <f t="shared" si="58"/>
        <v>26.5</v>
      </c>
    </row>
    <row r="1918" spans="1:33" x14ac:dyDescent="0.3">
      <c r="A1918" t="s">
        <v>622</v>
      </c>
      <c r="B1918">
        <v>4</v>
      </c>
      <c r="C1918" t="s">
        <v>194</v>
      </c>
      <c r="D1918" t="s">
        <v>195</v>
      </c>
      <c r="E1918" t="s">
        <v>158</v>
      </c>
      <c r="F1918" t="s">
        <v>109</v>
      </c>
      <c r="G1918" t="s">
        <v>92</v>
      </c>
      <c r="H1918">
        <v>57</v>
      </c>
      <c r="I1918">
        <v>37</v>
      </c>
      <c r="J1918">
        <v>154.05000000000001</v>
      </c>
      <c r="K1918" t="s">
        <v>246</v>
      </c>
      <c r="L1918">
        <v>65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 s="8">
        <v>65</v>
      </c>
      <c r="V1918" s="8">
        <f t="shared" si="59"/>
        <v>7</v>
      </c>
      <c r="W1918" t="str">
        <f>_xlfn.XLOOKUP(A1918, Matches!A:A, Matches!L:L, "NA", 0)</f>
        <v>RCBW</v>
      </c>
      <c r="X1918" t="str">
        <f>_xlfn.XLOOKUP(A1918, Matches!A:A, Matches!J:J, "NA", 0)</f>
        <v>RCBW</v>
      </c>
      <c r="Y1918" t="str">
        <f>_xlfn.XLOOKUP(A1918, Matches!A:A, Matches!F:F, "NA", 0)</f>
        <v>BCA Stadium, Kotambi</v>
      </c>
      <c r="Z1918" cm="1">
        <f t="array" ref="Z1918">INDEX(Innings!F:F,MATCH(1,(TRIM(Innings!A:A)=TRIM(A1918))*(TRIM(Innings!D:D)=TRIM(E1918)),0))</f>
        <v>203</v>
      </c>
      <c r="AA1918" cm="1">
        <f t="array" ref="AA1918">INDEX(Innings!I:I,MATCH(1,(TRIM(Innings!A:A)=TRIM(A1918))*(TRIM(Innings!D:D)=TRIM(E1918)),0))</f>
        <v>10.15</v>
      </c>
      <c r="AB1918" cm="1">
        <f t="array" ref="AB1918">INDEX(Innings!J:J,MATCH(1,(TRIM(Innings!A:A)=TRIM(A1918))*(TRIM(Innings!D:D)=TRIM(E1918)),0))</f>
        <v>53</v>
      </c>
      <c r="AC1918" cm="1">
        <f t="array" ref="AC1918">INDEX(Innings!N:N,MATCH(1,(TRIM(Innings!A:A)=TRIM(A1918))*(TRIM(Innings!D:D)=TRIM(E1918)),0))</f>
        <v>55</v>
      </c>
      <c r="AD1918" cm="1">
        <f t="array" ref="AD1918">INDEX(Innings!S:S,MATCH(1,(TRIM(Innings!A:A)=TRIM(A1918))*(TRIM(Innings!D:D)=TRIM(E1918)),0))</f>
        <v>27</v>
      </c>
      <c r="AE1918" t="str" cm="1">
        <f t="array" ref="AE1918">INDEX(Innings!W:W,MATCH(1,(TRIM(Innings!A:A)=TRIM(A1918))*(TRIM(Innings!D:D)=TRIM(E1918)),0))</f>
        <v>NA</v>
      </c>
      <c r="AF1918">
        <f>IF(UPPER(TRIM(E1918))=UPPER(TRIM(W1918)),1,0)</f>
        <v>0</v>
      </c>
      <c r="AG1918">
        <f t="shared" si="58"/>
        <v>34.6</v>
      </c>
    </row>
    <row r="1919" spans="1:33" x14ac:dyDescent="0.3">
      <c r="A1919" t="s">
        <v>622</v>
      </c>
      <c r="B1919">
        <v>4</v>
      </c>
      <c r="C1919" t="s">
        <v>192</v>
      </c>
      <c r="D1919" t="s">
        <v>193</v>
      </c>
      <c r="E1919" t="s">
        <v>158</v>
      </c>
      <c r="F1919" t="s">
        <v>169</v>
      </c>
      <c r="G1919" t="s">
        <v>134</v>
      </c>
      <c r="H1919">
        <v>0</v>
      </c>
      <c r="I1919">
        <v>0</v>
      </c>
      <c r="J1919">
        <v>0</v>
      </c>
      <c r="K1919" t="s">
        <v>104</v>
      </c>
      <c r="L1919">
        <v>0</v>
      </c>
      <c r="M1919">
        <v>4</v>
      </c>
      <c r="N1919">
        <v>0</v>
      </c>
      <c r="O1919">
        <v>38</v>
      </c>
      <c r="P1919">
        <v>0</v>
      </c>
      <c r="Q1919">
        <v>9.5</v>
      </c>
      <c r="R1919">
        <v>0</v>
      </c>
      <c r="S1919">
        <v>0</v>
      </c>
      <c r="T1919">
        <v>0</v>
      </c>
      <c r="U1919" s="8">
        <v>0</v>
      </c>
      <c r="V1919" s="8">
        <f t="shared" si="59"/>
        <v>0</v>
      </c>
      <c r="W1919" t="str">
        <f>_xlfn.XLOOKUP(A1919, Matches!A:A, Matches!L:L, "NA", 0)</f>
        <v>RCBW</v>
      </c>
      <c r="X1919" t="str">
        <f>_xlfn.XLOOKUP(A1919, Matches!A:A, Matches!J:J, "NA", 0)</f>
        <v>RCBW</v>
      </c>
      <c r="Y1919" t="str">
        <f>_xlfn.XLOOKUP(A1919, Matches!A:A, Matches!F:F, "NA", 0)</f>
        <v>BCA Stadium, Kotambi</v>
      </c>
      <c r="Z1919" cm="1">
        <f t="array" ref="Z1919">INDEX(Innings!F:F,MATCH(1,(TRIM(Innings!A:A)=TRIM(A1919))*(TRIM(Innings!D:D)=TRIM(E1919)),0))</f>
        <v>203</v>
      </c>
      <c r="AA1919" cm="1">
        <f t="array" ref="AA1919">INDEX(Innings!I:I,MATCH(1,(TRIM(Innings!A:A)=TRIM(A1919))*(TRIM(Innings!D:D)=TRIM(E1919)),0))</f>
        <v>10.15</v>
      </c>
      <c r="AB1919" cm="1">
        <f t="array" ref="AB1919">INDEX(Innings!J:J,MATCH(1,(TRIM(Innings!A:A)=TRIM(A1919))*(TRIM(Innings!D:D)=TRIM(E1919)),0))</f>
        <v>53</v>
      </c>
      <c r="AC1919" cm="1">
        <f t="array" ref="AC1919">INDEX(Innings!N:N,MATCH(1,(TRIM(Innings!A:A)=TRIM(A1919))*(TRIM(Innings!D:D)=TRIM(E1919)),0))</f>
        <v>55</v>
      </c>
      <c r="AD1919" cm="1">
        <f t="array" ref="AD1919">INDEX(Innings!S:S,MATCH(1,(TRIM(Innings!A:A)=TRIM(A1919))*(TRIM(Innings!D:D)=TRIM(E1919)),0))</f>
        <v>27</v>
      </c>
      <c r="AE1919" t="str" cm="1">
        <f t="array" ref="AE1919">INDEX(Innings!W:W,MATCH(1,(TRIM(Innings!A:A)=TRIM(A1919))*(TRIM(Innings!D:D)=TRIM(E1919)),0))</f>
        <v>NA</v>
      </c>
      <c r="AF1919">
        <f>IF(UPPER(TRIM(E1919))=UPPER(TRIM(W1919)),1,0)</f>
        <v>0</v>
      </c>
      <c r="AG1919">
        <f t="shared" si="58"/>
        <v>0</v>
      </c>
    </row>
    <row r="1920" spans="1:33" x14ac:dyDescent="0.3">
      <c r="A1920" t="s">
        <v>622</v>
      </c>
      <c r="B1920">
        <v>4</v>
      </c>
      <c r="C1920" t="s">
        <v>512</v>
      </c>
      <c r="D1920" t="s">
        <v>542</v>
      </c>
      <c r="E1920" t="s">
        <v>158</v>
      </c>
      <c r="F1920" t="s">
        <v>169</v>
      </c>
      <c r="G1920" t="s">
        <v>134</v>
      </c>
      <c r="H1920">
        <v>35</v>
      </c>
      <c r="I1920">
        <v>15</v>
      </c>
      <c r="J1920">
        <v>233.33</v>
      </c>
      <c r="K1920" t="s">
        <v>96</v>
      </c>
      <c r="L1920">
        <v>50</v>
      </c>
      <c r="M1920">
        <v>4</v>
      </c>
      <c r="N1920">
        <v>0</v>
      </c>
      <c r="O1920">
        <v>34</v>
      </c>
      <c r="P1920">
        <v>2</v>
      </c>
      <c r="Q1920">
        <v>8.5</v>
      </c>
      <c r="R1920">
        <v>50</v>
      </c>
      <c r="S1920">
        <v>0</v>
      </c>
      <c r="T1920">
        <v>0</v>
      </c>
      <c r="U1920" s="8">
        <v>100</v>
      </c>
      <c r="V1920" s="8">
        <f t="shared" si="59"/>
        <v>10</v>
      </c>
      <c r="W1920" t="str">
        <f>_xlfn.XLOOKUP(A1920, Matches!A:A, Matches!L:L, "NA", 0)</f>
        <v>RCBW</v>
      </c>
      <c r="X1920" t="str">
        <f>_xlfn.XLOOKUP(A1920, Matches!A:A, Matches!J:J, "NA", 0)</f>
        <v>RCBW</v>
      </c>
      <c r="Y1920" t="str">
        <f>_xlfn.XLOOKUP(A1920, Matches!A:A, Matches!F:F, "NA", 0)</f>
        <v>BCA Stadium, Kotambi</v>
      </c>
      <c r="Z1920" cm="1">
        <f t="array" ref="Z1920">INDEX(Innings!F:F,MATCH(1,(TRIM(Innings!A:A)=TRIM(A1920))*(TRIM(Innings!D:D)=TRIM(E1920)),0))</f>
        <v>203</v>
      </c>
      <c r="AA1920" cm="1">
        <f t="array" ref="AA1920">INDEX(Innings!I:I,MATCH(1,(TRIM(Innings!A:A)=TRIM(A1920))*(TRIM(Innings!D:D)=TRIM(E1920)),0))</f>
        <v>10.15</v>
      </c>
      <c r="AB1920" cm="1">
        <f t="array" ref="AB1920">INDEX(Innings!J:J,MATCH(1,(TRIM(Innings!A:A)=TRIM(A1920))*(TRIM(Innings!D:D)=TRIM(E1920)),0))</f>
        <v>53</v>
      </c>
      <c r="AC1920" cm="1">
        <f t="array" ref="AC1920">INDEX(Innings!N:N,MATCH(1,(TRIM(Innings!A:A)=TRIM(A1920))*(TRIM(Innings!D:D)=TRIM(E1920)),0))</f>
        <v>55</v>
      </c>
      <c r="AD1920" cm="1">
        <f t="array" ref="AD1920">INDEX(Innings!S:S,MATCH(1,(TRIM(Innings!A:A)=TRIM(A1920))*(TRIM(Innings!D:D)=TRIM(E1920)),0))</f>
        <v>27</v>
      </c>
      <c r="AE1920" t="str" cm="1">
        <f t="array" ref="AE1920">INDEX(Innings!W:W,MATCH(1,(TRIM(Innings!A:A)=TRIM(A1920))*(TRIM(Innings!D:D)=TRIM(E1920)),0))</f>
        <v>NA</v>
      </c>
      <c r="AF1920">
        <f>IF(UPPER(TRIM(E1920))=UPPER(TRIM(W1920)),1,0)</f>
        <v>0</v>
      </c>
      <c r="AG1920">
        <f t="shared" ref="AG1920:AG1936" si="60">(0.5*MAX(0,U1920) + 0.3*MAX(0,V1920) + 0.2*AF1920*100)</f>
        <v>53</v>
      </c>
    </row>
    <row r="1921" spans="1:33" x14ac:dyDescent="0.3">
      <c r="A1921" t="s">
        <v>622</v>
      </c>
      <c r="B1921">
        <v>4</v>
      </c>
      <c r="C1921" t="s">
        <v>495</v>
      </c>
      <c r="D1921" t="s">
        <v>503</v>
      </c>
      <c r="E1921" t="s">
        <v>158</v>
      </c>
      <c r="F1921" t="s">
        <v>169</v>
      </c>
      <c r="G1921" t="s">
        <v>104</v>
      </c>
      <c r="H1921">
        <v>0</v>
      </c>
      <c r="I1921">
        <v>0</v>
      </c>
      <c r="J1921">
        <v>0</v>
      </c>
      <c r="K1921" t="s">
        <v>104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 s="8">
        <v>0</v>
      </c>
      <c r="V1921" s="8">
        <f t="shared" si="59"/>
        <v>0</v>
      </c>
      <c r="W1921" t="str">
        <f>_xlfn.XLOOKUP(A1921, Matches!A:A, Matches!L:L, "NA", 0)</f>
        <v>RCBW</v>
      </c>
      <c r="X1921" t="str">
        <f>_xlfn.XLOOKUP(A1921, Matches!A:A, Matches!J:J, "NA", 0)</f>
        <v>RCBW</v>
      </c>
      <c r="Y1921" t="str">
        <f>_xlfn.XLOOKUP(A1921, Matches!A:A, Matches!F:F, "NA", 0)</f>
        <v>BCA Stadium, Kotambi</v>
      </c>
      <c r="Z1921" cm="1">
        <f t="array" ref="Z1921">INDEX(Innings!F:F,MATCH(1,(TRIM(Innings!A:A)=TRIM(A1921))*(TRIM(Innings!D:D)=TRIM(E1921)),0))</f>
        <v>203</v>
      </c>
      <c r="AA1921" cm="1">
        <f t="array" ref="AA1921">INDEX(Innings!I:I,MATCH(1,(TRIM(Innings!A:A)=TRIM(A1921))*(TRIM(Innings!D:D)=TRIM(E1921)),0))</f>
        <v>10.15</v>
      </c>
      <c r="AB1921" cm="1">
        <f t="array" ref="AB1921">INDEX(Innings!J:J,MATCH(1,(TRIM(Innings!A:A)=TRIM(A1921))*(TRIM(Innings!D:D)=TRIM(E1921)),0))</f>
        <v>53</v>
      </c>
      <c r="AC1921" cm="1">
        <f t="array" ref="AC1921">INDEX(Innings!N:N,MATCH(1,(TRIM(Innings!A:A)=TRIM(A1921))*(TRIM(Innings!D:D)=TRIM(E1921)),0))</f>
        <v>55</v>
      </c>
      <c r="AD1921" cm="1">
        <f t="array" ref="AD1921">INDEX(Innings!S:S,MATCH(1,(TRIM(Innings!A:A)=TRIM(A1921))*(TRIM(Innings!D:D)=TRIM(E1921)),0))</f>
        <v>27</v>
      </c>
      <c r="AE1921" t="str" cm="1">
        <f t="array" ref="AE1921">INDEX(Innings!W:W,MATCH(1,(TRIM(Innings!A:A)=TRIM(A1921))*(TRIM(Innings!D:D)=TRIM(E1921)),0))</f>
        <v>NA</v>
      </c>
      <c r="AF1921">
        <f>IF(UPPER(TRIM(E1921))=UPPER(TRIM(W1921)),1,0)</f>
        <v>0</v>
      </c>
      <c r="AG1921">
        <f t="shared" si="60"/>
        <v>0</v>
      </c>
    </row>
    <row r="1922" spans="1:33" x14ac:dyDescent="0.3">
      <c r="A1922" t="s">
        <v>622</v>
      </c>
      <c r="B1922">
        <v>4</v>
      </c>
      <c r="C1922" t="s">
        <v>102</v>
      </c>
      <c r="D1922" t="s">
        <v>126</v>
      </c>
      <c r="E1922" t="s">
        <v>158</v>
      </c>
      <c r="F1922" t="s">
        <v>169</v>
      </c>
      <c r="G1922" t="s">
        <v>104</v>
      </c>
      <c r="H1922">
        <v>0</v>
      </c>
      <c r="I1922">
        <v>0</v>
      </c>
      <c r="J1922">
        <v>0</v>
      </c>
      <c r="K1922" t="s">
        <v>104</v>
      </c>
      <c r="L1922">
        <v>0</v>
      </c>
      <c r="M1922">
        <v>1</v>
      </c>
      <c r="N1922">
        <v>0</v>
      </c>
      <c r="O1922">
        <v>15</v>
      </c>
      <c r="P1922">
        <v>0</v>
      </c>
      <c r="Q1922">
        <v>15</v>
      </c>
      <c r="R1922">
        <v>0</v>
      </c>
      <c r="S1922">
        <v>0</v>
      </c>
      <c r="T1922">
        <v>0</v>
      </c>
      <c r="U1922" s="8">
        <v>0</v>
      </c>
      <c r="V1922" s="8">
        <f t="shared" si="59"/>
        <v>0</v>
      </c>
      <c r="W1922" t="str">
        <f>_xlfn.XLOOKUP(A1922, Matches!A:A, Matches!L:L, "NA", 0)</f>
        <v>RCBW</v>
      </c>
      <c r="X1922" t="str">
        <f>_xlfn.XLOOKUP(A1922, Matches!A:A, Matches!J:J, "NA", 0)</f>
        <v>RCBW</v>
      </c>
      <c r="Y1922" t="str">
        <f>_xlfn.XLOOKUP(A1922, Matches!A:A, Matches!F:F, "NA", 0)</f>
        <v>BCA Stadium, Kotambi</v>
      </c>
      <c r="Z1922" cm="1">
        <f t="array" ref="Z1922">INDEX(Innings!F:F,MATCH(1,(TRIM(Innings!A:A)=TRIM(A1922))*(TRIM(Innings!D:D)=TRIM(E1922)),0))</f>
        <v>203</v>
      </c>
      <c r="AA1922" cm="1">
        <f t="array" ref="AA1922">INDEX(Innings!I:I,MATCH(1,(TRIM(Innings!A:A)=TRIM(A1922))*(TRIM(Innings!D:D)=TRIM(E1922)),0))</f>
        <v>10.15</v>
      </c>
      <c r="AB1922" cm="1">
        <f t="array" ref="AB1922">INDEX(Innings!J:J,MATCH(1,(TRIM(Innings!A:A)=TRIM(A1922))*(TRIM(Innings!D:D)=TRIM(E1922)),0))</f>
        <v>53</v>
      </c>
      <c r="AC1922" cm="1">
        <f t="array" ref="AC1922">INDEX(Innings!N:N,MATCH(1,(TRIM(Innings!A:A)=TRIM(A1922))*(TRIM(Innings!D:D)=TRIM(E1922)),0))</f>
        <v>55</v>
      </c>
      <c r="AD1922" cm="1">
        <f t="array" ref="AD1922">INDEX(Innings!S:S,MATCH(1,(TRIM(Innings!A:A)=TRIM(A1922))*(TRIM(Innings!D:D)=TRIM(E1922)),0))</f>
        <v>27</v>
      </c>
      <c r="AE1922" t="str" cm="1">
        <f t="array" ref="AE1922">INDEX(Innings!W:W,MATCH(1,(TRIM(Innings!A:A)=TRIM(A1922))*(TRIM(Innings!D:D)=TRIM(E1922)),0))</f>
        <v>NA</v>
      </c>
      <c r="AF1922">
        <f>IF(UPPER(TRIM(E1922))=UPPER(TRIM(W1922)),1,0)</f>
        <v>0</v>
      </c>
      <c r="AG1922">
        <f t="shared" si="60"/>
        <v>0</v>
      </c>
    </row>
    <row r="1923" spans="1:33" x14ac:dyDescent="0.3">
      <c r="A1923" t="s">
        <v>622</v>
      </c>
      <c r="B1923">
        <v>4</v>
      </c>
      <c r="C1923" t="s">
        <v>274</v>
      </c>
      <c r="D1923" t="s">
        <v>284</v>
      </c>
      <c r="E1923" t="s">
        <v>158</v>
      </c>
      <c r="F1923" t="s">
        <v>169</v>
      </c>
      <c r="G1923" t="s">
        <v>104</v>
      </c>
      <c r="H1923">
        <v>0</v>
      </c>
      <c r="I1923">
        <v>0</v>
      </c>
      <c r="J1923">
        <v>0</v>
      </c>
      <c r="K1923" t="s">
        <v>104</v>
      </c>
      <c r="L1923">
        <v>0</v>
      </c>
      <c r="M1923">
        <v>2</v>
      </c>
      <c r="N1923">
        <v>0</v>
      </c>
      <c r="O1923">
        <v>19</v>
      </c>
      <c r="P1923">
        <v>1</v>
      </c>
      <c r="Q1923">
        <v>9.5</v>
      </c>
      <c r="R1923">
        <v>25</v>
      </c>
      <c r="S1923">
        <v>0</v>
      </c>
      <c r="T1923">
        <v>0</v>
      </c>
      <c r="U1923" s="8">
        <v>25</v>
      </c>
      <c r="V1923" s="8">
        <f t="shared" ref="V1923:V1936" si="61">MIN(10, MAX(0, ROUND(U1923/10,0)))</f>
        <v>3</v>
      </c>
      <c r="W1923" t="str">
        <f>_xlfn.XLOOKUP(A1923, Matches!A:A, Matches!L:L, "NA", 0)</f>
        <v>RCBW</v>
      </c>
      <c r="X1923" t="str">
        <f>_xlfn.XLOOKUP(A1923, Matches!A:A, Matches!J:J, "NA", 0)</f>
        <v>RCBW</v>
      </c>
      <c r="Y1923" t="str">
        <f>_xlfn.XLOOKUP(A1923, Matches!A:A, Matches!F:F, "NA", 0)</f>
        <v>BCA Stadium, Kotambi</v>
      </c>
      <c r="Z1923" cm="1">
        <f t="array" ref="Z1923">INDEX(Innings!F:F,MATCH(1,(TRIM(Innings!A:A)=TRIM(A1923))*(TRIM(Innings!D:D)=TRIM(E1923)),0))</f>
        <v>203</v>
      </c>
      <c r="AA1923" cm="1">
        <f t="array" ref="AA1923">INDEX(Innings!I:I,MATCH(1,(TRIM(Innings!A:A)=TRIM(A1923))*(TRIM(Innings!D:D)=TRIM(E1923)),0))</f>
        <v>10.15</v>
      </c>
      <c r="AB1923" cm="1">
        <f t="array" ref="AB1923">INDEX(Innings!J:J,MATCH(1,(TRIM(Innings!A:A)=TRIM(A1923))*(TRIM(Innings!D:D)=TRIM(E1923)),0))</f>
        <v>53</v>
      </c>
      <c r="AC1923" cm="1">
        <f t="array" ref="AC1923">INDEX(Innings!N:N,MATCH(1,(TRIM(Innings!A:A)=TRIM(A1923))*(TRIM(Innings!D:D)=TRIM(E1923)),0))</f>
        <v>55</v>
      </c>
      <c r="AD1923" cm="1">
        <f t="array" ref="AD1923">INDEX(Innings!S:S,MATCH(1,(TRIM(Innings!A:A)=TRIM(A1923))*(TRIM(Innings!D:D)=TRIM(E1923)),0))</f>
        <v>27</v>
      </c>
      <c r="AE1923" t="str" cm="1">
        <f t="array" ref="AE1923">INDEX(Innings!W:W,MATCH(1,(TRIM(Innings!A:A)=TRIM(A1923))*(TRIM(Innings!D:D)=TRIM(E1923)),0))</f>
        <v>NA</v>
      </c>
      <c r="AF1923">
        <f>IF(UPPER(TRIM(E1923))=UPPER(TRIM(W1923)),1,0)</f>
        <v>0</v>
      </c>
      <c r="AG1923">
        <f t="shared" si="60"/>
        <v>13.4</v>
      </c>
    </row>
    <row r="1924" spans="1:33" x14ac:dyDescent="0.3">
      <c r="A1924" t="s">
        <v>622</v>
      </c>
      <c r="B1924">
        <v>4</v>
      </c>
      <c r="C1924" t="s">
        <v>532</v>
      </c>
      <c r="D1924" t="s">
        <v>637</v>
      </c>
      <c r="E1924" t="s">
        <v>158</v>
      </c>
      <c r="F1924" t="s">
        <v>101</v>
      </c>
      <c r="G1924" t="s">
        <v>104</v>
      </c>
      <c r="H1924">
        <v>0</v>
      </c>
      <c r="I1924">
        <v>0</v>
      </c>
      <c r="J1924">
        <v>0</v>
      </c>
      <c r="K1924" t="s">
        <v>104</v>
      </c>
      <c r="L1924">
        <v>0</v>
      </c>
      <c r="M1924">
        <v>3.4</v>
      </c>
      <c r="N1924">
        <v>0</v>
      </c>
      <c r="O1924">
        <v>46</v>
      </c>
      <c r="P1924">
        <v>0</v>
      </c>
      <c r="Q1924">
        <v>12.5</v>
      </c>
      <c r="R1924">
        <v>0</v>
      </c>
      <c r="S1924">
        <v>0</v>
      </c>
      <c r="T1924">
        <v>0</v>
      </c>
      <c r="U1924" s="8">
        <v>0</v>
      </c>
      <c r="V1924" s="8">
        <f t="shared" si="61"/>
        <v>0</v>
      </c>
      <c r="W1924" t="str">
        <f>_xlfn.XLOOKUP(A1924, Matches!A:A, Matches!L:L, "NA", 0)</f>
        <v>RCBW</v>
      </c>
      <c r="X1924" t="str">
        <f>_xlfn.XLOOKUP(A1924, Matches!A:A, Matches!J:J, "NA", 0)</f>
        <v>RCBW</v>
      </c>
      <c r="Y1924" t="str">
        <f>_xlfn.XLOOKUP(A1924, Matches!A:A, Matches!F:F, "NA", 0)</f>
        <v>BCA Stadium, Kotambi</v>
      </c>
      <c r="Z1924" cm="1">
        <f t="array" ref="Z1924">INDEX(Innings!F:F,MATCH(1,(TRIM(Innings!A:A)=TRIM(A1924))*(TRIM(Innings!D:D)=TRIM(E1924)),0))</f>
        <v>203</v>
      </c>
      <c r="AA1924" cm="1">
        <f t="array" ref="AA1924">INDEX(Innings!I:I,MATCH(1,(TRIM(Innings!A:A)=TRIM(A1924))*(TRIM(Innings!D:D)=TRIM(E1924)),0))</f>
        <v>10.15</v>
      </c>
      <c r="AB1924" cm="1">
        <f t="array" ref="AB1924">INDEX(Innings!J:J,MATCH(1,(TRIM(Innings!A:A)=TRIM(A1924))*(TRIM(Innings!D:D)=TRIM(E1924)),0))</f>
        <v>53</v>
      </c>
      <c r="AC1924" cm="1">
        <f t="array" ref="AC1924">INDEX(Innings!N:N,MATCH(1,(TRIM(Innings!A:A)=TRIM(A1924))*(TRIM(Innings!D:D)=TRIM(E1924)),0))</f>
        <v>55</v>
      </c>
      <c r="AD1924" cm="1">
        <f t="array" ref="AD1924">INDEX(Innings!S:S,MATCH(1,(TRIM(Innings!A:A)=TRIM(A1924))*(TRIM(Innings!D:D)=TRIM(E1924)),0))</f>
        <v>27</v>
      </c>
      <c r="AE1924" t="str" cm="1">
        <f t="array" ref="AE1924">INDEX(Innings!W:W,MATCH(1,(TRIM(Innings!A:A)=TRIM(A1924))*(TRIM(Innings!D:D)=TRIM(E1924)),0))</f>
        <v>NA</v>
      </c>
      <c r="AF1924">
        <f>IF(UPPER(TRIM(E1924))=UPPER(TRIM(W1924)),1,0)</f>
        <v>0</v>
      </c>
      <c r="AG1924">
        <f t="shared" si="60"/>
        <v>0</v>
      </c>
    </row>
    <row r="1925" spans="1:33" x14ac:dyDescent="0.3">
      <c r="A1925" t="s">
        <v>622</v>
      </c>
      <c r="B1925">
        <v>4</v>
      </c>
      <c r="C1925" t="s">
        <v>533</v>
      </c>
      <c r="D1925" t="s">
        <v>638</v>
      </c>
      <c r="E1925" t="s">
        <v>158</v>
      </c>
      <c r="F1925" t="s">
        <v>101</v>
      </c>
      <c r="G1925" t="s">
        <v>104</v>
      </c>
      <c r="H1925">
        <v>0</v>
      </c>
      <c r="I1925">
        <v>0</v>
      </c>
      <c r="J1925">
        <v>0</v>
      </c>
      <c r="K1925" t="s">
        <v>104</v>
      </c>
      <c r="L1925">
        <v>0</v>
      </c>
      <c r="M1925">
        <v>4</v>
      </c>
      <c r="N1925">
        <v>0</v>
      </c>
      <c r="O1925">
        <v>41</v>
      </c>
      <c r="P1925">
        <v>1</v>
      </c>
      <c r="Q1925">
        <v>10.199999999999999</v>
      </c>
      <c r="R1925">
        <v>25</v>
      </c>
      <c r="S1925">
        <v>0</v>
      </c>
      <c r="T1925">
        <v>0</v>
      </c>
      <c r="U1925" s="8">
        <v>25</v>
      </c>
      <c r="V1925" s="8">
        <f t="shared" si="61"/>
        <v>3</v>
      </c>
      <c r="W1925" t="str">
        <f>_xlfn.XLOOKUP(A1925, Matches!A:A, Matches!L:L, "NA", 0)</f>
        <v>RCBW</v>
      </c>
      <c r="X1925" t="str">
        <f>_xlfn.XLOOKUP(A1925, Matches!A:A, Matches!J:J, "NA", 0)</f>
        <v>RCBW</v>
      </c>
      <c r="Y1925" t="str">
        <f>_xlfn.XLOOKUP(A1925, Matches!A:A, Matches!F:F, "NA", 0)</f>
        <v>BCA Stadium, Kotambi</v>
      </c>
      <c r="Z1925" cm="1">
        <f t="array" ref="Z1925">INDEX(Innings!F:F,MATCH(1,(TRIM(Innings!A:A)=TRIM(A1925))*(TRIM(Innings!D:D)=TRIM(E1925)),0))</f>
        <v>203</v>
      </c>
      <c r="AA1925" cm="1">
        <f t="array" ref="AA1925">INDEX(Innings!I:I,MATCH(1,(TRIM(Innings!A:A)=TRIM(A1925))*(TRIM(Innings!D:D)=TRIM(E1925)),0))</f>
        <v>10.15</v>
      </c>
      <c r="AB1925" cm="1">
        <f t="array" ref="AB1925">INDEX(Innings!J:J,MATCH(1,(TRIM(Innings!A:A)=TRIM(A1925))*(TRIM(Innings!D:D)=TRIM(E1925)),0))</f>
        <v>53</v>
      </c>
      <c r="AC1925" cm="1">
        <f t="array" ref="AC1925">INDEX(Innings!N:N,MATCH(1,(TRIM(Innings!A:A)=TRIM(A1925))*(TRIM(Innings!D:D)=TRIM(E1925)),0))</f>
        <v>55</v>
      </c>
      <c r="AD1925" cm="1">
        <f t="array" ref="AD1925">INDEX(Innings!S:S,MATCH(1,(TRIM(Innings!A:A)=TRIM(A1925))*(TRIM(Innings!D:D)=TRIM(E1925)),0))</f>
        <v>27</v>
      </c>
      <c r="AE1925" t="str" cm="1">
        <f t="array" ref="AE1925">INDEX(Innings!W:W,MATCH(1,(TRIM(Innings!A:A)=TRIM(A1925))*(TRIM(Innings!D:D)=TRIM(E1925)),0))</f>
        <v>NA</v>
      </c>
      <c r="AF1925">
        <f>IF(UPPER(TRIM(E1925))=UPPER(TRIM(W1925)),1,0)</f>
        <v>0</v>
      </c>
      <c r="AG1925">
        <f t="shared" si="60"/>
        <v>13.4</v>
      </c>
    </row>
    <row r="1926" spans="1:33" x14ac:dyDescent="0.3">
      <c r="A1926" t="s">
        <v>622</v>
      </c>
      <c r="B1926">
        <v>4</v>
      </c>
      <c r="C1926" t="s">
        <v>226</v>
      </c>
      <c r="D1926" t="s">
        <v>211</v>
      </c>
      <c r="E1926" t="s">
        <v>159</v>
      </c>
      <c r="F1926" t="s">
        <v>85</v>
      </c>
      <c r="G1926" t="s">
        <v>86</v>
      </c>
      <c r="H1926">
        <v>9</v>
      </c>
      <c r="I1926">
        <v>7</v>
      </c>
      <c r="J1926">
        <v>128.57</v>
      </c>
      <c r="K1926" t="s">
        <v>245</v>
      </c>
      <c r="L1926">
        <v>10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 s="8">
        <v>10</v>
      </c>
      <c r="V1926" s="8">
        <f t="shared" si="61"/>
        <v>1</v>
      </c>
      <c r="W1926" t="str">
        <f>_xlfn.XLOOKUP(A1926, Matches!A:A, Matches!L:L, "NA", 0)</f>
        <v>RCBW</v>
      </c>
      <c r="X1926" t="str">
        <f>_xlfn.XLOOKUP(A1926, Matches!A:A, Matches!J:J, "NA", 0)</f>
        <v>RCBW</v>
      </c>
      <c r="Y1926" t="str">
        <f>_xlfn.XLOOKUP(A1926, Matches!A:A, Matches!F:F, "NA", 0)</f>
        <v>BCA Stadium, Kotambi</v>
      </c>
      <c r="Z1926" cm="1">
        <f t="array" ref="Z1926">INDEX(Innings!F:F,MATCH(1,(TRIM(Innings!A:A)=TRIM(A1926))*(TRIM(Innings!D:D)=TRIM(E1926)),0))</f>
        <v>204</v>
      </c>
      <c r="AA1926" cm="1">
        <f t="array" ref="AA1926">INDEX(Innings!I:I,MATCH(1,(TRIM(Innings!A:A)=TRIM(A1926))*(TRIM(Innings!D:D)=TRIM(E1926)),0))</f>
        <v>10.37</v>
      </c>
      <c r="AB1926" cm="1">
        <f t="array" ref="AB1926">INDEX(Innings!J:J,MATCH(1,(TRIM(Innings!A:A)=TRIM(A1926))*(TRIM(Innings!D:D)=TRIM(E1926)),0))</f>
        <v>59</v>
      </c>
      <c r="AC1926" cm="1">
        <f t="array" ref="AC1926">INDEX(Innings!N:N,MATCH(1,(TRIM(Innings!A:A)=TRIM(A1926))*(TRIM(Innings!D:D)=TRIM(E1926)),0))</f>
        <v>35</v>
      </c>
      <c r="AD1926" cm="1">
        <f t="array" ref="AD1926">INDEX(Innings!S:S,MATCH(1,(TRIM(Innings!A:A)=TRIM(A1926))*(TRIM(Innings!D:D)=TRIM(E1926)),0))</f>
        <v>24</v>
      </c>
      <c r="AE1926" t="str" cm="1">
        <f t="array" ref="AE1926">INDEX(Innings!W:W,MATCH(1,(TRIM(Innings!A:A)=TRIM(A1926))*(TRIM(Innings!D:D)=TRIM(E1926)),0))</f>
        <v>Successful</v>
      </c>
      <c r="AF1926">
        <f>IF(UPPER(TRIM(E1926))=UPPER(TRIM(W1926)),1,0)</f>
        <v>1</v>
      </c>
      <c r="AG1926">
        <f t="shared" si="60"/>
        <v>25.3</v>
      </c>
    </row>
    <row r="1927" spans="1:33" x14ac:dyDescent="0.3">
      <c r="A1927" t="s">
        <v>622</v>
      </c>
      <c r="B1927">
        <v>4</v>
      </c>
      <c r="C1927" t="s">
        <v>165</v>
      </c>
      <c r="D1927" t="s">
        <v>166</v>
      </c>
      <c r="E1927" t="s">
        <v>159</v>
      </c>
      <c r="F1927" t="s">
        <v>109</v>
      </c>
      <c r="G1927" t="s">
        <v>92</v>
      </c>
      <c r="H1927">
        <v>87</v>
      </c>
      <c r="I1927">
        <v>41</v>
      </c>
      <c r="J1927">
        <v>212.2</v>
      </c>
      <c r="K1927" t="s">
        <v>245</v>
      </c>
      <c r="L1927">
        <v>90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 s="8">
        <v>90</v>
      </c>
      <c r="V1927" s="8">
        <f t="shared" si="61"/>
        <v>9</v>
      </c>
      <c r="W1927" t="str">
        <f>_xlfn.XLOOKUP(A1927, Matches!A:A, Matches!L:L, "NA", 0)</f>
        <v>RCBW</v>
      </c>
      <c r="X1927" t="str">
        <f>_xlfn.XLOOKUP(A1927, Matches!A:A, Matches!J:J, "NA", 0)</f>
        <v>RCBW</v>
      </c>
      <c r="Y1927" t="str">
        <f>_xlfn.XLOOKUP(A1927, Matches!A:A, Matches!F:F, "NA", 0)</f>
        <v>BCA Stadium, Kotambi</v>
      </c>
      <c r="Z1927" cm="1">
        <f t="array" ref="Z1927">INDEX(Innings!F:F,MATCH(1,(TRIM(Innings!A:A)=TRIM(A1927))*(TRIM(Innings!D:D)=TRIM(E1927)),0))</f>
        <v>204</v>
      </c>
      <c r="AA1927" cm="1">
        <f t="array" ref="AA1927">INDEX(Innings!I:I,MATCH(1,(TRIM(Innings!A:A)=TRIM(A1927))*(TRIM(Innings!D:D)=TRIM(E1927)),0))</f>
        <v>10.37</v>
      </c>
      <c r="AB1927" cm="1">
        <f t="array" ref="AB1927">INDEX(Innings!J:J,MATCH(1,(TRIM(Innings!A:A)=TRIM(A1927))*(TRIM(Innings!D:D)=TRIM(E1927)),0))</f>
        <v>59</v>
      </c>
      <c r="AC1927" cm="1">
        <f t="array" ref="AC1927">INDEX(Innings!N:N,MATCH(1,(TRIM(Innings!A:A)=TRIM(A1927))*(TRIM(Innings!D:D)=TRIM(E1927)),0))</f>
        <v>35</v>
      </c>
      <c r="AD1927" cm="1">
        <f t="array" ref="AD1927">INDEX(Innings!S:S,MATCH(1,(TRIM(Innings!A:A)=TRIM(A1927))*(TRIM(Innings!D:D)=TRIM(E1927)),0))</f>
        <v>24</v>
      </c>
      <c r="AE1927" t="str" cm="1">
        <f t="array" ref="AE1927">INDEX(Innings!W:W,MATCH(1,(TRIM(Innings!A:A)=TRIM(A1927))*(TRIM(Innings!D:D)=TRIM(E1927)),0))</f>
        <v>Successful</v>
      </c>
      <c r="AF1927">
        <f>IF(UPPER(TRIM(E1927))=UPPER(TRIM(W1927)),1,0)</f>
        <v>1</v>
      </c>
      <c r="AG1927">
        <f t="shared" si="60"/>
        <v>67.7</v>
      </c>
    </row>
    <row r="1928" spans="1:33" x14ac:dyDescent="0.3">
      <c r="A1928" t="s">
        <v>622</v>
      </c>
      <c r="B1928">
        <v>4</v>
      </c>
      <c r="C1928" t="s">
        <v>514</v>
      </c>
      <c r="D1928" t="s">
        <v>567</v>
      </c>
      <c r="E1928" t="s">
        <v>159</v>
      </c>
      <c r="F1928" t="s">
        <v>109</v>
      </c>
      <c r="G1928" t="s">
        <v>92</v>
      </c>
      <c r="H1928">
        <v>79</v>
      </c>
      <c r="I1928">
        <v>54</v>
      </c>
      <c r="J1928">
        <v>146.30000000000001</v>
      </c>
      <c r="K1928" t="s">
        <v>246</v>
      </c>
      <c r="L1928">
        <v>85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 s="8">
        <v>85</v>
      </c>
      <c r="V1928" s="8">
        <f t="shared" si="61"/>
        <v>9</v>
      </c>
      <c r="W1928" t="str">
        <f>_xlfn.XLOOKUP(A1928, Matches!A:A, Matches!L:L, "NA", 0)</f>
        <v>RCBW</v>
      </c>
      <c r="X1928" t="str">
        <f>_xlfn.XLOOKUP(A1928, Matches!A:A, Matches!J:J, "NA", 0)</f>
        <v>RCBW</v>
      </c>
      <c r="Y1928" t="str">
        <f>_xlfn.XLOOKUP(A1928, Matches!A:A, Matches!F:F, "NA", 0)</f>
        <v>BCA Stadium, Kotambi</v>
      </c>
      <c r="Z1928" cm="1">
        <f t="array" ref="Z1928">INDEX(Innings!F:F,MATCH(1,(TRIM(Innings!A:A)=TRIM(A1928))*(TRIM(Innings!D:D)=TRIM(E1928)),0))</f>
        <v>204</v>
      </c>
      <c r="AA1928" cm="1">
        <f t="array" ref="AA1928">INDEX(Innings!I:I,MATCH(1,(TRIM(Innings!A:A)=TRIM(A1928))*(TRIM(Innings!D:D)=TRIM(E1928)),0))</f>
        <v>10.37</v>
      </c>
      <c r="AB1928" cm="1">
        <f t="array" ref="AB1928">INDEX(Innings!J:J,MATCH(1,(TRIM(Innings!A:A)=TRIM(A1928))*(TRIM(Innings!D:D)=TRIM(E1928)),0))</f>
        <v>59</v>
      </c>
      <c r="AC1928" cm="1">
        <f t="array" ref="AC1928">INDEX(Innings!N:N,MATCH(1,(TRIM(Innings!A:A)=TRIM(A1928))*(TRIM(Innings!D:D)=TRIM(E1928)),0))</f>
        <v>35</v>
      </c>
      <c r="AD1928" cm="1">
        <f t="array" ref="AD1928">INDEX(Innings!S:S,MATCH(1,(TRIM(Innings!A:A)=TRIM(A1928))*(TRIM(Innings!D:D)=TRIM(E1928)),0))</f>
        <v>24</v>
      </c>
      <c r="AE1928" t="str" cm="1">
        <f t="array" ref="AE1928">INDEX(Innings!W:W,MATCH(1,(TRIM(Innings!A:A)=TRIM(A1928))*(TRIM(Innings!D:D)=TRIM(E1928)),0))</f>
        <v>Successful</v>
      </c>
      <c r="AF1928">
        <f>IF(UPPER(TRIM(E1928))=UPPER(TRIM(W1928)),1,0)</f>
        <v>1</v>
      </c>
      <c r="AG1928">
        <f t="shared" si="60"/>
        <v>65.2</v>
      </c>
    </row>
    <row r="1929" spans="1:33" x14ac:dyDescent="0.3">
      <c r="A1929" t="s">
        <v>622</v>
      </c>
      <c r="B1929">
        <v>4</v>
      </c>
      <c r="C1929" t="s">
        <v>176</v>
      </c>
      <c r="D1929" t="s">
        <v>177</v>
      </c>
      <c r="E1929" t="s">
        <v>159</v>
      </c>
      <c r="F1929" t="s">
        <v>85</v>
      </c>
      <c r="G1929" t="s">
        <v>134</v>
      </c>
      <c r="H1929">
        <v>6</v>
      </c>
      <c r="I1929">
        <v>6</v>
      </c>
      <c r="J1929">
        <v>100</v>
      </c>
      <c r="K1929" t="s">
        <v>246</v>
      </c>
      <c r="L1929">
        <v>5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 s="8">
        <v>5</v>
      </c>
      <c r="V1929" s="8">
        <f t="shared" si="61"/>
        <v>1</v>
      </c>
      <c r="W1929" t="str">
        <f>_xlfn.XLOOKUP(A1929, Matches!A:A, Matches!L:L, "NA", 0)</f>
        <v>RCBW</v>
      </c>
      <c r="X1929" t="str">
        <f>_xlfn.XLOOKUP(A1929, Matches!A:A, Matches!J:J, "NA", 0)</f>
        <v>RCBW</v>
      </c>
      <c r="Y1929" t="str">
        <f>_xlfn.XLOOKUP(A1929, Matches!A:A, Matches!F:F, "NA", 0)</f>
        <v>BCA Stadium, Kotambi</v>
      </c>
      <c r="Z1929" cm="1">
        <f t="array" ref="Z1929">INDEX(Innings!F:F,MATCH(1,(TRIM(Innings!A:A)=TRIM(A1929))*(TRIM(Innings!D:D)=TRIM(E1929)),0))</f>
        <v>204</v>
      </c>
      <c r="AA1929" cm="1">
        <f t="array" ref="AA1929">INDEX(Innings!I:I,MATCH(1,(TRIM(Innings!A:A)=TRIM(A1929))*(TRIM(Innings!D:D)=TRIM(E1929)),0))</f>
        <v>10.37</v>
      </c>
      <c r="AB1929" cm="1">
        <f t="array" ref="AB1929">INDEX(Innings!J:J,MATCH(1,(TRIM(Innings!A:A)=TRIM(A1929))*(TRIM(Innings!D:D)=TRIM(E1929)),0))</f>
        <v>59</v>
      </c>
      <c r="AC1929" cm="1">
        <f t="array" ref="AC1929">INDEX(Innings!N:N,MATCH(1,(TRIM(Innings!A:A)=TRIM(A1929))*(TRIM(Innings!D:D)=TRIM(E1929)),0))</f>
        <v>35</v>
      </c>
      <c r="AD1929" cm="1">
        <f t="array" ref="AD1929">INDEX(Innings!S:S,MATCH(1,(TRIM(Innings!A:A)=TRIM(A1929))*(TRIM(Innings!D:D)=TRIM(E1929)),0))</f>
        <v>24</v>
      </c>
      <c r="AE1929" t="str" cm="1">
        <f t="array" ref="AE1929">INDEX(Innings!W:W,MATCH(1,(TRIM(Innings!A:A)=TRIM(A1929))*(TRIM(Innings!D:D)=TRIM(E1929)),0))</f>
        <v>Successful</v>
      </c>
      <c r="AF1929">
        <f>IF(UPPER(TRIM(E1929))=UPPER(TRIM(W1929)),1,0)</f>
        <v>1</v>
      </c>
      <c r="AG1929">
        <f t="shared" si="60"/>
        <v>22.8</v>
      </c>
    </row>
    <row r="1930" spans="1:33" x14ac:dyDescent="0.3">
      <c r="A1930" t="s">
        <v>622</v>
      </c>
      <c r="B1930">
        <v>4</v>
      </c>
      <c r="C1930" t="s">
        <v>449</v>
      </c>
      <c r="D1930" t="s">
        <v>410</v>
      </c>
      <c r="E1930" t="s">
        <v>159</v>
      </c>
      <c r="F1930" t="s">
        <v>169</v>
      </c>
      <c r="G1930" t="s">
        <v>134</v>
      </c>
      <c r="H1930">
        <v>7</v>
      </c>
      <c r="I1930">
        <v>5</v>
      </c>
      <c r="J1930">
        <v>140</v>
      </c>
      <c r="K1930" t="s">
        <v>96</v>
      </c>
      <c r="L1930">
        <v>10</v>
      </c>
      <c r="M1930">
        <v>4</v>
      </c>
      <c r="N1930">
        <v>0</v>
      </c>
      <c r="O1930">
        <v>48</v>
      </c>
      <c r="P1930">
        <v>1</v>
      </c>
      <c r="Q1930">
        <v>12</v>
      </c>
      <c r="R1930">
        <v>25</v>
      </c>
      <c r="S1930">
        <v>0</v>
      </c>
      <c r="T1930">
        <v>0</v>
      </c>
      <c r="U1930" s="8">
        <v>35</v>
      </c>
      <c r="V1930" s="8">
        <f t="shared" si="61"/>
        <v>4</v>
      </c>
      <c r="W1930" t="str">
        <f>_xlfn.XLOOKUP(A1930, Matches!A:A, Matches!L:L, "NA", 0)</f>
        <v>RCBW</v>
      </c>
      <c r="X1930" t="str">
        <f>_xlfn.XLOOKUP(A1930, Matches!A:A, Matches!J:J, "NA", 0)</f>
        <v>RCBW</v>
      </c>
      <c r="Y1930" t="str">
        <f>_xlfn.XLOOKUP(A1930, Matches!A:A, Matches!F:F, "NA", 0)</f>
        <v>BCA Stadium, Kotambi</v>
      </c>
      <c r="Z1930" cm="1">
        <f t="array" ref="Z1930">INDEX(Innings!F:F,MATCH(1,(TRIM(Innings!A:A)=TRIM(A1930))*(TRIM(Innings!D:D)=TRIM(E1930)),0))</f>
        <v>204</v>
      </c>
      <c r="AA1930" cm="1">
        <f t="array" ref="AA1930">INDEX(Innings!I:I,MATCH(1,(TRIM(Innings!A:A)=TRIM(A1930))*(TRIM(Innings!D:D)=TRIM(E1930)),0))</f>
        <v>10.37</v>
      </c>
      <c r="AB1930" cm="1">
        <f t="array" ref="AB1930">INDEX(Innings!J:J,MATCH(1,(TRIM(Innings!A:A)=TRIM(A1930))*(TRIM(Innings!D:D)=TRIM(E1930)),0))</f>
        <v>59</v>
      </c>
      <c r="AC1930" cm="1">
        <f t="array" ref="AC1930">INDEX(Innings!N:N,MATCH(1,(TRIM(Innings!A:A)=TRIM(A1930))*(TRIM(Innings!D:D)=TRIM(E1930)),0))</f>
        <v>35</v>
      </c>
      <c r="AD1930" cm="1">
        <f t="array" ref="AD1930">INDEX(Innings!S:S,MATCH(1,(TRIM(Innings!A:A)=TRIM(A1930))*(TRIM(Innings!D:D)=TRIM(E1930)),0))</f>
        <v>24</v>
      </c>
      <c r="AE1930" t="str" cm="1">
        <f t="array" ref="AE1930">INDEX(Innings!W:W,MATCH(1,(TRIM(Innings!A:A)=TRIM(A1930))*(TRIM(Innings!D:D)=TRIM(E1930)),0))</f>
        <v>Successful</v>
      </c>
      <c r="AF1930">
        <f>IF(UPPER(TRIM(E1930))=UPPER(TRIM(W1930)),1,0)</f>
        <v>1</v>
      </c>
      <c r="AG1930">
        <f t="shared" si="60"/>
        <v>38.700000000000003</v>
      </c>
    </row>
    <row r="1931" spans="1:33" x14ac:dyDescent="0.3">
      <c r="A1931" t="s">
        <v>622</v>
      </c>
      <c r="B1931">
        <v>4</v>
      </c>
      <c r="C1931" t="s">
        <v>206</v>
      </c>
      <c r="D1931" t="s">
        <v>207</v>
      </c>
      <c r="E1931" t="s">
        <v>159</v>
      </c>
      <c r="F1931" t="s">
        <v>169</v>
      </c>
      <c r="G1931" t="s">
        <v>134</v>
      </c>
      <c r="H1931">
        <v>12</v>
      </c>
      <c r="I1931">
        <v>5</v>
      </c>
      <c r="J1931">
        <v>240</v>
      </c>
      <c r="K1931" t="s">
        <v>96</v>
      </c>
      <c r="L1931">
        <v>20</v>
      </c>
      <c r="M1931">
        <v>2</v>
      </c>
      <c r="N1931">
        <v>0</v>
      </c>
      <c r="O1931">
        <v>18</v>
      </c>
      <c r="P1931">
        <v>0</v>
      </c>
      <c r="Q1931">
        <v>9</v>
      </c>
      <c r="R1931">
        <v>0</v>
      </c>
      <c r="S1931">
        <v>0</v>
      </c>
      <c r="T1931">
        <v>0</v>
      </c>
      <c r="U1931" s="8">
        <v>20</v>
      </c>
      <c r="V1931" s="8">
        <f t="shared" si="61"/>
        <v>2</v>
      </c>
      <c r="W1931" t="str">
        <f>_xlfn.XLOOKUP(A1931, Matches!A:A, Matches!L:L, "NA", 0)</f>
        <v>RCBW</v>
      </c>
      <c r="X1931" t="str">
        <f>_xlfn.XLOOKUP(A1931, Matches!A:A, Matches!J:J, "NA", 0)</f>
        <v>RCBW</v>
      </c>
      <c r="Y1931" t="str">
        <f>_xlfn.XLOOKUP(A1931, Matches!A:A, Matches!F:F, "NA", 0)</f>
        <v>BCA Stadium, Kotambi</v>
      </c>
      <c r="Z1931" cm="1">
        <f t="array" ref="Z1931">INDEX(Innings!F:F,MATCH(1,(TRIM(Innings!A:A)=TRIM(A1931))*(TRIM(Innings!D:D)=TRIM(E1931)),0))</f>
        <v>204</v>
      </c>
      <c r="AA1931" cm="1">
        <f t="array" ref="AA1931">INDEX(Innings!I:I,MATCH(1,(TRIM(Innings!A:A)=TRIM(A1931))*(TRIM(Innings!D:D)=TRIM(E1931)),0))</f>
        <v>10.37</v>
      </c>
      <c r="AB1931" cm="1">
        <f t="array" ref="AB1931">INDEX(Innings!J:J,MATCH(1,(TRIM(Innings!A:A)=TRIM(A1931))*(TRIM(Innings!D:D)=TRIM(E1931)),0))</f>
        <v>59</v>
      </c>
      <c r="AC1931" cm="1">
        <f t="array" ref="AC1931">INDEX(Innings!N:N,MATCH(1,(TRIM(Innings!A:A)=TRIM(A1931))*(TRIM(Innings!D:D)=TRIM(E1931)),0))</f>
        <v>35</v>
      </c>
      <c r="AD1931" cm="1">
        <f t="array" ref="AD1931">INDEX(Innings!S:S,MATCH(1,(TRIM(Innings!A:A)=TRIM(A1931))*(TRIM(Innings!D:D)=TRIM(E1931)),0))</f>
        <v>24</v>
      </c>
      <c r="AE1931" t="str" cm="1">
        <f t="array" ref="AE1931">INDEX(Innings!W:W,MATCH(1,(TRIM(Innings!A:A)=TRIM(A1931))*(TRIM(Innings!D:D)=TRIM(E1931)),0))</f>
        <v>Successful</v>
      </c>
      <c r="AF1931">
        <f>IF(UPPER(TRIM(E1931))=UPPER(TRIM(W1931)),1,0)</f>
        <v>1</v>
      </c>
      <c r="AG1931">
        <f t="shared" si="60"/>
        <v>30.6</v>
      </c>
    </row>
    <row r="1932" spans="1:33" x14ac:dyDescent="0.3">
      <c r="A1932" t="s">
        <v>622</v>
      </c>
      <c r="B1932">
        <v>4</v>
      </c>
      <c r="C1932" t="s">
        <v>123</v>
      </c>
      <c r="D1932" t="s">
        <v>98</v>
      </c>
      <c r="E1932" t="s">
        <v>159</v>
      </c>
      <c r="F1932" t="s">
        <v>169</v>
      </c>
      <c r="G1932" t="s">
        <v>104</v>
      </c>
      <c r="H1932">
        <v>0</v>
      </c>
      <c r="I1932">
        <v>0</v>
      </c>
      <c r="J1932">
        <v>0</v>
      </c>
      <c r="K1932" t="s">
        <v>104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 s="8">
        <v>0</v>
      </c>
      <c r="V1932" s="8">
        <f t="shared" si="61"/>
        <v>0</v>
      </c>
      <c r="W1932" t="str">
        <f>_xlfn.XLOOKUP(A1932, Matches!A:A, Matches!L:L, "NA", 0)</f>
        <v>RCBW</v>
      </c>
      <c r="X1932" t="str">
        <f>_xlfn.XLOOKUP(A1932, Matches!A:A, Matches!J:J, "NA", 0)</f>
        <v>RCBW</v>
      </c>
      <c r="Y1932" t="str">
        <f>_xlfn.XLOOKUP(A1932, Matches!A:A, Matches!F:F, "NA", 0)</f>
        <v>BCA Stadium, Kotambi</v>
      </c>
      <c r="Z1932" cm="1">
        <f t="array" ref="Z1932">INDEX(Innings!F:F,MATCH(1,(TRIM(Innings!A:A)=TRIM(A1932))*(TRIM(Innings!D:D)=TRIM(E1932)),0))</f>
        <v>204</v>
      </c>
      <c r="AA1932" cm="1">
        <f t="array" ref="AA1932">INDEX(Innings!I:I,MATCH(1,(TRIM(Innings!A:A)=TRIM(A1932))*(TRIM(Innings!D:D)=TRIM(E1932)),0))</f>
        <v>10.37</v>
      </c>
      <c r="AB1932" cm="1">
        <f t="array" ref="AB1932">INDEX(Innings!J:J,MATCH(1,(TRIM(Innings!A:A)=TRIM(A1932))*(TRIM(Innings!D:D)=TRIM(E1932)),0))</f>
        <v>59</v>
      </c>
      <c r="AC1932" cm="1">
        <f t="array" ref="AC1932">INDEX(Innings!N:N,MATCH(1,(TRIM(Innings!A:A)=TRIM(A1932))*(TRIM(Innings!D:D)=TRIM(E1932)),0))</f>
        <v>35</v>
      </c>
      <c r="AD1932" cm="1">
        <f t="array" ref="AD1932">INDEX(Innings!S:S,MATCH(1,(TRIM(Innings!A:A)=TRIM(A1932))*(TRIM(Innings!D:D)=TRIM(E1932)),0))</f>
        <v>24</v>
      </c>
      <c r="AE1932" t="str" cm="1">
        <f t="array" ref="AE1932">INDEX(Innings!W:W,MATCH(1,(TRIM(Innings!A:A)=TRIM(A1932))*(TRIM(Innings!D:D)=TRIM(E1932)),0))</f>
        <v>Successful</v>
      </c>
      <c r="AF1932">
        <f>IF(UPPER(TRIM(E1932))=UPPER(TRIM(W1932)),1,0)</f>
        <v>1</v>
      </c>
      <c r="AG1932">
        <f t="shared" si="60"/>
        <v>20</v>
      </c>
    </row>
    <row r="1933" spans="1:33" x14ac:dyDescent="0.3">
      <c r="A1933" t="s">
        <v>622</v>
      </c>
      <c r="B1933">
        <v>4</v>
      </c>
      <c r="C1933" t="s">
        <v>202</v>
      </c>
      <c r="D1933" t="s">
        <v>203</v>
      </c>
      <c r="E1933" t="s">
        <v>159</v>
      </c>
      <c r="F1933" t="s">
        <v>101</v>
      </c>
      <c r="G1933" t="s">
        <v>104</v>
      </c>
      <c r="H1933">
        <v>0</v>
      </c>
      <c r="I1933">
        <v>0</v>
      </c>
      <c r="J1933">
        <v>0</v>
      </c>
      <c r="K1933" t="s">
        <v>104</v>
      </c>
      <c r="L1933">
        <v>0</v>
      </c>
      <c r="M1933">
        <v>4</v>
      </c>
      <c r="N1933">
        <v>0</v>
      </c>
      <c r="O1933">
        <v>40</v>
      </c>
      <c r="P1933">
        <v>1</v>
      </c>
      <c r="Q1933">
        <v>10</v>
      </c>
      <c r="R1933">
        <v>25</v>
      </c>
      <c r="S1933">
        <v>0</v>
      </c>
      <c r="T1933">
        <v>0</v>
      </c>
      <c r="U1933" s="8">
        <v>25</v>
      </c>
      <c r="V1933" s="8">
        <f t="shared" si="61"/>
        <v>3</v>
      </c>
      <c r="W1933" t="str">
        <f>_xlfn.XLOOKUP(A1933, Matches!A:A, Matches!L:L, "NA", 0)</f>
        <v>RCBW</v>
      </c>
      <c r="X1933" t="str">
        <f>_xlfn.XLOOKUP(A1933, Matches!A:A, Matches!J:J, "NA", 0)</f>
        <v>RCBW</v>
      </c>
      <c r="Y1933" t="str">
        <f>_xlfn.XLOOKUP(A1933, Matches!A:A, Matches!F:F, "NA", 0)</f>
        <v>BCA Stadium, Kotambi</v>
      </c>
      <c r="Z1933" cm="1">
        <f t="array" ref="Z1933">INDEX(Innings!F:F,MATCH(1,(TRIM(Innings!A:A)=TRIM(A1933))*(TRIM(Innings!D:D)=TRIM(E1933)),0))</f>
        <v>204</v>
      </c>
      <c r="AA1933" cm="1">
        <f t="array" ref="AA1933">INDEX(Innings!I:I,MATCH(1,(TRIM(Innings!A:A)=TRIM(A1933))*(TRIM(Innings!D:D)=TRIM(E1933)),0))</f>
        <v>10.37</v>
      </c>
      <c r="AB1933" cm="1">
        <f t="array" ref="AB1933">INDEX(Innings!J:J,MATCH(1,(TRIM(Innings!A:A)=TRIM(A1933))*(TRIM(Innings!D:D)=TRIM(E1933)),0))</f>
        <v>59</v>
      </c>
      <c r="AC1933" cm="1">
        <f t="array" ref="AC1933">INDEX(Innings!N:N,MATCH(1,(TRIM(Innings!A:A)=TRIM(A1933))*(TRIM(Innings!D:D)=TRIM(E1933)),0))</f>
        <v>35</v>
      </c>
      <c r="AD1933" cm="1">
        <f t="array" ref="AD1933">INDEX(Innings!S:S,MATCH(1,(TRIM(Innings!A:A)=TRIM(A1933))*(TRIM(Innings!D:D)=TRIM(E1933)),0))</f>
        <v>24</v>
      </c>
      <c r="AE1933" t="str" cm="1">
        <f t="array" ref="AE1933">INDEX(Innings!W:W,MATCH(1,(TRIM(Innings!A:A)=TRIM(A1933))*(TRIM(Innings!D:D)=TRIM(E1933)),0))</f>
        <v>Successful</v>
      </c>
      <c r="AF1933">
        <f>IF(UPPER(TRIM(E1933))=UPPER(TRIM(W1933)),1,0)</f>
        <v>1</v>
      </c>
      <c r="AG1933">
        <f t="shared" si="60"/>
        <v>33.4</v>
      </c>
    </row>
    <row r="1934" spans="1:33" x14ac:dyDescent="0.3">
      <c r="A1934" t="s">
        <v>622</v>
      </c>
      <c r="B1934">
        <v>4</v>
      </c>
      <c r="C1934" t="s">
        <v>415</v>
      </c>
      <c r="D1934" t="s">
        <v>425</v>
      </c>
      <c r="E1934" t="s">
        <v>159</v>
      </c>
      <c r="F1934" t="s">
        <v>169</v>
      </c>
      <c r="G1934" t="s">
        <v>104</v>
      </c>
      <c r="H1934">
        <v>0</v>
      </c>
      <c r="I1934">
        <v>0</v>
      </c>
      <c r="J1934">
        <v>0</v>
      </c>
      <c r="K1934" t="s">
        <v>104</v>
      </c>
      <c r="L1934">
        <v>0</v>
      </c>
      <c r="M1934">
        <v>4</v>
      </c>
      <c r="N1934">
        <v>0</v>
      </c>
      <c r="O1934">
        <v>46</v>
      </c>
      <c r="P1934">
        <v>1</v>
      </c>
      <c r="Q1934">
        <v>11.5</v>
      </c>
      <c r="R1934">
        <v>25</v>
      </c>
      <c r="S1934">
        <v>0</v>
      </c>
      <c r="T1934">
        <v>0</v>
      </c>
      <c r="U1934" s="8">
        <v>25</v>
      </c>
      <c r="V1934" s="8">
        <f t="shared" si="61"/>
        <v>3</v>
      </c>
      <c r="W1934" t="str">
        <f>_xlfn.XLOOKUP(A1934, Matches!A:A, Matches!L:L, "NA", 0)</f>
        <v>RCBW</v>
      </c>
      <c r="X1934" t="str">
        <f>_xlfn.XLOOKUP(A1934, Matches!A:A, Matches!J:J, "NA", 0)</f>
        <v>RCBW</v>
      </c>
      <c r="Y1934" t="str">
        <f>_xlfn.XLOOKUP(A1934, Matches!A:A, Matches!F:F, "NA", 0)</f>
        <v>BCA Stadium, Kotambi</v>
      </c>
      <c r="Z1934" cm="1">
        <f t="array" ref="Z1934">INDEX(Innings!F:F,MATCH(1,(TRIM(Innings!A:A)=TRIM(A1934))*(TRIM(Innings!D:D)=TRIM(E1934)),0))</f>
        <v>204</v>
      </c>
      <c r="AA1934" cm="1">
        <f t="array" ref="AA1934">INDEX(Innings!I:I,MATCH(1,(TRIM(Innings!A:A)=TRIM(A1934))*(TRIM(Innings!D:D)=TRIM(E1934)),0))</f>
        <v>10.37</v>
      </c>
      <c r="AB1934" cm="1">
        <f t="array" ref="AB1934">INDEX(Innings!J:J,MATCH(1,(TRIM(Innings!A:A)=TRIM(A1934))*(TRIM(Innings!D:D)=TRIM(E1934)),0))</f>
        <v>59</v>
      </c>
      <c r="AC1934" cm="1">
        <f t="array" ref="AC1934">INDEX(Innings!N:N,MATCH(1,(TRIM(Innings!A:A)=TRIM(A1934))*(TRIM(Innings!D:D)=TRIM(E1934)),0))</f>
        <v>35</v>
      </c>
      <c r="AD1934" cm="1">
        <f t="array" ref="AD1934">INDEX(Innings!S:S,MATCH(1,(TRIM(Innings!A:A)=TRIM(A1934))*(TRIM(Innings!D:D)=TRIM(E1934)),0))</f>
        <v>24</v>
      </c>
      <c r="AE1934" t="str" cm="1">
        <f t="array" ref="AE1934">INDEX(Innings!W:W,MATCH(1,(TRIM(Innings!A:A)=TRIM(A1934))*(TRIM(Innings!D:D)=TRIM(E1934)),0))</f>
        <v>Successful</v>
      </c>
      <c r="AF1934">
        <f>IF(UPPER(TRIM(E1934))=UPPER(TRIM(W1934)),1,0)</f>
        <v>1</v>
      </c>
      <c r="AG1934">
        <f t="shared" si="60"/>
        <v>33.4</v>
      </c>
    </row>
    <row r="1935" spans="1:33" x14ac:dyDescent="0.3">
      <c r="A1935" t="s">
        <v>622</v>
      </c>
      <c r="B1935">
        <v>4</v>
      </c>
      <c r="C1935" t="s">
        <v>259</v>
      </c>
      <c r="D1935" t="s">
        <v>257</v>
      </c>
      <c r="E1935" t="s">
        <v>159</v>
      </c>
      <c r="F1935" t="s">
        <v>169</v>
      </c>
      <c r="G1935" t="s">
        <v>104</v>
      </c>
      <c r="H1935">
        <v>0</v>
      </c>
      <c r="I1935">
        <v>0</v>
      </c>
      <c r="J1935">
        <v>0</v>
      </c>
      <c r="K1935" t="s">
        <v>104</v>
      </c>
      <c r="L1935">
        <v>0</v>
      </c>
      <c r="M1935">
        <v>2</v>
      </c>
      <c r="N1935">
        <v>0</v>
      </c>
      <c r="O1935">
        <v>32</v>
      </c>
      <c r="P1935">
        <v>0</v>
      </c>
      <c r="Q1935">
        <v>16</v>
      </c>
      <c r="R1935">
        <v>0</v>
      </c>
      <c r="S1935">
        <v>0</v>
      </c>
      <c r="T1935">
        <v>0</v>
      </c>
      <c r="U1935" s="8">
        <v>0</v>
      </c>
      <c r="V1935" s="8">
        <f t="shared" si="61"/>
        <v>0</v>
      </c>
      <c r="W1935" t="str">
        <f>_xlfn.XLOOKUP(A1935, Matches!A:A, Matches!L:L, "NA", 0)</f>
        <v>RCBW</v>
      </c>
      <c r="X1935" t="str">
        <f>_xlfn.XLOOKUP(A1935, Matches!A:A, Matches!J:J, "NA", 0)</f>
        <v>RCBW</v>
      </c>
      <c r="Y1935" t="str">
        <f>_xlfn.XLOOKUP(A1935, Matches!A:A, Matches!F:F, "NA", 0)</f>
        <v>BCA Stadium, Kotambi</v>
      </c>
      <c r="Z1935" cm="1">
        <f t="array" ref="Z1935">INDEX(Innings!F:F,MATCH(1,(TRIM(Innings!A:A)=TRIM(A1935))*(TRIM(Innings!D:D)=TRIM(E1935)),0))</f>
        <v>204</v>
      </c>
      <c r="AA1935" cm="1">
        <f t="array" ref="AA1935">INDEX(Innings!I:I,MATCH(1,(TRIM(Innings!A:A)=TRIM(A1935))*(TRIM(Innings!D:D)=TRIM(E1935)),0))</f>
        <v>10.37</v>
      </c>
      <c r="AB1935" cm="1">
        <f t="array" ref="AB1935">INDEX(Innings!J:J,MATCH(1,(TRIM(Innings!A:A)=TRIM(A1935))*(TRIM(Innings!D:D)=TRIM(E1935)),0))</f>
        <v>59</v>
      </c>
      <c r="AC1935" cm="1">
        <f t="array" ref="AC1935">INDEX(Innings!N:N,MATCH(1,(TRIM(Innings!A:A)=TRIM(A1935))*(TRIM(Innings!D:D)=TRIM(E1935)),0))</f>
        <v>35</v>
      </c>
      <c r="AD1935" cm="1">
        <f t="array" ref="AD1935">INDEX(Innings!S:S,MATCH(1,(TRIM(Innings!A:A)=TRIM(A1935))*(TRIM(Innings!D:D)=TRIM(E1935)),0))</f>
        <v>24</v>
      </c>
      <c r="AE1935" t="str" cm="1">
        <f t="array" ref="AE1935">INDEX(Innings!W:W,MATCH(1,(TRIM(Innings!A:A)=TRIM(A1935))*(TRIM(Innings!D:D)=TRIM(E1935)),0))</f>
        <v>Successful</v>
      </c>
      <c r="AF1935">
        <f>IF(UPPER(TRIM(E1935))=UPPER(TRIM(W1935)),1,0)</f>
        <v>1</v>
      </c>
      <c r="AG1935">
        <f t="shared" si="60"/>
        <v>20</v>
      </c>
    </row>
    <row r="1936" spans="1:33" x14ac:dyDescent="0.3">
      <c r="A1936" t="s">
        <v>622</v>
      </c>
      <c r="B1936">
        <v>4</v>
      </c>
      <c r="C1936" t="s">
        <v>527</v>
      </c>
      <c r="D1936" t="s">
        <v>627</v>
      </c>
      <c r="E1936" t="s">
        <v>159</v>
      </c>
      <c r="F1936" t="s">
        <v>101</v>
      </c>
      <c r="G1936" t="s">
        <v>104</v>
      </c>
      <c r="H1936">
        <v>0</v>
      </c>
      <c r="I1936">
        <v>0</v>
      </c>
      <c r="J1936">
        <v>0</v>
      </c>
      <c r="K1936" t="s">
        <v>104</v>
      </c>
      <c r="L1936">
        <v>0</v>
      </c>
      <c r="M1936">
        <v>4</v>
      </c>
      <c r="N1936">
        <v>0</v>
      </c>
      <c r="O1936">
        <v>19</v>
      </c>
      <c r="P1936">
        <v>0</v>
      </c>
      <c r="Q1936">
        <v>4.8</v>
      </c>
      <c r="R1936">
        <v>0</v>
      </c>
      <c r="S1936">
        <v>0</v>
      </c>
      <c r="T1936">
        <v>0</v>
      </c>
      <c r="U1936" s="8">
        <v>0</v>
      </c>
      <c r="V1936" s="8">
        <f t="shared" si="61"/>
        <v>0</v>
      </c>
      <c r="W1936" t="str">
        <f>_xlfn.XLOOKUP(A1936, Matches!A:A, Matches!L:L, "NA", 0)</f>
        <v>RCBW</v>
      </c>
      <c r="X1936" t="str">
        <f>_xlfn.XLOOKUP(A1936, Matches!A:A, Matches!J:J, "NA", 0)</f>
        <v>RCBW</v>
      </c>
      <c r="Y1936" t="str">
        <f>_xlfn.XLOOKUP(A1936, Matches!A:A, Matches!F:F, "NA", 0)</f>
        <v>BCA Stadium, Kotambi</v>
      </c>
      <c r="Z1936" cm="1">
        <f t="array" ref="Z1936">INDEX(Innings!F:F,MATCH(1,(TRIM(Innings!A:A)=TRIM(A1936))*(TRIM(Innings!D:D)=TRIM(E1936)),0))</f>
        <v>204</v>
      </c>
      <c r="AA1936" cm="1">
        <f t="array" ref="AA1936">INDEX(Innings!I:I,MATCH(1,(TRIM(Innings!A:A)=TRIM(A1936))*(TRIM(Innings!D:D)=TRIM(E1936)),0))</f>
        <v>10.37</v>
      </c>
      <c r="AB1936" cm="1">
        <f t="array" ref="AB1936">INDEX(Innings!J:J,MATCH(1,(TRIM(Innings!A:A)=TRIM(A1936))*(TRIM(Innings!D:D)=TRIM(E1936)),0))</f>
        <v>59</v>
      </c>
      <c r="AC1936" cm="1">
        <f t="array" ref="AC1936">INDEX(Innings!N:N,MATCH(1,(TRIM(Innings!A:A)=TRIM(A1936))*(TRIM(Innings!D:D)=TRIM(E1936)),0))</f>
        <v>35</v>
      </c>
      <c r="AD1936" cm="1">
        <f t="array" ref="AD1936">INDEX(Innings!S:S,MATCH(1,(TRIM(Innings!A:A)=TRIM(A1936))*(TRIM(Innings!D:D)=TRIM(E1936)),0))</f>
        <v>24</v>
      </c>
      <c r="AE1936" t="str" cm="1">
        <f t="array" ref="AE1936">INDEX(Innings!W:W,MATCH(1,(TRIM(Innings!A:A)=TRIM(A1936))*(TRIM(Innings!D:D)=TRIM(E1936)),0))</f>
        <v>Successful</v>
      </c>
      <c r="AF1936">
        <f>IF(UPPER(TRIM(E1936))=UPPER(TRIM(W1936)),1,0)</f>
        <v>1</v>
      </c>
      <c r="AG1936">
        <f t="shared" si="60"/>
        <v>20</v>
      </c>
    </row>
  </sheetData>
  <phoneticPr fontId="1" type="noConversion"/>
  <conditionalFormatting sqref="C1:C1048576">
    <cfRule type="expression" priority="1">
      <formula>COUNTIF($B:$B,B1)&gt;1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BFE0E-268E-43F6-AD73-5DE587557E2C}">
  <dimension ref="A1:V1936"/>
  <sheetViews>
    <sheetView tabSelected="1" topLeftCell="A954" workbookViewId="0">
      <selection activeCell="L967" sqref="L967"/>
    </sheetView>
  </sheetViews>
  <sheetFormatPr defaultRowHeight="14.4" x14ac:dyDescent="0.3"/>
  <cols>
    <col min="1" max="1" width="11.6640625" bestFit="1" customWidth="1"/>
    <col min="2" max="2" width="6.77734375" bestFit="1" customWidth="1"/>
    <col min="3" max="3" width="8.44140625" bestFit="1" customWidth="1"/>
    <col min="4" max="4" width="20.33203125" bestFit="1" customWidth="1"/>
    <col min="5" max="5" width="6.21875" bestFit="1" customWidth="1"/>
    <col min="6" max="6" width="16.44140625" bestFit="1" customWidth="1"/>
    <col min="7" max="7" width="13.44140625" bestFit="1" customWidth="1"/>
    <col min="8" max="8" width="10.88671875" bestFit="1" customWidth="1"/>
    <col min="9" max="9" width="10.21875" bestFit="1" customWidth="1"/>
    <col min="10" max="10" width="9.77734375" bestFit="1" customWidth="1"/>
    <col min="11" max="11" width="12.77734375" bestFit="1" customWidth="1"/>
    <col min="12" max="12" width="18.88671875" bestFit="1" customWidth="1"/>
    <col min="13" max="13" width="12.44140625" bestFit="1" customWidth="1"/>
    <col min="14" max="14" width="7.77734375" bestFit="1" customWidth="1"/>
    <col min="15" max="15" width="13.44140625" bestFit="1" customWidth="1"/>
    <col min="16" max="16" width="12.6640625" bestFit="1" customWidth="1"/>
    <col min="17" max="17" width="8.5546875" bestFit="1" customWidth="1"/>
    <col min="18" max="18" width="19.5546875" bestFit="1" customWidth="1"/>
    <col min="19" max="20" width="7.21875" bestFit="1" customWidth="1"/>
    <col min="21" max="21" width="17.6640625" bestFit="1" customWidth="1"/>
    <col min="22" max="22" width="18" bestFit="1" customWidth="1"/>
  </cols>
  <sheetData>
    <row r="1" spans="1:22" x14ac:dyDescent="0.3">
      <c r="A1" t="s">
        <v>4</v>
      </c>
      <c r="B1" t="s">
        <v>3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s="8" t="s">
        <v>79</v>
      </c>
      <c r="V1" s="8" t="s">
        <v>80</v>
      </c>
    </row>
    <row r="2" spans="1:22" x14ac:dyDescent="0.3">
      <c r="A2" t="s">
        <v>19</v>
      </c>
      <c r="B2">
        <v>1</v>
      </c>
      <c r="C2" t="s">
        <v>81</v>
      </c>
      <c r="D2" t="s">
        <v>114</v>
      </c>
      <c r="E2" t="s">
        <v>258</v>
      </c>
      <c r="F2" t="s">
        <v>85</v>
      </c>
      <c r="G2" t="s">
        <v>86</v>
      </c>
      <c r="H2">
        <v>0</v>
      </c>
      <c r="I2">
        <v>3</v>
      </c>
      <c r="J2">
        <v>0</v>
      </c>
      <c r="K2" t="s">
        <v>133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s="8">
        <v>0</v>
      </c>
      <c r="V2" s="8">
        <f>MIN(10, MAX(0, ROUND(U2/10,0)))</f>
        <v>0</v>
      </c>
    </row>
    <row r="3" spans="1:22" x14ac:dyDescent="0.3">
      <c r="A3" t="s">
        <v>19</v>
      </c>
      <c r="B3">
        <v>1</v>
      </c>
      <c r="C3" t="s">
        <v>87</v>
      </c>
      <c r="D3" t="s">
        <v>82</v>
      </c>
      <c r="E3" t="s">
        <v>258</v>
      </c>
      <c r="F3" t="s">
        <v>109</v>
      </c>
      <c r="G3" t="s">
        <v>86</v>
      </c>
      <c r="H3">
        <v>2</v>
      </c>
      <c r="I3">
        <v>4</v>
      </c>
      <c r="J3">
        <v>50</v>
      </c>
      <c r="K3" t="s">
        <v>245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s="8">
        <v>1</v>
      </c>
      <c r="V3" s="8">
        <f t="shared" ref="V3:V66" si="0">MIN(10, MAX(0, ROUND(U3/10,0)))</f>
        <v>0</v>
      </c>
    </row>
    <row r="4" spans="1:22" x14ac:dyDescent="0.3">
      <c r="A4" t="s">
        <v>19</v>
      </c>
      <c r="B4">
        <v>1</v>
      </c>
      <c r="C4" t="s">
        <v>89</v>
      </c>
      <c r="D4" t="s">
        <v>116</v>
      </c>
      <c r="E4" t="s">
        <v>258</v>
      </c>
      <c r="F4" t="s">
        <v>83</v>
      </c>
      <c r="G4" t="s">
        <v>92</v>
      </c>
      <c r="H4">
        <v>0</v>
      </c>
      <c r="I4">
        <v>2</v>
      </c>
      <c r="J4">
        <v>0</v>
      </c>
      <c r="K4" t="s">
        <v>246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s="8">
        <v>0</v>
      </c>
      <c r="V4" s="8">
        <f t="shared" si="0"/>
        <v>0</v>
      </c>
    </row>
    <row r="5" spans="1:22" x14ac:dyDescent="0.3">
      <c r="A5" t="s">
        <v>19</v>
      </c>
      <c r="B5">
        <v>1</v>
      </c>
      <c r="C5" t="s">
        <v>93</v>
      </c>
      <c r="D5" t="s">
        <v>118</v>
      </c>
      <c r="E5" t="s">
        <v>258</v>
      </c>
      <c r="F5" t="s">
        <v>83</v>
      </c>
      <c r="G5" t="s">
        <v>134</v>
      </c>
      <c r="H5">
        <v>0</v>
      </c>
      <c r="I5">
        <v>1</v>
      </c>
      <c r="J5">
        <v>0</v>
      </c>
      <c r="K5" t="s">
        <v>246</v>
      </c>
      <c r="L5">
        <v>0</v>
      </c>
      <c r="M5">
        <v>4</v>
      </c>
      <c r="N5">
        <v>0</v>
      </c>
      <c r="O5">
        <v>38</v>
      </c>
      <c r="P5">
        <v>1</v>
      </c>
      <c r="Q5">
        <v>9.5</v>
      </c>
      <c r="R5">
        <v>6</v>
      </c>
      <c r="S5">
        <v>0</v>
      </c>
      <c r="T5">
        <v>0</v>
      </c>
      <c r="U5" s="8">
        <v>6</v>
      </c>
      <c r="V5" s="8">
        <f t="shared" si="0"/>
        <v>1</v>
      </c>
    </row>
    <row r="6" spans="1:22" x14ac:dyDescent="0.3">
      <c r="A6" t="s">
        <v>19</v>
      </c>
      <c r="B6">
        <v>1</v>
      </c>
      <c r="C6" t="s">
        <v>94</v>
      </c>
      <c r="D6" t="s">
        <v>120</v>
      </c>
      <c r="E6" t="s">
        <v>258</v>
      </c>
      <c r="F6" t="s">
        <v>91</v>
      </c>
      <c r="G6" t="s">
        <v>134</v>
      </c>
      <c r="H6">
        <v>6</v>
      </c>
      <c r="I6">
        <v>14</v>
      </c>
      <c r="J6">
        <v>42.86</v>
      </c>
      <c r="K6" t="s">
        <v>245</v>
      </c>
      <c r="L6">
        <v>2.57</v>
      </c>
      <c r="M6">
        <v>3</v>
      </c>
      <c r="N6">
        <v>0</v>
      </c>
      <c r="O6">
        <v>32</v>
      </c>
      <c r="P6">
        <v>0</v>
      </c>
      <c r="Q6">
        <v>10.7</v>
      </c>
      <c r="R6">
        <v>-21.4</v>
      </c>
      <c r="S6">
        <v>0</v>
      </c>
      <c r="T6">
        <v>0</v>
      </c>
      <c r="U6" s="8">
        <v>-18.829999999999998</v>
      </c>
      <c r="V6" s="8">
        <f t="shared" si="0"/>
        <v>0</v>
      </c>
    </row>
    <row r="7" spans="1:22" x14ac:dyDescent="0.3">
      <c r="A7" t="s">
        <v>19</v>
      </c>
      <c r="B7">
        <v>1</v>
      </c>
      <c r="C7" t="s">
        <v>97</v>
      </c>
      <c r="D7" t="s">
        <v>122</v>
      </c>
      <c r="E7" t="s">
        <v>258</v>
      </c>
      <c r="F7" t="s">
        <v>109</v>
      </c>
      <c r="G7" t="s">
        <v>134</v>
      </c>
      <c r="H7">
        <v>29</v>
      </c>
      <c r="I7">
        <v>23</v>
      </c>
      <c r="J7">
        <v>126.09</v>
      </c>
      <c r="K7" t="s">
        <v>96</v>
      </c>
      <c r="L7">
        <v>36.57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s="8">
        <v>36.57</v>
      </c>
      <c r="V7" s="8">
        <f t="shared" si="0"/>
        <v>4</v>
      </c>
    </row>
    <row r="8" spans="1:22" x14ac:dyDescent="0.3">
      <c r="A8" t="s">
        <v>19</v>
      </c>
      <c r="B8">
        <v>1</v>
      </c>
      <c r="C8" t="s">
        <v>99</v>
      </c>
      <c r="D8" t="s">
        <v>124</v>
      </c>
      <c r="E8" t="s">
        <v>258</v>
      </c>
      <c r="F8" t="s">
        <v>101</v>
      </c>
      <c r="G8" t="s">
        <v>135</v>
      </c>
      <c r="H8">
        <v>8</v>
      </c>
      <c r="I8">
        <v>11</v>
      </c>
      <c r="J8">
        <v>72.73</v>
      </c>
      <c r="K8" t="s">
        <v>245</v>
      </c>
      <c r="L8">
        <v>5.82</v>
      </c>
      <c r="M8">
        <v>3</v>
      </c>
      <c r="N8">
        <v>0</v>
      </c>
      <c r="O8">
        <v>30</v>
      </c>
      <c r="P8">
        <v>1</v>
      </c>
      <c r="Q8">
        <v>10</v>
      </c>
      <c r="R8">
        <v>5</v>
      </c>
      <c r="S8">
        <v>0</v>
      </c>
      <c r="T8">
        <v>0</v>
      </c>
      <c r="U8" s="8">
        <v>10.82</v>
      </c>
      <c r="V8" s="8">
        <f t="shared" si="0"/>
        <v>1</v>
      </c>
    </row>
    <row r="9" spans="1:22" x14ac:dyDescent="0.3">
      <c r="A9" t="s">
        <v>19</v>
      </c>
      <c r="B9">
        <v>1</v>
      </c>
      <c r="C9" t="s">
        <v>102</v>
      </c>
      <c r="D9" t="s">
        <v>126</v>
      </c>
      <c r="E9" t="s">
        <v>258</v>
      </c>
      <c r="F9" t="s">
        <v>91</v>
      </c>
      <c r="G9" t="s">
        <v>134</v>
      </c>
      <c r="H9">
        <v>1</v>
      </c>
      <c r="I9">
        <v>2</v>
      </c>
      <c r="J9">
        <v>50</v>
      </c>
      <c r="K9" t="s">
        <v>247</v>
      </c>
      <c r="L9">
        <v>0.5</v>
      </c>
      <c r="M9">
        <v>4</v>
      </c>
      <c r="N9">
        <v>0</v>
      </c>
      <c r="O9">
        <v>43</v>
      </c>
      <c r="P9">
        <v>2</v>
      </c>
      <c r="Q9">
        <v>10.8</v>
      </c>
      <c r="R9">
        <v>28.4</v>
      </c>
      <c r="S9">
        <v>0</v>
      </c>
      <c r="T9">
        <v>0</v>
      </c>
      <c r="U9" s="8">
        <v>28.9</v>
      </c>
      <c r="V9" s="8">
        <f t="shared" si="0"/>
        <v>3</v>
      </c>
    </row>
    <row r="10" spans="1:22" x14ac:dyDescent="0.3">
      <c r="A10" t="s">
        <v>19</v>
      </c>
      <c r="B10">
        <v>1</v>
      </c>
      <c r="C10" t="s">
        <v>105</v>
      </c>
      <c r="D10" t="s">
        <v>128</v>
      </c>
      <c r="E10" t="s">
        <v>258</v>
      </c>
      <c r="F10" t="s">
        <v>101</v>
      </c>
      <c r="G10" t="s">
        <v>135</v>
      </c>
      <c r="H10">
        <v>0</v>
      </c>
      <c r="I10">
        <v>3</v>
      </c>
      <c r="J10">
        <v>0</v>
      </c>
      <c r="K10" t="s">
        <v>246</v>
      </c>
      <c r="L10">
        <v>0</v>
      </c>
      <c r="M10">
        <v>2</v>
      </c>
      <c r="N10">
        <v>0</v>
      </c>
      <c r="O10">
        <v>12</v>
      </c>
      <c r="P10">
        <v>1</v>
      </c>
      <c r="Q10">
        <v>6</v>
      </c>
      <c r="R10">
        <v>13</v>
      </c>
      <c r="S10">
        <v>0</v>
      </c>
      <c r="T10">
        <v>0</v>
      </c>
      <c r="U10" s="8">
        <v>13</v>
      </c>
      <c r="V10" s="8">
        <f t="shared" si="0"/>
        <v>1</v>
      </c>
    </row>
    <row r="11" spans="1:22" x14ac:dyDescent="0.3">
      <c r="A11" t="s">
        <v>19</v>
      </c>
      <c r="B11">
        <v>1</v>
      </c>
      <c r="C11" t="s">
        <v>107</v>
      </c>
      <c r="D11" t="s">
        <v>130</v>
      </c>
      <c r="E11" t="s">
        <v>258</v>
      </c>
      <c r="F11" t="s">
        <v>101</v>
      </c>
      <c r="G11" t="s">
        <v>135</v>
      </c>
      <c r="H11">
        <v>10</v>
      </c>
      <c r="I11">
        <v>9</v>
      </c>
      <c r="J11">
        <v>111.11</v>
      </c>
      <c r="K11" t="s">
        <v>245</v>
      </c>
      <c r="L11">
        <v>11.11</v>
      </c>
      <c r="M11">
        <v>2</v>
      </c>
      <c r="N11">
        <v>0</v>
      </c>
      <c r="O11">
        <v>34</v>
      </c>
      <c r="P11">
        <v>0</v>
      </c>
      <c r="Q11">
        <v>17</v>
      </c>
      <c r="R11">
        <v>-34</v>
      </c>
      <c r="S11">
        <v>0</v>
      </c>
      <c r="T11">
        <v>0</v>
      </c>
      <c r="U11" s="8">
        <v>-22.89</v>
      </c>
      <c r="V11" s="8">
        <f t="shared" si="0"/>
        <v>0</v>
      </c>
    </row>
    <row r="12" spans="1:22" x14ac:dyDescent="0.3">
      <c r="A12" t="s">
        <v>19</v>
      </c>
      <c r="B12">
        <v>1</v>
      </c>
      <c r="C12" t="s">
        <v>110</v>
      </c>
      <c r="D12" t="s">
        <v>132</v>
      </c>
      <c r="E12" t="s">
        <v>258</v>
      </c>
      <c r="F12" t="s">
        <v>101</v>
      </c>
      <c r="G12" t="s">
        <v>135</v>
      </c>
      <c r="H12">
        <v>6</v>
      </c>
      <c r="I12">
        <v>19</v>
      </c>
      <c r="J12">
        <v>31.58</v>
      </c>
      <c r="K12" t="s">
        <v>247</v>
      </c>
      <c r="L12">
        <v>1.89</v>
      </c>
      <c r="M12">
        <v>2</v>
      </c>
      <c r="N12">
        <v>0</v>
      </c>
      <c r="O12">
        <v>17</v>
      </c>
      <c r="P12">
        <v>0</v>
      </c>
      <c r="Q12">
        <v>8.5</v>
      </c>
      <c r="R12">
        <v>-17</v>
      </c>
      <c r="S12">
        <v>0</v>
      </c>
      <c r="T12">
        <v>0</v>
      </c>
      <c r="U12" s="8">
        <v>-15.11</v>
      </c>
      <c r="V12" s="8">
        <f t="shared" si="0"/>
        <v>0</v>
      </c>
    </row>
    <row r="13" spans="1:22" x14ac:dyDescent="0.3">
      <c r="A13" t="s">
        <v>19</v>
      </c>
      <c r="B13">
        <v>1</v>
      </c>
      <c r="C13" t="s">
        <v>112</v>
      </c>
      <c r="D13" t="s">
        <v>88</v>
      </c>
      <c r="E13" t="s">
        <v>266</v>
      </c>
      <c r="F13" t="s">
        <v>83</v>
      </c>
      <c r="G13" t="s">
        <v>86</v>
      </c>
      <c r="H13">
        <v>47</v>
      </c>
      <c r="I13">
        <v>31</v>
      </c>
      <c r="J13">
        <v>151.61000000000001</v>
      </c>
      <c r="K13" t="s">
        <v>245</v>
      </c>
      <c r="L13">
        <v>71.260000000000005</v>
      </c>
      <c r="M13">
        <v>1</v>
      </c>
      <c r="N13">
        <v>0</v>
      </c>
      <c r="O13">
        <v>8</v>
      </c>
      <c r="P13">
        <v>0</v>
      </c>
      <c r="Q13">
        <v>8</v>
      </c>
      <c r="R13">
        <v>-16</v>
      </c>
      <c r="S13">
        <v>0</v>
      </c>
      <c r="T13">
        <v>0</v>
      </c>
      <c r="U13" s="8">
        <v>55.26</v>
      </c>
      <c r="V13" s="8">
        <f t="shared" si="0"/>
        <v>6</v>
      </c>
    </row>
    <row r="14" spans="1:22" x14ac:dyDescent="0.3">
      <c r="A14" t="s">
        <v>19</v>
      </c>
      <c r="B14">
        <v>1</v>
      </c>
      <c r="C14" t="s">
        <v>113</v>
      </c>
      <c r="D14" t="s">
        <v>84</v>
      </c>
      <c r="E14" t="s">
        <v>266</v>
      </c>
      <c r="F14" t="s">
        <v>85</v>
      </c>
      <c r="G14" t="s">
        <v>86</v>
      </c>
      <c r="H14">
        <v>1</v>
      </c>
      <c r="I14">
        <v>8</v>
      </c>
      <c r="J14">
        <v>12.5</v>
      </c>
      <c r="K14" t="s">
        <v>246</v>
      </c>
      <c r="L14">
        <v>0.13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s="8">
        <v>0.13</v>
      </c>
      <c r="V14" s="8">
        <f t="shared" si="0"/>
        <v>0</v>
      </c>
    </row>
    <row r="15" spans="1:22" x14ac:dyDescent="0.3">
      <c r="A15" t="s">
        <v>19</v>
      </c>
      <c r="B15">
        <v>1</v>
      </c>
      <c r="C15" t="s">
        <v>115</v>
      </c>
      <c r="D15" t="s">
        <v>17</v>
      </c>
      <c r="E15" t="s">
        <v>266</v>
      </c>
      <c r="F15" t="s">
        <v>83</v>
      </c>
      <c r="G15" t="s">
        <v>134</v>
      </c>
      <c r="H15">
        <v>65</v>
      </c>
      <c r="I15">
        <v>30</v>
      </c>
      <c r="J15">
        <v>216.67</v>
      </c>
      <c r="K15" t="s">
        <v>246</v>
      </c>
      <c r="L15">
        <v>140.84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s="8">
        <v>140.84</v>
      </c>
      <c r="V15" s="8">
        <f t="shared" si="0"/>
        <v>10</v>
      </c>
    </row>
    <row r="16" spans="1:22" x14ac:dyDescent="0.3">
      <c r="A16" t="s">
        <v>19</v>
      </c>
      <c r="B16">
        <v>1</v>
      </c>
      <c r="C16" t="s">
        <v>117</v>
      </c>
      <c r="D16" t="s">
        <v>90</v>
      </c>
      <c r="E16" t="s">
        <v>266</v>
      </c>
      <c r="F16" t="s">
        <v>91</v>
      </c>
      <c r="G16" t="s">
        <v>92</v>
      </c>
      <c r="H16">
        <v>23</v>
      </c>
      <c r="I16">
        <v>18</v>
      </c>
      <c r="J16">
        <v>127.78</v>
      </c>
      <c r="K16" t="s">
        <v>246</v>
      </c>
      <c r="L16">
        <v>29.39</v>
      </c>
      <c r="M16">
        <v>2</v>
      </c>
      <c r="N16">
        <v>0</v>
      </c>
      <c r="O16">
        <v>5</v>
      </c>
      <c r="P16">
        <v>2</v>
      </c>
      <c r="Q16">
        <v>2.5</v>
      </c>
      <c r="R16">
        <v>45</v>
      </c>
      <c r="S16">
        <v>0</v>
      </c>
      <c r="T16">
        <v>0</v>
      </c>
      <c r="U16" s="8">
        <v>74.39</v>
      </c>
      <c r="V16" s="8">
        <f t="shared" si="0"/>
        <v>7</v>
      </c>
    </row>
    <row r="17" spans="1:22" x14ac:dyDescent="0.3">
      <c r="A17" t="s">
        <v>19</v>
      </c>
      <c r="B17">
        <v>1</v>
      </c>
      <c r="C17" t="s">
        <v>119</v>
      </c>
      <c r="D17" t="s">
        <v>95</v>
      </c>
      <c r="E17" t="s">
        <v>266</v>
      </c>
      <c r="F17" t="s">
        <v>91</v>
      </c>
      <c r="G17" t="s">
        <v>134</v>
      </c>
      <c r="H17">
        <v>45</v>
      </c>
      <c r="I17">
        <v>24</v>
      </c>
      <c r="J17">
        <v>187.5</v>
      </c>
      <c r="K17" t="s">
        <v>96</v>
      </c>
      <c r="L17">
        <v>84.38</v>
      </c>
      <c r="M17">
        <v>2</v>
      </c>
      <c r="N17">
        <v>1</v>
      </c>
      <c r="O17">
        <v>12</v>
      </c>
      <c r="P17">
        <v>2</v>
      </c>
      <c r="Q17">
        <v>6</v>
      </c>
      <c r="R17">
        <v>38</v>
      </c>
      <c r="S17">
        <v>0</v>
      </c>
      <c r="T17">
        <v>0</v>
      </c>
      <c r="U17" s="8">
        <v>122.38</v>
      </c>
      <c r="V17" s="8">
        <f t="shared" si="0"/>
        <v>10</v>
      </c>
    </row>
    <row r="18" spans="1:22" x14ac:dyDescent="0.3">
      <c r="A18" t="s">
        <v>19</v>
      </c>
      <c r="B18">
        <v>1</v>
      </c>
      <c r="C18" t="s">
        <v>121</v>
      </c>
      <c r="D18" t="s">
        <v>108</v>
      </c>
      <c r="E18" t="s">
        <v>266</v>
      </c>
      <c r="F18" t="s">
        <v>109</v>
      </c>
      <c r="G18" t="s">
        <v>134</v>
      </c>
      <c r="H18">
        <v>0</v>
      </c>
      <c r="I18">
        <v>0</v>
      </c>
      <c r="J18">
        <v>0</v>
      </c>
      <c r="K18" t="s">
        <v>104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 s="8">
        <v>0</v>
      </c>
      <c r="V18" s="8">
        <f t="shared" si="0"/>
        <v>0</v>
      </c>
    </row>
    <row r="19" spans="1:22" x14ac:dyDescent="0.3">
      <c r="A19" t="s">
        <v>19</v>
      </c>
      <c r="B19">
        <v>1</v>
      </c>
      <c r="C19" t="s">
        <v>123</v>
      </c>
      <c r="D19" t="s">
        <v>98</v>
      </c>
      <c r="E19" t="s">
        <v>266</v>
      </c>
      <c r="F19" t="s">
        <v>91</v>
      </c>
      <c r="G19" t="s">
        <v>134</v>
      </c>
      <c r="H19">
        <v>15</v>
      </c>
      <c r="I19">
        <v>8</v>
      </c>
      <c r="J19">
        <v>187.5</v>
      </c>
      <c r="K19" t="s">
        <v>246</v>
      </c>
      <c r="L19">
        <v>28.13</v>
      </c>
      <c r="M19">
        <v>2</v>
      </c>
      <c r="N19">
        <v>0</v>
      </c>
      <c r="O19">
        <v>9</v>
      </c>
      <c r="P19">
        <v>0</v>
      </c>
      <c r="Q19">
        <v>4.5</v>
      </c>
      <c r="R19">
        <v>-9</v>
      </c>
      <c r="S19">
        <v>0</v>
      </c>
      <c r="T19">
        <v>0</v>
      </c>
      <c r="U19" s="8">
        <v>19.13</v>
      </c>
      <c r="V19" s="8">
        <f t="shared" si="0"/>
        <v>2</v>
      </c>
    </row>
    <row r="20" spans="1:22" x14ac:dyDescent="0.3">
      <c r="A20" t="s">
        <v>19</v>
      </c>
      <c r="B20">
        <v>1</v>
      </c>
      <c r="C20" t="s">
        <v>125</v>
      </c>
      <c r="D20" t="s">
        <v>111</v>
      </c>
      <c r="E20" t="s">
        <v>266</v>
      </c>
      <c r="F20" t="s">
        <v>83</v>
      </c>
      <c r="G20" t="s">
        <v>134</v>
      </c>
      <c r="H20">
        <v>0</v>
      </c>
      <c r="I20">
        <v>0</v>
      </c>
      <c r="J20">
        <v>0</v>
      </c>
      <c r="K20" t="s">
        <v>104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s="8">
        <v>0</v>
      </c>
      <c r="V20" s="8">
        <f t="shared" si="0"/>
        <v>0</v>
      </c>
    </row>
    <row r="21" spans="1:22" x14ac:dyDescent="0.3">
      <c r="A21" t="s">
        <v>19</v>
      </c>
      <c r="B21">
        <v>1</v>
      </c>
      <c r="C21" t="s">
        <v>127</v>
      </c>
      <c r="D21" t="s">
        <v>100</v>
      </c>
      <c r="E21" t="s">
        <v>266</v>
      </c>
      <c r="F21" t="s">
        <v>101</v>
      </c>
      <c r="G21" t="s">
        <v>135</v>
      </c>
      <c r="H21">
        <v>6</v>
      </c>
      <c r="I21">
        <v>1</v>
      </c>
      <c r="J21">
        <v>600</v>
      </c>
      <c r="K21" t="s">
        <v>96</v>
      </c>
      <c r="L21">
        <v>36</v>
      </c>
      <c r="M21">
        <v>3</v>
      </c>
      <c r="N21">
        <v>0</v>
      </c>
      <c r="O21">
        <v>7</v>
      </c>
      <c r="P21">
        <v>1</v>
      </c>
      <c r="Q21">
        <v>2.2999999999999998</v>
      </c>
      <c r="R21">
        <v>20.399999999999999</v>
      </c>
      <c r="S21">
        <v>0</v>
      </c>
      <c r="T21">
        <v>0</v>
      </c>
      <c r="U21" s="8">
        <v>56.4</v>
      </c>
      <c r="V21" s="8">
        <f t="shared" si="0"/>
        <v>6</v>
      </c>
    </row>
    <row r="22" spans="1:22" x14ac:dyDescent="0.3">
      <c r="A22" t="s">
        <v>19</v>
      </c>
      <c r="B22">
        <v>1</v>
      </c>
      <c r="C22" t="s">
        <v>129</v>
      </c>
      <c r="D22" t="s">
        <v>103</v>
      </c>
      <c r="E22" t="s">
        <v>266</v>
      </c>
      <c r="F22" t="s">
        <v>91</v>
      </c>
      <c r="G22" t="s">
        <v>135</v>
      </c>
      <c r="H22">
        <v>0</v>
      </c>
      <c r="I22">
        <v>0</v>
      </c>
      <c r="J22">
        <v>0</v>
      </c>
      <c r="K22" t="s">
        <v>104</v>
      </c>
      <c r="L22">
        <v>0</v>
      </c>
      <c r="M22">
        <v>2</v>
      </c>
      <c r="N22">
        <v>0</v>
      </c>
      <c r="O22">
        <v>12</v>
      </c>
      <c r="P22">
        <v>0</v>
      </c>
      <c r="Q22">
        <v>6</v>
      </c>
      <c r="R22">
        <v>-12</v>
      </c>
      <c r="S22">
        <v>0</v>
      </c>
      <c r="T22">
        <v>0</v>
      </c>
      <c r="U22" s="8">
        <v>-12</v>
      </c>
      <c r="V22" s="8">
        <f t="shared" si="0"/>
        <v>0</v>
      </c>
    </row>
    <row r="23" spans="1:22" x14ac:dyDescent="0.3">
      <c r="A23" t="s">
        <v>19</v>
      </c>
      <c r="B23">
        <v>1</v>
      </c>
      <c r="C23" t="s">
        <v>131</v>
      </c>
      <c r="D23" t="s">
        <v>106</v>
      </c>
      <c r="E23" t="s">
        <v>266</v>
      </c>
      <c r="F23" t="s">
        <v>101</v>
      </c>
      <c r="G23" t="s">
        <v>135</v>
      </c>
      <c r="H23">
        <v>0</v>
      </c>
      <c r="I23">
        <v>0</v>
      </c>
      <c r="J23">
        <v>0</v>
      </c>
      <c r="K23" t="s">
        <v>104</v>
      </c>
      <c r="L23">
        <v>0</v>
      </c>
      <c r="M23">
        <v>3.1</v>
      </c>
      <c r="N23">
        <v>1</v>
      </c>
      <c r="O23">
        <v>11</v>
      </c>
      <c r="P23">
        <v>4</v>
      </c>
      <c r="Q23">
        <v>3.5</v>
      </c>
      <c r="R23">
        <v>93</v>
      </c>
      <c r="S23">
        <v>0</v>
      </c>
      <c r="T23">
        <v>0</v>
      </c>
      <c r="U23" s="8">
        <v>93</v>
      </c>
      <c r="V23" s="8">
        <f t="shared" si="0"/>
        <v>9</v>
      </c>
    </row>
    <row r="24" spans="1:22" x14ac:dyDescent="0.3">
      <c r="A24" t="s">
        <v>37</v>
      </c>
      <c r="B24">
        <v>1</v>
      </c>
      <c r="C24" t="s">
        <v>165</v>
      </c>
      <c r="D24" t="s">
        <v>166</v>
      </c>
      <c r="E24" t="s">
        <v>159</v>
      </c>
      <c r="F24" t="s">
        <v>109</v>
      </c>
      <c r="G24" t="s">
        <v>86</v>
      </c>
      <c r="H24">
        <v>35</v>
      </c>
      <c r="I24">
        <v>23</v>
      </c>
      <c r="J24">
        <v>152.16999999999999</v>
      </c>
      <c r="K24" t="s">
        <v>246</v>
      </c>
      <c r="L24">
        <v>53.26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s="8">
        <v>53.26</v>
      </c>
      <c r="V24" s="8">
        <f>MIN(10, MAX(0, ROUND(U24/10,0)))</f>
        <v>5</v>
      </c>
    </row>
    <row r="25" spans="1:22" x14ac:dyDescent="0.3">
      <c r="A25" t="s">
        <v>37</v>
      </c>
      <c r="B25">
        <v>1</v>
      </c>
      <c r="C25" t="s">
        <v>167</v>
      </c>
      <c r="D25" t="s">
        <v>168</v>
      </c>
      <c r="E25" t="s">
        <v>159</v>
      </c>
      <c r="F25" t="s">
        <v>169</v>
      </c>
      <c r="G25" t="s">
        <v>86</v>
      </c>
      <c r="H25">
        <v>14</v>
      </c>
      <c r="I25">
        <v>11</v>
      </c>
      <c r="J25">
        <v>127.27</v>
      </c>
      <c r="K25" t="s">
        <v>246</v>
      </c>
      <c r="L25">
        <v>17.82</v>
      </c>
      <c r="M25">
        <v>1</v>
      </c>
      <c r="N25">
        <v>0</v>
      </c>
      <c r="O25">
        <v>20</v>
      </c>
      <c r="P25">
        <v>0</v>
      </c>
      <c r="Q25">
        <v>20</v>
      </c>
      <c r="R25">
        <v>-40</v>
      </c>
      <c r="S25">
        <v>0</v>
      </c>
      <c r="T25">
        <v>0</v>
      </c>
      <c r="U25" s="8">
        <v>-22.18</v>
      </c>
      <c r="V25" s="8">
        <f t="shared" si="0"/>
        <v>0</v>
      </c>
    </row>
    <row r="26" spans="1:22" x14ac:dyDescent="0.3">
      <c r="A26" t="s">
        <v>37</v>
      </c>
      <c r="B26">
        <v>1</v>
      </c>
      <c r="C26" t="s">
        <v>170</v>
      </c>
      <c r="D26" t="s">
        <v>171</v>
      </c>
      <c r="E26" t="s">
        <v>159</v>
      </c>
      <c r="F26" t="s">
        <v>169</v>
      </c>
      <c r="G26" t="s">
        <v>134</v>
      </c>
      <c r="H26">
        <v>34</v>
      </c>
      <c r="I26">
        <v>21</v>
      </c>
      <c r="J26">
        <v>161.9</v>
      </c>
      <c r="K26" t="s">
        <v>246</v>
      </c>
      <c r="L26">
        <v>55.05</v>
      </c>
      <c r="M26">
        <v>3</v>
      </c>
      <c r="N26">
        <v>0</v>
      </c>
      <c r="O26">
        <v>40</v>
      </c>
      <c r="P26">
        <v>2</v>
      </c>
      <c r="Q26">
        <v>13.3</v>
      </c>
      <c r="R26">
        <v>23.4</v>
      </c>
      <c r="S26">
        <v>0</v>
      </c>
      <c r="T26">
        <v>0</v>
      </c>
      <c r="U26" s="8">
        <v>78.45</v>
      </c>
      <c r="V26" s="8">
        <f t="shared" si="0"/>
        <v>8</v>
      </c>
    </row>
    <row r="27" spans="1:22" x14ac:dyDescent="0.3">
      <c r="A27" t="s">
        <v>37</v>
      </c>
      <c r="B27">
        <v>1</v>
      </c>
      <c r="C27" t="s">
        <v>172</v>
      </c>
      <c r="D27" t="s">
        <v>173</v>
      </c>
      <c r="E27" t="s">
        <v>159</v>
      </c>
      <c r="F27" t="s">
        <v>109</v>
      </c>
      <c r="G27" t="s">
        <v>134</v>
      </c>
      <c r="H27">
        <v>9</v>
      </c>
      <c r="I27">
        <v>11</v>
      </c>
      <c r="J27">
        <v>81.819999999999993</v>
      </c>
      <c r="K27" t="s">
        <v>246</v>
      </c>
      <c r="L27">
        <v>7.36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s="8">
        <v>7.36</v>
      </c>
      <c r="V27" s="8">
        <f t="shared" si="0"/>
        <v>1</v>
      </c>
    </row>
    <row r="28" spans="1:22" x14ac:dyDescent="0.3">
      <c r="A28" t="s">
        <v>37</v>
      </c>
      <c r="B28">
        <v>1</v>
      </c>
      <c r="C28" t="s">
        <v>174</v>
      </c>
      <c r="D28" t="s">
        <v>175</v>
      </c>
      <c r="E28" t="s">
        <v>159</v>
      </c>
      <c r="F28" t="s">
        <v>83</v>
      </c>
      <c r="G28" t="s">
        <v>134</v>
      </c>
      <c r="H28">
        <v>31</v>
      </c>
      <c r="I28">
        <v>19</v>
      </c>
      <c r="J28">
        <v>163.16</v>
      </c>
      <c r="K28" t="s">
        <v>245</v>
      </c>
      <c r="L28">
        <v>50.58</v>
      </c>
      <c r="M28">
        <v>3</v>
      </c>
      <c r="N28">
        <v>0</v>
      </c>
      <c r="O28">
        <v>29</v>
      </c>
      <c r="P28">
        <v>0</v>
      </c>
      <c r="Q28">
        <v>9.6999999999999993</v>
      </c>
      <c r="R28">
        <v>-19.399999999999999</v>
      </c>
      <c r="S28">
        <v>0</v>
      </c>
      <c r="T28">
        <v>0</v>
      </c>
      <c r="U28" s="8">
        <v>31.18</v>
      </c>
      <c r="V28" s="8">
        <f t="shared" si="0"/>
        <v>3</v>
      </c>
    </row>
    <row r="29" spans="1:22" x14ac:dyDescent="0.3">
      <c r="A29" t="s">
        <v>37</v>
      </c>
      <c r="B29">
        <v>1</v>
      </c>
      <c r="C29" t="s">
        <v>176</v>
      </c>
      <c r="D29" t="s">
        <v>177</v>
      </c>
      <c r="E29" t="s">
        <v>159</v>
      </c>
      <c r="F29" t="s">
        <v>85</v>
      </c>
      <c r="G29" t="s">
        <v>134</v>
      </c>
      <c r="H29">
        <v>2</v>
      </c>
      <c r="I29">
        <v>4</v>
      </c>
      <c r="J29">
        <v>50</v>
      </c>
      <c r="K29" t="s">
        <v>246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s="8">
        <v>1</v>
      </c>
      <c r="V29" s="8">
        <f t="shared" si="0"/>
        <v>0</v>
      </c>
    </row>
    <row r="30" spans="1:22" x14ac:dyDescent="0.3">
      <c r="A30" t="s">
        <v>37</v>
      </c>
      <c r="B30">
        <v>1</v>
      </c>
      <c r="C30" t="s">
        <v>178</v>
      </c>
      <c r="D30" t="s">
        <v>179</v>
      </c>
      <c r="E30" t="s">
        <v>159</v>
      </c>
      <c r="F30" t="s">
        <v>83</v>
      </c>
      <c r="G30" t="s">
        <v>135</v>
      </c>
      <c r="H30">
        <v>0</v>
      </c>
      <c r="I30">
        <v>1</v>
      </c>
      <c r="J30">
        <v>0</v>
      </c>
      <c r="K30" t="s">
        <v>246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s="8">
        <v>0</v>
      </c>
      <c r="V30" s="8">
        <f t="shared" si="0"/>
        <v>0</v>
      </c>
    </row>
    <row r="31" spans="1:22" x14ac:dyDescent="0.3">
      <c r="A31" t="s">
        <v>37</v>
      </c>
      <c r="B31">
        <v>1</v>
      </c>
      <c r="C31" t="s">
        <v>180</v>
      </c>
      <c r="D31" t="s">
        <v>181</v>
      </c>
      <c r="E31" t="s">
        <v>159</v>
      </c>
      <c r="F31" t="s">
        <v>91</v>
      </c>
      <c r="G31" t="s">
        <v>135</v>
      </c>
      <c r="H31">
        <v>2</v>
      </c>
      <c r="I31">
        <v>3</v>
      </c>
      <c r="J31">
        <v>66.67</v>
      </c>
      <c r="K31" t="s">
        <v>246</v>
      </c>
      <c r="L31">
        <v>1.33</v>
      </c>
      <c r="M31">
        <v>2</v>
      </c>
      <c r="N31">
        <v>0</v>
      </c>
      <c r="O31">
        <v>29</v>
      </c>
      <c r="P31">
        <v>0</v>
      </c>
      <c r="Q31">
        <v>14.5</v>
      </c>
      <c r="R31">
        <v>-29</v>
      </c>
      <c r="S31">
        <v>0</v>
      </c>
      <c r="T31">
        <v>0</v>
      </c>
      <c r="U31" s="8">
        <v>-27.67</v>
      </c>
      <c r="V31" s="8">
        <f t="shared" si="0"/>
        <v>0</v>
      </c>
    </row>
    <row r="32" spans="1:22" x14ac:dyDescent="0.3">
      <c r="A32" t="s">
        <v>37</v>
      </c>
      <c r="B32">
        <v>1</v>
      </c>
      <c r="C32" t="s">
        <v>182</v>
      </c>
      <c r="D32" t="s">
        <v>183</v>
      </c>
      <c r="E32" t="s">
        <v>159</v>
      </c>
      <c r="F32" t="s">
        <v>101</v>
      </c>
      <c r="G32" t="s">
        <v>135</v>
      </c>
      <c r="H32">
        <v>2</v>
      </c>
      <c r="I32">
        <v>8</v>
      </c>
      <c r="J32">
        <v>25</v>
      </c>
      <c r="K32" t="s">
        <v>96</v>
      </c>
      <c r="L32">
        <v>0.5</v>
      </c>
      <c r="M32">
        <v>4</v>
      </c>
      <c r="N32">
        <v>0</v>
      </c>
      <c r="O32">
        <v>35</v>
      </c>
      <c r="P32">
        <v>0</v>
      </c>
      <c r="Q32">
        <v>8.8000000000000007</v>
      </c>
      <c r="R32">
        <v>-17.600000000000001</v>
      </c>
      <c r="S32">
        <v>0</v>
      </c>
      <c r="T32">
        <v>0</v>
      </c>
      <c r="U32" s="8">
        <v>-17.100000000000001</v>
      </c>
      <c r="V32" s="8">
        <f t="shared" si="0"/>
        <v>0</v>
      </c>
    </row>
    <row r="33" spans="1:22" x14ac:dyDescent="0.3">
      <c r="A33" t="s">
        <v>37</v>
      </c>
      <c r="B33">
        <v>1</v>
      </c>
      <c r="C33" t="s">
        <v>184</v>
      </c>
      <c r="D33" t="s">
        <v>185</v>
      </c>
      <c r="E33" t="s">
        <v>159</v>
      </c>
      <c r="F33" t="s">
        <v>101</v>
      </c>
      <c r="G33" t="s">
        <v>135</v>
      </c>
      <c r="H33">
        <v>30</v>
      </c>
      <c r="I33">
        <v>19</v>
      </c>
      <c r="J33">
        <v>157.88999999999999</v>
      </c>
      <c r="K33" t="s">
        <v>96</v>
      </c>
      <c r="L33">
        <v>47.37</v>
      </c>
      <c r="M33">
        <v>4</v>
      </c>
      <c r="N33">
        <v>0</v>
      </c>
      <c r="O33">
        <v>45</v>
      </c>
      <c r="P33">
        <v>0</v>
      </c>
      <c r="Q33">
        <v>11.2</v>
      </c>
      <c r="R33">
        <v>-22.4</v>
      </c>
      <c r="S33">
        <v>0</v>
      </c>
      <c r="T33">
        <v>0</v>
      </c>
      <c r="U33" s="8">
        <v>24.97</v>
      </c>
      <c r="V33" s="8">
        <f t="shared" si="0"/>
        <v>2</v>
      </c>
    </row>
    <row r="34" spans="1:22" x14ac:dyDescent="0.3">
      <c r="A34" t="s">
        <v>37</v>
      </c>
      <c r="B34">
        <v>1</v>
      </c>
      <c r="C34" t="s">
        <v>186</v>
      </c>
      <c r="D34" t="s">
        <v>187</v>
      </c>
      <c r="E34" t="s">
        <v>159</v>
      </c>
      <c r="F34" t="s">
        <v>101</v>
      </c>
      <c r="G34" t="s">
        <v>135</v>
      </c>
      <c r="H34">
        <v>0</v>
      </c>
      <c r="I34">
        <v>0</v>
      </c>
      <c r="J34">
        <v>0</v>
      </c>
      <c r="K34" t="s">
        <v>104</v>
      </c>
      <c r="L34">
        <v>0</v>
      </c>
      <c r="M34">
        <v>3</v>
      </c>
      <c r="N34">
        <v>0</v>
      </c>
      <c r="O34">
        <v>24</v>
      </c>
      <c r="P34">
        <v>0</v>
      </c>
      <c r="Q34">
        <v>8</v>
      </c>
      <c r="R34">
        <v>-16</v>
      </c>
      <c r="S34">
        <v>0</v>
      </c>
      <c r="T34">
        <v>0</v>
      </c>
      <c r="U34" s="8">
        <v>-16</v>
      </c>
      <c r="V34" s="8">
        <f t="shared" si="0"/>
        <v>0</v>
      </c>
    </row>
    <row r="35" spans="1:22" x14ac:dyDescent="0.3">
      <c r="A35" t="s">
        <v>37</v>
      </c>
      <c r="B35">
        <v>1</v>
      </c>
      <c r="C35" t="s">
        <v>188</v>
      </c>
      <c r="D35" t="s">
        <v>189</v>
      </c>
      <c r="E35" t="s">
        <v>158</v>
      </c>
      <c r="F35" t="s">
        <v>109</v>
      </c>
      <c r="G35" t="s">
        <v>86</v>
      </c>
      <c r="H35">
        <v>84</v>
      </c>
      <c r="I35">
        <v>45</v>
      </c>
      <c r="J35">
        <v>186.67</v>
      </c>
      <c r="K35" t="s">
        <v>246</v>
      </c>
      <c r="L35">
        <v>156.80000000000001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 s="8">
        <v>156.80000000000001</v>
      </c>
      <c r="V35" s="8">
        <f t="shared" si="0"/>
        <v>10</v>
      </c>
    </row>
    <row r="36" spans="1:22" x14ac:dyDescent="0.3">
      <c r="A36" t="s">
        <v>37</v>
      </c>
      <c r="B36">
        <v>1</v>
      </c>
      <c r="C36" t="s">
        <v>190</v>
      </c>
      <c r="D36" t="s">
        <v>191</v>
      </c>
      <c r="E36" t="s">
        <v>158</v>
      </c>
      <c r="F36" t="s">
        <v>109</v>
      </c>
      <c r="G36" t="s">
        <v>86</v>
      </c>
      <c r="H36">
        <v>72</v>
      </c>
      <c r="I36">
        <v>43</v>
      </c>
      <c r="J36">
        <v>167.44</v>
      </c>
      <c r="K36" t="s">
        <v>245</v>
      </c>
      <c r="L36">
        <v>120.56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 s="8">
        <v>120.56</v>
      </c>
      <c r="V36" s="8">
        <f t="shared" si="0"/>
        <v>10</v>
      </c>
    </row>
    <row r="37" spans="1:22" x14ac:dyDescent="0.3">
      <c r="A37" t="s">
        <v>37</v>
      </c>
      <c r="B37">
        <v>1</v>
      </c>
      <c r="C37" t="s">
        <v>192</v>
      </c>
      <c r="D37" t="s">
        <v>193</v>
      </c>
      <c r="E37" t="s">
        <v>158</v>
      </c>
      <c r="F37" t="s">
        <v>169</v>
      </c>
      <c r="G37" t="s">
        <v>134</v>
      </c>
      <c r="H37">
        <v>39</v>
      </c>
      <c r="I37">
        <v>17</v>
      </c>
      <c r="J37">
        <v>229.41</v>
      </c>
      <c r="K37" t="s">
        <v>96</v>
      </c>
      <c r="L37">
        <v>89.47</v>
      </c>
      <c r="M37">
        <v>4</v>
      </c>
      <c r="N37">
        <v>0</v>
      </c>
      <c r="O37">
        <v>36</v>
      </c>
      <c r="P37">
        <v>0</v>
      </c>
      <c r="Q37">
        <v>9</v>
      </c>
      <c r="R37">
        <v>-18</v>
      </c>
      <c r="S37">
        <v>0</v>
      </c>
      <c r="T37">
        <v>0</v>
      </c>
      <c r="U37" s="8">
        <v>71.47</v>
      </c>
      <c r="V37" s="8">
        <f t="shared" si="0"/>
        <v>7</v>
      </c>
    </row>
    <row r="38" spans="1:22" x14ac:dyDescent="0.3">
      <c r="A38" t="s">
        <v>37</v>
      </c>
      <c r="B38">
        <v>1</v>
      </c>
      <c r="C38" t="s">
        <v>194</v>
      </c>
      <c r="D38" t="s">
        <v>195</v>
      </c>
      <c r="E38" t="s">
        <v>158</v>
      </c>
      <c r="F38" t="s">
        <v>109</v>
      </c>
      <c r="G38" t="s">
        <v>134</v>
      </c>
      <c r="H38">
        <v>22</v>
      </c>
      <c r="I38">
        <v>15</v>
      </c>
      <c r="J38">
        <v>146.66999999999999</v>
      </c>
      <c r="K38" t="s">
        <v>96</v>
      </c>
      <c r="L38">
        <v>32.270000000000003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 s="8">
        <v>32.270000000000003</v>
      </c>
      <c r="V38" s="8">
        <f t="shared" si="0"/>
        <v>3</v>
      </c>
    </row>
    <row r="39" spans="1:22" x14ac:dyDescent="0.3">
      <c r="A39" t="s">
        <v>37</v>
      </c>
      <c r="B39">
        <v>1</v>
      </c>
      <c r="C39" t="s">
        <v>196</v>
      </c>
      <c r="D39" t="s">
        <v>197</v>
      </c>
      <c r="E39" t="s">
        <v>158</v>
      </c>
      <c r="F39" t="s">
        <v>83</v>
      </c>
      <c r="G39" t="s">
        <v>135</v>
      </c>
      <c r="H39">
        <v>0</v>
      </c>
      <c r="I39">
        <v>0</v>
      </c>
      <c r="J39">
        <v>0</v>
      </c>
      <c r="K39" t="s">
        <v>104</v>
      </c>
      <c r="L39">
        <v>0</v>
      </c>
      <c r="M39">
        <v>2</v>
      </c>
      <c r="N39">
        <v>0</v>
      </c>
      <c r="O39">
        <v>10</v>
      </c>
      <c r="P39">
        <v>2</v>
      </c>
      <c r="Q39">
        <v>5</v>
      </c>
      <c r="R39">
        <v>40</v>
      </c>
      <c r="S39">
        <v>1</v>
      </c>
      <c r="T39">
        <v>0</v>
      </c>
      <c r="U39" s="8">
        <v>40</v>
      </c>
      <c r="V39" s="8">
        <f t="shared" si="0"/>
        <v>4</v>
      </c>
    </row>
    <row r="40" spans="1:22" x14ac:dyDescent="0.3">
      <c r="A40" t="s">
        <v>37</v>
      </c>
      <c r="B40">
        <v>1</v>
      </c>
      <c r="C40" t="s">
        <v>198</v>
      </c>
      <c r="D40" t="s">
        <v>199</v>
      </c>
      <c r="E40" t="s">
        <v>158</v>
      </c>
      <c r="F40" t="s">
        <v>91</v>
      </c>
      <c r="G40" t="s">
        <v>135</v>
      </c>
      <c r="H40">
        <v>0</v>
      </c>
      <c r="I40">
        <v>0</v>
      </c>
      <c r="J40">
        <v>0</v>
      </c>
      <c r="K40" t="s">
        <v>104</v>
      </c>
      <c r="L40">
        <v>0</v>
      </c>
      <c r="M40">
        <v>4</v>
      </c>
      <c r="N40">
        <v>0</v>
      </c>
      <c r="O40">
        <v>28</v>
      </c>
      <c r="P40">
        <v>0</v>
      </c>
      <c r="Q40">
        <v>7</v>
      </c>
      <c r="R40">
        <v>-14</v>
      </c>
      <c r="S40">
        <v>0</v>
      </c>
      <c r="T40">
        <v>0</v>
      </c>
      <c r="U40" s="8">
        <v>-14</v>
      </c>
      <c r="V40" s="8">
        <f t="shared" si="0"/>
        <v>0</v>
      </c>
    </row>
    <row r="41" spans="1:22" x14ac:dyDescent="0.3">
      <c r="A41" t="s">
        <v>37</v>
      </c>
      <c r="B41">
        <v>1</v>
      </c>
      <c r="C41" t="s">
        <v>200</v>
      </c>
      <c r="D41" t="s">
        <v>201</v>
      </c>
      <c r="E41" t="s">
        <v>158</v>
      </c>
      <c r="F41" t="s">
        <v>85</v>
      </c>
      <c r="G41" t="s">
        <v>135</v>
      </c>
      <c r="H41">
        <v>0</v>
      </c>
      <c r="I41">
        <v>0</v>
      </c>
      <c r="J41">
        <v>0</v>
      </c>
      <c r="K41" t="s">
        <v>104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s="8">
        <v>0</v>
      </c>
      <c r="V41" s="8">
        <f t="shared" si="0"/>
        <v>0</v>
      </c>
    </row>
    <row r="42" spans="1:22" x14ac:dyDescent="0.3">
      <c r="A42" t="s">
        <v>37</v>
      </c>
      <c r="B42">
        <v>1</v>
      </c>
      <c r="C42" t="s">
        <v>202</v>
      </c>
      <c r="D42" t="s">
        <v>203</v>
      </c>
      <c r="E42" t="s">
        <v>158</v>
      </c>
      <c r="F42" t="s">
        <v>101</v>
      </c>
      <c r="G42" t="s">
        <v>135</v>
      </c>
      <c r="H42">
        <v>0</v>
      </c>
      <c r="I42">
        <v>0</v>
      </c>
      <c r="J42">
        <v>0</v>
      </c>
      <c r="K42" t="s">
        <v>104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s="8">
        <v>0</v>
      </c>
      <c r="V42" s="8">
        <f t="shared" si="0"/>
        <v>0</v>
      </c>
    </row>
    <row r="43" spans="1:22" x14ac:dyDescent="0.3">
      <c r="A43" t="s">
        <v>37</v>
      </c>
      <c r="B43">
        <v>1</v>
      </c>
      <c r="C43" t="s">
        <v>204</v>
      </c>
      <c r="D43" t="s">
        <v>205</v>
      </c>
      <c r="E43" t="s">
        <v>158</v>
      </c>
      <c r="F43" t="s">
        <v>91</v>
      </c>
      <c r="G43" t="s">
        <v>135</v>
      </c>
      <c r="H43">
        <v>0</v>
      </c>
      <c r="I43">
        <v>0</v>
      </c>
      <c r="J43">
        <v>0</v>
      </c>
      <c r="K43" t="s">
        <v>104</v>
      </c>
      <c r="L43">
        <v>0</v>
      </c>
      <c r="M43">
        <v>4</v>
      </c>
      <c r="N43">
        <v>0</v>
      </c>
      <c r="O43">
        <v>35</v>
      </c>
      <c r="P43">
        <v>1</v>
      </c>
      <c r="Q43">
        <v>8.8000000000000007</v>
      </c>
      <c r="R43">
        <v>7.4</v>
      </c>
      <c r="S43">
        <v>1</v>
      </c>
      <c r="T43">
        <v>0</v>
      </c>
      <c r="U43" s="8">
        <v>7.4</v>
      </c>
      <c r="V43" s="8">
        <f t="shared" si="0"/>
        <v>1</v>
      </c>
    </row>
    <row r="44" spans="1:22" x14ac:dyDescent="0.3">
      <c r="A44" t="s">
        <v>37</v>
      </c>
      <c r="B44">
        <v>1</v>
      </c>
      <c r="C44" t="s">
        <v>206</v>
      </c>
      <c r="D44" t="s">
        <v>207</v>
      </c>
      <c r="E44" t="s">
        <v>158</v>
      </c>
      <c r="F44" t="s">
        <v>101</v>
      </c>
      <c r="G44" t="s">
        <v>135</v>
      </c>
      <c r="H44">
        <v>0</v>
      </c>
      <c r="I44">
        <v>0</v>
      </c>
      <c r="J44">
        <v>0</v>
      </c>
      <c r="K44" t="s">
        <v>104</v>
      </c>
      <c r="L44">
        <v>0</v>
      </c>
      <c r="M44">
        <v>2</v>
      </c>
      <c r="N44">
        <v>0</v>
      </c>
      <c r="O44">
        <v>24</v>
      </c>
      <c r="P44">
        <v>0</v>
      </c>
      <c r="Q44">
        <v>12</v>
      </c>
      <c r="R44">
        <v>-24</v>
      </c>
      <c r="S44">
        <v>1</v>
      </c>
      <c r="T44">
        <v>0</v>
      </c>
      <c r="U44" s="8">
        <v>-24</v>
      </c>
      <c r="V44" s="8">
        <f t="shared" si="0"/>
        <v>0</v>
      </c>
    </row>
    <row r="45" spans="1:22" x14ac:dyDescent="0.3">
      <c r="A45" t="s">
        <v>37</v>
      </c>
      <c r="B45">
        <v>1</v>
      </c>
      <c r="C45" t="s">
        <v>208</v>
      </c>
      <c r="D45" t="s">
        <v>160</v>
      </c>
      <c r="E45" t="s">
        <v>158</v>
      </c>
      <c r="F45" t="s">
        <v>101</v>
      </c>
      <c r="G45" t="s">
        <v>135</v>
      </c>
      <c r="H45">
        <v>0</v>
      </c>
      <c r="I45">
        <v>0</v>
      </c>
      <c r="J45">
        <v>0</v>
      </c>
      <c r="K45" t="s">
        <v>104</v>
      </c>
      <c r="L45">
        <v>0</v>
      </c>
      <c r="M45">
        <v>4</v>
      </c>
      <c r="N45">
        <v>0</v>
      </c>
      <c r="O45">
        <v>29</v>
      </c>
      <c r="P45">
        <v>5</v>
      </c>
      <c r="Q45">
        <v>7.2</v>
      </c>
      <c r="R45">
        <v>110.6</v>
      </c>
      <c r="S45">
        <v>0</v>
      </c>
      <c r="T45">
        <v>0</v>
      </c>
      <c r="U45" s="8">
        <v>110.6</v>
      </c>
      <c r="V45" s="8">
        <f t="shared" si="0"/>
        <v>10</v>
      </c>
    </row>
    <row r="46" spans="1:22" x14ac:dyDescent="0.3">
      <c r="A46" t="s">
        <v>136</v>
      </c>
      <c r="B46">
        <v>1</v>
      </c>
      <c r="C46" t="s">
        <v>217</v>
      </c>
      <c r="D46" t="s">
        <v>218</v>
      </c>
      <c r="E46" t="s">
        <v>219</v>
      </c>
      <c r="F46" t="s">
        <v>85</v>
      </c>
      <c r="G46" t="s">
        <v>86</v>
      </c>
      <c r="H46">
        <v>7</v>
      </c>
      <c r="I46">
        <v>8</v>
      </c>
      <c r="J46">
        <v>87.5</v>
      </c>
      <c r="K46" t="s">
        <v>246</v>
      </c>
      <c r="L46">
        <v>6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s="8">
        <v>6</v>
      </c>
      <c r="V46" s="8">
        <f t="shared" si="0"/>
        <v>1</v>
      </c>
    </row>
    <row r="47" spans="1:22" x14ac:dyDescent="0.3">
      <c r="A47" t="s">
        <v>136</v>
      </c>
      <c r="B47">
        <v>1</v>
      </c>
      <c r="C47" t="s">
        <v>220</v>
      </c>
      <c r="D47" t="s">
        <v>221</v>
      </c>
      <c r="E47" t="s">
        <v>219</v>
      </c>
      <c r="F47" t="s">
        <v>109</v>
      </c>
      <c r="G47" t="s">
        <v>86</v>
      </c>
      <c r="H47">
        <v>5</v>
      </c>
      <c r="I47">
        <v>6</v>
      </c>
      <c r="J47">
        <v>83.3</v>
      </c>
      <c r="K47" t="s">
        <v>246</v>
      </c>
      <c r="L47">
        <v>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s="8">
        <v>4</v>
      </c>
      <c r="V47" s="8">
        <f t="shared" si="0"/>
        <v>0</v>
      </c>
    </row>
    <row r="48" spans="1:22" x14ac:dyDescent="0.3">
      <c r="A48" t="s">
        <v>136</v>
      </c>
      <c r="B48">
        <v>1</v>
      </c>
      <c r="C48" t="s">
        <v>222</v>
      </c>
      <c r="D48" t="s">
        <v>223</v>
      </c>
      <c r="E48" t="s">
        <v>219</v>
      </c>
      <c r="F48" t="s">
        <v>169</v>
      </c>
      <c r="G48" t="s">
        <v>92</v>
      </c>
      <c r="H48">
        <v>0</v>
      </c>
      <c r="I48">
        <v>1</v>
      </c>
      <c r="J48">
        <v>0</v>
      </c>
      <c r="K48" t="s">
        <v>246</v>
      </c>
      <c r="L48">
        <v>0</v>
      </c>
      <c r="M48">
        <v>2</v>
      </c>
      <c r="N48">
        <v>0</v>
      </c>
      <c r="O48">
        <v>18</v>
      </c>
      <c r="P48">
        <v>1</v>
      </c>
      <c r="Q48">
        <v>9</v>
      </c>
      <c r="R48">
        <v>15</v>
      </c>
      <c r="S48">
        <v>0</v>
      </c>
      <c r="T48">
        <v>0</v>
      </c>
      <c r="U48" s="8">
        <v>15</v>
      </c>
      <c r="V48" s="8">
        <f t="shared" si="0"/>
        <v>2</v>
      </c>
    </row>
    <row r="49" spans="1:22" x14ac:dyDescent="0.3">
      <c r="A49" t="s">
        <v>136</v>
      </c>
      <c r="B49">
        <v>1</v>
      </c>
      <c r="C49" t="s">
        <v>224</v>
      </c>
      <c r="D49" t="s">
        <v>225</v>
      </c>
      <c r="E49" t="s">
        <v>219</v>
      </c>
      <c r="F49" t="s">
        <v>83</v>
      </c>
      <c r="G49" t="s">
        <v>134</v>
      </c>
      <c r="H49">
        <v>11</v>
      </c>
      <c r="I49">
        <v>16</v>
      </c>
      <c r="J49">
        <v>68.7</v>
      </c>
      <c r="K49" t="s">
        <v>245</v>
      </c>
      <c r="L49">
        <v>8</v>
      </c>
      <c r="M49">
        <v>4</v>
      </c>
      <c r="N49">
        <v>0</v>
      </c>
      <c r="O49">
        <v>27</v>
      </c>
      <c r="P49">
        <v>2</v>
      </c>
      <c r="Q49">
        <v>6.8</v>
      </c>
      <c r="R49">
        <v>40</v>
      </c>
      <c r="S49">
        <v>0</v>
      </c>
      <c r="T49">
        <v>0</v>
      </c>
      <c r="U49" s="8">
        <v>48</v>
      </c>
      <c r="V49" s="8">
        <f t="shared" si="0"/>
        <v>5</v>
      </c>
    </row>
    <row r="50" spans="1:22" x14ac:dyDescent="0.3">
      <c r="A50" t="s">
        <v>136</v>
      </c>
      <c r="B50">
        <v>1</v>
      </c>
      <c r="C50" t="s">
        <v>226</v>
      </c>
      <c r="D50" t="s">
        <v>211</v>
      </c>
      <c r="E50" t="s">
        <v>219</v>
      </c>
      <c r="F50" t="s">
        <v>169</v>
      </c>
      <c r="G50" t="s">
        <v>134</v>
      </c>
      <c r="H50">
        <v>59</v>
      </c>
      <c r="I50">
        <v>26</v>
      </c>
      <c r="J50">
        <v>226.9</v>
      </c>
      <c r="K50" t="s">
        <v>96</v>
      </c>
      <c r="L50">
        <v>90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s="8">
        <v>90</v>
      </c>
      <c r="V50" s="8">
        <f t="shared" si="0"/>
        <v>9</v>
      </c>
    </row>
    <row r="51" spans="1:22" x14ac:dyDescent="0.3">
      <c r="A51" t="s">
        <v>136</v>
      </c>
      <c r="B51">
        <v>1</v>
      </c>
      <c r="C51" t="s">
        <v>227</v>
      </c>
      <c r="D51" t="s">
        <v>228</v>
      </c>
      <c r="E51" t="s">
        <v>219</v>
      </c>
      <c r="F51" t="s">
        <v>109</v>
      </c>
      <c r="G51" t="s">
        <v>135</v>
      </c>
      <c r="H51">
        <v>0</v>
      </c>
      <c r="I51">
        <v>1</v>
      </c>
      <c r="J51">
        <v>0</v>
      </c>
      <c r="K51" t="s">
        <v>245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s="8">
        <v>0</v>
      </c>
      <c r="V51" s="8">
        <f t="shared" si="0"/>
        <v>0</v>
      </c>
    </row>
    <row r="52" spans="1:22" x14ac:dyDescent="0.3">
      <c r="A52" t="s">
        <v>136</v>
      </c>
      <c r="B52">
        <v>1</v>
      </c>
      <c r="C52" t="s">
        <v>229</v>
      </c>
      <c r="D52" t="s">
        <v>230</v>
      </c>
      <c r="E52" t="s">
        <v>219</v>
      </c>
      <c r="F52" t="s">
        <v>109</v>
      </c>
      <c r="G52" t="s">
        <v>92</v>
      </c>
      <c r="H52">
        <v>53</v>
      </c>
      <c r="I52">
        <v>43</v>
      </c>
      <c r="J52">
        <v>123.2</v>
      </c>
      <c r="K52" t="s">
        <v>246</v>
      </c>
      <c r="L52">
        <v>65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s="8">
        <v>65</v>
      </c>
      <c r="V52" s="8">
        <f t="shared" si="0"/>
        <v>7</v>
      </c>
    </row>
    <row r="53" spans="1:22" x14ac:dyDescent="0.3">
      <c r="A53" t="s">
        <v>136</v>
      </c>
      <c r="B53">
        <v>1</v>
      </c>
      <c r="C53" t="s">
        <v>231</v>
      </c>
      <c r="D53" t="s">
        <v>232</v>
      </c>
      <c r="E53" t="s">
        <v>219</v>
      </c>
      <c r="F53" t="s">
        <v>83</v>
      </c>
      <c r="G53" t="s">
        <v>135</v>
      </c>
      <c r="H53">
        <v>4</v>
      </c>
      <c r="I53">
        <v>7</v>
      </c>
      <c r="J53">
        <v>57.1</v>
      </c>
      <c r="K53" t="s">
        <v>246</v>
      </c>
      <c r="L53">
        <v>3</v>
      </c>
      <c r="M53">
        <v>2</v>
      </c>
      <c r="N53">
        <v>0</v>
      </c>
      <c r="O53">
        <v>24</v>
      </c>
      <c r="P53">
        <v>0</v>
      </c>
      <c r="Q53">
        <v>12</v>
      </c>
      <c r="R53">
        <v>0</v>
      </c>
      <c r="S53">
        <v>0</v>
      </c>
      <c r="T53">
        <v>0</v>
      </c>
      <c r="U53" s="8">
        <v>3</v>
      </c>
      <c r="V53" s="8">
        <f t="shared" si="0"/>
        <v>0</v>
      </c>
    </row>
    <row r="54" spans="1:22" x14ac:dyDescent="0.3">
      <c r="A54" t="s">
        <v>136</v>
      </c>
      <c r="B54">
        <v>1</v>
      </c>
      <c r="C54" t="s">
        <v>233</v>
      </c>
      <c r="D54" t="s">
        <v>234</v>
      </c>
      <c r="E54" t="s">
        <v>219</v>
      </c>
      <c r="F54" t="s">
        <v>91</v>
      </c>
      <c r="G54" t="s">
        <v>135</v>
      </c>
      <c r="H54">
        <v>22</v>
      </c>
      <c r="I54">
        <v>12</v>
      </c>
      <c r="J54">
        <v>183.3</v>
      </c>
      <c r="K54" t="s">
        <v>96</v>
      </c>
      <c r="L54">
        <v>28</v>
      </c>
      <c r="M54">
        <v>4</v>
      </c>
      <c r="N54">
        <v>0</v>
      </c>
      <c r="O54">
        <v>25</v>
      </c>
      <c r="P54">
        <v>2</v>
      </c>
      <c r="Q54">
        <v>6.2</v>
      </c>
      <c r="R54">
        <v>40</v>
      </c>
      <c r="S54">
        <v>0</v>
      </c>
      <c r="T54">
        <v>0</v>
      </c>
      <c r="U54" s="8">
        <v>68</v>
      </c>
      <c r="V54" s="8">
        <f t="shared" si="0"/>
        <v>7</v>
      </c>
    </row>
    <row r="55" spans="1:22" x14ac:dyDescent="0.3">
      <c r="A55" t="s">
        <v>136</v>
      </c>
      <c r="B55">
        <v>1</v>
      </c>
      <c r="C55" t="s">
        <v>235</v>
      </c>
      <c r="D55" t="s">
        <v>236</v>
      </c>
      <c r="E55" t="s">
        <v>219</v>
      </c>
      <c r="F55" t="s">
        <v>101</v>
      </c>
      <c r="G55" t="s">
        <v>135</v>
      </c>
      <c r="H55">
        <v>0</v>
      </c>
      <c r="I55">
        <v>0</v>
      </c>
      <c r="J55">
        <v>0</v>
      </c>
      <c r="K55" t="s">
        <v>104</v>
      </c>
      <c r="L55">
        <v>0</v>
      </c>
      <c r="M55">
        <v>4</v>
      </c>
      <c r="N55">
        <v>0</v>
      </c>
      <c r="O55">
        <v>43</v>
      </c>
      <c r="P55">
        <v>1</v>
      </c>
      <c r="Q55">
        <v>10.8</v>
      </c>
      <c r="R55">
        <v>15</v>
      </c>
      <c r="S55">
        <v>0</v>
      </c>
      <c r="T55">
        <v>0</v>
      </c>
      <c r="U55" s="8">
        <v>15</v>
      </c>
      <c r="V55" s="8">
        <f t="shared" si="0"/>
        <v>2</v>
      </c>
    </row>
    <row r="56" spans="1:22" x14ac:dyDescent="0.3">
      <c r="A56" t="s">
        <v>136</v>
      </c>
      <c r="B56">
        <v>1</v>
      </c>
      <c r="C56" t="s">
        <v>237</v>
      </c>
      <c r="D56" t="s">
        <v>238</v>
      </c>
      <c r="E56" t="s">
        <v>219</v>
      </c>
      <c r="F56" t="s">
        <v>101</v>
      </c>
      <c r="G56" t="s">
        <v>135</v>
      </c>
      <c r="H56">
        <v>0</v>
      </c>
      <c r="I56">
        <v>0</v>
      </c>
      <c r="J56">
        <v>0</v>
      </c>
      <c r="K56" t="s">
        <v>104</v>
      </c>
      <c r="L56">
        <v>0</v>
      </c>
      <c r="M56">
        <v>4</v>
      </c>
      <c r="N56">
        <v>0</v>
      </c>
      <c r="O56">
        <v>30</v>
      </c>
      <c r="P56">
        <v>0</v>
      </c>
      <c r="Q56">
        <v>7.5</v>
      </c>
      <c r="R56">
        <v>0</v>
      </c>
      <c r="S56">
        <v>0</v>
      </c>
      <c r="T56">
        <v>0</v>
      </c>
      <c r="U56" s="8">
        <v>0</v>
      </c>
      <c r="V56" s="8">
        <f t="shared" si="0"/>
        <v>0</v>
      </c>
    </row>
    <row r="57" spans="1:22" x14ac:dyDescent="0.3">
      <c r="A57" t="s">
        <v>136</v>
      </c>
      <c r="B57">
        <v>1</v>
      </c>
      <c r="C57" t="s">
        <v>87</v>
      </c>
      <c r="D57" t="s">
        <v>82</v>
      </c>
      <c r="E57" t="s">
        <v>258</v>
      </c>
      <c r="F57" t="s">
        <v>109</v>
      </c>
      <c r="G57" t="s">
        <v>86</v>
      </c>
      <c r="H57">
        <v>24</v>
      </c>
      <c r="I57">
        <v>15</v>
      </c>
      <c r="J57">
        <v>160</v>
      </c>
      <c r="K57" t="s">
        <v>246</v>
      </c>
      <c r="L57">
        <v>30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s="8">
        <v>30</v>
      </c>
      <c r="V57" s="8">
        <f t="shared" si="0"/>
        <v>3</v>
      </c>
    </row>
    <row r="58" spans="1:22" x14ac:dyDescent="0.3">
      <c r="A58" t="s">
        <v>136</v>
      </c>
      <c r="B58">
        <v>1</v>
      </c>
      <c r="C58" t="s">
        <v>239</v>
      </c>
      <c r="D58" t="s">
        <v>241</v>
      </c>
      <c r="E58" t="s">
        <v>258</v>
      </c>
      <c r="F58" t="s">
        <v>109</v>
      </c>
      <c r="G58" t="s">
        <v>86</v>
      </c>
      <c r="H58">
        <v>13</v>
      </c>
      <c r="I58">
        <v>11</v>
      </c>
      <c r="J58">
        <v>118.2</v>
      </c>
      <c r="K58" t="s">
        <v>245</v>
      </c>
      <c r="L58">
        <v>14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s="8">
        <v>14</v>
      </c>
      <c r="V58" s="8">
        <f t="shared" si="0"/>
        <v>1</v>
      </c>
    </row>
    <row r="59" spans="1:22" x14ac:dyDescent="0.3">
      <c r="A59" t="s">
        <v>136</v>
      </c>
      <c r="B59">
        <v>1</v>
      </c>
      <c r="C59" t="s">
        <v>240</v>
      </c>
      <c r="D59" t="s">
        <v>243</v>
      </c>
      <c r="E59" t="s">
        <v>258</v>
      </c>
      <c r="F59" t="s">
        <v>85</v>
      </c>
      <c r="G59" t="s">
        <v>134</v>
      </c>
      <c r="H59">
        <v>9</v>
      </c>
      <c r="I59">
        <v>13</v>
      </c>
      <c r="J59">
        <v>69.2</v>
      </c>
      <c r="K59" t="s">
        <v>246</v>
      </c>
      <c r="L59">
        <v>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s="8">
        <v>6</v>
      </c>
      <c r="V59" s="8">
        <f t="shared" si="0"/>
        <v>1</v>
      </c>
    </row>
    <row r="60" spans="1:22" x14ac:dyDescent="0.3">
      <c r="A60" t="s">
        <v>136</v>
      </c>
      <c r="B60">
        <v>1</v>
      </c>
      <c r="C60" t="s">
        <v>93</v>
      </c>
      <c r="D60" t="s">
        <v>118</v>
      </c>
      <c r="E60" t="s">
        <v>258</v>
      </c>
      <c r="F60" t="s">
        <v>83</v>
      </c>
      <c r="G60" t="s">
        <v>134</v>
      </c>
      <c r="H60">
        <v>25</v>
      </c>
      <c r="I60">
        <v>19</v>
      </c>
      <c r="J60">
        <v>131.6</v>
      </c>
      <c r="K60" t="s">
        <v>248</v>
      </c>
      <c r="L60">
        <v>32</v>
      </c>
      <c r="M60">
        <v>4</v>
      </c>
      <c r="N60">
        <v>0</v>
      </c>
      <c r="O60">
        <v>34</v>
      </c>
      <c r="P60">
        <v>0</v>
      </c>
      <c r="Q60">
        <v>8.5</v>
      </c>
      <c r="R60">
        <v>0</v>
      </c>
      <c r="S60">
        <v>0</v>
      </c>
      <c r="T60">
        <v>0</v>
      </c>
      <c r="U60" s="8">
        <v>32</v>
      </c>
      <c r="V60" s="8">
        <f t="shared" si="0"/>
        <v>3</v>
      </c>
    </row>
    <row r="61" spans="1:22" x14ac:dyDescent="0.3">
      <c r="A61" t="s">
        <v>136</v>
      </c>
      <c r="B61">
        <v>1</v>
      </c>
      <c r="C61" t="s">
        <v>94</v>
      </c>
      <c r="D61" t="s">
        <v>120</v>
      </c>
      <c r="E61" t="s">
        <v>258</v>
      </c>
      <c r="F61" t="s">
        <v>91</v>
      </c>
      <c r="G61" t="s">
        <v>134</v>
      </c>
      <c r="H61">
        <v>8</v>
      </c>
      <c r="I61">
        <v>10</v>
      </c>
      <c r="J61">
        <v>80</v>
      </c>
      <c r="K61" t="s">
        <v>246</v>
      </c>
      <c r="L61">
        <v>10</v>
      </c>
      <c r="M61">
        <v>3.5</v>
      </c>
      <c r="N61">
        <v>0</v>
      </c>
      <c r="O61">
        <v>41</v>
      </c>
      <c r="P61">
        <v>1</v>
      </c>
      <c r="Q61">
        <v>10.7</v>
      </c>
      <c r="R61">
        <v>15</v>
      </c>
      <c r="S61">
        <v>0</v>
      </c>
      <c r="T61">
        <v>0</v>
      </c>
      <c r="U61" s="8">
        <v>25</v>
      </c>
      <c r="V61" s="8">
        <f t="shared" si="0"/>
        <v>3</v>
      </c>
    </row>
    <row r="62" spans="1:22" x14ac:dyDescent="0.3">
      <c r="A62" t="s">
        <v>136</v>
      </c>
      <c r="B62">
        <v>1</v>
      </c>
      <c r="C62" t="s">
        <v>97</v>
      </c>
      <c r="D62" t="s">
        <v>122</v>
      </c>
      <c r="E62" t="s">
        <v>258</v>
      </c>
      <c r="F62" t="s">
        <v>109</v>
      </c>
      <c r="G62" t="s">
        <v>134</v>
      </c>
      <c r="H62">
        <v>21</v>
      </c>
      <c r="I62">
        <v>13</v>
      </c>
      <c r="J62">
        <v>161.5</v>
      </c>
      <c r="K62" t="s">
        <v>96</v>
      </c>
      <c r="L62">
        <v>35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s="8">
        <v>35</v>
      </c>
      <c r="V62" s="8">
        <f t="shared" si="0"/>
        <v>4</v>
      </c>
    </row>
    <row r="63" spans="1:22" x14ac:dyDescent="0.3">
      <c r="A63" t="s">
        <v>136</v>
      </c>
      <c r="B63">
        <v>1</v>
      </c>
      <c r="C63" t="s">
        <v>89</v>
      </c>
      <c r="D63" t="s">
        <v>116</v>
      </c>
      <c r="E63" t="s">
        <v>258</v>
      </c>
      <c r="F63" t="s">
        <v>83</v>
      </c>
      <c r="G63" t="s">
        <v>92</v>
      </c>
      <c r="H63">
        <v>46</v>
      </c>
      <c r="I63">
        <v>32</v>
      </c>
      <c r="J63">
        <v>143.80000000000001</v>
      </c>
      <c r="K63" t="s">
        <v>246</v>
      </c>
      <c r="L63">
        <v>55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s="8">
        <v>55</v>
      </c>
      <c r="V63" s="8">
        <f t="shared" si="0"/>
        <v>6</v>
      </c>
    </row>
    <row r="64" spans="1:22" x14ac:dyDescent="0.3">
      <c r="A64" t="s">
        <v>136</v>
      </c>
      <c r="B64">
        <v>1</v>
      </c>
      <c r="C64" t="s">
        <v>102</v>
      </c>
      <c r="D64" t="s">
        <v>126</v>
      </c>
      <c r="E64" t="s">
        <v>258</v>
      </c>
      <c r="F64" t="s">
        <v>91</v>
      </c>
      <c r="G64" t="s">
        <v>135</v>
      </c>
      <c r="H64">
        <v>9</v>
      </c>
      <c r="I64">
        <v>7</v>
      </c>
      <c r="J64">
        <v>128.6</v>
      </c>
      <c r="K64" t="s">
        <v>96</v>
      </c>
      <c r="L64">
        <v>12</v>
      </c>
      <c r="M64">
        <v>2</v>
      </c>
      <c r="N64">
        <v>0</v>
      </c>
      <c r="O64">
        <v>16</v>
      </c>
      <c r="P64">
        <v>0</v>
      </c>
      <c r="Q64">
        <v>8</v>
      </c>
      <c r="R64">
        <v>0</v>
      </c>
      <c r="S64">
        <v>0</v>
      </c>
      <c r="T64">
        <v>0</v>
      </c>
      <c r="U64" s="8">
        <v>12</v>
      </c>
      <c r="V64" s="8">
        <f t="shared" si="0"/>
        <v>1</v>
      </c>
    </row>
    <row r="65" spans="1:22" x14ac:dyDescent="0.3">
      <c r="A65" t="s">
        <v>136</v>
      </c>
      <c r="B65">
        <v>1</v>
      </c>
      <c r="C65" t="s">
        <v>242</v>
      </c>
      <c r="D65" t="s">
        <v>244</v>
      </c>
      <c r="E65" t="s">
        <v>258</v>
      </c>
      <c r="F65" t="s">
        <v>101</v>
      </c>
      <c r="G65" t="s">
        <v>135</v>
      </c>
      <c r="H65">
        <v>0</v>
      </c>
      <c r="I65">
        <v>0</v>
      </c>
      <c r="J65">
        <v>0</v>
      </c>
      <c r="K65" t="s">
        <v>104</v>
      </c>
      <c r="L65">
        <v>0</v>
      </c>
      <c r="M65">
        <v>4</v>
      </c>
      <c r="N65">
        <v>0</v>
      </c>
      <c r="O65">
        <v>36</v>
      </c>
      <c r="P65">
        <v>5</v>
      </c>
      <c r="Q65">
        <v>9</v>
      </c>
      <c r="R65">
        <v>100</v>
      </c>
      <c r="S65">
        <v>0</v>
      </c>
      <c r="T65">
        <v>0</v>
      </c>
      <c r="U65" s="8">
        <v>100</v>
      </c>
      <c r="V65" s="8">
        <f t="shared" si="0"/>
        <v>10</v>
      </c>
    </row>
    <row r="66" spans="1:22" x14ac:dyDescent="0.3">
      <c r="A66" t="s">
        <v>136</v>
      </c>
      <c r="B66">
        <v>1</v>
      </c>
      <c r="C66" t="s">
        <v>110</v>
      </c>
      <c r="D66" t="s">
        <v>132</v>
      </c>
      <c r="E66" t="s">
        <v>258</v>
      </c>
      <c r="F66" t="s">
        <v>101</v>
      </c>
      <c r="G66" t="s">
        <v>135</v>
      </c>
      <c r="H66">
        <v>0</v>
      </c>
      <c r="I66">
        <v>0</v>
      </c>
      <c r="J66">
        <v>0</v>
      </c>
      <c r="K66" t="s">
        <v>104</v>
      </c>
      <c r="L66">
        <v>0</v>
      </c>
      <c r="M66">
        <v>2</v>
      </c>
      <c r="N66">
        <v>0</v>
      </c>
      <c r="O66">
        <v>15</v>
      </c>
      <c r="P66">
        <v>1</v>
      </c>
      <c r="Q66">
        <v>7.5</v>
      </c>
      <c r="R66">
        <v>15</v>
      </c>
      <c r="S66">
        <v>0</v>
      </c>
      <c r="T66">
        <v>0</v>
      </c>
      <c r="U66" s="8">
        <v>15</v>
      </c>
      <c r="V66" s="8">
        <f t="shared" si="0"/>
        <v>2</v>
      </c>
    </row>
    <row r="67" spans="1:22" x14ac:dyDescent="0.3">
      <c r="A67" t="s">
        <v>136</v>
      </c>
      <c r="B67">
        <v>1</v>
      </c>
      <c r="C67" t="s">
        <v>105</v>
      </c>
      <c r="D67" t="s">
        <v>128</v>
      </c>
      <c r="E67" t="s">
        <v>258</v>
      </c>
      <c r="F67" t="s">
        <v>101</v>
      </c>
      <c r="G67" t="s">
        <v>135</v>
      </c>
      <c r="H67">
        <v>0</v>
      </c>
      <c r="I67">
        <v>0</v>
      </c>
      <c r="J67">
        <v>0</v>
      </c>
      <c r="K67" t="s">
        <v>104</v>
      </c>
      <c r="L67">
        <v>0</v>
      </c>
      <c r="M67">
        <v>4</v>
      </c>
      <c r="N67">
        <v>0</v>
      </c>
      <c r="O67">
        <v>29</v>
      </c>
      <c r="P67">
        <v>0</v>
      </c>
      <c r="Q67">
        <v>7.2</v>
      </c>
      <c r="R67">
        <v>0</v>
      </c>
      <c r="S67">
        <v>0</v>
      </c>
      <c r="T67">
        <v>0</v>
      </c>
      <c r="U67" s="8">
        <v>0</v>
      </c>
      <c r="V67" s="8">
        <f t="shared" ref="V67:V130" si="1">MIN(10, MAX(0, ROUND(U67/10,0)))</f>
        <v>0</v>
      </c>
    </row>
    <row r="68" spans="1:22" x14ac:dyDescent="0.3">
      <c r="A68" t="s">
        <v>137</v>
      </c>
      <c r="B68">
        <v>1</v>
      </c>
      <c r="C68" t="s">
        <v>112</v>
      </c>
      <c r="D68" t="s">
        <v>88</v>
      </c>
      <c r="E68" t="s">
        <v>266</v>
      </c>
      <c r="F68" t="s">
        <v>83</v>
      </c>
      <c r="G68" t="s">
        <v>86</v>
      </c>
      <c r="H68">
        <v>77</v>
      </c>
      <c r="I68">
        <v>38</v>
      </c>
      <c r="J68">
        <v>202.63</v>
      </c>
      <c r="K68" t="s">
        <v>96</v>
      </c>
      <c r="L68">
        <v>120</v>
      </c>
      <c r="M68">
        <v>4</v>
      </c>
      <c r="N68">
        <v>0</v>
      </c>
      <c r="O68">
        <v>28</v>
      </c>
      <c r="P68">
        <v>3</v>
      </c>
      <c r="Q68">
        <v>7</v>
      </c>
      <c r="R68">
        <v>60</v>
      </c>
      <c r="S68">
        <v>0</v>
      </c>
      <c r="T68">
        <v>0</v>
      </c>
      <c r="U68" s="8">
        <v>180</v>
      </c>
      <c r="V68" s="8">
        <f t="shared" si="1"/>
        <v>10</v>
      </c>
    </row>
    <row r="69" spans="1:22" x14ac:dyDescent="0.3">
      <c r="A69" t="s">
        <v>137</v>
      </c>
      <c r="B69">
        <v>1</v>
      </c>
      <c r="C69" t="s">
        <v>113</v>
      </c>
      <c r="D69" t="s">
        <v>84</v>
      </c>
      <c r="E69" t="s">
        <v>266</v>
      </c>
      <c r="F69" t="s">
        <v>85</v>
      </c>
      <c r="G69" t="s">
        <v>86</v>
      </c>
      <c r="H69">
        <v>23</v>
      </c>
      <c r="I69">
        <v>19</v>
      </c>
      <c r="J69">
        <v>121.05</v>
      </c>
      <c r="K69" t="s">
        <v>247</v>
      </c>
      <c r="L69">
        <v>20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s="8">
        <v>20</v>
      </c>
      <c r="V69" s="8">
        <f t="shared" si="1"/>
        <v>2</v>
      </c>
    </row>
    <row r="70" spans="1:22" x14ac:dyDescent="0.3">
      <c r="A70" t="s">
        <v>137</v>
      </c>
      <c r="B70">
        <v>1</v>
      </c>
      <c r="C70" t="s">
        <v>117</v>
      </c>
      <c r="D70" t="s">
        <v>90</v>
      </c>
      <c r="E70" t="s">
        <v>266</v>
      </c>
      <c r="F70" t="s">
        <v>91</v>
      </c>
      <c r="G70" t="s">
        <v>92</v>
      </c>
      <c r="H70">
        <v>55</v>
      </c>
      <c r="I70">
        <v>29</v>
      </c>
      <c r="J70">
        <v>189.66</v>
      </c>
      <c r="K70" t="s">
        <v>96</v>
      </c>
      <c r="L70">
        <v>80</v>
      </c>
      <c r="M70">
        <v>3</v>
      </c>
      <c r="N70">
        <v>0</v>
      </c>
      <c r="O70">
        <v>34</v>
      </c>
      <c r="P70">
        <v>1</v>
      </c>
      <c r="Q70">
        <v>11.3</v>
      </c>
      <c r="R70">
        <v>25</v>
      </c>
      <c r="S70">
        <v>0</v>
      </c>
      <c r="T70">
        <v>0</v>
      </c>
      <c r="U70" s="8">
        <v>105</v>
      </c>
      <c r="V70" s="8">
        <f t="shared" si="1"/>
        <v>10</v>
      </c>
    </row>
    <row r="71" spans="1:22" x14ac:dyDescent="0.3">
      <c r="A71" t="s">
        <v>137</v>
      </c>
      <c r="B71">
        <v>1</v>
      </c>
      <c r="C71" t="s">
        <v>115</v>
      </c>
      <c r="D71" t="s">
        <v>17</v>
      </c>
      <c r="E71" t="s">
        <v>266</v>
      </c>
      <c r="F71" t="s">
        <v>83</v>
      </c>
      <c r="G71" t="s">
        <v>134</v>
      </c>
      <c r="H71">
        <v>0</v>
      </c>
      <c r="I71">
        <v>0</v>
      </c>
      <c r="J71">
        <v>0</v>
      </c>
      <c r="K71" t="s">
        <v>104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s="8">
        <v>0</v>
      </c>
      <c r="V71" s="8">
        <f t="shared" si="1"/>
        <v>0</v>
      </c>
    </row>
    <row r="72" spans="1:22" x14ac:dyDescent="0.3">
      <c r="A72" t="s">
        <v>137</v>
      </c>
      <c r="B72">
        <v>1</v>
      </c>
      <c r="C72" t="s">
        <v>119</v>
      </c>
      <c r="D72" t="s">
        <v>95</v>
      </c>
      <c r="E72" t="s">
        <v>266</v>
      </c>
      <c r="F72" t="s">
        <v>91</v>
      </c>
      <c r="G72" t="s">
        <v>135</v>
      </c>
      <c r="H72">
        <v>0</v>
      </c>
      <c r="I72">
        <v>0</v>
      </c>
      <c r="J72">
        <v>0</v>
      </c>
      <c r="K72" t="s">
        <v>104</v>
      </c>
      <c r="L72">
        <v>0</v>
      </c>
      <c r="M72">
        <v>3.4</v>
      </c>
      <c r="N72">
        <v>0</v>
      </c>
      <c r="O72">
        <v>30</v>
      </c>
      <c r="P72">
        <v>2</v>
      </c>
      <c r="Q72">
        <v>8.1999999999999993</v>
      </c>
      <c r="R72">
        <v>40</v>
      </c>
      <c r="S72">
        <v>0</v>
      </c>
      <c r="T72">
        <v>0</v>
      </c>
      <c r="U72" s="8">
        <v>40</v>
      </c>
      <c r="V72" s="8">
        <f t="shared" si="1"/>
        <v>4</v>
      </c>
    </row>
    <row r="73" spans="1:22" x14ac:dyDescent="0.3">
      <c r="A73" t="s">
        <v>137</v>
      </c>
      <c r="B73">
        <v>1</v>
      </c>
      <c r="C73" t="s">
        <v>123</v>
      </c>
      <c r="D73" t="s">
        <v>98</v>
      </c>
      <c r="E73" t="s">
        <v>266</v>
      </c>
      <c r="F73" t="s">
        <v>91</v>
      </c>
      <c r="G73" t="s">
        <v>135</v>
      </c>
      <c r="H73">
        <v>0</v>
      </c>
      <c r="I73">
        <v>0</v>
      </c>
      <c r="J73">
        <v>0</v>
      </c>
      <c r="K73" t="s">
        <v>104</v>
      </c>
      <c r="L73">
        <v>0</v>
      </c>
      <c r="M73">
        <v>1</v>
      </c>
      <c r="N73">
        <v>0</v>
      </c>
      <c r="O73">
        <v>8</v>
      </c>
      <c r="P73">
        <v>1</v>
      </c>
      <c r="Q73">
        <v>8</v>
      </c>
      <c r="R73">
        <v>20</v>
      </c>
      <c r="S73">
        <v>0</v>
      </c>
      <c r="T73">
        <v>0</v>
      </c>
      <c r="U73" s="8">
        <v>20</v>
      </c>
      <c r="V73" s="8">
        <f t="shared" si="1"/>
        <v>2</v>
      </c>
    </row>
    <row r="74" spans="1:22" x14ac:dyDescent="0.3">
      <c r="A74" t="s">
        <v>137</v>
      </c>
      <c r="B74">
        <v>1</v>
      </c>
      <c r="C74" t="s">
        <v>127</v>
      </c>
      <c r="D74" t="s">
        <v>100</v>
      </c>
      <c r="E74" t="s">
        <v>266</v>
      </c>
      <c r="F74" t="s">
        <v>101</v>
      </c>
      <c r="G74" t="s">
        <v>135</v>
      </c>
      <c r="H74">
        <v>0</v>
      </c>
      <c r="I74">
        <v>0</v>
      </c>
      <c r="J74">
        <v>0</v>
      </c>
      <c r="K74" t="s">
        <v>104</v>
      </c>
      <c r="L74">
        <v>0</v>
      </c>
      <c r="M74">
        <v>2</v>
      </c>
      <c r="N74">
        <v>0</v>
      </c>
      <c r="O74">
        <v>18</v>
      </c>
      <c r="P74">
        <v>0</v>
      </c>
      <c r="Q74">
        <v>9</v>
      </c>
      <c r="R74">
        <v>0</v>
      </c>
      <c r="S74">
        <v>0</v>
      </c>
      <c r="T74">
        <v>0</v>
      </c>
      <c r="U74" s="8">
        <v>0</v>
      </c>
      <c r="V74" s="8">
        <f t="shared" si="1"/>
        <v>0</v>
      </c>
    </row>
    <row r="75" spans="1:22" x14ac:dyDescent="0.3">
      <c r="A75" t="s">
        <v>137</v>
      </c>
      <c r="B75">
        <v>1</v>
      </c>
      <c r="C75" t="s">
        <v>121</v>
      </c>
      <c r="D75" t="s">
        <v>108</v>
      </c>
      <c r="E75" t="s">
        <v>266</v>
      </c>
      <c r="F75" t="s">
        <v>109</v>
      </c>
      <c r="G75" t="s">
        <v>135</v>
      </c>
      <c r="H75">
        <v>0</v>
      </c>
      <c r="I75">
        <v>0</v>
      </c>
      <c r="J75">
        <v>0</v>
      </c>
      <c r="K75" t="s">
        <v>104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 s="8">
        <v>5</v>
      </c>
      <c r="V75" s="8">
        <f t="shared" si="1"/>
        <v>1</v>
      </c>
    </row>
    <row r="76" spans="1:22" x14ac:dyDescent="0.3">
      <c r="A76" t="s">
        <v>137</v>
      </c>
      <c r="B76">
        <v>1</v>
      </c>
      <c r="C76" t="s">
        <v>125</v>
      </c>
      <c r="D76" t="s">
        <v>111</v>
      </c>
      <c r="E76" t="s">
        <v>266</v>
      </c>
      <c r="F76" t="s">
        <v>83</v>
      </c>
      <c r="G76" t="s">
        <v>135</v>
      </c>
      <c r="H76">
        <v>0</v>
      </c>
      <c r="I76">
        <v>0</v>
      </c>
      <c r="J76">
        <v>0</v>
      </c>
      <c r="K76" t="s">
        <v>104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 s="8">
        <v>5</v>
      </c>
      <c r="V76" s="8">
        <f t="shared" si="1"/>
        <v>1</v>
      </c>
    </row>
    <row r="77" spans="1:22" x14ac:dyDescent="0.3">
      <c r="A77" t="s">
        <v>137</v>
      </c>
      <c r="B77">
        <v>1</v>
      </c>
      <c r="C77" t="s">
        <v>129</v>
      </c>
      <c r="D77" t="s">
        <v>103</v>
      </c>
      <c r="E77" t="s">
        <v>266</v>
      </c>
      <c r="F77" t="s">
        <v>91</v>
      </c>
      <c r="G77" t="s">
        <v>135</v>
      </c>
      <c r="H77">
        <v>0</v>
      </c>
      <c r="I77">
        <v>0</v>
      </c>
      <c r="J77">
        <v>0</v>
      </c>
      <c r="K77" t="s">
        <v>104</v>
      </c>
      <c r="L77">
        <v>0</v>
      </c>
      <c r="M77">
        <v>1</v>
      </c>
      <c r="N77">
        <v>0</v>
      </c>
      <c r="O77">
        <v>10</v>
      </c>
      <c r="P77">
        <v>0</v>
      </c>
      <c r="Q77">
        <v>10</v>
      </c>
      <c r="R77">
        <v>0</v>
      </c>
      <c r="S77">
        <v>0</v>
      </c>
      <c r="T77">
        <v>0</v>
      </c>
      <c r="U77" s="8">
        <v>0</v>
      </c>
      <c r="V77" s="8">
        <f t="shared" si="1"/>
        <v>0</v>
      </c>
    </row>
    <row r="78" spans="1:22" x14ac:dyDescent="0.3">
      <c r="A78" t="s">
        <v>137</v>
      </c>
      <c r="B78">
        <v>1</v>
      </c>
      <c r="C78" t="s">
        <v>131</v>
      </c>
      <c r="D78" t="s">
        <v>106</v>
      </c>
      <c r="E78" t="s">
        <v>266</v>
      </c>
      <c r="F78" t="s">
        <v>101</v>
      </c>
      <c r="G78" t="s">
        <v>135</v>
      </c>
      <c r="H78">
        <v>0</v>
      </c>
      <c r="I78">
        <v>0</v>
      </c>
      <c r="J78">
        <v>0</v>
      </c>
      <c r="K78" t="s">
        <v>104</v>
      </c>
      <c r="L78">
        <v>0</v>
      </c>
      <c r="M78">
        <v>4</v>
      </c>
      <c r="N78">
        <v>0</v>
      </c>
      <c r="O78">
        <v>26</v>
      </c>
      <c r="P78">
        <v>2</v>
      </c>
      <c r="Q78">
        <v>6.5</v>
      </c>
      <c r="R78">
        <v>45</v>
      </c>
      <c r="S78">
        <v>0</v>
      </c>
      <c r="T78">
        <v>0</v>
      </c>
      <c r="U78" s="8">
        <v>45</v>
      </c>
      <c r="V78" s="8">
        <f t="shared" si="1"/>
        <v>5</v>
      </c>
    </row>
    <row r="79" spans="1:22" x14ac:dyDescent="0.3">
      <c r="A79" t="s">
        <v>137</v>
      </c>
      <c r="B79">
        <v>1</v>
      </c>
      <c r="C79" t="s">
        <v>165</v>
      </c>
      <c r="D79" t="s">
        <v>166</v>
      </c>
      <c r="E79" t="s">
        <v>159</v>
      </c>
      <c r="F79" t="s">
        <v>109</v>
      </c>
      <c r="G79" t="s">
        <v>86</v>
      </c>
      <c r="H79">
        <v>23</v>
      </c>
      <c r="I79">
        <v>17</v>
      </c>
      <c r="J79">
        <v>135.29</v>
      </c>
      <c r="K79" t="s">
        <v>246</v>
      </c>
      <c r="L79">
        <v>35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 s="8">
        <v>35</v>
      </c>
      <c r="V79" s="8">
        <f t="shared" si="1"/>
        <v>4</v>
      </c>
    </row>
    <row r="80" spans="1:22" x14ac:dyDescent="0.3">
      <c r="A80" t="s">
        <v>137</v>
      </c>
      <c r="B80">
        <v>1</v>
      </c>
      <c r="C80" t="s">
        <v>167</v>
      </c>
      <c r="D80" t="s">
        <v>168</v>
      </c>
      <c r="E80" t="s">
        <v>159</v>
      </c>
      <c r="F80" t="s">
        <v>83</v>
      </c>
      <c r="G80" t="s">
        <v>86</v>
      </c>
      <c r="H80">
        <v>16</v>
      </c>
      <c r="I80">
        <v>11</v>
      </c>
      <c r="J80">
        <v>145.44999999999999</v>
      </c>
      <c r="K80" t="s">
        <v>246</v>
      </c>
      <c r="L80">
        <v>25</v>
      </c>
      <c r="M80">
        <v>1</v>
      </c>
      <c r="N80">
        <v>0</v>
      </c>
      <c r="O80">
        <v>11</v>
      </c>
      <c r="P80">
        <v>0</v>
      </c>
      <c r="Q80">
        <v>11</v>
      </c>
      <c r="R80">
        <v>0</v>
      </c>
      <c r="S80">
        <v>0</v>
      </c>
      <c r="T80">
        <v>0</v>
      </c>
      <c r="U80" s="8">
        <v>25</v>
      </c>
      <c r="V80" s="8">
        <f t="shared" si="1"/>
        <v>3</v>
      </c>
    </row>
    <row r="81" spans="1:22" x14ac:dyDescent="0.3">
      <c r="A81" t="s">
        <v>137</v>
      </c>
      <c r="B81">
        <v>1</v>
      </c>
      <c r="C81" t="s">
        <v>174</v>
      </c>
      <c r="D81" t="s">
        <v>175</v>
      </c>
      <c r="E81" t="s">
        <v>159</v>
      </c>
      <c r="F81" t="s">
        <v>83</v>
      </c>
      <c r="G81" t="s">
        <v>134</v>
      </c>
      <c r="H81">
        <v>13</v>
      </c>
      <c r="I81">
        <v>7</v>
      </c>
      <c r="J81">
        <v>185.71</v>
      </c>
      <c r="K81" t="s">
        <v>256</v>
      </c>
      <c r="L81">
        <v>22</v>
      </c>
      <c r="M81">
        <v>1.2</v>
      </c>
      <c r="N81">
        <v>0</v>
      </c>
      <c r="O81">
        <v>18</v>
      </c>
      <c r="P81">
        <v>0</v>
      </c>
      <c r="Q81">
        <v>13.5</v>
      </c>
      <c r="R81">
        <v>0</v>
      </c>
      <c r="S81">
        <v>0</v>
      </c>
      <c r="T81">
        <v>0</v>
      </c>
      <c r="U81" s="8">
        <v>22</v>
      </c>
      <c r="V81" s="8">
        <f t="shared" si="1"/>
        <v>2</v>
      </c>
    </row>
    <row r="82" spans="1:22" x14ac:dyDescent="0.3">
      <c r="A82" t="s">
        <v>137</v>
      </c>
      <c r="B82">
        <v>1</v>
      </c>
      <c r="C82" t="s">
        <v>172</v>
      </c>
      <c r="D82" t="s">
        <v>173</v>
      </c>
      <c r="E82" t="s">
        <v>159</v>
      </c>
      <c r="F82" t="s">
        <v>109</v>
      </c>
      <c r="G82" t="s">
        <v>134</v>
      </c>
      <c r="H82">
        <v>0</v>
      </c>
      <c r="I82">
        <v>2</v>
      </c>
      <c r="J82">
        <v>0</v>
      </c>
      <c r="K82" t="s">
        <v>245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s="8">
        <v>0</v>
      </c>
      <c r="V82" s="8">
        <f t="shared" si="1"/>
        <v>0</v>
      </c>
    </row>
    <row r="83" spans="1:22" x14ac:dyDescent="0.3">
      <c r="A83" t="s">
        <v>137</v>
      </c>
      <c r="B83">
        <v>1</v>
      </c>
      <c r="C83" t="s">
        <v>170</v>
      </c>
      <c r="D83" t="s">
        <v>171</v>
      </c>
      <c r="E83" t="s">
        <v>159</v>
      </c>
      <c r="F83" t="s">
        <v>83</v>
      </c>
      <c r="G83" t="s">
        <v>134</v>
      </c>
      <c r="H83">
        <v>0</v>
      </c>
      <c r="I83">
        <v>1</v>
      </c>
      <c r="J83">
        <v>0</v>
      </c>
      <c r="K83" t="s">
        <v>245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s="8">
        <v>0</v>
      </c>
      <c r="V83" s="8">
        <f t="shared" si="1"/>
        <v>0</v>
      </c>
    </row>
    <row r="84" spans="1:22" x14ac:dyDescent="0.3">
      <c r="A84" t="s">
        <v>137</v>
      </c>
      <c r="B84">
        <v>1</v>
      </c>
      <c r="C84" t="s">
        <v>176</v>
      </c>
      <c r="D84" t="s">
        <v>177</v>
      </c>
      <c r="E84" t="s">
        <v>159</v>
      </c>
      <c r="F84" t="s">
        <v>85</v>
      </c>
      <c r="G84" t="s">
        <v>134</v>
      </c>
      <c r="H84">
        <v>28</v>
      </c>
      <c r="I84">
        <v>26</v>
      </c>
      <c r="J84">
        <v>107.69</v>
      </c>
      <c r="K84" t="s">
        <v>246</v>
      </c>
      <c r="L84">
        <v>40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s="8">
        <v>40</v>
      </c>
      <c r="V84" s="8">
        <f t="shared" si="1"/>
        <v>4</v>
      </c>
    </row>
    <row r="85" spans="1:22" x14ac:dyDescent="0.3">
      <c r="A85" t="s">
        <v>137</v>
      </c>
      <c r="B85">
        <v>1</v>
      </c>
      <c r="C85" t="s">
        <v>178</v>
      </c>
      <c r="D85" t="s">
        <v>179</v>
      </c>
      <c r="E85" t="s">
        <v>159</v>
      </c>
      <c r="F85" t="s">
        <v>83</v>
      </c>
      <c r="G85" t="s">
        <v>135</v>
      </c>
      <c r="H85">
        <v>22</v>
      </c>
      <c r="I85">
        <v>13</v>
      </c>
      <c r="J85">
        <v>169.23</v>
      </c>
      <c r="K85" t="s">
        <v>246</v>
      </c>
      <c r="L85">
        <v>35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s="8">
        <v>35</v>
      </c>
      <c r="V85" s="8">
        <f t="shared" si="1"/>
        <v>4</v>
      </c>
    </row>
    <row r="86" spans="1:22" x14ac:dyDescent="0.3">
      <c r="A86" t="s">
        <v>137</v>
      </c>
      <c r="B86">
        <v>1</v>
      </c>
      <c r="C86" t="s">
        <v>259</v>
      </c>
      <c r="D86" t="s">
        <v>257</v>
      </c>
      <c r="E86" t="s">
        <v>159</v>
      </c>
      <c r="F86" t="s">
        <v>101</v>
      </c>
      <c r="G86" t="s">
        <v>135</v>
      </c>
      <c r="H86">
        <v>23</v>
      </c>
      <c r="I86">
        <v>15</v>
      </c>
      <c r="J86">
        <v>153.33000000000001</v>
      </c>
      <c r="K86" t="s">
        <v>247</v>
      </c>
      <c r="L86">
        <v>38</v>
      </c>
      <c r="M86">
        <v>2</v>
      </c>
      <c r="N86">
        <v>0</v>
      </c>
      <c r="O86">
        <v>32</v>
      </c>
      <c r="P86">
        <v>0</v>
      </c>
      <c r="Q86">
        <v>16</v>
      </c>
      <c r="R86">
        <v>0</v>
      </c>
      <c r="S86">
        <v>0</v>
      </c>
      <c r="T86">
        <v>0</v>
      </c>
      <c r="U86" s="8">
        <v>38</v>
      </c>
      <c r="V86" s="8">
        <f t="shared" si="1"/>
        <v>4</v>
      </c>
    </row>
    <row r="87" spans="1:22" x14ac:dyDescent="0.3">
      <c r="A87" t="s">
        <v>137</v>
      </c>
      <c r="B87">
        <v>1</v>
      </c>
      <c r="C87" t="s">
        <v>184</v>
      </c>
      <c r="D87" t="s">
        <v>185</v>
      </c>
      <c r="E87" t="s">
        <v>159</v>
      </c>
      <c r="F87" t="s">
        <v>101</v>
      </c>
      <c r="G87" t="s">
        <v>135</v>
      </c>
      <c r="H87">
        <v>20</v>
      </c>
      <c r="I87">
        <v>14</v>
      </c>
      <c r="J87">
        <v>142.86000000000001</v>
      </c>
      <c r="K87" t="s">
        <v>248</v>
      </c>
      <c r="L87">
        <v>30</v>
      </c>
      <c r="M87">
        <v>3</v>
      </c>
      <c r="N87">
        <v>0</v>
      </c>
      <c r="O87">
        <v>32</v>
      </c>
      <c r="P87">
        <v>0</v>
      </c>
      <c r="Q87">
        <v>10.7</v>
      </c>
      <c r="R87">
        <v>0</v>
      </c>
      <c r="S87">
        <v>0</v>
      </c>
      <c r="T87">
        <v>0</v>
      </c>
      <c r="U87" s="8">
        <v>30</v>
      </c>
      <c r="V87" s="8">
        <f t="shared" si="1"/>
        <v>3</v>
      </c>
    </row>
    <row r="88" spans="1:22" x14ac:dyDescent="0.3">
      <c r="A88" t="s">
        <v>137</v>
      </c>
      <c r="B88">
        <v>1</v>
      </c>
      <c r="C88" t="s">
        <v>186</v>
      </c>
      <c r="D88" t="s">
        <v>187</v>
      </c>
      <c r="E88" t="s">
        <v>159</v>
      </c>
      <c r="F88" t="s">
        <v>101</v>
      </c>
      <c r="G88" t="s">
        <v>135</v>
      </c>
      <c r="H88">
        <v>2</v>
      </c>
      <c r="I88">
        <v>5</v>
      </c>
      <c r="J88">
        <v>40</v>
      </c>
      <c r="K88" t="s">
        <v>245</v>
      </c>
      <c r="L88">
        <v>5</v>
      </c>
      <c r="M88">
        <v>3</v>
      </c>
      <c r="N88">
        <v>0</v>
      </c>
      <c r="O88">
        <v>28</v>
      </c>
      <c r="P88">
        <v>0</v>
      </c>
      <c r="Q88">
        <v>9.3000000000000007</v>
      </c>
      <c r="R88">
        <v>0</v>
      </c>
      <c r="S88">
        <v>0</v>
      </c>
      <c r="T88">
        <v>0</v>
      </c>
      <c r="U88" s="8">
        <v>5</v>
      </c>
      <c r="V88" s="8">
        <f t="shared" si="1"/>
        <v>1</v>
      </c>
    </row>
    <row r="89" spans="1:22" x14ac:dyDescent="0.3">
      <c r="A89" t="s">
        <v>137</v>
      </c>
      <c r="B89">
        <v>1</v>
      </c>
      <c r="C89" t="s">
        <v>182</v>
      </c>
      <c r="D89" t="s">
        <v>183</v>
      </c>
      <c r="E89" t="s">
        <v>159</v>
      </c>
      <c r="F89" t="s">
        <v>101</v>
      </c>
      <c r="G89" t="s">
        <v>135</v>
      </c>
      <c r="H89">
        <v>1</v>
      </c>
      <c r="I89">
        <v>1</v>
      </c>
      <c r="J89">
        <v>100</v>
      </c>
      <c r="K89" t="s">
        <v>96</v>
      </c>
      <c r="L89">
        <v>5</v>
      </c>
      <c r="M89">
        <v>4</v>
      </c>
      <c r="N89">
        <v>0</v>
      </c>
      <c r="O89">
        <v>34</v>
      </c>
      <c r="P89">
        <v>1</v>
      </c>
      <c r="Q89">
        <v>8.5</v>
      </c>
      <c r="R89">
        <v>20</v>
      </c>
      <c r="S89">
        <v>0</v>
      </c>
      <c r="T89">
        <v>0</v>
      </c>
      <c r="U89" s="8">
        <v>25</v>
      </c>
      <c r="V89" s="8">
        <f t="shared" si="1"/>
        <v>3</v>
      </c>
    </row>
    <row r="90" spans="1:22" x14ac:dyDescent="0.3">
      <c r="A90" t="s">
        <v>138</v>
      </c>
      <c r="B90">
        <v>1</v>
      </c>
      <c r="C90" t="s">
        <v>190</v>
      </c>
      <c r="D90" t="s">
        <v>191</v>
      </c>
      <c r="E90" t="s">
        <v>158</v>
      </c>
      <c r="F90" t="s">
        <v>109</v>
      </c>
      <c r="G90" t="s">
        <v>86</v>
      </c>
      <c r="H90">
        <v>70</v>
      </c>
      <c r="I90">
        <v>42</v>
      </c>
      <c r="J90">
        <v>166.67</v>
      </c>
      <c r="K90" t="s">
        <v>245</v>
      </c>
      <c r="L90">
        <v>116.67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 s="8">
        <v>116.67</v>
      </c>
      <c r="V90" s="8">
        <f t="shared" si="1"/>
        <v>10</v>
      </c>
    </row>
    <row r="91" spans="1:22" x14ac:dyDescent="0.3">
      <c r="A91" t="s">
        <v>138</v>
      </c>
      <c r="B91">
        <v>1</v>
      </c>
      <c r="C91" t="s">
        <v>188</v>
      </c>
      <c r="D91" t="s">
        <v>189</v>
      </c>
      <c r="E91" t="s">
        <v>158</v>
      </c>
      <c r="F91" t="s">
        <v>83</v>
      </c>
      <c r="G91" t="s">
        <v>86</v>
      </c>
      <c r="H91">
        <v>17</v>
      </c>
      <c r="I91">
        <v>14</v>
      </c>
      <c r="J91">
        <v>121.43</v>
      </c>
      <c r="K91" t="s">
        <v>246</v>
      </c>
      <c r="L91">
        <v>20.71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 s="8">
        <v>20.71</v>
      </c>
      <c r="V91" s="8">
        <f t="shared" si="1"/>
        <v>2</v>
      </c>
    </row>
    <row r="92" spans="1:22" x14ac:dyDescent="0.3">
      <c r="A92" t="s">
        <v>138</v>
      </c>
      <c r="B92">
        <v>1</v>
      </c>
      <c r="C92" t="s">
        <v>192</v>
      </c>
      <c r="D92" t="s">
        <v>193</v>
      </c>
      <c r="E92" t="s">
        <v>158</v>
      </c>
      <c r="F92" t="s">
        <v>169</v>
      </c>
      <c r="G92" t="s">
        <v>92</v>
      </c>
      <c r="H92">
        <v>16</v>
      </c>
      <c r="I92">
        <v>12</v>
      </c>
      <c r="J92">
        <v>133.33000000000001</v>
      </c>
      <c r="K92" t="s">
        <v>246</v>
      </c>
      <c r="L92">
        <v>21.33</v>
      </c>
      <c r="M92">
        <v>4</v>
      </c>
      <c r="N92">
        <v>1</v>
      </c>
      <c r="O92">
        <v>29</v>
      </c>
      <c r="P92">
        <v>1</v>
      </c>
      <c r="Q92">
        <v>7.25</v>
      </c>
      <c r="R92">
        <v>20</v>
      </c>
      <c r="S92">
        <v>0</v>
      </c>
      <c r="T92">
        <v>0</v>
      </c>
      <c r="U92" s="8">
        <v>41.33</v>
      </c>
      <c r="V92" s="8">
        <f t="shared" si="1"/>
        <v>4</v>
      </c>
    </row>
    <row r="93" spans="1:22" x14ac:dyDescent="0.3">
      <c r="A93" t="s">
        <v>138</v>
      </c>
      <c r="B93">
        <v>1</v>
      </c>
      <c r="C93" t="s">
        <v>194</v>
      </c>
      <c r="D93" t="s">
        <v>195</v>
      </c>
      <c r="E93" t="s">
        <v>158</v>
      </c>
      <c r="F93" t="s">
        <v>109</v>
      </c>
      <c r="G93" t="s">
        <v>92</v>
      </c>
      <c r="H93">
        <v>34</v>
      </c>
      <c r="I93">
        <v>22</v>
      </c>
      <c r="J93">
        <v>154.55000000000001</v>
      </c>
      <c r="K93" t="s">
        <v>96</v>
      </c>
      <c r="L93">
        <v>52.55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 s="8">
        <v>52.55</v>
      </c>
      <c r="V93" s="8">
        <f t="shared" si="1"/>
        <v>5</v>
      </c>
    </row>
    <row r="94" spans="1:22" x14ac:dyDescent="0.3">
      <c r="A94" t="s">
        <v>138</v>
      </c>
      <c r="B94">
        <v>1</v>
      </c>
      <c r="C94" t="s">
        <v>196</v>
      </c>
      <c r="D94" t="s">
        <v>197</v>
      </c>
      <c r="E94" t="s">
        <v>158</v>
      </c>
      <c r="F94" t="s">
        <v>83</v>
      </c>
      <c r="G94" t="s">
        <v>134</v>
      </c>
      <c r="H94">
        <v>21</v>
      </c>
      <c r="I94">
        <v>10</v>
      </c>
      <c r="J94">
        <v>210</v>
      </c>
      <c r="K94" t="s">
        <v>246</v>
      </c>
      <c r="L94">
        <v>44.1</v>
      </c>
      <c r="M94">
        <v>4</v>
      </c>
      <c r="N94">
        <v>0</v>
      </c>
      <c r="O94">
        <v>25</v>
      </c>
      <c r="P94">
        <v>0</v>
      </c>
      <c r="Q94">
        <v>6.25</v>
      </c>
      <c r="R94">
        <v>0</v>
      </c>
      <c r="S94">
        <v>0</v>
      </c>
      <c r="T94">
        <v>0</v>
      </c>
      <c r="U94" s="8">
        <v>44.1</v>
      </c>
      <c r="V94" s="8">
        <f t="shared" si="1"/>
        <v>4</v>
      </c>
    </row>
    <row r="95" spans="1:22" x14ac:dyDescent="0.3">
      <c r="A95" t="s">
        <v>138</v>
      </c>
      <c r="B95">
        <v>1</v>
      </c>
      <c r="C95" t="s">
        <v>198</v>
      </c>
      <c r="D95" t="s">
        <v>199</v>
      </c>
      <c r="E95" t="s">
        <v>158</v>
      </c>
      <c r="F95" t="s">
        <v>101</v>
      </c>
      <c r="G95" t="s">
        <v>134</v>
      </c>
      <c r="H95">
        <v>42</v>
      </c>
      <c r="I95">
        <v>20</v>
      </c>
      <c r="J95">
        <v>210</v>
      </c>
      <c r="K95" t="s">
        <v>96</v>
      </c>
      <c r="L95">
        <v>88.2</v>
      </c>
      <c r="M95">
        <v>4</v>
      </c>
      <c r="N95">
        <v>0</v>
      </c>
      <c r="O95">
        <v>43</v>
      </c>
      <c r="P95">
        <v>3</v>
      </c>
      <c r="Q95">
        <v>10.75</v>
      </c>
      <c r="R95">
        <v>60</v>
      </c>
      <c r="S95">
        <v>0</v>
      </c>
      <c r="T95">
        <v>0</v>
      </c>
      <c r="U95" s="8">
        <v>148.19999999999999</v>
      </c>
      <c r="V95" s="8">
        <f t="shared" si="1"/>
        <v>10</v>
      </c>
    </row>
    <row r="96" spans="1:22" x14ac:dyDescent="0.3">
      <c r="A96" t="s">
        <v>138</v>
      </c>
      <c r="B96">
        <v>1</v>
      </c>
      <c r="C96" t="s">
        <v>208</v>
      </c>
      <c r="D96" t="s">
        <v>160</v>
      </c>
      <c r="E96" t="s">
        <v>158</v>
      </c>
      <c r="F96" t="s">
        <v>101</v>
      </c>
      <c r="G96" t="s">
        <v>135</v>
      </c>
      <c r="H96">
        <v>0</v>
      </c>
      <c r="I96">
        <v>0</v>
      </c>
      <c r="J96">
        <v>0</v>
      </c>
      <c r="K96" t="s">
        <v>104</v>
      </c>
      <c r="L96">
        <v>0</v>
      </c>
      <c r="M96">
        <v>2</v>
      </c>
      <c r="N96">
        <v>0</v>
      </c>
      <c r="O96">
        <v>25</v>
      </c>
      <c r="P96">
        <v>0</v>
      </c>
      <c r="Q96">
        <v>12.5</v>
      </c>
      <c r="R96">
        <v>0</v>
      </c>
      <c r="S96">
        <v>0</v>
      </c>
      <c r="T96">
        <v>0</v>
      </c>
      <c r="U96" s="8">
        <v>0</v>
      </c>
      <c r="V96" s="8">
        <f t="shared" si="1"/>
        <v>0</v>
      </c>
    </row>
    <row r="97" spans="1:22" x14ac:dyDescent="0.3">
      <c r="A97" t="s">
        <v>138</v>
      </c>
      <c r="B97">
        <v>1</v>
      </c>
      <c r="C97" t="s">
        <v>202</v>
      </c>
      <c r="D97" t="s">
        <v>203</v>
      </c>
      <c r="E97" t="s">
        <v>158</v>
      </c>
      <c r="F97" t="s">
        <v>101</v>
      </c>
      <c r="G97" t="s">
        <v>135</v>
      </c>
      <c r="H97">
        <v>0</v>
      </c>
      <c r="I97">
        <v>0</v>
      </c>
      <c r="J97">
        <v>0</v>
      </c>
      <c r="K97" t="s">
        <v>104</v>
      </c>
      <c r="L97">
        <v>0</v>
      </c>
      <c r="M97">
        <v>1</v>
      </c>
      <c r="N97">
        <v>0</v>
      </c>
      <c r="O97">
        <v>14</v>
      </c>
      <c r="P97">
        <v>0</v>
      </c>
      <c r="Q97">
        <v>14</v>
      </c>
      <c r="R97">
        <v>0</v>
      </c>
      <c r="S97">
        <v>0</v>
      </c>
      <c r="T97">
        <v>0</v>
      </c>
      <c r="U97" s="8">
        <v>0</v>
      </c>
      <c r="V97" s="8">
        <f t="shared" si="1"/>
        <v>0</v>
      </c>
    </row>
    <row r="98" spans="1:22" x14ac:dyDescent="0.3">
      <c r="A98" t="s">
        <v>138</v>
      </c>
      <c r="B98">
        <v>1</v>
      </c>
      <c r="C98" t="s">
        <v>204</v>
      </c>
      <c r="D98" t="s">
        <v>205</v>
      </c>
      <c r="E98" t="s">
        <v>158</v>
      </c>
      <c r="F98" t="s">
        <v>91</v>
      </c>
      <c r="G98" t="s">
        <v>135</v>
      </c>
      <c r="H98">
        <v>0</v>
      </c>
      <c r="I98">
        <v>0</v>
      </c>
      <c r="J98">
        <v>0</v>
      </c>
      <c r="K98" t="s">
        <v>104</v>
      </c>
      <c r="L98">
        <v>0</v>
      </c>
      <c r="M98">
        <v>4</v>
      </c>
      <c r="N98">
        <v>0</v>
      </c>
      <c r="O98">
        <v>18</v>
      </c>
      <c r="P98">
        <v>1</v>
      </c>
      <c r="Q98">
        <v>4.5</v>
      </c>
      <c r="R98">
        <v>25</v>
      </c>
      <c r="S98">
        <v>0</v>
      </c>
      <c r="T98">
        <v>0</v>
      </c>
      <c r="U98" s="8">
        <v>25</v>
      </c>
      <c r="V98" s="8">
        <f t="shared" si="1"/>
        <v>3</v>
      </c>
    </row>
    <row r="99" spans="1:22" x14ac:dyDescent="0.3">
      <c r="A99" t="s">
        <v>138</v>
      </c>
      <c r="B99">
        <v>1</v>
      </c>
      <c r="C99" t="s">
        <v>206</v>
      </c>
      <c r="D99" t="s">
        <v>207</v>
      </c>
      <c r="E99" t="s">
        <v>158</v>
      </c>
      <c r="F99" t="s">
        <v>101</v>
      </c>
      <c r="G99" t="s">
        <v>135</v>
      </c>
      <c r="H99">
        <v>0</v>
      </c>
      <c r="I99">
        <v>0</v>
      </c>
      <c r="J99">
        <v>0</v>
      </c>
      <c r="K99" t="s">
        <v>104</v>
      </c>
      <c r="L99">
        <v>0</v>
      </c>
      <c r="M99">
        <v>1</v>
      </c>
      <c r="N99">
        <v>0</v>
      </c>
      <c r="O99">
        <v>11</v>
      </c>
      <c r="P99">
        <v>0</v>
      </c>
      <c r="Q99">
        <v>11</v>
      </c>
      <c r="R99">
        <v>0</v>
      </c>
      <c r="S99">
        <v>0</v>
      </c>
      <c r="T99">
        <v>0</v>
      </c>
      <c r="U99" s="8">
        <v>0</v>
      </c>
      <c r="V99" s="8">
        <f t="shared" si="1"/>
        <v>0</v>
      </c>
    </row>
    <row r="100" spans="1:22" x14ac:dyDescent="0.3">
      <c r="A100" t="s">
        <v>138</v>
      </c>
      <c r="B100">
        <v>1</v>
      </c>
      <c r="C100" t="s">
        <v>200</v>
      </c>
      <c r="D100" t="s">
        <v>201</v>
      </c>
      <c r="E100" t="s">
        <v>158</v>
      </c>
      <c r="F100" t="s">
        <v>85</v>
      </c>
      <c r="G100" t="s">
        <v>135</v>
      </c>
      <c r="H100">
        <v>0</v>
      </c>
      <c r="I100">
        <v>0</v>
      </c>
      <c r="J100">
        <v>0</v>
      </c>
      <c r="K100" t="s">
        <v>104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 s="8">
        <v>0</v>
      </c>
      <c r="V100" s="8">
        <f t="shared" si="1"/>
        <v>0</v>
      </c>
    </row>
    <row r="101" spans="1:22" x14ac:dyDescent="0.3">
      <c r="A101" t="s">
        <v>138</v>
      </c>
      <c r="B101">
        <v>1</v>
      </c>
      <c r="C101" t="s">
        <v>217</v>
      </c>
      <c r="D101" t="s">
        <v>218</v>
      </c>
      <c r="E101" t="s">
        <v>219</v>
      </c>
      <c r="F101" t="s">
        <v>85</v>
      </c>
      <c r="G101" t="s">
        <v>86</v>
      </c>
      <c r="H101">
        <v>24</v>
      </c>
      <c r="I101">
        <v>17</v>
      </c>
      <c r="J101">
        <v>141.18</v>
      </c>
      <c r="K101" t="s">
        <v>246</v>
      </c>
      <c r="L101">
        <v>33.880000000000003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 s="8">
        <v>33.880000000000003</v>
      </c>
      <c r="V101" s="8">
        <f t="shared" si="1"/>
        <v>3</v>
      </c>
    </row>
    <row r="102" spans="1:22" x14ac:dyDescent="0.3">
      <c r="A102" t="s">
        <v>138</v>
      </c>
      <c r="B102">
        <v>1</v>
      </c>
      <c r="C102" t="s">
        <v>220</v>
      </c>
      <c r="D102" t="s">
        <v>221</v>
      </c>
      <c r="E102" t="s">
        <v>219</v>
      </c>
      <c r="F102" t="s">
        <v>109</v>
      </c>
      <c r="G102" t="s">
        <v>86</v>
      </c>
      <c r="H102">
        <v>1</v>
      </c>
      <c r="I102">
        <v>6</v>
      </c>
      <c r="J102">
        <v>16.670000000000002</v>
      </c>
      <c r="K102" t="s">
        <v>246</v>
      </c>
      <c r="L102">
        <v>0.17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 s="8">
        <v>0.17</v>
      </c>
      <c r="V102" s="8">
        <f t="shared" si="1"/>
        <v>0</v>
      </c>
    </row>
    <row r="103" spans="1:22" x14ac:dyDescent="0.3">
      <c r="A103" t="s">
        <v>138</v>
      </c>
      <c r="B103">
        <v>1</v>
      </c>
      <c r="C103" t="s">
        <v>229</v>
      </c>
      <c r="D103" t="s">
        <v>230</v>
      </c>
      <c r="E103" t="s">
        <v>219</v>
      </c>
      <c r="F103" t="s">
        <v>109</v>
      </c>
      <c r="G103" t="s">
        <v>92</v>
      </c>
      <c r="H103">
        <v>2</v>
      </c>
      <c r="I103">
        <v>2</v>
      </c>
      <c r="J103">
        <v>100</v>
      </c>
      <c r="K103" t="s">
        <v>246</v>
      </c>
      <c r="L103">
        <v>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 s="8">
        <v>2</v>
      </c>
      <c r="V103" s="8">
        <f t="shared" si="1"/>
        <v>0</v>
      </c>
    </row>
    <row r="104" spans="1:22" x14ac:dyDescent="0.3">
      <c r="A104" t="s">
        <v>138</v>
      </c>
      <c r="B104">
        <v>1</v>
      </c>
      <c r="C104" t="s">
        <v>222</v>
      </c>
      <c r="D104" t="s">
        <v>223</v>
      </c>
      <c r="E104" t="s">
        <v>219</v>
      </c>
      <c r="F104" t="s">
        <v>169</v>
      </c>
      <c r="G104" t="s">
        <v>92</v>
      </c>
      <c r="H104">
        <v>90</v>
      </c>
      <c r="I104">
        <v>50</v>
      </c>
      <c r="J104">
        <v>180</v>
      </c>
      <c r="K104" t="s">
        <v>96</v>
      </c>
      <c r="L104">
        <v>162</v>
      </c>
      <c r="M104">
        <v>3</v>
      </c>
      <c r="N104">
        <v>0</v>
      </c>
      <c r="O104">
        <v>37</v>
      </c>
      <c r="P104">
        <v>1</v>
      </c>
      <c r="Q104">
        <v>12.3</v>
      </c>
      <c r="R104">
        <v>20</v>
      </c>
      <c r="S104">
        <v>0</v>
      </c>
      <c r="T104">
        <v>0</v>
      </c>
      <c r="U104" s="8">
        <v>182</v>
      </c>
      <c r="V104" s="8">
        <f t="shared" si="1"/>
        <v>10</v>
      </c>
    </row>
    <row r="105" spans="1:22" x14ac:dyDescent="0.3">
      <c r="A105" t="s">
        <v>138</v>
      </c>
      <c r="B105">
        <v>1</v>
      </c>
      <c r="C105" t="s">
        <v>224</v>
      </c>
      <c r="D105" t="s">
        <v>225</v>
      </c>
      <c r="E105" t="s">
        <v>219</v>
      </c>
      <c r="F105" t="s">
        <v>83</v>
      </c>
      <c r="G105" t="s">
        <v>134</v>
      </c>
      <c r="H105">
        <v>12</v>
      </c>
      <c r="I105">
        <v>20</v>
      </c>
      <c r="J105">
        <v>60</v>
      </c>
      <c r="K105" t="s">
        <v>246</v>
      </c>
      <c r="L105">
        <v>7.2</v>
      </c>
      <c r="M105">
        <v>4</v>
      </c>
      <c r="N105">
        <v>0</v>
      </c>
      <c r="O105">
        <v>40</v>
      </c>
      <c r="P105">
        <v>0</v>
      </c>
      <c r="Q105">
        <v>10</v>
      </c>
      <c r="R105">
        <v>0</v>
      </c>
      <c r="S105">
        <v>0</v>
      </c>
      <c r="T105">
        <v>0</v>
      </c>
      <c r="U105" s="8">
        <v>7.2</v>
      </c>
      <c r="V105" s="8">
        <f t="shared" si="1"/>
        <v>1</v>
      </c>
    </row>
    <row r="106" spans="1:22" x14ac:dyDescent="0.3">
      <c r="A106" t="s">
        <v>138</v>
      </c>
      <c r="B106">
        <v>1</v>
      </c>
      <c r="C106" t="s">
        <v>231</v>
      </c>
      <c r="D106" t="s">
        <v>232</v>
      </c>
      <c r="E106" t="s">
        <v>219</v>
      </c>
      <c r="F106" t="s">
        <v>83</v>
      </c>
      <c r="G106" t="s">
        <v>134</v>
      </c>
      <c r="H106">
        <v>23</v>
      </c>
      <c r="I106">
        <v>21</v>
      </c>
      <c r="J106">
        <v>109.52</v>
      </c>
      <c r="K106" t="s">
        <v>246</v>
      </c>
      <c r="L106">
        <v>25.19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 s="8">
        <v>25.19</v>
      </c>
      <c r="V106" s="8">
        <f t="shared" si="1"/>
        <v>3</v>
      </c>
    </row>
    <row r="107" spans="1:22" x14ac:dyDescent="0.3">
      <c r="A107" t="s">
        <v>138</v>
      </c>
      <c r="B107">
        <v>1</v>
      </c>
      <c r="C107" t="s">
        <v>227</v>
      </c>
      <c r="D107" t="s">
        <v>228</v>
      </c>
      <c r="E107" t="s">
        <v>219</v>
      </c>
      <c r="F107" t="s">
        <v>109</v>
      </c>
      <c r="G107" t="s">
        <v>134</v>
      </c>
      <c r="H107">
        <v>6</v>
      </c>
      <c r="I107">
        <v>4</v>
      </c>
      <c r="J107">
        <v>150</v>
      </c>
      <c r="K107" t="s">
        <v>96</v>
      </c>
      <c r="L107">
        <v>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 s="8">
        <v>9</v>
      </c>
      <c r="V107" s="8">
        <f t="shared" si="1"/>
        <v>1</v>
      </c>
    </row>
    <row r="108" spans="1:22" x14ac:dyDescent="0.3">
      <c r="A108" t="s">
        <v>138</v>
      </c>
      <c r="B108">
        <v>1</v>
      </c>
      <c r="C108" t="s">
        <v>233</v>
      </c>
      <c r="D108" t="s">
        <v>234</v>
      </c>
      <c r="E108" t="s">
        <v>219</v>
      </c>
      <c r="F108" t="s">
        <v>101</v>
      </c>
      <c r="G108" t="s">
        <v>135</v>
      </c>
      <c r="H108">
        <v>0</v>
      </c>
      <c r="I108">
        <v>0</v>
      </c>
      <c r="J108">
        <v>0</v>
      </c>
      <c r="K108" t="s">
        <v>104</v>
      </c>
      <c r="L108">
        <v>0</v>
      </c>
      <c r="M108">
        <v>4</v>
      </c>
      <c r="N108">
        <v>0</v>
      </c>
      <c r="O108">
        <v>41</v>
      </c>
      <c r="P108">
        <v>1</v>
      </c>
      <c r="Q108">
        <v>10.25</v>
      </c>
      <c r="R108">
        <v>20</v>
      </c>
      <c r="S108">
        <v>0</v>
      </c>
      <c r="T108">
        <v>0</v>
      </c>
      <c r="U108" s="8">
        <v>20</v>
      </c>
      <c r="V108" s="8">
        <f t="shared" si="1"/>
        <v>2</v>
      </c>
    </row>
    <row r="109" spans="1:22" x14ac:dyDescent="0.3">
      <c r="A109" t="s">
        <v>138</v>
      </c>
      <c r="B109">
        <v>1</v>
      </c>
      <c r="C109" t="s">
        <v>265</v>
      </c>
      <c r="D109" t="s">
        <v>264</v>
      </c>
      <c r="E109" t="s">
        <v>219</v>
      </c>
      <c r="F109" t="s">
        <v>101</v>
      </c>
      <c r="G109" t="s">
        <v>135</v>
      </c>
      <c r="H109">
        <v>0</v>
      </c>
      <c r="I109">
        <v>0</v>
      </c>
      <c r="J109">
        <v>0</v>
      </c>
      <c r="K109" t="s">
        <v>104</v>
      </c>
      <c r="L109">
        <v>0</v>
      </c>
      <c r="M109">
        <v>4</v>
      </c>
      <c r="N109">
        <v>0</v>
      </c>
      <c r="O109">
        <v>29</v>
      </c>
      <c r="P109">
        <v>1</v>
      </c>
      <c r="Q109">
        <v>7.25</v>
      </c>
      <c r="R109">
        <v>20</v>
      </c>
      <c r="S109">
        <v>0</v>
      </c>
      <c r="T109">
        <v>0</v>
      </c>
      <c r="U109" s="8">
        <v>20</v>
      </c>
      <c r="V109" s="8">
        <f t="shared" si="1"/>
        <v>2</v>
      </c>
    </row>
    <row r="110" spans="1:22" x14ac:dyDescent="0.3">
      <c r="A110" t="s">
        <v>138</v>
      </c>
      <c r="B110">
        <v>1</v>
      </c>
      <c r="C110" t="s">
        <v>235</v>
      </c>
      <c r="D110" t="s">
        <v>236</v>
      </c>
      <c r="E110" t="s">
        <v>219</v>
      </c>
      <c r="F110" t="s">
        <v>101</v>
      </c>
      <c r="G110" t="s">
        <v>135</v>
      </c>
      <c r="H110">
        <v>0</v>
      </c>
      <c r="I110">
        <v>0</v>
      </c>
      <c r="J110">
        <v>0</v>
      </c>
      <c r="K110" t="s">
        <v>104</v>
      </c>
      <c r="L110">
        <v>0</v>
      </c>
      <c r="M110">
        <v>3</v>
      </c>
      <c r="N110">
        <v>0</v>
      </c>
      <c r="O110">
        <v>31</v>
      </c>
      <c r="P110">
        <v>0</v>
      </c>
      <c r="Q110">
        <v>10.3</v>
      </c>
      <c r="R110">
        <v>0</v>
      </c>
      <c r="S110">
        <v>0</v>
      </c>
      <c r="T110">
        <v>0</v>
      </c>
      <c r="U110" s="8">
        <v>0</v>
      </c>
      <c r="V110" s="8">
        <f t="shared" si="1"/>
        <v>0</v>
      </c>
    </row>
    <row r="111" spans="1:22" x14ac:dyDescent="0.3">
      <c r="A111" t="s">
        <v>138</v>
      </c>
      <c r="B111">
        <v>1</v>
      </c>
      <c r="C111" t="s">
        <v>237</v>
      </c>
      <c r="D111" t="s">
        <v>238</v>
      </c>
      <c r="E111" t="s">
        <v>219</v>
      </c>
      <c r="F111" t="s">
        <v>101</v>
      </c>
      <c r="G111" t="s">
        <v>135</v>
      </c>
      <c r="H111">
        <v>0</v>
      </c>
      <c r="I111">
        <v>0</v>
      </c>
      <c r="J111">
        <v>0</v>
      </c>
      <c r="K111" t="s">
        <v>104</v>
      </c>
      <c r="L111">
        <v>0</v>
      </c>
      <c r="M111">
        <v>2</v>
      </c>
      <c r="N111">
        <v>0</v>
      </c>
      <c r="O111">
        <v>31</v>
      </c>
      <c r="P111">
        <v>1</v>
      </c>
      <c r="Q111">
        <v>15.5</v>
      </c>
      <c r="R111">
        <v>15</v>
      </c>
      <c r="S111">
        <v>0</v>
      </c>
      <c r="T111">
        <v>0</v>
      </c>
      <c r="U111" s="8">
        <v>15</v>
      </c>
      <c r="V111" s="8">
        <f t="shared" si="1"/>
        <v>2</v>
      </c>
    </row>
    <row r="112" spans="1:22" x14ac:dyDescent="0.3">
      <c r="A112" t="s">
        <v>139</v>
      </c>
      <c r="B112">
        <v>1</v>
      </c>
      <c r="C112" t="s">
        <v>87</v>
      </c>
      <c r="D112" t="s">
        <v>82</v>
      </c>
      <c r="E112" t="s">
        <v>258</v>
      </c>
      <c r="F112" t="s">
        <v>109</v>
      </c>
      <c r="G112" t="s">
        <v>86</v>
      </c>
      <c r="H112">
        <v>8</v>
      </c>
      <c r="I112">
        <v>11</v>
      </c>
      <c r="J112">
        <v>72.73</v>
      </c>
      <c r="K112" t="s">
        <v>246</v>
      </c>
      <c r="L112">
        <v>5.82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 s="8">
        <v>5.82</v>
      </c>
      <c r="V112" s="8">
        <f t="shared" si="1"/>
        <v>1</v>
      </c>
    </row>
    <row r="113" spans="1:22" x14ac:dyDescent="0.3">
      <c r="A113" t="s">
        <v>139</v>
      </c>
      <c r="B113">
        <v>1</v>
      </c>
      <c r="C113" t="s">
        <v>239</v>
      </c>
      <c r="D113" t="s">
        <v>241</v>
      </c>
      <c r="E113" t="s">
        <v>258</v>
      </c>
      <c r="F113" t="s">
        <v>83</v>
      </c>
      <c r="G113" t="s">
        <v>86</v>
      </c>
      <c r="H113">
        <v>65</v>
      </c>
      <c r="I113">
        <v>28</v>
      </c>
      <c r="J113">
        <v>232.14</v>
      </c>
      <c r="K113" t="s">
        <v>246</v>
      </c>
      <c r="L113">
        <v>150.88999999999999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 s="8">
        <v>150.88999999999999</v>
      </c>
      <c r="V113" s="8">
        <f t="shared" si="1"/>
        <v>10</v>
      </c>
    </row>
    <row r="114" spans="1:22" x14ac:dyDescent="0.3">
      <c r="A114" t="s">
        <v>139</v>
      </c>
      <c r="B114">
        <v>1</v>
      </c>
      <c r="C114" t="s">
        <v>89</v>
      </c>
      <c r="D114" t="s">
        <v>116</v>
      </c>
      <c r="E114" t="s">
        <v>258</v>
      </c>
      <c r="F114" t="s">
        <v>83</v>
      </c>
      <c r="G114" t="s">
        <v>92</v>
      </c>
      <c r="H114">
        <v>67</v>
      </c>
      <c r="I114">
        <v>45</v>
      </c>
      <c r="J114">
        <v>148.88999999999999</v>
      </c>
      <c r="K114" t="s">
        <v>245</v>
      </c>
      <c r="L114">
        <v>99.76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 s="8">
        <v>99.76</v>
      </c>
      <c r="V114" s="8">
        <f t="shared" si="1"/>
        <v>10</v>
      </c>
    </row>
    <row r="115" spans="1:22" x14ac:dyDescent="0.3">
      <c r="A115" t="s">
        <v>139</v>
      </c>
      <c r="B115">
        <v>1</v>
      </c>
      <c r="C115" t="s">
        <v>93</v>
      </c>
      <c r="D115" t="s">
        <v>118</v>
      </c>
      <c r="E115" t="s">
        <v>258</v>
      </c>
      <c r="F115" t="s">
        <v>83</v>
      </c>
      <c r="G115" t="s">
        <v>92</v>
      </c>
      <c r="H115">
        <v>19</v>
      </c>
      <c r="I115">
        <v>15</v>
      </c>
      <c r="J115">
        <v>126.67</v>
      </c>
      <c r="K115" t="s">
        <v>248</v>
      </c>
      <c r="L115">
        <v>24.07</v>
      </c>
      <c r="M115">
        <v>4</v>
      </c>
      <c r="N115">
        <v>0</v>
      </c>
      <c r="O115">
        <v>31</v>
      </c>
      <c r="P115">
        <v>3</v>
      </c>
      <c r="Q115">
        <v>7.8</v>
      </c>
      <c r="R115">
        <v>60</v>
      </c>
      <c r="S115">
        <v>0</v>
      </c>
      <c r="T115">
        <v>0</v>
      </c>
      <c r="U115" s="8">
        <v>84.07</v>
      </c>
      <c r="V115" s="8">
        <f t="shared" si="1"/>
        <v>8</v>
      </c>
    </row>
    <row r="116" spans="1:22" x14ac:dyDescent="0.3">
      <c r="A116" t="s">
        <v>139</v>
      </c>
      <c r="B116">
        <v>1</v>
      </c>
      <c r="C116" t="s">
        <v>97</v>
      </c>
      <c r="D116" t="s">
        <v>122</v>
      </c>
      <c r="E116" t="s">
        <v>258</v>
      </c>
      <c r="F116" t="s">
        <v>109</v>
      </c>
      <c r="G116" t="s">
        <v>134</v>
      </c>
      <c r="H116">
        <v>16</v>
      </c>
      <c r="I116">
        <v>7</v>
      </c>
      <c r="J116">
        <v>228.57</v>
      </c>
      <c r="K116" t="s">
        <v>246</v>
      </c>
      <c r="L116">
        <v>36.57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 s="8">
        <v>36.57</v>
      </c>
      <c r="V116" s="8">
        <f t="shared" si="1"/>
        <v>4</v>
      </c>
    </row>
    <row r="117" spans="1:22" x14ac:dyDescent="0.3">
      <c r="A117" t="s">
        <v>139</v>
      </c>
      <c r="B117">
        <v>1</v>
      </c>
      <c r="C117" t="s">
        <v>94</v>
      </c>
      <c r="D117" t="s">
        <v>120</v>
      </c>
      <c r="E117" t="s">
        <v>258</v>
      </c>
      <c r="F117" t="s">
        <v>91</v>
      </c>
      <c r="G117" t="s">
        <v>134</v>
      </c>
      <c r="H117">
        <v>14</v>
      </c>
      <c r="I117">
        <v>8</v>
      </c>
      <c r="J117">
        <v>175</v>
      </c>
      <c r="K117" t="s">
        <v>246</v>
      </c>
      <c r="L117">
        <v>24.5</v>
      </c>
      <c r="M117">
        <v>4</v>
      </c>
      <c r="N117">
        <v>0</v>
      </c>
      <c r="O117">
        <v>56</v>
      </c>
      <c r="P117">
        <v>2</v>
      </c>
      <c r="Q117">
        <v>14</v>
      </c>
      <c r="R117">
        <v>40</v>
      </c>
      <c r="S117">
        <v>0</v>
      </c>
      <c r="T117">
        <v>0</v>
      </c>
      <c r="U117" s="8">
        <v>64.5</v>
      </c>
      <c r="V117" s="8">
        <f t="shared" si="1"/>
        <v>6</v>
      </c>
    </row>
    <row r="118" spans="1:22" x14ac:dyDescent="0.3">
      <c r="A118" t="s">
        <v>139</v>
      </c>
      <c r="B118">
        <v>1</v>
      </c>
      <c r="C118" t="s">
        <v>102</v>
      </c>
      <c r="D118" t="s">
        <v>126</v>
      </c>
      <c r="E118" t="s">
        <v>258</v>
      </c>
      <c r="F118" t="s">
        <v>101</v>
      </c>
      <c r="G118" t="s">
        <v>134</v>
      </c>
      <c r="H118">
        <v>2</v>
      </c>
      <c r="I118">
        <v>3</v>
      </c>
      <c r="J118">
        <v>66.67</v>
      </c>
      <c r="K118" t="s">
        <v>256</v>
      </c>
      <c r="L118">
        <v>1.33</v>
      </c>
      <c r="M118">
        <v>4</v>
      </c>
      <c r="N118">
        <v>0</v>
      </c>
      <c r="O118">
        <v>34</v>
      </c>
      <c r="P118">
        <v>0</v>
      </c>
      <c r="Q118">
        <v>8.5</v>
      </c>
      <c r="R118">
        <v>0</v>
      </c>
      <c r="S118">
        <v>0</v>
      </c>
      <c r="T118">
        <v>1</v>
      </c>
      <c r="U118" s="8">
        <v>1.33</v>
      </c>
      <c r="V118" s="8">
        <f t="shared" si="1"/>
        <v>0</v>
      </c>
    </row>
    <row r="119" spans="1:22" x14ac:dyDescent="0.3">
      <c r="A119" t="s">
        <v>139</v>
      </c>
      <c r="B119">
        <v>1</v>
      </c>
      <c r="C119" t="s">
        <v>242</v>
      </c>
      <c r="D119" t="s">
        <v>244</v>
      </c>
      <c r="E119" t="s">
        <v>258</v>
      </c>
      <c r="F119" t="s">
        <v>101</v>
      </c>
      <c r="G119" t="s">
        <v>135</v>
      </c>
      <c r="H119">
        <v>3</v>
      </c>
      <c r="I119">
        <v>2</v>
      </c>
      <c r="J119">
        <v>150</v>
      </c>
      <c r="K119" t="s">
        <v>96</v>
      </c>
      <c r="L119">
        <v>4.5</v>
      </c>
      <c r="M119">
        <v>3</v>
      </c>
      <c r="N119">
        <v>0</v>
      </c>
      <c r="O119">
        <v>27</v>
      </c>
      <c r="P119">
        <v>0</v>
      </c>
      <c r="Q119">
        <v>9</v>
      </c>
      <c r="R119">
        <v>0</v>
      </c>
      <c r="S119">
        <v>0</v>
      </c>
      <c r="T119">
        <v>0</v>
      </c>
      <c r="U119" s="8">
        <v>4.5</v>
      </c>
      <c r="V119" s="8">
        <f t="shared" si="1"/>
        <v>0</v>
      </c>
    </row>
    <row r="120" spans="1:22" x14ac:dyDescent="0.3">
      <c r="A120" t="s">
        <v>139</v>
      </c>
      <c r="B120">
        <v>1</v>
      </c>
      <c r="C120" t="s">
        <v>240</v>
      </c>
      <c r="D120" t="s">
        <v>243</v>
      </c>
      <c r="E120" t="s">
        <v>258</v>
      </c>
      <c r="F120" t="s">
        <v>85</v>
      </c>
      <c r="G120" t="s">
        <v>135</v>
      </c>
      <c r="H120">
        <v>5</v>
      </c>
      <c r="I120">
        <v>2</v>
      </c>
      <c r="J120">
        <v>250</v>
      </c>
      <c r="K120" t="s">
        <v>96</v>
      </c>
      <c r="L120">
        <v>12.5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 s="8">
        <v>12.5</v>
      </c>
      <c r="V120" s="8">
        <f t="shared" si="1"/>
        <v>1</v>
      </c>
    </row>
    <row r="121" spans="1:22" x14ac:dyDescent="0.3">
      <c r="A121" t="s">
        <v>139</v>
      </c>
      <c r="B121">
        <v>1</v>
      </c>
      <c r="C121" t="s">
        <v>110</v>
      </c>
      <c r="D121" t="s">
        <v>132</v>
      </c>
      <c r="E121" t="s">
        <v>258</v>
      </c>
      <c r="F121" t="s">
        <v>101</v>
      </c>
      <c r="G121" t="s">
        <v>135</v>
      </c>
      <c r="H121">
        <v>0</v>
      </c>
      <c r="I121">
        <v>0</v>
      </c>
      <c r="J121">
        <v>0</v>
      </c>
      <c r="K121" t="s">
        <v>104</v>
      </c>
      <c r="L121">
        <v>0</v>
      </c>
      <c r="M121">
        <v>1</v>
      </c>
      <c r="N121">
        <v>0</v>
      </c>
      <c r="O121">
        <v>9</v>
      </c>
      <c r="P121">
        <v>1</v>
      </c>
      <c r="Q121">
        <v>9</v>
      </c>
      <c r="R121">
        <v>20</v>
      </c>
      <c r="S121">
        <v>0</v>
      </c>
      <c r="T121">
        <v>0</v>
      </c>
      <c r="U121" s="8">
        <v>20</v>
      </c>
      <c r="V121" s="8">
        <f t="shared" si="1"/>
        <v>2</v>
      </c>
    </row>
    <row r="122" spans="1:22" x14ac:dyDescent="0.3">
      <c r="A122" t="s">
        <v>139</v>
      </c>
      <c r="B122">
        <v>1</v>
      </c>
      <c r="C122" t="s">
        <v>105</v>
      </c>
      <c r="D122" t="s">
        <v>128</v>
      </c>
      <c r="E122" t="s">
        <v>258</v>
      </c>
      <c r="F122" t="s">
        <v>101</v>
      </c>
      <c r="G122" t="s">
        <v>135</v>
      </c>
      <c r="H122">
        <v>0</v>
      </c>
      <c r="I122">
        <v>0</v>
      </c>
      <c r="J122">
        <v>0</v>
      </c>
      <c r="K122" t="s">
        <v>104</v>
      </c>
      <c r="L122">
        <v>0</v>
      </c>
      <c r="M122">
        <v>4</v>
      </c>
      <c r="N122">
        <v>0</v>
      </c>
      <c r="O122">
        <v>28</v>
      </c>
      <c r="P122">
        <v>0</v>
      </c>
      <c r="Q122">
        <v>7</v>
      </c>
      <c r="R122">
        <v>0</v>
      </c>
      <c r="S122">
        <v>0</v>
      </c>
      <c r="T122">
        <v>0</v>
      </c>
      <c r="U122" s="8">
        <v>0</v>
      </c>
      <c r="V122" s="8">
        <f t="shared" si="1"/>
        <v>0</v>
      </c>
    </row>
    <row r="123" spans="1:22" x14ac:dyDescent="0.3">
      <c r="A123" t="s">
        <v>139</v>
      </c>
      <c r="B123">
        <v>1</v>
      </c>
      <c r="C123" t="s">
        <v>165</v>
      </c>
      <c r="D123" t="s">
        <v>166</v>
      </c>
      <c r="E123" t="s">
        <v>159</v>
      </c>
      <c r="F123" t="s">
        <v>109</v>
      </c>
      <c r="G123" t="s">
        <v>86</v>
      </c>
      <c r="H123">
        <v>18</v>
      </c>
      <c r="I123">
        <v>14</v>
      </c>
      <c r="J123">
        <v>128.57</v>
      </c>
      <c r="K123" t="s">
        <v>246</v>
      </c>
      <c r="L123">
        <v>23.14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 s="8">
        <v>23.14</v>
      </c>
      <c r="V123" s="8">
        <f t="shared" si="1"/>
        <v>2</v>
      </c>
    </row>
    <row r="124" spans="1:22" x14ac:dyDescent="0.3">
      <c r="A124" t="s">
        <v>139</v>
      </c>
      <c r="B124">
        <v>1</v>
      </c>
      <c r="C124" t="s">
        <v>167</v>
      </c>
      <c r="D124" t="s">
        <v>168</v>
      </c>
      <c r="E124" t="s">
        <v>159</v>
      </c>
      <c r="F124" t="s">
        <v>83</v>
      </c>
      <c r="G124" t="s">
        <v>86</v>
      </c>
      <c r="H124">
        <v>66</v>
      </c>
      <c r="I124">
        <v>45</v>
      </c>
      <c r="J124">
        <v>146.66999999999999</v>
      </c>
      <c r="K124" t="s">
        <v>246</v>
      </c>
      <c r="L124">
        <v>96.8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 s="8">
        <v>96.8</v>
      </c>
      <c r="V124" s="8">
        <f t="shared" si="1"/>
        <v>10</v>
      </c>
    </row>
    <row r="125" spans="1:22" x14ac:dyDescent="0.3">
      <c r="A125" t="s">
        <v>139</v>
      </c>
      <c r="B125">
        <v>1</v>
      </c>
      <c r="C125" t="s">
        <v>174</v>
      </c>
      <c r="D125" t="s">
        <v>175</v>
      </c>
      <c r="E125" t="s">
        <v>159</v>
      </c>
      <c r="F125" t="s">
        <v>83</v>
      </c>
      <c r="G125" t="s">
        <v>92</v>
      </c>
      <c r="H125">
        <v>32</v>
      </c>
      <c r="I125">
        <v>25</v>
      </c>
      <c r="J125">
        <v>128</v>
      </c>
      <c r="K125" t="s">
        <v>246</v>
      </c>
      <c r="L125">
        <v>40.96</v>
      </c>
      <c r="M125">
        <v>4</v>
      </c>
      <c r="N125">
        <v>0</v>
      </c>
      <c r="O125">
        <v>43</v>
      </c>
      <c r="P125">
        <v>0</v>
      </c>
      <c r="Q125">
        <v>10.8</v>
      </c>
      <c r="R125">
        <v>0</v>
      </c>
      <c r="S125">
        <v>0</v>
      </c>
      <c r="T125">
        <v>0</v>
      </c>
      <c r="U125" s="8">
        <v>40.96</v>
      </c>
      <c r="V125" s="8">
        <f t="shared" si="1"/>
        <v>4</v>
      </c>
    </row>
    <row r="126" spans="1:22" x14ac:dyDescent="0.3">
      <c r="A126" t="s">
        <v>139</v>
      </c>
      <c r="B126">
        <v>1</v>
      </c>
      <c r="C126" t="s">
        <v>176</v>
      </c>
      <c r="D126" t="s">
        <v>177</v>
      </c>
      <c r="E126" t="s">
        <v>159</v>
      </c>
      <c r="F126" t="s">
        <v>85</v>
      </c>
      <c r="G126" t="s">
        <v>92</v>
      </c>
      <c r="H126">
        <v>10</v>
      </c>
      <c r="I126">
        <v>10</v>
      </c>
      <c r="J126">
        <v>100</v>
      </c>
      <c r="K126" t="s">
        <v>245</v>
      </c>
      <c r="L126">
        <v>10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 s="8">
        <v>10</v>
      </c>
      <c r="V126" s="8">
        <f t="shared" si="1"/>
        <v>1</v>
      </c>
    </row>
    <row r="127" spans="1:22" x14ac:dyDescent="0.3">
      <c r="A127" t="s">
        <v>139</v>
      </c>
      <c r="B127">
        <v>1</v>
      </c>
      <c r="C127" t="s">
        <v>170</v>
      </c>
      <c r="D127" t="s">
        <v>171</v>
      </c>
      <c r="E127" t="s">
        <v>159</v>
      </c>
      <c r="F127" t="s">
        <v>83</v>
      </c>
      <c r="G127" t="s">
        <v>134</v>
      </c>
      <c r="H127">
        <v>30</v>
      </c>
      <c r="I127">
        <v>11</v>
      </c>
      <c r="J127">
        <v>272.73</v>
      </c>
      <c r="K127" t="s">
        <v>96</v>
      </c>
      <c r="L127">
        <v>81.819999999999993</v>
      </c>
      <c r="M127">
        <v>2</v>
      </c>
      <c r="N127">
        <v>0</v>
      </c>
      <c r="O127">
        <v>17</v>
      </c>
      <c r="P127">
        <v>2</v>
      </c>
      <c r="Q127">
        <v>8.5</v>
      </c>
      <c r="R127">
        <v>40</v>
      </c>
      <c r="S127">
        <v>0</v>
      </c>
      <c r="T127">
        <v>0</v>
      </c>
      <c r="U127" s="8">
        <v>121.82</v>
      </c>
      <c r="V127" s="8">
        <f t="shared" si="1"/>
        <v>10</v>
      </c>
    </row>
    <row r="128" spans="1:22" x14ac:dyDescent="0.3">
      <c r="A128" t="s">
        <v>139</v>
      </c>
      <c r="B128">
        <v>1</v>
      </c>
      <c r="C128" t="s">
        <v>178</v>
      </c>
      <c r="D128" t="s">
        <v>179</v>
      </c>
      <c r="E128" t="s">
        <v>159</v>
      </c>
      <c r="F128" t="s">
        <v>83</v>
      </c>
      <c r="G128" t="s">
        <v>134</v>
      </c>
      <c r="H128">
        <v>10</v>
      </c>
      <c r="I128">
        <v>7</v>
      </c>
      <c r="J128">
        <v>142.86000000000001</v>
      </c>
      <c r="K128" t="s">
        <v>248</v>
      </c>
      <c r="L128">
        <v>14.29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 s="8">
        <v>14.29</v>
      </c>
      <c r="V128" s="8">
        <f t="shared" si="1"/>
        <v>1</v>
      </c>
    </row>
    <row r="129" spans="1:22" x14ac:dyDescent="0.3">
      <c r="A129" t="s">
        <v>139</v>
      </c>
      <c r="B129">
        <v>1</v>
      </c>
      <c r="C129" t="s">
        <v>273</v>
      </c>
      <c r="D129" t="s">
        <v>279</v>
      </c>
      <c r="E129" t="s">
        <v>159</v>
      </c>
      <c r="F129" t="s">
        <v>91</v>
      </c>
      <c r="G129" t="s">
        <v>134</v>
      </c>
      <c r="H129">
        <v>2</v>
      </c>
      <c r="I129">
        <v>4</v>
      </c>
      <c r="J129">
        <v>50</v>
      </c>
      <c r="K129" t="s">
        <v>246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 s="8">
        <v>1</v>
      </c>
      <c r="V129" s="8">
        <f t="shared" si="1"/>
        <v>0</v>
      </c>
    </row>
    <row r="130" spans="1:22" x14ac:dyDescent="0.3">
      <c r="A130" t="s">
        <v>139</v>
      </c>
      <c r="B130">
        <v>1</v>
      </c>
      <c r="C130" t="s">
        <v>259</v>
      </c>
      <c r="D130" t="s">
        <v>257</v>
      </c>
      <c r="E130" t="s">
        <v>159</v>
      </c>
      <c r="F130" t="s">
        <v>101</v>
      </c>
      <c r="G130" t="s">
        <v>134</v>
      </c>
      <c r="H130">
        <v>11</v>
      </c>
      <c r="I130">
        <v>4</v>
      </c>
      <c r="J130">
        <v>275</v>
      </c>
      <c r="K130" t="s">
        <v>96</v>
      </c>
      <c r="L130">
        <v>30.25</v>
      </c>
      <c r="M130">
        <v>4</v>
      </c>
      <c r="N130">
        <v>0</v>
      </c>
      <c r="O130">
        <v>32</v>
      </c>
      <c r="P130">
        <v>2</v>
      </c>
      <c r="Q130">
        <v>8</v>
      </c>
      <c r="R130">
        <v>40</v>
      </c>
      <c r="S130">
        <v>0</v>
      </c>
      <c r="T130">
        <v>0</v>
      </c>
      <c r="U130" s="8">
        <v>70.25</v>
      </c>
      <c r="V130" s="8">
        <f t="shared" si="1"/>
        <v>7</v>
      </c>
    </row>
    <row r="131" spans="1:22" x14ac:dyDescent="0.3">
      <c r="A131" t="s">
        <v>139</v>
      </c>
      <c r="B131">
        <v>1</v>
      </c>
      <c r="C131" t="s">
        <v>184</v>
      </c>
      <c r="D131" t="s">
        <v>185</v>
      </c>
      <c r="E131" t="s">
        <v>159</v>
      </c>
      <c r="F131" t="s">
        <v>101</v>
      </c>
      <c r="G131" t="s">
        <v>135</v>
      </c>
      <c r="H131">
        <v>0</v>
      </c>
      <c r="I131">
        <v>0</v>
      </c>
      <c r="J131">
        <v>0</v>
      </c>
      <c r="K131" t="s">
        <v>104</v>
      </c>
      <c r="L131">
        <v>0</v>
      </c>
      <c r="M131">
        <v>3</v>
      </c>
      <c r="N131">
        <v>1</v>
      </c>
      <c r="O131">
        <v>26</v>
      </c>
      <c r="P131">
        <v>1</v>
      </c>
      <c r="Q131">
        <v>8.6999999999999993</v>
      </c>
      <c r="R131">
        <v>20</v>
      </c>
      <c r="S131">
        <v>0</v>
      </c>
      <c r="T131">
        <v>0</v>
      </c>
      <c r="U131" s="8">
        <v>20</v>
      </c>
      <c r="V131" s="8">
        <f t="shared" ref="V131:V194" si="2">MIN(10, MAX(0, ROUND(U131/10,0)))</f>
        <v>2</v>
      </c>
    </row>
    <row r="132" spans="1:22" x14ac:dyDescent="0.3">
      <c r="A132" t="s">
        <v>139</v>
      </c>
      <c r="B132">
        <v>1</v>
      </c>
      <c r="C132" t="s">
        <v>186</v>
      </c>
      <c r="D132" t="s">
        <v>187</v>
      </c>
      <c r="E132" t="s">
        <v>159</v>
      </c>
      <c r="F132" t="s">
        <v>101</v>
      </c>
      <c r="G132" t="s">
        <v>135</v>
      </c>
      <c r="H132">
        <v>0</v>
      </c>
      <c r="I132">
        <v>0</v>
      </c>
      <c r="J132">
        <v>0</v>
      </c>
      <c r="K132" t="s">
        <v>104</v>
      </c>
      <c r="L132">
        <v>0</v>
      </c>
      <c r="M132">
        <v>4</v>
      </c>
      <c r="N132">
        <v>0</v>
      </c>
      <c r="O132">
        <v>36</v>
      </c>
      <c r="P132">
        <v>1</v>
      </c>
      <c r="Q132">
        <v>9</v>
      </c>
      <c r="R132">
        <v>20</v>
      </c>
      <c r="S132">
        <v>0</v>
      </c>
      <c r="T132">
        <v>0</v>
      </c>
      <c r="U132" s="8">
        <v>20</v>
      </c>
      <c r="V132" s="8">
        <f t="shared" si="2"/>
        <v>2</v>
      </c>
    </row>
    <row r="133" spans="1:22" x14ac:dyDescent="0.3">
      <c r="A133" t="s">
        <v>139</v>
      </c>
      <c r="B133">
        <v>1</v>
      </c>
      <c r="C133" t="s">
        <v>182</v>
      </c>
      <c r="D133" t="s">
        <v>183</v>
      </c>
      <c r="E133" t="s">
        <v>159</v>
      </c>
      <c r="F133" t="s">
        <v>101</v>
      </c>
      <c r="G133" t="s">
        <v>135</v>
      </c>
      <c r="H133">
        <v>0</v>
      </c>
      <c r="I133">
        <v>0</v>
      </c>
      <c r="J133">
        <v>0</v>
      </c>
      <c r="K133" t="s">
        <v>104</v>
      </c>
      <c r="L133">
        <v>0</v>
      </c>
      <c r="M133">
        <v>3</v>
      </c>
      <c r="N133">
        <v>0</v>
      </c>
      <c r="O133">
        <v>47</v>
      </c>
      <c r="P133">
        <v>0</v>
      </c>
      <c r="Q133">
        <v>15.7</v>
      </c>
      <c r="R133">
        <v>0</v>
      </c>
      <c r="S133">
        <v>0</v>
      </c>
      <c r="T133">
        <v>0</v>
      </c>
      <c r="U133" s="8">
        <v>0</v>
      </c>
      <c r="V133" s="8">
        <f t="shared" si="2"/>
        <v>0</v>
      </c>
    </row>
    <row r="134" spans="1:22" x14ac:dyDescent="0.3">
      <c r="A134" t="s">
        <v>140</v>
      </c>
      <c r="B134">
        <v>1</v>
      </c>
      <c r="C134" t="s">
        <v>190</v>
      </c>
      <c r="D134" t="s">
        <v>191</v>
      </c>
      <c r="E134" t="s">
        <v>158</v>
      </c>
      <c r="F134" t="s">
        <v>109</v>
      </c>
      <c r="G134" t="s">
        <v>86</v>
      </c>
      <c r="H134">
        <v>43</v>
      </c>
      <c r="I134">
        <v>41</v>
      </c>
      <c r="J134">
        <v>104.88</v>
      </c>
      <c r="K134" t="s">
        <v>246</v>
      </c>
      <c r="L134">
        <v>45.1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 s="8">
        <v>45.1</v>
      </c>
      <c r="V134" s="8">
        <f t="shared" si="2"/>
        <v>5</v>
      </c>
    </row>
    <row r="135" spans="1:22" x14ac:dyDescent="0.3">
      <c r="A135" t="s">
        <v>140</v>
      </c>
      <c r="B135">
        <v>1</v>
      </c>
      <c r="C135" t="s">
        <v>188</v>
      </c>
      <c r="D135" t="s">
        <v>189</v>
      </c>
      <c r="E135" t="s">
        <v>158</v>
      </c>
      <c r="F135" t="s">
        <v>83</v>
      </c>
      <c r="G135" t="s">
        <v>86</v>
      </c>
      <c r="H135">
        <v>2</v>
      </c>
      <c r="I135">
        <v>6</v>
      </c>
      <c r="J135">
        <v>33.33</v>
      </c>
      <c r="K135" t="s">
        <v>245</v>
      </c>
      <c r="L135">
        <v>0.66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 s="8">
        <v>0.66</v>
      </c>
      <c r="V135" s="8">
        <f t="shared" si="2"/>
        <v>0</v>
      </c>
    </row>
    <row r="136" spans="1:22" x14ac:dyDescent="0.3">
      <c r="A136" t="s">
        <v>140</v>
      </c>
      <c r="B136">
        <v>1</v>
      </c>
      <c r="C136" t="s">
        <v>196</v>
      </c>
      <c r="D136" t="s">
        <v>197</v>
      </c>
      <c r="E136" t="s">
        <v>158</v>
      </c>
      <c r="F136" t="s">
        <v>109</v>
      </c>
      <c r="G136" t="s">
        <v>92</v>
      </c>
      <c r="H136">
        <v>6</v>
      </c>
      <c r="I136">
        <v>7</v>
      </c>
      <c r="J136">
        <v>85.71</v>
      </c>
      <c r="K136" t="s">
        <v>246</v>
      </c>
      <c r="L136">
        <v>5.14</v>
      </c>
      <c r="M136">
        <v>3</v>
      </c>
      <c r="N136">
        <v>0</v>
      </c>
      <c r="O136">
        <v>14</v>
      </c>
      <c r="P136">
        <v>1</v>
      </c>
      <c r="Q136">
        <v>4.7</v>
      </c>
      <c r="R136">
        <v>20</v>
      </c>
      <c r="S136">
        <v>0</v>
      </c>
      <c r="T136">
        <v>0</v>
      </c>
      <c r="U136" s="8">
        <v>25.14</v>
      </c>
      <c r="V136" s="8">
        <f t="shared" si="2"/>
        <v>3</v>
      </c>
    </row>
    <row r="137" spans="1:22" x14ac:dyDescent="0.3">
      <c r="A137" t="s">
        <v>140</v>
      </c>
      <c r="B137">
        <v>1</v>
      </c>
      <c r="C137" t="s">
        <v>192</v>
      </c>
      <c r="D137" t="s">
        <v>193</v>
      </c>
      <c r="E137" t="s">
        <v>158</v>
      </c>
      <c r="F137" t="s">
        <v>169</v>
      </c>
      <c r="G137" t="s">
        <v>92</v>
      </c>
      <c r="H137">
        <v>2</v>
      </c>
      <c r="I137">
        <v>4</v>
      </c>
      <c r="J137">
        <v>50</v>
      </c>
      <c r="K137" t="s">
        <v>245</v>
      </c>
      <c r="L137">
        <v>1</v>
      </c>
      <c r="M137">
        <v>4</v>
      </c>
      <c r="N137">
        <v>0</v>
      </c>
      <c r="O137">
        <v>25</v>
      </c>
      <c r="P137">
        <v>0</v>
      </c>
      <c r="Q137">
        <v>6.2</v>
      </c>
      <c r="R137">
        <v>0</v>
      </c>
      <c r="S137">
        <v>0</v>
      </c>
      <c r="T137">
        <v>0</v>
      </c>
      <c r="U137" s="8">
        <v>1</v>
      </c>
      <c r="V137" s="8">
        <f t="shared" si="2"/>
        <v>0</v>
      </c>
    </row>
    <row r="138" spans="1:22" x14ac:dyDescent="0.3">
      <c r="A138" t="s">
        <v>140</v>
      </c>
      <c r="B138">
        <v>1</v>
      </c>
      <c r="C138" t="s">
        <v>194</v>
      </c>
      <c r="D138" t="s">
        <v>195</v>
      </c>
      <c r="E138" t="s">
        <v>158</v>
      </c>
      <c r="F138" t="s">
        <v>109</v>
      </c>
      <c r="G138" t="s">
        <v>134</v>
      </c>
      <c r="H138">
        <v>25</v>
      </c>
      <c r="I138">
        <v>18</v>
      </c>
      <c r="J138">
        <v>138.88999999999999</v>
      </c>
      <c r="K138" t="s">
        <v>245</v>
      </c>
      <c r="L138">
        <v>34.72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 s="8">
        <v>34.72</v>
      </c>
      <c r="V138" s="8">
        <f t="shared" si="2"/>
        <v>3</v>
      </c>
    </row>
    <row r="139" spans="1:22" x14ac:dyDescent="0.3">
      <c r="A139" t="s">
        <v>140</v>
      </c>
      <c r="B139">
        <v>1</v>
      </c>
      <c r="C139" t="s">
        <v>198</v>
      </c>
      <c r="D139" t="s">
        <v>199</v>
      </c>
      <c r="E139" t="s">
        <v>158</v>
      </c>
      <c r="F139" t="s">
        <v>101</v>
      </c>
      <c r="G139" t="s">
        <v>134</v>
      </c>
      <c r="H139">
        <v>2</v>
      </c>
      <c r="I139">
        <v>3</v>
      </c>
      <c r="J139">
        <v>66.67</v>
      </c>
      <c r="K139" t="s">
        <v>246</v>
      </c>
      <c r="L139">
        <v>1.33</v>
      </c>
      <c r="M139">
        <v>3</v>
      </c>
      <c r="N139">
        <v>0</v>
      </c>
      <c r="O139">
        <v>25</v>
      </c>
      <c r="P139">
        <v>0</v>
      </c>
      <c r="Q139">
        <v>8.3000000000000007</v>
      </c>
      <c r="R139">
        <v>0</v>
      </c>
      <c r="S139">
        <v>0</v>
      </c>
      <c r="T139">
        <v>0</v>
      </c>
      <c r="U139" s="8">
        <v>1.33</v>
      </c>
      <c r="V139" s="8">
        <f t="shared" si="2"/>
        <v>0</v>
      </c>
    </row>
    <row r="140" spans="1:22" x14ac:dyDescent="0.3">
      <c r="A140" t="s">
        <v>140</v>
      </c>
      <c r="B140">
        <v>1</v>
      </c>
      <c r="C140" t="s">
        <v>200</v>
      </c>
      <c r="D140" t="s">
        <v>201</v>
      </c>
      <c r="E140" t="s">
        <v>158</v>
      </c>
      <c r="F140" t="s">
        <v>85</v>
      </c>
      <c r="G140" t="s">
        <v>134</v>
      </c>
      <c r="H140">
        <v>4</v>
      </c>
      <c r="I140">
        <v>9</v>
      </c>
      <c r="J140">
        <v>44.44</v>
      </c>
      <c r="K140" t="s">
        <v>246</v>
      </c>
      <c r="L140">
        <v>1.78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 s="8">
        <v>1.78</v>
      </c>
      <c r="V140" s="8">
        <f t="shared" si="2"/>
        <v>0</v>
      </c>
    </row>
    <row r="141" spans="1:22" x14ac:dyDescent="0.3">
      <c r="A141" t="s">
        <v>140</v>
      </c>
      <c r="B141">
        <v>1</v>
      </c>
      <c r="C141" t="s">
        <v>274</v>
      </c>
      <c r="D141" t="s">
        <v>284</v>
      </c>
      <c r="E141" t="s">
        <v>158</v>
      </c>
      <c r="F141" t="s">
        <v>83</v>
      </c>
      <c r="G141" t="s">
        <v>134</v>
      </c>
      <c r="H141">
        <v>0</v>
      </c>
      <c r="I141">
        <v>3</v>
      </c>
      <c r="J141">
        <v>0</v>
      </c>
      <c r="K141" t="s">
        <v>248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 s="8">
        <v>0</v>
      </c>
      <c r="V141" s="8">
        <f t="shared" si="2"/>
        <v>0</v>
      </c>
    </row>
    <row r="142" spans="1:22" x14ac:dyDescent="0.3">
      <c r="A142" t="s">
        <v>140</v>
      </c>
      <c r="B142">
        <v>1</v>
      </c>
      <c r="C142" t="s">
        <v>206</v>
      </c>
      <c r="D142" t="s">
        <v>207</v>
      </c>
      <c r="E142" t="s">
        <v>158</v>
      </c>
      <c r="F142" t="s">
        <v>101</v>
      </c>
      <c r="G142" t="s">
        <v>135</v>
      </c>
      <c r="H142">
        <v>10</v>
      </c>
      <c r="I142">
        <v>9</v>
      </c>
      <c r="J142">
        <v>111.11</v>
      </c>
      <c r="K142" t="s">
        <v>246</v>
      </c>
      <c r="L142">
        <v>11.11</v>
      </c>
      <c r="M142">
        <v>1</v>
      </c>
      <c r="N142">
        <v>0</v>
      </c>
      <c r="O142">
        <v>12</v>
      </c>
      <c r="P142">
        <v>0</v>
      </c>
      <c r="Q142">
        <v>12</v>
      </c>
      <c r="R142">
        <v>0</v>
      </c>
      <c r="S142">
        <v>0</v>
      </c>
      <c r="T142">
        <v>0</v>
      </c>
      <c r="U142" s="8">
        <v>11.11</v>
      </c>
      <c r="V142" s="8">
        <f t="shared" si="2"/>
        <v>1</v>
      </c>
    </row>
    <row r="143" spans="1:22" x14ac:dyDescent="0.3">
      <c r="A143" t="s">
        <v>140</v>
      </c>
      <c r="B143">
        <v>1</v>
      </c>
      <c r="C143" t="s">
        <v>204</v>
      </c>
      <c r="D143" t="s">
        <v>205</v>
      </c>
      <c r="E143" t="s">
        <v>158</v>
      </c>
      <c r="F143" t="s">
        <v>91</v>
      </c>
      <c r="G143" t="s">
        <v>135</v>
      </c>
      <c r="H143">
        <v>4</v>
      </c>
      <c r="I143">
        <v>8</v>
      </c>
      <c r="J143">
        <v>50</v>
      </c>
      <c r="K143" t="s">
        <v>96</v>
      </c>
      <c r="L143">
        <v>2</v>
      </c>
      <c r="M143">
        <v>3</v>
      </c>
      <c r="N143">
        <v>0</v>
      </c>
      <c r="O143">
        <v>28</v>
      </c>
      <c r="P143">
        <v>0</v>
      </c>
      <c r="Q143">
        <v>9.3000000000000007</v>
      </c>
      <c r="R143">
        <v>0</v>
      </c>
      <c r="S143">
        <v>0</v>
      </c>
      <c r="T143">
        <v>0</v>
      </c>
      <c r="U143" s="8">
        <v>2</v>
      </c>
      <c r="V143" s="8">
        <f t="shared" si="2"/>
        <v>0</v>
      </c>
    </row>
    <row r="144" spans="1:22" x14ac:dyDescent="0.3">
      <c r="A144" t="s">
        <v>140</v>
      </c>
      <c r="B144">
        <v>1</v>
      </c>
      <c r="C144" t="s">
        <v>208</v>
      </c>
      <c r="D144" t="s">
        <v>160</v>
      </c>
      <c r="E144" t="s">
        <v>158</v>
      </c>
      <c r="F144" t="s">
        <v>101</v>
      </c>
      <c r="G144" t="s">
        <v>135</v>
      </c>
      <c r="H144">
        <v>0</v>
      </c>
      <c r="I144">
        <v>1</v>
      </c>
      <c r="J144">
        <v>0</v>
      </c>
      <c r="K144" t="s">
        <v>247</v>
      </c>
      <c r="L144">
        <v>0</v>
      </c>
      <c r="M144">
        <v>1</v>
      </c>
      <c r="N144">
        <v>0</v>
      </c>
      <c r="O144">
        <v>4</v>
      </c>
      <c r="P144">
        <v>1</v>
      </c>
      <c r="Q144">
        <v>4</v>
      </c>
      <c r="R144">
        <v>20</v>
      </c>
      <c r="S144">
        <v>0</v>
      </c>
      <c r="T144">
        <v>0</v>
      </c>
      <c r="U144" s="8">
        <v>20</v>
      </c>
      <c r="V144" s="8">
        <f t="shared" si="2"/>
        <v>2</v>
      </c>
    </row>
    <row r="145" spans="1:22" x14ac:dyDescent="0.3">
      <c r="A145" t="s">
        <v>140</v>
      </c>
      <c r="B145">
        <v>1</v>
      </c>
      <c r="C145" t="s">
        <v>113</v>
      </c>
      <c r="D145" t="s">
        <v>84</v>
      </c>
      <c r="E145" t="s">
        <v>266</v>
      </c>
      <c r="F145" t="s">
        <v>85</v>
      </c>
      <c r="G145" t="s">
        <v>86</v>
      </c>
      <c r="H145">
        <v>41</v>
      </c>
      <c r="I145">
        <v>32</v>
      </c>
      <c r="J145">
        <v>128.12</v>
      </c>
      <c r="K145" t="s">
        <v>247</v>
      </c>
      <c r="L145">
        <v>52.53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 s="8">
        <v>52.53</v>
      </c>
      <c r="V145" s="8">
        <f t="shared" si="2"/>
        <v>5</v>
      </c>
    </row>
    <row r="146" spans="1:22" x14ac:dyDescent="0.3">
      <c r="A146" t="s">
        <v>140</v>
      </c>
      <c r="B146">
        <v>1</v>
      </c>
      <c r="C146" t="s">
        <v>112</v>
      </c>
      <c r="D146" t="s">
        <v>88</v>
      </c>
      <c r="E146" t="s">
        <v>266</v>
      </c>
      <c r="F146" t="s">
        <v>83</v>
      </c>
      <c r="G146" t="s">
        <v>86</v>
      </c>
      <c r="H146">
        <v>32</v>
      </c>
      <c r="I146">
        <v>31</v>
      </c>
      <c r="J146">
        <v>103.23</v>
      </c>
      <c r="K146" t="s">
        <v>246</v>
      </c>
      <c r="L146">
        <v>33.03</v>
      </c>
      <c r="M146">
        <v>4</v>
      </c>
      <c r="N146">
        <v>0</v>
      </c>
      <c r="O146">
        <v>19</v>
      </c>
      <c r="P146">
        <v>3</v>
      </c>
      <c r="Q146">
        <v>4.8</v>
      </c>
      <c r="R146">
        <v>60</v>
      </c>
      <c r="S146">
        <v>0</v>
      </c>
      <c r="T146">
        <v>0</v>
      </c>
      <c r="U146" s="8">
        <v>93.03</v>
      </c>
      <c r="V146" s="8">
        <f t="shared" si="2"/>
        <v>9</v>
      </c>
    </row>
    <row r="147" spans="1:22" x14ac:dyDescent="0.3">
      <c r="A147" t="s">
        <v>140</v>
      </c>
      <c r="B147">
        <v>1</v>
      </c>
      <c r="C147" t="s">
        <v>117</v>
      </c>
      <c r="D147" t="s">
        <v>90</v>
      </c>
      <c r="E147" t="s">
        <v>266</v>
      </c>
      <c r="F147" t="s">
        <v>91</v>
      </c>
      <c r="G147" t="s">
        <v>92</v>
      </c>
      <c r="H147">
        <v>23</v>
      </c>
      <c r="I147">
        <v>19</v>
      </c>
      <c r="J147">
        <v>121.05</v>
      </c>
      <c r="K147" t="s">
        <v>96</v>
      </c>
      <c r="L147">
        <v>27.84</v>
      </c>
      <c r="M147">
        <v>3</v>
      </c>
      <c r="N147">
        <v>0</v>
      </c>
      <c r="O147">
        <v>22</v>
      </c>
      <c r="P147">
        <v>0</v>
      </c>
      <c r="Q147">
        <v>7.3</v>
      </c>
      <c r="R147">
        <v>0</v>
      </c>
      <c r="S147">
        <v>0</v>
      </c>
      <c r="T147">
        <v>0</v>
      </c>
      <c r="U147" s="8">
        <v>27.84</v>
      </c>
      <c r="V147" s="8">
        <f t="shared" si="2"/>
        <v>3</v>
      </c>
    </row>
    <row r="148" spans="1:22" x14ac:dyDescent="0.3">
      <c r="A148" t="s">
        <v>140</v>
      </c>
      <c r="B148">
        <v>1</v>
      </c>
      <c r="C148" t="s">
        <v>115</v>
      </c>
      <c r="D148" t="s">
        <v>17</v>
      </c>
      <c r="E148" t="s">
        <v>266</v>
      </c>
      <c r="F148" t="s">
        <v>83</v>
      </c>
      <c r="G148" t="s">
        <v>92</v>
      </c>
      <c r="H148">
        <v>11</v>
      </c>
      <c r="I148">
        <v>8</v>
      </c>
      <c r="J148">
        <v>137.5</v>
      </c>
      <c r="K148" t="s">
        <v>96</v>
      </c>
      <c r="L148">
        <v>15.13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 s="8">
        <v>15.13</v>
      </c>
      <c r="V148" s="8">
        <f t="shared" si="2"/>
        <v>2</v>
      </c>
    </row>
    <row r="149" spans="1:22" x14ac:dyDescent="0.3">
      <c r="A149" t="s">
        <v>140</v>
      </c>
      <c r="B149">
        <v>1</v>
      </c>
      <c r="C149" t="s">
        <v>119</v>
      </c>
      <c r="D149" t="s">
        <v>95</v>
      </c>
      <c r="E149" t="s">
        <v>266</v>
      </c>
      <c r="F149" t="s">
        <v>101</v>
      </c>
      <c r="G149" t="s">
        <v>134</v>
      </c>
      <c r="H149">
        <v>0</v>
      </c>
      <c r="I149">
        <v>0</v>
      </c>
      <c r="J149">
        <v>0</v>
      </c>
      <c r="K149" t="s">
        <v>104</v>
      </c>
      <c r="L149">
        <v>0</v>
      </c>
      <c r="M149">
        <v>3</v>
      </c>
      <c r="N149">
        <v>0</v>
      </c>
      <c r="O149">
        <v>29</v>
      </c>
      <c r="P149">
        <v>0</v>
      </c>
      <c r="Q149">
        <v>9.6999999999999993</v>
      </c>
      <c r="R149">
        <v>0</v>
      </c>
      <c r="S149">
        <v>0</v>
      </c>
      <c r="T149">
        <v>0</v>
      </c>
      <c r="U149" s="8">
        <v>0</v>
      </c>
      <c r="V149" s="8">
        <f t="shared" si="2"/>
        <v>0</v>
      </c>
    </row>
    <row r="150" spans="1:22" x14ac:dyDescent="0.3">
      <c r="A150" t="s">
        <v>140</v>
      </c>
      <c r="B150">
        <v>1</v>
      </c>
      <c r="C150" t="s">
        <v>123</v>
      </c>
      <c r="D150" t="s">
        <v>98</v>
      </c>
      <c r="E150" t="s">
        <v>266</v>
      </c>
      <c r="F150" t="s">
        <v>91</v>
      </c>
      <c r="G150" t="s">
        <v>134</v>
      </c>
      <c r="H150">
        <v>0</v>
      </c>
      <c r="I150">
        <v>0</v>
      </c>
      <c r="J150">
        <v>0</v>
      </c>
      <c r="K150" t="s">
        <v>104</v>
      </c>
      <c r="L150">
        <v>0</v>
      </c>
      <c r="M150">
        <v>1</v>
      </c>
      <c r="N150">
        <v>0</v>
      </c>
      <c r="O150">
        <v>6</v>
      </c>
      <c r="P150">
        <v>1</v>
      </c>
      <c r="Q150">
        <v>6</v>
      </c>
      <c r="R150">
        <v>20</v>
      </c>
      <c r="S150">
        <v>0</v>
      </c>
      <c r="T150">
        <v>0</v>
      </c>
      <c r="U150" s="8">
        <v>20</v>
      </c>
      <c r="V150" s="8">
        <f t="shared" si="2"/>
        <v>2</v>
      </c>
    </row>
    <row r="151" spans="1:22" x14ac:dyDescent="0.3">
      <c r="A151" t="s">
        <v>140</v>
      </c>
      <c r="B151">
        <v>1</v>
      </c>
      <c r="C151" t="s">
        <v>127</v>
      </c>
      <c r="D151" t="s">
        <v>100</v>
      </c>
      <c r="E151" t="s">
        <v>266</v>
      </c>
      <c r="F151" t="s">
        <v>101</v>
      </c>
      <c r="G151" t="s">
        <v>134</v>
      </c>
      <c r="H151">
        <v>0</v>
      </c>
      <c r="I151">
        <v>0</v>
      </c>
      <c r="J151">
        <v>0</v>
      </c>
      <c r="K151" t="s">
        <v>104</v>
      </c>
      <c r="L151">
        <v>0</v>
      </c>
      <c r="M151">
        <v>4</v>
      </c>
      <c r="N151">
        <v>0</v>
      </c>
      <c r="O151">
        <v>10</v>
      </c>
      <c r="P151">
        <v>3</v>
      </c>
      <c r="Q151">
        <v>2.5</v>
      </c>
      <c r="R151">
        <v>60</v>
      </c>
      <c r="S151">
        <v>0</v>
      </c>
      <c r="T151">
        <v>0</v>
      </c>
      <c r="U151" s="8">
        <v>60</v>
      </c>
      <c r="V151" s="8">
        <f t="shared" si="2"/>
        <v>6</v>
      </c>
    </row>
    <row r="152" spans="1:22" x14ac:dyDescent="0.3">
      <c r="A152" t="s">
        <v>140</v>
      </c>
      <c r="B152">
        <v>1</v>
      </c>
      <c r="C152" t="s">
        <v>121</v>
      </c>
      <c r="D152" t="s">
        <v>108</v>
      </c>
      <c r="E152" t="s">
        <v>266</v>
      </c>
      <c r="F152" t="s">
        <v>109</v>
      </c>
      <c r="G152" t="s">
        <v>135</v>
      </c>
      <c r="H152">
        <v>0</v>
      </c>
      <c r="I152">
        <v>0</v>
      </c>
      <c r="J152">
        <v>0</v>
      </c>
      <c r="K152" t="s">
        <v>104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 s="8">
        <v>0</v>
      </c>
      <c r="V152" s="8">
        <f t="shared" si="2"/>
        <v>0</v>
      </c>
    </row>
    <row r="153" spans="1:22" x14ac:dyDescent="0.3">
      <c r="A153" t="s">
        <v>140</v>
      </c>
      <c r="B153">
        <v>1</v>
      </c>
      <c r="C153" t="s">
        <v>125</v>
      </c>
      <c r="D153" t="s">
        <v>111</v>
      </c>
      <c r="E153" t="s">
        <v>266</v>
      </c>
      <c r="F153" t="s">
        <v>83</v>
      </c>
      <c r="G153" t="s">
        <v>135</v>
      </c>
      <c r="H153">
        <v>0</v>
      </c>
      <c r="I153">
        <v>0</v>
      </c>
      <c r="J153">
        <v>0</v>
      </c>
      <c r="K153" t="s">
        <v>104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 s="8">
        <v>0</v>
      </c>
      <c r="V153" s="8">
        <f t="shared" si="2"/>
        <v>0</v>
      </c>
    </row>
    <row r="154" spans="1:22" x14ac:dyDescent="0.3">
      <c r="A154" t="s">
        <v>140</v>
      </c>
      <c r="B154">
        <v>1</v>
      </c>
      <c r="C154" t="s">
        <v>129</v>
      </c>
      <c r="D154" t="s">
        <v>103</v>
      </c>
      <c r="E154" t="s">
        <v>266</v>
      </c>
      <c r="F154" t="s">
        <v>91</v>
      </c>
      <c r="G154" t="s">
        <v>135</v>
      </c>
      <c r="H154">
        <v>0</v>
      </c>
      <c r="I154">
        <v>0</v>
      </c>
      <c r="J154">
        <v>0</v>
      </c>
      <c r="K154" t="s">
        <v>104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 s="8">
        <v>0</v>
      </c>
      <c r="V154" s="8">
        <f t="shared" si="2"/>
        <v>0</v>
      </c>
    </row>
    <row r="155" spans="1:22" x14ac:dyDescent="0.3">
      <c r="A155" t="s">
        <v>140</v>
      </c>
      <c r="B155">
        <v>1</v>
      </c>
      <c r="C155" t="s">
        <v>131</v>
      </c>
      <c r="D155" t="s">
        <v>106</v>
      </c>
      <c r="E155" t="s">
        <v>266</v>
      </c>
      <c r="F155" t="s">
        <v>101</v>
      </c>
      <c r="G155" t="s">
        <v>135</v>
      </c>
      <c r="H155">
        <v>0</v>
      </c>
      <c r="I155">
        <v>0</v>
      </c>
      <c r="J155">
        <v>0</v>
      </c>
      <c r="K155" t="s">
        <v>104</v>
      </c>
      <c r="L155">
        <v>0</v>
      </c>
      <c r="M155">
        <v>3</v>
      </c>
      <c r="N155">
        <v>0</v>
      </c>
      <c r="O155">
        <v>13</v>
      </c>
      <c r="P155">
        <v>3</v>
      </c>
      <c r="Q155">
        <v>4.3</v>
      </c>
      <c r="R155">
        <v>60</v>
      </c>
      <c r="S155">
        <v>0</v>
      </c>
      <c r="T155">
        <v>0</v>
      </c>
      <c r="U155" s="8">
        <v>60</v>
      </c>
      <c r="V155" s="8">
        <f t="shared" si="2"/>
        <v>6</v>
      </c>
    </row>
    <row r="156" spans="1:22" x14ac:dyDescent="0.3">
      <c r="A156" t="s">
        <v>141</v>
      </c>
      <c r="B156">
        <v>1</v>
      </c>
      <c r="C156" t="s">
        <v>165</v>
      </c>
      <c r="D156" t="s">
        <v>166</v>
      </c>
      <c r="E156" t="s">
        <v>159</v>
      </c>
      <c r="F156" t="s">
        <v>109</v>
      </c>
      <c r="G156" t="s">
        <v>86</v>
      </c>
      <c r="H156">
        <v>4</v>
      </c>
      <c r="I156">
        <v>6</v>
      </c>
      <c r="J156">
        <v>66.67</v>
      </c>
      <c r="K156" t="s">
        <v>246</v>
      </c>
      <c r="L156">
        <v>2.67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 s="8">
        <v>2.67</v>
      </c>
      <c r="V156" s="8">
        <f t="shared" si="2"/>
        <v>0</v>
      </c>
    </row>
    <row r="157" spans="1:22" x14ac:dyDescent="0.3">
      <c r="A157" t="s">
        <v>141</v>
      </c>
      <c r="B157">
        <v>1</v>
      </c>
      <c r="C157" t="s">
        <v>167</v>
      </c>
      <c r="D157" t="s">
        <v>168</v>
      </c>
      <c r="E157" t="s">
        <v>159</v>
      </c>
      <c r="F157" t="s">
        <v>83</v>
      </c>
      <c r="G157" t="s">
        <v>86</v>
      </c>
      <c r="H157">
        <v>36</v>
      </c>
      <c r="I157">
        <v>24</v>
      </c>
      <c r="J157">
        <v>150</v>
      </c>
      <c r="K157" t="s">
        <v>245</v>
      </c>
      <c r="L157">
        <v>54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 s="8">
        <v>54</v>
      </c>
      <c r="V157" s="8">
        <f t="shared" si="2"/>
        <v>5</v>
      </c>
    </row>
    <row r="158" spans="1:22" x14ac:dyDescent="0.3">
      <c r="A158" t="s">
        <v>141</v>
      </c>
      <c r="B158">
        <v>1</v>
      </c>
      <c r="C158" t="s">
        <v>174</v>
      </c>
      <c r="D158" t="s">
        <v>175</v>
      </c>
      <c r="E158" t="s">
        <v>159</v>
      </c>
      <c r="F158" t="s">
        <v>83</v>
      </c>
      <c r="G158" t="s">
        <v>92</v>
      </c>
      <c r="H158">
        <v>52</v>
      </c>
      <c r="I158">
        <v>39</v>
      </c>
      <c r="J158">
        <v>133.33000000000001</v>
      </c>
      <c r="K158" t="s">
        <v>246</v>
      </c>
      <c r="L158">
        <v>69.33</v>
      </c>
      <c r="M158">
        <v>2</v>
      </c>
      <c r="N158">
        <v>0</v>
      </c>
      <c r="O158">
        <v>17</v>
      </c>
      <c r="P158">
        <v>0</v>
      </c>
      <c r="Q158">
        <v>8.5</v>
      </c>
      <c r="R158">
        <v>0</v>
      </c>
      <c r="S158">
        <v>0</v>
      </c>
      <c r="T158">
        <v>0</v>
      </c>
      <c r="U158" s="8">
        <v>69.33</v>
      </c>
      <c r="V158" s="8">
        <f t="shared" si="2"/>
        <v>7</v>
      </c>
    </row>
    <row r="159" spans="1:22" x14ac:dyDescent="0.3">
      <c r="A159" t="s">
        <v>141</v>
      </c>
      <c r="B159">
        <v>1</v>
      </c>
      <c r="C159" t="s">
        <v>178</v>
      </c>
      <c r="D159" t="s">
        <v>179</v>
      </c>
      <c r="E159" t="s">
        <v>159</v>
      </c>
      <c r="F159" t="s">
        <v>83</v>
      </c>
      <c r="G159" t="s">
        <v>92</v>
      </c>
      <c r="H159">
        <v>8</v>
      </c>
      <c r="I159">
        <v>10</v>
      </c>
      <c r="J159">
        <v>80</v>
      </c>
      <c r="K159" t="s">
        <v>246</v>
      </c>
      <c r="L159">
        <v>6.4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 s="8">
        <v>6.4</v>
      </c>
      <c r="V159" s="8">
        <f t="shared" si="2"/>
        <v>1</v>
      </c>
    </row>
    <row r="160" spans="1:22" x14ac:dyDescent="0.3">
      <c r="A160" t="s">
        <v>141</v>
      </c>
      <c r="B160">
        <v>1</v>
      </c>
      <c r="C160" t="s">
        <v>170</v>
      </c>
      <c r="D160" t="s">
        <v>171</v>
      </c>
      <c r="E160" t="s">
        <v>159</v>
      </c>
      <c r="F160" t="s">
        <v>83</v>
      </c>
      <c r="G160" t="s">
        <v>134</v>
      </c>
      <c r="H160">
        <v>2</v>
      </c>
      <c r="I160">
        <v>2</v>
      </c>
      <c r="J160">
        <v>100</v>
      </c>
      <c r="K160" t="s">
        <v>256</v>
      </c>
      <c r="L160">
        <v>2</v>
      </c>
      <c r="M160">
        <v>1</v>
      </c>
      <c r="N160">
        <v>0</v>
      </c>
      <c r="O160">
        <v>9</v>
      </c>
      <c r="P160">
        <v>0</v>
      </c>
      <c r="Q160">
        <v>9</v>
      </c>
      <c r="R160">
        <v>0</v>
      </c>
      <c r="S160">
        <v>0</v>
      </c>
      <c r="T160">
        <v>1</v>
      </c>
      <c r="U160" s="8">
        <v>2</v>
      </c>
      <c r="V160" s="8">
        <f t="shared" si="2"/>
        <v>0</v>
      </c>
    </row>
    <row r="161" spans="1:22" x14ac:dyDescent="0.3">
      <c r="A161" t="s">
        <v>141</v>
      </c>
      <c r="B161">
        <v>1</v>
      </c>
      <c r="C161" t="s">
        <v>259</v>
      </c>
      <c r="D161" t="s">
        <v>257</v>
      </c>
      <c r="E161" t="s">
        <v>159</v>
      </c>
      <c r="F161" t="s">
        <v>101</v>
      </c>
      <c r="G161" t="s">
        <v>134</v>
      </c>
      <c r="H161">
        <v>15</v>
      </c>
      <c r="I161">
        <v>10</v>
      </c>
      <c r="J161">
        <v>150</v>
      </c>
      <c r="K161" t="s">
        <v>246</v>
      </c>
      <c r="L161">
        <v>22.5</v>
      </c>
      <c r="M161">
        <v>3</v>
      </c>
      <c r="N161">
        <v>0</v>
      </c>
      <c r="O161">
        <v>36</v>
      </c>
      <c r="P161">
        <v>0</v>
      </c>
      <c r="Q161">
        <v>12</v>
      </c>
      <c r="R161">
        <v>0</v>
      </c>
      <c r="S161">
        <v>0</v>
      </c>
      <c r="T161">
        <v>0</v>
      </c>
      <c r="U161" s="8">
        <v>22.5</v>
      </c>
      <c r="V161" s="8">
        <f t="shared" si="2"/>
        <v>2</v>
      </c>
    </row>
    <row r="162" spans="1:22" x14ac:dyDescent="0.3">
      <c r="A162" t="s">
        <v>141</v>
      </c>
      <c r="B162">
        <v>1</v>
      </c>
      <c r="C162" t="s">
        <v>275</v>
      </c>
      <c r="D162" t="s">
        <v>287</v>
      </c>
      <c r="E162" t="s">
        <v>159</v>
      </c>
      <c r="F162" t="s">
        <v>91</v>
      </c>
      <c r="G162" t="s">
        <v>134</v>
      </c>
      <c r="H162">
        <v>12</v>
      </c>
      <c r="I162">
        <v>9</v>
      </c>
      <c r="J162">
        <v>133.33000000000001</v>
      </c>
      <c r="K162" t="s">
        <v>245</v>
      </c>
      <c r="L162">
        <v>16</v>
      </c>
      <c r="M162">
        <v>2</v>
      </c>
      <c r="N162">
        <v>0</v>
      </c>
      <c r="O162">
        <v>18</v>
      </c>
      <c r="P162">
        <v>0</v>
      </c>
      <c r="Q162">
        <v>9</v>
      </c>
      <c r="R162">
        <v>0</v>
      </c>
      <c r="S162">
        <v>0</v>
      </c>
      <c r="T162">
        <v>0</v>
      </c>
      <c r="U162" s="8">
        <v>16</v>
      </c>
      <c r="V162" s="8">
        <f t="shared" si="2"/>
        <v>2</v>
      </c>
    </row>
    <row r="163" spans="1:22" x14ac:dyDescent="0.3">
      <c r="A163" t="s">
        <v>141</v>
      </c>
      <c r="B163">
        <v>1</v>
      </c>
      <c r="C163" t="s">
        <v>176</v>
      </c>
      <c r="D163" t="s">
        <v>177</v>
      </c>
      <c r="E163" t="s">
        <v>159</v>
      </c>
      <c r="F163" t="s">
        <v>85</v>
      </c>
      <c r="G163" t="s">
        <v>134</v>
      </c>
      <c r="H163">
        <v>1</v>
      </c>
      <c r="I163">
        <v>1</v>
      </c>
      <c r="J163">
        <v>100</v>
      </c>
      <c r="K163" t="s">
        <v>256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 s="8">
        <v>1</v>
      </c>
      <c r="V163" s="8">
        <f t="shared" si="2"/>
        <v>0</v>
      </c>
    </row>
    <row r="164" spans="1:22" x14ac:dyDescent="0.3">
      <c r="A164" t="s">
        <v>141</v>
      </c>
      <c r="B164">
        <v>1</v>
      </c>
      <c r="C164" t="s">
        <v>276</v>
      </c>
      <c r="D164" t="s">
        <v>288</v>
      </c>
      <c r="E164" t="s">
        <v>159</v>
      </c>
      <c r="F164" t="s">
        <v>101</v>
      </c>
      <c r="G164" t="s">
        <v>135</v>
      </c>
      <c r="H164">
        <v>5</v>
      </c>
      <c r="I164">
        <v>7</v>
      </c>
      <c r="J164">
        <v>71.430000000000007</v>
      </c>
      <c r="K164" t="s">
        <v>96</v>
      </c>
      <c r="L164">
        <v>3.57</v>
      </c>
      <c r="M164">
        <v>2</v>
      </c>
      <c r="N164">
        <v>0</v>
      </c>
      <c r="O164">
        <v>22</v>
      </c>
      <c r="P164">
        <v>0</v>
      </c>
      <c r="Q164">
        <v>11</v>
      </c>
      <c r="R164">
        <v>0</v>
      </c>
      <c r="S164">
        <v>0</v>
      </c>
      <c r="T164">
        <v>0</v>
      </c>
      <c r="U164" s="8">
        <v>3.57</v>
      </c>
      <c r="V164" s="8">
        <f t="shared" si="2"/>
        <v>0</v>
      </c>
    </row>
    <row r="165" spans="1:22" x14ac:dyDescent="0.3">
      <c r="A165" t="s">
        <v>141</v>
      </c>
      <c r="B165">
        <v>1</v>
      </c>
      <c r="C165" t="s">
        <v>186</v>
      </c>
      <c r="D165" t="s">
        <v>187</v>
      </c>
      <c r="E165" t="s">
        <v>159</v>
      </c>
      <c r="F165" t="s">
        <v>101</v>
      </c>
      <c r="G165" t="s">
        <v>135</v>
      </c>
      <c r="H165">
        <v>3</v>
      </c>
      <c r="I165">
        <v>8</v>
      </c>
      <c r="J165">
        <v>37.5</v>
      </c>
      <c r="K165" t="s">
        <v>245</v>
      </c>
      <c r="L165">
        <v>1.1299999999999999</v>
      </c>
      <c r="M165">
        <v>2</v>
      </c>
      <c r="N165">
        <v>0</v>
      </c>
      <c r="O165">
        <v>20</v>
      </c>
      <c r="P165">
        <v>0</v>
      </c>
      <c r="Q165">
        <v>10</v>
      </c>
      <c r="R165">
        <v>0</v>
      </c>
      <c r="S165">
        <v>0</v>
      </c>
      <c r="T165">
        <v>0</v>
      </c>
      <c r="U165" s="8">
        <v>1.1299999999999999</v>
      </c>
      <c r="V165" s="8">
        <f t="shared" si="2"/>
        <v>0</v>
      </c>
    </row>
    <row r="166" spans="1:22" x14ac:dyDescent="0.3">
      <c r="A166" t="s">
        <v>141</v>
      </c>
      <c r="B166">
        <v>1</v>
      </c>
      <c r="C166" t="s">
        <v>277</v>
      </c>
      <c r="D166" t="s">
        <v>289</v>
      </c>
      <c r="E166" t="s">
        <v>159</v>
      </c>
      <c r="F166" t="s">
        <v>101</v>
      </c>
      <c r="G166" t="s">
        <v>135</v>
      </c>
      <c r="H166">
        <v>0</v>
      </c>
      <c r="I166">
        <v>1</v>
      </c>
      <c r="J166">
        <v>0</v>
      </c>
      <c r="K166" t="s">
        <v>247</v>
      </c>
      <c r="L166">
        <v>0</v>
      </c>
      <c r="M166">
        <v>1</v>
      </c>
      <c r="N166">
        <v>0</v>
      </c>
      <c r="O166">
        <v>11</v>
      </c>
      <c r="P166">
        <v>0</v>
      </c>
      <c r="Q166">
        <v>11</v>
      </c>
      <c r="R166">
        <v>0</v>
      </c>
      <c r="S166">
        <v>0</v>
      </c>
      <c r="T166">
        <v>0</v>
      </c>
      <c r="U166" s="8">
        <v>0</v>
      </c>
      <c r="V166" s="8">
        <f t="shared" si="2"/>
        <v>0</v>
      </c>
    </row>
    <row r="167" spans="1:22" x14ac:dyDescent="0.3">
      <c r="A167" t="s">
        <v>141</v>
      </c>
      <c r="B167">
        <v>1</v>
      </c>
      <c r="C167" t="s">
        <v>231</v>
      </c>
      <c r="D167" t="s">
        <v>232</v>
      </c>
      <c r="E167" t="s">
        <v>219</v>
      </c>
      <c r="F167" t="s">
        <v>109</v>
      </c>
      <c r="G167" t="s">
        <v>86</v>
      </c>
      <c r="H167">
        <v>36</v>
      </c>
      <c r="I167">
        <v>31</v>
      </c>
      <c r="J167">
        <v>116.13</v>
      </c>
      <c r="K167" t="s">
        <v>96</v>
      </c>
      <c r="L167">
        <v>41.81</v>
      </c>
      <c r="M167">
        <v>1</v>
      </c>
      <c r="N167">
        <v>0</v>
      </c>
      <c r="O167">
        <v>12</v>
      </c>
      <c r="P167">
        <v>0</v>
      </c>
      <c r="Q167">
        <v>12</v>
      </c>
      <c r="R167">
        <v>0</v>
      </c>
      <c r="S167">
        <v>0</v>
      </c>
      <c r="T167">
        <v>0</v>
      </c>
      <c r="U167" s="8">
        <v>41.81</v>
      </c>
      <c r="V167" s="8">
        <f t="shared" si="2"/>
        <v>4</v>
      </c>
    </row>
    <row r="168" spans="1:22" x14ac:dyDescent="0.3">
      <c r="A168" t="s">
        <v>141</v>
      </c>
      <c r="B168">
        <v>1</v>
      </c>
      <c r="C168" t="s">
        <v>217</v>
      </c>
      <c r="D168" t="s">
        <v>218</v>
      </c>
      <c r="E168" t="s">
        <v>219</v>
      </c>
      <c r="F168" t="s">
        <v>85</v>
      </c>
      <c r="G168" t="s">
        <v>86</v>
      </c>
      <c r="H168">
        <v>96</v>
      </c>
      <c r="I168">
        <v>47</v>
      </c>
      <c r="J168">
        <v>204.26</v>
      </c>
      <c r="K168" t="s">
        <v>96</v>
      </c>
      <c r="L168">
        <v>196.09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 s="8">
        <v>196.09</v>
      </c>
      <c r="V168" s="8">
        <f t="shared" si="2"/>
        <v>10</v>
      </c>
    </row>
    <row r="169" spans="1:22" x14ac:dyDescent="0.3">
      <c r="A169" t="s">
        <v>141</v>
      </c>
      <c r="B169">
        <v>1</v>
      </c>
      <c r="C169" t="s">
        <v>220</v>
      </c>
      <c r="D169" t="s">
        <v>221</v>
      </c>
      <c r="E169" t="s">
        <v>219</v>
      </c>
      <c r="F169" t="s">
        <v>109</v>
      </c>
      <c r="G169" t="s">
        <v>92</v>
      </c>
      <c r="H169">
        <v>0</v>
      </c>
      <c r="I169">
        <v>0</v>
      </c>
      <c r="J169">
        <v>0</v>
      </c>
      <c r="K169" t="s">
        <v>104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 s="8">
        <v>0</v>
      </c>
      <c r="V169" s="8">
        <f t="shared" si="2"/>
        <v>0</v>
      </c>
    </row>
    <row r="170" spans="1:22" x14ac:dyDescent="0.3">
      <c r="A170" t="s">
        <v>141</v>
      </c>
      <c r="B170">
        <v>1</v>
      </c>
      <c r="C170" t="s">
        <v>229</v>
      </c>
      <c r="D170" t="s">
        <v>230</v>
      </c>
      <c r="E170" t="s">
        <v>219</v>
      </c>
      <c r="F170" t="s">
        <v>109</v>
      </c>
      <c r="G170" t="s">
        <v>92</v>
      </c>
      <c r="H170">
        <v>0</v>
      </c>
      <c r="I170">
        <v>0</v>
      </c>
      <c r="J170">
        <v>0</v>
      </c>
      <c r="K170" t="s">
        <v>104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 s="8">
        <v>0</v>
      </c>
      <c r="V170" s="8">
        <f t="shared" si="2"/>
        <v>0</v>
      </c>
    </row>
    <row r="171" spans="1:22" x14ac:dyDescent="0.3">
      <c r="A171" t="s">
        <v>141</v>
      </c>
      <c r="B171">
        <v>1</v>
      </c>
      <c r="C171" t="s">
        <v>222</v>
      </c>
      <c r="D171" t="s">
        <v>223</v>
      </c>
      <c r="E171" t="s">
        <v>219</v>
      </c>
      <c r="F171" t="s">
        <v>83</v>
      </c>
      <c r="G171" t="s">
        <v>134</v>
      </c>
      <c r="H171">
        <v>0</v>
      </c>
      <c r="I171">
        <v>0</v>
      </c>
      <c r="J171">
        <v>0</v>
      </c>
      <c r="K171" t="s">
        <v>104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 s="8">
        <v>0</v>
      </c>
      <c r="V171" s="8">
        <f t="shared" si="2"/>
        <v>0</v>
      </c>
    </row>
    <row r="172" spans="1:22" x14ac:dyDescent="0.3">
      <c r="A172" t="s">
        <v>141</v>
      </c>
      <c r="B172">
        <v>1</v>
      </c>
      <c r="C172" t="s">
        <v>224</v>
      </c>
      <c r="D172" t="s">
        <v>225</v>
      </c>
      <c r="E172" t="s">
        <v>219</v>
      </c>
      <c r="F172" t="s">
        <v>83</v>
      </c>
      <c r="G172" t="s">
        <v>134</v>
      </c>
      <c r="H172">
        <v>0</v>
      </c>
      <c r="I172">
        <v>0</v>
      </c>
      <c r="J172">
        <v>0</v>
      </c>
      <c r="K172" t="s">
        <v>104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 s="8">
        <v>0</v>
      </c>
      <c r="V172" s="8">
        <f t="shared" si="2"/>
        <v>0</v>
      </c>
    </row>
    <row r="173" spans="1:22" x14ac:dyDescent="0.3">
      <c r="A173" t="s">
        <v>141</v>
      </c>
      <c r="B173">
        <v>1</v>
      </c>
      <c r="C173" t="s">
        <v>226</v>
      </c>
      <c r="D173" t="s">
        <v>211</v>
      </c>
      <c r="E173" t="s">
        <v>219</v>
      </c>
      <c r="F173" t="s">
        <v>101</v>
      </c>
      <c r="G173" t="s">
        <v>134</v>
      </c>
      <c r="H173">
        <v>0</v>
      </c>
      <c r="I173">
        <v>0</v>
      </c>
      <c r="J173">
        <v>0</v>
      </c>
      <c r="K173" t="s">
        <v>104</v>
      </c>
      <c r="L173">
        <v>0</v>
      </c>
      <c r="M173">
        <v>4</v>
      </c>
      <c r="N173">
        <v>0</v>
      </c>
      <c r="O173">
        <v>34</v>
      </c>
      <c r="P173">
        <v>0</v>
      </c>
      <c r="Q173">
        <v>8.5</v>
      </c>
      <c r="R173">
        <v>0</v>
      </c>
      <c r="S173">
        <v>0</v>
      </c>
      <c r="T173">
        <v>0</v>
      </c>
      <c r="U173" s="8">
        <v>0</v>
      </c>
      <c r="V173" s="8">
        <f t="shared" si="2"/>
        <v>0</v>
      </c>
    </row>
    <row r="174" spans="1:22" x14ac:dyDescent="0.3">
      <c r="A174" t="s">
        <v>141</v>
      </c>
      <c r="B174">
        <v>1</v>
      </c>
      <c r="C174" t="s">
        <v>227</v>
      </c>
      <c r="D174" t="s">
        <v>228</v>
      </c>
      <c r="E174" t="s">
        <v>219</v>
      </c>
      <c r="F174" t="s">
        <v>109</v>
      </c>
      <c r="G174" t="s">
        <v>135</v>
      </c>
      <c r="H174">
        <v>0</v>
      </c>
      <c r="I174">
        <v>0</v>
      </c>
      <c r="J174">
        <v>0</v>
      </c>
      <c r="K174" t="s">
        <v>104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 s="8">
        <v>0</v>
      </c>
      <c r="V174" s="8">
        <f t="shared" si="2"/>
        <v>0</v>
      </c>
    </row>
    <row r="175" spans="1:22" x14ac:dyDescent="0.3">
      <c r="A175" t="s">
        <v>141</v>
      </c>
      <c r="B175">
        <v>1</v>
      </c>
      <c r="C175" t="s">
        <v>233</v>
      </c>
      <c r="D175" t="s">
        <v>234</v>
      </c>
      <c r="E175" t="s">
        <v>219</v>
      </c>
      <c r="F175" t="s">
        <v>101</v>
      </c>
      <c r="G175" t="s">
        <v>135</v>
      </c>
      <c r="H175">
        <v>0</v>
      </c>
      <c r="I175">
        <v>0</v>
      </c>
      <c r="J175">
        <v>0</v>
      </c>
      <c r="K175" t="s">
        <v>104</v>
      </c>
      <c r="L175">
        <v>0</v>
      </c>
      <c r="M175">
        <v>3.3</v>
      </c>
      <c r="N175">
        <v>0</v>
      </c>
      <c r="O175">
        <v>13</v>
      </c>
      <c r="P175">
        <v>4</v>
      </c>
      <c r="Q175">
        <v>3.7</v>
      </c>
      <c r="R175">
        <v>80</v>
      </c>
      <c r="S175">
        <v>0</v>
      </c>
      <c r="T175">
        <v>0</v>
      </c>
      <c r="U175" s="8">
        <v>80</v>
      </c>
      <c r="V175" s="8">
        <f t="shared" si="2"/>
        <v>8</v>
      </c>
    </row>
    <row r="176" spans="1:22" x14ac:dyDescent="0.3">
      <c r="A176" t="s">
        <v>141</v>
      </c>
      <c r="B176">
        <v>1</v>
      </c>
      <c r="C176" t="s">
        <v>235</v>
      </c>
      <c r="D176" t="s">
        <v>236</v>
      </c>
      <c r="E176" t="s">
        <v>219</v>
      </c>
      <c r="F176" t="s">
        <v>101</v>
      </c>
      <c r="G176" t="s">
        <v>135</v>
      </c>
      <c r="H176">
        <v>0</v>
      </c>
      <c r="I176">
        <v>0</v>
      </c>
      <c r="J176">
        <v>0</v>
      </c>
      <c r="K176" t="s">
        <v>104</v>
      </c>
      <c r="L176">
        <v>0</v>
      </c>
      <c r="M176">
        <v>3</v>
      </c>
      <c r="N176">
        <v>0</v>
      </c>
      <c r="O176">
        <v>27</v>
      </c>
      <c r="P176">
        <v>0</v>
      </c>
      <c r="Q176">
        <v>9</v>
      </c>
      <c r="R176">
        <v>0</v>
      </c>
      <c r="S176">
        <v>0</v>
      </c>
      <c r="T176">
        <v>0</v>
      </c>
      <c r="U176" s="8">
        <v>0</v>
      </c>
      <c r="V176" s="8">
        <f t="shared" si="2"/>
        <v>0</v>
      </c>
    </row>
    <row r="177" spans="1:22" x14ac:dyDescent="0.3">
      <c r="A177" t="s">
        <v>141</v>
      </c>
      <c r="B177">
        <v>1</v>
      </c>
      <c r="C177" t="s">
        <v>237</v>
      </c>
      <c r="D177" t="s">
        <v>238</v>
      </c>
      <c r="E177" t="s">
        <v>219</v>
      </c>
      <c r="F177" t="s">
        <v>101</v>
      </c>
      <c r="G177" t="s">
        <v>135</v>
      </c>
      <c r="H177">
        <v>0</v>
      </c>
      <c r="I177">
        <v>0</v>
      </c>
      <c r="J177">
        <v>0</v>
      </c>
      <c r="K177" t="s">
        <v>104</v>
      </c>
      <c r="L177">
        <v>0</v>
      </c>
      <c r="M177">
        <v>4</v>
      </c>
      <c r="N177">
        <v>0</v>
      </c>
      <c r="O177">
        <v>26</v>
      </c>
      <c r="P177">
        <v>1</v>
      </c>
      <c r="Q177">
        <v>6.5</v>
      </c>
      <c r="R177">
        <v>20</v>
      </c>
      <c r="S177">
        <v>0</v>
      </c>
      <c r="T177">
        <v>0</v>
      </c>
      <c r="U177" s="8">
        <v>20</v>
      </c>
      <c r="V177" s="8">
        <f t="shared" si="2"/>
        <v>2</v>
      </c>
    </row>
    <row r="178" spans="1:22" x14ac:dyDescent="0.3">
      <c r="A178" t="s">
        <v>142</v>
      </c>
      <c r="B178">
        <v>1</v>
      </c>
      <c r="C178" t="s">
        <v>87</v>
      </c>
      <c r="D178" t="s">
        <v>82</v>
      </c>
      <c r="E178" t="s">
        <v>258</v>
      </c>
      <c r="F178" t="s">
        <v>109</v>
      </c>
      <c r="G178" t="s">
        <v>86</v>
      </c>
      <c r="H178">
        <v>0</v>
      </c>
      <c r="I178">
        <v>2</v>
      </c>
      <c r="J178">
        <v>0</v>
      </c>
      <c r="K178" t="s">
        <v>245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 s="8">
        <v>0</v>
      </c>
      <c r="V178" s="8">
        <f t="shared" si="2"/>
        <v>0</v>
      </c>
    </row>
    <row r="179" spans="1:22" x14ac:dyDescent="0.3">
      <c r="A179" t="s">
        <v>142</v>
      </c>
      <c r="B179">
        <v>1</v>
      </c>
      <c r="C179" t="s">
        <v>278</v>
      </c>
      <c r="D179" t="s">
        <v>293</v>
      </c>
      <c r="E179" t="s">
        <v>258</v>
      </c>
      <c r="F179" t="s">
        <v>109</v>
      </c>
      <c r="G179" t="s">
        <v>86</v>
      </c>
      <c r="H179">
        <v>1</v>
      </c>
      <c r="I179">
        <v>2</v>
      </c>
      <c r="J179">
        <v>50</v>
      </c>
      <c r="K179" t="s">
        <v>245</v>
      </c>
      <c r="L179">
        <v>0.5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 s="8">
        <v>0.5</v>
      </c>
      <c r="V179" s="8">
        <f t="shared" si="2"/>
        <v>0</v>
      </c>
    </row>
    <row r="180" spans="1:22" x14ac:dyDescent="0.3">
      <c r="A180" t="s">
        <v>142</v>
      </c>
      <c r="B180">
        <v>1</v>
      </c>
      <c r="C180" t="s">
        <v>89</v>
      </c>
      <c r="D180" t="s">
        <v>116</v>
      </c>
      <c r="E180" t="s">
        <v>258</v>
      </c>
      <c r="F180" t="s">
        <v>83</v>
      </c>
      <c r="G180" t="s">
        <v>92</v>
      </c>
      <c r="H180">
        <v>20</v>
      </c>
      <c r="I180">
        <v>14</v>
      </c>
      <c r="J180">
        <v>142.86000000000001</v>
      </c>
      <c r="K180" t="s">
        <v>247</v>
      </c>
      <c r="L180">
        <v>28.57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 s="8">
        <v>28.57</v>
      </c>
      <c r="V180" s="8">
        <f t="shared" si="2"/>
        <v>3</v>
      </c>
    </row>
    <row r="181" spans="1:22" x14ac:dyDescent="0.3">
      <c r="A181" t="s">
        <v>142</v>
      </c>
      <c r="B181">
        <v>1</v>
      </c>
      <c r="C181" t="s">
        <v>93</v>
      </c>
      <c r="D181" t="s">
        <v>118</v>
      </c>
      <c r="E181" t="s">
        <v>258</v>
      </c>
      <c r="F181" t="s">
        <v>83</v>
      </c>
      <c r="G181" t="s">
        <v>92</v>
      </c>
      <c r="H181">
        <v>0</v>
      </c>
      <c r="I181">
        <v>1</v>
      </c>
      <c r="J181">
        <v>0</v>
      </c>
      <c r="K181" t="s">
        <v>247</v>
      </c>
      <c r="L181">
        <v>0</v>
      </c>
      <c r="M181">
        <v>1</v>
      </c>
      <c r="N181">
        <v>0</v>
      </c>
      <c r="O181">
        <v>22</v>
      </c>
      <c r="P181">
        <v>0</v>
      </c>
      <c r="Q181">
        <v>22</v>
      </c>
      <c r="R181">
        <v>0</v>
      </c>
      <c r="S181">
        <v>0</v>
      </c>
      <c r="T181">
        <v>0</v>
      </c>
      <c r="U181" s="8">
        <v>0</v>
      </c>
      <c r="V181" s="8">
        <f t="shared" si="2"/>
        <v>0</v>
      </c>
    </row>
    <row r="182" spans="1:22" x14ac:dyDescent="0.3">
      <c r="A182" t="s">
        <v>142</v>
      </c>
      <c r="B182">
        <v>1</v>
      </c>
      <c r="C182" t="s">
        <v>97</v>
      </c>
      <c r="D182" t="s">
        <v>122</v>
      </c>
      <c r="E182" t="s">
        <v>258</v>
      </c>
      <c r="F182" t="s">
        <v>109</v>
      </c>
      <c r="G182" t="s">
        <v>134</v>
      </c>
      <c r="H182">
        <v>5</v>
      </c>
      <c r="I182">
        <v>5</v>
      </c>
      <c r="J182">
        <v>100</v>
      </c>
      <c r="K182" t="s">
        <v>246</v>
      </c>
      <c r="L182">
        <v>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 s="8">
        <v>5</v>
      </c>
      <c r="V182" s="8">
        <f t="shared" si="2"/>
        <v>1</v>
      </c>
    </row>
    <row r="183" spans="1:22" x14ac:dyDescent="0.3">
      <c r="A183" t="s">
        <v>142</v>
      </c>
      <c r="B183">
        <v>1</v>
      </c>
      <c r="C183" t="s">
        <v>99</v>
      </c>
      <c r="D183" t="s">
        <v>124</v>
      </c>
      <c r="E183" t="s">
        <v>258</v>
      </c>
      <c r="F183" t="s">
        <v>101</v>
      </c>
      <c r="G183" t="s">
        <v>134</v>
      </c>
      <c r="H183">
        <v>22</v>
      </c>
      <c r="I183">
        <v>25</v>
      </c>
      <c r="J183">
        <v>88</v>
      </c>
      <c r="K183" t="s">
        <v>245</v>
      </c>
      <c r="L183">
        <v>19.36</v>
      </c>
      <c r="M183">
        <v>0.1</v>
      </c>
      <c r="N183">
        <v>0</v>
      </c>
      <c r="O183">
        <v>4</v>
      </c>
      <c r="P183">
        <v>0</v>
      </c>
      <c r="Q183">
        <v>24</v>
      </c>
      <c r="R183">
        <v>0</v>
      </c>
      <c r="S183">
        <v>0</v>
      </c>
      <c r="T183">
        <v>0</v>
      </c>
      <c r="U183" s="8">
        <v>19.36</v>
      </c>
      <c r="V183" s="8">
        <f t="shared" si="2"/>
        <v>2</v>
      </c>
    </row>
    <row r="184" spans="1:22" x14ac:dyDescent="0.3">
      <c r="A184" t="s">
        <v>142</v>
      </c>
      <c r="B184">
        <v>1</v>
      </c>
      <c r="C184" t="s">
        <v>240</v>
      </c>
      <c r="D184" t="s">
        <v>243</v>
      </c>
      <c r="E184" t="s">
        <v>258</v>
      </c>
      <c r="F184" t="s">
        <v>85</v>
      </c>
      <c r="G184" t="s">
        <v>134</v>
      </c>
      <c r="H184">
        <v>2</v>
      </c>
      <c r="I184">
        <v>10</v>
      </c>
      <c r="J184">
        <v>20</v>
      </c>
      <c r="K184" t="s">
        <v>245</v>
      </c>
      <c r="L184">
        <v>0.4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 s="8">
        <v>0.4</v>
      </c>
      <c r="V184" s="8">
        <f t="shared" si="2"/>
        <v>0</v>
      </c>
    </row>
    <row r="185" spans="1:22" x14ac:dyDescent="0.3">
      <c r="A185" t="s">
        <v>142</v>
      </c>
      <c r="B185">
        <v>1</v>
      </c>
      <c r="C185" t="s">
        <v>242</v>
      </c>
      <c r="D185" t="s">
        <v>244</v>
      </c>
      <c r="E185" t="s">
        <v>258</v>
      </c>
      <c r="F185" t="s">
        <v>101</v>
      </c>
      <c r="G185" t="s">
        <v>134</v>
      </c>
      <c r="H185">
        <v>32</v>
      </c>
      <c r="I185">
        <v>37</v>
      </c>
      <c r="J185">
        <v>86.49</v>
      </c>
      <c r="K185" t="s">
        <v>96</v>
      </c>
      <c r="L185">
        <v>27.68</v>
      </c>
      <c r="M185">
        <v>2</v>
      </c>
      <c r="N185">
        <v>0</v>
      </c>
      <c r="O185">
        <v>20</v>
      </c>
      <c r="P185">
        <v>0</v>
      </c>
      <c r="Q185">
        <v>10</v>
      </c>
      <c r="R185">
        <v>0</v>
      </c>
      <c r="S185">
        <v>0</v>
      </c>
      <c r="T185">
        <v>0</v>
      </c>
      <c r="U185" s="8">
        <v>27.68</v>
      </c>
      <c r="V185" s="8">
        <f t="shared" si="2"/>
        <v>3</v>
      </c>
    </row>
    <row r="186" spans="1:22" x14ac:dyDescent="0.3">
      <c r="A186" t="s">
        <v>142</v>
      </c>
      <c r="B186">
        <v>1</v>
      </c>
      <c r="C186" t="s">
        <v>105</v>
      </c>
      <c r="D186" t="s">
        <v>128</v>
      </c>
      <c r="E186" t="s">
        <v>258</v>
      </c>
      <c r="F186" t="s">
        <v>101</v>
      </c>
      <c r="G186" t="s">
        <v>135</v>
      </c>
      <c r="H186">
        <v>13</v>
      </c>
      <c r="I186">
        <v>19</v>
      </c>
      <c r="J186">
        <v>68.42</v>
      </c>
      <c r="K186" t="s">
        <v>246</v>
      </c>
      <c r="L186">
        <v>8.89</v>
      </c>
      <c r="M186">
        <v>2</v>
      </c>
      <c r="N186">
        <v>0</v>
      </c>
      <c r="O186">
        <v>27</v>
      </c>
      <c r="P186">
        <v>0</v>
      </c>
      <c r="Q186">
        <v>13.5</v>
      </c>
      <c r="R186">
        <v>0</v>
      </c>
      <c r="S186">
        <v>0</v>
      </c>
      <c r="T186">
        <v>0</v>
      </c>
      <c r="U186" s="8">
        <v>8.89</v>
      </c>
      <c r="V186" s="8">
        <f t="shared" si="2"/>
        <v>1</v>
      </c>
    </row>
    <row r="187" spans="1:22" x14ac:dyDescent="0.3">
      <c r="A187" t="s">
        <v>142</v>
      </c>
      <c r="B187">
        <v>1</v>
      </c>
      <c r="C187" t="s">
        <v>102</v>
      </c>
      <c r="D187" t="s">
        <v>126</v>
      </c>
      <c r="E187" t="s">
        <v>258</v>
      </c>
      <c r="F187" t="s">
        <v>91</v>
      </c>
      <c r="G187" t="s">
        <v>135</v>
      </c>
      <c r="H187">
        <v>2</v>
      </c>
      <c r="I187">
        <v>3</v>
      </c>
      <c r="J187">
        <v>66.67</v>
      </c>
      <c r="K187" t="s">
        <v>246</v>
      </c>
      <c r="L187">
        <v>1.33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 s="8">
        <v>1.33</v>
      </c>
      <c r="V187" s="8">
        <f t="shared" si="2"/>
        <v>0</v>
      </c>
    </row>
    <row r="188" spans="1:22" x14ac:dyDescent="0.3">
      <c r="A188" t="s">
        <v>142</v>
      </c>
      <c r="B188">
        <v>1</v>
      </c>
      <c r="C188" t="s">
        <v>110</v>
      </c>
      <c r="D188" t="s">
        <v>132</v>
      </c>
      <c r="E188" t="s">
        <v>258</v>
      </c>
      <c r="F188" t="s">
        <v>101</v>
      </c>
      <c r="G188" t="s">
        <v>135</v>
      </c>
      <c r="H188">
        <v>5</v>
      </c>
      <c r="I188">
        <v>2</v>
      </c>
      <c r="J188">
        <v>250</v>
      </c>
      <c r="K188" t="s">
        <v>96</v>
      </c>
      <c r="L188">
        <v>12.5</v>
      </c>
      <c r="M188">
        <v>2</v>
      </c>
      <c r="N188">
        <v>0</v>
      </c>
      <c r="O188">
        <v>31</v>
      </c>
      <c r="P188">
        <v>0</v>
      </c>
      <c r="Q188">
        <v>15.5</v>
      </c>
      <c r="R188">
        <v>0</v>
      </c>
      <c r="S188">
        <v>0</v>
      </c>
      <c r="T188">
        <v>0</v>
      </c>
      <c r="U188" s="8">
        <v>12.5</v>
      </c>
      <c r="V188" s="8">
        <f t="shared" si="2"/>
        <v>1</v>
      </c>
    </row>
    <row r="189" spans="1:22" x14ac:dyDescent="0.3">
      <c r="A189" t="s">
        <v>142</v>
      </c>
      <c r="B189">
        <v>1</v>
      </c>
      <c r="C189" t="s">
        <v>190</v>
      </c>
      <c r="D189" t="s">
        <v>191</v>
      </c>
      <c r="E189" t="s">
        <v>158</v>
      </c>
      <c r="F189" t="s">
        <v>109</v>
      </c>
      <c r="G189" t="s">
        <v>86</v>
      </c>
      <c r="H189">
        <v>21</v>
      </c>
      <c r="I189">
        <v>15</v>
      </c>
      <c r="J189">
        <v>140</v>
      </c>
      <c r="K189" t="s">
        <v>96</v>
      </c>
      <c r="L189">
        <v>29.4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 s="8">
        <v>29.4</v>
      </c>
      <c r="V189" s="8">
        <f t="shared" si="2"/>
        <v>3</v>
      </c>
    </row>
    <row r="190" spans="1:22" x14ac:dyDescent="0.3">
      <c r="A190" t="s">
        <v>142</v>
      </c>
      <c r="B190">
        <v>1</v>
      </c>
      <c r="C190" t="s">
        <v>188</v>
      </c>
      <c r="D190" t="s">
        <v>189</v>
      </c>
      <c r="E190" t="s">
        <v>158</v>
      </c>
      <c r="F190" t="s">
        <v>109</v>
      </c>
      <c r="G190" t="s">
        <v>86</v>
      </c>
      <c r="H190">
        <v>76</v>
      </c>
      <c r="I190">
        <v>28</v>
      </c>
      <c r="J190">
        <v>271.43</v>
      </c>
      <c r="K190" t="s">
        <v>96</v>
      </c>
      <c r="L190">
        <v>206.29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 s="8">
        <v>206.29</v>
      </c>
      <c r="V190" s="8">
        <f t="shared" si="2"/>
        <v>10</v>
      </c>
    </row>
    <row r="191" spans="1:22" x14ac:dyDescent="0.3">
      <c r="A191" t="s">
        <v>142</v>
      </c>
      <c r="B191">
        <v>1</v>
      </c>
      <c r="C191" t="s">
        <v>194</v>
      </c>
      <c r="D191" t="s">
        <v>195</v>
      </c>
      <c r="E191" t="s">
        <v>158</v>
      </c>
      <c r="F191" t="s">
        <v>109</v>
      </c>
      <c r="G191" t="s">
        <v>92</v>
      </c>
      <c r="H191">
        <v>0</v>
      </c>
      <c r="I191">
        <v>0</v>
      </c>
      <c r="J191">
        <v>0</v>
      </c>
      <c r="K191" t="s">
        <v>104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s="8">
        <v>0</v>
      </c>
      <c r="V191" s="8">
        <f t="shared" si="2"/>
        <v>0</v>
      </c>
    </row>
    <row r="192" spans="1:22" x14ac:dyDescent="0.3">
      <c r="A192" t="s">
        <v>142</v>
      </c>
      <c r="B192">
        <v>1</v>
      </c>
      <c r="C192" t="s">
        <v>192</v>
      </c>
      <c r="D192" t="s">
        <v>193</v>
      </c>
      <c r="E192" t="s">
        <v>158</v>
      </c>
      <c r="F192" t="s">
        <v>169</v>
      </c>
      <c r="G192" t="s">
        <v>92</v>
      </c>
      <c r="H192">
        <v>0</v>
      </c>
      <c r="I192">
        <v>0</v>
      </c>
      <c r="J192">
        <v>0</v>
      </c>
      <c r="K192" t="s">
        <v>104</v>
      </c>
      <c r="L192">
        <v>0</v>
      </c>
      <c r="M192">
        <v>4</v>
      </c>
      <c r="N192">
        <v>0</v>
      </c>
      <c r="O192">
        <v>15</v>
      </c>
      <c r="P192">
        <v>5</v>
      </c>
      <c r="Q192">
        <v>3.8</v>
      </c>
      <c r="R192">
        <v>100</v>
      </c>
      <c r="S192">
        <v>0</v>
      </c>
      <c r="T192">
        <v>0</v>
      </c>
      <c r="U192" s="8">
        <v>100</v>
      </c>
      <c r="V192" s="8">
        <f t="shared" si="2"/>
        <v>10</v>
      </c>
    </row>
    <row r="193" spans="1:22" x14ac:dyDescent="0.3">
      <c r="A193" t="s">
        <v>142</v>
      </c>
      <c r="B193">
        <v>1</v>
      </c>
      <c r="C193" t="s">
        <v>198</v>
      </c>
      <c r="D193" t="s">
        <v>199</v>
      </c>
      <c r="E193" t="s">
        <v>158</v>
      </c>
      <c r="F193" t="s">
        <v>101</v>
      </c>
      <c r="G193" t="s">
        <v>134</v>
      </c>
      <c r="H193">
        <v>0</v>
      </c>
      <c r="I193">
        <v>0</v>
      </c>
      <c r="J193">
        <v>0</v>
      </c>
      <c r="K193" t="s">
        <v>104</v>
      </c>
      <c r="L193">
        <v>0</v>
      </c>
      <c r="M193">
        <v>4</v>
      </c>
      <c r="N193">
        <v>0</v>
      </c>
      <c r="O193">
        <v>19</v>
      </c>
      <c r="P193">
        <v>0</v>
      </c>
      <c r="Q193">
        <v>4.8</v>
      </c>
      <c r="R193">
        <v>0</v>
      </c>
      <c r="S193">
        <v>0</v>
      </c>
      <c r="T193">
        <v>0</v>
      </c>
      <c r="U193" s="8">
        <v>0</v>
      </c>
      <c r="V193" s="8">
        <f t="shared" si="2"/>
        <v>0</v>
      </c>
    </row>
    <row r="194" spans="1:22" x14ac:dyDescent="0.3">
      <c r="A194" t="s">
        <v>142</v>
      </c>
      <c r="B194">
        <v>1</v>
      </c>
      <c r="C194" t="s">
        <v>206</v>
      </c>
      <c r="D194" t="s">
        <v>207</v>
      </c>
      <c r="E194" t="s">
        <v>158</v>
      </c>
      <c r="F194" t="s">
        <v>101</v>
      </c>
      <c r="G194" t="s">
        <v>134</v>
      </c>
      <c r="H194">
        <v>0</v>
      </c>
      <c r="I194">
        <v>0</v>
      </c>
      <c r="J194">
        <v>0</v>
      </c>
      <c r="K194" t="s">
        <v>104</v>
      </c>
      <c r="L194">
        <v>0</v>
      </c>
      <c r="M194">
        <v>4</v>
      </c>
      <c r="N194">
        <v>0</v>
      </c>
      <c r="O194">
        <v>19</v>
      </c>
      <c r="P194">
        <v>1</v>
      </c>
      <c r="Q194">
        <v>4.8</v>
      </c>
      <c r="R194">
        <v>20</v>
      </c>
      <c r="S194">
        <v>0</v>
      </c>
      <c r="T194">
        <v>0</v>
      </c>
      <c r="U194" s="8">
        <v>20</v>
      </c>
      <c r="V194" s="8">
        <f t="shared" si="2"/>
        <v>2</v>
      </c>
    </row>
    <row r="195" spans="1:22" x14ac:dyDescent="0.3">
      <c r="A195" t="s">
        <v>142</v>
      </c>
      <c r="B195">
        <v>1</v>
      </c>
      <c r="C195" t="s">
        <v>208</v>
      </c>
      <c r="D195" t="s">
        <v>160</v>
      </c>
      <c r="E195" t="s">
        <v>158</v>
      </c>
      <c r="F195" t="s">
        <v>101</v>
      </c>
      <c r="G195" t="s">
        <v>135</v>
      </c>
      <c r="H195">
        <v>0</v>
      </c>
      <c r="I195">
        <v>0</v>
      </c>
      <c r="J195">
        <v>0</v>
      </c>
      <c r="K195" t="s">
        <v>104</v>
      </c>
      <c r="L195">
        <v>0</v>
      </c>
      <c r="M195">
        <v>1</v>
      </c>
      <c r="N195">
        <v>0</v>
      </c>
      <c r="O195">
        <v>6</v>
      </c>
      <c r="P195">
        <v>0</v>
      </c>
      <c r="Q195">
        <v>6</v>
      </c>
      <c r="R195">
        <v>0</v>
      </c>
      <c r="S195">
        <v>0</v>
      </c>
      <c r="T195">
        <v>0</v>
      </c>
      <c r="U195" s="8">
        <v>0</v>
      </c>
      <c r="V195" s="8">
        <f t="shared" ref="V195:V258" si="3">MIN(10, MAX(0, ROUND(U195/10,0)))</f>
        <v>0</v>
      </c>
    </row>
    <row r="196" spans="1:22" x14ac:dyDescent="0.3">
      <c r="A196" t="s">
        <v>142</v>
      </c>
      <c r="B196">
        <v>1</v>
      </c>
      <c r="C196" t="s">
        <v>204</v>
      </c>
      <c r="D196" t="s">
        <v>205</v>
      </c>
      <c r="E196" t="s">
        <v>158</v>
      </c>
      <c r="F196" t="s">
        <v>91</v>
      </c>
      <c r="G196" t="s">
        <v>135</v>
      </c>
      <c r="H196">
        <v>0</v>
      </c>
      <c r="I196">
        <v>0</v>
      </c>
      <c r="J196">
        <v>0</v>
      </c>
      <c r="K196" t="s">
        <v>104</v>
      </c>
      <c r="L196">
        <v>0</v>
      </c>
      <c r="M196">
        <v>4</v>
      </c>
      <c r="N196">
        <v>0</v>
      </c>
      <c r="O196">
        <v>26</v>
      </c>
      <c r="P196">
        <v>3</v>
      </c>
      <c r="Q196">
        <v>6.5</v>
      </c>
      <c r="R196">
        <v>60</v>
      </c>
      <c r="S196">
        <v>0</v>
      </c>
      <c r="T196">
        <v>0</v>
      </c>
      <c r="U196" s="8">
        <v>60</v>
      </c>
      <c r="V196" s="8">
        <f t="shared" si="3"/>
        <v>6</v>
      </c>
    </row>
    <row r="197" spans="1:22" x14ac:dyDescent="0.3">
      <c r="A197" t="s">
        <v>142</v>
      </c>
      <c r="B197">
        <v>1</v>
      </c>
      <c r="C197" t="s">
        <v>274</v>
      </c>
      <c r="D197" t="s">
        <v>284</v>
      </c>
      <c r="E197" t="s">
        <v>158</v>
      </c>
      <c r="F197" t="s">
        <v>83</v>
      </c>
      <c r="G197" t="s">
        <v>135</v>
      </c>
      <c r="H197">
        <v>0</v>
      </c>
      <c r="I197">
        <v>0</v>
      </c>
      <c r="J197">
        <v>0</v>
      </c>
      <c r="K197" t="s">
        <v>104</v>
      </c>
      <c r="L197">
        <v>0</v>
      </c>
      <c r="M197">
        <v>3</v>
      </c>
      <c r="N197">
        <v>0</v>
      </c>
      <c r="O197">
        <v>18</v>
      </c>
      <c r="P197">
        <v>0</v>
      </c>
      <c r="Q197">
        <v>6</v>
      </c>
      <c r="R197">
        <v>0</v>
      </c>
      <c r="S197">
        <v>0</v>
      </c>
      <c r="T197">
        <v>0</v>
      </c>
      <c r="U197" s="8">
        <v>0</v>
      </c>
      <c r="V197" s="8">
        <f t="shared" si="3"/>
        <v>0</v>
      </c>
    </row>
    <row r="198" spans="1:22" x14ac:dyDescent="0.3">
      <c r="A198" t="s">
        <v>142</v>
      </c>
      <c r="B198">
        <v>1</v>
      </c>
      <c r="C198" t="s">
        <v>200</v>
      </c>
      <c r="D198" t="s">
        <v>201</v>
      </c>
      <c r="E198" t="s">
        <v>158</v>
      </c>
      <c r="F198" t="s">
        <v>85</v>
      </c>
      <c r="G198" t="s">
        <v>135</v>
      </c>
      <c r="H198">
        <v>0</v>
      </c>
      <c r="I198">
        <v>0</v>
      </c>
      <c r="J198">
        <v>0</v>
      </c>
      <c r="K198" t="s">
        <v>104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s="8">
        <v>0</v>
      </c>
      <c r="V198" s="8">
        <f t="shared" si="3"/>
        <v>0</v>
      </c>
    </row>
    <row r="199" spans="1:22" x14ac:dyDescent="0.3">
      <c r="A199" t="s">
        <v>142</v>
      </c>
      <c r="B199">
        <v>1</v>
      </c>
      <c r="C199" t="s">
        <v>295</v>
      </c>
      <c r="D199" t="s">
        <v>294</v>
      </c>
      <c r="E199" t="s">
        <v>158</v>
      </c>
      <c r="F199" t="s">
        <v>109</v>
      </c>
      <c r="G199" t="s">
        <v>135</v>
      </c>
      <c r="H199">
        <v>0</v>
      </c>
      <c r="I199">
        <v>0</v>
      </c>
      <c r="J199">
        <v>0</v>
      </c>
      <c r="K199" t="s">
        <v>104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s="8">
        <v>0</v>
      </c>
      <c r="V199" s="8">
        <f t="shared" si="3"/>
        <v>0</v>
      </c>
    </row>
    <row r="200" spans="1:22" x14ac:dyDescent="0.3">
      <c r="A200" t="s">
        <v>143</v>
      </c>
      <c r="B200">
        <v>1</v>
      </c>
      <c r="C200" t="s">
        <v>217</v>
      </c>
      <c r="D200" t="s">
        <v>218</v>
      </c>
      <c r="E200" t="s">
        <v>219</v>
      </c>
      <c r="F200" t="s">
        <v>85</v>
      </c>
      <c r="G200" t="s">
        <v>86</v>
      </c>
      <c r="H200">
        <v>58</v>
      </c>
      <c r="I200">
        <v>46</v>
      </c>
      <c r="J200">
        <v>126.09</v>
      </c>
      <c r="K200" t="s">
        <v>247</v>
      </c>
      <c r="L200">
        <v>73.13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s="8">
        <v>73.13</v>
      </c>
      <c r="V200" s="8">
        <f t="shared" si="3"/>
        <v>7</v>
      </c>
    </row>
    <row r="201" spans="1:22" x14ac:dyDescent="0.3">
      <c r="A201" t="s">
        <v>143</v>
      </c>
      <c r="B201">
        <v>1</v>
      </c>
      <c r="C201" t="s">
        <v>231</v>
      </c>
      <c r="D201" t="s">
        <v>232</v>
      </c>
      <c r="E201" t="s">
        <v>219</v>
      </c>
      <c r="F201" t="s">
        <v>109</v>
      </c>
      <c r="G201" t="s">
        <v>86</v>
      </c>
      <c r="H201">
        <v>6</v>
      </c>
      <c r="I201">
        <v>5</v>
      </c>
      <c r="J201">
        <v>120</v>
      </c>
      <c r="K201" t="s">
        <v>247</v>
      </c>
      <c r="L201">
        <v>7.2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s="8">
        <v>7.2</v>
      </c>
      <c r="V201" s="8">
        <f t="shared" si="3"/>
        <v>1</v>
      </c>
    </row>
    <row r="202" spans="1:22" x14ac:dyDescent="0.3">
      <c r="A202" t="s">
        <v>143</v>
      </c>
      <c r="B202">
        <v>1</v>
      </c>
      <c r="C202" t="s">
        <v>229</v>
      </c>
      <c r="D202" t="s">
        <v>230</v>
      </c>
      <c r="E202" t="s">
        <v>219</v>
      </c>
      <c r="F202" t="s">
        <v>109</v>
      </c>
      <c r="G202" t="s">
        <v>92</v>
      </c>
      <c r="H202">
        <v>17</v>
      </c>
      <c r="I202">
        <v>14</v>
      </c>
      <c r="J202">
        <v>121.43</v>
      </c>
      <c r="K202" t="s">
        <v>246</v>
      </c>
      <c r="L202">
        <v>20.64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s="8">
        <v>20.64</v>
      </c>
      <c r="V202" s="8">
        <f t="shared" si="3"/>
        <v>2</v>
      </c>
    </row>
    <row r="203" spans="1:22" x14ac:dyDescent="0.3">
      <c r="A203" t="s">
        <v>143</v>
      </c>
      <c r="B203">
        <v>1</v>
      </c>
      <c r="C203" t="s">
        <v>222</v>
      </c>
      <c r="D203" t="s">
        <v>223</v>
      </c>
      <c r="E203" t="s">
        <v>219</v>
      </c>
      <c r="F203" t="s">
        <v>169</v>
      </c>
      <c r="G203" t="s">
        <v>92</v>
      </c>
      <c r="H203">
        <v>50</v>
      </c>
      <c r="I203">
        <v>37</v>
      </c>
      <c r="J203">
        <v>135.13999999999999</v>
      </c>
      <c r="K203" t="s">
        <v>248</v>
      </c>
      <c r="L203">
        <v>67.569999999999993</v>
      </c>
      <c r="M203">
        <v>1</v>
      </c>
      <c r="N203">
        <v>0</v>
      </c>
      <c r="O203">
        <v>19</v>
      </c>
      <c r="P203">
        <v>0</v>
      </c>
      <c r="Q203">
        <v>19</v>
      </c>
      <c r="R203">
        <v>0</v>
      </c>
      <c r="S203">
        <v>0</v>
      </c>
      <c r="T203">
        <v>0</v>
      </c>
      <c r="U203" s="8">
        <v>67.569999999999993</v>
      </c>
      <c r="V203" s="8">
        <f t="shared" si="3"/>
        <v>7</v>
      </c>
    </row>
    <row r="204" spans="1:22" x14ac:dyDescent="0.3">
      <c r="A204" t="s">
        <v>143</v>
      </c>
      <c r="B204">
        <v>1</v>
      </c>
      <c r="C204" t="s">
        <v>227</v>
      </c>
      <c r="D204" t="s">
        <v>228</v>
      </c>
      <c r="E204" t="s">
        <v>219</v>
      </c>
      <c r="F204" t="s">
        <v>109</v>
      </c>
      <c r="G204" t="s">
        <v>134</v>
      </c>
      <c r="H204">
        <v>9</v>
      </c>
      <c r="I204">
        <v>8</v>
      </c>
      <c r="J204">
        <v>112.5</v>
      </c>
      <c r="K204" t="s">
        <v>96</v>
      </c>
      <c r="L204">
        <v>10.130000000000001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s="8">
        <v>10.130000000000001</v>
      </c>
      <c r="V204" s="8">
        <f t="shared" si="3"/>
        <v>1</v>
      </c>
    </row>
    <row r="205" spans="1:22" x14ac:dyDescent="0.3">
      <c r="A205" t="s">
        <v>143</v>
      </c>
      <c r="B205">
        <v>1</v>
      </c>
      <c r="C205" t="s">
        <v>233</v>
      </c>
      <c r="D205" t="s">
        <v>234</v>
      </c>
      <c r="E205" t="s">
        <v>219</v>
      </c>
      <c r="F205" t="s">
        <v>101</v>
      </c>
      <c r="G205" t="s">
        <v>134</v>
      </c>
      <c r="H205">
        <v>1</v>
      </c>
      <c r="I205">
        <v>4</v>
      </c>
      <c r="J205">
        <v>25</v>
      </c>
      <c r="K205" t="s">
        <v>246</v>
      </c>
      <c r="L205">
        <v>0.25</v>
      </c>
      <c r="M205">
        <v>4</v>
      </c>
      <c r="N205">
        <v>0</v>
      </c>
      <c r="O205">
        <v>30</v>
      </c>
      <c r="P205">
        <v>1</v>
      </c>
      <c r="Q205">
        <v>7.5</v>
      </c>
      <c r="R205">
        <v>20</v>
      </c>
      <c r="S205">
        <v>0</v>
      </c>
      <c r="T205">
        <v>0</v>
      </c>
      <c r="U205" s="8">
        <v>20.25</v>
      </c>
      <c r="V205" s="8">
        <f t="shared" si="3"/>
        <v>2</v>
      </c>
    </row>
    <row r="206" spans="1:22" x14ac:dyDescent="0.3">
      <c r="A206" t="s">
        <v>143</v>
      </c>
      <c r="B206">
        <v>1</v>
      </c>
      <c r="C206" t="s">
        <v>224</v>
      </c>
      <c r="D206" t="s">
        <v>225</v>
      </c>
      <c r="E206" t="s">
        <v>219</v>
      </c>
      <c r="F206" t="s">
        <v>83</v>
      </c>
      <c r="G206" t="s">
        <v>134</v>
      </c>
      <c r="H206">
        <v>7</v>
      </c>
      <c r="I206">
        <v>6</v>
      </c>
      <c r="J206">
        <v>116.67</v>
      </c>
      <c r="K206" t="s">
        <v>248</v>
      </c>
      <c r="L206">
        <v>8.17</v>
      </c>
      <c r="M206">
        <v>3</v>
      </c>
      <c r="N206">
        <v>0</v>
      </c>
      <c r="O206">
        <v>30</v>
      </c>
      <c r="P206">
        <v>0</v>
      </c>
      <c r="Q206">
        <v>10</v>
      </c>
      <c r="R206">
        <v>0</v>
      </c>
      <c r="S206">
        <v>0</v>
      </c>
      <c r="T206">
        <v>0</v>
      </c>
      <c r="U206" s="8">
        <v>8.17</v>
      </c>
      <c r="V206" s="8">
        <f t="shared" si="3"/>
        <v>1</v>
      </c>
    </row>
    <row r="207" spans="1:22" x14ac:dyDescent="0.3">
      <c r="A207" t="s">
        <v>143</v>
      </c>
      <c r="B207">
        <v>1</v>
      </c>
      <c r="C207" t="s">
        <v>220</v>
      </c>
      <c r="D207" t="s">
        <v>221</v>
      </c>
      <c r="E207" t="s">
        <v>219</v>
      </c>
      <c r="F207" t="s">
        <v>109</v>
      </c>
      <c r="G207" t="s">
        <v>134</v>
      </c>
      <c r="H207">
        <v>2</v>
      </c>
      <c r="I207">
        <v>2</v>
      </c>
      <c r="J207">
        <v>100</v>
      </c>
      <c r="K207" t="s">
        <v>96</v>
      </c>
      <c r="L207">
        <v>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s="8">
        <v>2</v>
      </c>
      <c r="V207" s="8">
        <f t="shared" si="3"/>
        <v>0</v>
      </c>
    </row>
    <row r="208" spans="1:22" x14ac:dyDescent="0.3">
      <c r="A208" t="s">
        <v>143</v>
      </c>
      <c r="B208">
        <v>1</v>
      </c>
      <c r="C208" t="s">
        <v>265</v>
      </c>
      <c r="D208" t="s">
        <v>264</v>
      </c>
      <c r="E208" t="s">
        <v>219</v>
      </c>
      <c r="F208" t="s">
        <v>101</v>
      </c>
      <c r="G208" t="s">
        <v>135</v>
      </c>
      <c r="H208">
        <v>0</v>
      </c>
      <c r="I208">
        <v>0</v>
      </c>
      <c r="J208">
        <v>0</v>
      </c>
      <c r="K208" t="s">
        <v>104</v>
      </c>
      <c r="L208">
        <v>0</v>
      </c>
      <c r="M208">
        <v>3.3</v>
      </c>
      <c r="N208">
        <v>0</v>
      </c>
      <c r="O208">
        <v>34</v>
      </c>
      <c r="P208">
        <v>0</v>
      </c>
      <c r="Q208">
        <v>9.6999999999999993</v>
      </c>
      <c r="R208">
        <v>0</v>
      </c>
      <c r="S208">
        <v>0</v>
      </c>
      <c r="T208">
        <v>0</v>
      </c>
      <c r="U208" s="8">
        <v>0</v>
      </c>
      <c r="V208" s="8">
        <f t="shared" si="3"/>
        <v>0</v>
      </c>
    </row>
    <row r="209" spans="1:22" x14ac:dyDescent="0.3">
      <c r="A209" t="s">
        <v>143</v>
      </c>
      <c r="B209">
        <v>1</v>
      </c>
      <c r="C209" t="s">
        <v>235</v>
      </c>
      <c r="D209" t="s">
        <v>236</v>
      </c>
      <c r="E209" t="s">
        <v>219</v>
      </c>
      <c r="F209" t="s">
        <v>101</v>
      </c>
      <c r="G209" t="s">
        <v>135</v>
      </c>
      <c r="H209">
        <v>0</v>
      </c>
      <c r="I209">
        <v>0</v>
      </c>
      <c r="J209">
        <v>0</v>
      </c>
      <c r="K209" t="s">
        <v>104</v>
      </c>
      <c r="L209">
        <v>0</v>
      </c>
      <c r="M209">
        <v>2</v>
      </c>
      <c r="N209">
        <v>0</v>
      </c>
      <c r="O209">
        <v>14</v>
      </c>
      <c r="P209">
        <v>0</v>
      </c>
      <c r="Q209">
        <v>7</v>
      </c>
      <c r="R209">
        <v>0</v>
      </c>
      <c r="S209">
        <v>0</v>
      </c>
      <c r="T209">
        <v>0</v>
      </c>
      <c r="U209" s="8">
        <v>0</v>
      </c>
      <c r="V209" s="8">
        <f t="shared" si="3"/>
        <v>0</v>
      </c>
    </row>
    <row r="210" spans="1:22" x14ac:dyDescent="0.3">
      <c r="A210" t="s">
        <v>143</v>
      </c>
      <c r="B210">
        <v>1</v>
      </c>
      <c r="C210" t="s">
        <v>237</v>
      </c>
      <c r="D210" t="s">
        <v>238</v>
      </c>
      <c r="E210" t="s">
        <v>219</v>
      </c>
      <c r="F210" t="s">
        <v>101</v>
      </c>
      <c r="G210" t="s">
        <v>135</v>
      </c>
      <c r="H210">
        <v>0</v>
      </c>
      <c r="I210">
        <v>0</v>
      </c>
      <c r="J210">
        <v>0</v>
      </c>
      <c r="K210" t="s">
        <v>104</v>
      </c>
      <c r="L210">
        <v>0</v>
      </c>
      <c r="M210">
        <v>4</v>
      </c>
      <c r="N210">
        <v>0</v>
      </c>
      <c r="O210">
        <v>33</v>
      </c>
      <c r="P210">
        <v>1</v>
      </c>
      <c r="Q210">
        <v>8.1999999999999993</v>
      </c>
      <c r="R210">
        <v>20</v>
      </c>
      <c r="S210">
        <v>0</v>
      </c>
      <c r="T210">
        <v>0</v>
      </c>
      <c r="U210" s="8">
        <v>20</v>
      </c>
      <c r="V210" s="8">
        <f t="shared" si="3"/>
        <v>2</v>
      </c>
    </row>
    <row r="211" spans="1:22" x14ac:dyDescent="0.3">
      <c r="A211" t="s">
        <v>143</v>
      </c>
      <c r="B211">
        <v>1</v>
      </c>
      <c r="C211" t="s">
        <v>112</v>
      </c>
      <c r="D211" t="s">
        <v>88</v>
      </c>
      <c r="E211" t="s">
        <v>266</v>
      </c>
      <c r="F211" t="s">
        <v>83</v>
      </c>
      <c r="G211" t="s">
        <v>86</v>
      </c>
      <c r="H211">
        <v>12</v>
      </c>
      <c r="I211">
        <v>17</v>
      </c>
      <c r="J211">
        <v>70.59</v>
      </c>
      <c r="K211" t="s">
        <v>246</v>
      </c>
      <c r="L211">
        <v>8.4700000000000006</v>
      </c>
      <c r="M211">
        <v>4</v>
      </c>
      <c r="N211">
        <v>0</v>
      </c>
      <c r="O211">
        <v>27</v>
      </c>
      <c r="P211">
        <v>1</v>
      </c>
      <c r="Q211">
        <v>6.8</v>
      </c>
      <c r="R211">
        <v>20</v>
      </c>
      <c r="S211">
        <v>0</v>
      </c>
      <c r="T211">
        <v>0</v>
      </c>
      <c r="U211" s="8">
        <v>28.47</v>
      </c>
      <c r="V211" s="8">
        <f t="shared" si="3"/>
        <v>3</v>
      </c>
    </row>
    <row r="212" spans="1:22" x14ac:dyDescent="0.3">
      <c r="A212" t="s">
        <v>143</v>
      </c>
      <c r="B212">
        <v>1</v>
      </c>
      <c r="C212" t="s">
        <v>113</v>
      </c>
      <c r="D212" t="s">
        <v>84</v>
      </c>
      <c r="E212" t="s">
        <v>266</v>
      </c>
      <c r="F212" t="s">
        <v>85</v>
      </c>
      <c r="G212" t="s">
        <v>86</v>
      </c>
      <c r="H212">
        <v>42</v>
      </c>
      <c r="I212">
        <v>27</v>
      </c>
      <c r="J212">
        <v>155.56</v>
      </c>
      <c r="K212" t="s">
        <v>246</v>
      </c>
      <c r="L212">
        <v>65.33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s="8">
        <v>65.33</v>
      </c>
      <c r="V212" s="8">
        <f t="shared" si="3"/>
        <v>7</v>
      </c>
    </row>
    <row r="213" spans="1:22" x14ac:dyDescent="0.3">
      <c r="A213" t="s">
        <v>143</v>
      </c>
      <c r="B213">
        <v>1</v>
      </c>
      <c r="C213" t="s">
        <v>117</v>
      </c>
      <c r="D213" t="s">
        <v>90</v>
      </c>
      <c r="E213" t="s">
        <v>266</v>
      </c>
      <c r="F213" t="s">
        <v>91</v>
      </c>
      <c r="G213" t="s">
        <v>92</v>
      </c>
      <c r="H213">
        <v>45</v>
      </c>
      <c r="I213">
        <v>31</v>
      </c>
      <c r="J213">
        <v>145.16</v>
      </c>
      <c r="K213" t="s">
        <v>96</v>
      </c>
      <c r="L213">
        <v>65.319999999999993</v>
      </c>
      <c r="M213">
        <v>3</v>
      </c>
      <c r="N213">
        <v>0</v>
      </c>
      <c r="O213">
        <v>19</v>
      </c>
      <c r="P213">
        <v>0</v>
      </c>
      <c r="Q213">
        <v>6.3</v>
      </c>
      <c r="R213">
        <v>0</v>
      </c>
      <c r="S213">
        <v>0</v>
      </c>
      <c r="T213">
        <v>0</v>
      </c>
      <c r="U213" s="8">
        <v>65.319999999999993</v>
      </c>
      <c r="V213" s="8">
        <f t="shared" si="3"/>
        <v>7</v>
      </c>
    </row>
    <row r="214" spans="1:22" x14ac:dyDescent="0.3">
      <c r="A214" t="s">
        <v>143</v>
      </c>
      <c r="B214">
        <v>1</v>
      </c>
      <c r="C214" t="s">
        <v>115</v>
      </c>
      <c r="D214" t="s">
        <v>17</v>
      </c>
      <c r="E214" t="s">
        <v>266</v>
      </c>
      <c r="F214" t="s">
        <v>83</v>
      </c>
      <c r="G214" t="s">
        <v>92</v>
      </c>
      <c r="H214">
        <v>53</v>
      </c>
      <c r="I214">
        <v>33</v>
      </c>
      <c r="J214">
        <v>160.61000000000001</v>
      </c>
      <c r="K214" t="s">
        <v>96</v>
      </c>
      <c r="L214">
        <v>85.12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s="8">
        <v>85.12</v>
      </c>
      <c r="V214" s="8">
        <f t="shared" si="3"/>
        <v>9</v>
      </c>
    </row>
    <row r="215" spans="1:22" x14ac:dyDescent="0.3">
      <c r="A215" t="s">
        <v>143</v>
      </c>
      <c r="B215">
        <v>1</v>
      </c>
      <c r="C215" t="s">
        <v>119</v>
      </c>
      <c r="D215" t="s">
        <v>95</v>
      </c>
      <c r="E215" t="s">
        <v>266</v>
      </c>
      <c r="F215" t="s">
        <v>101</v>
      </c>
      <c r="G215" t="s">
        <v>134</v>
      </c>
      <c r="H215">
        <v>0</v>
      </c>
      <c r="I215">
        <v>0</v>
      </c>
      <c r="J215">
        <v>0</v>
      </c>
      <c r="K215" t="s">
        <v>104</v>
      </c>
      <c r="L215">
        <v>0</v>
      </c>
      <c r="M215">
        <v>4</v>
      </c>
      <c r="N215">
        <v>0</v>
      </c>
      <c r="O215">
        <v>33</v>
      </c>
      <c r="P215">
        <v>2</v>
      </c>
      <c r="Q215">
        <v>8.1999999999999993</v>
      </c>
      <c r="R215">
        <v>40</v>
      </c>
      <c r="S215">
        <v>0</v>
      </c>
      <c r="T215">
        <v>0</v>
      </c>
      <c r="U215" s="8">
        <v>40</v>
      </c>
      <c r="V215" s="8">
        <f t="shared" si="3"/>
        <v>4</v>
      </c>
    </row>
    <row r="216" spans="1:22" x14ac:dyDescent="0.3">
      <c r="A216" t="s">
        <v>143</v>
      </c>
      <c r="B216">
        <v>1</v>
      </c>
      <c r="C216" t="s">
        <v>127</v>
      </c>
      <c r="D216" t="s">
        <v>100</v>
      </c>
      <c r="E216" t="s">
        <v>266</v>
      </c>
      <c r="F216" t="s">
        <v>101</v>
      </c>
      <c r="G216" t="s">
        <v>134</v>
      </c>
      <c r="H216">
        <v>0</v>
      </c>
      <c r="I216">
        <v>0</v>
      </c>
      <c r="J216">
        <v>0</v>
      </c>
      <c r="K216" t="s">
        <v>104</v>
      </c>
      <c r="L216">
        <v>0</v>
      </c>
      <c r="M216">
        <v>4</v>
      </c>
      <c r="N216">
        <v>0</v>
      </c>
      <c r="O216">
        <v>29</v>
      </c>
      <c r="P216">
        <v>0</v>
      </c>
      <c r="Q216">
        <v>7.2</v>
      </c>
      <c r="R216">
        <v>0</v>
      </c>
      <c r="S216">
        <v>0</v>
      </c>
      <c r="T216">
        <v>0</v>
      </c>
      <c r="U216" s="8">
        <v>0</v>
      </c>
      <c r="V216" s="8">
        <f t="shared" si="3"/>
        <v>0</v>
      </c>
    </row>
    <row r="217" spans="1:22" x14ac:dyDescent="0.3">
      <c r="A217" t="s">
        <v>143</v>
      </c>
      <c r="B217">
        <v>1</v>
      </c>
      <c r="C217" t="s">
        <v>129</v>
      </c>
      <c r="D217" t="s">
        <v>103</v>
      </c>
      <c r="E217" t="s">
        <v>266</v>
      </c>
      <c r="F217" t="s">
        <v>91</v>
      </c>
      <c r="G217" t="s">
        <v>134</v>
      </c>
      <c r="H217">
        <v>0</v>
      </c>
      <c r="I217">
        <v>0</v>
      </c>
      <c r="J217">
        <v>0</v>
      </c>
      <c r="K217" t="s">
        <v>104</v>
      </c>
      <c r="L217">
        <v>0</v>
      </c>
      <c r="M217">
        <v>1</v>
      </c>
      <c r="N217">
        <v>0</v>
      </c>
      <c r="O217">
        <v>13</v>
      </c>
      <c r="P217">
        <v>0</v>
      </c>
      <c r="Q217">
        <v>13</v>
      </c>
      <c r="R217">
        <v>0</v>
      </c>
      <c r="S217">
        <v>0</v>
      </c>
      <c r="T217">
        <v>0</v>
      </c>
      <c r="U217" s="8">
        <v>0</v>
      </c>
      <c r="V217" s="8">
        <f t="shared" si="3"/>
        <v>0</v>
      </c>
    </row>
    <row r="218" spans="1:22" x14ac:dyDescent="0.3">
      <c r="A218" t="s">
        <v>143</v>
      </c>
      <c r="B218">
        <v>1</v>
      </c>
      <c r="C218" t="s">
        <v>125</v>
      </c>
      <c r="D218" t="s">
        <v>111</v>
      </c>
      <c r="E218" t="s">
        <v>266</v>
      </c>
      <c r="F218" t="s">
        <v>83</v>
      </c>
      <c r="G218" t="s">
        <v>135</v>
      </c>
      <c r="H218">
        <v>0</v>
      </c>
      <c r="I218">
        <v>0</v>
      </c>
      <c r="J218">
        <v>0</v>
      </c>
      <c r="K218" t="s">
        <v>104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s="8">
        <v>0</v>
      </c>
      <c r="V218" s="8">
        <f t="shared" si="3"/>
        <v>0</v>
      </c>
    </row>
    <row r="219" spans="1:22" x14ac:dyDescent="0.3">
      <c r="A219" t="s">
        <v>143</v>
      </c>
      <c r="B219">
        <v>1</v>
      </c>
      <c r="C219" t="s">
        <v>121</v>
      </c>
      <c r="D219" t="s">
        <v>108</v>
      </c>
      <c r="E219" t="s">
        <v>266</v>
      </c>
      <c r="F219" t="s">
        <v>109</v>
      </c>
      <c r="G219" t="s">
        <v>135</v>
      </c>
      <c r="H219">
        <v>0</v>
      </c>
      <c r="I219">
        <v>0</v>
      </c>
      <c r="J219">
        <v>0</v>
      </c>
      <c r="K219" t="s">
        <v>104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s="8">
        <v>0</v>
      </c>
      <c r="V219" s="8">
        <f t="shared" si="3"/>
        <v>0</v>
      </c>
    </row>
    <row r="220" spans="1:22" x14ac:dyDescent="0.3">
      <c r="A220" t="s">
        <v>143</v>
      </c>
      <c r="B220">
        <v>1</v>
      </c>
      <c r="C220" t="s">
        <v>131</v>
      </c>
      <c r="D220" t="s">
        <v>106</v>
      </c>
      <c r="E220" t="s">
        <v>266</v>
      </c>
      <c r="F220" t="s">
        <v>101</v>
      </c>
      <c r="G220" t="s">
        <v>135</v>
      </c>
      <c r="H220">
        <v>0</v>
      </c>
      <c r="I220">
        <v>0</v>
      </c>
      <c r="J220">
        <v>0</v>
      </c>
      <c r="K220" t="s">
        <v>104</v>
      </c>
      <c r="L220">
        <v>0</v>
      </c>
      <c r="M220">
        <v>4</v>
      </c>
      <c r="N220">
        <v>0</v>
      </c>
      <c r="O220">
        <v>33</v>
      </c>
      <c r="P220">
        <v>3</v>
      </c>
      <c r="Q220">
        <v>8.1999999999999993</v>
      </c>
      <c r="R220">
        <v>60</v>
      </c>
      <c r="S220">
        <v>0</v>
      </c>
      <c r="T220">
        <v>0</v>
      </c>
      <c r="U220" s="8">
        <v>60</v>
      </c>
      <c r="V220" s="8">
        <f t="shared" si="3"/>
        <v>6</v>
      </c>
    </row>
    <row r="221" spans="1:22" x14ac:dyDescent="0.3">
      <c r="A221" t="s">
        <v>143</v>
      </c>
      <c r="B221">
        <v>1</v>
      </c>
      <c r="C221" t="s">
        <v>226</v>
      </c>
      <c r="D221" t="s">
        <v>211</v>
      </c>
      <c r="E221" t="s">
        <v>266</v>
      </c>
      <c r="F221" t="s">
        <v>101</v>
      </c>
      <c r="G221" t="s">
        <v>135</v>
      </c>
      <c r="H221">
        <v>0</v>
      </c>
      <c r="I221">
        <v>0</v>
      </c>
      <c r="J221">
        <v>0</v>
      </c>
      <c r="K221" t="s">
        <v>104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s="8">
        <v>0</v>
      </c>
      <c r="V221" s="8">
        <f t="shared" si="3"/>
        <v>0</v>
      </c>
    </row>
    <row r="222" spans="1:22" x14ac:dyDescent="0.3">
      <c r="A222" t="s">
        <v>144</v>
      </c>
      <c r="B222">
        <v>1</v>
      </c>
      <c r="C222" t="s">
        <v>165</v>
      </c>
      <c r="D222" t="s">
        <v>166</v>
      </c>
      <c r="E222" t="s">
        <v>159</v>
      </c>
      <c r="F222" t="s">
        <v>109</v>
      </c>
      <c r="G222" t="s">
        <v>86</v>
      </c>
      <c r="H222">
        <v>8</v>
      </c>
      <c r="I222">
        <v>15</v>
      </c>
      <c r="J222">
        <v>53.33</v>
      </c>
      <c r="K222" t="s">
        <v>246</v>
      </c>
      <c r="L222">
        <v>4.2699999999999996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s="8">
        <v>4.2699999999999996</v>
      </c>
      <c r="V222" s="8">
        <f t="shared" si="3"/>
        <v>0</v>
      </c>
    </row>
    <row r="223" spans="1:22" x14ac:dyDescent="0.3">
      <c r="A223" t="s">
        <v>144</v>
      </c>
      <c r="B223">
        <v>1</v>
      </c>
      <c r="C223" t="s">
        <v>167</v>
      </c>
      <c r="D223" t="s">
        <v>168</v>
      </c>
      <c r="E223" t="s">
        <v>159</v>
      </c>
      <c r="F223" t="s">
        <v>83</v>
      </c>
      <c r="G223" t="s">
        <v>86</v>
      </c>
      <c r="H223">
        <v>21</v>
      </c>
      <c r="I223">
        <v>19</v>
      </c>
      <c r="J223">
        <v>110.53</v>
      </c>
      <c r="K223" t="s">
        <v>245</v>
      </c>
      <c r="L223">
        <v>23.21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s="8">
        <v>23.21</v>
      </c>
      <c r="V223" s="8">
        <f t="shared" si="3"/>
        <v>2</v>
      </c>
    </row>
    <row r="224" spans="1:22" x14ac:dyDescent="0.3">
      <c r="A224" t="s">
        <v>144</v>
      </c>
      <c r="B224">
        <v>1</v>
      </c>
      <c r="C224" t="s">
        <v>174</v>
      </c>
      <c r="D224" t="s">
        <v>175</v>
      </c>
      <c r="E224" t="s">
        <v>159</v>
      </c>
      <c r="F224" t="s">
        <v>83</v>
      </c>
      <c r="G224" t="s">
        <v>92</v>
      </c>
      <c r="H224">
        <v>67</v>
      </c>
      <c r="I224">
        <v>52</v>
      </c>
      <c r="J224">
        <v>128.85</v>
      </c>
      <c r="K224" t="s">
        <v>96</v>
      </c>
      <c r="L224">
        <v>86.33</v>
      </c>
      <c r="M224">
        <v>4</v>
      </c>
      <c r="N224">
        <v>0</v>
      </c>
      <c r="O224">
        <v>28</v>
      </c>
      <c r="P224">
        <v>0</v>
      </c>
      <c r="Q224">
        <v>7</v>
      </c>
      <c r="R224">
        <v>0</v>
      </c>
      <c r="S224">
        <v>0</v>
      </c>
      <c r="T224">
        <v>0</v>
      </c>
      <c r="U224" s="8">
        <v>86.33</v>
      </c>
      <c r="V224" s="8">
        <f t="shared" si="3"/>
        <v>9</v>
      </c>
    </row>
    <row r="225" spans="1:22" x14ac:dyDescent="0.3">
      <c r="A225" t="s">
        <v>144</v>
      </c>
      <c r="B225">
        <v>1</v>
      </c>
      <c r="C225" t="s">
        <v>170</v>
      </c>
      <c r="D225" t="s">
        <v>171</v>
      </c>
      <c r="E225" t="s">
        <v>159</v>
      </c>
      <c r="F225" t="s">
        <v>83</v>
      </c>
      <c r="G225" t="s">
        <v>92</v>
      </c>
      <c r="H225">
        <v>11</v>
      </c>
      <c r="I225">
        <v>12</v>
      </c>
      <c r="J225">
        <v>91.67</v>
      </c>
      <c r="K225" t="s">
        <v>246</v>
      </c>
      <c r="L225">
        <v>10.08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s="8">
        <v>10.08</v>
      </c>
      <c r="V225" s="8">
        <f t="shared" si="3"/>
        <v>1</v>
      </c>
    </row>
    <row r="226" spans="1:22" x14ac:dyDescent="0.3">
      <c r="A226" t="s">
        <v>144</v>
      </c>
      <c r="B226">
        <v>1</v>
      </c>
      <c r="C226" t="s">
        <v>176</v>
      </c>
      <c r="D226" t="s">
        <v>177</v>
      </c>
      <c r="E226" t="s">
        <v>159</v>
      </c>
      <c r="F226" t="s">
        <v>85</v>
      </c>
      <c r="G226" t="s">
        <v>134</v>
      </c>
      <c r="H226">
        <v>37</v>
      </c>
      <c r="I226">
        <v>16</v>
      </c>
      <c r="J226">
        <v>231.25</v>
      </c>
      <c r="K226" t="s">
        <v>246</v>
      </c>
      <c r="L226">
        <v>85.56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s="8">
        <v>85.56</v>
      </c>
      <c r="V226" s="8">
        <f t="shared" si="3"/>
        <v>9</v>
      </c>
    </row>
    <row r="227" spans="1:22" x14ac:dyDescent="0.3">
      <c r="A227" t="s">
        <v>144</v>
      </c>
      <c r="B227">
        <v>1</v>
      </c>
      <c r="C227" t="s">
        <v>259</v>
      </c>
      <c r="D227" t="s">
        <v>257</v>
      </c>
      <c r="E227" t="s">
        <v>159</v>
      </c>
      <c r="F227" t="s">
        <v>101</v>
      </c>
      <c r="G227" t="s">
        <v>134</v>
      </c>
      <c r="H227">
        <v>4</v>
      </c>
      <c r="I227">
        <v>6</v>
      </c>
      <c r="J227">
        <v>66.67</v>
      </c>
      <c r="K227" t="s">
        <v>96</v>
      </c>
      <c r="L227">
        <v>2.67</v>
      </c>
      <c r="M227">
        <v>4</v>
      </c>
      <c r="N227">
        <v>0</v>
      </c>
      <c r="O227">
        <v>28</v>
      </c>
      <c r="P227">
        <v>0</v>
      </c>
      <c r="Q227">
        <v>7</v>
      </c>
      <c r="R227">
        <v>0</v>
      </c>
      <c r="S227">
        <v>0</v>
      </c>
      <c r="T227">
        <v>0</v>
      </c>
      <c r="U227" s="8">
        <v>2.67</v>
      </c>
      <c r="V227" s="8">
        <f t="shared" si="3"/>
        <v>0</v>
      </c>
    </row>
    <row r="228" spans="1:22" x14ac:dyDescent="0.3">
      <c r="A228" t="s">
        <v>144</v>
      </c>
      <c r="B228">
        <v>1</v>
      </c>
      <c r="C228" t="s">
        <v>172</v>
      </c>
      <c r="D228" t="s">
        <v>173</v>
      </c>
      <c r="E228" t="s">
        <v>159</v>
      </c>
      <c r="F228" t="s">
        <v>109</v>
      </c>
      <c r="G228" t="s">
        <v>135</v>
      </c>
      <c r="H228">
        <v>0</v>
      </c>
      <c r="I228">
        <v>0</v>
      </c>
      <c r="J228">
        <v>0</v>
      </c>
      <c r="K228" t="s">
        <v>104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s="8">
        <v>0</v>
      </c>
      <c r="V228" s="8">
        <f t="shared" si="3"/>
        <v>0</v>
      </c>
    </row>
    <row r="229" spans="1:22" x14ac:dyDescent="0.3">
      <c r="A229" t="s">
        <v>144</v>
      </c>
      <c r="B229">
        <v>1</v>
      </c>
      <c r="C229" t="s">
        <v>184</v>
      </c>
      <c r="D229" t="s">
        <v>185</v>
      </c>
      <c r="E229" t="s">
        <v>159</v>
      </c>
      <c r="F229" t="s">
        <v>101</v>
      </c>
      <c r="G229" t="s">
        <v>135</v>
      </c>
      <c r="H229">
        <v>0</v>
      </c>
      <c r="I229">
        <v>0</v>
      </c>
      <c r="J229">
        <v>0</v>
      </c>
      <c r="K229" t="s">
        <v>104</v>
      </c>
      <c r="L229">
        <v>0</v>
      </c>
      <c r="M229">
        <v>4</v>
      </c>
      <c r="N229">
        <v>0</v>
      </c>
      <c r="O229">
        <v>24</v>
      </c>
      <c r="P229">
        <v>1</v>
      </c>
      <c r="Q229">
        <v>6</v>
      </c>
      <c r="R229">
        <v>20</v>
      </c>
      <c r="S229">
        <v>0</v>
      </c>
      <c r="T229">
        <v>0</v>
      </c>
      <c r="U229" s="8">
        <v>20</v>
      </c>
      <c r="V229" s="8">
        <f t="shared" si="3"/>
        <v>2</v>
      </c>
    </row>
    <row r="230" spans="1:22" x14ac:dyDescent="0.3">
      <c r="A230" t="s">
        <v>144</v>
      </c>
      <c r="B230">
        <v>1</v>
      </c>
      <c r="C230" t="s">
        <v>180</v>
      </c>
      <c r="D230" t="s">
        <v>181</v>
      </c>
      <c r="E230" t="s">
        <v>159</v>
      </c>
      <c r="F230" t="s">
        <v>91</v>
      </c>
      <c r="G230" t="s">
        <v>135</v>
      </c>
      <c r="H230">
        <v>0</v>
      </c>
      <c r="I230">
        <v>0</v>
      </c>
      <c r="J230">
        <v>0</v>
      </c>
      <c r="K230" t="s">
        <v>104</v>
      </c>
      <c r="L230">
        <v>0</v>
      </c>
      <c r="M230">
        <v>4</v>
      </c>
      <c r="N230">
        <v>0</v>
      </c>
      <c r="O230">
        <v>27</v>
      </c>
      <c r="P230">
        <v>2</v>
      </c>
      <c r="Q230">
        <v>6.8</v>
      </c>
      <c r="R230">
        <v>40</v>
      </c>
      <c r="S230">
        <v>0</v>
      </c>
      <c r="T230">
        <v>0</v>
      </c>
      <c r="U230" s="8">
        <v>40</v>
      </c>
      <c r="V230" s="8">
        <f t="shared" si="3"/>
        <v>4</v>
      </c>
    </row>
    <row r="231" spans="1:22" x14ac:dyDescent="0.3">
      <c r="A231" t="s">
        <v>144</v>
      </c>
      <c r="B231">
        <v>1</v>
      </c>
      <c r="C231" t="s">
        <v>186</v>
      </c>
      <c r="D231" t="s">
        <v>187</v>
      </c>
      <c r="E231" t="s">
        <v>159</v>
      </c>
      <c r="F231" t="s">
        <v>101</v>
      </c>
      <c r="G231" t="s">
        <v>135</v>
      </c>
      <c r="H231">
        <v>0</v>
      </c>
      <c r="I231">
        <v>0</v>
      </c>
      <c r="J231">
        <v>0</v>
      </c>
      <c r="K231" t="s">
        <v>104</v>
      </c>
      <c r="L231">
        <v>0</v>
      </c>
      <c r="M231">
        <v>2.4</v>
      </c>
      <c r="N231">
        <v>0</v>
      </c>
      <c r="O231">
        <v>31</v>
      </c>
      <c r="P231">
        <v>0</v>
      </c>
      <c r="Q231">
        <v>11.6</v>
      </c>
      <c r="R231">
        <v>0</v>
      </c>
      <c r="S231">
        <v>0</v>
      </c>
      <c r="T231">
        <v>0</v>
      </c>
      <c r="U231" s="8">
        <v>0</v>
      </c>
      <c r="V231" s="8">
        <f t="shared" si="3"/>
        <v>0</v>
      </c>
    </row>
    <row r="232" spans="1:22" x14ac:dyDescent="0.3">
      <c r="A232" t="s">
        <v>144</v>
      </c>
      <c r="B232">
        <v>1</v>
      </c>
      <c r="C232" t="s">
        <v>182</v>
      </c>
      <c r="D232" t="s">
        <v>183</v>
      </c>
      <c r="E232" t="s">
        <v>159</v>
      </c>
      <c r="F232" t="s">
        <v>101</v>
      </c>
      <c r="G232" t="s">
        <v>135</v>
      </c>
      <c r="H232">
        <v>0</v>
      </c>
      <c r="I232">
        <v>0</v>
      </c>
      <c r="J232">
        <v>0</v>
      </c>
      <c r="K232" t="s">
        <v>104</v>
      </c>
      <c r="L232">
        <v>0</v>
      </c>
      <c r="M232">
        <v>1</v>
      </c>
      <c r="N232">
        <v>0</v>
      </c>
      <c r="O232">
        <v>12</v>
      </c>
      <c r="P232">
        <v>1</v>
      </c>
      <c r="Q232">
        <v>12</v>
      </c>
      <c r="R232">
        <v>20</v>
      </c>
      <c r="S232">
        <v>0</v>
      </c>
      <c r="T232">
        <v>0</v>
      </c>
      <c r="U232" s="8">
        <v>20</v>
      </c>
      <c r="V232" s="8">
        <f t="shared" si="3"/>
        <v>2</v>
      </c>
    </row>
    <row r="233" spans="1:22" x14ac:dyDescent="0.3">
      <c r="A233" t="s">
        <v>144</v>
      </c>
      <c r="B233">
        <v>1</v>
      </c>
      <c r="C233" t="s">
        <v>190</v>
      </c>
      <c r="D233" t="s">
        <v>191</v>
      </c>
      <c r="E233" t="s">
        <v>158</v>
      </c>
      <c r="F233" t="s">
        <v>109</v>
      </c>
      <c r="G233" t="s">
        <v>86</v>
      </c>
      <c r="H233">
        <v>15</v>
      </c>
      <c r="I233">
        <v>18</v>
      </c>
      <c r="J233">
        <v>83.33</v>
      </c>
      <c r="K233" t="s">
        <v>246</v>
      </c>
      <c r="L233">
        <v>12.5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s="8">
        <v>12.5</v>
      </c>
      <c r="V233" s="8">
        <f t="shared" si="3"/>
        <v>1</v>
      </c>
    </row>
    <row r="234" spans="1:22" x14ac:dyDescent="0.3">
      <c r="A234" t="s">
        <v>144</v>
      </c>
      <c r="B234">
        <v>1</v>
      </c>
      <c r="C234" t="s">
        <v>188</v>
      </c>
      <c r="D234" t="s">
        <v>189</v>
      </c>
      <c r="E234" t="s">
        <v>158</v>
      </c>
      <c r="F234" t="s">
        <v>83</v>
      </c>
      <c r="G234" t="s">
        <v>86</v>
      </c>
      <c r="H234">
        <v>0</v>
      </c>
      <c r="I234">
        <v>1</v>
      </c>
      <c r="J234">
        <v>0</v>
      </c>
      <c r="K234" t="s">
        <v>245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s="8">
        <v>0</v>
      </c>
      <c r="V234" s="8">
        <f t="shared" si="3"/>
        <v>0</v>
      </c>
    </row>
    <row r="235" spans="1:22" x14ac:dyDescent="0.3">
      <c r="A235" t="s">
        <v>144</v>
      </c>
      <c r="B235">
        <v>1</v>
      </c>
      <c r="C235" t="s">
        <v>196</v>
      </c>
      <c r="D235" t="s">
        <v>197</v>
      </c>
      <c r="E235" t="s">
        <v>158</v>
      </c>
      <c r="F235" t="s">
        <v>83</v>
      </c>
      <c r="G235" t="s">
        <v>92</v>
      </c>
      <c r="H235">
        <v>38</v>
      </c>
      <c r="I235">
        <v>24</v>
      </c>
      <c r="J235">
        <v>158.33000000000001</v>
      </c>
      <c r="K235" t="s">
        <v>246</v>
      </c>
      <c r="L235">
        <v>60.17</v>
      </c>
      <c r="M235">
        <v>3</v>
      </c>
      <c r="N235">
        <v>0</v>
      </c>
      <c r="O235">
        <v>31</v>
      </c>
      <c r="P235">
        <v>0</v>
      </c>
      <c r="Q235">
        <v>10.3</v>
      </c>
      <c r="R235">
        <v>0</v>
      </c>
      <c r="S235">
        <v>0</v>
      </c>
      <c r="T235">
        <v>0</v>
      </c>
      <c r="U235" s="8">
        <v>60.17</v>
      </c>
      <c r="V235" s="8">
        <f t="shared" si="3"/>
        <v>6</v>
      </c>
    </row>
    <row r="236" spans="1:22" x14ac:dyDescent="0.3">
      <c r="A236" t="s">
        <v>144</v>
      </c>
      <c r="B236">
        <v>1</v>
      </c>
      <c r="C236" t="s">
        <v>194</v>
      </c>
      <c r="D236" t="s">
        <v>195</v>
      </c>
      <c r="E236" t="s">
        <v>158</v>
      </c>
      <c r="F236" t="s">
        <v>109</v>
      </c>
      <c r="G236" t="s">
        <v>92</v>
      </c>
      <c r="H236">
        <v>32</v>
      </c>
      <c r="I236">
        <v>28</v>
      </c>
      <c r="J236">
        <v>114.29</v>
      </c>
      <c r="K236" t="s">
        <v>246</v>
      </c>
      <c r="L236">
        <v>36.57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s="8">
        <v>36.57</v>
      </c>
      <c r="V236" s="8">
        <f t="shared" si="3"/>
        <v>4</v>
      </c>
    </row>
    <row r="237" spans="1:22" x14ac:dyDescent="0.3">
      <c r="A237" t="s">
        <v>144</v>
      </c>
      <c r="B237">
        <v>1</v>
      </c>
      <c r="C237" t="s">
        <v>192</v>
      </c>
      <c r="D237" t="s">
        <v>193</v>
      </c>
      <c r="E237" t="s">
        <v>158</v>
      </c>
      <c r="F237" t="s">
        <v>169</v>
      </c>
      <c r="G237" t="s">
        <v>134</v>
      </c>
      <c r="H237">
        <v>32</v>
      </c>
      <c r="I237">
        <v>32</v>
      </c>
      <c r="J237">
        <v>100</v>
      </c>
      <c r="K237" t="s">
        <v>96</v>
      </c>
      <c r="L237">
        <v>32</v>
      </c>
      <c r="M237">
        <v>4</v>
      </c>
      <c r="N237">
        <v>1</v>
      </c>
      <c r="O237">
        <v>18</v>
      </c>
      <c r="P237">
        <v>0</v>
      </c>
      <c r="Q237">
        <v>4.5</v>
      </c>
      <c r="R237">
        <v>0</v>
      </c>
      <c r="S237">
        <v>0</v>
      </c>
      <c r="T237">
        <v>0</v>
      </c>
      <c r="U237" s="8">
        <v>32</v>
      </c>
      <c r="V237" s="8">
        <f t="shared" si="3"/>
        <v>3</v>
      </c>
    </row>
    <row r="238" spans="1:22" x14ac:dyDescent="0.3">
      <c r="A238" t="s">
        <v>144</v>
      </c>
      <c r="B238">
        <v>1</v>
      </c>
      <c r="C238" t="s">
        <v>198</v>
      </c>
      <c r="D238" t="s">
        <v>199</v>
      </c>
      <c r="E238" t="s">
        <v>158</v>
      </c>
      <c r="F238" t="s">
        <v>101</v>
      </c>
      <c r="G238" t="s">
        <v>134</v>
      </c>
      <c r="H238">
        <v>29</v>
      </c>
      <c r="I238">
        <v>15</v>
      </c>
      <c r="J238">
        <v>193.33</v>
      </c>
      <c r="K238" t="s">
        <v>96</v>
      </c>
      <c r="L238">
        <v>56.07</v>
      </c>
      <c r="M238">
        <v>4</v>
      </c>
      <c r="N238">
        <v>0</v>
      </c>
      <c r="O238">
        <v>39</v>
      </c>
      <c r="P238">
        <v>0</v>
      </c>
      <c r="Q238">
        <v>9.8000000000000007</v>
      </c>
      <c r="R238">
        <v>0</v>
      </c>
      <c r="S238">
        <v>0</v>
      </c>
      <c r="T238">
        <v>0</v>
      </c>
      <c r="U238" s="8">
        <v>56.07</v>
      </c>
      <c r="V238" s="8">
        <f t="shared" si="3"/>
        <v>6</v>
      </c>
    </row>
    <row r="239" spans="1:22" x14ac:dyDescent="0.3">
      <c r="A239" t="s">
        <v>144</v>
      </c>
      <c r="B239">
        <v>1</v>
      </c>
      <c r="C239" t="s">
        <v>200</v>
      </c>
      <c r="D239" t="s">
        <v>201</v>
      </c>
      <c r="E239" t="s">
        <v>158</v>
      </c>
      <c r="F239" t="s">
        <v>85</v>
      </c>
      <c r="G239" t="s">
        <v>135</v>
      </c>
      <c r="H239">
        <v>0</v>
      </c>
      <c r="I239">
        <v>0</v>
      </c>
      <c r="J239">
        <v>0</v>
      </c>
      <c r="K239" t="s">
        <v>104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s="8">
        <v>0</v>
      </c>
      <c r="V239" s="8">
        <f t="shared" si="3"/>
        <v>0</v>
      </c>
    </row>
    <row r="240" spans="1:22" x14ac:dyDescent="0.3">
      <c r="A240" t="s">
        <v>144</v>
      </c>
      <c r="B240">
        <v>1</v>
      </c>
      <c r="C240" t="s">
        <v>202</v>
      </c>
      <c r="D240" t="s">
        <v>203</v>
      </c>
      <c r="E240" t="s">
        <v>158</v>
      </c>
      <c r="F240" t="s">
        <v>101</v>
      </c>
      <c r="G240" t="s">
        <v>135</v>
      </c>
      <c r="H240">
        <v>0</v>
      </c>
      <c r="I240">
        <v>0</v>
      </c>
      <c r="J240">
        <v>0</v>
      </c>
      <c r="K240" t="s">
        <v>104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s="8">
        <v>0</v>
      </c>
      <c r="V240" s="8">
        <f t="shared" si="3"/>
        <v>0</v>
      </c>
    </row>
    <row r="241" spans="1:22" x14ac:dyDescent="0.3">
      <c r="A241" t="s">
        <v>144</v>
      </c>
      <c r="B241">
        <v>1</v>
      </c>
      <c r="C241" t="s">
        <v>206</v>
      </c>
      <c r="D241" t="s">
        <v>207</v>
      </c>
      <c r="E241" t="s">
        <v>158</v>
      </c>
      <c r="F241" t="s">
        <v>101</v>
      </c>
      <c r="G241" t="s">
        <v>135</v>
      </c>
      <c r="H241">
        <v>0</v>
      </c>
      <c r="I241">
        <v>0</v>
      </c>
      <c r="J241">
        <v>0</v>
      </c>
      <c r="K241" t="s">
        <v>104</v>
      </c>
      <c r="L241">
        <v>0</v>
      </c>
      <c r="M241">
        <v>2</v>
      </c>
      <c r="N241">
        <v>0</v>
      </c>
      <c r="O241">
        <v>14</v>
      </c>
      <c r="P241">
        <v>0</v>
      </c>
      <c r="Q241">
        <v>7</v>
      </c>
      <c r="R241">
        <v>0</v>
      </c>
      <c r="S241">
        <v>0</v>
      </c>
      <c r="T241">
        <v>0</v>
      </c>
      <c r="U241" s="8">
        <v>0</v>
      </c>
      <c r="V241" s="8">
        <f t="shared" si="3"/>
        <v>0</v>
      </c>
    </row>
    <row r="242" spans="1:22" x14ac:dyDescent="0.3">
      <c r="A242" t="s">
        <v>144</v>
      </c>
      <c r="B242">
        <v>1</v>
      </c>
      <c r="C242" t="s">
        <v>204</v>
      </c>
      <c r="D242" t="s">
        <v>205</v>
      </c>
      <c r="E242" t="s">
        <v>158</v>
      </c>
      <c r="F242" t="s">
        <v>91</v>
      </c>
      <c r="G242" t="s">
        <v>135</v>
      </c>
      <c r="H242">
        <v>0</v>
      </c>
      <c r="I242">
        <v>0</v>
      </c>
      <c r="J242">
        <v>0</v>
      </c>
      <c r="K242" t="s">
        <v>104</v>
      </c>
      <c r="L242">
        <v>0</v>
      </c>
      <c r="M242">
        <v>4</v>
      </c>
      <c r="N242">
        <v>0</v>
      </c>
      <c r="O242">
        <v>23</v>
      </c>
      <c r="P242">
        <v>3</v>
      </c>
      <c r="Q242">
        <v>5.8</v>
      </c>
      <c r="R242">
        <v>60</v>
      </c>
      <c r="S242">
        <v>0</v>
      </c>
      <c r="T242">
        <v>0</v>
      </c>
      <c r="U242" s="8">
        <v>60</v>
      </c>
      <c r="V242" s="8">
        <f t="shared" si="3"/>
        <v>6</v>
      </c>
    </row>
    <row r="243" spans="1:22" x14ac:dyDescent="0.3">
      <c r="A243" t="s">
        <v>144</v>
      </c>
      <c r="B243">
        <v>1</v>
      </c>
      <c r="C243" t="s">
        <v>208</v>
      </c>
      <c r="D243" t="s">
        <v>160</v>
      </c>
      <c r="E243" t="s">
        <v>158</v>
      </c>
      <c r="F243" t="s">
        <v>101</v>
      </c>
      <c r="G243" t="s">
        <v>135</v>
      </c>
      <c r="H243">
        <v>0</v>
      </c>
      <c r="I243">
        <v>0</v>
      </c>
      <c r="J243">
        <v>0</v>
      </c>
      <c r="K243" t="s">
        <v>104</v>
      </c>
      <c r="L243">
        <v>0</v>
      </c>
      <c r="M243">
        <v>3</v>
      </c>
      <c r="N243">
        <v>0</v>
      </c>
      <c r="O243">
        <v>25</v>
      </c>
      <c r="P243">
        <v>1</v>
      </c>
      <c r="Q243">
        <v>8.3000000000000007</v>
      </c>
      <c r="R243">
        <v>20</v>
      </c>
      <c r="S243">
        <v>0</v>
      </c>
      <c r="T243">
        <v>0</v>
      </c>
      <c r="U243" s="8">
        <v>20</v>
      </c>
      <c r="V243" s="8">
        <f t="shared" si="3"/>
        <v>2</v>
      </c>
    </row>
    <row r="244" spans="1:22" x14ac:dyDescent="0.3">
      <c r="A244" t="s">
        <v>145</v>
      </c>
      <c r="B244">
        <v>1</v>
      </c>
      <c r="C244" t="s">
        <v>113</v>
      </c>
      <c r="D244" t="s">
        <v>84</v>
      </c>
      <c r="E244" t="s">
        <v>266</v>
      </c>
      <c r="F244" t="s">
        <v>85</v>
      </c>
      <c r="G244" t="s">
        <v>86</v>
      </c>
      <c r="H244">
        <v>44</v>
      </c>
      <c r="I244">
        <v>37</v>
      </c>
      <c r="J244">
        <v>118.92</v>
      </c>
      <c r="K244" t="s">
        <v>256</v>
      </c>
      <c r="L244">
        <v>52.32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s="8">
        <v>52.32</v>
      </c>
      <c r="V244" s="8">
        <f t="shared" si="3"/>
        <v>5</v>
      </c>
    </row>
    <row r="245" spans="1:22" x14ac:dyDescent="0.3">
      <c r="A245" t="s">
        <v>145</v>
      </c>
      <c r="B245">
        <v>1</v>
      </c>
      <c r="C245" t="s">
        <v>112</v>
      </c>
      <c r="D245" t="s">
        <v>88</v>
      </c>
      <c r="E245" t="s">
        <v>266</v>
      </c>
      <c r="F245" t="s">
        <v>83</v>
      </c>
      <c r="G245" t="s">
        <v>86</v>
      </c>
      <c r="H245">
        <v>0</v>
      </c>
      <c r="I245">
        <v>3</v>
      </c>
      <c r="J245">
        <v>0</v>
      </c>
      <c r="K245" t="s">
        <v>246</v>
      </c>
      <c r="L245">
        <v>0</v>
      </c>
      <c r="M245">
        <v>4</v>
      </c>
      <c r="N245">
        <v>0</v>
      </c>
      <c r="O245">
        <v>23</v>
      </c>
      <c r="P245">
        <v>3</v>
      </c>
      <c r="Q245">
        <v>5.8</v>
      </c>
      <c r="R245">
        <v>60</v>
      </c>
      <c r="S245">
        <v>0</v>
      </c>
      <c r="T245">
        <v>0</v>
      </c>
      <c r="U245" s="8">
        <v>60</v>
      </c>
      <c r="V245" s="8">
        <f t="shared" si="3"/>
        <v>6</v>
      </c>
    </row>
    <row r="246" spans="1:22" x14ac:dyDescent="0.3">
      <c r="A246" t="s">
        <v>145</v>
      </c>
      <c r="B246">
        <v>1</v>
      </c>
      <c r="C246" t="s">
        <v>117</v>
      </c>
      <c r="D246" t="s">
        <v>90</v>
      </c>
      <c r="E246" t="s">
        <v>266</v>
      </c>
      <c r="F246" t="s">
        <v>91</v>
      </c>
      <c r="G246" t="s">
        <v>92</v>
      </c>
      <c r="H246">
        <v>36</v>
      </c>
      <c r="I246">
        <v>31</v>
      </c>
      <c r="J246">
        <v>116.13</v>
      </c>
      <c r="K246" t="s">
        <v>247</v>
      </c>
      <c r="L246">
        <v>41.81</v>
      </c>
      <c r="M246">
        <v>4</v>
      </c>
      <c r="N246">
        <v>0</v>
      </c>
      <c r="O246">
        <v>21</v>
      </c>
      <c r="P246">
        <v>3</v>
      </c>
      <c r="Q246">
        <v>5.2</v>
      </c>
      <c r="R246">
        <v>60</v>
      </c>
      <c r="S246">
        <v>0</v>
      </c>
      <c r="T246">
        <v>0</v>
      </c>
      <c r="U246" s="8">
        <v>101.81</v>
      </c>
      <c r="V246" s="8">
        <f t="shared" si="3"/>
        <v>10</v>
      </c>
    </row>
    <row r="247" spans="1:22" x14ac:dyDescent="0.3">
      <c r="A247" t="s">
        <v>145</v>
      </c>
      <c r="B247">
        <v>1</v>
      </c>
      <c r="C247" t="s">
        <v>115</v>
      </c>
      <c r="D247" t="s">
        <v>17</v>
      </c>
      <c r="E247" t="s">
        <v>266</v>
      </c>
      <c r="F247" t="s">
        <v>83</v>
      </c>
      <c r="G247" t="s">
        <v>92</v>
      </c>
      <c r="H247">
        <v>51</v>
      </c>
      <c r="I247">
        <v>30</v>
      </c>
      <c r="J247">
        <v>170</v>
      </c>
      <c r="K247" t="s">
        <v>246</v>
      </c>
      <c r="L247">
        <v>86.7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s="8">
        <v>86.7</v>
      </c>
      <c r="V247" s="8">
        <f t="shared" si="3"/>
        <v>9</v>
      </c>
    </row>
    <row r="248" spans="1:22" x14ac:dyDescent="0.3">
      <c r="A248" t="s">
        <v>145</v>
      </c>
      <c r="B248">
        <v>1</v>
      </c>
      <c r="C248" t="s">
        <v>119</v>
      </c>
      <c r="D248" t="s">
        <v>95</v>
      </c>
      <c r="E248" t="s">
        <v>266</v>
      </c>
      <c r="F248" t="s">
        <v>91</v>
      </c>
      <c r="G248" t="s">
        <v>134</v>
      </c>
      <c r="H248">
        <v>19</v>
      </c>
      <c r="I248">
        <v>13</v>
      </c>
      <c r="J248">
        <v>146.15</v>
      </c>
      <c r="K248" t="s">
        <v>246</v>
      </c>
      <c r="L248">
        <v>27.77</v>
      </c>
      <c r="M248">
        <v>4</v>
      </c>
      <c r="N248">
        <v>0</v>
      </c>
      <c r="O248">
        <v>18</v>
      </c>
      <c r="P248">
        <v>2</v>
      </c>
      <c r="Q248">
        <v>4.5</v>
      </c>
      <c r="R248">
        <v>40</v>
      </c>
      <c r="S248">
        <v>0</v>
      </c>
      <c r="T248">
        <v>0</v>
      </c>
      <c r="U248" s="8">
        <v>67.77</v>
      </c>
      <c r="V248" s="8">
        <f t="shared" si="3"/>
        <v>7</v>
      </c>
    </row>
    <row r="249" spans="1:22" x14ac:dyDescent="0.3">
      <c r="A249" t="s">
        <v>145</v>
      </c>
      <c r="B249">
        <v>1</v>
      </c>
      <c r="C249" t="s">
        <v>127</v>
      </c>
      <c r="D249" t="s">
        <v>100</v>
      </c>
      <c r="E249" t="s">
        <v>266</v>
      </c>
      <c r="F249" t="s">
        <v>101</v>
      </c>
      <c r="G249" t="s">
        <v>134</v>
      </c>
      <c r="H249">
        <v>0</v>
      </c>
      <c r="I249">
        <v>1</v>
      </c>
      <c r="J249">
        <v>0</v>
      </c>
      <c r="K249" t="s">
        <v>246</v>
      </c>
      <c r="L249">
        <v>0</v>
      </c>
      <c r="M249">
        <v>3</v>
      </c>
      <c r="N249">
        <v>0</v>
      </c>
      <c r="O249">
        <v>19</v>
      </c>
      <c r="P249">
        <v>1</v>
      </c>
      <c r="Q249">
        <v>6.3</v>
      </c>
      <c r="R249">
        <v>20</v>
      </c>
      <c r="S249">
        <v>0</v>
      </c>
      <c r="T249">
        <v>0</v>
      </c>
      <c r="U249" s="8">
        <v>20</v>
      </c>
      <c r="V249" s="8">
        <f t="shared" si="3"/>
        <v>2</v>
      </c>
    </row>
    <row r="250" spans="1:22" x14ac:dyDescent="0.3">
      <c r="A250" t="s">
        <v>145</v>
      </c>
      <c r="B250">
        <v>1</v>
      </c>
      <c r="C250" t="s">
        <v>125</v>
      </c>
      <c r="D250" t="s">
        <v>111</v>
      </c>
      <c r="E250" t="s">
        <v>266</v>
      </c>
      <c r="F250" t="s">
        <v>83</v>
      </c>
      <c r="G250" t="s">
        <v>134</v>
      </c>
      <c r="H250">
        <v>2</v>
      </c>
      <c r="I250">
        <v>2</v>
      </c>
      <c r="J250">
        <v>100</v>
      </c>
      <c r="K250" t="s">
        <v>256</v>
      </c>
      <c r="L250">
        <v>2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s="8">
        <v>2</v>
      </c>
      <c r="V250" s="8">
        <f t="shared" si="3"/>
        <v>0</v>
      </c>
    </row>
    <row r="251" spans="1:22" x14ac:dyDescent="0.3">
      <c r="A251" t="s">
        <v>145</v>
      </c>
      <c r="B251">
        <v>1</v>
      </c>
      <c r="C251" t="s">
        <v>303</v>
      </c>
      <c r="D251" t="s">
        <v>304</v>
      </c>
      <c r="E251" t="s">
        <v>266</v>
      </c>
      <c r="F251" t="s">
        <v>109</v>
      </c>
      <c r="G251" t="s">
        <v>134</v>
      </c>
      <c r="H251">
        <v>1</v>
      </c>
      <c r="I251">
        <v>1</v>
      </c>
      <c r="J251">
        <v>100</v>
      </c>
      <c r="K251" t="s">
        <v>96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s="8">
        <v>1</v>
      </c>
      <c r="V251" s="8">
        <f t="shared" si="3"/>
        <v>0</v>
      </c>
    </row>
    <row r="252" spans="1:22" x14ac:dyDescent="0.3">
      <c r="A252" t="s">
        <v>145</v>
      </c>
      <c r="B252">
        <v>1</v>
      </c>
      <c r="C252" t="s">
        <v>121</v>
      </c>
      <c r="D252" t="s">
        <v>108</v>
      </c>
      <c r="E252" t="s">
        <v>266</v>
      </c>
      <c r="F252" t="s">
        <v>109</v>
      </c>
      <c r="G252" t="s">
        <v>135</v>
      </c>
      <c r="H252">
        <v>0</v>
      </c>
      <c r="I252">
        <v>1</v>
      </c>
      <c r="J252">
        <v>0</v>
      </c>
      <c r="K252" t="s">
        <v>246</v>
      </c>
      <c r="L252">
        <v>0</v>
      </c>
      <c r="M252">
        <v>1</v>
      </c>
      <c r="N252">
        <v>0</v>
      </c>
      <c r="O252">
        <v>6</v>
      </c>
      <c r="P252">
        <v>0</v>
      </c>
      <c r="Q252">
        <v>6</v>
      </c>
      <c r="R252">
        <v>0</v>
      </c>
      <c r="S252">
        <v>0</v>
      </c>
      <c r="T252">
        <v>0</v>
      </c>
      <c r="U252" s="8">
        <v>0</v>
      </c>
      <c r="V252" s="8">
        <f t="shared" si="3"/>
        <v>0</v>
      </c>
    </row>
    <row r="253" spans="1:22" x14ac:dyDescent="0.3">
      <c r="A253" t="s">
        <v>145</v>
      </c>
      <c r="B253">
        <v>1</v>
      </c>
      <c r="C253" t="s">
        <v>129</v>
      </c>
      <c r="D253" t="s">
        <v>103</v>
      </c>
      <c r="E253" t="s">
        <v>266</v>
      </c>
      <c r="F253" t="s">
        <v>91</v>
      </c>
      <c r="G253" t="s">
        <v>135</v>
      </c>
      <c r="H253">
        <v>2</v>
      </c>
      <c r="I253">
        <v>1</v>
      </c>
      <c r="J253">
        <v>200</v>
      </c>
      <c r="K253" t="s">
        <v>96</v>
      </c>
      <c r="L253">
        <v>4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s="8">
        <v>4</v>
      </c>
      <c r="V253" s="8">
        <f t="shared" si="3"/>
        <v>0</v>
      </c>
    </row>
    <row r="254" spans="1:22" x14ac:dyDescent="0.3">
      <c r="A254" t="s">
        <v>145</v>
      </c>
      <c r="B254">
        <v>1</v>
      </c>
      <c r="C254" t="s">
        <v>131</v>
      </c>
      <c r="D254" t="s">
        <v>106</v>
      </c>
      <c r="E254" t="s">
        <v>266</v>
      </c>
      <c r="F254" t="s">
        <v>101</v>
      </c>
      <c r="G254" t="s">
        <v>135</v>
      </c>
      <c r="H254">
        <v>0</v>
      </c>
      <c r="I254">
        <v>0</v>
      </c>
      <c r="J254">
        <v>0</v>
      </c>
      <c r="K254" t="s">
        <v>104</v>
      </c>
      <c r="L254">
        <v>0</v>
      </c>
      <c r="M254">
        <v>4</v>
      </c>
      <c r="N254">
        <v>0</v>
      </c>
      <c r="O254">
        <v>20</v>
      </c>
      <c r="P254">
        <v>0</v>
      </c>
      <c r="Q254">
        <v>5</v>
      </c>
      <c r="R254">
        <v>0</v>
      </c>
      <c r="S254">
        <v>0</v>
      </c>
      <c r="T254">
        <v>0</v>
      </c>
      <c r="U254" s="8">
        <v>0</v>
      </c>
      <c r="V254" s="8">
        <f t="shared" si="3"/>
        <v>0</v>
      </c>
    </row>
    <row r="255" spans="1:22" x14ac:dyDescent="0.3">
      <c r="A255" t="s">
        <v>145</v>
      </c>
      <c r="B255">
        <v>1</v>
      </c>
      <c r="C255" t="s">
        <v>239</v>
      </c>
      <c r="D255" t="s">
        <v>241</v>
      </c>
      <c r="E255" t="s">
        <v>258</v>
      </c>
      <c r="F255" t="s">
        <v>109</v>
      </c>
      <c r="G255" t="s">
        <v>86</v>
      </c>
      <c r="H255">
        <v>0</v>
      </c>
      <c r="I255">
        <v>1</v>
      </c>
      <c r="J255">
        <v>0</v>
      </c>
      <c r="K255" t="s">
        <v>247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s="8">
        <v>0</v>
      </c>
      <c r="V255" s="8">
        <f t="shared" si="3"/>
        <v>0</v>
      </c>
    </row>
    <row r="256" spans="1:22" x14ac:dyDescent="0.3">
      <c r="A256" t="s">
        <v>145</v>
      </c>
      <c r="B256">
        <v>1</v>
      </c>
      <c r="C256" t="s">
        <v>87</v>
      </c>
      <c r="D256" t="s">
        <v>82</v>
      </c>
      <c r="E256" t="s">
        <v>258</v>
      </c>
      <c r="F256" t="s">
        <v>109</v>
      </c>
      <c r="G256" t="s">
        <v>86</v>
      </c>
      <c r="H256">
        <v>16</v>
      </c>
      <c r="I256">
        <v>17</v>
      </c>
      <c r="J256">
        <v>94.12</v>
      </c>
      <c r="K256" t="s">
        <v>246</v>
      </c>
      <c r="L256">
        <v>15.06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s="8">
        <v>15.06</v>
      </c>
      <c r="V256" s="8">
        <f t="shared" si="3"/>
        <v>2</v>
      </c>
    </row>
    <row r="257" spans="1:22" x14ac:dyDescent="0.3">
      <c r="A257" t="s">
        <v>145</v>
      </c>
      <c r="B257">
        <v>1</v>
      </c>
      <c r="C257" t="s">
        <v>89</v>
      </c>
      <c r="D257" t="s">
        <v>116</v>
      </c>
      <c r="E257" t="s">
        <v>258</v>
      </c>
      <c r="F257" t="s">
        <v>83</v>
      </c>
      <c r="G257" t="s">
        <v>92</v>
      </c>
      <c r="H257">
        <v>22</v>
      </c>
      <c r="I257">
        <v>23</v>
      </c>
      <c r="J257">
        <v>95.65</v>
      </c>
      <c r="K257" t="s">
        <v>247</v>
      </c>
      <c r="L257">
        <v>21.04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s="8">
        <v>21.04</v>
      </c>
      <c r="V257" s="8">
        <f t="shared" si="3"/>
        <v>2</v>
      </c>
    </row>
    <row r="258" spans="1:22" x14ac:dyDescent="0.3">
      <c r="A258" t="s">
        <v>145</v>
      </c>
      <c r="B258">
        <v>1</v>
      </c>
      <c r="C258" t="s">
        <v>94</v>
      </c>
      <c r="D258" t="s">
        <v>120</v>
      </c>
      <c r="E258" t="s">
        <v>258</v>
      </c>
      <c r="F258" t="s">
        <v>91</v>
      </c>
      <c r="G258" t="s">
        <v>134</v>
      </c>
      <c r="H258">
        <v>0</v>
      </c>
      <c r="I258">
        <v>4</v>
      </c>
      <c r="J258">
        <v>0</v>
      </c>
      <c r="K258" t="s">
        <v>247</v>
      </c>
      <c r="L258">
        <v>0</v>
      </c>
      <c r="M258">
        <v>4</v>
      </c>
      <c r="N258">
        <v>0</v>
      </c>
      <c r="O258">
        <v>42</v>
      </c>
      <c r="P258">
        <v>0</v>
      </c>
      <c r="Q258">
        <v>10.5</v>
      </c>
      <c r="R258">
        <v>0</v>
      </c>
      <c r="S258">
        <v>0</v>
      </c>
      <c r="T258">
        <v>0</v>
      </c>
      <c r="U258" s="8">
        <v>0</v>
      </c>
      <c r="V258" s="8">
        <f t="shared" si="3"/>
        <v>0</v>
      </c>
    </row>
    <row r="259" spans="1:22" x14ac:dyDescent="0.3">
      <c r="A259" t="s">
        <v>145</v>
      </c>
      <c r="B259">
        <v>1</v>
      </c>
      <c r="C259" t="s">
        <v>93</v>
      </c>
      <c r="D259" t="s">
        <v>118</v>
      </c>
      <c r="E259" t="s">
        <v>258</v>
      </c>
      <c r="F259" t="s">
        <v>83</v>
      </c>
      <c r="G259" t="s">
        <v>134</v>
      </c>
      <c r="H259">
        <v>8</v>
      </c>
      <c r="I259">
        <v>10</v>
      </c>
      <c r="J259">
        <v>80</v>
      </c>
      <c r="K259" t="s">
        <v>246</v>
      </c>
      <c r="L259">
        <v>6.4</v>
      </c>
      <c r="M259">
        <v>4</v>
      </c>
      <c r="N259">
        <v>0</v>
      </c>
      <c r="O259">
        <v>34</v>
      </c>
      <c r="P259">
        <v>3</v>
      </c>
      <c r="Q259">
        <v>8.5</v>
      </c>
      <c r="R259">
        <v>60</v>
      </c>
      <c r="S259">
        <v>0</v>
      </c>
      <c r="T259">
        <v>0</v>
      </c>
      <c r="U259" s="8">
        <v>66.400000000000006</v>
      </c>
      <c r="V259" s="8">
        <f t="shared" ref="V259:V322" si="4">MIN(10, MAX(0, ROUND(U259/10,0)))</f>
        <v>7</v>
      </c>
    </row>
    <row r="260" spans="1:22" x14ac:dyDescent="0.3">
      <c r="A260" t="s">
        <v>145</v>
      </c>
      <c r="B260">
        <v>1</v>
      </c>
      <c r="C260" t="s">
        <v>97</v>
      </c>
      <c r="D260" t="s">
        <v>122</v>
      </c>
      <c r="E260" t="s">
        <v>258</v>
      </c>
      <c r="F260" t="s">
        <v>109</v>
      </c>
      <c r="G260" t="s">
        <v>134</v>
      </c>
      <c r="H260">
        <v>6</v>
      </c>
      <c r="I260">
        <v>6</v>
      </c>
      <c r="J260">
        <v>100</v>
      </c>
      <c r="K260" t="s">
        <v>246</v>
      </c>
      <c r="L260">
        <v>6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s="8">
        <v>6</v>
      </c>
      <c r="V260" s="8">
        <f t="shared" si="4"/>
        <v>1</v>
      </c>
    </row>
    <row r="261" spans="1:22" x14ac:dyDescent="0.3">
      <c r="A261" t="s">
        <v>145</v>
      </c>
      <c r="B261">
        <v>1</v>
      </c>
      <c r="C261" t="s">
        <v>102</v>
      </c>
      <c r="D261" t="s">
        <v>126</v>
      </c>
      <c r="E261" t="s">
        <v>258</v>
      </c>
      <c r="F261" t="s">
        <v>101</v>
      </c>
      <c r="G261" t="s">
        <v>134</v>
      </c>
      <c r="H261">
        <v>20</v>
      </c>
      <c r="I261">
        <v>19</v>
      </c>
      <c r="J261">
        <v>105.26</v>
      </c>
      <c r="K261" t="s">
        <v>247</v>
      </c>
      <c r="L261">
        <v>21.05</v>
      </c>
      <c r="M261">
        <v>4</v>
      </c>
      <c r="N261">
        <v>0</v>
      </c>
      <c r="O261">
        <v>17</v>
      </c>
      <c r="P261">
        <v>1</v>
      </c>
      <c r="Q261">
        <v>4.2</v>
      </c>
      <c r="R261">
        <v>20</v>
      </c>
      <c r="S261">
        <v>0</v>
      </c>
      <c r="T261">
        <v>0</v>
      </c>
      <c r="U261" s="8">
        <v>41.05</v>
      </c>
      <c r="V261" s="8">
        <f t="shared" si="4"/>
        <v>4</v>
      </c>
    </row>
    <row r="262" spans="1:22" x14ac:dyDescent="0.3">
      <c r="A262" t="s">
        <v>145</v>
      </c>
      <c r="B262">
        <v>1</v>
      </c>
      <c r="C262" t="s">
        <v>240</v>
      </c>
      <c r="D262" t="s">
        <v>243</v>
      </c>
      <c r="E262" t="s">
        <v>258</v>
      </c>
      <c r="F262" t="s">
        <v>85</v>
      </c>
      <c r="G262" t="s">
        <v>134</v>
      </c>
      <c r="H262">
        <v>18</v>
      </c>
      <c r="I262">
        <v>19</v>
      </c>
      <c r="J262">
        <v>94.74</v>
      </c>
      <c r="K262" t="s">
        <v>96</v>
      </c>
      <c r="L262">
        <v>17.05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s="8">
        <v>17.05</v>
      </c>
      <c r="V262" s="8">
        <f t="shared" si="4"/>
        <v>2</v>
      </c>
    </row>
    <row r="263" spans="1:22" x14ac:dyDescent="0.3">
      <c r="A263" t="s">
        <v>145</v>
      </c>
      <c r="B263">
        <v>1</v>
      </c>
      <c r="C263" t="s">
        <v>242</v>
      </c>
      <c r="D263" t="s">
        <v>244</v>
      </c>
      <c r="E263" t="s">
        <v>258</v>
      </c>
      <c r="F263" t="s">
        <v>101</v>
      </c>
      <c r="G263" t="s">
        <v>135</v>
      </c>
      <c r="H263">
        <v>8</v>
      </c>
      <c r="I263">
        <v>8</v>
      </c>
      <c r="J263">
        <v>100</v>
      </c>
      <c r="K263" t="s">
        <v>246</v>
      </c>
      <c r="L263">
        <v>8</v>
      </c>
      <c r="M263">
        <v>4</v>
      </c>
      <c r="N263">
        <v>0</v>
      </c>
      <c r="O263">
        <v>31</v>
      </c>
      <c r="P263">
        <v>1</v>
      </c>
      <c r="Q263">
        <v>7.8</v>
      </c>
      <c r="R263">
        <v>20</v>
      </c>
      <c r="S263">
        <v>0</v>
      </c>
      <c r="T263">
        <v>0</v>
      </c>
      <c r="U263" s="8">
        <v>28</v>
      </c>
      <c r="V263" s="8">
        <f t="shared" si="4"/>
        <v>3</v>
      </c>
    </row>
    <row r="264" spans="1:22" x14ac:dyDescent="0.3">
      <c r="A264" t="s">
        <v>145</v>
      </c>
      <c r="B264">
        <v>1</v>
      </c>
      <c r="C264" t="s">
        <v>105</v>
      </c>
      <c r="D264" t="s">
        <v>128</v>
      </c>
      <c r="E264" t="s">
        <v>258</v>
      </c>
      <c r="F264" t="s">
        <v>101</v>
      </c>
      <c r="G264" t="s">
        <v>135</v>
      </c>
      <c r="H264">
        <v>0</v>
      </c>
      <c r="I264">
        <v>4</v>
      </c>
      <c r="J264">
        <v>0</v>
      </c>
      <c r="K264" t="s">
        <v>246</v>
      </c>
      <c r="L264">
        <v>0</v>
      </c>
      <c r="M264">
        <v>4</v>
      </c>
      <c r="N264">
        <v>0</v>
      </c>
      <c r="O264">
        <v>32</v>
      </c>
      <c r="P264">
        <v>1</v>
      </c>
      <c r="Q264">
        <v>8</v>
      </c>
      <c r="R264">
        <v>20</v>
      </c>
      <c r="S264">
        <v>0</v>
      </c>
      <c r="T264">
        <v>0</v>
      </c>
      <c r="U264" s="8">
        <v>20</v>
      </c>
      <c r="V264" s="8">
        <f t="shared" si="4"/>
        <v>2</v>
      </c>
    </row>
    <row r="265" spans="1:22" x14ac:dyDescent="0.3">
      <c r="A265" t="s">
        <v>145</v>
      </c>
      <c r="B265">
        <v>1</v>
      </c>
      <c r="C265" t="s">
        <v>110</v>
      </c>
      <c r="D265" t="s">
        <v>132</v>
      </c>
      <c r="E265" t="s">
        <v>258</v>
      </c>
      <c r="F265" t="s">
        <v>101</v>
      </c>
      <c r="G265" t="s">
        <v>135</v>
      </c>
      <c r="H265">
        <v>7</v>
      </c>
      <c r="I265">
        <v>9</v>
      </c>
      <c r="J265">
        <v>77.78</v>
      </c>
      <c r="K265" t="s">
        <v>96</v>
      </c>
      <c r="L265">
        <v>5.44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s="8">
        <v>5.44</v>
      </c>
      <c r="V265" s="8">
        <f t="shared" si="4"/>
        <v>1</v>
      </c>
    </row>
    <row r="266" spans="1:22" x14ac:dyDescent="0.3">
      <c r="A266" t="s">
        <v>146</v>
      </c>
      <c r="B266">
        <v>1</v>
      </c>
      <c r="C266" t="s">
        <v>217</v>
      </c>
      <c r="D266" t="s">
        <v>218</v>
      </c>
      <c r="E266" t="s">
        <v>219</v>
      </c>
      <c r="F266" t="s">
        <v>85</v>
      </c>
      <c r="G266" t="s">
        <v>86</v>
      </c>
      <c r="H266">
        <v>1</v>
      </c>
      <c r="I266">
        <v>3</v>
      </c>
      <c r="J266">
        <v>33.33</v>
      </c>
      <c r="K266" t="s">
        <v>246</v>
      </c>
      <c r="L266">
        <v>0.33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s="8">
        <v>0.33</v>
      </c>
      <c r="V266" s="8">
        <f t="shared" si="4"/>
        <v>0</v>
      </c>
    </row>
    <row r="267" spans="1:22" x14ac:dyDescent="0.3">
      <c r="A267" t="s">
        <v>146</v>
      </c>
      <c r="B267">
        <v>1</v>
      </c>
      <c r="C267" t="s">
        <v>231</v>
      </c>
      <c r="D267" t="s">
        <v>232</v>
      </c>
      <c r="E267" t="s">
        <v>219</v>
      </c>
      <c r="F267" t="s">
        <v>109</v>
      </c>
      <c r="G267" t="s">
        <v>86</v>
      </c>
      <c r="H267">
        <v>0</v>
      </c>
      <c r="I267">
        <v>1</v>
      </c>
      <c r="J267">
        <v>0</v>
      </c>
      <c r="K267" t="s">
        <v>247</v>
      </c>
      <c r="L267">
        <v>0</v>
      </c>
      <c r="M267">
        <v>2</v>
      </c>
      <c r="N267">
        <v>0</v>
      </c>
      <c r="O267">
        <v>19</v>
      </c>
      <c r="P267">
        <v>1</v>
      </c>
      <c r="Q267">
        <v>9.5</v>
      </c>
      <c r="R267">
        <v>20</v>
      </c>
      <c r="S267">
        <v>0</v>
      </c>
      <c r="T267">
        <v>0</v>
      </c>
      <c r="U267" s="8">
        <v>20</v>
      </c>
      <c r="V267" s="8">
        <f t="shared" si="4"/>
        <v>2</v>
      </c>
    </row>
    <row r="268" spans="1:22" x14ac:dyDescent="0.3">
      <c r="A268" t="s">
        <v>146</v>
      </c>
      <c r="B268">
        <v>1</v>
      </c>
      <c r="C268" t="s">
        <v>229</v>
      </c>
      <c r="D268" t="s">
        <v>230</v>
      </c>
      <c r="E268" t="s">
        <v>219</v>
      </c>
      <c r="F268" t="s">
        <v>109</v>
      </c>
      <c r="G268" t="s">
        <v>92</v>
      </c>
      <c r="H268">
        <v>22</v>
      </c>
      <c r="I268">
        <v>26</v>
      </c>
      <c r="J268">
        <v>84.62</v>
      </c>
      <c r="K268" t="s">
        <v>246</v>
      </c>
      <c r="L268">
        <v>18.62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s="8">
        <v>18.62</v>
      </c>
      <c r="V268" s="8">
        <f t="shared" si="4"/>
        <v>2</v>
      </c>
    </row>
    <row r="269" spans="1:22" x14ac:dyDescent="0.3">
      <c r="A269" t="s">
        <v>146</v>
      </c>
      <c r="B269">
        <v>1</v>
      </c>
      <c r="C269" t="s">
        <v>222</v>
      </c>
      <c r="D269" t="s">
        <v>223</v>
      </c>
      <c r="E269" t="s">
        <v>219</v>
      </c>
      <c r="F269" t="s">
        <v>83</v>
      </c>
      <c r="G269" t="s">
        <v>92</v>
      </c>
      <c r="H269">
        <v>2</v>
      </c>
      <c r="I269">
        <v>2</v>
      </c>
      <c r="J269">
        <v>100</v>
      </c>
      <c r="K269" t="s">
        <v>246</v>
      </c>
      <c r="L269">
        <v>2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s="8">
        <v>2</v>
      </c>
      <c r="V269" s="8">
        <f t="shared" si="4"/>
        <v>0</v>
      </c>
    </row>
    <row r="270" spans="1:22" x14ac:dyDescent="0.3">
      <c r="A270" t="s">
        <v>146</v>
      </c>
      <c r="B270">
        <v>1</v>
      </c>
      <c r="C270" t="s">
        <v>226</v>
      </c>
      <c r="D270" t="s">
        <v>211</v>
      </c>
      <c r="E270" t="s">
        <v>219</v>
      </c>
      <c r="F270" t="s">
        <v>83</v>
      </c>
      <c r="G270" t="s">
        <v>134</v>
      </c>
      <c r="H270">
        <v>46</v>
      </c>
      <c r="I270">
        <v>32</v>
      </c>
      <c r="J270">
        <v>143.75</v>
      </c>
      <c r="K270" t="s">
        <v>246</v>
      </c>
      <c r="L270">
        <v>66.13</v>
      </c>
      <c r="M270">
        <v>3</v>
      </c>
      <c r="N270">
        <v>0</v>
      </c>
      <c r="O270">
        <v>28</v>
      </c>
      <c r="P270">
        <v>1</v>
      </c>
      <c r="Q270">
        <v>9.3000000000000007</v>
      </c>
      <c r="R270">
        <v>20</v>
      </c>
      <c r="S270">
        <v>0</v>
      </c>
      <c r="T270">
        <v>0</v>
      </c>
      <c r="U270" s="8">
        <v>86.13</v>
      </c>
      <c r="V270" s="8">
        <f t="shared" si="4"/>
        <v>9</v>
      </c>
    </row>
    <row r="271" spans="1:22" x14ac:dyDescent="0.3">
      <c r="A271" t="s">
        <v>146</v>
      </c>
      <c r="B271">
        <v>1</v>
      </c>
      <c r="C271" t="s">
        <v>227</v>
      </c>
      <c r="D271" t="s">
        <v>228</v>
      </c>
      <c r="E271" t="s">
        <v>219</v>
      </c>
      <c r="F271" t="s">
        <v>109</v>
      </c>
      <c r="G271" t="s">
        <v>134</v>
      </c>
      <c r="H271">
        <v>2</v>
      </c>
      <c r="I271">
        <v>9</v>
      </c>
      <c r="J271">
        <v>22.22</v>
      </c>
      <c r="K271" t="s">
        <v>246</v>
      </c>
      <c r="L271">
        <v>0.44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s="8">
        <v>0.44</v>
      </c>
      <c r="V271" s="8">
        <f t="shared" si="4"/>
        <v>0</v>
      </c>
    </row>
    <row r="272" spans="1:22" x14ac:dyDescent="0.3">
      <c r="A272" t="s">
        <v>146</v>
      </c>
      <c r="B272">
        <v>1</v>
      </c>
      <c r="C272" t="s">
        <v>224</v>
      </c>
      <c r="D272" t="s">
        <v>225</v>
      </c>
      <c r="E272" t="s">
        <v>219</v>
      </c>
      <c r="F272" t="s">
        <v>83</v>
      </c>
      <c r="G272" t="s">
        <v>134</v>
      </c>
      <c r="H272">
        <v>22</v>
      </c>
      <c r="I272">
        <v>19</v>
      </c>
      <c r="J272">
        <v>115.79</v>
      </c>
      <c r="K272" t="s">
        <v>246</v>
      </c>
      <c r="L272">
        <v>25.47</v>
      </c>
      <c r="M272">
        <v>4</v>
      </c>
      <c r="N272">
        <v>0</v>
      </c>
      <c r="O272">
        <v>26</v>
      </c>
      <c r="P272">
        <v>2</v>
      </c>
      <c r="Q272">
        <v>6.5</v>
      </c>
      <c r="R272">
        <v>40</v>
      </c>
      <c r="S272">
        <v>0</v>
      </c>
      <c r="T272">
        <v>0</v>
      </c>
      <c r="U272" s="8">
        <v>65.47</v>
      </c>
      <c r="V272" s="8">
        <f t="shared" si="4"/>
        <v>7</v>
      </c>
    </row>
    <row r="273" spans="1:22" x14ac:dyDescent="0.3">
      <c r="A273" t="s">
        <v>146</v>
      </c>
      <c r="B273">
        <v>1</v>
      </c>
      <c r="C273" t="s">
        <v>220</v>
      </c>
      <c r="D273" t="s">
        <v>221</v>
      </c>
      <c r="E273" t="s">
        <v>219</v>
      </c>
      <c r="F273" t="s">
        <v>109</v>
      </c>
      <c r="G273" t="s">
        <v>134</v>
      </c>
      <c r="H273">
        <v>6</v>
      </c>
      <c r="I273">
        <v>6</v>
      </c>
      <c r="J273">
        <v>100</v>
      </c>
      <c r="K273" t="s">
        <v>245</v>
      </c>
      <c r="L273">
        <v>6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s="8">
        <v>6</v>
      </c>
      <c r="V273" s="8">
        <f t="shared" si="4"/>
        <v>1</v>
      </c>
    </row>
    <row r="274" spans="1:22" x14ac:dyDescent="0.3">
      <c r="A274" t="s">
        <v>146</v>
      </c>
      <c r="B274">
        <v>1</v>
      </c>
      <c r="C274" t="s">
        <v>233</v>
      </c>
      <c r="D274" t="s">
        <v>234</v>
      </c>
      <c r="E274" t="s">
        <v>219</v>
      </c>
      <c r="F274" t="s">
        <v>101</v>
      </c>
      <c r="G274" t="s">
        <v>134</v>
      </c>
      <c r="H274">
        <v>12</v>
      </c>
      <c r="I274">
        <v>9</v>
      </c>
      <c r="J274">
        <v>133.33000000000001</v>
      </c>
      <c r="K274" t="s">
        <v>256</v>
      </c>
      <c r="L274">
        <v>15.99</v>
      </c>
      <c r="M274">
        <v>4</v>
      </c>
      <c r="N274">
        <v>0</v>
      </c>
      <c r="O274">
        <v>20</v>
      </c>
      <c r="P274">
        <v>1</v>
      </c>
      <c r="Q274">
        <v>5</v>
      </c>
      <c r="R274">
        <v>20</v>
      </c>
      <c r="S274">
        <v>0</v>
      </c>
      <c r="T274">
        <v>0</v>
      </c>
      <c r="U274" s="8">
        <v>35.99</v>
      </c>
      <c r="V274" s="8">
        <f t="shared" si="4"/>
        <v>4</v>
      </c>
    </row>
    <row r="275" spans="1:22" x14ac:dyDescent="0.3">
      <c r="A275" t="s">
        <v>146</v>
      </c>
      <c r="B275">
        <v>1</v>
      </c>
      <c r="C275" t="s">
        <v>235</v>
      </c>
      <c r="D275" t="s">
        <v>236</v>
      </c>
      <c r="E275" t="s">
        <v>219</v>
      </c>
      <c r="F275" t="s">
        <v>101</v>
      </c>
      <c r="G275" t="s">
        <v>135</v>
      </c>
      <c r="H275">
        <v>8</v>
      </c>
      <c r="I275">
        <v>9</v>
      </c>
      <c r="J275">
        <v>88.89</v>
      </c>
      <c r="K275" t="s">
        <v>246</v>
      </c>
      <c r="L275">
        <v>7.11</v>
      </c>
      <c r="M275">
        <v>1</v>
      </c>
      <c r="N275">
        <v>0</v>
      </c>
      <c r="O275">
        <v>4</v>
      </c>
      <c r="P275">
        <v>0</v>
      </c>
      <c r="Q275">
        <v>4</v>
      </c>
      <c r="R275">
        <v>0</v>
      </c>
      <c r="S275">
        <v>0</v>
      </c>
      <c r="T275">
        <v>0</v>
      </c>
      <c r="U275" s="8">
        <v>7.11</v>
      </c>
      <c r="V275" s="8">
        <f t="shared" si="4"/>
        <v>1</v>
      </c>
    </row>
    <row r="276" spans="1:22" x14ac:dyDescent="0.3">
      <c r="A276" t="s">
        <v>146</v>
      </c>
      <c r="B276">
        <v>1</v>
      </c>
      <c r="C276" t="s">
        <v>237</v>
      </c>
      <c r="D276" t="s">
        <v>238</v>
      </c>
      <c r="E276" t="s">
        <v>219</v>
      </c>
      <c r="F276" t="s">
        <v>101</v>
      </c>
      <c r="G276" t="s">
        <v>135</v>
      </c>
      <c r="H276">
        <v>2</v>
      </c>
      <c r="I276">
        <v>1</v>
      </c>
      <c r="J276">
        <v>200</v>
      </c>
      <c r="K276" t="s">
        <v>96</v>
      </c>
      <c r="L276">
        <v>4</v>
      </c>
      <c r="M276">
        <v>4</v>
      </c>
      <c r="N276">
        <v>0</v>
      </c>
      <c r="O276">
        <v>35</v>
      </c>
      <c r="P276">
        <v>0</v>
      </c>
      <c r="Q276">
        <v>8.8000000000000007</v>
      </c>
      <c r="R276">
        <v>0</v>
      </c>
      <c r="S276">
        <v>0</v>
      </c>
      <c r="T276">
        <v>0</v>
      </c>
      <c r="U276" s="8">
        <v>4</v>
      </c>
      <c r="V276" s="8">
        <f t="shared" si="4"/>
        <v>0</v>
      </c>
    </row>
    <row r="277" spans="1:22" x14ac:dyDescent="0.3">
      <c r="A277" t="s">
        <v>146</v>
      </c>
      <c r="B277">
        <v>1</v>
      </c>
      <c r="C277" t="s">
        <v>167</v>
      </c>
      <c r="D277" t="s">
        <v>168</v>
      </c>
      <c r="E277" t="s">
        <v>159</v>
      </c>
      <c r="F277" t="s">
        <v>83</v>
      </c>
      <c r="G277" t="s">
        <v>86</v>
      </c>
      <c r="H277">
        <v>14</v>
      </c>
      <c r="I277">
        <v>6</v>
      </c>
      <c r="J277">
        <v>233.33</v>
      </c>
      <c r="K277" t="s">
        <v>246</v>
      </c>
      <c r="L277">
        <v>32.659999999999997</v>
      </c>
      <c r="M277">
        <v>4</v>
      </c>
      <c r="N277">
        <v>0</v>
      </c>
      <c r="O277">
        <v>23</v>
      </c>
      <c r="P277">
        <v>2</v>
      </c>
      <c r="Q277">
        <v>5.8</v>
      </c>
      <c r="R277">
        <v>40</v>
      </c>
      <c r="S277">
        <v>0</v>
      </c>
      <c r="T277">
        <v>0</v>
      </c>
      <c r="U277" s="8">
        <v>72.66</v>
      </c>
      <c r="V277" s="8">
        <f t="shared" si="4"/>
        <v>7</v>
      </c>
    </row>
    <row r="278" spans="1:22" x14ac:dyDescent="0.3">
      <c r="A278" t="s">
        <v>146</v>
      </c>
      <c r="B278">
        <v>1</v>
      </c>
      <c r="C278" t="s">
        <v>165</v>
      </c>
      <c r="D278" t="s">
        <v>166</v>
      </c>
      <c r="E278" t="s">
        <v>159</v>
      </c>
      <c r="F278" t="s">
        <v>109</v>
      </c>
      <c r="G278" t="s">
        <v>86</v>
      </c>
      <c r="H278">
        <v>0</v>
      </c>
      <c r="I278">
        <v>3</v>
      </c>
      <c r="J278">
        <v>0</v>
      </c>
      <c r="K278" t="s">
        <v>245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s="8">
        <v>0</v>
      </c>
      <c r="V278" s="8">
        <f t="shared" si="4"/>
        <v>0</v>
      </c>
    </row>
    <row r="279" spans="1:22" x14ac:dyDescent="0.3">
      <c r="A279" t="s">
        <v>146</v>
      </c>
      <c r="B279">
        <v>1</v>
      </c>
      <c r="C279" t="s">
        <v>174</v>
      </c>
      <c r="D279" t="s">
        <v>175</v>
      </c>
      <c r="E279" t="s">
        <v>159</v>
      </c>
      <c r="F279" t="s">
        <v>83</v>
      </c>
      <c r="G279" t="s">
        <v>92</v>
      </c>
      <c r="H279">
        <v>10</v>
      </c>
      <c r="I279">
        <v>13</v>
      </c>
      <c r="J279">
        <v>76.92</v>
      </c>
      <c r="K279" t="s">
        <v>246</v>
      </c>
      <c r="L279">
        <v>7.69</v>
      </c>
      <c r="M279">
        <v>4</v>
      </c>
      <c r="N279">
        <v>0</v>
      </c>
      <c r="O279">
        <v>16</v>
      </c>
      <c r="P279">
        <v>3</v>
      </c>
      <c r="Q279">
        <v>4</v>
      </c>
      <c r="R279">
        <v>60</v>
      </c>
      <c r="S279">
        <v>0</v>
      </c>
      <c r="T279">
        <v>0</v>
      </c>
      <c r="U279" s="8">
        <v>67.69</v>
      </c>
      <c r="V279" s="8">
        <f t="shared" si="4"/>
        <v>7</v>
      </c>
    </row>
    <row r="280" spans="1:22" x14ac:dyDescent="0.3">
      <c r="A280" t="s">
        <v>146</v>
      </c>
      <c r="B280">
        <v>1</v>
      </c>
      <c r="C280" t="s">
        <v>170</v>
      </c>
      <c r="D280" t="s">
        <v>171</v>
      </c>
      <c r="E280" t="s">
        <v>159</v>
      </c>
      <c r="F280" t="s">
        <v>83</v>
      </c>
      <c r="G280" t="s">
        <v>92</v>
      </c>
      <c r="H280">
        <v>24</v>
      </c>
      <c r="I280">
        <v>21</v>
      </c>
      <c r="J280">
        <v>114.29</v>
      </c>
      <c r="K280" t="s">
        <v>246</v>
      </c>
      <c r="L280">
        <v>27.43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s="8">
        <v>27.43</v>
      </c>
      <c r="V280" s="8">
        <f t="shared" si="4"/>
        <v>3</v>
      </c>
    </row>
    <row r="281" spans="1:22" x14ac:dyDescent="0.3">
      <c r="A281" t="s">
        <v>146</v>
      </c>
      <c r="B281">
        <v>1</v>
      </c>
      <c r="C281" t="s">
        <v>178</v>
      </c>
      <c r="D281" t="s">
        <v>179</v>
      </c>
      <c r="E281" t="s">
        <v>159</v>
      </c>
      <c r="F281" t="s">
        <v>83</v>
      </c>
      <c r="G281" t="s">
        <v>134</v>
      </c>
      <c r="H281">
        <v>46</v>
      </c>
      <c r="I281">
        <v>30</v>
      </c>
      <c r="J281">
        <v>153.33000000000001</v>
      </c>
      <c r="K281" t="s">
        <v>245</v>
      </c>
      <c r="L281">
        <v>70.53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s="8">
        <v>70.53</v>
      </c>
      <c r="V281" s="8">
        <f t="shared" si="4"/>
        <v>7</v>
      </c>
    </row>
    <row r="282" spans="1:22" x14ac:dyDescent="0.3">
      <c r="A282" t="s">
        <v>146</v>
      </c>
      <c r="B282">
        <v>1</v>
      </c>
      <c r="C282" t="s">
        <v>176</v>
      </c>
      <c r="D282" t="s">
        <v>177</v>
      </c>
      <c r="E282" t="s">
        <v>159</v>
      </c>
      <c r="F282" t="s">
        <v>85</v>
      </c>
      <c r="G282" t="s">
        <v>134</v>
      </c>
      <c r="H282">
        <v>31</v>
      </c>
      <c r="I282">
        <v>32</v>
      </c>
      <c r="J282">
        <v>96.88</v>
      </c>
      <c r="K282" t="s">
        <v>96</v>
      </c>
      <c r="L282">
        <v>30.03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s="8">
        <v>30.03</v>
      </c>
      <c r="V282" s="8">
        <f t="shared" si="4"/>
        <v>3</v>
      </c>
    </row>
    <row r="283" spans="1:22" x14ac:dyDescent="0.3">
      <c r="A283" t="s">
        <v>146</v>
      </c>
      <c r="B283">
        <v>1</v>
      </c>
      <c r="C283" t="s">
        <v>259</v>
      </c>
      <c r="D283" t="s">
        <v>257</v>
      </c>
      <c r="E283" t="s">
        <v>159</v>
      </c>
      <c r="F283" t="s">
        <v>101</v>
      </c>
      <c r="G283" t="s">
        <v>134</v>
      </c>
      <c r="H283">
        <v>5</v>
      </c>
      <c r="I283">
        <v>3</v>
      </c>
      <c r="J283">
        <v>166.67</v>
      </c>
      <c r="K283" t="s">
        <v>96</v>
      </c>
      <c r="L283">
        <v>8.33</v>
      </c>
      <c r="M283">
        <v>1.3</v>
      </c>
      <c r="N283">
        <v>0</v>
      </c>
      <c r="O283">
        <v>21</v>
      </c>
      <c r="P283">
        <v>1</v>
      </c>
      <c r="Q283">
        <v>14</v>
      </c>
      <c r="R283">
        <v>20</v>
      </c>
      <c r="S283">
        <v>0</v>
      </c>
      <c r="T283">
        <v>0</v>
      </c>
      <c r="U283" s="8">
        <v>28.33</v>
      </c>
      <c r="V283" s="8">
        <f t="shared" si="4"/>
        <v>3</v>
      </c>
    </row>
    <row r="284" spans="1:22" x14ac:dyDescent="0.3">
      <c r="A284" t="s">
        <v>146</v>
      </c>
      <c r="B284">
        <v>1</v>
      </c>
      <c r="C284" t="s">
        <v>172</v>
      </c>
      <c r="D284" t="s">
        <v>173</v>
      </c>
      <c r="E284" t="s">
        <v>159</v>
      </c>
      <c r="F284" t="s">
        <v>109</v>
      </c>
      <c r="G284" t="s">
        <v>135</v>
      </c>
      <c r="H284">
        <v>0</v>
      </c>
      <c r="I284">
        <v>0</v>
      </c>
      <c r="J284">
        <v>0</v>
      </c>
      <c r="K284" t="s">
        <v>104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s="8">
        <v>0</v>
      </c>
      <c r="V284" s="8">
        <f t="shared" si="4"/>
        <v>0</v>
      </c>
    </row>
    <row r="285" spans="1:22" x14ac:dyDescent="0.3">
      <c r="A285" t="s">
        <v>146</v>
      </c>
      <c r="B285">
        <v>1</v>
      </c>
      <c r="C285" t="s">
        <v>184</v>
      </c>
      <c r="D285" t="s">
        <v>185</v>
      </c>
      <c r="E285" t="s">
        <v>159</v>
      </c>
      <c r="F285" t="s">
        <v>101</v>
      </c>
      <c r="G285" t="s">
        <v>135</v>
      </c>
      <c r="H285">
        <v>0</v>
      </c>
      <c r="I285">
        <v>0</v>
      </c>
      <c r="J285">
        <v>0</v>
      </c>
      <c r="K285" t="s">
        <v>104</v>
      </c>
      <c r="L285">
        <v>0</v>
      </c>
      <c r="M285">
        <v>4</v>
      </c>
      <c r="N285">
        <v>0</v>
      </c>
      <c r="O285">
        <v>21</v>
      </c>
      <c r="P285">
        <v>1</v>
      </c>
      <c r="Q285">
        <v>5.2</v>
      </c>
      <c r="R285">
        <v>20</v>
      </c>
      <c r="S285">
        <v>0</v>
      </c>
      <c r="T285">
        <v>0</v>
      </c>
      <c r="U285" s="8">
        <v>20</v>
      </c>
      <c r="V285" s="8">
        <f t="shared" si="4"/>
        <v>2</v>
      </c>
    </row>
    <row r="286" spans="1:22" x14ac:dyDescent="0.3">
      <c r="A286" t="s">
        <v>146</v>
      </c>
      <c r="B286">
        <v>1</v>
      </c>
      <c r="C286" t="s">
        <v>180</v>
      </c>
      <c r="D286" t="s">
        <v>181</v>
      </c>
      <c r="E286" t="s">
        <v>159</v>
      </c>
      <c r="F286" t="s">
        <v>91</v>
      </c>
      <c r="G286" t="s">
        <v>135</v>
      </c>
      <c r="H286">
        <v>0</v>
      </c>
      <c r="I286">
        <v>0</v>
      </c>
      <c r="J286">
        <v>0</v>
      </c>
      <c r="K286" t="s">
        <v>104</v>
      </c>
      <c r="L286">
        <v>0</v>
      </c>
      <c r="M286">
        <v>4</v>
      </c>
      <c r="N286">
        <v>0</v>
      </c>
      <c r="O286">
        <v>27</v>
      </c>
      <c r="P286">
        <v>2</v>
      </c>
      <c r="Q286">
        <v>6.8</v>
      </c>
      <c r="R286">
        <v>40</v>
      </c>
      <c r="S286">
        <v>0</v>
      </c>
      <c r="T286">
        <v>0</v>
      </c>
      <c r="U286" s="8">
        <v>40</v>
      </c>
      <c r="V286" s="8">
        <f t="shared" si="4"/>
        <v>4</v>
      </c>
    </row>
    <row r="287" spans="1:22" x14ac:dyDescent="0.3">
      <c r="A287" t="s">
        <v>146</v>
      </c>
      <c r="B287">
        <v>1</v>
      </c>
      <c r="C287" t="s">
        <v>186</v>
      </c>
      <c r="D287" t="s">
        <v>187</v>
      </c>
      <c r="E287" t="s">
        <v>159</v>
      </c>
      <c r="F287" t="s">
        <v>101</v>
      </c>
      <c r="G287" t="s">
        <v>135</v>
      </c>
      <c r="H287">
        <v>0</v>
      </c>
      <c r="I287">
        <v>0</v>
      </c>
      <c r="J287">
        <v>0</v>
      </c>
      <c r="K287" t="s">
        <v>104</v>
      </c>
      <c r="L287">
        <v>0</v>
      </c>
      <c r="M287">
        <v>2</v>
      </c>
      <c r="N287">
        <v>0</v>
      </c>
      <c r="O287">
        <v>20</v>
      </c>
      <c r="P287">
        <v>0</v>
      </c>
      <c r="Q287">
        <v>10</v>
      </c>
      <c r="R287">
        <v>0</v>
      </c>
      <c r="S287">
        <v>0</v>
      </c>
      <c r="T287">
        <v>0</v>
      </c>
      <c r="U287" s="8">
        <v>0</v>
      </c>
      <c r="V287" s="8">
        <f t="shared" si="4"/>
        <v>0</v>
      </c>
    </row>
    <row r="288" spans="1:22" x14ac:dyDescent="0.3">
      <c r="A288" t="s">
        <v>147</v>
      </c>
      <c r="B288">
        <v>1</v>
      </c>
      <c r="C288" t="s">
        <v>239</v>
      </c>
      <c r="D288" t="s">
        <v>241</v>
      </c>
      <c r="E288" t="s">
        <v>258</v>
      </c>
      <c r="F288" t="s">
        <v>109</v>
      </c>
      <c r="G288" t="s">
        <v>86</v>
      </c>
      <c r="H288">
        <v>4</v>
      </c>
      <c r="I288">
        <v>6</v>
      </c>
      <c r="J288">
        <v>66.67</v>
      </c>
      <c r="K288" t="s">
        <v>246</v>
      </c>
      <c r="L288">
        <v>2.67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s="8">
        <v>2.67</v>
      </c>
      <c r="V288" s="8">
        <f t="shared" si="4"/>
        <v>0</v>
      </c>
    </row>
    <row r="289" spans="1:22" x14ac:dyDescent="0.3">
      <c r="A289" t="s">
        <v>147</v>
      </c>
      <c r="B289">
        <v>1</v>
      </c>
      <c r="C289" t="s">
        <v>278</v>
      </c>
      <c r="D289" t="s">
        <v>293</v>
      </c>
      <c r="E289" t="s">
        <v>258</v>
      </c>
      <c r="F289" t="s">
        <v>109</v>
      </c>
      <c r="G289" t="s">
        <v>86</v>
      </c>
      <c r="H289">
        <v>57</v>
      </c>
      <c r="I289">
        <v>45</v>
      </c>
      <c r="J289">
        <v>126.67</v>
      </c>
      <c r="K289" t="s">
        <v>245</v>
      </c>
      <c r="L289">
        <v>72.2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s="8">
        <v>72.2</v>
      </c>
      <c r="V289" s="8">
        <f t="shared" si="4"/>
        <v>7</v>
      </c>
    </row>
    <row r="290" spans="1:22" x14ac:dyDescent="0.3">
      <c r="A290" t="s">
        <v>147</v>
      </c>
      <c r="B290">
        <v>1</v>
      </c>
      <c r="C290" t="s">
        <v>89</v>
      </c>
      <c r="D290" t="s">
        <v>116</v>
      </c>
      <c r="E290" t="s">
        <v>258</v>
      </c>
      <c r="F290" t="s">
        <v>83</v>
      </c>
      <c r="G290" t="s">
        <v>92</v>
      </c>
      <c r="H290">
        <v>31</v>
      </c>
      <c r="I290">
        <v>33</v>
      </c>
      <c r="J290">
        <v>93.94</v>
      </c>
      <c r="K290" t="s">
        <v>246</v>
      </c>
      <c r="L290">
        <v>29.12</v>
      </c>
      <c r="M290">
        <v>3</v>
      </c>
      <c r="N290">
        <v>0</v>
      </c>
      <c r="O290">
        <v>27</v>
      </c>
      <c r="P290">
        <v>1</v>
      </c>
      <c r="Q290">
        <v>9</v>
      </c>
      <c r="R290">
        <v>20</v>
      </c>
      <c r="S290">
        <v>0</v>
      </c>
      <c r="T290">
        <v>0</v>
      </c>
      <c r="U290" s="8">
        <v>49.12</v>
      </c>
      <c r="V290" s="8">
        <f t="shared" si="4"/>
        <v>5</v>
      </c>
    </row>
    <row r="291" spans="1:22" x14ac:dyDescent="0.3">
      <c r="A291" t="s">
        <v>147</v>
      </c>
      <c r="B291">
        <v>1</v>
      </c>
      <c r="C291" t="s">
        <v>93</v>
      </c>
      <c r="D291" t="s">
        <v>118</v>
      </c>
      <c r="E291" t="s">
        <v>258</v>
      </c>
      <c r="F291" t="s">
        <v>83</v>
      </c>
      <c r="G291" t="s">
        <v>134</v>
      </c>
      <c r="H291">
        <v>51</v>
      </c>
      <c r="I291">
        <v>33</v>
      </c>
      <c r="J291">
        <v>154.55000000000001</v>
      </c>
      <c r="K291" t="s">
        <v>96</v>
      </c>
      <c r="L291">
        <v>78.819999999999993</v>
      </c>
      <c r="M291">
        <v>3.4</v>
      </c>
      <c r="N291">
        <v>0</v>
      </c>
      <c r="O291">
        <v>19</v>
      </c>
      <c r="P291">
        <v>2</v>
      </c>
      <c r="Q291">
        <v>5.2</v>
      </c>
      <c r="R291">
        <v>40</v>
      </c>
      <c r="S291">
        <v>0</v>
      </c>
      <c r="T291">
        <v>0</v>
      </c>
      <c r="U291" s="8">
        <v>118.82</v>
      </c>
      <c r="V291" s="8">
        <f t="shared" si="4"/>
        <v>10</v>
      </c>
    </row>
    <row r="292" spans="1:22" x14ac:dyDescent="0.3">
      <c r="A292" t="s">
        <v>147</v>
      </c>
      <c r="B292">
        <v>1</v>
      </c>
      <c r="C292" t="s">
        <v>97</v>
      </c>
      <c r="D292" t="s">
        <v>122</v>
      </c>
      <c r="E292" t="s">
        <v>258</v>
      </c>
      <c r="F292" t="s">
        <v>109</v>
      </c>
      <c r="G292" t="s">
        <v>134</v>
      </c>
      <c r="H292">
        <v>1</v>
      </c>
      <c r="I292">
        <v>3</v>
      </c>
      <c r="J292">
        <v>33.33</v>
      </c>
      <c r="K292" t="s">
        <v>246</v>
      </c>
      <c r="L292">
        <v>0.33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s="8">
        <v>0.33</v>
      </c>
      <c r="V292" s="8">
        <f t="shared" si="4"/>
        <v>0</v>
      </c>
    </row>
    <row r="293" spans="1:22" x14ac:dyDescent="0.3">
      <c r="A293" t="s">
        <v>147</v>
      </c>
      <c r="B293">
        <v>1</v>
      </c>
      <c r="C293" t="s">
        <v>102</v>
      </c>
      <c r="D293" t="s">
        <v>126</v>
      </c>
      <c r="E293" t="s">
        <v>258</v>
      </c>
      <c r="F293" t="s">
        <v>101</v>
      </c>
      <c r="G293" t="s">
        <v>104</v>
      </c>
      <c r="H293">
        <v>0</v>
      </c>
      <c r="I293">
        <v>0</v>
      </c>
      <c r="J293">
        <v>0</v>
      </c>
      <c r="K293" t="s">
        <v>104</v>
      </c>
      <c r="L293">
        <v>0</v>
      </c>
      <c r="M293">
        <v>3</v>
      </c>
      <c r="N293">
        <v>0</v>
      </c>
      <c r="O293">
        <v>27</v>
      </c>
      <c r="P293">
        <v>1</v>
      </c>
      <c r="Q293">
        <v>9</v>
      </c>
      <c r="R293">
        <v>20</v>
      </c>
      <c r="S293">
        <v>0</v>
      </c>
      <c r="T293">
        <v>0</v>
      </c>
      <c r="U293" s="8">
        <v>20</v>
      </c>
      <c r="V293" s="8">
        <f t="shared" si="4"/>
        <v>2</v>
      </c>
    </row>
    <row r="294" spans="1:22" x14ac:dyDescent="0.3">
      <c r="A294" t="s">
        <v>147</v>
      </c>
      <c r="B294">
        <v>1</v>
      </c>
      <c r="C294" t="s">
        <v>240</v>
      </c>
      <c r="D294" t="s">
        <v>243</v>
      </c>
      <c r="E294" t="s">
        <v>258</v>
      </c>
      <c r="F294" t="s">
        <v>85</v>
      </c>
      <c r="G294" t="s">
        <v>104</v>
      </c>
      <c r="H294">
        <v>0</v>
      </c>
      <c r="I294">
        <v>0</v>
      </c>
      <c r="J294">
        <v>0</v>
      </c>
      <c r="K294" t="s">
        <v>104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s="8">
        <v>0</v>
      </c>
      <c r="V294" s="8">
        <f t="shared" si="4"/>
        <v>0</v>
      </c>
    </row>
    <row r="295" spans="1:22" x14ac:dyDescent="0.3">
      <c r="A295" t="s">
        <v>147</v>
      </c>
      <c r="B295">
        <v>1</v>
      </c>
      <c r="C295" t="s">
        <v>242</v>
      </c>
      <c r="D295" t="s">
        <v>244</v>
      </c>
      <c r="E295" t="s">
        <v>258</v>
      </c>
      <c r="F295" t="s">
        <v>101</v>
      </c>
      <c r="G295" t="s">
        <v>104</v>
      </c>
      <c r="H295">
        <v>0</v>
      </c>
      <c r="I295">
        <v>0</v>
      </c>
      <c r="J295">
        <v>0</v>
      </c>
      <c r="K295" t="s">
        <v>104</v>
      </c>
      <c r="L295">
        <v>0</v>
      </c>
      <c r="M295">
        <v>4</v>
      </c>
      <c r="N295">
        <v>0</v>
      </c>
      <c r="O295">
        <v>18</v>
      </c>
      <c r="P295">
        <v>2</v>
      </c>
      <c r="Q295">
        <v>4.5</v>
      </c>
      <c r="R295">
        <v>40</v>
      </c>
      <c r="S295">
        <v>0</v>
      </c>
      <c r="T295">
        <v>0</v>
      </c>
      <c r="U295" s="8">
        <v>40</v>
      </c>
      <c r="V295" s="8">
        <f t="shared" si="4"/>
        <v>4</v>
      </c>
    </row>
    <row r="296" spans="1:22" x14ac:dyDescent="0.3">
      <c r="A296" t="s">
        <v>147</v>
      </c>
      <c r="B296">
        <v>1</v>
      </c>
      <c r="C296" t="s">
        <v>105</v>
      </c>
      <c r="D296" t="s">
        <v>128</v>
      </c>
      <c r="E296" t="s">
        <v>258</v>
      </c>
      <c r="F296" t="s">
        <v>101</v>
      </c>
      <c r="G296" t="s">
        <v>104</v>
      </c>
      <c r="H296">
        <v>0</v>
      </c>
      <c r="I296">
        <v>0</v>
      </c>
      <c r="J296">
        <v>0</v>
      </c>
      <c r="K296" t="s">
        <v>104</v>
      </c>
      <c r="L296">
        <v>0</v>
      </c>
      <c r="M296">
        <v>4</v>
      </c>
      <c r="N296">
        <v>0</v>
      </c>
      <c r="O296">
        <v>29</v>
      </c>
      <c r="P296">
        <v>2</v>
      </c>
      <c r="Q296">
        <v>7.2</v>
      </c>
      <c r="R296">
        <v>40</v>
      </c>
      <c r="S296">
        <v>0</v>
      </c>
      <c r="T296">
        <v>0</v>
      </c>
      <c r="U296" s="8">
        <v>40</v>
      </c>
      <c r="V296" s="8">
        <f t="shared" si="4"/>
        <v>4</v>
      </c>
    </row>
    <row r="297" spans="1:22" x14ac:dyDescent="0.3">
      <c r="A297" t="s">
        <v>147</v>
      </c>
      <c r="B297">
        <v>1</v>
      </c>
      <c r="C297" t="s">
        <v>110</v>
      </c>
      <c r="D297" t="s">
        <v>132</v>
      </c>
      <c r="E297" t="s">
        <v>258</v>
      </c>
      <c r="F297" t="s">
        <v>101</v>
      </c>
      <c r="G297" t="s">
        <v>104</v>
      </c>
      <c r="H297">
        <v>0</v>
      </c>
      <c r="I297">
        <v>0</v>
      </c>
      <c r="J297">
        <v>0</v>
      </c>
      <c r="K297" t="s">
        <v>104</v>
      </c>
      <c r="L297">
        <v>0</v>
      </c>
      <c r="M297">
        <v>1</v>
      </c>
      <c r="N297">
        <v>0</v>
      </c>
      <c r="O297">
        <v>16</v>
      </c>
      <c r="P297">
        <v>0</v>
      </c>
      <c r="Q297">
        <v>16</v>
      </c>
      <c r="R297">
        <v>0</v>
      </c>
      <c r="S297">
        <v>0</v>
      </c>
      <c r="T297">
        <v>0</v>
      </c>
      <c r="U297" s="8">
        <v>0</v>
      </c>
      <c r="V297" s="8">
        <f t="shared" si="4"/>
        <v>0</v>
      </c>
    </row>
    <row r="298" spans="1:22" x14ac:dyDescent="0.3">
      <c r="A298" t="s">
        <v>147</v>
      </c>
      <c r="B298">
        <v>1</v>
      </c>
      <c r="C298" t="s">
        <v>310</v>
      </c>
      <c r="D298" t="s">
        <v>311</v>
      </c>
      <c r="E298" t="s">
        <v>258</v>
      </c>
      <c r="F298" t="s">
        <v>83</v>
      </c>
      <c r="G298" t="s">
        <v>104</v>
      </c>
      <c r="H298">
        <v>0</v>
      </c>
      <c r="I298">
        <v>0</v>
      </c>
      <c r="J298">
        <v>0</v>
      </c>
      <c r="K298" t="s">
        <v>104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s="8">
        <v>0</v>
      </c>
      <c r="V298" s="8">
        <f t="shared" si="4"/>
        <v>0</v>
      </c>
    </row>
    <row r="299" spans="1:22" x14ac:dyDescent="0.3">
      <c r="A299" t="s">
        <v>147</v>
      </c>
      <c r="B299">
        <v>1</v>
      </c>
      <c r="C299" t="s">
        <v>190</v>
      </c>
      <c r="D299" t="s">
        <v>191</v>
      </c>
      <c r="E299" t="s">
        <v>158</v>
      </c>
      <c r="F299" t="s">
        <v>109</v>
      </c>
      <c r="G299" t="s">
        <v>86</v>
      </c>
      <c r="H299">
        <v>18</v>
      </c>
      <c r="I299">
        <v>15</v>
      </c>
      <c r="J299">
        <v>120</v>
      </c>
      <c r="K299" t="s">
        <v>247</v>
      </c>
      <c r="L299">
        <v>21.6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s="8">
        <v>21.6</v>
      </c>
      <c r="V299" s="8">
        <f t="shared" si="4"/>
        <v>2</v>
      </c>
    </row>
    <row r="300" spans="1:22" x14ac:dyDescent="0.3">
      <c r="A300" t="s">
        <v>147</v>
      </c>
      <c r="B300">
        <v>1</v>
      </c>
      <c r="C300" t="s">
        <v>188</v>
      </c>
      <c r="D300" t="s">
        <v>189</v>
      </c>
      <c r="E300" t="s">
        <v>158</v>
      </c>
      <c r="F300" t="s">
        <v>83</v>
      </c>
      <c r="G300" t="s">
        <v>86</v>
      </c>
      <c r="H300">
        <v>8</v>
      </c>
      <c r="I300">
        <v>7</v>
      </c>
      <c r="J300">
        <v>114.29</v>
      </c>
      <c r="K300" t="s">
        <v>245</v>
      </c>
      <c r="L300">
        <v>9.14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s="8">
        <v>9.14</v>
      </c>
      <c r="V300" s="8">
        <f t="shared" si="4"/>
        <v>1</v>
      </c>
    </row>
    <row r="301" spans="1:22" x14ac:dyDescent="0.3">
      <c r="A301" t="s">
        <v>147</v>
      </c>
      <c r="B301">
        <v>1</v>
      </c>
      <c r="C301" t="s">
        <v>196</v>
      </c>
      <c r="D301" t="s">
        <v>197</v>
      </c>
      <c r="E301" t="s">
        <v>158</v>
      </c>
      <c r="F301" t="s">
        <v>83</v>
      </c>
      <c r="G301" t="s">
        <v>92</v>
      </c>
      <c r="H301">
        <v>22</v>
      </c>
      <c r="I301">
        <v>11</v>
      </c>
      <c r="J301">
        <v>200</v>
      </c>
      <c r="K301" t="s">
        <v>256</v>
      </c>
      <c r="L301">
        <v>44</v>
      </c>
      <c r="M301">
        <v>1</v>
      </c>
      <c r="N301">
        <v>0</v>
      </c>
      <c r="O301">
        <v>7</v>
      </c>
      <c r="P301">
        <v>0</v>
      </c>
      <c r="Q301">
        <v>7</v>
      </c>
      <c r="R301">
        <v>0</v>
      </c>
      <c r="S301">
        <v>0</v>
      </c>
      <c r="T301">
        <v>0</v>
      </c>
      <c r="U301" s="8">
        <v>44</v>
      </c>
      <c r="V301" s="8">
        <f t="shared" si="4"/>
        <v>4</v>
      </c>
    </row>
    <row r="302" spans="1:22" x14ac:dyDescent="0.3">
      <c r="A302" t="s">
        <v>147</v>
      </c>
      <c r="B302">
        <v>1</v>
      </c>
      <c r="C302" t="s">
        <v>194</v>
      </c>
      <c r="D302" t="s">
        <v>195</v>
      </c>
      <c r="E302" t="s">
        <v>158</v>
      </c>
      <c r="F302" t="s">
        <v>109</v>
      </c>
      <c r="G302" t="s">
        <v>92</v>
      </c>
      <c r="H302">
        <v>1</v>
      </c>
      <c r="I302">
        <v>4</v>
      </c>
      <c r="J302">
        <v>25</v>
      </c>
      <c r="K302" t="s">
        <v>246</v>
      </c>
      <c r="L302">
        <v>0.25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s="8">
        <v>0.25</v>
      </c>
      <c r="V302" s="8">
        <f t="shared" si="4"/>
        <v>0</v>
      </c>
    </row>
    <row r="303" spans="1:22" x14ac:dyDescent="0.3">
      <c r="A303" t="s">
        <v>147</v>
      </c>
      <c r="B303">
        <v>1</v>
      </c>
      <c r="C303" t="s">
        <v>192</v>
      </c>
      <c r="D303" t="s">
        <v>193</v>
      </c>
      <c r="E303" t="s">
        <v>158</v>
      </c>
      <c r="F303" t="s">
        <v>169</v>
      </c>
      <c r="G303" t="s">
        <v>134</v>
      </c>
      <c r="H303">
        <v>36</v>
      </c>
      <c r="I303">
        <v>29</v>
      </c>
      <c r="J303">
        <v>124.14</v>
      </c>
      <c r="K303" t="s">
        <v>256</v>
      </c>
      <c r="L303">
        <v>44.69</v>
      </c>
      <c r="M303">
        <v>4</v>
      </c>
      <c r="N303">
        <v>0</v>
      </c>
      <c r="O303">
        <v>24</v>
      </c>
      <c r="P303">
        <v>1</v>
      </c>
      <c r="Q303">
        <v>6</v>
      </c>
      <c r="R303">
        <v>20</v>
      </c>
      <c r="S303">
        <v>0</v>
      </c>
      <c r="T303">
        <v>0</v>
      </c>
      <c r="U303" s="8">
        <v>64.69</v>
      </c>
      <c r="V303" s="8">
        <f t="shared" si="4"/>
        <v>6</v>
      </c>
    </row>
    <row r="304" spans="1:22" x14ac:dyDescent="0.3">
      <c r="A304" t="s">
        <v>147</v>
      </c>
      <c r="B304">
        <v>1</v>
      </c>
      <c r="C304" t="s">
        <v>198</v>
      </c>
      <c r="D304" t="s">
        <v>199</v>
      </c>
      <c r="E304" t="s">
        <v>158</v>
      </c>
      <c r="F304" t="s">
        <v>101</v>
      </c>
      <c r="G304" t="s">
        <v>134</v>
      </c>
      <c r="H304">
        <v>4</v>
      </c>
      <c r="I304">
        <v>10</v>
      </c>
      <c r="J304">
        <v>40</v>
      </c>
      <c r="K304" t="s">
        <v>246</v>
      </c>
      <c r="L304">
        <v>1.6</v>
      </c>
      <c r="M304">
        <v>4</v>
      </c>
      <c r="N304">
        <v>0</v>
      </c>
      <c r="O304">
        <v>38</v>
      </c>
      <c r="P304">
        <v>2</v>
      </c>
      <c r="Q304">
        <v>9.5</v>
      </c>
      <c r="R304">
        <v>40</v>
      </c>
      <c r="S304">
        <v>0</v>
      </c>
      <c r="T304">
        <v>0</v>
      </c>
      <c r="U304" s="8">
        <v>41.6</v>
      </c>
      <c r="V304" s="8">
        <f t="shared" si="4"/>
        <v>4</v>
      </c>
    </row>
    <row r="305" spans="1:22" x14ac:dyDescent="0.3">
      <c r="A305" t="s">
        <v>147</v>
      </c>
      <c r="B305">
        <v>1</v>
      </c>
      <c r="C305" t="s">
        <v>200</v>
      </c>
      <c r="D305" t="s">
        <v>201</v>
      </c>
      <c r="E305" t="s">
        <v>158</v>
      </c>
      <c r="F305" t="s">
        <v>85</v>
      </c>
      <c r="G305" t="s">
        <v>134</v>
      </c>
      <c r="H305">
        <v>1</v>
      </c>
      <c r="I305">
        <v>4</v>
      </c>
      <c r="J305">
        <v>25</v>
      </c>
      <c r="K305" t="s">
        <v>245</v>
      </c>
      <c r="L305">
        <v>0.25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s="8">
        <v>0.25</v>
      </c>
      <c r="V305" s="8">
        <f t="shared" si="4"/>
        <v>0</v>
      </c>
    </row>
    <row r="306" spans="1:22" x14ac:dyDescent="0.3">
      <c r="A306" t="s">
        <v>147</v>
      </c>
      <c r="B306">
        <v>1</v>
      </c>
      <c r="C306" t="s">
        <v>202</v>
      </c>
      <c r="D306" t="s">
        <v>203</v>
      </c>
      <c r="E306" t="s">
        <v>158</v>
      </c>
      <c r="F306" t="s">
        <v>101</v>
      </c>
      <c r="G306" t="s">
        <v>134</v>
      </c>
      <c r="H306">
        <v>25</v>
      </c>
      <c r="I306">
        <v>17</v>
      </c>
      <c r="J306">
        <v>147.06</v>
      </c>
      <c r="K306" t="s">
        <v>246</v>
      </c>
      <c r="L306">
        <v>36.770000000000003</v>
      </c>
      <c r="M306">
        <v>3</v>
      </c>
      <c r="N306">
        <v>0</v>
      </c>
      <c r="O306">
        <v>25</v>
      </c>
      <c r="P306">
        <v>1</v>
      </c>
      <c r="Q306">
        <v>8.3000000000000007</v>
      </c>
      <c r="R306">
        <v>20</v>
      </c>
      <c r="S306">
        <v>0</v>
      </c>
      <c r="T306">
        <v>0</v>
      </c>
      <c r="U306" s="8">
        <v>56.77</v>
      </c>
      <c r="V306" s="8">
        <f t="shared" si="4"/>
        <v>6</v>
      </c>
    </row>
    <row r="307" spans="1:22" x14ac:dyDescent="0.3">
      <c r="A307" t="s">
        <v>147</v>
      </c>
      <c r="B307">
        <v>1</v>
      </c>
      <c r="C307" t="s">
        <v>206</v>
      </c>
      <c r="D307" t="s">
        <v>207</v>
      </c>
      <c r="E307" t="s">
        <v>158</v>
      </c>
      <c r="F307" t="s">
        <v>101</v>
      </c>
      <c r="G307" t="s">
        <v>134</v>
      </c>
      <c r="H307">
        <v>1</v>
      </c>
      <c r="I307">
        <v>3</v>
      </c>
      <c r="J307">
        <v>33.33</v>
      </c>
      <c r="K307" t="s">
        <v>246</v>
      </c>
      <c r="L307">
        <v>0.33</v>
      </c>
      <c r="M307">
        <v>3</v>
      </c>
      <c r="N307">
        <v>0</v>
      </c>
      <c r="O307">
        <v>23</v>
      </c>
      <c r="P307">
        <v>0</v>
      </c>
      <c r="Q307">
        <v>7.7</v>
      </c>
      <c r="R307">
        <v>0</v>
      </c>
      <c r="S307">
        <v>0</v>
      </c>
      <c r="T307">
        <v>0</v>
      </c>
      <c r="U307" s="8">
        <v>0.33</v>
      </c>
      <c r="V307" s="8">
        <f t="shared" si="4"/>
        <v>0</v>
      </c>
    </row>
    <row r="308" spans="1:22" x14ac:dyDescent="0.3">
      <c r="A308" t="s">
        <v>147</v>
      </c>
      <c r="B308">
        <v>1</v>
      </c>
      <c r="C308" t="s">
        <v>204</v>
      </c>
      <c r="D308" t="s">
        <v>205</v>
      </c>
      <c r="E308" t="s">
        <v>158</v>
      </c>
      <c r="F308" t="s">
        <v>91</v>
      </c>
      <c r="G308" t="s">
        <v>134</v>
      </c>
      <c r="H308">
        <v>8</v>
      </c>
      <c r="I308">
        <v>9</v>
      </c>
      <c r="J308">
        <v>88.89</v>
      </c>
      <c r="K308" t="s">
        <v>96</v>
      </c>
      <c r="L308">
        <v>7.11</v>
      </c>
      <c r="M308">
        <v>3</v>
      </c>
      <c r="N308">
        <v>0</v>
      </c>
      <c r="O308">
        <v>21</v>
      </c>
      <c r="P308">
        <v>0</v>
      </c>
      <c r="Q308">
        <v>7</v>
      </c>
      <c r="R308">
        <v>0</v>
      </c>
      <c r="S308">
        <v>0</v>
      </c>
      <c r="T308">
        <v>0</v>
      </c>
      <c r="U308" s="8">
        <v>7.11</v>
      </c>
      <c r="V308" s="8">
        <f t="shared" si="4"/>
        <v>1</v>
      </c>
    </row>
    <row r="309" spans="1:22" x14ac:dyDescent="0.3">
      <c r="A309" t="s">
        <v>147</v>
      </c>
      <c r="B309">
        <v>1</v>
      </c>
      <c r="C309" t="s">
        <v>332</v>
      </c>
      <c r="D309" t="s">
        <v>312</v>
      </c>
      <c r="E309" t="s">
        <v>158</v>
      </c>
      <c r="F309" t="s">
        <v>101</v>
      </c>
      <c r="G309" t="s">
        <v>135</v>
      </c>
      <c r="H309">
        <v>0</v>
      </c>
      <c r="I309">
        <v>3</v>
      </c>
      <c r="J309">
        <v>0</v>
      </c>
      <c r="K309" t="s">
        <v>246</v>
      </c>
      <c r="L309">
        <v>0</v>
      </c>
      <c r="M309">
        <v>2</v>
      </c>
      <c r="N309">
        <v>0</v>
      </c>
      <c r="O309">
        <v>7</v>
      </c>
      <c r="P309">
        <v>0</v>
      </c>
      <c r="Q309">
        <v>3.5</v>
      </c>
      <c r="R309">
        <v>0</v>
      </c>
      <c r="S309">
        <v>0</v>
      </c>
      <c r="T309">
        <v>0</v>
      </c>
      <c r="U309" s="8">
        <v>0</v>
      </c>
      <c r="V309" s="8">
        <f t="shared" si="4"/>
        <v>0</v>
      </c>
    </row>
    <row r="310" spans="1:22" x14ac:dyDescent="0.3">
      <c r="A310" t="s">
        <v>148</v>
      </c>
      <c r="B310">
        <v>1</v>
      </c>
      <c r="C310" t="s">
        <v>112</v>
      </c>
      <c r="D310" t="s">
        <v>88</v>
      </c>
      <c r="E310" t="s">
        <v>266</v>
      </c>
      <c r="F310" t="s">
        <v>83</v>
      </c>
      <c r="G310" t="s">
        <v>86</v>
      </c>
      <c r="H310">
        <v>35</v>
      </c>
      <c r="I310">
        <v>30</v>
      </c>
      <c r="J310">
        <v>116.67</v>
      </c>
      <c r="K310" t="s">
        <v>246</v>
      </c>
      <c r="L310">
        <v>40.83</v>
      </c>
      <c r="M310">
        <v>4</v>
      </c>
      <c r="N310">
        <v>0</v>
      </c>
      <c r="O310">
        <v>26</v>
      </c>
      <c r="P310">
        <v>1</v>
      </c>
      <c r="Q310">
        <v>6.5</v>
      </c>
      <c r="R310">
        <v>20</v>
      </c>
      <c r="S310">
        <v>0</v>
      </c>
      <c r="T310">
        <v>0</v>
      </c>
      <c r="U310" s="8">
        <v>60.83</v>
      </c>
      <c r="V310" s="8">
        <f t="shared" si="4"/>
        <v>6</v>
      </c>
    </row>
    <row r="311" spans="1:22" x14ac:dyDescent="0.3">
      <c r="A311" t="s">
        <v>148</v>
      </c>
      <c r="B311">
        <v>1</v>
      </c>
      <c r="C311" t="s">
        <v>113</v>
      </c>
      <c r="D311" t="s">
        <v>84</v>
      </c>
      <c r="E311" t="s">
        <v>266</v>
      </c>
      <c r="F311" t="s">
        <v>85</v>
      </c>
      <c r="G311" t="s">
        <v>86</v>
      </c>
      <c r="H311">
        <v>7</v>
      </c>
      <c r="I311">
        <v>15</v>
      </c>
      <c r="J311">
        <v>46.67</v>
      </c>
      <c r="K311" t="s">
        <v>245</v>
      </c>
      <c r="L311">
        <v>3.27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s="8">
        <v>3.27</v>
      </c>
      <c r="V311" s="8">
        <f t="shared" si="4"/>
        <v>0</v>
      </c>
    </row>
    <row r="312" spans="1:22" x14ac:dyDescent="0.3">
      <c r="A312" t="s">
        <v>148</v>
      </c>
      <c r="B312">
        <v>1</v>
      </c>
      <c r="C312" t="s">
        <v>117</v>
      </c>
      <c r="D312" t="s">
        <v>90</v>
      </c>
      <c r="E312" t="s">
        <v>266</v>
      </c>
      <c r="F312" t="s">
        <v>169</v>
      </c>
      <c r="G312" t="s">
        <v>92</v>
      </c>
      <c r="H312">
        <v>5</v>
      </c>
      <c r="I312">
        <v>8</v>
      </c>
      <c r="J312">
        <v>62.5</v>
      </c>
      <c r="K312" t="s">
        <v>247</v>
      </c>
      <c r="L312">
        <v>3.12</v>
      </c>
      <c r="M312">
        <v>4</v>
      </c>
      <c r="N312">
        <v>0</v>
      </c>
      <c r="O312">
        <v>24</v>
      </c>
      <c r="P312">
        <v>1</v>
      </c>
      <c r="Q312">
        <v>6</v>
      </c>
      <c r="R312">
        <v>20</v>
      </c>
      <c r="S312">
        <v>0</v>
      </c>
      <c r="T312">
        <v>0</v>
      </c>
      <c r="U312" s="8">
        <v>23.12</v>
      </c>
      <c r="V312" s="8">
        <f t="shared" si="4"/>
        <v>2</v>
      </c>
    </row>
    <row r="313" spans="1:22" x14ac:dyDescent="0.3">
      <c r="A313" t="s">
        <v>148</v>
      </c>
      <c r="B313">
        <v>1</v>
      </c>
      <c r="C313" t="s">
        <v>115</v>
      </c>
      <c r="D313" t="s">
        <v>17</v>
      </c>
      <c r="E313" t="s">
        <v>266</v>
      </c>
      <c r="F313" t="s">
        <v>83</v>
      </c>
      <c r="G313" t="s">
        <v>134</v>
      </c>
      <c r="H313">
        <v>25</v>
      </c>
      <c r="I313">
        <v>22</v>
      </c>
      <c r="J313">
        <v>113.64</v>
      </c>
      <c r="K313" t="s">
        <v>246</v>
      </c>
      <c r="L313">
        <v>28.41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s="8">
        <v>28.41</v>
      </c>
      <c r="V313" s="8">
        <f t="shared" si="4"/>
        <v>3</v>
      </c>
    </row>
    <row r="314" spans="1:22" x14ac:dyDescent="0.3">
      <c r="A314" t="s">
        <v>148</v>
      </c>
      <c r="B314">
        <v>1</v>
      </c>
      <c r="C314" t="s">
        <v>119</v>
      </c>
      <c r="D314" t="s">
        <v>95</v>
      </c>
      <c r="E314" t="s">
        <v>266</v>
      </c>
      <c r="F314" t="s">
        <v>91</v>
      </c>
      <c r="G314" t="s">
        <v>134</v>
      </c>
      <c r="H314">
        <v>3</v>
      </c>
      <c r="I314">
        <v>5</v>
      </c>
      <c r="J314">
        <v>60</v>
      </c>
      <c r="K314" t="s">
        <v>246</v>
      </c>
      <c r="L314">
        <v>1.8</v>
      </c>
      <c r="M314">
        <v>4</v>
      </c>
      <c r="N314">
        <v>0</v>
      </c>
      <c r="O314">
        <v>22</v>
      </c>
      <c r="P314">
        <v>2</v>
      </c>
      <c r="Q314">
        <v>5.5</v>
      </c>
      <c r="R314">
        <v>40</v>
      </c>
      <c r="S314">
        <v>0</v>
      </c>
      <c r="T314">
        <v>0</v>
      </c>
      <c r="U314" s="8">
        <v>41.8</v>
      </c>
      <c r="V314" s="8">
        <f t="shared" si="4"/>
        <v>4</v>
      </c>
    </row>
    <row r="315" spans="1:22" x14ac:dyDescent="0.3">
      <c r="A315" t="s">
        <v>148</v>
      </c>
      <c r="B315">
        <v>1</v>
      </c>
      <c r="C315" t="s">
        <v>127</v>
      </c>
      <c r="D315" t="s">
        <v>100</v>
      </c>
      <c r="E315" t="s">
        <v>266</v>
      </c>
      <c r="F315" t="s">
        <v>101</v>
      </c>
      <c r="G315" t="s">
        <v>134</v>
      </c>
      <c r="H315">
        <v>32</v>
      </c>
      <c r="I315">
        <v>19</v>
      </c>
      <c r="J315">
        <v>168.42</v>
      </c>
      <c r="K315" t="s">
        <v>256</v>
      </c>
      <c r="L315">
        <v>53.89</v>
      </c>
      <c r="M315">
        <v>2.2999999999999998</v>
      </c>
      <c r="N315">
        <v>0</v>
      </c>
      <c r="O315">
        <v>24</v>
      </c>
      <c r="P315">
        <v>1</v>
      </c>
      <c r="Q315">
        <v>9.6</v>
      </c>
      <c r="R315">
        <v>20</v>
      </c>
      <c r="S315">
        <v>0</v>
      </c>
      <c r="T315">
        <v>1</v>
      </c>
      <c r="U315" s="8">
        <v>73.89</v>
      </c>
      <c r="V315" s="8">
        <f t="shared" si="4"/>
        <v>7</v>
      </c>
    </row>
    <row r="316" spans="1:22" x14ac:dyDescent="0.3">
      <c r="A316" t="s">
        <v>148</v>
      </c>
      <c r="B316">
        <v>1</v>
      </c>
      <c r="C316" t="s">
        <v>121</v>
      </c>
      <c r="D316" t="s">
        <v>108</v>
      </c>
      <c r="E316" t="s">
        <v>266</v>
      </c>
      <c r="F316" t="s">
        <v>109</v>
      </c>
      <c r="G316" t="s">
        <v>135</v>
      </c>
      <c r="H316">
        <v>5</v>
      </c>
      <c r="I316">
        <v>7</v>
      </c>
      <c r="J316">
        <v>71.430000000000007</v>
      </c>
      <c r="K316" t="s">
        <v>248</v>
      </c>
      <c r="L316">
        <v>3.57</v>
      </c>
      <c r="M316">
        <v>1</v>
      </c>
      <c r="N316">
        <v>0</v>
      </c>
      <c r="O316">
        <v>11</v>
      </c>
      <c r="P316">
        <v>0</v>
      </c>
      <c r="Q316">
        <v>11</v>
      </c>
      <c r="R316">
        <v>0</v>
      </c>
      <c r="S316">
        <v>0</v>
      </c>
      <c r="T316">
        <v>0</v>
      </c>
      <c r="U316" s="8">
        <v>3.57</v>
      </c>
      <c r="V316" s="8">
        <f t="shared" si="4"/>
        <v>0</v>
      </c>
    </row>
    <row r="317" spans="1:22" x14ac:dyDescent="0.3">
      <c r="A317" t="s">
        <v>148</v>
      </c>
      <c r="B317">
        <v>1</v>
      </c>
      <c r="C317" t="s">
        <v>125</v>
      </c>
      <c r="D317" t="s">
        <v>111</v>
      </c>
      <c r="E317" t="s">
        <v>266</v>
      </c>
      <c r="F317" t="s">
        <v>83</v>
      </c>
      <c r="G317" t="s">
        <v>135</v>
      </c>
      <c r="H317">
        <v>4</v>
      </c>
      <c r="I317">
        <v>6</v>
      </c>
      <c r="J317">
        <v>66.67</v>
      </c>
      <c r="K317" t="s">
        <v>245</v>
      </c>
      <c r="L317">
        <v>2.67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s="8">
        <v>2.67</v>
      </c>
      <c r="V317" s="8">
        <f t="shared" si="4"/>
        <v>0</v>
      </c>
    </row>
    <row r="318" spans="1:22" x14ac:dyDescent="0.3">
      <c r="A318" t="s">
        <v>148</v>
      </c>
      <c r="B318">
        <v>1</v>
      </c>
      <c r="C318" t="s">
        <v>303</v>
      </c>
      <c r="D318" t="s">
        <v>304</v>
      </c>
      <c r="E318" t="s">
        <v>266</v>
      </c>
      <c r="F318" t="s">
        <v>109</v>
      </c>
      <c r="G318" t="s">
        <v>135</v>
      </c>
      <c r="H318">
        <v>3</v>
      </c>
      <c r="I318">
        <v>3</v>
      </c>
      <c r="J318">
        <v>100</v>
      </c>
      <c r="K318" t="s">
        <v>245</v>
      </c>
      <c r="L318">
        <v>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s="8">
        <v>3</v>
      </c>
      <c r="V318" s="8">
        <f t="shared" si="4"/>
        <v>0</v>
      </c>
    </row>
    <row r="319" spans="1:22" x14ac:dyDescent="0.3">
      <c r="A319" t="s">
        <v>148</v>
      </c>
      <c r="B319">
        <v>1</v>
      </c>
      <c r="C319" t="s">
        <v>129</v>
      </c>
      <c r="D319" t="s">
        <v>103</v>
      </c>
      <c r="E319" t="s">
        <v>266</v>
      </c>
      <c r="F319" t="s">
        <v>91</v>
      </c>
      <c r="G319" t="s">
        <v>135</v>
      </c>
      <c r="H319">
        <v>3</v>
      </c>
      <c r="I319">
        <v>3</v>
      </c>
      <c r="J319">
        <v>100</v>
      </c>
      <c r="K319" t="s">
        <v>96</v>
      </c>
      <c r="L319">
        <v>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s="8">
        <v>3</v>
      </c>
      <c r="V319" s="8">
        <f t="shared" si="4"/>
        <v>0</v>
      </c>
    </row>
    <row r="320" spans="1:22" x14ac:dyDescent="0.3">
      <c r="A320" t="s">
        <v>148</v>
      </c>
      <c r="B320">
        <v>1</v>
      </c>
      <c r="C320" t="s">
        <v>131</v>
      </c>
      <c r="D320" t="s">
        <v>106</v>
      </c>
      <c r="E320" t="s">
        <v>266</v>
      </c>
      <c r="F320" t="s">
        <v>101</v>
      </c>
      <c r="G320" t="s">
        <v>135</v>
      </c>
      <c r="H320">
        <v>0</v>
      </c>
      <c r="I320">
        <v>2</v>
      </c>
      <c r="J320">
        <v>0</v>
      </c>
      <c r="K320" t="s">
        <v>256</v>
      </c>
      <c r="L320">
        <v>0</v>
      </c>
      <c r="M320">
        <v>4</v>
      </c>
      <c r="N320">
        <v>0</v>
      </c>
      <c r="O320">
        <v>22</v>
      </c>
      <c r="P320">
        <v>0</v>
      </c>
      <c r="Q320">
        <v>5.5</v>
      </c>
      <c r="R320">
        <v>0</v>
      </c>
      <c r="S320">
        <v>0</v>
      </c>
      <c r="T320">
        <v>0</v>
      </c>
      <c r="U320" s="8">
        <v>0</v>
      </c>
      <c r="V320" s="8">
        <f t="shared" si="4"/>
        <v>0</v>
      </c>
    </row>
    <row r="321" spans="1:22" x14ac:dyDescent="0.3">
      <c r="A321" t="s">
        <v>148</v>
      </c>
      <c r="B321">
        <v>1</v>
      </c>
      <c r="C321" t="s">
        <v>231</v>
      </c>
      <c r="D321" t="s">
        <v>232</v>
      </c>
      <c r="E321" t="s">
        <v>219</v>
      </c>
      <c r="F321" t="s">
        <v>83</v>
      </c>
      <c r="G321" t="s">
        <v>86</v>
      </c>
      <c r="H321">
        <v>1</v>
      </c>
      <c r="I321">
        <v>7</v>
      </c>
      <c r="J321">
        <v>14.29</v>
      </c>
      <c r="K321" t="s">
        <v>246</v>
      </c>
      <c r="L321">
        <v>0.14000000000000001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s="8">
        <v>0.14000000000000001</v>
      </c>
      <c r="V321" s="8">
        <f t="shared" si="4"/>
        <v>0</v>
      </c>
    </row>
    <row r="322" spans="1:22" x14ac:dyDescent="0.3">
      <c r="A322" t="s">
        <v>148</v>
      </c>
      <c r="B322">
        <v>1</v>
      </c>
      <c r="C322" t="s">
        <v>217</v>
      </c>
      <c r="D322" t="s">
        <v>218</v>
      </c>
      <c r="E322" t="s">
        <v>219</v>
      </c>
      <c r="F322" t="s">
        <v>85</v>
      </c>
      <c r="G322" t="s">
        <v>86</v>
      </c>
      <c r="H322">
        <v>8</v>
      </c>
      <c r="I322">
        <v>10</v>
      </c>
      <c r="J322">
        <v>80</v>
      </c>
      <c r="K322" t="s">
        <v>247</v>
      </c>
      <c r="L322">
        <v>6.4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 s="8">
        <v>6.4</v>
      </c>
      <c r="V322" s="8">
        <f t="shared" si="4"/>
        <v>1</v>
      </c>
    </row>
    <row r="323" spans="1:22" x14ac:dyDescent="0.3">
      <c r="A323" t="s">
        <v>148</v>
      </c>
      <c r="B323">
        <v>1</v>
      </c>
      <c r="C323" t="s">
        <v>229</v>
      </c>
      <c r="D323" t="s">
        <v>230</v>
      </c>
      <c r="E323" t="s">
        <v>219</v>
      </c>
      <c r="F323" t="s">
        <v>109</v>
      </c>
      <c r="G323" t="s">
        <v>92</v>
      </c>
      <c r="H323">
        <v>12</v>
      </c>
      <c r="I323">
        <v>16</v>
      </c>
      <c r="J323">
        <v>75</v>
      </c>
      <c r="K323" t="s">
        <v>246</v>
      </c>
      <c r="L323">
        <v>9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s="8">
        <v>9</v>
      </c>
      <c r="V323" s="8">
        <f t="shared" ref="V323:V386" si="5">MIN(10, MAX(0, ROUND(U323/10,0)))</f>
        <v>1</v>
      </c>
    </row>
    <row r="324" spans="1:22" x14ac:dyDescent="0.3">
      <c r="A324" t="s">
        <v>148</v>
      </c>
      <c r="B324">
        <v>1</v>
      </c>
      <c r="C324" t="s">
        <v>222</v>
      </c>
      <c r="D324" t="s">
        <v>223</v>
      </c>
      <c r="E324" t="s">
        <v>219</v>
      </c>
      <c r="F324" t="s">
        <v>169</v>
      </c>
      <c r="G324" t="s">
        <v>92</v>
      </c>
      <c r="H324">
        <v>38</v>
      </c>
      <c r="I324">
        <v>25</v>
      </c>
      <c r="J324">
        <v>152</v>
      </c>
      <c r="K324" t="s">
        <v>246</v>
      </c>
      <c r="L324">
        <v>57.76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 s="8">
        <v>57.76</v>
      </c>
      <c r="V324" s="8">
        <f t="shared" si="5"/>
        <v>6</v>
      </c>
    </row>
    <row r="325" spans="1:22" x14ac:dyDescent="0.3">
      <c r="A325" t="s">
        <v>148</v>
      </c>
      <c r="B325">
        <v>1</v>
      </c>
      <c r="C325" t="s">
        <v>226</v>
      </c>
      <c r="D325" t="s">
        <v>211</v>
      </c>
      <c r="E325" t="s">
        <v>219</v>
      </c>
      <c r="F325" t="s">
        <v>169</v>
      </c>
      <c r="G325" t="s">
        <v>134</v>
      </c>
      <c r="H325">
        <v>39</v>
      </c>
      <c r="I325">
        <v>28</v>
      </c>
      <c r="J325">
        <v>139.29</v>
      </c>
      <c r="K325" t="s">
        <v>246</v>
      </c>
      <c r="L325">
        <v>54.32</v>
      </c>
      <c r="M325">
        <v>2</v>
      </c>
      <c r="N325">
        <v>0</v>
      </c>
      <c r="O325">
        <v>15</v>
      </c>
      <c r="P325">
        <v>0</v>
      </c>
      <c r="Q325">
        <v>7.5</v>
      </c>
      <c r="R325">
        <v>0</v>
      </c>
      <c r="S325">
        <v>0</v>
      </c>
      <c r="T325">
        <v>0</v>
      </c>
      <c r="U325" s="8">
        <v>54.32</v>
      </c>
      <c r="V325" s="8">
        <f t="shared" si="5"/>
        <v>5</v>
      </c>
    </row>
    <row r="326" spans="1:22" x14ac:dyDescent="0.3">
      <c r="A326" t="s">
        <v>148</v>
      </c>
      <c r="B326">
        <v>1</v>
      </c>
      <c r="C326" t="s">
        <v>224</v>
      </c>
      <c r="D326" t="s">
        <v>225</v>
      </c>
      <c r="E326" t="s">
        <v>219</v>
      </c>
      <c r="F326" t="s">
        <v>83</v>
      </c>
      <c r="G326" t="s">
        <v>134</v>
      </c>
      <c r="H326">
        <v>13</v>
      </c>
      <c r="I326">
        <v>14</v>
      </c>
      <c r="J326">
        <v>92.86</v>
      </c>
      <c r="K326" t="s">
        <v>96</v>
      </c>
      <c r="L326">
        <v>12.07</v>
      </c>
      <c r="M326">
        <v>4</v>
      </c>
      <c r="N326">
        <v>0</v>
      </c>
      <c r="O326">
        <v>35</v>
      </c>
      <c r="P326">
        <v>2</v>
      </c>
      <c r="Q326">
        <v>8.8000000000000007</v>
      </c>
      <c r="R326">
        <v>40</v>
      </c>
      <c r="S326">
        <v>0</v>
      </c>
      <c r="T326">
        <v>0</v>
      </c>
      <c r="U326" s="8">
        <v>52.07</v>
      </c>
      <c r="V326" s="8">
        <f t="shared" si="5"/>
        <v>5</v>
      </c>
    </row>
    <row r="327" spans="1:22" x14ac:dyDescent="0.3">
      <c r="A327" t="s">
        <v>148</v>
      </c>
      <c r="B327">
        <v>1</v>
      </c>
      <c r="C327" t="s">
        <v>233</v>
      </c>
      <c r="D327" t="s">
        <v>234</v>
      </c>
      <c r="E327" t="s">
        <v>219</v>
      </c>
      <c r="F327" t="s">
        <v>101</v>
      </c>
      <c r="G327" t="s">
        <v>135</v>
      </c>
      <c r="H327">
        <v>16</v>
      </c>
      <c r="I327">
        <v>17</v>
      </c>
      <c r="J327">
        <v>94.12</v>
      </c>
      <c r="K327" t="s">
        <v>96</v>
      </c>
      <c r="L327">
        <v>15.06</v>
      </c>
      <c r="M327">
        <v>4</v>
      </c>
      <c r="N327">
        <v>0</v>
      </c>
      <c r="O327">
        <v>15</v>
      </c>
      <c r="P327">
        <v>3</v>
      </c>
      <c r="Q327">
        <v>3.8</v>
      </c>
      <c r="R327">
        <v>60</v>
      </c>
      <c r="S327">
        <v>0</v>
      </c>
      <c r="T327">
        <v>0</v>
      </c>
      <c r="U327" s="8">
        <v>75.06</v>
      </c>
      <c r="V327" s="8">
        <f t="shared" si="5"/>
        <v>8</v>
      </c>
    </row>
    <row r="328" spans="1:22" x14ac:dyDescent="0.3">
      <c r="A328" t="s">
        <v>148</v>
      </c>
      <c r="B328">
        <v>1</v>
      </c>
      <c r="C328" t="s">
        <v>227</v>
      </c>
      <c r="D328" t="s">
        <v>228</v>
      </c>
      <c r="E328" t="s">
        <v>219</v>
      </c>
      <c r="F328" t="s">
        <v>109</v>
      </c>
      <c r="G328" t="s">
        <v>104</v>
      </c>
      <c r="H328">
        <v>0</v>
      </c>
      <c r="I328">
        <v>0</v>
      </c>
      <c r="J328">
        <v>0</v>
      </c>
      <c r="K328" t="s">
        <v>104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 s="8">
        <v>0</v>
      </c>
      <c r="V328" s="8">
        <f t="shared" si="5"/>
        <v>0</v>
      </c>
    </row>
    <row r="329" spans="1:22" x14ac:dyDescent="0.3">
      <c r="A329" t="s">
        <v>148</v>
      </c>
      <c r="B329">
        <v>1</v>
      </c>
      <c r="C329" t="s">
        <v>314</v>
      </c>
      <c r="D329" t="s">
        <v>315</v>
      </c>
      <c r="E329" t="s">
        <v>219</v>
      </c>
      <c r="F329" t="s">
        <v>83</v>
      </c>
      <c r="G329" t="s">
        <v>104</v>
      </c>
      <c r="H329">
        <v>0</v>
      </c>
      <c r="I329">
        <v>0</v>
      </c>
      <c r="J329">
        <v>0</v>
      </c>
      <c r="K329" t="s">
        <v>104</v>
      </c>
      <c r="L329">
        <v>0</v>
      </c>
      <c r="M329">
        <v>4</v>
      </c>
      <c r="N329">
        <v>0</v>
      </c>
      <c r="O329">
        <v>35</v>
      </c>
      <c r="P329">
        <v>0</v>
      </c>
      <c r="Q329">
        <v>8.8000000000000007</v>
      </c>
      <c r="R329">
        <v>0</v>
      </c>
      <c r="S329">
        <v>0</v>
      </c>
      <c r="T329">
        <v>0</v>
      </c>
      <c r="U329" s="8">
        <v>0</v>
      </c>
      <c r="V329" s="8">
        <f t="shared" si="5"/>
        <v>0</v>
      </c>
    </row>
    <row r="330" spans="1:22" x14ac:dyDescent="0.3">
      <c r="A330" t="s">
        <v>148</v>
      </c>
      <c r="B330">
        <v>1</v>
      </c>
      <c r="C330" t="s">
        <v>235</v>
      </c>
      <c r="D330" t="s">
        <v>236</v>
      </c>
      <c r="E330" t="s">
        <v>219</v>
      </c>
      <c r="F330" t="s">
        <v>101</v>
      </c>
      <c r="G330" t="s">
        <v>104</v>
      </c>
      <c r="H330">
        <v>0</v>
      </c>
      <c r="I330">
        <v>0</v>
      </c>
      <c r="J330">
        <v>0</v>
      </c>
      <c r="K330" t="s">
        <v>104</v>
      </c>
      <c r="L330">
        <v>0</v>
      </c>
      <c r="M330">
        <v>2</v>
      </c>
      <c r="N330">
        <v>0</v>
      </c>
      <c r="O330">
        <v>10</v>
      </c>
      <c r="P330">
        <v>1</v>
      </c>
      <c r="Q330">
        <v>5</v>
      </c>
      <c r="R330">
        <v>20</v>
      </c>
      <c r="S330">
        <v>0</v>
      </c>
      <c r="T330">
        <v>0</v>
      </c>
      <c r="U330" s="8">
        <v>20</v>
      </c>
      <c r="V330" s="8">
        <f t="shared" si="5"/>
        <v>2</v>
      </c>
    </row>
    <row r="331" spans="1:22" x14ac:dyDescent="0.3">
      <c r="A331" t="s">
        <v>148</v>
      </c>
      <c r="B331">
        <v>1</v>
      </c>
      <c r="C331" t="s">
        <v>237</v>
      </c>
      <c r="D331" t="s">
        <v>238</v>
      </c>
      <c r="E331" t="s">
        <v>219</v>
      </c>
      <c r="F331" t="s">
        <v>101</v>
      </c>
      <c r="G331" t="s">
        <v>104</v>
      </c>
      <c r="H331">
        <v>0</v>
      </c>
      <c r="I331">
        <v>0</v>
      </c>
      <c r="J331">
        <v>0</v>
      </c>
      <c r="K331" t="s">
        <v>104</v>
      </c>
      <c r="L331">
        <v>0</v>
      </c>
      <c r="M331">
        <v>4</v>
      </c>
      <c r="N331">
        <v>0</v>
      </c>
      <c r="O331">
        <v>16</v>
      </c>
      <c r="P331">
        <v>2</v>
      </c>
      <c r="Q331">
        <v>4</v>
      </c>
      <c r="R331">
        <v>40</v>
      </c>
      <c r="S331">
        <v>0</v>
      </c>
      <c r="T331">
        <v>0</v>
      </c>
      <c r="U331" s="8">
        <v>40</v>
      </c>
      <c r="V331" s="8">
        <f t="shared" si="5"/>
        <v>4</v>
      </c>
    </row>
    <row r="332" spans="1:22" x14ac:dyDescent="0.3">
      <c r="A332" t="s">
        <v>149</v>
      </c>
      <c r="B332">
        <v>1</v>
      </c>
      <c r="C332" t="s">
        <v>239</v>
      </c>
      <c r="D332" t="s">
        <v>241</v>
      </c>
      <c r="E332" t="s">
        <v>258</v>
      </c>
      <c r="F332" t="s">
        <v>109</v>
      </c>
      <c r="G332" t="s">
        <v>86</v>
      </c>
      <c r="H332">
        <v>16</v>
      </c>
      <c r="I332">
        <v>10</v>
      </c>
      <c r="J332">
        <v>160</v>
      </c>
      <c r="K332" t="s">
        <v>245</v>
      </c>
      <c r="L332">
        <v>25.6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 s="8">
        <v>25.6</v>
      </c>
      <c r="V332" s="8">
        <f t="shared" si="5"/>
        <v>3</v>
      </c>
    </row>
    <row r="333" spans="1:22" x14ac:dyDescent="0.3">
      <c r="A333" t="s">
        <v>149</v>
      </c>
      <c r="B333">
        <v>1</v>
      </c>
      <c r="C333" t="s">
        <v>278</v>
      </c>
      <c r="D333" t="s">
        <v>293</v>
      </c>
      <c r="E333" t="s">
        <v>258</v>
      </c>
      <c r="F333" t="s">
        <v>109</v>
      </c>
      <c r="G333" t="s">
        <v>86</v>
      </c>
      <c r="H333">
        <v>68</v>
      </c>
      <c r="I333">
        <v>42</v>
      </c>
      <c r="J333">
        <v>161.9</v>
      </c>
      <c r="K333" t="s">
        <v>246</v>
      </c>
      <c r="L333">
        <v>110.09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 s="8">
        <v>110.09</v>
      </c>
      <c r="V333" s="8">
        <f t="shared" si="5"/>
        <v>10</v>
      </c>
    </row>
    <row r="334" spans="1:22" x14ac:dyDescent="0.3">
      <c r="A334" t="s">
        <v>149</v>
      </c>
      <c r="B334">
        <v>1</v>
      </c>
      <c r="C334" t="s">
        <v>87</v>
      </c>
      <c r="D334" t="s">
        <v>82</v>
      </c>
      <c r="E334" t="s">
        <v>258</v>
      </c>
      <c r="F334" t="s">
        <v>109</v>
      </c>
      <c r="G334" t="s">
        <v>92</v>
      </c>
      <c r="H334">
        <v>31</v>
      </c>
      <c r="I334">
        <v>32</v>
      </c>
      <c r="J334">
        <v>96.88</v>
      </c>
      <c r="K334" t="s">
        <v>248</v>
      </c>
      <c r="L334">
        <v>30.03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 s="8">
        <v>30.03</v>
      </c>
      <c r="V334" s="8">
        <f t="shared" si="5"/>
        <v>3</v>
      </c>
    </row>
    <row r="335" spans="1:22" x14ac:dyDescent="0.3">
      <c r="A335" t="s">
        <v>149</v>
      </c>
      <c r="B335">
        <v>1</v>
      </c>
      <c r="C335" t="s">
        <v>93</v>
      </c>
      <c r="D335" t="s">
        <v>118</v>
      </c>
      <c r="E335" t="s">
        <v>258</v>
      </c>
      <c r="F335" t="s">
        <v>83</v>
      </c>
      <c r="G335" t="s">
        <v>134</v>
      </c>
      <c r="H335">
        <v>41</v>
      </c>
      <c r="I335">
        <v>26</v>
      </c>
      <c r="J335">
        <v>157.69</v>
      </c>
      <c r="K335" t="s">
        <v>247</v>
      </c>
      <c r="L335">
        <v>64.650000000000006</v>
      </c>
      <c r="M335">
        <v>3</v>
      </c>
      <c r="N335">
        <v>0</v>
      </c>
      <c r="O335">
        <v>48</v>
      </c>
      <c r="P335">
        <v>0</v>
      </c>
      <c r="Q335">
        <v>16</v>
      </c>
      <c r="R335">
        <v>0</v>
      </c>
      <c r="S335">
        <v>0</v>
      </c>
      <c r="T335">
        <v>0</v>
      </c>
      <c r="U335" s="8">
        <v>64.650000000000006</v>
      </c>
      <c r="V335" s="8">
        <f t="shared" si="5"/>
        <v>6</v>
      </c>
    </row>
    <row r="336" spans="1:22" x14ac:dyDescent="0.3">
      <c r="A336" t="s">
        <v>149</v>
      </c>
      <c r="B336">
        <v>1</v>
      </c>
      <c r="C336" t="s">
        <v>97</v>
      </c>
      <c r="D336" t="s">
        <v>122</v>
      </c>
      <c r="E336" t="s">
        <v>258</v>
      </c>
      <c r="F336" t="s">
        <v>109</v>
      </c>
      <c r="G336" t="s">
        <v>134</v>
      </c>
      <c r="H336">
        <v>16</v>
      </c>
      <c r="I336">
        <v>6</v>
      </c>
      <c r="J336">
        <v>266.67</v>
      </c>
      <c r="K336" t="s">
        <v>96</v>
      </c>
      <c r="L336">
        <v>42.67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 s="8">
        <v>42.67</v>
      </c>
      <c r="V336" s="8">
        <f t="shared" si="5"/>
        <v>4</v>
      </c>
    </row>
    <row r="337" spans="1:22" x14ac:dyDescent="0.3">
      <c r="A337" t="s">
        <v>149</v>
      </c>
      <c r="B337">
        <v>1</v>
      </c>
      <c r="C337" t="s">
        <v>89</v>
      </c>
      <c r="D337" t="s">
        <v>116</v>
      </c>
      <c r="E337" t="s">
        <v>258</v>
      </c>
      <c r="F337" t="s">
        <v>83</v>
      </c>
      <c r="G337" t="s">
        <v>134</v>
      </c>
      <c r="H337">
        <v>12</v>
      </c>
      <c r="I337">
        <v>5</v>
      </c>
      <c r="J337">
        <v>240</v>
      </c>
      <c r="K337" t="s">
        <v>96</v>
      </c>
      <c r="L337">
        <v>28.8</v>
      </c>
      <c r="M337">
        <v>1</v>
      </c>
      <c r="N337">
        <v>0</v>
      </c>
      <c r="O337">
        <v>10</v>
      </c>
      <c r="P337">
        <v>0</v>
      </c>
      <c r="Q337">
        <v>10</v>
      </c>
      <c r="R337">
        <v>0</v>
      </c>
      <c r="S337">
        <v>0</v>
      </c>
      <c r="T337">
        <v>0</v>
      </c>
      <c r="U337" s="8">
        <v>28.8</v>
      </c>
      <c r="V337" s="8">
        <f t="shared" si="5"/>
        <v>3</v>
      </c>
    </row>
    <row r="338" spans="1:22" x14ac:dyDescent="0.3">
      <c r="A338" t="s">
        <v>149</v>
      </c>
      <c r="B338">
        <v>1</v>
      </c>
      <c r="C338" t="s">
        <v>240</v>
      </c>
      <c r="D338" t="s">
        <v>243</v>
      </c>
      <c r="E338" t="s">
        <v>258</v>
      </c>
      <c r="F338" t="s">
        <v>85</v>
      </c>
      <c r="G338" t="s">
        <v>104</v>
      </c>
      <c r="H338">
        <v>0</v>
      </c>
      <c r="I338">
        <v>0</v>
      </c>
      <c r="J338">
        <v>0</v>
      </c>
      <c r="K338" t="s">
        <v>104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 s="8">
        <v>0</v>
      </c>
      <c r="V338" s="8">
        <f t="shared" si="5"/>
        <v>0</v>
      </c>
    </row>
    <row r="339" spans="1:22" x14ac:dyDescent="0.3">
      <c r="A339" t="s">
        <v>149</v>
      </c>
      <c r="B339">
        <v>1</v>
      </c>
      <c r="C339" t="s">
        <v>242</v>
      </c>
      <c r="D339" t="s">
        <v>244</v>
      </c>
      <c r="E339" t="s">
        <v>258</v>
      </c>
      <c r="F339" t="s">
        <v>101</v>
      </c>
      <c r="G339" t="s">
        <v>104</v>
      </c>
      <c r="H339">
        <v>0</v>
      </c>
      <c r="I339">
        <v>0</v>
      </c>
      <c r="J339">
        <v>0</v>
      </c>
      <c r="K339" t="s">
        <v>104</v>
      </c>
      <c r="L339">
        <v>0</v>
      </c>
      <c r="M339">
        <v>4</v>
      </c>
      <c r="N339">
        <v>0</v>
      </c>
      <c r="O339">
        <v>32</v>
      </c>
      <c r="P339">
        <v>1</v>
      </c>
      <c r="Q339">
        <v>8</v>
      </c>
      <c r="R339">
        <v>20</v>
      </c>
      <c r="S339">
        <v>0</v>
      </c>
      <c r="T339">
        <v>0</v>
      </c>
      <c r="U339" s="8">
        <v>20</v>
      </c>
      <c r="V339" s="8">
        <f t="shared" si="5"/>
        <v>2</v>
      </c>
    </row>
    <row r="340" spans="1:22" x14ac:dyDescent="0.3">
      <c r="A340" t="s">
        <v>149</v>
      </c>
      <c r="B340">
        <v>1</v>
      </c>
      <c r="C340" t="s">
        <v>102</v>
      </c>
      <c r="D340" t="s">
        <v>126</v>
      </c>
      <c r="E340" t="s">
        <v>258</v>
      </c>
      <c r="F340" t="s">
        <v>101</v>
      </c>
      <c r="G340" t="s">
        <v>104</v>
      </c>
      <c r="H340">
        <v>0</v>
      </c>
      <c r="I340">
        <v>0</v>
      </c>
      <c r="J340">
        <v>0</v>
      </c>
      <c r="K340" t="s">
        <v>104</v>
      </c>
      <c r="L340">
        <v>0</v>
      </c>
      <c r="M340">
        <v>3.3</v>
      </c>
      <c r="N340">
        <v>0</v>
      </c>
      <c r="O340">
        <v>25</v>
      </c>
      <c r="P340">
        <v>1</v>
      </c>
      <c r="Q340">
        <v>7.1</v>
      </c>
      <c r="R340">
        <v>20</v>
      </c>
      <c r="S340">
        <v>0</v>
      </c>
      <c r="T340">
        <v>0</v>
      </c>
      <c r="U340" s="8">
        <v>20</v>
      </c>
      <c r="V340" s="8">
        <f t="shared" si="5"/>
        <v>2</v>
      </c>
    </row>
    <row r="341" spans="1:22" x14ac:dyDescent="0.3">
      <c r="A341" t="s">
        <v>149</v>
      </c>
      <c r="B341">
        <v>1</v>
      </c>
      <c r="C341" t="s">
        <v>105</v>
      </c>
      <c r="D341" t="s">
        <v>128</v>
      </c>
      <c r="E341" t="s">
        <v>258</v>
      </c>
      <c r="F341" t="s">
        <v>101</v>
      </c>
      <c r="G341" t="s">
        <v>104</v>
      </c>
      <c r="H341">
        <v>0</v>
      </c>
      <c r="I341">
        <v>0</v>
      </c>
      <c r="J341">
        <v>0</v>
      </c>
      <c r="K341" t="s">
        <v>104</v>
      </c>
      <c r="L341">
        <v>0</v>
      </c>
      <c r="M341">
        <v>3</v>
      </c>
      <c r="N341">
        <v>0</v>
      </c>
      <c r="O341">
        <v>50</v>
      </c>
      <c r="P341">
        <v>0</v>
      </c>
      <c r="Q341">
        <v>16.7</v>
      </c>
      <c r="R341">
        <v>0</v>
      </c>
      <c r="S341">
        <v>0</v>
      </c>
      <c r="T341">
        <v>0</v>
      </c>
      <c r="U341" s="8">
        <v>0</v>
      </c>
      <c r="V341" s="8">
        <f t="shared" si="5"/>
        <v>0</v>
      </c>
    </row>
    <row r="342" spans="1:22" x14ac:dyDescent="0.3">
      <c r="A342" t="s">
        <v>149</v>
      </c>
      <c r="B342">
        <v>1</v>
      </c>
      <c r="C342" t="s">
        <v>310</v>
      </c>
      <c r="D342" t="s">
        <v>311</v>
      </c>
      <c r="E342" t="s">
        <v>258</v>
      </c>
      <c r="F342" t="s">
        <v>83</v>
      </c>
      <c r="G342" t="s">
        <v>104</v>
      </c>
      <c r="H342">
        <v>0</v>
      </c>
      <c r="I342">
        <v>0</v>
      </c>
      <c r="J342">
        <v>0</v>
      </c>
      <c r="K342" t="s">
        <v>104</v>
      </c>
      <c r="L342">
        <v>0</v>
      </c>
      <c r="M342">
        <v>1</v>
      </c>
      <c r="N342">
        <v>0</v>
      </c>
      <c r="O342">
        <v>18</v>
      </c>
      <c r="P342">
        <v>0</v>
      </c>
      <c r="Q342">
        <v>18</v>
      </c>
      <c r="R342">
        <v>0</v>
      </c>
      <c r="S342">
        <v>0</v>
      </c>
      <c r="T342">
        <v>0</v>
      </c>
      <c r="U342" s="8">
        <v>0</v>
      </c>
      <c r="V342" s="8">
        <f t="shared" si="5"/>
        <v>0</v>
      </c>
    </row>
    <row r="343" spans="1:22" x14ac:dyDescent="0.3">
      <c r="A343" t="s">
        <v>149</v>
      </c>
      <c r="B343">
        <v>1</v>
      </c>
      <c r="C343" t="s">
        <v>165</v>
      </c>
      <c r="D343" t="s">
        <v>166</v>
      </c>
      <c r="E343" t="s">
        <v>159</v>
      </c>
      <c r="F343" t="s">
        <v>109</v>
      </c>
      <c r="G343" t="s">
        <v>86</v>
      </c>
      <c r="H343">
        <v>37</v>
      </c>
      <c r="I343">
        <v>31</v>
      </c>
      <c r="J343">
        <v>119.35</v>
      </c>
      <c r="K343" t="s">
        <v>246</v>
      </c>
      <c r="L343">
        <v>44.14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 s="8">
        <v>44.14</v>
      </c>
      <c r="V343" s="8">
        <f t="shared" si="5"/>
        <v>4</v>
      </c>
    </row>
    <row r="344" spans="1:22" x14ac:dyDescent="0.3">
      <c r="A344" t="s">
        <v>149</v>
      </c>
      <c r="B344">
        <v>1</v>
      </c>
      <c r="C344" t="s">
        <v>167</v>
      </c>
      <c r="D344" t="s">
        <v>168</v>
      </c>
      <c r="E344" t="s">
        <v>159</v>
      </c>
      <c r="F344" t="s">
        <v>169</v>
      </c>
      <c r="G344" t="s">
        <v>86</v>
      </c>
      <c r="H344">
        <v>99</v>
      </c>
      <c r="I344">
        <v>36</v>
      </c>
      <c r="J344">
        <v>275</v>
      </c>
      <c r="K344" t="s">
        <v>246</v>
      </c>
      <c r="L344">
        <v>272.25</v>
      </c>
      <c r="M344">
        <v>3</v>
      </c>
      <c r="N344">
        <v>0</v>
      </c>
      <c r="O344">
        <v>23</v>
      </c>
      <c r="P344">
        <v>1</v>
      </c>
      <c r="Q344">
        <v>7.7</v>
      </c>
      <c r="R344">
        <v>20</v>
      </c>
      <c r="S344">
        <v>0</v>
      </c>
      <c r="T344">
        <v>0</v>
      </c>
      <c r="U344" s="8">
        <v>292.25</v>
      </c>
      <c r="V344" s="8">
        <f t="shared" si="5"/>
        <v>10</v>
      </c>
    </row>
    <row r="345" spans="1:22" x14ac:dyDescent="0.3">
      <c r="A345" t="s">
        <v>149</v>
      </c>
      <c r="B345">
        <v>1</v>
      </c>
      <c r="C345" t="s">
        <v>174</v>
      </c>
      <c r="D345" t="s">
        <v>175</v>
      </c>
      <c r="E345" t="s">
        <v>159</v>
      </c>
      <c r="F345" t="s">
        <v>83</v>
      </c>
      <c r="G345" t="s">
        <v>134</v>
      </c>
      <c r="H345">
        <v>19</v>
      </c>
      <c r="I345">
        <v>12</v>
      </c>
      <c r="J345">
        <v>158.33000000000001</v>
      </c>
      <c r="K345" t="s">
        <v>96</v>
      </c>
      <c r="L345">
        <v>30.08</v>
      </c>
      <c r="M345">
        <v>3</v>
      </c>
      <c r="N345">
        <v>0</v>
      </c>
      <c r="O345">
        <v>25</v>
      </c>
      <c r="P345">
        <v>0</v>
      </c>
      <c r="Q345">
        <v>8.3000000000000007</v>
      </c>
      <c r="R345">
        <v>0</v>
      </c>
      <c r="S345">
        <v>0</v>
      </c>
      <c r="T345">
        <v>0</v>
      </c>
      <c r="U345" s="8">
        <v>30.08</v>
      </c>
      <c r="V345" s="8">
        <f t="shared" si="5"/>
        <v>3</v>
      </c>
    </row>
    <row r="346" spans="1:22" x14ac:dyDescent="0.3">
      <c r="A346" t="s">
        <v>149</v>
      </c>
      <c r="B346">
        <v>1</v>
      </c>
      <c r="C346" t="s">
        <v>170</v>
      </c>
      <c r="D346" t="s">
        <v>171</v>
      </c>
      <c r="E346" t="s">
        <v>159</v>
      </c>
      <c r="F346" t="s">
        <v>83</v>
      </c>
      <c r="G346" t="s">
        <v>134</v>
      </c>
      <c r="H346">
        <v>22</v>
      </c>
      <c r="I346">
        <v>15</v>
      </c>
      <c r="J346">
        <v>146.66999999999999</v>
      </c>
      <c r="K346" t="s">
        <v>96</v>
      </c>
      <c r="L346">
        <v>32.270000000000003</v>
      </c>
      <c r="M346">
        <v>1</v>
      </c>
      <c r="N346">
        <v>0</v>
      </c>
      <c r="O346">
        <v>12</v>
      </c>
      <c r="P346">
        <v>0</v>
      </c>
      <c r="Q346">
        <v>12</v>
      </c>
      <c r="R346">
        <v>0</v>
      </c>
      <c r="S346">
        <v>0</v>
      </c>
      <c r="T346">
        <v>0</v>
      </c>
      <c r="U346" s="8">
        <v>32.270000000000003</v>
      </c>
      <c r="V346" s="8">
        <f t="shared" si="5"/>
        <v>3</v>
      </c>
    </row>
    <row r="347" spans="1:22" x14ac:dyDescent="0.3">
      <c r="A347" t="s">
        <v>149</v>
      </c>
      <c r="B347">
        <v>1</v>
      </c>
      <c r="C347" t="s">
        <v>176</v>
      </c>
      <c r="D347" t="s">
        <v>177</v>
      </c>
      <c r="E347" t="s">
        <v>159</v>
      </c>
      <c r="F347" t="s">
        <v>85</v>
      </c>
      <c r="G347" t="s">
        <v>104</v>
      </c>
      <c r="H347">
        <v>0</v>
      </c>
      <c r="I347">
        <v>0</v>
      </c>
      <c r="J347">
        <v>0</v>
      </c>
      <c r="K347" t="s">
        <v>104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 s="8">
        <v>0</v>
      </c>
      <c r="V347" s="8">
        <f t="shared" si="5"/>
        <v>0</v>
      </c>
    </row>
    <row r="348" spans="1:22" x14ac:dyDescent="0.3">
      <c r="A348" t="s">
        <v>149</v>
      </c>
      <c r="B348">
        <v>1</v>
      </c>
      <c r="C348" t="s">
        <v>178</v>
      </c>
      <c r="D348" t="s">
        <v>179</v>
      </c>
      <c r="E348" t="s">
        <v>159</v>
      </c>
      <c r="F348" t="s">
        <v>83</v>
      </c>
      <c r="G348" t="s">
        <v>104</v>
      </c>
      <c r="H348">
        <v>0</v>
      </c>
      <c r="I348">
        <v>0</v>
      </c>
      <c r="J348">
        <v>0</v>
      </c>
      <c r="K348" t="s">
        <v>104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 s="8">
        <v>0</v>
      </c>
      <c r="V348" s="8">
        <f t="shared" si="5"/>
        <v>0</v>
      </c>
    </row>
    <row r="349" spans="1:22" x14ac:dyDescent="0.3">
      <c r="A349" t="s">
        <v>149</v>
      </c>
      <c r="B349">
        <v>1</v>
      </c>
      <c r="C349" t="s">
        <v>259</v>
      </c>
      <c r="D349" t="s">
        <v>257</v>
      </c>
      <c r="E349" t="s">
        <v>159</v>
      </c>
      <c r="F349" t="s">
        <v>91</v>
      </c>
      <c r="G349" t="s">
        <v>104</v>
      </c>
      <c r="H349">
        <v>0</v>
      </c>
      <c r="I349">
        <v>0</v>
      </c>
      <c r="J349">
        <v>0</v>
      </c>
      <c r="K349" t="s">
        <v>104</v>
      </c>
      <c r="L349">
        <v>0</v>
      </c>
      <c r="M349">
        <v>2</v>
      </c>
      <c r="N349">
        <v>0</v>
      </c>
      <c r="O349">
        <v>17</v>
      </c>
      <c r="P349">
        <v>2</v>
      </c>
      <c r="Q349">
        <v>8.5</v>
      </c>
      <c r="R349">
        <v>40</v>
      </c>
      <c r="S349">
        <v>0</v>
      </c>
      <c r="T349">
        <v>0</v>
      </c>
      <c r="U349" s="8">
        <v>40</v>
      </c>
      <c r="V349" s="8">
        <f t="shared" si="5"/>
        <v>4</v>
      </c>
    </row>
    <row r="350" spans="1:22" x14ac:dyDescent="0.3">
      <c r="A350" t="s">
        <v>149</v>
      </c>
      <c r="B350">
        <v>1</v>
      </c>
      <c r="C350" t="s">
        <v>172</v>
      </c>
      <c r="D350" t="s">
        <v>173</v>
      </c>
      <c r="E350" t="s">
        <v>159</v>
      </c>
      <c r="F350" t="s">
        <v>109</v>
      </c>
      <c r="G350" t="s">
        <v>104</v>
      </c>
      <c r="H350">
        <v>0</v>
      </c>
      <c r="I350">
        <v>0</v>
      </c>
      <c r="J350">
        <v>0</v>
      </c>
      <c r="K350" t="s">
        <v>104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 s="8">
        <v>0</v>
      </c>
      <c r="V350" s="8">
        <f t="shared" si="5"/>
        <v>0</v>
      </c>
    </row>
    <row r="351" spans="1:22" x14ac:dyDescent="0.3">
      <c r="A351" t="s">
        <v>149</v>
      </c>
      <c r="B351">
        <v>1</v>
      </c>
      <c r="C351" t="s">
        <v>184</v>
      </c>
      <c r="D351" t="s">
        <v>185</v>
      </c>
      <c r="E351" t="s">
        <v>159</v>
      </c>
      <c r="F351" t="s">
        <v>101</v>
      </c>
      <c r="G351" t="s">
        <v>104</v>
      </c>
      <c r="H351">
        <v>0</v>
      </c>
      <c r="I351">
        <v>0</v>
      </c>
      <c r="J351">
        <v>0</v>
      </c>
      <c r="K351" t="s">
        <v>104</v>
      </c>
      <c r="L351">
        <v>0</v>
      </c>
      <c r="M351">
        <v>4</v>
      </c>
      <c r="N351">
        <v>0</v>
      </c>
      <c r="O351">
        <v>53</v>
      </c>
      <c r="P351">
        <v>0</v>
      </c>
      <c r="Q351">
        <v>13.2</v>
      </c>
      <c r="R351">
        <v>0</v>
      </c>
      <c r="S351">
        <v>0</v>
      </c>
      <c r="T351">
        <v>0</v>
      </c>
      <c r="U351" s="8">
        <v>0</v>
      </c>
      <c r="V351" s="8">
        <f t="shared" si="5"/>
        <v>0</v>
      </c>
    </row>
    <row r="352" spans="1:22" x14ac:dyDescent="0.3">
      <c r="A352" t="s">
        <v>149</v>
      </c>
      <c r="B352">
        <v>1</v>
      </c>
      <c r="C352" t="s">
        <v>180</v>
      </c>
      <c r="D352" t="s">
        <v>181</v>
      </c>
      <c r="E352" t="s">
        <v>159</v>
      </c>
      <c r="F352" t="s">
        <v>91</v>
      </c>
      <c r="G352" t="s">
        <v>104</v>
      </c>
      <c r="H352">
        <v>0</v>
      </c>
      <c r="I352">
        <v>0</v>
      </c>
      <c r="J352">
        <v>0</v>
      </c>
      <c r="K352" t="s">
        <v>104</v>
      </c>
      <c r="L352">
        <v>0</v>
      </c>
      <c r="M352">
        <v>4</v>
      </c>
      <c r="N352">
        <v>0</v>
      </c>
      <c r="O352">
        <v>35</v>
      </c>
      <c r="P352">
        <v>0</v>
      </c>
      <c r="Q352">
        <v>8.8000000000000007</v>
      </c>
      <c r="R352">
        <v>0</v>
      </c>
      <c r="S352">
        <v>0</v>
      </c>
      <c r="T352">
        <v>0</v>
      </c>
      <c r="U352" s="8">
        <v>0</v>
      </c>
      <c r="V352" s="8">
        <f t="shared" si="5"/>
        <v>0</v>
      </c>
    </row>
    <row r="353" spans="1:22" x14ac:dyDescent="0.3">
      <c r="A353" t="s">
        <v>149</v>
      </c>
      <c r="B353">
        <v>1</v>
      </c>
      <c r="C353" t="s">
        <v>182</v>
      </c>
      <c r="D353" t="s">
        <v>183</v>
      </c>
      <c r="E353" t="s">
        <v>159</v>
      </c>
      <c r="F353" t="s">
        <v>101</v>
      </c>
      <c r="G353" t="s">
        <v>104</v>
      </c>
      <c r="H353">
        <v>0</v>
      </c>
      <c r="I353">
        <v>0</v>
      </c>
      <c r="J353">
        <v>0</v>
      </c>
      <c r="K353" t="s">
        <v>104</v>
      </c>
      <c r="L353">
        <v>0</v>
      </c>
      <c r="M353">
        <v>3</v>
      </c>
      <c r="N353">
        <v>0</v>
      </c>
      <c r="O353">
        <v>23</v>
      </c>
      <c r="P353">
        <v>1</v>
      </c>
      <c r="Q353">
        <v>7.7</v>
      </c>
      <c r="R353">
        <v>20</v>
      </c>
      <c r="S353">
        <v>0</v>
      </c>
      <c r="T353">
        <v>0</v>
      </c>
      <c r="U353" s="8">
        <v>20</v>
      </c>
      <c r="V353" s="8">
        <f t="shared" si="5"/>
        <v>2</v>
      </c>
    </row>
    <row r="354" spans="1:22" x14ac:dyDescent="0.3">
      <c r="A354" t="s">
        <v>150</v>
      </c>
      <c r="B354">
        <v>1</v>
      </c>
      <c r="C354" t="s">
        <v>239</v>
      </c>
      <c r="D354" t="s">
        <v>241</v>
      </c>
      <c r="E354" t="s">
        <v>258</v>
      </c>
      <c r="F354" t="s">
        <v>83</v>
      </c>
      <c r="G354" t="s">
        <v>86</v>
      </c>
      <c r="H354">
        <v>23</v>
      </c>
      <c r="I354">
        <v>13</v>
      </c>
      <c r="J354">
        <v>176.92</v>
      </c>
      <c r="K354" t="s">
        <v>246</v>
      </c>
      <c r="L354">
        <v>40.69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 s="8">
        <v>40.69</v>
      </c>
      <c r="V354" s="8">
        <f t="shared" si="5"/>
        <v>4</v>
      </c>
    </row>
    <row r="355" spans="1:22" x14ac:dyDescent="0.3">
      <c r="A355" t="s">
        <v>150</v>
      </c>
      <c r="B355">
        <v>1</v>
      </c>
      <c r="C355" t="s">
        <v>278</v>
      </c>
      <c r="D355" t="s">
        <v>293</v>
      </c>
      <c r="E355" t="s">
        <v>258</v>
      </c>
      <c r="F355" t="s">
        <v>109</v>
      </c>
      <c r="G355" t="s">
        <v>86</v>
      </c>
      <c r="H355">
        <v>17</v>
      </c>
      <c r="I355">
        <v>13</v>
      </c>
      <c r="J355">
        <v>130.77000000000001</v>
      </c>
      <c r="K355" t="s">
        <v>245</v>
      </c>
      <c r="L355">
        <v>22.23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 s="8">
        <v>22.23</v>
      </c>
      <c r="V355" s="8">
        <f t="shared" si="5"/>
        <v>2</v>
      </c>
    </row>
    <row r="356" spans="1:22" x14ac:dyDescent="0.3">
      <c r="A356" t="s">
        <v>150</v>
      </c>
      <c r="B356">
        <v>1</v>
      </c>
      <c r="C356" t="s">
        <v>89</v>
      </c>
      <c r="D356" t="s">
        <v>116</v>
      </c>
      <c r="E356" t="s">
        <v>258</v>
      </c>
      <c r="F356" t="s">
        <v>83</v>
      </c>
      <c r="G356" t="s">
        <v>92</v>
      </c>
      <c r="H356">
        <v>4</v>
      </c>
      <c r="I356">
        <v>7</v>
      </c>
      <c r="J356">
        <v>57.14</v>
      </c>
      <c r="K356" t="s">
        <v>246</v>
      </c>
      <c r="L356">
        <v>2.29</v>
      </c>
      <c r="M356">
        <v>1</v>
      </c>
      <c r="N356">
        <v>0</v>
      </c>
      <c r="O356">
        <v>17</v>
      </c>
      <c r="P356">
        <v>0</v>
      </c>
      <c r="Q356">
        <v>17</v>
      </c>
      <c r="R356">
        <v>0</v>
      </c>
      <c r="S356">
        <v>0</v>
      </c>
      <c r="T356">
        <v>0</v>
      </c>
      <c r="U356" s="8">
        <v>2.29</v>
      </c>
      <c r="V356" s="8">
        <f t="shared" si="5"/>
        <v>0</v>
      </c>
    </row>
    <row r="357" spans="1:22" x14ac:dyDescent="0.3">
      <c r="A357" t="s">
        <v>150</v>
      </c>
      <c r="B357">
        <v>1</v>
      </c>
      <c r="C357" t="s">
        <v>97</v>
      </c>
      <c r="D357" t="s">
        <v>122</v>
      </c>
      <c r="E357" t="s">
        <v>258</v>
      </c>
      <c r="F357" t="s">
        <v>109</v>
      </c>
      <c r="G357" t="s">
        <v>134</v>
      </c>
      <c r="H357">
        <v>57</v>
      </c>
      <c r="I357">
        <v>33</v>
      </c>
      <c r="J357">
        <v>172.73</v>
      </c>
      <c r="K357" t="s">
        <v>246</v>
      </c>
      <c r="L357">
        <v>98.46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 s="8">
        <v>98.46</v>
      </c>
      <c r="V357" s="8">
        <f t="shared" si="5"/>
        <v>10</v>
      </c>
    </row>
    <row r="358" spans="1:22" x14ac:dyDescent="0.3">
      <c r="A358" t="s">
        <v>150</v>
      </c>
      <c r="B358">
        <v>1</v>
      </c>
      <c r="C358" t="s">
        <v>93</v>
      </c>
      <c r="D358" t="s">
        <v>118</v>
      </c>
      <c r="E358" t="s">
        <v>258</v>
      </c>
      <c r="F358" t="s">
        <v>83</v>
      </c>
      <c r="G358" t="s">
        <v>134</v>
      </c>
      <c r="H358">
        <v>60</v>
      </c>
      <c r="I358">
        <v>39</v>
      </c>
      <c r="J358">
        <v>153.85</v>
      </c>
      <c r="K358" t="s">
        <v>248</v>
      </c>
      <c r="L358">
        <v>92.31</v>
      </c>
      <c r="M358">
        <v>4</v>
      </c>
      <c r="N358">
        <v>0</v>
      </c>
      <c r="O358">
        <v>29</v>
      </c>
      <c r="P358">
        <v>1</v>
      </c>
      <c r="Q358">
        <v>7.2</v>
      </c>
      <c r="R358">
        <v>20</v>
      </c>
      <c r="S358">
        <v>0</v>
      </c>
      <c r="T358">
        <v>0</v>
      </c>
      <c r="U358" s="8">
        <v>112.31</v>
      </c>
      <c r="V358" s="8">
        <f t="shared" si="5"/>
        <v>10</v>
      </c>
    </row>
    <row r="359" spans="1:22" x14ac:dyDescent="0.3">
      <c r="A359" t="s">
        <v>150</v>
      </c>
      <c r="B359">
        <v>1</v>
      </c>
      <c r="C359" t="s">
        <v>240</v>
      </c>
      <c r="D359" t="s">
        <v>243</v>
      </c>
      <c r="E359" t="s">
        <v>258</v>
      </c>
      <c r="F359" t="s">
        <v>85</v>
      </c>
      <c r="G359" t="s">
        <v>134</v>
      </c>
      <c r="H359">
        <v>8</v>
      </c>
      <c r="I359">
        <v>9</v>
      </c>
      <c r="J359">
        <v>88.89</v>
      </c>
      <c r="K359" t="s">
        <v>96</v>
      </c>
      <c r="L359">
        <v>7.11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 s="8">
        <v>7.11</v>
      </c>
      <c r="V359" s="8">
        <f t="shared" si="5"/>
        <v>1</v>
      </c>
    </row>
    <row r="360" spans="1:22" x14ac:dyDescent="0.3">
      <c r="A360" t="s">
        <v>150</v>
      </c>
      <c r="B360">
        <v>1</v>
      </c>
      <c r="C360" t="s">
        <v>310</v>
      </c>
      <c r="D360" t="s">
        <v>311</v>
      </c>
      <c r="E360" t="s">
        <v>258</v>
      </c>
      <c r="F360" t="s">
        <v>83</v>
      </c>
      <c r="G360" t="s">
        <v>135</v>
      </c>
      <c r="H360">
        <v>5</v>
      </c>
      <c r="I360">
        <v>5</v>
      </c>
      <c r="J360">
        <v>100</v>
      </c>
      <c r="K360" t="s">
        <v>247</v>
      </c>
      <c r="L360">
        <v>5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 s="8">
        <v>5</v>
      </c>
      <c r="V360" s="8">
        <f t="shared" si="5"/>
        <v>1</v>
      </c>
    </row>
    <row r="361" spans="1:22" x14ac:dyDescent="0.3">
      <c r="A361" t="s">
        <v>150</v>
      </c>
      <c r="B361">
        <v>1</v>
      </c>
      <c r="C361" t="s">
        <v>242</v>
      </c>
      <c r="D361" t="s">
        <v>244</v>
      </c>
      <c r="E361" t="s">
        <v>258</v>
      </c>
      <c r="F361" t="s">
        <v>109</v>
      </c>
      <c r="G361" t="s">
        <v>135</v>
      </c>
      <c r="H361">
        <v>1</v>
      </c>
      <c r="I361">
        <v>1</v>
      </c>
      <c r="J361">
        <v>100</v>
      </c>
      <c r="K361" t="s">
        <v>96</v>
      </c>
      <c r="L361">
        <v>1</v>
      </c>
      <c r="M361">
        <v>4</v>
      </c>
      <c r="N361">
        <v>0</v>
      </c>
      <c r="O361">
        <v>29</v>
      </c>
      <c r="P361">
        <v>2</v>
      </c>
      <c r="Q361">
        <v>7.2</v>
      </c>
      <c r="R361">
        <v>40</v>
      </c>
      <c r="S361">
        <v>0</v>
      </c>
      <c r="T361">
        <v>0</v>
      </c>
      <c r="U361" s="8">
        <v>41</v>
      </c>
      <c r="V361" s="8">
        <f t="shared" si="5"/>
        <v>4</v>
      </c>
    </row>
    <row r="362" spans="1:22" x14ac:dyDescent="0.3">
      <c r="A362" t="s">
        <v>150</v>
      </c>
      <c r="B362">
        <v>1</v>
      </c>
      <c r="C362" t="s">
        <v>102</v>
      </c>
      <c r="D362" t="s">
        <v>126</v>
      </c>
      <c r="E362" t="s">
        <v>258</v>
      </c>
      <c r="F362" t="s">
        <v>101</v>
      </c>
      <c r="G362" t="s">
        <v>104</v>
      </c>
      <c r="H362">
        <v>0</v>
      </c>
      <c r="I362">
        <v>0</v>
      </c>
      <c r="J362">
        <v>0</v>
      </c>
      <c r="K362" t="s">
        <v>104</v>
      </c>
      <c r="L362">
        <v>0</v>
      </c>
      <c r="M362">
        <v>3.5</v>
      </c>
      <c r="N362">
        <v>0</v>
      </c>
      <c r="O362">
        <v>47</v>
      </c>
      <c r="P362">
        <v>1</v>
      </c>
      <c r="Q362">
        <v>12.3</v>
      </c>
      <c r="R362">
        <v>20</v>
      </c>
      <c r="S362">
        <v>0</v>
      </c>
      <c r="T362">
        <v>0</v>
      </c>
      <c r="U362" s="8">
        <v>20</v>
      </c>
      <c r="V362" s="8">
        <f t="shared" si="5"/>
        <v>2</v>
      </c>
    </row>
    <row r="363" spans="1:22" x14ac:dyDescent="0.3">
      <c r="A363" t="s">
        <v>150</v>
      </c>
      <c r="B363">
        <v>1</v>
      </c>
      <c r="C363" t="s">
        <v>107</v>
      </c>
      <c r="D363" t="s">
        <v>130</v>
      </c>
      <c r="E363" t="s">
        <v>258</v>
      </c>
      <c r="F363" t="s">
        <v>101</v>
      </c>
      <c r="G363" t="s">
        <v>104</v>
      </c>
      <c r="H363">
        <v>0</v>
      </c>
      <c r="I363">
        <v>0</v>
      </c>
      <c r="J363">
        <v>0</v>
      </c>
      <c r="K363" t="s">
        <v>104</v>
      </c>
      <c r="L363">
        <v>0</v>
      </c>
      <c r="M363">
        <v>3</v>
      </c>
      <c r="N363">
        <v>0</v>
      </c>
      <c r="O363">
        <v>27</v>
      </c>
      <c r="P363">
        <v>1</v>
      </c>
      <c r="Q363">
        <v>9</v>
      </c>
      <c r="R363">
        <v>20</v>
      </c>
      <c r="S363">
        <v>0</v>
      </c>
      <c r="T363">
        <v>0</v>
      </c>
      <c r="U363" s="8">
        <v>20</v>
      </c>
      <c r="V363" s="8">
        <f t="shared" si="5"/>
        <v>2</v>
      </c>
    </row>
    <row r="364" spans="1:22" x14ac:dyDescent="0.3">
      <c r="A364" t="s">
        <v>150</v>
      </c>
      <c r="B364">
        <v>1</v>
      </c>
      <c r="C364" t="s">
        <v>105</v>
      </c>
      <c r="D364" t="s">
        <v>128</v>
      </c>
      <c r="E364" t="s">
        <v>258</v>
      </c>
      <c r="F364" t="s">
        <v>101</v>
      </c>
      <c r="G364" t="s">
        <v>104</v>
      </c>
      <c r="H364">
        <v>0</v>
      </c>
      <c r="I364">
        <v>0</v>
      </c>
      <c r="J364">
        <v>0</v>
      </c>
      <c r="K364" t="s">
        <v>104</v>
      </c>
      <c r="L364">
        <v>0</v>
      </c>
      <c r="M364">
        <v>4</v>
      </c>
      <c r="N364">
        <v>0</v>
      </c>
      <c r="O364">
        <v>32</v>
      </c>
      <c r="P364">
        <v>1</v>
      </c>
      <c r="Q364">
        <v>8</v>
      </c>
      <c r="R364">
        <v>20</v>
      </c>
      <c r="S364">
        <v>0</v>
      </c>
      <c r="T364">
        <v>0</v>
      </c>
      <c r="U364" s="8">
        <v>20</v>
      </c>
      <c r="V364" s="8">
        <f t="shared" si="5"/>
        <v>2</v>
      </c>
    </row>
    <row r="365" spans="1:22" x14ac:dyDescent="0.3">
      <c r="A365" t="s">
        <v>150</v>
      </c>
      <c r="B365">
        <v>1</v>
      </c>
      <c r="C365" t="s">
        <v>231</v>
      </c>
      <c r="D365" t="s">
        <v>232</v>
      </c>
      <c r="E365" t="s">
        <v>219</v>
      </c>
      <c r="F365" t="s">
        <v>109</v>
      </c>
      <c r="G365" t="s">
        <v>86</v>
      </c>
      <c r="H365">
        <v>7</v>
      </c>
      <c r="I365">
        <v>8</v>
      </c>
      <c r="J365">
        <v>87.5</v>
      </c>
      <c r="K365" t="s">
        <v>248</v>
      </c>
      <c r="L365">
        <v>6.13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 s="8">
        <v>6.13</v>
      </c>
      <c r="V365" s="8">
        <f t="shared" si="5"/>
        <v>1</v>
      </c>
    </row>
    <row r="366" spans="1:22" x14ac:dyDescent="0.3">
      <c r="A366" t="s">
        <v>150</v>
      </c>
      <c r="B366">
        <v>1</v>
      </c>
      <c r="C366" t="s">
        <v>217</v>
      </c>
      <c r="D366" t="s">
        <v>218</v>
      </c>
      <c r="E366" t="s">
        <v>219</v>
      </c>
      <c r="F366" t="s">
        <v>85</v>
      </c>
      <c r="G366" t="s">
        <v>86</v>
      </c>
      <c r="H366">
        <v>12</v>
      </c>
      <c r="I366">
        <v>8</v>
      </c>
      <c r="J366">
        <v>150</v>
      </c>
      <c r="K366" t="s">
        <v>246</v>
      </c>
      <c r="L366">
        <v>18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 s="8">
        <v>18</v>
      </c>
      <c r="V366" s="8">
        <f t="shared" si="5"/>
        <v>2</v>
      </c>
    </row>
    <row r="367" spans="1:22" x14ac:dyDescent="0.3">
      <c r="A367" t="s">
        <v>150</v>
      </c>
      <c r="B367">
        <v>1</v>
      </c>
      <c r="C367" t="s">
        <v>229</v>
      </c>
      <c r="D367" t="s">
        <v>230</v>
      </c>
      <c r="E367" t="s">
        <v>219</v>
      </c>
      <c r="F367" t="s">
        <v>109</v>
      </c>
      <c r="G367" t="s">
        <v>92</v>
      </c>
      <c r="H367">
        <v>4</v>
      </c>
      <c r="I367">
        <v>4</v>
      </c>
      <c r="J367">
        <v>100</v>
      </c>
      <c r="K367" t="s">
        <v>246</v>
      </c>
      <c r="L367">
        <v>4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 s="8">
        <v>4</v>
      </c>
      <c r="V367" s="8">
        <f t="shared" si="5"/>
        <v>0</v>
      </c>
    </row>
    <row r="368" spans="1:22" x14ac:dyDescent="0.3">
      <c r="A368" t="s">
        <v>150</v>
      </c>
      <c r="B368">
        <v>1</v>
      </c>
      <c r="C368" t="s">
        <v>222</v>
      </c>
      <c r="D368" t="s">
        <v>223</v>
      </c>
      <c r="E368" t="s">
        <v>219</v>
      </c>
      <c r="F368" t="s">
        <v>83</v>
      </c>
      <c r="G368" t="s">
        <v>92</v>
      </c>
      <c r="H368">
        <v>57</v>
      </c>
      <c r="I368">
        <v>38</v>
      </c>
      <c r="J368">
        <v>150</v>
      </c>
      <c r="K368" t="s">
        <v>246</v>
      </c>
      <c r="L368">
        <v>85.5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 s="8">
        <v>85.5</v>
      </c>
      <c r="V368" s="8">
        <f t="shared" si="5"/>
        <v>9</v>
      </c>
    </row>
    <row r="369" spans="1:22" x14ac:dyDescent="0.3">
      <c r="A369" t="s">
        <v>150</v>
      </c>
      <c r="B369">
        <v>1</v>
      </c>
      <c r="C369" t="s">
        <v>226</v>
      </c>
      <c r="D369" t="s">
        <v>211</v>
      </c>
      <c r="E369" t="s">
        <v>219</v>
      </c>
      <c r="F369" t="s">
        <v>83</v>
      </c>
      <c r="G369" t="s">
        <v>134</v>
      </c>
      <c r="H369">
        <v>72</v>
      </c>
      <c r="I369">
        <v>41</v>
      </c>
      <c r="J369">
        <v>175.61</v>
      </c>
      <c r="K369" t="s">
        <v>246</v>
      </c>
      <c r="L369">
        <v>126.44</v>
      </c>
      <c r="M369">
        <v>1</v>
      </c>
      <c r="N369">
        <v>0</v>
      </c>
      <c r="O369">
        <v>11</v>
      </c>
      <c r="P369">
        <v>0</v>
      </c>
      <c r="Q369">
        <v>11</v>
      </c>
      <c r="R369">
        <v>0</v>
      </c>
      <c r="S369">
        <v>0</v>
      </c>
      <c r="T369">
        <v>0</v>
      </c>
      <c r="U369" s="8">
        <v>126.44</v>
      </c>
      <c r="V369" s="8">
        <f t="shared" si="5"/>
        <v>10</v>
      </c>
    </row>
    <row r="370" spans="1:22" x14ac:dyDescent="0.3">
      <c r="A370" t="s">
        <v>150</v>
      </c>
      <c r="B370">
        <v>1</v>
      </c>
      <c r="C370" t="s">
        <v>224</v>
      </c>
      <c r="D370" t="s">
        <v>225</v>
      </c>
      <c r="E370" t="s">
        <v>219</v>
      </c>
      <c r="F370" t="s">
        <v>83</v>
      </c>
      <c r="G370" t="s">
        <v>134</v>
      </c>
      <c r="H370">
        <v>6</v>
      </c>
      <c r="I370">
        <v>5</v>
      </c>
      <c r="J370">
        <v>120</v>
      </c>
      <c r="K370" t="s">
        <v>246</v>
      </c>
      <c r="L370">
        <v>7.2</v>
      </c>
      <c r="M370">
        <v>4</v>
      </c>
      <c r="N370">
        <v>0</v>
      </c>
      <c r="O370">
        <v>49</v>
      </c>
      <c r="P370">
        <v>0</v>
      </c>
      <c r="Q370">
        <v>12.2</v>
      </c>
      <c r="R370">
        <v>0</v>
      </c>
      <c r="S370">
        <v>0</v>
      </c>
      <c r="T370">
        <v>0</v>
      </c>
      <c r="U370" s="8">
        <v>7.2</v>
      </c>
      <c r="V370" s="8">
        <f t="shared" si="5"/>
        <v>1</v>
      </c>
    </row>
    <row r="371" spans="1:22" x14ac:dyDescent="0.3">
      <c r="A371" t="s">
        <v>150</v>
      </c>
      <c r="B371">
        <v>1</v>
      </c>
      <c r="C371" t="s">
        <v>233</v>
      </c>
      <c r="D371" t="s">
        <v>234</v>
      </c>
      <c r="E371" t="s">
        <v>219</v>
      </c>
      <c r="F371" t="s">
        <v>101</v>
      </c>
      <c r="G371" t="s">
        <v>134</v>
      </c>
      <c r="H371">
        <v>19</v>
      </c>
      <c r="I371">
        <v>13</v>
      </c>
      <c r="J371">
        <v>146.15</v>
      </c>
      <c r="K371" t="s">
        <v>96</v>
      </c>
      <c r="L371">
        <v>27.77</v>
      </c>
      <c r="M371">
        <v>4</v>
      </c>
      <c r="N371">
        <v>0</v>
      </c>
      <c r="O371">
        <v>27</v>
      </c>
      <c r="P371">
        <v>1</v>
      </c>
      <c r="Q371">
        <v>6.8</v>
      </c>
      <c r="R371">
        <v>20</v>
      </c>
      <c r="S371">
        <v>0</v>
      </c>
      <c r="T371">
        <v>0</v>
      </c>
      <c r="U371" s="8">
        <v>47.77</v>
      </c>
      <c r="V371" s="8">
        <f t="shared" si="5"/>
        <v>5</v>
      </c>
    </row>
    <row r="372" spans="1:22" x14ac:dyDescent="0.3">
      <c r="A372" t="s">
        <v>150</v>
      </c>
      <c r="B372">
        <v>1</v>
      </c>
      <c r="C372" t="s">
        <v>227</v>
      </c>
      <c r="D372" t="s">
        <v>228</v>
      </c>
      <c r="E372" t="s">
        <v>219</v>
      </c>
      <c r="F372" t="s">
        <v>109</v>
      </c>
      <c r="G372" t="s">
        <v>135</v>
      </c>
      <c r="H372">
        <v>1</v>
      </c>
      <c r="I372">
        <v>2</v>
      </c>
      <c r="J372">
        <v>50</v>
      </c>
      <c r="K372" t="s">
        <v>256</v>
      </c>
      <c r="L372">
        <v>0.5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 s="8">
        <v>1.5</v>
      </c>
      <c r="V372" s="8">
        <f t="shared" si="5"/>
        <v>0</v>
      </c>
    </row>
    <row r="373" spans="1:22" x14ac:dyDescent="0.3">
      <c r="A373" t="s">
        <v>150</v>
      </c>
      <c r="B373">
        <v>1</v>
      </c>
      <c r="C373" t="s">
        <v>235</v>
      </c>
      <c r="D373" t="s">
        <v>236</v>
      </c>
      <c r="E373" t="s">
        <v>219</v>
      </c>
      <c r="F373" t="s">
        <v>101</v>
      </c>
      <c r="G373" t="s">
        <v>135</v>
      </c>
      <c r="H373">
        <v>0</v>
      </c>
      <c r="I373">
        <v>0</v>
      </c>
      <c r="J373">
        <v>0</v>
      </c>
      <c r="K373" t="s">
        <v>96</v>
      </c>
      <c r="L373">
        <v>0</v>
      </c>
      <c r="M373">
        <v>3</v>
      </c>
      <c r="N373">
        <v>0</v>
      </c>
      <c r="O373">
        <v>21</v>
      </c>
      <c r="P373">
        <v>1</v>
      </c>
      <c r="Q373">
        <v>7</v>
      </c>
      <c r="R373">
        <v>20</v>
      </c>
      <c r="S373">
        <v>0</v>
      </c>
      <c r="T373">
        <v>0</v>
      </c>
      <c r="U373" s="8">
        <v>20</v>
      </c>
      <c r="V373" s="8">
        <f t="shared" si="5"/>
        <v>2</v>
      </c>
    </row>
    <row r="374" spans="1:22" x14ac:dyDescent="0.3">
      <c r="A374" t="s">
        <v>150</v>
      </c>
      <c r="B374">
        <v>1</v>
      </c>
      <c r="C374" t="s">
        <v>314</v>
      </c>
      <c r="D374" t="s">
        <v>315</v>
      </c>
      <c r="E374" t="s">
        <v>219</v>
      </c>
      <c r="F374" t="s">
        <v>91</v>
      </c>
      <c r="G374" t="s">
        <v>104</v>
      </c>
      <c r="H374">
        <v>0</v>
      </c>
      <c r="I374">
        <v>0</v>
      </c>
      <c r="J374">
        <v>0</v>
      </c>
      <c r="K374" t="s">
        <v>104</v>
      </c>
      <c r="L374">
        <v>0</v>
      </c>
      <c r="M374">
        <v>4</v>
      </c>
      <c r="N374">
        <v>0</v>
      </c>
      <c r="O374">
        <v>29</v>
      </c>
      <c r="P374">
        <v>2</v>
      </c>
      <c r="Q374">
        <v>7.2</v>
      </c>
      <c r="R374">
        <v>40</v>
      </c>
      <c r="S374">
        <v>0</v>
      </c>
      <c r="T374">
        <v>0</v>
      </c>
      <c r="U374" s="8">
        <v>40</v>
      </c>
      <c r="V374" s="8">
        <f t="shared" si="5"/>
        <v>4</v>
      </c>
    </row>
    <row r="375" spans="1:22" x14ac:dyDescent="0.3">
      <c r="A375" t="s">
        <v>150</v>
      </c>
      <c r="B375">
        <v>1</v>
      </c>
      <c r="C375" t="s">
        <v>237</v>
      </c>
      <c r="D375" t="s">
        <v>238</v>
      </c>
      <c r="E375" t="s">
        <v>219</v>
      </c>
      <c r="F375" t="s">
        <v>101</v>
      </c>
      <c r="G375" t="s">
        <v>104</v>
      </c>
      <c r="H375">
        <v>0</v>
      </c>
      <c r="I375">
        <v>0</v>
      </c>
      <c r="J375">
        <v>0</v>
      </c>
      <c r="K375" t="s">
        <v>104</v>
      </c>
      <c r="L375">
        <v>0</v>
      </c>
      <c r="M375">
        <v>4</v>
      </c>
      <c r="N375">
        <v>0</v>
      </c>
      <c r="O375">
        <v>39</v>
      </c>
      <c r="P375">
        <v>2</v>
      </c>
      <c r="Q375">
        <v>9.8000000000000007</v>
      </c>
      <c r="R375">
        <v>40</v>
      </c>
      <c r="S375">
        <v>0</v>
      </c>
      <c r="T375">
        <v>0</v>
      </c>
      <c r="U375" s="8">
        <v>40</v>
      </c>
      <c r="V375" s="8">
        <f t="shared" si="5"/>
        <v>4</v>
      </c>
    </row>
    <row r="376" spans="1:22" x14ac:dyDescent="0.3">
      <c r="A376" t="s">
        <v>151</v>
      </c>
      <c r="B376">
        <v>1</v>
      </c>
      <c r="C376" t="s">
        <v>113</v>
      </c>
      <c r="D376" t="s">
        <v>84</v>
      </c>
      <c r="E376" t="s">
        <v>266</v>
      </c>
      <c r="F376" t="s">
        <v>85</v>
      </c>
      <c r="G376" t="s">
        <v>86</v>
      </c>
      <c r="H376">
        <v>1</v>
      </c>
      <c r="I376">
        <v>6</v>
      </c>
      <c r="J376">
        <v>16.670000000000002</v>
      </c>
      <c r="K376" t="s">
        <v>246</v>
      </c>
      <c r="L376">
        <v>0.17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 s="8">
        <v>0.17</v>
      </c>
      <c r="V376" s="8">
        <f t="shared" si="5"/>
        <v>0</v>
      </c>
    </row>
    <row r="377" spans="1:22" x14ac:dyDescent="0.3">
      <c r="A377" t="s">
        <v>151</v>
      </c>
      <c r="B377">
        <v>1</v>
      </c>
      <c r="C377" t="s">
        <v>112</v>
      </c>
      <c r="D377" t="s">
        <v>88</v>
      </c>
      <c r="E377" t="s">
        <v>266</v>
      </c>
      <c r="F377" t="s">
        <v>83</v>
      </c>
      <c r="G377" t="s">
        <v>86</v>
      </c>
      <c r="H377">
        <v>5</v>
      </c>
      <c r="I377">
        <v>10</v>
      </c>
      <c r="J377">
        <v>50</v>
      </c>
      <c r="K377" t="s">
        <v>246</v>
      </c>
      <c r="L377">
        <v>2.5</v>
      </c>
      <c r="M377">
        <v>2</v>
      </c>
      <c r="N377">
        <v>0</v>
      </c>
      <c r="O377">
        <v>27</v>
      </c>
      <c r="P377">
        <v>1</v>
      </c>
      <c r="Q377">
        <v>13.5</v>
      </c>
      <c r="R377">
        <v>10</v>
      </c>
      <c r="S377">
        <v>0</v>
      </c>
      <c r="T377">
        <v>0</v>
      </c>
      <c r="U377" s="8">
        <v>12.5</v>
      </c>
      <c r="V377" s="8">
        <f t="shared" si="5"/>
        <v>1</v>
      </c>
    </row>
    <row r="378" spans="1:22" x14ac:dyDescent="0.3">
      <c r="A378" t="s">
        <v>151</v>
      </c>
      <c r="B378">
        <v>1</v>
      </c>
      <c r="C378" t="s">
        <v>117</v>
      </c>
      <c r="D378" t="s">
        <v>90</v>
      </c>
      <c r="E378" t="s">
        <v>266</v>
      </c>
      <c r="F378" t="s">
        <v>91</v>
      </c>
      <c r="G378" t="s">
        <v>92</v>
      </c>
      <c r="H378">
        <v>0</v>
      </c>
      <c r="I378">
        <v>1</v>
      </c>
      <c r="J378">
        <v>0</v>
      </c>
      <c r="K378" t="s">
        <v>245</v>
      </c>
      <c r="L378">
        <v>0</v>
      </c>
      <c r="M378">
        <v>2</v>
      </c>
      <c r="N378">
        <v>0</v>
      </c>
      <c r="O378">
        <v>21</v>
      </c>
      <c r="P378">
        <v>0</v>
      </c>
      <c r="Q378">
        <v>10.5</v>
      </c>
      <c r="R378">
        <v>0</v>
      </c>
      <c r="S378">
        <v>0</v>
      </c>
      <c r="T378">
        <v>0</v>
      </c>
      <c r="U378" s="8">
        <v>0</v>
      </c>
      <c r="V378" s="8">
        <f t="shared" si="5"/>
        <v>0</v>
      </c>
    </row>
    <row r="379" spans="1:22" x14ac:dyDescent="0.3">
      <c r="A379" t="s">
        <v>151</v>
      </c>
      <c r="B379">
        <v>1</v>
      </c>
      <c r="C379" t="s">
        <v>115</v>
      </c>
      <c r="D379" t="s">
        <v>17</v>
      </c>
      <c r="E379" t="s">
        <v>266</v>
      </c>
      <c r="F379" t="s">
        <v>83</v>
      </c>
      <c r="G379" t="s">
        <v>134</v>
      </c>
      <c r="H379">
        <v>23</v>
      </c>
      <c r="I379">
        <v>26</v>
      </c>
      <c r="J379">
        <v>88.46</v>
      </c>
      <c r="K379" t="s">
        <v>246</v>
      </c>
      <c r="L379">
        <v>20.34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 s="8">
        <v>20.34</v>
      </c>
      <c r="V379" s="8">
        <f t="shared" si="5"/>
        <v>2</v>
      </c>
    </row>
    <row r="380" spans="1:22" x14ac:dyDescent="0.3">
      <c r="A380" t="s">
        <v>151</v>
      </c>
      <c r="B380">
        <v>1</v>
      </c>
      <c r="C380" t="s">
        <v>119</v>
      </c>
      <c r="D380" t="s">
        <v>95</v>
      </c>
      <c r="E380" t="s">
        <v>266</v>
      </c>
      <c r="F380" t="s">
        <v>91</v>
      </c>
      <c r="G380" t="s">
        <v>134</v>
      </c>
      <c r="H380">
        <v>8</v>
      </c>
      <c r="I380">
        <v>16</v>
      </c>
      <c r="J380">
        <v>50</v>
      </c>
      <c r="K380" t="s">
        <v>246</v>
      </c>
      <c r="L380">
        <v>4</v>
      </c>
      <c r="M380">
        <v>1</v>
      </c>
      <c r="N380">
        <v>0</v>
      </c>
      <c r="O380">
        <v>2</v>
      </c>
      <c r="P380">
        <v>0</v>
      </c>
      <c r="Q380">
        <v>2</v>
      </c>
      <c r="R380">
        <v>0</v>
      </c>
      <c r="S380">
        <v>0</v>
      </c>
      <c r="T380">
        <v>0</v>
      </c>
      <c r="U380" s="8">
        <v>4</v>
      </c>
      <c r="V380" s="8">
        <f t="shared" si="5"/>
        <v>0</v>
      </c>
    </row>
    <row r="381" spans="1:22" x14ac:dyDescent="0.3">
      <c r="A381" t="s">
        <v>151</v>
      </c>
      <c r="B381">
        <v>1</v>
      </c>
      <c r="C381" t="s">
        <v>123</v>
      </c>
      <c r="D381" t="s">
        <v>98</v>
      </c>
      <c r="E381" t="s">
        <v>266</v>
      </c>
      <c r="F381" t="s">
        <v>91</v>
      </c>
      <c r="G381" t="s">
        <v>134</v>
      </c>
      <c r="H381">
        <v>26</v>
      </c>
      <c r="I381">
        <v>19</v>
      </c>
      <c r="J381">
        <v>136.84</v>
      </c>
      <c r="K381" t="s">
        <v>246</v>
      </c>
      <c r="L381">
        <v>35.57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 s="8">
        <v>35.57</v>
      </c>
      <c r="V381" s="8">
        <f t="shared" si="5"/>
        <v>4</v>
      </c>
    </row>
    <row r="382" spans="1:22" x14ac:dyDescent="0.3">
      <c r="A382" t="s">
        <v>151</v>
      </c>
      <c r="B382">
        <v>1</v>
      </c>
      <c r="C382" t="s">
        <v>127</v>
      </c>
      <c r="D382" t="s">
        <v>100</v>
      </c>
      <c r="E382" t="s">
        <v>266</v>
      </c>
      <c r="F382" t="s">
        <v>101</v>
      </c>
      <c r="G382" t="s">
        <v>134</v>
      </c>
      <c r="H382">
        <v>23</v>
      </c>
      <c r="I382">
        <v>24</v>
      </c>
      <c r="J382">
        <v>95.83</v>
      </c>
      <c r="K382" t="s">
        <v>246</v>
      </c>
      <c r="L382">
        <v>22.04</v>
      </c>
      <c r="M382">
        <v>2</v>
      </c>
      <c r="N382">
        <v>0</v>
      </c>
      <c r="O382">
        <v>20</v>
      </c>
      <c r="P382">
        <v>0</v>
      </c>
      <c r="Q382">
        <v>10</v>
      </c>
      <c r="R382">
        <v>0</v>
      </c>
      <c r="S382">
        <v>0</v>
      </c>
      <c r="T382">
        <v>0</v>
      </c>
      <c r="U382" s="8">
        <v>22.04</v>
      </c>
      <c r="V382" s="8">
        <f t="shared" si="5"/>
        <v>2</v>
      </c>
    </row>
    <row r="383" spans="1:22" x14ac:dyDescent="0.3">
      <c r="A383" t="s">
        <v>151</v>
      </c>
      <c r="B383">
        <v>1</v>
      </c>
      <c r="C383" t="s">
        <v>121</v>
      </c>
      <c r="D383" t="s">
        <v>108</v>
      </c>
      <c r="E383" t="s">
        <v>266</v>
      </c>
      <c r="F383" t="s">
        <v>83</v>
      </c>
      <c r="G383" t="s">
        <v>134</v>
      </c>
      <c r="H383">
        <v>19</v>
      </c>
      <c r="I383">
        <v>16</v>
      </c>
      <c r="J383">
        <v>118.75</v>
      </c>
      <c r="K383" t="s">
        <v>256</v>
      </c>
      <c r="L383">
        <v>22.56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 s="8">
        <v>22.56</v>
      </c>
      <c r="V383" s="8">
        <f t="shared" si="5"/>
        <v>2</v>
      </c>
    </row>
    <row r="384" spans="1:22" x14ac:dyDescent="0.3">
      <c r="A384" t="s">
        <v>151</v>
      </c>
      <c r="B384">
        <v>1</v>
      </c>
      <c r="C384" t="s">
        <v>125</v>
      </c>
      <c r="D384" t="s">
        <v>111</v>
      </c>
      <c r="E384" t="s">
        <v>266</v>
      </c>
      <c r="F384" t="s">
        <v>83</v>
      </c>
      <c r="G384" t="s">
        <v>135</v>
      </c>
      <c r="H384">
        <v>2</v>
      </c>
      <c r="I384">
        <v>2</v>
      </c>
      <c r="J384">
        <v>100</v>
      </c>
      <c r="K384" t="s">
        <v>96</v>
      </c>
      <c r="L384">
        <v>2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 s="8">
        <v>2</v>
      </c>
      <c r="V384" s="8">
        <f t="shared" si="5"/>
        <v>0</v>
      </c>
    </row>
    <row r="385" spans="1:22" x14ac:dyDescent="0.3">
      <c r="A385" t="s">
        <v>151</v>
      </c>
      <c r="B385">
        <v>1</v>
      </c>
      <c r="C385" t="s">
        <v>129</v>
      </c>
      <c r="D385" t="s">
        <v>103</v>
      </c>
      <c r="E385" t="s">
        <v>266</v>
      </c>
      <c r="F385" t="s">
        <v>91</v>
      </c>
      <c r="G385" t="s">
        <v>135</v>
      </c>
      <c r="H385">
        <v>0</v>
      </c>
      <c r="I385">
        <v>0</v>
      </c>
      <c r="J385">
        <v>0</v>
      </c>
      <c r="K385" t="s">
        <v>104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 s="8">
        <v>0</v>
      </c>
      <c r="V385" s="8">
        <f t="shared" si="5"/>
        <v>0</v>
      </c>
    </row>
    <row r="386" spans="1:22" x14ac:dyDescent="0.3">
      <c r="A386" t="s">
        <v>151</v>
      </c>
      <c r="B386">
        <v>1</v>
      </c>
      <c r="C386" t="s">
        <v>131</v>
      </c>
      <c r="D386" t="s">
        <v>106</v>
      </c>
      <c r="E386" t="s">
        <v>266</v>
      </c>
      <c r="F386" t="s">
        <v>101</v>
      </c>
      <c r="G386" t="s">
        <v>135</v>
      </c>
      <c r="H386">
        <v>0</v>
      </c>
      <c r="I386">
        <v>0</v>
      </c>
      <c r="J386">
        <v>0</v>
      </c>
      <c r="K386" t="s">
        <v>104</v>
      </c>
      <c r="L386">
        <v>0</v>
      </c>
      <c r="M386">
        <v>2</v>
      </c>
      <c r="N386">
        <v>0</v>
      </c>
      <c r="O386">
        <v>36</v>
      </c>
      <c r="P386">
        <v>0</v>
      </c>
      <c r="Q386">
        <v>18</v>
      </c>
      <c r="R386">
        <v>0</v>
      </c>
      <c r="S386">
        <v>0</v>
      </c>
      <c r="T386">
        <v>0</v>
      </c>
      <c r="U386" s="8">
        <v>0</v>
      </c>
      <c r="V386" s="8">
        <f t="shared" si="5"/>
        <v>0</v>
      </c>
    </row>
    <row r="387" spans="1:22" x14ac:dyDescent="0.3">
      <c r="A387" t="s">
        <v>151</v>
      </c>
      <c r="B387">
        <v>1</v>
      </c>
      <c r="C387" t="s">
        <v>190</v>
      </c>
      <c r="D387" t="s">
        <v>191</v>
      </c>
      <c r="E387" t="s">
        <v>158</v>
      </c>
      <c r="F387" t="s">
        <v>109</v>
      </c>
      <c r="G387" t="s">
        <v>86</v>
      </c>
      <c r="H387">
        <v>32</v>
      </c>
      <c r="I387">
        <v>22</v>
      </c>
      <c r="J387">
        <v>145.44999999999999</v>
      </c>
      <c r="K387" t="s">
        <v>96</v>
      </c>
      <c r="L387">
        <v>46.54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 s="8">
        <v>46.54</v>
      </c>
      <c r="V387" s="8">
        <f t="shared" ref="V387:V450" si="6">MIN(10, MAX(0, ROUND(U387/10,0)))</f>
        <v>5</v>
      </c>
    </row>
    <row r="388" spans="1:22" x14ac:dyDescent="0.3">
      <c r="A388" t="s">
        <v>151</v>
      </c>
      <c r="B388">
        <v>1</v>
      </c>
      <c r="C388" t="s">
        <v>188</v>
      </c>
      <c r="D388" t="s">
        <v>189</v>
      </c>
      <c r="E388" t="s">
        <v>158</v>
      </c>
      <c r="F388" t="s">
        <v>83</v>
      </c>
      <c r="G388" t="s">
        <v>86</v>
      </c>
      <c r="H388">
        <v>33</v>
      </c>
      <c r="I388">
        <v>15</v>
      </c>
      <c r="J388">
        <v>220</v>
      </c>
      <c r="K388" t="s">
        <v>248</v>
      </c>
      <c r="L388">
        <v>72.599999999999994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 s="8">
        <v>72.599999999999994</v>
      </c>
      <c r="V388" s="8">
        <f t="shared" si="6"/>
        <v>7</v>
      </c>
    </row>
    <row r="389" spans="1:22" x14ac:dyDescent="0.3">
      <c r="A389" t="s">
        <v>151</v>
      </c>
      <c r="B389">
        <v>1</v>
      </c>
      <c r="C389" t="s">
        <v>196</v>
      </c>
      <c r="D389" t="s">
        <v>197</v>
      </c>
      <c r="E389" t="s">
        <v>158</v>
      </c>
      <c r="F389" t="s">
        <v>83</v>
      </c>
      <c r="G389" t="s">
        <v>134</v>
      </c>
      <c r="H389">
        <v>38</v>
      </c>
      <c r="I389">
        <v>17</v>
      </c>
      <c r="J389">
        <v>223.53</v>
      </c>
      <c r="K389" t="s">
        <v>96</v>
      </c>
      <c r="L389">
        <v>84.94</v>
      </c>
      <c r="M389">
        <v>1</v>
      </c>
      <c r="N389">
        <v>0</v>
      </c>
      <c r="O389">
        <v>4</v>
      </c>
      <c r="P389">
        <v>0</v>
      </c>
      <c r="Q389">
        <v>4</v>
      </c>
      <c r="R389">
        <v>0</v>
      </c>
      <c r="S389">
        <v>0</v>
      </c>
      <c r="T389">
        <v>0</v>
      </c>
      <c r="U389" s="8">
        <v>84.94</v>
      </c>
      <c r="V389" s="8">
        <f t="shared" si="6"/>
        <v>8</v>
      </c>
    </row>
    <row r="390" spans="1:22" x14ac:dyDescent="0.3">
      <c r="A390" t="s">
        <v>151</v>
      </c>
      <c r="B390">
        <v>1</v>
      </c>
      <c r="C390" t="s">
        <v>194</v>
      </c>
      <c r="D390" t="s">
        <v>195</v>
      </c>
      <c r="E390" t="s">
        <v>158</v>
      </c>
      <c r="F390" t="s">
        <v>109</v>
      </c>
      <c r="G390" t="s">
        <v>135</v>
      </c>
      <c r="H390">
        <v>0</v>
      </c>
      <c r="I390">
        <v>0</v>
      </c>
      <c r="J390">
        <v>0</v>
      </c>
      <c r="K390" t="s">
        <v>104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 s="8">
        <v>0</v>
      </c>
      <c r="V390" s="8">
        <f t="shared" si="6"/>
        <v>0</v>
      </c>
    </row>
    <row r="391" spans="1:22" x14ac:dyDescent="0.3">
      <c r="A391" t="s">
        <v>151</v>
      </c>
      <c r="B391">
        <v>1</v>
      </c>
      <c r="C391" t="s">
        <v>192</v>
      </c>
      <c r="D391" t="s">
        <v>193</v>
      </c>
      <c r="E391" t="s">
        <v>158</v>
      </c>
      <c r="F391" t="s">
        <v>169</v>
      </c>
      <c r="G391" t="s">
        <v>135</v>
      </c>
      <c r="H391">
        <v>0</v>
      </c>
      <c r="I391">
        <v>0</v>
      </c>
      <c r="J391">
        <v>0</v>
      </c>
      <c r="K391" t="s">
        <v>104</v>
      </c>
      <c r="L391">
        <v>0</v>
      </c>
      <c r="M391">
        <v>4</v>
      </c>
      <c r="N391">
        <v>0</v>
      </c>
      <c r="O391">
        <v>13</v>
      </c>
      <c r="P391">
        <v>2</v>
      </c>
      <c r="Q391">
        <v>3.2</v>
      </c>
      <c r="R391">
        <v>40</v>
      </c>
      <c r="S391">
        <v>0</v>
      </c>
      <c r="T391">
        <v>0</v>
      </c>
      <c r="U391" s="8">
        <v>40</v>
      </c>
      <c r="V391" s="8">
        <f t="shared" si="6"/>
        <v>4</v>
      </c>
    </row>
    <row r="392" spans="1:22" x14ac:dyDescent="0.3">
      <c r="A392" t="s">
        <v>151</v>
      </c>
      <c r="B392">
        <v>1</v>
      </c>
      <c r="C392" t="s">
        <v>200</v>
      </c>
      <c r="D392" t="s">
        <v>201</v>
      </c>
      <c r="E392" t="s">
        <v>158</v>
      </c>
      <c r="F392" t="s">
        <v>85</v>
      </c>
      <c r="G392" t="s">
        <v>135</v>
      </c>
      <c r="H392">
        <v>0</v>
      </c>
      <c r="I392">
        <v>0</v>
      </c>
      <c r="J392">
        <v>0</v>
      </c>
      <c r="K392" t="s">
        <v>104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 s="8">
        <v>0</v>
      </c>
      <c r="V392" s="8">
        <f t="shared" si="6"/>
        <v>0</v>
      </c>
    </row>
    <row r="393" spans="1:22" x14ac:dyDescent="0.3">
      <c r="A393" t="s">
        <v>151</v>
      </c>
      <c r="B393">
        <v>1</v>
      </c>
      <c r="C393" t="s">
        <v>198</v>
      </c>
      <c r="D393" t="s">
        <v>199</v>
      </c>
      <c r="E393" t="s">
        <v>158</v>
      </c>
      <c r="F393" t="s">
        <v>91</v>
      </c>
      <c r="G393" t="s">
        <v>135</v>
      </c>
      <c r="H393">
        <v>0</v>
      </c>
      <c r="I393">
        <v>0</v>
      </c>
      <c r="J393">
        <v>0</v>
      </c>
      <c r="K393" t="s">
        <v>104</v>
      </c>
      <c r="L393">
        <v>0</v>
      </c>
      <c r="M393">
        <v>4</v>
      </c>
      <c r="N393">
        <v>0</v>
      </c>
      <c r="O393">
        <v>25</v>
      </c>
      <c r="P393">
        <v>2</v>
      </c>
      <c r="Q393">
        <v>6.2</v>
      </c>
      <c r="R393">
        <v>40</v>
      </c>
      <c r="S393">
        <v>0</v>
      </c>
      <c r="T393">
        <v>0</v>
      </c>
      <c r="U393" s="8">
        <v>40</v>
      </c>
      <c r="V393" s="8">
        <f t="shared" si="6"/>
        <v>4</v>
      </c>
    </row>
    <row r="394" spans="1:22" x14ac:dyDescent="0.3">
      <c r="A394" t="s">
        <v>151</v>
      </c>
      <c r="B394">
        <v>1</v>
      </c>
      <c r="C394" t="s">
        <v>206</v>
      </c>
      <c r="D394" t="s">
        <v>207</v>
      </c>
      <c r="E394" t="s">
        <v>158</v>
      </c>
      <c r="F394" t="s">
        <v>101</v>
      </c>
      <c r="G394" t="s">
        <v>135</v>
      </c>
      <c r="H394">
        <v>0</v>
      </c>
      <c r="I394">
        <v>0</v>
      </c>
      <c r="J394">
        <v>0</v>
      </c>
      <c r="K394" t="s">
        <v>104</v>
      </c>
      <c r="L394">
        <v>0</v>
      </c>
      <c r="M394">
        <v>3</v>
      </c>
      <c r="N394">
        <v>0</v>
      </c>
      <c r="O394">
        <v>18</v>
      </c>
      <c r="P394">
        <v>0</v>
      </c>
      <c r="Q394">
        <v>6</v>
      </c>
      <c r="R394">
        <v>0</v>
      </c>
      <c r="S394">
        <v>0</v>
      </c>
      <c r="T394">
        <v>0</v>
      </c>
      <c r="U394" s="8">
        <v>0</v>
      </c>
      <c r="V394" s="8">
        <f t="shared" si="6"/>
        <v>0</v>
      </c>
    </row>
    <row r="395" spans="1:22" x14ac:dyDescent="0.3">
      <c r="A395" t="s">
        <v>151</v>
      </c>
      <c r="B395">
        <v>1</v>
      </c>
      <c r="C395" t="s">
        <v>202</v>
      </c>
      <c r="D395" t="s">
        <v>203</v>
      </c>
      <c r="E395" t="s">
        <v>158</v>
      </c>
      <c r="F395" t="s">
        <v>101</v>
      </c>
      <c r="G395" t="s">
        <v>135</v>
      </c>
      <c r="H395">
        <v>0</v>
      </c>
      <c r="I395">
        <v>0</v>
      </c>
      <c r="J395">
        <v>0</v>
      </c>
      <c r="K395" t="s">
        <v>104</v>
      </c>
      <c r="L395">
        <v>0</v>
      </c>
      <c r="M395">
        <v>3</v>
      </c>
      <c r="N395">
        <v>0</v>
      </c>
      <c r="O395">
        <v>10</v>
      </c>
      <c r="P395">
        <v>1</v>
      </c>
      <c r="Q395">
        <v>3.3</v>
      </c>
      <c r="R395">
        <v>20</v>
      </c>
      <c r="S395">
        <v>0</v>
      </c>
      <c r="T395">
        <v>0</v>
      </c>
      <c r="U395" s="8">
        <v>20</v>
      </c>
      <c r="V395" s="8">
        <f t="shared" si="6"/>
        <v>2</v>
      </c>
    </row>
    <row r="396" spans="1:22" x14ac:dyDescent="0.3">
      <c r="A396" t="s">
        <v>151</v>
      </c>
      <c r="B396">
        <v>1</v>
      </c>
      <c r="C396" t="s">
        <v>204</v>
      </c>
      <c r="D396" t="s">
        <v>205</v>
      </c>
      <c r="E396" t="s">
        <v>158</v>
      </c>
      <c r="F396" t="s">
        <v>91</v>
      </c>
      <c r="G396" t="s">
        <v>135</v>
      </c>
      <c r="H396">
        <v>0</v>
      </c>
      <c r="I396">
        <v>0</v>
      </c>
      <c r="J396">
        <v>0</v>
      </c>
      <c r="K396" t="s">
        <v>104</v>
      </c>
      <c r="L396">
        <v>0</v>
      </c>
      <c r="M396">
        <v>4</v>
      </c>
      <c r="N396">
        <v>0</v>
      </c>
      <c r="O396">
        <v>21</v>
      </c>
      <c r="P396">
        <v>2</v>
      </c>
      <c r="Q396">
        <v>5.2</v>
      </c>
      <c r="R396">
        <v>40</v>
      </c>
      <c r="S396">
        <v>0</v>
      </c>
      <c r="T396">
        <v>0</v>
      </c>
      <c r="U396" s="8">
        <v>40</v>
      </c>
      <c r="V396" s="8">
        <f t="shared" si="6"/>
        <v>4</v>
      </c>
    </row>
    <row r="397" spans="1:22" x14ac:dyDescent="0.3">
      <c r="A397" t="s">
        <v>151</v>
      </c>
      <c r="B397">
        <v>1</v>
      </c>
      <c r="C397" t="s">
        <v>332</v>
      </c>
      <c r="D397" t="s">
        <v>312</v>
      </c>
      <c r="E397" t="s">
        <v>158</v>
      </c>
      <c r="F397" t="s">
        <v>101</v>
      </c>
      <c r="G397" t="s">
        <v>135</v>
      </c>
      <c r="H397">
        <v>0</v>
      </c>
      <c r="I397">
        <v>0</v>
      </c>
      <c r="J397">
        <v>0</v>
      </c>
      <c r="K397" t="s">
        <v>104</v>
      </c>
      <c r="L397">
        <v>0</v>
      </c>
      <c r="M397">
        <v>1</v>
      </c>
      <c r="N397">
        <v>0</v>
      </c>
      <c r="O397">
        <v>18</v>
      </c>
      <c r="P397">
        <v>0</v>
      </c>
      <c r="Q397">
        <v>18</v>
      </c>
      <c r="R397">
        <v>0</v>
      </c>
      <c r="S397">
        <v>0</v>
      </c>
      <c r="T397">
        <v>0</v>
      </c>
      <c r="U397" s="8">
        <v>0</v>
      </c>
      <c r="V397" s="8">
        <f t="shared" si="6"/>
        <v>0</v>
      </c>
    </row>
    <row r="398" spans="1:22" x14ac:dyDescent="0.3">
      <c r="A398" t="s">
        <v>152</v>
      </c>
      <c r="B398">
        <v>1</v>
      </c>
      <c r="C398" t="s">
        <v>165</v>
      </c>
      <c r="D398" t="s">
        <v>166</v>
      </c>
      <c r="E398" t="s">
        <v>159</v>
      </c>
      <c r="F398" t="s">
        <v>109</v>
      </c>
      <c r="G398" t="s">
        <v>86</v>
      </c>
      <c r="H398">
        <v>24</v>
      </c>
      <c r="I398">
        <v>25</v>
      </c>
      <c r="J398">
        <v>96</v>
      </c>
      <c r="K398" t="s">
        <v>246</v>
      </c>
      <c r="L398">
        <v>28.6</v>
      </c>
      <c r="M398">
        <v>0.3</v>
      </c>
      <c r="N398">
        <v>0</v>
      </c>
      <c r="O398">
        <v>9</v>
      </c>
      <c r="P398">
        <v>0</v>
      </c>
      <c r="Q398">
        <v>18</v>
      </c>
      <c r="R398">
        <v>-36</v>
      </c>
      <c r="S398">
        <v>0</v>
      </c>
      <c r="T398">
        <v>0</v>
      </c>
      <c r="U398" s="8">
        <v>-7.4</v>
      </c>
      <c r="V398" s="8">
        <f t="shared" si="6"/>
        <v>0</v>
      </c>
    </row>
    <row r="399" spans="1:22" x14ac:dyDescent="0.3">
      <c r="A399" t="s">
        <v>152</v>
      </c>
      <c r="B399">
        <v>1</v>
      </c>
      <c r="C399" t="s">
        <v>167</v>
      </c>
      <c r="D399" t="s">
        <v>168</v>
      </c>
      <c r="E399" t="s">
        <v>159</v>
      </c>
      <c r="F399" t="s">
        <v>169</v>
      </c>
      <c r="G399" t="s">
        <v>86</v>
      </c>
      <c r="H399">
        <v>0</v>
      </c>
      <c r="I399">
        <v>2</v>
      </c>
      <c r="J399">
        <v>0</v>
      </c>
      <c r="K399" t="s">
        <v>256</v>
      </c>
      <c r="L399">
        <v>-5</v>
      </c>
      <c r="M399">
        <v>1</v>
      </c>
      <c r="N399">
        <v>0</v>
      </c>
      <c r="O399">
        <v>17</v>
      </c>
      <c r="P399">
        <v>0</v>
      </c>
      <c r="Q399">
        <v>17</v>
      </c>
      <c r="R399">
        <v>-34</v>
      </c>
      <c r="S399">
        <v>0</v>
      </c>
      <c r="T399">
        <v>0</v>
      </c>
      <c r="U399" s="8">
        <v>-39</v>
      </c>
      <c r="V399" s="8">
        <f t="shared" si="6"/>
        <v>0</v>
      </c>
    </row>
    <row r="400" spans="1:22" x14ac:dyDescent="0.3">
      <c r="A400" t="s">
        <v>152</v>
      </c>
      <c r="B400">
        <v>1</v>
      </c>
      <c r="C400" t="s">
        <v>174</v>
      </c>
      <c r="D400" t="s">
        <v>175</v>
      </c>
      <c r="E400" t="s">
        <v>159</v>
      </c>
      <c r="F400" t="s">
        <v>169</v>
      </c>
      <c r="G400" t="s">
        <v>92</v>
      </c>
      <c r="H400">
        <v>29</v>
      </c>
      <c r="I400">
        <v>38</v>
      </c>
      <c r="J400">
        <v>76.319999999999993</v>
      </c>
      <c r="K400" t="s">
        <v>247</v>
      </c>
      <c r="L400">
        <v>31.63</v>
      </c>
      <c r="M400">
        <v>2</v>
      </c>
      <c r="N400">
        <v>0</v>
      </c>
      <c r="O400">
        <v>18</v>
      </c>
      <c r="P400">
        <v>1</v>
      </c>
      <c r="Q400">
        <v>9</v>
      </c>
      <c r="R400">
        <v>2</v>
      </c>
      <c r="S400">
        <v>0</v>
      </c>
      <c r="T400">
        <v>0</v>
      </c>
      <c r="U400" s="8">
        <v>34</v>
      </c>
      <c r="V400" s="8">
        <f t="shared" si="6"/>
        <v>3</v>
      </c>
    </row>
    <row r="401" spans="1:22" x14ac:dyDescent="0.3">
      <c r="A401" t="s">
        <v>152</v>
      </c>
      <c r="B401">
        <v>1</v>
      </c>
      <c r="C401" t="s">
        <v>170</v>
      </c>
      <c r="D401" t="s">
        <v>171</v>
      </c>
      <c r="E401" t="s">
        <v>159</v>
      </c>
      <c r="F401" t="s">
        <v>169</v>
      </c>
      <c r="G401" t="s">
        <v>134</v>
      </c>
      <c r="H401">
        <v>12</v>
      </c>
      <c r="I401">
        <v>13</v>
      </c>
      <c r="J401">
        <v>92.31</v>
      </c>
      <c r="K401" t="s">
        <v>246</v>
      </c>
      <c r="L401">
        <v>16.23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 s="8">
        <v>16</v>
      </c>
      <c r="V401" s="8">
        <f t="shared" si="6"/>
        <v>2</v>
      </c>
    </row>
    <row r="402" spans="1:22" x14ac:dyDescent="0.3">
      <c r="A402" t="s">
        <v>152</v>
      </c>
      <c r="B402">
        <v>1</v>
      </c>
      <c r="C402" t="s">
        <v>176</v>
      </c>
      <c r="D402" t="s">
        <v>177</v>
      </c>
      <c r="E402" t="s">
        <v>159</v>
      </c>
      <c r="F402" t="s">
        <v>85</v>
      </c>
      <c r="G402" t="s">
        <v>134</v>
      </c>
      <c r="H402">
        <v>29</v>
      </c>
      <c r="I402">
        <v>13</v>
      </c>
      <c r="J402">
        <v>223.08</v>
      </c>
      <c r="K402" t="s">
        <v>246</v>
      </c>
      <c r="L402">
        <v>46.31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 s="8">
        <v>46</v>
      </c>
      <c r="V402" s="8">
        <f t="shared" si="6"/>
        <v>5</v>
      </c>
    </row>
    <row r="403" spans="1:22" x14ac:dyDescent="0.3">
      <c r="A403" t="s">
        <v>152</v>
      </c>
      <c r="B403">
        <v>1</v>
      </c>
      <c r="C403" t="s">
        <v>178</v>
      </c>
      <c r="D403" t="s">
        <v>179</v>
      </c>
      <c r="E403" t="s">
        <v>159</v>
      </c>
      <c r="F403" t="s">
        <v>169</v>
      </c>
      <c r="G403" t="s">
        <v>135</v>
      </c>
      <c r="H403">
        <v>12</v>
      </c>
      <c r="I403">
        <v>13</v>
      </c>
      <c r="J403">
        <v>92.31</v>
      </c>
      <c r="K403" t="s">
        <v>248</v>
      </c>
      <c r="L403">
        <v>16.23</v>
      </c>
      <c r="M403">
        <v>1</v>
      </c>
      <c r="N403">
        <v>0</v>
      </c>
      <c r="O403">
        <v>5</v>
      </c>
      <c r="P403">
        <v>2</v>
      </c>
      <c r="Q403">
        <v>5</v>
      </c>
      <c r="R403">
        <v>30</v>
      </c>
      <c r="S403">
        <v>0</v>
      </c>
      <c r="T403">
        <v>0</v>
      </c>
      <c r="U403" s="8">
        <v>46</v>
      </c>
      <c r="V403" s="8">
        <f t="shared" si="6"/>
        <v>5</v>
      </c>
    </row>
    <row r="404" spans="1:22" x14ac:dyDescent="0.3">
      <c r="A404" t="s">
        <v>152</v>
      </c>
      <c r="B404">
        <v>1</v>
      </c>
      <c r="C404" t="s">
        <v>259</v>
      </c>
      <c r="D404" t="s">
        <v>257</v>
      </c>
      <c r="E404" t="s">
        <v>159</v>
      </c>
      <c r="F404" t="s">
        <v>101</v>
      </c>
      <c r="G404" t="s">
        <v>134</v>
      </c>
      <c r="H404">
        <v>4</v>
      </c>
      <c r="I404">
        <v>3</v>
      </c>
      <c r="J404">
        <v>133.33000000000001</v>
      </c>
      <c r="K404" t="s">
        <v>245</v>
      </c>
      <c r="L404">
        <v>12.33</v>
      </c>
      <c r="M404">
        <v>3</v>
      </c>
      <c r="N404">
        <v>0</v>
      </c>
      <c r="O404">
        <v>26</v>
      </c>
      <c r="P404">
        <v>1</v>
      </c>
      <c r="Q404">
        <v>8.67</v>
      </c>
      <c r="R404">
        <v>3</v>
      </c>
      <c r="S404">
        <v>0</v>
      </c>
      <c r="T404">
        <v>0</v>
      </c>
      <c r="U404" s="8">
        <v>15</v>
      </c>
      <c r="V404" s="8">
        <f t="shared" si="6"/>
        <v>2</v>
      </c>
    </row>
    <row r="405" spans="1:22" x14ac:dyDescent="0.3">
      <c r="A405" t="s">
        <v>152</v>
      </c>
      <c r="B405">
        <v>1</v>
      </c>
      <c r="C405" t="s">
        <v>172</v>
      </c>
      <c r="D405" t="s">
        <v>173</v>
      </c>
      <c r="E405" t="s">
        <v>159</v>
      </c>
      <c r="F405" t="s">
        <v>109</v>
      </c>
      <c r="G405" t="s">
        <v>134</v>
      </c>
      <c r="H405">
        <v>2</v>
      </c>
      <c r="I405">
        <v>5</v>
      </c>
      <c r="J405">
        <v>40</v>
      </c>
      <c r="K405" t="s">
        <v>245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 s="8">
        <v>1</v>
      </c>
      <c r="V405" s="8">
        <f t="shared" si="6"/>
        <v>0</v>
      </c>
    </row>
    <row r="406" spans="1:22" x14ac:dyDescent="0.3">
      <c r="A406" t="s">
        <v>152</v>
      </c>
      <c r="B406">
        <v>1</v>
      </c>
      <c r="C406" t="s">
        <v>184</v>
      </c>
      <c r="D406" t="s">
        <v>185</v>
      </c>
      <c r="E406" t="s">
        <v>159</v>
      </c>
      <c r="F406" t="s">
        <v>101</v>
      </c>
      <c r="G406" t="s">
        <v>135</v>
      </c>
      <c r="H406">
        <v>2</v>
      </c>
      <c r="I406">
        <v>5</v>
      </c>
      <c r="J406">
        <v>40</v>
      </c>
      <c r="K406" t="s">
        <v>247</v>
      </c>
      <c r="L406">
        <v>1</v>
      </c>
      <c r="M406">
        <v>4</v>
      </c>
      <c r="N406">
        <v>0</v>
      </c>
      <c r="O406">
        <v>19</v>
      </c>
      <c r="P406">
        <v>1</v>
      </c>
      <c r="Q406">
        <v>4.75</v>
      </c>
      <c r="R406">
        <v>11</v>
      </c>
      <c r="S406">
        <v>0</v>
      </c>
      <c r="T406">
        <v>0</v>
      </c>
      <c r="U406" s="8">
        <v>12</v>
      </c>
      <c r="V406" s="8">
        <f t="shared" si="6"/>
        <v>1</v>
      </c>
    </row>
    <row r="407" spans="1:22" x14ac:dyDescent="0.3">
      <c r="A407" t="s">
        <v>152</v>
      </c>
      <c r="B407">
        <v>1</v>
      </c>
      <c r="C407" t="s">
        <v>180</v>
      </c>
      <c r="D407" t="s">
        <v>181</v>
      </c>
      <c r="E407" t="s">
        <v>159</v>
      </c>
      <c r="F407" t="s">
        <v>169</v>
      </c>
      <c r="G407" t="s">
        <v>135</v>
      </c>
      <c r="H407">
        <v>4</v>
      </c>
      <c r="I407">
        <v>3</v>
      </c>
      <c r="J407">
        <v>133.33000000000001</v>
      </c>
      <c r="K407" t="s">
        <v>96</v>
      </c>
      <c r="L407">
        <v>17.329999999999998</v>
      </c>
      <c r="M407">
        <v>3</v>
      </c>
      <c r="N407">
        <v>0</v>
      </c>
      <c r="O407">
        <v>24</v>
      </c>
      <c r="P407">
        <v>1</v>
      </c>
      <c r="Q407">
        <v>8</v>
      </c>
      <c r="R407">
        <v>4</v>
      </c>
      <c r="S407">
        <v>0</v>
      </c>
      <c r="T407">
        <v>0</v>
      </c>
      <c r="U407" s="8">
        <v>21</v>
      </c>
      <c r="V407" s="8">
        <f t="shared" si="6"/>
        <v>2</v>
      </c>
    </row>
    <row r="408" spans="1:22" x14ac:dyDescent="0.3">
      <c r="A408" t="s">
        <v>152</v>
      </c>
      <c r="B408">
        <v>1</v>
      </c>
      <c r="C408" t="s">
        <v>182</v>
      </c>
      <c r="D408" t="s">
        <v>183</v>
      </c>
      <c r="E408" t="s">
        <v>159</v>
      </c>
      <c r="F408" t="s">
        <v>101</v>
      </c>
      <c r="G408" t="s">
        <v>135</v>
      </c>
      <c r="H408">
        <v>0</v>
      </c>
      <c r="I408">
        <v>0</v>
      </c>
      <c r="J408">
        <v>0</v>
      </c>
      <c r="K408" t="s">
        <v>104</v>
      </c>
      <c r="L408">
        <v>0</v>
      </c>
      <c r="M408">
        <v>2</v>
      </c>
      <c r="N408">
        <v>0</v>
      </c>
      <c r="O408">
        <v>11</v>
      </c>
      <c r="P408">
        <v>0</v>
      </c>
      <c r="Q408">
        <v>5.5</v>
      </c>
      <c r="R408">
        <v>-11</v>
      </c>
      <c r="S408">
        <v>0</v>
      </c>
      <c r="T408">
        <v>0</v>
      </c>
      <c r="U408" s="8">
        <v>-11</v>
      </c>
      <c r="V408" s="8">
        <f t="shared" si="6"/>
        <v>0</v>
      </c>
    </row>
    <row r="409" spans="1:22" x14ac:dyDescent="0.3">
      <c r="A409" t="s">
        <v>152</v>
      </c>
      <c r="B409">
        <v>1</v>
      </c>
      <c r="C409" t="s">
        <v>112</v>
      </c>
      <c r="D409" t="s">
        <v>88</v>
      </c>
      <c r="E409" t="s">
        <v>266</v>
      </c>
      <c r="F409" t="s">
        <v>169</v>
      </c>
      <c r="G409" t="s">
        <v>86</v>
      </c>
      <c r="H409">
        <v>24</v>
      </c>
      <c r="I409">
        <v>17</v>
      </c>
      <c r="J409">
        <v>141.18</v>
      </c>
      <c r="K409" t="s">
        <v>246</v>
      </c>
      <c r="L409">
        <v>33.119999999999997</v>
      </c>
      <c r="M409">
        <v>4</v>
      </c>
      <c r="N409">
        <v>0</v>
      </c>
      <c r="O409">
        <v>18</v>
      </c>
      <c r="P409">
        <v>0</v>
      </c>
      <c r="Q409">
        <v>4.5</v>
      </c>
      <c r="R409">
        <v>-9</v>
      </c>
      <c r="S409">
        <v>0</v>
      </c>
      <c r="T409">
        <v>0</v>
      </c>
      <c r="U409" s="8">
        <v>24</v>
      </c>
      <c r="V409" s="8">
        <f t="shared" si="6"/>
        <v>2</v>
      </c>
    </row>
    <row r="410" spans="1:22" x14ac:dyDescent="0.3">
      <c r="A410" t="s">
        <v>152</v>
      </c>
      <c r="B410">
        <v>1</v>
      </c>
      <c r="C410" t="s">
        <v>113</v>
      </c>
      <c r="D410" t="s">
        <v>84</v>
      </c>
      <c r="E410" t="s">
        <v>266</v>
      </c>
      <c r="F410" t="s">
        <v>85</v>
      </c>
      <c r="G410" t="s">
        <v>86</v>
      </c>
      <c r="H410">
        <v>30</v>
      </c>
      <c r="I410">
        <v>26</v>
      </c>
      <c r="J410">
        <v>115.38</v>
      </c>
      <c r="K410" t="s">
        <v>246</v>
      </c>
      <c r="L410">
        <v>36.54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 s="8">
        <v>37</v>
      </c>
      <c r="V410" s="8">
        <f t="shared" si="6"/>
        <v>4</v>
      </c>
    </row>
    <row r="411" spans="1:22" x14ac:dyDescent="0.3">
      <c r="A411" t="s">
        <v>152</v>
      </c>
      <c r="B411">
        <v>1</v>
      </c>
      <c r="C411" t="s">
        <v>117</v>
      </c>
      <c r="D411" t="s">
        <v>90</v>
      </c>
      <c r="E411" t="s">
        <v>266</v>
      </c>
      <c r="F411" t="s">
        <v>169</v>
      </c>
      <c r="G411" t="s">
        <v>92</v>
      </c>
      <c r="H411">
        <v>13</v>
      </c>
      <c r="I411">
        <v>7</v>
      </c>
      <c r="J411">
        <v>185.71</v>
      </c>
      <c r="K411" t="s">
        <v>246</v>
      </c>
      <c r="L411">
        <v>26.57</v>
      </c>
      <c r="M411">
        <v>4</v>
      </c>
      <c r="N411">
        <v>0</v>
      </c>
      <c r="O411">
        <v>24</v>
      </c>
      <c r="P411">
        <v>2</v>
      </c>
      <c r="Q411">
        <v>6</v>
      </c>
      <c r="R411">
        <v>28</v>
      </c>
      <c r="S411">
        <v>0</v>
      </c>
      <c r="T411">
        <v>0</v>
      </c>
      <c r="U411" s="8">
        <v>55</v>
      </c>
      <c r="V411" s="8">
        <f t="shared" si="6"/>
        <v>6</v>
      </c>
    </row>
    <row r="412" spans="1:22" x14ac:dyDescent="0.3">
      <c r="A412" t="s">
        <v>152</v>
      </c>
      <c r="B412">
        <v>1</v>
      </c>
      <c r="C412" t="s">
        <v>115</v>
      </c>
      <c r="D412" t="s">
        <v>17</v>
      </c>
      <c r="E412" t="s">
        <v>266</v>
      </c>
      <c r="F412" t="s">
        <v>169</v>
      </c>
      <c r="G412" t="s">
        <v>134</v>
      </c>
      <c r="H412">
        <v>2</v>
      </c>
      <c r="I412">
        <v>5</v>
      </c>
      <c r="J412">
        <v>40</v>
      </c>
      <c r="K412" t="s">
        <v>245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 s="8">
        <v>1</v>
      </c>
      <c r="V412" s="8">
        <f t="shared" si="6"/>
        <v>0</v>
      </c>
    </row>
    <row r="413" spans="1:22" x14ac:dyDescent="0.3">
      <c r="A413" t="s">
        <v>152</v>
      </c>
      <c r="B413">
        <v>1</v>
      </c>
      <c r="C413" t="s">
        <v>119</v>
      </c>
      <c r="D413" t="s">
        <v>95</v>
      </c>
      <c r="E413" t="s">
        <v>266</v>
      </c>
      <c r="F413" t="s">
        <v>169</v>
      </c>
      <c r="G413" t="s">
        <v>134</v>
      </c>
      <c r="H413">
        <v>31</v>
      </c>
      <c r="I413">
        <v>27</v>
      </c>
      <c r="J413">
        <v>114.81</v>
      </c>
      <c r="K413" t="s">
        <v>96</v>
      </c>
      <c r="L413">
        <v>42.48</v>
      </c>
      <c r="M413">
        <v>4</v>
      </c>
      <c r="N413">
        <v>0</v>
      </c>
      <c r="O413">
        <v>22</v>
      </c>
      <c r="P413">
        <v>3</v>
      </c>
      <c r="Q413">
        <v>5.5</v>
      </c>
      <c r="R413">
        <v>49</v>
      </c>
      <c r="S413">
        <v>0</v>
      </c>
      <c r="T413">
        <v>0</v>
      </c>
      <c r="U413" s="8">
        <v>91</v>
      </c>
      <c r="V413" s="8">
        <f t="shared" si="6"/>
        <v>9</v>
      </c>
    </row>
    <row r="414" spans="1:22" x14ac:dyDescent="0.3">
      <c r="A414" t="s">
        <v>152</v>
      </c>
      <c r="B414">
        <v>1</v>
      </c>
      <c r="C414" t="s">
        <v>123</v>
      </c>
      <c r="D414" t="s">
        <v>98</v>
      </c>
      <c r="E414" t="s">
        <v>266</v>
      </c>
      <c r="F414" t="s">
        <v>169</v>
      </c>
      <c r="G414" t="s">
        <v>134</v>
      </c>
      <c r="H414">
        <v>19</v>
      </c>
      <c r="I414">
        <v>18</v>
      </c>
      <c r="J414">
        <v>105.56</v>
      </c>
      <c r="K414" t="s">
        <v>246</v>
      </c>
      <c r="L414">
        <v>24.56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 s="8">
        <v>25</v>
      </c>
      <c r="V414" s="8">
        <f t="shared" si="6"/>
        <v>3</v>
      </c>
    </row>
    <row r="415" spans="1:22" x14ac:dyDescent="0.3">
      <c r="A415" t="s">
        <v>152</v>
      </c>
      <c r="B415">
        <v>1</v>
      </c>
      <c r="C415" t="s">
        <v>127</v>
      </c>
      <c r="D415" t="s">
        <v>100</v>
      </c>
      <c r="E415" t="s">
        <v>266</v>
      </c>
      <c r="F415" t="s">
        <v>101</v>
      </c>
      <c r="G415" t="s">
        <v>134</v>
      </c>
      <c r="H415">
        <v>0</v>
      </c>
      <c r="I415">
        <v>1</v>
      </c>
      <c r="J415">
        <v>0</v>
      </c>
      <c r="K415" t="s">
        <v>246</v>
      </c>
      <c r="L415">
        <v>-5</v>
      </c>
      <c r="M415">
        <v>4</v>
      </c>
      <c r="N415">
        <v>0</v>
      </c>
      <c r="O415">
        <v>26</v>
      </c>
      <c r="P415">
        <v>2</v>
      </c>
      <c r="Q415">
        <v>6.5</v>
      </c>
      <c r="R415">
        <v>27</v>
      </c>
      <c r="S415">
        <v>0</v>
      </c>
      <c r="T415">
        <v>0</v>
      </c>
      <c r="U415" s="8">
        <v>22</v>
      </c>
      <c r="V415" s="8">
        <f t="shared" si="6"/>
        <v>2</v>
      </c>
    </row>
    <row r="416" spans="1:22" x14ac:dyDescent="0.3">
      <c r="A416" t="s">
        <v>152</v>
      </c>
      <c r="B416">
        <v>1</v>
      </c>
      <c r="C416" t="s">
        <v>121</v>
      </c>
      <c r="D416" t="s">
        <v>108</v>
      </c>
      <c r="E416" t="s">
        <v>266</v>
      </c>
      <c r="F416" t="s">
        <v>109</v>
      </c>
      <c r="G416" t="s">
        <v>135</v>
      </c>
      <c r="H416">
        <v>0</v>
      </c>
      <c r="I416">
        <v>0</v>
      </c>
      <c r="J416">
        <v>0</v>
      </c>
      <c r="K416" t="s">
        <v>96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 s="8">
        <v>0</v>
      </c>
      <c r="V416" s="8">
        <f t="shared" si="6"/>
        <v>0</v>
      </c>
    </row>
    <row r="417" spans="1:22" x14ac:dyDescent="0.3">
      <c r="A417" t="s">
        <v>152</v>
      </c>
      <c r="B417">
        <v>1</v>
      </c>
      <c r="C417" t="s">
        <v>125</v>
      </c>
      <c r="D417" t="s">
        <v>111</v>
      </c>
      <c r="E417" t="s">
        <v>266</v>
      </c>
      <c r="F417" t="s">
        <v>169</v>
      </c>
      <c r="G417" t="s">
        <v>135</v>
      </c>
      <c r="H417">
        <v>0</v>
      </c>
      <c r="I417">
        <v>0</v>
      </c>
      <c r="J417">
        <v>0</v>
      </c>
      <c r="K417" t="s">
        <v>104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 s="8">
        <v>0</v>
      </c>
      <c r="V417" s="8">
        <f t="shared" si="6"/>
        <v>0</v>
      </c>
    </row>
    <row r="418" spans="1:22" x14ac:dyDescent="0.3">
      <c r="A418" t="s">
        <v>152</v>
      </c>
      <c r="B418">
        <v>1</v>
      </c>
      <c r="C418" t="s">
        <v>129</v>
      </c>
      <c r="D418" t="s">
        <v>103</v>
      </c>
      <c r="E418" t="s">
        <v>266</v>
      </c>
      <c r="F418" t="s">
        <v>101</v>
      </c>
      <c r="G418" t="s">
        <v>135</v>
      </c>
      <c r="H418">
        <v>0</v>
      </c>
      <c r="I418">
        <v>0</v>
      </c>
      <c r="J418">
        <v>0</v>
      </c>
      <c r="K418" t="s">
        <v>104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 s="8">
        <v>0</v>
      </c>
      <c r="V418" s="8">
        <f t="shared" si="6"/>
        <v>0</v>
      </c>
    </row>
    <row r="419" spans="1:22" x14ac:dyDescent="0.3">
      <c r="A419" t="s">
        <v>152</v>
      </c>
      <c r="B419">
        <v>1</v>
      </c>
      <c r="C419" t="s">
        <v>131</v>
      </c>
      <c r="D419" t="s">
        <v>106</v>
      </c>
      <c r="E419" t="s">
        <v>266</v>
      </c>
      <c r="F419" t="s">
        <v>101</v>
      </c>
      <c r="G419" t="s">
        <v>135</v>
      </c>
      <c r="H419">
        <v>0</v>
      </c>
      <c r="I419">
        <v>0</v>
      </c>
      <c r="J419">
        <v>0</v>
      </c>
      <c r="K419" t="s">
        <v>104</v>
      </c>
      <c r="L419">
        <v>0</v>
      </c>
      <c r="M419">
        <v>4</v>
      </c>
      <c r="N419">
        <v>0</v>
      </c>
      <c r="O419">
        <v>31</v>
      </c>
      <c r="P419">
        <v>1</v>
      </c>
      <c r="Q419">
        <v>7.75</v>
      </c>
      <c r="R419">
        <v>5</v>
      </c>
      <c r="S419">
        <v>0</v>
      </c>
      <c r="T419">
        <v>0</v>
      </c>
      <c r="U419" s="8">
        <v>5</v>
      </c>
      <c r="V419" s="8">
        <f t="shared" si="6"/>
        <v>1</v>
      </c>
    </row>
    <row r="420" spans="1:22" x14ac:dyDescent="0.3">
      <c r="A420" t="s">
        <v>153</v>
      </c>
      <c r="B420">
        <v>1</v>
      </c>
      <c r="C420" t="s">
        <v>217</v>
      </c>
      <c r="D420" t="s">
        <v>218</v>
      </c>
      <c r="E420" t="s">
        <v>219</v>
      </c>
      <c r="F420" t="s">
        <v>85</v>
      </c>
      <c r="G420" t="s">
        <v>86</v>
      </c>
      <c r="H420">
        <v>36</v>
      </c>
      <c r="I420">
        <v>34</v>
      </c>
      <c r="J420">
        <v>105.88</v>
      </c>
      <c r="K420" t="s">
        <v>248</v>
      </c>
      <c r="L420">
        <v>41.59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 s="8">
        <v>41.59</v>
      </c>
      <c r="V420" s="8">
        <f t="shared" si="6"/>
        <v>4</v>
      </c>
    </row>
    <row r="421" spans="1:22" x14ac:dyDescent="0.3">
      <c r="A421" t="s">
        <v>153</v>
      </c>
      <c r="B421">
        <v>1</v>
      </c>
      <c r="C421" t="s">
        <v>220</v>
      </c>
      <c r="D421" t="s">
        <v>221</v>
      </c>
      <c r="E421" t="s">
        <v>219</v>
      </c>
      <c r="F421" t="s">
        <v>109</v>
      </c>
      <c r="G421" t="s">
        <v>92</v>
      </c>
      <c r="H421">
        <v>19</v>
      </c>
      <c r="I421">
        <v>12</v>
      </c>
      <c r="J421">
        <v>158.33000000000001</v>
      </c>
      <c r="K421" t="s">
        <v>246</v>
      </c>
      <c r="L421">
        <v>29.83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 s="8">
        <v>29.83</v>
      </c>
      <c r="V421" s="8">
        <f t="shared" si="6"/>
        <v>3</v>
      </c>
    </row>
    <row r="422" spans="1:22" x14ac:dyDescent="0.3">
      <c r="A422" t="s">
        <v>153</v>
      </c>
      <c r="B422">
        <v>1</v>
      </c>
      <c r="C422" t="s">
        <v>227</v>
      </c>
      <c r="D422" t="s">
        <v>228</v>
      </c>
      <c r="E422" t="s">
        <v>219</v>
      </c>
      <c r="F422" t="s">
        <v>109</v>
      </c>
      <c r="G422" t="s">
        <v>134</v>
      </c>
      <c r="H422">
        <v>11</v>
      </c>
      <c r="I422">
        <v>23</v>
      </c>
      <c r="J422">
        <v>47.83</v>
      </c>
      <c r="K422" t="s">
        <v>246</v>
      </c>
      <c r="L422">
        <v>10.78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 s="8">
        <v>10.78</v>
      </c>
      <c r="V422" s="8">
        <f t="shared" si="6"/>
        <v>1</v>
      </c>
    </row>
    <row r="423" spans="1:22" x14ac:dyDescent="0.3">
      <c r="A423" t="s">
        <v>153</v>
      </c>
      <c r="B423">
        <v>1</v>
      </c>
      <c r="C423" t="s">
        <v>222</v>
      </c>
      <c r="D423" t="s">
        <v>223</v>
      </c>
      <c r="E423" t="s">
        <v>219</v>
      </c>
      <c r="F423" t="s">
        <v>169</v>
      </c>
      <c r="G423" t="s">
        <v>92</v>
      </c>
      <c r="H423">
        <v>58</v>
      </c>
      <c r="I423">
        <v>32</v>
      </c>
      <c r="J423">
        <v>181.25</v>
      </c>
      <c r="K423" t="s">
        <v>96</v>
      </c>
      <c r="L423">
        <v>76.13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 s="8">
        <v>76.13</v>
      </c>
      <c r="V423" s="8">
        <f t="shared" si="6"/>
        <v>8</v>
      </c>
    </row>
    <row r="424" spans="1:22" x14ac:dyDescent="0.3">
      <c r="A424" t="s">
        <v>153</v>
      </c>
      <c r="B424">
        <v>1</v>
      </c>
      <c r="C424" t="s">
        <v>229</v>
      </c>
      <c r="D424" t="s">
        <v>230</v>
      </c>
      <c r="E424" t="s">
        <v>219</v>
      </c>
      <c r="F424" t="s">
        <v>109</v>
      </c>
      <c r="G424" t="s">
        <v>134</v>
      </c>
      <c r="H424">
        <v>2</v>
      </c>
      <c r="I424">
        <v>3</v>
      </c>
      <c r="J424">
        <v>66.67</v>
      </c>
      <c r="K424" t="s">
        <v>248</v>
      </c>
      <c r="L424">
        <v>3.67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 s="8">
        <v>3.67</v>
      </c>
      <c r="V424" s="8">
        <f t="shared" si="6"/>
        <v>0</v>
      </c>
    </row>
    <row r="425" spans="1:22" x14ac:dyDescent="0.3">
      <c r="A425" t="s">
        <v>153</v>
      </c>
      <c r="B425">
        <v>1</v>
      </c>
      <c r="C425" t="s">
        <v>224</v>
      </c>
      <c r="D425" t="s">
        <v>225</v>
      </c>
      <c r="E425" t="s">
        <v>219</v>
      </c>
      <c r="F425" t="s">
        <v>169</v>
      </c>
      <c r="G425" t="s">
        <v>134</v>
      </c>
      <c r="H425">
        <v>3</v>
      </c>
      <c r="I425">
        <v>8</v>
      </c>
      <c r="J425">
        <v>37.5</v>
      </c>
      <c r="K425" t="s">
        <v>248</v>
      </c>
      <c r="L425">
        <v>1.75</v>
      </c>
      <c r="M425">
        <v>3.5</v>
      </c>
      <c r="N425">
        <v>0</v>
      </c>
      <c r="O425">
        <v>37</v>
      </c>
      <c r="P425">
        <v>0</v>
      </c>
      <c r="Q425">
        <v>10.57</v>
      </c>
      <c r="R425">
        <v>-21.14</v>
      </c>
      <c r="S425">
        <v>0</v>
      </c>
      <c r="T425">
        <v>0</v>
      </c>
      <c r="U425" s="8">
        <v>-19.39</v>
      </c>
      <c r="V425" s="8">
        <f t="shared" si="6"/>
        <v>0</v>
      </c>
    </row>
    <row r="426" spans="1:22" x14ac:dyDescent="0.3">
      <c r="A426" t="s">
        <v>153</v>
      </c>
      <c r="B426">
        <v>1</v>
      </c>
      <c r="C426" t="s">
        <v>233</v>
      </c>
      <c r="D426" t="s">
        <v>234</v>
      </c>
      <c r="E426" t="s">
        <v>219</v>
      </c>
      <c r="F426" t="s">
        <v>101</v>
      </c>
      <c r="G426" t="s">
        <v>134</v>
      </c>
      <c r="H426">
        <v>0</v>
      </c>
      <c r="I426">
        <v>2</v>
      </c>
      <c r="J426">
        <v>0</v>
      </c>
      <c r="K426" t="s">
        <v>248</v>
      </c>
      <c r="L426">
        <v>-5</v>
      </c>
      <c r="M426">
        <v>4</v>
      </c>
      <c r="N426">
        <v>0</v>
      </c>
      <c r="O426">
        <v>25</v>
      </c>
      <c r="P426">
        <v>1</v>
      </c>
      <c r="Q426">
        <v>6.25</v>
      </c>
      <c r="R426">
        <v>7.5</v>
      </c>
      <c r="S426">
        <v>0</v>
      </c>
      <c r="T426">
        <v>0</v>
      </c>
      <c r="U426" s="8">
        <v>2.5</v>
      </c>
      <c r="V426" s="8">
        <f t="shared" si="6"/>
        <v>0</v>
      </c>
    </row>
    <row r="427" spans="1:22" x14ac:dyDescent="0.3">
      <c r="A427" t="s">
        <v>153</v>
      </c>
      <c r="B427">
        <v>1</v>
      </c>
      <c r="C427" t="s">
        <v>235</v>
      </c>
      <c r="D427" t="s">
        <v>236</v>
      </c>
      <c r="E427" t="s">
        <v>219</v>
      </c>
      <c r="F427" t="s">
        <v>101</v>
      </c>
      <c r="G427" t="s">
        <v>135</v>
      </c>
      <c r="H427">
        <v>3</v>
      </c>
      <c r="I427">
        <v>6</v>
      </c>
      <c r="J427">
        <v>50</v>
      </c>
      <c r="K427" t="s">
        <v>96</v>
      </c>
      <c r="L427">
        <v>8</v>
      </c>
      <c r="M427">
        <v>2</v>
      </c>
      <c r="N427">
        <v>0</v>
      </c>
      <c r="O427">
        <v>15</v>
      </c>
      <c r="P427">
        <v>0</v>
      </c>
      <c r="Q427">
        <v>7.5</v>
      </c>
      <c r="R427">
        <v>-15</v>
      </c>
      <c r="S427">
        <v>0</v>
      </c>
      <c r="T427">
        <v>0</v>
      </c>
      <c r="U427" s="8">
        <v>-7</v>
      </c>
      <c r="V427" s="8">
        <f t="shared" si="6"/>
        <v>0</v>
      </c>
    </row>
    <row r="428" spans="1:22" x14ac:dyDescent="0.3">
      <c r="A428" t="s">
        <v>153</v>
      </c>
      <c r="B428">
        <v>1</v>
      </c>
      <c r="C428" t="s">
        <v>314</v>
      </c>
      <c r="D428" t="s">
        <v>315</v>
      </c>
      <c r="E428" t="s">
        <v>219</v>
      </c>
      <c r="F428" t="s">
        <v>91</v>
      </c>
      <c r="G428" t="s">
        <v>104</v>
      </c>
      <c r="H428">
        <v>0</v>
      </c>
      <c r="I428">
        <v>0</v>
      </c>
      <c r="J428">
        <v>0</v>
      </c>
      <c r="K428" t="s">
        <v>104</v>
      </c>
      <c r="L428">
        <v>0</v>
      </c>
      <c r="M428">
        <v>2</v>
      </c>
      <c r="N428">
        <v>0</v>
      </c>
      <c r="O428">
        <v>9</v>
      </c>
      <c r="P428">
        <v>0</v>
      </c>
      <c r="Q428">
        <v>4.5</v>
      </c>
      <c r="R428">
        <v>-9</v>
      </c>
      <c r="S428">
        <v>0</v>
      </c>
      <c r="T428">
        <v>0</v>
      </c>
      <c r="U428" s="8">
        <v>-9</v>
      </c>
      <c r="V428" s="8">
        <f t="shared" si="6"/>
        <v>0</v>
      </c>
    </row>
    <row r="429" spans="1:22" x14ac:dyDescent="0.3">
      <c r="A429" t="s">
        <v>153</v>
      </c>
      <c r="B429">
        <v>1</v>
      </c>
      <c r="C429" t="s">
        <v>265</v>
      </c>
      <c r="D429" t="s">
        <v>264</v>
      </c>
      <c r="E429" t="s">
        <v>219</v>
      </c>
      <c r="F429" t="s">
        <v>101</v>
      </c>
      <c r="G429" t="s">
        <v>104</v>
      </c>
      <c r="H429">
        <v>0</v>
      </c>
      <c r="I429">
        <v>0</v>
      </c>
      <c r="J429">
        <v>0</v>
      </c>
      <c r="K429" t="s">
        <v>104</v>
      </c>
      <c r="L429">
        <v>0</v>
      </c>
      <c r="M429">
        <v>3</v>
      </c>
      <c r="N429">
        <v>0</v>
      </c>
      <c r="O429">
        <v>29</v>
      </c>
      <c r="P429">
        <v>2</v>
      </c>
      <c r="Q429">
        <v>9.67</v>
      </c>
      <c r="R429">
        <v>20.66</v>
      </c>
      <c r="S429">
        <v>0</v>
      </c>
      <c r="T429">
        <v>0</v>
      </c>
      <c r="U429" s="8">
        <v>20.66</v>
      </c>
      <c r="V429" s="8">
        <f t="shared" si="6"/>
        <v>2</v>
      </c>
    </row>
    <row r="430" spans="1:22" x14ac:dyDescent="0.3">
      <c r="A430" t="s">
        <v>153</v>
      </c>
      <c r="B430">
        <v>1</v>
      </c>
      <c r="C430" t="s">
        <v>235</v>
      </c>
      <c r="D430" t="s">
        <v>236</v>
      </c>
      <c r="E430" t="s">
        <v>219</v>
      </c>
      <c r="F430" t="s">
        <v>101</v>
      </c>
      <c r="G430" t="s">
        <v>104</v>
      </c>
      <c r="H430">
        <v>0</v>
      </c>
      <c r="I430">
        <v>0</v>
      </c>
      <c r="J430">
        <v>0</v>
      </c>
      <c r="K430" t="s">
        <v>104</v>
      </c>
      <c r="L430">
        <v>0</v>
      </c>
      <c r="M430">
        <v>2</v>
      </c>
      <c r="N430">
        <v>0</v>
      </c>
      <c r="O430">
        <v>15</v>
      </c>
      <c r="P430">
        <v>0</v>
      </c>
      <c r="Q430">
        <v>7.5</v>
      </c>
      <c r="R430">
        <v>-15</v>
      </c>
      <c r="S430">
        <v>0</v>
      </c>
      <c r="T430">
        <v>0</v>
      </c>
      <c r="U430" s="8">
        <v>-15</v>
      </c>
      <c r="V430" s="8">
        <f t="shared" si="6"/>
        <v>0</v>
      </c>
    </row>
    <row r="431" spans="1:22" x14ac:dyDescent="0.3">
      <c r="A431" t="s">
        <v>153</v>
      </c>
      <c r="B431">
        <v>1</v>
      </c>
      <c r="C431" t="s">
        <v>190</v>
      </c>
      <c r="D431" t="s">
        <v>191</v>
      </c>
      <c r="E431" t="s">
        <v>158</v>
      </c>
      <c r="F431" t="s">
        <v>109</v>
      </c>
      <c r="G431" t="s">
        <v>86</v>
      </c>
      <c r="H431">
        <v>39</v>
      </c>
      <c r="I431">
        <v>23</v>
      </c>
      <c r="J431">
        <v>169.57</v>
      </c>
      <c r="K431" t="s">
        <v>246</v>
      </c>
      <c r="L431">
        <v>50.96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 s="8">
        <v>50.96</v>
      </c>
      <c r="V431" s="8">
        <f t="shared" si="6"/>
        <v>5</v>
      </c>
    </row>
    <row r="432" spans="1:22" x14ac:dyDescent="0.3">
      <c r="A432" t="s">
        <v>153</v>
      </c>
      <c r="B432">
        <v>1</v>
      </c>
      <c r="C432" t="s">
        <v>188</v>
      </c>
      <c r="D432" t="s">
        <v>189</v>
      </c>
      <c r="E432" t="s">
        <v>158</v>
      </c>
      <c r="F432" t="s">
        <v>109</v>
      </c>
      <c r="G432" t="s">
        <v>92</v>
      </c>
      <c r="H432">
        <v>21</v>
      </c>
      <c r="I432">
        <v>16</v>
      </c>
      <c r="J432">
        <v>131.25</v>
      </c>
      <c r="K432" t="s">
        <v>246</v>
      </c>
      <c r="L432">
        <v>29.13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 s="8">
        <v>29.13</v>
      </c>
      <c r="V432" s="8">
        <f t="shared" si="6"/>
        <v>3</v>
      </c>
    </row>
    <row r="433" spans="1:22" x14ac:dyDescent="0.3">
      <c r="A433" t="s">
        <v>153</v>
      </c>
      <c r="B433">
        <v>1</v>
      </c>
      <c r="C433" t="s">
        <v>194</v>
      </c>
      <c r="D433" t="s">
        <v>195</v>
      </c>
      <c r="E433" t="s">
        <v>158</v>
      </c>
      <c r="F433" t="s">
        <v>109</v>
      </c>
      <c r="G433" t="s">
        <v>134</v>
      </c>
      <c r="H433">
        <v>3</v>
      </c>
      <c r="I433">
        <v>3</v>
      </c>
      <c r="J433">
        <v>100</v>
      </c>
      <c r="K433" t="s">
        <v>247</v>
      </c>
      <c r="L433">
        <v>8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 s="8">
        <v>8</v>
      </c>
      <c r="V433" s="8">
        <f t="shared" si="6"/>
        <v>1</v>
      </c>
    </row>
    <row r="434" spans="1:22" x14ac:dyDescent="0.3">
      <c r="A434" t="s">
        <v>153</v>
      </c>
      <c r="B434">
        <v>1</v>
      </c>
      <c r="C434" t="s">
        <v>192</v>
      </c>
      <c r="D434" t="s">
        <v>193</v>
      </c>
      <c r="E434" t="s">
        <v>158</v>
      </c>
      <c r="F434" t="s">
        <v>169</v>
      </c>
      <c r="G434" t="s">
        <v>134</v>
      </c>
      <c r="H434">
        <v>34</v>
      </c>
      <c r="I434">
        <v>31</v>
      </c>
      <c r="J434">
        <v>109.68</v>
      </c>
      <c r="K434" t="s">
        <v>96</v>
      </c>
      <c r="L434">
        <v>44.97</v>
      </c>
      <c r="M434">
        <v>4</v>
      </c>
      <c r="N434">
        <v>0</v>
      </c>
      <c r="O434">
        <v>24</v>
      </c>
      <c r="P434">
        <v>0</v>
      </c>
      <c r="Q434">
        <v>6</v>
      </c>
      <c r="R434">
        <v>-12</v>
      </c>
      <c r="S434">
        <v>0</v>
      </c>
      <c r="T434">
        <v>0</v>
      </c>
      <c r="U434" s="8">
        <v>32.97</v>
      </c>
      <c r="V434" s="8">
        <f t="shared" si="6"/>
        <v>3</v>
      </c>
    </row>
    <row r="435" spans="1:22" x14ac:dyDescent="0.3">
      <c r="A435" t="s">
        <v>153</v>
      </c>
      <c r="B435">
        <v>1</v>
      </c>
      <c r="C435" t="s">
        <v>196</v>
      </c>
      <c r="D435" t="s">
        <v>197</v>
      </c>
      <c r="E435" t="s">
        <v>158</v>
      </c>
      <c r="F435" t="s">
        <v>109</v>
      </c>
      <c r="G435" t="s">
        <v>134</v>
      </c>
      <c r="H435">
        <v>34</v>
      </c>
      <c r="I435">
        <v>31</v>
      </c>
      <c r="J435">
        <v>109.68</v>
      </c>
      <c r="K435" t="s">
        <v>248</v>
      </c>
      <c r="L435">
        <v>39.97</v>
      </c>
      <c r="M435">
        <v>4</v>
      </c>
      <c r="N435">
        <v>0</v>
      </c>
      <c r="O435">
        <v>26</v>
      </c>
      <c r="P435">
        <v>3</v>
      </c>
      <c r="Q435">
        <v>6.5</v>
      </c>
      <c r="R435">
        <v>47</v>
      </c>
      <c r="S435">
        <v>0</v>
      </c>
      <c r="T435">
        <v>0</v>
      </c>
      <c r="U435" s="8">
        <v>86.97</v>
      </c>
      <c r="V435" s="8">
        <f t="shared" si="6"/>
        <v>9</v>
      </c>
    </row>
    <row r="436" spans="1:22" x14ac:dyDescent="0.3">
      <c r="A436" t="s">
        <v>153</v>
      </c>
      <c r="B436">
        <v>1</v>
      </c>
      <c r="C436" t="s">
        <v>198</v>
      </c>
      <c r="D436" t="s">
        <v>199</v>
      </c>
      <c r="E436" t="s">
        <v>158</v>
      </c>
      <c r="F436" t="s">
        <v>101</v>
      </c>
      <c r="G436" t="s">
        <v>134</v>
      </c>
      <c r="H436">
        <v>0</v>
      </c>
      <c r="I436">
        <v>5</v>
      </c>
      <c r="J436">
        <v>0</v>
      </c>
      <c r="K436" t="s">
        <v>256</v>
      </c>
      <c r="L436">
        <v>-5</v>
      </c>
      <c r="M436">
        <v>4</v>
      </c>
      <c r="N436">
        <v>0</v>
      </c>
      <c r="O436">
        <v>24</v>
      </c>
      <c r="P436">
        <v>1</v>
      </c>
      <c r="Q436">
        <v>6</v>
      </c>
      <c r="R436">
        <v>8</v>
      </c>
      <c r="S436">
        <v>0</v>
      </c>
      <c r="T436">
        <v>0</v>
      </c>
      <c r="U436" s="8">
        <v>3</v>
      </c>
      <c r="V436" s="8">
        <f t="shared" si="6"/>
        <v>0</v>
      </c>
    </row>
    <row r="437" spans="1:22" x14ac:dyDescent="0.3">
      <c r="A437" t="s">
        <v>153</v>
      </c>
      <c r="B437">
        <v>1</v>
      </c>
      <c r="C437" t="s">
        <v>202</v>
      </c>
      <c r="D437" t="s">
        <v>203</v>
      </c>
      <c r="E437" t="s">
        <v>158</v>
      </c>
      <c r="F437" t="s">
        <v>101</v>
      </c>
      <c r="G437" t="s">
        <v>135</v>
      </c>
      <c r="H437">
        <v>0</v>
      </c>
      <c r="I437">
        <v>0</v>
      </c>
      <c r="J437">
        <v>0</v>
      </c>
      <c r="K437" t="s">
        <v>96</v>
      </c>
      <c r="L437">
        <v>0</v>
      </c>
      <c r="M437">
        <v>2</v>
      </c>
      <c r="N437">
        <v>0</v>
      </c>
      <c r="O437">
        <v>19</v>
      </c>
      <c r="P437">
        <v>0</v>
      </c>
      <c r="Q437">
        <v>9.5</v>
      </c>
      <c r="R437">
        <v>-19</v>
      </c>
      <c r="S437">
        <v>0</v>
      </c>
      <c r="T437">
        <v>0</v>
      </c>
      <c r="U437" s="8">
        <v>-19</v>
      </c>
      <c r="V437" s="8">
        <f t="shared" si="6"/>
        <v>0</v>
      </c>
    </row>
    <row r="438" spans="1:22" x14ac:dyDescent="0.3">
      <c r="A438" t="s">
        <v>153</v>
      </c>
      <c r="B438">
        <v>1</v>
      </c>
      <c r="C438" t="s">
        <v>200</v>
      </c>
      <c r="D438" t="s">
        <v>201</v>
      </c>
      <c r="E438" t="s">
        <v>158</v>
      </c>
      <c r="F438" t="s">
        <v>85</v>
      </c>
      <c r="G438" t="s">
        <v>104</v>
      </c>
      <c r="H438">
        <v>0</v>
      </c>
      <c r="I438">
        <v>0</v>
      </c>
      <c r="J438">
        <v>0</v>
      </c>
      <c r="K438" t="s">
        <v>104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 s="8">
        <v>0</v>
      </c>
      <c r="V438" s="8">
        <f t="shared" si="6"/>
        <v>0</v>
      </c>
    </row>
    <row r="439" spans="1:22" x14ac:dyDescent="0.3">
      <c r="A439" t="s">
        <v>153</v>
      </c>
      <c r="B439">
        <v>1</v>
      </c>
      <c r="C439" t="s">
        <v>206</v>
      </c>
      <c r="D439" t="s">
        <v>207</v>
      </c>
      <c r="E439" t="s">
        <v>158</v>
      </c>
      <c r="F439" t="s">
        <v>101</v>
      </c>
      <c r="G439" t="s">
        <v>104</v>
      </c>
      <c r="H439">
        <v>0</v>
      </c>
      <c r="I439">
        <v>0</v>
      </c>
      <c r="J439">
        <v>0</v>
      </c>
      <c r="K439" t="s">
        <v>104</v>
      </c>
      <c r="L439">
        <v>0</v>
      </c>
      <c r="M439">
        <v>4</v>
      </c>
      <c r="N439">
        <v>0</v>
      </c>
      <c r="O439">
        <v>28</v>
      </c>
      <c r="P439">
        <v>2</v>
      </c>
      <c r="Q439">
        <v>7</v>
      </c>
      <c r="R439">
        <v>26</v>
      </c>
      <c r="S439">
        <v>0</v>
      </c>
      <c r="T439">
        <v>0</v>
      </c>
      <c r="U439" s="8">
        <v>26</v>
      </c>
      <c r="V439" s="8">
        <f t="shared" si="6"/>
        <v>3</v>
      </c>
    </row>
    <row r="440" spans="1:22" x14ac:dyDescent="0.3">
      <c r="A440" t="s">
        <v>153</v>
      </c>
      <c r="B440">
        <v>1</v>
      </c>
      <c r="C440" t="s">
        <v>204</v>
      </c>
      <c r="D440" t="s">
        <v>205</v>
      </c>
      <c r="E440" t="s">
        <v>158</v>
      </c>
      <c r="F440" t="s">
        <v>91</v>
      </c>
      <c r="G440" t="s">
        <v>104</v>
      </c>
      <c r="H440">
        <v>0</v>
      </c>
      <c r="I440">
        <v>0</v>
      </c>
      <c r="J440">
        <v>0</v>
      </c>
      <c r="K440" t="s">
        <v>104</v>
      </c>
      <c r="L440">
        <v>0</v>
      </c>
      <c r="M440">
        <v>2</v>
      </c>
      <c r="N440">
        <v>0</v>
      </c>
      <c r="O440">
        <v>16</v>
      </c>
      <c r="P440">
        <v>0</v>
      </c>
      <c r="Q440">
        <v>8</v>
      </c>
      <c r="R440">
        <v>-16</v>
      </c>
      <c r="S440">
        <v>0</v>
      </c>
      <c r="T440">
        <v>0</v>
      </c>
      <c r="U440" s="8">
        <v>-16</v>
      </c>
      <c r="V440" s="8">
        <f t="shared" si="6"/>
        <v>0</v>
      </c>
    </row>
    <row r="441" spans="1:22" x14ac:dyDescent="0.3">
      <c r="A441" t="s">
        <v>153</v>
      </c>
      <c r="B441">
        <v>1</v>
      </c>
      <c r="C441" t="s">
        <v>332</v>
      </c>
      <c r="D441" t="s">
        <v>312</v>
      </c>
      <c r="E441" t="s">
        <v>158</v>
      </c>
      <c r="F441" t="s">
        <v>101</v>
      </c>
      <c r="G441" t="s">
        <v>104</v>
      </c>
      <c r="H441">
        <v>0</v>
      </c>
      <c r="I441">
        <v>0</v>
      </c>
      <c r="J441">
        <v>0</v>
      </c>
      <c r="K441" t="s">
        <v>104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 s="8">
        <v>0</v>
      </c>
      <c r="V441" s="8">
        <f t="shared" si="6"/>
        <v>0</v>
      </c>
    </row>
    <row r="442" spans="1:22" x14ac:dyDescent="0.3">
      <c r="A442" t="s">
        <v>154</v>
      </c>
      <c r="B442">
        <v>1</v>
      </c>
      <c r="C442" t="s">
        <v>113</v>
      </c>
      <c r="D442" t="s">
        <v>84</v>
      </c>
      <c r="E442" t="s">
        <v>266</v>
      </c>
      <c r="F442" t="s">
        <v>85</v>
      </c>
      <c r="G442" t="s">
        <v>86</v>
      </c>
      <c r="H442">
        <v>21</v>
      </c>
      <c r="I442">
        <v>18</v>
      </c>
      <c r="J442">
        <v>116.67</v>
      </c>
      <c r="K442" t="s">
        <v>246</v>
      </c>
      <c r="L442">
        <v>27.67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 s="8">
        <v>27.67</v>
      </c>
      <c r="V442" s="8">
        <f t="shared" si="6"/>
        <v>3</v>
      </c>
    </row>
    <row r="443" spans="1:22" x14ac:dyDescent="0.3">
      <c r="A443" t="s">
        <v>154</v>
      </c>
      <c r="B443">
        <v>1</v>
      </c>
      <c r="C443" t="s">
        <v>112</v>
      </c>
      <c r="D443" t="s">
        <v>88</v>
      </c>
      <c r="E443" t="s">
        <v>266</v>
      </c>
      <c r="F443" t="s">
        <v>169</v>
      </c>
      <c r="G443" t="s">
        <v>86</v>
      </c>
      <c r="H443">
        <v>26</v>
      </c>
      <c r="I443">
        <v>26</v>
      </c>
      <c r="J443">
        <v>100</v>
      </c>
      <c r="K443" t="s">
        <v>246</v>
      </c>
      <c r="L443">
        <v>31</v>
      </c>
      <c r="M443">
        <v>3</v>
      </c>
      <c r="N443">
        <v>0</v>
      </c>
      <c r="O443">
        <v>21</v>
      </c>
      <c r="P443">
        <v>1</v>
      </c>
      <c r="Q443">
        <v>7</v>
      </c>
      <c r="R443">
        <v>6</v>
      </c>
      <c r="S443">
        <v>0</v>
      </c>
      <c r="T443">
        <v>0</v>
      </c>
      <c r="U443" s="8">
        <v>37</v>
      </c>
      <c r="V443" s="8">
        <f t="shared" si="6"/>
        <v>4</v>
      </c>
    </row>
    <row r="444" spans="1:22" x14ac:dyDescent="0.3">
      <c r="A444" t="s">
        <v>154</v>
      </c>
      <c r="B444">
        <v>1</v>
      </c>
      <c r="C444" t="s">
        <v>117</v>
      </c>
      <c r="D444" t="s">
        <v>90</v>
      </c>
      <c r="E444" t="s">
        <v>266</v>
      </c>
      <c r="F444" t="s">
        <v>169</v>
      </c>
      <c r="G444" t="s">
        <v>92</v>
      </c>
      <c r="H444">
        <v>72</v>
      </c>
      <c r="I444">
        <v>38</v>
      </c>
      <c r="J444">
        <v>189.47</v>
      </c>
      <c r="K444" t="s">
        <v>96</v>
      </c>
      <c r="L444">
        <v>90.95</v>
      </c>
      <c r="M444">
        <v>3</v>
      </c>
      <c r="N444">
        <v>0</v>
      </c>
      <c r="O444">
        <v>21</v>
      </c>
      <c r="P444">
        <v>1</v>
      </c>
      <c r="Q444">
        <v>7</v>
      </c>
      <c r="R444">
        <v>6</v>
      </c>
      <c r="S444">
        <v>0</v>
      </c>
      <c r="T444">
        <v>0</v>
      </c>
      <c r="U444" s="8">
        <v>96.95</v>
      </c>
      <c r="V444" s="8">
        <f t="shared" si="6"/>
        <v>10</v>
      </c>
    </row>
    <row r="445" spans="1:22" x14ac:dyDescent="0.3">
      <c r="A445" t="s">
        <v>154</v>
      </c>
      <c r="B445">
        <v>1</v>
      </c>
      <c r="C445" t="s">
        <v>115</v>
      </c>
      <c r="D445" t="s">
        <v>17</v>
      </c>
      <c r="E445" t="s">
        <v>266</v>
      </c>
      <c r="F445" t="s">
        <v>169</v>
      </c>
      <c r="G445" t="s">
        <v>134</v>
      </c>
      <c r="H445">
        <v>14</v>
      </c>
      <c r="I445">
        <v>15</v>
      </c>
      <c r="J445">
        <v>93.33</v>
      </c>
      <c r="K445" t="s">
        <v>245</v>
      </c>
      <c r="L445">
        <v>18.329999999999998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 s="8">
        <v>18.329999999999998</v>
      </c>
      <c r="V445" s="8">
        <f t="shared" si="6"/>
        <v>2</v>
      </c>
    </row>
    <row r="446" spans="1:22" x14ac:dyDescent="0.3">
      <c r="A446" t="s">
        <v>154</v>
      </c>
      <c r="B446">
        <v>1</v>
      </c>
      <c r="C446" t="s">
        <v>119</v>
      </c>
      <c r="D446" t="s">
        <v>95</v>
      </c>
      <c r="E446" t="s">
        <v>266</v>
      </c>
      <c r="F446" t="s">
        <v>169</v>
      </c>
      <c r="G446" t="s">
        <v>134</v>
      </c>
      <c r="H446">
        <v>29</v>
      </c>
      <c r="I446">
        <v>19</v>
      </c>
      <c r="J446">
        <v>152.63</v>
      </c>
      <c r="K446" t="s">
        <v>246</v>
      </c>
      <c r="L446">
        <v>39.26</v>
      </c>
      <c r="M446">
        <v>3</v>
      </c>
      <c r="N446">
        <v>0</v>
      </c>
      <c r="O446">
        <v>25</v>
      </c>
      <c r="P446">
        <v>0</v>
      </c>
      <c r="Q446">
        <v>8.33</v>
      </c>
      <c r="R446">
        <v>-16.66</v>
      </c>
      <c r="S446">
        <v>0</v>
      </c>
      <c r="T446">
        <v>0</v>
      </c>
      <c r="U446" s="8">
        <v>22.6</v>
      </c>
      <c r="V446" s="8">
        <f t="shared" si="6"/>
        <v>2</v>
      </c>
    </row>
    <row r="447" spans="1:22" x14ac:dyDescent="0.3">
      <c r="A447" t="s">
        <v>154</v>
      </c>
      <c r="B447">
        <v>1</v>
      </c>
      <c r="C447" t="s">
        <v>123</v>
      </c>
      <c r="D447" t="s">
        <v>98</v>
      </c>
      <c r="E447" t="s">
        <v>266</v>
      </c>
      <c r="F447" t="s">
        <v>169</v>
      </c>
      <c r="G447" t="s">
        <v>135</v>
      </c>
      <c r="H447">
        <v>11</v>
      </c>
      <c r="I447">
        <v>4</v>
      </c>
      <c r="J447">
        <v>275</v>
      </c>
      <c r="K447" t="s">
        <v>96</v>
      </c>
      <c r="L447">
        <v>38.5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 s="8">
        <v>38.5</v>
      </c>
      <c r="V447" s="8">
        <f t="shared" si="6"/>
        <v>4</v>
      </c>
    </row>
    <row r="448" spans="1:22" x14ac:dyDescent="0.3">
      <c r="A448" t="s">
        <v>154</v>
      </c>
      <c r="B448">
        <v>1</v>
      </c>
      <c r="C448" t="s">
        <v>127</v>
      </c>
      <c r="D448" t="s">
        <v>100</v>
      </c>
      <c r="E448" t="s">
        <v>266</v>
      </c>
      <c r="F448" t="s">
        <v>101</v>
      </c>
      <c r="G448" t="s">
        <v>104</v>
      </c>
      <c r="H448">
        <v>0</v>
      </c>
      <c r="I448">
        <v>0</v>
      </c>
      <c r="J448">
        <v>0</v>
      </c>
      <c r="K448" t="s">
        <v>104</v>
      </c>
      <c r="L448">
        <v>0</v>
      </c>
      <c r="M448">
        <v>4</v>
      </c>
      <c r="N448">
        <v>0</v>
      </c>
      <c r="O448">
        <v>15</v>
      </c>
      <c r="P448">
        <v>4</v>
      </c>
      <c r="Q448">
        <v>3.75</v>
      </c>
      <c r="R448">
        <v>65</v>
      </c>
      <c r="S448">
        <v>0</v>
      </c>
      <c r="T448">
        <v>0</v>
      </c>
      <c r="U448" s="8">
        <v>65</v>
      </c>
      <c r="V448" s="8">
        <f t="shared" si="6"/>
        <v>7</v>
      </c>
    </row>
    <row r="449" spans="1:22" x14ac:dyDescent="0.3">
      <c r="A449" t="s">
        <v>154</v>
      </c>
      <c r="B449">
        <v>1</v>
      </c>
      <c r="C449" t="s">
        <v>121</v>
      </c>
      <c r="D449" t="s">
        <v>108</v>
      </c>
      <c r="E449" t="s">
        <v>266</v>
      </c>
      <c r="F449" t="s">
        <v>169</v>
      </c>
      <c r="G449" t="s">
        <v>104</v>
      </c>
      <c r="H449">
        <v>0</v>
      </c>
      <c r="I449">
        <v>0</v>
      </c>
      <c r="J449">
        <v>0</v>
      </c>
      <c r="K449" t="s">
        <v>104</v>
      </c>
      <c r="L449">
        <v>0</v>
      </c>
      <c r="M449">
        <v>1</v>
      </c>
      <c r="N449">
        <v>0</v>
      </c>
      <c r="O449">
        <v>2</v>
      </c>
      <c r="P449">
        <v>0</v>
      </c>
      <c r="Q449">
        <v>2</v>
      </c>
      <c r="R449">
        <v>-4</v>
      </c>
      <c r="S449">
        <v>0</v>
      </c>
      <c r="T449">
        <v>0</v>
      </c>
      <c r="U449" s="8">
        <v>-4</v>
      </c>
      <c r="V449" s="8">
        <f t="shared" si="6"/>
        <v>0</v>
      </c>
    </row>
    <row r="450" spans="1:22" x14ac:dyDescent="0.3">
      <c r="A450" t="s">
        <v>154</v>
      </c>
      <c r="B450">
        <v>1</v>
      </c>
      <c r="C450" t="s">
        <v>125</v>
      </c>
      <c r="D450" t="s">
        <v>111</v>
      </c>
      <c r="E450" t="s">
        <v>266</v>
      </c>
      <c r="F450" t="s">
        <v>169</v>
      </c>
      <c r="G450" t="s">
        <v>104</v>
      </c>
      <c r="H450">
        <v>0</v>
      </c>
      <c r="I450">
        <v>0</v>
      </c>
      <c r="J450">
        <v>0</v>
      </c>
      <c r="K450" t="s">
        <v>104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 s="8">
        <v>0</v>
      </c>
      <c r="V450" s="8">
        <f t="shared" si="6"/>
        <v>0</v>
      </c>
    </row>
    <row r="451" spans="1:22" x14ac:dyDescent="0.3">
      <c r="A451" t="s">
        <v>154</v>
      </c>
      <c r="B451">
        <v>1</v>
      </c>
      <c r="C451" t="s">
        <v>129</v>
      </c>
      <c r="D451" t="s">
        <v>103</v>
      </c>
      <c r="E451" t="s">
        <v>266</v>
      </c>
      <c r="F451" t="s">
        <v>101</v>
      </c>
      <c r="G451" t="s">
        <v>104</v>
      </c>
      <c r="H451">
        <v>0</v>
      </c>
      <c r="I451">
        <v>0</v>
      </c>
      <c r="J451">
        <v>0</v>
      </c>
      <c r="K451" t="s">
        <v>104</v>
      </c>
      <c r="L451">
        <v>0</v>
      </c>
      <c r="M451">
        <v>1</v>
      </c>
      <c r="N451">
        <v>0</v>
      </c>
      <c r="O451">
        <v>2</v>
      </c>
      <c r="P451">
        <v>1</v>
      </c>
      <c r="Q451">
        <v>2</v>
      </c>
      <c r="R451">
        <v>16</v>
      </c>
      <c r="S451">
        <v>0</v>
      </c>
      <c r="T451">
        <v>0</v>
      </c>
      <c r="U451" s="8">
        <v>16</v>
      </c>
      <c r="V451" s="8">
        <f t="shared" ref="V451:V514" si="7">MIN(10, MAX(0, ROUND(U451/10,0)))</f>
        <v>2</v>
      </c>
    </row>
    <row r="452" spans="1:22" x14ac:dyDescent="0.3">
      <c r="A452" t="s">
        <v>154</v>
      </c>
      <c r="B452">
        <v>1</v>
      </c>
      <c r="C452" t="s">
        <v>131</v>
      </c>
      <c r="D452" t="s">
        <v>106</v>
      </c>
      <c r="E452" t="s">
        <v>266</v>
      </c>
      <c r="F452" t="s">
        <v>101</v>
      </c>
      <c r="G452" t="s">
        <v>104</v>
      </c>
      <c r="H452">
        <v>0</v>
      </c>
      <c r="I452">
        <v>0</v>
      </c>
      <c r="J452">
        <v>0</v>
      </c>
      <c r="K452" t="s">
        <v>104</v>
      </c>
      <c r="L452">
        <v>0</v>
      </c>
      <c r="M452">
        <v>2.4</v>
      </c>
      <c r="N452">
        <v>1</v>
      </c>
      <c r="O452">
        <v>24</v>
      </c>
      <c r="P452">
        <v>2</v>
      </c>
      <c r="Q452">
        <v>9</v>
      </c>
      <c r="R452">
        <v>22</v>
      </c>
      <c r="S452">
        <v>0</v>
      </c>
      <c r="T452">
        <v>0</v>
      </c>
      <c r="U452" s="8">
        <v>22</v>
      </c>
      <c r="V452" s="8">
        <f t="shared" si="7"/>
        <v>2</v>
      </c>
    </row>
    <row r="453" spans="1:22" x14ac:dyDescent="0.3">
      <c r="A453" t="s">
        <v>154</v>
      </c>
      <c r="B453">
        <v>1</v>
      </c>
      <c r="C453" t="s">
        <v>217</v>
      </c>
      <c r="D453" t="s">
        <v>218</v>
      </c>
      <c r="E453" t="s">
        <v>219</v>
      </c>
      <c r="F453" t="s">
        <v>85</v>
      </c>
      <c r="G453" t="s">
        <v>86</v>
      </c>
      <c r="H453">
        <v>11</v>
      </c>
      <c r="I453">
        <v>6</v>
      </c>
      <c r="J453">
        <v>183.33</v>
      </c>
      <c r="K453" t="s">
        <v>246</v>
      </c>
      <c r="L453">
        <v>24.33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 s="8">
        <v>24.33</v>
      </c>
      <c r="V453" s="8">
        <f t="shared" si="7"/>
        <v>2</v>
      </c>
    </row>
    <row r="454" spans="1:22" x14ac:dyDescent="0.3">
      <c r="A454" t="s">
        <v>154</v>
      </c>
      <c r="B454">
        <v>1</v>
      </c>
      <c r="C454" t="s">
        <v>220</v>
      </c>
      <c r="D454" t="s">
        <v>221</v>
      </c>
      <c r="E454" t="s">
        <v>219</v>
      </c>
      <c r="F454" t="s">
        <v>109</v>
      </c>
      <c r="G454" t="s">
        <v>92</v>
      </c>
      <c r="H454">
        <v>1</v>
      </c>
      <c r="I454">
        <v>8</v>
      </c>
      <c r="J454">
        <v>12.5</v>
      </c>
      <c r="K454" t="s">
        <v>246</v>
      </c>
      <c r="L454">
        <v>-2.75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 s="8">
        <v>-2.75</v>
      </c>
      <c r="V454" s="8">
        <f t="shared" si="7"/>
        <v>0</v>
      </c>
    </row>
    <row r="455" spans="1:22" x14ac:dyDescent="0.3">
      <c r="A455" t="s">
        <v>154</v>
      </c>
      <c r="B455">
        <v>1</v>
      </c>
      <c r="C455" t="s">
        <v>229</v>
      </c>
      <c r="D455" t="s">
        <v>230</v>
      </c>
      <c r="E455" t="s">
        <v>219</v>
      </c>
      <c r="F455" t="s">
        <v>109</v>
      </c>
      <c r="G455" t="s">
        <v>92</v>
      </c>
      <c r="H455">
        <v>43</v>
      </c>
      <c r="I455">
        <v>27</v>
      </c>
      <c r="J455">
        <v>159.26</v>
      </c>
      <c r="K455" t="s">
        <v>246</v>
      </c>
      <c r="L455">
        <v>53.93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 s="8">
        <v>53.93</v>
      </c>
      <c r="V455" s="8">
        <f t="shared" si="7"/>
        <v>5</v>
      </c>
    </row>
    <row r="456" spans="1:22" x14ac:dyDescent="0.3">
      <c r="A456" t="s">
        <v>154</v>
      </c>
      <c r="B456">
        <v>1</v>
      </c>
      <c r="C456" t="s">
        <v>222</v>
      </c>
      <c r="D456" t="s">
        <v>223</v>
      </c>
      <c r="E456" t="s">
        <v>219</v>
      </c>
      <c r="F456" t="s">
        <v>169</v>
      </c>
      <c r="G456" t="s">
        <v>92</v>
      </c>
      <c r="H456">
        <v>7</v>
      </c>
      <c r="I456">
        <v>6</v>
      </c>
      <c r="J456">
        <v>116.67</v>
      </c>
      <c r="K456" t="s">
        <v>256</v>
      </c>
      <c r="L456">
        <v>8.67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 s="8">
        <v>8.67</v>
      </c>
      <c r="V456" s="8">
        <f t="shared" si="7"/>
        <v>1</v>
      </c>
    </row>
    <row r="457" spans="1:22" x14ac:dyDescent="0.3">
      <c r="A457" t="s">
        <v>154</v>
      </c>
      <c r="B457">
        <v>1</v>
      </c>
      <c r="C457" t="s">
        <v>226</v>
      </c>
      <c r="D457" t="s">
        <v>211</v>
      </c>
      <c r="E457" t="s">
        <v>219</v>
      </c>
      <c r="F457" t="s">
        <v>169</v>
      </c>
      <c r="G457" t="s">
        <v>134</v>
      </c>
      <c r="H457">
        <v>14</v>
      </c>
      <c r="I457">
        <v>12</v>
      </c>
      <c r="J457">
        <v>116.67</v>
      </c>
      <c r="K457" t="s">
        <v>246</v>
      </c>
      <c r="L457">
        <v>20.67</v>
      </c>
      <c r="M457">
        <v>3</v>
      </c>
      <c r="N457">
        <v>0</v>
      </c>
      <c r="O457">
        <v>20</v>
      </c>
      <c r="P457">
        <v>0</v>
      </c>
      <c r="Q457">
        <v>6.67</v>
      </c>
      <c r="R457">
        <v>-13.34</v>
      </c>
      <c r="S457">
        <v>0</v>
      </c>
      <c r="T457">
        <v>0</v>
      </c>
      <c r="U457" s="8">
        <v>7.33</v>
      </c>
      <c r="V457" s="8">
        <f t="shared" si="7"/>
        <v>1</v>
      </c>
    </row>
    <row r="458" spans="1:22" x14ac:dyDescent="0.3">
      <c r="A458" t="s">
        <v>154</v>
      </c>
      <c r="B458">
        <v>1</v>
      </c>
      <c r="C458" t="s">
        <v>224</v>
      </c>
      <c r="D458" t="s">
        <v>225</v>
      </c>
      <c r="E458" t="s">
        <v>219</v>
      </c>
      <c r="F458" t="s">
        <v>169</v>
      </c>
      <c r="G458" t="s">
        <v>134</v>
      </c>
      <c r="H458">
        <v>16</v>
      </c>
      <c r="I458">
        <v>20</v>
      </c>
      <c r="J458">
        <v>80</v>
      </c>
      <c r="K458" t="s">
        <v>246</v>
      </c>
      <c r="L458">
        <v>19</v>
      </c>
      <c r="M458">
        <v>4</v>
      </c>
      <c r="N458">
        <v>0</v>
      </c>
      <c r="O458">
        <v>39</v>
      </c>
      <c r="P458">
        <v>0</v>
      </c>
      <c r="Q458">
        <v>9.75</v>
      </c>
      <c r="R458">
        <v>-19.5</v>
      </c>
      <c r="S458">
        <v>0</v>
      </c>
      <c r="T458">
        <v>0</v>
      </c>
      <c r="U458" s="8">
        <v>-0.5</v>
      </c>
      <c r="V458" s="8">
        <f t="shared" si="7"/>
        <v>0</v>
      </c>
    </row>
    <row r="459" spans="1:22" x14ac:dyDescent="0.3">
      <c r="A459" t="s">
        <v>154</v>
      </c>
      <c r="B459">
        <v>1</v>
      </c>
      <c r="C459" t="s">
        <v>227</v>
      </c>
      <c r="D459" t="s">
        <v>228</v>
      </c>
      <c r="E459" t="s">
        <v>219</v>
      </c>
      <c r="F459" t="s">
        <v>109</v>
      </c>
      <c r="G459" t="s">
        <v>134</v>
      </c>
      <c r="H459">
        <v>0</v>
      </c>
      <c r="I459">
        <v>1</v>
      </c>
      <c r="J459">
        <v>0</v>
      </c>
      <c r="K459" t="s">
        <v>245</v>
      </c>
      <c r="L459">
        <v>-5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 s="8">
        <v>-5</v>
      </c>
      <c r="V459" s="8">
        <f t="shared" si="7"/>
        <v>0</v>
      </c>
    </row>
    <row r="460" spans="1:22" x14ac:dyDescent="0.3">
      <c r="A460" t="s">
        <v>154</v>
      </c>
      <c r="B460">
        <v>1</v>
      </c>
      <c r="C460" t="s">
        <v>233</v>
      </c>
      <c r="D460" t="s">
        <v>234</v>
      </c>
      <c r="E460" t="s">
        <v>219</v>
      </c>
      <c r="F460" t="s">
        <v>101</v>
      </c>
      <c r="G460" t="s">
        <v>134</v>
      </c>
      <c r="H460">
        <v>0</v>
      </c>
      <c r="I460">
        <v>1</v>
      </c>
      <c r="J460">
        <v>0</v>
      </c>
      <c r="K460" t="s">
        <v>245</v>
      </c>
      <c r="L460">
        <v>-5</v>
      </c>
      <c r="M460">
        <v>4</v>
      </c>
      <c r="N460">
        <v>0</v>
      </c>
      <c r="O460">
        <v>39</v>
      </c>
      <c r="P460">
        <v>2</v>
      </c>
      <c r="Q460">
        <v>9.75</v>
      </c>
      <c r="R460">
        <v>20.5</v>
      </c>
      <c r="S460">
        <v>0</v>
      </c>
      <c r="T460">
        <v>0</v>
      </c>
      <c r="U460" s="8">
        <v>15.5</v>
      </c>
      <c r="V460" s="8">
        <f t="shared" si="7"/>
        <v>2</v>
      </c>
    </row>
    <row r="461" spans="1:22" x14ac:dyDescent="0.3">
      <c r="A461" t="s">
        <v>154</v>
      </c>
      <c r="B461">
        <v>1</v>
      </c>
      <c r="C461" t="s">
        <v>235</v>
      </c>
      <c r="D461" t="s">
        <v>236</v>
      </c>
      <c r="E461" t="s">
        <v>219</v>
      </c>
      <c r="F461" t="s">
        <v>101</v>
      </c>
      <c r="G461" t="s">
        <v>134</v>
      </c>
      <c r="H461">
        <v>5</v>
      </c>
      <c r="I461">
        <v>11</v>
      </c>
      <c r="J461">
        <v>45.45</v>
      </c>
      <c r="K461" t="s">
        <v>245</v>
      </c>
      <c r="L461">
        <v>4.55</v>
      </c>
      <c r="M461">
        <v>3</v>
      </c>
      <c r="N461">
        <v>0</v>
      </c>
      <c r="O461">
        <v>17</v>
      </c>
      <c r="P461">
        <v>1</v>
      </c>
      <c r="Q461">
        <v>5.67</v>
      </c>
      <c r="R461">
        <v>8.66</v>
      </c>
      <c r="S461">
        <v>0</v>
      </c>
      <c r="T461">
        <v>0</v>
      </c>
      <c r="U461" s="8">
        <v>13.21</v>
      </c>
      <c r="V461" s="8">
        <f t="shared" si="7"/>
        <v>1</v>
      </c>
    </row>
    <row r="462" spans="1:22" x14ac:dyDescent="0.3">
      <c r="A462" t="s">
        <v>154</v>
      </c>
      <c r="B462">
        <v>1</v>
      </c>
      <c r="C462" t="s">
        <v>237</v>
      </c>
      <c r="D462" t="s">
        <v>238</v>
      </c>
      <c r="E462" t="s">
        <v>219</v>
      </c>
      <c r="F462" t="s">
        <v>101</v>
      </c>
      <c r="G462" t="s">
        <v>134</v>
      </c>
      <c r="H462">
        <v>5</v>
      </c>
      <c r="I462">
        <v>9</v>
      </c>
      <c r="J462">
        <v>55.56</v>
      </c>
      <c r="K462" t="s">
        <v>247</v>
      </c>
      <c r="L462">
        <v>5.56</v>
      </c>
      <c r="M462">
        <v>4</v>
      </c>
      <c r="N462">
        <v>0</v>
      </c>
      <c r="O462">
        <v>36</v>
      </c>
      <c r="P462">
        <v>0</v>
      </c>
      <c r="Q462">
        <v>9</v>
      </c>
      <c r="R462">
        <v>-18</v>
      </c>
      <c r="S462">
        <v>0</v>
      </c>
      <c r="T462">
        <v>0</v>
      </c>
      <c r="U462" s="8">
        <v>-12.44</v>
      </c>
      <c r="V462" s="8">
        <f t="shared" si="7"/>
        <v>0</v>
      </c>
    </row>
    <row r="463" spans="1:22" x14ac:dyDescent="0.3">
      <c r="A463" t="s">
        <v>154</v>
      </c>
      <c r="B463">
        <v>1</v>
      </c>
      <c r="C463" t="s">
        <v>314</v>
      </c>
      <c r="D463" t="s">
        <v>315</v>
      </c>
      <c r="E463" t="s">
        <v>219</v>
      </c>
      <c r="F463" t="s">
        <v>169</v>
      </c>
      <c r="G463" t="s">
        <v>135</v>
      </c>
      <c r="H463">
        <v>0</v>
      </c>
      <c r="I463">
        <v>5</v>
      </c>
      <c r="J463">
        <v>0</v>
      </c>
      <c r="K463" t="s">
        <v>96</v>
      </c>
      <c r="L463">
        <v>0</v>
      </c>
      <c r="M463">
        <v>2</v>
      </c>
      <c r="N463">
        <v>0</v>
      </c>
      <c r="O463">
        <v>25</v>
      </c>
      <c r="P463">
        <v>1</v>
      </c>
      <c r="Q463">
        <v>12.5</v>
      </c>
      <c r="R463">
        <v>-5</v>
      </c>
      <c r="S463">
        <v>0</v>
      </c>
      <c r="T463">
        <v>0</v>
      </c>
      <c r="U463" s="8">
        <v>-5</v>
      </c>
      <c r="V463" s="8">
        <f t="shared" si="7"/>
        <v>0</v>
      </c>
    </row>
    <row r="464" spans="1:22" x14ac:dyDescent="0.3">
      <c r="A464" t="s">
        <v>327</v>
      </c>
      <c r="B464">
        <v>1</v>
      </c>
      <c r="C464" t="s">
        <v>190</v>
      </c>
      <c r="D464" t="s">
        <v>191</v>
      </c>
      <c r="E464" t="s">
        <v>158</v>
      </c>
      <c r="F464" t="s">
        <v>109</v>
      </c>
      <c r="G464" t="s">
        <v>86</v>
      </c>
      <c r="H464">
        <v>35</v>
      </c>
      <c r="I464">
        <v>29</v>
      </c>
      <c r="J464">
        <v>120.69</v>
      </c>
      <c r="K464" t="s">
        <v>256</v>
      </c>
      <c r="L464">
        <v>42.07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 s="8">
        <v>42.07</v>
      </c>
      <c r="V464" s="8">
        <f t="shared" si="7"/>
        <v>4</v>
      </c>
    </row>
    <row r="465" spans="1:22" x14ac:dyDescent="0.3">
      <c r="A465" t="s">
        <v>327</v>
      </c>
      <c r="B465">
        <v>1</v>
      </c>
      <c r="C465" t="s">
        <v>188</v>
      </c>
      <c r="D465" t="s">
        <v>189</v>
      </c>
      <c r="E465" t="s">
        <v>158</v>
      </c>
      <c r="F465" t="s">
        <v>109</v>
      </c>
      <c r="G465" t="s">
        <v>92</v>
      </c>
      <c r="H465">
        <v>11</v>
      </c>
      <c r="I465">
        <v>4</v>
      </c>
      <c r="J465">
        <v>275</v>
      </c>
      <c r="K465" t="s">
        <v>246</v>
      </c>
      <c r="L465">
        <v>33.5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 s="8">
        <v>33.5</v>
      </c>
      <c r="V465" s="8">
        <f t="shared" si="7"/>
        <v>3</v>
      </c>
    </row>
    <row r="466" spans="1:22" x14ac:dyDescent="0.3">
      <c r="A466" t="s">
        <v>327</v>
      </c>
      <c r="B466">
        <v>1</v>
      </c>
      <c r="C466" t="s">
        <v>196</v>
      </c>
      <c r="D466" t="s">
        <v>197</v>
      </c>
      <c r="E466" t="s">
        <v>158</v>
      </c>
      <c r="F466" t="s">
        <v>109</v>
      </c>
      <c r="G466" t="s">
        <v>92</v>
      </c>
      <c r="H466">
        <v>0</v>
      </c>
      <c r="I466">
        <v>2</v>
      </c>
      <c r="J466">
        <v>0</v>
      </c>
      <c r="K466" t="s">
        <v>246</v>
      </c>
      <c r="L466">
        <v>-5</v>
      </c>
      <c r="M466">
        <v>3.3</v>
      </c>
      <c r="N466">
        <v>0</v>
      </c>
      <c r="O466">
        <v>34</v>
      </c>
      <c r="P466">
        <v>0</v>
      </c>
      <c r="Q466">
        <v>10.3</v>
      </c>
      <c r="R466">
        <v>-20.6</v>
      </c>
      <c r="S466">
        <v>0</v>
      </c>
      <c r="T466">
        <v>0</v>
      </c>
      <c r="U466" s="8">
        <v>-25.6</v>
      </c>
      <c r="V466" s="8">
        <f t="shared" si="7"/>
        <v>0</v>
      </c>
    </row>
    <row r="467" spans="1:22" x14ac:dyDescent="0.3">
      <c r="A467" t="s">
        <v>327</v>
      </c>
      <c r="B467">
        <v>1</v>
      </c>
      <c r="C467" t="s">
        <v>194</v>
      </c>
      <c r="D467" t="s">
        <v>195</v>
      </c>
      <c r="E467" t="s">
        <v>158</v>
      </c>
      <c r="F467" t="s">
        <v>109</v>
      </c>
      <c r="G467" t="s">
        <v>134</v>
      </c>
      <c r="H467">
        <v>9</v>
      </c>
      <c r="I467">
        <v>8</v>
      </c>
      <c r="J467">
        <v>112.5</v>
      </c>
      <c r="K467" t="s">
        <v>246</v>
      </c>
      <c r="L467">
        <v>15.25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 s="8">
        <v>15.25</v>
      </c>
      <c r="V467" s="8">
        <f t="shared" si="7"/>
        <v>2</v>
      </c>
    </row>
    <row r="468" spans="1:22" x14ac:dyDescent="0.3">
      <c r="A468" t="s">
        <v>327</v>
      </c>
      <c r="B468">
        <v>1</v>
      </c>
      <c r="C468" t="s">
        <v>192</v>
      </c>
      <c r="D468" t="s">
        <v>193</v>
      </c>
      <c r="E468" t="s">
        <v>158</v>
      </c>
      <c r="F468" t="s">
        <v>169</v>
      </c>
      <c r="G468" t="s">
        <v>134</v>
      </c>
      <c r="H468">
        <v>18</v>
      </c>
      <c r="I468">
        <v>21</v>
      </c>
      <c r="J468">
        <v>85.71</v>
      </c>
      <c r="K468" t="s">
        <v>246</v>
      </c>
      <c r="L468">
        <v>21.57</v>
      </c>
      <c r="M468">
        <v>4</v>
      </c>
      <c r="N468">
        <v>0</v>
      </c>
      <c r="O468">
        <v>22</v>
      </c>
      <c r="P468">
        <v>0</v>
      </c>
      <c r="Q468">
        <v>5.5</v>
      </c>
      <c r="R468">
        <v>-11</v>
      </c>
      <c r="S468">
        <v>0</v>
      </c>
      <c r="T468">
        <v>0</v>
      </c>
      <c r="U468" s="8">
        <v>10.57</v>
      </c>
      <c r="V468" s="8">
        <f t="shared" si="7"/>
        <v>1</v>
      </c>
    </row>
    <row r="469" spans="1:22" x14ac:dyDescent="0.3">
      <c r="A469" t="s">
        <v>327</v>
      </c>
      <c r="B469">
        <v>1</v>
      </c>
      <c r="C469" t="s">
        <v>198</v>
      </c>
      <c r="D469" t="s">
        <v>199</v>
      </c>
      <c r="E469" t="s">
        <v>158</v>
      </c>
      <c r="F469" t="s">
        <v>101</v>
      </c>
      <c r="G469" t="s">
        <v>134</v>
      </c>
      <c r="H469">
        <v>2</v>
      </c>
      <c r="I469">
        <v>11</v>
      </c>
      <c r="J469">
        <v>18.18</v>
      </c>
      <c r="K469" t="s">
        <v>246</v>
      </c>
      <c r="L469">
        <v>-1.18</v>
      </c>
      <c r="M469">
        <v>4</v>
      </c>
      <c r="N469">
        <v>0</v>
      </c>
      <c r="O469">
        <v>28</v>
      </c>
      <c r="P469">
        <v>1</v>
      </c>
      <c r="Q469">
        <v>7</v>
      </c>
      <c r="R469">
        <v>6</v>
      </c>
      <c r="S469">
        <v>0</v>
      </c>
      <c r="T469">
        <v>0</v>
      </c>
      <c r="U469" s="8">
        <v>4.82</v>
      </c>
      <c r="V469" s="8">
        <f t="shared" si="7"/>
        <v>0</v>
      </c>
    </row>
    <row r="470" spans="1:22" x14ac:dyDescent="0.3">
      <c r="A470" t="s">
        <v>327</v>
      </c>
      <c r="B470">
        <v>1</v>
      </c>
      <c r="C470" t="s">
        <v>202</v>
      </c>
      <c r="D470" t="s">
        <v>203</v>
      </c>
      <c r="E470" t="s">
        <v>158</v>
      </c>
      <c r="F470" t="s">
        <v>101</v>
      </c>
      <c r="G470" t="s">
        <v>134</v>
      </c>
      <c r="H470">
        <v>0</v>
      </c>
      <c r="I470">
        <v>5</v>
      </c>
      <c r="J470">
        <v>0</v>
      </c>
      <c r="K470" t="s">
        <v>246</v>
      </c>
      <c r="L470">
        <v>-5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 s="8">
        <v>-5</v>
      </c>
      <c r="V470" s="8">
        <f t="shared" si="7"/>
        <v>0</v>
      </c>
    </row>
    <row r="471" spans="1:22" x14ac:dyDescent="0.3">
      <c r="A471" t="s">
        <v>327</v>
      </c>
      <c r="B471">
        <v>1</v>
      </c>
      <c r="C471" t="s">
        <v>204</v>
      </c>
      <c r="D471" t="s">
        <v>205</v>
      </c>
      <c r="E471" t="s">
        <v>158</v>
      </c>
      <c r="F471" t="s">
        <v>169</v>
      </c>
      <c r="G471" t="s">
        <v>134</v>
      </c>
      <c r="H471">
        <v>27</v>
      </c>
      <c r="I471">
        <v>17</v>
      </c>
      <c r="J471">
        <v>158.82</v>
      </c>
      <c r="K471" t="s">
        <v>96</v>
      </c>
      <c r="L471">
        <v>42.88</v>
      </c>
      <c r="M471">
        <v>4</v>
      </c>
      <c r="N471">
        <v>0</v>
      </c>
      <c r="O471">
        <v>23</v>
      </c>
      <c r="P471">
        <v>0</v>
      </c>
      <c r="Q471">
        <v>5.75</v>
      </c>
      <c r="R471">
        <v>-11.5</v>
      </c>
      <c r="S471">
        <v>0</v>
      </c>
      <c r="T471">
        <v>0</v>
      </c>
      <c r="U471" s="8">
        <v>31.38</v>
      </c>
      <c r="V471" s="8">
        <f t="shared" si="7"/>
        <v>3</v>
      </c>
    </row>
    <row r="472" spans="1:22" x14ac:dyDescent="0.3">
      <c r="A472" t="s">
        <v>327</v>
      </c>
      <c r="B472">
        <v>1</v>
      </c>
      <c r="C472" t="s">
        <v>274</v>
      </c>
      <c r="D472" t="s">
        <v>284</v>
      </c>
      <c r="E472" t="s">
        <v>158</v>
      </c>
      <c r="F472" t="s">
        <v>169</v>
      </c>
      <c r="G472" t="s">
        <v>135</v>
      </c>
      <c r="H472">
        <v>1</v>
      </c>
      <c r="I472">
        <v>9</v>
      </c>
      <c r="J472">
        <v>11.11</v>
      </c>
      <c r="K472" t="s">
        <v>248</v>
      </c>
      <c r="L472">
        <v>-2.89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 s="8">
        <v>-2.89</v>
      </c>
      <c r="V472" s="8">
        <f t="shared" si="7"/>
        <v>0</v>
      </c>
    </row>
    <row r="473" spans="1:22" x14ac:dyDescent="0.3">
      <c r="A473" t="s">
        <v>327</v>
      </c>
      <c r="B473">
        <v>1</v>
      </c>
      <c r="C473" t="s">
        <v>200</v>
      </c>
      <c r="D473" t="s">
        <v>201</v>
      </c>
      <c r="E473" t="s">
        <v>158</v>
      </c>
      <c r="F473" t="s">
        <v>85</v>
      </c>
      <c r="G473" t="s">
        <v>135</v>
      </c>
      <c r="H473">
        <v>0</v>
      </c>
      <c r="I473">
        <v>2</v>
      </c>
      <c r="J473">
        <v>0</v>
      </c>
      <c r="K473" t="s">
        <v>245</v>
      </c>
      <c r="L473">
        <v>-5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 s="8">
        <v>-5</v>
      </c>
      <c r="V473" s="8">
        <f t="shared" si="7"/>
        <v>0</v>
      </c>
    </row>
    <row r="474" spans="1:22" x14ac:dyDescent="0.3">
      <c r="A474" t="s">
        <v>327</v>
      </c>
      <c r="B474">
        <v>1</v>
      </c>
      <c r="C474" t="s">
        <v>206</v>
      </c>
      <c r="D474" t="s">
        <v>207</v>
      </c>
      <c r="E474" t="s">
        <v>158</v>
      </c>
      <c r="F474" t="s">
        <v>101</v>
      </c>
      <c r="G474" t="s">
        <v>135</v>
      </c>
      <c r="H474">
        <v>27</v>
      </c>
      <c r="I474">
        <v>12</v>
      </c>
      <c r="J474">
        <v>225</v>
      </c>
      <c r="K474" t="s">
        <v>96</v>
      </c>
      <c r="L474">
        <v>49.5</v>
      </c>
      <c r="M474">
        <v>4</v>
      </c>
      <c r="N474">
        <v>0</v>
      </c>
      <c r="O474">
        <v>24</v>
      </c>
      <c r="P474">
        <v>1</v>
      </c>
      <c r="Q474">
        <v>6</v>
      </c>
      <c r="R474">
        <v>8</v>
      </c>
      <c r="S474">
        <v>0</v>
      </c>
      <c r="T474">
        <v>0</v>
      </c>
      <c r="U474" s="8">
        <v>57.5</v>
      </c>
      <c r="V474" s="8">
        <f t="shared" si="7"/>
        <v>6</v>
      </c>
    </row>
    <row r="475" spans="1:22" x14ac:dyDescent="0.3">
      <c r="A475" t="s">
        <v>327</v>
      </c>
      <c r="B475">
        <v>1</v>
      </c>
      <c r="C475" t="s">
        <v>112</v>
      </c>
      <c r="D475" t="s">
        <v>88</v>
      </c>
      <c r="E475" t="s">
        <v>266</v>
      </c>
      <c r="F475" t="s">
        <v>169</v>
      </c>
      <c r="G475" t="s">
        <v>86</v>
      </c>
      <c r="H475">
        <v>13</v>
      </c>
      <c r="I475">
        <v>12</v>
      </c>
      <c r="J475">
        <v>108.33</v>
      </c>
      <c r="K475" t="s">
        <v>246</v>
      </c>
      <c r="L475">
        <v>18.829999999999998</v>
      </c>
      <c r="M475">
        <v>4</v>
      </c>
      <c r="N475">
        <v>2</v>
      </c>
      <c r="O475">
        <v>5</v>
      </c>
      <c r="P475">
        <v>3</v>
      </c>
      <c r="Q475">
        <v>1.25</v>
      </c>
      <c r="R475">
        <v>55</v>
      </c>
      <c r="S475">
        <v>0</v>
      </c>
      <c r="T475">
        <v>0</v>
      </c>
      <c r="U475" s="8">
        <v>73.83</v>
      </c>
      <c r="V475" s="8">
        <f t="shared" si="7"/>
        <v>7</v>
      </c>
    </row>
    <row r="476" spans="1:22" x14ac:dyDescent="0.3">
      <c r="A476" t="s">
        <v>327</v>
      </c>
      <c r="B476">
        <v>1</v>
      </c>
      <c r="C476" t="s">
        <v>113</v>
      </c>
      <c r="D476" t="s">
        <v>84</v>
      </c>
      <c r="E476" t="s">
        <v>266</v>
      </c>
      <c r="F476" t="s">
        <v>85</v>
      </c>
      <c r="G476" t="s">
        <v>86</v>
      </c>
      <c r="H476">
        <v>4</v>
      </c>
      <c r="I476">
        <v>3</v>
      </c>
      <c r="J476">
        <v>133.33000000000001</v>
      </c>
      <c r="K476" t="s">
        <v>246</v>
      </c>
      <c r="L476">
        <v>12.33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 s="8">
        <v>12.33</v>
      </c>
      <c r="V476" s="8">
        <f t="shared" si="7"/>
        <v>1</v>
      </c>
    </row>
    <row r="477" spans="1:22" x14ac:dyDescent="0.3">
      <c r="A477" t="s">
        <v>327</v>
      </c>
      <c r="B477">
        <v>1</v>
      </c>
      <c r="C477" t="s">
        <v>117</v>
      </c>
      <c r="D477" t="s">
        <v>90</v>
      </c>
      <c r="E477" t="s">
        <v>266</v>
      </c>
      <c r="F477" t="s">
        <v>169</v>
      </c>
      <c r="G477" t="s">
        <v>92</v>
      </c>
      <c r="H477">
        <v>60</v>
      </c>
      <c r="I477">
        <v>55</v>
      </c>
      <c r="J477">
        <v>109.09</v>
      </c>
      <c r="K477" t="s">
        <v>96</v>
      </c>
      <c r="L477">
        <v>70.91</v>
      </c>
      <c r="M477">
        <v>4</v>
      </c>
      <c r="N477">
        <v>0</v>
      </c>
      <c r="O477">
        <v>37</v>
      </c>
      <c r="P477">
        <v>0</v>
      </c>
      <c r="Q477">
        <v>9.25</v>
      </c>
      <c r="R477">
        <v>-18.5</v>
      </c>
      <c r="S477">
        <v>0</v>
      </c>
      <c r="T477">
        <v>0</v>
      </c>
      <c r="U477" s="8">
        <v>52.41</v>
      </c>
      <c r="V477" s="8">
        <f t="shared" si="7"/>
        <v>5</v>
      </c>
    </row>
    <row r="478" spans="1:22" x14ac:dyDescent="0.3">
      <c r="A478" t="s">
        <v>327</v>
      </c>
      <c r="B478">
        <v>1</v>
      </c>
      <c r="C478" t="s">
        <v>115</v>
      </c>
      <c r="D478" t="s">
        <v>17</v>
      </c>
      <c r="E478" t="s">
        <v>266</v>
      </c>
      <c r="F478" t="s">
        <v>169</v>
      </c>
      <c r="G478" t="s">
        <v>92</v>
      </c>
      <c r="H478">
        <v>37</v>
      </c>
      <c r="I478">
        <v>39</v>
      </c>
      <c r="J478">
        <v>94.87</v>
      </c>
      <c r="K478" t="s">
        <v>256</v>
      </c>
      <c r="L478">
        <v>41.49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 s="8">
        <v>41.49</v>
      </c>
      <c r="V478" s="8">
        <f t="shared" si="7"/>
        <v>4</v>
      </c>
    </row>
    <row r="479" spans="1:22" x14ac:dyDescent="0.3">
      <c r="A479" t="s">
        <v>327</v>
      </c>
      <c r="B479">
        <v>1</v>
      </c>
      <c r="C479" t="s">
        <v>119</v>
      </c>
      <c r="D479" t="s">
        <v>95</v>
      </c>
      <c r="E479" t="s">
        <v>266</v>
      </c>
      <c r="F479" t="s">
        <v>169</v>
      </c>
      <c r="G479" t="s">
        <v>134</v>
      </c>
      <c r="H479">
        <v>14</v>
      </c>
      <c r="I479">
        <v>8</v>
      </c>
      <c r="J479">
        <v>175</v>
      </c>
      <c r="K479" t="s">
        <v>96</v>
      </c>
      <c r="L479">
        <v>31.5</v>
      </c>
      <c r="M479">
        <v>4</v>
      </c>
      <c r="N479">
        <v>0</v>
      </c>
      <c r="O479">
        <v>18</v>
      </c>
      <c r="P479">
        <v>2</v>
      </c>
      <c r="Q479">
        <v>4.5</v>
      </c>
      <c r="R479">
        <v>31</v>
      </c>
      <c r="S479">
        <v>0</v>
      </c>
      <c r="T479">
        <v>0</v>
      </c>
      <c r="U479" s="8">
        <v>62.5</v>
      </c>
      <c r="V479" s="8">
        <f t="shared" si="7"/>
        <v>6</v>
      </c>
    </row>
    <row r="480" spans="1:22" x14ac:dyDescent="0.3">
      <c r="A480" t="s">
        <v>327</v>
      </c>
      <c r="B480">
        <v>1</v>
      </c>
      <c r="C480" t="s">
        <v>123</v>
      </c>
      <c r="D480" t="s">
        <v>98</v>
      </c>
      <c r="E480" t="s">
        <v>266</v>
      </c>
      <c r="F480" t="s">
        <v>169</v>
      </c>
      <c r="G480" t="s">
        <v>104</v>
      </c>
      <c r="H480">
        <v>0</v>
      </c>
      <c r="I480">
        <v>0</v>
      </c>
      <c r="J480">
        <v>0</v>
      </c>
      <c r="K480" t="s">
        <v>104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 s="8">
        <v>0</v>
      </c>
      <c r="V480" s="8">
        <f t="shared" si="7"/>
        <v>0</v>
      </c>
    </row>
    <row r="481" spans="1:22" x14ac:dyDescent="0.3">
      <c r="A481" t="s">
        <v>327</v>
      </c>
      <c r="B481">
        <v>1</v>
      </c>
      <c r="C481" t="s">
        <v>127</v>
      </c>
      <c r="D481" t="s">
        <v>100</v>
      </c>
      <c r="E481" t="s">
        <v>266</v>
      </c>
      <c r="F481" t="s">
        <v>101</v>
      </c>
      <c r="G481" t="s">
        <v>104</v>
      </c>
      <c r="H481">
        <v>0</v>
      </c>
      <c r="I481">
        <v>0</v>
      </c>
      <c r="J481">
        <v>0</v>
      </c>
      <c r="K481" t="s">
        <v>104</v>
      </c>
      <c r="L481">
        <v>0</v>
      </c>
      <c r="M481">
        <v>4</v>
      </c>
      <c r="N481">
        <v>0</v>
      </c>
      <c r="O481">
        <v>42</v>
      </c>
      <c r="P481">
        <v>3</v>
      </c>
      <c r="Q481">
        <v>10.5</v>
      </c>
      <c r="R481">
        <v>19</v>
      </c>
      <c r="S481">
        <v>0</v>
      </c>
      <c r="T481">
        <v>0</v>
      </c>
      <c r="U481" s="8">
        <v>19</v>
      </c>
      <c r="V481" s="8">
        <f t="shared" si="7"/>
        <v>2</v>
      </c>
    </row>
    <row r="482" spans="1:22" x14ac:dyDescent="0.3">
      <c r="A482" t="s">
        <v>327</v>
      </c>
      <c r="B482">
        <v>1</v>
      </c>
      <c r="C482" t="s">
        <v>121</v>
      </c>
      <c r="D482" t="s">
        <v>108</v>
      </c>
      <c r="E482" t="s">
        <v>266</v>
      </c>
      <c r="F482" t="s">
        <v>169</v>
      </c>
      <c r="G482" t="s">
        <v>104</v>
      </c>
      <c r="H482">
        <v>0</v>
      </c>
      <c r="I482">
        <v>0</v>
      </c>
      <c r="J482">
        <v>0</v>
      </c>
      <c r="K482" t="s">
        <v>104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 s="8">
        <v>0</v>
      </c>
      <c r="V482" s="8">
        <f t="shared" si="7"/>
        <v>0</v>
      </c>
    </row>
    <row r="483" spans="1:22" x14ac:dyDescent="0.3">
      <c r="A483" t="s">
        <v>327</v>
      </c>
      <c r="B483">
        <v>1</v>
      </c>
      <c r="C483" t="s">
        <v>125</v>
      </c>
      <c r="D483" t="s">
        <v>111</v>
      </c>
      <c r="E483" t="s">
        <v>266</v>
      </c>
      <c r="F483" t="s">
        <v>169</v>
      </c>
      <c r="G483" t="s">
        <v>104</v>
      </c>
      <c r="H483">
        <v>0</v>
      </c>
      <c r="I483">
        <v>0</v>
      </c>
      <c r="J483">
        <v>0</v>
      </c>
      <c r="K483" t="s">
        <v>104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 s="8">
        <v>0</v>
      </c>
      <c r="V483" s="8">
        <f t="shared" si="7"/>
        <v>0</v>
      </c>
    </row>
    <row r="484" spans="1:22" x14ac:dyDescent="0.3">
      <c r="A484" t="s">
        <v>327</v>
      </c>
      <c r="B484">
        <v>1</v>
      </c>
      <c r="C484" t="s">
        <v>129</v>
      </c>
      <c r="D484" t="s">
        <v>103</v>
      </c>
      <c r="E484" t="s">
        <v>266</v>
      </c>
      <c r="F484" t="s">
        <v>101</v>
      </c>
      <c r="G484" t="s">
        <v>104</v>
      </c>
      <c r="H484">
        <v>0</v>
      </c>
      <c r="I484">
        <v>0</v>
      </c>
      <c r="J484">
        <v>0</v>
      </c>
      <c r="K484" t="s">
        <v>104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 s="8">
        <v>0</v>
      </c>
      <c r="V484" s="8">
        <f t="shared" si="7"/>
        <v>0</v>
      </c>
    </row>
    <row r="485" spans="1:22" x14ac:dyDescent="0.3">
      <c r="A485" t="s">
        <v>327</v>
      </c>
      <c r="B485">
        <v>1</v>
      </c>
      <c r="C485" t="s">
        <v>131</v>
      </c>
      <c r="D485" t="s">
        <v>106</v>
      </c>
      <c r="E485" t="s">
        <v>266</v>
      </c>
      <c r="F485" t="s">
        <v>101</v>
      </c>
      <c r="G485" t="s">
        <v>104</v>
      </c>
      <c r="H485">
        <v>0</v>
      </c>
      <c r="I485">
        <v>0</v>
      </c>
      <c r="J485">
        <v>0</v>
      </c>
      <c r="K485" t="s">
        <v>104</v>
      </c>
      <c r="L485">
        <v>0</v>
      </c>
      <c r="M485">
        <v>4</v>
      </c>
      <c r="N485">
        <v>0</v>
      </c>
      <c r="O485">
        <v>28</v>
      </c>
      <c r="P485">
        <v>0</v>
      </c>
      <c r="Q485">
        <v>7</v>
      </c>
      <c r="R485">
        <v>-14</v>
      </c>
      <c r="S485">
        <v>0</v>
      </c>
      <c r="T485">
        <v>0</v>
      </c>
      <c r="U485" s="8">
        <v>-14</v>
      </c>
      <c r="V485" s="8">
        <f t="shared" si="7"/>
        <v>0</v>
      </c>
    </row>
    <row r="486" spans="1:22" x14ac:dyDescent="0.3">
      <c r="A486" t="s">
        <v>338</v>
      </c>
      <c r="B486">
        <v>2</v>
      </c>
      <c r="C486" t="s">
        <v>190</v>
      </c>
      <c r="D486" t="s">
        <v>191</v>
      </c>
      <c r="E486" t="s">
        <v>158</v>
      </c>
      <c r="F486" t="s">
        <v>109</v>
      </c>
      <c r="G486" t="s">
        <v>86</v>
      </c>
      <c r="H486">
        <v>31</v>
      </c>
      <c r="I486">
        <v>25</v>
      </c>
      <c r="J486">
        <v>124</v>
      </c>
      <c r="K486" t="s">
        <v>246</v>
      </c>
      <c r="L486">
        <v>38.4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 s="8">
        <v>38.4</v>
      </c>
      <c r="V486" s="8">
        <f t="shared" si="7"/>
        <v>4</v>
      </c>
    </row>
    <row r="487" spans="1:22" x14ac:dyDescent="0.3">
      <c r="A487" t="s">
        <v>338</v>
      </c>
      <c r="B487">
        <v>2</v>
      </c>
      <c r="C487" t="s">
        <v>188</v>
      </c>
      <c r="D487" t="s">
        <v>189</v>
      </c>
      <c r="E487" t="s">
        <v>158</v>
      </c>
      <c r="F487" t="s">
        <v>109</v>
      </c>
      <c r="G487" t="s">
        <v>86</v>
      </c>
      <c r="H487">
        <v>1</v>
      </c>
      <c r="I487">
        <v>8</v>
      </c>
      <c r="J487">
        <v>12.5</v>
      </c>
      <c r="K487" t="s">
        <v>245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 s="8">
        <v>0</v>
      </c>
      <c r="V487" s="8">
        <f t="shared" si="7"/>
        <v>0</v>
      </c>
    </row>
    <row r="488" spans="1:22" x14ac:dyDescent="0.3">
      <c r="A488" t="s">
        <v>338</v>
      </c>
      <c r="B488">
        <v>2</v>
      </c>
      <c r="C488" t="s">
        <v>196</v>
      </c>
      <c r="D488" t="s">
        <v>197</v>
      </c>
      <c r="E488" t="s">
        <v>158</v>
      </c>
      <c r="F488" t="s">
        <v>109</v>
      </c>
      <c r="G488" t="s">
        <v>92</v>
      </c>
      <c r="H488">
        <v>75</v>
      </c>
      <c r="I488">
        <v>53</v>
      </c>
      <c r="J488">
        <v>141.51</v>
      </c>
      <c r="K488" t="s">
        <v>247</v>
      </c>
      <c r="L488">
        <v>84.15</v>
      </c>
      <c r="M488">
        <v>2</v>
      </c>
      <c r="N488">
        <v>0</v>
      </c>
      <c r="O488">
        <v>23</v>
      </c>
      <c r="P488">
        <v>2</v>
      </c>
      <c r="Q488">
        <v>11.5</v>
      </c>
      <c r="R488">
        <v>20</v>
      </c>
      <c r="S488">
        <v>0</v>
      </c>
      <c r="T488">
        <v>0</v>
      </c>
      <c r="U488" s="8">
        <v>104.15</v>
      </c>
      <c r="V488" s="8">
        <f t="shared" si="7"/>
        <v>10</v>
      </c>
    </row>
    <row r="489" spans="1:22" x14ac:dyDescent="0.3">
      <c r="A489" t="s">
        <v>338</v>
      </c>
      <c r="B489">
        <v>2</v>
      </c>
      <c r="C489" t="s">
        <v>194</v>
      </c>
      <c r="D489" t="s">
        <v>195</v>
      </c>
      <c r="E489" t="s">
        <v>158</v>
      </c>
      <c r="F489" t="s">
        <v>109</v>
      </c>
      <c r="G489" t="s">
        <v>92</v>
      </c>
      <c r="H489">
        <v>42</v>
      </c>
      <c r="I489">
        <v>24</v>
      </c>
      <c r="J489">
        <v>175</v>
      </c>
      <c r="K489" t="s">
        <v>246</v>
      </c>
      <c r="L489">
        <v>54.5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 s="8">
        <v>54.5</v>
      </c>
      <c r="V489" s="8">
        <f t="shared" si="7"/>
        <v>5</v>
      </c>
    </row>
    <row r="490" spans="1:22" x14ac:dyDescent="0.3">
      <c r="A490" t="s">
        <v>338</v>
      </c>
      <c r="B490">
        <v>2</v>
      </c>
      <c r="C490" t="s">
        <v>192</v>
      </c>
      <c r="D490" t="s">
        <v>193</v>
      </c>
      <c r="E490" t="s">
        <v>158</v>
      </c>
      <c r="F490" t="s">
        <v>169</v>
      </c>
      <c r="G490" t="s">
        <v>134</v>
      </c>
      <c r="H490">
        <v>16</v>
      </c>
      <c r="I490">
        <v>9</v>
      </c>
      <c r="J490">
        <v>177.78</v>
      </c>
      <c r="K490" t="s">
        <v>248</v>
      </c>
      <c r="L490">
        <v>28.78</v>
      </c>
      <c r="M490">
        <v>4</v>
      </c>
      <c r="N490">
        <v>0</v>
      </c>
      <c r="O490">
        <v>32</v>
      </c>
      <c r="P490">
        <v>1</v>
      </c>
      <c r="Q490">
        <v>8</v>
      </c>
      <c r="R490">
        <v>16</v>
      </c>
      <c r="S490">
        <v>0</v>
      </c>
      <c r="T490">
        <v>0</v>
      </c>
      <c r="U490" s="8">
        <v>44.78</v>
      </c>
      <c r="V490" s="8">
        <f t="shared" si="7"/>
        <v>4</v>
      </c>
    </row>
    <row r="491" spans="1:22" x14ac:dyDescent="0.3">
      <c r="A491" t="s">
        <v>338</v>
      </c>
      <c r="B491">
        <v>2</v>
      </c>
      <c r="C491" t="s">
        <v>94</v>
      </c>
      <c r="D491" t="s">
        <v>120</v>
      </c>
      <c r="E491" t="s">
        <v>158</v>
      </c>
      <c r="F491" t="s">
        <v>169</v>
      </c>
      <c r="G491" t="s">
        <v>134</v>
      </c>
      <c r="H491">
        <v>1</v>
      </c>
      <c r="I491">
        <v>2</v>
      </c>
      <c r="J491">
        <v>50</v>
      </c>
      <c r="K491" t="s">
        <v>96</v>
      </c>
      <c r="L491">
        <v>0.5</v>
      </c>
      <c r="M491">
        <v>4</v>
      </c>
      <c r="N491">
        <v>0</v>
      </c>
      <c r="O491">
        <v>38</v>
      </c>
      <c r="P491">
        <v>0</v>
      </c>
      <c r="Q491">
        <v>9.5</v>
      </c>
      <c r="R491">
        <v>0</v>
      </c>
      <c r="S491">
        <v>0</v>
      </c>
      <c r="T491">
        <v>0</v>
      </c>
      <c r="U491" s="8">
        <v>0.5</v>
      </c>
      <c r="V491" s="8">
        <f t="shared" si="7"/>
        <v>0</v>
      </c>
    </row>
    <row r="492" spans="1:22" x14ac:dyDescent="0.3">
      <c r="A492" t="s">
        <v>338</v>
      </c>
      <c r="B492">
        <v>2</v>
      </c>
      <c r="C492" t="s">
        <v>202</v>
      </c>
      <c r="D492" t="s">
        <v>203</v>
      </c>
      <c r="E492" t="s">
        <v>158</v>
      </c>
      <c r="F492" t="s">
        <v>101</v>
      </c>
      <c r="G492" t="s">
        <v>104</v>
      </c>
      <c r="H492">
        <v>0</v>
      </c>
      <c r="I492">
        <v>0</v>
      </c>
      <c r="J492">
        <v>0</v>
      </c>
      <c r="K492" t="s">
        <v>104</v>
      </c>
      <c r="L492">
        <v>0</v>
      </c>
      <c r="M492">
        <v>4</v>
      </c>
      <c r="N492">
        <v>0</v>
      </c>
      <c r="O492">
        <v>27</v>
      </c>
      <c r="P492">
        <v>2</v>
      </c>
      <c r="Q492">
        <v>6.75</v>
      </c>
      <c r="R492">
        <v>34.5</v>
      </c>
      <c r="S492">
        <v>0</v>
      </c>
      <c r="T492">
        <v>0</v>
      </c>
      <c r="U492" s="8">
        <v>34.5</v>
      </c>
      <c r="V492" s="8">
        <f t="shared" si="7"/>
        <v>3</v>
      </c>
    </row>
    <row r="493" spans="1:22" x14ac:dyDescent="0.3">
      <c r="A493" t="s">
        <v>338</v>
      </c>
      <c r="B493">
        <v>2</v>
      </c>
      <c r="C493" t="s">
        <v>274</v>
      </c>
      <c r="D493" t="s">
        <v>284</v>
      </c>
      <c r="E493" t="s">
        <v>158</v>
      </c>
      <c r="F493" t="s">
        <v>169</v>
      </c>
      <c r="G493" t="s">
        <v>104</v>
      </c>
      <c r="H493">
        <v>0</v>
      </c>
      <c r="I493">
        <v>0</v>
      </c>
      <c r="J493">
        <v>0</v>
      </c>
      <c r="K493" t="s">
        <v>104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 s="8">
        <v>0</v>
      </c>
      <c r="V493" s="8">
        <f t="shared" si="7"/>
        <v>0</v>
      </c>
    </row>
    <row r="494" spans="1:22" x14ac:dyDescent="0.3">
      <c r="A494" t="s">
        <v>338</v>
      </c>
      <c r="B494">
        <v>2</v>
      </c>
      <c r="C494" t="s">
        <v>200</v>
      </c>
      <c r="D494" t="s">
        <v>201</v>
      </c>
      <c r="E494" t="s">
        <v>158</v>
      </c>
      <c r="F494" t="s">
        <v>85</v>
      </c>
      <c r="G494" t="s">
        <v>104</v>
      </c>
      <c r="H494">
        <v>0</v>
      </c>
      <c r="I494">
        <v>0</v>
      </c>
      <c r="J494">
        <v>0</v>
      </c>
      <c r="K494" t="s">
        <v>104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 s="8">
        <v>0</v>
      </c>
      <c r="V494" s="8">
        <f t="shared" si="7"/>
        <v>0</v>
      </c>
    </row>
    <row r="495" spans="1:22" x14ac:dyDescent="0.3">
      <c r="A495" t="s">
        <v>338</v>
      </c>
      <c r="B495">
        <v>2</v>
      </c>
      <c r="C495" t="s">
        <v>206</v>
      </c>
      <c r="D495" t="s">
        <v>207</v>
      </c>
      <c r="E495" t="s">
        <v>158</v>
      </c>
      <c r="F495" t="s">
        <v>101</v>
      </c>
      <c r="G495" t="s">
        <v>104</v>
      </c>
      <c r="H495">
        <v>0</v>
      </c>
      <c r="I495">
        <v>0</v>
      </c>
      <c r="J495">
        <v>0</v>
      </c>
      <c r="K495" t="s">
        <v>104</v>
      </c>
      <c r="L495">
        <v>0</v>
      </c>
      <c r="M495">
        <v>2</v>
      </c>
      <c r="N495">
        <v>0</v>
      </c>
      <c r="O495">
        <v>18</v>
      </c>
      <c r="P495">
        <v>0</v>
      </c>
      <c r="Q495">
        <v>9</v>
      </c>
      <c r="R495">
        <v>0</v>
      </c>
      <c r="S495">
        <v>0</v>
      </c>
      <c r="T495">
        <v>0</v>
      </c>
      <c r="U495" s="8">
        <v>0</v>
      </c>
      <c r="V495" s="8">
        <f t="shared" si="7"/>
        <v>0</v>
      </c>
    </row>
    <row r="496" spans="1:22" x14ac:dyDescent="0.3">
      <c r="A496" t="s">
        <v>338</v>
      </c>
      <c r="B496">
        <v>2</v>
      </c>
      <c r="C496" t="s">
        <v>204</v>
      </c>
      <c r="D496" t="s">
        <v>205</v>
      </c>
      <c r="E496" t="s">
        <v>158</v>
      </c>
      <c r="F496" t="s">
        <v>169</v>
      </c>
      <c r="G496" t="s">
        <v>104</v>
      </c>
      <c r="H496">
        <v>0</v>
      </c>
      <c r="I496">
        <v>0</v>
      </c>
      <c r="J496">
        <v>0</v>
      </c>
      <c r="K496" t="s">
        <v>104</v>
      </c>
      <c r="L496">
        <v>0</v>
      </c>
      <c r="M496">
        <v>4</v>
      </c>
      <c r="N496">
        <v>0</v>
      </c>
      <c r="O496">
        <v>32</v>
      </c>
      <c r="P496">
        <v>1</v>
      </c>
      <c r="Q496">
        <v>8</v>
      </c>
      <c r="R496">
        <v>12</v>
      </c>
      <c r="S496">
        <v>0</v>
      </c>
      <c r="T496">
        <v>0</v>
      </c>
      <c r="U496" s="8">
        <v>12</v>
      </c>
      <c r="V496" s="8">
        <f t="shared" si="7"/>
        <v>1</v>
      </c>
    </row>
    <row r="497" spans="1:22" x14ac:dyDescent="0.3">
      <c r="A497" t="s">
        <v>338</v>
      </c>
      <c r="B497">
        <v>2</v>
      </c>
      <c r="C497" t="s">
        <v>112</v>
      </c>
      <c r="D497" t="s">
        <v>88</v>
      </c>
      <c r="E497" t="s">
        <v>266</v>
      </c>
      <c r="F497" t="s">
        <v>169</v>
      </c>
      <c r="G497" t="s">
        <v>86</v>
      </c>
      <c r="H497">
        <v>0</v>
      </c>
      <c r="I497">
        <v>2</v>
      </c>
      <c r="J497">
        <v>0</v>
      </c>
      <c r="K497" t="s">
        <v>246</v>
      </c>
      <c r="L497">
        <v>0</v>
      </c>
      <c r="M497">
        <v>2</v>
      </c>
      <c r="N497">
        <v>0</v>
      </c>
      <c r="O497">
        <v>21</v>
      </c>
      <c r="P497">
        <v>0</v>
      </c>
      <c r="Q497">
        <v>10.5</v>
      </c>
      <c r="R497">
        <v>0</v>
      </c>
      <c r="S497">
        <v>0</v>
      </c>
      <c r="T497">
        <v>0</v>
      </c>
      <c r="U497" s="8">
        <v>0</v>
      </c>
      <c r="V497" s="8">
        <f t="shared" si="7"/>
        <v>0</v>
      </c>
    </row>
    <row r="498" spans="1:22" x14ac:dyDescent="0.3">
      <c r="A498" t="s">
        <v>338</v>
      </c>
      <c r="B498">
        <v>2</v>
      </c>
      <c r="C498" t="s">
        <v>113</v>
      </c>
      <c r="D498" t="s">
        <v>84</v>
      </c>
      <c r="E498" t="s">
        <v>266</v>
      </c>
      <c r="F498" t="s">
        <v>85</v>
      </c>
      <c r="G498" t="s">
        <v>86</v>
      </c>
      <c r="H498">
        <v>57</v>
      </c>
      <c r="I498">
        <v>45</v>
      </c>
      <c r="J498">
        <v>126.67</v>
      </c>
      <c r="K498" t="s">
        <v>246</v>
      </c>
      <c r="L498">
        <v>64.67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 s="8">
        <v>64.67</v>
      </c>
      <c r="V498" s="8">
        <f t="shared" si="7"/>
        <v>6</v>
      </c>
    </row>
    <row r="499" spans="1:22" x14ac:dyDescent="0.3">
      <c r="A499" t="s">
        <v>338</v>
      </c>
      <c r="B499">
        <v>2</v>
      </c>
      <c r="C499" t="s">
        <v>117</v>
      </c>
      <c r="D499" t="s">
        <v>90</v>
      </c>
      <c r="E499" t="s">
        <v>266</v>
      </c>
      <c r="F499" t="s">
        <v>169</v>
      </c>
      <c r="G499" t="s">
        <v>92</v>
      </c>
      <c r="H499">
        <v>19</v>
      </c>
      <c r="I499">
        <v>17</v>
      </c>
      <c r="J499">
        <v>111.76</v>
      </c>
      <c r="K499" t="s">
        <v>245</v>
      </c>
      <c r="L499">
        <v>25.18</v>
      </c>
      <c r="M499">
        <v>4</v>
      </c>
      <c r="N499">
        <v>0</v>
      </c>
      <c r="O499">
        <v>33</v>
      </c>
      <c r="P499">
        <v>2</v>
      </c>
      <c r="Q499">
        <v>8.25</v>
      </c>
      <c r="R499">
        <v>27.5</v>
      </c>
      <c r="S499">
        <v>0</v>
      </c>
      <c r="T499">
        <v>0</v>
      </c>
      <c r="U499" s="8">
        <v>52.68</v>
      </c>
      <c r="V499" s="8">
        <f t="shared" si="7"/>
        <v>5</v>
      </c>
    </row>
    <row r="500" spans="1:22" x14ac:dyDescent="0.3">
      <c r="A500" t="s">
        <v>338</v>
      </c>
      <c r="B500">
        <v>2</v>
      </c>
      <c r="C500" t="s">
        <v>115</v>
      </c>
      <c r="D500" t="s">
        <v>17</v>
      </c>
      <c r="E500" t="s">
        <v>266</v>
      </c>
      <c r="F500" t="s">
        <v>169</v>
      </c>
      <c r="G500" t="s">
        <v>92</v>
      </c>
      <c r="H500">
        <v>55</v>
      </c>
      <c r="I500">
        <v>34</v>
      </c>
      <c r="J500">
        <v>161.76</v>
      </c>
      <c r="K500" t="s">
        <v>246</v>
      </c>
      <c r="L500">
        <v>66.180000000000007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 s="8">
        <v>66.180000000000007</v>
      </c>
      <c r="V500" s="8">
        <f t="shared" si="7"/>
        <v>7</v>
      </c>
    </row>
    <row r="501" spans="1:22" x14ac:dyDescent="0.3">
      <c r="A501" t="s">
        <v>338</v>
      </c>
      <c r="B501">
        <v>2</v>
      </c>
      <c r="C501" t="s">
        <v>119</v>
      </c>
      <c r="D501" t="s">
        <v>95</v>
      </c>
      <c r="E501" t="s">
        <v>266</v>
      </c>
      <c r="F501" t="s">
        <v>169</v>
      </c>
      <c r="G501" t="s">
        <v>134</v>
      </c>
      <c r="H501">
        <v>24</v>
      </c>
      <c r="I501">
        <v>18</v>
      </c>
      <c r="J501">
        <v>133.33000000000001</v>
      </c>
      <c r="K501" t="s">
        <v>245</v>
      </c>
      <c r="L501">
        <v>32.33</v>
      </c>
      <c r="M501">
        <v>4</v>
      </c>
      <c r="N501">
        <v>0</v>
      </c>
      <c r="O501">
        <v>43</v>
      </c>
      <c r="P501">
        <v>2</v>
      </c>
      <c r="Q501">
        <v>10.75</v>
      </c>
      <c r="R501">
        <v>23.5</v>
      </c>
      <c r="S501">
        <v>0</v>
      </c>
      <c r="T501">
        <v>0</v>
      </c>
      <c r="U501" s="8">
        <v>55.83</v>
      </c>
      <c r="V501" s="8">
        <f t="shared" si="7"/>
        <v>6</v>
      </c>
    </row>
    <row r="502" spans="1:22" x14ac:dyDescent="0.3">
      <c r="A502" t="s">
        <v>338</v>
      </c>
      <c r="B502">
        <v>2</v>
      </c>
      <c r="C502" t="s">
        <v>123</v>
      </c>
      <c r="D502" t="s">
        <v>98</v>
      </c>
      <c r="E502" t="s">
        <v>266</v>
      </c>
      <c r="F502" t="s">
        <v>169</v>
      </c>
      <c r="G502" t="s">
        <v>134</v>
      </c>
      <c r="H502">
        <v>1</v>
      </c>
      <c r="I502">
        <v>3</v>
      </c>
      <c r="J502">
        <v>33.33</v>
      </c>
      <c r="K502" t="s">
        <v>246</v>
      </c>
      <c r="L502">
        <v>0</v>
      </c>
      <c r="M502">
        <v>2</v>
      </c>
      <c r="N502">
        <v>0</v>
      </c>
      <c r="O502">
        <v>18</v>
      </c>
      <c r="P502">
        <v>0</v>
      </c>
      <c r="Q502">
        <v>9</v>
      </c>
      <c r="R502">
        <v>0</v>
      </c>
      <c r="S502">
        <v>0</v>
      </c>
      <c r="T502">
        <v>0</v>
      </c>
      <c r="U502" s="8">
        <v>0</v>
      </c>
      <c r="V502" s="8">
        <f t="shared" si="7"/>
        <v>0</v>
      </c>
    </row>
    <row r="503" spans="1:22" x14ac:dyDescent="0.3">
      <c r="A503" t="s">
        <v>338</v>
      </c>
      <c r="B503">
        <v>2</v>
      </c>
      <c r="C503" t="s">
        <v>121</v>
      </c>
      <c r="D503" t="s">
        <v>108</v>
      </c>
      <c r="E503" t="s">
        <v>266</v>
      </c>
      <c r="F503" t="s">
        <v>169</v>
      </c>
      <c r="G503" t="s">
        <v>134</v>
      </c>
      <c r="H503">
        <v>3</v>
      </c>
      <c r="I503">
        <v>2</v>
      </c>
      <c r="J503">
        <v>150</v>
      </c>
      <c r="K503" t="s">
        <v>96</v>
      </c>
      <c r="L503">
        <v>4.5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 s="8">
        <v>4.5</v>
      </c>
      <c r="V503" s="8">
        <f t="shared" si="7"/>
        <v>0</v>
      </c>
    </row>
    <row r="504" spans="1:22" x14ac:dyDescent="0.3">
      <c r="A504" t="s">
        <v>338</v>
      </c>
      <c r="B504">
        <v>2</v>
      </c>
      <c r="C504" t="s">
        <v>347</v>
      </c>
      <c r="D504" t="s">
        <v>348</v>
      </c>
      <c r="E504" t="s">
        <v>266</v>
      </c>
      <c r="F504" t="s">
        <v>109</v>
      </c>
      <c r="G504" t="s">
        <v>134</v>
      </c>
      <c r="H504">
        <v>6</v>
      </c>
      <c r="I504">
        <v>1</v>
      </c>
      <c r="J504">
        <v>600</v>
      </c>
      <c r="K504" t="s">
        <v>96</v>
      </c>
      <c r="L504">
        <v>36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 s="8">
        <v>36</v>
      </c>
      <c r="V504" s="8">
        <f t="shared" si="7"/>
        <v>4</v>
      </c>
    </row>
    <row r="505" spans="1:22" x14ac:dyDescent="0.3">
      <c r="A505" t="s">
        <v>338</v>
      </c>
      <c r="B505">
        <v>2</v>
      </c>
      <c r="C505" t="s">
        <v>265</v>
      </c>
      <c r="D505" t="s">
        <v>264</v>
      </c>
      <c r="E505" t="s">
        <v>266</v>
      </c>
      <c r="F505" t="s">
        <v>101</v>
      </c>
      <c r="G505" t="s">
        <v>104</v>
      </c>
      <c r="H505">
        <v>0</v>
      </c>
      <c r="I505">
        <v>0</v>
      </c>
      <c r="J505">
        <v>0</v>
      </c>
      <c r="K505" t="s">
        <v>104</v>
      </c>
      <c r="L505">
        <v>0</v>
      </c>
      <c r="M505">
        <v>4</v>
      </c>
      <c r="N505">
        <v>0</v>
      </c>
      <c r="O505">
        <v>24</v>
      </c>
      <c r="P505">
        <v>1</v>
      </c>
      <c r="Q505">
        <v>6</v>
      </c>
      <c r="R505">
        <v>24</v>
      </c>
      <c r="S505">
        <v>0</v>
      </c>
      <c r="T505">
        <v>0</v>
      </c>
      <c r="U505" s="8">
        <v>24</v>
      </c>
      <c r="V505" s="8">
        <f t="shared" si="7"/>
        <v>2</v>
      </c>
    </row>
    <row r="506" spans="1:22" x14ac:dyDescent="0.3">
      <c r="A506" t="s">
        <v>338</v>
      </c>
      <c r="B506">
        <v>2</v>
      </c>
      <c r="C506" t="s">
        <v>345</v>
      </c>
      <c r="D506" t="s">
        <v>346</v>
      </c>
      <c r="E506" t="s">
        <v>266</v>
      </c>
      <c r="F506" t="s">
        <v>169</v>
      </c>
      <c r="G506" t="s">
        <v>104</v>
      </c>
      <c r="H506">
        <v>0</v>
      </c>
      <c r="I506">
        <v>0</v>
      </c>
      <c r="J506">
        <v>0</v>
      </c>
      <c r="K506" t="s">
        <v>104</v>
      </c>
      <c r="L506">
        <v>0</v>
      </c>
      <c r="M506">
        <v>1</v>
      </c>
      <c r="N506">
        <v>0</v>
      </c>
      <c r="O506">
        <v>13</v>
      </c>
      <c r="P506">
        <v>0</v>
      </c>
      <c r="Q506">
        <v>13</v>
      </c>
      <c r="R506">
        <v>0</v>
      </c>
      <c r="S506">
        <v>0</v>
      </c>
      <c r="T506">
        <v>0</v>
      </c>
      <c r="U506" s="8">
        <v>0</v>
      </c>
      <c r="V506" s="8">
        <f t="shared" si="7"/>
        <v>0</v>
      </c>
    </row>
    <row r="507" spans="1:22" x14ac:dyDescent="0.3">
      <c r="A507" t="s">
        <v>338</v>
      </c>
      <c r="B507">
        <v>2</v>
      </c>
      <c r="C507" t="s">
        <v>131</v>
      </c>
      <c r="D507" t="s">
        <v>106</v>
      </c>
      <c r="E507" t="s">
        <v>266</v>
      </c>
      <c r="F507" t="s">
        <v>101</v>
      </c>
      <c r="G507" t="s">
        <v>104</v>
      </c>
      <c r="H507">
        <v>0</v>
      </c>
      <c r="I507">
        <v>0</v>
      </c>
      <c r="J507">
        <v>0</v>
      </c>
      <c r="K507" t="s">
        <v>104</v>
      </c>
      <c r="L507">
        <v>0</v>
      </c>
      <c r="M507">
        <v>3</v>
      </c>
      <c r="N507">
        <v>0</v>
      </c>
      <c r="O507">
        <v>17</v>
      </c>
      <c r="P507">
        <v>0</v>
      </c>
      <c r="Q507">
        <v>5.67</v>
      </c>
      <c r="R507">
        <v>0</v>
      </c>
      <c r="S507">
        <v>0</v>
      </c>
      <c r="T507">
        <v>0</v>
      </c>
      <c r="U507" s="8">
        <v>0</v>
      </c>
      <c r="V507" s="8">
        <f t="shared" si="7"/>
        <v>0</v>
      </c>
    </row>
    <row r="508" spans="1:22" x14ac:dyDescent="0.3">
      <c r="A508" t="s">
        <v>349</v>
      </c>
      <c r="B508">
        <v>2</v>
      </c>
      <c r="C508" t="s">
        <v>167</v>
      </c>
      <c r="D508" t="s">
        <v>168</v>
      </c>
      <c r="E508" t="s">
        <v>159</v>
      </c>
      <c r="F508" t="s">
        <v>169</v>
      </c>
      <c r="G508" t="s">
        <v>86</v>
      </c>
      <c r="H508">
        <v>1</v>
      </c>
      <c r="I508">
        <v>5</v>
      </c>
      <c r="J508">
        <v>20</v>
      </c>
      <c r="K508" t="s">
        <v>247</v>
      </c>
      <c r="L508">
        <v>0</v>
      </c>
      <c r="M508">
        <v>1</v>
      </c>
      <c r="N508">
        <v>0</v>
      </c>
      <c r="O508">
        <v>10</v>
      </c>
      <c r="P508">
        <v>0</v>
      </c>
      <c r="Q508">
        <v>10</v>
      </c>
      <c r="R508">
        <v>0</v>
      </c>
      <c r="S508">
        <v>0</v>
      </c>
      <c r="T508">
        <v>0</v>
      </c>
      <c r="U508" s="8">
        <v>0</v>
      </c>
      <c r="V508" s="8">
        <f t="shared" si="7"/>
        <v>0</v>
      </c>
    </row>
    <row r="509" spans="1:22" x14ac:dyDescent="0.3">
      <c r="A509" t="s">
        <v>349</v>
      </c>
      <c r="B509">
        <v>2</v>
      </c>
      <c r="C509" t="s">
        <v>165</v>
      </c>
      <c r="D509" t="s">
        <v>166</v>
      </c>
      <c r="E509" t="s">
        <v>159</v>
      </c>
      <c r="F509" t="s">
        <v>109</v>
      </c>
      <c r="G509" t="s">
        <v>86</v>
      </c>
      <c r="H509">
        <v>13</v>
      </c>
      <c r="I509">
        <v>11</v>
      </c>
      <c r="J509">
        <v>118.18</v>
      </c>
      <c r="K509" t="s">
        <v>246</v>
      </c>
      <c r="L509">
        <v>19.82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 s="8">
        <v>19.82</v>
      </c>
      <c r="V509" s="8">
        <f t="shared" si="7"/>
        <v>2</v>
      </c>
    </row>
    <row r="510" spans="1:22" x14ac:dyDescent="0.3">
      <c r="A510" t="s">
        <v>349</v>
      </c>
      <c r="B510">
        <v>2</v>
      </c>
      <c r="C510" t="s">
        <v>87</v>
      </c>
      <c r="D510" t="s">
        <v>82</v>
      </c>
      <c r="E510" t="s">
        <v>159</v>
      </c>
      <c r="F510" t="s">
        <v>169</v>
      </c>
      <c r="G510" t="s">
        <v>92</v>
      </c>
      <c r="H510">
        <v>53</v>
      </c>
      <c r="I510">
        <v>44</v>
      </c>
      <c r="J510">
        <v>120.45</v>
      </c>
      <c r="K510" t="s">
        <v>248</v>
      </c>
      <c r="L510">
        <v>60.05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 s="8">
        <v>60.05</v>
      </c>
      <c r="V510" s="8">
        <f t="shared" si="7"/>
        <v>6</v>
      </c>
    </row>
    <row r="511" spans="1:22" x14ac:dyDescent="0.3">
      <c r="A511" t="s">
        <v>349</v>
      </c>
      <c r="B511">
        <v>2</v>
      </c>
      <c r="C511" t="s">
        <v>174</v>
      </c>
      <c r="D511" t="s">
        <v>175</v>
      </c>
      <c r="E511" t="s">
        <v>159</v>
      </c>
      <c r="F511" t="s">
        <v>169</v>
      </c>
      <c r="G511" t="s">
        <v>92</v>
      </c>
      <c r="H511">
        <v>8</v>
      </c>
      <c r="I511">
        <v>7</v>
      </c>
      <c r="J511">
        <v>114.29</v>
      </c>
      <c r="K511" t="s">
        <v>246</v>
      </c>
      <c r="L511">
        <v>14.43</v>
      </c>
      <c r="M511">
        <v>2</v>
      </c>
      <c r="N511">
        <v>0</v>
      </c>
      <c r="O511">
        <v>18</v>
      </c>
      <c r="P511">
        <v>0</v>
      </c>
      <c r="Q511">
        <v>9</v>
      </c>
      <c r="R511">
        <v>0</v>
      </c>
      <c r="S511">
        <v>0</v>
      </c>
      <c r="T511">
        <v>0</v>
      </c>
      <c r="U511" s="8">
        <v>14.43</v>
      </c>
      <c r="V511" s="8">
        <f t="shared" si="7"/>
        <v>1</v>
      </c>
    </row>
    <row r="512" spans="1:22" x14ac:dyDescent="0.3">
      <c r="A512" t="s">
        <v>349</v>
      </c>
      <c r="B512">
        <v>2</v>
      </c>
      <c r="C512" t="s">
        <v>176</v>
      </c>
      <c r="D512" t="s">
        <v>177</v>
      </c>
      <c r="E512" t="s">
        <v>159</v>
      </c>
      <c r="F512" t="s">
        <v>85</v>
      </c>
      <c r="G512" t="s">
        <v>134</v>
      </c>
      <c r="H512">
        <v>62</v>
      </c>
      <c r="I512">
        <v>37</v>
      </c>
      <c r="J512">
        <v>167.57</v>
      </c>
      <c r="K512" t="s">
        <v>245</v>
      </c>
      <c r="L512">
        <v>73.760000000000005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 s="8">
        <v>73.760000000000005</v>
      </c>
      <c r="V512" s="8">
        <f t="shared" si="7"/>
        <v>7</v>
      </c>
    </row>
    <row r="513" spans="1:22" x14ac:dyDescent="0.3">
      <c r="A513" t="s">
        <v>349</v>
      </c>
      <c r="B513">
        <v>2</v>
      </c>
      <c r="C513" t="s">
        <v>99</v>
      </c>
      <c r="D513" t="s">
        <v>124</v>
      </c>
      <c r="E513" t="s">
        <v>159</v>
      </c>
      <c r="F513" t="s">
        <v>101</v>
      </c>
      <c r="G513" t="s">
        <v>134</v>
      </c>
      <c r="H513">
        <v>0</v>
      </c>
      <c r="I513">
        <v>3</v>
      </c>
      <c r="J513">
        <v>0</v>
      </c>
      <c r="K513" t="s">
        <v>246</v>
      </c>
      <c r="L513">
        <v>0</v>
      </c>
      <c r="M513">
        <v>3</v>
      </c>
      <c r="N513">
        <v>0</v>
      </c>
      <c r="O513">
        <v>23</v>
      </c>
      <c r="P513">
        <v>1</v>
      </c>
      <c r="Q513">
        <v>7.67</v>
      </c>
      <c r="R513">
        <v>16.66</v>
      </c>
      <c r="S513">
        <v>0</v>
      </c>
      <c r="T513">
        <v>0</v>
      </c>
      <c r="U513" s="8">
        <v>16.66</v>
      </c>
      <c r="V513" s="8">
        <f t="shared" si="7"/>
        <v>2</v>
      </c>
    </row>
    <row r="514" spans="1:22" x14ac:dyDescent="0.3">
      <c r="A514" t="s">
        <v>349</v>
      </c>
      <c r="B514">
        <v>2</v>
      </c>
      <c r="C514" t="s">
        <v>371</v>
      </c>
      <c r="D514" t="s">
        <v>372</v>
      </c>
      <c r="E514" t="s">
        <v>159</v>
      </c>
      <c r="F514" t="s">
        <v>169</v>
      </c>
      <c r="G514" t="s">
        <v>134</v>
      </c>
      <c r="H514">
        <v>9</v>
      </c>
      <c r="I514">
        <v>9</v>
      </c>
      <c r="J514">
        <v>100</v>
      </c>
      <c r="K514" t="s">
        <v>96</v>
      </c>
      <c r="L514">
        <v>19</v>
      </c>
      <c r="M514">
        <v>4</v>
      </c>
      <c r="N514">
        <v>0</v>
      </c>
      <c r="O514">
        <v>36</v>
      </c>
      <c r="P514">
        <v>1</v>
      </c>
      <c r="Q514">
        <v>9</v>
      </c>
      <c r="R514">
        <v>12</v>
      </c>
      <c r="S514">
        <v>0</v>
      </c>
      <c r="T514">
        <v>0</v>
      </c>
      <c r="U514" s="8">
        <v>31</v>
      </c>
      <c r="V514" s="8">
        <f t="shared" si="7"/>
        <v>3</v>
      </c>
    </row>
    <row r="515" spans="1:22" x14ac:dyDescent="0.3">
      <c r="A515" t="s">
        <v>349</v>
      </c>
      <c r="B515">
        <v>2</v>
      </c>
      <c r="C515" t="s">
        <v>259</v>
      </c>
      <c r="D515" t="s">
        <v>257</v>
      </c>
      <c r="E515" t="s">
        <v>159</v>
      </c>
      <c r="F515" t="s">
        <v>101</v>
      </c>
      <c r="G515" t="s">
        <v>135</v>
      </c>
      <c r="H515">
        <v>8</v>
      </c>
      <c r="I515">
        <v>4</v>
      </c>
      <c r="J515">
        <v>200</v>
      </c>
      <c r="K515" t="s">
        <v>96</v>
      </c>
      <c r="L515">
        <v>28</v>
      </c>
      <c r="M515">
        <v>3</v>
      </c>
      <c r="N515">
        <v>0</v>
      </c>
      <c r="O515">
        <v>32</v>
      </c>
      <c r="P515">
        <v>0</v>
      </c>
      <c r="Q515">
        <v>10.67</v>
      </c>
      <c r="R515">
        <v>0</v>
      </c>
      <c r="S515">
        <v>0</v>
      </c>
      <c r="T515">
        <v>0</v>
      </c>
      <c r="U515" s="8">
        <v>28</v>
      </c>
      <c r="V515" s="8">
        <f t="shared" ref="V515:V578" si="8">MIN(10, MAX(0, ROUND(U515/10,0)))</f>
        <v>3</v>
      </c>
    </row>
    <row r="516" spans="1:22" x14ac:dyDescent="0.3">
      <c r="A516" t="s">
        <v>349</v>
      </c>
      <c r="B516">
        <v>2</v>
      </c>
      <c r="C516" t="s">
        <v>373</v>
      </c>
      <c r="D516" t="s">
        <v>374</v>
      </c>
      <c r="E516" t="s">
        <v>159</v>
      </c>
      <c r="F516" t="s">
        <v>101</v>
      </c>
      <c r="G516" t="s">
        <v>104</v>
      </c>
      <c r="H516">
        <v>0</v>
      </c>
      <c r="I516">
        <v>0</v>
      </c>
      <c r="J516">
        <v>0</v>
      </c>
      <c r="K516" t="s">
        <v>104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 s="8">
        <v>0</v>
      </c>
      <c r="V516" s="8">
        <f t="shared" si="8"/>
        <v>0</v>
      </c>
    </row>
    <row r="517" spans="1:22" x14ac:dyDescent="0.3">
      <c r="A517" t="s">
        <v>349</v>
      </c>
      <c r="B517">
        <v>2</v>
      </c>
      <c r="C517" t="s">
        <v>180</v>
      </c>
      <c r="D517" t="s">
        <v>181</v>
      </c>
      <c r="E517" t="s">
        <v>159</v>
      </c>
      <c r="F517" t="s">
        <v>169</v>
      </c>
      <c r="G517" t="s">
        <v>104</v>
      </c>
      <c r="H517">
        <v>0</v>
      </c>
      <c r="I517">
        <v>0</v>
      </c>
      <c r="J517">
        <v>0</v>
      </c>
      <c r="K517" t="s">
        <v>104</v>
      </c>
      <c r="L517">
        <v>0</v>
      </c>
      <c r="M517">
        <v>4</v>
      </c>
      <c r="N517">
        <v>0</v>
      </c>
      <c r="O517">
        <v>22</v>
      </c>
      <c r="P517">
        <v>5</v>
      </c>
      <c r="Q517">
        <v>5.5</v>
      </c>
      <c r="R517">
        <v>89</v>
      </c>
      <c r="S517">
        <v>0</v>
      </c>
      <c r="T517">
        <v>0</v>
      </c>
      <c r="U517" s="8">
        <v>89</v>
      </c>
      <c r="V517" s="8">
        <f t="shared" si="8"/>
        <v>9</v>
      </c>
    </row>
    <row r="518" spans="1:22" x14ac:dyDescent="0.3">
      <c r="A518" t="s">
        <v>349</v>
      </c>
      <c r="B518">
        <v>2</v>
      </c>
      <c r="C518" t="s">
        <v>186</v>
      </c>
      <c r="D518" t="s">
        <v>187</v>
      </c>
      <c r="E518" t="s">
        <v>159</v>
      </c>
      <c r="F518" t="s">
        <v>101</v>
      </c>
      <c r="G518" t="s">
        <v>104</v>
      </c>
      <c r="H518">
        <v>0</v>
      </c>
      <c r="I518">
        <v>0</v>
      </c>
      <c r="J518">
        <v>0</v>
      </c>
      <c r="K518" t="s">
        <v>104</v>
      </c>
      <c r="L518">
        <v>0</v>
      </c>
      <c r="M518">
        <v>3</v>
      </c>
      <c r="N518">
        <v>0</v>
      </c>
      <c r="O518">
        <v>14</v>
      </c>
      <c r="P518">
        <v>0</v>
      </c>
      <c r="Q518">
        <v>4.67</v>
      </c>
      <c r="R518">
        <v>6</v>
      </c>
      <c r="S518">
        <v>0</v>
      </c>
      <c r="T518">
        <v>0</v>
      </c>
      <c r="U518" s="8">
        <v>6</v>
      </c>
      <c r="V518" s="8">
        <f t="shared" si="8"/>
        <v>1</v>
      </c>
    </row>
    <row r="519" spans="1:22" x14ac:dyDescent="0.3">
      <c r="A519" t="s">
        <v>349</v>
      </c>
      <c r="B519">
        <v>2</v>
      </c>
      <c r="C519" t="s">
        <v>217</v>
      </c>
      <c r="D519" t="s">
        <v>218</v>
      </c>
      <c r="E519" t="s">
        <v>219</v>
      </c>
      <c r="F519" t="s">
        <v>85</v>
      </c>
      <c r="G519" t="s">
        <v>86</v>
      </c>
      <c r="H519">
        <v>5</v>
      </c>
      <c r="I519">
        <v>4</v>
      </c>
      <c r="J519">
        <v>125</v>
      </c>
      <c r="K519" t="s">
        <v>245</v>
      </c>
      <c r="L519">
        <v>12.5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 s="8">
        <v>12.5</v>
      </c>
      <c r="V519" s="8">
        <f t="shared" si="8"/>
        <v>1</v>
      </c>
    </row>
    <row r="520" spans="1:22" x14ac:dyDescent="0.3">
      <c r="A520" t="s">
        <v>349</v>
      </c>
      <c r="B520">
        <v>2</v>
      </c>
      <c r="C520" t="s">
        <v>375</v>
      </c>
      <c r="D520" t="s">
        <v>376</v>
      </c>
      <c r="E520" t="s">
        <v>219</v>
      </c>
      <c r="F520" t="s">
        <v>109</v>
      </c>
      <c r="G520" t="s">
        <v>86</v>
      </c>
      <c r="H520">
        <v>18</v>
      </c>
      <c r="I520">
        <v>28</v>
      </c>
      <c r="J520">
        <v>64.290000000000006</v>
      </c>
      <c r="K520" t="s">
        <v>248</v>
      </c>
      <c r="L520">
        <v>19.43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 s="8">
        <v>19.43</v>
      </c>
      <c r="V520" s="8">
        <f t="shared" si="8"/>
        <v>2</v>
      </c>
    </row>
    <row r="521" spans="1:22" x14ac:dyDescent="0.3">
      <c r="A521" t="s">
        <v>349</v>
      </c>
      <c r="B521">
        <v>2</v>
      </c>
      <c r="C521" t="s">
        <v>222</v>
      </c>
      <c r="D521" t="s">
        <v>223</v>
      </c>
      <c r="E521" t="s">
        <v>219</v>
      </c>
      <c r="F521" t="s">
        <v>169</v>
      </c>
      <c r="G521" t="s">
        <v>92</v>
      </c>
      <c r="H521">
        <v>22</v>
      </c>
      <c r="I521">
        <v>18</v>
      </c>
      <c r="J521">
        <v>122.22</v>
      </c>
      <c r="K521" t="s">
        <v>245</v>
      </c>
      <c r="L521">
        <v>29.22</v>
      </c>
      <c r="M521">
        <v>4</v>
      </c>
      <c r="N521">
        <v>0</v>
      </c>
      <c r="O521">
        <v>39</v>
      </c>
      <c r="P521">
        <v>1</v>
      </c>
      <c r="Q521">
        <v>9.75</v>
      </c>
      <c r="R521">
        <v>10.5</v>
      </c>
      <c r="S521">
        <v>0</v>
      </c>
      <c r="T521">
        <v>0</v>
      </c>
      <c r="U521" s="8">
        <v>39.72</v>
      </c>
      <c r="V521" s="8">
        <f t="shared" si="8"/>
        <v>4</v>
      </c>
    </row>
    <row r="522" spans="1:22" x14ac:dyDescent="0.3">
      <c r="A522" t="s">
        <v>349</v>
      </c>
      <c r="B522">
        <v>2</v>
      </c>
      <c r="C522" t="s">
        <v>226</v>
      </c>
      <c r="D522" t="s">
        <v>211</v>
      </c>
      <c r="E522" t="s">
        <v>219</v>
      </c>
      <c r="F522" t="s">
        <v>169</v>
      </c>
      <c r="G522" t="s">
        <v>134</v>
      </c>
      <c r="H522">
        <v>38</v>
      </c>
      <c r="I522">
        <v>23</v>
      </c>
      <c r="J522">
        <v>165.22</v>
      </c>
      <c r="K522" t="s">
        <v>245</v>
      </c>
      <c r="L522">
        <v>49.52</v>
      </c>
      <c r="M522">
        <v>3</v>
      </c>
      <c r="N522">
        <v>0</v>
      </c>
      <c r="O522">
        <v>22</v>
      </c>
      <c r="P522">
        <v>1</v>
      </c>
      <c r="Q522">
        <v>7.33</v>
      </c>
      <c r="R522">
        <v>17.34</v>
      </c>
      <c r="S522">
        <v>0</v>
      </c>
      <c r="T522">
        <v>0</v>
      </c>
      <c r="U522" s="8">
        <v>66.86</v>
      </c>
      <c r="V522" s="8">
        <f t="shared" si="8"/>
        <v>7</v>
      </c>
    </row>
    <row r="523" spans="1:22" x14ac:dyDescent="0.3">
      <c r="A523" t="s">
        <v>349</v>
      </c>
      <c r="B523">
        <v>2</v>
      </c>
      <c r="C523" t="s">
        <v>220</v>
      </c>
      <c r="D523" t="s">
        <v>221</v>
      </c>
      <c r="E523" t="s">
        <v>219</v>
      </c>
      <c r="F523" t="s">
        <v>109</v>
      </c>
      <c r="G523" t="s">
        <v>134</v>
      </c>
      <c r="H523">
        <v>31</v>
      </c>
      <c r="I523">
        <v>25</v>
      </c>
      <c r="J523">
        <v>124</v>
      </c>
      <c r="K523" t="s">
        <v>246</v>
      </c>
      <c r="L523">
        <v>38.4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 s="8">
        <v>38.4</v>
      </c>
      <c r="V523" s="8">
        <f t="shared" si="8"/>
        <v>4</v>
      </c>
    </row>
    <row r="524" spans="1:22" x14ac:dyDescent="0.3">
      <c r="A524" t="s">
        <v>349</v>
      </c>
      <c r="B524">
        <v>2</v>
      </c>
      <c r="C524" t="s">
        <v>229</v>
      </c>
      <c r="D524" t="s">
        <v>230</v>
      </c>
      <c r="E524" t="s">
        <v>219</v>
      </c>
      <c r="F524" t="s">
        <v>109</v>
      </c>
      <c r="G524" t="s">
        <v>134</v>
      </c>
      <c r="H524">
        <v>1</v>
      </c>
      <c r="I524">
        <v>3</v>
      </c>
      <c r="J524">
        <v>33.33</v>
      </c>
      <c r="K524" t="s">
        <v>248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 s="8">
        <v>0</v>
      </c>
      <c r="V524" s="8">
        <f t="shared" si="8"/>
        <v>0</v>
      </c>
    </row>
    <row r="525" spans="1:22" x14ac:dyDescent="0.3">
      <c r="A525" t="s">
        <v>349</v>
      </c>
      <c r="B525">
        <v>2</v>
      </c>
      <c r="C525" t="s">
        <v>273</v>
      </c>
      <c r="D525" t="s">
        <v>279</v>
      </c>
      <c r="E525" t="s">
        <v>219</v>
      </c>
      <c r="F525" t="s">
        <v>169</v>
      </c>
      <c r="G525" t="s">
        <v>134</v>
      </c>
      <c r="H525">
        <v>14</v>
      </c>
      <c r="I525">
        <v>7</v>
      </c>
      <c r="J525">
        <v>200</v>
      </c>
      <c r="K525" t="s">
        <v>245</v>
      </c>
      <c r="L525">
        <v>29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 s="8">
        <v>29</v>
      </c>
      <c r="V525" s="8">
        <f t="shared" si="8"/>
        <v>3</v>
      </c>
    </row>
    <row r="526" spans="1:22" x14ac:dyDescent="0.3">
      <c r="A526" t="s">
        <v>349</v>
      </c>
      <c r="B526">
        <v>2</v>
      </c>
      <c r="C526" t="s">
        <v>224</v>
      </c>
      <c r="D526" t="s">
        <v>225</v>
      </c>
      <c r="E526" t="s">
        <v>219</v>
      </c>
      <c r="F526" t="s">
        <v>169</v>
      </c>
      <c r="G526" t="s">
        <v>134</v>
      </c>
      <c r="H526">
        <v>13</v>
      </c>
      <c r="I526">
        <v>9</v>
      </c>
      <c r="J526">
        <v>144.44</v>
      </c>
      <c r="K526" t="s">
        <v>96</v>
      </c>
      <c r="L526">
        <v>27.44</v>
      </c>
      <c r="M526">
        <v>3</v>
      </c>
      <c r="N526">
        <v>0</v>
      </c>
      <c r="O526">
        <v>23</v>
      </c>
      <c r="P526">
        <v>1</v>
      </c>
      <c r="Q526">
        <v>7.67</v>
      </c>
      <c r="R526">
        <v>16.66</v>
      </c>
      <c r="S526">
        <v>0</v>
      </c>
      <c r="T526">
        <v>0</v>
      </c>
      <c r="U526" s="8">
        <v>44.1</v>
      </c>
      <c r="V526" s="8">
        <f t="shared" si="8"/>
        <v>4</v>
      </c>
    </row>
    <row r="527" spans="1:22" x14ac:dyDescent="0.3">
      <c r="A527" t="s">
        <v>349</v>
      </c>
      <c r="B527">
        <v>2</v>
      </c>
      <c r="C527" t="s">
        <v>233</v>
      </c>
      <c r="D527" t="s">
        <v>234</v>
      </c>
      <c r="E527" t="s">
        <v>219</v>
      </c>
      <c r="F527" t="s">
        <v>101</v>
      </c>
      <c r="G527" t="s">
        <v>134</v>
      </c>
      <c r="H527">
        <v>1</v>
      </c>
      <c r="I527">
        <v>3</v>
      </c>
      <c r="J527">
        <v>33.33</v>
      </c>
      <c r="K527" t="s">
        <v>96</v>
      </c>
      <c r="L527">
        <v>4.33</v>
      </c>
      <c r="M527">
        <v>4</v>
      </c>
      <c r="N527">
        <v>0</v>
      </c>
      <c r="O527">
        <v>26</v>
      </c>
      <c r="P527">
        <v>1</v>
      </c>
      <c r="Q527">
        <v>6.5</v>
      </c>
      <c r="R527">
        <v>19</v>
      </c>
      <c r="S527">
        <v>0</v>
      </c>
      <c r="T527">
        <v>0</v>
      </c>
      <c r="U527" s="8">
        <v>23.33</v>
      </c>
      <c r="V527" s="8">
        <f t="shared" si="8"/>
        <v>2</v>
      </c>
    </row>
    <row r="528" spans="1:22" x14ac:dyDescent="0.3">
      <c r="A528" t="s">
        <v>349</v>
      </c>
      <c r="B528">
        <v>2</v>
      </c>
      <c r="C528" t="s">
        <v>237</v>
      </c>
      <c r="D528" t="s">
        <v>238</v>
      </c>
      <c r="E528" t="s">
        <v>219</v>
      </c>
      <c r="F528" t="s">
        <v>101</v>
      </c>
      <c r="G528" t="s">
        <v>104</v>
      </c>
      <c r="H528">
        <v>0</v>
      </c>
      <c r="I528">
        <v>0</v>
      </c>
      <c r="J528">
        <v>0</v>
      </c>
      <c r="K528" t="s">
        <v>104</v>
      </c>
      <c r="L528">
        <v>0</v>
      </c>
      <c r="M528">
        <v>4</v>
      </c>
      <c r="N528">
        <v>0</v>
      </c>
      <c r="O528">
        <v>24</v>
      </c>
      <c r="P528">
        <v>2</v>
      </c>
      <c r="Q528">
        <v>6</v>
      </c>
      <c r="R528">
        <v>28</v>
      </c>
      <c r="S528">
        <v>0</v>
      </c>
      <c r="T528">
        <v>0</v>
      </c>
      <c r="U528" s="8">
        <v>28</v>
      </c>
      <c r="V528" s="8">
        <f t="shared" si="8"/>
        <v>3</v>
      </c>
    </row>
    <row r="529" spans="1:22" x14ac:dyDescent="0.3">
      <c r="A529" t="s">
        <v>349</v>
      </c>
      <c r="B529">
        <v>2</v>
      </c>
      <c r="C529" t="s">
        <v>377</v>
      </c>
      <c r="D529" t="s">
        <v>378</v>
      </c>
      <c r="E529" t="s">
        <v>219</v>
      </c>
      <c r="F529" t="s">
        <v>101</v>
      </c>
      <c r="G529" t="s">
        <v>104</v>
      </c>
      <c r="H529">
        <v>0</v>
      </c>
      <c r="I529">
        <v>0</v>
      </c>
      <c r="J529">
        <v>0</v>
      </c>
      <c r="K529" t="s">
        <v>104</v>
      </c>
      <c r="L529">
        <v>0</v>
      </c>
      <c r="M529">
        <v>2</v>
      </c>
      <c r="N529">
        <v>0</v>
      </c>
      <c r="O529">
        <v>23</v>
      </c>
      <c r="P529">
        <v>0</v>
      </c>
      <c r="Q529">
        <v>11.5</v>
      </c>
      <c r="R529">
        <v>0</v>
      </c>
      <c r="S529">
        <v>0</v>
      </c>
      <c r="T529">
        <v>0</v>
      </c>
      <c r="U529" s="8">
        <v>0</v>
      </c>
      <c r="V529" s="8">
        <f t="shared" si="8"/>
        <v>0</v>
      </c>
    </row>
    <row r="530" spans="1:22" x14ac:dyDescent="0.3">
      <c r="A530" t="s">
        <v>350</v>
      </c>
      <c r="B530">
        <v>2</v>
      </c>
      <c r="C530" t="s">
        <v>81</v>
      </c>
      <c r="D530" t="s">
        <v>114</v>
      </c>
      <c r="E530" t="s">
        <v>258</v>
      </c>
      <c r="F530" t="s">
        <v>85</v>
      </c>
      <c r="G530" t="s">
        <v>86</v>
      </c>
      <c r="H530">
        <v>24</v>
      </c>
      <c r="I530">
        <v>22</v>
      </c>
      <c r="J530">
        <v>109.09</v>
      </c>
      <c r="K530" t="s">
        <v>246</v>
      </c>
      <c r="L530">
        <v>29.91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 s="8">
        <v>29.91</v>
      </c>
      <c r="V530" s="8">
        <f t="shared" si="8"/>
        <v>3</v>
      </c>
    </row>
    <row r="531" spans="1:22" x14ac:dyDescent="0.3">
      <c r="A531" t="s">
        <v>350</v>
      </c>
      <c r="B531">
        <v>2</v>
      </c>
      <c r="C531" t="s">
        <v>408</v>
      </c>
      <c r="D531" t="s">
        <v>382</v>
      </c>
      <c r="E531" t="s">
        <v>258</v>
      </c>
      <c r="F531" t="s">
        <v>109</v>
      </c>
      <c r="G531" t="s">
        <v>86</v>
      </c>
      <c r="H531">
        <v>0</v>
      </c>
      <c r="I531">
        <v>2</v>
      </c>
      <c r="J531">
        <v>0</v>
      </c>
      <c r="K531" t="s">
        <v>247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 s="8">
        <v>0</v>
      </c>
      <c r="V531" s="8">
        <f t="shared" si="8"/>
        <v>0</v>
      </c>
    </row>
    <row r="532" spans="1:22" x14ac:dyDescent="0.3">
      <c r="A532" t="s">
        <v>350</v>
      </c>
      <c r="B532">
        <v>2</v>
      </c>
      <c r="C532" t="s">
        <v>89</v>
      </c>
      <c r="D532" t="s">
        <v>116</v>
      </c>
      <c r="E532" t="s">
        <v>258</v>
      </c>
      <c r="F532" t="s">
        <v>169</v>
      </c>
      <c r="G532" t="s">
        <v>92</v>
      </c>
      <c r="H532">
        <v>8</v>
      </c>
      <c r="I532">
        <v>9</v>
      </c>
      <c r="J532">
        <v>88.89</v>
      </c>
      <c r="K532" t="s">
        <v>247</v>
      </c>
      <c r="L532">
        <v>11.89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 s="8">
        <v>11.89</v>
      </c>
      <c r="V532" s="8">
        <f t="shared" si="8"/>
        <v>1</v>
      </c>
    </row>
    <row r="533" spans="1:22" x14ac:dyDescent="0.3">
      <c r="A533" t="s">
        <v>350</v>
      </c>
      <c r="B533">
        <v>2</v>
      </c>
      <c r="C533" t="s">
        <v>383</v>
      </c>
      <c r="D533" t="s">
        <v>384</v>
      </c>
      <c r="E533" t="s">
        <v>258</v>
      </c>
      <c r="F533" t="s">
        <v>109</v>
      </c>
      <c r="G533" t="s">
        <v>92</v>
      </c>
      <c r="H533">
        <v>7</v>
      </c>
      <c r="I533">
        <v>8</v>
      </c>
      <c r="J533">
        <v>87.5</v>
      </c>
      <c r="K533" t="s">
        <v>246</v>
      </c>
      <c r="L533">
        <v>10.75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 s="8">
        <v>10.75</v>
      </c>
      <c r="V533" s="8">
        <f t="shared" si="8"/>
        <v>1</v>
      </c>
    </row>
    <row r="534" spans="1:22" x14ac:dyDescent="0.3">
      <c r="A534" t="s">
        <v>350</v>
      </c>
      <c r="B534">
        <v>2</v>
      </c>
      <c r="C534" t="s">
        <v>97</v>
      </c>
      <c r="D534" t="s">
        <v>122</v>
      </c>
      <c r="E534" t="s">
        <v>258</v>
      </c>
      <c r="F534" t="s">
        <v>109</v>
      </c>
      <c r="G534" t="s">
        <v>134</v>
      </c>
      <c r="H534">
        <v>3</v>
      </c>
      <c r="I534">
        <v>8</v>
      </c>
      <c r="J534">
        <v>37.5</v>
      </c>
      <c r="K534" t="s">
        <v>246</v>
      </c>
      <c r="L534">
        <v>1.75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 s="8">
        <v>1.75</v>
      </c>
      <c r="V534" s="8">
        <f t="shared" si="8"/>
        <v>0</v>
      </c>
    </row>
    <row r="535" spans="1:22" x14ac:dyDescent="0.3">
      <c r="A535" t="s">
        <v>350</v>
      </c>
      <c r="B535">
        <v>2</v>
      </c>
      <c r="C535" t="s">
        <v>93</v>
      </c>
      <c r="D535" t="s">
        <v>118</v>
      </c>
      <c r="E535" t="s">
        <v>258</v>
      </c>
      <c r="F535" t="s">
        <v>169</v>
      </c>
      <c r="G535" t="s">
        <v>134</v>
      </c>
      <c r="H535">
        <v>15</v>
      </c>
      <c r="I535">
        <v>22</v>
      </c>
      <c r="J535">
        <v>68.180000000000007</v>
      </c>
      <c r="K535" t="s">
        <v>246</v>
      </c>
      <c r="L535">
        <v>16.82</v>
      </c>
      <c r="M535">
        <v>4</v>
      </c>
      <c r="N535">
        <v>0</v>
      </c>
      <c r="O535">
        <v>23</v>
      </c>
      <c r="P535">
        <v>0</v>
      </c>
      <c r="Q535">
        <v>5.75</v>
      </c>
      <c r="R535">
        <v>0</v>
      </c>
      <c r="S535">
        <v>0</v>
      </c>
      <c r="T535">
        <v>0</v>
      </c>
      <c r="U535" s="8">
        <v>16.82</v>
      </c>
      <c r="V535" s="8">
        <f t="shared" si="8"/>
        <v>2</v>
      </c>
    </row>
    <row r="536" spans="1:22" x14ac:dyDescent="0.3">
      <c r="A536" t="s">
        <v>350</v>
      </c>
      <c r="B536">
        <v>2</v>
      </c>
      <c r="C536" t="s">
        <v>385</v>
      </c>
      <c r="D536" t="s">
        <v>386</v>
      </c>
      <c r="E536" t="s">
        <v>258</v>
      </c>
      <c r="F536" t="s">
        <v>169</v>
      </c>
      <c r="G536" t="s">
        <v>134</v>
      </c>
      <c r="H536">
        <v>25</v>
      </c>
      <c r="I536">
        <v>24</v>
      </c>
      <c r="J536">
        <v>104.17</v>
      </c>
      <c r="K536" t="s">
        <v>96</v>
      </c>
      <c r="L536">
        <v>35.42</v>
      </c>
      <c r="M536">
        <v>3</v>
      </c>
      <c r="N536">
        <v>1</v>
      </c>
      <c r="O536">
        <v>22</v>
      </c>
      <c r="P536">
        <v>1</v>
      </c>
      <c r="Q536">
        <v>7.33</v>
      </c>
      <c r="R536">
        <v>15.34</v>
      </c>
      <c r="S536">
        <v>0</v>
      </c>
      <c r="T536">
        <v>0</v>
      </c>
      <c r="U536" s="8">
        <v>50.76</v>
      </c>
      <c r="V536" s="8">
        <f t="shared" si="8"/>
        <v>5</v>
      </c>
    </row>
    <row r="537" spans="1:22" x14ac:dyDescent="0.3">
      <c r="A537" t="s">
        <v>350</v>
      </c>
      <c r="B537">
        <v>2</v>
      </c>
      <c r="C537" t="s">
        <v>102</v>
      </c>
      <c r="D537" t="s">
        <v>126</v>
      </c>
      <c r="E537" t="s">
        <v>258</v>
      </c>
      <c r="F537" t="s">
        <v>101</v>
      </c>
      <c r="G537" t="s">
        <v>134</v>
      </c>
      <c r="H537">
        <v>0</v>
      </c>
      <c r="I537">
        <v>2</v>
      </c>
      <c r="J537">
        <v>0</v>
      </c>
      <c r="K537" t="s">
        <v>245</v>
      </c>
      <c r="L537">
        <v>0</v>
      </c>
      <c r="M537">
        <v>2.1</v>
      </c>
      <c r="N537">
        <v>0</v>
      </c>
      <c r="O537">
        <v>21</v>
      </c>
      <c r="P537">
        <v>0</v>
      </c>
      <c r="Q537">
        <v>9.6999999999999993</v>
      </c>
      <c r="R537">
        <v>0</v>
      </c>
      <c r="S537">
        <v>0</v>
      </c>
      <c r="T537">
        <v>0</v>
      </c>
      <c r="U537" s="8">
        <v>0</v>
      </c>
      <c r="V537" s="8">
        <f t="shared" si="8"/>
        <v>0</v>
      </c>
    </row>
    <row r="538" spans="1:22" x14ac:dyDescent="0.3">
      <c r="A538" t="s">
        <v>350</v>
      </c>
      <c r="B538">
        <v>2</v>
      </c>
      <c r="C538" t="s">
        <v>105</v>
      </c>
      <c r="D538" t="s">
        <v>128</v>
      </c>
      <c r="E538" t="s">
        <v>258</v>
      </c>
      <c r="F538" t="s">
        <v>101</v>
      </c>
      <c r="G538" t="s">
        <v>134</v>
      </c>
      <c r="H538">
        <v>28</v>
      </c>
      <c r="I538">
        <v>21</v>
      </c>
      <c r="J538">
        <v>133.33000000000001</v>
      </c>
      <c r="K538" t="s">
        <v>248</v>
      </c>
      <c r="L538">
        <v>36.33</v>
      </c>
      <c r="M538">
        <v>4</v>
      </c>
      <c r="N538">
        <v>0</v>
      </c>
      <c r="O538">
        <v>21</v>
      </c>
      <c r="P538">
        <v>2</v>
      </c>
      <c r="Q538">
        <v>5.25</v>
      </c>
      <c r="R538">
        <v>29.5</v>
      </c>
      <c r="S538">
        <v>0</v>
      </c>
      <c r="T538">
        <v>0</v>
      </c>
      <c r="U538" s="8">
        <v>65.83</v>
      </c>
      <c r="V538" s="8">
        <f t="shared" si="8"/>
        <v>7</v>
      </c>
    </row>
    <row r="539" spans="1:22" x14ac:dyDescent="0.3">
      <c r="A539" t="s">
        <v>350</v>
      </c>
      <c r="B539">
        <v>2</v>
      </c>
      <c r="C539" t="s">
        <v>387</v>
      </c>
      <c r="D539" t="s">
        <v>388</v>
      </c>
      <c r="E539" t="s">
        <v>258</v>
      </c>
      <c r="F539" t="s">
        <v>101</v>
      </c>
      <c r="G539" t="s">
        <v>134</v>
      </c>
      <c r="H539">
        <v>0</v>
      </c>
      <c r="I539">
        <v>2</v>
      </c>
      <c r="J539">
        <v>0</v>
      </c>
      <c r="K539" t="s">
        <v>248</v>
      </c>
      <c r="L539">
        <v>0</v>
      </c>
      <c r="M539">
        <v>3</v>
      </c>
      <c r="N539">
        <v>0</v>
      </c>
      <c r="O539">
        <v>17</v>
      </c>
      <c r="P539">
        <v>1</v>
      </c>
      <c r="Q539">
        <v>5.67</v>
      </c>
      <c r="R539">
        <v>18.66</v>
      </c>
      <c r="S539">
        <v>0</v>
      </c>
      <c r="T539">
        <v>0</v>
      </c>
      <c r="U539" s="8">
        <v>18.66</v>
      </c>
      <c r="V539" s="8">
        <f t="shared" si="8"/>
        <v>2</v>
      </c>
    </row>
    <row r="540" spans="1:22" x14ac:dyDescent="0.3">
      <c r="A540" t="s">
        <v>350</v>
      </c>
      <c r="B540">
        <v>2</v>
      </c>
      <c r="C540" t="s">
        <v>389</v>
      </c>
      <c r="D540" t="s">
        <v>390</v>
      </c>
      <c r="E540" t="s">
        <v>258</v>
      </c>
      <c r="F540" t="s">
        <v>101</v>
      </c>
      <c r="G540" t="s">
        <v>104</v>
      </c>
      <c r="H540">
        <v>0</v>
      </c>
      <c r="I540">
        <v>0</v>
      </c>
      <c r="J540">
        <v>0</v>
      </c>
      <c r="K540" t="s">
        <v>104</v>
      </c>
      <c r="L540">
        <v>0</v>
      </c>
      <c r="M540">
        <v>2</v>
      </c>
      <c r="N540">
        <v>0</v>
      </c>
      <c r="O540">
        <v>19</v>
      </c>
      <c r="P540">
        <v>0</v>
      </c>
      <c r="Q540">
        <v>9.5</v>
      </c>
      <c r="R540">
        <v>0</v>
      </c>
      <c r="S540">
        <v>0</v>
      </c>
      <c r="T540">
        <v>0</v>
      </c>
      <c r="U540" s="8">
        <v>0</v>
      </c>
      <c r="V540" s="8">
        <f t="shared" si="8"/>
        <v>0</v>
      </c>
    </row>
    <row r="541" spans="1:22" x14ac:dyDescent="0.3">
      <c r="A541" t="s">
        <v>350</v>
      </c>
      <c r="B541">
        <v>2</v>
      </c>
      <c r="C541" t="s">
        <v>113</v>
      </c>
      <c r="D541" t="s">
        <v>84</v>
      </c>
      <c r="E541" t="s">
        <v>266</v>
      </c>
      <c r="F541" t="s">
        <v>85</v>
      </c>
      <c r="G541" t="s">
        <v>86</v>
      </c>
      <c r="H541">
        <v>7</v>
      </c>
      <c r="I541">
        <v>7</v>
      </c>
      <c r="J541">
        <v>100</v>
      </c>
      <c r="K541" t="s">
        <v>246</v>
      </c>
      <c r="L541">
        <v>12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 s="8">
        <v>12</v>
      </c>
      <c r="V541" s="8">
        <f t="shared" si="8"/>
        <v>1</v>
      </c>
    </row>
    <row r="542" spans="1:22" x14ac:dyDescent="0.3">
      <c r="A542" t="s">
        <v>350</v>
      </c>
      <c r="B542">
        <v>2</v>
      </c>
      <c r="C542" t="s">
        <v>112</v>
      </c>
      <c r="D542" t="s">
        <v>88</v>
      </c>
      <c r="E542" t="s">
        <v>266</v>
      </c>
      <c r="F542" t="s">
        <v>169</v>
      </c>
      <c r="G542" t="s">
        <v>86</v>
      </c>
      <c r="H542">
        <v>7</v>
      </c>
      <c r="I542">
        <v>11</v>
      </c>
      <c r="J542">
        <v>63.64</v>
      </c>
      <c r="K542" t="s">
        <v>246</v>
      </c>
      <c r="L542">
        <v>8.36</v>
      </c>
      <c r="M542">
        <v>4</v>
      </c>
      <c r="N542">
        <v>0</v>
      </c>
      <c r="O542">
        <v>33</v>
      </c>
      <c r="P542">
        <v>1</v>
      </c>
      <c r="Q542">
        <v>8.25</v>
      </c>
      <c r="R542">
        <v>23.5</v>
      </c>
      <c r="S542">
        <v>0</v>
      </c>
      <c r="T542">
        <v>0</v>
      </c>
      <c r="U542" s="8">
        <v>31.86</v>
      </c>
      <c r="V542" s="8">
        <f t="shared" si="8"/>
        <v>3</v>
      </c>
    </row>
    <row r="543" spans="1:22" x14ac:dyDescent="0.3">
      <c r="A543" t="s">
        <v>350</v>
      </c>
      <c r="B543">
        <v>2</v>
      </c>
      <c r="C543" t="s">
        <v>117</v>
      </c>
      <c r="D543" t="s">
        <v>90</v>
      </c>
      <c r="E543" t="s">
        <v>266</v>
      </c>
      <c r="F543" t="s">
        <v>169</v>
      </c>
      <c r="G543" t="s">
        <v>92</v>
      </c>
      <c r="H543">
        <v>22</v>
      </c>
      <c r="I543">
        <v>18</v>
      </c>
      <c r="J543">
        <v>122.22</v>
      </c>
      <c r="K543" t="s">
        <v>256</v>
      </c>
      <c r="L543">
        <v>29.22</v>
      </c>
      <c r="M543">
        <v>2</v>
      </c>
      <c r="N543">
        <v>0</v>
      </c>
      <c r="O543">
        <v>14</v>
      </c>
      <c r="P543">
        <v>1</v>
      </c>
      <c r="Q543">
        <v>7</v>
      </c>
      <c r="R543">
        <v>10</v>
      </c>
      <c r="S543">
        <v>0</v>
      </c>
      <c r="T543">
        <v>0</v>
      </c>
      <c r="U543" s="8">
        <v>39.22</v>
      </c>
      <c r="V543" s="8">
        <f t="shared" si="8"/>
        <v>4</v>
      </c>
    </row>
    <row r="544" spans="1:22" x14ac:dyDescent="0.3">
      <c r="A544" t="s">
        <v>350</v>
      </c>
      <c r="B544">
        <v>2</v>
      </c>
      <c r="C544" t="s">
        <v>115</v>
      </c>
      <c r="D544" t="s">
        <v>17</v>
      </c>
      <c r="E544" t="s">
        <v>266</v>
      </c>
      <c r="F544" t="s">
        <v>169</v>
      </c>
      <c r="G544" t="s">
        <v>92</v>
      </c>
      <c r="H544">
        <v>46</v>
      </c>
      <c r="I544">
        <v>41</v>
      </c>
      <c r="J544">
        <v>112.2</v>
      </c>
      <c r="K544" t="s">
        <v>96</v>
      </c>
      <c r="L544">
        <v>57.2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 s="8">
        <v>57.2</v>
      </c>
      <c r="V544" s="8">
        <f t="shared" si="8"/>
        <v>6</v>
      </c>
    </row>
    <row r="545" spans="1:22" x14ac:dyDescent="0.3">
      <c r="A545" t="s">
        <v>350</v>
      </c>
      <c r="B545">
        <v>2</v>
      </c>
      <c r="C545" t="s">
        <v>119</v>
      </c>
      <c r="D545" t="s">
        <v>95</v>
      </c>
      <c r="E545" t="s">
        <v>266</v>
      </c>
      <c r="F545" t="s">
        <v>169</v>
      </c>
      <c r="G545" t="s">
        <v>134</v>
      </c>
      <c r="H545">
        <v>31</v>
      </c>
      <c r="I545">
        <v>25</v>
      </c>
      <c r="J545">
        <v>124</v>
      </c>
      <c r="K545" t="s">
        <v>247</v>
      </c>
      <c r="L545">
        <v>38.4</v>
      </c>
      <c r="M545">
        <v>4</v>
      </c>
      <c r="N545">
        <v>0</v>
      </c>
      <c r="O545">
        <v>17</v>
      </c>
      <c r="P545">
        <v>4</v>
      </c>
      <c r="Q545">
        <v>4.25</v>
      </c>
      <c r="R545">
        <v>63.5</v>
      </c>
      <c r="S545">
        <v>0</v>
      </c>
      <c r="T545">
        <v>0</v>
      </c>
      <c r="U545" s="8">
        <v>101.9</v>
      </c>
      <c r="V545" s="8">
        <f t="shared" si="8"/>
        <v>10</v>
      </c>
    </row>
    <row r="546" spans="1:22" x14ac:dyDescent="0.3">
      <c r="A546" t="s">
        <v>350</v>
      </c>
      <c r="B546">
        <v>2</v>
      </c>
      <c r="C546" t="s">
        <v>123</v>
      </c>
      <c r="D546" t="s">
        <v>98</v>
      </c>
      <c r="E546" t="s">
        <v>266</v>
      </c>
      <c r="F546" t="s">
        <v>169</v>
      </c>
      <c r="G546" t="s">
        <v>134</v>
      </c>
      <c r="H546">
        <v>1</v>
      </c>
      <c r="I546">
        <v>2</v>
      </c>
      <c r="J546">
        <v>50</v>
      </c>
      <c r="K546" t="s">
        <v>245</v>
      </c>
      <c r="L546">
        <v>1</v>
      </c>
      <c r="M546">
        <v>2</v>
      </c>
      <c r="N546">
        <v>0</v>
      </c>
      <c r="O546">
        <v>9</v>
      </c>
      <c r="P546">
        <v>0</v>
      </c>
      <c r="Q546">
        <v>4.5</v>
      </c>
      <c r="R546">
        <v>0</v>
      </c>
      <c r="S546">
        <v>0</v>
      </c>
      <c r="T546">
        <v>0</v>
      </c>
      <c r="U546" s="8">
        <v>1</v>
      </c>
      <c r="V546" s="8">
        <f t="shared" si="8"/>
        <v>0</v>
      </c>
    </row>
    <row r="547" spans="1:22" x14ac:dyDescent="0.3">
      <c r="A547" t="s">
        <v>350</v>
      </c>
      <c r="B547">
        <v>2</v>
      </c>
      <c r="C547" t="s">
        <v>121</v>
      </c>
      <c r="D547" t="s">
        <v>108</v>
      </c>
      <c r="E547" t="s">
        <v>266</v>
      </c>
      <c r="F547" t="s">
        <v>169</v>
      </c>
      <c r="G547" t="s">
        <v>134</v>
      </c>
      <c r="H547">
        <v>0</v>
      </c>
      <c r="I547">
        <v>5</v>
      </c>
      <c r="J547">
        <v>0</v>
      </c>
      <c r="K547" t="s">
        <v>96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 s="8">
        <v>0</v>
      </c>
      <c r="V547" s="8">
        <f t="shared" si="8"/>
        <v>0</v>
      </c>
    </row>
    <row r="548" spans="1:22" x14ac:dyDescent="0.3">
      <c r="A548" t="s">
        <v>350</v>
      </c>
      <c r="B548">
        <v>2</v>
      </c>
      <c r="C548" t="s">
        <v>347</v>
      </c>
      <c r="D548" t="s">
        <v>348</v>
      </c>
      <c r="E548" t="s">
        <v>266</v>
      </c>
      <c r="F548" t="s">
        <v>109</v>
      </c>
      <c r="G548" t="s">
        <v>104</v>
      </c>
      <c r="H548">
        <v>0</v>
      </c>
      <c r="I548">
        <v>0</v>
      </c>
      <c r="J548">
        <v>0</v>
      </c>
      <c r="K548" t="s">
        <v>104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 s="8">
        <v>0</v>
      </c>
      <c r="V548" s="8">
        <f t="shared" si="8"/>
        <v>0</v>
      </c>
    </row>
    <row r="549" spans="1:22" x14ac:dyDescent="0.3">
      <c r="A549" t="s">
        <v>350</v>
      </c>
      <c r="B549">
        <v>2</v>
      </c>
      <c r="C549" t="s">
        <v>265</v>
      </c>
      <c r="D549" t="s">
        <v>264</v>
      </c>
      <c r="E549" t="s">
        <v>266</v>
      </c>
      <c r="F549" t="s">
        <v>101</v>
      </c>
      <c r="G549" t="s">
        <v>104</v>
      </c>
      <c r="H549">
        <v>0</v>
      </c>
      <c r="I549">
        <v>0</v>
      </c>
      <c r="J549">
        <v>0</v>
      </c>
      <c r="K549" t="s">
        <v>104</v>
      </c>
      <c r="L549">
        <v>0</v>
      </c>
      <c r="M549">
        <v>4</v>
      </c>
      <c r="N549">
        <v>0</v>
      </c>
      <c r="O549">
        <v>18</v>
      </c>
      <c r="P549">
        <v>3</v>
      </c>
      <c r="Q549">
        <v>4.5</v>
      </c>
      <c r="R549">
        <v>51</v>
      </c>
      <c r="S549">
        <v>0</v>
      </c>
      <c r="T549">
        <v>0</v>
      </c>
      <c r="U549" s="8">
        <v>51</v>
      </c>
      <c r="V549" s="8">
        <f t="shared" si="8"/>
        <v>5</v>
      </c>
    </row>
    <row r="550" spans="1:22" x14ac:dyDescent="0.3">
      <c r="A550" t="s">
        <v>350</v>
      </c>
      <c r="B550">
        <v>2</v>
      </c>
      <c r="C550" t="s">
        <v>345</v>
      </c>
      <c r="D550" t="s">
        <v>346</v>
      </c>
      <c r="E550" t="s">
        <v>266</v>
      </c>
      <c r="F550" t="s">
        <v>169</v>
      </c>
      <c r="G550" t="s">
        <v>104</v>
      </c>
      <c r="H550">
        <v>0</v>
      </c>
      <c r="I550">
        <v>0</v>
      </c>
      <c r="J550">
        <v>0</v>
      </c>
      <c r="K550" t="s">
        <v>104</v>
      </c>
      <c r="L550">
        <v>0</v>
      </c>
      <c r="M550">
        <v>3</v>
      </c>
      <c r="N550">
        <v>0</v>
      </c>
      <c r="O550">
        <v>19</v>
      </c>
      <c r="P550">
        <v>0</v>
      </c>
      <c r="Q550">
        <v>6.33</v>
      </c>
      <c r="R550">
        <v>0</v>
      </c>
      <c r="S550">
        <v>0</v>
      </c>
      <c r="T550">
        <v>0</v>
      </c>
      <c r="U550" s="8">
        <v>0</v>
      </c>
      <c r="V550" s="8">
        <f t="shared" si="8"/>
        <v>0</v>
      </c>
    </row>
    <row r="551" spans="1:22" x14ac:dyDescent="0.3">
      <c r="A551" t="s">
        <v>350</v>
      </c>
      <c r="B551">
        <v>2</v>
      </c>
      <c r="C551" t="s">
        <v>131</v>
      </c>
      <c r="D551" t="s">
        <v>106</v>
      </c>
      <c r="E551" t="s">
        <v>266</v>
      </c>
      <c r="F551" t="s">
        <v>101</v>
      </c>
      <c r="G551" t="s">
        <v>104</v>
      </c>
      <c r="H551">
        <v>0</v>
      </c>
      <c r="I551">
        <v>0</v>
      </c>
      <c r="J551">
        <v>0</v>
      </c>
      <c r="K551" t="s">
        <v>104</v>
      </c>
      <c r="L551">
        <v>0</v>
      </c>
      <c r="M551">
        <v>1</v>
      </c>
      <c r="N551">
        <v>0</v>
      </c>
      <c r="O551">
        <v>8</v>
      </c>
      <c r="P551">
        <v>0</v>
      </c>
      <c r="Q551">
        <v>8</v>
      </c>
      <c r="R551">
        <v>0</v>
      </c>
      <c r="S551">
        <v>0</v>
      </c>
      <c r="T551">
        <v>0</v>
      </c>
      <c r="U551" s="8">
        <v>0</v>
      </c>
      <c r="V551" s="8">
        <f t="shared" si="8"/>
        <v>0</v>
      </c>
    </row>
    <row r="552" spans="1:22" x14ac:dyDescent="0.3">
      <c r="A552" t="s">
        <v>351</v>
      </c>
      <c r="B552">
        <v>1</v>
      </c>
      <c r="C552" t="s">
        <v>217</v>
      </c>
      <c r="D552" t="s">
        <v>218</v>
      </c>
      <c r="E552" t="s">
        <v>219</v>
      </c>
      <c r="F552" t="s">
        <v>85</v>
      </c>
      <c r="G552" t="s">
        <v>86</v>
      </c>
      <c r="H552">
        <v>13</v>
      </c>
      <c r="I552">
        <v>15</v>
      </c>
      <c r="J552">
        <v>86.67</v>
      </c>
      <c r="K552" t="s">
        <v>246</v>
      </c>
      <c r="L552">
        <v>16.670000000000002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 s="8">
        <v>16.670000000000002</v>
      </c>
      <c r="V552" s="8">
        <f t="shared" si="8"/>
        <v>2</v>
      </c>
    </row>
    <row r="553" spans="1:22" x14ac:dyDescent="0.3">
      <c r="A553" t="s">
        <v>351</v>
      </c>
      <c r="B553">
        <v>1</v>
      </c>
      <c r="C553" t="s">
        <v>375</v>
      </c>
      <c r="D553" t="s">
        <v>376</v>
      </c>
      <c r="E553" t="s">
        <v>219</v>
      </c>
      <c r="F553" t="s">
        <v>109</v>
      </c>
      <c r="G553" t="s">
        <v>86</v>
      </c>
      <c r="H553">
        <v>0</v>
      </c>
      <c r="I553">
        <v>5</v>
      </c>
      <c r="J553">
        <v>0</v>
      </c>
      <c r="K553" t="s">
        <v>246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 s="8">
        <v>0</v>
      </c>
      <c r="V553" s="8">
        <f t="shared" si="8"/>
        <v>0</v>
      </c>
    </row>
    <row r="554" spans="1:22" x14ac:dyDescent="0.3">
      <c r="A554" t="s">
        <v>351</v>
      </c>
      <c r="B554">
        <v>1</v>
      </c>
      <c r="C554" t="s">
        <v>222</v>
      </c>
      <c r="D554" t="s">
        <v>223</v>
      </c>
      <c r="E554" t="s">
        <v>219</v>
      </c>
      <c r="F554" t="s">
        <v>169</v>
      </c>
      <c r="G554" t="s">
        <v>92</v>
      </c>
      <c r="H554">
        <v>1</v>
      </c>
      <c r="I554">
        <v>8</v>
      </c>
      <c r="J554">
        <v>12.5</v>
      </c>
      <c r="K554" t="s">
        <v>245</v>
      </c>
      <c r="L554">
        <v>0</v>
      </c>
      <c r="M554">
        <v>2</v>
      </c>
      <c r="N554">
        <v>0</v>
      </c>
      <c r="O554">
        <v>25</v>
      </c>
      <c r="P554">
        <v>0</v>
      </c>
      <c r="Q554">
        <v>12.5</v>
      </c>
      <c r="R554">
        <v>0</v>
      </c>
      <c r="S554">
        <v>0</v>
      </c>
      <c r="T554">
        <v>0</v>
      </c>
      <c r="U554" s="8">
        <v>0</v>
      </c>
      <c r="V554" s="8">
        <f t="shared" si="8"/>
        <v>0</v>
      </c>
    </row>
    <row r="555" spans="1:22" x14ac:dyDescent="0.3">
      <c r="A555" t="s">
        <v>351</v>
      </c>
      <c r="B555">
        <v>1</v>
      </c>
      <c r="C555" t="s">
        <v>226</v>
      </c>
      <c r="D555" t="s">
        <v>211</v>
      </c>
      <c r="E555" t="s">
        <v>219</v>
      </c>
      <c r="F555" t="s">
        <v>169</v>
      </c>
      <c r="G555" t="s">
        <v>134</v>
      </c>
      <c r="H555">
        <v>17</v>
      </c>
      <c r="I555">
        <v>18</v>
      </c>
      <c r="J555">
        <v>94.44</v>
      </c>
      <c r="K555" t="s">
        <v>246</v>
      </c>
      <c r="L555">
        <v>21.44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 s="8">
        <v>21.44</v>
      </c>
      <c r="V555" s="8">
        <f t="shared" si="8"/>
        <v>2</v>
      </c>
    </row>
    <row r="556" spans="1:22" x14ac:dyDescent="0.3">
      <c r="A556" t="s">
        <v>351</v>
      </c>
      <c r="B556">
        <v>1</v>
      </c>
      <c r="C556" t="s">
        <v>220</v>
      </c>
      <c r="D556" t="s">
        <v>221</v>
      </c>
      <c r="E556" t="s">
        <v>219</v>
      </c>
      <c r="F556" t="s">
        <v>109</v>
      </c>
      <c r="G556" t="s">
        <v>134</v>
      </c>
      <c r="H556">
        <v>45</v>
      </c>
      <c r="I556">
        <v>42</v>
      </c>
      <c r="J556">
        <v>107.14</v>
      </c>
      <c r="K556" t="s">
        <v>248</v>
      </c>
      <c r="L556">
        <v>50.71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 s="8">
        <v>50.71</v>
      </c>
      <c r="V556" s="8">
        <f t="shared" si="8"/>
        <v>5</v>
      </c>
    </row>
    <row r="557" spans="1:22" x14ac:dyDescent="0.3">
      <c r="A557" t="s">
        <v>351</v>
      </c>
      <c r="B557">
        <v>1</v>
      </c>
      <c r="C557" t="s">
        <v>229</v>
      </c>
      <c r="D557" t="s">
        <v>230</v>
      </c>
      <c r="E557" t="s">
        <v>219</v>
      </c>
      <c r="F557" t="s">
        <v>109</v>
      </c>
      <c r="G557" t="s">
        <v>134</v>
      </c>
      <c r="H557">
        <v>10</v>
      </c>
      <c r="I557">
        <v>7</v>
      </c>
      <c r="J557">
        <v>142.86000000000001</v>
      </c>
      <c r="K557" t="s">
        <v>246</v>
      </c>
      <c r="L557">
        <v>19.29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 s="8">
        <v>19.29</v>
      </c>
      <c r="V557" s="8">
        <f t="shared" si="8"/>
        <v>2</v>
      </c>
    </row>
    <row r="558" spans="1:22" x14ac:dyDescent="0.3">
      <c r="A558" t="s">
        <v>351</v>
      </c>
      <c r="B558">
        <v>1</v>
      </c>
      <c r="C558" t="s">
        <v>273</v>
      </c>
      <c r="D558" t="s">
        <v>279</v>
      </c>
      <c r="E558" t="s">
        <v>219</v>
      </c>
      <c r="F558" t="s">
        <v>169</v>
      </c>
      <c r="G558" t="s">
        <v>134</v>
      </c>
      <c r="H558">
        <v>10</v>
      </c>
      <c r="I558">
        <v>9</v>
      </c>
      <c r="J558">
        <v>111.11</v>
      </c>
      <c r="K558" t="s">
        <v>246</v>
      </c>
      <c r="L558">
        <v>16.11</v>
      </c>
      <c r="M558">
        <v>1</v>
      </c>
      <c r="N558">
        <v>0</v>
      </c>
      <c r="O558">
        <v>7</v>
      </c>
      <c r="P558">
        <v>0</v>
      </c>
      <c r="Q558">
        <v>7</v>
      </c>
      <c r="R558">
        <v>0</v>
      </c>
      <c r="S558">
        <v>0</v>
      </c>
      <c r="T558">
        <v>0</v>
      </c>
      <c r="U558" s="8">
        <v>16.11</v>
      </c>
      <c r="V558" s="8">
        <f t="shared" si="8"/>
        <v>2</v>
      </c>
    </row>
    <row r="559" spans="1:22" x14ac:dyDescent="0.3">
      <c r="A559" t="s">
        <v>351</v>
      </c>
      <c r="B559">
        <v>1</v>
      </c>
      <c r="C559" t="s">
        <v>224</v>
      </c>
      <c r="D559" t="s">
        <v>225</v>
      </c>
      <c r="E559" t="s">
        <v>219</v>
      </c>
      <c r="F559" t="s">
        <v>169</v>
      </c>
      <c r="G559" t="s">
        <v>134</v>
      </c>
      <c r="H559">
        <v>5</v>
      </c>
      <c r="I559">
        <v>7</v>
      </c>
      <c r="J559">
        <v>71.430000000000007</v>
      </c>
      <c r="K559" t="s">
        <v>246</v>
      </c>
      <c r="L559">
        <v>7.14</v>
      </c>
      <c r="M559">
        <v>3</v>
      </c>
      <c r="N559">
        <v>0</v>
      </c>
      <c r="O559">
        <v>24</v>
      </c>
      <c r="P559">
        <v>0</v>
      </c>
      <c r="Q559">
        <v>8</v>
      </c>
      <c r="R559">
        <v>0</v>
      </c>
      <c r="S559">
        <v>0</v>
      </c>
      <c r="T559">
        <v>0</v>
      </c>
      <c r="U559" s="8">
        <v>7.14</v>
      </c>
      <c r="V559" s="8">
        <f t="shared" si="8"/>
        <v>1</v>
      </c>
    </row>
    <row r="560" spans="1:22" x14ac:dyDescent="0.3">
      <c r="A560" t="s">
        <v>351</v>
      </c>
      <c r="B560">
        <v>1</v>
      </c>
      <c r="C560" t="s">
        <v>233</v>
      </c>
      <c r="D560" t="s">
        <v>234</v>
      </c>
      <c r="E560" t="s">
        <v>219</v>
      </c>
      <c r="F560" t="s">
        <v>101</v>
      </c>
      <c r="G560" t="s">
        <v>134</v>
      </c>
      <c r="H560">
        <v>6</v>
      </c>
      <c r="I560">
        <v>6</v>
      </c>
      <c r="J560">
        <v>100</v>
      </c>
      <c r="K560" t="s">
        <v>246</v>
      </c>
      <c r="L560">
        <v>11</v>
      </c>
      <c r="M560">
        <v>3.3</v>
      </c>
      <c r="N560">
        <v>0</v>
      </c>
      <c r="O560">
        <v>31</v>
      </c>
      <c r="P560">
        <v>1</v>
      </c>
      <c r="Q560">
        <v>8.9</v>
      </c>
      <c r="R560">
        <v>2.2000000000000002</v>
      </c>
      <c r="S560">
        <v>0</v>
      </c>
      <c r="T560">
        <v>0</v>
      </c>
      <c r="U560" s="8">
        <v>13.2</v>
      </c>
      <c r="V560" s="8">
        <f t="shared" si="8"/>
        <v>1</v>
      </c>
    </row>
    <row r="561" spans="1:22" x14ac:dyDescent="0.3">
      <c r="A561" t="s">
        <v>351</v>
      </c>
      <c r="B561">
        <v>1</v>
      </c>
      <c r="C561" t="s">
        <v>394</v>
      </c>
      <c r="D561" t="s">
        <v>395</v>
      </c>
      <c r="E561" t="s">
        <v>219</v>
      </c>
      <c r="F561" t="s">
        <v>101</v>
      </c>
      <c r="G561" t="s">
        <v>134</v>
      </c>
      <c r="H561">
        <v>2</v>
      </c>
      <c r="I561">
        <v>5</v>
      </c>
      <c r="J561">
        <v>40</v>
      </c>
      <c r="K561" t="s">
        <v>96</v>
      </c>
      <c r="L561">
        <v>6</v>
      </c>
      <c r="M561">
        <v>2</v>
      </c>
      <c r="N561">
        <v>0</v>
      </c>
      <c r="O561">
        <v>15</v>
      </c>
      <c r="P561">
        <v>0</v>
      </c>
      <c r="Q561">
        <v>7.5</v>
      </c>
      <c r="R561">
        <v>0</v>
      </c>
      <c r="S561">
        <v>0</v>
      </c>
      <c r="T561">
        <v>0</v>
      </c>
      <c r="U561" s="8">
        <v>6</v>
      </c>
      <c r="V561" s="8">
        <f t="shared" si="8"/>
        <v>1</v>
      </c>
    </row>
    <row r="562" spans="1:22" x14ac:dyDescent="0.3">
      <c r="A562" t="s">
        <v>351</v>
      </c>
      <c r="B562">
        <v>1</v>
      </c>
      <c r="C562" t="s">
        <v>237</v>
      </c>
      <c r="D562" t="s">
        <v>238</v>
      </c>
      <c r="E562" t="s">
        <v>219</v>
      </c>
      <c r="F562" t="s">
        <v>101</v>
      </c>
      <c r="G562" t="s">
        <v>104</v>
      </c>
      <c r="H562">
        <v>0</v>
      </c>
      <c r="I562">
        <v>0</v>
      </c>
      <c r="J562">
        <v>0</v>
      </c>
      <c r="K562" t="s">
        <v>104</v>
      </c>
      <c r="L562">
        <v>0</v>
      </c>
      <c r="M562">
        <v>3</v>
      </c>
      <c r="N562">
        <v>0</v>
      </c>
      <c r="O562">
        <v>20</v>
      </c>
      <c r="P562">
        <v>0</v>
      </c>
      <c r="Q562">
        <v>6.67</v>
      </c>
      <c r="R562">
        <v>0</v>
      </c>
      <c r="S562">
        <v>0</v>
      </c>
      <c r="T562">
        <v>0</v>
      </c>
      <c r="U562" s="8">
        <v>0</v>
      </c>
      <c r="V562" s="8">
        <f t="shared" si="8"/>
        <v>0</v>
      </c>
    </row>
    <row r="563" spans="1:22" x14ac:dyDescent="0.3">
      <c r="A563" t="s">
        <v>351</v>
      </c>
      <c r="B563">
        <v>1</v>
      </c>
      <c r="C563" t="s">
        <v>190</v>
      </c>
      <c r="D563" t="s">
        <v>191</v>
      </c>
      <c r="E563" t="s">
        <v>158</v>
      </c>
      <c r="F563" t="s">
        <v>109</v>
      </c>
      <c r="G563" t="s">
        <v>86</v>
      </c>
      <c r="H563">
        <v>51</v>
      </c>
      <c r="I563">
        <v>43</v>
      </c>
      <c r="J563">
        <v>118.6</v>
      </c>
      <c r="K563" t="s">
        <v>246</v>
      </c>
      <c r="L563">
        <v>57.86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 s="8">
        <v>57.86</v>
      </c>
      <c r="V563" s="8">
        <f t="shared" si="8"/>
        <v>6</v>
      </c>
    </row>
    <row r="564" spans="1:22" x14ac:dyDescent="0.3">
      <c r="A564" t="s">
        <v>351</v>
      </c>
      <c r="B564">
        <v>1</v>
      </c>
      <c r="C564" t="s">
        <v>188</v>
      </c>
      <c r="D564" t="s">
        <v>189</v>
      </c>
      <c r="E564" t="s">
        <v>158</v>
      </c>
      <c r="F564" t="s">
        <v>109</v>
      </c>
      <c r="G564" t="s">
        <v>86</v>
      </c>
      <c r="H564">
        <v>64</v>
      </c>
      <c r="I564">
        <v>43</v>
      </c>
      <c r="J564">
        <v>148.84</v>
      </c>
      <c r="K564" t="s">
        <v>96</v>
      </c>
      <c r="L564">
        <v>78.88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 s="8">
        <v>78.88</v>
      </c>
      <c r="V564" s="8">
        <f t="shared" si="8"/>
        <v>8</v>
      </c>
    </row>
    <row r="565" spans="1:22" x14ac:dyDescent="0.3">
      <c r="A565" t="s">
        <v>351</v>
      </c>
      <c r="B565">
        <v>1</v>
      </c>
      <c r="C565" t="s">
        <v>194</v>
      </c>
      <c r="D565" t="s">
        <v>195</v>
      </c>
      <c r="E565" t="s">
        <v>158</v>
      </c>
      <c r="F565" t="s">
        <v>109</v>
      </c>
      <c r="G565" t="s">
        <v>92</v>
      </c>
      <c r="H565">
        <v>4</v>
      </c>
      <c r="I565">
        <v>1</v>
      </c>
      <c r="J565">
        <v>400</v>
      </c>
      <c r="K565" t="s">
        <v>96</v>
      </c>
      <c r="L565">
        <v>44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 s="8">
        <v>44</v>
      </c>
      <c r="V565" s="8">
        <f t="shared" si="8"/>
        <v>4</v>
      </c>
    </row>
    <row r="566" spans="1:22" x14ac:dyDescent="0.3">
      <c r="A566" t="s">
        <v>351</v>
      </c>
      <c r="B566">
        <v>1</v>
      </c>
      <c r="C566" t="s">
        <v>196</v>
      </c>
      <c r="D566" t="s">
        <v>197</v>
      </c>
      <c r="E566" t="s">
        <v>158</v>
      </c>
      <c r="F566" t="s">
        <v>109</v>
      </c>
      <c r="G566" t="s">
        <v>104</v>
      </c>
      <c r="H566">
        <v>0</v>
      </c>
      <c r="I566">
        <v>0</v>
      </c>
      <c r="J566">
        <v>0</v>
      </c>
      <c r="K566" t="s">
        <v>104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 s="8">
        <v>0</v>
      </c>
      <c r="V566" s="8">
        <f t="shared" si="8"/>
        <v>0</v>
      </c>
    </row>
    <row r="567" spans="1:22" x14ac:dyDescent="0.3">
      <c r="A567" t="s">
        <v>351</v>
      </c>
      <c r="B567">
        <v>1</v>
      </c>
      <c r="C567" t="s">
        <v>192</v>
      </c>
      <c r="D567" t="s">
        <v>193</v>
      </c>
      <c r="E567" t="s">
        <v>158</v>
      </c>
      <c r="F567" t="s">
        <v>169</v>
      </c>
      <c r="G567" t="s">
        <v>104</v>
      </c>
      <c r="H567">
        <v>0</v>
      </c>
      <c r="I567">
        <v>0</v>
      </c>
      <c r="J567">
        <v>0</v>
      </c>
      <c r="K567" t="s">
        <v>104</v>
      </c>
      <c r="L567">
        <v>0</v>
      </c>
      <c r="M567">
        <v>4</v>
      </c>
      <c r="N567">
        <v>1</v>
      </c>
      <c r="O567">
        <v>5</v>
      </c>
      <c r="P567">
        <v>3</v>
      </c>
      <c r="Q567">
        <v>1.25</v>
      </c>
      <c r="R567">
        <v>57.5</v>
      </c>
      <c r="S567">
        <v>0</v>
      </c>
      <c r="T567">
        <v>0</v>
      </c>
      <c r="U567" s="8">
        <v>57.5</v>
      </c>
      <c r="V567" s="8">
        <f t="shared" si="8"/>
        <v>6</v>
      </c>
    </row>
    <row r="568" spans="1:22" x14ac:dyDescent="0.3">
      <c r="A568" t="s">
        <v>351</v>
      </c>
      <c r="B568">
        <v>1</v>
      </c>
      <c r="C568" t="s">
        <v>94</v>
      </c>
      <c r="D568" t="s">
        <v>120</v>
      </c>
      <c r="E568" t="s">
        <v>158</v>
      </c>
      <c r="F568" t="s">
        <v>169</v>
      </c>
      <c r="G568" t="s">
        <v>104</v>
      </c>
      <c r="H568">
        <v>0</v>
      </c>
      <c r="I568">
        <v>0</v>
      </c>
      <c r="J568">
        <v>0</v>
      </c>
      <c r="K568" t="s">
        <v>104</v>
      </c>
      <c r="L568">
        <v>0</v>
      </c>
      <c r="M568">
        <v>4</v>
      </c>
      <c r="N568">
        <v>0</v>
      </c>
      <c r="O568">
        <v>32</v>
      </c>
      <c r="P568">
        <v>1</v>
      </c>
      <c r="Q568">
        <v>8</v>
      </c>
      <c r="R568">
        <v>4</v>
      </c>
      <c r="S568">
        <v>0</v>
      </c>
      <c r="T568">
        <v>0</v>
      </c>
      <c r="U568" s="8">
        <v>4</v>
      </c>
      <c r="V568" s="8">
        <f t="shared" si="8"/>
        <v>0</v>
      </c>
    </row>
    <row r="569" spans="1:22" x14ac:dyDescent="0.3">
      <c r="A569" t="s">
        <v>351</v>
      </c>
      <c r="B569">
        <v>1</v>
      </c>
      <c r="C569" t="s">
        <v>202</v>
      </c>
      <c r="D569" t="s">
        <v>203</v>
      </c>
      <c r="E569" t="s">
        <v>158</v>
      </c>
      <c r="F569" t="s">
        <v>101</v>
      </c>
      <c r="G569" t="s">
        <v>104</v>
      </c>
      <c r="H569">
        <v>0</v>
      </c>
      <c r="I569">
        <v>0</v>
      </c>
      <c r="J569">
        <v>0</v>
      </c>
      <c r="K569" t="s">
        <v>104</v>
      </c>
      <c r="L569">
        <v>0</v>
      </c>
      <c r="M569">
        <v>3</v>
      </c>
      <c r="N569">
        <v>0</v>
      </c>
      <c r="O569">
        <v>16</v>
      </c>
      <c r="P569">
        <v>1</v>
      </c>
      <c r="Q569">
        <v>5.33</v>
      </c>
      <c r="R569">
        <v>9.34</v>
      </c>
      <c r="S569">
        <v>0</v>
      </c>
      <c r="T569">
        <v>0</v>
      </c>
      <c r="U569" s="8">
        <v>9.34</v>
      </c>
      <c r="V569" s="8">
        <f t="shared" si="8"/>
        <v>1</v>
      </c>
    </row>
    <row r="570" spans="1:22" x14ac:dyDescent="0.3">
      <c r="A570" t="s">
        <v>351</v>
      </c>
      <c r="B570">
        <v>1</v>
      </c>
      <c r="C570" t="s">
        <v>274</v>
      </c>
      <c r="D570" t="s">
        <v>284</v>
      </c>
      <c r="E570" t="s">
        <v>158</v>
      </c>
      <c r="F570" t="s">
        <v>169</v>
      </c>
      <c r="G570" t="s">
        <v>104</v>
      </c>
      <c r="H570">
        <v>0</v>
      </c>
      <c r="I570">
        <v>0</v>
      </c>
      <c r="J570">
        <v>0</v>
      </c>
      <c r="K570" t="s">
        <v>104</v>
      </c>
      <c r="L570">
        <v>0</v>
      </c>
      <c r="M570">
        <v>2</v>
      </c>
      <c r="N570">
        <v>0</v>
      </c>
      <c r="O570">
        <v>14</v>
      </c>
      <c r="P570">
        <v>0</v>
      </c>
      <c r="Q570">
        <v>7</v>
      </c>
      <c r="R570">
        <v>0</v>
      </c>
      <c r="S570">
        <v>0</v>
      </c>
      <c r="T570">
        <v>0</v>
      </c>
      <c r="U570" s="8">
        <v>0</v>
      </c>
      <c r="V570" s="8">
        <f t="shared" si="8"/>
        <v>0</v>
      </c>
    </row>
    <row r="571" spans="1:22" x14ac:dyDescent="0.3">
      <c r="A571" t="s">
        <v>351</v>
      </c>
      <c r="B571">
        <v>1</v>
      </c>
      <c r="C571" t="s">
        <v>200</v>
      </c>
      <c r="D571" t="s">
        <v>201</v>
      </c>
      <c r="E571" t="s">
        <v>158</v>
      </c>
      <c r="F571" t="s">
        <v>85</v>
      </c>
      <c r="G571" t="s">
        <v>104</v>
      </c>
      <c r="H571">
        <v>0</v>
      </c>
      <c r="I571">
        <v>0</v>
      </c>
      <c r="J571">
        <v>0</v>
      </c>
      <c r="K571" t="s">
        <v>104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 s="8">
        <v>0</v>
      </c>
      <c r="V571" s="8">
        <f t="shared" si="8"/>
        <v>0</v>
      </c>
    </row>
    <row r="572" spans="1:22" x14ac:dyDescent="0.3">
      <c r="A572" t="s">
        <v>351</v>
      </c>
      <c r="B572">
        <v>1</v>
      </c>
      <c r="C572" t="s">
        <v>206</v>
      </c>
      <c r="D572" t="s">
        <v>207</v>
      </c>
      <c r="E572" t="s">
        <v>158</v>
      </c>
      <c r="F572" t="s">
        <v>101</v>
      </c>
      <c r="G572" t="s">
        <v>104</v>
      </c>
      <c r="H572">
        <v>0</v>
      </c>
      <c r="I572">
        <v>0</v>
      </c>
      <c r="J572">
        <v>0</v>
      </c>
      <c r="K572" t="s">
        <v>104</v>
      </c>
      <c r="L572">
        <v>0</v>
      </c>
      <c r="M572">
        <v>4</v>
      </c>
      <c r="N572">
        <v>0</v>
      </c>
      <c r="O572">
        <v>20</v>
      </c>
      <c r="P572">
        <v>4</v>
      </c>
      <c r="Q572">
        <v>5</v>
      </c>
      <c r="R572">
        <v>70</v>
      </c>
      <c r="S572">
        <v>0</v>
      </c>
      <c r="T572">
        <v>0</v>
      </c>
      <c r="U572" s="8">
        <v>70</v>
      </c>
      <c r="V572" s="8">
        <f t="shared" si="8"/>
        <v>7</v>
      </c>
    </row>
    <row r="573" spans="1:22" x14ac:dyDescent="0.3">
      <c r="A573" t="s">
        <v>351</v>
      </c>
      <c r="B573">
        <v>1</v>
      </c>
      <c r="C573" t="s">
        <v>204</v>
      </c>
      <c r="D573" t="s">
        <v>205</v>
      </c>
      <c r="E573" t="s">
        <v>158</v>
      </c>
      <c r="F573" t="s">
        <v>169</v>
      </c>
      <c r="G573" t="s">
        <v>104</v>
      </c>
      <c r="H573">
        <v>0</v>
      </c>
      <c r="I573">
        <v>0</v>
      </c>
      <c r="J573">
        <v>0</v>
      </c>
      <c r="K573" t="s">
        <v>104</v>
      </c>
      <c r="L573">
        <v>0</v>
      </c>
      <c r="M573">
        <v>3</v>
      </c>
      <c r="N573">
        <v>0</v>
      </c>
      <c r="O573">
        <v>28</v>
      </c>
      <c r="P573">
        <v>0</v>
      </c>
      <c r="Q573">
        <v>9.33</v>
      </c>
      <c r="R573">
        <v>0</v>
      </c>
      <c r="S573">
        <v>0</v>
      </c>
      <c r="T573">
        <v>0</v>
      </c>
      <c r="U573" s="8">
        <v>0</v>
      </c>
      <c r="V573" s="8">
        <f t="shared" si="8"/>
        <v>0</v>
      </c>
    </row>
    <row r="574" spans="1:22" x14ac:dyDescent="0.3">
      <c r="A574" t="s">
        <v>352</v>
      </c>
      <c r="B574">
        <v>2</v>
      </c>
      <c r="C574" t="s">
        <v>165</v>
      </c>
      <c r="D574" t="s">
        <v>166</v>
      </c>
      <c r="E574" t="s">
        <v>159</v>
      </c>
      <c r="F574" t="s">
        <v>109</v>
      </c>
      <c r="G574" t="s">
        <v>86</v>
      </c>
      <c r="H574">
        <v>43</v>
      </c>
      <c r="I574">
        <v>27</v>
      </c>
      <c r="J574">
        <v>159.26</v>
      </c>
      <c r="K574" t="s">
        <v>246</v>
      </c>
      <c r="L574">
        <v>68.48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 s="8">
        <v>68.48</v>
      </c>
      <c r="V574" s="8">
        <f t="shared" si="8"/>
        <v>7</v>
      </c>
    </row>
    <row r="575" spans="1:22" x14ac:dyDescent="0.3">
      <c r="A575" t="s">
        <v>352</v>
      </c>
      <c r="B575">
        <v>2</v>
      </c>
      <c r="C575" t="s">
        <v>87</v>
      </c>
      <c r="D575" t="s">
        <v>82</v>
      </c>
      <c r="E575" t="s">
        <v>159</v>
      </c>
      <c r="F575" t="s">
        <v>83</v>
      </c>
      <c r="G575" t="s">
        <v>92</v>
      </c>
      <c r="H575">
        <v>36</v>
      </c>
      <c r="I575">
        <v>28</v>
      </c>
      <c r="J575">
        <v>128.57</v>
      </c>
      <c r="K575" t="s">
        <v>96</v>
      </c>
      <c r="L575">
        <v>46.29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 s="8">
        <v>46.29</v>
      </c>
      <c r="V575" s="8">
        <f t="shared" si="8"/>
        <v>5</v>
      </c>
    </row>
    <row r="576" spans="1:22" x14ac:dyDescent="0.3">
      <c r="A576" t="s">
        <v>352</v>
      </c>
      <c r="B576">
        <v>2</v>
      </c>
      <c r="C576" t="s">
        <v>174</v>
      </c>
      <c r="D576" t="s">
        <v>175</v>
      </c>
      <c r="E576" t="s">
        <v>159</v>
      </c>
      <c r="F576" t="s">
        <v>83</v>
      </c>
      <c r="G576" t="s">
        <v>134</v>
      </c>
      <c r="H576">
        <v>23</v>
      </c>
      <c r="I576">
        <v>14</v>
      </c>
      <c r="J576">
        <v>164.29</v>
      </c>
      <c r="K576" t="s">
        <v>96</v>
      </c>
      <c r="L576">
        <v>37.79</v>
      </c>
      <c r="M576">
        <v>1</v>
      </c>
      <c r="N576">
        <v>0</v>
      </c>
      <c r="O576">
        <v>8</v>
      </c>
      <c r="P576">
        <v>0</v>
      </c>
      <c r="Q576">
        <v>8</v>
      </c>
      <c r="R576">
        <v>0</v>
      </c>
      <c r="S576">
        <v>0</v>
      </c>
      <c r="T576">
        <v>0</v>
      </c>
      <c r="U576" s="8">
        <v>37.79</v>
      </c>
      <c r="V576" s="8">
        <f t="shared" si="8"/>
        <v>4</v>
      </c>
    </row>
    <row r="577" spans="1:22" x14ac:dyDescent="0.3">
      <c r="A577" t="s">
        <v>352</v>
      </c>
      <c r="B577">
        <v>2</v>
      </c>
      <c r="C577" t="s">
        <v>371</v>
      </c>
      <c r="D577" t="s">
        <v>372</v>
      </c>
      <c r="E577" t="s">
        <v>159</v>
      </c>
      <c r="F577" t="s">
        <v>91</v>
      </c>
      <c r="G577" t="s">
        <v>104</v>
      </c>
      <c r="H577">
        <v>0</v>
      </c>
      <c r="I577">
        <v>0</v>
      </c>
      <c r="J577">
        <v>0</v>
      </c>
      <c r="K577" t="s">
        <v>104</v>
      </c>
      <c r="L577">
        <v>0</v>
      </c>
      <c r="M577">
        <v>4</v>
      </c>
      <c r="N577">
        <v>0</v>
      </c>
      <c r="O577">
        <v>25</v>
      </c>
      <c r="P577">
        <v>3</v>
      </c>
      <c r="Q577">
        <v>6.2</v>
      </c>
      <c r="R577">
        <v>35</v>
      </c>
      <c r="S577">
        <v>0</v>
      </c>
      <c r="T577">
        <v>0</v>
      </c>
      <c r="U577" s="8">
        <v>35</v>
      </c>
      <c r="V577" s="8">
        <f t="shared" si="8"/>
        <v>4</v>
      </c>
    </row>
    <row r="578" spans="1:22" x14ac:dyDescent="0.3">
      <c r="A578" t="s">
        <v>352</v>
      </c>
      <c r="B578">
        <v>2</v>
      </c>
      <c r="C578" t="s">
        <v>176</v>
      </c>
      <c r="D578" t="s">
        <v>177</v>
      </c>
      <c r="E578" t="s">
        <v>159</v>
      </c>
      <c r="F578" t="s">
        <v>85</v>
      </c>
      <c r="G578" t="s">
        <v>104</v>
      </c>
      <c r="H578">
        <v>0</v>
      </c>
      <c r="I578">
        <v>0</v>
      </c>
      <c r="J578">
        <v>0</v>
      </c>
      <c r="K578" t="s">
        <v>104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0</v>
      </c>
      <c r="U578" s="8">
        <v>10</v>
      </c>
      <c r="V578" s="8">
        <f t="shared" si="8"/>
        <v>1</v>
      </c>
    </row>
    <row r="579" spans="1:22" x14ac:dyDescent="0.3">
      <c r="A579" t="s">
        <v>352</v>
      </c>
      <c r="B579">
        <v>2</v>
      </c>
      <c r="C579" t="s">
        <v>186</v>
      </c>
      <c r="D579" t="s">
        <v>187</v>
      </c>
      <c r="E579" t="s">
        <v>159</v>
      </c>
      <c r="F579" t="s">
        <v>101</v>
      </c>
      <c r="G579" t="s">
        <v>104</v>
      </c>
      <c r="H579">
        <v>0</v>
      </c>
      <c r="I579">
        <v>0</v>
      </c>
      <c r="J579">
        <v>0</v>
      </c>
      <c r="K579" t="s">
        <v>104</v>
      </c>
      <c r="L579">
        <v>0</v>
      </c>
      <c r="M579">
        <v>4</v>
      </c>
      <c r="N579">
        <v>0</v>
      </c>
      <c r="O579">
        <v>14</v>
      </c>
      <c r="P579">
        <v>2</v>
      </c>
      <c r="Q579">
        <v>3.5</v>
      </c>
      <c r="R579">
        <v>26</v>
      </c>
      <c r="S579">
        <v>0</v>
      </c>
      <c r="T579">
        <v>0</v>
      </c>
      <c r="U579" s="8">
        <v>26</v>
      </c>
      <c r="V579" s="8">
        <f t="shared" ref="V579:V642" si="9">MIN(10, MAX(0, ROUND(U579/10,0)))</f>
        <v>3</v>
      </c>
    </row>
    <row r="580" spans="1:22" x14ac:dyDescent="0.3">
      <c r="A580" t="s">
        <v>352</v>
      </c>
      <c r="B580">
        <v>2</v>
      </c>
      <c r="C580" t="s">
        <v>99</v>
      </c>
      <c r="D580" t="s">
        <v>124</v>
      </c>
      <c r="E580" t="s">
        <v>159</v>
      </c>
      <c r="F580" t="s">
        <v>91</v>
      </c>
      <c r="G580" t="s">
        <v>104</v>
      </c>
      <c r="H580">
        <v>0</v>
      </c>
      <c r="I580">
        <v>0</v>
      </c>
      <c r="J580">
        <v>0</v>
      </c>
      <c r="K580" t="s">
        <v>104</v>
      </c>
      <c r="L580">
        <v>0</v>
      </c>
      <c r="M580">
        <v>3</v>
      </c>
      <c r="N580">
        <v>0</v>
      </c>
      <c r="O580">
        <v>20</v>
      </c>
      <c r="P580">
        <v>1</v>
      </c>
      <c r="Q580">
        <v>6.7</v>
      </c>
      <c r="R580">
        <v>6</v>
      </c>
      <c r="S580">
        <v>0</v>
      </c>
      <c r="T580">
        <v>0</v>
      </c>
      <c r="U580" s="8">
        <v>6</v>
      </c>
      <c r="V580" s="8">
        <f t="shared" si="9"/>
        <v>1</v>
      </c>
    </row>
    <row r="581" spans="1:22" x14ac:dyDescent="0.3">
      <c r="A581" t="s">
        <v>352</v>
      </c>
      <c r="B581">
        <v>2</v>
      </c>
      <c r="C581" t="s">
        <v>167</v>
      </c>
      <c r="D581" t="s">
        <v>168</v>
      </c>
      <c r="E581" t="s">
        <v>159</v>
      </c>
      <c r="F581" t="s">
        <v>83</v>
      </c>
      <c r="G581" t="s">
        <v>86</v>
      </c>
      <c r="H581">
        <v>6</v>
      </c>
      <c r="I581">
        <v>6</v>
      </c>
      <c r="J581">
        <v>100</v>
      </c>
      <c r="K581" t="s">
        <v>246</v>
      </c>
      <c r="L581">
        <v>6</v>
      </c>
      <c r="M581">
        <v>4</v>
      </c>
      <c r="N581">
        <v>0</v>
      </c>
      <c r="O581">
        <v>12</v>
      </c>
      <c r="P581">
        <v>0</v>
      </c>
      <c r="Q581">
        <v>3</v>
      </c>
      <c r="R581">
        <v>0</v>
      </c>
      <c r="S581">
        <v>0</v>
      </c>
      <c r="T581">
        <v>0</v>
      </c>
      <c r="U581" s="8">
        <v>6</v>
      </c>
      <c r="V581" s="8">
        <f t="shared" si="9"/>
        <v>1</v>
      </c>
    </row>
    <row r="582" spans="1:22" x14ac:dyDescent="0.3">
      <c r="A582" t="s">
        <v>352</v>
      </c>
      <c r="B582">
        <v>2</v>
      </c>
      <c r="C582" t="s">
        <v>259</v>
      </c>
      <c r="D582" t="s">
        <v>257</v>
      </c>
      <c r="E582" t="s">
        <v>159</v>
      </c>
      <c r="F582" t="s">
        <v>91</v>
      </c>
      <c r="G582" t="s">
        <v>104</v>
      </c>
      <c r="H582">
        <v>0</v>
      </c>
      <c r="I582">
        <v>0</v>
      </c>
      <c r="J582">
        <v>0</v>
      </c>
      <c r="K582" t="s">
        <v>104</v>
      </c>
      <c r="L582">
        <v>0</v>
      </c>
      <c r="M582">
        <v>1</v>
      </c>
      <c r="N582">
        <v>0</v>
      </c>
      <c r="O582">
        <v>13</v>
      </c>
      <c r="P582">
        <v>0</v>
      </c>
      <c r="Q582">
        <v>13</v>
      </c>
      <c r="R582">
        <v>0</v>
      </c>
      <c r="S582">
        <v>0</v>
      </c>
      <c r="T582">
        <v>0</v>
      </c>
      <c r="U582" s="8">
        <v>0</v>
      </c>
      <c r="V582" s="8">
        <f t="shared" si="9"/>
        <v>0</v>
      </c>
    </row>
    <row r="583" spans="1:22" x14ac:dyDescent="0.3">
      <c r="A583" t="s">
        <v>352</v>
      </c>
      <c r="B583">
        <v>2</v>
      </c>
      <c r="C583" t="s">
        <v>180</v>
      </c>
      <c r="D583" t="s">
        <v>181</v>
      </c>
      <c r="E583" t="s">
        <v>159</v>
      </c>
      <c r="F583" t="s">
        <v>91</v>
      </c>
      <c r="G583" t="s">
        <v>104</v>
      </c>
      <c r="H583">
        <v>0</v>
      </c>
      <c r="I583">
        <v>0</v>
      </c>
      <c r="J583">
        <v>0</v>
      </c>
      <c r="K583" t="s">
        <v>104</v>
      </c>
      <c r="L583">
        <v>0</v>
      </c>
      <c r="M583">
        <v>3</v>
      </c>
      <c r="N583">
        <v>0</v>
      </c>
      <c r="O583">
        <v>13</v>
      </c>
      <c r="P583">
        <v>0</v>
      </c>
      <c r="Q583">
        <v>4.3</v>
      </c>
      <c r="R583">
        <v>0</v>
      </c>
      <c r="S583">
        <v>0</v>
      </c>
      <c r="T583">
        <v>0</v>
      </c>
      <c r="U583" s="8">
        <v>0</v>
      </c>
      <c r="V583" s="8">
        <f t="shared" si="9"/>
        <v>0</v>
      </c>
    </row>
    <row r="584" spans="1:22" x14ac:dyDescent="0.3">
      <c r="A584" t="s">
        <v>352</v>
      </c>
      <c r="B584">
        <v>2</v>
      </c>
      <c r="C584" t="s">
        <v>373</v>
      </c>
      <c r="D584" t="s">
        <v>374</v>
      </c>
      <c r="E584" t="s">
        <v>159</v>
      </c>
      <c r="F584" t="s">
        <v>101</v>
      </c>
      <c r="G584" t="s">
        <v>104</v>
      </c>
      <c r="H584">
        <v>0</v>
      </c>
      <c r="I584">
        <v>0</v>
      </c>
      <c r="J584">
        <v>0</v>
      </c>
      <c r="K584" t="s">
        <v>104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 s="8">
        <v>0</v>
      </c>
      <c r="V584" s="8">
        <f t="shared" si="9"/>
        <v>0</v>
      </c>
    </row>
    <row r="585" spans="1:22" x14ac:dyDescent="0.3">
      <c r="A585" t="s">
        <v>352</v>
      </c>
      <c r="B585">
        <v>2</v>
      </c>
      <c r="C585" t="s">
        <v>97</v>
      </c>
      <c r="D585" t="s">
        <v>122</v>
      </c>
      <c r="E585" t="s">
        <v>258</v>
      </c>
      <c r="F585" t="s">
        <v>109</v>
      </c>
      <c r="G585" t="s">
        <v>134</v>
      </c>
      <c r="H585">
        <v>31</v>
      </c>
      <c r="I585">
        <v>25</v>
      </c>
      <c r="J585">
        <v>124</v>
      </c>
      <c r="K585" t="s">
        <v>96</v>
      </c>
      <c r="L585">
        <v>38.44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 s="8">
        <v>38.44</v>
      </c>
      <c r="V585" s="8">
        <f t="shared" si="9"/>
        <v>4</v>
      </c>
    </row>
    <row r="586" spans="1:22" x14ac:dyDescent="0.3">
      <c r="A586" t="s">
        <v>352</v>
      </c>
      <c r="B586">
        <v>2</v>
      </c>
      <c r="C586" t="s">
        <v>89</v>
      </c>
      <c r="D586" t="s">
        <v>116</v>
      </c>
      <c r="E586" t="s">
        <v>258</v>
      </c>
      <c r="F586" t="s">
        <v>83</v>
      </c>
      <c r="G586" t="s">
        <v>92</v>
      </c>
      <c r="H586">
        <v>22</v>
      </c>
      <c r="I586">
        <v>31</v>
      </c>
      <c r="J586">
        <v>70.97</v>
      </c>
      <c r="K586" t="s">
        <v>256</v>
      </c>
      <c r="L586">
        <v>15.61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</v>
      </c>
      <c r="U586" s="8">
        <v>25.61</v>
      </c>
      <c r="V586" s="8">
        <f t="shared" si="9"/>
        <v>3</v>
      </c>
    </row>
    <row r="587" spans="1:22" x14ac:dyDescent="0.3">
      <c r="A587" t="s">
        <v>352</v>
      </c>
      <c r="B587">
        <v>2</v>
      </c>
      <c r="C587" t="s">
        <v>105</v>
      </c>
      <c r="D587" t="s">
        <v>128</v>
      </c>
      <c r="E587" t="s">
        <v>258</v>
      </c>
      <c r="F587" t="s">
        <v>101</v>
      </c>
      <c r="G587" t="s">
        <v>135</v>
      </c>
      <c r="H587">
        <v>4</v>
      </c>
      <c r="I587">
        <v>2</v>
      </c>
      <c r="J587">
        <v>200</v>
      </c>
      <c r="K587" t="s">
        <v>96</v>
      </c>
      <c r="L587">
        <v>8</v>
      </c>
      <c r="M587">
        <v>2</v>
      </c>
      <c r="N587">
        <v>0</v>
      </c>
      <c r="O587">
        <v>20</v>
      </c>
      <c r="P587">
        <v>1</v>
      </c>
      <c r="Q587">
        <v>10</v>
      </c>
      <c r="R587">
        <v>0</v>
      </c>
      <c r="S587">
        <v>0</v>
      </c>
      <c r="T587">
        <v>0</v>
      </c>
      <c r="U587" s="8">
        <v>8</v>
      </c>
      <c r="V587" s="8">
        <f t="shared" si="9"/>
        <v>1</v>
      </c>
    </row>
    <row r="588" spans="1:22" x14ac:dyDescent="0.3">
      <c r="A588" t="s">
        <v>352</v>
      </c>
      <c r="B588">
        <v>2</v>
      </c>
      <c r="C588" t="s">
        <v>93</v>
      </c>
      <c r="D588" t="s">
        <v>118</v>
      </c>
      <c r="E588" t="s">
        <v>258</v>
      </c>
      <c r="F588" t="s">
        <v>83</v>
      </c>
      <c r="G588" t="s">
        <v>134</v>
      </c>
      <c r="H588">
        <v>7</v>
      </c>
      <c r="I588">
        <v>12</v>
      </c>
      <c r="J588">
        <v>58.33</v>
      </c>
      <c r="K588" t="s">
        <v>246</v>
      </c>
      <c r="L588">
        <v>4.08</v>
      </c>
      <c r="M588">
        <v>3</v>
      </c>
      <c r="N588">
        <v>0</v>
      </c>
      <c r="O588">
        <v>15</v>
      </c>
      <c r="P588">
        <v>1</v>
      </c>
      <c r="Q588">
        <v>5</v>
      </c>
      <c r="R588">
        <v>5</v>
      </c>
      <c r="S588">
        <v>0</v>
      </c>
      <c r="T588">
        <v>0</v>
      </c>
      <c r="U588" s="8">
        <v>9.08</v>
      </c>
      <c r="V588" s="8">
        <f t="shared" si="9"/>
        <v>1</v>
      </c>
    </row>
    <row r="589" spans="1:22" x14ac:dyDescent="0.3">
      <c r="A589" t="s">
        <v>352</v>
      </c>
      <c r="B589">
        <v>2</v>
      </c>
      <c r="C589" t="s">
        <v>81</v>
      </c>
      <c r="D589" t="s">
        <v>114</v>
      </c>
      <c r="E589" t="s">
        <v>258</v>
      </c>
      <c r="F589" t="s">
        <v>85</v>
      </c>
      <c r="G589" t="s">
        <v>86</v>
      </c>
      <c r="H589">
        <v>8</v>
      </c>
      <c r="I589">
        <v>7</v>
      </c>
      <c r="J589">
        <v>114.29</v>
      </c>
      <c r="K589" t="s">
        <v>245</v>
      </c>
      <c r="L589">
        <v>9.14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 s="8">
        <v>9.14</v>
      </c>
      <c r="V589" s="8">
        <f t="shared" si="9"/>
        <v>1</v>
      </c>
    </row>
    <row r="590" spans="1:22" x14ac:dyDescent="0.3">
      <c r="A590" t="s">
        <v>352</v>
      </c>
      <c r="B590">
        <v>2</v>
      </c>
      <c r="C590" t="s">
        <v>102</v>
      </c>
      <c r="D590" t="s">
        <v>126</v>
      </c>
      <c r="E590" t="s">
        <v>258</v>
      </c>
      <c r="F590" t="s">
        <v>101</v>
      </c>
      <c r="G590" t="s">
        <v>135</v>
      </c>
      <c r="H590">
        <v>12</v>
      </c>
      <c r="I590">
        <v>10</v>
      </c>
      <c r="J590">
        <v>120</v>
      </c>
      <c r="K590" t="s">
        <v>248</v>
      </c>
      <c r="L590">
        <v>14.4</v>
      </c>
      <c r="M590">
        <v>1.3</v>
      </c>
      <c r="N590">
        <v>0</v>
      </c>
      <c r="O590">
        <v>18</v>
      </c>
      <c r="P590">
        <v>0</v>
      </c>
      <c r="Q590">
        <v>12</v>
      </c>
      <c r="R590">
        <v>0</v>
      </c>
      <c r="S590">
        <v>0</v>
      </c>
      <c r="T590">
        <v>0</v>
      </c>
      <c r="U590" s="8">
        <v>14.4</v>
      </c>
      <c r="V590" s="8">
        <f t="shared" si="9"/>
        <v>1</v>
      </c>
    </row>
    <row r="591" spans="1:22" x14ac:dyDescent="0.3">
      <c r="A591" t="s">
        <v>352</v>
      </c>
      <c r="B591">
        <v>2</v>
      </c>
      <c r="C591" t="s">
        <v>408</v>
      </c>
      <c r="D591" t="s">
        <v>382</v>
      </c>
      <c r="E591" t="s">
        <v>258</v>
      </c>
      <c r="F591" t="s">
        <v>109</v>
      </c>
      <c r="G591" t="s">
        <v>92</v>
      </c>
      <c r="H591">
        <v>9</v>
      </c>
      <c r="I591">
        <v>15</v>
      </c>
      <c r="J591">
        <v>60</v>
      </c>
      <c r="K591" t="s">
        <v>246</v>
      </c>
      <c r="L591">
        <v>5.4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 s="8">
        <v>5.4</v>
      </c>
      <c r="V591" s="8">
        <f t="shared" si="9"/>
        <v>1</v>
      </c>
    </row>
    <row r="592" spans="1:22" x14ac:dyDescent="0.3">
      <c r="A592" t="s">
        <v>352</v>
      </c>
      <c r="B592">
        <v>2</v>
      </c>
      <c r="C592" t="s">
        <v>383</v>
      </c>
      <c r="D592" t="s">
        <v>384</v>
      </c>
      <c r="E592" t="s">
        <v>258</v>
      </c>
      <c r="F592" t="s">
        <v>109</v>
      </c>
      <c r="G592" t="s">
        <v>134</v>
      </c>
      <c r="H592">
        <v>5</v>
      </c>
      <c r="I592">
        <v>12</v>
      </c>
      <c r="J592">
        <v>41.67</v>
      </c>
      <c r="K592" t="s">
        <v>248</v>
      </c>
      <c r="L592">
        <v>2.08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 s="8">
        <v>2.08</v>
      </c>
      <c r="V592" s="8">
        <f t="shared" si="9"/>
        <v>0</v>
      </c>
    </row>
    <row r="593" spans="1:22" x14ac:dyDescent="0.3">
      <c r="A593" t="s">
        <v>352</v>
      </c>
      <c r="B593">
        <v>2</v>
      </c>
      <c r="C593" t="s">
        <v>385</v>
      </c>
      <c r="D593" t="s">
        <v>386</v>
      </c>
      <c r="E593" t="s">
        <v>258</v>
      </c>
      <c r="F593" t="s">
        <v>169</v>
      </c>
      <c r="G593" t="s">
        <v>135</v>
      </c>
      <c r="H593">
        <v>3</v>
      </c>
      <c r="I593">
        <v>6</v>
      </c>
      <c r="J593">
        <v>50</v>
      </c>
      <c r="K593" t="s">
        <v>245</v>
      </c>
      <c r="L593">
        <v>1.5</v>
      </c>
      <c r="M593">
        <v>2</v>
      </c>
      <c r="N593">
        <v>0</v>
      </c>
      <c r="O593">
        <v>17</v>
      </c>
      <c r="P593">
        <v>0</v>
      </c>
      <c r="Q593">
        <v>8.5</v>
      </c>
      <c r="R593">
        <v>0</v>
      </c>
      <c r="S593">
        <v>0</v>
      </c>
      <c r="T593">
        <v>0</v>
      </c>
      <c r="U593" s="8">
        <v>1.5</v>
      </c>
      <c r="V593" s="8">
        <f t="shared" si="9"/>
        <v>0</v>
      </c>
    </row>
    <row r="594" spans="1:22" x14ac:dyDescent="0.3">
      <c r="A594" t="s">
        <v>352</v>
      </c>
      <c r="B594">
        <v>2</v>
      </c>
      <c r="C594" t="s">
        <v>387</v>
      </c>
      <c r="D594" t="s">
        <v>388</v>
      </c>
      <c r="E594" t="s">
        <v>258</v>
      </c>
      <c r="F594" t="s">
        <v>101</v>
      </c>
      <c r="G594" t="s">
        <v>104</v>
      </c>
      <c r="H594">
        <v>0</v>
      </c>
      <c r="I594">
        <v>0</v>
      </c>
      <c r="J594">
        <v>0</v>
      </c>
      <c r="K594" t="s">
        <v>104</v>
      </c>
      <c r="L594">
        <v>0</v>
      </c>
      <c r="M594">
        <v>2</v>
      </c>
      <c r="N594">
        <v>0</v>
      </c>
      <c r="O594">
        <v>21</v>
      </c>
      <c r="P594">
        <v>0</v>
      </c>
      <c r="Q594">
        <v>10.5</v>
      </c>
      <c r="R594">
        <v>0</v>
      </c>
      <c r="S594">
        <v>0</v>
      </c>
      <c r="T594">
        <v>0</v>
      </c>
      <c r="U594" s="8">
        <v>0</v>
      </c>
      <c r="V594" s="8">
        <f t="shared" si="9"/>
        <v>0</v>
      </c>
    </row>
    <row r="595" spans="1:22" x14ac:dyDescent="0.3">
      <c r="A595" t="s">
        <v>353</v>
      </c>
      <c r="B595">
        <v>2</v>
      </c>
      <c r="C595" t="s">
        <v>112</v>
      </c>
      <c r="D595" t="s">
        <v>88</v>
      </c>
      <c r="E595" t="s">
        <v>266</v>
      </c>
      <c r="F595" t="s">
        <v>169</v>
      </c>
      <c r="G595" t="s">
        <v>86</v>
      </c>
      <c r="H595">
        <v>55</v>
      </c>
      <c r="I595">
        <v>47</v>
      </c>
      <c r="J595">
        <v>117.02</v>
      </c>
      <c r="K595" t="s">
        <v>246</v>
      </c>
      <c r="L595">
        <v>65.849999999999994</v>
      </c>
      <c r="M595">
        <v>3</v>
      </c>
      <c r="N595">
        <v>0</v>
      </c>
      <c r="O595">
        <v>32</v>
      </c>
      <c r="P595">
        <v>0</v>
      </c>
      <c r="Q595">
        <v>10.7</v>
      </c>
      <c r="R595">
        <v>-10</v>
      </c>
      <c r="S595">
        <v>0</v>
      </c>
      <c r="T595">
        <v>0</v>
      </c>
      <c r="U595" s="8">
        <v>55.85</v>
      </c>
      <c r="V595" s="8">
        <f t="shared" si="9"/>
        <v>6</v>
      </c>
    </row>
    <row r="596" spans="1:22" x14ac:dyDescent="0.3">
      <c r="A596" t="s">
        <v>353</v>
      </c>
      <c r="B596">
        <v>2</v>
      </c>
      <c r="C596" t="s">
        <v>113</v>
      </c>
      <c r="D596" t="s">
        <v>84</v>
      </c>
      <c r="E596" t="s">
        <v>266</v>
      </c>
      <c r="F596" t="s">
        <v>85</v>
      </c>
      <c r="G596" t="s">
        <v>86</v>
      </c>
      <c r="H596">
        <v>26</v>
      </c>
      <c r="I596">
        <v>22</v>
      </c>
      <c r="J596">
        <v>118.18</v>
      </c>
      <c r="K596" t="s">
        <v>246</v>
      </c>
      <c r="L596">
        <v>32.729999999999997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 s="8">
        <v>32.729999999999997</v>
      </c>
      <c r="V596" s="8">
        <f t="shared" si="9"/>
        <v>3</v>
      </c>
    </row>
    <row r="597" spans="1:22" x14ac:dyDescent="0.3">
      <c r="A597" t="s">
        <v>353</v>
      </c>
      <c r="B597">
        <v>2</v>
      </c>
      <c r="C597" t="s">
        <v>117</v>
      </c>
      <c r="D597" t="s">
        <v>90</v>
      </c>
      <c r="E597" t="s">
        <v>266</v>
      </c>
      <c r="F597" t="s">
        <v>169</v>
      </c>
      <c r="G597" t="s">
        <v>92</v>
      </c>
      <c r="H597">
        <v>19</v>
      </c>
      <c r="I597">
        <v>14</v>
      </c>
      <c r="J597">
        <v>135.71</v>
      </c>
      <c r="K597" t="s">
        <v>256</v>
      </c>
      <c r="L597">
        <v>26.14</v>
      </c>
      <c r="M597">
        <v>3</v>
      </c>
      <c r="N597">
        <v>0</v>
      </c>
      <c r="O597">
        <v>30</v>
      </c>
      <c r="P597">
        <v>0</v>
      </c>
      <c r="Q597">
        <v>10</v>
      </c>
      <c r="R597">
        <v>-6</v>
      </c>
      <c r="S597">
        <v>0</v>
      </c>
      <c r="T597">
        <v>0</v>
      </c>
      <c r="U597" s="8">
        <v>20.14</v>
      </c>
      <c r="V597" s="8">
        <f t="shared" si="9"/>
        <v>2</v>
      </c>
    </row>
    <row r="598" spans="1:22" x14ac:dyDescent="0.3">
      <c r="A598" t="s">
        <v>353</v>
      </c>
      <c r="B598">
        <v>2</v>
      </c>
      <c r="C598" t="s">
        <v>119</v>
      </c>
      <c r="D598" t="s">
        <v>95</v>
      </c>
      <c r="E598" t="s">
        <v>266</v>
      </c>
      <c r="F598" t="s">
        <v>169</v>
      </c>
      <c r="G598" t="s">
        <v>134</v>
      </c>
      <c r="H598">
        <v>23</v>
      </c>
      <c r="I598">
        <v>16</v>
      </c>
      <c r="J598">
        <v>143.75</v>
      </c>
      <c r="K598" t="s">
        <v>247</v>
      </c>
      <c r="L598">
        <v>30.81</v>
      </c>
      <c r="M598">
        <v>4</v>
      </c>
      <c r="N598">
        <v>0</v>
      </c>
      <c r="O598">
        <v>34</v>
      </c>
      <c r="P598">
        <v>1</v>
      </c>
      <c r="Q598">
        <v>8.5</v>
      </c>
      <c r="R598">
        <v>7</v>
      </c>
      <c r="S598">
        <v>0</v>
      </c>
      <c r="T598">
        <v>0</v>
      </c>
      <c r="U598" s="8">
        <v>37.81</v>
      </c>
      <c r="V598" s="8">
        <f t="shared" si="9"/>
        <v>4</v>
      </c>
    </row>
    <row r="599" spans="1:22" x14ac:dyDescent="0.3">
      <c r="A599" t="s">
        <v>353</v>
      </c>
      <c r="B599">
        <v>2</v>
      </c>
      <c r="C599" t="s">
        <v>123</v>
      </c>
      <c r="D599" t="s">
        <v>98</v>
      </c>
      <c r="E599" t="s">
        <v>266</v>
      </c>
      <c r="F599" t="s">
        <v>169</v>
      </c>
      <c r="G599" t="s">
        <v>134</v>
      </c>
      <c r="H599">
        <v>18</v>
      </c>
      <c r="I599">
        <v>12</v>
      </c>
      <c r="J599">
        <v>150</v>
      </c>
      <c r="K599" t="s">
        <v>246</v>
      </c>
      <c r="L599">
        <v>27</v>
      </c>
      <c r="M599">
        <v>1.3</v>
      </c>
      <c r="N599">
        <v>0</v>
      </c>
      <c r="O599">
        <v>18</v>
      </c>
      <c r="P599">
        <v>0</v>
      </c>
      <c r="Q599">
        <v>12</v>
      </c>
      <c r="R599">
        <v>-4</v>
      </c>
      <c r="S599">
        <v>0</v>
      </c>
      <c r="T599">
        <v>0</v>
      </c>
      <c r="U599" s="8">
        <v>23</v>
      </c>
      <c r="V599" s="8">
        <f t="shared" si="9"/>
        <v>2</v>
      </c>
    </row>
    <row r="600" spans="1:22" x14ac:dyDescent="0.3">
      <c r="A600" t="s">
        <v>353</v>
      </c>
      <c r="B600">
        <v>2</v>
      </c>
      <c r="C600" t="s">
        <v>127</v>
      </c>
      <c r="D600" t="s">
        <v>100</v>
      </c>
      <c r="E600" t="s">
        <v>266</v>
      </c>
      <c r="F600" t="s">
        <v>101</v>
      </c>
      <c r="G600" t="s">
        <v>134</v>
      </c>
      <c r="H600">
        <v>15</v>
      </c>
      <c r="I600">
        <v>6</v>
      </c>
      <c r="J600">
        <v>250</v>
      </c>
      <c r="K600" t="s">
        <v>96</v>
      </c>
      <c r="L600">
        <v>30</v>
      </c>
      <c r="M600">
        <v>3</v>
      </c>
      <c r="N600">
        <v>0</v>
      </c>
      <c r="O600">
        <v>30</v>
      </c>
      <c r="P600">
        <v>2</v>
      </c>
      <c r="Q600">
        <v>10</v>
      </c>
      <c r="R600">
        <v>10</v>
      </c>
      <c r="S600">
        <v>0</v>
      </c>
      <c r="T600">
        <v>0</v>
      </c>
      <c r="U600" s="8">
        <v>40</v>
      </c>
      <c r="V600" s="8">
        <f t="shared" si="9"/>
        <v>4</v>
      </c>
    </row>
    <row r="601" spans="1:22" x14ac:dyDescent="0.3">
      <c r="A601" t="s">
        <v>353</v>
      </c>
      <c r="B601">
        <v>2</v>
      </c>
      <c r="C601" t="s">
        <v>347</v>
      </c>
      <c r="D601" t="s">
        <v>348</v>
      </c>
      <c r="E601" t="s">
        <v>266</v>
      </c>
      <c r="F601" t="s">
        <v>109</v>
      </c>
      <c r="G601" t="s">
        <v>134</v>
      </c>
      <c r="H601">
        <v>4</v>
      </c>
      <c r="I601">
        <v>2</v>
      </c>
      <c r="J601">
        <v>200</v>
      </c>
      <c r="K601" t="s">
        <v>245</v>
      </c>
      <c r="L601">
        <v>9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 s="8">
        <v>9</v>
      </c>
      <c r="V601" s="8">
        <f t="shared" si="9"/>
        <v>1</v>
      </c>
    </row>
    <row r="602" spans="1:22" x14ac:dyDescent="0.3">
      <c r="A602" t="s">
        <v>353</v>
      </c>
      <c r="B602">
        <v>2</v>
      </c>
      <c r="C602" t="s">
        <v>121</v>
      </c>
      <c r="D602" t="s">
        <v>108</v>
      </c>
      <c r="E602" t="s">
        <v>266</v>
      </c>
      <c r="F602" t="s">
        <v>169</v>
      </c>
      <c r="G602" t="s">
        <v>134</v>
      </c>
      <c r="H602">
        <v>0</v>
      </c>
      <c r="I602">
        <v>1</v>
      </c>
      <c r="J602">
        <v>0</v>
      </c>
      <c r="K602" t="s">
        <v>96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 s="8">
        <v>0</v>
      </c>
      <c r="V602" s="8">
        <f t="shared" si="9"/>
        <v>0</v>
      </c>
    </row>
    <row r="603" spans="1:22" x14ac:dyDescent="0.3">
      <c r="A603" t="s">
        <v>353</v>
      </c>
      <c r="B603">
        <v>2</v>
      </c>
      <c r="C603" t="s">
        <v>125</v>
      </c>
      <c r="D603" t="s">
        <v>111</v>
      </c>
      <c r="E603" t="s">
        <v>266</v>
      </c>
      <c r="F603" t="s">
        <v>169</v>
      </c>
      <c r="G603" t="s">
        <v>104</v>
      </c>
      <c r="H603">
        <v>0</v>
      </c>
      <c r="I603">
        <v>0</v>
      </c>
      <c r="J603">
        <v>0</v>
      </c>
      <c r="K603" t="s">
        <v>104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 s="8">
        <v>0</v>
      </c>
      <c r="V603" s="8">
        <f t="shared" si="9"/>
        <v>0</v>
      </c>
    </row>
    <row r="604" spans="1:22" x14ac:dyDescent="0.3">
      <c r="A604" t="s">
        <v>353</v>
      </c>
      <c r="B604">
        <v>2</v>
      </c>
      <c r="C604" t="s">
        <v>345</v>
      </c>
      <c r="D604" t="s">
        <v>346</v>
      </c>
      <c r="E604" t="s">
        <v>266</v>
      </c>
      <c r="F604" t="s">
        <v>169</v>
      </c>
      <c r="G604" t="s">
        <v>104</v>
      </c>
      <c r="H604">
        <v>0</v>
      </c>
      <c r="I604">
        <v>0</v>
      </c>
      <c r="J604">
        <v>0</v>
      </c>
      <c r="K604" t="s">
        <v>104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 s="8">
        <v>0</v>
      </c>
      <c r="V604" s="8">
        <f t="shared" si="9"/>
        <v>0</v>
      </c>
    </row>
    <row r="605" spans="1:22" x14ac:dyDescent="0.3">
      <c r="A605" t="s">
        <v>353</v>
      </c>
      <c r="B605">
        <v>2</v>
      </c>
      <c r="C605" t="s">
        <v>131</v>
      </c>
      <c r="D605" t="s">
        <v>106</v>
      </c>
      <c r="E605" t="s">
        <v>266</v>
      </c>
      <c r="F605" t="s">
        <v>101</v>
      </c>
      <c r="G605" t="s">
        <v>104</v>
      </c>
      <c r="H605">
        <v>0</v>
      </c>
      <c r="I605">
        <v>0</v>
      </c>
      <c r="J605">
        <v>0</v>
      </c>
      <c r="K605" t="s">
        <v>104</v>
      </c>
      <c r="L605">
        <v>0</v>
      </c>
      <c r="M605">
        <v>2</v>
      </c>
      <c r="N605">
        <v>0</v>
      </c>
      <c r="O605">
        <v>17</v>
      </c>
      <c r="P605">
        <v>0</v>
      </c>
      <c r="Q605">
        <v>8.5</v>
      </c>
      <c r="R605">
        <v>-8</v>
      </c>
      <c r="S605">
        <v>0</v>
      </c>
      <c r="T605">
        <v>0</v>
      </c>
      <c r="U605" s="8">
        <v>-8</v>
      </c>
      <c r="V605" s="8">
        <f t="shared" si="9"/>
        <v>0</v>
      </c>
    </row>
    <row r="606" spans="1:22" x14ac:dyDescent="0.3">
      <c r="A606" t="s">
        <v>353</v>
      </c>
      <c r="B606">
        <v>2</v>
      </c>
      <c r="C606" t="s">
        <v>217</v>
      </c>
      <c r="D606" t="s">
        <v>218</v>
      </c>
      <c r="E606" t="s">
        <v>219</v>
      </c>
      <c r="F606" t="s">
        <v>85</v>
      </c>
      <c r="G606" t="s">
        <v>86</v>
      </c>
      <c r="H606">
        <v>33</v>
      </c>
      <c r="I606">
        <v>29</v>
      </c>
      <c r="J606">
        <v>113.79</v>
      </c>
      <c r="K606" t="s">
        <v>246</v>
      </c>
      <c r="L606">
        <v>39.39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 s="8">
        <v>39.39</v>
      </c>
      <c r="V606" s="8">
        <f t="shared" si="9"/>
        <v>4</v>
      </c>
    </row>
    <row r="607" spans="1:22" x14ac:dyDescent="0.3">
      <c r="A607" t="s">
        <v>353</v>
      </c>
      <c r="B607">
        <v>2</v>
      </c>
      <c r="C607" t="s">
        <v>229</v>
      </c>
      <c r="D607" t="s">
        <v>230</v>
      </c>
      <c r="E607" t="s">
        <v>219</v>
      </c>
      <c r="F607" t="s">
        <v>109</v>
      </c>
      <c r="G607" t="s">
        <v>134</v>
      </c>
      <c r="H607">
        <v>57</v>
      </c>
      <c r="I607">
        <v>31</v>
      </c>
      <c r="J607">
        <v>183.87</v>
      </c>
      <c r="K607" t="s">
        <v>248</v>
      </c>
      <c r="L607">
        <v>79.81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 s="8">
        <v>79.81</v>
      </c>
      <c r="V607" s="8">
        <f t="shared" si="9"/>
        <v>8</v>
      </c>
    </row>
    <row r="608" spans="1:22" x14ac:dyDescent="0.3">
      <c r="A608" t="s">
        <v>353</v>
      </c>
      <c r="B608">
        <v>2</v>
      </c>
      <c r="C608" t="s">
        <v>222</v>
      </c>
      <c r="D608" t="s">
        <v>223</v>
      </c>
      <c r="E608" t="s">
        <v>219</v>
      </c>
      <c r="F608" t="s">
        <v>169</v>
      </c>
      <c r="G608" t="s">
        <v>92</v>
      </c>
      <c r="H608">
        <v>1</v>
      </c>
      <c r="I608">
        <v>4</v>
      </c>
      <c r="J608">
        <v>25</v>
      </c>
      <c r="K608" t="s">
        <v>247</v>
      </c>
      <c r="L608">
        <v>-3.75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 s="8">
        <v>-3.75</v>
      </c>
      <c r="V608" s="8">
        <f t="shared" si="9"/>
        <v>0</v>
      </c>
    </row>
    <row r="609" spans="1:22" x14ac:dyDescent="0.3">
      <c r="A609" t="s">
        <v>353</v>
      </c>
      <c r="B609">
        <v>2</v>
      </c>
      <c r="C609" t="s">
        <v>226</v>
      </c>
      <c r="D609" t="s">
        <v>211</v>
      </c>
      <c r="E609" t="s">
        <v>219</v>
      </c>
      <c r="F609" t="s">
        <v>169</v>
      </c>
      <c r="G609" t="s">
        <v>134</v>
      </c>
      <c r="H609">
        <v>38</v>
      </c>
      <c r="I609">
        <v>17</v>
      </c>
      <c r="J609">
        <v>223.53</v>
      </c>
      <c r="K609" t="s">
        <v>96</v>
      </c>
      <c r="L609">
        <v>63.18</v>
      </c>
      <c r="M609">
        <v>4</v>
      </c>
      <c r="N609">
        <v>0</v>
      </c>
      <c r="O609">
        <v>20</v>
      </c>
      <c r="P609">
        <v>1</v>
      </c>
      <c r="Q609">
        <v>5</v>
      </c>
      <c r="R609">
        <v>12</v>
      </c>
      <c r="S609">
        <v>0</v>
      </c>
      <c r="T609">
        <v>0</v>
      </c>
      <c r="U609" s="8">
        <v>75.180000000000007</v>
      </c>
      <c r="V609" s="8">
        <f t="shared" si="9"/>
        <v>8</v>
      </c>
    </row>
    <row r="610" spans="1:22" x14ac:dyDescent="0.3">
      <c r="A610" t="s">
        <v>353</v>
      </c>
      <c r="B610">
        <v>2</v>
      </c>
      <c r="C610" t="s">
        <v>224</v>
      </c>
      <c r="D610" t="s">
        <v>225</v>
      </c>
      <c r="E610" t="s">
        <v>219</v>
      </c>
      <c r="F610" t="s">
        <v>169</v>
      </c>
      <c r="G610" t="s">
        <v>134</v>
      </c>
      <c r="H610">
        <v>27</v>
      </c>
      <c r="I610">
        <v>20</v>
      </c>
      <c r="J610">
        <v>135</v>
      </c>
      <c r="K610" t="s">
        <v>96</v>
      </c>
      <c r="L610">
        <v>36.450000000000003</v>
      </c>
      <c r="M610">
        <v>4</v>
      </c>
      <c r="N610">
        <v>0</v>
      </c>
      <c r="O610">
        <v>40</v>
      </c>
      <c r="P610">
        <v>1</v>
      </c>
      <c r="Q610">
        <v>10</v>
      </c>
      <c r="R610">
        <v>2</v>
      </c>
      <c r="S610">
        <v>0</v>
      </c>
      <c r="T610">
        <v>0</v>
      </c>
      <c r="U610" s="8">
        <v>38.450000000000003</v>
      </c>
      <c r="V610" s="8">
        <f t="shared" si="9"/>
        <v>4</v>
      </c>
    </row>
    <row r="611" spans="1:22" x14ac:dyDescent="0.3">
      <c r="A611" t="s">
        <v>353</v>
      </c>
      <c r="B611">
        <v>2</v>
      </c>
      <c r="C611" t="s">
        <v>233</v>
      </c>
      <c r="D611" t="s">
        <v>234</v>
      </c>
      <c r="E611" t="s">
        <v>219</v>
      </c>
      <c r="F611" t="s">
        <v>101</v>
      </c>
      <c r="G611" t="s">
        <v>104</v>
      </c>
      <c r="H611">
        <v>0</v>
      </c>
      <c r="I611">
        <v>0</v>
      </c>
      <c r="J611">
        <v>0</v>
      </c>
      <c r="K611" t="s">
        <v>104</v>
      </c>
      <c r="L611">
        <v>0</v>
      </c>
      <c r="M611">
        <v>4</v>
      </c>
      <c r="N611">
        <v>0</v>
      </c>
      <c r="O611">
        <v>25</v>
      </c>
      <c r="P611">
        <v>1</v>
      </c>
      <c r="Q611">
        <v>6.2</v>
      </c>
      <c r="R611">
        <v>8</v>
      </c>
      <c r="S611">
        <v>0</v>
      </c>
      <c r="T611">
        <v>0</v>
      </c>
      <c r="U611" s="8">
        <v>8</v>
      </c>
      <c r="V611" s="8">
        <f t="shared" si="9"/>
        <v>1</v>
      </c>
    </row>
    <row r="612" spans="1:22" x14ac:dyDescent="0.3">
      <c r="A612" t="s">
        <v>353</v>
      </c>
      <c r="B612">
        <v>2</v>
      </c>
      <c r="C612" t="s">
        <v>220</v>
      </c>
      <c r="D612" t="s">
        <v>221</v>
      </c>
      <c r="E612" t="s">
        <v>219</v>
      </c>
      <c r="F612" t="s">
        <v>109</v>
      </c>
      <c r="G612" t="s">
        <v>104</v>
      </c>
      <c r="H612">
        <v>0</v>
      </c>
      <c r="I612">
        <v>0</v>
      </c>
      <c r="J612">
        <v>0</v>
      </c>
      <c r="K612" t="s">
        <v>104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 s="8">
        <v>0</v>
      </c>
      <c r="V612" s="8">
        <f t="shared" si="9"/>
        <v>0</v>
      </c>
    </row>
    <row r="613" spans="1:22" x14ac:dyDescent="0.3">
      <c r="A613" t="s">
        <v>353</v>
      </c>
      <c r="B613">
        <v>2</v>
      </c>
      <c r="C613" t="s">
        <v>273</v>
      </c>
      <c r="D613" t="s">
        <v>279</v>
      </c>
      <c r="E613" t="s">
        <v>219</v>
      </c>
      <c r="F613" t="s">
        <v>169</v>
      </c>
      <c r="G613" t="s">
        <v>104</v>
      </c>
      <c r="H613">
        <v>0</v>
      </c>
      <c r="I613">
        <v>0</v>
      </c>
      <c r="J613">
        <v>0</v>
      </c>
      <c r="K613" t="s">
        <v>104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 s="8">
        <v>0</v>
      </c>
      <c r="V613" s="8">
        <f t="shared" si="9"/>
        <v>0</v>
      </c>
    </row>
    <row r="614" spans="1:22" x14ac:dyDescent="0.3">
      <c r="A614" t="s">
        <v>353</v>
      </c>
      <c r="B614">
        <v>2</v>
      </c>
      <c r="C614" t="s">
        <v>394</v>
      </c>
      <c r="D614" t="s">
        <v>395</v>
      </c>
      <c r="E614" t="s">
        <v>219</v>
      </c>
      <c r="F614" t="s">
        <v>101</v>
      </c>
      <c r="G614" t="s">
        <v>104</v>
      </c>
      <c r="H614">
        <v>0</v>
      </c>
      <c r="I614">
        <v>0</v>
      </c>
      <c r="J614">
        <v>0</v>
      </c>
      <c r="K614" t="s">
        <v>104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 s="8">
        <v>0</v>
      </c>
      <c r="V614" s="8">
        <f t="shared" si="9"/>
        <v>0</v>
      </c>
    </row>
    <row r="615" spans="1:22" x14ac:dyDescent="0.3">
      <c r="A615" t="s">
        <v>353</v>
      </c>
      <c r="B615">
        <v>2</v>
      </c>
      <c r="C615" t="s">
        <v>237</v>
      </c>
      <c r="D615" t="s">
        <v>238</v>
      </c>
      <c r="E615" t="s">
        <v>219</v>
      </c>
      <c r="F615" t="s">
        <v>101</v>
      </c>
      <c r="G615" t="s">
        <v>104</v>
      </c>
      <c r="H615">
        <v>0</v>
      </c>
      <c r="I615">
        <v>0</v>
      </c>
      <c r="J615">
        <v>0</v>
      </c>
      <c r="K615" t="s">
        <v>104</v>
      </c>
      <c r="L615">
        <v>0</v>
      </c>
      <c r="M615">
        <v>4</v>
      </c>
      <c r="N615">
        <v>0</v>
      </c>
      <c r="O615">
        <v>38</v>
      </c>
      <c r="P615">
        <v>1</v>
      </c>
      <c r="Q615">
        <v>9.5</v>
      </c>
      <c r="R615">
        <v>0</v>
      </c>
      <c r="S615">
        <v>0</v>
      </c>
      <c r="T615">
        <v>0</v>
      </c>
      <c r="U615" s="8">
        <v>0</v>
      </c>
      <c r="V615" s="8">
        <f t="shared" si="9"/>
        <v>0</v>
      </c>
    </row>
    <row r="616" spans="1:22" x14ac:dyDescent="0.3">
      <c r="A616" t="s">
        <v>353</v>
      </c>
      <c r="B616">
        <v>2</v>
      </c>
      <c r="C616" t="s">
        <v>235</v>
      </c>
      <c r="D616" t="s">
        <v>236</v>
      </c>
      <c r="E616" t="s">
        <v>219</v>
      </c>
      <c r="F616" t="s">
        <v>101</v>
      </c>
      <c r="G616" t="s">
        <v>104</v>
      </c>
      <c r="H616">
        <v>0</v>
      </c>
      <c r="I616">
        <v>0</v>
      </c>
      <c r="J616">
        <v>0</v>
      </c>
      <c r="K616" t="s">
        <v>104</v>
      </c>
      <c r="L616">
        <v>0</v>
      </c>
      <c r="M616">
        <v>4</v>
      </c>
      <c r="N616">
        <v>0</v>
      </c>
      <c r="O616">
        <v>38</v>
      </c>
      <c r="P616">
        <v>1</v>
      </c>
      <c r="Q616">
        <v>9.5</v>
      </c>
      <c r="R616">
        <v>0</v>
      </c>
      <c r="S616">
        <v>0</v>
      </c>
      <c r="T616">
        <v>0</v>
      </c>
      <c r="U616" s="8">
        <v>0</v>
      </c>
      <c r="V616" s="8">
        <f t="shared" si="9"/>
        <v>0</v>
      </c>
    </row>
    <row r="617" spans="1:22" x14ac:dyDescent="0.3">
      <c r="A617" t="s">
        <v>354</v>
      </c>
      <c r="B617">
        <v>2</v>
      </c>
      <c r="C617" t="s">
        <v>190</v>
      </c>
      <c r="D617" t="s">
        <v>191</v>
      </c>
      <c r="E617" t="s">
        <v>158</v>
      </c>
      <c r="F617" t="s">
        <v>109</v>
      </c>
      <c r="G617" t="s">
        <v>86</v>
      </c>
      <c r="H617">
        <v>11</v>
      </c>
      <c r="I617">
        <v>17</v>
      </c>
      <c r="J617">
        <v>64.709999999999994</v>
      </c>
      <c r="K617" t="s">
        <v>246</v>
      </c>
      <c r="L617">
        <v>12.8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 s="8">
        <v>12.8</v>
      </c>
      <c r="V617" s="8">
        <f t="shared" si="9"/>
        <v>1</v>
      </c>
    </row>
    <row r="618" spans="1:22" x14ac:dyDescent="0.3">
      <c r="A618" t="s">
        <v>354</v>
      </c>
      <c r="B618">
        <v>2</v>
      </c>
      <c r="C618" t="s">
        <v>188</v>
      </c>
      <c r="D618" t="s">
        <v>189</v>
      </c>
      <c r="E618" t="s">
        <v>158</v>
      </c>
      <c r="F618" t="s">
        <v>109</v>
      </c>
      <c r="G618" t="s">
        <v>86</v>
      </c>
      <c r="H618">
        <v>50</v>
      </c>
      <c r="I618">
        <v>31</v>
      </c>
      <c r="J618">
        <v>161.29</v>
      </c>
      <c r="K618" t="s">
        <v>246</v>
      </c>
      <c r="L618">
        <v>63.9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 s="8">
        <v>63.9</v>
      </c>
      <c r="V618" s="8">
        <f t="shared" si="9"/>
        <v>6</v>
      </c>
    </row>
    <row r="619" spans="1:22" x14ac:dyDescent="0.3">
      <c r="A619" t="s">
        <v>354</v>
      </c>
      <c r="B619">
        <v>2</v>
      </c>
      <c r="C619" t="s">
        <v>196</v>
      </c>
      <c r="D619" t="s">
        <v>197</v>
      </c>
      <c r="E619" t="s">
        <v>158</v>
      </c>
      <c r="F619" t="s">
        <v>109</v>
      </c>
      <c r="G619" t="s">
        <v>92</v>
      </c>
      <c r="H619">
        <v>46</v>
      </c>
      <c r="I619">
        <v>33</v>
      </c>
      <c r="J619">
        <v>139.38999999999999</v>
      </c>
      <c r="K619" t="s">
        <v>245</v>
      </c>
      <c r="L619">
        <v>56.2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 s="8">
        <v>56.2</v>
      </c>
      <c r="V619" s="8">
        <f t="shared" si="9"/>
        <v>6</v>
      </c>
    </row>
    <row r="620" spans="1:22" x14ac:dyDescent="0.3">
      <c r="A620" t="s">
        <v>354</v>
      </c>
      <c r="B620">
        <v>2</v>
      </c>
      <c r="C620" t="s">
        <v>194</v>
      </c>
      <c r="D620" t="s">
        <v>195</v>
      </c>
      <c r="E620" t="s">
        <v>158</v>
      </c>
      <c r="F620" t="s">
        <v>109</v>
      </c>
      <c r="G620" t="s">
        <v>92</v>
      </c>
      <c r="H620">
        <v>0</v>
      </c>
      <c r="I620">
        <v>4</v>
      </c>
      <c r="J620">
        <v>0</v>
      </c>
      <c r="K620" t="s">
        <v>246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 s="8">
        <v>0</v>
      </c>
      <c r="V620" s="8">
        <f t="shared" si="9"/>
        <v>0</v>
      </c>
    </row>
    <row r="621" spans="1:22" x14ac:dyDescent="0.3">
      <c r="A621" t="s">
        <v>354</v>
      </c>
      <c r="B621">
        <v>2</v>
      </c>
      <c r="C621" t="s">
        <v>192</v>
      </c>
      <c r="D621" t="s">
        <v>193</v>
      </c>
      <c r="E621" t="s">
        <v>158</v>
      </c>
      <c r="F621" t="s">
        <v>169</v>
      </c>
      <c r="G621" t="s">
        <v>134</v>
      </c>
      <c r="H621">
        <v>32</v>
      </c>
      <c r="I621">
        <v>16</v>
      </c>
      <c r="J621">
        <v>200</v>
      </c>
      <c r="K621" t="s">
        <v>246</v>
      </c>
      <c r="L621">
        <v>52.4</v>
      </c>
      <c r="M621">
        <v>4</v>
      </c>
      <c r="N621">
        <v>0</v>
      </c>
      <c r="O621">
        <v>35</v>
      </c>
      <c r="P621">
        <v>2</v>
      </c>
      <c r="Q621">
        <v>8.8000000000000007</v>
      </c>
      <c r="R621">
        <v>28</v>
      </c>
      <c r="S621">
        <v>0</v>
      </c>
      <c r="T621">
        <v>0</v>
      </c>
      <c r="U621" s="8">
        <v>80.400000000000006</v>
      </c>
      <c r="V621" s="8">
        <f t="shared" si="9"/>
        <v>8</v>
      </c>
    </row>
    <row r="622" spans="1:22" x14ac:dyDescent="0.3">
      <c r="A622" t="s">
        <v>354</v>
      </c>
      <c r="B622">
        <v>2</v>
      </c>
      <c r="C622" t="s">
        <v>198</v>
      </c>
      <c r="D622" t="s">
        <v>199</v>
      </c>
      <c r="E622" t="s">
        <v>158</v>
      </c>
      <c r="F622" t="s">
        <v>169</v>
      </c>
      <c r="G622" t="s">
        <v>134</v>
      </c>
      <c r="H622">
        <v>36</v>
      </c>
      <c r="I622">
        <v>16</v>
      </c>
      <c r="J622">
        <v>225</v>
      </c>
      <c r="K622" t="s">
        <v>96</v>
      </c>
      <c r="L622">
        <v>64.8</v>
      </c>
      <c r="M622">
        <v>4</v>
      </c>
      <c r="N622">
        <v>0</v>
      </c>
      <c r="O622">
        <v>21</v>
      </c>
      <c r="P622">
        <v>3</v>
      </c>
      <c r="Q622">
        <v>5.2</v>
      </c>
      <c r="R622">
        <v>48</v>
      </c>
      <c r="S622">
        <v>0</v>
      </c>
      <c r="T622">
        <v>0</v>
      </c>
      <c r="U622" s="8">
        <v>112.8</v>
      </c>
      <c r="V622" s="8">
        <f t="shared" si="9"/>
        <v>10</v>
      </c>
    </row>
    <row r="623" spans="1:22" x14ac:dyDescent="0.3">
      <c r="A623" t="s">
        <v>354</v>
      </c>
      <c r="B623">
        <v>2</v>
      </c>
      <c r="C623" t="s">
        <v>202</v>
      </c>
      <c r="D623" t="s">
        <v>203</v>
      </c>
      <c r="E623" t="s">
        <v>158</v>
      </c>
      <c r="F623" t="s">
        <v>101</v>
      </c>
      <c r="G623" t="s">
        <v>135</v>
      </c>
      <c r="H623">
        <v>10</v>
      </c>
      <c r="I623">
        <v>4</v>
      </c>
      <c r="J623">
        <v>250</v>
      </c>
      <c r="K623" t="s">
        <v>96</v>
      </c>
      <c r="L623">
        <v>28</v>
      </c>
      <c r="M623">
        <v>4</v>
      </c>
      <c r="N623">
        <v>0</v>
      </c>
      <c r="O623">
        <v>38</v>
      </c>
      <c r="P623">
        <v>2</v>
      </c>
      <c r="Q623">
        <v>9.5</v>
      </c>
      <c r="R623">
        <v>20</v>
      </c>
      <c r="S623">
        <v>0</v>
      </c>
      <c r="T623">
        <v>0</v>
      </c>
      <c r="U623" s="8">
        <v>48</v>
      </c>
      <c r="V623" s="8">
        <f t="shared" si="9"/>
        <v>5</v>
      </c>
    </row>
    <row r="624" spans="1:22" x14ac:dyDescent="0.3">
      <c r="A624" t="s">
        <v>354</v>
      </c>
      <c r="B624">
        <v>2</v>
      </c>
      <c r="C624" t="s">
        <v>200</v>
      </c>
      <c r="D624" t="s">
        <v>201</v>
      </c>
      <c r="E624" t="s">
        <v>158</v>
      </c>
      <c r="F624" t="s">
        <v>85</v>
      </c>
      <c r="G624" t="s">
        <v>104</v>
      </c>
      <c r="H624">
        <v>0</v>
      </c>
      <c r="I624">
        <v>0</v>
      </c>
      <c r="J624">
        <v>0</v>
      </c>
      <c r="K624" t="s">
        <v>104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 s="8">
        <v>0</v>
      </c>
      <c r="V624" s="8">
        <f t="shared" si="9"/>
        <v>0</v>
      </c>
    </row>
    <row r="625" spans="1:22" x14ac:dyDescent="0.3">
      <c r="A625" t="s">
        <v>354</v>
      </c>
      <c r="B625">
        <v>2</v>
      </c>
      <c r="C625" t="s">
        <v>274</v>
      </c>
      <c r="D625" t="s">
        <v>284</v>
      </c>
      <c r="E625" t="s">
        <v>158</v>
      </c>
      <c r="F625" t="s">
        <v>169</v>
      </c>
      <c r="G625" t="s">
        <v>104</v>
      </c>
      <c r="H625">
        <v>0</v>
      </c>
      <c r="I625">
        <v>0</v>
      </c>
      <c r="J625">
        <v>0</v>
      </c>
      <c r="K625" t="s">
        <v>104</v>
      </c>
      <c r="L625">
        <v>0</v>
      </c>
      <c r="M625">
        <v>2</v>
      </c>
      <c r="N625">
        <v>0</v>
      </c>
      <c r="O625">
        <v>28</v>
      </c>
      <c r="P625">
        <v>0</v>
      </c>
      <c r="Q625">
        <v>14</v>
      </c>
      <c r="R625">
        <v>-10</v>
      </c>
      <c r="S625">
        <v>0</v>
      </c>
      <c r="T625">
        <v>0</v>
      </c>
      <c r="U625" s="8">
        <v>-10</v>
      </c>
      <c r="V625" s="8">
        <f t="shared" si="9"/>
        <v>0</v>
      </c>
    </row>
    <row r="626" spans="1:22" x14ac:dyDescent="0.3">
      <c r="A626" t="s">
        <v>354</v>
      </c>
      <c r="B626">
        <v>2</v>
      </c>
      <c r="C626" t="s">
        <v>206</v>
      </c>
      <c r="D626" t="s">
        <v>207</v>
      </c>
      <c r="E626" t="s">
        <v>158</v>
      </c>
      <c r="F626" t="s">
        <v>101</v>
      </c>
      <c r="G626" t="s">
        <v>104</v>
      </c>
      <c r="H626">
        <v>0</v>
      </c>
      <c r="I626">
        <v>0</v>
      </c>
      <c r="J626">
        <v>0</v>
      </c>
      <c r="K626" t="s">
        <v>104</v>
      </c>
      <c r="L626">
        <v>0</v>
      </c>
      <c r="M626">
        <v>2</v>
      </c>
      <c r="N626">
        <v>0</v>
      </c>
      <c r="O626">
        <v>19</v>
      </c>
      <c r="P626">
        <v>0</v>
      </c>
      <c r="Q626">
        <v>9.5</v>
      </c>
      <c r="R626">
        <v>5</v>
      </c>
      <c r="S626">
        <v>0</v>
      </c>
      <c r="T626">
        <v>0</v>
      </c>
      <c r="U626" s="8">
        <v>5</v>
      </c>
      <c r="V626" s="8">
        <f t="shared" si="9"/>
        <v>1</v>
      </c>
    </row>
    <row r="627" spans="1:22" x14ac:dyDescent="0.3">
      <c r="A627" t="s">
        <v>354</v>
      </c>
      <c r="B627">
        <v>2</v>
      </c>
      <c r="C627" t="s">
        <v>204</v>
      </c>
      <c r="D627" t="s">
        <v>205</v>
      </c>
      <c r="E627" t="s">
        <v>158</v>
      </c>
      <c r="F627" t="s">
        <v>169</v>
      </c>
      <c r="G627" t="s">
        <v>104</v>
      </c>
      <c r="H627">
        <v>0</v>
      </c>
      <c r="I627">
        <v>0</v>
      </c>
      <c r="J627">
        <v>0</v>
      </c>
      <c r="K627" t="s">
        <v>104</v>
      </c>
      <c r="L627">
        <v>0</v>
      </c>
      <c r="M627">
        <v>4</v>
      </c>
      <c r="N627">
        <v>0</v>
      </c>
      <c r="O627">
        <v>27</v>
      </c>
      <c r="P627">
        <v>1</v>
      </c>
      <c r="Q627">
        <v>6.8</v>
      </c>
      <c r="R627">
        <v>18</v>
      </c>
      <c r="S627">
        <v>0</v>
      </c>
      <c r="T627">
        <v>0</v>
      </c>
      <c r="U627" s="8">
        <v>18</v>
      </c>
      <c r="V627" s="8">
        <f t="shared" si="9"/>
        <v>2</v>
      </c>
    </row>
    <row r="628" spans="1:22" x14ac:dyDescent="0.3">
      <c r="A628" t="s">
        <v>354</v>
      </c>
      <c r="B628">
        <v>2</v>
      </c>
      <c r="C628" t="s">
        <v>165</v>
      </c>
      <c r="D628" t="s">
        <v>166</v>
      </c>
      <c r="E628" t="s">
        <v>159</v>
      </c>
      <c r="F628" t="s">
        <v>109</v>
      </c>
      <c r="G628" t="s">
        <v>86</v>
      </c>
      <c r="H628">
        <v>74</v>
      </c>
      <c r="I628">
        <v>43</v>
      </c>
      <c r="J628">
        <v>172.09</v>
      </c>
      <c r="K628" t="s">
        <v>245</v>
      </c>
      <c r="L628">
        <v>96.5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 s="8">
        <v>96.5</v>
      </c>
      <c r="V628" s="8">
        <f t="shared" si="9"/>
        <v>10</v>
      </c>
    </row>
    <row r="629" spans="1:22" x14ac:dyDescent="0.3">
      <c r="A629" t="s">
        <v>354</v>
      </c>
      <c r="B629">
        <v>2</v>
      </c>
      <c r="C629" t="s">
        <v>167</v>
      </c>
      <c r="D629" t="s">
        <v>168</v>
      </c>
      <c r="E629" t="s">
        <v>159</v>
      </c>
      <c r="F629" t="s">
        <v>169</v>
      </c>
      <c r="G629" t="s">
        <v>92</v>
      </c>
      <c r="H629">
        <v>23</v>
      </c>
      <c r="I629">
        <v>17</v>
      </c>
      <c r="J629">
        <v>135.29</v>
      </c>
      <c r="K629" t="s">
        <v>246</v>
      </c>
      <c r="L629">
        <v>30.4</v>
      </c>
      <c r="M629">
        <v>3</v>
      </c>
      <c r="N629">
        <v>0</v>
      </c>
      <c r="O629">
        <v>23</v>
      </c>
      <c r="P629">
        <v>2</v>
      </c>
      <c r="Q629">
        <v>7.7</v>
      </c>
      <c r="R629">
        <v>22</v>
      </c>
      <c r="S629">
        <v>0</v>
      </c>
      <c r="T629">
        <v>0</v>
      </c>
      <c r="U629" s="8">
        <v>52.4</v>
      </c>
      <c r="V629" s="8">
        <f t="shared" si="9"/>
        <v>5</v>
      </c>
    </row>
    <row r="630" spans="1:22" x14ac:dyDescent="0.3">
      <c r="A630" t="s">
        <v>354</v>
      </c>
      <c r="B630">
        <v>2</v>
      </c>
      <c r="C630" t="s">
        <v>87</v>
      </c>
      <c r="D630" t="s">
        <v>82</v>
      </c>
      <c r="E630" t="s">
        <v>159</v>
      </c>
      <c r="F630" t="s">
        <v>83</v>
      </c>
      <c r="G630" t="s">
        <v>92</v>
      </c>
      <c r="H630">
        <v>36</v>
      </c>
      <c r="I630">
        <v>31</v>
      </c>
      <c r="J630">
        <v>116.13</v>
      </c>
      <c r="K630" t="s">
        <v>256</v>
      </c>
      <c r="L630">
        <v>38.200000000000003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 s="8">
        <v>38.200000000000003</v>
      </c>
      <c r="V630" s="8">
        <f t="shared" si="9"/>
        <v>4</v>
      </c>
    </row>
    <row r="631" spans="1:22" x14ac:dyDescent="0.3">
      <c r="A631" t="s">
        <v>354</v>
      </c>
      <c r="B631">
        <v>2</v>
      </c>
      <c r="C631" t="s">
        <v>176</v>
      </c>
      <c r="D631" t="s">
        <v>177</v>
      </c>
      <c r="E631" t="s">
        <v>159</v>
      </c>
      <c r="F631" t="s">
        <v>85</v>
      </c>
      <c r="G631" t="s">
        <v>134</v>
      </c>
      <c r="H631">
        <v>19</v>
      </c>
      <c r="I631">
        <v>13</v>
      </c>
      <c r="J631">
        <v>146.15</v>
      </c>
      <c r="K631" t="s">
        <v>246</v>
      </c>
      <c r="L631">
        <v>27.3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 s="8">
        <v>27.3</v>
      </c>
      <c r="V631" s="8">
        <f t="shared" si="9"/>
        <v>3</v>
      </c>
    </row>
    <row r="632" spans="1:22" x14ac:dyDescent="0.3">
      <c r="A632" t="s">
        <v>354</v>
      </c>
      <c r="B632">
        <v>2</v>
      </c>
      <c r="C632" t="s">
        <v>99</v>
      </c>
      <c r="D632" t="s">
        <v>124</v>
      </c>
      <c r="E632" t="s">
        <v>159</v>
      </c>
      <c r="F632" t="s">
        <v>91</v>
      </c>
      <c r="G632" t="s">
        <v>134</v>
      </c>
      <c r="H632">
        <v>6</v>
      </c>
      <c r="I632">
        <v>7</v>
      </c>
      <c r="J632">
        <v>85.71</v>
      </c>
      <c r="K632" t="s">
        <v>246</v>
      </c>
      <c r="L632">
        <v>6.8</v>
      </c>
      <c r="M632">
        <v>1</v>
      </c>
      <c r="N632">
        <v>0</v>
      </c>
      <c r="O632">
        <v>13</v>
      </c>
      <c r="P632">
        <v>0</v>
      </c>
      <c r="Q632">
        <v>13</v>
      </c>
      <c r="R632">
        <v>2</v>
      </c>
      <c r="S632">
        <v>0</v>
      </c>
      <c r="T632">
        <v>0</v>
      </c>
      <c r="U632" s="8">
        <v>8.8000000000000007</v>
      </c>
      <c r="V632" s="8">
        <f t="shared" si="9"/>
        <v>1</v>
      </c>
    </row>
    <row r="633" spans="1:22" x14ac:dyDescent="0.3">
      <c r="A633" t="s">
        <v>354</v>
      </c>
      <c r="B633">
        <v>2</v>
      </c>
      <c r="C633" t="s">
        <v>449</v>
      </c>
      <c r="D633" t="s">
        <v>410</v>
      </c>
      <c r="E633" t="s">
        <v>159</v>
      </c>
      <c r="F633" t="s">
        <v>169</v>
      </c>
      <c r="G633" t="s">
        <v>134</v>
      </c>
      <c r="H633">
        <v>1</v>
      </c>
      <c r="I633">
        <v>2</v>
      </c>
      <c r="J633">
        <v>50</v>
      </c>
      <c r="K633" t="s">
        <v>246</v>
      </c>
      <c r="L633">
        <v>2</v>
      </c>
      <c r="M633">
        <v>4</v>
      </c>
      <c r="N633">
        <v>0</v>
      </c>
      <c r="O633">
        <v>35</v>
      </c>
      <c r="P633">
        <v>2</v>
      </c>
      <c r="Q633">
        <v>8.8000000000000007</v>
      </c>
      <c r="R633">
        <v>28</v>
      </c>
      <c r="S633">
        <v>0</v>
      </c>
      <c r="T633">
        <v>0</v>
      </c>
      <c r="U633" s="8">
        <v>30</v>
      </c>
      <c r="V633" s="8">
        <f t="shared" si="9"/>
        <v>3</v>
      </c>
    </row>
    <row r="634" spans="1:22" x14ac:dyDescent="0.3">
      <c r="A634" t="s">
        <v>354</v>
      </c>
      <c r="B634">
        <v>2</v>
      </c>
      <c r="C634" t="s">
        <v>373</v>
      </c>
      <c r="D634" t="s">
        <v>374</v>
      </c>
      <c r="E634" t="s">
        <v>159</v>
      </c>
      <c r="F634" t="s">
        <v>101</v>
      </c>
      <c r="G634" t="s">
        <v>135</v>
      </c>
      <c r="H634">
        <v>2</v>
      </c>
      <c r="I634">
        <v>2</v>
      </c>
      <c r="J634">
        <v>100</v>
      </c>
      <c r="K634" t="s">
        <v>246</v>
      </c>
      <c r="L634">
        <v>4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 s="8">
        <v>4</v>
      </c>
      <c r="V634" s="8">
        <f t="shared" si="9"/>
        <v>0</v>
      </c>
    </row>
    <row r="635" spans="1:22" x14ac:dyDescent="0.3">
      <c r="A635" t="s">
        <v>354</v>
      </c>
      <c r="B635">
        <v>2</v>
      </c>
      <c r="C635" t="s">
        <v>371</v>
      </c>
      <c r="D635" t="s">
        <v>372</v>
      </c>
      <c r="E635" t="s">
        <v>159</v>
      </c>
      <c r="F635" t="s">
        <v>169</v>
      </c>
      <c r="G635" t="s">
        <v>135</v>
      </c>
      <c r="H635">
        <v>1</v>
      </c>
      <c r="I635">
        <v>2</v>
      </c>
      <c r="J635">
        <v>50</v>
      </c>
      <c r="K635" t="s">
        <v>246</v>
      </c>
      <c r="L635">
        <v>2</v>
      </c>
      <c r="M635">
        <v>3</v>
      </c>
      <c r="N635">
        <v>0</v>
      </c>
      <c r="O635">
        <v>23</v>
      </c>
      <c r="P635">
        <v>0</v>
      </c>
      <c r="Q635">
        <v>7.7</v>
      </c>
      <c r="R635">
        <v>6</v>
      </c>
      <c r="S635">
        <v>0</v>
      </c>
      <c r="T635">
        <v>0</v>
      </c>
      <c r="U635" s="8">
        <v>8</v>
      </c>
      <c r="V635" s="8">
        <f t="shared" si="9"/>
        <v>1</v>
      </c>
    </row>
    <row r="636" spans="1:22" x14ac:dyDescent="0.3">
      <c r="A636" t="s">
        <v>354</v>
      </c>
      <c r="B636">
        <v>2</v>
      </c>
      <c r="C636" t="s">
        <v>259</v>
      </c>
      <c r="D636" t="s">
        <v>257</v>
      </c>
      <c r="E636" t="s">
        <v>159</v>
      </c>
      <c r="F636" t="s">
        <v>91</v>
      </c>
      <c r="G636" t="s">
        <v>135</v>
      </c>
      <c r="H636">
        <v>1</v>
      </c>
      <c r="I636">
        <v>2</v>
      </c>
      <c r="J636">
        <v>50</v>
      </c>
      <c r="K636" t="s">
        <v>96</v>
      </c>
      <c r="L636">
        <v>4</v>
      </c>
      <c r="M636">
        <v>3</v>
      </c>
      <c r="N636">
        <v>0</v>
      </c>
      <c r="O636">
        <v>40</v>
      </c>
      <c r="P636">
        <v>1</v>
      </c>
      <c r="Q636">
        <v>13.3</v>
      </c>
      <c r="R636">
        <v>10</v>
      </c>
      <c r="S636">
        <v>0</v>
      </c>
      <c r="T636">
        <v>0</v>
      </c>
      <c r="U636" s="8">
        <v>14</v>
      </c>
      <c r="V636" s="8">
        <f t="shared" si="9"/>
        <v>1</v>
      </c>
    </row>
    <row r="637" spans="1:22" x14ac:dyDescent="0.3">
      <c r="A637" t="s">
        <v>354</v>
      </c>
      <c r="B637">
        <v>2</v>
      </c>
      <c r="C637" t="s">
        <v>180</v>
      </c>
      <c r="D637" t="s">
        <v>181</v>
      </c>
      <c r="E637" t="s">
        <v>159</v>
      </c>
      <c r="F637" t="s">
        <v>91</v>
      </c>
      <c r="G637" t="s">
        <v>135</v>
      </c>
      <c r="H637">
        <v>0</v>
      </c>
      <c r="I637">
        <v>1</v>
      </c>
      <c r="J637">
        <v>0</v>
      </c>
      <c r="K637" t="s">
        <v>246</v>
      </c>
      <c r="L637">
        <v>0</v>
      </c>
      <c r="M637">
        <v>2</v>
      </c>
      <c r="N637">
        <v>0</v>
      </c>
      <c r="O637">
        <v>30</v>
      </c>
      <c r="P637">
        <v>0</v>
      </c>
      <c r="Q637">
        <v>15</v>
      </c>
      <c r="R637">
        <v>-5</v>
      </c>
      <c r="S637">
        <v>0</v>
      </c>
      <c r="T637">
        <v>0</v>
      </c>
      <c r="U637" s="8">
        <v>-5</v>
      </c>
      <c r="V637" s="8">
        <f t="shared" si="9"/>
        <v>0</v>
      </c>
    </row>
    <row r="638" spans="1:22" x14ac:dyDescent="0.3">
      <c r="A638" t="s">
        <v>354</v>
      </c>
      <c r="B638">
        <v>2</v>
      </c>
      <c r="C638" t="s">
        <v>186</v>
      </c>
      <c r="D638" t="s">
        <v>187</v>
      </c>
      <c r="E638" t="s">
        <v>159</v>
      </c>
      <c r="F638" t="s">
        <v>101</v>
      </c>
      <c r="G638" t="s">
        <v>135</v>
      </c>
      <c r="H638">
        <v>1</v>
      </c>
      <c r="I638">
        <v>1</v>
      </c>
      <c r="J638">
        <v>100</v>
      </c>
      <c r="K638" t="s">
        <v>96</v>
      </c>
      <c r="L638">
        <v>4</v>
      </c>
      <c r="M638">
        <v>4</v>
      </c>
      <c r="N638">
        <v>0</v>
      </c>
      <c r="O638">
        <v>28</v>
      </c>
      <c r="P638">
        <v>0</v>
      </c>
      <c r="Q638">
        <v>7</v>
      </c>
      <c r="R638">
        <v>6</v>
      </c>
      <c r="S638">
        <v>0</v>
      </c>
      <c r="T638">
        <v>0</v>
      </c>
      <c r="U638" s="8">
        <v>10</v>
      </c>
      <c r="V638" s="8">
        <f t="shared" si="9"/>
        <v>1</v>
      </c>
    </row>
    <row r="639" spans="1:22" x14ac:dyDescent="0.3">
      <c r="A639" t="s">
        <v>355</v>
      </c>
      <c r="B639">
        <v>2</v>
      </c>
      <c r="C639" t="s">
        <v>217</v>
      </c>
      <c r="D639" t="s">
        <v>218</v>
      </c>
      <c r="E639" t="s">
        <v>219</v>
      </c>
      <c r="F639" t="s">
        <v>85</v>
      </c>
      <c r="G639" t="s">
        <v>86</v>
      </c>
      <c r="H639">
        <v>33</v>
      </c>
      <c r="I639">
        <v>21</v>
      </c>
      <c r="J639">
        <v>157.13999999999999</v>
      </c>
      <c r="K639" t="s">
        <v>246</v>
      </c>
      <c r="L639">
        <v>34.9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 s="8">
        <v>34.9</v>
      </c>
      <c r="V639" s="8">
        <f t="shared" si="9"/>
        <v>3</v>
      </c>
    </row>
    <row r="640" spans="1:22" x14ac:dyDescent="0.3">
      <c r="A640" t="s">
        <v>355</v>
      </c>
      <c r="B640">
        <v>2</v>
      </c>
      <c r="C640" t="s">
        <v>229</v>
      </c>
      <c r="D640" t="s">
        <v>230</v>
      </c>
      <c r="E640" t="s">
        <v>219</v>
      </c>
      <c r="F640" t="s">
        <v>109</v>
      </c>
      <c r="G640" t="s">
        <v>86</v>
      </c>
      <c r="H640">
        <v>12</v>
      </c>
      <c r="I640">
        <v>8</v>
      </c>
      <c r="J640">
        <v>150</v>
      </c>
      <c r="K640" t="s">
        <v>246</v>
      </c>
      <c r="L640">
        <v>15.4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 s="8">
        <v>15.4</v>
      </c>
      <c r="V640" s="8">
        <f t="shared" si="9"/>
        <v>2</v>
      </c>
    </row>
    <row r="641" spans="1:22" x14ac:dyDescent="0.3">
      <c r="A641" t="s">
        <v>355</v>
      </c>
      <c r="B641">
        <v>2</v>
      </c>
      <c r="C641" t="s">
        <v>403</v>
      </c>
      <c r="D641" t="s">
        <v>414</v>
      </c>
      <c r="E641" t="s">
        <v>219</v>
      </c>
      <c r="F641" t="s">
        <v>83</v>
      </c>
      <c r="G641" t="s">
        <v>92</v>
      </c>
      <c r="H641">
        <v>17</v>
      </c>
      <c r="I641">
        <v>11</v>
      </c>
      <c r="J641">
        <v>154.55000000000001</v>
      </c>
      <c r="K641" t="s">
        <v>246</v>
      </c>
      <c r="L641">
        <v>23.2</v>
      </c>
      <c r="M641">
        <v>4</v>
      </c>
      <c r="N641">
        <v>0</v>
      </c>
      <c r="O641">
        <v>19</v>
      </c>
      <c r="P641">
        <v>0</v>
      </c>
      <c r="Q641">
        <v>4.8</v>
      </c>
      <c r="R641">
        <v>10</v>
      </c>
      <c r="S641">
        <v>1</v>
      </c>
      <c r="T641">
        <v>0</v>
      </c>
      <c r="U641" s="8">
        <v>41.2</v>
      </c>
      <c r="V641" s="8">
        <f t="shared" si="9"/>
        <v>4</v>
      </c>
    </row>
    <row r="642" spans="1:22" x14ac:dyDescent="0.3">
      <c r="A642" t="s">
        <v>355</v>
      </c>
      <c r="B642">
        <v>2</v>
      </c>
      <c r="C642" t="s">
        <v>226</v>
      </c>
      <c r="D642" t="s">
        <v>211</v>
      </c>
      <c r="E642" t="s">
        <v>219</v>
      </c>
      <c r="F642" t="s">
        <v>83</v>
      </c>
      <c r="G642" t="s">
        <v>134</v>
      </c>
      <c r="H642">
        <v>60</v>
      </c>
      <c r="I642">
        <v>33</v>
      </c>
      <c r="J642">
        <v>181.82</v>
      </c>
      <c r="K642" t="s">
        <v>96</v>
      </c>
      <c r="L642">
        <v>77.900000000000006</v>
      </c>
      <c r="M642">
        <v>3</v>
      </c>
      <c r="N642">
        <v>0</v>
      </c>
      <c r="O642">
        <v>21</v>
      </c>
      <c r="P642">
        <v>0</v>
      </c>
      <c r="Q642">
        <v>7</v>
      </c>
      <c r="R642">
        <v>5</v>
      </c>
      <c r="S642">
        <v>0</v>
      </c>
      <c r="T642">
        <v>0</v>
      </c>
      <c r="U642" s="8">
        <v>82.9</v>
      </c>
      <c r="V642" s="8">
        <f t="shared" si="9"/>
        <v>8</v>
      </c>
    </row>
    <row r="643" spans="1:22" x14ac:dyDescent="0.3">
      <c r="A643" t="s">
        <v>355</v>
      </c>
      <c r="B643">
        <v>2</v>
      </c>
      <c r="C643" t="s">
        <v>220</v>
      </c>
      <c r="D643" t="s">
        <v>221</v>
      </c>
      <c r="E643" t="s">
        <v>219</v>
      </c>
      <c r="F643" t="s">
        <v>83</v>
      </c>
      <c r="G643" t="s">
        <v>134</v>
      </c>
      <c r="H643">
        <v>2</v>
      </c>
      <c r="I643">
        <v>7</v>
      </c>
      <c r="J643">
        <v>28.57</v>
      </c>
      <c r="K643" t="s">
        <v>245</v>
      </c>
      <c r="L643">
        <v>-1.6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 s="8">
        <v>0</v>
      </c>
      <c r="V643" s="8">
        <f t="shared" ref="V643:V706" si="10">MIN(10, MAX(0, ROUND(U643/10,0)))</f>
        <v>0</v>
      </c>
    </row>
    <row r="644" spans="1:22" x14ac:dyDescent="0.3">
      <c r="A644" t="s">
        <v>355</v>
      </c>
      <c r="B644">
        <v>2</v>
      </c>
      <c r="C644" t="s">
        <v>224</v>
      </c>
      <c r="D644" t="s">
        <v>225</v>
      </c>
      <c r="E644" t="s">
        <v>219</v>
      </c>
      <c r="F644" t="s">
        <v>169</v>
      </c>
      <c r="G644" t="s">
        <v>134</v>
      </c>
      <c r="H644">
        <v>17</v>
      </c>
      <c r="I644">
        <v>14</v>
      </c>
      <c r="J644">
        <v>121.43</v>
      </c>
      <c r="K644" t="s">
        <v>96</v>
      </c>
      <c r="L644">
        <v>22.3</v>
      </c>
      <c r="M644">
        <v>4</v>
      </c>
      <c r="N644">
        <v>0</v>
      </c>
      <c r="O644">
        <v>28</v>
      </c>
      <c r="P644">
        <v>0</v>
      </c>
      <c r="Q644">
        <v>7</v>
      </c>
      <c r="R644">
        <v>5</v>
      </c>
      <c r="S644">
        <v>0</v>
      </c>
      <c r="T644">
        <v>0</v>
      </c>
      <c r="U644" s="8">
        <v>27.3</v>
      </c>
      <c r="V644" s="8">
        <f t="shared" si="10"/>
        <v>3</v>
      </c>
    </row>
    <row r="645" spans="1:22" x14ac:dyDescent="0.3">
      <c r="A645" t="s">
        <v>355</v>
      </c>
      <c r="B645">
        <v>2</v>
      </c>
      <c r="C645" t="s">
        <v>273</v>
      </c>
      <c r="D645" t="s">
        <v>279</v>
      </c>
      <c r="E645" t="s">
        <v>219</v>
      </c>
      <c r="F645" t="s">
        <v>91</v>
      </c>
      <c r="G645" t="s">
        <v>104</v>
      </c>
      <c r="H645">
        <v>0</v>
      </c>
      <c r="I645">
        <v>0</v>
      </c>
      <c r="J645">
        <v>0</v>
      </c>
      <c r="K645" t="s">
        <v>104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 s="8">
        <v>0</v>
      </c>
      <c r="V645" s="8">
        <f t="shared" si="10"/>
        <v>0</v>
      </c>
    </row>
    <row r="646" spans="1:22" x14ac:dyDescent="0.3">
      <c r="A646" t="s">
        <v>355</v>
      </c>
      <c r="B646">
        <v>2</v>
      </c>
      <c r="C646" t="s">
        <v>377</v>
      </c>
      <c r="D646" t="s">
        <v>378</v>
      </c>
      <c r="E646" t="s">
        <v>219</v>
      </c>
      <c r="F646" t="s">
        <v>91</v>
      </c>
      <c r="G646" t="s">
        <v>104</v>
      </c>
      <c r="H646">
        <v>0</v>
      </c>
      <c r="I646">
        <v>0</v>
      </c>
      <c r="J646">
        <v>0</v>
      </c>
      <c r="K646" t="s">
        <v>104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1</v>
      </c>
      <c r="U646" s="8">
        <v>12</v>
      </c>
      <c r="V646" s="8">
        <f t="shared" si="10"/>
        <v>1</v>
      </c>
    </row>
    <row r="647" spans="1:22" x14ac:dyDescent="0.3">
      <c r="A647" t="s">
        <v>355</v>
      </c>
      <c r="B647">
        <v>2</v>
      </c>
      <c r="C647" t="s">
        <v>233</v>
      </c>
      <c r="D647" t="s">
        <v>234</v>
      </c>
      <c r="E647" t="s">
        <v>219</v>
      </c>
      <c r="F647" t="s">
        <v>101</v>
      </c>
      <c r="G647" t="s">
        <v>104</v>
      </c>
      <c r="H647">
        <v>0</v>
      </c>
      <c r="I647">
        <v>0</v>
      </c>
      <c r="J647">
        <v>0</v>
      </c>
      <c r="K647" t="s">
        <v>104</v>
      </c>
      <c r="L647">
        <v>0</v>
      </c>
      <c r="M647">
        <v>4</v>
      </c>
      <c r="N647">
        <v>0</v>
      </c>
      <c r="O647">
        <v>20</v>
      </c>
      <c r="P647">
        <v>3</v>
      </c>
      <c r="Q647">
        <v>5</v>
      </c>
      <c r="R647">
        <v>55</v>
      </c>
      <c r="S647">
        <v>0</v>
      </c>
      <c r="T647">
        <v>0</v>
      </c>
      <c r="U647" s="8">
        <v>55</v>
      </c>
      <c r="V647" s="8">
        <f t="shared" si="10"/>
        <v>6</v>
      </c>
    </row>
    <row r="648" spans="1:22" x14ac:dyDescent="0.3">
      <c r="A648" t="s">
        <v>355</v>
      </c>
      <c r="B648">
        <v>2</v>
      </c>
      <c r="C648" t="s">
        <v>235</v>
      </c>
      <c r="D648" t="s">
        <v>236</v>
      </c>
      <c r="E648" t="s">
        <v>219</v>
      </c>
      <c r="F648" t="s">
        <v>101</v>
      </c>
      <c r="G648" t="s">
        <v>104</v>
      </c>
      <c r="H648">
        <v>0</v>
      </c>
      <c r="I648">
        <v>0</v>
      </c>
      <c r="J648">
        <v>0</v>
      </c>
      <c r="K648" t="s">
        <v>104</v>
      </c>
      <c r="L648">
        <v>0</v>
      </c>
      <c r="M648">
        <v>1</v>
      </c>
      <c r="N648">
        <v>0</v>
      </c>
      <c r="O648">
        <v>13</v>
      </c>
      <c r="P648">
        <v>0</v>
      </c>
      <c r="Q648">
        <v>13</v>
      </c>
      <c r="R648">
        <v>0</v>
      </c>
      <c r="S648">
        <v>0</v>
      </c>
      <c r="T648">
        <v>0</v>
      </c>
      <c r="U648" s="8">
        <v>0</v>
      </c>
      <c r="V648" s="8">
        <f t="shared" si="10"/>
        <v>0</v>
      </c>
    </row>
    <row r="649" spans="1:22" x14ac:dyDescent="0.3">
      <c r="A649" t="s">
        <v>355</v>
      </c>
      <c r="B649">
        <v>2</v>
      </c>
      <c r="C649" t="s">
        <v>237</v>
      </c>
      <c r="D649" t="s">
        <v>238</v>
      </c>
      <c r="E649" t="s">
        <v>219</v>
      </c>
      <c r="F649" t="s">
        <v>101</v>
      </c>
      <c r="G649" t="s">
        <v>104</v>
      </c>
      <c r="H649">
        <v>0</v>
      </c>
      <c r="I649">
        <v>0</v>
      </c>
      <c r="J649">
        <v>0</v>
      </c>
      <c r="K649" t="s">
        <v>104</v>
      </c>
      <c r="L649">
        <v>0</v>
      </c>
      <c r="M649">
        <v>4</v>
      </c>
      <c r="N649">
        <v>0</v>
      </c>
      <c r="O649">
        <v>33</v>
      </c>
      <c r="P649">
        <v>1</v>
      </c>
      <c r="Q649">
        <v>8.25</v>
      </c>
      <c r="R649">
        <v>14</v>
      </c>
      <c r="S649">
        <v>0</v>
      </c>
      <c r="T649">
        <v>0</v>
      </c>
      <c r="U649" s="8">
        <v>14</v>
      </c>
      <c r="V649" s="8">
        <f t="shared" si="10"/>
        <v>1</v>
      </c>
    </row>
    <row r="650" spans="1:22" x14ac:dyDescent="0.3">
      <c r="A650" t="s">
        <v>355</v>
      </c>
      <c r="B650">
        <v>2</v>
      </c>
      <c r="C650" t="s">
        <v>278</v>
      </c>
      <c r="D650" t="s">
        <v>293</v>
      </c>
      <c r="E650" t="s">
        <v>258</v>
      </c>
      <c r="F650" t="s">
        <v>109</v>
      </c>
      <c r="G650" t="s">
        <v>86</v>
      </c>
      <c r="H650">
        <v>28</v>
      </c>
      <c r="I650">
        <v>26</v>
      </c>
      <c r="J650">
        <v>107.69</v>
      </c>
      <c r="K650" t="s">
        <v>246</v>
      </c>
      <c r="L650">
        <v>20.100000000000001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 s="8">
        <v>20.100000000000001</v>
      </c>
      <c r="V650" s="8">
        <f t="shared" si="10"/>
        <v>2</v>
      </c>
    </row>
    <row r="651" spans="1:22" x14ac:dyDescent="0.3">
      <c r="A651" t="s">
        <v>355</v>
      </c>
      <c r="B651">
        <v>2</v>
      </c>
      <c r="C651" t="s">
        <v>81</v>
      </c>
      <c r="D651" t="s">
        <v>114</v>
      </c>
      <c r="E651" t="s">
        <v>258</v>
      </c>
      <c r="F651" t="s">
        <v>85</v>
      </c>
      <c r="G651" t="s">
        <v>86</v>
      </c>
      <c r="H651">
        <v>16</v>
      </c>
      <c r="I651">
        <v>16</v>
      </c>
      <c r="J651">
        <v>100</v>
      </c>
      <c r="K651" t="s">
        <v>246</v>
      </c>
      <c r="L651">
        <v>14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 s="8">
        <v>14</v>
      </c>
      <c r="V651" s="8">
        <f t="shared" si="10"/>
        <v>1</v>
      </c>
    </row>
    <row r="652" spans="1:22" x14ac:dyDescent="0.3">
      <c r="A652" t="s">
        <v>355</v>
      </c>
      <c r="B652">
        <v>2</v>
      </c>
      <c r="C652" t="s">
        <v>89</v>
      </c>
      <c r="D652" t="s">
        <v>116</v>
      </c>
      <c r="E652" t="s">
        <v>258</v>
      </c>
      <c r="F652" t="s">
        <v>109</v>
      </c>
      <c r="G652" t="s">
        <v>92</v>
      </c>
      <c r="H652">
        <v>18</v>
      </c>
      <c r="I652">
        <v>24</v>
      </c>
      <c r="J652">
        <v>75</v>
      </c>
      <c r="K652" t="s">
        <v>246</v>
      </c>
      <c r="L652">
        <v>8.6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 s="8">
        <v>8.6</v>
      </c>
      <c r="V652" s="8">
        <f t="shared" si="10"/>
        <v>1</v>
      </c>
    </row>
    <row r="653" spans="1:22" x14ac:dyDescent="0.3">
      <c r="A653" t="s">
        <v>355</v>
      </c>
      <c r="B653">
        <v>2</v>
      </c>
      <c r="C653" t="s">
        <v>383</v>
      </c>
      <c r="D653" t="s">
        <v>384</v>
      </c>
      <c r="E653" t="s">
        <v>258</v>
      </c>
      <c r="F653" t="s">
        <v>109</v>
      </c>
      <c r="G653" t="s">
        <v>92</v>
      </c>
      <c r="H653">
        <v>35</v>
      </c>
      <c r="I653">
        <v>26</v>
      </c>
      <c r="J653">
        <v>134.62</v>
      </c>
      <c r="K653" t="s">
        <v>256</v>
      </c>
      <c r="L653">
        <v>33.9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</v>
      </c>
      <c r="U653" s="8">
        <v>45.9</v>
      </c>
      <c r="V653" s="8">
        <f t="shared" si="10"/>
        <v>5</v>
      </c>
    </row>
    <row r="654" spans="1:22" x14ac:dyDescent="0.3">
      <c r="A654" t="s">
        <v>355</v>
      </c>
      <c r="B654">
        <v>2</v>
      </c>
      <c r="C654" t="s">
        <v>93</v>
      </c>
      <c r="D654" t="s">
        <v>118</v>
      </c>
      <c r="E654" t="s">
        <v>258</v>
      </c>
      <c r="F654" t="s">
        <v>83</v>
      </c>
      <c r="G654" t="s">
        <v>134</v>
      </c>
      <c r="H654">
        <v>30</v>
      </c>
      <c r="I654">
        <v>17</v>
      </c>
      <c r="J654">
        <v>176.47</v>
      </c>
      <c r="K654" t="s">
        <v>246</v>
      </c>
      <c r="L654">
        <v>36.299999999999997</v>
      </c>
      <c r="M654">
        <v>3</v>
      </c>
      <c r="N654">
        <v>0</v>
      </c>
      <c r="O654">
        <v>30</v>
      </c>
      <c r="P654">
        <v>0</v>
      </c>
      <c r="Q654">
        <v>10</v>
      </c>
      <c r="R654">
        <v>0</v>
      </c>
      <c r="S654">
        <v>0</v>
      </c>
      <c r="T654">
        <v>0</v>
      </c>
      <c r="U654" s="8">
        <v>36.299999999999997</v>
      </c>
      <c r="V654" s="8">
        <f t="shared" si="10"/>
        <v>4</v>
      </c>
    </row>
    <row r="655" spans="1:22" x14ac:dyDescent="0.3">
      <c r="A655" t="s">
        <v>355</v>
      </c>
      <c r="B655">
        <v>2</v>
      </c>
      <c r="C655" t="s">
        <v>97</v>
      </c>
      <c r="D655" t="s">
        <v>122</v>
      </c>
      <c r="E655" t="s">
        <v>258</v>
      </c>
      <c r="F655" t="s">
        <v>109</v>
      </c>
      <c r="G655" t="s">
        <v>134</v>
      </c>
      <c r="H655">
        <v>2</v>
      </c>
      <c r="I655">
        <v>4</v>
      </c>
      <c r="J655">
        <v>50</v>
      </c>
      <c r="K655" t="s">
        <v>96</v>
      </c>
      <c r="L655">
        <v>7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 s="8">
        <v>7</v>
      </c>
      <c r="V655" s="8">
        <f t="shared" si="10"/>
        <v>1</v>
      </c>
    </row>
    <row r="656" spans="1:22" x14ac:dyDescent="0.3">
      <c r="A656" t="s">
        <v>355</v>
      </c>
      <c r="B656">
        <v>2</v>
      </c>
      <c r="C656" t="s">
        <v>385</v>
      </c>
      <c r="D656" t="s">
        <v>386</v>
      </c>
      <c r="E656" t="s">
        <v>258</v>
      </c>
      <c r="F656" t="s">
        <v>169</v>
      </c>
      <c r="G656" t="s">
        <v>134</v>
      </c>
      <c r="H656">
        <v>5</v>
      </c>
      <c r="I656">
        <v>7</v>
      </c>
      <c r="J656">
        <v>71.430000000000007</v>
      </c>
      <c r="K656" t="s">
        <v>96</v>
      </c>
      <c r="L656">
        <v>6.3</v>
      </c>
      <c r="M656">
        <v>2</v>
      </c>
      <c r="N656">
        <v>0</v>
      </c>
      <c r="O656">
        <v>19</v>
      </c>
      <c r="P656">
        <v>1</v>
      </c>
      <c r="Q656">
        <v>9.5</v>
      </c>
      <c r="R656">
        <v>18</v>
      </c>
      <c r="S656">
        <v>0</v>
      </c>
      <c r="T656">
        <v>0</v>
      </c>
      <c r="U656" s="8">
        <v>24.3</v>
      </c>
      <c r="V656" s="8">
        <f t="shared" si="10"/>
        <v>2</v>
      </c>
    </row>
    <row r="657" spans="1:22" x14ac:dyDescent="0.3">
      <c r="A657" t="s">
        <v>355</v>
      </c>
      <c r="B657">
        <v>2</v>
      </c>
      <c r="C657" t="s">
        <v>102</v>
      </c>
      <c r="D657" t="s">
        <v>126</v>
      </c>
      <c r="E657" t="s">
        <v>258</v>
      </c>
      <c r="F657" t="s">
        <v>91</v>
      </c>
      <c r="G657" t="s">
        <v>104</v>
      </c>
      <c r="H657">
        <v>0</v>
      </c>
      <c r="I657">
        <v>0</v>
      </c>
      <c r="J657">
        <v>0</v>
      </c>
      <c r="K657" t="s">
        <v>104</v>
      </c>
      <c r="L657">
        <v>0</v>
      </c>
      <c r="M657">
        <v>2.4</v>
      </c>
      <c r="N657">
        <v>0</v>
      </c>
      <c r="O657">
        <v>17</v>
      </c>
      <c r="P657">
        <v>0</v>
      </c>
      <c r="Q657">
        <v>6.4</v>
      </c>
      <c r="R657">
        <v>9</v>
      </c>
      <c r="S657">
        <v>0</v>
      </c>
      <c r="T657">
        <v>0</v>
      </c>
      <c r="U657" s="8">
        <v>9</v>
      </c>
      <c r="V657" s="8">
        <f t="shared" si="10"/>
        <v>1</v>
      </c>
    </row>
    <row r="658" spans="1:22" x14ac:dyDescent="0.3">
      <c r="A658" t="s">
        <v>355</v>
      </c>
      <c r="B658">
        <v>2</v>
      </c>
      <c r="C658" t="s">
        <v>105</v>
      </c>
      <c r="D658" t="s">
        <v>128</v>
      </c>
      <c r="E658" t="s">
        <v>258</v>
      </c>
      <c r="F658" t="s">
        <v>101</v>
      </c>
      <c r="G658" t="s">
        <v>104</v>
      </c>
      <c r="H658">
        <v>0</v>
      </c>
      <c r="I658">
        <v>0</v>
      </c>
      <c r="J658">
        <v>0</v>
      </c>
      <c r="K658" t="s">
        <v>104</v>
      </c>
      <c r="L658">
        <v>0</v>
      </c>
      <c r="M658">
        <v>3</v>
      </c>
      <c r="N658">
        <v>0</v>
      </c>
      <c r="O658">
        <v>23</v>
      </c>
      <c r="P658">
        <v>2</v>
      </c>
      <c r="Q658">
        <v>7.7</v>
      </c>
      <c r="R658">
        <v>36</v>
      </c>
      <c r="S658">
        <v>0</v>
      </c>
      <c r="T658">
        <v>0</v>
      </c>
      <c r="U658" s="8">
        <v>36</v>
      </c>
      <c r="V658" s="8">
        <f t="shared" si="10"/>
        <v>4</v>
      </c>
    </row>
    <row r="659" spans="1:22" x14ac:dyDescent="0.3">
      <c r="A659" t="s">
        <v>355</v>
      </c>
      <c r="B659">
        <v>2</v>
      </c>
      <c r="C659" t="s">
        <v>404</v>
      </c>
      <c r="D659" t="s">
        <v>416</v>
      </c>
      <c r="E659" t="s">
        <v>258</v>
      </c>
      <c r="F659" t="s">
        <v>91</v>
      </c>
      <c r="G659" t="s">
        <v>104</v>
      </c>
      <c r="H659">
        <v>0</v>
      </c>
      <c r="I659">
        <v>0</v>
      </c>
      <c r="J659">
        <v>0</v>
      </c>
      <c r="K659" t="s">
        <v>104</v>
      </c>
      <c r="L659">
        <v>0</v>
      </c>
      <c r="M659">
        <v>1</v>
      </c>
      <c r="N659">
        <v>0</v>
      </c>
      <c r="O659">
        <v>14</v>
      </c>
      <c r="P659">
        <v>0</v>
      </c>
      <c r="Q659">
        <v>14</v>
      </c>
      <c r="R659">
        <v>0</v>
      </c>
      <c r="S659">
        <v>0</v>
      </c>
      <c r="T659">
        <v>0</v>
      </c>
      <c r="U659" s="8">
        <v>0</v>
      </c>
      <c r="V659" s="8">
        <f t="shared" si="10"/>
        <v>0</v>
      </c>
    </row>
    <row r="660" spans="1:22" x14ac:dyDescent="0.3">
      <c r="A660" t="s">
        <v>355</v>
      </c>
      <c r="B660">
        <v>2</v>
      </c>
      <c r="C660" t="s">
        <v>389</v>
      </c>
      <c r="D660" t="s">
        <v>390</v>
      </c>
      <c r="E660" t="s">
        <v>258</v>
      </c>
      <c r="F660" t="s">
        <v>101</v>
      </c>
      <c r="G660" t="s">
        <v>104</v>
      </c>
      <c r="H660">
        <v>0</v>
      </c>
      <c r="I660">
        <v>0</v>
      </c>
      <c r="J660">
        <v>0</v>
      </c>
      <c r="K660" t="s">
        <v>104</v>
      </c>
      <c r="L660">
        <v>0</v>
      </c>
      <c r="M660">
        <v>4</v>
      </c>
      <c r="N660">
        <v>1</v>
      </c>
      <c r="O660">
        <v>39</v>
      </c>
      <c r="P660">
        <v>1</v>
      </c>
      <c r="Q660">
        <v>9.8000000000000007</v>
      </c>
      <c r="R660">
        <v>13</v>
      </c>
      <c r="S660">
        <v>0</v>
      </c>
      <c r="T660">
        <v>0</v>
      </c>
      <c r="U660" s="8">
        <v>13</v>
      </c>
      <c r="V660" s="8">
        <f t="shared" si="10"/>
        <v>1</v>
      </c>
    </row>
    <row r="661" spans="1:22" x14ac:dyDescent="0.3">
      <c r="A661" t="s">
        <v>356</v>
      </c>
      <c r="B661">
        <v>2</v>
      </c>
      <c r="C661" t="s">
        <v>165</v>
      </c>
      <c r="D661" t="s">
        <v>166</v>
      </c>
      <c r="E661" t="s">
        <v>159</v>
      </c>
      <c r="F661" t="s">
        <v>109</v>
      </c>
      <c r="G661" t="s">
        <v>86</v>
      </c>
      <c r="H661">
        <v>9</v>
      </c>
      <c r="I661">
        <v>11</v>
      </c>
      <c r="J661">
        <v>81.819999999999993</v>
      </c>
      <c r="K661" t="s">
        <v>246</v>
      </c>
      <c r="L661">
        <v>6.5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 s="8">
        <v>6.5</v>
      </c>
      <c r="V661" s="8">
        <f t="shared" si="10"/>
        <v>1</v>
      </c>
    </row>
    <row r="662" spans="1:22" x14ac:dyDescent="0.3">
      <c r="A662" t="s">
        <v>356</v>
      </c>
      <c r="B662">
        <v>2</v>
      </c>
      <c r="C662" t="s">
        <v>167</v>
      </c>
      <c r="D662" t="s">
        <v>168</v>
      </c>
      <c r="E662" t="s">
        <v>159</v>
      </c>
      <c r="F662" t="s">
        <v>169</v>
      </c>
      <c r="G662" t="s">
        <v>92</v>
      </c>
      <c r="H662">
        <v>9</v>
      </c>
      <c r="I662">
        <v>10</v>
      </c>
      <c r="J662">
        <v>90</v>
      </c>
      <c r="K662" t="s">
        <v>247</v>
      </c>
      <c r="L662">
        <v>6.8</v>
      </c>
      <c r="M662">
        <v>2</v>
      </c>
      <c r="N662">
        <v>0</v>
      </c>
      <c r="O662">
        <v>16</v>
      </c>
      <c r="P662">
        <v>1</v>
      </c>
      <c r="Q662">
        <v>8</v>
      </c>
      <c r="R662">
        <v>13</v>
      </c>
      <c r="S662">
        <v>0</v>
      </c>
      <c r="T662">
        <v>0</v>
      </c>
      <c r="U662" s="8">
        <v>19.8</v>
      </c>
      <c r="V662" s="8">
        <f t="shared" si="10"/>
        <v>2</v>
      </c>
    </row>
    <row r="663" spans="1:22" x14ac:dyDescent="0.3">
      <c r="A663" t="s">
        <v>356</v>
      </c>
      <c r="B663">
        <v>2</v>
      </c>
      <c r="C663" t="s">
        <v>87</v>
      </c>
      <c r="D663" t="s">
        <v>82</v>
      </c>
      <c r="E663" t="s">
        <v>159</v>
      </c>
      <c r="F663" t="s">
        <v>83</v>
      </c>
      <c r="G663" t="s">
        <v>92</v>
      </c>
      <c r="H663">
        <v>11</v>
      </c>
      <c r="I663">
        <v>12</v>
      </c>
      <c r="J663">
        <v>91.67</v>
      </c>
      <c r="K663" t="s">
        <v>246</v>
      </c>
      <c r="L663">
        <v>8.5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 s="8">
        <v>8.5</v>
      </c>
      <c r="V663" s="8">
        <f t="shared" si="10"/>
        <v>1</v>
      </c>
    </row>
    <row r="664" spans="1:22" x14ac:dyDescent="0.3">
      <c r="A664" t="s">
        <v>356</v>
      </c>
      <c r="B664">
        <v>2</v>
      </c>
      <c r="C664" t="s">
        <v>174</v>
      </c>
      <c r="D664" t="s">
        <v>175</v>
      </c>
      <c r="E664" t="s">
        <v>159</v>
      </c>
      <c r="F664" t="s">
        <v>83</v>
      </c>
      <c r="G664" t="s">
        <v>134</v>
      </c>
      <c r="H664">
        <v>44</v>
      </c>
      <c r="I664">
        <v>38</v>
      </c>
      <c r="J664">
        <v>115.79</v>
      </c>
      <c r="K664" t="s">
        <v>96</v>
      </c>
      <c r="L664">
        <v>46.9</v>
      </c>
      <c r="M664">
        <v>2</v>
      </c>
      <c r="N664">
        <v>0</v>
      </c>
      <c r="O664">
        <v>10</v>
      </c>
      <c r="P664">
        <v>0</v>
      </c>
      <c r="Q664">
        <v>5</v>
      </c>
      <c r="R664">
        <v>15</v>
      </c>
      <c r="S664">
        <v>0</v>
      </c>
      <c r="T664">
        <v>0</v>
      </c>
      <c r="U664" s="8">
        <v>61.9</v>
      </c>
      <c r="V664" s="8">
        <f t="shared" si="10"/>
        <v>6</v>
      </c>
    </row>
    <row r="665" spans="1:22" x14ac:dyDescent="0.3">
      <c r="A665" t="s">
        <v>356</v>
      </c>
      <c r="B665">
        <v>2</v>
      </c>
      <c r="C665" t="s">
        <v>176</v>
      </c>
      <c r="D665" t="s">
        <v>177</v>
      </c>
      <c r="E665" t="s">
        <v>159</v>
      </c>
      <c r="F665" t="s">
        <v>85</v>
      </c>
      <c r="G665" t="s">
        <v>134</v>
      </c>
      <c r="H665">
        <v>7</v>
      </c>
      <c r="I665">
        <v>10</v>
      </c>
      <c r="J665">
        <v>70</v>
      </c>
      <c r="K665" t="s">
        <v>246</v>
      </c>
      <c r="L665">
        <v>2.4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 s="8">
        <v>2.4</v>
      </c>
      <c r="V665" s="8">
        <f t="shared" si="10"/>
        <v>0</v>
      </c>
    </row>
    <row r="666" spans="1:22" x14ac:dyDescent="0.3">
      <c r="A666" t="s">
        <v>356</v>
      </c>
      <c r="B666">
        <v>2</v>
      </c>
      <c r="C666" t="s">
        <v>371</v>
      </c>
      <c r="D666" t="s">
        <v>372</v>
      </c>
      <c r="E666" t="s">
        <v>159</v>
      </c>
      <c r="F666" t="s">
        <v>91</v>
      </c>
      <c r="G666" t="s">
        <v>134</v>
      </c>
      <c r="H666">
        <v>12</v>
      </c>
      <c r="I666">
        <v>14</v>
      </c>
      <c r="J666">
        <v>85.71</v>
      </c>
      <c r="K666" t="s">
        <v>245</v>
      </c>
      <c r="L666">
        <v>6.7</v>
      </c>
      <c r="M666">
        <v>3</v>
      </c>
      <c r="N666">
        <v>0</v>
      </c>
      <c r="O666">
        <v>26</v>
      </c>
      <c r="P666">
        <v>0</v>
      </c>
      <c r="Q666">
        <v>8.6999999999999993</v>
      </c>
      <c r="R666">
        <v>3</v>
      </c>
      <c r="S666">
        <v>0</v>
      </c>
      <c r="T666">
        <v>0</v>
      </c>
      <c r="U666" s="8">
        <v>9.6999999999999993</v>
      </c>
      <c r="V666" s="8">
        <f t="shared" si="10"/>
        <v>1</v>
      </c>
    </row>
    <row r="667" spans="1:22" x14ac:dyDescent="0.3">
      <c r="A667" t="s">
        <v>356</v>
      </c>
      <c r="B667">
        <v>2</v>
      </c>
      <c r="C667" t="s">
        <v>99</v>
      </c>
      <c r="D667" t="s">
        <v>124</v>
      </c>
      <c r="E667" t="s">
        <v>159</v>
      </c>
      <c r="F667" t="s">
        <v>91</v>
      </c>
      <c r="G667" t="s">
        <v>134</v>
      </c>
      <c r="H667">
        <v>27</v>
      </c>
      <c r="I667">
        <v>20</v>
      </c>
      <c r="J667">
        <v>135</v>
      </c>
      <c r="K667" t="s">
        <v>246</v>
      </c>
      <c r="L667">
        <v>25</v>
      </c>
      <c r="M667">
        <v>2.1</v>
      </c>
      <c r="N667">
        <v>0</v>
      </c>
      <c r="O667">
        <v>18</v>
      </c>
      <c r="P667">
        <v>1</v>
      </c>
      <c r="Q667">
        <v>8.3000000000000007</v>
      </c>
      <c r="R667">
        <v>16</v>
      </c>
      <c r="S667">
        <v>0</v>
      </c>
      <c r="T667">
        <v>0</v>
      </c>
      <c r="U667" s="8">
        <v>41</v>
      </c>
      <c r="V667" s="8">
        <f t="shared" si="10"/>
        <v>4</v>
      </c>
    </row>
    <row r="668" spans="1:22" x14ac:dyDescent="0.3">
      <c r="A668" t="s">
        <v>356</v>
      </c>
      <c r="B668">
        <v>2</v>
      </c>
      <c r="C668" t="s">
        <v>259</v>
      </c>
      <c r="D668" t="s">
        <v>257</v>
      </c>
      <c r="E668" t="s">
        <v>159</v>
      </c>
      <c r="F668" t="s">
        <v>91</v>
      </c>
      <c r="G668" t="s">
        <v>134</v>
      </c>
      <c r="H668">
        <v>7</v>
      </c>
      <c r="I668">
        <v>5</v>
      </c>
      <c r="J668">
        <v>140</v>
      </c>
      <c r="K668" t="s">
        <v>96</v>
      </c>
      <c r="L668">
        <v>14.5</v>
      </c>
      <c r="M668">
        <v>2</v>
      </c>
      <c r="N668">
        <v>0</v>
      </c>
      <c r="O668">
        <v>15</v>
      </c>
      <c r="P668">
        <v>1</v>
      </c>
      <c r="Q668">
        <v>7.5</v>
      </c>
      <c r="R668">
        <v>20</v>
      </c>
      <c r="S668">
        <v>0</v>
      </c>
      <c r="T668">
        <v>0</v>
      </c>
      <c r="U668" s="8">
        <v>34.5</v>
      </c>
      <c r="V668" s="8">
        <f t="shared" si="10"/>
        <v>3</v>
      </c>
    </row>
    <row r="669" spans="1:22" x14ac:dyDescent="0.3">
      <c r="A669" t="s">
        <v>356</v>
      </c>
      <c r="B669">
        <v>2</v>
      </c>
      <c r="C669" t="s">
        <v>373</v>
      </c>
      <c r="D669" t="s">
        <v>374</v>
      </c>
      <c r="E669" t="s">
        <v>159</v>
      </c>
      <c r="F669" t="s">
        <v>101</v>
      </c>
      <c r="G669" t="s">
        <v>104</v>
      </c>
      <c r="H669">
        <v>0</v>
      </c>
      <c r="I669">
        <v>0</v>
      </c>
      <c r="J669">
        <v>0</v>
      </c>
      <c r="K669" t="s">
        <v>104</v>
      </c>
      <c r="L669">
        <v>0</v>
      </c>
      <c r="M669">
        <v>1</v>
      </c>
      <c r="N669">
        <v>0</v>
      </c>
      <c r="O669">
        <v>11</v>
      </c>
      <c r="P669">
        <v>0</v>
      </c>
      <c r="Q669">
        <v>11</v>
      </c>
      <c r="R669">
        <v>0</v>
      </c>
      <c r="S669">
        <v>0</v>
      </c>
      <c r="T669">
        <v>0</v>
      </c>
      <c r="U669" s="8">
        <v>0</v>
      </c>
      <c r="V669" s="8">
        <f t="shared" si="10"/>
        <v>0</v>
      </c>
    </row>
    <row r="670" spans="1:22" x14ac:dyDescent="0.3">
      <c r="A670" t="s">
        <v>356</v>
      </c>
      <c r="B670">
        <v>2</v>
      </c>
      <c r="C670" t="s">
        <v>180</v>
      </c>
      <c r="D670" t="s">
        <v>181</v>
      </c>
      <c r="E670" t="s">
        <v>159</v>
      </c>
      <c r="F670" t="s">
        <v>91</v>
      </c>
      <c r="G670" t="s">
        <v>104</v>
      </c>
      <c r="H670">
        <v>0</v>
      </c>
      <c r="I670">
        <v>0</v>
      </c>
      <c r="J670">
        <v>0</v>
      </c>
      <c r="K670" t="s">
        <v>104</v>
      </c>
      <c r="L670">
        <v>0</v>
      </c>
      <c r="M670">
        <v>1</v>
      </c>
      <c r="N670">
        <v>0</v>
      </c>
      <c r="O670">
        <v>12</v>
      </c>
      <c r="P670">
        <v>0</v>
      </c>
      <c r="Q670">
        <v>12</v>
      </c>
      <c r="R670">
        <v>0</v>
      </c>
      <c r="S670">
        <v>0</v>
      </c>
      <c r="T670">
        <v>0</v>
      </c>
      <c r="U670" s="8">
        <v>0</v>
      </c>
      <c r="V670" s="8">
        <f t="shared" si="10"/>
        <v>0</v>
      </c>
    </row>
    <row r="671" spans="1:22" x14ac:dyDescent="0.3">
      <c r="A671" t="s">
        <v>356</v>
      </c>
      <c r="B671">
        <v>2</v>
      </c>
      <c r="C671" t="s">
        <v>186</v>
      </c>
      <c r="D671" t="s">
        <v>187</v>
      </c>
      <c r="E671" t="s">
        <v>159</v>
      </c>
      <c r="F671" t="s">
        <v>101</v>
      </c>
      <c r="G671" t="s">
        <v>104</v>
      </c>
      <c r="H671">
        <v>0</v>
      </c>
      <c r="I671">
        <v>0</v>
      </c>
      <c r="J671">
        <v>0</v>
      </c>
      <c r="K671" t="s">
        <v>104</v>
      </c>
      <c r="L671">
        <v>0</v>
      </c>
      <c r="M671">
        <v>2</v>
      </c>
      <c r="N671">
        <v>0</v>
      </c>
      <c r="O671">
        <v>25</v>
      </c>
      <c r="P671">
        <v>0</v>
      </c>
      <c r="Q671">
        <v>12.5</v>
      </c>
      <c r="R671">
        <v>0</v>
      </c>
      <c r="S671">
        <v>0</v>
      </c>
      <c r="T671">
        <v>0</v>
      </c>
      <c r="U671" s="8">
        <v>0</v>
      </c>
      <c r="V671" s="8">
        <f t="shared" si="10"/>
        <v>0</v>
      </c>
    </row>
    <row r="672" spans="1:22" x14ac:dyDescent="0.3">
      <c r="A672" t="s">
        <v>356</v>
      </c>
      <c r="B672">
        <v>2</v>
      </c>
      <c r="C672" t="s">
        <v>113</v>
      </c>
      <c r="D672" t="s">
        <v>84</v>
      </c>
      <c r="E672" t="s">
        <v>266</v>
      </c>
      <c r="F672" t="s">
        <v>85</v>
      </c>
      <c r="G672" t="s">
        <v>86</v>
      </c>
      <c r="H672">
        <v>31</v>
      </c>
      <c r="I672">
        <v>15</v>
      </c>
      <c r="J672">
        <v>206.67</v>
      </c>
      <c r="K672" t="s">
        <v>246</v>
      </c>
      <c r="L672">
        <v>43.1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 s="8">
        <v>43.1</v>
      </c>
      <c r="V672" s="8">
        <f t="shared" si="10"/>
        <v>4</v>
      </c>
    </row>
    <row r="673" spans="1:22" x14ac:dyDescent="0.3">
      <c r="A673" t="s">
        <v>356</v>
      </c>
      <c r="B673">
        <v>2</v>
      </c>
      <c r="C673" t="s">
        <v>112</v>
      </c>
      <c r="D673" t="s">
        <v>88</v>
      </c>
      <c r="E673" t="s">
        <v>266</v>
      </c>
      <c r="F673" t="s">
        <v>83</v>
      </c>
      <c r="G673" t="s">
        <v>86</v>
      </c>
      <c r="H673">
        <v>26</v>
      </c>
      <c r="I673">
        <v>21</v>
      </c>
      <c r="J673">
        <v>123.81</v>
      </c>
      <c r="K673" t="s">
        <v>246</v>
      </c>
      <c r="L673">
        <v>23.4</v>
      </c>
      <c r="M673">
        <v>4</v>
      </c>
      <c r="N673">
        <v>0</v>
      </c>
      <c r="O673">
        <v>29</v>
      </c>
      <c r="P673">
        <v>0</v>
      </c>
      <c r="Q673">
        <v>7.2</v>
      </c>
      <c r="R673">
        <v>5</v>
      </c>
      <c r="S673">
        <v>0</v>
      </c>
      <c r="T673">
        <v>0</v>
      </c>
      <c r="U673" s="8">
        <v>28.4</v>
      </c>
      <c r="V673" s="8">
        <f t="shared" si="10"/>
        <v>3</v>
      </c>
    </row>
    <row r="674" spans="1:22" x14ac:dyDescent="0.3">
      <c r="A674" t="s">
        <v>356</v>
      </c>
      <c r="B674">
        <v>2</v>
      </c>
      <c r="C674" t="s">
        <v>117</v>
      </c>
      <c r="D674" t="s">
        <v>90</v>
      </c>
      <c r="E674" t="s">
        <v>266</v>
      </c>
      <c r="F674" t="s">
        <v>169</v>
      </c>
      <c r="G674" t="s">
        <v>92</v>
      </c>
      <c r="H674">
        <v>27</v>
      </c>
      <c r="I674">
        <v>25</v>
      </c>
      <c r="J674">
        <v>108</v>
      </c>
      <c r="K674" t="s">
        <v>246</v>
      </c>
      <c r="L674">
        <v>20.6</v>
      </c>
      <c r="M674">
        <v>4</v>
      </c>
      <c r="N674">
        <v>0</v>
      </c>
      <c r="O674">
        <v>27</v>
      </c>
      <c r="P674">
        <v>2</v>
      </c>
      <c r="Q674">
        <v>6.8</v>
      </c>
      <c r="R674">
        <v>42</v>
      </c>
      <c r="S674">
        <v>0</v>
      </c>
      <c r="T674">
        <v>0</v>
      </c>
      <c r="U674" s="8">
        <v>62.6</v>
      </c>
      <c r="V674" s="8">
        <f t="shared" si="10"/>
        <v>6</v>
      </c>
    </row>
    <row r="675" spans="1:22" x14ac:dyDescent="0.3">
      <c r="A675" t="s">
        <v>356</v>
      </c>
      <c r="B675">
        <v>2</v>
      </c>
      <c r="C675" t="s">
        <v>119</v>
      </c>
      <c r="D675" t="s">
        <v>95</v>
      </c>
      <c r="E675" t="s">
        <v>266</v>
      </c>
      <c r="F675" t="s">
        <v>169</v>
      </c>
      <c r="G675" t="s">
        <v>134</v>
      </c>
      <c r="H675">
        <v>40</v>
      </c>
      <c r="I675">
        <v>24</v>
      </c>
      <c r="J675">
        <v>166.67</v>
      </c>
      <c r="K675" t="s">
        <v>96</v>
      </c>
      <c r="L675">
        <v>48.3</v>
      </c>
      <c r="M675">
        <v>3</v>
      </c>
      <c r="N675">
        <v>0</v>
      </c>
      <c r="O675">
        <v>20</v>
      </c>
      <c r="P675">
        <v>0</v>
      </c>
      <c r="Q675">
        <v>6.7</v>
      </c>
      <c r="R675">
        <v>5</v>
      </c>
      <c r="S675">
        <v>0</v>
      </c>
      <c r="T675">
        <v>0</v>
      </c>
      <c r="U675" s="8">
        <v>53.3</v>
      </c>
      <c r="V675" s="8">
        <f t="shared" si="10"/>
        <v>5</v>
      </c>
    </row>
    <row r="676" spans="1:22" x14ac:dyDescent="0.3">
      <c r="A676" t="s">
        <v>356</v>
      </c>
      <c r="B676">
        <v>2</v>
      </c>
      <c r="C676" t="s">
        <v>123</v>
      </c>
      <c r="D676" t="s">
        <v>98</v>
      </c>
      <c r="E676" t="s">
        <v>266</v>
      </c>
      <c r="F676" t="s">
        <v>91</v>
      </c>
      <c r="G676" t="s">
        <v>134</v>
      </c>
      <c r="H676">
        <v>8</v>
      </c>
      <c r="I676">
        <v>6</v>
      </c>
      <c r="J676">
        <v>133.33000000000001</v>
      </c>
      <c r="K676" t="s">
        <v>96</v>
      </c>
      <c r="L676">
        <v>13.1</v>
      </c>
      <c r="M676">
        <v>3</v>
      </c>
      <c r="N676">
        <v>0</v>
      </c>
      <c r="O676">
        <v>14</v>
      </c>
      <c r="P676">
        <v>2</v>
      </c>
      <c r="Q676">
        <v>4.7</v>
      </c>
      <c r="R676">
        <v>46</v>
      </c>
      <c r="S676">
        <v>0</v>
      </c>
      <c r="T676">
        <v>0</v>
      </c>
      <c r="U676" s="8">
        <v>59.1</v>
      </c>
      <c r="V676" s="8">
        <f t="shared" si="10"/>
        <v>6</v>
      </c>
    </row>
    <row r="677" spans="1:22" x14ac:dyDescent="0.3">
      <c r="A677" t="s">
        <v>356</v>
      </c>
      <c r="B677">
        <v>2</v>
      </c>
      <c r="C677" t="s">
        <v>127</v>
      </c>
      <c r="D677" t="s">
        <v>100</v>
      </c>
      <c r="E677" t="s">
        <v>266</v>
      </c>
      <c r="F677" t="s">
        <v>101</v>
      </c>
      <c r="G677" t="s">
        <v>104</v>
      </c>
      <c r="H677">
        <v>0</v>
      </c>
      <c r="I677">
        <v>0</v>
      </c>
      <c r="J677">
        <v>0</v>
      </c>
      <c r="K677" t="s">
        <v>104</v>
      </c>
      <c r="L677">
        <v>0</v>
      </c>
      <c r="M677">
        <v>3</v>
      </c>
      <c r="N677">
        <v>0</v>
      </c>
      <c r="O677">
        <v>20</v>
      </c>
      <c r="P677">
        <v>1</v>
      </c>
      <c r="Q677">
        <v>6.7</v>
      </c>
      <c r="R677">
        <v>21</v>
      </c>
      <c r="S677">
        <v>0</v>
      </c>
      <c r="T677">
        <v>0</v>
      </c>
      <c r="U677" s="8">
        <v>21</v>
      </c>
      <c r="V677" s="8">
        <f t="shared" si="10"/>
        <v>2</v>
      </c>
    </row>
    <row r="678" spans="1:22" x14ac:dyDescent="0.3">
      <c r="A678" t="s">
        <v>356</v>
      </c>
      <c r="B678">
        <v>2</v>
      </c>
      <c r="C678" t="s">
        <v>347</v>
      </c>
      <c r="D678" t="s">
        <v>348</v>
      </c>
      <c r="E678" t="s">
        <v>266</v>
      </c>
      <c r="F678" t="s">
        <v>83</v>
      </c>
      <c r="G678" t="s">
        <v>104</v>
      </c>
      <c r="H678">
        <v>0</v>
      </c>
      <c r="I678">
        <v>0</v>
      </c>
      <c r="J678">
        <v>0</v>
      </c>
      <c r="K678" t="s">
        <v>104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 s="8">
        <v>0</v>
      </c>
      <c r="V678" s="8">
        <f t="shared" si="10"/>
        <v>0</v>
      </c>
    </row>
    <row r="679" spans="1:22" x14ac:dyDescent="0.3">
      <c r="A679" t="s">
        <v>356</v>
      </c>
      <c r="B679">
        <v>2</v>
      </c>
      <c r="C679" t="s">
        <v>121</v>
      </c>
      <c r="D679" t="s">
        <v>108</v>
      </c>
      <c r="E679" t="s">
        <v>266</v>
      </c>
      <c r="F679" t="s">
        <v>91</v>
      </c>
      <c r="G679" t="s">
        <v>104</v>
      </c>
      <c r="H679">
        <v>0</v>
      </c>
      <c r="I679">
        <v>0</v>
      </c>
      <c r="J679">
        <v>0</v>
      </c>
      <c r="K679" t="s">
        <v>104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 s="8">
        <v>0</v>
      </c>
      <c r="V679" s="8">
        <f t="shared" si="10"/>
        <v>0</v>
      </c>
    </row>
    <row r="680" spans="1:22" x14ac:dyDescent="0.3">
      <c r="A680" t="s">
        <v>356</v>
      </c>
      <c r="B680">
        <v>2</v>
      </c>
      <c r="C680" t="s">
        <v>125</v>
      </c>
      <c r="D680" t="s">
        <v>111</v>
      </c>
      <c r="E680" t="s">
        <v>266</v>
      </c>
      <c r="F680" t="s">
        <v>83</v>
      </c>
      <c r="G680" t="s">
        <v>104</v>
      </c>
      <c r="H680">
        <v>0</v>
      </c>
      <c r="I680">
        <v>0</v>
      </c>
      <c r="J680">
        <v>0</v>
      </c>
      <c r="K680" t="s">
        <v>104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 s="8">
        <v>0</v>
      </c>
      <c r="V680" s="8">
        <f t="shared" si="10"/>
        <v>0</v>
      </c>
    </row>
    <row r="681" spans="1:22" x14ac:dyDescent="0.3">
      <c r="A681" t="s">
        <v>356</v>
      </c>
      <c r="B681">
        <v>2</v>
      </c>
      <c r="C681" t="s">
        <v>345</v>
      </c>
      <c r="D681" t="s">
        <v>346</v>
      </c>
      <c r="E681" t="s">
        <v>266</v>
      </c>
      <c r="F681" t="s">
        <v>83</v>
      </c>
      <c r="G681" t="s">
        <v>104</v>
      </c>
      <c r="H681">
        <v>0</v>
      </c>
      <c r="I681">
        <v>0</v>
      </c>
      <c r="J681">
        <v>0</v>
      </c>
      <c r="K681" t="s">
        <v>104</v>
      </c>
      <c r="L681">
        <v>0</v>
      </c>
      <c r="M681">
        <v>1</v>
      </c>
      <c r="N681">
        <v>0</v>
      </c>
      <c r="O681">
        <v>11</v>
      </c>
      <c r="P681">
        <v>0</v>
      </c>
      <c r="Q681">
        <v>11</v>
      </c>
      <c r="R681">
        <v>0</v>
      </c>
      <c r="S681">
        <v>0</v>
      </c>
      <c r="T681">
        <v>0</v>
      </c>
      <c r="U681" s="8">
        <v>0</v>
      </c>
      <c r="V681" s="8">
        <f t="shared" si="10"/>
        <v>0</v>
      </c>
    </row>
    <row r="682" spans="1:22" x14ac:dyDescent="0.3">
      <c r="A682" t="s">
        <v>356</v>
      </c>
      <c r="B682">
        <v>2</v>
      </c>
      <c r="C682" t="s">
        <v>131</v>
      </c>
      <c r="D682" t="s">
        <v>106</v>
      </c>
      <c r="E682" t="s">
        <v>266</v>
      </c>
      <c r="F682" t="s">
        <v>101</v>
      </c>
      <c r="G682" t="s">
        <v>104</v>
      </c>
      <c r="H682">
        <v>0</v>
      </c>
      <c r="I682">
        <v>0</v>
      </c>
      <c r="J682">
        <v>0</v>
      </c>
      <c r="K682" t="s">
        <v>104</v>
      </c>
      <c r="L682">
        <v>0</v>
      </c>
      <c r="M682">
        <v>2</v>
      </c>
      <c r="N682">
        <v>0</v>
      </c>
      <c r="O682">
        <v>9</v>
      </c>
      <c r="P682">
        <v>1</v>
      </c>
      <c r="Q682">
        <v>4.5</v>
      </c>
      <c r="R682">
        <v>27</v>
      </c>
      <c r="S682">
        <v>0</v>
      </c>
      <c r="T682">
        <v>0</v>
      </c>
      <c r="U682" s="8">
        <v>27</v>
      </c>
      <c r="V682" s="8">
        <f t="shared" si="10"/>
        <v>3</v>
      </c>
    </row>
    <row r="683" spans="1:22" x14ac:dyDescent="0.3">
      <c r="A683" t="s">
        <v>357</v>
      </c>
      <c r="B683">
        <v>2</v>
      </c>
      <c r="C683" t="s">
        <v>190</v>
      </c>
      <c r="D683" t="s">
        <v>191</v>
      </c>
      <c r="E683" t="s">
        <v>158</v>
      </c>
      <c r="F683" t="s">
        <v>109</v>
      </c>
      <c r="G683" t="s">
        <v>86</v>
      </c>
      <c r="H683">
        <v>55</v>
      </c>
      <c r="I683">
        <v>41</v>
      </c>
      <c r="J683">
        <v>134.15</v>
      </c>
      <c r="K683" t="s">
        <v>246</v>
      </c>
      <c r="L683">
        <v>54.6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 s="8">
        <v>54.6</v>
      </c>
      <c r="V683" s="8">
        <f t="shared" si="10"/>
        <v>5</v>
      </c>
    </row>
    <row r="684" spans="1:22" x14ac:dyDescent="0.3">
      <c r="A684" t="s">
        <v>357</v>
      </c>
      <c r="B684">
        <v>2</v>
      </c>
      <c r="C684" t="s">
        <v>188</v>
      </c>
      <c r="D684" t="s">
        <v>189</v>
      </c>
      <c r="E684" t="s">
        <v>158</v>
      </c>
      <c r="F684" t="s">
        <v>83</v>
      </c>
      <c r="G684" t="s">
        <v>86</v>
      </c>
      <c r="H684">
        <v>13</v>
      </c>
      <c r="I684">
        <v>9</v>
      </c>
      <c r="J684">
        <v>144.44</v>
      </c>
      <c r="K684" t="s">
        <v>246</v>
      </c>
      <c r="L684">
        <v>18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 s="8">
        <v>18</v>
      </c>
      <c r="V684" s="8">
        <f t="shared" si="10"/>
        <v>2</v>
      </c>
    </row>
    <row r="685" spans="1:22" x14ac:dyDescent="0.3">
      <c r="A685" t="s">
        <v>357</v>
      </c>
      <c r="B685">
        <v>2</v>
      </c>
      <c r="C685" t="s">
        <v>196</v>
      </c>
      <c r="D685" t="s">
        <v>197</v>
      </c>
      <c r="E685" t="s">
        <v>158</v>
      </c>
      <c r="F685" t="s">
        <v>109</v>
      </c>
      <c r="G685" t="s">
        <v>92</v>
      </c>
      <c r="H685">
        <v>27</v>
      </c>
      <c r="I685">
        <v>17</v>
      </c>
      <c r="J685">
        <v>158.82</v>
      </c>
      <c r="K685" t="s">
        <v>246</v>
      </c>
      <c r="L685">
        <v>31.8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 s="8">
        <v>31.8</v>
      </c>
      <c r="V685" s="8">
        <f t="shared" si="10"/>
        <v>3</v>
      </c>
    </row>
    <row r="686" spans="1:22" x14ac:dyDescent="0.3">
      <c r="A686" t="s">
        <v>357</v>
      </c>
      <c r="B686">
        <v>2</v>
      </c>
      <c r="C686" t="s">
        <v>194</v>
      </c>
      <c r="D686" t="s">
        <v>195</v>
      </c>
      <c r="E686" t="s">
        <v>158</v>
      </c>
      <c r="F686" t="s">
        <v>109</v>
      </c>
      <c r="G686" t="s">
        <v>92</v>
      </c>
      <c r="H686">
        <v>7</v>
      </c>
      <c r="I686">
        <v>10</v>
      </c>
      <c r="J686">
        <v>70</v>
      </c>
      <c r="K686" t="s">
        <v>246</v>
      </c>
      <c r="L686">
        <v>2.4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 s="8">
        <v>2.4</v>
      </c>
      <c r="V686" s="8">
        <f t="shared" si="10"/>
        <v>0</v>
      </c>
    </row>
    <row r="687" spans="1:22" x14ac:dyDescent="0.3">
      <c r="A687" t="s">
        <v>357</v>
      </c>
      <c r="B687">
        <v>2</v>
      </c>
      <c r="C687" t="s">
        <v>94</v>
      </c>
      <c r="D687" t="s">
        <v>120</v>
      </c>
      <c r="E687" t="s">
        <v>158</v>
      </c>
      <c r="F687" t="s">
        <v>91</v>
      </c>
      <c r="G687" t="s">
        <v>134</v>
      </c>
      <c r="H687">
        <v>20</v>
      </c>
      <c r="I687">
        <v>12</v>
      </c>
      <c r="J687">
        <v>166.67</v>
      </c>
      <c r="K687" t="s">
        <v>246</v>
      </c>
      <c r="L687">
        <v>26.3</v>
      </c>
      <c r="M687">
        <v>3</v>
      </c>
      <c r="N687">
        <v>0</v>
      </c>
      <c r="O687">
        <v>20</v>
      </c>
      <c r="P687">
        <v>0</v>
      </c>
      <c r="Q687">
        <v>6.7</v>
      </c>
      <c r="R687">
        <v>5</v>
      </c>
      <c r="S687">
        <v>0</v>
      </c>
      <c r="T687">
        <v>0</v>
      </c>
      <c r="U687" s="8">
        <v>31.3</v>
      </c>
      <c r="V687" s="8">
        <f t="shared" si="10"/>
        <v>3</v>
      </c>
    </row>
    <row r="688" spans="1:22" x14ac:dyDescent="0.3">
      <c r="A688" t="s">
        <v>357</v>
      </c>
      <c r="B688">
        <v>2</v>
      </c>
      <c r="C688" t="s">
        <v>198</v>
      </c>
      <c r="D688" t="s">
        <v>199</v>
      </c>
      <c r="E688" t="s">
        <v>158</v>
      </c>
      <c r="F688" t="s">
        <v>101</v>
      </c>
      <c r="G688" t="s">
        <v>134</v>
      </c>
      <c r="H688">
        <v>11</v>
      </c>
      <c r="I688">
        <v>7</v>
      </c>
      <c r="J688">
        <v>157.13999999999999</v>
      </c>
      <c r="K688" t="s">
        <v>246</v>
      </c>
      <c r="L688">
        <v>13.3</v>
      </c>
      <c r="M688">
        <v>4</v>
      </c>
      <c r="N688">
        <v>0</v>
      </c>
      <c r="O688">
        <v>22</v>
      </c>
      <c r="P688">
        <v>3</v>
      </c>
      <c r="Q688">
        <v>5.5</v>
      </c>
      <c r="R688">
        <v>48</v>
      </c>
      <c r="S688">
        <v>0</v>
      </c>
      <c r="T688">
        <v>0</v>
      </c>
      <c r="U688" s="8">
        <v>61.3</v>
      </c>
      <c r="V688" s="8">
        <f t="shared" si="10"/>
        <v>6</v>
      </c>
    </row>
    <row r="689" spans="1:22" x14ac:dyDescent="0.3">
      <c r="A689" t="s">
        <v>357</v>
      </c>
      <c r="B689">
        <v>2</v>
      </c>
      <c r="C689" t="s">
        <v>202</v>
      </c>
      <c r="D689" t="s">
        <v>203</v>
      </c>
      <c r="E689" t="s">
        <v>158</v>
      </c>
      <c r="F689" t="s">
        <v>101</v>
      </c>
      <c r="G689" t="s">
        <v>134</v>
      </c>
      <c r="H689">
        <v>5</v>
      </c>
      <c r="I689">
        <v>9</v>
      </c>
      <c r="J689">
        <v>55.56</v>
      </c>
      <c r="K689" t="s">
        <v>246</v>
      </c>
      <c r="L689">
        <v>0.6</v>
      </c>
      <c r="M689">
        <v>3</v>
      </c>
      <c r="N689">
        <v>0</v>
      </c>
      <c r="O689">
        <v>27</v>
      </c>
      <c r="P689">
        <v>1</v>
      </c>
      <c r="Q689">
        <v>9</v>
      </c>
      <c r="R689">
        <v>18</v>
      </c>
      <c r="S689">
        <v>0</v>
      </c>
      <c r="T689">
        <v>0</v>
      </c>
      <c r="U689" s="8">
        <v>18.600000000000001</v>
      </c>
      <c r="V689" s="8">
        <f t="shared" si="10"/>
        <v>2</v>
      </c>
    </row>
    <row r="690" spans="1:22" x14ac:dyDescent="0.3">
      <c r="A690" t="s">
        <v>357</v>
      </c>
      <c r="B690">
        <v>2</v>
      </c>
      <c r="C690" t="s">
        <v>206</v>
      </c>
      <c r="D690" t="s">
        <v>207</v>
      </c>
      <c r="E690" t="s">
        <v>158</v>
      </c>
      <c r="F690" t="s">
        <v>101</v>
      </c>
      <c r="G690" t="s">
        <v>134</v>
      </c>
      <c r="H690">
        <v>5</v>
      </c>
      <c r="I690">
        <v>7</v>
      </c>
      <c r="J690">
        <v>71.430000000000007</v>
      </c>
      <c r="K690" t="s">
        <v>247</v>
      </c>
      <c r="L690">
        <v>2.8</v>
      </c>
      <c r="M690">
        <v>4</v>
      </c>
      <c r="N690">
        <v>0</v>
      </c>
      <c r="O690">
        <v>20</v>
      </c>
      <c r="P690">
        <v>3</v>
      </c>
      <c r="Q690">
        <v>5</v>
      </c>
      <c r="R690">
        <v>55</v>
      </c>
      <c r="S690">
        <v>0</v>
      </c>
      <c r="T690">
        <v>0</v>
      </c>
      <c r="U690" s="8">
        <v>57.8</v>
      </c>
      <c r="V690" s="8">
        <f t="shared" si="10"/>
        <v>6</v>
      </c>
    </row>
    <row r="691" spans="1:22" x14ac:dyDescent="0.3">
      <c r="A691" t="s">
        <v>357</v>
      </c>
      <c r="B691">
        <v>2</v>
      </c>
      <c r="C691" t="s">
        <v>204</v>
      </c>
      <c r="D691" t="s">
        <v>205</v>
      </c>
      <c r="E691" t="s">
        <v>158</v>
      </c>
      <c r="F691" t="s">
        <v>91</v>
      </c>
      <c r="G691" t="s">
        <v>134</v>
      </c>
      <c r="H691">
        <v>14</v>
      </c>
      <c r="I691">
        <v>8</v>
      </c>
      <c r="J691">
        <v>175</v>
      </c>
      <c r="K691" t="s">
        <v>96</v>
      </c>
      <c r="L691">
        <v>23</v>
      </c>
      <c r="M691">
        <v>4</v>
      </c>
      <c r="N691">
        <v>1</v>
      </c>
      <c r="O691">
        <v>28</v>
      </c>
      <c r="P691">
        <v>1</v>
      </c>
      <c r="Q691">
        <v>7</v>
      </c>
      <c r="R691">
        <v>18</v>
      </c>
      <c r="S691">
        <v>0</v>
      </c>
      <c r="T691">
        <v>0</v>
      </c>
      <c r="U691" s="8">
        <v>41</v>
      </c>
      <c r="V691" s="8">
        <f t="shared" si="10"/>
        <v>4</v>
      </c>
    </row>
    <row r="692" spans="1:22" x14ac:dyDescent="0.3">
      <c r="A692" t="s">
        <v>357</v>
      </c>
      <c r="B692">
        <v>2</v>
      </c>
      <c r="C692" t="s">
        <v>200</v>
      </c>
      <c r="D692" t="s">
        <v>201</v>
      </c>
      <c r="E692" t="s">
        <v>158</v>
      </c>
      <c r="F692" t="s">
        <v>85</v>
      </c>
      <c r="G692" t="s">
        <v>104</v>
      </c>
      <c r="H692">
        <v>0</v>
      </c>
      <c r="I692">
        <v>0</v>
      </c>
      <c r="J692">
        <v>0</v>
      </c>
      <c r="K692" t="s">
        <v>104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 s="8">
        <v>0</v>
      </c>
      <c r="V692" s="8">
        <f t="shared" si="10"/>
        <v>0</v>
      </c>
    </row>
    <row r="693" spans="1:22" x14ac:dyDescent="0.3">
      <c r="A693" t="s">
        <v>357</v>
      </c>
      <c r="B693">
        <v>2</v>
      </c>
      <c r="C693" t="s">
        <v>413</v>
      </c>
      <c r="D693" t="s">
        <v>423</v>
      </c>
      <c r="E693" t="s">
        <v>158</v>
      </c>
      <c r="F693" t="s">
        <v>101</v>
      </c>
      <c r="G693" t="s">
        <v>104</v>
      </c>
      <c r="H693">
        <v>0</v>
      </c>
      <c r="I693">
        <v>0</v>
      </c>
      <c r="J693">
        <v>0</v>
      </c>
      <c r="K693" t="s">
        <v>104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 s="8">
        <v>0</v>
      </c>
      <c r="V693" s="8">
        <f t="shared" si="10"/>
        <v>0</v>
      </c>
    </row>
    <row r="694" spans="1:22" x14ac:dyDescent="0.3">
      <c r="A694" t="s">
        <v>357</v>
      </c>
      <c r="B694">
        <v>2</v>
      </c>
      <c r="C694" t="s">
        <v>81</v>
      </c>
      <c r="D694" t="s">
        <v>114</v>
      </c>
      <c r="E694" t="s">
        <v>258</v>
      </c>
      <c r="F694" t="s">
        <v>85</v>
      </c>
      <c r="G694" t="s">
        <v>86</v>
      </c>
      <c r="H694">
        <v>12</v>
      </c>
      <c r="I694">
        <v>14</v>
      </c>
      <c r="J694">
        <v>85.71</v>
      </c>
      <c r="K694" t="s">
        <v>247</v>
      </c>
      <c r="L694">
        <v>8.6999999999999993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 s="8">
        <v>8.6999999999999993</v>
      </c>
      <c r="V694" s="8">
        <f t="shared" si="10"/>
        <v>1</v>
      </c>
    </row>
    <row r="695" spans="1:22" x14ac:dyDescent="0.3">
      <c r="A695" t="s">
        <v>357</v>
      </c>
      <c r="B695">
        <v>2</v>
      </c>
      <c r="C695" t="s">
        <v>278</v>
      </c>
      <c r="D695" t="s">
        <v>293</v>
      </c>
      <c r="E695" t="s">
        <v>258</v>
      </c>
      <c r="F695" t="s">
        <v>109</v>
      </c>
      <c r="G695" t="s">
        <v>86</v>
      </c>
      <c r="H695">
        <v>0</v>
      </c>
      <c r="I695">
        <v>3</v>
      </c>
      <c r="J695">
        <v>0</v>
      </c>
      <c r="K695" t="s">
        <v>245</v>
      </c>
      <c r="L695">
        <v>-5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 s="8">
        <v>-5</v>
      </c>
      <c r="V695" s="8">
        <f t="shared" si="10"/>
        <v>0</v>
      </c>
    </row>
    <row r="696" spans="1:22" x14ac:dyDescent="0.3">
      <c r="A696" t="s">
        <v>357</v>
      </c>
      <c r="B696">
        <v>2</v>
      </c>
      <c r="C696" t="s">
        <v>383</v>
      </c>
      <c r="D696" t="s">
        <v>384</v>
      </c>
      <c r="E696" t="s">
        <v>258</v>
      </c>
      <c r="F696" t="s">
        <v>109</v>
      </c>
      <c r="G696" t="s">
        <v>92</v>
      </c>
      <c r="H696">
        <v>15</v>
      </c>
      <c r="I696">
        <v>10</v>
      </c>
      <c r="J696">
        <v>150</v>
      </c>
      <c r="K696" t="s">
        <v>246</v>
      </c>
      <c r="L696">
        <v>19.5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 s="8">
        <v>19.5</v>
      </c>
      <c r="V696" s="8">
        <f t="shared" si="10"/>
        <v>2</v>
      </c>
    </row>
    <row r="697" spans="1:22" x14ac:dyDescent="0.3">
      <c r="A697" t="s">
        <v>357</v>
      </c>
      <c r="B697">
        <v>2</v>
      </c>
      <c r="C697" t="s">
        <v>408</v>
      </c>
      <c r="D697" t="s">
        <v>382</v>
      </c>
      <c r="E697" t="s">
        <v>258</v>
      </c>
      <c r="F697" t="s">
        <v>109</v>
      </c>
      <c r="G697" t="s">
        <v>92</v>
      </c>
      <c r="H697">
        <v>12</v>
      </c>
      <c r="I697">
        <v>13</v>
      </c>
      <c r="J697">
        <v>92.31</v>
      </c>
      <c r="K697" t="s">
        <v>246</v>
      </c>
      <c r="L697">
        <v>7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 s="8">
        <v>7</v>
      </c>
      <c r="V697" s="8">
        <f t="shared" si="10"/>
        <v>1</v>
      </c>
    </row>
    <row r="698" spans="1:22" x14ac:dyDescent="0.3">
      <c r="A698" t="s">
        <v>357</v>
      </c>
      <c r="B698">
        <v>2</v>
      </c>
      <c r="C698" t="s">
        <v>93</v>
      </c>
      <c r="D698" t="s">
        <v>118</v>
      </c>
      <c r="E698" t="s">
        <v>258</v>
      </c>
      <c r="F698" t="s">
        <v>83</v>
      </c>
      <c r="G698" t="s">
        <v>134</v>
      </c>
      <c r="H698">
        <v>40</v>
      </c>
      <c r="I698">
        <v>31</v>
      </c>
      <c r="J698">
        <v>129.03</v>
      </c>
      <c r="K698" t="s">
        <v>248</v>
      </c>
      <c r="L698">
        <v>33.799999999999997</v>
      </c>
      <c r="M698">
        <v>4</v>
      </c>
      <c r="N698">
        <v>0</v>
      </c>
      <c r="O698">
        <v>37</v>
      </c>
      <c r="P698">
        <v>2</v>
      </c>
      <c r="Q698">
        <v>9.1999999999999993</v>
      </c>
      <c r="R698">
        <v>28</v>
      </c>
      <c r="S698">
        <v>0</v>
      </c>
      <c r="T698">
        <v>0</v>
      </c>
      <c r="U698" s="8">
        <v>73.8</v>
      </c>
      <c r="V698" s="8">
        <f t="shared" si="10"/>
        <v>7</v>
      </c>
    </row>
    <row r="699" spans="1:22" x14ac:dyDescent="0.3">
      <c r="A699" t="s">
        <v>357</v>
      </c>
      <c r="B699">
        <v>2</v>
      </c>
      <c r="C699" t="s">
        <v>385</v>
      </c>
      <c r="D699" t="s">
        <v>386</v>
      </c>
      <c r="E699" t="s">
        <v>258</v>
      </c>
      <c r="F699" t="s">
        <v>91</v>
      </c>
      <c r="G699" t="s">
        <v>134</v>
      </c>
      <c r="H699">
        <v>3</v>
      </c>
      <c r="I699">
        <v>6</v>
      </c>
      <c r="J699">
        <v>50</v>
      </c>
      <c r="K699" t="s">
        <v>247</v>
      </c>
      <c r="L699">
        <v>-1.4</v>
      </c>
      <c r="M699">
        <v>4</v>
      </c>
      <c r="N699">
        <v>0</v>
      </c>
      <c r="O699">
        <v>32</v>
      </c>
      <c r="P699">
        <v>0</v>
      </c>
      <c r="Q699">
        <v>8</v>
      </c>
      <c r="R699">
        <v>5</v>
      </c>
      <c r="S699">
        <v>0</v>
      </c>
      <c r="T699">
        <v>0</v>
      </c>
      <c r="U699" s="8">
        <v>3.6</v>
      </c>
      <c r="V699" s="8">
        <f t="shared" si="10"/>
        <v>0</v>
      </c>
    </row>
    <row r="700" spans="1:22" x14ac:dyDescent="0.3">
      <c r="A700" t="s">
        <v>357</v>
      </c>
      <c r="B700">
        <v>2</v>
      </c>
      <c r="C700" t="s">
        <v>105</v>
      </c>
      <c r="D700" t="s">
        <v>128</v>
      </c>
      <c r="E700" t="s">
        <v>258</v>
      </c>
      <c r="F700" t="s">
        <v>101</v>
      </c>
      <c r="G700" t="s">
        <v>134</v>
      </c>
      <c r="H700">
        <v>13</v>
      </c>
      <c r="I700">
        <v>16</v>
      </c>
      <c r="J700">
        <v>81.25</v>
      </c>
      <c r="K700" t="s">
        <v>246</v>
      </c>
      <c r="L700">
        <v>7.1</v>
      </c>
      <c r="M700">
        <v>4</v>
      </c>
      <c r="N700">
        <v>0</v>
      </c>
      <c r="O700">
        <v>31</v>
      </c>
      <c r="P700">
        <v>1</v>
      </c>
      <c r="Q700">
        <v>7.8</v>
      </c>
      <c r="R700">
        <v>20</v>
      </c>
      <c r="S700">
        <v>0</v>
      </c>
      <c r="T700">
        <v>0</v>
      </c>
      <c r="U700" s="8">
        <v>27.1</v>
      </c>
      <c r="V700" s="8">
        <f t="shared" si="10"/>
        <v>3</v>
      </c>
    </row>
    <row r="701" spans="1:22" x14ac:dyDescent="0.3">
      <c r="A701" t="s">
        <v>357</v>
      </c>
      <c r="B701">
        <v>2</v>
      </c>
      <c r="C701" t="s">
        <v>409</v>
      </c>
      <c r="D701" t="s">
        <v>424</v>
      </c>
      <c r="E701" t="s">
        <v>258</v>
      </c>
      <c r="F701" t="s">
        <v>91</v>
      </c>
      <c r="G701" t="s">
        <v>134</v>
      </c>
      <c r="H701">
        <v>9</v>
      </c>
      <c r="I701">
        <v>11</v>
      </c>
      <c r="J701">
        <v>81.819999999999993</v>
      </c>
      <c r="K701" t="s">
        <v>247</v>
      </c>
      <c r="L701">
        <v>4</v>
      </c>
      <c r="M701">
        <v>1</v>
      </c>
      <c r="N701">
        <v>0</v>
      </c>
      <c r="O701">
        <v>10</v>
      </c>
      <c r="P701">
        <v>0</v>
      </c>
      <c r="Q701">
        <v>10</v>
      </c>
      <c r="R701">
        <v>0</v>
      </c>
      <c r="S701">
        <v>0</v>
      </c>
      <c r="T701">
        <v>0</v>
      </c>
      <c r="U701" s="8">
        <v>4</v>
      </c>
      <c r="V701" s="8">
        <f t="shared" si="10"/>
        <v>0</v>
      </c>
    </row>
    <row r="702" spans="1:22" x14ac:dyDescent="0.3">
      <c r="A702" t="s">
        <v>357</v>
      </c>
      <c r="B702">
        <v>2</v>
      </c>
      <c r="C702" t="s">
        <v>389</v>
      </c>
      <c r="D702" t="s">
        <v>390</v>
      </c>
      <c r="E702" t="s">
        <v>258</v>
      </c>
      <c r="F702" t="s">
        <v>101</v>
      </c>
      <c r="G702" t="s">
        <v>134</v>
      </c>
      <c r="H702">
        <v>10</v>
      </c>
      <c r="I702">
        <v>10</v>
      </c>
      <c r="J702">
        <v>100</v>
      </c>
      <c r="K702" t="s">
        <v>96</v>
      </c>
      <c r="L702">
        <v>13</v>
      </c>
      <c r="M702">
        <v>4</v>
      </c>
      <c r="N702">
        <v>0</v>
      </c>
      <c r="O702">
        <v>37</v>
      </c>
      <c r="P702">
        <v>4</v>
      </c>
      <c r="Q702">
        <v>9.1999999999999993</v>
      </c>
      <c r="R702">
        <v>65</v>
      </c>
      <c r="S702">
        <v>0</v>
      </c>
      <c r="T702">
        <v>0</v>
      </c>
      <c r="U702" s="8">
        <v>78</v>
      </c>
      <c r="V702" s="8">
        <f t="shared" si="10"/>
        <v>8</v>
      </c>
    </row>
    <row r="703" spans="1:22" x14ac:dyDescent="0.3">
      <c r="A703" t="s">
        <v>357</v>
      </c>
      <c r="B703">
        <v>2</v>
      </c>
      <c r="C703" t="s">
        <v>415</v>
      </c>
      <c r="D703" t="s">
        <v>425</v>
      </c>
      <c r="E703" t="s">
        <v>258</v>
      </c>
      <c r="F703" t="s">
        <v>83</v>
      </c>
      <c r="G703" t="s">
        <v>134</v>
      </c>
      <c r="H703">
        <v>7</v>
      </c>
      <c r="I703">
        <v>7</v>
      </c>
      <c r="J703">
        <v>100</v>
      </c>
      <c r="K703" t="s">
        <v>96</v>
      </c>
      <c r="L703">
        <v>10.6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 s="8">
        <v>10.6</v>
      </c>
      <c r="V703" s="8">
        <f t="shared" si="10"/>
        <v>1</v>
      </c>
    </row>
    <row r="704" spans="1:22" x14ac:dyDescent="0.3">
      <c r="A704" t="s">
        <v>357</v>
      </c>
      <c r="B704">
        <v>2</v>
      </c>
      <c r="C704" t="s">
        <v>97</v>
      </c>
      <c r="D704" t="s">
        <v>122</v>
      </c>
      <c r="E704" t="s">
        <v>258</v>
      </c>
      <c r="F704" t="s">
        <v>109</v>
      </c>
      <c r="G704" t="s">
        <v>104</v>
      </c>
      <c r="H704">
        <v>0</v>
      </c>
      <c r="I704">
        <v>0</v>
      </c>
      <c r="J704">
        <v>0</v>
      </c>
      <c r="K704" t="s">
        <v>104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 s="8">
        <v>0</v>
      </c>
      <c r="V704" s="8">
        <f t="shared" si="10"/>
        <v>0</v>
      </c>
    </row>
    <row r="705" spans="1:22" x14ac:dyDescent="0.3">
      <c r="A705" t="s">
        <v>358</v>
      </c>
      <c r="B705">
        <v>2</v>
      </c>
      <c r="C705" t="s">
        <v>87</v>
      </c>
      <c r="D705" t="s">
        <v>82</v>
      </c>
      <c r="E705" t="s">
        <v>159</v>
      </c>
      <c r="F705" t="s">
        <v>83</v>
      </c>
      <c r="G705" t="s">
        <v>86</v>
      </c>
      <c r="H705">
        <v>28</v>
      </c>
      <c r="I705">
        <v>21</v>
      </c>
      <c r="J705">
        <v>133.33000000000001</v>
      </c>
      <c r="K705" t="s">
        <v>246</v>
      </c>
      <c r="L705">
        <v>28.1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 s="8">
        <v>28.1</v>
      </c>
      <c r="V705" s="8">
        <f t="shared" si="10"/>
        <v>3</v>
      </c>
    </row>
    <row r="706" spans="1:22" x14ac:dyDescent="0.3">
      <c r="A706" t="s">
        <v>358</v>
      </c>
      <c r="B706">
        <v>2</v>
      </c>
      <c r="C706" t="s">
        <v>165</v>
      </c>
      <c r="D706" t="s">
        <v>166</v>
      </c>
      <c r="E706" t="s">
        <v>159</v>
      </c>
      <c r="F706" t="s">
        <v>109</v>
      </c>
      <c r="G706" t="s">
        <v>86</v>
      </c>
      <c r="H706">
        <v>80</v>
      </c>
      <c r="I706">
        <v>50</v>
      </c>
      <c r="J706">
        <v>160</v>
      </c>
      <c r="K706" t="s">
        <v>246</v>
      </c>
      <c r="L706">
        <v>92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 s="8">
        <v>92</v>
      </c>
      <c r="V706" s="8">
        <f t="shared" si="10"/>
        <v>9</v>
      </c>
    </row>
    <row r="707" spans="1:22" x14ac:dyDescent="0.3">
      <c r="A707" t="s">
        <v>358</v>
      </c>
      <c r="B707">
        <v>2</v>
      </c>
      <c r="C707" t="s">
        <v>174</v>
      </c>
      <c r="D707" t="s">
        <v>175</v>
      </c>
      <c r="E707" t="s">
        <v>159</v>
      </c>
      <c r="F707" t="s">
        <v>83</v>
      </c>
      <c r="G707" t="s">
        <v>92</v>
      </c>
      <c r="H707">
        <v>58</v>
      </c>
      <c r="I707">
        <v>37</v>
      </c>
      <c r="J707">
        <v>156.76</v>
      </c>
      <c r="K707" t="s">
        <v>246</v>
      </c>
      <c r="L707">
        <v>66.2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 s="8">
        <v>66.2</v>
      </c>
      <c r="V707" s="8">
        <f t="shared" ref="V707:V770" si="11">MIN(10, MAX(0, ROUND(U707/10,0)))</f>
        <v>7</v>
      </c>
    </row>
    <row r="708" spans="1:22" x14ac:dyDescent="0.3">
      <c r="A708" t="s">
        <v>358</v>
      </c>
      <c r="B708">
        <v>2</v>
      </c>
      <c r="C708" t="s">
        <v>176</v>
      </c>
      <c r="D708" t="s">
        <v>177</v>
      </c>
      <c r="E708" t="s">
        <v>159</v>
      </c>
      <c r="F708" t="s">
        <v>85</v>
      </c>
      <c r="G708" t="s">
        <v>134</v>
      </c>
      <c r="H708">
        <v>21</v>
      </c>
      <c r="I708">
        <v>10</v>
      </c>
      <c r="J708">
        <v>210</v>
      </c>
      <c r="K708" t="s">
        <v>96</v>
      </c>
      <c r="L708">
        <v>32.200000000000003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 s="8">
        <v>32.200000000000003</v>
      </c>
      <c r="V708" s="8">
        <f t="shared" si="11"/>
        <v>3</v>
      </c>
    </row>
    <row r="709" spans="1:22" x14ac:dyDescent="0.3">
      <c r="A709" t="s">
        <v>358</v>
      </c>
      <c r="B709">
        <v>2</v>
      </c>
      <c r="C709" t="s">
        <v>167</v>
      </c>
      <c r="D709" t="s">
        <v>168</v>
      </c>
      <c r="E709" t="s">
        <v>159</v>
      </c>
      <c r="F709" t="s">
        <v>169</v>
      </c>
      <c r="G709" t="s">
        <v>134</v>
      </c>
      <c r="H709">
        <v>2</v>
      </c>
      <c r="I709">
        <v>2</v>
      </c>
      <c r="J709">
        <v>100</v>
      </c>
      <c r="K709" t="s">
        <v>96</v>
      </c>
      <c r="L709">
        <v>6.6</v>
      </c>
      <c r="M709">
        <v>4</v>
      </c>
      <c r="N709">
        <v>0</v>
      </c>
      <c r="O709">
        <v>37</v>
      </c>
      <c r="P709">
        <v>2</v>
      </c>
      <c r="Q709">
        <v>9.1999999999999993</v>
      </c>
      <c r="R709">
        <v>18</v>
      </c>
      <c r="S709">
        <v>0</v>
      </c>
      <c r="T709">
        <v>0</v>
      </c>
      <c r="U709" s="8">
        <v>24.6</v>
      </c>
      <c r="V709" s="8">
        <f t="shared" si="11"/>
        <v>2</v>
      </c>
    </row>
    <row r="710" spans="1:22" x14ac:dyDescent="0.3">
      <c r="A710" t="s">
        <v>358</v>
      </c>
      <c r="B710">
        <v>2</v>
      </c>
      <c r="C710" t="s">
        <v>371</v>
      </c>
      <c r="D710" t="s">
        <v>372</v>
      </c>
      <c r="E710" t="s">
        <v>159</v>
      </c>
      <c r="F710" t="s">
        <v>91</v>
      </c>
      <c r="G710" t="s">
        <v>104</v>
      </c>
      <c r="H710">
        <v>0</v>
      </c>
      <c r="I710">
        <v>0</v>
      </c>
      <c r="J710">
        <v>0</v>
      </c>
      <c r="K710" t="s">
        <v>104</v>
      </c>
      <c r="L710">
        <v>0</v>
      </c>
      <c r="M710">
        <v>4</v>
      </c>
      <c r="N710">
        <v>0</v>
      </c>
      <c r="O710">
        <v>29</v>
      </c>
      <c r="P710">
        <v>2</v>
      </c>
      <c r="Q710">
        <v>7.2</v>
      </c>
      <c r="R710">
        <v>30</v>
      </c>
      <c r="S710">
        <v>0</v>
      </c>
      <c r="T710">
        <v>0</v>
      </c>
      <c r="U710" s="8">
        <v>30</v>
      </c>
      <c r="V710" s="8">
        <f t="shared" si="11"/>
        <v>3</v>
      </c>
    </row>
    <row r="711" spans="1:22" x14ac:dyDescent="0.3">
      <c r="A711" t="s">
        <v>358</v>
      </c>
      <c r="B711">
        <v>2</v>
      </c>
      <c r="C711" t="s">
        <v>99</v>
      </c>
      <c r="D711" t="s">
        <v>124</v>
      </c>
      <c r="E711" t="s">
        <v>159</v>
      </c>
      <c r="F711" t="s">
        <v>91</v>
      </c>
      <c r="G711" t="s">
        <v>104</v>
      </c>
      <c r="H711">
        <v>0</v>
      </c>
      <c r="I711">
        <v>0</v>
      </c>
      <c r="J711">
        <v>0</v>
      </c>
      <c r="K711" t="s">
        <v>104</v>
      </c>
      <c r="L711">
        <v>0</v>
      </c>
      <c r="M711">
        <v>4</v>
      </c>
      <c r="N711">
        <v>0</v>
      </c>
      <c r="O711">
        <v>38</v>
      </c>
      <c r="P711">
        <v>2</v>
      </c>
      <c r="Q711">
        <v>9.5</v>
      </c>
      <c r="R711">
        <v>30</v>
      </c>
      <c r="S711">
        <v>0</v>
      </c>
      <c r="T711">
        <v>0</v>
      </c>
      <c r="U711" s="8">
        <v>30</v>
      </c>
      <c r="V711" s="8">
        <f t="shared" si="11"/>
        <v>3</v>
      </c>
    </row>
    <row r="712" spans="1:22" x14ac:dyDescent="0.3">
      <c r="A712" t="s">
        <v>358</v>
      </c>
      <c r="B712">
        <v>2</v>
      </c>
      <c r="C712" t="s">
        <v>429</v>
      </c>
      <c r="D712" t="s">
        <v>430</v>
      </c>
      <c r="E712" t="s">
        <v>159</v>
      </c>
      <c r="F712" t="s">
        <v>101</v>
      </c>
      <c r="G712" t="s">
        <v>104</v>
      </c>
      <c r="H712">
        <v>0</v>
      </c>
      <c r="I712">
        <v>0</v>
      </c>
      <c r="J712">
        <v>0</v>
      </c>
      <c r="K712" t="s">
        <v>104</v>
      </c>
      <c r="L712">
        <v>0</v>
      </c>
      <c r="M712">
        <v>1</v>
      </c>
      <c r="N712">
        <v>0</v>
      </c>
      <c r="O712">
        <v>10</v>
      </c>
      <c r="P712">
        <v>0</v>
      </c>
      <c r="Q712">
        <v>10</v>
      </c>
      <c r="R712">
        <v>0</v>
      </c>
      <c r="S712">
        <v>0</v>
      </c>
      <c r="T712">
        <v>0</v>
      </c>
      <c r="U712" s="8">
        <v>0</v>
      </c>
      <c r="V712" s="8">
        <f t="shared" si="11"/>
        <v>0</v>
      </c>
    </row>
    <row r="713" spans="1:22" x14ac:dyDescent="0.3">
      <c r="A713" t="s">
        <v>358</v>
      </c>
      <c r="B713">
        <v>2</v>
      </c>
      <c r="C713" t="s">
        <v>373</v>
      </c>
      <c r="D713" t="s">
        <v>374</v>
      </c>
      <c r="E713" t="s">
        <v>159</v>
      </c>
      <c r="F713" t="s">
        <v>101</v>
      </c>
      <c r="G713" t="s">
        <v>104</v>
      </c>
      <c r="H713">
        <v>0</v>
      </c>
      <c r="I713">
        <v>0</v>
      </c>
      <c r="J713">
        <v>0</v>
      </c>
      <c r="K713" t="s">
        <v>104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 s="8">
        <v>0</v>
      </c>
      <c r="V713" s="8">
        <f t="shared" si="11"/>
        <v>0</v>
      </c>
    </row>
    <row r="714" spans="1:22" x14ac:dyDescent="0.3">
      <c r="A714" t="s">
        <v>358</v>
      </c>
      <c r="B714">
        <v>2</v>
      </c>
      <c r="C714" t="s">
        <v>180</v>
      </c>
      <c r="D714" t="s">
        <v>181</v>
      </c>
      <c r="E714" t="s">
        <v>159</v>
      </c>
      <c r="F714" t="s">
        <v>91</v>
      </c>
      <c r="G714" t="s">
        <v>104</v>
      </c>
      <c r="H714">
        <v>0</v>
      </c>
      <c r="I714">
        <v>0</v>
      </c>
      <c r="J714">
        <v>0</v>
      </c>
      <c r="K714" t="s">
        <v>104</v>
      </c>
      <c r="L714">
        <v>0</v>
      </c>
      <c r="M714">
        <v>4</v>
      </c>
      <c r="N714">
        <v>0</v>
      </c>
      <c r="O714">
        <v>29</v>
      </c>
      <c r="P714">
        <v>2</v>
      </c>
      <c r="Q714">
        <v>7.2</v>
      </c>
      <c r="R714">
        <v>30</v>
      </c>
      <c r="S714">
        <v>0</v>
      </c>
      <c r="T714">
        <v>0</v>
      </c>
      <c r="U714" s="8">
        <v>30</v>
      </c>
      <c r="V714" s="8">
        <f t="shared" si="11"/>
        <v>3</v>
      </c>
    </row>
    <row r="715" spans="1:22" x14ac:dyDescent="0.3">
      <c r="A715" t="s">
        <v>358</v>
      </c>
      <c r="B715">
        <v>2</v>
      </c>
      <c r="C715" t="s">
        <v>186</v>
      </c>
      <c r="D715" t="s">
        <v>187</v>
      </c>
      <c r="E715" t="s">
        <v>159</v>
      </c>
      <c r="F715" t="s">
        <v>101</v>
      </c>
      <c r="G715" t="s">
        <v>104</v>
      </c>
      <c r="H715">
        <v>0</v>
      </c>
      <c r="I715">
        <v>0</v>
      </c>
      <c r="J715">
        <v>0</v>
      </c>
      <c r="K715" t="s">
        <v>104</v>
      </c>
      <c r="L715">
        <v>0</v>
      </c>
      <c r="M715">
        <v>3</v>
      </c>
      <c r="N715">
        <v>1</v>
      </c>
      <c r="O715">
        <v>30</v>
      </c>
      <c r="P715">
        <v>0</v>
      </c>
      <c r="Q715">
        <v>10</v>
      </c>
      <c r="R715">
        <v>0</v>
      </c>
      <c r="S715">
        <v>0</v>
      </c>
      <c r="T715">
        <v>0</v>
      </c>
      <c r="U715" s="8">
        <v>0</v>
      </c>
      <c r="V715" s="8">
        <f t="shared" si="11"/>
        <v>0</v>
      </c>
    </row>
    <row r="716" spans="1:22" x14ac:dyDescent="0.3">
      <c r="A716" t="s">
        <v>358</v>
      </c>
      <c r="B716">
        <v>2</v>
      </c>
      <c r="C716" t="s">
        <v>217</v>
      </c>
      <c r="D716" t="s">
        <v>218</v>
      </c>
      <c r="E716" t="s">
        <v>219</v>
      </c>
      <c r="F716" t="s">
        <v>85</v>
      </c>
      <c r="G716" t="s">
        <v>86</v>
      </c>
      <c r="H716">
        <v>55</v>
      </c>
      <c r="I716">
        <v>38</v>
      </c>
      <c r="J716">
        <v>144.74</v>
      </c>
      <c r="K716" t="s">
        <v>248</v>
      </c>
      <c r="L716">
        <v>57.8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 s="8">
        <v>57.8</v>
      </c>
      <c r="V716" s="8">
        <f t="shared" si="11"/>
        <v>6</v>
      </c>
    </row>
    <row r="717" spans="1:22" x14ac:dyDescent="0.3">
      <c r="A717" t="s">
        <v>358</v>
      </c>
      <c r="B717">
        <v>2</v>
      </c>
      <c r="C717" t="s">
        <v>229</v>
      </c>
      <c r="D717" t="s">
        <v>230</v>
      </c>
      <c r="E717" t="s">
        <v>219</v>
      </c>
      <c r="F717" t="s">
        <v>109</v>
      </c>
      <c r="G717" t="s">
        <v>86</v>
      </c>
      <c r="H717">
        <v>18</v>
      </c>
      <c r="I717">
        <v>11</v>
      </c>
      <c r="J717">
        <v>163.63999999999999</v>
      </c>
      <c r="K717" t="s">
        <v>246</v>
      </c>
      <c r="L717">
        <v>23.9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 s="8">
        <v>23.9</v>
      </c>
      <c r="V717" s="8">
        <f t="shared" si="11"/>
        <v>2</v>
      </c>
    </row>
    <row r="718" spans="1:22" x14ac:dyDescent="0.3">
      <c r="A718" t="s">
        <v>358</v>
      </c>
      <c r="B718">
        <v>2</v>
      </c>
      <c r="C718" t="s">
        <v>403</v>
      </c>
      <c r="D718" t="s">
        <v>414</v>
      </c>
      <c r="E718" t="s">
        <v>219</v>
      </c>
      <c r="F718" t="s">
        <v>83</v>
      </c>
      <c r="G718" t="s">
        <v>92</v>
      </c>
      <c r="H718">
        <v>8</v>
      </c>
      <c r="I718">
        <v>8</v>
      </c>
      <c r="J718">
        <v>100</v>
      </c>
      <c r="K718" t="s">
        <v>247</v>
      </c>
      <c r="L718">
        <v>5</v>
      </c>
      <c r="M718">
        <v>3</v>
      </c>
      <c r="N718">
        <v>0</v>
      </c>
      <c r="O718">
        <v>32</v>
      </c>
      <c r="P718">
        <v>0</v>
      </c>
      <c r="Q718">
        <v>10.7</v>
      </c>
      <c r="R718">
        <v>0</v>
      </c>
      <c r="S718">
        <v>0</v>
      </c>
      <c r="T718">
        <v>0</v>
      </c>
      <c r="U718" s="8">
        <v>5</v>
      </c>
      <c r="V718" s="8">
        <f t="shared" si="11"/>
        <v>1</v>
      </c>
    </row>
    <row r="719" spans="1:22" x14ac:dyDescent="0.3">
      <c r="A719" t="s">
        <v>358</v>
      </c>
      <c r="B719">
        <v>2</v>
      </c>
      <c r="C719" t="s">
        <v>226</v>
      </c>
      <c r="D719" t="s">
        <v>211</v>
      </c>
      <c r="E719" t="s">
        <v>219</v>
      </c>
      <c r="F719" t="s">
        <v>83</v>
      </c>
      <c r="G719" t="s">
        <v>92</v>
      </c>
      <c r="H719">
        <v>5</v>
      </c>
      <c r="I719">
        <v>5</v>
      </c>
      <c r="J719">
        <v>100</v>
      </c>
      <c r="K719" t="s">
        <v>246</v>
      </c>
      <c r="L719">
        <v>3.5</v>
      </c>
      <c r="M719">
        <v>3</v>
      </c>
      <c r="N719">
        <v>0</v>
      </c>
      <c r="O719">
        <v>25</v>
      </c>
      <c r="P719">
        <v>0</v>
      </c>
      <c r="Q719">
        <v>8.3000000000000007</v>
      </c>
      <c r="R719">
        <v>5</v>
      </c>
      <c r="S719">
        <v>0</v>
      </c>
      <c r="T719">
        <v>0</v>
      </c>
      <c r="U719" s="8">
        <v>8.5</v>
      </c>
      <c r="V719" s="8">
        <f t="shared" si="11"/>
        <v>1</v>
      </c>
    </row>
    <row r="720" spans="1:22" x14ac:dyDescent="0.3">
      <c r="A720" t="s">
        <v>358</v>
      </c>
      <c r="B720">
        <v>2</v>
      </c>
      <c r="C720" t="s">
        <v>220</v>
      </c>
      <c r="D720" t="s">
        <v>221</v>
      </c>
      <c r="E720" t="s">
        <v>219</v>
      </c>
      <c r="F720" t="s">
        <v>83</v>
      </c>
      <c r="G720" t="s">
        <v>134</v>
      </c>
      <c r="H720">
        <v>1</v>
      </c>
      <c r="I720">
        <v>5</v>
      </c>
      <c r="J720">
        <v>20</v>
      </c>
      <c r="K720" t="s">
        <v>246</v>
      </c>
      <c r="L720">
        <v>-2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 s="8">
        <v>-2</v>
      </c>
      <c r="V720" s="8">
        <f t="shared" si="11"/>
        <v>0</v>
      </c>
    </row>
    <row r="721" spans="1:22" x14ac:dyDescent="0.3">
      <c r="A721" t="s">
        <v>358</v>
      </c>
      <c r="B721">
        <v>2</v>
      </c>
      <c r="C721" t="s">
        <v>224</v>
      </c>
      <c r="D721" t="s">
        <v>225</v>
      </c>
      <c r="E721" t="s">
        <v>219</v>
      </c>
      <c r="F721" t="s">
        <v>169</v>
      </c>
      <c r="G721" t="s">
        <v>134</v>
      </c>
      <c r="H721">
        <v>33</v>
      </c>
      <c r="I721">
        <v>22</v>
      </c>
      <c r="J721">
        <v>150</v>
      </c>
      <c r="K721" t="s">
        <v>246</v>
      </c>
      <c r="L721">
        <v>36.6</v>
      </c>
      <c r="M721">
        <v>4</v>
      </c>
      <c r="N721">
        <v>0</v>
      </c>
      <c r="O721">
        <v>30</v>
      </c>
      <c r="P721">
        <v>1</v>
      </c>
      <c r="Q721">
        <v>7.5</v>
      </c>
      <c r="R721">
        <v>18</v>
      </c>
      <c r="S721">
        <v>0</v>
      </c>
      <c r="T721">
        <v>0</v>
      </c>
      <c r="U721" s="8">
        <v>54.6</v>
      </c>
      <c r="V721" s="8">
        <f t="shared" si="11"/>
        <v>5</v>
      </c>
    </row>
    <row r="722" spans="1:22" x14ac:dyDescent="0.3">
      <c r="A722" t="s">
        <v>358</v>
      </c>
      <c r="B722">
        <v>2</v>
      </c>
      <c r="C722" t="s">
        <v>273</v>
      </c>
      <c r="D722" t="s">
        <v>279</v>
      </c>
      <c r="E722" t="s">
        <v>219</v>
      </c>
      <c r="F722" t="s">
        <v>91</v>
      </c>
      <c r="G722" t="s">
        <v>134</v>
      </c>
      <c r="H722">
        <v>31</v>
      </c>
      <c r="I722">
        <v>24</v>
      </c>
      <c r="J722">
        <v>129.16999999999999</v>
      </c>
      <c r="K722" t="s">
        <v>245</v>
      </c>
      <c r="L722">
        <v>32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 s="8">
        <v>32</v>
      </c>
      <c r="V722" s="8">
        <f t="shared" si="11"/>
        <v>3</v>
      </c>
    </row>
    <row r="723" spans="1:22" x14ac:dyDescent="0.3">
      <c r="A723" t="s">
        <v>358</v>
      </c>
      <c r="B723">
        <v>2</v>
      </c>
      <c r="C723" t="s">
        <v>233</v>
      </c>
      <c r="D723" t="s">
        <v>234</v>
      </c>
      <c r="E723" t="s">
        <v>219</v>
      </c>
      <c r="F723" t="s">
        <v>101</v>
      </c>
      <c r="G723" t="s">
        <v>134</v>
      </c>
      <c r="H723">
        <v>4</v>
      </c>
      <c r="I723">
        <v>3</v>
      </c>
      <c r="J723">
        <v>133.33000000000001</v>
      </c>
      <c r="K723" t="s">
        <v>245</v>
      </c>
      <c r="L723">
        <v>6.3</v>
      </c>
      <c r="M723">
        <v>4</v>
      </c>
      <c r="N723">
        <v>0</v>
      </c>
      <c r="O723">
        <v>22</v>
      </c>
      <c r="P723">
        <v>1</v>
      </c>
      <c r="Q723">
        <v>5.5</v>
      </c>
      <c r="R723">
        <v>27</v>
      </c>
      <c r="S723">
        <v>0</v>
      </c>
      <c r="T723">
        <v>0</v>
      </c>
      <c r="U723" s="8">
        <v>33.299999999999997</v>
      </c>
      <c r="V723" s="8">
        <f t="shared" si="11"/>
        <v>3</v>
      </c>
    </row>
    <row r="724" spans="1:22" x14ac:dyDescent="0.3">
      <c r="A724" t="s">
        <v>358</v>
      </c>
      <c r="B724">
        <v>2</v>
      </c>
      <c r="C724" t="s">
        <v>235</v>
      </c>
      <c r="D724" t="s">
        <v>236</v>
      </c>
      <c r="E724" t="s">
        <v>219</v>
      </c>
      <c r="F724" t="s">
        <v>101</v>
      </c>
      <c r="G724" t="s">
        <v>134</v>
      </c>
      <c r="H724">
        <v>3</v>
      </c>
      <c r="I724">
        <v>4</v>
      </c>
      <c r="J724">
        <v>75</v>
      </c>
      <c r="K724" t="s">
        <v>96</v>
      </c>
      <c r="L724">
        <v>6</v>
      </c>
      <c r="M724">
        <v>3</v>
      </c>
      <c r="N724">
        <v>0</v>
      </c>
      <c r="O724">
        <v>41</v>
      </c>
      <c r="P724">
        <v>1</v>
      </c>
      <c r="Q724">
        <v>13.7</v>
      </c>
      <c r="R724">
        <v>0</v>
      </c>
      <c r="S724">
        <v>0</v>
      </c>
      <c r="T724">
        <v>0</v>
      </c>
      <c r="U724" s="8">
        <v>6</v>
      </c>
      <c r="V724" s="8">
        <f t="shared" si="11"/>
        <v>1</v>
      </c>
    </row>
    <row r="725" spans="1:22" x14ac:dyDescent="0.3">
      <c r="A725" t="s">
        <v>358</v>
      </c>
      <c r="B725">
        <v>2</v>
      </c>
      <c r="C725" t="s">
        <v>237</v>
      </c>
      <c r="D725" t="s">
        <v>238</v>
      </c>
      <c r="E725" t="s">
        <v>219</v>
      </c>
      <c r="F725" t="s">
        <v>101</v>
      </c>
      <c r="G725" t="s">
        <v>104</v>
      </c>
      <c r="H725">
        <v>0</v>
      </c>
      <c r="I725">
        <v>0</v>
      </c>
      <c r="J725">
        <v>0</v>
      </c>
      <c r="K725" t="s">
        <v>104</v>
      </c>
      <c r="L725">
        <v>0</v>
      </c>
      <c r="M725">
        <v>3</v>
      </c>
      <c r="N725">
        <v>0</v>
      </c>
      <c r="O725">
        <v>43</v>
      </c>
      <c r="P725">
        <v>0</v>
      </c>
      <c r="Q725">
        <v>14.3</v>
      </c>
      <c r="R725">
        <v>0</v>
      </c>
      <c r="S725">
        <v>0</v>
      </c>
      <c r="T725">
        <v>0</v>
      </c>
      <c r="U725" s="8">
        <v>0</v>
      </c>
      <c r="V725" s="8">
        <f t="shared" si="11"/>
        <v>0</v>
      </c>
    </row>
    <row r="726" spans="1:22" x14ac:dyDescent="0.3">
      <c r="A726" t="s">
        <v>358</v>
      </c>
      <c r="B726">
        <v>2</v>
      </c>
      <c r="C726" t="s">
        <v>377</v>
      </c>
      <c r="D726" t="s">
        <v>378</v>
      </c>
      <c r="E726" t="s">
        <v>219</v>
      </c>
      <c r="F726" t="s">
        <v>91</v>
      </c>
      <c r="G726" t="s">
        <v>104</v>
      </c>
      <c r="H726">
        <v>0</v>
      </c>
      <c r="I726">
        <v>0</v>
      </c>
      <c r="J726">
        <v>0</v>
      </c>
      <c r="K726" t="s">
        <v>104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 s="8">
        <v>0</v>
      </c>
      <c r="V726" s="8">
        <f t="shared" si="11"/>
        <v>0</v>
      </c>
    </row>
    <row r="727" spans="1:22" x14ac:dyDescent="0.3">
      <c r="A727" t="s">
        <v>359</v>
      </c>
      <c r="B727">
        <v>2</v>
      </c>
      <c r="C727" t="s">
        <v>190</v>
      </c>
      <c r="D727" t="s">
        <v>191</v>
      </c>
      <c r="E727" t="s">
        <v>158</v>
      </c>
      <c r="F727" t="s">
        <v>109</v>
      </c>
      <c r="G727" t="s">
        <v>86</v>
      </c>
      <c r="H727">
        <v>53</v>
      </c>
      <c r="I727">
        <v>38</v>
      </c>
      <c r="J727">
        <v>139.47</v>
      </c>
      <c r="K727" t="s">
        <v>246</v>
      </c>
      <c r="L727">
        <v>52.4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 s="8">
        <v>52.4</v>
      </c>
      <c r="V727" s="8">
        <f t="shared" si="11"/>
        <v>5</v>
      </c>
    </row>
    <row r="728" spans="1:22" x14ac:dyDescent="0.3">
      <c r="A728" t="s">
        <v>359</v>
      </c>
      <c r="B728">
        <v>2</v>
      </c>
      <c r="C728" t="s">
        <v>188</v>
      </c>
      <c r="D728" t="s">
        <v>189</v>
      </c>
      <c r="E728" t="s">
        <v>158</v>
      </c>
      <c r="F728" t="s">
        <v>83</v>
      </c>
      <c r="G728" t="s">
        <v>86</v>
      </c>
      <c r="H728">
        <v>28</v>
      </c>
      <c r="I728">
        <v>12</v>
      </c>
      <c r="J728">
        <v>233.33</v>
      </c>
      <c r="K728" t="s">
        <v>246</v>
      </c>
      <c r="L728">
        <v>41.5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 s="8">
        <v>41.5</v>
      </c>
      <c r="V728" s="8">
        <f t="shared" si="11"/>
        <v>4</v>
      </c>
    </row>
    <row r="729" spans="1:22" x14ac:dyDescent="0.3">
      <c r="A729" t="s">
        <v>359</v>
      </c>
      <c r="B729">
        <v>2</v>
      </c>
      <c r="C729" t="s">
        <v>196</v>
      </c>
      <c r="D729" t="s">
        <v>197</v>
      </c>
      <c r="E729" t="s">
        <v>158</v>
      </c>
      <c r="F729" t="s">
        <v>109</v>
      </c>
      <c r="G729" t="s">
        <v>92</v>
      </c>
      <c r="H729">
        <v>19</v>
      </c>
      <c r="I729">
        <v>20</v>
      </c>
      <c r="J729">
        <v>95</v>
      </c>
      <c r="K729" t="s">
        <v>245</v>
      </c>
      <c r="L729">
        <v>12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 s="8">
        <v>12</v>
      </c>
      <c r="V729" s="8">
        <f t="shared" si="11"/>
        <v>1</v>
      </c>
    </row>
    <row r="730" spans="1:22" x14ac:dyDescent="0.3">
      <c r="A730" t="s">
        <v>359</v>
      </c>
      <c r="B730">
        <v>2</v>
      </c>
      <c r="C730" t="s">
        <v>194</v>
      </c>
      <c r="D730" t="s">
        <v>195</v>
      </c>
      <c r="E730" t="s">
        <v>158</v>
      </c>
      <c r="F730" t="s">
        <v>109</v>
      </c>
      <c r="G730" t="s">
        <v>92</v>
      </c>
      <c r="H730">
        <v>69</v>
      </c>
      <c r="I730">
        <v>33</v>
      </c>
      <c r="J730">
        <v>209.09</v>
      </c>
      <c r="K730" t="s">
        <v>96</v>
      </c>
      <c r="L730">
        <v>83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 s="8">
        <v>83</v>
      </c>
      <c r="V730" s="8">
        <f t="shared" si="11"/>
        <v>8</v>
      </c>
    </row>
    <row r="731" spans="1:22" x14ac:dyDescent="0.3">
      <c r="A731" t="s">
        <v>359</v>
      </c>
      <c r="B731">
        <v>2</v>
      </c>
      <c r="C731" t="s">
        <v>192</v>
      </c>
      <c r="D731" t="s">
        <v>193</v>
      </c>
      <c r="E731" t="s">
        <v>158</v>
      </c>
      <c r="F731" t="s">
        <v>169</v>
      </c>
      <c r="G731" t="s">
        <v>134</v>
      </c>
      <c r="H731">
        <v>11</v>
      </c>
      <c r="I731">
        <v>12</v>
      </c>
      <c r="J731">
        <v>91.67</v>
      </c>
      <c r="K731" t="s">
        <v>246</v>
      </c>
      <c r="L731">
        <v>7.3</v>
      </c>
      <c r="M731">
        <v>4</v>
      </c>
      <c r="N731">
        <v>0</v>
      </c>
      <c r="O731">
        <v>37</v>
      </c>
      <c r="P731">
        <v>2</v>
      </c>
      <c r="Q731">
        <v>9.1999999999999993</v>
      </c>
      <c r="R731">
        <v>28</v>
      </c>
      <c r="S731">
        <v>0</v>
      </c>
      <c r="T731">
        <v>0</v>
      </c>
      <c r="U731" s="8">
        <v>35.299999999999997</v>
      </c>
      <c r="V731" s="8">
        <f t="shared" si="11"/>
        <v>4</v>
      </c>
    </row>
    <row r="732" spans="1:22" x14ac:dyDescent="0.3">
      <c r="A732" t="s">
        <v>359</v>
      </c>
      <c r="B732">
        <v>2</v>
      </c>
      <c r="C732" t="s">
        <v>198</v>
      </c>
      <c r="D732" t="s">
        <v>199</v>
      </c>
      <c r="E732" t="s">
        <v>158</v>
      </c>
      <c r="F732" t="s">
        <v>101</v>
      </c>
      <c r="G732" t="s">
        <v>134</v>
      </c>
      <c r="H732">
        <v>4</v>
      </c>
      <c r="I732">
        <v>5</v>
      </c>
      <c r="J732">
        <v>80</v>
      </c>
      <c r="K732" t="s">
        <v>96</v>
      </c>
      <c r="L732">
        <v>3</v>
      </c>
      <c r="M732">
        <v>4</v>
      </c>
      <c r="N732">
        <v>0</v>
      </c>
      <c r="O732">
        <v>21</v>
      </c>
      <c r="P732">
        <v>3</v>
      </c>
      <c r="Q732">
        <v>5.2</v>
      </c>
      <c r="R732">
        <v>48</v>
      </c>
      <c r="S732">
        <v>0</v>
      </c>
      <c r="T732">
        <v>0</v>
      </c>
      <c r="U732" s="8">
        <v>51</v>
      </c>
      <c r="V732" s="8">
        <f t="shared" si="11"/>
        <v>5</v>
      </c>
    </row>
    <row r="733" spans="1:22" x14ac:dyDescent="0.3">
      <c r="A733" t="s">
        <v>359</v>
      </c>
      <c r="B733">
        <v>2</v>
      </c>
      <c r="C733" t="s">
        <v>200</v>
      </c>
      <c r="D733" t="s">
        <v>201</v>
      </c>
      <c r="E733" t="s">
        <v>158</v>
      </c>
      <c r="F733" t="s">
        <v>85</v>
      </c>
      <c r="G733" t="s">
        <v>104</v>
      </c>
      <c r="H733">
        <v>0</v>
      </c>
      <c r="I733">
        <v>0</v>
      </c>
      <c r="J733">
        <v>0</v>
      </c>
      <c r="K733" t="s">
        <v>104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 s="8">
        <v>0</v>
      </c>
      <c r="V733" s="8">
        <f t="shared" si="11"/>
        <v>0</v>
      </c>
    </row>
    <row r="734" spans="1:22" x14ac:dyDescent="0.3">
      <c r="A734" t="s">
        <v>359</v>
      </c>
      <c r="B734">
        <v>2</v>
      </c>
      <c r="C734" t="s">
        <v>202</v>
      </c>
      <c r="D734" t="s">
        <v>203</v>
      </c>
      <c r="E734" t="s">
        <v>158</v>
      </c>
      <c r="F734" t="s">
        <v>101</v>
      </c>
      <c r="G734" t="s">
        <v>104</v>
      </c>
      <c r="H734">
        <v>0</v>
      </c>
      <c r="I734">
        <v>0</v>
      </c>
      <c r="J734">
        <v>0</v>
      </c>
      <c r="K734" t="s">
        <v>104</v>
      </c>
      <c r="L734">
        <v>0</v>
      </c>
      <c r="M734">
        <v>3</v>
      </c>
      <c r="N734">
        <v>0</v>
      </c>
      <c r="O734">
        <v>32</v>
      </c>
      <c r="P734">
        <v>0</v>
      </c>
      <c r="Q734">
        <v>10.7</v>
      </c>
      <c r="R734">
        <v>0</v>
      </c>
      <c r="S734">
        <v>0</v>
      </c>
      <c r="T734">
        <v>0</v>
      </c>
      <c r="U734" s="8">
        <v>0</v>
      </c>
      <c r="V734" s="8">
        <f t="shared" si="11"/>
        <v>0</v>
      </c>
    </row>
    <row r="735" spans="1:22" x14ac:dyDescent="0.3">
      <c r="A735" t="s">
        <v>359</v>
      </c>
      <c r="B735">
        <v>2</v>
      </c>
      <c r="C735" t="s">
        <v>413</v>
      </c>
      <c r="D735" t="s">
        <v>423</v>
      </c>
      <c r="E735" t="s">
        <v>158</v>
      </c>
      <c r="F735" t="s">
        <v>101</v>
      </c>
      <c r="G735" t="s">
        <v>104</v>
      </c>
      <c r="H735">
        <v>0</v>
      </c>
      <c r="I735">
        <v>0</v>
      </c>
      <c r="J735">
        <v>0</v>
      </c>
      <c r="K735" t="s">
        <v>104</v>
      </c>
      <c r="L735">
        <v>0</v>
      </c>
      <c r="M735">
        <v>3</v>
      </c>
      <c r="N735">
        <v>0</v>
      </c>
      <c r="O735">
        <v>23</v>
      </c>
      <c r="P735">
        <v>1</v>
      </c>
      <c r="Q735">
        <v>7.7</v>
      </c>
      <c r="R735">
        <v>20</v>
      </c>
      <c r="S735">
        <v>0</v>
      </c>
      <c r="T735">
        <v>0</v>
      </c>
      <c r="U735" s="8">
        <v>20</v>
      </c>
      <c r="V735" s="8">
        <f t="shared" si="11"/>
        <v>2</v>
      </c>
    </row>
    <row r="736" spans="1:22" x14ac:dyDescent="0.3">
      <c r="A736" t="s">
        <v>359</v>
      </c>
      <c r="B736">
        <v>2</v>
      </c>
      <c r="C736" t="s">
        <v>204</v>
      </c>
      <c r="D736" t="s">
        <v>205</v>
      </c>
      <c r="E736" t="s">
        <v>158</v>
      </c>
      <c r="F736" t="s">
        <v>91</v>
      </c>
      <c r="G736" t="s">
        <v>104</v>
      </c>
      <c r="H736">
        <v>0</v>
      </c>
      <c r="I736">
        <v>0</v>
      </c>
      <c r="J736">
        <v>0</v>
      </c>
      <c r="K736" t="s">
        <v>104</v>
      </c>
      <c r="L736">
        <v>0</v>
      </c>
      <c r="M736">
        <v>3</v>
      </c>
      <c r="N736">
        <v>0</v>
      </c>
      <c r="O736">
        <v>27</v>
      </c>
      <c r="P736">
        <v>1</v>
      </c>
      <c r="Q736">
        <v>9</v>
      </c>
      <c r="R736">
        <v>18</v>
      </c>
      <c r="S736">
        <v>0</v>
      </c>
      <c r="T736">
        <v>0</v>
      </c>
      <c r="U736" s="8">
        <v>18</v>
      </c>
      <c r="V736" s="8">
        <f t="shared" si="11"/>
        <v>2</v>
      </c>
    </row>
    <row r="737" spans="1:22" x14ac:dyDescent="0.3">
      <c r="A737" t="s">
        <v>359</v>
      </c>
      <c r="B737">
        <v>2</v>
      </c>
      <c r="C737" t="s">
        <v>206</v>
      </c>
      <c r="D737" t="s">
        <v>207</v>
      </c>
      <c r="E737" t="s">
        <v>158</v>
      </c>
      <c r="F737" t="s">
        <v>101</v>
      </c>
      <c r="G737" t="s">
        <v>104</v>
      </c>
      <c r="H737">
        <v>0</v>
      </c>
      <c r="I737">
        <v>0</v>
      </c>
      <c r="J737">
        <v>0</v>
      </c>
      <c r="K737" t="s">
        <v>104</v>
      </c>
      <c r="L737">
        <v>0</v>
      </c>
      <c r="M737">
        <v>3</v>
      </c>
      <c r="N737">
        <v>0</v>
      </c>
      <c r="O737">
        <v>23</v>
      </c>
      <c r="P737">
        <v>1</v>
      </c>
      <c r="Q737">
        <v>7.7</v>
      </c>
      <c r="R737">
        <v>20</v>
      </c>
      <c r="S737">
        <v>0</v>
      </c>
      <c r="T737">
        <v>0</v>
      </c>
      <c r="U737" s="8">
        <v>20</v>
      </c>
      <c r="V737" s="8">
        <f t="shared" si="11"/>
        <v>2</v>
      </c>
    </row>
    <row r="738" spans="1:22" x14ac:dyDescent="0.3">
      <c r="A738" t="s">
        <v>359</v>
      </c>
      <c r="B738">
        <v>2</v>
      </c>
      <c r="C738" t="s">
        <v>112</v>
      </c>
      <c r="D738" t="s">
        <v>88</v>
      </c>
      <c r="E738" t="s">
        <v>266</v>
      </c>
      <c r="F738" t="s">
        <v>83</v>
      </c>
      <c r="G738" t="s">
        <v>86</v>
      </c>
      <c r="H738">
        <v>29</v>
      </c>
      <c r="I738">
        <v>17</v>
      </c>
      <c r="J738">
        <v>170.59</v>
      </c>
      <c r="K738" t="s">
        <v>246</v>
      </c>
      <c r="L738">
        <v>30.8</v>
      </c>
      <c r="M738">
        <v>2</v>
      </c>
      <c r="N738">
        <v>0</v>
      </c>
      <c r="O738">
        <v>23</v>
      </c>
      <c r="P738">
        <v>1</v>
      </c>
      <c r="Q738">
        <v>11.5</v>
      </c>
      <c r="R738">
        <v>18</v>
      </c>
      <c r="S738">
        <v>0</v>
      </c>
      <c r="T738">
        <v>0</v>
      </c>
      <c r="U738" s="8">
        <v>48.8</v>
      </c>
      <c r="V738" s="8">
        <f t="shared" si="11"/>
        <v>5</v>
      </c>
    </row>
    <row r="739" spans="1:22" x14ac:dyDescent="0.3">
      <c r="A739" t="s">
        <v>359</v>
      </c>
      <c r="B739">
        <v>2</v>
      </c>
      <c r="C739" t="s">
        <v>113</v>
      </c>
      <c r="D739" t="s">
        <v>84</v>
      </c>
      <c r="E739" t="s">
        <v>266</v>
      </c>
      <c r="F739" t="s">
        <v>85</v>
      </c>
      <c r="G739" t="s">
        <v>86</v>
      </c>
      <c r="H739">
        <v>6</v>
      </c>
      <c r="I739">
        <v>3</v>
      </c>
      <c r="J739">
        <v>200</v>
      </c>
      <c r="K739" t="s">
        <v>245</v>
      </c>
      <c r="L739">
        <v>10.7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 s="8">
        <v>10.7</v>
      </c>
      <c r="V739" s="8">
        <f t="shared" si="11"/>
        <v>1</v>
      </c>
    </row>
    <row r="740" spans="1:22" x14ac:dyDescent="0.3">
      <c r="A740" t="s">
        <v>359</v>
      </c>
      <c r="B740">
        <v>2</v>
      </c>
      <c r="C740" t="s">
        <v>117</v>
      </c>
      <c r="D740" t="s">
        <v>90</v>
      </c>
      <c r="E740" t="s">
        <v>266</v>
      </c>
      <c r="F740" t="s">
        <v>169</v>
      </c>
      <c r="G740" t="s">
        <v>92</v>
      </c>
      <c r="H740">
        <v>5</v>
      </c>
      <c r="I740">
        <v>3</v>
      </c>
      <c r="J740">
        <v>166.67</v>
      </c>
      <c r="K740" t="s">
        <v>245</v>
      </c>
      <c r="L740">
        <v>7.3</v>
      </c>
      <c r="M740">
        <v>4</v>
      </c>
      <c r="N740">
        <v>0</v>
      </c>
      <c r="O740">
        <v>38</v>
      </c>
      <c r="P740">
        <v>0</v>
      </c>
      <c r="Q740">
        <v>9.5</v>
      </c>
      <c r="R740">
        <v>5</v>
      </c>
      <c r="S740">
        <v>0</v>
      </c>
      <c r="T740">
        <v>0</v>
      </c>
      <c r="U740" s="8">
        <v>12.3</v>
      </c>
      <c r="V740" s="8">
        <f t="shared" si="11"/>
        <v>1</v>
      </c>
    </row>
    <row r="741" spans="1:22" x14ac:dyDescent="0.3">
      <c r="A741" t="s">
        <v>359</v>
      </c>
      <c r="B741">
        <v>2</v>
      </c>
      <c r="C741" t="s">
        <v>115</v>
      </c>
      <c r="D741" t="s">
        <v>17</v>
      </c>
      <c r="E741" t="s">
        <v>266</v>
      </c>
      <c r="F741" t="s">
        <v>83</v>
      </c>
      <c r="G741" t="s">
        <v>92</v>
      </c>
      <c r="H741">
        <v>6</v>
      </c>
      <c r="I741">
        <v>6</v>
      </c>
      <c r="J741">
        <v>100</v>
      </c>
      <c r="K741" t="s">
        <v>246</v>
      </c>
      <c r="L741">
        <v>4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 s="8">
        <v>4</v>
      </c>
      <c r="V741" s="8">
        <f t="shared" si="11"/>
        <v>0</v>
      </c>
    </row>
    <row r="742" spans="1:22" x14ac:dyDescent="0.3">
      <c r="A742" t="s">
        <v>359</v>
      </c>
      <c r="B742">
        <v>2</v>
      </c>
      <c r="C742" t="s">
        <v>119</v>
      </c>
      <c r="D742" t="s">
        <v>95</v>
      </c>
      <c r="E742" t="s">
        <v>266</v>
      </c>
      <c r="F742" t="s">
        <v>169</v>
      </c>
      <c r="G742" t="s">
        <v>134</v>
      </c>
      <c r="H742">
        <v>17</v>
      </c>
      <c r="I742">
        <v>20</v>
      </c>
      <c r="J742">
        <v>85</v>
      </c>
      <c r="K742" t="s">
        <v>246</v>
      </c>
      <c r="L742">
        <v>6.4</v>
      </c>
      <c r="M742">
        <v>2</v>
      </c>
      <c r="N742">
        <v>0</v>
      </c>
      <c r="O742">
        <v>35</v>
      </c>
      <c r="P742">
        <v>0</v>
      </c>
      <c r="Q742">
        <v>17.5</v>
      </c>
      <c r="R742">
        <v>0</v>
      </c>
      <c r="S742">
        <v>0</v>
      </c>
      <c r="T742">
        <v>0</v>
      </c>
      <c r="U742" s="8">
        <v>6.4</v>
      </c>
      <c r="V742" s="8">
        <f t="shared" si="11"/>
        <v>1</v>
      </c>
    </row>
    <row r="743" spans="1:22" x14ac:dyDescent="0.3">
      <c r="A743" t="s">
        <v>359</v>
      </c>
      <c r="B743">
        <v>2</v>
      </c>
      <c r="C743" t="s">
        <v>123</v>
      </c>
      <c r="D743" t="s">
        <v>98</v>
      </c>
      <c r="E743" t="s">
        <v>266</v>
      </c>
      <c r="F743" t="s">
        <v>91</v>
      </c>
      <c r="G743" t="s">
        <v>134</v>
      </c>
      <c r="H743">
        <v>17</v>
      </c>
      <c r="I743">
        <v>22</v>
      </c>
      <c r="J743">
        <v>77.27</v>
      </c>
      <c r="K743" t="s">
        <v>248</v>
      </c>
      <c r="L743">
        <v>5.6</v>
      </c>
      <c r="M743">
        <v>4</v>
      </c>
      <c r="N743">
        <v>0</v>
      </c>
      <c r="O743">
        <v>20</v>
      </c>
      <c r="P743">
        <v>1</v>
      </c>
      <c r="Q743">
        <v>5</v>
      </c>
      <c r="R743">
        <v>27</v>
      </c>
      <c r="S743">
        <v>0</v>
      </c>
      <c r="T743">
        <v>0</v>
      </c>
      <c r="U743" s="8">
        <v>32.6</v>
      </c>
      <c r="V743" s="8">
        <f t="shared" si="11"/>
        <v>3</v>
      </c>
    </row>
    <row r="744" spans="1:22" x14ac:dyDescent="0.3">
      <c r="A744" t="s">
        <v>359</v>
      </c>
      <c r="B744">
        <v>2</v>
      </c>
      <c r="C744" t="s">
        <v>121</v>
      </c>
      <c r="D744" t="s">
        <v>108</v>
      </c>
      <c r="E744" t="s">
        <v>266</v>
      </c>
      <c r="F744" t="s">
        <v>91</v>
      </c>
      <c r="G744" t="s">
        <v>134</v>
      </c>
      <c r="H744">
        <v>42</v>
      </c>
      <c r="I744">
        <v>27</v>
      </c>
      <c r="J744">
        <v>155.56</v>
      </c>
      <c r="K744" t="s">
        <v>245</v>
      </c>
      <c r="L744">
        <v>44.1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 s="8">
        <v>44.1</v>
      </c>
      <c r="V744" s="8">
        <f t="shared" si="11"/>
        <v>4</v>
      </c>
    </row>
    <row r="745" spans="1:22" x14ac:dyDescent="0.3">
      <c r="A745" t="s">
        <v>359</v>
      </c>
      <c r="B745">
        <v>2</v>
      </c>
      <c r="C745" t="s">
        <v>347</v>
      </c>
      <c r="D745" t="s">
        <v>348</v>
      </c>
      <c r="E745" t="s">
        <v>266</v>
      </c>
      <c r="F745" t="s">
        <v>83</v>
      </c>
      <c r="G745" t="s">
        <v>134</v>
      </c>
      <c r="H745">
        <v>24</v>
      </c>
      <c r="I745">
        <v>14</v>
      </c>
      <c r="J745">
        <v>171.43</v>
      </c>
      <c r="K745" t="s">
        <v>96</v>
      </c>
      <c r="L745">
        <v>29.3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 s="8">
        <v>29.3</v>
      </c>
      <c r="V745" s="8">
        <f t="shared" si="11"/>
        <v>3</v>
      </c>
    </row>
    <row r="746" spans="1:22" x14ac:dyDescent="0.3">
      <c r="A746" t="s">
        <v>359</v>
      </c>
      <c r="B746">
        <v>2</v>
      </c>
      <c r="C746" t="s">
        <v>125</v>
      </c>
      <c r="D746" t="s">
        <v>111</v>
      </c>
      <c r="E746" t="s">
        <v>266</v>
      </c>
      <c r="F746" t="s">
        <v>83</v>
      </c>
      <c r="G746" t="s">
        <v>134</v>
      </c>
      <c r="H746">
        <v>6</v>
      </c>
      <c r="I746">
        <v>8</v>
      </c>
      <c r="J746">
        <v>75</v>
      </c>
      <c r="K746" t="s">
        <v>245</v>
      </c>
      <c r="L746">
        <v>2.6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 s="8">
        <v>2.6</v>
      </c>
      <c r="V746" s="8">
        <f t="shared" si="11"/>
        <v>0</v>
      </c>
    </row>
    <row r="747" spans="1:22" x14ac:dyDescent="0.3">
      <c r="A747" t="s">
        <v>359</v>
      </c>
      <c r="B747">
        <v>2</v>
      </c>
      <c r="C747" t="s">
        <v>265</v>
      </c>
      <c r="D747" t="s">
        <v>264</v>
      </c>
      <c r="E747" t="s">
        <v>266</v>
      </c>
      <c r="F747" t="s">
        <v>101</v>
      </c>
      <c r="G747" t="s">
        <v>104</v>
      </c>
      <c r="H747">
        <v>0</v>
      </c>
      <c r="I747">
        <v>0</v>
      </c>
      <c r="J747">
        <v>0</v>
      </c>
      <c r="K747" t="s">
        <v>104</v>
      </c>
      <c r="L747">
        <v>0</v>
      </c>
      <c r="M747">
        <v>4</v>
      </c>
      <c r="N747">
        <v>0</v>
      </c>
      <c r="O747">
        <v>46</v>
      </c>
      <c r="P747">
        <v>1</v>
      </c>
      <c r="Q747">
        <v>11.5</v>
      </c>
      <c r="R747">
        <v>18</v>
      </c>
      <c r="S747">
        <v>0</v>
      </c>
      <c r="T747">
        <v>0</v>
      </c>
      <c r="U747" s="8">
        <v>18</v>
      </c>
      <c r="V747" s="8">
        <f t="shared" si="11"/>
        <v>2</v>
      </c>
    </row>
    <row r="748" spans="1:22" x14ac:dyDescent="0.3">
      <c r="A748" t="s">
        <v>359</v>
      </c>
      <c r="B748">
        <v>2</v>
      </c>
      <c r="C748" t="s">
        <v>131</v>
      </c>
      <c r="D748" t="s">
        <v>106</v>
      </c>
      <c r="E748" t="s">
        <v>266</v>
      </c>
      <c r="F748" t="s">
        <v>101</v>
      </c>
      <c r="G748" t="s">
        <v>104</v>
      </c>
      <c r="H748">
        <v>0</v>
      </c>
      <c r="I748">
        <v>0</v>
      </c>
      <c r="J748">
        <v>0</v>
      </c>
      <c r="K748" t="s">
        <v>104</v>
      </c>
      <c r="L748">
        <v>0</v>
      </c>
      <c r="M748">
        <v>4</v>
      </c>
      <c r="N748">
        <v>0</v>
      </c>
      <c r="O748">
        <v>29</v>
      </c>
      <c r="P748">
        <v>1</v>
      </c>
      <c r="Q748">
        <v>7.2</v>
      </c>
      <c r="R748">
        <v>20</v>
      </c>
      <c r="S748">
        <v>0</v>
      </c>
      <c r="T748">
        <v>0</v>
      </c>
      <c r="U748" s="8">
        <v>20</v>
      </c>
      <c r="V748" s="8">
        <f t="shared" si="11"/>
        <v>2</v>
      </c>
    </row>
    <row r="749" spans="1:22" x14ac:dyDescent="0.3">
      <c r="A749" t="s">
        <v>360</v>
      </c>
      <c r="B749">
        <v>2</v>
      </c>
      <c r="C749" t="s">
        <v>278</v>
      </c>
      <c r="D749" t="s">
        <v>293</v>
      </c>
      <c r="E749" t="s">
        <v>258</v>
      </c>
      <c r="F749" t="s">
        <v>109</v>
      </c>
      <c r="G749" t="s">
        <v>86</v>
      </c>
      <c r="H749">
        <v>76</v>
      </c>
      <c r="I749">
        <v>45</v>
      </c>
      <c r="J749">
        <v>168.89</v>
      </c>
      <c r="K749" t="s">
        <v>256</v>
      </c>
      <c r="L749">
        <v>79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 s="8">
        <v>79</v>
      </c>
      <c r="V749" s="8">
        <f t="shared" si="11"/>
        <v>8</v>
      </c>
    </row>
    <row r="750" spans="1:22" x14ac:dyDescent="0.3">
      <c r="A750" t="s">
        <v>360</v>
      </c>
      <c r="B750">
        <v>2</v>
      </c>
      <c r="C750" t="s">
        <v>81</v>
      </c>
      <c r="D750" t="s">
        <v>114</v>
      </c>
      <c r="E750" t="s">
        <v>258</v>
      </c>
      <c r="F750" t="s">
        <v>85</v>
      </c>
      <c r="G750" t="s">
        <v>86</v>
      </c>
      <c r="H750">
        <v>85</v>
      </c>
      <c r="I750">
        <v>51</v>
      </c>
      <c r="J750">
        <v>166.67</v>
      </c>
      <c r="K750" t="s">
        <v>96</v>
      </c>
      <c r="L750">
        <v>89.3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 s="8">
        <v>89.3</v>
      </c>
      <c r="V750" s="8">
        <f t="shared" si="11"/>
        <v>9</v>
      </c>
    </row>
    <row r="751" spans="1:22" x14ac:dyDescent="0.3">
      <c r="A751" t="s">
        <v>360</v>
      </c>
      <c r="B751">
        <v>2</v>
      </c>
      <c r="C751" t="s">
        <v>383</v>
      </c>
      <c r="D751" t="s">
        <v>384</v>
      </c>
      <c r="E751" t="s">
        <v>258</v>
      </c>
      <c r="F751" t="s">
        <v>109</v>
      </c>
      <c r="G751" t="s">
        <v>92</v>
      </c>
      <c r="H751">
        <v>18</v>
      </c>
      <c r="I751">
        <v>17</v>
      </c>
      <c r="J751">
        <v>105.88</v>
      </c>
      <c r="K751" t="s">
        <v>256</v>
      </c>
      <c r="L751">
        <v>12.7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 s="8">
        <v>12.7</v>
      </c>
      <c r="V751" s="8">
        <f t="shared" si="11"/>
        <v>1</v>
      </c>
    </row>
    <row r="752" spans="1:22" x14ac:dyDescent="0.3">
      <c r="A752" t="s">
        <v>360</v>
      </c>
      <c r="B752">
        <v>2</v>
      </c>
      <c r="C752" t="s">
        <v>93</v>
      </c>
      <c r="D752" t="s">
        <v>118</v>
      </c>
      <c r="E752" t="s">
        <v>258</v>
      </c>
      <c r="F752" t="s">
        <v>83</v>
      </c>
      <c r="G752" t="s">
        <v>134</v>
      </c>
      <c r="H752">
        <v>0</v>
      </c>
      <c r="I752">
        <v>1</v>
      </c>
      <c r="J752">
        <v>0</v>
      </c>
      <c r="K752" t="s">
        <v>246</v>
      </c>
      <c r="L752">
        <v>-5</v>
      </c>
      <c r="M752">
        <v>4</v>
      </c>
      <c r="N752">
        <v>0</v>
      </c>
      <c r="O752">
        <v>23</v>
      </c>
      <c r="P752">
        <v>2</v>
      </c>
      <c r="Q752">
        <v>5.8</v>
      </c>
      <c r="R752">
        <v>48</v>
      </c>
      <c r="S752">
        <v>0</v>
      </c>
      <c r="T752">
        <v>0</v>
      </c>
      <c r="U752" s="8">
        <v>43</v>
      </c>
      <c r="V752" s="8">
        <f t="shared" si="11"/>
        <v>4</v>
      </c>
    </row>
    <row r="753" spans="1:22" x14ac:dyDescent="0.3">
      <c r="A753" t="s">
        <v>360</v>
      </c>
      <c r="B753">
        <v>2</v>
      </c>
      <c r="C753" t="s">
        <v>97</v>
      </c>
      <c r="D753" t="s">
        <v>122</v>
      </c>
      <c r="E753" t="s">
        <v>258</v>
      </c>
      <c r="F753" t="s">
        <v>109</v>
      </c>
      <c r="G753" t="s">
        <v>134</v>
      </c>
      <c r="H753">
        <v>1</v>
      </c>
      <c r="I753">
        <v>3</v>
      </c>
      <c r="J753">
        <v>33.33</v>
      </c>
      <c r="K753" t="s">
        <v>248</v>
      </c>
      <c r="L753">
        <v>-1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 s="8">
        <v>-1</v>
      </c>
      <c r="V753" s="8">
        <f t="shared" si="11"/>
        <v>0</v>
      </c>
    </row>
    <row r="754" spans="1:22" x14ac:dyDescent="0.3">
      <c r="A754" t="s">
        <v>360</v>
      </c>
      <c r="B754">
        <v>2</v>
      </c>
      <c r="C754" t="s">
        <v>408</v>
      </c>
      <c r="D754" t="s">
        <v>382</v>
      </c>
      <c r="E754" t="s">
        <v>258</v>
      </c>
      <c r="F754" t="s">
        <v>109</v>
      </c>
      <c r="G754" t="s">
        <v>134</v>
      </c>
      <c r="H754">
        <v>1</v>
      </c>
      <c r="I754">
        <v>2</v>
      </c>
      <c r="J754">
        <v>50</v>
      </c>
      <c r="K754" t="s">
        <v>256</v>
      </c>
      <c r="L754">
        <v>-0.2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 s="8">
        <v>-0.2</v>
      </c>
      <c r="V754" s="8">
        <f t="shared" si="11"/>
        <v>0</v>
      </c>
    </row>
    <row r="755" spans="1:22" x14ac:dyDescent="0.3">
      <c r="A755" t="s">
        <v>360</v>
      </c>
      <c r="B755">
        <v>2</v>
      </c>
      <c r="C755" t="s">
        <v>385</v>
      </c>
      <c r="D755" t="s">
        <v>386</v>
      </c>
      <c r="E755" t="s">
        <v>258</v>
      </c>
      <c r="F755" t="s">
        <v>91</v>
      </c>
      <c r="G755" t="s">
        <v>134</v>
      </c>
      <c r="H755">
        <v>1</v>
      </c>
      <c r="I755">
        <v>1</v>
      </c>
      <c r="J755">
        <v>100</v>
      </c>
      <c r="K755" t="s">
        <v>96</v>
      </c>
      <c r="L755">
        <v>5.5</v>
      </c>
      <c r="M755">
        <v>4</v>
      </c>
      <c r="N755">
        <v>0</v>
      </c>
      <c r="O755">
        <v>26</v>
      </c>
      <c r="P755">
        <v>1</v>
      </c>
      <c r="Q755">
        <v>6.5</v>
      </c>
      <c r="R755">
        <v>30</v>
      </c>
      <c r="S755">
        <v>0</v>
      </c>
      <c r="T755">
        <v>0</v>
      </c>
      <c r="U755" s="8">
        <v>35.5</v>
      </c>
      <c r="V755" s="8">
        <f t="shared" si="11"/>
        <v>4</v>
      </c>
    </row>
    <row r="756" spans="1:22" x14ac:dyDescent="0.3">
      <c r="A756" t="s">
        <v>360</v>
      </c>
      <c r="B756">
        <v>2</v>
      </c>
      <c r="C756" t="s">
        <v>105</v>
      </c>
      <c r="D756" t="s">
        <v>128</v>
      </c>
      <c r="E756" t="s">
        <v>258</v>
      </c>
      <c r="F756" t="s">
        <v>101</v>
      </c>
      <c r="G756" t="s">
        <v>104</v>
      </c>
      <c r="H756">
        <v>0</v>
      </c>
      <c r="I756">
        <v>0</v>
      </c>
      <c r="J756">
        <v>0</v>
      </c>
      <c r="K756" t="s">
        <v>104</v>
      </c>
      <c r="L756">
        <v>0</v>
      </c>
      <c r="M756">
        <v>4</v>
      </c>
      <c r="N756">
        <v>0</v>
      </c>
      <c r="O756">
        <v>43</v>
      </c>
      <c r="P756">
        <v>1</v>
      </c>
      <c r="Q756">
        <v>10.8</v>
      </c>
      <c r="R756">
        <v>10</v>
      </c>
      <c r="S756">
        <v>0</v>
      </c>
      <c r="T756">
        <v>0</v>
      </c>
      <c r="U756" s="8">
        <v>10</v>
      </c>
      <c r="V756" s="8">
        <f t="shared" si="11"/>
        <v>1</v>
      </c>
    </row>
    <row r="757" spans="1:22" x14ac:dyDescent="0.3">
      <c r="A757" t="s">
        <v>360</v>
      </c>
      <c r="B757">
        <v>2</v>
      </c>
      <c r="C757" t="s">
        <v>389</v>
      </c>
      <c r="D757" t="s">
        <v>390</v>
      </c>
      <c r="E757" t="s">
        <v>258</v>
      </c>
      <c r="F757" t="s">
        <v>91</v>
      </c>
      <c r="G757" t="s">
        <v>104</v>
      </c>
      <c r="H757">
        <v>0</v>
      </c>
      <c r="I757">
        <v>0</v>
      </c>
      <c r="J757">
        <v>0</v>
      </c>
      <c r="K757" t="s">
        <v>104</v>
      </c>
      <c r="L757">
        <v>0</v>
      </c>
      <c r="M757">
        <v>4</v>
      </c>
      <c r="N757">
        <v>0</v>
      </c>
      <c r="O757">
        <v>42</v>
      </c>
      <c r="P757">
        <v>0</v>
      </c>
      <c r="Q757">
        <v>10.5</v>
      </c>
      <c r="R757">
        <v>0</v>
      </c>
      <c r="S757">
        <v>0</v>
      </c>
      <c r="T757">
        <v>0</v>
      </c>
      <c r="U757" s="8">
        <v>0</v>
      </c>
      <c r="V757" s="8">
        <f t="shared" si="11"/>
        <v>0</v>
      </c>
    </row>
    <row r="758" spans="1:22" x14ac:dyDescent="0.3">
      <c r="A758" t="s">
        <v>360</v>
      </c>
      <c r="B758">
        <v>2</v>
      </c>
      <c r="C758" t="s">
        <v>404</v>
      </c>
      <c r="D758" t="s">
        <v>416</v>
      </c>
      <c r="E758" t="s">
        <v>258</v>
      </c>
      <c r="F758" t="s">
        <v>91</v>
      </c>
      <c r="G758" t="s">
        <v>104</v>
      </c>
      <c r="H758">
        <v>0</v>
      </c>
      <c r="I758">
        <v>0</v>
      </c>
      <c r="J758">
        <v>0</v>
      </c>
      <c r="K758" t="s">
        <v>104</v>
      </c>
      <c r="L758">
        <v>0</v>
      </c>
      <c r="M758">
        <v>1</v>
      </c>
      <c r="N758">
        <v>0</v>
      </c>
      <c r="O758">
        <v>10</v>
      </c>
      <c r="P758">
        <v>0</v>
      </c>
      <c r="Q758">
        <v>10</v>
      </c>
      <c r="R758">
        <v>0</v>
      </c>
      <c r="S758">
        <v>0</v>
      </c>
      <c r="T758">
        <v>0</v>
      </c>
      <c r="U758" s="8">
        <v>0</v>
      </c>
      <c r="V758" s="8">
        <f t="shared" si="11"/>
        <v>0</v>
      </c>
    </row>
    <row r="759" spans="1:22" x14ac:dyDescent="0.3">
      <c r="A759" t="s">
        <v>360</v>
      </c>
      <c r="B759">
        <v>2</v>
      </c>
      <c r="C759" t="s">
        <v>438</v>
      </c>
      <c r="D759" t="s">
        <v>439</v>
      </c>
      <c r="E759" t="s">
        <v>258</v>
      </c>
      <c r="F759" t="s">
        <v>101</v>
      </c>
      <c r="G759" t="s">
        <v>104</v>
      </c>
      <c r="H759">
        <v>0</v>
      </c>
      <c r="I759">
        <v>0</v>
      </c>
      <c r="J759">
        <v>0</v>
      </c>
      <c r="K759" t="s">
        <v>104</v>
      </c>
      <c r="L759">
        <v>0</v>
      </c>
      <c r="M759">
        <v>3</v>
      </c>
      <c r="N759">
        <v>0</v>
      </c>
      <c r="O759">
        <v>27</v>
      </c>
      <c r="P759">
        <v>0</v>
      </c>
      <c r="Q759">
        <v>9</v>
      </c>
      <c r="R759">
        <v>0</v>
      </c>
      <c r="S759">
        <v>0</v>
      </c>
      <c r="T759">
        <v>0</v>
      </c>
      <c r="U759" s="8">
        <v>0</v>
      </c>
      <c r="V759" s="8">
        <f t="shared" si="11"/>
        <v>0</v>
      </c>
    </row>
    <row r="760" spans="1:22" x14ac:dyDescent="0.3">
      <c r="A760" t="s">
        <v>360</v>
      </c>
      <c r="B760">
        <v>2</v>
      </c>
      <c r="C760" t="s">
        <v>87</v>
      </c>
      <c r="D760" t="s">
        <v>82</v>
      </c>
      <c r="E760" t="s">
        <v>159</v>
      </c>
      <c r="F760" t="s">
        <v>83</v>
      </c>
      <c r="G760" t="s">
        <v>86</v>
      </c>
      <c r="H760">
        <v>4</v>
      </c>
      <c r="I760">
        <v>13</v>
      </c>
      <c r="J760">
        <v>30.77</v>
      </c>
      <c r="K760" t="s">
        <v>256</v>
      </c>
      <c r="L760">
        <v>-1.8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 s="8">
        <v>-1.8</v>
      </c>
      <c r="V760" s="8">
        <f t="shared" si="11"/>
        <v>0</v>
      </c>
    </row>
    <row r="761" spans="1:22" x14ac:dyDescent="0.3">
      <c r="A761" t="s">
        <v>360</v>
      </c>
      <c r="B761">
        <v>2</v>
      </c>
      <c r="C761" t="s">
        <v>165</v>
      </c>
      <c r="D761" t="s">
        <v>166</v>
      </c>
      <c r="E761" t="s">
        <v>159</v>
      </c>
      <c r="F761" t="s">
        <v>109</v>
      </c>
      <c r="G761" t="s">
        <v>86</v>
      </c>
      <c r="H761">
        <v>24</v>
      </c>
      <c r="I761">
        <v>16</v>
      </c>
      <c r="J761">
        <v>150</v>
      </c>
      <c r="K761" t="s">
        <v>247</v>
      </c>
      <c r="L761">
        <v>24.8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 s="8">
        <v>24.8</v>
      </c>
      <c r="V761" s="8">
        <f t="shared" si="11"/>
        <v>2</v>
      </c>
    </row>
    <row r="762" spans="1:22" x14ac:dyDescent="0.3">
      <c r="A762" t="s">
        <v>360</v>
      </c>
      <c r="B762">
        <v>2</v>
      </c>
      <c r="C762" t="s">
        <v>174</v>
      </c>
      <c r="D762" t="s">
        <v>175</v>
      </c>
      <c r="E762" t="s">
        <v>159</v>
      </c>
      <c r="F762" t="s">
        <v>83</v>
      </c>
      <c r="G762" t="s">
        <v>92</v>
      </c>
      <c r="H762">
        <v>24</v>
      </c>
      <c r="I762">
        <v>23</v>
      </c>
      <c r="J762">
        <v>104.35</v>
      </c>
      <c r="K762" t="s">
        <v>246</v>
      </c>
      <c r="L762">
        <v>18.7</v>
      </c>
      <c r="M762">
        <v>1</v>
      </c>
      <c r="N762">
        <v>0</v>
      </c>
      <c r="O762">
        <v>15</v>
      </c>
      <c r="P762">
        <v>0</v>
      </c>
      <c r="Q762">
        <v>15</v>
      </c>
      <c r="R762">
        <v>0</v>
      </c>
      <c r="S762">
        <v>0</v>
      </c>
      <c r="T762">
        <v>0</v>
      </c>
      <c r="U762" s="8">
        <v>18.7</v>
      </c>
      <c r="V762" s="8">
        <f t="shared" si="11"/>
        <v>2</v>
      </c>
    </row>
    <row r="763" spans="1:22" x14ac:dyDescent="0.3">
      <c r="A763" t="s">
        <v>360</v>
      </c>
      <c r="B763">
        <v>2</v>
      </c>
      <c r="C763" t="s">
        <v>167</v>
      </c>
      <c r="D763" t="s">
        <v>168</v>
      </c>
      <c r="E763" t="s">
        <v>159</v>
      </c>
      <c r="F763" t="s">
        <v>169</v>
      </c>
      <c r="G763" t="s">
        <v>92</v>
      </c>
      <c r="H763">
        <v>23</v>
      </c>
      <c r="I763">
        <v>16</v>
      </c>
      <c r="J763">
        <v>143.75</v>
      </c>
      <c r="K763" t="s">
        <v>245</v>
      </c>
      <c r="L763">
        <v>25.3</v>
      </c>
      <c r="M763">
        <v>3</v>
      </c>
      <c r="N763">
        <v>0</v>
      </c>
      <c r="O763">
        <v>37</v>
      </c>
      <c r="P763">
        <v>0</v>
      </c>
      <c r="Q763">
        <v>12.3</v>
      </c>
      <c r="R763">
        <v>0</v>
      </c>
      <c r="S763">
        <v>0</v>
      </c>
      <c r="T763">
        <v>0</v>
      </c>
      <c r="U763" s="8">
        <v>25.3</v>
      </c>
      <c r="V763" s="8">
        <f t="shared" si="11"/>
        <v>3</v>
      </c>
    </row>
    <row r="764" spans="1:22" x14ac:dyDescent="0.3">
      <c r="A764" t="s">
        <v>360</v>
      </c>
      <c r="B764">
        <v>2</v>
      </c>
      <c r="C764" t="s">
        <v>176</v>
      </c>
      <c r="D764" t="s">
        <v>177</v>
      </c>
      <c r="E764" t="s">
        <v>159</v>
      </c>
      <c r="F764" t="s">
        <v>85</v>
      </c>
      <c r="G764" t="s">
        <v>134</v>
      </c>
      <c r="H764">
        <v>30</v>
      </c>
      <c r="I764">
        <v>21</v>
      </c>
      <c r="J764">
        <v>142.86000000000001</v>
      </c>
      <c r="K764" t="s">
        <v>246</v>
      </c>
      <c r="L764">
        <v>31.4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 s="8">
        <v>31.4</v>
      </c>
      <c r="V764" s="8">
        <f t="shared" si="11"/>
        <v>3</v>
      </c>
    </row>
    <row r="765" spans="1:22" x14ac:dyDescent="0.3">
      <c r="A765" t="s">
        <v>360</v>
      </c>
      <c r="B765">
        <v>2</v>
      </c>
      <c r="C765" t="s">
        <v>99</v>
      </c>
      <c r="D765" t="s">
        <v>124</v>
      </c>
      <c r="E765" t="s">
        <v>159</v>
      </c>
      <c r="F765" t="s">
        <v>91</v>
      </c>
      <c r="G765" t="s">
        <v>134</v>
      </c>
      <c r="H765">
        <v>48</v>
      </c>
      <c r="I765">
        <v>22</v>
      </c>
      <c r="J765">
        <v>218.18</v>
      </c>
      <c r="K765" t="s">
        <v>256</v>
      </c>
      <c r="L765">
        <v>53.6</v>
      </c>
      <c r="M765">
        <v>4</v>
      </c>
      <c r="N765">
        <v>0</v>
      </c>
      <c r="O765">
        <v>36</v>
      </c>
      <c r="P765">
        <v>1</v>
      </c>
      <c r="Q765">
        <v>9</v>
      </c>
      <c r="R765">
        <v>20</v>
      </c>
      <c r="S765">
        <v>0</v>
      </c>
      <c r="T765">
        <v>0</v>
      </c>
      <c r="U765" s="8">
        <v>73.599999999999994</v>
      </c>
      <c r="V765" s="8">
        <f t="shared" si="11"/>
        <v>7</v>
      </c>
    </row>
    <row r="766" spans="1:22" x14ac:dyDescent="0.3">
      <c r="A766" t="s">
        <v>360</v>
      </c>
      <c r="B766">
        <v>2</v>
      </c>
      <c r="C766" t="s">
        <v>371</v>
      </c>
      <c r="D766" t="s">
        <v>372</v>
      </c>
      <c r="E766" t="s">
        <v>159</v>
      </c>
      <c r="F766" t="s">
        <v>91</v>
      </c>
      <c r="G766" t="s">
        <v>134</v>
      </c>
      <c r="H766">
        <v>3</v>
      </c>
      <c r="I766">
        <v>3</v>
      </c>
      <c r="J766">
        <v>100</v>
      </c>
      <c r="K766" t="s">
        <v>256</v>
      </c>
      <c r="L766">
        <v>2.5</v>
      </c>
      <c r="M766">
        <v>4</v>
      </c>
      <c r="N766">
        <v>0</v>
      </c>
      <c r="O766">
        <v>32</v>
      </c>
      <c r="P766">
        <v>1</v>
      </c>
      <c r="Q766">
        <v>8</v>
      </c>
      <c r="R766">
        <v>20</v>
      </c>
      <c r="S766">
        <v>0</v>
      </c>
      <c r="T766">
        <v>0</v>
      </c>
      <c r="U766" s="8">
        <v>22.5</v>
      </c>
      <c r="V766" s="8">
        <f t="shared" si="11"/>
        <v>2</v>
      </c>
    </row>
    <row r="767" spans="1:22" x14ac:dyDescent="0.3">
      <c r="A767" t="s">
        <v>360</v>
      </c>
      <c r="B767">
        <v>2</v>
      </c>
      <c r="C767" t="s">
        <v>373</v>
      </c>
      <c r="D767" t="s">
        <v>374</v>
      </c>
      <c r="E767" t="s">
        <v>159</v>
      </c>
      <c r="F767" t="s">
        <v>101</v>
      </c>
      <c r="G767" t="s">
        <v>134</v>
      </c>
      <c r="H767">
        <v>1</v>
      </c>
      <c r="I767">
        <v>2</v>
      </c>
      <c r="J767">
        <v>50</v>
      </c>
      <c r="K767" t="s">
        <v>96</v>
      </c>
      <c r="L767">
        <v>2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 s="8">
        <v>2</v>
      </c>
      <c r="V767" s="8">
        <f t="shared" si="11"/>
        <v>0</v>
      </c>
    </row>
    <row r="768" spans="1:22" x14ac:dyDescent="0.3">
      <c r="A768" t="s">
        <v>360</v>
      </c>
      <c r="B768">
        <v>2</v>
      </c>
      <c r="C768" t="s">
        <v>429</v>
      </c>
      <c r="D768" t="s">
        <v>430</v>
      </c>
      <c r="E768" t="s">
        <v>159</v>
      </c>
      <c r="F768" t="s">
        <v>101</v>
      </c>
      <c r="G768" t="s">
        <v>134</v>
      </c>
      <c r="H768">
        <v>12</v>
      </c>
      <c r="I768">
        <v>5</v>
      </c>
      <c r="J768">
        <v>240</v>
      </c>
      <c r="K768" t="s">
        <v>256</v>
      </c>
      <c r="L768">
        <v>18.5</v>
      </c>
      <c r="M768">
        <v>3</v>
      </c>
      <c r="N768">
        <v>0</v>
      </c>
      <c r="O768">
        <v>31</v>
      </c>
      <c r="P768">
        <v>0</v>
      </c>
      <c r="Q768">
        <v>10.3</v>
      </c>
      <c r="R768">
        <v>0</v>
      </c>
      <c r="S768">
        <v>0</v>
      </c>
      <c r="T768">
        <v>0</v>
      </c>
      <c r="U768" s="8">
        <v>18.5</v>
      </c>
      <c r="V768" s="8">
        <f t="shared" si="11"/>
        <v>2</v>
      </c>
    </row>
    <row r="769" spans="1:22" x14ac:dyDescent="0.3">
      <c r="A769" t="s">
        <v>360</v>
      </c>
      <c r="B769">
        <v>2</v>
      </c>
      <c r="C769" t="s">
        <v>180</v>
      </c>
      <c r="D769" t="s">
        <v>181</v>
      </c>
      <c r="E769" t="s">
        <v>159</v>
      </c>
      <c r="F769" t="s">
        <v>91</v>
      </c>
      <c r="G769" t="s">
        <v>104</v>
      </c>
      <c r="H769">
        <v>0</v>
      </c>
      <c r="I769">
        <v>0</v>
      </c>
      <c r="J769">
        <v>0</v>
      </c>
      <c r="K769" t="s">
        <v>104</v>
      </c>
      <c r="L769">
        <v>0</v>
      </c>
      <c r="M769">
        <v>1</v>
      </c>
      <c r="N769">
        <v>0</v>
      </c>
      <c r="O769">
        <v>11</v>
      </c>
      <c r="P769">
        <v>0</v>
      </c>
      <c r="Q769">
        <v>11</v>
      </c>
      <c r="R769">
        <v>0</v>
      </c>
      <c r="S769">
        <v>0</v>
      </c>
      <c r="T769">
        <v>0</v>
      </c>
      <c r="U769" s="8">
        <v>0</v>
      </c>
      <c r="V769" s="8">
        <f t="shared" si="11"/>
        <v>0</v>
      </c>
    </row>
    <row r="770" spans="1:22" x14ac:dyDescent="0.3">
      <c r="A770" t="s">
        <v>360</v>
      </c>
      <c r="B770">
        <v>2</v>
      </c>
      <c r="C770" t="s">
        <v>186</v>
      </c>
      <c r="D770" t="s">
        <v>187</v>
      </c>
      <c r="E770" t="s">
        <v>159</v>
      </c>
      <c r="F770" t="s">
        <v>101</v>
      </c>
      <c r="G770" t="s">
        <v>104</v>
      </c>
      <c r="H770">
        <v>0</v>
      </c>
      <c r="I770">
        <v>0</v>
      </c>
      <c r="J770">
        <v>0</v>
      </c>
      <c r="K770" t="s">
        <v>104</v>
      </c>
      <c r="L770">
        <v>0</v>
      </c>
      <c r="M770">
        <v>4</v>
      </c>
      <c r="N770">
        <v>0</v>
      </c>
      <c r="O770">
        <v>34</v>
      </c>
      <c r="P770">
        <v>0</v>
      </c>
      <c r="Q770">
        <v>8.5</v>
      </c>
      <c r="R770">
        <v>0</v>
      </c>
      <c r="S770">
        <v>0</v>
      </c>
      <c r="T770">
        <v>0</v>
      </c>
      <c r="U770" s="8">
        <v>0</v>
      </c>
      <c r="V770" s="8">
        <f t="shared" si="11"/>
        <v>0</v>
      </c>
    </row>
    <row r="771" spans="1:22" x14ac:dyDescent="0.3">
      <c r="A771" t="s">
        <v>361</v>
      </c>
      <c r="B771">
        <v>2</v>
      </c>
      <c r="C771" t="s">
        <v>113</v>
      </c>
      <c r="D771" t="s">
        <v>84</v>
      </c>
      <c r="E771" t="s">
        <v>266</v>
      </c>
      <c r="F771" t="s">
        <v>85</v>
      </c>
      <c r="G771" t="s">
        <v>86</v>
      </c>
      <c r="H771">
        <v>9</v>
      </c>
      <c r="I771">
        <v>13</v>
      </c>
      <c r="J771">
        <v>69.23</v>
      </c>
      <c r="K771" t="s">
        <v>246</v>
      </c>
      <c r="L771">
        <v>3.2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 s="8">
        <v>3.2</v>
      </c>
      <c r="V771" s="8">
        <f t="shared" ref="V771:V834" si="12">MIN(10, MAX(0, ROUND(U771/10,0)))</f>
        <v>0</v>
      </c>
    </row>
    <row r="772" spans="1:22" x14ac:dyDescent="0.3">
      <c r="A772" t="s">
        <v>361</v>
      </c>
      <c r="B772">
        <v>2</v>
      </c>
      <c r="C772" t="s">
        <v>112</v>
      </c>
      <c r="D772" t="s">
        <v>88</v>
      </c>
      <c r="E772" t="s">
        <v>266</v>
      </c>
      <c r="F772" t="s">
        <v>83</v>
      </c>
      <c r="G772" t="s">
        <v>86</v>
      </c>
      <c r="H772">
        <v>4</v>
      </c>
      <c r="I772">
        <v>3</v>
      </c>
      <c r="J772">
        <v>133.33000000000001</v>
      </c>
      <c r="K772" t="s">
        <v>246</v>
      </c>
      <c r="L772">
        <v>6.1</v>
      </c>
      <c r="M772">
        <v>4</v>
      </c>
      <c r="N772">
        <v>0</v>
      </c>
      <c r="O772">
        <v>22</v>
      </c>
      <c r="P772">
        <v>1</v>
      </c>
      <c r="Q772">
        <v>5.5</v>
      </c>
      <c r="R772">
        <v>27</v>
      </c>
      <c r="S772">
        <v>0</v>
      </c>
      <c r="T772">
        <v>0</v>
      </c>
      <c r="U772" s="8">
        <v>33.1</v>
      </c>
      <c r="V772" s="8">
        <f t="shared" si="12"/>
        <v>3</v>
      </c>
    </row>
    <row r="773" spans="1:22" x14ac:dyDescent="0.3">
      <c r="A773" t="s">
        <v>361</v>
      </c>
      <c r="B773">
        <v>2</v>
      </c>
      <c r="C773" t="s">
        <v>117</v>
      </c>
      <c r="D773" t="s">
        <v>90</v>
      </c>
      <c r="E773" t="s">
        <v>266</v>
      </c>
      <c r="F773" t="s">
        <v>169</v>
      </c>
      <c r="G773" t="s">
        <v>92</v>
      </c>
      <c r="H773">
        <v>45</v>
      </c>
      <c r="I773">
        <v>31</v>
      </c>
      <c r="J773">
        <v>145.16</v>
      </c>
      <c r="K773" t="s">
        <v>245</v>
      </c>
      <c r="L773">
        <v>42.8</v>
      </c>
      <c r="M773">
        <v>2</v>
      </c>
      <c r="N773">
        <v>0</v>
      </c>
      <c r="O773">
        <v>14</v>
      </c>
      <c r="P773">
        <v>2</v>
      </c>
      <c r="Q773">
        <v>7</v>
      </c>
      <c r="R773">
        <v>42</v>
      </c>
      <c r="S773">
        <v>0</v>
      </c>
      <c r="T773">
        <v>0</v>
      </c>
      <c r="U773" s="8">
        <v>84.8</v>
      </c>
      <c r="V773" s="8">
        <f t="shared" si="12"/>
        <v>8</v>
      </c>
    </row>
    <row r="774" spans="1:22" x14ac:dyDescent="0.3">
      <c r="A774" t="s">
        <v>361</v>
      </c>
      <c r="B774">
        <v>2</v>
      </c>
      <c r="C774" t="s">
        <v>115</v>
      </c>
      <c r="D774" t="s">
        <v>17</v>
      </c>
      <c r="E774" t="s">
        <v>266</v>
      </c>
      <c r="F774" t="s">
        <v>83</v>
      </c>
      <c r="G774" t="s">
        <v>92</v>
      </c>
      <c r="H774">
        <v>33</v>
      </c>
      <c r="I774">
        <v>30</v>
      </c>
      <c r="J774">
        <v>110</v>
      </c>
      <c r="K774" t="s">
        <v>245</v>
      </c>
      <c r="L774">
        <v>22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 s="8">
        <v>22</v>
      </c>
      <c r="V774" s="8">
        <f t="shared" si="12"/>
        <v>2</v>
      </c>
    </row>
    <row r="775" spans="1:22" x14ac:dyDescent="0.3">
      <c r="A775" t="s">
        <v>361</v>
      </c>
      <c r="B775">
        <v>2</v>
      </c>
      <c r="C775" t="s">
        <v>119</v>
      </c>
      <c r="D775" t="s">
        <v>95</v>
      </c>
      <c r="E775" t="s">
        <v>266</v>
      </c>
      <c r="F775" t="s">
        <v>169</v>
      </c>
      <c r="G775" t="s">
        <v>134</v>
      </c>
      <c r="H775">
        <v>39</v>
      </c>
      <c r="I775">
        <v>23</v>
      </c>
      <c r="J775">
        <v>169.57</v>
      </c>
      <c r="K775" t="s">
        <v>256</v>
      </c>
      <c r="L775">
        <v>45.4</v>
      </c>
      <c r="M775">
        <v>2</v>
      </c>
      <c r="N775">
        <v>0</v>
      </c>
      <c r="O775">
        <v>23</v>
      </c>
      <c r="P775">
        <v>0</v>
      </c>
      <c r="Q775">
        <v>11.5</v>
      </c>
      <c r="R775">
        <v>5</v>
      </c>
      <c r="S775">
        <v>0</v>
      </c>
      <c r="T775">
        <v>0</v>
      </c>
      <c r="U775" s="8">
        <v>50.4</v>
      </c>
      <c r="V775" s="8">
        <f t="shared" si="12"/>
        <v>5</v>
      </c>
    </row>
    <row r="776" spans="1:22" x14ac:dyDescent="0.3">
      <c r="A776" t="s">
        <v>361</v>
      </c>
      <c r="B776">
        <v>2</v>
      </c>
      <c r="C776" t="s">
        <v>121</v>
      </c>
      <c r="D776" t="s">
        <v>108</v>
      </c>
      <c r="E776" t="s">
        <v>266</v>
      </c>
      <c r="F776" t="s">
        <v>91</v>
      </c>
      <c r="G776" t="s">
        <v>134</v>
      </c>
      <c r="H776">
        <v>7</v>
      </c>
      <c r="I776">
        <v>6</v>
      </c>
      <c r="J776">
        <v>116.67</v>
      </c>
      <c r="K776" t="s">
        <v>246</v>
      </c>
      <c r="L776">
        <v>6.5</v>
      </c>
      <c r="M776">
        <v>1</v>
      </c>
      <c r="N776">
        <v>0</v>
      </c>
      <c r="O776">
        <v>5</v>
      </c>
      <c r="P776">
        <v>0</v>
      </c>
      <c r="Q776">
        <v>5</v>
      </c>
      <c r="R776">
        <v>12</v>
      </c>
      <c r="S776">
        <v>0</v>
      </c>
      <c r="T776">
        <v>0</v>
      </c>
      <c r="U776" s="8">
        <v>18.5</v>
      </c>
      <c r="V776" s="8">
        <f t="shared" si="12"/>
        <v>2</v>
      </c>
    </row>
    <row r="777" spans="1:22" x14ac:dyDescent="0.3">
      <c r="A777" t="s">
        <v>361</v>
      </c>
      <c r="B777">
        <v>2</v>
      </c>
      <c r="C777" t="s">
        <v>347</v>
      </c>
      <c r="D777" t="s">
        <v>348</v>
      </c>
      <c r="E777" t="s">
        <v>266</v>
      </c>
      <c r="F777" t="s">
        <v>83</v>
      </c>
      <c r="G777" t="s">
        <v>134</v>
      </c>
      <c r="H777">
        <v>22</v>
      </c>
      <c r="I777">
        <v>14</v>
      </c>
      <c r="J777">
        <v>157.13999999999999</v>
      </c>
      <c r="K777" t="s">
        <v>96</v>
      </c>
      <c r="L777">
        <v>27.8</v>
      </c>
      <c r="M777">
        <v>1</v>
      </c>
      <c r="N777">
        <v>0</v>
      </c>
      <c r="O777">
        <v>12</v>
      </c>
      <c r="P777">
        <v>1</v>
      </c>
      <c r="Q777">
        <v>12</v>
      </c>
      <c r="R777">
        <v>0</v>
      </c>
      <c r="S777">
        <v>0</v>
      </c>
      <c r="T777">
        <v>0</v>
      </c>
      <c r="U777" s="8">
        <v>27.8</v>
      </c>
      <c r="V777" s="8">
        <f t="shared" si="12"/>
        <v>3</v>
      </c>
    </row>
    <row r="778" spans="1:22" x14ac:dyDescent="0.3">
      <c r="A778" t="s">
        <v>361</v>
      </c>
      <c r="B778">
        <v>2</v>
      </c>
      <c r="C778" t="s">
        <v>123</v>
      </c>
      <c r="D778" t="s">
        <v>98</v>
      </c>
      <c r="E778" t="s">
        <v>266</v>
      </c>
      <c r="F778" t="s">
        <v>91</v>
      </c>
      <c r="G778" t="s">
        <v>104</v>
      </c>
      <c r="H778">
        <v>0</v>
      </c>
      <c r="I778">
        <v>0</v>
      </c>
      <c r="J778">
        <v>0</v>
      </c>
      <c r="K778" t="s">
        <v>104</v>
      </c>
      <c r="L778">
        <v>0</v>
      </c>
      <c r="M778">
        <v>2</v>
      </c>
      <c r="N778">
        <v>0</v>
      </c>
      <c r="O778">
        <v>8</v>
      </c>
      <c r="P778">
        <v>1</v>
      </c>
      <c r="Q778">
        <v>4</v>
      </c>
      <c r="R778">
        <v>27</v>
      </c>
      <c r="S778">
        <v>0</v>
      </c>
      <c r="T778">
        <v>0</v>
      </c>
      <c r="U778" s="8">
        <v>27</v>
      </c>
      <c r="V778" s="8">
        <f t="shared" si="12"/>
        <v>3</v>
      </c>
    </row>
    <row r="779" spans="1:22" x14ac:dyDescent="0.3">
      <c r="A779" t="s">
        <v>361</v>
      </c>
      <c r="B779">
        <v>2</v>
      </c>
      <c r="C779" t="s">
        <v>125</v>
      </c>
      <c r="D779" t="s">
        <v>111</v>
      </c>
      <c r="E779" t="s">
        <v>266</v>
      </c>
      <c r="F779" t="s">
        <v>83</v>
      </c>
      <c r="G779" t="s">
        <v>104</v>
      </c>
      <c r="H779">
        <v>0</v>
      </c>
      <c r="I779">
        <v>0</v>
      </c>
      <c r="J779">
        <v>0</v>
      </c>
      <c r="K779" t="s">
        <v>104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 s="8">
        <v>0</v>
      </c>
      <c r="V779" s="8">
        <f t="shared" si="12"/>
        <v>0</v>
      </c>
    </row>
    <row r="780" spans="1:22" x14ac:dyDescent="0.3">
      <c r="A780" t="s">
        <v>361</v>
      </c>
      <c r="B780">
        <v>2</v>
      </c>
      <c r="C780" t="s">
        <v>265</v>
      </c>
      <c r="D780" t="s">
        <v>264</v>
      </c>
      <c r="E780" t="s">
        <v>266</v>
      </c>
      <c r="F780" t="s">
        <v>101</v>
      </c>
      <c r="G780" t="s">
        <v>104</v>
      </c>
      <c r="H780">
        <v>0</v>
      </c>
      <c r="I780">
        <v>0</v>
      </c>
      <c r="J780">
        <v>0</v>
      </c>
      <c r="K780" t="s">
        <v>104</v>
      </c>
      <c r="L780">
        <v>0</v>
      </c>
      <c r="M780">
        <v>4</v>
      </c>
      <c r="N780">
        <v>0</v>
      </c>
      <c r="O780">
        <v>6</v>
      </c>
      <c r="P780">
        <v>1</v>
      </c>
      <c r="Q780">
        <v>1.5</v>
      </c>
      <c r="R780">
        <v>55</v>
      </c>
      <c r="S780">
        <v>0</v>
      </c>
      <c r="T780">
        <v>0</v>
      </c>
      <c r="U780" s="8">
        <v>55</v>
      </c>
      <c r="V780" s="8">
        <f t="shared" si="12"/>
        <v>6</v>
      </c>
    </row>
    <row r="781" spans="1:22" x14ac:dyDescent="0.3">
      <c r="A781" t="s">
        <v>361</v>
      </c>
      <c r="B781">
        <v>2</v>
      </c>
      <c r="C781" t="s">
        <v>131</v>
      </c>
      <c r="D781" t="s">
        <v>106</v>
      </c>
      <c r="E781" t="s">
        <v>266</v>
      </c>
      <c r="F781" t="s">
        <v>101</v>
      </c>
      <c r="G781" t="s">
        <v>104</v>
      </c>
      <c r="H781">
        <v>0</v>
      </c>
      <c r="I781">
        <v>0</v>
      </c>
      <c r="J781">
        <v>0</v>
      </c>
      <c r="K781" t="s">
        <v>104</v>
      </c>
      <c r="L781">
        <v>0</v>
      </c>
      <c r="M781">
        <v>4</v>
      </c>
      <c r="N781">
        <v>0</v>
      </c>
      <c r="O781">
        <v>27</v>
      </c>
      <c r="P781">
        <v>3</v>
      </c>
      <c r="Q781">
        <v>6.8</v>
      </c>
      <c r="R781">
        <v>65</v>
      </c>
      <c r="S781">
        <v>0</v>
      </c>
      <c r="T781">
        <v>0</v>
      </c>
      <c r="U781" s="8">
        <v>65</v>
      </c>
      <c r="V781" s="8">
        <f t="shared" si="12"/>
        <v>7</v>
      </c>
    </row>
    <row r="782" spans="1:22" x14ac:dyDescent="0.3">
      <c r="A782" t="s">
        <v>361</v>
      </c>
      <c r="B782">
        <v>2</v>
      </c>
      <c r="C782" t="s">
        <v>217</v>
      </c>
      <c r="D782" t="s">
        <v>218</v>
      </c>
      <c r="E782" t="s">
        <v>219</v>
      </c>
      <c r="F782" t="s">
        <v>85</v>
      </c>
      <c r="G782" t="s">
        <v>86</v>
      </c>
      <c r="H782">
        <v>3</v>
      </c>
      <c r="I782">
        <v>9</v>
      </c>
      <c r="J782">
        <v>33.33</v>
      </c>
      <c r="K782" t="s">
        <v>245</v>
      </c>
      <c r="L782">
        <v>-1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 s="8">
        <v>-1</v>
      </c>
      <c r="V782" s="8">
        <f t="shared" si="12"/>
        <v>0</v>
      </c>
    </row>
    <row r="783" spans="1:22" x14ac:dyDescent="0.3">
      <c r="A783" t="s">
        <v>361</v>
      </c>
      <c r="B783">
        <v>2</v>
      </c>
      <c r="C783" t="s">
        <v>229</v>
      </c>
      <c r="D783" t="s">
        <v>230</v>
      </c>
      <c r="E783" t="s">
        <v>219</v>
      </c>
      <c r="F783" t="s">
        <v>109</v>
      </c>
      <c r="G783" t="s">
        <v>86</v>
      </c>
      <c r="H783">
        <v>7</v>
      </c>
      <c r="I783">
        <v>8</v>
      </c>
      <c r="J783">
        <v>87.5</v>
      </c>
      <c r="K783" t="s">
        <v>245</v>
      </c>
      <c r="L783">
        <v>2.9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 s="8">
        <v>2.9</v>
      </c>
      <c r="V783" s="8">
        <f t="shared" si="12"/>
        <v>0</v>
      </c>
    </row>
    <row r="784" spans="1:22" x14ac:dyDescent="0.3">
      <c r="A784" t="s">
        <v>361</v>
      </c>
      <c r="B784">
        <v>2</v>
      </c>
      <c r="C784" t="s">
        <v>403</v>
      </c>
      <c r="D784" t="s">
        <v>414</v>
      </c>
      <c r="E784" t="s">
        <v>219</v>
      </c>
      <c r="F784" t="s">
        <v>83</v>
      </c>
      <c r="G784" t="s">
        <v>92</v>
      </c>
      <c r="H784">
        <v>3</v>
      </c>
      <c r="I784">
        <v>5</v>
      </c>
      <c r="J784">
        <v>60</v>
      </c>
      <c r="K784" t="s">
        <v>246</v>
      </c>
      <c r="L784">
        <v>-0.5</v>
      </c>
      <c r="M784">
        <v>4</v>
      </c>
      <c r="N784">
        <v>0</v>
      </c>
      <c r="O784">
        <v>27</v>
      </c>
      <c r="P784">
        <v>2</v>
      </c>
      <c r="Q784">
        <v>6.8</v>
      </c>
      <c r="R784">
        <v>42</v>
      </c>
      <c r="S784">
        <v>0</v>
      </c>
      <c r="T784">
        <v>0</v>
      </c>
      <c r="U784" s="8">
        <v>41.5</v>
      </c>
      <c r="V784" s="8">
        <f t="shared" si="12"/>
        <v>4</v>
      </c>
    </row>
    <row r="785" spans="1:22" x14ac:dyDescent="0.3">
      <c r="A785" t="s">
        <v>361</v>
      </c>
      <c r="B785">
        <v>2</v>
      </c>
      <c r="C785" t="s">
        <v>226</v>
      </c>
      <c r="D785" t="s">
        <v>211</v>
      </c>
      <c r="E785" t="s">
        <v>219</v>
      </c>
      <c r="F785" t="s">
        <v>83</v>
      </c>
      <c r="G785" t="s">
        <v>92</v>
      </c>
      <c r="H785">
        <v>15</v>
      </c>
      <c r="I785">
        <v>23</v>
      </c>
      <c r="J785">
        <v>65.22</v>
      </c>
      <c r="K785" t="s">
        <v>245</v>
      </c>
      <c r="L785">
        <v>4.5</v>
      </c>
      <c r="M785">
        <v>3</v>
      </c>
      <c r="N785">
        <v>0</v>
      </c>
      <c r="O785">
        <v>18</v>
      </c>
      <c r="P785">
        <v>0</v>
      </c>
      <c r="Q785">
        <v>6</v>
      </c>
      <c r="R785">
        <v>10</v>
      </c>
      <c r="S785">
        <v>0</v>
      </c>
      <c r="T785">
        <v>0</v>
      </c>
      <c r="U785" s="8">
        <v>14.5</v>
      </c>
      <c r="V785" s="8">
        <f t="shared" si="12"/>
        <v>1</v>
      </c>
    </row>
    <row r="786" spans="1:22" x14ac:dyDescent="0.3">
      <c r="A786" t="s">
        <v>361</v>
      </c>
      <c r="B786">
        <v>2</v>
      </c>
      <c r="C786" t="s">
        <v>224</v>
      </c>
      <c r="D786" t="s">
        <v>225</v>
      </c>
      <c r="E786" t="s">
        <v>219</v>
      </c>
      <c r="F786" t="s">
        <v>169</v>
      </c>
      <c r="G786" t="s">
        <v>134</v>
      </c>
      <c r="H786">
        <v>53</v>
      </c>
      <c r="I786">
        <v>36</v>
      </c>
      <c r="J786">
        <v>147.22</v>
      </c>
      <c r="K786" t="s">
        <v>96</v>
      </c>
      <c r="L786">
        <v>54.8</v>
      </c>
      <c r="M786">
        <v>4</v>
      </c>
      <c r="N786">
        <v>0</v>
      </c>
      <c r="O786">
        <v>31</v>
      </c>
      <c r="P786">
        <v>1</v>
      </c>
      <c r="Q786">
        <v>7.8</v>
      </c>
      <c r="R786">
        <v>18</v>
      </c>
      <c r="S786">
        <v>0</v>
      </c>
      <c r="T786">
        <v>0</v>
      </c>
      <c r="U786" s="8">
        <v>72.8</v>
      </c>
      <c r="V786" s="8">
        <f t="shared" si="12"/>
        <v>7</v>
      </c>
    </row>
    <row r="787" spans="1:22" x14ac:dyDescent="0.3">
      <c r="A787" t="s">
        <v>361</v>
      </c>
      <c r="B787">
        <v>2</v>
      </c>
      <c r="C787" t="s">
        <v>220</v>
      </c>
      <c r="D787" t="s">
        <v>221</v>
      </c>
      <c r="E787" t="s">
        <v>219</v>
      </c>
      <c r="F787" t="s">
        <v>83</v>
      </c>
      <c r="G787" t="s">
        <v>134</v>
      </c>
      <c r="H787">
        <v>17</v>
      </c>
      <c r="I787">
        <v>15</v>
      </c>
      <c r="J787">
        <v>113.33</v>
      </c>
      <c r="K787" t="s">
        <v>246</v>
      </c>
      <c r="L787">
        <v>15.7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 s="8">
        <v>15.7</v>
      </c>
      <c r="V787" s="8">
        <f t="shared" si="12"/>
        <v>2</v>
      </c>
    </row>
    <row r="788" spans="1:22" x14ac:dyDescent="0.3">
      <c r="A788" t="s">
        <v>361</v>
      </c>
      <c r="B788">
        <v>2</v>
      </c>
      <c r="C788" t="s">
        <v>273</v>
      </c>
      <c r="D788" t="s">
        <v>279</v>
      </c>
      <c r="E788" t="s">
        <v>219</v>
      </c>
      <c r="F788" t="s">
        <v>91</v>
      </c>
      <c r="G788" t="s">
        <v>134</v>
      </c>
      <c r="H788">
        <v>7</v>
      </c>
      <c r="I788">
        <v>10</v>
      </c>
      <c r="J788">
        <v>70</v>
      </c>
      <c r="K788" t="s">
        <v>245</v>
      </c>
      <c r="L788">
        <v>2.4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 s="8">
        <v>2.4</v>
      </c>
      <c r="V788" s="8">
        <f t="shared" si="12"/>
        <v>0</v>
      </c>
    </row>
    <row r="789" spans="1:22" x14ac:dyDescent="0.3">
      <c r="A789" t="s">
        <v>361</v>
      </c>
      <c r="B789">
        <v>2</v>
      </c>
      <c r="C789" t="s">
        <v>233</v>
      </c>
      <c r="D789" t="s">
        <v>234</v>
      </c>
      <c r="E789" t="s">
        <v>219</v>
      </c>
      <c r="F789" t="s">
        <v>101</v>
      </c>
      <c r="G789" t="s">
        <v>134</v>
      </c>
      <c r="H789">
        <v>0</v>
      </c>
      <c r="I789">
        <v>1</v>
      </c>
      <c r="J789">
        <v>0</v>
      </c>
      <c r="K789" t="s">
        <v>246</v>
      </c>
      <c r="L789">
        <v>-5</v>
      </c>
      <c r="M789">
        <v>4</v>
      </c>
      <c r="N789">
        <v>0</v>
      </c>
      <c r="O789">
        <v>30</v>
      </c>
      <c r="P789">
        <v>0</v>
      </c>
      <c r="Q789">
        <v>7.5</v>
      </c>
      <c r="R789">
        <v>5</v>
      </c>
      <c r="S789">
        <v>0</v>
      </c>
      <c r="T789">
        <v>0</v>
      </c>
      <c r="U789" s="8">
        <v>0</v>
      </c>
      <c r="V789" s="8">
        <f t="shared" si="12"/>
        <v>0</v>
      </c>
    </row>
    <row r="790" spans="1:22" x14ac:dyDescent="0.3">
      <c r="A790" t="s">
        <v>361</v>
      </c>
      <c r="B790">
        <v>2</v>
      </c>
      <c r="C790" t="s">
        <v>442</v>
      </c>
      <c r="D790" t="s">
        <v>443</v>
      </c>
      <c r="E790" t="s">
        <v>219</v>
      </c>
      <c r="F790" t="s">
        <v>85</v>
      </c>
      <c r="G790" t="s">
        <v>134</v>
      </c>
      <c r="H790">
        <v>8</v>
      </c>
      <c r="I790">
        <v>10</v>
      </c>
      <c r="J790">
        <v>80</v>
      </c>
      <c r="K790" t="s">
        <v>246</v>
      </c>
      <c r="L790">
        <v>6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 s="8">
        <v>6</v>
      </c>
      <c r="V790" s="8">
        <f t="shared" si="12"/>
        <v>1</v>
      </c>
    </row>
    <row r="791" spans="1:22" x14ac:dyDescent="0.3">
      <c r="A791" t="s">
        <v>361</v>
      </c>
      <c r="B791">
        <v>2</v>
      </c>
      <c r="C791" t="s">
        <v>377</v>
      </c>
      <c r="D791" t="s">
        <v>378</v>
      </c>
      <c r="E791" t="s">
        <v>219</v>
      </c>
      <c r="F791" t="s">
        <v>91</v>
      </c>
      <c r="G791" t="s">
        <v>134</v>
      </c>
      <c r="H791">
        <v>0</v>
      </c>
      <c r="I791">
        <v>1</v>
      </c>
      <c r="J791">
        <v>0</v>
      </c>
      <c r="K791" t="s">
        <v>246</v>
      </c>
      <c r="L791">
        <v>-5</v>
      </c>
      <c r="M791">
        <v>2</v>
      </c>
      <c r="N791">
        <v>0</v>
      </c>
      <c r="O791">
        <v>19</v>
      </c>
      <c r="P791">
        <v>1</v>
      </c>
      <c r="Q791">
        <v>9.5</v>
      </c>
      <c r="R791">
        <v>18</v>
      </c>
      <c r="S791">
        <v>0</v>
      </c>
      <c r="T791">
        <v>0</v>
      </c>
      <c r="U791" s="8">
        <v>13</v>
      </c>
      <c r="V791" s="8">
        <f t="shared" si="12"/>
        <v>1</v>
      </c>
    </row>
    <row r="792" spans="1:22" x14ac:dyDescent="0.3">
      <c r="A792" t="s">
        <v>361</v>
      </c>
      <c r="B792">
        <v>2</v>
      </c>
      <c r="C792" t="s">
        <v>237</v>
      </c>
      <c r="D792" t="s">
        <v>238</v>
      </c>
      <c r="E792" t="s">
        <v>219</v>
      </c>
      <c r="F792" t="s">
        <v>101</v>
      </c>
      <c r="G792" t="s">
        <v>134</v>
      </c>
      <c r="H792">
        <v>1</v>
      </c>
      <c r="I792">
        <v>2</v>
      </c>
      <c r="J792">
        <v>50</v>
      </c>
      <c r="K792" t="s">
        <v>96</v>
      </c>
      <c r="L792">
        <v>2</v>
      </c>
      <c r="M792">
        <v>3</v>
      </c>
      <c r="N792">
        <v>0</v>
      </c>
      <c r="O792">
        <v>34</v>
      </c>
      <c r="P792">
        <v>1</v>
      </c>
      <c r="Q792">
        <v>11.3</v>
      </c>
      <c r="R792">
        <v>18</v>
      </c>
      <c r="S792">
        <v>0</v>
      </c>
      <c r="T792">
        <v>0</v>
      </c>
      <c r="U792" s="8">
        <v>20</v>
      </c>
      <c r="V792" s="8">
        <f t="shared" si="12"/>
        <v>2</v>
      </c>
    </row>
    <row r="793" spans="1:22" x14ac:dyDescent="0.3">
      <c r="A793" t="s">
        <v>362</v>
      </c>
      <c r="B793">
        <v>2</v>
      </c>
      <c r="C793" t="s">
        <v>217</v>
      </c>
      <c r="D793" t="s">
        <v>218</v>
      </c>
      <c r="E793" t="s">
        <v>219</v>
      </c>
      <c r="F793" t="s">
        <v>85</v>
      </c>
      <c r="G793" t="s">
        <v>86</v>
      </c>
      <c r="H793">
        <v>29</v>
      </c>
      <c r="I793">
        <v>30</v>
      </c>
      <c r="J793">
        <v>96.67</v>
      </c>
      <c r="K793" t="s">
        <v>246</v>
      </c>
      <c r="L793">
        <v>20.8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20.8</v>
      </c>
      <c r="V793" s="8">
        <f t="shared" si="12"/>
        <v>2</v>
      </c>
    </row>
    <row r="794" spans="1:22" x14ac:dyDescent="0.3">
      <c r="A794" t="s">
        <v>362</v>
      </c>
      <c r="B794">
        <v>2</v>
      </c>
      <c r="C794" t="s">
        <v>229</v>
      </c>
      <c r="D794" t="s">
        <v>230</v>
      </c>
      <c r="E794" t="s">
        <v>219</v>
      </c>
      <c r="F794" t="s">
        <v>109</v>
      </c>
      <c r="G794" t="s">
        <v>86</v>
      </c>
      <c r="H794">
        <v>5</v>
      </c>
      <c r="I794">
        <v>5</v>
      </c>
      <c r="J794">
        <v>100</v>
      </c>
      <c r="K794" t="s">
        <v>245</v>
      </c>
      <c r="L794">
        <v>7.5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7.5</v>
      </c>
      <c r="V794" s="8">
        <f t="shared" si="12"/>
        <v>1</v>
      </c>
    </row>
    <row r="795" spans="1:22" x14ac:dyDescent="0.3">
      <c r="A795" t="s">
        <v>362</v>
      </c>
      <c r="B795">
        <v>2</v>
      </c>
      <c r="C795" t="s">
        <v>224</v>
      </c>
      <c r="D795" t="s">
        <v>225</v>
      </c>
      <c r="E795" t="s">
        <v>219</v>
      </c>
      <c r="F795" t="s">
        <v>169</v>
      </c>
      <c r="G795" t="s">
        <v>92</v>
      </c>
      <c r="H795">
        <v>59</v>
      </c>
      <c r="I795">
        <v>48</v>
      </c>
      <c r="J795">
        <v>122.92</v>
      </c>
      <c r="K795" t="s">
        <v>246</v>
      </c>
      <c r="L795">
        <v>66.2</v>
      </c>
      <c r="M795">
        <v>4</v>
      </c>
      <c r="N795">
        <v>0</v>
      </c>
      <c r="O795">
        <v>19</v>
      </c>
      <c r="P795">
        <v>4</v>
      </c>
      <c r="Q795">
        <v>4.8</v>
      </c>
      <c r="R795">
        <v>110</v>
      </c>
      <c r="S795">
        <v>0</v>
      </c>
      <c r="T795">
        <v>0</v>
      </c>
      <c r="U795">
        <v>176.2</v>
      </c>
      <c r="V795" s="8">
        <f t="shared" si="12"/>
        <v>10</v>
      </c>
    </row>
    <row r="796" spans="1:22" x14ac:dyDescent="0.3">
      <c r="A796" t="s">
        <v>362</v>
      </c>
      <c r="B796">
        <v>2</v>
      </c>
      <c r="C796" t="s">
        <v>222</v>
      </c>
      <c r="D796" t="s">
        <v>223</v>
      </c>
      <c r="E796" t="s">
        <v>219</v>
      </c>
      <c r="F796" t="s">
        <v>169</v>
      </c>
      <c r="G796" t="s">
        <v>92</v>
      </c>
      <c r="H796">
        <v>3</v>
      </c>
      <c r="I796">
        <v>4</v>
      </c>
      <c r="J796">
        <v>75</v>
      </c>
      <c r="K796" t="s">
        <v>245</v>
      </c>
      <c r="L796">
        <v>3.4</v>
      </c>
      <c r="M796">
        <v>2</v>
      </c>
      <c r="N796">
        <v>0</v>
      </c>
      <c r="O796">
        <v>19</v>
      </c>
      <c r="P796">
        <v>0</v>
      </c>
      <c r="Q796">
        <v>9.5</v>
      </c>
      <c r="R796">
        <v>0</v>
      </c>
      <c r="S796">
        <v>0</v>
      </c>
      <c r="T796">
        <v>0</v>
      </c>
      <c r="U796">
        <v>3.4</v>
      </c>
      <c r="V796" s="8">
        <f t="shared" si="12"/>
        <v>0</v>
      </c>
    </row>
    <row r="797" spans="1:22" x14ac:dyDescent="0.3">
      <c r="A797" t="s">
        <v>362</v>
      </c>
      <c r="B797">
        <v>2</v>
      </c>
      <c r="C797" t="s">
        <v>226</v>
      </c>
      <c r="D797" t="s">
        <v>211</v>
      </c>
      <c r="E797" t="s">
        <v>219</v>
      </c>
      <c r="F797" t="s">
        <v>169</v>
      </c>
      <c r="G797" t="s">
        <v>134</v>
      </c>
      <c r="H797">
        <v>14</v>
      </c>
      <c r="I797">
        <v>12</v>
      </c>
      <c r="J797">
        <v>116.67</v>
      </c>
      <c r="K797" t="s">
        <v>246</v>
      </c>
      <c r="L797">
        <v>16.5</v>
      </c>
      <c r="M797">
        <v>0.5</v>
      </c>
      <c r="N797">
        <v>0</v>
      </c>
      <c r="O797">
        <v>8</v>
      </c>
      <c r="P797">
        <v>2</v>
      </c>
      <c r="Q797">
        <v>9.6</v>
      </c>
      <c r="R797">
        <v>60</v>
      </c>
      <c r="S797">
        <v>0</v>
      </c>
      <c r="T797">
        <v>0</v>
      </c>
      <c r="U797">
        <v>76.5</v>
      </c>
      <c r="V797" s="8">
        <f t="shared" si="12"/>
        <v>8</v>
      </c>
    </row>
    <row r="798" spans="1:22" x14ac:dyDescent="0.3">
      <c r="A798" t="s">
        <v>362</v>
      </c>
      <c r="B798">
        <v>2</v>
      </c>
      <c r="C798" t="s">
        <v>220</v>
      </c>
      <c r="D798" t="s">
        <v>221</v>
      </c>
      <c r="E798" t="s">
        <v>219</v>
      </c>
      <c r="F798" t="s">
        <v>109</v>
      </c>
      <c r="G798" t="s">
        <v>134</v>
      </c>
      <c r="H798">
        <v>4</v>
      </c>
      <c r="I798">
        <v>3</v>
      </c>
      <c r="J798">
        <v>133.33000000000001</v>
      </c>
      <c r="K798" t="s">
        <v>245</v>
      </c>
      <c r="L798">
        <v>5.6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5.6</v>
      </c>
      <c r="V798" s="8">
        <f t="shared" si="12"/>
        <v>1</v>
      </c>
    </row>
    <row r="799" spans="1:22" x14ac:dyDescent="0.3">
      <c r="A799" t="s">
        <v>362</v>
      </c>
      <c r="B799">
        <v>2</v>
      </c>
      <c r="C799" t="s">
        <v>273</v>
      </c>
      <c r="D799" t="s">
        <v>279</v>
      </c>
      <c r="E799" t="s">
        <v>219</v>
      </c>
      <c r="F799" t="s">
        <v>169</v>
      </c>
      <c r="G799" t="s">
        <v>134</v>
      </c>
      <c r="H799">
        <v>1</v>
      </c>
      <c r="I799">
        <v>4</v>
      </c>
      <c r="J799">
        <v>25</v>
      </c>
      <c r="K799" t="s">
        <v>246</v>
      </c>
      <c r="L799">
        <v>-5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 s="8">
        <f t="shared" si="12"/>
        <v>0</v>
      </c>
    </row>
    <row r="800" spans="1:22" x14ac:dyDescent="0.3">
      <c r="A800" t="s">
        <v>362</v>
      </c>
      <c r="B800">
        <v>2</v>
      </c>
      <c r="C800" t="s">
        <v>233</v>
      </c>
      <c r="D800" t="s">
        <v>234</v>
      </c>
      <c r="E800" t="s">
        <v>219</v>
      </c>
      <c r="F800" t="s">
        <v>101</v>
      </c>
      <c r="G800" t="s">
        <v>134</v>
      </c>
      <c r="H800">
        <v>8</v>
      </c>
      <c r="I800">
        <v>7</v>
      </c>
      <c r="J800">
        <v>114.29</v>
      </c>
      <c r="K800" t="s">
        <v>248</v>
      </c>
      <c r="L800">
        <v>9.6</v>
      </c>
      <c r="M800">
        <v>4</v>
      </c>
      <c r="N800">
        <v>0</v>
      </c>
      <c r="O800">
        <v>15</v>
      </c>
      <c r="P800">
        <v>1</v>
      </c>
      <c r="Q800">
        <v>3.8</v>
      </c>
      <c r="R800">
        <v>35</v>
      </c>
      <c r="S800">
        <v>0</v>
      </c>
      <c r="T800">
        <v>0</v>
      </c>
      <c r="U800">
        <v>44.6</v>
      </c>
      <c r="V800" s="8">
        <f t="shared" si="12"/>
        <v>4</v>
      </c>
    </row>
    <row r="801" spans="1:22" x14ac:dyDescent="0.3">
      <c r="A801" t="s">
        <v>362</v>
      </c>
      <c r="B801">
        <v>2</v>
      </c>
      <c r="C801" t="s">
        <v>377</v>
      </c>
      <c r="D801" t="s">
        <v>378</v>
      </c>
      <c r="E801" t="s">
        <v>219</v>
      </c>
      <c r="F801" t="s">
        <v>169</v>
      </c>
      <c r="G801" t="s">
        <v>134</v>
      </c>
      <c r="H801">
        <v>5</v>
      </c>
      <c r="I801">
        <v>7</v>
      </c>
      <c r="J801">
        <v>71.430000000000007</v>
      </c>
      <c r="K801" t="s">
        <v>96</v>
      </c>
      <c r="L801">
        <v>6.3</v>
      </c>
      <c r="M801">
        <v>4</v>
      </c>
      <c r="N801">
        <v>0</v>
      </c>
      <c r="O801">
        <v>30</v>
      </c>
      <c r="P801">
        <v>2</v>
      </c>
      <c r="Q801">
        <v>7.5</v>
      </c>
      <c r="R801">
        <v>50</v>
      </c>
      <c r="S801">
        <v>0</v>
      </c>
      <c r="T801">
        <v>0</v>
      </c>
      <c r="U801">
        <v>56.3</v>
      </c>
      <c r="V801" s="8">
        <f t="shared" si="12"/>
        <v>6</v>
      </c>
    </row>
    <row r="802" spans="1:22" x14ac:dyDescent="0.3">
      <c r="A802" t="s">
        <v>362</v>
      </c>
      <c r="B802">
        <v>2</v>
      </c>
      <c r="C802" t="s">
        <v>394</v>
      </c>
      <c r="D802" t="s">
        <v>395</v>
      </c>
      <c r="E802" t="s">
        <v>219</v>
      </c>
      <c r="F802" t="s">
        <v>101</v>
      </c>
      <c r="G802" t="s">
        <v>134</v>
      </c>
      <c r="H802">
        <v>1</v>
      </c>
      <c r="I802">
        <v>1</v>
      </c>
      <c r="J802">
        <v>100</v>
      </c>
      <c r="K802" t="s">
        <v>96</v>
      </c>
      <c r="L802">
        <v>5</v>
      </c>
      <c r="M802">
        <v>3</v>
      </c>
      <c r="N802">
        <v>0</v>
      </c>
      <c r="O802">
        <v>29</v>
      </c>
      <c r="P802">
        <v>0</v>
      </c>
      <c r="Q802">
        <v>9.6999999999999993</v>
      </c>
      <c r="R802">
        <v>0</v>
      </c>
      <c r="S802">
        <v>0</v>
      </c>
      <c r="T802">
        <v>0</v>
      </c>
      <c r="U802">
        <v>5</v>
      </c>
      <c r="V802" s="8">
        <f t="shared" si="12"/>
        <v>1</v>
      </c>
    </row>
    <row r="803" spans="1:22" x14ac:dyDescent="0.3">
      <c r="A803" t="s">
        <v>362</v>
      </c>
      <c r="B803">
        <v>2</v>
      </c>
      <c r="C803" t="s">
        <v>237</v>
      </c>
      <c r="D803" t="s">
        <v>238</v>
      </c>
      <c r="E803" t="s">
        <v>219</v>
      </c>
      <c r="F803" t="s">
        <v>101</v>
      </c>
      <c r="G803" t="s">
        <v>104</v>
      </c>
      <c r="H803">
        <v>0</v>
      </c>
      <c r="I803">
        <v>0</v>
      </c>
      <c r="J803">
        <v>0</v>
      </c>
      <c r="K803" t="s">
        <v>104</v>
      </c>
      <c r="L803">
        <v>0</v>
      </c>
      <c r="M803">
        <v>2</v>
      </c>
      <c r="N803">
        <v>0</v>
      </c>
      <c r="O803">
        <v>17</v>
      </c>
      <c r="P803">
        <v>0</v>
      </c>
      <c r="Q803">
        <v>8.5</v>
      </c>
      <c r="R803">
        <v>0</v>
      </c>
      <c r="S803">
        <v>0</v>
      </c>
      <c r="T803">
        <v>0</v>
      </c>
      <c r="U803">
        <v>0</v>
      </c>
      <c r="V803" s="8">
        <f t="shared" si="12"/>
        <v>0</v>
      </c>
    </row>
    <row r="804" spans="1:22" x14ac:dyDescent="0.3">
      <c r="A804" t="s">
        <v>362</v>
      </c>
      <c r="B804">
        <v>2</v>
      </c>
      <c r="C804" t="s">
        <v>190</v>
      </c>
      <c r="D804" t="s">
        <v>191</v>
      </c>
      <c r="E804" t="s">
        <v>158</v>
      </c>
      <c r="F804" t="s">
        <v>109</v>
      </c>
      <c r="G804" t="s">
        <v>86</v>
      </c>
      <c r="H804">
        <v>60</v>
      </c>
      <c r="I804">
        <v>46</v>
      </c>
      <c r="J804">
        <v>130.43</v>
      </c>
      <c r="K804" t="s">
        <v>247</v>
      </c>
      <c r="L804">
        <v>64.7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64.7</v>
      </c>
      <c r="V804" s="8">
        <f t="shared" si="12"/>
        <v>6</v>
      </c>
    </row>
    <row r="805" spans="1:22" x14ac:dyDescent="0.3">
      <c r="A805" t="s">
        <v>362</v>
      </c>
      <c r="B805">
        <v>2</v>
      </c>
      <c r="C805" t="s">
        <v>188</v>
      </c>
      <c r="D805" t="s">
        <v>189</v>
      </c>
      <c r="E805" t="s">
        <v>158</v>
      </c>
      <c r="F805" t="s">
        <v>109</v>
      </c>
      <c r="G805" t="s">
        <v>86</v>
      </c>
      <c r="H805">
        <v>15</v>
      </c>
      <c r="I805">
        <v>12</v>
      </c>
      <c r="J805">
        <v>125</v>
      </c>
      <c r="K805" t="s">
        <v>245</v>
      </c>
      <c r="L805">
        <v>16.5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16.5</v>
      </c>
      <c r="V805" s="8">
        <f t="shared" si="12"/>
        <v>2</v>
      </c>
    </row>
    <row r="806" spans="1:22" x14ac:dyDescent="0.3">
      <c r="A806" t="s">
        <v>362</v>
      </c>
      <c r="B806">
        <v>2</v>
      </c>
      <c r="C806" t="s">
        <v>196</v>
      </c>
      <c r="D806" t="s">
        <v>197</v>
      </c>
      <c r="E806" t="s">
        <v>158</v>
      </c>
      <c r="F806" t="s">
        <v>109</v>
      </c>
      <c r="G806" t="s">
        <v>92</v>
      </c>
      <c r="H806">
        <v>15</v>
      </c>
      <c r="I806">
        <v>23</v>
      </c>
      <c r="J806">
        <v>65.22</v>
      </c>
      <c r="K806" t="s">
        <v>246</v>
      </c>
      <c r="L806">
        <v>4.5</v>
      </c>
      <c r="M806">
        <v>1</v>
      </c>
      <c r="N806">
        <v>0</v>
      </c>
      <c r="O806">
        <v>5</v>
      </c>
      <c r="P806">
        <v>1</v>
      </c>
      <c r="Q806">
        <v>5</v>
      </c>
      <c r="R806">
        <v>35</v>
      </c>
      <c r="S806">
        <v>0</v>
      </c>
      <c r="T806">
        <v>0</v>
      </c>
      <c r="U806">
        <v>39.5</v>
      </c>
      <c r="V806" s="8">
        <f t="shared" si="12"/>
        <v>4</v>
      </c>
    </row>
    <row r="807" spans="1:22" x14ac:dyDescent="0.3">
      <c r="A807" t="s">
        <v>362</v>
      </c>
      <c r="B807">
        <v>2</v>
      </c>
      <c r="C807" t="s">
        <v>194</v>
      </c>
      <c r="D807" t="s">
        <v>195</v>
      </c>
      <c r="E807" t="s">
        <v>158</v>
      </c>
      <c r="F807" t="s">
        <v>109</v>
      </c>
      <c r="G807" t="s">
        <v>92</v>
      </c>
      <c r="H807">
        <v>17</v>
      </c>
      <c r="I807">
        <v>15</v>
      </c>
      <c r="J807">
        <v>113.33</v>
      </c>
      <c r="K807" t="s">
        <v>246</v>
      </c>
      <c r="L807">
        <v>18.100000000000001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18.100000000000001</v>
      </c>
      <c r="V807" s="8">
        <f t="shared" si="12"/>
        <v>2</v>
      </c>
    </row>
    <row r="808" spans="1:22" x14ac:dyDescent="0.3">
      <c r="A808" t="s">
        <v>362</v>
      </c>
      <c r="B808">
        <v>2</v>
      </c>
      <c r="C808" t="s">
        <v>94</v>
      </c>
      <c r="D808" t="s">
        <v>120</v>
      </c>
      <c r="E808" t="s">
        <v>158</v>
      </c>
      <c r="F808" t="s">
        <v>169</v>
      </c>
      <c r="G808" t="s">
        <v>134</v>
      </c>
      <c r="H808">
        <v>6</v>
      </c>
      <c r="I808">
        <v>9</v>
      </c>
      <c r="J808">
        <v>66.67</v>
      </c>
      <c r="K808" t="s">
        <v>245</v>
      </c>
      <c r="L808">
        <v>3</v>
      </c>
      <c r="M808">
        <v>2</v>
      </c>
      <c r="N808">
        <v>0</v>
      </c>
      <c r="O808">
        <v>12</v>
      </c>
      <c r="P808">
        <v>0</v>
      </c>
      <c r="Q808">
        <v>6</v>
      </c>
      <c r="R808">
        <v>10</v>
      </c>
      <c r="S808">
        <v>0</v>
      </c>
      <c r="T808">
        <v>0</v>
      </c>
      <c r="U808">
        <v>13</v>
      </c>
      <c r="V808" s="8">
        <f t="shared" si="12"/>
        <v>1</v>
      </c>
    </row>
    <row r="809" spans="1:22" x14ac:dyDescent="0.3">
      <c r="A809" t="s">
        <v>362</v>
      </c>
      <c r="B809">
        <v>2</v>
      </c>
      <c r="C809" t="s">
        <v>198</v>
      </c>
      <c r="D809" t="s">
        <v>199</v>
      </c>
      <c r="E809" t="s">
        <v>158</v>
      </c>
      <c r="F809" t="s">
        <v>101</v>
      </c>
      <c r="G809" t="s">
        <v>134</v>
      </c>
      <c r="H809">
        <v>11</v>
      </c>
      <c r="I809">
        <v>5</v>
      </c>
      <c r="J809">
        <v>220</v>
      </c>
      <c r="K809" t="s">
        <v>256</v>
      </c>
      <c r="L809">
        <v>18</v>
      </c>
      <c r="M809">
        <v>4</v>
      </c>
      <c r="N809">
        <v>0</v>
      </c>
      <c r="O809">
        <v>31</v>
      </c>
      <c r="P809">
        <v>1</v>
      </c>
      <c r="Q809">
        <v>7.8</v>
      </c>
      <c r="R809">
        <v>25</v>
      </c>
      <c r="S809">
        <v>0</v>
      </c>
      <c r="T809">
        <v>0</v>
      </c>
      <c r="U809">
        <v>43</v>
      </c>
      <c r="V809" s="8">
        <f t="shared" si="12"/>
        <v>4</v>
      </c>
    </row>
    <row r="810" spans="1:22" x14ac:dyDescent="0.3">
      <c r="A810" t="s">
        <v>362</v>
      </c>
      <c r="B810">
        <v>2</v>
      </c>
      <c r="C810" t="s">
        <v>202</v>
      </c>
      <c r="D810" t="s">
        <v>203</v>
      </c>
      <c r="E810" t="s">
        <v>158</v>
      </c>
      <c r="F810" t="s">
        <v>101</v>
      </c>
      <c r="G810" t="s">
        <v>134</v>
      </c>
      <c r="H810">
        <v>0</v>
      </c>
      <c r="I810">
        <v>1</v>
      </c>
      <c r="J810">
        <v>0</v>
      </c>
      <c r="K810" t="s">
        <v>246</v>
      </c>
      <c r="L810">
        <v>-5</v>
      </c>
      <c r="M810">
        <v>3</v>
      </c>
      <c r="N810">
        <v>0</v>
      </c>
      <c r="O810">
        <v>15</v>
      </c>
      <c r="P810">
        <v>1</v>
      </c>
      <c r="Q810">
        <v>5</v>
      </c>
      <c r="R810">
        <v>35</v>
      </c>
      <c r="S810">
        <v>0</v>
      </c>
      <c r="T810">
        <v>0</v>
      </c>
      <c r="U810">
        <v>30</v>
      </c>
      <c r="V810" s="8">
        <f t="shared" si="12"/>
        <v>3</v>
      </c>
    </row>
    <row r="811" spans="1:22" x14ac:dyDescent="0.3">
      <c r="A811" t="s">
        <v>362</v>
      </c>
      <c r="B811">
        <v>2</v>
      </c>
      <c r="C811" t="s">
        <v>204</v>
      </c>
      <c r="D811" t="s">
        <v>205</v>
      </c>
      <c r="E811" t="s">
        <v>158</v>
      </c>
      <c r="F811" t="s">
        <v>101</v>
      </c>
      <c r="G811" t="s">
        <v>134</v>
      </c>
      <c r="H811">
        <v>4</v>
      </c>
      <c r="I811">
        <v>2</v>
      </c>
      <c r="J811">
        <v>200</v>
      </c>
      <c r="K811" t="s">
        <v>246</v>
      </c>
      <c r="L811">
        <v>8.6</v>
      </c>
      <c r="M811">
        <v>4</v>
      </c>
      <c r="N811">
        <v>0</v>
      </c>
      <c r="O811">
        <v>34</v>
      </c>
      <c r="P811">
        <v>1</v>
      </c>
      <c r="Q811">
        <v>8.5</v>
      </c>
      <c r="R811">
        <v>25</v>
      </c>
      <c r="S811">
        <v>0</v>
      </c>
      <c r="T811">
        <v>0</v>
      </c>
      <c r="U811">
        <v>33.6</v>
      </c>
      <c r="V811" s="8">
        <f t="shared" si="12"/>
        <v>3</v>
      </c>
    </row>
    <row r="812" spans="1:22" x14ac:dyDescent="0.3">
      <c r="A812" t="s">
        <v>362</v>
      </c>
      <c r="B812">
        <v>2</v>
      </c>
      <c r="C812" t="s">
        <v>206</v>
      </c>
      <c r="D812" t="s">
        <v>207</v>
      </c>
      <c r="E812" t="s">
        <v>158</v>
      </c>
      <c r="F812" t="s">
        <v>101</v>
      </c>
      <c r="G812" t="s">
        <v>134</v>
      </c>
      <c r="H812">
        <v>9</v>
      </c>
      <c r="I812">
        <v>4</v>
      </c>
      <c r="J812">
        <v>225</v>
      </c>
      <c r="K812" t="s">
        <v>245</v>
      </c>
      <c r="L812">
        <v>16.2</v>
      </c>
      <c r="M812">
        <v>3</v>
      </c>
      <c r="N812">
        <v>0</v>
      </c>
      <c r="O812">
        <v>16</v>
      </c>
      <c r="P812">
        <v>2</v>
      </c>
      <c r="Q812">
        <v>5.3</v>
      </c>
      <c r="R812">
        <v>60</v>
      </c>
      <c r="S812">
        <v>0</v>
      </c>
      <c r="T812">
        <v>0</v>
      </c>
      <c r="U812">
        <v>76.2</v>
      </c>
      <c r="V812" s="8">
        <f t="shared" si="12"/>
        <v>8</v>
      </c>
    </row>
    <row r="813" spans="1:22" x14ac:dyDescent="0.3">
      <c r="A813" t="s">
        <v>362</v>
      </c>
      <c r="B813">
        <v>2</v>
      </c>
      <c r="C813" t="s">
        <v>200</v>
      </c>
      <c r="D813" t="s">
        <v>201</v>
      </c>
      <c r="E813" t="s">
        <v>158</v>
      </c>
      <c r="F813" t="s">
        <v>85</v>
      </c>
      <c r="G813" t="s">
        <v>134</v>
      </c>
      <c r="H813">
        <v>0</v>
      </c>
      <c r="I813">
        <v>1</v>
      </c>
      <c r="J813">
        <v>0</v>
      </c>
      <c r="K813" t="s">
        <v>96</v>
      </c>
      <c r="L813">
        <v>5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5</v>
      </c>
      <c r="V813" s="8">
        <f t="shared" si="12"/>
        <v>1</v>
      </c>
    </row>
    <row r="814" spans="1:22" x14ac:dyDescent="0.3">
      <c r="A814" t="s">
        <v>362</v>
      </c>
      <c r="B814">
        <v>2</v>
      </c>
      <c r="C814" t="s">
        <v>413</v>
      </c>
      <c r="D814" t="s">
        <v>423</v>
      </c>
      <c r="E814" t="s">
        <v>158</v>
      </c>
      <c r="F814" t="s">
        <v>101</v>
      </c>
      <c r="G814" t="s">
        <v>134</v>
      </c>
      <c r="H814">
        <v>0</v>
      </c>
      <c r="I814">
        <v>1</v>
      </c>
      <c r="J814">
        <v>0</v>
      </c>
      <c r="K814" t="s">
        <v>246</v>
      </c>
      <c r="L814">
        <v>-5</v>
      </c>
      <c r="M814">
        <v>3</v>
      </c>
      <c r="N814">
        <v>0</v>
      </c>
      <c r="O814">
        <v>23</v>
      </c>
      <c r="P814">
        <v>1</v>
      </c>
      <c r="Q814">
        <v>7.7</v>
      </c>
      <c r="R814">
        <v>25</v>
      </c>
      <c r="S814">
        <v>0</v>
      </c>
      <c r="T814">
        <v>0</v>
      </c>
      <c r="U814">
        <v>20</v>
      </c>
      <c r="V814" s="8">
        <f t="shared" si="12"/>
        <v>2</v>
      </c>
    </row>
    <row r="815" spans="1:22" x14ac:dyDescent="0.3">
      <c r="A815" t="s">
        <v>363</v>
      </c>
      <c r="B815">
        <v>2</v>
      </c>
      <c r="C815" t="s">
        <v>278</v>
      </c>
      <c r="D815" t="s">
        <v>293</v>
      </c>
      <c r="E815" t="s">
        <v>258</v>
      </c>
      <c r="F815" t="s">
        <v>109</v>
      </c>
      <c r="G815" t="s">
        <v>86</v>
      </c>
      <c r="H815">
        <v>13</v>
      </c>
      <c r="I815">
        <v>14</v>
      </c>
      <c r="J815">
        <v>92.86</v>
      </c>
      <c r="K815" t="s">
        <v>246</v>
      </c>
      <c r="L815">
        <v>17.899999999999999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 s="8">
        <v>17.899999999999999</v>
      </c>
      <c r="V815" s="8">
        <f t="shared" si="12"/>
        <v>2</v>
      </c>
    </row>
    <row r="816" spans="1:22" x14ac:dyDescent="0.3">
      <c r="A816" t="s">
        <v>363</v>
      </c>
      <c r="B816">
        <v>2</v>
      </c>
      <c r="C816" t="s">
        <v>81</v>
      </c>
      <c r="D816" t="s">
        <v>114</v>
      </c>
      <c r="E816" t="s">
        <v>258</v>
      </c>
      <c r="F816" t="s">
        <v>85</v>
      </c>
      <c r="G816" t="s">
        <v>86</v>
      </c>
      <c r="H816">
        <v>66</v>
      </c>
      <c r="I816">
        <v>35</v>
      </c>
      <c r="J816">
        <v>188.57</v>
      </c>
      <c r="K816" t="s">
        <v>245</v>
      </c>
      <c r="L816">
        <v>77.400000000000006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 s="8">
        <v>77.400000000000006</v>
      </c>
      <c r="V816" s="8">
        <f t="shared" si="12"/>
        <v>8</v>
      </c>
    </row>
    <row r="817" spans="1:22" x14ac:dyDescent="0.3">
      <c r="A817" t="s">
        <v>363</v>
      </c>
      <c r="B817">
        <v>2</v>
      </c>
      <c r="C817" t="s">
        <v>97</v>
      </c>
      <c r="D817" t="s">
        <v>122</v>
      </c>
      <c r="E817" t="s">
        <v>258</v>
      </c>
      <c r="F817" t="s">
        <v>109</v>
      </c>
      <c r="G817" t="s">
        <v>92</v>
      </c>
      <c r="H817">
        <v>74</v>
      </c>
      <c r="I817">
        <v>40</v>
      </c>
      <c r="J817">
        <v>185</v>
      </c>
      <c r="K817" t="s">
        <v>246</v>
      </c>
      <c r="L817">
        <v>82.5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 s="8">
        <v>82.5</v>
      </c>
      <c r="V817" s="8">
        <f t="shared" si="12"/>
        <v>8</v>
      </c>
    </row>
    <row r="818" spans="1:22" x14ac:dyDescent="0.3">
      <c r="A818" t="s">
        <v>363</v>
      </c>
      <c r="B818">
        <v>2</v>
      </c>
      <c r="C818" t="s">
        <v>383</v>
      </c>
      <c r="D818" t="s">
        <v>384</v>
      </c>
      <c r="E818" t="s">
        <v>258</v>
      </c>
      <c r="F818" t="s">
        <v>109</v>
      </c>
      <c r="G818" t="s">
        <v>134</v>
      </c>
      <c r="H818">
        <v>3</v>
      </c>
      <c r="I818">
        <v>4</v>
      </c>
      <c r="J818">
        <v>75</v>
      </c>
      <c r="K818" t="s">
        <v>246</v>
      </c>
      <c r="L818">
        <v>2.4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 s="8">
        <v>2.4</v>
      </c>
      <c r="V818" s="8">
        <f t="shared" si="12"/>
        <v>0</v>
      </c>
    </row>
    <row r="819" spans="1:22" x14ac:dyDescent="0.3">
      <c r="A819" t="s">
        <v>363</v>
      </c>
      <c r="B819">
        <v>2</v>
      </c>
      <c r="C819" t="s">
        <v>93</v>
      </c>
      <c r="D819" t="s">
        <v>118</v>
      </c>
      <c r="E819" t="s">
        <v>258</v>
      </c>
      <c r="F819" t="s">
        <v>169</v>
      </c>
      <c r="G819" t="s">
        <v>134</v>
      </c>
      <c r="H819">
        <v>1</v>
      </c>
      <c r="I819">
        <v>3</v>
      </c>
      <c r="J819">
        <v>33.33</v>
      </c>
      <c r="K819" t="s">
        <v>245</v>
      </c>
      <c r="L819">
        <v>1.5</v>
      </c>
      <c r="M819">
        <v>3.5</v>
      </c>
      <c r="N819">
        <v>0</v>
      </c>
      <c r="O819">
        <v>22</v>
      </c>
      <c r="P819">
        <v>1</v>
      </c>
      <c r="Q819">
        <v>5.7</v>
      </c>
      <c r="R819">
        <v>15</v>
      </c>
      <c r="S819">
        <v>0</v>
      </c>
      <c r="T819">
        <v>0</v>
      </c>
      <c r="U819" s="8">
        <v>16.5</v>
      </c>
      <c r="V819" s="8">
        <f t="shared" si="12"/>
        <v>2</v>
      </c>
    </row>
    <row r="820" spans="1:22" x14ac:dyDescent="0.3">
      <c r="A820" t="s">
        <v>363</v>
      </c>
      <c r="B820">
        <v>2</v>
      </c>
      <c r="C820" t="s">
        <v>447</v>
      </c>
      <c r="D820" t="s">
        <v>448</v>
      </c>
      <c r="E820" t="s">
        <v>258</v>
      </c>
      <c r="F820" t="s">
        <v>101</v>
      </c>
      <c r="G820" t="s">
        <v>134</v>
      </c>
      <c r="H820">
        <v>21</v>
      </c>
      <c r="I820">
        <v>13</v>
      </c>
      <c r="J820">
        <v>161.54</v>
      </c>
      <c r="K820" t="s">
        <v>96</v>
      </c>
      <c r="L820">
        <v>43.3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 s="8">
        <v>43.3</v>
      </c>
      <c r="V820" s="8">
        <f t="shared" si="12"/>
        <v>4</v>
      </c>
    </row>
    <row r="821" spans="1:22" x14ac:dyDescent="0.3">
      <c r="A821" t="s">
        <v>363</v>
      </c>
      <c r="B821">
        <v>2</v>
      </c>
      <c r="C821" t="s">
        <v>385</v>
      </c>
      <c r="D821" t="s">
        <v>386</v>
      </c>
      <c r="E821" t="s">
        <v>258</v>
      </c>
      <c r="F821" t="s">
        <v>169</v>
      </c>
      <c r="G821" t="s">
        <v>134</v>
      </c>
      <c r="H821">
        <v>7</v>
      </c>
      <c r="I821">
        <v>8</v>
      </c>
      <c r="J821">
        <v>87.5</v>
      </c>
      <c r="K821" t="s">
        <v>256</v>
      </c>
      <c r="L821">
        <v>10</v>
      </c>
      <c r="M821">
        <v>2</v>
      </c>
      <c r="N821">
        <v>0</v>
      </c>
      <c r="O821">
        <v>24</v>
      </c>
      <c r="P821">
        <v>0</v>
      </c>
      <c r="Q821">
        <v>12</v>
      </c>
      <c r="R821">
        <v>0</v>
      </c>
      <c r="S821">
        <v>0</v>
      </c>
      <c r="T821">
        <v>0</v>
      </c>
      <c r="U821" s="8">
        <v>10</v>
      </c>
      <c r="V821" s="8">
        <f t="shared" si="12"/>
        <v>1</v>
      </c>
    </row>
    <row r="822" spans="1:22" x14ac:dyDescent="0.3">
      <c r="A822" t="s">
        <v>363</v>
      </c>
      <c r="B822">
        <v>2</v>
      </c>
      <c r="C822" t="s">
        <v>102</v>
      </c>
      <c r="D822" t="s">
        <v>126</v>
      </c>
      <c r="E822" t="s">
        <v>258</v>
      </c>
      <c r="F822" t="s">
        <v>101</v>
      </c>
      <c r="G822" t="s">
        <v>134</v>
      </c>
      <c r="H822">
        <v>1</v>
      </c>
      <c r="I822">
        <v>2</v>
      </c>
      <c r="J822">
        <v>50</v>
      </c>
      <c r="K822" t="s">
        <v>246</v>
      </c>
      <c r="L822">
        <v>1.5</v>
      </c>
      <c r="M822">
        <v>4</v>
      </c>
      <c r="N822">
        <v>0</v>
      </c>
      <c r="O822">
        <v>48</v>
      </c>
      <c r="P822">
        <v>0</v>
      </c>
      <c r="Q822">
        <v>12</v>
      </c>
      <c r="R822">
        <v>0</v>
      </c>
      <c r="S822">
        <v>0</v>
      </c>
      <c r="T822">
        <v>0</v>
      </c>
      <c r="U822" s="8">
        <v>1.5</v>
      </c>
      <c r="V822" s="8">
        <f t="shared" si="12"/>
        <v>0</v>
      </c>
    </row>
    <row r="823" spans="1:22" x14ac:dyDescent="0.3">
      <c r="A823" t="s">
        <v>363</v>
      </c>
      <c r="B823">
        <v>2</v>
      </c>
      <c r="C823" t="s">
        <v>105</v>
      </c>
      <c r="D823" t="s">
        <v>128</v>
      </c>
      <c r="E823" t="s">
        <v>258</v>
      </c>
      <c r="F823" t="s">
        <v>101</v>
      </c>
      <c r="G823" t="s">
        <v>134</v>
      </c>
      <c r="H823">
        <v>0</v>
      </c>
      <c r="I823">
        <v>1</v>
      </c>
      <c r="J823">
        <v>0</v>
      </c>
      <c r="K823" t="s">
        <v>96</v>
      </c>
      <c r="L823">
        <v>5</v>
      </c>
      <c r="M823">
        <v>4</v>
      </c>
      <c r="N823">
        <v>0</v>
      </c>
      <c r="O823">
        <v>21</v>
      </c>
      <c r="P823">
        <v>1</v>
      </c>
      <c r="Q823">
        <v>5.2</v>
      </c>
      <c r="R823">
        <v>15</v>
      </c>
      <c r="S823">
        <v>0</v>
      </c>
      <c r="T823">
        <v>0</v>
      </c>
      <c r="U823" s="8">
        <v>20</v>
      </c>
      <c r="V823" s="8">
        <f t="shared" si="12"/>
        <v>2</v>
      </c>
    </row>
    <row r="824" spans="1:22" x14ac:dyDescent="0.3">
      <c r="A824" t="s">
        <v>363</v>
      </c>
      <c r="B824">
        <v>2</v>
      </c>
      <c r="C824" t="s">
        <v>389</v>
      </c>
      <c r="D824" t="s">
        <v>390</v>
      </c>
      <c r="E824" t="s">
        <v>258</v>
      </c>
      <c r="F824" t="s">
        <v>91</v>
      </c>
      <c r="G824" t="s">
        <v>104</v>
      </c>
      <c r="H824">
        <v>0</v>
      </c>
      <c r="I824">
        <v>0</v>
      </c>
      <c r="J824">
        <v>0</v>
      </c>
      <c r="K824" t="s">
        <v>104</v>
      </c>
      <c r="L824">
        <v>0</v>
      </c>
      <c r="M824">
        <v>3</v>
      </c>
      <c r="N824">
        <v>0</v>
      </c>
      <c r="O824">
        <v>37</v>
      </c>
      <c r="P824">
        <v>0</v>
      </c>
      <c r="Q824">
        <v>12.3</v>
      </c>
      <c r="R824">
        <v>0</v>
      </c>
      <c r="S824">
        <v>0</v>
      </c>
      <c r="T824">
        <v>0</v>
      </c>
      <c r="U824" s="8">
        <v>0</v>
      </c>
      <c r="V824" s="8">
        <f t="shared" si="12"/>
        <v>0</v>
      </c>
    </row>
    <row r="825" spans="1:22" x14ac:dyDescent="0.3">
      <c r="A825" t="s">
        <v>363</v>
      </c>
      <c r="B825">
        <v>2</v>
      </c>
      <c r="C825" t="s">
        <v>438</v>
      </c>
      <c r="D825" t="s">
        <v>439</v>
      </c>
      <c r="E825" t="s">
        <v>258</v>
      </c>
      <c r="F825" t="s">
        <v>101</v>
      </c>
      <c r="G825" t="s">
        <v>104</v>
      </c>
      <c r="H825">
        <v>0</v>
      </c>
      <c r="I825">
        <v>0</v>
      </c>
      <c r="J825">
        <v>0</v>
      </c>
      <c r="K825" t="s">
        <v>104</v>
      </c>
      <c r="L825">
        <v>0</v>
      </c>
      <c r="M825">
        <v>3</v>
      </c>
      <c r="N825">
        <v>0</v>
      </c>
      <c r="O825">
        <v>31</v>
      </c>
      <c r="P825">
        <v>1</v>
      </c>
      <c r="Q825">
        <v>10.3</v>
      </c>
      <c r="R825">
        <v>15</v>
      </c>
      <c r="S825">
        <v>0</v>
      </c>
      <c r="T825">
        <v>0</v>
      </c>
      <c r="U825" s="8">
        <v>15</v>
      </c>
      <c r="V825" s="8">
        <f t="shared" si="12"/>
        <v>2</v>
      </c>
    </row>
    <row r="826" spans="1:22" x14ac:dyDescent="0.3">
      <c r="A826" t="s">
        <v>363</v>
      </c>
      <c r="B826">
        <v>2</v>
      </c>
      <c r="C826" t="s">
        <v>113</v>
      </c>
      <c r="D826" t="s">
        <v>84</v>
      </c>
      <c r="E826" t="s">
        <v>266</v>
      </c>
      <c r="F826" t="s">
        <v>85</v>
      </c>
      <c r="G826" t="s">
        <v>86</v>
      </c>
      <c r="H826">
        <v>49</v>
      </c>
      <c r="I826">
        <v>36</v>
      </c>
      <c r="J826">
        <v>136.11000000000001</v>
      </c>
      <c r="K826" t="s">
        <v>246</v>
      </c>
      <c r="L826">
        <v>54.9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 s="8">
        <v>54.9</v>
      </c>
      <c r="V826" s="8">
        <f t="shared" si="12"/>
        <v>5</v>
      </c>
    </row>
    <row r="827" spans="1:22" x14ac:dyDescent="0.3">
      <c r="A827" t="s">
        <v>363</v>
      </c>
      <c r="B827">
        <v>2</v>
      </c>
      <c r="C827" t="s">
        <v>112</v>
      </c>
      <c r="D827" t="s">
        <v>88</v>
      </c>
      <c r="E827" t="s">
        <v>266</v>
      </c>
      <c r="F827" t="s">
        <v>169</v>
      </c>
      <c r="G827" t="s">
        <v>86</v>
      </c>
      <c r="H827">
        <v>18</v>
      </c>
      <c r="I827">
        <v>21</v>
      </c>
      <c r="J827">
        <v>85.71</v>
      </c>
      <c r="K827" t="s">
        <v>246</v>
      </c>
      <c r="L827">
        <v>18.399999999999999</v>
      </c>
      <c r="M827">
        <v>3</v>
      </c>
      <c r="N827">
        <v>0</v>
      </c>
      <c r="O827">
        <v>22</v>
      </c>
      <c r="P827">
        <v>1</v>
      </c>
      <c r="Q827">
        <v>7.3</v>
      </c>
      <c r="R827">
        <v>20</v>
      </c>
      <c r="S827">
        <v>0</v>
      </c>
      <c r="T827">
        <v>0</v>
      </c>
      <c r="U827" s="8">
        <v>38.4</v>
      </c>
      <c r="V827" s="8">
        <f t="shared" si="12"/>
        <v>4</v>
      </c>
    </row>
    <row r="828" spans="1:22" x14ac:dyDescent="0.3">
      <c r="A828" t="s">
        <v>363</v>
      </c>
      <c r="B828">
        <v>2</v>
      </c>
      <c r="C828" t="s">
        <v>117</v>
      </c>
      <c r="D828" t="s">
        <v>90</v>
      </c>
      <c r="E828" t="s">
        <v>266</v>
      </c>
      <c r="F828" t="s">
        <v>169</v>
      </c>
      <c r="G828" t="s">
        <v>92</v>
      </c>
      <c r="H828">
        <v>2</v>
      </c>
      <c r="I828">
        <v>4</v>
      </c>
      <c r="J828">
        <v>50</v>
      </c>
      <c r="K828" t="s">
        <v>246</v>
      </c>
      <c r="L828">
        <v>1</v>
      </c>
      <c r="M828">
        <v>2</v>
      </c>
      <c r="N828">
        <v>0</v>
      </c>
      <c r="O828">
        <v>23</v>
      </c>
      <c r="P828">
        <v>0</v>
      </c>
      <c r="Q828">
        <v>11.5</v>
      </c>
      <c r="R828">
        <v>0</v>
      </c>
      <c r="S828">
        <v>0</v>
      </c>
      <c r="T828">
        <v>0</v>
      </c>
      <c r="U828" s="8">
        <v>1</v>
      </c>
      <c r="V828" s="8">
        <f t="shared" si="12"/>
        <v>0</v>
      </c>
    </row>
    <row r="829" spans="1:22" x14ac:dyDescent="0.3">
      <c r="A829" t="s">
        <v>363</v>
      </c>
      <c r="B829">
        <v>2</v>
      </c>
      <c r="C829" t="s">
        <v>115</v>
      </c>
      <c r="D829" t="s">
        <v>17</v>
      </c>
      <c r="E829" t="s">
        <v>266</v>
      </c>
      <c r="F829" t="s">
        <v>169</v>
      </c>
      <c r="G829" t="s">
        <v>134</v>
      </c>
      <c r="H829">
        <v>95</v>
      </c>
      <c r="I829">
        <v>48</v>
      </c>
      <c r="J829">
        <v>197.92</v>
      </c>
      <c r="K829" t="s">
        <v>96</v>
      </c>
      <c r="L829">
        <v>118.6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 s="8">
        <v>118.6</v>
      </c>
      <c r="V829" s="8">
        <f t="shared" si="12"/>
        <v>10</v>
      </c>
    </row>
    <row r="830" spans="1:22" x14ac:dyDescent="0.3">
      <c r="A830" t="s">
        <v>363</v>
      </c>
      <c r="B830">
        <v>2</v>
      </c>
      <c r="C830" t="s">
        <v>119</v>
      </c>
      <c r="D830" t="s">
        <v>95</v>
      </c>
      <c r="E830" t="s">
        <v>266</v>
      </c>
      <c r="F830" t="s">
        <v>169</v>
      </c>
      <c r="G830" t="s">
        <v>134</v>
      </c>
      <c r="H830">
        <v>12</v>
      </c>
      <c r="I830">
        <v>10</v>
      </c>
      <c r="J830">
        <v>120</v>
      </c>
      <c r="K830" t="s">
        <v>96</v>
      </c>
      <c r="L830">
        <v>15.2</v>
      </c>
      <c r="M830">
        <v>1</v>
      </c>
      <c r="N830">
        <v>0</v>
      </c>
      <c r="O830">
        <v>15</v>
      </c>
      <c r="P830">
        <v>0</v>
      </c>
      <c r="Q830">
        <v>15</v>
      </c>
      <c r="R830">
        <v>0</v>
      </c>
      <c r="S830">
        <v>0</v>
      </c>
      <c r="T830">
        <v>0</v>
      </c>
      <c r="U830" s="8">
        <v>15.2</v>
      </c>
      <c r="V830" s="8">
        <f t="shared" si="12"/>
        <v>2</v>
      </c>
    </row>
    <row r="831" spans="1:22" x14ac:dyDescent="0.3">
      <c r="A831" t="s">
        <v>363</v>
      </c>
      <c r="B831">
        <v>2</v>
      </c>
      <c r="C831" t="s">
        <v>123</v>
      </c>
      <c r="D831" t="s">
        <v>98</v>
      </c>
      <c r="E831" t="s">
        <v>266</v>
      </c>
      <c r="F831" t="s">
        <v>169</v>
      </c>
      <c r="G831" t="s">
        <v>134</v>
      </c>
      <c r="H831">
        <v>0</v>
      </c>
      <c r="I831">
        <v>0</v>
      </c>
      <c r="J831">
        <v>0</v>
      </c>
      <c r="K831" t="s">
        <v>104</v>
      </c>
      <c r="L831">
        <v>0</v>
      </c>
      <c r="M831">
        <v>4</v>
      </c>
      <c r="N831">
        <v>0</v>
      </c>
      <c r="O831">
        <v>45</v>
      </c>
      <c r="P831">
        <v>1</v>
      </c>
      <c r="Q831">
        <v>11.2</v>
      </c>
      <c r="R831">
        <v>15</v>
      </c>
      <c r="S831">
        <v>0</v>
      </c>
      <c r="T831">
        <v>0</v>
      </c>
      <c r="U831" s="8">
        <v>15</v>
      </c>
      <c r="V831" s="8">
        <f t="shared" si="12"/>
        <v>2</v>
      </c>
    </row>
    <row r="832" spans="1:22" x14ac:dyDescent="0.3">
      <c r="A832" t="s">
        <v>363</v>
      </c>
      <c r="B832">
        <v>2</v>
      </c>
      <c r="C832" t="s">
        <v>121</v>
      </c>
      <c r="D832" t="s">
        <v>108</v>
      </c>
      <c r="E832" t="s">
        <v>266</v>
      </c>
      <c r="F832" t="s">
        <v>169</v>
      </c>
      <c r="G832" t="s">
        <v>104</v>
      </c>
      <c r="H832">
        <v>0</v>
      </c>
      <c r="I832">
        <v>0</v>
      </c>
      <c r="J832">
        <v>0</v>
      </c>
      <c r="K832" t="s">
        <v>104</v>
      </c>
      <c r="L832">
        <v>0</v>
      </c>
      <c r="M832">
        <v>1</v>
      </c>
      <c r="N832">
        <v>0</v>
      </c>
      <c r="O832">
        <v>10</v>
      </c>
      <c r="P832">
        <v>0</v>
      </c>
      <c r="Q832">
        <v>10</v>
      </c>
      <c r="R832">
        <v>0</v>
      </c>
      <c r="S832">
        <v>0</v>
      </c>
      <c r="T832">
        <v>0</v>
      </c>
      <c r="U832" s="8">
        <v>0</v>
      </c>
      <c r="V832" s="8">
        <f t="shared" si="12"/>
        <v>0</v>
      </c>
    </row>
    <row r="833" spans="1:22" x14ac:dyDescent="0.3">
      <c r="A833" t="s">
        <v>363</v>
      </c>
      <c r="B833">
        <v>2</v>
      </c>
      <c r="C833" t="s">
        <v>347</v>
      </c>
      <c r="D833" t="s">
        <v>348</v>
      </c>
      <c r="E833" t="s">
        <v>266</v>
      </c>
      <c r="F833" t="s">
        <v>169</v>
      </c>
      <c r="G833" t="s">
        <v>104</v>
      </c>
      <c r="H833">
        <v>0</v>
      </c>
      <c r="I833">
        <v>0</v>
      </c>
      <c r="J833">
        <v>0</v>
      </c>
      <c r="K833" t="s">
        <v>104</v>
      </c>
      <c r="L833">
        <v>0</v>
      </c>
      <c r="M833">
        <v>1</v>
      </c>
      <c r="N833">
        <v>0</v>
      </c>
      <c r="O833">
        <v>11</v>
      </c>
      <c r="P833">
        <v>1</v>
      </c>
      <c r="Q833">
        <v>11</v>
      </c>
      <c r="R833">
        <v>15</v>
      </c>
      <c r="S833">
        <v>0</v>
      </c>
      <c r="T833">
        <v>0</v>
      </c>
      <c r="U833" s="8">
        <v>15</v>
      </c>
      <c r="V833" s="8">
        <f t="shared" si="12"/>
        <v>2</v>
      </c>
    </row>
    <row r="834" spans="1:22" x14ac:dyDescent="0.3">
      <c r="A834" t="s">
        <v>363</v>
      </c>
      <c r="B834">
        <v>2</v>
      </c>
      <c r="C834" t="s">
        <v>125</v>
      </c>
      <c r="D834" t="s">
        <v>111</v>
      </c>
      <c r="E834" t="s">
        <v>266</v>
      </c>
      <c r="F834" t="s">
        <v>169</v>
      </c>
      <c r="G834" t="s">
        <v>104</v>
      </c>
      <c r="H834">
        <v>0</v>
      </c>
      <c r="I834">
        <v>0</v>
      </c>
      <c r="J834">
        <v>0</v>
      </c>
      <c r="K834" t="s">
        <v>104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 s="8">
        <v>0</v>
      </c>
      <c r="V834" s="8">
        <f t="shared" si="12"/>
        <v>0</v>
      </c>
    </row>
    <row r="835" spans="1:22" x14ac:dyDescent="0.3">
      <c r="A835" t="s">
        <v>363</v>
      </c>
      <c r="B835">
        <v>2</v>
      </c>
      <c r="C835" t="s">
        <v>265</v>
      </c>
      <c r="D835" t="s">
        <v>264</v>
      </c>
      <c r="E835" t="s">
        <v>266</v>
      </c>
      <c r="F835" t="s">
        <v>101</v>
      </c>
      <c r="G835" t="s">
        <v>104</v>
      </c>
      <c r="H835">
        <v>0</v>
      </c>
      <c r="I835">
        <v>0</v>
      </c>
      <c r="J835">
        <v>0</v>
      </c>
      <c r="K835" t="s">
        <v>104</v>
      </c>
      <c r="L835">
        <v>0</v>
      </c>
      <c r="M835">
        <v>4</v>
      </c>
      <c r="N835">
        <v>0</v>
      </c>
      <c r="O835">
        <v>30</v>
      </c>
      <c r="P835">
        <v>1</v>
      </c>
      <c r="Q835">
        <v>7.5</v>
      </c>
      <c r="R835">
        <v>20</v>
      </c>
      <c r="S835">
        <v>0</v>
      </c>
      <c r="T835">
        <v>0</v>
      </c>
      <c r="U835" s="8">
        <v>20</v>
      </c>
      <c r="V835" s="8">
        <f t="shared" ref="V835:V898" si="13">MIN(10, MAX(0, ROUND(U835/10,0)))</f>
        <v>2</v>
      </c>
    </row>
    <row r="836" spans="1:22" x14ac:dyDescent="0.3">
      <c r="A836" t="s">
        <v>363</v>
      </c>
      <c r="B836">
        <v>2</v>
      </c>
      <c r="C836" t="s">
        <v>131</v>
      </c>
      <c r="D836" t="s">
        <v>106</v>
      </c>
      <c r="E836" t="s">
        <v>266</v>
      </c>
      <c r="F836" t="s">
        <v>101</v>
      </c>
      <c r="G836" t="s">
        <v>104</v>
      </c>
      <c r="H836">
        <v>0</v>
      </c>
      <c r="I836">
        <v>0</v>
      </c>
      <c r="J836">
        <v>0</v>
      </c>
      <c r="K836" t="s">
        <v>104</v>
      </c>
      <c r="L836">
        <v>0</v>
      </c>
      <c r="M836">
        <v>4</v>
      </c>
      <c r="N836">
        <v>0</v>
      </c>
      <c r="O836">
        <v>31</v>
      </c>
      <c r="P836">
        <v>2</v>
      </c>
      <c r="Q836">
        <v>7.8</v>
      </c>
      <c r="R836">
        <v>40</v>
      </c>
      <c r="S836">
        <v>0</v>
      </c>
      <c r="T836">
        <v>0</v>
      </c>
      <c r="U836" s="8">
        <v>40</v>
      </c>
      <c r="V836" s="8">
        <f t="shared" si="13"/>
        <v>4</v>
      </c>
    </row>
    <row r="837" spans="1:22" x14ac:dyDescent="0.3">
      <c r="A837" t="s">
        <v>364</v>
      </c>
      <c r="B837">
        <v>2</v>
      </c>
      <c r="C837" t="s">
        <v>190</v>
      </c>
      <c r="D837" t="s">
        <v>191</v>
      </c>
      <c r="E837" t="s">
        <v>158</v>
      </c>
      <c r="F837" t="s">
        <v>109</v>
      </c>
      <c r="G837" t="s">
        <v>86</v>
      </c>
      <c r="H837">
        <v>29</v>
      </c>
      <c r="I837">
        <v>26</v>
      </c>
      <c r="J837">
        <v>111.54</v>
      </c>
      <c r="K837" t="s">
        <v>247</v>
      </c>
      <c r="L837">
        <v>28.6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 s="8">
        <v>28.6</v>
      </c>
      <c r="V837" s="8">
        <f t="shared" si="13"/>
        <v>3</v>
      </c>
    </row>
    <row r="838" spans="1:22" x14ac:dyDescent="0.3">
      <c r="A838" t="s">
        <v>364</v>
      </c>
      <c r="B838">
        <v>2</v>
      </c>
      <c r="C838" t="s">
        <v>188</v>
      </c>
      <c r="D838" t="s">
        <v>189</v>
      </c>
      <c r="E838" t="s">
        <v>158</v>
      </c>
      <c r="F838" t="s">
        <v>83</v>
      </c>
      <c r="G838" t="s">
        <v>86</v>
      </c>
      <c r="H838">
        <v>23</v>
      </c>
      <c r="I838">
        <v>18</v>
      </c>
      <c r="J838">
        <v>127.78</v>
      </c>
      <c r="K838" t="s">
        <v>246</v>
      </c>
      <c r="L838">
        <v>26.6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 s="8">
        <v>26.6</v>
      </c>
      <c r="V838" s="8">
        <f t="shared" si="13"/>
        <v>3</v>
      </c>
    </row>
    <row r="839" spans="1:22" x14ac:dyDescent="0.3">
      <c r="A839" t="s">
        <v>364</v>
      </c>
      <c r="B839">
        <v>2</v>
      </c>
      <c r="C839" t="s">
        <v>194</v>
      </c>
      <c r="D839" t="s">
        <v>195</v>
      </c>
      <c r="E839" t="s">
        <v>158</v>
      </c>
      <c r="F839" t="s">
        <v>109</v>
      </c>
      <c r="G839" t="s">
        <v>134</v>
      </c>
      <c r="H839">
        <v>58</v>
      </c>
      <c r="I839">
        <v>36</v>
      </c>
      <c r="J839">
        <v>161.11000000000001</v>
      </c>
      <c r="K839" t="s">
        <v>245</v>
      </c>
      <c r="L839">
        <v>63.4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 s="8">
        <v>63.4</v>
      </c>
      <c r="V839" s="8">
        <f t="shared" si="13"/>
        <v>6</v>
      </c>
    </row>
    <row r="840" spans="1:22" x14ac:dyDescent="0.3">
      <c r="A840" t="s">
        <v>364</v>
      </c>
      <c r="B840">
        <v>2</v>
      </c>
      <c r="C840" t="s">
        <v>196</v>
      </c>
      <c r="D840" t="s">
        <v>197</v>
      </c>
      <c r="E840" t="s">
        <v>158</v>
      </c>
      <c r="F840" t="s">
        <v>109</v>
      </c>
      <c r="G840" t="s">
        <v>134</v>
      </c>
      <c r="H840">
        <v>48</v>
      </c>
      <c r="I840">
        <v>32</v>
      </c>
      <c r="J840">
        <v>150</v>
      </c>
      <c r="K840" t="s">
        <v>245</v>
      </c>
      <c r="L840">
        <v>87</v>
      </c>
      <c r="M840">
        <v>1</v>
      </c>
      <c r="N840">
        <v>0</v>
      </c>
      <c r="O840">
        <v>5</v>
      </c>
      <c r="P840">
        <v>1</v>
      </c>
      <c r="Q840">
        <v>5</v>
      </c>
      <c r="R840">
        <v>15</v>
      </c>
      <c r="S840">
        <v>0</v>
      </c>
      <c r="T840">
        <v>0</v>
      </c>
      <c r="U840" s="8">
        <v>87</v>
      </c>
      <c r="V840" s="8">
        <f t="shared" si="13"/>
        <v>9</v>
      </c>
    </row>
    <row r="841" spans="1:22" x14ac:dyDescent="0.3">
      <c r="A841" t="s">
        <v>364</v>
      </c>
      <c r="B841">
        <v>2</v>
      </c>
      <c r="C841" t="s">
        <v>192</v>
      </c>
      <c r="D841" t="s">
        <v>193</v>
      </c>
      <c r="E841" t="s">
        <v>158</v>
      </c>
      <c r="F841" t="s">
        <v>169</v>
      </c>
      <c r="G841" t="s">
        <v>134</v>
      </c>
      <c r="H841">
        <v>12</v>
      </c>
      <c r="I841">
        <v>6</v>
      </c>
      <c r="J841">
        <v>200</v>
      </c>
      <c r="K841" t="s">
        <v>96</v>
      </c>
      <c r="L841">
        <v>45.8</v>
      </c>
      <c r="M841">
        <v>4</v>
      </c>
      <c r="N841">
        <v>0</v>
      </c>
      <c r="O841">
        <v>30</v>
      </c>
      <c r="P841">
        <v>1</v>
      </c>
      <c r="Q841">
        <v>7.5</v>
      </c>
      <c r="R841">
        <v>25</v>
      </c>
      <c r="S841">
        <v>0</v>
      </c>
      <c r="T841">
        <v>0</v>
      </c>
      <c r="U841" s="8">
        <v>45.8</v>
      </c>
      <c r="V841" s="8">
        <f t="shared" si="13"/>
        <v>5</v>
      </c>
    </row>
    <row r="842" spans="1:22" x14ac:dyDescent="0.3">
      <c r="A842" t="s">
        <v>364</v>
      </c>
      <c r="B842">
        <v>2</v>
      </c>
      <c r="C842" t="s">
        <v>198</v>
      </c>
      <c r="D842" t="s">
        <v>199</v>
      </c>
      <c r="E842" t="s">
        <v>158</v>
      </c>
      <c r="F842" t="s">
        <v>169</v>
      </c>
      <c r="G842" t="s">
        <v>135</v>
      </c>
      <c r="H842">
        <v>1</v>
      </c>
      <c r="I842">
        <v>2</v>
      </c>
      <c r="J842">
        <v>50</v>
      </c>
      <c r="K842" t="s">
        <v>248</v>
      </c>
      <c r="L842">
        <v>0</v>
      </c>
      <c r="M842">
        <v>3</v>
      </c>
      <c r="N842">
        <v>0</v>
      </c>
      <c r="O842">
        <v>39</v>
      </c>
      <c r="P842">
        <v>0</v>
      </c>
      <c r="Q842">
        <v>13</v>
      </c>
      <c r="R842">
        <v>0</v>
      </c>
      <c r="S842">
        <v>0</v>
      </c>
      <c r="T842">
        <v>0</v>
      </c>
      <c r="U842" s="8">
        <v>0</v>
      </c>
      <c r="V842" s="8">
        <f t="shared" si="13"/>
        <v>0</v>
      </c>
    </row>
    <row r="843" spans="1:22" x14ac:dyDescent="0.3">
      <c r="A843" t="s">
        <v>364</v>
      </c>
      <c r="B843">
        <v>2</v>
      </c>
      <c r="C843" t="s">
        <v>206</v>
      </c>
      <c r="D843" t="s">
        <v>207</v>
      </c>
      <c r="E843" t="s">
        <v>158</v>
      </c>
      <c r="F843" t="s">
        <v>101</v>
      </c>
      <c r="G843" t="s">
        <v>135</v>
      </c>
      <c r="H843">
        <v>1</v>
      </c>
      <c r="I843">
        <v>1</v>
      </c>
      <c r="J843">
        <v>100</v>
      </c>
      <c r="K843" t="s">
        <v>96</v>
      </c>
      <c r="L843">
        <v>5</v>
      </c>
      <c r="M843">
        <v>4</v>
      </c>
      <c r="N843">
        <v>0</v>
      </c>
      <c r="O843">
        <v>36</v>
      </c>
      <c r="P843">
        <v>0</v>
      </c>
      <c r="Q843">
        <v>9</v>
      </c>
      <c r="R843">
        <v>0</v>
      </c>
      <c r="S843">
        <v>0</v>
      </c>
      <c r="T843">
        <v>0</v>
      </c>
      <c r="U843" s="8">
        <v>5</v>
      </c>
      <c r="V843" s="8">
        <f t="shared" si="13"/>
        <v>1</v>
      </c>
    </row>
    <row r="844" spans="1:22" x14ac:dyDescent="0.3">
      <c r="A844" t="s">
        <v>364</v>
      </c>
      <c r="B844">
        <v>2</v>
      </c>
      <c r="C844" t="s">
        <v>202</v>
      </c>
      <c r="D844" t="s">
        <v>203</v>
      </c>
      <c r="E844" t="s">
        <v>158</v>
      </c>
      <c r="F844" t="s">
        <v>101</v>
      </c>
      <c r="G844" t="s">
        <v>104</v>
      </c>
      <c r="H844">
        <v>0</v>
      </c>
      <c r="I844">
        <v>0</v>
      </c>
      <c r="J844">
        <v>0</v>
      </c>
      <c r="K844" t="s">
        <v>104</v>
      </c>
      <c r="L844">
        <v>25</v>
      </c>
      <c r="M844">
        <v>3</v>
      </c>
      <c r="N844">
        <v>0</v>
      </c>
      <c r="O844">
        <v>24</v>
      </c>
      <c r="P844">
        <v>1</v>
      </c>
      <c r="Q844">
        <v>8</v>
      </c>
      <c r="R844">
        <v>25</v>
      </c>
      <c r="S844">
        <v>0</v>
      </c>
      <c r="T844">
        <v>0</v>
      </c>
      <c r="U844" s="8">
        <v>25</v>
      </c>
      <c r="V844" s="8">
        <f t="shared" si="13"/>
        <v>3</v>
      </c>
    </row>
    <row r="845" spans="1:22" x14ac:dyDescent="0.3">
      <c r="A845" t="s">
        <v>364</v>
      </c>
      <c r="B845">
        <v>2</v>
      </c>
      <c r="C845" t="s">
        <v>204</v>
      </c>
      <c r="D845" t="s">
        <v>205</v>
      </c>
      <c r="E845" t="s">
        <v>158</v>
      </c>
      <c r="F845" t="s">
        <v>101</v>
      </c>
      <c r="G845" t="s">
        <v>104</v>
      </c>
      <c r="H845">
        <v>0</v>
      </c>
      <c r="I845">
        <v>0</v>
      </c>
      <c r="J845">
        <v>0</v>
      </c>
      <c r="K845" t="s">
        <v>104</v>
      </c>
      <c r="L845">
        <v>0</v>
      </c>
      <c r="M845">
        <v>4</v>
      </c>
      <c r="N845">
        <v>0</v>
      </c>
      <c r="O845">
        <v>34</v>
      </c>
      <c r="P845">
        <v>1</v>
      </c>
      <c r="Q845">
        <v>8.5</v>
      </c>
      <c r="R845">
        <v>20</v>
      </c>
      <c r="S845">
        <v>0</v>
      </c>
      <c r="T845">
        <v>0</v>
      </c>
      <c r="U845" s="8">
        <v>25</v>
      </c>
      <c r="V845" s="8">
        <f t="shared" si="13"/>
        <v>3</v>
      </c>
    </row>
    <row r="846" spans="1:22" x14ac:dyDescent="0.3">
      <c r="A846" t="s">
        <v>364</v>
      </c>
      <c r="B846">
        <v>2</v>
      </c>
      <c r="C846" t="s">
        <v>200</v>
      </c>
      <c r="D846" t="s">
        <v>201</v>
      </c>
      <c r="E846" t="s">
        <v>158</v>
      </c>
      <c r="F846" t="s">
        <v>85</v>
      </c>
      <c r="G846" t="s">
        <v>104</v>
      </c>
      <c r="H846">
        <v>0</v>
      </c>
      <c r="I846">
        <v>0</v>
      </c>
      <c r="J846">
        <v>0</v>
      </c>
      <c r="K846" t="s">
        <v>104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 s="8">
        <v>0</v>
      </c>
      <c r="V846" s="8">
        <f t="shared" si="13"/>
        <v>0</v>
      </c>
    </row>
    <row r="847" spans="1:22" x14ac:dyDescent="0.3">
      <c r="A847" t="s">
        <v>364</v>
      </c>
      <c r="B847">
        <v>2</v>
      </c>
      <c r="C847" t="s">
        <v>413</v>
      </c>
      <c r="D847" t="s">
        <v>423</v>
      </c>
      <c r="E847" t="s">
        <v>158</v>
      </c>
      <c r="F847" t="s">
        <v>101</v>
      </c>
      <c r="G847" t="s">
        <v>104</v>
      </c>
      <c r="H847">
        <v>0</v>
      </c>
      <c r="I847">
        <v>0</v>
      </c>
      <c r="J847">
        <v>0</v>
      </c>
      <c r="K847" t="s">
        <v>104</v>
      </c>
      <c r="L847">
        <v>0</v>
      </c>
      <c r="M847">
        <v>1</v>
      </c>
      <c r="N847">
        <v>0</v>
      </c>
      <c r="O847">
        <v>12</v>
      </c>
      <c r="P847">
        <v>0</v>
      </c>
      <c r="Q847">
        <v>12</v>
      </c>
      <c r="R847">
        <v>0</v>
      </c>
      <c r="S847">
        <v>0</v>
      </c>
      <c r="T847">
        <v>0</v>
      </c>
      <c r="U847" s="8">
        <v>0</v>
      </c>
      <c r="V847" s="8">
        <f t="shared" si="13"/>
        <v>0</v>
      </c>
    </row>
    <row r="848" spans="1:22" x14ac:dyDescent="0.3">
      <c r="A848" t="s">
        <v>364</v>
      </c>
      <c r="B848">
        <v>2</v>
      </c>
      <c r="C848" t="s">
        <v>165</v>
      </c>
      <c r="D848" t="s">
        <v>166</v>
      </c>
      <c r="E848" t="s">
        <v>159</v>
      </c>
      <c r="F848" t="s">
        <v>109</v>
      </c>
      <c r="G848" t="s">
        <v>86</v>
      </c>
      <c r="H848">
        <v>5</v>
      </c>
      <c r="I848">
        <v>7</v>
      </c>
      <c r="J848">
        <v>71.430000000000007</v>
      </c>
      <c r="K848" t="s">
        <v>247</v>
      </c>
      <c r="L848">
        <v>2.9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 s="8">
        <v>2.9</v>
      </c>
      <c r="V848" s="8">
        <f t="shared" si="13"/>
        <v>0</v>
      </c>
    </row>
    <row r="849" spans="1:22" x14ac:dyDescent="0.3">
      <c r="A849" t="s">
        <v>364</v>
      </c>
      <c r="B849">
        <v>2</v>
      </c>
      <c r="C849" t="s">
        <v>371</v>
      </c>
      <c r="D849" t="s">
        <v>372</v>
      </c>
      <c r="E849" t="s">
        <v>159</v>
      </c>
      <c r="F849" t="s">
        <v>169</v>
      </c>
      <c r="G849" t="s">
        <v>134</v>
      </c>
      <c r="H849">
        <v>33</v>
      </c>
      <c r="I849">
        <v>30</v>
      </c>
      <c r="J849">
        <v>110</v>
      </c>
      <c r="K849" t="s">
        <v>246</v>
      </c>
      <c r="L849">
        <v>29</v>
      </c>
      <c r="M849">
        <v>4</v>
      </c>
      <c r="N849">
        <v>0</v>
      </c>
      <c r="O849">
        <v>45</v>
      </c>
      <c r="P849">
        <v>0</v>
      </c>
      <c r="Q849">
        <v>11.2</v>
      </c>
      <c r="R849">
        <v>0</v>
      </c>
      <c r="S849">
        <v>0</v>
      </c>
      <c r="T849">
        <v>0</v>
      </c>
      <c r="U849" s="8">
        <v>29</v>
      </c>
      <c r="V849" s="8">
        <f t="shared" si="13"/>
        <v>3</v>
      </c>
    </row>
    <row r="850" spans="1:22" x14ac:dyDescent="0.3">
      <c r="A850" t="s">
        <v>364</v>
      </c>
      <c r="B850">
        <v>2</v>
      </c>
      <c r="C850" t="s">
        <v>174</v>
      </c>
      <c r="D850" t="s">
        <v>175</v>
      </c>
      <c r="E850" t="s">
        <v>159</v>
      </c>
      <c r="F850" t="s">
        <v>169</v>
      </c>
      <c r="G850" t="s">
        <v>134</v>
      </c>
      <c r="H850">
        <v>49</v>
      </c>
      <c r="I850">
        <v>32</v>
      </c>
      <c r="J850">
        <v>153.12</v>
      </c>
      <c r="K850" t="s">
        <v>256</v>
      </c>
      <c r="L850">
        <v>55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 s="8">
        <v>55</v>
      </c>
      <c r="V850" s="8">
        <f t="shared" si="13"/>
        <v>6</v>
      </c>
    </row>
    <row r="851" spans="1:22" x14ac:dyDescent="0.3">
      <c r="A851" t="s">
        <v>364</v>
      </c>
      <c r="B851">
        <v>2</v>
      </c>
      <c r="C851" t="s">
        <v>167</v>
      </c>
      <c r="D851" t="s">
        <v>168</v>
      </c>
      <c r="E851" t="s">
        <v>159</v>
      </c>
      <c r="F851" t="s">
        <v>169</v>
      </c>
      <c r="G851" t="s">
        <v>134</v>
      </c>
      <c r="H851">
        <v>26</v>
      </c>
      <c r="I851">
        <v>16</v>
      </c>
      <c r="J851">
        <v>162.5</v>
      </c>
      <c r="K851" t="s">
        <v>246</v>
      </c>
      <c r="L851">
        <v>30.1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 s="8">
        <v>30.1</v>
      </c>
      <c r="V851" s="8">
        <f t="shared" si="13"/>
        <v>3</v>
      </c>
    </row>
    <row r="852" spans="1:22" x14ac:dyDescent="0.3">
      <c r="A852" t="s">
        <v>364</v>
      </c>
      <c r="B852">
        <v>2</v>
      </c>
      <c r="C852" t="s">
        <v>176</v>
      </c>
      <c r="D852" t="s">
        <v>177</v>
      </c>
      <c r="E852" t="s">
        <v>159</v>
      </c>
      <c r="F852" t="s">
        <v>85</v>
      </c>
      <c r="G852" t="s">
        <v>134</v>
      </c>
      <c r="H852">
        <v>51</v>
      </c>
      <c r="I852">
        <v>29</v>
      </c>
      <c r="J852">
        <v>175.86</v>
      </c>
      <c r="K852" t="s">
        <v>256</v>
      </c>
      <c r="L852">
        <v>60.5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 s="8">
        <v>60.5</v>
      </c>
      <c r="V852" s="8">
        <f t="shared" si="13"/>
        <v>6</v>
      </c>
    </row>
    <row r="853" spans="1:22" x14ac:dyDescent="0.3">
      <c r="A853" t="s">
        <v>364</v>
      </c>
      <c r="B853">
        <v>2</v>
      </c>
      <c r="C853" t="s">
        <v>99</v>
      </c>
      <c r="D853" t="s">
        <v>124</v>
      </c>
      <c r="E853" t="s">
        <v>159</v>
      </c>
      <c r="F853" t="s">
        <v>169</v>
      </c>
      <c r="G853" t="s">
        <v>135</v>
      </c>
      <c r="H853">
        <v>12</v>
      </c>
      <c r="I853">
        <v>6</v>
      </c>
      <c r="J853">
        <v>200</v>
      </c>
      <c r="K853" t="s">
        <v>246</v>
      </c>
      <c r="L853">
        <v>20.8</v>
      </c>
      <c r="M853">
        <v>2</v>
      </c>
      <c r="N853">
        <v>0</v>
      </c>
      <c r="O853">
        <v>23</v>
      </c>
      <c r="P853">
        <v>0</v>
      </c>
      <c r="Q853">
        <v>11.5</v>
      </c>
      <c r="R853">
        <v>0</v>
      </c>
      <c r="S853">
        <v>0</v>
      </c>
      <c r="T853">
        <v>0</v>
      </c>
      <c r="U853" s="8">
        <v>20.8</v>
      </c>
      <c r="V853" s="8">
        <f t="shared" si="13"/>
        <v>2</v>
      </c>
    </row>
    <row r="854" spans="1:22" x14ac:dyDescent="0.3">
      <c r="A854" t="s">
        <v>364</v>
      </c>
      <c r="B854">
        <v>2</v>
      </c>
      <c r="C854" t="s">
        <v>172</v>
      </c>
      <c r="D854" t="s">
        <v>173</v>
      </c>
      <c r="E854" t="s">
        <v>159</v>
      </c>
      <c r="F854" t="s">
        <v>109</v>
      </c>
      <c r="G854" t="s">
        <v>135</v>
      </c>
      <c r="H854">
        <v>0</v>
      </c>
      <c r="I854">
        <v>0</v>
      </c>
      <c r="J854">
        <v>0</v>
      </c>
      <c r="K854" t="s">
        <v>256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 s="8">
        <v>0</v>
      </c>
      <c r="V854" s="8">
        <f t="shared" si="13"/>
        <v>0</v>
      </c>
    </row>
    <row r="855" spans="1:22" x14ac:dyDescent="0.3">
      <c r="A855" t="s">
        <v>364</v>
      </c>
      <c r="B855">
        <v>2</v>
      </c>
      <c r="C855" t="s">
        <v>259</v>
      </c>
      <c r="D855" t="s">
        <v>257</v>
      </c>
      <c r="E855" t="s">
        <v>159</v>
      </c>
      <c r="F855" t="s">
        <v>169</v>
      </c>
      <c r="G855" t="s">
        <v>135</v>
      </c>
      <c r="H855">
        <v>0</v>
      </c>
      <c r="I855">
        <v>0</v>
      </c>
      <c r="J855">
        <v>0</v>
      </c>
      <c r="K855" t="s">
        <v>96</v>
      </c>
      <c r="L855">
        <v>115</v>
      </c>
      <c r="M855">
        <v>4</v>
      </c>
      <c r="N855">
        <v>0</v>
      </c>
      <c r="O855">
        <v>26</v>
      </c>
      <c r="P855">
        <v>4</v>
      </c>
      <c r="Q855">
        <v>6.5</v>
      </c>
      <c r="R855">
        <v>60</v>
      </c>
      <c r="S855">
        <v>0</v>
      </c>
      <c r="T855">
        <v>0</v>
      </c>
      <c r="U855" s="8">
        <v>115</v>
      </c>
      <c r="V855" s="8">
        <f t="shared" si="13"/>
        <v>10</v>
      </c>
    </row>
    <row r="856" spans="1:22" x14ac:dyDescent="0.3">
      <c r="A856" t="s">
        <v>364</v>
      </c>
      <c r="B856">
        <v>2</v>
      </c>
      <c r="C856" t="s">
        <v>180</v>
      </c>
      <c r="D856" t="s">
        <v>181</v>
      </c>
      <c r="E856" t="s">
        <v>159</v>
      </c>
      <c r="F856" t="s">
        <v>101</v>
      </c>
      <c r="G856" t="s">
        <v>104</v>
      </c>
      <c r="H856">
        <v>0</v>
      </c>
      <c r="I856">
        <v>0</v>
      </c>
      <c r="J856">
        <v>0</v>
      </c>
      <c r="K856" t="s">
        <v>104</v>
      </c>
      <c r="L856">
        <v>25</v>
      </c>
      <c r="M856">
        <v>4</v>
      </c>
      <c r="N856">
        <v>0</v>
      </c>
      <c r="O856">
        <v>29</v>
      </c>
      <c r="P856">
        <v>1</v>
      </c>
      <c r="Q856">
        <v>7.2</v>
      </c>
      <c r="R856">
        <v>25</v>
      </c>
      <c r="S856">
        <v>0</v>
      </c>
      <c r="T856">
        <v>0</v>
      </c>
      <c r="U856" s="8">
        <v>25</v>
      </c>
      <c r="V856" s="8">
        <f t="shared" si="13"/>
        <v>3</v>
      </c>
    </row>
    <row r="857" spans="1:22" x14ac:dyDescent="0.3">
      <c r="A857" t="s">
        <v>364</v>
      </c>
      <c r="B857">
        <v>2</v>
      </c>
      <c r="C857" t="s">
        <v>589</v>
      </c>
      <c r="D857" t="s">
        <v>452</v>
      </c>
      <c r="E857" t="s">
        <v>159</v>
      </c>
      <c r="F857" t="s">
        <v>101</v>
      </c>
      <c r="G857" t="s">
        <v>104</v>
      </c>
      <c r="H857">
        <v>0</v>
      </c>
      <c r="I857">
        <v>0</v>
      </c>
      <c r="J857">
        <v>0</v>
      </c>
      <c r="K857" t="s">
        <v>104</v>
      </c>
      <c r="L857">
        <v>0</v>
      </c>
      <c r="M857">
        <v>3</v>
      </c>
      <c r="N857">
        <v>0</v>
      </c>
      <c r="O857">
        <v>26</v>
      </c>
      <c r="P857">
        <v>0</v>
      </c>
      <c r="Q857">
        <v>8.6999999999999993</v>
      </c>
      <c r="R857">
        <v>0</v>
      </c>
      <c r="S857">
        <v>0</v>
      </c>
      <c r="T857">
        <v>0</v>
      </c>
      <c r="U857" s="8">
        <v>0</v>
      </c>
      <c r="V857" s="8">
        <f t="shared" si="13"/>
        <v>0</v>
      </c>
    </row>
    <row r="858" spans="1:22" x14ac:dyDescent="0.3">
      <c r="A858" t="s">
        <v>364</v>
      </c>
      <c r="B858">
        <v>2</v>
      </c>
      <c r="C858" t="s">
        <v>186</v>
      </c>
      <c r="D858" t="s">
        <v>187</v>
      </c>
      <c r="E858" t="s">
        <v>159</v>
      </c>
      <c r="F858" t="s">
        <v>101</v>
      </c>
      <c r="G858" t="s">
        <v>104</v>
      </c>
      <c r="H858">
        <v>0</v>
      </c>
      <c r="I858">
        <v>0</v>
      </c>
      <c r="J858">
        <v>0</v>
      </c>
      <c r="K858" t="s">
        <v>104</v>
      </c>
      <c r="L858">
        <v>0</v>
      </c>
      <c r="M858">
        <v>3</v>
      </c>
      <c r="N858">
        <v>0</v>
      </c>
      <c r="O858">
        <v>31</v>
      </c>
      <c r="P858">
        <v>0</v>
      </c>
      <c r="Q858">
        <v>10.3</v>
      </c>
      <c r="R858">
        <v>0</v>
      </c>
      <c r="S858">
        <v>0</v>
      </c>
      <c r="T858">
        <v>0</v>
      </c>
      <c r="U858" s="8">
        <v>0</v>
      </c>
      <c r="V858" s="8">
        <f t="shared" si="13"/>
        <v>0</v>
      </c>
    </row>
    <row r="859" spans="1:22" x14ac:dyDescent="0.3">
      <c r="A859" t="s">
        <v>365</v>
      </c>
      <c r="B859">
        <v>2</v>
      </c>
      <c r="C859" t="s">
        <v>278</v>
      </c>
      <c r="D859" t="s">
        <v>293</v>
      </c>
      <c r="E859" t="s">
        <v>258</v>
      </c>
      <c r="F859" t="s">
        <v>109</v>
      </c>
      <c r="G859" t="s">
        <v>86</v>
      </c>
      <c r="H859">
        <v>43</v>
      </c>
      <c r="I859">
        <v>30</v>
      </c>
      <c r="J859">
        <v>143.33000000000001</v>
      </c>
      <c r="K859" t="s">
        <v>246</v>
      </c>
      <c r="L859">
        <v>38.700000000000003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 s="8">
        <v>38.700000000000003</v>
      </c>
      <c r="V859" s="8">
        <f t="shared" si="13"/>
        <v>4</v>
      </c>
    </row>
    <row r="860" spans="1:22" x14ac:dyDescent="0.3">
      <c r="A860" t="s">
        <v>365</v>
      </c>
      <c r="B860">
        <v>2</v>
      </c>
      <c r="C860" t="s">
        <v>81</v>
      </c>
      <c r="D860" t="s">
        <v>114</v>
      </c>
      <c r="E860" t="s">
        <v>258</v>
      </c>
      <c r="F860" t="s">
        <v>85</v>
      </c>
      <c r="G860" t="s">
        <v>86</v>
      </c>
      <c r="H860">
        <v>74</v>
      </c>
      <c r="I860">
        <v>52</v>
      </c>
      <c r="J860">
        <v>142.31</v>
      </c>
      <c r="K860" t="s">
        <v>96</v>
      </c>
      <c r="L860">
        <v>78.599999999999994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 s="8">
        <v>78.599999999999994</v>
      </c>
      <c r="V860" s="8">
        <f t="shared" si="13"/>
        <v>8</v>
      </c>
    </row>
    <row r="861" spans="1:22" x14ac:dyDescent="0.3">
      <c r="A861" t="s">
        <v>365</v>
      </c>
      <c r="B861">
        <v>2</v>
      </c>
      <c r="C861" t="s">
        <v>97</v>
      </c>
      <c r="D861" t="s">
        <v>122</v>
      </c>
      <c r="E861" t="s">
        <v>258</v>
      </c>
      <c r="F861" t="s">
        <v>109</v>
      </c>
      <c r="G861" t="s">
        <v>92</v>
      </c>
      <c r="H861">
        <v>0</v>
      </c>
      <c r="I861">
        <v>2</v>
      </c>
      <c r="J861">
        <v>0</v>
      </c>
      <c r="K861" t="s">
        <v>246</v>
      </c>
      <c r="L861">
        <v>-5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 s="8">
        <v>-5</v>
      </c>
      <c r="V861" s="8">
        <f t="shared" si="13"/>
        <v>0</v>
      </c>
    </row>
    <row r="862" spans="1:22" x14ac:dyDescent="0.3">
      <c r="A862" t="s">
        <v>365</v>
      </c>
      <c r="B862">
        <v>2</v>
      </c>
      <c r="C862" t="s">
        <v>383</v>
      </c>
      <c r="D862" t="s">
        <v>384</v>
      </c>
      <c r="E862" t="s">
        <v>258</v>
      </c>
      <c r="F862" t="s">
        <v>109</v>
      </c>
      <c r="G862" t="s">
        <v>134</v>
      </c>
      <c r="H862">
        <v>4</v>
      </c>
      <c r="I862">
        <v>8</v>
      </c>
      <c r="J862">
        <v>50</v>
      </c>
      <c r="K862" t="s">
        <v>246</v>
      </c>
      <c r="L862">
        <v>-1.6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 s="8">
        <v>-1.6</v>
      </c>
      <c r="V862" s="8">
        <f t="shared" si="13"/>
        <v>0</v>
      </c>
    </row>
    <row r="863" spans="1:22" x14ac:dyDescent="0.3">
      <c r="A863" t="s">
        <v>365</v>
      </c>
      <c r="B863">
        <v>2</v>
      </c>
      <c r="C863" t="s">
        <v>93</v>
      </c>
      <c r="D863" t="s">
        <v>118</v>
      </c>
      <c r="E863" t="s">
        <v>258</v>
      </c>
      <c r="F863" t="s">
        <v>169</v>
      </c>
      <c r="G863" t="s">
        <v>134</v>
      </c>
      <c r="H863">
        <v>15</v>
      </c>
      <c r="I863">
        <v>10</v>
      </c>
      <c r="J863">
        <v>150</v>
      </c>
      <c r="K863" t="s">
        <v>246</v>
      </c>
      <c r="L863">
        <v>14</v>
      </c>
      <c r="M863">
        <v>3</v>
      </c>
      <c r="N863">
        <v>0</v>
      </c>
      <c r="O863">
        <v>30</v>
      </c>
      <c r="P863">
        <v>1</v>
      </c>
      <c r="Q863">
        <v>10</v>
      </c>
      <c r="R863">
        <v>15</v>
      </c>
      <c r="S863">
        <v>0</v>
      </c>
      <c r="T863">
        <v>0</v>
      </c>
      <c r="U863" s="8">
        <v>29</v>
      </c>
      <c r="V863" s="8">
        <f t="shared" si="13"/>
        <v>3</v>
      </c>
    </row>
    <row r="864" spans="1:22" x14ac:dyDescent="0.3">
      <c r="A864" t="s">
        <v>365</v>
      </c>
      <c r="B864">
        <v>2</v>
      </c>
      <c r="C864" t="s">
        <v>447</v>
      </c>
      <c r="D864" t="s">
        <v>448</v>
      </c>
      <c r="E864" t="s">
        <v>258</v>
      </c>
      <c r="F864" t="s">
        <v>101</v>
      </c>
      <c r="G864" t="s">
        <v>134</v>
      </c>
      <c r="H864">
        <v>1</v>
      </c>
      <c r="I864">
        <v>4</v>
      </c>
      <c r="J864">
        <v>25</v>
      </c>
      <c r="K864" t="s">
        <v>246</v>
      </c>
      <c r="L864">
        <v>-2.2000000000000002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 s="8">
        <v>-2.2000000000000002</v>
      </c>
      <c r="V864" s="8">
        <f t="shared" si="13"/>
        <v>0</v>
      </c>
    </row>
    <row r="865" spans="1:22" x14ac:dyDescent="0.3">
      <c r="A865" t="s">
        <v>365</v>
      </c>
      <c r="B865">
        <v>2</v>
      </c>
      <c r="C865" t="s">
        <v>385</v>
      </c>
      <c r="D865" t="s">
        <v>386</v>
      </c>
      <c r="E865" t="s">
        <v>258</v>
      </c>
      <c r="F865" t="s">
        <v>169</v>
      </c>
      <c r="G865" t="s">
        <v>134</v>
      </c>
      <c r="H865">
        <v>11</v>
      </c>
      <c r="I865">
        <v>11</v>
      </c>
      <c r="J865">
        <v>100</v>
      </c>
      <c r="K865" t="s">
        <v>246</v>
      </c>
      <c r="L865">
        <v>6.9</v>
      </c>
      <c r="M865">
        <v>3</v>
      </c>
      <c r="N865">
        <v>0</v>
      </c>
      <c r="O865">
        <v>26</v>
      </c>
      <c r="P865">
        <v>1</v>
      </c>
      <c r="Q865">
        <v>8.6999999999999993</v>
      </c>
      <c r="R865">
        <v>15</v>
      </c>
      <c r="S865">
        <v>0</v>
      </c>
      <c r="T865">
        <v>0</v>
      </c>
      <c r="U865" s="8">
        <v>21.9</v>
      </c>
      <c r="V865" s="8">
        <f t="shared" si="13"/>
        <v>2</v>
      </c>
    </row>
    <row r="866" spans="1:22" x14ac:dyDescent="0.3">
      <c r="A866" t="s">
        <v>365</v>
      </c>
      <c r="B866">
        <v>2</v>
      </c>
      <c r="C866" t="s">
        <v>105</v>
      </c>
      <c r="D866" t="s">
        <v>128</v>
      </c>
      <c r="E866" t="s">
        <v>258</v>
      </c>
      <c r="F866" t="s">
        <v>101</v>
      </c>
      <c r="G866" t="s">
        <v>134</v>
      </c>
      <c r="H866">
        <v>1</v>
      </c>
      <c r="I866">
        <v>3</v>
      </c>
      <c r="J866">
        <v>33.33</v>
      </c>
      <c r="K866" t="s">
        <v>245</v>
      </c>
      <c r="L866">
        <v>-2.2999999999999998</v>
      </c>
      <c r="M866">
        <v>4</v>
      </c>
      <c r="N866">
        <v>0</v>
      </c>
      <c r="O866">
        <v>28</v>
      </c>
      <c r="P866">
        <v>0</v>
      </c>
      <c r="Q866">
        <v>7</v>
      </c>
      <c r="R866">
        <v>5</v>
      </c>
      <c r="S866">
        <v>0</v>
      </c>
      <c r="T866">
        <v>0</v>
      </c>
      <c r="U866" s="8">
        <v>2.7</v>
      </c>
      <c r="V866" s="8">
        <f t="shared" si="13"/>
        <v>0</v>
      </c>
    </row>
    <row r="867" spans="1:22" x14ac:dyDescent="0.3">
      <c r="A867" t="s">
        <v>365</v>
      </c>
      <c r="B867">
        <v>2</v>
      </c>
      <c r="C867" t="s">
        <v>438</v>
      </c>
      <c r="D867" t="s">
        <v>439</v>
      </c>
      <c r="E867" t="s">
        <v>258</v>
      </c>
      <c r="F867" t="s">
        <v>101</v>
      </c>
      <c r="G867" t="s">
        <v>134</v>
      </c>
      <c r="H867">
        <v>0</v>
      </c>
      <c r="I867">
        <v>0</v>
      </c>
      <c r="J867">
        <v>0</v>
      </c>
      <c r="K867" t="s">
        <v>256</v>
      </c>
      <c r="L867">
        <v>0</v>
      </c>
      <c r="M867">
        <v>4</v>
      </c>
      <c r="N867">
        <v>0</v>
      </c>
      <c r="O867">
        <v>11</v>
      </c>
      <c r="P867">
        <v>3</v>
      </c>
      <c r="Q867">
        <v>2.8</v>
      </c>
      <c r="R867">
        <v>85</v>
      </c>
      <c r="S867">
        <v>0</v>
      </c>
      <c r="T867">
        <v>0</v>
      </c>
      <c r="U867" s="8">
        <v>85</v>
      </c>
      <c r="V867" s="8">
        <f t="shared" si="13"/>
        <v>9</v>
      </c>
    </row>
    <row r="868" spans="1:22" x14ac:dyDescent="0.3">
      <c r="A868" t="s">
        <v>365</v>
      </c>
      <c r="B868">
        <v>2</v>
      </c>
      <c r="C868" t="s">
        <v>389</v>
      </c>
      <c r="D868" t="s">
        <v>390</v>
      </c>
      <c r="E868" t="s">
        <v>258</v>
      </c>
      <c r="F868" t="s">
        <v>91</v>
      </c>
      <c r="G868" t="s">
        <v>134</v>
      </c>
      <c r="H868">
        <v>0</v>
      </c>
      <c r="I868">
        <v>0</v>
      </c>
      <c r="J868">
        <v>0</v>
      </c>
      <c r="K868" t="s">
        <v>96</v>
      </c>
      <c r="L868">
        <v>5</v>
      </c>
      <c r="M868">
        <v>3</v>
      </c>
      <c r="N868">
        <v>0</v>
      </c>
      <c r="O868">
        <v>23</v>
      </c>
      <c r="P868">
        <v>0</v>
      </c>
      <c r="Q868">
        <v>7.7</v>
      </c>
      <c r="R868">
        <v>5</v>
      </c>
      <c r="S868">
        <v>0</v>
      </c>
      <c r="T868">
        <v>0</v>
      </c>
      <c r="U868" s="8">
        <v>10</v>
      </c>
      <c r="V868" s="8">
        <f t="shared" si="13"/>
        <v>1</v>
      </c>
    </row>
    <row r="869" spans="1:22" x14ac:dyDescent="0.3">
      <c r="A869" t="s">
        <v>365</v>
      </c>
      <c r="B869">
        <v>2</v>
      </c>
      <c r="C869" t="s">
        <v>404</v>
      </c>
      <c r="D869" t="s">
        <v>416</v>
      </c>
      <c r="E869" t="s">
        <v>258</v>
      </c>
      <c r="F869" t="s">
        <v>91</v>
      </c>
      <c r="G869" t="s">
        <v>104</v>
      </c>
      <c r="H869">
        <v>0</v>
      </c>
      <c r="I869">
        <v>0</v>
      </c>
      <c r="J869">
        <v>0</v>
      </c>
      <c r="K869" t="s">
        <v>104</v>
      </c>
      <c r="L869">
        <v>0</v>
      </c>
      <c r="M869">
        <v>3</v>
      </c>
      <c r="N869">
        <v>0</v>
      </c>
      <c r="O869">
        <v>21</v>
      </c>
      <c r="P869">
        <v>0</v>
      </c>
      <c r="Q869">
        <v>7</v>
      </c>
      <c r="R869">
        <v>0</v>
      </c>
      <c r="S869">
        <v>0</v>
      </c>
      <c r="T869">
        <v>0</v>
      </c>
      <c r="U869" s="8">
        <v>0</v>
      </c>
      <c r="V869" s="8">
        <f t="shared" si="13"/>
        <v>0</v>
      </c>
    </row>
    <row r="870" spans="1:22" x14ac:dyDescent="0.3">
      <c r="A870" t="s">
        <v>365</v>
      </c>
      <c r="B870">
        <v>2</v>
      </c>
      <c r="C870" t="s">
        <v>217</v>
      </c>
      <c r="D870" t="s">
        <v>218</v>
      </c>
      <c r="E870" t="s">
        <v>219</v>
      </c>
      <c r="F870" t="s">
        <v>85</v>
      </c>
      <c r="G870" t="s">
        <v>86</v>
      </c>
      <c r="H870">
        <v>4</v>
      </c>
      <c r="I870">
        <v>3</v>
      </c>
      <c r="J870">
        <v>133.33000000000001</v>
      </c>
      <c r="K870" t="s">
        <v>246</v>
      </c>
      <c r="L870">
        <v>5.7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 s="8">
        <v>5.7</v>
      </c>
      <c r="V870" s="8">
        <f t="shared" si="13"/>
        <v>1</v>
      </c>
    </row>
    <row r="871" spans="1:22" x14ac:dyDescent="0.3">
      <c r="A871" t="s">
        <v>365</v>
      </c>
      <c r="B871">
        <v>2</v>
      </c>
      <c r="C871" t="s">
        <v>229</v>
      </c>
      <c r="D871" t="s">
        <v>230</v>
      </c>
      <c r="E871" t="s">
        <v>219</v>
      </c>
      <c r="F871" t="s">
        <v>109</v>
      </c>
      <c r="G871" t="s">
        <v>92</v>
      </c>
      <c r="H871">
        <v>0</v>
      </c>
      <c r="I871">
        <v>2</v>
      </c>
      <c r="J871">
        <v>0</v>
      </c>
      <c r="K871" t="s">
        <v>246</v>
      </c>
      <c r="L871">
        <v>-5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 s="8">
        <v>-5</v>
      </c>
      <c r="V871" s="8">
        <f t="shared" si="13"/>
        <v>0</v>
      </c>
    </row>
    <row r="872" spans="1:22" x14ac:dyDescent="0.3">
      <c r="A872" t="s">
        <v>365</v>
      </c>
      <c r="B872">
        <v>2</v>
      </c>
      <c r="C872" t="s">
        <v>403</v>
      </c>
      <c r="D872" t="s">
        <v>414</v>
      </c>
      <c r="E872" t="s">
        <v>219</v>
      </c>
      <c r="F872" t="s">
        <v>169</v>
      </c>
      <c r="G872" t="s">
        <v>92</v>
      </c>
      <c r="H872">
        <v>0</v>
      </c>
      <c r="I872">
        <v>3</v>
      </c>
      <c r="J872">
        <v>0</v>
      </c>
      <c r="K872" t="s">
        <v>246</v>
      </c>
      <c r="L872">
        <v>-5</v>
      </c>
      <c r="M872">
        <v>4</v>
      </c>
      <c r="N872">
        <v>0</v>
      </c>
      <c r="O872">
        <v>25</v>
      </c>
      <c r="P872">
        <v>1</v>
      </c>
      <c r="Q872">
        <v>6.2</v>
      </c>
      <c r="R872">
        <v>25</v>
      </c>
      <c r="S872">
        <v>0</v>
      </c>
      <c r="T872">
        <v>0</v>
      </c>
      <c r="U872" s="8">
        <v>20</v>
      </c>
      <c r="V872" s="8">
        <f t="shared" si="13"/>
        <v>2</v>
      </c>
    </row>
    <row r="873" spans="1:22" x14ac:dyDescent="0.3">
      <c r="A873" t="s">
        <v>365</v>
      </c>
      <c r="B873">
        <v>2</v>
      </c>
      <c r="C873" t="s">
        <v>224</v>
      </c>
      <c r="D873" t="s">
        <v>225</v>
      </c>
      <c r="E873" t="s">
        <v>219</v>
      </c>
      <c r="F873" t="s">
        <v>169</v>
      </c>
      <c r="G873" t="s">
        <v>134</v>
      </c>
      <c r="H873">
        <v>88</v>
      </c>
      <c r="I873">
        <v>60</v>
      </c>
      <c r="J873">
        <v>146.66999999999999</v>
      </c>
      <c r="K873" t="s">
        <v>96</v>
      </c>
      <c r="L873">
        <v>88.3</v>
      </c>
      <c r="M873">
        <v>4</v>
      </c>
      <c r="N873">
        <v>0</v>
      </c>
      <c r="O873">
        <v>22</v>
      </c>
      <c r="P873">
        <v>2</v>
      </c>
      <c r="Q873">
        <v>5.5</v>
      </c>
      <c r="R873">
        <v>65</v>
      </c>
      <c r="S873">
        <v>0</v>
      </c>
      <c r="T873">
        <v>0</v>
      </c>
      <c r="U873" s="8">
        <v>153.30000000000001</v>
      </c>
      <c r="V873" s="8">
        <f t="shared" si="13"/>
        <v>10</v>
      </c>
    </row>
    <row r="874" spans="1:22" x14ac:dyDescent="0.3">
      <c r="A874" t="s">
        <v>365</v>
      </c>
      <c r="B874">
        <v>2</v>
      </c>
      <c r="C874" t="s">
        <v>226</v>
      </c>
      <c r="D874" t="s">
        <v>211</v>
      </c>
      <c r="E874" t="s">
        <v>219</v>
      </c>
      <c r="F874" t="s">
        <v>169</v>
      </c>
      <c r="G874" t="s">
        <v>134</v>
      </c>
      <c r="H874">
        <v>1</v>
      </c>
      <c r="I874">
        <v>7</v>
      </c>
      <c r="J874">
        <v>14.29</v>
      </c>
      <c r="K874" t="s">
        <v>246</v>
      </c>
      <c r="L874">
        <v>-3.4</v>
      </c>
      <c r="M874">
        <v>1</v>
      </c>
      <c r="N874">
        <v>0</v>
      </c>
      <c r="O874">
        <v>9</v>
      </c>
      <c r="P874">
        <v>0</v>
      </c>
      <c r="Q874">
        <v>9</v>
      </c>
      <c r="R874">
        <v>0</v>
      </c>
      <c r="S874">
        <v>0</v>
      </c>
      <c r="T874">
        <v>0</v>
      </c>
      <c r="U874" s="8">
        <v>-3.4</v>
      </c>
      <c r="V874" s="8">
        <f t="shared" si="13"/>
        <v>0</v>
      </c>
    </row>
    <row r="875" spans="1:22" x14ac:dyDescent="0.3">
      <c r="A875" t="s">
        <v>365</v>
      </c>
      <c r="B875">
        <v>2</v>
      </c>
      <c r="C875" t="s">
        <v>220</v>
      </c>
      <c r="D875" t="s">
        <v>221</v>
      </c>
      <c r="E875" t="s">
        <v>219</v>
      </c>
      <c r="F875" t="s">
        <v>169</v>
      </c>
      <c r="G875" t="s">
        <v>134</v>
      </c>
      <c r="H875">
        <v>8</v>
      </c>
      <c r="I875">
        <v>9</v>
      </c>
      <c r="J875">
        <v>88.89</v>
      </c>
      <c r="K875" t="s">
        <v>245</v>
      </c>
      <c r="L875">
        <v>1.3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 s="8">
        <v>1.3</v>
      </c>
      <c r="V875" s="8">
        <f t="shared" si="13"/>
        <v>0</v>
      </c>
    </row>
    <row r="876" spans="1:22" x14ac:dyDescent="0.3">
      <c r="A876" t="s">
        <v>365</v>
      </c>
      <c r="B876">
        <v>2</v>
      </c>
      <c r="C876" t="s">
        <v>273</v>
      </c>
      <c r="D876" t="s">
        <v>279</v>
      </c>
      <c r="E876" t="s">
        <v>219</v>
      </c>
      <c r="F876" t="s">
        <v>169</v>
      </c>
      <c r="G876" t="s">
        <v>134</v>
      </c>
      <c r="H876">
        <v>36</v>
      </c>
      <c r="I876">
        <v>36</v>
      </c>
      <c r="J876">
        <v>100</v>
      </c>
      <c r="K876" t="s">
        <v>96</v>
      </c>
      <c r="L876">
        <v>38.799999999999997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 s="8">
        <v>38.799999999999997</v>
      </c>
      <c r="V876" s="8">
        <f t="shared" si="13"/>
        <v>4</v>
      </c>
    </row>
    <row r="877" spans="1:22" x14ac:dyDescent="0.3">
      <c r="A877" t="s">
        <v>365</v>
      </c>
      <c r="B877">
        <v>2</v>
      </c>
      <c r="C877" t="s">
        <v>233</v>
      </c>
      <c r="D877" t="s">
        <v>234</v>
      </c>
      <c r="E877" t="s">
        <v>219</v>
      </c>
      <c r="F877" t="s">
        <v>101</v>
      </c>
      <c r="G877" t="s">
        <v>104</v>
      </c>
      <c r="H877">
        <v>0</v>
      </c>
      <c r="I877">
        <v>0</v>
      </c>
      <c r="J877">
        <v>0</v>
      </c>
      <c r="K877" t="s">
        <v>104</v>
      </c>
      <c r="L877">
        <v>0</v>
      </c>
      <c r="M877">
        <v>4</v>
      </c>
      <c r="N877">
        <v>0</v>
      </c>
      <c r="O877">
        <v>38</v>
      </c>
      <c r="P877">
        <v>3</v>
      </c>
      <c r="Q877">
        <v>9.5</v>
      </c>
      <c r="R877">
        <v>65</v>
      </c>
      <c r="S877">
        <v>0</v>
      </c>
      <c r="T877">
        <v>0</v>
      </c>
      <c r="U877" s="8">
        <v>65</v>
      </c>
      <c r="V877" s="8">
        <f t="shared" si="13"/>
        <v>7</v>
      </c>
    </row>
    <row r="878" spans="1:22" x14ac:dyDescent="0.3">
      <c r="A878" t="s">
        <v>365</v>
      </c>
      <c r="B878">
        <v>2</v>
      </c>
      <c r="C878" t="s">
        <v>377</v>
      </c>
      <c r="D878" t="s">
        <v>378</v>
      </c>
      <c r="E878" t="s">
        <v>219</v>
      </c>
      <c r="F878" t="s">
        <v>91</v>
      </c>
      <c r="G878" t="s">
        <v>104</v>
      </c>
      <c r="H878">
        <v>0</v>
      </c>
      <c r="I878">
        <v>0</v>
      </c>
      <c r="J878">
        <v>0</v>
      </c>
      <c r="K878" t="s">
        <v>104</v>
      </c>
      <c r="L878">
        <v>0</v>
      </c>
      <c r="M878">
        <v>2</v>
      </c>
      <c r="N878">
        <v>0</v>
      </c>
      <c r="O878">
        <v>19</v>
      </c>
      <c r="P878">
        <v>0</v>
      </c>
      <c r="Q878">
        <v>9.5</v>
      </c>
      <c r="R878">
        <v>0</v>
      </c>
      <c r="S878">
        <v>0</v>
      </c>
      <c r="T878">
        <v>0</v>
      </c>
      <c r="U878" s="8">
        <v>0</v>
      </c>
      <c r="V878" s="8">
        <f t="shared" si="13"/>
        <v>0</v>
      </c>
    </row>
    <row r="879" spans="1:22" x14ac:dyDescent="0.3">
      <c r="A879" t="s">
        <v>365</v>
      </c>
      <c r="B879">
        <v>2</v>
      </c>
      <c r="C879" t="s">
        <v>237</v>
      </c>
      <c r="D879" t="s">
        <v>238</v>
      </c>
      <c r="E879" t="s">
        <v>219</v>
      </c>
      <c r="F879" t="s">
        <v>101</v>
      </c>
      <c r="G879" t="s">
        <v>104</v>
      </c>
      <c r="H879">
        <v>0</v>
      </c>
      <c r="I879">
        <v>0</v>
      </c>
      <c r="J879">
        <v>0</v>
      </c>
      <c r="K879" t="s">
        <v>104</v>
      </c>
      <c r="L879">
        <v>0</v>
      </c>
      <c r="M879">
        <v>4</v>
      </c>
      <c r="N879">
        <v>0</v>
      </c>
      <c r="O879">
        <v>28</v>
      </c>
      <c r="P879">
        <v>1</v>
      </c>
      <c r="Q879">
        <v>7</v>
      </c>
      <c r="R879">
        <v>25</v>
      </c>
      <c r="S879">
        <v>0</v>
      </c>
      <c r="T879">
        <v>0</v>
      </c>
      <c r="U879" s="8">
        <v>25</v>
      </c>
      <c r="V879" s="8">
        <f t="shared" si="13"/>
        <v>3</v>
      </c>
    </row>
    <row r="880" spans="1:22" x14ac:dyDescent="0.3">
      <c r="A880" t="s">
        <v>365</v>
      </c>
      <c r="B880">
        <v>2</v>
      </c>
      <c r="C880" t="s">
        <v>235</v>
      </c>
      <c r="D880" t="s">
        <v>236</v>
      </c>
      <c r="E880" t="s">
        <v>219</v>
      </c>
      <c r="F880" t="s">
        <v>101</v>
      </c>
      <c r="G880" t="s">
        <v>104</v>
      </c>
      <c r="H880">
        <v>0</v>
      </c>
      <c r="I880">
        <v>0</v>
      </c>
      <c r="J880">
        <v>0</v>
      </c>
      <c r="K880" t="s">
        <v>104</v>
      </c>
      <c r="L880">
        <v>0</v>
      </c>
      <c r="M880">
        <v>1</v>
      </c>
      <c r="N880">
        <v>0</v>
      </c>
      <c r="O880">
        <v>11</v>
      </c>
      <c r="P880">
        <v>0</v>
      </c>
      <c r="Q880">
        <v>11</v>
      </c>
      <c r="R880">
        <v>0</v>
      </c>
      <c r="S880">
        <v>0</v>
      </c>
      <c r="T880">
        <v>0</v>
      </c>
      <c r="U880" s="8">
        <v>0</v>
      </c>
      <c r="V880" s="8">
        <f t="shared" si="13"/>
        <v>0</v>
      </c>
    </row>
    <row r="881" spans="1:22" x14ac:dyDescent="0.3">
      <c r="A881" t="s">
        <v>366</v>
      </c>
      <c r="B881">
        <v>2</v>
      </c>
      <c r="C881" t="s">
        <v>112</v>
      </c>
      <c r="D881" t="s">
        <v>88</v>
      </c>
      <c r="E881" t="s">
        <v>266</v>
      </c>
      <c r="F881" t="s">
        <v>169</v>
      </c>
      <c r="G881" t="s">
        <v>86</v>
      </c>
      <c r="H881">
        <v>26</v>
      </c>
      <c r="I881">
        <v>23</v>
      </c>
      <c r="J881">
        <v>113.04</v>
      </c>
      <c r="K881" t="s">
        <v>246</v>
      </c>
      <c r="L881">
        <v>17.3</v>
      </c>
      <c r="M881">
        <v>2</v>
      </c>
      <c r="N881">
        <v>0</v>
      </c>
      <c r="O881">
        <v>11</v>
      </c>
      <c r="P881">
        <v>1</v>
      </c>
      <c r="Q881">
        <v>5.5</v>
      </c>
      <c r="R881">
        <v>30</v>
      </c>
      <c r="S881">
        <v>0</v>
      </c>
      <c r="T881">
        <v>0</v>
      </c>
      <c r="U881" s="8">
        <v>47.3</v>
      </c>
      <c r="V881" s="8">
        <f t="shared" si="13"/>
        <v>5</v>
      </c>
    </row>
    <row r="882" spans="1:22" x14ac:dyDescent="0.3">
      <c r="A882" t="s">
        <v>366</v>
      </c>
      <c r="B882">
        <v>2</v>
      </c>
      <c r="C882" t="s">
        <v>347</v>
      </c>
      <c r="D882" t="s">
        <v>348</v>
      </c>
      <c r="E882" t="s">
        <v>266</v>
      </c>
      <c r="F882" t="s">
        <v>169</v>
      </c>
      <c r="G882" t="s">
        <v>92</v>
      </c>
      <c r="H882">
        <v>30</v>
      </c>
      <c r="I882">
        <v>21</v>
      </c>
      <c r="J882">
        <v>142.86000000000001</v>
      </c>
      <c r="K882" t="s">
        <v>245</v>
      </c>
      <c r="L882">
        <v>28.6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 s="8">
        <v>28.6</v>
      </c>
      <c r="V882" s="8">
        <f t="shared" si="13"/>
        <v>3</v>
      </c>
    </row>
    <row r="883" spans="1:22" x14ac:dyDescent="0.3">
      <c r="A883" t="s">
        <v>366</v>
      </c>
      <c r="B883">
        <v>2</v>
      </c>
      <c r="C883" t="s">
        <v>117</v>
      </c>
      <c r="D883" t="s">
        <v>90</v>
      </c>
      <c r="E883" t="s">
        <v>266</v>
      </c>
      <c r="F883" t="s">
        <v>169</v>
      </c>
      <c r="G883" t="s">
        <v>92</v>
      </c>
      <c r="H883">
        <v>10</v>
      </c>
      <c r="I883">
        <v>15</v>
      </c>
      <c r="J883">
        <v>66.67</v>
      </c>
      <c r="K883" t="s">
        <v>247</v>
      </c>
      <c r="L883">
        <v>2.2999999999999998</v>
      </c>
      <c r="M883">
        <v>2</v>
      </c>
      <c r="N883">
        <v>0</v>
      </c>
      <c r="O883">
        <v>18</v>
      </c>
      <c r="P883">
        <v>1</v>
      </c>
      <c r="Q883">
        <v>9</v>
      </c>
      <c r="R883">
        <v>15</v>
      </c>
      <c r="S883">
        <v>0</v>
      </c>
      <c r="T883">
        <v>0</v>
      </c>
      <c r="U883" s="8">
        <v>17.3</v>
      </c>
      <c r="V883" s="8">
        <f t="shared" si="13"/>
        <v>2</v>
      </c>
    </row>
    <row r="884" spans="1:22" x14ac:dyDescent="0.3">
      <c r="A884" t="s">
        <v>366</v>
      </c>
      <c r="B884">
        <v>2</v>
      </c>
      <c r="C884" t="s">
        <v>115</v>
      </c>
      <c r="D884" t="s">
        <v>17</v>
      </c>
      <c r="E884" t="s">
        <v>266</v>
      </c>
      <c r="F884" t="s">
        <v>169</v>
      </c>
      <c r="G884" t="s">
        <v>134</v>
      </c>
      <c r="H884">
        <v>0</v>
      </c>
      <c r="I884">
        <v>1</v>
      </c>
      <c r="J884">
        <v>0</v>
      </c>
      <c r="K884" t="s">
        <v>245</v>
      </c>
      <c r="L884">
        <v>-5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 s="8">
        <v>-5</v>
      </c>
      <c r="V884" s="8">
        <f t="shared" si="13"/>
        <v>0</v>
      </c>
    </row>
    <row r="885" spans="1:22" x14ac:dyDescent="0.3">
      <c r="A885" t="s">
        <v>366</v>
      </c>
      <c r="B885">
        <v>2</v>
      </c>
      <c r="C885" t="s">
        <v>119</v>
      </c>
      <c r="D885" t="s">
        <v>95</v>
      </c>
      <c r="E885" t="s">
        <v>266</v>
      </c>
      <c r="F885" t="s">
        <v>169</v>
      </c>
      <c r="G885" t="s">
        <v>134</v>
      </c>
      <c r="H885">
        <v>2</v>
      </c>
      <c r="I885">
        <v>5</v>
      </c>
      <c r="J885">
        <v>40</v>
      </c>
      <c r="K885" t="s">
        <v>247</v>
      </c>
      <c r="L885">
        <v>-2</v>
      </c>
      <c r="M885">
        <v>2</v>
      </c>
      <c r="N885">
        <v>0</v>
      </c>
      <c r="O885">
        <v>13</v>
      </c>
      <c r="P885">
        <v>0</v>
      </c>
      <c r="Q885">
        <v>6.5</v>
      </c>
      <c r="R885">
        <v>5</v>
      </c>
      <c r="S885">
        <v>0</v>
      </c>
      <c r="T885">
        <v>0</v>
      </c>
      <c r="U885" s="8">
        <v>3</v>
      </c>
      <c r="V885" s="8">
        <f t="shared" si="13"/>
        <v>0</v>
      </c>
    </row>
    <row r="886" spans="1:22" x14ac:dyDescent="0.3">
      <c r="A886" t="s">
        <v>366</v>
      </c>
      <c r="B886">
        <v>2</v>
      </c>
      <c r="C886" t="s">
        <v>121</v>
      </c>
      <c r="D886" t="s">
        <v>108</v>
      </c>
      <c r="E886" t="s">
        <v>266</v>
      </c>
      <c r="F886" t="s">
        <v>169</v>
      </c>
      <c r="G886" t="s">
        <v>134</v>
      </c>
      <c r="H886">
        <v>4</v>
      </c>
      <c r="I886">
        <v>2</v>
      </c>
      <c r="J886">
        <v>200</v>
      </c>
      <c r="K886" t="s">
        <v>245</v>
      </c>
      <c r="L886">
        <v>8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 s="8">
        <v>8</v>
      </c>
      <c r="V886" s="8">
        <f t="shared" si="13"/>
        <v>1</v>
      </c>
    </row>
    <row r="887" spans="1:22" x14ac:dyDescent="0.3">
      <c r="A887" t="s">
        <v>366</v>
      </c>
      <c r="B887">
        <v>2</v>
      </c>
      <c r="C887" t="s">
        <v>123</v>
      </c>
      <c r="D887" t="s">
        <v>98</v>
      </c>
      <c r="E887" t="s">
        <v>266</v>
      </c>
      <c r="F887" t="s">
        <v>169</v>
      </c>
      <c r="G887" t="s">
        <v>134</v>
      </c>
      <c r="H887">
        <v>6</v>
      </c>
      <c r="I887">
        <v>10</v>
      </c>
      <c r="J887">
        <v>60</v>
      </c>
      <c r="K887" t="s">
        <v>245</v>
      </c>
      <c r="L887">
        <v>0.2</v>
      </c>
      <c r="M887">
        <v>3</v>
      </c>
      <c r="N887">
        <v>0</v>
      </c>
      <c r="O887">
        <v>26</v>
      </c>
      <c r="P887">
        <v>0</v>
      </c>
      <c r="Q887">
        <v>8.6999999999999993</v>
      </c>
      <c r="R887">
        <v>3</v>
      </c>
      <c r="S887">
        <v>0</v>
      </c>
      <c r="T887">
        <v>0</v>
      </c>
      <c r="U887" s="8">
        <v>3.2</v>
      </c>
      <c r="V887" s="8">
        <f t="shared" si="13"/>
        <v>0</v>
      </c>
    </row>
    <row r="888" spans="1:22" x14ac:dyDescent="0.3">
      <c r="A888" t="s">
        <v>366</v>
      </c>
      <c r="B888">
        <v>2</v>
      </c>
      <c r="C888" t="s">
        <v>125</v>
      </c>
      <c r="D888" t="s">
        <v>111</v>
      </c>
      <c r="E888" t="s">
        <v>266</v>
      </c>
      <c r="F888" t="s">
        <v>169</v>
      </c>
      <c r="G888" t="s">
        <v>134</v>
      </c>
      <c r="H888">
        <v>4</v>
      </c>
      <c r="I888">
        <v>7</v>
      </c>
      <c r="J888">
        <v>57.14</v>
      </c>
      <c r="K888" t="s">
        <v>246</v>
      </c>
      <c r="L888">
        <v>-0.1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 s="8">
        <v>-0.1</v>
      </c>
      <c r="V888" s="8">
        <f t="shared" si="13"/>
        <v>0</v>
      </c>
    </row>
    <row r="889" spans="1:22" x14ac:dyDescent="0.3">
      <c r="A889" t="s">
        <v>366</v>
      </c>
      <c r="B889">
        <v>2</v>
      </c>
      <c r="C889" t="s">
        <v>590</v>
      </c>
      <c r="D889" t="s">
        <v>456</v>
      </c>
      <c r="E889" t="s">
        <v>266</v>
      </c>
      <c r="F889" t="s">
        <v>85</v>
      </c>
      <c r="G889" t="s">
        <v>134</v>
      </c>
      <c r="H889">
        <v>19</v>
      </c>
      <c r="I889">
        <v>18</v>
      </c>
      <c r="J889">
        <v>105.56</v>
      </c>
      <c r="K889" t="s">
        <v>96</v>
      </c>
      <c r="L889">
        <v>16.100000000000001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 s="8">
        <v>16.100000000000001</v>
      </c>
      <c r="V889" s="8">
        <f t="shared" si="13"/>
        <v>2</v>
      </c>
    </row>
    <row r="890" spans="1:22" x14ac:dyDescent="0.3">
      <c r="A890" t="s">
        <v>366</v>
      </c>
      <c r="B890">
        <v>2</v>
      </c>
      <c r="C890" t="s">
        <v>265</v>
      </c>
      <c r="D890" t="s">
        <v>264</v>
      </c>
      <c r="E890" t="s">
        <v>266</v>
      </c>
      <c r="F890" t="s">
        <v>101</v>
      </c>
      <c r="G890" t="s">
        <v>134</v>
      </c>
      <c r="H890">
        <v>8</v>
      </c>
      <c r="I890">
        <v>8</v>
      </c>
      <c r="J890">
        <v>100</v>
      </c>
      <c r="K890" t="s">
        <v>248</v>
      </c>
      <c r="L890">
        <v>6.8</v>
      </c>
      <c r="M890">
        <v>4</v>
      </c>
      <c r="N890">
        <v>0</v>
      </c>
      <c r="O890">
        <v>19</v>
      </c>
      <c r="P890">
        <v>1</v>
      </c>
      <c r="Q890">
        <v>4.8</v>
      </c>
      <c r="R890">
        <v>30</v>
      </c>
      <c r="S890">
        <v>0</v>
      </c>
      <c r="T890">
        <v>0</v>
      </c>
      <c r="U890" s="8">
        <v>36.799999999999997</v>
      </c>
      <c r="V890" s="8">
        <f t="shared" si="13"/>
        <v>4</v>
      </c>
    </row>
    <row r="891" spans="1:22" x14ac:dyDescent="0.3">
      <c r="A891" t="s">
        <v>366</v>
      </c>
      <c r="B891">
        <v>2</v>
      </c>
      <c r="C891" t="s">
        <v>131</v>
      </c>
      <c r="D891" t="s">
        <v>106</v>
      </c>
      <c r="E891" t="s">
        <v>266</v>
      </c>
      <c r="F891" t="s">
        <v>101</v>
      </c>
      <c r="G891" t="s">
        <v>134</v>
      </c>
      <c r="H891">
        <v>1</v>
      </c>
      <c r="I891">
        <v>4</v>
      </c>
      <c r="J891">
        <v>25</v>
      </c>
      <c r="K891" t="s">
        <v>247</v>
      </c>
      <c r="L891">
        <v>-2.7</v>
      </c>
      <c r="M891">
        <v>2</v>
      </c>
      <c r="N891">
        <v>0</v>
      </c>
      <c r="O891">
        <v>24</v>
      </c>
      <c r="P891">
        <v>0</v>
      </c>
      <c r="Q891">
        <v>12</v>
      </c>
      <c r="R891">
        <v>0</v>
      </c>
      <c r="S891">
        <v>0</v>
      </c>
      <c r="T891">
        <v>0</v>
      </c>
      <c r="U891" s="8">
        <v>-2.7</v>
      </c>
      <c r="V891" s="8">
        <f t="shared" si="13"/>
        <v>0</v>
      </c>
    </row>
    <row r="892" spans="1:22" x14ac:dyDescent="0.3">
      <c r="A892" t="s">
        <v>366</v>
      </c>
      <c r="B892">
        <v>2</v>
      </c>
      <c r="C892" t="s">
        <v>165</v>
      </c>
      <c r="D892" t="s">
        <v>166</v>
      </c>
      <c r="E892" t="s">
        <v>159</v>
      </c>
      <c r="F892" t="s">
        <v>109</v>
      </c>
      <c r="G892" t="s">
        <v>86</v>
      </c>
      <c r="H892">
        <v>11</v>
      </c>
      <c r="I892">
        <v>13</v>
      </c>
      <c r="J892">
        <v>84.62</v>
      </c>
      <c r="K892" t="s">
        <v>246</v>
      </c>
      <c r="L892">
        <v>3.2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 s="8">
        <v>3.2</v>
      </c>
      <c r="V892" s="8">
        <f t="shared" si="13"/>
        <v>0</v>
      </c>
    </row>
    <row r="893" spans="1:22" x14ac:dyDescent="0.3">
      <c r="A893" t="s">
        <v>366</v>
      </c>
      <c r="B893">
        <v>2</v>
      </c>
      <c r="C893" t="s">
        <v>371</v>
      </c>
      <c r="D893" t="s">
        <v>372</v>
      </c>
      <c r="E893" t="s">
        <v>159</v>
      </c>
      <c r="F893" t="s">
        <v>169</v>
      </c>
      <c r="G893" t="s">
        <v>92</v>
      </c>
      <c r="H893">
        <v>9</v>
      </c>
      <c r="I893">
        <v>9</v>
      </c>
      <c r="J893">
        <v>100</v>
      </c>
      <c r="K893" t="s">
        <v>248</v>
      </c>
      <c r="L893">
        <v>4.5</v>
      </c>
      <c r="M893">
        <v>4</v>
      </c>
      <c r="N893">
        <v>0</v>
      </c>
      <c r="O893">
        <v>26</v>
      </c>
      <c r="P893">
        <v>1</v>
      </c>
      <c r="Q893">
        <v>6.5</v>
      </c>
      <c r="R893">
        <v>30</v>
      </c>
      <c r="S893">
        <v>0</v>
      </c>
      <c r="T893">
        <v>0</v>
      </c>
      <c r="U893" s="8">
        <v>34.5</v>
      </c>
      <c r="V893" s="8">
        <f t="shared" si="13"/>
        <v>3</v>
      </c>
    </row>
    <row r="894" spans="1:22" x14ac:dyDescent="0.3">
      <c r="A894" t="s">
        <v>366</v>
      </c>
      <c r="B894">
        <v>2</v>
      </c>
      <c r="C894" t="s">
        <v>174</v>
      </c>
      <c r="D894" t="s">
        <v>175</v>
      </c>
      <c r="E894" t="s">
        <v>159</v>
      </c>
      <c r="F894" t="s">
        <v>169</v>
      </c>
      <c r="G894" t="s">
        <v>92</v>
      </c>
      <c r="H894">
        <v>40</v>
      </c>
      <c r="I894">
        <v>38</v>
      </c>
      <c r="J894">
        <v>105.26</v>
      </c>
      <c r="K894" t="s">
        <v>96</v>
      </c>
      <c r="L894">
        <v>39.5</v>
      </c>
      <c r="M894">
        <v>4</v>
      </c>
      <c r="N894">
        <v>0</v>
      </c>
      <c r="O894">
        <v>15</v>
      </c>
      <c r="P894">
        <v>6</v>
      </c>
      <c r="Q894">
        <v>3.8</v>
      </c>
      <c r="R894">
        <v>175</v>
      </c>
      <c r="S894">
        <v>0</v>
      </c>
      <c r="T894">
        <v>0</v>
      </c>
      <c r="U894" s="8">
        <v>214.5</v>
      </c>
      <c r="V894" s="8">
        <f t="shared" si="13"/>
        <v>10</v>
      </c>
    </row>
    <row r="895" spans="1:22" x14ac:dyDescent="0.3">
      <c r="A895" t="s">
        <v>366</v>
      </c>
      <c r="B895">
        <v>2</v>
      </c>
      <c r="C895" t="s">
        <v>167</v>
      </c>
      <c r="D895" t="s">
        <v>168</v>
      </c>
      <c r="E895" t="s">
        <v>159</v>
      </c>
      <c r="F895" t="s">
        <v>169</v>
      </c>
      <c r="G895" t="s">
        <v>134</v>
      </c>
      <c r="H895">
        <v>4</v>
      </c>
      <c r="I895">
        <v>2</v>
      </c>
      <c r="J895">
        <v>200</v>
      </c>
      <c r="K895" t="s">
        <v>245</v>
      </c>
      <c r="L895">
        <v>7.4</v>
      </c>
      <c r="M895">
        <v>3</v>
      </c>
      <c r="N895">
        <v>0</v>
      </c>
      <c r="O895">
        <v>21</v>
      </c>
      <c r="P895">
        <v>1</v>
      </c>
      <c r="Q895">
        <v>7</v>
      </c>
      <c r="R895">
        <v>15</v>
      </c>
      <c r="S895">
        <v>0</v>
      </c>
      <c r="T895">
        <v>0</v>
      </c>
      <c r="U895" s="8">
        <v>22.4</v>
      </c>
      <c r="V895" s="8">
        <f t="shared" si="13"/>
        <v>2</v>
      </c>
    </row>
    <row r="896" spans="1:22" x14ac:dyDescent="0.3">
      <c r="A896" t="s">
        <v>366</v>
      </c>
      <c r="B896">
        <v>2</v>
      </c>
      <c r="C896" t="s">
        <v>176</v>
      </c>
      <c r="D896" t="s">
        <v>177</v>
      </c>
      <c r="E896" t="s">
        <v>159</v>
      </c>
      <c r="F896" t="s">
        <v>85</v>
      </c>
      <c r="G896" t="s">
        <v>134</v>
      </c>
      <c r="H896">
        <v>36</v>
      </c>
      <c r="I896">
        <v>28</v>
      </c>
      <c r="J896">
        <v>128.57</v>
      </c>
      <c r="K896" t="s">
        <v>96</v>
      </c>
      <c r="L896">
        <v>32.700000000000003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 s="8">
        <v>32.700000000000003</v>
      </c>
      <c r="V896" s="8">
        <f t="shared" si="13"/>
        <v>3</v>
      </c>
    </row>
    <row r="897" spans="1:22" x14ac:dyDescent="0.3">
      <c r="A897" t="s">
        <v>366</v>
      </c>
      <c r="B897">
        <v>2</v>
      </c>
      <c r="C897" t="s">
        <v>99</v>
      </c>
      <c r="D897" t="s">
        <v>124</v>
      </c>
      <c r="E897" t="s">
        <v>159</v>
      </c>
      <c r="F897" t="s">
        <v>169</v>
      </c>
      <c r="G897" t="s">
        <v>104</v>
      </c>
      <c r="H897">
        <v>0</v>
      </c>
      <c r="I897">
        <v>0</v>
      </c>
      <c r="J897">
        <v>0</v>
      </c>
      <c r="K897" t="s">
        <v>104</v>
      </c>
      <c r="L897">
        <v>0</v>
      </c>
      <c r="M897">
        <v>2</v>
      </c>
      <c r="N897">
        <v>0</v>
      </c>
      <c r="O897">
        <v>8</v>
      </c>
      <c r="P897">
        <v>0</v>
      </c>
      <c r="Q897">
        <v>4</v>
      </c>
      <c r="R897">
        <v>5</v>
      </c>
      <c r="S897">
        <v>0</v>
      </c>
      <c r="T897">
        <v>0</v>
      </c>
      <c r="U897" s="8">
        <v>5</v>
      </c>
      <c r="V897" s="8">
        <f t="shared" si="13"/>
        <v>1</v>
      </c>
    </row>
    <row r="898" spans="1:22" x14ac:dyDescent="0.3">
      <c r="A898" t="s">
        <v>366</v>
      </c>
      <c r="B898">
        <v>2</v>
      </c>
      <c r="C898" t="s">
        <v>172</v>
      </c>
      <c r="D898" t="s">
        <v>173</v>
      </c>
      <c r="E898" t="s">
        <v>159</v>
      </c>
      <c r="F898" t="s">
        <v>109</v>
      </c>
      <c r="G898" t="s">
        <v>104</v>
      </c>
      <c r="H898">
        <v>0</v>
      </c>
      <c r="I898">
        <v>0</v>
      </c>
      <c r="J898">
        <v>0</v>
      </c>
      <c r="K898" t="s">
        <v>104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 s="8">
        <v>0</v>
      </c>
      <c r="V898" s="8">
        <f t="shared" si="13"/>
        <v>0</v>
      </c>
    </row>
    <row r="899" spans="1:22" x14ac:dyDescent="0.3">
      <c r="A899" t="s">
        <v>366</v>
      </c>
      <c r="B899">
        <v>2</v>
      </c>
      <c r="C899" t="s">
        <v>259</v>
      </c>
      <c r="D899" t="s">
        <v>257</v>
      </c>
      <c r="E899" t="s">
        <v>159</v>
      </c>
      <c r="F899" t="s">
        <v>169</v>
      </c>
      <c r="G899" t="s">
        <v>104</v>
      </c>
      <c r="H899">
        <v>0</v>
      </c>
      <c r="I899">
        <v>0</v>
      </c>
      <c r="J899">
        <v>0</v>
      </c>
      <c r="K899" t="s">
        <v>104</v>
      </c>
      <c r="L899">
        <v>0</v>
      </c>
      <c r="M899">
        <v>1</v>
      </c>
      <c r="N899">
        <v>0</v>
      </c>
      <c r="O899">
        <v>3</v>
      </c>
      <c r="P899">
        <v>1</v>
      </c>
      <c r="Q899">
        <v>3</v>
      </c>
      <c r="R899">
        <v>30</v>
      </c>
      <c r="S899">
        <v>0</v>
      </c>
      <c r="T899">
        <v>0</v>
      </c>
      <c r="U899" s="8">
        <v>30</v>
      </c>
      <c r="V899" s="8">
        <f t="shared" ref="V899:V962" si="14">MIN(10, MAX(0, ROUND(U899/10,0)))</f>
        <v>3</v>
      </c>
    </row>
    <row r="900" spans="1:22" x14ac:dyDescent="0.3">
      <c r="A900" t="s">
        <v>366</v>
      </c>
      <c r="B900">
        <v>2</v>
      </c>
      <c r="C900" t="s">
        <v>180</v>
      </c>
      <c r="D900" t="s">
        <v>181</v>
      </c>
      <c r="E900" t="s">
        <v>159</v>
      </c>
      <c r="F900" t="s">
        <v>169</v>
      </c>
      <c r="G900" t="s">
        <v>104</v>
      </c>
      <c r="H900">
        <v>0</v>
      </c>
      <c r="I900">
        <v>0</v>
      </c>
      <c r="J900">
        <v>0</v>
      </c>
      <c r="K900" t="s">
        <v>104</v>
      </c>
      <c r="L900">
        <v>0</v>
      </c>
      <c r="M900">
        <v>2</v>
      </c>
      <c r="N900">
        <v>0</v>
      </c>
      <c r="O900">
        <v>12</v>
      </c>
      <c r="P900">
        <v>1</v>
      </c>
      <c r="Q900">
        <v>6</v>
      </c>
      <c r="R900">
        <v>15</v>
      </c>
      <c r="S900">
        <v>0</v>
      </c>
      <c r="T900">
        <v>0</v>
      </c>
      <c r="U900" s="8">
        <v>15</v>
      </c>
      <c r="V900" s="8">
        <f t="shared" si="14"/>
        <v>2</v>
      </c>
    </row>
    <row r="901" spans="1:22" x14ac:dyDescent="0.3">
      <c r="A901" t="s">
        <v>366</v>
      </c>
      <c r="B901">
        <v>2</v>
      </c>
      <c r="C901" t="s">
        <v>589</v>
      </c>
      <c r="D901" t="s">
        <v>452</v>
      </c>
      <c r="E901" t="s">
        <v>159</v>
      </c>
      <c r="F901" t="s">
        <v>101</v>
      </c>
      <c r="G901" t="s">
        <v>104</v>
      </c>
      <c r="H901">
        <v>0</v>
      </c>
      <c r="I901">
        <v>0</v>
      </c>
      <c r="J901">
        <v>0</v>
      </c>
      <c r="K901" t="s">
        <v>104</v>
      </c>
      <c r="L901">
        <v>0</v>
      </c>
      <c r="M901">
        <v>1</v>
      </c>
      <c r="N901">
        <v>0</v>
      </c>
      <c r="O901">
        <v>9</v>
      </c>
      <c r="P901">
        <v>0</v>
      </c>
      <c r="Q901">
        <v>9</v>
      </c>
      <c r="R901">
        <v>0</v>
      </c>
      <c r="S901">
        <v>0</v>
      </c>
      <c r="T901">
        <v>0</v>
      </c>
      <c r="U901" s="8">
        <v>0</v>
      </c>
      <c r="V901" s="8">
        <f t="shared" si="14"/>
        <v>0</v>
      </c>
    </row>
    <row r="902" spans="1:22" x14ac:dyDescent="0.3">
      <c r="A902" t="s">
        <v>366</v>
      </c>
      <c r="B902">
        <v>2</v>
      </c>
      <c r="C902" t="s">
        <v>186</v>
      </c>
      <c r="D902" t="s">
        <v>187</v>
      </c>
      <c r="E902" t="s">
        <v>159</v>
      </c>
      <c r="F902" t="s">
        <v>101</v>
      </c>
      <c r="G902" t="s">
        <v>104</v>
      </c>
      <c r="H902">
        <v>0</v>
      </c>
      <c r="I902">
        <v>0</v>
      </c>
      <c r="J902">
        <v>0</v>
      </c>
      <c r="K902" t="s">
        <v>104</v>
      </c>
      <c r="L902">
        <v>0</v>
      </c>
      <c r="M902">
        <v>2</v>
      </c>
      <c r="N902">
        <v>0</v>
      </c>
      <c r="O902">
        <v>16</v>
      </c>
      <c r="P902">
        <v>0</v>
      </c>
      <c r="Q902">
        <v>8</v>
      </c>
      <c r="R902">
        <v>0</v>
      </c>
      <c r="S902">
        <v>0</v>
      </c>
      <c r="T902">
        <v>0</v>
      </c>
      <c r="U902" s="8">
        <v>0</v>
      </c>
      <c r="V902" s="8">
        <f t="shared" si="14"/>
        <v>0</v>
      </c>
    </row>
    <row r="903" spans="1:22" x14ac:dyDescent="0.3">
      <c r="A903" t="s">
        <v>367</v>
      </c>
      <c r="B903">
        <v>2</v>
      </c>
      <c r="C903" t="s">
        <v>278</v>
      </c>
      <c r="D903" t="s">
        <v>293</v>
      </c>
      <c r="E903" t="s">
        <v>258</v>
      </c>
      <c r="F903" t="s">
        <v>109</v>
      </c>
      <c r="G903" t="s">
        <v>86</v>
      </c>
      <c r="H903">
        <v>7</v>
      </c>
      <c r="I903">
        <v>11</v>
      </c>
      <c r="J903">
        <v>63.64</v>
      </c>
      <c r="K903" t="s">
        <v>246</v>
      </c>
      <c r="L903">
        <v>-1.1000000000000001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 s="8">
        <v>-1.1000000000000001</v>
      </c>
      <c r="V903" s="8">
        <f t="shared" si="14"/>
        <v>0</v>
      </c>
    </row>
    <row r="904" spans="1:22" x14ac:dyDescent="0.3">
      <c r="A904" t="s">
        <v>367</v>
      </c>
      <c r="B904">
        <v>2</v>
      </c>
      <c r="C904" t="s">
        <v>81</v>
      </c>
      <c r="D904" t="s">
        <v>114</v>
      </c>
      <c r="E904" t="s">
        <v>258</v>
      </c>
      <c r="F904" t="s">
        <v>85</v>
      </c>
      <c r="G904" t="s">
        <v>86</v>
      </c>
      <c r="H904">
        <v>0</v>
      </c>
      <c r="I904">
        <v>5</v>
      </c>
      <c r="J904">
        <v>0</v>
      </c>
      <c r="K904" t="s">
        <v>245</v>
      </c>
      <c r="L904">
        <v>-5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 s="8">
        <v>-5</v>
      </c>
      <c r="V904" s="8">
        <f t="shared" si="14"/>
        <v>0</v>
      </c>
    </row>
    <row r="905" spans="1:22" x14ac:dyDescent="0.3">
      <c r="A905" t="s">
        <v>367</v>
      </c>
      <c r="B905">
        <v>2</v>
      </c>
      <c r="C905" t="s">
        <v>97</v>
      </c>
      <c r="D905" t="s">
        <v>122</v>
      </c>
      <c r="E905" t="s">
        <v>258</v>
      </c>
      <c r="F905" t="s">
        <v>109</v>
      </c>
      <c r="G905" t="s">
        <v>92</v>
      </c>
      <c r="H905">
        <v>4</v>
      </c>
      <c r="I905">
        <v>7</v>
      </c>
      <c r="J905">
        <v>57.14</v>
      </c>
      <c r="K905" t="s">
        <v>245</v>
      </c>
      <c r="L905">
        <v>-2.1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 s="8">
        <v>-2.1</v>
      </c>
      <c r="V905" s="8">
        <f t="shared" si="14"/>
        <v>0</v>
      </c>
    </row>
    <row r="906" spans="1:22" x14ac:dyDescent="0.3">
      <c r="A906" t="s">
        <v>367</v>
      </c>
      <c r="B906">
        <v>2</v>
      </c>
      <c r="C906" t="s">
        <v>383</v>
      </c>
      <c r="D906" t="s">
        <v>384</v>
      </c>
      <c r="E906" t="s">
        <v>258</v>
      </c>
      <c r="F906" t="s">
        <v>109</v>
      </c>
      <c r="G906" t="s">
        <v>134</v>
      </c>
      <c r="H906">
        <v>21</v>
      </c>
      <c r="I906">
        <v>22</v>
      </c>
      <c r="J906">
        <v>95.45</v>
      </c>
      <c r="K906" t="s">
        <v>246</v>
      </c>
      <c r="L906">
        <v>14.1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 s="8">
        <v>14.1</v>
      </c>
      <c r="V906" s="8">
        <f t="shared" si="14"/>
        <v>1</v>
      </c>
    </row>
    <row r="907" spans="1:22" x14ac:dyDescent="0.3">
      <c r="A907" t="s">
        <v>367</v>
      </c>
      <c r="B907">
        <v>2</v>
      </c>
      <c r="C907" t="s">
        <v>93</v>
      </c>
      <c r="D907" t="s">
        <v>118</v>
      </c>
      <c r="E907" t="s">
        <v>258</v>
      </c>
      <c r="F907" t="s">
        <v>169</v>
      </c>
      <c r="G907" t="s">
        <v>134</v>
      </c>
      <c r="H907">
        <v>12</v>
      </c>
      <c r="I907">
        <v>12</v>
      </c>
      <c r="J907">
        <v>100</v>
      </c>
      <c r="K907" t="s">
        <v>245</v>
      </c>
      <c r="L907">
        <v>9.6</v>
      </c>
      <c r="M907">
        <v>2</v>
      </c>
      <c r="N907">
        <v>0</v>
      </c>
      <c r="O907">
        <v>28</v>
      </c>
      <c r="P907">
        <v>0</v>
      </c>
      <c r="Q907">
        <v>14</v>
      </c>
      <c r="R907">
        <v>0</v>
      </c>
      <c r="S907">
        <v>0</v>
      </c>
      <c r="T907">
        <v>0</v>
      </c>
      <c r="U907" s="8">
        <v>9.6</v>
      </c>
      <c r="V907" s="8">
        <f t="shared" si="14"/>
        <v>1</v>
      </c>
    </row>
    <row r="908" spans="1:22" x14ac:dyDescent="0.3">
      <c r="A908" t="s">
        <v>367</v>
      </c>
      <c r="B908">
        <v>2</v>
      </c>
      <c r="C908" t="s">
        <v>447</v>
      </c>
      <c r="D908" t="s">
        <v>448</v>
      </c>
      <c r="E908" t="s">
        <v>258</v>
      </c>
      <c r="F908" t="s">
        <v>101</v>
      </c>
      <c r="G908" t="s">
        <v>134</v>
      </c>
      <c r="H908">
        <v>42</v>
      </c>
      <c r="I908">
        <v>36</v>
      </c>
      <c r="J908">
        <v>116.67</v>
      </c>
      <c r="K908" t="s">
        <v>245</v>
      </c>
      <c r="L908">
        <v>35.700000000000003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 s="8">
        <v>35.700000000000003</v>
      </c>
      <c r="V908" s="8">
        <f t="shared" si="14"/>
        <v>4</v>
      </c>
    </row>
    <row r="909" spans="1:22" x14ac:dyDescent="0.3">
      <c r="A909" t="s">
        <v>367</v>
      </c>
      <c r="B909">
        <v>2</v>
      </c>
      <c r="C909" t="s">
        <v>385</v>
      </c>
      <c r="D909" t="s">
        <v>386</v>
      </c>
      <c r="E909" t="s">
        <v>258</v>
      </c>
      <c r="F909" t="s">
        <v>169</v>
      </c>
      <c r="G909" t="s">
        <v>134</v>
      </c>
      <c r="H909">
        <v>28</v>
      </c>
      <c r="I909">
        <v>22</v>
      </c>
      <c r="J909">
        <v>127.27</v>
      </c>
      <c r="K909" t="s">
        <v>96</v>
      </c>
      <c r="L909">
        <v>35.5</v>
      </c>
      <c r="M909">
        <v>1</v>
      </c>
      <c r="N909">
        <v>0</v>
      </c>
      <c r="O909">
        <v>16</v>
      </c>
      <c r="P909">
        <v>0</v>
      </c>
      <c r="Q909">
        <v>16</v>
      </c>
      <c r="R909">
        <v>0</v>
      </c>
      <c r="S909">
        <v>0</v>
      </c>
      <c r="T909">
        <v>0</v>
      </c>
      <c r="U909" s="8">
        <v>35.5</v>
      </c>
      <c r="V909" s="8">
        <f t="shared" si="14"/>
        <v>4</v>
      </c>
    </row>
    <row r="910" spans="1:22" x14ac:dyDescent="0.3">
      <c r="A910" t="s">
        <v>367</v>
      </c>
      <c r="B910">
        <v>2</v>
      </c>
      <c r="C910" t="s">
        <v>105</v>
      </c>
      <c r="D910" t="s">
        <v>128</v>
      </c>
      <c r="E910" t="s">
        <v>258</v>
      </c>
      <c r="F910" t="s">
        <v>101</v>
      </c>
      <c r="G910" t="s">
        <v>134</v>
      </c>
      <c r="H910">
        <v>0</v>
      </c>
      <c r="I910">
        <v>1</v>
      </c>
      <c r="J910">
        <v>0</v>
      </c>
      <c r="K910" t="s">
        <v>245</v>
      </c>
      <c r="L910">
        <v>-5</v>
      </c>
      <c r="M910">
        <v>4</v>
      </c>
      <c r="N910">
        <v>1</v>
      </c>
      <c r="O910">
        <v>20</v>
      </c>
      <c r="P910">
        <v>2</v>
      </c>
      <c r="Q910">
        <v>5</v>
      </c>
      <c r="R910">
        <v>55</v>
      </c>
      <c r="S910">
        <v>0</v>
      </c>
      <c r="T910">
        <v>0</v>
      </c>
      <c r="U910" s="8">
        <v>50</v>
      </c>
      <c r="V910" s="8">
        <f t="shared" si="14"/>
        <v>5</v>
      </c>
    </row>
    <row r="911" spans="1:22" x14ac:dyDescent="0.3">
      <c r="A911" t="s">
        <v>367</v>
      </c>
      <c r="B911">
        <v>2</v>
      </c>
      <c r="C911" t="s">
        <v>438</v>
      </c>
      <c r="D911" t="s">
        <v>439</v>
      </c>
      <c r="E911" t="s">
        <v>258</v>
      </c>
      <c r="F911" t="s">
        <v>101</v>
      </c>
      <c r="G911" t="s">
        <v>134</v>
      </c>
      <c r="H911">
        <v>1</v>
      </c>
      <c r="I911">
        <v>2</v>
      </c>
      <c r="J911">
        <v>50</v>
      </c>
      <c r="K911" t="s">
        <v>256</v>
      </c>
      <c r="L911">
        <v>-3.5</v>
      </c>
      <c r="M911">
        <v>2</v>
      </c>
      <c r="N911">
        <v>0</v>
      </c>
      <c r="O911">
        <v>15</v>
      </c>
      <c r="P911">
        <v>0</v>
      </c>
      <c r="Q911">
        <v>7.5</v>
      </c>
      <c r="R911">
        <v>0</v>
      </c>
      <c r="S911">
        <v>0</v>
      </c>
      <c r="T911">
        <v>0</v>
      </c>
      <c r="U911" s="8">
        <v>-3.5</v>
      </c>
      <c r="V911" s="8">
        <f t="shared" si="14"/>
        <v>0</v>
      </c>
    </row>
    <row r="912" spans="1:22" x14ac:dyDescent="0.3">
      <c r="A912" t="s">
        <v>367</v>
      </c>
      <c r="B912">
        <v>2</v>
      </c>
      <c r="C912" t="s">
        <v>389</v>
      </c>
      <c r="D912" t="s">
        <v>390</v>
      </c>
      <c r="E912" t="s">
        <v>258</v>
      </c>
      <c r="F912" t="s">
        <v>91</v>
      </c>
      <c r="G912" t="s">
        <v>134</v>
      </c>
      <c r="H912">
        <v>4</v>
      </c>
      <c r="I912">
        <v>2</v>
      </c>
      <c r="J912">
        <v>200</v>
      </c>
      <c r="K912" t="s">
        <v>256</v>
      </c>
      <c r="L912">
        <v>7</v>
      </c>
      <c r="M912">
        <v>2</v>
      </c>
      <c r="N912">
        <v>0</v>
      </c>
      <c r="O912">
        <v>28</v>
      </c>
      <c r="P912">
        <v>0</v>
      </c>
      <c r="Q912">
        <v>14</v>
      </c>
      <c r="R912">
        <v>0</v>
      </c>
      <c r="S912">
        <v>0</v>
      </c>
      <c r="T912">
        <v>0</v>
      </c>
      <c r="U912" s="8">
        <v>7</v>
      </c>
      <c r="V912" s="8">
        <f t="shared" si="14"/>
        <v>1</v>
      </c>
    </row>
    <row r="913" spans="1:22" x14ac:dyDescent="0.3">
      <c r="A913" t="s">
        <v>367</v>
      </c>
      <c r="B913">
        <v>2</v>
      </c>
      <c r="C913" t="s">
        <v>404</v>
      </c>
      <c r="D913" t="s">
        <v>416</v>
      </c>
      <c r="E913" t="s">
        <v>258</v>
      </c>
      <c r="F913" t="s">
        <v>91</v>
      </c>
      <c r="G913" t="s">
        <v>134</v>
      </c>
      <c r="H913">
        <v>0</v>
      </c>
      <c r="I913">
        <v>0</v>
      </c>
      <c r="J913">
        <v>0</v>
      </c>
      <c r="K913" t="s">
        <v>96</v>
      </c>
      <c r="L913">
        <v>5</v>
      </c>
      <c r="M913">
        <v>2.1</v>
      </c>
      <c r="N913">
        <v>0</v>
      </c>
      <c r="O913">
        <v>22</v>
      </c>
      <c r="P913">
        <v>0</v>
      </c>
      <c r="Q913">
        <v>10.199999999999999</v>
      </c>
      <c r="R913">
        <v>0</v>
      </c>
      <c r="S913">
        <v>0</v>
      </c>
      <c r="T913">
        <v>0</v>
      </c>
      <c r="U913" s="8">
        <v>5</v>
      </c>
      <c r="V913" s="8">
        <f t="shared" si="14"/>
        <v>1</v>
      </c>
    </row>
    <row r="914" spans="1:22" x14ac:dyDescent="0.3">
      <c r="A914" t="s">
        <v>367</v>
      </c>
      <c r="B914">
        <v>2</v>
      </c>
      <c r="C914" t="s">
        <v>190</v>
      </c>
      <c r="D914" t="s">
        <v>191</v>
      </c>
      <c r="E914" t="s">
        <v>158</v>
      </c>
      <c r="F914" t="s">
        <v>109</v>
      </c>
      <c r="G914" t="s">
        <v>86</v>
      </c>
      <c r="H914">
        <v>18</v>
      </c>
      <c r="I914">
        <v>10</v>
      </c>
      <c r="J914">
        <v>180</v>
      </c>
      <c r="K914" t="s">
        <v>256</v>
      </c>
      <c r="L914">
        <v>21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 s="8">
        <v>21</v>
      </c>
      <c r="V914" s="8">
        <f t="shared" si="14"/>
        <v>2</v>
      </c>
    </row>
    <row r="915" spans="1:22" x14ac:dyDescent="0.3">
      <c r="A915" t="s">
        <v>367</v>
      </c>
      <c r="B915">
        <v>2</v>
      </c>
      <c r="C915" t="s">
        <v>188</v>
      </c>
      <c r="D915" t="s">
        <v>189</v>
      </c>
      <c r="E915" t="s">
        <v>158</v>
      </c>
      <c r="F915" t="s">
        <v>83</v>
      </c>
      <c r="G915" t="s">
        <v>92</v>
      </c>
      <c r="H915">
        <v>71</v>
      </c>
      <c r="I915">
        <v>37</v>
      </c>
      <c r="J915">
        <v>191.89</v>
      </c>
      <c r="K915" t="s">
        <v>246</v>
      </c>
      <c r="L915">
        <v>67.7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 s="8">
        <v>67.7</v>
      </c>
      <c r="V915" s="8">
        <f t="shared" si="14"/>
        <v>7</v>
      </c>
    </row>
    <row r="916" spans="1:22" x14ac:dyDescent="0.3">
      <c r="A916" t="s">
        <v>367</v>
      </c>
      <c r="B916">
        <v>2</v>
      </c>
      <c r="C916" t="s">
        <v>196</v>
      </c>
      <c r="D916" t="s">
        <v>197</v>
      </c>
      <c r="E916" t="s">
        <v>158</v>
      </c>
      <c r="F916" t="s">
        <v>109</v>
      </c>
      <c r="G916" t="s">
        <v>134</v>
      </c>
      <c r="H916">
        <v>0</v>
      </c>
      <c r="I916">
        <v>4</v>
      </c>
      <c r="J916">
        <v>0</v>
      </c>
      <c r="K916" t="s">
        <v>246</v>
      </c>
      <c r="L916">
        <v>-5</v>
      </c>
      <c r="M916">
        <v>1</v>
      </c>
      <c r="N916">
        <v>0</v>
      </c>
      <c r="O916">
        <v>3</v>
      </c>
      <c r="P916">
        <v>0</v>
      </c>
      <c r="Q916">
        <v>3</v>
      </c>
      <c r="R916">
        <v>5</v>
      </c>
      <c r="S916">
        <v>0</v>
      </c>
      <c r="T916">
        <v>0</v>
      </c>
      <c r="U916" s="8">
        <v>0</v>
      </c>
      <c r="V916" s="8">
        <f t="shared" si="14"/>
        <v>0</v>
      </c>
    </row>
    <row r="917" spans="1:22" x14ac:dyDescent="0.3">
      <c r="A917" t="s">
        <v>367</v>
      </c>
      <c r="B917">
        <v>2</v>
      </c>
      <c r="C917" t="s">
        <v>194</v>
      </c>
      <c r="D917" t="s">
        <v>195</v>
      </c>
      <c r="E917" t="s">
        <v>158</v>
      </c>
      <c r="F917" t="s">
        <v>109</v>
      </c>
      <c r="G917" t="s">
        <v>134</v>
      </c>
      <c r="H917">
        <v>38</v>
      </c>
      <c r="I917">
        <v>28</v>
      </c>
      <c r="J917">
        <v>135.71</v>
      </c>
      <c r="K917" t="s">
        <v>96</v>
      </c>
      <c r="L917">
        <v>35.5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 s="8">
        <v>35.5</v>
      </c>
      <c r="V917" s="8">
        <f t="shared" si="14"/>
        <v>4</v>
      </c>
    </row>
    <row r="918" spans="1:22" x14ac:dyDescent="0.3">
      <c r="A918" t="s">
        <v>367</v>
      </c>
      <c r="B918">
        <v>2</v>
      </c>
      <c r="C918" t="s">
        <v>192</v>
      </c>
      <c r="D918" t="s">
        <v>193</v>
      </c>
      <c r="E918" t="s">
        <v>158</v>
      </c>
      <c r="F918" t="s">
        <v>169</v>
      </c>
      <c r="G918" t="s">
        <v>134</v>
      </c>
      <c r="H918">
        <v>0</v>
      </c>
      <c r="I918">
        <v>0</v>
      </c>
      <c r="J918">
        <v>0</v>
      </c>
      <c r="K918" t="s">
        <v>96</v>
      </c>
      <c r="L918">
        <v>5</v>
      </c>
      <c r="M918">
        <v>4</v>
      </c>
      <c r="N918">
        <v>0</v>
      </c>
      <c r="O918">
        <v>17</v>
      </c>
      <c r="P918">
        <v>2</v>
      </c>
      <c r="Q918">
        <v>4.2</v>
      </c>
      <c r="R918">
        <v>65</v>
      </c>
      <c r="S918">
        <v>0</v>
      </c>
      <c r="T918">
        <v>0</v>
      </c>
      <c r="U918" s="8">
        <v>70</v>
      </c>
      <c r="V918" s="8">
        <f t="shared" si="14"/>
        <v>7</v>
      </c>
    </row>
    <row r="919" spans="1:22" x14ac:dyDescent="0.3">
      <c r="A919" t="s">
        <v>367</v>
      </c>
      <c r="B919">
        <v>2</v>
      </c>
      <c r="C919" t="s">
        <v>198</v>
      </c>
      <c r="D919" t="s">
        <v>199</v>
      </c>
      <c r="E919" t="s">
        <v>158</v>
      </c>
      <c r="F919" t="s">
        <v>101</v>
      </c>
      <c r="G919" t="s">
        <v>104</v>
      </c>
      <c r="H919">
        <v>0</v>
      </c>
      <c r="I919">
        <v>0</v>
      </c>
      <c r="J919">
        <v>0</v>
      </c>
      <c r="K919" t="s">
        <v>104</v>
      </c>
      <c r="L919">
        <v>0</v>
      </c>
      <c r="M919">
        <v>4</v>
      </c>
      <c r="N919">
        <v>0</v>
      </c>
      <c r="O919">
        <v>32</v>
      </c>
      <c r="P919">
        <v>1</v>
      </c>
      <c r="Q919">
        <v>8</v>
      </c>
      <c r="R919">
        <v>25</v>
      </c>
      <c r="S919">
        <v>0</v>
      </c>
      <c r="T919">
        <v>0</v>
      </c>
      <c r="U919" s="8">
        <v>25</v>
      </c>
      <c r="V919" s="8">
        <f t="shared" si="14"/>
        <v>3</v>
      </c>
    </row>
    <row r="920" spans="1:22" x14ac:dyDescent="0.3">
      <c r="A920" t="s">
        <v>367</v>
      </c>
      <c r="B920">
        <v>2</v>
      </c>
      <c r="C920" t="s">
        <v>206</v>
      </c>
      <c r="D920" t="s">
        <v>207</v>
      </c>
      <c r="E920" t="s">
        <v>158</v>
      </c>
      <c r="F920" t="s">
        <v>101</v>
      </c>
      <c r="G920" t="s">
        <v>104</v>
      </c>
      <c r="H920">
        <v>0</v>
      </c>
      <c r="I920">
        <v>0</v>
      </c>
      <c r="J920">
        <v>0</v>
      </c>
      <c r="K920" t="s">
        <v>104</v>
      </c>
      <c r="L920">
        <v>0</v>
      </c>
      <c r="M920">
        <v>2</v>
      </c>
      <c r="N920">
        <v>0</v>
      </c>
      <c r="O920">
        <v>17</v>
      </c>
      <c r="P920">
        <v>0</v>
      </c>
      <c r="Q920">
        <v>8.5</v>
      </c>
      <c r="R920">
        <v>0</v>
      </c>
      <c r="S920">
        <v>0</v>
      </c>
      <c r="T920">
        <v>0</v>
      </c>
      <c r="U920" s="8">
        <v>0</v>
      </c>
      <c r="V920" s="8">
        <f t="shared" si="14"/>
        <v>0</v>
      </c>
    </row>
    <row r="921" spans="1:22" x14ac:dyDescent="0.3">
      <c r="A921" t="s">
        <v>367</v>
      </c>
      <c r="B921">
        <v>2</v>
      </c>
      <c r="C921" t="s">
        <v>202</v>
      </c>
      <c r="D921" t="s">
        <v>203</v>
      </c>
      <c r="E921" t="s">
        <v>158</v>
      </c>
      <c r="F921" t="s">
        <v>101</v>
      </c>
      <c r="G921" t="s">
        <v>104</v>
      </c>
      <c r="H921">
        <v>0</v>
      </c>
      <c r="I921">
        <v>0</v>
      </c>
      <c r="J921">
        <v>0</v>
      </c>
      <c r="K921" t="s">
        <v>104</v>
      </c>
      <c r="L921">
        <v>0</v>
      </c>
      <c r="M921">
        <v>3</v>
      </c>
      <c r="N921">
        <v>0</v>
      </c>
      <c r="O921">
        <v>20</v>
      </c>
      <c r="P921">
        <v>0</v>
      </c>
      <c r="Q921">
        <v>6.7</v>
      </c>
      <c r="R921">
        <v>0</v>
      </c>
      <c r="S921">
        <v>0</v>
      </c>
      <c r="T921">
        <v>0</v>
      </c>
      <c r="U921" s="8">
        <v>0</v>
      </c>
      <c r="V921" s="8">
        <f t="shared" si="14"/>
        <v>0</v>
      </c>
    </row>
    <row r="922" spans="1:22" x14ac:dyDescent="0.3">
      <c r="A922" t="s">
        <v>367</v>
      </c>
      <c r="B922">
        <v>2</v>
      </c>
      <c r="C922" t="s">
        <v>200</v>
      </c>
      <c r="D922" t="s">
        <v>201</v>
      </c>
      <c r="E922" t="s">
        <v>158</v>
      </c>
      <c r="F922" t="s">
        <v>85</v>
      </c>
      <c r="G922" t="s">
        <v>104</v>
      </c>
      <c r="H922">
        <v>0</v>
      </c>
      <c r="I922">
        <v>0</v>
      </c>
      <c r="J922">
        <v>0</v>
      </c>
      <c r="K922" t="s">
        <v>104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 s="8">
        <v>0</v>
      </c>
      <c r="V922" s="8">
        <f t="shared" si="14"/>
        <v>0</v>
      </c>
    </row>
    <row r="923" spans="1:22" x14ac:dyDescent="0.3">
      <c r="A923" t="s">
        <v>367</v>
      </c>
      <c r="B923">
        <v>2</v>
      </c>
      <c r="C923" t="s">
        <v>204</v>
      </c>
      <c r="D923" t="s">
        <v>205</v>
      </c>
      <c r="E923" t="s">
        <v>158</v>
      </c>
      <c r="F923" t="s">
        <v>91</v>
      </c>
      <c r="G923" t="s">
        <v>104</v>
      </c>
      <c r="H923">
        <v>0</v>
      </c>
      <c r="I923">
        <v>0</v>
      </c>
      <c r="J923">
        <v>0</v>
      </c>
      <c r="K923" t="s">
        <v>104</v>
      </c>
      <c r="L923">
        <v>0</v>
      </c>
      <c r="M923">
        <v>4</v>
      </c>
      <c r="N923">
        <v>0</v>
      </c>
      <c r="O923">
        <v>23</v>
      </c>
      <c r="P923">
        <v>2</v>
      </c>
      <c r="Q923">
        <v>5.8</v>
      </c>
      <c r="R923">
        <v>55</v>
      </c>
      <c r="S923">
        <v>0</v>
      </c>
      <c r="T923">
        <v>0</v>
      </c>
      <c r="U923" s="8">
        <v>55</v>
      </c>
      <c r="V923" s="8">
        <f t="shared" si="14"/>
        <v>6</v>
      </c>
    </row>
    <row r="924" spans="1:22" x14ac:dyDescent="0.3">
      <c r="A924" t="s">
        <v>367</v>
      </c>
      <c r="B924">
        <v>2</v>
      </c>
      <c r="C924" t="s">
        <v>274</v>
      </c>
      <c r="D924" t="s">
        <v>284</v>
      </c>
      <c r="E924" t="s">
        <v>158</v>
      </c>
      <c r="F924" t="s">
        <v>169</v>
      </c>
      <c r="G924" t="s">
        <v>104</v>
      </c>
      <c r="H924">
        <v>0</v>
      </c>
      <c r="I924">
        <v>0</v>
      </c>
      <c r="J924">
        <v>0</v>
      </c>
      <c r="K924" t="s">
        <v>104</v>
      </c>
      <c r="L924">
        <v>0</v>
      </c>
      <c r="M924">
        <v>2</v>
      </c>
      <c r="N924">
        <v>0</v>
      </c>
      <c r="O924">
        <v>9</v>
      </c>
      <c r="P924">
        <v>2</v>
      </c>
      <c r="Q924">
        <v>4.5</v>
      </c>
      <c r="R924">
        <v>65</v>
      </c>
      <c r="S924">
        <v>0</v>
      </c>
      <c r="T924">
        <v>0</v>
      </c>
      <c r="U924" s="8">
        <v>65</v>
      </c>
      <c r="V924" s="8">
        <f t="shared" si="14"/>
        <v>7</v>
      </c>
    </row>
    <row r="925" spans="1:22" x14ac:dyDescent="0.3">
      <c r="A925" t="s">
        <v>368</v>
      </c>
      <c r="B925">
        <v>2</v>
      </c>
      <c r="C925" t="s">
        <v>165</v>
      </c>
      <c r="D925" t="s">
        <v>166</v>
      </c>
      <c r="E925" t="s">
        <v>159</v>
      </c>
      <c r="F925" t="s">
        <v>109</v>
      </c>
      <c r="G925" t="s">
        <v>86</v>
      </c>
      <c r="H925">
        <v>10</v>
      </c>
      <c r="I925">
        <v>7</v>
      </c>
      <c r="J925">
        <v>142.86000000000001</v>
      </c>
      <c r="K925" t="s">
        <v>246</v>
      </c>
      <c r="L925">
        <v>10.1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 s="8">
        <v>10.1</v>
      </c>
      <c r="V925" s="8">
        <f t="shared" si="14"/>
        <v>1</v>
      </c>
    </row>
    <row r="926" spans="1:22" x14ac:dyDescent="0.3">
      <c r="A926" t="s">
        <v>368</v>
      </c>
      <c r="B926">
        <v>2</v>
      </c>
      <c r="C926" t="s">
        <v>167</v>
      </c>
      <c r="D926" t="s">
        <v>168</v>
      </c>
      <c r="E926" t="s">
        <v>159</v>
      </c>
      <c r="F926" t="s">
        <v>169</v>
      </c>
      <c r="G926" t="s">
        <v>92</v>
      </c>
      <c r="H926">
        <v>10</v>
      </c>
      <c r="I926">
        <v>7</v>
      </c>
      <c r="J926">
        <v>142.86000000000001</v>
      </c>
      <c r="K926" t="s">
        <v>245</v>
      </c>
      <c r="L926">
        <v>10.1</v>
      </c>
      <c r="M926">
        <v>1</v>
      </c>
      <c r="N926">
        <v>0</v>
      </c>
      <c r="O926">
        <v>9</v>
      </c>
      <c r="P926">
        <v>0</v>
      </c>
      <c r="Q926">
        <v>9</v>
      </c>
      <c r="R926">
        <v>0</v>
      </c>
      <c r="S926">
        <v>0</v>
      </c>
      <c r="T926">
        <v>0</v>
      </c>
      <c r="U926" s="8">
        <v>10.1</v>
      </c>
      <c r="V926" s="8">
        <f t="shared" si="14"/>
        <v>1</v>
      </c>
    </row>
    <row r="927" spans="1:22" x14ac:dyDescent="0.3">
      <c r="A927" t="s">
        <v>368</v>
      </c>
      <c r="B927">
        <v>2</v>
      </c>
      <c r="C927" t="s">
        <v>174</v>
      </c>
      <c r="D927" t="s">
        <v>175</v>
      </c>
      <c r="E927" t="s">
        <v>159</v>
      </c>
      <c r="F927" t="s">
        <v>169</v>
      </c>
      <c r="G927" t="s">
        <v>92</v>
      </c>
      <c r="H927">
        <v>66</v>
      </c>
      <c r="I927">
        <v>50</v>
      </c>
      <c r="J927">
        <v>132</v>
      </c>
      <c r="K927" t="s">
        <v>246</v>
      </c>
      <c r="L927">
        <v>56.4</v>
      </c>
      <c r="M927">
        <v>4</v>
      </c>
      <c r="N927">
        <v>0</v>
      </c>
      <c r="O927">
        <v>29</v>
      </c>
      <c r="P927">
        <v>1</v>
      </c>
      <c r="Q927">
        <v>7.2</v>
      </c>
      <c r="R927">
        <v>17.5</v>
      </c>
      <c r="S927">
        <v>0</v>
      </c>
      <c r="T927">
        <v>0</v>
      </c>
      <c r="U927" s="8">
        <v>73.900000000000006</v>
      </c>
      <c r="V927" s="8">
        <f t="shared" si="14"/>
        <v>7</v>
      </c>
    </row>
    <row r="928" spans="1:22" x14ac:dyDescent="0.3">
      <c r="A928" t="s">
        <v>368</v>
      </c>
      <c r="B928">
        <v>2</v>
      </c>
      <c r="C928" t="s">
        <v>172</v>
      </c>
      <c r="D928" t="s">
        <v>173</v>
      </c>
      <c r="E928" t="s">
        <v>159</v>
      </c>
      <c r="F928" t="s">
        <v>109</v>
      </c>
      <c r="G928" t="s">
        <v>134</v>
      </c>
      <c r="H928">
        <v>0</v>
      </c>
      <c r="I928">
        <v>7</v>
      </c>
      <c r="J928">
        <v>0</v>
      </c>
      <c r="K928" t="s">
        <v>246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 s="8">
        <v>0</v>
      </c>
      <c r="V928" s="8">
        <f t="shared" si="14"/>
        <v>0</v>
      </c>
    </row>
    <row r="929" spans="1:22" x14ac:dyDescent="0.3">
      <c r="A929" t="s">
        <v>368</v>
      </c>
      <c r="B929">
        <v>2</v>
      </c>
      <c r="C929" t="s">
        <v>176</v>
      </c>
      <c r="D929" t="s">
        <v>177</v>
      </c>
      <c r="E929" t="s">
        <v>159</v>
      </c>
      <c r="F929" t="s">
        <v>85</v>
      </c>
      <c r="G929" t="s">
        <v>134</v>
      </c>
      <c r="H929">
        <v>14</v>
      </c>
      <c r="I929">
        <v>19</v>
      </c>
      <c r="J929">
        <v>73.680000000000007</v>
      </c>
      <c r="K929" t="s">
        <v>246</v>
      </c>
      <c r="L929">
        <v>1.6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 s="8">
        <v>1.6</v>
      </c>
      <c r="V929" s="8">
        <f t="shared" si="14"/>
        <v>0</v>
      </c>
    </row>
    <row r="930" spans="1:22" x14ac:dyDescent="0.3">
      <c r="A930" t="s">
        <v>368</v>
      </c>
      <c r="B930">
        <v>2</v>
      </c>
      <c r="C930" t="s">
        <v>371</v>
      </c>
      <c r="D930" t="s">
        <v>372</v>
      </c>
      <c r="E930" t="s">
        <v>159</v>
      </c>
      <c r="F930" t="s">
        <v>169</v>
      </c>
      <c r="G930" t="s">
        <v>134</v>
      </c>
      <c r="H930">
        <v>11</v>
      </c>
      <c r="I930">
        <v>17</v>
      </c>
      <c r="J930">
        <v>64.709999999999994</v>
      </c>
      <c r="K930" t="s">
        <v>245</v>
      </c>
      <c r="L930">
        <v>0.9</v>
      </c>
      <c r="M930">
        <v>4</v>
      </c>
      <c r="N930">
        <v>0</v>
      </c>
      <c r="O930">
        <v>16</v>
      </c>
      <c r="P930">
        <v>1</v>
      </c>
      <c r="Q930">
        <v>4</v>
      </c>
      <c r="R930">
        <v>35</v>
      </c>
      <c r="S930">
        <v>0</v>
      </c>
      <c r="T930">
        <v>0</v>
      </c>
      <c r="U930" s="8">
        <v>35.9</v>
      </c>
      <c r="V930" s="8">
        <f t="shared" si="14"/>
        <v>4</v>
      </c>
    </row>
    <row r="931" spans="1:22" x14ac:dyDescent="0.3">
      <c r="A931" t="s">
        <v>368</v>
      </c>
      <c r="B931">
        <v>2</v>
      </c>
      <c r="C931" t="s">
        <v>99</v>
      </c>
      <c r="D931" t="s">
        <v>124</v>
      </c>
      <c r="E931" t="s">
        <v>159</v>
      </c>
      <c r="F931" t="s">
        <v>169</v>
      </c>
      <c r="G931" t="s">
        <v>135</v>
      </c>
      <c r="H931">
        <v>18</v>
      </c>
      <c r="I931">
        <v>10</v>
      </c>
      <c r="J931">
        <v>180</v>
      </c>
      <c r="K931" t="s">
        <v>96</v>
      </c>
      <c r="L931">
        <v>25</v>
      </c>
      <c r="M931">
        <v>4</v>
      </c>
      <c r="N931">
        <v>0</v>
      </c>
      <c r="O931">
        <v>37</v>
      </c>
      <c r="P931">
        <v>1</v>
      </c>
      <c r="Q931">
        <v>9.1999999999999993</v>
      </c>
      <c r="R931">
        <v>6.5</v>
      </c>
      <c r="S931">
        <v>0</v>
      </c>
      <c r="T931">
        <v>0</v>
      </c>
      <c r="U931" s="8">
        <v>31.5</v>
      </c>
      <c r="V931" s="8">
        <f t="shared" si="14"/>
        <v>3</v>
      </c>
    </row>
    <row r="932" spans="1:22" x14ac:dyDescent="0.3">
      <c r="A932" t="s">
        <v>368</v>
      </c>
      <c r="B932">
        <v>2</v>
      </c>
      <c r="C932" t="s">
        <v>259</v>
      </c>
      <c r="D932" t="s">
        <v>257</v>
      </c>
      <c r="E932" t="s">
        <v>159</v>
      </c>
      <c r="F932" t="s">
        <v>169</v>
      </c>
      <c r="G932" t="s">
        <v>135</v>
      </c>
      <c r="H932">
        <v>3</v>
      </c>
      <c r="I932">
        <v>3</v>
      </c>
      <c r="J932">
        <v>100</v>
      </c>
      <c r="K932" t="s">
        <v>96</v>
      </c>
      <c r="L932">
        <v>6.5</v>
      </c>
      <c r="M932">
        <v>4</v>
      </c>
      <c r="N932">
        <v>0</v>
      </c>
      <c r="O932">
        <v>16</v>
      </c>
      <c r="P932">
        <v>2</v>
      </c>
      <c r="Q932">
        <v>4</v>
      </c>
      <c r="R932">
        <v>60</v>
      </c>
      <c r="S932">
        <v>0</v>
      </c>
      <c r="T932">
        <v>0</v>
      </c>
      <c r="U932" s="8">
        <v>66.5</v>
      </c>
      <c r="V932" s="8">
        <f t="shared" si="14"/>
        <v>7</v>
      </c>
    </row>
    <row r="933" spans="1:22" x14ac:dyDescent="0.3">
      <c r="A933" t="s">
        <v>368</v>
      </c>
      <c r="B933">
        <v>2</v>
      </c>
      <c r="C933" t="s">
        <v>180</v>
      </c>
      <c r="D933" t="s">
        <v>181</v>
      </c>
      <c r="E933" t="s">
        <v>159</v>
      </c>
      <c r="F933" t="s">
        <v>169</v>
      </c>
      <c r="G933" t="s">
        <v>104</v>
      </c>
      <c r="H933">
        <v>0</v>
      </c>
      <c r="I933">
        <v>0</v>
      </c>
      <c r="J933">
        <v>0</v>
      </c>
      <c r="K933" t="s">
        <v>104</v>
      </c>
      <c r="L933">
        <v>0</v>
      </c>
      <c r="M933">
        <v>2</v>
      </c>
      <c r="N933">
        <v>0</v>
      </c>
      <c r="O933">
        <v>13</v>
      </c>
      <c r="P933">
        <v>1</v>
      </c>
      <c r="Q933">
        <v>6.5</v>
      </c>
      <c r="R933">
        <v>18.5</v>
      </c>
      <c r="S933">
        <v>0</v>
      </c>
      <c r="T933">
        <v>0</v>
      </c>
      <c r="U933" s="8">
        <v>18.5</v>
      </c>
      <c r="V933" s="8">
        <f t="shared" si="14"/>
        <v>2</v>
      </c>
    </row>
    <row r="934" spans="1:22" x14ac:dyDescent="0.3">
      <c r="A934" t="s">
        <v>368</v>
      </c>
      <c r="B934">
        <v>2</v>
      </c>
      <c r="C934" t="s">
        <v>589</v>
      </c>
      <c r="D934" t="s">
        <v>452</v>
      </c>
      <c r="E934" t="s">
        <v>159</v>
      </c>
      <c r="F934" t="s">
        <v>101</v>
      </c>
      <c r="G934" t="s">
        <v>104</v>
      </c>
      <c r="H934">
        <v>0</v>
      </c>
      <c r="I934">
        <v>0</v>
      </c>
      <c r="J934">
        <v>0</v>
      </c>
      <c r="K934" t="s">
        <v>104</v>
      </c>
      <c r="L934">
        <v>0</v>
      </c>
      <c r="M934">
        <v>1</v>
      </c>
      <c r="N934">
        <v>0</v>
      </c>
      <c r="O934">
        <v>9</v>
      </c>
      <c r="P934">
        <v>0</v>
      </c>
      <c r="Q934">
        <v>9</v>
      </c>
      <c r="R934">
        <v>0</v>
      </c>
      <c r="S934">
        <v>0</v>
      </c>
      <c r="T934">
        <v>0</v>
      </c>
      <c r="U934" s="8">
        <v>0</v>
      </c>
      <c r="V934" s="8">
        <f t="shared" si="14"/>
        <v>0</v>
      </c>
    </row>
    <row r="935" spans="1:22" x14ac:dyDescent="0.3">
      <c r="A935" t="s">
        <v>368</v>
      </c>
      <c r="B935">
        <v>2</v>
      </c>
      <c r="C935" t="s">
        <v>186</v>
      </c>
      <c r="D935" t="s">
        <v>187</v>
      </c>
      <c r="E935" t="s">
        <v>159</v>
      </c>
      <c r="F935" t="s">
        <v>101</v>
      </c>
      <c r="G935" t="s">
        <v>104</v>
      </c>
      <c r="H935">
        <v>0</v>
      </c>
      <c r="I935">
        <v>0</v>
      </c>
      <c r="J935">
        <v>0</v>
      </c>
      <c r="K935" t="s">
        <v>104</v>
      </c>
      <c r="L935">
        <v>0</v>
      </c>
      <c r="M935">
        <v>1</v>
      </c>
      <c r="N935">
        <v>0</v>
      </c>
      <c r="O935">
        <v>6</v>
      </c>
      <c r="P935">
        <v>0</v>
      </c>
      <c r="Q935">
        <v>6</v>
      </c>
      <c r="R935">
        <v>0</v>
      </c>
      <c r="S935">
        <v>0</v>
      </c>
      <c r="T935">
        <v>0</v>
      </c>
      <c r="U935" s="8">
        <v>0</v>
      </c>
      <c r="V935" s="8">
        <f t="shared" si="14"/>
        <v>0</v>
      </c>
    </row>
    <row r="936" spans="1:22" x14ac:dyDescent="0.3">
      <c r="A936" t="s">
        <v>368</v>
      </c>
      <c r="B936">
        <v>2</v>
      </c>
      <c r="C936" t="s">
        <v>113</v>
      </c>
      <c r="D936" t="s">
        <v>84</v>
      </c>
      <c r="E936" t="s">
        <v>266</v>
      </c>
      <c r="F936" t="s">
        <v>85</v>
      </c>
      <c r="G936" t="s">
        <v>86</v>
      </c>
      <c r="H936">
        <v>19</v>
      </c>
      <c r="I936">
        <v>27</v>
      </c>
      <c r="J936">
        <v>70.37</v>
      </c>
      <c r="K936" t="s">
        <v>245</v>
      </c>
      <c r="L936">
        <v>4.5999999999999996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 s="8">
        <v>4.5999999999999996</v>
      </c>
      <c r="V936" s="8">
        <f t="shared" si="14"/>
        <v>0</v>
      </c>
    </row>
    <row r="937" spans="1:22" x14ac:dyDescent="0.3">
      <c r="A937" t="s">
        <v>368</v>
      </c>
      <c r="B937">
        <v>2</v>
      </c>
      <c r="C937" t="s">
        <v>112</v>
      </c>
      <c r="D937" t="s">
        <v>88</v>
      </c>
      <c r="E937" t="s">
        <v>266</v>
      </c>
      <c r="F937" t="s">
        <v>169</v>
      </c>
      <c r="G937" t="s">
        <v>86</v>
      </c>
      <c r="H937">
        <v>15</v>
      </c>
      <c r="I937">
        <v>14</v>
      </c>
      <c r="J937">
        <v>107.14</v>
      </c>
      <c r="K937" t="s">
        <v>246</v>
      </c>
      <c r="L937">
        <v>11.4</v>
      </c>
      <c r="M937">
        <v>4</v>
      </c>
      <c r="N937">
        <v>0</v>
      </c>
      <c r="O937">
        <v>18</v>
      </c>
      <c r="P937">
        <v>2</v>
      </c>
      <c r="Q937">
        <v>4.5</v>
      </c>
      <c r="R937">
        <v>65</v>
      </c>
      <c r="S937">
        <v>0</v>
      </c>
      <c r="T937">
        <v>0</v>
      </c>
      <c r="U937" s="8">
        <v>76.400000000000006</v>
      </c>
      <c r="V937" s="8">
        <f t="shared" si="14"/>
        <v>8</v>
      </c>
    </row>
    <row r="938" spans="1:22" x14ac:dyDescent="0.3">
      <c r="A938" t="s">
        <v>368</v>
      </c>
      <c r="B938">
        <v>2</v>
      </c>
      <c r="C938" t="s">
        <v>117</v>
      </c>
      <c r="D938" t="s">
        <v>90</v>
      </c>
      <c r="E938" t="s">
        <v>266</v>
      </c>
      <c r="F938" t="s">
        <v>169</v>
      </c>
      <c r="G938" t="s">
        <v>92</v>
      </c>
      <c r="H938">
        <v>23</v>
      </c>
      <c r="I938">
        <v>17</v>
      </c>
      <c r="J938">
        <v>135.29</v>
      </c>
      <c r="K938" t="s">
        <v>245</v>
      </c>
      <c r="L938">
        <v>21.6</v>
      </c>
      <c r="M938">
        <v>4</v>
      </c>
      <c r="N938">
        <v>0</v>
      </c>
      <c r="O938">
        <v>18</v>
      </c>
      <c r="P938">
        <v>2</v>
      </c>
      <c r="Q938">
        <v>4.5</v>
      </c>
      <c r="R938">
        <v>65</v>
      </c>
      <c r="S938">
        <v>0</v>
      </c>
      <c r="T938">
        <v>0</v>
      </c>
      <c r="U938" s="8">
        <v>86.6</v>
      </c>
      <c r="V938" s="8">
        <f t="shared" si="14"/>
        <v>9</v>
      </c>
    </row>
    <row r="939" spans="1:22" x14ac:dyDescent="0.3">
      <c r="A939" t="s">
        <v>368</v>
      </c>
      <c r="B939">
        <v>2</v>
      </c>
      <c r="C939" t="s">
        <v>115</v>
      </c>
      <c r="D939" t="s">
        <v>17</v>
      </c>
      <c r="E939" t="s">
        <v>266</v>
      </c>
      <c r="F939" t="s">
        <v>169</v>
      </c>
      <c r="G939" t="s">
        <v>134</v>
      </c>
      <c r="H939">
        <v>33</v>
      </c>
      <c r="I939">
        <v>30</v>
      </c>
      <c r="J939">
        <v>110</v>
      </c>
      <c r="K939" t="s">
        <v>246</v>
      </c>
      <c r="L939">
        <v>24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 s="8">
        <v>24</v>
      </c>
      <c r="V939" s="8">
        <f t="shared" si="14"/>
        <v>2</v>
      </c>
    </row>
    <row r="940" spans="1:22" x14ac:dyDescent="0.3">
      <c r="A940" t="s">
        <v>368</v>
      </c>
      <c r="B940">
        <v>2</v>
      </c>
      <c r="C940" t="s">
        <v>119</v>
      </c>
      <c r="D940" t="s">
        <v>95</v>
      </c>
      <c r="E940" t="s">
        <v>266</v>
      </c>
      <c r="F940" t="s">
        <v>169</v>
      </c>
      <c r="G940" t="s">
        <v>134</v>
      </c>
      <c r="H940">
        <v>27</v>
      </c>
      <c r="I940">
        <v>25</v>
      </c>
      <c r="J940">
        <v>108</v>
      </c>
      <c r="K940" t="s">
        <v>96</v>
      </c>
      <c r="L940">
        <v>26.1</v>
      </c>
      <c r="M940">
        <v>2</v>
      </c>
      <c r="N940">
        <v>0</v>
      </c>
      <c r="O940">
        <v>18</v>
      </c>
      <c r="P940">
        <v>0</v>
      </c>
      <c r="Q940">
        <v>9</v>
      </c>
      <c r="R940">
        <v>0</v>
      </c>
      <c r="S940">
        <v>0</v>
      </c>
      <c r="T940">
        <v>0</v>
      </c>
      <c r="U940" s="8">
        <v>26.1</v>
      </c>
      <c r="V940" s="8">
        <f t="shared" si="14"/>
        <v>3</v>
      </c>
    </row>
    <row r="941" spans="1:22" x14ac:dyDescent="0.3">
      <c r="A941" t="s">
        <v>368</v>
      </c>
      <c r="B941">
        <v>2</v>
      </c>
      <c r="C941" t="s">
        <v>347</v>
      </c>
      <c r="D941" t="s">
        <v>348</v>
      </c>
      <c r="E941" t="s">
        <v>266</v>
      </c>
      <c r="F941" t="s">
        <v>169</v>
      </c>
      <c r="G941" t="s">
        <v>134</v>
      </c>
      <c r="H941">
        <v>1</v>
      </c>
      <c r="I941">
        <v>3</v>
      </c>
      <c r="J941">
        <v>33.33</v>
      </c>
      <c r="K941" t="s">
        <v>248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 s="8">
        <v>0</v>
      </c>
      <c r="V941" s="8">
        <f t="shared" si="14"/>
        <v>0</v>
      </c>
    </row>
    <row r="942" spans="1:22" x14ac:dyDescent="0.3">
      <c r="A942" t="s">
        <v>368</v>
      </c>
      <c r="B942">
        <v>2</v>
      </c>
      <c r="C942" t="s">
        <v>123</v>
      </c>
      <c r="D942" t="s">
        <v>98</v>
      </c>
      <c r="E942" t="s">
        <v>266</v>
      </c>
      <c r="F942" t="s">
        <v>169</v>
      </c>
      <c r="G942" t="s">
        <v>134</v>
      </c>
      <c r="H942">
        <v>4</v>
      </c>
      <c r="I942">
        <v>4</v>
      </c>
      <c r="J942">
        <v>100</v>
      </c>
      <c r="K942" t="s">
        <v>248</v>
      </c>
      <c r="L942">
        <v>1</v>
      </c>
      <c r="M942">
        <v>3</v>
      </c>
      <c r="N942">
        <v>0</v>
      </c>
      <c r="O942">
        <v>21</v>
      </c>
      <c r="P942">
        <v>0</v>
      </c>
      <c r="Q942">
        <v>7</v>
      </c>
      <c r="R942">
        <v>0</v>
      </c>
      <c r="S942">
        <v>0</v>
      </c>
      <c r="T942">
        <v>0</v>
      </c>
      <c r="U942" s="8">
        <v>1</v>
      </c>
      <c r="V942" s="8">
        <f t="shared" si="14"/>
        <v>0</v>
      </c>
    </row>
    <row r="943" spans="1:22" x14ac:dyDescent="0.3">
      <c r="A943" t="s">
        <v>368</v>
      </c>
      <c r="B943">
        <v>2</v>
      </c>
      <c r="C943" t="s">
        <v>121</v>
      </c>
      <c r="D943" t="s">
        <v>108</v>
      </c>
      <c r="E943" t="s">
        <v>266</v>
      </c>
      <c r="F943" t="s">
        <v>169</v>
      </c>
      <c r="G943" t="s">
        <v>134</v>
      </c>
      <c r="H943">
        <v>1</v>
      </c>
      <c r="I943">
        <v>1</v>
      </c>
      <c r="J943">
        <v>100</v>
      </c>
      <c r="K943" t="s">
        <v>96</v>
      </c>
      <c r="L943">
        <v>5.3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 s="8">
        <v>5.3</v>
      </c>
      <c r="V943" s="8">
        <f t="shared" si="14"/>
        <v>1</v>
      </c>
    </row>
    <row r="944" spans="1:22" x14ac:dyDescent="0.3">
      <c r="A944" t="s">
        <v>368</v>
      </c>
      <c r="B944">
        <v>2</v>
      </c>
      <c r="C944" t="s">
        <v>265</v>
      </c>
      <c r="D944" t="s">
        <v>264</v>
      </c>
      <c r="E944" t="s">
        <v>266</v>
      </c>
      <c r="F944" t="s">
        <v>101</v>
      </c>
      <c r="G944" t="s">
        <v>104</v>
      </c>
      <c r="H944">
        <v>0</v>
      </c>
      <c r="I944">
        <v>0</v>
      </c>
      <c r="J944">
        <v>0</v>
      </c>
      <c r="K944" t="s">
        <v>104</v>
      </c>
      <c r="L944">
        <v>0</v>
      </c>
      <c r="M944">
        <v>4</v>
      </c>
      <c r="N944">
        <v>1</v>
      </c>
      <c r="O944">
        <v>30</v>
      </c>
      <c r="P944">
        <v>0</v>
      </c>
      <c r="Q944">
        <v>7.5</v>
      </c>
      <c r="R944">
        <v>0</v>
      </c>
      <c r="S944">
        <v>0</v>
      </c>
      <c r="T944">
        <v>0</v>
      </c>
      <c r="U944" s="8">
        <v>0</v>
      </c>
      <c r="V944" s="8">
        <f t="shared" si="14"/>
        <v>0</v>
      </c>
    </row>
    <row r="945" spans="1:22" x14ac:dyDescent="0.3">
      <c r="A945" t="s">
        <v>368</v>
      </c>
      <c r="B945">
        <v>2</v>
      </c>
      <c r="C945" t="s">
        <v>131</v>
      </c>
      <c r="D945" t="s">
        <v>106</v>
      </c>
      <c r="E945" t="s">
        <v>266</v>
      </c>
      <c r="F945" t="s">
        <v>101</v>
      </c>
      <c r="G945" t="s">
        <v>104</v>
      </c>
      <c r="H945">
        <v>0</v>
      </c>
      <c r="I945">
        <v>0</v>
      </c>
      <c r="J945">
        <v>0</v>
      </c>
      <c r="K945" t="s">
        <v>104</v>
      </c>
      <c r="L945">
        <v>0</v>
      </c>
      <c r="M945">
        <v>3</v>
      </c>
      <c r="N945">
        <v>0</v>
      </c>
      <c r="O945">
        <v>27</v>
      </c>
      <c r="P945">
        <v>2</v>
      </c>
      <c r="Q945">
        <v>9</v>
      </c>
      <c r="R945">
        <v>50</v>
      </c>
      <c r="S945">
        <v>0</v>
      </c>
      <c r="T945">
        <v>0</v>
      </c>
      <c r="U945" s="8">
        <v>50</v>
      </c>
      <c r="V945" s="8">
        <f t="shared" si="14"/>
        <v>5</v>
      </c>
    </row>
    <row r="946" spans="1:22" x14ac:dyDescent="0.3">
      <c r="A946" t="s">
        <v>368</v>
      </c>
      <c r="B946">
        <v>2</v>
      </c>
      <c r="C946" t="s">
        <v>125</v>
      </c>
      <c r="D946" t="s">
        <v>111</v>
      </c>
      <c r="E946" t="s">
        <v>266</v>
      </c>
      <c r="F946" t="s">
        <v>169</v>
      </c>
      <c r="G946" t="s">
        <v>104</v>
      </c>
      <c r="H946">
        <v>0</v>
      </c>
      <c r="I946">
        <v>0</v>
      </c>
      <c r="J946">
        <v>0</v>
      </c>
      <c r="K946" t="s">
        <v>104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 s="8">
        <v>0</v>
      </c>
      <c r="V946" s="8">
        <f t="shared" si="14"/>
        <v>0</v>
      </c>
    </row>
    <row r="947" spans="1:22" x14ac:dyDescent="0.3">
      <c r="A947" t="s">
        <v>444</v>
      </c>
      <c r="B947">
        <v>2</v>
      </c>
      <c r="C947" t="s">
        <v>190</v>
      </c>
      <c r="D947" t="s">
        <v>191</v>
      </c>
      <c r="E947" t="s">
        <v>158</v>
      </c>
      <c r="F947" t="s">
        <v>109</v>
      </c>
      <c r="G947" t="s">
        <v>86</v>
      </c>
      <c r="H947">
        <v>23</v>
      </c>
      <c r="I947">
        <v>23</v>
      </c>
      <c r="J947">
        <v>100</v>
      </c>
      <c r="K947" t="s">
        <v>247</v>
      </c>
      <c r="L947">
        <v>23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 s="8">
        <v>23</v>
      </c>
      <c r="V947" s="8">
        <f t="shared" si="14"/>
        <v>2</v>
      </c>
    </row>
    <row r="948" spans="1:22" x14ac:dyDescent="0.3">
      <c r="A948" t="s">
        <v>444</v>
      </c>
      <c r="B948">
        <v>2</v>
      </c>
      <c r="C948" t="s">
        <v>188</v>
      </c>
      <c r="D948" t="s">
        <v>189</v>
      </c>
      <c r="E948" t="s">
        <v>158</v>
      </c>
      <c r="F948" t="s">
        <v>83</v>
      </c>
      <c r="G948" t="s">
        <v>86</v>
      </c>
      <c r="H948">
        <v>44</v>
      </c>
      <c r="I948">
        <v>27</v>
      </c>
      <c r="J948">
        <v>162.96</v>
      </c>
      <c r="K948" t="s">
        <v>246</v>
      </c>
      <c r="L948">
        <v>52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 s="8">
        <v>52</v>
      </c>
      <c r="V948" s="8">
        <f t="shared" si="14"/>
        <v>5</v>
      </c>
    </row>
    <row r="949" spans="1:22" x14ac:dyDescent="0.3">
      <c r="A949" t="s">
        <v>444</v>
      </c>
      <c r="B949">
        <v>2</v>
      </c>
      <c r="C949" t="s">
        <v>194</v>
      </c>
      <c r="D949" t="s">
        <v>195</v>
      </c>
      <c r="E949" t="s">
        <v>158</v>
      </c>
      <c r="F949" t="s">
        <v>109</v>
      </c>
      <c r="G949" t="s">
        <v>92</v>
      </c>
      <c r="H949">
        <v>0</v>
      </c>
      <c r="I949">
        <v>2</v>
      </c>
      <c r="J949">
        <v>0</v>
      </c>
      <c r="K949" t="s">
        <v>245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 s="8">
        <v>0</v>
      </c>
      <c r="V949" s="8">
        <f t="shared" si="14"/>
        <v>0</v>
      </c>
    </row>
    <row r="950" spans="1:22" x14ac:dyDescent="0.3">
      <c r="A950" t="s">
        <v>444</v>
      </c>
      <c r="B950">
        <v>2</v>
      </c>
      <c r="C950" t="s">
        <v>196</v>
      </c>
      <c r="D950" t="s">
        <v>197</v>
      </c>
      <c r="E950" t="s">
        <v>158</v>
      </c>
      <c r="F950" t="s">
        <v>109</v>
      </c>
      <c r="G950" t="s">
        <v>92</v>
      </c>
      <c r="H950">
        <v>0</v>
      </c>
      <c r="I950">
        <v>1</v>
      </c>
      <c r="J950">
        <v>0</v>
      </c>
      <c r="K950" t="s">
        <v>245</v>
      </c>
      <c r="L950">
        <v>0</v>
      </c>
      <c r="M950">
        <v>3</v>
      </c>
      <c r="N950">
        <v>0</v>
      </c>
      <c r="O950">
        <v>13</v>
      </c>
      <c r="P950">
        <v>0</v>
      </c>
      <c r="Q950">
        <v>4.3</v>
      </c>
      <c r="R950">
        <v>6.5</v>
      </c>
      <c r="S950">
        <v>0</v>
      </c>
      <c r="T950">
        <v>0</v>
      </c>
      <c r="U950" s="8">
        <v>6.5</v>
      </c>
      <c r="V950" s="8">
        <f t="shared" si="14"/>
        <v>1</v>
      </c>
    </row>
    <row r="951" spans="1:22" x14ac:dyDescent="0.3">
      <c r="A951" t="s">
        <v>444</v>
      </c>
      <c r="B951">
        <v>2</v>
      </c>
      <c r="C951" t="s">
        <v>192</v>
      </c>
      <c r="D951" t="s">
        <v>193</v>
      </c>
      <c r="E951" t="s">
        <v>158</v>
      </c>
      <c r="F951" t="s">
        <v>169</v>
      </c>
      <c r="G951" t="s">
        <v>134</v>
      </c>
      <c r="H951">
        <v>8</v>
      </c>
      <c r="I951">
        <v>16</v>
      </c>
      <c r="J951">
        <v>50</v>
      </c>
      <c r="K951" t="s">
        <v>246</v>
      </c>
      <c r="L951">
        <v>1</v>
      </c>
      <c r="M951">
        <v>4</v>
      </c>
      <c r="N951">
        <v>0</v>
      </c>
      <c r="O951">
        <v>20</v>
      </c>
      <c r="P951">
        <v>0</v>
      </c>
      <c r="Q951">
        <v>5</v>
      </c>
      <c r="R951">
        <v>0</v>
      </c>
      <c r="S951">
        <v>0</v>
      </c>
      <c r="T951">
        <v>0</v>
      </c>
      <c r="U951" s="8">
        <v>1</v>
      </c>
      <c r="V951" s="8">
        <f t="shared" si="14"/>
        <v>0</v>
      </c>
    </row>
    <row r="952" spans="1:22" x14ac:dyDescent="0.3">
      <c r="A952" t="s">
        <v>444</v>
      </c>
      <c r="B952">
        <v>2</v>
      </c>
      <c r="C952" t="s">
        <v>198</v>
      </c>
      <c r="D952" t="s">
        <v>199</v>
      </c>
      <c r="E952" t="s">
        <v>158</v>
      </c>
      <c r="F952" t="s">
        <v>101</v>
      </c>
      <c r="G952" t="s">
        <v>134</v>
      </c>
      <c r="H952">
        <v>3</v>
      </c>
      <c r="I952">
        <v>11</v>
      </c>
      <c r="J952">
        <v>27.27</v>
      </c>
      <c r="K952" t="s">
        <v>246</v>
      </c>
      <c r="L952">
        <v>-2</v>
      </c>
      <c r="M952">
        <v>2</v>
      </c>
      <c r="N952">
        <v>0</v>
      </c>
      <c r="O952">
        <v>15</v>
      </c>
      <c r="P952">
        <v>0</v>
      </c>
      <c r="Q952">
        <v>7.5</v>
      </c>
      <c r="R952">
        <v>0</v>
      </c>
      <c r="S952">
        <v>0</v>
      </c>
      <c r="T952">
        <v>0</v>
      </c>
      <c r="U952" s="8">
        <v>-2</v>
      </c>
      <c r="V952" s="8">
        <f t="shared" si="14"/>
        <v>0</v>
      </c>
    </row>
    <row r="953" spans="1:22" x14ac:dyDescent="0.3">
      <c r="A953" t="s">
        <v>444</v>
      </c>
      <c r="B953">
        <v>2</v>
      </c>
      <c r="C953" t="s">
        <v>206</v>
      </c>
      <c r="D953" t="s">
        <v>207</v>
      </c>
      <c r="E953" t="s">
        <v>158</v>
      </c>
      <c r="F953" t="s">
        <v>101</v>
      </c>
      <c r="G953" t="s">
        <v>134</v>
      </c>
      <c r="H953">
        <v>12</v>
      </c>
      <c r="I953">
        <v>9</v>
      </c>
      <c r="J953">
        <v>133.33000000000001</v>
      </c>
      <c r="K953" t="s">
        <v>256</v>
      </c>
      <c r="L953">
        <v>14</v>
      </c>
      <c r="M953">
        <v>1</v>
      </c>
      <c r="N953">
        <v>0</v>
      </c>
      <c r="O953">
        <v>18</v>
      </c>
      <c r="P953">
        <v>0</v>
      </c>
      <c r="Q953">
        <v>18</v>
      </c>
      <c r="R953">
        <v>0</v>
      </c>
      <c r="S953">
        <v>0</v>
      </c>
      <c r="T953">
        <v>0</v>
      </c>
      <c r="U953" s="8">
        <v>14</v>
      </c>
      <c r="V953" s="8">
        <f t="shared" si="14"/>
        <v>1</v>
      </c>
    </row>
    <row r="954" spans="1:22" x14ac:dyDescent="0.3">
      <c r="A954" t="s">
        <v>444</v>
      </c>
      <c r="B954">
        <v>2</v>
      </c>
      <c r="C954" t="s">
        <v>274</v>
      </c>
      <c r="D954" t="s">
        <v>284</v>
      </c>
      <c r="E954" t="s">
        <v>158</v>
      </c>
      <c r="F954" t="s">
        <v>83</v>
      </c>
      <c r="G954" t="s">
        <v>134</v>
      </c>
      <c r="H954">
        <v>5</v>
      </c>
      <c r="I954">
        <v>3</v>
      </c>
      <c r="J954">
        <v>166.67</v>
      </c>
      <c r="K954" t="s">
        <v>247</v>
      </c>
      <c r="L954">
        <v>9</v>
      </c>
      <c r="M954">
        <v>2</v>
      </c>
      <c r="N954">
        <v>0</v>
      </c>
      <c r="O954">
        <v>12</v>
      </c>
      <c r="P954">
        <v>1</v>
      </c>
      <c r="Q954">
        <v>6</v>
      </c>
      <c r="R954">
        <v>25</v>
      </c>
      <c r="S954">
        <v>0</v>
      </c>
      <c r="T954">
        <v>0</v>
      </c>
      <c r="U954" s="8">
        <v>34</v>
      </c>
      <c r="V954" s="8">
        <f t="shared" si="14"/>
        <v>3</v>
      </c>
    </row>
    <row r="955" spans="1:22" x14ac:dyDescent="0.3">
      <c r="A955" t="s">
        <v>444</v>
      </c>
      <c r="B955">
        <v>2</v>
      </c>
      <c r="C955" t="s">
        <v>202</v>
      </c>
      <c r="D955" t="s">
        <v>203</v>
      </c>
      <c r="E955" t="s">
        <v>158</v>
      </c>
      <c r="F955" t="s">
        <v>101</v>
      </c>
      <c r="G955" t="s">
        <v>135</v>
      </c>
      <c r="H955">
        <v>10</v>
      </c>
      <c r="I955">
        <v>13</v>
      </c>
      <c r="J955">
        <v>76.92</v>
      </c>
      <c r="K955" t="s">
        <v>245</v>
      </c>
      <c r="L955">
        <v>5</v>
      </c>
      <c r="M955">
        <v>3.3</v>
      </c>
      <c r="N955">
        <v>0</v>
      </c>
      <c r="O955">
        <v>26</v>
      </c>
      <c r="P955">
        <v>0</v>
      </c>
      <c r="Q955">
        <v>7.4</v>
      </c>
      <c r="R955">
        <v>0</v>
      </c>
      <c r="S955">
        <v>0</v>
      </c>
      <c r="T955">
        <v>0</v>
      </c>
      <c r="U955" s="8">
        <v>5</v>
      </c>
      <c r="V955" s="8">
        <f t="shared" si="14"/>
        <v>1</v>
      </c>
    </row>
    <row r="956" spans="1:22" x14ac:dyDescent="0.3">
      <c r="A956" t="s">
        <v>444</v>
      </c>
      <c r="B956">
        <v>2</v>
      </c>
      <c r="C956" t="s">
        <v>204</v>
      </c>
      <c r="D956" t="s">
        <v>205</v>
      </c>
      <c r="E956" t="s">
        <v>158</v>
      </c>
      <c r="F956" t="s">
        <v>91</v>
      </c>
      <c r="G956" t="s">
        <v>135</v>
      </c>
      <c r="H956">
        <v>5</v>
      </c>
      <c r="I956">
        <v>5</v>
      </c>
      <c r="J956">
        <v>100</v>
      </c>
      <c r="K956" t="s">
        <v>96</v>
      </c>
      <c r="L956">
        <v>5</v>
      </c>
      <c r="M956">
        <v>4</v>
      </c>
      <c r="N956">
        <v>0</v>
      </c>
      <c r="O956">
        <v>11</v>
      </c>
      <c r="P956">
        <v>1</v>
      </c>
      <c r="Q956">
        <v>2.8</v>
      </c>
      <c r="R956">
        <v>30</v>
      </c>
      <c r="S956">
        <v>0</v>
      </c>
      <c r="T956">
        <v>0</v>
      </c>
      <c r="U956" s="8">
        <v>35</v>
      </c>
      <c r="V956" s="8">
        <f t="shared" si="14"/>
        <v>4</v>
      </c>
    </row>
    <row r="957" spans="1:22" x14ac:dyDescent="0.3">
      <c r="A957" t="s">
        <v>444</v>
      </c>
      <c r="B957">
        <v>2</v>
      </c>
      <c r="C957" t="s">
        <v>200</v>
      </c>
      <c r="D957" t="s">
        <v>201</v>
      </c>
      <c r="E957" t="s">
        <v>158</v>
      </c>
      <c r="F957" t="s">
        <v>85</v>
      </c>
      <c r="G957" t="s">
        <v>135</v>
      </c>
      <c r="H957">
        <v>0</v>
      </c>
      <c r="I957">
        <v>1</v>
      </c>
      <c r="J957">
        <v>0</v>
      </c>
      <c r="K957" t="s">
        <v>246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 s="8">
        <v>0</v>
      </c>
      <c r="V957" s="8">
        <f t="shared" si="14"/>
        <v>0</v>
      </c>
    </row>
    <row r="958" spans="1:22" x14ac:dyDescent="0.3">
      <c r="A958" t="s">
        <v>444</v>
      </c>
      <c r="B958">
        <v>2</v>
      </c>
      <c r="C958" t="s">
        <v>165</v>
      </c>
      <c r="D958" t="s">
        <v>166</v>
      </c>
      <c r="E958" t="s">
        <v>159</v>
      </c>
      <c r="F958" t="s">
        <v>109</v>
      </c>
      <c r="G958" t="s">
        <v>86</v>
      </c>
      <c r="H958">
        <v>31</v>
      </c>
      <c r="I958">
        <v>39</v>
      </c>
      <c r="J958">
        <v>79.489999999999995</v>
      </c>
      <c r="K958" t="s">
        <v>246</v>
      </c>
      <c r="L958">
        <v>25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 s="8">
        <v>25</v>
      </c>
      <c r="V958" s="8">
        <f t="shared" si="14"/>
        <v>3</v>
      </c>
    </row>
    <row r="959" spans="1:22" x14ac:dyDescent="0.3">
      <c r="A959" t="s">
        <v>444</v>
      </c>
      <c r="B959">
        <v>2</v>
      </c>
      <c r="C959" t="s">
        <v>167</v>
      </c>
      <c r="D959" t="s">
        <v>168</v>
      </c>
      <c r="E959" t="s">
        <v>159</v>
      </c>
      <c r="F959" t="s">
        <v>169</v>
      </c>
      <c r="G959" t="s">
        <v>92</v>
      </c>
      <c r="H959">
        <v>32</v>
      </c>
      <c r="I959">
        <v>27</v>
      </c>
      <c r="J959">
        <v>118.52</v>
      </c>
      <c r="K959" t="s">
        <v>247</v>
      </c>
      <c r="L959">
        <v>33</v>
      </c>
      <c r="M959">
        <v>1</v>
      </c>
      <c r="N959">
        <v>0</v>
      </c>
      <c r="O959">
        <v>9</v>
      </c>
      <c r="P959">
        <v>0</v>
      </c>
      <c r="Q959">
        <v>9</v>
      </c>
      <c r="R959">
        <v>0</v>
      </c>
      <c r="S959">
        <v>0</v>
      </c>
      <c r="T959">
        <v>0</v>
      </c>
      <c r="U959" s="8">
        <v>33</v>
      </c>
      <c r="V959" s="8">
        <f t="shared" si="14"/>
        <v>3</v>
      </c>
    </row>
    <row r="960" spans="1:22" x14ac:dyDescent="0.3">
      <c r="A960" t="s">
        <v>444</v>
      </c>
      <c r="B960">
        <v>2</v>
      </c>
      <c r="C960" t="s">
        <v>87</v>
      </c>
      <c r="D960" t="s">
        <v>82</v>
      </c>
      <c r="E960" t="s">
        <v>159</v>
      </c>
      <c r="F960" t="s">
        <v>83</v>
      </c>
      <c r="G960" t="s">
        <v>104</v>
      </c>
      <c r="H960">
        <v>0</v>
      </c>
      <c r="I960">
        <v>0</v>
      </c>
      <c r="J960">
        <v>0</v>
      </c>
      <c r="K960" t="s">
        <v>104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 s="8">
        <v>0</v>
      </c>
      <c r="V960" s="8">
        <f t="shared" si="14"/>
        <v>0</v>
      </c>
    </row>
    <row r="961" spans="1:22" x14ac:dyDescent="0.3">
      <c r="A961" t="s">
        <v>444</v>
      </c>
      <c r="B961">
        <v>2</v>
      </c>
      <c r="C961" t="s">
        <v>174</v>
      </c>
      <c r="D961" t="s">
        <v>175</v>
      </c>
      <c r="E961" t="s">
        <v>159</v>
      </c>
      <c r="F961" t="s">
        <v>169</v>
      </c>
      <c r="G961" t="s">
        <v>92</v>
      </c>
      <c r="H961">
        <v>35</v>
      </c>
      <c r="I961">
        <v>37</v>
      </c>
      <c r="J961">
        <v>94.59</v>
      </c>
      <c r="K961" t="s">
        <v>96</v>
      </c>
      <c r="L961">
        <v>32</v>
      </c>
      <c r="M961">
        <v>2</v>
      </c>
      <c r="N961">
        <v>0</v>
      </c>
      <c r="O961">
        <v>14</v>
      </c>
      <c r="P961">
        <v>0</v>
      </c>
      <c r="Q961">
        <v>7</v>
      </c>
      <c r="R961">
        <v>0</v>
      </c>
      <c r="S961">
        <v>0</v>
      </c>
      <c r="T961">
        <v>0</v>
      </c>
      <c r="U961" s="8">
        <v>32</v>
      </c>
      <c r="V961" s="8">
        <f t="shared" si="14"/>
        <v>3</v>
      </c>
    </row>
    <row r="962" spans="1:22" x14ac:dyDescent="0.3">
      <c r="A962" t="s">
        <v>444</v>
      </c>
      <c r="B962">
        <v>2</v>
      </c>
      <c r="C962" t="s">
        <v>176</v>
      </c>
      <c r="D962" t="s">
        <v>177</v>
      </c>
      <c r="E962" t="s">
        <v>159</v>
      </c>
      <c r="F962" t="s">
        <v>85</v>
      </c>
      <c r="G962" t="s">
        <v>134</v>
      </c>
      <c r="H962">
        <v>17</v>
      </c>
      <c r="I962">
        <v>14</v>
      </c>
      <c r="J962">
        <v>121.43</v>
      </c>
      <c r="K962" t="s">
        <v>96</v>
      </c>
      <c r="L962">
        <v>18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 s="8">
        <v>18</v>
      </c>
      <c r="V962" s="8">
        <f t="shared" si="14"/>
        <v>2</v>
      </c>
    </row>
    <row r="963" spans="1:22" x14ac:dyDescent="0.3">
      <c r="A963" t="s">
        <v>444</v>
      </c>
      <c r="B963">
        <v>2</v>
      </c>
      <c r="C963" t="s">
        <v>371</v>
      </c>
      <c r="D963" t="s">
        <v>372</v>
      </c>
      <c r="E963" t="s">
        <v>159</v>
      </c>
      <c r="F963" t="s">
        <v>169</v>
      </c>
      <c r="G963" t="s">
        <v>104</v>
      </c>
      <c r="H963">
        <v>0</v>
      </c>
      <c r="I963">
        <v>0</v>
      </c>
      <c r="J963">
        <v>0</v>
      </c>
      <c r="K963" t="s">
        <v>104</v>
      </c>
      <c r="L963">
        <v>0</v>
      </c>
      <c r="M963">
        <v>4</v>
      </c>
      <c r="N963">
        <v>0</v>
      </c>
      <c r="O963">
        <v>20</v>
      </c>
      <c r="P963">
        <v>3</v>
      </c>
      <c r="Q963">
        <v>5</v>
      </c>
      <c r="R963">
        <v>75</v>
      </c>
      <c r="S963">
        <v>0</v>
      </c>
      <c r="T963">
        <v>0</v>
      </c>
      <c r="U963" s="8">
        <v>75</v>
      </c>
      <c r="V963" s="8">
        <f t="shared" ref="V963:V1026" si="15">MIN(10, MAX(0, ROUND(U963/10,0)))</f>
        <v>8</v>
      </c>
    </row>
    <row r="964" spans="1:22" x14ac:dyDescent="0.3">
      <c r="A964" t="s">
        <v>444</v>
      </c>
      <c r="B964">
        <v>2</v>
      </c>
      <c r="C964" t="s">
        <v>99</v>
      </c>
      <c r="D964" t="s">
        <v>124</v>
      </c>
      <c r="E964" t="s">
        <v>159</v>
      </c>
      <c r="F964" t="s">
        <v>169</v>
      </c>
      <c r="G964" t="s">
        <v>104</v>
      </c>
      <c r="H964">
        <v>0</v>
      </c>
      <c r="I964">
        <v>0</v>
      </c>
      <c r="J964">
        <v>0</v>
      </c>
      <c r="K964" t="s">
        <v>104</v>
      </c>
      <c r="L964">
        <v>0</v>
      </c>
      <c r="M964">
        <v>3</v>
      </c>
      <c r="N964">
        <v>0</v>
      </c>
      <c r="O964">
        <v>16</v>
      </c>
      <c r="P964">
        <v>0</v>
      </c>
      <c r="Q964">
        <v>5.3</v>
      </c>
      <c r="R964">
        <v>0</v>
      </c>
      <c r="S964">
        <v>0</v>
      </c>
      <c r="T964">
        <v>0</v>
      </c>
      <c r="U964" s="8">
        <v>0</v>
      </c>
      <c r="V964" s="8">
        <f t="shared" si="15"/>
        <v>0</v>
      </c>
    </row>
    <row r="965" spans="1:22" x14ac:dyDescent="0.3">
      <c r="A965" t="s">
        <v>444</v>
      </c>
      <c r="B965">
        <v>2</v>
      </c>
      <c r="C965" t="s">
        <v>259</v>
      </c>
      <c r="D965" t="s">
        <v>257</v>
      </c>
      <c r="E965" t="s">
        <v>159</v>
      </c>
      <c r="F965" t="s">
        <v>169</v>
      </c>
      <c r="G965" t="s">
        <v>104</v>
      </c>
      <c r="H965">
        <v>0</v>
      </c>
      <c r="I965">
        <v>0</v>
      </c>
      <c r="J965">
        <v>0</v>
      </c>
      <c r="K965" t="s">
        <v>104</v>
      </c>
      <c r="L965">
        <v>0</v>
      </c>
      <c r="M965">
        <v>3.3</v>
      </c>
      <c r="N965">
        <v>0</v>
      </c>
      <c r="O965">
        <v>12</v>
      </c>
      <c r="P965">
        <v>4</v>
      </c>
      <c r="Q965">
        <v>3.4</v>
      </c>
      <c r="R965">
        <v>100</v>
      </c>
      <c r="S965">
        <v>0</v>
      </c>
      <c r="T965">
        <v>0</v>
      </c>
      <c r="U965" s="8">
        <v>100</v>
      </c>
      <c r="V965" s="8">
        <f t="shared" si="15"/>
        <v>10</v>
      </c>
    </row>
    <row r="966" spans="1:22" x14ac:dyDescent="0.3">
      <c r="A966" t="s">
        <v>444</v>
      </c>
      <c r="B966">
        <v>2</v>
      </c>
      <c r="C966" t="s">
        <v>172</v>
      </c>
      <c r="D966" t="s">
        <v>173</v>
      </c>
      <c r="E966" t="s">
        <v>159</v>
      </c>
      <c r="F966" t="s">
        <v>109</v>
      </c>
      <c r="G966" t="s">
        <v>104</v>
      </c>
      <c r="H966">
        <v>0</v>
      </c>
      <c r="I966">
        <v>0</v>
      </c>
      <c r="J966">
        <v>0</v>
      </c>
      <c r="K966" t="s">
        <v>104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 s="8">
        <v>0</v>
      </c>
      <c r="V966" s="8">
        <f t="shared" si="15"/>
        <v>0</v>
      </c>
    </row>
    <row r="967" spans="1:22" x14ac:dyDescent="0.3">
      <c r="A967" t="s">
        <v>444</v>
      </c>
      <c r="B967">
        <v>2</v>
      </c>
      <c r="C967" t="s">
        <v>180</v>
      </c>
      <c r="D967" t="s">
        <v>181</v>
      </c>
      <c r="E967" t="s">
        <v>159</v>
      </c>
      <c r="F967" t="s">
        <v>91</v>
      </c>
      <c r="G967" t="s">
        <v>104</v>
      </c>
      <c r="H967">
        <v>0</v>
      </c>
      <c r="I967">
        <v>0</v>
      </c>
      <c r="J967">
        <v>0</v>
      </c>
      <c r="K967" t="s">
        <v>104</v>
      </c>
      <c r="L967">
        <v>0</v>
      </c>
      <c r="M967">
        <v>3</v>
      </c>
      <c r="N967">
        <v>0</v>
      </c>
      <c r="O967">
        <v>14</v>
      </c>
      <c r="P967">
        <v>2</v>
      </c>
      <c r="Q967">
        <v>4.7</v>
      </c>
      <c r="R967">
        <v>50</v>
      </c>
      <c r="S967">
        <v>0</v>
      </c>
      <c r="T967">
        <v>0</v>
      </c>
      <c r="U967" s="8">
        <v>50</v>
      </c>
      <c r="V967" s="8">
        <f t="shared" si="15"/>
        <v>5</v>
      </c>
    </row>
    <row r="968" spans="1:22" x14ac:dyDescent="0.3">
      <c r="A968" t="s">
        <v>444</v>
      </c>
      <c r="B968">
        <v>2</v>
      </c>
      <c r="C968" t="s">
        <v>186</v>
      </c>
      <c r="D968" t="s">
        <v>187</v>
      </c>
      <c r="E968" t="s">
        <v>159</v>
      </c>
      <c r="F968" t="s">
        <v>101</v>
      </c>
      <c r="G968" t="s">
        <v>104</v>
      </c>
      <c r="H968">
        <v>0</v>
      </c>
      <c r="I968">
        <v>0</v>
      </c>
      <c r="J968">
        <v>0</v>
      </c>
      <c r="K968" t="s">
        <v>104</v>
      </c>
      <c r="L968">
        <v>0</v>
      </c>
      <c r="M968">
        <v>2</v>
      </c>
      <c r="N968">
        <v>0</v>
      </c>
      <c r="O968">
        <v>28</v>
      </c>
      <c r="P968">
        <v>0</v>
      </c>
      <c r="Q968">
        <v>14</v>
      </c>
      <c r="R968">
        <v>0</v>
      </c>
      <c r="S968">
        <v>0</v>
      </c>
      <c r="T968">
        <v>0</v>
      </c>
      <c r="U968">
        <v>0</v>
      </c>
      <c r="V968" s="8">
        <f t="shared" si="15"/>
        <v>0</v>
      </c>
    </row>
    <row r="969" spans="1:22" x14ac:dyDescent="0.3">
      <c r="A969" t="s">
        <v>462</v>
      </c>
      <c r="B969">
        <v>3</v>
      </c>
      <c r="C969" t="s">
        <v>81</v>
      </c>
      <c r="D969" t="s">
        <v>114</v>
      </c>
      <c r="E969" t="s">
        <v>258</v>
      </c>
      <c r="F969" t="s">
        <v>85</v>
      </c>
      <c r="G969" t="s">
        <v>86</v>
      </c>
      <c r="H969">
        <v>56</v>
      </c>
      <c r="I969">
        <v>42</v>
      </c>
      <c r="J969">
        <v>133.33000000000001</v>
      </c>
      <c r="K969" t="s">
        <v>246</v>
      </c>
      <c r="L969">
        <v>62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 s="8">
        <v>62</v>
      </c>
      <c r="V969" s="8">
        <f t="shared" si="15"/>
        <v>6</v>
      </c>
    </row>
    <row r="970" spans="1:22" x14ac:dyDescent="0.3">
      <c r="A970" t="s">
        <v>462</v>
      </c>
      <c r="B970">
        <v>3</v>
      </c>
      <c r="C970" t="s">
        <v>278</v>
      </c>
      <c r="D970" t="s">
        <v>293</v>
      </c>
      <c r="E970" t="s">
        <v>258</v>
      </c>
      <c r="F970" t="s">
        <v>109</v>
      </c>
      <c r="G970" t="s">
        <v>86</v>
      </c>
      <c r="H970">
        <v>6</v>
      </c>
      <c r="I970">
        <v>10</v>
      </c>
      <c r="J970">
        <v>60</v>
      </c>
      <c r="K970" t="s">
        <v>245</v>
      </c>
      <c r="L970">
        <v>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 s="8">
        <v>3</v>
      </c>
      <c r="V970" s="8">
        <f t="shared" si="15"/>
        <v>0</v>
      </c>
    </row>
    <row r="971" spans="1:22" x14ac:dyDescent="0.3">
      <c r="A971" t="s">
        <v>462</v>
      </c>
      <c r="B971">
        <v>3</v>
      </c>
      <c r="C971" t="s">
        <v>97</v>
      </c>
      <c r="D971" t="s">
        <v>122</v>
      </c>
      <c r="E971" t="s">
        <v>258</v>
      </c>
      <c r="F971" t="s">
        <v>109</v>
      </c>
      <c r="G971" t="s">
        <v>92</v>
      </c>
      <c r="H971">
        <v>4</v>
      </c>
      <c r="I971">
        <v>9</v>
      </c>
      <c r="J971">
        <v>44.44</v>
      </c>
      <c r="K971" t="s">
        <v>246</v>
      </c>
      <c r="L971">
        <v>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 s="8">
        <v>1</v>
      </c>
      <c r="V971" s="8">
        <f t="shared" si="15"/>
        <v>0</v>
      </c>
    </row>
    <row r="972" spans="1:22" x14ac:dyDescent="0.3">
      <c r="A972" t="s">
        <v>462</v>
      </c>
      <c r="B972">
        <v>3</v>
      </c>
      <c r="C972" t="s">
        <v>93</v>
      </c>
      <c r="D972" t="s">
        <v>118</v>
      </c>
      <c r="E972" t="s">
        <v>258</v>
      </c>
      <c r="F972" t="s">
        <v>169</v>
      </c>
      <c r="G972" t="s">
        <v>134</v>
      </c>
      <c r="H972">
        <v>79</v>
      </c>
      <c r="I972">
        <v>37</v>
      </c>
      <c r="J972">
        <v>213.51</v>
      </c>
      <c r="K972" t="s">
        <v>96</v>
      </c>
      <c r="L972">
        <v>95</v>
      </c>
      <c r="M972">
        <v>3</v>
      </c>
      <c r="N972">
        <v>0</v>
      </c>
      <c r="O972">
        <v>33</v>
      </c>
      <c r="P972">
        <v>2</v>
      </c>
      <c r="Q972">
        <v>11</v>
      </c>
      <c r="R972">
        <v>50</v>
      </c>
      <c r="S972">
        <v>0</v>
      </c>
      <c r="T972">
        <v>0</v>
      </c>
      <c r="U972" s="8">
        <v>145</v>
      </c>
      <c r="V972" s="8">
        <f t="shared" si="15"/>
        <v>10</v>
      </c>
    </row>
    <row r="973" spans="1:22" x14ac:dyDescent="0.3">
      <c r="A973" t="s">
        <v>462</v>
      </c>
      <c r="B973">
        <v>3</v>
      </c>
      <c r="C973" t="s">
        <v>530</v>
      </c>
      <c r="D973" t="s">
        <v>502</v>
      </c>
      <c r="E973" t="s">
        <v>258</v>
      </c>
      <c r="F973" t="s">
        <v>169</v>
      </c>
      <c r="G973" t="s">
        <v>134</v>
      </c>
      <c r="H973">
        <v>25</v>
      </c>
      <c r="I973">
        <v>13</v>
      </c>
      <c r="J973">
        <v>192.31</v>
      </c>
      <c r="K973" t="s">
        <v>246</v>
      </c>
      <c r="L973">
        <v>28</v>
      </c>
      <c r="M973">
        <v>3.3</v>
      </c>
      <c r="N973">
        <v>0</v>
      </c>
      <c r="O973">
        <v>41</v>
      </c>
      <c r="P973">
        <v>1</v>
      </c>
      <c r="Q973">
        <v>11.7</v>
      </c>
      <c r="R973">
        <v>25</v>
      </c>
      <c r="S973">
        <v>0</v>
      </c>
      <c r="T973">
        <v>0</v>
      </c>
      <c r="U973" s="8">
        <v>53</v>
      </c>
      <c r="V973" s="8">
        <f t="shared" si="15"/>
        <v>5</v>
      </c>
    </row>
    <row r="974" spans="1:22" x14ac:dyDescent="0.3">
      <c r="A974" t="s">
        <v>462</v>
      </c>
      <c r="B974">
        <v>3</v>
      </c>
      <c r="C974" t="s">
        <v>89</v>
      </c>
      <c r="D974" t="s">
        <v>116</v>
      </c>
      <c r="E974" t="s">
        <v>258</v>
      </c>
      <c r="F974" t="s">
        <v>83</v>
      </c>
      <c r="G974" t="s">
        <v>134</v>
      </c>
      <c r="H974">
        <v>9</v>
      </c>
      <c r="I974">
        <v>4</v>
      </c>
      <c r="J974">
        <v>225</v>
      </c>
      <c r="K974" t="s">
        <v>96</v>
      </c>
      <c r="L974">
        <v>18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 s="8">
        <v>18</v>
      </c>
      <c r="V974" s="8">
        <f t="shared" si="15"/>
        <v>2</v>
      </c>
    </row>
    <row r="975" spans="1:22" x14ac:dyDescent="0.3">
      <c r="A975" t="s">
        <v>462</v>
      </c>
      <c r="B975">
        <v>3</v>
      </c>
      <c r="C975" t="s">
        <v>227</v>
      </c>
      <c r="D975" t="s">
        <v>228</v>
      </c>
      <c r="E975" t="s">
        <v>258</v>
      </c>
      <c r="F975" t="s">
        <v>109</v>
      </c>
      <c r="G975" t="s">
        <v>134</v>
      </c>
      <c r="H975">
        <v>11</v>
      </c>
      <c r="I975">
        <v>5</v>
      </c>
      <c r="J975">
        <v>220</v>
      </c>
      <c r="K975" t="s">
        <v>245</v>
      </c>
      <c r="L975">
        <v>14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 s="8">
        <v>14</v>
      </c>
      <c r="V975" s="8">
        <f t="shared" si="15"/>
        <v>1</v>
      </c>
    </row>
    <row r="976" spans="1:22" x14ac:dyDescent="0.3">
      <c r="A976" t="s">
        <v>462</v>
      </c>
      <c r="B976">
        <v>3</v>
      </c>
      <c r="C976" t="s">
        <v>105</v>
      </c>
      <c r="D976" t="s">
        <v>128</v>
      </c>
      <c r="E976" t="s">
        <v>258</v>
      </c>
      <c r="F976" t="s">
        <v>101</v>
      </c>
      <c r="G976" t="s">
        <v>104</v>
      </c>
      <c r="H976">
        <v>0</v>
      </c>
      <c r="I976">
        <v>0</v>
      </c>
      <c r="J976">
        <v>0</v>
      </c>
      <c r="K976" t="s">
        <v>104</v>
      </c>
      <c r="L976">
        <v>0</v>
      </c>
      <c r="M976">
        <v>3</v>
      </c>
      <c r="N976">
        <v>0</v>
      </c>
      <c r="O976">
        <v>29</v>
      </c>
      <c r="P976">
        <v>0</v>
      </c>
      <c r="Q976">
        <v>9.6999999999999993</v>
      </c>
      <c r="R976">
        <v>0</v>
      </c>
      <c r="S976">
        <v>0</v>
      </c>
      <c r="T976">
        <v>0</v>
      </c>
      <c r="U976" s="8">
        <v>0</v>
      </c>
      <c r="V976" s="8">
        <f t="shared" si="15"/>
        <v>0</v>
      </c>
    </row>
    <row r="977" spans="1:22" x14ac:dyDescent="0.3">
      <c r="A977" t="s">
        <v>462</v>
      </c>
      <c r="B977">
        <v>3</v>
      </c>
      <c r="C977" t="s">
        <v>415</v>
      </c>
      <c r="D977" t="s">
        <v>425</v>
      </c>
      <c r="E977" t="s">
        <v>258</v>
      </c>
      <c r="F977" t="s">
        <v>169</v>
      </c>
      <c r="G977" t="s">
        <v>104</v>
      </c>
      <c r="H977">
        <v>0</v>
      </c>
      <c r="I977">
        <v>0</v>
      </c>
      <c r="J977">
        <v>0</v>
      </c>
      <c r="K977" t="s">
        <v>104</v>
      </c>
      <c r="L977">
        <v>0</v>
      </c>
      <c r="M977">
        <v>4</v>
      </c>
      <c r="N977">
        <v>0</v>
      </c>
      <c r="O977">
        <v>44</v>
      </c>
      <c r="P977">
        <v>1</v>
      </c>
      <c r="Q977">
        <v>11</v>
      </c>
      <c r="R977">
        <v>25</v>
      </c>
      <c r="S977">
        <v>0</v>
      </c>
      <c r="T977">
        <v>0</v>
      </c>
      <c r="U977" s="8">
        <v>25</v>
      </c>
      <c r="V977" s="8">
        <f t="shared" si="15"/>
        <v>3</v>
      </c>
    </row>
    <row r="978" spans="1:22" x14ac:dyDescent="0.3">
      <c r="A978" t="s">
        <v>462</v>
      </c>
      <c r="B978">
        <v>3</v>
      </c>
      <c r="C978" t="s">
        <v>494</v>
      </c>
      <c r="D978" t="s">
        <v>501</v>
      </c>
      <c r="E978" t="s">
        <v>258</v>
      </c>
      <c r="F978" t="s">
        <v>101</v>
      </c>
      <c r="G978" t="s">
        <v>104</v>
      </c>
      <c r="H978">
        <v>0</v>
      </c>
      <c r="I978">
        <v>0</v>
      </c>
      <c r="J978">
        <v>0</v>
      </c>
      <c r="K978" t="s">
        <v>104</v>
      </c>
      <c r="L978">
        <v>0</v>
      </c>
      <c r="M978">
        <v>3</v>
      </c>
      <c r="N978">
        <v>0</v>
      </c>
      <c r="O978">
        <v>29</v>
      </c>
      <c r="P978">
        <v>0</v>
      </c>
      <c r="Q978">
        <v>9.6999999999999993</v>
      </c>
      <c r="R978">
        <v>0</v>
      </c>
      <c r="S978">
        <v>0</v>
      </c>
      <c r="T978">
        <v>0</v>
      </c>
      <c r="U978" s="8">
        <v>0</v>
      </c>
      <c r="V978" s="8">
        <f t="shared" si="15"/>
        <v>0</v>
      </c>
    </row>
    <row r="979" spans="1:22" x14ac:dyDescent="0.3">
      <c r="A979" t="s">
        <v>462</v>
      </c>
      <c r="B979">
        <v>3</v>
      </c>
      <c r="C979" t="s">
        <v>493</v>
      </c>
      <c r="D979" t="s">
        <v>500</v>
      </c>
      <c r="E979" t="s">
        <v>258</v>
      </c>
      <c r="F979" t="s">
        <v>169</v>
      </c>
      <c r="G979" t="s">
        <v>104</v>
      </c>
      <c r="H979">
        <v>0</v>
      </c>
      <c r="I979">
        <v>0</v>
      </c>
      <c r="J979">
        <v>0</v>
      </c>
      <c r="K979" t="s">
        <v>104</v>
      </c>
      <c r="L979">
        <v>0</v>
      </c>
      <c r="M979">
        <v>2</v>
      </c>
      <c r="N979">
        <v>0</v>
      </c>
      <c r="O979">
        <v>22</v>
      </c>
      <c r="P979">
        <v>0</v>
      </c>
      <c r="Q979">
        <v>11</v>
      </c>
      <c r="R979">
        <v>0</v>
      </c>
      <c r="S979">
        <v>0</v>
      </c>
      <c r="T979">
        <v>0</v>
      </c>
      <c r="U979" s="8">
        <v>0</v>
      </c>
      <c r="V979" s="8">
        <f t="shared" si="15"/>
        <v>0</v>
      </c>
    </row>
    <row r="980" spans="1:22" x14ac:dyDescent="0.3">
      <c r="A980" t="s">
        <v>462</v>
      </c>
      <c r="B980">
        <v>3</v>
      </c>
      <c r="C980" t="s">
        <v>165</v>
      </c>
      <c r="D980" t="s">
        <v>166</v>
      </c>
      <c r="E980" t="s">
        <v>159</v>
      </c>
      <c r="F980" t="s">
        <v>109</v>
      </c>
      <c r="G980" t="s">
        <v>86</v>
      </c>
      <c r="H980">
        <v>9</v>
      </c>
      <c r="I980">
        <v>7</v>
      </c>
      <c r="J980">
        <v>128.57</v>
      </c>
      <c r="K980" t="s">
        <v>247</v>
      </c>
      <c r="L980">
        <v>6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 s="8">
        <v>6</v>
      </c>
      <c r="V980" s="8">
        <f t="shared" si="15"/>
        <v>1</v>
      </c>
    </row>
    <row r="981" spans="1:22" x14ac:dyDescent="0.3">
      <c r="A981" t="s">
        <v>462</v>
      </c>
      <c r="B981">
        <v>3</v>
      </c>
      <c r="C981" t="s">
        <v>489</v>
      </c>
      <c r="D981" t="s">
        <v>488</v>
      </c>
      <c r="E981" t="s">
        <v>159</v>
      </c>
      <c r="F981" t="s">
        <v>109</v>
      </c>
      <c r="G981" t="s">
        <v>92</v>
      </c>
      <c r="H981">
        <v>4</v>
      </c>
      <c r="I981">
        <v>4</v>
      </c>
      <c r="J981">
        <v>100</v>
      </c>
      <c r="K981" t="s">
        <v>245</v>
      </c>
      <c r="L981">
        <v>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 s="8">
        <v>1</v>
      </c>
      <c r="V981" s="8">
        <f t="shared" si="15"/>
        <v>0</v>
      </c>
    </row>
    <row r="982" spans="1:22" x14ac:dyDescent="0.3">
      <c r="A982" t="s">
        <v>462</v>
      </c>
      <c r="B982">
        <v>3</v>
      </c>
      <c r="C982" t="s">
        <v>174</v>
      </c>
      <c r="D982" t="s">
        <v>175</v>
      </c>
      <c r="E982" t="s">
        <v>159</v>
      </c>
      <c r="F982" t="s">
        <v>169</v>
      </c>
      <c r="G982" t="s">
        <v>92</v>
      </c>
      <c r="H982">
        <v>57</v>
      </c>
      <c r="I982">
        <v>34</v>
      </c>
      <c r="J982">
        <v>167.65</v>
      </c>
      <c r="K982" t="s">
        <v>246</v>
      </c>
      <c r="L982">
        <v>65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 s="8">
        <v>65</v>
      </c>
      <c r="V982" s="8">
        <f t="shared" si="15"/>
        <v>7</v>
      </c>
    </row>
    <row r="983" spans="1:22" x14ac:dyDescent="0.3">
      <c r="A983" t="s">
        <v>462</v>
      </c>
      <c r="B983">
        <v>3</v>
      </c>
      <c r="C983" t="s">
        <v>490</v>
      </c>
      <c r="D983" t="s">
        <v>497</v>
      </c>
      <c r="E983" t="s">
        <v>159</v>
      </c>
      <c r="F983" t="s">
        <v>83</v>
      </c>
      <c r="G983" t="s">
        <v>134</v>
      </c>
      <c r="H983">
        <v>25</v>
      </c>
      <c r="I983">
        <v>27</v>
      </c>
      <c r="J983">
        <v>92.59</v>
      </c>
      <c r="K983" t="s">
        <v>246</v>
      </c>
      <c r="L983">
        <v>20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 s="8">
        <v>20</v>
      </c>
      <c r="V983" s="8">
        <f t="shared" si="15"/>
        <v>2</v>
      </c>
    </row>
    <row r="984" spans="1:22" x14ac:dyDescent="0.3">
      <c r="A984" t="s">
        <v>462</v>
      </c>
      <c r="B984">
        <v>3</v>
      </c>
      <c r="C984" t="s">
        <v>176</v>
      </c>
      <c r="D984" t="s">
        <v>177</v>
      </c>
      <c r="E984" t="s">
        <v>159</v>
      </c>
      <c r="F984" t="s">
        <v>85</v>
      </c>
      <c r="G984" t="s">
        <v>134</v>
      </c>
      <c r="H984">
        <v>64</v>
      </c>
      <c r="I984">
        <v>27</v>
      </c>
      <c r="J984">
        <v>237.04</v>
      </c>
      <c r="K984" t="s">
        <v>96</v>
      </c>
      <c r="L984">
        <v>90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 s="8">
        <v>90</v>
      </c>
      <c r="V984" s="8">
        <f t="shared" si="15"/>
        <v>9</v>
      </c>
    </row>
    <row r="985" spans="1:22" x14ac:dyDescent="0.3">
      <c r="A985" t="s">
        <v>462</v>
      </c>
      <c r="B985">
        <v>3</v>
      </c>
      <c r="C985" t="s">
        <v>178</v>
      </c>
      <c r="D985" t="s">
        <v>179</v>
      </c>
      <c r="E985" t="s">
        <v>159</v>
      </c>
      <c r="F985" t="s">
        <v>83</v>
      </c>
      <c r="G985" t="s">
        <v>134</v>
      </c>
      <c r="H985">
        <v>30</v>
      </c>
      <c r="I985">
        <v>13</v>
      </c>
      <c r="J985">
        <v>230.77</v>
      </c>
      <c r="K985" t="s">
        <v>96</v>
      </c>
      <c r="L985">
        <v>45</v>
      </c>
      <c r="M985">
        <v>3</v>
      </c>
      <c r="N985">
        <v>0</v>
      </c>
      <c r="O985">
        <v>19</v>
      </c>
      <c r="P985">
        <v>1</v>
      </c>
      <c r="Q985">
        <v>6.3</v>
      </c>
      <c r="R985">
        <v>25</v>
      </c>
      <c r="S985">
        <v>0</v>
      </c>
      <c r="T985">
        <v>0</v>
      </c>
      <c r="U985" s="8">
        <v>70</v>
      </c>
      <c r="V985" s="8">
        <f t="shared" si="15"/>
        <v>7</v>
      </c>
    </row>
    <row r="986" spans="1:22" x14ac:dyDescent="0.3">
      <c r="A986" t="s">
        <v>462</v>
      </c>
      <c r="B986">
        <v>3</v>
      </c>
      <c r="C986" t="s">
        <v>99</v>
      </c>
      <c r="D986" t="s">
        <v>124</v>
      </c>
      <c r="E986" t="s">
        <v>159</v>
      </c>
      <c r="F986" t="s">
        <v>169</v>
      </c>
      <c r="G986" t="s">
        <v>104</v>
      </c>
      <c r="H986">
        <v>0</v>
      </c>
      <c r="I986">
        <v>0</v>
      </c>
      <c r="J986">
        <v>0</v>
      </c>
      <c r="K986" t="s">
        <v>104</v>
      </c>
      <c r="L986">
        <v>0</v>
      </c>
      <c r="M986">
        <v>3</v>
      </c>
      <c r="N986">
        <v>0</v>
      </c>
      <c r="O986">
        <v>50</v>
      </c>
      <c r="P986">
        <v>1</v>
      </c>
      <c r="Q986">
        <v>16.7</v>
      </c>
      <c r="R986">
        <v>25</v>
      </c>
      <c r="S986">
        <v>0</v>
      </c>
      <c r="T986">
        <v>0</v>
      </c>
      <c r="U986" s="8">
        <v>25</v>
      </c>
      <c r="V986" s="8">
        <f t="shared" si="15"/>
        <v>3</v>
      </c>
    </row>
    <row r="987" spans="1:22" x14ac:dyDescent="0.3">
      <c r="A987" t="s">
        <v>462</v>
      </c>
      <c r="B987">
        <v>3</v>
      </c>
      <c r="C987" t="s">
        <v>242</v>
      </c>
      <c r="D987" t="s">
        <v>244</v>
      </c>
      <c r="E987" t="s">
        <v>159</v>
      </c>
      <c r="F987" t="s">
        <v>101</v>
      </c>
      <c r="G987" t="s">
        <v>104</v>
      </c>
      <c r="H987">
        <v>0</v>
      </c>
      <c r="I987">
        <v>0</v>
      </c>
      <c r="J987">
        <v>0</v>
      </c>
      <c r="K987" t="s">
        <v>104</v>
      </c>
      <c r="L987">
        <v>0</v>
      </c>
      <c r="M987">
        <v>4</v>
      </c>
      <c r="N987">
        <v>0</v>
      </c>
      <c r="O987">
        <v>34</v>
      </c>
      <c r="P987">
        <v>0</v>
      </c>
      <c r="Q987">
        <v>8.5</v>
      </c>
      <c r="R987">
        <v>0</v>
      </c>
      <c r="S987">
        <v>0</v>
      </c>
      <c r="T987">
        <v>0</v>
      </c>
      <c r="U987" s="8">
        <v>0</v>
      </c>
      <c r="V987" s="8">
        <f t="shared" si="15"/>
        <v>0</v>
      </c>
    </row>
    <row r="988" spans="1:22" x14ac:dyDescent="0.3">
      <c r="A988" t="s">
        <v>462</v>
      </c>
      <c r="B988">
        <v>3</v>
      </c>
      <c r="C988" t="s">
        <v>491</v>
      </c>
      <c r="D988" t="s">
        <v>498</v>
      </c>
      <c r="E988" t="s">
        <v>159</v>
      </c>
      <c r="F988" t="s">
        <v>169</v>
      </c>
      <c r="G988" t="s">
        <v>104</v>
      </c>
      <c r="H988">
        <v>0</v>
      </c>
      <c r="I988">
        <v>0</v>
      </c>
      <c r="J988">
        <v>0</v>
      </c>
      <c r="K988" t="s">
        <v>104</v>
      </c>
      <c r="L988">
        <v>0</v>
      </c>
      <c r="M988">
        <v>2</v>
      </c>
      <c r="N988">
        <v>0</v>
      </c>
      <c r="O988">
        <v>26</v>
      </c>
      <c r="P988">
        <v>1</v>
      </c>
      <c r="Q988">
        <v>13</v>
      </c>
      <c r="R988">
        <v>25</v>
      </c>
      <c r="S988">
        <v>0</v>
      </c>
      <c r="T988">
        <v>0</v>
      </c>
      <c r="U988" s="8">
        <v>25</v>
      </c>
      <c r="V988" s="8">
        <f t="shared" si="15"/>
        <v>3</v>
      </c>
    </row>
    <row r="989" spans="1:22" x14ac:dyDescent="0.3">
      <c r="A989" t="s">
        <v>462</v>
      </c>
      <c r="B989">
        <v>3</v>
      </c>
      <c r="C989" t="s">
        <v>492</v>
      </c>
      <c r="D989" t="s">
        <v>499</v>
      </c>
      <c r="E989" t="s">
        <v>159</v>
      </c>
      <c r="F989" t="s">
        <v>169</v>
      </c>
      <c r="G989" t="s">
        <v>104</v>
      </c>
      <c r="H989">
        <v>0</v>
      </c>
      <c r="I989">
        <v>0</v>
      </c>
      <c r="J989">
        <v>0</v>
      </c>
      <c r="K989" t="s">
        <v>104</v>
      </c>
      <c r="L989">
        <v>0</v>
      </c>
      <c r="M989">
        <v>4</v>
      </c>
      <c r="N989">
        <v>0</v>
      </c>
      <c r="O989">
        <v>43</v>
      </c>
      <c r="P989">
        <v>0</v>
      </c>
      <c r="Q989">
        <v>10.8</v>
      </c>
      <c r="R989">
        <v>0</v>
      </c>
      <c r="S989">
        <v>0</v>
      </c>
      <c r="T989">
        <v>0</v>
      </c>
      <c r="U989" s="8">
        <v>0</v>
      </c>
      <c r="V989" s="8">
        <f t="shared" si="15"/>
        <v>0</v>
      </c>
    </row>
    <row r="990" spans="1:22" x14ac:dyDescent="0.3">
      <c r="A990" t="s">
        <v>462</v>
      </c>
      <c r="B990">
        <v>3</v>
      </c>
      <c r="C990" t="s">
        <v>186</v>
      </c>
      <c r="D990" t="s">
        <v>187</v>
      </c>
      <c r="E990" t="s">
        <v>159</v>
      </c>
      <c r="F990" t="s">
        <v>101</v>
      </c>
      <c r="G990" t="s">
        <v>104</v>
      </c>
      <c r="H990">
        <v>0</v>
      </c>
      <c r="I990">
        <v>0</v>
      </c>
      <c r="J990">
        <v>0</v>
      </c>
      <c r="K990" t="s">
        <v>104</v>
      </c>
      <c r="L990">
        <v>0</v>
      </c>
      <c r="M990">
        <v>4</v>
      </c>
      <c r="N990">
        <v>0</v>
      </c>
      <c r="O990">
        <v>25</v>
      </c>
      <c r="P990">
        <v>2</v>
      </c>
      <c r="Q990">
        <v>6.2</v>
      </c>
      <c r="R990">
        <v>50</v>
      </c>
      <c r="S990">
        <v>0</v>
      </c>
      <c r="T990">
        <v>0</v>
      </c>
      <c r="U990" s="8">
        <v>50</v>
      </c>
      <c r="V990" s="8">
        <f t="shared" si="15"/>
        <v>5</v>
      </c>
    </row>
    <row r="991" spans="1:22" x14ac:dyDescent="0.3">
      <c r="A991" t="s">
        <v>463</v>
      </c>
      <c r="B991">
        <v>3</v>
      </c>
      <c r="C991" t="s">
        <v>113</v>
      </c>
      <c r="D991" t="s">
        <v>84</v>
      </c>
      <c r="E991" t="s">
        <v>266</v>
      </c>
      <c r="F991" t="s">
        <v>85</v>
      </c>
      <c r="G991" t="s">
        <v>86</v>
      </c>
      <c r="H991">
        <v>11</v>
      </c>
      <c r="I991">
        <v>9</v>
      </c>
      <c r="J991">
        <v>122.22</v>
      </c>
      <c r="K991" t="s">
        <v>245</v>
      </c>
      <c r="L991">
        <v>9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 s="8">
        <v>9</v>
      </c>
      <c r="V991" s="8">
        <f t="shared" si="15"/>
        <v>1</v>
      </c>
    </row>
    <row r="992" spans="1:22" x14ac:dyDescent="0.3">
      <c r="A992" t="s">
        <v>463</v>
      </c>
      <c r="B992">
        <v>3</v>
      </c>
      <c r="C992" t="s">
        <v>112</v>
      </c>
      <c r="D992" t="s">
        <v>88</v>
      </c>
      <c r="E992" t="s">
        <v>266</v>
      </c>
      <c r="F992" t="s">
        <v>169</v>
      </c>
      <c r="G992" t="s">
        <v>86</v>
      </c>
      <c r="H992">
        <v>0</v>
      </c>
      <c r="I992">
        <v>2</v>
      </c>
      <c r="J992">
        <v>0</v>
      </c>
      <c r="K992" t="s">
        <v>246</v>
      </c>
      <c r="L992">
        <v>0</v>
      </c>
      <c r="M992">
        <v>4</v>
      </c>
      <c r="N992">
        <v>0</v>
      </c>
      <c r="O992">
        <v>32</v>
      </c>
      <c r="P992">
        <v>2</v>
      </c>
      <c r="Q992">
        <v>8</v>
      </c>
      <c r="R992">
        <v>50</v>
      </c>
      <c r="S992">
        <v>0</v>
      </c>
      <c r="T992">
        <v>0</v>
      </c>
      <c r="U992" s="8">
        <v>50</v>
      </c>
      <c r="V992" s="8">
        <f t="shared" si="15"/>
        <v>5</v>
      </c>
    </row>
    <row r="993" spans="1:22" x14ac:dyDescent="0.3">
      <c r="A993" t="s">
        <v>463</v>
      </c>
      <c r="B993">
        <v>3</v>
      </c>
      <c r="C993" t="s">
        <v>117</v>
      </c>
      <c r="D993" t="s">
        <v>90</v>
      </c>
      <c r="E993" t="s">
        <v>266</v>
      </c>
      <c r="F993" t="s">
        <v>169</v>
      </c>
      <c r="G993" t="s">
        <v>92</v>
      </c>
      <c r="H993">
        <v>80</v>
      </c>
      <c r="I993">
        <v>59</v>
      </c>
      <c r="J993">
        <v>135.59</v>
      </c>
      <c r="K993" t="s">
        <v>96</v>
      </c>
      <c r="L993">
        <v>85</v>
      </c>
      <c r="M993">
        <v>4</v>
      </c>
      <c r="N993">
        <v>0</v>
      </c>
      <c r="O993">
        <v>38</v>
      </c>
      <c r="P993">
        <v>1</v>
      </c>
      <c r="Q993">
        <v>9.5</v>
      </c>
      <c r="R993">
        <v>25</v>
      </c>
      <c r="S993">
        <v>0</v>
      </c>
      <c r="T993">
        <v>0</v>
      </c>
      <c r="U993" s="8">
        <v>110</v>
      </c>
      <c r="V993" s="8">
        <f t="shared" si="15"/>
        <v>10</v>
      </c>
    </row>
    <row r="994" spans="1:22" x14ac:dyDescent="0.3">
      <c r="A994" t="s">
        <v>463</v>
      </c>
      <c r="B994">
        <v>3</v>
      </c>
      <c r="C994" t="s">
        <v>115</v>
      </c>
      <c r="D994" t="s">
        <v>17</v>
      </c>
      <c r="E994" t="s">
        <v>266</v>
      </c>
      <c r="F994" t="s">
        <v>169</v>
      </c>
      <c r="G994" t="s">
        <v>134</v>
      </c>
      <c r="H994">
        <v>42</v>
      </c>
      <c r="I994">
        <v>22</v>
      </c>
      <c r="J994">
        <v>190.91</v>
      </c>
      <c r="K994" t="s">
        <v>246</v>
      </c>
      <c r="L994">
        <v>60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 s="8">
        <v>60</v>
      </c>
      <c r="V994" s="8">
        <f t="shared" si="15"/>
        <v>6</v>
      </c>
    </row>
    <row r="995" spans="1:22" x14ac:dyDescent="0.3">
      <c r="A995" t="s">
        <v>463</v>
      </c>
      <c r="B995">
        <v>3</v>
      </c>
      <c r="C995" t="s">
        <v>119</v>
      </c>
      <c r="D995" t="s">
        <v>95</v>
      </c>
      <c r="E995" t="s">
        <v>266</v>
      </c>
      <c r="F995" t="s">
        <v>169</v>
      </c>
      <c r="G995" t="s">
        <v>134</v>
      </c>
      <c r="H995">
        <v>9</v>
      </c>
      <c r="I995">
        <v>9</v>
      </c>
      <c r="J995">
        <v>100</v>
      </c>
      <c r="K995" t="s">
        <v>256</v>
      </c>
      <c r="L995">
        <v>8</v>
      </c>
      <c r="M995">
        <v>4</v>
      </c>
      <c r="N995">
        <v>0</v>
      </c>
      <c r="O995">
        <v>21</v>
      </c>
      <c r="P995">
        <v>2</v>
      </c>
      <c r="Q995">
        <v>5.2</v>
      </c>
      <c r="R995">
        <v>50</v>
      </c>
      <c r="S995">
        <v>0</v>
      </c>
      <c r="T995">
        <v>0</v>
      </c>
      <c r="U995" s="8">
        <v>58</v>
      </c>
      <c r="V995" s="8">
        <f t="shared" si="15"/>
        <v>6</v>
      </c>
    </row>
    <row r="996" spans="1:22" x14ac:dyDescent="0.3">
      <c r="A996" t="s">
        <v>463</v>
      </c>
      <c r="B996">
        <v>3</v>
      </c>
      <c r="C996" t="s">
        <v>347</v>
      </c>
      <c r="D996" t="s">
        <v>348</v>
      </c>
      <c r="E996" t="s">
        <v>266</v>
      </c>
      <c r="F996" t="s">
        <v>169</v>
      </c>
      <c r="G996" t="s">
        <v>134</v>
      </c>
      <c r="H996">
        <v>1</v>
      </c>
      <c r="I996">
        <v>2</v>
      </c>
      <c r="J996">
        <v>50</v>
      </c>
      <c r="K996" t="s">
        <v>246</v>
      </c>
      <c r="L996">
        <v>0.5</v>
      </c>
      <c r="M996">
        <v>1</v>
      </c>
      <c r="N996">
        <v>0</v>
      </c>
      <c r="O996">
        <v>10</v>
      </c>
      <c r="P996">
        <v>1</v>
      </c>
      <c r="Q996">
        <v>10</v>
      </c>
      <c r="R996">
        <v>25</v>
      </c>
      <c r="S996">
        <v>0</v>
      </c>
      <c r="T996">
        <v>0</v>
      </c>
      <c r="U996" s="8">
        <v>25.5</v>
      </c>
      <c r="V996" s="8">
        <f t="shared" si="15"/>
        <v>3</v>
      </c>
    </row>
    <row r="997" spans="1:22" x14ac:dyDescent="0.3">
      <c r="A997" t="s">
        <v>463</v>
      </c>
      <c r="B997">
        <v>3</v>
      </c>
      <c r="C997" t="s">
        <v>121</v>
      </c>
      <c r="D997" t="s">
        <v>108</v>
      </c>
      <c r="E997" t="s">
        <v>266</v>
      </c>
      <c r="F997" t="s">
        <v>169</v>
      </c>
      <c r="G997" t="s">
        <v>134</v>
      </c>
      <c r="H997">
        <v>7</v>
      </c>
      <c r="I997">
        <v>7</v>
      </c>
      <c r="J997">
        <v>100</v>
      </c>
      <c r="K997" t="s">
        <v>245</v>
      </c>
      <c r="L997">
        <v>6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 s="8">
        <v>6</v>
      </c>
      <c r="V997" s="8">
        <f t="shared" si="15"/>
        <v>1</v>
      </c>
    </row>
    <row r="998" spans="1:22" x14ac:dyDescent="0.3">
      <c r="A998" t="s">
        <v>463</v>
      </c>
      <c r="B998">
        <v>3</v>
      </c>
      <c r="C998" t="s">
        <v>507</v>
      </c>
      <c r="D998" t="s">
        <v>519</v>
      </c>
      <c r="E998" t="s">
        <v>266</v>
      </c>
      <c r="F998" t="s">
        <v>169</v>
      </c>
      <c r="G998" t="s">
        <v>134</v>
      </c>
      <c r="H998">
        <v>2</v>
      </c>
      <c r="I998">
        <v>5</v>
      </c>
      <c r="J998">
        <v>40</v>
      </c>
      <c r="K998" t="s">
        <v>246</v>
      </c>
      <c r="L998">
        <v>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 s="8">
        <v>1</v>
      </c>
      <c r="V998" s="8">
        <f t="shared" si="15"/>
        <v>0</v>
      </c>
    </row>
    <row r="999" spans="1:22" x14ac:dyDescent="0.3">
      <c r="A999" t="s">
        <v>463</v>
      </c>
      <c r="B999">
        <v>3</v>
      </c>
      <c r="C999" t="s">
        <v>129</v>
      </c>
      <c r="D999" t="s">
        <v>103</v>
      </c>
      <c r="E999" t="s">
        <v>266</v>
      </c>
      <c r="F999" t="s">
        <v>101</v>
      </c>
      <c r="G999" t="s">
        <v>134</v>
      </c>
      <c r="H999">
        <v>1</v>
      </c>
      <c r="I999">
        <v>1</v>
      </c>
      <c r="J999">
        <v>100</v>
      </c>
      <c r="K999" t="s">
        <v>256</v>
      </c>
      <c r="L999">
        <v>2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 s="8">
        <v>2</v>
      </c>
      <c r="V999" s="8">
        <f t="shared" si="15"/>
        <v>0</v>
      </c>
    </row>
    <row r="1000" spans="1:22" x14ac:dyDescent="0.3">
      <c r="A1000" t="s">
        <v>463</v>
      </c>
      <c r="B1000">
        <v>3</v>
      </c>
      <c r="C1000" t="s">
        <v>265</v>
      </c>
      <c r="D1000" t="s">
        <v>264</v>
      </c>
      <c r="E1000" t="s">
        <v>266</v>
      </c>
      <c r="F1000" t="s">
        <v>101</v>
      </c>
      <c r="G1000" t="s">
        <v>134</v>
      </c>
      <c r="H1000">
        <v>0</v>
      </c>
      <c r="I1000">
        <v>0</v>
      </c>
      <c r="J1000">
        <v>0</v>
      </c>
      <c r="K1000" t="s">
        <v>256</v>
      </c>
      <c r="L1000">
        <v>0</v>
      </c>
      <c r="M1000">
        <v>4</v>
      </c>
      <c r="N1000">
        <v>0</v>
      </c>
      <c r="O1000">
        <v>18</v>
      </c>
      <c r="P1000">
        <v>1</v>
      </c>
      <c r="Q1000">
        <v>4.5</v>
      </c>
      <c r="R1000">
        <v>25</v>
      </c>
      <c r="S1000">
        <v>0</v>
      </c>
      <c r="T1000">
        <v>0</v>
      </c>
      <c r="U1000" s="8">
        <v>25</v>
      </c>
      <c r="V1000" s="8">
        <f t="shared" si="15"/>
        <v>3</v>
      </c>
    </row>
    <row r="1001" spans="1:22" x14ac:dyDescent="0.3">
      <c r="A1001" t="s">
        <v>463</v>
      </c>
      <c r="B1001">
        <v>3</v>
      </c>
      <c r="C1001" t="s">
        <v>131</v>
      </c>
      <c r="D1001" t="s">
        <v>106</v>
      </c>
      <c r="E1001" t="s">
        <v>266</v>
      </c>
      <c r="F1001" t="s">
        <v>101</v>
      </c>
      <c r="G1001" t="s">
        <v>134</v>
      </c>
      <c r="H1001">
        <v>0</v>
      </c>
      <c r="I1001">
        <v>1</v>
      </c>
      <c r="J1001">
        <v>0</v>
      </c>
      <c r="K1001" t="s">
        <v>245</v>
      </c>
      <c r="L1001">
        <v>0</v>
      </c>
      <c r="M1001">
        <v>3</v>
      </c>
      <c r="N1001">
        <v>0</v>
      </c>
      <c r="O1001">
        <v>43</v>
      </c>
      <c r="P1001">
        <v>0</v>
      </c>
      <c r="Q1001">
        <v>14.3</v>
      </c>
      <c r="R1001">
        <v>0</v>
      </c>
      <c r="S1001">
        <v>0</v>
      </c>
      <c r="T1001">
        <v>0</v>
      </c>
      <c r="U1001" s="8">
        <v>0</v>
      </c>
      <c r="V1001" s="8">
        <f t="shared" si="15"/>
        <v>0</v>
      </c>
    </row>
    <row r="1002" spans="1:22" x14ac:dyDescent="0.3">
      <c r="A1002" t="s">
        <v>463</v>
      </c>
      <c r="B1002">
        <v>3</v>
      </c>
      <c r="C1002" t="s">
        <v>190</v>
      </c>
      <c r="D1002" t="s">
        <v>191</v>
      </c>
      <c r="E1002" t="s">
        <v>158</v>
      </c>
      <c r="F1002" t="s">
        <v>109</v>
      </c>
      <c r="G1002" t="s">
        <v>86</v>
      </c>
      <c r="H1002">
        <v>15</v>
      </c>
      <c r="I1002">
        <v>19</v>
      </c>
      <c r="J1002">
        <v>78.95</v>
      </c>
      <c r="K1002" t="s">
        <v>245</v>
      </c>
      <c r="L1002">
        <v>10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 s="8">
        <v>10</v>
      </c>
      <c r="V1002" s="8">
        <f t="shared" si="15"/>
        <v>1</v>
      </c>
    </row>
    <row r="1003" spans="1:22" x14ac:dyDescent="0.3">
      <c r="A1003" t="s">
        <v>463</v>
      </c>
      <c r="B1003">
        <v>3</v>
      </c>
      <c r="C1003" t="s">
        <v>188</v>
      </c>
      <c r="D1003" t="s">
        <v>189</v>
      </c>
      <c r="E1003" t="s">
        <v>158</v>
      </c>
      <c r="F1003" t="s">
        <v>83</v>
      </c>
      <c r="G1003" t="s">
        <v>86</v>
      </c>
      <c r="H1003">
        <v>43</v>
      </c>
      <c r="I1003">
        <v>18</v>
      </c>
      <c r="J1003">
        <v>238.89</v>
      </c>
      <c r="K1003" t="s">
        <v>246</v>
      </c>
      <c r="L1003">
        <v>65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 s="8">
        <v>65</v>
      </c>
      <c r="V1003" s="8">
        <f t="shared" si="15"/>
        <v>7</v>
      </c>
    </row>
    <row r="1004" spans="1:22" x14ac:dyDescent="0.3">
      <c r="A1004" t="s">
        <v>463</v>
      </c>
      <c r="B1004">
        <v>3</v>
      </c>
      <c r="C1004" t="s">
        <v>194</v>
      </c>
      <c r="D1004" t="s">
        <v>195</v>
      </c>
      <c r="E1004" t="s">
        <v>158</v>
      </c>
      <c r="F1004" t="s">
        <v>109</v>
      </c>
      <c r="G1004" t="s">
        <v>92</v>
      </c>
      <c r="H1004">
        <v>2</v>
      </c>
      <c r="I1004">
        <v>5</v>
      </c>
      <c r="J1004">
        <v>40</v>
      </c>
      <c r="K1004" t="s">
        <v>246</v>
      </c>
      <c r="L1004">
        <v>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 s="8">
        <v>1</v>
      </c>
      <c r="V1004" s="8">
        <f t="shared" si="15"/>
        <v>0</v>
      </c>
    </row>
    <row r="1005" spans="1:22" x14ac:dyDescent="0.3">
      <c r="A1005" t="s">
        <v>463</v>
      </c>
      <c r="B1005">
        <v>3</v>
      </c>
      <c r="C1005" t="s">
        <v>94</v>
      </c>
      <c r="D1005" t="s">
        <v>120</v>
      </c>
      <c r="E1005" t="s">
        <v>158</v>
      </c>
      <c r="F1005" t="s">
        <v>169</v>
      </c>
      <c r="G1005" t="s">
        <v>92</v>
      </c>
      <c r="H1005">
        <v>13</v>
      </c>
      <c r="I1005">
        <v>10</v>
      </c>
      <c r="J1005">
        <v>130</v>
      </c>
      <c r="K1005" t="s">
        <v>245</v>
      </c>
      <c r="L1005">
        <v>12</v>
      </c>
      <c r="M1005">
        <v>3.1</v>
      </c>
      <c r="N1005">
        <v>0</v>
      </c>
      <c r="O1005">
        <v>34</v>
      </c>
      <c r="P1005">
        <v>3</v>
      </c>
      <c r="Q1005">
        <v>10.7</v>
      </c>
      <c r="R1005">
        <v>75</v>
      </c>
      <c r="S1005">
        <v>0</v>
      </c>
      <c r="T1005">
        <v>0</v>
      </c>
      <c r="U1005" s="8">
        <v>87</v>
      </c>
      <c r="V1005" s="8">
        <f t="shared" si="15"/>
        <v>9</v>
      </c>
    </row>
    <row r="1006" spans="1:22" x14ac:dyDescent="0.3">
      <c r="A1006" t="s">
        <v>463</v>
      </c>
      <c r="B1006">
        <v>3</v>
      </c>
      <c r="C1006" t="s">
        <v>196</v>
      </c>
      <c r="D1006" t="s">
        <v>197</v>
      </c>
      <c r="E1006" t="s">
        <v>158</v>
      </c>
      <c r="F1006" t="s">
        <v>109</v>
      </c>
      <c r="G1006" t="s">
        <v>134</v>
      </c>
      <c r="H1006">
        <v>16</v>
      </c>
      <c r="I1006">
        <v>18</v>
      </c>
      <c r="J1006">
        <v>88.89</v>
      </c>
      <c r="K1006" t="s">
        <v>246</v>
      </c>
      <c r="L1006">
        <v>12</v>
      </c>
      <c r="M1006">
        <v>2</v>
      </c>
      <c r="N1006">
        <v>0</v>
      </c>
      <c r="O1006">
        <v>25</v>
      </c>
      <c r="P1006">
        <v>1</v>
      </c>
      <c r="Q1006">
        <v>12.5</v>
      </c>
      <c r="R1006">
        <v>25</v>
      </c>
      <c r="S1006">
        <v>0</v>
      </c>
      <c r="T1006">
        <v>0</v>
      </c>
      <c r="U1006" s="8">
        <v>37</v>
      </c>
      <c r="V1006" s="8">
        <f t="shared" si="15"/>
        <v>4</v>
      </c>
    </row>
    <row r="1007" spans="1:22" x14ac:dyDescent="0.3">
      <c r="A1007" t="s">
        <v>463</v>
      </c>
      <c r="B1007">
        <v>3</v>
      </c>
      <c r="C1007" t="s">
        <v>495</v>
      </c>
      <c r="D1007" t="s">
        <v>503</v>
      </c>
      <c r="E1007" t="s">
        <v>158</v>
      </c>
      <c r="F1007" t="s">
        <v>83</v>
      </c>
      <c r="G1007" t="s">
        <v>134</v>
      </c>
      <c r="H1007">
        <v>35</v>
      </c>
      <c r="I1007">
        <v>33</v>
      </c>
      <c r="J1007">
        <v>106.06</v>
      </c>
      <c r="K1007" t="s">
        <v>246</v>
      </c>
      <c r="L1007">
        <v>40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 s="8">
        <v>40</v>
      </c>
      <c r="V1007" s="8">
        <f t="shared" si="15"/>
        <v>4</v>
      </c>
    </row>
    <row r="1008" spans="1:22" x14ac:dyDescent="0.3">
      <c r="A1008" t="s">
        <v>463</v>
      </c>
      <c r="B1008">
        <v>3</v>
      </c>
      <c r="C1008" t="s">
        <v>496</v>
      </c>
      <c r="D1008" t="s">
        <v>518</v>
      </c>
      <c r="E1008" t="s">
        <v>158</v>
      </c>
      <c r="F1008" t="s">
        <v>85</v>
      </c>
      <c r="G1008" t="s">
        <v>134</v>
      </c>
      <c r="H1008">
        <v>21</v>
      </c>
      <c r="I1008">
        <v>10</v>
      </c>
      <c r="J1008">
        <v>210</v>
      </c>
      <c r="K1008" t="s">
        <v>246</v>
      </c>
      <c r="L1008">
        <v>35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 s="8">
        <v>35</v>
      </c>
      <c r="V1008" s="8">
        <f t="shared" si="15"/>
        <v>4</v>
      </c>
    </row>
    <row r="1009" spans="1:22" x14ac:dyDescent="0.3">
      <c r="A1009" t="s">
        <v>463</v>
      </c>
      <c r="B1009">
        <v>3</v>
      </c>
      <c r="C1009" t="s">
        <v>204</v>
      </c>
      <c r="D1009" t="s">
        <v>205</v>
      </c>
      <c r="E1009" t="s">
        <v>158</v>
      </c>
      <c r="F1009" t="s">
        <v>169</v>
      </c>
      <c r="G1009" t="s">
        <v>134</v>
      </c>
      <c r="H1009">
        <v>2</v>
      </c>
      <c r="I1009">
        <v>3</v>
      </c>
      <c r="J1009">
        <v>66.67</v>
      </c>
      <c r="K1009" t="s">
        <v>256</v>
      </c>
      <c r="L1009">
        <v>1</v>
      </c>
      <c r="M1009">
        <v>4</v>
      </c>
      <c r="N1009">
        <v>0</v>
      </c>
      <c r="O1009">
        <v>14</v>
      </c>
      <c r="P1009">
        <v>2</v>
      </c>
      <c r="Q1009">
        <v>3.5</v>
      </c>
      <c r="R1009">
        <v>50</v>
      </c>
      <c r="S1009">
        <v>0</v>
      </c>
      <c r="T1009">
        <v>0</v>
      </c>
      <c r="U1009" s="8">
        <v>51</v>
      </c>
      <c r="V1009" s="8">
        <f t="shared" si="15"/>
        <v>5</v>
      </c>
    </row>
    <row r="1010" spans="1:22" x14ac:dyDescent="0.3">
      <c r="A1010" t="s">
        <v>463</v>
      </c>
      <c r="B1010">
        <v>3</v>
      </c>
      <c r="C1010" t="s">
        <v>206</v>
      </c>
      <c r="D1010" t="s">
        <v>207</v>
      </c>
      <c r="E1010" t="s">
        <v>158</v>
      </c>
      <c r="F1010" t="s">
        <v>101</v>
      </c>
      <c r="G1010" t="s">
        <v>134</v>
      </c>
      <c r="H1010">
        <v>9</v>
      </c>
      <c r="I1010">
        <v>4</v>
      </c>
      <c r="J1010">
        <v>225</v>
      </c>
      <c r="K1010" t="s">
        <v>96</v>
      </c>
      <c r="L1010">
        <v>18</v>
      </c>
      <c r="M1010">
        <v>2</v>
      </c>
      <c r="N1010">
        <v>0</v>
      </c>
      <c r="O1010">
        <v>26</v>
      </c>
      <c r="P1010">
        <v>0</v>
      </c>
      <c r="Q1010">
        <v>13</v>
      </c>
      <c r="R1010">
        <v>0</v>
      </c>
      <c r="S1010">
        <v>0</v>
      </c>
      <c r="T1010">
        <v>0</v>
      </c>
      <c r="U1010" s="8">
        <v>18</v>
      </c>
      <c r="V1010" s="8">
        <f t="shared" si="15"/>
        <v>2</v>
      </c>
    </row>
    <row r="1011" spans="1:22" x14ac:dyDescent="0.3">
      <c r="A1011" t="s">
        <v>463</v>
      </c>
      <c r="B1011">
        <v>3</v>
      </c>
      <c r="C1011" t="s">
        <v>202</v>
      </c>
      <c r="D1011" t="s">
        <v>203</v>
      </c>
      <c r="E1011" t="s">
        <v>158</v>
      </c>
      <c r="F1011" t="s">
        <v>101</v>
      </c>
      <c r="G1011" t="s">
        <v>134</v>
      </c>
      <c r="H1011">
        <v>2</v>
      </c>
      <c r="I1011">
        <v>1</v>
      </c>
      <c r="J1011">
        <v>200</v>
      </c>
      <c r="K1011" t="s">
        <v>96</v>
      </c>
      <c r="L1011">
        <v>5</v>
      </c>
      <c r="M1011">
        <v>4</v>
      </c>
      <c r="N1011">
        <v>0</v>
      </c>
      <c r="O1011">
        <v>40</v>
      </c>
      <c r="P1011">
        <v>0</v>
      </c>
      <c r="Q1011">
        <v>10</v>
      </c>
      <c r="R1011">
        <v>0</v>
      </c>
      <c r="S1011">
        <v>0</v>
      </c>
      <c r="T1011">
        <v>0</v>
      </c>
      <c r="U1011" s="8">
        <v>5</v>
      </c>
      <c r="V1011" s="8">
        <f t="shared" si="15"/>
        <v>1</v>
      </c>
    </row>
    <row r="1012" spans="1:22" x14ac:dyDescent="0.3">
      <c r="A1012" t="s">
        <v>463</v>
      </c>
      <c r="B1012">
        <v>3</v>
      </c>
      <c r="C1012" t="s">
        <v>274</v>
      </c>
      <c r="D1012" t="s">
        <v>284</v>
      </c>
      <c r="E1012" t="s">
        <v>158</v>
      </c>
      <c r="F1012" t="s">
        <v>83</v>
      </c>
      <c r="G1012" t="s">
        <v>104</v>
      </c>
      <c r="H1012">
        <v>0</v>
      </c>
      <c r="I1012">
        <v>0</v>
      </c>
      <c r="J1012">
        <v>0</v>
      </c>
      <c r="K1012" t="s">
        <v>104</v>
      </c>
      <c r="L1012">
        <v>0</v>
      </c>
      <c r="M1012">
        <v>4</v>
      </c>
      <c r="N1012">
        <v>0</v>
      </c>
      <c r="O1012">
        <v>23</v>
      </c>
      <c r="P1012">
        <v>1</v>
      </c>
      <c r="Q1012">
        <v>5.8</v>
      </c>
      <c r="R1012">
        <v>25</v>
      </c>
      <c r="S1012">
        <v>0</v>
      </c>
      <c r="T1012">
        <v>0</v>
      </c>
      <c r="U1012" s="8">
        <v>25</v>
      </c>
      <c r="V1012" s="8">
        <f t="shared" si="15"/>
        <v>3</v>
      </c>
    </row>
    <row r="1013" spans="1:22" x14ac:dyDescent="0.3">
      <c r="A1013" t="s">
        <v>464</v>
      </c>
      <c r="B1013">
        <v>3</v>
      </c>
      <c r="C1013" t="s">
        <v>229</v>
      </c>
      <c r="D1013" t="s">
        <v>230</v>
      </c>
      <c r="E1013" t="s">
        <v>219</v>
      </c>
      <c r="F1013" t="s">
        <v>109</v>
      </c>
      <c r="G1013" t="s">
        <v>86</v>
      </c>
      <c r="H1013">
        <v>15</v>
      </c>
      <c r="I1013">
        <v>8</v>
      </c>
      <c r="J1013">
        <v>187.5</v>
      </c>
      <c r="K1013" t="s">
        <v>247</v>
      </c>
      <c r="L1013">
        <v>20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 s="8">
        <v>20</v>
      </c>
      <c r="V1013" s="8">
        <f t="shared" si="15"/>
        <v>2</v>
      </c>
    </row>
    <row r="1014" spans="1:22" x14ac:dyDescent="0.3">
      <c r="A1014" t="s">
        <v>464</v>
      </c>
      <c r="B1014">
        <v>3</v>
      </c>
      <c r="C1014" t="s">
        <v>375</v>
      </c>
      <c r="D1014" t="s">
        <v>376</v>
      </c>
      <c r="E1014" t="s">
        <v>219</v>
      </c>
      <c r="F1014" t="s">
        <v>109</v>
      </c>
      <c r="G1014" t="s">
        <v>86</v>
      </c>
      <c r="H1014">
        <v>6</v>
      </c>
      <c r="I1014">
        <v>8</v>
      </c>
      <c r="J1014">
        <v>75</v>
      </c>
      <c r="K1014" t="s">
        <v>245</v>
      </c>
      <c r="L1014">
        <v>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 s="8">
        <v>3</v>
      </c>
      <c r="V1014" s="8">
        <f t="shared" si="15"/>
        <v>0</v>
      </c>
    </row>
    <row r="1015" spans="1:22" x14ac:dyDescent="0.3">
      <c r="A1015" t="s">
        <v>464</v>
      </c>
      <c r="B1015">
        <v>3</v>
      </c>
      <c r="C1015" t="s">
        <v>442</v>
      </c>
      <c r="D1015" t="s">
        <v>443</v>
      </c>
      <c r="E1015" t="s">
        <v>219</v>
      </c>
      <c r="F1015" t="s">
        <v>85</v>
      </c>
      <c r="G1015" t="s">
        <v>92</v>
      </c>
      <c r="H1015">
        <v>24</v>
      </c>
      <c r="I1015">
        <v>27</v>
      </c>
      <c r="J1015">
        <v>88.89</v>
      </c>
      <c r="K1015" t="s">
        <v>246</v>
      </c>
      <c r="L1015">
        <v>20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 s="8">
        <v>20</v>
      </c>
      <c r="V1015" s="8">
        <f t="shared" si="15"/>
        <v>2</v>
      </c>
    </row>
    <row r="1016" spans="1:22" x14ac:dyDescent="0.3">
      <c r="A1016" t="s">
        <v>464</v>
      </c>
      <c r="B1016">
        <v>3</v>
      </c>
      <c r="C1016" t="s">
        <v>224</v>
      </c>
      <c r="D1016" t="s">
        <v>225</v>
      </c>
      <c r="E1016" t="s">
        <v>219</v>
      </c>
      <c r="F1016" t="s">
        <v>169</v>
      </c>
      <c r="G1016" t="s">
        <v>92</v>
      </c>
      <c r="H1016">
        <v>39</v>
      </c>
      <c r="I1016">
        <v>27</v>
      </c>
      <c r="J1016">
        <v>144.44</v>
      </c>
      <c r="K1016" t="s">
        <v>246</v>
      </c>
      <c r="L1016">
        <v>50</v>
      </c>
      <c r="M1016">
        <v>4</v>
      </c>
      <c r="N1016">
        <v>0</v>
      </c>
      <c r="O1016">
        <v>32</v>
      </c>
      <c r="P1016">
        <v>0</v>
      </c>
      <c r="Q1016">
        <v>8</v>
      </c>
      <c r="R1016">
        <v>0</v>
      </c>
      <c r="S1016">
        <v>0</v>
      </c>
      <c r="T1016">
        <v>0</v>
      </c>
      <c r="U1016" s="8">
        <v>50</v>
      </c>
      <c r="V1016" s="8">
        <f t="shared" si="15"/>
        <v>5</v>
      </c>
    </row>
    <row r="1017" spans="1:22" x14ac:dyDescent="0.3">
      <c r="A1017" t="s">
        <v>464</v>
      </c>
      <c r="B1017">
        <v>3</v>
      </c>
      <c r="C1017" t="s">
        <v>222</v>
      </c>
      <c r="D1017" t="s">
        <v>223</v>
      </c>
      <c r="E1017" t="s">
        <v>219</v>
      </c>
      <c r="F1017" t="s">
        <v>169</v>
      </c>
      <c r="G1017" t="s">
        <v>134</v>
      </c>
      <c r="H1017">
        <v>0</v>
      </c>
      <c r="I1017">
        <v>2</v>
      </c>
      <c r="J1017">
        <v>0</v>
      </c>
      <c r="K1017" t="s">
        <v>247</v>
      </c>
      <c r="L1017">
        <v>0</v>
      </c>
      <c r="M1017">
        <v>3</v>
      </c>
      <c r="N1017">
        <v>0</v>
      </c>
      <c r="O1017">
        <v>21</v>
      </c>
      <c r="P1017">
        <v>1</v>
      </c>
      <c r="Q1017">
        <v>7</v>
      </c>
      <c r="R1017">
        <v>25</v>
      </c>
      <c r="S1017">
        <v>0</v>
      </c>
      <c r="T1017">
        <v>0</v>
      </c>
      <c r="U1017" s="8">
        <v>25</v>
      </c>
      <c r="V1017" s="8">
        <f t="shared" si="15"/>
        <v>3</v>
      </c>
    </row>
    <row r="1018" spans="1:22" x14ac:dyDescent="0.3">
      <c r="A1018" t="s">
        <v>464</v>
      </c>
      <c r="B1018">
        <v>3</v>
      </c>
      <c r="C1018" t="s">
        <v>226</v>
      </c>
      <c r="D1018" t="s">
        <v>211</v>
      </c>
      <c r="E1018" t="s">
        <v>219</v>
      </c>
      <c r="F1018" t="s">
        <v>169</v>
      </c>
      <c r="G1018" t="s">
        <v>134</v>
      </c>
      <c r="H1018">
        <v>4</v>
      </c>
      <c r="I1018">
        <v>2</v>
      </c>
      <c r="J1018">
        <v>200</v>
      </c>
      <c r="K1018" t="s">
        <v>245</v>
      </c>
      <c r="L1018">
        <v>5</v>
      </c>
      <c r="M1018">
        <v>1</v>
      </c>
      <c r="N1018">
        <v>0</v>
      </c>
      <c r="O1018">
        <v>1</v>
      </c>
      <c r="P1018">
        <v>1</v>
      </c>
      <c r="Q1018">
        <v>1</v>
      </c>
      <c r="R1018">
        <v>25</v>
      </c>
      <c r="S1018">
        <v>0</v>
      </c>
      <c r="T1018">
        <v>0</v>
      </c>
      <c r="U1018" s="8">
        <v>30</v>
      </c>
      <c r="V1018" s="8">
        <f t="shared" si="15"/>
        <v>3</v>
      </c>
    </row>
    <row r="1019" spans="1:22" x14ac:dyDescent="0.3">
      <c r="A1019" t="s">
        <v>464</v>
      </c>
      <c r="B1019">
        <v>3</v>
      </c>
      <c r="C1019" t="s">
        <v>220</v>
      </c>
      <c r="D1019" t="s">
        <v>221</v>
      </c>
      <c r="E1019" t="s">
        <v>219</v>
      </c>
      <c r="F1019" t="s">
        <v>109</v>
      </c>
      <c r="G1019" t="s">
        <v>134</v>
      </c>
      <c r="H1019">
        <v>16</v>
      </c>
      <c r="I1019">
        <v>18</v>
      </c>
      <c r="J1019">
        <v>88.89</v>
      </c>
      <c r="K1019" t="s">
        <v>245</v>
      </c>
      <c r="L1019">
        <v>10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 s="8">
        <v>10</v>
      </c>
      <c r="V1019" s="8">
        <f t="shared" si="15"/>
        <v>1</v>
      </c>
    </row>
    <row r="1020" spans="1:22" x14ac:dyDescent="0.3">
      <c r="A1020" t="s">
        <v>464</v>
      </c>
      <c r="B1020">
        <v>3</v>
      </c>
      <c r="C1020" t="s">
        <v>508</v>
      </c>
      <c r="D1020" t="s">
        <v>522</v>
      </c>
      <c r="E1020" t="s">
        <v>219</v>
      </c>
      <c r="F1020" t="s">
        <v>101</v>
      </c>
      <c r="G1020" t="s">
        <v>134</v>
      </c>
      <c r="H1020">
        <v>19</v>
      </c>
      <c r="I1020">
        <v>14</v>
      </c>
      <c r="J1020">
        <v>135.71</v>
      </c>
      <c r="K1020" t="s">
        <v>96</v>
      </c>
      <c r="L1020">
        <v>18</v>
      </c>
      <c r="M1020">
        <v>3</v>
      </c>
      <c r="N1020">
        <v>0</v>
      </c>
      <c r="O1020">
        <v>38</v>
      </c>
      <c r="P1020">
        <v>0</v>
      </c>
      <c r="Q1020">
        <v>12.7</v>
      </c>
      <c r="R1020">
        <v>0</v>
      </c>
      <c r="S1020">
        <v>0</v>
      </c>
      <c r="T1020">
        <v>0</v>
      </c>
      <c r="U1020" s="8">
        <v>18</v>
      </c>
      <c r="V1020" s="8">
        <f t="shared" si="15"/>
        <v>2</v>
      </c>
    </row>
    <row r="1021" spans="1:22" x14ac:dyDescent="0.3">
      <c r="A1021" t="s">
        <v>464</v>
      </c>
      <c r="B1021">
        <v>3</v>
      </c>
      <c r="C1021" t="s">
        <v>233</v>
      </c>
      <c r="D1021" t="s">
        <v>234</v>
      </c>
      <c r="E1021" t="s">
        <v>219</v>
      </c>
      <c r="F1021" t="s">
        <v>101</v>
      </c>
      <c r="G1021" t="s">
        <v>134</v>
      </c>
      <c r="H1021">
        <v>2</v>
      </c>
      <c r="I1021">
        <v>7</v>
      </c>
      <c r="J1021">
        <v>28.57</v>
      </c>
      <c r="K1021" t="s">
        <v>245</v>
      </c>
      <c r="L1021">
        <v>1</v>
      </c>
      <c r="M1021">
        <v>4</v>
      </c>
      <c r="N1021">
        <v>0</v>
      </c>
      <c r="O1021">
        <v>16</v>
      </c>
      <c r="P1021">
        <v>2</v>
      </c>
      <c r="Q1021">
        <v>4</v>
      </c>
      <c r="R1021">
        <v>50</v>
      </c>
      <c r="S1021">
        <v>0</v>
      </c>
      <c r="T1021">
        <v>0</v>
      </c>
      <c r="U1021" s="8">
        <v>51</v>
      </c>
      <c r="V1021" s="8">
        <f t="shared" si="15"/>
        <v>5</v>
      </c>
    </row>
    <row r="1022" spans="1:22" x14ac:dyDescent="0.3">
      <c r="A1022" t="s">
        <v>464</v>
      </c>
      <c r="B1022">
        <v>3</v>
      </c>
      <c r="C1022" t="s">
        <v>377</v>
      </c>
      <c r="D1022" t="s">
        <v>378</v>
      </c>
      <c r="E1022" t="s">
        <v>219</v>
      </c>
      <c r="F1022" t="s">
        <v>169</v>
      </c>
      <c r="G1022" t="s">
        <v>134</v>
      </c>
      <c r="H1022">
        <v>15</v>
      </c>
      <c r="I1022">
        <v>7</v>
      </c>
      <c r="J1022">
        <v>214.29</v>
      </c>
      <c r="K1022" t="s">
        <v>256</v>
      </c>
      <c r="L1022">
        <v>20</v>
      </c>
      <c r="M1022">
        <v>1</v>
      </c>
      <c r="N1022">
        <v>0</v>
      </c>
      <c r="O1022">
        <v>20</v>
      </c>
      <c r="P1022">
        <v>0</v>
      </c>
      <c r="Q1022">
        <v>20</v>
      </c>
      <c r="R1022">
        <v>0</v>
      </c>
      <c r="S1022">
        <v>0</v>
      </c>
      <c r="T1022">
        <v>0</v>
      </c>
      <c r="U1022" s="8">
        <v>20</v>
      </c>
      <c r="V1022" s="8">
        <f t="shared" si="15"/>
        <v>2</v>
      </c>
    </row>
    <row r="1023" spans="1:22" x14ac:dyDescent="0.3">
      <c r="A1023" t="s">
        <v>464</v>
      </c>
      <c r="B1023">
        <v>3</v>
      </c>
      <c r="C1023" t="s">
        <v>509</v>
      </c>
      <c r="D1023" t="s">
        <v>523</v>
      </c>
      <c r="E1023" t="s">
        <v>219</v>
      </c>
      <c r="F1023" t="s">
        <v>169</v>
      </c>
      <c r="G1023" t="s">
        <v>104</v>
      </c>
      <c r="H1023">
        <v>0</v>
      </c>
      <c r="I1023">
        <v>0</v>
      </c>
      <c r="J1023">
        <v>0</v>
      </c>
      <c r="K1023" t="s">
        <v>104</v>
      </c>
      <c r="L1023">
        <v>0</v>
      </c>
      <c r="M1023">
        <v>2</v>
      </c>
      <c r="N1023">
        <v>0</v>
      </c>
      <c r="O1023">
        <v>15</v>
      </c>
      <c r="P1023">
        <v>0</v>
      </c>
      <c r="Q1023">
        <v>7.5</v>
      </c>
      <c r="R1023">
        <v>0</v>
      </c>
      <c r="S1023">
        <v>0</v>
      </c>
      <c r="T1023">
        <v>0</v>
      </c>
      <c r="U1023" s="8">
        <v>0</v>
      </c>
      <c r="V1023" s="8">
        <f t="shared" si="15"/>
        <v>0</v>
      </c>
    </row>
    <row r="1024" spans="1:22" x14ac:dyDescent="0.3">
      <c r="A1024" t="s">
        <v>464</v>
      </c>
      <c r="B1024">
        <v>3</v>
      </c>
      <c r="C1024" t="s">
        <v>278</v>
      </c>
      <c r="D1024" t="s">
        <v>293</v>
      </c>
      <c r="E1024" t="s">
        <v>258</v>
      </c>
      <c r="F1024" t="s">
        <v>109</v>
      </c>
      <c r="G1024" t="s">
        <v>86</v>
      </c>
      <c r="H1024">
        <v>22</v>
      </c>
      <c r="I1024">
        <v>24</v>
      </c>
      <c r="J1024">
        <v>91.67</v>
      </c>
      <c r="K1024" t="s">
        <v>245</v>
      </c>
      <c r="L1024">
        <v>18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 s="8">
        <v>18</v>
      </c>
      <c r="V1024" s="8">
        <f t="shared" si="15"/>
        <v>2</v>
      </c>
    </row>
    <row r="1025" spans="1:22" x14ac:dyDescent="0.3">
      <c r="A1025" t="s">
        <v>464</v>
      </c>
      <c r="B1025">
        <v>3</v>
      </c>
      <c r="C1025" t="s">
        <v>81</v>
      </c>
      <c r="D1025" t="s">
        <v>114</v>
      </c>
      <c r="E1025" t="s">
        <v>258</v>
      </c>
      <c r="F1025" t="s">
        <v>85</v>
      </c>
      <c r="G1025" t="s">
        <v>86</v>
      </c>
      <c r="H1025">
        <v>0</v>
      </c>
      <c r="I1025">
        <v>1</v>
      </c>
      <c r="J1025">
        <v>0</v>
      </c>
      <c r="K1025" t="s">
        <v>246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 s="8">
        <v>0</v>
      </c>
      <c r="V1025" s="8">
        <f t="shared" si="15"/>
        <v>0</v>
      </c>
    </row>
    <row r="1026" spans="1:22" x14ac:dyDescent="0.3">
      <c r="A1026" t="s">
        <v>464</v>
      </c>
      <c r="B1026">
        <v>3</v>
      </c>
      <c r="C1026" t="s">
        <v>97</v>
      </c>
      <c r="D1026" t="s">
        <v>122</v>
      </c>
      <c r="E1026" t="s">
        <v>258</v>
      </c>
      <c r="F1026" t="s">
        <v>109</v>
      </c>
      <c r="G1026" t="s">
        <v>92</v>
      </c>
      <c r="H1026">
        <v>0</v>
      </c>
      <c r="I1026">
        <v>3</v>
      </c>
      <c r="J1026">
        <v>0</v>
      </c>
      <c r="K1026" t="s">
        <v>245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 s="8">
        <v>0</v>
      </c>
      <c r="V1026" s="8">
        <f t="shared" si="15"/>
        <v>0</v>
      </c>
    </row>
    <row r="1027" spans="1:22" x14ac:dyDescent="0.3">
      <c r="A1027" t="s">
        <v>464</v>
      </c>
      <c r="B1027">
        <v>3</v>
      </c>
      <c r="C1027" t="s">
        <v>93</v>
      </c>
      <c r="D1027" t="s">
        <v>118</v>
      </c>
      <c r="E1027" t="s">
        <v>258</v>
      </c>
      <c r="F1027" t="s">
        <v>169</v>
      </c>
      <c r="G1027" t="s">
        <v>134</v>
      </c>
      <c r="H1027">
        <v>52</v>
      </c>
      <c r="I1027">
        <v>32</v>
      </c>
      <c r="J1027">
        <v>162.5</v>
      </c>
      <c r="K1027" t="s">
        <v>246</v>
      </c>
      <c r="L1027">
        <v>60</v>
      </c>
      <c r="M1027">
        <v>4</v>
      </c>
      <c r="N1027">
        <v>0</v>
      </c>
      <c r="O1027">
        <v>39</v>
      </c>
      <c r="P1027">
        <v>2</v>
      </c>
      <c r="Q1027">
        <v>9.8000000000000007</v>
      </c>
      <c r="R1027">
        <v>50</v>
      </c>
      <c r="S1027">
        <v>0</v>
      </c>
      <c r="T1027">
        <v>0</v>
      </c>
      <c r="U1027" s="8">
        <v>110</v>
      </c>
      <c r="V1027" s="8">
        <f t="shared" ref="V1027:V1090" si="16">MIN(10, MAX(0, ROUND(U1027/10,0)))</f>
        <v>10</v>
      </c>
    </row>
    <row r="1028" spans="1:22" x14ac:dyDescent="0.3">
      <c r="A1028" t="s">
        <v>464</v>
      </c>
      <c r="B1028">
        <v>3</v>
      </c>
      <c r="C1028" t="s">
        <v>89</v>
      </c>
      <c r="D1028" t="s">
        <v>116</v>
      </c>
      <c r="E1028" t="s">
        <v>258</v>
      </c>
      <c r="F1028" t="s">
        <v>169</v>
      </c>
      <c r="G1028" t="s">
        <v>134</v>
      </c>
      <c r="H1028">
        <v>34</v>
      </c>
      <c r="I1028">
        <v>30</v>
      </c>
      <c r="J1028">
        <v>113.33</v>
      </c>
      <c r="K1028" t="s">
        <v>96</v>
      </c>
      <c r="L1028">
        <v>40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 s="8">
        <v>40</v>
      </c>
      <c r="V1028" s="8">
        <f t="shared" si="16"/>
        <v>4</v>
      </c>
    </row>
    <row r="1029" spans="1:22" x14ac:dyDescent="0.3">
      <c r="A1029" t="s">
        <v>464</v>
      </c>
      <c r="B1029">
        <v>3</v>
      </c>
      <c r="C1029" t="s">
        <v>530</v>
      </c>
      <c r="D1029" t="s">
        <v>502</v>
      </c>
      <c r="E1029" t="s">
        <v>258</v>
      </c>
      <c r="F1029" t="s">
        <v>169</v>
      </c>
      <c r="G1029" t="s">
        <v>134</v>
      </c>
      <c r="H1029">
        <v>33</v>
      </c>
      <c r="I1029">
        <v>18</v>
      </c>
      <c r="J1029">
        <v>183.33</v>
      </c>
      <c r="K1029" t="s">
        <v>96</v>
      </c>
      <c r="L1029">
        <v>45</v>
      </c>
      <c r="M1029">
        <v>4</v>
      </c>
      <c r="N1029">
        <v>0</v>
      </c>
      <c r="O1029">
        <v>34</v>
      </c>
      <c r="P1029">
        <v>2</v>
      </c>
      <c r="Q1029">
        <v>8.5</v>
      </c>
      <c r="R1029">
        <v>50</v>
      </c>
      <c r="S1029">
        <v>0</v>
      </c>
      <c r="T1029">
        <v>0</v>
      </c>
      <c r="U1029" s="8">
        <v>95</v>
      </c>
      <c r="V1029" s="8">
        <f t="shared" si="16"/>
        <v>10</v>
      </c>
    </row>
    <row r="1030" spans="1:22" x14ac:dyDescent="0.3">
      <c r="A1030" t="s">
        <v>464</v>
      </c>
      <c r="B1030">
        <v>3</v>
      </c>
      <c r="C1030" t="s">
        <v>227</v>
      </c>
      <c r="D1030" t="s">
        <v>228</v>
      </c>
      <c r="E1030" t="s">
        <v>258</v>
      </c>
      <c r="F1030" t="s">
        <v>109</v>
      </c>
      <c r="G1030" t="s">
        <v>104</v>
      </c>
      <c r="H1030">
        <v>0</v>
      </c>
      <c r="I1030">
        <v>0</v>
      </c>
      <c r="J1030">
        <v>0</v>
      </c>
      <c r="K1030" t="s">
        <v>104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 s="8">
        <v>0</v>
      </c>
      <c r="V1030" s="8">
        <f t="shared" si="16"/>
        <v>0</v>
      </c>
    </row>
    <row r="1031" spans="1:22" x14ac:dyDescent="0.3">
      <c r="A1031" t="s">
        <v>464</v>
      </c>
      <c r="B1031">
        <v>3</v>
      </c>
      <c r="C1031" t="s">
        <v>105</v>
      </c>
      <c r="D1031" t="s">
        <v>128</v>
      </c>
      <c r="E1031" t="s">
        <v>258</v>
      </c>
      <c r="F1031" t="s">
        <v>101</v>
      </c>
      <c r="G1031" t="s">
        <v>104</v>
      </c>
      <c r="H1031">
        <v>0</v>
      </c>
      <c r="I1031">
        <v>0</v>
      </c>
      <c r="J1031">
        <v>0</v>
      </c>
      <c r="K1031" t="s">
        <v>104</v>
      </c>
      <c r="L1031">
        <v>0</v>
      </c>
      <c r="M1031">
        <v>2</v>
      </c>
      <c r="N1031">
        <v>0</v>
      </c>
      <c r="O1031">
        <v>10</v>
      </c>
      <c r="P1031">
        <v>0</v>
      </c>
      <c r="Q1031">
        <v>5</v>
      </c>
      <c r="R1031">
        <v>0</v>
      </c>
      <c r="S1031">
        <v>0</v>
      </c>
      <c r="T1031">
        <v>0</v>
      </c>
      <c r="U1031" s="8">
        <v>0</v>
      </c>
      <c r="V1031" s="8">
        <f t="shared" si="16"/>
        <v>0</v>
      </c>
    </row>
    <row r="1032" spans="1:22" x14ac:dyDescent="0.3">
      <c r="A1032" t="s">
        <v>464</v>
      </c>
      <c r="B1032">
        <v>3</v>
      </c>
      <c r="C1032" t="s">
        <v>415</v>
      </c>
      <c r="D1032" t="s">
        <v>425</v>
      </c>
      <c r="E1032" t="s">
        <v>258</v>
      </c>
      <c r="F1032" t="s">
        <v>169</v>
      </c>
      <c r="G1032" t="s">
        <v>104</v>
      </c>
      <c r="H1032">
        <v>0</v>
      </c>
      <c r="I1032">
        <v>0</v>
      </c>
      <c r="J1032">
        <v>0</v>
      </c>
      <c r="K1032" t="s">
        <v>104</v>
      </c>
      <c r="L1032">
        <v>0</v>
      </c>
      <c r="M1032">
        <v>2</v>
      </c>
      <c r="N1032">
        <v>0</v>
      </c>
      <c r="O1032">
        <v>20</v>
      </c>
      <c r="P1032">
        <v>0</v>
      </c>
      <c r="Q1032">
        <v>10</v>
      </c>
      <c r="R1032">
        <v>0</v>
      </c>
      <c r="S1032">
        <v>0</v>
      </c>
      <c r="T1032">
        <v>0</v>
      </c>
      <c r="U1032" s="8">
        <v>0</v>
      </c>
      <c r="V1032" s="8">
        <f t="shared" si="16"/>
        <v>0</v>
      </c>
    </row>
    <row r="1033" spans="1:22" x14ac:dyDescent="0.3">
      <c r="A1033" t="s">
        <v>464</v>
      </c>
      <c r="B1033">
        <v>3</v>
      </c>
      <c r="C1033" t="s">
        <v>494</v>
      </c>
      <c r="D1033" t="s">
        <v>501</v>
      </c>
      <c r="E1033" t="s">
        <v>258</v>
      </c>
      <c r="F1033" t="s">
        <v>101</v>
      </c>
      <c r="G1033" t="s">
        <v>104</v>
      </c>
      <c r="H1033">
        <v>0</v>
      </c>
      <c r="I1033">
        <v>0</v>
      </c>
      <c r="J1033">
        <v>0</v>
      </c>
      <c r="K1033" t="s">
        <v>104</v>
      </c>
      <c r="L1033">
        <v>0</v>
      </c>
      <c r="M1033">
        <v>4</v>
      </c>
      <c r="N1033">
        <v>0</v>
      </c>
      <c r="O1033">
        <v>25</v>
      </c>
      <c r="P1033">
        <v>3</v>
      </c>
      <c r="Q1033">
        <v>6.2</v>
      </c>
      <c r="R1033">
        <v>75</v>
      </c>
      <c r="S1033">
        <v>0</v>
      </c>
      <c r="T1033">
        <v>0</v>
      </c>
      <c r="U1033" s="8">
        <v>75</v>
      </c>
      <c r="V1033" s="8">
        <f t="shared" si="16"/>
        <v>8</v>
      </c>
    </row>
    <row r="1034" spans="1:22" x14ac:dyDescent="0.3">
      <c r="A1034" t="s">
        <v>464</v>
      </c>
      <c r="B1034">
        <v>3</v>
      </c>
      <c r="C1034" t="s">
        <v>493</v>
      </c>
      <c r="D1034" t="s">
        <v>500</v>
      </c>
      <c r="E1034" t="s">
        <v>258</v>
      </c>
      <c r="F1034" t="s">
        <v>169</v>
      </c>
      <c r="G1034" t="s">
        <v>104</v>
      </c>
      <c r="H1034">
        <v>0</v>
      </c>
      <c r="I1034">
        <v>0</v>
      </c>
      <c r="J1034">
        <v>0</v>
      </c>
      <c r="K1034" t="s">
        <v>104</v>
      </c>
      <c r="L1034">
        <v>0</v>
      </c>
      <c r="M1034">
        <v>4</v>
      </c>
      <c r="N1034">
        <v>0</v>
      </c>
      <c r="O1034">
        <v>15</v>
      </c>
      <c r="P1034">
        <v>1</v>
      </c>
      <c r="Q1034">
        <v>3.8</v>
      </c>
      <c r="R1034">
        <v>25</v>
      </c>
      <c r="S1034">
        <v>0</v>
      </c>
      <c r="T1034">
        <v>0</v>
      </c>
      <c r="U1034" s="8">
        <v>25</v>
      </c>
      <c r="V1034" s="8">
        <f t="shared" si="16"/>
        <v>3</v>
      </c>
    </row>
    <row r="1035" spans="1:22" x14ac:dyDescent="0.3">
      <c r="A1035" t="s">
        <v>465</v>
      </c>
      <c r="B1035">
        <v>3</v>
      </c>
      <c r="C1035" t="s">
        <v>190</v>
      </c>
      <c r="D1035" t="s">
        <v>191</v>
      </c>
      <c r="E1035" t="s">
        <v>158</v>
      </c>
      <c r="F1035" t="s">
        <v>109</v>
      </c>
      <c r="G1035" t="s">
        <v>86</v>
      </c>
      <c r="H1035">
        <v>17</v>
      </c>
      <c r="I1035">
        <v>19</v>
      </c>
      <c r="J1035">
        <v>89.47</v>
      </c>
      <c r="K1035" t="s">
        <v>246</v>
      </c>
      <c r="L1035">
        <v>20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 s="8">
        <v>20</v>
      </c>
      <c r="V1035" s="8">
        <f t="shared" si="16"/>
        <v>2</v>
      </c>
    </row>
    <row r="1036" spans="1:22" x14ac:dyDescent="0.3">
      <c r="A1036" t="s">
        <v>465</v>
      </c>
      <c r="B1036">
        <v>3</v>
      </c>
      <c r="C1036" t="s">
        <v>188</v>
      </c>
      <c r="D1036" t="s">
        <v>189</v>
      </c>
      <c r="E1036" t="s">
        <v>158</v>
      </c>
      <c r="F1036" t="s">
        <v>169</v>
      </c>
      <c r="G1036" t="s">
        <v>86</v>
      </c>
      <c r="H1036">
        <v>0</v>
      </c>
      <c r="I1036">
        <v>1</v>
      </c>
      <c r="J1036">
        <v>0</v>
      </c>
      <c r="K1036" t="s">
        <v>246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 s="8">
        <v>0</v>
      </c>
      <c r="V1036" s="8">
        <f t="shared" si="16"/>
        <v>0</v>
      </c>
    </row>
    <row r="1037" spans="1:22" x14ac:dyDescent="0.3">
      <c r="A1037" t="s">
        <v>465</v>
      </c>
      <c r="B1037">
        <v>3</v>
      </c>
      <c r="C1037" t="s">
        <v>194</v>
      </c>
      <c r="D1037" t="s">
        <v>195</v>
      </c>
      <c r="E1037" t="s">
        <v>158</v>
      </c>
      <c r="F1037" t="s">
        <v>109</v>
      </c>
      <c r="G1037" t="s">
        <v>92</v>
      </c>
      <c r="H1037">
        <v>34</v>
      </c>
      <c r="I1037">
        <v>22</v>
      </c>
      <c r="J1037">
        <v>154.55000000000001</v>
      </c>
      <c r="K1037" t="s">
        <v>248</v>
      </c>
      <c r="L1037">
        <v>40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 s="8">
        <v>40</v>
      </c>
      <c r="V1037" s="8">
        <f t="shared" si="16"/>
        <v>4</v>
      </c>
    </row>
    <row r="1038" spans="1:22" x14ac:dyDescent="0.3">
      <c r="A1038" t="s">
        <v>465</v>
      </c>
      <c r="B1038">
        <v>3</v>
      </c>
      <c r="C1038" t="s">
        <v>94</v>
      </c>
      <c r="D1038" t="s">
        <v>120</v>
      </c>
      <c r="E1038" t="s">
        <v>158</v>
      </c>
      <c r="F1038" t="s">
        <v>169</v>
      </c>
      <c r="G1038" t="s">
        <v>92</v>
      </c>
      <c r="H1038">
        <v>19</v>
      </c>
      <c r="I1038">
        <v>13</v>
      </c>
      <c r="J1038">
        <v>146.15</v>
      </c>
      <c r="K1038" t="s">
        <v>246</v>
      </c>
      <c r="L1038">
        <v>30</v>
      </c>
      <c r="M1038">
        <v>2</v>
      </c>
      <c r="N1038">
        <v>0</v>
      </c>
      <c r="O1038">
        <v>18</v>
      </c>
      <c r="P1038">
        <v>0</v>
      </c>
      <c r="Q1038">
        <v>9</v>
      </c>
      <c r="R1038">
        <v>0</v>
      </c>
      <c r="S1038">
        <v>0</v>
      </c>
      <c r="T1038">
        <v>0</v>
      </c>
      <c r="U1038" s="8">
        <v>30</v>
      </c>
      <c r="V1038" s="8">
        <f t="shared" si="16"/>
        <v>3</v>
      </c>
    </row>
    <row r="1039" spans="1:22" x14ac:dyDescent="0.3">
      <c r="A1039" t="s">
        <v>465</v>
      </c>
      <c r="B1039">
        <v>3</v>
      </c>
      <c r="C1039" t="s">
        <v>192</v>
      </c>
      <c r="D1039" t="s">
        <v>193</v>
      </c>
      <c r="E1039" t="s">
        <v>158</v>
      </c>
      <c r="F1039" t="s">
        <v>169</v>
      </c>
      <c r="G1039" t="s">
        <v>134</v>
      </c>
      <c r="H1039">
        <v>12</v>
      </c>
      <c r="I1039">
        <v>13</v>
      </c>
      <c r="J1039">
        <v>92.31</v>
      </c>
      <c r="K1039" t="s">
        <v>246</v>
      </c>
      <c r="L1039">
        <v>15</v>
      </c>
      <c r="M1039">
        <v>2</v>
      </c>
      <c r="N1039">
        <v>0</v>
      </c>
      <c r="O1039">
        <v>27</v>
      </c>
      <c r="P1039">
        <v>0</v>
      </c>
      <c r="Q1039">
        <v>13.5</v>
      </c>
      <c r="R1039">
        <v>0</v>
      </c>
      <c r="S1039">
        <v>0</v>
      </c>
      <c r="T1039">
        <v>0</v>
      </c>
      <c r="U1039" s="8">
        <v>15</v>
      </c>
      <c r="V1039" s="8">
        <f t="shared" si="16"/>
        <v>2</v>
      </c>
    </row>
    <row r="1040" spans="1:22" x14ac:dyDescent="0.3">
      <c r="A1040" t="s">
        <v>465</v>
      </c>
      <c r="B1040">
        <v>3</v>
      </c>
      <c r="C1040" t="s">
        <v>198</v>
      </c>
      <c r="D1040" t="s">
        <v>199</v>
      </c>
      <c r="E1040" t="s">
        <v>158</v>
      </c>
      <c r="F1040" t="s">
        <v>101</v>
      </c>
      <c r="G1040" t="s">
        <v>134</v>
      </c>
      <c r="H1040">
        <v>1</v>
      </c>
      <c r="I1040">
        <v>4</v>
      </c>
      <c r="J1040">
        <v>25</v>
      </c>
      <c r="K1040" t="s">
        <v>246</v>
      </c>
      <c r="L1040">
        <v>2</v>
      </c>
      <c r="M1040">
        <v>4</v>
      </c>
      <c r="N1040">
        <v>0</v>
      </c>
      <c r="O1040">
        <v>37</v>
      </c>
      <c r="P1040">
        <v>0</v>
      </c>
      <c r="Q1040">
        <v>9.1999999999999993</v>
      </c>
      <c r="R1040">
        <v>0</v>
      </c>
      <c r="S1040">
        <v>0</v>
      </c>
      <c r="T1040">
        <v>0</v>
      </c>
      <c r="U1040" s="8">
        <v>2</v>
      </c>
      <c r="V1040" s="8">
        <f t="shared" si="16"/>
        <v>0</v>
      </c>
    </row>
    <row r="1041" spans="1:22" x14ac:dyDescent="0.3">
      <c r="A1041" t="s">
        <v>465</v>
      </c>
      <c r="B1041">
        <v>3</v>
      </c>
      <c r="C1041" t="s">
        <v>496</v>
      </c>
      <c r="D1041" t="s">
        <v>518</v>
      </c>
      <c r="E1041" t="s">
        <v>158</v>
      </c>
      <c r="F1041" t="s">
        <v>85</v>
      </c>
      <c r="G1041" t="s">
        <v>134</v>
      </c>
      <c r="H1041">
        <v>23</v>
      </c>
      <c r="I1041">
        <v>19</v>
      </c>
      <c r="J1041">
        <v>121.05</v>
      </c>
      <c r="K1041" t="s">
        <v>248</v>
      </c>
      <c r="L1041">
        <v>25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 s="8">
        <v>25</v>
      </c>
      <c r="V1041" s="8">
        <f t="shared" si="16"/>
        <v>3</v>
      </c>
    </row>
    <row r="1042" spans="1:22" x14ac:dyDescent="0.3">
      <c r="A1042" t="s">
        <v>465</v>
      </c>
      <c r="B1042">
        <v>3</v>
      </c>
      <c r="C1042" t="s">
        <v>204</v>
      </c>
      <c r="D1042" t="s">
        <v>205</v>
      </c>
      <c r="E1042" t="s">
        <v>158</v>
      </c>
      <c r="F1042" t="s">
        <v>169</v>
      </c>
      <c r="G1042" t="s">
        <v>134</v>
      </c>
      <c r="H1042">
        <v>14</v>
      </c>
      <c r="I1042">
        <v>15</v>
      </c>
      <c r="J1042">
        <v>93.33</v>
      </c>
      <c r="K1042" t="s">
        <v>246</v>
      </c>
      <c r="L1042">
        <v>15</v>
      </c>
      <c r="M1042">
        <v>4</v>
      </c>
      <c r="N1042">
        <v>0</v>
      </c>
      <c r="O1042">
        <v>27</v>
      </c>
      <c r="P1042">
        <v>1</v>
      </c>
      <c r="Q1042">
        <v>6.8</v>
      </c>
      <c r="R1042">
        <v>25</v>
      </c>
      <c r="S1042">
        <v>0</v>
      </c>
      <c r="T1042">
        <v>0</v>
      </c>
      <c r="U1042" s="8">
        <v>40</v>
      </c>
      <c r="V1042" s="8">
        <f t="shared" si="16"/>
        <v>4</v>
      </c>
    </row>
    <row r="1043" spans="1:22" x14ac:dyDescent="0.3">
      <c r="A1043" t="s">
        <v>465</v>
      </c>
      <c r="B1043">
        <v>3</v>
      </c>
      <c r="C1043" t="s">
        <v>206</v>
      </c>
      <c r="D1043" t="s">
        <v>207</v>
      </c>
      <c r="E1043" t="s">
        <v>158</v>
      </c>
      <c r="F1043" t="s">
        <v>101</v>
      </c>
      <c r="G1043" t="s">
        <v>134</v>
      </c>
      <c r="H1043">
        <v>0</v>
      </c>
      <c r="I1043">
        <v>2</v>
      </c>
      <c r="J1043">
        <v>0</v>
      </c>
      <c r="K1043" t="s">
        <v>246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 s="8">
        <v>0</v>
      </c>
      <c r="V1043" s="8">
        <f t="shared" si="16"/>
        <v>0</v>
      </c>
    </row>
    <row r="1044" spans="1:22" x14ac:dyDescent="0.3">
      <c r="A1044" t="s">
        <v>465</v>
      </c>
      <c r="B1044">
        <v>3</v>
      </c>
      <c r="C1044" t="s">
        <v>202</v>
      </c>
      <c r="D1044" t="s">
        <v>203</v>
      </c>
      <c r="E1044" t="s">
        <v>158</v>
      </c>
      <c r="F1044" t="s">
        <v>101</v>
      </c>
      <c r="G1044" t="s">
        <v>134</v>
      </c>
      <c r="H1044">
        <v>4</v>
      </c>
      <c r="I1044">
        <v>5</v>
      </c>
      <c r="J1044">
        <v>80</v>
      </c>
      <c r="K1044" t="s">
        <v>246</v>
      </c>
      <c r="L1044">
        <v>5</v>
      </c>
      <c r="M1044">
        <v>3.2</v>
      </c>
      <c r="N1044">
        <v>0</v>
      </c>
      <c r="O1044">
        <v>25</v>
      </c>
      <c r="P1044">
        <v>1</v>
      </c>
      <c r="Q1044">
        <v>7.5</v>
      </c>
      <c r="R1044">
        <v>25</v>
      </c>
      <c r="S1044">
        <v>0</v>
      </c>
      <c r="T1044">
        <v>0</v>
      </c>
      <c r="U1044" s="8">
        <v>30</v>
      </c>
      <c r="V1044" s="8">
        <f t="shared" si="16"/>
        <v>3</v>
      </c>
    </row>
    <row r="1045" spans="1:22" x14ac:dyDescent="0.3">
      <c r="A1045" t="s">
        <v>465</v>
      </c>
      <c r="B1045">
        <v>3</v>
      </c>
      <c r="C1045" t="s">
        <v>274</v>
      </c>
      <c r="D1045" t="s">
        <v>284</v>
      </c>
      <c r="E1045" t="s">
        <v>158</v>
      </c>
      <c r="F1045" t="s">
        <v>169</v>
      </c>
      <c r="G1045" t="s">
        <v>134</v>
      </c>
      <c r="H1045">
        <v>5</v>
      </c>
      <c r="I1045">
        <v>4</v>
      </c>
      <c r="J1045">
        <v>125</v>
      </c>
      <c r="K1045" t="s">
        <v>96</v>
      </c>
      <c r="L1045">
        <v>8</v>
      </c>
      <c r="M1045">
        <v>1</v>
      </c>
      <c r="N1045">
        <v>0</v>
      </c>
      <c r="O1045">
        <v>10</v>
      </c>
      <c r="P1045">
        <v>0</v>
      </c>
      <c r="Q1045">
        <v>10</v>
      </c>
      <c r="R1045">
        <v>0</v>
      </c>
      <c r="S1045">
        <v>0</v>
      </c>
      <c r="T1045">
        <v>0</v>
      </c>
      <c r="U1045" s="8">
        <v>8</v>
      </c>
      <c r="V1045" s="8">
        <f t="shared" si="16"/>
        <v>1</v>
      </c>
    </row>
    <row r="1046" spans="1:22" x14ac:dyDescent="0.3">
      <c r="A1046" t="s">
        <v>465</v>
      </c>
      <c r="B1046">
        <v>3</v>
      </c>
      <c r="C1046" t="s">
        <v>165</v>
      </c>
      <c r="D1046" t="s">
        <v>166</v>
      </c>
      <c r="E1046" t="s">
        <v>159</v>
      </c>
      <c r="F1046" t="s">
        <v>109</v>
      </c>
      <c r="G1046" t="s">
        <v>86</v>
      </c>
      <c r="H1046">
        <v>81</v>
      </c>
      <c r="I1046">
        <v>47</v>
      </c>
      <c r="J1046">
        <v>172.34</v>
      </c>
      <c r="K1046" t="s">
        <v>246</v>
      </c>
      <c r="L1046">
        <v>95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 s="8">
        <v>95</v>
      </c>
      <c r="V1046" s="8">
        <f t="shared" si="16"/>
        <v>10</v>
      </c>
    </row>
    <row r="1047" spans="1:22" x14ac:dyDescent="0.3">
      <c r="A1047" t="s">
        <v>465</v>
      </c>
      <c r="B1047">
        <v>3</v>
      </c>
      <c r="C1047" t="s">
        <v>489</v>
      </c>
      <c r="D1047" t="s">
        <v>488</v>
      </c>
      <c r="E1047" t="s">
        <v>159</v>
      </c>
      <c r="F1047" t="s">
        <v>109</v>
      </c>
      <c r="G1047" t="s">
        <v>86</v>
      </c>
      <c r="H1047">
        <v>42</v>
      </c>
      <c r="I1047">
        <v>33</v>
      </c>
      <c r="J1047">
        <v>127.27</v>
      </c>
      <c r="K1047" t="s">
        <v>246</v>
      </c>
      <c r="L1047">
        <v>55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 s="8">
        <v>55</v>
      </c>
      <c r="V1047" s="8">
        <f t="shared" si="16"/>
        <v>6</v>
      </c>
    </row>
    <row r="1048" spans="1:22" x14ac:dyDescent="0.3">
      <c r="A1048" t="s">
        <v>465</v>
      </c>
      <c r="B1048">
        <v>3</v>
      </c>
      <c r="C1048" t="s">
        <v>174</v>
      </c>
      <c r="D1048" t="s">
        <v>175</v>
      </c>
      <c r="E1048" t="s">
        <v>159</v>
      </c>
      <c r="F1048" t="s">
        <v>169</v>
      </c>
      <c r="G1048" t="s">
        <v>92</v>
      </c>
      <c r="H1048">
        <v>7</v>
      </c>
      <c r="I1048">
        <v>13</v>
      </c>
      <c r="J1048">
        <v>53.85</v>
      </c>
      <c r="K1048" t="s">
        <v>96</v>
      </c>
      <c r="L1048">
        <v>10</v>
      </c>
      <c r="M1048">
        <v>2</v>
      </c>
      <c r="N1048">
        <v>0</v>
      </c>
      <c r="O1048">
        <v>14</v>
      </c>
      <c r="P1048">
        <v>0</v>
      </c>
      <c r="Q1048">
        <v>7</v>
      </c>
      <c r="R1048">
        <v>0</v>
      </c>
      <c r="S1048">
        <v>0</v>
      </c>
      <c r="T1048">
        <v>0</v>
      </c>
      <c r="U1048" s="8">
        <v>10</v>
      </c>
      <c r="V1048" s="8">
        <f t="shared" si="16"/>
        <v>1</v>
      </c>
    </row>
    <row r="1049" spans="1:22" x14ac:dyDescent="0.3">
      <c r="A1049" t="s">
        <v>465</v>
      </c>
      <c r="B1049">
        <v>3</v>
      </c>
      <c r="C1049" t="s">
        <v>176</v>
      </c>
      <c r="D1049" t="s">
        <v>177</v>
      </c>
      <c r="E1049" t="s">
        <v>159</v>
      </c>
      <c r="F1049" t="s">
        <v>85</v>
      </c>
      <c r="G1049" t="s">
        <v>134</v>
      </c>
      <c r="H1049">
        <v>11</v>
      </c>
      <c r="I1049">
        <v>5</v>
      </c>
      <c r="J1049">
        <v>220</v>
      </c>
      <c r="K1049" t="s">
        <v>96</v>
      </c>
      <c r="L1049">
        <v>15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 s="8">
        <v>15</v>
      </c>
      <c r="V1049" s="8">
        <f t="shared" si="16"/>
        <v>2</v>
      </c>
    </row>
    <row r="1050" spans="1:22" x14ac:dyDescent="0.3">
      <c r="A1050" t="s">
        <v>465</v>
      </c>
      <c r="B1050">
        <v>3</v>
      </c>
      <c r="C1050" t="s">
        <v>490</v>
      </c>
      <c r="D1050" t="s">
        <v>497</v>
      </c>
      <c r="E1050" t="s">
        <v>159</v>
      </c>
      <c r="F1050" t="s">
        <v>169</v>
      </c>
      <c r="G1050" t="s">
        <v>104</v>
      </c>
      <c r="H1050">
        <v>0</v>
      </c>
      <c r="I1050">
        <v>0</v>
      </c>
      <c r="J1050">
        <v>0</v>
      </c>
      <c r="K1050" t="s">
        <v>104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 s="8">
        <v>0</v>
      </c>
      <c r="V1050" s="8">
        <f t="shared" si="16"/>
        <v>0</v>
      </c>
    </row>
    <row r="1051" spans="1:22" x14ac:dyDescent="0.3">
      <c r="A1051" t="s">
        <v>465</v>
      </c>
      <c r="B1051">
        <v>3</v>
      </c>
      <c r="C1051" t="s">
        <v>178</v>
      </c>
      <c r="D1051" t="s">
        <v>179</v>
      </c>
      <c r="E1051" t="s">
        <v>159</v>
      </c>
      <c r="F1051" t="s">
        <v>169</v>
      </c>
      <c r="G1051" t="s">
        <v>104</v>
      </c>
      <c r="H1051">
        <v>0</v>
      </c>
      <c r="I1051">
        <v>0</v>
      </c>
      <c r="J1051">
        <v>0</v>
      </c>
      <c r="K1051" t="s">
        <v>104</v>
      </c>
      <c r="L1051">
        <v>0</v>
      </c>
      <c r="M1051">
        <v>2</v>
      </c>
      <c r="N1051">
        <v>0</v>
      </c>
      <c r="O1051">
        <v>13</v>
      </c>
      <c r="P1051">
        <v>0</v>
      </c>
      <c r="Q1051">
        <v>6.5</v>
      </c>
      <c r="R1051">
        <v>0</v>
      </c>
      <c r="S1051">
        <v>0</v>
      </c>
      <c r="T1051">
        <v>0</v>
      </c>
      <c r="U1051" s="8">
        <v>0</v>
      </c>
      <c r="V1051" s="8">
        <f t="shared" si="16"/>
        <v>0</v>
      </c>
    </row>
    <row r="1052" spans="1:22" x14ac:dyDescent="0.3">
      <c r="A1052" t="s">
        <v>465</v>
      </c>
      <c r="B1052">
        <v>3</v>
      </c>
      <c r="C1052" t="s">
        <v>99</v>
      </c>
      <c r="D1052" t="s">
        <v>124</v>
      </c>
      <c r="E1052" t="s">
        <v>159</v>
      </c>
      <c r="F1052" t="s">
        <v>169</v>
      </c>
      <c r="G1052" t="s">
        <v>104</v>
      </c>
      <c r="H1052">
        <v>0</v>
      </c>
      <c r="I1052">
        <v>0</v>
      </c>
      <c r="J1052">
        <v>0</v>
      </c>
      <c r="K1052" t="s">
        <v>104</v>
      </c>
      <c r="L1052">
        <v>0</v>
      </c>
      <c r="M1052">
        <v>4</v>
      </c>
      <c r="N1052">
        <v>0</v>
      </c>
      <c r="O1052">
        <v>25</v>
      </c>
      <c r="P1052">
        <v>3</v>
      </c>
      <c r="Q1052">
        <v>6.2</v>
      </c>
      <c r="R1052">
        <v>75</v>
      </c>
      <c r="S1052">
        <v>0</v>
      </c>
      <c r="T1052">
        <v>0</v>
      </c>
      <c r="U1052" s="8">
        <v>75</v>
      </c>
      <c r="V1052" s="8">
        <f t="shared" si="16"/>
        <v>8</v>
      </c>
    </row>
    <row r="1053" spans="1:22" x14ac:dyDescent="0.3">
      <c r="A1053" t="s">
        <v>465</v>
      </c>
      <c r="B1053">
        <v>3</v>
      </c>
      <c r="C1053" t="s">
        <v>242</v>
      </c>
      <c r="D1053" t="s">
        <v>244</v>
      </c>
      <c r="E1053" t="s">
        <v>159</v>
      </c>
      <c r="F1053" t="s">
        <v>101</v>
      </c>
      <c r="G1053" t="s">
        <v>104</v>
      </c>
      <c r="H1053">
        <v>0</v>
      </c>
      <c r="I1053">
        <v>0</v>
      </c>
      <c r="J1053">
        <v>0</v>
      </c>
      <c r="K1053" t="s">
        <v>104</v>
      </c>
      <c r="L1053">
        <v>0</v>
      </c>
      <c r="M1053">
        <v>3.3</v>
      </c>
      <c r="N1053">
        <v>0</v>
      </c>
      <c r="O1053">
        <v>19</v>
      </c>
      <c r="P1053">
        <v>2</v>
      </c>
      <c r="Q1053">
        <v>5.4</v>
      </c>
      <c r="R1053">
        <v>50</v>
      </c>
      <c r="S1053">
        <v>0</v>
      </c>
      <c r="T1053">
        <v>0</v>
      </c>
      <c r="U1053" s="8">
        <v>50</v>
      </c>
      <c r="V1053" s="8">
        <f t="shared" si="16"/>
        <v>5</v>
      </c>
    </row>
    <row r="1054" spans="1:22" x14ac:dyDescent="0.3">
      <c r="A1054" t="s">
        <v>465</v>
      </c>
      <c r="B1054">
        <v>3</v>
      </c>
      <c r="C1054" t="s">
        <v>429</v>
      </c>
      <c r="D1054" t="s">
        <v>430</v>
      </c>
      <c r="E1054" t="s">
        <v>159</v>
      </c>
      <c r="F1054" t="s">
        <v>101</v>
      </c>
      <c r="G1054" t="s">
        <v>104</v>
      </c>
      <c r="H1054">
        <v>0</v>
      </c>
      <c r="I1054">
        <v>0</v>
      </c>
      <c r="J1054">
        <v>0</v>
      </c>
      <c r="K1054" t="s">
        <v>104</v>
      </c>
      <c r="L1054">
        <v>0</v>
      </c>
      <c r="M1054">
        <v>4</v>
      </c>
      <c r="N1054">
        <v>0</v>
      </c>
      <c r="O1054">
        <v>35</v>
      </c>
      <c r="P1054">
        <v>2</v>
      </c>
      <c r="Q1054">
        <v>8.8000000000000007</v>
      </c>
      <c r="R1054">
        <v>50</v>
      </c>
      <c r="S1054">
        <v>0</v>
      </c>
      <c r="T1054">
        <v>0</v>
      </c>
      <c r="U1054" s="8">
        <v>50</v>
      </c>
      <c r="V1054" s="8">
        <f t="shared" si="16"/>
        <v>5</v>
      </c>
    </row>
    <row r="1055" spans="1:22" x14ac:dyDescent="0.3">
      <c r="A1055" t="s">
        <v>465</v>
      </c>
      <c r="B1055">
        <v>3</v>
      </c>
      <c r="C1055" t="s">
        <v>492</v>
      </c>
      <c r="D1055" t="s">
        <v>499</v>
      </c>
      <c r="E1055" t="s">
        <v>159</v>
      </c>
      <c r="F1055" t="s">
        <v>169</v>
      </c>
      <c r="G1055" t="s">
        <v>104</v>
      </c>
      <c r="H1055">
        <v>0</v>
      </c>
      <c r="I1055">
        <v>0</v>
      </c>
      <c r="J1055">
        <v>0</v>
      </c>
      <c r="K1055" t="s">
        <v>104</v>
      </c>
      <c r="L1055">
        <v>0</v>
      </c>
      <c r="M1055">
        <v>2</v>
      </c>
      <c r="N1055">
        <v>0</v>
      </c>
      <c r="O1055">
        <v>21</v>
      </c>
      <c r="P1055">
        <v>0</v>
      </c>
      <c r="Q1055">
        <v>10.5</v>
      </c>
      <c r="R1055">
        <v>0</v>
      </c>
      <c r="S1055">
        <v>0</v>
      </c>
      <c r="T1055">
        <v>0</v>
      </c>
      <c r="U1055" s="8">
        <v>0</v>
      </c>
      <c r="V1055" s="8">
        <f t="shared" si="16"/>
        <v>0</v>
      </c>
    </row>
    <row r="1056" spans="1:22" x14ac:dyDescent="0.3">
      <c r="A1056" t="s">
        <v>465</v>
      </c>
      <c r="B1056">
        <v>3</v>
      </c>
      <c r="C1056" t="s">
        <v>186</v>
      </c>
      <c r="D1056" t="s">
        <v>187</v>
      </c>
      <c r="E1056" t="s">
        <v>159</v>
      </c>
      <c r="F1056" t="s">
        <v>101</v>
      </c>
      <c r="G1056" t="s">
        <v>104</v>
      </c>
      <c r="H1056">
        <v>0</v>
      </c>
      <c r="I1056">
        <v>0</v>
      </c>
      <c r="J1056">
        <v>0</v>
      </c>
      <c r="K1056" t="s">
        <v>104</v>
      </c>
      <c r="L1056">
        <v>0</v>
      </c>
      <c r="M1056">
        <v>4</v>
      </c>
      <c r="N1056">
        <v>0</v>
      </c>
      <c r="O1056">
        <v>23</v>
      </c>
      <c r="P1056">
        <v>3</v>
      </c>
      <c r="Q1056">
        <v>5.8</v>
      </c>
      <c r="R1056">
        <v>75</v>
      </c>
      <c r="S1056">
        <v>0</v>
      </c>
      <c r="T1056">
        <v>0</v>
      </c>
      <c r="U1056" s="8">
        <v>75</v>
      </c>
      <c r="V1056" s="8">
        <f t="shared" si="16"/>
        <v>8</v>
      </c>
    </row>
    <row r="1057" spans="1:22" x14ac:dyDescent="0.3">
      <c r="A1057" t="s">
        <v>466</v>
      </c>
      <c r="B1057">
        <v>3</v>
      </c>
      <c r="C1057" t="s">
        <v>81</v>
      </c>
      <c r="D1057" t="s">
        <v>114</v>
      </c>
      <c r="E1057" t="s">
        <v>258</v>
      </c>
      <c r="F1057" t="s">
        <v>85</v>
      </c>
      <c r="G1057" t="s">
        <v>86</v>
      </c>
      <c r="H1057">
        <v>1</v>
      </c>
      <c r="I1057">
        <v>3</v>
      </c>
      <c r="J1057">
        <v>33.33</v>
      </c>
      <c r="K1057" t="s">
        <v>246</v>
      </c>
      <c r="L1057">
        <v>2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 s="8">
        <v>2</v>
      </c>
      <c r="V1057" s="8">
        <f t="shared" si="16"/>
        <v>0</v>
      </c>
    </row>
    <row r="1058" spans="1:22" x14ac:dyDescent="0.3">
      <c r="A1058" t="s">
        <v>466</v>
      </c>
      <c r="B1058">
        <v>3</v>
      </c>
      <c r="C1058" t="s">
        <v>278</v>
      </c>
      <c r="D1058" t="s">
        <v>293</v>
      </c>
      <c r="E1058" t="s">
        <v>258</v>
      </c>
      <c r="F1058" t="s">
        <v>109</v>
      </c>
      <c r="G1058" t="s">
        <v>86</v>
      </c>
      <c r="H1058">
        <v>4</v>
      </c>
      <c r="I1058">
        <v>7</v>
      </c>
      <c r="J1058">
        <v>57.14</v>
      </c>
      <c r="K1058" t="s">
        <v>246</v>
      </c>
      <c r="L1058">
        <v>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 s="8">
        <v>3</v>
      </c>
      <c r="V1058" s="8">
        <f t="shared" si="16"/>
        <v>0</v>
      </c>
    </row>
    <row r="1059" spans="1:22" x14ac:dyDescent="0.3">
      <c r="A1059" t="s">
        <v>466</v>
      </c>
      <c r="B1059">
        <v>3</v>
      </c>
      <c r="C1059" t="s">
        <v>97</v>
      </c>
      <c r="D1059" t="s">
        <v>122</v>
      </c>
      <c r="E1059" t="s">
        <v>258</v>
      </c>
      <c r="F1059" t="s">
        <v>109</v>
      </c>
      <c r="G1059" t="s">
        <v>92</v>
      </c>
      <c r="H1059">
        <v>9</v>
      </c>
      <c r="I1059">
        <v>11</v>
      </c>
      <c r="J1059">
        <v>81.819999999999993</v>
      </c>
      <c r="K1059" t="s">
        <v>246</v>
      </c>
      <c r="L1059">
        <v>8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 s="8">
        <v>8</v>
      </c>
      <c r="V1059" s="8">
        <f t="shared" si="16"/>
        <v>1</v>
      </c>
    </row>
    <row r="1060" spans="1:22" x14ac:dyDescent="0.3">
      <c r="A1060" t="s">
        <v>466</v>
      </c>
      <c r="B1060">
        <v>3</v>
      </c>
      <c r="C1060" t="s">
        <v>93</v>
      </c>
      <c r="D1060" t="s">
        <v>118</v>
      </c>
      <c r="E1060" t="s">
        <v>258</v>
      </c>
      <c r="F1060" t="s">
        <v>169</v>
      </c>
      <c r="G1060" t="s">
        <v>134</v>
      </c>
      <c r="H1060">
        <v>10</v>
      </c>
      <c r="I1060">
        <v>10</v>
      </c>
      <c r="J1060">
        <v>100</v>
      </c>
      <c r="K1060" t="s">
        <v>246</v>
      </c>
      <c r="L1060">
        <v>12</v>
      </c>
      <c r="M1060">
        <v>3</v>
      </c>
      <c r="N1060">
        <v>0</v>
      </c>
      <c r="O1060">
        <v>21</v>
      </c>
      <c r="P1060">
        <v>0</v>
      </c>
      <c r="Q1060">
        <v>7</v>
      </c>
      <c r="R1060">
        <v>0</v>
      </c>
      <c r="S1060">
        <v>0</v>
      </c>
      <c r="T1060">
        <v>0</v>
      </c>
      <c r="U1060" s="8">
        <v>12</v>
      </c>
      <c r="V1060" s="8">
        <f t="shared" si="16"/>
        <v>1</v>
      </c>
    </row>
    <row r="1061" spans="1:22" x14ac:dyDescent="0.3">
      <c r="A1061" t="s">
        <v>466</v>
      </c>
      <c r="B1061">
        <v>3</v>
      </c>
      <c r="C1061" t="s">
        <v>89</v>
      </c>
      <c r="D1061" t="s">
        <v>116</v>
      </c>
      <c r="E1061" t="s">
        <v>258</v>
      </c>
      <c r="F1061" t="s">
        <v>169</v>
      </c>
      <c r="G1061" t="s">
        <v>134</v>
      </c>
      <c r="H1061">
        <v>32</v>
      </c>
      <c r="I1061">
        <v>31</v>
      </c>
      <c r="J1061">
        <v>103.23</v>
      </c>
      <c r="K1061" t="s">
        <v>246</v>
      </c>
      <c r="L1061">
        <v>35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 s="8">
        <v>35</v>
      </c>
      <c r="V1061" s="8">
        <f t="shared" si="16"/>
        <v>4</v>
      </c>
    </row>
    <row r="1062" spans="1:22" x14ac:dyDescent="0.3">
      <c r="A1062" t="s">
        <v>466</v>
      </c>
      <c r="B1062">
        <v>3</v>
      </c>
      <c r="C1062" t="s">
        <v>530</v>
      </c>
      <c r="D1062" t="s">
        <v>502</v>
      </c>
      <c r="E1062" t="s">
        <v>258</v>
      </c>
      <c r="F1062" t="s">
        <v>169</v>
      </c>
      <c r="G1062" t="s">
        <v>134</v>
      </c>
      <c r="H1062">
        <v>7</v>
      </c>
      <c r="I1062">
        <v>6</v>
      </c>
      <c r="J1062">
        <v>116.67</v>
      </c>
      <c r="K1062" t="s">
        <v>248</v>
      </c>
      <c r="L1062">
        <v>10</v>
      </c>
      <c r="M1062">
        <v>3.1</v>
      </c>
      <c r="N1062">
        <v>0</v>
      </c>
      <c r="O1062">
        <v>19</v>
      </c>
      <c r="P1062">
        <v>0</v>
      </c>
      <c r="Q1062">
        <v>6</v>
      </c>
      <c r="R1062">
        <v>0</v>
      </c>
      <c r="S1062">
        <v>0</v>
      </c>
      <c r="T1062">
        <v>0</v>
      </c>
      <c r="U1062" s="8">
        <v>10</v>
      </c>
      <c r="V1062" s="8">
        <f t="shared" si="16"/>
        <v>1</v>
      </c>
    </row>
    <row r="1063" spans="1:22" x14ac:dyDescent="0.3">
      <c r="A1063" t="s">
        <v>466</v>
      </c>
      <c r="B1063">
        <v>3</v>
      </c>
      <c r="C1063" t="s">
        <v>493</v>
      </c>
      <c r="D1063" t="s">
        <v>500</v>
      </c>
      <c r="E1063" t="s">
        <v>258</v>
      </c>
      <c r="F1063" t="s">
        <v>169</v>
      </c>
      <c r="G1063" t="s">
        <v>134</v>
      </c>
      <c r="H1063">
        <v>20</v>
      </c>
      <c r="I1063">
        <v>15</v>
      </c>
      <c r="J1063">
        <v>133.33000000000001</v>
      </c>
      <c r="K1063" t="s">
        <v>246</v>
      </c>
      <c r="L1063">
        <v>25</v>
      </c>
      <c r="M1063">
        <v>3</v>
      </c>
      <c r="N1063">
        <v>0</v>
      </c>
      <c r="O1063">
        <v>15</v>
      </c>
      <c r="P1063">
        <v>2</v>
      </c>
      <c r="Q1063">
        <v>5</v>
      </c>
      <c r="R1063">
        <v>50</v>
      </c>
      <c r="S1063">
        <v>0</v>
      </c>
      <c r="T1063">
        <v>0</v>
      </c>
      <c r="U1063" s="8">
        <v>75</v>
      </c>
      <c r="V1063" s="8">
        <f t="shared" si="16"/>
        <v>8</v>
      </c>
    </row>
    <row r="1064" spans="1:22" x14ac:dyDescent="0.3">
      <c r="A1064" t="s">
        <v>466</v>
      </c>
      <c r="B1064">
        <v>3</v>
      </c>
      <c r="C1064" t="s">
        <v>227</v>
      </c>
      <c r="D1064" t="s">
        <v>228</v>
      </c>
      <c r="E1064" t="s">
        <v>258</v>
      </c>
      <c r="F1064" t="s">
        <v>109</v>
      </c>
      <c r="G1064" t="s">
        <v>134</v>
      </c>
      <c r="H1064">
        <v>3</v>
      </c>
      <c r="I1064">
        <v>8</v>
      </c>
      <c r="J1064">
        <v>37.5</v>
      </c>
      <c r="K1064" t="s">
        <v>246</v>
      </c>
      <c r="L1064">
        <v>2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 s="8">
        <v>2</v>
      </c>
      <c r="V1064" s="8">
        <f t="shared" si="16"/>
        <v>0</v>
      </c>
    </row>
    <row r="1065" spans="1:22" x14ac:dyDescent="0.3">
      <c r="A1065" t="s">
        <v>466</v>
      </c>
      <c r="B1065">
        <v>3</v>
      </c>
      <c r="C1065" t="s">
        <v>105</v>
      </c>
      <c r="D1065" t="s">
        <v>128</v>
      </c>
      <c r="E1065" t="s">
        <v>258</v>
      </c>
      <c r="F1065" t="s">
        <v>101</v>
      </c>
      <c r="G1065" t="s">
        <v>134</v>
      </c>
      <c r="H1065">
        <v>13</v>
      </c>
      <c r="I1065">
        <v>12</v>
      </c>
      <c r="J1065">
        <v>108.33</v>
      </c>
      <c r="K1065" t="s">
        <v>246</v>
      </c>
      <c r="L1065">
        <v>15</v>
      </c>
      <c r="M1065">
        <v>3</v>
      </c>
      <c r="N1065">
        <v>0</v>
      </c>
      <c r="O1065">
        <v>25</v>
      </c>
      <c r="P1065">
        <v>1</v>
      </c>
      <c r="Q1065">
        <v>8.3000000000000007</v>
      </c>
      <c r="R1065">
        <v>25</v>
      </c>
      <c r="S1065">
        <v>0</v>
      </c>
      <c r="T1065">
        <v>0</v>
      </c>
      <c r="U1065" s="8">
        <v>40</v>
      </c>
      <c r="V1065" s="8">
        <f t="shared" si="16"/>
        <v>4</v>
      </c>
    </row>
    <row r="1066" spans="1:22" x14ac:dyDescent="0.3">
      <c r="A1066" t="s">
        <v>466</v>
      </c>
      <c r="B1066">
        <v>3</v>
      </c>
      <c r="C1066" t="s">
        <v>415</v>
      </c>
      <c r="D1066" t="s">
        <v>425</v>
      </c>
      <c r="E1066" t="s">
        <v>258</v>
      </c>
      <c r="F1066" t="s">
        <v>169</v>
      </c>
      <c r="G1066" t="s">
        <v>134</v>
      </c>
      <c r="H1066">
        <v>13</v>
      </c>
      <c r="I1066">
        <v>11</v>
      </c>
      <c r="J1066">
        <v>118.18</v>
      </c>
      <c r="K1066" t="s">
        <v>96</v>
      </c>
      <c r="L1066">
        <v>18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 s="8">
        <v>18</v>
      </c>
      <c r="V1066" s="8">
        <f t="shared" si="16"/>
        <v>2</v>
      </c>
    </row>
    <row r="1067" spans="1:22" x14ac:dyDescent="0.3">
      <c r="A1067" t="s">
        <v>466</v>
      </c>
      <c r="B1067">
        <v>3</v>
      </c>
      <c r="C1067" t="s">
        <v>494</v>
      </c>
      <c r="D1067" t="s">
        <v>501</v>
      </c>
      <c r="E1067" t="s">
        <v>258</v>
      </c>
      <c r="F1067" t="s">
        <v>101</v>
      </c>
      <c r="G1067" t="s">
        <v>134</v>
      </c>
      <c r="H1067">
        <v>2</v>
      </c>
      <c r="I1067">
        <v>7</v>
      </c>
      <c r="J1067">
        <v>28.57</v>
      </c>
      <c r="K1067" t="s">
        <v>256</v>
      </c>
      <c r="L1067">
        <v>2</v>
      </c>
      <c r="M1067">
        <v>4</v>
      </c>
      <c r="N1067">
        <v>0</v>
      </c>
      <c r="O1067">
        <v>40</v>
      </c>
      <c r="P1067">
        <v>2</v>
      </c>
      <c r="Q1067">
        <v>10</v>
      </c>
      <c r="R1067">
        <v>50</v>
      </c>
      <c r="S1067">
        <v>0</v>
      </c>
      <c r="T1067">
        <v>0</v>
      </c>
      <c r="U1067" s="8">
        <v>52</v>
      </c>
      <c r="V1067" s="8">
        <f t="shared" si="16"/>
        <v>5</v>
      </c>
    </row>
    <row r="1068" spans="1:22" x14ac:dyDescent="0.3">
      <c r="A1068" t="s">
        <v>466</v>
      </c>
      <c r="B1068">
        <v>3</v>
      </c>
      <c r="C1068" t="s">
        <v>112</v>
      </c>
      <c r="D1068" t="s">
        <v>88</v>
      </c>
      <c r="E1068" t="s">
        <v>266</v>
      </c>
      <c r="F1068" t="s">
        <v>169</v>
      </c>
      <c r="G1068" t="s">
        <v>86</v>
      </c>
      <c r="H1068">
        <v>17</v>
      </c>
      <c r="I1068">
        <v>19</v>
      </c>
      <c r="J1068">
        <v>89.47</v>
      </c>
      <c r="K1068" t="s">
        <v>246</v>
      </c>
      <c r="L1068">
        <v>20</v>
      </c>
      <c r="M1068">
        <v>4</v>
      </c>
      <c r="N1068">
        <v>0</v>
      </c>
      <c r="O1068">
        <v>16</v>
      </c>
      <c r="P1068">
        <v>3</v>
      </c>
      <c r="Q1068">
        <v>4</v>
      </c>
      <c r="R1068">
        <v>75</v>
      </c>
      <c r="S1068">
        <v>0</v>
      </c>
      <c r="T1068">
        <v>0</v>
      </c>
      <c r="U1068" s="8">
        <v>95</v>
      </c>
      <c r="V1068" s="8">
        <f t="shared" si="16"/>
        <v>10</v>
      </c>
    </row>
    <row r="1069" spans="1:22" x14ac:dyDescent="0.3">
      <c r="A1069" t="s">
        <v>466</v>
      </c>
      <c r="B1069">
        <v>3</v>
      </c>
      <c r="C1069" t="s">
        <v>113</v>
      </c>
      <c r="D1069" t="s">
        <v>84</v>
      </c>
      <c r="E1069" t="s">
        <v>266</v>
      </c>
      <c r="F1069" t="s">
        <v>85</v>
      </c>
      <c r="G1069" t="s">
        <v>86</v>
      </c>
      <c r="H1069">
        <v>8</v>
      </c>
      <c r="I1069">
        <v>10</v>
      </c>
      <c r="J1069">
        <v>80</v>
      </c>
      <c r="K1069" t="s">
        <v>246</v>
      </c>
      <c r="L1069">
        <v>6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 s="8">
        <v>6</v>
      </c>
      <c r="V1069" s="8">
        <f t="shared" si="16"/>
        <v>1</v>
      </c>
    </row>
    <row r="1070" spans="1:22" x14ac:dyDescent="0.3">
      <c r="A1070" t="s">
        <v>466</v>
      </c>
      <c r="B1070">
        <v>3</v>
      </c>
      <c r="C1070" t="s">
        <v>117</v>
      </c>
      <c r="D1070" t="s">
        <v>90</v>
      </c>
      <c r="E1070" t="s">
        <v>266</v>
      </c>
      <c r="F1070" t="s">
        <v>169</v>
      </c>
      <c r="G1070" t="s">
        <v>92</v>
      </c>
      <c r="H1070">
        <v>57</v>
      </c>
      <c r="I1070">
        <v>39</v>
      </c>
      <c r="J1070">
        <v>146.15</v>
      </c>
      <c r="K1070" t="s">
        <v>245</v>
      </c>
      <c r="L1070">
        <v>70</v>
      </c>
      <c r="M1070">
        <v>4</v>
      </c>
      <c r="N1070">
        <v>0</v>
      </c>
      <c r="O1070">
        <v>26</v>
      </c>
      <c r="P1070">
        <v>2</v>
      </c>
      <c r="Q1070">
        <v>6.5</v>
      </c>
      <c r="R1070">
        <v>50</v>
      </c>
      <c r="S1070">
        <v>0</v>
      </c>
      <c r="T1070">
        <v>0</v>
      </c>
      <c r="U1070" s="8">
        <v>120</v>
      </c>
      <c r="V1070" s="8">
        <f t="shared" si="16"/>
        <v>10</v>
      </c>
    </row>
    <row r="1071" spans="1:22" x14ac:dyDescent="0.3">
      <c r="A1071" t="s">
        <v>466</v>
      </c>
      <c r="B1071">
        <v>3</v>
      </c>
      <c r="C1071" t="s">
        <v>115</v>
      </c>
      <c r="D1071" t="s">
        <v>17</v>
      </c>
      <c r="E1071" t="s">
        <v>266</v>
      </c>
      <c r="F1071" t="s">
        <v>169</v>
      </c>
      <c r="G1071" t="s">
        <v>134</v>
      </c>
      <c r="H1071">
        <v>4</v>
      </c>
      <c r="I1071">
        <v>2</v>
      </c>
      <c r="J1071">
        <v>200</v>
      </c>
      <c r="K1071" t="s">
        <v>247</v>
      </c>
      <c r="L1071">
        <v>5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 s="8">
        <v>5</v>
      </c>
      <c r="V1071" s="8">
        <f t="shared" si="16"/>
        <v>1</v>
      </c>
    </row>
    <row r="1072" spans="1:22" x14ac:dyDescent="0.3">
      <c r="A1072" t="s">
        <v>466</v>
      </c>
      <c r="B1072">
        <v>3</v>
      </c>
      <c r="C1072" t="s">
        <v>119</v>
      </c>
      <c r="D1072" t="s">
        <v>95</v>
      </c>
      <c r="E1072" t="s">
        <v>266</v>
      </c>
      <c r="F1072" t="s">
        <v>169</v>
      </c>
      <c r="G1072" t="s">
        <v>134</v>
      </c>
      <c r="H1072">
        <v>19</v>
      </c>
      <c r="I1072">
        <v>20</v>
      </c>
      <c r="J1072">
        <v>95</v>
      </c>
      <c r="K1072" t="s">
        <v>247</v>
      </c>
      <c r="L1072">
        <v>18</v>
      </c>
      <c r="M1072">
        <v>4</v>
      </c>
      <c r="N1072">
        <v>0</v>
      </c>
      <c r="O1072">
        <v>22</v>
      </c>
      <c r="P1072">
        <v>2</v>
      </c>
      <c r="Q1072">
        <v>5.5</v>
      </c>
      <c r="R1072">
        <v>50</v>
      </c>
      <c r="S1072">
        <v>0</v>
      </c>
      <c r="T1072">
        <v>0</v>
      </c>
      <c r="U1072" s="8">
        <v>68</v>
      </c>
      <c r="V1072" s="8">
        <f t="shared" si="16"/>
        <v>7</v>
      </c>
    </row>
    <row r="1073" spans="1:22" x14ac:dyDescent="0.3">
      <c r="A1073" t="s">
        <v>466</v>
      </c>
      <c r="B1073">
        <v>3</v>
      </c>
      <c r="C1073" t="s">
        <v>347</v>
      </c>
      <c r="D1073" t="s">
        <v>348</v>
      </c>
      <c r="E1073" t="s">
        <v>266</v>
      </c>
      <c r="F1073" t="s">
        <v>169</v>
      </c>
      <c r="G1073" t="s">
        <v>134</v>
      </c>
      <c r="H1073">
        <v>10</v>
      </c>
      <c r="I1073">
        <v>6</v>
      </c>
      <c r="J1073">
        <v>166.67</v>
      </c>
      <c r="K1073" t="s">
        <v>96</v>
      </c>
      <c r="L1073">
        <v>12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 s="8">
        <v>12</v>
      </c>
      <c r="V1073" s="8">
        <f t="shared" si="16"/>
        <v>1</v>
      </c>
    </row>
    <row r="1074" spans="1:22" x14ac:dyDescent="0.3">
      <c r="A1074" t="s">
        <v>466</v>
      </c>
      <c r="B1074">
        <v>3</v>
      </c>
      <c r="C1074" t="s">
        <v>510</v>
      </c>
      <c r="D1074" t="s">
        <v>538</v>
      </c>
      <c r="E1074" t="s">
        <v>266</v>
      </c>
      <c r="F1074" t="s">
        <v>85</v>
      </c>
      <c r="G1074" t="s">
        <v>134</v>
      </c>
      <c r="H1074">
        <v>4</v>
      </c>
      <c r="I1074">
        <v>1</v>
      </c>
      <c r="J1074">
        <v>400</v>
      </c>
      <c r="K1074" t="s">
        <v>96</v>
      </c>
      <c r="L1074">
        <v>8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 s="8">
        <v>8</v>
      </c>
      <c r="V1074" s="8">
        <f t="shared" si="16"/>
        <v>1</v>
      </c>
    </row>
    <row r="1075" spans="1:22" x14ac:dyDescent="0.3">
      <c r="A1075" t="s">
        <v>466</v>
      </c>
      <c r="B1075">
        <v>3</v>
      </c>
      <c r="C1075" t="s">
        <v>121</v>
      </c>
      <c r="D1075" t="s">
        <v>108</v>
      </c>
      <c r="E1075" t="s">
        <v>266</v>
      </c>
      <c r="F1075" t="s">
        <v>169</v>
      </c>
      <c r="G1075" t="s">
        <v>104</v>
      </c>
      <c r="H1075">
        <v>0</v>
      </c>
      <c r="I1075">
        <v>0</v>
      </c>
      <c r="J1075">
        <v>0</v>
      </c>
      <c r="K1075" t="s">
        <v>104</v>
      </c>
      <c r="L1075">
        <v>0</v>
      </c>
      <c r="M1075">
        <v>2</v>
      </c>
      <c r="N1075">
        <v>0</v>
      </c>
      <c r="O1075">
        <v>17</v>
      </c>
      <c r="P1075">
        <v>1</v>
      </c>
      <c r="Q1075">
        <v>8.5</v>
      </c>
      <c r="R1075">
        <v>25</v>
      </c>
      <c r="S1075">
        <v>0</v>
      </c>
      <c r="T1075">
        <v>0</v>
      </c>
      <c r="U1075" s="8">
        <v>25</v>
      </c>
      <c r="V1075" s="8">
        <f t="shared" si="16"/>
        <v>3</v>
      </c>
    </row>
    <row r="1076" spans="1:22" x14ac:dyDescent="0.3">
      <c r="A1076" t="s">
        <v>466</v>
      </c>
      <c r="B1076">
        <v>3</v>
      </c>
      <c r="C1076" t="s">
        <v>507</v>
      </c>
      <c r="D1076" t="s">
        <v>519</v>
      </c>
      <c r="E1076" t="s">
        <v>266</v>
      </c>
      <c r="F1076" t="s">
        <v>169</v>
      </c>
      <c r="G1076" t="s">
        <v>104</v>
      </c>
      <c r="H1076">
        <v>0</v>
      </c>
      <c r="I1076">
        <v>0</v>
      </c>
      <c r="J1076">
        <v>0</v>
      </c>
      <c r="K1076" t="s">
        <v>104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 s="8">
        <v>0</v>
      </c>
      <c r="V1076" s="8">
        <f t="shared" si="16"/>
        <v>0</v>
      </c>
    </row>
    <row r="1077" spans="1:22" x14ac:dyDescent="0.3">
      <c r="A1077" t="s">
        <v>466</v>
      </c>
      <c r="B1077">
        <v>3</v>
      </c>
      <c r="C1077" t="s">
        <v>265</v>
      </c>
      <c r="D1077" t="s">
        <v>264</v>
      </c>
      <c r="E1077" t="s">
        <v>266</v>
      </c>
      <c r="F1077" t="s">
        <v>101</v>
      </c>
      <c r="G1077" t="s">
        <v>104</v>
      </c>
      <c r="H1077">
        <v>0</v>
      </c>
      <c r="I1077">
        <v>0</v>
      </c>
      <c r="J1077">
        <v>0</v>
      </c>
      <c r="K1077" t="s">
        <v>104</v>
      </c>
      <c r="L1077">
        <v>0</v>
      </c>
      <c r="M1077">
        <v>4</v>
      </c>
      <c r="N1077">
        <v>1</v>
      </c>
      <c r="O1077">
        <v>17</v>
      </c>
      <c r="P1077">
        <v>1</v>
      </c>
      <c r="Q1077">
        <v>4.2</v>
      </c>
      <c r="R1077">
        <v>25</v>
      </c>
      <c r="S1077">
        <v>0</v>
      </c>
      <c r="T1077">
        <v>0</v>
      </c>
      <c r="U1077" s="8">
        <v>25</v>
      </c>
      <c r="V1077" s="8">
        <f t="shared" si="16"/>
        <v>3</v>
      </c>
    </row>
    <row r="1078" spans="1:22" x14ac:dyDescent="0.3">
      <c r="A1078" t="s">
        <v>466</v>
      </c>
      <c r="B1078">
        <v>3</v>
      </c>
      <c r="C1078" t="s">
        <v>511</v>
      </c>
      <c r="D1078" t="s">
        <v>539</v>
      </c>
      <c r="E1078" t="s">
        <v>266</v>
      </c>
      <c r="F1078" t="s">
        <v>101</v>
      </c>
      <c r="G1078" t="s">
        <v>104</v>
      </c>
      <c r="H1078">
        <v>0</v>
      </c>
      <c r="I1078">
        <v>0</v>
      </c>
      <c r="J1078">
        <v>0</v>
      </c>
      <c r="K1078" t="s">
        <v>104</v>
      </c>
      <c r="L1078">
        <v>0</v>
      </c>
      <c r="M1078">
        <v>2</v>
      </c>
      <c r="N1078">
        <v>0</v>
      </c>
      <c r="O1078">
        <v>20</v>
      </c>
      <c r="P1078">
        <v>0</v>
      </c>
      <c r="Q1078">
        <v>10</v>
      </c>
      <c r="R1078">
        <v>0</v>
      </c>
      <c r="S1078">
        <v>0</v>
      </c>
      <c r="T1078">
        <v>0</v>
      </c>
      <c r="U1078" s="8">
        <v>0</v>
      </c>
      <c r="V1078" s="8">
        <f t="shared" si="16"/>
        <v>0</v>
      </c>
    </row>
    <row r="1079" spans="1:22" x14ac:dyDescent="0.3">
      <c r="A1079" t="s">
        <v>467</v>
      </c>
      <c r="B1079">
        <v>3</v>
      </c>
      <c r="C1079" t="s">
        <v>229</v>
      </c>
      <c r="D1079" t="s">
        <v>230</v>
      </c>
      <c r="E1079" t="s">
        <v>219</v>
      </c>
      <c r="F1079" t="s">
        <v>109</v>
      </c>
      <c r="G1079" t="s">
        <v>86</v>
      </c>
      <c r="H1079">
        <v>51</v>
      </c>
      <c r="I1079">
        <v>27</v>
      </c>
      <c r="J1079">
        <v>188.89</v>
      </c>
      <c r="K1079" t="s">
        <v>246</v>
      </c>
      <c r="L1079">
        <v>60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 s="8">
        <v>60</v>
      </c>
      <c r="V1079" s="8">
        <f t="shared" si="16"/>
        <v>6</v>
      </c>
    </row>
    <row r="1080" spans="1:22" x14ac:dyDescent="0.3">
      <c r="A1080" t="s">
        <v>467</v>
      </c>
      <c r="B1080">
        <v>3</v>
      </c>
      <c r="C1080" t="s">
        <v>375</v>
      </c>
      <c r="D1080" t="s">
        <v>376</v>
      </c>
      <c r="E1080" t="s">
        <v>219</v>
      </c>
      <c r="F1080" t="s">
        <v>109</v>
      </c>
      <c r="G1080" t="s">
        <v>86</v>
      </c>
      <c r="H1080">
        <v>16</v>
      </c>
      <c r="I1080">
        <v>15</v>
      </c>
      <c r="J1080">
        <v>106.67</v>
      </c>
      <c r="K1080" t="s">
        <v>246</v>
      </c>
      <c r="L1080">
        <v>15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 s="8">
        <v>15</v>
      </c>
      <c r="V1080" s="8">
        <f t="shared" si="16"/>
        <v>2</v>
      </c>
    </row>
    <row r="1081" spans="1:22" x14ac:dyDescent="0.3">
      <c r="A1081" t="s">
        <v>467</v>
      </c>
      <c r="B1081">
        <v>3</v>
      </c>
      <c r="C1081" t="s">
        <v>442</v>
      </c>
      <c r="D1081" t="s">
        <v>443</v>
      </c>
      <c r="E1081" t="s">
        <v>219</v>
      </c>
      <c r="F1081" t="s">
        <v>85</v>
      </c>
      <c r="G1081" t="s">
        <v>92</v>
      </c>
      <c r="H1081">
        <v>0</v>
      </c>
      <c r="I1081">
        <v>0</v>
      </c>
      <c r="J1081">
        <v>0</v>
      </c>
      <c r="K1081" t="s">
        <v>104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 s="8">
        <v>0</v>
      </c>
      <c r="V1081" s="8">
        <f t="shared" si="16"/>
        <v>0</v>
      </c>
    </row>
    <row r="1082" spans="1:22" x14ac:dyDescent="0.3">
      <c r="A1082" t="s">
        <v>467</v>
      </c>
      <c r="B1082">
        <v>3</v>
      </c>
      <c r="C1082" t="s">
        <v>224</v>
      </c>
      <c r="D1082" t="s">
        <v>225</v>
      </c>
      <c r="E1082" t="s">
        <v>219</v>
      </c>
      <c r="F1082" t="s">
        <v>169</v>
      </c>
      <c r="G1082" t="s">
        <v>92</v>
      </c>
      <c r="H1082">
        <v>7</v>
      </c>
      <c r="I1082">
        <v>7</v>
      </c>
      <c r="J1082">
        <v>100</v>
      </c>
      <c r="K1082" t="s">
        <v>248</v>
      </c>
      <c r="L1082">
        <v>10</v>
      </c>
      <c r="M1082">
        <v>4</v>
      </c>
      <c r="N1082">
        <v>0</v>
      </c>
      <c r="O1082">
        <v>27</v>
      </c>
      <c r="P1082">
        <v>1</v>
      </c>
      <c r="Q1082">
        <v>6.8</v>
      </c>
      <c r="R1082">
        <v>25</v>
      </c>
      <c r="S1082">
        <v>0</v>
      </c>
      <c r="T1082">
        <v>0</v>
      </c>
      <c r="U1082" s="8">
        <v>35</v>
      </c>
      <c r="V1082" s="8">
        <f t="shared" si="16"/>
        <v>4</v>
      </c>
    </row>
    <row r="1083" spans="1:22" x14ac:dyDescent="0.3">
      <c r="A1083" t="s">
        <v>467</v>
      </c>
      <c r="B1083">
        <v>3</v>
      </c>
      <c r="C1083" t="s">
        <v>222</v>
      </c>
      <c r="D1083" t="s">
        <v>223</v>
      </c>
      <c r="E1083" t="s">
        <v>219</v>
      </c>
      <c r="F1083" t="s">
        <v>169</v>
      </c>
      <c r="G1083" t="s">
        <v>134</v>
      </c>
      <c r="H1083">
        <v>1</v>
      </c>
      <c r="I1083">
        <v>6</v>
      </c>
      <c r="J1083">
        <v>16.670000000000002</v>
      </c>
      <c r="K1083" t="s">
        <v>248</v>
      </c>
      <c r="L1083">
        <v>2</v>
      </c>
      <c r="M1083">
        <v>2.5</v>
      </c>
      <c r="N1083">
        <v>0</v>
      </c>
      <c r="O1083">
        <v>26</v>
      </c>
      <c r="P1083">
        <v>0</v>
      </c>
      <c r="Q1083">
        <v>9.1999999999999993</v>
      </c>
      <c r="R1083">
        <v>0</v>
      </c>
      <c r="S1083">
        <v>0</v>
      </c>
      <c r="T1083">
        <v>0</v>
      </c>
      <c r="U1083" s="8">
        <v>2</v>
      </c>
      <c r="V1083" s="8">
        <f t="shared" si="16"/>
        <v>0</v>
      </c>
    </row>
    <row r="1084" spans="1:22" x14ac:dyDescent="0.3">
      <c r="A1084" t="s">
        <v>467</v>
      </c>
      <c r="B1084">
        <v>3</v>
      </c>
      <c r="C1084" t="s">
        <v>226</v>
      </c>
      <c r="D1084" t="s">
        <v>211</v>
      </c>
      <c r="E1084" t="s">
        <v>219</v>
      </c>
      <c r="F1084" t="s">
        <v>169</v>
      </c>
      <c r="G1084" t="s">
        <v>134</v>
      </c>
      <c r="H1084">
        <v>12</v>
      </c>
      <c r="I1084">
        <v>14</v>
      </c>
      <c r="J1084">
        <v>85.71</v>
      </c>
      <c r="K1084" t="s">
        <v>246</v>
      </c>
      <c r="L1084">
        <v>12</v>
      </c>
      <c r="M1084">
        <v>2</v>
      </c>
      <c r="N1084">
        <v>0</v>
      </c>
      <c r="O1084">
        <v>11</v>
      </c>
      <c r="P1084">
        <v>1</v>
      </c>
      <c r="Q1084">
        <v>5.5</v>
      </c>
      <c r="R1084">
        <v>25</v>
      </c>
      <c r="S1084">
        <v>0</v>
      </c>
      <c r="T1084">
        <v>0</v>
      </c>
      <c r="U1084" s="8">
        <v>37</v>
      </c>
      <c r="V1084" s="8">
        <f t="shared" si="16"/>
        <v>4</v>
      </c>
    </row>
    <row r="1085" spans="1:22" x14ac:dyDescent="0.3">
      <c r="A1085" t="s">
        <v>467</v>
      </c>
      <c r="B1085">
        <v>3</v>
      </c>
      <c r="C1085" t="s">
        <v>512</v>
      </c>
      <c r="D1085" t="s">
        <v>542</v>
      </c>
      <c r="E1085" t="s">
        <v>219</v>
      </c>
      <c r="F1085" t="s">
        <v>169</v>
      </c>
      <c r="G1085" t="s">
        <v>134</v>
      </c>
      <c r="H1085">
        <v>33</v>
      </c>
      <c r="I1085">
        <v>15</v>
      </c>
      <c r="J1085">
        <v>220</v>
      </c>
      <c r="K1085" t="s">
        <v>96</v>
      </c>
      <c r="L1085">
        <v>45</v>
      </c>
      <c r="M1085">
        <v>3</v>
      </c>
      <c r="N1085">
        <v>0</v>
      </c>
      <c r="O1085">
        <v>26</v>
      </c>
      <c r="P1085">
        <v>0</v>
      </c>
      <c r="Q1085">
        <v>8.6999999999999993</v>
      </c>
      <c r="R1085">
        <v>0</v>
      </c>
      <c r="S1085">
        <v>0</v>
      </c>
      <c r="T1085">
        <v>0</v>
      </c>
      <c r="U1085" s="8">
        <v>45</v>
      </c>
      <c r="V1085" s="8">
        <f t="shared" si="16"/>
        <v>5</v>
      </c>
    </row>
    <row r="1086" spans="1:22" x14ac:dyDescent="0.3">
      <c r="A1086" t="s">
        <v>467</v>
      </c>
      <c r="B1086">
        <v>3</v>
      </c>
      <c r="C1086" t="s">
        <v>220</v>
      </c>
      <c r="D1086" t="s">
        <v>221</v>
      </c>
      <c r="E1086" t="s">
        <v>219</v>
      </c>
      <c r="F1086" t="s">
        <v>109</v>
      </c>
      <c r="G1086" t="s">
        <v>134</v>
      </c>
      <c r="H1086">
        <v>37</v>
      </c>
      <c r="I1086">
        <v>33</v>
      </c>
      <c r="J1086">
        <v>112.12</v>
      </c>
      <c r="K1086" t="s">
        <v>246</v>
      </c>
      <c r="L1086">
        <v>35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 s="8">
        <v>35</v>
      </c>
      <c r="V1086" s="8">
        <f t="shared" si="16"/>
        <v>4</v>
      </c>
    </row>
    <row r="1087" spans="1:22" x14ac:dyDescent="0.3">
      <c r="A1087" t="s">
        <v>467</v>
      </c>
      <c r="B1087">
        <v>3</v>
      </c>
      <c r="C1087" t="s">
        <v>233</v>
      </c>
      <c r="D1087" t="s">
        <v>234</v>
      </c>
      <c r="E1087" t="s">
        <v>219</v>
      </c>
      <c r="F1087" t="s">
        <v>101</v>
      </c>
      <c r="G1087" t="s">
        <v>134</v>
      </c>
      <c r="H1087">
        <v>2</v>
      </c>
      <c r="I1087">
        <v>3</v>
      </c>
      <c r="J1087">
        <v>66.67</v>
      </c>
      <c r="K1087" t="s">
        <v>256</v>
      </c>
      <c r="L1087">
        <v>2</v>
      </c>
      <c r="M1087">
        <v>4</v>
      </c>
      <c r="N1087">
        <v>0</v>
      </c>
      <c r="O1087">
        <v>31</v>
      </c>
      <c r="P1087">
        <v>1</v>
      </c>
      <c r="Q1087">
        <v>7.8</v>
      </c>
      <c r="R1087">
        <v>25</v>
      </c>
      <c r="S1087">
        <v>0</v>
      </c>
      <c r="T1087">
        <v>0</v>
      </c>
      <c r="U1087" s="8">
        <v>27</v>
      </c>
      <c r="V1087" s="8">
        <f t="shared" si="16"/>
        <v>3</v>
      </c>
    </row>
    <row r="1088" spans="1:22" x14ac:dyDescent="0.3">
      <c r="A1088" t="s">
        <v>467</v>
      </c>
      <c r="B1088">
        <v>3</v>
      </c>
      <c r="C1088" t="s">
        <v>509</v>
      </c>
      <c r="D1088" t="s">
        <v>523</v>
      </c>
      <c r="E1088" t="s">
        <v>219</v>
      </c>
      <c r="F1088" t="s">
        <v>169</v>
      </c>
      <c r="G1088" t="s">
        <v>104</v>
      </c>
      <c r="H1088">
        <v>0</v>
      </c>
      <c r="I1088">
        <v>0</v>
      </c>
      <c r="J1088">
        <v>0</v>
      </c>
      <c r="K1088" t="s">
        <v>104</v>
      </c>
      <c r="L1088">
        <v>0</v>
      </c>
      <c r="M1088">
        <v>2</v>
      </c>
      <c r="N1088">
        <v>0</v>
      </c>
      <c r="O1088">
        <v>22</v>
      </c>
      <c r="P1088">
        <v>0</v>
      </c>
      <c r="Q1088">
        <v>11</v>
      </c>
      <c r="R1088">
        <v>0</v>
      </c>
      <c r="S1088">
        <v>0</v>
      </c>
      <c r="T1088">
        <v>0</v>
      </c>
      <c r="U1088" s="8">
        <v>0</v>
      </c>
      <c r="V1088" s="8">
        <f t="shared" si="16"/>
        <v>0</v>
      </c>
    </row>
    <row r="1089" spans="1:22" x14ac:dyDescent="0.3">
      <c r="A1089" t="s">
        <v>467</v>
      </c>
      <c r="B1089">
        <v>3</v>
      </c>
      <c r="C1089" t="s">
        <v>237</v>
      </c>
      <c r="D1089" t="s">
        <v>238</v>
      </c>
      <c r="E1089" t="s">
        <v>219</v>
      </c>
      <c r="F1089" t="s">
        <v>101</v>
      </c>
      <c r="G1089" t="s">
        <v>104</v>
      </c>
      <c r="H1089">
        <v>0</v>
      </c>
      <c r="I1089">
        <v>0</v>
      </c>
      <c r="J1089">
        <v>0</v>
      </c>
      <c r="K1089" t="s">
        <v>104</v>
      </c>
      <c r="L1089">
        <v>0</v>
      </c>
      <c r="M1089">
        <v>2</v>
      </c>
      <c r="N1089">
        <v>0</v>
      </c>
      <c r="O1089">
        <v>24</v>
      </c>
      <c r="P1089">
        <v>0</v>
      </c>
      <c r="Q1089">
        <v>12</v>
      </c>
      <c r="R1089">
        <v>0</v>
      </c>
      <c r="S1089">
        <v>0</v>
      </c>
      <c r="T1089">
        <v>0</v>
      </c>
      <c r="U1089" s="8">
        <v>0</v>
      </c>
      <c r="V1089" s="8">
        <f t="shared" si="16"/>
        <v>0</v>
      </c>
    </row>
    <row r="1090" spans="1:22" x14ac:dyDescent="0.3">
      <c r="A1090" t="s">
        <v>467</v>
      </c>
      <c r="B1090">
        <v>3</v>
      </c>
      <c r="C1090" t="s">
        <v>188</v>
      </c>
      <c r="D1090" t="s">
        <v>189</v>
      </c>
      <c r="E1090" t="s">
        <v>158</v>
      </c>
      <c r="F1090" t="s">
        <v>109</v>
      </c>
      <c r="G1090" t="s">
        <v>86</v>
      </c>
      <c r="H1090">
        <v>26</v>
      </c>
      <c r="I1090">
        <v>16</v>
      </c>
      <c r="J1090">
        <v>162.5</v>
      </c>
      <c r="K1090" t="s">
        <v>246</v>
      </c>
      <c r="L1090">
        <v>30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 s="8">
        <v>30</v>
      </c>
      <c r="V1090" s="8">
        <f t="shared" si="16"/>
        <v>3</v>
      </c>
    </row>
    <row r="1091" spans="1:22" x14ac:dyDescent="0.3">
      <c r="A1091" t="s">
        <v>467</v>
      </c>
      <c r="B1091">
        <v>3</v>
      </c>
      <c r="C1091" t="s">
        <v>190</v>
      </c>
      <c r="D1091" t="s">
        <v>191</v>
      </c>
      <c r="E1091" t="s">
        <v>158</v>
      </c>
      <c r="F1091" t="s">
        <v>109</v>
      </c>
      <c r="G1091" t="s">
        <v>86</v>
      </c>
      <c r="H1091">
        <v>69</v>
      </c>
      <c r="I1091">
        <v>49</v>
      </c>
      <c r="J1091">
        <v>140.82</v>
      </c>
      <c r="K1091" t="s">
        <v>245</v>
      </c>
      <c r="L1091">
        <v>85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 s="8">
        <v>85</v>
      </c>
      <c r="V1091" s="8">
        <f t="shared" ref="V1091:V1154" si="17">MIN(10, MAX(0, ROUND(U1091/10,0)))</f>
        <v>9</v>
      </c>
    </row>
    <row r="1092" spans="1:22" x14ac:dyDescent="0.3">
      <c r="A1092" t="s">
        <v>467</v>
      </c>
      <c r="B1092">
        <v>3</v>
      </c>
      <c r="C1092" t="s">
        <v>194</v>
      </c>
      <c r="D1092" t="s">
        <v>195</v>
      </c>
      <c r="E1092" t="s">
        <v>158</v>
      </c>
      <c r="F1092" t="s">
        <v>109</v>
      </c>
      <c r="G1092" t="s">
        <v>92</v>
      </c>
      <c r="H1092">
        <v>0</v>
      </c>
      <c r="I1092">
        <v>2</v>
      </c>
      <c r="J1092">
        <v>0</v>
      </c>
      <c r="K1092" t="s">
        <v>246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 s="8">
        <v>0</v>
      </c>
      <c r="V1092" s="8">
        <f t="shared" si="17"/>
        <v>0</v>
      </c>
    </row>
    <row r="1093" spans="1:22" x14ac:dyDescent="0.3">
      <c r="A1093" t="s">
        <v>467</v>
      </c>
      <c r="B1093">
        <v>3</v>
      </c>
      <c r="C1093" t="s">
        <v>94</v>
      </c>
      <c r="D1093" t="s">
        <v>120</v>
      </c>
      <c r="E1093" t="s">
        <v>158</v>
      </c>
      <c r="F1093" t="s">
        <v>169</v>
      </c>
      <c r="G1093" t="s">
        <v>92</v>
      </c>
      <c r="H1093">
        <v>41</v>
      </c>
      <c r="I1093">
        <v>35</v>
      </c>
      <c r="J1093">
        <v>117.14</v>
      </c>
      <c r="K1093" t="s">
        <v>96</v>
      </c>
      <c r="L1093">
        <v>50</v>
      </c>
      <c r="M1093">
        <v>4</v>
      </c>
      <c r="N1093">
        <v>0</v>
      </c>
      <c r="O1093">
        <v>26</v>
      </c>
      <c r="P1093">
        <v>2</v>
      </c>
      <c r="Q1093">
        <v>6.5</v>
      </c>
      <c r="R1093">
        <v>50</v>
      </c>
      <c r="S1093">
        <v>0</v>
      </c>
      <c r="T1093">
        <v>0</v>
      </c>
      <c r="U1093" s="8">
        <v>100</v>
      </c>
      <c r="V1093" s="8">
        <f t="shared" si="17"/>
        <v>10</v>
      </c>
    </row>
    <row r="1094" spans="1:22" x14ac:dyDescent="0.3">
      <c r="A1094" t="s">
        <v>467</v>
      </c>
      <c r="B1094">
        <v>3</v>
      </c>
      <c r="C1094" t="s">
        <v>192</v>
      </c>
      <c r="D1094" t="s">
        <v>193</v>
      </c>
      <c r="E1094" t="s">
        <v>158</v>
      </c>
      <c r="F1094" t="s">
        <v>169</v>
      </c>
      <c r="G1094" t="s">
        <v>134</v>
      </c>
      <c r="H1094">
        <v>29</v>
      </c>
      <c r="I1094">
        <v>17</v>
      </c>
      <c r="J1094">
        <v>170.59</v>
      </c>
      <c r="K1094" t="s">
        <v>96</v>
      </c>
      <c r="L1094">
        <v>40</v>
      </c>
      <c r="M1094">
        <v>4</v>
      </c>
      <c r="N1094">
        <v>0</v>
      </c>
      <c r="O1094">
        <v>30</v>
      </c>
      <c r="P1094">
        <v>1</v>
      </c>
      <c r="Q1094">
        <v>7.5</v>
      </c>
      <c r="R1094">
        <v>25</v>
      </c>
      <c r="S1094">
        <v>0</v>
      </c>
      <c r="T1094">
        <v>0</v>
      </c>
      <c r="U1094" s="8">
        <v>65</v>
      </c>
      <c r="V1094" s="8">
        <f t="shared" si="17"/>
        <v>7</v>
      </c>
    </row>
    <row r="1095" spans="1:22" x14ac:dyDescent="0.3">
      <c r="A1095" t="s">
        <v>467</v>
      </c>
      <c r="B1095">
        <v>3</v>
      </c>
      <c r="C1095" t="s">
        <v>495</v>
      </c>
      <c r="D1095" t="s">
        <v>503</v>
      </c>
      <c r="E1095" t="s">
        <v>158</v>
      </c>
      <c r="F1095" t="s">
        <v>169</v>
      </c>
      <c r="G1095" t="s">
        <v>104</v>
      </c>
      <c r="H1095">
        <v>0</v>
      </c>
      <c r="I1095">
        <v>0</v>
      </c>
      <c r="J1095">
        <v>0</v>
      </c>
      <c r="K1095" t="s">
        <v>104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 s="8">
        <v>0</v>
      </c>
      <c r="V1095" s="8">
        <f t="shared" si="17"/>
        <v>0</v>
      </c>
    </row>
    <row r="1096" spans="1:22" x14ac:dyDescent="0.3">
      <c r="A1096" t="s">
        <v>467</v>
      </c>
      <c r="B1096">
        <v>3</v>
      </c>
      <c r="C1096" t="s">
        <v>496</v>
      </c>
      <c r="D1096" t="s">
        <v>518</v>
      </c>
      <c r="E1096" t="s">
        <v>158</v>
      </c>
      <c r="F1096" t="s">
        <v>85</v>
      </c>
      <c r="G1096" t="s">
        <v>104</v>
      </c>
      <c r="H1096">
        <v>0</v>
      </c>
      <c r="I1096">
        <v>0</v>
      </c>
      <c r="J1096">
        <v>0</v>
      </c>
      <c r="K1096" t="s">
        <v>104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 s="8">
        <v>0</v>
      </c>
      <c r="V1096" s="8">
        <f t="shared" si="17"/>
        <v>0</v>
      </c>
    </row>
    <row r="1097" spans="1:22" x14ac:dyDescent="0.3">
      <c r="A1097" t="s">
        <v>467</v>
      </c>
      <c r="B1097">
        <v>3</v>
      </c>
      <c r="C1097" t="s">
        <v>198</v>
      </c>
      <c r="D1097" t="s">
        <v>199</v>
      </c>
      <c r="E1097" t="s">
        <v>158</v>
      </c>
      <c r="F1097" t="s">
        <v>101</v>
      </c>
      <c r="G1097" t="s">
        <v>104</v>
      </c>
      <c r="H1097">
        <v>0</v>
      </c>
      <c r="I1097">
        <v>0</v>
      </c>
      <c r="J1097">
        <v>0</v>
      </c>
      <c r="K1097" t="s">
        <v>104</v>
      </c>
      <c r="L1097">
        <v>0</v>
      </c>
      <c r="M1097">
        <v>4</v>
      </c>
      <c r="N1097">
        <v>0</v>
      </c>
      <c r="O1097">
        <v>21</v>
      </c>
      <c r="P1097">
        <v>1</v>
      </c>
      <c r="Q1097">
        <v>5.2</v>
      </c>
      <c r="R1097">
        <v>25</v>
      </c>
      <c r="S1097">
        <v>0</v>
      </c>
      <c r="T1097">
        <v>0</v>
      </c>
      <c r="U1097" s="8">
        <v>25</v>
      </c>
      <c r="V1097" s="8">
        <f t="shared" si="17"/>
        <v>3</v>
      </c>
    </row>
    <row r="1098" spans="1:22" x14ac:dyDescent="0.3">
      <c r="A1098" t="s">
        <v>467</v>
      </c>
      <c r="B1098">
        <v>3</v>
      </c>
      <c r="C1098" t="s">
        <v>204</v>
      </c>
      <c r="D1098" t="s">
        <v>205</v>
      </c>
      <c r="E1098" t="s">
        <v>158</v>
      </c>
      <c r="F1098" t="s">
        <v>169</v>
      </c>
      <c r="G1098" t="s">
        <v>104</v>
      </c>
      <c r="H1098">
        <v>0</v>
      </c>
      <c r="I1098">
        <v>0</v>
      </c>
      <c r="J1098">
        <v>0</v>
      </c>
      <c r="K1098" t="s">
        <v>104</v>
      </c>
      <c r="L1098">
        <v>0</v>
      </c>
      <c r="M1098">
        <v>3</v>
      </c>
      <c r="N1098">
        <v>0</v>
      </c>
      <c r="O1098">
        <v>43</v>
      </c>
      <c r="P1098">
        <v>0</v>
      </c>
      <c r="Q1098">
        <v>14.3</v>
      </c>
      <c r="R1098">
        <v>0</v>
      </c>
      <c r="S1098">
        <v>0</v>
      </c>
      <c r="T1098">
        <v>0</v>
      </c>
      <c r="U1098" s="8">
        <v>0</v>
      </c>
      <c r="V1098" s="8">
        <f t="shared" si="17"/>
        <v>0</v>
      </c>
    </row>
    <row r="1099" spans="1:22" x14ac:dyDescent="0.3">
      <c r="A1099" t="s">
        <v>467</v>
      </c>
      <c r="B1099">
        <v>3</v>
      </c>
      <c r="C1099" t="s">
        <v>202</v>
      </c>
      <c r="D1099" t="s">
        <v>203</v>
      </c>
      <c r="E1099" t="s">
        <v>158</v>
      </c>
      <c r="F1099" t="s">
        <v>101</v>
      </c>
      <c r="G1099" t="s">
        <v>104</v>
      </c>
      <c r="H1099">
        <v>0</v>
      </c>
      <c r="I1099">
        <v>0</v>
      </c>
      <c r="J1099">
        <v>0</v>
      </c>
      <c r="K1099" t="s">
        <v>104</v>
      </c>
      <c r="L1099">
        <v>0</v>
      </c>
      <c r="M1099">
        <v>3</v>
      </c>
      <c r="N1099">
        <v>0</v>
      </c>
      <c r="O1099">
        <v>26</v>
      </c>
      <c r="P1099">
        <v>1</v>
      </c>
      <c r="Q1099">
        <v>8.6999999999999993</v>
      </c>
      <c r="R1099">
        <v>25</v>
      </c>
      <c r="S1099">
        <v>0</v>
      </c>
      <c r="T1099">
        <v>0</v>
      </c>
      <c r="U1099" s="8">
        <v>25</v>
      </c>
      <c r="V1099" s="8">
        <f t="shared" si="17"/>
        <v>3</v>
      </c>
    </row>
    <row r="1100" spans="1:22" x14ac:dyDescent="0.3">
      <c r="A1100" t="s">
        <v>467</v>
      </c>
      <c r="B1100">
        <v>3</v>
      </c>
      <c r="C1100" t="s">
        <v>274</v>
      </c>
      <c r="D1100" t="s">
        <v>284</v>
      </c>
      <c r="E1100" t="s">
        <v>158</v>
      </c>
      <c r="F1100" t="s">
        <v>169</v>
      </c>
      <c r="G1100" t="s">
        <v>104</v>
      </c>
      <c r="H1100">
        <v>0</v>
      </c>
      <c r="I1100">
        <v>0</v>
      </c>
      <c r="J1100">
        <v>0</v>
      </c>
      <c r="K1100" t="s">
        <v>104</v>
      </c>
      <c r="L1100">
        <v>0</v>
      </c>
      <c r="M1100">
        <v>2</v>
      </c>
      <c r="N1100">
        <v>0</v>
      </c>
      <c r="O1100">
        <v>16</v>
      </c>
      <c r="P1100">
        <v>1</v>
      </c>
      <c r="Q1100">
        <v>8</v>
      </c>
      <c r="R1100">
        <v>25</v>
      </c>
      <c r="S1100">
        <v>0</v>
      </c>
      <c r="T1100">
        <v>0</v>
      </c>
      <c r="U1100" s="8">
        <v>25</v>
      </c>
      <c r="V1100" s="8">
        <f t="shared" si="17"/>
        <v>3</v>
      </c>
    </row>
    <row r="1101" spans="1:22" x14ac:dyDescent="0.3">
      <c r="A1101" t="s">
        <v>468</v>
      </c>
      <c r="B1101">
        <v>3</v>
      </c>
      <c r="C1101" t="s">
        <v>165</v>
      </c>
      <c r="D1101" t="s">
        <v>166</v>
      </c>
      <c r="E1101" t="s">
        <v>159</v>
      </c>
      <c r="F1101" t="s">
        <v>109</v>
      </c>
      <c r="G1101" t="s">
        <v>86</v>
      </c>
      <c r="H1101">
        <v>26</v>
      </c>
      <c r="I1101">
        <v>13</v>
      </c>
      <c r="J1101">
        <v>200</v>
      </c>
      <c r="K1101" t="s">
        <v>246</v>
      </c>
      <c r="L1101">
        <v>30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 s="8">
        <v>30</v>
      </c>
      <c r="V1101" s="8">
        <f t="shared" si="17"/>
        <v>3</v>
      </c>
    </row>
    <row r="1102" spans="1:22" x14ac:dyDescent="0.3">
      <c r="A1102" t="s">
        <v>468</v>
      </c>
      <c r="B1102">
        <v>3</v>
      </c>
      <c r="C1102" t="s">
        <v>489</v>
      </c>
      <c r="D1102" t="s">
        <v>488</v>
      </c>
      <c r="E1102" t="s">
        <v>159</v>
      </c>
      <c r="F1102" t="s">
        <v>109</v>
      </c>
      <c r="G1102" t="s">
        <v>86</v>
      </c>
      <c r="H1102">
        <v>9</v>
      </c>
      <c r="I1102">
        <v>9</v>
      </c>
      <c r="J1102">
        <v>100</v>
      </c>
      <c r="K1102" t="s">
        <v>246</v>
      </c>
      <c r="L1102">
        <v>8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 s="8">
        <v>8</v>
      </c>
      <c r="V1102" s="8">
        <f t="shared" si="17"/>
        <v>1</v>
      </c>
    </row>
    <row r="1103" spans="1:22" x14ac:dyDescent="0.3">
      <c r="A1103" t="s">
        <v>468</v>
      </c>
      <c r="B1103">
        <v>3</v>
      </c>
      <c r="C1103" t="s">
        <v>174</v>
      </c>
      <c r="D1103" t="s">
        <v>175</v>
      </c>
      <c r="E1103" t="s">
        <v>159</v>
      </c>
      <c r="F1103" t="s">
        <v>169</v>
      </c>
      <c r="G1103" t="s">
        <v>92</v>
      </c>
      <c r="H1103">
        <v>81</v>
      </c>
      <c r="I1103">
        <v>43</v>
      </c>
      <c r="J1103">
        <v>188.37</v>
      </c>
      <c r="K1103" t="s">
        <v>246</v>
      </c>
      <c r="L1103">
        <v>95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 s="8">
        <v>95</v>
      </c>
      <c r="V1103" s="8">
        <f t="shared" si="17"/>
        <v>10</v>
      </c>
    </row>
    <row r="1104" spans="1:22" x14ac:dyDescent="0.3">
      <c r="A1104" t="s">
        <v>468</v>
      </c>
      <c r="B1104">
        <v>3</v>
      </c>
      <c r="C1104" t="s">
        <v>490</v>
      </c>
      <c r="D1104" t="s">
        <v>497</v>
      </c>
      <c r="E1104" t="s">
        <v>159</v>
      </c>
      <c r="F1104" t="s">
        <v>169</v>
      </c>
      <c r="G1104" t="s">
        <v>92</v>
      </c>
      <c r="H1104">
        <v>1</v>
      </c>
      <c r="I1104">
        <v>3</v>
      </c>
      <c r="J1104">
        <v>33.33</v>
      </c>
      <c r="K1104" t="s">
        <v>246</v>
      </c>
      <c r="L1104">
        <v>1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 s="8">
        <v>1</v>
      </c>
      <c r="V1104" s="8">
        <f t="shared" si="17"/>
        <v>0</v>
      </c>
    </row>
    <row r="1105" spans="1:22" x14ac:dyDescent="0.3">
      <c r="A1105" t="s">
        <v>468</v>
      </c>
      <c r="B1105">
        <v>3</v>
      </c>
      <c r="C1105" t="s">
        <v>178</v>
      </c>
      <c r="D1105" t="s">
        <v>179</v>
      </c>
      <c r="E1105" t="s">
        <v>159</v>
      </c>
      <c r="F1105" t="s">
        <v>169</v>
      </c>
      <c r="G1105" t="s">
        <v>134</v>
      </c>
      <c r="H1105">
        <v>3</v>
      </c>
      <c r="I1105">
        <v>9</v>
      </c>
      <c r="J1105">
        <v>33.33</v>
      </c>
      <c r="K1105" t="s">
        <v>245</v>
      </c>
      <c r="L1105">
        <v>3</v>
      </c>
      <c r="M1105">
        <v>2</v>
      </c>
      <c r="N1105">
        <v>0</v>
      </c>
      <c r="O1105">
        <v>28</v>
      </c>
      <c r="P1105">
        <v>0</v>
      </c>
      <c r="Q1105">
        <v>14</v>
      </c>
      <c r="R1105">
        <v>0</v>
      </c>
      <c r="S1105">
        <v>0</v>
      </c>
      <c r="T1105">
        <v>0</v>
      </c>
      <c r="U1105" s="8">
        <v>3</v>
      </c>
      <c r="V1105" s="8">
        <f t="shared" si="17"/>
        <v>0</v>
      </c>
    </row>
    <row r="1106" spans="1:22" x14ac:dyDescent="0.3">
      <c r="A1106" t="s">
        <v>468</v>
      </c>
      <c r="B1106">
        <v>3</v>
      </c>
      <c r="C1106" t="s">
        <v>176</v>
      </c>
      <c r="D1106" t="s">
        <v>177</v>
      </c>
      <c r="E1106" t="s">
        <v>159</v>
      </c>
      <c r="F1106" t="s">
        <v>85</v>
      </c>
      <c r="G1106" t="s">
        <v>134</v>
      </c>
      <c r="H1106">
        <v>28</v>
      </c>
      <c r="I1106">
        <v>25</v>
      </c>
      <c r="J1106">
        <v>112</v>
      </c>
      <c r="K1106" t="s">
        <v>245</v>
      </c>
      <c r="L1106">
        <v>30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 s="8">
        <v>30</v>
      </c>
      <c r="V1106" s="8">
        <f t="shared" si="17"/>
        <v>3</v>
      </c>
    </row>
    <row r="1107" spans="1:22" x14ac:dyDescent="0.3">
      <c r="A1107" t="s">
        <v>468</v>
      </c>
      <c r="B1107">
        <v>3</v>
      </c>
      <c r="C1107" t="s">
        <v>99</v>
      </c>
      <c r="D1107" t="s">
        <v>124</v>
      </c>
      <c r="E1107" t="s">
        <v>159</v>
      </c>
      <c r="F1107" t="s">
        <v>169</v>
      </c>
      <c r="G1107" t="s">
        <v>134</v>
      </c>
      <c r="H1107">
        <v>6</v>
      </c>
      <c r="I1107">
        <v>7</v>
      </c>
      <c r="J1107">
        <v>85.71</v>
      </c>
      <c r="K1107" t="s">
        <v>246</v>
      </c>
      <c r="L1107">
        <v>8</v>
      </c>
      <c r="M1107">
        <v>4</v>
      </c>
      <c r="N1107">
        <v>1</v>
      </c>
      <c r="O1107">
        <v>21</v>
      </c>
      <c r="P1107">
        <v>3</v>
      </c>
      <c r="Q1107">
        <v>5.2</v>
      </c>
      <c r="R1107">
        <v>75</v>
      </c>
      <c r="S1107">
        <v>0</v>
      </c>
      <c r="T1107">
        <v>0</v>
      </c>
      <c r="U1107" s="8">
        <v>83</v>
      </c>
      <c r="V1107" s="8">
        <f t="shared" si="17"/>
        <v>8</v>
      </c>
    </row>
    <row r="1108" spans="1:22" x14ac:dyDescent="0.3">
      <c r="A1108" t="s">
        <v>468</v>
      </c>
      <c r="B1108">
        <v>3</v>
      </c>
      <c r="C1108" t="s">
        <v>242</v>
      </c>
      <c r="D1108" t="s">
        <v>244</v>
      </c>
      <c r="E1108" t="s">
        <v>159</v>
      </c>
      <c r="F1108" t="s">
        <v>101</v>
      </c>
      <c r="G1108" t="s">
        <v>134</v>
      </c>
      <c r="H1108">
        <v>8</v>
      </c>
      <c r="I1108">
        <v>10</v>
      </c>
      <c r="J1108">
        <v>80</v>
      </c>
      <c r="K1108" t="s">
        <v>96</v>
      </c>
      <c r="L1108">
        <v>10</v>
      </c>
      <c r="M1108">
        <v>4</v>
      </c>
      <c r="N1108">
        <v>0</v>
      </c>
      <c r="O1108">
        <v>30</v>
      </c>
      <c r="P1108">
        <v>2</v>
      </c>
      <c r="Q1108">
        <v>7.5</v>
      </c>
      <c r="R1108">
        <v>50</v>
      </c>
      <c r="S1108">
        <v>0</v>
      </c>
      <c r="T1108">
        <v>0</v>
      </c>
      <c r="U1108" s="8">
        <v>60</v>
      </c>
      <c r="V1108" s="8">
        <f t="shared" si="17"/>
        <v>6</v>
      </c>
    </row>
    <row r="1109" spans="1:22" x14ac:dyDescent="0.3">
      <c r="A1109" t="s">
        <v>468</v>
      </c>
      <c r="B1109">
        <v>3</v>
      </c>
      <c r="C1109" t="s">
        <v>429</v>
      </c>
      <c r="D1109" t="s">
        <v>430</v>
      </c>
      <c r="E1109" t="s">
        <v>159</v>
      </c>
      <c r="F1109" t="s">
        <v>101</v>
      </c>
      <c r="G1109" t="s">
        <v>134</v>
      </c>
      <c r="H1109">
        <v>2</v>
      </c>
      <c r="I1109">
        <v>1</v>
      </c>
      <c r="J1109">
        <v>200</v>
      </c>
      <c r="K1109" t="s">
        <v>96</v>
      </c>
      <c r="L1109">
        <v>5</v>
      </c>
      <c r="M1109">
        <v>3.5</v>
      </c>
      <c r="N1109">
        <v>0</v>
      </c>
      <c r="O1109">
        <v>37</v>
      </c>
      <c r="P1109">
        <v>1</v>
      </c>
      <c r="Q1109">
        <v>9.6999999999999993</v>
      </c>
      <c r="R1109">
        <v>25</v>
      </c>
      <c r="S1109">
        <v>0</v>
      </c>
      <c r="T1109">
        <v>0</v>
      </c>
      <c r="U1109" s="8">
        <v>30</v>
      </c>
      <c r="V1109" s="8">
        <f t="shared" si="17"/>
        <v>3</v>
      </c>
    </row>
    <row r="1110" spans="1:22" x14ac:dyDescent="0.3">
      <c r="A1110" t="s">
        <v>468</v>
      </c>
      <c r="B1110">
        <v>3</v>
      </c>
      <c r="C1110" t="s">
        <v>492</v>
      </c>
      <c r="D1110" t="s">
        <v>499</v>
      </c>
      <c r="E1110" t="s">
        <v>159</v>
      </c>
      <c r="F1110" t="s">
        <v>169</v>
      </c>
      <c r="G1110" t="s">
        <v>104</v>
      </c>
      <c r="H1110">
        <v>0</v>
      </c>
      <c r="I1110">
        <v>0</v>
      </c>
      <c r="J1110">
        <v>0</v>
      </c>
      <c r="K1110" t="s">
        <v>104</v>
      </c>
      <c r="L1110">
        <v>0</v>
      </c>
      <c r="M1110">
        <v>2</v>
      </c>
      <c r="N1110">
        <v>0</v>
      </c>
      <c r="O1110">
        <v>19</v>
      </c>
      <c r="P1110">
        <v>0</v>
      </c>
      <c r="Q1110">
        <v>9.5</v>
      </c>
      <c r="R1110">
        <v>0</v>
      </c>
      <c r="S1110">
        <v>0</v>
      </c>
      <c r="T1110">
        <v>0</v>
      </c>
      <c r="U1110" s="8">
        <v>0</v>
      </c>
      <c r="V1110" s="8">
        <f t="shared" si="17"/>
        <v>0</v>
      </c>
    </row>
    <row r="1111" spans="1:22" x14ac:dyDescent="0.3">
      <c r="A1111" t="s">
        <v>468</v>
      </c>
      <c r="B1111">
        <v>3</v>
      </c>
      <c r="C1111" t="s">
        <v>186</v>
      </c>
      <c r="D1111" t="s">
        <v>187</v>
      </c>
      <c r="E1111" t="s">
        <v>159</v>
      </c>
      <c r="F1111" t="s">
        <v>101</v>
      </c>
      <c r="G1111" t="s">
        <v>104</v>
      </c>
      <c r="H1111">
        <v>0</v>
      </c>
      <c r="I1111">
        <v>0</v>
      </c>
      <c r="J1111">
        <v>0</v>
      </c>
      <c r="K1111" t="s">
        <v>104</v>
      </c>
      <c r="L1111">
        <v>0</v>
      </c>
      <c r="M1111">
        <v>4</v>
      </c>
      <c r="N1111">
        <v>0</v>
      </c>
      <c r="O1111">
        <v>35</v>
      </c>
      <c r="P1111">
        <v>0</v>
      </c>
      <c r="Q1111">
        <v>8.8000000000000007</v>
      </c>
      <c r="R1111">
        <v>0</v>
      </c>
      <c r="S1111">
        <v>0</v>
      </c>
      <c r="T1111">
        <v>0</v>
      </c>
      <c r="U1111" s="8">
        <v>0</v>
      </c>
      <c r="V1111" s="8">
        <f t="shared" si="17"/>
        <v>0</v>
      </c>
    </row>
    <row r="1112" spans="1:22" x14ac:dyDescent="0.3">
      <c r="A1112" t="s">
        <v>468</v>
      </c>
      <c r="B1112">
        <v>3</v>
      </c>
      <c r="C1112" t="s">
        <v>113</v>
      </c>
      <c r="D1112" t="s">
        <v>84</v>
      </c>
      <c r="E1112" t="s">
        <v>266</v>
      </c>
      <c r="F1112" t="s">
        <v>85</v>
      </c>
      <c r="G1112" t="s">
        <v>86</v>
      </c>
      <c r="H1112">
        <v>8</v>
      </c>
      <c r="I1112">
        <v>8</v>
      </c>
      <c r="J1112">
        <v>100</v>
      </c>
      <c r="K1112" t="s">
        <v>247</v>
      </c>
      <c r="L1112">
        <v>6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 s="8">
        <v>6</v>
      </c>
      <c r="V1112" s="8">
        <f t="shared" si="17"/>
        <v>1</v>
      </c>
    </row>
    <row r="1113" spans="1:22" x14ac:dyDescent="0.3">
      <c r="A1113" t="s">
        <v>468</v>
      </c>
      <c r="B1113">
        <v>3</v>
      </c>
      <c r="C1113" t="s">
        <v>112</v>
      </c>
      <c r="D1113" t="s">
        <v>88</v>
      </c>
      <c r="E1113" t="s">
        <v>266</v>
      </c>
      <c r="F1113" t="s">
        <v>169</v>
      </c>
      <c r="G1113" t="s">
        <v>86</v>
      </c>
      <c r="H1113">
        <v>15</v>
      </c>
      <c r="I1113">
        <v>10</v>
      </c>
      <c r="J1113">
        <v>150</v>
      </c>
      <c r="K1113" t="s">
        <v>247</v>
      </c>
      <c r="L1113">
        <v>18</v>
      </c>
      <c r="M1113">
        <v>4</v>
      </c>
      <c r="N1113">
        <v>0</v>
      </c>
      <c r="O1113">
        <v>37</v>
      </c>
      <c r="P1113">
        <v>1</v>
      </c>
      <c r="Q1113">
        <v>9.1999999999999993</v>
      </c>
      <c r="R1113">
        <v>25</v>
      </c>
      <c r="S1113">
        <v>0</v>
      </c>
      <c r="T1113">
        <v>0</v>
      </c>
      <c r="U1113" s="8">
        <v>43</v>
      </c>
      <c r="V1113" s="8">
        <f t="shared" si="17"/>
        <v>4</v>
      </c>
    </row>
    <row r="1114" spans="1:22" x14ac:dyDescent="0.3">
      <c r="A1114" t="s">
        <v>468</v>
      </c>
      <c r="B1114">
        <v>3</v>
      </c>
      <c r="C1114" t="s">
        <v>117</v>
      </c>
      <c r="D1114" t="s">
        <v>90</v>
      </c>
      <c r="E1114" t="s">
        <v>266</v>
      </c>
      <c r="F1114" t="s">
        <v>169</v>
      </c>
      <c r="G1114" t="s">
        <v>92</v>
      </c>
      <c r="H1114">
        <v>42</v>
      </c>
      <c r="I1114">
        <v>21</v>
      </c>
      <c r="J1114">
        <v>200</v>
      </c>
      <c r="K1114" t="s">
        <v>245</v>
      </c>
      <c r="L1114">
        <v>55</v>
      </c>
      <c r="M1114">
        <v>4</v>
      </c>
      <c r="N1114">
        <v>0</v>
      </c>
      <c r="O1114">
        <v>40</v>
      </c>
      <c r="P1114">
        <v>1</v>
      </c>
      <c r="Q1114">
        <v>10</v>
      </c>
      <c r="R1114">
        <v>25</v>
      </c>
      <c r="S1114">
        <v>0</v>
      </c>
      <c r="T1114">
        <v>0</v>
      </c>
      <c r="U1114" s="8">
        <v>80</v>
      </c>
      <c r="V1114" s="8">
        <f t="shared" si="17"/>
        <v>8</v>
      </c>
    </row>
    <row r="1115" spans="1:22" x14ac:dyDescent="0.3">
      <c r="A1115" t="s">
        <v>468</v>
      </c>
      <c r="B1115">
        <v>3</v>
      </c>
      <c r="C1115" t="s">
        <v>115</v>
      </c>
      <c r="D1115" t="s">
        <v>17</v>
      </c>
      <c r="E1115" t="s">
        <v>266</v>
      </c>
      <c r="F1115" t="s">
        <v>169</v>
      </c>
      <c r="G1115" t="s">
        <v>134</v>
      </c>
      <c r="H1115">
        <v>50</v>
      </c>
      <c r="I1115">
        <v>38</v>
      </c>
      <c r="J1115">
        <v>131.58000000000001</v>
      </c>
      <c r="K1115" t="s">
        <v>246</v>
      </c>
      <c r="L1115">
        <v>60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 s="8">
        <v>60</v>
      </c>
      <c r="V1115" s="8">
        <f t="shared" si="17"/>
        <v>6</v>
      </c>
    </row>
    <row r="1116" spans="1:22" x14ac:dyDescent="0.3">
      <c r="A1116" t="s">
        <v>468</v>
      </c>
      <c r="B1116">
        <v>3</v>
      </c>
      <c r="C1116" t="s">
        <v>119</v>
      </c>
      <c r="D1116" t="s">
        <v>95</v>
      </c>
      <c r="E1116" t="s">
        <v>266</v>
      </c>
      <c r="F1116" t="s">
        <v>169</v>
      </c>
      <c r="G1116" t="s">
        <v>134</v>
      </c>
      <c r="H1116">
        <v>2</v>
      </c>
      <c r="I1116">
        <v>6</v>
      </c>
      <c r="J1116">
        <v>33.33</v>
      </c>
      <c r="K1116" t="s">
        <v>246</v>
      </c>
      <c r="L1116">
        <v>2</v>
      </c>
      <c r="M1116">
        <v>4</v>
      </c>
      <c r="N1116">
        <v>0</v>
      </c>
      <c r="O1116">
        <v>28</v>
      </c>
      <c r="P1116">
        <v>0</v>
      </c>
      <c r="Q1116">
        <v>7</v>
      </c>
      <c r="R1116">
        <v>0</v>
      </c>
      <c r="S1116">
        <v>0</v>
      </c>
      <c r="T1116">
        <v>0</v>
      </c>
      <c r="U1116" s="8">
        <v>2</v>
      </c>
      <c r="V1116" s="8">
        <f t="shared" si="17"/>
        <v>0</v>
      </c>
    </row>
    <row r="1117" spans="1:22" x14ac:dyDescent="0.3">
      <c r="A1117" t="s">
        <v>468</v>
      </c>
      <c r="B1117">
        <v>3</v>
      </c>
      <c r="C1117" t="s">
        <v>121</v>
      </c>
      <c r="D1117" t="s">
        <v>108</v>
      </c>
      <c r="E1117" t="s">
        <v>266</v>
      </c>
      <c r="F1117" t="s">
        <v>169</v>
      </c>
      <c r="G1117" t="s">
        <v>134</v>
      </c>
      <c r="H1117">
        <v>34</v>
      </c>
      <c r="I1117">
        <v>27</v>
      </c>
      <c r="J1117">
        <v>125.93</v>
      </c>
      <c r="K1117" t="s">
        <v>96</v>
      </c>
      <c r="L1117">
        <v>40</v>
      </c>
      <c r="M1117">
        <v>3</v>
      </c>
      <c r="N1117">
        <v>0</v>
      </c>
      <c r="O1117">
        <v>22</v>
      </c>
      <c r="P1117">
        <v>3</v>
      </c>
      <c r="Q1117">
        <v>7.3</v>
      </c>
      <c r="R1117">
        <v>75</v>
      </c>
      <c r="S1117">
        <v>0</v>
      </c>
      <c r="T1117">
        <v>0</v>
      </c>
      <c r="U1117" s="8">
        <v>115</v>
      </c>
      <c r="V1117" s="8">
        <f t="shared" si="17"/>
        <v>10</v>
      </c>
    </row>
    <row r="1118" spans="1:22" x14ac:dyDescent="0.3">
      <c r="A1118" t="s">
        <v>468</v>
      </c>
      <c r="B1118">
        <v>3</v>
      </c>
      <c r="C1118" t="s">
        <v>347</v>
      </c>
      <c r="D1118" t="s">
        <v>348</v>
      </c>
      <c r="E1118" t="s">
        <v>266</v>
      </c>
      <c r="F1118" t="s">
        <v>169</v>
      </c>
      <c r="G1118" t="s">
        <v>134</v>
      </c>
      <c r="H1118">
        <v>0</v>
      </c>
      <c r="I1118">
        <v>1</v>
      </c>
      <c r="J1118">
        <v>0</v>
      </c>
      <c r="K1118" t="s">
        <v>247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 s="8">
        <v>0</v>
      </c>
      <c r="V1118" s="8">
        <f t="shared" si="17"/>
        <v>0</v>
      </c>
    </row>
    <row r="1119" spans="1:22" x14ac:dyDescent="0.3">
      <c r="A1119" t="s">
        <v>468</v>
      </c>
      <c r="B1119">
        <v>3</v>
      </c>
      <c r="C1119" t="s">
        <v>510</v>
      </c>
      <c r="D1119" t="s">
        <v>538</v>
      </c>
      <c r="E1119" t="s">
        <v>266</v>
      </c>
      <c r="F1119" t="s">
        <v>85</v>
      </c>
      <c r="G1119" t="s">
        <v>134</v>
      </c>
      <c r="H1119">
        <v>11</v>
      </c>
      <c r="I1119">
        <v>8</v>
      </c>
      <c r="J1119">
        <v>137.5</v>
      </c>
      <c r="K1119" t="s">
        <v>96</v>
      </c>
      <c r="L1119">
        <v>15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 s="8">
        <v>15</v>
      </c>
      <c r="V1119" s="8">
        <f t="shared" si="17"/>
        <v>2</v>
      </c>
    </row>
    <row r="1120" spans="1:22" x14ac:dyDescent="0.3">
      <c r="A1120" t="s">
        <v>468</v>
      </c>
      <c r="B1120">
        <v>3</v>
      </c>
      <c r="C1120" t="s">
        <v>507</v>
      </c>
      <c r="D1120" t="s">
        <v>519</v>
      </c>
      <c r="E1120" t="s">
        <v>266</v>
      </c>
      <c r="F1120" t="s">
        <v>169</v>
      </c>
      <c r="G1120" t="s">
        <v>104</v>
      </c>
      <c r="H1120">
        <v>0</v>
      </c>
      <c r="I1120">
        <v>0</v>
      </c>
      <c r="J1120">
        <v>0</v>
      </c>
      <c r="K1120" t="s">
        <v>104</v>
      </c>
      <c r="L1120">
        <v>0</v>
      </c>
      <c r="M1120">
        <v>1</v>
      </c>
      <c r="N1120">
        <v>0</v>
      </c>
      <c r="O1120">
        <v>3</v>
      </c>
      <c r="P1120">
        <v>1</v>
      </c>
      <c r="Q1120">
        <v>3</v>
      </c>
      <c r="R1120">
        <v>25</v>
      </c>
      <c r="S1120">
        <v>0</v>
      </c>
      <c r="T1120">
        <v>0</v>
      </c>
      <c r="U1120" s="8">
        <v>25</v>
      </c>
      <c r="V1120" s="8">
        <f t="shared" si="17"/>
        <v>3</v>
      </c>
    </row>
    <row r="1121" spans="1:22" x14ac:dyDescent="0.3">
      <c r="A1121" t="s">
        <v>468</v>
      </c>
      <c r="B1121">
        <v>3</v>
      </c>
      <c r="C1121" t="s">
        <v>265</v>
      </c>
      <c r="D1121" t="s">
        <v>264</v>
      </c>
      <c r="E1121" t="s">
        <v>266</v>
      </c>
      <c r="F1121" t="s">
        <v>101</v>
      </c>
      <c r="G1121" t="s">
        <v>104</v>
      </c>
      <c r="H1121">
        <v>0</v>
      </c>
      <c r="I1121">
        <v>0</v>
      </c>
      <c r="J1121">
        <v>0</v>
      </c>
      <c r="K1121" t="s">
        <v>104</v>
      </c>
      <c r="L1121">
        <v>0</v>
      </c>
      <c r="M1121">
        <v>4</v>
      </c>
      <c r="N1121">
        <v>0</v>
      </c>
      <c r="O1121">
        <v>36</v>
      </c>
      <c r="P1121">
        <v>1</v>
      </c>
      <c r="Q1121">
        <v>9</v>
      </c>
      <c r="R1121">
        <v>25</v>
      </c>
      <c r="S1121">
        <v>0</v>
      </c>
      <c r="T1121">
        <v>0</v>
      </c>
      <c r="U1121" s="8">
        <v>25</v>
      </c>
      <c r="V1121" s="8">
        <f t="shared" si="17"/>
        <v>3</v>
      </c>
    </row>
    <row r="1122" spans="1:22" x14ac:dyDescent="0.3">
      <c r="A1122" t="s">
        <v>468</v>
      </c>
      <c r="B1122">
        <v>3</v>
      </c>
      <c r="C1122" t="s">
        <v>511</v>
      </c>
      <c r="D1122" t="s">
        <v>539</v>
      </c>
      <c r="E1122" t="s">
        <v>266</v>
      </c>
      <c r="F1122" t="s">
        <v>101</v>
      </c>
      <c r="G1122" t="s">
        <v>104</v>
      </c>
      <c r="H1122">
        <v>0</v>
      </c>
      <c r="I1122">
        <v>0</v>
      </c>
      <c r="J1122">
        <v>0</v>
      </c>
      <c r="K1122" t="s">
        <v>104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 s="8">
        <v>0</v>
      </c>
      <c r="V1122" s="8">
        <f t="shared" si="17"/>
        <v>0</v>
      </c>
    </row>
    <row r="1123" spans="1:22" x14ac:dyDescent="0.3">
      <c r="A1123" t="s">
        <v>469</v>
      </c>
      <c r="B1123">
        <v>3</v>
      </c>
      <c r="C1123" t="s">
        <v>229</v>
      </c>
      <c r="D1123" t="s">
        <v>230</v>
      </c>
      <c r="E1123" t="s">
        <v>219</v>
      </c>
      <c r="F1123" t="s">
        <v>109</v>
      </c>
      <c r="G1123" t="s">
        <v>86</v>
      </c>
      <c r="H1123">
        <v>17</v>
      </c>
      <c r="I1123">
        <v>20</v>
      </c>
      <c r="J1123">
        <v>85</v>
      </c>
      <c r="K1123" t="s">
        <v>246</v>
      </c>
      <c r="L1123">
        <v>18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 s="8">
        <v>18</v>
      </c>
      <c r="V1123" s="8">
        <f t="shared" si="17"/>
        <v>2</v>
      </c>
    </row>
    <row r="1124" spans="1:22" x14ac:dyDescent="0.3">
      <c r="A1124" t="s">
        <v>469</v>
      </c>
      <c r="B1124">
        <v>3</v>
      </c>
      <c r="C1124" t="s">
        <v>375</v>
      </c>
      <c r="D1124" t="s">
        <v>376</v>
      </c>
      <c r="E1124" t="s">
        <v>219</v>
      </c>
      <c r="F1124" t="s">
        <v>109</v>
      </c>
      <c r="G1124" t="s">
        <v>86</v>
      </c>
      <c r="H1124">
        <v>4</v>
      </c>
      <c r="I1124">
        <v>7</v>
      </c>
      <c r="J1124">
        <v>57.14</v>
      </c>
      <c r="K1124" t="s">
        <v>246</v>
      </c>
      <c r="L1124">
        <v>3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 s="8">
        <v>3</v>
      </c>
      <c r="V1124" s="8">
        <f t="shared" si="17"/>
        <v>0</v>
      </c>
    </row>
    <row r="1125" spans="1:22" x14ac:dyDescent="0.3">
      <c r="A1125" t="s">
        <v>469</v>
      </c>
      <c r="B1125">
        <v>3</v>
      </c>
      <c r="C1125" t="s">
        <v>224</v>
      </c>
      <c r="D1125" t="s">
        <v>225</v>
      </c>
      <c r="E1125" t="s">
        <v>219</v>
      </c>
      <c r="F1125" t="s">
        <v>169</v>
      </c>
      <c r="G1125" t="s">
        <v>92</v>
      </c>
      <c r="H1125">
        <v>13</v>
      </c>
      <c r="I1125">
        <v>19</v>
      </c>
      <c r="J1125">
        <v>68.42</v>
      </c>
      <c r="K1125" t="s">
        <v>246</v>
      </c>
      <c r="L1125">
        <v>15</v>
      </c>
      <c r="M1125">
        <v>4</v>
      </c>
      <c r="N1125">
        <v>0</v>
      </c>
      <c r="O1125">
        <v>25</v>
      </c>
      <c r="P1125">
        <v>1</v>
      </c>
      <c r="Q1125">
        <v>6.2</v>
      </c>
      <c r="R1125">
        <v>25</v>
      </c>
      <c r="S1125">
        <v>0</v>
      </c>
      <c r="T1125">
        <v>0</v>
      </c>
      <c r="U1125" s="8">
        <v>40</v>
      </c>
      <c r="V1125" s="8">
        <f t="shared" si="17"/>
        <v>4</v>
      </c>
    </row>
    <row r="1126" spans="1:22" x14ac:dyDescent="0.3">
      <c r="A1126" t="s">
        <v>469</v>
      </c>
      <c r="B1126">
        <v>3</v>
      </c>
      <c r="C1126" t="s">
        <v>222</v>
      </c>
      <c r="D1126" t="s">
        <v>223</v>
      </c>
      <c r="E1126" t="s">
        <v>219</v>
      </c>
      <c r="F1126" t="s">
        <v>169</v>
      </c>
      <c r="G1126" t="s">
        <v>92</v>
      </c>
      <c r="H1126">
        <v>24</v>
      </c>
      <c r="I1126">
        <v>23</v>
      </c>
      <c r="J1126">
        <v>104.35</v>
      </c>
      <c r="K1126" t="s">
        <v>246</v>
      </c>
      <c r="L1126">
        <v>25</v>
      </c>
      <c r="M1126">
        <v>1</v>
      </c>
      <c r="N1126">
        <v>0</v>
      </c>
      <c r="O1126">
        <v>9</v>
      </c>
      <c r="P1126">
        <v>0</v>
      </c>
      <c r="Q1126">
        <v>9</v>
      </c>
      <c r="R1126">
        <v>0</v>
      </c>
      <c r="S1126">
        <v>0</v>
      </c>
      <c r="T1126">
        <v>0</v>
      </c>
      <c r="U1126" s="8">
        <v>25</v>
      </c>
      <c r="V1126" s="8">
        <f t="shared" si="17"/>
        <v>3</v>
      </c>
    </row>
    <row r="1127" spans="1:22" x14ac:dyDescent="0.3">
      <c r="A1127" t="s">
        <v>469</v>
      </c>
      <c r="B1127">
        <v>3</v>
      </c>
      <c r="C1127" t="s">
        <v>220</v>
      </c>
      <c r="D1127" t="s">
        <v>221</v>
      </c>
      <c r="E1127" t="s">
        <v>219</v>
      </c>
      <c r="F1127" t="s">
        <v>109</v>
      </c>
      <c r="G1127" t="s">
        <v>134</v>
      </c>
      <c r="H1127">
        <v>11</v>
      </c>
      <c r="I1127">
        <v>6</v>
      </c>
      <c r="J1127">
        <v>183.33</v>
      </c>
      <c r="K1127" t="s">
        <v>245</v>
      </c>
      <c r="L1127">
        <v>15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 s="8">
        <v>15</v>
      </c>
      <c r="V1127" s="8">
        <f t="shared" si="17"/>
        <v>2</v>
      </c>
    </row>
    <row r="1128" spans="1:22" x14ac:dyDescent="0.3">
      <c r="A1128" t="s">
        <v>469</v>
      </c>
      <c r="B1128">
        <v>3</v>
      </c>
      <c r="C1128" t="s">
        <v>226</v>
      </c>
      <c r="D1128" t="s">
        <v>211</v>
      </c>
      <c r="E1128" t="s">
        <v>219</v>
      </c>
      <c r="F1128" t="s">
        <v>169</v>
      </c>
      <c r="G1128" t="s">
        <v>134</v>
      </c>
      <c r="H1128">
        <v>2</v>
      </c>
      <c r="I1128">
        <v>8</v>
      </c>
      <c r="J1128">
        <v>25</v>
      </c>
      <c r="K1128" t="s">
        <v>245</v>
      </c>
      <c r="L1128">
        <v>2</v>
      </c>
      <c r="M1128">
        <v>2.2999999999999998</v>
      </c>
      <c r="N1128">
        <v>0</v>
      </c>
      <c r="O1128">
        <v>15</v>
      </c>
      <c r="P1128">
        <v>4</v>
      </c>
      <c r="Q1128">
        <v>6</v>
      </c>
      <c r="R1128">
        <v>100</v>
      </c>
      <c r="S1128">
        <v>0</v>
      </c>
      <c r="T1128">
        <v>0</v>
      </c>
      <c r="U1128" s="8">
        <v>102</v>
      </c>
      <c r="V1128" s="8">
        <f t="shared" si="17"/>
        <v>10</v>
      </c>
    </row>
    <row r="1129" spans="1:22" x14ac:dyDescent="0.3">
      <c r="A1129" t="s">
        <v>469</v>
      </c>
      <c r="B1129">
        <v>3</v>
      </c>
      <c r="C1129" t="s">
        <v>442</v>
      </c>
      <c r="D1129" t="s">
        <v>443</v>
      </c>
      <c r="E1129" t="s">
        <v>219</v>
      </c>
      <c r="F1129" t="s">
        <v>85</v>
      </c>
      <c r="G1129" t="s">
        <v>134</v>
      </c>
      <c r="H1129">
        <v>3</v>
      </c>
      <c r="I1129">
        <v>5</v>
      </c>
      <c r="J1129">
        <v>60</v>
      </c>
      <c r="K1129" t="s">
        <v>246</v>
      </c>
      <c r="L1129">
        <v>2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 s="8">
        <v>2</v>
      </c>
      <c r="V1129" s="8">
        <f t="shared" si="17"/>
        <v>0</v>
      </c>
    </row>
    <row r="1130" spans="1:22" x14ac:dyDescent="0.3">
      <c r="A1130" t="s">
        <v>469</v>
      </c>
      <c r="B1130">
        <v>3</v>
      </c>
      <c r="C1130" t="s">
        <v>512</v>
      </c>
      <c r="D1130" t="s">
        <v>542</v>
      </c>
      <c r="E1130" t="s">
        <v>219</v>
      </c>
      <c r="F1130" t="s">
        <v>169</v>
      </c>
      <c r="G1130" t="s">
        <v>134</v>
      </c>
      <c r="H1130">
        <v>62</v>
      </c>
      <c r="I1130">
        <v>23</v>
      </c>
      <c r="J1130">
        <v>269.57</v>
      </c>
      <c r="K1130" t="s">
        <v>246</v>
      </c>
      <c r="L1130">
        <v>80</v>
      </c>
      <c r="M1130">
        <v>4</v>
      </c>
      <c r="N1130">
        <v>0</v>
      </c>
      <c r="O1130">
        <v>42</v>
      </c>
      <c r="P1130">
        <v>1</v>
      </c>
      <c r="Q1130">
        <v>10.5</v>
      </c>
      <c r="R1130">
        <v>25</v>
      </c>
      <c r="S1130">
        <v>0</v>
      </c>
      <c r="T1130">
        <v>0</v>
      </c>
      <c r="U1130" s="8">
        <v>105</v>
      </c>
      <c r="V1130" s="8">
        <f t="shared" si="17"/>
        <v>10</v>
      </c>
    </row>
    <row r="1131" spans="1:22" x14ac:dyDescent="0.3">
      <c r="A1131" t="s">
        <v>469</v>
      </c>
      <c r="B1131">
        <v>3</v>
      </c>
      <c r="C1131" t="s">
        <v>233</v>
      </c>
      <c r="D1131" t="s">
        <v>234</v>
      </c>
      <c r="E1131" t="s">
        <v>219</v>
      </c>
      <c r="F1131" t="s">
        <v>101</v>
      </c>
      <c r="G1131" t="s">
        <v>134</v>
      </c>
      <c r="H1131">
        <v>12</v>
      </c>
      <c r="I1131">
        <v>8</v>
      </c>
      <c r="J1131">
        <v>150</v>
      </c>
      <c r="K1131" t="s">
        <v>246</v>
      </c>
      <c r="L1131">
        <v>15</v>
      </c>
      <c r="M1131">
        <v>4</v>
      </c>
      <c r="N1131">
        <v>0</v>
      </c>
      <c r="O1131">
        <v>28</v>
      </c>
      <c r="P1131">
        <v>0</v>
      </c>
      <c r="Q1131">
        <v>7</v>
      </c>
      <c r="R1131">
        <v>0</v>
      </c>
      <c r="S1131">
        <v>0</v>
      </c>
      <c r="T1131">
        <v>0</v>
      </c>
      <c r="U1131" s="8">
        <v>15</v>
      </c>
      <c r="V1131" s="8">
        <f t="shared" si="17"/>
        <v>2</v>
      </c>
    </row>
    <row r="1132" spans="1:22" x14ac:dyDescent="0.3">
      <c r="A1132" t="s">
        <v>469</v>
      </c>
      <c r="B1132">
        <v>3</v>
      </c>
      <c r="C1132" t="s">
        <v>377</v>
      </c>
      <c r="D1132" t="s">
        <v>378</v>
      </c>
      <c r="E1132" t="s">
        <v>219</v>
      </c>
      <c r="F1132" t="s">
        <v>169</v>
      </c>
      <c r="G1132" t="s">
        <v>134</v>
      </c>
      <c r="H1132">
        <v>4</v>
      </c>
      <c r="I1132">
        <v>2</v>
      </c>
      <c r="J1132">
        <v>200</v>
      </c>
      <c r="K1132" t="s">
        <v>96</v>
      </c>
      <c r="L1132">
        <v>8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 s="8">
        <v>8</v>
      </c>
      <c r="V1132" s="8">
        <f t="shared" si="17"/>
        <v>1</v>
      </c>
    </row>
    <row r="1133" spans="1:22" x14ac:dyDescent="0.3">
      <c r="A1133" t="s">
        <v>469</v>
      </c>
      <c r="B1133">
        <v>3</v>
      </c>
      <c r="C1133" t="s">
        <v>509</v>
      </c>
      <c r="D1133" t="s">
        <v>523</v>
      </c>
      <c r="E1133" t="s">
        <v>219</v>
      </c>
      <c r="F1133" t="s">
        <v>169</v>
      </c>
      <c r="G1133" t="s">
        <v>104</v>
      </c>
      <c r="H1133">
        <v>0</v>
      </c>
      <c r="I1133">
        <v>0</v>
      </c>
      <c r="J1133">
        <v>0</v>
      </c>
      <c r="K1133" t="s">
        <v>104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 s="8">
        <v>0</v>
      </c>
      <c r="V1133" s="8">
        <f t="shared" si="17"/>
        <v>0</v>
      </c>
    </row>
    <row r="1134" spans="1:22" x14ac:dyDescent="0.3">
      <c r="A1134" t="s">
        <v>469</v>
      </c>
      <c r="B1134">
        <v>3</v>
      </c>
      <c r="C1134" t="s">
        <v>188</v>
      </c>
      <c r="D1134" t="s">
        <v>189</v>
      </c>
      <c r="E1134" t="s">
        <v>158</v>
      </c>
      <c r="F1134" t="s">
        <v>109</v>
      </c>
      <c r="G1134" t="s">
        <v>86</v>
      </c>
      <c r="H1134">
        <v>24</v>
      </c>
      <c r="I1134">
        <v>30</v>
      </c>
      <c r="J1134">
        <v>80</v>
      </c>
      <c r="K1134" t="s">
        <v>246</v>
      </c>
      <c r="L1134">
        <v>25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 s="8">
        <v>25</v>
      </c>
      <c r="V1134" s="8">
        <f t="shared" si="17"/>
        <v>3</v>
      </c>
    </row>
    <row r="1135" spans="1:22" x14ac:dyDescent="0.3">
      <c r="A1135" t="s">
        <v>469</v>
      </c>
      <c r="B1135">
        <v>3</v>
      </c>
      <c r="C1135" t="s">
        <v>190</v>
      </c>
      <c r="D1135" t="s">
        <v>191</v>
      </c>
      <c r="E1135" t="s">
        <v>158</v>
      </c>
      <c r="F1135" t="s">
        <v>109</v>
      </c>
      <c r="G1135" t="s">
        <v>86</v>
      </c>
      <c r="H1135">
        <v>5</v>
      </c>
      <c r="I1135">
        <v>5</v>
      </c>
      <c r="J1135">
        <v>100</v>
      </c>
      <c r="K1135" t="s">
        <v>245</v>
      </c>
      <c r="L1135">
        <v>5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 s="8">
        <v>5</v>
      </c>
      <c r="V1135" s="8">
        <f t="shared" si="17"/>
        <v>1</v>
      </c>
    </row>
    <row r="1136" spans="1:22" x14ac:dyDescent="0.3">
      <c r="A1136" t="s">
        <v>469</v>
      </c>
      <c r="B1136">
        <v>3</v>
      </c>
      <c r="C1136" t="s">
        <v>194</v>
      </c>
      <c r="D1136" t="s">
        <v>195</v>
      </c>
      <c r="E1136" t="s">
        <v>158</v>
      </c>
      <c r="F1136" t="s">
        <v>109</v>
      </c>
      <c r="G1136" t="s">
        <v>92</v>
      </c>
      <c r="H1136">
        <v>56</v>
      </c>
      <c r="I1136">
        <v>35</v>
      </c>
      <c r="J1136">
        <v>160</v>
      </c>
      <c r="K1136" t="s">
        <v>246</v>
      </c>
      <c r="L1136">
        <v>65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 s="8">
        <v>65</v>
      </c>
      <c r="V1136" s="8">
        <f t="shared" si="17"/>
        <v>7</v>
      </c>
    </row>
    <row r="1137" spans="1:22" x14ac:dyDescent="0.3">
      <c r="A1137" t="s">
        <v>469</v>
      </c>
      <c r="B1137">
        <v>3</v>
      </c>
      <c r="C1137" t="s">
        <v>192</v>
      </c>
      <c r="D1137" t="s">
        <v>193</v>
      </c>
      <c r="E1137" t="s">
        <v>158</v>
      </c>
      <c r="F1137" t="s">
        <v>169</v>
      </c>
      <c r="G1137" t="s">
        <v>134</v>
      </c>
      <c r="H1137">
        <v>9</v>
      </c>
      <c r="I1137">
        <v>9</v>
      </c>
      <c r="J1137">
        <v>100</v>
      </c>
      <c r="K1137" t="s">
        <v>246</v>
      </c>
      <c r="L1137">
        <v>10</v>
      </c>
      <c r="M1137">
        <v>4</v>
      </c>
      <c r="N1137">
        <v>0</v>
      </c>
      <c r="O1137">
        <v>18</v>
      </c>
      <c r="P1137">
        <v>2</v>
      </c>
      <c r="Q1137">
        <v>4.5</v>
      </c>
      <c r="R1137">
        <v>50</v>
      </c>
      <c r="S1137">
        <v>0</v>
      </c>
      <c r="T1137">
        <v>0</v>
      </c>
      <c r="U1137" s="8">
        <v>60</v>
      </c>
      <c r="V1137" s="8">
        <f t="shared" si="17"/>
        <v>6</v>
      </c>
    </row>
    <row r="1138" spans="1:22" x14ac:dyDescent="0.3">
      <c r="A1138" t="s">
        <v>469</v>
      </c>
      <c r="B1138">
        <v>3</v>
      </c>
      <c r="C1138" t="s">
        <v>94</v>
      </c>
      <c r="D1138" t="s">
        <v>120</v>
      </c>
      <c r="E1138" t="s">
        <v>158</v>
      </c>
      <c r="F1138" t="s">
        <v>169</v>
      </c>
      <c r="G1138" t="s">
        <v>134</v>
      </c>
      <c r="H1138">
        <v>5</v>
      </c>
      <c r="I1138">
        <v>5</v>
      </c>
      <c r="J1138">
        <v>100</v>
      </c>
      <c r="K1138" t="s">
        <v>246</v>
      </c>
      <c r="L1138">
        <v>5</v>
      </c>
      <c r="M1138">
        <v>4</v>
      </c>
      <c r="N1138">
        <v>0</v>
      </c>
      <c r="O1138">
        <v>30</v>
      </c>
      <c r="P1138">
        <v>0</v>
      </c>
      <c r="Q1138">
        <v>7.5</v>
      </c>
      <c r="R1138">
        <v>0</v>
      </c>
      <c r="S1138">
        <v>0</v>
      </c>
      <c r="T1138">
        <v>0</v>
      </c>
      <c r="U1138" s="8">
        <v>5</v>
      </c>
      <c r="V1138" s="8">
        <f t="shared" si="17"/>
        <v>1</v>
      </c>
    </row>
    <row r="1139" spans="1:22" x14ac:dyDescent="0.3">
      <c r="A1139" t="s">
        <v>469</v>
      </c>
      <c r="B1139">
        <v>3</v>
      </c>
      <c r="C1139" t="s">
        <v>198</v>
      </c>
      <c r="D1139" t="s">
        <v>199</v>
      </c>
      <c r="E1139" t="s">
        <v>158</v>
      </c>
      <c r="F1139" t="s">
        <v>101</v>
      </c>
      <c r="G1139" t="s">
        <v>134</v>
      </c>
      <c r="H1139">
        <v>5</v>
      </c>
      <c r="I1139">
        <v>4</v>
      </c>
      <c r="J1139">
        <v>125</v>
      </c>
      <c r="K1139" t="s">
        <v>246</v>
      </c>
      <c r="L1139">
        <v>5</v>
      </c>
      <c r="M1139">
        <v>4</v>
      </c>
      <c r="N1139">
        <v>0</v>
      </c>
      <c r="O1139">
        <v>31</v>
      </c>
      <c r="P1139">
        <v>4</v>
      </c>
      <c r="Q1139">
        <v>7.8</v>
      </c>
      <c r="R1139">
        <v>100</v>
      </c>
      <c r="S1139">
        <v>0</v>
      </c>
      <c r="T1139">
        <v>0</v>
      </c>
      <c r="U1139" s="8">
        <v>105</v>
      </c>
      <c r="V1139" s="8">
        <f t="shared" si="17"/>
        <v>10</v>
      </c>
    </row>
    <row r="1140" spans="1:22" x14ac:dyDescent="0.3">
      <c r="A1140" t="s">
        <v>469</v>
      </c>
      <c r="B1140">
        <v>3</v>
      </c>
      <c r="C1140" t="s">
        <v>496</v>
      </c>
      <c r="D1140" t="s">
        <v>518</v>
      </c>
      <c r="E1140" t="s">
        <v>158</v>
      </c>
      <c r="F1140" t="s">
        <v>85</v>
      </c>
      <c r="G1140" t="s">
        <v>134</v>
      </c>
      <c r="H1140">
        <v>5</v>
      </c>
      <c r="I1140">
        <v>5</v>
      </c>
      <c r="J1140">
        <v>100</v>
      </c>
      <c r="K1140" t="s">
        <v>248</v>
      </c>
      <c r="L1140">
        <v>5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 s="8">
        <v>5</v>
      </c>
      <c r="V1140" s="8">
        <f t="shared" si="17"/>
        <v>1</v>
      </c>
    </row>
    <row r="1141" spans="1:22" x14ac:dyDescent="0.3">
      <c r="A1141" t="s">
        <v>469</v>
      </c>
      <c r="B1141">
        <v>3</v>
      </c>
      <c r="C1141" t="s">
        <v>495</v>
      </c>
      <c r="D1141" t="s">
        <v>503</v>
      </c>
      <c r="E1141" t="s">
        <v>158</v>
      </c>
      <c r="F1141" t="s">
        <v>169</v>
      </c>
      <c r="G1141" t="s">
        <v>134</v>
      </c>
      <c r="H1141">
        <v>18</v>
      </c>
      <c r="I1141">
        <v>10</v>
      </c>
      <c r="J1141">
        <v>180</v>
      </c>
      <c r="K1141" t="s">
        <v>246</v>
      </c>
      <c r="L1141">
        <v>20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 s="8">
        <v>20</v>
      </c>
      <c r="V1141" s="8">
        <f t="shared" si="17"/>
        <v>2</v>
      </c>
    </row>
    <row r="1142" spans="1:22" x14ac:dyDescent="0.3">
      <c r="A1142" t="s">
        <v>469</v>
      </c>
      <c r="B1142">
        <v>3</v>
      </c>
      <c r="C1142" t="s">
        <v>204</v>
      </c>
      <c r="D1142" t="s">
        <v>205</v>
      </c>
      <c r="E1142" t="s">
        <v>158</v>
      </c>
      <c r="F1142" t="s">
        <v>169</v>
      </c>
      <c r="G1142" t="s">
        <v>134</v>
      </c>
      <c r="H1142">
        <v>15</v>
      </c>
      <c r="I1142">
        <v>13</v>
      </c>
      <c r="J1142">
        <v>115.38</v>
      </c>
      <c r="K1142" t="s">
        <v>96</v>
      </c>
      <c r="L1142">
        <v>20</v>
      </c>
      <c r="M1142">
        <v>4</v>
      </c>
      <c r="N1142">
        <v>0</v>
      </c>
      <c r="O1142">
        <v>39</v>
      </c>
      <c r="P1142">
        <v>1</v>
      </c>
      <c r="Q1142">
        <v>9.8000000000000007</v>
      </c>
      <c r="R1142">
        <v>25</v>
      </c>
      <c r="S1142">
        <v>0</v>
      </c>
      <c r="T1142">
        <v>0</v>
      </c>
      <c r="U1142" s="8">
        <v>45</v>
      </c>
      <c r="V1142" s="8">
        <f t="shared" si="17"/>
        <v>5</v>
      </c>
    </row>
    <row r="1143" spans="1:22" x14ac:dyDescent="0.3">
      <c r="A1143" t="s">
        <v>469</v>
      </c>
      <c r="B1143">
        <v>3</v>
      </c>
      <c r="C1143" t="s">
        <v>202</v>
      </c>
      <c r="D1143" t="s">
        <v>203</v>
      </c>
      <c r="E1143" t="s">
        <v>158</v>
      </c>
      <c r="F1143" t="s">
        <v>101</v>
      </c>
      <c r="G1143" t="s">
        <v>134</v>
      </c>
      <c r="H1143">
        <v>0</v>
      </c>
      <c r="I1143">
        <v>1</v>
      </c>
      <c r="J1143">
        <v>0</v>
      </c>
      <c r="K1143" t="s">
        <v>246</v>
      </c>
      <c r="L1143">
        <v>0</v>
      </c>
      <c r="M1143">
        <v>4</v>
      </c>
      <c r="N1143">
        <v>0</v>
      </c>
      <c r="O1143">
        <v>52</v>
      </c>
      <c r="P1143">
        <v>2</v>
      </c>
      <c r="Q1143">
        <v>13</v>
      </c>
      <c r="R1143">
        <v>50</v>
      </c>
      <c r="S1143">
        <v>0</v>
      </c>
      <c r="T1143">
        <v>0</v>
      </c>
      <c r="U1143" s="8">
        <v>50</v>
      </c>
      <c r="V1143" s="8">
        <f t="shared" si="17"/>
        <v>5</v>
      </c>
    </row>
    <row r="1144" spans="1:22" x14ac:dyDescent="0.3">
      <c r="A1144" t="s">
        <v>469</v>
      </c>
      <c r="B1144">
        <v>3</v>
      </c>
      <c r="C1144" t="s">
        <v>274</v>
      </c>
      <c r="D1144" t="s">
        <v>284</v>
      </c>
      <c r="E1144" t="s">
        <v>158</v>
      </c>
      <c r="F1144" t="s">
        <v>169</v>
      </c>
      <c r="G1144" t="s">
        <v>134</v>
      </c>
      <c r="H1144">
        <v>0</v>
      </c>
      <c r="I1144">
        <v>1</v>
      </c>
      <c r="J1144">
        <v>0</v>
      </c>
      <c r="K1144" t="s">
        <v>246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 s="8">
        <f t="shared" si="17"/>
        <v>0</v>
      </c>
    </row>
    <row r="1145" spans="1:22" x14ac:dyDescent="0.3">
      <c r="A1145" t="s">
        <v>470</v>
      </c>
      <c r="B1145">
        <v>3</v>
      </c>
      <c r="C1145" t="s">
        <v>165</v>
      </c>
      <c r="D1145" t="s">
        <v>166</v>
      </c>
      <c r="E1145" t="s">
        <v>159</v>
      </c>
      <c r="F1145" t="s">
        <v>109</v>
      </c>
      <c r="G1145" t="s">
        <v>86</v>
      </c>
      <c r="H1145">
        <v>6</v>
      </c>
      <c r="I1145">
        <v>9</v>
      </c>
      <c r="J1145">
        <v>66.67</v>
      </c>
      <c r="K1145" t="s">
        <v>245</v>
      </c>
      <c r="L1145">
        <v>5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 s="8">
        <v>5</v>
      </c>
      <c r="V1145" s="8">
        <f t="shared" si="17"/>
        <v>1</v>
      </c>
    </row>
    <row r="1146" spans="1:22" x14ac:dyDescent="0.3">
      <c r="A1146" t="s">
        <v>470</v>
      </c>
      <c r="B1146">
        <v>3</v>
      </c>
      <c r="C1146" t="s">
        <v>489</v>
      </c>
      <c r="D1146" t="s">
        <v>488</v>
      </c>
      <c r="E1146" t="s">
        <v>159</v>
      </c>
      <c r="F1146" t="s">
        <v>109</v>
      </c>
      <c r="G1146" t="s">
        <v>86</v>
      </c>
      <c r="H1146">
        <v>57</v>
      </c>
      <c r="I1146">
        <v>41</v>
      </c>
      <c r="J1146">
        <v>139.02000000000001</v>
      </c>
      <c r="K1146" t="s">
        <v>246</v>
      </c>
      <c r="L1146">
        <v>65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 s="8">
        <v>65</v>
      </c>
      <c r="V1146" s="8">
        <f t="shared" si="17"/>
        <v>7</v>
      </c>
    </row>
    <row r="1147" spans="1:22" x14ac:dyDescent="0.3">
      <c r="A1147" t="s">
        <v>470</v>
      </c>
      <c r="B1147">
        <v>3</v>
      </c>
      <c r="C1147" t="s">
        <v>174</v>
      </c>
      <c r="D1147" t="s">
        <v>175</v>
      </c>
      <c r="E1147" t="s">
        <v>159</v>
      </c>
      <c r="F1147" t="s">
        <v>169</v>
      </c>
      <c r="G1147" t="s">
        <v>92</v>
      </c>
      <c r="H1147">
        <v>90</v>
      </c>
      <c r="I1147">
        <v>56</v>
      </c>
      <c r="J1147">
        <v>160.71</v>
      </c>
      <c r="K1147" t="s">
        <v>96</v>
      </c>
      <c r="L1147">
        <v>110</v>
      </c>
      <c r="M1147">
        <v>2</v>
      </c>
      <c r="N1147">
        <v>0</v>
      </c>
      <c r="O1147">
        <v>10</v>
      </c>
      <c r="P1147">
        <v>1</v>
      </c>
      <c r="Q1147">
        <v>5</v>
      </c>
      <c r="R1147">
        <v>25</v>
      </c>
      <c r="S1147">
        <v>0</v>
      </c>
      <c r="T1147">
        <v>0</v>
      </c>
      <c r="U1147" s="8">
        <v>135</v>
      </c>
      <c r="V1147" s="8">
        <f t="shared" si="17"/>
        <v>10</v>
      </c>
    </row>
    <row r="1148" spans="1:22" x14ac:dyDescent="0.3">
      <c r="A1148" t="s">
        <v>470</v>
      </c>
      <c r="B1148">
        <v>3</v>
      </c>
      <c r="C1148" t="s">
        <v>490</v>
      </c>
      <c r="D1148" t="s">
        <v>497</v>
      </c>
      <c r="E1148" t="s">
        <v>159</v>
      </c>
      <c r="F1148" t="s">
        <v>169</v>
      </c>
      <c r="G1148" t="s">
        <v>104</v>
      </c>
      <c r="H1148">
        <v>0</v>
      </c>
      <c r="I1148">
        <v>0</v>
      </c>
      <c r="J1148">
        <v>0</v>
      </c>
      <c r="K1148" t="s">
        <v>104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 s="8">
        <v>0</v>
      </c>
      <c r="V1148" s="8">
        <f t="shared" si="17"/>
        <v>0</v>
      </c>
    </row>
    <row r="1149" spans="1:22" x14ac:dyDescent="0.3">
      <c r="A1149" t="s">
        <v>470</v>
      </c>
      <c r="B1149">
        <v>3</v>
      </c>
      <c r="C1149" t="s">
        <v>176</v>
      </c>
      <c r="D1149" t="s">
        <v>177</v>
      </c>
      <c r="E1149" t="s">
        <v>159</v>
      </c>
      <c r="F1149" t="s">
        <v>85</v>
      </c>
      <c r="G1149" t="s">
        <v>134</v>
      </c>
      <c r="H1149">
        <v>8</v>
      </c>
      <c r="I1149">
        <v>6</v>
      </c>
      <c r="J1149">
        <v>133.33000000000001</v>
      </c>
      <c r="K1149" t="s">
        <v>246</v>
      </c>
      <c r="L1149">
        <v>10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 s="8">
        <v>10</v>
      </c>
      <c r="V1149" s="8">
        <f t="shared" si="17"/>
        <v>1</v>
      </c>
    </row>
    <row r="1150" spans="1:22" x14ac:dyDescent="0.3">
      <c r="A1150" t="s">
        <v>470</v>
      </c>
      <c r="B1150">
        <v>3</v>
      </c>
      <c r="C1150" t="s">
        <v>178</v>
      </c>
      <c r="D1150" t="s">
        <v>179</v>
      </c>
      <c r="E1150" t="s">
        <v>159</v>
      </c>
      <c r="F1150" t="s">
        <v>169</v>
      </c>
      <c r="G1150" t="s">
        <v>134</v>
      </c>
      <c r="H1150">
        <v>5</v>
      </c>
      <c r="I1150">
        <v>3</v>
      </c>
      <c r="J1150">
        <v>166.67</v>
      </c>
      <c r="K1150" t="s">
        <v>256</v>
      </c>
      <c r="L1150">
        <v>5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 s="8">
        <v>5</v>
      </c>
      <c r="V1150" s="8">
        <f t="shared" si="17"/>
        <v>1</v>
      </c>
    </row>
    <row r="1151" spans="1:22" x14ac:dyDescent="0.3">
      <c r="A1151" t="s">
        <v>470</v>
      </c>
      <c r="B1151">
        <v>3</v>
      </c>
      <c r="C1151" t="s">
        <v>99</v>
      </c>
      <c r="D1151" t="s">
        <v>124</v>
      </c>
      <c r="E1151" t="s">
        <v>159</v>
      </c>
      <c r="F1151" t="s">
        <v>169</v>
      </c>
      <c r="G1151" t="s">
        <v>134</v>
      </c>
      <c r="H1151">
        <v>7</v>
      </c>
      <c r="I1151">
        <v>5</v>
      </c>
      <c r="J1151">
        <v>140</v>
      </c>
      <c r="K1151" t="s">
        <v>256</v>
      </c>
      <c r="L1151">
        <v>8</v>
      </c>
      <c r="M1151">
        <v>4</v>
      </c>
      <c r="N1151">
        <v>0</v>
      </c>
      <c r="O1151">
        <v>40</v>
      </c>
      <c r="P1151">
        <v>0</v>
      </c>
      <c r="Q1151">
        <v>10</v>
      </c>
      <c r="R1151">
        <v>0</v>
      </c>
      <c r="S1151">
        <v>0</v>
      </c>
      <c r="T1151">
        <v>0</v>
      </c>
      <c r="U1151" s="8">
        <v>8</v>
      </c>
      <c r="V1151" s="8">
        <f t="shared" si="17"/>
        <v>1</v>
      </c>
    </row>
    <row r="1152" spans="1:22" x14ac:dyDescent="0.3">
      <c r="A1152" t="s">
        <v>470</v>
      </c>
      <c r="B1152">
        <v>3</v>
      </c>
      <c r="C1152" t="s">
        <v>242</v>
      </c>
      <c r="D1152" t="s">
        <v>244</v>
      </c>
      <c r="E1152" t="s">
        <v>159</v>
      </c>
      <c r="F1152" t="s">
        <v>101</v>
      </c>
      <c r="G1152" t="s">
        <v>134</v>
      </c>
      <c r="H1152">
        <v>2</v>
      </c>
      <c r="I1152">
        <v>2</v>
      </c>
      <c r="J1152">
        <v>100</v>
      </c>
      <c r="K1152" t="s">
        <v>256</v>
      </c>
      <c r="L1152">
        <v>2</v>
      </c>
      <c r="M1152">
        <v>4</v>
      </c>
      <c r="N1152">
        <v>0</v>
      </c>
      <c r="O1152">
        <v>40</v>
      </c>
      <c r="P1152">
        <v>2</v>
      </c>
      <c r="Q1152">
        <v>10</v>
      </c>
      <c r="R1152">
        <v>50</v>
      </c>
      <c r="S1152">
        <v>0</v>
      </c>
      <c r="T1152">
        <v>0</v>
      </c>
      <c r="U1152" s="8">
        <v>52</v>
      </c>
      <c r="V1152" s="8">
        <f t="shared" si="17"/>
        <v>5</v>
      </c>
    </row>
    <row r="1153" spans="1:22" x14ac:dyDescent="0.3">
      <c r="A1153" t="s">
        <v>470</v>
      </c>
      <c r="B1153">
        <v>3</v>
      </c>
      <c r="C1153" t="s">
        <v>102</v>
      </c>
      <c r="D1153" t="s">
        <v>126</v>
      </c>
      <c r="E1153" t="s">
        <v>159</v>
      </c>
      <c r="F1153" t="s">
        <v>169</v>
      </c>
      <c r="G1153" t="s">
        <v>104</v>
      </c>
      <c r="H1153">
        <v>0</v>
      </c>
      <c r="I1153">
        <v>0</v>
      </c>
      <c r="J1153">
        <v>0</v>
      </c>
      <c r="K1153" t="s">
        <v>104</v>
      </c>
      <c r="L1153">
        <v>0</v>
      </c>
      <c r="M1153">
        <v>3</v>
      </c>
      <c r="N1153">
        <v>0</v>
      </c>
      <c r="O1153">
        <v>27</v>
      </c>
      <c r="P1153">
        <v>3</v>
      </c>
      <c r="Q1153">
        <v>9</v>
      </c>
      <c r="R1153">
        <v>75</v>
      </c>
      <c r="S1153">
        <v>0</v>
      </c>
      <c r="T1153">
        <v>0</v>
      </c>
      <c r="U1153" s="8">
        <v>75</v>
      </c>
      <c r="V1153" s="8">
        <f t="shared" si="17"/>
        <v>8</v>
      </c>
    </row>
    <row r="1154" spans="1:22" x14ac:dyDescent="0.3">
      <c r="A1154" t="s">
        <v>470</v>
      </c>
      <c r="B1154">
        <v>3</v>
      </c>
      <c r="C1154" t="s">
        <v>429</v>
      </c>
      <c r="D1154" t="s">
        <v>430</v>
      </c>
      <c r="E1154" t="s">
        <v>159</v>
      </c>
      <c r="F1154" t="s">
        <v>101</v>
      </c>
      <c r="G1154" t="s">
        <v>104</v>
      </c>
      <c r="H1154">
        <v>0</v>
      </c>
      <c r="I1154">
        <v>0</v>
      </c>
      <c r="J1154">
        <v>0</v>
      </c>
      <c r="K1154" t="s">
        <v>104</v>
      </c>
      <c r="L1154">
        <v>0</v>
      </c>
      <c r="M1154">
        <v>3</v>
      </c>
      <c r="N1154">
        <v>0</v>
      </c>
      <c r="O1154">
        <v>26</v>
      </c>
      <c r="P1154">
        <v>0</v>
      </c>
      <c r="Q1154">
        <v>8.6999999999999993</v>
      </c>
      <c r="R1154">
        <v>0</v>
      </c>
      <c r="S1154">
        <v>0</v>
      </c>
      <c r="T1154">
        <v>0</v>
      </c>
      <c r="U1154" s="8">
        <v>0</v>
      </c>
      <c r="V1154" s="8">
        <f t="shared" si="17"/>
        <v>0</v>
      </c>
    </row>
    <row r="1155" spans="1:22" x14ac:dyDescent="0.3">
      <c r="A1155" t="s">
        <v>470</v>
      </c>
      <c r="B1155">
        <v>3</v>
      </c>
      <c r="C1155" t="s">
        <v>186</v>
      </c>
      <c r="D1155" t="s">
        <v>187</v>
      </c>
      <c r="E1155" t="s">
        <v>159</v>
      </c>
      <c r="F1155" t="s">
        <v>101</v>
      </c>
      <c r="G1155" t="s">
        <v>104</v>
      </c>
      <c r="H1155">
        <v>0</v>
      </c>
      <c r="I1155">
        <v>0</v>
      </c>
      <c r="J1155">
        <v>0</v>
      </c>
      <c r="K1155" t="s">
        <v>104</v>
      </c>
      <c r="L1155">
        <v>0</v>
      </c>
      <c r="M1155">
        <v>4</v>
      </c>
      <c r="N1155">
        <v>0</v>
      </c>
      <c r="O1155">
        <v>36</v>
      </c>
      <c r="P1155">
        <v>2</v>
      </c>
      <c r="Q1155">
        <v>9</v>
      </c>
      <c r="R1155">
        <v>50</v>
      </c>
      <c r="S1155">
        <v>0</v>
      </c>
      <c r="T1155">
        <v>0</v>
      </c>
      <c r="U1155" s="8">
        <v>50</v>
      </c>
      <c r="V1155" s="8">
        <f t="shared" ref="V1155:V1218" si="18">MIN(10, MAX(0, ROUND(U1155/10,0)))</f>
        <v>5</v>
      </c>
    </row>
    <row r="1156" spans="1:22" x14ac:dyDescent="0.3">
      <c r="A1156" t="s">
        <v>470</v>
      </c>
      <c r="B1156">
        <v>3</v>
      </c>
      <c r="C1156" t="s">
        <v>229</v>
      </c>
      <c r="D1156" t="s">
        <v>230</v>
      </c>
      <c r="E1156" t="s">
        <v>219</v>
      </c>
      <c r="F1156" t="s">
        <v>109</v>
      </c>
      <c r="G1156" t="s">
        <v>86</v>
      </c>
      <c r="H1156">
        <v>24</v>
      </c>
      <c r="I1156">
        <v>12</v>
      </c>
      <c r="J1156">
        <v>200</v>
      </c>
      <c r="K1156" t="s">
        <v>245</v>
      </c>
      <c r="L1156">
        <v>30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 s="8">
        <v>30</v>
      </c>
      <c r="V1156" s="8">
        <f t="shared" si="18"/>
        <v>3</v>
      </c>
    </row>
    <row r="1157" spans="1:22" x14ac:dyDescent="0.3">
      <c r="A1157" t="s">
        <v>470</v>
      </c>
      <c r="B1157">
        <v>3</v>
      </c>
      <c r="C1157" t="s">
        <v>375</v>
      </c>
      <c r="D1157" t="s">
        <v>376</v>
      </c>
      <c r="E1157" t="s">
        <v>219</v>
      </c>
      <c r="F1157" t="s">
        <v>109</v>
      </c>
      <c r="G1157" t="s">
        <v>86</v>
      </c>
      <c r="H1157">
        <v>14</v>
      </c>
      <c r="I1157">
        <v>10</v>
      </c>
      <c r="J1157">
        <v>140</v>
      </c>
      <c r="K1157" t="s">
        <v>246</v>
      </c>
      <c r="L1157">
        <v>15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 s="8">
        <v>15</v>
      </c>
      <c r="V1157" s="8">
        <f t="shared" si="18"/>
        <v>2</v>
      </c>
    </row>
    <row r="1158" spans="1:22" x14ac:dyDescent="0.3">
      <c r="A1158" t="s">
        <v>470</v>
      </c>
      <c r="B1158">
        <v>3</v>
      </c>
      <c r="C1158" t="s">
        <v>224</v>
      </c>
      <c r="D1158" t="s">
        <v>225</v>
      </c>
      <c r="E1158" t="s">
        <v>219</v>
      </c>
      <c r="F1158" t="s">
        <v>169</v>
      </c>
      <c r="G1158" t="s">
        <v>92</v>
      </c>
      <c r="H1158">
        <v>25</v>
      </c>
      <c r="I1158">
        <v>13</v>
      </c>
      <c r="J1158">
        <v>192.31</v>
      </c>
      <c r="K1158" t="s">
        <v>246</v>
      </c>
      <c r="L1158">
        <v>30</v>
      </c>
      <c r="M1158">
        <v>4</v>
      </c>
      <c r="N1158">
        <v>0</v>
      </c>
      <c r="O1158">
        <v>42</v>
      </c>
      <c r="P1158">
        <v>1</v>
      </c>
      <c r="Q1158">
        <v>10.5</v>
      </c>
      <c r="R1158">
        <v>25</v>
      </c>
      <c r="S1158">
        <v>0</v>
      </c>
      <c r="T1158">
        <v>0</v>
      </c>
      <c r="U1158" s="8">
        <v>55</v>
      </c>
      <c r="V1158" s="8">
        <f t="shared" si="18"/>
        <v>6</v>
      </c>
    </row>
    <row r="1159" spans="1:22" x14ac:dyDescent="0.3">
      <c r="A1159" t="s">
        <v>470</v>
      </c>
      <c r="B1159">
        <v>3</v>
      </c>
      <c r="C1159" t="s">
        <v>222</v>
      </c>
      <c r="D1159" t="s">
        <v>223</v>
      </c>
      <c r="E1159" t="s">
        <v>219</v>
      </c>
      <c r="F1159" t="s">
        <v>169</v>
      </c>
      <c r="G1159" t="s">
        <v>92</v>
      </c>
      <c r="H1159">
        <v>0</v>
      </c>
      <c r="I1159">
        <v>4</v>
      </c>
      <c r="J1159">
        <v>0</v>
      </c>
      <c r="K1159" t="s">
        <v>248</v>
      </c>
      <c r="L1159">
        <v>0</v>
      </c>
      <c r="M1159">
        <v>3</v>
      </c>
      <c r="N1159">
        <v>0</v>
      </c>
      <c r="O1159">
        <v>30</v>
      </c>
      <c r="P1159">
        <v>1</v>
      </c>
      <c r="Q1159">
        <v>10</v>
      </c>
      <c r="R1159">
        <v>25</v>
      </c>
      <c r="S1159">
        <v>0</v>
      </c>
      <c r="T1159">
        <v>0</v>
      </c>
      <c r="U1159" s="8">
        <v>25</v>
      </c>
      <c r="V1159" s="8">
        <f t="shared" si="18"/>
        <v>3</v>
      </c>
    </row>
    <row r="1160" spans="1:22" x14ac:dyDescent="0.3">
      <c r="A1160" t="s">
        <v>470</v>
      </c>
      <c r="B1160">
        <v>3</v>
      </c>
      <c r="C1160" t="s">
        <v>220</v>
      </c>
      <c r="D1160" t="s">
        <v>221</v>
      </c>
      <c r="E1160" t="s">
        <v>219</v>
      </c>
      <c r="F1160" t="s">
        <v>109</v>
      </c>
      <c r="G1160" t="s">
        <v>134</v>
      </c>
      <c r="H1160">
        <v>31</v>
      </c>
      <c r="I1160">
        <v>25</v>
      </c>
      <c r="J1160">
        <v>124</v>
      </c>
      <c r="K1160" t="s">
        <v>246</v>
      </c>
      <c r="L1160">
        <v>35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 s="8">
        <v>35</v>
      </c>
      <c r="V1160" s="8">
        <f t="shared" si="18"/>
        <v>4</v>
      </c>
    </row>
    <row r="1161" spans="1:22" x14ac:dyDescent="0.3">
      <c r="A1161" t="s">
        <v>470</v>
      </c>
      <c r="B1161">
        <v>3</v>
      </c>
      <c r="C1161" t="s">
        <v>226</v>
      </c>
      <c r="D1161" t="s">
        <v>211</v>
      </c>
      <c r="E1161" t="s">
        <v>219</v>
      </c>
      <c r="F1161" t="s">
        <v>169</v>
      </c>
      <c r="G1161" t="s">
        <v>134</v>
      </c>
      <c r="H1161">
        <v>8</v>
      </c>
      <c r="I1161">
        <v>10</v>
      </c>
      <c r="J1161">
        <v>80</v>
      </c>
      <c r="K1161" t="s">
        <v>246</v>
      </c>
      <c r="L1161">
        <v>10</v>
      </c>
      <c r="M1161">
        <v>1</v>
      </c>
      <c r="N1161">
        <v>0</v>
      </c>
      <c r="O1161">
        <v>11</v>
      </c>
      <c r="P1161">
        <v>0</v>
      </c>
      <c r="Q1161">
        <v>11</v>
      </c>
      <c r="R1161">
        <v>0</v>
      </c>
      <c r="S1161">
        <v>0</v>
      </c>
      <c r="T1161">
        <v>0</v>
      </c>
      <c r="U1161" s="8">
        <v>10</v>
      </c>
      <c r="V1161" s="8">
        <f t="shared" si="18"/>
        <v>1</v>
      </c>
    </row>
    <row r="1162" spans="1:22" x14ac:dyDescent="0.3">
      <c r="A1162" t="s">
        <v>470</v>
      </c>
      <c r="B1162">
        <v>3</v>
      </c>
      <c r="C1162" t="s">
        <v>442</v>
      </c>
      <c r="D1162" t="s">
        <v>443</v>
      </c>
      <c r="E1162" t="s">
        <v>219</v>
      </c>
      <c r="F1162" t="s">
        <v>85</v>
      </c>
      <c r="G1162" t="s">
        <v>134</v>
      </c>
      <c r="H1162">
        <v>14</v>
      </c>
      <c r="I1162">
        <v>11</v>
      </c>
      <c r="J1162">
        <v>127.27</v>
      </c>
      <c r="K1162" t="s">
        <v>246</v>
      </c>
      <c r="L1162">
        <v>15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 s="8">
        <v>15</v>
      </c>
      <c r="V1162" s="8">
        <f t="shared" si="18"/>
        <v>2</v>
      </c>
    </row>
    <row r="1163" spans="1:22" x14ac:dyDescent="0.3">
      <c r="A1163" t="s">
        <v>470</v>
      </c>
      <c r="B1163">
        <v>3</v>
      </c>
      <c r="C1163" t="s">
        <v>512</v>
      </c>
      <c r="D1163" t="s">
        <v>542</v>
      </c>
      <c r="E1163" t="s">
        <v>219</v>
      </c>
      <c r="F1163" t="s">
        <v>169</v>
      </c>
      <c r="G1163" t="s">
        <v>134</v>
      </c>
      <c r="H1163">
        <v>8</v>
      </c>
      <c r="I1163">
        <v>6</v>
      </c>
      <c r="J1163">
        <v>133.33000000000001</v>
      </c>
      <c r="K1163" t="s">
        <v>245</v>
      </c>
      <c r="L1163">
        <v>10</v>
      </c>
      <c r="M1163">
        <v>4</v>
      </c>
      <c r="N1163">
        <v>0</v>
      </c>
      <c r="O1163">
        <v>34</v>
      </c>
      <c r="P1163">
        <v>1</v>
      </c>
      <c r="Q1163">
        <v>8.5</v>
      </c>
      <c r="R1163">
        <v>25</v>
      </c>
      <c r="S1163">
        <v>0</v>
      </c>
      <c r="T1163">
        <v>0</v>
      </c>
      <c r="U1163" s="8">
        <v>35</v>
      </c>
      <c r="V1163" s="8">
        <f t="shared" si="18"/>
        <v>4</v>
      </c>
    </row>
    <row r="1164" spans="1:22" x14ac:dyDescent="0.3">
      <c r="A1164" t="s">
        <v>470</v>
      </c>
      <c r="B1164">
        <v>3</v>
      </c>
      <c r="C1164" t="s">
        <v>233</v>
      </c>
      <c r="D1164" t="s">
        <v>234</v>
      </c>
      <c r="E1164" t="s">
        <v>219</v>
      </c>
      <c r="F1164" t="s">
        <v>101</v>
      </c>
      <c r="G1164" t="s">
        <v>134</v>
      </c>
      <c r="H1164">
        <v>33</v>
      </c>
      <c r="I1164">
        <v>19</v>
      </c>
      <c r="J1164">
        <v>173.68</v>
      </c>
      <c r="K1164" t="s">
        <v>256</v>
      </c>
      <c r="L1164">
        <v>35</v>
      </c>
      <c r="M1164">
        <v>4</v>
      </c>
      <c r="N1164">
        <v>0</v>
      </c>
      <c r="O1164">
        <v>29</v>
      </c>
      <c r="P1164">
        <v>0</v>
      </c>
      <c r="Q1164">
        <v>7.2</v>
      </c>
      <c r="R1164">
        <v>0</v>
      </c>
      <c r="S1164">
        <v>0</v>
      </c>
      <c r="T1164">
        <v>0</v>
      </c>
      <c r="U1164" s="8">
        <v>35</v>
      </c>
      <c r="V1164" s="8">
        <f t="shared" si="18"/>
        <v>4</v>
      </c>
    </row>
    <row r="1165" spans="1:22" x14ac:dyDescent="0.3">
      <c r="A1165" t="s">
        <v>470</v>
      </c>
      <c r="B1165">
        <v>3</v>
      </c>
      <c r="C1165" t="s">
        <v>377</v>
      </c>
      <c r="D1165" t="s">
        <v>378</v>
      </c>
      <c r="E1165" t="s">
        <v>219</v>
      </c>
      <c r="F1165" t="s">
        <v>169</v>
      </c>
      <c r="G1165" t="s">
        <v>134</v>
      </c>
      <c r="H1165">
        <v>14</v>
      </c>
      <c r="I1165">
        <v>8</v>
      </c>
      <c r="J1165">
        <v>175</v>
      </c>
      <c r="K1165" t="s">
        <v>256</v>
      </c>
      <c r="L1165">
        <v>15</v>
      </c>
      <c r="M1165">
        <v>1</v>
      </c>
      <c r="N1165">
        <v>0</v>
      </c>
      <c r="O1165">
        <v>8</v>
      </c>
      <c r="P1165">
        <v>0</v>
      </c>
      <c r="Q1165">
        <v>8</v>
      </c>
      <c r="R1165">
        <v>0</v>
      </c>
      <c r="S1165">
        <v>0</v>
      </c>
      <c r="T1165">
        <v>0</v>
      </c>
      <c r="U1165" s="8">
        <v>15</v>
      </c>
      <c r="V1165" s="8">
        <f t="shared" si="18"/>
        <v>2</v>
      </c>
    </row>
    <row r="1166" spans="1:22" x14ac:dyDescent="0.3">
      <c r="A1166" t="s">
        <v>470</v>
      </c>
      <c r="B1166">
        <v>3</v>
      </c>
      <c r="C1166" t="s">
        <v>509</v>
      </c>
      <c r="D1166" t="s">
        <v>523</v>
      </c>
      <c r="E1166" t="s">
        <v>219</v>
      </c>
      <c r="F1166" t="s">
        <v>169</v>
      </c>
      <c r="G1166" t="s">
        <v>134</v>
      </c>
      <c r="H1166">
        <v>2</v>
      </c>
      <c r="I1166">
        <v>2</v>
      </c>
      <c r="J1166">
        <v>100</v>
      </c>
      <c r="K1166" t="s">
        <v>96</v>
      </c>
      <c r="L1166">
        <v>5</v>
      </c>
      <c r="M1166">
        <v>3</v>
      </c>
      <c r="N1166">
        <v>0</v>
      </c>
      <c r="O1166">
        <v>26</v>
      </c>
      <c r="P1166">
        <v>0</v>
      </c>
      <c r="Q1166">
        <v>8.6999999999999993</v>
      </c>
      <c r="R1166">
        <v>0</v>
      </c>
      <c r="S1166">
        <v>0</v>
      </c>
      <c r="T1166">
        <v>0</v>
      </c>
      <c r="U1166" s="8">
        <v>5</v>
      </c>
      <c r="V1166" s="8">
        <f t="shared" si="18"/>
        <v>1</v>
      </c>
    </row>
    <row r="1167" spans="1:22" x14ac:dyDescent="0.3">
      <c r="A1167" t="s">
        <v>471</v>
      </c>
      <c r="B1167">
        <v>3</v>
      </c>
      <c r="C1167" t="s">
        <v>81</v>
      </c>
      <c r="D1167" t="s">
        <v>114</v>
      </c>
      <c r="E1167" t="s">
        <v>258</v>
      </c>
      <c r="F1167" t="s">
        <v>85</v>
      </c>
      <c r="G1167" t="s">
        <v>86</v>
      </c>
      <c r="H1167">
        <v>10</v>
      </c>
      <c r="I1167">
        <v>11</v>
      </c>
      <c r="J1167">
        <v>90.91</v>
      </c>
      <c r="K1167" t="s">
        <v>246</v>
      </c>
      <c r="L1167">
        <v>12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 s="8">
        <v>12</v>
      </c>
      <c r="V1167" s="8">
        <f t="shared" si="18"/>
        <v>1</v>
      </c>
    </row>
    <row r="1168" spans="1:22" x14ac:dyDescent="0.3">
      <c r="A1168" t="s">
        <v>471</v>
      </c>
      <c r="B1168">
        <v>3</v>
      </c>
      <c r="C1168" t="s">
        <v>89</v>
      </c>
      <c r="D1168" t="s">
        <v>116</v>
      </c>
      <c r="E1168" t="s">
        <v>258</v>
      </c>
      <c r="F1168" t="s">
        <v>169</v>
      </c>
      <c r="G1168" t="s">
        <v>86</v>
      </c>
      <c r="H1168">
        <v>5</v>
      </c>
      <c r="I1168">
        <v>10</v>
      </c>
      <c r="J1168">
        <v>50</v>
      </c>
      <c r="K1168" t="s">
        <v>246</v>
      </c>
      <c r="L1168">
        <v>5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 s="8">
        <v>5</v>
      </c>
      <c r="V1168" s="8">
        <f t="shared" si="18"/>
        <v>1</v>
      </c>
    </row>
    <row r="1169" spans="1:22" x14ac:dyDescent="0.3">
      <c r="A1169" t="s">
        <v>471</v>
      </c>
      <c r="B1169">
        <v>3</v>
      </c>
      <c r="C1169" t="s">
        <v>383</v>
      </c>
      <c r="D1169" t="s">
        <v>384</v>
      </c>
      <c r="E1169" t="s">
        <v>258</v>
      </c>
      <c r="F1169" t="s">
        <v>109</v>
      </c>
      <c r="G1169" t="s">
        <v>92</v>
      </c>
      <c r="H1169">
        <v>0</v>
      </c>
      <c r="I1169">
        <v>3</v>
      </c>
      <c r="J1169">
        <v>0</v>
      </c>
      <c r="K1169" t="s">
        <v>247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 s="8">
        <v>0</v>
      </c>
      <c r="V1169" s="8">
        <f t="shared" si="18"/>
        <v>0</v>
      </c>
    </row>
    <row r="1170" spans="1:22" x14ac:dyDescent="0.3">
      <c r="A1170" t="s">
        <v>471</v>
      </c>
      <c r="B1170">
        <v>3</v>
      </c>
      <c r="C1170" t="s">
        <v>93</v>
      </c>
      <c r="D1170" t="s">
        <v>118</v>
      </c>
      <c r="E1170" t="s">
        <v>258</v>
      </c>
      <c r="F1170" t="s">
        <v>169</v>
      </c>
      <c r="G1170" t="s">
        <v>134</v>
      </c>
      <c r="H1170">
        <v>3</v>
      </c>
      <c r="I1170">
        <v>9</v>
      </c>
      <c r="J1170">
        <v>33.33</v>
      </c>
      <c r="K1170" t="s">
        <v>245</v>
      </c>
      <c r="L1170">
        <v>3</v>
      </c>
      <c r="M1170">
        <v>3</v>
      </c>
      <c r="N1170">
        <v>0</v>
      </c>
      <c r="O1170">
        <v>33</v>
      </c>
      <c r="P1170">
        <v>1</v>
      </c>
      <c r="Q1170">
        <v>11</v>
      </c>
      <c r="R1170">
        <v>25</v>
      </c>
      <c r="S1170">
        <v>0</v>
      </c>
      <c r="T1170">
        <v>0</v>
      </c>
      <c r="U1170" s="8">
        <v>28</v>
      </c>
      <c r="V1170" s="8">
        <f t="shared" si="18"/>
        <v>3</v>
      </c>
    </row>
    <row r="1171" spans="1:22" x14ac:dyDescent="0.3">
      <c r="A1171" t="s">
        <v>471</v>
      </c>
      <c r="B1171">
        <v>3</v>
      </c>
      <c r="C1171" t="s">
        <v>493</v>
      </c>
      <c r="D1171" t="s">
        <v>500</v>
      </c>
      <c r="E1171" t="s">
        <v>258</v>
      </c>
      <c r="F1171" t="s">
        <v>169</v>
      </c>
      <c r="G1171" t="s">
        <v>134</v>
      </c>
      <c r="H1171">
        <v>0</v>
      </c>
      <c r="I1171">
        <v>1</v>
      </c>
      <c r="J1171">
        <v>0</v>
      </c>
      <c r="K1171" t="s">
        <v>246</v>
      </c>
      <c r="L1171">
        <v>0</v>
      </c>
      <c r="M1171">
        <v>4</v>
      </c>
      <c r="N1171">
        <v>0</v>
      </c>
      <c r="O1171">
        <v>26</v>
      </c>
      <c r="P1171">
        <v>2</v>
      </c>
      <c r="Q1171">
        <v>6.5</v>
      </c>
      <c r="R1171">
        <v>50</v>
      </c>
      <c r="S1171">
        <v>0</v>
      </c>
      <c r="T1171">
        <v>0</v>
      </c>
      <c r="U1171" s="8">
        <v>50</v>
      </c>
      <c r="V1171" s="8">
        <f t="shared" si="18"/>
        <v>5</v>
      </c>
    </row>
    <row r="1172" spans="1:22" x14ac:dyDescent="0.3">
      <c r="A1172" t="s">
        <v>471</v>
      </c>
      <c r="B1172">
        <v>3</v>
      </c>
      <c r="C1172" t="s">
        <v>530</v>
      </c>
      <c r="D1172" t="s">
        <v>502</v>
      </c>
      <c r="E1172" t="s">
        <v>258</v>
      </c>
      <c r="F1172" t="s">
        <v>169</v>
      </c>
      <c r="G1172" t="s">
        <v>134</v>
      </c>
      <c r="H1172">
        <v>26</v>
      </c>
      <c r="I1172">
        <v>24</v>
      </c>
      <c r="J1172">
        <v>108.33</v>
      </c>
      <c r="K1172" t="s">
        <v>245</v>
      </c>
      <c r="L1172">
        <v>30</v>
      </c>
      <c r="M1172">
        <v>4</v>
      </c>
      <c r="N1172">
        <v>0</v>
      </c>
      <c r="O1172">
        <v>30</v>
      </c>
      <c r="P1172">
        <v>0</v>
      </c>
      <c r="Q1172">
        <v>7.5</v>
      </c>
      <c r="R1172">
        <v>0</v>
      </c>
      <c r="S1172">
        <v>0</v>
      </c>
      <c r="T1172">
        <v>0</v>
      </c>
      <c r="U1172" s="8">
        <v>30</v>
      </c>
      <c r="V1172" s="8">
        <f t="shared" si="18"/>
        <v>3</v>
      </c>
    </row>
    <row r="1173" spans="1:22" x14ac:dyDescent="0.3">
      <c r="A1173" t="s">
        <v>471</v>
      </c>
      <c r="B1173">
        <v>3</v>
      </c>
      <c r="C1173" t="s">
        <v>105</v>
      </c>
      <c r="D1173" t="s">
        <v>128</v>
      </c>
      <c r="E1173" t="s">
        <v>258</v>
      </c>
      <c r="F1173" t="s">
        <v>101</v>
      </c>
      <c r="G1173" t="s">
        <v>134</v>
      </c>
      <c r="H1173">
        <v>16</v>
      </c>
      <c r="I1173">
        <v>24</v>
      </c>
      <c r="J1173">
        <v>66.67</v>
      </c>
      <c r="K1173" t="s">
        <v>256</v>
      </c>
      <c r="L1173">
        <v>15</v>
      </c>
      <c r="M1173">
        <v>2</v>
      </c>
      <c r="N1173">
        <v>0</v>
      </c>
      <c r="O1173">
        <v>13</v>
      </c>
      <c r="P1173">
        <v>1</v>
      </c>
      <c r="Q1173">
        <v>6.5</v>
      </c>
      <c r="R1173">
        <v>25</v>
      </c>
      <c r="S1173">
        <v>0</v>
      </c>
      <c r="T1173">
        <v>0</v>
      </c>
      <c r="U1173" s="8">
        <v>40</v>
      </c>
      <c r="V1173" s="8">
        <f t="shared" si="18"/>
        <v>4</v>
      </c>
    </row>
    <row r="1174" spans="1:22" x14ac:dyDescent="0.3">
      <c r="A1174" t="s">
        <v>471</v>
      </c>
      <c r="B1174">
        <v>3</v>
      </c>
      <c r="C1174" t="s">
        <v>447</v>
      </c>
      <c r="D1174" t="s">
        <v>448</v>
      </c>
      <c r="E1174" t="s">
        <v>258</v>
      </c>
      <c r="F1174" t="s">
        <v>109</v>
      </c>
      <c r="G1174" t="s">
        <v>134</v>
      </c>
      <c r="H1174">
        <v>40</v>
      </c>
      <c r="I1174">
        <v>29</v>
      </c>
      <c r="J1174">
        <v>137.93</v>
      </c>
      <c r="K1174" t="s">
        <v>96</v>
      </c>
      <c r="L1174">
        <v>50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 s="8">
        <v>50</v>
      </c>
      <c r="V1174" s="8">
        <f t="shared" si="18"/>
        <v>5</v>
      </c>
    </row>
    <row r="1175" spans="1:22" x14ac:dyDescent="0.3">
      <c r="A1175" t="s">
        <v>471</v>
      </c>
      <c r="B1175">
        <v>3</v>
      </c>
      <c r="C1175" t="s">
        <v>227</v>
      </c>
      <c r="D1175" t="s">
        <v>228</v>
      </c>
      <c r="E1175" t="s">
        <v>258</v>
      </c>
      <c r="F1175" t="s">
        <v>109</v>
      </c>
      <c r="G1175" t="s">
        <v>134</v>
      </c>
      <c r="H1175">
        <v>5</v>
      </c>
      <c r="I1175">
        <v>7</v>
      </c>
      <c r="J1175">
        <v>71.430000000000007</v>
      </c>
      <c r="K1175" t="s">
        <v>246</v>
      </c>
      <c r="L1175">
        <v>5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 s="8">
        <v>5</v>
      </c>
      <c r="V1175" s="8">
        <f t="shared" si="18"/>
        <v>1</v>
      </c>
    </row>
    <row r="1176" spans="1:22" x14ac:dyDescent="0.3">
      <c r="A1176" t="s">
        <v>471</v>
      </c>
      <c r="B1176">
        <v>3</v>
      </c>
      <c r="C1176" t="s">
        <v>389</v>
      </c>
      <c r="D1176" t="s">
        <v>390</v>
      </c>
      <c r="E1176" t="s">
        <v>258</v>
      </c>
      <c r="F1176" t="s">
        <v>101</v>
      </c>
      <c r="G1176" t="s">
        <v>134</v>
      </c>
      <c r="H1176">
        <v>0</v>
      </c>
      <c r="I1176">
        <v>1</v>
      </c>
      <c r="J1176">
        <v>0</v>
      </c>
      <c r="K1176" t="s">
        <v>245</v>
      </c>
      <c r="L1176">
        <v>0</v>
      </c>
      <c r="M1176">
        <v>1</v>
      </c>
      <c r="N1176">
        <v>0</v>
      </c>
      <c r="O1176">
        <v>8</v>
      </c>
      <c r="P1176">
        <v>0</v>
      </c>
      <c r="Q1176">
        <v>8</v>
      </c>
      <c r="R1176">
        <v>0</v>
      </c>
      <c r="S1176">
        <v>0</v>
      </c>
      <c r="T1176">
        <v>0</v>
      </c>
      <c r="U1176" s="8">
        <v>0</v>
      </c>
      <c r="V1176" s="8">
        <f t="shared" si="18"/>
        <v>0</v>
      </c>
    </row>
    <row r="1177" spans="1:22" x14ac:dyDescent="0.3">
      <c r="A1177" t="s">
        <v>471</v>
      </c>
      <c r="B1177">
        <v>3</v>
      </c>
      <c r="C1177" t="s">
        <v>494</v>
      </c>
      <c r="D1177" t="s">
        <v>501</v>
      </c>
      <c r="E1177" t="s">
        <v>258</v>
      </c>
      <c r="F1177" t="s">
        <v>101</v>
      </c>
      <c r="G1177" t="s">
        <v>134</v>
      </c>
      <c r="H1177">
        <v>1</v>
      </c>
      <c r="I1177">
        <v>1</v>
      </c>
      <c r="J1177">
        <v>100</v>
      </c>
      <c r="K1177" t="s">
        <v>96</v>
      </c>
      <c r="L1177">
        <v>2</v>
      </c>
      <c r="M1177">
        <v>1.1000000000000001</v>
      </c>
      <c r="N1177">
        <v>0</v>
      </c>
      <c r="O1177">
        <v>18</v>
      </c>
      <c r="P1177">
        <v>0</v>
      </c>
      <c r="Q1177">
        <v>15.4</v>
      </c>
      <c r="R1177">
        <v>0</v>
      </c>
      <c r="S1177">
        <v>0</v>
      </c>
      <c r="T1177">
        <v>0</v>
      </c>
      <c r="U1177" s="8">
        <v>2</v>
      </c>
      <c r="V1177" s="8">
        <f t="shared" si="18"/>
        <v>0</v>
      </c>
    </row>
    <row r="1178" spans="1:22" x14ac:dyDescent="0.3">
      <c r="A1178" t="s">
        <v>471</v>
      </c>
      <c r="B1178">
        <v>3</v>
      </c>
      <c r="C1178" t="s">
        <v>190</v>
      </c>
      <c r="D1178" t="s">
        <v>191</v>
      </c>
      <c r="E1178" t="s">
        <v>158</v>
      </c>
      <c r="F1178" t="s">
        <v>109</v>
      </c>
      <c r="G1178" t="s">
        <v>86</v>
      </c>
      <c r="H1178">
        <v>3</v>
      </c>
      <c r="I1178">
        <v>13</v>
      </c>
      <c r="J1178">
        <v>23.08</v>
      </c>
      <c r="K1178" t="s">
        <v>245</v>
      </c>
      <c r="L1178">
        <v>2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 s="8">
        <v>2</v>
      </c>
      <c r="V1178" s="8">
        <f t="shared" si="18"/>
        <v>0</v>
      </c>
    </row>
    <row r="1179" spans="1:22" x14ac:dyDescent="0.3">
      <c r="A1179" t="s">
        <v>471</v>
      </c>
      <c r="B1179">
        <v>3</v>
      </c>
      <c r="C1179" t="s">
        <v>188</v>
      </c>
      <c r="D1179" t="s">
        <v>189</v>
      </c>
      <c r="E1179" t="s">
        <v>158</v>
      </c>
      <c r="F1179" t="s">
        <v>109</v>
      </c>
      <c r="G1179" t="s">
        <v>86</v>
      </c>
      <c r="H1179">
        <v>44</v>
      </c>
      <c r="I1179">
        <v>27</v>
      </c>
      <c r="J1179">
        <v>162.96</v>
      </c>
      <c r="K1179" t="s">
        <v>247</v>
      </c>
      <c r="L1179">
        <v>55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 s="8">
        <v>55</v>
      </c>
      <c r="V1179" s="8">
        <f t="shared" si="18"/>
        <v>6</v>
      </c>
    </row>
    <row r="1180" spans="1:22" x14ac:dyDescent="0.3">
      <c r="A1180" t="s">
        <v>471</v>
      </c>
      <c r="B1180">
        <v>3</v>
      </c>
      <c r="C1180" t="s">
        <v>198</v>
      </c>
      <c r="D1180" t="s">
        <v>199</v>
      </c>
      <c r="E1180" t="s">
        <v>158</v>
      </c>
      <c r="F1180" t="s">
        <v>101</v>
      </c>
      <c r="G1180" t="s">
        <v>92</v>
      </c>
      <c r="H1180">
        <v>61</v>
      </c>
      <c r="I1180">
        <v>32</v>
      </c>
      <c r="J1180">
        <v>190.62</v>
      </c>
      <c r="K1180" t="s">
        <v>96</v>
      </c>
      <c r="L1180">
        <v>75</v>
      </c>
      <c r="M1180">
        <v>3</v>
      </c>
      <c r="N1180">
        <v>0</v>
      </c>
      <c r="O1180">
        <v>24</v>
      </c>
      <c r="P1180">
        <v>1</v>
      </c>
      <c r="Q1180">
        <v>8</v>
      </c>
      <c r="R1180">
        <v>25</v>
      </c>
      <c r="S1180">
        <v>0</v>
      </c>
      <c r="T1180">
        <v>0</v>
      </c>
      <c r="U1180" s="8">
        <v>100</v>
      </c>
      <c r="V1180" s="8">
        <f t="shared" si="18"/>
        <v>10</v>
      </c>
    </row>
    <row r="1181" spans="1:22" x14ac:dyDescent="0.3">
      <c r="A1181" t="s">
        <v>471</v>
      </c>
      <c r="B1181">
        <v>3</v>
      </c>
      <c r="C1181" t="s">
        <v>194</v>
      </c>
      <c r="D1181" t="s">
        <v>195</v>
      </c>
      <c r="E1181" t="s">
        <v>158</v>
      </c>
      <c r="F1181" t="s">
        <v>109</v>
      </c>
      <c r="G1181" t="s">
        <v>134</v>
      </c>
      <c r="H1181">
        <v>5</v>
      </c>
      <c r="I1181">
        <v>9</v>
      </c>
      <c r="J1181">
        <v>55.56</v>
      </c>
      <c r="K1181" t="s">
        <v>246</v>
      </c>
      <c r="L1181">
        <v>5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 s="8">
        <v>5</v>
      </c>
      <c r="V1181" s="8">
        <f t="shared" si="18"/>
        <v>1</v>
      </c>
    </row>
    <row r="1182" spans="1:22" x14ac:dyDescent="0.3">
      <c r="A1182" t="s">
        <v>471</v>
      </c>
      <c r="B1182">
        <v>3</v>
      </c>
      <c r="C1182" t="s">
        <v>94</v>
      </c>
      <c r="D1182" t="s">
        <v>120</v>
      </c>
      <c r="E1182" t="s">
        <v>158</v>
      </c>
      <c r="F1182" t="s">
        <v>169</v>
      </c>
      <c r="G1182" t="s">
        <v>134</v>
      </c>
      <c r="H1182">
        <v>1</v>
      </c>
      <c r="I1182">
        <v>2</v>
      </c>
      <c r="J1182">
        <v>50</v>
      </c>
      <c r="K1182" t="s">
        <v>246</v>
      </c>
      <c r="L1182">
        <v>2</v>
      </c>
      <c r="M1182">
        <v>4</v>
      </c>
      <c r="N1182">
        <v>0</v>
      </c>
      <c r="O1182">
        <v>20</v>
      </c>
      <c r="P1182">
        <v>2</v>
      </c>
      <c r="Q1182">
        <v>5</v>
      </c>
      <c r="R1182">
        <v>50</v>
      </c>
      <c r="S1182">
        <v>0</v>
      </c>
      <c r="T1182">
        <v>0</v>
      </c>
      <c r="U1182" s="8">
        <v>52</v>
      </c>
      <c r="V1182" s="8">
        <f t="shared" si="18"/>
        <v>5</v>
      </c>
    </row>
    <row r="1183" spans="1:22" x14ac:dyDescent="0.3">
      <c r="A1183" t="s">
        <v>471</v>
      </c>
      <c r="B1183">
        <v>3</v>
      </c>
      <c r="C1183" t="s">
        <v>192</v>
      </c>
      <c r="D1183" t="s">
        <v>193</v>
      </c>
      <c r="E1183" t="s">
        <v>158</v>
      </c>
      <c r="F1183" t="s">
        <v>169</v>
      </c>
      <c r="G1183" t="s">
        <v>134</v>
      </c>
      <c r="H1183">
        <v>9</v>
      </c>
      <c r="I1183">
        <v>8</v>
      </c>
      <c r="J1183">
        <v>112.5</v>
      </c>
      <c r="K1183" t="s">
        <v>96</v>
      </c>
      <c r="L1183">
        <v>10</v>
      </c>
      <c r="M1183">
        <v>4</v>
      </c>
      <c r="N1183">
        <v>1</v>
      </c>
      <c r="O1183">
        <v>17</v>
      </c>
      <c r="P1183">
        <v>2</v>
      </c>
      <c r="Q1183">
        <v>4.2</v>
      </c>
      <c r="R1183">
        <v>50</v>
      </c>
      <c r="S1183">
        <v>0</v>
      </c>
      <c r="T1183">
        <v>0</v>
      </c>
      <c r="U1183" s="8">
        <v>60</v>
      </c>
      <c r="V1183" s="8">
        <f t="shared" si="18"/>
        <v>6</v>
      </c>
    </row>
    <row r="1184" spans="1:22" x14ac:dyDescent="0.3">
      <c r="A1184" t="s">
        <v>471</v>
      </c>
      <c r="B1184">
        <v>3</v>
      </c>
      <c r="C1184" t="s">
        <v>496</v>
      </c>
      <c r="D1184" t="s">
        <v>518</v>
      </c>
      <c r="E1184" t="s">
        <v>158</v>
      </c>
      <c r="F1184" t="s">
        <v>85</v>
      </c>
      <c r="G1184" t="s">
        <v>104</v>
      </c>
      <c r="H1184">
        <v>0</v>
      </c>
      <c r="I1184">
        <v>0</v>
      </c>
      <c r="J1184">
        <v>0</v>
      </c>
      <c r="K1184" t="s">
        <v>104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 s="8">
        <v>0</v>
      </c>
      <c r="V1184" s="8">
        <f t="shared" si="18"/>
        <v>0</v>
      </c>
    </row>
    <row r="1185" spans="1:22" x14ac:dyDescent="0.3">
      <c r="A1185" t="s">
        <v>471</v>
      </c>
      <c r="B1185">
        <v>3</v>
      </c>
      <c r="C1185" t="s">
        <v>495</v>
      </c>
      <c r="D1185" t="s">
        <v>503</v>
      </c>
      <c r="E1185" t="s">
        <v>158</v>
      </c>
      <c r="F1185" t="s">
        <v>169</v>
      </c>
      <c r="G1185" t="s">
        <v>104</v>
      </c>
      <c r="H1185">
        <v>0</v>
      </c>
      <c r="I1185">
        <v>0</v>
      </c>
      <c r="J1185">
        <v>0</v>
      </c>
      <c r="K1185" t="s">
        <v>104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 s="8">
        <v>0</v>
      </c>
      <c r="V1185" s="8">
        <f t="shared" si="18"/>
        <v>0</v>
      </c>
    </row>
    <row r="1186" spans="1:22" x14ac:dyDescent="0.3">
      <c r="A1186" t="s">
        <v>471</v>
      </c>
      <c r="B1186">
        <v>3</v>
      </c>
      <c r="C1186" t="s">
        <v>204</v>
      </c>
      <c r="D1186" t="s">
        <v>205</v>
      </c>
      <c r="E1186" t="s">
        <v>158</v>
      </c>
      <c r="F1186" t="s">
        <v>169</v>
      </c>
      <c r="G1186" t="s">
        <v>104</v>
      </c>
      <c r="H1186">
        <v>0</v>
      </c>
      <c r="I1186">
        <v>0</v>
      </c>
      <c r="J1186">
        <v>0</v>
      </c>
      <c r="K1186" t="s">
        <v>104</v>
      </c>
      <c r="L1186">
        <v>0</v>
      </c>
      <c r="M1186">
        <v>3</v>
      </c>
      <c r="N1186">
        <v>0</v>
      </c>
      <c r="O1186">
        <v>18</v>
      </c>
      <c r="P1186">
        <v>2</v>
      </c>
      <c r="Q1186">
        <v>6</v>
      </c>
      <c r="R1186">
        <v>50</v>
      </c>
      <c r="S1186">
        <v>0</v>
      </c>
      <c r="T1186">
        <v>0</v>
      </c>
      <c r="U1186" s="8">
        <v>50</v>
      </c>
      <c r="V1186" s="8">
        <f t="shared" si="18"/>
        <v>5</v>
      </c>
    </row>
    <row r="1187" spans="1:22" x14ac:dyDescent="0.3">
      <c r="A1187" t="s">
        <v>471</v>
      </c>
      <c r="B1187">
        <v>3</v>
      </c>
      <c r="C1187" t="s">
        <v>274</v>
      </c>
      <c r="D1187" t="s">
        <v>284</v>
      </c>
      <c r="E1187" t="s">
        <v>158</v>
      </c>
      <c r="F1187" t="s">
        <v>169</v>
      </c>
      <c r="G1187" t="s">
        <v>104</v>
      </c>
      <c r="H1187">
        <v>0</v>
      </c>
      <c r="I1187">
        <v>0</v>
      </c>
      <c r="J1187">
        <v>0</v>
      </c>
      <c r="K1187" t="s">
        <v>104</v>
      </c>
      <c r="L1187">
        <v>0</v>
      </c>
      <c r="M1187">
        <v>4</v>
      </c>
      <c r="N1187">
        <v>0</v>
      </c>
      <c r="O1187">
        <v>21</v>
      </c>
      <c r="P1187">
        <v>0</v>
      </c>
      <c r="Q1187">
        <v>5.2</v>
      </c>
      <c r="R1187">
        <v>15</v>
      </c>
      <c r="S1187">
        <v>0</v>
      </c>
      <c r="T1187">
        <v>0</v>
      </c>
      <c r="U1187" s="8">
        <v>15</v>
      </c>
      <c r="V1187" s="8">
        <f t="shared" si="18"/>
        <v>2</v>
      </c>
    </row>
    <row r="1188" spans="1:22" x14ac:dyDescent="0.3">
      <c r="A1188" t="s">
        <v>471</v>
      </c>
      <c r="B1188">
        <v>3</v>
      </c>
      <c r="C1188" t="s">
        <v>413</v>
      </c>
      <c r="D1188" t="s">
        <v>423</v>
      </c>
      <c r="E1188" t="s">
        <v>158</v>
      </c>
      <c r="F1188" t="s">
        <v>101</v>
      </c>
      <c r="G1188" t="s">
        <v>104</v>
      </c>
      <c r="H1188">
        <v>0</v>
      </c>
      <c r="I1188">
        <v>0</v>
      </c>
      <c r="J1188">
        <v>0</v>
      </c>
      <c r="K1188" t="s">
        <v>104</v>
      </c>
      <c r="L1188">
        <v>0</v>
      </c>
      <c r="M1188">
        <v>2</v>
      </c>
      <c r="N1188">
        <v>0</v>
      </c>
      <c r="O1188">
        <v>15</v>
      </c>
      <c r="P1188">
        <v>1</v>
      </c>
      <c r="Q1188">
        <v>7.5</v>
      </c>
      <c r="R1188">
        <v>25</v>
      </c>
      <c r="S1188">
        <v>0</v>
      </c>
      <c r="T1188">
        <v>0</v>
      </c>
      <c r="U1188" s="8">
        <v>25</v>
      </c>
      <c r="V1188" s="8">
        <f t="shared" si="18"/>
        <v>3</v>
      </c>
    </row>
    <row r="1189" spans="1:22" x14ac:dyDescent="0.3">
      <c r="A1189" t="s">
        <v>472</v>
      </c>
      <c r="B1189">
        <v>3</v>
      </c>
      <c r="C1189" t="s">
        <v>229</v>
      </c>
      <c r="D1189" t="s">
        <v>230</v>
      </c>
      <c r="E1189" t="s">
        <v>219</v>
      </c>
      <c r="F1189" t="s">
        <v>109</v>
      </c>
      <c r="G1189" t="s">
        <v>86</v>
      </c>
      <c r="H1189">
        <v>1</v>
      </c>
      <c r="I1189">
        <v>3</v>
      </c>
      <c r="J1189">
        <v>33.33</v>
      </c>
      <c r="K1189" t="s">
        <v>246</v>
      </c>
      <c r="L1189">
        <v>2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 s="8">
        <v>2</v>
      </c>
      <c r="V1189" s="8">
        <f t="shared" si="18"/>
        <v>0</v>
      </c>
    </row>
    <row r="1190" spans="1:22" x14ac:dyDescent="0.3">
      <c r="A1190" t="s">
        <v>472</v>
      </c>
      <c r="B1190">
        <v>3</v>
      </c>
      <c r="C1190" t="s">
        <v>226</v>
      </c>
      <c r="D1190" t="s">
        <v>211</v>
      </c>
      <c r="E1190" t="s">
        <v>219</v>
      </c>
      <c r="F1190" t="s">
        <v>169</v>
      </c>
      <c r="G1190" t="s">
        <v>92</v>
      </c>
      <c r="H1190">
        <v>45</v>
      </c>
      <c r="I1190">
        <v>26</v>
      </c>
      <c r="J1190">
        <v>173.08</v>
      </c>
      <c r="K1190" t="s">
        <v>246</v>
      </c>
      <c r="L1190">
        <v>55</v>
      </c>
      <c r="M1190">
        <v>2</v>
      </c>
      <c r="N1190">
        <v>0</v>
      </c>
      <c r="O1190">
        <v>29</v>
      </c>
      <c r="P1190">
        <v>0</v>
      </c>
      <c r="Q1190">
        <v>14.5</v>
      </c>
      <c r="R1190">
        <v>0</v>
      </c>
      <c r="S1190">
        <v>0</v>
      </c>
      <c r="T1190">
        <v>0</v>
      </c>
      <c r="U1190" s="8">
        <v>55</v>
      </c>
      <c r="V1190" s="8">
        <f t="shared" si="18"/>
        <v>6</v>
      </c>
    </row>
    <row r="1191" spans="1:22" x14ac:dyDescent="0.3">
      <c r="A1191" t="s">
        <v>472</v>
      </c>
      <c r="B1191">
        <v>3</v>
      </c>
      <c r="C1191" t="s">
        <v>375</v>
      </c>
      <c r="D1191" t="s">
        <v>376</v>
      </c>
      <c r="E1191" t="s">
        <v>219</v>
      </c>
      <c r="F1191" t="s">
        <v>109</v>
      </c>
      <c r="G1191" t="s">
        <v>92</v>
      </c>
      <c r="H1191">
        <v>33</v>
      </c>
      <c r="I1191">
        <v>30</v>
      </c>
      <c r="J1191">
        <v>110</v>
      </c>
      <c r="K1191" t="s">
        <v>246</v>
      </c>
      <c r="L1191">
        <v>40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 s="8">
        <v>40</v>
      </c>
      <c r="V1191" s="8">
        <f t="shared" si="18"/>
        <v>4</v>
      </c>
    </row>
    <row r="1192" spans="1:22" x14ac:dyDescent="0.3">
      <c r="A1192" t="s">
        <v>472</v>
      </c>
      <c r="B1192">
        <v>3</v>
      </c>
      <c r="C1192" t="s">
        <v>224</v>
      </c>
      <c r="D1192" t="s">
        <v>225</v>
      </c>
      <c r="E1192" t="s">
        <v>219</v>
      </c>
      <c r="F1192" t="s">
        <v>169</v>
      </c>
      <c r="G1192" t="s">
        <v>134</v>
      </c>
      <c r="H1192">
        <v>4</v>
      </c>
      <c r="I1192">
        <v>6</v>
      </c>
      <c r="J1192">
        <v>66.67</v>
      </c>
      <c r="K1192" t="s">
        <v>246</v>
      </c>
      <c r="L1192">
        <v>5</v>
      </c>
      <c r="M1192">
        <v>3</v>
      </c>
      <c r="N1192">
        <v>0</v>
      </c>
      <c r="O1192">
        <v>25</v>
      </c>
      <c r="P1192">
        <v>1</v>
      </c>
      <c r="Q1192">
        <v>8.3000000000000007</v>
      </c>
      <c r="R1192">
        <v>25</v>
      </c>
      <c r="S1192">
        <v>0</v>
      </c>
      <c r="T1192">
        <v>0</v>
      </c>
      <c r="U1192" s="8">
        <v>30</v>
      </c>
      <c r="V1192" s="8">
        <f t="shared" si="18"/>
        <v>3</v>
      </c>
    </row>
    <row r="1193" spans="1:22" x14ac:dyDescent="0.3">
      <c r="A1193" t="s">
        <v>472</v>
      </c>
      <c r="B1193">
        <v>3</v>
      </c>
      <c r="C1193" t="s">
        <v>222</v>
      </c>
      <c r="D1193" t="s">
        <v>223</v>
      </c>
      <c r="E1193" t="s">
        <v>219</v>
      </c>
      <c r="F1193" t="s">
        <v>169</v>
      </c>
      <c r="G1193" t="s">
        <v>134</v>
      </c>
      <c r="H1193">
        <v>1</v>
      </c>
      <c r="I1193">
        <v>2</v>
      </c>
      <c r="J1193">
        <v>50</v>
      </c>
      <c r="K1193" t="s">
        <v>245</v>
      </c>
      <c r="L1193">
        <v>2</v>
      </c>
      <c r="M1193">
        <v>2</v>
      </c>
      <c r="N1193">
        <v>0</v>
      </c>
      <c r="O1193">
        <v>11</v>
      </c>
      <c r="P1193">
        <v>0</v>
      </c>
      <c r="Q1193">
        <v>5.5</v>
      </c>
      <c r="R1193">
        <v>0</v>
      </c>
      <c r="S1193">
        <v>0</v>
      </c>
      <c r="T1193">
        <v>0</v>
      </c>
      <c r="U1193" s="8">
        <v>2</v>
      </c>
      <c r="V1193" s="8">
        <f t="shared" si="18"/>
        <v>0</v>
      </c>
    </row>
    <row r="1194" spans="1:22" x14ac:dyDescent="0.3">
      <c r="A1194" t="s">
        <v>472</v>
      </c>
      <c r="B1194">
        <v>3</v>
      </c>
      <c r="C1194" t="s">
        <v>220</v>
      </c>
      <c r="D1194" t="s">
        <v>221</v>
      </c>
      <c r="E1194" t="s">
        <v>219</v>
      </c>
      <c r="F1194" t="s">
        <v>109</v>
      </c>
      <c r="G1194" t="s">
        <v>134</v>
      </c>
      <c r="H1194">
        <v>19</v>
      </c>
      <c r="I1194">
        <v>13</v>
      </c>
      <c r="J1194">
        <v>146.15</v>
      </c>
      <c r="K1194" t="s">
        <v>246</v>
      </c>
      <c r="L1194">
        <v>25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 s="8">
        <v>25</v>
      </c>
      <c r="V1194" s="8">
        <f t="shared" si="18"/>
        <v>3</v>
      </c>
    </row>
    <row r="1195" spans="1:22" x14ac:dyDescent="0.3">
      <c r="A1195" t="s">
        <v>472</v>
      </c>
      <c r="B1195">
        <v>3</v>
      </c>
      <c r="C1195" t="s">
        <v>442</v>
      </c>
      <c r="D1195" t="s">
        <v>443</v>
      </c>
      <c r="E1195" t="s">
        <v>219</v>
      </c>
      <c r="F1195" t="s">
        <v>85</v>
      </c>
      <c r="G1195" t="s">
        <v>134</v>
      </c>
      <c r="H1195">
        <v>13</v>
      </c>
      <c r="I1195">
        <v>20</v>
      </c>
      <c r="J1195">
        <v>65</v>
      </c>
      <c r="K1195" t="s">
        <v>96</v>
      </c>
      <c r="L1195">
        <v>15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 s="8">
        <v>15</v>
      </c>
      <c r="V1195" s="8">
        <f t="shared" si="18"/>
        <v>2</v>
      </c>
    </row>
    <row r="1196" spans="1:22" x14ac:dyDescent="0.3">
      <c r="A1196" t="s">
        <v>472</v>
      </c>
      <c r="B1196">
        <v>3</v>
      </c>
      <c r="C1196" t="s">
        <v>512</v>
      </c>
      <c r="D1196" t="s">
        <v>542</v>
      </c>
      <c r="E1196" t="s">
        <v>219</v>
      </c>
      <c r="F1196" t="s">
        <v>169</v>
      </c>
      <c r="G1196" t="s">
        <v>134</v>
      </c>
      <c r="H1196">
        <v>7</v>
      </c>
      <c r="I1196">
        <v>8</v>
      </c>
      <c r="J1196">
        <v>87.5</v>
      </c>
      <c r="K1196" t="s">
        <v>246</v>
      </c>
      <c r="L1196">
        <v>8</v>
      </c>
      <c r="M1196">
        <v>4</v>
      </c>
      <c r="N1196">
        <v>0</v>
      </c>
      <c r="O1196">
        <v>24</v>
      </c>
      <c r="P1196">
        <v>0</v>
      </c>
      <c r="Q1196">
        <v>6</v>
      </c>
      <c r="R1196">
        <v>0</v>
      </c>
      <c r="S1196">
        <v>0</v>
      </c>
      <c r="T1196">
        <v>0</v>
      </c>
      <c r="U1196" s="8">
        <v>8</v>
      </c>
      <c r="V1196" s="8">
        <f t="shared" si="18"/>
        <v>1</v>
      </c>
    </row>
    <row r="1197" spans="1:22" x14ac:dyDescent="0.3">
      <c r="A1197" t="s">
        <v>472</v>
      </c>
      <c r="B1197">
        <v>3</v>
      </c>
      <c r="C1197" t="s">
        <v>233</v>
      </c>
      <c r="D1197" t="s">
        <v>234</v>
      </c>
      <c r="E1197" t="s">
        <v>219</v>
      </c>
      <c r="F1197" t="s">
        <v>101</v>
      </c>
      <c r="G1197" t="s">
        <v>134</v>
      </c>
      <c r="H1197">
        <v>6</v>
      </c>
      <c r="I1197">
        <v>8</v>
      </c>
      <c r="J1197">
        <v>75</v>
      </c>
      <c r="K1197" t="s">
        <v>245</v>
      </c>
      <c r="L1197">
        <v>8</v>
      </c>
      <c r="M1197">
        <v>4</v>
      </c>
      <c r="N1197">
        <v>0</v>
      </c>
      <c r="O1197">
        <v>29</v>
      </c>
      <c r="P1197">
        <v>1</v>
      </c>
      <c r="Q1197">
        <v>7.2</v>
      </c>
      <c r="R1197">
        <v>25</v>
      </c>
      <c r="S1197">
        <v>0</v>
      </c>
      <c r="T1197">
        <v>0</v>
      </c>
      <c r="U1197" s="8">
        <v>33</v>
      </c>
      <c r="V1197" s="8">
        <f t="shared" si="18"/>
        <v>3</v>
      </c>
    </row>
    <row r="1198" spans="1:22" x14ac:dyDescent="0.3">
      <c r="A1198" t="s">
        <v>472</v>
      </c>
      <c r="B1198">
        <v>3</v>
      </c>
      <c r="C1198" t="s">
        <v>377</v>
      </c>
      <c r="D1198" t="s">
        <v>378</v>
      </c>
      <c r="E1198" t="s">
        <v>219</v>
      </c>
      <c r="F1198" t="s">
        <v>169</v>
      </c>
      <c r="G1198" t="s">
        <v>134</v>
      </c>
      <c r="H1198">
        <v>0</v>
      </c>
      <c r="I1198">
        <v>2</v>
      </c>
      <c r="J1198">
        <v>0</v>
      </c>
      <c r="K1198" t="s">
        <v>245</v>
      </c>
      <c r="L1198">
        <v>0</v>
      </c>
      <c r="M1198">
        <v>1</v>
      </c>
      <c r="N1198">
        <v>0</v>
      </c>
      <c r="O1198">
        <v>15</v>
      </c>
      <c r="P1198">
        <v>0</v>
      </c>
      <c r="Q1198">
        <v>15</v>
      </c>
      <c r="R1198">
        <v>0</v>
      </c>
      <c r="S1198">
        <v>0</v>
      </c>
      <c r="T1198">
        <v>0</v>
      </c>
      <c r="U1198" s="8">
        <v>0</v>
      </c>
      <c r="V1198" s="8">
        <f t="shared" si="18"/>
        <v>0</v>
      </c>
    </row>
    <row r="1199" spans="1:22" x14ac:dyDescent="0.3">
      <c r="A1199" t="s">
        <v>472</v>
      </c>
      <c r="B1199">
        <v>3</v>
      </c>
      <c r="C1199" t="s">
        <v>509</v>
      </c>
      <c r="D1199" t="s">
        <v>523</v>
      </c>
      <c r="E1199" t="s">
        <v>219</v>
      </c>
      <c r="F1199" t="s">
        <v>169</v>
      </c>
      <c r="G1199" t="s">
        <v>134</v>
      </c>
      <c r="H1199">
        <v>5</v>
      </c>
      <c r="I1199">
        <v>2</v>
      </c>
      <c r="J1199">
        <v>250</v>
      </c>
      <c r="K1199" t="s">
        <v>96</v>
      </c>
      <c r="L1199">
        <v>10</v>
      </c>
      <c r="M1199">
        <v>1</v>
      </c>
      <c r="N1199">
        <v>0</v>
      </c>
      <c r="O1199">
        <v>8</v>
      </c>
      <c r="P1199">
        <v>0</v>
      </c>
      <c r="Q1199">
        <v>8</v>
      </c>
      <c r="R1199">
        <v>0</v>
      </c>
      <c r="S1199">
        <v>0</v>
      </c>
      <c r="T1199">
        <v>0</v>
      </c>
      <c r="U1199" s="8">
        <v>10</v>
      </c>
      <c r="V1199" s="8">
        <f t="shared" si="18"/>
        <v>1</v>
      </c>
    </row>
    <row r="1200" spans="1:22" x14ac:dyDescent="0.3">
      <c r="A1200" t="s">
        <v>472</v>
      </c>
      <c r="B1200">
        <v>3</v>
      </c>
      <c r="C1200" t="s">
        <v>112</v>
      </c>
      <c r="D1200" t="s">
        <v>88</v>
      </c>
      <c r="E1200" t="s">
        <v>266</v>
      </c>
      <c r="F1200" t="s">
        <v>169</v>
      </c>
      <c r="G1200" t="s">
        <v>86</v>
      </c>
      <c r="H1200">
        <v>59</v>
      </c>
      <c r="I1200">
        <v>50</v>
      </c>
      <c r="J1200">
        <v>118</v>
      </c>
      <c r="K1200" t="s">
        <v>246</v>
      </c>
      <c r="L1200">
        <v>70</v>
      </c>
      <c r="M1200">
        <v>4</v>
      </c>
      <c r="N1200">
        <v>0</v>
      </c>
      <c r="O1200">
        <v>38</v>
      </c>
      <c r="P1200">
        <v>1</v>
      </c>
      <c r="Q1200">
        <v>9.5</v>
      </c>
      <c r="R1200">
        <v>25</v>
      </c>
      <c r="S1200">
        <v>0</v>
      </c>
      <c r="T1200">
        <v>0</v>
      </c>
      <c r="U1200" s="8">
        <v>95</v>
      </c>
      <c r="V1200" s="8">
        <f t="shared" si="18"/>
        <v>10</v>
      </c>
    </row>
    <row r="1201" spans="1:22" x14ac:dyDescent="0.3">
      <c r="A1201" t="s">
        <v>472</v>
      </c>
      <c r="B1201">
        <v>3</v>
      </c>
      <c r="C1201" t="s">
        <v>113</v>
      </c>
      <c r="D1201" t="s">
        <v>84</v>
      </c>
      <c r="E1201" t="s">
        <v>266</v>
      </c>
      <c r="F1201" t="s">
        <v>85</v>
      </c>
      <c r="G1201" t="s">
        <v>86</v>
      </c>
      <c r="H1201">
        <v>0</v>
      </c>
      <c r="I1201">
        <v>8</v>
      </c>
      <c r="J1201">
        <v>0</v>
      </c>
      <c r="K1201" t="s">
        <v>246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 s="8">
        <v>0</v>
      </c>
      <c r="V1201" s="8">
        <f t="shared" si="18"/>
        <v>0</v>
      </c>
    </row>
    <row r="1202" spans="1:22" x14ac:dyDescent="0.3">
      <c r="A1202" t="s">
        <v>472</v>
      </c>
      <c r="B1202">
        <v>3</v>
      </c>
      <c r="C1202" t="s">
        <v>117</v>
      </c>
      <c r="D1202" t="s">
        <v>90</v>
      </c>
      <c r="E1202" t="s">
        <v>266</v>
      </c>
      <c r="F1202" t="s">
        <v>169</v>
      </c>
      <c r="G1202" t="s">
        <v>92</v>
      </c>
      <c r="H1202">
        <v>75</v>
      </c>
      <c r="I1202">
        <v>44</v>
      </c>
      <c r="J1202">
        <v>170.45</v>
      </c>
      <c r="K1202" t="s">
        <v>96</v>
      </c>
      <c r="L1202">
        <v>90</v>
      </c>
      <c r="M1202">
        <v>4</v>
      </c>
      <c r="N1202">
        <v>0</v>
      </c>
      <c r="O1202">
        <v>18</v>
      </c>
      <c r="P1202">
        <v>3</v>
      </c>
      <c r="Q1202">
        <v>4.5</v>
      </c>
      <c r="R1202">
        <v>75</v>
      </c>
      <c r="S1202">
        <v>0</v>
      </c>
      <c r="T1202">
        <v>0</v>
      </c>
      <c r="U1202" s="8">
        <v>165</v>
      </c>
      <c r="V1202" s="8">
        <f t="shared" si="18"/>
        <v>10</v>
      </c>
    </row>
    <row r="1203" spans="1:22" x14ac:dyDescent="0.3">
      <c r="A1203" t="s">
        <v>472</v>
      </c>
      <c r="B1203">
        <v>3</v>
      </c>
      <c r="C1203" t="s">
        <v>115</v>
      </c>
      <c r="D1203" t="s">
        <v>17</v>
      </c>
      <c r="E1203" t="s">
        <v>266</v>
      </c>
      <c r="F1203" t="s">
        <v>169</v>
      </c>
      <c r="G1203" t="s">
        <v>134</v>
      </c>
      <c r="H1203">
        <v>4</v>
      </c>
      <c r="I1203">
        <v>1</v>
      </c>
      <c r="J1203">
        <v>400</v>
      </c>
      <c r="K1203" t="s">
        <v>96</v>
      </c>
      <c r="L1203">
        <v>5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 s="8">
        <v>5</v>
      </c>
      <c r="V1203" s="8">
        <f t="shared" si="18"/>
        <v>1</v>
      </c>
    </row>
    <row r="1204" spans="1:22" x14ac:dyDescent="0.3">
      <c r="A1204" t="s">
        <v>472</v>
      </c>
      <c r="B1204">
        <v>3</v>
      </c>
      <c r="C1204" t="s">
        <v>119</v>
      </c>
      <c r="D1204" t="s">
        <v>95</v>
      </c>
      <c r="E1204" t="s">
        <v>266</v>
      </c>
      <c r="F1204" t="s">
        <v>169</v>
      </c>
      <c r="G1204" t="s">
        <v>104</v>
      </c>
      <c r="H1204">
        <v>0</v>
      </c>
      <c r="I1204">
        <v>0</v>
      </c>
      <c r="J1204">
        <v>0</v>
      </c>
      <c r="K1204" t="s">
        <v>104</v>
      </c>
      <c r="L1204">
        <v>0</v>
      </c>
      <c r="M1204">
        <v>4</v>
      </c>
      <c r="N1204">
        <v>0</v>
      </c>
      <c r="O1204">
        <v>24</v>
      </c>
      <c r="P1204">
        <v>1</v>
      </c>
      <c r="Q1204">
        <v>6</v>
      </c>
      <c r="R1204">
        <v>25</v>
      </c>
      <c r="S1204">
        <v>0</v>
      </c>
      <c r="T1204">
        <v>0</v>
      </c>
      <c r="U1204" s="8">
        <v>25</v>
      </c>
      <c r="V1204" s="8">
        <f t="shared" si="18"/>
        <v>3</v>
      </c>
    </row>
    <row r="1205" spans="1:22" x14ac:dyDescent="0.3">
      <c r="A1205" t="s">
        <v>472</v>
      </c>
      <c r="B1205">
        <v>3</v>
      </c>
      <c r="C1205" t="s">
        <v>121</v>
      </c>
      <c r="D1205" t="s">
        <v>108</v>
      </c>
      <c r="E1205" t="s">
        <v>266</v>
      </c>
      <c r="F1205" t="s">
        <v>169</v>
      </c>
      <c r="G1205" t="s">
        <v>104</v>
      </c>
      <c r="H1205">
        <v>0</v>
      </c>
      <c r="I1205">
        <v>0</v>
      </c>
      <c r="J1205">
        <v>0</v>
      </c>
      <c r="K1205" t="s">
        <v>104</v>
      </c>
      <c r="L1205">
        <v>0</v>
      </c>
      <c r="M1205">
        <v>1</v>
      </c>
      <c r="N1205">
        <v>0</v>
      </c>
      <c r="O1205">
        <v>3</v>
      </c>
      <c r="P1205">
        <v>0</v>
      </c>
      <c r="Q1205">
        <v>3</v>
      </c>
      <c r="R1205">
        <v>10</v>
      </c>
      <c r="S1205">
        <v>0</v>
      </c>
      <c r="T1205">
        <v>0</v>
      </c>
      <c r="U1205" s="8">
        <v>10</v>
      </c>
      <c r="V1205" s="8">
        <f t="shared" si="18"/>
        <v>1</v>
      </c>
    </row>
    <row r="1206" spans="1:22" x14ac:dyDescent="0.3">
      <c r="A1206" t="s">
        <v>472</v>
      </c>
      <c r="B1206">
        <v>3</v>
      </c>
      <c r="C1206" t="s">
        <v>347</v>
      </c>
      <c r="D1206" t="s">
        <v>348</v>
      </c>
      <c r="E1206" t="s">
        <v>266</v>
      </c>
      <c r="F1206" t="s">
        <v>169</v>
      </c>
      <c r="G1206" t="s">
        <v>104</v>
      </c>
      <c r="H1206">
        <v>0</v>
      </c>
      <c r="I1206">
        <v>0</v>
      </c>
      <c r="J1206">
        <v>0</v>
      </c>
      <c r="K1206" t="s">
        <v>104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 s="8">
        <v>0</v>
      </c>
      <c r="V1206" s="8">
        <f t="shared" si="18"/>
        <v>0</v>
      </c>
    </row>
    <row r="1207" spans="1:22" x14ac:dyDescent="0.3">
      <c r="A1207" t="s">
        <v>472</v>
      </c>
      <c r="B1207">
        <v>3</v>
      </c>
      <c r="C1207" t="s">
        <v>510</v>
      </c>
      <c r="D1207" t="s">
        <v>538</v>
      </c>
      <c r="E1207" t="s">
        <v>266</v>
      </c>
      <c r="F1207" t="s">
        <v>85</v>
      </c>
      <c r="G1207" t="s">
        <v>104</v>
      </c>
      <c r="H1207">
        <v>0</v>
      </c>
      <c r="I1207">
        <v>0</v>
      </c>
      <c r="J1207">
        <v>0</v>
      </c>
      <c r="K1207" t="s">
        <v>104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 s="8">
        <v>0</v>
      </c>
      <c r="V1207" s="8">
        <f t="shared" si="18"/>
        <v>0</v>
      </c>
    </row>
    <row r="1208" spans="1:22" x14ac:dyDescent="0.3">
      <c r="A1208" t="s">
        <v>472</v>
      </c>
      <c r="B1208">
        <v>3</v>
      </c>
      <c r="C1208" t="s">
        <v>507</v>
      </c>
      <c r="D1208" t="s">
        <v>519</v>
      </c>
      <c r="E1208" t="s">
        <v>266</v>
      </c>
      <c r="F1208" t="s">
        <v>169</v>
      </c>
      <c r="G1208" t="s">
        <v>104</v>
      </c>
      <c r="H1208">
        <v>0</v>
      </c>
      <c r="I1208">
        <v>0</v>
      </c>
      <c r="J1208">
        <v>0</v>
      </c>
      <c r="K1208" t="s">
        <v>104</v>
      </c>
      <c r="L1208">
        <v>0</v>
      </c>
      <c r="M1208">
        <v>2</v>
      </c>
      <c r="N1208">
        <v>0</v>
      </c>
      <c r="O1208">
        <v>11</v>
      </c>
      <c r="P1208">
        <v>2</v>
      </c>
      <c r="Q1208">
        <v>5.5</v>
      </c>
      <c r="R1208">
        <v>50</v>
      </c>
      <c r="S1208">
        <v>0</v>
      </c>
      <c r="T1208">
        <v>0</v>
      </c>
      <c r="U1208" s="8">
        <v>50</v>
      </c>
      <c r="V1208" s="8">
        <f t="shared" si="18"/>
        <v>5</v>
      </c>
    </row>
    <row r="1209" spans="1:22" x14ac:dyDescent="0.3">
      <c r="A1209" t="s">
        <v>472</v>
      </c>
      <c r="B1209">
        <v>3</v>
      </c>
      <c r="C1209" t="s">
        <v>265</v>
      </c>
      <c r="D1209" t="s">
        <v>264</v>
      </c>
      <c r="E1209" t="s">
        <v>266</v>
      </c>
      <c r="F1209" t="s">
        <v>101</v>
      </c>
      <c r="G1209" t="s">
        <v>104</v>
      </c>
      <c r="H1209">
        <v>0</v>
      </c>
      <c r="I1209">
        <v>0</v>
      </c>
      <c r="J1209">
        <v>0</v>
      </c>
      <c r="K1209" t="s">
        <v>104</v>
      </c>
      <c r="L1209">
        <v>0</v>
      </c>
      <c r="M1209">
        <v>4</v>
      </c>
      <c r="N1209">
        <v>0</v>
      </c>
      <c r="O1209">
        <v>33</v>
      </c>
      <c r="P1209">
        <v>2</v>
      </c>
      <c r="Q1209">
        <v>8.1999999999999993</v>
      </c>
      <c r="R1209">
        <v>50</v>
      </c>
      <c r="S1209">
        <v>0</v>
      </c>
      <c r="T1209">
        <v>0</v>
      </c>
      <c r="U1209" s="8">
        <v>50</v>
      </c>
      <c r="V1209" s="8">
        <f t="shared" si="18"/>
        <v>5</v>
      </c>
    </row>
    <row r="1210" spans="1:22" x14ac:dyDescent="0.3">
      <c r="A1210" t="s">
        <v>472</v>
      </c>
      <c r="B1210">
        <v>3</v>
      </c>
      <c r="C1210" t="s">
        <v>129</v>
      </c>
      <c r="D1210" t="s">
        <v>103</v>
      </c>
      <c r="E1210" t="s">
        <v>266</v>
      </c>
      <c r="F1210" t="s">
        <v>101</v>
      </c>
      <c r="G1210" t="s">
        <v>104</v>
      </c>
      <c r="H1210">
        <v>0</v>
      </c>
      <c r="I1210">
        <v>0</v>
      </c>
      <c r="J1210">
        <v>0</v>
      </c>
      <c r="K1210" t="s">
        <v>104</v>
      </c>
      <c r="L1210">
        <v>0</v>
      </c>
      <c r="M1210">
        <v>1</v>
      </c>
      <c r="N1210">
        <v>0</v>
      </c>
      <c r="O1210">
        <v>12</v>
      </c>
      <c r="P1210">
        <v>0</v>
      </c>
      <c r="Q1210">
        <v>12</v>
      </c>
      <c r="R1210">
        <v>0</v>
      </c>
      <c r="S1210">
        <v>0</v>
      </c>
      <c r="T1210">
        <v>0</v>
      </c>
      <c r="U1210" s="8">
        <v>0</v>
      </c>
      <c r="V1210" s="8">
        <f t="shared" si="18"/>
        <v>0</v>
      </c>
    </row>
    <row r="1211" spans="1:22" x14ac:dyDescent="0.3">
      <c r="A1211" t="s">
        <v>473</v>
      </c>
      <c r="B1211">
        <v>3</v>
      </c>
      <c r="C1211" t="s">
        <v>81</v>
      </c>
      <c r="D1211" t="s">
        <v>114</v>
      </c>
      <c r="E1211" t="s">
        <v>258</v>
      </c>
      <c r="F1211" t="s">
        <v>85</v>
      </c>
      <c r="G1211" t="s">
        <v>86</v>
      </c>
      <c r="H1211">
        <v>17</v>
      </c>
      <c r="I1211">
        <v>20</v>
      </c>
      <c r="J1211">
        <v>85</v>
      </c>
      <c r="K1211" t="s">
        <v>246</v>
      </c>
      <c r="L1211">
        <v>20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 s="8">
        <v>20</v>
      </c>
      <c r="V1211" s="8">
        <f t="shared" si="18"/>
        <v>2</v>
      </c>
    </row>
    <row r="1212" spans="1:22" x14ac:dyDescent="0.3">
      <c r="A1212" t="s">
        <v>473</v>
      </c>
      <c r="B1212">
        <v>3</v>
      </c>
      <c r="C1212" t="s">
        <v>97</v>
      </c>
      <c r="D1212" t="s">
        <v>122</v>
      </c>
      <c r="E1212" t="s">
        <v>258</v>
      </c>
      <c r="F1212" t="s">
        <v>109</v>
      </c>
      <c r="G1212" t="s">
        <v>92</v>
      </c>
      <c r="H1212">
        <v>11</v>
      </c>
      <c r="I1212">
        <v>15</v>
      </c>
      <c r="J1212">
        <v>73.33</v>
      </c>
      <c r="K1212" t="s">
        <v>248</v>
      </c>
      <c r="L1212">
        <v>15</v>
      </c>
      <c r="M1212">
        <v>1</v>
      </c>
      <c r="N1212">
        <v>0</v>
      </c>
      <c r="O1212">
        <v>4</v>
      </c>
      <c r="P1212">
        <v>0</v>
      </c>
      <c r="Q1212">
        <v>4</v>
      </c>
      <c r="R1212">
        <v>0</v>
      </c>
      <c r="S1212">
        <v>0</v>
      </c>
      <c r="T1212">
        <v>0</v>
      </c>
      <c r="U1212" s="8">
        <v>15</v>
      </c>
      <c r="V1212" s="8">
        <f t="shared" si="18"/>
        <v>2</v>
      </c>
    </row>
    <row r="1213" spans="1:22" x14ac:dyDescent="0.3">
      <c r="A1213" t="s">
        <v>473</v>
      </c>
      <c r="B1213">
        <v>3</v>
      </c>
      <c r="C1213" t="s">
        <v>89</v>
      </c>
      <c r="D1213" t="s">
        <v>116</v>
      </c>
      <c r="E1213" t="s">
        <v>258</v>
      </c>
      <c r="F1213" t="s">
        <v>169</v>
      </c>
      <c r="G1213" t="s">
        <v>92</v>
      </c>
      <c r="H1213">
        <v>5</v>
      </c>
      <c r="I1213">
        <v>10</v>
      </c>
      <c r="J1213">
        <v>50</v>
      </c>
      <c r="K1213" t="s">
        <v>246</v>
      </c>
      <c r="L1213">
        <v>5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 s="8">
        <v>5</v>
      </c>
      <c r="V1213" s="8">
        <f t="shared" si="18"/>
        <v>1</v>
      </c>
    </row>
    <row r="1214" spans="1:22" x14ac:dyDescent="0.3">
      <c r="A1214" t="s">
        <v>473</v>
      </c>
      <c r="B1214">
        <v>3</v>
      </c>
      <c r="C1214" t="s">
        <v>93</v>
      </c>
      <c r="D1214" t="s">
        <v>118</v>
      </c>
      <c r="E1214" t="s">
        <v>258</v>
      </c>
      <c r="F1214" t="s">
        <v>169</v>
      </c>
      <c r="G1214" t="s">
        <v>134</v>
      </c>
      <c r="H1214">
        <v>58</v>
      </c>
      <c r="I1214">
        <v>31</v>
      </c>
      <c r="J1214">
        <v>187.1</v>
      </c>
      <c r="K1214" t="s">
        <v>246</v>
      </c>
      <c r="L1214">
        <v>75</v>
      </c>
      <c r="M1214">
        <v>4</v>
      </c>
      <c r="N1214">
        <v>0</v>
      </c>
      <c r="O1214">
        <v>22</v>
      </c>
      <c r="P1214">
        <v>1</v>
      </c>
      <c r="Q1214">
        <v>5.5</v>
      </c>
      <c r="R1214">
        <v>25</v>
      </c>
      <c r="S1214">
        <v>0</v>
      </c>
      <c r="T1214">
        <v>0</v>
      </c>
      <c r="U1214" s="8">
        <v>100</v>
      </c>
      <c r="V1214" s="8">
        <f t="shared" si="18"/>
        <v>10</v>
      </c>
    </row>
    <row r="1215" spans="1:22" x14ac:dyDescent="0.3">
      <c r="A1215" t="s">
        <v>473</v>
      </c>
      <c r="B1215">
        <v>3</v>
      </c>
      <c r="C1215" t="s">
        <v>383</v>
      </c>
      <c r="D1215" t="s">
        <v>384</v>
      </c>
      <c r="E1215" t="s">
        <v>258</v>
      </c>
      <c r="F1215" t="s">
        <v>109</v>
      </c>
      <c r="G1215" t="s">
        <v>134</v>
      </c>
      <c r="H1215">
        <v>30</v>
      </c>
      <c r="I1215">
        <v>21</v>
      </c>
      <c r="J1215">
        <v>142.86000000000001</v>
      </c>
      <c r="K1215" t="s">
        <v>96</v>
      </c>
      <c r="L1215">
        <v>40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 s="8">
        <v>40</v>
      </c>
      <c r="V1215" s="8">
        <f t="shared" si="18"/>
        <v>4</v>
      </c>
    </row>
    <row r="1216" spans="1:22" x14ac:dyDescent="0.3">
      <c r="A1216" t="s">
        <v>473</v>
      </c>
      <c r="B1216">
        <v>3</v>
      </c>
      <c r="C1216" t="s">
        <v>530</v>
      </c>
      <c r="D1216" t="s">
        <v>502</v>
      </c>
      <c r="E1216" t="s">
        <v>258</v>
      </c>
      <c r="F1216" t="s">
        <v>169</v>
      </c>
      <c r="G1216" t="s">
        <v>134</v>
      </c>
      <c r="H1216">
        <v>0</v>
      </c>
      <c r="I1216">
        <v>2</v>
      </c>
      <c r="J1216">
        <v>0</v>
      </c>
      <c r="K1216" t="s">
        <v>96</v>
      </c>
      <c r="L1216">
        <v>0</v>
      </c>
      <c r="M1216">
        <v>4</v>
      </c>
      <c r="N1216">
        <v>0</v>
      </c>
      <c r="O1216">
        <v>31</v>
      </c>
      <c r="P1216">
        <v>2</v>
      </c>
      <c r="Q1216">
        <v>7.8</v>
      </c>
      <c r="R1216">
        <v>50</v>
      </c>
      <c r="S1216">
        <v>0</v>
      </c>
      <c r="T1216">
        <v>0</v>
      </c>
      <c r="U1216" s="8">
        <v>50</v>
      </c>
      <c r="V1216" s="8">
        <f t="shared" si="18"/>
        <v>5</v>
      </c>
    </row>
    <row r="1217" spans="1:22" x14ac:dyDescent="0.3">
      <c r="A1217" t="s">
        <v>473</v>
      </c>
      <c r="B1217">
        <v>3</v>
      </c>
      <c r="C1217" t="s">
        <v>493</v>
      </c>
      <c r="D1217" t="s">
        <v>500</v>
      </c>
      <c r="E1217" t="s">
        <v>258</v>
      </c>
      <c r="F1217" t="s">
        <v>169</v>
      </c>
      <c r="G1217" t="s">
        <v>104</v>
      </c>
      <c r="H1217">
        <v>0</v>
      </c>
      <c r="I1217">
        <v>0</v>
      </c>
      <c r="J1217">
        <v>0</v>
      </c>
      <c r="K1217" t="s">
        <v>104</v>
      </c>
      <c r="L1217">
        <v>0</v>
      </c>
      <c r="M1217">
        <v>4</v>
      </c>
      <c r="N1217">
        <v>0</v>
      </c>
      <c r="O1217">
        <v>17</v>
      </c>
      <c r="P1217">
        <v>1</v>
      </c>
      <c r="Q1217">
        <v>4.2</v>
      </c>
      <c r="R1217">
        <v>25</v>
      </c>
      <c r="S1217">
        <v>0</v>
      </c>
      <c r="T1217">
        <v>0</v>
      </c>
      <c r="U1217" s="8">
        <v>25</v>
      </c>
      <c r="V1217" s="8">
        <f t="shared" si="18"/>
        <v>3</v>
      </c>
    </row>
    <row r="1218" spans="1:22" x14ac:dyDescent="0.3">
      <c r="A1218" t="s">
        <v>473</v>
      </c>
      <c r="B1218">
        <v>3</v>
      </c>
      <c r="C1218" t="s">
        <v>447</v>
      </c>
      <c r="D1218" t="s">
        <v>448</v>
      </c>
      <c r="E1218" t="s">
        <v>258</v>
      </c>
      <c r="F1218" t="s">
        <v>109</v>
      </c>
      <c r="G1218" t="s">
        <v>104</v>
      </c>
      <c r="H1218">
        <v>0</v>
      </c>
      <c r="I1218">
        <v>0</v>
      </c>
      <c r="J1218">
        <v>0</v>
      </c>
      <c r="K1218" t="s">
        <v>104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 s="8">
        <v>0</v>
      </c>
      <c r="V1218" s="8">
        <f t="shared" si="18"/>
        <v>0</v>
      </c>
    </row>
    <row r="1219" spans="1:22" x14ac:dyDescent="0.3">
      <c r="A1219" t="s">
        <v>473</v>
      </c>
      <c r="B1219">
        <v>3</v>
      </c>
      <c r="C1219" t="s">
        <v>389</v>
      </c>
      <c r="D1219" t="s">
        <v>390</v>
      </c>
      <c r="E1219" t="s">
        <v>258</v>
      </c>
      <c r="F1219" t="s">
        <v>101</v>
      </c>
      <c r="G1219" t="s">
        <v>104</v>
      </c>
      <c r="H1219">
        <v>0</v>
      </c>
      <c r="I1219">
        <v>0</v>
      </c>
      <c r="J1219">
        <v>0</v>
      </c>
      <c r="K1219" t="s">
        <v>104</v>
      </c>
      <c r="L1219">
        <v>0</v>
      </c>
      <c r="M1219">
        <v>2</v>
      </c>
      <c r="N1219">
        <v>0</v>
      </c>
      <c r="O1219">
        <v>12</v>
      </c>
      <c r="P1219">
        <v>0</v>
      </c>
      <c r="Q1219">
        <v>6</v>
      </c>
      <c r="R1219">
        <v>0</v>
      </c>
      <c r="S1219">
        <v>0</v>
      </c>
      <c r="T1219">
        <v>0</v>
      </c>
      <c r="U1219" s="8">
        <v>0</v>
      </c>
      <c r="V1219" s="8">
        <f t="shared" ref="V1219:V1282" si="19">MIN(10, MAX(0, ROUND(U1219/10,0)))</f>
        <v>0</v>
      </c>
    </row>
    <row r="1220" spans="1:22" x14ac:dyDescent="0.3">
      <c r="A1220" t="s">
        <v>473</v>
      </c>
      <c r="B1220">
        <v>3</v>
      </c>
      <c r="C1220" t="s">
        <v>105</v>
      </c>
      <c r="D1220" t="s">
        <v>128</v>
      </c>
      <c r="E1220" t="s">
        <v>258</v>
      </c>
      <c r="F1220" t="s">
        <v>101</v>
      </c>
      <c r="G1220" t="s">
        <v>104</v>
      </c>
      <c r="H1220">
        <v>0</v>
      </c>
      <c r="I1220">
        <v>0</v>
      </c>
      <c r="J1220">
        <v>0</v>
      </c>
      <c r="K1220" t="s">
        <v>104</v>
      </c>
      <c r="L1220">
        <v>0</v>
      </c>
      <c r="M1220">
        <v>4</v>
      </c>
      <c r="N1220">
        <v>0</v>
      </c>
      <c r="O1220">
        <v>16</v>
      </c>
      <c r="P1220">
        <v>2</v>
      </c>
      <c r="Q1220">
        <v>4</v>
      </c>
      <c r="R1220">
        <v>50</v>
      </c>
      <c r="S1220">
        <v>0</v>
      </c>
      <c r="T1220">
        <v>0</v>
      </c>
      <c r="U1220" s="8">
        <v>50</v>
      </c>
      <c r="V1220" s="8">
        <f t="shared" si="19"/>
        <v>5</v>
      </c>
    </row>
    <row r="1221" spans="1:22" x14ac:dyDescent="0.3">
      <c r="A1221" t="s">
        <v>473</v>
      </c>
      <c r="B1221">
        <v>3</v>
      </c>
      <c r="C1221" t="s">
        <v>494</v>
      </c>
      <c r="D1221" t="s">
        <v>501</v>
      </c>
      <c r="E1221" t="s">
        <v>258</v>
      </c>
      <c r="F1221" t="s">
        <v>101</v>
      </c>
      <c r="G1221" t="s">
        <v>104</v>
      </c>
      <c r="H1221">
        <v>0</v>
      </c>
      <c r="I1221">
        <v>0</v>
      </c>
      <c r="J1221">
        <v>0</v>
      </c>
      <c r="K1221" t="s">
        <v>104</v>
      </c>
      <c r="L1221">
        <v>0</v>
      </c>
      <c r="M1221">
        <v>1</v>
      </c>
      <c r="N1221">
        <v>0</v>
      </c>
      <c r="O1221">
        <v>18</v>
      </c>
      <c r="P1221">
        <v>0</v>
      </c>
      <c r="Q1221">
        <v>18</v>
      </c>
      <c r="R1221">
        <v>0</v>
      </c>
      <c r="S1221">
        <v>0</v>
      </c>
      <c r="T1221">
        <v>0</v>
      </c>
      <c r="U1221" s="8">
        <v>0</v>
      </c>
      <c r="V1221" s="8">
        <f t="shared" si="19"/>
        <v>0</v>
      </c>
    </row>
    <row r="1222" spans="1:22" x14ac:dyDescent="0.3">
      <c r="A1222" t="s">
        <v>473</v>
      </c>
      <c r="B1222">
        <v>3</v>
      </c>
      <c r="C1222" t="s">
        <v>165</v>
      </c>
      <c r="D1222" t="s">
        <v>166</v>
      </c>
      <c r="E1222" t="s">
        <v>159</v>
      </c>
      <c r="F1222" t="s">
        <v>109</v>
      </c>
      <c r="G1222" t="s">
        <v>86</v>
      </c>
      <c r="H1222">
        <v>10</v>
      </c>
      <c r="I1222">
        <v>20</v>
      </c>
      <c r="J1222">
        <v>50</v>
      </c>
      <c r="K1222" t="s">
        <v>246</v>
      </c>
      <c r="L1222">
        <v>10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 s="8">
        <v>10</v>
      </c>
      <c r="V1222" s="8">
        <f t="shared" si="19"/>
        <v>1</v>
      </c>
    </row>
    <row r="1223" spans="1:22" x14ac:dyDescent="0.3">
      <c r="A1223" t="s">
        <v>473</v>
      </c>
      <c r="B1223">
        <v>3</v>
      </c>
      <c r="C1223" t="s">
        <v>489</v>
      </c>
      <c r="D1223" t="s">
        <v>488</v>
      </c>
      <c r="E1223" t="s">
        <v>159</v>
      </c>
      <c r="F1223" t="s">
        <v>109</v>
      </c>
      <c r="G1223" t="s">
        <v>86</v>
      </c>
      <c r="H1223">
        <v>4</v>
      </c>
      <c r="I1223">
        <v>4</v>
      </c>
      <c r="J1223">
        <v>100</v>
      </c>
      <c r="K1223" t="s">
        <v>247</v>
      </c>
      <c r="L1223">
        <v>5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 s="8">
        <v>5</v>
      </c>
      <c r="V1223" s="8">
        <f t="shared" si="19"/>
        <v>1</v>
      </c>
    </row>
    <row r="1224" spans="1:22" x14ac:dyDescent="0.3">
      <c r="A1224" t="s">
        <v>473</v>
      </c>
      <c r="B1224">
        <v>3</v>
      </c>
      <c r="C1224" t="s">
        <v>174</v>
      </c>
      <c r="D1224" t="s">
        <v>175</v>
      </c>
      <c r="E1224" t="s">
        <v>159</v>
      </c>
      <c r="F1224" t="s">
        <v>169</v>
      </c>
      <c r="G1224" t="s">
        <v>92</v>
      </c>
      <c r="H1224">
        <v>0</v>
      </c>
      <c r="I1224">
        <v>4</v>
      </c>
      <c r="J1224">
        <v>0</v>
      </c>
      <c r="K1224" t="s">
        <v>246</v>
      </c>
      <c r="L1224">
        <v>0</v>
      </c>
      <c r="M1224">
        <v>1</v>
      </c>
      <c r="N1224">
        <v>0</v>
      </c>
      <c r="O1224">
        <v>7</v>
      </c>
      <c r="P1224">
        <v>0</v>
      </c>
      <c r="Q1224">
        <v>7</v>
      </c>
      <c r="R1224">
        <v>0</v>
      </c>
      <c r="S1224">
        <v>0</v>
      </c>
      <c r="T1224">
        <v>0</v>
      </c>
      <c r="U1224" s="8">
        <v>0</v>
      </c>
      <c r="V1224" s="8">
        <f t="shared" si="19"/>
        <v>0</v>
      </c>
    </row>
    <row r="1225" spans="1:22" x14ac:dyDescent="0.3">
      <c r="A1225" t="s">
        <v>473</v>
      </c>
      <c r="B1225">
        <v>3</v>
      </c>
      <c r="C1225" t="s">
        <v>490</v>
      </c>
      <c r="D1225" t="s">
        <v>497</v>
      </c>
      <c r="E1225" t="s">
        <v>159</v>
      </c>
      <c r="F1225" t="s">
        <v>169</v>
      </c>
      <c r="G1225" t="s">
        <v>134</v>
      </c>
      <c r="H1225">
        <v>22</v>
      </c>
      <c r="I1225">
        <v>19</v>
      </c>
      <c r="J1225">
        <v>115.79</v>
      </c>
      <c r="K1225" t="s">
        <v>256</v>
      </c>
      <c r="L1225">
        <v>25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 s="8">
        <v>25</v>
      </c>
      <c r="V1225" s="8">
        <f t="shared" si="19"/>
        <v>3</v>
      </c>
    </row>
    <row r="1226" spans="1:22" x14ac:dyDescent="0.3">
      <c r="A1226" t="s">
        <v>473</v>
      </c>
      <c r="B1226">
        <v>3</v>
      </c>
      <c r="C1226" t="s">
        <v>178</v>
      </c>
      <c r="D1226" t="s">
        <v>179</v>
      </c>
      <c r="E1226" t="s">
        <v>159</v>
      </c>
      <c r="F1226" t="s">
        <v>169</v>
      </c>
      <c r="G1226" t="s">
        <v>134</v>
      </c>
      <c r="H1226">
        <v>33</v>
      </c>
      <c r="I1226">
        <v>28</v>
      </c>
      <c r="J1226">
        <v>117.86</v>
      </c>
      <c r="K1226" t="s">
        <v>246</v>
      </c>
      <c r="L1226">
        <v>40</v>
      </c>
      <c r="M1226">
        <v>1</v>
      </c>
      <c r="N1226">
        <v>0</v>
      </c>
      <c r="O1226">
        <v>7</v>
      </c>
      <c r="P1226">
        <v>0</v>
      </c>
      <c r="Q1226">
        <v>7</v>
      </c>
      <c r="R1226">
        <v>0</v>
      </c>
      <c r="S1226">
        <v>0</v>
      </c>
      <c r="T1226">
        <v>0</v>
      </c>
      <c r="U1226" s="8">
        <v>40</v>
      </c>
      <c r="V1226" s="8">
        <f t="shared" si="19"/>
        <v>4</v>
      </c>
    </row>
    <row r="1227" spans="1:22" x14ac:dyDescent="0.3">
      <c r="A1227" t="s">
        <v>473</v>
      </c>
      <c r="B1227">
        <v>3</v>
      </c>
      <c r="C1227" t="s">
        <v>176</v>
      </c>
      <c r="D1227" t="s">
        <v>177</v>
      </c>
      <c r="E1227" t="s">
        <v>159</v>
      </c>
      <c r="F1227" t="s">
        <v>85</v>
      </c>
      <c r="G1227" t="s">
        <v>134</v>
      </c>
      <c r="H1227">
        <v>9</v>
      </c>
      <c r="I1227">
        <v>10</v>
      </c>
      <c r="J1227">
        <v>90</v>
      </c>
      <c r="K1227" t="s">
        <v>245</v>
      </c>
      <c r="L1227">
        <v>10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 s="8">
        <v>10</v>
      </c>
      <c r="V1227" s="8">
        <f t="shared" si="19"/>
        <v>1</v>
      </c>
    </row>
    <row r="1228" spans="1:22" x14ac:dyDescent="0.3">
      <c r="A1228" t="s">
        <v>473</v>
      </c>
      <c r="B1228">
        <v>3</v>
      </c>
      <c r="C1228" t="s">
        <v>99</v>
      </c>
      <c r="D1228" t="s">
        <v>124</v>
      </c>
      <c r="E1228" t="s">
        <v>159</v>
      </c>
      <c r="F1228" t="s">
        <v>169</v>
      </c>
      <c r="G1228" t="s">
        <v>134</v>
      </c>
      <c r="H1228">
        <v>20</v>
      </c>
      <c r="I1228">
        <v>21</v>
      </c>
      <c r="J1228">
        <v>95.24</v>
      </c>
      <c r="K1228" t="s">
        <v>96</v>
      </c>
      <c r="L1228">
        <v>25</v>
      </c>
      <c r="M1228">
        <v>3</v>
      </c>
      <c r="N1228">
        <v>0</v>
      </c>
      <c r="O1228">
        <v>26</v>
      </c>
      <c r="P1228">
        <v>2</v>
      </c>
      <c r="Q1228">
        <v>8.6999999999999993</v>
      </c>
      <c r="R1228">
        <v>50</v>
      </c>
      <c r="S1228">
        <v>0</v>
      </c>
      <c r="T1228">
        <v>0</v>
      </c>
      <c r="U1228" s="8">
        <v>75</v>
      </c>
      <c r="V1228" s="8">
        <f t="shared" si="19"/>
        <v>8</v>
      </c>
    </row>
    <row r="1229" spans="1:22" x14ac:dyDescent="0.3">
      <c r="A1229" t="s">
        <v>473</v>
      </c>
      <c r="B1229">
        <v>3</v>
      </c>
      <c r="C1229" t="s">
        <v>242</v>
      </c>
      <c r="D1229" t="s">
        <v>244</v>
      </c>
      <c r="E1229" t="s">
        <v>159</v>
      </c>
      <c r="F1229" t="s">
        <v>101</v>
      </c>
      <c r="G1229" t="s">
        <v>134</v>
      </c>
      <c r="H1229">
        <v>14</v>
      </c>
      <c r="I1229">
        <v>15</v>
      </c>
      <c r="J1229">
        <v>93.33</v>
      </c>
      <c r="K1229" t="s">
        <v>246</v>
      </c>
      <c r="L1229">
        <v>15</v>
      </c>
      <c r="M1229">
        <v>2.2999999999999998</v>
      </c>
      <c r="N1229">
        <v>0</v>
      </c>
      <c r="O1229">
        <v>19</v>
      </c>
      <c r="P1229">
        <v>0</v>
      </c>
      <c r="Q1229">
        <v>7.6</v>
      </c>
      <c r="R1229">
        <v>0</v>
      </c>
      <c r="S1229">
        <v>0</v>
      </c>
      <c r="T1229">
        <v>0</v>
      </c>
      <c r="U1229" s="8">
        <v>15</v>
      </c>
      <c r="V1229" s="8">
        <f t="shared" si="19"/>
        <v>2</v>
      </c>
    </row>
    <row r="1230" spans="1:22" x14ac:dyDescent="0.3">
      <c r="A1230" t="s">
        <v>473</v>
      </c>
      <c r="B1230">
        <v>3</v>
      </c>
      <c r="C1230" t="s">
        <v>102</v>
      </c>
      <c r="D1230" t="s">
        <v>126</v>
      </c>
      <c r="E1230" t="s">
        <v>159</v>
      </c>
      <c r="F1230" t="s">
        <v>169</v>
      </c>
      <c r="G1230" t="s">
        <v>134</v>
      </c>
      <c r="H1230">
        <v>1</v>
      </c>
      <c r="I1230">
        <v>1</v>
      </c>
      <c r="J1230">
        <v>100</v>
      </c>
      <c r="K1230" t="s">
        <v>96</v>
      </c>
      <c r="L1230">
        <v>2</v>
      </c>
      <c r="M1230">
        <v>4</v>
      </c>
      <c r="N1230">
        <v>0</v>
      </c>
      <c r="O1230">
        <v>23</v>
      </c>
      <c r="P1230">
        <v>0</v>
      </c>
      <c r="Q1230">
        <v>5.8</v>
      </c>
      <c r="R1230">
        <v>10</v>
      </c>
      <c r="S1230">
        <v>0</v>
      </c>
      <c r="T1230">
        <v>0</v>
      </c>
      <c r="U1230" s="8">
        <v>12</v>
      </c>
      <c r="V1230" s="8">
        <f t="shared" si="19"/>
        <v>1</v>
      </c>
    </row>
    <row r="1231" spans="1:22" x14ac:dyDescent="0.3">
      <c r="A1231" t="s">
        <v>473</v>
      </c>
      <c r="B1231">
        <v>3</v>
      </c>
      <c r="C1231" t="s">
        <v>491</v>
      </c>
      <c r="D1231" t="s">
        <v>498</v>
      </c>
      <c r="E1231" t="s">
        <v>159</v>
      </c>
      <c r="F1231" t="s">
        <v>169</v>
      </c>
      <c r="G1231" t="s">
        <v>104</v>
      </c>
      <c r="H1231">
        <v>0</v>
      </c>
      <c r="I1231">
        <v>0</v>
      </c>
      <c r="J1231">
        <v>0</v>
      </c>
      <c r="K1231" t="s">
        <v>104</v>
      </c>
      <c r="L1231">
        <v>0</v>
      </c>
      <c r="M1231">
        <v>1</v>
      </c>
      <c r="N1231">
        <v>0</v>
      </c>
      <c r="O1231">
        <v>19</v>
      </c>
      <c r="P1231">
        <v>0</v>
      </c>
      <c r="Q1231">
        <v>19</v>
      </c>
      <c r="R1231">
        <v>0</v>
      </c>
      <c r="S1231">
        <v>0</v>
      </c>
      <c r="T1231">
        <v>0</v>
      </c>
      <c r="U1231" s="8">
        <v>0</v>
      </c>
      <c r="V1231" s="8">
        <f t="shared" si="19"/>
        <v>0</v>
      </c>
    </row>
    <row r="1232" spans="1:22" x14ac:dyDescent="0.3">
      <c r="A1232" t="s">
        <v>473</v>
      </c>
      <c r="B1232">
        <v>3</v>
      </c>
      <c r="C1232" t="s">
        <v>186</v>
      </c>
      <c r="D1232" t="s">
        <v>187</v>
      </c>
      <c r="E1232" t="s">
        <v>159</v>
      </c>
      <c r="F1232" t="s">
        <v>101</v>
      </c>
      <c r="G1232" t="s">
        <v>104</v>
      </c>
      <c r="H1232">
        <v>0</v>
      </c>
      <c r="I1232">
        <v>0</v>
      </c>
      <c r="J1232">
        <v>0</v>
      </c>
      <c r="K1232" t="s">
        <v>104</v>
      </c>
      <c r="L1232">
        <v>0</v>
      </c>
      <c r="M1232">
        <v>4</v>
      </c>
      <c r="N1232">
        <v>0</v>
      </c>
      <c r="O1232">
        <v>24</v>
      </c>
      <c r="P1232">
        <v>2</v>
      </c>
      <c r="Q1232">
        <v>6</v>
      </c>
      <c r="R1232">
        <v>50</v>
      </c>
      <c r="S1232">
        <v>0</v>
      </c>
      <c r="T1232">
        <v>0</v>
      </c>
      <c r="U1232" s="8">
        <v>50</v>
      </c>
      <c r="V1232" s="8">
        <f t="shared" si="19"/>
        <v>5</v>
      </c>
    </row>
    <row r="1233" spans="1:22" x14ac:dyDescent="0.3">
      <c r="A1233" t="s">
        <v>474</v>
      </c>
      <c r="B1233">
        <v>3</v>
      </c>
      <c r="C1233" t="s">
        <v>113</v>
      </c>
      <c r="D1233" t="s">
        <v>84</v>
      </c>
      <c r="E1233" t="s">
        <v>266</v>
      </c>
      <c r="F1233" t="s">
        <v>85</v>
      </c>
      <c r="G1233" t="s">
        <v>86</v>
      </c>
      <c r="H1233">
        <v>11</v>
      </c>
      <c r="I1233">
        <v>10</v>
      </c>
      <c r="J1233">
        <v>110</v>
      </c>
      <c r="K1233" t="s">
        <v>246</v>
      </c>
      <c r="L1233">
        <v>12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 s="8">
        <v>12</v>
      </c>
      <c r="V1233" s="8">
        <f t="shared" si="19"/>
        <v>1</v>
      </c>
    </row>
    <row r="1234" spans="1:22" x14ac:dyDescent="0.3">
      <c r="A1234" t="s">
        <v>474</v>
      </c>
      <c r="B1234">
        <v>3</v>
      </c>
      <c r="C1234" t="s">
        <v>112</v>
      </c>
      <c r="D1234" t="s">
        <v>88</v>
      </c>
      <c r="E1234" t="s">
        <v>266</v>
      </c>
      <c r="F1234" t="s">
        <v>169</v>
      </c>
      <c r="G1234" t="s">
        <v>86</v>
      </c>
      <c r="H1234">
        <v>22</v>
      </c>
      <c r="I1234">
        <v>25</v>
      </c>
      <c r="J1234">
        <v>88</v>
      </c>
      <c r="K1234" t="s">
        <v>246</v>
      </c>
      <c r="L1234">
        <v>25</v>
      </c>
      <c r="M1234">
        <v>2</v>
      </c>
      <c r="N1234">
        <v>0</v>
      </c>
      <c r="O1234">
        <v>16</v>
      </c>
      <c r="P1234">
        <v>0</v>
      </c>
      <c r="Q1234">
        <v>8</v>
      </c>
      <c r="R1234">
        <v>0</v>
      </c>
      <c r="S1234">
        <v>0</v>
      </c>
      <c r="T1234">
        <v>0</v>
      </c>
      <c r="U1234" s="8">
        <v>25</v>
      </c>
      <c r="V1234" s="8">
        <f t="shared" si="19"/>
        <v>3</v>
      </c>
    </row>
    <row r="1235" spans="1:22" x14ac:dyDescent="0.3">
      <c r="A1235" t="s">
        <v>474</v>
      </c>
      <c r="B1235">
        <v>3</v>
      </c>
      <c r="C1235" t="s">
        <v>117</v>
      </c>
      <c r="D1235" t="s">
        <v>90</v>
      </c>
      <c r="E1235" t="s">
        <v>266</v>
      </c>
      <c r="F1235" t="s">
        <v>169</v>
      </c>
      <c r="G1235" t="s">
        <v>92</v>
      </c>
      <c r="H1235">
        <v>18</v>
      </c>
      <c r="I1235">
        <v>22</v>
      </c>
      <c r="J1235">
        <v>81.819999999999993</v>
      </c>
      <c r="K1235" t="s">
        <v>246</v>
      </c>
      <c r="L1235">
        <v>20</v>
      </c>
      <c r="M1235">
        <v>2</v>
      </c>
      <c r="N1235">
        <v>0</v>
      </c>
      <c r="O1235">
        <v>27</v>
      </c>
      <c r="P1235">
        <v>0</v>
      </c>
      <c r="Q1235">
        <v>13.5</v>
      </c>
      <c r="R1235">
        <v>0</v>
      </c>
      <c r="S1235">
        <v>0</v>
      </c>
      <c r="T1235">
        <v>0</v>
      </c>
      <c r="U1235" s="8">
        <v>20</v>
      </c>
      <c r="V1235" s="8">
        <f t="shared" si="19"/>
        <v>2</v>
      </c>
    </row>
    <row r="1236" spans="1:22" x14ac:dyDescent="0.3">
      <c r="A1236" t="s">
        <v>474</v>
      </c>
      <c r="B1236">
        <v>3</v>
      </c>
      <c r="C1236" t="s">
        <v>115</v>
      </c>
      <c r="D1236" t="s">
        <v>17</v>
      </c>
      <c r="E1236" t="s">
        <v>266</v>
      </c>
      <c r="F1236" t="s">
        <v>169</v>
      </c>
      <c r="G1236" t="s">
        <v>134</v>
      </c>
      <c r="H1236">
        <v>22</v>
      </c>
      <c r="I1236">
        <v>16</v>
      </c>
      <c r="J1236">
        <v>137.5</v>
      </c>
      <c r="K1236" t="s">
        <v>247</v>
      </c>
      <c r="L1236">
        <v>30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 s="8">
        <v>30</v>
      </c>
      <c r="V1236" s="8">
        <f t="shared" si="19"/>
        <v>3</v>
      </c>
    </row>
    <row r="1237" spans="1:22" x14ac:dyDescent="0.3">
      <c r="A1237" t="s">
        <v>474</v>
      </c>
      <c r="B1237">
        <v>3</v>
      </c>
      <c r="C1237" t="s">
        <v>119</v>
      </c>
      <c r="D1237" t="s">
        <v>95</v>
      </c>
      <c r="E1237" t="s">
        <v>266</v>
      </c>
      <c r="F1237" t="s">
        <v>169</v>
      </c>
      <c r="G1237" t="s">
        <v>134</v>
      </c>
      <c r="H1237">
        <v>17</v>
      </c>
      <c r="I1237">
        <v>18</v>
      </c>
      <c r="J1237">
        <v>94.44</v>
      </c>
      <c r="K1237" t="s">
        <v>246</v>
      </c>
      <c r="L1237">
        <v>20</v>
      </c>
      <c r="M1237">
        <v>2</v>
      </c>
      <c r="N1237">
        <v>0</v>
      </c>
      <c r="O1237">
        <v>20</v>
      </c>
      <c r="P1237">
        <v>0</v>
      </c>
      <c r="Q1237">
        <v>10</v>
      </c>
      <c r="R1237">
        <v>0</v>
      </c>
      <c r="S1237">
        <v>0</v>
      </c>
      <c r="T1237">
        <v>0</v>
      </c>
      <c r="U1237" s="8">
        <v>20</v>
      </c>
      <c r="V1237" s="8">
        <f t="shared" si="19"/>
        <v>2</v>
      </c>
    </row>
    <row r="1238" spans="1:22" x14ac:dyDescent="0.3">
      <c r="A1238" t="s">
        <v>474</v>
      </c>
      <c r="B1238">
        <v>3</v>
      </c>
      <c r="C1238" t="s">
        <v>121</v>
      </c>
      <c r="D1238" t="s">
        <v>108</v>
      </c>
      <c r="E1238" t="s">
        <v>266</v>
      </c>
      <c r="F1238" t="s">
        <v>169</v>
      </c>
      <c r="G1238" t="s">
        <v>134</v>
      </c>
      <c r="H1238">
        <v>17</v>
      </c>
      <c r="I1238">
        <v>10</v>
      </c>
      <c r="J1238">
        <v>170</v>
      </c>
      <c r="K1238" t="s">
        <v>96</v>
      </c>
      <c r="L1238">
        <v>25</v>
      </c>
      <c r="M1238">
        <v>2</v>
      </c>
      <c r="N1238">
        <v>0</v>
      </c>
      <c r="O1238">
        <v>12</v>
      </c>
      <c r="P1238">
        <v>1</v>
      </c>
      <c r="Q1238">
        <v>6</v>
      </c>
      <c r="R1238">
        <v>25</v>
      </c>
      <c r="S1238">
        <v>0</v>
      </c>
      <c r="T1238">
        <v>0</v>
      </c>
      <c r="U1238" s="8">
        <v>50</v>
      </c>
      <c r="V1238" s="8">
        <f t="shared" si="19"/>
        <v>5</v>
      </c>
    </row>
    <row r="1239" spans="1:22" x14ac:dyDescent="0.3">
      <c r="A1239" t="s">
        <v>474</v>
      </c>
      <c r="B1239">
        <v>3</v>
      </c>
      <c r="C1239" t="s">
        <v>347</v>
      </c>
      <c r="D1239" t="s">
        <v>348</v>
      </c>
      <c r="E1239" t="s">
        <v>266</v>
      </c>
      <c r="F1239" t="s">
        <v>169</v>
      </c>
      <c r="G1239" t="s">
        <v>134</v>
      </c>
      <c r="H1239">
        <v>5</v>
      </c>
      <c r="I1239">
        <v>8</v>
      </c>
      <c r="J1239">
        <v>62.5</v>
      </c>
      <c r="K1239" t="s">
        <v>246</v>
      </c>
      <c r="L1239">
        <v>5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 s="8">
        <v>5</v>
      </c>
      <c r="V1239" s="8">
        <f t="shared" si="19"/>
        <v>1</v>
      </c>
    </row>
    <row r="1240" spans="1:22" x14ac:dyDescent="0.3">
      <c r="A1240" t="s">
        <v>474</v>
      </c>
      <c r="B1240">
        <v>3</v>
      </c>
      <c r="C1240" t="s">
        <v>510</v>
      </c>
      <c r="D1240" t="s">
        <v>538</v>
      </c>
      <c r="E1240" t="s">
        <v>266</v>
      </c>
      <c r="F1240" t="s">
        <v>85</v>
      </c>
      <c r="G1240" t="s">
        <v>134</v>
      </c>
      <c r="H1240">
        <v>1</v>
      </c>
      <c r="I1240">
        <v>5</v>
      </c>
      <c r="J1240">
        <v>20</v>
      </c>
      <c r="K1240" t="s">
        <v>245</v>
      </c>
      <c r="L1240">
        <v>1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 s="8">
        <v>1</v>
      </c>
      <c r="V1240" s="8">
        <f t="shared" si="19"/>
        <v>0</v>
      </c>
    </row>
    <row r="1241" spans="1:22" x14ac:dyDescent="0.3">
      <c r="A1241" t="s">
        <v>474</v>
      </c>
      <c r="B1241">
        <v>3</v>
      </c>
      <c r="C1241" t="s">
        <v>507</v>
      </c>
      <c r="D1241" t="s">
        <v>519</v>
      </c>
      <c r="E1241" t="s">
        <v>266</v>
      </c>
      <c r="F1241" t="s">
        <v>169</v>
      </c>
      <c r="G1241" t="s">
        <v>134</v>
      </c>
      <c r="H1241">
        <v>3</v>
      </c>
      <c r="I1241">
        <v>4</v>
      </c>
      <c r="J1241">
        <v>75</v>
      </c>
      <c r="K1241" t="s">
        <v>246</v>
      </c>
      <c r="L1241">
        <v>5</v>
      </c>
      <c r="M1241">
        <v>1.3</v>
      </c>
      <c r="N1241">
        <v>0</v>
      </c>
      <c r="O1241">
        <v>14</v>
      </c>
      <c r="P1241">
        <v>0</v>
      </c>
      <c r="Q1241">
        <v>9.3000000000000007</v>
      </c>
      <c r="R1241">
        <v>0</v>
      </c>
      <c r="S1241">
        <v>0</v>
      </c>
      <c r="T1241">
        <v>0</v>
      </c>
      <c r="U1241" s="8">
        <v>5</v>
      </c>
      <c r="V1241" s="8">
        <f t="shared" si="19"/>
        <v>1</v>
      </c>
    </row>
    <row r="1242" spans="1:22" x14ac:dyDescent="0.3">
      <c r="A1242" t="s">
        <v>474</v>
      </c>
      <c r="B1242">
        <v>3</v>
      </c>
      <c r="C1242" t="s">
        <v>129</v>
      </c>
      <c r="D1242" t="s">
        <v>103</v>
      </c>
      <c r="E1242" t="s">
        <v>266</v>
      </c>
      <c r="F1242" t="s">
        <v>101</v>
      </c>
      <c r="G1242" t="s">
        <v>134</v>
      </c>
      <c r="H1242">
        <v>0</v>
      </c>
      <c r="I1242">
        <v>3</v>
      </c>
      <c r="J1242">
        <v>0</v>
      </c>
      <c r="K1242" t="s">
        <v>256</v>
      </c>
      <c r="L1242">
        <v>0</v>
      </c>
      <c r="M1242">
        <v>1</v>
      </c>
      <c r="N1242">
        <v>0</v>
      </c>
      <c r="O1242">
        <v>9</v>
      </c>
      <c r="P1242">
        <v>0</v>
      </c>
      <c r="Q1242">
        <v>9</v>
      </c>
      <c r="R1242">
        <v>0</v>
      </c>
      <c r="S1242">
        <v>0</v>
      </c>
      <c r="T1242">
        <v>0</v>
      </c>
      <c r="U1242" s="8">
        <v>0</v>
      </c>
      <c r="V1242" s="8">
        <f t="shared" si="19"/>
        <v>0</v>
      </c>
    </row>
    <row r="1243" spans="1:22" x14ac:dyDescent="0.3">
      <c r="A1243" t="s">
        <v>474</v>
      </c>
      <c r="B1243">
        <v>3</v>
      </c>
      <c r="C1243" t="s">
        <v>265</v>
      </c>
      <c r="D1243" t="s">
        <v>264</v>
      </c>
      <c r="E1243" t="s">
        <v>266</v>
      </c>
      <c r="F1243" t="s">
        <v>101</v>
      </c>
      <c r="G1243" t="s">
        <v>104</v>
      </c>
      <c r="H1243">
        <v>0</v>
      </c>
      <c r="I1243">
        <v>0</v>
      </c>
      <c r="J1243">
        <v>0</v>
      </c>
      <c r="K1243" t="s">
        <v>104</v>
      </c>
      <c r="L1243">
        <v>0</v>
      </c>
      <c r="M1243">
        <v>4</v>
      </c>
      <c r="N1243">
        <v>0</v>
      </c>
      <c r="O1243">
        <v>26</v>
      </c>
      <c r="P1243">
        <v>0</v>
      </c>
      <c r="Q1243">
        <v>6.5</v>
      </c>
      <c r="R1243">
        <v>10</v>
      </c>
      <c r="S1243">
        <v>0</v>
      </c>
      <c r="T1243">
        <v>0</v>
      </c>
      <c r="U1243" s="8">
        <v>10</v>
      </c>
      <c r="V1243" s="8">
        <f t="shared" si="19"/>
        <v>1</v>
      </c>
    </row>
    <row r="1244" spans="1:22" x14ac:dyDescent="0.3">
      <c r="A1244" t="s">
        <v>474</v>
      </c>
      <c r="B1244">
        <v>3</v>
      </c>
      <c r="C1244" t="s">
        <v>190</v>
      </c>
      <c r="D1244" t="s">
        <v>191</v>
      </c>
      <c r="E1244" t="s">
        <v>158</v>
      </c>
      <c r="F1244" t="s">
        <v>109</v>
      </c>
      <c r="G1244" t="s">
        <v>86</v>
      </c>
      <c r="H1244">
        <v>60</v>
      </c>
      <c r="I1244">
        <v>49</v>
      </c>
      <c r="J1244">
        <v>122.45</v>
      </c>
      <c r="K1244" t="s">
        <v>96</v>
      </c>
      <c r="L1244">
        <v>80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 s="8">
        <v>80</v>
      </c>
      <c r="V1244" s="8">
        <f t="shared" si="19"/>
        <v>8</v>
      </c>
    </row>
    <row r="1245" spans="1:22" x14ac:dyDescent="0.3">
      <c r="A1245" t="s">
        <v>474</v>
      </c>
      <c r="B1245">
        <v>3</v>
      </c>
      <c r="C1245" t="s">
        <v>188</v>
      </c>
      <c r="D1245" t="s">
        <v>189</v>
      </c>
      <c r="E1245" t="s">
        <v>158</v>
      </c>
      <c r="F1245" t="s">
        <v>109</v>
      </c>
      <c r="G1245" t="s">
        <v>86</v>
      </c>
      <c r="H1245">
        <v>43</v>
      </c>
      <c r="I1245">
        <v>28</v>
      </c>
      <c r="J1245">
        <v>153.57</v>
      </c>
      <c r="K1245" t="s">
        <v>246</v>
      </c>
      <c r="L1245">
        <v>55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 s="8">
        <v>55</v>
      </c>
      <c r="V1245" s="8">
        <f t="shared" si="19"/>
        <v>6</v>
      </c>
    </row>
    <row r="1246" spans="1:22" x14ac:dyDescent="0.3">
      <c r="A1246" t="s">
        <v>474</v>
      </c>
      <c r="B1246">
        <v>3</v>
      </c>
      <c r="C1246" t="s">
        <v>194</v>
      </c>
      <c r="D1246" t="s">
        <v>195</v>
      </c>
      <c r="E1246" t="s">
        <v>158</v>
      </c>
      <c r="F1246" t="s">
        <v>109</v>
      </c>
      <c r="G1246" t="s">
        <v>134</v>
      </c>
      <c r="H1246">
        <v>15</v>
      </c>
      <c r="I1246">
        <v>10</v>
      </c>
      <c r="J1246">
        <v>150</v>
      </c>
      <c r="K1246" t="s">
        <v>96</v>
      </c>
      <c r="L1246">
        <v>20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 s="8">
        <v>20</v>
      </c>
      <c r="V1246" s="8">
        <f t="shared" si="19"/>
        <v>2</v>
      </c>
    </row>
    <row r="1247" spans="1:22" x14ac:dyDescent="0.3">
      <c r="A1247" t="s">
        <v>474</v>
      </c>
      <c r="B1247">
        <v>3</v>
      </c>
      <c r="C1247" t="s">
        <v>94</v>
      </c>
      <c r="D1247" t="s">
        <v>120</v>
      </c>
      <c r="E1247" t="s">
        <v>158</v>
      </c>
      <c r="F1247" t="s">
        <v>169</v>
      </c>
      <c r="G1247" t="s">
        <v>104</v>
      </c>
      <c r="H1247">
        <v>0</v>
      </c>
      <c r="I1247">
        <v>0</v>
      </c>
      <c r="J1247">
        <v>0</v>
      </c>
      <c r="K1247" t="s">
        <v>104</v>
      </c>
      <c r="L1247">
        <v>0</v>
      </c>
      <c r="M1247">
        <v>4</v>
      </c>
      <c r="N1247">
        <v>0</v>
      </c>
      <c r="O1247">
        <v>21</v>
      </c>
      <c r="P1247">
        <v>1</v>
      </c>
      <c r="Q1247">
        <v>5.2</v>
      </c>
      <c r="R1247">
        <v>25</v>
      </c>
      <c r="S1247">
        <v>0</v>
      </c>
      <c r="T1247">
        <v>0</v>
      </c>
      <c r="U1247" s="8">
        <v>25</v>
      </c>
      <c r="V1247" s="8">
        <f t="shared" si="19"/>
        <v>3</v>
      </c>
    </row>
    <row r="1248" spans="1:22" x14ac:dyDescent="0.3">
      <c r="A1248" t="s">
        <v>474</v>
      </c>
      <c r="B1248">
        <v>3</v>
      </c>
      <c r="C1248" t="s">
        <v>192</v>
      </c>
      <c r="D1248" t="s">
        <v>193</v>
      </c>
      <c r="E1248" t="s">
        <v>158</v>
      </c>
      <c r="F1248" t="s">
        <v>169</v>
      </c>
      <c r="G1248" t="s">
        <v>104</v>
      </c>
      <c r="H1248">
        <v>0</v>
      </c>
      <c r="I1248">
        <v>0</v>
      </c>
      <c r="J1248">
        <v>0</v>
      </c>
      <c r="K1248" t="s">
        <v>104</v>
      </c>
      <c r="L1248">
        <v>0</v>
      </c>
      <c r="M1248">
        <v>3</v>
      </c>
      <c r="N1248">
        <v>0</v>
      </c>
      <c r="O1248">
        <v>16</v>
      </c>
      <c r="P1248">
        <v>0</v>
      </c>
      <c r="Q1248">
        <v>5.3</v>
      </c>
      <c r="R1248">
        <v>10</v>
      </c>
      <c r="S1248">
        <v>0</v>
      </c>
      <c r="T1248">
        <v>0</v>
      </c>
      <c r="U1248" s="8">
        <v>10</v>
      </c>
      <c r="V1248" s="8">
        <f t="shared" si="19"/>
        <v>1</v>
      </c>
    </row>
    <row r="1249" spans="1:22" x14ac:dyDescent="0.3">
      <c r="A1249" t="s">
        <v>474</v>
      </c>
      <c r="B1249">
        <v>3</v>
      </c>
      <c r="C1249" t="s">
        <v>198</v>
      </c>
      <c r="D1249" t="s">
        <v>199</v>
      </c>
      <c r="E1249" t="s">
        <v>158</v>
      </c>
      <c r="F1249" t="s">
        <v>101</v>
      </c>
      <c r="G1249" t="s">
        <v>104</v>
      </c>
      <c r="H1249">
        <v>0</v>
      </c>
      <c r="I1249">
        <v>0</v>
      </c>
      <c r="J1249">
        <v>0</v>
      </c>
      <c r="K1249" t="s">
        <v>104</v>
      </c>
      <c r="L1249">
        <v>0</v>
      </c>
      <c r="M1249">
        <v>4</v>
      </c>
      <c r="N1249">
        <v>0</v>
      </c>
      <c r="O1249">
        <v>25</v>
      </c>
      <c r="P1249">
        <v>3</v>
      </c>
      <c r="Q1249">
        <v>6.2</v>
      </c>
      <c r="R1249">
        <v>75</v>
      </c>
      <c r="S1249">
        <v>0</v>
      </c>
      <c r="T1249">
        <v>0</v>
      </c>
      <c r="U1249" s="8">
        <v>75</v>
      </c>
      <c r="V1249" s="8">
        <f t="shared" si="19"/>
        <v>8</v>
      </c>
    </row>
    <row r="1250" spans="1:22" x14ac:dyDescent="0.3">
      <c r="A1250" t="s">
        <v>474</v>
      </c>
      <c r="B1250">
        <v>3</v>
      </c>
      <c r="C1250" t="s">
        <v>496</v>
      </c>
      <c r="D1250" t="s">
        <v>518</v>
      </c>
      <c r="E1250" t="s">
        <v>158</v>
      </c>
      <c r="F1250" t="s">
        <v>85</v>
      </c>
      <c r="G1250" t="s">
        <v>104</v>
      </c>
      <c r="H1250">
        <v>0</v>
      </c>
      <c r="I1250">
        <v>0</v>
      </c>
      <c r="J1250">
        <v>0</v>
      </c>
      <c r="K1250" t="s">
        <v>104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 s="8">
        <v>0</v>
      </c>
      <c r="V1250" s="8">
        <f t="shared" si="19"/>
        <v>0</v>
      </c>
    </row>
    <row r="1251" spans="1:22" x14ac:dyDescent="0.3">
      <c r="A1251" t="s">
        <v>474</v>
      </c>
      <c r="B1251">
        <v>3</v>
      </c>
      <c r="C1251" t="s">
        <v>495</v>
      </c>
      <c r="D1251" t="s">
        <v>503</v>
      </c>
      <c r="E1251" t="s">
        <v>158</v>
      </c>
      <c r="F1251" t="s">
        <v>169</v>
      </c>
      <c r="G1251" t="s">
        <v>104</v>
      </c>
      <c r="H1251">
        <v>0</v>
      </c>
      <c r="I1251">
        <v>0</v>
      </c>
      <c r="J1251">
        <v>0</v>
      </c>
      <c r="K1251" t="s">
        <v>104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 s="8">
        <v>0</v>
      </c>
      <c r="V1251" s="8">
        <f t="shared" si="19"/>
        <v>0</v>
      </c>
    </row>
    <row r="1252" spans="1:22" x14ac:dyDescent="0.3">
      <c r="A1252" t="s">
        <v>474</v>
      </c>
      <c r="B1252">
        <v>3</v>
      </c>
      <c r="C1252" t="s">
        <v>204</v>
      </c>
      <c r="D1252" t="s">
        <v>205</v>
      </c>
      <c r="E1252" t="s">
        <v>158</v>
      </c>
      <c r="F1252" t="s">
        <v>169</v>
      </c>
      <c r="G1252" t="s">
        <v>104</v>
      </c>
      <c r="H1252">
        <v>0</v>
      </c>
      <c r="I1252">
        <v>0</v>
      </c>
      <c r="J1252">
        <v>0</v>
      </c>
      <c r="K1252" t="s">
        <v>104</v>
      </c>
      <c r="L1252">
        <v>0</v>
      </c>
      <c r="M1252">
        <v>4</v>
      </c>
      <c r="N1252">
        <v>1</v>
      </c>
      <c r="O1252">
        <v>16</v>
      </c>
      <c r="P1252">
        <v>1</v>
      </c>
      <c r="Q1252">
        <v>4</v>
      </c>
      <c r="R1252">
        <v>35</v>
      </c>
      <c r="S1252">
        <v>0</v>
      </c>
      <c r="T1252">
        <v>0</v>
      </c>
      <c r="U1252" s="8">
        <v>35</v>
      </c>
      <c r="V1252" s="8">
        <f t="shared" si="19"/>
        <v>4</v>
      </c>
    </row>
    <row r="1253" spans="1:22" x14ac:dyDescent="0.3">
      <c r="A1253" t="s">
        <v>474</v>
      </c>
      <c r="B1253">
        <v>3</v>
      </c>
      <c r="C1253" t="s">
        <v>274</v>
      </c>
      <c r="D1253" t="s">
        <v>284</v>
      </c>
      <c r="E1253" t="s">
        <v>158</v>
      </c>
      <c r="F1253" t="s">
        <v>169</v>
      </c>
      <c r="G1253" t="s">
        <v>104</v>
      </c>
      <c r="H1253">
        <v>0</v>
      </c>
      <c r="I1253">
        <v>0</v>
      </c>
      <c r="J1253">
        <v>0</v>
      </c>
      <c r="K1253" t="s">
        <v>104</v>
      </c>
      <c r="L1253">
        <v>0</v>
      </c>
      <c r="M1253">
        <v>3</v>
      </c>
      <c r="N1253">
        <v>0</v>
      </c>
      <c r="O1253">
        <v>17</v>
      </c>
      <c r="P1253">
        <v>3</v>
      </c>
      <c r="Q1253">
        <v>5.7</v>
      </c>
      <c r="R1253">
        <v>75</v>
      </c>
      <c r="S1253">
        <v>0</v>
      </c>
      <c r="T1253">
        <v>0</v>
      </c>
      <c r="U1253" s="8">
        <v>75</v>
      </c>
      <c r="V1253" s="8">
        <f t="shared" si="19"/>
        <v>8</v>
      </c>
    </row>
    <row r="1254" spans="1:22" x14ac:dyDescent="0.3">
      <c r="A1254" t="s">
        <v>474</v>
      </c>
      <c r="B1254">
        <v>3</v>
      </c>
      <c r="C1254" t="s">
        <v>413</v>
      </c>
      <c r="D1254" t="s">
        <v>423</v>
      </c>
      <c r="E1254" t="s">
        <v>158</v>
      </c>
      <c r="F1254" t="s">
        <v>101</v>
      </c>
      <c r="G1254" t="s">
        <v>104</v>
      </c>
      <c r="H1254">
        <v>0</v>
      </c>
      <c r="I1254">
        <v>0</v>
      </c>
      <c r="J1254">
        <v>0</v>
      </c>
      <c r="K1254" t="s">
        <v>104</v>
      </c>
      <c r="L1254">
        <v>0</v>
      </c>
      <c r="M1254">
        <v>2</v>
      </c>
      <c r="N1254">
        <v>0</v>
      </c>
      <c r="O1254">
        <v>24</v>
      </c>
      <c r="P1254">
        <v>0</v>
      </c>
      <c r="Q1254">
        <v>12</v>
      </c>
      <c r="R1254">
        <v>0</v>
      </c>
      <c r="S1254">
        <v>0</v>
      </c>
      <c r="T1254">
        <v>0</v>
      </c>
      <c r="U1254" s="8">
        <v>0</v>
      </c>
      <c r="V1254" s="8">
        <f t="shared" si="19"/>
        <v>0</v>
      </c>
    </row>
    <row r="1255" spans="1:22" x14ac:dyDescent="0.3">
      <c r="A1255" t="s">
        <v>475</v>
      </c>
      <c r="B1255">
        <v>3</v>
      </c>
      <c r="C1255" t="s">
        <v>165</v>
      </c>
      <c r="D1255" t="s">
        <v>166</v>
      </c>
      <c r="E1255" t="s">
        <v>159</v>
      </c>
      <c r="F1255" t="s">
        <v>109</v>
      </c>
      <c r="G1255" t="s">
        <v>86</v>
      </c>
      <c r="H1255">
        <v>8</v>
      </c>
      <c r="I1255">
        <v>7</v>
      </c>
      <c r="J1255">
        <v>114.29</v>
      </c>
      <c r="K1255" t="s">
        <v>246</v>
      </c>
      <c r="L1255">
        <v>10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 s="8">
        <v>10</v>
      </c>
      <c r="V1255" s="8">
        <f t="shared" si="19"/>
        <v>1</v>
      </c>
    </row>
    <row r="1256" spans="1:22" x14ac:dyDescent="0.3">
      <c r="A1256" t="s">
        <v>475</v>
      </c>
      <c r="B1256">
        <v>3</v>
      </c>
      <c r="C1256" t="s">
        <v>489</v>
      </c>
      <c r="D1256" t="s">
        <v>488</v>
      </c>
      <c r="E1256" t="s">
        <v>159</v>
      </c>
      <c r="F1256" t="s">
        <v>109</v>
      </c>
      <c r="G1256" t="s">
        <v>86</v>
      </c>
      <c r="H1256">
        <v>21</v>
      </c>
      <c r="I1256">
        <v>18</v>
      </c>
      <c r="J1256">
        <v>116.67</v>
      </c>
      <c r="K1256" t="s">
        <v>246</v>
      </c>
      <c r="L1256">
        <v>25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 s="8">
        <v>25</v>
      </c>
      <c r="V1256" s="8">
        <f t="shared" si="19"/>
        <v>3</v>
      </c>
    </row>
    <row r="1257" spans="1:22" x14ac:dyDescent="0.3">
      <c r="A1257" t="s">
        <v>475</v>
      </c>
      <c r="B1257">
        <v>3</v>
      </c>
      <c r="C1257" t="s">
        <v>174</v>
      </c>
      <c r="D1257" t="s">
        <v>175</v>
      </c>
      <c r="E1257" t="s">
        <v>159</v>
      </c>
      <c r="F1257" t="s">
        <v>169</v>
      </c>
      <c r="G1257" t="s">
        <v>92</v>
      </c>
      <c r="H1257">
        <v>60</v>
      </c>
      <c r="I1257">
        <v>47</v>
      </c>
      <c r="J1257">
        <v>127.66</v>
      </c>
      <c r="K1257" t="s">
        <v>96</v>
      </c>
      <c r="L1257">
        <v>80</v>
      </c>
      <c r="M1257">
        <v>2</v>
      </c>
      <c r="N1257">
        <v>0</v>
      </c>
      <c r="O1257">
        <v>24</v>
      </c>
      <c r="P1257">
        <v>0</v>
      </c>
      <c r="Q1257">
        <v>12</v>
      </c>
      <c r="R1257">
        <v>0</v>
      </c>
      <c r="S1257">
        <v>0</v>
      </c>
      <c r="T1257">
        <v>0</v>
      </c>
      <c r="U1257" s="8">
        <v>80</v>
      </c>
      <c r="V1257" s="8">
        <f t="shared" si="19"/>
        <v>8</v>
      </c>
    </row>
    <row r="1258" spans="1:22" x14ac:dyDescent="0.3">
      <c r="A1258" t="s">
        <v>475</v>
      </c>
      <c r="B1258">
        <v>3</v>
      </c>
      <c r="C1258" t="s">
        <v>490</v>
      </c>
      <c r="D1258" t="s">
        <v>497</v>
      </c>
      <c r="E1258" t="s">
        <v>159</v>
      </c>
      <c r="F1258" t="s">
        <v>169</v>
      </c>
      <c r="G1258" t="s">
        <v>134</v>
      </c>
      <c r="H1258">
        <v>33</v>
      </c>
      <c r="I1258">
        <v>32</v>
      </c>
      <c r="J1258">
        <v>103.12</v>
      </c>
      <c r="K1258" t="s">
        <v>248</v>
      </c>
      <c r="L1258">
        <v>35</v>
      </c>
      <c r="M1258">
        <v>1</v>
      </c>
      <c r="N1258">
        <v>0</v>
      </c>
      <c r="O1258">
        <v>11</v>
      </c>
      <c r="P1258">
        <v>0</v>
      </c>
      <c r="Q1258">
        <v>11</v>
      </c>
      <c r="R1258">
        <v>0</v>
      </c>
      <c r="S1258">
        <v>0</v>
      </c>
      <c r="T1258">
        <v>0</v>
      </c>
      <c r="U1258" s="8">
        <v>35</v>
      </c>
      <c r="V1258" s="8">
        <f t="shared" si="19"/>
        <v>4</v>
      </c>
    </row>
    <row r="1259" spans="1:22" x14ac:dyDescent="0.3">
      <c r="A1259" t="s">
        <v>475</v>
      </c>
      <c r="B1259">
        <v>3</v>
      </c>
      <c r="C1259" t="s">
        <v>176</v>
      </c>
      <c r="D1259" t="s">
        <v>177</v>
      </c>
      <c r="E1259" t="s">
        <v>159</v>
      </c>
      <c r="F1259" t="s">
        <v>85</v>
      </c>
      <c r="G1259" t="s">
        <v>134</v>
      </c>
      <c r="H1259">
        <v>5</v>
      </c>
      <c r="I1259">
        <v>3</v>
      </c>
      <c r="J1259">
        <v>166.67</v>
      </c>
      <c r="K1259" t="s">
        <v>246</v>
      </c>
      <c r="L1259">
        <v>5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 s="8">
        <v>5</v>
      </c>
      <c r="V1259" s="8">
        <f t="shared" si="19"/>
        <v>1</v>
      </c>
    </row>
    <row r="1260" spans="1:22" x14ac:dyDescent="0.3">
      <c r="A1260" t="s">
        <v>475</v>
      </c>
      <c r="B1260">
        <v>3</v>
      </c>
      <c r="C1260" t="s">
        <v>178</v>
      </c>
      <c r="D1260" t="s">
        <v>179</v>
      </c>
      <c r="E1260" t="s">
        <v>159</v>
      </c>
      <c r="F1260" t="s">
        <v>169</v>
      </c>
      <c r="G1260" t="s">
        <v>134</v>
      </c>
      <c r="H1260">
        <v>2</v>
      </c>
      <c r="I1260">
        <v>3</v>
      </c>
      <c r="J1260">
        <v>66.67</v>
      </c>
      <c r="K1260" t="s">
        <v>246</v>
      </c>
      <c r="L1260">
        <v>2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 s="8">
        <v>2</v>
      </c>
      <c r="V1260" s="8">
        <f t="shared" si="19"/>
        <v>0</v>
      </c>
    </row>
    <row r="1261" spans="1:22" x14ac:dyDescent="0.3">
      <c r="A1261" t="s">
        <v>475</v>
      </c>
      <c r="B1261">
        <v>3</v>
      </c>
      <c r="C1261" t="s">
        <v>99</v>
      </c>
      <c r="D1261" t="s">
        <v>124</v>
      </c>
      <c r="E1261" t="s">
        <v>159</v>
      </c>
      <c r="F1261" t="s">
        <v>169</v>
      </c>
      <c r="G1261" t="s">
        <v>134</v>
      </c>
      <c r="H1261">
        <v>12</v>
      </c>
      <c r="I1261">
        <v>10</v>
      </c>
      <c r="J1261">
        <v>120</v>
      </c>
      <c r="K1261" t="s">
        <v>96</v>
      </c>
      <c r="L1261">
        <v>15</v>
      </c>
      <c r="M1261">
        <v>3</v>
      </c>
      <c r="N1261">
        <v>0</v>
      </c>
      <c r="O1261">
        <v>21</v>
      </c>
      <c r="P1261">
        <v>0</v>
      </c>
      <c r="Q1261">
        <v>7</v>
      </c>
      <c r="R1261">
        <v>0</v>
      </c>
      <c r="S1261">
        <v>0</v>
      </c>
      <c r="T1261">
        <v>0</v>
      </c>
      <c r="U1261" s="8">
        <v>15</v>
      </c>
      <c r="V1261" s="8">
        <f t="shared" si="19"/>
        <v>2</v>
      </c>
    </row>
    <row r="1262" spans="1:22" x14ac:dyDescent="0.3">
      <c r="A1262" t="s">
        <v>475</v>
      </c>
      <c r="B1262">
        <v>3</v>
      </c>
      <c r="C1262" t="s">
        <v>242</v>
      </c>
      <c r="D1262" t="s">
        <v>244</v>
      </c>
      <c r="E1262" t="s">
        <v>159</v>
      </c>
      <c r="F1262" t="s">
        <v>101</v>
      </c>
      <c r="G1262" t="s">
        <v>104</v>
      </c>
      <c r="H1262">
        <v>0</v>
      </c>
      <c r="I1262">
        <v>0</v>
      </c>
      <c r="J1262">
        <v>0</v>
      </c>
      <c r="K1262" t="s">
        <v>104</v>
      </c>
      <c r="L1262">
        <v>0</v>
      </c>
      <c r="M1262">
        <v>3</v>
      </c>
      <c r="N1262">
        <v>0</v>
      </c>
      <c r="O1262">
        <v>25</v>
      </c>
      <c r="P1262">
        <v>0</v>
      </c>
      <c r="Q1262">
        <v>8.3000000000000007</v>
      </c>
      <c r="R1262">
        <v>0</v>
      </c>
      <c r="S1262">
        <v>0</v>
      </c>
      <c r="T1262">
        <v>0</v>
      </c>
      <c r="U1262" s="8">
        <v>0</v>
      </c>
      <c r="V1262" s="8">
        <f t="shared" si="19"/>
        <v>0</v>
      </c>
    </row>
    <row r="1263" spans="1:22" x14ac:dyDescent="0.3">
      <c r="A1263" t="s">
        <v>475</v>
      </c>
      <c r="B1263">
        <v>3</v>
      </c>
      <c r="C1263" t="s">
        <v>102</v>
      </c>
      <c r="D1263" t="s">
        <v>126</v>
      </c>
      <c r="E1263" t="s">
        <v>159</v>
      </c>
      <c r="F1263" t="s">
        <v>169</v>
      </c>
      <c r="G1263" t="s">
        <v>104</v>
      </c>
      <c r="H1263">
        <v>0</v>
      </c>
      <c r="I1263">
        <v>0</v>
      </c>
      <c r="J1263">
        <v>0</v>
      </c>
      <c r="K1263" t="s">
        <v>104</v>
      </c>
      <c r="L1263">
        <v>0</v>
      </c>
      <c r="M1263">
        <v>1.3</v>
      </c>
      <c r="N1263">
        <v>0</v>
      </c>
      <c r="O1263">
        <v>22</v>
      </c>
      <c r="P1263">
        <v>0</v>
      </c>
      <c r="Q1263">
        <v>14.7</v>
      </c>
      <c r="R1263">
        <v>0</v>
      </c>
      <c r="S1263">
        <v>0</v>
      </c>
      <c r="T1263">
        <v>0</v>
      </c>
      <c r="U1263" s="8">
        <v>0</v>
      </c>
      <c r="V1263" s="8">
        <f t="shared" si="19"/>
        <v>0</v>
      </c>
    </row>
    <row r="1264" spans="1:22" x14ac:dyDescent="0.3">
      <c r="A1264" t="s">
        <v>475</v>
      </c>
      <c r="B1264">
        <v>3</v>
      </c>
      <c r="C1264" t="s">
        <v>186</v>
      </c>
      <c r="D1264" t="s">
        <v>187</v>
      </c>
      <c r="E1264" t="s">
        <v>159</v>
      </c>
      <c r="F1264" t="s">
        <v>101</v>
      </c>
      <c r="G1264" t="s">
        <v>104</v>
      </c>
      <c r="H1264">
        <v>0</v>
      </c>
      <c r="I1264">
        <v>0</v>
      </c>
      <c r="J1264">
        <v>0</v>
      </c>
      <c r="K1264" t="s">
        <v>104</v>
      </c>
      <c r="L1264">
        <v>0</v>
      </c>
      <c r="M1264">
        <v>4</v>
      </c>
      <c r="N1264">
        <v>1</v>
      </c>
      <c r="O1264">
        <v>28</v>
      </c>
      <c r="P1264">
        <v>1</v>
      </c>
      <c r="Q1264">
        <v>7</v>
      </c>
      <c r="R1264">
        <v>35</v>
      </c>
      <c r="S1264">
        <v>0</v>
      </c>
      <c r="T1264">
        <v>0</v>
      </c>
      <c r="U1264" s="8">
        <v>35</v>
      </c>
      <c r="V1264" s="8">
        <f t="shared" si="19"/>
        <v>4</v>
      </c>
    </row>
    <row r="1265" spans="1:22" x14ac:dyDescent="0.3">
      <c r="A1265" t="s">
        <v>475</v>
      </c>
      <c r="B1265">
        <v>3</v>
      </c>
      <c r="C1265" t="s">
        <v>429</v>
      </c>
      <c r="D1265" t="s">
        <v>430</v>
      </c>
      <c r="E1265" t="s">
        <v>159</v>
      </c>
      <c r="F1265" t="s">
        <v>101</v>
      </c>
      <c r="G1265" t="s">
        <v>104</v>
      </c>
      <c r="H1265">
        <v>0</v>
      </c>
      <c r="I1265">
        <v>0</v>
      </c>
      <c r="J1265">
        <v>0</v>
      </c>
      <c r="K1265" t="s">
        <v>104</v>
      </c>
      <c r="L1265">
        <v>0</v>
      </c>
      <c r="M1265">
        <v>1</v>
      </c>
      <c r="N1265">
        <v>0</v>
      </c>
      <c r="O1265">
        <v>15</v>
      </c>
      <c r="P1265">
        <v>0</v>
      </c>
      <c r="Q1265">
        <v>15</v>
      </c>
      <c r="R1265">
        <v>0</v>
      </c>
      <c r="S1265">
        <v>0</v>
      </c>
      <c r="T1265">
        <v>0</v>
      </c>
      <c r="U1265" s="8">
        <v>0</v>
      </c>
      <c r="V1265" s="8">
        <f t="shared" si="19"/>
        <v>0</v>
      </c>
    </row>
    <row r="1266" spans="1:22" x14ac:dyDescent="0.3">
      <c r="A1266" t="s">
        <v>475</v>
      </c>
      <c r="B1266">
        <v>3</v>
      </c>
      <c r="C1266" t="s">
        <v>190</v>
      </c>
      <c r="D1266" t="s">
        <v>191</v>
      </c>
      <c r="E1266" t="s">
        <v>158</v>
      </c>
      <c r="F1266" t="s">
        <v>109</v>
      </c>
      <c r="G1266" t="s">
        <v>86</v>
      </c>
      <c r="H1266">
        <v>2</v>
      </c>
      <c r="I1266">
        <v>12</v>
      </c>
      <c r="J1266">
        <v>16.670000000000002</v>
      </c>
      <c r="K1266" t="s">
        <v>246</v>
      </c>
      <c r="L1266">
        <v>2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 s="8">
        <v>2</v>
      </c>
      <c r="V1266" s="8">
        <f t="shared" si="19"/>
        <v>0</v>
      </c>
    </row>
    <row r="1267" spans="1:22" x14ac:dyDescent="0.3">
      <c r="A1267" t="s">
        <v>475</v>
      </c>
      <c r="B1267">
        <v>3</v>
      </c>
      <c r="C1267" t="s">
        <v>188</v>
      </c>
      <c r="D1267" t="s">
        <v>189</v>
      </c>
      <c r="E1267" t="s">
        <v>158</v>
      </c>
      <c r="F1267" t="s">
        <v>109</v>
      </c>
      <c r="G1267" t="s">
        <v>86</v>
      </c>
      <c r="H1267">
        <v>80</v>
      </c>
      <c r="I1267">
        <v>43</v>
      </c>
      <c r="J1267">
        <v>186.05</v>
      </c>
      <c r="K1267" t="s">
        <v>96</v>
      </c>
      <c r="L1267">
        <v>100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 s="8">
        <v>100</v>
      </c>
      <c r="V1267" s="8">
        <f t="shared" si="19"/>
        <v>10</v>
      </c>
    </row>
    <row r="1268" spans="1:22" x14ac:dyDescent="0.3">
      <c r="A1268" t="s">
        <v>475</v>
      </c>
      <c r="B1268">
        <v>3</v>
      </c>
      <c r="C1268" t="s">
        <v>198</v>
      </c>
      <c r="D1268" t="s">
        <v>199</v>
      </c>
      <c r="E1268" t="s">
        <v>158</v>
      </c>
      <c r="F1268" t="s">
        <v>101</v>
      </c>
      <c r="G1268" t="s">
        <v>92</v>
      </c>
      <c r="H1268">
        <v>61</v>
      </c>
      <c r="I1268">
        <v>38</v>
      </c>
      <c r="J1268">
        <v>160.53</v>
      </c>
      <c r="K1268" t="s">
        <v>96</v>
      </c>
      <c r="L1268">
        <v>80</v>
      </c>
      <c r="M1268">
        <v>3</v>
      </c>
      <c r="N1268">
        <v>0</v>
      </c>
      <c r="O1268">
        <v>33</v>
      </c>
      <c r="P1268">
        <v>0</v>
      </c>
      <c r="Q1268">
        <v>11</v>
      </c>
      <c r="R1268">
        <v>0</v>
      </c>
      <c r="S1268">
        <v>0</v>
      </c>
      <c r="T1268">
        <v>0</v>
      </c>
      <c r="U1268" s="8">
        <v>80</v>
      </c>
      <c r="V1268" s="8">
        <f t="shared" si="19"/>
        <v>8</v>
      </c>
    </row>
    <row r="1269" spans="1:22" x14ac:dyDescent="0.3">
      <c r="A1269" t="s">
        <v>475</v>
      </c>
      <c r="B1269">
        <v>3</v>
      </c>
      <c r="C1269" t="s">
        <v>194</v>
      </c>
      <c r="D1269" t="s">
        <v>195</v>
      </c>
      <c r="E1269" t="s">
        <v>158</v>
      </c>
      <c r="F1269" t="s">
        <v>109</v>
      </c>
      <c r="G1269" t="s">
        <v>104</v>
      </c>
      <c r="H1269">
        <v>0</v>
      </c>
      <c r="I1269">
        <v>0</v>
      </c>
      <c r="J1269">
        <v>0</v>
      </c>
      <c r="K1269" t="s">
        <v>104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 s="8">
        <v>0</v>
      </c>
      <c r="V1269" s="8">
        <f t="shared" si="19"/>
        <v>0</v>
      </c>
    </row>
    <row r="1270" spans="1:22" x14ac:dyDescent="0.3">
      <c r="A1270" t="s">
        <v>475</v>
      </c>
      <c r="B1270">
        <v>3</v>
      </c>
      <c r="C1270" t="s">
        <v>94</v>
      </c>
      <c r="D1270" t="s">
        <v>120</v>
      </c>
      <c r="E1270" t="s">
        <v>158</v>
      </c>
      <c r="F1270" t="s">
        <v>169</v>
      </c>
      <c r="G1270" t="s">
        <v>104</v>
      </c>
      <c r="H1270">
        <v>0</v>
      </c>
      <c r="I1270">
        <v>0</v>
      </c>
      <c r="J1270">
        <v>0</v>
      </c>
      <c r="K1270" t="s">
        <v>104</v>
      </c>
      <c r="L1270">
        <v>0</v>
      </c>
      <c r="M1270">
        <v>4</v>
      </c>
      <c r="N1270">
        <v>0</v>
      </c>
      <c r="O1270">
        <v>27</v>
      </c>
      <c r="P1270">
        <v>0</v>
      </c>
      <c r="Q1270">
        <v>6.8</v>
      </c>
      <c r="R1270">
        <v>10</v>
      </c>
      <c r="S1270">
        <v>0</v>
      </c>
      <c r="T1270">
        <v>0</v>
      </c>
      <c r="U1270" s="8">
        <v>10</v>
      </c>
      <c r="V1270" s="8">
        <f t="shared" si="19"/>
        <v>1</v>
      </c>
    </row>
    <row r="1271" spans="1:22" x14ac:dyDescent="0.3">
      <c r="A1271" t="s">
        <v>475</v>
      </c>
      <c r="B1271">
        <v>3</v>
      </c>
      <c r="C1271" t="s">
        <v>192</v>
      </c>
      <c r="D1271" t="s">
        <v>193</v>
      </c>
      <c r="E1271" t="s">
        <v>158</v>
      </c>
      <c r="F1271" t="s">
        <v>169</v>
      </c>
      <c r="G1271" t="s">
        <v>104</v>
      </c>
      <c r="H1271">
        <v>0</v>
      </c>
      <c r="I1271">
        <v>0</v>
      </c>
      <c r="J1271">
        <v>0</v>
      </c>
      <c r="K1271" t="s">
        <v>104</v>
      </c>
      <c r="L1271">
        <v>0</v>
      </c>
      <c r="M1271">
        <v>4</v>
      </c>
      <c r="N1271">
        <v>0</v>
      </c>
      <c r="O1271">
        <v>18</v>
      </c>
      <c r="P1271">
        <v>1</v>
      </c>
      <c r="Q1271">
        <v>4.5</v>
      </c>
      <c r="R1271">
        <v>25</v>
      </c>
      <c r="S1271">
        <v>0</v>
      </c>
      <c r="T1271">
        <v>0</v>
      </c>
      <c r="U1271" s="8">
        <v>25</v>
      </c>
      <c r="V1271" s="8">
        <f t="shared" si="19"/>
        <v>3</v>
      </c>
    </row>
    <row r="1272" spans="1:22" x14ac:dyDescent="0.3">
      <c r="A1272" t="s">
        <v>475</v>
      </c>
      <c r="B1272">
        <v>3</v>
      </c>
      <c r="C1272" t="s">
        <v>496</v>
      </c>
      <c r="D1272" t="s">
        <v>518</v>
      </c>
      <c r="E1272" t="s">
        <v>158</v>
      </c>
      <c r="F1272" t="s">
        <v>85</v>
      </c>
      <c r="G1272" t="s">
        <v>104</v>
      </c>
      <c r="H1272">
        <v>0</v>
      </c>
      <c r="I1272">
        <v>0</v>
      </c>
      <c r="J1272">
        <v>0</v>
      </c>
      <c r="K1272" t="s">
        <v>104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 s="8">
        <v>0</v>
      </c>
      <c r="V1272" s="8">
        <f t="shared" si="19"/>
        <v>0</v>
      </c>
    </row>
    <row r="1273" spans="1:22" x14ac:dyDescent="0.3">
      <c r="A1273" t="s">
        <v>475</v>
      </c>
      <c r="B1273">
        <v>3</v>
      </c>
      <c r="C1273" t="s">
        <v>495</v>
      </c>
      <c r="D1273" t="s">
        <v>503</v>
      </c>
      <c r="E1273" t="s">
        <v>158</v>
      </c>
      <c r="F1273" t="s">
        <v>169</v>
      </c>
      <c r="G1273" t="s">
        <v>104</v>
      </c>
      <c r="H1273">
        <v>0</v>
      </c>
      <c r="I1273">
        <v>0</v>
      </c>
      <c r="J1273">
        <v>0</v>
      </c>
      <c r="K1273" t="s">
        <v>104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 s="8">
        <v>0</v>
      </c>
      <c r="V1273" s="8">
        <f t="shared" si="19"/>
        <v>0</v>
      </c>
    </row>
    <row r="1274" spans="1:22" x14ac:dyDescent="0.3">
      <c r="A1274" t="s">
        <v>475</v>
      </c>
      <c r="B1274">
        <v>3</v>
      </c>
      <c r="C1274" t="s">
        <v>204</v>
      </c>
      <c r="D1274" t="s">
        <v>205</v>
      </c>
      <c r="E1274" t="s">
        <v>158</v>
      </c>
      <c r="F1274" t="s">
        <v>169</v>
      </c>
      <c r="G1274" t="s">
        <v>104</v>
      </c>
      <c r="H1274">
        <v>0</v>
      </c>
      <c r="I1274">
        <v>0</v>
      </c>
      <c r="J1274">
        <v>0</v>
      </c>
      <c r="K1274" t="s">
        <v>104</v>
      </c>
      <c r="L1274">
        <v>0</v>
      </c>
      <c r="M1274">
        <v>4</v>
      </c>
      <c r="N1274">
        <v>0</v>
      </c>
      <c r="O1274">
        <v>24</v>
      </c>
      <c r="P1274">
        <v>2</v>
      </c>
      <c r="Q1274">
        <v>6</v>
      </c>
      <c r="R1274">
        <v>50</v>
      </c>
      <c r="S1274">
        <v>0</v>
      </c>
      <c r="T1274">
        <v>0</v>
      </c>
      <c r="U1274" s="8">
        <v>50</v>
      </c>
      <c r="V1274" s="8">
        <f t="shared" si="19"/>
        <v>5</v>
      </c>
    </row>
    <row r="1275" spans="1:22" x14ac:dyDescent="0.3">
      <c r="A1275" t="s">
        <v>475</v>
      </c>
      <c r="B1275">
        <v>3</v>
      </c>
      <c r="C1275" t="s">
        <v>274</v>
      </c>
      <c r="D1275" t="s">
        <v>284</v>
      </c>
      <c r="E1275" t="s">
        <v>158</v>
      </c>
      <c r="F1275" t="s">
        <v>169</v>
      </c>
      <c r="G1275" t="s">
        <v>104</v>
      </c>
      <c r="H1275">
        <v>0</v>
      </c>
      <c r="I1275">
        <v>0</v>
      </c>
      <c r="J1275">
        <v>0</v>
      </c>
      <c r="K1275" t="s">
        <v>104</v>
      </c>
      <c r="L1275">
        <v>0</v>
      </c>
      <c r="M1275">
        <v>1</v>
      </c>
      <c r="N1275">
        <v>0</v>
      </c>
      <c r="O1275">
        <v>14</v>
      </c>
      <c r="P1275">
        <v>0</v>
      </c>
      <c r="Q1275">
        <v>14</v>
      </c>
      <c r="R1275">
        <v>0</v>
      </c>
      <c r="S1275">
        <v>0</v>
      </c>
      <c r="T1275">
        <v>0</v>
      </c>
      <c r="U1275" s="8">
        <v>0</v>
      </c>
      <c r="V1275" s="8">
        <f t="shared" si="19"/>
        <v>0</v>
      </c>
    </row>
    <row r="1276" spans="1:22" x14ac:dyDescent="0.3">
      <c r="A1276" t="s">
        <v>475</v>
      </c>
      <c r="B1276">
        <v>3</v>
      </c>
      <c r="C1276" t="s">
        <v>513</v>
      </c>
      <c r="D1276" t="s">
        <v>563</v>
      </c>
      <c r="E1276" t="s">
        <v>158</v>
      </c>
      <c r="F1276" t="s">
        <v>101</v>
      </c>
      <c r="G1276" t="s">
        <v>104</v>
      </c>
      <c r="H1276">
        <v>0</v>
      </c>
      <c r="I1276">
        <v>0</v>
      </c>
      <c r="J1276">
        <v>0</v>
      </c>
      <c r="K1276" t="s">
        <v>104</v>
      </c>
      <c r="L1276">
        <v>0</v>
      </c>
      <c r="M1276">
        <v>4</v>
      </c>
      <c r="N1276">
        <v>0</v>
      </c>
      <c r="O1276">
        <v>28</v>
      </c>
      <c r="P1276">
        <v>2</v>
      </c>
      <c r="Q1276">
        <v>7</v>
      </c>
      <c r="R1276">
        <v>50</v>
      </c>
      <c r="S1276">
        <v>0</v>
      </c>
      <c r="T1276">
        <v>0</v>
      </c>
      <c r="U1276" s="8">
        <v>50</v>
      </c>
      <c r="V1276" s="8">
        <f t="shared" si="19"/>
        <v>5</v>
      </c>
    </row>
    <row r="1277" spans="1:22" x14ac:dyDescent="0.3">
      <c r="A1277" t="s">
        <v>476</v>
      </c>
      <c r="B1277">
        <v>3</v>
      </c>
      <c r="C1277" t="s">
        <v>81</v>
      </c>
      <c r="D1277" t="s">
        <v>114</v>
      </c>
      <c r="E1277" t="s">
        <v>258</v>
      </c>
      <c r="F1277" t="s">
        <v>85</v>
      </c>
      <c r="G1277" t="s">
        <v>86</v>
      </c>
      <c r="H1277">
        <v>96</v>
      </c>
      <c r="I1277">
        <v>59</v>
      </c>
      <c r="J1277">
        <v>162.71</v>
      </c>
      <c r="K1277" t="s">
        <v>96</v>
      </c>
      <c r="L1277">
        <v>120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 s="8">
        <v>120</v>
      </c>
      <c r="V1277" s="8">
        <f t="shared" si="19"/>
        <v>10</v>
      </c>
    </row>
    <row r="1278" spans="1:22" x14ac:dyDescent="0.3">
      <c r="A1278" t="s">
        <v>476</v>
      </c>
      <c r="B1278">
        <v>3</v>
      </c>
      <c r="C1278" t="s">
        <v>97</v>
      </c>
      <c r="D1278" t="s">
        <v>122</v>
      </c>
      <c r="E1278" t="s">
        <v>258</v>
      </c>
      <c r="F1278" t="s">
        <v>109</v>
      </c>
      <c r="G1278" t="s">
        <v>92</v>
      </c>
      <c r="H1278">
        <v>2</v>
      </c>
      <c r="I1278">
        <v>3</v>
      </c>
      <c r="J1278">
        <v>66.67</v>
      </c>
      <c r="K1278" t="s">
        <v>246</v>
      </c>
      <c r="L1278">
        <v>2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 s="8">
        <v>2</v>
      </c>
      <c r="V1278" s="8">
        <f t="shared" si="19"/>
        <v>0</v>
      </c>
    </row>
    <row r="1279" spans="1:22" x14ac:dyDescent="0.3">
      <c r="A1279" t="s">
        <v>476</v>
      </c>
      <c r="B1279">
        <v>3</v>
      </c>
      <c r="C1279" t="s">
        <v>89</v>
      </c>
      <c r="D1279" t="s">
        <v>116</v>
      </c>
      <c r="E1279" t="s">
        <v>258</v>
      </c>
      <c r="F1279" t="s">
        <v>169</v>
      </c>
      <c r="G1279" t="s">
        <v>92</v>
      </c>
      <c r="H1279">
        <v>45</v>
      </c>
      <c r="I1279">
        <v>32</v>
      </c>
      <c r="J1279">
        <v>140.62</v>
      </c>
      <c r="K1279" t="s">
        <v>245</v>
      </c>
      <c r="L1279">
        <v>55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 s="8">
        <v>55</v>
      </c>
      <c r="V1279" s="8">
        <f t="shared" si="19"/>
        <v>6</v>
      </c>
    </row>
    <row r="1280" spans="1:22" x14ac:dyDescent="0.3">
      <c r="A1280" t="s">
        <v>476</v>
      </c>
      <c r="B1280">
        <v>3</v>
      </c>
      <c r="C1280" t="s">
        <v>93</v>
      </c>
      <c r="D1280" t="s">
        <v>118</v>
      </c>
      <c r="E1280" t="s">
        <v>258</v>
      </c>
      <c r="F1280" t="s">
        <v>169</v>
      </c>
      <c r="G1280" t="s">
        <v>134</v>
      </c>
      <c r="H1280">
        <v>11</v>
      </c>
      <c r="I1280">
        <v>10</v>
      </c>
      <c r="J1280">
        <v>110</v>
      </c>
      <c r="K1280" t="s">
        <v>246</v>
      </c>
      <c r="L1280">
        <v>15</v>
      </c>
      <c r="M1280">
        <v>2</v>
      </c>
      <c r="N1280">
        <v>0</v>
      </c>
      <c r="O1280">
        <v>9</v>
      </c>
      <c r="P1280">
        <v>1</v>
      </c>
      <c r="Q1280">
        <v>4.5</v>
      </c>
      <c r="R1280">
        <v>25</v>
      </c>
      <c r="S1280">
        <v>0</v>
      </c>
      <c r="T1280">
        <v>0</v>
      </c>
      <c r="U1280" s="8">
        <v>40</v>
      </c>
      <c r="V1280" s="8">
        <f t="shared" si="19"/>
        <v>4</v>
      </c>
    </row>
    <row r="1281" spans="1:22" x14ac:dyDescent="0.3">
      <c r="A1281" t="s">
        <v>476</v>
      </c>
      <c r="B1281">
        <v>3</v>
      </c>
      <c r="C1281" t="s">
        <v>383</v>
      </c>
      <c r="D1281" t="s">
        <v>384</v>
      </c>
      <c r="E1281" t="s">
        <v>258</v>
      </c>
      <c r="F1281" t="s">
        <v>109</v>
      </c>
      <c r="G1281" t="s">
        <v>134</v>
      </c>
      <c r="H1281">
        <v>8</v>
      </c>
      <c r="I1281">
        <v>6</v>
      </c>
      <c r="J1281">
        <v>133.33000000000001</v>
      </c>
      <c r="K1281" t="s">
        <v>246</v>
      </c>
      <c r="L1281">
        <v>10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 s="8">
        <v>10</v>
      </c>
      <c r="V1281" s="8">
        <f t="shared" si="19"/>
        <v>1</v>
      </c>
    </row>
    <row r="1282" spans="1:22" x14ac:dyDescent="0.3">
      <c r="A1282" t="s">
        <v>476</v>
      </c>
      <c r="B1282">
        <v>3</v>
      </c>
      <c r="C1282" t="s">
        <v>530</v>
      </c>
      <c r="D1282" t="s">
        <v>502</v>
      </c>
      <c r="E1282" t="s">
        <v>258</v>
      </c>
      <c r="F1282" t="s">
        <v>169</v>
      </c>
      <c r="G1282" t="s">
        <v>134</v>
      </c>
      <c r="H1282">
        <v>17</v>
      </c>
      <c r="I1282">
        <v>8</v>
      </c>
      <c r="J1282">
        <v>212.5</v>
      </c>
      <c r="K1282" t="s">
        <v>247</v>
      </c>
      <c r="L1282">
        <v>25</v>
      </c>
      <c r="M1282">
        <v>3</v>
      </c>
      <c r="N1282">
        <v>0</v>
      </c>
      <c r="O1282">
        <v>14</v>
      </c>
      <c r="P1282">
        <v>2</v>
      </c>
      <c r="Q1282">
        <v>4.7</v>
      </c>
      <c r="R1282">
        <v>50</v>
      </c>
      <c r="S1282">
        <v>0</v>
      </c>
      <c r="T1282">
        <v>0</v>
      </c>
      <c r="U1282" s="8">
        <v>75</v>
      </c>
      <c r="V1282" s="8">
        <f t="shared" si="19"/>
        <v>8</v>
      </c>
    </row>
    <row r="1283" spans="1:22" x14ac:dyDescent="0.3">
      <c r="A1283" t="s">
        <v>476</v>
      </c>
      <c r="B1283">
        <v>3</v>
      </c>
      <c r="C1283" t="s">
        <v>447</v>
      </c>
      <c r="D1283" t="s">
        <v>448</v>
      </c>
      <c r="E1283" t="s">
        <v>258</v>
      </c>
      <c r="F1283" t="s">
        <v>109</v>
      </c>
      <c r="G1283" t="s">
        <v>134</v>
      </c>
      <c r="H1283">
        <v>2</v>
      </c>
      <c r="I1283">
        <v>3</v>
      </c>
      <c r="J1283">
        <v>66.67</v>
      </c>
      <c r="K1283" t="s">
        <v>96</v>
      </c>
      <c r="L1283">
        <v>2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 s="8">
        <v>2</v>
      </c>
      <c r="V1283" s="8">
        <f t="shared" ref="V1283:V1346" si="20">MIN(10, MAX(0, ROUND(U1283/10,0)))</f>
        <v>0</v>
      </c>
    </row>
    <row r="1284" spans="1:22" x14ac:dyDescent="0.3">
      <c r="A1284" t="s">
        <v>476</v>
      </c>
      <c r="B1284">
        <v>3</v>
      </c>
      <c r="C1284" t="s">
        <v>493</v>
      </c>
      <c r="D1284" t="s">
        <v>500</v>
      </c>
      <c r="E1284" t="s">
        <v>258</v>
      </c>
      <c r="F1284" t="s">
        <v>169</v>
      </c>
      <c r="G1284" t="s">
        <v>104</v>
      </c>
      <c r="H1284">
        <v>0</v>
      </c>
      <c r="I1284">
        <v>0</v>
      </c>
      <c r="J1284">
        <v>0</v>
      </c>
      <c r="K1284" t="s">
        <v>104</v>
      </c>
      <c r="L1284">
        <v>0</v>
      </c>
      <c r="M1284">
        <v>3</v>
      </c>
      <c r="N1284">
        <v>0</v>
      </c>
      <c r="O1284">
        <v>11</v>
      </c>
      <c r="P1284">
        <v>3</v>
      </c>
      <c r="Q1284">
        <v>3.7</v>
      </c>
      <c r="R1284">
        <v>75</v>
      </c>
      <c r="S1284">
        <v>0</v>
      </c>
      <c r="T1284">
        <v>0</v>
      </c>
      <c r="U1284" s="8">
        <v>75</v>
      </c>
      <c r="V1284" s="8">
        <f t="shared" si="20"/>
        <v>8</v>
      </c>
    </row>
    <row r="1285" spans="1:22" x14ac:dyDescent="0.3">
      <c r="A1285" t="s">
        <v>476</v>
      </c>
      <c r="B1285">
        <v>3</v>
      </c>
      <c r="C1285" t="s">
        <v>389</v>
      </c>
      <c r="D1285" t="s">
        <v>390</v>
      </c>
      <c r="E1285" t="s">
        <v>258</v>
      </c>
      <c r="F1285" t="s">
        <v>101</v>
      </c>
      <c r="G1285" t="s">
        <v>104</v>
      </c>
      <c r="H1285">
        <v>0</v>
      </c>
      <c r="I1285">
        <v>0</v>
      </c>
      <c r="J1285">
        <v>0</v>
      </c>
      <c r="K1285" t="s">
        <v>104</v>
      </c>
      <c r="L1285">
        <v>0</v>
      </c>
      <c r="M1285">
        <v>2</v>
      </c>
      <c r="N1285">
        <v>0</v>
      </c>
      <c r="O1285">
        <v>28</v>
      </c>
      <c r="P1285">
        <v>1</v>
      </c>
      <c r="Q1285">
        <v>14</v>
      </c>
      <c r="R1285">
        <v>25</v>
      </c>
      <c r="S1285">
        <v>0</v>
      </c>
      <c r="T1285">
        <v>0</v>
      </c>
      <c r="U1285" s="8">
        <v>25</v>
      </c>
      <c r="V1285" s="8">
        <f t="shared" si="20"/>
        <v>3</v>
      </c>
    </row>
    <row r="1286" spans="1:22" x14ac:dyDescent="0.3">
      <c r="A1286" t="s">
        <v>476</v>
      </c>
      <c r="B1286">
        <v>3</v>
      </c>
      <c r="C1286" t="s">
        <v>105</v>
      </c>
      <c r="D1286" t="s">
        <v>128</v>
      </c>
      <c r="E1286" t="s">
        <v>258</v>
      </c>
      <c r="F1286" t="s">
        <v>101</v>
      </c>
      <c r="G1286" t="s">
        <v>104</v>
      </c>
      <c r="H1286">
        <v>0</v>
      </c>
      <c r="I1286">
        <v>0</v>
      </c>
      <c r="J1286">
        <v>0</v>
      </c>
      <c r="K1286" t="s">
        <v>104</v>
      </c>
      <c r="L1286">
        <v>0</v>
      </c>
      <c r="M1286">
        <v>3.1</v>
      </c>
      <c r="N1286">
        <v>0</v>
      </c>
      <c r="O1286">
        <v>17</v>
      </c>
      <c r="P1286">
        <v>3</v>
      </c>
      <c r="Q1286">
        <v>5.4</v>
      </c>
      <c r="R1286">
        <v>75</v>
      </c>
      <c r="S1286">
        <v>0</v>
      </c>
      <c r="T1286">
        <v>0</v>
      </c>
      <c r="U1286" s="8">
        <v>75</v>
      </c>
      <c r="V1286" s="8">
        <f t="shared" si="20"/>
        <v>8</v>
      </c>
    </row>
    <row r="1287" spans="1:22" x14ac:dyDescent="0.3">
      <c r="A1287" t="s">
        <v>476</v>
      </c>
      <c r="B1287">
        <v>3</v>
      </c>
      <c r="C1287" t="s">
        <v>494</v>
      </c>
      <c r="D1287" t="s">
        <v>501</v>
      </c>
      <c r="E1287" t="s">
        <v>258</v>
      </c>
      <c r="F1287" t="s">
        <v>101</v>
      </c>
      <c r="G1287" t="s">
        <v>104</v>
      </c>
      <c r="H1287">
        <v>0</v>
      </c>
      <c r="I1287">
        <v>0</v>
      </c>
      <c r="J1287">
        <v>0</v>
      </c>
      <c r="K1287" t="s">
        <v>104</v>
      </c>
      <c r="L1287">
        <v>0</v>
      </c>
      <c r="M1287">
        <v>4</v>
      </c>
      <c r="N1287">
        <v>0</v>
      </c>
      <c r="O1287">
        <v>25</v>
      </c>
      <c r="P1287">
        <v>0</v>
      </c>
      <c r="Q1287">
        <v>6.2</v>
      </c>
      <c r="R1287">
        <v>10</v>
      </c>
      <c r="S1287">
        <v>0</v>
      </c>
      <c r="T1287">
        <v>0</v>
      </c>
      <c r="U1287" s="8">
        <v>10</v>
      </c>
      <c r="V1287" s="8">
        <f t="shared" si="20"/>
        <v>1</v>
      </c>
    </row>
    <row r="1288" spans="1:22" x14ac:dyDescent="0.3">
      <c r="A1288" t="s">
        <v>476</v>
      </c>
      <c r="B1288">
        <v>3</v>
      </c>
      <c r="C1288" t="s">
        <v>226</v>
      </c>
      <c r="D1288" t="s">
        <v>211</v>
      </c>
      <c r="E1288" t="s">
        <v>219</v>
      </c>
      <c r="F1288" t="s">
        <v>169</v>
      </c>
      <c r="G1288" t="s">
        <v>86</v>
      </c>
      <c r="H1288">
        <v>25</v>
      </c>
      <c r="I1288">
        <v>30</v>
      </c>
      <c r="J1288">
        <v>83.33</v>
      </c>
      <c r="K1288" t="s">
        <v>247</v>
      </c>
      <c r="L1288">
        <v>30</v>
      </c>
      <c r="M1288">
        <v>4</v>
      </c>
      <c r="N1288">
        <v>0</v>
      </c>
      <c r="O1288">
        <v>36</v>
      </c>
      <c r="P1288">
        <v>0</v>
      </c>
      <c r="Q1288">
        <v>9</v>
      </c>
      <c r="R1288">
        <v>0</v>
      </c>
      <c r="S1288">
        <v>0</v>
      </c>
      <c r="T1288">
        <v>0</v>
      </c>
      <c r="U1288" s="8">
        <v>30</v>
      </c>
      <c r="V1288" s="8">
        <f t="shared" si="20"/>
        <v>3</v>
      </c>
    </row>
    <row r="1289" spans="1:22" x14ac:dyDescent="0.3">
      <c r="A1289" t="s">
        <v>476</v>
      </c>
      <c r="B1289">
        <v>3</v>
      </c>
      <c r="C1289" t="s">
        <v>229</v>
      </c>
      <c r="D1289" t="s">
        <v>230</v>
      </c>
      <c r="E1289" t="s">
        <v>219</v>
      </c>
      <c r="F1289" t="s">
        <v>109</v>
      </c>
      <c r="G1289" t="s">
        <v>92</v>
      </c>
      <c r="H1289">
        <v>0</v>
      </c>
      <c r="I1289">
        <v>1</v>
      </c>
      <c r="J1289">
        <v>0</v>
      </c>
      <c r="K1289" t="s">
        <v>246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 s="8">
        <v>0</v>
      </c>
      <c r="V1289" s="8">
        <f t="shared" si="20"/>
        <v>0</v>
      </c>
    </row>
    <row r="1290" spans="1:22" x14ac:dyDescent="0.3">
      <c r="A1290" t="s">
        <v>476</v>
      </c>
      <c r="B1290">
        <v>3</v>
      </c>
      <c r="C1290" t="s">
        <v>514</v>
      </c>
      <c r="D1290" t="s">
        <v>567</v>
      </c>
      <c r="E1290" t="s">
        <v>219</v>
      </c>
      <c r="F1290" t="s">
        <v>109</v>
      </c>
      <c r="G1290" t="s">
        <v>92</v>
      </c>
      <c r="H1290">
        <v>0</v>
      </c>
      <c r="I1290">
        <v>3</v>
      </c>
      <c r="J1290">
        <v>0</v>
      </c>
      <c r="K1290" t="s">
        <v>245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 s="8">
        <v>0</v>
      </c>
      <c r="V1290" s="8">
        <f t="shared" si="20"/>
        <v>0</v>
      </c>
    </row>
    <row r="1291" spans="1:22" x14ac:dyDescent="0.3">
      <c r="A1291" t="s">
        <v>476</v>
      </c>
      <c r="B1291">
        <v>3</v>
      </c>
      <c r="C1291" t="s">
        <v>375</v>
      </c>
      <c r="D1291" t="s">
        <v>376</v>
      </c>
      <c r="E1291" t="s">
        <v>219</v>
      </c>
      <c r="F1291" t="s">
        <v>109</v>
      </c>
      <c r="G1291" t="s">
        <v>92</v>
      </c>
      <c r="H1291">
        <v>1</v>
      </c>
      <c r="I1291">
        <v>3</v>
      </c>
      <c r="J1291">
        <v>33.33</v>
      </c>
      <c r="K1291" t="s">
        <v>245</v>
      </c>
      <c r="L1291">
        <v>1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 s="8">
        <v>1</v>
      </c>
      <c r="V1291" s="8">
        <f t="shared" si="20"/>
        <v>0</v>
      </c>
    </row>
    <row r="1292" spans="1:22" x14ac:dyDescent="0.3">
      <c r="A1292" t="s">
        <v>476</v>
      </c>
      <c r="B1292">
        <v>3</v>
      </c>
      <c r="C1292" t="s">
        <v>224</v>
      </c>
      <c r="D1292" t="s">
        <v>225</v>
      </c>
      <c r="E1292" t="s">
        <v>219</v>
      </c>
      <c r="F1292" t="s">
        <v>169</v>
      </c>
      <c r="G1292" t="s">
        <v>134</v>
      </c>
      <c r="H1292">
        <v>6</v>
      </c>
      <c r="I1292">
        <v>9</v>
      </c>
      <c r="J1292">
        <v>66.67</v>
      </c>
      <c r="K1292" t="s">
        <v>246</v>
      </c>
      <c r="L1292">
        <v>10</v>
      </c>
      <c r="M1292">
        <v>4</v>
      </c>
      <c r="N1292">
        <v>0</v>
      </c>
      <c r="O1292">
        <v>37</v>
      </c>
      <c r="P1292">
        <v>1</v>
      </c>
      <c r="Q1292">
        <v>9.1999999999999993</v>
      </c>
      <c r="R1292">
        <v>25</v>
      </c>
      <c r="S1292">
        <v>0</v>
      </c>
      <c r="T1292">
        <v>0</v>
      </c>
      <c r="U1292" s="8">
        <v>35</v>
      </c>
      <c r="V1292" s="8">
        <f t="shared" si="20"/>
        <v>4</v>
      </c>
    </row>
    <row r="1293" spans="1:22" x14ac:dyDescent="0.3">
      <c r="A1293" t="s">
        <v>476</v>
      </c>
      <c r="B1293">
        <v>3</v>
      </c>
      <c r="C1293" t="s">
        <v>220</v>
      </c>
      <c r="D1293" t="s">
        <v>221</v>
      </c>
      <c r="E1293" t="s">
        <v>219</v>
      </c>
      <c r="F1293" t="s">
        <v>109</v>
      </c>
      <c r="G1293" t="s">
        <v>134</v>
      </c>
      <c r="H1293">
        <v>5</v>
      </c>
      <c r="I1293">
        <v>8</v>
      </c>
      <c r="J1293">
        <v>62.5</v>
      </c>
      <c r="K1293" t="s">
        <v>246</v>
      </c>
      <c r="L1293">
        <v>5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 s="8">
        <v>5</v>
      </c>
      <c r="V1293" s="8">
        <f t="shared" si="20"/>
        <v>1</v>
      </c>
    </row>
    <row r="1294" spans="1:22" x14ac:dyDescent="0.3">
      <c r="A1294" t="s">
        <v>476</v>
      </c>
      <c r="B1294">
        <v>3</v>
      </c>
      <c r="C1294" t="s">
        <v>442</v>
      </c>
      <c r="D1294" t="s">
        <v>443</v>
      </c>
      <c r="E1294" t="s">
        <v>219</v>
      </c>
      <c r="F1294" t="s">
        <v>85</v>
      </c>
      <c r="G1294" t="s">
        <v>134</v>
      </c>
      <c r="H1294">
        <v>17</v>
      </c>
      <c r="I1294">
        <v>22</v>
      </c>
      <c r="J1294">
        <v>77.27</v>
      </c>
      <c r="K1294" t="s">
        <v>246</v>
      </c>
      <c r="L1294">
        <v>20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 s="8">
        <v>20</v>
      </c>
      <c r="V1294" s="8">
        <f t="shared" si="20"/>
        <v>2</v>
      </c>
    </row>
    <row r="1295" spans="1:22" x14ac:dyDescent="0.3">
      <c r="A1295" t="s">
        <v>476</v>
      </c>
      <c r="B1295">
        <v>3</v>
      </c>
      <c r="C1295" t="s">
        <v>512</v>
      </c>
      <c r="D1295" t="s">
        <v>542</v>
      </c>
      <c r="E1295" t="s">
        <v>219</v>
      </c>
      <c r="F1295" t="s">
        <v>169</v>
      </c>
      <c r="G1295" t="s">
        <v>134</v>
      </c>
      <c r="H1295">
        <v>28</v>
      </c>
      <c r="I1295">
        <v>14</v>
      </c>
      <c r="J1295">
        <v>200</v>
      </c>
      <c r="K1295" t="s">
        <v>246</v>
      </c>
      <c r="L1295">
        <v>35</v>
      </c>
      <c r="M1295">
        <v>4</v>
      </c>
      <c r="N1295">
        <v>0</v>
      </c>
      <c r="O1295">
        <v>31</v>
      </c>
      <c r="P1295">
        <v>1</v>
      </c>
      <c r="Q1295">
        <v>7.8</v>
      </c>
      <c r="R1295">
        <v>25</v>
      </c>
      <c r="S1295">
        <v>0</v>
      </c>
      <c r="T1295">
        <v>0</v>
      </c>
      <c r="U1295" s="8">
        <v>60</v>
      </c>
      <c r="V1295" s="8">
        <f t="shared" si="20"/>
        <v>6</v>
      </c>
    </row>
    <row r="1296" spans="1:22" x14ac:dyDescent="0.3">
      <c r="A1296" t="s">
        <v>476</v>
      </c>
      <c r="B1296">
        <v>3</v>
      </c>
      <c r="C1296" t="s">
        <v>233</v>
      </c>
      <c r="D1296" t="s">
        <v>234</v>
      </c>
      <c r="E1296" t="s">
        <v>219</v>
      </c>
      <c r="F1296" t="s">
        <v>101</v>
      </c>
      <c r="G1296" t="s">
        <v>134</v>
      </c>
      <c r="H1296">
        <v>14</v>
      </c>
      <c r="I1296">
        <v>10</v>
      </c>
      <c r="J1296">
        <v>140</v>
      </c>
      <c r="K1296" t="s">
        <v>245</v>
      </c>
      <c r="L1296">
        <v>15</v>
      </c>
      <c r="M1296">
        <v>4</v>
      </c>
      <c r="N1296">
        <v>0</v>
      </c>
      <c r="O1296">
        <v>34</v>
      </c>
      <c r="P1296">
        <v>2</v>
      </c>
      <c r="Q1296">
        <v>8.5</v>
      </c>
      <c r="R1296">
        <v>50</v>
      </c>
      <c r="S1296">
        <v>0</v>
      </c>
      <c r="T1296">
        <v>0</v>
      </c>
      <c r="U1296" s="8">
        <v>65</v>
      </c>
      <c r="V1296" s="8">
        <f t="shared" si="20"/>
        <v>7</v>
      </c>
    </row>
    <row r="1297" spans="1:22" x14ac:dyDescent="0.3">
      <c r="A1297" t="s">
        <v>476</v>
      </c>
      <c r="B1297">
        <v>3</v>
      </c>
      <c r="C1297" t="s">
        <v>394</v>
      </c>
      <c r="D1297" t="s">
        <v>395</v>
      </c>
      <c r="E1297" t="s">
        <v>219</v>
      </c>
      <c r="F1297" t="s">
        <v>101</v>
      </c>
      <c r="G1297" t="s">
        <v>134</v>
      </c>
      <c r="H1297">
        <v>0</v>
      </c>
      <c r="I1297">
        <v>1</v>
      </c>
      <c r="J1297">
        <v>0</v>
      </c>
      <c r="K1297" t="s">
        <v>246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 s="8">
        <v>0</v>
      </c>
      <c r="V1297" s="8">
        <f t="shared" si="20"/>
        <v>0</v>
      </c>
    </row>
    <row r="1298" spans="1:22" x14ac:dyDescent="0.3">
      <c r="A1298" t="s">
        <v>476</v>
      </c>
      <c r="B1298">
        <v>3</v>
      </c>
      <c r="C1298" t="s">
        <v>509</v>
      </c>
      <c r="D1298" t="s">
        <v>523</v>
      </c>
      <c r="E1298" t="s">
        <v>219</v>
      </c>
      <c r="F1298" t="s">
        <v>169</v>
      </c>
      <c r="G1298" t="s">
        <v>134</v>
      </c>
      <c r="H1298">
        <v>0</v>
      </c>
      <c r="I1298">
        <v>2</v>
      </c>
      <c r="J1298">
        <v>0</v>
      </c>
      <c r="K1298" t="s">
        <v>96</v>
      </c>
      <c r="L1298">
        <v>0</v>
      </c>
      <c r="M1298">
        <v>4</v>
      </c>
      <c r="N1298">
        <v>0</v>
      </c>
      <c r="O1298">
        <v>46</v>
      </c>
      <c r="P1298">
        <v>1</v>
      </c>
      <c r="Q1298">
        <v>11.5</v>
      </c>
      <c r="R1298">
        <v>25</v>
      </c>
      <c r="S1298">
        <v>0</v>
      </c>
      <c r="T1298">
        <v>0</v>
      </c>
      <c r="U1298" s="8">
        <v>25</v>
      </c>
      <c r="V1298" s="8">
        <f t="shared" si="20"/>
        <v>3</v>
      </c>
    </row>
    <row r="1299" spans="1:22" x14ac:dyDescent="0.3">
      <c r="A1299" t="s">
        <v>477</v>
      </c>
      <c r="B1299">
        <v>3</v>
      </c>
      <c r="C1299" t="s">
        <v>226</v>
      </c>
      <c r="D1299" t="s">
        <v>211</v>
      </c>
      <c r="E1299" t="s">
        <v>219</v>
      </c>
      <c r="F1299" t="s">
        <v>169</v>
      </c>
      <c r="G1299" t="s">
        <v>86</v>
      </c>
      <c r="H1299">
        <v>28</v>
      </c>
      <c r="I1299">
        <v>25</v>
      </c>
      <c r="J1299">
        <v>112</v>
      </c>
      <c r="K1299" t="s">
        <v>246</v>
      </c>
      <c r="L1299">
        <v>30</v>
      </c>
      <c r="M1299">
        <v>2</v>
      </c>
      <c r="N1299">
        <v>0</v>
      </c>
      <c r="O1299">
        <v>11</v>
      </c>
      <c r="P1299">
        <v>2</v>
      </c>
      <c r="Q1299">
        <v>5.5</v>
      </c>
      <c r="R1299">
        <v>50</v>
      </c>
      <c r="S1299">
        <v>0</v>
      </c>
      <c r="T1299">
        <v>0</v>
      </c>
      <c r="U1299" s="8">
        <v>80</v>
      </c>
      <c r="V1299" s="8">
        <f t="shared" si="20"/>
        <v>8</v>
      </c>
    </row>
    <row r="1300" spans="1:22" x14ac:dyDescent="0.3">
      <c r="A1300" t="s">
        <v>477</v>
      </c>
      <c r="B1300">
        <v>3</v>
      </c>
      <c r="C1300" t="s">
        <v>514</v>
      </c>
      <c r="D1300" t="s">
        <v>567</v>
      </c>
      <c r="E1300" t="s">
        <v>219</v>
      </c>
      <c r="F1300" t="s">
        <v>109</v>
      </c>
      <c r="G1300" t="s">
        <v>92</v>
      </c>
      <c r="H1300">
        <v>55</v>
      </c>
      <c r="I1300">
        <v>33</v>
      </c>
      <c r="J1300">
        <v>166.67</v>
      </c>
      <c r="K1300" t="s">
        <v>245</v>
      </c>
      <c r="L1300">
        <v>70</v>
      </c>
      <c r="M1300">
        <v>1</v>
      </c>
      <c r="N1300">
        <v>0</v>
      </c>
      <c r="O1300">
        <v>6</v>
      </c>
      <c r="P1300">
        <v>0</v>
      </c>
      <c r="Q1300">
        <v>6</v>
      </c>
      <c r="R1300">
        <v>0</v>
      </c>
      <c r="S1300">
        <v>0</v>
      </c>
      <c r="T1300">
        <v>0</v>
      </c>
      <c r="U1300" s="8">
        <v>70</v>
      </c>
      <c r="V1300" s="8">
        <f t="shared" si="20"/>
        <v>7</v>
      </c>
    </row>
    <row r="1301" spans="1:22" x14ac:dyDescent="0.3">
      <c r="A1301" t="s">
        <v>477</v>
      </c>
      <c r="B1301">
        <v>3</v>
      </c>
      <c r="C1301" t="s">
        <v>229</v>
      </c>
      <c r="D1301" t="s">
        <v>230</v>
      </c>
      <c r="E1301" t="s">
        <v>219</v>
      </c>
      <c r="F1301" t="s">
        <v>109</v>
      </c>
      <c r="G1301" t="s">
        <v>92</v>
      </c>
      <c r="H1301">
        <v>0</v>
      </c>
      <c r="I1301">
        <v>2</v>
      </c>
      <c r="J1301">
        <v>0</v>
      </c>
      <c r="K1301" t="s">
        <v>246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 s="8">
        <v>0</v>
      </c>
      <c r="V1301" s="8">
        <f t="shared" si="20"/>
        <v>0</v>
      </c>
    </row>
    <row r="1302" spans="1:22" x14ac:dyDescent="0.3">
      <c r="A1302" t="s">
        <v>477</v>
      </c>
      <c r="B1302">
        <v>3</v>
      </c>
      <c r="C1302" t="s">
        <v>224</v>
      </c>
      <c r="D1302" t="s">
        <v>225</v>
      </c>
      <c r="E1302" t="s">
        <v>219</v>
      </c>
      <c r="F1302" t="s">
        <v>169</v>
      </c>
      <c r="G1302" t="s">
        <v>134</v>
      </c>
      <c r="H1302">
        <v>27</v>
      </c>
      <c r="I1302">
        <v>25</v>
      </c>
      <c r="J1302">
        <v>108</v>
      </c>
      <c r="K1302" t="s">
        <v>248</v>
      </c>
      <c r="L1302">
        <v>35</v>
      </c>
      <c r="M1302">
        <v>3.3</v>
      </c>
      <c r="N1302">
        <v>0</v>
      </c>
      <c r="O1302">
        <v>27</v>
      </c>
      <c r="P1302">
        <v>0</v>
      </c>
      <c r="Q1302">
        <v>7.7</v>
      </c>
      <c r="R1302">
        <v>0</v>
      </c>
      <c r="S1302">
        <v>0</v>
      </c>
      <c r="T1302">
        <v>0</v>
      </c>
      <c r="U1302" s="8">
        <v>35</v>
      </c>
      <c r="V1302" s="8">
        <f t="shared" si="20"/>
        <v>4</v>
      </c>
    </row>
    <row r="1303" spans="1:22" x14ac:dyDescent="0.3">
      <c r="A1303" t="s">
        <v>477</v>
      </c>
      <c r="B1303">
        <v>3</v>
      </c>
      <c r="C1303" t="s">
        <v>375</v>
      </c>
      <c r="D1303" t="s">
        <v>376</v>
      </c>
      <c r="E1303" t="s">
        <v>219</v>
      </c>
      <c r="F1303" t="s">
        <v>109</v>
      </c>
      <c r="G1303" t="s">
        <v>134</v>
      </c>
      <c r="H1303">
        <v>10</v>
      </c>
      <c r="I1303">
        <v>12</v>
      </c>
      <c r="J1303">
        <v>83.33</v>
      </c>
      <c r="K1303" t="s">
        <v>246</v>
      </c>
      <c r="L1303">
        <v>10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 s="8">
        <v>10</v>
      </c>
      <c r="V1303" s="8">
        <f t="shared" si="20"/>
        <v>1</v>
      </c>
    </row>
    <row r="1304" spans="1:22" x14ac:dyDescent="0.3">
      <c r="A1304" t="s">
        <v>477</v>
      </c>
      <c r="B1304">
        <v>3</v>
      </c>
      <c r="C1304" t="s">
        <v>512</v>
      </c>
      <c r="D1304" t="s">
        <v>542</v>
      </c>
      <c r="E1304" t="s">
        <v>219</v>
      </c>
      <c r="F1304" t="s">
        <v>169</v>
      </c>
      <c r="G1304" t="s">
        <v>134</v>
      </c>
      <c r="H1304">
        <v>6</v>
      </c>
      <c r="I1304">
        <v>2</v>
      </c>
      <c r="J1304">
        <v>300</v>
      </c>
      <c r="K1304" t="s">
        <v>246</v>
      </c>
      <c r="L1304">
        <v>10</v>
      </c>
      <c r="M1304">
        <v>4</v>
      </c>
      <c r="N1304">
        <v>0</v>
      </c>
      <c r="O1304">
        <v>28</v>
      </c>
      <c r="P1304">
        <v>1</v>
      </c>
      <c r="Q1304">
        <v>7</v>
      </c>
      <c r="R1304">
        <v>25</v>
      </c>
      <c r="S1304">
        <v>0</v>
      </c>
      <c r="T1304">
        <v>0</v>
      </c>
      <c r="U1304" s="8">
        <v>35</v>
      </c>
      <c r="V1304" s="8">
        <f t="shared" si="20"/>
        <v>4</v>
      </c>
    </row>
    <row r="1305" spans="1:22" x14ac:dyDescent="0.3">
      <c r="A1305" t="s">
        <v>477</v>
      </c>
      <c r="B1305">
        <v>3</v>
      </c>
      <c r="C1305" t="s">
        <v>220</v>
      </c>
      <c r="D1305" t="s">
        <v>221</v>
      </c>
      <c r="E1305" t="s">
        <v>219</v>
      </c>
      <c r="F1305" t="s">
        <v>109</v>
      </c>
      <c r="G1305" t="s">
        <v>134</v>
      </c>
      <c r="H1305">
        <v>0</v>
      </c>
      <c r="I1305">
        <v>2</v>
      </c>
      <c r="J1305">
        <v>0</v>
      </c>
      <c r="K1305" t="s">
        <v>246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 s="8">
        <v>0</v>
      </c>
      <c r="V1305" s="8">
        <f t="shared" si="20"/>
        <v>0</v>
      </c>
    </row>
    <row r="1306" spans="1:22" x14ac:dyDescent="0.3">
      <c r="A1306" t="s">
        <v>477</v>
      </c>
      <c r="B1306">
        <v>3</v>
      </c>
      <c r="C1306" t="s">
        <v>442</v>
      </c>
      <c r="D1306" t="s">
        <v>443</v>
      </c>
      <c r="E1306" t="s">
        <v>219</v>
      </c>
      <c r="F1306" t="s">
        <v>85</v>
      </c>
      <c r="G1306" t="s">
        <v>134</v>
      </c>
      <c r="H1306">
        <v>1</v>
      </c>
      <c r="I1306">
        <v>7</v>
      </c>
      <c r="J1306">
        <v>14.29</v>
      </c>
      <c r="K1306" t="s">
        <v>246</v>
      </c>
      <c r="L1306">
        <v>1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 s="8">
        <v>1</v>
      </c>
      <c r="V1306" s="8">
        <f t="shared" si="20"/>
        <v>0</v>
      </c>
    </row>
    <row r="1307" spans="1:22" x14ac:dyDescent="0.3">
      <c r="A1307" t="s">
        <v>477</v>
      </c>
      <c r="B1307">
        <v>3</v>
      </c>
      <c r="C1307" t="s">
        <v>233</v>
      </c>
      <c r="D1307" t="s">
        <v>234</v>
      </c>
      <c r="E1307" t="s">
        <v>219</v>
      </c>
      <c r="F1307" t="s">
        <v>101</v>
      </c>
      <c r="G1307" t="s">
        <v>134</v>
      </c>
      <c r="H1307">
        <v>16</v>
      </c>
      <c r="I1307">
        <v>11</v>
      </c>
      <c r="J1307">
        <v>145.44999999999999</v>
      </c>
      <c r="K1307" t="s">
        <v>246</v>
      </c>
      <c r="L1307">
        <v>20</v>
      </c>
      <c r="M1307">
        <v>4</v>
      </c>
      <c r="N1307">
        <v>0</v>
      </c>
      <c r="O1307">
        <v>28</v>
      </c>
      <c r="P1307">
        <v>0</v>
      </c>
      <c r="Q1307">
        <v>7</v>
      </c>
      <c r="R1307">
        <v>0</v>
      </c>
      <c r="S1307">
        <v>0</v>
      </c>
      <c r="T1307">
        <v>0</v>
      </c>
      <c r="U1307" s="8">
        <v>20</v>
      </c>
      <c r="V1307" s="8">
        <f t="shared" si="20"/>
        <v>2</v>
      </c>
    </row>
    <row r="1308" spans="1:22" x14ac:dyDescent="0.3">
      <c r="A1308" t="s">
        <v>477</v>
      </c>
      <c r="B1308">
        <v>3</v>
      </c>
      <c r="C1308" t="s">
        <v>394</v>
      </c>
      <c r="D1308" t="s">
        <v>395</v>
      </c>
      <c r="E1308" t="s">
        <v>219</v>
      </c>
      <c r="F1308" t="s">
        <v>101</v>
      </c>
      <c r="G1308" t="s">
        <v>104</v>
      </c>
      <c r="H1308">
        <v>0</v>
      </c>
      <c r="I1308">
        <v>0</v>
      </c>
      <c r="J1308">
        <v>0</v>
      </c>
      <c r="K1308" t="s">
        <v>104</v>
      </c>
      <c r="L1308">
        <v>0</v>
      </c>
      <c r="M1308">
        <v>1</v>
      </c>
      <c r="N1308">
        <v>0</v>
      </c>
      <c r="O1308">
        <v>16</v>
      </c>
      <c r="P1308">
        <v>0</v>
      </c>
      <c r="Q1308">
        <v>16</v>
      </c>
      <c r="R1308">
        <v>0</v>
      </c>
      <c r="S1308">
        <v>0</v>
      </c>
      <c r="T1308">
        <v>0</v>
      </c>
      <c r="U1308" s="8">
        <v>0</v>
      </c>
      <c r="V1308" s="8">
        <f t="shared" si="20"/>
        <v>0</v>
      </c>
    </row>
    <row r="1309" spans="1:22" x14ac:dyDescent="0.3">
      <c r="A1309" t="s">
        <v>477</v>
      </c>
      <c r="B1309">
        <v>3</v>
      </c>
      <c r="C1309" t="s">
        <v>509</v>
      </c>
      <c r="D1309" t="s">
        <v>523</v>
      </c>
      <c r="E1309" t="s">
        <v>219</v>
      </c>
      <c r="F1309" t="s">
        <v>169</v>
      </c>
      <c r="G1309" t="s">
        <v>134</v>
      </c>
      <c r="H1309">
        <v>1</v>
      </c>
      <c r="I1309">
        <v>1</v>
      </c>
      <c r="J1309">
        <v>100</v>
      </c>
      <c r="K1309" t="s">
        <v>96</v>
      </c>
      <c r="L1309">
        <v>2</v>
      </c>
      <c r="M1309">
        <v>3</v>
      </c>
      <c r="N1309">
        <v>0</v>
      </c>
      <c r="O1309">
        <v>31</v>
      </c>
      <c r="P1309">
        <v>1</v>
      </c>
      <c r="Q1309">
        <v>10.3</v>
      </c>
      <c r="R1309">
        <v>25</v>
      </c>
      <c r="S1309">
        <v>0</v>
      </c>
      <c r="T1309">
        <v>0</v>
      </c>
      <c r="U1309" s="8">
        <v>27</v>
      </c>
      <c r="V1309" s="8">
        <f t="shared" si="20"/>
        <v>3</v>
      </c>
    </row>
    <row r="1310" spans="1:22" x14ac:dyDescent="0.3">
      <c r="A1310" t="s">
        <v>477</v>
      </c>
      <c r="B1310">
        <v>3</v>
      </c>
      <c r="C1310" t="s">
        <v>112</v>
      </c>
      <c r="D1310" t="s">
        <v>88</v>
      </c>
      <c r="E1310" t="s">
        <v>266</v>
      </c>
      <c r="F1310" t="s">
        <v>169</v>
      </c>
      <c r="G1310" t="s">
        <v>86</v>
      </c>
      <c r="H1310">
        <v>68</v>
      </c>
      <c r="I1310">
        <v>46</v>
      </c>
      <c r="J1310">
        <v>147.83000000000001</v>
      </c>
      <c r="K1310" t="s">
        <v>246</v>
      </c>
      <c r="L1310">
        <v>90</v>
      </c>
      <c r="M1310">
        <v>4</v>
      </c>
      <c r="N1310">
        <v>0</v>
      </c>
      <c r="O1310">
        <v>25</v>
      </c>
      <c r="P1310">
        <v>2</v>
      </c>
      <c r="Q1310">
        <v>6.2</v>
      </c>
      <c r="R1310">
        <v>50</v>
      </c>
      <c r="S1310">
        <v>0</v>
      </c>
      <c r="T1310">
        <v>0</v>
      </c>
      <c r="U1310" s="8">
        <v>140</v>
      </c>
      <c r="V1310" s="8">
        <f t="shared" si="20"/>
        <v>10</v>
      </c>
    </row>
    <row r="1311" spans="1:22" x14ac:dyDescent="0.3">
      <c r="A1311" t="s">
        <v>477</v>
      </c>
      <c r="B1311">
        <v>3</v>
      </c>
      <c r="C1311" t="s">
        <v>119</v>
      </c>
      <c r="D1311" t="s">
        <v>95</v>
      </c>
      <c r="E1311" t="s">
        <v>266</v>
      </c>
      <c r="F1311" t="s">
        <v>169</v>
      </c>
      <c r="G1311" t="s">
        <v>92</v>
      </c>
      <c r="H1311">
        <v>10</v>
      </c>
      <c r="I1311">
        <v>13</v>
      </c>
      <c r="J1311">
        <v>76.92</v>
      </c>
      <c r="K1311" t="s">
        <v>246</v>
      </c>
      <c r="L1311">
        <v>10</v>
      </c>
      <c r="M1311">
        <v>4</v>
      </c>
      <c r="N1311">
        <v>0</v>
      </c>
      <c r="O1311">
        <v>38</v>
      </c>
      <c r="P1311">
        <v>5</v>
      </c>
      <c r="Q1311">
        <v>9.5</v>
      </c>
      <c r="R1311">
        <v>125</v>
      </c>
      <c r="S1311">
        <v>0</v>
      </c>
      <c r="T1311">
        <v>0</v>
      </c>
      <c r="U1311" s="8">
        <v>135</v>
      </c>
      <c r="V1311" s="8">
        <f t="shared" si="20"/>
        <v>10</v>
      </c>
    </row>
    <row r="1312" spans="1:22" x14ac:dyDescent="0.3">
      <c r="A1312" t="s">
        <v>477</v>
      </c>
      <c r="B1312">
        <v>3</v>
      </c>
      <c r="C1312" t="s">
        <v>117</v>
      </c>
      <c r="D1312" t="s">
        <v>90</v>
      </c>
      <c r="E1312" t="s">
        <v>266</v>
      </c>
      <c r="F1312" t="s">
        <v>169</v>
      </c>
      <c r="G1312" t="s">
        <v>92</v>
      </c>
      <c r="H1312">
        <v>37</v>
      </c>
      <c r="I1312">
        <v>23</v>
      </c>
      <c r="J1312">
        <v>160.87</v>
      </c>
      <c r="K1312" t="s">
        <v>246</v>
      </c>
      <c r="L1312">
        <v>50</v>
      </c>
      <c r="M1312">
        <v>3</v>
      </c>
      <c r="N1312">
        <v>0</v>
      </c>
      <c r="O1312">
        <v>16</v>
      </c>
      <c r="P1312">
        <v>1</v>
      </c>
      <c r="Q1312">
        <v>5.3</v>
      </c>
      <c r="R1312">
        <v>25</v>
      </c>
      <c r="S1312">
        <v>0</v>
      </c>
      <c r="T1312">
        <v>0</v>
      </c>
      <c r="U1312" s="8">
        <v>75</v>
      </c>
      <c r="V1312" s="8">
        <f t="shared" si="20"/>
        <v>8</v>
      </c>
    </row>
    <row r="1313" spans="1:22" x14ac:dyDescent="0.3">
      <c r="A1313" t="s">
        <v>477</v>
      </c>
      <c r="B1313">
        <v>3</v>
      </c>
      <c r="C1313" t="s">
        <v>115</v>
      </c>
      <c r="D1313" t="s">
        <v>17</v>
      </c>
      <c r="E1313" t="s">
        <v>266</v>
      </c>
      <c r="F1313" t="s">
        <v>169</v>
      </c>
      <c r="G1313" t="s">
        <v>134</v>
      </c>
      <c r="H1313">
        <v>4</v>
      </c>
      <c r="I1313">
        <v>9</v>
      </c>
      <c r="J1313">
        <v>44.44</v>
      </c>
      <c r="K1313" t="s">
        <v>246</v>
      </c>
      <c r="L1313">
        <v>5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 s="8">
        <v>5</v>
      </c>
      <c r="V1313" s="8">
        <f t="shared" si="20"/>
        <v>1</v>
      </c>
    </row>
    <row r="1314" spans="1:22" x14ac:dyDescent="0.3">
      <c r="A1314" t="s">
        <v>477</v>
      </c>
      <c r="B1314">
        <v>3</v>
      </c>
      <c r="C1314" t="s">
        <v>121</v>
      </c>
      <c r="D1314" t="s">
        <v>108</v>
      </c>
      <c r="E1314" t="s">
        <v>266</v>
      </c>
      <c r="F1314" t="s">
        <v>169</v>
      </c>
      <c r="G1314" t="s">
        <v>134</v>
      </c>
      <c r="H1314">
        <v>12</v>
      </c>
      <c r="I1314">
        <v>15</v>
      </c>
      <c r="J1314">
        <v>80</v>
      </c>
      <c r="K1314" t="s">
        <v>96</v>
      </c>
      <c r="L1314">
        <v>15</v>
      </c>
      <c r="M1314">
        <v>1</v>
      </c>
      <c r="N1314">
        <v>0</v>
      </c>
      <c r="O1314">
        <v>9</v>
      </c>
      <c r="P1314">
        <v>0</v>
      </c>
      <c r="Q1314">
        <v>9</v>
      </c>
      <c r="R1314">
        <v>0</v>
      </c>
      <c r="S1314">
        <v>0</v>
      </c>
      <c r="T1314">
        <v>0</v>
      </c>
      <c r="U1314" s="8">
        <v>15</v>
      </c>
      <c r="V1314" s="8">
        <f t="shared" si="20"/>
        <v>2</v>
      </c>
    </row>
    <row r="1315" spans="1:22" x14ac:dyDescent="0.3">
      <c r="A1315" t="s">
        <v>477</v>
      </c>
      <c r="B1315">
        <v>3</v>
      </c>
      <c r="C1315" t="s">
        <v>113</v>
      </c>
      <c r="D1315" t="s">
        <v>84</v>
      </c>
      <c r="E1315" t="s">
        <v>266</v>
      </c>
      <c r="F1315" t="s">
        <v>85</v>
      </c>
      <c r="G1315" t="s">
        <v>134</v>
      </c>
      <c r="H1315">
        <v>10</v>
      </c>
      <c r="I1315">
        <v>6</v>
      </c>
      <c r="J1315">
        <v>166.67</v>
      </c>
      <c r="K1315" t="s">
        <v>96</v>
      </c>
      <c r="L1315">
        <v>15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 s="8">
        <v>15</v>
      </c>
      <c r="V1315" s="8">
        <f t="shared" si="20"/>
        <v>2</v>
      </c>
    </row>
    <row r="1316" spans="1:22" x14ac:dyDescent="0.3">
      <c r="A1316" t="s">
        <v>477</v>
      </c>
      <c r="B1316">
        <v>3</v>
      </c>
      <c r="C1316" t="s">
        <v>347</v>
      </c>
      <c r="D1316" t="s">
        <v>348</v>
      </c>
      <c r="E1316" t="s">
        <v>266</v>
      </c>
      <c r="F1316" t="s">
        <v>169</v>
      </c>
      <c r="G1316" t="s">
        <v>104</v>
      </c>
      <c r="H1316">
        <v>0</v>
      </c>
      <c r="I1316">
        <v>0</v>
      </c>
      <c r="J1316">
        <v>0</v>
      </c>
      <c r="K1316" t="s">
        <v>104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 s="8">
        <v>0</v>
      </c>
      <c r="V1316" s="8">
        <f t="shared" si="20"/>
        <v>0</v>
      </c>
    </row>
    <row r="1317" spans="1:22" x14ac:dyDescent="0.3">
      <c r="A1317" t="s">
        <v>477</v>
      </c>
      <c r="B1317">
        <v>3</v>
      </c>
      <c r="C1317" t="s">
        <v>510</v>
      </c>
      <c r="D1317" t="s">
        <v>538</v>
      </c>
      <c r="E1317" t="s">
        <v>266</v>
      </c>
      <c r="F1317" t="s">
        <v>85</v>
      </c>
      <c r="G1317" t="s">
        <v>104</v>
      </c>
      <c r="H1317">
        <v>0</v>
      </c>
      <c r="I1317">
        <v>0</v>
      </c>
      <c r="J1317">
        <v>0</v>
      </c>
      <c r="K1317" t="s">
        <v>104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 s="8">
        <v>0</v>
      </c>
      <c r="V1317" s="8">
        <f t="shared" si="20"/>
        <v>0</v>
      </c>
    </row>
    <row r="1318" spans="1:22" x14ac:dyDescent="0.3">
      <c r="A1318" t="s">
        <v>477</v>
      </c>
      <c r="B1318">
        <v>3</v>
      </c>
      <c r="C1318" t="s">
        <v>507</v>
      </c>
      <c r="D1318" t="s">
        <v>519</v>
      </c>
      <c r="E1318" t="s">
        <v>266</v>
      </c>
      <c r="F1318" t="s">
        <v>169</v>
      </c>
      <c r="G1318" t="s">
        <v>104</v>
      </c>
      <c r="H1318">
        <v>0</v>
      </c>
      <c r="I1318">
        <v>0</v>
      </c>
      <c r="J1318">
        <v>0</v>
      </c>
      <c r="K1318" t="s">
        <v>104</v>
      </c>
      <c r="L1318">
        <v>0</v>
      </c>
      <c r="M1318">
        <v>1</v>
      </c>
      <c r="N1318">
        <v>0</v>
      </c>
      <c r="O1318">
        <v>4</v>
      </c>
      <c r="P1318">
        <v>0</v>
      </c>
      <c r="Q1318">
        <v>4</v>
      </c>
      <c r="R1318">
        <v>0</v>
      </c>
      <c r="S1318">
        <v>0</v>
      </c>
      <c r="T1318">
        <v>0</v>
      </c>
      <c r="U1318" s="8">
        <v>0</v>
      </c>
      <c r="V1318" s="8">
        <f t="shared" si="20"/>
        <v>0</v>
      </c>
    </row>
    <row r="1319" spans="1:22" x14ac:dyDescent="0.3">
      <c r="A1319" t="s">
        <v>477</v>
      </c>
      <c r="B1319">
        <v>3</v>
      </c>
      <c r="C1319" t="s">
        <v>265</v>
      </c>
      <c r="D1319" t="s">
        <v>264</v>
      </c>
      <c r="E1319" t="s">
        <v>266</v>
      </c>
      <c r="F1319" t="s">
        <v>101</v>
      </c>
      <c r="G1319" t="s">
        <v>104</v>
      </c>
      <c r="H1319">
        <v>0</v>
      </c>
      <c r="I1319">
        <v>0</v>
      </c>
      <c r="J1319">
        <v>0</v>
      </c>
      <c r="K1319" t="s">
        <v>104</v>
      </c>
      <c r="L1319">
        <v>0</v>
      </c>
      <c r="M1319">
        <v>4</v>
      </c>
      <c r="N1319">
        <v>0</v>
      </c>
      <c r="O1319">
        <v>33</v>
      </c>
      <c r="P1319">
        <v>0</v>
      </c>
      <c r="Q1319">
        <v>8.1999999999999993</v>
      </c>
      <c r="R1319">
        <v>10</v>
      </c>
      <c r="S1319">
        <v>0</v>
      </c>
      <c r="T1319">
        <v>0</v>
      </c>
      <c r="U1319" s="8">
        <v>10</v>
      </c>
      <c r="V1319" s="8">
        <f t="shared" si="20"/>
        <v>1</v>
      </c>
    </row>
    <row r="1320" spans="1:22" x14ac:dyDescent="0.3">
      <c r="A1320" t="s">
        <v>477</v>
      </c>
      <c r="B1320">
        <v>3</v>
      </c>
      <c r="C1320" t="s">
        <v>511</v>
      </c>
      <c r="D1320" t="s">
        <v>539</v>
      </c>
      <c r="E1320" t="s">
        <v>266</v>
      </c>
      <c r="F1320" t="s">
        <v>101</v>
      </c>
      <c r="G1320" t="s">
        <v>104</v>
      </c>
      <c r="H1320">
        <v>0</v>
      </c>
      <c r="I1320">
        <v>0</v>
      </c>
      <c r="J1320">
        <v>0</v>
      </c>
      <c r="K1320" t="s">
        <v>104</v>
      </c>
      <c r="L1320">
        <v>0</v>
      </c>
      <c r="M1320">
        <v>3</v>
      </c>
      <c r="N1320">
        <v>0</v>
      </c>
      <c r="O1320">
        <v>21</v>
      </c>
      <c r="P1320">
        <v>1</v>
      </c>
      <c r="Q1320">
        <v>7</v>
      </c>
      <c r="R1320">
        <v>25</v>
      </c>
      <c r="S1320">
        <v>0</v>
      </c>
      <c r="T1320">
        <v>0</v>
      </c>
      <c r="U1320" s="8">
        <v>25</v>
      </c>
      <c r="V1320" s="8">
        <f t="shared" si="20"/>
        <v>3</v>
      </c>
    </row>
    <row r="1321" spans="1:22" x14ac:dyDescent="0.3">
      <c r="A1321" t="s">
        <v>478</v>
      </c>
      <c r="B1321">
        <v>3</v>
      </c>
      <c r="C1321" t="s">
        <v>190</v>
      </c>
      <c r="D1321" t="s">
        <v>191</v>
      </c>
      <c r="E1321" t="s">
        <v>158</v>
      </c>
      <c r="F1321" t="s">
        <v>109</v>
      </c>
      <c r="G1321" t="s">
        <v>86</v>
      </c>
      <c r="H1321">
        <v>92</v>
      </c>
      <c r="I1321">
        <v>57</v>
      </c>
      <c r="J1321">
        <v>161.4</v>
      </c>
      <c r="K1321" t="s">
        <v>245</v>
      </c>
      <c r="L1321">
        <v>110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 s="8">
        <v>110</v>
      </c>
      <c r="V1321" s="8">
        <f t="shared" si="20"/>
        <v>10</v>
      </c>
    </row>
    <row r="1322" spans="1:22" x14ac:dyDescent="0.3">
      <c r="A1322" t="s">
        <v>478</v>
      </c>
      <c r="B1322">
        <v>3</v>
      </c>
      <c r="C1322" t="s">
        <v>188</v>
      </c>
      <c r="D1322" t="s">
        <v>189</v>
      </c>
      <c r="E1322" t="s">
        <v>158</v>
      </c>
      <c r="F1322" t="s">
        <v>109</v>
      </c>
      <c r="G1322" t="s">
        <v>86</v>
      </c>
      <c r="H1322">
        <v>40</v>
      </c>
      <c r="I1322">
        <v>27</v>
      </c>
      <c r="J1322">
        <v>148.15</v>
      </c>
      <c r="K1322" t="s">
        <v>246</v>
      </c>
      <c r="L1322">
        <v>55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 s="8">
        <v>55</v>
      </c>
      <c r="V1322" s="8">
        <f t="shared" si="20"/>
        <v>6</v>
      </c>
    </row>
    <row r="1323" spans="1:22" x14ac:dyDescent="0.3">
      <c r="A1323" t="s">
        <v>478</v>
      </c>
      <c r="B1323">
        <v>3</v>
      </c>
      <c r="C1323" t="s">
        <v>198</v>
      </c>
      <c r="D1323" t="s">
        <v>199</v>
      </c>
      <c r="E1323" t="s">
        <v>158</v>
      </c>
      <c r="F1323" t="s">
        <v>101</v>
      </c>
      <c r="G1323" t="s">
        <v>92</v>
      </c>
      <c r="H1323">
        <v>9</v>
      </c>
      <c r="I1323">
        <v>10</v>
      </c>
      <c r="J1323">
        <v>90</v>
      </c>
      <c r="K1323" t="s">
        <v>245</v>
      </c>
      <c r="L1323">
        <v>10</v>
      </c>
      <c r="M1323">
        <v>3.3</v>
      </c>
      <c r="N1323">
        <v>0</v>
      </c>
      <c r="O1323">
        <v>38</v>
      </c>
      <c r="P1323">
        <v>2</v>
      </c>
      <c r="Q1323">
        <v>10.9</v>
      </c>
      <c r="R1323">
        <v>50</v>
      </c>
      <c r="S1323">
        <v>0</v>
      </c>
      <c r="T1323">
        <v>0</v>
      </c>
      <c r="U1323" s="8">
        <v>60</v>
      </c>
      <c r="V1323" s="8">
        <f t="shared" si="20"/>
        <v>6</v>
      </c>
    </row>
    <row r="1324" spans="1:22" x14ac:dyDescent="0.3">
      <c r="A1324" t="s">
        <v>478</v>
      </c>
      <c r="B1324">
        <v>3</v>
      </c>
      <c r="C1324" t="s">
        <v>194</v>
      </c>
      <c r="D1324" t="s">
        <v>195</v>
      </c>
      <c r="E1324" t="s">
        <v>158</v>
      </c>
      <c r="F1324" t="s">
        <v>109</v>
      </c>
      <c r="G1324" t="s">
        <v>134</v>
      </c>
      <c r="H1324">
        <v>4</v>
      </c>
      <c r="I1324">
        <v>8</v>
      </c>
      <c r="J1324">
        <v>50</v>
      </c>
      <c r="K1324" t="s">
        <v>246</v>
      </c>
      <c r="L1324">
        <v>5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 s="8">
        <v>5</v>
      </c>
      <c r="V1324" s="8">
        <f t="shared" si="20"/>
        <v>1</v>
      </c>
    </row>
    <row r="1325" spans="1:22" x14ac:dyDescent="0.3">
      <c r="A1325" t="s">
        <v>478</v>
      </c>
      <c r="B1325">
        <v>3</v>
      </c>
      <c r="C1325" t="s">
        <v>94</v>
      </c>
      <c r="D1325" t="s">
        <v>120</v>
      </c>
      <c r="E1325" t="s">
        <v>158</v>
      </c>
      <c r="F1325" t="s">
        <v>169</v>
      </c>
      <c r="G1325" t="s">
        <v>134</v>
      </c>
      <c r="H1325">
        <v>14</v>
      </c>
      <c r="I1325">
        <v>8</v>
      </c>
      <c r="J1325">
        <v>175</v>
      </c>
      <c r="K1325" t="s">
        <v>246</v>
      </c>
      <c r="L1325">
        <v>20</v>
      </c>
      <c r="M1325">
        <v>4</v>
      </c>
      <c r="N1325">
        <v>0</v>
      </c>
      <c r="O1325">
        <v>46</v>
      </c>
      <c r="P1325">
        <v>0</v>
      </c>
      <c r="Q1325">
        <v>11.5</v>
      </c>
      <c r="R1325">
        <v>0</v>
      </c>
      <c r="S1325">
        <v>0</v>
      </c>
      <c r="T1325">
        <v>0</v>
      </c>
      <c r="U1325" s="8">
        <v>20</v>
      </c>
      <c r="V1325" s="8">
        <f t="shared" si="20"/>
        <v>2</v>
      </c>
    </row>
    <row r="1326" spans="1:22" x14ac:dyDescent="0.3">
      <c r="A1326" t="s">
        <v>478</v>
      </c>
      <c r="B1326">
        <v>3</v>
      </c>
      <c r="C1326" t="s">
        <v>192</v>
      </c>
      <c r="D1326" t="s">
        <v>193</v>
      </c>
      <c r="E1326" t="s">
        <v>158</v>
      </c>
      <c r="F1326" t="s">
        <v>169</v>
      </c>
      <c r="G1326" t="s">
        <v>134</v>
      </c>
      <c r="H1326">
        <v>7</v>
      </c>
      <c r="I1326">
        <v>9</v>
      </c>
      <c r="J1326">
        <v>77.78</v>
      </c>
      <c r="K1326" t="s">
        <v>96</v>
      </c>
      <c r="L1326">
        <v>10</v>
      </c>
      <c r="M1326">
        <v>4</v>
      </c>
      <c r="N1326">
        <v>1</v>
      </c>
      <c r="O1326">
        <v>29</v>
      </c>
      <c r="P1326">
        <v>0</v>
      </c>
      <c r="Q1326">
        <v>7.2</v>
      </c>
      <c r="R1326">
        <v>15</v>
      </c>
      <c r="S1326">
        <v>0</v>
      </c>
      <c r="T1326">
        <v>0</v>
      </c>
      <c r="U1326" s="8">
        <v>25</v>
      </c>
      <c r="V1326" s="8">
        <f t="shared" si="20"/>
        <v>3</v>
      </c>
    </row>
    <row r="1327" spans="1:22" x14ac:dyDescent="0.3">
      <c r="A1327" t="s">
        <v>478</v>
      </c>
      <c r="B1327">
        <v>3</v>
      </c>
      <c r="C1327" t="s">
        <v>496</v>
      </c>
      <c r="D1327" t="s">
        <v>518</v>
      </c>
      <c r="E1327" t="s">
        <v>158</v>
      </c>
      <c r="F1327" t="s">
        <v>85</v>
      </c>
      <c r="G1327" t="s">
        <v>134</v>
      </c>
      <c r="H1327">
        <v>6</v>
      </c>
      <c r="I1327">
        <v>1</v>
      </c>
      <c r="J1327">
        <v>600</v>
      </c>
      <c r="K1327" t="s">
        <v>96</v>
      </c>
      <c r="L1327">
        <v>10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 s="8">
        <v>10</v>
      </c>
      <c r="V1327" s="8">
        <f t="shared" si="20"/>
        <v>1</v>
      </c>
    </row>
    <row r="1328" spans="1:22" x14ac:dyDescent="0.3">
      <c r="A1328" t="s">
        <v>478</v>
      </c>
      <c r="B1328">
        <v>3</v>
      </c>
      <c r="C1328" t="s">
        <v>495</v>
      </c>
      <c r="D1328" t="s">
        <v>503</v>
      </c>
      <c r="E1328" t="s">
        <v>158</v>
      </c>
      <c r="F1328" t="s">
        <v>169</v>
      </c>
      <c r="G1328" t="s">
        <v>104</v>
      </c>
      <c r="H1328">
        <v>0</v>
      </c>
      <c r="I1328">
        <v>0</v>
      </c>
      <c r="J1328">
        <v>0</v>
      </c>
      <c r="K1328" t="s">
        <v>104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 s="8">
        <v>0</v>
      </c>
      <c r="V1328" s="8">
        <f t="shared" si="20"/>
        <v>0</v>
      </c>
    </row>
    <row r="1329" spans="1:22" x14ac:dyDescent="0.3">
      <c r="A1329" t="s">
        <v>478</v>
      </c>
      <c r="B1329">
        <v>3</v>
      </c>
      <c r="C1329" t="s">
        <v>274</v>
      </c>
      <c r="D1329" t="s">
        <v>284</v>
      </c>
      <c r="E1329" t="s">
        <v>158</v>
      </c>
      <c r="F1329" t="s">
        <v>169</v>
      </c>
      <c r="G1329" t="s">
        <v>104</v>
      </c>
      <c r="H1329">
        <v>0</v>
      </c>
      <c r="I1329">
        <v>0</v>
      </c>
      <c r="J1329">
        <v>0</v>
      </c>
      <c r="K1329" t="s">
        <v>104</v>
      </c>
      <c r="L1329">
        <v>0</v>
      </c>
      <c r="M1329">
        <v>2</v>
      </c>
      <c r="N1329">
        <v>0</v>
      </c>
      <c r="O1329">
        <v>15</v>
      </c>
      <c r="P1329">
        <v>1</v>
      </c>
      <c r="Q1329">
        <v>7.5</v>
      </c>
      <c r="R1329">
        <v>25</v>
      </c>
      <c r="S1329">
        <v>0</v>
      </c>
      <c r="T1329">
        <v>0</v>
      </c>
      <c r="U1329" s="8">
        <v>25</v>
      </c>
      <c r="V1329" s="8">
        <f t="shared" si="20"/>
        <v>3</v>
      </c>
    </row>
    <row r="1330" spans="1:22" x14ac:dyDescent="0.3">
      <c r="A1330" t="s">
        <v>478</v>
      </c>
      <c r="B1330">
        <v>3</v>
      </c>
      <c r="C1330" t="s">
        <v>204</v>
      </c>
      <c r="D1330" t="s">
        <v>205</v>
      </c>
      <c r="E1330" t="s">
        <v>158</v>
      </c>
      <c r="F1330" t="s">
        <v>169</v>
      </c>
      <c r="G1330" t="s">
        <v>104</v>
      </c>
      <c r="H1330">
        <v>0</v>
      </c>
      <c r="I1330">
        <v>0</v>
      </c>
      <c r="J1330">
        <v>0</v>
      </c>
      <c r="K1330" t="s">
        <v>104</v>
      </c>
      <c r="L1330">
        <v>0</v>
      </c>
      <c r="M1330">
        <v>4</v>
      </c>
      <c r="N1330">
        <v>0</v>
      </c>
      <c r="O1330">
        <v>31</v>
      </c>
      <c r="P1330">
        <v>2</v>
      </c>
      <c r="Q1330">
        <v>7.8</v>
      </c>
      <c r="R1330">
        <v>50</v>
      </c>
      <c r="S1330">
        <v>0</v>
      </c>
      <c r="T1330">
        <v>0</v>
      </c>
      <c r="U1330" s="8">
        <v>50</v>
      </c>
      <c r="V1330" s="8">
        <f t="shared" si="20"/>
        <v>5</v>
      </c>
    </row>
    <row r="1331" spans="1:22" x14ac:dyDescent="0.3">
      <c r="A1331" t="s">
        <v>478</v>
      </c>
      <c r="B1331">
        <v>3</v>
      </c>
      <c r="C1331" t="s">
        <v>413</v>
      </c>
      <c r="D1331" t="s">
        <v>423</v>
      </c>
      <c r="E1331" t="s">
        <v>158</v>
      </c>
      <c r="F1331" t="s">
        <v>101</v>
      </c>
      <c r="G1331" t="s">
        <v>104</v>
      </c>
      <c r="H1331">
        <v>0</v>
      </c>
      <c r="I1331">
        <v>0</v>
      </c>
      <c r="J1331">
        <v>0</v>
      </c>
      <c r="K1331" t="s">
        <v>104</v>
      </c>
      <c r="L1331">
        <v>0</v>
      </c>
      <c r="M1331">
        <v>2</v>
      </c>
      <c r="N1331">
        <v>0</v>
      </c>
      <c r="O1331">
        <v>17</v>
      </c>
      <c r="P1331">
        <v>0</v>
      </c>
      <c r="Q1331">
        <v>8.5</v>
      </c>
      <c r="R1331">
        <v>10</v>
      </c>
      <c r="S1331">
        <v>0</v>
      </c>
      <c r="T1331">
        <v>0</v>
      </c>
      <c r="U1331" s="8">
        <v>10</v>
      </c>
      <c r="V1331" s="8">
        <f t="shared" si="20"/>
        <v>1</v>
      </c>
    </row>
    <row r="1332" spans="1:22" x14ac:dyDescent="0.3">
      <c r="A1332" t="s">
        <v>478</v>
      </c>
      <c r="B1332">
        <v>3</v>
      </c>
      <c r="C1332" t="s">
        <v>81</v>
      </c>
      <c r="D1332" t="s">
        <v>114</v>
      </c>
      <c r="E1332" t="s">
        <v>258</v>
      </c>
      <c r="F1332" t="s">
        <v>85</v>
      </c>
      <c r="G1332" t="s">
        <v>86</v>
      </c>
      <c r="H1332">
        <v>44</v>
      </c>
      <c r="I1332">
        <v>35</v>
      </c>
      <c r="J1332">
        <v>125.71</v>
      </c>
      <c r="K1332" t="s">
        <v>246</v>
      </c>
      <c r="L1332">
        <v>50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 s="8">
        <v>50</v>
      </c>
      <c r="V1332" s="8">
        <f t="shared" si="20"/>
        <v>5</v>
      </c>
    </row>
    <row r="1333" spans="1:22" x14ac:dyDescent="0.3">
      <c r="A1333" t="s">
        <v>478</v>
      </c>
      <c r="B1333">
        <v>3</v>
      </c>
      <c r="C1333" t="s">
        <v>97</v>
      </c>
      <c r="D1333" t="s">
        <v>122</v>
      </c>
      <c r="E1333" t="s">
        <v>258</v>
      </c>
      <c r="F1333" t="s">
        <v>109</v>
      </c>
      <c r="G1333" t="s">
        <v>92</v>
      </c>
      <c r="H1333">
        <v>1</v>
      </c>
      <c r="I1333">
        <v>7</v>
      </c>
      <c r="J1333">
        <v>14.29</v>
      </c>
      <c r="K1333" t="s">
        <v>246</v>
      </c>
      <c r="L1333">
        <v>1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 s="8">
        <v>1</v>
      </c>
      <c r="V1333" s="8">
        <f t="shared" si="20"/>
        <v>0</v>
      </c>
    </row>
    <row r="1334" spans="1:22" x14ac:dyDescent="0.3">
      <c r="A1334" t="s">
        <v>478</v>
      </c>
      <c r="B1334">
        <v>3</v>
      </c>
      <c r="C1334" t="s">
        <v>89</v>
      </c>
      <c r="D1334" t="s">
        <v>116</v>
      </c>
      <c r="E1334" t="s">
        <v>258</v>
      </c>
      <c r="F1334" t="s">
        <v>169</v>
      </c>
      <c r="G1334" t="s">
        <v>92</v>
      </c>
      <c r="H1334">
        <v>70</v>
      </c>
      <c r="I1334">
        <v>49</v>
      </c>
      <c r="J1334">
        <v>142.86000000000001</v>
      </c>
      <c r="K1334" t="s">
        <v>96</v>
      </c>
      <c r="L1334">
        <v>90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 s="8">
        <v>90</v>
      </c>
      <c r="V1334" s="8">
        <f t="shared" si="20"/>
        <v>9</v>
      </c>
    </row>
    <row r="1335" spans="1:22" x14ac:dyDescent="0.3">
      <c r="A1335" t="s">
        <v>478</v>
      </c>
      <c r="B1335">
        <v>3</v>
      </c>
      <c r="C1335" t="s">
        <v>93</v>
      </c>
      <c r="D1335" t="s">
        <v>118</v>
      </c>
      <c r="E1335" t="s">
        <v>258</v>
      </c>
      <c r="F1335" t="s">
        <v>169</v>
      </c>
      <c r="G1335" t="s">
        <v>134</v>
      </c>
      <c r="H1335">
        <v>22</v>
      </c>
      <c r="I1335">
        <v>13</v>
      </c>
      <c r="J1335">
        <v>169.23</v>
      </c>
      <c r="K1335" t="s">
        <v>246</v>
      </c>
      <c r="L1335">
        <v>35</v>
      </c>
      <c r="M1335">
        <v>2</v>
      </c>
      <c r="N1335">
        <v>0</v>
      </c>
      <c r="O1335">
        <v>18</v>
      </c>
      <c r="P1335">
        <v>0</v>
      </c>
      <c r="Q1335">
        <v>9</v>
      </c>
      <c r="R1335">
        <v>0</v>
      </c>
      <c r="S1335">
        <v>0</v>
      </c>
      <c r="T1335">
        <v>0</v>
      </c>
      <c r="U1335" s="8">
        <v>35</v>
      </c>
      <c r="V1335" s="8">
        <f t="shared" si="20"/>
        <v>4</v>
      </c>
    </row>
    <row r="1336" spans="1:22" x14ac:dyDescent="0.3">
      <c r="A1336" t="s">
        <v>478</v>
      </c>
      <c r="B1336">
        <v>3</v>
      </c>
      <c r="C1336" t="s">
        <v>530</v>
      </c>
      <c r="D1336" t="s">
        <v>502</v>
      </c>
      <c r="E1336" t="s">
        <v>258</v>
      </c>
      <c r="F1336" t="s">
        <v>169</v>
      </c>
      <c r="G1336" t="s">
        <v>134</v>
      </c>
      <c r="H1336">
        <v>24</v>
      </c>
      <c r="I1336">
        <v>10</v>
      </c>
      <c r="J1336">
        <v>240</v>
      </c>
      <c r="K1336" t="s">
        <v>246</v>
      </c>
      <c r="L1336">
        <v>35</v>
      </c>
      <c r="M1336">
        <v>4</v>
      </c>
      <c r="N1336">
        <v>0</v>
      </c>
      <c r="O1336">
        <v>37</v>
      </c>
      <c r="P1336">
        <v>2</v>
      </c>
      <c r="Q1336">
        <v>9.1999999999999993</v>
      </c>
      <c r="R1336">
        <v>50</v>
      </c>
      <c r="S1336">
        <v>0</v>
      </c>
      <c r="T1336">
        <v>0</v>
      </c>
      <c r="U1336" s="8">
        <v>85</v>
      </c>
      <c r="V1336" s="8">
        <f t="shared" si="20"/>
        <v>9</v>
      </c>
    </row>
    <row r="1337" spans="1:22" x14ac:dyDescent="0.3">
      <c r="A1337" t="s">
        <v>478</v>
      </c>
      <c r="B1337">
        <v>3</v>
      </c>
      <c r="C1337" t="s">
        <v>383</v>
      </c>
      <c r="D1337" t="s">
        <v>384</v>
      </c>
      <c r="E1337" t="s">
        <v>258</v>
      </c>
      <c r="F1337" t="s">
        <v>109</v>
      </c>
      <c r="G1337" t="s">
        <v>134</v>
      </c>
      <c r="H1337">
        <v>0</v>
      </c>
      <c r="I1337">
        <v>1</v>
      </c>
      <c r="J1337">
        <v>0</v>
      </c>
      <c r="K1337" t="s">
        <v>246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 s="8">
        <v>0</v>
      </c>
      <c r="V1337" s="8">
        <f t="shared" si="20"/>
        <v>0</v>
      </c>
    </row>
    <row r="1338" spans="1:22" x14ac:dyDescent="0.3">
      <c r="A1338" t="s">
        <v>478</v>
      </c>
      <c r="B1338">
        <v>3</v>
      </c>
      <c r="C1338" t="s">
        <v>493</v>
      </c>
      <c r="D1338" t="s">
        <v>500</v>
      </c>
      <c r="E1338" t="s">
        <v>258</v>
      </c>
      <c r="F1338" t="s">
        <v>169</v>
      </c>
      <c r="G1338" t="s">
        <v>134</v>
      </c>
      <c r="H1338">
        <v>9</v>
      </c>
      <c r="I1338">
        <v>3</v>
      </c>
      <c r="J1338">
        <v>300</v>
      </c>
      <c r="K1338" t="s">
        <v>96</v>
      </c>
      <c r="L1338">
        <v>15</v>
      </c>
      <c r="M1338">
        <v>3</v>
      </c>
      <c r="N1338">
        <v>0</v>
      </c>
      <c r="O1338">
        <v>32</v>
      </c>
      <c r="P1338">
        <v>0</v>
      </c>
      <c r="Q1338">
        <v>10.7</v>
      </c>
      <c r="R1338">
        <v>0</v>
      </c>
      <c r="S1338">
        <v>0</v>
      </c>
      <c r="T1338">
        <v>0</v>
      </c>
      <c r="U1338" s="8">
        <v>15</v>
      </c>
      <c r="V1338" s="8">
        <f t="shared" si="20"/>
        <v>2</v>
      </c>
    </row>
    <row r="1339" spans="1:22" x14ac:dyDescent="0.3">
      <c r="A1339" t="s">
        <v>478</v>
      </c>
      <c r="B1339">
        <v>3</v>
      </c>
      <c r="C1339" t="s">
        <v>447</v>
      </c>
      <c r="D1339" t="s">
        <v>448</v>
      </c>
      <c r="E1339" t="s">
        <v>258</v>
      </c>
      <c r="F1339" t="s">
        <v>109</v>
      </c>
      <c r="G1339" t="s">
        <v>104</v>
      </c>
      <c r="H1339">
        <v>0</v>
      </c>
      <c r="I1339">
        <v>0</v>
      </c>
      <c r="J1339">
        <v>0</v>
      </c>
      <c r="K1339" t="s">
        <v>104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 s="8">
        <v>0</v>
      </c>
      <c r="V1339" s="8">
        <f t="shared" si="20"/>
        <v>0</v>
      </c>
    </row>
    <row r="1340" spans="1:22" x14ac:dyDescent="0.3">
      <c r="A1340" t="s">
        <v>478</v>
      </c>
      <c r="B1340">
        <v>3</v>
      </c>
      <c r="C1340" t="s">
        <v>389</v>
      </c>
      <c r="D1340" t="s">
        <v>390</v>
      </c>
      <c r="E1340" t="s">
        <v>258</v>
      </c>
      <c r="F1340" t="s">
        <v>101</v>
      </c>
      <c r="G1340" t="s">
        <v>104</v>
      </c>
      <c r="H1340">
        <v>0</v>
      </c>
      <c r="I1340">
        <v>0</v>
      </c>
      <c r="J1340">
        <v>0</v>
      </c>
      <c r="K1340" t="s">
        <v>104</v>
      </c>
      <c r="L1340">
        <v>0</v>
      </c>
      <c r="M1340">
        <v>4</v>
      </c>
      <c r="N1340">
        <v>0</v>
      </c>
      <c r="O1340">
        <v>35</v>
      </c>
      <c r="P1340">
        <v>3</v>
      </c>
      <c r="Q1340">
        <v>8.8000000000000007</v>
      </c>
      <c r="R1340">
        <v>75</v>
      </c>
      <c r="S1340">
        <v>0</v>
      </c>
      <c r="T1340">
        <v>0</v>
      </c>
      <c r="U1340" s="8">
        <v>75</v>
      </c>
      <c r="V1340" s="8">
        <f t="shared" si="20"/>
        <v>8</v>
      </c>
    </row>
    <row r="1341" spans="1:22" x14ac:dyDescent="0.3">
      <c r="A1341" t="s">
        <v>478</v>
      </c>
      <c r="B1341">
        <v>3</v>
      </c>
      <c r="C1341" t="s">
        <v>105</v>
      </c>
      <c r="D1341" t="s">
        <v>128</v>
      </c>
      <c r="E1341" t="s">
        <v>258</v>
      </c>
      <c r="F1341" t="s">
        <v>101</v>
      </c>
      <c r="G1341" t="s">
        <v>104</v>
      </c>
      <c r="H1341">
        <v>0</v>
      </c>
      <c r="I1341">
        <v>0</v>
      </c>
      <c r="J1341">
        <v>0</v>
      </c>
      <c r="K1341" t="s">
        <v>104</v>
      </c>
      <c r="L1341">
        <v>0</v>
      </c>
      <c r="M1341">
        <v>4</v>
      </c>
      <c r="N1341">
        <v>0</v>
      </c>
      <c r="O1341">
        <v>31</v>
      </c>
      <c r="P1341">
        <v>0</v>
      </c>
      <c r="Q1341">
        <v>7.8</v>
      </c>
      <c r="R1341">
        <v>10</v>
      </c>
      <c r="S1341">
        <v>0</v>
      </c>
      <c r="T1341">
        <v>0</v>
      </c>
      <c r="U1341" s="8">
        <v>10</v>
      </c>
      <c r="V1341" s="8">
        <f t="shared" si="20"/>
        <v>1</v>
      </c>
    </row>
    <row r="1342" spans="1:22" x14ac:dyDescent="0.3">
      <c r="A1342" t="s">
        <v>478</v>
      </c>
      <c r="B1342">
        <v>3</v>
      </c>
      <c r="C1342" t="s">
        <v>494</v>
      </c>
      <c r="D1342" t="s">
        <v>501</v>
      </c>
      <c r="E1342" t="s">
        <v>258</v>
      </c>
      <c r="F1342" t="s">
        <v>101</v>
      </c>
      <c r="G1342" t="s">
        <v>104</v>
      </c>
      <c r="H1342">
        <v>0</v>
      </c>
      <c r="I1342">
        <v>0</v>
      </c>
      <c r="J1342">
        <v>0</v>
      </c>
      <c r="K1342" t="s">
        <v>104</v>
      </c>
      <c r="L1342">
        <v>0</v>
      </c>
      <c r="M1342">
        <v>3</v>
      </c>
      <c r="N1342">
        <v>0</v>
      </c>
      <c r="O1342">
        <v>21</v>
      </c>
      <c r="P1342">
        <v>0</v>
      </c>
      <c r="Q1342">
        <v>7</v>
      </c>
      <c r="R1342">
        <v>10</v>
      </c>
      <c r="S1342">
        <v>0</v>
      </c>
      <c r="T1342">
        <v>0</v>
      </c>
      <c r="U1342" s="8">
        <v>10</v>
      </c>
      <c r="V1342" s="8">
        <f t="shared" si="20"/>
        <v>1</v>
      </c>
    </row>
    <row r="1343" spans="1:22" x14ac:dyDescent="0.3">
      <c r="A1343" t="s">
        <v>479</v>
      </c>
      <c r="B1343">
        <v>3</v>
      </c>
      <c r="C1343" t="s">
        <v>226</v>
      </c>
      <c r="D1343" t="s">
        <v>211</v>
      </c>
      <c r="E1343" t="s">
        <v>219</v>
      </c>
      <c r="F1343" t="s">
        <v>169</v>
      </c>
      <c r="G1343" t="s">
        <v>86</v>
      </c>
      <c r="H1343">
        <v>39</v>
      </c>
      <c r="I1343">
        <v>22</v>
      </c>
      <c r="J1343">
        <v>177.27</v>
      </c>
      <c r="K1343" t="s">
        <v>256</v>
      </c>
      <c r="L1343">
        <v>55</v>
      </c>
      <c r="M1343">
        <v>1</v>
      </c>
      <c r="N1343">
        <v>0</v>
      </c>
      <c r="O1343">
        <v>22</v>
      </c>
      <c r="P1343">
        <v>0</v>
      </c>
      <c r="Q1343">
        <v>22</v>
      </c>
      <c r="R1343">
        <v>0</v>
      </c>
      <c r="S1343">
        <v>0</v>
      </c>
      <c r="T1343">
        <v>0</v>
      </c>
      <c r="U1343" s="8">
        <v>55</v>
      </c>
      <c r="V1343" s="8">
        <f t="shared" si="20"/>
        <v>6</v>
      </c>
    </row>
    <row r="1344" spans="1:22" x14ac:dyDescent="0.3">
      <c r="A1344" t="s">
        <v>479</v>
      </c>
      <c r="B1344">
        <v>3</v>
      </c>
      <c r="C1344" t="s">
        <v>514</v>
      </c>
      <c r="D1344" t="s">
        <v>567</v>
      </c>
      <c r="E1344" t="s">
        <v>219</v>
      </c>
      <c r="F1344" t="s">
        <v>109</v>
      </c>
      <c r="G1344" t="s">
        <v>86</v>
      </c>
      <c r="H1344">
        <v>99</v>
      </c>
      <c r="I1344">
        <v>56</v>
      </c>
      <c r="J1344">
        <v>176.79</v>
      </c>
      <c r="K1344" t="s">
        <v>96</v>
      </c>
      <c r="L1344">
        <v>120</v>
      </c>
      <c r="M1344">
        <v>0.3</v>
      </c>
      <c r="N1344">
        <v>0</v>
      </c>
      <c r="O1344">
        <v>2</v>
      </c>
      <c r="P1344">
        <v>0</v>
      </c>
      <c r="Q1344">
        <v>4</v>
      </c>
      <c r="R1344">
        <v>0</v>
      </c>
      <c r="S1344">
        <v>0</v>
      </c>
      <c r="T1344">
        <v>0</v>
      </c>
      <c r="U1344" s="8">
        <v>120</v>
      </c>
      <c r="V1344" s="8">
        <f t="shared" si="20"/>
        <v>10</v>
      </c>
    </row>
    <row r="1345" spans="1:22" x14ac:dyDescent="0.3">
      <c r="A1345" t="s">
        <v>479</v>
      </c>
      <c r="B1345">
        <v>3</v>
      </c>
      <c r="C1345" t="s">
        <v>229</v>
      </c>
      <c r="D1345" t="s">
        <v>230</v>
      </c>
      <c r="E1345" t="s">
        <v>219</v>
      </c>
      <c r="F1345" t="s">
        <v>109</v>
      </c>
      <c r="G1345" t="s">
        <v>92</v>
      </c>
      <c r="H1345">
        <v>46</v>
      </c>
      <c r="I1345">
        <v>16</v>
      </c>
      <c r="J1345">
        <v>287.5</v>
      </c>
      <c r="K1345" t="s">
        <v>246</v>
      </c>
      <c r="L1345">
        <v>70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 s="8">
        <v>70</v>
      </c>
      <c r="V1345" s="8">
        <f t="shared" si="20"/>
        <v>7</v>
      </c>
    </row>
    <row r="1346" spans="1:22" x14ac:dyDescent="0.3">
      <c r="A1346" t="s">
        <v>479</v>
      </c>
      <c r="B1346">
        <v>3</v>
      </c>
      <c r="C1346" t="s">
        <v>512</v>
      </c>
      <c r="D1346" t="s">
        <v>542</v>
      </c>
      <c r="E1346" t="s">
        <v>219</v>
      </c>
      <c r="F1346" t="s">
        <v>169</v>
      </c>
      <c r="G1346" t="s">
        <v>134</v>
      </c>
      <c r="H1346">
        <v>19</v>
      </c>
      <c r="I1346">
        <v>15</v>
      </c>
      <c r="J1346">
        <v>126.67</v>
      </c>
      <c r="K1346" t="s">
        <v>246</v>
      </c>
      <c r="L1346">
        <v>25</v>
      </c>
      <c r="M1346">
        <v>4</v>
      </c>
      <c r="N1346">
        <v>0</v>
      </c>
      <c r="O1346">
        <v>39</v>
      </c>
      <c r="P1346">
        <v>2</v>
      </c>
      <c r="Q1346">
        <v>9.8000000000000007</v>
      </c>
      <c r="R1346">
        <v>50</v>
      </c>
      <c r="S1346">
        <v>0</v>
      </c>
      <c r="T1346">
        <v>0</v>
      </c>
      <c r="U1346" s="8">
        <v>75</v>
      </c>
      <c r="V1346" s="8">
        <f t="shared" si="20"/>
        <v>8</v>
      </c>
    </row>
    <row r="1347" spans="1:22" x14ac:dyDescent="0.3">
      <c r="A1347" t="s">
        <v>479</v>
      </c>
      <c r="B1347">
        <v>3</v>
      </c>
      <c r="C1347" t="s">
        <v>233</v>
      </c>
      <c r="D1347" t="s">
        <v>234</v>
      </c>
      <c r="E1347" t="s">
        <v>219</v>
      </c>
      <c r="F1347" t="s">
        <v>101</v>
      </c>
      <c r="G1347" t="s">
        <v>134</v>
      </c>
      <c r="H1347">
        <v>13</v>
      </c>
      <c r="I1347">
        <v>10</v>
      </c>
      <c r="J1347">
        <v>130</v>
      </c>
      <c r="K1347" t="s">
        <v>245</v>
      </c>
      <c r="L1347">
        <v>20</v>
      </c>
      <c r="M1347">
        <v>4</v>
      </c>
      <c r="N1347">
        <v>0</v>
      </c>
      <c r="O1347">
        <v>25</v>
      </c>
      <c r="P1347">
        <v>3</v>
      </c>
      <c r="Q1347">
        <v>6.2</v>
      </c>
      <c r="R1347">
        <v>75</v>
      </c>
      <c r="S1347">
        <v>0</v>
      </c>
      <c r="T1347">
        <v>0</v>
      </c>
      <c r="U1347" s="8">
        <v>95</v>
      </c>
      <c r="V1347" s="8">
        <f t="shared" ref="V1347:V1410" si="21">MIN(10, MAX(0, ROUND(U1347/10,0)))</f>
        <v>10</v>
      </c>
    </row>
    <row r="1348" spans="1:22" x14ac:dyDescent="0.3">
      <c r="A1348" t="s">
        <v>479</v>
      </c>
      <c r="B1348">
        <v>3</v>
      </c>
      <c r="C1348" t="s">
        <v>224</v>
      </c>
      <c r="D1348" t="s">
        <v>225</v>
      </c>
      <c r="E1348" t="s">
        <v>219</v>
      </c>
      <c r="F1348" t="s">
        <v>169</v>
      </c>
      <c r="G1348" t="s">
        <v>134</v>
      </c>
      <c r="H1348">
        <v>1</v>
      </c>
      <c r="I1348">
        <v>1</v>
      </c>
      <c r="J1348">
        <v>100</v>
      </c>
      <c r="K1348" t="s">
        <v>256</v>
      </c>
      <c r="L1348">
        <v>1</v>
      </c>
      <c r="M1348">
        <v>4</v>
      </c>
      <c r="N1348">
        <v>0</v>
      </c>
      <c r="O1348">
        <v>50</v>
      </c>
      <c r="P1348">
        <v>3</v>
      </c>
      <c r="Q1348">
        <v>12.5</v>
      </c>
      <c r="R1348">
        <v>75</v>
      </c>
      <c r="S1348">
        <v>0</v>
      </c>
      <c r="T1348">
        <v>0</v>
      </c>
      <c r="U1348" s="8">
        <v>76</v>
      </c>
      <c r="V1348" s="8">
        <f t="shared" si="21"/>
        <v>8</v>
      </c>
    </row>
    <row r="1349" spans="1:22" x14ac:dyDescent="0.3">
      <c r="A1349" t="s">
        <v>479</v>
      </c>
      <c r="B1349">
        <v>3</v>
      </c>
      <c r="C1349" t="s">
        <v>220</v>
      </c>
      <c r="D1349" t="s">
        <v>221</v>
      </c>
      <c r="E1349" t="s">
        <v>219</v>
      </c>
      <c r="F1349" t="s">
        <v>109</v>
      </c>
      <c r="G1349" t="s">
        <v>104</v>
      </c>
      <c r="H1349">
        <v>0</v>
      </c>
      <c r="I1349">
        <v>0</v>
      </c>
      <c r="J1349">
        <v>0</v>
      </c>
      <c r="K1349" t="s">
        <v>104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 s="8">
        <v>0</v>
      </c>
      <c r="V1349" s="8">
        <f t="shared" si="21"/>
        <v>0</v>
      </c>
    </row>
    <row r="1350" spans="1:22" x14ac:dyDescent="0.3">
      <c r="A1350" t="s">
        <v>479</v>
      </c>
      <c r="B1350">
        <v>3</v>
      </c>
      <c r="C1350" t="s">
        <v>273</v>
      </c>
      <c r="D1350" t="s">
        <v>279</v>
      </c>
      <c r="E1350" t="s">
        <v>219</v>
      </c>
      <c r="F1350" t="s">
        <v>169</v>
      </c>
      <c r="G1350" t="s">
        <v>104</v>
      </c>
      <c r="H1350">
        <v>0</v>
      </c>
      <c r="I1350">
        <v>0</v>
      </c>
      <c r="J1350">
        <v>0</v>
      </c>
      <c r="K1350" t="s">
        <v>104</v>
      </c>
      <c r="L1350">
        <v>0</v>
      </c>
      <c r="M1350">
        <v>3</v>
      </c>
      <c r="N1350">
        <v>0</v>
      </c>
      <c r="O1350">
        <v>40</v>
      </c>
      <c r="P1350">
        <v>1</v>
      </c>
      <c r="Q1350">
        <v>13.3</v>
      </c>
      <c r="R1350">
        <v>25</v>
      </c>
      <c r="S1350">
        <v>0</v>
      </c>
      <c r="T1350">
        <v>0</v>
      </c>
      <c r="U1350" s="8">
        <v>25</v>
      </c>
      <c r="V1350" s="8">
        <f t="shared" si="21"/>
        <v>3</v>
      </c>
    </row>
    <row r="1351" spans="1:22" x14ac:dyDescent="0.3">
      <c r="A1351" t="s">
        <v>479</v>
      </c>
      <c r="B1351">
        <v>3</v>
      </c>
      <c r="C1351" t="s">
        <v>442</v>
      </c>
      <c r="D1351" t="s">
        <v>443</v>
      </c>
      <c r="E1351" t="s">
        <v>219</v>
      </c>
      <c r="F1351" t="s">
        <v>85</v>
      </c>
      <c r="G1351" t="s">
        <v>104</v>
      </c>
      <c r="H1351">
        <v>0</v>
      </c>
      <c r="I1351">
        <v>0</v>
      </c>
      <c r="J1351">
        <v>0</v>
      </c>
      <c r="K1351" t="s">
        <v>104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 s="8">
        <v>0</v>
      </c>
      <c r="V1351" s="8">
        <f t="shared" si="21"/>
        <v>0</v>
      </c>
    </row>
    <row r="1352" spans="1:22" x14ac:dyDescent="0.3">
      <c r="A1352" t="s">
        <v>479</v>
      </c>
      <c r="B1352">
        <v>3</v>
      </c>
      <c r="C1352" t="s">
        <v>509</v>
      </c>
      <c r="D1352" t="s">
        <v>523</v>
      </c>
      <c r="E1352" t="s">
        <v>219</v>
      </c>
      <c r="F1352" t="s">
        <v>169</v>
      </c>
      <c r="G1352" t="s">
        <v>104</v>
      </c>
      <c r="H1352">
        <v>0</v>
      </c>
      <c r="I1352">
        <v>0</v>
      </c>
      <c r="J1352">
        <v>0</v>
      </c>
      <c r="K1352" t="s">
        <v>104</v>
      </c>
      <c r="L1352">
        <v>0</v>
      </c>
      <c r="M1352">
        <v>3</v>
      </c>
      <c r="N1352">
        <v>0</v>
      </c>
      <c r="O1352">
        <v>35</v>
      </c>
      <c r="P1352">
        <v>0</v>
      </c>
      <c r="Q1352">
        <v>11.7</v>
      </c>
      <c r="R1352">
        <v>0</v>
      </c>
      <c r="S1352">
        <v>0</v>
      </c>
      <c r="T1352">
        <v>0</v>
      </c>
      <c r="U1352" s="8">
        <v>0</v>
      </c>
      <c r="V1352" s="8">
        <f t="shared" si="21"/>
        <v>0</v>
      </c>
    </row>
    <row r="1353" spans="1:22" x14ac:dyDescent="0.3">
      <c r="A1353" t="s">
        <v>479</v>
      </c>
      <c r="B1353">
        <v>3</v>
      </c>
      <c r="C1353" t="s">
        <v>235</v>
      </c>
      <c r="D1353" t="s">
        <v>236</v>
      </c>
      <c r="E1353" t="s">
        <v>219</v>
      </c>
      <c r="F1353" t="s">
        <v>101</v>
      </c>
      <c r="G1353" t="s">
        <v>104</v>
      </c>
      <c r="H1353">
        <v>0</v>
      </c>
      <c r="I1353">
        <v>0</v>
      </c>
      <c r="J1353">
        <v>0</v>
      </c>
      <c r="K1353" t="s">
        <v>104</v>
      </c>
      <c r="L1353">
        <v>0</v>
      </c>
      <c r="M1353">
        <v>3</v>
      </c>
      <c r="N1353">
        <v>0</v>
      </c>
      <c r="O1353">
        <v>40</v>
      </c>
      <c r="P1353">
        <v>1</v>
      </c>
      <c r="Q1353">
        <v>13.3</v>
      </c>
      <c r="R1353">
        <v>25</v>
      </c>
      <c r="S1353">
        <v>0</v>
      </c>
      <c r="T1353">
        <v>0</v>
      </c>
      <c r="U1353" s="8">
        <v>25</v>
      </c>
      <c r="V1353" s="8">
        <f t="shared" si="21"/>
        <v>3</v>
      </c>
    </row>
    <row r="1354" spans="1:22" x14ac:dyDescent="0.3">
      <c r="A1354" t="s">
        <v>479</v>
      </c>
      <c r="B1354">
        <v>3</v>
      </c>
      <c r="C1354" t="s">
        <v>87</v>
      </c>
      <c r="D1354" t="s">
        <v>82</v>
      </c>
      <c r="E1354" t="s">
        <v>159</v>
      </c>
      <c r="F1354" t="s">
        <v>109</v>
      </c>
      <c r="G1354" t="s">
        <v>86</v>
      </c>
      <c r="H1354">
        <v>27</v>
      </c>
      <c r="I1354">
        <v>12</v>
      </c>
      <c r="J1354">
        <v>225</v>
      </c>
      <c r="K1354" t="s">
        <v>246</v>
      </c>
      <c r="L1354">
        <v>40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 s="8">
        <v>40</v>
      </c>
      <c r="V1354" s="8">
        <f t="shared" si="21"/>
        <v>4</v>
      </c>
    </row>
    <row r="1355" spans="1:22" x14ac:dyDescent="0.3">
      <c r="A1355" t="s">
        <v>479</v>
      </c>
      <c r="B1355">
        <v>3</v>
      </c>
      <c r="C1355" t="s">
        <v>165</v>
      </c>
      <c r="D1355" t="s">
        <v>166</v>
      </c>
      <c r="E1355" t="s">
        <v>159</v>
      </c>
      <c r="F1355" t="s">
        <v>109</v>
      </c>
      <c r="G1355" t="s">
        <v>86</v>
      </c>
      <c r="H1355">
        <v>4</v>
      </c>
      <c r="I1355">
        <v>4</v>
      </c>
      <c r="J1355">
        <v>100</v>
      </c>
      <c r="K1355" t="s">
        <v>246</v>
      </c>
      <c r="L1355">
        <v>5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 s="8">
        <v>5</v>
      </c>
      <c r="V1355" s="8">
        <f t="shared" si="21"/>
        <v>1</v>
      </c>
    </row>
    <row r="1356" spans="1:22" x14ac:dyDescent="0.3">
      <c r="A1356" t="s">
        <v>479</v>
      </c>
      <c r="B1356">
        <v>3</v>
      </c>
      <c r="C1356" t="s">
        <v>174</v>
      </c>
      <c r="D1356" t="s">
        <v>175</v>
      </c>
      <c r="E1356" t="s">
        <v>159</v>
      </c>
      <c r="F1356" t="s">
        <v>169</v>
      </c>
      <c r="G1356" t="s">
        <v>92</v>
      </c>
      <c r="H1356">
        <v>28</v>
      </c>
      <c r="I1356">
        <v>15</v>
      </c>
      <c r="J1356">
        <v>186.67</v>
      </c>
      <c r="K1356" t="s">
        <v>245</v>
      </c>
      <c r="L1356">
        <v>40</v>
      </c>
      <c r="M1356">
        <v>4</v>
      </c>
      <c r="N1356">
        <v>0</v>
      </c>
      <c r="O1356">
        <v>35</v>
      </c>
      <c r="P1356">
        <v>0</v>
      </c>
      <c r="Q1356">
        <v>8.8000000000000007</v>
      </c>
      <c r="R1356">
        <v>0</v>
      </c>
      <c r="S1356">
        <v>0</v>
      </c>
      <c r="T1356">
        <v>0</v>
      </c>
      <c r="U1356" s="8">
        <v>40</v>
      </c>
      <c r="V1356" s="8">
        <f t="shared" si="21"/>
        <v>4</v>
      </c>
    </row>
    <row r="1357" spans="1:22" x14ac:dyDescent="0.3">
      <c r="A1357" t="s">
        <v>479</v>
      </c>
      <c r="B1357">
        <v>3</v>
      </c>
      <c r="C1357" t="s">
        <v>490</v>
      </c>
      <c r="D1357" t="s">
        <v>497</v>
      </c>
      <c r="E1357" t="s">
        <v>159</v>
      </c>
      <c r="F1357" t="s">
        <v>169</v>
      </c>
      <c r="G1357" t="s">
        <v>134</v>
      </c>
      <c r="H1357">
        <v>14</v>
      </c>
      <c r="I1357">
        <v>12</v>
      </c>
      <c r="J1357">
        <v>116.67</v>
      </c>
      <c r="K1357" t="s">
        <v>246</v>
      </c>
      <c r="L1357">
        <v>15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 s="8">
        <v>15</v>
      </c>
      <c r="V1357" s="8">
        <f t="shared" si="21"/>
        <v>2</v>
      </c>
    </row>
    <row r="1358" spans="1:22" x14ac:dyDescent="0.3">
      <c r="A1358" t="s">
        <v>479</v>
      </c>
      <c r="B1358">
        <v>3</v>
      </c>
      <c r="C1358" t="s">
        <v>176</v>
      </c>
      <c r="D1358" t="s">
        <v>177</v>
      </c>
      <c r="E1358" t="s">
        <v>159</v>
      </c>
      <c r="F1358" t="s">
        <v>85</v>
      </c>
      <c r="G1358" t="s">
        <v>134</v>
      </c>
      <c r="H1358">
        <v>69</v>
      </c>
      <c r="I1358">
        <v>33</v>
      </c>
      <c r="J1358">
        <v>209.09</v>
      </c>
      <c r="K1358" t="s">
        <v>246</v>
      </c>
      <c r="L1358">
        <v>90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 s="8">
        <v>90</v>
      </c>
      <c r="V1358" s="8">
        <f t="shared" si="21"/>
        <v>9</v>
      </c>
    </row>
    <row r="1359" spans="1:22" x14ac:dyDescent="0.3">
      <c r="A1359" t="s">
        <v>479</v>
      </c>
      <c r="B1359">
        <v>3</v>
      </c>
      <c r="C1359" t="s">
        <v>178</v>
      </c>
      <c r="D1359" t="s">
        <v>179</v>
      </c>
      <c r="E1359" t="s">
        <v>159</v>
      </c>
      <c r="F1359" t="s">
        <v>169</v>
      </c>
      <c r="G1359" t="s">
        <v>134</v>
      </c>
      <c r="H1359">
        <v>8</v>
      </c>
      <c r="I1359">
        <v>11</v>
      </c>
      <c r="J1359">
        <v>72.73</v>
      </c>
      <c r="K1359" t="s">
        <v>245</v>
      </c>
      <c r="L1359">
        <v>10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 s="8">
        <v>10</v>
      </c>
      <c r="V1359" s="8">
        <f t="shared" si="21"/>
        <v>1</v>
      </c>
    </row>
    <row r="1360" spans="1:22" x14ac:dyDescent="0.3">
      <c r="A1360" t="s">
        <v>479</v>
      </c>
      <c r="B1360">
        <v>3</v>
      </c>
      <c r="C1360" t="s">
        <v>99</v>
      </c>
      <c r="D1360" t="s">
        <v>124</v>
      </c>
      <c r="E1360" t="s">
        <v>159</v>
      </c>
      <c r="F1360" t="s">
        <v>169</v>
      </c>
      <c r="G1360" t="s">
        <v>134</v>
      </c>
      <c r="H1360">
        <v>17</v>
      </c>
      <c r="I1360">
        <v>15</v>
      </c>
      <c r="J1360">
        <v>113.33</v>
      </c>
      <c r="K1360" t="s">
        <v>246</v>
      </c>
      <c r="L1360">
        <v>25</v>
      </c>
      <c r="M1360">
        <v>4</v>
      </c>
      <c r="N1360">
        <v>0</v>
      </c>
      <c r="O1360">
        <v>43</v>
      </c>
      <c r="P1360">
        <v>2</v>
      </c>
      <c r="Q1360">
        <v>10.8</v>
      </c>
      <c r="R1360">
        <v>50</v>
      </c>
      <c r="S1360">
        <v>0</v>
      </c>
      <c r="T1360">
        <v>0</v>
      </c>
      <c r="U1360" s="8">
        <v>75</v>
      </c>
      <c r="V1360" s="8">
        <f t="shared" si="21"/>
        <v>8</v>
      </c>
    </row>
    <row r="1361" spans="1:22" x14ac:dyDescent="0.3">
      <c r="A1361" t="s">
        <v>479</v>
      </c>
      <c r="B1361">
        <v>3</v>
      </c>
      <c r="C1361" t="s">
        <v>515</v>
      </c>
      <c r="D1361" t="s">
        <v>592</v>
      </c>
      <c r="E1361" t="s">
        <v>159</v>
      </c>
      <c r="F1361" t="s">
        <v>101</v>
      </c>
      <c r="G1361" t="s">
        <v>134</v>
      </c>
      <c r="H1361">
        <v>9</v>
      </c>
      <c r="I1361">
        <v>5</v>
      </c>
      <c r="J1361">
        <v>180</v>
      </c>
      <c r="K1361" t="s">
        <v>246</v>
      </c>
      <c r="L1361">
        <v>15</v>
      </c>
      <c r="M1361">
        <v>4</v>
      </c>
      <c r="N1361">
        <v>0</v>
      </c>
      <c r="O1361">
        <v>47</v>
      </c>
      <c r="P1361">
        <v>1</v>
      </c>
      <c r="Q1361">
        <v>11.8</v>
      </c>
      <c r="R1361">
        <v>25</v>
      </c>
      <c r="S1361">
        <v>0</v>
      </c>
      <c r="T1361">
        <v>0</v>
      </c>
      <c r="U1361" s="8">
        <v>40</v>
      </c>
      <c r="V1361" s="8">
        <f t="shared" si="21"/>
        <v>4</v>
      </c>
    </row>
    <row r="1362" spans="1:22" x14ac:dyDescent="0.3">
      <c r="A1362" t="s">
        <v>479</v>
      </c>
      <c r="B1362">
        <v>3</v>
      </c>
      <c r="C1362" t="s">
        <v>242</v>
      </c>
      <c r="D1362" t="s">
        <v>244</v>
      </c>
      <c r="E1362" t="s">
        <v>159</v>
      </c>
      <c r="F1362" t="s">
        <v>101</v>
      </c>
      <c r="G1362" t="s">
        <v>134</v>
      </c>
      <c r="H1362">
        <v>3</v>
      </c>
      <c r="I1362">
        <v>4</v>
      </c>
      <c r="J1362">
        <v>75</v>
      </c>
      <c r="K1362" t="s">
        <v>96</v>
      </c>
      <c r="L1362">
        <v>5</v>
      </c>
      <c r="M1362">
        <v>4</v>
      </c>
      <c r="N1362">
        <v>0</v>
      </c>
      <c r="O1362">
        <v>42</v>
      </c>
      <c r="P1362">
        <v>0</v>
      </c>
      <c r="Q1362">
        <v>10.5</v>
      </c>
      <c r="R1362">
        <v>0</v>
      </c>
      <c r="S1362">
        <v>0</v>
      </c>
      <c r="T1362">
        <v>0</v>
      </c>
      <c r="U1362" s="8">
        <v>5</v>
      </c>
      <c r="V1362" s="8">
        <f t="shared" si="21"/>
        <v>1</v>
      </c>
    </row>
    <row r="1363" spans="1:22" x14ac:dyDescent="0.3">
      <c r="A1363" t="s">
        <v>479</v>
      </c>
      <c r="B1363">
        <v>3</v>
      </c>
      <c r="C1363" t="s">
        <v>102</v>
      </c>
      <c r="D1363" t="s">
        <v>126</v>
      </c>
      <c r="E1363" t="s">
        <v>159</v>
      </c>
      <c r="F1363" t="s">
        <v>169</v>
      </c>
      <c r="G1363" t="s">
        <v>134</v>
      </c>
      <c r="H1363">
        <v>26</v>
      </c>
      <c r="I1363">
        <v>6</v>
      </c>
      <c r="J1363">
        <v>433.33</v>
      </c>
      <c r="K1363" t="s">
        <v>246</v>
      </c>
      <c r="L1363">
        <v>35</v>
      </c>
      <c r="M1363">
        <v>1</v>
      </c>
      <c r="N1363">
        <v>0</v>
      </c>
      <c r="O1363">
        <v>13</v>
      </c>
      <c r="P1363">
        <v>0</v>
      </c>
      <c r="Q1363">
        <v>13</v>
      </c>
      <c r="R1363">
        <v>0</v>
      </c>
      <c r="S1363">
        <v>0</v>
      </c>
      <c r="T1363">
        <v>0</v>
      </c>
      <c r="U1363" s="8">
        <v>35</v>
      </c>
      <c r="V1363" s="8">
        <f t="shared" si="21"/>
        <v>4</v>
      </c>
    </row>
    <row r="1364" spans="1:22" x14ac:dyDescent="0.3">
      <c r="A1364" t="s">
        <v>479</v>
      </c>
      <c r="B1364">
        <v>3</v>
      </c>
      <c r="C1364" t="s">
        <v>186</v>
      </c>
      <c r="D1364" t="s">
        <v>187</v>
      </c>
      <c r="E1364" t="s">
        <v>159</v>
      </c>
      <c r="F1364" t="s">
        <v>101</v>
      </c>
      <c r="G1364" t="s">
        <v>134</v>
      </c>
      <c r="H1364">
        <v>1</v>
      </c>
      <c r="I1364">
        <v>1</v>
      </c>
      <c r="J1364">
        <v>100</v>
      </c>
      <c r="K1364" t="s">
        <v>256</v>
      </c>
      <c r="L1364">
        <v>1</v>
      </c>
      <c r="M1364">
        <v>3</v>
      </c>
      <c r="N1364">
        <v>0</v>
      </c>
      <c r="O1364">
        <v>42</v>
      </c>
      <c r="P1364">
        <v>0</v>
      </c>
      <c r="Q1364">
        <v>14</v>
      </c>
      <c r="R1364">
        <v>0</v>
      </c>
      <c r="S1364">
        <v>0</v>
      </c>
      <c r="T1364">
        <v>0</v>
      </c>
      <c r="U1364" s="8">
        <v>1</v>
      </c>
      <c r="V1364" s="8">
        <f t="shared" si="21"/>
        <v>0</v>
      </c>
    </row>
    <row r="1365" spans="1:22" x14ac:dyDescent="0.3">
      <c r="A1365" t="s">
        <v>480</v>
      </c>
      <c r="B1365">
        <v>3</v>
      </c>
      <c r="C1365" t="s">
        <v>112</v>
      </c>
      <c r="D1365" t="s">
        <v>88</v>
      </c>
      <c r="E1365" t="s">
        <v>266</v>
      </c>
      <c r="F1365" t="s">
        <v>169</v>
      </c>
      <c r="G1365" t="s">
        <v>86</v>
      </c>
      <c r="H1365">
        <v>27</v>
      </c>
      <c r="I1365">
        <v>22</v>
      </c>
      <c r="J1365">
        <v>122.73</v>
      </c>
      <c r="K1365" t="s">
        <v>246</v>
      </c>
      <c r="L1365">
        <v>35</v>
      </c>
      <c r="M1365">
        <v>4</v>
      </c>
      <c r="N1365">
        <v>0</v>
      </c>
      <c r="O1365">
        <v>38</v>
      </c>
      <c r="P1365">
        <v>3</v>
      </c>
      <c r="Q1365">
        <v>9.5</v>
      </c>
      <c r="R1365">
        <v>75</v>
      </c>
      <c r="S1365">
        <v>0</v>
      </c>
      <c r="T1365">
        <v>0</v>
      </c>
      <c r="U1365" s="8">
        <v>110</v>
      </c>
      <c r="V1365" s="8">
        <f t="shared" si="21"/>
        <v>10</v>
      </c>
    </row>
    <row r="1366" spans="1:22" x14ac:dyDescent="0.3">
      <c r="A1366" t="s">
        <v>480</v>
      </c>
      <c r="B1366">
        <v>3</v>
      </c>
      <c r="C1366" t="s">
        <v>119</v>
      </c>
      <c r="D1366" t="s">
        <v>95</v>
      </c>
      <c r="E1366" t="s">
        <v>266</v>
      </c>
      <c r="F1366" t="s">
        <v>169</v>
      </c>
      <c r="G1366" t="s">
        <v>92</v>
      </c>
      <c r="H1366">
        <v>5</v>
      </c>
      <c r="I1366">
        <v>9</v>
      </c>
      <c r="J1366">
        <v>55.56</v>
      </c>
      <c r="K1366" t="s">
        <v>256</v>
      </c>
      <c r="L1366">
        <v>5</v>
      </c>
      <c r="M1366">
        <v>4</v>
      </c>
      <c r="N1366">
        <v>0</v>
      </c>
      <c r="O1366">
        <v>34</v>
      </c>
      <c r="P1366">
        <v>3</v>
      </c>
      <c r="Q1366">
        <v>8.5</v>
      </c>
      <c r="R1366">
        <v>75</v>
      </c>
      <c r="S1366">
        <v>0</v>
      </c>
      <c r="T1366">
        <v>0</v>
      </c>
      <c r="U1366" s="8">
        <v>80</v>
      </c>
      <c r="V1366" s="8">
        <f t="shared" si="21"/>
        <v>8</v>
      </c>
    </row>
    <row r="1367" spans="1:22" x14ac:dyDescent="0.3">
      <c r="A1367" t="s">
        <v>480</v>
      </c>
      <c r="B1367">
        <v>3</v>
      </c>
      <c r="C1367" t="s">
        <v>117</v>
      </c>
      <c r="D1367" t="s">
        <v>90</v>
      </c>
      <c r="E1367" t="s">
        <v>266</v>
      </c>
      <c r="F1367" t="s">
        <v>169</v>
      </c>
      <c r="G1367" t="s">
        <v>92</v>
      </c>
      <c r="H1367">
        <v>38</v>
      </c>
      <c r="I1367">
        <v>31</v>
      </c>
      <c r="J1367">
        <v>122.58</v>
      </c>
      <c r="K1367" t="s">
        <v>246</v>
      </c>
      <c r="L1367">
        <v>50</v>
      </c>
      <c r="M1367">
        <v>3</v>
      </c>
      <c r="N1367">
        <v>0</v>
      </c>
      <c r="O1367">
        <v>28</v>
      </c>
      <c r="P1367">
        <v>0</v>
      </c>
      <c r="Q1367">
        <v>9.3000000000000007</v>
      </c>
      <c r="R1367">
        <v>0</v>
      </c>
      <c r="S1367">
        <v>0</v>
      </c>
      <c r="T1367">
        <v>0</v>
      </c>
      <c r="U1367" s="8">
        <v>50</v>
      </c>
      <c r="V1367" s="8">
        <f t="shared" si="21"/>
        <v>5</v>
      </c>
    </row>
    <row r="1368" spans="1:22" x14ac:dyDescent="0.3">
      <c r="A1368" t="s">
        <v>480</v>
      </c>
      <c r="B1368">
        <v>3</v>
      </c>
      <c r="C1368" t="s">
        <v>115</v>
      </c>
      <c r="D1368" t="s">
        <v>17</v>
      </c>
      <c r="E1368" t="s">
        <v>266</v>
      </c>
      <c r="F1368" t="s">
        <v>169</v>
      </c>
      <c r="G1368" t="s">
        <v>134</v>
      </c>
      <c r="H1368">
        <v>54</v>
      </c>
      <c r="I1368">
        <v>33</v>
      </c>
      <c r="J1368">
        <v>163.63999999999999</v>
      </c>
      <c r="K1368" t="s">
        <v>246</v>
      </c>
      <c r="L1368">
        <v>75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 s="8">
        <v>75</v>
      </c>
      <c r="V1368" s="8">
        <f t="shared" si="21"/>
        <v>8</v>
      </c>
    </row>
    <row r="1369" spans="1:22" x14ac:dyDescent="0.3">
      <c r="A1369" t="s">
        <v>480</v>
      </c>
      <c r="B1369">
        <v>3</v>
      </c>
      <c r="C1369" t="s">
        <v>121</v>
      </c>
      <c r="D1369" t="s">
        <v>108</v>
      </c>
      <c r="E1369" t="s">
        <v>266</v>
      </c>
      <c r="F1369" t="s">
        <v>169</v>
      </c>
      <c r="G1369" t="s">
        <v>134</v>
      </c>
      <c r="H1369">
        <v>27</v>
      </c>
      <c r="I1369">
        <v>15</v>
      </c>
      <c r="J1369">
        <v>180</v>
      </c>
      <c r="K1369" t="s">
        <v>246</v>
      </c>
      <c r="L1369">
        <v>40</v>
      </c>
      <c r="M1369">
        <v>1</v>
      </c>
      <c r="N1369">
        <v>0</v>
      </c>
      <c r="O1369">
        <v>12</v>
      </c>
      <c r="P1369">
        <v>0</v>
      </c>
      <c r="Q1369">
        <v>12</v>
      </c>
      <c r="R1369">
        <v>0</v>
      </c>
      <c r="S1369">
        <v>0</v>
      </c>
      <c r="T1369">
        <v>0</v>
      </c>
      <c r="U1369" s="8">
        <v>40</v>
      </c>
      <c r="V1369" s="8">
        <f t="shared" si="21"/>
        <v>4</v>
      </c>
    </row>
    <row r="1370" spans="1:22" x14ac:dyDescent="0.3">
      <c r="A1370" t="s">
        <v>480</v>
      </c>
      <c r="B1370">
        <v>3</v>
      </c>
      <c r="C1370" t="s">
        <v>347</v>
      </c>
      <c r="D1370" t="s">
        <v>348</v>
      </c>
      <c r="E1370" t="s">
        <v>266</v>
      </c>
      <c r="F1370" t="s">
        <v>169</v>
      </c>
      <c r="G1370" t="s">
        <v>134</v>
      </c>
      <c r="H1370">
        <v>11</v>
      </c>
      <c r="I1370">
        <v>6</v>
      </c>
      <c r="J1370">
        <v>183.33</v>
      </c>
      <c r="K1370" t="s">
        <v>96</v>
      </c>
      <c r="L1370">
        <v>20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 s="8">
        <v>20</v>
      </c>
      <c r="V1370" s="8">
        <f t="shared" si="21"/>
        <v>2</v>
      </c>
    </row>
    <row r="1371" spans="1:22" x14ac:dyDescent="0.3">
      <c r="A1371" t="s">
        <v>480</v>
      </c>
      <c r="B1371">
        <v>3</v>
      </c>
      <c r="C1371" t="s">
        <v>113</v>
      </c>
      <c r="D1371" t="s">
        <v>84</v>
      </c>
      <c r="E1371" t="s">
        <v>266</v>
      </c>
      <c r="F1371" t="s">
        <v>85</v>
      </c>
      <c r="G1371" t="s">
        <v>134</v>
      </c>
      <c r="H1371">
        <v>13</v>
      </c>
      <c r="I1371">
        <v>4</v>
      </c>
      <c r="J1371">
        <v>325</v>
      </c>
      <c r="K1371" t="s">
        <v>256</v>
      </c>
      <c r="L1371">
        <v>25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 s="8">
        <v>25</v>
      </c>
      <c r="V1371" s="8">
        <f t="shared" si="21"/>
        <v>3</v>
      </c>
    </row>
    <row r="1372" spans="1:22" x14ac:dyDescent="0.3">
      <c r="A1372" t="s">
        <v>480</v>
      </c>
      <c r="B1372">
        <v>3</v>
      </c>
      <c r="C1372" t="s">
        <v>510</v>
      </c>
      <c r="D1372" t="s">
        <v>538</v>
      </c>
      <c r="E1372" t="s">
        <v>266</v>
      </c>
      <c r="F1372" t="s">
        <v>85</v>
      </c>
      <c r="G1372" t="s">
        <v>104</v>
      </c>
      <c r="H1372">
        <v>0</v>
      </c>
      <c r="I1372">
        <v>0</v>
      </c>
      <c r="J1372">
        <v>0</v>
      </c>
      <c r="K1372" t="s">
        <v>104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 s="8">
        <v>0</v>
      </c>
      <c r="V1372" s="8">
        <f t="shared" si="21"/>
        <v>0</v>
      </c>
    </row>
    <row r="1373" spans="1:22" x14ac:dyDescent="0.3">
      <c r="A1373" t="s">
        <v>480</v>
      </c>
      <c r="B1373">
        <v>3</v>
      </c>
      <c r="C1373" t="s">
        <v>507</v>
      </c>
      <c r="D1373" t="s">
        <v>519</v>
      </c>
      <c r="E1373" t="s">
        <v>266</v>
      </c>
      <c r="F1373" t="s">
        <v>169</v>
      </c>
      <c r="G1373" t="s">
        <v>104</v>
      </c>
      <c r="H1373">
        <v>0</v>
      </c>
      <c r="I1373">
        <v>0</v>
      </c>
      <c r="J1373">
        <v>0</v>
      </c>
      <c r="K1373" t="s">
        <v>104</v>
      </c>
      <c r="L1373">
        <v>0</v>
      </c>
      <c r="M1373">
        <v>2</v>
      </c>
      <c r="N1373">
        <v>0</v>
      </c>
      <c r="O1373">
        <v>18</v>
      </c>
      <c r="P1373">
        <v>1</v>
      </c>
      <c r="Q1373">
        <v>9</v>
      </c>
      <c r="R1373">
        <v>25</v>
      </c>
      <c r="S1373">
        <v>0</v>
      </c>
      <c r="T1373">
        <v>0</v>
      </c>
      <c r="U1373" s="8">
        <v>25</v>
      </c>
      <c r="V1373" s="8">
        <f t="shared" si="21"/>
        <v>3</v>
      </c>
    </row>
    <row r="1374" spans="1:22" x14ac:dyDescent="0.3">
      <c r="A1374" t="s">
        <v>480</v>
      </c>
      <c r="B1374">
        <v>3</v>
      </c>
      <c r="C1374" t="s">
        <v>265</v>
      </c>
      <c r="D1374" t="s">
        <v>264</v>
      </c>
      <c r="E1374" t="s">
        <v>266</v>
      </c>
      <c r="F1374" t="s">
        <v>101</v>
      </c>
      <c r="G1374" t="s">
        <v>104</v>
      </c>
      <c r="H1374">
        <v>0</v>
      </c>
      <c r="I1374">
        <v>0</v>
      </c>
      <c r="J1374">
        <v>0</v>
      </c>
      <c r="K1374" t="s">
        <v>104</v>
      </c>
      <c r="L1374">
        <v>0</v>
      </c>
      <c r="M1374">
        <v>4</v>
      </c>
      <c r="N1374">
        <v>0</v>
      </c>
      <c r="O1374">
        <v>17</v>
      </c>
      <c r="P1374">
        <v>2</v>
      </c>
      <c r="Q1374">
        <v>4.2</v>
      </c>
      <c r="R1374">
        <v>50</v>
      </c>
      <c r="S1374">
        <v>0</v>
      </c>
      <c r="T1374">
        <v>0</v>
      </c>
      <c r="U1374" s="8">
        <v>50</v>
      </c>
      <c r="V1374" s="8">
        <f t="shared" si="21"/>
        <v>5</v>
      </c>
    </row>
    <row r="1375" spans="1:22" x14ac:dyDescent="0.3">
      <c r="A1375" t="s">
        <v>480</v>
      </c>
      <c r="B1375">
        <v>3</v>
      </c>
      <c r="C1375" t="s">
        <v>511</v>
      </c>
      <c r="D1375" t="s">
        <v>539</v>
      </c>
      <c r="E1375" t="s">
        <v>266</v>
      </c>
      <c r="F1375" t="s">
        <v>101</v>
      </c>
      <c r="G1375" t="s">
        <v>104</v>
      </c>
      <c r="H1375">
        <v>0</v>
      </c>
      <c r="I1375">
        <v>0</v>
      </c>
      <c r="J1375">
        <v>0</v>
      </c>
      <c r="K1375" t="s">
        <v>104</v>
      </c>
      <c r="L1375">
        <v>0</v>
      </c>
      <c r="M1375">
        <v>2</v>
      </c>
      <c r="N1375">
        <v>0</v>
      </c>
      <c r="O1375">
        <v>19</v>
      </c>
      <c r="P1375">
        <v>0</v>
      </c>
      <c r="Q1375">
        <v>9.5</v>
      </c>
      <c r="R1375">
        <v>0</v>
      </c>
      <c r="S1375">
        <v>0</v>
      </c>
      <c r="T1375">
        <v>0</v>
      </c>
      <c r="U1375" s="8">
        <v>0</v>
      </c>
      <c r="V1375" s="8">
        <f t="shared" si="21"/>
        <v>0</v>
      </c>
    </row>
    <row r="1376" spans="1:22" x14ac:dyDescent="0.3">
      <c r="A1376" t="s">
        <v>480</v>
      </c>
      <c r="B1376">
        <v>3</v>
      </c>
      <c r="C1376" t="s">
        <v>81</v>
      </c>
      <c r="D1376" t="s">
        <v>114</v>
      </c>
      <c r="E1376" t="s">
        <v>258</v>
      </c>
      <c r="F1376" t="s">
        <v>85</v>
      </c>
      <c r="G1376" t="s">
        <v>86</v>
      </c>
      <c r="H1376">
        <v>7</v>
      </c>
      <c r="I1376">
        <v>9</v>
      </c>
      <c r="J1376">
        <v>77.78</v>
      </c>
      <c r="K1376" t="s">
        <v>246</v>
      </c>
      <c r="L1376">
        <v>5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 s="8">
        <v>5</v>
      </c>
      <c r="V1376" s="8">
        <f t="shared" si="21"/>
        <v>1</v>
      </c>
    </row>
    <row r="1377" spans="1:22" x14ac:dyDescent="0.3">
      <c r="A1377" t="s">
        <v>480</v>
      </c>
      <c r="B1377">
        <v>3</v>
      </c>
      <c r="C1377" t="s">
        <v>493</v>
      </c>
      <c r="D1377" t="s">
        <v>500</v>
      </c>
      <c r="E1377" t="s">
        <v>258</v>
      </c>
      <c r="F1377" t="s">
        <v>169</v>
      </c>
      <c r="G1377" t="s">
        <v>92</v>
      </c>
      <c r="H1377">
        <v>10</v>
      </c>
      <c r="I1377">
        <v>14</v>
      </c>
      <c r="J1377">
        <v>71.430000000000007</v>
      </c>
      <c r="K1377" t="s">
        <v>248</v>
      </c>
      <c r="L1377">
        <v>10</v>
      </c>
      <c r="M1377">
        <v>4</v>
      </c>
      <c r="N1377">
        <v>0</v>
      </c>
      <c r="O1377">
        <v>32</v>
      </c>
      <c r="P1377">
        <v>1</v>
      </c>
      <c r="Q1377">
        <v>8</v>
      </c>
      <c r="R1377">
        <v>25</v>
      </c>
      <c r="S1377">
        <v>0</v>
      </c>
      <c r="T1377">
        <v>0</v>
      </c>
      <c r="U1377" s="8">
        <v>35</v>
      </c>
      <c r="V1377" s="8">
        <f t="shared" si="21"/>
        <v>4</v>
      </c>
    </row>
    <row r="1378" spans="1:22" x14ac:dyDescent="0.3">
      <c r="A1378" t="s">
        <v>480</v>
      </c>
      <c r="B1378">
        <v>3</v>
      </c>
      <c r="C1378" t="s">
        <v>89</v>
      </c>
      <c r="D1378" t="s">
        <v>116</v>
      </c>
      <c r="E1378" t="s">
        <v>258</v>
      </c>
      <c r="F1378" t="s">
        <v>169</v>
      </c>
      <c r="G1378" t="s">
        <v>92</v>
      </c>
      <c r="H1378">
        <v>24</v>
      </c>
      <c r="I1378">
        <v>17</v>
      </c>
      <c r="J1378">
        <v>141.18</v>
      </c>
      <c r="K1378" t="s">
        <v>247</v>
      </c>
      <c r="L1378">
        <v>30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 s="8">
        <v>30</v>
      </c>
      <c r="V1378" s="8">
        <f t="shared" si="21"/>
        <v>3</v>
      </c>
    </row>
    <row r="1379" spans="1:22" x14ac:dyDescent="0.3">
      <c r="A1379" t="s">
        <v>480</v>
      </c>
      <c r="B1379">
        <v>3</v>
      </c>
      <c r="C1379" t="s">
        <v>93</v>
      </c>
      <c r="D1379" t="s">
        <v>118</v>
      </c>
      <c r="E1379" t="s">
        <v>258</v>
      </c>
      <c r="F1379" t="s">
        <v>169</v>
      </c>
      <c r="G1379" t="s">
        <v>134</v>
      </c>
      <c r="H1379">
        <v>0</v>
      </c>
      <c r="I1379">
        <v>2</v>
      </c>
      <c r="J1379">
        <v>0</v>
      </c>
      <c r="K1379" t="s">
        <v>246</v>
      </c>
      <c r="L1379">
        <v>0</v>
      </c>
      <c r="M1379">
        <v>4</v>
      </c>
      <c r="N1379">
        <v>0</v>
      </c>
      <c r="O1379">
        <v>27</v>
      </c>
      <c r="P1379">
        <v>1</v>
      </c>
      <c r="Q1379">
        <v>6.8</v>
      </c>
      <c r="R1379">
        <v>25</v>
      </c>
      <c r="S1379">
        <v>0</v>
      </c>
      <c r="T1379">
        <v>0</v>
      </c>
      <c r="U1379" s="8">
        <v>25</v>
      </c>
      <c r="V1379" s="8">
        <f t="shared" si="21"/>
        <v>3</v>
      </c>
    </row>
    <row r="1380" spans="1:22" x14ac:dyDescent="0.3">
      <c r="A1380" t="s">
        <v>480</v>
      </c>
      <c r="B1380">
        <v>3</v>
      </c>
      <c r="C1380" t="s">
        <v>383</v>
      </c>
      <c r="D1380" t="s">
        <v>384</v>
      </c>
      <c r="E1380" t="s">
        <v>258</v>
      </c>
      <c r="F1380" t="s">
        <v>109</v>
      </c>
      <c r="G1380" t="s">
        <v>134</v>
      </c>
      <c r="H1380">
        <v>22</v>
      </c>
      <c r="I1380">
        <v>16</v>
      </c>
      <c r="J1380">
        <v>137.5</v>
      </c>
      <c r="K1380" t="s">
        <v>245</v>
      </c>
      <c r="L1380">
        <v>30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 s="8">
        <v>30</v>
      </c>
      <c r="V1380" s="8">
        <f t="shared" si="21"/>
        <v>3</v>
      </c>
    </row>
    <row r="1381" spans="1:22" x14ac:dyDescent="0.3">
      <c r="A1381" t="s">
        <v>480</v>
      </c>
      <c r="B1381">
        <v>3</v>
      </c>
      <c r="C1381" t="s">
        <v>530</v>
      </c>
      <c r="D1381" t="s">
        <v>502</v>
      </c>
      <c r="E1381" t="s">
        <v>258</v>
      </c>
      <c r="F1381" t="s">
        <v>169</v>
      </c>
      <c r="G1381" t="s">
        <v>134</v>
      </c>
      <c r="H1381">
        <v>10</v>
      </c>
      <c r="I1381">
        <v>11</v>
      </c>
      <c r="J1381">
        <v>90.91</v>
      </c>
      <c r="K1381" t="s">
        <v>245</v>
      </c>
      <c r="L1381">
        <v>10</v>
      </c>
      <c r="M1381">
        <v>4</v>
      </c>
      <c r="N1381">
        <v>0</v>
      </c>
      <c r="O1381">
        <v>44</v>
      </c>
      <c r="P1381">
        <v>0</v>
      </c>
      <c r="Q1381">
        <v>11</v>
      </c>
      <c r="R1381">
        <v>0</v>
      </c>
      <c r="S1381">
        <v>0</v>
      </c>
      <c r="T1381">
        <v>0</v>
      </c>
      <c r="U1381" s="8">
        <v>10</v>
      </c>
      <c r="V1381" s="8">
        <f t="shared" si="21"/>
        <v>1</v>
      </c>
    </row>
    <row r="1382" spans="1:22" x14ac:dyDescent="0.3">
      <c r="A1382" t="s">
        <v>480</v>
      </c>
      <c r="B1382">
        <v>3</v>
      </c>
      <c r="C1382" t="s">
        <v>447</v>
      </c>
      <c r="D1382" t="s">
        <v>448</v>
      </c>
      <c r="E1382" t="s">
        <v>258</v>
      </c>
      <c r="F1382" t="s">
        <v>109</v>
      </c>
      <c r="G1382" t="s">
        <v>134</v>
      </c>
      <c r="H1382">
        <v>61</v>
      </c>
      <c r="I1382">
        <v>25</v>
      </c>
      <c r="J1382">
        <v>244</v>
      </c>
      <c r="K1382" t="s">
        <v>246</v>
      </c>
      <c r="L1382">
        <v>90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 s="8">
        <v>90</v>
      </c>
      <c r="V1382" s="8">
        <f t="shared" si="21"/>
        <v>9</v>
      </c>
    </row>
    <row r="1383" spans="1:22" x14ac:dyDescent="0.3">
      <c r="A1383" t="s">
        <v>480</v>
      </c>
      <c r="B1383">
        <v>3</v>
      </c>
      <c r="C1383" t="s">
        <v>227</v>
      </c>
      <c r="D1383" t="s">
        <v>228</v>
      </c>
      <c r="E1383" t="s">
        <v>258</v>
      </c>
      <c r="F1383" t="s">
        <v>109</v>
      </c>
      <c r="G1383" t="s">
        <v>134</v>
      </c>
      <c r="H1383">
        <v>18</v>
      </c>
      <c r="I1383">
        <v>16</v>
      </c>
      <c r="J1383">
        <v>112.5</v>
      </c>
      <c r="K1383" t="s">
        <v>245</v>
      </c>
      <c r="L1383">
        <v>20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 s="8">
        <v>20</v>
      </c>
      <c r="V1383" s="8">
        <f t="shared" si="21"/>
        <v>2</v>
      </c>
    </row>
    <row r="1384" spans="1:22" x14ac:dyDescent="0.3">
      <c r="A1384" t="s">
        <v>480</v>
      </c>
      <c r="B1384">
        <v>3</v>
      </c>
      <c r="C1384" t="s">
        <v>105</v>
      </c>
      <c r="D1384" t="s">
        <v>128</v>
      </c>
      <c r="E1384" t="s">
        <v>258</v>
      </c>
      <c r="F1384" t="s">
        <v>101</v>
      </c>
      <c r="G1384" t="s">
        <v>134</v>
      </c>
      <c r="H1384">
        <v>10</v>
      </c>
      <c r="I1384">
        <v>6</v>
      </c>
      <c r="J1384">
        <v>166.67</v>
      </c>
      <c r="K1384" t="s">
        <v>256</v>
      </c>
      <c r="L1384">
        <v>15</v>
      </c>
      <c r="M1384">
        <v>4</v>
      </c>
      <c r="N1384">
        <v>0</v>
      </c>
      <c r="O1384">
        <v>41</v>
      </c>
      <c r="P1384">
        <v>1</v>
      </c>
      <c r="Q1384">
        <v>10.199999999999999</v>
      </c>
      <c r="R1384">
        <v>25</v>
      </c>
      <c r="S1384">
        <v>0</v>
      </c>
      <c r="T1384">
        <v>0</v>
      </c>
      <c r="U1384" s="8">
        <v>40</v>
      </c>
      <c r="V1384" s="8">
        <f t="shared" si="21"/>
        <v>4</v>
      </c>
    </row>
    <row r="1385" spans="1:22" x14ac:dyDescent="0.3">
      <c r="A1385" t="s">
        <v>480</v>
      </c>
      <c r="B1385">
        <v>3</v>
      </c>
      <c r="C1385" t="s">
        <v>389</v>
      </c>
      <c r="D1385" t="s">
        <v>390</v>
      </c>
      <c r="E1385" t="s">
        <v>258</v>
      </c>
      <c r="F1385" t="s">
        <v>101</v>
      </c>
      <c r="G1385" t="s">
        <v>134</v>
      </c>
      <c r="H1385">
        <v>1</v>
      </c>
      <c r="I1385">
        <v>1</v>
      </c>
      <c r="J1385">
        <v>100</v>
      </c>
      <c r="K1385" t="s">
        <v>96</v>
      </c>
      <c r="L1385">
        <v>2</v>
      </c>
      <c r="M1385">
        <v>1</v>
      </c>
      <c r="N1385">
        <v>0</v>
      </c>
      <c r="O1385">
        <v>12</v>
      </c>
      <c r="P1385">
        <v>0</v>
      </c>
      <c r="Q1385">
        <v>12</v>
      </c>
      <c r="R1385">
        <v>0</v>
      </c>
      <c r="S1385">
        <v>0</v>
      </c>
      <c r="T1385">
        <v>0</v>
      </c>
      <c r="U1385" s="8">
        <v>2</v>
      </c>
      <c r="V1385" s="8">
        <f t="shared" si="21"/>
        <v>0</v>
      </c>
    </row>
    <row r="1386" spans="1:22" x14ac:dyDescent="0.3">
      <c r="A1386" t="s">
        <v>480</v>
      </c>
      <c r="B1386">
        <v>3</v>
      </c>
      <c r="C1386" t="s">
        <v>494</v>
      </c>
      <c r="D1386" t="s">
        <v>501</v>
      </c>
      <c r="E1386" t="s">
        <v>258</v>
      </c>
      <c r="F1386" t="s">
        <v>101</v>
      </c>
      <c r="G1386" t="s">
        <v>134</v>
      </c>
      <c r="H1386">
        <v>1</v>
      </c>
      <c r="I1386">
        <v>3</v>
      </c>
      <c r="J1386">
        <v>33.33</v>
      </c>
      <c r="K1386" t="s">
        <v>248</v>
      </c>
      <c r="L1386">
        <v>1</v>
      </c>
      <c r="M1386">
        <v>3</v>
      </c>
      <c r="N1386">
        <v>0</v>
      </c>
      <c r="O1386">
        <v>23</v>
      </c>
      <c r="P1386">
        <v>1</v>
      </c>
      <c r="Q1386">
        <v>7.7</v>
      </c>
      <c r="R1386">
        <v>25</v>
      </c>
      <c r="S1386">
        <v>0</v>
      </c>
      <c r="T1386">
        <v>0</v>
      </c>
      <c r="U1386" s="8">
        <v>26</v>
      </c>
      <c r="V1386" s="8">
        <f t="shared" si="21"/>
        <v>3</v>
      </c>
    </row>
    <row r="1387" spans="1:22" x14ac:dyDescent="0.3">
      <c r="A1387" t="s">
        <v>481</v>
      </c>
      <c r="B1387">
        <v>3</v>
      </c>
      <c r="C1387" t="s">
        <v>87</v>
      </c>
      <c r="D1387" t="s">
        <v>82</v>
      </c>
      <c r="E1387" t="s">
        <v>159</v>
      </c>
      <c r="F1387" t="s">
        <v>109</v>
      </c>
      <c r="G1387" t="s">
        <v>86</v>
      </c>
      <c r="H1387">
        <v>26</v>
      </c>
      <c r="I1387">
        <v>13</v>
      </c>
      <c r="J1387">
        <v>200</v>
      </c>
      <c r="K1387" t="s">
        <v>246</v>
      </c>
      <c r="L1387">
        <v>40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 s="8">
        <v>40</v>
      </c>
      <c r="V1387" s="8">
        <f t="shared" si="21"/>
        <v>4</v>
      </c>
    </row>
    <row r="1388" spans="1:22" x14ac:dyDescent="0.3">
      <c r="A1388" t="s">
        <v>481</v>
      </c>
      <c r="B1388">
        <v>3</v>
      </c>
      <c r="C1388" t="s">
        <v>165</v>
      </c>
      <c r="D1388" t="s">
        <v>166</v>
      </c>
      <c r="E1388" t="s">
        <v>159</v>
      </c>
      <c r="F1388" t="s">
        <v>109</v>
      </c>
      <c r="G1388" t="s">
        <v>86</v>
      </c>
      <c r="H1388">
        <v>53</v>
      </c>
      <c r="I1388">
        <v>37</v>
      </c>
      <c r="J1388">
        <v>143.24</v>
      </c>
      <c r="K1388" t="s">
        <v>246</v>
      </c>
      <c r="L1388">
        <v>65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 s="8">
        <v>65</v>
      </c>
      <c r="V1388" s="8">
        <f t="shared" si="21"/>
        <v>7</v>
      </c>
    </row>
    <row r="1389" spans="1:22" x14ac:dyDescent="0.3">
      <c r="A1389" t="s">
        <v>481</v>
      </c>
      <c r="B1389">
        <v>3</v>
      </c>
      <c r="C1389" t="s">
        <v>174</v>
      </c>
      <c r="D1389" t="s">
        <v>175</v>
      </c>
      <c r="E1389" t="s">
        <v>159</v>
      </c>
      <c r="F1389" t="s">
        <v>169</v>
      </c>
      <c r="G1389" t="s">
        <v>92</v>
      </c>
      <c r="H1389">
        <v>49</v>
      </c>
      <c r="I1389">
        <v>38</v>
      </c>
      <c r="J1389">
        <v>128.94999999999999</v>
      </c>
      <c r="K1389" t="s">
        <v>96</v>
      </c>
      <c r="L1389">
        <v>60</v>
      </c>
      <c r="M1389">
        <v>4</v>
      </c>
      <c r="N1389">
        <v>0</v>
      </c>
      <c r="O1389">
        <v>53</v>
      </c>
      <c r="P1389">
        <v>2</v>
      </c>
      <c r="Q1389">
        <v>13.2</v>
      </c>
      <c r="R1389">
        <v>50</v>
      </c>
      <c r="S1389">
        <v>0</v>
      </c>
      <c r="T1389">
        <v>0</v>
      </c>
      <c r="U1389" s="8">
        <v>110</v>
      </c>
      <c r="V1389" s="8">
        <f t="shared" si="21"/>
        <v>10</v>
      </c>
    </row>
    <row r="1390" spans="1:22" x14ac:dyDescent="0.3">
      <c r="A1390" t="s">
        <v>481</v>
      </c>
      <c r="B1390">
        <v>3</v>
      </c>
      <c r="C1390" t="s">
        <v>176</v>
      </c>
      <c r="D1390" t="s">
        <v>177</v>
      </c>
      <c r="E1390" t="s">
        <v>159</v>
      </c>
      <c r="F1390" t="s">
        <v>85</v>
      </c>
      <c r="G1390" t="s">
        <v>134</v>
      </c>
      <c r="H1390">
        <v>36</v>
      </c>
      <c r="I1390">
        <v>22</v>
      </c>
      <c r="J1390">
        <v>163.63999999999999</v>
      </c>
      <c r="K1390" t="s">
        <v>246</v>
      </c>
      <c r="L1390">
        <v>50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 s="8">
        <v>50</v>
      </c>
      <c r="V1390" s="8">
        <f t="shared" si="21"/>
        <v>5</v>
      </c>
    </row>
    <row r="1391" spans="1:22" x14ac:dyDescent="0.3">
      <c r="A1391" t="s">
        <v>481</v>
      </c>
      <c r="B1391">
        <v>3</v>
      </c>
      <c r="C1391" t="s">
        <v>99</v>
      </c>
      <c r="D1391" t="s">
        <v>124</v>
      </c>
      <c r="E1391" t="s">
        <v>159</v>
      </c>
      <c r="F1391" t="s">
        <v>169</v>
      </c>
      <c r="G1391" t="s">
        <v>134</v>
      </c>
      <c r="H1391">
        <v>31</v>
      </c>
      <c r="I1391">
        <v>10</v>
      </c>
      <c r="J1391">
        <v>310</v>
      </c>
      <c r="K1391" t="s">
        <v>96</v>
      </c>
      <c r="L1391">
        <v>55</v>
      </c>
      <c r="M1391">
        <v>4</v>
      </c>
      <c r="N1391">
        <v>0</v>
      </c>
      <c r="O1391">
        <v>29</v>
      </c>
      <c r="P1391">
        <v>1</v>
      </c>
      <c r="Q1391">
        <v>7.2</v>
      </c>
      <c r="R1391">
        <v>30</v>
      </c>
      <c r="S1391">
        <v>0</v>
      </c>
      <c r="T1391">
        <v>0</v>
      </c>
      <c r="U1391" s="8">
        <v>85</v>
      </c>
      <c r="V1391" s="8">
        <f t="shared" si="21"/>
        <v>9</v>
      </c>
    </row>
    <row r="1392" spans="1:22" x14ac:dyDescent="0.3">
      <c r="A1392" t="s">
        <v>481</v>
      </c>
      <c r="B1392">
        <v>3</v>
      </c>
      <c r="C1392" t="s">
        <v>178</v>
      </c>
      <c r="D1392" t="s">
        <v>179</v>
      </c>
      <c r="E1392" t="s">
        <v>159</v>
      </c>
      <c r="F1392" t="s">
        <v>169</v>
      </c>
      <c r="G1392" t="s">
        <v>104</v>
      </c>
      <c r="H1392">
        <v>0</v>
      </c>
      <c r="I1392">
        <v>0</v>
      </c>
      <c r="J1392">
        <v>0</v>
      </c>
      <c r="K1392" t="s">
        <v>104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 s="8">
        <v>0</v>
      </c>
      <c r="V1392" s="8">
        <f t="shared" si="21"/>
        <v>0</v>
      </c>
    </row>
    <row r="1393" spans="1:22" x14ac:dyDescent="0.3">
      <c r="A1393" t="s">
        <v>481</v>
      </c>
      <c r="B1393">
        <v>3</v>
      </c>
      <c r="C1393" t="s">
        <v>516</v>
      </c>
      <c r="D1393" t="s">
        <v>596</v>
      </c>
      <c r="E1393" t="s">
        <v>159</v>
      </c>
      <c r="F1393" t="s">
        <v>169</v>
      </c>
      <c r="G1393" t="s">
        <v>104</v>
      </c>
      <c r="H1393">
        <v>0</v>
      </c>
      <c r="I1393">
        <v>0</v>
      </c>
      <c r="J1393">
        <v>0</v>
      </c>
      <c r="K1393" t="s">
        <v>104</v>
      </c>
      <c r="L1393">
        <v>0</v>
      </c>
      <c r="M1393">
        <v>4</v>
      </c>
      <c r="N1393">
        <v>0</v>
      </c>
      <c r="O1393">
        <v>47</v>
      </c>
      <c r="P1393">
        <v>1</v>
      </c>
      <c r="Q1393">
        <v>11.8</v>
      </c>
      <c r="R1393">
        <v>25</v>
      </c>
      <c r="S1393">
        <v>0</v>
      </c>
      <c r="T1393">
        <v>0</v>
      </c>
      <c r="U1393" s="8">
        <v>25</v>
      </c>
      <c r="V1393" s="8">
        <f t="shared" si="21"/>
        <v>3</v>
      </c>
    </row>
    <row r="1394" spans="1:22" x14ac:dyDescent="0.3">
      <c r="A1394" t="s">
        <v>481</v>
      </c>
      <c r="B1394">
        <v>3</v>
      </c>
      <c r="C1394" t="s">
        <v>102</v>
      </c>
      <c r="D1394" t="s">
        <v>126</v>
      </c>
      <c r="E1394" t="s">
        <v>159</v>
      </c>
      <c r="F1394" t="s">
        <v>169</v>
      </c>
      <c r="G1394" t="s">
        <v>104</v>
      </c>
      <c r="H1394">
        <v>0</v>
      </c>
      <c r="I1394">
        <v>0</v>
      </c>
      <c r="J1394">
        <v>0</v>
      </c>
      <c r="K1394" t="s">
        <v>104</v>
      </c>
      <c r="L1394">
        <v>0</v>
      </c>
      <c r="M1394">
        <v>4</v>
      </c>
      <c r="N1394">
        <v>0</v>
      </c>
      <c r="O1394">
        <v>26</v>
      </c>
      <c r="P1394">
        <v>3</v>
      </c>
      <c r="Q1394">
        <v>6.5</v>
      </c>
      <c r="R1394">
        <v>75</v>
      </c>
      <c r="S1394">
        <v>0</v>
      </c>
      <c r="T1394">
        <v>0</v>
      </c>
      <c r="U1394" s="8">
        <v>75</v>
      </c>
      <c r="V1394" s="8">
        <f t="shared" si="21"/>
        <v>8</v>
      </c>
    </row>
    <row r="1395" spans="1:22" x14ac:dyDescent="0.3">
      <c r="A1395" t="s">
        <v>481</v>
      </c>
      <c r="B1395">
        <v>3</v>
      </c>
      <c r="C1395" t="s">
        <v>242</v>
      </c>
      <c r="D1395" t="s">
        <v>244</v>
      </c>
      <c r="E1395" t="s">
        <v>159</v>
      </c>
      <c r="F1395" t="s">
        <v>101</v>
      </c>
      <c r="G1395" t="s">
        <v>104</v>
      </c>
      <c r="H1395">
        <v>0</v>
      </c>
      <c r="I1395">
        <v>0</v>
      </c>
      <c r="J1395">
        <v>0</v>
      </c>
      <c r="K1395" t="s">
        <v>104</v>
      </c>
      <c r="L1395">
        <v>0</v>
      </c>
      <c r="M1395">
        <v>4</v>
      </c>
      <c r="N1395">
        <v>0</v>
      </c>
      <c r="O1395">
        <v>33</v>
      </c>
      <c r="P1395">
        <v>2</v>
      </c>
      <c r="Q1395">
        <v>8.1999999999999993</v>
      </c>
      <c r="R1395">
        <v>50</v>
      </c>
      <c r="S1395">
        <v>0</v>
      </c>
      <c r="T1395">
        <v>0</v>
      </c>
      <c r="U1395" s="8">
        <v>50</v>
      </c>
      <c r="V1395" s="8">
        <f t="shared" si="21"/>
        <v>5</v>
      </c>
    </row>
    <row r="1396" spans="1:22" x14ac:dyDescent="0.3">
      <c r="A1396" t="s">
        <v>481</v>
      </c>
      <c r="B1396">
        <v>3</v>
      </c>
      <c r="C1396" t="s">
        <v>491</v>
      </c>
      <c r="D1396" t="s">
        <v>498</v>
      </c>
      <c r="E1396" t="s">
        <v>159</v>
      </c>
      <c r="F1396" t="s">
        <v>169</v>
      </c>
      <c r="G1396" t="s">
        <v>104</v>
      </c>
      <c r="H1396">
        <v>0</v>
      </c>
      <c r="I1396">
        <v>0</v>
      </c>
      <c r="J1396">
        <v>0</v>
      </c>
      <c r="K1396" t="s">
        <v>104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 s="8">
        <v>0</v>
      </c>
      <c r="V1396" s="8">
        <f t="shared" si="21"/>
        <v>0</v>
      </c>
    </row>
    <row r="1397" spans="1:22" x14ac:dyDescent="0.3">
      <c r="A1397" t="s">
        <v>481</v>
      </c>
      <c r="B1397">
        <v>3</v>
      </c>
      <c r="C1397" t="s">
        <v>492</v>
      </c>
      <c r="D1397" t="s">
        <v>499</v>
      </c>
      <c r="E1397" t="s">
        <v>159</v>
      </c>
      <c r="F1397" t="s">
        <v>169</v>
      </c>
      <c r="G1397" t="s">
        <v>104</v>
      </c>
      <c r="H1397">
        <v>0</v>
      </c>
      <c r="I1397">
        <v>0</v>
      </c>
      <c r="J1397">
        <v>0</v>
      </c>
      <c r="K1397" t="s">
        <v>104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 s="8">
        <v>0</v>
      </c>
      <c r="V1397" s="8">
        <f t="shared" si="21"/>
        <v>0</v>
      </c>
    </row>
    <row r="1398" spans="1:22" x14ac:dyDescent="0.3">
      <c r="A1398" t="s">
        <v>481</v>
      </c>
      <c r="B1398">
        <v>3</v>
      </c>
      <c r="C1398" t="s">
        <v>112</v>
      </c>
      <c r="D1398" t="s">
        <v>88</v>
      </c>
      <c r="E1398" t="s">
        <v>266</v>
      </c>
      <c r="F1398" t="s">
        <v>169</v>
      </c>
      <c r="G1398" t="s">
        <v>86</v>
      </c>
      <c r="H1398">
        <v>19</v>
      </c>
      <c r="I1398">
        <v>16</v>
      </c>
      <c r="J1398">
        <v>118.75</v>
      </c>
      <c r="K1398" t="s">
        <v>246</v>
      </c>
      <c r="L1398">
        <v>25</v>
      </c>
      <c r="M1398">
        <v>4</v>
      </c>
      <c r="N1398">
        <v>0</v>
      </c>
      <c r="O1398">
        <v>37</v>
      </c>
      <c r="P1398">
        <v>2</v>
      </c>
      <c r="Q1398">
        <v>9.1999999999999993</v>
      </c>
      <c r="R1398">
        <v>50</v>
      </c>
      <c r="S1398">
        <v>0</v>
      </c>
      <c r="T1398">
        <v>0</v>
      </c>
      <c r="U1398" s="8">
        <v>75</v>
      </c>
      <c r="V1398" s="8">
        <f t="shared" si="21"/>
        <v>8</v>
      </c>
    </row>
    <row r="1399" spans="1:22" x14ac:dyDescent="0.3">
      <c r="A1399" t="s">
        <v>481</v>
      </c>
      <c r="B1399">
        <v>3</v>
      </c>
      <c r="C1399" t="s">
        <v>119</v>
      </c>
      <c r="D1399" t="s">
        <v>95</v>
      </c>
      <c r="E1399" t="s">
        <v>266</v>
      </c>
      <c r="F1399" t="s">
        <v>169</v>
      </c>
      <c r="G1399" t="s">
        <v>92</v>
      </c>
      <c r="H1399">
        <v>9</v>
      </c>
      <c r="I1399">
        <v>10</v>
      </c>
      <c r="J1399">
        <v>90</v>
      </c>
      <c r="K1399" t="s">
        <v>246</v>
      </c>
      <c r="L1399">
        <v>10</v>
      </c>
      <c r="M1399">
        <v>3</v>
      </c>
      <c r="N1399">
        <v>0</v>
      </c>
      <c r="O1399">
        <v>47</v>
      </c>
      <c r="P1399">
        <v>1</v>
      </c>
      <c r="Q1399">
        <v>15.7</v>
      </c>
      <c r="R1399">
        <v>15</v>
      </c>
      <c r="S1399">
        <v>0</v>
      </c>
      <c r="T1399">
        <v>0</v>
      </c>
      <c r="U1399" s="8">
        <v>25</v>
      </c>
      <c r="V1399" s="8">
        <f t="shared" si="21"/>
        <v>3</v>
      </c>
    </row>
    <row r="1400" spans="1:22" x14ac:dyDescent="0.3">
      <c r="A1400" t="s">
        <v>481</v>
      </c>
      <c r="B1400">
        <v>3</v>
      </c>
      <c r="C1400" t="s">
        <v>117</v>
      </c>
      <c r="D1400" t="s">
        <v>90</v>
      </c>
      <c r="E1400" t="s">
        <v>266</v>
      </c>
      <c r="F1400" t="s">
        <v>169</v>
      </c>
      <c r="G1400" t="s">
        <v>92</v>
      </c>
      <c r="H1400">
        <v>69</v>
      </c>
      <c r="I1400">
        <v>35</v>
      </c>
      <c r="J1400">
        <v>197.14</v>
      </c>
      <c r="K1400" t="s">
        <v>246</v>
      </c>
      <c r="L1400">
        <v>85</v>
      </c>
      <c r="M1400">
        <v>2</v>
      </c>
      <c r="N1400">
        <v>0</v>
      </c>
      <c r="O1400">
        <v>16</v>
      </c>
      <c r="P1400">
        <v>0</v>
      </c>
      <c r="Q1400">
        <v>8</v>
      </c>
      <c r="R1400">
        <v>0</v>
      </c>
      <c r="S1400">
        <v>0</v>
      </c>
      <c r="T1400">
        <v>0</v>
      </c>
      <c r="U1400" s="8">
        <v>85</v>
      </c>
      <c r="V1400" s="8">
        <f t="shared" si="21"/>
        <v>9</v>
      </c>
    </row>
    <row r="1401" spans="1:22" x14ac:dyDescent="0.3">
      <c r="A1401" t="s">
        <v>481</v>
      </c>
      <c r="B1401">
        <v>3</v>
      </c>
      <c r="C1401" t="s">
        <v>115</v>
      </c>
      <c r="D1401" t="s">
        <v>17</v>
      </c>
      <c r="E1401" t="s">
        <v>266</v>
      </c>
      <c r="F1401" t="s">
        <v>169</v>
      </c>
      <c r="G1401" t="s">
        <v>134</v>
      </c>
      <c r="H1401">
        <v>20</v>
      </c>
      <c r="I1401">
        <v>18</v>
      </c>
      <c r="J1401">
        <v>111.11</v>
      </c>
      <c r="K1401" t="s">
        <v>246</v>
      </c>
      <c r="L1401">
        <v>20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 s="8">
        <v>20</v>
      </c>
      <c r="V1401" s="8">
        <f t="shared" si="21"/>
        <v>2</v>
      </c>
    </row>
    <row r="1402" spans="1:22" x14ac:dyDescent="0.3">
      <c r="A1402" t="s">
        <v>481</v>
      </c>
      <c r="B1402">
        <v>3</v>
      </c>
      <c r="C1402" t="s">
        <v>121</v>
      </c>
      <c r="D1402" t="s">
        <v>108</v>
      </c>
      <c r="E1402" t="s">
        <v>266</v>
      </c>
      <c r="F1402" t="s">
        <v>169</v>
      </c>
      <c r="G1402" t="s">
        <v>134</v>
      </c>
      <c r="H1402">
        <v>17</v>
      </c>
      <c r="I1402">
        <v>15</v>
      </c>
      <c r="J1402">
        <v>113.33</v>
      </c>
      <c r="K1402" t="s">
        <v>245</v>
      </c>
      <c r="L1402">
        <v>20</v>
      </c>
      <c r="M1402">
        <v>4</v>
      </c>
      <c r="N1402">
        <v>0</v>
      </c>
      <c r="O1402">
        <v>27</v>
      </c>
      <c r="P1402">
        <v>0</v>
      </c>
      <c r="Q1402">
        <v>6.8</v>
      </c>
      <c r="R1402">
        <v>10</v>
      </c>
      <c r="S1402">
        <v>0</v>
      </c>
      <c r="T1402">
        <v>0</v>
      </c>
      <c r="U1402" s="8">
        <v>30</v>
      </c>
      <c r="V1402" s="8">
        <f t="shared" si="21"/>
        <v>3</v>
      </c>
    </row>
    <row r="1403" spans="1:22" x14ac:dyDescent="0.3">
      <c r="A1403" t="s">
        <v>481</v>
      </c>
      <c r="B1403">
        <v>3</v>
      </c>
      <c r="C1403" t="s">
        <v>113</v>
      </c>
      <c r="D1403" t="s">
        <v>84</v>
      </c>
      <c r="E1403" t="s">
        <v>266</v>
      </c>
      <c r="F1403" t="s">
        <v>85</v>
      </c>
      <c r="G1403" t="s">
        <v>134</v>
      </c>
      <c r="H1403">
        <v>4</v>
      </c>
      <c r="I1403">
        <v>4</v>
      </c>
      <c r="J1403">
        <v>100</v>
      </c>
      <c r="K1403" t="s">
        <v>246</v>
      </c>
      <c r="L1403">
        <v>5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 s="8">
        <v>5</v>
      </c>
      <c r="V1403" s="8">
        <f t="shared" si="21"/>
        <v>1</v>
      </c>
    </row>
    <row r="1404" spans="1:22" x14ac:dyDescent="0.3">
      <c r="A1404" t="s">
        <v>481</v>
      </c>
      <c r="B1404">
        <v>3</v>
      </c>
      <c r="C1404" t="s">
        <v>347</v>
      </c>
      <c r="D1404" t="s">
        <v>348</v>
      </c>
      <c r="E1404" t="s">
        <v>266</v>
      </c>
      <c r="F1404" t="s">
        <v>169</v>
      </c>
      <c r="G1404" t="s">
        <v>134</v>
      </c>
      <c r="H1404">
        <v>23</v>
      </c>
      <c r="I1404">
        <v>12</v>
      </c>
      <c r="J1404">
        <v>191.67</v>
      </c>
      <c r="K1404" t="s">
        <v>246</v>
      </c>
      <c r="L1404">
        <v>35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 s="8">
        <v>35</v>
      </c>
      <c r="V1404" s="8">
        <f t="shared" si="21"/>
        <v>4</v>
      </c>
    </row>
    <row r="1405" spans="1:22" x14ac:dyDescent="0.3">
      <c r="A1405" t="s">
        <v>481</v>
      </c>
      <c r="B1405">
        <v>3</v>
      </c>
      <c r="C1405" t="s">
        <v>510</v>
      </c>
      <c r="D1405" t="s">
        <v>538</v>
      </c>
      <c r="E1405" t="s">
        <v>266</v>
      </c>
      <c r="F1405" t="s">
        <v>85</v>
      </c>
      <c r="G1405" t="s">
        <v>134</v>
      </c>
      <c r="H1405">
        <v>6</v>
      </c>
      <c r="I1405">
        <v>4</v>
      </c>
      <c r="J1405">
        <v>150</v>
      </c>
      <c r="K1405" t="s">
        <v>246</v>
      </c>
      <c r="L1405">
        <v>10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 s="8">
        <v>10</v>
      </c>
      <c r="V1405" s="8">
        <f t="shared" si="21"/>
        <v>1</v>
      </c>
    </row>
    <row r="1406" spans="1:22" x14ac:dyDescent="0.3">
      <c r="A1406" t="s">
        <v>481</v>
      </c>
      <c r="B1406">
        <v>3</v>
      </c>
      <c r="C1406" t="s">
        <v>507</v>
      </c>
      <c r="D1406" t="s">
        <v>519</v>
      </c>
      <c r="E1406" t="s">
        <v>266</v>
      </c>
      <c r="F1406" t="s">
        <v>169</v>
      </c>
      <c r="G1406" t="s">
        <v>134</v>
      </c>
      <c r="H1406">
        <v>10</v>
      </c>
      <c r="I1406">
        <v>4</v>
      </c>
      <c r="J1406">
        <v>250</v>
      </c>
      <c r="K1406" t="s">
        <v>246</v>
      </c>
      <c r="L1406">
        <v>20</v>
      </c>
      <c r="M1406">
        <v>1</v>
      </c>
      <c r="N1406">
        <v>0</v>
      </c>
      <c r="O1406">
        <v>6</v>
      </c>
      <c r="P1406">
        <v>0</v>
      </c>
      <c r="Q1406">
        <v>6</v>
      </c>
      <c r="R1406">
        <v>10</v>
      </c>
      <c r="S1406">
        <v>0</v>
      </c>
      <c r="T1406">
        <v>0</v>
      </c>
      <c r="U1406" s="8">
        <v>30</v>
      </c>
      <c r="V1406" s="8">
        <f t="shared" si="21"/>
        <v>3</v>
      </c>
    </row>
    <row r="1407" spans="1:22" x14ac:dyDescent="0.3">
      <c r="A1407" t="s">
        <v>481</v>
      </c>
      <c r="B1407">
        <v>3</v>
      </c>
      <c r="C1407" t="s">
        <v>265</v>
      </c>
      <c r="D1407" t="s">
        <v>264</v>
      </c>
      <c r="E1407" t="s">
        <v>266</v>
      </c>
      <c r="F1407" t="s">
        <v>101</v>
      </c>
      <c r="G1407" t="s">
        <v>134</v>
      </c>
      <c r="H1407">
        <v>4</v>
      </c>
      <c r="I1407">
        <v>1</v>
      </c>
      <c r="J1407">
        <v>400</v>
      </c>
      <c r="K1407" t="s">
        <v>96</v>
      </c>
      <c r="L1407">
        <v>10</v>
      </c>
      <c r="M1407">
        <v>4</v>
      </c>
      <c r="N1407">
        <v>0</v>
      </c>
      <c r="O1407">
        <v>41</v>
      </c>
      <c r="P1407">
        <v>0</v>
      </c>
      <c r="Q1407">
        <v>10.199999999999999</v>
      </c>
      <c r="R1407">
        <v>0</v>
      </c>
      <c r="S1407">
        <v>0</v>
      </c>
      <c r="T1407">
        <v>0</v>
      </c>
      <c r="U1407" s="8">
        <v>10</v>
      </c>
      <c r="V1407" s="8">
        <f t="shared" si="21"/>
        <v>1</v>
      </c>
    </row>
    <row r="1408" spans="1:22" x14ac:dyDescent="0.3">
      <c r="A1408" t="s">
        <v>481</v>
      </c>
      <c r="B1408">
        <v>3</v>
      </c>
      <c r="C1408" t="s">
        <v>511</v>
      </c>
      <c r="D1408" t="s">
        <v>539</v>
      </c>
      <c r="E1408" t="s">
        <v>266</v>
      </c>
      <c r="F1408" t="s">
        <v>101</v>
      </c>
      <c r="G1408" t="s">
        <v>134</v>
      </c>
      <c r="H1408">
        <v>0</v>
      </c>
      <c r="I1408">
        <v>1</v>
      </c>
      <c r="J1408">
        <v>0</v>
      </c>
      <c r="K1408" t="s">
        <v>96</v>
      </c>
      <c r="L1408">
        <v>0</v>
      </c>
      <c r="M1408">
        <v>2</v>
      </c>
      <c r="N1408">
        <v>0</v>
      </c>
      <c r="O1408">
        <v>24</v>
      </c>
      <c r="P1408">
        <v>0</v>
      </c>
      <c r="Q1408">
        <v>12</v>
      </c>
      <c r="R1408">
        <v>0</v>
      </c>
      <c r="S1408">
        <v>0</v>
      </c>
      <c r="T1408">
        <v>0</v>
      </c>
      <c r="U1408" s="8">
        <v>0</v>
      </c>
      <c r="V1408" s="8">
        <f t="shared" si="21"/>
        <v>0</v>
      </c>
    </row>
    <row r="1409" spans="1:22" x14ac:dyDescent="0.3">
      <c r="A1409" t="s">
        <v>482</v>
      </c>
      <c r="B1409">
        <v>3</v>
      </c>
      <c r="C1409" t="s">
        <v>113</v>
      </c>
      <c r="D1409" t="s">
        <v>84</v>
      </c>
      <c r="E1409" t="s">
        <v>266</v>
      </c>
      <c r="F1409" t="s">
        <v>85</v>
      </c>
      <c r="G1409" t="s">
        <v>92</v>
      </c>
      <c r="H1409">
        <v>15</v>
      </c>
      <c r="I1409">
        <v>14</v>
      </c>
      <c r="J1409">
        <v>107.14</v>
      </c>
      <c r="K1409" t="s">
        <v>246</v>
      </c>
      <c r="L1409">
        <v>20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 s="8">
        <v>20</v>
      </c>
      <c r="V1409" s="8">
        <f t="shared" si="21"/>
        <v>2</v>
      </c>
    </row>
    <row r="1410" spans="1:22" x14ac:dyDescent="0.3">
      <c r="A1410" t="s">
        <v>482</v>
      </c>
      <c r="B1410">
        <v>3</v>
      </c>
      <c r="C1410" t="s">
        <v>112</v>
      </c>
      <c r="D1410" t="s">
        <v>88</v>
      </c>
      <c r="E1410" t="s">
        <v>266</v>
      </c>
      <c r="F1410" t="s">
        <v>169</v>
      </c>
      <c r="G1410" t="s">
        <v>86</v>
      </c>
      <c r="H1410">
        <v>77</v>
      </c>
      <c r="I1410">
        <v>50</v>
      </c>
      <c r="J1410">
        <v>154</v>
      </c>
      <c r="K1410" t="s">
        <v>246</v>
      </c>
      <c r="L1410">
        <v>95</v>
      </c>
      <c r="M1410">
        <v>3.2</v>
      </c>
      <c r="N1410">
        <v>0</v>
      </c>
      <c r="O1410">
        <v>31</v>
      </c>
      <c r="P1410">
        <v>3</v>
      </c>
      <c r="Q1410">
        <v>9.3000000000000007</v>
      </c>
      <c r="R1410">
        <v>75</v>
      </c>
      <c r="S1410">
        <v>0</v>
      </c>
      <c r="T1410">
        <v>0</v>
      </c>
      <c r="U1410" s="8">
        <v>170</v>
      </c>
      <c r="V1410" s="8">
        <f t="shared" si="21"/>
        <v>10</v>
      </c>
    </row>
    <row r="1411" spans="1:22" x14ac:dyDescent="0.3">
      <c r="A1411" t="s">
        <v>482</v>
      </c>
      <c r="B1411">
        <v>3</v>
      </c>
      <c r="C1411" t="s">
        <v>117</v>
      </c>
      <c r="D1411" t="s">
        <v>90</v>
      </c>
      <c r="E1411" t="s">
        <v>266</v>
      </c>
      <c r="F1411" t="s">
        <v>169</v>
      </c>
      <c r="G1411" t="s">
        <v>92</v>
      </c>
      <c r="H1411">
        <v>77</v>
      </c>
      <c r="I1411">
        <v>41</v>
      </c>
      <c r="J1411">
        <v>187.8</v>
      </c>
      <c r="K1411" t="s">
        <v>246</v>
      </c>
      <c r="L1411">
        <v>100</v>
      </c>
      <c r="M1411">
        <v>4</v>
      </c>
      <c r="N1411">
        <v>0</v>
      </c>
      <c r="O1411">
        <v>31</v>
      </c>
      <c r="P1411">
        <v>1</v>
      </c>
      <c r="Q1411">
        <v>7.8</v>
      </c>
      <c r="R1411">
        <v>35</v>
      </c>
      <c r="S1411">
        <v>0</v>
      </c>
      <c r="T1411">
        <v>0</v>
      </c>
      <c r="U1411" s="8">
        <v>135</v>
      </c>
      <c r="V1411" s="8">
        <f t="shared" ref="V1411:V1474" si="22">MIN(10, MAX(0, ROUND(U1411/10,0)))</f>
        <v>10</v>
      </c>
    </row>
    <row r="1412" spans="1:22" x14ac:dyDescent="0.3">
      <c r="A1412" t="s">
        <v>482</v>
      </c>
      <c r="B1412">
        <v>3</v>
      </c>
      <c r="C1412" t="s">
        <v>115</v>
      </c>
      <c r="D1412" t="s">
        <v>17</v>
      </c>
      <c r="E1412" t="s">
        <v>266</v>
      </c>
      <c r="F1412" t="s">
        <v>169</v>
      </c>
      <c r="G1412" t="s">
        <v>134</v>
      </c>
      <c r="H1412">
        <v>36</v>
      </c>
      <c r="I1412">
        <v>12</v>
      </c>
      <c r="J1412">
        <v>300</v>
      </c>
      <c r="K1412" t="s">
        <v>256</v>
      </c>
      <c r="L1412">
        <v>55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 s="8">
        <v>55</v>
      </c>
      <c r="V1412" s="8">
        <f t="shared" si="22"/>
        <v>6</v>
      </c>
    </row>
    <row r="1413" spans="1:22" x14ac:dyDescent="0.3">
      <c r="A1413" t="s">
        <v>482</v>
      </c>
      <c r="B1413">
        <v>3</v>
      </c>
      <c r="C1413" t="s">
        <v>347</v>
      </c>
      <c r="D1413" t="s">
        <v>348</v>
      </c>
      <c r="E1413" t="s">
        <v>266</v>
      </c>
      <c r="F1413" t="s">
        <v>169</v>
      </c>
      <c r="G1413" t="s">
        <v>134</v>
      </c>
      <c r="H1413">
        <v>1</v>
      </c>
      <c r="I1413">
        <v>3</v>
      </c>
      <c r="J1413">
        <v>33.33</v>
      </c>
      <c r="K1413" t="s">
        <v>96</v>
      </c>
      <c r="L1413">
        <v>6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 s="8">
        <v>6</v>
      </c>
      <c r="V1413" s="8">
        <f t="shared" si="22"/>
        <v>1</v>
      </c>
    </row>
    <row r="1414" spans="1:22" x14ac:dyDescent="0.3">
      <c r="A1414" t="s">
        <v>482</v>
      </c>
      <c r="B1414">
        <v>3</v>
      </c>
      <c r="C1414" t="s">
        <v>119</v>
      </c>
      <c r="D1414" t="s">
        <v>95</v>
      </c>
      <c r="E1414" t="s">
        <v>266</v>
      </c>
      <c r="F1414" t="s">
        <v>169</v>
      </c>
      <c r="G1414" t="s">
        <v>104</v>
      </c>
      <c r="H1414">
        <v>0</v>
      </c>
      <c r="I1414">
        <v>0</v>
      </c>
      <c r="J1414">
        <v>0</v>
      </c>
      <c r="K1414" t="s">
        <v>104</v>
      </c>
      <c r="L1414">
        <v>0</v>
      </c>
      <c r="M1414">
        <v>4</v>
      </c>
      <c r="N1414">
        <v>0</v>
      </c>
      <c r="O1414">
        <v>28</v>
      </c>
      <c r="P1414">
        <v>2</v>
      </c>
      <c r="Q1414">
        <v>7</v>
      </c>
      <c r="R1414">
        <v>50</v>
      </c>
      <c r="S1414">
        <v>0</v>
      </c>
      <c r="T1414">
        <v>0</v>
      </c>
      <c r="U1414" s="8">
        <v>50</v>
      </c>
      <c r="V1414" s="8">
        <f t="shared" si="22"/>
        <v>5</v>
      </c>
    </row>
    <row r="1415" spans="1:22" x14ac:dyDescent="0.3">
      <c r="A1415" t="s">
        <v>482</v>
      </c>
      <c r="B1415">
        <v>3</v>
      </c>
      <c r="C1415" t="s">
        <v>121</v>
      </c>
      <c r="D1415" t="s">
        <v>108</v>
      </c>
      <c r="E1415" t="s">
        <v>266</v>
      </c>
      <c r="F1415" t="s">
        <v>169</v>
      </c>
      <c r="G1415" t="s">
        <v>104</v>
      </c>
      <c r="H1415">
        <v>0</v>
      </c>
      <c r="I1415">
        <v>0</v>
      </c>
      <c r="J1415">
        <v>0</v>
      </c>
      <c r="K1415" t="s">
        <v>104</v>
      </c>
      <c r="L1415">
        <v>0</v>
      </c>
      <c r="M1415">
        <v>3</v>
      </c>
      <c r="N1415">
        <v>0</v>
      </c>
      <c r="O1415">
        <v>32</v>
      </c>
      <c r="P1415">
        <v>0</v>
      </c>
      <c r="Q1415">
        <v>10.7</v>
      </c>
      <c r="R1415">
        <v>-5</v>
      </c>
      <c r="S1415">
        <v>0</v>
      </c>
      <c r="T1415">
        <v>0</v>
      </c>
      <c r="U1415" s="8">
        <v>-5</v>
      </c>
      <c r="V1415" s="8">
        <f t="shared" si="22"/>
        <v>0</v>
      </c>
    </row>
    <row r="1416" spans="1:22" x14ac:dyDescent="0.3">
      <c r="A1416" t="s">
        <v>482</v>
      </c>
      <c r="B1416">
        <v>3</v>
      </c>
      <c r="C1416" t="s">
        <v>510</v>
      </c>
      <c r="D1416" t="s">
        <v>538</v>
      </c>
      <c r="E1416" t="s">
        <v>266</v>
      </c>
      <c r="F1416" t="s">
        <v>85</v>
      </c>
      <c r="G1416" t="s">
        <v>104</v>
      </c>
      <c r="H1416">
        <v>0</v>
      </c>
      <c r="I1416">
        <v>0</v>
      </c>
      <c r="J1416">
        <v>0</v>
      </c>
      <c r="K1416" t="s">
        <v>104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 s="8">
        <v>0</v>
      </c>
      <c r="V1416" s="8">
        <f t="shared" si="22"/>
        <v>0</v>
      </c>
    </row>
    <row r="1417" spans="1:22" x14ac:dyDescent="0.3">
      <c r="A1417" t="s">
        <v>482</v>
      </c>
      <c r="B1417">
        <v>3</v>
      </c>
      <c r="C1417" t="s">
        <v>507</v>
      </c>
      <c r="D1417" t="s">
        <v>519</v>
      </c>
      <c r="E1417" t="s">
        <v>266</v>
      </c>
      <c r="F1417" t="s">
        <v>169</v>
      </c>
      <c r="G1417" t="s">
        <v>104</v>
      </c>
      <c r="H1417">
        <v>0</v>
      </c>
      <c r="I1417">
        <v>0</v>
      </c>
      <c r="J1417">
        <v>0</v>
      </c>
      <c r="K1417" t="s">
        <v>104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 s="8">
        <v>0</v>
      </c>
      <c r="V1417" s="8">
        <f t="shared" si="22"/>
        <v>0</v>
      </c>
    </row>
    <row r="1418" spans="1:22" x14ac:dyDescent="0.3">
      <c r="A1418" t="s">
        <v>482</v>
      </c>
      <c r="B1418">
        <v>3</v>
      </c>
      <c r="C1418" t="s">
        <v>265</v>
      </c>
      <c r="D1418" t="s">
        <v>264</v>
      </c>
      <c r="E1418" t="s">
        <v>266</v>
      </c>
      <c r="F1418" t="s">
        <v>101</v>
      </c>
      <c r="G1418" t="s">
        <v>104</v>
      </c>
      <c r="H1418">
        <v>0</v>
      </c>
      <c r="I1418">
        <v>0</v>
      </c>
      <c r="J1418">
        <v>0</v>
      </c>
      <c r="K1418" t="s">
        <v>104</v>
      </c>
      <c r="L1418">
        <v>0</v>
      </c>
      <c r="M1418">
        <v>4</v>
      </c>
      <c r="N1418">
        <v>0</v>
      </c>
      <c r="O1418">
        <v>35</v>
      </c>
      <c r="P1418">
        <v>1</v>
      </c>
      <c r="Q1418">
        <v>8.8000000000000007</v>
      </c>
      <c r="R1418">
        <v>25</v>
      </c>
      <c r="S1418">
        <v>0</v>
      </c>
      <c r="T1418">
        <v>0</v>
      </c>
      <c r="U1418" s="8">
        <v>25</v>
      </c>
      <c r="V1418" s="8">
        <f t="shared" si="22"/>
        <v>3</v>
      </c>
    </row>
    <row r="1419" spans="1:22" x14ac:dyDescent="0.3">
      <c r="A1419" t="s">
        <v>482</v>
      </c>
      <c r="B1419">
        <v>3</v>
      </c>
      <c r="C1419" t="s">
        <v>131</v>
      </c>
      <c r="D1419" t="s">
        <v>106</v>
      </c>
      <c r="E1419" t="s">
        <v>266</v>
      </c>
      <c r="F1419" t="s">
        <v>101</v>
      </c>
      <c r="G1419" t="s">
        <v>104</v>
      </c>
      <c r="H1419">
        <v>0</v>
      </c>
      <c r="I1419">
        <v>0</v>
      </c>
      <c r="J1419">
        <v>0</v>
      </c>
      <c r="K1419" t="s">
        <v>104</v>
      </c>
      <c r="L1419">
        <v>0</v>
      </c>
      <c r="M1419">
        <v>1</v>
      </c>
      <c r="N1419">
        <v>0</v>
      </c>
      <c r="O1419">
        <v>8</v>
      </c>
      <c r="P1419">
        <v>0</v>
      </c>
      <c r="Q1419">
        <v>8</v>
      </c>
      <c r="R1419">
        <v>0</v>
      </c>
      <c r="S1419">
        <v>0</v>
      </c>
      <c r="T1419">
        <v>0</v>
      </c>
      <c r="U1419" s="8">
        <v>0</v>
      </c>
      <c r="V1419" s="8">
        <f t="shared" si="22"/>
        <v>0</v>
      </c>
    </row>
    <row r="1420" spans="1:22" x14ac:dyDescent="0.3">
      <c r="A1420" t="s">
        <v>482</v>
      </c>
      <c r="B1420">
        <v>3</v>
      </c>
      <c r="C1420" t="s">
        <v>81</v>
      </c>
      <c r="D1420" t="s">
        <v>114</v>
      </c>
      <c r="E1420" t="s">
        <v>258</v>
      </c>
      <c r="F1420" t="s">
        <v>85</v>
      </c>
      <c r="G1420" t="s">
        <v>86</v>
      </c>
      <c r="H1420">
        <v>6</v>
      </c>
      <c r="I1420">
        <v>5</v>
      </c>
      <c r="J1420">
        <v>120</v>
      </c>
      <c r="K1420" t="s">
        <v>246</v>
      </c>
      <c r="L1420">
        <v>10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 s="8">
        <v>10</v>
      </c>
      <c r="V1420" s="8">
        <f t="shared" si="22"/>
        <v>1</v>
      </c>
    </row>
    <row r="1421" spans="1:22" x14ac:dyDescent="0.3">
      <c r="A1421" t="s">
        <v>482</v>
      </c>
      <c r="B1421">
        <v>3</v>
      </c>
      <c r="C1421" t="s">
        <v>591</v>
      </c>
      <c r="D1421" t="s">
        <v>598</v>
      </c>
      <c r="E1421" t="s">
        <v>258</v>
      </c>
      <c r="F1421" t="s">
        <v>169</v>
      </c>
      <c r="G1421" t="s">
        <v>92</v>
      </c>
      <c r="H1421">
        <v>34</v>
      </c>
      <c r="I1421">
        <v>24</v>
      </c>
      <c r="J1421">
        <v>141.66999999999999</v>
      </c>
      <c r="K1421" t="s">
        <v>256</v>
      </c>
      <c r="L1421">
        <v>45</v>
      </c>
      <c r="M1421">
        <v>4</v>
      </c>
      <c r="N1421">
        <v>0</v>
      </c>
      <c r="O1421">
        <v>40</v>
      </c>
      <c r="P1421">
        <v>2</v>
      </c>
      <c r="Q1421">
        <v>10</v>
      </c>
      <c r="R1421">
        <v>50</v>
      </c>
      <c r="S1421">
        <v>0</v>
      </c>
      <c r="T1421">
        <v>0</v>
      </c>
      <c r="U1421" s="8">
        <v>95</v>
      </c>
      <c r="V1421" s="8">
        <f t="shared" si="22"/>
        <v>10</v>
      </c>
    </row>
    <row r="1422" spans="1:22" x14ac:dyDescent="0.3">
      <c r="A1422" t="s">
        <v>482</v>
      </c>
      <c r="B1422">
        <v>3</v>
      </c>
      <c r="C1422" t="s">
        <v>89</v>
      </c>
      <c r="D1422" t="s">
        <v>116</v>
      </c>
      <c r="E1422" t="s">
        <v>258</v>
      </c>
      <c r="F1422" t="s">
        <v>169</v>
      </c>
      <c r="G1422" t="s">
        <v>92</v>
      </c>
      <c r="H1422">
        <v>8</v>
      </c>
      <c r="I1422">
        <v>9</v>
      </c>
      <c r="J1422">
        <v>88.89</v>
      </c>
      <c r="K1422" t="s">
        <v>256</v>
      </c>
      <c r="L1422">
        <v>10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 s="8">
        <v>10</v>
      </c>
      <c r="V1422" s="8">
        <f t="shared" si="22"/>
        <v>1</v>
      </c>
    </row>
    <row r="1423" spans="1:22" x14ac:dyDescent="0.3">
      <c r="A1423" t="s">
        <v>482</v>
      </c>
      <c r="B1423">
        <v>3</v>
      </c>
      <c r="C1423" t="s">
        <v>93</v>
      </c>
      <c r="D1423" t="s">
        <v>118</v>
      </c>
      <c r="E1423" t="s">
        <v>258</v>
      </c>
      <c r="F1423" t="s">
        <v>169</v>
      </c>
      <c r="G1423" t="s">
        <v>92</v>
      </c>
      <c r="H1423">
        <v>8</v>
      </c>
      <c r="I1423">
        <v>4</v>
      </c>
      <c r="J1423">
        <v>200</v>
      </c>
      <c r="K1423" t="s">
        <v>245</v>
      </c>
      <c r="L1423">
        <v>20</v>
      </c>
      <c r="M1423">
        <v>2</v>
      </c>
      <c r="N1423">
        <v>0</v>
      </c>
      <c r="O1423">
        <v>15</v>
      </c>
      <c r="P1423">
        <v>0</v>
      </c>
      <c r="Q1423">
        <v>7.5</v>
      </c>
      <c r="R1423">
        <v>10</v>
      </c>
      <c r="S1423">
        <v>0</v>
      </c>
      <c r="T1423">
        <v>0</v>
      </c>
      <c r="U1423" s="8">
        <v>30</v>
      </c>
      <c r="V1423" s="8">
        <f t="shared" si="22"/>
        <v>3</v>
      </c>
    </row>
    <row r="1424" spans="1:22" x14ac:dyDescent="0.3">
      <c r="A1424" t="s">
        <v>482</v>
      </c>
      <c r="B1424">
        <v>3</v>
      </c>
      <c r="C1424" t="s">
        <v>383</v>
      </c>
      <c r="D1424" t="s">
        <v>384</v>
      </c>
      <c r="E1424" t="s">
        <v>258</v>
      </c>
      <c r="F1424" t="s">
        <v>109</v>
      </c>
      <c r="G1424" t="s">
        <v>134</v>
      </c>
      <c r="H1424">
        <v>31</v>
      </c>
      <c r="I1424">
        <v>20</v>
      </c>
      <c r="J1424">
        <v>155</v>
      </c>
      <c r="K1424" t="s">
        <v>248</v>
      </c>
      <c r="L1424">
        <v>45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 s="8">
        <v>45</v>
      </c>
      <c r="V1424" s="8">
        <f t="shared" si="22"/>
        <v>5</v>
      </c>
    </row>
    <row r="1425" spans="1:22" x14ac:dyDescent="0.3">
      <c r="A1425" t="s">
        <v>482</v>
      </c>
      <c r="B1425">
        <v>3</v>
      </c>
      <c r="C1425" t="s">
        <v>447</v>
      </c>
      <c r="D1425" t="s">
        <v>448</v>
      </c>
      <c r="E1425" t="s">
        <v>258</v>
      </c>
      <c r="F1425" t="s">
        <v>109</v>
      </c>
      <c r="G1425" t="s">
        <v>134</v>
      </c>
      <c r="H1425">
        <v>30</v>
      </c>
      <c r="I1425">
        <v>20</v>
      </c>
      <c r="J1425">
        <v>150</v>
      </c>
      <c r="K1425" t="s">
        <v>245</v>
      </c>
      <c r="L1425">
        <v>40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 s="8">
        <v>40</v>
      </c>
      <c r="V1425" s="8">
        <f t="shared" si="22"/>
        <v>4</v>
      </c>
    </row>
    <row r="1426" spans="1:22" x14ac:dyDescent="0.3">
      <c r="A1426" t="s">
        <v>482</v>
      </c>
      <c r="B1426">
        <v>3</v>
      </c>
      <c r="C1426" t="s">
        <v>493</v>
      </c>
      <c r="D1426" t="s">
        <v>500</v>
      </c>
      <c r="E1426" t="s">
        <v>258</v>
      </c>
      <c r="F1426" t="s">
        <v>169</v>
      </c>
      <c r="G1426" t="s">
        <v>134</v>
      </c>
      <c r="H1426">
        <v>4</v>
      </c>
      <c r="I1426">
        <v>6</v>
      </c>
      <c r="J1426">
        <v>66.67</v>
      </c>
      <c r="K1426" t="s">
        <v>256</v>
      </c>
      <c r="L1426">
        <v>-5</v>
      </c>
      <c r="M1426">
        <v>4</v>
      </c>
      <c r="N1426">
        <v>0</v>
      </c>
      <c r="O1426">
        <v>30</v>
      </c>
      <c r="P1426">
        <v>1</v>
      </c>
      <c r="Q1426">
        <v>7.5</v>
      </c>
      <c r="R1426">
        <v>35</v>
      </c>
      <c r="S1426">
        <v>0</v>
      </c>
      <c r="T1426">
        <v>0</v>
      </c>
      <c r="U1426" s="8">
        <v>30</v>
      </c>
      <c r="V1426" s="8">
        <f t="shared" si="22"/>
        <v>3</v>
      </c>
    </row>
    <row r="1427" spans="1:22" x14ac:dyDescent="0.3">
      <c r="A1427" t="s">
        <v>482</v>
      </c>
      <c r="B1427">
        <v>3</v>
      </c>
      <c r="C1427" t="s">
        <v>227</v>
      </c>
      <c r="D1427" t="s">
        <v>228</v>
      </c>
      <c r="E1427" t="s">
        <v>258</v>
      </c>
      <c r="F1427" t="s">
        <v>109</v>
      </c>
      <c r="G1427" t="s">
        <v>134</v>
      </c>
      <c r="H1427">
        <v>17</v>
      </c>
      <c r="I1427">
        <v>8</v>
      </c>
      <c r="J1427">
        <v>212.5</v>
      </c>
      <c r="K1427" t="s">
        <v>246</v>
      </c>
      <c r="L1427">
        <v>30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 s="8">
        <v>30</v>
      </c>
      <c r="V1427" s="8">
        <f t="shared" si="22"/>
        <v>3</v>
      </c>
    </row>
    <row r="1428" spans="1:22" x14ac:dyDescent="0.3">
      <c r="A1428" t="s">
        <v>482</v>
      </c>
      <c r="B1428">
        <v>3</v>
      </c>
      <c r="C1428" t="s">
        <v>105</v>
      </c>
      <c r="D1428" t="s">
        <v>128</v>
      </c>
      <c r="E1428" t="s">
        <v>258</v>
      </c>
      <c r="F1428" t="s">
        <v>101</v>
      </c>
      <c r="G1428" t="s">
        <v>134</v>
      </c>
      <c r="H1428">
        <v>16</v>
      </c>
      <c r="I1428">
        <v>12</v>
      </c>
      <c r="J1428">
        <v>133.33000000000001</v>
      </c>
      <c r="K1428" t="s">
        <v>246</v>
      </c>
      <c r="L1428">
        <v>25</v>
      </c>
      <c r="M1428">
        <v>4</v>
      </c>
      <c r="N1428">
        <v>0</v>
      </c>
      <c r="O1428">
        <v>49</v>
      </c>
      <c r="P1428">
        <v>0</v>
      </c>
      <c r="Q1428">
        <v>12.2</v>
      </c>
      <c r="R1428">
        <v>-10</v>
      </c>
      <c r="S1428">
        <v>0</v>
      </c>
      <c r="T1428">
        <v>0</v>
      </c>
      <c r="U1428" s="8">
        <v>15</v>
      </c>
      <c r="V1428" s="8">
        <f t="shared" si="22"/>
        <v>2</v>
      </c>
    </row>
    <row r="1429" spans="1:22" x14ac:dyDescent="0.3">
      <c r="A1429" t="s">
        <v>482</v>
      </c>
      <c r="B1429">
        <v>3</v>
      </c>
      <c r="C1429" t="s">
        <v>389</v>
      </c>
      <c r="D1429" t="s">
        <v>390</v>
      </c>
      <c r="E1429" t="s">
        <v>258</v>
      </c>
      <c r="F1429" t="s">
        <v>169</v>
      </c>
      <c r="G1429" t="s">
        <v>134</v>
      </c>
      <c r="H1429">
        <v>5</v>
      </c>
      <c r="I1429">
        <v>5</v>
      </c>
      <c r="J1429">
        <v>100</v>
      </c>
      <c r="K1429" t="s">
        <v>246</v>
      </c>
      <c r="L1429">
        <v>5</v>
      </c>
      <c r="M1429">
        <v>3</v>
      </c>
      <c r="N1429">
        <v>0</v>
      </c>
      <c r="O1429">
        <v>35</v>
      </c>
      <c r="P1429">
        <v>0</v>
      </c>
      <c r="Q1429">
        <v>11.7</v>
      </c>
      <c r="R1429">
        <v>-10</v>
      </c>
      <c r="S1429">
        <v>0</v>
      </c>
      <c r="T1429">
        <v>0</v>
      </c>
      <c r="U1429" s="8">
        <v>-5</v>
      </c>
      <c r="V1429" s="8">
        <f t="shared" si="22"/>
        <v>0</v>
      </c>
    </row>
    <row r="1430" spans="1:22" x14ac:dyDescent="0.3">
      <c r="A1430" t="s">
        <v>482</v>
      </c>
      <c r="B1430">
        <v>3</v>
      </c>
      <c r="C1430" t="s">
        <v>494</v>
      </c>
      <c r="D1430" t="s">
        <v>501</v>
      </c>
      <c r="E1430" t="s">
        <v>258</v>
      </c>
      <c r="F1430" t="s">
        <v>101</v>
      </c>
      <c r="G1430" t="s">
        <v>134</v>
      </c>
      <c r="H1430">
        <v>0</v>
      </c>
      <c r="I1430">
        <v>3</v>
      </c>
      <c r="J1430">
        <v>0</v>
      </c>
      <c r="K1430" t="s">
        <v>96</v>
      </c>
      <c r="L1430">
        <v>0</v>
      </c>
      <c r="M1430">
        <v>3</v>
      </c>
      <c r="N1430">
        <v>0</v>
      </c>
      <c r="O1430">
        <v>40</v>
      </c>
      <c r="P1430">
        <v>0</v>
      </c>
      <c r="Q1430">
        <v>13.3</v>
      </c>
      <c r="R1430">
        <v>-10</v>
      </c>
      <c r="S1430">
        <v>0</v>
      </c>
      <c r="T1430">
        <v>0</v>
      </c>
      <c r="U1430" s="8">
        <v>-10</v>
      </c>
      <c r="V1430" s="8">
        <f t="shared" si="22"/>
        <v>0</v>
      </c>
    </row>
    <row r="1431" spans="1:22" x14ac:dyDescent="0.3">
      <c r="A1431" t="s">
        <v>483</v>
      </c>
      <c r="B1431">
        <v>3</v>
      </c>
      <c r="C1431" t="s">
        <v>113</v>
      </c>
      <c r="D1431" t="s">
        <v>84</v>
      </c>
      <c r="E1431" t="s">
        <v>266</v>
      </c>
      <c r="F1431" t="s">
        <v>85</v>
      </c>
      <c r="G1431" t="s">
        <v>86</v>
      </c>
      <c r="H1431">
        <v>8</v>
      </c>
      <c r="I1431">
        <v>14</v>
      </c>
      <c r="J1431">
        <v>57.14</v>
      </c>
      <c r="K1431" t="s">
        <v>246</v>
      </c>
      <c r="L1431">
        <v>5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 s="8">
        <v>5</v>
      </c>
      <c r="V1431" s="8">
        <f t="shared" si="22"/>
        <v>1</v>
      </c>
    </row>
    <row r="1432" spans="1:22" x14ac:dyDescent="0.3">
      <c r="A1432" t="s">
        <v>483</v>
      </c>
      <c r="B1432">
        <v>3</v>
      </c>
      <c r="C1432" t="s">
        <v>112</v>
      </c>
      <c r="D1432" t="s">
        <v>88</v>
      </c>
      <c r="E1432" t="s">
        <v>266</v>
      </c>
      <c r="F1432" t="s">
        <v>169</v>
      </c>
      <c r="G1432" t="s">
        <v>86</v>
      </c>
      <c r="H1432">
        <v>3</v>
      </c>
      <c r="I1432">
        <v>10</v>
      </c>
      <c r="J1432">
        <v>30</v>
      </c>
      <c r="K1432" t="s">
        <v>245</v>
      </c>
      <c r="L1432">
        <v>-2</v>
      </c>
      <c r="M1432">
        <v>4</v>
      </c>
      <c r="N1432">
        <v>0</v>
      </c>
      <c r="O1432">
        <v>37</v>
      </c>
      <c r="P1432">
        <v>1</v>
      </c>
      <c r="Q1432">
        <v>9.1999999999999993</v>
      </c>
      <c r="R1432">
        <v>25</v>
      </c>
      <c r="S1432">
        <v>0</v>
      </c>
      <c r="T1432">
        <v>0</v>
      </c>
      <c r="U1432" s="8">
        <v>23</v>
      </c>
      <c r="V1432" s="8">
        <f t="shared" si="22"/>
        <v>2</v>
      </c>
    </row>
    <row r="1433" spans="1:22" x14ac:dyDescent="0.3">
      <c r="A1433" t="s">
        <v>483</v>
      </c>
      <c r="B1433">
        <v>3</v>
      </c>
      <c r="C1433" t="s">
        <v>117</v>
      </c>
      <c r="D1433" t="s">
        <v>90</v>
      </c>
      <c r="E1433" t="s">
        <v>266</v>
      </c>
      <c r="F1433" t="s">
        <v>169</v>
      </c>
      <c r="G1433" t="s">
        <v>92</v>
      </c>
      <c r="H1433">
        <v>30</v>
      </c>
      <c r="I1433">
        <v>28</v>
      </c>
      <c r="J1433">
        <v>107.14</v>
      </c>
      <c r="K1433" t="s">
        <v>246</v>
      </c>
      <c r="L1433">
        <v>30</v>
      </c>
      <c r="M1433">
        <v>4</v>
      </c>
      <c r="N1433">
        <v>0</v>
      </c>
      <c r="O1433">
        <v>30</v>
      </c>
      <c r="P1433">
        <v>3</v>
      </c>
      <c r="Q1433">
        <v>7.5</v>
      </c>
      <c r="R1433">
        <v>75</v>
      </c>
      <c r="S1433">
        <v>0</v>
      </c>
      <c r="T1433">
        <v>0</v>
      </c>
      <c r="U1433" s="8">
        <v>105</v>
      </c>
      <c r="V1433" s="8">
        <f t="shared" si="22"/>
        <v>10</v>
      </c>
    </row>
    <row r="1434" spans="1:22" x14ac:dyDescent="0.3">
      <c r="A1434" t="s">
        <v>483</v>
      </c>
      <c r="B1434">
        <v>3</v>
      </c>
      <c r="C1434" t="s">
        <v>115</v>
      </c>
      <c r="D1434" t="s">
        <v>17</v>
      </c>
      <c r="E1434" t="s">
        <v>266</v>
      </c>
      <c r="F1434" t="s">
        <v>169</v>
      </c>
      <c r="G1434" t="s">
        <v>134</v>
      </c>
      <c r="H1434">
        <v>66</v>
      </c>
      <c r="I1434">
        <v>44</v>
      </c>
      <c r="J1434">
        <v>150</v>
      </c>
      <c r="K1434" t="s">
        <v>246</v>
      </c>
      <c r="L1434">
        <v>85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 s="8">
        <v>85</v>
      </c>
      <c r="V1434" s="8">
        <f t="shared" si="22"/>
        <v>9</v>
      </c>
    </row>
    <row r="1435" spans="1:22" x14ac:dyDescent="0.3">
      <c r="A1435" t="s">
        <v>483</v>
      </c>
      <c r="B1435">
        <v>3</v>
      </c>
      <c r="C1435" t="s">
        <v>119</v>
      </c>
      <c r="D1435" t="s">
        <v>95</v>
      </c>
      <c r="E1435" t="s">
        <v>266</v>
      </c>
      <c r="F1435" t="s">
        <v>169</v>
      </c>
      <c r="G1435" t="s">
        <v>134</v>
      </c>
      <c r="H1435">
        <v>2</v>
      </c>
      <c r="I1435">
        <v>3</v>
      </c>
      <c r="J1435">
        <v>66.67</v>
      </c>
      <c r="K1435" t="s">
        <v>246</v>
      </c>
      <c r="L1435">
        <v>2</v>
      </c>
      <c r="M1435">
        <v>4</v>
      </c>
      <c r="N1435">
        <v>0</v>
      </c>
      <c r="O1435">
        <v>25</v>
      </c>
      <c r="P1435">
        <v>2</v>
      </c>
      <c r="Q1435">
        <v>6.2</v>
      </c>
      <c r="R1435">
        <v>60</v>
      </c>
      <c r="S1435">
        <v>0</v>
      </c>
      <c r="T1435">
        <v>0</v>
      </c>
      <c r="U1435" s="8">
        <v>62</v>
      </c>
      <c r="V1435" s="8">
        <f t="shared" si="22"/>
        <v>6</v>
      </c>
    </row>
    <row r="1436" spans="1:22" x14ac:dyDescent="0.3">
      <c r="A1436" t="s">
        <v>483</v>
      </c>
      <c r="B1436">
        <v>3</v>
      </c>
      <c r="C1436" t="s">
        <v>347</v>
      </c>
      <c r="D1436" t="s">
        <v>348</v>
      </c>
      <c r="E1436" t="s">
        <v>266</v>
      </c>
      <c r="F1436" t="s">
        <v>169</v>
      </c>
      <c r="G1436" t="s">
        <v>134</v>
      </c>
      <c r="H1436">
        <v>0</v>
      </c>
      <c r="I1436">
        <v>2</v>
      </c>
      <c r="J1436">
        <v>0</v>
      </c>
      <c r="K1436" t="s">
        <v>247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 s="8">
        <v>0</v>
      </c>
      <c r="V1436" s="8">
        <f t="shared" si="22"/>
        <v>0</v>
      </c>
    </row>
    <row r="1437" spans="1:22" x14ac:dyDescent="0.3">
      <c r="A1437" t="s">
        <v>483</v>
      </c>
      <c r="B1437">
        <v>3</v>
      </c>
      <c r="C1437" t="s">
        <v>510</v>
      </c>
      <c r="D1437" t="s">
        <v>538</v>
      </c>
      <c r="E1437" t="s">
        <v>266</v>
      </c>
      <c r="F1437" t="s">
        <v>85</v>
      </c>
      <c r="G1437" t="s">
        <v>134</v>
      </c>
      <c r="H1437">
        <v>10</v>
      </c>
      <c r="I1437">
        <v>7</v>
      </c>
      <c r="J1437">
        <v>142.86000000000001</v>
      </c>
      <c r="K1437" t="s">
        <v>248</v>
      </c>
      <c r="L1437">
        <v>15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 s="8">
        <v>15</v>
      </c>
      <c r="V1437" s="8">
        <f t="shared" si="22"/>
        <v>2</v>
      </c>
    </row>
    <row r="1438" spans="1:22" x14ac:dyDescent="0.3">
      <c r="A1438" t="s">
        <v>483</v>
      </c>
      <c r="B1438">
        <v>3</v>
      </c>
      <c r="C1438" t="s">
        <v>121</v>
      </c>
      <c r="D1438" t="s">
        <v>108</v>
      </c>
      <c r="E1438" t="s">
        <v>266</v>
      </c>
      <c r="F1438" t="s">
        <v>169</v>
      </c>
      <c r="G1438" t="s">
        <v>134</v>
      </c>
      <c r="H1438">
        <v>14</v>
      </c>
      <c r="I1438">
        <v>7</v>
      </c>
      <c r="J1438">
        <v>200</v>
      </c>
      <c r="K1438" t="s">
        <v>96</v>
      </c>
      <c r="L1438">
        <v>25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 s="8">
        <v>25</v>
      </c>
      <c r="V1438" s="8">
        <f t="shared" si="22"/>
        <v>3</v>
      </c>
    </row>
    <row r="1439" spans="1:22" x14ac:dyDescent="0.3">
      <c r="A1439" t="s">
        <v>483</v>
      </c>
      <c r="B1439">
        <v>3</v>
      </c>
      <c r="C1439" t="s">
        <v>507</v>
      </c>
      <c r="D1439" t="s">
        <v>519</v>
      </c>
      <c r="E1439" t="s">
        <v>266</v>
      </c>
      <c r="F1439" t="s">
        <v>169</v>
      </c>
      <c r="G1439" t="s">
        <v>134</v>
      </c>
      <c r="H1439">
        <v>8</v>
      </c>
      <c r="I1439">
        <v>5</v>
      </c>
      <c r="J1439">
        <v>160</v>
      </c>
      <c r="K1439" t="s">
        <v>96</v>
      </c>
      <c r="L1439">
        <v>15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 s="8">
        <v>15</v>
      </c>
      <c r="V1439" s="8">
        <f t="shared" si="22"/>
        <v>2</v>
      </c>
    </row>
    <row r="1440" spans="1:22" x14ac:dyDescent="0.3">
      <c r="A1440" t="s">
        <v>483</v>
      </c>
      <c r="B1440">
        <v>3</v>
      </c>
      <c r="C1440" t="s">
        <v>265</v>
      </c>
      <c r="D1440" t="s">
        <v>264</v>
      </c>
      <c r="E1440" t="s">
        <v>266</v>
      </c>
      <c r="F1440" t="s">
        <v>101</v>
      </c>
      <c r="G1440" t="s">
        <v>104</v>
      </c>
      <c r="H1440">
        <v>0</v>
      </c>
      <c r="I1440">
        <v>0</v>
      </c>
      <c r="J1440">
        <v>0</v>
      </c>
      <c r="K1440" t="s">
        <v>104</v>
      </c>
      <c r="L1440">
        <v>0</v>
      </c>
      <c r="M1440">
        <v>4</v>
      </c>
      <c r="N1440">
        <v>0</v>
      </c>
      <c r="O1440">
        <v>15</v>
      </c>
      <c r="P1440">
        <v>1</v>
      </c>
      <c r="Q1440">
        <v>3.8</v>
      </c>
      <c r="R1440">
        <v>40</v>
      </c>
      <c r="S1440">
        <v>0</v>
      </c>
      <c r="T1440">
        <v>0</v>
      </c>
      <c r="U1440" s="8">
        <v>40</v>
      </c>
      <c r="V1440" s="8">
        <f t="shared" si="22"/>
        <v>4</v>
      </c>
    </row>
    <row r="1441" spans="1:22" x14ac:dyDescent="0.3">
      <c r="A1441" t="s">
        <v>483</v>
      </c>
      <c r="B1441">
        <v>3</v>
      </c>
      <c r="C1441" t="s">
        <v>131</v>
      </c>
      <c r="D1441" t="s">
        <v>106</v>
      </c>
      <c r="E1441" t="s">
        <v>266</v>
      </c>
      <c r="F1441" t="s">
        <v>101</v>
      </c>
      <c r="G1441" t="s">
        <v>104</v>
      </c>
      <c r="H1441">
        <v>0</v>
      </c>
      <c r="I1441">
        <v>0</v>
      </c>
      <c r="J1441">
        <v>0</v>
      </c>
      <c r="K1441" t="s">
        <v>104</v>
      </c>
      <c r="L1441">
        <v>0</v>
      </c>
      <c r="M1441">
        <v>4</v>
      </c>
      <c r="N1441">
        <v>0</v>
      </c>
      <c r="O1441">
        <v>33</v>
      </c>
      <c r="P1441">
        <v>1</v>
      </c>
      <c r="Q1441">
        <v>8.1999999999999993</v>
      </c>
      <c r="R1441">
        <v>25</v>
      </c>
      <c r="S1441">
        <v>0</v>
      </c>
      <c r="T1441">
        <v>0</v>
      </c>
      <c r="U1441" s="8">
        <v>25</v>
      </c>
      <c r="V1441" s="8">
        <f t="shared" si="22"/>
        <v>3</v>
      </c>
    </row>
    <row r="1442" spans="1:22" x14ac:dyDescent="0.3">
      <c r="A1442" t="s">
        <v>483</v>
      </c>
      <c r="B1442">
        <v>3</v>
      </c>
      <c r="C1442" t="s">
        <v>190</v>
      </c>
      <c r="D1442" t="s">
        <v>191</v>
      </c>
      <c r="E1442" t="s">
        <v>158</v>
      </c>
      <c r="F1442" t="s">
        <v>109</v>
      </c>
      <c r="G1442" t="s">
        <v>86</v>
      </c>
      <c r="H1442">
        <v>13</v>
      </c>
      <c r="I1442">
        <v>9</v>
      </c>
      <c r="J1442">
        <v>144.44</v>
      </c>
      <c r="K1442" t="s">
        <v>245</v>
      </c>
      <c r="L1442">
        <v>20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 s="8">
        <v>20</v>
      </c>
      <c r="V1442" s="8">
        <f t="shared" si="22"/>
        <v>2</v>
      </c>
    </row>
    <row r="1443" spans="1:22" x14ac:dyDescent="0.3">
      <c r="A1443" t="s">
        <v>483</v>
      </c>
      <c r="B1443">
        <v>3</v>
      </c>
      <c r="C1443" t="s">
        <v>188</v>
      </c>
      <c r="D1443" t="s">
        <v>189</v>
      </c>
      <c r="E1443" t="s">
        <v>158</v>
      </c>
      <c r="F1443" t="s">
        <v>109</v>
      </c>
      <c r="G1443" t="s">
        <v>86</v>
      </c>
      <c r="H1443">
        <v>4</v>
      </c>
      <c r="I1443">
        <v>9</v>
      </c>
      <c r="J1443">
        <v>44.44</v>
      </c>
      <c r="K1443" t="s">
        <v>247</v>
      </c>
      <c r="L1443">
        <v>-5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 s="8">
        <v>-5</v>
      </c>
      <c r="V1443" s="8">
        <f t="shared" si="22"/>
        <v>0</v>
      </c>
    </row>
    <row r="1444" spans="1:22" x14ac:dyDescent="0.3">
      <c r="A1444" t="s">
        <v>483</v>
      </c>
      <c r="B1444">
        <v>3</v>
      </c>
      <c r="C1444" t="s">
        <v>198</v>
      </c>
      <c r="D1444" t="s">
        <v>199</v>
      </c>
      <c r="E1444" t="s">
        <v>158</v>
      </c>
      <c r="F1444" t="s">
        <v>169</v>
      </c>
      <c r="G1444" t="s">
        <v>92</v>
      </c>
      <c r="H1444">
        <v>13</v>
      </c>
      <c r="I1444">
        <v>15</v>
      </c>
      <c r="J1444">
        <v>86.67</v>
      </c>
      <c r="K1444" t="s">
        <v>246</v>
      </c>
      <c r="L1444">
        <v>10</v>
      </c>
      <c r="M1444">
        <v>3</v>
      </c>
      <c r="N1444">
        <v>0</v>
      </c>
      <c r="O1444">
        <v>26</v>
      </c>
      <c r="P1444">
        <v>2</v>
      </c>
      <c r="Q1444">
        <v>8.6999999999999993</v>
      </c>
      <c r="R1444">
        <v>50</v>
      </c>
      <c r="S1444">
        <v>0</v>
      </c>
      <c r="T1444">
        <v>0</v>
      </c>
      <c r="U1444" s="8">
        <v>60</v>
      </c>
      <c r="V1444" s="8">
        <f t="shared" si="22"/>
        <v>6</v>
      </c>
    </row>
    <row r="1445" spans="1:22" x14ac:dyDescent="0.3">
      <c r="A1445" t="s">
        <v>483</v>
      </c>
      <c r="B1445">
        <v>3</v>
      </c>
      <c r="C1445" t="s">
        <v>194</v>
      </c>
      <c r="D1445" t="s">
        <v>195</v>
      </c>
      <c r="E1445" t="s">
        <v>158</v>
      </c>
      <c r="F1445" t="s">
        <v>109</v>
      </c>
      <c r="G1445" t="s">
        <v>92</v>
      </c>
      <c r="H1445">
        <v>30</v>
      </c>
      <c r="I1445">
        <v>21</v>
      </c>
      <c r="J1445">
        <v>142.86000000000001</v>
      </c>
      <c r="K1445" t="s">
        <v>246</v>
      </c>
      <c r="L1445">
        <v>40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 s="8">
        <v>40</v>
      </c>
      <c r="V1445" s="8">
        <f t="shared" si="22"/>
        <v>4</v>
      </c>
    </row>
    <row r="1446" spans="1:22" x14ac:dyDescent="0.3">
      <c r="A1446" t="s">
        <v>483</v>
      </c>
      <c r="B1446">
        <v>3</v>
      </c>
      <c r="C1446" t="s">
        <v>94</v>
      </c>
      <c r="D1446" t="s">
        <v>120</v>
      </c>
      <c r="E1446" t="s">
        <v>158</v>
      </c>
      <c r="F1446" t="s">
        <v>169</v>
      </c>
      <c r="G1446" t="s">
        <v>134</v>
      </c>
      <c r="H1446">
        <v>2</v>
      </c>
      <c r="I1446">
        <v>5</v>
      </c>
      <c r="J1446">
        <v>40</v>
      </c>
      <c r="K1446" t="s">
        <v>248</v>
      </c>
      <c r="L1446">
        <v>-5</v>
      </c>
      <c r="M1446">
        <v>4</v>
      </c>
      <c r="N1446">
        <v>0</v>
      </c>
      <c r="O1446">
        <v>29</v>
      </c>
      <c r="P1446">
        <v>1</v>
      </c>
      <c r="Q1446">
        <v>7.2</v>
      </c>
      <c r="R1446">
        <v>25</v>
      </c>
      <c r="S1446">
        <v>0</v>
      </c>
      <c r="T1446">
        <v>0</v>
      </c>
      <c r="U1446" s="8">
        <v>20</v>
      </c>
      <c r="V1446" s="8">
        <f t="shared" si="22"/>
        <v>2</v>
      </c>
    </row>
    <row r="1447" spans="1:22" x14ac:dyDescent="0.3">
      <c r="A1447" t="s">
        <v>483</v>
      </c>
      <c r="B1447">
        <v>3</v>
      </c>
      <c r="C1447" t="s">
        <v>192</v>
      </c>
      <c r="D1447" t="s">
        <v>193</v>
      </c>
      <c r="E1447" t="s">
        <v>158</v>
      </c>
      <c r="F1447" t="s">
        <v>169</v>
      </c>
      <c r="G1447" t="s">
        <v>134</v>
      </c>
      <c r="H1447">
        <v>40</v>
      </c>
      <c r="I1447">
        <v>26</v>
      </c>
      <c r="J1447">
        <v>153.85</v>
      </c>
      <c r="K1447" t="s">
        <v>246</v>
      </c>
      <c r="L1447">
        <v>60</v>
      </c>
      <c r="M1447">
        <v>4</v>
      </c>
      <c r="N1447">
        <v>0</v>
      </c>
      <c r="O1447">
        <v>11</v>
      </c>
      <c r="P1447">
        <v>2</v>
      </c>
      <c r="Q1447">
        <v>2.8</v>
      </c>
      <c r="R1447">
        <v>65</v>
      </c>
      <c r="S1447">
        <v>0</v>
      </c>
      <c r="T1447">
        <v>0</v>
      </c>
      <c r="U1447" s="8">
        <v>125</v>
      </c>
      <c r="V1447" s="8">
        <f t="shared" si="22"/>
        <v>10</v>
      </c>
    </row>
    <row r="1448" spans="1:22" x14ac:dyDescent="0.3">
      <c r="A1448" t="s">
        <v>483</v>
      </c>
      <c r="B1448">
        <v>3</v>
      </c>
      <c r="C1448" t="s">
        <v>496</v>
      </c>
      <c r="D1448" t="s">
        <v>518</v>
      </c>
      <c r="E1448" t="s">
        <v>158</v>
      </c>
      <c r="F1448" t="s">
        <v>85</v>
      </c>
      <c r="G1448" t="s">
        <v>134</v>
      </c>
      <c r="H1448">
        <v>5</v>
      </c>
      <c r="I1448">
        <v>5</v>
      </c>
      <c r="J1448">
        <v>100</v>
      </c>
      <c r="K1448" t="s">
        <v>256</v>
      </c>
      <c r="L1448">
        <v>5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 s="8">
        <v>5</v>
      </c>
      <c r="V1448" s="8">
        <f t="shared" si="22"/>
        <v>1</v>
      </c>
    </row>
    <row r="1449" spans="1:22" x14ac:dyDescent="0.3">
      <c r="A1449" t="s">
        <v>483</v>
      </c>
      <c r="B1449">
        <v>3</v>
      </c>
      <c r="C1449" t="s">
        <v>495</v>
      </c>
      <c r="D1449" t="s">
        <v>503</v>
      </c>
      <c r="E1449" t="s">
        <v>158</v>
      </c>
      <c r="F1449" t="s">
        <v>169</v>
      </c>
      <c r="G1449" t="s">
        <v>134</v>
      </c>
      <c r="H1449">
        <v>25</v>
      </c>
      <c r="I1449">
        <v>23</v>
      </c>
      <c r="J1449">
        <v>108.7</v>
      </c>
      <c r="K1449" t="s">
        <v>96</v>
      </c>
      <c r="L1449">
        <v>30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 s="8">
        <v>30</v>
      </c>
      <c r="V1449" s="8">
        <f t="shared" si="22"/>
        <v>3</v>
      </c>
    </row>
    <row r="1450" spans="1:22" x14ac:dyDescent="0.3">
      <c r="A1450" t="s">
        <v>483</v>
      </c>
      <c r="B1450">
        <v>3</v>
      </c>
      <c r="C1450" t="s">
        <v>204</v>
      </c>
      <c r="D1450" t="s">
        <v>205</v>
      </c>
      <c r="E1450" t="s">
        <v>158</v>
      </c>
      <c r="F1450" t="s">
        <v>169</v>
      </c>
      <c r="G1450" t="s">
        <v>134</v>
      </c>
      <c r="H1450">
        <v>0</v>
      </c>
      <c r="I1450">
        <v>1</v>
      </c>
      <c r="J1450">
        <v>0</v>
      </c>
      <c r="K1450" t="s">
        <v>245</v>
      </c>
      <c r="L1450">
        <v>0</v>
      </c>
      <c r="M1450">
        <v>4</v>
      </c>
      <c r="N1450">
        <v>0</v>
      </c>
      <c r="O1450">
        <v>29</v>
      </c>
      <c r="P1450">
        <v>0</v>
      </c>
      <c r="Q1450">
        <v>7.2</v>
      </c>
      <c r="R1450">
        <v>5</v>
      </c>
      <c r="S1450">
        <v>0</v>
      </c>
      <c r="T1450">
        <v>0</v>
      </c>
      <c r="U1450" s="8">
        <v>5</v>
      </c>
      <c r="V1450" s="8">
        <f t="shared" si="22"/>
        <v>1</v>
      </c>
    </row>
    <row r="1451" spans="1:22" x14ac:dyDescent="0.3">
      <c r="A1451" t="s">
        <v>483</v>
      </c>
      <c r="B1451">
        <v>3</v>
      </c>
      <c r="C1451" t="s">
        <v>274</v>
      </c>
      <c r="D1451" t="s">
        <v>284</v>
      </c>
      <c r="E1451" t="s">
        <v>158</v>
      </c>
      <c r="F1451" t="s">
        <v>169</v>
      </c>
      <c r="G1451" t="s">
        <v>134</v>
      </c>
      <c r="H1451">
        <v>4</v>
      </c>
      <c r="I1451">
        <v>2</v>
      </c>
      <c r="J1451">
        <v>200</v>
      </c>
      <c r="K1451" t="s">
        <v>246</v>
      </c>
      <c r="L1451">
        <v>10</v>
      </c>
      <c r="M1451">
        <v>1</v>
      </c>
      <c r="N1451">
        <v>0</v>
      </c>
      <c r="O1451">
        <v>10</v>
      </c>
      <c r="P1451">
        <v>0</v>
      </c>
      <c r="Q1451">
        <v>10</v>
      </c>
      <c r="R1451">
        <v>0</v>
      </c>
      <c r="S1451">
        <v>0</v>
      </c>
      <c r="T1451">
        <v>0</v>
      </c>
      <c r="U1451" s="8">
        <v>10</v>
      </c>
      <c r="V1451" s="8">
        <f t="shared" si="22"/>
        <v>1</v>
      </c>
    </row>
    <row r="1452" spans="1:22" x14ac:dyDescent="0.3">
      <c r="A1452" t="s">
        <v>483</v>
      </c>
      <c r="B1452">
        <v>3</v>
      </c>
      <c r="C1452" t="s">
        <v>513</v>
      </c>
      <c r="D1452" t="s">
        <v>563</v>
      </c>
      <c r="E1452" t="s">
        <v>158</v>
      </c>
      <c r="F1452" t="s">
        <v>101</v>
      </c>
      <c r="G1452" t="s">
        <v>134</v>
      </c>
      <c r="H1452">
        <v>3</v>
      </c>
      <c r="I1452">
        <v>4</v>
      </c>
      <c r="J1452">
        <v>75</v>
      </c>
      <c r="K1452" t="s">
        <v>96</v>
      </c>
      <c r="L1452">
        <v>3</v>
      </c>
      <c r="M1452">
        <v>4</v>
      </c>
      <c r="N1452">
        <v>0</v>
      </c>
      <c r="O1452">
        <v>43</v>
      </c>
      <c r="P1452">
        <v>2</v>
      </c>
      <c r="Q1452">
        <v>10.8</v>
      </c>
      <c r="R1452">
        <v>50</v>
      </c>
      <c r="S1452">
        <v>0</v>
      </c>
      <c r="T1452">
        <v>0</v>
      </c>
      <c r="U1452" s="8">
        <v>53</v>
      </c>
      <c r="V1452" s="8">
        <f t="shared" si="22"/>
        <v>5</v>
      </c>
    </row>
    <row r="1453" spans="1:22" x14ac:dyDescent="0.3">
      <c r="A1453" t="s">
        <v>601</v>
      </c>
      <c r="B1453">
        <v>4</v>
      </c>
      <c r="C1453" t="s">
        <v>119</v>
      </c>
      <c r="D1453" t="s">
        <v>95</v>
      </c>
      <c r="E1453" t="s">
        <v>266</v>
      </c>
      <c r="F1453" t="s">
        <v>169</v>
      </c>
      <c r="G1453" t="s">
        <v>92</v>
      </c>
      <c r="H1453">
        <v>4</v>
      </c>
      <c r="I1453">
        <v>15</v>
      </c>
      <c r="J1453">
        <v>26.67</v>
      </c>
      <c r="K1453" t="s">
        <v>246</v>
      </c>
      <c r="L1453">
        <v>-5</v>
      </c>
      <c r="M1453">
        <v>4</v>
      </c>
      <c r="N1453">
        <v>0</v>
      </c>
      <c r="O1453">
        <v>13</v>
      </c>
      <c r="P1453">
        <v>2</v>
      </c>
      <c r="Q1453">
        <v>3.2</v>
      </c>
      <c r="R1453">
        <v>65</v>
      </c>
      <c r="S1453">
        <v>0</v>
      </c>
      <c r="T1453">
        <v>0</v>
      </c>
      <c r="U1453" s="8">
        <v>60</v>
      </c>
      <c r="V1453" s="8">
        <f t="shared" si="22"/>
        <v>6</v>
      </c>
    </row>
    <row r="1454" spans="1:22" x14ac:dyDescent="0.3">
      <c r="A1454" t="s">
        <v>601</v>
      </c>
      <c r="B1454">
        <v>4</v>
      </c>
      <c r="C1454" t="s">
        <v>510</v>
      </c>
      <c r="D1454" t="s">
        <v>538</v>
      </c>
      <c r="E1454" t="s">
        <v>266</v>
      </c>
      <c r="F1454" t="s">
        <v>85</v>
      </c>
      <c r="G1454" t="s">
        <v>92</v>
      </c>
      <c r="H1454">
        <v>32</v>
      </c>
      <c r="I1454">
        <v>28</v>
      </c>
      <c r="J1454">
        <v>114.29</v>
      </c>
      <c r="K1454" t="s">
        <v>245</v>
      </c>
      <c r="L1454">
        <v>35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 s="8">
        <v>35</v>
      </c>
      <c r="V1454" s="8">
        <f t="shared" si="22"/>
        <v>4</v>
      </c>
    </row>
    <row r="1455" spans="1:22" x14ac:dyDescent="0.3">
      <c r="A1455" t="s">
        <v>601</v>
      </c>
      <c r="B1455">
        <v>4</v>
      </c>
      <c r="C1455" t="s">
        <v>117</v>
      </c>
      <c r="D1455" t="s">
        <v>90</v>
      </c>
      <c r="E1455" t="s">
        <v>266</v>
      </c>
      <c r="F1455" t="s">
        <v>169</v>
      </c>
      <c r="G1455" t="s">
        <v>92</v>
      </c>
      <c r="H1455">
        <v>4</v>
      </c>
      <c r="I1455">
        <v>3</v>
      </c>
      <c r="J1455">
        <v>133.33000000000001</v>
      </c>
      <c r="K1455" t="s">
        <v>248</v>
      </c>
      <c r="L1455">
        <v>10</v>
      </c>
      <c r="M1455">
        <v>4</v>
      </c>
      <c r="N1455">
        <v>0</v>
      </c>
      <c r="O1455">
        <v>47</v>
      </c>
      <c r="P1455">
        <v>1</v>
      </c>
      <c r="Q1455">
        <v>11.8</v>
      </c>
      <c r="R1455">
        <v>25</v>
      </c>
      <c r="S1455">
        <v>0</v>
      </c>
      <c r="T1455">
        <v>0</v>
      </c>
      <c r="U1455" s="8">
        <v>35</v>
      </c>
      <c r="V1455" s="8">
        <f t="shared" si="22"/>
        <v>4</v>
      </c>
    </row>
    <row r="1456" spans="1:22" x14ac:dyDescent="0.3">
      <c r="A1456" t="s">
        <v>601</v>
      </c>
      <c r="B1456">
        <v>4</v>
      </c>
      <c r="C1456" t="s">
        <v>115</v>
      </c>
      <c r="D1456" t="s">
        <v>17</v>
      </c>
      <c r="E1456" t="s">
        <v>266</v>
      </c>
      <c r="F1456" t="s">
        <v>169</v>
      </c>
      <c r="G1456" t="s">
        <v>134</v>
      </c>
      <c r="H1456">
        <v>20</v>
      </c>
      <c r="I1456">
        <v>17</v>
      </c>
      <c r="J1456">
        <v>117.65</v>
      </c>
      <c r="K1456" t="s">
        <v>246</v>
      </c>
      <c r="L1456">
        <v>20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 s="8">
        <v>20</v>
      </c>
      <c r="V1456" s="8">
        <f t="shared" si="22"/>
        <v>2</v>
      </c>
    </row>
    <row r="1457" spans="1:22" x14ac:dyDescent="0.3">
      <c r="A1457" t="s">
        <v>601</v>
      </c>
      <c r="B1457">
        <v>4</v>
      </c>
      <c r="C1457" t="s">
        <v>517</v>
      </c>
      <c r="D1457" t="s">
        <v>626</v>
      </c>
      <c r="E1457" t="s">
        <v>266</v>
      </c>
      <c r="F1457" t="s">
        <v>169</v>
      </c>
      <c r="G1457" t="s">
        <v>134</v>
      </c>
      <c r="H1457">
        <v>40</v>
      </c>
      <c r="I1457">
        <v>29</v>
      </c>
      <c r="J1457">
        <v>137.93</v>
      </c>
      <c r="K1457" t="s">
        <v>246</v>
      </c>
      <c r="L1457">
        <v>50</v>
      </c>
      <c r="M1457">
        <v>4</v>
      </c>
      <c r="N1457">
        <v>0</v>
      </c>
      <c r="O1457">
        <v>35</v>
      </c>
      <c r="P1457">
        <v>2</v>
      </c>
      <c r="Q1457">
        <v>8.8000000000000007</v>
      </c>
      <c r="R1457">
        <v>50</v>
      </c>
      <c r="S1457">
        <v>0</v>
      </c>
      <c r="T1457">
        <v>0</v>
      </c>
      <c r="U1457" s="8">
        <v>100</v>
      </c>
      <c r="V1457" s="8">
        <f t="shared" si="22"/>
        <v>10</v>
      </c>
    </row>
    <row r="1458" spans="1:22" x14ac:dyDescent="0.3">
      <c r="A1458" t="s">
        <v>601</v>
      </c>
      <c r="B1458">
        <v>4</v>
      </c>
      <c r="C1458" t="s">
        <v>347</v>
      </c>
      <c r="D1458" t="s">
        <v>348</v>
      </c>
      <c r="E1458" t="s">
        <v>266</v>
      </c>
      <c r="F1458" t="s">
        <v>169</v>
      </c>
      <c r="G1458" t="s">
        <v>134</v>
      </c>
      <c r="H1458">
        <v>45</v>
      </c>
      <c r="I1458">
        <v>25</v>
      </c>
      <c r="J1458">
        <v>180</v>
      </c>
      <c r="K1458" t="s">
        <v>246</v>
      </c>
      <c r="L1458">
        <v>65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 s="8">
        <v>65</v>
      </c>
      <c r="V1458" s="8">
        <f t="shared" si="22"/>
        <v>7</v>
      </c>
    </row>
    <row r="1459" spans="1:22" x14ac:dyDescent="0.3">
      <c r="A1459" t="s">
        <v>601</v>
      </c>
      <c r="B1459">
        <v>4</v>
      </c>
      <c r="C1459" t="s">
        <v>121</v>
      </c>
      <c r="D1459" t="s">
        <v>108</v>
      </c>
      <c r="E1459" t="s">
        <v>266</v>
      </c>
      <c r="F1459" t="s">
        <v>169</v>
      </c>
      <c r="G1459" t="s">
        <v>134</v>
      </c>
      <c r="H1459">
        <v>0</v>
      </c>
      <c r="I1459">
        <v>2</v>
      </c>
      <c r="J1459">
        <v>0</v>
      </c>
      <c r="K1459" t="s">
        <v>96</v>
      </c>
      <c r="L1459">
        <v>5</v>
      </c>
      <c r="M1459">
        <v>3</v>
      </c>
      <c r="N1459">
        <v>0</v>
      </c>
      <c r="O1459">
        <v>18</v>
      </c>
      <c r="P1459">
        <v>1</v>
      </c>
      <c r="Q1459">
        <v>6</v>
      </c>
      <c r="R1459">
        <v>35</v>
      </c>
      <c r="S1459">
        <v>0</v>
      </c>
      <c r="T1459">
        <v>0</v>
      </c>
      <c r="U1459" s="8">
        <v>40</v>
      </c>
      <c r="V1459" s="8">
        <f t="shared" si="22"/>
        <v>4</v>
      </c>
    </row>
    <row r="1460" spans="1:22" x14ac:dyDescent="0.3">
      <c r="A1460" t="s">
        <v>601</v>
      </c>
      <c r="B1460">
        <v>4</v>
      </c>
      <c r="C1460" t="s">
        <v>273</v>
      </c>
      <c r="D1460" t="s">
        <v>279</v>
      </c>
      <c r="E1460" t="s">
        <v>266</v>
      </c>
      <c r="F1460" t="s">
        <v>169</v>
      </c>
      <c r="G1460" t="s">
        <v>134</v>
      </c>
      <c r="H1460">
        <v>0</v>
      </c>
      <c r="I1460">
        <v>1</v>
      </c>
      <c r="J1460">
        <v>0</v>
      </c>
      <c r="K1460" t="s">
        <v>96</v>
      </c>
      <c r="L1460">
        <v>5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 s="8">
        <v>5</v>
      </c>
      <c r="V1460" s="8">
        <f t="shared" si="22"/>
        <v>1</v>
      </c>
    </row>
    <row r="1461" spans="1:22" x14ac:dyDescent="0.3">
      <c r="A1461" t="s">
        <v>601</v>
      </c>
      <c r="B1461">
        <v>4</v>
      </c>
      <c r="C1461" t="s">
        <v>265</v>
      </c>
      <c r="D1461" t="s">
        <v>264</v>
      </c>
      <c r="E1461" t="s">
        <v>266</v>
      </c>
      <c r="F1461" t="s">
        <v>101</v>
      </c>
      <c r="G1461" t="s">
        <v>104</v>
      </c>
      <c r="H1461">
        <v>0</v>
      </c>
      <c r="I1461">
        <v>0</v>
      </c>
      <c r="J1461">
        <v>0</v>
      </c>
      <c r="K1461" t="s">
        <v>104</v>
      </c>
      <c r="L1461">
        <v>0</v>
      </c>
      <c r="M1461">
        <v>4</v>
      </c>
      <c r="N1461">
        <v>0</v>
      </c>
      <c r="O1461">
        <v>26</v>
      </c>
      <c r="P1461">
        <v>1</v>
      </c>
      <c r="Q1461">
        <v>6.5</v>
      </c>
      <c r="R1461">
        <v>35</v>
      </c>
      <c r="S1461">
        <v>0</v>
      </c>
      <c r="T1461">
        <v>0</v>
      </c>
      <c r="U1461" s="8">
        <v>35</v>
      </c>
      <c r="V1461" s="8">
        <f t="shared" si="22"/>
        <v>4</v>
      </c>
    </row>
    <row r="1462" spans="1:22" x14ac:dyDescent="0.3">
      <c r="A1462" t="s">
        <v>601</v>
      </c>
      <c r="B1462">
        <v>4</v>
      </c>
      <c r="C1462" t="s">
        <v>507</v>
      </c>
      <c r="D1462" t="s">
        <v>519</v>
      </c>
      <c r="E1462" t="s">
        <v>266</v>
      </c>
      <c r="F1462" t="s">
        <v>169</v>
      </c>
      <c r="G1462" t="s">
        <v>104</v>
      </c>
      <c r="H1462">
        <v>0</v>
      </c>
      <c r="I1462">
        <v>0</v>
      </c>
      <c r="J1462">
        <v>0</v>
      </c>
      <c r="K1462" t="s">
        <v>104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 s="8">
        <v>0</v>
      </c>
      <c r="V1462" s="8">
        <f t="shared" si="22"/>
        <v>0</v>
      </c>
    </row>
    <row r="1463" spans="1:22" x14ac:dyDescent="0.3">
      <c r="A1463" t="s">
        <v>601</v>
      </c>
      <c r="B1463">
        <v>4</v>
      </c>
      <c r="C1463" t="s">
        <v>131</v>
      </c>
      <c r="D1463" t="s">
        <v>106</v>
      </c>
      <c r="E1463" t="s">
        <v>266</v>
      </c>
      <c r="F1463" t="s">
        <v>101</v>
      </c>
      <c r="G1463" t="s">
        <v>104</v>
      </c>
      <c r="H1463">
        <v>0</v>
      </c>
      <c r="I1463">
        <v>0</v>
      </c>
      <c r="J1463">
        <v>0</v>
      </c>
      <c r="K1463" t="s">
        <v>104</v>
      </c>
      <c r="L1463">
        <v>0</v>
      </c>
      <c r="M1463">
        <v>1</v>
      </c>
      <c r="N1463">
        <v>0</v>
      </c>
      <c r="O1463">
        <v>13</v>
      </c>
      <c r="P1463">
        <v>0</v>
      </c>
      <c r="Q1463">
        <v>13</v>
      </c>
      <c r="R1463">
        <v>-10</v>
      </c>
      <c r="S1463">
        <v>0</v>
      </c>
      <c r="T1463">
        <v>0</v>
      </c>
      <c r="U1463" s="8">
        <v>-10</v>
      </c>
      <c r="V1463" s="8">
        <f t="shared" si="22"/>
        <v>0</v>
      </c>
    </row>
    <row r="1464" spans="1:22" x14ac:dyDescent="0.3">
      <c r="A1464" t="s">
        <v>601</v>
      </c>
      <c r="B1464">
        <v>4</v>
      </c>
      <c r="C1464" t="s">
        <v>226</v>
      </c>
      <c r="D1464" t="s">
        <v>211</v>
      </c>
      <c r="E1464" t="s">
        <v>159</v>
      </c>
      <c r="F1464" t="s">
        <v>169</v>
      </c>
      <c r="G1464" t="s">
        <v>86</v>
      </c>
      <c r="H1464">
        <v>25</v>
      </c>
      <c r="I1464">
        <v>12</v>
      </c>
      <c r="J1464">
        <v>208.33</v>
      </c>
      <c r="K1464" t="s">
        <v>246</v>
      </c>
      <c r="L1464">
        <v>40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 s="8">
        <v>40</v>
      </c>
      <c r="V1464" s="8">
        <f t="shared" si="22"/>
        <v>4</v>
      </c>
    </row>
    <row r="1465" spans="1:22" x14ac:dyDescent="0.3">
      <c r="A1465" t="s">
        <v>601</v>
      </c>
      <c r="B1465">
        <v>4</v>
      </c>
      <c r="C1465" t="s">
        <v>165</v>
      </c>
      <c r="D1465" t="s">
        <v>166</v>
      </c>
      <c r="E1465" t="s">
        <v>159</v>
      </c>
      <c r="F1465" t="s">
        <v>109</v>
      </c>
      <c r="G1465" t="s">
        <v>86</v>
      </c>
      <c r="H1465">
        <v>18</v>
      </c>
      <c r="I1465">
        <v>13</v>
      </c>
      <c r="J1465">
        <v>138.46</v>
      </c>
      <c r="K1465" t="s">
        <v>246</v>
      </c>
      <c r="L1465">
        <v>25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 s="8">
        <v>25</v>
      </c>
      <c r="V1465" s="8">
        <f t="shared" si="22"/>
        <v>3</v>
      </c>
    </row>
    <row r="1466" spans="1:22" x14ac:dyDescent="0.3">
      <c r="A1466" t="s">
        <v>601</v>
      </c>
      <c r="B1466">
        <v>4</v>
      </c>
      <c r="C1466" t="s">
        <v>97</v>
      </c>
      <c r="D1466" t="s">
        <v>122</v>
      </c>
      <c r="E1466" t="s">
        <v>159</v>
      </c>
      <c r="F1466" t="s">
        <v>109</v>
      </c>
      <c r="G1466" t="s">
        <v>92</v>
      </c>
      <c r="H1466">
        <v>7</v>
      </c>
      <c r="I1466">
        <v>12</v>
      </c>
      <c r="J1466">
        <v>58.33</v>
      </c>
      <c r="K1466" t="s">
        <v>247</v>
      </c>
      <c r="L1466">
        <v>-5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 s="8">
        <v>-5</v>
      </c>
      <c r="V1466" s="8">
        <f t="shared" si="22"/>
        <v>0</v>
      </c>
    </row>
    <row r="1467" spans="1:22" x14ac:dyDescent="0.3">
      <c r="A1467" t="s">
        <v>601</v>
      </c>
      <c r="B1467">
        <v>4</v>
      </c>
      <c r="C1467" t="s">
        <v>176</v>
      </c>
      <c r="D1467" t="s">
        <v>177</v>
      </c>
      <c r="E1467" t="s">
        <v>159</v>
      </c>
      <c r="F1467" t="s">
        <v>85</v>
      </c>
      <c r="G1467" t="s">
        <v>134</v>
      </c>
      <c r="H1467">
        <v>6</v>
      </c>
      <c r="I1467">
        <v>6</v>
      </c>
      <c r="J1467">
        <v>100</v>
      </c>
      <c r="K1467" t="s">
        <v>246</v>
      </c>
      <c r="L1467">
        <v>10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 s="8">
        <v>10</v>
      </c>
      <c r="V1467" s="8">
        <f t="shared" si="22"/>
        <v>1</v>
      </c>
    </row>
    <row r="1468" spans="1:22" x14ac:dyDescent="0.3">
      <c r="A1468" t="s">
        <v>601</v>
      </c>
      <c r="B1468">
        <v>4</v>
      </c>
      <c r="C1468" t="s">
        <v>206</v>
      </c>
      <c r="D1468" t="s">
        <v>207</v>
      </c>
      <c r="E1468" t="s">
        <v>159</v>
      </c>
      <c r="F1468" t="s">
        <v>101</v>
      </c>
      <c r="G1468" t="s">
        <v>134</v>
      </c>
      <c r="H1468">
        <v>1</v>
      </c>
      <c r="I1468">
        <v>2</v>
      </c>
      <c r="J1468">
        <v>50</v>
      </c>
      <c r="K1468" t="s">
        <v>245</v>
      </c>
      <c r="L1468">
        <v>-5</v>
      </c>
      <c r="M1468">
        <v>2</v>
      </c>
      <c r="N1468">
        <v>0</v>
      </c>
      <c r="O1468">
        <v>21</v>
      </c>
      <c r="P1468">
        <v>0</v>
      </c>
      <c r="Q1468">
        <v>10.5</v>
      </c>
      <c r="R1468">
        <v>-10</v>
      </c>
      <c r="S1468">
        <v>0</v>
      </c>
      <c r="T1468">
        <v>0</v>
      </c>
      <c r="U1468" s="8">
        <v>-15</v>
      </c>
      <c r="V1468" s="8">
        <f t="shared" si="22"/>
        <v>0</v>
      </c>
    </row>
    <row r="1469" spans="1:22" x14ac:dyDescent="0.3">
      <c r="A1469" t="s">
        <v>601</v>
      </c>
      <c r="B1469">
        <v>4</v>
      </c>
      <c r="C1469" t="s">
        <v>449</v>
      </c>
      <c r="D1469" t="s">
        <v>410</v>
      </c>
      <c r="E1469" t="s">
        <v>159</v>
      </c>
      <c r="F1469" t="s">
        <v>169</v>
      </c>
      <c r="G1469" t="s">
        <v>134</v>
      </c>
      <c r="H1469">
        <v>63</v>
      </c>
      <c r="I1469">
        <v>44</v>
      </c>
      <c r="J1469">
        <v>143.18</v>
      </c>
      <c r="K1469" t="s">
        <v>96</v>
      </c>
      <c r="L1469">
        <v>80</v>
      </c>
      <c r="M1469">
        <v>4</v>
      </c>
      <c r="N1469">
        <v>0</v>
      </c>
      <c r="O1469">
        <v>26</v>
      </c>
      <c r="P1469">
        <v>4</v>
      </c>
      <c r="Q1469">
        <v>6.5</v>
      </c>
      <c r="R1469">
        <v>110</v>
      </c>
      <c r="S1469">
        <v>0</v>
      </c>
      <c r="T1469">
        <v>0</v>
      </c>
      <c r="U1469" s="8">
        <v>190</v>
      </c>
      <c r="V1469" s="8">
        <f t="shared" si="22"/>
        <v>10</v>
      </c>
    </row>
    <row r="1470" spans="1:22" x14ac:dyDescent="0.3">
      <c r="A1470" t="s">
        <v>601</v>
      </c>
      <c r="B1470">
        <v>4</v>
      </c>
      <c r="C1470" t="s">
        <v>202</v>
      </c>
      <c r="D1470" t="s">
        <v>203</v>
      </c>
      <c r="E1470" t="s">
        <v>159</v>
      </c>
      <c r="F1470" t="s">
        <v>101</v>
      </c>
      <c r="G1470" t="s">
        <v>134</v>
      </c>
      <c r="H1470">
        <v>20</v>
      </c>
      <c r="I1470">
        <v>25</v>
      </c>
      <c r="J1470">
        <v>80</v>
      </c>
      <c r="K1470" t="s">
        <v>246</v>
      </c>
      <c r="L1470">
        <v>20</v>
      </c>
      <c r="M1470">
        <v>4</v>
      </c>
      <c r="N1470">
        <v>0</v>
      </c>
      <c r="O1470">
        <v>37</v>
      </c>
      <c r="P1470">
        <v>0</v>
      </c>
      <c r="Q1470">
        <v>9.1999999999999993</v>
      </c>
      <c r="R1470">
        <v>-5</v>
      </c>
      <c r="S1470">
        <v>0</v>
      </c>
      <c r="T1470">
        <v>0</v>
      </c>
      <c r="U1470" s="8">
        <v>15</v>
      </c>
      <c r="V1470" s="8">
        <f t="shared" si="22"/>
        <v>2</v>
      </c>
    </row>
    <row r="1471" spans="1:22" x14ac:dyDescent="0.3">
      <c r="A1471" t="s">
        <v>601</v>
      </c>
      <c r="B1471">
        <v>4</v>
      </c>
      <c r="C1471" t="s">
        <v>259</v>
      </c>
      <c r="D1471" t="s">
        <v>257</v>
      </c>
      <c r="E1471" t="s">
        <v>159</v>
      </c>
      <c r="F1471" t="s">
        <v>169</v>
      </c>
      <c r="G1471" t="s">
        <v>134</v>
      </c>
      <c r="H1471">
        <v>1</v>
      </c>
      <c r="I1471">
        <v>2</v>
      </c>
      <c r="J1471">
        <v>50</v>
      </c>
      <c r="K1471" t="s">
        <v>245</v>
      </c>
      <c r="L1471">
        <v>-5</v>
      </c>
      <c r="M1471">
        <v>4</v>
      </c>
      <c r="N1471">
        <v>0</v>
      </c>
      <c r="O1471">
        <v>32</v>
      </c>
      <c r="P1471">
        <v>1</v>
      </c>
      <c r="Q1471">
        <v>8</v>
      </c>
      <c r="R1471">
        <v>25</v>
      </c>
      <c r="S1471">
        <v>0</v>
      </c>
      <c r="T1471">
        <v>0</v>
      </c>
      <c r="U1471" s="8">
        <v>20</v>
      </c>
      <c r="V1471" s="8">
        <f t="shared" si="22"/>
        <v>2</v>
      </c>
    </row>
    <row r="1472" spans="1:22" x14ac:dyDescent="0.3">
      <c r="A1472" t="s">
        <v>601</v>
      </c>
      <c r="B1472">
        <v>4</v>
      </c>
      <c r="C1472" t="s">
        <v>491</v>
      </c>
      <c r="D1472" t="s">
        <v>498</v>
      </c>
      <c r="E1472" t="s">
        <v>159</v>
      </c>
      <c r="F1472" t="s">
        <v>169</v>
      </c>
      <c r="G1472" t="s">
        <v>134</v>
      </c>
      <c r="H1472">
        <v>8</v>
      </c>
      <c r="I1472">
        <v>4</v>
      </c>
      <c r="J1472">
        <v>200</v>
      </c>
      <c r="K1472" t="s">
        <v>96</v>
      </c>
      <c r="L1472">
        <v>20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 s="8">
        <v>20</v>
      </c>
      <c r="V1472" s="8">
        <f t="shared" si="22"/>
        <v>2</v>
      </c>
    </row>
    <row r="1473" spans="1:22" x14ac:dyDescent="0.3">
      <c r="A1473" t="s">
        <v>601</v>
      </c>
      <c r="B1473">
        <v>4</v>
      </c>
      <c r="C1473" t="s">
        <v>528</v>
      </c>
      <c r="D1473" t="s">
        <v>628</v>
      </c>
      <c r="E1473" t="s">
        <v>159</v>
      </c>
      <c r="F1473" t="s">
        <v>101</v>
      </c>
      <c r="G1473" t="s">
        <v>104</v>
      </c>
      <c r="H1473">
        <v>0</v>
      </c>
      <c r="I1473">
        <v>0</v>
      </c>
      <c r="J1473">
        <v>0</v>
      </c>
      <c r="K1473" t="s">
        <v>104</v>
      </c>
      <c r="L1473">
        <v>0</v>
      </c>
      <c r="M1473">
        <v>2</v>
      </c>
      <c r="N1473">
        <v>0</v>
      </c>
      <c r="O1473">
        <v>23</v>
      </c>
      <c r="P1473">
        <v>0</v>
      </c>
      <c r="Q1473">
        <v>11.5</v>
      </c>
      <c r="R1473">
        <v>-5</v>
      </c>
      <c r="S1473">
        <v>0</v>
      </c>
      <c r="T1473">
        <v>0</v>
      </c>
      <c r="U1473" s="8">
        <v>-5</v>
      </c>
      <c r="V1473" s="8">
        <f t="shared" si="22"/>
        <v>0</v>
      </c>
    </row>
    <row r="1474" spans="1:22" x14ac:dyDescent="0.3">
      <c r="A1474" t="s">
        <v>601</v>
      </c>
      <c r="B1474">
        <v>4</v>
      </c>
      <c r="C1474" t="s">
        <v>527</v>
      </c>
      <c r="D1474" t="s">
        <v>627</v>
      </c>
      <c r="E1474" t="s">
        <v>159</v>
      </c>
      <c r="F1474" t="s">
        <v>101</v>
      </c>
      <c r="G1474" t="s">
        <v>104</v>
      </c>
      <c r="H1474">
        <v>0</v>
      </c>
      <c r="I1474">
        <v>0</v>
      </c>
      <c r="J1474">
        <v>0</v>
      </c>
      <c r="K1474" t="s">
        <v>104</v>
      </c>
      <c r="L1474">
        <v>0</v>
      </c>
      <c r="M1474">
        <v>4</v>
      </c>
      <c r="N1474">
        <v>1</v>
      </c>
      <c r="O1474">
        <v>14</v>
      </c>
      <c r="P1474">
        <v>1</v>
      </c>
      <c r="Q1474">
        <v>3.5</v>
      </c>
      <c r="R1474">
        <v>50</v>
      </c>
      <c r="S1474">
        <v>0</v>
      </c>
      <c r="T1474">
        <v>0</v>
      </c>
      <c r="U1474" s="8">
        <v>50</v>
      </c>
      <c r="V1474" s="8">
        <f t="shared" si="22"/>
        <v>5</v>
      </c>
    </row>
    <row r="1475" spans="1:22" x14ac:dyDescent="0.3">
      <c r="A1475" t="s">
        <v>602</v>
      </c>
      <c r="B1475">
        <v>4</v>
      </c>
      <c r="C1475" t="s">
        <v>81</v>
      </c>
      <c r="D1475" t="s">
        <v>114</v>
      </c>
      <c r="E1475" t="s">
        <v>258</v>
      </c>
      <c r="F1475" t="s">
        <v>85</v>
      </c>
      <c r="G1475" t="s">
        <v>86</v>
      </c>
      <c r="H1475">
        <v>13</v>
      </c>
      <c r="I1475">
        <v>12</v>
      </c>
      <c r="J1475">
        <v>108.33</v>
      </c>
      <c r="K1475" t="s">
        <v>245</v>
      </c>
      <c r="L1475">
        <v>15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 s="8">
        <v>15</v>
      </c>
      <c r="V1475" s="8">
        <f t="shared" ref="V1475:V1538" si="23">MIN(10, MAX(0, ROUND(U1475/10,0)))</f>
        <v>2</v>
      </c>
    </row>
    <row r="1476" spans="1:22" x14ac:dyDescent="0.3">
      <c r="A1476" t="s">
        <v>602</v>
      </c>
      <c r="B1476">
        <v>4</v>
      </c>
      <c r="C1476" t="s">
        <v>167</v>
      </c>
      <c r="D1476" t="s">
        <v>168</v>
      </c>
      <c r="E1476" t="s">
        <v>258</v>
      </c>
      <c r="F1476" t="s">
        <v>169</v>
      </c>
      <c r="G1476" t="s">
        <v>92</v>
      </c>
      <c r="H1476">
        <v>38</v>
      </c>
      <c r="I1476">
        <v>20</v>
      </c>
      <c r="J1476">
        <v>190</v>
      </c>
      <c r="K1476" t="s">
        <v>246</v>
      </c>
      <c r="L1476">
        <v>55</v>
      </c>
      <c r="M1476">
        <v>4</v>
      </c>
      <c r="N1476">
        <v>0</v>
      </c>
      <c r="O1476">
        <v>55</v>
      </c>
      <c r="P1476">
        <v>2</v>
      </c>
      <c r="Q1476">
        <v>13.8</v>
      </c>
      <c r="R1476">
        <v>40</v>
      </c>
      <c r="S1476">
        <v>0</v>
      </c>
      <c r="T1476">
        <v>0</v>
      </c>
      <c r="U1476" s="8">
        <v>95</v>
      </c>
      <c r="V1476" s="8">
        <f t="shared" si="23"/>
        <v>10</v>
      </c>
    </row>
    <row r="1477" spans="1:22" x14ac:dyDescent="0.3">
      <c r="A1477" t="s">
        <v>602</v>
      </c>
      <c r="B1477">
        <v>4</v>
      </c>
      <c r="C1477" t="s">
        <v>529</v>
      </c>
      <c r="D1477" t="s">
        <v>632</v>
      </c>
      <c r="E1477" t="s">
        <v>258</v>
      </c>
      <c r="F1477" t="s">
        <v>169</v>
      </c>
      <c r="G1477" t="s">
        <v>92</v>
      </c>
      <c r="H1477">
        <v>44</v>
      </c>
      <c r="I1477">
        <v>30</v>
      </c>
      <c r="J1477">
        <v>146.66999999999999</v>
      </c>
      <c r="K1477" t="s">
        <v>246</v>
      </c>
      <c r="L1477">
        <v>55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 s="8">
        <v>55</v>
      </c>
      <c r="V1477" s="8">
        <f t="shared" si="23"/>
        <v>6</v>
      </c>
    </row>
    <row r="1478" spans="1:22" x14ac:dyDescent="0.3">
      <c r="A1478" t="s">
        <v>602</v>
      </c>
      <c r="B1478">
        <v>4</v>
      </c>
      <c r="C1478" t="s">
        <v>93</v>
      </c>
      <c r="D1478" t="s">
        <v>118</v>
      </c>
      <c r="E1478" t="s">
        <v>258</v>
      </c>
      <c r="F1478" t="s">
        <v>169</v>
      </c>
      <c r="G1478" t="s">
        <v>92</v>
      </c>
      <c r="H1478">
        <v>65</v>
      </c>
      <c r="I1478">
        <v>41</v>
      </c>
      <c r="J1478">
        <v>158.54</v>
      </c>
      <c r="K1478" t="s">
        <v>245</v>
      </c>
      <c r="L1478">
        <v>85</v>
      </c>
      <c r="M1478">
        <v>3</v>
      </c>
      <c r="N1478">
        <v>0</v>
      </c>
      <c r="O1478">
        <v>37</v>
      </c>
      <c r="P1478">
        <v>1</v>
      </c>
      <c r="Q1478">
        <v>12.3</v>
      </c>
      <c r="R1478">
        <v>20</v>
      </c>
      <c r="S1478">
        <v>0</v>
      </c>
      <c r="T1478">
        <v>0</v>
      </c>
      <c r="U1478" s="8">
        <v>105</v>
      </c>
      <c r="V1478" s="8">
        <f t="shared" si="23"/>
        <v>10</v>
      </c>
    </row>
    <row r="1479" spans="1:22" x14ac:dyDescent="0.3">
      <c r="A1479" t="s">
        <v>602</v>
      </c>
      <c r="B1479">
        <v>4</v>
      </c>
      <c r="C1479" t="s">
        <v>99</v>
      </c>
      <c r="D1479" t="s">
        <v>124</v>
      </c>
      <c r="E1479" t="s">
        <v>258</v>
      </c>
      <c r="F1479" t="s">
        <v>101</v>
      </c>
      <c r="G1479" t="s">
        <v>134</v>
      </c>
      <c r="H1479">
        <v>27</v>
      </c>
      <c r="I1479">
        <v>10</v>
      </c>
      <c r="J1479">
        <v>270</v>
      </c>
      <c r="K1479" t="s">
        <v>96</v>
      </c>
      <c r="L1479">
        <v>50</v>
      </c>
      <c r="M1479">
        <v>4</v>
      </c>
      <c r="N1479">
        <v>0</v>
      </c>
      <c r="O1479">
        <v>30</v>
      </c>
      <c r="P1479">
        <v>2</v>
      </c>
      <c r="Q1479">
        <v>7.5</v>
      </c>
      <c r="R1479">
        <v>50</v>
      </c>
      <c r="S1479">
        <v>0</v>
      </c>
      <c r="T1479">
        <v>0</v>
      </c>
      <c r="U1479" s="8">
        <v>100</v>
      </c>
      <c r="V1479" s="8">
        <f t="shared" si="23"/>
        <v>10</v>
      </c>
    </row>
    <row r="1480" spans="1:22" x14ac:dyDescent="0.3">
      <c r="A1480" t="s">
        <v>602</v>
      </c>
      <c r="B1480">
        <v>4</v>
      </c>
      <c r="C1480" t="s">
        <v>447</v>
      </c>
      <c r="D1480" t="s">
        <v>448</v>
      </c>
      <c r="E1480" t="s">
        <v>258</v>
      </c>
      <c r="F1480" t="s">
        <v>109</v>
      </c>
      <c r="G1480" t="s">
        <v>134</v>
      </c>
      <c r="H1480">
        <v>14</v>
      </c>
      <c r="I1480">
        <v>7</v>
      </c>
      <c r="J1480">
        <v>200</v>
      </c>
      <c r="K1480" t="s">
        <v>96</v>
      </c>
      <c r="L1480">
        <v>25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 s="8">
        <v>25</v>
      </c>
      <c r="V1480" s="8">
        <f t="shared" si="23"/>
        <v>3</v>
      </c>
    </row>
    <row r="1481" spans="1:22" x14ac:dyDescent="0.3">
      <c r="A1481" t="s">
        <v>602</v>
      </c>
      <c r="B1481">
        <v>4</v>
      </c>
      <c r="C1481" t="s">
        <v>178</v>
      </c>
      <c r="D1481" t="s">
        <v>179</v>
      </c>
      <c r="E1481" t="s">
        <v>258</v>
      </c>
      <c r="F1481" t="s">
        <v>169</v>
      </c>
      <c r="G1481" t="s">
        <v>104</v>
      </c>
      <c r="H1481">
        <v>0</v>
      </c>
      <c r="I1481">
        <v>0</v>
      </c>
      <c r="J1481">
        <v>0</v>
      </c>
      <c r="K1481" t="s">
        <v>104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 s="8">
        <v>0</v>
      </c>
      <c r="V1481" s="8">
        <f t="shared" si="23"/>
        <v>0</v>
      </c>
    </row>
    <row r="1482" spans="1:22" x14ac:dyDescent="0.3">
      <c r="A1482" t="s">
        <v>602</v>
      </c>
      <c r="B1482">
        <v>4</v>
      </c>
      <c r="C1482" t="s">
        <v>493</v>
      </c>
      <c r="D1482" t="s">
        <v>500</v>
      </c>
      <c r="E1482" t="s">
        <v>258</v>
      </c>
      <c r="F1482" t="s">
        <v>169</v>
      </c>
      <c r="G1482" t="s">
        <v>104</v>
      </c>
      <c r="H1482">
        <v>0</v>
      </c>
      <c r="I1482">
        <v>0</v>
      </c>
      <c r="J1482">
        <v>0</v>
      </c>
      <c r="K1482" t="s">
        <v>104</v>
      </c>
      <c r="L1482">
        <v>0</v>
      </c>
      <c r="M1482">
        <v>4</v>
      </c>
      <c r="N1482">
        <v>0</v>
      </c>
      <c r="O1482">
        <v>38</v>
      </c>
      <c r="P1482">
        <v>0</v>
      </c>
      <c r="Q1482">
        <v>9.5</v>
      </c>
      <c r="R1482">
        <v>0</v>
      </c>
      <c r="S1482">
        <v>0</v>
      </c>
      <c r="T1482">
        <v>0</v>
      </c>
      <c r="U1482" s="8">
        <v>0</v>
      </c>
      <c r="V1482" s="8">
        <f t="shared" si="23"/>
        <v>0</v>
      </c>
    </row>
    <row r="1483" spans="1:22" x14ac:dyDescent="0.3">
      <c r="A1483" t="s">
        <v>602</v>
      </c>
      <c r="B1483">
        <v>4</v>
      </c>
      <c r="C1483" t="s">
        <v>105</v>
      </c>
      <c r="D1483" t="s">
        <v>128</v>
      </c>
      <c r="E1483" t="s">
        <v>258</v>
      </c>
      <c r="F1483" t="s">
        <v>101</v>
      </c>
      <c r="G1483" t="s">
        <v>104</v>
      </c>
      <c r="H1483">
        <v>0</v>
      </c>
      <c r="I1483">
        <v>0</v>
      </c>
      <c r="J1483">
        <v>0</v>
      </c>
      <c r="K1483" t="s">
        <v>104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 s="8">
        <v>0</v>
      </c>
      <c r="V1483" s="8">
        <f t="shared" si="23"/>
        <v>0</v>
      </c>
    </row>
    <row r="1484" spans="1:22" x14ac:dyDescent="0.3">
      <c r="A1484" t="s">
        <v>602</v>
      </c>
      <c r="B1484">
        <v>4</v>
      </c>
      <c r="C1484" t="s">
        <v>237</v>
      </c>
      <c r="D1484" t="s">
        <v>238</v>
      </c>
      <c r="E1484" t="s">
        <v>258</v>
      </c>
      <c r="F1484" t="s">
        <v>101</v>
      </c>
      <c r="G1484" t="s">
        <v>104</v>
      </c>
      <c r="H1484">
        <v>0</v>
      </c>
      <c r="I1484">
        <v>0</v>
      </c>
      <c r="J1484">
        <v>0</v>
      </c>
      <c r="K1484" t="s">
        <v>104</v>
      </c>
      <c r="L1484">
        <v>0</v>
      </c>
      <c r="M1484">
        <v>1</v>
      </c>
      <c r="N1484">
        <v>0</v>
      </c>
      <c r="O1484">
        <v>7</v>
      </c>
      <c r="P1484">
        <v>1</v>
      </c>
      <c r="Q1484">
        <v>7</v>
      </c>
      <c r="R1484">
        <v>35</v>
      </c>
      <c r="S1484">
        <v>0</v>
      </c>
      <c r="T1484">
        <v>0</v>
      </c>
      <c r="U1484" s="8">
        <v>35</v>
      </c>
      <c r="V1484" s="8">
        <f t="shared" si="23"/>
        <v>4</v>
      </c>
    </row>
    <row r="1485" spans="1:22" x14ac:dyDescent="0.3">
      <c r="A1485" t="s">
        <v>602</v>
      </c>
      <c r="B1485">
        <v>4</v>
      </c>
      <c r="C1485" t="s">
        <v>186</v>
      </c>
      <c r="D1485" t="s">
        <v>187</v>
      </c>
      <c r="E1485" t="s">
        <v>258</v>
      </c>
      <c r="F1485" t="s">
        <v>101</v>
      </c>
      <c r="G1485" t="s">
        <v>104</v>
      </c>
      <c r="H1485">
        <v>0</v>
      </c>
      <c r="I1485">
        <v>0</v>
      </c>
      <c r="J1485">
        <v>0</v>
      </c>
      <c r="K1485" t="s">
        <v>104</v>
      </c>
      <c r="L1485">
        <v>0</v>
      </c>
      <c r="M1485">
        <v>4</v>
      </c>
      <c r="N1485">
        <v>0</v>
      </c>
      <c r="O1485">
        <v>25</v>
      </c>
      <c r="P1485">
        <v>2</v>
      </c>
      <c r="Q1485">
        <v>6.2</v>
      </c>
      <c r="R1485">
        <v>50</v>
      </c>
      <c r="S1485">
        <v>0</v>
      </c>
      <c r="T1485">
        <v>0</v>
      </c>
      <c r="U1485" s="8">
        <v>50</v>
      </c>
      <c r="V1485" s="8">
        <f t="shared" si="23"/>
        <v>5</v>
      </c>
    </row>
    <row r="1486" spans="1:22" x14ac:dyDescent="0.3">
      <c r="A1486" t="s">
        <v>602</v>
      </c>
      <c r="B1486">
        <v>4</v>
      </c>
      <c r="C1486" t="s">
        <v>229</v>
      </c>
      <c r="D1486" t="s">
        <v>230</v>
      </c>
      <c r="E1486" t="s">
        <v>219</v>
      </c>
      <c r="F1486" t="s">
        <v>109</v>
      </c>
      <c r="G1486" t="s">
        <v>86</v>
      </c>
      <c r="H1486">
        <v>1</v>
      </c>
      <c r="I1486">
        <v>4</v>
      </c>
      <c r="J1486">
        <v>25</v>
      </c>
      <c r="K1486" t="s">
        <v>245</v>
      </c>
      <c r="L1486">
        <v>-5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 s="8">
        <v>-5</v>
      </c>
      <c r="V1486" s="8">
        <f t="shared" si="23"/>
        <v>0</v>
      </c>
    </row>
    <row r="1487" spans="1:22" x14ac:dyDescent="0.3">
      <c r="A1487" t="s">
        <v>602</v>
      </c>
      <c r="B1487">
        <v>4</v>
      </c>
      <c r="C1487" t="s">
        <v>190</v>
      </c>
      <c r="D1487" t="s">
        <v>191</v>
      </c>
      <c r="E1487" t="s">
        <v>219</v>
      </c>
      <c r="F1487" t="s">
        <v>109</v>
      </c>
      <c r="G1487" t="s">
        <v>86</v>
      </c>
      <c r="H1487">
        <v>30</v>
      </c>
      <c r="I1487">
        <v>27</v>
      </c>
      <c r="J1487">
        <v>111.11</v>
      </c>
      <c r="K1487" t="s">
        <v>247</v>
      </c>
      <c r="L1487">
        <v>30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 s="8">
        <v>30</v>
      </c>
      <c r="V1487" s="8">
        <f t="shared" si="23"/>
        <v>3</v>
      </c>
    </row>
    <row r="1488" spans="1:22" x14ac:dyDescent="0.3">
      <c r="A1488" t="s">
        <v>602</v>
      </c>
      <c r="B1488">
        <v>4</v>
      </c>
      <c r="C1488" t="s">
        <v>383</v>
      </c>
      <c r="D1488" t="s">
        <v>384</v>
      </c>
      <c r="E1488" t="s">
        <v>219</v>
      </c>
      <c r="F1488" t="s">
        <v>109</v>
      </c>
      <c r="G1488" t="s">
        <v>92</v>
      </c>
      <c r="H1488">
        <v>78</v>
      </c>
      <c r="I1488">
        <v>40</v>
      </c>
      <c r="J1488">
        <v>195</v>
      </c>
      <c r="K1488" t="s">
        <v>246</v>
      </c>
      <c r="L1488">
        <v>105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 s="8">
        <v>105</v>
      </c>
      <c r="V1488" s="8">
        <f t="shared" si="23"/>
        <v>10</v>
      </c>
    </row>
    <row r="1489" spans="1:22" x14ac:dyDescent="0.3">
      <c r="A1489" t="s">
        <v>602</v>
      </c>
      <c r="B1489">
        <v>4</v>
      </c>
      <c r="C1489" t="s">
        <v>89</v>
      </c>
      <c r="D1489" t="s">
        <v>116</v>
      </c>
      <c r="E1489" t="s">
        <v>219</v>
      </c>
      <c r="F1489" t="s">
        <v>169</v>
      </c>
      <c r="G1489" t="s">
        <v>92</v>
      </c>
      <c r="H1489">
        <v>0</v>
      </c>
      <c r="I1489">
        <v>2</v>
      </c>
      <c r="J1489">
        <v>0</v>
      </c>
      <c r="K1489" t="s">
        <v>246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 s="8">
        <v>0</v>
      </c>
      <c r="V1489" s="8">
        <f t="shared" si="23"/>
        <v>0</v>
      </c>
    </row>
    <row r="1490" spans="1:22" x14ac:dyDescent="0.3">
      <c r="A1490" t="s">
        <v>602</v>
      </c>
      <c r="B1490">
        <v>4</v>
      </c>
      <c r="C1490" t="s">
        <v>224</v>
      </c>
      <c r="D1490" t="s">
        <v>225</v>
      </c>
      <c r="E1490" t="s">
        <v>219</v>
      </c>
      <c r="F1490" t="s">
        <v>169</v>
      </c>
      <c r="G1490" t="s">
        <v>134</v>
      </c>
      <c r="H1490">
        <v>1</v>
      </c>
      <c r="I1490">
        <v>2</v>
      </c>
      <c r="J1490">
        <v>50</v>
      </c>
      <c r="K1490" t="s">
        <v>246</v>
      </c>
      <c r="L1490">
        <v>-5</v>
      </c>
      <c r="M1490">
        <v>3</v>
      </c>
      <c r="N1490">
        <v>0</v>
      </c>
      <c r="O1490">
        <v>32</v>
      </c>
      <c r="P1490">
        <v>0</v>
      </c>
      <c r="Q1490">
        <v>10.7</v>
      </c>
      <c r="R1490">
        <v>-10</v>
      </c>
      <c r="S1490">
        <v>0</v>
      </c>
      <c r="T1490">
        <v>0</v>
      </c>
      <c r="U1490" s="8">
        <v>-15</v>
      </c>
      <c r="V1490" s="8">
        <f t="shared" si="23"/>
        <v>0</v>
      </c>
    </row>
    <row r="1491" spans="1:22" x14ac:dyDescent="0.3">
      <c r="A1491" t="s">
        <v>602</v>
      </c>
      <c r="B1491">
        <v>4</v>
      </c>
      <c r="C1491" t="s">
        <v>220</v>
      </c>
      <c r="D1491" t="s">
        <v>221</v>
      </c>
      <c r="E1491" t="s">
        <v>219</v>
      </c>
      <c r="F1491" t="s">
        <v>85</v>
      </c>
      <c r="G1491" t="s">
        <v>134</v>
      </c>
      <c r="H1491">
        <v>25</v>
      </c>
      <c r="I1491">
        <v>17</v>
      </c>
      <c r="J1491">
        <v>147.06</v>
      </c>
      <c r="K1491" t="s">
        <v>245</v>
      </c>
      <c r="L1491">
        <v>35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 s="8">
        <v>35</v>
      </c>
      <c r="V1491" s="8">
        <f t="shared" si="23"/>
        <v>4</v>
      </c>
    </row>
    <row r="1492" spans="1:22" x14ac:dyDescent="0.3">
      <c r="A1492" t="s">
        <v>602</v>
      </c>
      <c r="B1492">
        <v>4</v>
      </c>
      <c r="C1492" t="s">
        <v>530</v>
      </c>
      <c r="D1492" t="s">
        <v>502</v>
      </c>
      <c r="E1492" t="s">
        <v>219</v>
      </c>
      <c r="F1492" t="s">
        <v>169</v>
      </c>
      <c r="G1492" t="s">
        <v>134</v>
      </c>
      <c r="H1492">
        <v>12</v>
      </c>
      <c r="I1492">
        <v>9</v>
      </c>
      <c r="J1492">
        <v>133.33000000000001</v>
      </c>
      <c r="K1492" t="s">
        <v>246</v>
      </c>
      <c r="L1492">
        <v>20</v>
      </c>
      <c r="M1492">
        <v>4</v>
      </c>
      <c r="N1492">
        <v>0</v>
      </c>
      <c r="O1492">
        <v>47</v>
      </c>
      <c r="P1492">
        <v>1</v>
      </c>
      <c r="Q1492">
        <v>11.8</v>
      </c>
      <c r="R1492">
        <v>25</v>
      </c>
      <c r="S1492">
        <v>0</v>
      </c>
      <c r="T1492">
        <v>0</v>
      </c>
      <c r="U1492" s="8">
        <v>45</v>
      </c>
      <c r="V1492" s="8">
        <f t="shared" si="23"/>
        <v>5</v>
      </c>
    </row>
    <row r="1493" spans="1:22" x14ac:dyDescent="0.3">
      <c r="A1493" t="s">
        <v>602</v>
      </c>
      <c r="B1493">
        <v>4</v>
      </c>
      <c r="C1493" t="s">
        <v>233</v>
      </c>
      <c r="D1493" t="s">
        <v>234</v>
      </c>
      <c r="E1493" t="s">
        <v>219</v>
      </c>
      <c r="F1493" t="s">
        <v>101</v>
      </c>
      <c r="G1493" t="s">
        <v>134</v>
      </c>
      <c r="H1493">
        <v>11</v>
      </c>
      <c r="I1493">
        <v>8</v>
      </c>
      <c r="J1493">
        <v>137.5</v>
      </c>
      <c r="K1493" t="s">
        <v>246</v>
      </c>
      <c r="L1493">
        <v>20</v>
      </c>
      <c r="M1493">
        <v>4</v>
      </c>
      <c r="N1493">
        <v>0</v>
      </c>
      <c r="O1493">
        <v>32</v>
      </c>
      <c r="P1493">
        <v>2</v>
      </c>
      <c r="Q1493">
        <v>8</v>
      </c>
      <c r="R1493">
        <v>50</v>
      </c>
      <c r="S1493">
        <v>0</v>
      </c>
      <c r="T1493">
        <v>0</v>
      </c>
      <c r="U1493" s="8">
        <v>70</v>
      </c>
      <c r="V1493" s="8">
        <f t="shared" si="23"/>
        <v>7</v>
      </c>
    </row>
    <row r="1494" spans="1:22" x14ac:dyDescent="0.3">
      <c r="A1494" t="s">
        <v>602</v>
      </c>
      <c r="B1494">
        <v>4</v>
      </c>
      <c r="C1494" t="s">
        <v>180</v>
      </c>
      <c r="D1494" t="s">
        <v>181</v>
      </c>
      <c r="E1494" t="s">
        <v>219</v>
      </c>
      <c r="F1494" t="s">
        <v>169</v>
      </c>
      <c r="G1494" t="s">
        <v>134</v>
      </c>
      <c r="H1494">
        <v>27</v>
      </c>
      <c r="I1494">
        <v>10</v>
      </c>
      <c r="J1494">
        <v>270</v>
      </c>
      <c r="K1494" t="s">
        <v>96</v>
      </c>
      <c r="L1494">
        <v>45</v>
      </c>
      <c r="M1494">
        <v>3</v>
      </c>
      <c r="N1494">
        <v>0</v>
      </c>
      <c r="O1494">
        <v>36</v>
      </c>
      <c r="P1494">
        <v>0</v>
      </c>
      <c r="Q1494">
        <v>12</v>
      </c>
      <c r="R1494">
        <v>-10</v>
      </c>
      <c r="S1494">
        <v>0</v>
      </c>
      <c r="T1494">
        <v>0</v>
      </c>
      <c r="U1494" s="8">
        <v>35</v>
      </c>
      <c r="V1494" s="8">
        <f t="shared" si="23"/>
        <v>4</v>
      </c>
    </row>
    <row r="1495" spans="1:22" x14ac:dyDescent="0.3">
      <c r="A1495" t="s">
        <v>602</v>
      </c>
      <c r="B1495">
        <v>4</v>
      </c>
      <c r="C1495" t="s">
        <v>204</v>
      </c>
      <c r="D1495" t="s">
        <v>205</v>
      </c>
      <c r="E1495" t="s">
        <v>219</v>
      </c>
      <c r="F1495" t="s">
        <v>169</v>
      </c>
      <c r="G1495" t="s">
        <v>134</v>
      </c>
      <c r="H1495">
        <v>1</v>
      </c>
      <c r="I1495">
        <v>1</v>
      </c>
      <c r="J1495">
        <v>100</v>
      </c>
      <c r="K1495" t="s">
        <v>96</v>
      </c>
      <c r="L1495">
        <v>5</v>
      </c>
      <c r="M1495">
        <v>3</v>
      </c>
      <c r="N1495">
        <v>0</v>
      </c>
      <c r="O1495">
        <v>29</v>
      </c>
      <c r="P1495">
        <v>1</v>
      </c>
      <c r="Q1495">
        <v>9.6999999999999993</v>
      </c>
      <c r="R1495">
        <v>25</v>
      </c>
      <c r="S1495">
        <v>0</v>
      </c>
      <c r="T1495">
        <v>0</v>
      </c>
      <c r="U1495" s="8">
        <v>30</v>
      </c>
      <c r="V1495" s="8">
        <f t="shared" si="23"/>
        <v>3</v>
      </c>
    </row>
    <row r="1496" spans="1:22" x14ac:dyDescent="0.3">
      <c r="A1496" t="s">
        <v>602</v>
      </c>
      <c r="B1496">
        <v>4</v>
      </c>
      <c r="C1496" t="s">
        <v>509</v>
      </c>
      <c r="D1496" t="s">
        <v>523</v>
      </c>
      <c r="E1496" t="s">
        <v>219</v>
      </c>
      <c r="F1496" t="s">
        <v>101</v>
      </c>
      <c r="G1496" t="s">
        <v>104</v>
      </c>
      <c r="H1496">
        <v>0</v>
      </c>
      <c r="I1496">
        <v>0</v>
      </c>
      <c r="J1496">
        <v>0</v>
      </c>
      <c r="K1496" t="s">
        <v>104</v>
      </c>
      <c r="L1496">
        <v>0</v>
      </c>
      <c r="M1496">
        <v>3</v>
      </c>
      <c r="N1496">
        <v>0</v>
      </c>
      <c r="O1496">
        <v>30</v>
      </c>
      <c r="P1496">
        <v>0</v>
      </c>
      <c r="Q1496">
        <v>10</v>
      </c>
      <c r="R1496">
        <v>-5</v>
      </c>
      <c r="S1496">
        <v>0</v>
      </c>
      <c r="T1496">
        <v>0</v>
      </c>
      <c r="U1496" s="8">
        <v>-5</v>
      </c>
      <c r="V1496" s="8">
        <f t="shared" si="23"/>
        <v>0</v>
      </c>
    </row>
    <row r="1497" spans="1:22" x14ac:dyDescent="0.3">
      <c r="A1497" t="s">
        <v>603</v>
      </c>
      <c r="B1497">
        <v>4</v>
      </c>
      <c r="C1497" t="s">
        <v>119</v>
      </c>
      <c r="D1497" t="s">
        <v>95</v>
      </c>
      <c r="E1497" t="s">
        <v>266</v>
      </c>
      <c r="F1497" t="s">
        <v>169</v>
      </c>
      <c r="G1497" t="s">
        <v>92</v>
      </c>
      <c r="H1497">
        <v>0</v>
      </c>
      <c r="I1497">
        <v>1</v>
      </c>
      <c r="J1497">
        <v>0</v>
      </c>
      <c r="K1497" t="s">
        <v>246</v>
      </c>
      <c r="L1497">
        <v>-5</v>
      </c>
      <c r="M1497">
        <v>4</v>
      </c>
      <c r="N1497">
        <v>0</v>
      </c>
      <c r="O1497">
        <v>24</v>
      </c>
      <c r="P1497">
        <v>3</v>
      </c>
      <c r="Q1497">
        <v>6</v>
      </c>
      <c r="R1497">
        <v>60</v>
      </c>
      <c r="S1497">
        <v>0</v>
      </c>
      <c r="T1497">
        <v>0</v>
      </c>
      <c r="U1497" s="8">
        <v>55</v>
      </c>
      <c r="V1497" s="8">
        <f t="shared" si="23"/>
        <v>6</v>
      </c>
    </row>
    <row r="1498" spans="1:22" x14ac:dyDescent="0.3">
      <c r="A1498" t="s">
        <v>603</v>
      </c>
      <c r="B1498">
        <v>4</v>
      </c>
      <c r="C1498" t="s">
        <v>510</v>
      </c>
      <c r="D1498" t="s">
        <v>538</v>
      </c>
      <c r="E1498" t="s">
        <v>266</v>
      </c>
      <c r="F1498" t="s">
        <v>85</v>
      </c>
      <c r="G1498" t="s">
        <v>92</v>
      </c>
      <c r="H1498">
        <v>16</v>
      </c>
      <c r="I1498">
        <v>19</v>
      </c>
      <c r="J1498">
        <v>84.21</v>
      </c>
      <c r="K1498" t="s">
        <v>246</v>
      </c>
      <c r="L1498">
        <v>15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 s="8">
        <v>15</v>
      </c>
      <c r="V1498" s="8">
        <f t="shared" si="23"/>
        <v>2</v>
      </c>
    </row>
    <row r="1499" spans="1:22" x14ac:dyDescent="0.3">
      <c r="A1499" t="s">
        <v>603</v>
      </c>
      <c r="B1499">
        <v>4</v>
      </c>
      <c r="C1499" t="s">
        <v>117</v>
      </c>
      <c r="D1499" t="s">
        <v>90</v>
      </c>
      <c r="E1499" t="s">
        <v>266</v>
      </c>
      <c r="F1499" t="s">
        <v>169</v>
      </c>
      <c r="G1499" t="s">
        <v>92</v>
      </c>
      <c r="H1499">
        <v>70</v>
      </c>
      <c r="I1499">
        <v>46</v>
      </c>
      <c r="J1499">
        <v>152.16999999999999</v>
      </c>
      <c r="K1499" t="s">
        <v>246</v>
      </c>
      <c r="L1499">
        <v>90</v>
      </c>
      <c r="M1499">
        <v>3</v>
      </c>
      <c r="N1499">
        <v>0</v>
      </c>
      <c r="O1499">
        <v>29</v>
      </c>
      <c r="P1499">
        <v>2</v>
      </c>
      <c r="Q1499">
        <v>9.6999999999999993</v>
      </c>
      <c r="R1499">
        <v>50</v>
      </c>
      <c r="S1499">
        <v>0</v>
      </c>
      <c r="T1499">
        <v>0</v>
      </c>
      <c r="U1499" s="8">
        <v>140</v>
      </c>
      <c r="V1499" s="8">
        <f t="shared" si="23"/>
        <v>10</v>
      </c>
    </row>
    <row r="1500" spans="1:22" x14ac:dyDescent="0.3">
      <c r="A1500" t="s">
        <v>603</v>
      </c>
      <c r="B1500">
        <v>4</v>
      </c>
      <c r="C1500" t="s">
        <v>115</v>
      </c>
      <c r="D1500" t="s">
        <v>17</v>
      </c>
      <c r="E1500" t="s">
        <v>266</v>
      </c>
      <c r="F1500" t="s">
        <v>169</v>
      </c>
      <c r="G1500" t="s">
        <v>134</v>
      </c>
      <c r="H1500">
        <v>74</v>
      </c>
      <c r="I1500">
        <v>42</v>
      </c>
      <c r="J1500">
        <v>176.19</v>
      </c>
      <c r="K1500" t="s">
        <v>96</v>
      </c>
      <c r="L1500">
        <v>95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 s="8">
        <v>95</v>
      </c>
      <c r="V1500" s="8">
        <f t="shared" si="23"/>
        <v>10</v>
      </c>
    </row>
    <row r="1501" spans="1:22" x14ac:dyDescent="0.3">
      <c r="A1501" t="s">
        <v>603</v>
      </c>
      <c r="B1501">
        <v>4</v>
      </c>
      <c r="C1501" t="s">
        <v>517</v>
      </c>
      <c r="D1501" t="s">
        <v>626</v>
      </c>
      <c r="E1501" t="s">
        <v>266</v>
      </c>
      <c r="F1501" t="s">
        <v>169</v>
      </c>
      <c r="G1501" t="s">
        <v>134</v>
      </c>
      <c r="H1501">
        <v>21</v>
      </c>
      <c r="I1501">
        <v>12</v>
      </c>
      <c r="J1501">
        <v>175</v>
      </c>
      <c r="K1501" t="s">
        <v>245</v>
      </c>
      <c r="L1501">
        <v>35</v>
      </c>
      <c r="M1501">
        <v>4</v>
      </c>
      <c r="N1501">
        <v>0</v>
      </c>
      <c r="O1501">
        <v>37</v>
      </c>
      <c r="P1501">
        <v>3</v>
      </c>
      <c r="Q1501">
        <v>9.1999999999999993</v>
      </c>
      <c r="R1501">
        <v>75</v>
      </c>
      <c r="S1501">
        <v>0</v>
      </c>
      <c r="T1501">
        <v>0</v>
      </c>
      <c r="U1501" s="8">
        <v>110</v>
      </c>
      <c r="V1501" s="8">
        <f t="shared" si="23"/>
        <v>10</v>
      </c>
    </row>
    <row r="1502" spans="1:22" x14ac:dyDescent="0.3">
      <c r="A1502" t="s">
        <v>603</v>
      </c>
      <c r="B1502">
        <v>4</v>
      </c>
      <c r="C1502" t="s">
        <v>347</v>
      </c>
      <c r="D1502" t="s">
        <v>348</v>
      </c>
      <c r="E1502" t="s">
        <v>266</v>
      </c>
      <c r="F1502" t="s">
        <v>169</v>
      </c>
      <c r="G1502" t="s">
        <v>134</v>
      </c>
      <c r="H1502">
        <v>5</v>
      </c>
      <c r="I1502">
        <v>2</v>
      </c>
      <c r="J1502">
        <v>250</v>
      </c>
      <c r="K1502" t="s">
        <v>96</v>
      </c>
      <c r="L1502">
        <v>15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 s="8">
        <v>15</v>
      </c>
      <c r="V1502" s="8">
        <f t="shared" si="23"/>
        <v>2</v>
      </c>
    </row>
    <row r="1503" spans="1:22" x14ac:dyDescent="0.3">
      <c r="A1503" t="s">
        <v>603</v>
      </c>
      <c r="B1503">
        <v>4</v>
      </c>
      <c r="C1503" t="s">
        <v>121</v>
      </c>
      <c r="D1503" t="s">
        <v>108</v>
      </c>
      <c r="E1503" t="s">
        <v>266</v>
      </c>
      <c r="F1503" t="s">
        <v>169</v>
      </c>
      <c r="G1503" t="s">
        <v>104</v>
      </c>
      <c r="H1503">
        <v>0</v>
      </c>
      <c r="I1503">
        <v>0</v>
      </c>
      <c r="J1503">
        <v>0</v>
      </c>
      <c r="K1503" t="s">
        <v>104</v>
      </c>
      <c r="L1503">
        <v>0</v>
      </c>
      <c r="M1503">
        <v>2</v>
      </c>
      <c r="N1503">
        <v>0</v>
      </c>
      <c r="O1503">
        <v>17</v>
      </c>
      <c r="P1503">
        <v>0</v>
      </c>
      <c r="Q1503">
        <v>8.5</v>
      </c>
      <c r="R1503">
        <v>0</v>
      </c>
      <c r="S1503">
        <v>0</v>
      </c>
      <c r="T1503">
        <v>0</v>
      </c>
      <c r="U1503" s="8">
        <v>0</v>
      </c>
      <c r="V1503" s="8">
        <f t="shared" si="23"/>
        <v>0</v>
      </c>
    </row>
    <row r="1504" spans="1:22" x14ac:dyDescent="0.3">
      <c r="A1504" t="s">
        <v>603</v>
      </c>
      <c r="B1504">
        <v>4</v>
      </c>
      <c r="C1504" t="s">
        <v>273</v>
      </c>
      <c r="D1504" t="s">
        <v>279</v>
      </c>
      <c r="E1504" t="s">
        <v>266</v>
      </c>
      <c r="F1504" t="s">
        <v>169</v>
      </c>
      <c r="G1504" t="s">
        <v>104</v>
      </c>
      <c r="H1504">
        <v>0</v>
      </c>
      <c r="I1504">
        <v>0</v>
      </c>
      <c r="J1504">
        <v>0</v>
      </c>
      <c r="K1504" t="s">
        <v>104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 s="8">
        <v>0</v>
      </c>
      <c r="V1504" s="8">
        <f t="shared" si="23"/>
        <v>0</v>
      </c>
    </row>
    <row r="1505" spans="1:22" x14ac:dyDescent="0.3">
      <c r="A1505" t="s">
        <v>603</v>
      </c>
      <c r="B1505">
        <v>4</v>
      </c>
      <c r="C1505" t="s">
        <v>534</v>
      </c>
      <c r="D1505" t="s">
        <v>639</v>
      </c>
      <c r="E1505" t="s">
        <v>266</v>
      </c>
      <c r="F1505" t="s">
        <v>169</v>
      </c>
      <c r="G1505" t="s">
        <v>104</v>
      </c>
      <c r="H1505">
        <v>0</v>
      </c>
      <c r="I1505">
        <v>0</v>
      </c>
      <c r="J1505">
        <v>0</v>
      </c>
      <c r="K1505" t="s">
        <v>104</v>
      </c>
      <c r="L1505">
        <v>0</v>
      </c>
      <c r="M1505">
        <v>1</v>
      </c>
      <c r="N1505">
        <v>0</v>
      </c>
      <c r="O1505">
        <v>12</v>
      </c>
      <c r="P1505">
        <v>0</v>
      </c>
      <c r="Q1505">
        <v>12</v>
      </c>
      <c r="R1505">
        <v>-5</v>
      </c>
      <c r="S1505">
        <v>0</v>
      </c>
      <c r="T1505">
        <v>0</v>
      </c>
      <c r="U1505" s="8">
        <v>-5</v>
      </c>
      <c r="V1505" s="8">
        <f t="shared" si="23"/>
        <v>0</v>
      </c>
    </row>
    <row r="1506" spans="1:22" x14ac:dyDescent="0.3">
      <c r="A1506" t="s">
        <v>603</v>
      </c>
      <c r="B1506">
        <v>4</v>
      </c>
      <c r="C1506" t="s">
        <v>265</v>
      </c>
      <c r="D1506" t="s">
        <v>264</v>
      </c>
      <c r="E1506" t="s">
        <v>266</v>
      </c>
      <c r="F1506" t="s">
        <v>101</v>
      </c>
      <c r="G1506" t="s">
        <v>104</v>
      </c>
      <c r="H1506">
        <v>0</v>
      </c>
      <c r="I1506">
        <v>0</v>
      </c>
      <c r="J1506">
        <v>0</v>
      </c>
      <c r="K1506" t="s">
        <v>104</v>
      </c>
      <c r="L1506">
        <v>0</v>
      </c>
      <c r="M1506">
        <v>4</v>
      </c>
      <c r="N1506">
        <v>0</v>
      </c>
      <c r="O1506">
        <v>14</v>
      </c>
      <c r="P1506">
        <v>1</v>
      </c>
      <c r="Q1506">
        <v>3.5</v>
      </c>
      <c r="R1506">
        <v>40</v>
      </c>
      <c r="S1506">
        <v>0</v>
      </c>
      <c r="T1506">
        <v>0</v>
      </c>
      <c r="U1506" s="8">
        <v>40</v>
      </c>
      <c r="V1506" s="8">
        <f t="shared" si="23"/>
        <v>4</v>
      </c>
    </row>
    <row r="1507" spans="1:22" x14ac:dyDescent="0.3">
      <c r="A1507" t="s">
        <v>603</v>
      </c>
      <c r="B1507">
        <v>4</v>
      </c>
      <c r="C1507" t="s">
        <v>507</v>
      </c>
      <c r="D1507" t="s">
        <v>519</v>
      </c>
      <c r="E1507" t="s">
        <v>266</v>
      </c>
      <c r="F1507" t="s">
        <v>169</v>
      </c>
      <c r="G1507" t="s">
        <v>104</v>
      </c>
      <c r="H1507">
        <v>0</v>
      </c>
      <c r="I1507">
        <v>0</v>
      </c>
      <c r="J1507">
        <v>0</v>
      </c>
      <c r="K1507" t="s">
        <v>104</v>
      </c>
      <c r="L1507">
        <v>0</v>
      </c>
      <c r="M1507">
        <v>1</v>
      </c>
      <c r="N1507">
        <v>0</v>
      </c>
      <c r="O1507">
        <v>9</v>
      </c>
      <c r="P1507">
        <v>1</v>
      </c>
      <c r="Q1507">
        <v>9</v>
      </c>
      <c r="R1507">
        <v>25</v>
      </c>
      <c r="S1507">
        <v>0</v>
      </c>
      <c r="T1507">
        <v>0</v>
      </c>
      <c r="U1507" s="8">
        <v>25</v>
      </c>
      <c r="V1507" s="8">
        <f t="shared" si="23"/>
        <v>3</v>
      </c>
    </row>
    <row r="1508" spans="1:22" x14ac:dyDescent="0.3">
      <c r="A1508" t="s">
        <v>603</v>
      </c>
      <c r="B1508">
        <v>4</v>
      </c>
      <c r="C1508" t="s">
        <v>531</v>
      </c>
      <c r="D1508" t="s">
        <v>636</v>
      </c>
      <c r="E1508" t="s">
        <v>158</v>
      </c>
      <c r="F1508" t="s">
        <v>85</v>
      </c>
      <c r="G1508" t="s">
        <v>86</v>
      </c>
      <c r="H1508">
        <v>10</v>
      </c>
      <c r="I1508">
        <v>10</v>
      </c>
      <c r="J1508">
        <v>100</v>
      </c>
      <c r="K1508" t="s">
        <v>246</v>
      </c>
      <c r="L1508">
        <v>15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 s="8">
        <v>15</v>
      </c>
      <c r="V1508" s="8">
        <f t="shared" si="23"/>
        <v>2</v>
      </c>
    </row>
    <row r="1509" spans="1:22" x14ac:dyDescent="0.3">
      <c r="A1509" t="s">
        <v>603</v>
      </c>
      <c r="B1509">
        <v>4</v>
      </c>
      <c r="C1509" t="s">
        <v>188</v>
      </c>
      <c r="D1509" t="s">
        <v>189</v>
      </c>
      <c r="E1509" t="s">
        <v>158</v>
      </c>
      <c r="F1509" t="s">
        <v>109</v>
      </c>
      <c r="G1509" t="s">
        <v>86</v>
      </c>
      <c r="H1509">
        <v>8</v>
      </c>
      <c r="I1509">
        <v>13</v>
      </c>
      <c r="J1509">
        <v>61.54</v>
      </c>
      <c r="K1509" t="s">
        <v>245</v>
      </c>
      <c r="L1509">
        <v>-5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 s="8">
        <v>-5</v>
      </c>
      <c r="V1509" s="8">
        <f t="shared" si="23"/>
        <v>0</v>
      </c>
    </row>
    <row r="1510" spans="1:22" x14ac:dyDescent="0.3">
      <c r="A1510" t="s">
        <v>603</v>
      </c>
      <c r="B1510">
        <v>4</v>
      </c>
      <c r="C1510" t="s">
        <v>278</v>
      </c>
      <c r="D1510" t="s">
        <v>293</v>
      </c>
      <c r="E1510" t="s">
        <v>158</v>
      </c>
      <c r="F1510" t="s">
        <v>109</v>
      </c>
      <c r="G1510" t="s">
        <v>92</v>
      </c>
      <c r="H1510">
        <v>9</v>
      </c>
      <c r="I1510">
        <v>5</v>
      </c>
      <c r="J1510">
        <v>180</v>
      </c>
      <c r="K1510" t="s">
        <v>245</v>
      </c>
      <c r="L1510">
        <v>20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 s="8">
        <v>20</v>
      </c>
      <c r="V1510" s="8">
        <f t="shared" si="23"/>
        <v>2</v>
      </c>
    </row>
    <row r="1511" spans="1:22" x14ac:dyDescent="0.3">
      <c r="A1511" t="s">
        <v>603</v>
      </c>
      <c r="B1511">
        <v>4</v>
      </c>
      <c r="C1511" t="s">
        <v>194</v>
      </c>
      <c r="D1511" t="s">
        <v>195</v>
      </c>
      <c r="E1511" t="s">
        <v>158</v>
      </c>
      <c r="F1511" t="s">
        <v>109</v>
      </c>
      <c r="G1511" t="s">
        <v>92</v>
      </c>
      <c r="H1511">
        <v>1</v>
      </c>
      <c r="I1511">
        <v>3</v>
      </c>
      <c r="J1511">
        <v>33.33</v>
      </c>
      <c r="K1511" t="s">
        <v>246</v>
      </c>
      <c r="L1511">
        <v>-5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 s="8">
        <v>-5</v>
      </c>
      <c r="V1511" s="8">
        <f t="shared" si="23"/>
        <v>0</v>
      </c>
    </row>
    <row r="1512" spans="1:22" x14ac:dyDescent="0.3">
      <c r="A1512" t="s">
        <v>603</v>
      </c>
      <c r="B1512">
        <v>4</v>
      </c>
      <c r="C1512" t="s">
        <v>192</v>
      </c>
      <c r="D1512" t="s">
        <v>193</v>
      </c>
      <c r="E1512" t="s">
        <v>158</v>
      </c>
      <c r="F1512" t="s">
        <v>169</v>
      </c>
      <c r="G1512" t="s">
        <v>134</v>
      </c>
      <c r="H1512">
        <v>10</v>
      </c>
      <c r="I1512">
        <v>6</v>
      </c>
      <c r="J1512">
        <v>166.67</v>
      </c>
      <c r="K1512" t="s">
        <v>246</v>
      </c>
      <c r="L1512">
        <v>20</v>
      </c>
      <c r="M1512">
        <v>4</v>
      </c>
      <c r="N1512">
        <v>0</v>
      </c>
      <c r="O1512">
        <v>27</v>
      </c>
      <c r="P1512">
        <v>0</v>
      </c>
      <c r="Q1512">
        <v>6.8</v>
      </c>
      <c r="R1512">
        <v>15</v>
      </c>
      <c r="S1512">
        <v>0</v>
      </c>
      <c r="T1512">
        <v>0</v>
      </c>
      <c r="U1512" s="8">
        <v>35</v>
      </c>
      <c r="V1512" s="8">
        <f t="shared" si="23"/>
        <v>4</v>
      </c>
    </row>
    <row r="1513" spans="1:22" x14ac:dyDescent="0.3">
      <c r="A1513" t="s">
        <v>603</v>
      </c>
      <c r="B1513">
        <v>4</v>
      </c>
      <c r="C1513" t="s">
        <v>495</v>
      </c>
      <c r="D1513" t="s">
        <v>503</v>
      </c>
      <c r="E1513" t="s">
        <v>158</v>
      </c>
      <c r="F1513" t="s">
        <v>169</v>
      </c>
      <c r="G1513" t="s">
        <v>134</v>
      </c>
      <c r="H1513">
        <v>12</v>
      </c>
      <c r="I1513">
        <v>18</v>
      </c>
      <c r="J1513">
        <v>66.67</v>
      </c>
      <c r="K1513" t="s">
        <v>245</v>
      </c>
      <c r="L1513">
        <v>10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 s="8">
        <v>10</v>
      </c>
      <c r="V1513" s="8">
        <f t="shared" si="23"/>
        <v>1</v>
      </c>
    </row>
    <row r="1514" spans="1:22" x14ac:dyDescent="0.3">
      <c r="A1514" t="s">
        <v>603</v>
      </c>
      <c r="B1514">
        <v>4</v>
      </c>
      <c r="C1514" t="s">
        <v>512</v>
      </c>
      <c r="D1514" t="s">
        <v>542</v>
      </c>
      <c r="E1514" t="s">
        <v>158</v>
      </c>
      <c r="F1514" t="s">
        <v>169</v>
      </c>
      <c r="G1514" t="s">
        <v>134</v>
      </c>
      <c r="H1514">
        <v>56</v>
      </c>
      <c r="I1514">
        <v>33</v>
      </c>
      <c r="J1514">
        <v>169.7</v>
      </c>
      <c r="K1514" t="s">
        <v>246</v>
      </c>
      <c r="L1514">
        <v>75</v>
      </c>
      <c r="M1514">
        <v>3</v>
      </c>
      <c r="N1514">
        <v>0</v>
      </c>
      <c r="O1514">
        <v>32</v>
      </c>
      <c r="P1514">
        <v>1</v>
      </c>
      <c r="Q1514">
        <v>10.7</v>
      </c>
      <c r="R1514">
        <v>25</v>
      </c>
      <c r="S1514">
        <v>0</v>
      </c>
      <c r="T1514">
        <v>0</v>
      </c>
      <c r="U1514" s="8">
        <v>100</v>
      </c>
      <c r="V1514" s="8">
        <f t="shared" si="23"/>
        <v>10</v>
      </c>
    </row>
    <row r="1515" spans="1:22" x14ac:dyDescent="0.3">
      <c r="A1515" t="s">
        <v>603</v>
      </c>
      <c r="B1515">
        <v>4</v>
      </c>
      <c r="C1515" t="s">
        <v>102</v>
      </c>
      <c r="D1515" t="s">
        <v>126</v>
      </c>
      <c r="E1515" t="s">
        <v>158</v>
      </c>
      <c r="F1515" t="s">
        <v>169</v>
      </c>
      <c r="G1515" t="s">
        <v>134</v>
      </c>
      <c r="H1515">
        <v>11</v>
      </c>
      <c r="I1515">
        <v>11</v>
      </c>
      <c r="J1515">
        <v>100</v>
      </c>
      <c r="K1515" t="s">
        <v>246</v>
      </c>
      <c r="L1515">
        <v>15</v>
      </c>
      <c r="M1515">
        <v>3</v>
      </c>
      <c r="N1515">
        <v>0</v>
      </c>
      <c r="O1515">
        <v>32</v>
      </c>
      <c r="P1515">
        <v>0</v>
      </c>
      <c r="Q1515">
        <v>10.7</v>
      </c>
      <c r="R1515">
        <v>-5</v>
      </c>
      <c r="S1515">
        <v>0</v>
      </c>
      <c r="T1515">
        <v>0</v>
      </c>
      <c r="U1515" s="8">
        <v>10</v>
      </c>
      <c r="V1515" s="8">
        <f t="shared" si="23"/>
        <v>1</v>
      </c>
    </row>
    <row r="1516" spans="1:22" x14ac:dyDescent="0.3">
      <c r="A1516" t="s">
        <v>603</v>
      </c>
      <c r="B1516">
        <v>4</v>
      </c>
      <c r="C1516" t="s">
        <v>274</v>
      </c>
      <c r="D1516" t="s">
        <v>284</v>
      </c>
      <c r="E1516" t="s">
        <v>158</v>
      </c>
      <c r="F1516" t="s">
        <v>169</v>
      </c>
      <c r="G1516" t="s">
        <v>134</v>
      </c>
      <c r="H1516">
        <v>7</v>
      </c>
      <c r="I1516">
        <v>6</v>
      </c>
      <c r="J1516">
        <v>116.67</v>
      </c>
      <c r="K1516" t="s">
        <v>246</v>
      </c>
      <c r="L1516">
        <v>10</v>
      </c>
      <c r="M1516">
        <v>3</v>
      </c>
      <c r="N1516">
        <v>0</v>
      </c>
      <c r="O1516">
        <v>29</v>
      </c>
      <c r="P1516">
        <v>0</v>
      </c>
      <c r="Q1516">
        <v>9.6999999999999993</v>
      </c>
      <c r="R1516">
        <v>0</v>
      </c>
      <c r="S1516">
        <v>0</v>
      </c>
      <c r="T1516">
        <v>0</v>
      </c>
      <c r="U1516" s="8">
        <v>10</v>
      </c>
      <c r="V1516" s="8">
        <f t="shared" si="23"/>
        <v>1</v>
      </c>
    </row>
    <row r="1517" spans="1:22" x14ac:dyDescent="0.3">
      <c r="A1517" t="s">
        <v>603</v>
      </c>
      <c r="B1517">
        <v>4</v>
      </c>
      <c r="C1517" t="s">
        <v>532</v>
      </c>
      <c r="D1517" t="s">
        <v>637</v>
      </c>
      <c r="E1517" t="s">
        <v>158</v>
      </c>
      <c r="F1517" t="s">
        <v>101</v>
      </c>
      <c r="G1517" t="s">
        <v>134</v>
      </c>
      <c r="H1517">
        <v>10</v>
      </c>
      <c r="I1517">
        <v>6</v>
      </c>
      <c r="J1517">
        <v>166.67</v>
      </c>
      <c r="K1517" t="s">
        <v>96</v>
      </c>
      <c r="L1517">
        <v>20</v>
      </c>
      <c r="M1517">
        <v>4</v>
      </c>
      <c r="N1517">
        <v>0</v>
      </c>
      <c r="O1517">
        <v>45</v>
      </c>
      <c r="P1517">
        <v>1</v>
      </c>
      <c r="Q1517">
        <v>11.2</v>
      </c>
      <c r="R1517">
        <v>25</v>
      </c>
      <c r="S1517">
        <v>0</v>
      </c>
      <c r="T1517">
        <v>0</v>
      </c>
      <c r="U1517" s="8">
        <v>45</v>
      </c>
      <c r="V1517" s="8">
        <f t="shared" si="23"/>
        <v>5</v>
      </c>
    </row>
    <row r="1518" spans="1:22" x14ac:dyDescent="0.3">
      <c r="A1518" t="s">
        <v>603</v>
      </c>
      <c r="B1518">
        <v>4</v>
      </c>
      <c r="C1518" t="s">
        <v>533</v>
      </c>
      <c r="D1518" t="s">
        <v>638</v>
      </c>
      <c r="E1518" t="s">
        <v>158</v>
      </c>
      <c r="F1518" t="s">
        <v>101</v>
      </c>
      <c r="G1518" t="s">
        <v>134</v>
      </c>
      <c r="H1518">
        <v>0</v>
      </c>
      <c r="I1518">
        <v>3</v>
      </c>
      <c r="J1518">
        <v>0</v>
      </c>
      <c r="K1518" t="s">
        <v>246</v>
      </c>
      <c r="L1518">
        <v>0</v>
      </c>
      <c r="M1518">
        <v>3</v>
      </c>
      <c r="N1518">
        <v>0</v>
      </c>
      <c r="O1518">
        <v>26</v>
      </c>
      <c r="P1518">
        <v>2</v>
      </c>
      <c r="Q1518">
        <v>8.6999999999999993</v>
      </c>
      <c r="R1518">
        <v>50</v>
      </c>
      <c r="S1518">
        <v>0</v>
      </c>
      <c r="T1518">
        <v>0</v>
      </c>
      <c r="U1518" s="8">
        <v>50</v>
      </c>
      <c r="V1518" s="8">
        <f t="shared" si="23"/>
        <v>5</v>
      </c>
    </row>
    <row r="1519" spans="1:22" x14ac:dyDescent="0.3">
      <c r="A1519" t="s">
        <v>604</v>
      </c>
      <c r="B1519">
        <v>4</v>
      </c>
      <c r="C1519" t="s">
        <v>81</v>
      </c>
      <c r="D1519" t="s">
        <v>114</v>
      </c>
      <c r="E1519" t="s">
        <v>258</v>
      </c>
      <c r="F1519" t="s">
        <v>85</v>
      </c>
      <c r="G1519" t="s">
        <v>86</v>
      </c>
      <c r="H1519">
        <v>19</v>
      </c>
      <c r="I1519">
        <v>16</v>
      </c>
      <c r="J1519">
        <v>118.75</v>
      </c>
      <c r="K1519" t="s">
        <v>246</v>
      </c>
      <c r="L1519">
        <v>25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 s="8">
        <v>25</v>
      </c>
      <c r="V1519" s="8">
        <f t="shared" si="23"/>
        <v>3</v>
      </c>
    </row>
    <row r="1520" spans="1:22" x14ac:dyDescent="0.3">
      <c r="A1520" t="s">
        <v>604</v>
      </c>
      <c r="B1520">
        <v>4</v>
      </c>
      <c r="C1520" t="s">
        <v>167</v>
      </c>
      <c r="D1520" t="s">
        <v>168</v>
      </c>
      <c r="E1520" t="s">
        <v>258</v>
      </c>
      <c r="F1520" t="s">
        <v>169</v>
      </c>
      <c r="G1520" t="s">
        <v>92</v>
      </c>
      <c r="H1520">
        <v>95</v>
      </c>
      <c r="I1520">
        <v>42</v>
      </c>
      <c r="J1520">
        <v>226.19</v>
      </c>
      <c r="K1520" t="s">
        <v>246</v>
      </c>
      <c r="L1520">
        <v>120</v>
      </c>
      <c r="M1520">
        <v>3</v>
      </c>
      <c r="N1520">
        <v>0</v>
      </c>
      <c r="O1520">
        <v>21</v>
      </c>
      <c r="P1520">
        <v>2</v>
      </c>
      <c r="Q1520">
        <v>7</v>
      </c>
      <c r="R1520">
        <v>50</v>
      </c>
      <c r="S1520">
        <v>0</v>
      </c>
      <c r="T1520">
        <v>0</v>
      </c>
      <c r="U1520" s="8">
        <v>170</v>
      </c>
      <c r="V1520" s="8">
        <f t="shared" si="23"/>
        <v>10</v>
      </c>
    </row>
    <row r="1521" spans="1:22" x14ac:dyDescent="0.3">
      <c r="A1521" t="s">
        <v>604</v>
      </c>
      <c r="B1521">
        <v>4</v>
      </c>
      <c r="C1521" t="s">
        <v>93</v>
      </c>
      <c r="D1521" t="s">
        <v>118</v>
      </c>
      <c r="E1521" t="s">
        <v>258</v>
      </c>
      <c r="F1521" t="s">
        <v>169</v>
      </c>
      <c r="G1521" t="s">
        <v>92</v>
      </c>
      <c r="H1521">
        <v>49</v>
      </c>
      <c r="I1521">
        <v>26</v>
      </c>
      <c r="J1521">
        <v>188.46</v>
      </c>
      <c r="K1521" t="s">
        <v>246</v>
      </c>
      <c r="L1521">
        <v>70</v>
      </c>
      <c r="M1521">
        <v>2</v>
      </c>
      <c r="N1521">
        <v>0</v>
      </c>
      <c r="O1521">
        <v>28</v>
      </c>
      <c r="P1521">
        <v>0</v>
      </c>
      <c r="Q1521">
        <v>14</v>
      </c>
      <c r="R1521">
        <v>-10</v>
      </c>
      <c r="S1521">
        <v>0</v>
      </c>
      <c r="T1521">
        <v>0</v>
      </c>
      <c r="U1521" s="8">
        <v>60</v>
      </c>
      <c r="V1521" s="8">
        <f t="shared" si="23"/>
        <v>6</v>
      </c>
    </row>
    <row r="1522" spans="1:22" x14ac:dyDescent="0.3">
      <c r="A1522" t="s">
        <v>604</v>
      </c>
      <c r="B1522">
        <v>4</v>
      </c>
      <c r="C1522" t="s">
        <v>99</v>
      </c>
      <c r="D1522" t="s">
        <v>124</v>
      </c>
      <c r="E1522" t="s">
        <v>258</v>
      </c>
      <c r="F1522" t="s">
        <v>169</v>
      </c>
      <c r="G1522" t="s">
        <v>134</v>
      </c>
      <c r="H1522">
        <v>3</v>
      </c>
      <c r="I1522">
        <v>3</v>
      </c>
      <c r="J1522">
        <v>100</v>
      </c>
      <c r="K1522" t="s">
        <v>246</v>
      </c>
      <c r="L1522">
        <v>5</v>
      </c>
      <c r="M1522">
        <v>2</v>
      </c>
      <c r="N1522">
        <v>0</v>
      </c>
      <c r="O1522">
        <v>30</v>
      </c>
      <c r="P1522">
        <v>0</v>
      </c>
      <c r="Q1522">
        <v>15</v>
      </c>
      <c r="R1522">
        <v>-10</v>
      </c>
      <c r="S1522">
        <v>0</v>
      </c>
      <c r="T1522">
        <v>0</v>
      </c>
      <c r="U1522" s="8">
        <v>-5</v>
      </c>
      <c r="V1522" s="8">
        <f t="shared" si="23"/>
        <v>0</v>
      </c>
    </row>
    <row r="1523" spans="1:22" x14ac:dyDescent="0.3">
      <c r="A1523" t="s">
        <v>604</v>
      </c>
      <c r="B1523">
        <v>4</v>
      </c>
      <c r="C1523" t="s">
        <v>529</v>
      </c>
      <c r="D1523" t="s">
        <v>632</v>
      </c>
      <c r="E1523" t="s">
        <v>258</v>
      </c>
      <c r="F1523" t="s">
        <v>169</v>
      </c>
      <c r="G1523" t="s">
        <v>134</v>
      </c>
      <c r="H1523">
        <v>13</v>
      </c>
      <c r="I1523">
        <v>10</v>
      </c>
      <c r="J1523">
        <v>130</v>
      </c>
      <c r="K1523" t="s">
        <v>246</v>
      </c>
      <c r="L1523">
        <v>20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 s="8">
        <v>20</v>
      </c>
      <c r="V1523" s="8">
        <f t="shared" si="23"/>
        <v>2</v>
      </c>
    </row>
    <row r="1524" spans="1:22" x14ac:dyDescent="0.3">
      <c r="A1524" t="s">
        <v>604</v>
      </c>
      <c r="B1524">
        <v>4</v>
      </c>
      <c r="C1524" t="s">
        <v>447</v>
      </c>
      <c r="D1524" t="s">
        <v>448</v>
      </c>
      <c r="E1524" t="s">
        <v>258</v>
      </c>
      <c r="F1524" t="s">
        <v>109</v>
      </c>
      <c r="G1524" t="s">
        <v>134</v>
      </c>
      <c r="H1524">
        <v>3</v>
      </c>
      <c r="I1524">
        <v>6</v>
      </c>
      <c r="J1524">
        <v>50</v>
      </c>
      <c r="K1524" t="s">
        <v>246</v>
      </c>
      <c r="L1524">
        <v>-5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 s="8">
        <v>-5</v>
      </c>
      <c r="V1524" s="8">
        <f t="shared" si="23"/>
        <v>0</v>
      </c>
    </row>
    <row r="1525" spans="1:22" x14ac:dyDescent="0.3">
      <c r="A1525" t="s">
        <v>604</v>
      </c>
      <c r="B1525">
        <v>4</v>
      </c>
      <c r="C1525" t="s">
        <v>493</v>
      </c>
      <c r="D1525" t="s">
        <v>500</v>
      </c>
      <c r="E1525" t="s">
        <v>258</v>
      </c>
      <c r="F1525" t="s">
        <v>169</v>
      </c>
      <c r="G1525" t="s">
        <v>134</v>
      </c>
      <c r="H1525">
        <v>14</v>
      </c>
      <c r="I1525">
        <v>10</v>
      </c>
      <c r="J1525">
        <v>140</v>
      </c>
      <c r="K1525" t="s">
        <v>246</v>
      </c>
      <c r="L1525">
        <v>20</v>
      </c>
      <c r="M1525">
        <v>4</v>
      </c>
      <c r="N1525">
        <v>0</v>
      </c>
      <c r="O1525">
        <v>48</v>
      </c>
      <c r="P1525">
        <v>1</v>
      </c>
      <c r="Q1525">
        <v>12</v>
      </c>
      <c r="R1525">
        <v>25</v>
      </c>
      <c r="S1525">
        <v>0</v>
      </c>
      <c r="T1525">
        <v>0</v>
      </c>
      <c r="U1525" s="8">
        <v>45</v>
      </c>
      <c r="V1525" s="8">
        <f t="shared" si="23"/>
        <v>5</v>
      </c>
    </row>
    <row r="1526" spans="1:22" x14ac:dyDescent="0.3">
      <c r="A1526" t="s">
        <v>604</v>
      </c>
      <c r="B1526">
        <v>4</v>
      </c>
      <c r="C1526" t="s">
        <v>178</v>
      </c>
      <c r="D1526" t="s">
        <v>179</v>
      </c>
      <c r="E1526" t="s">
        <v>258</v>
      </c>
      <c r="F1526" t="s">
        <v>169</v>
      </c>
      <c r="G1526" t="s">
        <v>134</v>
      </c>
      <c r="H1526">
        <v>4</v>
      </c>
      <c r="I1526">
        <v>5</v>
      </c>
      <c r="J1526">
        <v>80</v>
      </c>
      <c r="K1526" t="s">
        <v>248</v>
      </c>
      <c r="L1526">
        <v>5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 s="8">
        <v>5</v>
      </c>
      <c r="V1526" s="8">
        <f t="shared" si="23"/>
        <v>1</v>
      </c>
    </row>
    <row r="1527" spans="1:22" x14ac:dyDescent="0.3">
      <c r="A1527" t="s">
        <v>604</v>
      </c>
      <c r="B1527">
        <v>4</v>
      </c>
      <c r="C1527" t="s">
        <v>105</v>
      </c>
      <c r="D1527" t="s">
        <v>128</v>
      </c>
      <c r="E1527" t="s">
        <v>258</v>
      </c>
      <c r="F1527" t="s">
        <v>101</v>
      </c>
      <c r="G1527" t="s">
        <v>134</v>
      </c>
      <c r="H1527">
        <v>1</v>
      </c>
      <c r="I1527">
        <v>1</v>
      </c>
      <c r="J1527">
        <v>100</v>
      </c>
      <c r="K1527" t="s">
        <v>96</v>
      </c>
      <c r="L1527">
        <v>5</v>
      </c>
      <c r="M1527">
        <v>3</v>
      </c>
      <c r="N1527">
        <v>0</v>
      </c>
      <c r="O1527">
        <v>27</v>
      </c>
      <c r="P1527">
        <v>0</v>
      </c>
      <c r="Q1527">
        <v>9</v>
      </c>
      <c r="R1527">
        <v>-5</v>
      </c>
      <c r="S1527">
        <v>0</v>
      </c>
      <c r="T1527">
        <v>0</v>
      </c>
      <c r="U1527" s="8">
        <v>0</v>
      </c>
      <c r="V1527" s="8">
        <f t="shared" si="23"/>
        <v>0</v>
      </c>
    </row>
    <row r="1528" spans="1:22" x14ac:dyDescent="0.3">
      <c r="A1528" t="s">
        <v>604</v>
      </c>
      <c r="B1528">
        <v>4</v>
      </c>
      <c r="C1528" t="s">
        <v>237</v>
      </c>
      <c r="D1528" t="s">
        <v>238</v>
      </c>
      <c r="E1528" t="s">
        <v>258</v>
      </c>
      <c r="F1528" t="s">
        <v>101</v>
      </c>
      <c r="G1528" t="s">
        <v>134</v>
      </c>
      <c r="H1528">
        <v>0</v>
      </c>
      <c r="I1528">
        <v>1</v>
      </c>
      <c r="J1528">
        <v>0</v>
      </c>
      <c r="K1528" t="s">
        <v>245</v>
      </c>
      <c r="L1528">
        <v>0</v>
      </c>
      <c r="M1528">
        <v>4</v>
      </c>
      <c r="N1528">
        <v>0</v>
      </c>
      <c r="O1528">
        <v>34</v>
      </c>
      <c r="P1528">
        <v>2</v>
      </c>
      <c r="Q1528">
        <v>8.5</v>
      </c>
      <c r="R1528">
        <v>50</v>
      </c>
      <c r="S1528">
        <v>0</v>
      </c>
      <c r="T1528">
        <v>0</v>
      </c>
      <c r="U1528" s="8">
        <v>50</v>
      </c>
      <c r="V1528" s="8">
        <f t="shared" si="23"/>
        <v>5</v>
      </c>
    </row>
    <row r="1529" spans="1:22" x14ac:dyDescent="0.3">
      <c r="A1529" t="s">
        <v>604</v>
      </c>
      <c r="B1529">
        <v>4</v>
      </c>
      <c r="C1529" t="s">
        <v>186</v>
      </c>
      <c r="D1529" t="s">
        <v>187</v>
      </c>
      <c r="E1529" t="s">
        <v>258</v>
      </c>
      <c r="F1529" t="s">
        <v>101</v>
      </c>
      <c r="G1529" t="s">
        <v>134</v>
      </c>
      <c r="H1529">
        <v>0</v>
      </c>
      <c r="I1529">
        <v>1</v>
      </c>
      <c r="J1529">
        <v>0</v>
      </c>
      <c r="K1529" t="s">
        <v>245</v>
      </c>
      <c r="L1529">
        <v>0</v>
      </c>
      <c r="M1529">
        <v>2</v>
      </c>
      <c r="N1529">
        <v>0</v>
      </c>
      <c r="O1529">
        <v>17</v>
      </c>
      <c r="P1529">
        <v>0</v>
      </c>
      <c r="Q1529">
        <v>8.5</v>
      </c>
      <c r="R1529">
        <v>0</v>
      </c>
      <c r="S1529">
        <v>0</v>
      </c>
      <c r="T1529">
        <v>0</v>
      </c>
      <c r="U1529" s="8">
        <v>0</v>
      </c>
      <c r="V1529" s="8">
        <f t="shared" si="23"/>
        <v>0</v>
      </c>
    </row>
    <row r="1530" spans="1:22" x14ac:dyDescent="0.3">
      <c r="A1530" t="s">
        <v>604</v>
      </c>
      <c r="B1530">
        <v>4</v>
      </c>
      <c r="C1530" t="s">
        <v>531</v>
      </c>
      <c r="D1530" t="s">
        <v>636</v>
      </c>
      <c r="E1530" t="s">
        <v>158</v>
      </c>
      <c r="F1530" t="s">
        <v>85</v>
      </c>
      <c r="G1530" t="s">
        <v>86</v>
      </c>
      <c r="H1530">
        <v>86</v>
      </c>
      <c r="I1530">
        <v>54</v>
      </c>
      <c r="J1530">
        <v>159.26</v>
      </c>
      <c r="K1530" t="s">
        <v>246</v>
      </c>
      <c r="L1530">
        <v>105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 s="8">
        <v>105</v>
      </c>
      <c r="V1530" s="8">
        <f t="shared" si="23"/>
        <v>10</v>
      </c>
    </row>
    <row r="1531" spans="1:22" x14ac:dyDescent="0.3">
      <c r="A1531" t="s">
        <v>604</v>
      </c>
      <c r="B1531">
        <v>4</v>
      </c>
      <c r="C1531" t="s">
        <v>188</v>
      </c>
      <c r="D1531" t="s">
        <v>189</v>
      </c>
      <c r="E1531" t="s">
        <v>158</v>
      </c>
      <c r="F1531" t="s">
        <v>109</v>
      </c>
      <c r="G1531" t="s">
        <v>86</v>
      </c>
      <c r="H1531">
        <v>14</v>
      </c>
      <c r="I1531">
        <v>12</v>
      </c>
      <c r="J1531">
        <v>116.67</v>
      </c>
      <c r="K1531" t="s">
        <v>245</v>
      </c>
      <c r="L1531">
        <v>20</v>
      </c>
      <c r="M1531">
        <v>2</v>
      </c>
      <c r="N1531">
        <v>0</v>
      </c>
      <c r="O1531">
        <v>21</v>
      </c>
      <c r="P1531">
        <v>1</v>
      </c>
      <c r="Q1531">
        <v>10.5</v>
      </c>
      <c r="R1531">
        <v>25</v>
      </c>
      <c r="S1531">
        <v>0</v>
      </c>
      <c r="T1531">
        <v>0</v>
      </c>
      <c r="U1531" s="8">
        <v>45</v>
      </c>
      <c r="V1531" s="8">
        <f t="shared" si="23"/>
        <v>5</v>
      </c>
    </row>
    <row r="1532" spans="1:22" x14ac:dyDescent="0.3">
      <c r="A1532" t="s">
        <v>604</v>
      </c>
      <c r="B1532">
        <v>4</v>
      </c>
      <c r="C1532" t="s">
        <v>278</v>
      </c>
      <c r="D1532" t="s">
        <v>293</v>
      </c>
      <c r="E1532" t="s">
        <v>158</v>
      </c>
      <c r="F1532" t="s">
        <v>109</v>
      </c>
      <c r="G1532" t="s">
        <v>92</v>
      </c>
      <c r="H1532">
        <v>77</v>
      </c>
      <c r="I1532">
        <v>38</v>
      </c>
      <c r="J1532">
        <v>202.63</v>
      </c>
      <c r="K1532" t="s">
        <v>246</v>
      </c>
      <c r="L1532">
        <v>95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 s="8">
        <v>95</v>
      </c>
      <c r="V1532" s="8">
        <f t="shared" si="23"/>
        <v>10</v>
      </c>
    </row>
    <row r="1533" spans="1:22" x14ac:dyDescent="0.3">
      <c r="A1533" t="s">
        <v>604</v>
      </c>
      <c r="B1533">
        <v>4</v>
      </c>
      <c r="C1533" t="s">
        <v>512</v>
      </c>
      <c r="D1533" t="s">
        <v>542</v>
      </c>
      <c r="E1533" t="s">
        <v>158</v>
      </c>
      <c r="F1533" t="s">
        <v>169</v>
      </c>
      <c r="G1533" t="s">
        <v>134</v>
      </c>
      <c r="H1533">
        <v>7</v>
      </c>
      <c r="I1533">
        <v>6</v>
      </c>
      <c r="J1533">
        <v>116.67</v>
      </c>
      <c r="K1533" t="s">
        <v>246</v>
      </c>
      <c r="L1533">
        <v>10</v>
      </c>
      <c r="M1533">
        <v>4</v>
      </c>
      <c r="N1533">
        <v>0</v>
      </c>
      <c r="O1533">
        <v>43</v>
      </c>
      <c r="P1533">
        <v>2</v>
      </c>
      <c r="Q1533">
        <v>10.8</v>
      </c>
      <c r="R1533">
        <v>50</v>
      </c>
      <c r="S1533">
        <v>0</v>
      </c>
      <c r="T1533">
        <v>0</v>
      </c>
      <c r="U1533" s="8">
        <v>60</v>
      </c>
      <c r="V1533" s="8">
        <f t="shared" si="23"/>
        <v>6</v>
      </c>
    </row>
    <row r="1534" spans="1:22" x14ac:dyDescent="0.3">
      <c r="A1534" t="s">
        <v>604</v>
      </c>
      <c r="B1534">
        <v>4</v>
      </c>
      <c r="C1534" t="s">
        <v>194</v>
      </c>
      <c r="D1534" t="s">
        <v>195</v>
      </c>
      <c r="E1534" t="s">
        <v>158</v>
      </c>
      <c r="F1534" t="s">
        <v>109</v>
      </c>
      <c r="G1534" t="s">
        <v>92</v>
      </c>
      <c r="H1534">
        <v>15</v>
      </c>
      <c r="I1534">
        <v>9</v>
      </c>
      <c r="J1534">
        <v>166.67</v>
      </c>
      <c r="K1534" t="s">
        <v>246</v>
      </c>
      <c r="L1534">
        <v>25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 s="8">
        <v>25</v>
      </c>
      <c r="V1534" s="8">
        <f t="shared" si="23"/>
        <v>3</v>
      </c>
    </row>
    <row r="1535" spans="1:22" x14ac:dyDescent="0.3">
      <c r="A1535" t="s">
        <v>604</v>
      </c>
      <c r="B1535">
        <v>4</v>
      </c>
      <c r="C1535" t="s">
        <v>192</v>
      </c>
      <c r="D1535" t="s">
        <v>193</v>
      </c>
      <c r="E1535" t="s">
        <v>158</v>
      </c>
      <c r="F1535" t="s">
        <v>169</v>
      </c>
      <c r="G1535" t="s">
        <v>134</v>
      </c>
      <c r="H1535">
        <v>1</v>
      </c>
      <c r="I1535">
        <v>2</v>
      </c>
      <c r="J1535">
        <v>50</v>
      </c>
      <c r="K1535" t="s">
        <v>96</v>
      </c>
      <c r="L1535">
        <v>5</v>
      </c>
      <c r="M1535">
        <v>4</v>
      </c>
      <c r="N1535">
        <v>0</v>
      </c>
      <c r="O1535">
        <v>25</v>
      </c>
      <c r="P1535">
        <v>0</v>
      </c>
      <c r="Q1535">
        <v>6.2</v>
      </c>
      <c r="R1535">
        <v>10</v>
      </c>
      <c r="S1535">
        <v>0</v>
      </c>
      <c r="T1535">
        <v>0</v>
      </c>
      <c r="U1535" s="8">
        <v>15</v>
      </c>
      <c r="V1535" s="8">
        <f t="shared" si="23"/>
        <v>2</v>
      </c>
    </row>
    <row r="1536" spans="1:22" x14ac:dyDescent="0.3">
      <c r="A1536" t="s">
        <v>604</v>
      </c>
      <c r="B1536">
        <v>4</v>
      </c>
      <c r="C1536" t="s">
        <v>102</v>
      </c>
      <c r="D1536" t="s">
        <v>126</v>
      </c>
      <c r="E1536" t="s">
        <v>158</v>
      </c>
      <c r="F1536" t="s">
        <v>169</v>
      </c>
      <c r="G1536" t="s">
        <v>134</v>
      </c>
      <c r="H1536">
        <v>0</v>
      </c>
      <c r="I1536">
        <v>1</v>
      </c>
      <c r="J1536">
        <v>0</v>
      </c>
      <c r="K1536" t="s">
        <v>96</v>
      </c>
      <c r="L1536">
        <v>5</v>
      </c>
      <c r="M1536">
        <v>1</v>
      </c>
      <c r="N1536">
        <v>0</v>
      </c>
      <c r="O1536">
        <v>32</v>
      </c>
      <c r="P1536">
        <v>0</v>
      </c>
      <c r="Q1536">
        <v>32</v>
      </c>
      <c r="R1536">
        <v>-10</v>
      </c>
      <c r="S1536">
        <v>0</v>
      </c>
      <c r="T1536">
        <v>0</v>
      </c>
      <c r="U1536" s="8">
        <v>-5</v>
      </c>
      <c r="V1536" s="8">
        <f t="shared" si="23"/>
        <v>0</v>
      </c>
    </row>
    <row r="1537" spans="1:22" x14ac:dyDescent="0.3">
      <c r="A1537" t="s">
        <v>604</v>
      </c>
      <c r="B1537">
        <v>4</v>
      </c>
      <c r="C1537" t="s">
        <v>495</v>
      </c>
      <c r="D1537" t="s">
        <v>503</v>
      </c>
      <c r="E1537" t="s">
        <v>158</v>
      </c>
      <c r="F1537" t="s">
        <v>169</v>
      </c>
      <c r="G1537" t="s">
        <v>104</v>
      </c>
      <c r="H1537">
        <v>0</v>
      </c>
      <c r="I1537">
        <v>0</v>
      </c>
      <c r="J1537">
        <v>0</v>
      </c>
      <c r="K1537" t="s">
        <v>104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 s="8">
        <v>0</v>
      </c>
      <c r="V1537" s="8">
        <f t="shared" si="23"/>
        <v>0</v>
      </c>
    </row>
    <row r="1538" spans="1:22" x14ac:dyDescent="0.3">
      <c r="A1538" t="s">
        <v>604</v>
      </c>
      <c r="B1538">
        <v>4</v>
      </c>
      <c r="C1538" t="s">
        <v>274</v>
      </c>
      <c r="D1538" t="s">
        <v>284</v>
      </c>
      <c r="E1538" t="s">
        <v>158</v>
      </c>
      <c r="F1538" t="s">
        <v>169</v>
      </c>
      <c r="G1538" t="s">
        <v>104</v>
      </c>
      <c r="H1538">
        <v>0</v>
      </c>
      <c r="I1538">
        <v>0</v>
      </c>
      <c r="J1538">
        <v>0</v>
      </c>
      <c r="K1538" t="s">
        <v>104</v>
      </c>
      <c r="L1538">
        <v>0</v>
      </c>
      <c r="M1538">
        <v>1</v>
      </c>
      <c r="N1538">
        <v>0</v>
      </c>
      <c r="O1538">
        <v>13</v>
      </c>
      <c r="P1538">
        <v>0</v>
      </c>
      <c r="Q1538">
        <v>13</v>
      </c>
      <c r="R1538">
        <v>-5</v>
      </c>
      <c r="S1538">
        <v>0</v>
      </c>
      <c r="T1538">
        <v>0</v>
      </c>
      <c r="U1538" s="8">
        <v>-5</v>
      </c>
      <c r="V1538" s="8">
        <f t="shared" si="23"/>
        <v>0</v>
      </c>
    </row>
    <row r="1539" spans="1:22" x14ac:dyDescent="0.3">
      <c r="A1539" t="s">
        <v>604</v>
      </c>
      <c r="B1539">
        <v>4</v>
      </c>
      <c r="C1539" t="s">
        <v>533</v>
      </c>
      <c r="D1539" t="s">
        <v>638</v>
      </c>
      <c r="E1539" t="s">
        <v>158</v>
      </c>
      <c r="F1539" t="s">
        <v>101</v>
      </c>
      <c r="G1539" t="s">
        <v>104</v>
      </c>
      <c r="H1539">
        <v>0</v>
      </c>
      <c r="I1539">
        <v>0</v>
      </c>
      <c r="J1539">
        <v>0</v>
      </c>
      <c r="K1539" t="s">
        <v>104</v>
      </c>
      <c r="L1539">
        <v>0</v>
      </c>
      <c r="M1539">
        <v>4</v>
      </c>
      <c r="N1539">
        <v>0</v>
      </c>
      <c r="O1539">
        <v>33</v>
      </c>
      <c r="P1539">
        <v>5</v>
      </c>
      <c r="Q1539">
        <v>8.1999999999999993</v>
      </c>
      <c r="R1539">
        <v>125</v>
      </c>
      <c r="S1539">
        <v>0</v>
      </c>
      <c r="T1539">
        <v>0</v>
      </c>
      <c r="U1539" s="8">
        <v>125</v>
      </c>
      <c r="V1539" s="8">
        <f t="shared" ref="V1539:V1602" si="24">MIN(10, MAX(0, ROUND(U1539/10,0)))</f>
        <v>10</v>
      </c>
    </row>
    <row r="1540" spans="1:22" x14ac:dyDescent="0.3">
      <c r="A1540" t="s">
        <v>604</v>
      </c>
      <c r="B1540">
        <v>4</v>
      </c>
      <c r="C1540" t="s">
        <v>532</v>
      </c>
      <c r="D1540" t="s">
        <v>637</v>
      </c>
      <c r="E1540" t="s">
        <v>158</v>
      </c>
      <c r="F1540" t="s">
        <v>101</v>
      </c>
      <c r="G1540" t="s">
        <v>104</v>
      </c>
      <c r="H1540">
        <v>0</v>
      </c>
      <c r="I1540">
        <v>0</v>
      </c>
      <c r="J1540">
        <v>0</v>
      </c>
      <c r="K1540" t="s">
        <v>104</v>
      </c>
      <c r="L1540">
        <v>0</v>
      </c>
      <c r="M1540">
        <v>4</v>
      </c>
      <c r="N1540">
        <v>0</v>
      </c>
      <c r="O1540">
        <v>42</v>
      </c>
      <c r="P1540">
        <v>2</v>
      </c>
      <c r="Q1540">
        <v>10.5</v>
      </c>
      <c r="R1540">
        <v>50</v>
      </c>
      <c r="S1540">
        <v>0</v>
      </c>
      <c r="T1540">
        <v>0</v>
      </c>
      <c r="U1540" s="8">
        <v>50</v>
      </c>
      <c r="V1540" s="8">
        <f t="shared" si="24"/>
        <v>5</v>
      </c>
    </row>
    <row r="1541" spans="1:22" x14ac:dyDescent="0.3">
      <c r="A1541" t="s">
        <v>605</v>
      </c>
      <c r="B1541">
        <v>4</v>
      </c>
      <c r="C1541" t="s">
        <v>190</v>
      </c>
      <c r="D1541" t="s">
        <v>191</v>
      </c>
      <c r="E1541" t="s">
        <v>219</v>
      </c>
      <c r="F1541" t="s">
        <v>109</v>
      </c>
      <c r="G1541" t="s">
        <v>86</v>
      </c>
      <c r="H1541">
        <v>14</v>
      </c>
      <c r="I1541">
        <v>21</v>
      </c>
      <c r="J1541">
        <v>66.67</v>
      </c>
      <c r="K1541" t="s">
        <v>246</v>
      </c>
      <c r="L1541">
        <v>10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 s="8">
        <v>10</v>
      </c>
      <c r="V1541" s="8">
        <f t="shared" si="24"/>
        <v>1</v>
      </c>
    </row>
    <row r="1542" spans="1:22" x14ac:dyDescent="0.3">
      <c r="A1542" t="s">
        <v>605</v>
      </c>
      <c r="B1542">
        <v>4</v>
      </c>
      <c r="C1542" t="s">
        <v>89</v>
      </c>
      <c r="D1542" t="s">
        <v>116</v>
      </c>
      <c r="E1542" t="s">
        <v>219</v>
      </c>
      <c r="F1542" t="s">
        <v>169</v>
      </c>
      <c r="G1542" t="s">
        <v>92</v>
      </c>
      <c r="H1542">
        <v>11</v>
      </c>
      <c r="I1542">
        <v>14</v>
      </c>
      <c r="J1542">
        <v>78.569999999999993</v>
      </c>
      <c r="K1542" t="s">
        <v>246</v>
      </c>
      <c r="L1542">
        <v>10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 s="8">
        <v>10</v>
      </c>
      <c r="V1542" s="8">
        <f t="shared" si="24"/>
        <v>1</v>
      </c>
    </row>
    <row r="1543" spans="1:22" x14ac:dyDescent="0.3">
      <c r="A1543" t="s">
        <v>605</v>
      </c>
      <c r="B1543">
        <v>4</v>
      </c>
      <c r="C1543" t="s">
        <v>383</v>
      </c>
      <c r="D1543" t="s">
        <v>384</v>
      </c>
      <c r="E1543" t="s">
        <v>219</v>
      </c>
      <c r="F1543" t="s">
        <v>109</v>
      </c>
      <c r="G1543" t="s">
        <v>92</v>
      </c>
      <c r="H1543">
        <v>20</v>
      </c>
      <c r="I1543">
        <v>11</v>
      </c>
      <c r="J1543">
        <v>181.82</v>
      </c>
      <c r="K1543" t="s">
        <v>246</v>
      </c>
      <c r="L1543">
        <v>35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 s="8">
        <v>35</v>
      </c>
      <c r="V1543" s="8">
        <f t="shared" si="24"/>
        <v>4</v>
      </c>
    </row>
    <row r="1544" spans="1:22" x14ac:dyDescent="0.3">
      <c r="A1544" t="s">
        <v>605</v>
      </c>
      <c r="B1544">
        <v>4</v>
      </c>
      <c r="C1544" t="s">
        <v>229</v>
      </c>
      <c r="D1544" t="s">
        <v>230</v>
      </c>
      <c r="E1544" t="s">
        <v>219</v>
      </c>
      <c r="F1544" t="s">
        <v>109</v>
      </c>
      <c r="G1544" t="s">
        <v>92</v>
      </c>
      <c r="H1544">
        <v>5</v>
      </c>
      <c r="I1544">
        <v>3</v>
      </c>
      <c r="J1544">
        <v>166.67</v>
      </c>
      <c r="K1544" t="s">
        <v>246</v>
      </c>
      <c r="L1544">
        <v>15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 s="8">
        <v>15</v>
      </c>
      <c r="V1544" s="8">
        <f t="shared" si="24"/>
        <v>2</v>
      </c>
    </row>
    <row r="1545" spans="1:22" x14ac:dyDescent="0.3">
      <c r="A1545" t="s">
        <v>605</v>
      </c>
      <c r="B1545">
        <v>4</v>
      </c>
      <c r="C1545" t="s">
        <v>224</v>
      </c>
      <c r="D1545" t="s">
        <v>225</v>
      </c>
      <c r="E1545" t="s">
        <v>219</v>
      </c>
      <c r="F1545" t="s">
        <v>169</v>
      </c>
      <c r="G1545" t="s">
        <v>134</v>
      </c>
      <c r="H1545">
        <v>45</v>
      </c>
      <c r="I1545">
        <v>35</v>
      </c>
      <c r="J1545">
        <v>128.57</v>
      </c>
      <c r="K1545" t="s">
        <v>96</v>
      </c>
      <c r="L1545">
        <v>60</v>
      </c>
      <c r="M1545">
        <v>3.1</v>
      </c>
      <c r="N1545">
        <v>0</v>
      </c>
      <c r="O1545">
        <v>25</v>
      </c>
      <c r="P1545">
        <v>0</v>
      </c>
      <c r="Q1545">
        <v>7.9</v>
      </c>
      <c r="R1545">
        <v>5</v>
      </c>
      <c r="S1545">
        <v>0</v>
      </c>
      <c r="T1545">
        <v>0</v>
      </c>
      <c r="U1545" s="8">
        <v>65</v>
      </c>
      <c r="V1545" s="8">
        <f t="shared" si="24"/>
        <v>7</v>
      </c>
    </row>
    <row r="1546" spans="1:22" x14ac:dyDescent="0.3">
      <c r="A1546" t="s">
        <v>605</v>
      </c>
      <c r="B1546">
        <v>4</v>
      </c>
      <c r="C1546" t="s">
        <v>220</v>
      </c>
      <c r="D1546" t="s">
        <v>221</v>
      </c>
      <c r="E1546" t="s">
        <v>219</v>
      </c>
      <c r="F1546" t="s">
        <v>85</v>
      </c>
      <c r="G1546" t="s">
        <v>134</v>
      </c>
      <c r="H1546">
        <v>0</v>
      </c>
      <c r="I1546">
        <v>1</v>
      </c>
      <c r="J1546">
        <v>0</v>
      </c>
      <c r="K1546" t="s">
        <v>246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 s="8">
        <v>0</v>
      </c>
      <c r="V1546" s="8">
        <f t="shared" si="24"/>
        <v>0</v>
      </c>
    </row>
    <row r="1547" spans="1:22" x14ac:dyDescent="0.3">
      <c r="A1547" t="s">
        <v>605</v>
      </c>
      <c r="B1547">
        <v>4</v>
      </c>
      <c r="C1547" t="s">
        <v>530</v>
      </c>
      <c r="D1547" t="s">
        <v>502</v>
      </c>
      <c r="E1547" t="s">
        <v>219</v>
      </c>
      <c r="F1547" t="s">
        <v>169</v>
      </c>
      <c r="G1547" t="s">
        <v>134</v>
      </c>
      <c r="H1547">
        <v>40</v>
      </c>
      <c r="I1547">
        <v>37</v>
      </c>
      <c r="J1547">
        <v>108.11</v>
      </c>
      <c r="K1547" t="s">
        <v>96</v>
      </c>
      <c r="L1547">
        <v>50</v>
      </c>
      <c r="M1547">
        <v>1</v>
      </c>
      <c r="N1547">
        <v>0</v>
      </c>
      <c r="O1547">
        <v>32</v>
      </c>
      <c r="P1547">
        <v>0</v>
      </c>
      <c r="Q1547">
        <v>32</v>
      </c>
      <c r="R1547">
        <v>-10</v>
      </c>
      <c r="S1547">
        <v>0</v>
      </c>
      <c r="T1547">
        <v>0</v>
      </c>
      <c r="U1547" s="8">
        <v>40</v>
      </c>
      <c r="V1547" s="8">
        <f t="shared" si="24"/>
        <v>4</v>
      </c>
    </row>
    <row r="1548" spans="1:22" x14ac:dyDescent="0.3">
      <c r="A1548" t="s">
        <v>605</v>
      </c>
      <c r="B1548">
        <v>4</v>
      </c>
      <c r="C1548" t="s">
        <v>233</v>
      </c>
      <c r="D1548" t="s">
        <v>234</v>
      </c>
      <c r="E1548" t="s">
        <v>219</v>
      </c>
      <c r="F1548" t="s">
        <v>101</v>
      </c>
      <c r="G1548" t="s">
        <v>104</v>
      </c>
      <c r="H1548">
        <v>0</v>
      </c>
      <c r="I1548">
        <v>0</v>
      </c>
      <c r="J1548">
        <v>0</v>
      </c>
      <c r="K1548" t="s">
        <v>104</v>
      </c>
      <c r="L1548">
        <v>0</v>
      </c>
      <c r="M1548">
        <v>2</v>
      </c>
      <c r="N1548">
        <v>0</v>
      </c>
      <c r="O1548">
        <v>20</v>
      </c>
      <c r="P1548">
        <v>0</v>
      </c>
      <c r="Q1548">
        <v>10</v>
      </c>
      <c r="R1548">
        <v>-5</v>
      </c>
      <c r="S1548">
        <v>0</v>
      </c>
      <c r="T1548">
        <v>0</v>
      </c>
      <c r="U1548" s="8">
        <v>-5</v>
      </c>
      <c r="V1548" s="8">
        <f t="shared" si="24"/>
        <v>0</v>
      </c>
    </row>
    <row r="1549" spans="1:22" x14ac:dyDescent="0.3">
      <c r="A1549" t="s">
        <v>605</v>
      </c>
      <c r="B1549">
        <v>4</v>
      </c>
      <c r="C1549" t="s">
        <v>180</v>
      </c>
      <c r="D1549" t="s">
        <v>181</v>
      </c>
      <c r="E1549" t="s">
        <v>219</v>
      </c>
      <c r="F1549" t="s">
        <v>169</v>
      </c>
      <c r="G1549" t="s">
        <v>104</v>
      </c>
      <c r="H1549">
        <v>0</v>
      </c>
      <c r="I1549">
        <v>0</v>
      </c>
      <c r="J1549">
        <v>0</v>
      </c>
      <c r="K1549" t="s">
        <v>104</v>
      </c>
      <c r="L1549">
        <v>0</v>
      </c>
      <c r="M1549">
        <v>1</v>
      </c>
      <c r="N1549">
        <v>0</v>
      </c>
      <c r="O1549">
        <v>17</v>
      </c>
      <c r="P1549">
        <v>0</v>
      </c>
      <c r="Q1549">
        <v>17</v>
      </c>
      <c r="R1549">
        <v>-10</v>
      </c>
      <c r="S1549">
        <v>0</v>
      </c>
      <c r="T1549">
        <v>0</v>
      </c>
      <c r="U1549" s="8">
        <v>-10</v>
      </c>
      <c r="V1549" s="8">
        <f t="shared" si="24"/>
        <v>0</v>
      </c>
    </row>
    <row r="1550" spans="1:22" x14ac:dyDescent="0.3">
      <c r="A1550" t="s">
        <v>605</v>
      </c>
      <c r="B1550">
        <v>4</v>
      </c>
      <c r="C1550" t="s">
        <v>204</v>
      </c>
      <c r="D1550" t="s">
        <v>205</v>
      </c>
      <c r="E1550" t="s">
        <v>219</v>
      </c>
      <c r="F1550" t="s">
        <v>169</v>
      </c>
      <c r="G1550" t="s">
        <v>104</v>
      </c>
      <c r="H1550">
        <v>0</v>
      </c>
      <c r="I1550">
        <v>0</v>
      </c>
      <c r="J1550">
        <v>0</v>
      </c>
      <c r="K1550" t="s">
        <v>104</v>
      </c>
      <c r="L1550">
        <v>0</v>
      </c>
      <c r="M1550">
        <v>3</v>
      </c>
      <c r="N1550">
        <v>0</v>
      </c>
      <c r="O1550">
        <v>28</v>
      </c>
      <c r="P1550">
        <v>1</v>
      </c>
      <c r="Q1550">
        <v>9.3000000000000007</v>
      </c>
      <c r="R1550">
        <v>25</v>
      </c>
      <c r="S1550">
        <v>0</v>
      </c>
      <c r="T1550">
        <v>0</v>
      </c>
      <c r="U1550" s="8">
        <v>25</v>
      </c>
      <c r="V1550" s="8">
        <f t="shared" si="24"/>
        <v>3</v>
      </c>
    </row>
    <row r="1551" spans="1:22" x14ac:dyDescent="0.3">
      <c r="A1551" t="s">
        <v>605</v>
      </c>
      <c r="B1551">
        <v>4</v>
      </c>
      <c r="C1551" t="s">
        <v>509</v>
      </c>
      <c r="D1551" t="s">
        <v>523</v>
      </c>
      <c r="E1551" t="s">
        <v>219</v>
      </c>
      <c r="F1551" t="s">
        <v>101</v>
      </c>
      <c r="G1551" t="s">
        <v>104</v>
      </c>
      <c r="H1551">
        <v>0</v>
      </c>
      <c r="I1551">
        <v>0</v>
      </c>
      <c r="J1551">
        <v>0</v>
      </c>
      <c r="K1551" t="s">
        <v>104</v>
      </c>
      <c r="L1551">
        <v>0</v>
      </c>
      <c r="M1551">
        <v>2</v>
      </c>
      <c r="N1551">
        <v>0</v>
      </c>
      <c r="O1551">
        <v>18</v>
      </c>
      <c r="P1551">
        <v>0</v>
      </c>
      <c r="Q1551">
        <v>9</v>
      </c>
      <c r="R1551">
        <v>-5</v>
      </c>
      <c r="S1551">
        <v>0</v>
      </c>
      <c r="T1551">
        <v>0</v>
      </c>
      <c r="U1551" s="8">
        <v>-5</v>
      </c>
      <c r="V1551" s="8">
        <f t="shared" si="24"/>
        <v>0</v>
      </c>
    </row>
    <row r="1552" spans="1:22" x14ac:dyDescent="0.3">
      <c r="A1552" t="s">
        <v>605</v>
      </c>
      <c r="B1552">
        <v>4</v>
      </c>
      <c r="C1552" t="s">
        <v>226</v>
      </c>
      <c r="D1552" t="s">
        <v>211</v>
      </c>
      <c r="E1552" t="s">
        <v>159</v>
      </c>
      <c r="F1552" t="s">
        <v>169</v>
      </c>
      <c r="G1552" t="s">
        <v>86</v>
      </c>
      <c r="H1552">
        <v>85</v>
      </c>
      <c r="I1552">
        <v>40</v>
      </c>
      <c r="J1552">
        <v>212.5</v>
      </c>
      <c r="K1552" t="s">
        <v>246</v>
      </c>
      <c r="L1552">
        <v>110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 s="8">
        <v>110</v>
      </c>
      <c r="V1552" s="8">
        <f t="shared" si="24"/>
        <v>10</v>
      </c>
    </row>
    <row r="1553" spans="1:22" x14ac:dyDescent="0.3">
      <c r="A1553" t="s">
        <v>605</v>
      </c>
      <c r="B1553">
        <v>4</v>
      </c>
      <c r="C1553" t="s">
        <v>165</v>
      </c>
      <c r="D1553" t="s">
        <v>166</v>
      </c>
      <c r="E1553" t="s">
        <v>159</v>
      </c>
      <c r="F1553" t="s">
        <v>109</v>
      </c>
      <c r="G1553" t="s">
        <v>86</v>
      </c>
      <c r="H1553">
        <v>47</v>
      </c>
      <c r="I1553">
        <v>32</v>
      </c>
      <c r="J1553">
        <v>146.88</v>
      </c>
      <c r="K1553" t="s">
        <v>96</v>
      </c>
      <c r="L1553">
        <v>60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 s="8">
        <v>60</v>
      </c>
      <c r="V1553" s="8">
        <f t="shared" si="24"/>
        <v>6</v>
      </c>
    </row>
    <row r="1554" spans="1:22" x14ac:dyDescent="0.3">
      <c r="A1554" t="s">
        <v>605</v>
      </c>
      <c r="B1554">
        <v>4</v>
      </c>
      <c r="C1554" t="s">
        <v>176</v>
      </c>
      <c r="D1554" t="s">
        <v>177</v>
      </c>
      <c r="E1554" t="s">
        <v>159</v>
      </c>
      <c r="F1554" t="s">
        <v>85</v>
      </c>
      <c r="G1554" t="s">
        <v>134</v>
      </c>
      <c r="H1554">
        <v>4</v>
      </c>
      <c r="I1554">
        <v>2</v>
      </c>
      <c r="J1554">
        <v>200</v>
      </c>
      <c r="K1554" t="s">
        <v>96</v>
      </c>
      <c r="L1554">
        <v>15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 s="8">
        <v>15</v>
      </c>
      <c r="V1554" s="8">
        <f t="shared" si="24"/>
        <v>2</v>
      </c>
    </row>
    <row r="1555" spans="1:22" x14ac:dyDescent="0.3">
      <c r="A1555" t="s">
        <v>605</v>
      </c>
      <c r="B1555">
        <v>4</v>
      </c>
      <c r="C1555" t="s">
        <v>97</v>
      </c>
      <c r="D1555" t="s">
        <v>122</v>
      </c>
      <c r="E1555" t="s">
        <v>159</v>
      </c>
      <c r="F1555" t="s">
        <v>109</v>
      </c>
      <c r="G1555" t="s">
        <v>104</v>
      </c>
      <c r="H1555">
        <v>0</v>
      </c>
      <c r="I1555">
        <v>0</v>
      </c>
      <c r="J1555">
        <v>0</v>
      </c>
      <c r="K1555" t="s">
        <v>104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 s="8">
        <v>0</v>
      </c>
      <c r="V1555" s="8">
        <f t="shared" si="24"/>
        <v>0</v>
      </c>
    </row>
    <row r="1556" spans="1:22" x14ac:dyDescent="0.3">
      <c r="A1556" t="s">
        <v>605</v>
      </c>
      <c r="B1556">
        <v>4</v>
      </c>
      <c r="C1556" t="s">
        <v>535</v>
      </c>
      <c r="D1556" t="s">
        <v>645</v>
      </c>
      <c r="E1556" t="s">
        <v>159</v>
      </c>
      <c r="F1556" t="s">
        <v>169</v>
      </c>
      <c r="G1556" t="s">
        <v>104</v>
      </c>
      <c r="H1556">
        <v>0</v>
      </c>
      <c r="I1556">
        <v>0</v>
      </c>
      <c r="J1556">
        <v>0</v>
      </c>
      <c r="K1556" t="s">
        <v>104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 s="8">
        <v>0</v>
      </c>
      <c r="V1556" s="8">
        <f t="shared" si="24"/>
        <v>0</v>
      </c>
    </row>
    <row r="1557" spans="1:22" x14ac:dyDescent="0.3">
      <c r="A1557" t="s">
        <v>605</v>
      </c>
      <c r="B1557">
        <v>4</v>
      </c>
      <c r="C1557" t="s">
        <v>206</v>
      </c>
      <c r="D1557" t="s">
        <v>207</v>
      </c>
      <c r="E1557" t="s">
        <v>159</v>
      </c>
      <c r="F1557" t="s">
        <v>101</v>
      </c>
      <c r="G1557" t="s">
        <v>104</v>
      </c>
      <c r="H1557">
        <v>0</v>
      </c>
      <c r="I1557">
        <v>0</v>
      </c>
      <c r="J1557">
        <v>0</v>
      </c>
      <c r="K1557" t="s">
        <v>104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 s="8">
        <v>0</v>
      </c>
      <c r="V1557" s="8">
        <f t="shared" si="24"/>
        <v>0</v>
      </c>
    </row>
    <row r="1558" spans="1:22" x14ac:dyDescent="0.3">
      <c r="A1558" t="s">
        <v>605</v>
      </c>
      <c r="B1558">
        <v>4</v>
      </c>
      <c r="C1558" t="s">
        <v>449</v>
      </c>
      <c r="D1558" t="s">
        <v>410</v>
      </c>
      <c r="E1558" t="s">
        <v>159</v>
      </c>
      <c r="F1558" t="s">
        <v>169</v>
      </c>
      <c r="G1558" t="s">
        <v>104</v>
      </c>
      <c r="H1558">
        <v>0</v>
      </c>
      <c r="I1558">
        <v>0</v>
      </c>
      <c r="J1558">
        <v>0</v>
      </c>
      <c r="K1558" t="s">
        <v>104</v>
      </c>
      <c r="L1558">
        <v>0</v>
      </c>
      <c r="M1558">
        <v>4</v>
      </c>
      <c r="N1558">
        <v>0</v>
      </c>
      <c r="O1558">
        <v>28</v>
      </c>
      <c r="P1558">
        <v>2</v>
      </c>
      <c r="Q1558">
        <v>7</v>
      </c>
      <c r="R1558">
        <v>50</v>
      </c>
      <c r="S1558">
        <v>0</v>
      </c>
      <c r="T1558">
        <v>0</v>
      </c>
      <c r="U1558" s="8">
        <v>50</v>
      </c>
      <c r="V1558" s="8">
        <f t="shared" si="24"/>
        <v>5</v>
      </c>
    </row>
    <row r="1559" spans="1:22" x14ac:dyDescent="0.3">
      <c r="A1559" t="s">
        <v>605</v>
      </c>
      <c r="B1559">
        <v>4</v>
      </c>
      <c r="C1559" t="s">
        <v>202</v>
      </c>
      <c r="D1559" t="s">
        <v>203</v>
      </c>
      <c r="E1559" t="s">
        <v>159</v>
      </c>
      <c r="F1559" t="s">
        <v>101</v>
      </c>
      <c r="G1559" t="s">
        <v>104</v>
      </c>
      <c r="H1559">
        <v>0</v>
      </c>
      <c r="I1559">
        <v>0</v>
      </c>
      <c r="J1559">
        <v>0</v>
      </c>
      <c r="K1559" t="s">
        <v>104</v>
      </c>
      <c r="L1559">
        <v>0</v>
      </c>
      <c r="M1559">
        <v>4</v>
      </c>
      <c r="N1559">
        <v>0</v>
      </c>
      <c r="O1559">
        <v>18</v>
      </c>
      <c r="P1559">
        <v>0</v>
      </c>
      <c r="Q1559">
        <v>4.5</v>
      </c>
      <c r="R1559">
        <v>15</v>
      </c>
      <c r="S1559">
        <v>0</v>
      </c>
      <c r="T1559">
        <v>0</v>
      </c>
      <c r="U1559" s="8">
        <v>15</v>
      </c>
      <c r="V1559" s="8">
        <f t="shared" si="24"/>
        <v>2</v>
      </c>
    </row>
    <row r="1560" spans="1:22" x14ac:dyDescent="0.3">
      <c r="A1560" t="s">
        <v>605</v>
      </c>
      <c r="B1560">
        <v>4</v>
      </c>
      <c r="C1560" t="s">
        <v>259</v>
      </c>
      <c r="D1560" t="s">
        <v>257</v>
      </c>
      <c r="E1560" t="s">
        <v>159</v>
      </c>
      <c r="F1560" t="s">
        <v>169</v>
      </c>
      <c r="G1560" t="s">
        <v>104</v>
      </c>
      <c r="H1560">
        <v>0</v>
      </c>
      <c r="I1560">
        <v>0</v>
      </c>
      <c r="J1560">
        <v>0</v>
      </c>
      <c r="K1560" t="s">
        <v>104</v>
      </c>
      <c r="L1560">
        <v>0</v>
      </c>
      <c r="M1560">
        <v>4</v>
      </c>
      <c r="N1560">
        <v>0</v>
      </c>
      <c r="O1560">
        <v>50</v>
      </c>
      <c r="P1560">
        <v>2</v>
      </c>
      <c r="Q1560">
        <v>12.5</v>
      </c>
      <c r="R1560">
        <v>50</v>
      </c>
      <c r="S1560">
        <v>0</v>
      </c>
      <c r="T1560">
        <v>0</v>
      </c>
      <c r="U1560" s="8">
        <v>50</v>
      </c>
      <c r="V1560" s="8">
        <f t="shared" si="24"/>
        <v>5</v>
      </c>
    </row>
    <row r="1561" spans="1:22" x14ac:dyDescent="0.3">
      <c r="A1561" t="s">
        <v>605</v>
      </c>
      <c r="B1561">
        <v>4</v>
      </c>
      <c r="C1561" t="s">
        <v>528</v>
      </c>
      <c r="D1561" t="s">
        <v>628</v>
      </c>
      <c r="E1561" t="s">
        <v>159</v>
      </c>
      <c r="F1561" t="s">
        <v>101</v>
      </c>
      <c r="G1561" t="s">
        <v>104</v>
      </c>
      <c r="H1561">
        <v>0</v>
      </c>
      <c r="I1561">
        <v>0</v>
      </c>
      <c r="J1561">
        <v>0</v>
      </c>
      <c r="K1561" t="s">
        <v>104</v>
      </c>
      <c r="L1561">
        <v>0</v>
      </c>
      <c r="M1561">
        <v>4</v>
      </c>
      <c r="N1561">
        <v>0</v>
      </c>
      <c r="O1561">
        <v>30</v>
      </c>
      <c r="P1561">
        <v>0</v>
      </c>
      <c r="Q1561">
        <v>7.5</v>
      </c>
      <c r="R1561">
        <v>5</v>
      </c>
      <c r="S1561">
        <v>0</v>
      </c>
      <c r="T1561">
        <v>0</v>
      </c>
      <c r="U1561" s="8">
        <v>5</v>
      </c>
      <c r="V1561" s="8">
        <f t="shared" si="24"/>
        <v>1</v>
      </c>
    </row>
    <row r="1562" spans="1:22" x14ac:dyDescent="0.3">
      <c r="A1562" t="s">
        <v>605</v>
      </c>
      <c r="B1562">
        <v>4</v>
      </c>
      <c r="C1562" t="s">
        <v>527</v>
      </c>
      <c r="D1562" t="s">
        <v>627</v>
      </c>
      <c r="E1562" t="s">
        <v>159</v>
      </c>
      <c r="F1562" t="s">
        <v>101</v>
      </c>
      <c r="G1562" t="s">
        <v>104</v>
      </c>
      <c r="H1562">
        <v>0</v>
      </c>
      <c r="I1562">
        <v>0</v>
      </c>
      <c r="J1562">
        <v>0</v>
      </c>
      <c r="K1562" t="s">
        <v>104</v>
      </c>
      <c r="L1562">
        <v>0</v>
      </c>
      <c r="M1562">
        <v>4</v>
      </c>
      <c r="N1562">
        <v>0</v>
      </c>
      <c r="O1562">
        <v>16</v>
      </c>
      <c r="P1562">
        <v>1</v>
      </c>
      <c r="Q1562">
        <v>4</v>
      </c>
      <c r="R1562">
        <v>35</v>
      </c>
      <c r="S1562">
        <v>0</v>
      </c>
      <c r="T1562">
        <v>0</v>
      </c>
      <c r="U1562" s="8">
        <v>35</v>
      </c>
      <c r="V1562" s="8">
        <f t="shared" si="24"/>
        <v>4</v>
      </c>
    </row>
    <row r="1563" spans="1:22" x14ac:dyDescent="0.3">
      <c r="A1563" t="s">
        <v>606</v>
      </c>
      <c r="B1563">
        <v>4</v>
      </c>
      <c r="C1563" t="s">
        <v>81</v>
      </c>
      <c r="D1563" t="s">
        <v>114</v>
      </c>
      <c r="E1563" t="s">
        <v>258</v>
      </c>
      <c r="F1563" t="s">
        <v>85</v>
      </c>
      <c r="G1563" t="s">
        <v>86</v>
      </c>
      <c r="H1563">
        <v>33</v>
      </c>
      <c r="I1563">
        <v>26</v>
      </c>
      <c r="J1563">
        <v>126.92</v>
      </c>
      <c r="K1563" t="s">
        <v>246</v>
      </c>
      <c r="L1563">
        <v>40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 s="8">
        <v>40</v>
      </c>
      <c r="V1563" s="8">
        <f t="shared" si="24"/>
        <v>4</v>
      </c>
    </row>
    <row r="1564" spans="1:22" x14ac:dyDescent="0.3">
      <c r="A1564" t="s">
        <v>606</v>
      </c>
      <c r="B1564">
        <v>4</v>
      </c>
      <c r="C1564" t="s">
        <v>167</v>
      </c>
      <c r="D1564" t="s">
        <v>168</v>
      </c>
      <c r="E1564" t="s">
        <v>258</v>
      </c>
      <c r="F1564" t="s">
        <v>169</v>
      </c>
      <c r="G1564" t="s">
        <v>92</v>
      </c>
      <c r="H1564">
        <v>8</v>
      </c>
      <c r="I1564">
        <v>4</v>
      </c>
      <c r="J1564">
        <v>200</v>
      </c>
      <c r="K1564" t="s">
        <v>246</v>
      </c>
      <c r="L1564">
        <v>20</v>
      </c>
      <c r="M1564">
        <v>3.2</v>
      </c>
      <c r="N1564">
        <v>0</v>
      </c>
      <c r="O1564">
        <v>29</v>
      </c>
      <c r="P1564">
        <v>1</v>
      </c>
      <c r="Q1564">
        <v>8.6999999999999993</v>
      </c>
      <c r="R1564">
        <v>35</v>
      </c>
      <c r="S1564">
        <v>0</v>
      </c>
      <c r="T1564">
        <v>0</v>
      </c>
      <c r="U1564" s="8">
        <v>55</v>
      </c>
      <c r="V1564" s="8">
        <f t="shared" si="24"/>
        <v>6</v>
      </c>
    </row>
    <row r="1565" spans="1:22" x14ac:dyDescent="0.3">
      <c r="A1565" t="s">
        <v>606</v>
      </c>
      <c r="B1565">
        <v>4</v>
      </c>
      <c r="C1565" t="s">
        <v>178</v>
      </c>
      <c r="D1565" t="s">
        <v>179</v>
      </c>
      <c r="E1565" t="s">
        <v>258</v>
      </c>
      <c r="F1565" t="s">
        <v>169</v>
      </c>
      <c r="G1565" t="s">
        <v>92</v>
      </c>
      <c r="H1565">
        <v>35</v>
      </c>
      <c r="I1565">
        <v>18</v>
      </c>
      <c r="J1565">
        <v>194.44</v>
      </c>
      <c r="K1565" t="s">
        <v>246</v>
      </c>
      <c r="L1565">
        <v>55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 s="8">
        <v>55</v>
      </c>
      <c r="V1565" s="8">
        <f t="shared" si="24"/>
        <v>6</v>
      </c>
    </row>
    <row r="1566" spans="1:22" x14ac:dyDescent="0.3">
      <c r="A1566" t="s">
        <v>606</v>
      </c>
      <c r="B1566">
        <v>4</v>
      </c>
      <c r="C1566" t="s">
        <v>93</v>
      </c>
      <c r="D1566" t="s">
        <v>118</v>
      </c>
      <c r="E1566" t="s">
        <v>258</v>
      </c>
      <c r="F1566" t="s">
        <v>169</v>
      </c>
      <c r="G1566" t="s">
        <v>92</v>
      </c>
      <c r="H1566">
        <v>20</v>
      </c>
      <c r="I1566">
        <v>11</v>
      </c>
      <c r="J1566">
        <v>181.82</v>
      </c>
      <c r="K1566" t="s">
        <v>247</v>
      </c>
      <c r="L1566">
        <v>30</v>
      </c>
      <c r="M1566">
        <v>1</v>
      </c>
      <c r="N1566">
        <v>0</v>
      </c>
      <c r="O1566">
        <v>10</v>
      </c>
      <c r="P1566">
        <v>0</v>
      </c>
      <c r="Q1566">
        <v>10</v>
      </c>
      <c r="R1566">
        <v>5</v>
      </c>
      <c r="S1566">
        <v>0</v>
      </c>
      <c r="T1566">
        <v>0</v>
      </c>
      <c r="U1566" s="8">
        <v>35</v>
      </c>
      <c r="V1566" s="8">
        <f t="shared" si="24"/>
        <v>4</v>
      </c>
    </row>
    <row r="1567" spans="1:22" x14ac:dyDescent="0.3">
      <c r="A1567" t="s">
        <v>606</v>
      </c>
      <c r="B1567">
        <v>4</v>
      </c>
      <c r="C1567" t="s">
        <v>99</v>
      </c>
      <c r="D1567" t="s">
        <v>124</v>
      </c>
      <c r="E1567" t="s">
        <v>258</v>
      </c>
      <c r="F1567" t="s">
        <v>169</v>
      </c>
      <c r="G1567" t="s">
        <v>134</v>
      </c>
      <c r="H1567">
        <v>43</v>
      </c>
      <c r="I1567">
        <v>33</v>
      </c>
      <c r="J1567">
        <v>130.30000000000001</v>
      </c>
      <c r="K1567" t="s">
        <v>96</v>
      </c>
      <c r="L1567">
        <v>55</v>
      </c>
      <c r="M1567">
        <v>2</v>
      </c>
      <c r="N1567">
        <v>0</v>
      </c>
      <c r="O1567">
        <v>23</v>
      </c>
      <c r="P1567">
        <v>0</v>
      </c>
      <c r="Q1567">
        <v>11.5</v>
      </c>
      <c r="R1567">
        <v>-5</v>
      </c>
      <c r="S1567">
        <v>0</v>
      </c>
      <c r="T1567">
        <v>0</v>
      </c>
      <c r="U1567" s="8">
        <v>50</v>
      </c>
      <c r="V1567" s="8">
        <f t="shared" si="24"/>
        <v>5</v>
      </c>
    </row>
    <row r="1568" spans="1:22" x14ac:dyDescent="0.3">
      <c r="A1568" t="s">
        <v>606</v>
      </c>
      <c r="B1568">
        <v>4</v>
      </c>
      <c r="C1568" t="s">
        <v>577</v>
      </c>
      <c r="D1568" t="s">
        <v>649</v>
      </c>
      <c r="E1568" t="s">
        <v>258</v>
      </c>
      <c r="F1568" t="s">
        <v>169</v>
      </c>
      <c r="G1568" t="s">
        <v>134</v>
      </c>
      <c r="H1568">
        <v>11</v>
      </c>
      <c r="I1568">
        <v>14</v>
      </c>
      <c r="J1568">
        <v>78.569999999999993</v>
      </c>
      <c r="K1568" t="s">
        <v>256</v>
      </c>
      <c r="L1568">
        <v>10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 s="8">
        <v>10</v>
      </c>
      <c r="V1568" s="8">
        <f t="shared" si="24"/>
        <v>1</v>
      </c>
    </row>
    <row r="1569" spans="1:22" x14ac:dyDescent="0.3">
      <c r="A1569" t="s">
        <v>606</v>
      </c>
      <c r="B1569">
        <v>4</v>
      </c>
      <c r="C1569" t="s">
        <v>447</v>
      </c>
      <c r="D1569" t="s">
        <v>448</v>
      </c>
      <c r="E1569" t="s">
        <v>258</v>
      </c>
      <c r="F1569" t="s">
        <v>109</v>
      </c>
      <c r="G1569" t="s">
        <v>134</v>
      </c>
      <c r="H1569">
        <v>36</v>
      </c>
      <c r="I1569">
        <v>15</v>
      </c>
      <c r="J1569">
        <v>240</v>
      </c>
      <c r="K1569" t="s">
        <v>96</v>
      </c>
      <c r="L1569">
        <v>55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 s="8">
        <v>55</v>
      </c>
      <c r="V1569" s="8">
        <f t="shared" si="24"/>
        <v>6</v>
      </c>
    </row>
    <row r="1570" spans="1:22" x14ac:dyDescent="0.3">
      <c r="A1570" t="s">
        <v>606</v>
      </c>
      <c r="B1570">
        <v>4</v>
      </c>
      <c r="C1570" t="s">
        <v>493</v>
      </c>
      <c r="D1570" t="s">
        <v>500</v>
      </c>
      <c r="E1570" t="s">
        <v>258</v>
      </c>
      <c r="F1570" t="s">
        <v>169</v>
      </c>
      <c r="G1570" t="s">
        <v>104</v>
      </c>
      <c r="H1570">
        <v>0</v>
      </c>
      <c r="I1570">
        <v>0</v>
      </c>
      <c r="J1570">
        <v>0</v>
      </c>
      <c r="K1570" t="s">
        <v>104</v>
      </c>
      <c r="L1570">
        <v>0</v>
      </c>
      <c r="M1570">
        <v>4</v>
      </c>
      <c r="N1570">
        <v>0</v>
      </c>
      <c r="O1570">
        <v>33</v>
      </c>
      <c r="P1570">
        <v>1</v>
      </c>
      <c r="Q1570">
        <v>8.1999999999999993</v>
      </c>
      <c r="R1570">
        <v>35</v>
      </c>
      <c r="S1570">
        <v>0</v>
      </c>
      <c r="T1570">
        <v>0</v>
      </c>
      <c r="U1570" s="8">
        <v>35</v>
      </c>
      <c r="V1570" s="8">
        <f t="shared" si="24"/>
        <v>4</v>
      </c>
    </row>
    <row r="1571" spans="1:22" x14ac:dyDescent="0.3">
      <c r="A1571" t="s">
        <v>606</v>
      </c>
      <c r="B1571">
        <v>4</v>
      </c>
      <c r="C1571" t="s">
        <v>105</v>
      </c>
      <c r="D1571" t="s">
        <v>128</v>
      </c>
      <c r="E1571" t="s">
        <v>258</v>
      </c>
      <c r="F1571" t="s">
        <v>101</v>
      </c>
      <c r="G1571" t="s">
        <v>104</v>
      </c>
      <c r="H1571">
        <v>0</v>
      </c>
      <c r="I1571">
        <v>0</v>
      </c>
      <c r="J1571">
        <v>0</v>
      </c>
      <c r="K1571" t="s">
        <v>104</v>
      </c>
      <c r="L1571">
        <v>0</v>
      </c>
      <c r="M1571">
        <v>3</v>
      </c>
      <c r="N1571">
        <v>0</v>
      </c>
      <c r="O1571">
        <v>29</v>
      </c>
      <c r="P1571">
        <v>0</v>
      </c>
      <c r="Q1571">
        <v>9.6999999999999993</v>
      </c>
      <c r="R1571">
        <v>-5</v>
      </c>
      <c r="S1571">
        <v>0</v>
      </c>
      <c r="T1571">
        <v>0</v>
      </c>
      <c r="U1571" s="8">
        <v>-5</v>
      </c>
      <c r="V1571" s="8">
        <f t="shared" si="24"/>
        <v>0</v>
      </c>
    </row>
    <row r="1572" spans="1:22" x14ac:dyDescent="0.3">
      <c r="A1572" t="s">
        <v>606</v>
      </c>
      <c r="B1572">
        <v>4</v>
      </c>
      <c r="C1572" t="s">
        <v>237</v>
      </c>
      <c r="D1572" t="s">
        <v>238</v>
      </c>
      <c r="E1572" t="s">
        <v>258</v>
      </c>
      <c r="F1572" t="s">
        <v>101</v>
      </c>
      <c r="G1572" t="s">
        <v>104</v>
      </c>
      <c r="H1572">
        <v>0</v>
      </c>
      <c r="I1572">
        <v>0</v>
      </c>
      <c r="J1572">
        <v>0</v>
      </c>
      <c r="K1572" t="s">
        <v>104</v>
      </c>
      <c r="L1572">
        <v>0</v>
      </c>
      <c r="M1572">
        <v>2</v>
      </c>
      <c r="N1572">
        <v>0</v>
      </c>
      <c r="O1572">
        <v>22</v>
      </c>
      <c r="P1572">
        <v>0</v>
      </c>
      <c r="Q1572">
        <v>11</v>
      </c>
      <c r="R1572">
        <v>-10</v>
      </c>
      <c r="S1572">
        <v>0</v>
      </c>
      <c r="T1572">
        <v>0</v>
      </c>
      <c r="U1572" s="8">
        <v>-10</v>
      </c>
      <c r="V1572" s="8">
        <f t="shared" si="24"/>
        <v>0</v>
      </c>
    </row>
    <row r="1573" spans="1:22" x14ac:dyDescent="0.3">
      <c r="A1573" t="s">
        <v>606</v>
      </c>
      <c r="B1573">
        <v>4</v>
      </c>
      <c r="C1573" t="s">
        <v>186</v>
      </c>
      <c r="D1573" t="s">
        <v>187</v>
      </c>
      <c r="E1573" t="s">
        <v>258</v>
      </c>
      <c r="F1573" t="s">
        <v>101</v>
      </c>
      <c r="G1573" t="s">
        <v>104</v>
      </c>
      <c r="H1573">
        <v>0</v>
      </c>
      <c r="I1573">
        <v>0</v>
      </c>
      <c r="J1573">
        <v>0</v>
      </c>
      <c r="K1573" t="s">
        <v>104</v>
      </c>
      <c r="L1573">
        <v>0</v>
      </c>
      <c r="M1573">
        <v>4</v>
      </c>
      <c r="N1573">
        <v>0</v>
      </c>
      <c r="O1573">
        <v>39</v>
      </c>
      <c r="P1573">
        <v>1</v>
      </c>
      <c r="Q1573">
        <v>9.8000000000000007</v>
      </c>
      <c r="R1573">
        <v>25</v>
      </c>
      <c r="S1573">
        <v>0</v>
      </c>
      <c r="T1573">
        <v>0</v>
      </c>
      <c r="U1573" s="8">
        <v>25</v>
      </c>
      <c r="V1573" s="8">
        <f t="shared" si="24"/>
        <v>3</v>
      </c>
    </row>
    <row r="1574" spans="1:22" x14ac:dyDescent="0.3">
      <c r="A1574" t="s">
        <v>606</v>
      </c>
      <c r="B1574">
        <v>4</v>
      </c>
      <c r="C1574" t="s">
        <v>576</v>
      </c>
      <c r="D1574" t="s">
        <v>648</v>
      </c>
      <c r="E1574" t="s">
        <v>266</v>
      </c>
      <c r="F1574" t="s">
        <v>85</v>
      </c>
      <c r="G1574" t="s">
        <v>86</v>
      </c>
      <c r="H1574">
        <v>13</v>
      </c>
      <c r="I1574">
        <v>12</v>
      </c>
      <c r="J1574">
        <v>108.33</v>
      </c>
      <c r="K1574" t="s">
        <v>248</v>
      </c>
      <c r="L1574">
        <v>20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 s="8">
        <v>20</v>
      </c>
      <c r="V1574" s="8">
        <f t="shared" si="24"/>
        <v>2</v>
      </c>
    </row>
    <row r="1575" spans="1:22" x14ac:dyDescent="0.3">
      <c r="A1575" t="s">
        <v>606</v>
      </c>
      <c r="B1575">
        <v>4</v>
      </c>
      <c r="C1575" t="s">
        <v>112</v>
      </c>
      <c r="D1575" t="s">
        <v>88</v>
      </c>
      <c r="E1575" t="s">
        <v>266</v>
      </c>
      <c r="F1575" t="s">
        <v>169</v>
      </c>
      <c r="G1575" t="s">
        <v>86</v>
      </c>
      <c r="H1575">
        <v>22</v>
      </c>
      <c r="I1575">
        <v>12</v>
      </c>
      <c r="J1575">
        <v>183.33</v>
      </c>
      <c r="K1575" t="s">
        <v>246</v>
      </c>
      <c r="L1575">
        <v>40</v>
      </c>
      <c r="M1575">
        <v>3</v>
      </c>
      <c r="N1575">
        <v>0</v>
      </c>
      <c r="O1575">
        <v>34</v>
      </c>
      <c r="P1575">
        <v>1</v>
      </c>
      <c r="Q1575">
        <v>11.3</v>
      </c>
      <c r="R1575">
        <v>25</v>
      </c>
      <c r="S1575">
        <v>0</v>
      </c>
      <c r="T1575">
        <v>0</v>
      </c>
      <c r="U1575" s="8">
        <v>65</v>
      </c>
      <c r="V1575" s="8">
        <f t="shared" si="24"/>
        <v>7</v>
      </c>
    </row>
    <row r="1576" spans="1:22" x14ac:dyDescent="0.3">
      <c r="A1576" t="s">
        <v>606</v>
      </c>
      <c r="B1576">
        <v>4</v>
      </c>
      <c r="C1576" t="s">
        <v>121</v>
      </c>
      <c r="D1576" t="s">
        <v>108</v>
      </c>
      <c r="E1576" t="s">
        <v>266</v>
      </c>
      <c r="F1576" t="s">
        <v>169</v>
      </c>
      <c r="G1576" t="s">
        <v>92</v>
      </c>
      <c r="H1576">
        <v>40</v>
      </c>
      <c r="I1576">
        <v>26</v>
      </c>
      <c r="J1576">
        <v>153.85</v>
      </c>
      <c r="K1576" t="s">
        <v>246</v>
      </c>
      <c r="L1576">
        <v>55</v>
      </c>
      <c r="M1576">
        <v>4</v>
      </c>
      <c r="N1576">
        <v>0</v>
      </c>
      <c r="O1576">
        <v>48</v>
      </c>
      <c r="P1576">
        <v>0</v>
      </c>
      <c r="Q1576">
        <v>12</v>
      </c>
      <c r="R1576">
        <v>-5</v>
      </c>
      <c r="S1576">
        <v>0</v>
      </c>
      <c r="T1576">
        <v>0</v>
      </c>
      <c r="U1576" s="8">
        <v>50</v>
      </c>
      <c r="V1576" s="8">
        <f t="shared" si="24"/>
        <v>5</v>
      </c>
    </row>
    <row r="1577" spans="1:22" x14ac:dyDescent="0.3">
      <c r="A1577" t="s">
        <v>606</v>
      </c>
      <c r="B1577">
        <v>4</v>
      </c>
      <c r="C1577" t="s">
        <v>115</v>
      </c>
      <c r="D1577" t="s">
        <v>17</v>
      </c>
      <c r="E1577" t="s">
        <v>266</v>
      </c>
      <c r="F1577" t="s">
        <v>169</v>
      </c>
      <c r="G1577" t="s">
        <v>134</v>
      </c>
      <c r="H1577">
        <v>71</v>
      </c>
      <c r="I1577">
        <v>43</v>
      </c>
      <c r="J1577">
        <v>165.12</v>
      </c>
      <c r="K1577" t="s">
        <v>96</v>
      </c>
      <c r="L1577">
        <v>95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 s="8">
        <v>95</v>
      </c>
      <c r="V1577" s="8">
        <f t="shared" si="24"/>
        <v>10</v>
      </c>
    </row>
    <row r="1578" spans="1:22" x14ac:dyDescent="0.3">
      <c r="A1578" t="s">
        <v>606</v>
      </c>
      <c r="B1578">
        <v>4</v>
      </c>
      <c r="C1578" t="s">
        <v>517</v>
      </c>
      <c r="D1578" t="s">
        <v>626</v>
      </c>
      <c r="E1578" t="s">
        <v>266</v>
      </c>
      <c r="F1578" t="s">
        <v>169</v>
      </c>
      <c r="G1578" t="s">
        <v>134</v>
      </c>
      <c r="H1578">
        <v>38</v>
      </c>
      <c r="I1578">
        <v>23</v>
      </c>
      <c r="J1578">
        <v>165.22</v>
      </c>
      <c r="K1578" t="s">
        <v>96</v>
      </c>
      <c r="L1578">
        <v>55</v>
      </c>
      <c r="M1578">
        <v>4</v>
      </c>
      <c r="N1578">
        <v>0</v>
      </c>
      <c r="O1578">
        <v>36</v>
      </c>
      <c r="P1578">
        <v>1</v>
      </c>
      <c r="Q1578">
        <v>9</v>
      </c>
      <c r="R1578">
        <v>25</v>
      </c>
      <c r="S1578">
        <v>0</v>
      </c>
      <c r="T1578">
        <v>0</v>
      </c>
      <c r="U1578" s="8">
        <v>80</v>
      </c>
      <c r="V1578" s="8">
        <f t="shared" si="24"/>
        <v>8</v>
      </c>
    </row>
    <row r="1579" spans="1:22" x14ac:dyDescent="0.3">
      <c r="A1579" t="s">
        <v>606</v>
      </c>
      <c r="B1579">
        <v>4</v>
      </c>
      <c r="C1579" t="s">
        <v>119</v>
      </c>
      <c r="D1579" t="s">
        <v>95</v>
      </c>
      <c r="E1579" t="s">
        <v>266</v>
      </c>
      <c r="F1579" t="s">
        <v>169</v>
      </c>
      <c r="G1579" t="s">
        <v>104</v>
      </c>
      <c r="H1579">
        <v>0</v>
      </c>
      <c r="I1579">
        <v>0</v>
      </c>
      <c r="J1579">
        <v>0</v>
      </c>
      <c r="K1579" t="s">
        <v>104</v>
      </c>
      <c r="L1579">
        <v>0</v>
      </c>
      <c r="M1579">
        <v>4</v>
      </c>
      <c r="N1579">
        <v>0</v>
      </c>
      <c r="O1579">
        <v>40</v>
      </c>
      <c r="P1579">
        <v>1</v>
      </c>
      <c r="Q1579">
        <v>10</v>
      </c>
      <c r="R1579">
        <v>25</v>
      </c>
      <c r="S1579">
        <v>0</v>
      </c>
      <c r="T1579">
        <v>0</v>
      </c>
      <c r="U1579" s="8">
        <v>25</v>
      </c>
      <c r="V1579" s="8">
        <f t="shared" si="24"/>
        <v>3</v>
      </c>
    </row>
    <row r="1580" spans="1:22" x14ac:dyDescent="0.3">
      <c r="A1580" t="s">
        <v>606</v>
      </c>
      <c r="B1580">
        <v>4</v>
      </c>
      <c r="C1580" t="s">
        <v>347</v>
      </c>
      <c r="D1580" t="s">
        <v>348</v>
      </c>
      <c r="E1580" t="s">
        <v>266</v>
      </c>
      <c r="F1580" t="s">
        <v>169</v>
      </c>
      <c r="G1580" t="s">
        <v>104</v>
      </c>
      <c r="H1580">
        <v>0</v>
      </c>
      <c r="I1580">
        <v>0</v>
      </c>
      <c r="J1580">
        <v>0</v>
      </c>
      <c r="K1580" t="s">
        <v>104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 s="8">
        <v>0</v>
      </c>
      <c r="V1580" s="8">
        <f t="shared" si="24"/>
        <v>0</v>
      </c>
    </row>
    <row r="1581" spans="1:22" x14ac:dyDescent="0.3">
      <c r="A1581" t="s">
        <v>606</v>
      </c>
      <c r="B1581">
        <v>4</v>
      </c>
      <c r="C1581" t="s">
        <v>507</v>
      </c>
      <c r="D1581" t="s">
        <v>519</v>
      </c>
      <c r="E1581" t="s">
        <v>266</v>
      </c>
      <c r="F1581" t="s">
        <v>169</v>
      </c>
      <c r="G1581" t="s">
        <v>104</v>
      </c>
      <c r="H1581">
        <v>0</v>
      </c>
      <c r="I1581">
        <v>0</v>
      </c>
      <c r="J1581">
        <v>0</v>
      </c>
      <c r="K1581" t="s">
        <v>104</v>
      </c>
      <c r="L1581">
        <v>0</v>
      </c>
      <c r="M1581">
        <v>1</v>
      </c>
      <c r="N1581">
        <v>0</v>
      </c>
      <c r="O1581">
        <v>5</v>
      </c>
      <c r="P1581">
        <v>0</v>
      </c>
      <c r="Q1581">
        <v>5</v>
      </c>
      <c r="R1581">
        <v>15</v>
      </c>
      <c r="S1581">
        <v>0</v>
      </c>
      <c r="T1581">
        <v>0</v>
      </c>
      <c r="U1581" s="8">
        <v>15</v>
      </c>
      <c r="V1581" s="8">
        <f t="shared" si="24"/>
        <v>2</v>
      </c>
    </row>
    <row r="1582" spans="1:22" x14ac:dyDescent="0.3">
      <c r="A1582" t="s">
        <v>606</v>
      </c>
      <c r="B1582">
        <v>4</v>
      </c>
      <c r="C1582" t="s">
        <v>273</v>
      </c>
      <c r="D1582" t="s">
        <v>279</v>
      </c>
      <c r="E1582" t="s">
        <v>266</v>
      </c>
      <c r="F1582" t="s">
        <v>169</v>
      </c>
      <c r="G1582" t="s">
        <v>104</v>
      </c>
      <c r="H1582">
        <v>0</v>
      </c>
      <c r="I1582">
        <v>0</v>
      </c>
      <c r="J1582">
        <v>0</v>
      </c>
      <c r="K1582" t="s">
        <v>104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 s="8">
        <v>0</v>
      </c>
      <c r="V1582" s="8">
        <f t="shared" si="24"/>
        <v>0</v>
      </c>
    </row>
    <row r="1583" spans="1:22" x14ac:dyDescent="0.3">
      <c r="A1583" t="s">
        <v>606</v>
      </c>
      <c r="B1583">
        <v>4</v>
      </c>
      <c r="C1583" t="s">
        <v>265</v>
      </c>
      <c r="D1583" t="s">
        <v>264</v>
      </c>
      <c r="E1583" t="s">
        <v>266</v>
      </c>
      <c r="F1583" t="s">
        <v>101</v>
      </c>
      <c r="G1583" t="s">
        <v>104</v>
      </c>
      <c r="H1583">
        <v>0</v>
      </c>
      <c r="I1583">
        <v>0</v>
      </c>
      <c r="J1583">
        <v>0</v>
      </c>
      <c r="K1583" t="s">
        <v>104</v>
      </c>
      <c r="L1583">
        <v>0</v>
      </c>
      <c r="M1583">
        <v>4</v>
      </c>
      <c r="N1583">
        <v>0</v>
      </c>
      <c r="O1583">
        <v>25</v>
      </c>
      <c r="P1583">
        <v>1</v>
      </c>
      <c r="Q1583">
        <v>6.2</v>
      </c>
      <c r="R1583">
        <v>35</v>
      </c>
      <c r="S1583">
        <v>0</v>
      </c>
      <c r="T1583">
        <v>0</v>
      </c>
      <c r="U1583" s="8">
        <v>35</v>
      </c>
      <c r="V1583" s="8">
        <f t="shared" si="24"/>
        <v>4</v>
      </c>
    </row>
    <row r="1584" spans="1:22" x14ac:dyDescent="0.3">
      <c r="A1584" t="s">
        <v>606</v>
      </c>
      <c r="B1584">
        <v>4</v>
      </c>
      <c r="C1584" t="s">
        <v>534</v>
      </c>
      <c r="D1584" t="s">
        <v>639</v>
      </c>
      <c r="E1584" t="s">
        <v>266</v>
      </c>
      <c r="F1584" t="s">
        <v>101</v>
      </c>
      <c r="G1584" t="s">
        <v>104</v>
      </c>
      <c r="H1584">
        <v>0</v>
      </c>
      <c r="I1584">
        <v>0</v>
      </c>
      <c r="J1584">
        <v>0</v>
      </c>
      <c r="K1584" t="s">
        <v>104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 s="8">
        <v>0</v>
      </c>
      <c r="V1584" s="8">
        <f t="shared" si="24"/>
        <v>0</v>
      </c>
    </row>
    <row r="1585" spans="1:22" x14ac:dyDescent="0.3">
      <c r="A1585" t="s">
        <v>607</v>
      </c>
      <c r="B1585">
        <v>4</v>
      </c>
      <c r="C1585" t="s">
        <v>229</v>
      </c>
      <c r="D1585" t="s">
        <v>230</v>
      </c>
      <c r="E1585" t="s">
        <v>219</v>
      </c>
      <c r="F1585" t="s">
        <v>109</v>
      </c>
      <c r="G1585" t="s">
        <v>86</v>
      </c>
      <c r="H1585">
        <v>0</v>
      </c>
      <c r="I1585">
        <v>3</v>
      </c>
      <c r="J1585">
        <v>0</v>
      </c>
      <c r="K1585" t="s">
        <v>246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 s="8">
        <v>0</v>
      </c>
      <c r="V1585" s="8">
        <f t="shared" si="24"/>
        <v>0</v>
      </c>
    </row>
    <row r="1586" spans="1:22" x14ac:dyDescent="0.3">
      <c r="A1586" t="s">
        <v>607</v>
      </c>
      <c r="B1586">
        <v>4</v>
      </c>
      <c r="C1586" t="s">
        <v>190</v>
      </c>
      <c r="D1586" t="s">
        <v>191</v>
      </c>
      <c r="E1586" t="s">
        <v>219</v>
      </c>
      <c r="F1586" t="s">
        <v>109</v>
      </c>
      <c r="G1586" t="s">
        <v>86</v>
      </c>
      <c r="H1586">
        <v>54</v>
      </c>
      <c r="I1586">
        <v>38</v>
      </c>
      <c r="J1586">
        <v>142.11000000000001</v>
      </c>
      <c r="K1586" t="s">
        <v>246</v>
      </c>
      <c r="L1586">
        <v>70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 s="8">
        <v>70</v>
      </c>
      <c r="V1586" s="8">
        <f t="shared" si="24"/>
        <v>7</v>
      </c>
    </row>
    <row r="1587" spans="1:22" x14ac:dyDescent="0.3">
      <c r="A1587" t="s">
        <v>607</v>
      </c>
      <c r="B1587">
        <v>4</v>
      </c>
      <c r="C1587" t="s">
        <v>383</v>
      </c>
      <c r="D1587" t="s">
        <v>384</v>
      </c>
      <c r="E1587" t="s">
        <v>219</v>
      </c>
      <c r="F1587" t="s">
        <v>109</v>
      </c>
      <c r="G1587" t="s">
        <v>92</v>
      </c>
      <c r="H1587">
        <v>27</v>
      </c>
      <c r="I1587">
        <v>20</v>
      </c>
      <c r="J1587">
        <v>135</v>
      </c>
      <c r="K1587" t="s">
        <v>248</v>
      </c>
      <c r="L1587">
        <v>35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 s="8">
        <v>35</v>
      </c>
      <c r="V1587" s="8">
        <f t="shared" si="24"/>
        <v>4</v>
      </c>
    </row>
    <row r="1588" spans="1:22" x14ac:dyDescent="0.3">
      <c r="A1588" t="s">
        <v>607</v>
      </c>
      <c r="B1588">
        <v>4</v>
      </c>
      <c r="C1588" t="s">
        <v>89</v>
      </c>
      <c r="D1588" t="s">
        <v>116</v>
      </c>
      <c r="E1588" t="s">
        <v>219</v>
      </c>
      <c r="F1588" t="s">
        <v>169</v>
      </c>
      <c r="G1588" t="s">
        <v>92</v>
      </c>
      <c r="H1588">
        <v>47</v>
      </c>
      <c r="I1588">
        <v>36</v>
      </c>
      <c r="J1588">
        <v>130.56</v>
      </c>
      <c r="K1588" t="s">
        <v>256</v>
      </c>
      <c r="L1588">
        <v>55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 s="8">
        <v>55</v>
      </c>
      <c r="V1588" s="8">
        <f t="shared" si="24"/>
        <v>6</v>
      </c>
    </row>
    <row r="1589" spans="1:22" x14ac:dyDescent="0.3">
      <c r="A1589" t="s">
        <v>607</v>
      </c>
      <c r="B1589">
        <v>4</v>
      </c>
      <c r="C1589" t="s">
        <v>220</v>
      </c>
      <c r="D1589" t="s">
        <v>221</v>
      </c>
      <c r="E1589" t="s">
        <v>219</v>
      </c>
      <c r="F1589" t="s">
        <v>85</v>
      </c>
      <c r="G1589" t="s">
        <v>134</v>
      </c>
      <c r="H1589">
        <v>11</v>
      </c>
      <c r="I1589">
        <v>12</v>
      </c>
      <c r="J1589">
        <v>91.67</v>
      </c>
      <c r="K1589" t="s">
        <v>246</v>
      </c>
      <c r="L1589">
        <v>10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 s="8">
        <v>10</v>
      </c>
      <c r="V1589" s="8">
        <f t="shared" si="24"/>
        <v>1</v>
      </c>
    </row>
    <row r="1590" spans="1:22" x14ac:dyDescent="0.3">
      <c r="A1590" t="s">
        <v>607</v>
      </c>
      <c r="B1590">
        <v>4</v>
      </c>
      <c r="C1590" t="s">
        <v>578</v>
      </c>
      <c r="D1590" t="s">
        <v>652</v>
      </c>
      <c r="E1590" t="s">
        <v>219</v>
      </c>
      <c r="F1590" t="s">
        <v>169</v>
      </c>
      <c r="G1590" t="s">
        <v>134</v>
      </c>
      <c r="H1590">
        <v>1</v>
      </c>
      <c r="I1590">
        <v>3</v>
      </c>
      <c r="J1590">
        <v>33.33</v>
      </c>
      <c r="K1590" t="s">
        <v>246</v>
      </c>
      <c r="L1590">
        <v>1</v>
      </c>
      <c r="M1590">
        <v>3</v>
      </c>
      <c r="N1590">
        <v>0</v>
      </c>
      <c r="O1590">
        <v>35</v>
      </c>
      <c r="P1590">
        <v>0</v>
      </c>
      <c r="Q1590">
        <v>11.7</v>
      </c>
      <c r="R1590">
        <v>-10</v>
      </c>
      <c r="S1590">
        <v>0</v>
      </c>
      <c r="T1590">
        <v>0</v>
      </c>
      <c r="U1590" s="8">
        <v>-9</v>
      </c>
      <c r="V1590" s="8">
        <f t="shared" si="24"/>
        <v>0</v>
      </c>
    </row>
    <row r="1591" spans="1:22" x14ac:dyDescent="0.3">
      <c r="A1591" t="s">
        <v>607</v>
      </c>
      <c r="B1591">
        <v>4</v>
      </c>
      <c r="C1591" t="s">
        <v>233</v>
      </c>
      <c r="D1591" t="s">
        <v>234</v>
      </c>
      <c r="E1591" t="s">
        <v>219</v>
      </c>
      <c r="F1591" t="s">
        <v>101</v>
      </c>
      <c r="G1591" t="s">
        <v>134</v>
      </c>
      <c r="H1591">
        <v>3</v>
      </c>
      <c r="I1591">
        <v>5</v>
      </c>
      <c r="J1591">
        <v>60</v>
      </c>
      <c r="K1591" t="s">
        <v>247</v>
      </c>
      <c r="L1591">
        <v>3</v>
      </c>
      <c r="M1591">
        <v>4</v>
      </c>
      <c r="N1591">
        <v>0</v>
      </c>
      <c r="O1591">
        <v>44</v>
      </c>
      <c r="P1591">
        <v>0</v>
      </c>
      <c r="Q1591">
        <v>11</v>
      </c>
      <c r="R1591">
        <v>-10</v>
      </c>
      <c r="S1591">
        <v>0</v>
      </c>
      <c r="T1591">
        <v>0</v>
      </c>
      <c r="U1591" s="8">
        <v>-7</v>
      </c>
      <c r="V1591" s="8">
        <f t="shared" si="24"/>
        <v>0</v>
      </c>
    </row>
    <row r="1592" spans="1:22" x14ac:dyDescent="0.3">
      <c r="A1592" t="s">
        <v>607</v>
      </c>
      <c r="B1592">
        <v>4</v>
      </c>
      <c r="C1592" t="s">
        <v>180</v>
      </c>
      <c r="D1592" t="s">
        <v>181</v>
      </c>
      <c r="E1592" t="s">
        <v>219</v>
      </c>
      <c r="F1592" t="s">
        <v>169</v>
      </c>
      <c r="G1592" t="s">
        <v>134</v>
      </c>
      <c r="H1592">
        <v>1</v>
      </c>
      <c r="I1592">
        <v>1</v>
      </c>
      <c r="J1592">
        <v>100</v>
      </c>
      <c r="K1592" t="s">
        <v>96</v>
      </c>
      <c r="L1592">
        <v>6</v>
      </c>
      <c r="M1592">
        <v>4</v>
      </c>
      <c r="N1592">
        <v>0</v>
      </c>
      <c r="O1592">
        <v>20</v>
      </c>
      <c r="P1592">
        <v>1</v>
      </c>
      <c r="Q1592">
        <v>5</v>
      </c>
      <c r="R1592">
        <v>35</v>
      </c>
      <c r="S1592">
        <v>0</v>
      </c>
      <c r="T1592">
        <v>0</v>
      </c>
      <c r="U1592" s="8">
        <v>41</v>
      </c>
      <c r="V1592" s="8">
        <f t="shared" si="24"/>
        <v>4</v>
      </c>
    </row>
    <row r="1593" spans="1:22" x14ac:dyDescent="0.3">
      <c r="A1593" t="s">
        <v>607</v>
      </c>
      <c r="B1593">
        <v>4</v>
      </c>
      <c r="C1593" t="s">
        <v>224</v>
      </c>
      <c r="D1593" t="s">
        <v>225</v>
      </c>
      <c r="E1593" t="s">
        <v>219</v>
      </c>
      <c r="F1593" t="s">
        <v>169</v>
      </c>
      <c r="G1593" t="s">
        <v>134</v>
      </c>
      <c r="H1593">
        <v>2</v>
      </c>
      <c r="I1593">
        <v>2</v>
      </c>
      <c r="J1593">
        <v>100</v>
      </c>
      <c r="K1593" t="s">
        <v>246</v>
      </c>
      <c r="L1593">
        <v>2</v>
      </c>
      <c r="M1593">
        <v>3</v>
      </c>
      <c r="N1593">
        <v>0</v>
      </c>
      <c r="O1593">
        <v>26</v>
      </c>
      <c r="P1593">
        <v>2</v>
      </c>
      <c r="Q1593">
        <v>8.6999999999999993</v>
      </c>
      <c r="R1593">
        <v>50</v>
      </c>
      <c r="S1593">
        <v>0</v>
      </c>
      <c r="T1593">
        <v>0</v>
      </c>
      <c r="U1593" s="8">
        <v>52</v>
      </c>
      <c r="V1593" s="8">
        <f t="shared" si="24"/>
        <v>5</v>
      </c>
    </row>
    <row r="1594" spans="1:22" x14ac:dyDescent="0.3">
      <c r="A1594" t="s">
        <v>607</v>
      </c>
      <c r="B1594">
        <v>4</v>
      </c>
      <c r="C1594" t="s">
        <v>204</v>
      </c>
      <c r="D1594" t="s">
        <v>205</v>
      </c>
      <c r="E1594" t="s">
        <v>219</v>
      </c>
      <c r="F1594" t="s">
        <v>169</v>
      </c>
      <c r="G1594" t="s">
        <v>134</v>
      </c>
      <c r="H1594">
        <v>2</v>
      </c>
      <c r="I1594">
        <v>1</v>
      </c>
      <c r="J1594">
        <v>200</v>
      </c>
      <c r="K1594" t="s">
        <v>96</v>
      </c>
      <c r="L1594">
        <v>9</v>
      </c>
      <c r="M1594">
        <v>4</v>
      </c>
      <c r="N1594">
        <v>0</v>
      </c>
      <c r="O1594">
        <v>22</v>
      </c>
      <c r="P1594">
        <v>0</v>
      </c>
      <c r="Q1594">
        <v>5.5</v>
      </c>
      <c r="R1594">
        <v>15</v>
      </c>
      <c r="S1594">
        <v>0</v>
      </c>
      <c r="T1594">
        <v>0</v>
      </c>
      <c r="U1594" s="8">
        <v>24</v>
      </c>
      <c r="V1594" s="8">
        <f t="shared" si="24"/>
        <v>2</v>
      </c>
    </row>
    <row r="1595" spans="1:22" x14ac:dyDescent="0.3">
      <c r="A1595" t="s">
        <v>607</v>
      </c>
      <c r="B1595">
        <v>4</v>
      </c>
      <c r="C1595" t="s">
        <v>509</v>
      </c>
      <c r="D1595" t="s">
        <v>523</v>
      </c>
      <c r="E1595" t="s">
        <v>219</v>
      </c>
      <c r="F1595" t="s">
        <v>101</v>
      </c>
      <c r="G1595" t="s">
        <v>104</v>
      </c>
      <c r="H1595">
        <v>0</v>
      </c>
      <c r="I1595">
        <v>0</v>
      </c>
      <c r="J1595">
        <v>0</v>
      </c>
      <c r="K1595" t="s">
        <v>104</v>
      </c>
      <c r="L1595">
        <v>0</v>
      </c>
      <c r="M1595">
        <v>2</v>
      </c>
      <c r="N1595">
        <v>0</v>
      </c>
      <c r="O1595">
        <v>10</v>
      </c>
      <c r="P1595">
        <v>0</v>
      </c>
      <c r="Q1595">
        <v>5</v>
      </c>
      <c r="R1595">
        <v>15</v>
      </c>
      <c r="S1595">
        <v>0</v>
      </c>
      <c r="T1595">
        <v>0</v>
      </c>
      <c r="U1595" s="8">
        <v>15</v>
      </c>
      <c r="V1595" s="8">
        <f t="shared" si="24"/>
        <v>2</v>
      </c>
    </row>
    <row r="1596" spans="1:22" x14ac:dyDescent="0.3">
      <c r="A1596" t="s">
        <v>607</v>
      </c>
      <c r="B1596">
        <v>4</v>
      </c>
      <c r="C1596" t="s">
        <v>188</v>
      </c>
      <c r="D1596" t="s">
        <v>189</v>
      </c>
      <c r="E1596" t="s">
        <v>158</v>
      </c>
      <c r="F1596" t="s">
        <v>109</v>
      </c>
      <c r="G1596" t="s">
        <v>86</v>
      </c>
      <c r="H1596">
        <v>36</v>
      </c>
      <c r="I1596">
        <v>32</v>
      </c>
      <c r="J1596">
        <v>112.5</v>
      </c>
      <c r="K1596" t="s">
        <v>246</v>
      </c>
      <c r="L1596">
        <v>35</v>
      </c>
      <c r="M1596">
        <v>4</v>
      </c>
      <c r="N1596">
        <v>0</v>
      </c>
      <c r="O1596">
        <v>16</v>
      </c>
      <c r="P1596">
        <v>2</v>
      </c>
      <c r="Q1596">
        <v>4</v>
      </c>
      <c r="R1596">
        <v>60</v>
      </c>
      <c r="S1596">
        <v>0</v>
      </c>
      <c r="T1596">
        <v>0</v>
      </c>
      <c r="U1596" s="8">
        <v>95</v>
      </c>
      <c r="V1596" s="8">
        <f t="shared" si="24"/>
        <v>10</v>
      </c>
    </row>
    <row r="1597" spans="1:22" x14ac:dyDescent="0.3">
      <c r="A1597" t="s">
        <v>607</v>
      </c>
      <c r="B1597">
        <v>4</v>
      </c>
      <c r="C1597" t="s">
        <v>531</v>
      </c>
      <c r="D1597" t="s">
        <v>636</v>
      </c>
      <c r="E1597" t="s">
        <v>158</v>
      </c>
      <c r="F1597" t="s">
        <v>85</v>
      </c>
      <c r="G1597" t="s">
        <v>86</v>
      </c>
      <c r="H1597">
        <v>67</v>
      </c>
      <c r="I1597">
        <v>44</v>
      </c>
      <c r="J1597">
        <v>152.27000000000001</v>
      </c>
      <c r="K1597" t="s">
        <v>246</v>
      </c>
      <c r="L1597">
        <v>85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 s="8">
        <v>85</v>
      </c>
      <c r="V1597" s="8">
        <f t="shared" si="24"/>
        <v>9</v>
      </c>
    </row>
    <row r="1598" spans="1:22" x14ac:dyDescent="0.3">
      <c r="A1598" t="s">
        <v>607</v>
      </c>
      <c r="B1598">
        <v>4</v>
      </c>
      <c r="C1598" t="s">
        <v>278</v>
      </c>
      <c r="D1598" t="s">
        <v>293</v>
      </c>
      <c r="E1598" t="s">
        <v>158</v>
      </c>
      <c r="F1598" t="s">
        <v>109</v>
      </c>
      <c r="G1598" t="s">
        <v>92</v>
      </c>
      <c r="H1598">
        <v>25</v>
      </c>
      <c r="I1598">
        <v>24</v>
      </c>
      <c r="J1598">
        <v>104.17</v>
      </c>
      <c r="K1598" t="s">
        <v>96</v>
      </c>
      <c r="L1598">
        <v>30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 s="8">
        <v>30</v>
      </c>
      <c r="V1598" s="8">
        <f t="shared" si="24"/>
        <v>3</v>
      </c>
    </row>
    <row r="1599" spans="1:22" x14ac:dyDescent="0.3">
      <c r="A1599" t="s">
        <v>607</v>
      </c>
      <c r="B1599">
        <v>4</v>
      </c>
      <c r="C1599" t="s">
        <v>194</v>
      </c>
      <c r="D1599" t="s">
        <v>195</v>
      </c>
      <c r="E1599" t="s">
        <v>158</v>
      </c>
      <c r="F1599" t="s">
        <v>109</v>
      </c>
      <c r="G1599" t="s">
        <v>92</v>
      </c>
      <c r="H1599">
        <v>21</v>
      </c>
      <c r="I1599">
        <v>14</v>
      </c>
      <c r="J1599">
        <v>150</v>
      </c>
      <c r="K1599" t="s">
        <v>246</v>
      </c>
      <c r="L1599">
        <v>30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 s="8">
        <v>30</v>
      </c>
      <c r="V1599" s="8">
        <f t="shared" si="24"/>
        <v>3</v>
      </c>
    </row>
    <row r="1600" spans="1:22" x14ac:dyDescent="0.3">
      <c r="A1600" t="s">
        <v>607</v>
      </c>
      <c r="B1600">
        <v>4</v>
      </c>
      <c r="C1600" t="s">
        <v>192</v>
      </c>
      <c r="D1600" t="s">
        <v>193</v>
      </c>
      <c r="E1600" t="s">
        <v>158</v>
      </c>
      <c r="F1600" t="s">
        <v>169</v>
      </c>
      <c r="G1600" t="s">
        <v>134</v>
      </c>
      <c r="H1600">
        <v>5</v>
      </c>
      <c r="I1600">
        <v>6</v>
      </c>
      <c r="J1600">
        <v>83.33</v>
      </c>
      <c r="K1600" t="s">
        <v>96</v>
      </c>
      <c r="L1600">
        <v>5</v>
      </c>
      <c r="M1600">
        <v>4</v>
      </c>
      <c r="N1600">
        <v>1</v>
      </c>
      <c r="O1600">
        <v>24</v>
      </c>
      <c r="P1600">
        <v>2</v>
      </c>
      <c r="Q1600">
        <v>6</v>
      </c>
      <c r="R1600">
        <v>60</v>
      </c>
      <c r="S1600">
        <v>0</v>
      </c>
      <c r="T1600">
        <v>0</v>
      </c>
      <c r="U1600" s="8">
        <v>65</v>
      </c>
      <c r="V1600" s="8">
        <f t="shared" si="24"/>
        <v>7</v>
      </c>
    </row>
    <row r="1601" spans="1:22" x14ac:dyDescent="0.3">
      <c r="A1601" t="s">
        <v>607</v>
      </c>
      <c r="B1601">
        <v>4</v>
      </c>
      <c r="C1601" t="s">
        <v>512</v>
      </c>
      <c r="D1601" t="s">
        <v>542</v>
      </c>
      <c r="E1601" t="s">
        <v>158</v>
      </c>
      <c r="F1601" t="s">
        <v>169</v>
      </c>
      <c r="G1601" t="s">
        <v>104</v>
      </c>
      <c r="H1601">
        <v>0</v>
      </c>
      <c r="I1601">
        <v>0</v>
      </c>
      <c r="J1601">
        <v>0</v>
      </c>
      <c r="K1601" t="s">
        <v>104</v>
      </c>
      <c r="L1601">
        <v>0</v>
      </c>
      <c r="M1601">
        <v>2</v>
      </c>
      <c r="N1601">
        <v>0</v>
      </c>
      <c r="O1601">
        <v>20</v>
      </c>
      <c r="P1601">
        <v>0</v>
      </c>
      <c r="Q1601">
        <v>10</v>
      </c>
      <c r="R1601">
        <v>-5</v>
      </c>
      <c r="S1601">
        <v>0</v>
      </c>
      <c r="T1601">
        <v>0</v>
      </c>
      <c r="U1601" s="8">
        <v>-5</v>
      </c>
      <c r="V1601" s="8">
        <f t="shared" si="24"/>
        <v>0</v>
      </c>
    </row>
    <row r="1602" spans="1:22" x14ac:dyDescent="0.3">
      <c r="A1602" t="s">
        <v>607</v>
      </c>
      <c r="B1602">
        <v>4</v>
      </c>
      <c r="C1602" t="s">
        <v>102</v>
      </c>
      <c r="D1602" t="s">
        <v>126</v>
      </c>
      <c r="E1602" t="s">
        <v>158</v>
      </c>
      <c r="F1602" t="s">
        <v>169</v>
      </c>
      <c r="G1602" t="s">
        <v>104</v>
      </c>
      <c r="H1602">
        <v>0</v>
      </c>
      <c r="I1602">
        <v>0</v>
      </c>
      <c r="J1602">
        <v>0</v>
      </c>
      <c r="K1602" t="s">
        <v>104</v>
      </c>
      <c r="L1602">
        <v>0</v>
      </c>
      <c r="M1602">
        <v>2</v>
      </c>
      <c r="N1602">
        <v>0</v>
      </c>
      <c r="O1602">
        <v>20</v>
      </c>
      <c r="P1602">
        <v>1</v>
      </c>
      <c r="Q1602">
        <v>10</v>
      </c>
      <c r="R1602">
        <v>25</v>
      </c>
      <c r="S1602">
        <v>0</v>
      </c>
      <c r="T1602">
        <v>0</v>
      </c>
      <c r="U1602" s="8">
        <v>25</v>
      </c>
      <c r="V1602" s="8">
        <f t="shared" si="24"/>
        <v>3</v>
      </c>
    </row>
    <row r="1603" spans="1:22" x14ac:dyDescent="0.3">
      <c r="A1603" t="s">
        <v>607</v>
      </c>
      <c r="B1603">
        <v>4</v>
      </c>
      <c r="C1603" t="s">
        <v>495</v>
      </c>
      <c r="D1603" t="s">
        <v>503</v>
      </c>
      <c r="E1603" t="s">
        <v>158</v>
      </c>
      <c r="F1603" t="s">
        <v>169</v>
      </c>
      <c r="G1603" t="s">
        <v>104</v>
      </c>
      <c r="H1603">
        <v>0</v>
      </c>
      <c r="I1603">
        <v>0</v>
      </c>
      <c r="J1603">
        <v>0</v>
      </c>
      <c r="K1603" t="s">
        <v>104</v>
      </c>
      <c r="L1603">
        <v>0</v>
      </c>
      <c r="M1603">
        <v>1</v>
      </c>
      <c r="N1603">
        <v>0</v>
      </c>
      <c r="O1603">
        <v>16</v>
      </c>
      <c r="P1603">
        <v>0</v>
      </c>
      <c r="Q1603">
        <v>16</v>
      </c>
      <c r="R1603">
        <v>-10</v>
      </c>
      <c r="S1603">
        <v>0</v>
      </c>
      <c r="T1603">
        <v>0</v>
      </c>
      <c r="U1603" s="8">
        <v>-10</v>
      </c>
      <c r="V1603" s="8">
        <f t="shared" ref="V1603:V1666" si="25">MIN(10, MAX(0, ROUND(U1603/10,0)))</f>
        <v>0</v>
      </c>
    </row>
    <row r="1604" spans="1:22" x14ac:dyDescent="0.3">
      <c r="A1604" t="s">
        <v>607</v>
      </c>
      <c r="B1604">
        <v>4</v>
      </c>
      <c r="C1604" t="s">
        <v>274</v>
      </c>
      <c r="D1604" t="s">
        <v>284</v>
      </c>
      <c r="E1604" t="s">
        <v>158</v>
      </c>
      <c r="F1604" t="s">
        <v>169</v>
      </c>
      <c r="G1604" t="s">
        <v>104</v>
      </c>
      <c r="H1604">
        <v>0</v>
      </c>
      <c r="I1604">
        <v>0</v>
      </c>
      <c r="J1604">
        <v>0</v>
      </c>
      <c r="K1604" t="s">
        <v>104</v>
      </c>
      <c r="L1604">
        <v>0</v>
      </c>
      <c r="M1604">
        <v>1</v>
      </c>
      <c r="N1604">
        <v>0</v>
      </c>
      <c r="O1604">
        <v>16</v>
      </c>
      <c r="P1604">
        <v>0</v>
      </c>
      <c r="Q1604">
        <v>16</v>
      </c>
      <c r="R1604">
        <v>-10</v>
      </c>
      <c r="S1604">
        <v>0</v>
      </c>
      <c r="T1604">
        <v>0</v>
      </c>
      <c r="U1604" s="8">
        <v>-10</v>
      </c>
      <c r="V1604" s="8">
        <f t="shared" si="25"/>
        <v>0</v>
      </c>
    </row>
    <row r="1605" spans="1:22" x14ac:dyDescent="0.3">
      <c r="A1605" t="s">
        <v>607</v>
      </c>
      <c r="B1605">
        <v>4</v>
      </c>
      <c r="C1605" t="s">
        <v>533</v>
      </c>
      <c r="D1605" t="s">
        <v>638</v>
      </c>
      <c r="E1605" t="s">
        <v>158</v>
      </c>
      <c r="F1605" t="s">
        <v>101</v>
      </c>
      <c r="G1605" t="s">
        <v>104</v>
      </c>
      <c r="H1605">
        <v>0</v>
      </c>
      <c r="I1605">
        <v>0</v>
      </c>
      <c r="J1605">
        <v>0</v>
      </c>
      <c r="K1605" t="s">
        <v>104</v>
      </c>
      <c r="L1605">
        <v>0</v>
      </c>
      <c r="M1605">
        <v>3</v>
      </c>
      <c r="N1605">
        <v>0</v>
      </c>
      <c r="O1605">
        <v>29</v>
      </c>
      <c r="P1605">
        <v>1</v>
      </c>
      <c r="Q1605">
        <v>9.6999999999999993</v>
      </c>
      <c r="R1605">
        <v>25</v>
      </c>
      <c r="S1605">
        <v>0</v>
      </c>
      <c r="T1605">
        <v>0</v>
      </c>
      <c r="U1605" s="8">
        <v>25</v>
      </c>
      <c r="V1605" s="8">
        <f t="shared" si="25"/>
        <v>3</v>
      </c>
    </row>
    <row r="1606" spans="1:22" x14ac:dyDescent="0.3">
      <c r="A1606" t="s">
        <v>607</v>
      </c>
      <c r="B1606">
        <v>4</v>
      </c>
      <c r="C1606" t="s">
        <v>532</v>
      </c>
      <c r="D1606" t="s">
        <v>637</v>
      </c>
      <c r="E1606" t="s">
        <v>158</v>
      </c>
      <c r="F1606" t="s">
        <v>101</v>
      </c>
      <c r="G1606" t="s">
        <v>104</v>
      </c>
      <c r="H1606">
        <v>0</v>
      </c>
      <c r="I1606">
        <v>0</v>
      </c>
      <c r="J1606">
        <v>0</v>
      </c>
      <c r="K1606" t="s">
        <v>104</v>
      </c>
      <c r="L1606">
        <v>0</v>
      </c>
      <c r="M1606">
        <v>4</v>
      </c>
      <c r="N1606">
        <v>0</v>
      </c>
      <c r="O1606">
        <v>29</v>
      </c>
      <c r="P1606">
        <v>1</v>
      </c>
      <c r="Q1606">
        <v>7.2</v>
      </c>
      <c r="R1606">
        <v>25</v>
      </c>
      <c r="S1606">
        <v>0</v>
      </c>
      <c r="T1606">
        <v>0</v>
      </c>
      <c r="U1606" s="8">
        <v>25</v>
      </c>
      <c r="V1606" s="8">
        <f t="shared" si="25"/>
        <v>3</v>
      </c>
    </row>
    <row r="1607" spans="1:22" x14ac:dyDescent="0.3">
      <c r="A1607" t="s">
        <v>608</v>
      </c>
      <c r="B1607">
        <v>4</v>
      </c>
      <c r="C1607" t="s">
        <v>190</v>
      </c>
      <c r="D1607" t="s">
        <v>191</v>
      </c>
      <c r="E1607" t="s">
        <v>219</v>
      </c>
      <c r="F1607" t="s">
        <v>109</v>
      </c>
      <c r="G1607" t="s">
        <v>86</v>
      </c>
      <c r="H1607">
        <v>25</v>
      </c>
      <c r="I1607">
        <v>26</v>
      </c>
      <c r="J1607">
        <v>96.15</v>
      </c>
      <c r="K1607" t="s">
        <v>246</v>
      </c>
      <c r="L1607">
        <v>25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 s="8">
        <v>25</v>
      </c>
      <c r="V1607" s="8">
        <f t="shared" si="25"/>
        <v>3</v>
      </c>
    </row>
    <row r="1608" spans="1:22" x14ac:dyDescent="0.3">
      <c r="A1608" t="s">
        <v>608</v>
      </c>
      <c r="B1608">
        <v>4</v>
      </c>
      <c r="C1608" t="s">
        <v>229</v>
      </c>
      <c r="D1608" t="s">
        <v>230</v>
      </c>
      <c r="E1608" t="s">
        <v>219</v>
      </c>
      <c r="F1608" t="s">
        <v>109</v>
      </c>
      <c r="G1608" t="s">
        <v>86</v>
      </c>
      <c r="H1608">
        <v>10</v>
      </c>
      <c r="I1608">
        <v>12</v>
      </c>
      <c r="J1608">
        <v>83.33</v>
      </c>
      <c r="K1608" t="s">
        <v>246</v>
      </c>
      <c r="L1608">
        <v>10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 s="8">
        <v>10</v>
      </c>
      <c r="V1608" s="8">
        <f t="shared" si="25"/>
        <v>1</v>
      </c>
    </row>
    <row r="1609" spans="1:22" x14ac:dyDescent="0.3">
      <c r="A1609" t="s">
        <v>608</v>
      </c>
      <c r="B1609">
        <v>4</v>
      </c>
      <c r="C1609" t="s">
        <v>383</v>
      </c>
      <c r="D1609" t="s">
        <v>384</v>
      </c>
      <c r="E1609" t="s">
        <v>219</v>
      </c>
      <c r="F1609" t="s">
        <v>109</v>
      </c>
      <c r="G1609" t="s">
        <v>92</v>
      </c>
      <c r="H1609">
        <v>25</v>
      </c>
      <c r="I1609">
        <v>22</v>
      </c>
      <c r="J1609">
        <v>113.64</v>
      </c>
      <c r="K1609" t="s">
        <v>246</v>
      </c>
      <c r="L1609">
        <v>25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 s="8">
        <v>25</v>
      </c>
      <c r="V1609" s="8">
        <f t="shared" si="25"/>
        <v>3</v>
      </c>
    </row>
    <row r="1610" spans="1:22" x14ac:dyDescent="0.3">
      <c r="A1610" t="s">
        <v>608</v>
      </c>
      <c r="B1610">
        <v>4</v>
      </c>
      <c r="C1610" t="s">
        <v>89</v>
      </c>
      <c r="D1610" t="s">
        <v>116</v>
      </c>
      <c r="E1610" t="s">
        <v>219</v>
      </c>
      <c r="F1610" t="s">
        <v>169</v>
      </c>
      <c r="G1610" t="s">
        <v>92</v>
      </c>
      <c r="H1610">
        <v>64</v>
      </c>
      <c r="I1610">
        <v>39</v>
      </c>
      <c r="J1610">
        <v>164.1</v>
      </c>
      <c r="K1610" t="s">
        <v>96</v>
      </c>
      <c r="L1610">
        <v>85</v>
      </c>
      <c r="M1610">
        <v>0.1</v>
      </c>
      <c r="N1610">
        <v>0</v>
      </c>
      <c r="O1610">
        <v>7</v>
      </c>
      <c r="P1610">
        <v>0</v>
      </c>
      <c r="Q1610">
        <v>42</v>
      </c>
      <c r="R1610">
        <v>-10</v>
      </c>
      <c r="S1610">
        <v>0</v>
      </c>
      <c r="T1610">
        <v>0</v>
      </c>
      <c r="U1610" s="8">
        <v>75</v>
      </c>
      <c r="V1610" s="8">
        <f t="shared" si="25"/>
        <v>8</v>
      </c>
    </row>
    <row r="1611" spans="1:22" x14ac:dyDescent="0.3">
      <c r="A1611" t="s">
        <v>608</v>
      </c>
      <c r="B1611">
        <v>4</v>
      </c>
      <c r="C1611" t="s">
        <v>578</v>
      </c>
      <c r="D1611" t="s">
        <v>652</v>
      </c>
      <c r="E1611" t="s">
        <v>219</v>
      </c>
      <c r="F1611" t="s">
        <v>169</v>
      </c>
      <c r="G1611" t="s">
        <v>134</v>
      </c>
      <c r="H1611">
        <v>27</v>
      </c>
      <c r="I1611">
        <v>11</v>
      </c>
      <c r="J1611">
        <v>245.45</v>
      </c>
      <c r="K1611" t="s">
        <v>96</v>
      </c>
      <c r="L1611">
        <v>45</v>
      </c>
      <c r="M1611">
        <v>1</v>
      </c>
      <c r="N1611">
        <v>0</v>
      </c>
      <c r="O1611">
        <v>16</v>
      </c>
      <c r="P1611">
        <v>0</v>
      </c>
      <c r="Q1611">
        <v>16</v>
      </c>
      <c r="R1611">
        <v>-10</v>
      </c>
      <c r="S1611">
        <v>0</v>
      </c>
      <c r="T1611">
        <v>0</v>
      </c>
      <c r="U1611" s="8">
        <v>35</v>
      </c>
      <c r="V1611" s="8">
        <f t="shared" si="25"/>
        <v>4</v>
      </c>
    </row>
    <row r="1612" spans="1:22" x14ac:dyDescent="0.3">
      <c r="A1612" t="s">
        <v>608</v>
      </c>
      <c r="B1612">
        <v>4</v>
      </c>
      <c r="C1612" t="s">
        <v>220</v>
      </c>
      <c r="D1612" t="s">
        <v>221</v>
      </c>
      <c r="E1612" t="s">
        <v>219</v>
      </c>
      <c r="F1612" t="s">
        <v>85</v>
      </c>
      <c r="G1612" t="s">
        <v>104</v>
      </c>
      <c r="H1612">
        <v>0</v>
      </c>
      <c r="I1612">
        <v>0</v>
      </c>
      <c r="J1612">
        <v>0</v>
      </c>
      <c r="K1612" t="s">
        <v>104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 s="8">
        <v>0</v>
      </c>
      <c r="V1612" s="8">
        <f t="shared" si="25"/>
        <v>0</v>
      </c>
    </row>
    <row r="1613" spans="1:22" x14ac:dyDescent="0.3">
      <c r="A1613" t="s">
        <v>608</v>
      </c>
      <c r="B1613">
        <v>4</v>
      </c>
      <c r="C1613" t="s">
        <v>224</v>
      </c>
      <c r="D1613" t="s">
        <v>225</v>
      </c>
      <c r="E1613" t="s">
        <v>219</v>
      </c>
      <c r="F1613" t="s">
        <v>169</v>
      </c>
      <c r="G1613" t="s">
        <v>104</v>
      </c>
      <c r="H1613">
        <v>0</v>
      </c>
      <c r="I1613">
        <v>0</v>
      </c>
      <c r="J1613">
        <v>0</v>
      </c>
      <c r="K1613" t="s">
        <v>104</v>
      </c>
      <c r="L1613">
        <v>0</v>
      </c>
      <c r="M1613">
        <v>4</v>
      </c>
      <c r="N1613">
        <v>0</v>
      </c>
      <c r="O1613">
        <v>31</v>
      </c>
      <c r="P1613">
        <v>1</v>
      </c>
      <c r="Q1613">
        <v>7.8</v>
      </c>
      <c r="R1613">
        <v>25</v>
      </c>
      <c r="S1613">
        <v>0</v>
      </c>
      <c r="T1613">
        <v>0</v>
      </c>
      <c r="U1613" s="8">
        <v>25</v>
      </c>
      <c r="V1613" s="8">
        <f t="shared" si="25"/>
        <v>3</v>
      </c>
    </row>
    <row r="1614" spans="1:22" x14ac:dyDescent="0.3">
      <c r="A1614" t="s">
        <v>608</v>
      </c>
      <c r="B1614">
        <v>4</v>
      </c>
      <c r="C1614" t="s">
        <v>233</v>
      </c>
      <c r="D1614" t="s">
        <v>234</v>
      </c>
      <c r="E1614" t="s">
        <v>219</v>
      </c>
      <c r="F1614" t="s">
        <v>101</v>
      </c>
      <c r="G1614" t="s">
        <v>104</v>
      </c>
      <c r="H1614">
        <v>0</v>
      </c>
      <c r="I1614">
        <v>0</v>
      </c>
      <c r="J1614">
        <v>0</v>
      </c>
      <c r="K1614" t="s">
        <v>104</v>
      </c>
      <c r="L1614">
        <v>0</v>
      </c>
      <c r="M1614">
        <v>4</v>
      </c>
      <c r="N1614">
        <v>0</v>
      </c>
      <c r="O1614">
        <v>26</v>
      </c>
      <c r="P1614">
        <v>1</v>
      </c>
      <c r="Q1614">
        <v>6.5</v>
      </c>
      <c r="R1614">
        <v>25</v>
      </c>
      <c r="S1614">
        <v>0</v>
      </c>
      <c r="T1614">
        <v>0</v>
      </c>
      <c r="U1614" s="8">
        <v>25</v>
      </c>
      <c r="V1614" s="8">
        <f t="shared" si="25"/>
        <v>3</v>
      </c>
    </row>
    <row r="1615" spans="1:22" x14ac:dyDescent="0.3">
      <c r="A1615" t="s">
        <v>608</v>
      </c>
      <c r="B1615">
        <v>4</v>
      </c>
      <c r="C1615" t="s">
        <v>180</v>
      </c>
      <c r="D1615" t="s">
        <v>181</v>
      </c>
      <c r="E1615" t="s">
        <v>219</v>
      </c>
      <c r="F1615" t="s">
        <v>101</v>
      </c>
      <c r="G1615" t="s">
        <v>104</v>
      </c>
      <c r="H1615">
        <v>0</v>
      </c>
      <c r="I1615">
        <v>0</v>
      </c>
      <c r="J1615">
        <v>0</v>
      </c>
      <c r="K1615" t="s">
        <v>104</v>
      </c>
      <c r="L1615">
        <v>0</v>
      </c>
      <c r="M1615">
        <v>3</v>
      </c>
      <c r="N1615">
        <v>0</v>
      </c>
      <c r="O1615">
        <v>33</v>
      </c>
      <c r="P1615">
        <v>1</v>
      </c>
      <c r="Q1615">
        <v>11</v>
      </c>
      <c r="R1615">
        <v>-10</v>
      </c>
      <c r="S1615">
        <v>0</v>
      </c>
      <c r="T1615">
        <v>0</v>
      </c>
      <c r="U1615" s="8">
        <v>-10</v>
      </c>
      <c r="V1615" s="8">
        <f t="shared" si="25"/>
        <v>0</v>
      </c>
    </row>
    <row r="1616" spans="1:22" x14ac:dyDescent="0.3">
      <c r="A1616" t="s">
        <v>608</v>
      </c>
      <c r="B1616">
        <v>4</v>
      </c>
      <c r="C1616" t="s">
        <v>204</v>
      </c>
      <c r="D1616" t="s">
        <v>205</v>
      </c>
      <c r="E1616" t="s">
        <v>219</v>
      </c>
      <c r="F1616" t="s">
        <v>169</v>
      </c>
      <c r="G1616" t="s">
        <v>104</v>
      </c>
      <c r="H1616">
        <v>0</v>
      </c>
      <c r="I1616">
        <v>0</v>
      </c>
      <c r="J1616">
        <v>0</v>
      </c>
      <c r="K1616" t="s">
        <v>104</v>
      </c>
      <c r="L1616">
        <v>0</v>
      </c>
      <c r="M1616">
        <v>4</v>
      </c>
      <c r="N1616">
        <v>0</v>
      </c>
      <c r="O1616">
        <v>25</v>
      </c>
      <c r="P1616">
        <v>1</v>
      </c>
      <c r="Q1616">
        <v>6.2</v>
      </c>
      <c r="R1616">
        <v>25</v>
      </c>
      <c r="S1616">
        <v>0</v>
      </c>
      <c r="T1616">
        <v>0</v>
      </c>
      <c r="U1616" s="8">
        <v>25</v>
      </c>
      <c r="V1616" s="8">
        <f t="shared" si="25"/>
        <v>3</v>
      </c>
    </row>
    <row r="1617" spans="1:22" x14ac:dyDescent="0.3">
      <c r="A1617" t="s">
        <v>608</v>
      </c>
      <c r="B1617">
        <v>4</v>
      </c>
      <c r="C1617" t="s">
        <v>509</v>
      </c>
      <c r="D1617" t="s">
        <v>523</v>
      </c>
      <c r="E1617" t="s">
        <v>219</v>
      </c>
      <c r="F1617" t="s">
        <v>101</v>
      </c>
      <c r="G1617" t="s">
        <v>104</v>
      </c>
      <c r="H1617">
        <v>0</v>
      </c>
      <c r="I1617">
        <v>0</v>
      </c>
      <c r="J1617">
        <v>0</v>
      </c>
      <c r="K1617" t="s">
        <v>104</v>
      </c>
      <c r="L1617">
        <v>0</v>
      </c>
      <c r="M1617">
        <v>4</v>
      </c>
      <c r="N1617">
        <v>0</v>
      </c>
      <c r="O1617">
        <v>28</v>
      </c>
      <c r="P1617">
        <v>0</v>
      </c>
      <c r="Q1617">
        <v>7</v>
      </c>
      <c r="R1617">
        <v>5</v>
      </c>
      <c r="S1617">
        <v>0</v>
      </c>
      <c r="T1617">
        <v>0</v>
      </c>
      <c r="U1617" s="8">
        <v>5</v>
      </c>
      <c r="V1617" s="8">
        <f t="shared" si="25"/>
        <v>1</v>
      </c>
    </row>
    <row r="1618" spans="1:22" x14ac:dyDescent="0.3">
      <c r="A1618" t="s">
        <v>608</v>
      </c>
      <c r="B1618">
        <v>4</v>
      </c>
      <c r="C1618" t="s">
        <v>121</v>
      </c>
      <c r="D1618" t="s">
        <v>108</v>
      </c>
      <c r="E1618" t="s">
        <v>266</v>
      </c>
      <c r="F1618" t="s">
        <v>169</v>
      </c>
      <c r="G1618" t="s">
        <v>86</v>
      </c>
      <c r="H1618">
        <v>38</v>
      </c>
      <c r="I1618">
        <v>33</v>
      </c>
      <c r="J1618">
        <v>115.15</v>
      </c>
      <c r="K1618" t="s">
        <v>246</v>
      </c>
      <c r="L1618">
        <v>40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 s="8">
        <v>40</v>
      </c>
      <c r="V1618" s="8">
        <f t="shared" si="25"/>
        <v>4</v>
      </c>
    </row>
    <row r="1619" spans="1:22" x14ac:dyDescent="0.3">
      <c r="A1619" t="s">
        <v>608</v>
      </c>
      <c r="B1619">
        <v>4</v>
      </c>
      <c r="C1619" t="s">
        <v>576</v>
      </c>
      <c r="D1619" t="s">
        <v>648</v>
      </c>
      <c r="E1619" t="s">
        <v>266</v>
      </c>
      <c r="F1619" t="s">
        <v>85</v>
      </c>
      <c r="G1619" t="s">
        <v>86</v>
      </c>
      <c r="H1619">
        <v>5</v>
      </c>
      <c r="I1619">
        <v>12</v>
      </c>
      <c r="J1619">
        <v>41.67</v>
      </c>
      <c r="K1619" t="s">
        <v>246</v>
      </c>
      <c r="L1619">
        <v>5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 s="8">
        <v>5</v>
      </c>
      <c r="V1619" s="8">
        <f t="shared" si="25"/>
        <v>1</v>
      </c>
    </row>
    <row r="1620" spans="1:22" x14ac:dyDescent="0.3">
      <c r="A1620" t="s">
        <v>608</v>
      </c>
      <c r="B1620">
        <v>4</v>
      </c>
      <c r="C1620" t="s">
        <v>117</v>
      </c>
      <c r="D1620" t="s">
        <v>90</v>
      </c>
      <c r="E1620" t="s">
        <v>266</v>
      </c>
      <c r="F1620" t="s">
        <v>169</v>
      </c>
      <c r="G1620" t="s">
        <v>92</v>
      </c>
      <c r="H1620">
        <v>65</v>
      </c>
      <c r="I1620">
        <v>43</v>
      </c>
      <c r="J1620">
        <v>151.16</v>
      </c>
      <c r="K1620" t="s">
        <v>246</v>
      </c>
      <c r="L1620">
        <v>85</v>
      </c>
      <c r="M1620">
        <v>3</v>
      </c>
      <c r="N1620">
        <v>0</v>
      </c>
      <c r="O1620">
        <v>28</v>
      </c>
      <c r="P1620">
        <v>2</v>
      </c>
      <c r="Q1620">
        <v>9.3000000000000007</v>
      </c>
      <c r="R1620">
        <v>50</v>
      </c>
      <c r="S1620">
        <v>0</v>
      </c>
      <c r="T1620">
        <v>0</v>
      </c>
      <c r="U1620" s="8">
        <v>135</v>
      </c>
      <c r="V1620" s="8">
        <f t="shared" si="25"/>
        <v>10</v>
      </c>
    </row>
    <row r="1621" spans="1:22" x14ac:dyDescent="0.3">
      <c r="A1621" t="s">
        <v>608</v>
      </c>
      <c r="B1621">
        <v>4</v>
      </c>
      <c r="C1621" t="s">
        <v>115</v>
      </c>
      <c r="D1621" t="s">
        <v>17</v>
      </c>
      <c r="E1621" t="s">
        <v>266</v>
      </c>
      <c r="F1621" t="s">
        <v>169</v>
      </c>
      <c r="G1621" t="s">
        <v>134</v>
      </c>
      <c r="H1621">
        <v>16</v>
      </c>
      <c r="I1621">
        <v>11</v>
      </c>
      <c r="J1621">
        <v>145.44999999999999</v>
      </c>
      <c r="K1621" t="s">
        <v>246</v>
      </c>
      <c r="L1621">
        <v>20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 s="8">
        <v>20</v>
      </c>
      <c r="V1621" s="8">
        <f t="shared" si="25"/>
        <v>2</v>
      </c>
    </row>
    <row r="1622" spans="1:22" x14ac:dyDescent="0.3">
      <c r="A1622" t="s">
        <v>608</v>
      </c>
      <c r="B1622">
        <v>4</v>
      </c>
      <c r="C1622" t="s">
        <v>517</v>
      </c>
      <c r="D1622" t="s">
        <v>626</v>
      </c>
      <c r="E1622" t="s">
        <v>266</v>
      </c>
      <c r="F1622" t="s">
        <v>169</v>
      </c>
      <c r="G1622" t="s">
        <v>134</v>
      </c>
      <c r="H1622">
        <v>32</v>
      </c>
      <c r="I1622">
        <v>20</v>
      </c>
      <c r="J1622">
        <v>160</v>
      </c>
      <c r="K1622" t="s">
        <v>96</v>
      </c>
      <c r="L1622">
        <v>45</v>
      </c>
      <c r="M1622">
        <v>3</v>
      </c>
      <c r="N1622">
        <v>0</v>
      </c>
      <c r="O1622">
        <v>19</v>
      </c>
      <c r="P1622">
        <v>0</v>
      </c>
      <c r="Q1622">
        <v>6.3</v>
      </c>
      <c r="R1622">
        <v>10</v>
      </c>
      <c r="S1622">
        <v>0</v>
      </c>
      <c r="T1622">
        <v>0</v>
      </c>
      <c r="U1622" s="8">
        <v>55</v>
      </c>
      <c r="V1622" s="8">
        <f t="shared" si="25"/>
        <v>6</v>
      </c>
    </row>
    <row r="1623" spans="1:22" x14ac:dyDescent="0.3">
      <c r="A1623" t="s">
        <v>608</v>
      </c>
      <c r="B1623">
        <v>4</v>
      </c>
      <c r="C1623" t="s">
        <v>347</v>
      </c>
      <c r="D1623" t="s">
        <v>348</v>
      </c>
      <c r="E1623" t="s">
        <v>266</v>
      </c>
      <c r="F1623" t="s">
        <v>169</v>
      </c>
      <c r="G1623" t="s">
        <v>134</v>
      </c>
      <c r="H1623">
        <v>1</v>
      </c>
      <c r="I1623">
        <v>2</v>
      </c>
      <c r="J1623">
        <v>50</v>
      </c>
      <c r="K1623" t="s">
        <v>256</v>
      </c>
      <c r="L1623">
        <v>1</v>
      </c>
      <c r="M1623">
        <v>0.1</v>
      </c>
      <c r="N1623">
        <v>0</v>
      </c>
      <c r="O1623">
        <v>7</v>
      </c>
      <c r="P1623">
        <v>0</v>
      </c>
      <c r="Q1623">
        <v>42</v>
      </c>
      <c r="R1623">
        <v>-10</v>
      </c>
      <c r="S1623">
        <v>0</v>
      </c>
      <c r="T1623">
        <v>0</v>
      </c>
      <c r="U1623" s="8">
        <v>-9</v>
      </c>
      <c r="V1623" s="8">
        <f t="shared" si="25"/>
        <v>0</v>
      </c>
    </row>
    <row r="1624" spans="1:22" x14ac:dyDescent="0.3">
      <c r="A1624" t="s">
        <v>608</v>
      </c>
      <c r="B1624">
        <v>4</v>
      </c>
      <c r="C1624" t="s">
        <v>119</v>
      </c>
      <c r="D1624" t="s">
        <v>95</v>
      </c>
      <c r="E1624" t="s">
        <v>266</v>
      </c>
      <c r="F1624" t="s">
        <v>169</v>
      </c>
      <c r="G1624" t="s">
        <v>104</v>
      </c>
      <c r="H1624">
        <v>0</v>
      </c>
      <c r="I1624">
        <v>0</v>
      </c>
      <c r="J1624">
        <v>0</v>
      </c>
      <c r="K1624" t="s">
        <v>104</v>
      </c>
      <c r="L1624">
        <v>0</v>
      </c>
      <c r="M1624">
        <v>4</v>
      </c>
      <c r="N1624">
        <v>0</v>
      </c>
      <c r="O1624">
        <v>42</v>
      </c>
      <c r="P1624">
        <v>1</v>
      </c>
      <c r="Q1624">
        <v>10.5</v>
      </c>
      <c r="R1624">
        <v>25</v>
      </c>
      <c r="S1624">
        <v>0</v>
      </c>
      <c r="T1624">
        <v>0</v>
      </c>
      <c r="U1624" s="8">
        <v>25</v>
      </c>
      <c r="V1624" s="8">
        <f t="shared" si="25"/>
        <v>3</v>
      </c>
    </row>
    <row r="1625" spans="1:22" x14ac:dyDescent="0.3">
      <c r="A1625" t="s">
        <v>608</v>
      </c>
      <c r="B1625">
        <v>4</v>
      </c>
      <c r="C1625" t="s">
        <v>507</v>
      </c>
      <c r="D1625" t="s">
        <v>519</v>
      </c>
      <c r="E1625" t="s">
        <v>266</v>
      </c>
      <c r="F1625" t="s">
        <v>101</v>
      </c>
      <c r="G1625" t="s">
        <v>104</v>
      </c>
      <c r="H1625">
        <v>0</v>
      </c>
      <c r="I1625">
        <v>0</v>
      </c>
      <c r="J1625">
        <v>0</v>
      </c>
      <c r="K1625" t="s">
        <v>104</v>
      </c>
      <c r="L1625">
        <v>0</v>
      </c>
      <c r="M1625">
        <v>3</v>
      </c>
      <c r="N1625">
        <v>0</v>
      </c>
      <c r="O1625">
        <v>22</v>
      </c>
      <c r="P1625">
        <v>0</v>
      </c>
      <c r="Q1625">
        <v>7.3</v>
      </c>
      <c r="R1625">
        <v>5</v>
      </c>
      <c r="S1625">
        <v>0</v>
      </c>
      <c r="T1625">
        <v>0</v>
      </c>
      <c r="U1625" s="8">
        <v>5</v>
      </c>
      <c r="V1625" s="8">
        <f t="shared" si="25"/>
        <v>1</v>
      </c>
    </row>
    <row r="1626" spans="1:22" x14ac:dyDescent="0.3">
      <c r="A1626" t="s">
        <v>608</v>
      </c>
      <c r="B1626">
        <v>4</v>
      </c>
      <c r="C1626" t="s">
        <v>273</v>
      </c>
      <c r="D1626" t="s">
        <v>279</v>
      </c>
      <c r="E1626" t="s">
        <v>266</v>
      </c>
      <c r="F1626" t="s">
        <v>169</v>
      </c>
      <c r="G1626" t="s">
        <v>104</v>
      </c>
      <c r="H1626">
        <v>0</v>
      </c>
      <c r="I1626">
        <v>0</v>
      </c>
      <c r="J1626">
        <v>0</v>
      </c>
      <c r="K1626" t="s">
        <v>104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 s="8">
        <v>0</v>
      </c>
      <c r="V1626" s="8">
        <f t="shared" si="25"/>
        <v>0</v>
      </c>
    </row>
    <row r="1627" spans="1:22" x14ac:dyDescent="0.3">
      <c r="A1627" t="s">
        <v>608</v>
      </c>
      <c r="B1627">
        <v>4</v>
      </c>
      <c r="C1627" t="s">
        <v>265</v>
      </c>
      <c r="D1627" t="s">
        <v>264</v>
      </c>
      <c r="E1627" t="s">
        <v>266</v>
      </c>
      <c r="F1627" t="s">
        <v>101</v>
      </c>
      <c r="G1627" t="s">
        <v>104</v>
      </c>
      <c r="H1627">
        <v>0</v>
      </c>
      <c r="I1627">
        <v>0</v>
      </c>
      <c r="J1627">
        <v>0</v>
      </c>
      <c r="K1627" t="s">
        <v>104</v>
      </c>
      <c r="L1627">
        <v>0</v>
      </c>
      <c r="M1627">
        <v>4</v>
      </c>
      <c r="N1627">
        <v>0</v>
      </c>
      <c r="O1627">
        <v>28</v>
      </c>
      <c r="P1627">
        <v>0</v>
      </c>
      <c r="Q1627">
        <v>7</v>
      </c>
      <c r="R1627">
        <v>5</v>
      </c>
      <c r="S1627">
        <v>0</v>
      </c>
      <c r="T1627">
        <v>0</v>
      </c>
      <c r="U1627" s="8">
        <v>5</v>
      </c>
      <c r="V1627" s="8">
        <f t="shared" si="25"/>
        <v>1</v>
      </c>
    </row>
    <row r="1628" spans="1:22" x14ac:dyDescent="0.3">
      <c r="A1628" t="s">
        <v>608</v>
      </c>
      <c r="B1628">
        <v>4</v>
      </c>
      <c r="C1628" t="s">
        <v>534</v>
      </c>
      <c r="D1628" t="s">
        <v>639</v>
      </c>
      <c r="E1628" t="s">
        <v>266</v>
      </c>
      <c r="F1628" t="s">
        <v>101</v>
      </c>
      <c r="G1628" t="s">
        <v>104</v>
      </c>
      <c r="H1628">
        <v>0</v>
      </c>
      <c r="I1628">
        <v>0</v>
      </c>
      <c r="J1628">
        <v>0</v>
      </c>
      <c r="K1628" t="s">
        <v>104</v>
      </c>
      <c r="L1628">
        <v>0</v>
      </c>
      <c r="M1628">
        <v>1</v>
      </c>
      <c r="N1628">
        <v>0</v>
      </c>
      <c r="O1628">
        <v>11</v>
      </c>
      <c r="P1628">
        <v>0</v>
      </c>
      <c r="Q1628">
        <v>11</v>
      </c>
      <c r="R1628">
        <v>-10</v>
      </c>
      <c r="S1628">
        <v>0</v>
      </c>
      <c r="T1628">
        <v>0</v>
      </c>
      <c r="U1628" s="8">
        <v>-10</v>
      </c>
      <c r="V1628" s="8">
        <f t="shared" si="25"/>
        <v>0</v>
      </c>
    </row>
    <row r="1629" spans="1:22" x14ac:dyDescent="0.3">
      <c r="A1629" t="s">
        <v>609</v>
      </c>
      <c r="B1629">
        <v>4</v>
      </c>
      <c r="C1629" t="s">
        <v>226</v>
      </c>
      <c r="D1629" t="s">
        <v>211</v>
      </c>
      <c r="E1629" t="s">
        <v>159</v>
      </c>
      <c r="F1629" t="s">
        <v>169</v>
      </c>
      <c r="G1629" t="s">
        <v>86</v>
      </c>
      <c r="H1629">
        <v>17</v>
      </c>
      <c r="I1629">
        <v>8</v>
      </c>
      <c r="J1629">
        <v>212.5</v>
      </c>
      <c r="K1629" t="s">
        <v>247</v>
      </c>
      <c r="L1629">
        <v>30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 s="8">
        <v>30</v>
      </c>
      <c r="V1629" s="8">
        <f t="shared" si="25"/>
        <v>3</v>
      </c>
    </row>
    <row r="1630" spans="1:22" x14ac:dyDescent="0.3">
      <c r="A1630" t="s">
        <v>609</v>
      </c>
      <c r="B1630">
        <v>4</v>
      </c>
      <c r="C1630" t="s">
        <v>165</v>
      </c>
      <c r="D1630" t="s">
        <v>166</v>
      </c>
      <c r="E1630" t="s">
        <v>159</v>
      </c>
      <c r="F1630" t="s">
        <v>109</v>
      </c>
      <c r="G1630" t="s">
        <v>86</v>
      </c>
      <c r="H1630">
        <v>5</v>
      </c>
      <c r="I1630">
        <v>8</v>
      </c>
      <c r="J1630">
        <v>62.5</v>
      </c>
      <c r="K1630" t="s">
        <v>246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 s="8">
        <v>0</v>
      </c>
      <c r="V1630" s="8">
        <f t="shared" si="25"/>
        <v>0</v>
      </c>
    </row>
    <row r="1631" spans="1:22" x14ac:dyDescent="0.3">
      <c r="A1631" t="s">
        <v>609</v>
      </c>
      <c r="B1631">
        <v>4</v>
      </c>
      <c r="C1631" t="s">
        <v>97</v>
      </c>
      <c r="D1631" t="s">
        <v>122</v>
      </c>
      <c r="E1631" t="s">
        <v>159</v>
      </c>
      <c r="F1631" t="s">
        <v>109</v>
      </c>
      <c r="G1631" t="s">
        <v>92</v>
      </c>
      <c r="H1631">
        <v>4</v>
      </c>
      <c r="I1631">
        <v>8</v>
      </c>
      <c r="J1631">
        <v>50</v>
      </c>
      <c r="K1631" t="s">
        <v>246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 s="8">
        <v>0</v>
      </c>
      <c r="V1631" s="8">
        <f t="shared" si="25"/>
        <v>0</v>
      </c>
    </row>
    <row r="1632" spans="1:22" x14ac:dyDescent="0.3">
      <c r="A1632" t="s">
        <v>609</v>
      </c>
      <c r="B1632">
        <v>4</v>
      </c>
      <c r="C1632" t="s">
        <v>535</v>
      </c>
      <c r="D1632" t="s">
        <v>645</v>
      </c>
      <c r="E1632" t="s">
        <v>159</v>
      </c>
      <c r="F1632" t="s">
        <v>169</v>
      </c>
      <c r="G1632" t="s">
        <v>92</v>
      </c>
      <c r="H1632">
        <v>9</v>
      </c>
      <c r="I1632">
        <v>6</v>
      </c>
      <c r="J1632">
        <v>150</v>
      </c>
      <c r="K1632" t="s">
        <v>247</v>
      </c>
      <c r="L1632">
        <v>15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 s="8">
        <v>15</v>
      </c>
      <c r="V1632" s="8">
        <f t="shared" si="25"/>
        <v>2</v>
      </c>
    </row>
    <row r="1633" spans="1:22" x14ac:dyDescent="0.3">
      <c r="A1633" t="s">
        <v>609</v>
      </c>
      <c r="B1633">
        <v>4</v>
      </c>
      <c r="C1633" t="s">
        <v>206</v>
      </c>
      <c r="D1633" t="s">
        <v>207</v>
      </c>
      <c r="E1633" t="s">
        <v>159</v>
      </c>
      <c r="F1633" t="s">
        <v>169</v>
      </c>
      <c r="G1633" t="s">
        <v>134</v>
      </c>
      <c r="H1633">
        <v>66</v>
      </c>
      <c r="I1633">
        <v>47</v>
      </c>
      <c r="J1633">
        <v>140.43</v>
      </c>
      <c r="K1633" t="s">
        <v>246</v>
      </c>
      <c r="L1633">
        <v>85</v>
      </c>
      <c r="M1633">
        <v>2</v>
      </c>
      <c r="N1633">
        <v>0</v>
      </c>
      <c r="O1633">
        <v>9</v>
      </c>
      <c r="P1633">
        <v>0</v>
      </c>
      <c r="Q1633">
        <v>4.5</v>
      </c>
      <c r="R1633">
        <v>15</v>
      </c>
      <c r="S1633">
        <v>0</v>
      </c>
      <c r="T1633">
        <v>0</v>
      </c>
      <c r="U1633" s="8">
        <v>100</v>
      </c>
      <c r="V1633" s="8">
        <f t="shared" si="25"/>
        <v>10</v>
      </c>
    </row>
    <row r="1634" spans="1:22" x14ac:dyDescent="0.3">
      <c r="A1634" t="s">
        <v>609</v>
      </c>
      <c r="B1634">
        <v>4</v>
      </c>
      <c r="C1634" t="s">
        <v>176</v>
      </c>
      <c r="D1634" t="s">
        <v>177</v>
      </c>
      <c r="E1634" t="s">
        <v>159</v>
      </c>
      <c r="F1634" t="s">
        <v>85</v>
      </c>
      <c r="G1634" t="s">
        <v>134</v>
      </c>
      <c r="H1634">
        <v>44</v>
      </c>
      <c r="I1634">
        <v>28</v>
      </c>
      <c r="J1634">
        <v>157.13999999999999</v>
      </c>
      <c r="K1634" t="s">
        <v>246</v>
      </c>
      <c r="L1634">
        <v>65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 s="8">
        <v>65</v>
      </c>
      <c r="V1634" s="8">
        <f t="shared" si="25"/>
        <v>7</v>
      </c>
    </row>
    <row r="1635" spans="1:22" x14ac:dyDescent="0.3">
      <c r="A1635" t="s">
        <v>609</v>
      </c>
      <c r="B1635">
        <v>4</v>
      </c>
      <c r="C1635" t="s">
        <v>449</v>
      </c>
      <c r="D1635" t="s">
        <v>410</v>
      </c>
      <c r="E1635" t="s">
        <v>159</v>
      </c>
      <c r="F1635" t="s">
        <v>169</v>
      </c>
      <c r="G1635" t="s">
        <v>134</v>
      </c>
      <c r="H1635">
        <v>26</v>
      </c>
      <c r="I1635">
        <v>12</v>
      </c>
      <c r="J1635">
        <v>216.67</v>
      </c>
      <c r="K1635" t="s">
        <v>246</v>
      </c>
      <c r="L1635">
        <v>45</v>
      </c>
      <c r="M1635">
        <v>3</v>
      </c>
      <c r="N1635">
        <v>0</v>
      </c>
      <c r="O1635">
        <v>30</v>
      </c>
      <c r="P1635">
        <v>1</v>
      </c>
      <c r="Q1635">
        <v>10</v>
      </c>
      <c r="R1635">
        <v>25</v>
      </c>
      <c r="S1635">
        <v>0</v>
      </c>
      <c r="T1635">
        <v>0</v>
      </c>
      <c r="U1635" s="8">
        <v>70</v>
      </c>
      <c r="V1635" s="8">
        <f t="shared" si="25"/>
        <v>7</v>
      </c>
    </row>
    <row r="1636" spans="1:22" x14ac:dyDescent="0.3">
      <c r="A1636" t="s">
        <v>609</v>
      </c>
      <c r="B1636">
        <v>4</v>
      </c>
      <c r="C1636" t="s">
        <v>202</v>
      </c>
      <c r="D1636" t="s">
        <v>203</v>
      </c>
      <c r="E1636" t="s">
        <v>159</v>
      </c>
      <c r="F1636" t="s">
        <v>101</v>
      </c>
      <c r="G1636" t="s">
        <v>134</v>
      </c>
      <c r="H1636">
        <v>2</v>
      </c>
      <c r="I1636">
        <v>2</v>
      </c>
      <c r="J1636">
        <v>100</v>
      </c>
      <c r="K1636" t="s">
        <v>96</v>
      </c>
      <c r="L1636">
        <v>2</v>
      </c>
      <c r="M1636">
        <v>4</v>
      </c>
      <c r="N1636">
        <v>0</v>
      </c>
      <c r="O1636">
        <v>31</v>
      </c>
      <c r="P1636">
        <v>1</v>
      </c>
      <c r="Q1636">
        <v>7.8</v>
      </c>
      <c r="R1636">
        <v>25</v>
      </c>
      <c r="S1636">
        <v>0</v>
      </c>
      <c r="T1636">
        <v>0</v>
      </c>
      <c r="U1636" s="8">
        <v>27</v>
      </c>
      <c r="V1636" s="8">
        <f t="shared" si="25"/>
        <v>3</v>
      </c>
    </row>
    <row r="1637" spans="1:22" x14ac:dyDescent="0.3">
      <c r="A1637" t="s">
        <v>609</v>
      </c>
      <c r="B1637">
        <v>4</v>
      </c>
      <c r="C1637" t="s">
        <v>259</v>
      </c>
      <c r="D1637" t="s">
        <v>257</v>
      </c>
      <c r="E1637" t="s">
        <v>159</v>
      </c>
      <c r="F1637" t="s">
        <v>169</v>
      </c>
      <c r="G1637" t="s">
        <v>134</v>
      </c>
      <c r="H1637">
        <v>0</v>
      </c>
      <c r="I1637">
        <v>1</v>
      </c>
      <c r="J1637">
        <v>0</v>
      </c>
      <c r="K1637" t="s">
        <v>96</v>
      </c>
      <c r="L1637">
        <v>0</v>
      </c>
      <c r="M1637">
        <v>3.5</v>
      </c>
      <c r="N1637">
        <v>0</v>
      </c>
      <c r="O1637">
        <v>23</v>
      </c>
      <c r="P1637">
        <v>5</v>
      </c>
      <c r="Q1637">
        <v>6</v>
      </c>
      <c r="R1637">
        <v>75</v>
      </c>
      <c r="S1637">
        <v>0</v>
      </c>
      <c r="T1637">
        <v>0</v>
      </c>
      <c r="U1637" s="8">
        <v>75</v>
      </c>
      <c r="V1637" s="8">
        <f t="shared" si="25"/>
        <v>8</v>
      </c>
    </row>
    <row r="1638" spans="1:22" x14ac:dyDescent="0.3">
      <c r="A1638" t="s">
        <v>609</v>
      </c>
      <c r="B1638">
        <v>4</v>
      </c>
      <c r="C1638" t="s">
        <v>528</v>
      </c>
      <c r="D1638" t="s">
        <v>628</v>
      </c>
      <c r="E1638" t="s">
        <v>159</v>
      </c>
      <c r="F1638" t="s">
        <v>101</v>
      </c>
      <c r="G1638" t="s">
        <v>104</v>
      </c>
      <c r="H1638">
        <v>0</v>
      </c>
      <c r="I1638">
        <v>0</v>
      </c>
      <c r="J1638">
        <v>0</v>
      </c>
      <c r="K1638" t="s">
        <v>104</v>
      </c>
      <c r="L1638">
        <v>0</v>
      </c>
      <c r="M1638">
        <v>2</v>
      </c>
      <c r="N1638">
        <v>0</v>
      </c>
      <c r="O1638">
        <v>27</v>
      </c>
      <c r="P1638">
        <v>0</v>
      </c>
      <c r="Q1638">
        <v>13.5</v>
      </c>
      <c r="R1638">
        <v>-10</v>
      </c>
      <c r="S1638">
        <v>0</v>
      </c>
      <c r="T1638">
        <v>0</v>
      </c>
      <c r="U1638" s="8">
        <v>-10</v>
      </c>
      <c r="V1638" s="8">
        <f t="shared" si="25"/>
        <v>0</v>
      </c>
    </row>
    <row r="1639" spans="1:22" x14ac:dyDescent="0.3">
      <c r="A1639" t="s">
        <v>609</v>
      </c>
      <c r="B1639">
        <v>4</v>
      </c>
      <c r="C1639" t="s">
        <v>527</v>
      </c>
      <c r="D1639" t="s">
        <v>627</v>
      </c>
      <c r="E1639" t="s">
        <v>159</v>
      </c>
      <c r="F1639" t="s">
        <v>101</v>
      </c>
      <c r="G1639" t="s">
        <v>104</v>
      </c>
      <c r="H1639">
        <v>0</v>
      </c>
      <c r="I1639">
        <v>0</v>
      </c>
      <c r="J1639">
        <v>0</v>
      </c>
      <c r="K1639" t="s">
        <v>104</v>
      </c>
      <c r="L1639">
        <v>0</v>
      </c>
      <c r="M1639">
        <v>4</v>
      </c>
      <c r="N1639">
        <v>0</v>
      </c>
      <c r="O1639">
        <v>29</v>
      </c>
      <c r="P1639">
        <v>3</v>
      </c>
      <c r="Q1639">
        <v>7.2</v>
      </c>
      <c r="R1639">
        <v>75</v>
      </c>
      <c r="S1639">
        <v>0</v>
      </c>
      <c r="T1639">
        <v>0</v>
      </c>
      <c r="U1639" s="8">
        <v>75</v>
      </c>
      <c r="V1639" s="8">
        <f t="shared" si="25"/>
        <v>8</v>
      </c>
    </row>
    <row r="1640" spans="1:22" x14ac:dyDescent="0.3">
      <c r="A1640" t="s">
        <v>609</v>
      </c>
      <c r="B1640">
        <v>4</v>
      </c>
      <c r="C1640" t="s">
        <v>81</v>
      </c>
      <c r="D1640" t="s">
        <v>114</v>
      </c>
      <c r="E1640" t="s">
        <v>258</v>
      </c>
      <c r="F1640" t="s">
        <v>85</v>
      </c>
      <c r="G1640" t="s">
        <v>86</v>
      </c>
      <c r="H1640">
        <v>27</v>
      </c>
      <c r="I1640">
        <v>14</v>
      </c>
      <c r="J1640">
        <v>192.86</v>
      </c>
      <c r="K1640" t="s">
        <v>247</v>
      </c>
      <c r="L1640">
        <v>40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 s="8">
        <v>40</v>
      </c>
      <c r="V1640" s="8">
        <f t="shared" si="25"/>
        <v>4</v>
      </c>
    </row>
    <row r="1641" spans="1:22" x14ac:dyDescent="0.3">
      <c r="A1641" t="s">
        <v>609</v>
      </c>
      <c r="B1641">
        <v>4</v>
      </c>
      <c r="C1641" t="s">
        <v>167</v>
      </c>
      <c r="D1641" t="s">
        <v>168</v>
      </c>
      <c r="E1641" t="s">
        <v>258</v>
      </c>
      <c r="F1641" t="s">
        <v>169</v>
      </c>
      <c r="G1641" t="s">
        <v>92</v>
      </c>
      <c r="H1641">
        <v>8</v>
      </c>
      <c r="I1641">
        <v>12</v>
      </c>
      <c r="J1641">
        <v>66.67</v>
      </c>
      <c r="K1641" t="s">
        <v>246</v>
      </c>
      <c r="L1641">
        <v>5</v>
      </c>
      <c r="M1641">
        <v>4</v>
      </c>
      <c r="N1641">
        <v>0</v>
      </c>
      <c r="O1641">
        <v>31</v>
      </c>
      <c r="P1641">
        <v>3</v>
      </c>
      <c r="Q1641">
        <v>7.8</v>
      </c>
      <c r="R1641">
        <v>75</v>
      </c>
      <c r="S1641">
        <v>0</v>
      </c>
      <c r="T1641">
        <v>0</v>
      </c>
      <c r="U1641" s="8">
        <v>80</v>
      </c>
      <c r="V1641" s="8">
        <f t="shared" si="25"/>
        <v>8</v>
      </c>
    </row>
    <row r="1642" spans="1:22" x14ac:dyDescent="0.3">
      <c r="A1642" t="s">
        <v>609</v>
      </c>
      <c r="B1642">
        <v>4</v>
      </c>
      <c r="C1642" t="s">
        <v>178</v>
      </c>
      <c r="D1642" t="s">
        <v>179</v>
      </c>
      <c r="E1642" t="s">
        <v>258</v>
      </c>
      <c r="F1642" t="s">
        <v>169</v>
      </c>
      <c r="G1642" t="s">
        <v>92</v>
      </c>
      <c r="H1642">
        <v>16</v>
      </c>
      <c r="I1642">
        <v>14</v>
      </c>
      <c r="J1642">
        <v>114.29</v>
      </c>
      <c r="K1642" t="s">
        <v>247</v>
      </c>
      <c r="L1642">
        <v>20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 s="8">
        <v>20</v>
      </c>
      <c r="V1642" s="8">
        <f t="shared" si="25"/>
        <v>2</v>
      </c>
    </row>
    <row r="1643" spans="1:22" x14ac:dyDescent="0.3">
      <c r="A1643" t="s">
        <v>609</v>
      </c>
      <c r="B1643">
        <v>4</v>
      </c>
      <c r="C1643" t="s">
        <v>93</v>
      </c>
      <c r="D1643" t="s">
        <v>118</v>
      </c>
      <c r="E1643" t="s">
        <v>258</v>
      </c>
      <c r="F1643" t="s">
        <v>169</v>
      </c>
      <c r="G1643" t="s">
        <v>92</v>
      </c>
      <c r="H1643">
        <v>3</v>
      </c>
      <c r="I1643">
        <v>6</v>
      </c>
      <c r="J1643">
        <v>50</v>
      </c>
      <c r="K1643" t="s">
        <v>246</v>
      </c>
      <c r="L1643">
        <v>0</v>
      </c>
      <c r="M1643">
        <v>4</v>
      </c>
      <c r="N1643">
        <v>0</v>
      </c>
      <c r="O1643">
        <v>32</v>
      </c>
      <c r="P1643">
        <v>0</v>
      </c>
      <c r="Q1643">
        <v>8</v>
      </c>
      <c r="R1643">
        <v>0</v>
      </c>
      <c r="S1643">
        <v>0</v>
      </c>
      <c r="T1643">
        <v>0</v>
      </c>
      <c r="U1643" s="8">
        <v>0</v>
      </c>
      <c r="V1643" s="8">
        <f t="shared" si="25"/>
        <v>0</v>
      </c>
    </row>
    <row r="1644" spans="1:22" x14ac:dyDescent="0.3">
      <c r="A1644" t="s">
        <v>609</v>
      </c>
      <c r="B1644">
        <v>4</v>
      </c>
      <c r="C1644" t="s">
        <v>99</v>
      </c>
      <c r="D1644" t="s">
        <v>124</v>
      </c>
      <c r="E1644" t="s">
        <v>258</v>
      </c>
      <c r="F1644" t="s">
        <v>169</v>
      </c>
      <c r="G1644" t="s">
        <v>134</v>
      </c>
      <c r="H1644">
        <v>13</v>
      </c>
      <c r="I1644">
        <v>13</v>
      </c>
      <c r="J1644">
        <v>100</v>
      </c>
      <c r="K1644" t="s">
        <v>246</v>
      </c>
      <c r="L1644">
        <v>15</v>
      </c>
      <c r="M1644">
        <v>4</v>
      </c>
      <c r="N1644">
        <v>0</v>
      </c>
      <c r="O1644">
        <v>35</v>
      </c>
      <c r="P1644">
        <v>1</v>
      </c>
      <c r="Q1644">
        <v>8.8000000000000007</v>
      </c>
      <c r="R1644">
        <v>25</v>
      </c>
      <c r="S1644">
        <v>0</v>
      </c>
      <c r="T1644">
        <v>0</v>
      </c>
      <c r="U1644" s="8">
        <v>40</v>
      </c>
      <c r="V1644" s="8">
        <f t="shared" si="25"/>
        <v>4</v>
      </c>
    </row>
    <row r="1645" spans="1:22" x14ac:dyDescent="0.3">
      <c r="A1645" t="s">
        <v>609</v>
      </c>
      <c r="B1645">
        <v>4</v>
      </c>
      <c r="C1645" t="s">
        <v>447</v>
      </c>
      <c r="D1645" t="s">
        <v>448</v>
      </c>
      <c r="E1645" t="s">
        <v>258</v>
      </c>
      <c r="F1645" t="s">
        <v>109</v>
      </c>
      <c r="G1645" t="s">
        <v>134</v>
      </c>
      <c r="H1645">
        <v>39</v>
      </c>
      <c r="I1645">
        <v>20</v>
      </c>
      <c r="J1645">
        <v>195</v>
      </c>
      <c r="K1645" t="s">
        <v>246</v>
      </c>
      <c r="L1645">
        <v>55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 s="8">
        <v>55</v>
      </c>
      <c r="V1645" s="8">
        <f t="shared" si="25"/>
        <v>6</v>
      </c>
    </row>
    <row r="1646" spans="1:22" x14ac:dyDescent="0.3">
      <c r="A1646" t="s">
        <v>609</v>
      </c>
      <c r="B1646">
        <v>4</v>
      </c>
      <c r="C1646" t="s">
        <v>493</v>
      </c>
      <c r="D1646" t="s">
        <v>500</v>
      </c>
      <c r="E1646" t="s">
        <v>258</v>
      </c>
      <c r="F1646" t="s">
        <v>169</v>
      </c>
      <c r="G1646" t="s">
        <v>134</v>
      </c>
      <c r="H1646">
        <v>18</v>
      </c>
      <c r="I1646">
        <v>14</v>
      </c>
      <c r="J1646">
        <v>128.57</v>
      </c>
      <c r="K1646" t="s">
        <v>246</v>
      </c>
      <c r="L1646">
        <v>25</v>
      </c>
      <c r="M1646">
        <v>4</v>
      </c>
      <c r="N1646">
        <v>0</v>
      </c>
      <c r="O1646">
        <v>42</v>
      </c>
      <c r="P1646">
        <v>2</v>
      </c>
      <c r="Q1646">
        <v>10.5</v>
      </c>
      <c r="R1646">
        <v>50</v>
      </c>
      <c r="S1646">
        <v>0</v>
      </c>
      <c r="T1646">
        <v>0</v>
      </c>
      <c r="U1646" s="8">
        <v>75</v>
      </c>
      <c r="V1646" s="8">
        <f t="shared" si="25"/>
        <v>8</v>
      </c>
    </row>
    <row r="1647" spans="1:22" x14ac:dyDescent="0.3">
      <c r="A1647" t="s">
        <v>609</v>
      </c>
      <c r="B1647">
        <v>4</v>
      </c>
      <c r="C1647" t="s">
        <v>105</v>
      </c>
      <c r="D1647" t="s">
        <v>128</v>
      </c>
      <c r="E1647" t="s">
        <v>258</v>
      </c>
      <c r="F1647" t="s">
        <v>101</v>
      </c>
      <c r="G1647" t="s">
        <v>134</v>
      </c>
      <c r="H1647">
        <v>21</v>
      </c>
      <c r="I1647">
        <v>13</v>
      </c>
      <c r="J1647">
        <v>161.54</v>
      </c>
      <c r="K1647" t="s">
        <v>246</v>
      </c>
      <c r="L1647">
        <v>30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 s="8">
        <v>30</v>
      </c>
      <c r="V1647" s="8">
        <f t="shared" si="25"/>
        <v>3</v>
      </c>
    </row>
    <row r="1648" spans="1:22" x14ac:dyDescent="0.3">
      <c r="A1648" t="s">
        <v>609</v>
      </c>
      <c r="B1648">
        <v>4</v>
      </c>
      <c r="C1648" t="s">
        <v>579</v>
      </c>
      <c r="D1648" t="s">
        <v>658</v>
      </c>
      <c r="E1648" t="s">
        <v>258</v>
      </c>
      <c r="F1648" t="s">
        <v>85</v>
      </c>
      <c r="G1648" t="s">
        <v>134</v>
      </c>
      <c r="H1648">
        <v>0</v>
      </c>
      <c r="I1648">
        <v>2</v>
      </c>
      <c r="J1648">
        <v>0</v>
      </c>
      <c r="K1648" t="s">
        <v>246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 s="8">
        <v>0</v>
      </c>
      <c r="V1648" s="8">
        <f t="shared" si="25"/>
        <v>0</v>
      </c>
    </row>
    <row r="1649" spans="1:22" x14ac:dyDescent="0.3">
      <c r="A1649" t="s">
        <v>609</v>
      </c>
      <c r="B1649">
        <v>4</v>
      </c>
      <c r="C1649" t="s">
        <v>237</v>
      </c>
      <c r="D1649" t="s">
        <v>238</v>
      </c>
      <c r="E1649" t="s">
        <v>258</v>
      </c>
      <c r="F1649" t="s">
        <v>101</v>
      </c>
      <c r="G1649" t="s">
        <v>134</v>
      </c>
      <c r="H1649">
        <v>0</v>
      </c>
      <c r="I1649">
        <v>2</v>
      </c>
      <c r="J1649">
        <v>0</v>
      </c>
      <c r="K1649" t="s">
        <v>96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 s="8">
        <v>0</v>
      </c>
      <c r="V1649" s="8">
        <f t="shared" si="25"/>
        <v>0</v>
      </c>
    </row>
    <row r="1650" spans="1:22" x14ac:dyDescent="0.3">
      <c r="A1650" t="s">
        <v>609</v>
      </c>
      <c r="B1650">
        <v>4</v>
      </c>
      <c r="C1650" t="s">
        <v>186</v>
      </c>
      <c r="D1650" t="s">
        <v>187</v>
      </c>
      <c r="E1650" t="s">
        <v>258</v>
      </c>
      <c r="F1650" t="s">
        <v>101</v>
      </c>
      <c r="G1650" t="s">
        <v>134</v>
      </c>
      <c r="H1650">
        <v>2</v>
      </c>
      <c r="I1650">
        <v>3</v>
      </c>
      <c r="J1650">
        <v>66.67</v>
      </c>
      <c r="K1650" t="s">
        <v>246</v>
      </c>
      <c r="L1650">
        <v>2</v>
      </c>
      <c r="M1650">
        <v>4</v>
      </c>
      <c r="N1650">
        <v>0</v>
      </c>
      <c r="O1650">
        <v>41</v>
      </c>
      <c r="P1650">
        <v>1</v>
      </c>
      <c r="Q1650">
        <v>10.199999999999999</v>
      </c>
      <c r="R1650">
        <v>25</v>
      </c>
      <c r="S1650">
        <v>0</v>
      </c>
      <c r="T1650">
        <v>0</v>
      </c>
      <c r="U1650" s="8">
        <v>27</v>
      </c>
      <c r="V1650" s="8">
        <f t="shared" si="25"/>
        <v>3</v>
      </c>
    </row>
    <row r="1651" spans="1:22" x14ac:dyDescent="0.3">
      <c r="A1651" t="s">
        <v>610</v>
      </c>
      <c r="B1651">
        <v>4</v>
      </c>
      <c r="C1651" t="s">
        <v>190</v>
      </c>
      <c r="D1651" t="s">
        <v>191</v>
      </c>
      <c r="E1651" t="s">
        <v>219</v>
      </c>
      <c r="F1651" t="s">
        <v>109</v>
      </c>
      <c r="G1651" t="s">
        <v>86</v>
      </c>
      <c r="H1651">
        <v>70</v>
      </c>
      <c r="I1651">
        <v>45</v>
      </c>
      <c r="J1651">
        <v>155.56</v>
      </c>
      <c r="K1651" t="s">
        <v>246</v>
      </c>
      <c r="L1651">
        <v>95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 s="8">
        <v>95</v>
      </c>
      <c r="V1651" s="8">
        <f t="shared" si="25"/>
        <v>10</v>
      </c>
    </row>
    <row r="1652" spans="1:22" x14ac:dyDescent="0.3">
      <c r="A1652" t="s">
        <v>610</v>
      </c>
      <c r="B1652">
        <v>4</v>
      </c>
      <c r="C1652" t="s">
        <v>229</v>
      </c>
      <c r="D1652" t="s">
        <v>230</v>
      </c>
      <c r="E1652" t="s">
        <v>219</v>
      </c>
      <c r="F1652" t="s">
        <v>109</v>
      </c>
      <c r="G1652" t="s">
        <v>86</v>
      </c>
      <c r="H1652">
        <v>0</v>
      </c>
      <c r="I1652">
        <v>1</v>
      </c>
      <c r="J1652">
        <v>0</v>
      </c>
      <c r="K1652" t="s">
        <v>245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 s="8">
        <v>0</v>
      </c>
      <c r="V1652" s="8">
        <f t="shared" si="25"/>
        <v>0</v>
      </c>
    </row>
    <row r="1653" spans="1:22" x14ac:dyDescent="0.3">
      <c r="A1653" t="s">
        <v>610</v>
      </c>
      <c r="B1653">
        <v>4</v>
      </c>
      <c r="C1653" t="s">
        <v>383</v>
      </c>
      <c r="D1653" t="s">
        <v>384</v>
      </c>
      <c r="E1653" t="s">
        <v>219</v>
      </c>
      <c r="F1653" t="s">
        <v>109</v>
      </c>
      <c r="G1653" t="s">
        <v>92</v>
      </c>
      <c r="H1653">
        <v>61</v>
      </c>
      <c r="I1653">
        <v>37</v>
      </c>
      <c r="J1653">
        <v>164.86</v>
      </c>
      <c r="K1653" t="s">
        <v>246</v>
      </c>
      <c r="L1653">
        <v>85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 s="8">
        <v>85</v>
      </c>
      <c r="V1653" s="8">
        <f t="shared" si="25"/>
        <v>9</v>
      </c>
    </row>
    <row r="1654" spans="1:22" x14ac:dyDescent="0.3">
      <c r="A1654" t="s">
        <v>610</v>
      </c>
      <c r="B1654">
        <v>4</v>
      </c>
      <c r="C1654" t="s">
        <v>89</v>
      </c>
      <c r="D1654" t="s">
        <v>116</v>
      </c>
      <c r="E1654" t="s">
        <v>219</v>
      </c>
      <c r="F1654" t="s">
        <v>169</v>
      </c>
      <c r="G1654" t="s">
        <v>92</v>
      </c>
      <c r="H1654">
        <v>25</v>
      </c>
      <c r="I1654">
        <v>16</v>
      </c>
      <c r="J1654">
        <v>156.25</v>
      </c>
      <c r="K1654" t="s">
        <v>248</v>
      </c>
      <c r="L1654">
        <v>35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 s="8">
        <v>35</v>
      </c>
      <c r="V1654" s="8">
        <f t="shared" si="25"/>
        <v>4</v>
      </c>
    </row>
    <row r="1655" spans="1:22" x14ac:dyDescent="0.3">
      <c r="A1655" t="s">
        <v>610</v>
      </c>
      <c r="B1655">
        <v>4</v>
      </c>
      <c r="C1655" t="s">
        <v>578</v>
      </c>
      <c r="D1655" t="s">
        <v>652</v>
      </c>
      <c r="E1655" t="s">
        <v>219</v>
      </c>
      <c r="F1655" t="s">
        <v>169</v>
      </c>
      <c r="G1655" t="s">
        <v>134</v>
      </c>
      <c r="H1655">
        <v>21</v>
      </c>
      <c r="I1655">
        <v>13</v>
      </c>
      <c r="J1655">
        <v>161.54</v>
      </c>
      <c r="K1655" t="s">
        <v>246</v>
      </c>
      <c r="L1655">
        <v>30</v>
      </c>
      <c r="M1655">
        <v>2</v>
      </c>
      <c r="N1655">
        <v>0</v>
      </c>
      <c r="O1655">
        <v>18</v>
      </c>
      <c r="P1655">
        <v>1</v>
      </c>
      <c r="Q1655">
        <v>9</v>
      </c>
      <c r="R1655">
        <v>25</v>
      </c>
      <c r="S1655">
        <v>0</v>
      </c>
      <c r="T1655">
        <v>0</v>
      </c>
      <c r="U1655" s="8">
        <v>55</v>
      </c>
      <c r="V1655" s="8">
        <f t="shared" si="25"/>
        <v>6</v>
      </c>
    </row>
    <row r="1656" spans="1:22" x14ac:dyDescent="0.3">
      <c r="A1656" t="s">
        <v>610</v>
      </c>
      <c r="B1656">
        <v>4</v>
      </c>
      <c r="C1656" t="s">
        <v>220</v>
      </c>
      <c r="D1656" t="s">
        <v>221</v>
      </c>
      <c r="E1656" t="s">
        <v>219</v>
      </c>
      <c r="F1656" t="s">
        <v>85</v>
      </c>
      <c r="G1656" t="s">
        <v>134</v>
      </c>
      <c r="H1656">
        <v>0</v>
      </c>
      <c r="I1656">
        <v>1</v>
      </c>
      <c r="J1656">
        <v>0</v>
      </c>
      <c r="K1656" t="s">
        <v>246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 s="8">
        <v>0</v>
      </c>
      <c r="V1656" s="8">
        <f t="shared" si="25"/>
        <v>0</v>
      </c>
    </row>
    <row r="1657" spans="1:22" x14ac:dyDescent="0.3">
      <c r="A1657" t="s">
        <v>610</v>
      </c>
      <c r="B1657">
        <v>4</v>
      </c>
      <c r="C1657" t="s">
        <v>233</v>
      </c>
      <c r="D1657" t="s">
        <v>234</v>
      </c>
      <c r="E1657" t="s">
        <v>219</v>
      </c>
      <c r="F1657" t="s">
        <v>101</v>
      </c>
      <c r="G1657" t="s">
        <v>134</v>
      </c>
      <c r="H1657">
        <v>1</v>
      </c>
      <c r="I1657">
        <v>4</v>
      </c>
      <c r="J1657">
        <v>25</v>
      </c>
      <c r="K1657" t="s">
        <v>248</v>
      </c>
      <c r="L1657">
        <v>1</v>
      </c>
      <c r="M1657">
        <v>4</v>
      </c>
      <c r="N1657">
        <v>1</v>
      </c>
      <c r="O1657">
        <v>33</v>
      </c>
      <c r="P1657">
        <v>1</v>
      </c>
      <c r="Q1657">
        <v>8.1999999999999993</v>
      </c>
      <c r="R1657">
        <v>35</v>
      </c>
      <c r="S1657">
        <v>0</v>
      </c>
      <c r="T1657">
        <v>0</v>
      </c>
      <c r="U1657" s="8">
        <v>36</v>
      </c>
      <c r="V1657" s="8">
        <f t="shared" si="25"/>
        <v>4</v>
      </c>
    </row>
    <row r="1658" spans="1:22" x14ac:dyDescent="0.3">
      <c r="A1658" t="s">
        <v>610</v>
      </c>
      <c r="B1658">
        <v>4</v>
      </c>
      <c r="C1658" t="s">
        <v>224</v>
      </c>
      <c r="D1658" t="s">
        <v>225</v>
      </c>
      <c r="E1658" t="s">
        <v>219</v>
      </c>
      <c r="F1658" t="s">
        <v>169</v>
      </c>
      <c r="G1658" t="s">
        <v>134</v>
      </c>
      <c r="H1658">
        <v>0</v>
      </c>
      <c r="I1658">
        <v>2</v>
      </c>
      <c r="J1658">
        <v>0</v>
      </c>
      <c r="K1658" t="s">
        <v>246</v>
      </c>
      <c r="L1658">
        <v>0</v>
      </c>
      <c r="M1658">
        <v>4</v>
      </c>
      <c r="N1658">
        <v>0</v>
      </c>
      <c r="O1658">
        <v>35</v>
      </c>
      <c r="P1658">
        <v>1</v>
      </c>
      <c r="Q1658">
        <v>8.8000000000000007</v>
      </c>
      <c r="R1658">
        <v>25</v>
      </c>
      <c r="S1658">
        <v>0</v>
      </c>
      <c r="T1658">
        <v>0</v>
      </c>
      <c r="U1658" s="8">
        <v>25</v>
      </c>
      <c r="V1658" s="8">
        <f t="shared" si="25"/>
        <v>3</v>
      </c>
    </row>
    <row r="1659" spans="1:22" x14ac:dyDescent="0.3">
      <c r="A1659" t="s">
        <v>610</v>
      </c>
      <c r="B1659">
        <v>4</v>
      </c>
      <c r="C1659" t="s">
        <v>180</v>
      </c>
      <c r="D1659" t="s">
        <v>181</v>
      </c>
      <c r="E1659" t="s">
        <v>219</v>
      </c>
      <c r="F1659" t="s">
        <v>101</v>
      </c>
      <c r="G1659" t="s">
        <v>134</v>
      </c>
      <c r="H1659">
        <v>1</v>
      </c>
      <c r="I1659">
        <v>1</v>
      </c>
      <c r="J1659">
        <v>100</v>
      </c>
      <c r="K1659" t="s">
        <v>96</v>
      </c>
      <c r="L1659">
        <v>6</v>
      </c>
      <c r="M1659">
        <v>2</v>
      </c>
      <c r="N1659">
        <v>0</v>
      </c>
      <c r="O1659">
        <v>17</v>
      </c>
      <c r="P1659">
        <v>0</v>
      </c>
      <c r="Q1659">
        <v>8.5</v>
      </c>
      <c r="R1659">
        <v>0</v>
      </c>
      <c r="S1659">
        <v>0</v>
      </c>
      <c r="T1659">
        <v>0</v>
      </c>
      <c r="U1659" s="8">
        <v>6</v>
      </c>
      <c r="V1659" s="8">
        <f t="shared" si="25"/>
        <v>1</v>
      </c>
    </row>
    <row r="1660" spans="1:22" x14ac:dyDescent="0.3">
      <c r="A1660" t="s">
        <v>610</v>
      </c>
      <c r="B1660">
        <v>4</v>
      </c>
      <c r="C1660" t="s">
        <v>204</v>
      </c>
      <c r="D1660" t="s">
        <v>205</v>
      </c>
      <c r="E1660" t="s">
        <v>219</v>
      </c>
      <c r="F1660" t="s">
        <v>169</v>
      </c>
      <c r="G1660" t="s">
        <v>104</v>
      </c>
      <c r="H1660">
        <v>0</v>
      </c>
      <c r="I1660">
        <v>0</v>
      </c>
      <c r="J1660">
        <v>0</v>
      </c>
      <c r="K1660" t="s">
        <v>104</v>
      </c>
      <c r="L1660">
        <v>0</v>
      </c>
      <c r="M1660">
        <v>4</v>
      </c>
      <c r="N1660">
        <v>0</v>
      </c>
      <c r="O1660">
        <v>30</v>
      </c>
      <c r="P1660">
        <v>2</v>
      </c>
      <c r="Q1660">
        <v>7.5</v>
      </c>
      <c r="R1660">
        <v>50</v>
      </c>
      <c r="S1660">
        <v>0</v>
      </c>
      <c r="T1660">
        <v>0</v>
      </c>
      <c r="U1660" s="8">
        <v>50</v>
      </c>
      <c r="V1660" s="8">
        <f t="shared" si="25"/>
        <v>5</v>
      </c>
    </row>
    <row r="1661" spans="1:22" x14ac:dyDescent="0.3">
      <c r="A1661" t="s">
        <v>610</v>
      </c>
      <c r="B1661">
        <v>4</v>
      </c>
      <c r="C1661" t="s">
        <v>509</v>
      </c>
      <c r="D1661" t="s">
        <v>523</v>
      </c>
      <c r="E1661" t="s">
        <v>219</v>
      </c>
      <c r="F1661" t="s">
        <v>101</v>
      </c>
      <c r="G1661" t="s">
        <v>104</v>
      </c>
      <c r="H1661">
        <v>0</v>
      </c>
      <c r="I1661">
        <v>0</v>
      </c>
      <c r="J1661">
        <v>0</v>
      </c>
      <c r="K1661" t="s">
        <v>104</v>
      </c>
      <c r="L1661">
        <v>0</v>
      </c>
      <c r="M1661">
        <v>4</v>
      </c>
      <c r="N1661">
        <v>0</v>
      </c>
      <c r="O1661">
        <v>32</v>
      </c>
      <c r="P1661">
        <v>1</v>
      </c>
      <c r="Q1661">
        <v>8</v>
      </c>
      <c r="R1661">
        <v>25</v>
      </c>
      <c r="S1661">
        <v>0</v>
      </c>
      <c r="T1661">
        <v>0</v>
      </c>
      <c r="U1661" s="8">
        <v>25</v>
      </c>
      <c r="V1661" s="8">
        <f t="shared" si="25"/>
        <v>3</v>
      </c>
    </row>
    <row r="1662" spans="1:22" x14ac:dyDescent="0.3">
      <c r="A1662" t="s">
        <v>610</v>
      </c>
      <c r="B1662">
        <v>4</v>
      </c>
      <c r="C1662" t="s">
        <v>112</v>
      </c>
      <c r="D1662" t="s">
        <v>88</v>
      </c>
      <c r="E1662" t="s">
        <v>266</v>
      </c>
      <c r="F1662" t="s">
        <v>169</v>
      </c>
      <c r="G1662" t="s">
        <v>86</v>
      </c>
      <c r="H1662">
        <v>13</v>
      </c>
      <c r="I1662">
        <v>13</v>
      </c>
      <c r="J1662">
        <v>100</v>
      </c>
      <c r="K1662" t="s">
        <v>246</v>
      </c>
      <c r="L1662">
        <v>13</v>
      </c>
      <c r="M1662">
        <v>3</v>
      </c>
      <c r="N1662">
        <v>0</v>
      </c>
      <c r="O1662">
        <v>40</v>
      </c>
      <c r="P1662">
        <v>1</v>
      </c>
      <c r="Q1662">
        <v>13.3</v>
      </c>
      <c r="R1662">
        <v>25</v>
      </c>
      <c r="S1662">
        <v>0</v>
      </c>
      <c r="T1662">
        <v>0</v>
      </c>
      <c r="U1662" s="8">
        <v>38</v>
      </c>
      <c r="V1662" s="8">
        <f t="shared" si="25"/>
        <v>4</v>
      </c>
    </row>
    <row r="1663" spans="1:22" x14ac:dyDescent="0.3">
      <c r="A1663" t="s">
        <v>610</v>
      </c>
      <c r="B1663">
        <v>4</v>
      </c>
      <c r="C1663" t="s">
        <v>347</v>
      </c>
      <c r="D1663" t="s">
        <v>348</v>
      </c>
      <c r="E1663" t="s">
        <v>266</v>
      </c>
      <c r="F1663" t="s">
        <v>169</v>
      </c>
      <c r="G1663" t="s">
        <v>92</v>
      </c>
      <c r="H1663">
        <v>10</v>
      </c>
      <c r="I1663">
        <v>6</v>
      </c>
      <c r="J1663">
        <v>166.67</v>
      </c>
      <c r="K1663" t="s">
        <v>247</v>
      </c>
      <c r="L1663">
        <v>15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 s="8">
        <v>15</v>
      </c>
      <c r="V1663" s="8">
        <f t="shared" si="25"/>
        <v>2</v>
      </c>
    </row>
    <row r="1664" spans="1:22" x14ac:dyDescent="0.3">
      <c r="A1664" t="s">
        <v>610</v>
      </c>
      <c r="B1664">
        <v>4</v>
      </c>
      <c r="C1664" t="s">
        <v>117</v>
      </c>
      <c r="D1664" t="s">
        <v>90</v>
      </c>
      <c r="E1664" t="s">
        <v>266</v>
      </c>
      <c r="F1664" t="s">
        <v>169</v>
      </c>
      <c r="G1664" t="s">
        <v>92</v>
      </c>
      <c r="H1664">
        <v>15</v>
      </c>
      <c r="I1664">
        <v>12</v>
      </c>
      <c r="J1664">
        <v>125</v>
      </c>
      <c r="K1664" t="s">
        <v>246</v>
      </c>
      <c r="L1664">
        <v>20</v>
      </c>
      <c r="M1664">
        <v>4</v>
      </c>
      <c r="N1664">
        <v>0</v>
      </c>
      <c r="O1664">
        <v>22</v>
      </c>
      <c r="P1664">
        <v>2</v>
      </c>
      <c r="Q1664">
        <v>5.5</v>
      </c>
      <c r="R1664">
        <v>60</v>
      </c>
      <c r="S1664">
        <v>0</v>
      </c>
      <c r="T1664">
        <v>0</v>
      </c>
      <c r="U1664" s="8">
        <v>80</v>
      </c>
      <c r="V1664" s="8">
        <f t="shared" si="25"/>
        <v>8</v>
      </c>
    </row>
    <row r="1665" spans="1:22" x14ac:dyDescent="0.3">
      <c r="A1665" t="s">
        <v>610</v>
      </c>
      <c r="B1665">
        <v>4</v>
      </c>
      <c r="C1665" t="s">
        <v>115</v>
      </c>
      <c r="D1665" t="s">
        <v>17</v>
      </c>
      <c r="E1665" t="s">
        <v>266</v>
      </c>
      <c r="F1665" t="s">
        <v>169</v>
      </c>
      <c r="G1665" t="s">
        <v>134</v>
      </c>
      <c r="H1665">
        <v>18</v>
      </c>
      <c r="I1665">
        <v>21</v>
      </c>
      <c r="J1665">
        <v>85.71</v>
      </c>
      <c r="K1665" t="s">
        <v>246</v>
      </c>
      <c r="L1665">
        <v>15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 s="8">
        <v>15</v>
      </c>
      <c r="V1665" s="8">
        <f t="shared" si="25"/>
        <v>2</v>
      </c>
    </row>
    <row r="1666" spans="1:22" x14ac:dyDescent="0.3">
      <c r="A1666" t="s">
        <v>610</v>
      </c>
      <c r="B1666">
        <v>4</v>
      </c>
      <c r="C1666" t="s">
        <v>517</v>
      </c>
      <c r="D1666" t="s">
        <v>626</v>
      </c>
      <c r="E1666" t="s">
        <v>266</v>
      </c>
      <c r="F1666" t="s">
        <v>169</v>
      </c>
      <c r="G1666" t="s">
        <v>134</v>
      </c>
      <c r="H1666">
        <v>6</v>
      </c>
      <c r="I1666">
        <v>10</v>
      </c>
      <c r="J1666">
        <v>60</v>
      </c>
      <c r="K1666" t="s">
        <v>246</v>
      </c>
      <c r="L1666">
        <v>5</v>
      </c>
      <c r="M1666">
        <v>4</v>
      </c>
      <c r="N1666">
        <v>0</v>
      </c>
      <c r="O1666">
        <v>38</v>
      </c>
      <c r="P1666">
        <v>1</v>
      </c>
      <c r="Q1666">
        <v>9.5</v>
      </c>
      <c r="R1666">
        <v>25</v>
      </c>
      <c r="S1666">
        <v>0</v>
      </c>
      <c r="T1666">
        <v>0</v>
      </c>
      <c r="U1666" s="8">
        <v>30</v>
      </c>
      <c r="V1666" s="8">
        <f t="shared" si="25"/>
        <v>3</v>
      </c>
    </row>
    <row r="1667" spans="1:22" x14ac:dyDescent="0.3">
      <c r="A1667" t="s">
        <v>610</v>
      </c>
      <c r="B1667">
        <v>4</v>
      </c>
      <c r="C1667" t="s">
        <v>119</v>
      </c>
      <c r="D1667" t="s">
        <v>95</v>
      </c>
      <c r="E1667" t="s">
        <v>266</v>
      </c>
      <c r="F1667" t="s">
        <v>169</v>
      </c>
      <c r="G1667" t="s">
        <v>134</v>
      </c>
      <c r="H1667">
        <v>49</v>
      </c>
      <c r="I1667">
        <v>28</v>
      </c>
      <c r="J1667">
        <v>175</v>
      </c>
      <c r="K1667" t="s">
        <v>96</v>
      </c>
      <c r="L1667">
        <v>70</v>
      </c>
      <c r="M1667">
        <v>4</v>
      </c>
      <c r="N1667">
        <v>0</v>
      </c>
      <c r="O1667">
        <v>28</v>
      </c>
      <c r="P1667">
        <v>3</v>
      </c>
      <c r="Q1667">
        <v>7</v>
      </c>
      <c r="R1667">
        <v>75</v>
      </c>
      <c r="S1667">
        <v>0</v>
      </c>
      <c r="T1667">
        <v>0</v>
      </c>
      <c r="U1667" s="8">
        <v>145</v>
      </c>
      <c r="V1667" s="8">
        <f t="shared" ref="V1667:V1730" si="26">MIN(10, MAX(0, ROUND(U1667/10,0)))</f>
        <v>10</v>
      </c>
    </row>
    <row r="1668" spans="1:22" x14ac:dyDescent="0.3">
      <c r="A1668" t="s">
        <v>610</v>
      </c>
      <c r="B1668">
        <v>4</v>
      </c>
      <c r="C1668" t="s">
        <v>121</v>
      </c>
      <c r="D1668" t="s">
        <v>108</v>
      </c>
      <c r="E1668" t="s">
        <v>266</v>
      </c>
      <c r="F1668" t="s">
        <v>169</v>
      </c>
      <c r="G1668" t="s">
        <v>134</v>
      </c>
      <c r="H1668">
        <v>41</v>
      </c>
      <c r="I1668">
        <v>24</v>
      </c>
      <c r="J1668">
        <v>170.83</v>
      </c>
      <c r="K1668" t="s">
        <v>246</v>
      </c>
      <c r="L1668">
        <v>65</v>
      </c>
      <c r="M1668">
        <v>3</v>
      </c>
      <c r="N1668">
        <v>0</v>
      </c>
      <c r="O1668">
        <v>38</v>
      </c>
      <c r="P1668">
        <v>1</v>
      </c>
      <c r="Q1668">
        <v>12.7</v>
      </c>
      <c r="R1668">
        <v>25</v>
      </c>
      <c r="S1668">
        <v>0</v>
      </c>
      <c r="T1668">
        <v>0</v>
      </c>
      <c r="U1668" s="8">
        <v>90</v>
      </c>
      <c r="V1668" s="8">
        <f t="shared" si="26"/>
        <v>9</v>
      </c>
    </row>
    <row r="1669" spans="1:22" x14ac:dyDescent="0.3">
      <c r="A1669" t="s">
        <v>610</v>
      </c>
      <c r="B1669">
        <v>4</v>
      </c>
      <c r="C1669" t="s">
        <v>576</v>
      </c>
      <c r="D1669" t="s">
        <v>648</v>
      </c>
      <c r="E1669" t="s">
        <v>266</v>
      </c>
      <c r="F1669" t="s">
        <v>85</v>
      </c>
      <c r="G1669" t="s">
        <v>134</v>
      </c>
      <c r="H1669">
        <v>9</v>
      </c>
      <c r="I1669">
        <v>6</v>
      </c>
      <c r="J1669">
        <v>150</v>
      </c>
      <c r="K1669" t="s">
        <v>96</v>
      </c>
      <c r="L1669">
        <v>20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 s="8">
        <v>20</v>
      </c>
      <c r="V1669" s="8">
        <f t="shared" si="26"/>
        <v>2</v>
      </c>
    </row>
    <row r="1670" spans="1:22" x14ac:dyDescent="0.3">
      <c r="A1670" t="s">
        <v>610</v>
      </c>
      <c r="B1670">
        <v>4</v>
      </c>
      <c r="C1670" t="s">
        <v>507</v>
      </c>
      <c r="D1670" t="s">
        <v>519</v>
      </c>
      <c r="E1670" t="s">
        <v>266</v>
      </c>
      <c r="F1670" t="s">
        <v>101</v>
      </c>
      <c r="G1670" t="s">
        <v>104</v>
      </c>
      <c r="H1670">
        <v>0</v>
      </c>
      <c r="I1670">
        <v>0</v>
      </c>
      <c r="J1670">
        <v>0</v>
      </c>
      <c r="K1670" t="s">
        <v>104</v>
      </c>
      <c r="L1670">
        <v>0</v>
      </c>
      <c r="M1670">
        <v>2</v>
      </c>
      <c r="N1670">
        <v>0</v>
      </c>
      <c r="O1670">
        <v>16</v>
      </c>
      <c r="P1670">
        <v>0</v>
      </c>
      <c r="Q1670">
        <v>8</v>
      </c>
      <c r="R1670">
        <v>5</v>
      </c>
      <c r="S1670">
        <v>0</v>
      </c>
      <c r="T1670">
        <v>0</v>
      </c>
      <c r="U1670" s="8">
        <v>5</v>
      </c>
      <c r="V1670" s="8">
        <f t="shared" si="26"/>
        <v>1</v>
      </c>
    </row>
    <row r="1671" spans="1:22" x14ac:dyDescent="0.3">
      <c r="A1671" t="s">
        <v>610</v>
      </c>
      <c r="B1671">
        <v>4</v>
      </c>
      <c r="C1671" t="s">
        <v>580</v>
      </c>
      <c r="D1671" t="s">
        <v>661</v>
      </c>
      <c r="E1671" t="s">
        <v>266</v>
      </c>
      <c r="F1671" t="s">
        <v>101</v>
      </c>
      <c r="G1671" t="s">
        <v>104</v>
      </c>
      <c r="H1671">
        <v>0</v>
      </c>
      <c r="I1671">
        <v>0</v>
      </c>
      <c r="J1671">
        <v>0</v>
      </c>
      <c r="K1671" t="s">
        <v>104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 s="8">
        <v>0</v>
      </c>
      <c r="V1671" s="8">
        <f t="shared" si="26"/>
        <v>0</v>
      </c>
    </row>
    <row r="1672" spans="1:22" x14ac:dyDescent="0.3">
      <c r="A1672" t="s">
        <v>610</v>
      </c>
      <c r="B1672">
        <v>4</v>
      </c>
      <c r="C1672" t="s">
        <v>534</v>
      </c>
      <c r="D1672" t="s">
        <v>639</v>
      </c>
      <c r="E1672" t="s">
        <v>266</v>
      </c>
      <c r="F1672" t="s">
        <v>101</v>
      </c>
      <c r="G1672" t="s">
        <v>104</v>
      </c>
      <c r="H1672">
        <v>0</v>
      </c>
      <c r="I1672">
        <v>0</v>
      </c>
      <c r="J1672">
        <v>0</v>
      </c>
      <c r="K1672" t="s">
        <v>104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 s="8">
        <v>0</v>
      </c>
      <c r="V1672" s="8">
        <f t="shared" si="26"/>
        <v>0</v>
      </c>
    </row>
    <row r="1673" spans="1:22" x14ac:dyDescent="0.3">
      <c r="A1673" t="s">
        <v>611</v>
      </c>
      <c r="B1673">
        <v>4</v>
      </c>
      <c r="C1673" t="s">
        <v>188</v>
      </c>
      <c r="D1673" t="s">
        <v>189</v>
      </c>
      <c r="E1673" t="s">
        <v>158</v>
      </c>
      <c r="F1673" t="s">
        <v>109</v>
      </c>
      <c r="G1673" t="s">
        <v>86</v>
      </c>
      <c r="H1673">
        <v>62</v>
      </c>
      <c r="I1673">
        <v>41</v>
      </c>
      <c r="J1673">
        <v>151.22</v>
      </c>
      <c r="K1673" t="s">
        <v>246</v>
      </c>
      <c r="L1673">
        <v>80</v>
      </c>
      <c r="M1673">
        <v>1</v>
      </c>
      <c r="N1673">
        <v>0</v>
      </c>
      <c r="O1673">
        <v>14</v>
      </c>
      <c r="P1673">
        <v>0</v>
      </c>
      <c r="Q1673">
        <v>14</v>
      </c>
      <c r="R1673">
        <v>-10</v>
      </c>
      <c r="S1673">
        <v>0</v>
      </c>
      <c r="T1673">
        <v>0</v>
      </c>
      <c r="U1673" s="8">
        <v>70</v>
      </c>
      <c r="V1673" s="8">
        <f t="shared" si="26"/>
        <v>7</v>
      </c>
    </row>
    <row r="1674" spans="1:22" x14ac:dyDescent="0.3">
      <c r="A1674" t="s">
        <v>611</v>
      </c>
      <c r="B1674">
        <v>4</v>
      </c>
      <c r="C1674" t="s">
        <v>531</v>
      </c>
      <c r="D1674" t="s">
        <v>636</v>
      </c>
      <c r="E1674" t="s">
        <v>158</v>
      </c>
      <c r="F1674" t="s">
        <v>85</v>
      </c>
      <c r="G1674" t="s">
        <v>86</v>
      </c>
      <c r="H1674">
        <v>4</v>
      </c>
      <c r="I1674">
        <v>2</v>
      </c>
      <c r="J1674">
        <v>200</v>
      </c>
      <c r="K1674" t="s">
        <v>245</v>
      </c>
      <c r="L1674">
        <v>15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 s="8">
        <v>15</v>
      </c>
      <c r="V1674" s="8">
        <f t="shared" si="26"/>
        <v>2</v>
      </c>
    </row>
    <row r="1675" spans="1:22" x14ac:dyDescent="0.3">
      <c r="A1675" t="s">
        <v>611</v>
      </c>
      <c r="B1675">
        <v>4</v>
      </c>
      <c r="C1675" t="s">
        <v>278</v>
      </c>
      <c r="D1675" t="s">
        <v>293</v>
      </c>
      <c r="E1675" t="s">
        <v>158</v>
      </c>
      <c r="F1675" t="s">
        <v>109</v>
      </c>
      <c r="G1675" t="s">
        <v>92</v>
      </c>
      <c r="H1675">
        <v>0</v>
      </c>
      <c r="I1675">
        <v>2</v>
      </c>
      <c r="J1675">
        <v>0</v>
      </c>
      <c r="K1675" t="s">
        <v>245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 s="8">
        <v>0</v>
      </c>
      <c r="V1675" s="8">
        <f t="shared" si="26"/>
        <v>0</v>
      </c>
    </row>
    <row r="1676" spans="1:22" x14ac:dyDescent="0.3">
      <c r="A1676" t="s">
        <v>611</v>
      </c>
      <c r="B1676">
        <v>4</v>
      </c>
      <c r="C1676" t="s">
        <v>194</v>
      </c>
      <c r="D1676" t="s">
        <v>195</v>
      </c>
      <c r="E1676" t="s">
        <v>158</v>
      </c>
      <c r="F1676" t="s">
        <v>109</v>
      </c>
      <c r="G1676" t="s">
        <v>92</v>
      </c>
      <c r="H1676">
        <v>4</v>
      </c>
      <c r="I1676">
        <v>3</v>
      </c>
      <c r="J1676">
        <v>133.33000000000001</v>
      </c>
      <c r="K1676" t="s">
        <v>245</v>
      </c>
      <c r="L1676">
        <v>5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 s="8">
        <v>5</v>
      </c>
      <c r="V1676" s="8">
        <f t="shared" si="26"/>
        <v>1</v>
      </c>
    </row>
    <row r="1677" spans="1:22" x14ac:dyDescent="0.3">
      <c r="A1677" t="s">
        <v>611</v>
      </c>
      <c r="B1677">
        <v>4</v>
      </c>
      <c r="C1677" t="s">
        <v>192</v>
      </c>
      <c r="D1677" t="s">
        <v>193</v>
      </c>
      <c r="E1677" t="s">
        <v>158</v>
      </c>
      <c r="F1677" t="s">
        <v>169</v>
      </c>
      <c r="G1677" t="s">
        <v>134</v>
      </c>
      <c r="H1677">
        <v>0</v>
      </c>
      <c r="I1677">
        <v>1</v>
      </c>
      <c r="J1677">
        <v>0</v>
      </c>
      <c r="K1677" t="s">
        <v>245</v>
      </c>
      <c r="L1677">
        <v>0</v>
      </c>
      <c r="M1677">
        <v>4</v>
      </c>
      <c r="N1677">
        <v>0</v>
      </c>
      <c r="O1677">
        <v>21</v>
      </c>
      <c r="P1677">
        <v>1</v>
      </c>
      <c r="Q1677">
        <v>5.2</v>
      </c>
      <c r="R1677">
        <v>35</v>
      </c>
      <c r="S1677">
        <v>0</v>
      </c>
      <c r="T1677">
        <v>0</v>
      </c>
      <c r="U1677" s="8">
        <v>35</v>
      </c>
      <c r="V1677" s="8">
        <f t="shared" si="26"/>
        <v>4</v>
      </c>
    </row>
    <row r="1678" spans="1:22" x14ac:dyDescent="0.3">
      <c r="A1678" t="s">
        <v>611</v>
      </c>
      <c r="B1678">
        <v>4</v>
      </c>
      <c r="C1678" t="s">
        <v>495</v>
      </c>
      <c r="D1678" t="s">
        <v>503</v>
      </c>
      <c r="E1678" t="s">
        <v>158</v>
      </c>
      <c r="F1678" t="s">
        <v>169</v>
      </c>
      <c r="G1678" t="s">
        <v>134</v>
      </c>
      <c r="H1678">
        <v>12</v>
      </c>
      <c r="I1678">
        <v>14</v>
      </c>
      <c r="J1678">
        <v>85.71</v>
      </c>
      <c r="K1678" t="s">
        <v>247</v>
      </c>
      <c r="L1678">
        <v>10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 s="8">
        <v>10</v>
      </c>
      <c r="V1678" s="8">
        <f t="shared" si="26"/>
        <v>1</v>
      </c>
    </row>
    <row r="1679" spans="1:22" x14ac:dyDescent="0.3">
      <c r="A1679" t="s">
        <v>611</v>
      </c>
      <c r="B1679">
        <v>4</v>
      </c>
      <c r="C1679" t="s">
        <v>274</v>
      </c>
      <c r="D1679" t="s">
        <v>284</v>
      </c>
      <c r="E1679" t="s">
        <v>158</v>
      </c>
      <c r="F1679" t="s">
        <v>169</v>
      </c>
      <c r="G1679" t="s">
        <v>134</v>
      </c>
      <c r="H1679">
        <v>5</v>
      </c>
      <c r="I1679">
        <v>4</v>
      </c>
      <c r="J1679">
        <v>125</v>
      </c>
      <c r="K1679" t="s">
        <v>246</v>
      </c>
      <c r="L1679">
        <v>5</v>
      </c>
      <c r="M1679">
        <v>2</v>
      </c>
      <c r="N1679">
        <v>0</v>
      </c>
      <c r="O1679">
        <v>20</v>
      </c>
      <c r="P1679">
        <v>0</v>
      </c>
      <c r="Q1679">
        <v>10</v>
      </c>
      <c r="R1679">
        <v>-5</v>
      </c>
      <c r="S1679">
        <v>0</v>
      </c>
      <c r="T1679">
        <v>0</v>
      </c>
      <c r="U1679" s="8">
        <v>0</v>
      </c>
      <c r="V1679" s="8">
        <f t="shared" si="26"/>
        <v>0</v>
      </c>
    </row>
    <row r="1680" spans="1:22" x14ac:dyDescent="0.3">
      <c r="A1680" t="s">
        <v>611</v>
      </c>
      <c r="B1680">
        <v>4</v>
      </c>
      <c r="C1680" t="s">
        <v>102</v>
      </c>
      <c r="D1680" t="s">
        <v>126</v>
      </c>
      <c r="E1680" t="s">
        <v>158</v>
      </c>
      <c r="F1680" t="s">
        <v>169</v>
      </c>
      <c r="G1680" t="s">
        <v>134</v>
      </c>
      <c r="H1680">
        <v>22</v>
      </c>
      <c r="I1680">
        <v>22</v>
      </c>
      <c r="J1680">
        <v>100</v>
      </c>
      <c r="K1680" t="s">
        <v>245</v>
      </c>
      <c r="L1680">
        <v>25</v>
      </c>
      <c r="M1680">
        <v>1</v>
      </c>
      <c r="N1680">
        <v>0</v>
      </c>
      <c r="O1680">
        <v>13</v>
      </c>
      <c r="P1680">
        <v>0</v>
      </c>
      <c r="Q1680">
        <v>13</v>
      </c>
      <c r="R1680">
        <v>-10</v>
      </c>
      <c r="S1680">
        <v>0</v>
      </c>
      <c r="T1680">
        <v>0</v>
      </c>
      <c r="U1680" s="8">
        <v>15</v>
      </c>
      <c r="V1680" s="8">
        <f t="shared" si="26"/>
        <v>2</v>
      </c>
    </row>
    <row r="1681" spans="1:22" x14ac:dyDescent="0.3">
      <c r="A1681" t="s">
        <v>611</v>
      </c>
      <c r="B1681">
        <v>4</v>
      </c>
      <c r="C1681" t="s">
        <v>581</v>
      </c>
      <c r="D1681" t="s">
        <v>664</v>
      </c>
      <c r="E1681" t="s">
        <v>158</v>
      </c>
      <c r="F1681" t="s">
        <v>169</v>
      </c>
      <c r="G1681" t="s">
        <v>134</v>
      </c>
      <c r="H1681">
        <v>36</v>
      </c>
      <c r="I1681">
        <v>19</v>
      </c>
      <c r="J1681">
        <v>189.47</v>
      </c>
      <c r="K1681" t="s">
        <v>246</v>
      </c>
      <c r="L1681">
        <v>55</v>
      </c>
      <c r="M1681">
        <v>3.2</v>
      </c>
      <c r="N1681">
        <v>0</v>
      </c>
      <c r="O1681">
        <v>37</v>
      </c>
      <c r="P1681">
        <v>0</v>
      </c>
      <c r="Q1681">
        <v>11.1</v>
      </c>
      <c r="R1681">
        <v>-10</v>
      </c>
      <c r="S1681">
        <v>0</v>
      </c>
      <c r="T1681">
        <v>0</v>
      </c>
      <c r="U1681" s="8">
        <v>45</v>
      </c>
      <c r="V1681" s="8">
        <f t="shared" si="26"/>
        <v>5</v>
      </c>
    </row>
    <row r="1682" spans="1:22" x14ac:dyDescent="0.3">
      <c r="A1682" t="s">
        <v>611</v>
      </c>
      <c r="B1682">
        <v>4</v>
      </c>
      <c r="C1682" t="s">
        <v>532</v>
      </c>
      <c r="D1682" t="s">
        <v>637</v>
      </c>
      <c r="E1682" t="s">
        <v>158</v>
      </c>
      <c r="F1682" t="s">
        <v>101</v>
      </c>
      <c r="G1682" t="s">
        <v>134</v>
      </c>
      <c r="H1682">
        <v>11</v>
      </c>
      <c r="I1682">
        <v>11</v>
      </c>
      <c r="J1682">
        <v>100</v>
      </c>
      <c r="K1682" t="s">
        <v>96</v>
      </c>
      <c r="L1682">
        <v>11</v>
      </c>
      <c r="M1682">
        <v>3</v>
      </c>
      <c r="N1682">
        <v>0</v>
      </c>
      <c r="O1682">
        <v>26</v>
      </c>
      <c r="P1682">
        <v>0</v>
      </c>
      <c r="Q1682">
        <v>8.6999999999999993</v>
      </c>
      <c r="R1682">
        <v>5</v>
      </c>
      <c r="S1682">
        <v>0</v>
      </c>
      <c r="T1682">
        <v>0</v>
      </c>
      <c r="U1682" s="8">
        <v>16</v>
      </c>
      <c r="V1682" s="8">
        <f t="shared" si="26"/>
        <v>2</v>
      </c>
    </row>
    <row r="1683" spans="1:22" x14ac:dyDescent="0.3">
      <c r="A1683" t="s">
        <v>611</v>
      </c>
      <c r="B1683">
        <v>4</v>
      </c>
      <c r="C1683" t="s">
        <v>533</v>
      </c>
      <c r="D1683" t="s">
        <v>638</v>
      </c>
      <c r="E1683" t="s">
        <v>158</v>
      </c>
      <c r="F1683" t="s">
        <v>101</v>
      </c>
      <c r="G1683" t="s">
        <v>134</v>
      </c>
      <c r="H1683">
        <v>1</v>
      </c>
      <c r="I1683">
        <v>1</v>
      </c>
      <c r="J1683">
        <v>100</v>
      </c>
      <c r="K1683" t="s">
        <v>256</v>
      </c>
      <c r="L1683">
        <v>1</v>
      </c>
      <c r="M1683">
        <v>4</v>
      </c>
      <c r="N1683">
        <v>0</v>
      </c>
      <c r="O1683">
        <v>34</v>
      </c>
      <c r="P1683">
        <v>1</v>
      </c>
      <c r="Q1683">
        <v>8.5</v>
      </c>
      <c r="R1683">
        <v>25</v>
      </c>
      <c r="S1683">
        <v>0</v>
      </c>
      <c r="T1683">
        <v>0</v>
      </c>
      <c r="U1683" s="8">
        <v>26</v>
      </c>
      <c r="V1683" s="8">
        <f t="shared" si="26"/>
        <v>3</v>
      </c>
    </row>
    <row r="1684" spans="1:22" x14ac:dyDescent="0.3">
      <c r="A1684" t="s">
        <v>611</v>
      </c>
      <c r="B1684">
        <v>4</v>
      </c>
      <c r="C1684" t="s">
        <v>226</v>
      </c>
      <c r="D1684" t="s">
        <v>211</v>
      </c>
      <c r="E1684" t="s">
        <v>159</v>
      </c>
      <c r="F1684" t="s">
        <v>169</v>
      </c>
      <c r="G1684" t="s">
        <v>86</v>
      </c>
      <c r="H1684">
        <v>1</v>
      </c>
      <c r="I1684">
        <v>4</v>
      </c>
      <c r="J1684">
        <v>25</v>
      </c>
      <c r="K1684" t="s">
        <v>246</v>
      </c>
      <c r="L1684">
        <v>1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 s="8">
        <v>1</v>
      </c>
      <c r="V1684" s="8">
        <f t="shared" si="26"/>
        <v>0</v>
      </c>
    </row>
    <row r="1685" spans="1:22" x14ac:dyDescent="0.3">
      <c r="A1685" t="s">
        <v>611</v>
      </c>
      <c r="B1685">
        <v>4</v>
      </c>
      <c r="C1685" t="s">
        <v>165</v>
      </c>
      <c r="D1685" t="s">
        <v>166</v>
      </c>
      <c r="E1685" t="s">
        <v>159</v>
      </c>
      <c r="F1685" t="s">
        <v>109</v>
      </c>
      <c r="G1685" t="s">
        <v>86</v>
      </c>
      <c r="H1685">
        <v>96</v>
      </c>
      <c r="I1685">
        <v>61</v>
      </c>
      <c r="J1685">
        <v>157.38</v>
      </c>
      <c r="K1685" t="s">
        <v>96</v>
      </c>
      <c r="L1685">
        <v>120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 s="8">
        <v>120</v>
      </c>
      <c r="V1685" s="8">
        <f t="shared" si="26"/>
        <v>10</v>
      </c>
    </row>
    <row r="1686" spans="1:22" x14ac:dyDescent="0.3">
      <c r="A1686" t="s">
        <v>611</v>
      </c>
      <c r="B1686">
        <v>4</v>
      </c>
      <c r="C1686" t="s">
        <v>514</v>
      </c>
      <c r="D1686" t="s">
        <v>567</v>
      </c>
      <c r="E1686" t="s">
        <v>159</v>
      </c>
      <c r="F1686" t="s">
        <v>109</v>
      </c>
      <c r="G1686" t="s">
        <v>92</v>
      </c>
      <c r="H1686">
        <v>54</v>
      </c>
      <c r="I1686">
        <v>42</v>
      </c>
      <c r="J1686">
        <v>128.57</v>
      </c>
      <c r="K1686" t="s">
        <v>96</v>
      </c>
      <c r="L1686">
        <v>65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 s="8">
        <v>65</v>
      </c>
      <c r="V1686" s="8">
        <f t="shared" si="26"/>
        <v>7</v>
      </c>
    </row>
    <row r="1687" spans="1:22" x14ac:dyDescent="0.3">
      <c r="A1687" t="s">
        <v>611</v>
      </c>
      <c r="B1687">
        <v>4</v>
      </c>
      <c r="C1687" t="s">
        <v>176</v>
      </c>
      <c r="D1687" t="s">
        <v>177</v>
      </c>
      <c r="E1687" t="s">
        <v>159</v>
      </c>
      <c r="F1687" t="s">
        <v>85</v>
      </c>
      <c r="G1687" t="s">
        <v>134</v>
      </c>
      <c r="H1687">
        <v>7</v>
      </c>
      <c r="I1687">
        <v>4</v>
      </c>
      <c r="J1687">
        <v>175</v>
      </c>
      <c r="K1687" t="s">
        <v>96</v>
      </c>
      <c r="L1687">
        <v>15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 s="8">
        <v>15</v>
      </c>
      <c r="V1687" s="8">
        <f t="shared" si="26"/>
        <v>2</v>
      </c>
    </row>
    <row r="1688" spans="1:22" x14ac:dyDescent="0.3">
      <c r="A1688" t="s">
        <v>611</v>
      </c>
      <c r="B1688">
        <v>4</v>
      </c>
      <c r="C1688" t="s">
        <v>535</v>
      </c>
      <c r="D1688" t="s">
        <v>645</v>
      </c>
      <c r="E1688" t="s">
        <v>159</v>
      </c>
      <c r="F1688" t="s">
        <v>169</v>
      </c>
      <c r="G1688" t="s">
        <v>104</v>
      </c>
      <c r="H1688">
        <v>0</v>
      </c>
      <c r="I1688">
        <v>0</v>
      </c>
      <c r="J1688">
        <v>0</v>
      </c>
      <c r="K1688" t="s">
        <v>104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 s="8">
        <v>0</v>
      </c>
      <c r="V1688" s="8">
        <f t="shared" si="26"/>
        <v>0</v>
      </c>
    </row>
    <row r="1689" spans="1:22" x14ac:dyDescent="0.3">
      <c r="A1689" t="s">
        <v>611</v>
      </c>
      <c r="B1689">
        <v>4</v>
      </c>
      <c r="C1689" t="s">
        <v>449</v>
      </c>
      <c r="D1689" t="s">
        <v>410</v>
      </c>
      <c r="E1689" t="s">
        <v>159</v>
      </c>
      <c r="F1689" t="s">
        <v>169</v>
      </c>
      <c r="G1689" t="s">
        <v>104</v>
      </c>
      <c r="H1689">
        <v>0</v>
      </c>
      <c r="I1689">
        <v>0</v>
      </c>
      <c r="J1689">
        <v>0</v>
      </c>
      <c r="K1689" t="s">
        <v>104</v>
      </c>
      <c r="L1689">
        <v>0</v>
      </c>
      <c r="M1689">
        <v>4</v>
      </c>
      <c r="N1689">
        <v>0</v>
      </c>
      <c r="O1689">
        <v>31</v>
      </c>
      <c r="P1689">
        <v>1</v>
      </c>
      <c r="Q1689">
        <v>7.8</v>
      </c>
      <c r="R1689">
        <v>25</v>
      </c>
      <c r="S1689">
        <v>0</v>
      </c>
      <c r="T1689">
        <v>0</v>
      </c>
      <c r="U1689" s="8">
        <v>25</v>
      </c>
      <c r="V1689" s="8">
        <f t="shared" si="26"/>
        <v>3</v>
      </c>
    </row>
    <row r="1690" spans="1:22" x14ac:dyDescent="0.3">
      <c r="A1690" t="s">
        <v>611</v>
      </c>
      <c r="B1690">
        <v>4</v>
      </c>
      <c r="C1690" t="s">
        <v>206</v>
      </c>
      <c r="D1690" t="s">
        <v>207</v>
      </c>
      <c r="E1690" t="s">
        <v>159</v>
      </c>
      <c r="F1690" t="s">
        <v>169</v>
      </c>
      <c r="G1690" t="s">
        <v>104</v>
      </c>
      <c r="H1690">
        <v>0</v>
      </c>
      <c r="I1690">
        <v>0</v>
      </c>
      <c r="J1690">
        <v>0</v>
      </c>
      <c r="K1690" t="s">
        <v>104</v>
      </c>
      <c r="L1690">
        <v>0</v>
      </c>
      <c r="M1690">
        <v>3</v>
      </c>
      <c r="N1690">
        <v>0</v>
      </c>
      <c r="O1690">
        <v>21</v>
      </c>
      <c r="P1690">
        <v>0</v>
      </c>
      <c r="Q1690">
        <v>7</v>
      </c>
      <c r="R1690">
        <v>5</v>
      </c>
      <c r="S1690">
        <v>0</v>
      </c>
      <c r="T1690">
        <v>0</v>
      </c>
      <c r="U1690" s="8">
        <v>5</v>
      </c>
      <c r="V1690" s="8">
        <f t="shared" si="26"/>
        <v>1</v>
      </c>
    </row>
    <row r="1691" spans="1:22" x14ac:dyDescent="0.3">
      <c r="A1691" t="s">
        <v>611</v>
      </c>
      <c r="B1691">
        <v>4</v>
      </c>
      <c r="C1691" t="s">
        <v>491</v>
      </c>
      <c r="D1691" t="s">
        <v>498</v>
      </c>
      <c r="E1691" t="s">
        <v>159</v>
      </c>
      <c r="F1691" t="s">
        <v>101</v>
      </c>
      <c r="G1691" t="s">
        <v>104</v>
      </c>
      <c r="H1691">
        <v>0</v>
      </c>
      <c r="I1691">
        <v>0</v>
      </c>
      <c r="J1691">
        <v>0</v>
      </c>
      <c r="K1691" t="s">
        <v>104</v>
      </c>
      <c r="L1691">
        <v>0</v>
      </c>
      <c r="M1691">
        <v>3</v>
      </c>
      <c r="N1691">
        <v>0</v>
      </c>
      <c r="O1691">
        <v>16</v>
      </c>
      <c r="P1691">
        <v>2</v>
      </c>
      <c r="Q1691">
        <v>5.3</v>
      </c>
      <c r="R1691">
        <v>60</v>
      </c>
      <c r="S1691">
        <v>0</v>
      </c>
      <c r="T1691">
        <v>0</v>
      </c>
      <c r="U1691" s="8">
        <v>60</v>
      </c>
      <c r="V1691" s="8">
        <f t="shared" si="26"/>
        <v>6</v>
      </c>
    </row>
    <row r="1692" spans="1:22" x14ac:dyDescent="0.3">
      <c r="A1692" t="s">
        <v>611</v>
      </c>
      <c r="B1692">
        <v>4</v>
      </c>
      <c r="C1692" t="s">
        <v>259</v>
      </c>
      <c r="D1692" t="s">
        <v>257</v>
      </c>
      <c r="E1692" t="s">
        <v>159</v>
      </c>
      <c r="F1692" t="s">
        <v>169</v>
      </c>
      <c r="G1692" t="s">
        <v>104</v>
      </c>
      <c r="H1692">
        <v>0</v>
      </c>
      <c r="I1692">
        <v>0</v>
      </c>
      <c r="J1692">
        <v>0</v>
      </c>
      <c r="K1692" t="s">
        <v>104</v>
      </c>
      <c r="L1692">
        <v>0</v>
      </c>
      <c r="M1692">
        <v>3</v>
      </c>
      <c r="N1692">
        <v>0</v>
      </c>
      <c r="O1692">
        <v>44</v>
      </c>
      <c r="P1692">
        <v>0</v>
      </c>
      <c r="Q1692">
        <v>14.7</v>
      </c>
      <c r="R1692">
        <v>-10</v>
      </c>
      <c r="S1692">
        <v>0</v>
      </c>
      <c r="T1692">
        <v>0</v>
      </c>
      <c r="U1692" s="8">
        <v>-10</v>
      </c>
      <c r="V1692" s="8">
        <f t="shared" si="26"/>
        <v>0</v>
      </c>
    </row>
    <row r="1693" spans="1:22" x14ac:dyDescent="0.3">
      <c r="A1693" t="s">
        <v>611</v>
      </c>
      <c r="B1693">
        <v>4</v>
      </c>
      <c r="C1693" t="s">
        <v>415</v>
      </c>
      <c r="D1693" t="s">
        <v>425</v>
      </c>
      <c r="E1693" t="s">
        <v>159</v>
      </c>
      <c r="F1693" t="s">
        <v>169</v>
      </c>
      <c r="G1693" t="s">
        <v>104</v>
      </c>
      <c r="H1693">
        <v>0</v>
      </c>
      <c r="I1693">
        <v>0</v>
      </c>
      <c r="J1693">
        <v>0</v>
      </c>
      <c r="K1693" t="s">
        <v>104</v>
      </c>
      <c r="L1693">
        <v>0</v>
      </c>
      <c r="M1693">
        <v>3</v>
      </c>
      <c r="N1693">
        <v>0</v>
      </c>
      <c r="O1693">
        <v>27</v>
      </c>
      <c r="P1693">
        <v>3</v>
      </c>
      <c r="Q1693">
        <v>9</v>
      </c>
      <c r="R1693">
        <v>75</v>
      </c>
      <c r="S1693">
        <v>0</v>
      </c>
      <c r="T1693">
        <v>0</v>
      </c>
      <c r="U1693" s="8">
        <v>75</v>
      </c>
      <c r="V1693" s="8">
        <f t="shared" si="26"/>
        <v>8</v>
      </c>
    </row>
    <row r="1694" spans="1:22" x14ac:dyDescent="0.3">
      <c r="A1694" t="s">
        <v>611</v>
      </c>
      <c r="B1694">
        <v>4</v>
      </c>
      <c r="C1694" t="s">
        <v>527</v>
      </c>
      <c r="D1694" t="s">
        <v>627</v>
      </c>
      <c r="E1694" t="s">
        <v>159</v>
      </c>
      <c r="F1694" t="s">
        <v>101</v>
      </c>
      <c r="G1694" t="s">
        <v>104</v>
      </c>
      <c r="H1694">
        <v>0</v>
      </c>
      <c r="I1694">
        <v>0</v>
      </c>
      <c r="J1694">
        <v>0</v>
      </c>
      <c r="K1694" t="s">
        <v>104</v>
      </c>
      <c r="L1694">
        <v>0</v>
      </c>
      <c r="M1694">
        <v>4</v>
      </c>
      <c r="N1694">
        <v>0</v>
      </c>
      <c r="O1694">
        <v>26</v>
      </c>
      <c r="P1694">
        <v>3</v>
      </c>
      <c r="Q1694">
        <v>6.5</v>
      </c>
      <c r="R1694">
        <v>75</v>
      </c>
      <c r="S1694">
        <v>0</v>
      </c>
      <c r="T1694">
        <v>0</v>
      </c>
      <c r="U1694" s="8">
        <v>75</v>
      </c>
      <c r="V1694" s="8">
        <f t="shared" si="26"/>
        <v>8</v>
      </c>
    </row>
    <row r="1695" spans="1:22" x14ac:dyDescent="0.3">
      <c r="A1695" t="s">
        <v>612</v>
      </c>
      <c r="B1695">
        <v>4</v>
      </c>
      <c r="C1695" t="s">
        <v>226</v>
      </c>
      <c r="D1695" t="s">
        <v>211</v>
      </c>
      <c r="E1695" t="s">
        <v>159</v>
      </c>
      <c r="F1695" t="s">
        <v>169</v>
      </c>
      <c r="G1695" t="s">
        <v>86</v>
      </c>
      <c r="H1695">
        <v>1</v>
      </c>
      <c r="I1695">
        <v>3</v>
      </c>
      <c r="J1695">
        <v>33.33</v>
      </c>
      <c r="K1695" t="s">
        <v>246</v>
      </c>
      <c r="L1695">
        <v>1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 s="8">
        <v>1</v>
      </c>
      <c r="V1695" s="8">
        <f t="shared" si="26"/>
        <v>0</v>
      </c>
    </row>
    <row r="1696" spans="1:22" x14ac:dyDescent="0.3">
      <c r="A1696" t="s">
        <v>612</v>
      </c>
      <c r="B1696">
        <v>4</v>
      </c>
      <c r="C1696" t="s">
        <v>165</v>
      </c>
      <c r="D1696" t="s">
        <v>166</v>
      </c>
      <c r="E1696" t="s">
        <v>159</v>
      </c>
      <c r="F1696" t="s">
        <v>109</v>
      </c>
      <c r="G1696" t="s">
        <v>86</v>
      </c>
      <c r="H1696">
        <v>26</v>
      </c>
      <c r="I1696">
        <v>23</v>
      </c>
      <c r="J1696">
        <v>113.04</v>
      </c>
      <c r="K1696" t="s">
        <v>247</v>
      </c>
      <c r="L1696">
        <v>25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 s="8">
        <v>25</v>
      </c>
      <c r="V1696" s="8">
        <f t="shared" si="26"/>
        <v>3</v>
      </c>
    </row>
    <row r="1697" spans="1:22" x14ac:dyDescent="0.3">
      <c r="A1697" t="s">
        <v>612</v>
      </c>
      <c r="B1697">
        <v>4</v>
      </c>
      <c r="C1697" t="s">
        <v>514</v>
      </c>
      <c r="D1697" t="s">
        <v>567</v>
      </c>
      <c r="E1697" t="s">
        <v>159</v>
      </c>
      <c r="F1697" t="s">
        <v>109</v>
      </c>
      <c r="G1697" t="s">
        <v>92</v>
      </c>
      <c r="H1697">
        <v>1</v>
      </c>
      <c r="I1697">
        <v>3</v>
      </c>
      <c r="J1697">
        <v>33.33</v>
      </c>
      <c r="K1697" t="s">
        <v>245</v>
      </c>
      <c r="L1697">
        <v>1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 s="8">
        <v>1</v>
      </c>
      <c r="V1697" s="8">
        <f t="shared" si="26"/>
        <v>0</v>
      </c>
    </row>
    <row r="1698" spans="1:22" x14ac:dyDescent="0.3">
      <c r="A1698" t="s">
        <v>612</v>
      </c>
      <c r="B1698">
        <v>4</v>
      </c>
      <c r="C1698" t="s">
        <v>535</v>
      </c>
      <c r="D1698" t="s">
        <v>645</v>
      </c>
      <c r="E1698" t="s">
        <v>159</v>
      </c>
      <c r="F1698" t="s">
        <v>169</v>
      </c>
      <c r="G1698" t="s">
        <v>92</v>
      </c>
      <c r="H1698">
        <v>73</v>
      </c>
      <c r="I1698">
        <v>55</v>
      </c>
      <c r="J1698">
        <v>132.72999999999999</v>
      </c>
      <c r="K1698" t="s">
        <v>245</v>
      </c>
      <c r="L1698">
        <v>90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 s="8">
        <v>90</v>
      </c>
      <c r="V1698" s="8">
        <f t="shared" si="26"/>
        <v>9</v>
      </c>
    </row>
    <row r="1699" spans="1:22" x14ac:dyDescent="0.3">
      <c r="A1699" t="s">
        <v>612</v>
      </c>
      <c r="B1699">
        <v>4</v>
      </c>
      <c r="C1699" t="s">
        <v>176</v>
      </c>
      <c r="D1699" t="s">
        <v>177</v>
      </c>
      <c r="E1699" t="s">
        <v>159</v>
      </c>
      <c r="F1699" t="s">
        <v>85</v>
      </c>
      <c r="G1699" t="s">
        <v>134</v>
      </c>
      <c r="H1699">
        <v>27</v>
      </c>
      <c r="I1699">
        <v>20</v>
      </c>
      <c r="J1699">
        <v>135</v>
      </c>
      <c r="K1699" t="s">
        <v>246</v>
      </c>
      <c r="L1699">
        <v>35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 s="8">
        <v>35</v>
      </c>
      <c r="V1699" s="8">
        <f t="shared" si="26"/>
        <v>4</v>
      </c>
    </row>
    <row r="1700" spans="1:22" x14ac:dyDescent="0.3">
      <c r="A1700" t="s">
        <v>612</v>
      </c>
      <c r="B1700">
        <v>4</v>
      </c>
      <c r="C1700" t="s">
        <v>449</v>
      </c>
      <c r="D1700" t="s">
        <v>410</v>
      </c>
      <c r="E1700" t="s">
        <v>159</v>
      </c>
      <c r="F1700" t="s">
        <v>169</v>
      </c>
      <c r="G1700" t="s">
        <v>134</v>
      </c>
      <c r="H1700">
        <v>4</v>
      </c>
      <c r="I1700">
        <v>6</v>
      </c>
      <c r="J1700">
        <v>66.67</v>
      </c>
      <c r="K1700" t="s">
        <v>96</v>
      </c>
      <c r="L1700">
        <v>4</v>
      </c>
      <c r="M1700">
        <v>4</v>
      </c>
      <c r="N1700">
        <v>0</v>
      </c>
      <c r="O1700">
        <v>17</v>
      </c>
      <c r="P1700">
        <v>2</v>
      </c>
      <c r="Q1700">
        <v>4.2</v>
      </c>
      <c r="R1700">
        <v>60</v>
      </c>
      <c r="S1700">
        <v>0</v>
      </c>
      <c r="T1700">
        <v>0</v>
      </c>
      <c r="U1700" s="8">
        <v>64</v>
      </c>
      <c r="V1700" s="8">
        <f t="shared" si="26"/>
        <v>6</v>
      </c>
    </row>
    <row r="1701" spans="1:22" x14ac:dyDescent="0.3">
      <c r="A1701" t="s">
        <v>612</v>
      </c>
      <c r="B1701">
        <v>4</v>
      </c>
      <c r="C1701" t="s">
        <v>206</v>
      </c>
      <c r="D1701" t="s">
        <v>207</v>
      </c>
      <c r="E1701" t="s">
        <v>159</v>
      </c>
      <c r="F1701" t="s">
        <v>169</v>
      </c>
      <c r="G1701" t="s">
        <v>134</v>
      </c>
      <c r="H1701">
        <v>17</v>
      </c>
      <c r="I1701">
        <v>8</v>
      </c>
      <c r="J1701">
        <v>212.5</v>
      </c>
      <c r="K1701" t="s">
        <v>246</v>
      </c>
      <c r="L1701">
        <v>35</v>
      </c>
      <c r="M1701">
        <v>4</v>
      </c>
      <c r="N1701">
        <v>0</v>
      </c>
      <c r="O1701">
        <v>34</v>
      </c>
      <c r="P1701">
        <v>1</v>
      </c>
      <c r="Q1701">
        <v>8.5</v>
      </c>
      <c r="R1701">
        <v>25</v>
      </c>
      <c r="S1701">
        <v>0</v>
      </c>
      <c r="T1701">
        <v>0</v>
      </c>
      <c r="U1701" s="8">
        <v>60</v>
      </c>
      <c r="V1701" s="8">
        <f t="shared" si="26"/>
        <v>6</v>
      </c>
    </row>
    <row r="1702" spans="1:22" x14ac:dyDescent="0.3">
      <c r="A1702" t="s">
        <v>612</v>
      </c>
      <c r="B1702">
        <v>4</v>
      </c>
      <c r="C1702" t="s">
        <v>259</v>
      </c>
      <c r="D1702" t="s">
        <v>257</v>
      </c>
      <c r="E1702" t="s">
        <v>159</v>
      </c>
      <c r="F1702" t="s">
        <v>169</v>
      </c>
      <c r="G1702" t="s">
        <v>134</v>
      </c>
      <c r="H1702">
        <v>8</v>
      </c>
      <c r="I1702">
        <v>2</v>
      </c>
      <c r="J1702">
        <v>400</v>
      </c>
      <c r="K1702" t="s">
        <v>96</v>
      </c>
      <c r="L1702">
        <v>20</v>
      </c>
      <c r="M1702">
        <v>4</v>
      </c>
      <c r="N1702">
        <v>0</v>
      </c>
      <c r="O1702">
        <v>19</v>
      </c>
      <c r="P1702">
        <v>1</v>
      </c>
      <c r="Q1702">
        <v>4.8</v>
      </c>
      <c r="R1702">
        <v>60</v>
      </c>
      <c r="S1702">
        <v>0</v>
      </c>
      <c r="T1702">
        <v>0</v>
      </c>
      <c r="U1702" s="8">
        <v>80</v>
      </c>
      <c r="V1702" s="8">
        <f t="shared" si="26"/>
        <v>8</v>
      </c>
    </row>
    <row r="1703" spans="1:22" x14ac:dyDescent="0.3">
      <c r="A1703" t="s">
        <v>612</v>
      </c>
      <c r="B1703">
        <v>4</v>
      </c>
      <c r="C1703" t="s">
        <v>491</v>
      </c>
      <c r="D1703" t="s">
        <v>498</v>
      </c>
      <c r="E1703" t="s">
        <v>159</v>
      </c>
      <c r="F1703" t="s">
        <v>101</v>
      </c>
      <c r="G1703" t="s">
        <v>104</v>
      </c>
      <c r="H1703">
        <v>0</v>
      </c>
      <c r="I1703">
        <v>0</v>
      </c>
      <c r="J1703">
        <v>0</v>
      </c>
      <c r="K1703" t="s">
        <v>104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 s="8">
        <v>0</v>
      </c>
      <c r="V1703" s="8">
        <f t="shared" si="26"/>
        <v>0</v>
      </c>
    </row>
    <row r="1704" spans="1:22" x14ac:dyDescent="0.3">
      <c r="A1704" t="s">
        <v>612</v>
      </c>
      <c r="B1704">
        <v>4</v>
      </c>
      <c r="C1704" t="s">
        <v>415</v>
      </c>
      <c r="D1704" t="s">
        <v>425</v>
      </c>
      <c r="E1704" t="s">
        <v>159</v>
      </c>
      <c r="F1704" t="s">
        <v>169</v>
      </c>
      <c r="G1704" t="s">
        <v>104</v>
      </c>
      <c r="H1704">
        <v>0</v>
      </c>
      <c r="I1704">
        <v>0</v>
      </c>
      <c r="J1704">
        <v>0</v>
      </c>
      <c r="K1704" t="s">
        <v>104</v>
      </c>
      <c r="L1704">
        <v>0</v>
      </c>
      <c r="M1704">
        <v>4</v>
      </c>
      <c r="N1704">
        <v>0</v>
      </c>
      <c r="O1704">
        <v>21</v>
      </c>
      <c r="P1704">
        <v>3</v>
      </c>
      <c r="Q1704">
        <v>5.2</v>
      </c>
      <c r="R1704">
        <v>75</v>
      </c>
      <c r="S1704">
        <v>0</v>
      </c>
      <c r="T1704">
        <v>0</v>
      </c>
      <c r="U1704" s="8">
        <v>75</v>
      </c>
      <c r="V1704" s="8">
        <f t="shared" si="26"/>
        <v>8</v>
      </c>
    </row>
    <row r="1705" spans="1:22" x14ac:dyDescent="0.3">
      <c r="A1705" t="s">
        <v>612</v>
      </c>
      <c r="B1705">
        <v>4</v>
      </c>
      <c r="C1705" t="s">
        <v>527</v>
      </c>
      <c r="D1705" t="s">
        <v>627</v>
      </c>
      <c r="E1705" t="s">
        <v>159</v>
      </c>
      <c r="F1705" t="s">
        <v>101</v>
      </c>
      <c r="G1705" t="s">
        <v>104</v>
      </c>
      <c r="H1705">
        <v>0</v>
      </c>
      <c r="I1705">
        <v>0</v>
      </c>
      <c r="J1705">
        <v>0</v>
      </c>
      <c r="K1705" t="s">
        <v>104</v>
      </c>
      <c r="L1705">
        <v>0</v>
      </c>
      <c r="M1705">
        <v>4</v>
      </c>
      <c r="N1705">
        <v>1</v>
      </c>
      <c r="O1705">
        <v>23</v>
      </c>
      <c r="P1705">
        <v>1</v>
      </c>
      <c r="Q1705">
        <v>5.8</v>
      </c>
      <c r="R1705">
        <v>35</v>
      </c>
      <c r="S1705">
        <v>0</v>
      </c>
      <c r="T1705">
        <v>0</v>
      </c>
      <c r="U1705" s="8">
        <v>35</v>
      </c>
      <c r="V1705" s="8">
        <f t="shared" si="26"/>
        <v>4</v>
      </c>
    </row>
    <row r="1706" spans="1:22" x14ac:dyDescent="0.3">
      <c r="A1706" t="s">
        <v>612</v>
      </c>
      <c r="B1706">
        <v>4</v>
      </c>
      <c r="C1706" t="s">
        <v>81</v>
      </c>
      <c r="D1706" t="s">
        <v>114</v>
      </c>
      <c r="E1706" t="s">
        <v>258</v>
      </c>
      <c r="F1706" t="s">
        <v>85</v>
      </c>
      <c r="G1706" t="s">
        <v>86</v>
      </c>
      <c r="H1706">
        <v>3</v>
      </c>
      <c r="I1706">
        <v>4</v>
      </c>
      <c r="J1706">
        <v>75</v>
      </c>
      <c r="K1706" t="s">
        <v>245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 s="8">
        <v>0</v>
      </c>
      <c r="V1706" s="8">
        <f t="shared" si="26"/>
        <v>0</v>
      </c>
    </row>
    <row r="1707" spans="1:22" x14ac:dyDescent="0.3">
      <c r="A1707" t="s">
        <v>612</v>
      </c>
      <c r="B1707">
        <v>4</v>
      </c>
      <c r="C1707" t="s">
        <v>167</v>
      </c>
      <c r="D1707" t="s">
        <v>168</v>
      </c>
      <c r="E1707" t="s">
        <v>258</v>
      </c>
      <c r="F1707" t="s">
        <v>169</v>
      </c>
      <c r="G1707" t="s">
        <v>92</v>
      </c>
      <c r="H1707">
        <v>0</v>
      </c>
      <c r="I1707">
        <v>4</v>
      </c>
      <c r="J1707">
        <v>0</v>
      </c>
      <c r="K1707" t="s">
        <v>246</v>
      </c>
      <c r="L1707">
        <v>0</v>
      </c>
      <c r="M1707">
        <v>4</v>
      </c>
      <c r="N1707">
        <v>0</v>
      </c>
      <c r="O1707">
        <v>25</v>
      </c>
      <c r="P1707">
        <v>1</v>
      </c>
      <c r="Q1707">
        <v>6.2</v>
      </c>
      <c r="R1707">
        <v>35</v>
      </c>
      <c r="S1707">
        <v>0</v>
      </c>
      <c r="T1707">
        <v>0</v>
      </c>
      <c r="U1707" s="8">
        <v>35</v>
      </c>
      <c r="V1707" s="8">
        <f t="shared" si="26"/>
        <v>4</v>
      </c>
    </row>
    <row r="1708" spans="1:22" x14ac:dyDescent="0.3">
      <c r="A1708" t="s">
        <v>612</v>
      </c>
      <c r="B1708">
        <v>4</v>
      </c>
      <c r="C1708" t="s">
        <v>529</v>
      </c>
      <c r="D1708" t="s">
        <v>632</v>
      </c>
      <c r="E1708" t="s">
        <v>258</v>
      </c>
      <c r="F1708" t="s">
        <v>109</v>
      </c>
      <c r="G1708" t="s">
        <v>92</v>
      </c>
      <c r="H1708">
        <v>18</v>
      </c>
      <c r="I1708">
        <v>20</v>
      </c>
      <c r="J1708">
        <v>90</v>
      </c>
      <c r="K1708" t="s">
        <v>246</v>
      </c>
      <c r="L1708">
        <v>15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 s="8">
        <v>15</v>
      </c>
      <c r="V1708" s="8">
        <f t="shared" si="26"/>
        <v>2</v>
      </c>
    </row>
    <row r="1709" spans="1:22" x14ac:dyDescent="0.3">
      <c r="A1709" t="s">
        <v>612</v>
      </c>
      <c r="B1709">
        <v>4</v>
      </c>
      <c r="C1709" t="s">
        <v>178</v>
      </c>
      <c r="D1709" t="s">
        <v>179</v>
      </c>
      <c r="E1709" t="s">
        <v>258</v>
      </c>
      <c r="F1709" t="s">
        <v>169</v>
      </c>
      <c r="G1709" t="s">
        <v>92</v>
      </c>
      <c r="H1709">
        <v>0</v>
      </c>
      <c r="I1709">
        <v>3</v>
      </c>
      <c r="J1709">
        <v>0</v>
      </c>
      <c r="K1709" t="s">
        <v>245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 s="8">
        <v>0</v>
      </c>
      <c r="V1709" s="8">
        <f t="shared" si="26"/>
        <v>0</v>
      </c>
    </row>
    <row r="1710" spans="1:22" x14ac:dyDescent="0.3">
      <c r="A1710" t="s">
        <v>612</v>
      </c>
      <c r="B1710">
        <v>4</v>
      </c>
      <c r="C1710" t="s">
        <v>93</v>
      </c>
      <c r="D1710" t="s">
        <v>118</v>
      </c>
      <c r="E1710" t="s">
        <v>258</v>
      </c>
      <c r="F1710" t="s">
        <v>169</v>
      </c>
      <c r="G1710" t="s">
        <v>92</v>
      </c>
      <c r="H1710">
        <v>54</v>
      </c>
      <c r="I1710">
        <v>43</v>
      </c>
      <c r="J1710">
        <v>125.58</v>
      </c>
      <c r="K1710" t="s">
        <v>246</v>
      </c>
      <c r="L1710">
        <v>65</v>
      </c>
      <c r="M1710">
        <v>4</v>
      </c>
      <c r="N1710">
        <v>0</v>
      </c>
      <c r="O1710">
        <v>43</v>
      </c>
      <c r="P1710">
        <v>2</v>
      </c>
      <c r="Q1710">
        <v>10.8</v>
      </c>
      <c r="R1710">
        <v>50</v>
      </c>
      <c r="S1710">
        <v>0</v>
      </c>
      <c r="T1710">
        <v>0</v>
      </c>
      <c r="U1710" s="8">
        <v>115</v>
      </c>
      <c r="V1710" s="8">
        <f t="shared" si="26"/>
        <v>10</v>
      </c>
    </row>
    <row r="1711" spans="1:22" x14ac:dyDescent="0.3">
      <c r="A1711" t="s">
        <v>612</v>
      </c>
      <c r="B1711">
        <v>4</v>
      </c>
      <c r="C1711" t="s">
        <v>493</v>
      </c>
      <c r="D1711" t="s">
        <v>500</v>
      </c>
      <c r="E1711" t="s">
        <v>258</v>
      </c>
      <c r="F1711" t="s">
        <v>169</v>
      </c>
      <c r="G1711" t="s">
        <v>134</v>
      </c>
      <c r="H1711">
        <v>4</v>
      </c>
      <c r="I1711">
        <v>8</v>
      </c>
      <c r="J1711">
        <v>50</v>
      </c>
      <c r="K1711" t="s">
        <v>245</v>
      </c>
      <c r="L1711">
        <v>5</v>
      </c>
      <c r="M1711">
        <v>4</v>
      </c>
      <c r="N1711">
        <v>0</v>
      </c>
      <c r="O1711">
        <v>38</v>
      </c>
      <c r="P1711">
        <v>2</v>
      </c>
      <c r="Q1711">
        <v>9.5</v>
      </c>
      <c r="R1711">
        <v>50</v>
      </c>
      <c r="S1711">
        <v>0</v>
      </c>
      <c r="T1711">
        <v>0</v>
      </c>
      <c r="U1711" s="8">
        <v>55</v>
      </c>
      <c r="V1711" s="8">
        <f t="shared" si="26"/>
        <v>6</v>
      </c>
    </row>
    <row r="1712" spans="1:22" x14ac:dyDescent="0.3">
      <c r="A1712" t="s">
        <v>612</v>
      </c>
      <c r="B1712">
        <v>4</v>
      </c>
      <c r="C1712" t="s">
        <v>99</v>
      </c>
      <c r="D1712" t="s">
        <v>124</v>
      </c>
      <c r="E1712" t="s">
        <v>258</v>
      </c>
      <c r="F1712" t="s">
        <v>169</v>
      </c>
      <c r="G1712" t="s">
        <v>134</v>
      </c>
      <c r="H1712">
        <v>2</v>
      </c>
      <c r="I1712">
        <v>6</v>
      </c>
      <c r="J1712">
        <v>33.33</v>
      </c>
      <c r="K1712" t="s">
        <v>246</v>
      </c>
      <c r="L1712">
        <v>2</v>
      </c>
      <c r="M1712">
        <v>1</v>
      </c>
      <c r="N1712">
        <v>0</v>
      </c>
      <c r="O1712">
        <v>13</v>
      </c>
      <c r="P1712">
        <v>0</v>
      </c>
      <c r="Q1712">
        <v>13</v>
      </c>
      <c r="R1712">
        <v>-10</v>
      </c>
      <c r="S1712">
        <v>0</v>
      </c>
      <c r="T1712">
        <v>0</v>
      </c>
      <c r="U1712" s="8">
        <v>-8</v>
      </c>
      <c r="V1712" s="8">
        <f t="shared" si="26"/>
        <v>0</v>
      </c>
    </row>
    <row r="1713" spans="1:22" x14ac:dyDescent="0.3">
      <c r="A1713" t="s">
        <v>612</v>
      </c>
      <c r="B1713">
        <v>4</v>
      </c>
      <c r="C1713" t="s">
        <v>447</v>
      </c>
      <c r="D1713" t="s">
        <v>448</v>
      </c>
      <c r="E1713" t="s">
        <v>258</v>
      </c>
      <c r="F1713" t="s">
        <v>109</v>
      </c>
      <c r="G1713" t="s">
        <v>134</v>
      </c>
      <c r="H1713">
        <v>14</v>
      </c>
      <c r="I1713">
        <v>15</v>
      </c>
      <c r="J1713">
        <v>93.33</v>
      </c>
      <c r="K1713" t="s">
        <v>246</v>
      </c>
      <c r="L1713">
        <v>15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 s="8">
        <v>15</v>
      </c>
      <c r="V1713" s="8">
        <f t="shared" si="26"/>
        <v>2</v>
      </c>
    </row>
    <row r="1714" spans="1:22" x14ac:dyDescent="0.3">
      <c r="A1714" t="s">
        <v>612</v>
      </c>
      <c r="B1714">
        <v>4</v>
      </c>
      <c r="C1714" t="s">
        <v>105</v>
      </c>
      <c r="D1714" t="s">
        <v>128</v>
      </c>
      <c r="E1714" t="s">
        <v>258</v>
      </c>
      <c r="F1714" t="s">
        <v>101</v>
      </c>
      <c r="G1714" t="s">
        <v>134</v>
      </c>
      <c r="H1714">
        <v>11</v>
      </c>
      <c r="I1714">
        <v>11</v>
      </c>
      <c r="J1714">
        <v>100</v>
      </c>
      <c r="K1714" t="s">
        <v>96</v>
      </c>
      <c r="L1714">
        <v>15</v>
      </c>
      <c r="M1714">
        <v>2</v>
      </c>
      <c r="N1714">
        <v>0</v>
      </c>
      <c r="O1714">
        <v>20</v>
      </c>
      <c r="P1714">
        <v>0</v>
      </c>
      <c r="Q1714">
        <v>10</v>
      </c>
      <c r="R1714">
        <v>-5</v>
      </c>
      <c r="S1714">
        <v>0</v>
      </c>
      <c r="T1714">
        <v>0</v>
      </c>
      <c r="U1714" s="8">
        <v>10</v>
      </c>
      <c r="V1714" s="8">
        <f t="shared" si="26"/>
        <v>1</v>
      </c>
    </row>
    <row r="1715" spans="1:22" x14ac:dyDescent="0.3">
      <c r="A1715" t="s">
        <v>612</v>
      </c>
      <c r="B1715">
        <v>4</v>
      </c>
      <c r="C1715" t="s">
        <v>582</v>
      </c>
      <c r="D1715" t="s">
        <v>668</v>
      </c>
      <c r="E1715" t="s">
        <v>258</v>
      </c>
      <c r="F1715" t="s">
        <v>101</v>
      </c>
      <c r="G1715" t="s">
        <v>104</v>
      </c>
      <c r="H1715">
        <v>0</v>
      </c>
      <c r="I1715">
        <v>0</v>
      </c>
      <c r="J1715">
        <v>0</v>
      </c>
      <c r="K1715" t="s">
        <v>104</v>
      </c>
      <c r="L1715">
        <v>0</v>
      </c>
      <c r="M1715">
        <v>1</v>
      </c>
      <c r="N1715">
        <v>0</v>
      </c>
      <c r="O1715">
        <v>10</v>
      </c>
      <c r="P1715">
        <v>0</v>
      </c>
      <c r="Q1715">
        <v>10</v>
      </c>
      <c r="R1715">
        <v>-5</v>
      </c>
      <c r="S1715">
        <v>0</v>
      </c>
      <c r="T1715">
        <v>0</v>
      </c>
      <c r="U1715" s="8">
        <v>-5</v>
      </c>
      <c r="V1715" s="8">
        <f t="shared" si="26"/>
        <v>0</v>
      </c>
    </row>
    <row r="1716" spans="1:22" x14ac:dyDescent="0.3">
      <c r="A1716" t="s">
        <v>612</v>
      </c>
      <c r="B1716">
        <v>4</v>
      </c>
      <c r="C1716" t="s">
        <v>186</v>
      </c>
      <c r="D1716" t="s">
        <v>187</v>
      </c>
      <c r="E1716" t="s">
        <v>258</v>
      </c>
      <c r="F1716" t="s">
        <v>101</v>
      </c>
      <c r="G1716" t="s">
        <v>134</v>
      </c>
      <c r="H1716">
        <v>6</v>
      </c>
      <c r="I1716">
        <v>6</v>
      </c>
      <c r="J1716">
        <v>100</v>
      </c>
      <c r="K1716" t="s">
        <v>96</v>
      </c>
      <c r="L1716">
        <v>10</v>
      </c>
      <c r="M1716">
        <v>4</v>
      </c>
      <c r="N1716">
        <v>0</v>
      </c>
      <c r="O1716">
        <v>23</v>
      </c>
      <c r="P1716">
        <v>1</v>
      </c>
      <c r="Q1716">
        <v>5.8</v>
      </c>
      <c r="R1716">
        <v>35</v>
      </c>
      <c r="S1716">
        <v>0</v>
      </c>
      <c r="T1716">
        <v>0</v>
      </c>
      <c r="U1716" s="8">
        <v>45</v>
      </c>
      <c r="V1716" s="8">
        <f t="shared" si="26"/>
        <v>5</v>
      </c>
    </row>
    <row r="1717" spans="1:22" x14ac:dyDescent="0.3">
      <c r="A1717" t="s">
        <v>613</v>
      </c>
      <c r="B1717">
        <v>4</v>
      </c>
      <c r="C1717" t="s">
        <v>347</v>
      </c>
      <c r="D1717" t="s">
        <v>348</v>
      </c>
      <c r="E1717" t="s">
        <v>266</v>
      </c>
      <c r="F1717" t="s">
        <v>169</v>
      </c>
      <c r="G1717" t="s">
        <v>86</v>
      </c>
      <c r="H1717">
        <v>9</v>
      </c>
      <c r="I1717">
        <v>9</v>
      </c>
      <c r="J1717">
        <v>100</v>
      </c>
      <c r="K1717" t="s">
        <v>245</v>
      </c>
      <c r="L1717">
        <v>10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 s="8">
        <v>10</v>
      </c>
      <c r="V1717" s="8">
        <f t="shared" si="26"/>
        <v>1</v>
      </c>
    </row>
    <row r="1718" spans="1:22" x14ac:dyDescent="0.3">
      <c r="A1718" t="s">
        <v>613</v>
      </c>
      <c r="B1718">
        <v>4</v>
      </c>
      <c r="C1718" t="s">
        <v>112</v>
      </c>
      <c r="D1718" t="s">
        <v>88</v>
      </c>
      <c r="E1718" t="s">
        <v>266</v>
      </c>
      <c r="F1718" t="s">
        <v>169</v>
      </c>
      <c r="G1718" t="s">
        <v>86</v>
      </c>
      <c r="H1718">
        <v>12</v>
      </c>
      <c r="I1718">
        <v>15</v>
      </c>
      <c r="J1718">
        <v>80</v>
      </c>
      <c r="K1718" t="s">
        <v>245</v>
      </c>
      <c r="L1718">
        <v>7</v>
      </c>
      <c r="M1718">
        <v>2</v>
      </c>
      <c r="N1718">
        <v>0</v>
      </c>
      <c r="O1718">
        <v>19</v>
      </c>
      <c r="P1718">
        <v>0</v>
      </c>
      <c r="Q1718">
        <v>9.5</v>
      </c>
      <c r="R1718">
        <v>-5</v>
      </c>
      <c r="S1718">
        <v>0</v>
      </c>
      <c r="T1718">
        <v>0</v>
      </c>
      <c r="U1718" s="8">
        <v>2</v>
      </c>
      <c r="V1718" s="8">
        <f t="shared" si="26"/>
        <v>0</v>
      </c>
    </row>
    <row r="1719" spans="1:22" x14ac:dyDescent="0.3">
      <c r="A1719" t="s">
        <v>613</v>
      </c>
      <c r="B1719">
        <v>4</v>
      </c>
      <c r="C1719" t="s">
        <v>117</v>
      </c>
      <c r="D1719" t="s">
        <v>90</v>
      </c>
      <c r="E1719" t="s">
        <v>266</v>
      </c>
      <c r="F1719" t="s">
        <v>169</v>
      </c>
      <c r="G1719" t="s">
        <v>92</v>
      </c>
      <c r="H1719">
        <v>65</v>
      </c>
      <c r="I1719">
        <v>45</v>
      </c>
      <c r="J1719">
        <v>144.44</v>
      </c>
      <c r="K1719" t="s">
        <v>96</v>
      </c>
      <c r="L1719">
        <v>85</v>
      </c>
      <c r="M1719">
        <v>4</v>
      </c>
      <c r="N1719">
        <v>0</v>
      </c>
      <c r="O1719">
        <v>42</v>
      </c>
      <c r="P1719">
        <v>0</v>
      </c>
      <c r="Q1719">
        <v>10.5</v>
      </c>
      <c r="R1719">
        <v>-5</v>
      </c>
      <c r="S1719">
        <v>0</v>
      </c>
      <c r="T1719">
        <v>0</v>
      </c>
      <c r="U1719" s="8">
        <v>80</v>
      </c>
      <c r="V1719" s="8">
        <f t="shared" si="26"/>
        <v>8</v>
      </c>
    </row>
    <row r="1720" spans="1:22" x14ac:dyDescent="0.3">
      <c r="A1720" t="s">
        <v>613</v>
      </c>
      <c r="B1720">
        <v>4</v>
      </c>
      <c r="C1720" t="s">
        <v>115</v>
      </c>
      <c r="D1720" t="s">
        <v>17</v>
      </c>
      <c r="E1720" t="s">
        <v>266</v>
      </c>
      <c r="F1720" t="s">
        <v>169</v>
      </c>
      <c r="G1720" t="s">
        <v>92</v>
      </c>
      <c r="H1720">
        <v>41</v>
      </c>
      <c r="I1720">
        <v>33</v>
      </c>
      <c r="J1720">
        <v>124.24</v>
      </c>
      <c r="K1720" t="s">
        <v>246</v>
      </c>
      <c r="L1720">
        <v>55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 s="8">
        <v>55</v>
      </c>
      <c r="V1720" s="8">
        <f t="shared" si="26"/>
        <v>6</v>
      </c>
    </row>
    <row r="1721" spans="1:22" x14ac:dyDescent="0.3">
      <c r="A1721" t="s">
        <v>613</v>
      </c>
      <c r="B1721">
        <v>4</v>
      </c>
      <c r="C1721" t="s">
        <v>517</v>
      </c>
      <c r="D1721" t="s">
        <v>626</v>
      </c>
      <c r="E1721" t="s">
        <v>266</v>
      </c>
      <c r="F1721" t="s">
        <v>169</v>
      </c>
      <c r="G1721" t="s">
        <v>134</v>
      </c>
      <c r="H1721">
        <v>12</v>
      </c>
      <c r="I1721">
        <v>11</v>
      </c>
      <c r="J1721">
        <v>109.09</v>
      </c>
      <c r="K1721" t="s">
        <v>246</v>
      </c>
      <c r="L1721">
        <v>15</v>
      </c>
      <c r="M1721">
        <v>1</v>
      </c>
      <c r="N1721">
        <v>0</v>
      </c>
      <c r="O1721">
        <v>13</v>
      </c>
      <c r="P1721">
        <v>0</v>
      </c>
      <c r="Q1721">
        <v>13</v>
      </c>
      <c r="R1721">
        <v>-10</v>
      </c>
      <c r="S1721">
        <v>0</v>
      </c>
      <c r="T1721">
        <v>0</v>
      </c>
      <c r="U1721" s="8">
        <v>5</v>
      </c>
      <c r="V1721" s="8">
        <f t="shared" si="26"/>
        <v>1</v>
      </c>
    </row>
    <row r="1722" spans="1:22" x14ac:dyDescent="0.3">
      <c r="A1722" t="s">
        <v>613</v>
      </c>
      <c r="B1722">
        <v>4</v>
      </c>
      <c r="C1722" t="s">
        <v>121</v>
      </c>
      <c r="D1722" t="s">
        <v>108</v>
      </c>
      <c r="E1722" t="s">
        <v>266</v>
      </c>
      <c r="F1722" t="s">
        <v>169</v>
      </c>
      <c r="G1722" t="s">
        <v>134</v>
      </c>
      <c r="H1722">
        <v>3</v>
      </c>
      <c r="I1722">
        <v>3</v>
      </c>
      <c r="J1722">
        <v>100</v>
      </c>
      <c r="K1722" t="s">
        <v>246</v>
      </c>
      <c r="L1722">
        <v>3</v>
      </c>
      <c r="M1722">
        <v>3</v>
      </c>
      <c r="N1722">
        <v>0</v>
      </c>
      <c r="O1722">
        <v>21</v>
      </c>
      <c r="P1722">
        <v>1</v>
      </c>
      <c r="Q1722">
        <v>7</v>
      </c>
      <c r="R1722">
        <v>25</v>
      </c>
      <c r="S1722">
        <v>0</v>
      </c>
      <c r="T1722">
        <v>0</v>
      </c>
      <c r="U1722" s="8">
        <v>28</v>
      </c>
      <c r="V1722" s="8">
        <f t="shared" si="26"/>
        <v>3</v>
      </c>
    </row>
    <row r="1723" spans="1:22" x14ac:dyDescent="0.3">
      <c r="A1723" t="s">
        <v>613</v>
      </c>
      <c r="B1723">
        <v>4</v>
      </c>
      <c r="C1723" t="s">
        <v>507</v>
      </c>
      <c r="D1723" t="s">
        <v>519</v>
      </c>
      <c r="E1723" t="s">
        <v>266</v>
      </c>
      <c r="F1723" t="s">
        <v>101</v>
      </c>
      <c r="G1723" t="s">
        <v>134</v>
      </c>
      <c r="H1723">
        <v>10</v>
      </c>
      <c r="I1723">
        <v>5</v>
      </c>
      <c r="J1723">
        <v>200</v>
      </c>
      <c r="K1723" t="s">
        <v>96</v>
      </c>
      <c r="L1723">
        <v>20</v>
      </c>
      <c r="M1723">
        <v>1</v>
      </c>
      <c r="N1723">
        <v>0</v>
      </c>
      <c r="O1723">
        <v>13</v>
      </c>
      <c r="P1723">
        <v>0</v>
      </c>
      <c r="Q1723">
        <v>13</v>
      </c>
      <c r="R1723">
        <v>-10</v>
      </c>
      <c r="S1723">
        <v>0</v>
      </c>
      <c r="T1723">
        <v>0</v>
      </c>
      <c r="U1723" s="8">
        <v>10</v>
      </c>
      <c r="V1723" s="8">
        <f t="shared" si="26"/>
        <v>1</v>
      </c>
    </row>
    <row r="1724" spans="1:22" x14ac:dyDescent="0.3">
      <c r="A1724" t="s">
        <v>613</v>
      </c>
      <c r="B1724">
        <v>4</v>
      </c>
      <c r="C1724" t="s">
        <v>583</v>
      </c>
      <c r="D1724" t="s">
        <v>670</v>
      </c>
      <c r="E1724" t="s">
        <v>266</v>
      </c>
      <c r="F1724" t="s">
        <v>85</v>
      </c>
      <c r="G1724" t="s">
        <v>104</v>
      </c>
      <c r="H1724">
        <v>0</v>
      </c>
      <c r="I1724">
        <v>0</v>
      </c>
      <c r="J1724">
        <v>0</v>
      </c>
      <c r="K1724" t="s">
        <v>104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 s="8">
        <v>0</v>
      </c>
      <c r="V1724" s="8">
        <f t="shared" si="26"/>
        <v>0</v>
      </c>
    </row>
    <row r="1725" spans="1:22" x14ac:dyDescent="0.3">
      <c r="A1725" t="s">
        <v>613</v>
      </c>
      <c r="B1725">
        <v>4</v>
      </c>
      <c r="C1725" t="s">
        <v>585</v>
      </c>
      <c r="D1725" t="s">
        <v>672</v>
      </c>
      <c r="E1725" t="s">
        <v>266</v>
      </c>
      <c r="F1725" t="s">
        <v>169</v>
      </c>
      <c r="G1725" t="s">
        <v>104</v>
      </c>
      <c r="H1725">
        <v>0</v>
      </c>
      <c r="I1725">
        <v>0</v>
      </c>
      <c r="J1725">
        <v>0</v>
      </c>
      <c r="K1725" t="s">
        <v>104</v>
      </c>
      <c r="L1725">
        <v>0</v>
      </c>
      <c r="M1725">
        <v>4</v>
      </c>
      <c r="N1725">
        <v>0</v>
      </c>
      <c r="O1725">
        <v>20</v>
      </c>
      <c r="P1725">
        <v>1</v>
      </c>
      <c r="Q1725">
        <v>5</v>
      </c>
      <c r="R1725">
        <v>35</v>
      </c>
      <c r="S1725">
        <v>0</v>
      </c>
      <c r="T1725">
        <v>0</v>
      </c>
      <c r="U1725" s="8">
        <v>35</v>
      </c>
      <c r="V1725" s="8">
        <f t="shared" si="26"/>
        <v>4</v>
      </c>
    </row>
    <row r="1726" spans="1:22" x14ac:dyDescent="0.3">
      <c r="A1726" t="s">
        <v>613</v>
      </c>
      <c r="B1726">
        <v>4</v>
      </c>
      <c r="C1726" t="s">
        <v>273</v>
      </c>
      <c r="D1726" t="s">
        <v>279</v>
      </c>
      <c r="E1726" t="s">
        <v>266</v>
      </c>
      <c r="F1726" t="s">
        <v>169</v>
      </c>
      <c r="G1726" t="s">
        <v>104</v>
      </c>
      <c r="H1726">
        <v>0</v>
      </c>
      <c r="I1726">
        <v>0</v>
      </c>
      <c r="J1726">
        <v>0</v>
      </c>
      <c r="K1726" t="s">
        <v>104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 s="8">
        <v>0</v>
      </c>
      <c r="V1726" s="8">
        <f t="shared" si="26"/>
        <v>0</v>
      </c>
    </row>
    <row r="1727" spans="1:22" x14ac:dyDescent="0.3">
      <c r="A1727" t="s">
        <v>613</v>
      </c>
      <c r="B1727">
        <v>4</v>
      </c>
      <c r="C1727" t="s">
        <v>265</v>
      </c>
      <c r="D1727" t="s">
        <v>264</v>
      </c>
      <c r="E1727" t="s">
        <v>266</v>
      </c>
      <c r="F1727" t="s">
        <v>101</v>
      </c>
      <c r="G1727" t="s">
        <v>104</v>
      </c>
      <c r="H1727">
        <v>0</v>
      </c>
      <c r="I1727">
        <v>0</v>
      </c>
      <c r="J1727">
        <v>0</v>
      </c>
      <c r="K1727" t="s">
        <v>104</v>
      </c>
      <c r="L1727">
        <v>0</v>
      </c>
      <c r="M1727">
        <v>4</v>
      </c>
      <c r="N1727">
        <v>0</v>
      </c>
      <c r="O1727">
        <v>26</v>
      </c>
      <c r="P1727">
        <v>0</v>
      </c>
      <c r="Q1727">
        <v>6.5</v>
      </c>
      <c r="R1727">
        <v>10</v>
      </c>
      <c r="S1727">
        <v>0</v>
      </c>
      <c r="T1727">
        <v>0</v>
      </c>
      <c r="U1727" s="8">
        <v>10</v>
      </c>
      <c r="V1727" s="8">
        <f t="shared" si="26"/>
        <v>1</v>
      </c>
    </row>
    <row r="1728" spans="1:22" x14ac:dyDescent="0.3">
      <c r="A1728" t="s">
        <v>613</v>
      </c>
      <c r="B1728">
        <v>4</v>
      </c>
      <c r="C1728" t="s">
        <v>188</v>
      </c>
      <c r="D1728" t="s">
        <v>189</v>
      </c>
      <c r="E1728" t="s">
        <v>158</v>
      </c>
      <c r="F1728" t="s">
        <v>109</v>
      </c>
      <c r="G1728" t="s">
        <v>86</v>
      </c>
      <c r="H1728">
        <v>29</v>
      </c>
      <c r="I1728">
        <v>24</v>
      </c>
      <c r="J1728">
        <v>120.83</v>
      </c>
      <c r="K1728" t="s">
        <v>245</v>
      </c>
      <c r="L1728">
        <v>35</v>
      </c>
      <c r="M1728">
        <v>1</v>
      </c>
      <c r="N1728">
        <v>0</v>
      </c>
      <c r="O1728">
        <v>14</v>
      </c>
      <c r="P1728">
        <v>0</v>
      </c>
      <c r="Q1728">
        <v>14</v>
      </c>
      <c r="R1728">
        <v>-10</v>
      </c>
      <c r="S1728">
        <v>0</v>
      </c>
      <c r="T1728">
        <v>0</v>
      </c>
      <c r="U1728" s="8">
        <v>25</v>
      </c>
      <c r="V1728" s="8">
        <f t="shared" si="26"/>
        <v>3</v>
      </c>
    </row>
    <row r="1729" spans="1:22" x14ac:dyDescent="0.3">
      <c r="A1729" t="s">
        <v>613</v>
      </c>
      <c r="B1729">
        <v>4</v>
      </c>
      <c r="C1729" t="s">
        <v>531</v>
      </c>
      <c r="D1729" t="s">
        <v>636</v>
      </c>
      <c r="E1729" t="s">
        <v>158</v>
      </c>
      <c r="F1729" t="s">
        <v>85</v>
      </c>
      <c r="G1729" t="s">
        <v>86</v>
      </c>
      <c r="H1729">
        <v>46</v>
      </c>
      <c r="I1729">
        <v>28</v>
      </c>
      <c r="J1729">
        <v>164.29</v>
      </c>
      <c r="K1729" t="s">
        <v>248</v>
      </c>
      <c r="L1729">
        <v>65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 s="8">
        <v>65</v>
      </c>
      <c r="V1729" s="8">
        <f t="shared" si="26"/>
        <v>7</v>
      </c>
    </row>
    <row r="1730" spans="1:22" x14ac:dyDescent="0.3">
      <c r="A1730" t="s">
        <v>613</v>
      </c>
      <c r="B1730">
        <v>4</v>
      </c>
      <c r="C1730" t="s">
        <v>278</v>
      </c>
      <c r="D1730" t="s">
        <v>293</v>
      </c>
      <c r="E1730" t="s">
        <v>158</v>
      </c>
      <c r="F1730" t="s">
        <v>109</v>
      </c>
      <c r="G1730" t="s">
        <v>92</v>
      </c>
      <c r="H1730">
        <v>17</v>
      </c>
      <c r="I1730">
        <v>19</v>
      </c>
      <c r="J1730">
        <v>89.47</v>
      </c>
      <c r="K1730" t="s">
        <v>256</v>
      </c>
      <c r="L1730">
        <v>15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 s="8">
        <v>15</v>
      </c>
      <c r="V1730" s="8">
        <f t="shared" si="26"/>
        <v>2</v>
      </c>
    </row>
    <row r="1731" spans="1:22" x14ac:dyDescent="0.3">
      <c r="A1731" t="s">
        <v>613</v>
      </c>
      <c r="B1731">
        <v>4</v>
      </c>
      <c r="C1731" t="s">
        <v>194</v>
      </c>
      <c r="D1731" t="s">
        <v>195</v>
      </c>
      <c r="E1731" t="s">
        <v>158</v>
      </c>
      <c r="F1731" t="s">
        <v>109</v>
      </c>
      <c r="G1731" t="s">
        <v>92</v>
      </c>
      <c r="H1731">
        <v>51</v>
      </c>
      <c r="I1731">
        <v>37</v>
      </c>
      <c r="J1731">
        <v>137.84</v>
      </c>
      <c r="K1731" t="s">
        <v>96</v>
      </c>
      <c r="L1731">
        <v>65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 s="8">
        <v>65</v>
      </c>
      <c r="V1731" s="8">
        <f t="shared" ref="V1731:V1794" si="27">MIN(10, MAX(0, ROUND(U1731/10,0)))</f>
        <v>7</v>
      </c>
    </row>
    <row r="1732" spans="1:22" x14ac:dyDescent="0.3">
      <c r="A1732" t="s">
        <v>613</v>
      </c>
      <c r="B1732">
        <v>4</v>
      </c>
      <c r="C1732" t="s">
        <v>192</v>
      </c>
      <c r="D1732" t="s">
        <v>193</v>
      </c>
      <c r="E1732" t="s">
        <v>158</v>
      </c>
      <c r="F1732" t="s">
        <v>169</v>
      </c>
      <c r="G1732" t="s">
        <v>134</v>
      </c>
      <c r="H1732">
        <v>10</v>
      </c>
      <c r="I1732">
        <v>6</v>
      </c>
      <c r="J1732">
        <v>166.67</v>
      </c>
      <c r="K1732" t="s">
        <v>96</v>
      </c>
      <c r="L1732">
        <v>20</v>
      </c>
      <c r="M1732">
        <v>4</v>
      </c>
      <c r="N1732">
        <v>0</v>
      </c>
      <c r="O1732">
        <v>8</v>
      </c>
      <c r="P1732">
        <v>1</v>
      </c>
      <c r="Q1732">
        <v>2</v>
      </c>
      <c r="R1732">
        <v>35</v>
      </c>
      <c r="S1732">
        <v>0</v>
      </c>
      <c r="T1732">
        <v>0</v>
      </c>
      <c r="U1732" s="8">
        <v>55</v>
      </c>
      <c r="V1732" s="8">
        <f t="shared" si="27"/>
        <v>6</v>
      </c>
    </row>
    <row r="1733" spans="1:22" x14ac:dyDescent="0.3">
      <c r="A1733" t="s">
        <v>613</v>
      </c>
      <c r="B1733">
        <v>4</v>
      </c>
      <c r="C1733" t="s">
        <v>584</v>
      </c>
      <c r="D1733" t="s">
        <v>671</v>
      </c>
      <c r="E1733" t="s">
        <v>158</v>
      </c>
      <c r="F1733" t="s">
        <v>109</v>
      </c>
      <c r="G1733" t="s">
        <v>104</v>
      </c>
      <c r="H1733">
        <v>0</v>
      </c>
      <c r="I1733">
        <v>0</v>
      </c>
      <c r="J1733">
        <v>0</v>
      </c>
      <c r="K1733" t="s">
        <v>104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 s="8">
        <v>0</v>
      </c>
      <c r="V1733" s="8">
        <f t="shared" si="27"/>
        <v>0</v>
      </c>
    </row>
    <row r="1734" spans="1:22" x14ac:dyDescent="0.3">
      <c r="A1734" t="s">
        <v>613</v>
      </c>
      <c r="B1734">
        <v>4</v>
      </c>
      <c r="C1734" t="s">
        <v>495</v>
      </c>
      <c r="D1734" t="s">
        <v>503</v>
      </c>
      <c r="E1734" t="s">
        <v>158</v>
      </c>
      <c r="F1734" t="s">
        <v>169</v>
      </c>
      <c r="G1734" t="s">
        <v>104</v>
      </c>
      <c r="H1734">
        <v>0</v>
      </c>
      <c r="I1734">
        <v>0</v>
      </c>
      <c r="J1734">
        <v>0</v>
      </c>
      <c r="K1734" t="s">
        <v>104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 s="8">
        <v>0</v>
      </c>
      <c r="V1734" s="8">
        <f t="shared" si="27"/>
        <v>0</v>
      </c>
    </row>
    <row r="1735" spans="1:22" x14ac:dyDescent="0.3">
      <c r="A1735" t="s">
        <v>613</v>
      </c>
      <c r="B1735">
        <v>4</v>
      </c>
      <c r="C1735" t="s">
        <v>102</v>
      </c>
      <c r="D1735" t="s">
        <v>126</v>
      </c>
      <c r="E1735" t="s">
        <v>158</v>
      </c>
      <c r="F1735" t="s">
        <v>169</v>
      </c>
      <c r="G1735" t="s">
        <v>104</v>
      </c>
      <c r="H1735">
        <v>0</v>
      </c>
      <c r="I1735">
        <v>0</v>
      </c>
      <c r="J1735">
        <v>0</v>
      </c>
      <c r="K1735" t="s">
        <v>104</v>
      </c>
      <c r="L1735">
        <v>0</v>
      </c>
      <c r="M1735">
        <v>3</v>
      </c>
      <c r="N1735">
        <v>0</v>
      </c>
      <c r="O1735">
        <v>27</v>
      </c>
      <c r="P1735">
        <v>0</v>
      </c>
      <c r="Q1735">
        <v>9</v>
      </c>
      <c r="R1735">
        <v>-5</v>
      </c>
      <c r="S1735">
        <v>0</v>
      </c>
      <c r="T1735">
        <v>0</v>
      </c>
      <c r="U1735" s="8">
        <v>-5</v>
      </c>
      <c r="V1735" s="8">
        <f t="shared" si="27"/>
        <v>0</v>
      </c>
    </row>
    <row r="1736" spans="1:22" x14ac:dyDescent="0.3">
      <c r="A1736" t="s">
        <v>613</v>
      </c>
      <c r="B1736">
        <v>4</v>
      </c>
      <c r="C1736" t="s">
        <v>581</v>
      </c>
      <c r="D1736" t="s">
        <v>664</v>
      </c>
      <c r="E1736" t="s">
        <v>158</v>
      </c>
      <c r="F1736" t="s">
        <v>169</v>
      </c>
      <c r="G1736" t="s">
        <v>104</v>
      </c>
      <c r="H1736">
        <v>0</v>
      </c>
      <c r="I1736">
        <v>0</v>
      </c>
      <c r="J1736">
        <v>0</v>
      </c>
      <c r="K1736" t="s">
        <v>104</v>
      </c>
      <c r="L1736">
        <v>0</v>
      </c>
      <c r="M1736">
        <v>4</v>
      </c>
      <c r="N1736">
        <v>0</v>
      </c>
      <c r="O1736">
        <v>36</v>
      </c>
      <c r="P1736">
        <v>0</v>
      </c>
      <c r="Q1736">
        <v>9</v>
      </c>
      <c r="R1736">
        <v>-5</v>
      </c>
      <c r="S1736">
        <v>0</v>
      </c>
      <c r="T1736">
        <v>0</v>
      </c>
      <c r="U1736" s="8">
        <v>-5</v>
      </c>
      <c r="V1736" s="8">
        <f t="shared" si="27"/>
        <v>0</v>
      </c>
    </row>
    <row r="1737" spans="1:22" x14ac:dyDescent="0.3">
      <c r="A1737" t="s">
        <v>613</v>
      </c>
      <c r="B1737">
        <v>4</v>
      </c>
      <c r="C1737" t="s">
        <v>532</v>
      </c>
      <c r="D1737" t="s">
        <v>637</v>
      </c>
      <c r="E1737" t="s">
        <v>158</v>
      </c>
      <c r="F1737" t="s">
        <v>101</v>
      </c>
      <c r="G1737" t="s">
        <v>104</v>
      </c>
      <c r="H1737">
        <v>0</v>
      </c>
      <c r="I1737">
        <v>0</v>
      </c>
      <c r="J1737">
        <v>0</v>
      </c>
      <c r="K1737" t="s">
        <v>104</v>
      </c>
      <c r="L1737">
        <v>0</v>
      </c>
      <c r="M1737">
        <v>4</v>
      </c>
      <c r="N1737">
        <v>0</v>
      </c>
      <c r="O1737">
        <v>33</v>
      </c>
      <c r="P1737">
        <v>3</v>
      </c>
      <c r="Q1737">
        <v>8.1999999999999993</v>
      </c>
      <c r="R1737">
        <v>75</v>
      </c>
      <c r="S1737">
        <v>0</v>
      </c>
      <c r="T1737">
        <v>0</v>
      </c>
      <c r="U1737" s="8">
        <v>75</v>
      </c>
      <c r="V1737" s="8">
        <f t="shared" si="27"/>
        <v>8</v>
      </c>
    </row>
    <row r="1738" spans="1:22" x14ac:dyDescent="0.3">
      <c r="A1738" t="s">
        <v>613</v>
      </c>
      <c r="B1738">
        <v>4</v>
      </c>
      <c r="C1738" t="s">
        <v>533</v>
      </c>
      <c r="D1738" t="s">
        <v>638</v>
      </c>
      <c r="E1738" t="s">
        <v>158</v>
      </c>
      <c r="F1738" t="s">
        <v>101</v>
      </c>
      <c r="G1738" t="s">
        <v>104</v>
      </c>
      <c r="H1738">
        <v>0</v>
      </c>
      <c r="I1738">
        <v>0</v>
      </c>
      <c r="J1738">
        <v>0</v>
      </c>
      <c r="K1738" t="s">
        <v>104</v>
      </c>
      <c r="L1738">
        <v>0</v>
      </c>
      <c r="M1738">
        <v>4</v>
      </c>
      <c r="N1738">
        <v>0</v>
      </c>
      <c r="O1738">
        <v>36</v>
      </c>
      <c r="P1738">
        <v>1</v>
      </c>
      <c r="Q1738">
        <v>9</v>
      </c>
      <c r="R1738">
        <v>25</v>
      </c>
      <c r="S1738">
        <v>0</v>
      </c>
      <c r="T1738">
        <v>0</v>
      </c>
      <c r="U1738" s="8">
        <v>25</v>
      </c>
      <c r="V1738" s="8">
        <f t="shared" si="27"/>
        <v>3</v>
      </c>
    </row>
    <row r="1739" spans="1:22" x14ac:dyDescent="0.3">
      <c r="A1739" t="s">
        <v>614</v>
      </c>
      <c r="B1739">
        <v>4</v>
      </c>
      <c r="C1739" t="s">
        <v>81</v>
      </c>
      <c r="D1739" t="s">
        <v>114</v>
      </c>
      <c r="E1739" t="s">
        <v>258</v>
      </c>
      <c r="F1739" t="s">
        <v>85</v>
      </c>
      <c r="G1739" t="s">
        <v>86</v>
      </c>
      <c r="H1739">
        <v>38</v>
      </c>
      <c r="I1739">
        <v>34</v>
      </c>
      <c r="J1739">
        <v>111.76</v>
      </c>
      <c r="K1739" t="s">
        <v>246</v>
      </c>
      <c r="L1739">
        <v>45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 s="8">
        <v>45</v>
      </c>
      <c r="V1739" s="8">
        <f t="shared" si="27"/>
        <v>5</v>
      </c>
    </row>
    <row r="1740" spans="1:22" x14ac:dyDescent="0.3">
      <c r="A1740" t="s">
        <v>614</v>
      </c>
      <c r="B1740">
        <v>4</v>
      </c>
      <c r="C1740" t="s">
        <v>489</v>
      </c>
      <c r="D1740" t="s">
        <v>488</v>
      </c>
      <c r="E1740" t="s">
        <v>258</v>
      </c>
      <c r="F1740" t="s">
        <v>109</v>
      </c>
      <c r="G1740" t="s">
        <v>92</v>
      </c>
      <c r="H1740">
        <v>14</v>
      </c>
      <c r="I1740">
        <v>8</v>
      </c>
      <c r="J1740">
        <v>175</v>
      </c>
      <c r="K1740" t="s">
        <v>245</v>
      </c>
      <c r="L1740">
        <v>20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 s="8">
        <v>20</v>
      </c>
      <c r="V1740" s="8">
        <f t="shared" si="27"/>
        <v>2</v>
      </c>
    </row>
    <row r="1741" spans="1:22" x14ac:dyDescent="0.3">
      <c r="A1741" t="s">
        <v>614</v>
      </c>
      <c r="B1741">
        <v>4</v>
      </c>
      <c r="C1741" t="s">
        <v>529</v>
      </c>
      <c r="D1741" t="s">
        <v>632</v>
      </c>
      <c r="E1741" t="s">
        <v>258</v>
      </c>
      <c r="F1741" t="s">
        <v>109</v>
      </c>
      <c r="G1741" t="s">
        <v>92</v>
      </c>
      <c r="H1741">
        <v>14</v>
      </c>
      <c r="I1741">
        <v>8</v>
      </c>
      <c r="J1741">
        <v>175</v>
      </c>
      <c r="K1741" t="s">
        <v>246</v>
      </c>
      <c r="L1741">
        <v>20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 s="8">
        <v>20</v>
      </c>
      <c r="V1741" s="8">
        <f t="shared" si="27"/>
        <v>2</v>
      </c>
    </row>
    <row r="1742" spans="1:22" x14ac:dyDescent="0.3">
      <c r="A1742" t="s">
        <v>614</v>
      </c>
      <c r="B1742">
        <v>4</v>
      </c>
      <c r="C1742" t="s">
        <v>93</v>
      </c>
      <c r="D1742" t="s">
        <v>118</v>
      </c>
      <c r="E1742" t="s">
        <v>258</v>
      </c>
      <c r="F1742" t="s">
        <v>169</v>
      </c>
      <c r="G1742" t="s">
        <v>134</v>
      </c>
      <c r="H1742">
        <v>5</v>
      </c>
      <c r="I1742">
        <v>12</v>
      </c>
      <c r="J1742">
        <v>41.67</v>
      </c>
      <c r="K1742" t="s">
        <v>245</v>
      </c>
      <c r="L1742">
        <v>5</v>
      </c>
      <c r="M1742">
        <v>3</v>
      </c>
      <c r="N1742">
        <v>0</v>
      </c>
      <c r="O1742">
        <v>23</v>
      </c>
      <c r="P1742">
        <v>1</v>
      </c>
      <c r="Q1742">
        <v>7.7</v>
      </c>
      <c r="R1742">
        <v>20</v>
      </c>
      <c r="S1742">
        <v>0</v>
      </c>
      <c r="T1742">
        <v>0</v>
      </c>
      <c r="U1742" s="8">
        <v>25</v>
      </c>
      <c r="V1742" s="8">
        <f t="shared" si="27"/>
        <v>3</v>
      </c>
    </row>
    <row r="1743" spans="1:22" x14ac:dyDescent="0.3">
      <c r="A1743" t="s">
        <v>614</v>
      </c>
      <c r="B1743">
        <v>4</v>
      </c>
      <c r="C1743" t="s">
        <v>167</v>
      </c>
      <c r="D1743" t="s">
        <v>168</v>
      </c>
      <c r="E1743" t="s">
        <v>258</v>
      </c>
      <c r="F1743" t="s">
        <v>169</v>
      </c>
      <c r="G1743" t="s">
        <v>134</v>
      </c>
      <c r="H1743">
        <v>50</v>
      </c>
      <c r="I1743">
        <v>42</v>
      </c>
      <c r="J1743">
        <v>119.05</v>
      </c>
      <c r="K1743" t="s">
        <v>96</v>
      </c>
      <c r="L1743">
        <v>55</v>
      </c>
      <c r="M1743">
        <v>3.3</v>
      </c>
      <c r="N1743">
        <v>0</v>
      </c>
      <c r="O1743">
        <v>16</v>
      </c>
      <c r="P1743">
        <v>2</v>
      </c>
      <c r="Q1743">
        <v>4.5999999999999996</v>
      </c>
      <c r="R1743">
        <v>45</v>
      </c>
      <c r="S1743">
        <v>0</v>
      </c>
      <c r="T1743">
        <v>0</v>
      </c>
      <c r="U1743" s="8">
        <v>100</v>
      </c>
      <c r="V1743" s="8">
        <f t="shared" si="27"/>
        <v>10</v>
      </c>
    </row>
    <row r="1744" spans="1:22" x14ac:dyDescent="0.3">
      <c r="A1744" t="s">
        <v>614</v>
      </c>
      <c r="B1744">
        <v>4</v>
      </c>
      <c r="C1744" t="s">
        <v>447</v>
      </c>
      <c r="D1744" t="s">
        <v>448</v>
      </c>
      <c r="E1744" t="s">
        <v>258</v>
      </c>
      <c r="F1744" t="s">
        <v>109</v>
      </c>
      <c r="G1744" t="s">
        <v>134</v>
      </c>
      <c r="H1744">
        <v>5</v>
      </c>
      <c r="I1744">
        <v>5</v>
      </c>
      <c r="J1744">
        <v>100</v>
      </c>
      <c r="K1744" t="s">
        <v>256</v>
      </c>
      <c r="L1744">
        <v>5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 s="8">
        <v>5</v>
      </c>
      <c r="V1744" s="8">
        <f t="shared" si="27"/>
        <v>1</v>
      </c>
    </row>
    <row r="1745" spans="1:22" x14ac:dyDescent="0.3">
      <c r="A1745" t="s">
        <v>614</v>
      </c>
      <c r="B1745">
        <v>4</v>
      </c>
      <c r="C1745" t="s">
        <v>178</v>
      </c>
      <c r="D1745" t="s">
        <v>179</v>
      </c>
      <c r="E1745" t="s">
        <v>258</v>
      </c>
      <c r="F1745" t="s">
        <v>169</v>
      </c>
      <c r="G1745" t="s">
        <v>134</v>
      </c>
      <c r="H1745">
        <v>6</v>
      </c>
      <c r="I1745">
        <v>5</v>
      </c>
      <c r="J1745">
        <v>120</v>
      </c>
      <c r="K1745" t="s">
        <v>246</v>
      </c>
      <c r="L1745">
        <v>10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 s="8">
        <v>10</v>
      </c>
      <c r="V1745" s="8">
        <f t="shared" si="27"/>
        <v>1</v>
      </c>
    </row>
    <row r="1746" spans="1:22" x14ac:dyDescent="0.3">
      <c r="A1746" t="s">
        <v>614</v>
      </c>
      <c r="B1746">
        <v>4</v>
      </c>
      <c r="C1746" t="s">
        <v>493</v>
      </c>
      <c r="D1746" t="s">
        <v>500</v>
      </c>
      <c r="E1746" t="s">
        <v>258</v>
      </c>
      <c r="F1746" t="s">
        <v>101</v>
      </c>
      <c r="G1746" t="s">
        <v>134</v>
      </c>
      <c r="H1746">
        <v>11</v>
      </c>
      <c r="I1746">
        <v>6</v>
      </c>
      <c r="J1746">
        <v>183.33</v>
      </c>
      <c r="K1746" t="s">
        <v>245</v>
      </c>
      <c r="L1746">
        <v>15</v>
      </c>
      <c r="M1746">
        <v>3</v>
      </c>
      <c r="N1746">
        <v>0</v>
      </c>
      <c r="O1746">
        <v>31</v>
      </c>
      <c r="P1746">
        <v>1</v>
      </c>
      <c r="Q1746">
        <v>10.3</v>
      </c>
      <c r="R1746">
        <v>20</v>
      </c>
      <c r="S1746">
        <v>0</v>
      </c>
      <c r="T1746">
        <v>0</v>
      </c>
      <c r="U1746" s="8">
        <v>35</v>
      </c>
      <c r="V1746" s="8">
        <f t="shared" si="27"/>
        <v>4</v>
      </c>
    </row>
    <row r="1747" spans="1:22" x14ac:dyDescent="0.3">
      <c r="A1747" t="s">
        <v>614</v>
      </c>
      <c r="B1747">
        <v>4</v>
      </c>
      <c r="C1747" t="s">
        <v>186</v>
      </c>
      <c r="D1747" t="s">
        <v>187</v>
      </c>
      <c r="E1747" t="s">
        <v>258</v>
      </c>
      <c r="F1747" t="s">
        <v>101</v>
      </c>
      <c r="G1747" t="s">
        <v>134</v>
      </c>
      <c r="H1747">
        <v>1</v>
      </c>
      <c r="I1747">
        <v>1</v>
      </c>
      <c r="J1747">
        <v>100</v>
      </c>
      <c r="K1747" t="s">
        <v>256</v>
      </c>
      <c r="L1747">
        <v>2</v>
      </c>
      <c r="M1747">
        <v>4</v>
      </c>
      <c r="N1747">
        <v>0</v>
      </c>
      <c r="O1747">
        <v>20</v>
      </c>
      <c r="P1747">
        <v>2</v>
      </c>
      <c r="Q1747">
        <v>5</v>
      </c>
      <c r="R1747">
        <v>45</v>
      </c>
      <c r="S1747">
        <v>0</v>
      </c>
      <c r="T1747">
        <v>0</v>
      </c>
      <c r="U1747" s="8">
        <v>47</v>
      </c>
      <c r="V1747" s="8">
        <f t="shared" si="27"/>
        <v>5</v>
      </c>
    </row>
    <row r="1748" spans="1:22" x14ac:dyDescent="0.3">
      <c r="A1748" t="s">
        <v>614</v>
      </c>
      <c r="B1748">
        <v>4</v>
      </c>
      <c r="C1748" t="s">
        <v>582</v>
      </c>
      <c r="D1748" t="s">
        <v>668</v>
      </c>
      <c r="E1748" t="s">
        <v>258</v>
      </c>
      <c r="F1748" t="s">
        <v>101</v>
      </c>
      <c r="G1748" t="s">
        <v>134</v>
      </c>
      <c r="H1748">
        <v>0</v>
      </c>
      <c r="I1748">
        <v>0</v>
      </c>
      <c r="J1748">
        <v>0</v>
      </c>
      <c r="K1748" t="s">
        <v>96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 s="8">
        <v>0</v>
      </c>
      <c r="V1748" s="8">
        <f t="shared" si="27"/>
        <v>0</v>
      </c>
    </row>
    <row r="1749" spans="1:22" x14ac:dyDescent="0.3">
      <c r="A1749" t="s">
        <v>614</v>
      </c>
      <c r="B1749">
        <v>4</v>
      </c>
      <c r="C1749" t="s">
        <v>237</v>
      </c>
      <c r="D1749" t="s">
        <v>238</v>
      </c>
      <c r="E1749" t="s">
        <v>258</v>
      </c>
      <c r="F1749" t="s">
        <v>101</v>
      </c>
      <c r="G1749" t="s">
        <v>104</v>
      </c>
      <c r="H1749">
        <v>0</v>
      </c>
      <c r="I1749">
        <v>0</v>
      </c>
      <c r="J1749">
        <v>0</v>
      </c>
      <c r="K1749" t="s">
        <v>104</v>
      </c>
      <c r="L1749">
        <v>0</v>
      </c>
      <c r="M1749">
        <v>4</v>
      </c>
      <c r="N1749">
        <v>0</v>
      </c>
      <c r="O1749">
        <v>16</v>
      </c>
      <c r="P1749">
        <v>3</v>
      </c>
      <c r="Q1749">
        <v>4</v>
      </c>
      <c r="R1749">
        <v>70</v>
      </c>
      <c r="S1749">
        <v>0</v>
      </c>
      <c r="T1749">
        <v>0</v>
      </c>
      <c r="U1749" s="8">
        <v>70</v>
      </c>
      <c r="V1749" s="8">
        <f t="shared" si="27"/>
        <v>7</v>
      </c>
    </row>
    <row r="1750" spans="1:22" x14ac:dyDescent="0.3">
      <c r="A1750" t="s">
        <v>614</v>
      </c>
      <c r="B1750">
        <v>4</v>
      </c>
      <c r="C1750" t="s">
        <v>190</v>
      </c>
      <c r="D1750" t="s">
        <v>191</v>
      </c>
      <c r="E1750" t="s">
        <v>219</v>
      </c>
      <c r="F1750" t="s">
        <v>109</v>
      </c>
      <c r="G1750" t="s">
        <v>86</v>
      </c>
      <c r="H1750">
        <v>14</v>
      </c>
      <c r="I1750">
        <v>10</v>
      </c>
      <c r="J1750">
        <v>140</v>
      </c>
      <c r="K1750" t="s">
        <v>245</v>
      </c>
      <c r="L1750">
        <v>20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 s="8">
        <v>20</v>
      </c>
      <c r="V1750" s="8">
        <f t="shared" si="27"/>
        <v>2</v>
      </c>
    </row>
    <row r="1751" spans="1:22" x14ac:dyDescent="0.3">
      <c r="A1751" t="s">
        <v>614</v>
      </c>
      <c r="B1751">
        <v>4</v>
      </c>
      <c r="C1751" t="s">
        <v>229</v>
      </c>
      <c r="D1751" t="s">
        <v>230</v>
      </c>
      <c r="E1751" t="s">
        <v>219</v>
      </c>
      <c r="F1751" t="s">
        <v>109</v>
      </c>
      <c r="G1751" t="s">
        <v>86</v>
      </c>
      <c r="H1751">
        <v>0</v>
      </c>
      <c r="I1751">
        <v>1</v>
      </c>
      <c r="J1751">
        <v>0</v>
      </c>
      <c r="K1751" t="s">
        <v>248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 s="8">
        <v>0</v>
      </c>
      <c r="V1751" s="8">
        <f t="shared" si="27"/>
        <v>0</v>
      </c>
    </row>
    <row r="1752" spans="1:22" x14ac:dyDescent="0.3">
      <c r="A1752" t="s">
        <v>614</v>
      </c>
      <c r="B1752">
        <v>4</v>
      </c>
      <c r="C1752" t="s">
        <v>383</v>
      </c>
      <c r="D1752" t="s">
        <v>384</v>
      </c>
      <c r="E1752" t="s">
        <v>219</v>
      </c>
      <c r="F1752" t="s">
        <v>109</v>
      </c>
      <c r="G1752" t="s">
        <v>92</v>
      </c>
      <c r="H1752">
        <v>32</v>
      </c>
      <c r="I1752">
        <v>27</v>
      </c>
      <c r="J1752">
        <v>118.52</v>
      </c>
      <c r="K1752" t="s">
        <v>246</v>
      </c>
      <c r="L1752">
        <v>35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 s="8">
        <v>35</v>
      </c>
      <c r="V1752" s="8">
        <f t="shared" si="27"/>
        <v>4</v>
      </c>
    </row>
    <row r="1753" spans="1:22" x14ac:dyDescent="0.3">
      <c r="A1753" t="s">
        <v>614</v>
      </c>
      <c r="B1753">
        <v>4</v>
      </c>
      <c r="C1753" t="s">
        <v>89</v>
      </c>
      <c r="D1753" t="s">
        <v>116</v>
      </c>
      <c r="E1753" t="s">
        <v>219</v>
      </c>
      <c r="F1753" t="s">
        <v>169</v>
      </c>
      <c r="G1753" t="s">
        <v>92</v>
      </c>
      <c r="H1753">
        <v>3</v>
      </c>
      <c r="I1753">
        <v>12</v>
      </c>
      <c r="J1753">
        <v>25</v>
      </c>
      <c r="K1753" t="s">
        <v>246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 s="8">
        <v>0</v>
      </c>
      <c r="V1753" s="8">
        <f t="shared" si="27"/>
        <v>0</v>
      </c>
    </row>
    <row r="1754" spans="1:22" x14ac:dyDescent="0.3">
      <c r="A1754" t="s">
        <v>614</v>
      </c>
      <c r="B1754">
        <v>4</v>
      </c>
      <c r="C1754" t="s">
        <v>578</v>
      </c>
      <c r="D1754" t="s">
        <v>652</v>
      </c>
      <c r="E1754" t="s">
        <v>219</v>
      </c>
      <c r="F1754" t="s">
        <v>169</v>
      </c>
      <c r="G1754" t="s">
        <v>134</v>
      </c>
      <c r="H1754">
        <v>30</v>
      </c>
      <c r="I1754">
        <v>22</v>
      </c>
      <c r="J1754">
        <v>136.36000000000001</v>
      </c>
      <c r="K1754" t="s">
        <v>96</v>
      </c>
      <c r="L1754">
        <v>40</v>
      </c>
      <c r="M1754">
        <v>4</v>
      </c>
      <c r="N1754">
        <v>0</v>
      </c>
      <c r="O1754">
        <v>32</v>
      </c>
      <c r="P1754">
        <v>1</v>
      </c>
      <c r="Q1754">
        <v>8</v>
      </c>
      <c r="R1754">
        <v>25</v>
      </c>
      <c r="S1754">
        <v>0</v>
      </c>
      <c r="T1754">
        <v>0</v>
      </c>
      <c r="U1754" s="8">
        <v>65</v>
      </c>
      <c r="V1754" s="8">
        <f t="shared" si="27"/>
        <v>7</v>
      </c>
    </row>
    <row r="1755" spans="1:22" x14ac:dyDescent="0.3">
      <c r="A1755" t="s">
        <v>614</v>
      </c>
      <c r="B1755">
        <v>4</v>
      </c>
      <c r="C1755" t="s">
        <v>224</v>
      </c>
      <c r="D1755" t="s">
        <v>225</v>
      </c>
      <c r="E1755" t="s">
        <v>219</v>
      </c>
      <c r="F1755" t="s">
        <v>169</v>
      </c>
      <c r="G1755" t="s">
        <v>134</v>
      </c>
      <c r="H1755">
        <v>4</v>
      </c>
      <c r="I1755">
        <v>7</v>
      </c>
      <c r="J1755">
        <v>57.14</v>
      </c>
      <c r="K1755" t="s">
        <v>247</v>
      </c>
      <c r="L1755">
        <v>5</v>
      </c>
      <c r="M1755">
        <v>2</v>
      </c>
      <c r="N1755">
        <v>0</v>
      </c>
      <c r="O1755">
        <v>16</v>
      </c>
      <c r="P1755">
        <v>1</v>
      </c>
      <c r="Q1755">
        <v>8</v>
      </c>
      <c r="R1755">
        <v>20</v>
      </c>
      <c r="S1755">
        <v>0</v>
      </c>
      <c r="T1755">
        <v>0</v>
      </c>
      <c r="U1755" s="8">
        <v>25</v>
      </c>
      <c r="V1755" s="8">
        <f t="shared" si="27"/>
        <v>3</v>
      </c>
    </row>
    <row r="1756" spans="1:22" x14ac:dyDescent="0.3">
      <c r="A1756" t="s">
        <v>614</v>
      </c>
      <c r="B1756">
        <v>4</v>
      </c>
      <c r="C1756" t="s">
        <v>220</v>
      </c>
      <c r="D1756" t="s">
        <v>221</v>
      </c>
      <c r="E1756" t="s">
        <v>219</v>
      </c>
      <c r="F1756" t="s">
        <v>85</v>
      </c>
      <c r="G1756" t="s">
        <v>134</v>
      </c>
      <c r="H1756">
        <v>3</v>
      </c>
      <c r="I1756">
        <v>6</v>
      </c>
      <c r="J1756">
        <v>50</v>
      </c>
      <c r="K1756" t="s">
        <v>248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 s="8">
        <v>0</v>
      </c>
      <c r="V1756" s="8">
        <f t="shared" si="27"/>
        <v>0</v>
      </c>
    </row>
    <row r="1757" spans="1:22" x14ac:dyDescent="0.3">
      <c r="A1757" t="s">
        <v>614</v>
      </c>
      <c r="B1757">
        <v>4</v>
      </c>
      <c r="C1757" t="s">
        <v>180</v>
      </c>
      <c r="D1757" t="s">
        <v>181</v>
      </c>
      <c r="E1757" t="s">
        <v>219</v>
      </c>
      <c r="F1757" t="s">
        <v>101</v>
      </c>
      <c r="G1757" t="s">
        <v>134</v>
      </c>
      <c r="H1757">
        <v>7</v>
      </c>
      <c r="I1757">
        <v>11</v>
      </c>
      <c r="J1757">
        <v>63.64</v>
      </c>
      <c r="K1757" t="s">
        <v>246</v>
      </c>
      <c r="L1757">
        <v>5</v>
      </c>
      <c r="M1757">
        <v>2</v>
      </c>
      <c r="N1757">
        <v>0</v>
      </c>
      <c r="O1757">
        <v>11</v>
      </c>
      <c r="P1757">
        <v>0</v>
      </c>
      <c r="Q1757">
        <v>5.5</v>
      </c>
      <c r="R1757">
        <v>10</v>
      </c>
      <c r="S1757">
        <v>0</v>
      </c>
      <c r="T1757">
        <v>0</v>
      </c>
      <c r="U1757" s="8">
        <v>15</v>
      </c>
      <c r="V1757" s="8">
        <f t="shared" si="27"/>
        <v>2</v>
      </c>
    </row>
    <row r="1758" spans="1:22" x14ac:dyDescent="0.3">
      <c r="A1758" t="s">
        <v>614</v>
      </c>
      <c r="B1758">
        <v>4</v>
      </c>
      <c r="C1758" t="s">
        <v>233</v>
      </c>
      <c r="D1758" t="s">
        <v>234</v>
      </c>
      <c r="E1758" t="s">
        <v>219</v>
      </c>
      <c r="F1758" t="s">
        <v>101</v>
      </c>
      <c r="G1758" t="s">
        <v>134</v>
      </c>
      <c r="H1758">
        <v>1</v>
      </c>
      <c r="I1758">
        <v>4</v>
      </c>
      <c r="J1758">
        <v>25</v>
      </c>
      <c r="K1758" t="s">
        <v>246</v>
      </c>
      <c r="L1758">
        <v>0</v>
      </c>
      <c r="M1758">
        <v>4</v>
      </c>
      <c r="N1758">
        <v>0</v>
      </c>
      <c r="O1758">
        <v>22</v>
      </c>
      <c r="P1758">
        <v>2</v>
      </c>
      <c r="Q1758">
        <v>5.5</v>
      </c>
      <c r="R1758">
        <v>45</v>
      </c>
      <c r="S1758">
        <v>0</v>
      </c>
      <c r="T1758">
        <v>0</v>
      </c>
      <c r="U1758" s="8">
        <v>45</v>
      </c>
      <c r="V1758" s="8">
        <f t="shared" si="27"/>
        <v>5</v>
      </c>
    </row>
    <row r="1759" spans="1:22" x14ac:dyDescent="0.3">
      <c r="A1759" t="s">
        <v>614</v>
      </c>
      <c r="B1759">
        <v>4</v>
      </c>
      <c r="C1759" t="s">
        <v>204</v>
      </c>
      <c r="D1759" t="s">
        <v>205</v>
      </c>
      <c r="E1759" t="s">
        <v>219</v>
      </c>
      <c r="F1759" t="s">
        <v>169</v>
      </c>
      <c r="G1759" t="s">
        <v>134</v>
      </c>
      <c r="H1759">
        <v>1</v>
      </c>
      <c r="I1759">
        <v>3</v>
      </c>
      <c r="J1759">
        <v>33.33</v>
      </c>
      <c r="K1759" t="s">
        <v>256</v>
      </c>
      <c r="L1759">
        <v>0</v>
      </c>
      <c r="M1759">
        <v>4</v>
      </c>
      <c r="N1759">
        <v>0</v>
      </c>
      <c r="O1759">
        <v>53</v>
      </c>
      <c r="P1759">
        <v>0</v>
      </c>
      <c r="Q1759">
        <v>13.2</v>
      </c>
      <c r="R1759">
        <v>-5</v>
      </c>
      <c r="S1759">
        <v>0</v>
      </c>
      <c r="T1759">
        <v>0</v>
      </c>
      <c r="U1759" s="8">
        <v>-5</v>
      </c>
      <c r="V1759" s="8">
        <f t="shared" si="27"/>
        <v>0</v>
      </c>
    </row>
    <row r="1760" spans="1:22" x14ac:dyDescent="0.3">
      <c r="A1760" t="s">
        <v>614</v>
      </c>
      <c r="B1760">
        <v>4</v>
      </c>
      <c r="C1760" t="s">
        <v>509</v>
      </c>
      <c r="D1760" t="s">
        <v>523</v>
      </c>
      <c r="E1760" t="s">
        <v>219</v>
      </c>
      <c r="F1760" t="s">
        <v>101</v>
      </c>
      <c r="G1760" t="s">
        <v>134</v>
      </c>
      <c r="H1760">
        <v>1</v>
      </c>
      <c r="I1760">
        <v>2</v>
      </c>
      <c r="J1760">
        <v>50</v>
      </c>
      <c r="K1760" t="s">
        <v>245</v>
      </c>
      <c r="L1760">
        <v>0</v>
      </c>
      <c r="M1760">
        <v>4</v>
      </c>
      <c r="N1760">
        <v>0</v>
      </c>
      <c r="O1760">
        <v>18</v>
      </c>
      <c r="P1760">
        <v>2</v>
      </c>
      <c r="Q1760">
        <v>4.5</v>
      </c>
      <c r="R1760">
        <v>45</v>
      </c>
      <c r="S1760">
        <v>0</v>
      </c>
      <c r="T1760">
        <v>0</v>
      </c>
      <c r="U1760" s="8">
        <v>45</v>
      </c>
      <c r="V1760" s="8">
        <f t="shared" si="27"/>
        <v>5</v>
      </c>
    </row>
    <row r="1761" spans="1:22" x14ac:dyDescent="0.3">
      <c r="A1761" t="s">
        <v>615</v>
      </c>
      <c r="B1761">
        <v>4</v>
      </c>
      <c r="C1761" t="s">
        <v>226</v>
      </c>
      <c r="D1761" t="s">
        <v>211</v>
      </c>
      <c r="E1761" t="s">
        <v>159</v>
      </c>
      <c r="F1761" t="s">
        <v>169</v>
      </c>
      <c r="G1761" t="s">
        <v>86</v>
      </c>
      <c r="H1761">
        <v>9</v>
      </c>
      <c r="I1761">
        <v>13</v>
      </c>
      <c r="J1761">
        <v>69.23</v>
      </c>
      <c r="K1761" t="s">
        <v>246</v>
      </c>
      <c r="L1761">
        <v>10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 s="8">
        <v>10</v>
      </c>
      <c r="V1761" s="8">
        <f t="shared" si="27"/>
        <v>1</v>
      </c>
    </row>
    <row r="1762" spans="1:22" x14ac:dyDescent="0.3">
      <c r="A1762" t="s">
        <v>615</v>
      </c>
      <c r="B1762">
        <v>4</v>
      </c>
      <c r="C1762" t="s">
        <v>165</v>
      </c>
      <c r="D1762" t="s">
        <v>166</v>
      </c>
      <c r="E1762" t="s">
        <v>159</v>
      </c>
      <c r="F1762" t="s">
        <v>109</v>
      </c>
      <c r="G1762" t="s">
        <v>86</v>
      </c>
      <c r="H1762">
        <v>38</v>
      </c>
      <c r="I1762">
        <v>34</v>
      </c>
      <c r="J1762">
        <v>111.76</v>
      </c>
      <c r="K1762" t="s">
        <v>246</v>
      </c>
      <c r="L1762">
        <v>45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 s="8">
        <v>45</v>
      </c>
      <c r="V1762" s="8">
        <f t="shared" si="27"/>
        <v>5</v>
      </c>
    </row>
    <row r="1763" spans="1:22" x14ac:dyDescent="0.3">
      <c r="A1763" t="s">
        <v>615</v>
      </c>
      <c r="B1763">
        <v>4</v>
      </c>
      <c r="C1763" t="s">
        <v>514</v>
      </c>
      <c r="D1763" t="s">
        <v>567</v>
      </c>
      <c r="E1763" t="s">
        <v>159</v>
      </c>
      <c r="F1763" t="s">
        <v>109</v>
      </c>
      <c r="G1763" t="s">
        <v>92</v>
      </c>
      <c r="H1763">
        <v>11</v>
      </c>
      <c r="I1763">
        <v>14</v>
      </c>
      <c r="J1763">
        <v>78.569999999999993</v>
      </c>
      <c r="K1763" t="s">
        <v>245</v>
      </c>
      <c r="L1763">
        <v>15</v>
      </c>
      <c r="M1763">
        <v>1</v>
      </c>
      <c r="N1763">
        <v>0</v>
      </c>
      <c r="O1763">
        <v>12</v>
      </c>
      <c r="P1763">
        <v>0</v>
      </c>
      <c r="Q1763">
        <v>12</v>
      </c>
      <c r="R1763">
        <v>0</v>
      </c>
      <c r="S1763">
        <v>0</v>
      </c>
      <c r="T1763">
        <v>0</v>
      </c>
      <c r="U1763" s="8">
        <v>15</v>
      </c>
      <c r="V1763" s="8">
        <f t="shared" si="27"/>
        <v>2</v>
      </c>
    </row>
    <row r="1764" spans="1:22" x14ac:dyDescent="0.3">
      <c r="A1764" t="s">
        <v>615</v>
      </c>
      <c r="B1764">
        <v>4</v>
      </c>
      <c r="C1764" t="s">
        <v>535</v>
      </c>
      <c r="D1764" t="s">
        <v>645</v>
      </c>
      <c r="E1764" t="s">
        <v>159</v>
      </c>
      <c r="F1764" t="s">
        <v>169</v>
      </c>
      <c r="G1764" t="s">
        <v>92</v>
      </c>
      <c r="H1764">
        <v>3</v>
      </c>
      <c r="I1764">
        <v>7</v>
      </c>
      <c r="J1764">
        <v>42.86</v>
      </c>
      <c r="K1764" t="s">
        <v>245</v>
      </c>
      <c r="L1764">
        <v>5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 s="8">
        <v>5</v>
      </c>
      <c r="V1764" s="8">
        <f t="shared" si="27"/>
        <v>1</v>
      </c>
    </row>
    <row r="1765" spans="1:22" x14ac:dyDescent="0.3">
      <c r="A1765" t="s">
        <v>615</v>
      </c>
      <c r="B1765">
        <v>4</v>
      </c>
      <c r="C1765" t="s">
        <v>176</v>
      </c>
      <c r="D1765" t="s">
        <v>177</v>
      </c>
      <c r="E1765" t="s">
        <v>159</v>
      </c>
      <c r="F1765" t="s">
        <v>85</v>
      </c>
      <c r="G1765" t="s">
        <v>134</v>
      </c>
      <c r="H1765">
        <v>5</v>
      </c>
      <c r="I1765">
        <v>9</v>
      </c>
      <c r="J1765">
        <v>55.56</v>
      </c>
      <c r="K1765" t="s">
        <v>246</v>
      </c>
      <c r="L1765">
        <v>5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 s="8">
        <v>5</v>
      </c>
      <c r="V1765" s="8">
        <f t="shared" si="27"/>
        <v>1</v>
      </c>
    </row>
    <row r="1766" spans="1:22" x14ac:dyDescent="0.3">
      <c r="A1766" t="s">
        <v>615</v>
      </c>
      <c r="B1766">
        <v>4</v>
      </c>
      <c r="C1766" t="s">
        <v>206</v>
      </c>
      <c r="D1766" t="s">
        <v>207</v>
      </c>
      <c r="E1766" t="s">
        <v>159</v>
      </c>
      <c r="F1766" t="s">
        <v>169</v>
      </c>
      <c r="G1766" t="s">
        <v>134</v>
      </c>
      <c r="H1766">
        <v>18</v>
      </c>
      <c r="I1766">
        <v>17</v>
      </c>
      <c r="J1766">
        <v>105.88</v>
      </c>
      <c r="K1766" t="s">
        <v>246</v>
      </c>
      <c r="L1766">
        <v>20</v>
      </c>
      <c r="M1766">
        <v>2</v>
      </c>
      <c r="N1766">
        <v>0</v>
      </c>
      <c r="O1766">
        <v>10</v>
      </c>
      <c r="P1766">
        <v>1</v>
      </c>
      <c r="Q1766">
        <v>5</v>
      </c>
      <c r="R1766">
        <v>25</v>
      </c>
      <c r="S1766">
        <v>0</v>
      </c>
      <c r="T1766">
        <v>0</v>
      </c>
      <c r="U1766" s="8">
        <v>45</v>
      </c>
      <c r="V1766" s="8">
        <f t="shared" si="27"/>
        <v>5</v>
      </c>
    </row>
    <row r="1767" spans="1:22" x14ac:dyDescent="0.3">
      <c r="A1767" t="s">
        <v>615</v>
      </c>
      <c r="B1767">
        <v>4</v>
      </c>
      <c r="C1767" t="s">
        <v>449</v>
      </c>
      <c r="D1767" t="s">
        <v>410</v>
      </c>
      <c r="E1767" t="s">
        <v>159</v>
      </c>
      <c r="F1767" t="s">
        <v>169</v>
      </c>
      <c r="G1767" t="s">
        <v>134</v>
      </c>
      <c r="H1767">
        <v>5</v>
      </c>
      <c r="I1767">
        <v>9</v>
      </c>
      <c r="J1767">
        <v>55.56</v>
      </c>
      <c r="K1767" t="s">
        <v>246</v>
      </c>
      <c r="L1767">
        <v>5</v>
      </c>
      <c r="M1767">
        <v>1</v>
      </c>
      <c r="N1767">
        <v>0</v>
      </c>
      <c r="O1767">
        <v>9</v>
      </c>
      <c r="P1767">
        <v>0</v>
      </c>
      <c r="Q1767">
        <v>9</v>
      </c>
      <c r="R1767">
        <v>0</v>
      </c>
      <c r="S1767">
        <v>0</v>
      </c>
      <c r="T1767">
        <v>0</v>
      </c>
      <c r="U1767" s="8">
        <v>5</v>
      </c>
      <c r="V1767" s="8">
        <f t="shared" si="27"/>
        <v>1</v>
      </c>
    </row>
    <row r="1768" spans="1:22" x14ac:dyDescent="0.3">
      <c r="A1768" t="s">
        <v>615</v>
      </c>
      <c r="B1768">
        <v>4</v>
      </c>
      <c r="C1768" t="s">
        <v>202</v>
      </c>
      <c r="D1768" t="s">
        <v>203</v>
      </c>
      <c r="E1768" t="s">
        <v>159</v>
      </c>
      <c r="F1768" t="s">
        <v>101</v>
      </c>
      <c r="G1768" t="s">
        <v>134</v>
      </c>
      <c r="H1768">
        <v>2</v>
      </c>
      <c r="I1768">
        <v>5</v>
      </c>
      <c r="J1768">
        <v>40</v>
      </c>
      <c r="K1768" t="s">
        <v>247</v>
      </c>
      <c r="L1768">
        <v>0</v>
      </c>
      <c r="M1768">
        <v>2</v>
      </c>
      <c r="N1768">
        <v>0</v>
      </c>
      <c r="O1768">
        <v>17</v>
      </c>
      <c r="P1768">
        <v>0</v>
      </c>
      <c r="Q1768">
        <v>8.5</v>
      </c>
      <c r="R1768">
        <v>0</v>
      </c>
      <c r="S1768">
        <v>0</v>
      </c>
      <c r="T1768">
        <v>0</v>
      </c>
      <c r="U1768" s="8">
        <v>0</v>
      </c>
      <c r="V1768" s="8">
        <f t="shared" si="27"/>
        <v>0</v>
      </c>
    </row>
    <row r="1769" spans="1:22" x14ac:dyDescent="0.3">
      <c r="A1769" t="s">
        <v>615</v>
      </c>
      <c r="B1769">
        <v>4</v>
      </c>
      <c r="C1769" t="s">
        <v>415</v>
      </c>
      <c r="D1769" t="s">
        <v>425</v>
      </c>
      <c r="E1769" t="s">
        <v>159</v>
      </c>
      <c r="F1769" t="s">
        <v>101</v>
      </c>
      <c r="G1769" t="s">
        <v>134</v>
      </c>
      <c r="H1769">
        <v>3</v>
      </c>
      <c r="I1769">
        <v>5</v>
      </c>
      <c r="J1769">
        <v>60</v>
      </c>
      <c r="K1769" t="s">
        <v>245</v>
      </c>
      <c r="L1769">
        <v>5</v>
      </c>
      <c r="M1769">
        <v>3</v>
      </c>
      <c r="N1769">
        <v>0</v>
      </c>
      <c r="O1769">
        <v>18</v>
      </c>
      <c r="P1769">
        <v>2</v>
      </c>
      <c r="Q1769">
        <v>6</v>
      </c>
      <c r="R1769">
        <v>40</v>
      </c>
      <c r="S1769">
        <v>0</v>
      </c>
      <c r="T1769">
        <v>0</v>
      </c>
      <c r="U1769" s="8">
        <v>45</v>
      </c>
      <c r="V1769" s="8">
        <f t="shared" si="27"/>
        <v>5</v>
      </c>
    </row>
    <row r="1770" spans="1:22" x14ac:dyDescent="0.3">
      <c r="A1770" t="s">
        <v>615</v>
      </c>
      <c r="B1770">
        <v>4</v>
      </c>
      <c r="C1770" t="s">
        <v>259</v>
      </c>
      <c r="D1770" t="s">
        <v>257</v>
      </c>
      <c r="E1770" t="s">
        <v>159</v>
      </c>
      <c r="F1770" t="s">
        <v>169</v>
      </c>
      <c r="G1770" t="s">
        <v>134</v>
      </c>
      <c r="H1770">
        <v>7</v>
      </c>
      <c r="I1770">
        <v>7</v>
      </c>
      <c r="J1770">
        <v>100</v>
      </c>
      <c r="K1770" t="s">
        <v>246</v>
      </c>
      <c r="L1770">
        <v>10</v>
      </c>
      <c r="M1770">
        <v>2.4</v>
      </c>
      <c r="N1770">
        <v>0</v>
      </c>
      <c r="O1770">
        <v>14</v>
      </c>
      <c r="P1770">
        <v>0</v>
      </c>
      <c r="Q1770">
        <v>5.2</v>
      </c>
      <c r="R1770">
        <v>0</v>
      </c>
      <c r="S1770">
        <v>0</v>
      </c>
      <c r="T1770">
        <v>0</v>
      </c>
      <c r="U1770" s="8">
        <v>10</v>
      </c>
      <c r="V1770" s="8">
        <f t="shared" si="27"/>
        <v>1</v>
      </c>
    </row>
    <row r="1771" spans="1:22" x14ac:dyDescent="0.3">
      <c r="A1771" t="s">
        <v>615</v>
      </c>
      <c r="B1771">
        <v>4</v>
      </c>
      <c r="C1771" t="s">
        <v>527</v>
      </c>
      <c r="D1771" t="s">
        <v>627</v>
      </c>
      <c r="E1771" t="s">
        <v>159</v>
      </c>
      <c r="F1771" t="s">
        <v>101</v>
      </c>
      <c r="G1771" t="s">
        <v>134</v>
      </c>
      <c r="H1771">
        <v>1</v>
      </c>
      <c r="I1771">
        <v>1</v>
      </c>
      <c r="J1771">
        <v>100</v>
      </c>
      <c r="K1771" t="s">
        <v>96</v>
      </c>
      <c r="L1771">
        <v>5</v>
      </c>
      <c r="M1771">
        <v>4</v>
      </c>
      <c r="N1771">
        <v>0</v>
      </c>
      <c r="O1771">
        <v>30</v>
      </c>
      <c r="P1771">
        <v>0</v>
      </c>
      <c r="Q1771">
        <v>7.5</v>
      </c>
      <c r="R1771">
        <v>0</v>
      </c>
      <c r="S1771">
        <v>0</v>
      </c>
      <c r="T1771">
        <v>0</v>
      </c>
      <c r="U1771" s="8">
        <v>5</v>
      </c>
      <c r="V1771" s="8">
        <f t="shared" si="27"/>
        <v>1</v>
      </c>
    </row>
    <row r="1772" spans="1:22" x14ac:dyDescent="0.3">
      <c r="A1772" t="s">
        <v>615</v>
      </c>
      <c r="B1772">
        <v>4</v>
      </c>
      <c r="C1772" t="s">
        <v>188</v>
      </c>
      <c r="D1772" t="s">
        <v>189</v>
      </c>
      <c r="E1772" t="s">
        <v>158</v>
      </c>
      <c r="F1772" t="s">
        <v>109</v>
      </c>
      <c r="G1772" t="s">
        <v>86</v>
      </c>
      <c r="H1772">
        <v>16</v>
      </c>
      <c r="I1772">
        <v>8</v>
      </c>
      <c r="J1772">
        <v>200</v>
      </c>
      <c r="K1772" t="s">
        <v>246</v>
      </c>
      <c r="L1772">
        <v>20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 s="8">
        <v>20</v>
      </c>
      <c r="V1772" s="8">
        <f t="shared" si="27"/>
        <v>2</v>
      </c>
    </row>
    <row r="1773" spans="1:22" x14ac:dyDescent="0.3">
      <c r="A1773" t="s">
        <v>615</v>
      </c>
      <c r="B1773">
        <v>4</v>
      </c>
      <c r="C1773" t="s">
        <v>531</v>
      </c>
      <c r="D1773" t="s">
        <v>636</v>
      </c>
      <c r="E1773" t="s">
        <v>158</v>
      </c>
      <c r="F1773" t="s">
        <v>85</v>
      </c>
      <c r="G1773" t="s">
        <v>86</v>
      </c>
      <c r="H1773">
        <v>6</v>
      </c>
      <c r="I1773">
        <v>8</v>
      </c>
      <c r="J1773">
        <v>75</v>
      </c>
      <c r="K1773" t="s">
        <v>246</v>
      </c>
      <c r="L1773">
        <v>5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 s="8">
        <v>5</v>
      </c>
      <c r="V1773" s="8">
        <f t="shared" si="27"/>
        <v>1</v>
      </c>
    </row>
    <row r="1774" spans="1:22" x14ac:dyDescent="0.3">
      <c r="A1774" t="s">
        <v>615</v>
      </c>
      <c r="B1774">
        <v>4</v>
      </c>
      <c r="C1774" t="s">
        <v>278</v>
      </c>
      <c r="D1774" t="s">
        <v>293</v>
      </c>
      <c r="E1774" t="s">
        <v>158</v>
      </c>
      <c r="F1774" t="s">
        <v>109</v>
      </c>
      <c r="G1774" t="s">
        <v>92</v>
      </c>
      <c r="H1774">
        <v>42</v>
      </c>
      <c r="I1774">
        <v>38</v>
      </c>
      <c r="J1774">
        <v>110.53</v>
      </c>
      <c r="K1774" t="s">
        <v>96</v>
      </c>
      <c r="L1774">
        <v>50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 s="8">
        <v>50</v>
      </c>
      <c r="V1774" s="8">
        <f t="shared" si="27"/>
        <v>5</v>
      </c>
    </row>
    <row r="1775" spans="1:22" x14ac:dyDescent="0.3">
      <c r="A1775" t="s">
        <v>615</v>
      </c>
      <c r="B1775">
        <v>4</v>
      </c>
      <c r="C1775" t="s">
        <v>194</v>
      </c>
      <c r="D1775" t="s">
        <v>195</v>
      </c>
      <c r="E1775" t="s">
        <v>158</v>
      </c>
      <c r="F1775" t="s">
        <v>109</v>
      </c>
      <c r="G1775" t="s">
        <v>92</v>
      </c>
      <c r="H1775">
        <v>24</v>
      </c>
      <c r="I1775">
        <v>26</v>
      </c>
      <c r="J1775">
        <v>92.31</v>
      </c>
      <c r="K1775" t="s">
        <v>246</v>
      </c>
      <c r="L1775">
        <v>30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 s="8">
        <v>30</v>
      </c>
      <c r="V1775" s="8">
        <f t="shared" si="27"/>
        <v>3</v>
      </c>
    </row>
    <row r="1776" spans="1:22" x14ac:dyDescent="0.3">
      <c r="A1776" t="s">
        <v>615</v>
      </c>
      <c r="B1776">
        <v>4</v>
      </c>
      <c r="C1776" t="s">
        <v>192</v>
      </c>
      <c r="D1776" t="s">
        <v>193</v>
      </c>
      <c r="E1776" t="s">
        <v>158</v>
      </c>
      <c r="F1776" t="s">
        <v>169</v>
      </c>
      <c r="G1776" t="s">
        <v>134</v>
      </c>
      <c r="H1776">
        <v>19</v>
      </c>
      <c r="I1776">
        <v>15</v>
      </c>
      <c r="J1776">
        <v>126.67</v>
      </c>
      <c r="K1776" t="s">
        <v>96</v>
      </c>
      <c r="L1776">
        <v>25</v>
      </c>
      <c r="M1776">
        <v>4</v>
      </c>
      <c r="N1776">
        <v>0</v>
      </c>
      <c r="O1776">
        <v>17</v>
      </c>
      <c r="P1776">
        <v>2</v>
      </c>
      <c r="Q1776">
        <v>4.2</v>
      </c>
      <c r="R1776">
        <v>45</v>
      </c>
      <c r="S1776">
        <v>0</v>
      </c>
      <c r="T1776">
        <v>0</v>
      </c>
      <c r="U1776" s="8">
        <v>70</v>
      </c>
      <c r="V1776" s="8">
        <f t="shared" si="27"/>
        <v>7</v>
      </c>
    </row>
    <row r="1777" spans="1:22" x14ac:dyDescent="0.3">
      <c r="A1777" t="s">
        <v>615</v>
      </c>
      <c r="B1777">
        <v>4</v>
      </c>
      <c r="C1777" t="s">
        <v>495</v>
      </c>
      <c r="D1777" t="s">
        <v>503</v>
      </c>
      <c r="E1777" t="s">
        <v>158</v>
      </c>
      <c r="F1777" t="s">
        <v>169</v>
      </c>
      <c r="G1777" t="s">
        <v>104</v>
      </c>
      <c r="H1777">
        <v>0</v>
      </c>
      <c r="I1777">
        <v>0</v>
      </c>
      <c r="J1777">
        <v>0</v>
      </c>
      <c r="K1777" t="s">
        <v>104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 s="8">
        <v>0</v>
      </c>
      <c r="V1777" s="8">
        <f t="shared" si="27"/>
        <v>0</v>
      </c>
    </row>
    <row r="1778" spans="1:22" x14ac:dyDescent="0.3">
      <c r="A1778" t="s">
        <v>615</v>
      </c>
      <c r="B1778">
        <v>4</v>
      </c>
      <c r="C1778" t="s">
        <v>512</v>
      </c>
      <c r="D1778" t="s">
        <v>542</v>
      </c>
      <c r="E1778" t="s">
        <v>158</v>
      </c>
      <c r="F1778" t="s">
        <v>169</v>
      </c>
      <c r="G1778" t="s">
        <v>104</v>
      </c>
      <c r="H1778">
        <v>0</v>
      </c>
      <c r="I1778">
        <v>0</v>
      </c>
      <c r="J1778">
        <v>0</v>
      </c>
      <c r="K1778" t="s">
        <v>104</v>
      </c>
      <c r="L1778">
        <v>0</v>
      </c>
      <c r="M1778">
        <v>4</v>
      </c>
      <c r="N1778">
        <v>0</v>
      </c>
      <c r="O1778">
        <v>22</v>
      </c>
      <c r="P1778">
        <v>2</v>
      </c>
      <c r="Q1778">
        <v>5.5</v>
      </c>
      <c r="R1778">
        <v>40</v>
      </c>
      <c r="S1778">
        <v>0</v>
      </c>
      <c r="T1778">
        <v>0</v>
      </c>
      <c r="U1778" s="8">
        <v>40</v>
      </c>
      <c r="V1778" s="8">
        <f t="shared" si="27"/>
        <v>4</v>
      </c>
    </row>
    <row r="1779" spans="1:22" x14ac:dyDescent="0.3">
      <c r="A1779" t="s">
        <v>615</v>
      </c>
      <c r="B1779">
        <v>4</v>
      </c>
      <c r="C1779" t="s">
        <v>102</v>
      </c>
      <c r="D1779" t="s">
        <v>126</v>
      </c>
      <c r="E1779" t="s">
        <v>158</v>
      </c>
      <c r="F1779" t="s">
        <v>169</v>
      </c>
      <c r="G1779" t="s">
        <v>104</v>
      </c>
      <c r="H1779">
        <v>0</v>
      </c>
      <c r="I1779">
        <v>0</v>
      </c>
      <c r="J1779">
        <v>0</v>
      </c>
      <c r="K1779" t="s">
        <v>104</v>
      </c>
      <c r="L1779">
        <v>0</v>
      </c>
      <c r="M1779">
        <v>1</v>
      </c>
      <c r="N1779">
        <v>0</v>
      </c>
      <c r="O1779">
        <v>10</v>
      </c>
      <c r="P1779">
        <v>0</v>
      </c>
      <c r="Q1779">
        <v>10</v>
      </c>
      <c r="R1779">
        <v>0</v>
      </c>
      <c r="S1779">
        <v>0</v>
      </c>
      <c r="T1779">
        <v>0</v>
      </c>
      <c r="U1779" s="8">
        <v>0</v>
      </c>
      <c r="V1779" s="8">
        <f t="shared" si="27"/>
        <v>0</v>
      </c>
    </row>
    <row r="1780" spans="1:22" x14ac:dyDescent="0.3">
      <c r="A1780" t="s">
        <v>615</v>
      </c>
      <c r="B1780">
        <v>4</v>
      </c>
      <c r="C1780" t="s">
        <v>274</v>
      </c>
      <c r="D1780" t="s">
        <v>284</v>
      </c>
      <c r="E1780" t="s">
        <v>158</v>
      </c>
      <c r="F1780" t="s">
        <v>169</v>
      </c>
      <c r="G1780" t="s">
        <v>104</v>
      </c>
      <c r="H1780">
        <v>0</v>
      </c>
      <c r="I1780">
        <v>0</v>
      </c>
      <c r="J1780">
        <v>0</v>
      </c>
      <c r="K1780" t="s">
        <v>104</v>
      </c>
      <c r="L1780">
        <v>0</v>
      </c>
      <c r="M1780">
        <v>3</v>
      </c>
      <c r="N1780">
        <v>0</v>
      </c>
      <c r="O1780">
        <v>18</v>
      </c>
      <c r="P1780">
        <v>2</v>
      </c>
      <c r="Q1780">
        <v>6</v>
      </c>
      <c r="R1780">
        <v>40</v>
      </c>
      <c r="S1780">
        <v>0</v>
      </c>
      <c r="T1780">
        <v>0</v>
      </c>
      <c r="U1780" s="8">
        <v>40</v>
      </c>
      <c r="V1780" s="8">
        <f t="shared" si="27"/>
        <v>4</v>
      </c>
    </row>
    <row r="1781" spans="1:22" x14ac:dyDescent="0.3">
      <c r="A1781" t="s">
        <v>615</v>
      </c>
      <c r="B1781">
        <v>4</v>
      </c>
      <c r="C1781" t="s">
        <v>532</v>
      </c>
      <c r="D1781" t="s">
        <v>637</v>
      </c>
      <c r="E1781" t="s">
        <v>158</v>
      </c>
      <c r="F1781" t="s">
        <v>101</v>
      </c>
      <c r="G1781" t="s">
        <v>104</v>
      </c>
      <c r="H1781">
        <v>0</v>
      </c>
      <c r="I1781">
        <v>0</v>
      </c>
      <c r="J1781">
        <v>0</v>
      </c>
      <c r="K1781" t="s">
        <v>104</v>
      </c>
      <c r="L1781">
        <v>0</v>
      </c>
      <c r="M1781">
        <v>4</v>
      </c>
      <c r="N1781">
        <v>0</v>
      </c>
      <c r="O1781">
        <v>14</v>
      </c>
      <c r="P1781">
        <v>1</v>
      </c>
      <c r="Q1781">
        <v>3.5</v>
      </c>
      <c r="R1781">
        <v>25</v>
      </c>
      <c r="S1781">
        <v>0</v>
      </c>
      <c r="T1781">
        <v>0</v>
      </c>
      <c r="U1781" s="8">
        <v>25</v>
      </c>
      <c r="V1781" s="8">
        <f t="shared" si="27"/>
        <v>3</v>
      </c>
    </row>
    <row r="1782" spans="1:22" x14ac:dyDescent="0.3">
      <c r="A1782" t="s">
        <v>615</v>
      </c>
      <c r="B1782">
        <v>4</v>
      </c>
      <c r="C1782" t="s">
        <v>533</v>
      </c>
      <c r="D1782" t="s">
        <v>638</v>
      </c>
      <c r="E1782" t="s">
        <v>158</v>
      </c>
      <c r="F1782" t="s">
        <v>101</v>
      </c>
      <c r="G1782" t="s">
        <v>104</v>
      </c>
      <c r="H1782">
        <v>0</v>
      </c>
      <c r="I1782">
        <v>0</v>
      </c>
      <c r="J1782">
        <v>0</v>
      </c>
      <c r="K1782" t="s">
        <v>104</v>
      </c>
      <c r="L1782">
        <v>0</v>
      </c>
      <c r="M1782">
        <v>4</v>
      </c>
      <c r="N1782">
        <v>0</v>
      </c>
      <c r="O1782">
        <v>26</v>
      </c>
      <c r="P1782">
        <v>3</v>
      </c>
      <c r="Q1782">
        <v>6.5</v>
      </c>
      <c r="R1782">
        <v>60</v>
      </c>
      <c r="S1782">
        <v>0</v>
      </c>
      <c r="T1782">
        <v>0</v>
      </c>
      <c r="U1782" s="8">
        <v>60</v>
      </c>
      <c r="V1782" s="8">
        <f t="shared" si="27"/>
        <v>6</v>
      </c>
    </row>
    <row r="1783" spans="1:22" x14ac:dyDescent="0.3">
      <c r="A1783" t="s">
        <v>616</v>
      </c>
      <c r="B1783">
        <v>4</v>
      </c>
      <c r="C1783" t="s">
        <v>112</v>
      </c>
      <c r="D1783" t="s">
        <v>88</v>
      </c>
      <c r="E1783" t="s">
        <v>266</v>
      </c>
      <c r="F1783" t="s">
        <v>169</v>
      </c>
      <c r="G1783" t="s">
        <v>86</v>
      </c>
      <c r="H1783">
        <v>56</v>
      </c>
      <c r="I1783">
        <v>39</v>
      </c>
      <c r="J1783">
        <v>143.59</v>
      </c>
      <c r="K1783" t="s">
        <v>245</v>
      </c>
      <c r="L1783">
        <v>65</v>
      </c>
      <c r="M1783">
        <v>2</v>
      </c>
      <c r="N1783">
        <v>0</v>
      </c>
      <c r="O1783">
        <v>10</v>
      </c>
      <c r="P1783">
        <v>3</v>
      </c>
      <c r="Q1783">
        <v>5</v>
      </c>
      <c r="R1783">
        <v>60</v>
      </c>
      <c r="S1783">
        <v>0</v>
      </c>
      <c r="T1783">
        <v>0</v>
      </c>
      <c r="U1783" s="8">
        <v>125</v>
      </c>
      <c r="V1783" s="8">
        <f t="shared" si="27"/>
        <v>10</v>
      </c>
    </row>
    <row r="1784" spans="1:22" x14ac:dyDescent="0.3">
      <c r="A1784" t="s">
        <v>616</v>
      </c>
      <c r="B1784">
        <v>4</v>
      </c>
      <c r="C1784" t="s">
        <v>347</v>
      </c>
      <c r="D1784" t="s">
        <v>348</v>
      </c>
      <c r="E1784" t="s">
        <v>266</v>
      </c>
      <c r="F1784" t="s">
        <v>169</v>
      </c>
      <c r="G1784" t="s">
        <v>92</v>
      </c>
      <c r="H1784">
        <v>7</v>
      </c>
      <c r="I1784">
        <v>7</v>
      </c>
      <c r="J1784">
        <v>100</v>
      </c>
      <c r="K1784" t="s">
        <v>247</v>
      </c>
      <c r="L1784">
        <v>10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 s="8">
        <v>10</v>
      </c>
      <c r="V1784" s="8">
        <f t="shared" si="27"/>
        <v>1</v>
      </c>
    </row>
    <row r="1785" spans="1:22" x14ac:dyDescent="0.3">
      <c r="A1785" t="s">
        <v>616</v>
      </c>
      <c r="B1785">
        <v>4</v>
      </c>
      <c r="C1785" t="s">
        <v>117</v>
      </c>
      <c r="D1785" t="s">
        <v>90</v>
      </c>
      <c r="E1785" t="s">
        <v>266</v>
      </c>
      <c r="F1785" t="s">
        <v>169</v>
      </c>
      <c r="G1785" t="s">
        <v>92</v>
      </c>
      <c r="H1785">
        <v>100</v>
      </c>
      <c r="I1785">
        <v>57</v>
      </c>
      <c r="J1785">
        <v>175.44</v>
      </c>
      <c r="K1785" t="s">
        <v>96</v>
      </c>
      <c r="L1785">
        <v>110</v>
      </c>
      <c r="M1785">
        <v>4</v>
      </c>
      <c r="N1785">
        <v>0</v>
      </c>
      <c r="O1785">
        <v>43</v>
      </c>
      <c r="P1785">
        <v>0</v>
      </c>
      <c r="Q1785">
        <v>10.8</v>
      </c>
      <c r="R1785">
        <v>0</v>
      </c>
      <c r="S1785">
        <v>0</v>
      </c>
      <c r="T1785">
        <v>0</v>
      </c>
      <c r="U1785" s="8">
        <v>110</v>
      </c>
      <c r="V1785" s="8">
        <f t="shared" si="27"/>
        <v>10</v>
      </c>
    </row>
    <row r="1786" spans="1:22" x14ac:dyDescent="0.3">
      <c r="A1786" t="s">
        <v>616</v>
      </c>
      <c r="B1786">
        <v>4</v>
      </c>
      <c r="C1786" t="s">
        <v>115</v>
      </c>
      <c r="D1786" t="s">
        <v>17</v>
      </c>
      <c r="E1786" t="s">
        <v>266</v>
      </c>
      <c r="F1786" t="s">
        <v>169</v>
      </c>
      <c r="G1786" t="s">
        <v>134</v>
      </c>
      <c r="H1786">
        <v>20</v>
      </c>
      <c r="I1786">
        <v>12</v>
      </c>
      <c r="J1786">
        <v>166.67</v>
      </c>
      <c r="K1786" t="s">
        <v>246</v>
      </c>
      <c r="L1786">
        <v>25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 s="8">
        <v>25</v>
      </c>
      <c r="V1786" s="8">
        <f t="shared" si="27"/>
        <v>3</v>
      </c>
    </row>
    <row r="1787" spans="1:22" x14ac:dyDescent="0.3">
      <c r="A1787" t="s">
        <v>616</v>
      </c>
      <c r="B1787">
        <v>4</v>
      </c>
      <c r="C1787" t="s">
        <v>121</v>
      </c>
      <c r="D1787" t="s">
        <v>108</v>
      </c>
      <c r="E1787" t="s">
        <v>266</v>
      </c>
      <c r="F1787" t="s">
        <v>169</v>
      </c>
      <c r="G1787" t="s">
        <v>134</v>
      </c>
      <c r="H1787">
        <v>4</v>
      </c>
      <c r="I1787">
        <v>4</v>
      </c>
      <c r="J1787">
        <v>100</v>
      </c>
      <c r="K1787" t="s">
        <v>245</v>
      </c>
      <c r="L1787">
        <v>5</v>
      </c>
      <c r="M1787">
        <v>4</v>
      </c>
      <c r="N1787">
        <v>0</v>
      </c>
      <c r="O1787">
        <v>51</v>
      </c>
      <c r="P1787">
        <v>1</v>
      </c>
      <c r="Q1787">
        <v>12.8</v>
      </c>
      <c r="R1787">
        <v>25</v>
      </c>
      <c r="S1787">
        <v>0</v>
      </c>
      <c r="T1787">
        <v>0</v>
      </c>
      <c r="U1787" s="8">
        <v>30</v>
      </c>
      <c r="V1787" s="8">
        <f t="shared" si="27"/>
        <v>3</v>
      </c>
    </row>
    <row r="1788" spans="1:22" x14ac:dyDescent="0.3">
      <c r="A1788" t="s">
        <v>616</v>
      </c>
      <c r="B1788">
        <v>4</v>
      </c>
      <c r="C1788" t="s">
        <v>119</v>
      </c>
      <c r="D1788" t="s">
        <v>95</v>
      </c>
      <c r="E1788" t="s">
        <v>266</v>
      </c>
      <c r="F1788" t="s">
        <v>169</v>
      </c>
      <c r="G1788" t="s">
        <v>134</v>
      </c>
      <c r="H1788">
        <v>1</v>
      </c>
      <c r="I1788">
        <v>1</v>
      </c>
      <c r="J1788">
        <v>100</v>
      </c>
      <c r="K1788" t="s">
        <v>96</v>
      </c>
      <c r="L1788">
        <v>5</v>
      </c>
      <c r="M1788">
        <v>4</v>
      </c>
      <c r="N1788">
        <v>0</v>
      </c>
      <c r="O1788">
        <v>37</v>
      </c>
      <c r="P1788">
        <v>2</v>
      </c>
      <c r="Q1788">
        <v>9.1999999999999993</v>
      </c>
      <c r="R1788">
        <v>45</v>
      </c>
      <c r="S1788">
        <v>0</v>
      </c>
      <c r="T1788">
        <v>0</v>
      </c>
      <c r="U1788" s="8">
        <v>50</v>
      </c>
      <c r="V1788" s="8">
        <f t="shared" si="27"/>
        <v>5</v>
      </c>
    </row>
    <row r="1789" spans="1:22" x14ac:dyDescent="0.3">
      <c r="A1789" t="s">
        <v>616</v>
      </c>
      <c r="B1789">
        <v>4</v>
      </c>
      <c r="C1789" t="s">
        <v>576</v>
      </c>
      <c r="D1789" t="s">
        <v>648</v>
      </c>
      <c r="E1789" t="s">
        <v>266</v>
      </c>
      <c r="F1789" t="s">
        <v>85</v>
      </c>
      <c r="G1789" t="s">
        <v>104</v>
      </c>
      <c r="H1789">
        <v>0</v>
      </c>
      <c r="I1789">
        <v>0</v>
      </c>
      <c r="J1789">
        <v>0</v>
      </c>
      <c r="K1789" t="s">
        <v>104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 s="8">
        <v>0</v>
      </c>
      <c r="V1789" s="8">
        <f t="shared" si="27"/>
        <v>0</v>
      </c>
    </row>
    <row r="1790" spans="1:22" x14ac:dyDescent="0.3">
      <c r="A1790" t="s">
        <v>616</v>
      </c>
      <c r="B1790">
        <v>4</v>
      </c>
      <c r="C1790" t="s">
        <v>507</v>
      </c>
      <c r="D1790" t="s">
        <v>519</v>
      </c>
      <c r="E1790" t="s">
        <v>266</v>
      </c>
      <c r="F1790" t="s">
        <v>101</v>
      </c>
      <c r="G1790" t="s">
        <v>104</v>
      </c>
      <c r="H1790">
        <v>0</v>
      </c>
      <c r="I1790">
        <v>0</v>
      </c>
      <c r="J1790">
        <v>0</v>
      </c>
      <c r="K1790" t="s">
        <v>104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 s="8">
        <v>0</v>
      </c>
      <c r="V1790" s="8">
        <f t="shared" si="27"/>
        <v>0</v>
      </c>
    </row>
    <row r="1791" spans="1:22" x14ac:dyDescent="0.3">
      <c r="A1791" t="s">
        <v>616</v>
      </c>
      <c r="B1791">
        <v>4</v>
      </c>
      <c r="C1791" t="s">
        <v>585</v>
      </c>
      <c r="D1791" t="s">
        <v>672</v>
      </c>
      <c r="E1791" t="s">
        <v>266</v>
      </c>
      <c r="F1791" t="s">
        <v>169</v>
      </c>
      <c r="G1791" t="s">
        <v>104</v>
      </c>
      <c r="H1791">
        <v>0</v>
      </c>
      <c r="I1791">
        <v>0</v>
      </c>
      <c r="J1791">
        <v>0</v>
      </c>
      <c r="K1791" t="s">
        <v>104</v>
      </c>
      <c r="L1791">
        <v>0</v>
      </c>
      <c r="M1791">
        <v>2</v>
      </c>
      <c r="N1791">
        <v>0</v>
      </c>
      <c r="O1791">
        <v>15</v>
      </c>
      <c r="P1791">
        <v>0</v>
      </c>
      <c r="Q1791">
        <v>7.5</v>
      </c>
      <c r="R1791">
        <v>0</v>
      </c>
      <c r="S1791">
        <v>0</v>
      </c>
      <c r="T1791">
        <v>0</v>
      </c>
      <c r="U1791" s="8">
        <v>0</v>
      </c>
      <c r="V1791" s="8">
        <f t="shared" si="27"/>
        <v>0</v>
      </c>
    </row>
    <row r="1792" spans="1:22" x14ac:dyDescent="0.3">
      <c r="A1792" t="s">
        <v>616</v>
      </c>
      <c r="B1792">
        <v>4</v>
      </c>
      <c r="C1792" t="s">
        <v>265</v>
      </c>
      <c r="D1792" t="s">
        <v>264</v>
      </c>
      <c r="E1792" t="s">
        <v>266</v>
      </c>
      <c r="F1792" t="s">
        <v>101</v>
      </c>
      <c r="G1792" t="s">
        <v>104</v>
      </c>
      <c r="H1792">
        <v>0</v>
      </c>
      <c r="I1792">
        <v>0</v>
      </c>
      <c r="J1792">
        <v>0</v>
      </c>
      <c r="K1792" t="s">
        <v>104</v>
      </c>
      <c r="L1792">
        <v>0</v>
      </c>
      <c r="M1792">
        <v>4</v>
      </c>
      <c r="N1792">
        <v>0</v>
      </c>
      <c r="O1792">
        <v>25</v>
      </c>
      <c r="P1792">
        <v>2</v>
      </c>
      <c r="Q1792">
        <v>6.2</v>
      </c>
      <c r="R1792">
        <v>50</v>
      </c>
      <c r="S1792">
        <v>0</v>
      </c>
      <c r="T1792">
        <v>0</v>
      </c>
      <c r="U1792" s="8">
        <v>50</v>
      </c>
      <c r="V1792" s="8">
        <f t="shared" si="27"/>
        <v>5</v>
      </c>
    </row>
    <row r="1793" spans="1:22" x14ac:dyDescent="0.3">
      <c r="A1793" t="s">
        <v>616</v>
      </c>
      <c r="B1793">
        <v>4</v>
      </c>
      <c r="C1793" t="s">
        <v>273</v>
      </c>
      <c r="D1793" t="s">
        <v>279</v>
      </c>
      <c r="E1793" t="s">
        <v>266</v>
      </c>
      <c r="F1793" t="s">
        <v>169</v>
      </c>
      <c r="G1793" t="s">
        <v>104</v>
      </c>
      <c r="H1793">
        <v>0</v>
      </c>
      <c r="I1793">
        <v>0</v>
      </c>
      <c r="J1793">
        <v>0</v>
      </c>
      <c r="K1793" t="s">
        <v>104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 s="8">
        <v>0</v>
      </c>
      <c r="V1793" s="8">
        <f t="shared" si="27"/>
        <v>0</v>
      </c>
    </row>
    <row r="1794" spans="1:22" x14ac:dyDescent="0.3">
      <c r="A1794" t="s">
        <v>616</v>
      </c>
      <c r="B1794">
        <v>4</v>
      </c>
      <c r="C1794" t="s">
        <v>226</v>
      </c>
      <c r="D1794" t="s">
        <v>211</v>
      </c>
      <c r="E1794" t="s">
        <v>159</v>
      </c>
      <c r="F1794" t="s">
        <v>169</v>
      </c>
      <c r="G1794" t="s">
        <v>86</v>
      </c>
      <c r="H1794">
        <v>15</v>
      </c>
      <c r="I1794">
        <v>9</v>
      </c>
      <c r="J1794">
        <v>166.67</v>
      </c>
      <c r="K1794" t="s">
        <v>246</v>
      </c>
      <c r="L1794">
        <v>20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 s="8">
        <v>20</v>
      </c>
      <c r="V1794" s="8">
        <f t="shared" si="27"/>
        <v>2</v>
      </c>
    </row>
    <row r="1795" spans="1:22" x14ac:dyDescent="0.3">
      <c r="A1795" t="s">
        <v>616</v>
      </c>
      <c r="B1795">
        <v>4</v>
      </c>
      <c r="C1795" t="s">
        <v>165</v>
      </c>
      <c r="D1795" t="s">
        <v>166</v>
      </c>
      <c r="E1795" t="s">
        <v>159</v>
      </c>
      <c r="F1795" t="s">
        <v>109</v>
      </c>
      <c r="G1795" t="s">
        <v>86</v>
      </c>
      <c r="H1795">
        <v>6</v>
      </c>
      <c r="I1795">
        <v>7</v>
      </c>
      <c r="J1795">
        <v>85.71</v>
      </c>
      <c r="K1795" t="s">
        <v>246</v>
      </c>
      <c r="L1795">
        <v>5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 s="8">
        <v>5</v>
      </c>
      <c r="V1795" s="8">
        <f t="shared" ref="V1795:V1858" si="28">MIN(10, MAX(0, ROUND(U1795/10,0)))</f>
        <v>1</v>
      </c>
    </row>
    <row r="1796" spans="1:22" x14ac:dyDescent="0.3">
      <c r="A1796" t="s">
        <v>616</v>
      </c>
      <c r="B1796">
        <v>4</v>
      </c>
      <c r="C1796" t="s">
        <v>514</v>
      </c>
      <c r="D1796" t="s">
        <v>567</v>
      </c>
      <c r="E1796" t="s">
        <v>159</v>
      </c>
      <c r="F1796" t="s">
        <v>109</v>
      </c>
      <c r="G1796" t="s">
        <v>92</v>
      </c>
      <c r="H1796">
        <v>9</v>
      </c>
      <c r="I1796">
        <v>6</v>
      </c>
      <c r="J1796">
        <v>150</v>
      </c>
      <c r="K1796" t="s">
        <v>246</v>
      </c>
      <c r="L1796">
        <v>15</v>
      </c>
      <c r="M1796">
        <v>1</v>
      </c>
      <c r="N1796">
        <v>0</v>
      </c>
      <c r="O1796">
        <v>12</v>
      </c>
      <c r="P1796">
        <v>0</v>
      </c>
      <c r="Q1796">
        <v>12</v>
      </c>
      <c r="R1796">
        <v>0</v>
      </c>
      <c r="S1796">
        <v>0</v>
      </c>
      <c r="T1796">
        <v>0</v>
      </c>
      <c r="U1796" s="8">
        <v>15</v>
      </c>
      <c r="V1796" s="8">
        <f t="shared" si="28"/>
        <v>2</v>
      </c>
    </row>
    <row r="1797" spans="1:22" x14ac:dyDescent="0.3">
      <c r="A1797" t="s">
        <v>616</v>
      </c>
      <c r="B1797">
        <v>4</v>
      </c>
      <c r="C1797" t="s">
        <v>535</v>
      </c>
      <c r="D1797" t="s">
        <v>645</v>
      </c>
      <c r="E1797" t="s">
        <v>159</v>
      </c>
      <c r="F1797" t="s">
        <v>169</v>
      </c>
      <c r="G1797" t="s">
        <v>92</v>
      </c>
      <c r="H1797">
        <v>1</v>
      </c>
      <c r="I1797">
        <v>2</v>
      </c>
      <c r="J1797">
        <v>50</v>
      </c>
      <c r="K1797" t="s">
        <v>245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 s="8">
        <v>0</v>
      </c>
      <c r="V1797" s="8">
        <f t="shared" si="28"/>
        <v>0</v>
      </c>
    </row>
    <row r="1798" spans="1:22" x14ac:dyDescent="0.3">
      <c r="A1798" t="s">
        <v>616</v>
      </c>
      <c r="B1798">
        <v>4</v>
      </c>
      <c r="C1798" t="s">
        <v>206</v>
      </c>
      <c r="D1798" t="s">
        <v>207</v>
      </c>
      <c r="E1798" t="s">
        <v>159</v>
      </c>
      <c r="F1798" t="s">
        <v>169</v>
      </c>
      <c r="G1798" t="s">
        <v>134</v>
      </c>
      <c r="H1798">
        <v>0</v>
      </c>
      <c r="I1798">
        <v>2</v>
      </c>
      <c r="J1798">
        <v>0</v>
      </c>
      <c r="K1798" t="s">
        <v>246</v>
      </c>
      <c r="L1798">
        <v>0</v>
      </c>
      <c r="M1798">
        <v>2</v>
      </c>
      <c r="N1798">
        <v>0</v>
      </c>
      <c r="O1798">
        <v>24</v>
      </c>
      <c r="P1798">
        <v>0</v>
      </c>
      <c r="Q1798">
        <v>12</v>
      </c>
      <c r="R1798">
        <v>0</v>
      </c>
      <c r="S1798">
        <v>0</v>
      </c>
      <c r="T1798">
        <v>0</v>
      </c>
      <c r="U1798" s="8">
        <v>0</v>
      </c>
      <c r="V1798" s="8">
        <f t="shared" si="28"/>
        <v>0</v>
      </c>
    </row>
    <row r="1799" spans="1:22" x14ac:dyDescent="0.3">
      <c r="A1799" t="s">
        <v>616</v>
      </c>
      <c r="B1799">
        <v>4</v>
      </c>
      <c r="C1799" t="s">
        <v>176</v>
      </c>
      <c r="D1799" t="s">
        <v>177</v>
      </c>
      <c r="E1799" t="s">
        <v>159</v>
      </c>
      <c r="F1799" t="s">
        <v>85</v>
      </c>
      <c r="G1799" t="s">
        <v>134</v>
      </c>
      <c r="H1799">
        <v>90</v>
      </c>
      <c r="I1799">
        <v>50</v>
      </c>
      <c r="J1799">
        <v>180</v>
      </c>
      <c r="K1799" t="s">
        <v>246</v>
      </c>
      <c r="L1799">
        <v>95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 s="8">
        <v>95</v>
      </c>
      <c r="V1799" s="8">
        <f t="shared" si="28"/>
        <v>10</v>
      </c>
    </row>
    <row r="1800" spans="1:22" x14ac:dyDescent="0.3">
      <c r="A1800" t="s">
        <v>616</v>
      </c>
      <c r="B1800">
        <v>4</v>
      </c>
      <c r="C1800" t="s">
        <v>449</v>
      </c>
      <c r="D1800" t="s">
        <v>410</v>
      </c>
      <c r="E1800" t="s">
        <v>159</v>
      </c>
      <c r="F1800" t="s">
        <v>169</v>
      </c>
      <c r="G1800" t="s">
        <v>134</v>
      </c>
      <c r="H1800">
        <v>28</v>
      </c>
      <c r="I1800">
        <v>20</v>
      </c>
      <c r="J1800">
        <v>140</v>
      </c>
      <c r="K1800" t="s">
        <v>246</v>
      </c>
      <c r="L1800">
        <v>35</v>
      </c>
      <c r="M1800">
        <v>4</v>
      </c>
      <c r="N1800">
        <v>0</v>
      </c>
      <c r="O1800">
        <v>40</v>
      </c>
      <c r="P1800">
        <v>1</v>
      </c>
      <c r="Q1800">
        <v>10</v>
      </c>
      <c r="R1800">
        <v>25</v>
      </c>
      <c r="S1800">
        <v>0</v>
      </c>
      <c r="T1800">
        <v>0</v>
      </c>
      <c r="U1800" s="8">
        <v>60</v>
      </c>
      <c r="V1800" s="8">
        <f t="shared" si="28"/>
        <v>6</v>
      </c>
    </row>
    <row r="1801" spans="1:22" x14ac:dyDescent="0.3">
      <c r="A1801" t="s">
        <v>616</v>
      </c>
      <c r="B1801">
        <v>4</v>
      </c>
      <c r="C1801" t="s">
        <v>202</v>
      </c>
      <c r="D1801" t="s">
        <v>203</v>
      </c>
      <c r="E1801" t="s">
        <v>159</v>
      </c>
      <c r="F1801" t="s">
        <v>101</v>
      </c>
      <c r="G1801" t="s">
        <v>134</v>
      </c>
      <c r="H1801">
        <v>14</v>
      </c>
      <c r="I1801">
        <v>18</v>
      </c>
      <c r="J1801">
        <v>77.78</v>
      </c>
      <c r="K1801" t="s">
        <v>246</v>
      </c>
      <c r="L1801">
        <v>15</v>
      </c>
      <c r="M1801">
        <v>3</v>
      </c>
      <c r="N1801">
        <v>0</v>
      </c>
      <c r="O1801">
        <v>36</v>
      </c>
      <c r="P1801">
        <v>0</v>
      </c>
      <c r="Q1801">
        <v>12</v>
      </c>
      <c r="R1801">
        <v>0</v>
      </c>
      <c r="S1801">
        <v>0</v>
      </c>
      <c r="T1801">
        <v>0</v>
      </c>
      <c r="U1801" s="8">
        <v>15</v>
      </c>
      <c r="V1801" s="8">
        <f t="shared" si="28"/>
        <v>2</v>
      </c>
    </row>
    <row r="1802" spans="1:22" x14ac:dyDescent="0.3">
      <c r="A1802" t="s">
        <v>616</v>
      </c>
      <c r="B1802">
        <v>4</v>
      </c>
      <c r="C1802" t="s">
        <v>415</v>
      </c>
      <c r="D1802" t="s">
        <v>425</v>
      </c>
      <c r="E1802" t="s">
        <v>159</v>
      </c>
      <c r="F1802" t="s">
        <v>101</v>
      </c>
      <c r="G1802" t="s">
        <v>134</v>
      </c>
      <c r="H1802">
        <v>0</v>
      </c>
      <c r="I1802">
        <v>1</v>
      </c>
      <c r="J1802">
        <v>0</v>
      </c>
      <c r="K1802" t="s">
        <v>256</v>
      </c>
      <c r="L1802">
        <v>0</v>
      </c>
      <c r="M1802">
        <v>4</v>
      </c>
      <c r="N1802">
        <v>0</v>
      </c>
      <c r="O1802">
        <v>42</v>
      </c>
      <c r="P1802">
        <v>0</v>
      </c>
      <c r="Q1802">
        <v>10.5</v>
      </c>
      <c r="R1802">
        <v>0</v>
      </c>
      <c r="S1802">
        <v>0</v>
      </c>
      <c r="T1802">
        <v>1</v>
      </c>
      <c r="U1802" s="8">
        <v>0</v>
      </c>
      <c r="V1802" s="8">
        <f t="shared" si="28"/>
        <v>0</v>
      </c>
    </row>
    <row r="1803" spans="1:22" x14ac:dyDescent="0.3">
      <c r="A1803" t="s">
        <v>616</v>
      </c>
      <c r="B1803">
        <v>4</v>
      </c>
      <c r="C1803" t="s">
        <v>259</v>
      </c>
      <c r="D1803" t="s">
        <v>257</v>
      </c>
      <c r="E1803" t="s">
        <v>159</v>
      </c>
      <c r="F1803" t="s">
        <v>169</v>
      </c>
      <c r="G1803" t="s">
        <v>134</v>
      </c>
      <c r="H1803">
        <v>12</v>
      </c>
      <c r="I1803">
        <v>5</v>
      </c>
      <c r="J1803">
        <v>240</v>
      </c>
      <c r="K1803" t="s">
        <v>96</v>
      </c>
      <c r="L1803">
        <v>20</v>
      </c>
      <c r="M1803">
        <v>3</v>
      </c>
      <c r="N1803">
        <v>0</v>
      </c>
      <c r="O1803">
        <v>34</v>
      </c>
      <c r="P1803">
        <v>1</v>
      </c>
      <c r="Q1803">
        <v>11.3</v>
      </c>
      <c r="R1803">
        <v>25</v>
      </c>
      <c r="S1803">
        <v>0</v>
      </c>
      <c r="T1803">
        <v>0</v>
      </c>
      <c r="U1803" s="8">
        <v>45</v>
      </c>
      <c r="V1803" s="8">
        <f t="shared" si="28"/>
        <v>5</v>
      </c>
    </row>
    <row r="1804" spans="1:22" x14ac:dyDescent="0.3">
      <c r="A1804" t="s">
        <v>616</v>
      </c>
      <c r="B1804">
        <v>4</v>
      </c>
      <c r="C1804" t="s">
        <v>527</v>
      </c>
      <c r="D1804" t="s">
        <v>627</v>
      </c>
      <c r="E1804" t="s">
        <v>159</v>
      </c>
      <c r="F1804" t="s">
        <v>101</v>
      </c>
      <c r="G1804" t="s">
        <v>134</v>
      </c>
      <c r="H1804">
        <v>0</v>
      </c>
      <c r="I1804">
        <v>0</v>
      </c>
      <c r="J1804">
        <v>0</v>
      </c>
      <c r="K1804" t="s">
        <v>104</v>
      </c>
      <c r="L1804">
        <v>0</v>
      </c>
      <c r="M1804">
        <v>4</v>
      </c>
      <c r="N1804">
        <v>0</v>
      </c>
      <c r="O1804">
        <v>21</v>
      </c>
      <c r="P1804">
        <v>2</v>
      </c>
      <c r="Q1804">
        <v>5.2</v>
      </c>
      <c r="R1804">
        <v>50</v>
      </c>
      <c r="S1804">
        <v>0</v>
      </c>
      <c r="T1804">
        <v>0</v>
      </c>
      <c r="U1804" s="8">
        <v>50</v>
      </c>
      <c r="V1804" s="8">
        <f t="shared" si="28"/>
        <v>5</v>
      </c>
    </row>
    <row r="1805" spans="1:22" x14ac:dyDescent="0.3">
      <c r="A1805" t="s">
        <v>617</v>
      </c>
      <c r="B1805">
        <v>4</v>
      </c>
      <c r="C1805" t="s">
        <v>81</v>
      </c>
      <c r="D1805" t="s">
        <v>114</v>
      </c>
      <c r="E1805" t="s">
        <v>258</v>
      </c>
      <c r="F1805" t="s">
        <v>85</v>
      </c>
      <c r="G1805" t="s">
        <v>86</v>
      </c>
      <c r="H1805">
        <v>58</v>
      </c>
      <c r="I1805">
        <v>46</v>
      </c>
      <c r="J1805">
        <v>126.09</v>
      </c>
      <c r="K1805" t="s">
        <v>246</v>
      </c>
      <c r="L1805">
        <v>65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 s="8">
        <v>65</v>
      </c>
      <c r="V1805" s="8">
        <f t="shared" si="28"/>
        <v>7</v>
      </c>
    </row>
    <row r="1806" spans="1:22" x14ac:dyDescent="0.3">
      <c r="A1806" t="s">
        <v>617</v>
      </c>
      <c r="B1806">
        <v>4</v>
      </c>
      <c r="C1806" t="s">
        <v>167</v>
      </c>
      <c r="D1806" t="s">
        <v>168</v>
      </c>
      <c r="E1806" t="s">
        <v>258</v>
      </c>
      <c r="F1806" t="s">
        <v>169</v>
      </c>
      <c r="G1806" t="s">
        <v>92</v>
      </c>
      <c r="H1806">
        <v>13</v>
      </c>
      <c r="I1806">
        <v>10</v>
      </c>
      <c r="J1806">
        <v>130</v>
      </c>
      <c r="K1806" t="s">
        <v>245</v>
      </c>
      <c r="L1806">
        <v>15</v>
      </c>
      <c r="M1806">
        <v>4</v>
      </c>
      <c r="N1806">
        <v>0</v>
      </c>
      <c r="O1806">
        <v>37</v>
      </c>
      <c r="P1806">
        <v>4</v>
      </c>
      <c r="Q1806">
        <v>9.1999999999999993</v>
      </c>
      <c r="R1806">
        <v>75</v>
      </c>
      <c r="S1806">
        <v>0</v>
      </c>
      <c r="T1806">
        <v>0</v>
      </c>
      <c r="U1806" s="8">
        <v>90</v>
      </c>
      <c r="V1806" s="8">
        <f t="shared" si="28"/>
        <v>9</v>
      </c>
    </row>
    <row r="1807" spans="1:22" x14ac:dyDescent="0.3">
      <c r="A1807" t="s">
        <v>617</v>
      </c>
      <c r="B1807">
        <v>4</v>
      </c>
      <c r="C1807" t="s">
        <v>529</v>
      </c>
      <c r="D1807" t="s">
        <v>632</v>
      </c>
      <c r="E1807" t="s">
        <v>258</v>
      </c>
      <c r="F1807" t="s">
        <v>109</v>
      </c>
      <c r="G1807" t="s">
        <v>92</v>
      </c>
      <c r="H1807">
        <v>39</v>
      </c>
      <c r="I1807">
        <v>25</v>
      </c>
      <c r="J1807">
        <v>156</v>
      </c>
      <c r="K1807" t="s">
        <v>246</v>
      </c>
      <c r="L1807">
        <v>45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 s="8">
        <v>45</v>
      </c>
      <c r="V1807" s="8">
        <f t="shared" si="28"/>
        <v>5</v>
      </c>
    </row>
    <row r="1808" spans="1:22" x14ac:dyDescent="0.3">
      <c r="A1808" t="s">
        <v>617</v>
      </c>
      <c r="B1808">
        <v>4</v>
      </c>
      <c r="C1808" t="s">
        <v>93</v>
      </c>
      <c r="D1808" t="s">
        <v>118</v>
      </c>
      <c r="E1808" t="s">
        <v>258</v>
      </c>
      <c r="F1808" t="s">
        <v>169</v>
      </c>
      <c r="G1808" t="s">
        <v>134</v>
      </c>
      <c r="H1808">
        <v>2</v>
      </c>
      <c r="I1808">
        <v>4</v>
      </c>
      <c r="J1808">
        <v>50</v>
      </c>
      <c r="K1808" t="s">
        <v>246</v>
      </c>
      <c r="L1808">
        <v>0</v>
      </c>
      <c r="M1808">
        <v>4</v>
      </c>
      <c r="N1808">
        <v>0</v>
      </c>
      <c r="O1808">
        <v>37</v>
      </c>
      <c r="P1808">
        <v>1</v>
      </c>
      <c r="Q1808">
        <v>9.1999999999999993</v>
      </c>
      <c r="R1808">
        <v>25</v>
      </c>
      <c r="S1808">
        <v>0</v>
      </c>
      <c r="T1808">
        <v>0</v>
      </c>
      <c r="U1808" s="8">
        <v>25</v>
      </c>
      <c r="V1808" s="8">
        <f t="shared" si="28"/>
        <v>3</v>
      </c>
    </row>
    <row r="1809" spans="1:22" x14ac:dyDescent="0.3">
      <c r="A1809" t="s">
        <v>617</v>
      </c>
      <c r="B1809">
        <v>4</v>
      </c>
      <c r="C1809" t="s">
        <v>99</v>
      </c>
      <c r="D1809" t="s">
        <v>124</v>
      </c>
      <c r="E1809" t="s">
        <v>258</v>
      </c>
      <c r="F1809" t="s">
        <v>169</v>
      </c>
      <c r="G1809" t="s">
        <v>134</v>
      </c>
      <c r="H1809">
        <v>11</v>
      </c>
      <c r="I1809">
        <v>7</v>
      </c>
      <c r="J1809">
        <v>157.13999999999999</v>
      </c>
      <c r="K1809" t="s">
        <v>245</v>
      </c>
      <c r="L1809">
        <v>15</v>
      </c>
      <c r="M1809">
        <v>1</v>
      </c>
      <c r="N1809">
        <v>0</v>
      </c>
      <c r="O1809">
        <v>12</v>
      </c>
      <c r="P1809">
        <v>0</v>
      </c>
      <c r="Q1809">
        <v>12</v>
      </c>
      <c r="R1809">
        <v>0</v>
      </c>
      <c r="S1809">
        <v>0</v>
      </c>
      <c r="T1809">
        <v>0</v>
      </c>
      <c r="U1809" s="8">
        <v>15</v>
      </c>
      <c r="V1809" s="8">
        <f t="shared" si="28"/>
        <v>2</v>
      </c>
    </row>
    <row r="1810" spans="1:22" x14ac:dyDescent="0.3">
      <c r="A1810" t="s">
        <v>617</v>
      </c>
      <c r="B1810">
        <v>4</v>
      </c>
      <c r="C1810" t="s">
        <v>447</v>
      </c>
      <c r="D1810" t="s">
        <v>448</v>
      </c>
      <c r="E1810" t="s">
        <v>258</v>
      </c>
      <c r="F1810" t="s">
        <v>109</v>
      </c>
      <c r="G1810" t="s">
        <v>134</v>
      </c>
      <c r="H1810">
        <v>3</v>
      </c>
      <c r="I1810">
        <v>5</v>
      </c>
      <c r="J1810">
        <v>60</v>
      </c>
      <c r="K1810" t="s">
        <v>245</v>
      </c>
      <c r="L1810">
        <v>5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 s="8">
        <v>5</v>
      </c>
      <c r="V1810" s="8">
        <f t="shared" si="28"/>
        <v>1</v>
      </c>
    </row>
    <row r="1811" spans="1:22" x14ac:dyDescent="0.3">
      <c r="A1811" t="s">
        <v>617</v>
      </c>
      <c r="B1811">
        <v>4</v>
      </c>
      <c r="C1811" t="s">
        <v>178</v>
      </c>
      <c r="D1811" t="s">
        <v>179</v>
      </c>
      <c r="E1811" t="s">
        <v>258</v>
      </c>
      <c r="F1811" t="s">
        <v>169</v>
      </c>
      <c r="G1811" t="s">
        <v>134</v>
      </c>
      <c r="H1811">
        <v>4</v>
      </c>
      <c r="I1811">
        <v>5</v>
      </c>
      <c r="J1811">
        <v>80</v>
      </c>
      <c r="K1811" t="s">
        <v>247</v>
      </c>
      <c r="L1811">
        <v>5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 s="8">
        <v>5</v>
      </c>
      <c r="V1811" s="8">
        <f t="shared" si="28"/>
        <v>1</v>
      </c>
    </row>
    <row r="1812" spans="1:22" x14ac:dyDescent="0.3">
      <c r="A1812" t="s">
        <v>617</v>
      </c>
      <c r="B1812">
        <v>4</v>
      </c>
      <c r="C1812" t="s">
        <v>493</v>
      </c>
      <c r="D1812" t="s">
        <v>500</v>
      </c>
      <c r="E1812" t="s">
        <v>258</v>
      </c>
      <c r="F1812" t="s">
        <v>101</v>
      </c>
      <c r="G1812" t="s">
        <v>134</v>
      </c>
      <c r="H1812">
        <v>2</v>
      </c>
      <c r="I1812">
        <v>3</v>
      </c>
      <c r="J1812">
        <v>66.67</v>
      </c>
      <c r="K1812" t="s">
        <v>245</v>
      </c>
      <c r="L1812">
        <v>0</v>
      </c>
      <c r="M1812">
        <v>2</v>
      </c>
      <c r="N1812">
        <v>0</v>
      </c>
      <c r="O1812">
        <v>18</v>
      </c>
      <c r="P1812">
        <v>0</v>
      </c>
      <c r="Q1812">
        <v>9</v>
      </c>
      <c r="R1812">
        <v>0</v>
      </c>
      <c r="S1812">
        <v>0</v>
      </c>
      <c r="T1812">
        <v>0</v>
      </c>
      <c r="U1812" s="8">
        <v>0</v>
      </c>
      <c r="V1812" s="8">
        <f t="shared" si="28"/>
        <v>0</v>
      </c>
    </row>
    <row r="1813" spans="1:22" x14ac:dyDescent="0.3">
      <c r="A1813" t="s">
        <v>617</v>
      </c>
      <c r="B1813">
        <v>4</v>
      </c>
      <c r="C1813" t="s">
        <v>105</v>
      </c>
      <c r="D1813" t="s">
        <v>128</v>
      </c>
      <c r="E1813" t="s">
        <v>258</v>
      </c>
      <c r="F1813" t="s">
        <v>101</v>
      </c>
      <c r="G1813" t="s">
        <v>134</v>
      </c>
      <c r="H1813">
        <v>21</v>
      </c>
      <c r="I1813">
        <v>11</v>
      </c>
      <c r="J1813">
        <v>190.91</v>
      </c>
      <c r="K1813" t="s">
        <v>246</v>
      </c>
      <c r="L1813">
        <v>25</v>
      </c>
      <c r="M1813">
        <v>4</v>
      </c>
      <c r="N1813">
        <v>0</v>
      </c>
      <c r="O1813">
        <v>26</v>
      </c>
      <c r="P1813">
        <v>0</v>
      </c>
      <c r="Q1813">
        <v>6.5</v>
      </c>
      <c r="R1813">
        <v>0</v>
      </c>
      <c r="S1813">
        <v>0</v>
      </c>
      <c r="T1813">
        <v>0</v>
      </c>
      <c r="U1813" s="8">
        <v>25</v>
      </c>
      <c r="V1813" s="8">
        <f t="shared" si="28"/>
        <v>3</v>
      </c>
    </row>
    <row r="1814" spans="1:22" x14ac:dyDescent="0.3">
      <c r="A1814" t="s">
        <v>617</v>
      </c>
      <c r="B1814">
        <v>4</v>
      </c>
      <c r="C1814" t="s">
        <v>186</v>
      </c>
      <c r="D1814" t="s">
        <v>187</v>
      </c>
      <c r="E1814" t="s">
        <v>258</v>
      </c>
      <c r="F1814" t="s">
        <v>101</v>
      </c>
      <c r="G1814" t="s">
        <v>134</v>
      </c>
      <c r="H1814">
        <v>3</v>
      </c>
      <c r="I1814">
        <v>4</v>
      </c>
      <c r="J1814">
        <v>75</v>
      </c>
      <c r="K1814" t="s">
        <v>96</v>
      </c>
      <c r="L1814">
        <v>5</v>
      </c>
      <c r="M1814">
        <v>1</v>
      </c>
      <c r="N1814">
        <v>0</v>
      </c>
      <c r="O1814">
        <v>16</v>
      </c>
      <c r="P1814">
        <v>0</v>
      </c>
      <c r="Q1814">
        <v>16</v>
      </c>
      <c r="R1814">
        <v>0</v>
      </c>
      <c r="S1814">
        <v>0</v>
      </c>
      <c r="T1814">
        <v>0</v>
      </c>
      <c r="U1814" s="8">
        <v>5</v>
      </c>
      <c r="V1814" s="8">
        <f t="shared" si="28"/>
        <v>1</v>
      </c>
    </row>
    <row r="1815" spans="1:22" x14ac:dyDescent="0.3">
      <c r="A1815" t="s">
        <v>617</v>
      </c>
      <c r="B1815">
        <v>4</v>
      </c>
      <c r="C1815" t="s">
        <v>237</v>
      </c>
      <c r="D1815" t="s">
        <v>238</v>
      </c>
      <c r="E1815" t="s">
        <v>258</v>
      </c>
      <c r="F1815" t="s">
        <v>101</v>
      </c>
      <c r="G1815" t="s">
        <v>104</v>
      </c>
      <c r="H1815">
        <v>0</v>
      </c>
      <c r="I1815">
        <v>0</v>
      </c>
      <c r="J1815">
        <v>0</v>
      </c>
      <c r="K1815" t="s">
        <v>104</v>
      </c>
      <c r="L1815">
        <v>0</v>
      </c>
      <c r="M1815">
        <v>4</v>
      </c>
      <c r="N1815">
        <v>0</v>
      </c>
      <c r="O1815">
        <v>20</v>
      </c>
      <c r="P1815">
        <v>3</v>
      </c>
      <c r="Q1815">
        <v>5</v>
      </c>
      <c r="R1815">
        <v>60</v>
      </c>
      <c r="S1815">
        <v>0</v>
      </c>
      <c r="T1815">
        <v>0</v>
      </c>
      <c r="U1815" s="8">
        <v>60</v>
      </c>
      <c r="V1815" s="8">
        <f t="shared" si="28"/>
        <v>6</v>
      </c>
    </row>
    <row r="1816" spans="1:22" x14ac:dyDescent="0.3">
      <c r="A1816" t="s">
        <v>617</v>
      </c>
      <c r="B1816">
        <v>4</v>
      </c>
      <c r="C1816" t="s">
        <v>188</v>
      </c>
      <c r="D1816" t="s">
        <v>189</v>
      </c>
      <c r="E1816" t="s">
        <v>158</v>
      </c>
      <c r="F1816" t="s">
        <v>109</v>
      </c>
      <c r="G1816" t="s">
        <v>86</v>
      </c>
      <c r="H1816">
        <v>14</v>
      </c>
      <c r="I1816">
        <v>10</v>
      </c>
      <c r="J1816">
        <v>140</v>
      </c>
      <c r="K1816" t="s">
        <v>246</v>
      </c>
      <c r="L1816">
        <v>15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 s="8">
        <v>15</v>
      </c>
      <c r="V1816" s="8">
        <f t="shared" si="28"/>
        <v>2</v>
      </c>
    </row>
    <row r="1817" spans="1:22" x14ac:dyDescent="0.3">
      <c r="A1817" t="s">
        <v>617</v>
      </c>
      <c r="B1817">
        <v>4</v>
      </c>
      <c r="C1817" t="s">
        <v>531</v>
      </c>
      <c r="D1817" t="s">
        <v>636</v>
      </c>
      <c r="E1817" t="s">
        <v>158</v>
      </c>
      <c r="F1817" t="s">
        <v>85</v>
      </c>
      <c r="G1817" t="s">
        <v>86</v>
      </c>
      <c r="H1817">
        <v>11</v>
      </c>
      <c r="I1817">
        <v>20</v>
      </c>
      <c r="J1817">
        <v>55</v>
      </c>
      <c r="K1817" t="s">
        <v>246</v>
      </c>
      <c r="L1817">
        <v>10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 s="8">
        <v>10</v>
      </c>
      <c r="V1817" s="8">
        <f t="shared" si="28"/>
        <v>1</v>
      </c>
    </row>
    <row r="1818" spans="1:22" x14ac:dyDescent="0.3">
      <c r="A1818" t="s">
        <v>617</v>
      </c>
      <c r="B1818">
        <v>4</v>
      </c>
      <c r="C1818" t="s">
        <v>278</v>
      </c>
      <c r="D1818" t="s">
        <v>293</v>
      </c>
      <c r="E1818" t="s">
        <v>158</v>
      </c>
      <c r="F1818" t="s">
        <v>109</v>
      </c>
      <c r="G1818" t="s">
        <v>92</v>
      </c>
      <c r="H1818">
        <v>24</v>
      </c>
      <c r="I1818">
        <v>23</v>
      </c>
      <c r="J1818">
        <v>104.35</v>
      </c>
      <c r="K1818" t="s">
        <v>245</v>
      </c>
      <c r="L1818">
        <v>25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 s="8">
        <v>25</v>
      </c>
      <c r="V1818" s="8">
        <f t="shared" si="28"/>
        <v>3</v>
      </c>
    </row>
    <row r="1819" spans="1:22" x14ac:dyDescent="0.3">
      <c r="A1819" t="s">
        <v>617</v>
      </c>
      <c r="B1819">
        <v>4</v>
      </c>
      <c r="C1819" t="s">
        <v>194</v>
      </c>
      <c r="D1819" t="s">
        <v>195</v>
      </c>
      <c r="E1819" t="s">
        <v>158</v>
      </c>
      <c r="F1819" t="s">
        <v>109</v>
      </c>
      <c r="G1819" t="s">
        <v>92</v>
      </c>
      <c r="H1819">
        <v>16</v>
      </c>
      <c r="I1819">
        <v>16</v>
      </c>
      <c r="J1819">
        <v>100</v>
      </c>
      <c r="K1819" t="s">
        <v>245</v>
      </c>
      <c r="L1819">
        <v>20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 s="8">
        <v>20</v>
      </c>
      <c r="V1819" s="8">
        <f t="shared" si="28"/>
        <v>2</v>
      </c>
    </row>
    <row r="1820" spans="1:22" x14ac:dyDescent="0.3">
      <c r="A1820" t="s">
        <v>617</v>
      </c>
      <c r="B1820">
        <v>4</v>
      </c>
      <c r="C1820" t="s">
        <v>192</v>
      </c>
      <c r="D1820" t="s">
        <v>193</v>
      </c>
      <c r="E1820" t="s">
        <v>158</v>
      </c>
      <c r="F1820" t="s">
        <v>169</v>
      </c>
      <c r="G1820" t="s">
        <v>134</v>
      </c>
      <c r="H1820">
        <v>0</v>
      </c>
      <c r="I1820">
        <v>1</v>
      </c>
      <c r="J1820">
        <v>0</v>
      </c>
      <c r="K1820" t="s">
        <v>245</v>
      </c>
      <c r="L1820">
        <v>0</v>
      </c>
      <c r="M1820">
        <v>4</v>
      </c>
      <c r="N1820">
        <v>0</v>
      </c>
      <c r="O1820">
        <v>34</v>
      </c>
      <c r="P1820">
        <v>1</v>
      </c>
      <c r="Q1820">
        <v>8.5</v>
      </c>
      <c r="R1820">
        <v>25</v>
      </c>
      <c r="S1820">
        <v>0</v>
      </c>
      <c r="T1820">
        <v>0</v>
      </c>
      <c r="U1820" s="8">
        <v>25</v>
      </c>
      <c r="V1820" s="8">
        <f t="shared" si="28"/>
        <v>3</v>
      </c>
    </row>
    <row r="1821" spans="1:22" x14ac:dyDescent="0.3">
      <c r="A1821" t="s">
        <v>617</v>
      </c>
      <c r="B1821">
        <v>4</v>
      </c>
      <c r="C1821" t="s">
        <v>512</v>
      </c>
      <c r="D1821" t="s">
        <v>542</v>
      </c>
      <c r="E1821" t="s">
        <v>158</v>
      </c>
      <c r="F1821" t="s">
        <v>169</v>
      </c>
      <c r="G1821" t="s">
        <v>134</v>
      </c>
      <c r="H1821">
        <v>9</v>
      </c>
      <c r="I1821">
        <v>11</v>
      </c>
      <c r="J1821">
        <v>81.819999999999993</v>
      </c>
      <c r="K1821" t="s">
        <v>246</v>
      </c>
      <c r="L1821">
        <v>10</v>
      </c>
      <c r="M1821">
        <v>4</v>
      </c>
      <c r="N1821">
        <v>0</v>
      </c>
      <c r="O1821">
        <v>38</v>
      </c>
      <c r="P1821">
        <v>2</v>
      </c>
      <c r="Q1821">
        <v>9.5</v>
      </c>
      <c r="R1821">
        <v>40</v>
      </c>
      <c r="S1821">
        <v>0</v>
      </c>
      <c r="T1821">
        <v>0</v>
      </c>
      <c r="U1821" s="8">
        <v>50</v>
      </c>
      <c r="V1821" s="8">
        <f t="shared" si="28"/>
        <v>5</v>
      </c>
    </row>
    <row r="1822" spans="1:22" x14ac:dyDescent="0.3">
      <c r="A1822" t="s">
        <v>617</v>
      </c>
      <c r="B1822">
        <v>4</v>
      </c>
      <c r="C1822" t="s">
        <v>495</v>
      </c>
      <c r="D1822" t="s">
        <v>503</v>
      </c>
      <c r="E1822" t="s">
        <v>158</v>
      </c>
      <c r="F1822" t="s">
        <v>169</v>
      </c>
      <c r="G1822" t="s">
        <v>134</v>
      </c>
      <c r="H1822">
        <v>47</v>
      </c>
      <c r="I1822">
        <v>24</v>
      </c>
      <c r="J1822">
        <v>195.83</v>
      </c>
      <c r="K1822" t="s">
        <v>246</v>
      </c>
      <c r="L1822">
        <v>55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 s="8">
        <v>55</v>
      </c>
      <c r="V1822" s="8">
        <f t="shared" si="28"/>
        <v>6</v>
      </c>
    </row>
    <row r="1823" spans="1:22" x14ac:dyDescent="0.3">
      <c r="A1823" t="s">
        <v>617</v>
      </c>
      <c r="B1823">
        <v>4</v>
      </c>
      <c r="C1823" t="s">
        <v>102</v>
      </c>
      <c r="D1823" t="s">
        <v>126</v>
      </c>
      <c r="E1823" t="s">
        <v>158</v>
      </c>
      <c r="F1823" t="s">
        <v>169</v>
      </c>
      <c r="G1823" t="s">
        <v>134</v>
      </c>
      <c r="H1823">
        <v>29</v>
      </c>
      <c r="I1823">
        <v>15</v>
      </c>
      <c r="J1823">
        <v>193.33</v>
      </c>
      <c r="K1823" t="s">
        <v>246</v>
      </c>
      <c r="L1823">
        <v>35</v>
      </c>
      <c r="M1823">
        <v>1</v>
      </c>
      <c r="N1823">
        <v>0</v>
      </c>
      <c r="O1823">
        <v>11</v>
      </c>
      <c r="P1823">
        <v>0</v>
      </c>
      <c r="Q1823">
        <v>11</v>
      </c>
      <c r="R1823">
        <v>0</v>
      </c>
      <c r="S1823">
        <v>0</v>
      </c>
      <c r="T1823">
        <v>0</v>
      </c>
      <c r="U1823" s="8">
        <v>35</v>
      </c>
      <c r="V1823" s="8">
        <f t="shared" si="28"/>
        <v>4</v>
      </c>
    </row>
    <row r="1824" spans="1:22" x14ac:dyDescent="0.3">
      <c r="A1824" t="s">
        <v>617</v>
      </c>
      <c r="B1824">
        <v>4</v>
      </c>
      <c r="C1824" t="s">
        <v>274</v>
      </c>
      <c r="D1824" t="s">
        <v>284</v>
      </c>
      <c r="E1824" t="s">
        <v>158</v>
      </c>
      <c r="F1824" t="s">
        <v>169</v>
      </c>
      <c r="G1824" t="s">
        <v>134</v>
      </c>
      <c r="H1824">
        <v>1</v>
      </c>
      <c r="I1824">
        <v>1</v>
      </c>
      <c r="J1824">
        <v>100</v>
      </c>
      <c r="K1824" t="s">
        <v>96</v>
      </c>
      <c r="L1824">
        <v>5</v>
      </c>
      <c r="M1824">
        <v>3</v>
      </c>
      <c r="N1824">
        <v>0</v>
      </c>
      <c r="O1824">
        <v>23</v>
      </c>
      <c r="P1824">
        <v>1</v>
      </c>
      <c r="Q1824">
        <v>7.7</v>
      </c>
      <c r="R1824">
        <v>25</v>
      </c>
      <c r="S1824">
        <v>0</v>
      </c>
      <c r="T1824">
        <v>0</v>
      </c>
      <c r="U1824" s="8">
        <v>30</v>
      </c>
      <c r="V1824" s="8">
        <f t="shared" si="28"/>
        <v>3</v>
      </c>
    </row>
    <row r="1825" spans="1:22" x14ac:dyDescent="0.3">
      <c r="A1825" t="s">
        <v>617</v>
      </c>
      <c r="B1825">
        <v>4</v>
      </c>
      <c r="C1825" t="s">
        <v>532</v>
      </c>
      <c r="D1825" t="s">
        <v>637</v>
      </c>
      <c r="E1825" t="s">
        <v>158</v>
      </c>
      <c r="F1825" t="s">
        <v>101</v>
      </c>
      <c r="G1825" t="s">
        <v>104</v>
      </c>
      <c r="H1825">
        <v>0</v>
      </c>
      <c r="I1825">
        <v>0</v>
      </c>
      <c r="J1825">
        <v>0</v>
      </c>
      <c r="K1825" t="s">
        <v>104</v>
      </c>
      <c r="L1825">
        <v>0</v>
      </c>
      <c r="M1825">
        <v>4</v>
      </c>
      <c r="N1825">
        <v>0</v>
      </c>
      <c r="O1825">
        <v>31</v>
      </c>
      <c r="P1825">
        <v>4</v>
      </c>
      <c r="Q1825">
        <v>7.8</v>
      </c>
      <c r="R1825">
        <v>75</v>
      </c>
      <c r="S1825">
        <v>0</v>
      </c>
      <c r="T1825">
        <v>0</v>
      </c>
      <c r="U1825" s="8">
        <v>75</v>
      </c>
      <c r="V1825" s="8">
        <f t="shared" si="28"/>
        <v>8</v>
      </c>
    </row>
    <row r="1826" spans="1:22" x14ac:dyDescent="0.3">
      <c r="A1826" t="s">
        <v>617</v>
      </c>
      <c r="B1826">
        <v>4</v>
      </c>
      <c r="C1826" t="s">
        <v>533</v>
      </c>
      <c r="D1826" t="s">
        <v>638</v>
      </c>
      <c r="E1826" t="s">
        <v>158</v>
      </c>
      <c r="F1826" t="s">
        <v>101</v>
      </c>
      <c r="G1826" t="s">
        <v>104</v>
      </c>
      <c r="H1826">
        <v>0</v>
      </c>
      <c r="I1826">
        <v>0</v>
      </c>
      <c r="J1826">
        <v>0</v>
      </c>
      <c r="K1826" t="s">
        <v>104</v>
      </c>
      <c r="L1826">
        <v>0</v>
      </c>
      <c r="M1826">
        <v>4</v>
      </c>
      <c r="N1826">
        <v>0</v>
      </c>
      <c r="O1826">
        <v>26</v>
      </c>
      <c r="P1826">
        <v>1</v>
      </c>
      <c r="Q1826">
        <v>6.5</v>
      </c>
      <c r="R1826">
        <v>25</v>
      </c>
      <c r="S1826">
        <v>0</v>
      </c>
      <c r="T1826">
        <v>0</v>
      </c>
      <c r="U1826" s="8">
        <v>25</v>
      </c>
      <c r="V1826" s="8">
        <f t="shared" si="28"/>
        <v>3</v>
      </c>
    </row>
    <row r="1827" spans="1:22" x14ac:dyDescent="0.3">
      <c r="A1827" t="s">
        <v>618</v>
      </c>
      <c r="B1827">
        <v>4</v>
      </c>
      <c r="C1827" t="s">
        <v>190</v>
      </c>
      <c r="D1827" t="s">
        <v>191</v>
      </c>
      <c r="E1827" t="s">
        <v>219</v>
      </c>
      <c r="F1827" t="s">
        <v>109</v>
      </c>
      <c r="G1827" t="s">
        <v>86</v>
      </c>
      <c r="H1827">
        <v>41</v>
      </c>
      <c r="I1827">
        <v>30</v>
      </c>
      <c r="J1827">
        <v>136.66999999999999</v>
      </c>
      <c r="K1827" t="s">
        <v>246</v>
      </c>
      <c r="L1827">
        <v>50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 s="8">
        <v>50</v>
      </c>
      <c r="V1827" s="8">
        <f t="shared" si="28"/>
        <v>5</v>
      </c>
    </row>
    <row r="1828" spans="1:22" x14ac:dyDescent="0.3">
      <c r="A1828" t="s">
        <v>618</v>
      </c>
      <c r="B1828">
        <v>4</v>
      </c>
      <c r="C1828" t="s">
        <v>224</v>
      </c>
      <c r="D1828" t="s">
        <v>225</v>
      </c>
      <c r="E1828" t="s">
        <v>219</v>
      </c>
      <c r="F1828" t="s">
        <v>169</v>
      </c>
      <c r="G1828" t="s">
        <v>92</v>
      </c>
      <c r="H1828">
        <v>55</v>
      </c>
      <c r="I1828">
        <v>43</v>
      </c>
      <c r="J1828">
        <v>127.91</v>
      </c>
      <c r="K1828" t="s">
        <v>246</v>
      </c>
      <c r="L1828">
        <v>60</v>
      </c>
      <c r="M1828">
        <v>2.1</v>
      </c>
      <c r="N1828">
        <v>0</v>
      </c>
      <c r="O1828">
        <v>28</v>
      </c>
      <c r="P1828">
        <v>0</v>
      </c>
      <c r="Q1828">
        <v>12.9</v>
      </c>
      <c r="R1828">
        <v>0</v>
      </c>
      <c r="S1828">
        <v>0</v>
      </c>
      <c r="T1828">
        <v>0</v>
      </c>
      <c r="U1828" s="8">
        <v>60</v>
      </c>
      <c r="V1828" s="8">
        <f t="shared" si="28"/>
        <v>6</v>
      </c>
    </row>
    <row r="1829" spans="1:22" x14ac:dyDescent="0.3">
      <c r="A1829" t="s">
        <v>618</v>
      </c>
      <c r="B1829">
        <v>4</v>
      </c>
      <c r="C1829" t="s">
        <v>586</v>
      </c>
      <c r="D1829" t="s">
        <v>686</v>
      </c>
      <c r="E1829" t="s">
        <v>219</v>
      </c>
      <c r="F1829" t="s">
        <v>85</v>
      </c>
      <c r="G1829" t="s">
        <v>92</v>
      </c>
      <c r="H1829">
        <v>1</v>
      </c>
      <c r="I1829">
        <v>2</v>
      </c>
      <c r="J1829">
        <v>50</v>
      </c>
      <c r="K1829" t="s">
        <v>247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 s="8">
        <v>0</v>
      </c>
      <c r="V1829" s="8">
        <f t="shared" si="28"/>
        <v>0</v>
      </c>
    </row>
    <row r="1830" spans="1:22" x14ac:dyDescent="0.3">
      <c r="A1830" t="s">
        <v>618</v>
      </c>
      <c r="B1830">
        <v>4</v>
      </c>
      <c r="C1830" t="s">
        <v>89</v>
      </c>
      <c r="D1830" t="s">
        <v>116</v>
      </c>
      <c r="E1830" t="s">
        <v>219</v>
      </c>
      <c r="F1830" t="s">
        <v>169</v>
      </c>
      <c r="G1830" t="s">
        <v>92</v>
      </c>
      <c r="H1830">
        <v>14</v>
      </c>
      <c r="I1830">
        <v>14</v>
      </c>
      <c r="J1830">
        <v>100</v>
      </c>
      <c r="K1830" t="s">
        <v>245</v>
      </c>
      <c r="L1830">
        <v>15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 s="8">
        <v>15</v>
      </c>
      <c r="V1830" s="8">
        <f t="shared" si="28"/>
        <v>2</v>
      </c>
    </row>
    <row r="1831" spans="1:22" x14ac:dyDescent="0.3">
      <c r="A1831" t="s">
        <v>618</v>
      </c>
      <c r="B1831">
        <v>4</v>
      </c>
      <c r="C1831" t="s">
        <v>578</v>
      </c>
      <c r="D1831" t="s">
        <v>652</v>
      </c>
      <c r="E1831" t="s">
        <v>219</v>
      </c>
      <c r="F1831" t="s">
        <v>169</v>
      </c>
      <c r="G1831" t="s">
        <v>134</v>
      </c>
      <c r="H1831">
        <v>6</v>
      </c>
      <c r="I1831">
        <v>7</v>
      </c>
      <c r="J1831">
        <v>85.71</v>
      </c>
      <c r="K1831" t="s">
        <v>248</v>
      </c>
      <c r="L1831">
        <v>5</v>
      </c>
      <c r="M1831">
        <v>1</v>
      </c>
      <c r="N1831">
        <v>0</v>
      </c>
      <c r="O1831">
        <v>15</v>
      </c>
      <c r="P1831">
        <v>0</v>
      </c>
      <c r="Q1831">
        <v>15</v>
      </c>
      <c r="R1831">
        <v>0</v>
      </c>
      <c r="S1831">
        <v>0</v>
      </c>
      <c r="T1831">
        <v>0</v>
      </c>
      <c r="U1831" s="8">
        <v>5</v>
      </c>
      <c r="V1831" s="8">
        <f t="shared" si="28"/>
        <v>1</v>
      </c>
    </row>
    <row r="1832" spans="1:22" x14ac:dyDescent="0.3">
      <c r="A1832" t="s">
        <v>618</v>
      </c>
      <c r="B1832">
        <v>4</v>
      </c>
      <c r="C1832" t="s">
        <v>220</v>
      </c>
      <c r="D1832" t="s">
        <v>221</v>
      </c>
      <c r="E1832" t="s">
        <v>219</v>
      </c>
      <c r="F1832" t="s">
        <v>85</v>
      </c>
      <c r="G1832" t="s">
        <v>134</v>
      </c>
      <c r="H1832">
        <v>7</v>
      </c>
      <c r="I1832">
        <v>10</v>
      </c>
      <c r="J1832">
        <v>70</v>
      </c>
      <c r="K1832" t="s">
        <v>246</v>
      </c>
      <c r="L1832">
        <v>5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 s="8">
        <v>5</v>
      </c>
      <c r="V1832" s="8">
        <f t="shared" si="28"/>
        <v>1</v>
      </c>
    </row>
    <row r="1833" spans="1:22" x14ac:dyDescent="0.3">
      <c r="A1833" t="s">
        <v>618</v>
      </c>
      <c r="B1833">
        <v>4</v>
      </c>
      <c r="C1833" t="s">
        <v>227</v>
      </c>
      <c r="D1833" t="s">
        <v>228</v>
      </c>
      <c r="E1833" t="s">
        <v>219</v>
      </c>
      <c r="F1833" t="s">
        <v>109</v>
      </c>
      <c r="G1833" t="s">
        <v>134</v>
      </c>
      <c r="H1833">
        <v>10</v>
      </c>
      <c r="I1833">
        <v>11</v>
      </c>
      <c r="J1833">
        <v>90.91</v>
      </c>
      <c r="K1833" t="s">
        <v>246</v>
      </c>
      <c r="L1833">
        <v>10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 s="8">
        <v>10</v>
      </c>
      <c r="V1833" s="8">
        <f t="shared" si="28"/>
        <v>1</v>
      </c>
    </row>
    <row r="1834" spans="1:22" x14ac:dyDescent="0.3">
      <c r="A1834" t="s">
        <v>618</v>
      </c>
      <c r="B1834">
        <v>4</v>
      </c>
      <c r="C1834" t="s">
        <v>233</v>
      </c>
      <c r="D1834" t="s">
        <v>234</v>
      </c>
      <c r="E1834" t="s">
        <v>219</v>
      </c>
      <c r="F1834" t="s">
        <v>101</v>
      </c>
      <c r="G1834" t="s">
        <v>134</v>
      </c>
      <c r="H1834">
        <v>0</v>
      </c>
      <c r="I1834">
        <v>1</v>
      </c>
      <c r="J1834">
        <v>0</v>
      </c>
      <c r="K1834" t="s">
        <v>247</v>
      </c>
      <c r="L1834">
        <v>0</v>
      </c>
      <c r="M1834">
        <v>2</v>
      </c>
      <c r="N1834">
        <v>0</v>
      </c>
      <c r="O1834">
        <v>14</v>
      </c>
      <c r="P1834">
        <v>0</v>
      </c>
      <c r="Q1834">
        <v>7</v>
      </c>
      <c r="R1834">
        <v>0</v>
      </c>
      <c r="S1834">
        <v>0</v>
      </c>
      <c r="T1834">
        <v>0</v>
      </c>
      <c r="U1834" s="8">
        <v>0</v>
      </c>
      <c r="V1834" s="8">
        <f t="shared" si="28"/>
        <v>0</v>
      </c>
    </row>
    <row r="1835" spans="1:22" x14ac:dyDescent="0.3">
      <c r="A1835" t="s">
        <v>618</v>
      </c>
      <c r="B1835">
        <v>4</v>
      </c>
      <c r="C1835" t="s">
        <v>180</v>
      </c>
      <c r="D1835" t="s">
        <v>181</v>
      </c>
      <c r="E1835" t="s">
        <v>219</v>
      </c>
      <c r="F1835" t="s">
        <v>101</v>
      </c>
      <c r="G1835" t="s">
        <v>134</v>
      </c>
      <c r="H1835">
        <v>0</v>
      </c>
      <c r="I1835">
        <v>1</v>
      </c>
      <c r="J1835">
        <v>0</v>
      </c>
      <c r="K1835" t="s">
        <v>96</v>
      </c>
      <c r="L1835">
        <v>0</v>
      </c>
      <c r="M1835">
        <v>2</v>
      </c>
      <c r="N1835">
        <v>0</v>
      </c>
      <c r="O1835">
        <v>24</v>
      </c>
      <c r="P1835">
        <v>1</v>
      </c>
      <c r="Q1835">
        <v>12</v>
      </c>
      <c r="R1835">
        <v>25</v>
      </c>
      <c r="S1835">
        <v>0</v>
      </c>
      <c r="T1835">
        <v>0</v>
      </c>
      <c r="U1835" s="8">
        <v>25</v>
      </c>
      <c r="V1835" s="8">
        <f t="shared" si="28"/>
        <v>3</v>
      </c>
    </row>
    <row r="1836" spans="1:22" x14ac:dyDescent="0.3">
      <c r="A1836" t="s">
        <v>618</v>
      </c>
      <c r="B1836">
        <v>4</v>
      </c>
      <c r="C1836" t="s">
        <v>204</v>
      </c>
      <c r="D1836" t="s">
        <v>205</v>
      </c>
      <c r="E1836" t="s">
        <v>219</v>
      </c>
      <c r="F1836" t="s">
        <v>169</v>
      </c>
      <c r="G1836" t="s">
        <v>134</v>
      </c>
      <c r="H1836">
        <v>0</v>
      </c>
      <c r="I1836">
        <v>1</v>
      </c>
      <c r="J1836">
        <v>0</v>
      </c>
      <c r="K1836" t="s">
        <v>96</v>
      </c>
      <c r="L1836">
        <v>0</v>
      </c>
      <c r="M1836">
        <v>4</v>
      </c>
      <c r="N1836">
        <v>0</v>
      </c>
      <c r="O1836">
        <v>36</v>
      </c>
      <c r="P1836">
        <v>1</v>
      </c>
      <c r="Q1836">
        <v>9</v>
      </c>
      <c r="R1836">
        <v>25</v>
      </c>
      <c r="S1836">
        <v>0</v>
      </c>
      <c r="T1836">
        <v>0</v>
      </c>
      <c r="U1836" s="8">
        <v>25</v>
      </c>
      <c r="V1836" s="8">
        <f t="shared" si="28"/>
        <v>3</v>
      </c>
    </row>
    <row r="1837" spans="1:22" x14ac:dyDescent="0.3">
      <c r="A1837" t="s">
        <v>618</v>
      </c>
      <c r="B1837">
        <v>4</v>
      </c>
      <c r="C1837" t="s">
        <v>509</v>
      </c>
      <c r="D1837" t="s">
        <v>523</v>
      </c>
      <c r="E1837" t="s">
        <v>219</v>
      </c>
      <c r="F1837" t="s">
        <v>101</v>
      </c>
      <c r="G1837" t="s">
        <v>104</v>
      </c>
      <c r="H1837">
        <v>0</v>
      </c>
      <c r="I1837">
        <v>0</v>
      </c>
      <c r="J1837">
        <v>0</v>
      </c>
      <c r="K1837" t="s">
        <v>104</v>
      </c>
      <c r="L1837">
        <v>0</v>
      </c>
      <c r="M1837">
        <v>2</v>
      </c>
      <c r="N1837">
        <v>0</v>
      </c>
      <c r="O1837">
        <v>29</v>
      </c>
      <c r="P1837">
        <v>0</v>
      </c>
      <c r="Q1837">
        <v>14.5</v>
      </c>
      <c r="R1837">
        <v>0</v>
      </c>
      <c r="S1837">
        <v>0</v>
      </c>
      <c r="T1837">
        <v>0</v>
      </c>
      <c r="U1837" s="8">
        <v>0</v>
      </c>
      <c r="V1837" s="8">
        <f t="shared" si="28"/>
        <v>0</v>
      </c>
    </row>
    <row r="1838" spans="1:22" x14ac:dyDescent="0.3">
      <c r="A1838" t="s">
        <v>618</v>
      </c>
      <c r="B1838">
        <v>4</v>
      </c>
      <c r="C1838" t="s">
        <v>226</v>
      </c>
      <c r="D1838" t="s">
        <v>211</v>
      </c>
      <c r="E1838" t="s">
        <v>159</v>
      </c>
      <c r="F1838" t="s">
        <v>169</v>
      </c>
      <c r="G1838" t="s">
        <v>86</v>
      </c>
      <c r="H1838">
        <v>75</v>
      </c>
      <c r="I1838">
        <v>37</v>
      </c>
      <c r="J1838">
        <v>202.7</v>
      </c>
      <c r="K1838" t="s">
        <v>245</v>
      </c>
      <c r="L1838">
        <v>85</v>
      </c>
      <c r="M1838">
        <v>3</v>
      </c>
      <c r="N1838">
        <v>0</v>
      </c>
      <c r="O1838">
        <v>22</v>
      </c>
      <c r="P1838">
        <v>2</v>
      </c>
      <c r="Q1838">
        <v>7.3</v>
      </c>
      <c r="R1838">
        <v>40</v>
      </c>
      <c r="S1838">
        <v>0</v>
      </c>
      <c r="T1838">
        <v>0</v>
      </c>
      <c r="U1838" s="8">
        <v>125</v>
      </c>
      <c r="V1838" s="8">
        <f t="shared" si="28"/>
        <v>10</v>
      </c>
    </row>
    <row r="1839" spans="1:22" x14ac:dyDescent="0.3">
      <c r="A1839" t="s">
        <v>618</v>
      </c>
      <c r="B1839">
        <v>4</v>
      </c>
      <c r="C1839" t="s">
        <v>165</v>
      </c>
      <c r="D1839" t="s">
        <v>166</v>
      </c>
      <c r="E1839" t="s">
        <v>159</v>
      </c>
      <c r="F1839" t="s">
        <v>109</v>
      </c>
      <c r="G1839" t="s">
        <v>86</v>
      </c>
      <c r="H1839">
        <v>54</v>
      </c>
      <c r="I1839">
        <v>27</v>
      </c>
      <c r="J1839">
        <v>200</v>
      </c>
      <c r="K1839" t="s">
        <v>96</v>
      </c>
      <c r="L1839">
        <v>65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 s="8">
        <v>65</v>
      </c>
      <c r="V1839" s="8">
        <f t="shared" si="28"/>
        <v>7</v>
      </c>
    </row>
    <row r="1840" spans="1:22" x14ac:dyDescent="0.3">
      <c r="A1840" t="s">
        <v>618</v>
      </c>
      <c r="B1840">
        <v>4</v>
      </c>
      <c r="C1840" t="s">
        <v>514</v>
      </c>
      <c r="D1840" t="s">
        <v>567</v>
      </c>
      <c r="E1840" t="s">
        <v>159</v>
      </c>
      <c r="F1840" t="s">
        <v>109</v>
      </c>
      <c r="G1840" t="s">
        <v>92</v>
      </c>
      <c r="H1840">
        <v>16</v>
      </c>
      <c r="I1840">
        <v>15</v>
      </c>
      <c r="J1840">
        <v>106.67</v>
      </c>
      <c r="K1840" t="s">
        <v>246</v>
      </c>
      <c r="L1840">
        <v>20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 s="8">
        <v>20</v>
      </c>
      <c r="V1840" s="8">
        <f t="shared" si="28"/>
        <v>2</v>
      </c>
    </row>
    <row r="1841" spans="1:22" x14ac:dyDescent="0.3">
      <c r="A1841" t="s">
        <v>618</v>
      </c>
      <c r="B1841">
        <v>4</v>
      </c>
      <c r="C1841" t="s">
        <v>176</v>
      </c>
      <c r="D1841" t="s">
        <v>177</v>
      </c>
      <c r="E1841" t="s">
        <v>159</v>
      </c>
      <c r="F1841" t="s">
        <v>85</v>
      </c>
      <c r="G1841" t="s">
        <v>134</v>
      </c>
      <c r="H1841">
        <v>0</v>
      </c>
      <c r="I1841">
        <v>0</v>
      </c>
      <c r="J1841">
        <v>0</v>
      </c>
      <c r="K1841" t="s">
        <v>96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 s="8">
        <v>0</v>
      </c>
      <c r="V1841" s="8">
        <f t="shared" si="28"/>
        <v>0</v>
      </c>
    </row>
    <row r="1842" spans="1:22" x14ac:dyDescent="0.3">
      <c r="A1842" t="s">
        <v>618</v>
      </c>
      <c r="B1842">
        <v>4</v>
      </c>
      <c r="C1842" t="s">
        <v>206</v>
      </c>
      <c r="D1842" t="s">
        <v>207</v>
      </c>
      <c r="E1842" t="s">
        <v>159</v>
      </c>
      <c r="F1842" t="s">
        <v>169</v>
      </c>
      <c r="G1842" t="s">
        <v>104</v>
      </c>
      <c r="H1842">
        <v>0</v>
      </c>
      <c r="I1842">
        <v>0</v>
      </c>
      <c r="J1842">
        <v>0</v>
      </c>
      <c r="K1842" t="s">
        <v>104</v>
      </c>
      <c r="L1842">
        <v>0</v>
      </c>
      <c r="M1842">
        <v>2</v>
      </c>
      <c r="N1842">
        <v>0</v>
      </c>
      <c r="O1842">
        <v>11</v>
      </c>
      <c r="P1842">
        <v>0</v>
      </c>
      <c r="Q1842">
        <v>5.5</v>
      </c>
      <c r="R1842">
        <v>0</v>
      </c>
      <c r="S1842">
        <v>0</v>
      </c>
      <c r="T1842">
        <v>0</v>
      </c>
      <c r="U1842" s="8">
        <v>0</v>
      </c>
      <c r="V1842" s="8">
        <f t="shared" si="28"/>
        <v>0</v>
      </c>
    </row>
    <row r="1843" spans="1:22" x14ac:dyDescent="0.3">
      <c r="A1843" t="s">
        <v>618</v>
      </c>
      <c r="B1843">
        <v>4</v>
      </c>
      <c r="C1843" t="s">
        <v>449</v>
      </c>
      <c r="D1843" t="s">
        <v>410</v>
      </c>
      <c r="E1843" t="s">
        <v>159</v>
      </c>
      <c r="F1843" t="s">
        <v>169</v>
      </c>
      <c r="G1843" t="s">
        <v>104</v>
      </c>
      <c r="H1843">
        <v>0</v>
      </c>
      <c r="I1843">
        <v>0</v>
      </c>
      <c r="J1843">
        <v>0</v>
      </c>
      <c r="K1843" t="s">
        <v>104</v>
      </c>
      <c r="L1843">
        <v>0</v>
      </c>
      <c r="M1843">
        <v>4</v>
      </c>
      <c r="N1843">
        <v>0</v>
      </c>
      <c r="O1843">
        <v>22</v>
      </c>
      <c r="P1843">
        <v>4</v>
      </c>
      <c r="Q1843">
        <v>5.5</v>
      </c>
      <c r="R1843">
        <v>80</v>
      </c>
      <c r="S1843">
        <v>0</v>
      </c>
      <c r="T1843">
        <v>0</v>
      </c>
      <c r="U1843" s="8">
        <v>80</v>
      </c>
      <c r="V1843" s="8">
        <f t="shared" si="28"/>
        <v>8</v>
      </c>
    </row>
    <row r="1844" spans="1:22" x14ac:dyDescent="0.3">
      <c r="A1844" t="s">
        <v>618</v>
      </c>
      <c r="B1844">
        <v>4</v>
      </c>
      <c r="C1844" t="s">
        <v>123</v>
      </c>
      <c r="D1844" t="s">
        <v>98</v>
      </c>
      <c r="E1844" t="s">
        <v>159</v>
      </c>
      <c r="F1844" t="s">
        <v>169</v>
      </c>
      <c r="G1844" t="s">
        <v>104</v>
      </c>
      <c r="H1844">
        <v>0</v>
      </c>
      <c r="I1844">
        <v>0</v>
      </c>
      <c r="J1844">
        <v>0</v>
      </c>
      <c r="K1844" t="s">
        <v>104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 s="8">
        <v>0</v>
      </c>
      <c r="V1844" s="8">
        <f t="shared" si="28"/>
        <v>0</v>
      </c>
    </row>
    <row r="1845" spans="1:22" x14ac:dyDescent="0.3">
      <c r="A1845" t="s">
        <v>618</v>
      </c>
      <c r="B1845">
        <v>4</v>
      </c>
      <c r="C1845" t="s">
        <v>202</v>
      </c>
      <c r="D1845" t="s">
        <v>203</v>
      </c>
      <c r="E1845" t="s">
        <v>159</v>
      </c>
      <c r="F1845" t="s">
        <v>101</v>
      </c>
      <c r="G1845" t="s">
        <v>104</v>
      </c>
      <c r="H1845">
        <v>0</v>
      </c>
      <c r="I1845">
        <v>0</v>
      </c>
      <c r="J1845">
        <v>0</v>
      </c>
      <c r="K1845" t="s">
        <v>104</v>
      </c>
      <c r="L1845">
        <v>0</v>
      </c>
      <c r="M1845">
        <v>1</v>
      </c>
      <c r="N1845">
        <v>0</v>
      </c>
      <c r="O1845">
        <v>14</v>
      </c>
      <c r="P1845">
        <v>0</v>
      </c>
      <c r="Q1845">
        <v>14</v>
      </c>
      <c r="R1845">
        <v>0</v>
      </c>
      <c r="S1845">
        <v>0</v>
      </c>
      <c r="T1845">
        <v>0</v>
      </c>
      <c r="U1845" s="8">
        <v>0</v>
      </c>
      <c r="V1845" s="8">
        <f t="shared" si="28"/>
        <v>0</v>
      </c>
    </row>
    <row r="1846" spans="1:22" x14ac:dyDescent="0.3">
      <c r="A1846" t="s">
        <v>618</v>
      </c>
      <c r="B1846">
        <v>4</v>
      </c>
      <c r="C1846" t="s">
        <v>415</v>
      </c>
      <c r="D1846" t="s">
        <v>425</v>
      </c>
      <c r="E1846" t="s">
        <v>159</v>
      </c>
      <c r="F1846" t="s">
        <v>101</v>
      </c>
      <c r="G1846" t="s">
        <v>104</v>
      </c>
      <c r="H1846">
        <v>0</v>
      </c>
      <c r="I1846">
        <v>0</v>
      </c>
      <c r="J1846">
        <v>0</v>
      </c>
      <c r="K1846" t="s">
        <v>104</v>
      </c>
      <c r="L1846">
        <v>0</v>
      </c>
      <c r="M1846">
        <v>2</v>
      </c>
      <c r="N1846">
        <v>0</v>
      </c>
      <c r="O1846">
        <v>21</v>
      </c>
      <c r="P1846">
        <v>0</v>
      </c>
      <c r="Q1846">
        <v>10.5</v>
      </c>
      <c r="R1846">
        <v>0</v>
      </c>
      <c r="S1846">
        <v>0</v>
      </c>
      <c r="T1846">
        <v>0</v>
      </c>
      <c r="U1846" s="8">
        <v>0</v>
      </c>
      <c r="V1846" s="8">
        <f t="shared" si="28"/>
        <v>0</v>
      </c>
    </row>
    <row r="1847" spans="1:22" x14ac:dyDescent="0.3">
      <c r="A1847" t="s">
        <v>618</v>
      </c>
      <c r="B1847">
        <v>4</v>
      </c>
      <c r="C1847" t="s">
        <v>259</v>
      </c>
      <c r="D1847" t="s">
        <v>257</v>
      </c>
      <c r="E1847" t="s">
        <v>159</v>
      </c>
      <c r="F1847" t="s">
        <v>169</v>
      </c>
      <c r="G1847" t="s">
        <v>104</v>
      </c>
      <c r="H1847">
        <v>0</v>
      </c>
      <c r="I1847">
        <v>0</v>
      </c>
      <c r="J1847">
        <v>0</v>
      </c>
      <c r="K1847" t="s">
        <v>104</v>
      </c>
      <c r="L1847">
        <v>0</v>
      </c>
      <c r="M1847">
        <v>4</v>
      </c>
      <c r="N1847">
        <v>0</v>
      </c>
      <c r="O1847">
        <v>27</v>
      </c>
      <c r="P1847">
        <v>1</v>
      </c>
      <c r="Q1847">
        <v>6.8</v>
      </c>
      <c r="R1847">
        <v>25</v>
      </c>
      <c r="S1847">
        <v>0</v>
      </c>
      <c r="T1847">
        <v>0</v>
      </c>
      <c r="U1847" s="8">
        <v>25</v>
      </c>
      <c r="V1847" s="8">
        <f t="shared" si="28"/>
        <v>3</v>
      </c>
    </row>
    <row r="1848" spans="1:22" x14ac:dyDescent="0.3">
      <c r="A1848" t="s">
        <v>618</v>
      </c>
      <c r="B1848">
        <v>4</v>
      </c>
      <c r="C1848" t="s">
        <v>527</v>
      </c>
      <c r="D1848" t="s">
        <v>627</v>
      </c>
      <c r="E1848" t="s">
        <v>159</v>
      </c>
      <c r="F1848" t="s">
        <v>101</v>
      </c>
      <c r="G1848" t="s">
        <v>104</v>
      </c>
      <c r="H1848">
        <v>0</v>
      </c>
      <c r="I1848">
        <v>0</v>
      </c>
      <c r="J1848">
        <v>0</v>
      </c>
      <c r="K1848" t="s">
        <v>104</v>
      </c>
      <c r="L1848">
        <v>0</v>
      </c>
      <c r="M1848">
        <v>4</v>
      </c>
      <c r="N1848">
        <v>0</v>
      </c>
      <c r="O1848">
        <v>21</v>
      </c>
      <c r="P1848">
        <v>1</v>
      </c>
      <c r="Q1848">
        <v>5.2</v>
      </c>
      <c r="R1848">
        <v>25</v>
      </c>
      <c r="S1848">
        <v>0</v>
      </c>
      <c r="T1848">
        <v>0</v>
      </c>
      <c r="U1848" s="8">
        <v>25</v>
      </c>
      <c r="V1848" s="8">
        <f t="shared" si="28"/>
        <v>3</v>
      </c>
    </row>
    <row r="1849" spans="1:22" x14ac:dyDescent="0.3">
      <c r="A1849" t="s">
        <v>619</v>
      </c>
      <c r="B1849">
        <v>4</v>
      </c>
      <c r="C1849" t="s">
        <v>81</v>
      </c>
      <c r="D1849" t="s">
        <v>114</v>
      </c>
      <c r="E1849" t="s">
        <v>258</v>
      </c>
      <c r="F1849" t="s">
        <v>85</v>
      </c>
      <c r="G1849" t="s">
        <v>86</v>
      </c>
      <c r="H1849">
        <v>5</v>
      </c>
      <c r="I1849">
        <v>8</v>
      </c>
      <c r="J1849">
        <v>62.5</v>
      </c>
      <c r="K1849" t="s">
        <v>246</v>
      </c>
      <c r="L1849">
        <v>5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 s="8">
        <v>5</v>
      </c>
      <c r="V1849" s="8">
        <f t="shared" si="28"/>
        <v>1</v>
      </c>
    </row>
    <row r="1850" spans="1:22" x14ac:dyDescent="0.3">
      <c r="A1850" t="s">
        <v>619</v>
      </c>
      <c r="B1850">
        <v>4</v>
      </c>
      <c r="C1850" t="s">
        <v>167</v>
      </c>
      <c r="D1850" t="s">
        <v>168</v>
      </c>
      <c r="E1850" t="s">
        <v>258</v>
      </c>
      <c r="F1850" t="s">
        <v>169</v>
      </c>
      <c r="G1850" t="s">
        <v>92</v>
      </c>
      <c r="H1850">
        <v>25</v>
      </c>
      <c r="I1850">
        <v>21</v>
      </c>
      <c r="J1850">
        <v>119.05</v>
      </c>
      <c r="K1850" t="s">
        <v>246</v>
      </c>
      <c r="L1850">
        <v>30</v>
      </c>
      <c r="M1850">
        <v>4</v>
      </c>
      <c r="N1850">
        <v>1</v>
      </c>
      <c r="O1850">
        <v>23</v>
      </c>
      <c r="P1850">
        <v>2</v>
      </c>
      <c r="Q1850">
        <v>5.8</v>
      </c>
      <c r="R1850">
        <v>50</v>
      </c>
      <c r="S1850">
        <v>0</v>
      </c>
      <c r="T1850">
        <v>0</v>
      </c>
      <c r="U1850" s="8">
        <v>80</v>
      </c>
      <c r="V1850" s="8">
        <f t="shared" si="28"/>
        <v>8</v>
      </c>
    </row>
    <row r="1851" spans="1:22" x14ac:dyDescent="0.3">
      <c r="A1851" t="s">
        <v>619</v>
      </c>
      <c r="B1851">
        <v>4</v>
      </c>
      <c r="C1851" t="s">
        <v>529</v>
      </c>
      <c r="D1851" t="s">
        <v>632</v>
      </c>
      <c r="E1851" t="s">
        <v>258</v>
      </c>
      <c r="F1851" t="s">
        <v>109</v>
      </c>
      <c r="G1851" t="s">
        <v>92</v>
      </c>
      <c r="H1851">
        <v>33</v>
      </c>
      <c r="I1851">
        <v>31</v>
      </c>
      <c r="J1851">
        <v>106.45</v>
      </c>
      <c r="K1851" t="s">
        <v>246</v>
      </c>
      <c r="L1851">
        <v>35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 s="8">
        <v>35</v>
      </c>
      <c r="V1851" s="8">
        <f t="shared" si="28"/>
        <v>4</v>
      </c>
    </row>
    <row r="1852" spans="1:22" x14ac:dyDescent="0.3">
      <c r="A1852" t="s">
        <v>619</v>
      </c>
      <c r="B1852">
        <v>4</v>
      </c>
      <c r="C1852" t="s">
        <v>93</v>
      </c>
      <c r="D1852" t="s">
        <v>118</v>
      </c>
      <c r="E1852" t="s">
        <v>258</v>
      </c>
      <c r="F1852" t="s">
        <v>169</v>
      </c>
      <c r="G1852" t="s">
        <v>134</v>
      </c>
      <c r="H1852">
        <v>46</v>
      </c>
      <c r="I1852">
        <v>28</v>
      </c>
      <c r="J1852">
        <v>164.29</v>
      </c>
      <c r="K1852" t="s">
        <v>248</v>
      </c>
      <c r="L1852">
        <v>55</v>
      </c>
      <c r="M1852">
        <v>3</v>
      </c>
      <c r="N1852">
        <v>0</v>
      </c>
      <c r="O1852">
        <v>26</v>
      </c>
      <c r="P1852">
        <v>1</v>
      </c>
      <c r="Q1852">
        <v>8.6999999999999993</v>
      </c>
      <c r="R1852">
        <v>25</v>
      </c>
      <c r="S1852">
        <v>0</v>
      </c>
      <c r="T1852">
        <v>0</v>
      </c>
      <c r="U1852" s="8">
        <v>80</v>
      </c>
      <c r="V1852" s="8">
        <f t="shared" si="28"/>
        <v>8</v>
      </c>
    </row>
    <row r="1853" spans="1:22" x14ac:dyDescent="0.3">
      <c r="A1853" t="s">
        <v>619</v>
      </c>
      <c r="B1853">
        <v>4</v>
      </c>
      <c r="C1853" t="s">
        <v>99</v>
      </c>
      <c r="D1853" t="s">
        <v>124</v>
      </c>
      <c r="E1853" t="s">
        <v>258</v>
      </c>
      <c r="F1853" t="s">
        <v>169</v>
      </c>
      <c r="G1853" t="s">
        <v>134</v>
      </c>
      <c r="H1853">
        <v>44</v>
      </c>
      <c r="I1853">
        <v>26</v>
      </c>
      <c r="J1853">
        <v>169.23</v>
      </c>
      <c r="K1853" t="s">
        <v>96</v>
      </c>
      <c r="L1853">
        <v>50</v>
      </c>
      <c r="M1853">
        <v>4</v>
      </c>
      <c r="N1853">
        <v>0</v>
      </c>
      <c r="O1853">
        <v>26</v>
      </c>
      <c r="P1853">
        <v>2</v>
      </c>
      <c r="Q1853">
        <v>6.5</v>
      </c>
      <c r="R1853">
        <v>50</v>
      </c>
      <c r="S1853">
        <v>0</v>
      </c>
      <c r="T1853">
        <v>0</v>
      </c>
      <c r="U1853" s="8">
        <v>100</v>
      </c>
      <c r="V1853" s="8">
        <f t="shared" si="28"/>
        <v>10</v>
      </c>
    </row>
    <row r="1854" spans="1:22" x14ac:dyDescent="0.3">
      <c r="A1854" t="s">
        <v>619</v>
      </c>
      <c r="B1854">
        <v>4</v>
      </c>
      <c r="C1854" t="s">
        <v>447</v>
      </c>
      <c r="D1854" t="s">
        <v>448</v>
      </c>
      <c r="E1854" t="s">
        <v>258</v>
      </c>
      <c r="F1854" t="s">
        <v>109</v>
      </c>
      <c r="G1854" t="s">
        <v>134</v>
      </c>
      <c r="H1854">
        <v>5</v>
      </c>
      <c r="I1854">
        <v>6</v>
      </c>
      <c r="J1854">
        <v>83.33</v>
      </c>
      <c r="K1854" t="s">
        <v>96</v>
      </c>
      <c r="L1854">
        <v>5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 s="8">
        <v>5</v>
      </c>
      <c r="V1854" s="8">
        <f t="shared" si="28"/>
        <v>1</v>
      </c>
    </row>
    <row r="1855" spans="1:22" x14ac:dyDescent="0.3">
      <c r="A1855" t="s">
        <v>619</v>
      </c>
      <c r="B1855">
        <v>4</v>
      </c>
      <c r="C1855" t="s">
        <v>178</v>
      </c>
      <c r="D1855" t="s">
        <v>179</v>
      </c>
      <c r="E1855" t="s">
        <v>258</v>
      </c>
      <c r="F1855" t="s">
        <v>169</v>
      </c>
      <c r="G1855" t="s">
        <v>104</v>
      </c>
      <c r="H1855">
        <v>0</v>
      </c>
      <c r="I1855">
        <v>0</v>
      </c>
      <c r="J1855">
        <v>0</v>
      </c>
      <c r="K1855" t="s">
        <v>104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 s="8">
        <v>0</v>
      </c>
      <c r="V1855" s="8">
        <f t="shared" si="28"/>
        <v>0</v>
      </c>
    </row>
    <row r="1856" spans="1:22" x14ac:dyDescent="0.3">
      <c r="A1856" t="s">
        <v>619</v>
      </c>
      <c r="B1856">
        <v>4</v>
      </c>
      <c r="C1856" t="s">
        <v>493</v>
      </c>
      <c r="D1856" t="s">
        <v>500</v>
      </c>
      <c r="E1856" t="s">
        <v>258</v>
      </c>
      <c r="F1856" t="s">
        <v>101</v>
      </c>
      <c r="G1856" t="s">
        <v>104</v>
      </c>
      <c r="H1856">
        <v>0</v>
      </c>
      <c r="I1856">
        <v>0</v>
      </c>
      <c r="J1856">
        <v>0</v>
      </c>
      <c r="K1856" t="s">
        <v>104</v>
      </c>
      <c r="L1856">
        <v>0</v>
      </c>
      <c r="M1856">
        <v>2</v>
      </c>
      <c r="N1856">
        <v>0</v>
      </c>
      <c r="O1856">
        <v>12</v>
      </c>
      <c r="P1856">
        <v>1</v>
      </c>
      <c r="Q1856">
        <v>6</v>
      </c>
      <c r="R1856">
        <v>25</v>
      </c>
      <c r="S1856">
        <v>0</v>
      </c>
      <c r="T1856">
        <v>0</v>
      </c>
      <c r="U1856" s="8">
        <v>25</v>
      </c>
      <c r="V1856" s="8">
        <f t="shared" si="28"/>
        <v>3</v>
      </c>
    </row>
    <row r="1857" spans="1:22" x14ac:dyDescent="0.3">
      <c r="A1857" t="s">
        <v>619</v>
      </c>
      <c r="B1857">
        <v>4</v>
      </c>
      <c r="C1857" t="s">
        <v>105</v>
      </c>
      <c r="D1857" t="s">
        <v>128</v>
      </c>
      <c r="E1857" t="s">
        <v>258</v>
      </c>
      <c r="F1857" t="s">
        <v>101</v>
      </c>
      <c r="G1857" t="s">
        <v>104</v>
      </c>
      <c r="H1857">
        <v>0</v>
      </c>
      <c r="I1857">
        <v>0</v>
      </c>
      <c r="J1857">
        <v>0</v>
      </c>
      <c r="K1857" t="s">
        <v>104</v>
      </c>
      <c r="L1857">
        <v>0</v>
      </c>
      <c r="M1857">
        <v>1</v>
      </c>
      <c r="N1857">
        <v>0</v>
      </c>
      <c r="O1857">
        <v>11</v>
      </c>
      <c r="P1857">
        <v>0</v>
      </c>
      <c r="Q1857">
        <v>11</v>
      </c>
      <c r="R1857">
        <v>0</v>
      </c>
      <c r="S1857">
        <v>0</v>
      </c>
      <c r="T1857">
        <v>0</v>
      </c>
      <c r="U1857" s="8">
        <v>0</v>
      </c>
      <c r="V1857" s="8">
        <f t="shared" si="28"/>
        <v>0</v>
      </c>
    </row>
    <row r="1858" spans="1:22" x14ac:dyDescent="0.3">
      <c r="A1858" t="s">
        <v>619</v>
      </c>
      <c r="B1858">
        <v>4</v>
      </c>
      <c r="C1858" t="s">
        <v>186</v>
      </c>
      <c r="D1858" t="s">
        <v>187</v>
      </c>
      <c r="E1858" t="s">
        <v>258</v>
      </c>
      <c r="F1858" t="s">
        <v>101</v>
      </c>
      <c r="G1858" t="s">
        <v>104</v>
      </c>
      <c r="H1858">
        <v>0</v>
      </c>
      <c r="I1858">
        <v>0</v>
      </c>
      <c r="J1858">
        <v>0</v>
      </c>
      <c r="K1858" t="s">
        <v>104</v>
      </c>
      <c r="L1858">
        <v>0</v>
      </c>
      <c r="M1858">
        <v>2</v>
      </c>
      <c r="N1858">
        <v>0</v>
      </c>
      <c r="O1858">
        <v>11</v>
      </c>
      <c r="P1858">
        <v>0</v>
      </c>
      <c r="Q1858">
        <v>5.5</v>
      </c>
      <c r="R1858">
        <v>0</v>
      </c>
      <c r="S1858">
        <v>0</v>
      </c>
      <c r="T1858">
        <v>0</v>
      </c>
      <c r="U1858" s="8">
        <v>0</v>
      </c>
      <c r="V1858" s="8">
        <f t="shared" si="28"/>
        <v>0</v>
      </c>
    </row>
    <row r="1859" spans="1:22" x14ac:dyDescent="0.3">
      <c r="A1859" t="s">
        <v>619</v>
      </c>
      <c r="B1859">
        <v>4</v>
      </c>
      <c r="C1859" t="s">
        <v>237</v>
      </c>
      <c r="D1859" t="s">
        <v>238</v>
      </c>
      <c r="E1859" t="s">
        <v>258</v>
      </c>
      <c r="F1859" t="s">
        <v>101</v>
      </c>
      <c r="G1859" t="s">
        <v>104</v>
      </c>
      <c r="H1859">
        <v>0</v>
      </c>
      <c r="I1859">
        <v>0</v>
      </c>
      <c r="J1859">
        <v>0</v>
      </c>
      <c r="K1859" t="s">
        <v>104</v>
      </c>
      <c r="L1859">
        <v>0</v>
      </c>
      <c r="M1859">
        <v>4</v>
      </c>
      <c r="N1859">
        <v>0</v>
      </c>
      <c r="O1859">
        <v>46</v>
      </c>
      <c r="P1859">
        <v>1</v>
      </c>
      <c r="Q1859">
        <v>11.5</v>
      </c>
      <c r="R1859">
        <v>25</v>
      </c>
      <c r="S1859">
        <v>0</v>
      </c>
      <c r="T1859">
        <v>0</v>
      </c>
      <c r="U1859" s="8">
        <v>25</v>
      </c>
      <c r="V1859" s="8">
        <f t="shared" ref="V1859:V1922" si="29">MIN(10, MAX(0, ROUND(U1859/10,0)))</f>
        <v>3</v>
      </c>
    </row>
    <row r="1860" spans="1:22" x14ac:dyDescent="0.3">
      <c r="A1860" t="s">
        <v>619</v>
      </c>
      <c r="B1860">
        <v>4</v>
      </c>
      <c r="C1860" t="s">
        <v>347</v>
      </c>
      <c r="D1860" t="s">
        <v>348</v>
      </c>
      <c r="E1860" t="s">
        <v>266</v>
      </c>
      <c r="F1860" t="s">
        <v>169</v>
      </c>
      <c r="G1860" t="s">
        <v>86</v>
      </c>
      <c r="H1860">
        <v>26</v>
      </c>
      <c r="I1860">
        <v>25</v>
      </c>
      <c r="J1860">
        <v>104</v>
      </c>
      <c r="K1860" t="s">
        <v>246</v>
      </c>
      <c r="L1860">
        <v>30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 s="8">
        <v>30</v>
      </c>
      <c r="V1860" s="8">
        <f t="shared" si="29"/>
        <v>3</v>
      </c>
    </row>
    <row r="1861" spans="1:22" x14ac:dyDescent="0.3">
      <c r="A1861" t="s">
        <v>619</v>
      </c>
      <c r="B1861">
        <v>4</v>
      </c>
      <c r="C1861" t="s">
        <v>112</v>
      </c>
      <c r="D1861" t="s">
        <v>88</v>
      </c>
      <c r="E1861" t="s">
        <v>266</v>
      </c>
      <c r="F1861" t="s">
        <v>169</v>
      </c>
      <c r="G1861" t="s">
        <v>92</v>
      </c>
      <c r="H1861">
        <v>6</v>
      </c>
      <c r="I1861">
        <v>8</v>
      </c>
      <c r="J1861">
        <v>75</v>
      </c>
      <c r="K1861" t="s">
        <v>245</v>
      </c>
      <c r="L1861">
        <v>5</v>
      </c>
      <c r="M1861">
        <v>4</v>
      </c>
      <c r="N1861">
        <v>0</v>
      </c>
      <c r="O1861">
        <v>40</v>
      </c>
      <c r="P1861">
        <v>0</v>
      </c>
      <c r="Q1861">
        <v>10</v>
      </c>
      <c r="R1861">
        <v>0</v>
      </c>
      <c r="S1861">
        <v>0</v>
      </c>
      <c r="T1861">
        <v>0</v>
      </c>
      <c r="U1861" s="8">
        <v>5</v>
      </c>
      <c r="V1861" s="8">
        <f t="shared" si="29"/>
        <v>1</v>
      </c>
    </row>
    <row r="1862" spans="1:22" x14ac:dyDescent="0.3">
      <c r="A1862" t="s">
        <v>619</v>
      </c>
      <c r="B1862">
        <v>4</v>
      </c>
      <c r="C1862" t="s">
        <v>117</v>
      </c>
      <c r="D1862" t="s">
        <v>90</v>
      </c>
      <c r="E1862" t="s">
        <v>266</v>
      </c>
      <c r="F1862" t="s">
        <v>169</v>
      </c>
      <c r="G1862" t="s">
        <v>92</v>
      </c>
      <c r="H1862">
        <v>2</v>
      </c>
      <c r="I1862">
        <v>6</v>
      </c>
      <c r="J1862">
        <v>33.33</v>
      </c>
      <c r="K1862" t="s">
        <v>246</v>
      </c>
      <c r="L1862">
        <v>0</v>
      </c>
      <c r="M1862">
        <v>4</v>
      </c>
      <c r="N1862">
        <v>0</v>
      </c>
      <c r="O1862">
        <v>36</v>
      </c>
      <c r="P1862">
        <v>1</v>
      </c>
      <c r="Q1862">
        <v>9</v>
      </c>
      <c r="R1862">
        <v>25</v>
      </c>
      <c r="S1862">
        <v>0</v>
      </c>
      <c r="T1862">
        <v>0</v>
      </c>
      <c r="U1862" s="8">
        <v>25</v>
      </c>
      <c r="V1862" s="8">
        <f t="shared" si="29"/>
        <v>3</v>
      </c>
    </row>
    <row r="1863" spans="1:22" x14ac:dyDescent="0.3">
      <c r="A1863" t="s">
        <v>619</v>
      </c>
      <c r="B1863">
        <v>4</v>
      </c>
      <c r="C1863" t="s">
        <v>115</v>
      </c>
      <c r="D1863" t="s">
        <v>17</v>
      </c>
      <c r="E1863" t="s">
        <v>266</v>
      </c>
      <c r="F1863" t="s">
        <v>169</v>
      </c>
      <c r="G1863" t="s">
        <v>134</v>
      </c>
      <c r="H1863">
        <v>82</v>
      </c>
      <c r="I1863">
        <v>48</v>
      </c>
      <c r="J1863">
        <v>170.83</v>
      </c>
      <c r="K1863" t="s">
        <v>96</v>
      </c>
      <c r="L1863">
        <v>95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 s="8">
        <v>95</v>
      </c>
      <c r="V1863" s="8">
        <f t="shared" si="29"/>
        <v>10</v>
      </c>
    </row>
    <row r="1864" spans="1:22" x14ac:dyDescent="0.3">
      <c r="A1864" t="s">
        <v>619</v>
      </c>
      <c r="B1864">
        <v>4</v>
      </c>
      <c r="C1864" t="s">
        <v>119</v>
      </c>
      <c r="D1864" t="s">
        <v>95</v>
      </c>
      <c r="E1864" t="s">
        <v>266</v>
      </c>
      <c r="F1864" t="s">
        <v>169</v>
      </c>
      <c r="G1864" t="s">
        <v>134</v>
      </c>
      <c r="H1864">
        <v>20</v>
      </c>
      <c r="I1864">
        <v>16</v>
      </c>
      <c r="J1864">
        <v>125</v>
      </c>
      <c r="K1864" t="s">
        <v>246</v>
      </c>
      <c r="L1864">
        <v>25</v>
      </c>
      <c r="M1864">
        <v>4</v>
      </c>
      <c r="N1864">
        <v>0</v>
      </c>
      <c r="O1864">
        <v>26</v>
      </c>
      <c r="P1864">
        <v>2</v>
      </c>
      <c r="Q1864">
        <v>6.5</v>
      </c>
      <c r="R1864">
        <v>50</v>
      </c>
      <c r="S1864">
        <v>0</v>
      </c>
      <c r="T1864">
        <v>0</v>
      </c>
      <c r="U1864" s="8">
        <v>75</v>
      </c>
      <c r="V1864" s="8">
        <f t="shared" si="29"/>
        <v>8</v>
      </c>
    </row>
    <row r="1865" spans="1:22" x14ac:dyDescent="0.3">
      <c r="A1865" t="s">
        <v>619</v>
      </c>
      <c r="B1865">
        <v>4</v>
      </c>
      <c r="C1865" t="s">
        <v>121</v>
      </c>
      <c r="D1865" t="s">
        <v>108</v>
      </c>
      <c r="E1865" t="s">
        <v>266</v>
      </c>
      <c r="F1865" t="s">
        <v>169</v>
      </c>
      <c r="G1865" t="s">
        <v>134</v>
      </c>
      <c r="H1865">
        <v>13</v>
      </c>
      <c r="I1865">
        <v>12</v>
      </c>
      <c r="J1865">
        <v>108.33</v>
      </c>
      <c r="K1865" t="s">
        <v>248</v>
      </c>
      <c r="L1865">
        <v>15</v>
      </c>
      <c r="M1865">
        <v>2</v>
      </c>
      <c r="N1865">
        <v>0</v>
      </c>
      <c r="O1865">
        <v>13</v>
      </c>
      <c r="P1865">
        <v>0</v>
      </c>
      <c r="Q1865">
        <v>6.5</v>
      </c>
      <c r="R1865">
        <v>0</v>
      </c>
      <c r="S1865">
        <v>0</v>
      </c>
      <c r="T1865">
        <v>0</v>
      </c>
      <c r="U1865" s="8">
        <v>15</v>
      </c>
      <c r="V1865" s="8">
        <f t="shared" si="29"/>
        <v>2</v>
      </c>
    </row>
    <row r="1866" spans="1:22" x14ac:dyDescent="0.3">
      <c r="A1866" t="s">
        <v>619</v>
      </c>
      <c r="B1866">
        <v>4</v>
      </c>
      <c r="C1866" t="s">
        <v>507</v>
      </c>
      <c r="D1866" t="s">
        <v>519</v>
      </c>
      <c r="E1866" t="s">
        <v>266</v>
      </c>
      <c r="F1866" t="s">
        <v>101</v>
      </c>
      <c r="G1866" t="s">
        <v>134</v>
      </c>
      <c r="H1866">
        <v>0</v>
      </c>
      <c r="I1866">
        <v>1</v>
      </c>
      <c r="J1866">
        <v>0</v>
      </c>
      <c r="K1866" t="s">
        <v>247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 s="8">
        <v>0</v>
      </c>
      <c r="V1866" s="8">
        <f t="shared" si="29"/>
        <v>0</v>
      </c>
    </row>
    <row r="1867" spans="1:22" x14ac:dyDescent="0.3">
      <c r="A1867" t="s">
        <v>619</v>
      </c>
      <c r="B1867">
        <v>4</v>
      </c>
      <c r="C1867" t="s">
        <v>273</v>
      </c>
      <c r="D1867" t="s">
        <v>279</v>
      </c>
      <c r="E1867" t="s">
        <v>266</v>
      </c>
      <c r="F1867" t="s">
        <v>169</v>
      </c>
      <c r="G1867" t="s">
        <v>134</v>
      </c>
      <c r="H1867">
        <v>2</v>
      </c>
      <c r="I1867">
        <v>3</v>
      </c>
      <c r="J1867">
        <v>66.67</v>
      </c>
      <c r="K1867" t="s">
        <v>246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 s="8">
        <v>0</v>
      </c>
      <c r="V1867" s="8">
        <f t="shared" si="29"/>
        <v>0</v>
      </c>
    </row>
    <row r="1868" spans="1:22" x14ac:dyDescent="0.3">
      <c r="A1868" t="s">
        <v>619</v>
      </c>
      <c r="B1868">
        <v>4</v>
      </c>
      <c r="C1868" t="s">
        <v>583</v>
      </c>
      <c r="D1868" t="s">
        <v>670</v>
      </c>
      <c r="E1868" t="s">
        <v>266</v>
      </c>
      <c r="F1868" t="s">
        <v>85</v>
      </c>
      <c r="G1868" t="s">
        <v>134</v>
      </c>
      <c r="H1868">
        <v>1</v>
      </c>
      <c r="I1868">
        <v>1</v>
      </c>
      <c r="J1868">
        <v>100</v>
      </c>
      <c r="K1868" t="s">
        <v>96</v>
      </c>
      <c r="L1868">
        <v>5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 s="8">
        <v>5</v>
      </c>
      <c r="V1868" s="8">
        <f t="shared" si="29"/>
        <v>1</v>
      </c>
    </row>
    <row r="1869" spans="1:22" x14ac:dyDescent="0.3">
      <c r="A1869" t="s">
        <v>619</v>
      </c>
      <c r="B1869">
        <v>4</v>
      </c>
      <c r="C1869" t="s">
        <v>585</v>
      </c>
      <c r="D1869" t="s">
        <v>672</v>
      </c>
      <c r="E1869" t="s">
        <v>266</v>
      </c>
      <c r="F1869" t="s">
        <v>169</v>
      </c>
      <c r="G1869" t="s">
        <v>104</v>
      </c>
      <c r="H1869">
        <v>0</v>
      </c>
      <c r="I1869">
        <v>0</v>
      </c>
      <c r="J1869">
        <v>0</v>
      </c>
      <c r="K1869" t="s">
        <v>104</v>
      </c>
      <c r="L1869">
        <v>0</v>
      </c>
      <c r="M1869">
        <v>2</v>
      </c>
      <c r="N1869">
        <v>0</v>
      </c>
      <c r="O1869">
        <v>21</v>
      </c>
      <c r="P1869">
        <v>0</v>
      </c>
      <c r="Q1869">
        <v>10.5</v>
      </c>
      <c r="R1869">
        <v>0</v>
      </c>
      <c r="S1869">
        <v>0</v>
      </c>
      <c r="T1869">
        <v>0</v>
      </c>
      <c r="U1869" s="8">
        <v>0</v>
      </c>
      <c r="V1869" s="8">
        <f t="shared" si="29"/>
        <v>0</v>
      </c>
    </row>
    <row r="1870" spans="1:22" x14ac:dyDescent="0.3">
      <c r="A1870" t="s">
        <v>619</v>
      </c>
      <c r="B1870">
        <v>4</v>
      </c>
      <c r="C1870" t="s">
        <v>265</v>
      </c>
      <c r="D1870" t="s">
        <v>264</v>
      </c>
      <c r="E1870" t="s">
        <v>266</v>
      </c>
      <c r="F1870" t="s">
        <v>101</v>
      </c>
      <c r="G1870" t="s">
        <v>104</v>
      </c>
      <c r="H1870">
        <v>0</v>
      </c>
      <c r="I1870">
        <v>0</v>
      </c>
      <c r="J1870">
        <v>0</v>
      </c>
      <c r="K1870" t="s">
        <v>104</v>
      </c>
      <c r="L1870">
        <v>0</v>
      </c>
      <c r="M1870">
        <v>4</v>
      </c>
      <c r="N1870">
        <v>0</v>
      </c>
      <c r="O1870">
        <v>29</v>
      </c>
      <c r="P1870">
        <v>1</v>
      </c>
      <c r="Q1870">
        <v>7.2</v>
      </c>
      <c r="R1870">
        <v>25</v>
      </c>
      <c r="S1870">
        <v>0</v>
      </c>
      <c r="T1870">
        <v>0</v>
      </c>
      <c r="U1870" s="8">
        <v>25</v>
      </c>
      <c r="V1870" s="8">
        <f t="shared" si="29"/>
        <v>3</v>
      </c>
    </row>
    <row r="1871" spans="1:22" x14ac:dyDescent="0.3">
      <c r="A1871" t="s">
        <v>620</v>
      </c>
      <c r="B1871">
        <v>4</v>
      </c>
      <c r="C1871" t="s">
        <v>190</v>
      </c>
      <c r="D1871" t="s">
        <v>191</v>
      </c>
      <c r="E1871" t="s">
        <v>219</v>
      </c>
      <c r="F1871" t="s">
        <v>109</v>
      </c>
      <c r="G1871" t="s">
        <v>86</v>
      </c>
      <c r="H1871">
        <v>0</v>
      </c>
      <c r="I1871">
        <v>1</v>
      </c>
      <c r="J1871">
        <v>0</v>
      </c>
      <c r="K1871" t="s">
        <v>247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 s="8">
        <v>0</v>
      </c>
      <c r="V1871" s="8">
        <f t="shared" si="29"/>
        <v>0</v>
      </c>
    </row>
    <row r="1872" spans="1:22" x14ac:dyDescent="0.3">
      <c r="A1872" t="s">
        <v>620</v>
      </c>
      <c r="B1872">
        <v>4</v>
      </c>
      <c r="C1872" t="s">
        <v>224</v>
      </c>
      <c r="D1872" t="s">
        <v>225</v>
      </c>
      <c r="E1872" t="s">
        <v>219</v>
      </c>
      <c r="F1872" t="s">
        <v>169</v>
      </c>
      <c r="G1872" t="s">
        <v>92</v>
      </c>
      <c r="H1872">
        <v>24</v>
      </c>
      <c r="I1872">
        <v>19</v>
      </c>
      <c r="J1872">
        <v>126.32</v>
      </c>
      <c r="K1872" t="s">
        <v>246</v>
      </c>
      <c r="L1872">
        <v>25</v>
      </c>
      <c r="M1872">
        <v>3.4</v>
      </c>
      <c r="N1872">
        <v>0</v>
      </c>
      <c r="O1872">
        <v>27</v>
      </c>
      <c r="P1872">
        <v>2</v>
      </c>
      <c r="Q1872">
        <v>7.4</v>
      </c>
      <c r="R1872">
        <v>50</v>
      </c>
      <c r="S1872">
        <v>0</v>
      </c>
      <c r="T1872">
        <v>0</v>
      </c>
      <c r="U1872" s="8">
        <v>75</v>
      </c>
      <c r="V1872" s="8">
        <f t="shared" si="29"/>
        <v>8</v>
      </c>
    </row>
    <row r="1873" spans="1:22" x14ac:dyDescent="0.3">
      <c r="A1873" t="s">
        <v>620</v>
      </c>
      <c r="B1873">
        <v>4</v>
      </c>
      <c r="C1873" t="s">
        <v>588</v>
      </c>
      <c r="D1873" t="s">
        <v>691</v>
      </c>
      <c r="E1873" t="s">
        <v>219</v>
      </c>
      <c r="F1873" t="s">
        <v>169</v>
      </c>
      <c r="G1873" t="s">
        <v>92</v>
      </c>
      <c r="H1873">
        <v>12</v>
      </c>
      <c r="I1873">
        <v>12</v>
      </c>
      <c r="J1873">
        <v>100</v>
      </c>
      <c r="K1873" t="s">
        <v>246</v>
      </c>
      <c r="L1873">
        <v>15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 s="8">
        <v>15</v>
      </c>
      <c r="V1873" s="8">
        <f t="shared" si="29"/>
        <v>2</v>
      </c>
    </row>
    <row r="1874" spans="1:22" x14ac:dyDescent="0.3">
      <c r="A1874" t="s">
        <v>620</v>
      </c>
      <c r="B1874">
        <v>4</v>
      </c>
      <c r="C1874" t="s">
        <v>89</v>
      </c>
      <c r="D1874" t="s">
        <v>116</v>
      </c>
      <c r="E1874" t="s">
        <v>219</v>
      </c>
      <c r="F1874" t="s">
        <v>169</v>
      </c>
      <c r="G1874" t="s">
        <v>92</v>
      </c>
      <c r="H1874">
        <v>3</v>
      </c>
      <c r="I1874">
        <v>11</v>
      </c>
      <c r="J1874">
        <v>27.27</v>
      </c>
      <c r="K1874" t="s">
        <v>247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 s="8">
        <v>0</v>
      </c>
      <c r="V1874" s="8">
        <f t="shared" si="29"/>
        <v>0</v>
      </c>
    </row>
    <row r="1875" spans="1:22" x14ac:dyDescent="0.3">
      <c r="A1875" t="s">
        <v>620</v>
      </c>
      <c r="B1875">
        <v>4</v>
      </c>
      <c r="C1875" t="s">
        <v>530</v>
      </c>
      <c r="D1875" t="s">
        <v>502</v>
      </c>
      <c r="E1875" t="s">
        <v>219</v>
      </c>
      <c r="F1875" t="s">
        <v>169</v>
      </c>
      <c r="G1875" t="s">
        <v>134</v>
      </c>
      <c r="H1875">
        <v>5</v>
      </c>
      <c r="I1875">
        <v>9</v>
      </c>
      <c r="J1875">
        <v>55.56</v>
      </c>
      <c r="K1875" t="s">
        <v>247</v>
      </c>
      <c r="L1875">
        <v>5</v>
      </c>
      <c r="M1875">
        <v>4</v>
      </c>
      <c r="N1875">
        <v>0</v>
      </c>
      <c r="O1875">
        <v>30</v>
      </c>
      <c r="P1875">
        <v>1</v>
      </c>
      <c r="Q1875">
        <v>7.5</v>
      </c>
      <c r="R1875">
        <v>25</v>
      </c>
      <c r="S1875">
        <v>0</v>
      </c>
      <c r="T1875">
        <v>0</v>
      </c>
      <c r="U1875" s="8">
        <v>30</v>
      </c>
      <c r="V1875" s="8">
        <f t="shared" si="29"/>
        <v>3</v>
      </c>
    </row>
    <row r="1876" spans="1:22" x14ac:dyDescent="0.3">
      <c r="A1876" t="s">
        <v>620</v>
      </c>
      <c r="B1876">
        <v>4</v>
      </c>
      <c r="C1876" t="s">
        <v>227</v>
      </c>
      <c r="D1876" t="s">
        <v>228</v>
      </c>
      <c r="E1876" t="s">
        <v>219</v>
      </c>
      <c r="F1876" t="s">
        <v>109</v>
      </c>
      <c r="G1876" t="s">
        <v>134</v>
      </c>
      <c r="H1876">
        <v>22</v>
      </c>
      <c r="I1876">
        <v>14</v>
      </c>
      <c r="J1876">
        <v>157.13999999999999</v>
      </c>
      <c r="K1876" t="s">
        <v>246</v>
      </c>
      <c r="L1876">
        <v>25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 s="8">
        <v>25</v>
      </c>
      <c r="V1876" s="8">
        <f t="shared" si="29"/>
        <v>3</v>
      </c>
    </row>
    <row r="1877" spans="1:22" x14ac:dyDescent="0.3">
      <c r="A1877" t="s">
        <v>620</v>
      </c>
      <c r="B1877">
        <v>4</v>
      </c>
      <c r="C1877" t="s">
        <v>587</v>
      </c>
      <c r="D1877" t="s">
        <v>690</v>
      </c>
      <c r="E1877" t="s">
        <v>219</v>
      </c>
      <c r="F1877" t="s">
        <v>85</v>
      </c>
      <c r="G1877" t="s">
        <v>134</v>
      </c>
      <c r="H1877">
        <v>9</v>
      </c>
      <c r="I1877">
        <v>8</v>
      </c>
      <c r="J1877">
        <v>112.5</v>
      </c>
      <c r="K1877" t="s">
        <v>246</v>
      </c>
      <c r="L1877">
        <v>10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 s="8">
        <v>10</v>
      </c>
      <c r="V1877" s="8">
        <f t="shared" si="29"/>
        <v>1</v>
      </c>
    </row>
    <row r="1878" spans="1:22" x14ac:dyDescent="0.3">
      <c r="A1878" t="s">
        <v>620</v>
      </c>
      <c r="B1878">
        <v>4</v>
      </c>
      <c r="C1878" t="s">
        <v>233</v>
      </c>
      <c r="D1878" t="s">
        <v>234</v>
      </c>
      <c r="E1878" t="s">
        <v>219</v>
      </c>
      <c r="F1878" t="s">
        <v>101</v>
      </c>
      <c r="G1878" t="s">
        <v>134</v>
      </c>
      <c r="H1878">
        <v>10</v>
      </c>
      <c r="I1878">
        <v>20</v>
      </c>
      <c r="J1878">
        <v>50</v>
      </c>
      <c r="K1878" t="s">
        <v>96</v>
      </c>
      <c r="L1878">
        <v>10</v>
      </c>
      <c r="M1878">
        <v>4</v>
      </c>
      <c r="N1878">
        <v>0</v>
      </c>
      <c r="O1878">
        <v>20</v>
      </c>
      <c r="P1878">
        <v>1</v>
      </c>
      <c r="Q1878">
        <v>5</v>
      </c>
      <c r="R1878">
        <v>25</v>
      </c>
      <c r="S1878">
        <v>0</v>
      </c>
      <c r="T1878">
        <v>0</v>
      </c>
      <c r="U1878" s="8">
        <v>35</v>
      </c>
      <c r="V1878" s="8">
        <f t="shared" si="29"/>
        <v>4</v>
      </c>
    </row>
    <row r="1879" spans="1:22" x14ac:dyDescent="0.3">
      <c r="A1879" t="s">
        <v>620</v>
      </c>
      <c r="B1879">
        <v>4</v>
      </c>
      <c r="C1879" t="s">
        <v>180</v>
      </c>
      <c r="D1879" t="s">
        <v>181</v>
      </c>
      <c r="E1879" t="s">
        <v>219</v>
      </c>
      <c r="F1879" t="s">
        <v>101</v>
      </c>
      <c r="G1879" t="s">
        <v>134</v>
      </c>
      <c r="H1879">
        <v>13</v>
      </c>
      <c r="I1879">
        <v>13</v>
      </c>
      <c r="J1879">
        <v>100</v>
      </c>
      <c r="K1879" t="s">
        <v>246</v>
      </c>
      <c r="L1879">
        <v>15</v>
      </c>
      <c r="M1879">
        <v>1</v>
      </c>
      <c r="N1879">
        <v>0</v>
      </c>
      <c r="O1879">
        <v>9</v>
      </c>
      <c r="P1879">
        <v>0</v>
      </c>
      <c r="Q1879">
        <v>9</v>
      </c>
      <c r="R1879">
        <v>0</v>
      </c>
      <c r="S1879">
        <v>0</v>
      </c>
      <c r="T1879">
        <v>0</v>
      </c>
      <c r="U1879" s="8">
        <v>15</v>
      </c>
      <c r="V1879" s="8">
        <f t="shared" si="29"/>
        <v>2</v>
      </c>
    </row>
    <row r="1880" spans="1:22" x14ac:dyDescent="0.3">
      <c r="A1880" t="s">
        <v>620</v>
      </c>
      <c r="B1880">
        <v>4</v>
      </c>
      <c r="C1880" t="s">
        <v>204</v>
      </c>
      <c r="D1880" t="s">
        <v>205</v>
      </c>
      <c r="E1880" t="s">
        <v>219</v>
      </c>
      <c r="F1880" t="s">
        <v>169</v>
      </c>
      <c r="G1880" t="s">
        <v>134</v>
      </c>
      <c r="H1880">
        <v>23</v>
      </c>
      <c r="I1880">
        <v>13</v>
      </c>
      <c r="J1880">
        <v>176.92</v>
      </c>
      <c r="K1880" t="s">
        <v>96</v>
      </c>
      <c r="L1880">
        <v>30</v>
      </c>
      <c r="M1880">
        <v>4</v>
      </c>
      <c r="N1880">
        <v>0</v>
      </c>
      <c r="O1880">
        <v>17</v>
      </c>
      <c r="P1880">
        <v>1</v>
      </c>
      <c r="Q1880">
        <v>4.2</v>
      </c>
      <c r="R1880">
        <v>25</v>
      </c>
      <c r="S1880">
        <v>0</v>
      </c>
      <c r="T1880">
        <v>0</v>
      </c>
      <c r="U1880" s="8">
        <v>55</v>
      </c>
      <c r="V1880" s="8">
        <f t="shared" si="29"/>
        <v>6</v>
      </c>
    </row>
    <row r="1881" spans="1:22" x14ac:dyDescent="0.3">
      <c r="A1881" t="s">
        <v>620</v>
      </c>
      <c r="B1881">
        <v>4</v>
      </c>
      <c r="C1881" t="s">
        <v>509</v>
      </c>
      <c r="D1881" t="s">
        <v>523</v>
      </c>
      <c r="E1881" t="s">
        <v>219</v>
      </c>
      <c r="F1881" t="s">
        <v>101</v>
      </c>
      <c r="G1881" t="s">
        <v>104</v>
      </c>
      <c r="H1881">
        <v>0</v>
      </c>
      <c r="I1881">
        <v>0</v>
      </c>
      <c r="J1881">
        <v>0</v>
      </c>
      <c r="K1881" t="s">
        <v>104</v>
      </c>
      <c r="L1881">
        <v>0</v>
      </c>
      <c r="M1881">
        <v>2</v>
      </c>
      <c r="N1881">
        <v>0</v>
      </c>
      <c r="O1881">
        <v>22</v>
      </c>
      <c r="P1881">
        <v>0</v>
      </c>
      <c r="Q1881">
        <v>11</v>
      </c>
      <c r="R1881">
        <v>0</v>
      </c>
      <c r="S1881">
        <v>0</v>
      </c>
      <c r="T1881">
        <v>0</v>
      </c>
      <c r="U1881" s="8">
        <v>0</v>
      </c>
      <c r="V1881" s="8">
        <f t="shared" si="29"/>
        <v>0</v>
      </c>
    </row>
    <row r="1882" spans="1:22" x14ac:dyDescent="0.3">
      <c r="A1882" t="s">
        <v>620</v>
      </c>
      <c r="B1882">
        <v>4</v>
      </c>
      <c r="C1882" t="s">
        <v>531</v>
      </c>
      <c r="D1882" t="s">
        <v>636</v>
      </c>
      <c r="E1882" t="s">
        <v>158</v>
      </c>
      <c r="F1882" t="s">
        <v>85</v>
      </c>
      <c r="G1882" t="s">
        <v>86</v>
      </c>
      <c r="H1882">
        <v>10</v>
      </c>
      <c r="I1882">
        <v>10</v>
      </c>
      <c r="J1882">
        <v>100</v>
      </c>
      <c r="K1882" t="s">
        <v>246</v>
      </c>
      <c r="L1882">
        <v>15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 s="8">
        <v>15</v>
      </c>
      <c r="V1882" s="8">
        <f t="shared" si="29"/>
        <v>2</v>
      </c>
    </row>
    <row r="1883" spans="1:22" x14ac:dyDescent="0.3">
      <c r="A1883" t="s">
        <v>620</v>
      </c>
      <c r="B1883">
        <v>4</v>
      </c>
      <c r="C1883" t="s">
        <v>188</v>
      </c>
      <c r="D1883" t="s">
        <v>189</v>
      </c>
      <c r="E1883" t="s">
        <v>158</v>
      </c>
      <c r="F1883" t="s">
        <v>109</v>
      </c>
      <c r="G1883" t="s">
        <v>86</v>
      </c>
      <c r="H1883">
        <v>29</v>
      </c>
      <c r="I1883">
        <v>33</v>
      </c>
      <c r="J1883">
        <v>87.88</v>
      </c>
      <c r="K1883" t="s">
        <v>246</v>
      </c>
      <c r="L1883">
        <v>30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 s="8">
        <v>30</v>
      </c>
      <c r="V1883" s="8">
        <f t="shared" si="29"/>
        <v>3</v>
      </c>
    </row>
    <row r="1884" spans="1:22" x14ac:dyDescent="0.3">
      <c r="A1884" t="s">
        <v>620</v>
      </c>
      <c r="B1884">
        <v>4</v>
      </c>
      <c r="C1884" t="s">
        <v>278</v>
      </c>
      <c r="D1884" t="s">
        <v>293</v>
      </c>
      <c r="E1884" t="s">
        <v>158</v>
      </c>
      <c r="F1884" t="s">
        <v>109</v>
      </c>
      <c r="G1884" t="s">
        <v>92</v>
      </c>
      <c r="H1884">
        <v>47</v>
      </c>
      <c r="I1884">
        <v>36</v>
      </c>
      <c r="J1884">
        <v>130.56</v>
      </c>
      <c r="K1884" t="s">
        <v>246</v>
      </c>
      <c r="L1884">
        <v>50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 s="8">
        <v>50</v>
      </c>
      <c r="V1884" s="8">
        <f t="shared" si="29"/>
        <v>5</v>
      </c>
    </row>
    <row r="1885" spans="1:22" x14ac:dyDescent="0.3">
      <c r="A1885" t="s">
        <v>620</v>
      </c>
      <c r="B1885">
        <v>4</v>
      </c>
      <c r="C1885" t="s">
        <v>194</v>
      </c>
      <c r="D1885" t="s">
        <v>195</v>
      </c>
      <c r="E1885" t="s">
        <v>158</v>
      </c>
      <c r="F1885" t="s">
        <v>109</v>
      </c>
      <c r="G1885" t="s">
        <v>92</v>
      </c>
      <c r="H1885">
        <v>34</v>
      </c>
      <c r="I1885">
        <v>18</v>
      </c>
      <c r="J1885">
        <v>188.89</v>
      </c>
      <c r="K1885" t="s">
        <v>96</v>
      </c>
      <c r="L1885">
        <v>40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 s="8">
        <v>40</v>
      </c>
      <c r="V1885" s="8">
        <f t="shared" si="29"/>
        <v>4</v>
      </c>
    </row>
    <row r="1886" spans="1:22" x14ac:dyDescent="0.3">
      <c r="A1886" t="s">
        <v>620</v>
      </c>
      <c r="B1886">
        <v>4</v>
      </c>
      <c r="C1886" t="s">
        <v>192</v>
      </c>
      <c r="D1886" t="s">
        <v>193</v>
      </c>
      <c r="E1886" t="s">
        <v>158</v>
      </c>
      <c r="F1886" t="s">
        <v>169</v>
      </c>
      <c r="G1886" t="s">
        <v>134</v>
      </c>
      <c r="H1886">
        <v>0</v>
      </c>
      <c r="I1886">
        <v>5</v>
      </c>
      <c r="J1886">
        <v>0</v>
      </c>
      <c r="K1886" t="s">
        <v>246</v>
      </c>
      <c r="L1886">
        <v>0</v>
      </c>
      <c r="M1886">
        <v>4</v>
      </c>
      <c r="N1886">
        <v>0</v>
      </c>
      <c r="O1886">
        <v>30</v>
      </c>
      <c r="P1886">
        <v>3</v>
      </c>
      <c r="Q1886">
        <v>7.5</v>
      </c>
      <c r="R1886">
        <v>60</v>
      </c>
      <c r="S1886">
        <v>0</v>
      </c>
      <c r="T1886">
        <v>0</v>
      </c>
      <c r="U1886" s="8">
        <v>60</v>
      </c>
      <c r="V1886" s="8">
        <f t="shared" si="29"/>
        <v>6</v>
      </c>
    </row>
    <row r="1887" spans="1:22" x14ac:dyDescent="0.3">
      <c r="A1887" t="s">
        <v>620</v>
      </c>
      <c r="B1887">
        <v>4</v>
      </c>
      <c r="C1887" t="s">
        <v>512</v>
      </c>
      <c r="D1887" t="s">
        <v>542</v>
      </c>
      <c r="E1887" t="s">
        <v>158</v>
      </c>
      <c r="F1887" t="s">
        <v>169</v>
      </c>
      <c r="G1887" t="s">
        <v>134</v>
      </c>
      <c r="H1887">
        <v>1</v>
      </c>
      <c r="I1887">
        <v>4</v>
      </c>
      <c r="J1887">
        <v>25</v>
      </c>
      <c r="K1887" t="s">
        <v>246</v>
      </c>
      <c r="L1887">
        <v>0</v>
      </c>
      <c r="M1887">
        <v>4</v>
      </c>
      <c r="N1887">
        <v>0</v>
      </c>
      <c r="O1887">
        <v>25</v>
      </c>
      <c r="P1887">
        <v>2</v>
      </c>
      <c r="Q1887">
        <v>6.2</v>
      </c>
      <c r="R1887">
        <v>40</v>
      </c>
      <c r="S1887">
        <v>0</v>
      </c>
      <c r="T1887">
        <v>0</v>
      </c>
      <c r="U1887" s="8">
        <v>40</v>
      </c>
      <c r="V1887" s="8">
        <f t="shared" si="29"/>
        <v>4</v>
      </c>
    </row>
    <row r="1888" spans="1:22" x14ac:dyDescent="0.3">
      <c r="A1888" t="s">
        <v>620</v>
      </c>
      <c r="B1888">
        <v>4</v>
      </c>
      <c r="C1888" t="s">
        <v>495</v>
      </c>
      <c r="D1888" t="s">
        <v>503</v>
      </c>
      <c r="E1888" t="s">
        <v>158</v>
      </c>
      <c r="F1888" t="s">
        <v>169</v>
      </c>
      <c r="G1888" t="s">
        <v>134</v>
      </c>
      <c r="H1888">
        <v>4</v>
      </c>
      <c r="I1888">
        <v>6</v>
      </c>
      <c r="J1888">
        <v>66.67</v>
      </c>
      <c r="K1888" t="s">
        <v>96</v>
      </c>
      <c r="L1888">
        <v>5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 s="8">
        <v>5</v>
      </c>
      <c r="V1888" s="8">
        <f t="shared" si="29"/>
        <v>1</v>
      </c>
    </row>
    <row r="1889" spans="1:22" x14ac:dyDescent="0.3">
      <c r="A1889" t="s">
        <v>620</v>
      </c>
      <c r="B1889">
        <v>4</v>
      </c>
      <c r="C1889" t="s">
        <v>102</v>
      </c>
      <c r="D1889" t="s">
        <v>126</v>
      </c>
      <c r="E1889" t="s">
        <v>158</v>
      </c>
      <c r="F1889" t="s">
        <v>169</v>
      </c>
      <c r="G1889" t="s">
        <v>104</v>
      </c>
      <c r="H1889">
        <v>0</v>
      </c>
      <c r="I1889">
        <v>0</v>
      </c>
      <c r="J1889">
        <v>0</v>
      </c>
      <c r="K1889" t="s">
        <v>104</v>
      </c>
      <c r="L1889">
        <v>0</v>
      </c>
      <c r="M1889">
        <v>2</v>
      </c>
      <c r="N1889">
        <v>0</v>
      </c>
      <c r="O1889">
        <v>11</v>
      </c>
      <c r="P1889">
        <v>0</v>
      </c>
      <c r="Q1889">
        <v>5.5</v>
      </c>
      <c r="R1889">
        <v>0</v>
      </c>
      <c r="S1889">
        <v>0</v>
      </c>
      <c r="T1889">
        <v>0</v>
      </c>
      <c r="U1889" s="8">
        <v>0</v>
      </c>
      <c r="V1889" s="8">
        <f t="shared" si="29"/>
        <v>0</v>
      </c>
    </row>
    <row r="1890" spans="1:22" x14ac:dyDescent="0.3">
      <c r="A1890" t="s">
        <v>620</v>
      </c>
      <c r="B1890">
        <v>4</v>
      </c>
      <c r="C1890" t="s">
        <v>274</v>
      </c>
      <c r="D1890" t="s">
        <v>284</v>
      </c>
      <c r="E1890" t="s">
        <v>158</v>
      </c>
      <c r="F1890" t="s">
        <v>169</v>
      </c>
      <c r="G1890" t="s">
        <v>104</v>
      </c>
      <c r="H1890">
        <v>0</v>
      </c>
      <c r="I1890">
        <v>0</v>
      </c>
      <c r="J1890">
        <v>0</v>
      </c>
      <c r="K1890" t="s">
        <v>104</v>
      </c>
      <c r="L1890">
        <v>0</v>
      </c>
      <c r="M1890">
        <v>2</v>
      </c>
      <c r="N1890">
        <v>0</v>
      </c>
      <c r="O1890">
        <v>13</v>
      </c>
      <c r="P1890">
        <v>1</v>
      </c>
      <c r="Q1890">
        <v>6.5</v>
      </c>
      <c r="R1890">
        <v>25</v>
      </c>
      <c r="S1890">
        <v>0</v>
      </c>
      <c r="T1890">
        <v>0</v>
      </c>
      <c r="U1890" s="8">
        <v>25</v>
      </c>
      <c r="V1890" s="8">
        <f t="shared" si="29"/>
        <v>3</v>
      </c>
    </row>
    <row r="1891" spans="1:22" x14ac:dyDescent="0.3">
      <c r="A1891" t="s">
        <v>620</v>
      </c>
      <c r="B1891">
        <v>4</v>
      </c>
      <c r="C1891" t="s">
        <v>532</v>
      </c>
      <c r="D1891" t="s">
        <v>637</v>
      </c>
      <c r="E1891" t="s">
        <v>158</v>
      </c>
      <c r="F1891" t="s">
        <v>101</v>
      </c>
      <c r="G1891" t="s">
        <v>104</v>
      </c>
      <c r="H1891">
        <v>0</v>
      </c>
      <c r="I1891">
        <v>0</v>
      </c>
      <c r="J1891">
        <v>0</v>
      </c>
      <c r="K1891" t="s">
        <v>104</v>
      </c>
      <c r="L1891">
        <v>0</v>
      </c>
      <c r="M1891">
        <v>4</v>
      </c>
      <c r="N1891">
        <v>0</v>
      </c>
      <c r="O1891">
        <v>22</v>
      </c>
      <c r="P1891">
        <v>2</v>
      </c>
      <c r="Q1891">
        <v>5.5</v>
      </c>
      <c r="R1891">
        <v>40</v>
      </c>
      <c r="S1891">
        <v>0</v>
      </c>
      <c r="T1891">
        <v>0</v>
      </c>
      <c r="U1891" s="8">
        <v>40</v>
      </c>
      <c r="V1891" s="8">
        <f t="shared" si="29"/>
        <v>4</v>
      </c>
    </row>
    <row r="1892" spans="1:22" x14ac:dyDescent="0.3">
      <c r="A1892" t="s">
        <v>620</v>
      </c>
      <c r="B1892">
        <v>4</v>
      </c>
      <c r="C1892" t="s">
        <v>533</v>
      </c>
      <c r="D1892" t="s">
        <v>638</v>
      </c>
      <c r="E1892" t="s">
        <v>158</v>
      </c>
      <c r="F1892" t="s">
        <v>101</v>
      </c>
      <c r="G1892" t="s">
        <v>104</v>
      </c>
      <c r="H1892">
        <v>0</v>
      </c>
      <c r="I1892">
        <v>0</v>
      </c>
      <c r="J1892">
        <v>0</v>
      </c>
      <c r="K1892" t="s">
        <v>104</v>
      </c>
      <c r="L1892">
        <v>0</v>
      </c>
      <c r="M1892">
        <v>4</v>
      </c>
      <c r="N1892">
        <v>0</v>
      </c>
      <c r="O1892">
        <v>21</v>
      </c>
      <c r="P1892">
        <v>0</v>
      </c>
      <c r="Q1892">
        <v>5.2</v>
      </c>
      <c r="R1892">
        <v>0</v>
      </c>
      <c r="S1892">
        <v>0</v>
      </c>
      <c r="T1892">
        <v>0</v>
      </c>
      <c r="U1892" s="8">
        <v>0</v>
      </c>
      <c r="V1892" s="8">
        <f t="shared" si="29"/>
        <v>0</v>
      </c>
    </row>
    <row r="1893" spans="1:22" x14ac:dyDescent="0.3">
      <c r="A1893" t="s">
        <v>621</v>
      </c>
      <c r="B1893">
        <v>4</v>
      </c>
      <c r="C1893" t="s">
        <v>81</v>
      </c>
      <c r="D1893" t="s">
        <v>114</v>
      </c>
      <c r="E1893" t="s">
        <v>258</v>
      </c>
      <c r="F1893" t="s">
        <v>85</v>
      </c>
      <c r="G1893" t="s">
        <v>86</v>
      </c>
      <c r="H1893">
        <v>62</v>
      </c>
      <c r="I1893">
        <v>51</v>
      </c>
      <c r="J1893">
        <v>121.57</v>
      </c>
      <c r="K1893" t="s">
        <v>96</v>
      </c>
      <c r="L1893">
        <v>70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 s="8">
        <v>70</v>
      </c>
      <c r="V1893" s="8">
        <f t="shared" si="29"/>
        <v>7</v>
      </c>
    </row>
    <row r="1894" spans="1:22" x14ac:dyDescent="0.3">
      <c r="A1894" t="s">
        <v>621</v>
      </c>
      <c r="B1894">
        <v>4</v>
      </c>
      <c r="C1894" t="s">
        <v>167</v>
      </c>
      <c r="D1894" t="s">
        <v>168</v>
      </c>
      <c r="E1894" t="s">
        <v>258</v>
      </c>
      <c r="F1894" t="s">
        <v>169</v>
      </c>
      <c r="G1894" t="s">
        <v>92</v>
      </c>
      <c r="H1894">
        <v>6</v>
      </c>
      <c r="I1894">
        <v>9</v>
      </c>
      <c r="J1894">
        <v>66.67</v>
      </c>
      <c r="K1894" t="s">
        <v>246</v>
      </c>
      <c r="L1894">
        <v>5</v>
      </c>
      <c r="M1894">
        <v>3</v>
      </c>
      <c r="N1894">
        <v>0</v>
      </c>
      <c r="O1894">
        <v>35</v>
      </c>
      <c r="P1894">
        <v>0</v>
      </c>
      <c r="Q1894">
        <v>11.7</v>
      </c>
      <c r="R1894">
        <v>0</v>
      </c>
      <c r="S1894">
        <v>0</v>
      </c>
      <c r="T1894">
        <v>0</v>
      </c>
      <c r="U1894" s="8">
        <v>5</v>
      </c>
      <c r="V1894" s="8">
        <f t="shared" si="29"/>
        <v>1</v>
      </c>
    </row>
    <row r="1895" spans="1:22" x14ac:dyDescent="0.3">
      <c r="A1895" t="s">
        <v>621</v>
      </c>
      <c r="B1895">
        <v>4</v>
      </c>
      <c r="C1895" t="s">
        <v>529</v>
      </c>
      <c r="D1895" t="s">
        <v>632</v>
      </c>
      <c r="E1895" t="s">
        <v>258</v>
      </c>
      <c r="F1895" t="s">
        <v>109</v>
      </c>
      <c r="G1895" t="s">
        <v>92</v>
      </c>
      <c r="H1895">
        <v>16</v>
      </c>
      <c r="I1895">
        <v>13</v>
      </c>
      <c r="J1895">
        <v>123.08</v>
      </c>
      <c r="K1895" t="s">
        <v>246</v>
      </c>
      <c r="L1895">
        <v>20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 s="8">
        <v>20</v>
      </c>
      <c r="V1895" s="8">
        <f t="shared" si="29"/>
        <v>2</v>
      </c>
    </row>
    <row r="1896" spans="1:22" x14ac:dyDescent="0.3">
      <c r="A1896" t="s">
        <v>621</v>
      </c>
      <c r="B1896">
        <v>4</v>
      </c>
      <c r="C1896" t="s">
        <v>93</v>
      </c>
      <c r="D1896" t="s">
        <v>118</v>
      </c>
      <c r="E1896" t="s">
        <v>258</v>
      </c>
      <c r="F1896" t="s">
        <v>169</v>
      </c>
      <c r="G1896" t="s">
        <v>134</v>
      </c>
      <c r="H1896">
        <v>0</v>
      </c>
      <c r="I1896">
        <v>1</v>
      </c>
      <c r="J1896">
        <v>0</v>
      </c>
      <c r="K1896" t="s">
        <v>246</v>
      </c>
      <c r="L1896">
        <v>0</v>
      </c>
      <c r="M1896">
        <v>1</v>
      </c>
      <c r="N1896">
        <v>0</v>
      </c>
      <c r="O1896">
        <v>15</v>
      </c>
      <c r="P1896">
        <v>0</v>
      </c>
      <c r="Q1896">
        <v>15</v>
      </c>
      <c r="R1896">
        <v>0</v>
      </c>
      <c r="S1896">
        <v>0</v>
      </c>
      <c r="T1896">
        <v>0</v>
      </c>
      <c r="U1896" s="8">
        <v>0</v>
      </c>
      <c r="V1896" s="8">
        <f t="shared" si="29"/>
        <v>0</v>
      </c>
    </row>
    <row r="1897" spans="1:22" x14ac:dyDescent="0.3">
      <c r="A1897" t="s">
        <v>621</v>
      </c>
      <c r="B1897">
        <v>4</v>
      </c>
      <c r="C1897" t="s">
        <v>178</v>
      </c>
      <c r="D1897" t="s">
        <v>179</v>
      </c>
      <c r="E1897" t="s">
        <v>258</v>
      </c>
      <c r="F1897" t="s">
        <v>169</v>
      </c>
      <c r="G1897" t="s">
        <v>134</v>
      </c>
      <c r="H1897">
        <v>6</v>
      </c>
      <c r="I1897">
        <v>9</v>
      </c>
      <c r="J1897">
        <v>66.67</v>
      </c>
      <c r="K1897" t="s">
        <v>248</v>
      </c>
      <c r="L1897">
        <v>5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 s="8">
        <v>5</v>
      </c>
      <c r="V1897" s="8">
        <f t="shared" si="29"/>
        <v>1</v>
      </c>
    </row>
    <row r="1898" spans="1:22" x14ac:dyDescent="0.3">
      <c r="A1898" t="s">
        <v>621</v>
      </c>
      <c r="B1898">
        <v>4</v>
      </c>
      <c r="C1898" t="s">
        <v>99</v>
      </c>
      <c r="D1898" t="s">
        <v>124</v>
      </c>
      <c r="E1898" t="s">
        <v>258</v>
      </c>
      <c r="F1898" t="s">
        <v>169</v>
      </c>
      <c r="G1898" t="s">
        <v>134</v>
      </c>
      <c r="H1898">
        <v>35</v>
      </c>
      <c r="I1898">
        <v>25</v>
      </c>
      <c r="J1898">
        <v>140</v>
      </c>
      <c r="K1898" t="s">
        <v>246</v>
      </c>
      <c r="L1898">
        <v>40</v>
      </c>
      <c r="M1898">
        <v>3.4</v>
      </c>
      <c r="N1898">
        <v>0</v>
      </c>
      <c r="O1898">
        <v>28</v>
      </c>
      <c r="P1898">
        <v>2</v>
      </c>
      <c r="Q1898">
        <v>7.6</v>
      </c>
      <c r="R1898">
        <v>50</v>
      </c>
      <c r="S1898">
        <v>0</v>
      </c>
      <c r="T1898">
        <v>0</v>
      </c>
      <c r="U1898" s="8">
        <v>90</v>
      </c>
      <c r="V1898" s="8">
        <f t="shared" si="29"/>
        <v>9</v>
      </c>
    </row>
    <row r="1899" spans="1:22" x14ac:dyDescent="0.3">
      <c r="A1899" t="s">
        <v>621</v>
      </c>
      <c r="B1899">
        <v>4</v>
      </c>
      <c r="C1899" t="s">
        <v>447</v>
      </c>
      <c r="D1899" t="s">
        <v>448</v>
      </c>
      <c r="E1899" t="s">
        <v>258</v>
      </c>
      <c r="F1899" t="s">
        <v>109</v>
      </c>
      <c r="G1899" t="s">
        <v>134</v>
      </c>
      <c r="H1899">
        <v>0</v>
      </c>
      <c r="I1899">
        <v>2</v>
      </c>
      <c r="J1899">
        <v>0</v>
      </c>
      <c r="K1899" t="s">
        <v>246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 s="8">
        <v>0</v>
      </c>
      <c r="V1899" s="8">
        <f t="shared" si="29"/>
        <v>0</v>
      </c>
    </row>
    <row r="1900" spans="1:22" x14ac:dyDescent="0.3">
      <c r="A1900" t="s">
        <v>621</v>
      </c>
      <c r="B1900">
        <v>4</v>
      </c>
      <c r="C1900" t="s">
        <v>493</v>
      </c>
      <c r="D1900" t="s">
        <v>500</v>
      </c>
      <c r="E1900" t="s">
        <v>258</v>
      </c>
      <c r="F1900" t="s">
        <v>101</v>
      </c>
      <c r="G1900" t="s">
        <v>134</v>
      </c>
      <c r="H1900">
        <v>18</v>
      </c>
      <c r="I1900">
        <v>10</v>
      </c>
      <c r="J1900">
        <v>180</v>
      </c>
      <c r="K1900" t="s">
        <v>256</v>
      </c>
      <c r="L1900">
        <v>20</v>
      </c>
      <c r="M1900">
        <v>2</v>
      </c>
      <c r="N1900">
        <v>0</v>
      </c>
      <c r="O1900">
        <v>17</v>
      </c>
      <c r="P1900">
        <v>0</v>
      </c>
      <c r="Q1900">
        <v>8.5</v>
      </c>
      <c r="R1900">
        <v>0</v>
      </c>
      <c r="S1900">
        <v>0</v>
      </c>
      <c r="T1900">
        <v>0</v>
      </c>
      <c r="U1900" s="8">
        <v>20</v>
      </c>
      <c r="V1900" s="8">
        <f t="shared" si="29"/>
        <v>2</v>
      </c>
    </row>
    <row r="1901" spans="1:22" x14ac:dyDescent="0.3">
      <c r="A1901" t="s">
        <v>621</v>
      </c>
      <c r="B1901">
        <v>4</v>
      </c>
      <c r="C1901" t="s">
        <v>105</v>
      </c>
      <c r="D1901" t="s">
        <v>128</v>
      </c>
      <c r="E1901" t="s">
        <v>258</v>
      </c>
      <c r="F1901" t="s">
        <v>101</v>
      </c>
      <c r="G1901" t="s">
        <v>134</v>
      </c>
      <c r="H1901">
        <v>0</v>
      </c>
      <c r="I1901">
        <v>0</v>
      </c>
      <c r="J1901">
        <v>0</v>
      </c>
      <c r="K1901" t="s">
        <v>96</v>
      </c>
      <c r="L1901">
        <v>0</v>
      </c>
      <c r="M1901">
        <v>1</v>
      </c>
      <c r="N1901">
        <v>0</v>
      </c>
      <c r="O1901">
        <v>5</v>
      </c>
      <c r="P1901">
        <v>0</v>
      </c>
      <c r="Q1901">
        <v>5</v>
      </c>
      <c r="R1901">
        <v>0</v>
      </c>
      <c r="S1901">
        <v>0</v>
      </c>
      <c r="T1901">
        <v>0</v>
      </c>
      <c r="U1901" s="8">
        <v>0</v>
      </c>
      <c r="V1901" s="8">
        <f t="shared" si="29"/>
        <v>0</v>
      </c>
    </row>
    <row r="1902" spans="1:22" x14ac:dyDescent="0.3">
      <c r="A1902" t="s">
        <v>621</v>
      </c>
      <c r="B1902">
        <v>4</v>
      </c>
      <c r="C1902" t="s">
        <v>186</v>
      </c>
      <c r="D1902" t="s">
        <v>187</v>
      </c>
      <c r="E1902" t="s">
        <v>258</v>
      </c>
      <c r="F1902" t="s">
        <v>101</v>
      </c>
      <c r="G1902" t="s">
        <v>104</v>
      </c>
      <c r="H1902">
        <v>0</v>
      </c>
      <c r="I1902">
        <v>0</v>
      </c>
      <c r="J1902">
        <v>0</v>
      </c>
      <c r="K1902" t="s">
        <v>104</v>
      </c>
      <c r="L1902">
        <v>0</v>
      </c>
      <c r="M1902">
        <v>2</v>
      </c>
      <c r="N1902">
        <v>0</v>
      </c>
      <c r="O1902">
        <v>27</v>
      </c>
      <c r="P1902">
        <v>0</v>
      </c>
      <c r="Q1902">
        <v>13.5</v>
      </c>
      <c r="R1902">
        <v>0</v>
      </c>
      <c r="S1902">
        <v>0</v>
      </c>
      <c r="T1902">
        <v>0</v>
      </c>
      <c r="U1902" s="8">
        <v>0</v>
      </c>
      <c r="V1902" s="8">
        <f t="shared" si="29"/>
        <v>0</v>
      </c>
    </row>
    <row r="1903" spans="1:22" x14ac:dyDescent="0.3">
      <c r="A1903" t="s">
        <v>621</v>
      </c>
      <c r="B1903">
        <v>4</v>
      </c>
      <c r="C1903" t="s">
        <v>237</v>
      </c>
      <c r="D1903" t="s">
        <v>238</v>
      </c>
      <c r="E1903" t="s">
        <v>258</v>
      </c>
      <c r="F1903" t="s">
        <v>101</v>
      </c>
      <c r="G1903" t="s">
        <v>104</v>
      </c>
      <c r="H1903">
        <v>0</v>
      </c>
      <c r="I1903">
        <v>0</v>
      </c>
      <c r="J1903">
        <v>0</v>
      </c>
      <c r="K1903" t="s">
        <v>104</v>
      </c>
      <c r="L1903">
        <v>0</v>
      </c>
      <c r="M1903">
        <v>3</v>
      </c>
      <c r="N1903">
        <v>0</v>
      </c>
      <c r="O1903">
        <v>33</v>
      </c>
      <c r="P1903">
        <v>1</v>
      </c>
      <c r="Q1903">
        <v>11</v>
      </c>
      <c r="R1903">
        <v>25</v>
      </c>
      <c r="S1903">
        <v>0</v>
      </c>
      <c r="T1903">
        <v>0</v>
      </c>
      <c r="U1903" s="8">
        <v>25</v>
      </c>
      <c r="V1903" s="8">
        <f t="shared" si="29"/>
        <v>3</v>
      </c>
    </row>
    <row r="1904" spans="1:22" x14ac:dyDescent="0.3">
      <c r="A1904" t="s">
        <v>621</v>
      </c>
      <c r="B1904">
        <v>4</v>
      </c>
      <c r="C1904" t="s">
        <v>531</v>
      </c>
      <c r="D1904" t="s">
        <v>636</v>
      </c>
      <c r="E1904" t="s">
        <v>158</v>
      </c>
      <c r="F1904" t="s">
        <v>85</v>
      </c>
      <c r="G1904" t="s">
        <v>86</v>
      </c>
      <c r="H1904">
        <v>43</v>
      </c>
      <c r="I1904">
        <v>24</v>
      </c>
      <c r="J1904">
        <v>179.17</v>
      </c>
      <c r="K1904" t="s">
        <v>247</v>
      </c>
      <c r="L1904">
        <v>45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 s="8">
        <v>45</v>
      </c>
      <c r="V1904" s="8">
        <f t="shared" si="29"/>
        <v>5</v>
      </c>
    </row>
    <row r="1905" spans="1:22" x14ac:dyDescent="0.3">
      <c r="A1905" t="s">
        <v>621</v>
      </c>
      <c r="B1905">
        <v>4</v>
      </c>
      <c r="C1905" t="s">
        <v>188</v>
      </c>
      <c r="D1905" t="s">
        <v>189</v>
      </c>
      <c r="E1905" t="s">
        <v>158</v>
      </c>
      <c r="F1905" t="s">
        <v>109</v>
      </c>
      <c r="G1905" t="s">
        <v>86</v>
      </c>
      <c r="H1905">
        <v>31</v>
      </c>
      <c r="I1905">
        <v>21</v>
      </c>
      <c r="J1905">
        <v>147.62</v>
      </c>
      <c r="K1905" t="s">
        <v>245</v>
      </c>
      <c r="L1905">
        <v>35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 s="8">
        <v>35</v>
      </c>
      <c r="V1905" s="8">
        <f t="shared" si="29"/>
        <v>4</v>
      </c>
    </row>
    <row r="1906" spans="1:22" x14ac:dyDescent="0.3">
      <c r="A1906" t="s">
        <v>621</v>
      </c>
      <c r="B1906">
        <v>4</v>
      </c>
      <c r="C1906" t="s">
        <v>278</v>
      </c>
      <c r="D1906" t="s">
        <v>293</v>
      </c>
      <c r="E1906" t="s">
        <v>158</v>
      </c>
      <c r="F1906" t="s">
        <v>109</v>
      </c>
      <c r="G1906" t="s">
        <v>92</v>
      </c>
      <c r="H1906">
        <v>32</v>
      </c>
      <c r="I1906">
        <v>24</v>
      </c>
      <c r="J1906">
        <v>133.33000000000001</v>
      </c>
      <c r="K1906" t="s">
        <v>96</v>
      </c>
      <c r="L1906">
        <v>35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 s="8">
        <v>35</v>
      </c>
      <c r="V1906" s="8">
        <f t="shared" si="29"/>
        <v>4</v>
      </c>
    </row>
    <row r="1907" spans="1:22" x14ac:dyDescent="0.3">
      <c r="A1907" t="s">
        <v>621</v>
      </c>
      <c r="B1907">
        <v>4</v>
      </c>
      <c r="C1907" t="s">
        <v>194</v>
      </c>
      <c r="D1907" t="s">
        <v>195</v>
      </c>
      <c r="E1907" t="s">
        <v>158</v>
      </c>
      <c r="F1907" t="s">
        <v>109</v>
      </c>
      <c r="G1907" t="s">
        <v>92</v>
      </c>
      <c r="H1907">
        <v>41</v>
      </c>
      <c r="I1907">
        <v>23</v>
      </c>
      <c r="J1907">
        <v>178.26</v>
      </c>
      <c r="K1907" t="s">
        <v>246</v>
      </c>
      <c r="L1907">
        <v>45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 s="8">
        <v>45</v>
      </c>
      <c r="V1907" s="8">
        <f t="shared" si="29"/>
        <v>5</v>
      </c>
    </row>
    <row r="1908" spans="1:22" x14ac:dyDescent="0.3">
      <c r="A1908" t="s">
        <v>621</v>
      </c>
      <c r="B1908">
        <v>4</v>
      </c>
      <c r="C1908" t="s">
        <v>192</v>
      </c>
      <c r="D1908" t="s">
        <v>193</v>
      </c>
      <c r="E1908" t="s">
        <v>158</v>
      </c>
      <c r="F1908" t="s">
        <v>169</v>
      </c>
      <c r="G1908" t="s">
        <v>134</v>
      </c>
      <c r="H1908">
        <v>4</v>
      </c>
      <c r="I1908">
        <v>3</v>
      </c>
      <c r="J1908">
        <v>133.33000000000001</v>
      </c>
      <c r="K1908" t="s">
        <v>96</v>
      </c>
      <c r="L1908">
        <v>5</v>
      </c>
      <c r="M1908">
        <v>4</v>
      </c>
      <c r="N1908">
        <v>0</v>
      </c>
      <c r="O1908">
        <v>32</v>
      </c>
      <c r="P1908">
        <v>0</v>
      </c>
      <c r="Q1908">
        <v>8</v>
      </c>
      <c r="R1908">
        <v>0</v>
      </c>
      <c r="S1908">
        <v>0</v>
      </c>
      <c r="T1908">
        <v>0</v>
      </c>
      <c r="U1908" s="8">
        <v>5</v>
      </c>
      <c r="V1908" s="8">
        <f t="shared" si="29"/>
        <v>1</v>
      </c>
    </row>
    <row r="1909" spans="1:22" x14ac:dyDescent="0.3">
      <c r="A1909" t="s">
        <v>621</v>
      </c>
      <c r="B1909">
        <v>4</v>
      </c>
      <c r="C1909" t="s">
        <v>512</v>
      </c>
      <c r="D1909" t="s">
        <v>542</v>
      </c>
      <c r="E1909" t="s">
        <v>158</v>
      </c>
      <c r="F1909" t="s">
        <v>169</v>
      </c>
      <c r="G1909" t="s">
        <v>104</v>
      </c>
      <c r="H1909">
        <v>0</v>
      </c>
      <c r="I1909">
        <v>0</v>
      </c>
      <c r="J1909">
        <v>0</v>
      </c>
      <c r="K1909" t="s">
        <v>104</v>
      </c>
      <c r="L1909">
        <v>0</v>
      </c>
      <c r="M1909">
        <v>4</v>
      </c>
      <c r="N1909">
        <v>0</v>
      </c>
      <c r="O1909">
        <v>35</v>
      </c>
      <c r="P1909">
        <v>3</v>
      </c>
      <c r="Q1909">
        <v>8.8000000000000007</v>
      </c>
      <c r="R1909">
        <v>60</v>
      </c>
      <c r="S1909">
        <v>0</v>
      </c>
      <c r="T1909">
        <v>0</v>
      </c>
      <c r="U1909" s="8">
        <v>60</v>
      </c>
      <c r="V1909" s="8">
        <f t="shared" si="29"/>
        <v>6</v>
      </c>
    </row>
    <row r="1910" spans="1:22" x14ac:dyDescent="0.3">
      <c r="A1910" t="s">
        <v>621</v>
      </c>
      <c r="B1910">
        <v>4</v>
      </c>
      <c r="C1910" t="s">
        <v>495</v>
      </c>
      <c r="D1910" t="s">
        <v>503</v>
      </c>
      <c r="E1910" t="s">
        <v>158</v>
      </c>
      <c r="F1910" t="s">
        <v>169</v>
      </c>
      <c r="G1910" t="s">
        <v>104</v>
      </c>
      <c r="H1910">
        <v>0</v>
      </c>
      <c r="I1910">
        <v>0</v>
      </c>
      <c r="J1910">
        <v>0</v>
      </c>
      <c r="K1910" t="s">
        <v>104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 s="8">
        <v>0</v>
      </c>
      <c r="V1910" s="8">
        <f t="shared" si="29"/>
        <v>0</v>
      </c>
    </row>
    <row r="1911" spans="1:22" x14ac:dyDescent="0.3">
      <c r="A1911" t="s">
        <v>621</v>
      </c>
      <c r="B1911">
        <v>4</v>
      </c>
      <c r="C1911" t="s">
        <v>102</v>
      </c>
      <c r="D1911" t="s">
        <v>126</v>
      </c>
      <c r="E1911" t="s">
        <v>158</v>
      </c>
      <c r="F1911" t="s">
        <v>169</v>
      </c>
      <c r="G1911" t="s">
        <v>104</v>
      </c>
      <c r="H1911">
        <v>0</v>
      </c>
      <c r="I1911">
        <v>0</v>
      </c>
      <c r="J1911">
        <v>0</v>
      </c>
      <c r="K1911" t="s">
        <v>104</v>
      </c>
      <c r="L1911">
        <v>0</v>
      </c>
      <c r="M1911">
        <v>1</v>
      </c>
      <c r="N1911">
        <v>0</v>
      </c>
      <c r="O1911">
        <v>3</v>
      </c>
      <c r="P1911">
        <v>0</v>
      </c>
      <c r="Q1911">
        <v>3</v>
      </c>
      <c r="R1911">
        <v>0</v>
      </c>
      <c r="S1911">
        <v>0</v>
      </c>
      <c r="T1911">
        <v>0</v>
      </c>
      <c r="U1911" s="8">
        <v>0</v>
      </c>
      <c r="V1911" s="8">
        <f t="shared" si="29"/>
        <v>0</v>
      </c>
    </row>
    <row r="1912" spans="1:22" x14ac:dyDescent="0.3">
      <c r="A1912" t="s">
        <v>621</v>
      </c>
      <c r="B1912">
        <v>4</v>
      </c>
      <c r="C1912" t="s">
        <v>274</v>
      </c>
      <c r="D1912" t="s">
        <v>284</v>
      </c>
      <c r="E1912" t="s">
        <v>158</v>
      </c>
      <c r="F1912" t="s">
        <v>169</v>
      </c>
      <c r="G1912" t="s">
        <v>104</v>
      </c>
      <c r="H1912">
        <v>0</v>
      </c>
      <c r="I1912">
        <v>0</v>
      </c>
      <c r="J1912">
        <v>0</v>
      </c>
      <c r="K1912" t="s">
        <v>104</v>
      </c>
      <c r="L1912">
        <v>0</v>
      </c>
      <c r="M1912">
        <v>4</v>
      </c>
      <c r="N1912">
        <v>0</v>
      </c>
      <c r="O1912">
        <v>23</v>
      </c>
      <c r="P1912">
        <v>1</v>
      </c>
      <c r="Q1912">
        <v>5.8</v>
      </c>
      <c r="R1912">
        <v>25</v>
      </c>
      <c r="S1912">
        <v>0</v>
      </c>
      <c r="T1912">
        <v>0</v>
      </c>
      <c r="U1912" s="8">
        <v>25</v>
      </c>
      <c r="V1912" s="8">
        <f t="shared" si="29"/>
        <v>3</v>
      </c>
    </row>
    <row r="1913" spans="1:22" x14ac:dyDescent="0.3">
      <c r="A1913" t="s">
        <v>621</v>
      </c>
      <c r="B1913">
        <v>4</v>
      </c>
      <c r="C1913" t="s">
        <v>532</v>
      </c>
      <c r="D1913" t="s">
        <v>637</v>
      </c>
      <c r="E1913" t="s">
        <v>158</v>
      </c>
      <c r="F1913" t="s">
        <v>101</v>
      </c>
      <c r="G1913" t="s">
        <v>104</v>
      </c>
      <c r="H1913">
        <v>0</v>
      </c>
      <c r="I1913">
        <v>0</v>
      </c>
      <c r="J1913">
        <v>0</v>
      </c>
      <c r="K1913" t="s">
        <v>104</v>
      </c>
      <c r="L1913">
        <v>0</v>
      </c>
      <c r="M1913">
        <v>3</v>
      </c>
      <c r="N1913">
        <v>0</v>
      </c>
      <c r="O1913">
        <v>25</v>
      </c>
      <c r="P1913">
        <v>0</v>
      </c>
      <c r="Q1913">
        <v>8.3000000000000007</v>
      </c>
      <c r="R1913">
        <v>0</v>
      </c>
      <c r="S1913">
        <v>0</v>
      </c>
      <c r="T1913">
        <v>0</v>
      </c>
      <c r="U1913" s="8">
        <v>0</v>
      </c>
      <c r="V1913" s="8">
        <f t="shared" si="29"/>
        <v>0</v>
      </c>
    </row>
    <row r="1914" spans="1:22" x14ac:dyDescent="0.3">
      <c r="A1914" t="s">
        <v>621</v>
      </c>
      <c r="B1914">
        <v>4</v>
      </c>
      <c r="C1914" t="s">
        <v>533</v>
      </c>
      <c r="D1914" t="s">
        <v>638</v>
      </c>
      <c r="E1914" t="s">
        <v>158</v>
      </c>
      <c r="F1914" t="s">
        <v>101</v>
      </c>
      <c r="G1914" t="s">
        <v>104</v>
      </c>
      <c r="H1914">
        <v>0</v>
      </c>
      <c r="I1914">
        <v>0</v>
      </c>
      <c r="J1914">
        <v>0</v>
      </c>
      <c r="K1914" t="s">
        <v>104</v>
      </c>
      <c r="L1914">
        <v>0</v>
      </c>
      <c r="M1914">
        <v>4</v>
      </c>
      <c r="N1914">
        <v>0</v>
      </c>
      <c r="O1914">
        <v>44</v>
      </c>
      <c r="P1914">
        <v>2</v>
      </c>
      <c r="Q1914">
        <v>11</v>
      </c>
      <c r="R1914">
        <v>40</v>
      </c>
      <c r="S1914">
        <v>0</v>
      </c>
      <c r="T1914">
        <v>0</v>
      </c>
      <c r="U1914" s="8">
        <v>40</v>
      </c>
      <c r="V1914" s="8">
        <f t="shared" si="29"/>
        <v>4</v>
      </c>
    </row>
    <row r="1915" spans="1:22" x14ac:dyDescent="0.3">
      <c r="A1915" t="s">
        <v>622</v>
      </c>
      <c r="B1915">
        <v>4</v>
      </c>
      <c r="C1915" t="s">
        <v>531</v>
      </c>
      <c r="D1915" t="s">
        <v>636</v>
      </c>
      <c r="E1915" t="s">
        <v>158</v>
      </c>
      <c r="F1915" t="s">
        <v>85</v>
      </c>
      <c r="G1915" t="s">
        <v>86</v>
      </c>
      <c r="H1915">
        <v>37</v>
      </c>
      <c r="I1915">
        <v>30</v>
      </c>
      <c r="J1915">
        <v>123.33</v>
      </c>
      <c r="K1915" t="s">
        <v>246</v>
      </c>
      <c r="L1915">
        <v>40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 s="8">
        <v>40</v>
      </c>
      <c r="V1915" s="8">
        <f t="shared" si="29"/>
        <v>4</v>
      </c>
    </row>
    <row r="1916" spans="1:22" x14ac:dyDescent="0.3">
      <c r="A1916" t="s">
        <v>622</v>
      </c>
      <c r="B1916">
        <v>4</v>
      </c>
      <c r="C1916" t="s">
        <v>188</v>
      </c>
      <c r="D1916" t="s">
        <v>189</v>
      </c>
      <c r="E1916" t="s">
        <v>158</v>
      </c>
      <c r="F1916" t="s">
        <v>109</v>
      </c>
      <c r="G1916" t="s">
        <v>86</v>
      </c>
      <c r="H1916">
        <v>20</v>
      </c>
      <c r="I1916">
        <v>13</v>
      </c>
      <c r="J1916">
        <v>153.85</v>
      </c>
      <c r="K1916" t="s">
        <v>246</v>
      </c>
      <c r="L1916">
        <v>25</v>
      </c>
      <c r="M1916">
        <v>1</v>
      </c>
      <c r="N1916">
        <v>0</v>
      </c>
      <c r="O1916">
        <v>9</v>
      </c>
      <c r="P1916">
        <v>0</v>
      </c>
      <c r="Q1916">
        <v>9</v>
      </c>
      <c r="R1916">
        <v>0</v>
      </c>
      <c r="S1916">
        <v>0</v>
      </c>
      <c r="T1916">
        <v>0</v>
      </c>
      <c r="U1916" s="8">
        <v>25</v>
      </c>
      <c r="V1916" s="8">
        <f t="shared" si="29"/>
        <v>3</v>
      </c>
    </row>
    <row r="1917" spans="1:22" x14ac:dyDescent="0.3">
      <c r="A1917" t="s">
        <v>622</v>
      </c>
      <c r="B1917">
        <v>4</v>
      </c>
      <c r="C1917" t="s">
        <v>278</v>
      </c>
      <c r="D1917" t="s">
        <v>293</v>
      </c>
      <c r="E1917" t="s">
        <v>158</v>
      </c>
      <c r="F1917" t="s">
        <v>109</v>
      </c>
      <c r="G1917" t="s">
        <v>92</v>
      </c>
      <c r="H1917">
        <v>44</v>
      </c>
      <c r="I1917">
        <v>25</v>
      </c>
      <c r="J1917">
        <v>176</v>
      </c>
      <c r="K1917" t="s">
        <v>256</v>
      </c>
      <c r="L1917">
        <v>50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 s="8">
        <v>50</v>
      </c>
      <c r="V1917" s="8">
        <f t="shared" si="29"/>
        <v>5</v>
      </c>
    </row>
    <row r="1918" spans="1:22" x14ac:dyDescent="0.3">
      <c r="A1918" t="s">
        <v>622</v>
      </c>
      <c r="B1918">
        <v>4</v>
      </c>
      <c r="C1918" t="s">
        <v>194</v>
      </c>
      <c r="D1918" t="s">
        <v>195</v>
      </c>
      <c r="E1918" t="s">
        <v>158</v>
      </c>
      <c r="F1918" t="s">
        <v>109</v>
      </c>
      <c r="G1918" t="s">
        <v>92</v>
      </c>
      <c r="H1918">
        <v>57</v>
      </c>
      <c r="I1918">
        <v>37</v>
      </c>
      <c r="J1918">
        <v>154.05000000000001</v>
      </c>
      <c r="K1918" t="s">
        <v>246</v>
      </c>
      <c r="L1918">
        <v>65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 s="8">
        <v>65</v>
      </c>
      <c r="V1918" s="8">
        <f t="shared" si="29"/>
        <v>7</v>
      </c>
    </row>
    <row r="1919" spans="1:22" x14ac:dyDescent="0.3">
      <c r="A1919" t="s">
        <v>622</v>
      </c>
      <c r="B1919">
        <v>4</v>
      </c>
      <c r="C1919" t="s">
        <v>192</v>
      </c>
      <c r="D1919" t="s">
        <v>193</v>
      </c>
      <c r="E1919" t="s">
        <v>158</v>
      </c>
      <c r="F1919" t="s">
        <v>169</v>
      </c>
      <c r="G1919" t="s">
        <v>134</v>
      </c>
      <c r="H1919">
        <v>0</v>
      </c>
      <c r="I1919">
        <v>0</v>
      </c>
      <c r="J1919">
        <v>0</v>
      </c>
      <c r="K1919" t="s">
        <v>104</v>
      </c>
      <c r="L1919">
        <v>0</v>
      </c>
      <c r="M1919">
        <v>4</v>
      </c>
      <c r="N1919">
        <v>0</v>
      </c>
      <c r="O1919">
        <v>38</v>
      </c>
      <c r="P1919">
        <v>0</v>
      </c>
      <c r="Q1919">
        <v>9.5</v>
      </c>
      <c r="R1919">
        <v>0</v>
      </c>
      <c r="S1919">
        <v>0</v>
      </c>
      <c r="T1919">
        <v>0</v>
      </c>
      <c r="U1919" s="8">
        <v>0</v>
      </c>
      <c r="V1919" s="8">
        <f t="shared" si="29"/>
        <v>0</v>
      </c>
    </row>
    <row r="1920" spans="1:22" x14ac:dyDescent="0.3">
      <c r="A1920" t="s">
        <v>622</v>
      </c>
      <c r="B1920">
        <v>4</v>
      </c>
      <c r="C1920" t="s">
        <v>512</v>
      </c>
      <c r="D1920" t="s">
        <v>542</v>
      </c>
      <c r="E1920" t="s">
        <v>158</v>
      </c>
      <c r="F1920" t="s">
        <v>169</v>
      </c>
      <c r="G1920" t="s">
        <v>134</v>
      </c>
      <c r="H1920">
        <v>35</v>
      </c>
      <c r="I1920">
        <v>15</v>
      </c>
      <c r="J1920">
        <v>233.33</v>
      </c>
      <c r="K1920" t="s">
        <v>96</v>
      </c>
      <c r="L1920">
        <v>50</v>
      </c>
      <c r="M1920">
        <v>4</v>
      </c>
      <c r="N1920">
        <v>0</v>
      </c>
      <c r="O1920">
        <v>34</v>
      </c>
      <c r="P1920">
        <v>2</v>
      </c>
      <c r="Q1920">
        <v>8.5</v>
      </c>
      <c r="R1920">
        <v>50</v>
      </c>
      <c r="S1920">
        <v>0</v>
      </c>
      <c r="T1920">
        <v>0</v>
      </c>
      <c r="U1920" s="8">
        <v>100</v>
      </c>
      <c r="V1920" s="8">
        <f t="shared" si="29"/>
        <v>10</v>
      </c>
    </row>
    <row r="1921" spans="1:22" x14ac:dyDescent="0.3">
      <c r="A1921" t="s">
        <v>622</v>
      </c>
      <c r="B1921">
        <v>4</v>
      </c>
      <c r="C1921" t="s">
        <v>495</v>
      </c>
      <c r="D1921" t="s">
        <v>503</v>
      </c>
      <c r="E1921" t="s">
        <v>158</v>
      </c>
      <c r="F1921" t="s">
        <v>169</v>
      </c>
      <c r="G1921" t="s">
        <v>104</v>
      </c>
      <c r="H1921">
        <v>0</v>
      </c>
      <c r="I1921">
        <v>0</v>
      </c>
      <c r="J1921">
        <v>0</v>
      </c>
      <c r="K1921" t="s">
        <v>104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 s="8">
        <v>0</v>
      </c>
      <c r="V1921" s="8">
        <f t="shared" si="29"/>
        <v>0</v>
      </c>
    </row>
    <row r="1922" spans="1:22" x14ac:dyDescent="0.3">
      <c r="A1922" t="s">
        <v>622</v>
      </c>
      <c r="B1922">
        <v>4</v>
      </c>
      <c r="C1922" t="s">
        <v>102</v>
      </c>
      <c r="D1922" t="s">
        <v>126</v>
      </c>
      <c r="E1922" t="s">
        <v>158</v>
      </c>
      <c r="F1922" t="s">
        <v>169</v>
      </c>
      <c r="G1922" t="s">
        <v>104</v>
      </c>
      <c r="H1922">
        <v>0</v>
      </c>
      <c r="I1922">
        <v>0</v>
      </c>
      <c r="J1922">
        <v>0</v>
      </c>
      <c r="K1922" t="s">
        <v>104</v>
      </c>
      <c r="L1922">
        <v>0</v>
      </c>
      <c r="M1922">
        <v>1</v>
      </c>
      <c r="N1922">
        <v>0</v>
      </c>
      <c r="O1922">
        <v>15</v>
      </c>
      <c r="P1922">
        <v>0</v>
      </c>
      <c r="Q1922">
        <v>15</v>
      </c>
      <c r="R1922">
        <v>0</v>
      </c>
      <c r="S1922">
        <v>0</v>
      </c>
      <c r="T1922">
        <v>0</v>
      </c>
      <c r="U1922" s="8">
        <v>0</v>
      </c>
      <c r="V1922" s="8">
        <f t="shared" si="29"/>
        <v>0</v>
      </c>
    </row>
    <row r="1923" spans="1:22" x14ac:dyDescent="0.3">
      <c r="A1923" t="s">
        <v>622</v>
      </c>
      <c r="B1923">
        <v>4</v>
      </c>
      <c r="C1923" t="s">
        <v>274</v>
      </c>
      <c r="D1923" t="s">
        <v>284</v>
      </c>
      <c r="E1923" t="s">
        <v>158</v>
      </c>
      <c r="F1923" t="s">
        <v>169</v>
      </c>
      <c r="G1923" t="s">
        <v>104</v>
      </c>
      <c r="H1923">
        <v>0</v>
      </c>
      <c r="I1923">
        <v>0</v>
      </c>
      <c r="J1923">
        <v>0</v>
      </c>
      <c r="K1923" t="s">
        <v>104</v>
      </c>
      <c r="L1923">
        <v>0</v>
      </c>
      <c r="M1923">
        <v>2</v>
      </c>
      <c r="N1923">
        <v>0</v>
      </c>
      <c r="O1923">
        <v>19</v>
      </c>
      <c r="P1923">
        <v>1</v>
      </c>
      <c r="Q1923">
        <v>9.5</v>
      </c>
      <c r="R1923">
        <v>25</v>
      </c>
      <c r="S1923">
        <v>0</v>
      </c>
      <c r="T1923">
        <v>0</v>
      </c>
      <c r="U1923" s="8">
        <v>25</v>
      </c>
      <c r="V1923" s="8">
        <f t="shared" ref="V1923:V1936" si="30">MIN(10, MAX(0, ROUND(U1923/10,0)))</f>
        <v>3</v>
      </c>
    </row>
    <row r="1924" spans="1:22" x14ac:dyDescent="0.3">
      <c r="A1924" t="s">
        <v>622</v>
      </c>
      <c r="B1924">
        <v>4</v>
      </c>
      <c r="C1924" t="s">
        <v>532</v>
      </c>
      <c r="D1924" t="s">
        <v>637</v>
      </c>
      <c r="E1924" t="s">
        <v>158</v>
      </c>
      <c r="F1924" t="s">
        <v>101</v>
      </c>
      <c r="G1924" t="s">
        <v>104</v>
      </c>
      <c r="H1924">
        <v>0</v>
      </c>
      <c r="I1924">
        <v>0</v>
      </c>
      <c r="J1924">
        <v>0</v>
      </c>
      <c r="K1924" t="s">
        <v>104</v>
      </c>
      <c r="L1924">
        <v>0</v>
      </c>
      <c r="M1924">
        <v>3.4</v>
      </c>
      <c r="N1924">
        <v>0</v>
      </c>
      <c r="O1924">
        <v>46</v>
      </c>
      <c r="P1924">
        <v>0</v>
      </c>
      <c r="Q1924">
        <v>12.5</v>
      </c>
      <c r="R1924">
        <v>0</v>
      </c>
      <c r="S1924">
        <v>0</v>
      </c>
      <c r="T1924">
        <v>0</v>
      </c>
      <c r="U1924" s="8">
        <v>0</v>
      </c>
      <c r="V1924" s="8">
        <f t="shared" si="30"/>
        <v>0</v>
      </c>
    </row>
    <row r="1925" spans="1:22" x14ac:dyDescent="0.3">
      <c r="A1925" t="s">
        <v>622</v>
      </c>
      <c r="B1925">
        <v>4</v>
      </c>
      <c r="C1925" t="s">
        <v>533</v>
      </c>
      <c r="D1925" t="s">
        <v>638</v>
      </c>
      <c r="E1925" t="s">
        <v>158</v>
      </c>
      <c r="F1925" t="s">
        <v>101</v>
      </c>
      <c r="G1925" t="s">
        <v>104</v>
      </c>
      <c r="H1925">
        <v>0</v>
      </c>
      <c r="I1925">
        <v>0</v>
      </c>
      <c r="J1925">
        <v>0</v>
      </c>
      <c r="K1925" t="s">
        <v>104</v>
      </c>
      <c r="L1925">
        <v>0</v>
      </c>
      <c r="M1925">
        <v>4</v>
      </c>
      <c r="N1925">
        <v>0</v>
      </c>
      <c r="O1925">
        <v>41</v>
      </c>
      <c r="P1925">
        <v>1</v>
      </c>
      <c r="Q1925">
        <v>10.199999999999999</v>
      </c>
      <c r="R1925">
        <v>25</v>
      </c>
      <c r="S1925">
        <v>0</v>
      </c>
      <c r="T1925">
        <v>0</v>
      </c>
      <c r="U1925" s="8">
        <v>25</v>
      </c>
      <c r="V1925" s="8">
        <f t="shared" si="30"/>
        <v>3</v>
      </c>
    </row>
    <row r="1926" spans="1:22" x14ac:dyDescent="0.3">
      <c r="A1926" t="s">
        <v>622</v>
      </c>
      <c r="B1926">
        <v>4</v>
      </c>
      <c r="C1926" t="s">
        <v>226</v>
      </c>
      <c r="D1926" t="s">
        <v>211</v>
      </c>
      <c r="E1926" t="s">
        <v>159</v>
      </c>
      <c r="F1926" t="s">
        <v>85</v>
      </c>
      <c r="G1926" t="s">
        <v>86</v>
      </c>
      <c r="H1926">
        <v>9</v>
      </c>
      <c r="I1926">
        <v>7</v>
      </c>
      <c r="J1926">
        <v>128.57</v>
      </c>
      <c r="K1926" t="s">
        <v>245</v>
      </c>
      <c r="L1926">
        <v>10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 s="8">
        <v>10</v>
      </c>
      <c r="V1926" s="8">
        <f t="shared" si="30"/>
        <v>1</v>
      </c>
    </row>
    <row r="1927" spans="1:22" x14ac:dyDescent="0.3">
      <c r="A1927" t="s">
        <v>622</v>
      </c>
      <c r="B1927">
        <v>4</v>
      </c>
      <c r="C1927" t="s">
        <v>165</v>
      </c>
      <c r="D1927" t="s">
        <v>166</v>
      </c>
      <c r="E1927" t="s">
        <v>159</v>
      </c>
      <c r="F1927" t="s">
        <v>109</v>
      </c>
      <c r="G1927" t="s">
        <v>92</v>
      </c>
      <c r="H1927">
        <v>87</v>
      </c>
      <c r="I1927">
        <v>41</v>
      </c>
      <c r="J1927">
        <v>212.2</v>
      </c>
      <c r="K1927" t="s">
        <v>245</v>
      </c>
      <c r="L1927">
        <v>90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 s="8">
        <v>90</v>
      </c>
      <c r="V1927" s="8">
        <f t="shared" si="30"/>
        <v>9</v>
      </c>
    </row>
    <row r="1928" spans="1:22" x14ac:dyDescent="0.3">
      <c r="A1928" t="s">
        <v>622</v>
      </c>
      <c r="B1928">
        <v>4</v>
      </c>
      <c r="C1928" t="s">
        <v>514</v>
      </c>
      <c r="D1928" t="s">
        <v>567</v>
      </c>
      <c r="E1928" t="s">
        <v>159</v>
      </c>
      <c r="F1928" t="s">
        <v>109</v>
      </c>
      <c r="G1928" t="s">
        <v>92</v>
      </c>
      <c r="H1928">
        <v>79</v>
      </c>
      <c r="I1928">
        <v>54</v>
      </c>
      <c r="J1928">
        <v>146.30000000000001</v>
      </c>
      <c r="K1928" t="s">
        <v>246</v>
      </c>
      <c r="L1928">
        <v>85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 s="8">
        <v>85</v>
      </c>
      <c r="V1928" s="8">
        <f t="shared" si="30"/>
        <v>9</v>
      </c>
    </row>
    <row r="1929" spans="1:22" x14ac:dyDescent="0.3">
      <c r="A1929" t="s">
        <v>622</v>
      </c>
      <c r="B1929">
        <v>4</v>
      </c>
      <c r="C1929" t="s">
        <v>176</v>
      </c>
      <c r="D1929" t="s">
        <v>177</v>
      </c>
      <c r="E1929" t="s">
        <v>159</v>
      </c>
      <c r="F1929" t="s">
        <v>85</v>
      </c>
      <c r="G1929" t="s">
        <v>134</v>
      </c>
      <c r="H1929">
        <v>6</v>
      </c>
      <c r="I1929">
        <v>6</v>
      </c>
      <c r="J1929">
        <v>100</v>
      </c>
      <c r="K1929" t="s">
        <v>246</v>
      </c>
      <c r="L1929">
        <v>5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 s="8">
        <v>5</v>
      </c>
      <c r="V1929" s="8">
        <f t="shared" si="30"/>
        <v>1</v>
      </c>
    </row>
    <row r="1930" spans="1:22" x14ac:dyDescent="0.3">
      <c r="A1930" t="s">
        <v>622</v>
      </c>
      <c r="B1930">
        <v>4</v>
      </c>
      <c r="C1930" t="s">
        <v>449</v>
      </c>
      <c r="D1930" t="s">
        <v>410</v>
      </c>
      <c r="E1930" t="s">
        <v>159</v>
      </c>
      <c r="F1930" t="s">
        <v>169</v>
      </c>
      <c r="G1930" t="s">
        <v>134</v>
      </c>
      <c r="H1930">
        <v>7</v>
      </c>
      <c r="I1930">
        <v>5</v>
      </c>
      <c r="J1930">
        <v>140</v>
      </c>
      <c r="K1930" t="s">
        <v>96</v>
      </c>
      <c r="L1930">
        <v>10</v>
      </c>
      <c r="M1930">
        <v>4</v>
      </c>
      <c r="N1930">
        <v>0</v>
      </c>
      <c r="O1930">
        <v>48</v>
      </c>
      <c r="P1930">
        <v>1</v>
      </c>
      <c r="Q1930">
        <v>12</v>
      </c>
      <c r="R1930">
        <v>25</v>
      </c>
      <c r="S1930">
        <v>0</v>
      </c>
      <c r="T1930">
        <v>0</v>
      </c>
      <c r="U1930" s="8">
        <v>35</v>
      </c>
      <c r="V1930" s="8">
        <f t="shared" si="30"/>
        <v>4</v>
      </c>
    </row>
    <row r="1931" spans="1:22" x14ac:dyDescent="0.3">
      <c r="A1931" t="s">
        <v>622</v>
      </c>
      <c r="B1931">
        <v>4</v>
      </c>
      <c r="C1931" t="s">
        <v>206</v>
      </c>
      <c r="D1931" t="s">
        <v>207</v>
      </c>
      <c r="E1931" t="s">
        <v>159</v>
      </c>
      <c r="F1931" t="s">
        <v>169</v>
      </c>
      <c r="G1931" t="s">
        <v>134</v>
      </c>
      <c r="H1931">
        <v>12</v>
      </c>
      <c r="I1931">
        <v>5</v>
      </c>
      <c r="J1931">
        <v>240</v>
      </c>
      <c r="K1931" t="s">
        <v>96</v>
      </c>
      <c r="L1931">
        <v>20</v>
      </c>
      <c r="M1931">
        <v>2</v>
      </c>
      <c r="N1931">
        <v>0</v>
      </c>
      <c r="O1931">
        <v>18</v>
      </c>
      <c r="P1931">
        <v>0</v>
      </c>
      <c r="Q1931">
        <v>9</v>
      </c>
      <c r="R1931">
        <v>0</v>
      </c>
      <c r="S1931">
        <v>0</v>
      </c>
      <c r="T1931">
        <v>0</v>
      </c>
      <c r="U1931" s="8">
        <v>20</v>
      </c>
      <c r="V1931" s="8">
        <f t="shared" si="30"/>
        <v>2</v>
      </c>
    </row>
    <row r="1932" spans="1:22" x14ac:dyDescent="0.3">
      <c r="A1932" t="s">
        <v>622</v>
      </c>
      <c r="B1932">
        <v>4</v>
      </c>
      <c r="C1932" t="s">
        <v>123</v>
      </c>
      <c r="D1932" t="s">
        <v>98</v>
      </c>
      <c r="E1932" t="s">
        <v>159</v>
      </c>
      <c r="F1932" t="s">
        <v>169</v>
      </c>
      <c r="G1932" t="s">
        <v>104</v>
      </c>
      <c r="H1932">
        <v>0</v>
      </c>
      <c r="I1932">
        <v>0</v>
      </c>
      <c r="J1932">
        <v>0</v>
      </c>
      <c r="K1932" t="s">
        <v>104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 s="8">
        <v>0</v>
      </c>
      <c r="V1932" s="8">
        <f t="shared" si="30"/>
        <v>0</v>
      </c>
    </row>
    <row r="1933" spans="1:22" x14ac:dyDescent="0.3">
      <c r="A1933" t="s">
        <v>622</v>
      </c>
      <c r="B1933">
        <v>4</v>
      </c>
      <c r="C1933" t="s">
        <v>202</v>
      </c>
      <c r="D1933" t="s">
        <v>203</v>
      </c>
      <c r="E1933" t="s">
        <v>159</v>
      </c>
      <c r="F1933" t="s">
        <v>101</v>
      </c>
      <c r="G1933" t="s">
        <v>104</v>
      </c>
      <c r="H1933">
        <v>0</v>
      </c>
      <c r="I1933">
        <v>0</v>
      </c>
      <c r="J1933">
        <v>0</v>
      </c>
      <c r="K1933" t="s">
        <v>104</v>
      </c>
      <c r="L1933">
        <v>0</v>
      </c>
      <c r="M1933">
        <v>4</v>
      </c>
      <c r="N1933">
        <v>0</v>
      </c>
      <c r="O1933">
        <v>40</v>
      </c>
      <c r="P1933">
        <v>1</v>
      </c>
      <c r="Q1933">
        <v>10</v>
      </c>
      <c r="R1933">
        <v>25</v>
      </c>
      <c r="S1933">
        <v>0</v>
      </c>
      <c r="T1933">
        <v>0</v>
      </c>
      <c r="U1933" s="8">
        <v>25</v>
      </c>
      <c r="V1933" s="8">
        <f t="shared" si="30"/>
        <v>3</v>
      </c>
    </row>
    <row r="1934" spans="1:22" x14ac:dyDescent="0.3">
      <c r="A1934" t="s">
        <v>622</v>
      </c>
      <c r="B1934">
        <v>4</v>
      </c>
      <c r="C1934" t="s">
        <v>415</v>
      </c>
      <c r="D1934" t="s">
        <v>425</v>
      </c>
      <c r="E1934" t="s">
        <v>159</v>
      </c>
      <c r="F1934" t="s">
        <v>169</v>
      </c>
      <c r="G1934" t="s">
        <v>104</v>
      </c>
      <c r="H1934">
        <v>0</v>
      </c>
      <c r="I1934">
        <v>0</v>
      </c>
      <c r="J1934">
        <v>0</v>
      </c>
      <c r="K1934" t="s">
        <v>104</v>
      </c>
      <c r="L1934">
        <v>0</v>
      </c>
      <c r="M1934">
        <v>4</v>
      </c>
      <c r="N1934">
        <v>0</v>
      </c>
      <c r="O1934">
        <v>46</v>
      </c>
      <c r="P1934">
        <v>1</v>
      </c>
      <c r="Q1934">
        <v>11.5</v>
      </c>
      <c r="R1934">
        <v>25</v>
      </c>
      <c r="S1934">
        <v>0</v>
      </c>
      <c r="T1934">
        <v>0</v>
      </c>
      <c r="U1934" s="8">
        <v>25</v>
      </c>
      <c r="V1934" s="8">
        <f t="shared" si="30"/>
        <v>3</v>
      </c>
    </row>
    <row r="1935" spans="1:22" x14ac:dyDescent="0.3">
      <c r="A1935" t="s">
        <v>622</v>
      </c>
      <c r="B1935">
        <v>4</v>
      </c>
      <c r="C1935" t="s">
        <v>259</v>
      </c>
      <c r="D1935" t="s">
        <v>257</v>
      </c>
      <c r="E1935" t="s">
        <v>159</v>
      </c>
      <c r="F1935" t="s">
        <v>169</v>
      </c>
      <c r="G1935" t="s">
        <v>104</v>
      </c>
      <c r="H1935">
        <v>0</v>
      </c>
      <c r="I1935">
        <v>0</v>
      </c>
      <c r="J1935">
        <v>0</v>
      </c>
      <c r="K1935" t="s">
        <v>104</v>
      </c>
      <c r="L1935">
        <v>0</v>
      </c>
      <c r="M1935">
        <v>2</v>
      </c>
      <c r="N1935">
        <v>0</v>
      </c>
      <c r="O1935">
        <v>32</v>
      </c>
      <c r="P1935">
        <v>0</v>
      </c>
      <c r="Q1935">
        <v>16</v>
      </c>
      <c r="R1935">
        <v>0</v>
      </c>
      <c r="S1935">
        <v>0</v>
      </c>
      <c r="T1935">
        <v>0</v>
      </c>
      <c r="U1935" s="8">
        <v>0</v>
      </c>
      <c r="V1935" s="8">
        <f t="shared" si="30"/>
        <v>0</v>
      </c>
    </row>
    <row r="1936" spans="1:22" x14ac:dyDescent="0.3">
      <c r="A1936" t="s">
        <v>622</v>
      </c>
      <c r="B1936">
        <v>4</v>
      </c>
      <c r="C1936" t="s">
        <v>527</v>
      </c>
      <c r="D1936" t="s">
        <v>627</v>
      </c>
      <c r="E1936" t="s">
        <v>159</v>
      </c>
      <c r="F1936" t="s">
        <v>101</v>
      </c>
      <c r="G1936" t="s">
        <v>104</v>
      </c>
      <c r="H1936">
        <v>0</v>
      </c>
      <c r="I1936">
        <v>0</v>
      </c>
      <c r="J1936">
        <v>0</v>
      </c>
      <c r="K1936" t="s">
        <v>104</v>
      </c>
      <c r="L1936">
        <v>0</v>
      </c>
      <c r="M1936">
        <v>4</v>
      </c>
      <c r="N1936">
        <v>0</v>
      </c>
      <c r="O1936">
        <v>19</v>
      </c>
      <c r="P1936">
        <v>0</v>
      </c>
      <c r="Q1936">
        <v>4.8</v>
      </c>
      <c r="R1936">
        <v>0</v>
      </c>
      <c r="S1936">
        <v>0</v>
      </c>
      <c r="T1936">
        <v>0</v>
      </c>
      <c r="U1936" s="8">
        <v>0</v>
      </c>
      <c r="V1936" s="8">
        <f t="shared" si="30"/>
        <v>0</v>
      </c>
    </row>
  </sheetData>
  <conditionalFormatting sqref="C1:C1936">
    <cfRule type="expression" priority="1">
      <formula>COUNTIF($B:$B,B1)&gt;1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CAEBD-74A2-44A8-86F6-933B5179CB79}">
  <dimension ref="B2:W24"/>
  <sheetViews>
    <sheetView zoomScale="108" workbookViewId="0">
      <selection activeCell="B2" sqref="B2:W24"/>
    </sheetView>
  </sheetViews>
  <sheetFormatPr defaultRowHeight="14.4" x14ac:dyDescent="0.3"/>
  <cols>
    <col min="2" max="2" width="11.88671875" bestFit="1" customWidth="1"/>
    <col min="3" max="3" width="2" bestFit="1" customWidth="1"/>
    <col min="4" max="4" width="5" bestFit="1" customWidth="1"/>
    <col min="5" max="5" width="18.109375" bestFit="1" customWidth="1"/>
    <col min="6" max="6" width="5" bestFit="1" customWidth="1"/>
    <col min="7" max="7" width="17.6640625" bestFit="1" customWidth="1"/>
    <col min="8" max="8" width="12.44140625" bestFit="1" customWidth="1"/>
    <col min="9" max="9" width="4.6640625" bestFit="1" customWidth="1"/>
    <col min="10" max="10" width="3" bestFit="1" customWidth="1"/>
    <col min="11" max="11" width="7.109375" bestFit="1" customWidth="1"/>
    <col min="12" max="12" width="7.44140625" bestFit="1" customWidth="1"/>
    <col min="13" max="13" width="6.109375" bestFit="1" customWidth="1"/>
    <col min="14" max="14" width="4" bestFit="1" customWidth="1"/>
    <col min="15" max="15" width="2" bestFit="1" customWidth="1"/>
    <col min="16" max="17" width="3" bestFit="1" customWidth="1"/>
    <col min="18" max="19" width="5" bestFit="1" customWidth="1"/>
    <col min="20" max="20" width="3" bestFit="1" customWidth="1"/>
    <col min="21" max="21" width="2" bestFit="1" customWidth="1"/>
    <col min="22" max="22" width="6.5546875" bestFit="1" customWidth="1"/>
    <col min="23" max="23" width="5.5546875" bestFit="1" customWidth="1"/>
    <col min="24" max="24" width="7.109375" bestFit="1" customWidth="1"/>
    <col min="25" max="25" width="5.6640625" bestFit="1" customWidth="1"/>
  </cols>
  <sheetData>
    <row r="2" spans="2:23" x14ac:dyDescent="0.3">
      <c r="B2" t="s">
        <v>622</v>
      </c>
      <c r="C2">
        <v>4</v>
      </c>
      <c r="D2" t="s">
        <v>531</v>
      </c>
      <c r="E2" t="s">
        <v>636</v>
      </c>
      <c r="F2" t="s">
        <v>158</v>
      </c>
      <c r="G2" t="s">
        <v>85</v>
      </c>
      <c r="H2" t="s">
        <v>86</v>
      </c>
      <c r="I2">
        <v>37</v>
      </c>
      <c r="J2">
        <v>30</v>
      </c>
      <c r="K2">
        <v>123.33</v>
      </c>
      <c r="L2" t="s">
        <v>246</v>
      </c>
      <c r="M2">
        <v>40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8">
        <v>40</v>
      </c>
      <c r="W2" s="8">
        <v>4</v>
      </c>
    </row>
    <row r="3" spans="2:23" x14ac:dyDescent="0.3">
      <c r="B3" t="s">
        <v>622</v>
      </c>
      <c r="C3">
        <v>4</v>
      </c>
      <c r="D3" t="s">
        <v>188</v>
      </c>
      <c r="E3" t="s">
        <v>189</v>
      </c>
      <c r="F3" t="s">
        <v>158</v>
      </c>
      <c r="G3" t="s">
        <v>109</v>
      </c>
      <c r="H3" t="s">
        <v>86</v>
      </c>
      <c r="I3">
        <v>20</v>
      </c>
      <c r="J3">
        <v>13</v>
      </c>
      <c r="K3">
        <v>153.85</v>
      </c>
      <c r="L3" t="s">
        <v>246</v>
      </c>
      <c r="M3">
        <v>25</v>
      </c>
      <c r="N3">
        <v>1</v>
      </c>
      <c r="O3">
        <v>0</v>
      </c>
      <c r="P3">
        <v>9</v>
      </c>
      <c r="Q3">
        <v>0</v>
      </c>
      <c r="R3">
        <v>9</v>
      </c>
      <c r="S3">
        <v>0</v>
      </c>
      <c r="T3">
        <v>0</v>
      </c>
      <c r="U3">
        <v>0</v>
      </c>
      <c r="V3" s="8">
        <v>25</v>
      </c>
      <c r="W3" s="8">
        <v>3</v>
      </c>
    </row>
    <row r="4" spans="2:23" x14ac:dyDescent="0.3">
      <c r="B4" t="s">
        <v>622</v>
      </c>
      <c r="C4">
        <v>4</v>
      </c>
      <c r="D4" t="s">
        <v>278</v>
      </c>
      <c r="E4" t="s">
        <v>293</v>
      </c>
      <c r="F4" t="s">
        <v>158</v>
      </c>
      <c r="G4" t="s">
        <v>109</v>
      </c>
      <c r="H4" t="s">
        <v>92</v>
      </c>
      <c r="I4">
        <v>44</v>
      </c>
      <c r="J4">
        <v>25</v>
      </c>
      <c r="K4">
        <v>176</v>
      </c>
      <c r="L4" t="s">
        <v>256</v>
      </c>
      <c r="M4">
        <v>50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s="8">
        <v>50</v>
      </c>
      <c r="W4" s="8">
        <v>5</v>
      </c>
    </row>
    <row r="5" spans="2:23" x14ac:dyDescent="0.3">
      <c r="B5" t="s">
        <v>622</v>
      </c>
      <c r="C5">
        <v>4</v>
      </c>
      <c r="D5" t="s">
        <v>194</v>
      </c>
      <c r="E5" t="s">
        <v>195</v>
      </c>
      <c r="F5" t="s">
        <v>158</v>
      </c>
      <c r="G5" t="s">
        <v>109</v>
      </c>
      <c r="H5" t="s">
        <v>92</v>
      </c>
      <c r="I5">
        <v>57</v>
      </c>
      <c r="J5">
        <v>37</v>
      </c>
      <c r="K5">
        <v>154.05000000000001</v>
      </c>
      <c r="L5" t="s">
        <v>246</v>
      </c>
      <c r="M5">
        <v>65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s="8">
        <v>65</v>
      </c>
      <c r="W5" s="8">
        <v>7</v>
      </c>
    </row>
    <row r="6" spans="2:23" x14ac:dyDescent="0.3">
      <c r="B6" t="s">
        <v>622</v>
      </c>
      <c r="C6">
        <v>4</v>
      </c>
      <c r="D6" t="s">
        <v>192</v>
      </c>
      <c r="E6" t="s">
        <v>193</v>
      </c>
      <c r="F6" t="s">
        <v>158</v>
      </c>
      <c r="G6" t="s">
        <v>169</v>
      </c>
      <c r="H6" t="s">
        <v>134</v>
      </c>
      <c r="I6">
        <v>0</v>
      </c>
      <c r="J6">
        <v>0</v>
      </c>
      <c r="K6">
        <v>0</v>
      </c>
      <c r="L6" t="s">
        <v>104</v>
      </c>
      <c r="M6">
        <v>0</v>
      </c>
      <c r="N6">
        <v>4</v>
      </c>
      <c r="O6">
        <v>0</v>
      </c>
      <c r="P6">
        <v>38</v>
      </c>
      <c r="Q6">
        <v>0</v>
      </c>
      <c r="R6">
        <v>9.5</v>
      </c>
      <c r="S6">
        <v>0</v>
      </c>
      <c r="T6">
        <v>0</v>
      </c>
      <c r="U6">
        <v>0</v>
      </c>
      <c r="V6" s="8">
        <v>0</v>
      </c>
      <c r="W6" s="8">
        <v>0</v>
      </c>
    </row>
    <row r="7" spans="2:23" x14ac:dyDescent="0.3">
      <c r="B7" t="s">
        <v>622</v>
      </c>
      <c r="C7">
        <v>4</v>
      </c>
      <c r="D7" t="s">
        <v>512</v>
      </c>
      <c r="E7" t="s">
        <v>542</v>
      </c>
      <c r="F7" t="s">
        <v>158</v>
      </c>
      <c r="G7" t="s">
        <v>169</v>
      </c>
      <c r="H7" t="s">
        <v>134</v>
      </c>
      <c r="I7">
        <v>35</v>
      </c>
      <c r="J7">
        <v>15</v>
      </c>
      <c r="K7">
        <v>233.33</v>
      </c>
      <c r="L7" t="s">
        <v>96</v>
      </c>
      <c r="M7">
        <v>50</v>
      </c>
      <c r="N7">
        <v>4</v>
      </c>
      <c r="O7">
        <v>0</v>
      </c>
      <c r="P7">
        <v>34</v>
      </c>
      <c r="Q7">
        <v>2</v>
      </c>
      <c r="R7">
        <v>8.5</v>
      </c>
      <c r="S7">
        <v>50</v>
      </c>
      <c r="T7">
        <v>0</v>
      </c>
      <c r="U7">
        <v>0</v>
      </c>
      <c r="V7" s="8">
        <v>100</v>
      </c>
      <c r="W7" s="8">
        <v>10</v>
      </c>
    </row>
    <row r="8" spans="2:23" x14ac:dyDescent="0.3">
      <c r="B8" t="s">
        <v>622</v>
      </c>
      <c r="C8">
        <v>4</v>
      </c>
      <c r="D8" t="s">
        <v>495</v>
      </c>
      <c r="E8" t="s">
        <v>503</v>
      </c>
      <c r="F8" t="s">
        <v>158</v>
      </c>
      <c r="G8" t="s">
        <v>169</v>
      </c>
      <c r="H8" t="s">
        <v>104</v>
      </c>
      <c r="I8">
        <v>0</v>
      </c>
      <c r="J8">
        <v>0</v>
      </c>
      <c r="K8">
        <v>0</v>
      </c>
      <c r="L8" t="s">
        <v>104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s="8">
        <v>0</v>
      </c>
      <c r="W8" s="8">
        <v>0</v>
      </c>
    </row>
    <row r="9" spans="2:23" x14ac:dyDescent="0.3">
      <c r="B9" t="s">
        <v>622</v>
      </c>
      <c r="C9">
        <v>4</v>
      </c>
      <c r="D9" t="s">
        <v>102</v>
      </c>
      <c r="E9" t="s">
        <v>126</v>
      </c>
      <c r="F9" t="s">
        <v>158</v>
      </c>
      <c r="G9" t="s">
        <v>169</v>
      </c>
      <c r="H9" t="s">
        <v>104</v>
      </c>
      <c r="I9">
        <v>0</v>
      </c>
      <c r="J9">
        <v>0</v>
      </c>
      <c r="K9">
        <v>0</v>
      </c>
      <c r="L9" t="s">
        <v>104</v>
      </c>
      <c r="M9">
        <v>0</v>
      </c>
      <c r="N9">
        <v>1</v>
      </c>
      <c r="O9">
        <v>0</v>
      </c>
      <c r="P9">
        <v>15</v>
      </c>
      <c r="Q9">
        <v>0</v>
      </c>
      <c r="R9">
        <v>15</v>
      </c>
      <c r="S9">
        <v>0</v>
      </c>
      <c r="T9">
        <v>0</v>
      </c>
      <c r="U9">
        <v>0</v>
      </c>
      <c r="V9" s="8">
        <v>0</v>
      </c>
      <c r="W9" s="8">
        <v>0</v>
      </c>
    </row>
    <row r="10" spans="2:23" x14ac:dyDescent="0.3">
      <c r="B10" t="s">
        <v>622</v>
      </c>
      <c r="C10">
        <v>4</v>
      </c>
      <c r="D10" t="s">
        <v>274</v>
      </c>
      <c r="E10" t="s">
        <v>284</v>
      </c>
      <c r="F10" t="s">
        <v>158</v>
      </c>
      <c r="G10" t="s">
        <v>169</v>
      </c>
      <c r="H10" t="s">
        <v>104</v>
      </c>
      <c r="I10">
        <v>0</v>
      </c>
      <c r="J10">
        <v>0</v>
      </c>
      <c r="K10">
        <v>0</v>
      </c>
      <c r="L10" t="s">
        <v>104</v>
      </c>
      <c r="M10">
        <v>0</v>
      </c>
      <c r="N10">
        <v>2</v>
      </c>
      <c r="O10">
        <v>0</v>
      </c>
      <c r="P10">
        <v>19</v>
      </c>
      <c r="Q10">
        <v>1</v>
      </c>
      <c r="R10">
        <v>9.5</v>
      </c>
      <c r="S10">
        <v>25</v>
      </c>
      <c r="T10">
        <v>0</v>
      </c>
      <c r="U10">
        <v>0</v>
      </c>
      <c r="V10" s="8">
        <v>25</v>
      </c>
      <c r="W10" s="8">
        <v>3</v>
      </c>
    </row>
    <row r="11" spans="2:23" x14ac:dyDescent="0.3">
      <c r="B11" t="s">
        <v>622</v>
      </c>
      <c r="C11">
        <v>4</v>
      </c>
      <c r="D11" t="s">
        <v>532</v>
      </c>
      <c r="E11" t="s">
        <v>637</v>
      </c>
      <c r="F11" t="s">
        <v>158</v>
      </c>
      <c r="G11" t="s">
        <v>101</v>
      </c>
      <c r="H11" t="s">
        <v>104</v>
      </c>
      <c r="I11">
        <v>0</v>
      </c>
      <c r="J11">
        <v>0</v>
      </c>
      <c r="K11">
        <v>0</v>
      </c>
      <c r="L11" t="s">
        <v>104</v>
      </c>
      <c r="M11">
        <v>0</v>
      </c>
      <c r="N11">
        <v>3.4</v>
      </c>
      <c r="O11">
        <v>0</v>
      </c>
      <c r="P11">
        <v>46</v>
      </c>
      <c r="Q11">
        <v>0</v>
      </c>
      <c r="R11">
        <v>12.5</v>
      </c>
      <c r="S11">
        <v>0</v>
      </c>
      <c r="T11">
        <v>0</v>
      </c>
      <c r="U11">
        <v>0</v>
      </c>
      <c r="V11" s="8">
        <v>0</v>
      </c>
      <c r="W11" s="8">
        <v>0</v>
      </c>
    </row>
    <row r="12" spans="2:23" x14ac:dyDescent="0.3">
      <c r="B12" t="s">
        <v>622</v>
      </c>
      <c r="C12">
        <v>4</v>
      </c>
      <c r="D12" t="s">
        <v>533</v>
      </c>
      <c r="E12" t="s">
        <v>638</v>
      </c>
      <c r="F12" t="s">
        <v>158</v>
      </c>
      <c r="G12" t="s">
        <v>101</v>
      </c>
      <c r="H12" t="s">
        <v>104</v>
      </c>
      <c r="I12">
        <v>0</v>
      </c>
      <c r="J12">
        <v>0</v>
      </c>
      <c r="K12">
        <v>0</v>
      </c>
      <c r="L12" t="s">
        <v>104</v>
      </c>
      <c r="M12">
        <v>0</v>
      </c>
      <c r="N12">
        <v>4</v>
      </c>
      <c r="O12">
        <v>0</v>
      </c>
      <c r="P12">
        <v>41</v>
      </c>
      <c r="Q12">
        <v>1</v>
      </c>
      <c r="R12">
        <v>10.199999999999999</v>
      </c>
      <c r="S12">
        <v>25</v>
      </c>
      <c r="T12">
        <v>0</v>
      </c>
      <c r="U12">
        <v>0</v>
      </c>
      <c r="V12" s="8">
        <v>25</v>
      </c>
      <c r="W12" s="8">
        <v>3</v>
      </c>
    </row>
    <row r="13" spans="2:23" x14ac:dyDescent="0.3">
      <c r="V13" s="8"/>
      <c r="W13" s="8"/>
    </row>
    <row r="14" spans="2:23" x14ac:dyDescent="0.3">
      <c r="B14" t="s">
        <v>622</v>
      </c>
      <c r="C14">
        <v>4</v>
      </c>
      <c r="D14" t="s">
        <v>226</v>
      </c>
      <c r="E14" t="s">
        <v>211</v>
      </c>
      <c r="F14" t="s">
        <v>698</v>
      </c>
      <c r="G14" t="s">
        <v>85</v>
      </c>
      <c r="H14" t="s">
        <v>86</v>
      </c>
      <c r="I14">
        <v>9</v>
      </c>
      <c r="J14">
        <v>7</v>
      </c>
      <c r="K14">
        <v>128.57</v>
      </c>
      <c r="L14" t="s">
        <v>245</v>
      </c>
      <c r="M14">
        <v>10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s="8">
        <v>10</v>
      </c>
      <c r="W14" s="8">
        <v>1</v>
      </c>
    </row>
    <row r="15" spans="2:23" x14ac:dyDescent="0.3">
      <c r="B15" t="s">
        <v>622</v>
      </c>
      <c r="C15">
        <v>4</v>
      </c>
      <c r="D15" t="s">
        <v>165</v>
      </c>
      <c r="E15" t="s">
        <v>166</v>
      </c>
      <c r="F15" t="s">
        <v>698</v>
      </c>
      <c r="G15" t="s">
        <v>109</v>
      </c>
      <c r="H15" t="s">
        <v>92</v>
      </c>
      <c r="I15">
        <v>87</v>
      </c>
      <c r="J15">
        <v>41</v>
      </c>
      <c r="K15">
        <v>212.2</v>
      </c>
      <c r="L15" t="s">
        <v>245</v>
      </c>
      <c r="M15">
        <v>90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s="8">
        <v>90</v>
      </c>
      <c r="W15" s="8">
        <v>9</v>
      </c>
    </row>
    <row r="16" spans="2:23" x14ac:dyDescent="0.3">
      <c r="B16" t="s">
        <v>622</v>
      </c>
      <c r="C16">
        <v>4</v>
      </c>
      <c r="D16" t="s">
        <v>514</v>
      </c>
      <c r="E16" t="s">
        <v>567</v>
      </c>
      <c r="F16" t="s">
        <v>698</v>
      </c>
      <c r="G16" t="s">
        <v>109</v>
      </c>
      <c r="H16" t="s">
        <v>92</v>
      </c>
      <c r="I16">
        <v>79</v>
      </c>
      <c r="J16">
        <v>54</v>
      </c>
      <c r="K16">
        <v>146.30000000000001</v>
      </c>
      <c r="L16" t="s">
        <v>246</v>
      </c>
      <c r="M16">
        <v>85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s="8">
        <v>85</v>
      </c>
      <c r="W16" s="8">
        <v>9</v>
      </c>
    </row>
    <row r="17" spans="2:23" x14ac:dyDescent="0.3">
      <c r="B17" t="s">
        <v>622</v>
      </c>
      <c r="C17">
        <v>4</v>
      </c>
      <c r="D17" t="s">
        <v>176</v>
      </c>
      <c r="E17" t="s">
        <v>177</v>
      </c>
      <c r="F17" t="s">
        <v>698</v>
      </c>
      <c r="G17" t="s">
        <v>85</v>
      </c>
      <c r="H17" t="s">
        <v>134</v>
      </c>
      <c r="I17">
        <v>6</v>
      </c>
      <c r="J17">
        <v>6</v>
      </c>
      <c r="K17">
        <v>100</v>
      </c>
      <c r="L17" t="s">
        <v>246</v>
      </c>
      <c r="M17">
        <v>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s="8">
        <v>5</v>
      </c>
      <c r="W17" s="8">
        <v>1</v>
      </c>
    </row>
    <row r="18" spans="2:23" x14ac:dyDescent="0.3">
      <c r="B18" t="s">
        <v>622</v>
      </c>
      <c r="C18">
        <v>4</v>
      </c>
      <c r="D18" t="s">
        <v>449</v>
      </c>
      <c r="E18" t="s">
        <v>410</v>
      </c>
      <c r="F18" t="s">
        <v>698</v>
      </c>
      <c r="G18" t="s">
        <v>169</v>
      </c>
      <c r="H18" t="s">
        <v>134</v>
      </c>
      <c r="I18">
        <v>7</v>
      </c>
      <c r="J18">
        <v>5</v>
      </c>
      <c r="K18">
        <v>140</v>
      </c>
      <c r="L18" t="s">
        <v>96</v>
      </c>
      <c r="M18">
        <v>10</v>
      </c>
      <c r="N18">
        <v>4</v>
      </c>
      <c r="O18">
        <v>0</v>
      </c>
      <c r="P18">
        <v>48</v>
      </c>
      <c r="Q18">
        <v>1</v>
      </c>
      <c r="R18">
        <v>12</v>
      </c>
      <c r="S18">
        <v>25</v>
      </c>
      <c r="T18">
        <v>0</v>
      </c>
      <c r="U18">
        <v>0</v>
      </c>
      <c r="V18" s="8">
        <v>35</v>
      </c>
      <c r="W18" s="8">
        <v>4</v>
      </c>
    </row>
    <row r="19" spans="2:23" x14ac:dyDescent="0.3">
      <c r="B19" t="s">
        <v>622</v>
      </c>
      <c r="C19">
        <v>4</v>
      </c>
      <c r="D19" t="s">
        <v>206</v>
      </c>
      <c r="E19" t="s">
        <v>207</v>
      </c>
      <c r="F19" t="s">
        <v>698</v>
      </c>
      <c r="G19" t="s">
        <v>169</v>
      </c>
      <c r="H19" t="s">
        <v>134</v>
      </c>
      <c r="I19">
        <v>12</v>
      </c>
      <c r="J19">
        <v>5</v>
      </c>
      <c r="K19">
        <v>240</v>
      </c>
      <c r="L19" t="s">
        <v>96</v>
      </c>
      <c r="M19">
        <v>20</v>
      </c>
      <c r="N19">
        <v>2</v>
      </c>
      <c r="O19">
        <v>0</v>
      </c>
      <c r="P19">
        <v>18</v>
      </c>
      <c r="Q19">
        <v>0</v>
      </c>
      <c r="R19">
        <v>9</v>
      </c>
      <c r="S19">
        <v>0</v>
      </c>
      <c r="T19">
        <v>0</v>
      </c>
      <c r="U19">
        <v>0</v>
      </c>
      <c r="V19" s="8">
        <v>20</v>
      </c>
      <c r="W19" s="8">
        <v>2</v>
      </c>
    </row>
    <row r="20" spans="2:23" x14ac:dyDescent="0.3">
      <c r="B20" t="s">
        <v>622</v>
      </c>
      <c r="C20">
        <v>4</v>
      </c>
      <c r="D20" t="s">
        <v>123</v>
      </c>
      <c r="E20" t="s">
        <v>98</v>
      </c>
      <c r="F20" t="s">
        <v>698</v>
      </c>
      <c r="G20" t="s">
        <v>169</v>
      </c>
      <c r="H20" t="s">
        <v>104</v>
      </c>
      <c r="I20">
        <v>0</v>
      </c>
      <c r="J20">
        <v>0</v>
      </c>
      <c r="K20">
        <v>0</v>
      </c>
      <c r="L20" t="s">
        <v>104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s="8">
        <v>0</v>
      </c>
      <c r="W20" s="8">
        <v>0</v>
      </c>
    </row>
    <row r="21" spans="2:23" x14ac:dyDescent="0.3">
      <c r="B21" t="s">
        <v>622</v>
      </c>
      <c r="C21">
        <v>4</v>
      </c>
      <c r="D21" t="s">
        <v>202</v>
      </c>
      <c r="E21" t="s">
        <v>203</v>
      </c>
      <c r="F21" t="s">
        <v>698</v>
      </c>
      <c r="G21" t="s">
        <v>101</v>
      </c>
      <c r="H21" t="s">
        <v>104</v>
      </c>
      <c r="I21">
        <v>0</v>
      </c>
      <c r="J21">
        <v>0</v>
      </c>
      <c r="K21">
        <v>0</v>
      </c>
      <c r="L21" t="s">
        <v>104</v>
      </c>
      <c r="M21">
        <v>0</v>
      </c>
      <c r="N21">
        <v>4</v>
      </c>
      <c r="O21">
        <v>0</v>
      </c>
      <c r="P21">
        <v>40</v>
      </c>
      <c r="Q21">
        <v>1</v>
      </c>
      <c r="R21">
        <v>10</v>
      </c>
      <c r="S21">
        <v>25</v>
      </c>
      <c r="T21">
        <v>0</v>
      </c>
      <c r="U21">
        <v>0</v>
      </c>
      <c r="V21" s="8">
        <v>25</v>
      </c>
      <c r="W21" s="8">
        <v>3</v>
      </c>
    </row>
    <row r="22" spans="2:23" x14ac:dyDescent="0.3">
      <c r="B22" t="s">
        <v>622</v>
      </c>
      <c r="C22">
        <v>4</v>
      </c>
      <c r="D22" t="s">
        <v>415</v>
      </c>
      <c r="E22" t="s">
        <v>425</v>
      </c>
      <c r="F22" t="s">
        <v>698</v>
      </c>
      <c r="G22" t="s">
        <v>169</v>
      </c>
      <c r="H22" t="s">
        <v>104</v>
      </c>
      <c r="I22">
        <v>0</v>
      </c>
      <c r="J22">
        <v>0</v>
      </c>
      <c r="K22">
        <v>0</v>
      </c>
      <c r="L22" t="s">
        <v>104</v>
      </c>
      <c r="M22">
        <v>0</v>
      </c>
      <c r="N22">
        <v>4</v>
      </c>
      <c r="O22">
        <v>0</v>
      </c>
      <c r="P22">
        <v>46</v>
      </c>
      <c r="Q22">
        <v>1</v>
      </c>
      <c r="R22">
        <v>11.5</v>
      </c>
      <c r="S22">
        <v>25</v>
      </c>
      <c r="T22">
        <v>0</v>
      </c>
      <c r="U22">
        <v>0</v>
      </c>
      <c r="V22" s="8">
        <v>25</v>
      </c>
      <c r="W22" s="8">
        <v>3</v>
      </c>
    </row>
    <row r="23" spans="2:23" x14ac:dyDescent="0.3">
      <c r="B23" t="s">
        <v>622</v>
      </c>
      <c r="C23">
        <v>4</v>
      </c>
      <c r="D23" t="s">
        <v>259</v>
      </c>
      <c r="E23" t="s">
        <v>257</v>
      </c>
      <c r="F23" t="s">
        <v>698</v>
      </c>
      <c r="G23" t="s">
        <v>169</v>
      </c>
      <c r="H23" t="s">
        <v>104</v>
      </c>
      <c r="I23">
        <v>0</v>
      </c>
      <c r="J23">
        <v>0</v>
      </c>
      <c r="K23">
        <v>0</v>
      </c>
      <c r="L23" t="s">
        <v>104</v>
      </c>
      <c r="M23">
        <v>0</v>
      </c>
      <c r="N23">
        <v>2</v>
      </c>
      <c r="O23">
        <v>0</v>
      </c>
      <c r="P23">
        <v>32</v>
      </c>
      <c r="Q23">
        <v>0</v>
      </c>
      <c r="R23">
        <v>16</v>
      </c>
      <c r="S23">
        <v>0</v>
      </c>
      <c r="T23">
        <v>0</v>
      </c>
      <c r="U23">
        <v>0</v>
      </c>
      <c r="V23" s="8">
        <v>0</v>
      </c>
      <c r="W23" s="8">
        <v>0</v>
      </c>
    </row>
    <row r="24" spans="2:23" x14ac:dyDescent="0.3">
      <c r="B24" t="s">
        <v>622</v>
      </c>
      <c r="C24">
        <v>4</v>
      </c>
      <c r="D24" t="s">
        <v>527</v>
      </c>
      <c r="E24" t="s">
        <v>627</v>
      </c>
      <c r="F24" t="s">
        <v>698</v>
      </c>
      <c r="G24" t="s">
        <v>101</v>
      </c>
      <c r="H24" t="s">
        <v>104</v>
      </c>
      <c r="I24">
        <v>0</v>
      </c>
      <c r="J24">
        <v>0</v>
      </c>
      <c r="K24">
        <v>0</v>
      </c>
      <c r="L24" t="s">
        <v>104</v>
      </c>
      <c r="M24">
        <v>0</v>
      </c>
      <c r="N24">
        <v>4</v>
      </c>
      <c r="O24">
        <v>0</v>
      </c>
      <c r="P24">
        <v>19</v>
      </c>
      <c r="Q24">
        <v>0</v>
      </c>
      <c r="R24">
        <v>4.8</v>
      </c>
      <c r="S24">
        <v>0</v>
      </c>
      <c r="T24">
        <v>0</v>
      </c>
      <c r="U24">
        <v>0</v>
      </c>
      <c r="V24">
        <v>0</v>
      </c>
      <c r="W24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561D1-6C74-4CFA-8E7A-318BAE60F528}">
  <dimension ref="B3:C139"/>
  <sheetViews>
    <sheetView topLeftCell="A99" zoomScale="135" workbookViewId="0">
      <selection activeCell="E155" sqref="E155"/>
    </sheetView>
  </sheetViews>
  <sheetFormatPr defaultRowHeight="14.4" x14ac:dyDescent="0.3"/>
  <cols>
    <col min="2" max="2" width="5.21875" bestFit="1" customWidth="1"/>
    <col min="3" max="3" width="20.88671875" bestFit="1" customWidth="1"/>
  </cols>
  <sheetData>
    <row r="3" spans="2:3" x14ac:dyDescent="0.3">
      <c r="B3" t="s">
        <v>81</v>
      </c>
      <c r="C3" t="s">
        <v>114</v>
      </c>
    </row>
    <row r="4" spans="2:3" x14ac:dyDescent="0.3">
      <c r="B4" t="s">
        <v>87</v>
      </c>
      <c r="C4" t="s">
        <v>82</v>
      </c>
    </row>
    <row r="5" spans="2:3" x14ac:dyDescent="0.3">
      <c r="B5" t="s">
        <v>89</v>
      </c>
      <c r="C5" t="s">
        <v>116</v>
      </c>
    </row>
    <row r="6" spans="2:3" x14ac:dyDescent="0.3">
      <c r="B6" t="s">
        <v>93</v>
      </c>
      <c r="C6" t="s">
        <v>118</v>
      </c>
    </row>
    <row r="7" spans="2:3" x14ac:dyDescent="0.3">
      <c r="B7" t="s">
        <v>94</v>
      </c>
      <c r="C7" t="s">
        <v>120</v>
      </c>
    </row>
    <row r="8" spans="2:3" x14ac:dyDescent="0.3">
      <c r="B8" t="s">
        <v>97</v>
      </c>
      <c r="C8" t="s">
        <v>122</v>
      </c>
    </row>
    <row r="9" spans="2:3" x14ac:dyDescent="0.3">
      <c r="B9" t="s">
        <v>99</v>
      </c>
      <c r="C9" t="s">
        <v>124</v>
      </c>
    </row>
    <row r="10" spans="2:3" x14ac:dyDescent="0.3">
      <c r="B10" t="s">
        <v>102</v>
      </c>
      <c r="C10" t="s">
        <v>126</v>
      </c>
    </row>
    <row r="11" spans="2:3" x14ac:dyDescent="0.3">
      <c r="B11" t="s">
        <v>105</v>
      </c>
      <c r="C11" t="s">
        <v>128</v>
      </c>
    </row>
    <row r="12" spans="2:3" x14ac:dyDescent="0.3">
      <c r="B12" t="s">
        <v>107</v>
      </c>
      <c r="C12" t="s">
        <v>130</v>
      </c>
    </row>
    <row r="13" spans="2:3" x14ac:dyDescent="0.3">
      <c r="B13" t="s">
        <v>110</v>
      </c>
      <c r="C13" t="s">
        <v>132</v>
      </c>
    </row>
    <row r="14" spans="2:3" x14ac:dyDescent="0.3">
      <c r="B14" t="s">
        <v>112</v>
      </c>
      <c r="C14" t="s">
        <v>88</v>
      </c>
    </row>
    <row r="15" spans="2:3" x14ac:dyDescent="0.3">
      <c r="B15" t="s">
        <v>113</v>
      </c>
      <c r="C15" t="s">
        <v>84</v>
      </c>
    </row>
    <row r="16" spans="2:3" x14ac:dyDescent="0.3">
      <c r="B16" t="s">
        <v>115</v>
      </c>
      <c r="C16" t="s">
        <v>17</v>
      </c>
    </row>
    <row r="17" spans="2:3" x14ac:dyDescent="0.3">
      <c r="B17" t="s">
        <v>117</v>
      </c>
      <c r="C17" t="s">
        <v>90</v>
      </c>
    </row>
    <row r="18" spans="2:3" x14ac:dyDescent="0.3">
      <c r="B18" t="s">
        <v>119</v>
      </c>
      <c r="C18" t="s">
        <v>95</v>
      </c>
    </row>
    <row r="19" spans="2:3" x14ac:dyDescent="0.3">
      <c r="B19" t="s">
        <v>121</v>
      </c>
      <c r="C19" t="s">
        <v>108</v>
      </c>
    </row>
    <row r="20" spans="2:3" x14ac:dyDescent="0.3">
      <c r="B20" t="s">
        <v>123</v>
      </c>
      <c r="C20" t="s">
        <v>98</v>
      </c>
    </row>
    <row r="21" spans="2:3" x14ac:dyDescent="0.3">
      <c r="B21" t="s">
        <v>125</v>
      </c>
      <c r="C21" t="s">
        <v>111</v>
      </c>
    </row>
    <row r="22" spans="2:3" x14ac:dyDescent="0.3">
      <c r="B22" t="s">
        <v>127</v>
      </c>
      <c r="C22" t="s">
        <v>100</v>
      </c>
    </row>
    <row r="23" spans="2:3" x14ac:dyDescent="0.3">
      <c r="B23" t="s">
        <v>129</v>
      </c>
      <c r="C23" t="s">
        <v>103</v>
      </c>
    </row>
    <row r="24" spans="2:3" x14ac:dyDescent="0.3">
      <c r="B24" t="s">
        <v>131</v>
      </c>
      <c r="C24" t="s">
        <v>106</v>
      </c>
    </row>
    <row r="25" spans="2:3" x14ac:dyDescent="0.3">
      <c r="B25" t="s">
        <v>165</v>
      </c>
      <c r="C25" t="s">
        <v>166</v>
      </c>
    </row>
    <row r="26" spans="2:3" x14ac:dyDescent="0.3">
      <c r="B26" t="s">
        <v>167</v>
      </c>
      <c r="C26" t="s">
        <v>168</v>
      </c>
    </row>
    <row r="27" spans="2:3" x14ac:dyDescent="0.3">
      <c r="B27" t="s">
        <v>170</v>
      </c>
      <c r="C27" t="s">
        <v>171</v>
      </c>
    </row>
    <row r="28" spans="2:3" x14ac:dyDescent="0.3">
      <c r="B28" t="s">
        <v>172</v>
      </c>
      <c r="C28" t="s">
        <v>173</v>
      </c>
    </row>
    <row r="29" spans="2:3" x14ac:dyDescent="0.3">
      <c r="B29" t="s">
        <v>174</v>
      </c>
      <c r="C29" t="s">
        <v>175</v>
      </c>
    </row>
    <row r="30" spans="2:3" x14ac:dyDescent="0.3">
      <c r="B30" t="s">
        <v>176</v>
      </c>
      <c r="C30" t="s">
        <v>177</v>
      </c>
    </row>
    <row r="31" spans="2:3" x14ac:dyDescent="0.3">
      <c r="B31" t="s">
        <v>178</v>
      </c>
      <c r="C31" t="s">
        <v>179</v>
      </c>
    </row>
    <row r="32" spans="2:3" x14ac:dyDescent="0.3">
      <c r="B32" t="s">
        <v>180</v>
      </c>
      <c r="C32" t="s">
        <v>181</v>
      </c>
    </row>
    <row r="33" spans="2:3" x14ac:dyDescent="0.3">
      <c r="B33" t="s">
        <v>182</v>
      </c>
      <c r="C33" t="s">
        <v>183</v>
      </c>
    </row>
    <row r="34" spans="2:3" x14ac:dyDescent="0.3">
      <c r="B34" t="s">
        <v>184</v>
      </c>
      <c r="C34" t="s">
        <v>185</v>
      </c>
    </row>
    <row r="35" spans="2:3" x14ac:dyDescent="0.3">
      <c r="B35" t="s">
        <v>186</v>
      </c>
      <c r="C35" t="s">
        <v>187</v>
      </c>
    </row>
    <row r="36" spans="2:3" x14ac:dyDescent="0.3">
      <c r="B36" t="s">
        <v>188</v>
      </c>
      <c r="C36" t="s">
        <v>189</v>
      </c>
    </row>
    <row r="37" spans="2:3" x14ac:dyDescent="0.3">
      <c r="B37" t="s">
        <v>190</v>
      </c>
      <c r="C37" t="s">
        <v>191</v>
      </c>
    </row>
    <row r="38" spans="2:3" x14ac:dyDescent="0.3">
      <c r="B38" t="s">
        <v>192</v>
      </c>
      <c r="C38" t="s">
        <v>193</v>
      </c>
    </row>
    <row r="39" spans="2:3" x14ac:dyDescent="0.3">
      <c r="B39" t="s">
        <v>194</v>
      </c>
      <c r="C39" t="s">
        <v>195</v>
      </c>
    </row>
    <row r="40" spans="2:3" x14ac:dyDescent="0.3">
      <c r="B40" t="s">
        <v>196</v>
      </c>
      <c r="C40" t="s">
        <v>197</v>
      </c>
    </row>
    <row r="41" spans="2:3" x14ac:dyDescent="0.3">
      <c r="B41" t="s">
        <v>198</v>
      </c>
      <c r="C41" t="s">
        <v>199</v>
      </c>
    </row>
    <row r="42" spans="2:3" x14ac:dyDescent="0.3">
      <c r="B42" t="s">
        <v>200</v>
      </c>
      <c r="C42" t="s">
        <v>201</v>
      </c>
    </row>
    <row r="43" spans="2:3" x14ac:dyDescent="0.3">
      <c r="B43" t="s">
        <v>202</v>
      </c>
      <c r="C43" t="s">
        <v>203</v>
      </c>
    </row>
    <row r="44" spans="2:3" x14ac:dyDescent="0.3">
      <c r="B44" t="s">
        <v>204</v>
      </c>
      <c r="C44" t="s">
        <v>205</v>
      </c>
    </row>
    <row r="45" spans="2:3" x14ac:dyDescent="0.3">
      <c r="B45" t="s">
        <v>206</v>
      </c>
      <c r="C45" t="s">
        <v>207</v>
      </c>
    </row>
    <row r="46" spans="2:3" x14ac:dyDescent="0.3">
      <c r="B46" t="s">
        <v>208</v>
      </c>
      <c r="C46" t="s">
        <v>160</v>
      </c>
    </row>
    <row r="47" spans="2:3" x14ac:dyDescent="0.3">
      <c r="B47" t="s">
        <v>217</v>
      </c>
      <c r="C47" t="s">
        <v>218</v>
      </c>
    </row>
    <row r="48" spans="2:3" x14ac:dyDescent="0.3">
      <c r="B48" t="s">
        <v>220</v>
      </c>
      <c r="C48" t="s">
        <v>221</v>
      </c>
    </row>
    <row r="49" spans="2:3" x14ac:dyDescent="0.3">
      <c r="B49" t="s">
        <v>222</v>
      </c>
      <c r="C49" t="s">
        <v>223</v>
      </c>
    </row>
    <row r="50" spans="2:3" x14ac:dyDescent="0.3">
      <c r="B50" t="s">
        <v>224</v>
      </c>
      <c r="C50" t="s">
        <v>225</v>
      </c>
    </row>
    <row r="51" spans="2:3" x14ac:dyDescent="0.3">
      <c r="B51" t="s">
        <v>226</v>
      </c>
      <c r="C51" t="s">
        <v>211</v>
      </c>
    </row>
    <row r="52" spans="2:3" x14ac:dyDescent="0.3">
      <c r="B52" t="s">
        <v>227</v>
      </c>
      <c r="C52" t="s">
        <v>228</v>
      </c>
    </row>
    <row r="53" spans="2:3" x14ac:dyDescent="0.3">
      <c r="B53" t="s">
        <v>229</v>
      </c>
      <c r="C53" t="s">
        <v>230</v>
      </c>
    </row>
    <row r="54" spans="2:3" x14ac:dyDescent="0.3">
      <c r="B54" t="s">
        <v>231</v>
      </c>
      <c r="C54" t="s">
        <v>232</v>
      </c>
    </row>
    <row r="55" spans="2:3" x14ac:dyDescent="0.3">
      <c r="B55" t="s">
        <v>233</v>
      </c>
      <c r="C55" t="s">
        <v>234</v>
      </c>
    </row>
    <row r="56" spans="2:3" x14ac:dyDescent="0.3">
      <c r="B56" t="s">
        <v>235</v>
      </c>
      <c r="C56" t="s">
        <v>236</v>
      </c>
    </row>
    <row r="57" spans="2:3" x14ac:dyDescent="0.3">
      <c r="B57" t="s">
        <v>237</v>
      </c>
      <c r="C57" t="s">
        <v>238</v>
      </c>
    </row>
    <row r="58" spans="2:3" x14ac:dyDescent="0.3">
      <c r="B58" t="s">
        <v>239</v>
      </c>
      <c r="C58" t="s">
        <v>241</v>
      </c>
    </row>
    <row r="59" spans="2:3" x14ac:dyDescent="0.3">
      <c r="B59" t="s">
        <v>240</v>
      </c>
      <c r="C59" t="s">
        <v>243</v>
      </c>
    </row>
    <row r="60" spans="2:3" x14ac:dyDescent="0.3">
      <c r="B60" t="s">
        <v>242</v>
      </c>
      <c r="C60" t="s">
        <v>244</v>
      </c>
    </row>
    <row r="61" spans="2:3" x14ac:dyDescent="0.3">
      <c r="B61" t="s">
        <v>259</v>
      </c>
      <c r="C61" t="s">
        <v>257</v>
      </c>
    </row>
    <row r="62" spans="2:3" x14ac:dyDescent="0.3">
      <c r="B62" t="s">
        <v>265</v>
      </c>
      <c r="C62" t="s">
        <v>264</v>
      </c>
    </row>
    <row r="63" spans="2:3" x14ac:dyDescent="0.3">
      <c r="B63" t="s">
        <v>273</v>
      </c>
      <c r="C63" t="s">
        <v>279</v>
      </c>
    </row>
    <row r="64" spans="2:3" x14ac:dyDescent="0.3">
      <c r="B64" t="s">
        <v>274</v>
      </c>
      <c r="C64" t="s">
        <v>284</v>
      </c>
    </row>
    <row r="65" spans="2:3" x14ac:dyDescent="0.3">
      <c r="B65" t="s">
        <v>275</v>
      </c>
      <c r="C65" t="s">
        <v>287</v>
      </c>
    </row>
    <row r="66" spans="2:3" x14ac:dyDescent="0.3">
      <c r="B66" t="s">
        <v>276</v>
      </c>
      <c r="C66" t="s">
        <v>288</v>
      </c>
    </row>
    <row r="67" spans="2:3" x14ac:dyDescent="0.3">
      <c r="B67" t="s">
        <v>277</v>
      </c>
      <c r="C67" t="s">
        <v>289</v>
      </c>
    </row>
    <row r="68" spans="2:3" x14ac:dyDescent="0.3">
      <c r="B68" t="s">
        <v>278</v>
      </c>
      <c r="C68" t="s">
        <v>293</v>
      </c>
    </row>
    <row r="69" spans="2:3" x14ac:dyDescent="0.3">
      <c r="B69" t="s">
        <v>295</v>
      </c>
      <c r="C69" t="s">
        <v>294</v>
      </c>
    </row>
    <row r="70" spans="2:3" x14ac:dyDescent="0.3">
      <c r="B70" t="s">
        <v>303</v>
      </c>
      <c r="C70" t="s">
        <v>304</v>
      </c>
    </row>
    <row r="71" spans="2:3" x14ac:dyDescent="0.3">
      <c r="B71" t="s">
        <v>310</v>
      </c>
      <c r="C71" t="s">
        <v>311</v>
      </c>
    </row>
    <row r="72" spans="2:3" x14ac:dyDescent="0.3">
      <c r="B72" t="s">
        <v>314</v>
      </c>
      <c r="C72" t="s">
        <v>315</v>
      </c>
    </row>
    <row r="73" spans="2:3" x14ac:dyDescent="0.3">
      <c r="B73" t="s">
        <v>332</v>
      </c>
      <c r="C73" t="s">
        <v>312</v>
      </c>
    </row>
    <row r="74" spans="2:3" x14ac:dyDescent="0.3">
      <c r="B74" t="s">
        <v>347</v>
      </c>
      <c r="C74" t="s">
        <v>348</v>
      </c>
    </row>
    <row r="75" spans="2:3" x14ac:dyDescent="0.3">
      <c r="B75" t="s">
        <v>345</v>
      </c>
      <c r="C75" t="s">
        <v>346</v>
      </c>
    </row>
    <row r="76" spans="2:3" x14ac:dyDescent="0.3">
      <c r="B76" t="s">
        <v>375</v>
      </c>
      <c r="C76" t="s">
        <v>376</v>
      </c>
    </row>
    <row r="77" spans="2:3" x14ac:dyDescent="0.3">
      <c r="B77" t="s">
        <v>373</v>
      </c>
      <c r="C77" t="s">
        <v>374</v>
      </c>
    </row>
    <row r="78" spans="2:3" x14ac:dyDescent="0.3">
      <c r="B78" t="s">
        <v>377</v>
      </c>
      <c r="C78" t="s">
        <v>378</v>
      </c>
    </row>
    <row r="79" spans="2:3" x14ac:dyDescent="0.3">
      <c r="B79" t="s">
        <v>371</v>
      </c>
      <c r="C79" t="s">
        <v>372</v>
      </c>
    </row>
    <row r="80" spans="2:3" x14ac:dyDescent="0.3">
      <c r="B80" t="s">
        <v>383</v>
      </c>
      <c r="C80" t="s">
        <v>384</v>
      </c>
    </row>
    <row r="81" spans="2:3" x14ac:dyDescent="0.3">
      <c r="B81" t="s">
        <v>385</v>
      </c>
      <c r="C81" t="s">
        <v>386</v>
      </c>
    </row>
    <row r="82" spans="2:3" x14ac:dyDescent="0.3">
      <c r="B82" t="s">
        <v>387</v>
      </c>
      <c r="C82" t="s">
        <v>388</v>
      </c>
    </row>
    <row r="83" spans="2:3" x14ac:dyDescent="0.3">
      <c r="B83" t="s">
        <v>389</v>
      </c>
      <c r="C83" t="s">
        <v>390</v>
      </c>
    </row>
    <row r="84" spans="2:3" x14ac:dyDescent="0.3">
      <c r="B84" t="s">
        <v>394</v>
      </c>
      <c r="C84" t="s">
        <v>395</v>
      </c>
    </row>
    <row r="85" spans="2:3" x14ac:dyDescent="0.3">
      <c r="B85" t="s">
        <v>449</v>
      </c>
      <c r="C85" t="s">
        <v>410</v>
      </c>
    </row>
    <row r="86" spans="2:3" x14ac:dyDescent="0.3">
      <c r="B86" t="s">
        <v>403</v>
      </c>
      <c r="C86" t="s">
        <v>414</v>
      </c>
    </row>
    <row r="87" spans="2:3" x14ac:dyDescent="0.3">
      <c r="B87" t="s">
        <v>404</v>
      </c>
      <c r="C87" t="s">
        <v>416</v>
      </c>
    </row>
    <row r="88" spans="2:3" x14ac:dyDescent="0.3">
      <c r="B88" t="s">
        <v>408</v>
      </c>
      <c r="C88" t="s">
        <v>382</v>
      </c>
    </row>
    <row r="89" spans="2:3" x14ac:dyDescent="0.3">
      <c r="B89" t="s">
        <v>409</v>
      </c>
      <c r="C89" t="s">
        <v>424</v>
      </c>
    </row>
    <row r="90" spans="2:3" x14ac:dyDescent="0.3">
      <c r="B90" t="s">
        <v>413</v>
      </c>
      <c r="C90" t="s">
        <v>423</v>
      </c>
    </row>
    <row r="91" spans="2:3" x14ac:dyDescent="0.3">
      <c r="B91" t="s">
        <v>415</v>
      </c>
      <c r="C91" t="s">
        <v>425</v>
      </c>
    </row>
    <row r="92" spans="2:3" x14ac:dyDescent="0.3">
      <c r="B92" t="s">
        <v>429</v>
      </c>
      <c r="C92" t="s">
        <v>430</v>
      </c>
    </row>
    <row r="93" spans="2:3" x14ac:dyDescent="0.3">
      <c r="B93" t="s">
        <v>438</v>
      </c>
      <c r="C93" t="s">
        <v>439</v>
      </c>
    </row>
    <row r="94" spans="2:3" x14ac:dyDescent="0.3">
      <c r="B94" t="s">
        <v>442</v>
      </c>
      <c r="C94" t="s">
        <v>443</v>
      </c>
    </row>
    <row r="95" spans="2:3" x14ac:dyDescent="0.3">
      <c r="B95" t="s">
        <v>447</v>
      </c>
      <c r="C95" t="s">
        <v>448</v>
      </c>
    </row>
    <row r="96" spans="2:3" x14ac:dyDescent="0.3">
      <c r="B96" t="s">
        <v>489</v>
      </c>
      <c r="C96" t="s">
        <v>488</v>
      </c>
    </row>
    <row r="97" spans="2:3" x14ac:dyDescent="0.3">
      <c r="B97" t="s">
        <v>490</v>
      </c>
      <c r="C97" t="s">
        <v>497</v>
      </c>
    </row>
    <row r="98" spans="2:3" x14ac:dyDescent="0.3">
      <c r="B98" t="s">
        <v>491</v>
      </c>
      <c r="C98" t="s">
        <v>498</v>
      </c>
    </row>
    <row r="99" spans="2:3" x14ac:dyDescent="0.3">
      <c r="B99" t="s">
        <v>492</v>
      </c>
      <c r="C99" t="s">
        <v>499</v>
      </c>
    </row>
    <row r="100" spans="2:3" x14ac:dyDescent="0.3">
      <c r="B100" t="s">
        <v>493</v>
      </c>
      <c r="C100" t="s">
        <v>500</v>
      </c>
    </row>
    <row r="101" spans="2:3" x14ac:dyDescent="0.3">
      <c r="B101" t="s">
        <v>494</v>
      </c>
      <c r="C101" t="s">
        <v>501</v>
      </c>
    </row>
    <row r="102" spans="2:3" x14ac:dyDescent="0.3">
      <c r="B102" t="s">
        <v>495</v>
      </c>
      <c r="C102" t="s">
        <v>503</v>
      </c>
    </row>
    <row r="103" spans="2:3" x14ac:dyDescent="0.3">
      <c r="B103" t="s">
        <v>496</v>
      </c>
      <c r="C103" t="s">
        <v>518</v>
      </c>
    </row>
    <row r="104" spans="2:3" x14ac:dyDescent="0.3">
      <c r="B104" t="s">
        <v>507</v>
      </c>
      <c r="C104" t="s">
        <v>519</v>
      </c>
    </row>
    <row r="105" spans="2:3" x14ac:dyDescent="0.3">
      <c r="B105" t="s">
        <v>508</v>
      </c>
      <c r="C105" t="s">
        <v>522</v>
      </c>
    </row>
    <row r="106" spans="2:3" x14ac:dyDescent="0.3">
      <c r="B106" t="s">
        <v>509</v>
      </c>
      <c r="C106" t="s">
        <v>523</v>
      </c>
    </row>
    <row r="107" spans="2:3" x14ac:dyDescent="0.3">
      <c r="B107" t="s">
        <v>510</v>
      </c>
      <c r="C107" t="s">
        <v>538</v>
      </c>
    </row>
    <row r="108" spans="2:3" x14ac:dyDescent="0.3">
      <c r="B108" t="s">
        <v>511</v>
      </c>
      <c r="C108" t="s">
        <v>539</v>
      </c>
    </row>
    <row r="109" spans="2:3" x14ac:dyDescent="0.3">
      <c r="B109" t="s">
        <v>512</v>
      </c>
      <c r="C109" t="s">
        <v>542</v>
      </c>
    </row>
    <row r="110" spans="2:3" x14ac:dyDescent="0.3">
      <c r="B110" t="s">
        <v>513</v>
      </c>
      <c r="C110" t="s">
        <v>563</v>
      </c>
    </row>
    <row r="111" spans="2:3" x14ac:dyDescent="0.3">
      <c r="B111" t="s">
        <v>514</v>
      </c>
      <c r="C111" t="s">
        <v>567</v>
      </c>
    </row>
    <row r="112" spans="2:3" x14ac:dyDescent="0.3">
      <c r="B112" t="s">
        <v>515</v>
      </c>
      <c r="C112" t="s">
        <v>592</v>
      </c>
    </row>
    <row r="113" spans="2:3" x14ac:dyDescent="0.3">
      <c r="B113" t="s">
        <v>516</v>
      </c>
      <c r="C113" t="s">
        <v>596</v>
      </c>
    </row>
    <row r="114" spans="2:3" x14ac:dyDescent="0.3">
      <c r="B114" t="s">
        <v>517</v>
      </c>
      <c r="C114" t="s">
        <v>626</v>
      </c>
    </row>
    <row r="115" spans="2:3" x14ac:dyDescent="0.3">
      <c r="B115" t="s">
        <v>527</v>
      </c>
      <c r="C115" t="s">
        <v>627</v>
      </c>
    </row>
    <row r="116" spans="2:3" x14ac:dyDescent="0.3">
      <c r="B116" t="s">
        <v>528</v>
      </c>
      <c r="C116" t="s">
        <v>628</v>
      </c>
    </row>
    <row r="117" spans="2:3" x14ac:dyDescent="0.3">
      <c r="B117" t="s">
        <v>529</v>
      </c>
      <c r="C117" t="s">
        <v>632</v>
      </c>
    </row>
    <row r="118" spans="2:3" x14ac:dyDescent="0.3">
      <c r="B118" t="s">
        <v>530</v>
      </c>
      <c r="C118" t="s">
        <v>502</v>
      </c>
    </row>
    <row r="119" spans="2:3" x14ac:dyDescent="0.3">
      <c r="B119" t="s">
        <v>531</v>
      </c>
      <c r="C119" t="s">
        <v>636</v>
      </c>
    </row>
    <row r="120" spans="2:3" x14ac:dyDescent="0.3">
      <c r="B120" t="s">
        <v>532</v>
      </c>
      <c r="C120" t="s">
        <v>637</v>
      </c>
    </row>
    <row r="121" spans="2:3" x14ac:dyDescent="0.3">
      <c r="B121" t="s">
        <v>533</v>
      </c>
      <c r="C121" t="s">
        <v>638</v>
      </c>
    </row>
    <row r="122" spans="2:3" x14ac:dyDescent="0.3">
      <c r="B122" t="s">
        <v>534</v>
      </c>
      <c r="C122" t="s">
        <v>639</v>
      </c>
    </row>
    <row r="123" spans="2:3" x14ac:dyDescent="0.3">
      <c r="B123" t="s">
        <v>535</v>
      </c>
      <c r="C123" t="s">
        <v>645</v>
      </c>
    </row>
    <row r="124" spans="2:3" x14ac:dyDescent="0.3">
      <c r="B124" t="s">
        <v>576</v>
      </c>
      <c r="C124" t="s">
        <v>648</v>
      </c>
    </row>
    <row r="125" spans="2:3" x14ac:dyDescent="0.3">
      <c r="B125" t="s">
        <v>577</v>
      </c>
      <c r="C125" t="s">
        <v>649</v>
      </c>
    </row>
    <row r="126" spans="2:3" x14ac:dyDescent="0.3">
      <c r="B126" t="s">
        <v>578</v>
      </c>
      <c r="C126" t="s">
        <v>652</v>
      </c>
    </row>
    <row r="127" spans="2:3" x14ac:dyDescent="0.3">
      <c r="B127" t="s">
        <v>579</v>
      </c>
      <c r="C127" t="s">
        <v>658</v>
      </c>
    </row>
    <row r="128" spans="2:3" x14ac:dyDescent="0.3">
      <c r="B128" t="s">
        <v>580</v>
      </c>
      <c r="C128" t="s">
        <v>661</v>
      </c>
    </row>
    <row r="129" spans="2:3" x14ac:dyDescent="0.3">
      <c r="B129" t="s">
        <v>581</v>
      </c>
      <c r="C129" t="s">
        <v>664</v>
      </c>
    </row>
    <row r="130" spans="2:3" x14ac:dyDescent="0.3">
      <c r="B130" t="s">
        <v>582</v>
      </c>
      <c r="C130" t="s">
        <v>668</v>
      </c>
    </row>
    <row r="131" spans="2:3" x14ac:dyDescent="0.3">
      <c r="B131" t="s">
        <v>583</v>
      </c>
      <c r="C131" t="s">
        <v>670</v>
      </c>
    </row>
    <row r="132" spans="2:3" x14ac:dyDescent="0.3">
      <c r="B132" t="s">
        <v>584</v>
      </c>
      <c r="C132" t="s">
        <v>671</v>
      </c>
    </row>
    <row r="133" spans="2:3" x14ac:dyDescent="0.3">
      <c r="B133" t="s">
        <v>585</v>
      </c>
      <c r="C133" t="s">
        <v>672</v>
      </c>
    </row>
    <row r="134" spans="2:3" x14ac:dyDescent="0.3">
      <c r="B134" t="s">
        <v>586</v>
      </c>
      <c r="C134" t="s">
        <v>686</v>
      </c>
    </row>
    <row r="135" spans="2:3" x14ac:dyDescent="0.3">
      <c r="B135" t="s">
        <v>587</v>
      </c>
      <c r="C135" t="s">
        <v>690</v>
      </c>
    </row>
    <row r="136" spans="2:3" x14ac:dyDescent="0.3">
      <c r="B136" t="s">
        <v>588</v>
      </c>
      <c r="C136" t="s">
        <v>691</v>
      </c>
    </row>
    <row r="137" spans="2:3" x14ac:dyDescent="0.3">
      <c r="B137" t="s">
        <v>589</v>
      </c>
      <c r="C137" t="s">
        <v>452</v>
      </c>
    </row>
    <row r="138" spans="2:3" x14ac:dyDescent="0.3">
      <c r="B138" t="s">
        <v>590</v>
      </c>
      <c r="C138" t="s">
        <v>456</v>
      </c>
    </row>
    <row r="139" spans="2:3" x14ac:dyDescent="0.3">
      <c r="B139" t="s">
        <v>591</v>
      </c>
      <c r="C139" t="s">
        <v>598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C262BF-D1E6-41D2-AD55-FAF0924337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Matches</vt:lpstr>
      <vt:lpstr>Innings</vt:lpstr>
      <vt:lpstr>Rank_players</vt:lpstr>
      <vt:lpstr>Match_Model_Data</vt:lpstr>
      <vt:lpstr>Match_Model_Data_Final</vt:lpstr>
      <vt:lpstr>Players ALL</vt:lpstr>
      <vt:lpstr>Players</vt:lpstr>
      <vt:lpstr>Sheet1</vt:lpstr>
      <vt:lpstr>all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Shalwin Joel Lewis</dc:creator>
  <cp:lastModifiedBy>Shalwin Joel Lewis</cp:lastModifiedBy>
  <dcterms:created xsi:type="dcterms:W3CDTF">2026-01-29T05:08:29Z</dcterms:created>
  <dcterms:modified xsi:type="dcterms:W3CDTF">2026-04-16T18:20:08Z</dcterms:modified>
</cp:coreProperties>
</file>